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drawings/drawing3.xml" ContentType="application/vnd.openxmlformats-officedocument.drawing+xml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keuangan-app\data\"/>
    </mc:Choice>
  </mc:AlternateContent>
  <xr:revisionPtr revIDLastSave="0" documentId="13_ncr:1_{53774ED5-F4F2-4DCD-9841-713FD6F7813A}" xr6:coauthVersionLast="47" xr6:coauthVersionMax="47" xr10:uidLastSave="{00000000-0000-0000-0000-000000000000}"/>
  <bookViews>
    <workbookView xWindow="15" yWindow="0" windowWidth="28785" windowHeight="16200" activeTab="4" xr2:uid="{1FFE0A0D-EAA6-4EF5-B140-E8DEF2D89037}"/>
  </bookViews>
  <sheets>
    <sheet name="BATANG TUBUH" sheetId="2" r:id="rId1"/>
    <sheet name="REALISASI PERBULAN" sheetId="3" r:id="rId2"/>
    <sheet name="SUB SEKSI" sheetId="4" r:id="rId3"/>
    <sheet name="DOORSCRIEFT" sheetId="5" r:id="rId4"/>
    <sheet name="KOMP. PENDAPATAN" sheetId="6" r:id="rId5"/>
    <sheet name="KOMP. BELANJA" sheetId="7" r:id="rId6"/>
  </sheets>
  <externalReferences>
    <externalReference r:id="rId7"/>
    <externalReference r:id="rId8"/>
    <externalReference r:id="rId9"/>
  </externalReferences>
  <definedNames>
    <definedName name="_xlnm.Print_Area" localSheetId="3">DOORSCRIEFT!$A$1021:$G$1597</definedName>
    <definedName name="_xlnm.Print_Area" localSheetId="5">'KOMP. BELANJA'!$A$722:$G$779</definedName>
    <definedName name="_xlnm.Print_Area" localSheetId="1">'REALISASI PERBULAN'!$A$1:$F$27</definedName>
    <definedName name="_xlnm.Print_Area" localSheetId="2">'SUB SEKSI'!$A$1:$J$55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7" l="1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F25" i="7"/>
  <c r="G6" i="7" s="1"/>
  <c r="G25" i="7"/>
  <c r="G30" i="7"/>
  <c r="A35" i="7"/>
  <c r="C35" i="7" s="1"/>
  <c r="E35" i="7"/>
  <c r="F35" i="7"/>
  <c r="A36" i="7"/>
  <c r="C36" i="7" s="1"/>
  <c r="D36" i="7"/>
  <c r="E36" i="7"/>
  <c r="F36" i="7"/>
  <c r="A37" i="7"/>
  <c r="C37" i="7"/>
  <c r="D37" i="7"/>
  <c r="E37" i="7"/>
  <c r="F37" i="7"/>
  <c r="A38" i="7"/>
  <c r="C38" i="7" s="1"/>
  <c r="F38" i="7"/>
  <c r="A39" i="7"/>
  <c r="C39" i="7" s="1"/>
  <c r="E39" i="7"/>
  <c r="F39" i="7"/>
  <c r="A40" i="7"/>
  <c r="C40" i="7" s="1"/>
  <c r="D40" i="7"/>
  <c r="E40" i="7"/>
  <c r="F40" i="7"/>
  <c r="A41" i="7"/>
  <c r="C41" i="7"/>
  <c r="D41" i="7"/>
  <c r="E41" i="7"/>
  <c r="F41" i="7"/>
  <c r="A42" i="7"/>
  <c r="C42" i="7" s="1"/>
  <c r="F42" i="7"/>
  <c r="A43" i="7"/>
  <c r="C43" i="7" s="1"/>
  <c r="E43" i="7"/>
  <c r="F43" i="7"/>
  <c r="A44" i="7"/>
  <c r="C44" i="7" s="1"/>
  <c r="D44" i="7"/>
  <c r="E44" i="7"/>
  <c r="F44" i="7"/>
  <c r="A45" i="7"/>
  <c r="C45" i="7"/>
  <c r="D45" i="7"/>
  <c r="E45" i="7"/>
  <c r="F45" i="7"/>
  <c r="A46" i="7"/>
  <c r="C46" i="7" s="1"/>
  <c r="F46" i="7"/>
  <c r="A47" i="7"/>
  <c r="C47" i="7" s="1"/>
  <c r="E47" i="7"/>
  <c r="F47" i="7"/>
  <c r="A48" i="7"/>
  <c r="C48" i="7" s="1"/>
  <c r="D48" i="7"/>
  <c r="E48" i="7"/>
  <c r="F48" i="7"/>
  <c r="A49" i="7"/>
  <c r="C49" i="7"/>
  <c r="D49" i="7"/>
  <c r="E49" i="7"/>
  <c r="F49" i="7"/>
  <c r="G50" i="7"/>
  <c r="G55" i="7"/>
  <c r="A60" i="7"/>
  <c r="C60" i="7" s="1"/>
  <c r="F60" i="7"/>
  <c r="A61" i="7"/>
  <c r="C61" i="7" s="1"/>
  <c r="E61" i="7"/>
  <c r="F61" i="7"/>
  <c r="A62" i="7"/>
  <c r="C62" i="7" s="1"/>
  <c r="D62" i="7"/>
  <c r="E62" i="7"/>
  <c r="F62" i="7"/>
  <c r="A63" i="7"/>
  <c r="C63" i="7"/>
  <c r="D63" i="7"/>
  <c r="E63" i="7"/>
  <c r="F63" i="7"/>
  <c r="A64" i="7"/>
  <c r="F64" i="7"/>
  <c r="A65" i="7"/>
  <c r="C65" i="7" s="1"/>
  <c r="E65" i="7"/>
  <c r="F65" i="7"/>
  <c r="A66" i="7"/>
  <c r="C66" i="7" s="1"/>
  <c r="D66" i="7"/>
  <c r="E66" i="7"/>
  <c r="F66" i="7"/>
  <c r="A67" i="7"/>
  <c r="C67" i="7"/>
  <c r="D67" i="7"/>
  <c r="E67" i="7"/>
  <c r="F67" i="7"/>
  <c r="A68" i="7"/>
  <c r="A69" i="7"/>
  <c r="E69" i="7"/>
  <c r="A70" i="7"/>
  <c r="C70" i="7" s="1"/>
  <c r="D70" i="7"/>
  <c r="E70" i="7"/>
  <c r="F70" i="7"/>
  <c r="A71" i="7"/>
  <c r="C71" i="7"/>
  <c r="D71" i="7"/>
  <c r="E71" i="7"/>
  <c r="F71" i="7"/>
  <c r="A72" i="7"/>
  <c r="C72" i="7"/>
  <c r="A73" i="7"/>
  <c r="E73" i="7"/>
  <c r="F73" i="7"/>
  <c r="A74" i="7"/>
  <c r="C74" i="7" s="1"/>
  <c r="D74" i="7"/>
  <c r="E74" i="7"/>
  <c r="F74" i="7"/>
  <c r="A75" i="7"/>
  <c r="C75" i="7"/>
  <c r="D75" i="7"/>
  <c r="E75" i="7"/>
  <c r="F75" i="7"/>
  <c r="A76" i="7"/>
  <c r="E76" i="7" s="1"/>
  <c r="C76" i="7"/>
  <c r="D76" i="7"/>
  <c r="A77" i="7"/>
  <c r="D77" i="7" s="1"/>
  <c r="C77" i="7"/>
  <c r="E77" i="7"/>
  <c r="A78" i="7"/>
  <c r="C78" i="7" s="1"/>
  <c r="E78" i="7"/>
  <c r="A79" i="7"/>
  <c r="C79" i="7"/>
  <c r="D79" i="7"/>
  <c r="E79" i="7"/>
  <c r="F79" i="7"/>
  <c r="A80" i="7"/>
  <c r="E80" i="7" s="1"/>
  <c r="C80" i="7"/>
  <c r="F80" i="7"/>
  <c r="A81" i="7"/>
  <c r="D81" i="7" s="1"/>
  <c r="C81" i="7"/>
  <c r="F81" i="7"/>
  <c r="A82" i="7"/>
  <c r="C82" i="7" s="1"/>
  <c r="D82" i="7"/>
  <c r="F82" i="7"/>
  <c r="A83" i="7"/>
  <c r="C83" i="7"/>
  <c r="D83" i="7"/>
  <c r="E83" i="7"/>
  <c r="F83" i="7"/>
  <c r="G84" i="7"/>
  <c r="G89" i="7"/>
  <c r="A94" i="7"/>
  <c r="E94" i="7" s="1"/>
  <c r="C94" i="7"/>
  <c r="F94" i="7"/>
  <c r="A95" i="7"/>
  <c r="D95" i="7" s="1"/>
  <c r="C95" i="7"/>
  <c r="F95" i="7"/>
  <c r="A96" i="7"/>
  <c r="C96" i="7" s="1"/>
  <c r="D96" i="7"/>
  <c r="F96" i="7"/>
  <c r="A97" i="7"/>
  <c r="C97" i="7"/>
  <c r="D97" i="7"/>
  <c r="E97" i="7"/>
  <c r="F97" i="7"/>
  <c r="A98" i="7"/>
  <c r="E98" i="7" s="1"/>
  <c r="A99" i="7"/>
  <c r="D99" i="7" s="1"/>
  <c r="A100" i="7"/>
  <c r="A101" i="7"/>
  <c r="C101" i="7"/>
  <c r="D101" i="7"/>
  <c r="E101" i="7"/>
  <c r="F101" i="7"/>
  <c r="A102" i="7"/>
  <c r="E102" i="7" s="1"/>
  <c r="C102" i="7"/>
  <c r="D102" i="7"/>
  <c r="F102" i="7"/>
  <c r="A103" i="7"/>
  <c r="D103" i="7" s="1"/>
  <c r="C103" i="7"/>
  <c r="E103" i="7"/>
  <c r="F103" i="7"/>
  <c r="A104" i="7"/>
  <c r="C104" i="7" s="1"/>
  <c r="D104" i="7"/>
  <c r="E104" i="7"/>
  <c r="F104" i="7"/>
  <c r="A105" i="7"/>
  <c r="C105" i="7"/>
  <c r="D105" i="7"/>
  <c r="E105" i="7"/>
  <c r="F105" i="7"/>
  <c r="A106" i="7"/>
  <c r="E106" i="7" s="1"/>
  <c r="D106" i="7"/>
  <c r="A107" i="7"/>
  <c r="D107" i="7" s="1"/>
  <c r="E107" i="7"/>
  <c r="A108" i="7"/>
  <c r="C108" i="7" s="1"/>
  <c r="E108" i="7"/>
  <c r="A109" i="7"/>
  <c r="C109" i="7"/>
  <c r="D109" i="7"/>
  <c r="E109" i="7"/>
  <c r="F109" i="7"/>
  <c r="A110" i="7"/>
  <c r="E110" i="7" s="1"/>
  <c r="C110" i="7"/>
  <c r="F110" i="7"/>
  <c r="A111" i="7"/>
  <c r="D111" i="7" s="1"/>
  <c r="C111" i="7"/>
  <c r="F111" i="7"/>
  <c r="A112" i="7"/>
  <c r="C112" i="7" s="1"/>
  <c r="D112" i="7"/>
  <c r="F112" i="7"/>
  <c r="A113" i="7"/>
  <c r="C113" i="7"/>
  <c r="D113" i="7"/>
  <c r="E113" i="7"/>
  <c r="F113" i="7"/>
  <c r="A114" i="7"/>
  <c r="A115" i="7"/>
  <c r="A116" i="7"/>
  <c r="A117" i="7"/>
  <c r="C117" i="7"/>
  <c r="D117" i="7"/>
  <c r="E117" i="7"/>
  <c r="F117" i="7"/>
  <c r="G118" i="7"/>
  <c r="G123" i="7"/>
  <c r="A128" i="7"/>
  <c r="A129" i="7"/>
  <c r="A130" i="7"/>
  <c r="A131" i="7"/>
  <c r="C131" i="7"/>
  <c r="D131" i="7"/>
  <c r="E131" i="7"/>
  <c r="F131" i="7"/>
  <c r="A132" i="7"/>
  <c r="E132" i="7" s="1"/>
  <c r="C132" i="7"/>
  <c r="D132" i="7"/>
  <c r="F132" i="7"/>
  <c r="A133" i="7"/>
  <c r="D133" i="7" s="1"/>
  <c r="C133" i="7"/>
  <c r="E133" i="7"/>
  <c r="F133" i="7"/>
  <c r="A134" i="7"/>
  <c r="C134" i="7" s="1"/>
  <c r="D134" i="7"/>
  <c r="E134" i="7"/>
  <c r="F134" i="7"/>
  <c r="A135" i="7"/>
  <c r="C135" i="7"/>
  <c r="D135" i="7"/>
  <c r="E135" i="7"/>
  <c r="F135" i="7"/>
  <c r="A136" i="7"/>
  <c r="D136" i="7" s="1"/>
  <c r="A137" i="7"/>
  <c r="A138" i="7"/>
  <c r="E138" i="7" s="1"/>
  <c r="A139" i="7"/>
  <c r="C139" i="7"/>
  <c r="D139" i="7"/>
  <c r="E139" i="7"/>
  <c r="F139" i="7"/>
  <c r="A140" i="7"/>
  <c r="E140" i="7" s="1"/>
  <c r="C140" i="7"/>
  <c r="F140" i="7"/>
  <c r="A141" i="7"/>
  <c r="D141" i="7" s="1"/>
  <c r="C141" i="7"/>
  <c r="F141" i="7"/>
  <c r="A142" i="7"/>
  <c r="C142" i="7" s="1"/>
  <c r="D142" i="7"/>
  <c r="F142" i="7"/>
  <c r="A143" i="7"/>
  <c r="C143" i="7"/>
  <c r="D143" i="7"/>
  <c r="E143" i="7"/>
  <c r="F143" i="7"/>
  <c r="A144" i="7"/>
  <c r="D144" i="7"/>
  <c r="A145" i="7"/>
  <c r="E145" i="7"/>
  <c r="A146" i="7"/>
  <c r="E146" i="7"/>
  <c r="A147" i="7"/>
  <c r="C147" i="7"/>
  <c r="D147" i="7"/>
  <c r="E147" i="7"/>
  <c r="F147" i="7"/>
  <c r="A148" i="7"/>
  <c r="E148" i="7" s="1"/>
  <c r="C148" i="7"/>
  <c r="D148" i="7"/>
  <c r="F148" i="7"/>
  <c r="A149" i="7"/>
  <c r="D149" i="7" s="1"/>
  <c r="C149" i="7"/>
  <c r="E149" i="7"/>
  <c r="F149" i="7"/>
  <c r="A150" i="7"/>
  <c r="C150" i="7" s="1"/>
  <c r="D150" i="7"/>
  <c r="E150" i="7"/>
  <c r="F150" i="7"/>
  <c r="A151" i="7"/>
  <c r="C151" i="7"/>
  <c r="D151" i="7"/>
  <c r="E151" i="7"/>
  <c r="F151" i="7"/>
  <c r="G157" i="7"/>
  <c r="A162" i="7"/>
  <c r="C162" i="7"/>
  <c r="D162" i="7"/>
  <c r="E162" i="7"/>
  <c r="F162" i="7"/>
  <c r="A163" i="7"/>
  <c r="D163" i="7"/>
  <c r="A164" i="7"/>
  <c r="E164" i="7" s="1"/>
  <c r="A165" i="7"/>
  <c r="E165" i="7"/>
  <c r="A166" i="7"/>
  <c r="C166" i="7"/>
  <c r="D166" i="7"/>
  <c r="E166" i="7"/>
  <c r="F166" i="7"/>
  <c r="A167" i="7"/>
  <c r="E167" i="7" s="1"/>
  <c r="C167" i="7"/>
  <c r="F167" i="7"/>
  <c r="A168" i="7"/>
  <c r="D168" i="7" s="1"/>
  <c r="C168" i="7"/>
  <c r="F168" i="7"/>
  <c r="A169" i="7"/>
  <c r="A170" i="7"/>
  <c r="C170" i="7"/>
  <c r="D170" i="7"/>
  <c r="E170" i="7"/>
  <c r="F170" i="7"/>
  <c r="A171" i="7"/>
  <c r="A172" i="7"/>
  <c r="E172" i="7"/>
  <c r="A173" i="7"/>
  <c r="E173" i="7"/>
  <c r="F173" i="7"/>
  <c r="A174" i="7"/>
  <c r="C174" i="7"/>
  <c r="D174" i="7"/>
  <c r="E174" i="7"/>
  <c r="F174" i="7"/>
  <c r="A175" i="7"/>
  <c r="E175" i="7" s="1"/>
  <c r="C175" i="7"/>
  <c r="D175" i="7"/>
  <c r="F175" i="7"/>
  <c r="A176" i="7"/>
  <c r="D176" i="7" s="1"/>
  <c r="C176" i="7"/>
  <c r="E176" i="7"/>
  <c r="F176" i="7"/>
  <c r="G177" i="7"/>
  <c r="G182" i="7"/>
  <c r="A187" i="7"/>
  <c r="C187" i="7" s="1"/>
  <c r="D187" i="7"/>
  <c r="E187" i="7"/>
  <c r="F187" i="7"/>
  <c r="A188" i="7"/>
  <c r="C188" i="7"/>
  <c r="D188" i="7"/>
  <c r="E188" i="7"/>
  <c r="F188" i="7"/>
  <c r="A189" i="7"/>
  <c r="C189" i="7"/>
  <c r="D189" i="7"/>
  <c r="A190" i="7"/>
  <c r="C190" i="7" s="1"/>
  <c r="E190" i="7"/>
  <c r="A191" i="7"/>
  <c r="A192" i="7"/>
  <c r="C192" i="7"/>
  <c r="D192" i="7"/>
  <c r="E192" i="7"/>
  <c r="F192" i="7"/>
  <c r="A193" i="7"/>
  <c r="A194" i="7"/>
  <c r="C194" i="7"/>
  <c r="A195" i="7"/>
  <c r="D195" i="7" s="1"/>
  <c r="C195" i="7"/>
  <c r="E195" i="7"/>
  <c r="F195" i="7"/>
  <c r="A196" i="7"/>
  <c r="C196" i="7" s="1"/>
  <c r="D196" i="7"/>
  <c r="E196" i="7"/>
  <c r="F196" i="7"/>
  <c r="A197" i="7"/>
  <c r="C197" i="7"/>
  <c r="D197" i="7"/>
  <c r="E197" i="7"/>
  <c r="F197" i="7"/>
  <c r="A198" i="7"/>
  <c r="E198" i="7" s="1"/>
  <c r="C198" i="7"/>
  <c r="A199" i="7"/>
  <c r="D199" i="7" s="1"/>
  <c r="C199" i="7"/>
  <c r="A200" i="7"/>
  <c r="C200" i="7" s="1"/>
  <c r="D200" i="7"/>
  <c r="A201" i="7"/>
  <c r="C201" i="7"/>
  <c r="D201" i="7"/>
  <c r="E201" i="7"/>
  <c r="F201" i="7"/>
  <c r="G202" i="7"/>
  <c r="G207" i="7"/>
  <c r="A212" i="7"/>
  <c r="E212" i="7" s="1"/>
  <c r="C212" i="7"/>
  <c r="A213" i="7"/>
  <c r="D213" i="7" s="1"/>
  <c r="C213" i="7"/>
  <c r="A214" i="7"/>
  <c r="C214" i="7" s="1"/>
  <c r="D214" i="7"/>
  <c r="A215" i="7"/>
  <c r="C215" i="7"/>
  <c r="D215" i="7"/>
  <c r="E215" i="7"/>
  <c r="F215" i="7"/>
  <c r="A216" i="7"/>
  <c r="E216" i="7" s="1"/>
  <c r="A217" i="7"/>
  <c r="D217" i="7" s="1"/>
  <c r="A218" i="7"/>
  <c r="C218" i="7" s="1"/>
  <c r="A219" i="7"/>
  <c r="C219" i="7"/>
  <c r="D219" i="7"/>
  <c r="E219" i="7"/>
  <c r="F219" i="7"/>
  <c r="A220" i="7"/>
  <c r="E220" i="7" s="1"/>
  <c r="D220" i="7"/>
  <c r="F220" i="7"/>
  <c r="A221" i="7"/>
  <c r="D221" i="7" s="1"/>
  <c r="E221" i="7"/>
  <c r="F221" i="7"/>
  <c r="A222" i="7"/>
  <c r="C222" i="7" s="1"/>
  <c r="E222" i="7"/>
  <c r="F222" i="7"/>
  <c r="A223" i="7"/>
  <c r="C223" i="7"/>
  <c r="D223" i="7"/>
  <c r="E223" i="7"/>
  <c r="F223" i="7"/>
  <c r="A224" i="7"/>
  <c r="E224" i="7" s="1"/>
  <c r="C224" i="7"/>
  <c r="D224" i="7"/>
  <c r="F224" i="7"/>
  <c r="A225" i="7"/>
  <c r="D225" i="7" s="1"/>
  <c r="C225" i="7"/>
  <c r="E225" i="7"/>
  <c r="F225" i="7"/>
  <c r="A226" i="7"/>
  <c r="C226" i="7" s="1"/>
  <c r="D226" i="7"/>
  <c r="E226" i="7"/>
  <c r="F226" i="7"/>
  <c r="G227" i="7"/>
  <c r="G232" i="7"/>
  <c r="A237" i="7"/>
  <c r="C237" i="7"/>
  <c r="D237" i="7"/>
  <c r="E237" i="7"/>
  <c r="F237" i="7"/>
  <c r="A238" i="7"/>
  <c r="E238" i="7" s="1"/>
  <c r="C238" i="7"/>
  <c r="D238" i="7"/>
  <c r="F238" i="7"/>
  <c r="A239" i="7"/>
  <c r="D239" i="7" s="1"/>
  <c r="C239" i="7"/>
  <c r="E239" i="7"/>
  <c r="F239" i="7"/>
  <c r="A240" i="7"/>
  <c r="C240" i="7" s="1"/>
  <c r="D240" i="7"/>
  <c r="E240" i="7"/>
  <c r="F240" i="7"/>
  <c r="A241" i="7"/>
  <c r="C241" i="7"/>
  <c r="D241" i="7"/>
  <c r="E241" i="7"/>
  <c r="F241" i="7"/>
  <c r="A242" i="7"/>
  <c r="E242" i="7" s="1"/>
  <c r="C242" i="7"/>
  <c r="A243" i="7"/>
  <c r="D243" i="7" s="1"/>
  <c r="C243" i="7"/>
  <c r="A244" i="7"/>
  <c r="C244" i="7" s="1"/>
  <c r="D244" i="7"/>
  <c r="A245" i="7"/>
  <c r="C245" i="7"/>
  <c r="D245" i="7"/>
  <c r="E245" i="7"/>
  <c r="F245" i="7"/>
  <c r="A246" i="7"/>
  <c r="E246" i="7" s="1"/>
  <c r="A247" i="7"/>
  <c r="D247" i="7" s="1"/>
  <c r="A248" i="7"/>
  <c r="C248" i="7" s="1"/>
  <c r="A249" i="7"/>
  <c r="C249" i="7"/>
  <c r="D249" i="7"/>
  <c r="E249" i="7"/>
  <c r="F249" i="7"/>
  <c r="A250" i="7"/>
  <c r="E250" i="7" s="1"/>
  <c r="D250" i="7"/>
  <c r="F250" i="7"/>
  <c r="A251" i="7"/>
  <c r="D251" i="7" s="1"/>
  <c r="E251" i="7"/>
  <c r="F251" i="7"/>
  <c r="A252" i="7"/>
  <c r="C252" i="7" s="1"/>
  <c r="E252" i="7"/>
  <c r="F252" i="7"/>
  <c r="A253" i="7"/>
  <c r="C253" i="7"/>
  <c r="D253" i="7"/>
  <c r="E253" i="7"/>
  <c r="F253" i="7"/>
  <c r="A254" i="7"/>
  <c r="E254" i="7" s="1"/>
  <c r="C254" i="7"/>
  <c r="D254" i="7"/>
  <c r="F254" i="7"/>
  <c r="A255" i="7"/>
  <c r="D255" i="7" s="1"/>
  <c r="C255" i="7"/>
  <c r="E255" i="7"/>
  <c r="F255" i="7"/>
  <c r="A256" i="7"/>
  <c r="C256" i="7"/>
  <c r="D256" i="7"/>
  <c r="E256" i="7"/>
  <c r="F256" i="7"/>
  <c r="A257" i="7"/>
  <c r="D257" i="7" s="1"/>
  <c r="C257" i="7"/>
  <c r="F257" i="7"/>
  <c r="G258" i="7"/>
  <c r="G263" i="7"/>
  <c r="A268" i="7"/>
  <c r="F268" i="7"/>
  <c r="A269" i="7"/>
  <c r="C269" i="7" s="1"/>
  <c r="D269" i="7"/>
  <c r="E269" i="7"/>
  <c r="F269" i="7"/>
  <c r="A270" i="7"/>
  <c r="C270" i="7"/>
  <c r="D270" i="7"/>
  <c r="E270" i="7"/>
  <c r="F270" i="7"/>
  <c r="A271" i="7"/>
  <c r="D271" i="7" s="1"/>
  <c r="C271" i="7"/>
  <c r="F271" i="7"/>
  <c r="A272" i="7"/>
  <c r="A273" i="7"/>
  <c r="C273" i="7" s="1"/>
  <c r="D273" i="7"/>
  <c r="E273" i="7"/>
  <c r="F273" i="7"/>
  <c r="A274" i="7"/>
  <c r="C274" i="7"/>
  <c r="D274" i="7"/>
  <c r="E274" i="7"/>
  <c r="F274" i="7"/>
  <c r="A275" i="7"/>
  <c r="D275" i="7" s="1"/>
  <c r="C275" i="7"/>
  <c r="F275" i="7"/>
  <c r="A276" i="7"/>
  <c r="F276" i="7"/>
  <c r="A277" i="7"/>
  <c r="C277" i="7" s="1"/>
  <c r="D277" i="7"/>
  <c r="E277" i="7"/>
  <c r="F277" i="7"/>
  <c r="A278" i="7"/>
  <c r="C278" i="7"/>
  <c r="D278" i="7"/>
  <c r="E278" i="7"/>
  <c r="F278" i="7"/>
  <c r="A279" i="7"/>
  <c r="D279" i="7" s="1"/>
  <c r="C279" i="7"/>
  <c r="F279" i="7"/>
  <c r="A280" i="7"/>
  <c r="A281" i="7"/>
  <c r="C281" i="7" s="1"/>
  <c r="D281" i="7"/>
  <c r="E281" i="7"/>
  <c r="F281" i="7"/>
  <c r="A282" i="7"/>
  <c r="C282" i="7"/>
  <c r="D282" i="7"/>
  <c r="E282" i="7"/>
  <c r="F282" i="7"/>
  <c r="A283" i="7"/>
  <c r="D283" i="7" s="1"/>
  <c r="C283" i="7"/>
  <c r="F283" i="7"/>
  <c r="A284" i="7"/>
  <c r="F284" i="7" s="1"/>
  <c r="A285" i="7"/>
  <c r="C285" i="7" s="1"/>
  <c r="D285" i="7"/>
  <c r="E285" i="7"/>
  <c r="F285" i="7"/>
  <c r="A286" i="7"/>
  <c r="C286" i="7"/>
  <c r="D286" i="7"/>
  <c r="E286" i="7"/>
  <c r="F286" i="7"/>
  <c r="A287" i="7"/>
  <c r="F287" i="7" s="1"/>
  <c r="C287" i="7"/>
  <c r="A288" i="7"/>
  <c r="A289" i="7"/>
  <c r="C289" i="7" s="1"/>
  <c r="D289" i="7"/>
  <c r="E289" i="7"/>
  <c r="F289" i="7"/>
  <c r="A290" i="7"/>
  <c r="C290" i="7"/>
  <c r="D290" i="7"/>
  <c r="E290" i="7"/>
  <c r="F290" i="7"/>
  <c r="A291" i="7"/>
  <c r="G292" i="7"/>
  <c r="G297" i="7"/>
  <c r="A302" i="7"/>
  <c r="E302" i="7"/>
  <c r="F302" i="7"/>
  <c r="A303" i="7"/>
  <c r="C303" i="7" s="1"/>
  <c r="D303" i="7"/>
  <c r="E303" i="7"/>
  <c r="F303" i="7"/>
  <c r="A304" i="7"/>
  <c r="C304" i="7"/>
  <c r="D304" i="7"/>
  <c r="E304" i="7"/>
  <c r="F304" i="7"/>
  <c r="A305" i="7"/>
  <c r="C305" i="7"/>
  <c r="F305" i="7"/>
  <c r="A306" i="7"/>
  <c r="E306" i="7" s="1"/>
  <c r="F306" i="7"/>
  <c r="A307" i="7"/>
  <c r="C307" i="7" s="1"/>
  <c r="D307" i="7"/>
  <c r="E307" i="7"/>
  <c r="F307" i="7"/>
  <c r="A308" i="7"/>
  <c r="C308" i="7"/>
  <c r="D308" i="7"/>
  <c r="E308" i="7"/>
  <c r="F308" i="7"/>
  <c r="A309" i="7"/>
  <c r="C309" i="7" s="1"/>
  <c r="F309" i="7"/>
  <c r="A310" i="7"/>
  <c r="E310" i="7" s="1"/>
  <c r="A311" i="7"/>
  <c r="C311" i="7" s="1"/>
  <c r="D311" i="7"/>
  <c r="E311" i="7"/>
  <c r="F311" i="7"/>
  <c r="A312" i="7"/>
  <c r="C312" i="7"/>
  <c r="D312" i="7"/>
  <c r="E312" i="7"/>
  <c r="F312" i="7"/>
  <c r="A313" i="7"/>
  <c r="C313" i="7" s="1"/>
  <c r="A314" i="7"/>
  <c r="A315" i="7"/>
  <c r="C315" i="7" s="1"/>
  <c r="D315" i="7"/>
  <c r="E315" i="7"/>
  <c r="F315" i="7"/>
  <c r="A316" i="7"/>
  <c r="C316" i="7"/>
  <c r="D316" i="7"/>
  <c r="E316" i="7"/>
  <c r="F316" i="7"/>
  <c r="A317" i="7"/>
  <c r="A318" i="7"/>
  <c r="E318" i="7"/>
  <c r="F318" i="7"/>
  <c r="A319" i="7"/>
  <c r="C319" i="7" s="1"/>
  <c r="D319" i="7"/>
  <c r="E319" i="7"/>
  <c r="F319" i="7"/>
  <c r="A320" i="7"/>
  <c r="C320" i="7"/>
  <c r="D320" i="7"/>
  <c r="E320" i="7"/>
  <c r="F320" i="7"/>
  <c r="A321" i="7"/>
  <c r="E321" i="7" s="1"/>
  <c r="C321" i="7"/>
  <c r="D321" i="7"/>
  <c r="F321" i="7"/>
  <c r="A322" i="7"/>
  <c r="D322" i="7" s="1"/>
  <c r="C322" i="7"/>
  <c r="E322" i="7"/>
  <c r="F322" i="7"/>
  <c r="A323" i="7"/>
  <c r="C323" i="7" s="1"/>
  <c r="D323" i="7"/>
  <c r="E323" i="7"/>
  <c r="F323" i="7"/>
  <c r="A324" i="7"/>
  <c r="C324" i="7"/>
  <c r="D324" i="7"/>
  <c r="E324" i="7"/>
  <c r="F324" i="7"/>
  <c r="A325" i="7"/>
  <c r="A326" i="7"/>
  <c r="A327" i="7"/>
  <c r="A328" i="7"/>
  <c r="C328" i="7"/>
  <c r="D328" i="7"/>
  <c r="E328" i="7"/>
  <c r="F328" i="7"/>
  <c r="G329" i="7"/>
  <c r="G334" i="7"/>
  <c r="A339" i="7"/>
  <c r="A340" i="7"/>
  <c r="A341" i="7"/>
  <c r="A342" i="7"/>
  <c r="C342" i="7"/>
  <c r="D342" i="7"/>
  <c r="E342" i="7"/>
  <c r="F342" i="7"/>
  <c r="A343" i="7"/>
  <c r="E343" i="7" s="1"/>
  <c r="F343" i="7"/>
  <c r="A344" i="7"/>
  <c r="D344" i="7" s="1"/>
  <c r="F344" i="7"/>
  <c r="A345" i="7"/>
  <c r="C345" i="7" s="1"/>
  <c r="F345" i="7"/>
  <c r="A346" i="7"/>
  <c r="C346" i="7"/>
  <c r="D346" i="7"/>
  <c r="E346" i="7"/>
  <c r="F346" i="7"/>
  <c r="A347" i="7"/>
  <c r="E347" i="7" s="1"/>
  <c r="D347" i="7"/>
  <c r="F347" i="7"/>
  <c r="A348" i="7"/>
  <c r="D348" i="7" s="1"/>
  <c r="E348" i="7"/>
  <c r="F348" i="7"/>
  <c r="A349" i="7"/>
  <c r="C349" i="7" s="1"/>
  <c r="E349" i="7"/>
  <c r="F349" i="7"/>
  <c r="A350" i="7"/>
  <c r="C350" i="7"/>
  <c r="D350" i="7"/>
  <c r="E350" i="7"/>
  <c r="F350" i="7"/>
  <c r="A351" i="7"/>
  <c r="E351" i="7" s="1"/>
  <c r="C351" i="7"/>
  <c r="D351" i="7"/>
  <c r="F351" i="7"/>
  <c r="A352" i="7"/>
  <c r="D352" i="7" s="1"/>
  <c r="C352" i="7"/>
  <c r="E352" i="7"/>
  <c r="F352" i="7"/>
  <c r="A353" i="7"/>
  <c r="C353" i="7" s="1"/>
  <c r="D353" i="7"/>
  <c r="E353" i="7"/>
  <c r="F353" i="7"/>
  <c r="A354" i="7"/>
  <c r="C354" i="7"/>
  <c r="D354" i="7"/>
  <c r="E354" i="7"/>
  <c r="F354" i="7"/>
  <c r="A355" i="7"/>
  <c r="A356" i="7"/>
  <c r="A357" i="7"/>
  <c r="A358" i="7"/>
  <c r="C358" i="7"/>
  <c r="D358" i="7"/>
  <c r="E358" i="7"/>
  <c r="F358" i="7"/>
  <c r="A359" i="7"/>
  <c r="E359" i="7" s="1"/>
  <c r="F359" i="7"/>
  <c r="A360" i="7"/>
  <c r="C360" i="7" s="1"/>
  <c r="E360" i="7"/>
  <c r="F360" i="7"/>
  <c r="A361" i="7"/>
  <c r="C361" i="7" s="1"/>
  <c r="D361" i="7"/>
  <c r="E361" i="7"/>
  <c r="F361" i="7"/>
  <c r="A362" i="7"/>
  <c r="C362" i="7"/>
  <c r="D362" i="7"/>
  <c r="E362" i="7"/>
  <c r="F362" i="7"/>
  <c r="A363" i="7"/>
  <c r="F363" i="7"/>
  <c r="A364" i="7"/>
  <c r="C364" i="7" s="1"/>
  <c r="E364" i="7"/>
  <c r="F364" i="7"/>
  <c r="A365" i="7"/>
  <c r="C365" i="7" s="1"/>
  <c r="D365" i="7"/>
  <c r="E365" i="7"/>
  <c r="F365" i="7"/>
  <c r="A366" i="7"/>
  <c r="C366" i="7"/>
  <c r="D366" i="7"/>
  <c r="E366" i="7"/>
  <c r="F366" i="7"/>
  <c r="G367" i="7"/>
  <c r="G372" i="7"/>
  <c r="A377" i="7"/>
  <c r="F377" i="7"/>
  <c r="A378" i="7"/>
  <c r="C378" i="7" s="1"/>
  <c r="E378" i="7"/>
  <c r="F378" i="7"/>
  <c r="A379" i="7"/>
  <c r="C379" i="7" s="1"/>
  <c r="D379" i="7"/>
  <c r="E379" i="7"/>
  <c r="F379" i="7"/>
  <c r="A380" i="7"/>
  <c r="C380" i="7"/>
  <c r="D380" i="7"/>
  <c r="E380" i="7"/>
  <c r="F380" i="7"/>
  <c r="A381" i="7"/>
  <c r="F381" i="7"/>
  <c r="A382" i="7"/>
  <c r="C382" i="7" s="1"/>
  <c r="E382" i="7"/>
  <c r="F382" i="7"/>
  <c r="A383" i="7"/>
  <c r="C383" i="7" s="1"/>
  <c r="D383" i="7"/>
  <c r="E383" i="7"/>
  <c r="F383" i="7"/>
  <c r="A384" i="7"/>
  <c r="C384" i="7"/>
  <c r="D384" i="7"/>
  <c r="E384" i="7"/>
  <c r="F384" i="7"/>
  <c r="A385" i="7"/>
  <c r="F385" i="7"/>
  <c r="A386" i="7"/>
  <c r="C386" i="7" s="1"/>
  <c r="E386" i="7"/>
  <c r="F386" i="7"/>
  <c r="A387" i="7"/>
  <c r="C387" i="7" s="1"/>
  <c r="D387" i="7"/>
  <c r="E387" i="7"/>
  <c r="F387" i="7"/>
  <c r="A388" i="7"/>
  <c r="C388" i="7"/>
  <c r="D388" i="7"/>
  <c r="E388" i="7"/>
  <c r="F388" i="7"/>
  <c r="A389" i="7"/>
  <c r="F389" i="7"/>
  <c r="A390" i="7"/>
  <c r="C390" i="7" s="1"/>
  <c r="E390" i="7"/>
  <c r="F390" i="7"/>
  <c r="A391" i="7"/>
  <c r="C391" i="7" s="1"/>
  <c r="D391" i="7"/>
  <c r="E391" i="7"/>
  <c r="F391" i="7"/>
  <c r="A392" i="7"/>
  <c r="C392" i="7"/>
  <c r="D392" i="7"/>
  <c r="E392" i="7"/>
  <c r="F392" i="7"/>
  <c r="A393" i="7"/>
  <c r="F393" i="7"/>
  <c r="A394" i="7"/>
  <c r="C394" i="7" s="1"/>
  <c r="E394" i="7"/>
  <c r="F394" i="7"/>
  <c r="A395" i="7"/>
  <c r="C395" i="7" s="1"/>
  <c r="D395" i="7"/>
  <c r="E395" i="7"/>
  <c r="F395" i="7"/>
  <c r="A396" i="7"/>
  <c r="C396" i="7"/>
  <c r="D396" i="7"/>
  <c r="E396" i="7"/>
  <c r="F396" i="7"/>
  <c r="A397" i="7"/>
  <c r="F397" i="7"/>
  <c r="A398" i="7"/>
  <c r="C398" i="7" s="1"/>
  <c r="E398" i="7"/>
  <c r="F398" i="7"/>
  <c r="A399" i="7"/>
  <c r="C399" i="7" s="1"/>
  <c r="D399" i="7"/>
  <c r="E399" i="7"/>
  <c r="F399" i="7"/>
  <c r="G400" i="7"/>
  <c r="G405" i="7"/>
  <c r="A410" i="7"/>
  <c r="C410" i="7"/>
  <c r="D410" i="7"/>
  <c r="E410" i="7"/>
  <c r="F410" i="7"/>
  <c r="A411" i="7"/>
  <c r="C411" i="7"/>
  <c r="F411" i="7"/>
  <c r="A412" i="7"/>
  <c r="A413" i="7"/>
  <c r="C413" i="7" s="1"/>
  <c r="D413" i="7"/>
  <c r="E413" i="7"/>
  <c r="F413" i="7"/>
  <c r="A414" i="7"/>
  <c r="C414" i="7"/>
  <c r="D414" i="7"/>
  <c r="E414" i="7"/>
  <c r="F414" i="7"/>
  <c r="A415" i="7"/>
  <c r="A416" i="7"/>
  <c r="E416" i="7"/>
  <c r="A417" i="7"/>
  <c r="C417" i="7" s="1"/>
  <c r="D417" i="7"/>
  <c r="E417" i="7"/>
  <c r="F417" i="7"/>
  <c r="A418" i="7"/>
  <c r="C418" i="7"/>
  <c r="D418" i="7"/>
  <c r="E418" i="7"/>
  <c r="F418" i="7"/>
  <c r="A419" i="7"/>
  <c r="C419" i="7"/>
  <c r="A420" i="7"/>
  <c r="E420" i="7"/>
  <c r="F420" i="7"/>
  <c r="A421" i="7"/>
  <c r="C421" i="7" s="1"/>
  <c r="D421" i="7"/>
  <c r="E421" i="7"/>
  <c r="F421" i="7"/>
  <c r="A422" i="7"/>
  <c r="C422" i="7"/>
  <c r="D422" i="7"/>
  <c r="E422" i="7"/>
  <c r="F422" i="7"/>
  <c r="A423" i="7"/>
  <c r="C423" i="7"/>
  <c r="F423" i="7"/>
  <c r="A424" i="7"/>
  <c r="E424" i="7"/>
  <c r="F424" i="7"/>
  <c r="A425" i="7"/>
  <c r="C425" i="7" s="1"/>
  <c r="D425" i="7"/>
  <c r="E425" i="7"/>
  <c r="F425" i="7"/>
  <c r="A426" i="7"/>
  <c r="C426" i="7"/>
  <c r="D426" i="7"/>
  <c r="E426" i="7"/>
  <c r="F426" i="7"/>
  <c r="A427" i="7"/>
  <c r="C427" i="7"/>
  <c r="F427" i="7"/>
  <c r="A428" i="7"/>
  <c r="A429" i="7"/>
  <c r="C429" i="7" s="1"/>
  <c r="D429" i="7"/>
  <c r="E429" i="7"/>
  <c r="F429" i="7"/>
  <c r="A430" i="7"/>
  <c r="C430" i="7"/>
  <c r="D430" i="7"/>
  <c r="E430" i="7"/>
  <c r="F430" i="7"/>
  <c r="A431" i="7"/>
  <c r="E431" i="7" s="1"/>
  <c r="A432" i="7"/>
  <c r="D432" i="7" s="1"/>
  <c r="G433" i="7"/>
  <c r="G438" i="7"/>
  <c r="A443" i="7"/>
  <c r="C443" i="7" s="1"/>
  <c r="A444" i="7"/>
  <c r="C444" i="7"/>
  <c r="D444" i="7"/>
  <c r="E444" i="7"/>
  <c r="F444" i="7"/>
  <c r="A445" i="7"/>
  <c r="E445" i="7" s="1"/>
  <c r="C445" i="7"/>
  <c r="D445" i="7"/>
  <c r="F445" i="7"/>
  <c r="A446" i="7"/>
  <c r="D446" i="7" s="1"/>
  <c r="C446" i="7"/>
  <c r="E446" i="7"/>
  <c r="F446" i="7"/>
  <c r="A447" i="7"/>
  <c r="C447" i="7" s="1"/>
  <c r="D447" i="7"/>
  <c r="E447" i="7"/>
  <c r="F447" i="7"/>
  <c r="A448" i="7"/>
  <c r="C448" i="7"/>
  <c r="D448" i="7"/>
  <c r="E448" i="7"/>
  <c r="F448" i="7"/>
  <c r="A449" i="7"/>
  <c r="E449" i="7" s="1"/>
  <c r="C449" i="7"/>
  <c r="D449" i="7"/>
  <c r="A450" i="7"/>
  <c r="D450" i="7" s="1"/>
  <c r="C450" i="7"/>
  <c r="E450" i="7"/>
  <c r="A451" i="7"/>
  <c r="C451" i="7" s="1"/>
  <c r="D451" i="7"/>
  <c r="E451" i="7"/>
  <c r="A452" i="7"/>
  <c r="C452" i="7"/>
  <c r="D452" i="7"/>
  <c r="E452" i="7"/>
  <c r="F452" i="7"/>
  <c r="A453" i="7"/>
  <c r="E453" i="7" s="1"/>
  <c r="C453" i="7"/>
  <c r="A454" i="7"/>
  <c r="D454" i="7" s="1"/>
  <c r="C454" i="7"/>
  <c r="A455" i="7"/>
  <c r="C455" i="7" s="1"/>
  <c r="D455" i="7"/>
  <c r="A456" i="7"/>
  <c r="C456" i="7"/>
  <c r="D456" i="7"/>
  <c r="E456" i="7"/>
  <c r="F456" i="7"/>
  <c r="A457" i="7"/>
  <c r="E457" i="7" s="1"/>
  <c r="G458" i="7"/>
  <c r="G463" i="7"/>
  <c r="A468" i="7"/>
  <c r="D468" i="7" s="1"/>
  <c r="A469" i="7"/>
  <c r="C469" i="7" s="1"/>
  <c r="A470" i="7"/>
  <c r="C470" i="7"/>
  <c r="D470" i="7"/>
  <c r="E470" i="7"/>
  <c r="F470" i="7"/>
  <c r="A471" i="7"/>
  <c r="E471" i="7" s="1"/>
  <c r="C471" i="7"/>
  <c r="D471" i="7"/>
  <c r="F471" i="7"/>
  <c r="A472" i="7"/>
  <c r="D472" i="7" s="1"/>
  <c r="C472" i="7"/>
  <c r="E472" i="7"/>
  <c r="F472" i="7"/>
  <c r="A473" i="7"/>
  <c r="C473" i="7" s="1"/>
  <c r="D473" i="7"/>
  <c r="E473" i="7"/>
  <c r="F473" i="7"/>
  <c r="A474" i="7"/>
  <c r="C474" i="7"/>
  <c r="D474" i="7"/>
  <c r="E474" i="7"/>
  <c r="F474" i="7"/>
  <c r="A475" i="7"/>
  <c r="E475" i="7" s="1"/>
  <c r="C475" i="7"/>
  <c r="D475" i="7"/>
  <c r="A476" i="7"/>
  <c r="D476" i="7" s="1"/>
  <c r="C476" i="7"/>
  <c r="E476" i="7"/>
  <c r="A477" i="7"/>
  <c r="E477" i="7" s="1"/>
  <c r="C477" i="7"/>
  <c r="D477" i="7"/>
  <c r="F477" i="7"/>
  <c r="A478" i="7"/>
  <c r="D478" i="7" s="1"/>
  <c r="C478" i="7"/>
  <c r="F478" i="7"/>
  <c r="A479" i="7"/>
  <c r="C479" i="7" s="1"/>
  <c r="F479" i="7"/>
  <c r="A480" i="7"/>
  <c r="C480" i="7"/>
  <c r="D480" i="7"/>
  <c r="E480" i="7"/>
  <c r="F480" i="7"/>
  <c r="A481" i="7"/>
  <c r="E481" i="7" s="1"/>
  <c r="C481" i="7"/>
  <c r="D481" i="7"/>
  <c r="F481" i="7"/>
  <c r="A482" i="7"/>
  <c r="D482" i="7" s="1"/>
  <c r="C482" i="7"/>
  <c r="F482" i="7"/>
  <c r="G483" i="7"/>
  <c r="G488" i="7"/>
  <c r="A493" i="7"/>
  <c r="C493" i="7" s="1"/>
  <c r="F493" i="7"/>
  <c r="A494" i="7"/>
  <c r="C494" i="7"/>
  <c r="D494" i="7"/>
  <c r="E494" i="7"/>
  <c r="F494" i="7"/>
  <c r="A495" i="7"/>
  <c r="E495" i="7" s="1"/>
  <c r="C495" i="7"/>
  <c r="D495" i="7"/>
  <c r="F495" i="7"/>
  <c r="A496" i="7"/>
  <c r="D496" i="7" s="1"/>
  <c r="C496" i="7"/>
  <c r="F496" i="7"/>
  <c r="A497" i="7"/>
  <c r="C497" i="7" s="1"/>
  <c r="F497" i="7"/>
  <c r="A498" i="7"/>
  <c r="C498" i="7"/>
  <c r="D498" i="7"/>
  <c r="E498" i="7"/>
  <c r="F498" i="7"/>
  <c r="A499" i="7"/>
  <c r="E499" i="7" s="1"/>
  <c r="C499" i="7"/>
  <c r="D499" i="7"/>
  <c r="F499" i="7"/>
  <c r="A500" i="7"/>
  <c r="D500" i="7" s="1"/>
  <c r="C500" i="7"/>
  <c r="F500" i="7"/>
  <c r="A501" i="7"/>
  <c r="C501" i="7" s="1"/>
  <c r="F501" i="7"/>
  <c r="A502" i="7"/>
  <c r="C502" i="7"/>
  <c r="D502" i="7"/>
  <c r="E502" i="7"/>
  <c r="F502" i="7"/>
  <c r="A503" i="7"/>
  <c r="E503" i="7" s="1"/>
  <c r="C503" i="7"/>
  <c r="D503" i="7"/>
  <c r="F503" i="7"/>
  <c r="A504" i="7"/>
  <c r="D504" i="7" s="1"/>
  <c r="C504" i="7"/>
  <c r="F504" i="7"/>
  <c r="A505" i="7"/>
  <c r="C505" i="7" s="1"/>
  <c r="F505" i="7"/>
  <c r="A506" i="7"/>
  <c r="C506" i="7"/>
  <c r="D506" i="7"/>
  <c r="E506" i="7"/>
  <c r="F506" i="7"/>
  <c r="A507" i="7"/>
  <c r="E507" i="7" s="1"/>
  <c r="C507" i="7"/>
  <c r="D507" i="7"/>
  <c r="F507" i="7"/>
  <c r="G508" i="7"/>
  <c r="G513" i="7"/>
  <c r="A518" i="7"/>
  <c r="D518" i="7" s="1"/>
  <c r="C518" i="7"/>
  <c r="F518" i="7"/>
  <c r="A519" i="7"/>
  <c r="C519" i="7" s="1"/>
  <c r="F519" i="7"/>
  <c r="A520" i="7"/>
  <c r="C520" i="7"/>
  <c r="D520" i="7"/>
  <c r="E520" i="7"/>
  <c r="F520" i="7"/>
  <c r="A521" i="7"/>
  <c r="E521" i="7" s="1"/>
  <c r="C521" i="7"/>
  <c r="D521" i="7"/>
  <c r="F521" i="7"/>
  <c r="A522" i="7"/>
  <c r="D522" i="7" s="1"/>
  <c r="C522" i="7"/>
  <c r="F522" i="7"/>
  <c r="A523" i="7"/>
  <c r="C523" i="7" s="1"/>
  <c r="F523" i="7"/>
  <c r="A524" i="7"/>
  <c r="C524" i="7"/>
  <c r="D524" i="7"/>
  <c r="E524" i="7"/>
  <c r="F524" i="7"/>
  <c r="A525" i="7"/>
  <c r="E525" i="7" s="1"/>
  <c r="C525" i="7"/>
  <c r="D525" i="7"/>
  <c r="F525" i="7"/>
  <c r="A526" i="7"/>
  <c r="D526" i="7" s="1"/>
  <c r="C526" i="7"/>
  <c r="F526" i="7"/>
  <c r="A527" i="7"/>
  <c r="C527" i="7" s="1"/>
  <c r="F527" i="7"/>
  <c r="A528" i="7"/>
  <c r="C528" i="7"/>
  <c r="D528" i="7"/>
  <c r="E528" i="7"/>
  <c r="F528" i="7"/>
  <c r="A529" i="7"/>
  <c r="E529" i="7" s="1"/>
  <c r="C529" i="7"/>
  <c r="D529" i="7"/>
  <c r="F529" i="7"/>
  <c r="A530" i="7"/>
  <c r="D530" i="7" s="1"/>
  <c r="C530" i="7"/>
  <c r="F530" i="7"/>
  <c r="A531" i="7"/>
  <c r="C531" i="7" s="1"/>
  <c r="F531" i="7"/>
  <c r="A532" i="7"/>
  <c r="C532" i="7"/>
  <c r="D532" i="7"/>
  <c r="E532" i="7"/>
  <c r="F532" i="7"/>
  <c r="A533" i="7"/>
  <c r="E533" i="7" s="1"/>
  <c r="C533" i="7"/>
  <c r="D533" i="7"/>
  <c r="F533" i="7"/>
  <c r="A534" i="7"/>
  <c r="D534" i="7" s="1"/>
  <c r="C534" i="7"/>
  <c r="F534" i="7"/>
  <c r="A535" i="7"/>
  <c r="C535" i="7" s="1"/>
  <c r="F535" i="7"/>
  <c r="A536" i="7"/>
  <c r="C536" i="7"/>
  <c r="D536" i="7"/>
  <c r="E536" i="7"/>
  <c r="F536" i="7"/>
  <c r="A537" i="7"/>
  <c r="E537" i="7" s="1"/>
  <c r="C537" i="7"/>
  <c r="D537" i="7"/>
  <c r="F537" i="7"/>
  <c r="A538" i="7"/>
  <c r="D538" i="7" s="1"/>
  <c r="C538" i="7"/>
  <c r="F538" i="7"/>
  <c r="A539" i="7"/>
  <c r="C539" i="7" s="1"/>
  <c r="F539" i="7"/>
  <c r="A540" i="7"/>
  <c r="C540" i="7"/>
  <c r="D540" i="7"/>
  <c r="E540" i="7"/>
  <c r="F540" i="7"/>
  <c r="G541" i="7"/>
  <c r="G546" i="7"/>
  <c r="A551" i="7"/>
  <c r="E551" i="7" s="1"/>
  <c r="C551" i="7"/>
  <c r="D551" i="7"/>
  <c r="F551" i="7"/>
  <c r="A552" i="7"/>
  <c r="D552" i="7" s="1"/>
  <c r="C552" i="7"/>
  <c r="F552" i="7"/>
  <c r="A553" i="7"/>
  <c r="C553" i="7" s="1"/>
  <c r="F553" i="7"/>
  <c r="A554" i="7"/>
  <c r="C554" i="7"/>
  <c r="D554" i="7"/>
  <c r="E554" i="7"/>
  <c r="F554" i="7"/>
  <c r="A555" i="7"/>
  <c r="E555" i="7" s="1"/>
  <c r="C555" i="7"/>
  <c r="D555" i="7"/>
  <c r="F555" i="7"/>
  <c r="A556" i="7"/>
  <c r="D556" i="7" s="1"/>
  <c r="C556" i="7"/>
  <c r="F556" i="7"/>
  <c r="A557" i="7"/>
  <c r="C557" i="7" s="1"/>
  <c r="F557" i="7"/>
  <c r="A558" i="7"/>
  <c r="C558" i="7"/>
  <c r="D558" i="7"/>
  <c r="E558" i="7"/>
  <c r="F558" i="7"/>
  <c r="A559" i="7"/>
  <c r="E559" i="7" s="1"/>
  <c r="C559" i="7"/>
  <c r="D559" i="7"/>
  <c r="F559" i="7"/>
  <c r="A560" i="7"/>
  <c r="D560" i="7" s="1"/>
  <c r="C560" i="7"/>
  <c r="F560" i="7"/>
  <c r="A561" i="7"/>
  <c r="F561" i="7"/>
  <c r="A562" i="7"/>
  <c r="C562" i="7"/>
  <c r="D562" i="7"/>
  <c r="E562" i="7"/>
  <c r="F562" i="7"/>
  <c r="A563" i="7"/>
  <c r="E563" i="7" s="1"/>
  <c r="C563" i="7"/>
  <c r="D563" i="7"/>
  <c r="F563" i="7"/>
  <c r="A564" i="7"/>
  <c r="D564" i="7" s="1"/>
  <c r="C564" i="7"/>
  <c r="F564" i="7"/>
  <c r="A565" i="7"/>
  <c r="F565" i="7"/>
  <c r="A566" i="7"/>
  <c r="C566" i="7"/>
  <c r="D566" i="7"/>
  <c r="E566" i="7"/>
  <c r="F566" i="7"/>
  <c r="A567" i="7"/>
  <c r="E567" i="7" s="1"/>
  <c r="C567" i="7"/>
  <c r="D567" i="7"/>
  <c r="F567" i="7"/>
  <c r="A568" i="7"/>
  <c r="D568" i="7" s="1"/>
  <c r="C568" i="7"/>
  <c r="F568" i="7"/>
  <c r="A569" i="7"/>
  <c r="F569" i="7"/>
  <c r="A570" i="7"/>
  <c r="C570" i="7"/>
  <c r="D570" i="7"/>
  <c r="E570" i="7"/>
  <c r="F570" i="7"/>
  <c r="G571" i="7"/>
  <c r="G576" i="7"/>
  <c r="A581" i="7"/>
  <c r="E581" i="7" s="1"/>
  <c r="C581" i="7"/>
  <c r="D581" i="7"/>
  <c r="F581" i="7"/>
  <c r="A582" i="7"/>
  <c r="D582" i="7" s="1"/>
  <c r="C582" i="7"/>
  <c r="F582" i="7"/>
  <c r="A583" i="7"/>
  <c r="F583" i="7"/>
  <c r="A584" i="7"/>
  <c r="C584" i="7"/>
  <c r="D584" i="7"/>
  <c r="E584" i="7"/>
  <c r="F584" i="7"/>
  <c r="A585" i="7"/>
  <c r="E585" i="7" s="1"/>
  <c r="C585" i="7"/>
  <c r="D585" i="7"/>
  <c r="F585" i="7"/>
  <c r="A586" i="7"/>
  <c r="D586" i="7" s="1"/>
  <c r="C586" i="7"/>
  <c r="F586" i="7"/>
  <c r="A587" i="7"/>
  <c r="F587" i="7"/>
  <c r="A588" i="7"/>
  <c r="C588" i="7"/>
  <c r="D588" i="7"/>
  <c r="E588" i="7"/>
  <c r="F588" i="7"/>
  <c r="A589" i="7"/>
  <c r="E589" i="7" s="1"/>
  <c r="C589" i="7"/>
  <c r="D589" i="7"/>
  <c r="F589" i="7"/>
  <c r="A590" i="7"/>
  <c r="D590" i="7" s="1"/>
  <c r="C590" i="7"/>
  <c r="F590" i="7"/>
  <c r="A591" i="7"/>
  <c r="F591" i="7"/>
  <c r="A592" i="7"/>
  <c r="C592" i="7"/>
  <c r="D592" i="7"/>
  <c r="E592" i="7"/>
  <c r="F592" i="7"/>
  <c r="A593" i="7"/>
  <c r="E593" i="7" s="1"/>
  <c r="C593" i="7"/>
  <c r="D593" i="7"/>
  <c r="F593" i="7"/>
  <c r="A594" i="7"/>
  <c r="D594" i="7" s="1"/>
  <c r="C594" i="7"/>
  <c r="F594" i="7"/>
  <c r="A595" i="7"/>
  <c r="F595" i="7"/>
  <c r="A596" i="7"/>
  <c r="C596" i="7"/>
  <c r="D596" i="7"/>
  <c r="E596" i="7"/>
  <c r="F596" i="7"/>
  <c r="A597" i="7"/>
  <c r="E597" i="7" s="1"/>
  <c r="C597" i="7"/>
  <c r="D597" i="7"/>
  <c r="F597" i="7"/>
  <c r="A598" i="7"/>
  <c r="D598" i="7" s="1"/>
  <c r="C598" i="7"/>
  <c r="F598" i="7"/>
  <c r="A599" i="7"/>
  <c r="F599" i="7"/>
  <c r="A600" i="7"/>
  <c r="C600" i="7"/>
  <c r="D600" i="7"/>
  <c r="E600" i="7"/>
  <c r="F600" i="7"/>
  <c r="A601" i="7"/>
  <c r="E601" i="7" s="1"/>
  <c r="C601" i="7"/>
  <c r="D601" i="7"/>
  <c r="F601" i="7"/>
  <c r="A602" i="7"/>
  <c r="D602" i="7" s="1"/>
  <c r="C602" i="7"/>
  <c r="F602" i="7"/>
  <c r="A603" i="7"/>
  <c r="F603" i="7"/>
  <c r="G604" i="7"/>
  <c r="A614" i="7"/>
  <c r="A615" i="7"/>
  <c r="C615" i="7"/>
  <c r="D615" i="7"/>
  <c r="E615" i="7"/>
  <c r="F615" i="7"/>
  <c r="A616" i="7"/>
  <c r="E616" i="7" s="1"/>
  <c r="C616" i="7"/>
  <c r="D616" i="7"/>
  <c r="F616" i="7"/>
  <c r="A617" i="7"/>
  <c r="D617" i="7" s="1"/>
  <c r="C617" i="7"/>
  <c r="F617" i="7"/>
  <c r="A618" i="7"/>
  <c r="F618" i="7" s="1"/>
  <c r="A619" i="7"/>
  <c r="C619" i="7"/>
  <c r="D619" i="7"/>
  <c r="E619" i="7"/>
  <c r="F619" i="7"/>
  <c r="A620" i="7"/>
  <c r="E620" i="7" s="1"/>
  <c r="C620" i="7"/>
  <c r="D620" i="7"/>
  <c r="F620" i="7"/>
  <c r="A621" i="7"/>
  <c r="C621" i="7"/>
  <c r="F621" i="7"/>
  <c r="A622" i="7"/>
  <c r="A623" i="7"/>
  <c r="C623" i="7"/>
  <c r="D623" i="7"/>
  <c r="E623" i="7"/>
  <c r="F623" i="7"/>
  <c r="A624" i="7"/>
  <c r="E624" i="7" s="1"/>
  <c r="C624" i="7"/>
  <c r="D624" i="7"/>
  <c r="F624" i="7"/>
  <c r="A625" i="7"/>
  <c r="A626" i="7"/>
  <c r="E626" i="7"/>
  <c r="A627" i="7"/>
  <c r="C627" i="7"/>
  <c r="D627" i="7"/>
  <c r="E627" i="7"/>
  <c r="F627" i="7"/>
  <c r="A628" i="7"/>
  <c r="E628" i="7" s="1"/>
  <c r="C628" i="7"/>
  <c r="D628" i="7"/>
  <c r="F628" i="7"/>
  <c r="A629" i="7"/>
  <c r="C629" i="7"/>
  <c r="A630" i="7"/>
  <c r="E630" i="7" s="1"/>
  <c r="F630" i="7"/>
  <c r="A631" i="7"/>
  <c r="C631" i="7"/>
  <c r="D631" i="7"/>
  <c r="E631" i="7"/>
  <c r="F631" i="7"/>
  <c r="A632" i="7"/>
  <c r="E632" i="7" s="1"/>
  <c r="C632" i="7"/>
  <c r="D632" i="7"/>
  <c r="F632" i="7"/>
  <c r="A633" i="7"/>
  <c r="C633" i="7" s="1"/>
  <c r="F633" i="7"/>
  <c r="A634" i="7"/>
  <c r="E634" i="7"/>
  <c r="F634" i="7"/>
  <c r="A635" i="7"/>
  <c r="C635" i="7"/>
  <c r="D635" i="7"/>
  <c r="E635" i="7"/>
  <c r="F635" i="7"/>
  <c r="A636" i="7"/>
  <c r="E636" i="7" s="1"/>
  <c r="C636" i="7"/>
  <c r="D636" i="7"/>
  <c r="F636" i="7"/>
  <c r="A637" i="7"/>
  <c r="C637" i="7"/>
  <c r="F637" i="7"/>
  <c r="A638" i="7"/>
  <c r="A639" i="7"/>
  <c r="C639" i="7"/>
  <c r="D639" i="7"/>
  <c r="E639" i="7"/>
  <c r="F639" i="7"/>
  <c r="A640" i="7"/>
  <c r="E640" i="7" s="1"/>
  <c r="C640" i="7"/>
  <c r="D640" i="7"/>
  <c r="F640" i="7"/>
  <c r="A641" i="7"/>
  <c r="A642" i="7"/>
  <c r="E642" i="7"/>
  <c r="A643" i="7"/>
  <c r="C643" i="7"/>
  <c r="D643" i="7"/>
  <c r="E643" i="7"/>
  <c r="F643" i="7"/>
  <c r="G644" i="7"/>
  <c r="G649" i="7"/>
  <c r="A654" i="7"/>
  <c r="E654" i="7" s="1"/>
  <c r="C654" i="7"/>
  <c r="D654" i="7"/>
  <c r="F654" i="7"/>
  <c r="A655" i="7"/>
  <c r="C655" i="7"/>
  <c r="F655" i="7"/>
  <c r="A656" i="7"/>
  <c r="A657" i="7"/>
  <c r="C657" i="7"/>
  <c r="D657" i="7"/>
  <c r="E657" i="7"/>
  <c r="F657" i="7"/>
  <c r="A658" i="7"/>
  <c r="E658" i="7" s="1"/>
  <c r="C658" i="7"/>
  <c r="D658" i="7"/>
  <c r="F658" i="7"/>
  <c r="A659" i="7"/>
  <c r="A660" i="7"/>
  <c r="E660" i="7"/>
  <c r="A661" i="7"/>
  <c r="C661" i="7"/>
  <c r="D661" i="7"/>
  <c r="E661" i="7"/>
  <c r="F661" i="7"/>
  <c r="A662" i="7"/>
  <c r="E662" i="7" s="1"/>
  <c r="C662" i="7"/>
  <c r="D662" i="7"/>
  <c r="F662" i="7"/>
  <c r="A663" i="7"/>
  <c r="C663" i="7"/>
  <c r="F663" i="7"/>
  <c r="A664" i="7"/>
  <c r="E664" i="7" s="1"/>
  <c r="F664" i="7"/>
  <c r="A665" i="7"/>
  <c r="C665" i="7"/>
  <c r="D665" i="7"/>
  <c r="E665" i="7"/>
  <c r="F665" i="7"/>
  <c r="A666" i="7"/>
  <c r="E666" i="7" s="1"/>
  <c r="C666" i="7"/>
  <c r="D666" i="7"/>
  <c r="F666" i="7"/>
  <c r="A667" i="7"/>
  <c r="D667" i="7" s="1"/>
  <c r="E667" i="7"/>
  <c r="A668" i="7"/>
  <c r="C668" i="7" s="1"/>
  <c r="E668" i="7"/>
  <c r="G669" i="7"/>
  <c r="G674" i="7"/>
  <c r="A679" i="7"/>
  <c r="C679" i="7"/>
  <c r="D679" i="7"/>
  <c r="E679" i="7"/>
  <c r="F679" i="7"/>
  <c r="A680" i="7"/>
  <c r="E680" i="7" s="1"/>
  <c r="D680" i="7"/>
  <c r="A681" i="7"/>
  <c r="D681" i="7" s="1"/>
  <c r="E681" i="7"/>
  <c r="A682" i="7"/>
  <c r="C682" i="7" s="1"/>
  <c r="E682" i="7"/>
  <c r="A683" i="7"/>
  <c r="C683" i="7"/>
  <c r="D683" i="7"/>
  <c r="E683" i="7"/>
  <c r="F683" i="7"/>
  <c r="A684" i="7"/>
  <c r="E684" i="7" s="1"/>
  <c r="C684" i="7"/>
  <c r="F684" i="7"/>
  <c r="A685" i="7"/>
  <c r="D685" i="7" s="1"/>
  <c r="C685" i="7"/>
  <c r="F685" i="7"/>
  <c r="A686" i="7"/>
  <c r="C686" i="7" s="1"/>
  <c r="D686" i="7"/>
  <c r="F686" i="7"/>
  <c r="A687" i="7"/>
  <c r="C687" i="7"/>
  <c r="D687" i="7"/>
  <c r="E687" i="7"/>
  <c r="F687" i="7"/>
  <c r="A688" i="7"/>
  <c r="A689" i="7"/>
  <c r="A690" i="7"/>
  <c r="A691" i="7"/>
  <c r="C691" i="7"/>
  <c r="D691" i="7"/>
  <c r="E691" i="7"/>
  <c r="F691" i="7"/>
  <c r="A692" i="7"/>
  <c r="E692" i="7" s="1"/>
  <c r="C692" i="7"/>
  <c r="D692" i="7"/>
  <c r="F692" i="7"/>
  <c r="A693" i="7"/>
  <c r="D693" i="7" s="1"/>
  <c r="C693" i="7"/>
  <c r="E693" i="7"/>
  <c r="F693" i="7"/>
  <c r="G694" i="7"/>
  <c r="G699" i="7"/>
  <c r="A704" i="7"/>
  <c r="C704" i="7" s="1"/>
  <c r="D704" i="7"/>
  <c r="E704" i="7"/>
  <c r="F704" i="7"/>
  <c r="A705" i="7"/>
  <c r="C705" i="7"/>
  <c r="D705" i="7"/>
  <c r="E705" i="7"/>
  <c r="F705" i="7"/>
  <c r="A706" i="7"/>
  <c r="E706" i="7" s="1"/>
  <c r="D706" i="7"/>
  <c r="A707" i="7"/>
  <c r="D707" i="7" s="1"/>
  <c r="E707" i="7"/>
  <c r="A708" i="7"/>
  <c r="C708" i="7" s="1"/>
  <c r="E708" i="7"/>
  <c r="A709" i="7"/>
  <c r="C709" i="7"/>
  <c r="D709" i="7"/>
  <c r="E709" i="7"/>
  <c r="F709" i="7"/>
  <c r="A710" i="7"/>
  <c r="E710" i="7" s="1"/>
  <c r="C710" i="7"/>
  <c r="F710" i="7"/>
  <c r="A711" i="7"/>
  <c r="D711" i="7" s="1"/>
  <c r="C711" i="7"/>
  <c r="F711" i="7"/>
  <c r="A712" i="7"/>
  <c r="C712" i="7" s="1"/>
  <c r="D712" i="7"/>
  <c r="F712" i="7"/>
  <c r="A713" i="7"/>
  <c r="C713" i="7"/>
  <c r="D713" i="7"/>
  <c r="E713" i="7"/>
  <c r="F713" i="7"/>
  <c r="A714" i="7"/>
  <c r="A715" i="7"/>
  <c r="A716" i="7"/>
  <c r="A717" i="7"/>
  <c r="C717" i="7"/>
  <c r="D717" i="7"/>
  <c r="E717" i="7"/>
  <c r="F717" i="7"/>
  <c r="A718" i="7"/>
  <c r="E718" i="7" s="1"/>
  <c r="C718" i="7"/>
  <c r="D718" i="7"/>
  <c r="F718" i="7"/>
  <c r="G719" i="7"/>
  <c r="G724" i="7"/>
  <c r="A729" i="7"/>
  <c r="D729" i="7" s="1"/>
  <c r="C729" i="7"/>
  <c r="E729" i="7"/>
  <c r="F729" i="7"/>
  <c r="A730" i="7"/>
  <c r="C730" i="7" s="1"/>
  <c r="D730" i="7"/>
  <c r="E730" i="7"/>
  <c r="F730" i="7"/>
  <c r="A731" i="7"/>
  <c r="C731" i="7"/>
  <c r="D731" i="7"/>
  <c r="E731" i="7"/>
  <c r="F731" i="7"/>
  <c r="A732" i="7"/>
  <c r="E732" i="7" s="1"/>
  <c r="D732" i="7"/>
  <c r="A733" i="7"/>
  <c r="D733" i="7" s="1"/>
  <c r="E733" i="7"/>
  <c r="A734" i="7"/>
  <c r="C734" i="7" s="1"/>
  <c r="E734" i="7"/>
  <c r="A735" i="7"/>
  <c r="C735" i="7"/>
  <c r="D735" i="7"/>
  <c r="E735" i="7"/>
  <c r="F735" i="7"/>
  <c r="A736" i="7"/>
  <c r="E736" i="7" s="1"/>
  <c r="C736" i="7"/>
  <c r="F736" i="7"/>
  <c r="A737" i="7"/>
  <c r="D737" i="7" s="1"/>
  <c r="C737" i="7"/>
  <c r="F737" i="7"/>
  <c r="A738" i="7"/>
  <c r="C738" i="7" s="1"/>
  <c r="D738" i="7"/>
  <c r="F738" i="7"/>
  <c r="A739" i="7"/>
  <c r="C739" i="7"/>
  <c r="D739" i="7"/>
  <c r="E739" i="7"/>
  <c r="F739" i="7"/>
  <c r="A740" i="7"/>
  <c r="A741" i="7"/>
  <c r="A742" i="7"/>
  <c r="A743" i="7"/>
  <c r="C743" i="7"/>
  <c r="D743" i="7"/>
  <c r="E743" i="7"/>
  <c r="F743" i="7"/>
  <c r="A744" i="7"/>
  <c r="E744" i="7" s="1"/>
  <c r="C744" i="7"/>
  <c r="D744" i="7"/>
  <c r="F744" i="7"/>
  <c r="A745" i="7"/>
  <c r="D745" i="7" s="1"/>
  <c r="C745" i="7"/>
  <c r="E745" i="7"/>
  <c r="F745" i="7"/>
  <c r="A746" i="7"/>
  <c r="C746" i="7" s="1"/>
  <c r="D746" i="7"/>
  <c r="E746" i="7"/>
  <c r="F746" i="7"/>
  <c r="A747" i="7"/>
  <c r="C747" i="7"/>
  <c r="D747" i="7"/>
  <c r="E747" i="7"/>
  <c r="F747" i="7"/>
  <c r="A748" i="7"/>
  <c r="E748" i="7" s="1"/>
  <c r="D748" i="7"/>
  <c r="A749" i="7"/>
  <c r="D749" i="7" s="1"/>
  <c r="E749" i="7"/>
  <c r="A750" i="7"/>
  <c r="C750" i="7" s="1"/>
  <c r="E750" i="7"/>
  <c r="A751" i="7"/>
  <c r="C751" i="7"/>
  <c r="D751" i="7"/>
  <c r="E751" i="7"/>
  <c r="F751" i="7"/>
  <c r="A752" i="7"/>
  <c r="E752" i="7" s="1"/>
  <c r="C752" i="7"/>
  <c r="F752" i="7"/>
  <c r="A753" i="7"/>
  <c r="D753" i="7" s="1"/>
  <c r="C753" i="7"/>
  <c r="F753" i="7"/>
  <c r="G754" i="7"/>
  <c r="G759" i="7"/>
  <c r="A764" i="7"/>
  <c r="C764" i="7" s="1"/>
  <c r="D764" i="7"/>
  <c r="F764" i="7"/>
  <c r="A765" i="7"/>
  <c r="C765" i="7"/>
  <c r="D765" i="7"/>
  <c r="E765" i="7"/>
  <c r="F765" i="7"/>
  <c r="A766" i="7"/>
  <c r="A767" i="7"/>
  <c r="F767" i="7"/>
  <c r="A768" i="7"/>
  <c r="C768" i="7"/>
  <c r="D768" i="7"/>
  <c r="E768" i="7"/>
  <c r="F768" i="7"/>
  <c r="A769" i="7"/>
  <c r="E769" i="7" s="1"/>
  <c r="D769" i="7"/>
  <c r="F769" i="7"/>
  <c r="A770" i="7"/>
  <c r="D770" i="7" s="1"/>
  <c r="C770" i="7"/>
  <c r="E770" i="7"/>
  <c r="F770" i="7"/>
  <c r="A771" i="7"/>
  <c r="F771" i="7"/>
  <c r="A772" i="7"/>
  <c r="C772" i="7"/>
  <c r="D772" i="7"/>
  <c r="E772" i="7"/>
  <c r="F772" i="7"/>
  <c r="A773" i="7"/>
  <c r="E773" i="7" s="1"/>
  <c r="D773" i="7"/>
  <c r="F773" i="7"/>
  <c r="A774" i="7"/>
  <c r="D774" i="7" s="1"/>
  <c r="C774" i="7"/>
  <c r="E774" i="7"/>
  <c r="F774" i="7"/>
  <c r="A775" i="7"/>
  <c r="F775" i="7"/>
  <c r="A776" i="7"/>
  <c r="C776" i="7"/>
  <c r="D776" i="7"/>
  <c r="E776" i="7"/>
  <c r="F776" i="7"/>
  <c r="A777" i="7"/>
  <c r="E777" i="7" s="1"/>
  <c r="D777" i="7"/>
  <c r="F777" i="7"/>
  <c r="A778" i="7"/>
  <c r="D778" i="7" s="1"/>
  <c r="C778" i="7"/>
  <c r="E778" i="7"/>
  <c r="F778" i="7"/>
  <c r="G779" i="7"/>
  <c r="G784" i="7"/>
  <c r="A789" i="7"/>
  <c r="F789" i="7" s="1"/>
  <c r="A790" i="7"/>
  <c r="C790" i="7"/>
  <c r="D790" i="7"/>
  <c r="E790" i="7"/>
  <c r="F790" i="7"/>
  <c r="A791" i="7"/>
  <c r="E791" i="7" s="1"/>
  <c r="D791" i="7"/>
  <c r="F791" i="7"/>
  <c r="A792" i="7"/>
  <c r="D792" i="7" s="1"/>
  <c r="C792" i="7"/>
  <c r="E792" i="7"/>
  <c r="F792" i="7"/>
  <c r="A793" i="7"/>
  <c r="A794" i="7"/>
  <c r="C794" i="7"/>
  <c r="D794" i="7"/>
  <c r="E794" i="7"/>
  <c r="F794" i="7"/>
  <c r="A795" i="7"/>
  <c r="E795" i="7" s="1"/>
  <c r="D795" i="7"/>
  <c r="F795" i="7"/>
  <c r="A796" i="7"/>
  <c r="D796" i="7" s="1"/>
  <c r="C796" i="7"/>
  <c r="E796" i="7"/>
  <c r="F796" i="7"/>
  <c r="A797" i="7"/>
  <c r="F797" i="7" s="1"/>
  <c r="A798" i="7"/>
  <c r="C798" i="7"/>
  <c r="D798" i="7"/>
  <c r="E798" i="7"/>
  <c r="F798" i="7"/>
  <c r="A799" i="7"/>
  <c r="E799" i="7" s="1"/>
  <c r="D799" i="7"/>
  <c r="F799" i="7"/>
  <c r="A800" i="7"/>
  <c r="D800" i="7" s="1"/>
  <c r="C800" i="7"/>
  <c r="E800" i="7"/>
  <c r="F800" i="7"/>
  <c r="A801" i="7"/>
  <c r="A802" i="7"/>
  <c r="C802" i="7"/>
  <c r="D802" i="7"/>
  <c r="E802" i="7"/>
  <c r="F802" i="7"/>
  <c r="A803" i="7"/>
  <c r="E803" i="7" s="1"/>
  <c r="D803" i="7"/>
  <c r="F803" i="7"/>
  <c r="A804" i="7"/>
  <c r="D804" i="7" s="1"/>
  <c r="C804" i="7"/>
  <c r="E804" i="7"/>
  <c r="F804" i="7"/>
  <c r="A805" i="7"/>
  <c r="F805" i="7"/>
  <c r="A806" i="7"/>
  <c r="C806" i="7"/>
  <c r="D806" i="7"/>
  <c r="E806" i="7"/>
  <c r="F806" i="7"/>
  <c r="A807" i="7"/>
  <c r="E807" i="7" s="1"/>
  <c r="D807" i="7"/>
  <c r="F807" i="7"/>
  <c r="A808" i="7"/>
  <c r="D808" i="7" s="1"/>
  <c r="C808" i="7"/>
  <c r="E808" i="7"/>
  <c r="F808" i="7"/>
  <c r="A809" i="7"/>
  <c r="A810" i="7"/>
  <c r="C810" i="7"/>
  <c r="D810" i="7"/>
  <c r="E810" i="7"/>
  <c r="F810" i="7"/>
  <c r="A811" i="7"/>
  <c r="E811" i="7" s="1"/>
  <c r="D811" i="7"/>
  <c r="F811" i="7"/>
  <c r="A812" i="7"/>
  <c r="D812" i="7" s="1"/>
  <c r="C812" i="7"/>
  <c r="E812" i="7"/>
  <c r="F812" i="7"/>
  <c r="G813" i="7"/>
  <c r="G818" i="7"/>
  <c r="A823" i="7"/>
  <c r="D823" i="7" s="1"/>
  <c r="A824" i="7"/>
  <c r="C824" i="7"/>
  <c r="D824" i="7"/>
  <c r="E824" i="7"/>
  <c r="F824" i="7"/>
  <c r="A825" i="7"/>
  <c r="D825" i="7" s="1"/>
  <c r="A826" i="7"/>
  <c r="D826" i="7" s="1"/>
  <c r="C826" i="7"/>
  <c r="E826" i="7"/>
  <c r="F826" i="7"/>
  <c r="A827" i="7"/>
  <c r="A828" i="7"/>
  <c r="C828" i="7"/>
  <c r="D828" i="7"/>
  <c r="E828" i="7"/>
  <c r="F828" i="7"/>
  <c r="A829" i="7"/>
  <c r="A830" i="7"/>
  <c r="D830" i="7" s="1"/>
  <c r="C830" i="7"/>
  <c r="E830" i="7"/>
  <c r="F830" i="7"/>
  <c r="A831" i="7"/>
  <c r="D831" i="7"/>
  <c r="F831" i="7"/>
  <c r="A832" i="7"/>
  <c r="C832" i="7"/>
  <c r="D832" i="7"/>
  <c r="E832" i="7"/>
  <c r="F832" i="7"/>
  <c r="A833" i="7"/>
  <c r="D833" i="7"/>
  <c r="F833" i="7"/>
  <c r="A834" i="7"/>
  <c r="D834" i="7" s="1"/>
  <c r="C834" i="7"/>
  <c r="E834" i="7"/>
  <c r="F834" i="7"/>
  <c r="A835" i="7"/>
  <c r="D835" i="7"/>
  <c r="F835" i="7"/>
  <c r="A836" i="7"/>
  <c r="C836" i="7"/>
  <c r="D836" i="7"/>
  <c r="E836" i="7"/>
  <c r="F836" i="7"/>
  <c r="A837" i="7"/>
  <c r="D837" i="7"/>
  <c r="F837" i="7"/>
  <c r="G838" i="7"/>
  <c r="G843" i="7"/>
  <c r="A848" i="7"/>
  <c r="D848" i="7" s="1"/>
  <c r="C848" i="7"/>
  <c r="E848" i="7"/>
  <c r="F848" i="7"/>
  <c r="A849" i="7"/>
  <c r="A850" i="7"/>
  <c r="C850" i="7"/>
  <c r="D850" i="7"/>
  <c r="E850" i="7"/>
  <c r="F850" i="7"/>
  <c r="A851" i="7"/>
  <c r="A852" i="7"/>
  <c r="D852" i="7" s="1"/>
  <c r="C852" i="7"/>
  <c r="E852" i="7"/>
  <c r="F852" i="7"/>
  <c r="A853" i="7"/>
  <c r="D853" i="7"/>
  <c r="F853" i="7"/>
  <c r="A854" i="7"/>
  <c r="C854" i="7"/>
  <c r="D854" i="7"/>
  <c r="E854" i="7"/>
  <c r="F854" i="7"/>
  <c r="A855" i="7"/>
  <c r="D855" i="7"/>
  <c r="F855" i="7"/>
  <c r="A856" i="7"/>
  <c r="D856" i="7" s="1"/>
  <c r="C856" i="7"/>
  <c r="E856" i="7"/>
  <c r="F856" i="7"/>
  <c r="A857" i="7"/>
  <c r="D857" i="7"/>
  <c r="F857" i="7"/>
  <c r="A858" i="7"/>
  <c r="C858" i="7"/>
  <c r="D858" i="7"/>
  <c r="E858" i="7"/>
  <c r="F858" i="7"/>
  <c r="A859" i="7"/>
  <c r="D859" i="7"/>
  <c r="F859" i="7"/>
  <c r="A860" i="7"/>
  <c r="D860" i="7" s="1"/>
  <c r="C860" i="7"/>
  <c r="E860" i="7"/>
  <c r="F860" i="7"/>
  <c r="A861" i="7"/>
  <c r="D861" i="7" s="1"/>
  <c r="A862" i="7"/>
  <c r="C862" i="7"/>
  <c r="D862" i="7"/>
  <c r="E862" i="7"/>
  <c r="F862" i="7"/>
  <c r="A863" i="7"/>
  <c r="D863" i="7" s="1"/>
  <c r="A864" i="7"/>
  <c r="D864" i="7" s="1"/>
  <c r="C864" i="7"/>
  <c r="E864" i="7"/>
  <c r="F864" i="7"/>
  <c r="A865" i="7"/>
  <c r="A866" i="7"/>
  <c r="C866" i="7"/>
  <c r="D866" i="7"/>
  <c r="E866" i="7"/>
  <c r="F866" i="7"/>
  <c r="A867" i="7"/>
  <c r="A868" i="7"/>
  <c r="D868" i="7" s="1"/>
  <c r="C868" i="7"/>
  <c r="E868" i="7"/>
  <c r="F868" i="7"/>
  <c r="A869" i="7"/>
  <c r="D869" i="7"/>
  <c r="F869" i="7"/>
  <c r="A870" i="7"/>
  <c r="C870" i="7"/>
  <c r="D870" i="7"/>
  <c r="E870" i="7"/>
  <c r="F870" i="7"/>
  <c r="A871" i="7"/>
  <c r="D871" i="7"/>
  <c r="F871" i="7"/>
  <c r="A872" i="7"/>
  <c r="D872" i="7" s="1"/>
  <c r="C872" i="7"/>
  <c r="E872" i="7"/>
  <c r="F872" i="7"/>
  <c r="A873" i="7"/>
  <c r="D873" i="7"/>
  <c r="F873" i="7"/>
  <c r="A874" i="7"/>
  <c r="C874" i="7"/>
  <c r="D874" i="7"/>
  <c r="E874" i="7"/>
  <c r="F874" i="7"/>
  <c r="A875" i="7"/>
  <c r="D875" i="7"/>
  <c r="F875" i="7"/>
  <c r="A876" i="7"/>
  <c r="D876" i="7" s="1"/>
  <c r="C876" i="7"/>
  <c r="E876" i="7"/>
  <c r="F876" i="7"/>
  <c r="A877" i="7"/>
  <c r="D877" i="7" s="1"/>
  <c r="A878" i="7"/>
  <c r="C878" i="7"/>
  <c r="D878" i="7"/>
  <c r="E878" i="7"/>
  <c r="F878" i="7"/>
  <c r="A879" i="7"/>
  <c r="D879" i="7" s="1"/>
  <c r="G880" i="7"/>
  <c r="G885" i="7"/>
  <c r="A890" i="7"/>
  <c r="D890" i="7" s="1"/>
  <c r="C890" i="7"/>
  <c r="E890" i="7"/>
  <c r="F890" i="7"/>
  <c r="A891" i="7"/>
  <c r="D891" i="7"/>
  <c r="F891" i="7"/>
  <c r="A892" i="7"/>
  <c r="C892" i="7"/>
  <c r="D892" i="7"/>
  <c r="E892" i="7"/>
  <c r="F892" i="7"/>
  <c r="A893" i="7"/>
  <c r="D893" i="7"/>
  <c r="F893" i="7"/>
  <c r="A894" i="7"/>
  <c r="D894" i="7" s="1"/>
  <c r="C894" i="7"/>
  <c r="E894" i="7"/>
  <c r="F894" i="7"/>
  <c r="A895" i="7"/>
  <c r="D895" i="7"/>
  <c r="F895" i="7"/>
  <c r="A896" i="7"/>
  <c r="C896" i="7"/>
  <c r="D896" i="7"/>
  <c r="E896" i="7"/>
  <c r="F896" i="7"/>
  <c r="A897" i="7"/>
  <c r="D897" i="7"/>
  <c r="F897" i="7"/>
  <c r="A898" i="7"/>
  <c r="D898" i="7" s="1"/>
  <c r="C898" i="7"/>
  <c r="E898" i="7"/>
  <c r="F898" i="7"/>
  <c r="A899" i="7"/>
  <c r="D899" i="7" s="1"/>
  <c r="A900" i="7"/>
  <c r="C900" i="7"/>
  <c r="D900" i="7"/>
  <c r="E900" i="7"/>
  <c r="F900" i="7"/>
  <c r="A901" i="7"/>
  <c r="D901" i="7" s="1"/>
  <c r="A902" i="7"/>
  <c r="D902" i="7" s="1"/>
  <c r="C902" i="7"/>
  <c r="E902" i="7"/>
  <c r="F902" i="7"/>
  <c r="A903" i="7"/>
  <c r="A904" i="7"/>
  <c r="C904" i="7"/>
  <c r="D904" i="7"/>
  <c r="E904" i="7"/>
  <c r="F904" i="7"/>
  <c r="G905" i="7"/>
  <c r="G910" i="7"/>
  <c r="A915" i="7"/>
  <c r="D915" i="7"/>
  <c r="F915" i="7"/>
  <c r="A916" i="7"/>
  <c r="D916" i="7" s="1"/>
  <c r="C916" i="7"/>
  <c r="E916" i="7"/>
  <c r="F916" i="7"/>
  <c r="A917" i="7"/>
  <c r="D917" i="7"/>
  <c r="F917" i="7"/>
  <c r="A918" i="7"/>
  <c r="C918" i="7"/>
  <c r="D918" i="7"/>
  <c r="E918" i="7"/>
  <c r="F918" i="7"/>
  <c r="A919" i="7"/>
  <c r="D919" i="7"/>
  <c r="F919" i="7"/>
  <c r="A920" i="7"/>
  <c r="D920" i="7" s="1"/>
  <c r="C920" i="7"/>
  <c r="E920" i="7"/>
  <c r="F920" i="7"/>
  <c r="A921" i="7"/>
  <c r="D921" i="7" s="1"/>
  <c r="A922" i="7"/>
  <c r="C922" i="7"/>
  <c r="D922" i="7"/>
  <c r="E922" i="7"/>
  <c r="F922" i="7"/>
  <c r="A923" i="7"/>
  <c r="D923" i="7" s="1"/>
  <c r="A924" i="7"/>
  <c r="D924" i="7" s="1"/>
  <c r="C924" i="7"/>
  <c r="E924" i="7"/>
  <c r="F924" i="7"/>
  <c r="A925" i="7"/>
  <c r="A926" i="7"/>
  <c r="C926" i="7"/>
  <c r="D926" i="7"/>
  <c r="E926" i="7"/>
  <c r="F926" i="7"/>
  <c r="A927" i="7"/>
  <c r="A928" i="7"/>
  <c r="D928" i="7" s="1"/>
  <c r="C928" i="7"/>
  <c r="E928" i="7"/>
  <c r="F928" i="7"/>
  <c r="A929" i="7"/>
  <c r="D929" i="7"/>
  <c r="F929" i="7"/>
  <c r="A930" i="7"/>
  <c r="C930" i="7"/>
  <c r="D930" i="7"/>
  <c r="E930" i="7"/>
  <c r="F930" i="7"/>
  <c r="A931" i="7"/>
  <c r="D931" i="7"/>
  <c r="F931" i="7"/>
  <c r="A932" i="7"/>
  <c r="D932" i="7" s="1"/>
  <c r="C932" i="7"/>
  <c r="E932" i="7"/>
  <c r="F932" i="7"/>
  <c r="A933" i="7"/>
  <c r="D933" i="7"/>
  <c r="F933" i="7"/>
  <c r="A934" i="7"/>
  <c r="C934" i="7"/>
  <c r="D934" i="7"/>
  <c r="E934" i="7"/>
  <c r="F934" i="7"/>
  <c r="A935" i="7"/>
  <c r="D935" i="7"/>
  <c r="F935" i="7"/>
  <c r="A936" i="7"/>
  <c r="D936" i="7" s="1"/>
  <c r="C936" i="7"/>
  <c r="E936" i="7"/>
  <c r="F936" i="7"/>
  <c r="A937" i="7"/>
  <c r="D937" i="7" s="1"/>
  <c r="A938" i="7"/>
  <c r="C938" i="7"/>
  <c r="D938" i="7"/>
  <c r="E938" i="7"/>
  <c r="F938" i="7"/>
  <c r="A939" i="7"/>
  <c r="D939" i="7" s="1"/>
  <c r="A940" i="7"/>
  <c r="D940" i="7" s="1"/>
  <c r="C940" i="7"/>
  <c r="E940" i="7"/>
  <c r="F940" i="7"/>
  <c r="A941" i="7"/>
  <c r="A942" i="7"/>
  <c r="C942" i="7"/>
  <c r="D942" i="7"/>
  <c r="E942" i="7"/>
  <c r="F942" i="7"/>
  <c r="A943" i="7"/>
  <c r="A944" i="7"/>
  <c r="D944" i="7" s="1"/>
  <c r="C944" i="7"/>
  <c r="E944" i="7"/>
  <c r="F944" i="7"/>
  <c r="A945" i="7"/>
  <c r="D945" i="7"/>
  <c r="F945" i="7"/>
  <c r="A946" i="7"/>
  <c r="C946" i="7"/>
  <c r="D946" i="7"/>
  <c r="E946" i="7"/>
  <c r="F946" i="7"/>
  <c r="A947" i="7"/>
  <c r="D947" i="7"/>
  <c r="F947" i="7"/>
  <c r="A948" i="7"/>
  <c r="D948" i="7" s="1"/>
  <c r="C948" i="7"/>
  <c r="E948" i="7"/>
  <c r="F948" i="7"/>
  <c r="A949" i="7"/>
  <c r="D949" i="7"/>
  <c r="F949" i="7"/>
  <c r="A950" i="7"/>
  <c r="C950" i="7"/>
  <c r="D950" i="7"/>
  <c r="E950" i="7"/>
  <c r="F950" i="7"/>
  <c r="A951" i="7"/>
  <c r="D951" i="7"/>
  <c r="F951" i="7"/>
  <c r="A952" i="7"/>
  <c r="D952" i="7" s="1"/>
  <c r="C952" i="7"/>
  <c r="E952" i="7"/>
  <c r="F952" i="7"/>
  <c r="A953" i="7"/>
  <c r="D953" i="7" s="1"/>
  <c r="A954" i="7"/>
  <c r="C954" i="7"/>
  <c r="D954" i="7"/>
  <c r="E954" i="7"/>
  <c r="F954" i="7"/>
  <c r="G960" i="7"/>
  <c r="A965" i="7"/>
  <c r="C965" i="7"/>
  <c r="D965" i="7"/>
  <c r="E965" i="7"/>
  <c r="F965" i="7"/>
  <c r="A966" i="7"/>
  <c r="D966" i="7" s="1"/>
  <c r="A967" i="7"/>
  <c r="D967" i="7" s="1"/>
  <c r="C967" i="7"/>
  <c r="E967" i="7"/>
  <c r="F967" i="7"/>
  <c r="A968" i="7"/>
  <c r="A969" i="7"/>
  <c r="C969" i="7"/>
  <c r="D969" i="7"/>
  <c r="E969" i="7"/>
  <c r="F969" i="7"/>
  <c r="A970" i="7"/>
  <c r="A971" i="7"/>
  <c r="D971" i="7" s="1"/>
  <c r="C971" i="7"/>
  <c r="E971" i="7"/>
  <c r="F971" i="7"/>
  <c r="A972" i="7"/>
  <c r="D972" i="7"/>
  <c r="F972" i="7"/>
  <c r="A973" i="7"/>
  <c r="C973" i="7"/>
  <c r="D973" i="7"/>
  <c r="E973" i="7"/>
  <c r="F973" i="7"/>
  <c r="A974" i="7"/>
  <c r="D974" i="7"/>
  <c r="F974" i="7"/>
  <c r="A975" i="7"/>
  <c r="D975" i="7" s="1"/>
  <c r="C975" i="7"/>
  <c r="E975" i="7"/>
  <c r="F975" i="7"/>
  <c r="A976" i="7"/>
  <c r="D976" i="7"/>
  <c r="F976" i="7"/>
  <c r="A977" i="7"/>
  <c r="C977" i="7"/>
  <c r="D977" i="7"/>
  <c r="E977" i="7"/>
  <c r="F977" i="7"/>
  <c r="A978" i="7"/>
  <c r="D978" i="7"/>
  <c r="F978" i="7"/>
  <c r="A979" i="7"/>
  <c r="D979" i="7" s="1"/>
  <c r="C979" i="7"/>
  <c r="E979" i="7"/>
  <c r="F979" i="7"/>
  <c r="A980" i="7"/>
  <c r="D980" i="7" s="1"/>
  <c r="A981" i="7"/>
  <c r="C981" i="7"/>
  <c r="D981" i="7"/>
  <c r="E981" i="7"/>
  <c r="F981" i="7"/>
  <c r="A982" i="7"/>
  <c r="D982" i="7" s="1"/>
  <c r="A983" i="7"/>
  <c r="D983" i="7" s="1"/>
  <c r="C983" i="7"/>
  <c r="E983" i="7"/>
  <c r="F983" i="7"/>
  <c r="A984" i="7"/>
  <c r="D984" i="7"/>
  <c r="A985" i="7"/>
  <c r="C985" i="7"/>
  <c r="D985" i="7"/>
  <c r="E985" i="7"/>
  <c r="F985" i="7"/>
  <c r="A986" i="7"/>
  <c r="A987" i="7"/>
  <c r="D987" i="7" s="1"/>
  <c r="C987" i="7"/>
  <c r="E987" i="7"/>
  <c r="F987" i="7"/>
  <c r="A988" i="7"/>
  <c r="D988" i="7"/>
  <c r="F988" i="7"/>
  <c r="A989" i="7"/>
  <c r="C989" i="7"/>
  <c r="D989" i="7"/>
  <c r="E989" i="7"/>
  <c r="F989" i="7"/>
  <c r="A990" i="7"/>
  <c r="D990" i="7"/>
  <c r="F990" i="7"/>
  <c r="G991" i="7"/>
  <c r="G996" i="7"/>
  <c r="A1001" i="7"/>
  <c r="D1001" i="7" s="1"/>
  <c r="C1001" i="7"/>
  <c r="E1001" i="7"/>
  <c r="F1001" i="7"/>
  <c r="A1002" i="7"/>
  <c r="A1003" i="7"/>
  <c r="C1003" i="7"/>
  <c r="D1003" i="7"/>
  <c r="E1003" i="7"/>
  <c r="F1003" i="7"/>
  <c r="A1004" i="7"/>
  <c r="A1005" i="7"/>
  <c r="D1005" i="7" s="1"/>
  <c r="C1005" i="7"/>
  <c r="E1005" i="7"/>
  <c r="F1005" i="7"/>
  <c r="A1006" i="7"/>
  <c r="D1006" i="7"/>
  <c r="A1007" i="7"/>
  <c r="C1007" i="7"/>
  <c r="D1007" i="7"/>
  <c r="E1007" i="7"/>
  <c r="F1007" i="7"/>
  <c r="A1008" i="7"/>
  <c r="D1008" i="7"/>
  <c r="A1009" i="7"/>
  <c r="D1009" i="7" s="1"/>
  <c r="C1009" i="7"/>
  <c r="E1009" i="7"/>
  <c r="F1009" i="7"/>
  <c r="A1010" i="7"/>
  <c r="D1010" i="7"/>
  <c r="F1010" i="7"/>
  <c r="A1011" i="7"/>
  <c r="C1011" i="7"/>
  <c r="D1011" i="7"/>
  <c r="E1011" i="7"/>
  <c r="F1011" i="7"/>
  <c r="A1012" i="7"/>
  <c r="D1012" i="7"/>
  <c r="F1012" i="7"/>
  <c r="A1013" i="7"/>
  <c r="D1013" i="7" s="1"/>
  <c r="C1013" i="7"/>
  <c r="E1013" i="7"/>
  <c r="F1013" i="7"/>
  <c r="A1014" i="7"/>
  <c r="D1014" i="7"/>
  <c r="F1014" i="7"/>
  <c r="A1015" i="7"/>
  <c r="C1015" i="7"/>
  <c r="D1015" i="7"/>
  <c r="E1015" i="7"/>
  <c r="F1015" i="7"/>
  <c r="G1016" i="7"/>
  <c r="G1021" i="7"/>
  <c r="A1026" i="7"/>
  <c r="A1027" i="7"/>
  <c r="D1027" i="7" s="1"/>
  <c r="C1027" i="7"/>
  <c r="E1027" i="7"/>
  <c r="F1027" i="7"/>
  <c r="A1028" i="7"/>
  <c r="D1028" i="7"/>
  <c r="A1029" i="7"/>
  <c r="C1029" i="7"/>
  <c r="D1029" i="7"/>
  <c r="E1029" i="7"/>
  <c r="F1029" i="7"/>
  <c r="A1030" i="7"/>
  <c r="D1030" i="7"/>
  <c r="A1031" i="7"/>
  <c r="D1031" i="7" s="1"/>
  <c r="C1031" i="7"/>
  <c r="E1031" i="7"/>
  <c r="F1031" i="7"/>
  <c r="A1032" i="7"/>
  <c r="D1032" i="7"/>
  <c r="F1032" i="7"/>
  <c r="A1033" i="7"/>
  <c r="C1033" i="7"/>
  <c r="D1033" i="7"/>
  <c r="E1033" i="7"/>
  <c r="F1033" i="7"/>
  <c r="A1034" i="7"/>
  <c r="D1034" i="7"/>
  <c r="F1034" i="7"/>
  <c r="A1035" i="7"/>
  <c r="D1035" i="7" s="1"/>
  <c r="C1035" i="7"/>
  <c r="E1035" i="7"/>
  <c r="F1035" i="7"/>
  <c r="A1036" i="7"/>
  <c r="D1036" i="7"/>
  <c r="F1036" i="7"/>
  <c r="A1037" i="7"/>
  <c r="C1037" i="7"/>
  <c r="D1037" i="7"/>
  <c r="E1037" i="7"/>
  <c r="F1037" i="7"/>
  <c r="A1038" i="7"/>
  <c r="D1038" i="7"/>
  <c r="F1038" i="7"/>
  <c r="A1039" i="7"/>
  <c r="D1039" i="7" s="1"/>
  <c r="C1039" i="7"/>
  <c r="E1039" i="7"/>
  <c r="F1039" i="7"/>
  <c r="A1040" i="7"/>
  <c r="G1041" i="7"/>
  <c r="G1046" i="7"/>
  <c r="A1051" i="7"/>
  <c r="C1051" i="7"/>
  <c r="D1051" i="7"/>
  <c r="E1051" i="7"/>
  <c r="F1051" i="7"/>
  <c r="A1052" i="7"/>
  <c r="D1052" i="7"/>
  <c r="A1053" i="7"/>
  <c r="D1053" i="7" s="1"/>
  <c r="C1053" i="7"/>
  <c r="E1053" i="7"/>
  <c r="F1053" i="7"/>
  <c r="A1054" i="7"/>
  <c r="D1054" i="7"/>
  <c r="F1054" i="7"/>
  <c r="A1055" i="7"/>
  <c r="C1055" i="7"/>
  <c r="D1055" i="7"/>
  <c r="E1055" i="7"/>
  <c r="F1055" i="7"/>
  <c r="A1056" i="7"/>
  <c r="D1056" i="7"/>
  <c r="F1056" i="7"/>
  <c r="A1057" i="7"/>
  <c r="D1057" i="7" s="1"/>
  <c r="C1057" i="7"/>
  <c r="E1057" i="7"/>
  <c r="F1057" i="7"/>
  <c r="A1058" i="7"/>
  <c r="D1058" i="7"/>
  <c r="F1058" i="7"/>
  <c r="A1059" i="7"/>
  <c r="C1059" i="7"/>
  <c r="D1059" i="7"/>
  <c r="E1059" i="7"/>
  <c r="F1059" i="7"/>
  <c r="A1060" i="7"/>
  <c r="D1060" i="7"/>
  <c r="F1060" i="7"/>
  <c r="A1061" i="7"/>
  <c r="D1061" i="7" s="1"/>
  <c r="C1061" i="7"/>
  <c r="E1061" i="7"/>
  <c r="F1061" i="7"/>
  <c r="A1062" i="7"/>
  <c r="A1063" i="7"/>
  <c r="C1063" i="7"/>
  <c r="D1063" i="7"/>
  <c r="E1063" i="7"/>
  <c r="F1063" i="7"/>
  <c r="A1064" i="7"/>
  <c r="A1065" i="7"/>
  <c r="D1065" i="7" s="1"/>
  <c r="C1065" i="7"/>
  <c r="E1065" i="7"/>
  <c r="F1065" i="7"/>
  <c r="G1066" i="7"/>
  <c r="G1071" i="7"/>
  <c r="A1076" i="7"/>
  <c r="D1076" i="7"/>
  <c r="F1076" i="7"/>
  <c r="A1077" i="7"/>
  <c r="C1077" i="7"/>
  <c r="D1077" i="7"/>
  <c r="E1077" i="7"/>
  <c r="F1077" i="7"/>
  <c r="A1078" i="7"/>
  <c r="D1078" i="7"/>
  <c r="F1078" i="7"/>
  <c r="A1079" i="7"/>
  <c r="D1079" i="7" s="1"/>
  <c r="C1079" i="7"/>
  <c r="E1079" i="7"/>
  <c r="F1079" i="7"/>
  <c r="A1080" i="7"/>
  <c r="D1080" i="7"/>
  <c r="F1080" i="7"/>
  <c r="A1081" i="7"/>
  <c r="C1081" i="7"/>
  <c r="D1081" i="7"/>
  <c r="E1081" i="7"/>
  <c r="F1081" i="7"/>
  <c r="A1082" i="7"/>
  <c r="D1082" i="7"/>
  <c r="F1082" i="7"/>
  <c r="A1083" i="7"/>
  <c r="D1083" i="7" s="1"/>
  <c r="C1083" i="7"/>
  <c r="E1083" i="7"/>
  <c r="F1083" i="7"/>
  <c r="A1084" i="7"/>
  <c r="A1085" i="7"/>
  <c r="C1085" i="7"/>
  <c r="D1085" i="7"/>
  <c r="E1085" i="7"/>
  <c r="F1085" i="7"/>
  <c r="A1086" i="7"/>
  <c r="A1087" i="7"/>
  <c r="D1087" i="7" s="1"/>
  <c r="C1087" i="7"/>
  <c r="E1087" i="7"/>
  <c r="F1087" i="7"/>
  <c r="A1088" i="7"/>
  <c r="A1089" i="7"/>
  <c r="C1089" i="7"/>
  <c r="D1089" i="7"/>
  <c r="E1089" i="7"/>
  <c r="F1089" i="7"/>
  <c r="A1090" i="7"/>
  <c r="D1090" i="7"/>
  <c r="G1091" i="7"/>
  <c r="G1096" i="7"/>
  <c r="A1101" i="7"/>
  <c r="D1101" i="7" s="1"/>
  <c r="C1101" i="7"/>
  <c r="E1101" i="7"/>
  <c r="F1101" i="7"/>
  <c r="A1102" i="7"/>
  <c r="D1102" i="7"/>
  <c r="F1102" i="7"/>
  <c r="A1103" i="7"/>
  <c r="C1103" i="7"/>
  <c r="D1103" i="7"/>
  <c r="E1103" i="7"/>
  <c r="F1103" i="7"/>
  <c r="A1104" i="7"/>
  <c r="E1104" i="7" s="1"/>
  <c r="C1104" i="7"/>
  <c r="D1104" i="7"/>
  <c r="F1104" i="7"/>
  <c r="A1105" i="7"/>
  <c r="D1105" i="7" s="1"/>
  <c r="C1105" i="7"/>
  <c r="E1105" i="7"/>
  <c r="F1105" i="7"/>
  <c r="A1106" i="7"/>
  <c r="C1106" i="7" s="1"/>
  <c r="D1106" i="7"/>
  <c r="E1106" i="7"/>
  <c r="F1106" i="7"/>
  <c r="A1107" i="7"/>
  <c r="C1107" i="7"/>
  <c r="D1107" i="7"/>
  <c r="E1107" i="7"/>
  <c r="F1107" i="7"/>
  <c r="A1108" i="7"/>
  <c r="E1108" i="7" s="1"/>
  <c r="C1108" i="7"/>
  <c r="D1108" i="7"/>
  <c r="A1109" i="7"/>
  <c r="D1109" i="7" s="1"/>
  <c r="C1109" i="7"/>
  <c r="E1109" i="7"/>
  <c r="A1110" i="7"/>
  <c r="C1110" i="7" s="1"/>
  <c r="D1110" i="7"/>
  <c r="E1110" i="7"/>
  <c r="A1111" i="7"/>
  <c r="C1111" i="7"/>
  <c r="D1111" i="7"/>
  <c r="E1111" i="7"/>
  <c r="F1111" i="7"/>
  <c r="A1112" i="7"/>
  <c r="C1112" i="7"/>
  <c r="A1113" i="7"/>
  <c r="C1113" i="7"/>
  <c r="A1114" i="7"/>
  <c r="D1114" i="7"/>
  <c r="A1115" i="7"/>
  <c r="C1115" i="7"/>
  <c r="D1115" i="7"/>
  <c r="E1115" i="7"/>
  <c r="F1115" i="7"/>
  <c r="A1116" i="7"/>
  <c r="F1116" i="7" s="1"/>
  <c r="A1117" i="7"/>
  <c r="A1118" i="7"/>
  <c r="F1118" i="7" s="1"/>
  <c r="A1119" i="7"/>
  <c r="C1119" i="7"/>
  <c r="D1119" i="7"/>
  <c r="E1119" i="7"/>
  <c r="F1119" i="7"/>
  <c r="A1120" i="7"/>
  <c r="E1120" i="7" s="1"/>
  <c r="C1120" i="7"/>
  <c r="D1120" i="7"/>
  <c r="F1120" i="7"/>
  <c r="A1121" i="7"/>
  <c r="D1121" i="7" s="1"/>
  <c r="C1121" i="7"/>
  <c r="E1121" i="7"/>
  <c r="F1121" i="7"/>
  <c r="A1122" i="7"/>
  <c r="C1122" i="7" s="1"/>
  <c r="D1122" i="7"/>
  <c r="E1122" i="7"/>
  <c r="F1122" i="7"/>
  <c r="A1123" i="7"/>
  <c r="C1123" i="7"/>
  <c r="D1123" i="7"/>
  <c r="E1123" i="7"/>
  <c r="F1123" i="7"/>
  <c r="A1124" i="7"/>
  <c r="E1124" i="7" s="1"/>
  <c r="C1124" i="7"/>
  <c r="D1124" i="7"/>
  <c r="A1125" i="7"/>
  <c r="D1125" i="7" s="1"/>
  <c r="C1125" i="7"/>
  <c r="E1125" i="7"/>
  <c r="A1126" i="7"/>
  <c r="C1126" i="7" s="1"/>
  <c r="D1126" i="7"/>
  <c r="E1126" i="7"/>
  <c r="A1127" i="7"/>
  <c r="C1127" i="7"/>
  <c r="D1127" i="7"/>
  <c r="E1127" i="7"/>
  <c r="F1127" i="7"/>
  <c r="A1128" i="7"/>
  <c r="A1129" i="7"/>
  <c r="C1129" i="7"/>
  <c r="A1130" i="7"/>
  <c r="A1131" i="7"/>
  <c r="C1131" i="7"/>
  <c r="D1131" i="7"/>
  <c r="E1131" i="7"/>
  <c r="F1131" i="7"/>
  <c r="A1132" i="7"/>
  <c r="F1132" i="7"/>
  <c r="A1133" i="7"/>
  <c r="F1133" i="7"/>
  <c r="A1134" i="7"/>
  <c r="F1134" i="7"/>
  <c r="A1135" i="7"/>
  <c r="C1135" i="7"/>
  <c r="D1135" i="7"/>
  <c r="E1135" i="7"/>
  <c r="F1135" i="7"/>
  <c r="A1136" i="7"/>
  <c r="E1136" i="7" s="1"/>
  <c r="C1136" i="7"/>
  <c r="D1136" i="7"/>
  <c r="F1136" i="7"/>
  <c r="A1137" i="7"/>
  <c r="D1137" i="7" s="1"/>
  <c r="C1137" i="7"/>
  <c r="E1137" i="7"/>
  <c r="F1137" i="7"/>
  <c r="A1138" i="7"/>
  <c r="C1138" i="7" s="1"/>
  <c r="D1138" i="7"/>
  <c r="E1138" i="7"/>
  <c r="F1138" i="7"/>
  <c r="A1139" i="7"/>
  <c r="C1139" i="7"/>
  <c r="D1139" i="7"/>
  <c r="E1139" i="7"/>
  <c r="F1139" i="7"/>
  <c r="A1140" i="7"/>
  <c r="E1140" i="7" s="1"/>
  <c r="C1140" i="7"/>
  <c r="D1140" i="7"/>
  <c r="A1141" i="7"/>
  <c r="D1141" i="7" s="1"/>
  <c r="C1141" i="7"/>
  <c r="E1141" i="7"/>
  <c r="A1142" i="7"/>
  <c r="C1142" i="7" s="1"/>
  <c r="D1142" i="7"/>
  <c r="E1142" i="7"/>
  <c r="A1143" i="7"/>
  <c r="C1143" i="7"/>
  <c r="D1143" i="7"/>
  <c r="E1143" i="7"/>
  <c r="F1143" i="7"/>
  <c r="A1144" i="7"/>
  <c r="C1144" i="7"/>
  <c r="A1145" i="7"/>
  <c r="C1145" i="7"/>
  <c r="A1146" i="7"/>
  <c r="D1146" i="7"/>
  <c r="A1147" i="7"/>
  <c r="C1147" i="7"/>
  <c r="D1147" i="7"/>
  <c r="E1147" i="7"/>
  <c r="F1147" i="7"/>
  <c r="A1148" i="7"/>
  <c r="A1149" i="7"/>
  <c r="F1149" i="7"/>
  <c r="A1150" i="7"/>
  <c r="A1151" i="7"/>
  <c r="C1151" i="7"/>
  <c r="D1151" i="7"/>
  <c r="E1151" i="7"/>
  <c r="F1151" i="7"/>
  <c r="A1152" i="7"/>
  <c r="E1152" i="7" s="1"/>
  <c r="C1152" i="7"/>
  <c r="D1152" i="7"/>
  <c r="F1152" i="7"/>
  <c r="A1153" i="7"/>
  <c r="D1153" i="7" s="1"/>
  <c r="C1153" i="7"/>
  <c r="E1153" i="7"/>
  <c r="F1153" i="7"/>
  <c r="A1154" i="7"/>
  <c r="C1154" i="7" s="1"/>
  <c r="D1154" i="7"/>
  <c r="E1154" i="7"/>
  <c r="F1154" i="7"/>
  <c r="A1155" i="7"/>
  <c r="C1155" i="7"/>
  <c r="D1155" i="7"/>
  <c r="E1155" i="7"/>
  <c r="F1155" i="7"/>
  <c r="A1156" i="7"/>
  <c r="E1156" i="7" s="1"/>
  <c r="C1156" i="7"/>
  <c r="D1156" i="7"/>
  <c r="A1157" i="7"/>
  <c r="D1157" i="7" s="1"/>
  <c r="C1157" i="7"/>
  <c r="E1157" i="7"/>
  <c r="A1158" i="7"/>
  <c r="C1158" i="7" s="1"/>
  <c r="D1158" i="7"/>
  <c r="E1158" i="7"/>
  <c r="A1159" i="7"/>
  <c r="C1159" i="7"/>
  <c r="D1159" i="7"/>
  <c r="E1159" i="7"/>
  <c r="F1159" i="7"/>
  <c r="A1160" i="7"/>
  <c r="C1160" i="7"/>
  <c r="A1161" i="7"/>
  <c r="A1162" i="7"/>
  <c r="D1162" i="7"/>
  <c r="A1163" i="7"/>
  <c r="C1163" i="7"/>
  <c r="D1163" i="7"/>
  <c r="E1163" i="7"/>
  <c r="F1163" i="7"/>
  <c r="A1164" i="7"/>
  <c r="F1164" i="7"/>
  <c r="G1165" i="7"/>
  <c r="G1170" i="7"/>
  <c r="A1175" i="7"/>
  <c r="F1175" i="7"/>
  <c r="A1176" i="7"/>
  <c r="F1176" i="7"/>
  <c r="A1177" i="7"/>
  <c r="C1177" i="7"/>
  <c r="D1177" i="7"/>
  <c r="E1177" i="7"/>
  <c r="F1177" i="7"/>
  <c r="A1178" i="7"/>
  <c r="E1178" i="7" s="1"/>
  <c r="C1178" i="7"/>
  <c r="D1178" i="7"/>
  <c r="F1178" i="7"/>
  <c r="A1179" i="7"/>
  <c r="D1179" i="7" s="1"/>
  <c r="C1179" i="7"/>
  <c r="E1179" i="7"/>
  <c r="F1179" i="7"/>
  <c r="A1180" i="7"/>
  <c r="C1180" i="7" s="1"/>
  <c r="D1180" i="7"/>
  <c r="E1180" i="7"/>
  <c r="F1180" i="7"/>
  <c r="A1181" i="7"/>
  <c r="C1181" i="7"/>
  <c r="D1181" i="7"/>
  <c r="E1181" i="7"/>
  <c r="F1181" i="7"/>
  <c r="A1182" i="7"/>
  <c r="C1182" i="7"/>
  <c r="D1182" i="7"/>
  <c r="A1183" i="7"/>
  <c r="A1184" i="7"/>
  <c r="D1184" i="7"/>
  <c r="A1185" i="7"/>
  <c r="C1185" i="7"/>
  <c r="D1185" i="7"/>
  <c r="E1185" i="7"/>
  <c r="F1185" i="7"/>
  <c r="A1186" i="7"/>
  <c r="C1186" i="7"/>
  <c r="A1187" i="7"/>
  <c r="C1187" i="7"/>
  <c r="F1187" i="7"/>
  <c r="A1188" i="7"/>
  <c r="D1188" i="7"/>
  <c r="F1188" i="7"/>
  <c r="A1189" i="7"/>
  <c r="C1189" i="7"/>
  <c r="D1189" i="7"/>
  <c r="E1189" i="7"/>
  <c r="F1189" i="7"/>
  <c r="G1190" i="7"/>
  <c r="G1195" i="7"/>
  <c r="A1200" i="7"/>
  <c r="A1201" i="7"/>
  <c r="C1201" i="7"/>
  <c r="A1202" i="7"/>
  <c r="D1202" i="7"/>
  <c r="F1202" i="7"/>
  <c r="A1203" i="7"/>
  <c r="C1203" i="7"/>
  <c r="D1203" i="7"/>
  <c r="E1203" i="7"/>
  <c r="F1203" i="7"/>
  <c r="A1204" i="7"/>
  <c r="D1204" i="7"/>
  <c r="F1204" i="7"/>
  <c r="A1205" i="7"/>
  <c r="E1205" i="7"/>
  <c r="F1205" i="7"/>
  <c r="A1206" i="7"/>
  <c r="A1207" i="7"/>
  <c r="C1207" i="7"/>
  <c r="D1207" i="7"/>
  <c r="E1207" i="7"/>
  <c r="F1207" i="7"/>
  <c r="A1208" i="7"/>
  <c r="E1208" i="7" s="1"/>
  <c r="C1208" i="7"/>
  <c r="D1208" i="7"/>
  <c r="F1208" i="7"/>
  <c r="A1209" i="7"/>
  <c r="D1209" i="7" s="1"/>
  <c r="C1209" i="7"/>
  <c r="E1209" i="7"/>
  <c r="F1209" i="7"/>
  <c r="A1210" i="7"/>
  <c r="C1210" i="7" s="1"/>
  <c r="D1210" i="7"/>
  <c r="E1210" i="7"/>
  <c r="F1210" i="7"/>
  <c r="A1211" i="7"/>
  <c r="C1211" i="7"/>
  <c r="D1211" i="7"/>
  <c r="E1211" i="7"/>
  <c r="F1211" i="7"/>
  <c r="A1212" i="7"/>
  <c r="C1212" i="7"/>
  <c r="D1212" i="7"/>
  <c r="A1213" i="7"/>
  <c r="A1214" i="7"/>
  <c r="D1214" i="7"/>
  <c r="G1215" i="7"/>
  <c r="G1220" i="7"/>
  <c r="A1225" i="7"/>
  <c r="C1225" i="7"/>
  <c r="D1225" i="7"/>
  <c r="E1225" i="7"/>
  <c r="F1225" i="7"/>
  <c r="A1226" i="7"/>
  <c r="C1226" i="7"/>
  <c r="D1226" i="7"/>
  <c r="A1227" i="7"/>
  <c r="C1227" i="7"/>
  <c r="E1227" i="7"/>
  <c r="A1228" i="7"/>
  <c r="A1229" i="7"/>
  <c r="C1229" i="7"/>
  <c r="D1229" i="7"/>
  <c r="E1229" i="7"/>
  <c r="F1229" i="7"/>
  <c r="A1230" i="7"/>
  <c r="A1231" i="7"/>
  <c r="C1231" i="7"/>
  <c r="A1232" i="7"/>
  <c r="D1232" i="7"/>
  <c r="F1232" i="7"/>
  <c r="A1233" i="7"/>
  <c r="C1233" i="7"/>
  <c r="D1233" i="7"/>
  <c r="E1233" i="7"/>
  <c r="F1233" i="7"/>
  <c r="A1234" i="7"/>
  <c r="D1234" i="7"/>
  <c r="F1234" i="7"/>
  <c r="A1235" i="7"/>
  <c r="E1235" i="7"/>
  <c r="F1235" i="7"/>
  <c r="A1236" i="7"/>
  <c r="A1237" i="7"/>
  <c r="C1237" i="7"/>
  <c r="D1237" i="7"/>
  <c r="E1237" i="7"/>
  <c r="F1237" i="7"/>
  <c r="A1238" i="7"/>
  <c r="E1238" i="7" s="1"/>
  <c r="C1238" i="7"/>
  <c r="D1238" i="7"/>
  <c r="F1238" i="7"/>
  <c r="A1239" i="7"/>
  <c r="D1239" i="7" s="1"/>
  <c r="C1239" i="7"/>
  <c r="E1239" i="7"/>
  <c r="F1239" i="7"/>
  <c r="A1240" i="7"/>
  <c r="C1240" i="7" s="1"/>
  <c r="D1240" i="7"/>
  <c r="E1240" i="7"/>
  <c r="F1240" i="7"/>
  <c r="A1241" i="7"/>
  <c r="C1241" i="7"/>
  <c r="D1241" i="7"/>
  <c r="E1241" i="7"/>
  <c r="F1241" i="7"/>
  <c r="A1242" i="7"/>
  <c r="C1242" i="7"/>
  <c r="D1242" i="7"/>
  <c r="A1243" i="7"/>
  <c r="A1244" i="7"/>
  <c r="D1244" i="7"/>
  <c r="G1245" i="7"/>
  <c r="G1250" i="7"/>
  <c r="A1255" i="7"/>
  <c r="C1255" i="7"/>
  <c r="D1255" i="7"/>
  <c r="E1255" i="7"/>
  <c r="F1255" i="7"/>
  <c r="A1256" i="7"/>
  <c r="C1256" i="7"/>
  <c r="D1256" i="7"/>
  <c r="A1257" i="7"/>
  <c r="C1257" i="7"/>
  <c r="E1257" i="7"/>
  <c r="A1258" i="7"/>
  <c r="A1259" i="7"/>
  <c r="C1259" i="7"/>
  <c r="D1259" i="7"/>
  <c r="E1259" i="7"/>
  <c r="F1259" i="7"/>
  <c r="A1260" i="7"/>
  <c r="A1261" i="7"/>
  <c r="C1261" i="7"/>
  <c r="A1262" i="7"/>
  <c r="D1262" i="7"/>
  <c r="F1262" i="7"/>
  <c r="A1263" i="7"/>
  <c r="C1263" i="7"/>
  <c r="D1263" i="7"/>
  <c r="E1263" i="7"/>
  <c r="F1263" i="7"/>
  <c r="A1264" i="7"/>
  <c r="D1264" i="7"/>
  <c r="F1264" i="7"/>
  <c r="A1265" i="7"/>
  <c r="E1265" i="7"/>
  <c r="F1265" i="7"/>
  <c r="A1266" i="7"/>
  <c r="A1267" i="7"/>
  <c r="C1267" i="7"/>
  <c r="D1267" i="7"/>
  <c r="E1267" i="7"/>
  <c r="F1267" i="7"/>
  <c r="A1268" i="7"/>
  <c r="E1268" i="7" s="1"/>
  <c r="C1268" i="7"/>
  <c r="D1268" i="7"/>
  <c r="F1268" i="7"/>
  <c r="A1269" i="7"/>
  <c r="D1269" i="7" s="1"/>
  <c r="C1269" i="7"/>
  <c r="E1269" i="7"/>
  <c r="F1269" i="7"/>
  <c r="A1270" i="7"/>
  <c r="C1270" i="7" s="1"/>
  <c r="D1270" i="7"/>
  <c r="E1270" i="7"/>
  <c r="F1270" i="7"/>
  <c r="A1271" i="7"/>
  <c r="C1271" i="7"/>
  <c r="D1271" i="7"/>
  <c r="E1271" i="7"/>
  <c r="F1271" i="7"/>
  <c r="A1272" i="7"/>
  <c r="C1272" i="7"/>
  <c r="D1272" i="7"/>
  <c r="A1273" i="7"/>
  <c r="A1274" i="7"/>
  <c r="D1274" i="7"/>
  <c r="A1275" i="7"/>
  <c r="C1275" i="7"/>
  <c r="D1275" i="7"/>
  <c r="E1275" i="7"/>
  <c r="F1275" i="7"/>
  <c r="A1276" i="7"/>
  <c r="C1276" i="7"/>
  <c r="A1277" i="7"/>
  <c r="C1277" i="7"/>
  <c r="F1277" i="7"/>
  <c r="A1278" i="7"/>
  <c r="D1278" i="7"/>
  <c r="F1278" i="7"/>
  <c r="G1279" i="7"/>
  <c r="G1284" i="7"/>
  <c r="A1289" i="7"/>
  <c r="C1289" i="7"/>
  <c r="D1289" i="7"/>
  <c r="E1289" i="7"/>
  <c r="F1289" i="7"/>
  <c r="A1290" i="7"/>
  <c r="C1290" i="7"/>
  <c r="A1291" i="7"/>
  <c r="C1291" i="7"/>
  <c r="F1291" i="7"/>
  <c r="A1292" i="7"/>
  <c r="D1292" i="7"/>
  <c r="F1292" i="7"/>
  <c r="A1293" i="7"/>
  <c r="C1293" i="7"/>
  <c r="D1293" i="7"/>
  <c r="E1293" i="7"/>
  <c r="F1293" i="7"/>
  <c r="A1294" i="7"/>
  <c r="D1294" i="7"/>
  <c r="F1294" i="7"/>
  <c r="A1295" i="7"/>
  <c r="A1296" i="7"/>
  <c r="E1296" i="7"/>
  <c r="A1297" i="7"/>
  <c r="C1297" i="7"/>
  <c r="D1297" i="7"/>
  <c r="E1297" i="7"/>
  <c r="F1297" i="7"/>
  <c r="A1298" i="7"/>
  <c r="E1298" i="7" s="1"/>
  <c r="C1298" i="7"/>
  <c r="D1298" i="7"/>
  <c r="F1298" i="7"/>
  <c r="A1299" i="7"/>
  <c r="D1299" i="7" s="1"/>
  <c r="C1299" i="7"/>
  <c r="E1299" i="7"/>
  <c r="F1299" i="7"/>
  <c r="A1300" i="7"/>
  <c r="C1300" i="7" s="1"/>
  <c r="D1300" i="7"/>
  <c r="E1300" i="7"/>
  <c r="F1300" i="7"/>
  <c r="A1301" i="7"/>
  <c r="C1301" i="7"/>
  <c r="D1301" i="7"/>
  <c r="E1301" i="7"/>
  <c r="F1301" i="7"/>
  <c r="A1302" i="7"/>
  <c r="A1303" i="7"/>
  <c r="C1303" i="7"/>
  <c r="G1304" i="7"/>
  <c r="G1309" i="7"/>
  <c r="A1314" i="7"/>
  <c r="E1314" i="7" s="1"/>
  <c r="C1314" i="7"/>
  <c r="D1314" i="7"/>
  <c r="F1314" i="7"/>
  <c r="A1315" i="7"/>
  <c r="D1315" i="7" s="1"/>
  <c r="C1315" i="7"/>
  <c r="E1315" i="7"/>
  <c r="F1315" i="7"/>
  <c r="A1316" i="7"/>
  <c r="C1316" i="7" s="1"/>
  <c r="D1316" i="7"/>
  <c r="E1316" i="7"/>
  <c r="F1316" i="7"/>
  <c r="A1317" i="7"/>
  <c r="C1317" i="7"/>
  <c r="D1317" i="7"/>
  <c r="E1317" i="7"/>
  <c r="F1317" i="7"/>
  <c r="A1318" i="7"/>
  <c r="E1318" i="7" s="1"/>
  <c r="C1318" i="7"/>
  <c r="D1318" i="7"/>
  <c r="A1319" i="7"/>
  <c r="D1319" i="7" s="1"/>
  <c r="C1319" i="7"/>
  <c r="E1319" i="7"/>
  <c r="A1320" i="7"/>
  <c r="C1320" i="7" s="1"/>
  <c r="D1320" i="7"/>
  <c r="E1320" i="7"/>
  <c r="A1321" i="7"/>
  <c r="C1321" i="7"/>
  <c r="D1321" i="7"/>
  <c r="E1321" i="7"/>
  <c r="F1321" i="7"/>
  <c r="A1322" i="7"/>
  <c r="E1322" i="7" s="1"/>
  <c r="C1322" i="7"/>
  <c r="A1323" i="7"/>
  <c r="D1323" i="7" s="1"/>
  <c r="C1323" i="7"/>
  <c r="A1324" i="7"/>
  <c r="C1324" i="7" s="1"/>
  <c r="D1324" i="7"/>
  <c r="A1325" i="7"/>
  <c r="C1325" i="7"/>
  <c r="D1325" i="7"/>
  <c r="E1325" i="7"/>
  <c r="F1325" i="7"/>
  <c r="A1326" i="7"/>
  <c r="A1327" i="7"/>
  <c r="A1328" i="7"/>
  <c r="A1329" i="7"/>
  <c r="C1329" i="7"/>
  <c r="D1329" i="7"/>
  <c r="E1329" i="7"/>
  <c r="F1329" i="7"/>
  <c r="A1330" i="7"/>
  <c r="E1330" i="7" s="1"/>
  <c r="C1330" i="7"/>
  <c r="D1330" i="7"/>
  <c r="F1330" i="7"/>
  <c r="A1331" i="7"/>
  <c r="D1331" i="7" s="1"/>
  <c r="C1331" i="7"/>
  <c r="E1331" i="7"/>
  <c r="F1331" i="7"/>
  <c r="A1332" i="7"/>
  <c r="C1332" i="7" s="1"/>
  <c r="D1332" i="7"/>
  <c r="E1332" i="7"/>
  <c r="F1332" i="7"/>
  <c r="A1333" i="7"/>
  <c r="C1333" i="7"/>
  <c r="D1333" i="7"/>
  <c r="E1333" i="7"/>
  <c r="F1333" i="7"/>
  <c r="A1334" i="7"/>
  <c r="E1334" i="7" s="1"/>
  <c r="C1334" i="7"/>
  <c r="D1334" i="7"/>
  <c r="A1335" i="7"/>
  <c r="D1335" i="7" s="1"/>
  <c r="C1335" i="7"/>
  <c r="E1335" i="7"/>
  <c r="A1336" i="7"/>
  <c r="C1336" i="7" s="1"/>
  <c r="D1336" i="7"/>
  <c r="E1336" i="7"/>
  <c r="A1337" i="7"/>
  <c r="C1337" i="7"/>
  <c r="D1337" i="7"/>
  <c r="E1337" i="7"/>
  <c r="F1337" i="7"/>
  <c r="G1338" i="7"/>
  <c r="G1343" i="7"/>
  <c r="A1348" i="7"/>
  <c r="E1348" i="7" s="1"/>
  <c r="C1348" i="7"/>
  <c r="D1348" i="7"/>
  <c r="A1349" i="7"/>
  <c r="D1349" i="7" s="1"/>
  <c r="C1349" i="7"/>
  <c r="E1349" i="7"/>
  <c r="A1350" i="7"/>
  <c r="C1350" i="7" s="1"/>
  <c r="D1350" i="7"/>
  <c r="E1350" i="7"/>
  <c r="A1351" i="7"/>
  <c r="E1351" i="7" s="1"/>
  <c r="C1351" i="7"/>
  <c r="D1351" i="7"/>
  <c r="F1351" i="7"/>
  <c r="A1352" i="7"/>
  <c r="D1352" i="7" s="1"/>
  <c r="C1352" i="7"/>
  <c r="F1352" i="7"/>
  <c r="A1353" i="7"/>
  <c r="F1353" i="7" s="1"/>
  <c r="A1354" i="7"/>
  <c r="C1354" i="7"/>
  <c r="D1354" i="7"/>
  <c r="E1354" i="7"/>
  <c r="F1354" i="7"/>
  <c r="A1355" i="7"/>
  <c r="E1355" i="7" s="1"/>
  <c r="C1355" i="7"/>
  <c r="D1355" i="7"/>
  <c r="F1355" i="7"/>
  <c r="A1356" i="7"/>
  <c r="D1356" i="7" s="1"/>
  <c r="C1356" i="7"/>
  <c r="F1356" i="7"/>
  <c r="A1357" i="7"/>
  <c r="A1358" i="7"/>
  <c r="C1358" i="7"/>
  <c r="D1358" i="7"/>
  <c r="E1358" i="7"/>
  <c r="F1358" i="7"/>
  <c r="A1359" i="7"/>
  <c r="E1359" i="7" s="1"/>
  <c r="C1359" i="7"/>
  <c r="D1359" i="7"/>
  <c r="F1359" i="7"/>
  <c r="A1360" i="7"/>
  <c r="D1360" i="7" s="1"/>
  <c r="C1360" i="7"/>
  <c r="F1360" i="7"/>
  <c r="A1361" i="7"/>
  <c r="F1361" i="7"/>
  <c r="A1362" i="7"/>
  <c r="C1362" i="7"/>
  <c r="D1362" i="7"/>
  <c r="E1362" i="7"/>
  <c r="F1362" i="7"/>
  <c r="A1363" i="7"/>
  <c r="E1363" i="7" s="1"/>
  <c r="C1363" i="7"/>
  <c r="D1363" i="7"/>
  <c r="F1363" i="7"/>
  <c r="A1364" i="7"/>
  <c r="D1364" i="7" s="1"/>
  <c r="C1364" i="7"/>
  <c r="F1364" i="7"/>
  <c r="A1365" i="7"/>
  <c r="A1366" i="7"/>
  <c r="C1366" i="7"/>
  <c r="D1366" i="7"/>
  <c r="E1366" i="7"/>
  <c r="F1366" i="7"/>
  <c r="A1367" i="7"/>
  <c r="E1367" i="7" s="1"/>
  <c r="C1367" i="7"/>
  <c r="D1367" i="7"/>
  <c r="F1367" i="7"/>
  <c r="A1368" i="7"/>
  <c r="D1368" i="7" s="1"/>
  <c r="C1368" i="7"/>
  <c r="F1368" i="7"/>
  <c r="A1369" i="7"/>
  <c r="F1369" i="7"/>
  <c r="A1370" i="7"/>
  <c r="C1370" i="7"/>
  <c r="D1370" i="7"/>
  <c r="E1370" i="7"/>
  <c r="F1370" i="7"/>
  <c r="A1371" i="7"/>
  <c r="E1371" i="7" s="1"/>
  <c r="C1371" i="7"/>
  <c r="D1371" i="7"/>
  <c r="F1371" i="7"/>
  <c r="A1372" i="7"/>
  <c r="D1372" i="7" s="1"/>
  <c r="C1372" i="7"/>
  <c r="F1372" i="7"/>
  <c r="G1373" i="7"/>
  <c r="G1378" i="7"/>
  <c r="A1383" i="7"/>
  <c r="F1383" i="7"/>
  <c r="A1384" i="7"/>
  <c r="C1384" i="7"/>
  <c r="D1384" i="7"/>
  <c r="E1384" i="7"/>
  <c r="F1384" i="7"/>
  <c r="A1385" i="7"/>
  <c r="E1385" i="7" s="1"/>
  <c r="C1385" i="7"/>
  <c r="D1385" i="7"/>
  <c r="F1385" i="7"/>
  <c r="A1386" i="7"/>
  <c r="D1386" i="7" s="1"/>
  <c r="C1386" i="7"/>
  <c r="F1386" i="7"/>
  <c r="A1387" i="7"/>
  <c r="F1387" i="7"/>
  <c r="A1388" i="7"/>
  <c r="C1388" i="7"/>
  <c r="D1388" i="7"/>
  <c r="E1388" i="7"/>
  <c r="F1388" i="7"/>
  <c r="A1389" i="7"/>
  <c r="E1389" i="7" s="1"/>
  <c r="C1389" i="7"/>
  <c r="D1389" i="7"/>
  <c r="F1389" i="7"/>
  <c r="A1390" i="7"/>
  <c r="D1390" i="7" s="1"/>
  <c r="C1390" i="7"/>
  <c r="F1390" i="7"/>
  <c r="A1391" i="7"/>
  <c r="F1391" i="7"/>
  <c r="A1392" i="7"/>
  <c r="C1392" i="7"/>
  <c r="D1392" i="7"/>
  <c r="E1392" i="7"/>
  <c r="F1392" i="7"/>
  <c r="A1393" i="7"/>
  <c r="E1393" i="7" s="1"/>
  <c r="C1393" i="7"/>
  <c r="D1393" i="7"/>
  <c r="F1393" i="7"/>
  <c r="A1394" i="7"/>
  <c r="D1394" i="7" s="1"/>
  <c r="C1394" i="7"/>
  <c r="F1394" i="7"/>
  <c r="A1395" i="7"/>
  <c r="F1395" i="7"/>
  <c r="A1396" i="7"/>
  <c r="C1396" i="7"/>
  <c r="D1396" i="7"/>
  <c r="E1396" i="7"/>
  <c r="F1396" i="7"/>
  <c r="A1397" i="7"/>
  <c r="E1397" i="7" s="1"/>
  <c r="C1397" i="7"/>
  <c r="D1397" i="7"/>
  <c r="F1397" i="7"/>
  <c r="A1398" i="7"/>
  <c r="D1398" i="7" s="1"/>
  <c r="C1398" i="7"/>
  <c r="F1398" i="7"/>
  <c r="A1399" i="7"/>
  <c r="F1399" i="7"/>
  <c r="A1400" i="7"/>
  <c r="C1400" i="7"/>
  <c r="D1400" i="7"/>
  <c r="E1400" i="7"/>
  <c r="F1400" i="7"/>
  <c r="A1401" i="7"/>
  <c r="E1401" i="7" s="1"/>
  <c r="C1401" i="7"/>
  <c r="D1401" i="7"/>
  <c r="F1401" i="7"/>
  <c r="A1402" i="7"/>
  <c r="D1402" i="7" s="1"/>
  <c r="C1402" i="7"/>
  <c r="F1402" i="7"/>
  <c r="A1403" i="7"/>
  <c r="F1403" i="7"/>
  <c r="A1404" i="7"/>
  <c r="C1404" i="7"/>
  <c r="D1404" i="7"/>
  <c r="E1404" i="7"/>
  <c r="F1404" i="7"/>
  <c r="A1405" i="7"/>
  <c r="E1405" i="7" s="1"/>
  <c r="C1405" i="7"/>
  <c r="D1405" i="7"/>
  <c r="F1405" i="7"/>
  <c r="A1406" i="7"/>
  <c r="D1406" i="7" s="1"/>
  <c r="C1406" i="7"/>
  <c r="F1406" i="7"/>
  <c r="G1407" i="7"/>
  <c r="G1412" i="7"/>
  <c r="A1417" i="7"/>
  <c r="F1417" i="7" s="1"/>
  <c r="A1418" i="7"/>
  <c r="C1418" i="7"/>
  <c r="D1418" i="7"/>
  <c r="E1418" i="7"/>
  <c r="F1418" i="7"/>
  <c r="A1419" i="7"/>
  <c r="E1419" i="7" s="1"/>
  <c r="C1419" i="7"/>
  <c r="D1419" i="7"/>
  <c r="F1419" i="7"/>
  <c r="A1420" i="7"/>
  <c r="D1420" i="7" s="1"/>
  <c r="C1420" i="7"/>
  <c r="F1420" i="7"/>
  <c r="A1421" i="7"/>
  <c r="A1422" i="7"/>
  <c r="C1422" i="7"/>
  <c r="D1422" i="7"/>
  <c r="E1422" i="7"/>
  <c r="F1422" i="7"/>
  <c r="A1423" i="7"/>
  <c r="E1423" i="7" s="1"/>
  <c r="C1423" i="7"/>
  <c r="D1423" i="7"/>
  <c r="F1423" i="7"/>
  <c r="A1424" i="7"/>
  <c r="D1424" i="7" s="1"/>
  <c r="C1424" i="7"/>
  <c r="F1424" i="7"/>
  <c r="A1425" i="7"/>
  <c r="F1425" i="7" s="1"/>
  <c r="A1426" i="7"/>
  <c r="C1426" i="7"/>
  <c r="D1426" i="7"/>
  <c r="E1426" i="7"/>
  <c r="F1426" i="7"/>
  <c r="A1427" i="7"/>
  <c r="E1427" i="7" s="1"/>
  <c r="C1427" i="7"/>
  <c r="D1427" i="7"/>
  <c r="F1427" i="7"/>
  <c r="A1428" i="7"/>
  <c r="D1428" i="7" s="1"/>
  <c r="C1428" i="7"/>
  <c r="F1428" i="7"/>
  <c r="A1429" i="7"/>
  <c r="A1430" i="7"/>
  <c r="C1430" i="7"/>
  <c r="D1430" i="7"/>
  <c r="E1430" i="7"/>
  <c r="F1430" i="7"/>
  <c r="A1431" i="7"/>
  <c r="E1431" i="7" s="1"/>
  <c r="C1431" i="7"/>
  <c r="D1431" i="7"/>
  <c r="F1431" i="7"/>
  <c r="A1432" i="7"/>
  <c r="D1432" i="7" s="1"/>
  <c r="C1432" i="7"/>
  <c r="F1432" i="7"/>
  <c r="A1433" i="7"/>
  <c r="F1433" i="7"/>
  <c r="A1434" i="7"/>
  <c r="C1434" i="7"/>
  <c r="D1434" i="7"/>
  <c r="E1434" i="7"/>
  <c r="F1434" i="7"/>
  <c r="A1435" i="7"/>
  <c r="E1435" i="7" s="1"/>
  <c r="C1435" i="7"/>
  <c r="D1435" i="7"/>
  <c r="F1435" i="7"/>
  <c r="A1436" i="7"/>
  <c r="D1436" i="7" s="1"/>
  <c r="C1436" i="7"/>
  <c r="F1436" i="7"/>
  <c r="A1437" i="7"/>
  <c r="A1438" i="7"/>
  <c r="C1438" i="7"/>
  <c r="D1438" i="7"/>
  <c r="E1438" i="7"/>
  <c r="F1438" i="7"/>
  <c r="A1439" i="7"/>
  <c r="E1439" i="7" s="1"/>
  <c r="C1439" i="7"/>
  <c r="D1439" i="7"/>
  <c r="F1439" i="7"/>
  <c r="G1440" i="7"/>
  <c r="G1445" i="7"/>
  <c r="A1450" i="7"/>
  <c r="D1450" i="7" s="1"/>
  <c r="C1450" i="7"/>
  <c r="F1450" i="7"/>
  <c r="A1451" i="7"/>
  <c r="A1452" i="7"/>
  <c r="C1452" i="7"/>
  <c r="D1452" i="7"/>
  <c r="E1452" i="7"/>
  <c r="F1452" i="7"/>
  <c r="A1453" i="7"/>
  <c r="E1453" i="7" s="1"/>
  <c r="C1453" i="7"/>
  <c r="D1453" i="7"/>
  <c r="F1453" i="7"/>
  <c r="A1454" i="7"/>
  <c r="D1454" i="7" s="1"/>
  <c r="C1454" i="7"/>
  <c r="F1454" i="7"/>
  <c r="A1455" i="7"/>
  <c r="F1455" i="7"/>
  <c r="A1456" i="7"/>
  <c r="C1456" i="7"/>
  <c r="D1456" i="7"/>
  <c r="E1456" i="7"/>
  <c r="F1456" i="7"/>
  <c r="A1457" i="7"/>
  <c r="E1457" i="7" s="1"/>
  <c r="C1457" i="7"/>
  <c r="D1457" i="7"/>
  <c r="F1457" i="7"/>
  <c r="A1458" i="7"/>
  <c r="D1458" i="7" s="1"/>
  <c r="C1458" i="7"/>
  <c r="F1458" i="7"/>
  <c r="A1459" i="7"/>
  <c r="A1460" i="7"/>
  <c r="C1460" i="7"/>
  <c r="D1460" i="7"/>
  <c r="E1460" i="7"/>
  <c r="F1460" i="7"/>
  <c r="A1461" i="7"/>
  <c r="E1461" i="7" s="1"/>
  <c r="C1461" i="7"/>
  <c r="D1461" i="7"/>
  <c r="F1461" i="7"/>
  <c r="A1462" i="7"/>
  <c r="D1462" i="7" s="1"/>
  <c r="C1462" i="7"/>
  <c r="F1462" i="7"/>
  <c r="A1463" i="7"/>
  <c r="F1463" i="7"/>
  <c r="A1464" i="7"/>
  <c r="C1464" i="7"/>
  <c r="D1464" i="7"/>
  <c r="E1464" i="7"/>
  <c r="F1464" i="7"/>
  <c r="G1465" i="7"/>
  <c r="G1470" i="7"/>
  <c r="A1475" i="7"/>
  <c r="E1475" i="7" s="1"/>
  <c r="C1475" i="7"/>
  <c r="D1475" i="7"/>
  <c r="F1475" i="7"/>
  <c r="A1476" i="7"/>
  <c r="D1476" i="7" s="1"/>
  <c r="C1476" i="7"/>
  <c r="F1476" i="7"/>
  <c r="A1477" i="7"/>
  <c r="F1477" i="7"/>
  <c r="A1478" i="7"/>
  <c r="C1478" i="7"/>
  <c r="D1478" i="7"/>
  <c r="E1478" i="7"/>
  <c r="F1478" i="7"/>
  <c r="A1479" i="7"/>
  <c r="E1479" i="7" s="1"/>
  <c r="C1479" i="7"/>
  <c r="D1479" i="7"/>
  <c r="F1479" i="7"/>
  <c r="A1480" i="7"/>
  <c r="D1480" i="7" s="1"/>
  <c r="C1480" i="7"/>
  <c r="F1480" i="7"/>
  <c r="A1481" i="7"/>
  <c r="A1482" i="7"/>
  <c r="C1482" i="7"/>
  <c r="D1482" i="7"/>
  <c r="E1482" i="7"/>
  <c r="F1482" i="7"/>
  <c r="A1483" i="7"/>
  <c r="E1483" i="7" s="1"/>
  <c r="C1483" i="7"/>
  <c r="D1483" i="7"/>
  <c r="F1483" i="7"/>
  <c r="A1484" i="7"/>
  <c r="D1484" i="7" s="1"/>
  <c r="C1484" i="7"/>
  <c r="F1484" i="7"/>
  <c r="A1485" i="7"/>
  <c r="F1485" i="7"/>
  <c r="A1486" i="7"/>
  <c r="C1486" i="7"/>
  <c r="D1486" i="7"/>
  <c r="E1486" i="7"/>
  <c r="F1486" i="7"/>
  <c r="A1487" i="7"/>
  <c r="E1487" i="7" s="1"/>
  <c r="C1487" i="7"/>
  <c r="D1487" i="7"/>
  <c r="F1487" i="7"/>
  <c r="A1488" i="7"/>
  <c r="D1488" i="7" s="1"/>
  <c r="C1488" i="7"/>
  <c r="F1488" i="7"/>
  <c r="A1489" i="7"/>
  <c r="G1490" i="7"/>
  <c r="G1495" i="7"/>
  <c r="A1500" i="7"/>
  <c r="C1500" i="7"/>
  <c r="D1500" i="7"/>
  <c r="E1500" i="7"/>
  <c r="F1500" i="7"/>
  <c r="A1501" i="7"/>
  <c r="E1501" i="7" s="1"/>
  <c r="C1501" i="7"/>
  <c r="D1501" i="7"/>
  <c r="F1501" i="7"/>
  <c r="A1502" i="7"/>
  <c r="D1502" i="7" s="1"/>
  <c r="C1502" i="7"/>
  <c r="F1502" i="7"/>
  <c r="A1503" i="7"/>
  <c r="F1503" i="7" s="1"/>
  <c r="A1504" i="7"/>
  <c r="C1504" i="7"/>
  <c r="D1504" i="7"/>
  <c r="E1504" i="7"/>
  <c r="F1504" i="7"/>
  <c r="A1505" i="7"/>
  <c r="E1505" i="7" s="1"/>
  <c r="C1505" i="7"/>
  <c r="D1505" i="7"/>
  <c r="F1505" i="7"/>
  <c r="A1506" i="7"/>
  <c r="D1506" i="7" s="1"/>
  <c r="C1506" i="7"/>
  <c r="F1506" i="7"/>
  <c r="A1507" i="7"/>
  <c r="F1507" i="7"/>
  <c r="A1508" i="7"/>
  <c r="C1508" i="7"/>
  <c r="D1508" i="7"/>
  <c r="E1508" i="7"/>
  <c r="F1508" i="7"/>
  <c r="A1509" i="7"/>
  <c r="E1509" i="7" s="1"/>
  <c r="C1509" i="7"/>
  <c r="D1509" i="7"/>
  <c r="F1509" i="7"/>
  <c r="A1510" i="7"/>
  <c r="D1510" i="7" s="1"/>
  <c r="C1510" i="7"/>
  <c r="F1510" i="7"/>
  <c r="A1511" i="7"/>
  <c r="F1511" i="7" s="1"/>
  <c r="A1512" i="7"/>
  <c r="C1512" i="7"/>
  <c r="D1512" i="7"/>
  <c r="E1512" i="7"/>
  <c r="F1512" i="7"/>
  <c r="A1513" i="7"/>
  <c r="E1513" i="7" s="1"/>
  <c r="C1513" i="7"/>
  <c r="D1513" i="7"/>
  <c r="F1513" i="7"/>
  <c r="A1514" i="7"/>
  <c r="D1514" i="7" s="1"/>
  <c r="C1514" i="7"/>
  <c r="F1514" i="7"/>
  <c r="G1515" i="7"/>
  <c r="G1520" i="7"/>
  <c r="A1525" i="7"/>
  <c r="F1525" i="7"/>
  <c r="A1526" i="7"/>
  <c r="C1526" i="7"/>
  <c r="D1526" i="7"/>
  <c r="E1526" i="7"/>
  <c r="F1526" i="7"/>
  <c r="A1527" i="7"/>
  <c r="E1527" i="7" s="1"/>
  <c r="C1527" i="7"/>
  <c r="D1527" i="7"/>
  <c r="F1527" i="7"/>
  <c r="A1528" i="7"/>
  <c r="D1528" i="7" s="1"/>
  <c r="C1528" i="7"/>
  <c r="F1528" i="7"/>
  <c r="A1529" i="7"/>
  <c r="A1530" i="7"/>
  <c r="C1530" i="7"/>
  <c r="D1530" i="7"/>
  <c r="E1530" i="7"/>
  <c r="F1530" i="7"/>
  <c r="A1531" i="7"/>
  <c r="E1531" i="7" s="1"/>
  <c r="C1531" i="7"/>
  <c r="D1531" i="7"/>
  <c r="F1531" i="7"/>
  <c r="A1532" i="7"/>
  <c r="D1532" i="7" s="1"/>
  <c r="C1532" i="7"/>
  <c r="F1532" i="7"/>
  <c r="A1533" i="7"/>
  <c r="F1533" i="7"/>
  <c r="A1534" i="7"/>
  <c r="C1534" i="7"/>
  <c r="D1534" i="7"/>
  <c r="E1534" i="7"/>
  <c r="F1534" i="7"/>
  <c r="A1535" i="7"/>
  <c r="E1535" i="7" s="1"/>
  <c r="C1535" i="7"/>
  <c r="D1535" i="7"/>
  <c r="F1535" i="7"/>
  <c r="A1536" i="7"/>
  <c r="D1536" i="7" s="1"/>
  <c r="C1536" i="7"/>
  <c r="F1536" i="7"/>
  <c r="A1537" i="7"/>
  <c r="A1538" i="7"/>
  <c r="C1538" i="7"/>
  <c r="D1538" i="7"/>
  <c r="E1538" i="7"/>
  <c r="F1538" i="7"/>
  <c r="A1539" i="7"/>
  <c r="E1539" i="7" s="1"/>
  <c r="C1539" i="7"/>
  <c r="D1539" i="7"/>
  <c r="F1539" i="7"/>
  <c r="G1540" i="7"/>
  <c r="G1545" i="7"/>
  <c r="A1550" i="7"/>
  <c r="D1550" i="7" s="1"/>
  <c r="C1550" i="7"/>
  <c r="F1550" i="7"/>
  <c r="A1551" i="7"/>
  <c r="F1551" i="7"/>
  <c r="A1552" i="7"/>
  <c r="C1552" i="7"/>
  <c r="D1552" i="7"/>
  <c r="E1552" i="7"/>
  <c r="F1552" i="7"/>
  <c r="A1553" i="7"/>
  <c r="E1553" i="7" s="1"/>
  <c r="C1553" i="7"/>
  <c r="D1553" i="7"/>
  <c r="F1553" i="7"/>
  <c r="A1554" i="7"/>
  <c r="D1554" i="7" s="1"/>
  <c r="C1554" i="7"/>
  <c r="F1554" i="7"/>
  <c r="A1555" i="7"/>
  <c r="F1555" i="7"/>
  <c r="A1556" i="7"/>
  <c r="C1556" i="7"/>
  <c r="D1556" i="7"/>
  <c r="E1556" i="7"/>
  <c r="F1556" i="7"/>
  <c r="A1557" i="7"/>
  <c r="E1557" i="7" s="1"/>
  <c r="C1557" i="7"/>
  <c r="D1557" i="7"/>
  <c r="F1557" i="7"/>
  <c r="A1558" i="7"/>
  <c r="D1558" i="7" s="1"/>
  <c r="C1558" i="7"/>
  <c r="F1558" i="7"/>
  <c r="A1559" i="7"/>
  <c r="F1559" i="7"/>
  <c r="A1560" i="7"/>
  <c r="C1560" i="7"/>
  <c r="D1560" i="7"/>
  <c r="E1560" i="7"/>
  <c r="F1560" i="7"/>
  <c r="A1561" i="7"/>
  <c r="E1561" i="7" s="1"/>
  <c r="C1561" i="7"/>
  <c r="D1561" i="7"/>
  <c r="F1561" i="7"/>
  <c r="A1562" i="7"/>
  <c r="D1562" i="7" s="1"/>
  <c r="C1562" i="7"/>
  <c r="F1562" i="7"/>
  <c r="A1563" i="7"/>
  <c r="F1563" i="7"/>
  <c r="A1564" i="7"/>
  <c r="C1564" i="7"/>
  <c r="D1564" i="7"/>
  <c r="E1564" i="7"/>
  <c r="F1564" i="7"/>
  <c r="G1565" i="7"/>
  <c r="G1570" i="7"/>
  <c r="A1575" i="7"/>
  <c r="E1575" i="7" s="1"/>
  <c r="C1575" i="7"/>
  <c r="D1575" i="7"/>
  <c r="F1575" i="7"/>
  <c r="A1576" i="7"/>
  <c r="D1576" i="7" s="1"/>
  <c r="C1576" i="7"/>
  <c r="F1576" i="7"/>
  <c r="A1577" i="7"/>
  <c r="F1577" i="7"/>
  <c r="A1578" i="7"/>
  <c r="C1578" i="7"/>
  <c r="D1578" i="7"/>
  <c r="E1578" i="7"/>
  <c r="F1578" i="7"/>
  <c r="A1579" i="7"/>
  <c r="E1579" i="7" s="1"/>
  <c r="C1579" i="7"/>
  <c r="D1579" i="7"/>
  <c r="F1579" i="7"/>
  <c r="A1580" i="7"/>
  <c r="D1580" i="7" s="1"/>
  <c r="C1580" i="7"/>
  <c r="F1580" i="7"/>
  <c r="A1581" i="7"/>
  <c r="F1581" i="7"/>
  <c r="A1582" i="7"/>
  <c r="C1582" i="7"/>
  <c r="D1582" i="7"/>
  <c r="E1582" i="7"/>
  <c r="F1582" i="7"/>
  <c r="A1583" i="7"/>
  <c r="E1583" i="7" s="1"/>
  <c r="C1583" i="7"/>
  <c r="D1583" i="7"/>
  <c r="F1583" i="7"/>
  <c r="A1584" i="7"/>
  <c r="D1584" i="7" s="1"/>
  <c r="C1584" i="7"/>
  <c r="F1584" i="7"/>
  <c r="A1585" i="7"/>
  <c r="F1585" i="7"/>
  <c r="A1586" i="7"/>
  <c r="C1586" i="7"/>
  <c r="D1586" i="7"/>
  <c r="E1586" i="7"/>
  <c r="F1586" i="7"/>
  <c r="A1587" i="7"/>
  <c r="E1587" i="7" s="1"/>
  <c r="C1587" i="7"/>
  <c r="D1587" i="7"/>
  <c r="F1587" i="7"/>
  <c r="A1588" i="7"/>
  <c r="D1588" i="7" s="1"/>
  <c r="C1588" i="7"/>
  <c r="F1588" i="7"/>
  <c r="A1589" i="7"/>
  <c r="F1589" i="7"/>
  <c r="G1590" i="7"/>
  <c r="G1595" i="7"/>
  <c r="A1600" i="7"/>
  <c r="C1600" i="7"/>
  <c r="D1600" i="7"/>
  <c r="E1600" i="7"/>
  <c r="F1600" i="7"/>
  <c r="A1601" i="7"/>
  <c r="E1601" i="7" s="1"/>
  <c r="C1601" i="7"/>
  <c r="D1601" i="7"/>
  <c r="F1601" i="7"/>
  <c r="A1602" i="7"/>
  <c r="D1602" i="7" s="1"/>
  <c r="C1602" i="7"/>
  <c r="F1602" i="7"/>
  <c r="A1603" i="7"/>
  <c r="F1603" i="7" s="1"/>
  <c r="A1604" i="7"/>
  <c r="C1604" i="7"/>
  <c r="D1604" i="7"/>
  <c r="E1604" i="7"/>
  <c r="F1604" i="7"/>
  <c r="A1605" i="7"/>
  <c r="E1605" i="7" s="1"/>
  <c r="C1605" i="7"/>
  <c r="D1605" i="7"/>
  <c r="F1605" i="7"/>
  <c r="A1606" i="7"/>
  <c r="D1606" i="7" s="1"/>
  <c r="C1606" i="7"/>
  <c r="F1606" i="7"/>
  <c r="A1607" i="7"/>
  <c r="F1607" i="7" s="1"/>
  <c r="A1608" i="7"/>
  <c r="C1608" i="7"/>
  <c r="D1608" i="7"/>
  <c r="E1608" i="7"/>
  <c r="F1608" i="7"/>
  <c r="A1609" i="7"/>
  <c r="E1609" i="7" s="1"/>
  <c r="C1609" i="7"/>
  <c r="D1609" i="7"/>
  <c r="F1609" i="7"/>
  <c r="A1610" i="7"/>
  <c r="D1610" i="7" s="1"/>
  <c r="C1610" i="7"/>
  <c r="F1610" i="7"/>
  <c r="A1611" i="7"/>
  <c r="F1611" i="7" s="1"/>
  <c r="A1612" i="7"/>
  <c r="C1612" i="7"/>
  <c r="D1612" i="7"/>
  <c r="E1612" i="7"/>
  <c r="F1612" i="7"/>
  <c r="A1613" i="7"/>
  <c r="E1613" i="7" s="1"/>
  <c r="C1613" i="7"/>
  <c r="D1613" i="7"/>
  <c r="F1613" i="7"/>
  <c r="A1614" i="7"/>
  <c r="D1614" i="7" s="1"/>
  <c r="C1614" i="7"/>
  <c r="F1614" i="7"/>
  <c r="G1615" i="7"/>
  <c r="G1620" i="7"/>
  <c r="A1625" i="7"/>
  <c r="F1625" i="7"/>
  <c r="A1626" i="7"/>
  <c r="C1626" i="7"/>
  <c r="D1626" i="7"/>
  <c r="E1626" i="7"/>
  <c r="F1626" i="7"/>
  <c r="A1627" i="7"/>
  <c r="E1627" i="7" s="1"/>
  <c r="C1627" i="7"/>
  <c r="D1627" i="7"/>
  <c r="F1627" i="7"/>
  <c r="A1628" i="7"/>
  <c r="D1628" i="7" s="1"/>
  <c r="C1628" i="7"/>
  <c r="F1628" i="7"/>
  <c r="A1629" i="7"/>
  <c r="F1629" i="7"/>
  <c r="A1630" i="7"/>
  <c r="C1630" i="7"/>
  <c r="D1630" i="7"/>
  <c r="E1630" i="7"/>
  <c r="F1630" i="7"/>
  <c r="A1631" i="7"/>
  <c r="E1631" i="7" s="1"/>
  <c r="C1631" i="7"/>
  <c r="D1631" i="7"/>
  <c r="F1631" i="7"/>
  <c r="A1632" i="7"/>
  <c r="D1632" i="7" s="1"/>
  <c r="C1632" i="7"/>
  <c r="F1632" i="7"/>
  <c r="A1633" i="7"/>
  <c r="F1633" i="7"/>
  <c r="A1634" i="7"/>
  <c r="C1634" i="7"/>
  <c r="D1634" i="7"/>
  <c r="E1634" i="7"/>
  <c r="F1634" i="7"/>
  <c r="A1635" i="7"/>
  <c r="E1635" i="7" s="1"/>
  <c r="C1635" i="7"/>
  <c r="D1635" i="7"/>
  <c r="F1635" i="7"/>
  <c r="A1636" i="7"/>
  <c r="D1636" i="7" s="1"/>
  <c r="C1636" i="7"/>
  <c r="F1636" i="7"/>
  <c r="A1637" i="7"/>
  <c r="F1637" i="7"/>
  <c r="A1638" i="7"/>
  <c r="C1638" i="7"/>
  <c r="D1638" i="7"/>
  <c r="E1638" i="7"/>
  <c r="F1638" i="7"/>
  <c r="A1639" i="7"/>
  <c r="E1639" i="7" s="1"/>
  <c r="C1639" i="7"/>
  <c r="D1639" i="7"/>
  <c r="F1639" i="7"/>
  <c r="G1640" i="7"/>
  <c r="G1645" i="7"/>
  <c r="A1650" i="7"/>
  <c r="D1650" i="7" s="1"/>
  <c r="C1650" i="7"/>
  <c r="F1650" i="7"/>
  <c r="A1651" i="7"/>
  <c r="F1651" i="7"/>
  <c r="A1652" i="7"/>
  <c r="C1652" i="7"/>
  <c r="D1652" i="7"/>
  <c r="E1652" i="7"/>
  <c r="F1652" i="7"/>
  <c r="A1653" i="7"/>
  <c r="E1653" i="7" s="1"/>
  <c r="C1653" i="7"/>
  <c r="D1653" i="7"/>
  <c r="F1653" i="7"/>
  <c r="A1654" i="7"/>
  <c r="D1654" i="7" s="1"/>
  <c r="C1654" i="7"/>
  <c r="F1654" i="7"/>
  <c r="A1655" i="7"/>
  <c r="F1655" i="7"/>
  <c r="A1656" i="7"/>
  <c r="C1656" i="7"/>
  <c r="D1656" i="7"/>
  <c r="E1656" i="7"/>
  <c r="F1656" i="7"/>
  <c r="A1657" i="7"/>
  <c r="E1657" i="7" s="1"/>
  <c r="C1657" i="7"/>
  <c r="D1657" i="7"/>
  <c r="F1657" i="7"/>
  <c r="A1658" i="7"/>
  <c r="D1658" i="7" s="1"/>
  <c r="C1658" i="7"/>
  <c r="F1658" i="7"/>
  <c r="A1659" i="7"/>
  <c r="F1659" i="7"/>
  <c r="A1660" i="7"/>
  <c r="C1660" i="7"/>
  <c r="D1660" i="7"/>
  <c r="E1660" i="7"/>
  <c r="F1660" i="7"/>
  <c r="A1661" i="7"/>
  <c r="E1661" i="7" s="1"/>
  <c r="C1661" i="7"/>
  <c r="D1661" i="7"/>
  <c r="F1661" i="7"/>
  <c r="A1662" i="7"/>
  <c r="D1662" i="7" s="1"/>
  <c r="C1662" i="7"/>
  <c r="F1662" i="7"/>
  <c r="A1663" i="7"/>
  <c r="F1663" i="7"/>
  <c r="A1664" i="7"/>
  <c r="C1664" i="7"/>
  <c r="D1664" i="7"/>
  <c r="E1664" i="7"/>
  <c r="F1664" i="7"/>
  <c r="G1665" i="7"/>
  <c r="G1670" i="7"/>
  <c r="A1675" i="7"/>
  <c r="E1675" i="7" s="1"/>
  <c r="C1675" i="7"/>
  <c r="D1675" i="7"/>
  <c r="F1675" i="7"/>
  <c r="A1676" i="7"/>
  <c r="D1676" i="7" s="1"/>
  <c r="C1676" i="7"/>
  <c r="F1676" i="7"/>
  <c r="A1677" i="7"/>
  <c r="F1677" i="7"/>
  <c r="A1678" i="7"/>
  <c r="C1678" i="7"/>
  <c r="D1678" i="7"/>
  <c r="E1678" i="7"/>
  <c r="F1678" i="7"/>
  <c r="A1679" i="7"/>
  <c r="E1679" i="7" s="1"/>
  <c r="C1679" i="7"/>
  <c r="D1679" i="7"/>
  <c r="F1679" i="7"/>
  <c r="A1680" i="7"/>
  <c r="D1680" i="7" s="1"/>
  <c r="C1680" i="7"/>
  <c r="F1680" i="7"/>
  <c r="A1681" i="7"/>
  <c r="F1681" i="7"/>
  <c r="A1682" i="7"/>
  <c r="C1682" i="7"/>
  <c r="D1682" i="7"/>
  <c r="E1682" i="7"/>
  <c r="F1682" i="7"/>
  <c r="A1683" i="7"/>
  <c r="E1683" i="7" s="1"/>
  <c r="C1683" i="7"/>
  <c r="D1683" i="7"/>
  <c r="F1683" i="7"/>
  <c r="A1684" i="7"/>
  <c r="D1684" i="7" s="1"/>
  <c r="C1684" i="7"/>
  <c r="F1684" i="7"/>
  <c r="A1685" i="7"/>
  <c r="F1685" i="7"/>
  <c r="A1686" i="7"/>
  <c r="C1686" i="7"/>
  <c r="D1686" i="7"/>
  <c r="E1686" i="7"/>
  <c r="F1686" i="7"/>
  <c r="A1687" i="7"/>
  <c r="E1687" i="7" s="1"/>
  <c r="C1687" i="7"/>
  <c r="D1687" i="7"/>
  <c r="F1687" i="7"/>
  <c r="A1688" i="7"/>
  <c r="D1688" i="7" s="1"/>
  <c r="C1688" i="7"/>
  <c r="F1688" i="7"/>
  <c r="A1689" i="7"/>
  <c r="F1689" i="7"/>
  <c r="G1690" i="7"/>
  <c r="G1695" i="7"/>
  <c r="A1700" i="7"/>
  <c r="C1700" i="7"/>
  <c r="D1700" i="7"/>
  <c r="E1700" i="7"/>
  <c r="F1700" i="7"/>
  <c r="A1701" i="7"/>
  <c r="E1701" i="7" s="1"/>
  <c r="C1701" i="7"/>
  <c r="D1701" i="7"/>
  <c r="F1701" i="7"/>
  <c r="A1702" i="7"/>
  <c r="D1702" i="7" s="1"/>
  <c r="C1702" i="7"/>
  <c r="F1702" i="7"/>
  <c r="A1703" i="7"/>
  <c r="F1703" i="7" s="1"/>
  <c r="A1704" i="7"/>
  <c r="C1704" i="7"/>
  <c r="D1704" i="7"/>
  <c r="E1704" i="7"/>
  <c r="F1704" i="7"/>
  <c r="A1705" i="7"/>
  <c r="E1705" i="7" s="1"/>
  <c r="C1705" i="7"/>
  <c r="D1705" i="7"/>
  <c r="F1705" i="7"/>
  <c r="A1706" i="7"/>
  <c r="D1706" i="7" s="1"/>
  <c r="C1706" i="7"/>
  <c r="F1706" i="7"/>
  <c r="A1707" i="7"/>
  <c r="F1707" i="7" s="1"/>
  <c r="A1708" i="7"/>
  <c r="C1708" i="7"/>
  <c r="D1708" i="7"/>
  <c r="E1708" i="7"/>
  <c r="F1708" i="7"/>
  <c r="A1709" i="7"/>
  <c r="E1709" i="7" s="1"/>
  <c r="C1709" i="7"/>
  <c r="D1709" i="7"/>
  <c r="F1709" i="7"/>
  <c r="A1710" i="7"/>
  <c r="D1710" i="7" s="1"/>
  <c r="C1710" i="7"/>
  <c r="F1710" i="7"/>
  <c r="A1711" i="7"/>
  <c r="F1711" i="7" s="1"/>
  <c r="A1712" i="7"/>
  <c r="C1712" i="7"/>
  <c r="D1712" i="7"/>
  <c r="E1712" i="7"/>
  <c r="F1712" i="7"/>
  <c r="A1713" i="7"/>
  <c r="E1713" i="7" s="1"/>
  <c r="C1713" i="7"/>
  <c r="D1713" i="7"/>
  <c r="F1713" i="7"/>
  <c r="A1714" i="7"/>
  <c r="D1714" i="7" s="1"/>
  <c r="C1714" i="7"/>
  <c r="F1714" i="7"/>
  <c r="G1715" i="7"/>
  <c r="G1720" i="7"/>
  <c r="A1725" i="7"/>
  <c r="F1725" i="7"/>
  <c r="A1726" i="7"/>
  <c r="C1726" i="7"/>
  <c r="D1726" i="7"/>
  <c r="E1726" i="7"/>
  <c r="F1726" i="7"/>
  <c r="A1727" i="7"/>
  <c r="E1727" i="7" s="1"/>
  <c r="C1727" i="7"/>
  <c r="D1727" i="7"/>
  <c r="F1727" i="7"/>
  <c r="A1728" i="7"/>
  <c r="D1728" i="7" s="1"/>
  <c r="C1728" i="7"/>
  <c r="F1728" i="7"/>
  <c r="A1729" i="7"/>
  <c r="F1729" i="7"/>
  <c r="A1730" i="7"/>
  <c r="C1730" i="7"/>
  <c r="D1730" i="7"/>
  <c r="E1730" i="7"/>
  <c r="F1730" i="7"/>
  <c r="A1731" i="7"/>
  <c r="E1731" i="7" s="1"/>
  <c r="C1731" i="7"/>
  <c r="D1731" i="7"/>
  <c r="F1731" i="7"/>
  <c r="A1732" i="7"/>
  <c r="D1732" i="7" s="1"/>
  <c r="C1732" i="7"/>
  <c r="F1732" i="7"/>
  <c r="A1733" i="7"/>
  <c r="F1733" i="7"/>
  <c r="A1734" i="7"/>
  <c r="C1734" i="7"/>
  <c r="D1734" i="7"/>
  <c r="E1734" i="7"/>
  <c r="F1734" i="7"/>
  <c r="A1735" i="7"/>
  <c r="E1735" i="7" s="1"/>
  <c r="C1735" i="7"/>
  <c r="D1735" i="7"/>
  <c r="F1735" i="7"/>
  <c r="A1736" i="7"/>
  <c r="D1736" i="7" s="1"/>
  <c r="C1736" i="7"/>
  <c r="F1736" i="7"/>
  <c r="A1737" i="7"/>
  <c r="F1737" i="7"/>
  <c r="A1738" i="7"/>
  <c r="C1738" i="7"/>
  <c r="D1738" i="7"/>
  <c r="E1738" i="7"/>
  <c r="F1738" i="7"/>
  <c r="A1739" i="7"/>
  <c r="E1739" i="7" s="1"/>
  <c r="C1739" i="7"/>
  <c r="D1739" i="7"/>
  <c r="F1739" i="7"/>
  <c r="G1740" i="7"/>
  <c r="G1745" i="7"/>
  <c r="A1750" i="7"/>
  <c r="D1750" i="7" s="1"/>
  <c r="C1750" i="7"/>
  <c r="F1750" i="7"/>
  <c r="A1751" i="7"/>
  <c r="F1751" i="7"/>
  <c r="A1752" i="7"/>
  <c r="C1752" i="7"/>
  <c r="D1752" i="7"/>
  <c r="E1752" i="7"/>
  <c r="F1752" i="7"/>
  <c r="A1753" i="7"/>
  <c r="E1753" i="7" s="1"/>
  <c r="C1753" i="7"/>
  <c r="D1753" i="7"/>
  <c r="F1753" i="7"/>
  <c r="A1754" i="7"/>
  <c r="D1754" i="7" s="1"/>
  <c r="C1754" i="7"/>
  <c r="F1754" i="7"/>
  <c r="A1755" i="7"/>
  <c r="F1755" i="7"/>
  <c r="A1756" i="7"/>
  <c r="C1756" i="7"/>
  <c r="D1756" i="7"/>
  <c r="E1756" i="7"/>
  <c r="F1756" i="7"/>
  <c r="A1757" i="7"/>
  <c r="E1757" i="7" s="1"/>
  <c r="C1757" i="7"/>
  <c r="D1757" i="7"/>
  <c r="F1757" i="7"/>
  <c r="A1758" i="7"/>
  <c r="D1758" i="7" s="1"/>
  <c r="C1758" i="7"/>
  <c r="F1758" i="7"/>
  <c r="A1759" i="7"/>
  <c r="F1759" i="7"/>
  <c r="A1760" i="7"/>
  <c r="C1760" i="7"/>
  <c r="D1760" i="7"/>
  <c r="E1760" i="7"/>
  <c r="F1760" i="7"/>
  <c r="A1761" i="7"/>
  <c r="E1761" i="7" s="1"/>
  <c r="C1761" i="7"/>
  <c r="D1761" i="7"/>
  <c r="F1761" i="7"/>
  <c r="A1762" i="7"/>
  <c r="D1762" i="7" s="1"/>
  <c r="C1762" i="7"/>
  <c r="F1762" i="7"/>
  <c r="A1763" i="7"/>
  <c r="F1763" i="7"/>
  <c r="A1764" i="7"/>
  <c r="C1764" i="7"/>
  <c r="D1764" i="7"/>
  <c r="E1764" i="7"/>
  <c r="F1764" i="7"/>
  <c r="G1765" i="7"/>
  <c r="G1770" i="7"/>
  <c r="A1775" i="7"/>
  <c r="E1775" i="7" s="1"/>
  <c r="C1775" i="7"/>
  <c r="D1775" i="7"/>
  <c r="F1775" i="7"/>
  <c r="A1776" i="7"/>
  <c r="D1776" i="7" s="1"/>
  <c r="C1776" i="7"/>
  <c r="F1776" i="7"/>
  <c r="A1777" i="7"/>
  <c r="F1777" i="7"/>
  <c r="A1778" i="7"/>
  <c r="C1778" i="7"/>
  <c r="D1778" i="7"/>
  <c r="E1778" i="7"/>
  <c r="F1778" i="7"/>
  <c r="A1779" i="7"/>
  <c r="E1779" i="7" s="1"/>
  <c r="C1779" i="7"/>
  <c r="D1779" i="7"/>
  <c r="F1779" i="7"/>
  <c r="A1780" i="7"/>
  <c r="D1780" i="7" s="1"/>
  <c r="C1780" i="7"/>
  <c r="F1780" i="7"/>
  <c r="A1781" i="7"/>
  <c r="E1781" i="7"/>
  <c r="A1782" i="7"/>
  <c r="C1782" i="7"/>
  <c r="D1782" i="7"/>
  <c r="E1782" i="7"/>
  <c r="F1782" i="7"/>
  <c r="A1783" i="7"/>
  <c r="E1783" i="7" s="1"/>
  <c r="C1783" i="7"/>
  <c r="D1783" i="7"/>
  <c r="F1783" i="7"/>
  <c r="A1784" i="7"/>
  <c r="C1784" i="7"/>
  <c r="A1785" i="7"/>
  <c r="E1785" i="7" s="1"/>
  <c r="F1785" i="7"/>
  <c r="A1786" i="7"/>
  <c r="C1786" i="7"/>
  <c r="D1786" i="7"/>
  <c r="E1786" i="7"/>
  <c r="F1786" i="7"/>
  <c r="A1787" i="7"/>
  <c r="E1787" i="7" s="1"/>
  <c r="C1787" i="7"/>
  <c r="D1787" i="7"/>
  <c r="F1787" i="7"/>
  <c r="A1788" i="7"/>
  <c r="C1788" i="7" s="1"/>
  <c r="F1788" i="7"/>
  <c r="A1789" i="7"/>
  <c r="E1789" i="7"/>
  <c r="F1789" i="7"/>
  <c r="G1790" i="7"/>
  <c r="G1795" i="7"/>
  <c r="A1800" i="7"/>
  <c r="C1800" i="7"/>
  <c r="D1800" i="7"/>
  <c r="E1800" i="7"/>
  <c r="F1800" i="7"/>
  <c r="A1801" i="7"/>
  <c r="E1801" i="7" s="1"/>
  <c r="C1801" i="7"/>
  <c r="D1801" i="7"/>
  <c r="F1801" i="7"/>
  <c r="A1802" i="7"/>
  <c r="C1802" i="7" s="1"/>
  <c r="A1803" i="7"/>
  <c r="E1803" i="7"/>
  <c r="A1804" i="7"/>
  <c r="C1804" i="7"/>
  <c r="D1804" i="7"/>
  <c r="E1804" i="7"/>
  <c r="F1804" i="7"/>
  <c r="A1805" i="7"/>
  <c r="E1805" i="7" s="1"/>
  <c r="C1805" i="7"/>
  <c r="D1805" i="7"/>
  <c r="F1805" i="7"/>
  <c r="A1806" i="7"/>
  <c r="C1806" i="7"/>
  <c r="A1807" i="7"/>
  <c r="E1807" i="7" s="1"/>
  <c r="F1807" i="7"/>
  <c r="A1808" i="7"/>
  <c r="C1808" i="7"/>
  <c r="D1808" i="7"/>
  <c r="E1808" i="7"/>
  <c r="F1808" i="7"/>
  <c r="A1809" i="7"/>
  <c r="E1809" i="7" s="1"/>
  <c r="C1809" i="7"/>
  <c r="D1809" i="7"/>
  <c r="F1809" i="7"/>
  <c r="A1810" i="7"/>
  <c r="C1810" i="7" s="1"/>
  <c r="F1810" i="7"/>
  <c r="A1811" i="7"/>
  <c r="E1811" i="7"/>
  <c r="F1811" i="7"/>
  <c r="A1812" i="7"/>
  <c r="C1812" i="7"/>
  <c r="D1812" i="7"/>
  <c r="E1812" i="7"/>
  <c r="F1812" i="7"/>
  <c r="A1813" i="7"/>
  <c r="E1813" i="7" s="1"/>
  <c r="C1813" i="7"/>
  <c r="D1813" i="7"/>
  <c r="F1813" i="7"/>
  <c r="A1814" i="7"/>
  <c r="C1814" i="7"/>
  <c r="F1814" i="7"/>
  <c r="G1815" i="7"/>
  <c r="G1820" i="7"/>
  <c r="A1825" i="7"/>
  <c r="E1825" i="7" s="1"/>
  <c r="A1826" i="7"/>
  <c r="C1826" i="7"/>
  <c r="D1826" i="7"/>
  <c r="E1826" i="7"/>
  <c r="F1826" i="7"/>
  <c r="A1827" i="7"/>
  <c r="E1827" i="7" s="1"/>
  <c r="C1827" i="7"/>
  <c r="D1827" i="7"/>
  <c r="F1827" i="7"/>
  <c r="A1828" i="7"/>
  <c r="C1828" i="7" s="1"/>
  <c r="A1829" i="7"/>
  <c r="E1829" i="7"/>
  <c r="A1830" i="7"/>
  <c r="C1830" i="7"/>
  <c r="D1830" i="7"/>
  <c r="E1830" i="7"/>
  <c r="F1830" i="7"/>
  <c r="A1831" i="7"/>
  <c r="E1831" i="7" s="1"/>
  <c r="C1831" i="7"/>
  <c r="D1831" i="7"/>
  <c r="F1831" i="7"/>
  <c r="A1832" i="7"/>
  <c r="C1832" i="7"/>
  <c r="A1833" i="7"/>
  <c r="E1833" i="7" s="1"/>
  <c r="F1833" i="7"/>
  <c r="A1834" i="7"/>
  <c r="C1834" i="7"/>
  <c r="D1834" i="7"/>
  <c r="E1834" i="7"/>
  <c r="F1834" i="7"/>
  <c r="A1835" i="7"/>
  <c r="E1835" i="7" s="1"/>
  <c r="C1835" i="7"/>
  <c r="D1835" i="7"/>
  <c r="F1835" i="7"/>
  <c r="A1836" i="7"/>
  <c r="C1836" i="7" s="1"/>
  <c r="F1836" i="7"/>
  <c r="A1837" i="7"/>
  <c r="E1837" i="7"/>
  <c r="F1837" i="7"/>
  <c r="A1838" i="7"/>
  <c r="C1838" i="7"/>
  <c r="D1838" i="7"/>
  <c r="E1838" i="7"/>
  <c r="F1838" i="7"/>
  <c r="A1839" i="7"/>
  <c r="E1839" i="7" s="1"/>
  <c r="C1839" i="7"/>
  <c r="D1839" i="7"/>
  <c r="F1839" i="7"/>
  <c r="G1840" i="7"/>
  <c r="G1847" i="7"/>
  <c r="A1852" i="7"/>
  <c r="C1852" i="7" s="1"/>
  <c r="A1853" i="7"/>
  <c r="E1853" i="7"/>
  <c r="A1854" i="7"/>
  <c r="C1854" i="7"/>
  <c r="D1854" i="7"/>
  <c r="E1854" i="7"/>
  <c r="F1854" i="7"/>
  <c r="A1855" i="7"/>
  <c r="E1855" i="7" s="1"/>
  <c r="C1855" i="7"/>
  <c r="D1855" i="7"/>
  <c r="F1855" i="7"/>
  <c r="A1856" i="7"/>
  <c r="C1856" i="7"/>
  <c r="A1857" i="7"/>
  <c r="E1857" i="7" s="1"/>
  <c r="F1857" i="7"/>
  <c r="A1858" i="7"/>
  <c r="C1858" i="7"/>
  <c r="D1858" i="7"/>
  <c r="E1858" i="7"/>
  <c r="F1858" i="7"/>
  <c r="A1859" i="7"/>
  <c r="E1859" i="7" s="1"/>
  <c r="C1859" i="7"/>
  <c r="D1859" i="7"/>
  <c r="F1859" i="7"/>
  <c r="A1860" i="7"/>
  <c r="C1860" i="7" s="1"/>
  <c r="F1860" i="7"/>
  <c r="A1861" i="7"/>
  <c r="E1861" i="7"/>
  <c r="F1861" i="7"/>
  <c r="A1862" i="7"/>
  <c r="C1862" i="7"/>
  <c r="D1862" i="7"/>
  <c r="E1862" i="7"/>
  <c r="F1862" i="7"/>
  <c r="A1863" i="7"/>
  <c r="E1863" i="7" s="1"/>
  <c r="C1863" i="7"/>
  <c r="D1863" i="7"/>
  <c r="F1863" i="7"/>
  <c r="A1864" i="7"/>
  <c r="C1864" i="7"/>
  <c r="F1864" i="7"/>
  <c r="A1865" i="7"/>
  <c r="E1865" i="7" s="1"/>
  <c r="A1866" i="7"/>
  <c r="C1866" i="7"/>
  <c r="D1866" i="7"/>
  <c r="E1866" i="7"/>
  <c r="F1866" i="7"/>
  <c r="G1867" i="7"/>
  <c r="G1872" i="7"/>
  <c r="A1877" i="7"/>
  <c r="E1877" i="7" s="1"/>
  <c r="C1877" i="7"/>
  <c r="D1877" i="7"/>
  <c r="F1877" i="7"/>
  <c r="A1878" i="7"/>
  <c r="C1878" i="7" s="1"/>
  <c r="F1878" i="7"/>
  <c r="A1879" i="7"/>
  <c r="E1879" i="7"/>
  <c r="F1879" i="7"/>
  <c r="A1880" i="7"/>
  <c r="C1880" i="7"/>
  <c r="D1880" i="7"/>
  <c r="E1880" i="7"/>
  <c r="F1880" i="7"/>
  <c r="A1881" i="7"/>
  <c r="E1881" i="7" s="1"/>
  <c r="C1881" i="7"/>
  <c r="D1881" i="7"/>
  <c r="F1881" i="7"/>
  <c r="A1882" i="7"/>
  <c r="C1882" i="7"/>
  <c r="F1882" i="7"/>
  <c r="A1883" i="7"/>
  <c r="E1883" i="7" s="1"/>
  <c r="A1884" i="7"/>
  <c r="C1884" i="7"/>
  <c r="D1884" i="7"/>
  <c r="E1884" i="7"/>
  <c r="F1884" i="7"/>
  <c r="A1885" i="7"/>
  <c r="E1885" i="7" s="1"/>
  <c r="C1885" i="7"/>
  <c r="D1885" i="7"/>
  <c r="F1885" i="7"/>
  <c r="A1886" i="7"/>
  <c r="C1886" i="7" s="1"/>
  <c r="A1887" i="7"/>
  <c r="E1887" i="7"/>
  <c r="A1888" i="7"/>
  <c r="C1888" i="7"/>
  <c r="D1888" i="7"/>
  <c r="E1888" i="7"/>
  <c r="F1888" i="7"/>
  <c r="A1889" i="7"/>
  <c r="E1889" i="7" s="1"/>
  <c r="C1889" i="7"/>
  <c r="D1889" i="7"/>
  <c r="F1889" i="7"/>
  <c r="A1890" i="7"/>
  <c r="C1890" i="7"/>
  <c r="A1891" i="7"/>
  <c r="E1891" i="7" s="1"/>
  <c r="F1891" i="7"/>
  <c r="G1892" i="7"/>
  <c r="G1897" i="7"/>
  <c r="A1902" i="7"/>
  <c r="C1902" i="7"/>
  <c r="D1902" i="7"/>
  <c r="E1902" i="7"/>
  <c r="F1902" i="7"/>
  <c r="A1903" i="7"/>
  <c r="E1903" i="7" s="1"/>
  <c r="C1903" i="7"/>
  <c r="D1903" i="7"/>
  <c r="F1903" i="7"/>
  <c r="A1904" i="7"/>
  <c r="C1904" i="7"/>
  <c r="F1904" i="7"/>
  <c r="A1905" i="7"/>
  <c r="E1905" i="7" s="1"/>
  <c r="A1906" i="7"/>
  <c r="C1906" i="7"/>
  <c r="D1906" i="7"/>
  <c r="E1906" i="7"/>
  <c r="F1906" i="7"/>
  <c r="A1907" i="7"/>
  <c r="E1907" i="7" s="1"/>
  <c r="C1907" i="7"/>
  <c r="D1907" i="7"/>
  <c r="F1907" i="7"/>
  <c r="A1908" i="7"/>
  <c r="C1908" i="7" s="1"/>
  <c r="A1909" i="7"/>
  <c r="E1909" i="7"/>
  <c r="A1910" i="7"/>
  <c r="C1910" i="7"/>
  <c r="D1910" i="7"/>
  <c r="E1910" i="7"/>
  <c r="F1910" i="7"/>
  <c r="A1911" i="7"/>
  <c r="E1911" i="7" s="1"/>
  <c r="C1911" i="7"/>
  <c r="D1911" i="7"/>
  <c r="F1911" i="7"/>
  <c r="A1912" i="7"/>
  <c r="C1912" i="7"/>
  <c r="A1913" i="7"/>
  <c r="E1913" i="7" s="1"/>
  <c r="F1913" i="7"/>
  <c r="A1914" i="7"/>
  <c r="C1914" i="7"/>
  <c r="D1914" i="7"/>
  <c r="E1914" i="7"/>
  <c r="F1914" i="7"/>
  <c r="A1915" i="7"/>
  <c r="E1915" i="7" s="1"/>
  <c r="C1915" i="7"/>
  <c r="D1915" i="7"/>
  <c r="F1915" i="7"/>
  <c r="A1916" i="7"/>
  <c r="C1916" i="7" s="1"/>
  <c r="F1916" i="7"/>
  <c r="G1917" i="7"/>
  <c r="G1922" i="7"/>
  <c r="A1927" i="7"/>
  <c r="E1927" i="7"/>
  <c r="F1927" i="7"/>
  <c r="A1928" i="7"/>
  <c r="C1928" i="7"/>
  <c r="D1928" i="7"/>
  <c r="E1928" i="7"/>
  <c r="F1928" i="7"/>
  <c r="A1929" i="7"/>
  <c r="E1929" i="7" s="1"/>
  <c r="C1929" i="7"/>
  <c r="D1929" i="7"/>
  <c r="F1929" i="7"/>
  <c r="A1930" i="7"/>
  <c r="C1930" i="7"/>
  <c r="F1930" i="7"/>
  <c r="A1931" i="7"/>
  <c r="E1931" i="7" s="1"/>
  <c r="A1932" i="7"/>
  <c r="C1932" i="7"/>
  <c r="D1932" i="7"/>
  <c r="E1932" i="7"/>
  <c r="F1932" i="7"/>
  <c r="A1933" i="7"/>
  <c r="E1933" i="7" s="1"/>
  <c r="C1933" i="7"/>
  <c r="D1933" i="7"/>
  <c r="F1933" i="7"/>
  <c r="A1934" i="7"/>
  <c r="C1934" i="7" s="1"/>
  <c r="A1935" i="7"/>
  <c r="E1935" i="7"/>
  <c r="A1936" i="7"/>
  <c r="C1936" i="7"/>
  <c r="D1936" i="7"/>
  <c r="E1936" i="7"/>
  <c r="F1936" i="7"/>
  <c r="A1937" i="7"/>
  <c r="E1937" i="7" s="1"/>
  <c r="C1937" i="7"/>
  <c r="D1937" i="7"/>
  <c r="F1937" i="7"/>
  <c r="A1938" i="7"/>
  <c r="C1938" i="7"/>
  <c r="A1939" i="7"/>
  <c r="E1939" i="7" s="1"/>
  <c r="F1939" i="7"/>
  <c r="A1940" i="7"/>
  <c r="C1940" i="7"/>
  <c r="D1940" i="7"/>
  <c r="E1940" i="7"/>
  <c r="F1940" i="7"/>
  <c r="A1941" i="7"/>
  <c r="E1941" i="7" s="1"/>
  <c r="C1941" i="7"/>
  <c r="D1941" i="7"/>
  <c r="F1941" i="7"/>
  <c r="A1942" i="7"/>
  <c r="C1942" i="7" s="1"/>
  <c r="F1942" i="7"/>
  <c r="G1943" i="7"/>
  <c r="G1948" i="7"/>
  <c r="A1953" i="7"/>
  <c r="E1953" i="7"/>
  <c r="F1953" i="7"/>
  <c r="A1954" i="7"/>
  <c r="C1954" i="7"/>
  <c r="D1954" i="7"/>
  <c r="E1954" i="7"/>
  <c r="F1954" i="7"/>
  <c r="A1955" i="7"/>
  <c r="E1955" i="7" s="1"/>
  <c r="C1955" i="7"/>
  <c r="D1955" i="7"/>
  <c r="F1955" i="7"/>
  <c r="A1956" i="7"/>
  <c r="C1956" i="7"/>
  <c r="F1956" i="7"/>
  <c r="A1957" i="7"/>
  <c r="E1957" i="7" s="1"/>
  <c r="A1958" i="7"/>
  <c r="C1958" i="7"/>
  <c r="D1958" i="7"/>
  <c r="E1958" i="7"/>
  <c r="F1958" i="7"/>
  <c r="A1959" i="7"/>
  <c r="E1959" i="7" s="1"/>
  <c r="C1959" i="7"/>
  <c r="D1959" i="7"/>
  <c r="F1959" i="7"/>
  <c r="A1960" i="7"/>
  <c r="C1960" i="7" s="1"/>
  <c r="A1961" i="7"/>
  <c r="E1961" i="7"/>
  <c r="A1962" i="7"/>
  <c r="C1962" i="7"/>
  <c r="D1962" i="7"/>
  <c r="E1962" i="7"/>
  <c r="F1962" i="7"/>
  <c r="A1963" i="7"/>
  <c r="E1963" i="7" s="1"/>
  <c r="C1963" i="7"/>
  <c r="D1963" i="7"/>
  <c r="F1963" i="7"/>
  <c r="A1964" i="7"/>
  <c r="C1964" i="7"/>
  <c r="A1965" i="7"/>
  <c r="E1965" i="7" s="1"/>
  <c r="F1965" i="7"/>
  <c r="A1966" i="7"/>
  <c r="C1966" i="7"/>
  <c r="D1966" i="7"/>
  <c r="E1966" i="7"/>
  <c r="F1966" i="7"/>
  <c r="A1967" i="7"/>
  <c r="E1967" i="7" s="1"/>
  <c r="C1967" i="7"/>
  <c r="D1967" i="7"/>
  <c r="F1967" i="7"/>
  <c r="G1968" i="7"/>
  <c r="G1973" i="7"/>
  <c r="A1978" i="7"/>
  <c r="C1978" i="7"/>
  <c r="F1978" i="7"/>
  <c r="A1979" i="7"/>
  <c r="E1979" i="7" s="1"/>
  <c r="A1980" i="7"/>
  <c r="C1980" i="7"/>
  <c r="D1980" i="7"/>
  <c r="E1980" i="7"/>
  <c r="F1980" i="7"/>
  <c r="A1981" i="7"/>
  <c r="E1981" i="7" s="1"/>
  <c r="C1981" i="7"/>
  <c r="D1981" i="7"/>
  <c r="F1981" i="7"/>
  <c r="A1982" i="7"/>
  <c r="C1982" i="7" s="1"/>
  <c r="A1983" i="7"/>
  <c r="E1983" i="7"/>
  <c r="A1984" i="7"/>
  <c r="C1984" i="7"/>
  <c r="D1984" i="7"/>
  <c r="E1984" i="7"/>
  <c r="F1984" i="7"/>
  <c r="A1985" i="7"/>
  <c r="E1985" i="7" s="1"/>
  <c r="C1985" i="7"/>
  <c r="D1985" i="7"/>
  <c r="F1985" i="7"/>
  <c r="A1986" i="7"/>
  <c r="C1986" i="7"/>
  <c r="A1987" i="7"/>
  <c r="E1987" i="7" s="1"/>
  <c r="F1987" i="7"/>
  <c r="A1988" i="7"/>
  <c r="C1988" i="7"/>
  <c r="D1988" i="7"/>
  <c r="E1988" i="7"/>
  <c r="F1988" i="7"/>
  <c r="A1989" i="7"/>
  <c r="E1989" i="7" s="1"/>
  <c r="C1989" i="7"/>
  <c r="D1989" i="7"/>
  <c r="F1989" i="7"/>
  <c r="A1990" i="7"/>
  <c r="C1990" i="7" s="1"/>
  <c r="F1990" i="7"/>
  <c r="A1991" i="7"/>
  <c r="E1991" i="7"/>
  <c r="F1991" i="7"/>
  <c r="A1992" i="7"/>
  <c r="C1992" i="7"/>
  <c r="D1992" i="7"/>
  <c r="E1992" i="7"/>
  <c r="F1992" i="7"/>
  <c r="G1993" i="7"/>
  <c r="G1998" i="7"/>
  <c r="A2003" i="7"/>
  <c r="E2003" i="7" s="1"/>
  <c r="C2003" i="7"/>
  <c r="D2003" i="7"/>
  <c r="F2003" i="7"/>
  <c r="A2004" i="7"/>
  <c r="C2004" i="7"/>
  <c r="A2005" i="7"/>
  <c r="E2005" i="7" s="1"/>
  <c r="F2005" i="7"/>
  <c r="A2006" i="7"/>
  <c r="C2006" i="7"/>
  <c r="D2006" i="7"/>
  <c r="E2006" i="7"/>
  <c r="F2006" i="7"/>
  <c r="A2007" i="7"/>
  <c r="E2007" i="7" s="1"/>
  <c r="C2007" i="7"/>
  <c r="D2007" i="7"/>
  <c r="F2007" i="7"/>
  <c r="A2008" i="7"/>
  <c r="C2008" i="7" s="1"/>
  <c r="F2008" i="7"/>
  <c r="A2009" i="7"/>
  <c r="E2009" i="7"/>
  <c r="F2009" i="7"/>
  <c r="A2010" i="7"/>
  <c r="C2010" i="7"/>
  <c r="D2010" i="7"/>
  <c r="E2010" i="7"/>
  <c r="F2010" i="7"/>
  <c r="A2011" i="7"/>
  <c r="E2011" i="7" s="1"/>
  <c r="C2011" i="7"/>
  <c r="D2011" i="7"/>
  <c r="F2011" i="7"/>
  <c r="A2012" i="7"/>
  <c r="C2012" i="7"/>
  <c r="F2012" i="7"/>
  <c r="A2013" i="7"/>
  <c r="E2013" i="7" s="1"/>
  <c r="A2014" i="7"/>
  <c r="C2014" i="7"/>
  <c r="D2014" i="7"/>
  <c r="E2014" i="7"/>
  <c r="F2014" i="7"/>
  <c r="A2015" i="7"/>
  <c r="E2015" i="7" s="1"/>
  <c r="C2015" i="7"/>
  <c r="D2015" i="7"/>
  <c r="F2015" i="7"/>
  <c r="A2016" i="7"/>
  <c r="C2016" i="7" s="1"/>
  <c r="A2017" i="7"/>
  <c r="E2017" i="7"/>
  <c r="G2018" i="7"/>
  <c r="G2023" i="7"/>
  <c r="A2028" i="7"/>
  <c r="C2028" i="7"/>
  <c r="D2028" i="7"/>
  <c r="E2028" i="7"/>
  <c r="F2028" i="7"/>
  <c r="A2029" i="7"/>
  <c r="E2029" i="7" s="1"/>
  <c r="C2029" i="7"/>
  <c r="D2029" i="7"/>
  <c r="F2029" i="7"/>
  <c r="A2030" i="7"/>
  <c r="C2030" i="7" s="1"/>
  <c r="F2030" i="7"/>
  <c r="A2031" i="7"/>
  <c r="E2031" i="7"/>
  <c r="F2031" i="7"/>
  <c r="A2032" i="7"/>
  <c r="C2032" i="7"/>
  <c r="D2032" i="7"/>
  <c r="E2032" i="7"/>
  <c r="F2032" i="7"/>
  <c r="A2033" i="7"/>
  <c r="E2033" i="7" s="1"/>
  <c r="C2033" i="7"/>
  <c r="D2033" i="7"/>
  <c r="F2033" i="7"/>
  <c r="A2034" i="7"/>
  <c r="C2034" i="7"/>
  <c r="F2034" i="7"/>
  <c r="A2035" i="7"/>
  <c r="E2035" i="7" s="1"/>
  <c r="A2036" i="7"/>
  <c r="C2036" i="7"/>
  <c r="D2036" i="7"/>
  <c r="E2036" i="7"/>
  <c r="F2036" i="7"/>
  <c r="A2037" i="7"/>
  <c r="E2037" i="7" s="1"/>
  <c r="C2037" i="7"/>
  <c r="D2037" i="7"/>
  <c r="F2037" i="7"/>
  <c r="A2038" i="7"/>
  <c r="C2038" i="7" s="1"/>
  <c r="A2039" i="7"/>
  <c r="E2039" i="7"/>
  <c r="A2040" i="7"/>
  <c r="C2040" i="7"/>
  <c r="D2040" i="7"/>
  <c r="E2040" i="7"/>
  <c r="F2040" i="7"/>
  <c r="A2041" i="7"/>
  <c r="E2041" i="7" s="1"/>
  <c r="C2041" i="7"/>
  <c r="D2041" i="7"/>
  <c r="F2041" i="7"/>
  <c r="A2042" i="7"/>
  <c r="C2042" i="7"/>
  <c r="G2043" i="7"/>
  <c r="G2048" i="7"/>
  <c r="A2053" i="7"/>
  <c r="E2053" i="7" s="1"/>
  <c r="F2053" i="7"/>
  <c r="A2054" i="7"/>
  <c r="C2054" i="7"/>
  <c r="D2054" i="7"/>
  <c r="E2054" i="7"/>
  <c r="F2054" i="7"/>
  <c r="A2055" i="7"/>
  <c r="E2055" i="7" s="1"/>
  <c r="C2055" i="7"/>
  <c r="D2055" i="7"/>
  <c r="F2055" i="7"/>
  <c r="A2056" i="7"/>
  <c r="C2056" i="7" s="1"/>
  <c r="F2056" i="7"/>
  <c r="A2057" i="7"/>
  <c r="E2057" i="7"/>
  <c r="F2057" i="7"/>
  <c r="A2058" i="7"/>
  <c r="C2058" i="7"/>
  <c r="D2058" i="7"/>
  <c r="E2058" i="7"/>
  <c r="F2058" i="7"/>
  <c r="A2059" i="7"/>
  <c r="E2059" i="7" s="1"/>
  <c r="C2059" i="7"/>
  <c r="D2059" i="7"/>
  <c r="F2059" i="7"/>
  <c r="A2060" i="7"/>
  <c r="C2060" i="7"/>
  <c r="F2060" i="7"/>
  <c r="A2061" i="7"/>
  <c r="E2061" i="7" s="1"/>
  <c r="A2062" i="7"/>
  <c r="C2062" i="7"/>
  <c r="D2062" i="7"/>
  <c r="E2062" i="7"/>
  <c r="F2062" i="7"/>
  <c r="A2063" i="7"/>
  <c r="E2063" i="7" s="1"/>
  <c r="C2063" i="7"/>
  <c r="D2063" i="7"/>
  <c r="F2063" i="7"/>
  <c r="A2064" i="7"/>
  <c r="C2064" i="7" s="1"/>
  <c r="A2065" i="7"/>
  <c r="E2065" i="7"/>
  <c r="A2066" i="7"/>
  <c r="C2066" i="7"/>
  <c r="D2066" i="7"/>
  <c r="E2066" i="7"/>
  <c r="F2066" i="7"/>
  <c r="A2067" i="7"/>
  <c r="E2067" i="7" s="1"/>
  <c r="C2067" i="7"/>
  <c r="D2067" i="7"/>
  <c r="F2067" i="7"/>
  <c r="G2068" i="7"/>
  <c r="G2073" i="7"/>
  <c r="A2078" i="7"/>
  <c r="C2078" i="7" s="1"/>
  <c r="F2078" i="7"/>
  <c r="A2079" i="7"/>
  <c r="E2079" i="7"/>
  <c r="F2079" i="7"/>
  <c r="A2080" i="7"/>
  <c r="C2080" i="7"/>
  <c r="D2080" i="7"/>
  <c r="E2080" i="7"/>
  <c r="F2080" i="7"/>
  <c r="A2081" i="7"/>
  <c r="E2081" i="7" s="1"/>
  <c r="C2081" i="7"/>
  <c r="D2081" i="7"/>
  <c r="F2081" i="7"/>
  <c r="A2082" i="7"/>
  <c r="C2082" i="7"/>
  <c r="F2082" i="7"/>
  <c r="A2083" i="7"/>
  <c r="E2083" i="7" s="1"/>
  <c r="A2084" i="7"/>
  <c r="C2084" i="7"/>
  <c r="D2084" i="7"/>
  <c r="E2084" i="7"/>
  <c r="F2084" i="7"/>
  <c r="A2085" i="7"/>
  <c r="E2085" i="7" s="1"/>
  <c r="C2085" i="7"/>
  <c r="D2085" i="7"/>
  <c r="F2085" i="7"/>
  <c r="A2086" i="7"/>
  <c r="C2086" i="7" s="1"/>
  <c r="A2087" i="7"/>
  <c r="E2087" i="7"/>
  <c r="A2088" i="7"/>
  <c r="C2088" i="7"/>
  <c r="D2088" i="7"/>
  <c r="E2088" i="7"/>
  <c r="F2088" i="7"/>
  <c r="A2089" i="7"/>
  <c r="E2089" i="7" s="1"/>
  <c r="C2089" i="7"/>
  <c r="D2089" i="7"/>
  <c r="F2089" i="7"/>
  <c r="A2090" i="7"/>
  <c r="C2090" i="7"/>
  <c r="A2091" i="7"/>
  <c r="E2091" i="7" s="1"/>
  <c r="F2091" i="7"/>
  <c r="A2092" i="7"/>
  <c r="C2092" i="7"/>
  <c r="D2092" i="7"/>
  <c r="E2092" i="7"/>
  <c r="F2092" i="7"/>
  <c r="G2093" i="7"/>
  <c r="G2098" i="7"/>
  <c r="A2103" i="7"/>
  <c r="E2103" i="7" s="1"/>
  <c r="C2103" i="7"/>
  <c r="D2103" i="7"/>
  <c r="F2103" i="7"/>
  <c r="A2104" i="7"/>
  <c r="C2104" i="7" s="1"/>
  <c r="A2105" i="7"/>
  <c r="E2105" i="7"/>
  <c r="A2106" i="7"/>
  <c r="C2106" i="7"/>
  <c r="D2106" i="7"/>
  <c r="E2106" i="7"/>
  <c r="F2106" i="7"/>
  <c r="A2107" i="7"/>
  <c r="E2107" i="7" s="1"/>
  <c r="C2107" i="7"/>
  <c r="D2107" i="7"/>
  <c r="F2107" i="7"/>
  <c r="A2108" i="7"/>
  <c r="C2108" i="7"/>
  <c r="A2109" i="7"/>
  <c r="E2109" i="7" s="1"/>
  <c r="F2109" i="7"/>
  <c r="A2110" i="7"/>
  <c r="C2110" i="7"/>
  <c r="D2110" i="7"/>
  <c r="E2110" i="7"/>
  <c r="F2110" i="7"/>
  <c r="A2111" i="7"/>
  <c r="E2111" i="7" s="1"/>
  <c r="C2111" i="7"/>
  <c r="D2111" i="7"/>
  <c r="F2111" i="7"/>
  <c r="A2112" i="7"/>
  <c r="C2112" i="7" s="1"/>
  <c r="F2112" i="7"/>
  <c r="A2113" i="7"/>
  <c r="E2113" i="7"/>
  <c r="F2113" i="7"/>
  <c r="A2114" i="7"/>
  <c r="C2114" i="7"/>
  <c r="D2114" i="7"/>
  <c r="E2114" i="7"/>
  <c r="F2114" i="7"/>
  <c r="A2115" i="7"/>
  <c r="E2115" i="7" s="1"/>
  <c r="C2115" i="7"/>
  <c r="D2115" i="7"/>
  <c r="F2115" i="7"/>
  <c r="A2116" i="7"/>
  <c r="C2116" i="7"/>
  <c r="F2116" i="7"/>
  <c r="A2117" i="7"/>
  <c r="E2117" i="7" s="1"/>
  <c r="G2118" i="7"/>
  <c r="G2123" i="7"/>
  <c r="A2128" i="7"/>
  <c r="C2128" i="7"/>
  <c r="D2128" i="7"/>
  <c r="E2128" i="7"/>
  <c r="F2128" i="7"/>
  <c r="A2129" i="7"/>
  <c r="E2129" i="7" s="1"/>
  <c r="C2129" i="7"/>
  <c r="D2129" i="7"/>
  <c r="F2129" i="7"/>
  <c r="A2130" i="7"/>
  <c r="C2130" i="7"/>
  <c r="A2131" i="7"/>
  <c r="E2131" i="7" s="1"/>
  <c r="F2131" i="7"/>
  <c r="A2132" i="7"/>
  <c r="C2132" i="7"/>
  <c r="D2132" i="7"/>
  <c r="E2132" i="7"/>
  <c r="F2132" i="7"/>
  <c r="A2133" i="7"/>
  <c r="E2133" i="7" s="1"/>
  <c r="C2133" i="7"/>
  <c r="D2133" i="7"/>
  <c r="F2133" i="7"/>
  <c r="A2134" i="7"/>
  <c r="C2134" i="7" s="1"/>
  <c r="F2134" i="7"/>
  <c r="A2135" i="7"/>
  <c r="E2135" i="7"/>
  <c r="F2135" i="7"/>
  <c r="A2136" i="7"/>
  <c r="C2136" i="7"/>
  <c r="D2136" i="7"/>
  <c r="E2136" i="7"/>
  <c r="F2136" i="7"/>
  <c r="A2137" i="7"/>
  <c r="E2137" i="7" s="1"/>
  <c r="C2137" i="7"/>
  <c r="D2137" i="7"/>
  <c r="F2137" i="7"/>
  <c r="A2138" i="7"/>
  <c r="C2138" i="7"/>
  <c r="F2138" i="7"/>
  <c r="A2139" i="7"/>
  <c r="E2139" i="7" s="1"/>
  <c r="A2140" i="7"/>
  <c r="C2140" i="7"/>
  <c r="D2140" i="7"/>
  <c r="E2140" i="7"/>
  <c r="F2140" i="7"/>
  <c r="A2141" i="7"/>
  <c r="E2141" i="7" s="1"/>
  <c r="C2141" i="7"/>
  <c r="D2141" i="7"/>
  <c r="F2141" i="7"/>
  <c r="A2142" i="7"/>
  <c r="C2142" i="7" s="1"/>
  <c r="A2143" i="7"/>
  <c r="E2143" i="7"/>
  <c r="A2144" i="7"/>
  <c r="C2144" i="7"/>
  <c r="D2144" i="7"/>
  <c r="E2144" i="7"/>
  <c r="F2144" i="7"/>
  <c r="A2145" i="7"/>
  <c r="E2145" i="7" s="1"/>
  <c r="C2145" i="7"/>
  <c r="D2145" i="7"/>
  <c r="F2145" i="7"/>
  <c r="A2146" i="7"/>
  <c r="C2146" i="7"/>
  <c r="A2147" i="7"/>
  <c r="E2147" i="7" s="1"/>
  <c r="F2147" i="7"/>
  <c r="A2148" i="7"/>
  <c r="C2148" i="7"/>
  <c r="D2148" i="7"/>
  <c r="E2148" i="7"/>
  <c r="F2148" i="7"/>
  <c r="A2149" i="7"/>
  <c r="E2149" i="7" s="1"/>
  <c r="C2149" i="7"/>
  <c r="D2149" i="7"/>
  <c r="F2149" i="7"/>
  <c r="A2150" i="7"/>
  <c r="C2150" i="7" s="1"/>
  <c r="F2150" i="7"/>
  <c r="A2151" i="7"/>
  <c r="E2151" i="7"/>
  <c r="F2151" i="7"/>
  <c r="A2152" i="7"/>
  <c r="C2152" i="7"/>
  <c r="D2152" i="7"/>
  <c r="E2152" i="7"/>
  <c r="F2152" i="7"/>
  <c r="A2153" i="7"/>
  <c r="E2153" i="7" s="1"/>
  <c r="C2153" i="7"/>
  <c r="D2153" i="7"/>
  <c r="F2153" i="7"/>
  <c r="A2154" i="7"/>
  <c r="C2154" i="7"/>
  <c r="F2154" i="7"/>
  <c r="A2155" i="7"/>
  <c r="E2155" i="7" s="1"/>
  <c r="A2156" i="7"/>
  <c r="C2156" i="7"/>
  <c r="D2156" i="7"/>
  <c r="E2156" i="7"/>
  <c r="F2156" i="7"/>
  <c r="A2157" i="7"/>
  <c r="E2157" i="7" s="1"/>
  <c r="C2157" i="7"/>
  <c r="D2157" i="7"/>
  <c r="F2157" i="7"/>
  <c r="A2158" i="7"/>
  <c r="C2158" i="7" s="1"/>
  <c r="A2159" i="7"/>
  <c r="E2159" i="7"/>
  <c r="A2160" i="7"/>
  <c r="C2160" i="7"/>
  <c r="D2160" i="7"/>
  <c r="E2160" i="7"/>
  <c r="F2160" i="7"/>
  <c r="A2161" i="7"/>
  <c r="E2161" i="7" s="1"/>
  <c r="C2161" i="7"/>
  <c r="D2161" i="7"/>
  <c r="F2161" i="7"/>
  <c r="A2162" i="7"/>
  <c r="C2162" i="7"/>
  <c r="A2163" i="7"/>
  <c r="E2163" i="7" s="1"/>
  <c r="F2163" i="7"/>
  <c r="A2164" i="7"/>
  <c r="C2164" i="7"/>
  <c r="D2164" i="7"/>
  <c r="E2164" i="7"/>
  <c r="F2164" i="7"/>
  <c r="A2165" i="7"/>
  <c r="E2165" i="7" s="1"/>
  <c r="C2165" i="7"/>
  <c r="D2165" i="7"/>
  <c r="F2165" i="7"/>
  <c r="A2166" i="7"/>
  <c r="C2166" i="7" s="1"/>
  <c r="F2166" i="7"/>
  <c r="A2167" i="7"/>
  <c r="E2167" i="7"/>
  <c r="F2167" i="7"/>
  <c r="A2168" i="7"/>
  <c r="C2168" i="7"/>
  <c r="D2168" i="7"/>
  <c r="E2168" i="7"/>
  <c r="F2168" i="7"/>
  <c r="A2169" i="7"/>
  <c r="E2169" i="7" s="1"/>
  <c r="C2169" i="7"/>
  <c r="D2169" i="7"/>
  <c r="F2169" i="7"/>
  <c r="A2170" i="7"/>
  <c r="C2170" i="7"/>
  <c r="F2170" i="7"/>
  <c r="A2171" i="7"/>
  <c r="E2171" i="7" s="1"/>
  <c r="A2172" i="7"/>
  <c r="C2172" i="7"/>
  <c r="D2172" i="7"/>
  <c r="E2172" i="7"/>
  <c r="F2172" i="7"/>
  <c r="A2173" i="7"/>
  <c r="E2173" i="7" s="1"/>
  <c r="C2173" i="7"/>
  <c r="D2173" i="7"/>
  <c r="F2173" i="7"/>
  <c r="A2174" i="7"/>
  <c r="C2174" i="7" s="1"/>
  <c r="A2175" i="7"/>
  <c r="E2175" i="7"/>
  <c r="A2176" i="7"/>
  <c r="C2176" i="7"/>
  <c r="D2176" i="7"/>
  <c r="E2176" i="7"/>
  <c r="F2176" i="7"/>
  <c r="A2177" i="7"/>
  <c r="E2177" i="7" s="1"/>
  <c r="C2177" i="7"/>
  <c r="D2177" i="7"/>
  <c r="F2177" i="7"/>
  <c r="A2178" i="7"/>
  <c r="C2178" i="7"/>
  <c r="A2179" i="7"/>
  <c r="E2179" i="7" s="1"/>
  <c r="F2179" i="7"/>
  <c r="A2180" i="7"/>
  <c r="C2180" i="7"/>
  <c r="D2180" i="7"/>
  <c r="E2180" i="7"/>
  <c r="F2180" i="7"/>
  <c r="A2181" i="7"/>
  <c r="E2181" i="7" s="1"/>
  <c r="C2181" i="7"/>
  <c r="D2181" i="7"/>
  <c r="F2181" i="7"/>
  <c r="A2182" i="7"/>
  <c r="C2182" i="7" s="1"/>
  <c r="F2182" i="7"/>
  <c r="A2183" i="7"/>
  <c r="E2183" i="7"/>
  <c r="F2183" i="7"/>
  <c r="A2184" i="7"/>
  <c r="C2184" i="7"/>
  <c r="D2184" i="7"/>
  <c r="E2184" i="7"/>
  <c r="F2184" i="7"/>
  <c r="A2185" i="7"/>
  <c r="E2185" i="7" s="1"/>
  <c r="C2185" i="7"/>
  <c r="D2185" i="7"/>
  <c r="F2185" i="7"/>
  <c r="A2186" i="7"/>
  <c r="C2186" i="7"/>
  <c r="F2186" i="7"/>
  <c r="A2187" i="7"/>
  <c r="E2187" i="7" s="1"/>
  <c r="A2188" i="7"/>
  <c r="C2188" i="7"/>
  <c r="D2188" i="7"/>
  <c r="E2188" i="7"/>
  <c r="F2188" i="7"/>
  <c r="A2189" i="7"/>
  <c r="E2189" i="7" s="1"/>
  <c r="C2189" i="7"/>
  <c r="D2189" i="7"/>
  <c r="F2189" i="7"/>
  <c r="A2190" i="7"/>
  <c r="C2190" i="7" s="1"/>
  <c r="A2191" i="7"/>
  <c r="E2191" i="7"/>
  <c r="A2192" i="7"/>
  <c r="C2192" i="7"/>
  <c r="D2192" i="7"/>
  <c r="E2192" i="7"/>
  <c r="F2192" i="7"/>
  <c r="A2193" i="7"/>
  <c r="E2193" i="7" s="1"/>
  <c r="C2193" i="7"/>
  <c r="D2193" i="7"/>
  <c r="F2193" i="7"/>
  <c r="A2194" i="7"/>
  <c r="C2194" i="7"/>
  <c r="A2195" i="7"/>
  <c r="E2195" i="7" s="1"/>
  <c r="F2195" i="7"/>
  <c r="A2196" i="7"/>
  <c r="C2196" i="7"/>
  <c r="D2196" i="7"/>
  <c r="E2196" i="7"/>
  <c r="F2196" i="7"/>
  <c r="A2197" i="7"/>
  <c r="E2197" i="7" s="1"/>
  <c r="C2197" i="7"/>
  <c r="D2197" i="7"/>
  <c r="F2197" i="7"/>
  <c r="A2198" i="7"/>
  <c r="C2198" i="7" s="1"/>
  <c r="F2198" i="7"/>
  <c r="A2199" i="7"/>
  <c r="E2199" i="7"/>
  <c r="F2199" i="7"/>
  <c r="A2200" i="7"/>
  <c r="C2200" i="7"/>
  <c r="D2200" i="7"/>
  <c r="E2200" i="7"/>
  <c r="F2200" i="7"/>
  <c r="A2201" i="7"/>
  <c r="E2201" i="7" s="1"/>
  <c r="C2201" i="7"/>
  <c r="D2201" i="7"/>
  <c r="F2201" i="7"/>
  <c r="A2202" i="7"/>
  <c r="C2202" i="7"/>
  <c r="F2202" i="7"/>
  <c r="A2203" i="7"/>
  <c r="E2203" i="7" s="1"/>
  <c r="A2204" i="7"/>
  <c r="C2204" i="7"/>
  <c r="D2204" i="7"/>
  <c r="E2204" i="7"/>
  <c r="F2204" i="7"/>
  <c r="A2205" i="7"/>
  <c r="E2205" i="7" s="1"/>
  <c r="C2205" i="7"/>
  <c r="D2205" i="7"/>
  <c r="F2205" i="7"/>
  <c r="A2206" i="7"/>
  <c r="C2206" i="7" s="1"/>
  <c r="A2207" i="7"/>
  <c r="E2207" i="7"/>
  <c r="A2208" i="7"/>
  <c r="C2208" i="7"/>
  <c r="D2208" i="7"/>
  <c r="E2208" i="7"/>
  <c r="F2208" i="7"/>
  <c r="A2209" i="7"/>
  <c r="E2209" i="7" s="1"/>
  <c r="C2209" i="7"/>
  <c r="D2209" i="7"/>
  <c r="F2209" i="7"/>
  <c r="A2210" i="7"/>
  <c r="C2210" i="7"/>
  <c r="A2211" i="7"/>
  <c r="E2211" i="7" s="1"/>
  <c r="F2211" i="7"/>
  <c r="A2212" i="7"/>
  <c r="C2212" i="7"/>
  <c r="D2212" i="7"/>
  <c r="E2212" i="7"/>
  <c r="F2212" i="7"/>
  <c r="A2213" i="7"/>
  <c r="E2213" i="7" s="1"/>
  <c r="C2213" i="7"/>
  <c r="D2213" i="7"/>
  <c r="F2213" i="7"/>
  <c r="A2214" i="7"/>
  <c r="C2214" i="7" s="1"/>
  <c r="F2214" i="7"/>
  <c r="A2215" i="7"/>
  <c r="E2215" i="7"/>
  <c r="F2215" i="7"/>
  <c r="A2216" i="7"/>
  <c r="C2216" i="7"/>
  <c r="D2216" i="7"/>
  <c r="E2216" i="7"/>
  <c r="F2216" i="7"/>
  <c r="A2217" i="7"/>
  <c r="E2217" i="7" s="1"/>
  <c r="C2217" i="7"/>
  <c r="D2217" i="7"/>
  <c r="F2217" i="7"/>
  <c r="A2218" i="7"/>
  <c r="C2218" i="7"/>
  <c r="F2218" i="7"/>
  <c r="A2219" i="7"/>
  <c r="E2219" i="7" s="1"/>
  <c r="A2220" i="7"/>
  <c r="C2220" i="7"/>
  <c r="D2220" i="7"/>
  <c r="E2220" i="7"/>
  <c r="F2220" i="7"/>
  <c r="A2221" i="7"/>
  <c r="E2221" i="7" s="1"/>
  <c r="C2221" i="7"/>
  <c r="D2221" i="7"/>
  <c r="F2221" i="7"/>
  <c r="A2222" i="7"/>
  <c r="C2222" i="7" s="1"/>
  <c r="A2223" i="7"/>
  <c r="E2223" i="7"/>
  <c r="A2224" i="7"/>
  <c r="C2224" i="7"/>
  <c r="D2224" i="7"/>
  <c r="E2224" i="7"/>
  <c r="F2224" i="7"/>
  <c r="G2225" i="7"/>
  <c r="G2230" i="7"/>
  <c r="A2235" i="7"/>
  <c r="E2235" i="7" s="1"/>
  <c r="C2235" i="7"/>
  <c r="D2235" i="7"/>
  <c r="F2235" i="7"/>
  <c r="A2236" i="7"/>
  <c r="C2236" i="7"/>
  <c r="F2236" i="7"/>
  <c r="A2237" i="7"/>
  <c r="E2237" i="7" s="1"/>
  <c r="A2238" i="7"/>
  <c r="C2238" i="7"/>
  <c r="D2238" i="7"/>
  <c r="E2238" i="7"/>
  <c r="F2238" i="7"/>
  <c r="A2239" i="7"/>
  <c r="E2239" i="7" s="1"/>
  <c r="C2239" i="7"/>
  <c r="D2239" i="7"/>
  <c r="F2239" i="7"/>
  <c r="A2240" i="7"/>
  <c r="C2240" i="7" s="1"/>
  <c r="A2241" i="7"/>
  <c r="E2241" i="7"/>
  <c r="A2242" i="7"/>
  <c r="C2242" i="7"/>
  <c r="D2242" i="7"/>
  <c r="E2242" i="7"/>
  <c r="F2242" i="7"/>
  <c r="A2243" i="7"/>
  <c r="E2243" i="7" s="1"/>
  <c r="C2243" i="7"/>
  <c r="D2243" i="7"/>
  <c r="F2243" i="7"/>
  <c r="A2244" i="7"/>
  <c r="C2244" i="7"/>
  <c r="A2245" i="7"/>
  <c r="E2245" i="7" s="1"/>
  <c r="F2245" i="7"/>
  <c r="A2246" i="7"/>
  <c r="C2246" i="7"/>
  <c r="D2246" i="7"/>
  <c r="E2246" i="7"/>
  <c r="F2246" i="7"/>
  <c r="A2247" i="7"/>
  <c r="E2247" i="7" s="1"/>
  <c r="C2247" i="7"/>
  <c r="D2247" i="7"/>
  <c r="F2247" i="7"/>
  <c r="A2248" i="7"/>
  <c r="C2248" i="7" s="1"/>
  <c r="F2248" i="7"/>
  <c r="A2249" i="7"/>
  <c r="E2249" i="7"/>
  <c r="F2249" i="7"/>
  <c r="G2250" i="7"/>
  <c r="G2255" i="7"/>
  <c r="A2260" i="7"/>
  <c r="C2260" i="7"/>
  <c r="D2260" i="7"/>
  <c r="E2260" i="7"/>
  <c r="F2260" i="7"/>
  <c r="A2261" i="7"/>
  <c r="E2261" i="7" s="1"/>
  <c r="C2261" i="7"/>
  <c r="D2261" i="7"/>
  <c r="F2261" i="7"/>
  <c r="A2262" i="7"/>
  <c r="C2262" i="7" s="1"/>
  <c r="A2263" i="7"/>
  <c r="E2263" i="7"/>
  <c r="A2264" i="7"/>
  <c r="C2264" i="7"/>
  <c r="D2264" i="7"/>
  <c r="E2264" i="7"/>
  <c r="F2264" i="7"/>
  <c r="A2265" i="7"/>
  <c r="E2265" i="7" s="1"/>
  <c r="C2265" i="7"/>
  <c r="F2265" i="7"/>
  <c r="A2266" i="7"/>
  <c r="D2266" i="7" s="1"/>
  <c r="C2266" i="7"/>
  <c r="F2266" i="7"/>
  <c r="A2267" i="7"/>
  <c r="C2267" i="7" s="1"/>
  <c r="D2267" i="7"/>
  <c r="F2267" i="7"/>
  <c r="A2268" i="7"/>
  <c r="C2268" i="7"/>
  <c r="D2268" i="7"/>
  <c r="E2268" i="7"/>
  <c r="F2268" i="7"/>
  <c r="A2269" i="7"/>
  <c r="A2270" i="7"/>
  <c r="A2271" i="7"/>
  <c r="A2272" i="7"/>
  <c r="C2272" i="7"/>
  <c r="D2272" i="7"/>
  <c r="E2272" i="7"/>
  <c r="F2272" i="7"/>
  <c r="A2273" i="7"/>
  <c r="E2273" i="7" s="1"/>
  <c r="C2273" i="7"/>
  <c r="D2273" i="7"/>
  <c r="F2273" i="7"/>
  <c r="A2274" i="7"/>
  <c r="D2274" i="7" s="1"/>
  <c r="C2274" i="7"/>
  <c r="E2274" i="7"/>
  <c r="F2274" i="7"/>
  <c r="G2275" i="7"/>
  <c r="G2280" i="7"/>
  <c r="A2285" i="7"/>
  <c r="C2285" i="7" s="1"/>
  <c r="D2285" i="7"/>
  <c r="E2285" i="7"/>
  <c r="F2285" i="7"/>
  <c r="A2286" i="7"/>
  <c r="C2286" i="7"/>
  <c r="D2286" i="7"/>
  <c r="E2286" i="7"/>
  <c r="F2286" i="7"/>
  <c r="A2287" i="7"/>
  <c r="E2287" i="7" s="1"/>
  <c r="D2287" i="7"/>
  <c r="A2288" i="7"/>
  <c r="D2288" i="7" s="1"/>
  <c r="E2288" i="7"/>
  <c r="A2289" i="7"/>
  <c r="C2289" i="7" s="1"/>
  <c r="E2289" i="7"/>
  <c r="A2290" i="7"/>
  <c r="C2290" i="7"/>
  <c r="D2290" i="7"/>
  <c r="E2290" i="7"/>
  <c r="F2290" i="7"/>
  <c r="A2291" i="7"/>
  <c r="E2291" i="7" s="1"/>
  <c r="C2291" i="7"/>
  <c r="F2291" i="7"/>
  <c r="A2292" i="7"/>
  <c r="D2292" i="7" s="1"/>
  <c r="C2292" i="7"/>
  <c r="F2292" i="7"/>
  <c r="A2293" i="7"/>
  <c r="C2293" i="7" s="1"/>
  <c r="D2293" i="7"/>
  <c r="F2293" i="7"/>
  <c r="A2294" i="7"/>
  <c r="C2294" i="7"/>
  <c r="D2294" i="7"/>
  <c r="E2294" i="7"/>
  <c r="F2294" i="7"/>
  <c r="A2295" i="7"/>
  <c r="A2296" i="7"/>
  <c r="A2297" i="7"/>
  <c r="A2298" i="7"/>
  <c r="C2298" i="7"/>
  <c r="D2298" i="7"/>
  <c r="E2298" i="7"/>
  <c r="F2298" i="7"/>
  <c r="A2299" i="7"/>
  <c r="E2299" i="7" s="1"/>
  <c r="C2299" i="7"/>
  <c r="D2299" i="7"/>
  <c r="F2299" i="7"/>
  <c r="G2300" i="7"/>
  <c r="G2305" i="7"/>
  <c r="A2310" i="7"/>
  <c r="D2310" i="7" s="1"/>
  <c r="C2310" i="7"/>
  <c r="E2310" i="7"/>
  <c r="F2310" i="7"/>
  <c r="A2311" i="7"/>
  <c r="C2311" i="7" s="1"/>
  <c r="D2311" i="7"/>
  <c r="E2311" i="7"/>
  <c r="F2311" i="7"/>
  <c r="A2312" i="7"/>
  <c r="C2312" i="7"/>
  <c r="D2312" i="7"/>
  <c r="E2312" i="7"/>
  <c r="F2312" i="7"/>
  <c r="A2313" i="7"/>
  <c r="E2313" i="7" s="1"/>
  <c r="D2313" i="7"/>
  <c r="A2314" i="7"/>
  <c r="D2314" i="7" s="1"/>
  <c r="E2314" i="7"/>
  <c r="A2315" i="7"/>
  <c r="C2315" i="7" s="1"/>
  <c r="E2315" i="7"/>
  <c r="A2316" i="7"/>
  <c r="C2316" i="7"/>
  <c r="D2316" i="7"/>
  <c r="E2316" i="7"/>
  <c r="F2316" i="7"/>
  <c r="A2317" i="7"/>
  <c r="E2317" i="7" s="1"/>
  <c r="C2317" i="7"/>
  <c r="F2317" i="7"/>
  <c r="A2318" i="7"/>
  <c r="D2318" i="7" s="1"/>
  <c r="C2318" i="7"/>
  <c r="F2318" i="7"/>
  <c r="A2319" i="7"/>
  <c r="C2319" i="7" s="1"/>
  <c r="D2319" i="7"/>
  <c r="F2319" i="7"/>
  <c r="A2320" i="7"/>
  <c r="C2320" i="7"/>
  <c r="D2320" i="7"/>
  <c r="E2320" i="7"/>
  <c r="F2320" i="7"/>
  <c r="A2321" i="7"/>
  <c r="A2322" i="7"/>
  <c r="A2323" i="7"/>
  <c r="A2324" i="7"/>
  <c r="C2324" i="7"/>
  <c r="D2324" i="7"/>
  <c r="E2324" i="7"/>
  <c r="F2324" i="7"/>
  <c r="G2325" i="7"/>
  <c r="G2330" i="7"/>
  <c r="A2335" i="7"/>
  <c r="A2336" i="7"/>
  <c r="A2337" i="7"/>
  <c r="A2338" i="7"/>
  <c r="C2338" i="7"/>
  <c r="D2338" i="7"/>
  <c r="E2338" i="7"/>
  <c r="F2338" i="7"/>
  <c r="A2339" i="7"/>
  <c r="E2339" i="7" s="1"/>
  <c r="C2339" i="7"/>
  <c r="D2339" i="7"/>
  <c r="F2339" i="7"/>
  <c r="A2340" i="7"/>
  <c r="D2340" i="7" s="1"/>
  <c r="C2340" i="7"/>
  <c r="E2340" i="7"/>
  <c r="F2340" i="7"/>
  <c r="A2341" i="7"/>
  <c r="C2341" i="7" s="1"/>
  <c r="D2341" i="7"/>
  <c r="E2341" i="7"/>
  <c r="F2341" i="7"/>
  <c r="A2342" i="7"/>
  <c r="C2342" i="7"/>
  <c r="D2342" i="7"/>
  <c r="E2342" i="7"/>
  <c r="F2342" i="7"/>
  <c r="A2343" i="7"/>
  <c r="E2343" i="7" s="1"/>
  <c r="D2343" i="7"/>
  <c r="A2344" i="7"/>
  <c r="D2344" i="7" s="1"/>
  <c r="E2344" i="7"/>
  <c r="A2345" i="7"/>
  <c r="C2345" i="7" s="1"/>
  <c r="E2345" i="7"/>
  <c r="A2346" i="7"/>
  <c r="C2346" i="7"/>
  <c r="D2346" i="7"/>
  <c r="E2346" i="7"/>
  <c r="F2346" i="7"/>
  <c r="A2347" i="7"/>
  <c r="E2347" i="7" s="1"/>
  <c r="C2347" i="7"/>
  <c r="F2347" i="7"/>
  <c r="A2348" i="7"/>
  <c r="D2348" i="7" s="1"/>
  <c r="C2348" i="7"/>
  <c r="F2348" i="7"/>
  <c r="A2349" i="7"/>
  <c r="C2349" i="7" s="1"/>
  <c r="D2349" i="7"/>
  <c r="F2349" i="7"/>
  <c r="A2350" i="7"/>
  <c r="C2350" i="7"/>
  <c r="D2350" i="7"/>
  <c r="E2350" i="7"/>
  <c r="F2350" i="7"/>
  <c r="A2351" i="7"/>
  <c r="A2352" i="7"/>
  <c r="A2353" i="7"/>
  <c r="A2354" i="7"/>
  <c r="C2354" i="7"/>
  <c r="D2354" i="7"/>
  <c r="E2354" i="7"/>
  <c r="F2354" i="7"/>
  <c r="A2355" i="7"/>
  <c r="E2355" i="7" s="1"/>
  <c r="C2355" i="7"/>
  <c r="D2355" i="7"/>
  <c r="F2355" i="7"/>
  <c r="A2356" i="7"/>
  <c r="D2356" i="7" s="1"/>
  <c r="C2356" i="7"/>
  <c r="E2356" i="7"/>
  <c r="F2356" i="7"/>
  <c r="A2357" i="7"/>
  <c r="C2357" i="7" s="1"/>
  <c r="D2357" i="7"/>
  <c r="E2357" i="7"/>
  <c r="F2357" i="7"/>
  <c r="A2358" i="7"/>
  <c r="C2358" i="7"/>
  <c r="D2358" i="7"/>
  <c r="E2358" i="7"/>
  <c r="F2358" i="7"/>
  <c r="A2359" i="7"/>
  <c r="E2359" i="7" s="1"/>
  <c r="D2359" i="7"/>
  <c r="A2360" i="7"/>
  <c r="D2360" i="7" s="1"/>
  <c r="E2360" i="7"/>
  <c r="A2361" i="7"/>
  <c r="C2361" i="7" s="1"/>
  <c r="E2361" i="7"/>
  <c r="A2362" i="7"/>
  <c r="C2362" i="7"/>
  <c r="D2362" i="7"/>
  <c r="E2362" i="7"/>
  <c r="F2362" i="7"/>
  <c r="A2363" i="7"/>
  <c r="E2363" i="7" s="1"/>
  <c r="C2363" i="7"/>
  <c r="A2364" i="7"/>
  <c r="D2364" i="7" s="1"/>
  <c r="C2364" i="7"/>
  <c r="A2365" i="7"/>
  <c r="C2365" i="7" s="1"/>
  <c r="D2365" i="7"/>
  <c r="A2366" i="7"/>
  <c r="C2366" i="7"/>
  <c r="D2366" i="7"/>
  <c r="E2366" i="7"/>
  <c r="F2366" i="7"/>
  <c r="A2367" i="7"/>
  <c r="G2368" i="7"/>
  <c r="G2373" i="7"/>
  <c r="A2378" i="7"/>
  <c r="A2379" i="7"/>
  <c r="A2380" i="7"/>
  <c r="C2380" i="7"/>
  <c r="D2380" i="7"/>
  <c r="E2380" i="7"/>
  <c r="F2380" i="7"/>
  <c r="A2381" i="7"/>
  <c r="E2381" i="7" s="1"/>
  <c r="C2381" i="7"/>
  <c r="D2381" i="7"/>
  <c r="F2381" i="7"/>
  <c r="A2382" i="7"/>
  <c r="D2382" i="7" s="1"/>
  <c r="C2382" i="7"/>
  <c r="E2382" i="7"/>
  <c r="F2382" i="7"/>
  <c r="A2383" i="7"/>
  <c r="C2383" i="7" s="1"/>
  <c r="D2383" i="7"/>
  <c r="E2383" i="7"/>
  <c r="F2383" i="7"/>
  <c r="A2384" i="7"/>
  <c r="C2384" i="7"/>
  <c r="D2384" i="7"/>
  <c r="E2384" i="7"/>
  <c r="F2384" i="7"/>
  <c r="A2385" i="7"/>
  <c r="E2385" i="7" s="1"/>
  <c r="C2385" i="7"/>
  <c r="D2385" i="7"/>
  <c r="A2386" i="7"/>
  <c r="D2386" i="7" s="1"/>
  <c r="C2386" i="7"/>
  <c r="E2386" i="7"/>
  <c r="A2387" i="7"/>
  <c r="C2387" i="7" s="1"/>
  <c r="D2387" i="7"/>
  <c r="E2387" i="7"/>
  <c r="A2388" i="7"/>
  <c r="C2388" i="7"/>
  <c r="D2388" i="7"/>
  <c r="E2388" i="7"/>
  <c r="F2388" i="7"/>
  <c r="A2389" i="7"/>
  <c r="C2389" i="7"/>
  <c r="A2390" i="7"/>
  <c r="C2390" i="7"/>
  <c r="A2391" i="7"/>
  <c r="D2391" i="7"/>
  <c r="A2392" i="7"/>
  <c r="C2392" i="7"/>
  <c r="D2392" i="7"/>
  <c r="E2392" i="7"/>
  <c r="F2392" i="7"/>
  <c r="A2393" i="7"/>
  <c r="F2393" i="7"/>
  <c r="A2394" i="7"/>
  <c r="F2394" i="7" s="1"/>
  <c r="A2395" i="7"/>
  <c r="F2395" i="7"/>
  <c r="A2396" i="7"/>
  <c r="C2396" i="7"/>
  <c r="D2396" i="7"/>
  <c r="E2396" i="7"/>
  <c r="F2396" i="7"/>
  <c r="A2397" i="7"/>
  <c r="E2397" i="7" s="1"/>
  <c r="C2397" i="7"/>
  <c r="D2397" i="7"/>
  <c r="F2397" i="7"/>
  <c r="A2398" i="7"/>
  <c r="D2398" i="7" s="1"/>
  <c r="C2398" i="7"/>
  <c r="E2398" i="7"/>
  <c r="F2398" i="7"/>
  <c r="A2399" i="7"/>
  <c r="C2399" i="7" s="1"/>
  <c r="D2399" i="7"/>
  <c r="E2399" i="7"/>
  <c r="F2399" i="7"/>
  <c r="A2400" i="7"/>
  <c r="C2400" i="7"/>
  <c r="D2400" i="7"/>
  <c r="E2400" i="7"/>
  <c r="F2400" i="7"/>
  <c r="A2401" i="7"/>
  <c r="E2401" i="7" s="1"/>
  <c r="C2401" i="7"/>
  <c r="D2401" i="7"/>
  <c r="F2401" i="7"/>
  <c r="A2402" i="7"/>
  <c r="C2402" i="7"/>
  <c r="F2402" i="7"/>
  <c r="A2403" i="7"/>
  <c r="E2403" i="7"/>
  <c r="F2403" i="7"/>
  <c r="A2404" i="7"/>
  <c r="C2404" i="7"/>
  <c r="D2404" i="7"/>
  <c r="E2404" i="7"/>
  <c r="F2404" i="7"/>
  <c r="A2405" i="7"/>
  <c r="E2405" i="7" s="1"/>
  <c r="C2405" i="7"/>
  <c r="D2405" i="7"/>
  <c r="F2405" i="7"/>
  <c r="A2406" i="7"/>
  <c r="C2406" i="7"/>
  <c r="F2406" i="7"/>
  <c r="A2407" i="7"/>
  <c r="E2407" i="7" s="1"/>
  <c r="A2408" i="7"/>
  <c r="C2408" i="7"/>
  <c r="D2408" i="7"/>
  <c r="E2408" i="7"/>
  <c r="F2408" i="7"/>
  <c r="A2409" i="7"/>
  <c r="E2409" i="7" s="1"/>
  <c r="C2409" i="7"/>
  <c r="D2409" i="7"/>
  <c r="F2409" i="7"/>
  <c r="A2410" i="7"/>
  <c r="C2410" i="7" s="1"/>
  <c r="A2411" i="7"/>
  <c r="E2411" i="7" s="1"/>
  <c r="A2412" i="7"/>
  <c r="C2412" i="7"/>
  <c r="D2412" i="7"/>
  <c r="E2412" i="7"/>
  <c r="F2412" i="7"/>
  <c r="A2413" i="7"/>
  <c r="E2413" i="7" s="1"/>
  <c r="C2413" i="7"/>
  <c r="D2413" i="7"/>
  <c r="F2413" i="7"/>
  <c r="A2414" i="7"/>
  <c r="C2414" i="7" s="1"/>
  <c r="A2415" i="7"/>
  <c r="E2415" i="7"/>
  <c r="F2415" i="7"/>
  <c r="A2416" i="7"/>
  <c r="C2416" i="7"/>
  <c r="D2416" i="7"/>
  <c r="E2416" i="7"/>
  <c r="F2416" i="7"/>
  <c r="A2417" i="7"/>
  <c r="E2417" i="7" s="1"/>
  <c r="C2417" i="7"/>
  <c r="D2417" i="7"/>
  <c r="F2417" i="7"/>
  <c r="A2418" i="7"/>
  <c r="C2418" i="7"/>
  <c r="F2418" i="7"/>
  <c r="A2419" i="7"/>
  <c r="E2419" i="7"/>
  <c r="F2419" i="7"/>
  <c r="A2420" i="7"/>
  <c r="C2420" i="7"/>
  <c r="D2420" i="7"/>
  <c r="E2420" i="7"/>
  <c r="F2420" i="7"/>
  <c r="A2421" i="7"/>
  <c r="E2421" i="7" s="1"/>
  <c r="C2421" i="7"/>
  <c r="D2421" i="7"/>
  <c r="F2421" i="7"/>
  <c r="A2422" i="7"/>
  <c r="C2422" i="7"/>
  <c r="F2422" i="7"/>
  <c r="A2423" i="7"/>
  <c r="E2423" i="7" s="1"/>
  <c r="A2424" i="7"/>
  <c r="C2424" i="7"/>
  <c r="D2424" i="7"/>
  <c r="E2424" i="7"/>
  <c r="F2424" i="7"/>
  <c r="A2425" i="7"/>
  <c r="E2425" i="7" s="1"/>
  <c r="C2425" i="7"/>
  <c r="D2425" i="7"/>
  <c r="F2425" i="7"/>
  <c r="A2426" i="7"/>
  <c r="C2426" i="7" s="1"/>
  <c r="A2427" i="7"/>
  <c r="E2427" i="7" s="1"/>
  <c r="A2428" i="7"/>
  <c r="C2428" i="7"/>
  <c r="D2428" i="7"/>
  <c r="E2428" i="7"/>
  <c r="F2428" i="7"/>
  <c r="A2429" i="7"/>
  <c r="E2429" i="7" s="1"/>
  <c r="C2429" i="7"/>
  <c r="D2429" i="7"/>
  <c r="F2429" i="7"/>
  <c r="A2430" i="7"/>
  <c r="C2430" i="7" s="1"/>
  <c r="A2431" i="7"/>
  <c r="E2431" i="7"/>
  <c r="F2431" i="7"/>
  <c r="A2432" i="7"/>
  <c r="C2432" i="7"/>
  <c r="D2432" i="7"/>
  <c r="E2432" i="7"/>
  <c r="F2432" i="7"/>
  <c r="A2433" i="7"/>
  <c r="E2433" i="7" s="1"/>
  <c r="C2433" i="7"/>
  <c r="D2433" i="7"/>
  <c r="F2433" i="7"/>
  <c r="A2434" i="7"/>
  <c r="C2434" i="7"/>
  <c r="F2434" i="7"/>
  <c r="A2435" i="7"/>
  <c r="E2435" i="7"/>
  <c r="F2435" i="7"/>
  <c r="A2436" i="7"/>
  <c r="C2436" i="7"/>
  <c r="D2436" i="7"/>
  <c r="E2436" i="7"/>
  <c r="F2436" i="7"/>
  <c r="A2437" i="7"/>
  <c r="E2437" i="7" s="1"/>
  <c r="C2437" i="7"/>
  <c r="D2437" i="7"/>
  <c r="F2437" i="7"/>
  <c r="A2438" i="7"/>
  <c r="C2438" i="7"/>
  <c r="F2438" i="7"/>
  <c r="A2439" i="7"/>
  <c r="E2439" i="7" s="1"/>
  <c r="A2440" i="7"/>
  <c r="C2440" i="7"/>
  <c r="D2440" i="7"/>
  <c r="E2440" i="7"/>
  <c r="F2440" i="7"/>
  <c r="A2441" i="7"/>
  <c r="E2441" i="7" s="1"/>
  <c r="C2441" i="7"/>
  <c r="D2441" i="7"/>
  <c r="F2441" i="7"/>
  <c r="A2442" i="7"/>
  <c r="C2442" i="7" s="1"/>
  <c r="A2443" i="7"/>
  <c r="E2443" i="7" s="1"/>
  <c r="A2444" i="7"/>
  <c r="C2444" i="7"/>
  <c r="D2444" i="7"/>
  <c r="E2444" i="7"/>
  <c r="F2444" i="7"/>
  <c r="A2445" i="7"/>
  <c r="E2445" i="7" s="1"/>
  <c r="C2445" i="7"/>
  <c r="D2445" i="7"/>
  <c r="F2445" i="7"/>
  <c r="A2446" i="7"/>
  <c r="C2446" i="7" s="1"/>
  <c r="A2447" i="7"/>
  <c r="E2447" i="7"/>
  <c r="F2447" i="7"/>
  <c r="A2448" i="7"/>
  <c r="C2448" i="7"/>
  <c r="D2448" i="7"/>
  <c r="E2448" i="7"/>
  <c r="F2448" i="7"/>
  <c r="A2449" i="7"/>
  <c r="E2449" i="7" s="1"/>
  <c r="C2449" i="7"/>
  <c r="D2449" i="7"/>
  <c r="F2449" i="7"/>
  <c r="A2450" i="7"/>
  <c r="C2450" i="7"/>
  <c r="F2450" i="7"/>
  <c r="A2451" i="7"/>
  <c r="E2451" i="7"/>
  <c r="F2451" i="7"/>
  <c r="A2452" i="7"/>
  <c r="C2452" i="7"/>
  <c r="D2452" i="7"/>
  <c r="E2452" i="7"/>
  <c r="F2452" i="7"/>
  <c r="A2453" i="7"/>
  <c r="E2453" i="7" s="1"/>
  <c r="C2453" i="7"/>
  <c r="D2453" i="7"/>
  <c r="F2453" i="7"/>
  <c r="A2454" i="7"/>
  <c r="C2454" i="7"/>
  <c r="F2454" i="7"/>
  <c r="A2455" i="7"/>
  <c r="E2455" i="7" s="1"/>
  <c r="A2456" i="7"/>
  <c r="C2456" i="7"/>
  <c r="D2456" i="7"/>
  <c r="E2456" i="7"/>
  <c r="F2456" i="7"/>
  <c r="A2457" i="7"/>
  <c r="E2457" i="7" s="1"/>
  <c r="C2457" i="7"/>
  <c r="D2457" i="7"/>
  <c r="F2457" i="7"/>
  <c r="A2458" i="7"/>
  <c r="C2458" i="7" s="1"/>
  <c r="A2459" i="7"/>
  <c r="E2459" i="7" s="1"/>
  <c r="A2460" i="7"/>
  <c r="C2460" i="7"/>
  <c r="D2460" i="7"/>
  <c r="E2460" i="7"/>
  <c r="F2460" i="7"/>
  <c r="A2461" i="7"/>
  <c r="E2461" i="7" s="1"/>
  <c r="C2461" i="7"/>
  <c r="D2461" i="7"/>
  <c r="F2461" i="7"/>
  <c r="A2462" i="7"/>
  <c r="C2462" i="7" s="1"/>
  <c r="A2463" i="7"/>
  <c r="E2463" i="7"/>
  <c r="F2463" i="7"/>
  <c r="A2464" i="7"/>
  <c r="C2464" i="7"/>
  <c r="D2464" i="7"/>
  <c r="E2464" i="7"/>
  <c r="F2464" i="7"/>
  <c r="A2465" i="7"/>
  <c r="E2465" i="7" s="1"/>
  <c r="C2465" i="7"/>
  <c r="D2465" i="7"/>
  <c r="F2465" i="7"/>
  <c r="A2466" i="7"/>
  <c r="C2466" i="7"/>
  <c r="F2466" i="7"/>
  <c r="A2467" i="7"/>
  <c r="E2467" i="7"/>
  <c r="F2467" i="7"/>
  <c r="A2468" i="7"/>
  <c r="C2468" i="7"/>
  <c r="D2468" i="7"/>
  <c r="E2468" i="7"/>
  <c r="F2468" i="7"/>
  <c r="A2469" i="7"/>
  <c r="E2469" i="7" s="1"/>
  <c r="C2469" i="7"/>
  <c r="D2469" i="7"/>
  <c r="F2469" i="7"/>
  <c r="A2470" i="7"/>
  <c r="C2470" i="7"/>
  <c r="F2470" i="7"/>
  <c r="A2471" i="7"/>
  <c r="E2471" i="7" s="1"/>
  <c r="A2472" i="7"/>
  <c r="C2472" i="7"/>
  <c r="D2472" i="7"/>
  <c r="E2472" i="7"/>
  <c r="F2472" i="7"/>
  <c r="A2473" i="7"/>
  <c r="E2473" i="7" s="1"/>
  <c r="C2473" i="7"/>
  <c r="D2473" i="7"/>
  <c r="F2473" i="7"/>
  <c r="A2474" i="7"/>
  <c r="C2474" i="7" s="1"/>
  <c r="A2475" i="7"/>
  <c r="E2475" i="7" s="1"/>
  <c r="A2476" i="7"/>
  <c r="C2476" i="7"/>
  <c r="D2476" i="7"/>
  <c r="E2476" i="7"/>
  <c r="F2476" i="7"/>
  <c r="A2477" i="7"/>
  <c r="E2477" i="7" s="1"/>
  <c r="C2477" i="7"/>
  <c r="D2477" i="7"/>
  <c r="F2477" i="7"/>
  <c r="A2478" i="7"/>
  <c r="C2478" i="7" s="1"/>
  <c r="A2479" i="7"/>
  <c r="E2479" i="7"/>
  <c r="F2479" i="7"/>
  <c r="A2480" i="7"/>
  <c r="C2480" i="7"/>
  <c r="D2480" i="7"/>
  <c r="E2480" i="7"/>
  <c r="F2480" i="7"/>
  <c r="A2481" i="7"/>
  <c r="E2481" i="7" s="1"/>
  <c r="C2481" i="7"/>
  <c r="D2481" i="7"/>
  <c r="F2481" i="7"/>
  <c r="A2482" i="7"/>
  <c r="C2482" i="7"/>
  <c r="F2482" i="7"/>
  <c r="A2483" i="7"/>
  <c r="E2483" i="7"/>
  <c r="F2483" i="7"/>
  <c r="A2484" i="7"/>
  <c r="C2484" i="7"/>
  <c r="D2484" i="7"/>
  <c r="E2484" i="7"/>
  <c r="F2484" i="7"/>
  <c r="A2485" i="7"/>
  <c r="E2485" i="7" s="1"/>
  <c r="C2485" i="7"/>
  <c r="D2485" i="7"/>
  <c r="F2485" i="7"/>
  <c r="A2486" i="7"/>
  <c r="C2486" i="7"/>
  <c r="F2486" i="7"/>
  <c r="A2487" i="7"/>
  <c r="E2487" i="7" s="1"/>
  <c r="A2488" i="7"/>
  <c r="C2488" i="7"/>
  <c r="D2488" i="7"/>
  <c r="E2488" i="7"/>
  <c r="F2488" i="7"/>
  <c r="A2489" i="7"/>
  <c r="E2489" i="7" s="1"/>
  <c r="C2489" i="7"/>
  <c r="D2489" i="7"/>
  <c r="F2489" i="7"/>
  <c r="A2490" i="7"/>
  <c r="C2490" i="7" s="1"/>
  <c r="A2491" i="7"/>
  <c r="E2491" i="7" s="1"/>
  <c r="A2492" i="7"/>
  <c r="C2492" i="7"/>
  <c r="D2492" i="7"/>
  <c r="E2492" i="7"/>
  <c r="F2492" i="7"/>
  <c r="A2493" i="7"/>
  <c r="E2493" i="7" s="1"/>
  <c r="C2493" i="7"/>
  <c r="D2493" i="7"/>
  <c r="F2493" i="7"/>
  <c r="A2494" i="7"/>
  <c r="C2494" i="7" s="1"/>
  <c r="A2495" i="7"/>
  <c r="E2495" i="7"/>
  <c r="F2495" i="7"/>
  <c r="A2496" i="7"/>
  <c r="C2496" i="7"/>
  <c r="D2496" i="7"/>
  <c r="E2496" i="7"/>
  <c r="F2496" i="7"/>
  <c r="A2497" i="7"/>
  <c r="E2497" i="7" s="1"/>
  <c r="C2497" i="7"/>
  <c r="D2497" i="7"/>
  <c r="F2497" i="7"/>
  <c r="A2498" i="7"/>
  <c r="C2498" i="7"/>
  <c r="F2498" i="7"/>
  <c r="A2499" i="7"/>
  <c r="E2499" i="7"/>
  <c r="F2499" i="7"/>
  <c r="A2500" i="7"/>
  <c r="C2500" i="7"/>
  <c r="D2500" i="7"/>
  <c r="E2500" i="7"/>
  <c r="F2500" i="7"/>
  <c r="A2501" i="7"/>
  <c r="E2501" i="7" s="1"/>
  <c r="C2501" i="7"/>
  <c r="D2501" i="7"/>
  <c r="F2501" i="7"/>
  <c r="A2502" i="7"/>
  <c r="C2502" i="7"/>
  <c r="F2502" i="7"/>
  <c r="A2503" i="7"/>
  <c r="E2503" i="7" s="1"/>
  <c r="A2504" i="7"/>
  <c r="C2504" i="7"/>
  <c r="D2504" i="7"/>
  <c r="E2504" i="7"/>
  <c r="F2504" i="7"/>
  <c r="A2505" i="7"/>
  <c r="E2505" i="7" s="1"/>
  <c r="C2505" i="7"/>
  <c r="D2505" i="7"/>
  <c r="F2505" i="7"/>
  <c r="A2506" i="7"/>
  <c r="C2506" i="7" s="1"/>
  <c r="A2507" i="7"/>
  <c r="E2507" i="7" s="1"/>
  <c r="A2508" i="7"/>
  <c r="C2508" i="7"/>
  <c r="D2508" i="7"/>
  <c r="E2508" i="7"/>
  <c r="F2508" i="7"/>
  <c r="A2509" i="7"/>
  <c r="E2509" i="7" s="1"/>
  <c r="C2509" i="7"/>
  <c r="D2509" i="7"/>
  <c r="F2509" i="7"/>
  <c r="A2510" i="7"/>
  <c r="C2510" i="7" s="1"/>
  <c r="A2511" i="7"/>
  <c r="E2511" i="7" s="1"/>
  <c r="A2512" i="7"/>
  <c r="C2512" i="7"/>
  <c r="D2512" i="7"/>
  <c r="E2512" i="7"/>
  <c r="F2512" i="7"/>
  <c r="A2513" i="7"/>
  <c r="E2513" i="7" s="1"/>
  <c r="C2513" i="7"/>
  <c r="D2513" i="7"/>
  <c r="F2513" i="7"/>
  <c r="A2514" i="7"/>
  <c r="A2515" i="7"/>
  <c r="E2515" i="7"/>
  <c r="F2515" i="7"/>
  <c r="A2516" i="7"/>
  <c r="C2516" i="7"/>
  <c r="D2516" i="7"/>
  <c r="E2516" i="7"/>
  <c r="F2516" i="7"/>
  <c r="A2517" i="7"/>
  <c r="E2517" i="7" s="1"/>
  <c r="C2517" i="7"/>
  <c r="D2517" i="7"/>
  <c r="F2517" i="7"/>
  <c r="A2518" i="7"/>
  <c r="C2518" i="7"/>
  <c r="F2518" i="7"/>
  <c r="A2519" i="7"/>
  <c r="E2519" i="7" s="1"/>
  <c r="F2519" i="7"/>
  <c r="A2520" i="7"/>
  <c r="C2520" i="7"/>
  <c r="D2520" i="7"/>
  <c r="E2520" i="7"/>
  <c r="F2520" i="7"/>
  <c r="A2521" i="7"/>
  <c r="E2521" i="7" s="1"/>
  <c r="C2521" i="7"/>
  <c r="D2521" i="7"/>
  <c r="F2521" i="7"/>
  <c r="A2522" i="7"/>
  <c r="C2522" i="7" s="1"/>
  <c r="F2522" i="7"/>
  <c r="A2523" i="7"/>
  <c r="E2523" i="7" s="1"/>
  <c r="A2524" i="7"/>
  <c r="C2524" i="7"/>
  <c r="D2524" i="7"/>
  <c r="E2524" i="7"/>
  <c r="F2524" i="7"/>
  <c r="A2525" i="7"/>
  <c r="E2525" i="7" s="1"/>
  <c r="C2525" i="7"/>
  <c r="D2525" i="7"/>
  <c r="F2525" i="7"/>
  <c r="A2526" i="7"/>
  <c r="C2526" i="7" s="1"/>
  <c r="A2527" i="7"/>
  <c r="G2528" i="7"/>
  <c r="G2533" i="7"/>
  <c r="A2538" i="7"/>
  <c r="C2538" i="7"/>
  <c r="D2538" i="7"/>
  <c r="E2538" i="7"/>
  <c r="F2538" i="7"/>
  <c r="A2539" i="7"/>
  <c r="E2539" i="7" s="1"/>
  <c r="C2539" i="7"/>
  <c r="D2539" i="7"/>
  <c r="F2539" i="7"/>
  <c r="A2540" i="7"/>
  <c r="C2540" i="7"/>
  <c r="F2540" i="7"/>
  <c r="A2541" i="7"/>
  <c r="C2541" i="7" s="1"/>
  <c r="E2541" i="7"/>
  <c r="F2541" i="7"/>
  <c r="A2542" i="7"/>
  <c r="C2542" i="7"/>
  <c r="D2542" i="7"/>
  <c r="E2542" i="7"/>
  <c r="F2542" i="7"/>
  <c r="A2543" i="7"/>
  <c r="E2543" i="7" s="1"/>
  <c r="C2543" i="7"/>
  <c r="D2543" i="7"/>
  <c r="F2543" i="7"/>
  <c r="A2544" i="7"/>
  <c r="D2544" i="7" s="1"/>
  <c r="C2544" i="7"/>
  <c r="E2544" i="7"/>
  <c r="F2544" i="7"/>
  <c r="A2545" i="7"/>
  <c r="C2545" i="7" s="1"/>
  <c r="D2545" i="7"/>
  <c r="E2545" i="7"/>
  <c r="F2545" i="7"/>
  <c r="A2546" i="7"/>
  <c r="C2546" i="7"/>
  <c r="D2546" i="7"/>
  <c r="E2546" i="7"/>
  <c r="F2546" i="7"/>
  <c r="A2547" i="7"/>
  <c r="C2547" i="7"/>
  <c r="A2548" i="7"/>
  <c r="C2548" i="7" s="1"/>
  <c r="A2549" i="7"/>
  <c r="D2549" i="7"/>
  <c r="A2550" i="7"/>
  <c r="C2550" i="7"/>
  <c r="D2550" i="7"/>
  <c r="E2550" i="7"/>
  <c r="F2550" i="7"/>
  <c r="A2551" i="7"/>
  <c r="F2551" i="7"/>
  <c r="A2552" i="7"/>
  <c r="A2553" i="7"/>
  <c r="F2553" i="7"/>
  <c r="A2554" i="7"/>
  <c r="C2554" i="7"/>
  <c r="D2554" i="7"/>
  <c r="E2554" i="7"/>
  <c r="F2554" i="7"/>
  <c r="A2555" i="7"/>
  <c r="E2555" i="7" s="1"/>
  <c r="D2555" i="7"/>
  <c r="F2555" i="7"/>
  <c r="A2556" i="7"/>
  <c r="D2556" i="7" s="1"/>
  <c r="E2556" i="7"/>
  <c r="F2556" i="7"/>
  <c r="A2557" i="7"/>
  <c r="C2557" i="7" s="1"/>
  <c r="E2557" i="7"/>
  <c r="F2557" i="7"/>
  <c r="A2558" i="7"/>
  <c r="C2558" i="7"/>
  <c r="D2558" i="7"/>
  <c r="E2558" i="7"/>
  <c r="F2558" i="7"/>
  <c r="A2559" i="7"/>
  <c r="E2559" i="7" s="1"/>
  <c r="C2559" i="7"/>
  <c r="D2559" i="7"/>
  <c r="F2559" i="7"/>
  <c r="A2560" i="7"/>
  <c r="D2560" i="7" s="1"/>
  <c r="C2560" i="7"/>
  <c r="E2560" i="7"/>
  <c r="F2560" i="7"/>
  <c r="A2561" i="7"/>
  <c r="C2561" i="7" s="1"/>
  <c r="D2561" i="7"/>
  <c r="E2561" i="7"/>
  <c r="F2561" i="7"/>
  <c r="A2562" i="7"/>
  <c r="C2562" i="7"/>
  <c r="D2562" i="7"/>
  <c r="E2562" i="7"/>
  <c r="F2562" i="7"/>
  <c r="A2563" i="7"/>
  <c r="A2564" i="7"/>
  <c r="C2564" i="7"/>
  <c r="A2565" i="7"/>
  <c r="G2566" i="7"/>
  <c r="G2571" i="7"/>
  <c r="A2576" i="7"/>
  <c r="C2576" i="7"/>
  <c r="D2576" i="7"/>
  <c r="E2576" i="7"/>
  <c r="F2576" i="7"/>
  <c r="A2577" i="7"/>
  <c r="C2577" i="7" s="1"/>
  <c r="A2578" i="7"/>
  <c r="C2578" i="7"/>
  <c r="A2579" i="7"/>
  <c r="D2579" i="7" s="1"/>
  <c r="A2580" i="7"/>
  <c r="C2580" i="7"/>
  <c r="D2580" i="7"/>
  <c r="E2580" i="7"/>
  <c r="F2580" i="7"/>
  <c r="A2581" i="7"/>
  <c r="A2582" i="7"/>
  <c r="F2582" i="7"/>
  <c r="A2583" i="7"/>
  <c r="A2584" i="7"/>
  <c r="C2584" i="7"/>
  <c r="D2584" i="7"/>
  <c r="E2584" i="7"/>
  <c r="F2584" i="7"/>
  <c r="A2585" i="7"/>
  <c r="E2585" i="7" s="1"/>
  <c r="D2585" i="7"/>
  <c r="F2585" i="7"/>
  <c r="A2586" i="7"/>
  <c r="D2586" i="7" s="1"/>
  <c r="E2586" i="7"/>
  <c r="F2586" i="7"/>
  <c r="A2587" i="7"/>
  <c r="C2587" i="7" s="1"/>
  <c r="E2587" i="7"/>
  <c r="F2587" i="7"/>
  <c r="A2588" i="7"/>
  <c r="C2588" i="7"/>
  <c r="D2588" i="7"/>
  <c r="E2588" i="7"/>
  <c r="F2588" i="7"/>
  <c r="A2589" i="7"/>
  <c r="E2589" i="7" s="1"/>
  <c r="C2589" i="7"/>
  <c r="D2589" i="7"/>
  <c r="F2589" i="7"/>
  <c r="A2590" i="7"/>
  <c r="D2590" i="7" s="1"/>
  <c r="C2590" i="7"/>
  <c r="E2590" i="7"/>
  <c r="F2590" i="7"/>
  <c r="G2591" i="7"/>
  <c r="G2596" i="7"/>
  <c r="A2601" i="7"/>
  <c r="C2601" i="7" s="1"/>
  <c r="D2601" i="7"/>
  <c r="E2601" i="7"/>
  <c r="F2601" i="7"/>
  <c r="A2602" i="7"/>
  <c r="C2602" i="7"/>
  <c r="D2602" i="7"/>
  <c r="E2602" i="7"/>
  <c r="F2602" i="7"/>
  <c r="A2603" i="7"/>
  <c r="A2604" i="7"/>
  <c r="C2604" i="7"/>
  <c r="A2605" i="7"/>
  <c r="A2606" i="7"/>
  <c r="C2606" i="7"/>
  <c r="D2606" i="7"/>
  <c r="E2606" i="7"/>
  <c r="F2606" i="7"/>
  <c r="A2607" i="7"/>
  <c r="F2607" i="7"/>
  <c r="A2608" i="7"/>
  <c r="F2608" i="7" s="1"/>
  <c r="A2609" i="7"/>
  <c r="F2609" i="7"/>
  <c r="A2610" i="7"/>
  <c r="C2610" i="7"/>
  <c r="D2610" i="7"/>
  <c r="E2610" i="7"/>
  <c r="F2610" i="7"/>
  <c r="A2611" i="7"/>
  <c r="E2611" i="7" s="1"/>
  <c r="D2611" i="7"/>
  <c r="F2611" i="7"/>
  <c r="A2612" i="7"/>
  <c r="D2612" i="7" s="1"/>
  <c r="E2612" i="7"/>
  <c r="F2612" i="7"/>
  <c r="A2613" i="7"/>
  <c r="C2613" i="7" s="1"/>
  <c r="E2613" i="7"/>
  <c r="F2613" i="7"/>
  <c r="A2614" i="7"/>
  <c r="C2614" i="7"/>
  <c r="D2614" i="7"/>
  <c r="E2614" i="7"/>
  <c r="F2614" i="7"/>
  <c r="A2615" i="7"/>
  <c r="E2615" i="7" s="1"/>
  <c r="C2615" i="7"/>
  <c r="D2615" i="7"/>
  <c r="F2615" i="7"/>
  <c r="A2616" i="7"/>
  <c r="D2616" i="7" s="1"/>
  <c r="C2616" i="7"/>
  <c r="E2616" i="7"/>
  <c r="F2616" i="7"/>
  <c r="A2617" i="7"/>
  <c r="C2617" i="7" s="1"/>
  <c r="D2617" i="7"/>
  <c r="E2617" i="7"/>
  <c r="F2617" i="7"/>
  <c r="A2618" i="7"/>
  <c r="C2618" i="7"/>
  <c r="D2618" i="7"/>
  <c r="E2618" i="7"/>
  <c r="F2618" i="7"/>
  <c r="A2619" i="7"/>
  <c r="C2619" i="7" s="1"/>
  <c r="A2620" i="7"/>
  <c r="C2620" i="7"/>
  <c r="A2621" i="7"/>
  <c r="D2621" i="7" s="1"/>
  <c r="A2622" i="7"/>
  <c r="C2622" i="7"/>
  <c r="D2622" i="7"/>
  <c r="E2622" i="7"/>
  <c r="F2622" i="7"/>
  <c r="A2623" i="7"/>
  <c r="A2624" i="7"/>
  <c r="F2624" i="7"/>
  <c r="A2625" i="7"/>
  <c r="A2626" i="7"/>
  <c r="C2626" i="7"/>
  <c r="D2626" i="7"/>
  <c r="E2626" i="7"/>
  <c r="F2626" i="7"/>
  <c r="A2627" i="7"/>
  <c r="E2627" i="7" s="1"/>
  <c r="D2627" i="7"/>
  <c r="F2627" i="7"/>
  <c r="A2628" i="7"/>
  <c r="D2628" i="7" s="1"/>
  <c r="E2628" i="7"/>
  <c r="F2628" i="7"/>
  <c r="A2629" i="7"/>
  <c r="C2629" i="7" s="1"/>
  <c r="E2629" i="7"/>
  <c r="F2629" i="7"/>
  <c r="A2630" i="7"/>
  <c r="C2630" i="7"/>
  <c r="D2630" i="7"/>
  <c r="E2630" i="7"/>
  <c r="F2630" i="7"/>
  <c r="A2631" i="7"/>
  <c r="E2631" i="7" s="1"/>
  <c r="C2631" i="7"/>
  <c r="D2631" i="7"/>
  <c r="F2631" i="7"/>
  <c r="A2632" i="7"/>
  <c r="D2632" i="7" s="1"/>
  <c r="C2632" i="7"/>
  <c r="E2632" i="7"/>
  <c r="F2632" i="7"/>
  <c r="A2633" i="7"/>
  <c r="C2633" i="7" s="1"/>
  <c r="D2633" i="7"/>
  <c r="E2633" i="7"/>
  <c r="F2633" i="7"/>
  <c r="A2634" i="7"/>
  <c r="C2634" i="7"/>
  <c r="D2634" i="7"/>
  <c r="E2634" i="7"/>
  <c r="F2634" i="7"/>
  <c r="A2635" i="7"/>
  <c r="C2635" i="7"/>
  <c r="A2636" i="7"/>
  <c r="A2637" i="7"/>
  <c r="D2637" i="7"/>
  <c r="A2638" i="7"/>
  <c r="C2638" i="7"/>
  <c r="D2638" i="7"/>
  <c r="E2638" i="7"/>
  <c r="F2638" i="7"/>
  <c r="A2639" i="7"/>
  <c r="F2639" i="7" s="1"/>
  <c r="A2640" i="7"/>
  <c r="F2640" i="7"/>
  <c r="A2641" i="7"/>
  <c r="F2641" i="7" s="1"/>
  <c r="A2642" i="7"/>
  <c r="C2642" i="7"/>
  <c r="D2642" i="7"/>
  <c r="E2642" i="7"/>
  <c r="F2642" i="7"/>
  <c r="A2643" i="7"/>
  <c r="E2643" i="7" s="1"/>
  <c r="D2643" i="7"/>
  <c r="F2643" i="7"/>
  <c r="A2644" i="7"/>
  <c r="D2644" i="7" s="1"/>
  <c r="E2644" i="7"/>
  <c r="F2644" i="7"/>
  <c r="A2645" i="7"/>
  <c r="C2645" i="7" s="1"/>
  <c r="E2645" i="7"/>
  <c r="F2645" i="7"/>
  <c r="A2646" i="7"/>
  <c r="C2646" i="7"/>
  <c r="D2646" i="7"/>
  <c r="E2646" i="7"/>
  <c r="F2646" i="7"/>
  <c r="A2647" i="7"/>
  <c r="E2647" i="7" s="1"/>
  <c r="C2647" i="7"/>
  <c r="D2647" i="7"/>
  <c r="F2647" i="7"/>
  <c r="A2648" i="7"/>
  <c r="D2648" i="7" s="1"/>
  <c r="C2648" i="7"/>
  <c r="E2648" i="7"/>
  <c r="F2648" i="7"/>
  <c r="A2649" i="7"/>
  <c r="C2649" i="7" s="1"/>
  <c r="D2649" i="7"/>
  <c r="E2649" i="7"/>
  <c r="F2649" i="7"/>
  <c r="A2650" i="7"/>
  <c r="C2650" i="7"/>
  <c r="D2650" i="7"/>
  <c r="E2650" i="7"/>
  <c r="F2650" i="7"/>
  <c r="A2651" i="7"/>
  <c r="C2651" i="7"/>
  <c r="A2652" i="7"/>
  <c r="C2652" i="7" s="1"/>
  <c r="A2653" i="7"/>
  <c r="D2653" i="7"/>
  <c r="A2654" i="7"/>
  <c r="C2654" i="7"/>
  <c r="D2654" i="7"/>
  <c r="E2654" i="7"/>
  <c r="F2654" i="7"/>
  <c r="A2655" i="7"/>
  <c r="F2655" i="7"/>
  <c r="A2656" i="7"/>
  <c r="A2657" i="7"/>
  <c r="F2657" i="7"/>
  <c r="A2658" i="7"/>
  <c r="C2658" i="7"/>
  <c r="D2658" i="7"/>
  <c r="E2658" i="7"/>
  <c r="F2658" i="7"/>
  <c r="A2659" i="7"/>
  <c r="E2659" i="7" s="1"/>
  <c r="D2659" i="7"/>
  <c r="F2659" i="7"/>
  <c r="A2660" i="7"/>
  <c r="D2660" i="7" s="1"/>
  <c r="E2660" i="7"/>
  <c r="F2660" i="7"/>
  <c r="A2661" i="7"/>
  <c r="C2661" i="7" s="1"/>
  <c r="E2661" i="7"/>
  <c r="F2661" i="7"/>
  <c r="A2662" i="7"/>
  <c r="C2662" i="7"/>
  <c r="D2662" i="7"/>
  <c r="E2662" i="7"/>
  <c r="F2662" i="7"/>
  <c r="A2663" i="7"/>
  <c r="E2663" i="7" s="1"/>
  <c r="C2663" i="7"/>
  <c r="D2663" i="7"/>
  <c r="F2663" i="7"/>
  <c r="A2664" i="7"/>
  <c r="D2664" i="7" s="1"/>
  <c r="C2664" i="7"/>
  <c r="E2664" i="7"/>
  <c r="F2664" i="7"/>
  <c r="A2665" i="7"/>
  <c r="C2665" i="7" s="1"/>
  <c r="D2665" i="7"/>
  <c r="E2665" i="7"/>
  <c r="A2666" i="7"/>
  <c r="E2666" i="7"/>
  <c r="A2667" i="7"/>
  <c r="A2668" i="7"/>
  <c r="C2668" i="7" s="1"/>
  <c r="D2668" i="7"/>
  <c r="E2668" i="7"/>
  <c r="A2669" i="7"/>
  <c r="C2669" i="7" s="1"/>
  <c r="D2669" i="7"/>
  <c r="E2669" i="7"/>
  <c r="A2670" i="7"/>
  <c r="A2671" i="7"/>
  <c r="D2671" i="7"/>
  <c r="A2672" i="7"/>
  <c r="C2672" i="7" s="1"/>
  <c r="A2673" i="7"/>
  <c r="C2673" i="7" s="1"/>
  <c r="D2673" i="7"/>
  <c r="E2673" i="7"/>
  <c r="A2674" i="7"/>
  <c r="E2674" i="7"/>
  <c r="A2675" i="7"/>
  <c r="A2676" i="7"/>
  <c r="C2676" i="7" s="1"/>
  <c r="D2676" i="7"/>
  <c r="E2676" i="7"/>
  <c r="A2677" i="7"/>
  <c r="C2677" i="7" s="1"/>
  <c r="D2677" i="7"/>
  <c r="E2677" i="7"/>
  <c r="A2678" i="7"/>
  <c r="A2679" i="7"/>
  <c r="D2679" i="7"/>
  <c r="A2680" i="7"/>
  <c r="C2680" i="7" s="1"/>
  <c r="A2681" i="7"/>
  <c r="C2681" i="7" s="1"/>
  <c r="D2681" i="7"/>
  <c r="E2681" i="7"/>
  <c r="A2682" i="7"/>
  <c r="E2682" i="7"/>
  <c r="A2683" i="7"/>
  <c r="A2684" i="7"/>
  <c r="C2684" i="7" s="1"/>
  <c r="D2684" i="7"/>
  <c r="E2684" i="7"/>
  <c r="A2685" i="7"/>
  <c r="C2685" i="7" s="1"/>
  <c r="D2685" i="7"/>
  <c r="E2685" i="7"/>
  <c r="A2686" i="7"/>
  <c r="A2687" i="7"/>
  <c r="D2687" i="7"/>
  <c r="A2688" i="7"/>
  <c r="C2688" i="7" s="1"/>
  <c r="A2689" i="7"/>
  <c r="C2689" i="7" s="1"/>
  <c r="D2689" i="7"/>
  <c r="E2689" i="7"/>
  <c r="G2690" i="7"/>
  <c r="G2695" i="7"/>
  <c r="A2700" i="7"/>
  <c r="E2700" i="7"/>
  <c r="F2700" i="7"/>
  <c r="A2701" i="7"/>
  <c r="C2701" i="7"/>
  <c r="D2701" i="7"/>
  <c r="E2701" i="7"/>
  <c r="F2701" i="7"/>
  <c r="A2702" i="7"/>
  <c r="E2702" i="7" s="1"/>
  <c r="C2702" i="7"/>
  <c r="D2702" i="7"/>
  <c r="F2702" i="7"/>
  <c r="A2703" i="7"/>
  <c r="D2703" i="7" s="1"/>
  <c r="C2703" i="7"/>
  <c r="E2703" i="7"/>
  <c r="F2703" i="7"/>
  <c r="A2704" i="7"/>
  <c r="C2704" i="7" s="1"/>
  <c r="D2704" i="7"/>
  <c r="E2704" i="7"/>
  <c r="F2704" i="7"/>
  <c r="A2705" i="7"/>
  <c r="C2705" i="7"/>
  <c r="D2705" i="7"/>
  <c r="E2705" i="7"/>
  <c r="F2705" i="7"/>
  <c r="A2706" i="7"/>
  <c r="C2706" i="7"/>
  <c r="A2707" i="7"/>
  <c r="C2707" i="7"/>
  <c r="E2707" i="7"/>
  <c r="A2708" i="7"/>
  <c r="D2708" i="7" s="1"/>
  <c r="E2708" i="7"/>
  <c r="A2709" i="7"/>
  <c r="C2709" i="7"/>
  <c r="D2709" i="7"/>
  <c r="E2709" i="7"/>
  <c r="F2709" i="7"/>
  <c r="A2710" i="7"/>
  <c r="C2710" i="7" s="1"/>
  <c r="F2710" i="7"/>
  <c r="A2711" i="7"/>
  <c r="A2712" i="7"/>
  <c r="D2712" i="7"/>
  <c r="A2713" i="7"/>
  <c r="C2713" i="7"/>
  <c r="D2713" i="7"/>
  <c r="E2713" i="7"/>
  <c r="F2713" i="7"/>
  <c r="A2714" i="7"/>
  <c r="D2714" i="7"/>
  <c r="A2715" i="7"/>
  <c r="E2715" i="7"/>
  <c r="F2715" i="7"/>
  <c r="A2716" i="7"/>
  <c r="E2716" i="7" s="1"/>
  <c r="F2716" i="7"/>
  <c r="A2717" i="7"/>
  <c r="C2717" i="7"/>
  <c r="D2717" i="7"/>
  <c r="E2717" i="7"/>
  <c r="F2717" i="7"/>
  <c r="A2718" i="7"/>
  <c r="E2718" i="7" s="1"/>
  <c r="C2718" i="7"/>
  <c r="D2718" i="7"/>
  <c r="F2718" i="7"/>
  <c r="A2719" i="7"/>
  <c r="D2719" i="7" s="1"/>
  <c r="C2719" i="7"/>
  <c r="E2719" i="7"/>
  <c r="F2719" i="7"/>
  <c r="A2720" i="7"/>
  <c r="C2720" i="7" s="1"/>
  <c r="D2720" i="7"/>
  <c r="E2720" i="7"/>
  <c r="F2720" i="7"/>
  <c r="A2721" i="7"/>
  <c r="C2721" i="7"/>
  <c r="D2721" i="7"/>
  <c r="E2721" i="7"/>
  <c r="F2721" i="7"/>
  <c r="A2722" i="7"/>
  <c r="C2722" i="7"/>
  <c r="D2722" i="7"/>
  <c r="A2723" i="7"/>
  <c r="C2723" i="7" s="1"/>
  <c r="E2723" i="7"/>
  <c r="A2724" i="7"/>
  <c r="A2725" i="7"/>
  <c r="C2725" i="7"/>
  <c r="D2725" i="7"/>
  <c r="E2725" i="7"/>
  <c r="F2725" i="7"/>
  <c r="A2726" i="7"/>
  <c r="A2727" i="7"/>
  <c r="C2727" i="7"/>
  <c r="A2728" i="7"/>
  <c r="D2728" i="7"/>
  <c r="F2728" i="7"/>
  <c r="A2729" i="7"/>
  <c r="C2729" i="7"/>
  <c r="D2729" i="7"/>
  <c r="E2729" i="7"/>
  <c r="F2729" i="7"/>
  <c r="A2730" i="7"/>
  <c r="D2730" i="7"/>
  <c r="F2730" i="7"/>
  <c r="G2731" i="7"/>
  <c r="G2736" i="7"/>
  <c r="A2741" i="7"/>
  <c r="E2741" i="7" s="1"/>
  <c r="F2741" i="7"/>
  <c r="A2742" i="7"/>
  <c r="A2743" i="7"/>
  <c r="C2743" i="7"/>
  <c r="D2743" i="7"/>
  <c r="E2743" i="7"/>
  <c r="F2743" i="7"/>
  <c r="A2744" i="7"/>
  <c r="E2744" i="7" s="1"/>
  <c r="C2744" i="7"/>
  <c r="D2744" i="7"/>
  <c r="F2744" i="7"/>
  <c r="A2745" i="7"/>
  <c r="D2745" i="7" s="1"/>
  <c r="C2745" i="7"/>
  <c r="E2745" i="7"/>
  <c r="F2745" i="7"/>
  <c r="A2746" i="7"/>
  <c r="C2746" i="7" s="1"/>
  <c r="D2746" i="7"/>
  <c r="E2746" i="7"/>
  <c r="F2746" i="7"/>
  <c r="A2747" i="7"/>
  <c r="C2747" i="7"/>
  <c r="D2747" i="7"/>
  <c r="E2747" i="7"/>
  <c r="F2747" i="7"/>
  <c r="A2748" i="7"/>
  <c r="C2748" i="7" s="1"/>
  <c r="D2748" i="7"/>
  <c r="A2749" i="7"/>
  <c r="A2750" i="7"/>
  <c r="D2750" i="7"/>
  <c r="A2751" i="7"/>
  <c r="C2751" i="7"/>
  <c r="D2751" i="7"/>
  <c r="E2751" i="7"/>
  <c r="F2751" i="7"/>
  <c r="A2752" i="7"/>
  <c r="C2752" i="7"/>
  <c r="A2753" i="7"/>
  <c r="C2753" i="7"/>
  <c r="F2753" i="7"/>
  <c r="A2754" i="7"/>
  <c r="D2754" i="7" s="1"/>
  <c r="F2754" i="7"/>
  <c r="A2755" i="7"/>
  <c r="C2755" i="7"/>
  <c r="D2755" i="7"/>
  <c r="E2755" i="7"/>
  <c r="F2755" i="7"/>
  <c r="A2756" i="7"/>
  <c r="D2756" i="7" s="1"/>
  <c r="F2756" i="7"/>
  <c r="A2757" i="7"/>
  <c r="A2758" i="7"/>
  <c r="E2758" i="7"/>
  <c r="A2759" i="7"/>
  <c r="C2759" i="7"/>
  <c r="D2759" i="7"/>
  <c r="E2759" i="7"/>
  <c r="F2759" i="7"/>
  <c r="A2760" i="7"/>
  <c r="E2760" i="7" s="1"/>
  <c r="C2760" i="7"/>
  <c r="D2760" i="7"/>
  <c r="F2760" i="7"/>
  <c r="A2761" i="7"/>
  <c r="D2761" i="7" s="1"/>
  <c r="C2761" i="7"/>
  <c r="E2761" i="7"/>
  <c r="F2761" i="7"/>
  <c r="A2762" i="7"/>
  <c r="C2762" i="7" s="1"/>
  <c r="D2762" i="7"/>
  <c r="E2762" i="7"/>
  <c r="F2762" i="7"/>
  <c r="A2763" i="7"/>
  <c r="C2763" i="7"/>
  <c r="D2763" i="7"/>
  <c r="E2763" i="7"/>
  <c r="F2763" i="7"/>
  <c r="A2764" i="7"/>
  <c r="A2765" i="7"/>
  <c r="C2765" i="7" s="1"/>
  <c r="A2766" i="7"/>
  <c r="D2766" i="7"/>
  <c r="E2766" i="7"/>
  <c r="G2767" i="7"/>
  <c r="G2772" i="7"/>
  <c r="A2777" i="7"/>
  <c r="C2777" i="7"/>
  <c r="D2777" i="7"/>
  <c r="E2777" i="7"/>
  <c r="F2777" i="7"/>
  <c r="A2778" i="7"/>
  <c r="C2778" i="7" s="1"/>
  <c r="D2778" i="7"/>
  <c r="A2779" i="7"/>
  <c r="A2780" i="7"/>
  <c r="D2780" i="7" s="1"/>
  <c r="A2781" i="7"/>
  <c r="C2781" i="7"/>
  <c r="D2781" i="7"/>
  <c r="E2781" i="7"/>
  <c r="F2781" i="7"/>
  <c r="A2782" i="7"/>
  <c r="C2782" i="7" s="1"/>
  <c r="A2783" i="7"/>
  <c r="C2783" i="7"/>
  <c r="F2783" i="7"/>
  <c r="A2784" i="7"/>
  <c r="D2784" i="7" s="1"/>
  <c r="F2784" i="7"/>
  <c r="A2785" i="7"/>
  <c r="C2785" i="7"/>
  <c r="D2785" i="7"/>
  <c r="E2785" i="7"/>
  <c r="F2785" i="7"/>
  <c r="A2786" i="7"/>
  <c r="D2786" i="7" s="1"/>
  <c r="F2786" i="7"/>
  <c r="A2787" i="7"/>
  <c r="A2788" i="7"/>
  <c r="E2788" i="7" s="1"/>
  <c r="A2789" i="7"/>
  <c r="C2789" i="7"/>
  <c r="D2789" i="7"/>
  <c r="E2789" i="7"/>
  <c r="F2789" i="7"/>
  <c r="A2790" i="7"/>
  <c r="E2790" i="7" s="1"/>
  <c r="C2790" i="7"/>
  <c r="D2790" i="7"/>
  <c r="F2790" i="7"/>
  <c r="A2791" i="7"/>
  <c r="D2791" i="7" s="1"/>
  <c r="C2791" i="7"/>
  <c r="E2791" i="7"/>
  <c r="F2791" i="7"/>
  <c r="G2792" i="7"/>
  <c r="G2797" i="7"/>
  <c r="A2802" i="7"/>
  <c r="C2802" i="7" s="1"/>
  <c r="D2802" i="7"/>
  <c r="E2802" i="7"/>
  <c r="F2802" i="7"/>
  <c r="A2803" i="7"/>
  <c r="C2803" i="7"/>
  <c r="D2803" i="7"/>
  <c r="E2803" i="7"/>
  <c r="F2803" i="7"/>
  <c r="A2804" i="7"/>
  <c r="C2804" i="7" s="1"/>
  <c r="A2805" i="7"/>
  <c r="C2805" i="7"/>
  <c r="E2805" i="7"/>
  <c r="A2806" i="7"/>
  <c r="D2806" i="7" s="1"/>
  <c r="E2806" i="7"/>
  <c r="A2807" i="7"/>
  <c r="C2807" i="7"/>
  <c r="D2807" i="7"/>
  <c r="E2807" i="7"/>
  <c r="F2807" i="7"/>
  <c r="A2808" i="7"/>
  <c r="C2808" i="7" s="1"/>
  <c r="F2808" i="7"/>
  <c r="A2809" i="7"/>
  <c r="A2810" i="7"/>
  <c r="D2810" i="7" s="1"/>
  <c r="A2811" i="7"/>
  <c r="C2811" i="7"/>
  <c r="D2811" i="7"/>
  <c r="E2811" i="7"/>
  <c r="F2811" i="7"/>
  <c r="A2812" i="7"/>
  <c r="D2812" i="7" s="1"/>
  <c r="A2813" i="7"/>
  <c r="E2813" i="7"/>
  <c r="F2813" i="7"/>
  <c r="A2814" i="7"/>
  <c r="E2814" i="7" s="1"/>
  <c r="F2814" i="7"/>
  <c r="A2815" i="7"/>
  <c r="C2815" i="7"/>
  <c r="D2815" i="7"/>
  <c r="E2815" i="7"/>
  <c r="F2815" i="7"/>
  <c r="A2816" i="7"/>
  <c r="E2816" i="7" s="1"/>
  <c r="C2816" i="7"/>
  <c r="D2816" i="7"/>
  <c r="F2816" i="7"/>
  <c r="G2817" i="7"/>
  <c r="G2822" i="7"/>
  <c r="A2827" i="7"/>
  <c r="D2827" i="7" s="1"/>
  <c r="C2827" i="7"/>
  <c r="E2827" i="7"/>
  <c r="F2827" i="7"/>
  <c r="A2828" i="7"/>
  <c r="C2828" i="7" s="1"/>
  <c r="D2828" i="7"/>
  <c r="E2828" i="7"/>
  <c r="F2828" i="7"/>
  <c r="A2829" i="7"/>
  <c r="C2829" i="7"/>
  <c r="D2829" i="7"/>
  <c r="E2829" i="7"/>
  <c r="F2829" i="7"/>
  <c r="A2830" i="7"/>
  <c r="C2830" i="7" s="1"/>
  <c r="D2830" i="7"/>
  <c r="A2831" i="7"/>
  <c r="A2832" i="7"/>
  <c r="D2832" i="7" s="1"/>
  <c r="A2833" i="7"/>
  <c r="C2833" i="7"/>
  <c r="D2833" i="7"/>
  <c r="E2833" i="7"/>
  <c r="F2833" i="7"/>
  <c r="A2834" i="7"/>
  <c r="C2834" i="7" s="1"/>
  <c r="A2835" i="7"/>
  <c r="C2835" i="7"/>
  <c r="F2835" i="7"/>
  <c r="A2836" i="7"/>
  <c r="D2836" i="7" s="1"/>
  <c r="F2836" i="7"/>
  <c r="A2837" i="7"/>
  <c r="C2837" i="7"/>
  <c r="D2837" i="7"/>
  <c r="E2837" i="7"/>
  <c r="F2837" i="7"/>
  <c r="A2838" i="7"/>
  <c r="E2838" i="7" s="1"/>
  <c r="D2838" i="7"/>
  <c r="F2838" i="7"/>
  <c r="A2839" i="7"/>
  <c r="D2839" i="7" s="1"/>
  <c r="E2839" i="7"/>
  <c r="F2839" i="7"/>
  <c r="A2840" i="7"/>
  <c r="C2840" i="7" s="1"/>
  <c r="E2840" i="7"/>
  <c r="F2840" i="7"/>
  <c r="A2841" i="7"/>
  <c r="C2841" i="7"/>
  <c r="D2841" i="7"/>
  <c r="E2841" i="7"/>
  <c r="F2841" i="7"/>
  <c r="G2842" i="7"/>
  <c r="G2847" i="7"/>
  <c r="A2852" i="7"/>
  <c r="E2852" i="7" s="1"/>
  <c r="D2852" i="7"/>
  <c r="F2852" i="7"/>
  <c r="A2853" i="7"/>
  <c r="D2853" i="7" s="1"/>
  <c r="E2853" i="7"/>
  <c r="F2853" i="7"/>
  <c r="A2854" i="7"/>
  <c r="C2854" i="7" s="1"/>
  <c r="E2854" i="7"/>
  <c r="F2854" i="7"/>
  <c r="A2855" i="7"/>
  <c r="C2855" i="7"/>
  <c r="D2855" i="7"/>
  <c r="E2855" i="7"/>
  <c r="F2855" i="7"/>
  <c r="A2856" i="7"/>
  <c r="E2856" i="7" s="1"/>
  <c r="C2856" i="7"/>
  <c r="D2856" i="7"/>
  <c r="F2856" i="7"/>
  <c r="A2857" i="7"/>
  <c r="D2857" i="7" s="1"/>
  <c r="C2857" i="7"/>
  <c r="E2857" i="7"/>
  <c r="F2857" i="7"/>
  <c r="A2858" i="7"/>
  <c r="C2858" i="7" s="1"/>
  <c r="D2858" i="7"/>
  <c r="E2858" i="7"/>
  <c r="F2858" i="7"/>
  <c r="A2859" i="7"/>
  <c r="C2859" i="7"/>
  <c r="D2859" i="7"/>
  <c r="E2859" i="7"/>
  <c r="F2859" i="7"/>
  <c r="A2860" i="7"/>
  <c r="E2860" i="7" s="1"/>
  <c r="A2861" i="7"/>
  <c r="D2861" i="7" s="1"/>
  <c r="A2862" i="7"/>
  <c r="C2862" i="7" s="1"/>
  <c r="A2863" i="7"/>
  <c r="C2863" i="7"/>
  <c r="D2863" i="7"/>
  <c r="E2863" i="7"/>
  <c r="F2863" i="7"/>
  <c r="A2864" i="7"/>
  <c r="E2864" i="7" s="1"/>
  <c r="F2864" i="7"/>
  <c r="A2865" i="7"/>
  <c r="D2865" i="7" s="1"/>
  <c r="F2865" i="7"/>
  <c r="A2866" i="7"/>
  <c r="C2866" i="7" s="1"/>
  <c r="F2866" i="7"/>
  <c r="G2867" i="7"/>
  <c r="G2872" i="7"/>
  <c r="A2877" i="7"/>
  <c r="C2877" i="7"/>
  <c r="D2877" i="7"/>
  <c r="E2877" i="7"/>
  <c r="F2877" i="7"/>
  <c r="A2878" i="7"/>
  <c r="E2878" i="7" s="1"/>
  <c r="F2878" i="7"/>
  <c r="A2879" i="7"/>
  <c r="D2879" i="7" s="1"/>
  <c r="F2879" i="7"/>
  <c r="A2880" i="7"/>
  <c r="C2880" i="7" s="1"/>
  <c r="F2880" i="7"/>
  <c r="A2881" i="7"/>
  <c r="C2881" i="7"/>
  <c r="D2881" i="7"/>
  <c r="E2881" i="7"/>
  <c r="F2881" i="7"/>
  <c r="A2882" i="7"/>
  <c r="E2882" i="7" s="1"/>
  <c r="D2882" i="7"/>
  <c r="F2882" i="7"/>
  <c r="A2883" i="7"/>
  <c r="D2883" i="7" s="1"/>
  <c r="E2883" i="7"/>
  <c r="F2883" i="7"/>
  <c r="A2884" i="7"/>
  <c r="C2884" i="7" s="1"/>
  <c r="E2884" i="7"/>
  <c r="F2884" i="7"/>
  <c r="A2885" i="7"/>
  <c r="C2885" i="7"/>
  <c r="D2885" i="7"/>
  <c r="E2885" i="7"/>
  <c r="F2885" i="7"/>
  <c r="A2886" i="7"/>
  <c r="E2886" i="7" s="1"/>
  <c r="C2886" i="7"/>
  <c r="D2886" i="7"/>
  <c r="F2886" i="7"/>
  <c r="A2887" i="7"/>
  <c r="D2887" i="7" s="1"/>
  <c r="C2887" i="7"/>
  <c r="E2887" i="7"/>
  <c r="F2887" i="7"/>
  <c r="A2888" i="7"/>
  <c r="C2888" i="7" s="1"/>
  <c r="D2888" i="7"/>
  <c r="E2888" i="7"/>
  <c r="F2888" i="7"/>
  <c r="A2889" i="7"/>
  <c r="C2889" i="7"/>
  <c r="D2889" i="7"/>
  <c r="E2889" i="7"/>
  <c r="F2889" i="7"/>
  <c r="A2890" i="7"/>
  <c r="E2890" i="7" s="1"/>
  <c r="A2891" i="7"/>
  <c r="D2891" i="7" s="1"/>
  <c r="G2892" i="7"/>
  <c r="G2897" i="7"/>
  <c r="A2902" i="7"/>
  <c r="C2902" i="7" s="1"/>
  <c r="A2903" i="7"/>
  <c r="C2903" i="7"/>
  <c r="D2903" i="7"/>
  <c r="E2903" i="7"/>
  <c r="F2903" i="7"/>
  <c r="A2904" i="7"/>
  <c r="E2904" i="7" s="1"/>
  <c r="F2904" i="7"/>
  <c r="A2905" i="7"/>
  <c r="D2905" i="7" s="1"/>
  <c r="F2905" i="7"/>
  <c r="A2906" i="7"/>
  <c r="C2906" i="7" s="1"/>
  <c r="F2906" i="7"/>
  <c r="A2907" i="7"/>
  <c r="C2907" i="7"/>
  <c r="D2907" i="7"/>
  <c r="E2907" i="7"/>
  <c r="F2907" i="7"/>
  <c r="A2908" i="7"/>
  <c r="E2908" i="7" s="1"/>
  <c r="D2908" i="7"/>
  <c r="F2908" i="7"/>
  <c r="A2909" i="7"/>
  <c r="D2909" i="7" s="1"/>
  <c r="E2909" i="7"/>
  <c r="F2909" i="7"/>
  <c r="A2910" i="7"/>
  <c r="C2910" i="7" s="1"/>
  <c r="E2910" i="7"/>
  <c r="F2910" i="7"/>
  <c r="A2911" i="7"/>
  <c r="C2911" i="7"/>
  <c r="D2911" i="7"/>
  <c r="E2911" i="7"/>
  <c r="F2911" i="7"/>
  <c r="A2912" i="7"/>
  <c r="E2912" i="7" s="1"/>
  <c r="C2912" i="7"/>
  <c r="D2912" i="7"/>
  <c r="F2912" i="7"/>
  <c r="A2913" i="7"/>
  <c r="D2913" i="7" s="1"/>
  <c r="C2913" i="7"/>
  <c r="E2913" i="7"/>
  <c r="F2913" i="7"/>
  <c r="A2914" i="7"/>
  <c r="C2914" i="7" s="1"/>
  <c r="D2914" i="7"/>
  <c r="E2914" i="7"/>
  <c r="F2914" i="7"/>
  <c r="A2915" i="7"/>
  <c r="C2915" i="7"/>
  <c r="D2915" i="7"/>
  <c r="E2915" i="7"/>
  <c r="F2915" i="7"/>
  <c r="A2916" i="7"/>
  <c r="E2916" i="7" s="1"/>
  <c r="G2917" i="7"/>
  <c r="G2922" i="7"/>
  <c r="A2927" i="7"/>
  <c r="D2927" i="7" s="1"/>
  <c r="A2928" i="7"/>
  <c r="C2928" i="7" s="1"/>
  <c r="A2929" i="7"/>
  <c r="C2929" i="7"/>
  <c r="D2929" i="7"/>
  <c r="E2929" i="7"/>
  <c r="F2929" i="7"/>
  <c r="A2930" i="7"/>
  <c r="E2930" i="7" s="1"/>
  <c r="F2930" i="7"/>
  <c r="A2931" i="7"/>
  <c r="D2931" i="7" s="1"/>
  <c r="F2931" i="7"/>
  <c r="A2932" i="7"/>
  <c r="C2932" i="7" s="1"/>
  <c r="F2932" i="7"/>
  <c r="A2933" i="7"/>
  <c r="C2933" i="7"/>
  <c r="D2933" i="7"/>
  <c r="E2933" i="7"/>
  <c r="F2933" i="7"/>
  <c r="A2934" i="7"/>
  <c r="E2934" i="7" s="1"/>
  <c r="D2934" i="7"/>
  <c r="F2934" i="7"/>
  <c r="A2935" i="7"/>
  <c r="D2935" i="7" s="1"/>
  <c r="E2935" i="7"/>
  <c r="F2935" i="7"/>
  <c r="A2936" i="7"/>
  <c r="C2936" i="7" s="1"/>
  <c r="E2936" i="7"/>
  <c r="F2936" i="7"/>
  <c r="A2937" i="7"/>
  <c r="C2937" i="7"/>
  <c r="D2937" i="7"/>
  <c r="E2937" i="7"/>
  <c r="F2937" i="7"/>
  <c r="A2938" i="7"/>
  <c r="E2938" i="7" s="1"/>
  <c r="C2938" i="7"/>
  <c r="D2938" i="7"/>
  <c r="F2938" i="7"/>
  <c r="A2939" i="7"/>
  <c r="D2939" i="7" s="1"/>
  <c r="C2939" i="7"/>
  <c r="E2939" i="7"/>
  <c r="F2939" i="7"/>
  <c r="A2940" i="7"/>
  <c r="C2940" i="7" s="1"/>
  <c r="D2940" i="7"/>
  <c r="E2940" i="7"/>
  <c r="F2940" i="7"/>
  <c r="A2941" i="7"/>
  <c r="C2941" i="7"/>
  <c r="D2941" i="7"/>
  <c r="E2941" i="7"/>
  <c r="F2941" i="7"/>
  <c r="G2942" i="7"/>
  <c r="G2947" i="7"/>
  <c r="A2952" i="7"/>
  <c r="E2952" i="7" s="1"/>
  <c r="C2952" i="7"/>
  <c r="D2952" i="7"/>
  <c r="F2952" i="7"/>
  <c r="A2953" i="7"/>
  <c r="D2953" i="7" s="1"/>
  <c r="C2953" i="7"/>
  <c r="E2953" i="7"/>
  <c r="F2953" i="7"/>
  <c r="A2954" i="7"/>
  <c r="C2954" i="7" s="1"/>
  <c r="D2954" i="7"/>
  <c r="E2954" i="7"/>
  <c r="F2954" i="7"/>
  <c r="A2955" i="7"/>
  <c r="C2955" i="7"/>
  <c r="D2955" i="7"/>
  <c r="E2955" i="7"/>
  <c r="F2955" i="7"/>
  <c r="A2956" i="7"/>
  <c r="E2956" i="7" s="1"/>
  <c r="A2957" i="7"/>
  <c r="D2957" i="7" s="1"/>
  <c r="A2958" i="7"/>
  <c r="C2958" i="7" s="1"/>
  <c r="A2959" i="7"/>
  <c r="C2959" i="7"/>
  <c r="D2959" i="7"/>
  <c r="E2959" i="7"/>
  <c r="F2959" i="7"/>
  <c r="A2960" i="7"/>
  <c r="E2960" i="7" s="1"/>
  <c r="F2960" i="7"/>
  <c r="A2961" i="7"/>
  <c r="D2961" i="7" s="1"/>
  <c r="F2961" i="7"/>
  <c r="A2962" i="7"/>
  <c r="C2962" i="7" s="1"/>
  <c r="F2962" i="7"/>
  <c r="A2963" i="7"/>
  <c r="C2963" i="7"/>
  <c r="D2963" i="7"/>
  <c r="E2963" i="7"/>
  <c r="F2963" i="7"/>
  <c r="A2964" i="7"/>
  <c r="E2964" i="7" s="1"/>
  <c r="D2964" i="7"/>
  <c r="F2964" i="7"/>
  <c r="A2965" i="7"/>
  <c r="D2965" i="7" s="1"/>
  <c r="E2965" i="7"/>
  <c r="F2965" i="7"/>
  <c r="A2966" i="7"/>
  <c r="C2966" i="7" s="1"/>
  <c r="E2966" i="7"/>
  <c r="F2966" i="7"/>
  <c r="G2967" i="7"/>
  <c r="G2972" i="7"/>
  <c r="A2977" i="7"/>
  <c r="C2977" i="7"/>
  <c r="D2977" i="7"/>
  <c r="E2977" i="7"/>
  <c r="F2977" i="7"/>
  <c r="A2978" i="7"/>
  <c r="C2978" i="7" s="1"/>
  <c r="D2978" i="7"/>
  <c r="E2978" i="7"/>
  <c r="F2978" i="7"/>
  <c r="A2979" i="7"/>
  <c r="C2979" i="7"/>
  <c r="D2979" i="7"/>
  <c r="E2979" i="7"/>
  <c r="F2979" i="7"/>
  <c r="A2980" i="7"/>
  <c r="D2980" i="7" s="1"/>
  <c r="F2980" i="7"/>
  <c r="A2981" i="7"/>
  <c r="C2981" i="7" s="1"/>
  <c r="E2981" i="7"/>
  <c r="F2981" i="7"/>
  <c r="A2982" i="7"/>
  <c r="C2982" i="7" s="1"/>
  <c r="D2982" i="7"/>
  <c r="E2982" i="7"/>
  <c r="F2982" i="7"/>
  <c r="A2983" i="7"/>
  <c r="C2983" i="7"/>
  <c r="D2983" i="7"/>
  <c r="E2983" i="7"/>
  <c r="F2983" i="7"/>
  <c r="A2984" i="7"/>
  <c r="D2984" i="7" s="1"/>
  <c r="F2984" i="7"/>
  <c r="A2985" i="7"/>
  <c r="C2985" i="7" s="1"/>
  <c r="E2985" i="7"/>
  <c r="F2985" i="7"/>
  <c r="A2986" i="7"/>
  <c r="C2986" i="7" s="1"/>
  <c r="D2986" i="7"/>
  <c r="E2986" i="7"/>
  <c r="F2986" i="7"/>
  <c r="A2987" i="7"/>
  <c r="C2987" i="7"/>
  <c r="D2987" i="7"/>
  <c r="E2987" i="7"/>
  <c r="F2987" i="7"/>
  <c r="A2988" i="7"/>
  <c r="D2988" i="7" s="1"/>
  <c r="A2989" i="7"/>
  <c r="C2989" i="7" s="1"/>
  <c r="E2989" i="7"/>
  <c r="F2989" i="7"/>
  <c r="A2990" i="7"/>
  <c r="C2990" i="7" s="1"/>
  <c r="D2990" i="7"/>
  <c r="E2990" i="7"/>
  <c r="F2990" i="7"/>
  <c r="A2991" i="7"/>
  <c r="C2991" i="7"/>
  <c r="D2991" i="7"/>
  <c r="E2991" i="7"/>
  <c r="F2991" i="7"/>
  <c r="G2992" i="7"/>
  <c r="G2997" i="7"/>
  <c r="A3002" i="7"/>
  <c r="D3002" i="7" s="1"/>
  <c r="F3002" i="7"/>
  <c r="A3003" i="7"/>
  <c r="C3003" i="7" s="1"/>
  <c r="E3003" i="7"/>
  <c r="F3003" i="7"/>
  <c r="A3004" i="7"/>
  <c r="C3004" i="7" s="1"/>
  <c r="D3004" i="7"/>
  <c r="E3004" i="7"/>
  <c r="F3004" i="7"/>
  <c r="A3005" i="7"/>
  <c r="C3005" i="7"/>
  <c r="D3005" i="7"/>
  <c r="E3005" i="7"/>
  <c r="F3005" i="7"/>
  <c r="A3006" i="7"/>
  <c r="D3006" i="7" s="1"/>
  <c r="F3006" i="7"/>
  <c r="A3007" i="7"/>
  <c r="C3007" i="7" s="1"/>
  <c r="E3007" i="7"/>
  <c r="F3007" i="7"/>
  <c r="A3008" i="7"/>
  <c r="C3008" i="7" s="1"/>
  <c r="D3008" i="7"/>
  <c r="E3008" i="7"/>
  <c r="F3008" i="7"/>
  <c r="A3009" i="7"/>
  <c r="C3009" i="7"/>
  <c r="D3009" i="7"/>
  <c r="E3009" i="7"/>
  <c r="F3009" i="7"/>
  <c r="A3010" i="7"/>
  <c r="D3010" i="7" s="1"/>
  <c r="F3010" i="7"/>
  <c r="A3011" i="7"/>
  <c r="C3011" i="7" s="1"/>
  <c r="E3011" i="7"/>
  <c r="F3011" i="7"/>
  <c r="A3012" i="7"/>
  <c r="C3012" i="7" s="1"/>
  <c r="D3012" i="7"/>
  <c r="E3012" i="7"/>
  <c r="F3012" i="7"/>
  <c r="A3013" i="7"/>
  <c r="C3013" i="7"/>
  <c r="D3013" i="7"/>
  <c r="E3013" i="7"/>
  <c r="F3013" i="7"/>
  <c r="A3014" i="7"/>
  <c r="D3014" i="7" s="1"/>
  <c r="F3014" i="7"/>
  <c r="A3015" i="7"/>
  <c r="C3015" i="7" s="1"/>
  <c r="E3015" i="7"/>
  <c r="F3015" i="7"/>
  <c r="A3016" i="7"/>
  <c r="C3016" i="7" s="1"/>
  <c r="D3016" i="7"/>
  <c r="E3016" i="7"/>
  <c r="F3016" i="7"/>
  <c r="G3017" i="7"/>
  <c r="G3022" i="7"/>
  <c r="A3027" i="7"/>
  <c r="C3027" i="7"/>
  <c r="D3027" i="7"/>
  <c r="E3027" i="7"/>
  <c r="F3027" i="7"/>
  <c r="A3028" i="7"/>
  <c r="D3028" i="7" s="1"/>
  <c r="F3028" i="7"/>
  <c r="A3029" i="7"/>
  <c r="C3029" i="7" s="1"/>
  <c r="E3029" i="7"/>
  <c r="F3029" i="7"/>
  <c r="A3030" i="7"/>
  <c r="C3030" i="7" s="1"/>
  <c r="D3030" i="7"/>
  <c r="E3030" i="7"/>
  <c r="F3030" i="7"/>
  <c r="A3031" i="7"/>
  <c r="C3031" i="7"/>
  <c r="D3031" i="7"/>
  <c r="E3031" i="7"/>
  <c r="F3031" i="7"/>
  <c r="A3032" i="7"/>
  <c r="D3032" i="7" s="1"/>
  <c r="F3032" i="7"/>
  <c r="A3033" i="7"/>
  <c r="C3033" i="7" s="1"/>
  <c r="E3033" i="7"/>
  <c r="F3033" i="7"/>
  <c r="A3034" i="7"/>
  <c r="C3034" i="7" s="1"/>
  <c r="D3034" i="7"/>
  <c r="E3034" i="7"/>
  <c r="F3034" i="7"/>
  <c r="A3035" i="7"/>
  <c r="C3035" i="7"/>
  <c r="D3035" i="7"/>
  <c r="E3035" i="7"/>
  <c r="F3035" i="7"/>
  <c r="A3036" i="7"/>
  <c r="D3036" i="7" s="1"/>
  <c r="F3036" i="7"/>
  <c r="A3037" i="7"/>
  <c r="C3037" i="7" s="1"/>
  <c r="E3037" i="7"/>
  <c r="F3037" i="7"/>
  <c r="A3038" i="7"/>
  <c r="C3038" i="7" s="1"/>
  <c r="D3038" i="7"/>
  <c r="E3038" i="7"/>
  <c r="F3038" i="7"/>
  <c r="A3039" i="7"/>
  <c r="C3039" i="7"/>
  <c r="D3039" i="7"/>
  <c r="E3039" i="7"/>
  <c r="F3039" i="7"/>
  <c r="A3040" i="7"/>
  <c r="D3040" i="7" s="1"/>
  <c r="F3040" i="7"/>
  <c r="A3041" i="7"/>
  <c r="C3041" i="7" s="1"/>
  <c r="E3041" i="7"/>
  <c r="F3041" i="7"/>
  <c r="G3042" i="7"/>
  <c r="A9" i="6"/>
  <c r="C9" i="6" s="1"/>
  <c r="E9" i="6"/>
  <c r="F9" i="6"/>
  <c r="A10" i="6"/>
  <c r="C10" i="6" s="1"/>
  <c r="D10" i="6"/>
  <c r="E10" i="6"/>
  <c r="F10" i="6"/>
  <c r="F11" i="6"/>
  <c r="G5" i="6" s="1"/>
  <c r="A22" i="6"/>
  <c r="C22" i="6"/>
  <c r="D22" i="6"/>
  <c r="E22" i="6"/>
  <c r="F22" i="6"/>
  <c r="A23" i="6"/>
  <c r="C23" i="6" s="1"/>
  <c r="F23" i="6"/>
  <c r="A24" i="6"/>
  <c r="C24" i="6" s="1"/>
  <c r="E24" i="6"/>
  <c r="F24" i="6"/>
  <c r="A25" i="6"/>
  <c r="C25" i="6" s="1"/>
  <c r="D25" i="6"/>
  <c r="E25" i="6"/>
  <c r="F25" i="6"/>
  <c r="A26" i="6"/>
  <c r="C26" i="6"/>
  <c r="D26" i="6"/>
  <c r="E26" i="6"/>
  <c r="F26" i="6"/>
  <c r="A27" i="6"/>
  <c r="C27" i="6" s="1"/>
  <c r="F27" i="6"/>
  <c r="A28" i="6"/>
  <c r="C28" i="6" s="1"/>
  <c r="E28" i="6"/>
  <c r="F28" i="6"/>
  <c r="A29" i="6"/>
  <c r="C29" i="6" s="1"/>
  <c r="D29" i="6"/>
  <c r="E29" i="6"/>
  <c r="F29" i="6"/>
  <c r="A30" i="6"/>
  <c r="C30" i="6"/>
  <c r="D30" i="6"/>
  <c r="E30" i="6"/>
  <c r="F30" i="6"/>
  <c r="A31" i="6"/>
  <c r="C31" i="6" s="1"/>
  <c r="F31" i="6"/>
  <c r="G32" i="6"/>
  <c r="A43" i="6"/>
  <c r="C43" i="6" s="1"/>
  <c r="F43" i="6"/>
  <c r="A44" i="6"/>
  <c r="C44" i="6" s="1"/>
  <c r="E44" i="6"/>
  <c r="F44" i="6"/>
  <c r="G45" i="6"/>
  <c r="G51" i="6"/>
  <c r="A56" i="6"/>
  <c r="C56" i="6" s="1"/>
  <c r="G56" i="6" s="1"/>
  <c r="D56" i="6"/>
  <c r="E56" i="6"/>
  <c r="F56" i="6"/>
  <c r="A57" i="6"/>
  <c r="A58" i="6"/>
  <c r="C58" i="6" s="1"/>
  <c r="G58" i="6" s="1"/>
  <c r="D58" i="6"/>
  <c r="E58" i="6"/>
  <c r="F58" i="6"/>
  <c r="A59" i="6"/>
  <c r="E59" i="6" s="1"/>
  <c r="D59" i="6"/>
  <c r="A60" i="6"/>
  <c r="C60" i="6" s="1"/>
  <c r="G60" i="6" s="1"/>
  <c r="D60" i="6"/>
  <c r="F60" i="6"/>
  <c r="A61" i="6"/>
  <c r="E61" i="6" s="1"/>
  <c r="C61" i="6"/>
  <c r="G61" i="6" s="1"/>
  <c r="A62" i="6"/>
  <c r="C62" i="6" s="1"/>
  <c r="G62" i="6" s="1"/>
  <c r="A63" i="6"/>
  <c r="E63" i="6" s="1"/>
  <c r="A64" i="6"/>
  <c r="C64" i="6" s="1"/>
  <c r="G64" i="6" s="1"/>
  <c r="D64" i="6"/>
  <c r="E64" i="6"/>
  <c r="F64" i="6"/>
  <c r="A65" i="6"/>
  <c r="E65" i="6" s="1"/>
  <c r="C65" i="6"/>
  <c r="G65" i="6" s="1"/>
  <c r="D65" i="6"/>
  <c r="F65" i="6"/>
  <c r="A66" i="6"/>
  <c r="C66" i="6" s="1"/>
  <c r="G66" i="6" s="1"/>
  <c r="D66" i="6"/>
  <c r="E66" i="6"/>
  <c r="A67" i="6"/>
  <c r="E67" i="6" s="1"/>
  <c r="C67" i="6"/>
  <c r="G67" i="6" s="1"/>
  <c r="D67" i="6"/>
  <c r="A68" i="6"/>
  <c r="C68" i="6" s="1"/>
  <c r="G68" i="6" s="1"/>
  <c r="D68" i="6"/>
  <c r="A69" i="6"/>
  <c r="E69" i="6" s="1"/>
  <c r="C69" i="6"/>
  <c r="G69" i="6" s="1"/>
  <c r="A70" i="6"/>
  <c r="C70" i="6" s="1"/>
  <c r="G70" i="6" s="1"/>
  <c r="A71" i="6"/>
  <c r="E71" i="6" s="1"/>
  <c r="A72" i="6"/>
  <c r="C72" i="6" s="1"/>
  <c r="G72" i="6" s="1"/>
  <c r="D72" i="6"/>
  <c r="E72" i="6"/>
  <c r="F72" i="6"/>
  <c r="A73" i="6"/>
  <c r="E73" i="6" s="1"/>
  <c r="D73" i="6"/>
  <c r="F73" i="6"/>
  <c r="A74" i="6"/>
  <c r="C74" i="6" s="1"/>
  <c r="G74" i="6" s="1"/>
  <c r="D74" i="6"/>
  <c r="E74" i="6"/>
  <c r="F74" i="6"/>
  <c r="A75" i="6"/>
  <c r="E75" i="6" s="1"/>
  <c r="C75" i="6"/>
  <c r="G75" i="6" s="1"/>
  <c r="D75" i="6"/>
  <c r="F75" i="6"/>
  <c r="A76" i="6"/>
  <c r="C76" i="6" s="1"/>
  <c r="G76" i="6" s="1"/>
  <c r="D76" i="6"/>
  <c r="A77" i="6"/>
  <c r="C77" i="6" s="1"/>
  <c r="G77" i="6" s="1"/>
  <c r="A78" i="6"/>
  <c r="F78" i="6"/>
  <c r="A79" i="6"/>
  <c r="F79" i="6"/>
  <c r="A80" i="6"/>
  <c r="C80" i="6" s="1"/>
  <c r="G80" i="6" s="1"/>
  <c r="E80" i="6"/>
  <c r="F80" i="6"/>
  <c r="A81" i="6"/>
  <c r="E81" i="6" s="1"/>
  <c r="D81" i="6"/>
  <c r="F81" i="6"/>
  <c r="A82" i="6"/>
  <c r="C82" i="6" s="1"/>
  <c r="G82" i="6" s="1"/>
  <c r="D82" i="6"/>
  <c r="E82" i="6"/>
  <c r="F82" i="6"/>
  <c r="A83" i="6"/>
  <c r="E83" i="6" s="1"/>
  <c r="C83" i="6"/>
  <c r="G83" i="6" s="1"/>
  <c r="D83" i="6"/>
  <c r="F83" i="6"/>
  <c r="A84" i="6"/>
  <c r="D84" i="6" s="1"/>
  <c r="A85" i="6"/>
  <c r="C85" i="6" s="1"/>
  <c r="G85" i="6" s="1"/>
  <c r="A86" i="6"/>
  <c r="F86" i="6"/>
  <c r="A87" i="6"/>
  <c r="F87" i="6"/>
  <c r="A88" i="6"/>
  <c r="C88" i="6" s="1"/>
  <c r="G88" i="6" s="1"/>
  <c r="E88" i="6"/>
  <c r="F88" i="6"/>
  <c r="A89" i="6"/>
  <c r="E89" i="6" s="1"/>
  <c r="D89" i="6"/>
  <c r="F89" i="6"/>
  <c r="A90" i="6"/>
  <c r="C90" i="6" s="1"/>
  <c r="G90" i="6" s="1"/>
  <c r="D90" i="6"/>
  <c r="E90" i="6"/>
  <c r="F90" i="6"/>
  <c r="A91" i="6"/>
  <c r="E91" i="6" s="1"/>
  <c r="C91" i="6"/>
  <c r="G91" i="6" s="1"/>
  <c r="D91" i="6"/>
  <c r="F91" i="6"/>
  <c r="A92" i="6"/>
  <c r="D92" i="6" s="1"/>
  <c r="A93" i="6"/>
  <c r="C93" i="6"/>
  <c r="G93" i="6" s="1"/>
  <c r="D93" i="6"/>
  <c r="A94" i="6"/>
  <c r="D94" i="6"/>
  <c r="F94" i="6"/>
  <c r="A95" i="6"/>
  <c r="C95" i="6" s="1"/>
  <c r="G95" i="6" s="1"/>
  <c r="F95" i="6"/>
  <c r="A96" i="6"/>
  <c r="E96" i="6" s="1"/>
  <c r="F96" i="6"/>
  <c r="A97" i="6"/>
  <c r="F97" i="6" s="1"/>
  <c r="D97" i="6"/>
  <c r="A98" i="6"/>
  <c r="C98" i="6" s="1"/>
  <c r="G98" i="6" s="1"/>
  <c r="D98" i="6"/>
  <c r="E98" i="6"/>
  <c r="F98" i="6"/>
  <c r="A99" i="6"/>
  <c r="E99" i="6" s="1"/>
  <c r="C99" i="6"/>
  <c r="G99" i="6" s="1"/>
  <c r="D99" i="6"/>
  <c r="F99" i="6"/>
  <c r="A100" i="6"/>
  <c r="E100" i="6" s="1"/>
  <c r="D100" i="6"/>
  <c r="A101" i="6"/>
  <c r="C101" i="6" s="1"/>
  <c r="G101" i="6" s="1"/>
  <c r="A102" i="6"/>
  <c r="D102" i="6" s="1"/>
  <c r="A103" i="6"/>
  <c r="C103" i="6"/>
  <c r="G103" i="6" s="1"/>
  <c r="F103" i="6"/>
  <c r="A104" i="6"/>
  <c r="C104" i="6" s="1"/>
  <c r="G104" i="6" s="1"/>
  <c r="D104" i="6"/>
  <c r="E104" i="6"/>
  <c r="F104" i="6"/>
  <c r="A105" i="6"/>
  <c r="E105" i="6" s="1"/>
  <c r="C105" i="6"/>
  <c r="G105" i="6" s="1"/>
  <c r="D105" i="6"/>
  <c r="F105" i="6"/>
  <c r="A106" i="6"/>
  <c r="C106" i="6" s="1"/>
  <c r="G106" i="6" s="1"/>
  <c r="A107" i="6"/>
  <c r="E107" i="6" s="1"/>
  <c r="A108" i="6"/>
  <c r="C108" i="6" s="1"/>
  <c r="G108" i="6" s="1"/>
  <c r="D108" i="6"/>
  <c r="F108" i="6"/>
  <c r="A109" i="6"/>
  <c r="E109" i="6" s="1"/>
  <c r="C109" i="6"/>
  <c r="G109" i="6" s="1"/>
  <c r="F109" i="6"/>
  <c r="A110" i="6"/>
  <c r="C110" i="6" s="1"/>
  <c r="G110" i="6" s="1"/>
  <c r="E110" i="6"/>
  <c r="A111" i="6"/>
  <c r="E111" i="6" s="1"/>
  <c r="D111" i="6"/>
  <c r="A112" i="6"/>
  <c r="C112" i="6" s="1"/>
  <c r="G112" i="6" s="1"/>
  <c r="D112" i="6"/>
  <c r="E112" i="6"/>
  <c r="F112" i="6"/>
  <c r="A113" i="6"/>
  <c r="E113" i="6" s="1"/>
  <c r="C113" i="6"/>
  <c r="G113" i="6" s="1"/>
  <c r="D113" i="6"/>
  <c r="F113" i="6"/>
  <c r="A114" i="6"/>
  <c r="C114" i="6" s="1"/>
  <c r="G114" i="6" s="1"/>
  <c r="A115" i="6"/>
  <c r="E115" i="6" s="1"/>
  <c r="A116" i="6"/>
  <c r="C116" i="6" s="1"/>
  <c r="G116" i="6" s="1"/>
  <c r="D116" i="6"/>
  <c r="F116" i="6"/>
  <c r="A117" i="6"/>
  <c r="E117" i="6" s="1"/>
  <c r="C117" i="6"/>
  <c r="G117" i="6" s="1"/>
  <c r="F117" i="6"/>
  <c r="A118" i="6"/>
  <c r="C118" i="6" s="1"/>
  <c r="G118" i="6" s="1"/>
  <c r="E118" i="6"/>
  <c r="A119" i="6"/>
  <c r="E119" i="6" s="1"/>
  <c r="D119" i="6"/>
  <c r="A120" i="6"/>
  <c r="C120" i="6" s="1"/>
  <c r="G120" i="6" s="1"/>
  <c r="D120" i="6"/>
  <c r="E120" i="6"/>
  <c r="F120" i="6"/>
  <c r="A121" i="6"/>
  <c r="E121" i="6" s="1"/>
  <c r="C121" i="6"/>
  <c r="G121" i="6" s="1"/>
  <c r="D121" i="6"/>
  <c r="F121" i="6"/>
  <c r="A122" i="6"/>
  <c r="C122" i="6" s="1"/>
  <c r="G122" i="6" s="1"/>
  <c r="A123" i="6"/>
  <c r="E123" i="6" s="1"/>
  <c r="A124" i="6"/>
  <c r="C124" i="6" s="1"/>
  <c r="G124" i="6" s="1"/>
  <c r="D124" i="6"/>
  <c r="F124" i="6"/>
  <c r="A125" i="6"/>
  <c r="E125" i="6" s="1"/>
  <c r="C125" i="6"/>
  <c r="G125" i="6" s="1"/>
  <c r="F125" i="6"/>
  <c r="A126" i="6"/>
  <c r="C126" i="6" s="1"/>
  <c r="G126" i="6" s="1"/>
  <c r="E126" i="6"/>
  <c r="A127" i="6"/>
  <c r="E127" i="6" s="1"/>
  <c r="D127" i="6"/>
  <c r="A128" i="6"/>
  <c r="C128" i="6" s="1"/>
  <c r="G128" i="6" s="1"/>
  <c r="D128" i="6"/>
  <c r="E128" i="6"/>
  <c r="F128" i="6"/>
  <c r="A129" i="6"/>
  <c r="E129" i="6" s="1"/>
  <c r="C129" i="6"/>
  <c r="G129" i="6" s="1"/>
  <c r="D129" i="6"/>
  <c r="F129" i="6"/>
  <c r="A130" i="6"/>
  <c r="C130" i="6" s="1"/>
  <c r="G130" i="6" s="1"/>
  <c r="A131" i="6"/>
  <c r="E131" i="6" s="1"/>
  <c r="A132" i="6"/>
  <c r="C132" i="6" s="1"/>
  <c r="G132" i="6" s="1"/>
  <c r="D132" i="6"/>
  <c r="F132" i="6"/>
  <c r="A133" i="6"/>
  <c r="E133" i="6" s="1"/>
  <c r="C133" i="6"/>
  <c r="G133" i="6" s="1"/>
  <c r="F133" i="6"/>
  <c r="A134" i="6"/>
  <c r="C134" i="6" s="1"/>
  <c r="G134" i="6" s="1"/>
  <c r="E134" i="6"/>
  <c r="A135" i="6"/>
  <c r="E135" i="6" s="1"/>
  <c r="D135" i="6"/>
  <c r="A136" i="6"/>
  <c r="C136" i="6" s="1"/>
  <c r="D136" i="6"/>
  <c r="E136" i="6"/>
  <c r="F136" i="6"/>
  <c r="G136" i="6"/>
  <c r="A137" i="6"/>
  <c r="C137" i="6" s="1"/>
  <c r="G137" i="6" s="1"/>
  <c r="F137" i="6"/>
  <c r="A138" i="6"/>
  <c r="E138" i="6" s="1"/>
  <c r="D138" i="6"/>
  <c r="F138" i="6"/>
  <c r="A139" i="6"/>
  <c r="C139" i="6" s="1"/>
  <c r="G139" i="6" s="1"/>
  <c r="F139" i="6"/>
  <c r="A140" i="6"/>
  <c r="E140" i="6" s="1"/>
  <c r="D140" i="6"/>
  <c r="F140" i="6"/>
  <c r="A141" i="6"/>
  <c r="C141" i="6" s="1"/>
  <c r="G141" i="6" s="1"/>
  <c r="F141" i="6"/>
  <c r="A142" i="6"/>
  <c r="E142" i="6" s="1"/>
  <c r="D142" i="6"/>
  <c r="F142" i="6"/>
  <c r="A143" i="6"/>
  <c r="C143" i="6" s="1"/>
  <c r="G143" i="6" s="1"/>
  <c r="F143" i="6"/>
  <c r="A144" i="6"/>
  <c r="E144" i="6" s="1"/>
  <c r="D144" i="6"/>
  <c r="F144" i="6"/>
  <c r="A145" i="6"/>
  <c r="C145" i="6" s="1"/>
  <c r="G145" i="6" s="1"/>
  <c r="F145" i="6"/>
  <c r="A146" i="6"/>
  <c r="E146" i="6" s="1"/>
  <c r="D146" i="6"/>
  <c r="F146" i="6"/>
  <c r="A147" i="6"/>
  <c r="C147" i="6" s="1"/>
  <c r="G147" i="6" s="1"/>
  <c r="F147" i="6"/>
  <c r="A148" i="6"/>
  <c r="E148" i="6" s="1"/>
  <c r="D148" i="6"/>
  <c r="F148" i="6"/>
  <c r="A149" i="6"/>
  <c r="C149" i="6" s="1"/>
  <c r="G149" i="6" s="1"/>
  <c r="F149" i="6"/>
  <c r="A150" i="6"/>
  <c r="E150" i="6" s="1"/>
  <c r="D150" i="6"/>
  <c r="F150" i="6"/>
  <c r="A151" i="6"/>
  <c r="C151" i="6" s="1"/>
  <c r="G151" i="6" s="1"/>
  <c r="F151" i="6"/>
  <c r="A152" i="6"/>
  <c r="E152" i="6" s="1"/>
  <c r="D152" i="6"/>
  <c r="F152" i="6"/>
  <c r="A153" i="6"/>
  <c r="C153" i="6" s="1"/>
  <c r="G153" i="6" s="1"/>
  <c r="F153" i="6"/>
  <c r="A154" i="6"/>
  <c r="E154" i="6" s="1"/>
  <c r="D154" i="6"/>
  <c r="F154" i="6"/>
  <c r="A155" i="6"/>
  <c r="C155" i="6" s="1"/>
  <c r="G155" i="6" s="1"/>
  <c r="F155" i="6"/>
  <c r="A156" i="6"/>
  <c r="E156" i="6" s="1"/>
  <c r="D156" i="6"/>
  <c r="F156" i="6"/>
  <c r="A157" i="6"/>
  <c r="C157" i="6" s="1"/>
  <c r="G157" i="6" s="1"/>
  <c r="F157" i="6"/>
  <c r="G165" i="6"/>
  <c r="A170" i="6"/>
  <c r="E170" i="6" s="1"/>
  <c r="D170" i="6"/>
  <c r="F170" i="6"/>
  <c r="A171" i="6"/>
  <c r="C171" i="6"/>
  <c r="D171" i="6"/>
  <c r="E171" i="6"/>
  <c r="F171" i="6"/>
  <c r="A172" i="6"/>
  <c r="C172" i="6" s="1"/>
  <c r="F172" i="6"/>
  <c r="A173" i="6"/>
  <c r="D173" i="6" s="1"/>
  <c r="C173" i="6"/>
  <c r="E173" i="6"/>
  <c r="F173" i="6"/>
  <c r="A174" i="6"/>
  <c r="E174" i="6" s="1"/>
  <c r="D174" i="6"/>
  <c r="F174" i="6"/>
  <c r="A175" i="6"/>
  <c r="C175" i="6"/>
  <c r="D175" i="6"/>
  <c r="E175" i="6"/>
  <c r="F175" i="6"/>
  <c r="A176" i="6"/>
  <c r="C176" i="6" s="1"/>
  <c r="F176" i="6"/>
  <c r="A177" i="6"/>
  <c r="D177" i="6" s="1"/>
  <c r="C177" i="6"/>
  <c r="E177" i="6"/>
  <c r="F177" i="6"/>
  <c r="A178" i="6"/>
  <c r="E178" i="6" s="1"/>
  <c r="D178" i="6"/>
  <c r="F178" i="6"/>
  <c r="A179" i="6"/>
  <c r="C179" i="6"/>
  <c r="D179" i="6"/>
  <c r="E179" i="6"/>
  <c r="F179" i="6"/>
  <c r="A180" i="6"/>
  <c r="C180" i="6" s="1"/>
  <c r="F180" i="6"/>
  <c r="A181" i="6"/>
  <c r="D181" i="6" s="1"/>
  <c r="C181" i="6"/>
  <c r="E181" i="6"/>
  <c r="F181" i="6"/>
  <c r="A182" i="6"/>
  <c r="E182" i="6" s="1"/>
  <c r="D182" i="6"/>
  <c r="F182" i="6"/>
  <c r="A183" i="6"/>
  <c r="C183" i="6"/>
  <c r="D183" i="6"/>
  <c r="E183" i="6"/>
  <c r="F183" i="6"/>
  <c r="A184" i="6"/>
  <c r="F184" i="6" s="1"/>
  <c r="A185" i="6"/>
  <c r="D185" i="6" s="1"/>
  <c r="C185" i="6"/>
  <c r="E185" i="6"/>
  <c r="F185" i="6"/>
  <c r="A186" i="6"/>
  <c r="E186" i="6" s="1"/>
  <c r="D186" i="6"/>
  <c r="F186" i="6"/>
  <c r="A187" i="6"/>
  <c r="C187" i="6"/>
  <c r="D187" i="6"/>
  <c r="E187" i="6"/>
  <c r="F187" i="6"/>
  <c r="A188" i="6"/>
  <c r="A189" i="6"/>
  <c r="D189" i="6" s="1"/>
  <c r="C189" i="6"/>
  <c r="E189" i="6"/>
  <c r="F189" i="6"/>
  <c r="A190" i="6"/>
  <c r="E190" i="6" s="1"/>
  <c r="D190" i="6"/>
  <c r="F190" i="6"/>
  <c r="A191" i="6"/>
  <c r="C191" i="6"/>
  <c r="D191" i="6"/>
  <c r="E191" i="6"/>
  <c r="F191" i="6"/>
  <c r="A192" i="6"/>
  <c r="F192" i="6" s="1"/>
  <c r="A193" i="6"/>
  <c r="D193" i="6" s="1"/>
  <c r="C193" i="6"/>
  <c r="E193" i="6"/>
  <c r="F193" i="6"/>
  <c r="A194" i="6"/>
  <c r="E194" i="6" s="1"/>
  <c r="D194" i="6"/>
  <c r="F194" i="6"/>
  <c r="A195" i="6"/>
  <c r="C195" i="6"/>
  <c r="D195" i="6"/>
  <c r="E195" i="6"/>
  <c r="F195" i="6"/>
  <c r="A196" i="6"/>
  <c r="A197" i="6"/>
  <c r="D197" i="6" s="1"/>
  <c r="C197" i="6"/>
  <c r="E197" i="6"/>
  <c r="F197" i="6"/>
  <c r="A198" i="6"/>
  <c r="E198" i="6" s="1"/>
  <c r="D198" i="6"/>
  <c r="F198" i="6"/>
  <c r="A199" i="6"/>
  <c r="C199" i="6"/>
  <c r="D199" i="6"/>
  <c r="E199" i="6"/>
  <c r="F199" i="6"/>
  <c r="A200" i="6"/>
  <c r="F200" i="6" s="1"/>
  <c r="A201" i="6"/>
  <c r="D201" i="6" s="1"/>
  <c r="C201" i="6"/>
  <c r="E201" i="6"/>
  <c r="F201" i="6"/>
  <c r="A202" i="6"/>
  <c r="E202" i="6" s="1"/>
  <c r="D202" i="6"/>
  <c r="F202" i="6"/>
  <c r="A203" i="6"/>
  <c r="C203" i="6"/>
  <c r="D203" i="6"/>
  <c r="E203" i="6"/>
  <c r="F203" i="6"/>
  <c r="A204" i="6"/>
  <c r="A205" i="6"/>
  <c r="D205" i="6" s="1"/>
  <c r="C205" i="6"/>
  <c r="E205" i="6"/>
  <c r="F205" i="6"/>
  <c r="A206" i="6"/>
  <c r="E206" i="6" s="1"/>
  <c r="D206" i="6"/>
  <c r="F206" i="6"/>
  <c r="A207" i="6"/>
  <c r="C207" i="6"/>
  <c r="D207" i="6"/>
  <c r="E207" i="6"/>
  <c r="F207" i="6"/>
  <c r="A208" i="6"/>
  <c r="F208" i="6" s="1"/>
  <c r="A209" i="6"/>
  <c r="D209" i="6" s="1"/>
  <c r="C209" i="6"/>
  <c r="E209" i="6"/>
  <c r="F209" i="6"/>
  <c r="G218" i="6"/>
  <c r="A223" i="6"/>
  <c r="D223" i="6" s="1"/>
  <c r="C223" i="6"/>
  <c r="E223" i="6"/>
  <c r="F223" i="6"/>
  <c r="A224" i="6"/>
  <c r="D224" i="6"/>
  <c r="A225" i="6"/>
  <c r="C225" i="6"/>
  <c r="D225" i="6"/>
  <c r="E225" i="6"/>
  <c r="F225" i="6"/>
  <c r="A226" i="6"/>
  <c r="D226" i="6"/>
  <c r="A227" i="6"/>
  <c r="D227" i="6" s="1"/>
  <c r="C227" i="6"/>
  <c r="E227" i="6"/>
  <c r="F227" i="6"/>
  <c r="A228" i="6"/>
  <c r="D228" i="6" s="1"/>
  <c r="A229" i="6"/>
  <c r="C229" i="6"/>
  <c r="D229" i="6"/>
  <c r="E229" i="6"/>
  <c r="F229" i="6"/>
  <c r="A230" i="6"/>
  <c r="D230" i="6" s="1"/>
  <c r="A231" i="6"/>
  <c r="D231" i="6" s="1"/>
  <c r="C231" i="6"/>
  <c r="E231" i="6"/>
  <c r="F231" i="6"/>
  <c r="A232" i="6"/>
  <c r="D232" i="6"/>
  <c r="F232" i="6"/>
  <c r="A233" i="6"/>
  <c r="C233" i="6"/>
  <c r="D233" i="6"/>
  <c r="E233" i="6"/>
  <c r="F233" i="6"/>
  <c r="A234" i="6"/>
  <c r="D234" i="6"/>
  <c r="F234" i="6"/>
  <c r="A235" i="6"/>
  <c r="D235" i="6" s="1"/>
  <c r="C235" i="6"/>
  <c r="E235" i="6"/>
  <c r="F235" i="6"/>
  <c r="A236" i="6"/>
  <c r="F236" i="6"/>
  <c r="A237" i="6"/>
  <c r="C237" i="6"/>
  <c r="D237" i="6"/>
  <c r="E237" i="6"/>
  <c r="F237" i="6"/>
  <c r="A238" i="6"/>
  <c r="F238" i="6"/>
  <c r="A239" i="6"/>
  <c r="D239" i="6" s="1"/>
  <c r="C239" i="6"/>
  <c r="E239" i="6"/>
  <c r="F239" i="6"/>
  <c r="A240" i="6"/>
  <c r="D240" i="6"/>
  <c r="A241" i="6"/>
  <c r="C241" i="6"/>
  <c r="D241" i="6"/>
  <c r="E241" i="6"/>
  <c r="F241" i="6"/>
  <c r="A242" i="6"/>
  <c r="D242" i="6"/>
  <c r="A243" i="6"/>
  <c r="D243" i="6" s="1"/>
  <c r="C243" i="6"/>
  <c r="E243" i="6"/>
  <c r="F243" i="6"/>
  <c r="A244" i="6"/>
  <c r="D244" i="6" s="1"/>
  <c r="A245" i="6"/>
  <c r="C245" i="6"/>
  <c r="D245" i="6"/>
  <c r="E245" i="6"/>
  <c r="F245" i="6"/>
  <c r="A246" i="6"/>
  <c r="D246" i="6" s="1"/>
  <c r="A247" i="6"/>
  <c r="D247" i="6" s="1"/>
  <c r="C247" i="6"/>
  <c r="E247" i="6"/>
  <c r="F247" i="6"/>
  <c r="A248" i="6"/>
  <c r="D248" i="6"/>
  <c r="F248" i="6"/>
  <c r="A249" i="6"/>
  <c r="C249" i="6"/>
  <c r="D249" i="6"/>
  <c r="E249" i="6"/>
  <c r="F249" i="6"/>
  <c r="A250" i="6"/>
  <c r="D250" i="6"/>
  <c r="F250" i="6"/>
  <c r="A251" i="6"/>
  <c r="D251" i="6" s="1"/>
  <c r="C251" i="6"/>
  <c r="E251" i="6"/>
  <c r="F251" i="6"/>
  <c r="A252" i="6"/>
  <c r="F252" i="6"/>
  <c r="A253" i="6"/>
  <c r="C253" i="6"/>
  <c r="D253" i="6"/>
  <c r="E253" i="6"/>
  <c r="F253" i="6"/>
  <c r="A254" i="6"/>
  <c r="F254" i="6"/>
  <c r="A255" i="6"/>
  <c r="D255" i="6" s="1"/>
  <c r="C255" i="6"/>
  <c r="E255" i="6"/>
  <c r="F255" i="6"/>
  <c r="A256" i="6"/>
  <c r="D256" i="6"/>
  <c r="A257" i="6"/>
  <c r="C257" i="6"/>
  <c r="D257" i="6"/>
  <c r="E257" i="6"/>
  <c r="F257" i="6"/>
  <c r="A258" i="6"/>
  <c r="D258" i="6"/>
  <c r="A259" i="6"/>
  <c r="D259" i="6" s="1"/>
  <c r="C259" i="6"/>
  <c r="E259" i="6"/>
  <c r="F259" i="6"/>
  <c r="A260" i="6"/>
  <c r="D260" i="6" s="1"/>
  <c r="A261" i="6"/>
  <c r="C261" i="6"/>
  <c r="D261" i="6"/>
  <c r="E261" i="6"/>
  <c r="F261" i="6"/>
  <c r="A262" i="6"/>
  <c r="D262" i="6" s="1"/>
  <c r="A263" i="6"/>
  <c r="D263" i="6" s="1"/>
  <c r="C263" i="6"/>
  <c r="E263" i="6"/>
  <c r="F263" i="6"/>
  <c r="A264" i="6"/>
  <c r="D264" i="6"/>
  <c r="F264" i="6"/>
  <c r="A265" i="6"/>
  <c r="C265" i="6"/>
  <c r="D265" i="6"/>
  <c r="E265" i="6"/>
  <c r="F265" i="6"/>
  <c r="A266" i="6"/>
  <c r="D266" i="6"/>
  <c r="F266" i="6"/>
  <c r="A267" i="6"/>
  <c r="D267" i="6" s="1"/>
  <c r="C267" i="6"/>
  <c r="E267" i="6"/>
  <c r="F267" i="6"/>
  <c r="A268" i="6"/>
  <c r="F268" i="6"/>
  <c r="A269" i="6"/>
  <c r="C269" i="6"/>
  <c r="D269" i="6"/>
  <c r="E269" i="6"/>
  <c r="F269" i="6"/>
  <c r="A270" i="6"/>
  <c r="F270" i="6"/>
  <c r="A271" i="6"/>
  <c r="D271" i="6" s="1"/>
  <c r="C271" i="6"/>
  <c r="E271" i="6"/>
  <c r="F271" i="6"/>
  <c r="A272" i="6"/>
  <c r="C272" i="6" s="1"/>
  <c r="D272" i="6"/>
  <c r="F272" i="6"/>
  <c r="A273" i="6"/>
  <c r="C273" i="6"/>
  <c r="D273" i="6"/>
  <c r="E273" i="6"/>
  <c r="F273" i="6"/>
  <c r="A274" i="6"/>
  <c r="E274" i="6" s="1"/>
  <c r="D274" i="6"/>
  <c r="A275" i="6"/>
  <c r="D275" i="6" s="1"/>
  <c r="E275" i="6"/>
  <c r="A276" i="6"/>
  <c r="C276" i="6" s="1"/>
  <c r="E276" i="6"/>
  <c r="A277" i="6"/>
  <c r="C277" i="6"/>
  <c r="D277" i="6"/>
  <c r="E277" i="6"/>
  <c r="F277" i="6"/>
  <c r="A278" i="6"/>
  <c r="E278" i="6" s="1"/>
  <c r="C278" i="6"/>
  <c r="D278" i="6"/>
  <c r="F278" i="6"/>
  <c r="A279" i="6"/>
  <c r="D279" i="6" s="1"/>
  <c r="C279" i="6"/>
  <c r="E279" i="6"/>
  <c r="F279" i="6"/>
  <c r="A280" i="6"/>
  <c r="C280" i="6" s="1"/>
  <c r="D280" i="6"/>
  <c r="E280" i="6"/>
  <c r="F280" i="6"/>
  <c r="A281" i="6"/>
  <c r="C281" i="6"/>
  <c r="D281" i="6"/>
  <c r="E281" i="6"/>
  <c r="F281" i="6"/>
  <c r="A282" i="6"/>
  <c r="E282" i="6" s="1"/>
  <c r="A283" i="6"/>
  <c r="D283" i="6" s="1"/>
  <c r="A284" i="6"/>
  <c r="C284" i="6" s="1"/>
  <c r="A285" i="6"/>
  <c r="C285" i="6"/>
  <c r="D285" i="6"/>
  <c r="E285" i="6"/>
  <c r="F285" i="6"/>
  <c r="A286" i="6"/>
  <c r="E286" i="6" s="1"/>
  <c r="C286" i="6"/>
  <c r="F286" i="6"/>
  <c r="A287" i="6"/>
  <c r="D287" i="6" s="1"/>
  <c r="C287" i="6"/>
  <c r="F287" i="6"/>
  <c r="A288" i="6"/>
  <c r="C288" i="6" s="1"/>
  <c r="D288" i="6"/>
  <c r="F288" i="6"/>
  <c r="A289" i="6"/>
  <c r="C289" i="6"/>
  <c r="D289" i="6"/>
  <c r="E289" i="6"/>
  <c r="F289" i="6"/>
  <c r="A290" i="6"/>
  <c r="E290" i="6" s="1"/>
  <c r="D290" i="6"/>
  <c r="A291" i="6"/>
  <c r="D291" i="6" s="1"/>
  <c r="E291" i="6"/>
  <c r="A292" i="6"/>
  <c r="C292" i="6" s="1"/>
  <c r="E292" i="6"/>
  <c r="A293" i="6"/>
  <c r="C293" i="6"/>
  <c r="D293" i="6"/>
  <c r="E293" i="6"/>
  <c r="F293" i="6"/>
  <c r="A294" i="6"/>
  <c r="E294" i="6" s="1"/>
  <c r="C294" i="6"/>
  <c r="D294" i="6"/>
  <c r="F294" i="6"/>
  <c r="A295" i="6"/>
  <c r="D295" i="6" s="1"/>
  <c r="C295" i="6"/>
  <c r="E295" i="6"/>
  <c r="F295" i="6"/>
  <c r="A296" i="6"/>
  <c r="C296" i="6" s="1"/>
  <c r="D296" i="6"/>
  <c r="E296" i="6"/>
  <c r="F296" i="6"/>
  <c r="A297" i="6"/>
  <c r="C297" i="6"/>
  <c r="D297" i="6"/>
  <c r="E297" i="6"/>
  <c r="F297" i="6"/>
  <c r="A298" i="6"/>
  <c r="E298" i="6" s="1"/>
  <c r="A299" i="6"/>
  <c r="D299" i="6" s="1"/>
  <c r="A300" i="6"/>
  <c r="C300" i="6" s="1"/>
  <c r="A301" i="6"/>
  <c r="C301" i="6"/>
  <c r="D301" i="6"/>
  <c r="E301" i="6"/>
  <c r="F301" i="6"/>
  <c r="A302" i="6"/>
  <c r="E302" i="6" s="1"/>
  <c r="C302" i="6"/>
  <c r="F302" i="6"/>
  <c r="A303" i="6"/>
  <c r="D303" i="6" s="1"/>
  <c r="C303" i="6"/>
  <c r="F303" i="6"/>
  <c r="A304" i="6"/>
  <c r="C304" i="6" s="1"/>
  <c r="D304" i="6"/>
  <c r="F304" i="6"/>
  <c r="A305" i="6"/>
  <c r="C305" i="6"/>
  <c r="D305" i="6"/>
  <c r="E305" i="6"/>
  <c r="F305" i="6"/>
  <c r="A306" i="6"/>
  <c r="E306" i="6" s="1"/>
  <c r="D306" i="6"/>
  <c r="A307" i="6"/>
  <c r="D307" i="6" s="1"/>
  <c r="E307" i="6"/>
  <c r="A308" i="6"/>
  <c r="C308" i="6" s="1"/>
  <c r="E308" i="6"/>
  <c r="A309" i="6"/>
  <c r="C309" i="6"/>
  <c r="D309" i="6"/>
  <c r="E309" i="6"/>
  <c r="F309" i="6"/>
  <c r="A310" i="6"/>
  <c r="E310" i="6" s="1"/>
  <c r="C310" i="6"/>
  <c r="D310" i="6"/>
  <c r="F310" i="6"/>
  <c r="A311" i="6"/>
  <c r="D311" i="6" s="1"/>
  <c r="C311" i="6"/>
  <c r="E311" i="6"/>
  <c r="F311" i="6"/>
  <c r="A312" i="6"/>
  <c r="C312" i="6" s="1"/>
  <c r="D312" i="6"/>
  <c r="E312" i="6"/>
  <c r="F312" i="6"/>
  <c r="A313" i="6"/>
  <c r="C313" i="6"/>
  <c r="D313" i="6"/>
  <c r="E313" i="6"/>
  <c r="F313" i="6"/>
  <c r="A314" i="6"/>
  <c r="A315" i="6"/>
  <c r="A316" i="6"/>
  <c r="A317" i="6"/>
  <c r="C317" i="6"/>
  <c r="D317" i="6"/>
  <c r="E317" i="6"/>
  <c r="F317" i="6"/>
  <c r="A318" i="6"/>
  <c r="E318" i="6" s="1"/>
  <c r="C318" i="6"/>
  <c r="F318" i="6"/>
  <c r="A319" i="6"/>
  <c r="D319" i="6" s="1"/>
  <c r="C319" i="6"/>
  <c r="E319" i="6"/>
  <c r="F319" i="6"/>
  <c r="A320" i="6"/>
  <c r="F320" i="6"/>
  <c r="A321" i="6"/>
  <c r="C321" i="6"/>
  <c r="D321" i="6"/>
  <c r="E321" i="6"/>
  <c r="F321" i="6"/>
  <c r="A322" i="6"/>
  <c r="F322" i="6"/>
  <c r="A323" i="6"/>
  <c r="D323" i="6" s="1"/>
  <c r="C323" i="6"/>
  <c r="E323" i="6"/>
  <c r="F323" i="6"/>
  <c r="A324" i="6"/>
  <c r="D324" i="6"/>
  <c r="A325" i="6"/>
  <c r="C325" i="6"/>
  <c r="D325" i="6"/>
  <c r="E325" i="6"/>
  <c r="F325" i="6"/>
  <c r="A326" i="6"/>
  <c r="D326" i="6"/>
  <c r="A327" i="6"/>
  <c r="D327" i="6" s="1"/>
  <c r="C327" i="6"/>
  <c r="E327" i="6"/>
  <c r="F327" i="6"/>
  <c r="A328" i="6"/>
  <c r="A329" i="6"/>
  <c r="C329" i="6"/>
  <c r="D329" i="6"/>
  <c r="E329" i="6"/>
  <c r="F329" i="6"/>
  <c r="A330" i="6"/>
  <c r="A331" i="6"/>
  <c r="D331" i="6" s="1"/>
  <c r="C331" i="6"/>
  <c r="E331" i="6"/>
  <c r="F331" i="6"/>
  <c r="A332" i="6"/>
  <c r="D332" i="6"/>
  <c r="F332" i="6"/>
  <c r="A333" i="6"/>
  <c r="C333" i="6"/>
  <c r="D333" i="6"/>
  <c r="E333" i="6"/>
  <c r="F333" i="6"/>
  <c r="A334" i="6"/>
  <c r="D334" i="6"/>
  <c r="F334" i="6"/>
  <c r="A335" i="6"/>
  <c r="D335" i="6" s="1"/>
  <c r="C335" i="6"/>
  <c r="E335" i="6"/>
  <c r="F335" i="6"/>
  <c r="A336" i="6"/>
  <c r="F336" i="6"/>
  <c r="A337" i="6"/>
  <c r="C337" i="6"/>
  <c r="D337" i="6"/>
  <c r="E337" i="6"/>
  <c r="F337" i="6"/>
  <c r="A338" i="6"/>
  <c r="F338" i="6"/>
  <c r="A339" i="6"/>
  <c r="D339" i="6" s="1"/>
  <c r="C339" i="6"/>
  <c r="E339" i="6"/>
  <c r="F339" i="6"/>
  <c r="A340" i="6"/>
  <c r="D340" i="6"/>
  <c r="A341" i="6"/>
  <c r="C341" i="6"/>
  <c r="D341" i="6"/>
  <c r="E341" i="6"/>
  <c r="F341" i="6"/>
  <c r="A342" i="6"/>
  <c r="E342" i="6" s="1"/>
  <c r="C342" i="6"/>
  <c r="F342" i="6"/>
  <c r="A343" i="6"/>
  <c r="D343" i="6" s="1"/>
  <c r="C343" i="6"/>
  <c r="F343" i="6"/>
  <c r="A344" i="6"/>
  <c r="C344" i="6" s="1"/>
  <c r="D344" i="6"/>
  <c r="F344" i="6"/>
  <c r="A345" i="6"/>
  <c r="C345" i="6"/>
  <c r="D345" i="6"/>
  <c r="E345" i="6"/>
  <c r="F345" i="6"/>
  <c r="A346" i="6"/>
  <c r="E346" i="6" s="1"/>
  <c r="D346" i="6"/>
  <c r="A347" i="6"/>
  <c r="D347" i="6" s="1"/>
  <c r="E347" i="6"/>
  <c r="A348" i="6"/>
  <c r="C348" i="6" s="1"/>
  <c r="E348" i="6"/>
  <c r="A349" i="6"/>
  <c r="C349" i="6"/>
  <c r="D349" i="6"/>
  <c r="E349" i="6"/>
  <c r="F349" i="6"/>
  <c r="A350" i="6"/>
  <c r="E350" i="6" s="1"/>
  <c r="C350" i="6"/>
  <c r="D350" i="6"/>
  <c r="F350" i="6"/>
  <c r="A351" i="6"/>
  <c r="D351" i="6" s="1"/>
  <c r="C351" i="6"/>
  <c r="E351" i="6"/>
  <c r="F351" i="6"/>
  <c r="A352" i="6"/>
  <c r="C352" i="6" s="1"/>
  <c r="D352" i="6"/>
  <c r="E352" i="6"/>
  <c r="F352" i="6"/>
  <c r="A353" i="6"/>
  <c r="C353" i="6"/>
  <c r="D353" i="6"/>
  <c r="E353" i="6"/>
  <c r="F353" i="6"/>
  <c r="A354" i="6"/>
  <c r="A355" i="6"/>
  <c r="A356" i="6"/>
  <c r="A357" i="6"/>
  <c r="C357" i="6"/>
  <c r="D357" i="6"/>
  <c r="E357" i="6"/>
  <c r="F357" i="6"/>
  <c r="A358" i="6"/>
  <c r="E358" i="6" s="1"/>
  <c r="C358" i="6"/>
  <c r="F358" i="6"/>
  <c r="A359" i="6"/>
  <c r="D359" i="6" s="1"/>
  <c r="C359" i="6"/>
  <c r="F359" i="6"/>
  <c r="A360" i="6"/>
  <c r="C360" i="6" s="1"/>
  <c r="D360" i="6"/>
  <c r="F360" i="6"/>
  <c r="A361" i="6"/>
  <c r="C361" i="6"/>
  <c r="D361" i="6"/>
  <c r="E361" i="6"/>
  <c r="F361" i="6"/>
  <c r="A362" i="6"/>
  <c r="E362" i="6" s="1"/>
  <c r="D362" i="6"/>
  <c r="A363" i="6"/>
  <c r="D363" i="6" s="1"/>
  <c r="E363" i="6"/>
  <c r="A364" i="6"/>
  <c r="C364" i="6" s="1"/>
  <c r="E364" i="6"/>
  <c r="A365" i="6"/>
  <c r="C365" i="6"/>
  <c r="D365" i="6"/>
  <c r="E365" i="6"/>
  <c r="F365" i="6"/>
  <c r="A366" i="6"/>
  <c r="E366" i="6" s="1"/>
  <c r="C366" i="6"/>
  <c r="D366" i="6"/>
  <c r="F366" i="6"/>
  <c r="A367" i="6"/>
  <c r="D367" i="6" s="1"/>
  <c r="C367" i="6"/>
  <c r="E367" i="6"/>
  <c r="F367" i="6"/>
  <c r="A368" i="6"/>
  <c r="C368" i="6" s="1"/>
  <c r="D368" i="6"/>
  <c r="E368" i="6"/>
  <c r="F368" i="6"/>
  <c r="A369" i="6"/>
  <c r="C369" i="6"/>
  <c r="D369" i="6"/>
  <c r="E369" i="6"/>
  <c r="F369" i="6"/>
  <c r="A370" i="6"/>
  <c r="A371" i="6"/>
  <c r="A372" i="6"/>
  <c r="A373" i="6"/>
  <c r="C373" i="6"/>
  <c r="D373" i="6"/>
  <c r="E373" i="6"/>
  <c r="F373" i="6"/>
  <c r="A374" i="6"/>
  <c r="E374" i="6" s="1"/>
  <c r="C374" i="6"/>
  <c r="F374" i="6"/>
  <c r="A375" i="6"/>
  <c r="D375" i="6" s="1"/>
  <c r="C375" i="6"/>
  <c r="E375" i="6"/>
  <c r="F375" i="6"/>
  <c r="A376" i="6"/>
  <c r="C376" i="6" s="1"/>
  <c r="D376" i="6"/>
  <c r="F376" i="6"/>
  <c r="A377" i="6"/>
  <c r="C377" i="6"/>
  <c r="D377" i="6"/>
  <c r="E377" i="6"/>
  <c r="F377" i="6"/>
  <c r="A378" i="6"/>
  <c r="F378" i="6"/>
  <c r="A379" i="6"/>
  <c r="D379" i="6" s="1"/>
  <c r="C379" i="6"/>
  <c r="E379" i="6"/>
  <c r="F379" i="6"/>
  <c r="A380" i="6"/>
  <c r="C380" i="6" s="1"/>
  <c r="D380" i="6"/>
  <c r="F380" i="6"/>
  <c r="A381" i="6"/>
  <c r="C381" i="6"/>
  <c r="D381" i="6"/>
  <c r="E381" i="6"/>
  <c r="F381" i="6"/>
  <c r="A382" i="6"/>
  <c r="F382" i="6" s="1"/>
  <c r="A383" i="6"/>
  <c r="D383" i="6" s="1"/>
  <c r="C383" i="6"/>
  <c r="E383" i="6"/>
  <c r="F383" i="6"/>
  <c r="A384" i="6"/>
  <c r="C384" i="6" s="1"/>
  <c r="D384" i="6"/>
  <c r="F384" i="6"/>
  <c r="A385" i="6"/>
  <c r="C385" i="6"/>
  <c r="D385" i="6"/>
  <c r="E385" i="6"/>
  <c r="F385" i="6"/>
  <c r="A386" i="6"/>
  <c r="F386" i="6"/>
  <c r="A387" i="6"/>
  <c r="D387" i="6" s="1"/>
  <c r="C387" i="6"/>
  <c r="E387" i="6"/>
  <c r="F387" i="6"/>
  <c r="A388" i="6"/>
  <c r="C388" i="6" s="1"/>
  <c r="D388" i="6"/>
  <c r="F388" i="6"/>
  <c r="A389" i="6"/>
  <c r="C389" i="6"/>
  <c r="D389" i="6"/>
  <c r="E389" i="6"/>
  <c r="F389" i="6"/>
  <c r="A390" i="6"/>
  <c r="F390" i="6" s="1"/>
  <c r="A391" i="6"/>
  <c r="D391" i="6" s="1"/>
  <c r="C391" i="6"/>
  <c r="E391" i="6"/>
  <c r="F391" i="6"/>
  <c r="A392" i="6"/>
  <c r="C392" i="6" s="1"/>
  <c r="D392" i="6"/>
  <c r="F392" i="6"/>
  <c r="A393" i="6"/>
  <c r="C393" i="6"/>
  <c r="D393" i="6"/>
  <c r="E393" i="6"/>
  <c r="F393" i="6"/>
  <c r="A394" i="6"/>
  <c r="A395" i="6"/>
  <c r="D395" i="6" s="1"/>
  <c r="C395" i="6"/>
  <c r="E395" i="6"/>
  <c r="F395" i="6"/>
  <c r="A396" i="6"/>
  <c r="C396" i="6" s="1"/>
  <c r="D396" i="6"/>
  <c r="F396" i="6"/>
  <c r="A397" i="6"/>
  <c r="C397" i="6"/>
  <c r="D397" i="6"/>
  <c r="E397" i="6"/>
  <c r="F397" i="6"/>
  <c r="A398" i="6"/>
  <c r="F398" i="6" s="1"/>
  <c r="A399" i="6"/>
  <c r="D399" i="6" s="1"/>
  <c r="C399" i="6"/>
  <c r="E399" i="6"/>
  <c r="F399" i="6"/>
  <c r="A400" i="6"/>
  <c r="C400" i="6" s="1"/>
  <c r="D400" i="6"/>
  <c r="F400" i="6"/>
  <c r="A401" i="6"/>
  <c r="C401" i="6"/>
  <c r="D401" i="6"/>
  <c r="E401" i="6"/>
  <c r="F401" i="6"/>
  <c r="A402" i="6"/>
  <c r="A403" i="6"/>
  <c r="D403" i="6" s="1"/>
  <c r="C403" i="6"/>
  <c r="E403" i="6"/>
  <c r="F403" i="6"/>
  <c r="A404" i="6"/>
  <c r="C404" i="6" s="1"/>
  <c r="D404" i="6"/>
  <c r="F404" i="6"/>
  <c r="A405" i="6"/>
  <c r="C405" i="6"/>
  <c r="D405" i="6"/>
  <c r="E405" i="6"/>
  <c r="F405" i="6"/>
  <c r="A406" i="6"/>
  <c r="F406" i="6" s="1"/>
  <c r="A407" i="6"/>
  <c r="D407" i="6" s="1"/>
  <c r="C407" i="6"/>
  <c r="E407" i="6"/>
  <c r="F407" i="6"/>
  <c r="A408" i="6"/>
  <c r="C408" i="6" s="1"/>
  <c r="D408" i="6"/>
  <c r="F408" i="6"/>
  <c r="A409" i="6"/>
  <c r="C409" i="6"/>
  <c r="D409" i="6"/>
  <c r="E409" i="6"/>
  <c r="F409" i="6"/>
  <c r="A410" i="6"/>
  <c r="A411" i="6"/>
  <c r="D411" i="6" s="1"/>
  <c r="C411" i="6"/>
  <c r="E411" i="6"/>
  <c r="F411" i="6"/>
  <c r="A412" i="6"/>
  <c r="C412" i="6" s="1"/>
  <c r="D412" i="6"/>
  <c r="F412" i="6"/>
  <c r="A413" i="6"/>
  <c r="C413" i="6"/>
  <c r="D413" i="6"/>
  <c r="E413" i="6"/>
  <c r="F413" i="6"/>
  <c r="A414" i="6"/>
  <c r="F414" i="6" s="1"/>
  <c r="A415" i="6"/>
  <c r="D415" i="6" s="1"/>
  <c r="C415" i="6"/>
  <c r="E415" i="6"/>
  <c r="F415" i="6"/>
  <c r="A416" i="6"/>
  <c r="C416" i="6" s="1"/>
  <c r="D416" i="6"/>
  <c r="F416" i="6"/>
  <c r="A417" i="6"/>
  <c r="C417" i="6"/>
  <c r="D417" i="6"/>
  <c r="E417" i="6"/>
  <c r="F417" i="6"/>
  <c r="A418" i="6"/>
  <c r="A419" i="6"/>
  <c r="D419" i="6" s="1"/>
  <c r="C419" i="6"/>
  <c r="E419" i="6"/>
  <c r="F419" i="6"/>
  <c r="A420" i="6"/>
  <c r="C420" i="6" s="1"/>
  <c r="D420" i="6"/>
  <c r="F420" i="6"/>
  <c r="A421" i="6"/>
  <c r="C421" i="6"/>
  <c r="D421" i="6"/>
  <c r="E421" i="6"/>
  <c r="F421" i="6"/>
  <c r="A422" i="6"/>
  <c r="F422" i="6" s="1"/>
  <c r="A423" i="6"/>
  <c r="D423" i="6" s="1"/>
  <c r="C423" i="6"/>
  <c r="E423" i="6"/>
  <c r="F423" i="6"/>
  <c r="A424" i="6"/>
  <c r="C424" i="6" s="1"/>
  <c r="D424" i="6"/>
  <c r="F424" i="6"/>
  <c r="A425" i="6"/>
  <c r="C425" i="6"/>
  <c r="D425" i="6"/>
  <c r="E425" i="6"/>
  <c r="F425" i="6"/>
  <c r="A426" i="6"/>
  <c r="A427" i="6"/>
  <c r="D427" i="6" s="1"/>
  <c r="C427" i="6"/>
  <c r="E427" i="6"/>
  <c r="F427" i="6"/>
  <c r="A428" i="6"/>
  <c r="C428" i="6" s="1"/>
  <c r="D428" i="6"/>
  <c r="F428" i="6"/>
  <c r="A429" i="6"/>
  <c r="C429" i="6"/>
  <c r="D429" i="6"/>
  <c r="E429" i="6"/>
  <c r="F429" i="6"/>
  <c r="A430" i="6"/>
  <c r="F430" i="6" s="1"/>
  <c r="A431" i="6"/>
  <c r="D431" i="6" s="1"/>
  <c r="C431" i="6"/>
  <c r="E431" i="6"/>
  <c r="F431" i="6"/>
  <c r="A432" i="6"/>
  <c r="C432" i="6" s="1"/>
  <c r="D432" i="6"/>
  <c r="F432" i="6"/>
  <c r="A433" i="6"/>
  <c r="C433" i="6"/>
  <c r="D433" i="6"/>
  <c r="E433" i="6"/>
  <c r="F433" i="6"/>
  <c r="A434" i="6"/>
  <c r="A435" i="6"/>
  <c r="D435" i="6" s="1"/>
  <c r="C435" i="6"/>
  <c r="E435" i="6"/>
  <c r="F435" i="6"/>
  <c r="A436" i="6"/>
  <c r="C436" i="6" s="1"/>
  <c r="D436" i="6"/>
  <c r="F436" i="6"/>
  <c r="A437" i="6"/>
  <c r="C437" i="6"/>
  <c r="D437" i="6"/>
  <c r="E437" i="6"/>
  <c r="F437" i="6"/>
  <c r="A438" i="6"/>
  <c r="F438" i="6" s="1"/>
  <c r="A439" i="6"/>
  <c r="D439" i="6" s="1"/>
  <c r="C439" i="6"/>
  <c r="E439" i="6"/>
  <c r="F439" i="6"/>
  <c r="A440" i="6"/>
  <c r="C440" i="6" s="1"/>
  <c r="D440" i="6"/>
  <c r="F440" i="6"/>
  <c r="A441" i="6"/>
  <c r="C441" i="6"/>
  <c r="D441" i="6"/>
  <c r="E441" i="6"/>
  <c r="F441" i="6"/>
  <c r="A442" i="6"/>
  <c r="A443" i="6"/>
  <c r="D443" i="6" s="1"/>
  <c r="C443" i="6"/>
  <c r="E443" i="6"/>
  <c r="F443" i="6"/>
  <c r="A444" i="6"/>
  <c r="C444" i="6" s="1"/>
  <c r="D444" i="6"/>
  <c r="F444" i="6"/>
  <c r="A445" i="6"/>
  <c r="C445" i="6"/>
  <c r="D445" i="6"/>
  <c r="E445" i="6"/>
  <c r="F445" i="6"/>
  <c r="A446" i="6"/>
  <c r="F446" i="6" s="1"/>
  <c r="A447" i="6"/>
  <c r="D447" i="6" s="1"/>
  <c r="C447" i="6"/>
  <c r="E447" i="6"/>
  <c r="F447" i="6"/>
  <c r="A448" i="6"/>
  <c r="C448" i="6" s="1"/>
  <c r="D448" i="6"/>
  <c r="F448" i="6"/>
  <c r="A449" i="6"/>
  <c r="C449" i="6"/>
  <c r="D449" i="6"/>
  <c r="E449" i="6"/>
  <c r="F449" i="6"/>
  <c r="A450" i="6"/>
  <c r="A451" i="6"/>
  <c r="D451" i="6" s="1"/>
  <c r="C451" i="6"/>
  <c r="E451" i="6"/>
  <c r="F451" i="6"/>
  <c r="A452" i="6"/>
  <c r="C452" i="6" s="1"/>
  <c r="D452" i="6"/>
  <c r="F452" i="6"/>
  <c r="A453" i="6"/>
  <c r="C453" i="6"/>
  <c r="D453" i="6"/>
  <c r="E453" i="6"/>
  <c r="F453" i="6"/>
  <c r="A454" i="6"/>
  <c r="D454" i="6" s="1"/>
  <c r="A455" i="6"/>
  <c r="D455" i="6" s="1"/>
  <c r="C455" i="6"/>
  <c r="E455" i="6"/>
  <c r="F455" i="6"/>
  <c r="A456" i="6"/>
  <c r="D456" i="6"/>
  <c r="F456" i="6"/>
  <c r="A457" i="6"/>
  <c r="C457" i="6"/>
  <c r="D457" i="6"/>
  <c r="E457" i="6"/>
  <c r="F457" i="6"/>
  <c r="A458" i="6"/>
  <c r="D458" i="6"/>
  <c r="F458" i="6"/>
  <c r="A459" i="6"/>
  <c r="D459" i="6" s="1"/>
  <c r="C459" i="6"/>
  <c r="E459" i="6"/>
  <c r="F459" i="6"/>
  <c r="A460" i="6"/>
  <c r="F460" i="6"/>
  <c r="A461" i="6"/>
  <c r="C461" i="6"/>
  <c r="D461" i="6"/>
  <c r="E461" i="6"/>
  <c r="F461" i="6"/>
  <c r="A462" i="6"/>
  <c r="F462" i="6"/>
  <c r="A463" i="6"/>
  <c r="D463" i="6" s="1"/>
  <c r="C463" i="6"/>
  <c r="E463" i="6"/>
  <c r="F463" i="6"/>
  <c r="A464" i="6"/>
  <c r="C464" i="6" s="1"/>
  <c r="D464" i="6"/>
  <c r="F464" i="6"/>
  <c r="A465" i="6"/>
  <c r="C465" i="6"/>
  <c r="D465" i="6"/>
  <c r="E465" i="6"/>
  <c r="F465" i="6"/>
  <c r="A466" i="6"/>
  <c r="E466" i="6" s="1"/>
  <c r="D466" i="6"/>
  <c r="A467" i="6"/>
  <c r="D467" i="6" s="1"/>
  <c r="E467" i="6"/>
  <c r="A468" i="6"/>
  <c r="C468" i="6" s="1"/>
  <c r="E468" i="6"/>
  <c r="A469" i="6"/>
  <c r="C469" i="6"/>
  <c r="D469" i="6"/>
  <c r="E469" i="6"/>
  <c r="F469" i="6"/>
  <c r="A470" i="6"/>
  <c r="E470" i="6" s="1"/>
  <c r="C470" i="6"/>
  <c r="D470" i="6"/>
  <c r="F470" i="6"/>
  <c r="A471" i="6"/>
  <c r="D471" i="6" s="1"/>
  <c r="C471" i="6"/>
  <c r="E471" i="6"/>
  <c r="F471" i="6"/>
  <c r="A472" i="6"/>
  <c r="C472" i="6" s="1"/>
  <c r="D472" i="6"/>
  <c r="E472" i="6"/>
  <c r="F472" i="6"/>
  <c r="A473" i="6"/>
  <c r="C473" i="6"/>
  <c r="D473" i="6"/>
  <c r="E473" i="6"/>
  <c r="F473" i="6"/>
  <c r="A474" i="6"/>
  <c r="E474" i="6" s="1"/>
  <c r="A475" i="6"/>
  <c r="D475" i="6" s="1"/>
  <c r="A476" i="6"/>
  <c r="C476" i="6" s="1"/>
  <c r="A477" i="6"/>
  <c r="C477" i="6"/>
  <c r="D477" i="6"/>
  <c r="E477" i="6"/>
  <c r="F477" i="6"/>
  <c r="A478" i="6"/>
  <c r="E478" i="6" s="1"/>
  <c r="C478" i="6"/>
  <c r="F478" i="6"/>
  <c r="A479" i="6"/>
  <c r="D479" i="6" s="1"/>
  <c r="C479" i="6"/>
  <c r="F479" i="6"/>
  <c r="A480" i="6"/>
  <c r="C480" i="6" s="1"/>
  <c r="D480" i="6"/>
  <c r="F480" i="6"/>
  <c r="A481" i="6"/>
  <c r="C481" i="6"/>
  <c r="D481" i="6"/>
  <c r="E481" i="6"/>
  <c r="F481" i="6"/>
  <c r="A482" i="6"/>
  <c r="E482" i="6" s="1"/>
  <c r="D482" i="6"/>
  <c r="A483" i="6"/>
  <c r="D483" i="6" s="1"/>
  <c r="E483" i="6"/>
  <c r="A484" i="6"/>
  <c r="C484" i="6" s="1"/>
  <c r="E484" i="6"/>
  <c r="A485" i="6"/>
  <c r="C485" i="6"/>
  <c r="D485" i="6"/>
  <c r="E485" i="6"/>
  <c r="F485" i="6"/>
  <c r="A486" i="6"/>
  <c r="E486" i="6" s="1"/>
  <c r="C486" i="6"/>
  <c r="D486" i="6"/>
  <c r="F486" i="6"/>
  <c r="A487" i="6"/>
  <c r="D487" i="6" s="1"/>
  <c r="C487" i="6"/>
  <c r="E487" i="6"/>
  <c r="F487" i="6"/>
  <c r="A488" i="6"/>
  <c r="C488" i="6" s="1"/>
  <c r="D488" i="6"/>
  <c r="E488" i="6"/>
  <c r="F488" i="6"/>
  <c r="A489" i="6"/>
  <c r="C489" i="6"/>
  <c r="D489" i="6"/>
  <c r="E489" i="6"/>
  <c r="F489" i="6"/>
  <c r="A490" i="6"/>
  <c r="E490" i="6" s="1"/>
  <c r="A491" i="6"/>
  <c r="D491" i="6" s="1"/>
  <c r="A492" i="6"/>
  <c r="C492" i="6" s="1"/>
  <c r="A493" i="6"/>
  <c r="C493" i="6"/>
  <c r="D493" i="6"/>
  <c r="E493" i="6"/>
  <c r="F493" i="6"/>
  <c r="A494" i="6"/>
  <c r="E494" i="6" s="1"/>
  <c r="C494" i="6"/>
  <c r="F494" i="6"/>
  <c r="A495" i="6"/>
  <c r="D495" i="6" s="1"/>
  <c r="C495" i="6"/>
  <c r="F495" i="6"/>
  <c r="A496" i="6"/>
  <c r="C496" i="6" s="1"/>
  <c r="D496" i="6"/>
  <c r="F496" i="6"/>
  <c r="A497" i="6"/>
  <c r="C497" i="6"/>
  <c r="D497" i="6"/>
  <c r="E497" i="6"/>
  <c r="F497" i="6"/>
  <c r="A498" i="6"/>
  <c r="E498" i="6" s="1"/>
  <c r="D498" i="6"/>
  <c r="A499" i="6"/>
  <c r="D499" i="6" s="1"/>
  <c r="E499" i="6"/>
  <c r="A500" i="6"/>
  <c r="C500" i="6" s="1"/>
  <c r="E500" i="6"/>
  <c r="A501" i="6"/>
  <c r="C501" i="6"/>
  <c r="D501" i="6"/>
  <c r="E501" i="6"/>
  <c r="F501" i="6"/>
  <c r="A502" i="6"/>
  <c r="E502" i="6" s="1"/>
  <c r="C502" i="6"/>
  <c r="D502" i="6"/>
  <c r="F502" i="6"/>
  <c r="A503" i="6"/>
  <c r="D503" i="6" s="1"/>
  <c r="C503" i="6"/>
  <c r="E503" i="6"/>
  <c r="F503" i="6"/>
  <c r="A504" i="6"/>
  <c r="C504" i="6" s="1"/>
  <c r="D504" i="6"/>
  <c r="E504" i="6"/>
  <c r="F504" i="6"/>
  <c r="A505" i="6"/>
  <c r="C505" i="6"/>
  <c r="D505" i="6"/>
  <c r="E505" i="6"/>
  <c r="F505" i="6"/>
  <c r="A506" i="6"/>
  <c r="E506" i="6" s="1"/>
  <c r="A507" i="6"/>
  <c r="D507" i="6" s="1"/>
  <c r="A508" i="6"/>
  <c r="C508" i="6" s="1"/>
  <c r="A509" i="6"/>
  <c r="C509" i="6"/>
  <c r="D509" i="6"/>
  <c r="E509" i="6"/>
  <c r="F509" i="6"/>
  <c r="A510" i="6"/>
  <c r="E510" i="6" s="1"/>
  <c r="C510" i="6"/>
  <c r="F510" i="6"/>
  <c r="A511" i="6"/>
  <c r="D511" i="6" s="1"/>
  <c r="C511" i="6"/>
  <c r="F511" i="6"/>
  <c r="A512" i="6"/>
  <c r="C512" i="6" s="1"/>
  <c r="D512" i="6"/>
  <c r="F512" i="6"/>
  <c r="A513" i="6"/>
  <c r="C513" i="6"/>
  <c r="D513" i="6"/>
  <c r="E513" i="6"/>
  <c r="F513" i="6"/>
  <c r="A514" i="6"/>
  <c r="E514" i="6" s="1"/>
  <c r="D514" i="6"/>
  <c r="A515" i="6"/>
  <c r="D515" i="6" s="1"/>
  <c r="E515" i="6"/>
  <c r="A516" i="6"/>
  <c r="C516" i="6" s="1"/>
  <c r="E516" i="6"/>
  <c r="A517" i="6"/>
  <c r="C517" i="6"/>
  <c r="D517" i="6"/>
  <c r="E517" i="6"/>
  <c r="F517" i="6"/>
  <c r="A518" i="6"/>
  <c r="E518" i="6" s="1"/>
  <c r="C518" i="6"/>
  <c r="D518" i="6"/>
  <c r="F518" i="6"/>
  <c r="A519" i="6"/>
  <c r="D519" i="6" s="1"/>
  <c r="C519" i="6"/>
  <c r="E519" i="6"/>
  <c r="F519" i="6"/>
  <c r="A520" i="6"/>
  <c r="C520" i="6" s="1"/>
  <c r="D520" i="6"/>
  <c r="E520" i="6"/>
  <c r="F520" i="6"/>
  <c r="A521" i="6"/>
  <c r="C521" i="6"/>
  <c r="D521" i="6"/>
  <c r="E521" i="6"/>
  <c r="F521" i="6"/>
  <c r="A522" i="6"/>
  <c r="E522" i="6" s="1"/>
  <c r="A523" i="6"/>
  <c r="D523" i="6" s="1"/>
  <c r="A524" i="6"/>
  <c r="C524" i="6" s="1"/>
  <c r="A525" i="6"/>
  <c r="C525" i="6"/>
  <c r="D525" i="6"/>
  <c r="E525" i="6"/>
  <c r="F525" i="6"/>
  <c r="A526" i="6"/>
  <c r="E526" i="6" s="1"/>
  <c r="C526" i="6"/>
  <c r="F526" i="6"/>
  <c r="A527" i="6"/>
  <c r="D527" i="6" s="1"/>
  <c r="C527" i="6"/>
  <c r="F527" i="6"/>
  <c r="A528" i="6"/>
  <c r="C528" i="6" s="1"/>
  <c r="D528" i="6"/>
  <c r="F528" i="6"/>
  <c r="A529" i="6"/>
  <c r="C529" i="6"/>
  <c r="D529" i="6"/>
  <c r="E529" i="6"/>
  <c r="F529" i="6"/>
  <c r="A530" i="6"/>
  <c r="E530" i="6" s="1"/>
  <c r="D530" i="6"/>
  <c r="A531" i="6"/>
  <c r="D531" i="6" s="1"/>
  <c r="E531" i="6"/>
  <c r="A532" i="6"/>
  <c r="C532" i="6" s="1"/>
  <c r="E532" i="6"/>
  <c r="A533" i="6"/>
  <c r="C533" i="6"/>
  <c r="D533" i="6"/>
  <c r="E533" i="6"/>
  <c r="F533" i="6"/>
  <c r="A534" i="6"/>
  <c r="E534" i="6" s="1"/>
  <c r="C534" i="6"/>
  <c r="D534" i="6"/>
  <c r="F534" i="6"/>
  <c r="A535" i="6"/>
  <c r="D535" i="6" s="1"/>
  <c r="C535" i="6"/>
  <c r="E535" i="6"/>
  <c r="F535" i="6"/>
  <c r="A536" i="6"/>
  <c r="C536" i="6" s="1"/>
  <c r="D536" i="6"/>
  <c r="E536" i="6"/>
  <c r="F536" i="6"/>
  <c r="A537" i="6"/>
  <c r="C537" i="6"/>
  <c r="D537" i="6"/>
  <c r="E537" i="6"/>
  <c r="F537" i="6"/>
  <c r="A538" i="6"/>
  <c r="A539" i="6"/>
  <c r="A540" i="6"/>
  <c r="A541" i="6"/>
  <c r="C541" i="6"/>
  <c r="D541" i="6"/>
  <c r="E541" i="6"/>
  <c r="F541" i="6"/>
  <c r="A542" i="6"/>
  <c r="E542" i="6" s="1"/>
  <c r="C542" i="6"/>
  <c r="F542" i="6"/>
  <c r="A543" i="6"/>
  <c r="D543" i="6" s="1"/>
  <c r="C543" i="6"/>
  <c r="F543" i="6"/>
  <c r="A544" i="6"/>
  <c r="C544" i="6" s="1"/>
  <c r="D544" i="6"/>
  <c r="F544" i="6"/>
  <c r="A545" i="6"/>
  <c r="C545" i="6"/>
  <c r="D545" i="6"/>
  <c r="E545" i="6"/>
  <c r="F545" i="6"/>
  <c r="A546" i="6"/>
  <c r="E546" i="6" s="1"/>
  <c r="D546" i="6"/>
  <c r="A547" i="6"/>
  <c r="D547" i="6" s="1"/>
  <c r="E547" i="6"/>
  <c r="A548" i="6"/>
  <c r="C548" i="6" s="1"/>
  <c r="E548" i="6"/>
  <c r="A549" i="6"/>
  <c r="C549" i="6"/>
  <c r="D549" i="6"/>
  <c r="E549" i="6"/>
  <c r="F549" i="6"/>
  <c r="A550" i="6"/>
  <c r="E550" i="6" s="1"/>
  <c r="C550" i="6"/>
  <c r="D550" i="6"/>
  <c r="F550" i="6"/>
  <c r="A551" i="6"/>
  <c r="D551" i="6" s="1"/>
  <c r="C551" i="6"/>
  <c r="E551" i="6"/>
  <c r="F551" i="6"/>
  <c r="A552" i="6"/>
  <c r="C552" i="6" s="1"/>
  <c r="D552" i="6"/>
  <c r="E552" i="6"/>
  <c r="F552" i="6"/>
  <c r="A553" i="6"/>
  <c r="C553" i="6"/>
  <c r="D553" i="6"/>
  <c r="E553" i="6"/>
  <c r="F553" i="6"/>
  <c r="A554" i="6"/>
  <c r="A555" i="6"/>
  <c r="A556" i="6"/>
  <c r="A557" i="6"/>
  <c r="C557" i="6"/>
  <c r="D557" i="6"/>
  <c r="E557" i="6"/>
  <c r="F557" i="6"/>
  <c r="A558" i="6"/>
  <c r="E558" i="6" s="1"/>
  <c r="C558" i="6"/>
  <c r="F558" i="6"/>
  <c r="A559" i="6"/>
  <c r="D559" i="6" s="1"/>
  <c r="C559" i="6"/>
  <c r="F559" i="6"/>
  <c r="A560" i="6"/>
  <c r="C560" i="6" s="1"/>
  <c r="D560" i="6"/>
  <c r="F560" i="6"/>
  <c r="A561" i="6"/>
  <c r="C561" i="6"/>
  <c r="D561" i="6"/>
  <c r="E561" i="6"/>
  <c r="F561" i="6"/>
  <c r="A562" i="6"/>
  <c r="E562" i="6" s="1"/>
  <c r="D562" i="6"/>
  <c r="A563" i="6"/>
  <c r="D563" i="6" s="1"/>
  <c r="E563" i="6"/>
  <c r="A564" i="6"/>
  <c r="C564" i="6" s="1"/>
  <c r="E564" i="6"/>
  <c r="A565" i="6"/>
  <c r="C565" i="6" s="1"/>
  <c r="D565" i="6"/>
  <c r="F565" i="6"/>
  <c r="A566" i="6"/>
  <c r="C566" i="6"/>
  <c r="D566" i="6"/>
  <c r="E566" i="6"/>
  <c r="F566" i="6"/>
  <c r="A567" i="6"/>
  <c r="A568" i="6"/>
  <c r="D568" i="6" s="1"/>
  <c r="C568" i="6"/>
  <c r="E568" i="6"/>
  <c r="F568" i="6"/>
  <c r="A569" i="6"/>
  <c r="D569" i="6" s="1"/>
  <c r="A570" i="6"/>
  <c r="C570" i="6"/>
  <c r="D570" i="6"/>
  <c r="E570" i="6"/>
  <c r="F570" i="6"/>
  <c r="A571" i="6"/>
  <c r="D571" i="6" s="1"/>
  <c r="A572" i="6"/>
  <c r="D572" i="6" s="1"/>
  <c r="C572" i="6"/>
  <c r="E572" i="6"/>
  <c r="F572" i="6"/>
  <c r="A573" i="6"/>
  <c r="F573" i="6" s="1"/>
  <c r="D573" i="6"/>
  <c r="A574" i="6"/>
  <c r="C574" i="6"/>
  <c r="D574" i="6"/>
  <c r="E574" i="6"/>
  <c r="F574" i="6"/>
  <c r="A575" i="6"/>
  <c r="F575" i="6" s="1"/>
  <c r="D575" i="6"/>
  <c r="A576" i="6"/>
  <c r="D576" i="6" s="1"/>
  <c r="C576" i="6"/>
  <c r="E576" i="6"/>
  <c r="F576" i="6"/>
  <c r="A577" i="6"/>
  <c r="F577" i="6"/>
  <c r="A578" i="6"/>
  <c r="C578" i="6"/>
  <c r="D578" i="6"/>
  <c r="E578" i="6"/>
  <c r="F578" i="6"/>
  <c r="A579" i="6"/>
  <c r="F579" i="6"/>
  <c r="A580" i="6"/>
  <c r="D580" i="6" s="1"/>
  <c r="C580" i="6"/>
  <c r="E580" i="6"/>
  <c r="F580" i="6"/>
  <c r="A581" i="6"/>
  <c r="D581" i="6"/>
  <c r="F581" i="6"/>
  <c r="A582" i="6"/>
  <c r="C582" i="6"/>
  <c r="D582" i="6"/>
  <c r="E582" i="6"/>
  <c r="F582" i="6"/>
  <c r="A583" i="6"/>
  <c r="D583" i="6"/>
  <c r="F583" i="6"/>
  <c r="A584" i="6"/>
  <c r="D584" i="6" s="1"/>
  <c r="C584" i="6"/>
  <c r="E584" i="6"/>
  <c r="F584" i="6"/>
  <c r="A585" i="6"/>
  <c r="D585" i="6" s="1"/>
  <c r="A586" i="6"/>
  <c r="C586" i="6"/>
  <c r="D586" i="6"/>
  <c r="E586" i="6"/>
  <c r="F586" i="6"/>
  <c r="A587" i="6"/>
  <c r="D587" i="6" s="1"/>
  <c r="A588" i="6"/>
  <c r="D588" i="6" s="1"/>
  <c r="C588" i="6"/>
  <c r="E588" i="6"/>
  <c r="F588" i="6"/>
  <c r="A589" i="6"/>
  <c r="F589" i="6" s="1"/>
  <c r="D589" i="6"/>
  <c r="A590" i="6"/>
  <c r="C590" i="6"/>
  <c r="D590" i="6"/>
  <c r="E590" i="6"/>
  <c r="F590" i="6"/>
  <c r="A591" i="6"/>
  <c r="F591" i="6" s="1"/>
  <c r="D591" i="6"/>
  <c r="A592" i="6"/>
  <c r="D592" i="6" s="1"/>
  <c r="C592" i="6"/>
  <c r="E592" i="6"/>
  <c r="F592" i="6"/>
  <c r="A593" i="6"/>
  <c r="F593" i="6"/>
  <c r="A594" i="6"/>
  <c r="C594" i="6"/>
  <c r="D594" i="6"/>
  <c r="E594" i="6"/>
  <c r="F594" i="6"/>
  <c r="A595" i="6"/>
  <c r="F595" i="6"/>
  <c r="A596" i="6"/>
  <c r="D596" i="6" s="1"/>
  <c r="C596" i="6"/>
  <c r="E596" i="6"/>
  <c r="F596" i="6"/>
  <c r="A597" i="6"/>
  <c r="D597" i="6"/>
  <c r="F597" i="6"/>
  <c r="A598" i="6"/>
  <c r="C598" i="6"/>
  <c r="D598" i="6"/>
  <c r="E598" i="6"/>
  <c r="F598" i="6"/>
  <c r="A599" i="6"/>
  <c r="D599" i="6"/>
  <c r="F599" i="6"/>
  <c r="A600" i="6"/>
  <c r="D600" i="6" s="1"/>
  <c r="C600" i="6"/>
  <c r="E600" i="6"/>
  <c r="F600" i="6"/>
  <c r="A601" i="6"/>
  <c r="D601" i="6" s="1"/>
  <c r="A602" i="6"/>
  <c r="C602" i="6"/>
  <c r="D602" i="6"/>
  <c r="E602" i="6"/>
  <c r="F602" i="6"/>
  <c r="A603" i="6"/>
  <c r="D603" i="6" s="1"/>
  <c r="A604" i="6"/>
  <c r="D604" i="6" s="1"/>
  <c r="C604" i="6"/>
  <c r="E604" i="6"/>
  <c r="F604" i="6"/>
  <c r="A605" i="6"/>
  <c r="F605" i="6" s="1"/>
  <c r="D605" i="6"/>
  <c r="A606" i="6"/>
  <c r="C606" i="6"/>
  <c r="D606" i="6"/>
  <c r="E606" i="6"/>
  <c r="F606" i="6"/>
  <c r="A607" i="6"/>
  <c r="F607" i="6" s="1"/>
  <c r="D607" i="6"/>
  <c r="A608" i="6"/>
  <c r="D608" i="6" s="1"/>
  <c r="C608" i="6"/>
  <c r="E608" i="6"/>
  <c r="F608" i="6"/>
  <c r="A609" i="6"/>
  <c r="F609" i="6"/>
  <c r="A610" i="6"/>
  <c r="C610" i="6"/>
  <c r="D610" i="6"/>
  <c r="E610" i="6"/>
  <c r="F610" i="6"/>
  <c r="A611" i="6"/>
  <c r="F611" i="6"/>
  <c r="A612" i="6"/>
  <c r="D612" i="6" s="1"/>
  <c r="C612" i="6"/>
  <c r="E612" i="6"/>
  <c r="F612" i="6"/>
  <c r="A613" i="6"/>
  <c r="D613" i="6"/>
  <c r="F613" i="6"/>
  <c r="A614" i="6"/>
  <c r="C614" i="6"/>
  <c r="D614" i="6"/>
  <c r="E614" i="6"/>
  <c r="F614" i="6"/>
  <c r="A615" i="6"/>
  <c r="D615" i="6"/>
  <c r="F615" i="6"/>
  <c r="A616" i="6"/>
  <c r="D616" i="6" s="1"/>
  <c r="C616" i="6"/>
  <c r="E616" i="6"/>
  <c r="F616" i="6"/>
  <c r="A617" i="6"/>
  <c r="D617" i="6" s="1"/>
  <c r="A618" i="6"/>
  <c r="C618" i="6"/>
  <c r="D618" i="6"/>
  <c r="E618" i="6"/>
  <c r="F618" i="6"/>
  <c r="A619" i="6"/>
  <c r="D619" i="6" s="1"/>
  <c r="A620" i="6"/>
  <c r="D620" i="6" s="1"/>
  <c r="C620" i="6"/>
  <c r="E620" i="6"/>
  <c r="F620" i="6"/>
  <c r="A621" i="6"/>
  <c r="F621" i="6" s="1"/>
  <c r="D621" i="6"/>
  <c r="A622" i="6"/>
  <c r="C622" i="6"/>
  <c r="D622" i="6"/>
  <c r="E622" i="6"/>
  <c r="F622" i="6"/>
  <c r="A623" i="6"/>
  <c r="F623" i="6" s="1"/>
  <c r="D623" i="6"/>
  <c r="A624" i="6"/>
  <c r="D624" i="6" s="1"/>
  <c r="C624" i="6"/>
  <c r="E624" i="6"/>
  <c r="F624" i="6"/>
  <c r="A625" i="6"/>
  <c r="D625" i="6"/>
  <c r="F625" i="6"/>
  <c r="A626" i="6"/>
  <c r="C626" i="6"/>
  <c r="D626" i="6"/>
  <c r="E626" i="6"/>
  <c r="F626" i="6"/>
  <c r="A627" i="6"/>
  <c r="D627" i="6"/>
  <c r="F627" i="6"/>
  <c r="A628" i="6"/>
  <c r="D628" i="6" s="1"/>
  <c r="C628" i="6"/>
  <c r="E628" i="6"/>
  <c r="F628" i="6"/>
  <c r="A629" i="6"/>
  <c r="D629" i="6"/>
  <c r="F629" i="6"/>
  <c r="A630" i="6"/>
  <c r="C630" i="6"/>
  <c r="D630" i="6"/>
  <c r="E630" i="6"/>
  <c r="F630" i="6"/>
  <c r="A631" i="6"/>
  <c r="D631" i="6"/>
  <c r="F631" i="6"/>
  <c r="A632" i="6"/>
  <c r="D632" i="6" s="1"/>
  <c r="C632" i="6"/>
  <c r="E632" i="6"/>
  <c r="F632" i="6"/>
  <c r="A633" i="6"/>
  <c r="D633" i="6" s="1"/>
  <c r="A634" i="6"/>
  <c r="C634" i="6"/>
  <c r="D634" i="6"/>
  <c r="E634" i="6"/>
  <c r="F634" i="6"/>
  <c r="A635" i="6"/>
  <c r="E635" i="6" s="1"/>
  <c r="A636" i="6"/>
  <c r="D636" i="6" s="1"/>
  <c r="A637" i="6"/>
  <c r="C637" i="6" s="1"/>
  <c r="A638" i="6"/>
  <c r="C638" i="6"/>
  <c r="D638" i="6"/>
  <c r="E638" i="6"/>
  <c r="F638" i="6"/>
  <c r="A639" i="6"/>
  <c r="E639" i="6" s="1"/>
  <c r="C639" i="6"/>
  <c r="D639" i="6"/>
  <c r="F639" i="6"/>
  <c r="A640" i="6"/>
  <c r="D640" i="6" s="1"/>
  <c r="C640" i="6"/>
  <c r="E640" i="6"/>
  <c r="F640" i="6"/>
  <c r="A641" i="6"/>
  <c r="C641" i="6" s="1"/>
  <c r="D641" i="6"/>
  <c r="E641" i="6"/>
  <c r="F641" i="6"/>
  <c r="A642" i="6"/>
  <c r="C642" i="6"/>
  <c r="D642" i="6"/>
  <c r="E642" i="6"/>
  <c r="F642" i="6"/>
  <c r="A643" i="6"/>
  <c r="E643" i="6" s="1"/>
  <c r="D643" i="6"/>
  <c r="A644" i="6"/>
  <c r="D644" i="6" s="1"/>
  <c r="E644" i="6"/>
  <c r="A645" i="6"/>
  <c r="C645" i="6" s="1"/>
  <c r="E645" i="6"/>
  <c r="A646" i="6"/>
  <c r="C646" i="6"/>
  <c r="D646" i="6"/>
  <c r="E646" i="6"/>
  <c r="F646" i="6"/>
  <c r="A647" i="6"/>
  <c r="E647" i="6" s="1"/>
  <c r="C647" i="6"/>
  <c r="F647" i="6"/>
  <c r="A648" i="6"/>
  <c r="D648" i="6" s="1"/>
  <c r="C648" i="6"/>
  <c r="F648" i="6"/>
  <c r="A649" i="6"/>
  <c r="C649" i="6" s="1"/>
  <c r="D649" i="6"/>
  <c r="F649" i="6"/>
  <c r="A650" i="6"/>
  <c r="C650" i="6"/>
  <c r="D650" i="6"/>
  <c r="E650" i="6"/>
  <c r="F650" i="6"/>
  <c r="A651" i="6"/>
  <c r="E651" i="6" s="1"/>
  <c r="A652" i="6"/>
  <c r="D652" i="6" s="1"/>
  <c r="A653" i="6"/>
  <c r="C653" i="6" s="1"/>
  <c r="A654" i="6"/>
  <c r="C654" i="6"/>
  <c r="D654" i="6"/>
  <c r="E654" i="6"/>
  <c r="F654" i="6"/>
  <c r="A655" i="6"/>
  <c r="E655" i="6" s="1"/>
  <c r="C655" i="6"/>
  <c r="D655" i="6"/>
  <c r="F655" i="6"/>
  <c r="A656" i="6"/>
  <c r="D656" i="6" s="1"/>
  <c r="C656" i="6"/>
  <c r="E656" i="6"/>
  <c r="F656" i="6"/>
  <c r="A657" i="6"/>
  <c r="C657" i="6" s="1"/>
  <c r="D657" i="6"/>
  <c r="E657" i="6"/>
  <c r="F657" i="6"/>
  <c r="A658" i="6"/>
  <c r="C658" i="6"/>
  <c r="D658" i="6"/>
  <c r="E658" i="6"/>
  <c r="F658" i="6"/>
  <c r="A659" i="6"/>
  <c r="E659" i="6" s="1"/>
  <c r="D659" i="6"/>
  <c r="A660" i="6"/>
  <c r="D660" i="6" s="1"/>
  <c r="E660" i="6"/>
  <c r="A661" i="6"/>
  <c r="C661" i="6" s="1"/>
  <c r="E661" i="6"/>
  <c r="A662" i="6"/>
  <c r="C662" i="6"/>
  <c r="D662" i="6"/>
  <c r="E662" i="6"/>
  <c r="F662" i="6"/>
  <c r="A663" i="6"/>
  <c r="E663" i="6" s="1"/>
  <c r="C663" i="6"/>
  <c r="F663" i="6"/>
  <c r="A664" i="6"/>
  <c r="D664" i="6" s="1"/>
  <c r="C664" i="6"/>
  <c r="F664" i="6"/>
  <c r="A665" i="6"/>
  <c r="C665" i="6" s="1"/>
  <c r="D665" i="6"/>
  <c r="F665" i="6"/>
  <c r="A666" i="6"/>
  <c r="C666" i="6"/>
  <c r="D666" i="6"/>
  <c r="E666" i="6"/>
  <c r="F666" i="6"/>
  <c r="A667" i="6"/>
  <c r="E667" i="6" s="1"/>
  <c r="A668" i="6"/>
  <c r="D668" i="6" s="1"/>
  <c r="A669" i="6"/>
  <c r="C669" i="6" s="1"/>
  <c r="A670" i="6"/>
  <c r="C670" i="6"/>
  <c r="D670" i="6"/>
  <c r="E670" i="6"/>
  <c r="F670" i="6"/>
  <c r="A671" i="6"/>
  <c r="E671" i="6" s="1"/>
  <c r="C671" i="6"/>
  <c r="D671" i="6"/>
  <c r="F671" i="6"/>
  <c r="A672" i="6"/>
  <c r="D672" i="6" s="1"/>
  <c r="C672" i="6"/>
  <c r="E672" i="6"/>
  <c r="F672" i="6"/>
  <c r="A673" i="6"/>
  <c r="C673" i="6" s="1"/>
  <c r="D673" i="6"/>
  <c r="E673" i="6"/>
  <c r="F673" i="6"/>
  <c r="A674" i="6"/>
  <c r="C674" i="6"/>
  <c r="D674" i="6"/>
  <c r="E674" i="6"/>
  <c r="F674" i="6"/>
  <c r="A675" i="6"/>
  <c r="E675" i="6" s="1"/>
  <c r="C675" i="6"/>
  <c r="D675" i="6"/>
  <c r="A676" i="6"/>
  <c r="D676" i="6" s="1"/>
  <c r="C676" i="6"/>
  <c r="E676" i="6"/>
  <c r="A677" i="6"/>
  <c r="C677" i="6" s="1"/>
  <c r="D677" i="6"/>
  <c r="E677" i="6"/>
  <c r="A678" i="6"/>
  <c r="C678" i="6"/>
  <c r="D678" i="6"/>
  <c r="E678" i="6"/>
  <c r="F678" i="6"/>
  <c r="A679" i="6"/>
  <c r="E679" i="6" s="1"/>
  <c r="C679" i="6"/>
  <c r="A680" i="6"/>
  <c r="D680" i="6" s="1"/>
  <c r="C680" i="6"/>
  <c r="A681" i="6"/>
  <c r="C681" i="6" s="1"/>
  <c r="D681" i="6"/>
  <c r="A682" i="6"/>
  <c r="C682" i="6"/>
  <c r="D682" i="6"/>
  <c r="E682" i="6"/>
  <c r="F682" i="6"/>
  <c r="A683" i="6"/>
  <c r="E683" i="6" s="1"/>
  <c r="A684" i="6"/>
  <c r="D684" i="6" s="1"/>
  <c r="A685" i="6"/>
  <c r="C685" i="6" s="1"/>
  <c r="A686" i="6"/>
  <c r="C686" i="6"/>
  <c r="D686" i="6"/>
  <c r="E686" i="6"/>
  <c r="F686" i="6"/>
  <c r="A687" i="6"/>
  <c r="E687" i="6" s="1"/>
  <c r="C687" i="6"/>
  <c r="D687" i="6"/>
  <c r="F687" i="6"/>
  <c r="A688" i="6"/>
  <c r="D688" i="6" s="1"/>
  <c r="C688" i="6"/>
  <c r="E688" i="6"/>
  <c r="F688" i="6"/>
  <c r="A689" i="6"/>
  <c r="C689" i="6" s="1"/>
  <c r="D689" i="6"/>
  <c r="E689" i="6"/>
  <c r="F689" i="6"/>
  <c r="A690" i="6"/>
  <c r="C690" i="6"/>
  <c r="D690" i="6"/>
  <c r="E690" i="6"/>
  <c r="F690" i="6"/>
  <c r="A691" i="6"/>
  <c r="E691" i="6" s="1"/>
  <c r="C691" i="6"/>
  <c r="D691" i="6"/>
  <c r="A692" i="6"/>
  <c r="D692" i="6" s="1"/>
  <c r="C692" i="6"/>
  <c r="E692" i="6"/>
  <c r="A693" i="6"/>
  <c r="C693" i="6" s="1"/>
  <c r="D693" i="6"/>
  <c r="E693" i="6"/>
  <c r="A694" i="6"/>
  <c r="C694" i="6"/>
  <c r="D694" i="6"/>
  <c r="E694" i="6"/>
  <c r="F694" i="6"/>
  <c r="A695" i="6"/>
  <c r="E695" i="6" s="1"/>
  <c r="C695" i="6"/>
  <c r="A696" i="6"/>
  <c r="D696" i="6" s="1"/>
  <c r="C696" i="6"/>
  <c r="A697" i="6"/>
  <c r="C697" i="6" s="1"/>
  <c r="D697" i="6"/>
  <c r="A698" i="6"/>
  <c r="C698" i="6"/>
  <c r="D698" i="6"/>
  <c r="E698" i="6"/>
  <c r="F698" i="6"/>
  <c r="A699" i="6"/>
  <c r="E699" i="6" s="1"/>
  <c r="A700" i="6"/>
  <c r="D700" i="6" s="1"/>
  <c r="G701" i="6"/>
  <c r="G709" i="6"/>
  <c r="A714" i="6"/>
  <c r="E714" i="6" s="1"/>
  <c r="F714" i="6"/>
  <c r="A715" i="6"/>
  <c r="C715" i="6"/>
  <c r="D715" i="6"/>
  <c r="E715" i="6"/>
  <c r="F715" i="6"/>
  <c r="A716" i="6"/>
  <c r="E716" i="6" s="1"/>
  <c r="C716" i="6"/>
  <c r="D716" i="6"/>
  <c r="F716" i="6"/>
  <c r="A717" i="6"/>
  <c r="D717" i="6" s="1"/>
  <c r="C717" i="6"/>
  <c r="F717" i="6"/>
  <c r="A718" i="6"/>
  <c r="E718" i="6" s="1"/>
  <c r="F718" i="6"/>
  <c r="A719" i="6"/>
  <c r="C719" i="6"/>
  <c r="D719" i="6"/>
  <c r="E719" i="6"/>
  <c r="F719" i="6"/>
  <c r="A720" i="6"/>
  <c r="C720" i="6"/>
  <c r="D720" i="6"/>
  <c r="E720" i="6"/>
  <c r="F720" i="6"/>
  <c r="A721" i="6"/>
  <c r="E721" i="6" s="1"/>
  <c r="C721" i="6"/>
  <c r="D721" i="6"/>
  <c r="F721" i="6"/>
  <c r="A722" i="6"/>
  <c r="E722" i="6" s="1"/>
  <c r="F722" i="6"/>
  <c r="A723" i="6"/>
  <c r="D723" i="6" s="1"/>
  <c r="E723" i="6"/>
  <c r="F723" i="6"/>
  <c r="A724" i="6"/>
  <c r="C724" i="6"/>
  <c r="D724" i="6"/>
  <c r="E724" i="6"/>
  <c r="F724" i="6"/>
  <c r="A725" i="6"/>
  <c r="E725" i="6" s="1"/>
  <c r="C725" i="6"/>
  <c r="D725" i="6"/>
  <c r="F725" i="6"/>
  <c r="A726" i="6"/>
  <c r="E726" i="6" s="1"/>
  <c r="F726" i="6"/>
  <c r="A727" i="6"/>
  <c r="D727" i="6" s="1"/>
  <c r="E727" i="6"/>
  <c r="F727" i="6"/>
  <c r="A728" i="6"/>
  <c r="C728" i="6"/>
  <c r="D728" i="6"/>
  <c r="E728" i="6"/>
  <c r="F728" i="6"/>
  <c r="A729" i="6"/>
  <c r="E729" i="6" s="1"/>
  <c r="C729" i="6"/>
  <c r="D729" i="6"/>
  <c r="F729" i="6"/>
  <c r="A730" i="6"/>
  <c r="E730" i="6" s="1"/>
  <c r="F730" i="6"/>
  <c r="A731" i="6"/>
  <c r="D731" i="6" s="1"/>
  <c r="E731" i="6"/>
  <c r="F731" i="6"/>
  <c r="A732" i="6"/>
  <c r="C732" i="6"/>
  <c r="D732" i="6"/>
  <c r="E732" i="6"/>
  <c r="F732" i="6"/>
  <c r="A733" i="6"/>
  <c r="E733" i="6" s="1"/>
  <c r="C733" i="6"/>
  <c r="D733" i="6"/>
  <c r="F733" i="6"/>
  <c r="A734" i="6"/>
  <c r="E734" i="6" s="1"/>
  <c r="F734" i="6"/>
  <c r="A735" i="6"/>
  <c r="D735" i="6" s="1"/>
  <c r="E735" i="6"/>
  <c r="F735" i="6"/>
  <c r="A736" i="6"/>
  <c r="C736" i="6"/>
  <c r="D736" i="6"/>
  <c r="E736" i="6"/>
  <c r="F736" i="6"/>
  <c r="A737" i="6"/>
  <c r="E737" i="6" s="1"/>
  <c r="C737" i="6"/>
  <c r="D737" i="6"/>
  <c r="F737" i="6"/>
  <c r="A738" i="6"/>
  <c r="E738" i="6" s="1"/>
  <c r="F738" i="6"/>
  <c r="A739" i="6"/>
  <c r="D739" i="6" s="1"/>
  <c r="E739" i="6"/>
  <c r="F739" i="6"/>
  <c r="A740" i="6"/>
  <c r="C740" i="6"/>
  <c r="D740" i="6"/>
  <c r="E740" i="6"/>
  <c r="F740" i="6"/>
  <c r="A741" i="6"/>
  <c r="E741" i="6" s="1"/>
  <c r="C741" i="6"/>
  <c r="D741" i="6"/>
  <c r="F741" i="6"/>
  <c r="A742" i="6"/>
  <c r="E742" i="6" s="1"/>
  <c r="F742" i="6"/>
  <c r="A743" i="6"/>
  <c r="D743" i="6" s="1"/>
  <c r="E743" i="6"/>
  <c r="F743" i="6"/>
  <c r="A744" i="6"/>
  <c r="C744" i="6"/>
  <c r="D744" i="6"/>
  <c r="E744" i="6"/>
  <c r="F744" i="6"/>
  <c r="A745" i="6"/>
  <c r="E745" i="6" s="1"/>
  <c r="C745" i="6"/>
  <c r="D745" i="6"/>
  <c r="F745" i="6"/>
  <c r="A746" i="6"/>
  <c r="E746" i="6" s="1"/>
  <c r="F746" i="6"/>
  <c r="A747" i="6"/>
  <c r="D747" i="6" s="1"/>
  <c r="E747" i="6"/>
  <c r="F747" i="6"/>
  <c r="A748" i="6"/>
  <c r="C748" i="6"/>
  <c r="D748" i="6"/>
  <c r="E748" i="6"/>
  <c r="F748" i="6"/>
  <c r="A749" i="6"/>
  <c r="E749" i="6" s="1"/>
  <c r="C749" i="6"/>
  <c r="D749" i="6"/>
  <c r="F749" i="6"/>
  <c r="A750" i="6"/>
  <c r="E750" i="6" s="1"/>
  <c r="F750" i="6"/>
  <c r="A751" i="6"/>
  <c r="D751" i="6" s="1"/>
  <c r="E751" i="6"/>
  <c r="F751" i="6"/>
  <c r="A752" i="6"/>
  <c r="C752" i="6"/>
  <c r="D752" i="6"/>
  <c r="E752" i="6"/>
  <c r="F752" i="6"/>
  <c r="A753" i="6"/>
  <c r="E753" i="6" s="1"/>
  <c r="C753" i="6"/>
  <c r="D753" i="6"/>
  <c r="F753" i="6"/>
  <c r="A754" i="6"/>
  <c r="E754" i="6" s="1"/>
  <c r="F754" i="6"/>
  <c r="A755" i="6"/>
  <c r="D755" i="6" s="1"/>
  <c r="E755" i="6"/>
  <c r="F755" i="6"/>
  <c r="A756" i="6"/>
  <c r="C756" i="6"/>
  <c r="D756" i="6"/>
  <c r="E756" i="6"/>
  <c r="F756" i="6"/>
  <c r="A757" i="6"/>
  <c r="E757" i="6" s="1"/>
  <c r="C757" i="6"/>
  <c r="D757" i="6"/>
  <c r="F757" i="6"/>
  <c r="A758" i="6"/>
  <c r="E758" i="6" s="1"/>
  <c r="F758" i="6"/>
  <c r="A759" i="6"/>
  <c r="D759" i="6" s="1"/>
  <c r="E759" i="6"/>
  <c r="F759" i="6"/>
  <c r="A760" i="6"/>
  <c r="C760" i="6"/>
  <c r="D760" i="6"/>
  <c r="E760" i="6"/>
  <c r="F760" i="6"/>
  <c r="A761" i="6"/>
  <c r="E761" i="6" s="1"/>
  <c r="C761" i="6"/>
  <c r="D761" i="6"/>
  <c r="F761" i="6"/>
  <c r="A762" i="6"/>
  <c r="F762" i="6" s="1"/>
  <c r="A763" i="6"/>
  <c r="D763" i="6" s="1"/>
  <c r="E763" i="6"/>
  <c r="F763" i="6"/>
  <c r="A764" i="6"/>
  <c r="C764" i="6"/>
  <c r="D764" i="6"/>
  <c r="E764" i="6"/>
  <c r="F764" i="6"/>
  <c r="A765" i="6"/>
  <c r="E765" i="6" s="1"/>
  <c r="C765" i="6"/>
  <c r="D765" i="6"/>
  <c r="F765" i="6"/>
  <c r="A766" i="6"/>
  <c r="F766" i="6" s="1"/>
  <c r="A767" i="6"/>
  <c r="D767" i="6" s="1"/>
  <c r="E767" i="6"/>
  <c r="F767" i="6"/>
  <c r="A768" i="6"/>
  <c r="C768" i="6"/>
  <c r="D768" i="6"/>
  <c r="E768" i="6"/>
  <c r="F768" i="6"/>
  <c r="A769" i="6"/>
  <c r="E769" i="6" s="1"/>
  <c r="C769" i="6"/>
  <c r="D769" i="6"/>
  <c r="F769" i="6"/>
  <c r="A770" i="6"/>
  <c r="F770" i="6" s="1"/>
  <c r="A771" i="6"/>
  <c r="D771" i="6" s="1"/>
  <c r="E771" i="6"/>
  <c r="F771" i="6"/>
  <c r="A772" i="6"/>
  <c r="C772" i="6"/>
  <c r="D772" i="6"/>
  <c r="E772" i="6"/>
  <c r="F772" i="6"/>
  <c r="A773" i="6"/>
  <c r="E773" i="6" s="1"/>
  <c r="C773" i="6"/>
  <c r="D773" i="6"/>
  <c r="F773" i="6"/>
  <c r="A774" i="6"/>
  <c r="F774" i="6" s="1"/>
  <c r="A775" i="6"/>
  <c r="D775" i="6" s="1"/>
  <c r="E775" i="6"/>
  <c r="F775" i="6"/>
  <c r="A776" i="6"/>
  <c r="C776" i="6"/>
  <c r="D776" i="6"/>
  <c r="E776" i="6"/>
  <c r="F776" i="6"/>
  <c r="A777" i="6"/>
  <c r="E777" i="6" s="1"/>
  <c r="C777" i="6"/>
  <c r="D777" i="6"/>
  <c r="F777" i="6"/>
  <c r="A778" i="6"/>
  <c r="F778" i="6" s="1"/>
  <c r="A779" i="6"/>
  <c r="D779" i="6" s="1"/>
  <c r="E779" i="6"/>
  <c r="F779" i="6"/>
  <c r="A780" i="6"/>
  <c r="C780" i="6"/>
  <c r="D780" i="6"/>
  <c r="E780" i="6"/>
  <c r="F780" i="6"/>
  <c r="A781" i="6"/>
  <c r="E781" i="6" s="1"/>
  <c r="C781" i="6"/>
  <c r="D781" i="6"/>
  <c r="F781" i="6"/>
  <c r="A782" i="6"/>
  <c r="F782" i="6" s="1"/>
  <c r="A783" i="6"/>
  <c r="D783" i="6" s="1"/>
  <c r="E783" i="6"/>
  <c r="F783" i="6"/>
  <c r="A784" i="6"/>
  <c r="C784" i="6"/>
  <c r="D784" i="6"/>
  <c r="E784" i="6"/>
  <c r="F784" i="6"/>
  <c r="A785" i="6"/>
  <c r="E785" i="6" s="1"/>
  <c r="C785" i="6"/>
  <c r="D785" i="6"/>
  <c r="F785" i="6"/>
  <c r="A786" i="6"/>
  <c r="F786" i="6" s="1"/>
  <c r="A787" i="6"/>
  <c r="D787" i="6" s="1"/>
  <c r="E787" i="6"/>
  <c r="F787" i="6"/>
  <c r="A788" i="6"/>
  <c r="C788" i="6"/>
  <c r="D788" i="6"/>
  <c r="E788" i="6"/>
  <c r="F788" i="6"/>
  <c r="A789" i="6"/>
  <c r="E789" i="6" s="1"/>
  <c r="C789" i="6"/>
  <c r="D789" i="6"/>
  <c r="F789" i="6"/>
  <c r="A790" i="6"/>
  <c r="F790" i="6" s="1"/>
  <c r="A791" i="6"/>
  <c r="D791" i="6" s="1"/>
  <c r="E791" i="6"/>
  <c r="F791" i="6"/>
  <c r="A792" i="6"/>
  <c r="C792" i="6"/>
  <c r="D792" i="6"/>
  <c r="E792" i="6"/>
  <c r="F792" i="6"/>
  <c r="A793" i="6"/>
  <c r="E793" i="6" s="1"/>
  <c r="C793" i="6"/>
  <c r="D793" i="6"/>
  <c r="F793" i="6"/>
  <c r="A794" i="6"/>
  <c r="F794" i="6" s="1"/>
  <c r="A795" i="6"/>
  <c r="D795" i="6" s="1"/>
  <c r="E795" i="6"/>
  <c r="F795" i="6"/>
  <c r="A796" i="6"/>
  <c r="C796" i="6"/>
  <c r="D796" i="6"/>
  <c r="E796" i="6"/>
  <c r="F796" i="6"/>
  <c r="A797" i="6"/>
  <c r="E797" i="6" s="1"/>
  <c r="C797" i="6"/>
  <c r="D797" i="6"/>
  <c r="F797" i="6"/>
  <c r="A798" i="6"/>
  <c r="F798" i="6" s="1"/>
  <c r="A799" i="6"/>
  <c r="D799" i="6" s="1"/>
  <c r="E799" i="6"/>
  <c r="F799" i="6"/>
  <c r="A800" i="6"/>
  <c r="C800" i="6"/>
  <c r="D800" i="6"/>
  <c r="E800" i="6"/>
  <c r="F800" i="6"/>
  <c r="A801" i="6"/>
  <c r="E801" i="6" s="1"/>
  <c r="C801" i="6"/>
  <c r="D801" i="6"/>
  <c r="F801" i="6"/>
  <c r="A802" i="6"/>
  <c r="F802" i="6" s="1"/>
  <c r="A803" i="6"/>
  <c r="D803" i="6" s="1"/>
  <c r="E803" i="6"/>
  <c r="F803" i="6"/>
  <c r="A804" i="6"/>
  <c r="C804" i="6"/>
  <c r="D804" i="6"/>
  <c r="E804" i="6"/>
  <c r="F804" i="6"/>
  <c r="G805" i="6"/>
  <c r="G810" i="6"/>
  <c r="A815" i="6"/>
  <c r="E815" i="6" s="1"/>
  <c r="C815" i="6"/>
  <c r="D815" i="6"/>
  <c r="F815" i="6"/>
  <c r="A816" i="6"/>
  <c r="F816" i="6" s="1"/>
  <c r="A817" i="6"/>
  <c r="D817" i="6" s="1"/>
  <c r="E817" i="6"/>
  <c r="F817" i="6"/>
  <c r="A818" i="6"/>
  <c r="C818" i="6"/>
  <c r="D818" i="6"/>
  <c r="E818" i="6"/>
  <c r="F818" i="6"/>
  <c r="A819" i="6"/>
  <c r="E819" i="6" s="1"/>
  <c r="C819" i="6"/>
  <c r="D819" i="6"/>
  <c r="F819" i="6"/>
  <c r="A820" i="6"/>
  <c r="F820" i="6" s="1"/>
  <c r="G821" i="6"/>
  <c r="G826" i="6"/>
  <c r="A831" i="6"/>
  <c r="D831" i="6" s="1"/>
  <c r="E831" i="6"/>
  <c r="F831" i="6"/>
  <c r="A832" i="6"/>
  <c r="C832" i="6"/>
  <c r="D832" i="6"/>
  <c r="E832" i="6"/>
  <c r="F832" i="6"/>
  <c r="A833" i="6"/>
  <c r="E833" i="6" s="1"/>
  <c r="C833" i="6"/>
  <c r="D833" i="6"/>
  <c r="F833" i="6"/>
  <c r="A834" i="6"/>
  <c r="F834" i="6"/>
  <c r="A835" i="6"/>
  <c r="D835" i="6" s="1"/>
  <c r="E835" i="6"/>
  <c r="F835" i="6"/>
  <c r="A836" i="6"/>
  <c r="C836" i="6"/>
  <c r="D836" i="6"/>
  <c r="E836" i="6"/>
  <c r="F836" i="6"/>
  <c r="A837" i="6"/>
  <c r="E837" i="6" s="1"/>
  <c r="C837" i="6"/>
  <c r="D837" i="6"/>
  <c r="F837" i="6"/>
  <c r="A838" i="6"/>
  <c r="F838" i="6"/>
  <c r="A839" i="6"/>
  <c r="D839" i="6" s="1"/>
  <c r="E839" i="6"/>
  <c r="F839" i="6"/>
  <c r="A840" i="6"/>
  <c r="C840" i="6"/>
  <c r="D840" i="6"/>
  <c r="E840" i="6"/>
  <c r="F840" i="6"/>
  <c r="A841" i="6"/>
  <c r="E841" i="6" s="1"/>
  <c r="C841" i="6"/>
  <c r="D841" i="6"/>
  <c r="F841" i="6"/>
  <c r="A842" i="6"/>
  <c r="F842" i="6"/>
  <c r="A843" i="6"/>
  <c r="D843" i="6" s="1"/>
  <c r="E843" i="6"/>
  <c r="F843" i="6"/>
  <c r="A844" i="6"/>
  <c r="C844" i="6"/>
  <c r="D844" i="6"/>
  <c r="E844" i="6"/>
  <c r="F844" i="6"/>
  <c r="A845" i="6"/>
  <c r="E845" i="6" s="1"/>
  <c r="C845" i="6"/>
  <c r="D845" i="6"/>
  <c r="F845" i="6"/>
  <c r="A846" i="6"/>
  <c r="F846" i="6"/>
  <c r="A847" i="6"/>
  <c r="D847" i="6" s="1"/>
  <c r="E847" i="6"/>
  <c r="F847" i="6"/>
  <c r="A848" i="6"/>
  <c r="C848" i="6"/>
  <c r="D848" i="6"/>
  <c r="E848" i="6"/>
  <c r="F848" i="6"/>
  <c r="A849" i="6"/>
  <c r="E849" i="6" s="1"/>
  <c r="C849" i="6"/>
  <c r="D849" i="6"/>
  <c r="F849" i="6"/>
  <c r="A850" i="6"/>
  <c r="F850" i="6"/>
  <c r="A851" i="6"/>
  <c r="D851" i="6" s="1"/>
  <c r="E851" i="6"/>
  <c r="F851" i="6"/>
  <c r="A852" i="6"/>
  <c r="C852" i="6"/>
  <c r="D852" i="6"/>
  <c r="E852" i="6"/>
  <c r="F852" i="6"/>
  <c r="A853" i="6"/>
  <c r="E853" i="6" s="1"/>
  <c r="C853" i="6"/>
  <c r="D853" i="6"/>
  <c r="F853" i="6"/>
  <c r="A854" i="6"/>
  <c r="F854" i="6"/>
  <c r="A855" i="6"/>
  <c r="D855" i="6" s="1"/>
  <c r="E855" i="6"/>
  <c r="F855" i="6"/>
  <c r="A856" i="6"/>
  <c r="C856" i="6"/>
  <c r="D856" i="6"/>
  <c r="E856" i="6"/>
  <c r="F856" i="6"/>
  <c r="A857" i="6"/>
  <c r="E857" i="6" s="1"/>
  <c r="C857" i="6"/>
  <c r="D857" i="6"/>
  <c r="F857" i="6"/>
  <c r="G858" i="6"/>
  <c r="G863" i="6"/>
  <c r="A868" i="6"/>
  <c r="F868" i="6" s="1"/>
  <c r="A869" i="6"/>
  <c r="D869" i="6" s="1"/>
  <c r="E869" i="6"/>
  <c r="F869" i="6"/>
  <c r="A870" i="6"/>
  <c r="C870" i="6"/>
  <c r="D870" i="6"/>
  <c r="E870" i="6"/>
  <c r="F870" i="6"/>
  <c r="A871" i="6"/>
  <c r="E871" i="6" s="1"/>
  <c r="C871" i="6"/>
  <c r="D871" i="6"/>
  <c r="F871" i="6"/>
  <c r="A872" i="6"/>
  <c r="F872" i="6" s="1"/>
  <c r="A873" i="6"/>
  <c r="D873" i="6" s="1"/>
  <c r="E873" i="6"/>
  <c r="F873" i="6"/>
  <c r="A874" i="6"/>
  <c r="C874" i="6"/>
  <c r="D874" i="6"/>
  <c r="E874" i="6"/>
  <c r="F874" i="6"/>
  <c r="A875" i="6"/>
  <c r="E875" i="6" s="1"/>
  <c r="C875" i="6"/>
  <c r="D875" i="6"/>
  <c r="F875" i="6"/>
  <c r="A876" i="6"/>
  <c r="F876" i="6" s="1"/>
  <c r="G877" i="6"/>
  <c r="G882" i="6"/>
  <c r="A887" i="6"/>
  <c r="D887" i="6" s="1"/>
  <c r="E887" i="6"/>
  <c r="F887" i="6"/>
  <c r="A888" i="6"/>
  <c r="C888" i="6"/>
  <c r="D888" i="6"/>
  <c r="E888" i="6"/>
  <c r="F888" i="6"/>
  <c r="A889" i="6"/>
  <c r="E889" i="6" s="1"/>
  <c r="C889" i="6"/>
  <c r="D889" i="6"/>
  <c r="F889" i="6"/>
  <c r="A890" i="6"/>
  <c r="F890" i="6"/>
  <c r="A891" i="6"/>
  <c r="D891" i="6" s="1"/>
  <c r="E891" i="6"/>
  <c r="F891" i="6"/>
  <c r="A892" i="6"/>
  <c r="C892" i="6"/>
  <c r="D892" i="6"/>
  <c r="E892" i="6"/>
  <c r="F892" i="6"/>
  <c r="A893" i="6"/>
  <c r="E893" i="6" s="1"/>
  <c r="C893" i="6"/>
  <c r="D893" i="6"/>
  <c r="F893" i="6"/>
  <c r="A894" i="6"/>
  <c r="F894" i="6"/>
  <c r="A895" i="6"/>
  <c r="D895" i="6" s="1"/>
  <c r="E895" i="6"/>
  <c r="F895" i="6"/>
  <c r="G896" i="6"/>
  <c r="G901" i="6"/>
  <c r="A906" i="6"/>
  <c r="C906" i="6"/>
  <c r="D906" i="6"/>
  <c r="E906" i="6"/>
  <c r="F906" i="6"/>
  <c r="A907" i="6"/>
  <c r="E907" i="6" s="1"/>
  <c r="C907" i="6"/>
  <c r="D907" i="6"/>
  <c r="F907" i="6"/>
  <c r="A908" i="6"/>
  <c r="F908" i="6"/>
  <c r="A909" i="6"/>
  <c r="D909" i="6" s="1"/>
  <c r="E909" i="6"/>
  <c r="F909" i="6"/>
  <c r="A910" i="6"/>
  <c r="C910" i="6"/>
  <c r="D910" i="6"/>
  <c r="E910" i="6"/>
  <c r="F910" i="6"/>
  <c r="A911" i="6"/>
  <c r="E911" i="6" s="1"/>
  <c r="C911" i="6"/>
  <c r="D911" i="6"/>
  <c r="F911" i="6"/>
  <c r="A912" i="6"/>
  <c r="F912" i="6"/>
  <c r="A913" i="6"/>
  <c r="D913" i="6" s="1"/>
  <c r="E913" i="6"/>
  <c r="F913" i="6"/>
  <c r="G914" i="6"/>
  <c r="G919" i="6"/>
  <c r="A924" i="6"/>
  <c r="C924" i="6"/>
  <c r="D924" i="6"/>
  <c r="E924" i="6"/>
  <c r="F924" i="6"/>
  <c r="A925" i="6"/>
  <c r="E925" i="6" s="1"/>
  <c r="C925" i="6"/>
  <c r="D925" i="6"/>
  <c r="F925" i="6"/>
  <c r="F926" i="6" s="1"/>
  <c r="G926" i="6"/>
  <c r="G931" i="6"/>
  <c r="A936" i="6"/>
  <c r="F936" i="6" s="1"/>
  <c r="A937" i="6"/>
  <c r="D937" i="6" s="1"/>
  <c r="E937" i="6"/>
  <c r="F937" i="6"/>
  <c r="A938" i="6"/>
  <c r="C938" i="6"/>
  <c r="D938" i="6"/>
  <c r="E938" i="6"/>
  <c r="F938" i="6"/>
  <c r="A939" i="6"/>
  <c r="E939" i="6" s="1"/>
  <c r="C939" i="6"/>
  <c r="D939" i="6"/>
  <c r="F939" i="6"/>
  <c r="A940" i="6"/>
  <c r="F940" i="6" s="1"/>
  <c r="A941" i="6"/>
  <c r="D941" i="6" s="1"/>
  <c r="E941" i="6"/>
  <c r="F941" i="6"/>
  <c r="A942" i="6"/>
  <c r="C942" i="6"/>
  <c r="D942" i="6"/>
  <c r="E942" i="6"/>
  <c r="F942" i="6"/>
  <c r="A943" i="6"/>
  <c r="E943" i="6" s="1"/>
  <c r="C943" i="6"/>
  <c r="D943" i="6"/>
  <c r="F943" i="6"/>
  <c r="A944" i="6"/>
  <c r="F944" i="6" s="1"/>
  <c r="A945" i="6"/>
  <c r="D945" i="6" s="1"/>
  <c r="E945" i="6"/>
  <c r="F945" i="6"/>
  <c r="A946" i="6"/>
  <c r="C946" i="6"/>
  <c r="D946" i="6"/>
  <c r="E946" i="6"/>
  <c r="F946" i="6"/>
  <c r="A947" i="6"/>
  <c r="E947" i="6" s="1"/>
  <c r="C947" i="6"/>
  <c r="D947" i="6"/>
  <c r="F947" i="6"/>
  <c r="G948" i="6"/>
  <c r="G953" i="6"/>
  <c r="A958" i="6"/>
  <c r="F958" i="6"/>
  <c r="A959" i="6"/>
  <c r="D959" i="6" s="1"/>
  <c r="E959" i="6"/>
  <c r="F959" i="6"/>
  <c r="A960" i="6"/>
  <c r="C960" i="6"/>
  <c r="D960" i="6"/>
  <c r="E960" i="6"/>
  <c r="F960" i="6"/>
  <c r="A961" i="6"/>
  <c r="E961" i="6" s="1"/>
  <c r="C961" i="6"/>
  <c r="D961" i="6"/>
  <c r="F961" i="6"/>
  <c r="A962" i="6"/>
  <c r="F962" i="6"/>
  <c r="A963" i="6"/>
  <c r="D963" i="6" s="1"/>
  <c r="E963" i="6"/>
  <c r="F963" i="6"/>
  <c r="A964" i="6"/>
  <c r="C964" i="6"/>
  <c r="D964" i="6"/>
  <c r="E964" i="6"/>
  <c r="F964" i="6"/>
  <c r="G965" i="6"/>
  <c r="G970" i="6"/>
  <c r="A975" i="6"/>
  <c r="E975" i="6" s="1"/>
  <c r="C975" i="6"/>
  <c r="D975" i="6"/>
  <c r="F975" i="6"/>
  <c r="A976" i="6"/>
  <c r="F976" i="6"/>
  <c r="A977" i="6"/>
  <c r="D977" i="6" s="1"/>
  <c r="E977" i="6"/>
  <c r="F977" i="6"/>
  <c r="A978" i="6"/>
  <c r="C978" i="6"/>
  <c r="D978" i="6"/>
  <c r="E978" i="6"/>
  <c r="F978" i="6"/>
  <c r="A979" i="6"/>
  <c r="E979" i="6" s="1"/>
  <c r="C979" i="6"/>
  <c r="D979" i="6"/>
  <c r="F979" i="6"/>
  <c r="A980" i="6"/>
  <c r="F980" i="6"/>
  <c r="A981" i="6"/>
  <c r="D981" i="6" s="1"/>
  <c r="E981" i="6"/>
  <c r="F981" i="6"/>
  <c r="A982" i="6"/>
  <c r="C982" i="6"/>
  <c r="D982" i="6"/>
  <c r="E982" i="6"/>
  <c r="F982" i="6"/>
  <c r="G983" i="6"/>
  <c r="G988" i="6"/>
  <c r="A993" i="6"/>
  <c r="E993" i="6" s="1"/>
  <c r="C993" i="6"/>
  <c r="D993" i="6"/>
  <c r="F993" i="6"/>
  <c r="A994" i="6"/>
  <c r="F994" i="6"/>
  <c r="A995" i="6"/>
  <c r="D995" i="6" s="1"/>
  <c r="E995" i="6"/>
  <c r="F995" i="6"/>
  <c r="A996" i="6"/>
  <c r="C996" i="6"/>
  <c r="D996" i="6"/>
  <c r="E996" i="6"/>
  <c r="F996" i="6"/>
  <c r="A997" i="6"/>
  <c r="E997" i="6" s="1"/>
  <c r="C997" i="6"/>
  <c r="D997" i="6"/>
  <c r="F997" i="6"/>
  <c r="A998" i="6"/>
  <c r="F998" i="6"/>
  <c r="A999" i="6"/>
  <c r="D999" i="6" s="1"/>
  <c r="E999" i="6"/>
  <c r="F999" i="6"/>
  <c r="A1000" i="6"/>
  <c r="C1000" i="6"/>
  <c r="D1000" i="6"/>
  <c r="E1000" i="6"/>
  <c r="F1000" i="6"/>
  <c r="G1001" i="6"/>
  <c r="G1006" i="6"/>
  <c r="A1011" i="6"/>
  <c r="E1011" i="6" s="1"/>
  <c r="C1011" i="6"/>
  <c r="D1011" i="6"/>
  <c r="F1011" i="6"/>
  <c r="A1012" i="6"/>
  <c r="F1012" i="6"/>
  <c r="A1013" i="6"/>
  <c r="D1013" i="6" s="1"/>
  <c r="E1013" i="6"/>
  <c r="F1013" i="6"/>
  <c r="A1014" i="6"/>
  <c r="C1014" i="6"/>
  <c r="D1014" i="6"/>
  <c r="E1014" i="6"/>
  <c r="F1014" i="6"/>
  <c r="A1015" i="6"/>
  <c r="E1015" i="6" s="1"/>
  <c r="C1015" i="6"/>
  <c r="D1015" i="6"/>
  <c r="F1015" i="6"/>
  <c r="A1016" i="6"/>
  <c r="F1016" i="6"/>
  <c r="A1017" i="6"/>
  <c r="D1017" i="6" s="1"/>
  <c r="E1017" i="6"/>
  <c r="F1017" i="6"/>
  <c r="G1018" i="6"/>
  <c r="G1023" i="6"/>
  <c r="A1028" i="6"/>
  <c r="C1028" i="6"/>
  <c r="D1028" i="6"/>
  <c r="E1028" i="6"/>
  <c r="F1028" i="6"/>
  <c r="A1029" i="6"/>
  <c r="E1029" i="6" s="1"/>
  <c r="C1029" i="6"/>
  <c r="D1029" i="6"/>
  <c r="F1029" i="6"/>
  <c r="A1030" i="6"/>
  <c r="F1030" i="6"/>
  <c r="A1031" i="6"/>
  <c r="D1031" i="6" s="1"/>
  <c r="E1031" i="6"/>
  <c r="F1031" i="6"/>
  <c r="A1032" i="6"/>
  <c r="C1032" i="6"/>
  <c r="D1032" i="6"/>
  <c r="E1032" i="6"/>
  <c r="F1032" i="6"/>
  <c r="A1033" i="6"/>
  <c r="E1033" i="6" s="1"/>
  <c r="C1033" i="6"/>
  <c r="D1033" i="6"/>
  <c r="F1033" i="6"/>
  <c r="A1034" i="6"/>
  <c r="F1034" i="6"/>
  <c r="A1035" i="6"/>
  <c r="D1035" i="6" s="1"/>
  <c r="E1035" i="6"/>
  <c r="F1035" i="6"/>
  <c r="A1036" i="6"/>
  <c r="C1036" i="6"/>
  <c r="D1036" i="6"/>
  <c r="E1036" i="6"/>
  <c r="F1036" i="6"/>
  <c r="G1037" i="6"/>
  <c r="G1042" i="6"/>
  <c r="A1047" i="6"/>
  <c r="E1047" i="6" s="1"/>
  <c r="C1047" i="6"/>
  <c r="D1047" i="6"/>
  <c r="F1047" i="6"/>
  <c r="A1048" i="6"/>
  <c r="F1048" i="6"/>
  <c r="A1049" i="6"/>
  <c r="D1049" i="6" s="1"/>
  <c r="E1049" i="6"/>
  <c r="F1049" i="6"/>
  <c r="A1050" i="6"/>
  <c r="C1050" i="6"/>
  <c r="D1050" i="6"/>
  <c r="E1050" i="6"/>
  <c r="F1050" i="6"/>
  <c r="A1051" i="6"/>
  <c r="E1051" i="6" s="1"/>
  <c r="C1051" i="6"/>
  <c r="D1051" i="6"/>
  <c r="F1051" i="6"/>
  <c r="A1052" i="6"/>
  <c r="F1052" i="6"/>
  <c r="A1053" i="6"/>
  <c r="D1053" i="6" s="1"/>
  <c r="E1053" i="6"/>
  <c r="F1053" i="6"/>
  <c r="A1054" i="6"/>
  <c r="C1054" i="6"/>
  <c r="D1054" i="6"/>
  <c r="E1054" i="6"/>
  <c r="F1054" i="6"/>
  <c r="A1055" i="6"/>
  <c r="E1055" i="6" s="1"/>
  <c r="C1055" i="6"/>
  <c r="D1055" i="6"/>
  <c r="F1055" i="6"/>
  <c r="G1056" i="6"/>
  <c r="G1061" i="6"/>
  <c r="A1066" i="6"/>
  <c r="F1066" i="6" s="1"/>
  <c r="A1067" i="6"/>
  <c r="D1067" i="6" s="1"/>
  <c r="E1067" i="6"/>
  <c r="F1067" i="6"/>
  <c r="A1068" i="6"/>
  <c r="C1068" i="6"/>
  <c r="D1068" i="6"/>
  <c r="E1068" i="6"/>
  <c r="F1068" i="6"/>
  <c r="A1069" i="6"/>
  <c r="E1069" i="6" s="1"/>
  <c r="C1069" i="6"/>
  <c r="D1069" i="6"/>
  <c r="F1069" i="6"/>
  <c r="A1070" i="6"/>
  <c r="C1070" i="6" s="1"/>
  <c r="F1070" i="6"/>
  <c r="A1071" i="6"/>
  <c r="E1071" i="6"/>
  <c r="A1072" i="6"/>
  <c r="C1072" i="6"/>
  <c r="D1072" i="6"/>
  <c r="E1072" i="6"/>
  <c r="F1072" i="6"/>
  <c r="A1073" i="6"/>
  <c r="E1073" i="6" s="1"/>
  <c r="C1073" i="6"/>
  <c r="D1073" i="6"/>
  <c r="F1073" i="6"/>
  <c r="A1074" i="6"/>
  <c r="C1074" i="6"/>
  <c r="A1075" i="6"/>
  <c r="E1075" i="6" s="1"/>
  <c r="G1076" i="6"/>
  <c r="G1081" i="6"/>
  <c r="A1086" i="6"/>
  <c r="C1086" i="6"/>
  <c r="D1086" i="6"/>
  <c r="E1086" i="6"/>
  <c r="F1086" i="6"/>
  <c r="A1087" i="6"/>
  <c r="E1087" i="6" s="1"/>
  <c r="C1087" i="6"/>
  <c r="D1087" i="6"/>
  <c r="F1087" i="6"/>
  <c r="A1088" i="6"/>
  <c r="C1088" i="6"/>
  <c r="F1088" i="6"/>
  <c r="A1089" i="6"/>
  <c r="E1089" i="6" s="1"/>
  <c r="F1089" i="6"/>
  <c r="A1090" i="6"/>
  <c r="C1090" i="6"/>
  <c r="D1090" i="6"/>
  <c r="E1090" i="6"/>
  <c r="F1090" i="6"/>
  <c r="A1091" i="6"/>
  <c r="E1091" i="6" s="1"/>
  <c r="C1091" i="6"/>
  <c r="D1091" i="6"/>
  <c r="F1091" i="6"/>
  <c r="A1092" i="6"/>
  <c r="C1092" i="6" s="1"/>
  <c r="F1092" i="6"/>
  <c r="A1093" i="6"/>
  <c r="E1093" i="6"/>
  <c r="A1094" i="6"/>
  <c r="C1094" i="6"/>
  <c r="D1094" i="6"/>
  <c r="E1094" i="6"/>
  <c r="F1094" i="6"/>
  <c r="A1095" i="6"/>
  <c r="E1095" i="6" s="1"/>
  <c r="C1095" i="6"/>
  <c r="D1095" i="6"/>
  <c r="F1095" i="6"/>
  <c r="G1096" i="6"/>
  <c r="G1101" i="6"/>
  <c r="A1106" i="6"/>
  <c r="C1106" i="6" s="1"/>
  <c r="A1107" i="6"/>
  <c r="E1107" i="6"/>
  <c r="F1107" i="6"/>
  <c r="A1108" i="6"/>
  <c r="C1108" i="6"/>
  <c r="D1108" i="6"/>
  <c r="E1108" i="6"/>
  <c r="F1108" i="6"/>
  <c r="A1109" i="6"/>
  <c r="E1109" i="6" s="1"/>
  <c r="C1109" i="6"/>
  <c r="D1109" i="6"/>
  <c r="F1109" i="6"/>
  <c r="A1110" i="6"/>
  <c r="C1110" i="6"/>
  <c r="F1110" i="6"/>
  <c r="A1111" i="6"/>
  <c r="E1111" i="6" s="1"/>
  <c r="F1111" i="6"/>
  <c r="A1112" i="6"/>
  <c r="C1112" i="6"/>
  <c r="D1112" i="6"/>
  <c r="E1112" i="6"/>
  <c r="F1112" i="6"/>
  <c r="A1113" i="6"/>
  <c r="E1113" i="6" s="1"/>
  <c r="C1113" i="6"/>
  <c r="D1113" i="6"/>
  <c r="F1113" i="6"/>
  <c r="A1114" i="6"/>
  <c r="C1114" i="6" s="1"/>
  <c r="F1114" i="6"/>
  <c r="A1115" i="6"/>
  <c r="E1115" i="6"/>
  <c r="A1116" i="6"/>
  <c r="C1116" i="6"/>
  <c r="D1116" i="6"/>
  <c r="E1116" i="6"/>
  <c r="F1116" i="6"/>
  <c r="A1117" i="6"/>
  <c r="E1117" i="6" s="1"/>
  <c r="C1117" i="6"/>
  <c r="D1117" i="6"/>
  <c r="F1117" i="6"/>
  <c r="A1118" i="6"/>
  <c r="C1118" i="6"/>
  <c r="A1119" i="6"/>
  <c r="E1119" i="6" s="1"/>
  <c r="A1120" i="6"/>
  <c r="C1120" i="6"/>
  <c r="D1120" i="6"/>
  <c r="E1120" i="6"/>
  <c r="F1120" i="6"/>
  <c r="A1121" i="6"/>
  <c r="E1121" i="6" s="1"/>
  <c r="C1121" i="6"/>
  <c r="D1121" i="6"/>
  <c r="F1121" i="6"/>
  <c r="A1122" i="6"/>
  <c r="C1122" i="6" s="1"/>
  <c r="A1123" i="6"/>
  <c r="E1123" i="6"/>
  <c r="F1123" i="6"/>
  <c r="A1124" i="6"/>
  <c r="C1124" i="6"/>
  <c r="D1124" i="6"/>
  <c r="E1124" i="6"/>
  <c r="F1124" i="6"/>
  <c r="A1125" i="6"/>
  <c r="E1125" i="6" s="1"/>
  <c r="C1125" i="6"/>
  <c r="D1125" i="6"/>
  <c r="F1125" i="6"/>
  <c r="A1126" i="6"/>
  <c r="C1126" i="6"/>
  <c r="F1126" i="6"/>
  <c r="A1127" i="6"/>
  <c r="E1127" i="6" s="1"/>
  <c r="F1127" i="6"/>
  <c r="A1128" i="6"/>
  <c r="C1128" i="6"/>
  <c r="D1128" i="6"/>
  <c r="E1128" i="6"/>
  <c r="F1128" i="6"/>
  <c r="A1129" i="6"/>
  <c r="E1129" i="6" s="1"/>
  <c r="C1129" i="6"/>
  <c r="D1129" i="6"/>
  <c r="F1129" i="6"/>
  <c r="A1130" i="6"/>
  <c r="C1130" i="6" s="1"/>
  <c r="F1130" i="6"/>
  <c r="A1131" i="6"/>
  <c r="E1131" i="6"/>
  <c r="G1132" i="6"/>
  <c r="G1137" i="6"/>
  <c r="A1142" i="6"/>
  <c r="C1142" i="6"/>
  <c r="D1142" i="6"/>
  <c r="E1142" i="6"/>
  <c r="F1142" i="6"/>
  <c r="A1143" i="6"/>
  <c r="E1143" i="6" s="1"/>
  <c r="C1143" i="6"/>
  <c r="D1143" i="6"/>
  <c r="F1143" i="6"/>
  <c r="A1144" i="6"/>
  <c r="C1144" i="6" s="1"/>
  <c r="A1145" i="6"/>
  <c r="E1145" i="6"/>
  <c r="F1145" i="6"/>
  <c r="A1146" i="6"/>
  <c r="C1146" i="6"/>
  <c r="D1146" i="6"/>
  <c r="E1146" i="6"/>
  <c r="F1146" i="6"/>
  <c r="A1147" i="6"/>
  <c r="E1147" i="6" s="1"/>
  <c r="C1147" i="6"/>
  <c r="D1147" i="6"/>
  <c r="F1147" i="6"/>
  <c r="A1148" i="6"/>
  <c r="C1148" i="6"/>
  <c r="F1148" i="6"/>
  <c r="A1149" i="6"/>
  <c r="E1149" i="6" s="1"/>
  <c r="F1149" i="6"/>
  <c r="A1150" i="6"/>
  <c r="C1150" i="6"/>
  <c r="D1150" i="6"/>
  <c r="E1150" i="6"/>
  <c r="F1150" i="6"/>
  <c r="A1151" i="6"/>
  <c r="E1151" i="6" s="1"/>
  <c r="C1151" i="6"/>
  <c r="D1151" i="6"/>
  <c r="F1151" i="6"/>
  <c r="A1152" i="6"/>
  <c r="C1152" i="6" s="1"/>
  <c r="F1152" i="6"/>
  <c r="A1153" i="6"/>
  <c r="E1153" i="6"/>
  <c r="A1154" i="6"/>
  <c r="C1154" i="6"/>
  <c r="D1154" i="6"/>
  <c r="E1154" i="6"/>
  <c r="F1154" i="6"/>
  <c r="A1155" i="6"/>
  <c r="E1155" i="6" s="1"/>
  <c r="C1155" i="6"/>
  <c r="D1155" i="6"/>
  <c r="F1155" i="6"/>
  <c r="A1156" i="6"/>
  <c r="C1156" i="6"/>
  <c r="A1157" i="6"/>
  <c r="E1157" i="6" s="1"/>
  <c r="A1158" i="6"/>
  <c r="C1158" i="6"/>
  <c r="D1158" i="6"/>
  <c r="E1158" i="6"/>
  <c r="F1158" i="6"/>
  <c r="A1159" i="6"/>
  <c r="E1159" i="6" s="1"/>
  <c r="C1159" i="6"/>
  <c r="D1159" i="6"/>
  <c r="F1159" i="6"/>
  <c r="A1160" i="6"/>
  <c r="C1160" i="6" s="1"/>
  <c r="A1161" i="6"/>
  <c r="E1161" i="6"/>
  <c r="F1161" i="6"/>
  <c r="A1162" i="6"/>
  <c r="C1162" i="6"/>
  <c r="D1162" i="6"/>
  <c r="E1162" i="6"/>
  <c r="F1162" i="6"/>
  <c r="A1163" i="6"/>
  <c r="E1163" i="6" s="1"/>
  <c r="C1163" i="6"/>
  <c r="D1163" i="6"/>
  <c r="F1163" i="6"/>
  <c r="A1164" i="6"/>
  <c r="C1164" i="6"/>
  <c r="F1164" i="6"/>
  <c r="A1165" i="6"/>
  <c r="E1165" i="6" s="1"/>
  <c r="F1165" i="6"/>
  <c r="A1166" i="6"/>
  <c r="C1166" i="6"/>
  <c r="D1166" i="6"/>
  <c r="E1166" i="6"/>
  <c r="F1166" i="6"/>
  <c r="A1167" i="6"/>
  <c r="E1167" i="6" s="1"/>
  <c r="C1167" i="6"/>
  <c r="D1167" i="6"/>
  <c r="F1167" i="6"/>
  <c r="A1168" i="6"/>
  <c r="C1168" i="6" s="1"/>
  <c r="F1168" i="6"/>
  <c r="A1169" i="6"/>
  <c r="E1169" i="6"/>
  <c r="A1170" i="6"/>
  <c r="C1170" i="6"/>
  <c r="D1170" i="6"/>
  <c r="E1170" i="6"/>
  <c r="F1170" i="6"/>
  <c r="A1171" i="6"/>
  <c r="E1171" i="6" s="1"/>
  <c r="C1171" i="6"/>
  <c r="D1171" i="6"/>
  <c r="F1171" i="6"/>
  <c r="A1172" i="6"/>
  <c r="C1172" i="6"/>
  <c r="A1173" i="6"/>
  <c r="E1173" i="6" s="1"/>
  <c r="A1174" i="6"/>
  <c r="C1174" i="6"/>
  <c r="D1174" i="6"/>
  <c r="E1174" i="6"/>
  <c r="F1174" i="6"/>
  <c r="A1175" i="6"/>
  <c r="E1175" i="6" s="1"/>
  <c r="C1175" i="6"/>
  <c r="D1175" i="6"/>
  <c r="F1175" i="6"/>
  <c r="A1176" i="6"/>
  <c r="C1176" i="6" s="1"/>
  <c r="A1177" i="6"/>
  <c r="E1177" i="6"/>
  <c r="F1177" i="6"/>
  <c r="A1178" i="6"/>
  <c r="C1178" i="6"/>
  <c r="D1178" i="6"/>
  <c r="E1178" i="6"/>
  <c r="F1178" i="6"/>
  <c r="A1179" i="6"/>
  <c r="E1179" i="6" s="1"/>
  <c r="C1179" i="6"/>
  <c r="D1179" i="6"/>
  <c r="F1179" i="6"/>
  <c r="A1180" i="6"/>
  <c r="C1180" i="6"/>
  <c r="F1180" i="6"/>
  <c r="A1181" i="6"/>
  <c r="E1181" i="6" s="1"/>
  <c r="F1181" i="6"/>
  <c r="A1182" i="6"/>
  <c r="C1182" i="6"/>
  <c r="D1182" i="6"/>
  <c r="E1182" i="6"/>
  <c r="F1182" i="6"/>
  <c r="A1183" i="6"/>
  <c r="E1183" i="6" s="1"/>
  <c r="C1183" i="6"/>
  <c r="D1183" i="6"/>
  <c r="F1183" i="6"/>
  <c r="A1184" i="6"/>
  <c r="C1184" i="6" s="1"/>
  <c r="F1184" i="6"/>
  <c r="A1185" i="6"/>
  <c r="E1185" i="6"/>
  <c r="A1186" i="6"/>
  <c r="C1186" i="6"/>
  <c r="D1186" i="6"/>
  <c r="E1186" i="6"/>
  <c r="F1186" i="6"/>
  <c r="A1187" i="6"/>
  <c r="E1187" i="6" s="1"/>
  <c r="C1187" i="6"/>
  <c r="D1187" i="6"/>
  <c r="F1187" i="6"/>
  <c r="A1188" i="6"/>
  <c r="C1188" i="6"/>
  <c r="A1189" i="6"/>
  <c r="E1189" i="6" s="1"/>
  <c r="A1190" i="6"/>
  <c r="C1190" i="6"/>
  <c r="D1190" i="6"/>
  <c r="E1190" i="6"/>
  <c r="F1190" i="6"/>
  <c r="A1191" i="6"/>
  <c r="E1191" i="6" s="1"/>
  <c r="C1191" i="6"/>
  <c r="D1191" i="6"/>
  <c r="F1191" i="6"/>
  <c r="A1192" i="6"/>
  <c r="C1192" i="6" s="1"/>
  <c r="A1193" i="6"/>
  <c r="E1193" i="6"/>
  <c r="F1193" i="6"/>
  <c r="A1194" i="6"/>
  <c r="C1194" i="6"/>
  <c r="D1194" i="6"/>
  <c r="E1194" i="6"/>
  <c r="F1194" i="6"/>
  <c r="A1195" i="6"/>
  <c r="E1195" i="6" s="1"/>
  <c r="C1195" i="6"/>
  <c r="D1195" i="6"/>
  <c r="F1195" i="6"/>
  <c r="A1196" i="6"/>
  <c r="C1196" i="6"/>
  <c r="F1196" i="6"/>
  <c r="A1197" i="6"/>
  <c r="E1197" i="6" s="1"/>
  <c r="F1197" i="6"/>
  <c r="A1198" i="6"/>
  <c r="C1198" i="6"/>
  <c r="D1198" i="6"/>
  <c r="E1198" i="6"/>
  <c r="F1198" i="6"/>
  <c r="A1199" i="6"/>
  <c r="E1199" i="6" s="1"/>
  <c r="C1199" i="6"/>
  <c r="D1199" i="6"/>
  <c r="F1199" i="6"/>
  <c r="A1200" i="6"/>
  <c r="C1200" i="6" s="1"/>
  <c r="F1200" i="6"/>
  <c r="A1201" i="6"/>
  <c r="E1201" i="6"/>
  <c r="A1202" i="6"/>
  <c r="C1202" i="6"/>
  <c r="D1202" i="6"/>
  <c r="E1202" i="6"/>
  <c r="F1202" i="6"/>
  <c r="A1203" i="6"/>
  <c r="E1203" i="6" s="1"/>
  <c r="C1203" i="6"/>
  <c r="D1203" i="6"/>
  <c r="F1203" i="6"/>
  <c r="A1204" i="6"/>
  <c r="C1204" i="6"/>
  <c r="A1205" i="6"/>
  <c r="E1205" i="6" s="1"/>
  <c r="A1206" i="6"/>
  <c r="C1206" i="6"/>
  <c r="D1206" i="6"/>
  <c r="E1206" i="6"/>
  <c r="F1206" i="6"/>
  <c r="A1207" i="6"/>
  <c r="E1207" i="6" s="1"/>
  <c r="A1208" i="6"/>
  <c r="D1208" i="6" s="1"/>
  <c r="G1209" i="6"/>
  <c r="G1214" i="6"/>
  <c r="A1219" i="6"/>
  <c r="C1219" i="6" s="1"/>
  <c r="A1220" i="6"/>
  <c r="C1220" i="6"/>
  <c r="D1220" i="6"/>
  <c r="E1220" i="6"/>
  <c r="F1220" i="6"/>
  <c r="A1221" i="6"/>
  <c r="E1221" i="6" s="1"/>
  <c r="C1221" i="6"/>
  <c r="F1221" i="6"/>
  <c r="A1222" i="6"/>
  <c r="D1222" i="6" s="1"/>
  <c r="C1222" i="6"/>
  <c r="F1222" i="6"/>
  <c r="A1223" i="6"/>
  <c r="C1223" i="6" s="1"/>
  <c r="D1223" i="6"/>
  <c r="F1223" i="6"/>
  <c r="A1224" i="6"/>
  <c r="C1224" i="6"/>
  <c r="D1224" i="6"/>
  <c r="E1224" i="6"/>
  <c r="F1224" i="6"/>
  <c r="A1225" i="6"/>
  <c r="E1225" i="6" s="1"/>
  <c r="D1225" i="6"/>
  <c r="A1226" i="6"/>
  <c r="D1226" i="6" s="1"/>
  <c r="E1226" i="6"/>
  <c r="A1227" i="6"/>
  <c r="C1227" i="6" s="1"/>
  <c r="E1227" i="6"/>
  <c r="A1228" i="6"/>
  <c r="C1228" i="6"/>
  <c r="D1228" i="6"/>
  <c r="E1228" i="6"/>
  <c r="F1228" i="6"/>
  <c r="A1229" i="6"/>
  <c r="E1229" i="6" s="1"/>
  <c r="C1229" i="6"/>
  <c r="D1229" i="6"/>
  <c r="F1229" i="6"/>
  <c r="A1230" i="6"/>
  <c r="D1230" i="6" s="1"/>
  <c r="C1230" i="6"/>
  <c r="E1230" i="6"/>
  <c r="F1230" i="6"/>
  <c r="A1231" i="6"/>
  <c r="C1231" i="6" s="1"/>
  <c r="D1231" i="6"/>
  <c r="E1231" i="6"/>
  <c r="F1231" i="6"/>
  <c r="A1232" i="6"/>
  <c r="C1232" i="6"/>
  <c r="D1232" i="6"/>
  <c r="E1232" i="6"/>
  <c r="F1232" i="6"/>
  <c r="A1233" i="6"/>
  <c r="E1233" i="6" s="1"/>
  <c r="A1234" i="6"/>
  <c r="A1235" i="6"/>
  <c r="A1236" i="6"/>
  <c r="C1236" i="6"/>
  <c r="D1236" i="6"/>
  <c r="E1236" i="6"/>
  <c r="F1236" i="6"/>
  <c r="A1237" i="6"/>
  <c r="E1237" i="6" s="1"/>
  <c r="C1237" i="6"/>
  <c r="F1237" i="6"/>
  <c r="A1238" i="6"/>
  <c r="D1238" i="6" s="1"/>
  <c r="C1238" i="6"/>
  <c r="F1238" i="6"/>
  <c r="A1239" i="6"/>
  <c r="C1239" i="6" s="1"/>
  <c r="D1239" i="6"/>
  <c r="F1239" i="6"/>
  <c r="A1240" i="6"/>
  <c r="C1240" i="6"/>
  <c r="D1240" i="6"/>
  <c r="E1240" i="6"/>
  <c r="F1240" i="6"/>
  <c r="A1241" i="6"/>
  <c r="E1241" i="6" s="1"/>
  <c r="D1241" i="6"/>
  <c r="A1242" i="6"/>
  <c r="D1242" i="6" s="1"/>
  <c r="E1242" i="6"/>
  <c r="A1243" i="6"/>
  <c r="C1243" i="6" s="1"/>
  <c r="E1243" i="6"/>
  <c r="A1244" i="6"/>
  <c r="C1244" i="6"/>
  <c r="D1244" i="6"/>
  <c r="E1244" i="6"/>
  <c r="F1244" i="6"/>
  <c r="A1245" i="6"/>
  <c r="E1245" i="6" s="1"/>
  <c r="C1245" i="6"/>
  <c r="D1245" i="6"/>
  <c r="F1245" i="6"/>
  <c r="A1246" i="6"/>
  <c r="D1246" i="6" s="1"/>
  <c r="C1246" i="6"/>
  <c r="E1246" i="6"/>
  <c r="F1246" i="6"/>
  <c r="A1247" i="6"/>
  <c r="C1247" i="6" s="1"/>
  <c r="D1247" i="6"/>
  <c r="E1247" i="6"/>
  <c r="F1247" i="6"/>
  <c r="A1248" i="6"/>
  <c r="C1248" i="6"/>
  <c r="D1248" i="6"/>
  <c r="E1248" i="6"/>
  <c r="F1248" i="6"/>
  <c r="A1249" i="6"/>
  <c r="A1250" i="6"/>
  <c r="A1251" i="6"/>
  <c r="A1252" i="6"/>
  <c r="C1252" i="6"/>
  <c r="D1252" i="6"/>
  <c r="E1252" i="6"/>
  <c r="F1252" i="6"/>
  <c r="A1253" i="6"/>
  <c r="E1253" i="6" s="1"/>
  <c r="C1253" i="6"/>
  <c r="F1253" i="6"/>
  <c r="A1254" i="6"/>
  <c r="D1254" i="6" s="1"/>
  <c r="C1254" i="6"/>
  <c r="F1254" i="6"/>
  <c r="A1255" i="6"/>
  <c r="C1255" i="6" s="1"/>
  <c r="D1255" i="6"/>
  <c r="F1255" i="6"/>
  <c r="A1256" i="6"/>
  <c r="C1256" i="6"/>
  <c r="D1256" i="6"/>
  <c r="E1256" i="6"/>
  <c r="F1256" i="6"/>
  <c r="A1257" i="6"/>
  <c r="E1257" i="6" s="1"/>
  <c r="D1257" i="6"/>
  <c r="A1258" i="6"/>
  <c r="D1258" i="6" s="1"/>
  <c r="E1258" i="6"/>
  <c r="A1259" i="6"/>
  <c r="C1259" i="6" s="1"/>
  <c r="E1259" i="6"/>
  <c r="A1260" i="6"/>
  <c r="C1260" i="6"/>
  <c r="D1260" i="6"/>
  <c r="E1260" i="6"/>
  <c r="F1260" i="6"/>
  <c r="A1261" i="6"/>
  <c r="E1261" i="6" s="1"/>
  <c r="C1261" i="6"/>
  <c r="D1261" i="6"/>
  <c r="F1261" i="6"/>
  <c r="A1262" i="6"/>
  <c r="D1262" i="6" s="1"/>
  <c r="C1262" i="6"/>
  <c r="E1262" i="6"/>
  <c r="F1262" i="6"/>
  <c r="A1263" i="6"/>
  <c r="C1263" i="6" s="1"/>
  <c r="D1263" i="6"/>
  <c r="E1263" i="6"/>
  <c r="F1263" i="6"/>
  <c r="A1264" i="6"/>
  <c r="C1264" i="6"/>
  <c r="D1264" i="6"/>
  <c r="E1264" i="6"/>
  <c r="F1264" i="6"/>
  <c r="A1265" i="6"/>
  <c r="A1266" i="6"/>
  <c r="A1267" i="6"/>
  <c r="G1268" i="6"/>
  <c r="G1273" i="6"/>
  <c r="A1278" i="6"/>
  <c r="C1278" i="6"/>
  <c r="D1278" i="6"/>
  <c r="E1278" i="6"/>
  <c r="F1278" i="6"/>
  <c r="A1279" i="6"/>
  <c r="A1280" i="6"/>
  <c r="E1280" i="6" s="1"/>
  <c r="A1281" i="6"/>
  <c r="A1282" i="6"/>
  <c r="C1282" i="6"/>
  <c r="D1282" i="6"/>
  <c r="E1282" i="6"/>
  <c r="F1282" i="6"/>
  <c r="A1283" i="6"/>
  <c r="E1283" i="6" s="1"/>
  <c r="C1283" i="6"/>
  <c r="F1283" i="6"/>
  <c r="A1284" i="6"/>
  <c r="D1284" i="6" s="1"/>
  <c r="C1284" i="6"/>
  <c r="F1284" i="6"/>
  <c r="A1285" i="6"/>
  <c r="C1285" i="6" s="1"/>
  <c r="D1285" i="6"/>
  <c r="F1285" i="6"/>
  <c r="A1286" i="6"/>
  <c r="C1286" i="6"/>
  <c r="D1286" i="6"/>
  <c r="E1286" i="6"/>
  <c r="F1286" i="6"/>
  <c r="A1287" i="6"/>
  <c r="D1287" i="6"/>
  <c r="A1288" i="6"/>
  <c r="E1288" i="6"/>
  <c r="A1289" i="6"/>
  <c r="E1289" i="6"/>
  <c r="A1290" i="6"/>
  <c r="C1290" i="6"/>
  <c r="D1290" i="6"/>
  <c r="E1290" i="6"/>
  <c r="F1290" i="6"/>
  <c r="A1291" i="6"/>
  <c r="E1291" i="6" s="1"/>
  <c r="C1291" i="6"/>
  <c r="D1291" i="6"/>
  <c r="F1291" i="6"/>
  <c r="A1292" i="6"/>
  <c r="D1292" i="6" s="1"/>
  <c r="C1292" i="6"/>
  <c r="E1292" i="6"/>
  <c r="F1292" i="6"/>
  <c r="A1293" i="6"/>
  <c r="C1293" i="6" s="1"/>
  <c r="D1293" i="6"/>
  <c r="E1293" i="6"/>
  <c r="F1293" i="6"/>
  <c r="A1294" i="6"/>
  <c r="C1294" i="6"/>
  <c r="D1294" i="6"/>
  <c r="E1294" i="6"/>
  <c r="F1294" i="6"/>
  <c r="A1295" i="6"/>
  <c r="D1295" i="6"/>
  <c r="A1296" i="6"/>
  <c r="E1296" i="6"/>
  <c r="A1297" i="6"/>
  <c r="E1297" i="6"/>
  <c r="A1298" i="6"/>
  <c r="C1298" i="6"/>
  <c r="D1298" i="6"/>
  <c r="E1298" i="6"/>
  <c r="F1298" i="6"/>
  <c r="A1299" i="6"/>
  <c r="E1299" i="6" s="1"/>
  <c r="C1299" i="6"/>
  <c r="F1299" i="6"/>
  <c r="A1300" i="6"/>
  <c r="D1300" i="6" s="1"/>
  <c r="C1300" i="6"/>
  <c r="F1300" i="6"/>
  <c r="A1301" i="6"/>
  <c r="C1301" i="6" s="1"/>
  <c r="D1301" i="6"/>
  <c r="F1301" i="6"/>
  <c r="A1302" i="6"/>
  <c r="D1302" i="6" s="1"/>
  <c r="C1302" i="6"/>
  <c r="E1302" i="6"/>
  <c r="F1302" i="6"/>
  <c r="A1303" i="6"/>
  <c r="D1303" i="6"/>
  <c r="F1303" i="6"/>
  <c r="A1304" i="6"/>
  <c r="C1304" i="6"/>
  <c r="D1304" i="6"/>
  <c r="E1304" i="6"/>
  <c r="F1304" i="6"/>
  <c r="A1305" i="6"/>
  <c r="D1305" i="6"/>
  <c r="F1305" i="6"/>
  <c r="A1306" i="6"/>
  <c r="D1306" i="6" s="1"/>
  <c r="C1306" i="6"/>
  <c r="E1306" i="6"/>
  <c r="F1306" i="6"/>
  <c r="A1307" i="6"/>
  <c r="A1308" i="6"/>
  <c r="C1308" i="6"/>
  <c r="D1308" i="6"/>
  <c r="E1308" i="6"/>
  <c r="F1308" i="6"/>
  <c r="A1309" i="6"/>
  <c r="A1310" i="6"/>
  <c r="D1310" i="6" s="1"/>
  <c r="C1310" i="6"/>
  <c r="E1310" i="6"/>
  <c r="F1310" i="6"/>
  <c r="A1311" i="6"/>
  <c r="D1311" i="6"/>
  <c r="A1312" i="6"/>
  <c r="C1312" i="6"/>
  <c r="D1312" i="6"/>
  <c r="E1312" i="6"/>
  <c r="F1312" i="6"/>
  <c r="A1313" i="6"/>
  <c r="D1313" i="6"/>
  <c r="A1314" i="6"/>
  <c r="D1314" i="6" s="1"/>
  <c r="C1314" i="6"/>
  <c r="E1314" i="6"/>
  <c r="F1314" i="6"/>
  <c r="A1315" i="6"/>
  <c r="D1315" i="6" s="1"/>
  <c r="F1315" i="6"/>
  <c r="A1316" i="6"/>
  <c r="C1316" i="6"/>
  <c r="D1316" i="6"/>
  <c r="E1316" i="6"/>
  <c r="F1316" i="6"/>
  <c r="A1317" i="6"/>
  <c r="D1317" i="6" s="1"/>
  <c r="F1317" i="6"/>
  <c r="A1318" i="6"/>
  <c r="D1318" i="6" s="1"/>
  <c r="C1318" i="6"/>
  <c r="E1318" i="6"/>
  <c r="F1318" i="6"/>
  <c r="A1319" i="6"/>
  <c r="D1319" i="6"/>
  <c r="F1319" i="6"/>
  <c r="A1320" i="6"/>
  <c r="C1320" i="6"/>
  <c r="D1320" i="6"/>
  <c r="E1320" i="6"/>
  <c r="F1320" i="6"/>
  <c r="A1321" i="6"/>
  <c r="D1321" i="6"/>
  <c r="F1321" i="6"/>
  <c r="A1322" i="6"/>
  <c r="D1322" i="6" s="1"/>
  <c r="C1322" i="6"/>
  <c r="E1322" i="6"/>
  <c r="F1322" i="6"/>
  <c r="A1323" i="6"/>
  <c r="A1324" i="6"/>
  <c r="C1324" i="6"/>
  <c r="D1324" i="6"/>
  <c r="E1324" i="6"/>
  <c r="F1324" i="6"/>
  <c r="A1325" i="6"/>
  <c r="A1326" i="6"/>
  <c r="D1326" i="6" s="1"/>
  <c r="C1326" i="6"/>
  <c r="E1326" i="6"/>
  <c r="F1326" i="6"/>
  <c r="A1327" i="6"/>
  <c r="C1327" i="6" s="1"/>
  <c r="D1327" i="6"/>
  <c r="F1327" i="6"/>
  <c r="A1328" i="6"/>
  <c r="C1328" i="6"/>
  <c r="D1328" i="6"/>
  <c r="E1328" i="6"/>
  <c r="F1328" i="6"/>
  <c r="A1329" i="6"/>
  <c r="E1329" i="6" s="1"/>
  <c r="A1330" i="6"/>
  <c r="D1330" i="6" s="1"/>
  <c r="A1331" i="6"/>
  <c r="C1331" i="6" s="1"/>
  <c r="A1332" i="6"/>
  <c r="C1332" i="6"/>
  <c r="D1332" i="6"/>
  <c r="E1332" i="6"/>
  <c r="F1332" i="6"/>
  <c r="A1333" i="6"/>
  <c r="E1333" i="6" s="1"/>
  <c r="C1333" i="6"/>
  <c r="D1333" i="6"/>
  <c r="F1333" i="6"/>
  <c r="A1334" i="6"/>
  <c r="D1334" i="6" s="1"/>
  <c r="C1334" i="6"/>
  <c r="E1334" i="6"/>
  <c r="F1334" i="6"/>
  <c r="A1335" i="6"/>
  <c r="C1335" i="6" s="1"/>
  <c r="D1335" i="6"/>
  <c r="E1335" i="6"/>
  <c r="F1335" i="6"/>
  <c r="A1336" i="6"/>
  <c r="C1336" i="6"/>
  <c r="D1336" i="6"/>
  <c r="E1336" i="6"/>
  <c r="F1336" i="6"/>
  <c r="A1337" i="6"/>
  <c r="E1337" i="6" s="1"/>
  <c r="D1337" i="6"/>
  <c r="G1338" i="6"/>
  <c r="G1343" i="6"/>
  <c r="A1348" i="6"/>
  <c r="D1348" i="6" s="1"/>
  <c r="E1348" i="6"/>
  <c r="A1349" i="6"/>
  <c r="C1349" i="6" s="1"/>
  <c r="E1349" i="6"/>
  <c r="A1350" i="6"/>
  <c r="C1350" i="6"/>
  <c r="D1350" i="6"/>
  <c r="E1350" i="6"/>
  <c r="F1350" i="6"/>
  <c r="A1351" i="6"/>
  <c r="E1351" i="6" s="1"/>
  <c r="C1351" i="6"/>
  <c r="F1351" i="6"/>
  <c r="A1352" i="6"/>
  <c r="D1352" i="6" s="1"/>
  <c r="C1352" i="6"/>
  <c r="F1352" i="6"/>
  <c r="A1353" i="6"/>
  <c r="C1353" i="6" s="1"/>
  <c r="D1353" i="6"/>
  <c r="F1353" i="6"/>
  <c r="A1354" i="6"/>
  <c r="C1354" i="6"/>
  <c r="D1354" i="6"/>
  <c r="E1354" i="6"/>
  <c r="F1354" i="6"/>
  <c r="A1355" i="6"/>
  <c r="E1355" i="6" s="1"/>
  <c r="A1356" i="6"/>
  <c r="D1356" i="6" s="1"/>
  <c r="A1357" i="6"/>
  <c r="C1357" i="6" s="1"/>
  <c r="A1358" i="6"/>
  <c r="C1358" i="6"/>
  <c r="D1358" i="6"/>
  <c r="E1358" i="6"/>
  <c r="F1358" i="6"/>
  <c r="A1359" i="6"/>
  <c r="E1359" i="6" s="1"/>
  <c r="C1359" i="6"/>
  <c r="D1359" i="6"/>
  <c r="F1359" i="6"/>
  <c r="A1360" i="6"/>
  <c r="D1360" i="6" s="1"/>
  <c r="C1360" i="6"/>
  <c r="E1360" i="6"/>
  <c r="F1360" i="6"/>
  <c r="A1361" i="6"/>
  <c r="C1361" i="6" s="1"/>
  <c r="D1361" i="6"/>
  <c r="E1361" i="6"/>
  <c r="F1361" i="6"/>
  <c r="A1362" i="6"/>
  <c r="C1362" i="6"/>
  <c r="D1362" i="6"/>
  <c r="E1362" i="6"/>
  <c r="F1362" i="6"/>
  <c r="A1363" i="6"/>
  <c r="E1363" i="6" s="1"/>
  <c r="D1363" i="6"/>
  <c r="A1364" i="6"/>
  <c r="D1364" i="6" s="1"/>
  <c r="E1364" i="6"/>
  <c r="A1365" i="6"/>
  <c r="C1365" i="6" s="1"/>
  <c r="E1365" i="6"/>
  <c r="A1366" i="6"/>
  <c r="C1366" i="6"/>
  <c r="D1366" i="6"/>
  <c r="E1366" i="6"/>
  <c r="F1366" i="6"/>
  <c r="A1367" i="6"/>
  <c r="E1367" i="6" s="1"/>
  <c r="C1367" i="6"/>
  <c r="F1367" i="6"/>
  <c r="A1368" i="6"/>
  <c r="D1368" i="6" s="1"/>
  <c r="C1368" i="6"/>
  <c r="F1368" i="6"/>
  <c r="G1369" i="6"/>
  <c r="G1374" i="6"/>
  <c r="A1379" i="6"/>
  <c r="C1379" i="6" s="1"/>
  <c r="D1379" i="6"/>
  <c r="F1379" i="6"/>
  <c r="A1380" i="6"/>
  <c r="C1380" i="6"/>
  <c r="D1380" i="6"/>
  <c r="E1380" i="6"/>
  <c r="F1380" i="6"/>
  <c r="A1381" i="6"/>
  <c r="E1381" i="6" s="1"/>
  <c r="A1382" i="6"/>
  <c r="D1382" i="6" s="1"/>
  <c r="A1383" i="6"/>
  <c r="C1383" i="6" s="1"/>
  <c r="A1384" i="6"/>
  <c r="C1384" i="6"/>
  <c r="D1384" i="6"/>
  <c r="E1384" i="6"/>
  <c r="F1384" i="6"/>
  <c r="A1385" i="6"/>
  <c r="E1385" i="6" s="1"/>
  <c r="C1385" i="6"/>
  <c r="D1385" i="6"/>
  <c r="F1385" i="6"/>
  <c r="A1386" i="6"/>
  <c r="D1386" i="6" s="1"/>
  <c r="C1386" i="6"/>
  <c r="E1386" i="6"/>
  <c r="F1386" i="6"/>
  <c r="A1387" i="6"/>
  <c r="C1387" i="6" s="1"/>
  <c r="D1387" i="6"/>
  <c r="E1387" i="6"/>
  <c r="F1387" i="6"/>
  <c r="A1388" i="6"/>
  <c r="C1388" i="6"/>
  <c r="D1388" i="6"/>
  <c r="E1388" i="6"/>
  <c r="F1388" i="6"/>
  <c r="A1389" i="6"/>
  <c r="E1389" i="6" s="1"/>
  <c r="D1389" i="6"/>
  <c r="G1390" i="6"/>
  <c r="G1395" i="6"/>
  <c r="A1400" i="6"/>
  <c r="D1400" i="6" s="1"/>
  <c r="E1400" i="6"/>
  <c r="A1401" i="6"/>
  <c r="C1401" i="6" s="1"/>
  <c r="E1401" i="6"/>
  <c r="A1402" i="6"/>
  <c r="C1402" i="6"/>
  <c r="D1402" i="6"/>
  <c r="E1402" i="6"/>
  <c r="F1402" i="6"/>
  <c r="A1403" i="6"/>
  <c r="E1403" i="6" s="1"/>
  <c r="C1403" i="6"/>
  <c r="F1403" i="6"/>
  <c r="A1404" i="6"/>
  <c r="D1404" i="6" s="1"/>
  <c r="C1404" i="6"/>
  <c r="F1404" i="6"/>
  <c r="A1405" i="6"/>
  <c r="C1405" i="6" s="1"/>
  <c r="D1405" i="6"/>
  <c r="F1405" i="6"/>
  <c r="A1406" i="6"/>
  <c r="C1406" i="6"/>
  <c r="D1406" i="6"/>
  <c r="E1406" i="6"/>
  <c r="F1406" i="6"/>
  <c r="A1407" i="6"/>
  <c r="E1407" i="6" s="1"/>
  <c r="A1408" i="6"/>
  <c r="D1408" i="6" s="1"/>
  <c r="A1409" i="6"/>
  <c r="C1409" i="6" s="1"/>
  <c r="A1410" i="6"/>
  <c r="C1410" i="6"/>
  <c r="D1410" i="6"/>
  <c r="E1410" i="6"/>
  <c r="F1410" i="6"/>
  <c r="A1411" i="6"/>
  <c r="E1411" i="6" s="1"/>
  <c r="C1411" i="6"/>
  <c r="D1411" i="6"/>
  <c r="F1411" i="6"/>
  <c r="A1412" i="6"/>
  <c r="D1412" i="6" s="1"/>
  <c r="C1412" i="6"/>
  <c r="E1412" i="6"/>
  <c r="F1412" i="6"/>
  <c r="A1413" i="6"/>
  <c r="C1413" i="6" s="1"/>
  <c r="D1413" i="6"/>
  <c r="E1413" i="6"/>
  <c r="F1413" i="6"/>
  <c r="A1414" i="6"/>
  <c r="C1414" i="6"/>
  <c r="D1414" i="6"/>
  <c r="E1414" i="6"/>
  <c r="F1414" i="6"/>
  <c r="A1415" i="6"/>
  <c r="E1415" i="6" s="1"/>
  <c r="D1415" i="6"/>
  <c r="A1416" i="6"/>
  <c r="D1416" i="6" s="1"/>
  <c r="E1416" i="6"/>
  <c r="A1417" i="6"/>
  <c r="C1417" i="6" s="1"/>
  <c r="E1417" i="6"/>
  <c r="A1418" i="6"/>
  <c r="C1418" i="6"/>
  <c r="D1418" i="6"/>
  <c r="E1418" i="6"/>
  <c r="F1418" i="6"/>
  <c r="A1419" i="6"/>
  <c r="E1419" i="6" s="1"/>
  <c r="C1419" i="6"/>
  <c r="F1419" i="6"/>
  <c r="A1420" i="6"/>
  <c r="D1420" i="6" s="1"/>
  <c r="C1420" i="6"/>
  <c r="F1420" i="6"/>
  <c r="A1421" i="6"/>
  <c r="C1421" i="6" s="1"/>
  <c r="D1421" i="6"/>
  <c r="F1421" i="6"/>
  <c r="A1422" i="6"/>
  <c r="C1422" i="6"/>
  <c r="D1422" i="6"/>
  <c r="E1422" i="6"/>
  <c r="F1422" i="6"/>
  <c r="A1423" i="6"/>
  <c r="E1423" i="6" s="1"/>
  <c r="A1424" i="6"/>
  <c r="D1424" i="6" s="1"/>
  <c r="A1425" i="6"/>
  <c r="C1425" i="6" s="1"/>
  <c r="A1426" i="6"/>
  <c r="C1426" i="6"/>
  <c r="D1426" i="6"/>
  <c r="E1426" i="6"/>
  <c r="F1426" i="6"/>
  <c r="A1427" i="6"/>
  <c r="E1427" i="6" s="1"/>
  <c r="C1427" i="6"/>
  <c r="D1427" i="6"/>
  <c r="F1427" i="6"/>
  <c r="A1428" i="6"/>
  <c r="D1428" i="6" s="1"/>
  <c r="C1428" i="6"/>
  <c r="E1428" i="6"/>
  <c r="F1428" i="6"/>
  <c r="A1429" i="6"/>
  <c r="C1429" i="6" s="1"/>
  <c r="D1429" i="6"/>
  <c r="E1429" i="6"/>
  <c r="F1429" i="6"/>
  <c r="A1430" i="6"/>
  <c r="C1430" i="6"/>
  <c r="D1430" i="6"/>
  <c r="E1430" i="6"/>
  <c r="F1430" i="6"/>
  <c r="A1431" i="6"/>
  <c r="E1431" i="6" s="1"/>
  <c r="D1431" i="6"/>
  <c r="F1431" i="6"/>
  <c r="A1432" i="6"/>
  <c r="D1432" i="6" s="1"/>
  <c r="C1432" i="6"/>
  <c r="E1432" i="6"/>
  <c r="F1432" i="6"/>
  <c r="A1433" i="6"/>
  <c r="C1433" i="6" s="1"/>
  <c r="F1433" i="6"/>
  <c r="A1434" i="6"/>
  <c r="C1434" i="6"/>
  <c r="D1434" i="6"/>
  <c r="E1434" i="6"/>
  <c r="F1434" i="6"/>
  <c r="A1435" i="6"/>
  <c r="E1435" i="6" s="1"/>
  <c r="D1435" i="6"/>
  <c r="F1435" i="6"/>
  <c r="A1436" i="6"/>
  <c r="D1436" i="6" s="1"/>
  <c r="C1436" i="6"/>
  <c r="E1436" i="6"/>
  <c r="F1436" i="6"/>
  <c r="A1437" i="6"/>
  <c r="C1437" i="6" s="1"/>
  <c r="F1437" i="6"/>
  <c r="A1438" i="6"/>
  <c r="C1438" i="6"/>
  <c r="D1438" i="6"/>
  <c r="E1438" i="6"/>
  <c r="F1438" i="6"/>
  <c r="A1439" i="6"/>
  <c r="E1439" i="6" s="1"/>
  <c r="D1439" i="6"/>
  <c r="F1439" i="6"/>
  <c r="A1440" i="6"/>
  <c r="D1440" i="6" s="1"/>
  <c r="C1440" i="6"/>
  <c r="E1440" i="6"/>
  <c r="F1440" i="6"/>
  <c r="A1441" i="6"/>
  <c r="C1441" i="6" s="1"/>
  <c r="F1441" i="6"/>
  <c r="A1442" i="6"/>
  <c r="C1442" i="6"/>
  <c r="D1442" i="6"/>
  <c r="E1442" i="6"/>
  <c r="F1442" i="6"/>
  <c r="A1443" i="6"/>
  <c r="E1443" i="6" s="1"/>
  <c r="D1443" i="6"/>
  <c r="F1443" i="6"/>
  <c r="A1444" i="6"/>
  <c r="D1444" i="6" s="1"/>
  <c r="C1444" i="6"/>
  <c r="E1444" i="6"/>
  <c r="F1444" i="6"/>
  <c r="A1445" i="6"/>
  <c r="C1445" i="6" s="1"/>
  <c r="F1445" i="6"/>
  <c r="A1446" i="6"/>
  <c r="C1446" i="6"/>
  <c r="D1446" i="6"/>
  <c r="E1446" i="6"/>
  <c r="F1446" i="6"/>
  <c r="A1447" i="6"/>
  <c r="E1447" i="6" s="1"/>
  <c r="D1447" i="6"/>
  <c r="F1447" i="6"/>
  <c r="A1448" i="6"/>
  <c r="D1448" i="6" s="1"/>
  <c r="C1448" i="6"/>
  <c r="E1448" i="6"/>
  <c r="F1448" i="6"/>
  <c r="A1449" i="6"/>
  <c r="C1449" i="6" s="1"/>
  <c r="F1449" i="6"/>
  <c r="A1450" i="6"/>
  <c r="C1450" i="6"/>
  <c r="D1450" i="6"/>
  <c r="E1450" i="6"/>
  <c r="F1450" i="6"/>
  <c r="A1451" i="6"/>
  <c r="E1451" i="6" s="1"/>
  <c r="D1451" i="6"/>
  <c r="F1451" i="6"/>
  <c r="A1452" i="6"/>
  <c r="D1452" i="6" s="1"/>
  <c r="C1452" i="6"/>
  <c r="E1452" i="6"/>
  <c r="F1452" i="6"/>
  <c r="A1453" i="6"/>
  <c r="C1453" i="6" s="1"/>
  <c r="F1453" i="6"/>
  <c r="A1454" i="6"/>
  <c r="C1454" i="6"/>
  <c r="D1454" i="6"/>
  <c r="E1454" i="6"/>
  <c r="F1454" i="6"/>
  <c r="A1455" i="6"/>
  <c r="E1455" i="6" s="1"/>
  <c r="D1455" i="6"/>
  <c r="F1455" i="6"/>
  <c r="A1456" i="6"/>
  <c r="D1456" i="6" s="1"/>
  <c r="C1456" i="6"/>
  <c r="E1456" i="6"/>
  <c r="F1456" i="6"/>
  <c r="A1457" i="6"/>
  <c r="C1457" i="6" s="1"/>
  <c r="F1457" i="6"/>
  <c r="A1458" i="6"/>
  <c r="C1458" i="6"/>
  <c r="D1458" i="6"/>
  <c r="E1458" i="6"/>
  <c r="F1458" i="6"/>
  <c r="A1459" i="6"/>
  <c r="E1459" i="6" s="1"/>
  <c r="D1459" i="6"/>
  <c r="F1459" i="6"/>
  <c r="A1460" i="6"/>
  <c r="D1460" i="6" s="1"/>
  <c r="C1460" i="6"/>
  <c r="E1460" i="6"/>
  <c r="F1460" i="6"/>
  <c r="A1461" i="6"/>
  <c r="C1461" i="6" s="1"/>
  <c r="F1461" i="6"/>
  <c r="A1462" i="6"/>
  <c r="C1462" i="6"/>
  <c r="D1462" i="6"/>
  <c r="E1462" i="6"/>
  <c r="F1462" i="6"/>
  <c r="A1463" i="6"/>
  <c r="E1463" i="6" s="1"/>
  <c r="D1463" i="6"/>
  <c r="F1463" i="6"/>
  <c r="A1464" i="6"/>
  <c r="D1464" i="6" s="1"/>
  <c r="C1464" i="6"/>
  <c r="E1464" i="6"/>
  <c r="F1464" i="6"/>
  <c r="G1465" i="6"/>
  <c r="G1470" i="6"/>
  <c r="A1475" i="6"/>
  <c r="F1475" i="6"/>
  <c r="A1476" i="6"/>
  <c r="C1476" i="6"/>
  <c r="D1476" i="6"/>
  <c r="E1476" i="6"/>
  <c r="F1476" i="6"/>
  <c r="A1477" i="6"/>
  <c r="E1477" i="6" s="1"/>
  <c r="D1477" i="6"/>
  <c r="F1477" i="6"/>
  <c r="A1478" i="6"/>
  <c r="D1478" i="6" s="1"/>
  <c r="C1478" i="6"/>
  <c r="E1478" i="6"/>
  <c r="F1478" i="6"/>
  <c r="A1479" i="6"/>
  <c r="F1479" i="6"/>
  <c r="A1480" i="6"/>
  <c r="C1480" i="6"/>
  <c r="D1480" i="6"/>
  <c r="E1480" i="6"/>
  <c r="F1480" i="6"/>
  <c r="A1481" i="6"/>
  <c r="E1481" i="6" s="1"/>
  <c r="D1481" i="6"/>
  <c r="F1481" i="6"/>
  <c r="A1482" i="6"/>
  <c r="D1482" i="6" s="1"/>
  <c r="C1482" i="6"/>
  <c r="E1482" i="6"/>
  <c r="F1482" i="6"/>
  <c r="A1483" i="6"/>
  <c r="F1483" i="6"/>
  <c r="A1484" i="6"/>
  <c r="C1484" i="6"/>
  <c r="D1484" i="6"/>
  <c r="E1484" i="6"/>
  <c r="F1484" i="6"/>
  <c r="A1485" i="6"/>
  <c r="E1485" i="6" s="1"/>
  <c r="D1485" i="6"/>
  <c r="F1485" i="6"/>
  <c r="A1486" i="6"/>
  <c r="D1486" i="6" s="1"/>
  <c r="C1486" i="6"/>
  <c r="E1486" i="6"/>
  <c r="F1486" i="6"/>
  <c r="A1487" i="6"/>
  <c r="F1487" i="6"/>
  <c r="A1488" i="6"/>
  <c r="C1488" i="6"/>
  <c r="D1488" i="6"/>
  <c r="E1488" i="6"/>
  <c r="F1488" i="6"/>
  <c r="A1489" i="6"/>
  <c r="E1489" i="6" s="1"/>
  <c r="D1489" i="6"/>
  <c r="F1489" i="6"/>
  <c r="A1490" i="6"/>
  <c r="D1490" i="6" s="1"/>
  <c r="C1490" i="6"/>
  <c r="E1490" i="6"/>
  <c r="F1490" i="6"/>
  <c r="A1491" i="6"/>
  <c r="F1491" i="6"/>
  <c r="A1492" i="6"/>
  <c r="C1492" i="6"/>
  <c r="D1492" i="6"/>
  <c r="E1492" i="6"/>
  <c r="F1492" i="6"/>
  <c r="A1493" i="6"/>
  <c r="E1493" i="6" s="1"/>
  <c r="D1493" i="6"/>
  <c r="F1493" i="6"/>
  <c r="A1494" i="6"/>
  <c r="D1494" i="6" s="1"/>
  <c r="C1494" i="6"/>
  <c r="E1494" i="6"/>
  <c r="F1494" i="6"/>
  <c r="A1495" i="6"/>
  <c r="F1495" i="6"/>
  <c r="A1496" i="6"/>
  <c r="C1496" i="6"/>
  <c r="D1496" i="6"/>
  <c r="E1496" i="6"/>
  <c r="F1496" i="6"/>
  <c r="A1497" i="6"/>
  <c r="E1497" i="6" s="1"/>
  <c r="D1497" i="6"/>
  <c r="F1497" i="6"/>
  <c r="A1498" i="6"/>
  <c r="D1498" i="6" s="1"/>
  <c r="C1498" i="6"/>
  <c r="E1498" i="6"/>
  <c r="F1498" i="6"/>
  <c r="A1499" i="6"/>
  <c r="F1499" i="6"/>
  <c r="A1500" i="6"/>
  <c r="C1500" i="6"/>
  <c r="D1500" i="6"/>
  <c r="E1500" i="6"/>
  <c r="F1500" i="6"/>
  <c r="A1501" i="6"/>
  <c r="E1501" i="6" s="1"/>
  <c r="D1501" i="6"/>
  <c r="F1501" i="6"/>
  <c r="A1502" i="6"/>
  <c r="D1502" i="6" s="1"/>
  <c r="C1502" i="6"/>
  <c r="E1502" i="6"/>
  <c r="F1502" i="6"/>
  <c r="A1503" i="6"/>
  <c r="F1503" i="6"/>
  <c r="A1504" i="6"/>
  <c r="C1504" i="6"/>
  <c r="D1504" i="6"/>
  <c r="E1504" i="6"/>
  <c r="F1504" i="6"/>
  <c r="A1505" i="6"/>
  <c r="E1505" i="6" s="1"/>
  <c r="D1505" i="6"/>
  <c r="F1505" i="6"/>
  <c r="A1506" i="6"/>
  <c r="D1506" i="6" s="1"/>
  <c r="C1506" i="6"/>
  <c r="E1506" i="6"/>
  <c r="F1506" i="6"/>
  <c r="A1507" i="6"/>
  <c r="F1507" i="6"/>
  <c r="A1508" i="6"/>
  <c r="C1508" i="6"/>
  <c r="D1508" i="6"/>
  <c r="E1508" i="6"/>
  <c r="F1508" i="6"/>
  <c r="A1509" i="6"/>
  <c r="E1509" i="6" s="1"/>
  <c r="D1509" i="6"/>
  <c r="F1509" i="6"/>
  <c r="A1510" i="6"/>
  <c r="D1510" i="6" s="1"/>
  <c r="C1510" i="6"/>
  <c r="E1510" i="6"/>
  <c r="F1510" i="6"/>
  <c r="A1511" i="6"/>
  <c r="F1511" i="6"/>
  <c r="A1512" i="6"/>
  <c r="C1512" i="6"/>
  <c r="D1512" i="6"/>
  <c r="E1512" i="6"/>
  <c r="F1512" i="6"/>
  <c r="A1513" i="6"/>
  <c r="E1513" i="6" s="1"/>
  <c r="D1513" i="6"/>
  <c r="F1513" i="6"/>
  <c r="A1514" i="6"/>
  <c r="D1514" i="6" s="1"/>
  <c r="C1514" i="6"/>
  <c r="E1514" i="6"/>
  <c r="F1514" i="6"/>
  <c r="A1515" i="6"/>
  <c r="F1515" i="6"/>
  <c r="A1516" i="6"/>
  <c r="C1516" i="6"/>
  <c r="D1516" i="6"/>
  <c r="E1516" i="6"/>
  <c r="F1516" i="6"/>
  <c r="A1517" i="6"/>
  <c r="E1517" i="6" s="1"/>
  <c r="D1517" i="6"/>
  <c r="F1517" i="6"/>
  <c r="A1518" i="6"/>
  <c r="D1518" i="6" s="1"/>
  <c r="C1518" i="6"/>
  <c r="E1518" i="6"/>
  <c r="F1518" i="6"/>
  <c r="A1519" i="6"/>
  <c r="F1519" i="6"/>
  <c r="A1520" i="6"/>
  <c r="C1520" i="6"/>
  <c r="D1520" i="6"/>
  <c r="E1520" i="6"/>
  <c r="F1520" i="6"/>
  <c r="A1521" i="6"/>
  <c r="E1521" i="6" s="1"/>
  <c r="D1521" i="6"/>
  <c r="F1521" i="6"/>
  <c r="A1522" i="6"/>
  <c r="D1522" i="6" s="1"/>
  <c r="C1522" i="6"/>
  <c r="E1522" i="6"/>
  <c r="F1522" i="6"/>
  <c r="A1523" i="6"/>
  <c r="F1523" i="6"/>
  <c r="A1524" i="6"/>
  <c r="C1524" i="6"/>
  <c r="D1524" i="6"/>
  <c r="E1524" i="6"/>
  <c r="F1524" i="6"/>
  <c r="A1525" i="6"/>
  <c r="E1525" i="6" s="1"/>
  <c r="D1525" i="6"/>
  <c r="F1525" i="6"/>
  <c r="A1526" i="6"/>
  <c r="D1526" i="6" s="1"/>
  <c r="C1526" i="6"/>
  <c r="E1526" i="6"/>
  <c r="F1526" i="6"/>
  <c r="A1527" i="6"/>
  <c r="F1527" i="6"/>
  <c r="A1528" i="6"/>
  <c r="C1528" i="6"/>
  <c r="D1528" i="6"/>
  <c r="E1528" i="6"/>
  <c r="F1528" i="6"/>
  <c r="A1529" i="6"/>
  <c r="E1529" i="6" s="1"/>
  <c r="D1529" i="6"/>
  <c r="F1529" i="6"/>
  <c r="A1530" i="6"/>
  <c r="D1530" i="6" s="1"/>
  <c r="C1530" i="6"/>
  <c r="E1530" i="6"/>
  <c r="F1530" i="6"/>
  <c r="A1531" i="6"/>
  <c r="F1531" i="6"/>
  <c r="A1532" i="6"/>
  <c r="C1532" i="6"/>
  <c r="D1532" i="6"/>
  <c r="E1532" i="6"/>
  <c r="F1532" i="6"/>
  <c r="A1533" i="6"/>
  <c r="E1533" i="6" s="1"/>
  <c r="D1533" i="6"/>
  <c r="F1533" i="6"/>
  <c r="A1534" i="6"/>
  <c r="D1534" i="6" s="1"/>
  <c r="C1534" i="6"/>
  <c r="E1534" i="6"/>
  <c r="F1534" i="6"/>
  <c r="A1535" i="6"/>
  <c r="F1535" i="6"/>
  <c r="A1536" i="6"/>
  <c r="C1536" i="6"/>
  <c r="D1536" i="6"/>
  <c r="E1536" i="6"/>
  <c r="F1536" i="6"/>
  <c r="A1537" i="6"/>
  <c r="E1537" i="6" s="1"/>
  <c r="D1537" i="6"/>
  <c r="F1537" i="6"/>
  <c r="A1538" i="6"/>
  <c r="D1538" i="6" s="1"/>
  <c r="C1538" i="6"/>
  <c r="E1538" i="6"/>
  <c r="F1538" i="6"/>
  <c r="A1539" i="6"/>
  <c r="F1539" i="6"/>
  <c r="A1540" i="6"/>
  <c r="C1540" i="6"/>
  <c r="D1540" i="6"/>
  <c r="E1540" i="6"/>
  <c r="F1540" i="6"/>
  <c r="A1541" i="6"/>
  <c r="E1541" i="6" s="1"/>
  <c r="D1541" i="6"/>
  <c r="F1541" i="6"/>
  <c r="A1542" i="6"/>
  <c r="D1542" i="6" s="1"/>
  <c r="C1542" i="6"/>
  <c r="E1542" i="6"/>
  <c r="F1542" i="6"/>
  <c r="A1543" i="6"/>
  <c r="F1543" i="6"/>
  <c r="A1544" i="6"/>
  <c r="C1544" i="6"/>
  <c r="D1544" i="6"/>
  <c r="E1544" i="6"/>
  <c r="F1544" i="6"/>
  <c r="A1545" i="6"/>
  <c r="E1545" i="6" s="1"/>
  <c r="D1545" i="6"/>
  <c r="F1545" i="6"/>
  <c r="A1546" i="6"/>
  <c r="D1546" i="6" s="1"/>
  <c r="C1546" i="6"/>
  <c r="E1546" i="6"/>
  <c r="F1546" i="6"/>
  <c r="A1547" i="6"/>
  <c r="F1547" i="6"/>
  <c r="A1548" i="6"/>
  <c r="C1548" i="6"/>
  <c r="D1548" i="6"/>
  <c r="E1548" i="6"/>
  <c r="F1548" i="6"/>
  <c r="A1549" i="6"/>
  <c r="E1549" i="6" s="1"/>
  <c r="D1549" i="6"/>
  <c r="F1549" i="6"/>
  <c r="A1550" i="6"/>
  <c r="D1550" i="6" s="1"/>
  <c r="C1550" i="6"/>
  <c r="E1550" i="6"/>
  <c r="F1550" i="6"/>
  <c r="A1551" i="6"/>
  <c r="F1551" i="6"/>
  <c r="A1552" i="6"/>
  <c r="C1552" i="6"/>
  <c r="D1552" i="6"/>
  <c r="E1552" i="6"/>
  <c r="F1552" i="6"/>
  <c r="A1553" i="6"/>
  <c r="E1553" i="6" s="1"/>
  <c r="D1553" i="6"/>
  <c r="F1553" i="6"/>
  <c r="A1554" i="6"/>
  <c r="D1554" i="6" s="1"/>
  <c r="C1554" i="6"/>
  <c r="E1554" i="6"/>
  <c r="F1554" i="6"/>
  <c r="A1555" i="6"/>
  <c r="F1555" i="6"/>
  <c r="A1556" i="6"/>
  <c r="C1556" i="6"/>
  <c r="D1556" i="6"/>
  <c r="E1556" i="6"/>
  <c r="F1556" i="6"/>
  <c r="A1557" i="6"/>
  <c r="E1557" i="6" s="1"/>
  <c r="D1557" i="6"/>
  <c r="F1557" i="6"/>
  <c r="A1558" i="6"/>
  <c r="D1558" i="6" s="1"/>
  <c r="C1558" i="6"/>
  <c r="E1558" i="6"/>
  <c r="F1558" i="6"/>
  <c r="A1559" i="6"/>
  <c r="F1559" i="6"/>
  <c r="A1560" i="6"/>
  <c r="C1560" i="6"/>
  <c r="D1560" i="6"/>
  <c r="E1560" i="6"/>
  <c r="F1560" i="6"/>
  <c r="A1561" i="6"/>
  <c r="E1561" i="6" s="1"/>
  <c r="D1561" i="6"/>
  <c r="F1561" i="6"/>
  <c r="A1562" i="6"/>
  <c r="D1562" i="6" s="1"/>
  <c r="C1562" i="6"/>
  <c r="E1562" i="6"/>
  <c r="F1562" i="6"/>
  <c r="A1563" i="6"/>
  <c r="F1563" i="6"/>
  <c r="A1564" i="6"/>
  <c r="C1564" i="6"/>
  <c r="D1564" i="6"/>
  <c r="E1564" i="6"/>
  <c r="F1564" i="6"/>
  <c r="A1565" i="6"/>
  <c r="E1565" i="6" s="1"/>
  <c r="D1565" i="6"/>
  <c r="F1565" i="6"/>
  <c r="A1566" i="6"/>
  <c r="D1566" i="6" s="1"/>
  <c r="C1566" i="6"/>
  <c r="E1566" i="6"/>
  <c r="F1566" i="6"/>
  <c r="A1567" i="6"/>
  <c r="F1567" i="6"/>
  <c r="A1568" i="6"/>
  <c r="C1568" i="6"/>
  <c r="D1568" i="6"/>
  <c r="E1568" i="6"/>
  <c r="F1568" i="6"/>
  <c r="A1569" i="6"/>
  <c r="E1569" i="6" s="1"/>
  <c r="D1569" i="6"/>
  <c r="F1569" i="6"/>
  <c r="A1570" i="6"/>
  <c r="D1570" i="6" s="1"/>
  <c r="C1570" i="6"/>
  <c r="E1570" i="6"/>
  <c r="F1570" i="6"/>
  <c r="A1571" i="6"/>
  <c r="F1571" i="6"/>
  <c r="A1572" i="6"/>
  <c r="C1572" i="6"/>
  <c r="D1572" i="6"/>
  <c r="E1572" i="6"/>
  <c r="F1572" i="6"/>
  <c r="A1573" i="6"/>
  <c r="E1573" i="6" s="1"/>
  <c r="D1573" i="6"/>
  <c r="F1573" i="6"/>
  <c r="A1574" i="6"/>
  <c r="D1574" i="6" s="1"/>
  <c r="C1574" i="6"/>
  <c r="E1574" i="6"/>
  <c r="F1574" i="6"/>
  <c r="A1575" i="6"/>
  <c r="F1575" i="6"/>
  <c r="A1576" i="6"/>
  <c r="C1576" i="6"/>
  <c r="D1576" i="6"/>
  <c r="E1576" i="6"/>
  <c r="F1576" i="6"/>
  <c r="A1577" i="6"/>
  <c r="E1577" i="6" s="1"/>
  <c r="D1577" i="6"/>
  <c r="F1577" i="6"/>
  <c r="A1578" i="6"/>
  <c r="D1578" i="6" s="1"/>
  <c r="C1578" i="6"/>
  <c r="E1578" i="6"/>
  <c r="F1578" i="6"/>
  <c r="A1579" i="6"/>
  <c r="F1579" i="6"/>
  <c r="A1580" i="6"/>
  <c r="C1580" i="6"/>
  <c r="D1580" i="6"/>
  <c r="E1580" i="6"/>
  <c r="F1580" i="6"/>
  <c r="A1581" i="6"/>
  <c r="E1581" i="6" s="1"/>
  <c r="D1581" i="6"/>
  <c r="F1581" i="6"/>
  <c r="A1582" i="6"/>
  <c r="D1582" i="6" s="1"/>
  <c r="C1582" i="6"/>
  <c r="E1582" i="6"/>
  <c r="F1582" i="6"/>
  <c r="A1583" i="6"/>
  <c r="F1583" i="6"/>
  <c r="A1584" i="6"/>
  <c r="C1584" i="6"/>
  <c r="D1584" i="6"/>
  <c r="E1584" i="6"/>
  <c r="F1584" i="6"/>
  <c r="A1585" i="6"/>
  <c r="E1585" i="6" s="1"/>
  <c r="D1585" i="6"/>
  <c r="F1585" i="6"/>
  <c r="A1586" i="6"/>
  <c r="D1586" i="6" s="1"/>
  <c r="C1586" i="6"/>
  <c r="E1586" i="6"/>
  <c r="F1586" i="6"/>
  <c r="A1587" i="6"/>
  <c r="F1587" i="6"/>
  <c r="A1588" i="6"/>
  <c r="C1588" i="6"/>
  <c r="D1588" i="6"/>
  <c r="E1588" i="6"/>
  <c r="F1588" i="6"/>
  <c r="A1589" i="6"/>
  <c r="E1589" i="6" s="1"/>
  <c r="D1589" i="6"/>
  <c r="F1589" i="6"/>
  <c r="A1590" i="6"/>
  <c r="D1590" i="6" s="1"/>
  <c r="C1590" i="6"/>
  <c r="E1590" i="6"/>
  <c r="F1590" i="6"/>
  <c r="A1591" i="6"/>
  <c r="D1591" i="6"/>
  <c r="F1591" i="6"/>
  <c r="A1592" i="6"/>
  <c r="C1592" i="6"/>
  <c r="D1592" i="6"/>
  <c r="E1592" i="6"/>
  <c r="F1592" i="6"/>
  <c r="A1593" i="6"/>
  <c r="D1593" i="6"/>
  <c r="F1593" i="6"/>
  <c r="A1594" i="6"/>
  <c r="D1594" i="6" s="1"/>
  <c r="C1594" i="6"/>
  <c r="E1594" i="6"/>
  <c r="F1594" i="6"/>
  <c r="A1595" i="6"/>
  <c r="D1595" i="6" s="1"/>
  <c r="F1595" i="6"/>
  <c r="A1596" i="6"/>
  <c r="C1596" i="6"/>
  <c r="D1596" i="6"/>
  <c r="E1596" i="6"/>
  <c r="F1596" i="6"/>
  <c r="A1597" i="6"/>
  <c r="D1597" i="6" s="1"/>
  <c r="F1597" i="6"/>
  <c r="A1598" i="6"/>
  <c r="D1598" i="6" s="1"/>
  <c r="C1598" i="6"/>
  <c r="E1598" i="6"/>
  <c r="F1598" i="6"/>
  <c r="A1599" i="6"/>
  <c r="F1599" i="6" s="1"/>
  <c r="D1599" i="6"/>
  <c r="A1600" i="6"/>
  <c r="C1600" i="6"/>
  <c r="D1600" i="6"/>
  <c r="E1600" i="6"/>
  <c r="F1600" i="6"/>
  <c r="A1601" i="6"/>
  <c r="F1601" i="6" s="1"/>
  <c r="D1601" i="6"/>
  <c r="A1602" i="6"/>
  <c r="D1602" i="6" s="1"/>
  <c r="C1602" i="6"/>
  <c r="E1602" i="6"/>
  <c r="F1602" i="6"/>
  <c r="A1603" i="6"/>
  <c r="A1604" i="6"/>
  <c r="C1604" i="6"/>
  <c r="D1604" i="6"/>
  <c r="E1604" i="6"/>
  <c r="F1604" i="6"/>
  <c r="A1605" i="6"/>
  <c r="A1606" i="6"/>
  <c r="D1606" i="6" s="1"/>
  <c r="C1606" i="6"/>
  <c r="E1606" i="6"/>
  <c r="F1606" i="6"/>
  <c r="A1607" i="6"/>
  <c r="D1607" i="6"/>
  <c r="F1607" i="6"/>
  <c r="A1608" i="6"/>
  <c r="C1608" i="6"/>
  <c r="D1608" i="6"/>
  <c r="E1608" i="6"/>
  <c r="F1608" i="6"/>
  <c r="A1609" i="6"/>
  <c r="D1609" i="6"/>
  <c r="F1609" i="6"/>
  <c r="A1610" i="6"/>
  <c r="D1610" i="6" s="1"/>
  <c r="C1610" i="6"/>
  <c r="E1610" i="6"/>
  <c r="F1610" i="6"/>
  <c r="G1611" i="6"/>
  <c r="G1616" i="6"/>
  <c r="A1621" i="6"/>
  <c r="F1621" i="6" s="1"/>
  <c r="D1621" i="6"/>
  <c r="A1622" i="6"/>
  <c r="C1622" i="6"/>
  <c r="D1622" i="6"/>
  <c r="E1622" i="6"/>
  <c r="F1622" i="6"/>
  <c r="A1623" i="6"/>
  <c r="F1623" i="6" s="1"/>
  <c r="D1623" i="6"/>
  <c r="A1624" i="6"/>
  <c r="D1624" i="6" s="1"/>
  <c r="C1624" i="6"/>
  <c r="E1624" i="6"/>
  <c r="F1624" i="6"/>
  <c r="A1625" i="6"/>
  <c r="A1626" i="6"/>
  <c r="C1626" i="6"/>
  <c r="D1626" i="6"/>
  <c r="E1626" i="6"/>
  <c r="F1626" i="6"/>
  <c r="A1627" i="6"/>
  <c r="A1628" i="6"/>
  <c r="D1628" i="6" s="1"/>
  <c r="C1628" i="6"/>
  <c r="E1628" i="6"/>
  <c r="F1628" i="6"/>
  <c r="A1629" i="6"/>
  <c r="D1629" i="6"/>
  <c r="F1629" i="6"/>
  <c r="A1630" i="6"/>
  <c r="C1630" i="6"/>
  <c r="D1630" i="6"/>
  <c r="E1630" i="6"/>
  <c r="F1630" i="6"/>
  <c r="A1631" i="6"/>
  <c r="D1631" i="6"/>
  <c r="F1631" i="6"/>
  <c r="A1632" i="6"/>
  <c r="D1632" i="6" s="1"/>
  <c r="C1632" i="6"/>
  <c r="E1632" i="6"/>
  <c r="F1632" i="6"/>
  <c r="A1633" i="6"/>
  <c r="D1633" i="6" s="1"/>
  <c r="F1633" i="6"/>
  <c r="A1634" i="6"/>
  <c r="C1634" i="6"/>
  <c r="D1634" i="6"/>
  <c r="E1634" i="6"/>
  <c r="F1634" i="6"/>
  <c r="A1635" i="6"/>
  <c r="D1635" i="6" s="1"/>
  <c r="F1635" i="6"/>
  <c r="A1636" i="6"/>
  <c r="D1636" i="6" s="1"/>
  <c r="C1636" i="6"/>
  <c r="E1636" i="6"/>
  <c r="F1636" i="6"/>
  <c r="A1637" i="6"/>
  <c r="F1637" i="6" s="1"/>
  <c r="D1637" i="6"/>
  <c r="A1638" i="6"/>
  <c r="C1638" i="6"/>
  <c r="D1638" i="6"/>
  <c r="E1638" i="6"/>
  <c r="F1638" i="6"/>
  <c r="A1639" i="6"/>
  <c r="F1639" i="6" s="1"/>
  <c r="D1639" i="6"/>
  <c r="A1640" i="6"/>
  <c r="D1640" i="6" s="1"/>
  <c r="C1640" i="6"/>
  <c r="E1640" i="6"/>
  <c r="F1640" i="6"/>
  <c r="A1641" i="6"/>
  <c r="A1642" i="6"/>
  <c r="C1642" i="6"/>
  <c r="D1642" i="6"/>
  <c r="E1642" i="6"/>
  <c r="F1642" i="6"/>
  <c r="A1643" i="6"/>
  <c r="A1644" i="6"/>
  <c r="D1644" i="6" s="1"/>
  <c r="C1644" i="6"/>
  <c r="E1644" i="6"/>
  <c r="F1644" i="6"/>
  <c r="A1645" i="6"/>
  <c r="D1645" i="6"/>
  <c r="F1645" i="6"/>
  <c r="A1646" i="6"/>
  <c r="C1646" i="6"/>
  <c r="D1646" i="6"/>
  <c r="E1646" i="6"/>
  <c r="F1646" i="6"/>
  <c r="A1647" i="6"/>
  <c r="D1647" i="6"/>
  <c r="F1647" i="6"/>
  <c r="A1648" i="6"/>
  <c r="D1648" i="6" s="1"/>
  <c r="C1648" i="6"/>
  <c r="E1648" i="6"/>
  <c r="F1648" i="6"/>
  <c r="A1649" i="6"/>
  <c r="D1649" i="6" s="1"/>
  <c r="F1649" i="6"/>
  <c r="A1650" i="6"/>
  <c r="C1650" i="6"/>
  <c r="D1650" i="6"/>
  <c r="E1650" i="6"/>
  <c r="F1650" i="6"/>
  <c r="A1651" i="6"/>
  <c r="D1651" i="6" s="1"/>
  <c r="F1651" i="6"/>
  <c r="A1652" i="6"/>
  <c r="D1652" i="6" s="1"/>
  <c r="C1652" i="6"/>
  <c r="E1652" i="6"/>
  <c r="F1652" i="6"/>
  <c r="A1653" i="6"/>
  <c r="F1653" i="6" s="1"/>
  <c r="D1653" i="6"/>
  <c r="A1654" i="6"/>
  <c r="C1654" i="6"/>
  <c r="D1654" i="6"/>
  <c r="E1654" i="6"/>
  <c r="F1654" i="6"/>
  <c r="A1655" i="6"/>
  <c r="F1655" i="6" s="1"/>
  <c r="D1655" i="6"/>
  <c r="A1656" i="6"/>
  <c r="D1656" i="6" s="1"/>
  <c r="C1656" i="6"/>
  <c r="E1656" i="6"/>
  <c r="F1656" i="6"/>
  <c r="A1657" i="6"/>
  <c r="A1658" i="6"/>
  <c r="C1658" i="6"/>
  <c r="D1658" i="6"/>
  <c r="E1658" i="6"/>
  <c r="F1658" i="6"/>
  <c r="A1659" i="6"/>
  <c r="A1660" i="6"/>
  <c r="D1660" i="6" s="1"/>
  <c r="C1660" i="6"/>
  <c r="E1660" i="6"/>
  <c r="F1660" i="6"/>
  <c r="A1661" i="6"/>
  <c r="D1661" i="6"/>
  <c r="F1661" i="6"/>
  <c r="A1662" i="6"/>
  <c r="C1662" i="6"/>
  <c r="D1662" i="6"/>
  <c r="E1662" i="6"/>
  <c r="F1662" i="6"/>
  <c r="A1663" i="6"/>
  <c r="D1663" i="6"/>
  <c r="F1663" i="6"/>
  <c r="A1664" i="6"/>
  <c r="D1664" i="6" s="1"/>
  <c r="C1664" i="6"/>
  <c r="E1664" i="6"/>
  <c r="F1664" i="6"/>
  <c r="A1665" i="6"/>
  <c r="D1665" i="6" s="1"/>
  <c r="F1665" i="6"/>
  <c r="G1666" i="6"/>
  <c r="G1671" i="6"/>
  <c r="A1676" i="6"/>
  <c r="C1676" i="6"/>
  <c r="D1676" i="6"/>
  <c r="E1676" i="6"/>
  <c r="F1676" i="6"/>
  <c r="A1677" i="6"/>
  <c r="F1677" i="6" s="1"/>
  <c r="D1677" i="6"/>
  <c r="A1678" i="6"/>
  <c r="D1678" i="6" s="1"/>
  <c r="C1678" i="6"/>
  <c r="E1678" i="6"/>
  <c r="F1678" i="6"/>
  <c r="A1679" i="6"/>
  <c r="A1680" i="6"/>
  <c r="C1680" i="6"/>
  <c r="D1680" i="6"/>
  <c r="E1680" i="6"/>
  <c r="F1680" i="6"/>
  <c r="A1681" i="6"/>
  <c r="A1682" i="6"/>
  <c r="D1682" i="6" s="1"/>
  <c r="C1682" i="6"/>
  <c r="E1682" i="6"/>
  <c r="F1682" i="6"/>
  <c r="A1683" i="6"/>
  <c r="D1683" i="6"/>
  <c r="F1683" i="6"/>
  <c r="A1684" i="6"/>
  <c r="C1684" i="6"/>
  <c r="D1684" i="6"/>
  <c r="E1684" i="6"/>
  <c r="F1684" i="6"/>
  <c r="A1685" i="6"/>
  <c r="D1685" i="6"/>
  <c r="F1685" i="6"/>
  <c r="A1686" i="6"/>
  <c r="D1686" i="6" s="1"/>
  <c r="C1686" i="6"/>
  <c r="E1686" i="6"/>
  <c r="F1686" i="6"/>
  <c r="A1687" i="6"/>
  <c r="D1687" i="6" s="1"/>
  <c r="F1687" i="6"/>
  <c r="A1688" i="6"/>
  <c r="C1688" i="6"/>
  <c r="D1688" i="6"/>
  <c r="E1688" i="6"/>
  <c r="F1688" i="6"/>
  <c r="A1689" i="6"/>
  <c r="D1689" i="6" s="1"/>
  <c r="F1689" i="6"/>
  <c r="A1690" i="6"/>
  <c r="D1690" i="6" s="1"/>
  <c r="C1690" i="6"/>
  <c r="E1690" i="6"/>
  <c r="F1690" i="6"/>
  <c r="A1691" i="6"/>
  <c r="F1691" i="6" s="1"/>
  <c r="D1691" i="6"/>
  <c r="A1692" i="6"/>
  <c r="C1692" i="6"/>
  <c r="D1692" i="6"/>
  <c r="E1692" i="6"/>
  <c r="F1692" i="6"/>
  <c r="A1693" i="6"/>
  <c r="F1693" i="6" s="1"/>
  <c r="D1693" i="6"/>
  <c r="A1694" i="6"/>
  <c r="D1694" i="6" s="1"/>
  <c r="C1694" i="6"/>
  <c r="E1694" i="6"/>
  <c r="F1694" i="6"/>
  <c r="A1695" i="6"/>
  <c r="A1696" i="6"/>
  <c r="C1696" i="6"/>
  <c r="D1696" i="6"/>
  <c r="E1696" i="6"/>
  <c r="F1696" i="6"/>
  <c r="A1697" i="6"/>
  <c r="A1698" i="6"/>
  <c r="D1698" i="6" s="1"/>
  <c r="C1698" i="6"/>
  <c r="E1698" i="6"/>
  <c r="F1698" i="6"/>
  <c r="A1699" i="6"/>
  <c r="D1699" i="6"/>
  <c r="F1699" i="6"/>
  <c r="A1700" i="6"/>
  <c r="C1700" i="6"/>
  <c r="D1700" i="6"/>
  <c r="E1700" i="6"/>
  <c r="F1700" i="6"/>
  <c r="A1701" i="6"/>
  <c r="D1701" i="6"/>
  <c r="F1701" i="6"/>
  <c r="A1702" i="6"/>
  <c r="D1702" i="6" s="1"/>
  <c r="C1702" i="6"/>
  <c r="E1702" i="6"/>
  <c r="F1702" i="6"/>
  <c r="A1703" i="6"/>
  <c r="D1703" i="6" s="1"/>
  <c r="F1703" i="6"/>
  <c r="A1704" i="6"/>
  <c r="C1704" i="6"/>
  <c r="D1704" i="6"/>
  <c r="E1704" i="6"/>
  <c r="F1704" i="6"/>
  <c r="A1705" i="6"/>
  <c r="D1705" i="6" s="1"/>
  <c r="F1705" i="6"/>
  <c r="A1706" i="6"/>
  <c r="D1706" i="6" s="1"/>
  <c r="C1706" i="6"/>
  <c r="E1706" i="6"/>
  <c r="F1706" i="6"/>
  <c r="A1707" i="6"/>
  <c r="F1707" i="6" s="1"/>
  <c r="D1707" i="6"/>
  <c r="A1708" i="6"/>
  <c r="C1708" i="6"/>
  <c r="D1708" i="6"/>
  <c r="E1708" i="6"/>
  <c r="F1708" i="6"/>
  <c r="A1709" i="6"/>
  <c r="F1709" i="6" s="1"/>
  <c r="D1709" i="6"/>
  <c r="A1710" i="6"/>
  <c r="D1710" i="6" s="1"/>
  <c r="C1710" i="6"/>
  <c r="E1710" i="6"/>
  <c r="F1710" i="6"/>
  <c r="A1711" i="6"/>
  <c r="A1712" i="6"/>
  <c r="C1712" i="6"/>
  <c r="D1712" i="6"/>
  <c r="E1712" i="6"/>
  <c r="F1712" i="6"/>
  <c r="A1713" i="6"/>
  <c r="A1714" i="6"/>
  <c r="D1714" i="6" s="1"/>
  <c r="C1714" i="6"/>
  <c r="E1714" i="6"/>
  <c r="F1714" i="6"/>
  <c r="G1715" i="6"/>
  <c r="G1720" i="6"/>
  <c r="A1725" i="6"/>
  <c r="D1725" i="6" s="1"/>
  <c r="F1725" i="6"/>
  <c r="A1726" i="6"/>
  <c r="C1726" i="6"/>
  <c r="D1726" i="6"/>
  <c r="E1726" i="6"/>
  <c r="F1726" i="6"/>
  <c r="A1727" i="6"/>
  <c r="D1727" i="6" s="1"/>
  <c r="F1727" i="6"/>
  <c r="A1728" i="6"/>
  <c r="D1728" i="6" s="1"/>
  <c r="C1728" i="6"/>
  <c r="E1728" i="6"/>
  <c r="F1728" i="6"/>
  <c r="A1729" i="6"/>
  <c r="F1729" i="6" s="1"/>
  <c r="D1729" i="6"/>
  <c r="A1730" i="6"/>
  <c r="C1730" i="6"/>
  <c r="D1730" i="6"/>
  <c r="E1730" i="6"/>
  <c r="F1730" i="6"/>
  <c r="A1731" i="6"/>
  <c r="F1731" i="6" s="1"/>
  <c r="D1731" i="6"/>
  <c r="A1732" i="6"/>
  <c r="D1732" i="6" s="1"/>
  <c r="C1732" i="6"/>
  <c r="E1732" i="6"/>
  <c r="F1732" i="6"/>
  <c r="A1733" i="6"/>
  <c r="A1734" i="6"/>
  <c r="C1734" i="6"/>
  <c r="D1734" i="6"/>
  <c r="E1734" i="6"/>
  <c r="F1734" i="6"/>
  <c r="A1735" i="6"/>
  <c r="E1735" i="6" s="1"/>
  <c r="A1736" i="6"/>
  <c r="D1736" i="6" s="1"/>
  <c r="A1737" i="6"/>
  <c r="C1737" i="6" s="1"/>
  <c r="A1738" i="6"/>
  <c r="C1738" i="6"/>
  <c r="D1738" i="6"/>
  <c r="E1738" i="6"/>
  <c r="F1738" i="6"/>
  <c r="A1739" i="6"/>
  <c r="E1739" i="6" s="1"/>
  <c r="C1739" i="6"/>
  <c r="F1739" i="6"/>
  <c r="A1740" i="6"/>
  <c r="D1740" i="6" s="1"/>
  <c r="C1740" i="6"/>
  <c r="F1740" i="6"/>
  <c r="A1741" i="6"/>
  <c r="C1741" i="6" s="1"/>
  <c r="D1741" i="6"/>
  <c r="F1741" i="6"/>
  <c r="A1742" i="6"/>
  <c r="C1742" i="6"/>
  <c r="D1742" i="6"/>
  <c r="E1742" i="6"/>
  <c r="F1742" i="6"/>
  <c r="A1743" i="6"/>
  <c r="E1743" i="6" s="1"/>
  <c r="D1743" i="6"/>
  <c r="A1744" i="6"/>
  <c r="D1744" i="6" s="1"/>
  <c r="E1744" i="6"/>
  <c r="A1745" i="6"/>
  <c r="C1745" i="6" s="1"/>
  <c r="E1745" i="6"/>
  <c r="A1746" i="6"/>
  <c r="C1746" i="6"/>
  <c r="D1746" i="6"/>
  <c r="E1746" i="6"/>
  <c r="F1746" i="6"/>
  <c r="A1747" i="6"/>
  <c r="E1747" i="6" s="1"/>
  <c r="C1747" i="6"/>
  <c r="D1747" i="6"/>
  <c r="F1747" i="6"/>
  <c r="A1748" i="6"/>
  <c r="D1748" i="6" s="1"/>
  <c r="C1748" i="6"/>
  <c r="E1748" i="6"/>
  <c r="F1748" i="6"/>
  <c r="A1749" i="6"/>
  <c r="C1749" i="6" s="1"/>
  <c r="D1749" i="6"/>
  <c r="E1749" i="6"/>
  <c r="F1749" i="6"/>
  <c r="A1750" i="6"/>
  <c r="C1750" i="6"/>
  <c r="D1750" i="6"/>
  <c r="E1750" i="6"/>
  <c r="F1750" i="6"/>
  <c r="A1751" i="6"/>
  <c r="E1751" i="6" s="1"/>
  <c r="A1752" i="6"/>
  <c r="D1752" i="6" s="1"/>
  <c r="A1753" i="6"/>
  <c r="C1753" i="6" s="1"/>
  <c r="A1754" i="6"/>
  <c r="C1754" i="6"/>
  <c r="D1754" i="6"/>
  <c r="E1754" i="6"/>
  <c r="F1754" i="6"/>
  <c r="A1755" i="6"/>
  <c r="E1755" i="6" s="1"/>
  <c r="C1755" i="6"/>
  <c r="F1755" i="6"/>
  <c r="A1756" i="6"/>
  <c r="D1756" i="6" s="1"/>
  <c r="C1756" i="6"/>
  <c r="F1756" i="6"/>
  <c r="A1757" i="6"/>
  <c r="C1757" i="6" s="1"/>
  <c r="D1757" i="6"/>
  <c r="F1757" i="6"/>
  <c r="A1758" i="6"/>
  <c r="C1758" i="6"/>
  <c r="D1758" i="6"/>
  <c r="E1758" i="6"/>
  <c r="F1758" i="6"/>
  <c r="A1759" i="6"/>
  <c r="E1759" i="6" s="1"/>
  <c r="D1759" i="6"/>
  <c r="A1760" i="6"/>
  <c r="D1760" i="6" s="1"/>
  <c r="E1760" i="6"/>
  <c r="A1761" i="6"/>
  <c r="C1761" i="6" s="1"/>
  <c r="E1761" i="6"/>
  <c r="A1762" i="6"/>
  <c r="C1762" i="6"/>
  <c r="D1762" i="6"/>
  <c r="E1762" i="6"/>
  <c r="F1762" i="6"/>
  <c r="A1763" i="6"/>
  <c r="E1763" i="6" s="1"/>
  <c r="C1763" i="6"/>
  <c r="D1763" i="6"/>
  <c r="F1763" i="6"/>
  <c r="A1764" i="6"/>
  <c r="D1764" i="6" s="1"/>
  <c r="C1764" i="6"/>
  <c r="E1764" i="6"/>
  <c r="F1764" i="6"/>
  <c r="A1765" i="6"/>
  <c r="C1765" i="6" s="1"/>
  <c r="D1765" i="6"/>
  <c r="E1765" i="6"/>
  <c r="F1765" i="6"/>
  <c r="A1766" i="6"/>
  <c r="C1766" i="6"/>
  <c r="D1766" i="6"/>
  <c r="E1766" i="6"/>
  <c r="F1766" i="6"/>
  <c r="A1767" i="6"/>
  <c r="A1768" i="6"/>
  <c r="A1769" i="6"/>
  <c r="A1770" i="6"/>
  <c r="C1770" i="6"/>
  <c r="D1770" i="6"/>
  <c r="E1770" i="6"/>
  <c r="F1770" i="6"/>
  <c r="A1771" i="6"/>
  <c r="E1771" i="6" s="1"/>
  <c r="C1771" i="6"/>
  <c r="F1771" i="6"/>
  <c r="A1772" i="6"/>
  <c r="D1772" i="6" s="1"/>
  <c r="C1772" i="6"/>
  <c r="F1772" i="6"/>
  <c r="A1773" i="6"/>
  <c r="C1773" i="6" s="1"/>
  <c r="D1773" i="6"/>
  <c r="F1773" i="6"/>
  <c r="A1774" i="6"/>
  <c r="C1774" i="6"/>
  <c r="D1774" i="6"/>
  <c r="E1774" i="6"/>
  <c r="F1774" i="6"/>
  <c r="A1775" i="6"/>
  <c r="E1775" i="6" s="1"/>
  <c r="D1775" i="6"/>
  <c r="A1776" i="6"/>
  <c r="D1776" i="6" s="1"/>
  <c r="E1776" i="6"/>
  <c r="A1777" i="6"/>
  <c r="C1777" i="6" s="1"/>
  <c r="E1777" i="6"/>
  <c r="A1778" i="6"/>
  <c r="C1778" i="6"/>
  <c r="D1778" i="6"/>
  <c r="E1778" i="6"/>
  <c r="F1778" i="6"/>
  <c r="A1779" i="6"/>
  <c r="E1779" i="6" s="1"/>
  <c r="C1779" i="6"/>
  <c r="D1779" i="6"/>
  <c r="F1779" i="6"/>
  <c r="A1780" i="6"/>
  <c r="D1780" i="6" s="1"/>
  <c r="C1780" i="6"/>
  <c r="E1780" i="6"/>
  <c r="F1780" i="6"/>
  <c r="A1781" i="6"/>
  <c r="C1781" i="6" s="1"/>
  <c r="D1781" i="6"/>
  <c r="E1781" i="6"/>
  <c r="F1781" i="6"/>
  <c r="A1782" i="6"/>
  <c r="C1782" i="6"/>
  <c r="D1782" i="6"/>
  <c r="E1782" i="6"/>
  <c r="F1782" i="6"/>
  <c r="A1783" i="6"/>
  <c r="A1784" i="6"/>
  <c r="A1785" i="6"/>
  <c r="A1786" i="6"/>
  <c r="C1786" i="6"/>
  <c r="D1786" i="6"/>
  <c r="E1786" i="6"/>
  <c r="F1786" i="6"/>
  <c r="G1787" i="6"/>
  <c r="G1792" i="6"/>
  <c r="A1797" i="6"/>
  <c r="A1798" i="6"/>
  <c r="A1799" i="6"/>
  <c r="A1800" i="6"/>
  <c r="C1800" i="6"/>
  <c r="D1800" i="6"/>
  <c r="E1800" i="6"/>
  <c r="F1800" i="6"/>
  <c r="A1801" i="6"/>
  <c r="E1801" i="6" s="1"/>
  <c r="C1801" i="6"/>
  <c r="F1801" i="6"/>
  <c r="A1802" i="6"/>
  <c r="D1802" i="6" s="1"/>
  <c r="C1802" i="6"/>
  <c r="F1802" i="6"/>
  <c r="A1803" i="6"/>
  <c r="C1803" i="6" s="1"/>
  <c r="D1803" i="6"/>
  <c r="F1803" i="6"/>
  <c r="A1804" i="6"/>
  <c r="C1804" i="6"/>
  <c r="D1804" i="6"/>
  <c r="E1804" i="6"/>
  <c r="F1804" i="6"/>
  <c r="A1805" i="6"/>
  <c r="E1805" i="6" s="1"/>
  <c r="D1805" i="6"/>
  <c r="A1806" i="6"/>
  <c r="D1806" i="6" s="1"/>
  <c r="E1806" i="6"/>
  <c r="A1807" i="6"/>
  <c r="C1807" i="6" s="1"/>
  <c r="E1807" i="6"/>
  <c r="A1808" i="6"/>
  <c r="C1808" i="6"/>
  <c r="D1808" i="6"/>
  <c r="E1808" i="6"/>
  <c r="F1808" i="6"/>
  <c r="A1809" i="6"/>
  <c r="E1809" i="6" s="1"/>
  <c r="C1809" i="6"/>
  <c r="D1809" i="6"/>
  <c r="F1809" i="6"/>
  <c r="A1810" i="6"/>
  <c r="D1810" i="6" s="1"/>
  <c r="C1810" i="6"/>
  <c r="E1810" i="6"/>
  <c r="F1810" i="6"/>
  <c r="A1811" i="6"/>
  <c r="C1811" i="6" s="1"/>
  <c r="D1811" i="6"/>
  <c r="E1811" i="6"/>
  <c r="F1811" i="6"/>
  <c r="A1812" i="6"/>
  <c r="C1812" i="6"/>
  <c r="D1812" i="6"/>
  <c r="E1812" i="6"/>
  <c r="F1812" i="6"/>
  <c r="A1813" i="6"/>
  <c r="A1814" i="6"/>
  <c r="A1815" i="6"/>
  <c r="A1816" i="6"/>
  <c r="C1816" i="6"/>
  <c r="D1816" i="6"/>
  <c r="E1816" i="6"/>
  <c r="F1816" i="6"/>
  <c r="A1817" i="6"/>
  <c r="E1817" i="6" s="1"/>
  <c r="C1817" i="6"/>
  <c r="F1817" i="6"/>
  <c r="A1818" i="6"/>
  <c r="D1818" i="6" s="1"/>
  <c r="C1818" i="6"/>
  <c r="F1818" i="6"/>
  <c r="A1819" i="6"/>
  <c r="C1819" i="6" s="1"/>
  <c r="D1819" i="6"/>
  <c r="F1819" i="6"/>
  <c r="A1820" i="6"/>
  <c r="C1820" i="6"/>
  <c r="D1820" i="6"/>
  <c r="E1820" i="6"/>
  <c r="F1820" i="6"/>
  <c r="A1821" i="6"/>
  <c r="E1821" i="6" s="1"/>
  <c r="D1821" i="6"/>
  <c r="F1821" i="6"/>
  <c r="A1822" i="6"/>
  <c r="C1822" i="6"/>
  <c r="D1822" i="6"/>
  <c r="E1822" i="6"/>
  <c r="F1822" i="6"/>
  <c r="A1823" i="6"/>
  <c r="F1823" i="6"/>
  <c r="A1824" i="6"/>
  <c r="D1824" i="6" s="1"/>
  <c r="C1824" i="6"/>
  <c r="E1824" i="6"/>
  <c r="F1824" i="6"/>
  <c r="A1825" i="6"/>
  <c r="E1825" i="6" s="1"/>
  <c r="D1825" i="6"/>
  <c r="F1825" i="6"/>
  <c r="A1826" i="6"/>
  <c r="C1826" i="6"/>
  <c r="D1826" i="6"/>
  <c r="E1826" i="6"/>
  <c r="F1826" i="6"/>
  <c r="A1827" i="6"/>
  <c r="F1827" i="6"/>
  <c r="A1828" i="6"/>
  <c r="D1828" i="6" s="1"/>
  <c r="C1828" i="6"/>
  <c r="E1828" i="6"/>
  <c r="F1828" i="6"/>
  <c r="A1829" i="6"/>
  <c r="E1829" i="6" s="1"/>
  <c r="D1829" i="6"/>
  <c r="F1829" i="6"/>
  <c r="A1830" i="6"/>
  <c r="C1830" i="6"/>
  <c r="D1830" i="6"/>
  <c r="E1830" i="6"/>
  <c r="F1830" i="6"/>
  <c r="A1831" i="6"/>
  <c r="F1831" i="6"/>
  <c r="A1832" i="6"/>
  <c r="D1832" i="6" s="1"/>
  <c r="C1832" i="6"/>
  <c r="E1832" i="6"/>
  <c r="F1832" i="6"/>
  <c r="A1833" i="6"/>
  <c r="E1833" i="6" s="1"/>
  <c r="D1833" i="6"/>
  <c r="F1833" i="6"/>
  <c r="A1834" i="6"/>
  <c r="C1834" i="6"/>
  <c r="D1834" i="6"/>
  <c r="E1834" i="6"/>
  <c r="F1834" i="6"/>
  <c r="A1835" i="6"/>
  <c r="F1835" i="6"/>
  <c r="A1836" i="6"/>
  <c r="D1836" i="6" s="1"/>
  <c r="C1836" i="6"/>
  <c r="E1836" i="6"/>
  <c r="F1836" i="6"/>
  <c r="A1837" i="6"/>
  <c r="D1837" i="6" s="1"/>
  <c r="A1838" i="6"/>
  <c r="C1838" i="6"/>
  <c r="D1838" i="6"/>
  <c r="E1838" i="6"/>
  <c r="F1838" i="6"/>
  <c r="A1839" i="6"/>
  <c r="D1839" i="6" s="1"/>
  <c r="A1840" i="6"/>
  <c r="D1840" i="6" s="1"/>
  <c r="C1840" i="6"/>
  <c r="E1840" i="6"/>
  <c r="F1840" i="6"/>
  <c r="A1841" i="6"/>
  <c r="F1841" i="6" s="1"/>
  <c r="D1841" i="6"/>
  <c r="A1842" i="6"/>
  <c r="C1842" i="6"/>
  <c r="D1842" i="6"/>
  <c r="E1842" i="6"/>
  <c r="F1842" i="6"/>
  <c r="A1843" i="6"/>
  <c r="F1843" i="6" s="1"/>
  <c r="D1843" i="6"/>
  <c r="A1844" i="6"/>
  <c r="D1844" i="6" s="1"/>
  <c r="C1844" i="6"/>
  <c r="E1844" i="6"/>
  <c r="F1844" i="6"/>
  <c r="A1845" i="6"/>
  <c r="D1845" i="6"/>
  <c r="F1845" i="6"/>
  <c r="A1846" i="6"/>
  <c r="C1846" i="6"/>
  <c r="D1846" i="6"/>
  <c r="E1846" i="6"/>
  <c r="F1846" i="6"/>
  <c r="A1847" i="6"/>
  <c r="D1847" i="6"/>
  <c r="F1847" i="6"/>
  <c r="A1848" i="6"/>
  <c r="D1848" i="6" s="1"/>
  <c r="C1848" i="6"/>
  <c r="E1848" i="6"/>
  <c r="F1848" i="6"/>
  <c r="A1849" i="6"/>
  <c r="D1849" i="6"/>
  <c r="F1849" i="6"/>
  <c r="A1850" i="6"/>
  <c r="C1850" i="6"/>
  <c r="D1850" i="6"/>
  <c r="E1850" i="6"/>
  <c r="F1850" i="6"/>
  <c r="A1851" i="6"/>
  <c r="D1851" i="6"/>
  <c r="F1851" i="6"/>
  <c r="A1852" i="6"/>
  <c r="D1852" i="6" s="1"/>
  <c r="C1852" i="6"/>
  <c r="E1852" i="6"/>
  <c r="F1852" i="6"/>
  <c r="A1853" i="6"/>
  <c r="D1853" i="6" s="1"/>
  <c r="A1854" i="6"/>
  <c r="C1854" i="6"/>
  <c r="D1854" i="6"/>
  <c r="E1854" i="6"/>
  <c r="F1854" i="6"/>
  <c r="A1855" i="6"/>
  <c r="D1855" i="6" s="1"/>
  <c r="A1856" i="6"/>
  <c r="D1856" i="6" s="1"/>
  <c r="C1856" i="6"/>
  <c r="E1856" i="6"/>
  <c r="F1856" i="6"/>
  <c r="A1857" i="6"/>
  <c r="F1857" i="6" s="1"/>
  <c r="D1857" i="6"/>
  <c r="A1858" i="6"/>
  <c r="C1858" i="6"/>
  <c r="D1858" i="6"/>
  <c r="E1858" i="6"/>
  <c r="F1858" i="6"/>
  <c r="A1859" i="6"/>
  <c r="F1859" i="6" s="1"/>
  <c r="D1859" i="6"/>
  <c r="A1860" i="6"/>
  <c r="D1860" i="6" s="1"/>
  <c r="C1860" i="6"/>
  <c r="E1860" i="6"/>
  <c r="F1860" i="6"/>
  <c r="A1861" i="6"/>
  <c r="D1861" i="6"/>
  <c r="F1861" i="6"/>
  <c r="A1862" i="6"/>
  <c r="C1862" i="6"/>
  <c r="D1862" i="6"/>
  <c r="E1862" i="6"/>
  <c r="F1862" i="6"/>
  <c r="A1863" i="6"/>
  <c r="D1863" i="6"/>
  <c r="F1863" i="6"/>
  <c r="A1864" i="6"/>
  <c r="D1864" i="6" s="1"/>
  <c r="C1864" i="6"/>
  <c r="E1864" i="6"/>
  <c r="F1864" i="6"/>
  <c r="A1865" i="6"/>
  <c r="D1865" i="6"/>
  <c r="F1865" i="6"/>
  <c r="A1866" i="6"/>
  <c r="C1866" i="6"/>
  <c r="D1866" i="6"/>
  <c r="E1866" i="6"/>
  <c r="F1866" i="6"/>
  <c r="A1867" i="6"/>
  <c r="D1867" i="6"/>
  <c r="F1867" i="6"/>
  <c r="A1868" i="6"/>
  <c r="D1868" i="6" s="1"/>
  <c r="C1868" i="6"/>
  <c r="E1868" i="6"/>
  <c r="F1868" i="6"/>
  <c r="A1869" i="6"/>
  <c r="D1869" i="6" s="1"/>
  <c r="A1870" i="6"/>
  <c r="C1870" i="6"/>
  <c r="D1870" i="6"/>
  <c r="E1870" i="6"/>
  <c r="F1870" i="6"/>
  <c r="A1871" i="6"/>
  <c r="D1871" i="6" s="1"/>
  <c r="A1872" i="6"/>
  <c r="D1872" i="6" s="1"/>
  <c r="C1872" i="6"/>
  <c r="E1872" i="6"/>
  <c r="F1872" i="6"/>
  <c r="A1873" i="6"/>
  <c r="F1873" i="6" s="1"/>
  <c r="D1873" i="6"/>
  <c r="A1874" i="6"/>
  <c r="C1874" i="6"/>
  <c r="D1874" i="6"/>
  <c r="E1874" i="6"/>
  <c r="F1874" i="6"/>
  <c r="A1875" i="6"/>
  <c r="F1875" i="6" s="1"/>
  <c r="D1875" i="6"/>
  <c r="A1876" i="6"/>
  <c r="D1876" i="6" s="1"/>
  <c r="C1876" i="6"/>
  <c r="E1876" i="6"/>
  <c r="F1876" i="6"/>
  <c r="A1877" i="6"/>
  <c r="D1877" i="6"/>
  <c r="F1877" i="6"/>
  <c r="A1878" i="6"/>
  <c r="C1878" i="6"/>
  <c r="D1878" i="6"/>
  <c r="E1878" i="6"/>
  <c r="F1878" i="6"/>
  <c r="A1879" i="6"/>
  <c r="D1879" i="6"/>
  <c r="F1879" i="6"/>
  <c r="A1880" i="6"/>
  <c r="D1880" i="6" s="1"/>
  <c r="C1880" i="6"/>
  <c r="E1880" i="6"/>
  <c r="F1880" i="6"/>
  <c r="A1881" i="6"/>
  <c r="D1881" i="6"/>
  <c r="F1881" i="6"/>
  <c r="A1882" i="6"/>
  <c r="C1882" i="6"/>
  <c r="D1882" i="6"/>
  <c r="E1882" i="6"/>
  <c r="F1882" i="6"/>
  <c r="A1883" i="6"/>
  <c r="D1883" i="6"/>
  <c r="F1883" i="6"/>
  <c r="A1884" i="6"/>
  <c r="D1884" i="6" s="1"/>
  <c r="C1884" i="6"/>
  <c r="E1884" i="6"/>
  <c r="F1884" i="6"/>
  <c r="A1885" i="6"/>
  <c r="D1885" i="6" s="1"/>
  <c r="A1886" i="6"/>
  <c r="C1886" i="6"/>
  <c r="D1886" i="6"/>
  <c r="E1886" i="6"/>
  <c r="F1886" i="6"/>
  <c r="A1887" i="6"/>
  <c r="D1887" i="6" s="1"/>
  <c r="A1888" i="6"/>
  <c r="D1888" i="6" s="1"/>
  <c r="C1888" i="6"/>
  <c r="E1888" i="6"/>
  <c r="F1888" i="6"/>
  <c r="A1889" i="6"/>
  <c r="F1889" i="6" s="1"/>
  <c r="D1889" i="6"/>
  <c r="A1890" i="6"/>
  <c r="C1890" i="6"/>
  <c r="D1890" i="6"/>
  <c r="E1890" i="6"/>
  <c r="F1890" i="6"/>
  <c r="A1891" i="6"/>
  <c r="F1891" i="6" s="1"/>
  <c r="D1891" i="6"/>
  <c r="A1892" i="6"/>
  <c r="D1892" i="6" s="1"/>
  <c r="C1892" i="6"/>
  <c r="E1892" i="6"/>
  <c r="F1892" i="6"/>
  <c r="A1893" i="6"/>
  <c r="D1893" i="6" s="1"/>
  <c r="F1893" i="6"/>
  <c r="A1894" i="6"/>
  <c r="C1894" i="6"/>
  <c r="D1894" i="6"/>
  <c r="E1894" i="6"/>
  <c r="F1894" i="6"/>
  <c r="A1895" i="6"/>
  <c r="D1895" i="6" s="1"/>
  <c r="F1895" i="6"/>
  <c r="A1896" i="6"/>
  <c r="D1896" i="6" s="1"/>
  <c r="C1896" i="6"/>
  <c r="E1896" i="6"/>
  <c r="F1896" i="6"/>
  <c r="A1897" i="6"/>
  <c r="D1897" i="6"/>
  <c r="F1897" i="6"/>
  <c r="A1898" i="6"/>
  <c r="C1898" i="6"/>
  <c r="D1898" i="6"/>
  <c r="E1898" i="6"/>
  <c r="F1898" i="6"/>
  <c r="A1899" i="6"/>
  <c r="D1899" i="6"/>
  <c r="F1899" i="6"/>
  <c r="A1900" i="6"/>
  <c r="D1900" i="6" s="1"/>
  <c r="C1900" i="6"/>
  <c r="E1900" i="6"/>
  <c r="F1900" i="6"/>
  <c r="A1901" i="6"/>
  <c r="D1901" i="6" s="1"/>
  <c r="A1902" i="6"/>
  <c r="C1902" i="6"/>
  <c r="D1902" i="6"/>
  <c r="E1902" i="6"/>
  <c r="F1902" i="6"/>
  <c r="A1903" i="6"/>
  <c r="D1903" i="6" s="1"/>
  <c r="A1904" i="6"/>
  <c r="D1904" i="6" s="1"/>
  <c r="C1904" i="6"/>
  <c r="E1904" i="6"/>
  <c r="F1904" i="6"/>
  <c r="A1905" i="6"/>
  <c r="F1905" i="6" s="1"/>
  <c r="D1905" i="6"/>
  <c r="A1906" i="6"/>
  <c r="C1906" i="6"/>
  <c r="D1906" i="6"/>
  <c r="E1906" i="6"/>
  <c r="F1906" i="6"/>
  <c r="A1907" i="6"/>
  <c r="F1907" i="6" s="1"/>
  <c r="D1907" i="6"/>
  <c r="A1908" i="6"/>
  <c r="D1908" i="6" s="1"/>
  <c r="C1908" i="6"/>
  <c r="E1908" i="6"/>
  <c r="F1908" i="6"/>
  <c r="A1909" i="6"/>
  <c r="D1909" i="6" s="1"/>
  <c r="F1909" i="6"/>
  <c r="A1910" i="6"/>
  <c r="C1910" i="6"/>
  <c r="D1910" i="6"/>
  <c r="E1910" i="6"/>
  <c r="F1910" i="6"/>
  <c r="A1911" i="6"/>
  <c r="D1911" i="6" s="1"/>
  <c r="F1911" i="6"/>
  <c r="A1912" i="6"/>
  <c r="D1912" i="6" s="1"/>
  <c r="C1912" i="6"/>
  <c r="E1912" i="6"/>
  <c r="F1912" i="6"/>
  <c r="A1913" i="6"/>
  <c r="D1913" i="6"/>
  <c r="F1913" i="6"/>
  <c r="A1914" i="6"/>
  <c r="C1914" i="6"/>
  <c r="D1914" i="6"/>
  <c r="E1914" i="6"/>
  <c r="F1914" i="6"/>
  <c r="A1915" i="6"/>
  <c r="D1915" i="6"/>
  <c r="F1915" i="6"/>
  <c r="A1916" i="6"/>
  <c r="D1916" i="6" s="1"/>
  <c r="C1916" i="6"/>
  <c r="E1916" i="6"/>
  <c r="F1916" i="6"/>
  <c r="A1917" i="6"/>
  <c r="D1917" i="6" s="1"/>
  <c r="A1918" i="6"/>
  <c r="C1918" i="6"/>
  <c r="D1918" i="6"/>
  <c r="E1918" i="6"/>
  <c r="F1918" i="6"/>
  <c r="A1919" i="6"/>
  <c r="D1919" i="6" s="1"/>
  <c r="A1920" i="6"/>
  <c r="D1920" i="6" s="1"/>
  <c r="C1920" i="6"/>
  <c r="E1920" i="6"/>
  <c r="F1920" i="6"/>
  <c r="A1921" i="6"/>
  <c r="F1921" i="6" s="1"/>
  <c r="D1921" i="6"/>
  <c r="A1922" i="6"/>
  <c r="C1922" i="6"/>
  <c r="D1922" i="6"/>
  <c r="E1922" i="6"/>
  <c r="F1922" i="6"/>
  <c r="A1923" i="6"/>
  <c r="F1923" i="6" s="1"/>
  <c r="D1923" i="6"/>
  <c r="A1924" i="6"/>
  <c r="D1924" i="6" s="1"/>
  <c r="C1924" i="6"/>
  <c r="E1924" i="6"/>
  <c r="F1924" i="6"/>
  <c r="A1925" i="6"/>
  <c r="D1925" i="6" s="1"/>
  <c r="F1925" i="6"/>
  <c r="A1926" i="6"/>
  <c r="C1926" i="6"/>
  <c r="D1926" i="6"/>
  <c r="E1926" i="6"/>
  <c r="F1926" i="6"/>
  <c r="A1927" i="6"/>
  <c r="D1927" i="6" s="1"/>
  <c r="F1927" i="6"/>
  <c r="A1928" i="6"/>
  <c r="D1928" i="6" s="1"/>
  <c r="C1928" i="6"/>
  <c r="E1928" i="6"/>
  <c r="F1928" i="6"/>
  <c r="A1929" i="6"/>
  <c r="D1929" i="6"/>
  <c r="F1929" i="6"/>
  <c r="A1930" i="6"/>
  <c r="C1930" i="6"/>
  <c r="D1930" i="6"/>
  <c r="E1930" i="6"/>
  <c r="F1930" i="6"/>
  <c r="G1931" i="6"/>
  <c r="G1936" i="6"/>
  <c r="A1941" i="6"/>
  <c r="D1941" i="6" s="1"/>
  <c r="A1942" i="6"/>
  <c r="D1942" i="6" s="1"/>
  <c r="C1942" i="6"/>
  <c r="E1942" i="6"/>
  <c r="F1942" i="6"/>
  <c r="A1943" i="6"/>
  <c r="F1943" i="6" s="1"/>
  <c r="D1943" i="6"/>
  <c r="A1944" i="6"/>
  <c r="C1944" i="6"/>
  <c r="D1944" i="6"/>
  <c r="E1944" i="6"/>
  <c r="F1944" i="6"/>
  <c r="A1945" i="6"/>
  <c r="F1945" i="6" s="1"/>
  <c r="D1945" i="6"/>
  <c r="A1946" i="6"/>
  <c r="D1946" i="6" s="1"/>
  <c r="C1946" i="6"/>
  <c r="E1946" i="6"/>
  <c r="F1946" i="6"/>
  <c r="A1947" i="6"/>
  <c r="D1947" i="6" s="1"/>
  <c r="F1947" i="6"/>
  <c r="A1948" i="6"/>
  <c r="C1948" i="6"/>
  <c r="D1948" i="6"/>
  <c r="E1948" i="6"/>
  <c r="F1948" i="6"/>
  <c r="A1949" i="6"/>
  <c r="D1949" i="6" s="1"/>
  <c r="F1949" i="6"/>
  <c r="A1950" i="6"/>
  <c r="D1950" i="6" s="1"/>
  <c r="C1950" i="6"/>
  <c r="E1950" i="6"/>
  <c r="F1950" i="6"/>
  <c r="A1951" i="6"/>
  <c r="D1951" i="6"/>
  <c r="F1951" i="6"/>
  <c r="A1952" i="6"/>
  <c r="C1952" i="6"/>
  <c r="D1952" i="6"/>
  <c r="E1952" i="6"/>
  <c r="F1952" i="6"/>
  <c r="A1953" i="6"/>
  <c r="D1953" i="6"/>
  <c r="F1953" i="6"/>
  <c r="A1954" i="6"/>
  <c r="D1954" i="6" s="1"/>
  <c r="C1954" i="6"/>
  <c r="E1954" i="6"/>
  <c r="F1954" i="6"/>
  <c r="A1955" i="6"/>
  <c r="D1955" i="6" s="1"/>
  <c r="A1956" i="6"/>
  <c r="C1956" i="6"/>
  <c r="D1956" i="6"/>
  <c r="E1956" i="6"/>
  <c r="F1956" i="6"/>
  <c r="A1957" i="6"/>
  <c r="D1957" i="6" s="1"/>
  <c r="A1958" i="6"/>
  <c r="D1958" i="6" s="1"/>
  <c r="C1958" i="6"/>
  <c r="E1958" i="6"/>
  <c r="F1958" i="6"/>
  <c r="A1959" i="6"/>
  <c r="F1959" i="6" s="1"/>
  <c r="D1959" i="6"/>
  <c r="A1960" i="6"/>
  <c r="C1960" i="6"/>
  <c r="D1960" i="6"/>
  <c r="E1960" i="6"/>
  <c r="F1960" i="6"/>
  <c r="A1961" i="6"/>
  <c r="F1961" i="6" s="1"/>
  <c r="D1961" i="6"/>
  <c r="A1962" i="6"/>
  <c r="D1962" i="6" s="1"/>
  <c r="C1962" i="6"/>
  <c r="E1962" i="6"/>
  <c r="F1962" i="6"/>
  <c r="A1963" i="6"/>
  <c r="D1963" i="6" s="1"/>
  <c r="F1963" i="6"/>
  <c r="A1964" i="6"/>
  <c r="C1964" i="6"/>
  <c r="D1964" i="6"/>
  <c r="E1964" i="6"/>
  <c r="F1964" i="6"/>
  <c r="A1965" i="6"/>
  <c r="D1965" i="6" s="1"/>
  <c r="F1965" i="6"/>
  <c r="A1966" i="6"/>
  <c r="D1966" i="6" s="1"/>
  <c r="C1966" i="6"/>
  <c r="E1966" i="6"/>
  <c r="F1966" i="6"/>
  <c r="A1967" i="6"/>
  <c r="D1967" i="6"/>
  <c r="F1967" i="6"/>
  <c r="A1968" i="6"/>
  <c r="C1968" i="6"/>
  <c r="D1968" i="6"/>
  <c r="E1968" i="6"/>
  <c r="F1968" i="6"/>
  <c r="A1969" i="6"/>
  <c r="D1969" i="6"/>
  <c r="F1969" i="6"/>
  <c r="A1970" i="6"/>
  <c r="D1970" i="6" s="1"/>
  <c r="C1970" i="6"/>
  <c r="E1970" i="6"/>
  <c r="F1970" i="6"/>
  <c r="A1971" i="6"/>
  <c r="D1971" i="6" s="1"/>
  <c r="A1972" i="6"/>
  <c r="C1972" i="6"/>
  <c r="D1972" i="6"/>
  <c r="E1972" i="6"/>
  <c r="F1972" i="6"/>
  <c r="A1973" i="6"/>
  <c r="D1973" i="6" s="1"/>
  <c r="A1974" i="6"/>
  <c r="D1974" i="6" s="1"/>
  <c r="C1974" i="6"/>
  <c r="E1974" i="6"/>
  <c r="F1974" i="6"/>
  <c r="A1975" i="6"/>
  <c r="F1975" i="6" s="1"/>
  <c r="D1975" i="6"/>
  <c r="A1976" i="6"/>
  <c r="C1976" i="6"/>
  <c r="D1976" i="6"/>
  <c r="E1976" i="6"/>
  <c r="F1976" i="6"/>
  <c r="A1977" i="6"/>
  <c r="F1977" i="6" s="1"/>
  <c r="D1977" i="6"/>
  <c r="A1978" i="6"/>
  <c r="D1978" i="6" s="1"/>
  <c r="C1978" i="6"/>
  <c r="E1978" i="6"/>
  <c r="F1978" i="6"/>
  <c r="A1979" i="6"/>
  <c r="D1979" i="6" s="1"/>
  <c r="F1979" i="6"/>
  <c r="A1980" i="6"/>
  <c r="C1980" i="6"/>
  <c r="D1980" i="6"/>
  <c r="E1980" i="6"/>
  <c r="F1980" i="6"/>
  <c r="A1981" i="6"/>
  <c r="D1981" i="6" s="1"/>
  <c r="F1981" i="6"/>
  <c r="A1982" i="6"/>
  <c r="D1982" i="6" s="1"/>
  <c r="C1982" i="6"/>
  <c r="E1982" i="6"/>
  <c r="F1982" i="6"/>
  <c r="A1983" i="6"/>
  <c r="D1983" i="6"/>
  <c r="F1983" i="6"/>
  <c r="A1984" i="6"/>
  <c r="C1984" i="6"/>
  <c r="D1984" i="6"/>
  <c r="E1984" i="6"/>
  <c r="F1984" i="6"/>
  <c r="A1985" i="6"/>
  <c r="D1985" i="6"/>
  <c r="F1985" i="6"/>
  <c r="A1986" i="6"/>
  <c r="D1986" i="6" s="1"/>
  <c r="C1986" i="6"/>
  <c r="E1986" i="6"/>
  <c r="F1986" i="6"/>
  <c r="A1987" i="6"/>
  <c r="D1987" i="6" s="1"/>
  <c r="A1988" i="6"/>
  <c r="C1988" i="6"/>
  <c r="D1988" i="6"/>
  <c r="E1988" i="6"/>
  <c r="F1988" i="6"/>
  <c r="A1989" i="6"/>
  <c r="D1989" i="6" s="1"/>
  <c r="A1990" i="6"/>
  <c r="D1990" i="6" s="1"/>
  <c r="C1990" i="6"/>
  <c r="E1990" i="6"/>
  <c r="F1990" i="6"/>
  <c r="A1991" i="6"/>
  <c r="F1991" i="6" s="1"/>
  <c r="D1991" i="6"/>
  <c r="A1992" i="6"/>
  <c r="C1992" i="6"/>
  <c r="D1992" i="6"/>
  <c r="E1992" i="6"/>
  <c r="F1992" i="6"/>
  <c r="A1993" i="6"/>
  <c r="F1993" i="6" s="1"/>
  <c r="D1993" i="6"/>
  <c r="A1994" i="6"/>
  <c r="D1994" i="6" s="1"/>
  <c r="C1994" i="6"/>
  <c r="E1994" i="6"/>
  <c r="F1994" i="6"/>
  <c r="A1995" i="6"/>
  <c r="D1995" i="6" s="1"/>
  <c r="F1995" i="6"/>
  <c r="A1996" i="6"/>
  <c r="C1996" i="6"/>
  <c r="D1996" i="6"/>
  <c r="E1996" i="6"/>
  <c r="F1996" i="6"/>
  <c r="A1997" i="6"/>
  <c r="D1997" i="6" s="1"/>
  <c r="F1997" i="6"/>
  <c r="A1998" i="6"/>
  <c r="D1998" i="6" s="1"/>
  <c r="C1998" i="6"/>
  <c r="E1998" i="6"/>
  <c r="F1998" i="6"/>
  <c r="A1999" i="6"/>
  <c r="D1999" i="6"/>
  <c r="F1999" i="6"/>
  <c r="A2000" i="6"/>
  <c r="C2000" i="6"/>
  <c r="D2000" i="6"/>
  <c r="E2000" i="6"/>
  <c r="F2000" i="6"/>
  <c r="A2001" i="6"/>
  <c r="D2001" i="6"/>
  <c r="F2001" i="6"/>
  <c r="A2002" i="6"/>
  <c r="D2002" i="6" s="1"/>
  <c r="C2002" i="6"/>
  <c r="E2002" i="6"/>
  <c r="F2002" i="6"/>
  <c r="A2003" i="6"/>
  <c r="D2003" i="6" s="1"/>
  <c r="A2004" i="6"/>
  <c r="C2004" i="6"/>
  <c r="D2004" i="6"/>
  <c r="E2004" i="6"/>
  <c r="F2004" i="6"/>
  <c r="A2005" i="6"/>
  <c r="D2005" i="6" s="1"/>
  <c r="A2006" i="6"/>
  <c r="D2006" i="6" s="1"/>
  <c r="C2006" i="6"/>
  <c r="E2006" i="6"/>
  <c r="F2006" i="6"/>
  <c r="A2007" i="6"/>
  <c r="F2007" i="6" s="1"/>
  <c r="D2007" i="6"/>
  <c r="A2008" i="6"/>
  <c r="C2008" i="6"/>
  <c r="D2008" i="6"/>
  <c r="E2008" i="6"/>
  <c r="F2008" i="6"/>
  <c r="A2009" i="6"/>
  <c r="F2009" i="6" s="1"/>
  <c r="D2009" i="6"/>
  <c r="A2010" i="6"/>
  <c r="D2010" i="6" s="1"/>
  <c r="C2010" i="6"/>
  <c r="E2010" i="6"/>
  <c r="F2010" i="6"/>
  <c r="A2011" i="6"/>
  <c r="D2011" i="6" s="1"/>
  <c r="F2011" i="6"/>
  <c r="A2012" i="6"/>
  <c r="C2012" i="6"/>
  <c r="D2012" i="6"/>
  <c r="E2012" i="6"/>
  <c r="F2012" i="6"/>
  <c r="A2013" i="6"/>
  <c r="D2013" i="6" s="1"/>
  <c r="F2013" i="6"/>
  <c r="A2014" i="6"/>
  <c r="D2014" i="6" s="1"/>
  <c r="C2014" i="6"/>
  <c r="E2014" i="6"/>
  <c r="F2014" i="6"/>
  <c r="A2015" i="6"/>
  <c r="D2015" i="6"/>
  <c r="F2015" i="6"/>
  <c r="A2016" i="6"/>
  <c r="C2016" i="6"/>
  <c r="D2016" i="6"/>
  <c r="E2016" i="6"/>
  <c r="F2016" i="6"/>
  <c r="A2017" i="6"/>
  <c r="E2017" i="6" s="1"/>
  <c r="C2017" i="6"/>
  <c r="D2017" i="6"/>
  <c r="F2017" i="6"/>
  <c r="A2018" i="6"/>
  <c r="D2018" i="6" s="1"/>
  <c r="C2018" i="6"/>
  <c r="E2018" i="6"/>
  <c r="F2018" i="6"/>
  <c r="A2019" i="6"/>
  <c r="C2019" i="6" s="1"/>
  <c r="D2019" i="6"/>
  <c r="E2019" i="6"/>
  <c r="F2019" i="6"/>
  <c r="A2020" i="6"/>
  <c r="C2020" i="6"/>
  <c r="D2020" i="6"/>
  <c r="E2020" i="6"/>
  <c r="F2020" i="6"/>
  <c r="A2021" i="6"/>
  <c r="E2021" i="6" s="1"/>
  <c r="D2021" i="6"/>
  <c r="A2022" i="6"/>
  <c r="D2022" i="6" s="1"/>
  <c r="E2022" i="6"/>
  <c r="A2023" i="6"/>
  <c r="C2023" i="6" s="1"/>
  <c r="E2023" i="6"/>
  <c r="A2024" i="6"/>
  <c r="C2024" i="6"/>
  <c r="D2024" i="6"/>
  <c r="E2024" i="6"/>
  <c r="F2024" i="6"/>
  <c r="A2025" i="6"/>
  <c r="E2025" i="6" s="1"/>
  <c r="C2025" i="6"/>
  <c r="F2025" i="6"/>
  <c r="A2026" i="6"/>
  <c r="D2026" i="6" s="1"/>
  <c r="C2026" i="6"/>
  <c r="F2026" i="6"/>
  <c r="A2027" i="6"/>
  <c r="C2027" i="6" s="1"/>
  <c r="D2027" i="6"/>
  <c r="F2027" i="6"/>
  <c r="A2028" i="6"/>
  <c r="C2028" i="6"/>
  <c r="D2028" i="6"/>
  <c r="E2028" i="6"/>
  <c r="F2028" i="6"/>
  <c r="A2029" i="6"/>
  <c r="E2029" i="6" s="1"/>
  <c r="A2030" i="6"/>
  <c r="D2030" i="6" s="1"/>
  <c r="A2031" i="6"/>
  <c r="C2031" i="6" s="1"/>
  <c r="A2032" i="6"/>
  <c r="C2032" i="6"/>
  <c r="D2032" i="6"/>
  <c r="E2032" i="6"/>
  <c r="F2032" i="6"/>
  <c r="A2033" i="6"/>
  <c r="E2033" i="6" s="1"/>
  <c r="C2033" i="6"/>
  <c r="D2033" i="6"/>
  <c r="F2033" i="6"/>
  <c r="A2034" i="6"/>
  <c r="D2034" i="6" s="1"/>
  <c r="C2034" i="6"/>
  <c r="E2034" i="6"/>
  <c r="F2034" i="6"/>
  <c r="A2035" i="6"/>
  <c r="C2035" i="6" s="1"/>
  <c r="D2035" i="6"/>
  <c r="E2035" i="6"/>
  <c r="F2035" i="6"/>
  <c r="A2036" i="6"/>
  <c r="C2036" i="6"/>
  <c r="D2036" i="6"/>
  <c r="E2036" i="6"/>
  <c r="F2036" i="6"/>
  <c r="A2037" i="6"/>
  <c r="E2037" i="6" s="1"/>
  <c r="D2037" i="6"/>
  <c r="A2038" i="6"/>
  <c r="D2038" i="6" s="1"/>
  <c r="E2038" i="6"/>
  <c r="A2039" i="6"/>
  <c r="C2039" i="6" s="1"/>
  <c r="E2039" i="6"/>
  <c r="A2040" i="6"/>
  <c r="C2040" i="6"/>
  <c r="D2040" i="6"/>
  <c r="E2040" i="6"/>
  <c r="F2040" i="6"/>
  <c r="A2041" i="6"/>
  <c r="E2041" i="6" s="1"/>
  <c r="C2041" i="6"/>
  <c r="F2041" i="6"/>
  <c r="A2042" i="6"/>
  <c r="D2042" i="6" s="1"/>
  <c r="C2042" i="6"/>
  <c r="F2042" i="6"/>
  <c r="A2043" i="6"/>
  <c r="C2043" i="6" s="1"/>
  <c r="D2043" i="6"/>
  <c r="F2043" i="6"/>
  <c r="A2044" i="6"/>
  <c r="C2044" i="6"/>
  <c r="D2044" i="6"/>
  <c r="E2044" i="6"/>
  <c r="F2044" i="6"/>
  <c r="A2045" i="6"/>
  <c r="E2045" i="6" s="1"/>
  <c r="A2046" i="6"/>
  <c r="D2046" i="6" s="1"/>
  <c r="A2047" i="6"/>
  <c r="C2047" i="6" s="1"/>
  <c r="A2048" i="6"/>
  <c r="C2048" i="6"/>
  <c r="D2048" i="6"/>
  <c r="E2048" i="6"/>
  <c r="F2048" i="6"/>
  <c r="A2049" i="6"/>
  <c r="E2049" i="6" s="1"/>
  <c r="C2049" i="6"/>
  <c r="D2049" i="6"/>
  <c r="F2049" i="6"/>
  <c r="A2050" i="6"/>
  <c r="D2050" i="6" s="1"/>
  <c r="C2050" i="6"/>
  <c r="E2050" i="6"/>
  <c r="F2050" i="6"/>
  <c r="A2051" i="6"/>
  <c r="C2051" i="6" s="1"/>
  <c r="D2051" i="6"/>
  <c r="E2051" i="6"/>
  <c r="F2051" i="6"/>
  <c r="A2052" i="6"/>
  <c r="C2052" i="6"/>
  <c r="D2052" i="6"/>
  <c r="E2052" i="6"/>
  <c r="F2052" i="6"/>
  <c r="A2053" i="6"/>
  <c r="E2053" i="6" s="1"/>
  <c r="D2053" i="6"/>
  <c r="A2054" i="6"/>
  <c r="D2054" i="6" s="1"/>
  <c r="E2054" i="6"/>
  <c r="A2055" i="6"/>
  <c r="C2055" i="6" s="1"/>
  <c r="E2055" i="6"/>
  <c r="A2056" i="6"/>
  <c r="C2056" i="6"/>
  <c r="D2056" i="6"/>
  <c r="E2056" i="6"/>
  <c r="F2056" i="6"/>
  <c r="A2057" i="6"/>
  <c r="E2057" i="6" s="1"/>
  <c r="C2057" i="6"/>
  <c r="F2057" i="6"/>
  <c r="A2058" i="6"/>
  <c r="D2058" i="6" s="1"/>
  <c r="C2058" i="6"/>
  <c r="F2058" i="6"/>
  <c r="A2059" i="6"/>
  <c r="C2059" i="6" s="1"/>
  <c r="D2059" i="6"/>
  <c r="F2059" i="6"/>
  <c r="A2060" i="6"/>
  <c r="C2060" i="6"/>
  <c r="D2060" i="6"/>
  <c r="E2060" i="6"/>
  <c r="F2060" i="6"/>
  <c r="A2061" i="6"/>
  <c r="E2061" i="6" s="1"/>
  <c r="A2062" i="6"/>
  <c r="D2062" i="6" s="1"/>
  <c r="A2063" i="6"/>
  <c r="C2063" i="6" s="1"/>
  <c r="A2064" i="6"/>
  <c r="C2064" i="6"/>
  <c r="D2064" i="6"/>
  <c r="E2064" i="6"/>
  <c r="F2064" i="6"/>
  <c r="A2065" i="6"/>
  <c r="E2065" i="6" s="1"/>
  <c r="C2065" i="6"/>
  <c r="D2065" i="6"/>
  <c r="F2065" i="6"/>
  <c r="A2066" i="6"/>
  <c r="D2066" i="6" s="1"/>
  <c r="C2066" i="6"/>
  <c r="E2066" i="6"/>
  <c r="F2066" i="6"/>
  <c r="A2067" i="6"/>
  <c r="C2067" i="6" s="1"/>
  <c r="D2067" i="6"/>
  <c r="E2067" i="6"/>
  <c r="F2067" i="6"/>
  <c r="A2068" i="6"/>
  <c r="C2068" i="6"/>
  <c r="D2068" i="6"/>
  <c r="E2068" i="6"/>
  <c r="F2068" i="6"/>
  <c r="A2069" i="6"/>
  <c r="E2069" i="6" s="1"/>
  <c r="D2069" i="6"/>
  <c r="A2070" i="6"/>
  <c r="D2070" i="6" s="1"/>
  <c r="E2070" i="6"/>
  <c r="A2071" i="6"/>
  <c r="C2071" i="6" s="1"/>
  <c r="E2071" i="6"/>
  <c r="A2072" i="6"/>
  <c r="C2072" i="6"/>
  <c r="D2072" i="6"/>
  <c r="E2072" i="6"/>
  <c r="F2072" i="6"/>
  <c r="A2073" i="6"/>
  <c r="E2073" i="6" s="1"/>
  <c r="C2073" i="6"/>
  <c r="F2073" i="6"/>
  <c r="A2074" i="6"/>
  <c r="D2074" i="6" s="1"/>
  <c r="C2074" i="6"/>
  <c r="F2074" i="6"/>
  <c r="A2075" i="6"/>
  <c r="C2075" i="6" s="1"/>
  <c r="D2075" i="6"/>
  <c r="F2075" i="6"/>
  <c r="A2076" i="6"/>
  <c r="C2076" i="6"/>
  <c r="D2076" i="6"/>
  <c r="E2076" i="6"/>
  <c r="F2076" i="6"/>
  <c r="A2077" i="6"/>
  <c r="E2077" i="6" s="1"/>
  <c r="A2078" i="6"/>
  <c r="D2078" i="6" s="1"/>
  <c r="A2079" i="6"/>
  <c r="C2079" i="6" s="1"/>
  <c r="A2080" i="6"/>
  <c r="C2080" i="6"/>
  <c r="D2080" i="6"/>
  <c r="E2080" i="6"/>
  <c r="F2080" i="6"/>
  <c r="A2081" i="6"/>
  <c r="E2081" i="6" s="1"/>
  <c r="C2081" i="6"/>
  <c r="D2081" i="6"/>
  <c r="F2081" i="6"/>
  <c r="A2082" i="6"/>
  <c r="D2082" i="6" s="1"/>
  <c r="C2082" i="6"/>
  <c r="E2082" i="6"/>
  <c r="F2082" i="6"/>
  <c r="A2083" i="6"/>
  <c r="C2083" i="6" s="1"/>
  <c r="D2083" i="6"/>
  <c r="E2083" i="6"/>
  <c r="F2083" i="6"/>
  <c r="A2084" i="6"/>
  <c r="C2084" i="6"/>
  <c r="D2084" i="6"/>
  <c r="E2084" i="6"/>
  <c r="F2084" i="6"/>
  <c r="A2085" i="6"/>
  <c r="E2085" i="6" s="1"/>
  <c r="D2085" i="6"/>
  <c r="A2086" i="6"/>
  <c r="D2086" i="6" s="1"/>
  <c r="E2086" i="6"/>
  <c r="A2087" i="6"/>
  <c r="C2087" i="6" s="1"/>
  <c r="E2087" i="6"/>
  <c r="A2088" i="6"/>
  <c r="C2088" i="6"/>
  <c r="D2088" i="6"/>
  <c r="E2088" i="6"/>
  <c r="F2088" i="6"/>
  <c r="A2089" i="6"/>
  <c r="E2089" i="6" s="1"/>
  <c r="C2089" i="6"/>
  <c r="F2089" i="6"/>
  <c r="A2090" i="6"/>
  <c r="D2090" i="6" s="1"/>
  <c r="C2090" i="6"/>
  <c r="F2090" i="6"/>
  <c r="A2091" i="6"/>
  <c r="C2091" i="6" s="1"/>
  <c r="D2091" i="6"/>
  <c r="F2091" i="6"/>
  <c r="A2092" i="6"/>
  <c r="C2092" i="6"/>
  <c r="D2092" i="6"/>
  <c r="E2092" i="6"/>
  <c r="F2092" i="6"/>
  <c r="A2093" i="6"/>
  <c r="E2093" i="6" s="1"/>
  <c r="A2094" i="6"/>
  <c r="D2094" i="6" s="1"/>
  <c r="G2095" i="6"/>
  <c r="G2100" i="6"/>
  <c r="A2105" i="6"/>
  <c r="C2105" i="6" s="1"/>
  <c r="A2106" i="6"/>
  <c r="C2106" i="6"/>
  <c r="D2106" i="6"/>
  <c r="E2106" i="6"/>
  <c r="F2106" i="6"/>
  <c r="A2107" i="6"/>
  <c r="E2107" i="6" s="1"/>
  <c r="C2107" i="6"/>
  <c r="D2107" i="6"/>
  <c r="F2107" i="6"/>
  <c r="A2108" i="6"/>
  <c r="D2108" i="6" s="1"/>
  <c r="C2108" i="6"/>
  <c r="E2108" i="6"/>
  <c r="F2108" i="6"/>
  <c r="A2109" i="6"/>
  <c r="C2109" i="6" s="1"/>
  <c r="D2109" i="6"/>
  <c r="E2109" i="6"/>
  <c r="F2109" i="6"/>
  <c r="A2110" i="6"/>
  <c r="C2110" i="6"/>
  <c r="D2110" i="6"/>
  <c r="E2110" i="6"/>
  <c r="F2110" i="6"/>
  <c r="A2111" i="6"/>
  <c r="E2111" i="6" s="1"/>
  <c r="D2111" i="6"/>
  <c r="A2112" i="6"/>
  <c r="D2112" i="6" s="1"/>
  <c r="E2112" i="6"/>
  <c r="A2113" i="6"/>
  <c r="C2113" i="6" s="1"/>
  <c r="E2113" i="6"/>
  <c r="A2114" i="6"/>
  <c r="C2114" i="6"/>
  <c r="D2114" i="6"/>
  <c r="E2114" i="6"/>
  <c r="F2114" i="6"/>
  <c r="A2115" i="6"/>
  <c r="E2115" i="6" s="1"/>
  <c r="C2115" i="6"/>
  <c r="F2115" i="6"/>
  <c r="A2116" i="6"/>
  <c r="D2116" i="6" s="1"/>
  <c r="C2116" i="6"/>
  <c r="F2116" i="6"/>
  <c r="A2117" i="6"/>
  <c r="C2117" i="6" s="1"/>
  <c r="D2117" i="6"/>
  <c r="F2117" i="6"/>
  <c r="A2118" i="6"/>
  <c r="C2118" i="6"/>
  <c r="D2118" i="6"/>
  <c r="E2118" i="6"/>
  <c r="F2118" i="6"/>
  <c r="A2119" i="6"/>
  <c r="E2119" i="6" s="1"/>
  <c r="A2120" i="6"/>
  <c r="D2120" i="6" s="1"/>
  <c r="A2121" i="6"/>
  <c r="C2121" i="6" s="1"/>
  <c r="A2122" i="6"/>
  <c r="C2122" i="6"/>
  <c r="D2122" i="6"/>
  <c r="E2122" i="6"/>
  <c r="F2122" i="6"/>
  <c r="A2123" i="6"/>
  <c r="E2123" i="6" s="1"/>
  <c r="C2123" i="6"/>
  <c r="D2123" i="6"/>
  <c r="F2123" i="6"/>
  <c r="A2124" i="6"/>
  <c r="D2124" i="6" s="1"/>
  <c r="C2124" i="6"/>
  <c r="E2124" i="6"/>
  <c r="F2124" i="6"/>
  <c r="A2125" i="6"/>
  <c r="C2125" i="6" s="1"/>
  <c r="D2125" i="6"/>
  <c r="E2125" i="6"/>
  <c r="F2125" i="6"/>
  <c r="A2126" i="6"/>
  <c r="C2126" i="6"/>
  <c r="D2126" i="6"/>
  <c r="E2126" i="6"/>
  <c r="F2126" i="6"/>
  <c r="A2127" i="6"/>
  <c r="E2127" i="6" s="1"/>
  <c r="D2127" i="6"/>
  <c r="A2128" i="6"/>
  <c r="D2128" i="6" s="1"/>
  <c r="E2128" i="6"/>
  <c r="A2129" i="6"/>
  <c r="C2129" i="6" s="1"/>
  <c r="E2129" i="6"/>
  <c r="A2130" i="6"/>
  <c r="C2130" i="6"/>
  <c r="D2130" i="6"/>
  <c r="E2130" i="6"/>
  <c r="F2130" i="6"/>
  <c r="A2131" i="6"/>
  <c r="E2131" i="6" s="1"/>
  <c r="C2131" i="6"/>
  <c r="F2131" i="6"/>
  <c r="A2132" i="6"/>
  <c r="D2132" i="6" s="1"/>
  <c r="C2132" i="6"/>
  <c r="F2132" i="6"/>
  <c r="A2133" i="6"/>
  <c r="C2133" i="6" s="1"/>
  <c r="D2133" i="6"/>
  <c r="F2133" i="6"/>
  <c r="A2134" i="6"/>
  <c r="C2134" i="6"/>
  <c r="D2134" i="6"/>
  <c r="E2134" i="6"/>
  <c r="F2134" i="6"/>
  <c r="A2135" i="6"/>
  <c r="E2135" i="6" s="1"/>
  <c r="A2136" i="6"/>
  <c r="D2136" i="6" s="1"/>
  <c r="A2137" i="6"/>
  <c r="C2137" i="6" s="1"/>
  <c r="A2138" i="6"/>
  <c r="C2138" i="6"/>
  <c r="D2138" i="6"/>
  <c r="E2138" i="6"/>
  <c r="F2138" i="6"/>
  <c r="A2139" i="6"/>
  <c r="E2139" i="6" s="1"/>
  <c r="C2139" i="6"/>
  <c r="D2139" i="6"/>
  <c r="F2139" i="6"/>
  <c r="A2140" i="6"/>
  <c r="D2140" i="6" s="1"/>
  <c r="C2140" i="6"/>
  <c r="E2140" i="6"/>
  <c r="F2140" i="6"/>
  <c r="A2141" i="6"/>
  <c r="C2141" i="6" s="1"/>
  <c r="D2141" i="6"/>
  <c r="E2141" i="6"/>
  <c r="F2141" i="6"/>
  <c r="A2142" i="6"/>
  <c r="C2142" i="6"/>
  <c r="D2142" i="6"/>
  <c r="E2142" i="6"/>
  <c r="F2142" i="6"/>
  <c r="A2143" i="6"/>
  <c r="E2143" i="6" s="1"/>
  <c r="D2143" i="6"/>
  <c r="A2144" i="6"/>
  <c r="D2144" i="6" s="1"/>
  <c r="E2144" i="6"/>
  <c r="A2145" i="6"/>
  <c r="C2145" i="6" s="1"/>
  <c r="E2145" i="6"/>
  <c r="A2146" i="6"/>
  <c r="C2146" i="6"/>
  <c r="D2146" i="6"/>
  <c r="E2146" i="6"/>
  <c r="F2146" i="6"/>
  <c r="G2147" i="6"/>
  <c r="G2152" i="6"/>
  <c r="A2157" i="6"/>
  <c r="E2157" i="6" s="1"/>
  <c r="D2157" i="6"/>
  <c r="A2158" i="6"/>
  <c r="D2158" i="6" s="1"/>
  <c r="E2158" i="6"/>
  <c r="A2159" i="6"/>
  <c r="C2159" i="6" s="1"/>
  <c r="E2159" i="6"/>
  <c r="A2160" i="6"/>
  <c r="C2160" i="6"/>
  <c r="D2160" i="6"/>
  <c r="E2160" i="6"/>
  <c r="F2160" i="6"/>
  <c r="A2161" i="6"/>
  <c r="E2161" i="6" s="1"/>
  <c r="C2161" i="6"/>
  <c r="F2161" i="6"/>
  <c r="A2162" i="6"/>
  <c r="D2162" i="6" s="1"/>
  <c r="C2162" i="6"/>
  <c r="F2162" i="6"/>
  <c r="A2163" i="6"/>
  <c r="C2163" i="6" s="1"/>
  <c r="D2163" i="6"/>
  <c r="F2163" i="6"/>
  <c r="A2164" i="6"/>
  <c r="C2164" i="6"/>
  <c r="D2164" i="6"/>
  <c r="E2164" i="6"/>
  <c r="F2164" i="6"/>
  <c r="A2165" i="6"/>
  <c r="E2165" i="6" s="1"/>
  <c r="A2166" i="6"/>
  <c r="D2166" i="6" s="1"/>
  <c r="A2167" i="6"/>
  <c r="C2167" i="6" s="1"/>
  <c r="A2168" i="6"/>
  <c r="C2168" i="6"/>
  <c r="D2168" i="6"/>
  <c r="E2168" i="6"/>
  <c r="F2168" i="6"/>
  <c r="A2169" i="6"/>
  <c r="E2169" i="6" s="1"/>
  <c r="C2169" i="6"/>
  <c r="D2169" i="6"/>
  <c r="F2169" i="6"/>
  <c r="A2170" i="6"/>
  <c r="D2170" i="6" s="1"/>
  <c r="C2170" i="6"/>
  <c r="E2170" i="6"/>
  <c r="F2170" i="6"/>
  <c r="A2171" i="6"/>
  <c r="C2171" i="6" s="1"/>
  <c r="D2171" i="6"/>
  <c r="E2171" i="6"/>
  <c r="F2171" i="6"/>
  <c r="A2172" i="6"/>
  <c r="C2172" i="6"/>
  <c r="D2172" i="6"/>
  <c r="E2172" i="6"/>
  <c r="F2172" i="6"/>
  <c r="A2173" i="6"/>
  <c r="E2173" i="6" s="1"/>
  <c r="D2173" i="6"/>
  <c r="A2174" i="6"/>
  <c r="D2174" i="6" s="1"/>
  <c r="E2174" i="6"/>
  <c r="A2175" i="6"/>
  <c r="C2175" i="6" s="1"/>
  <c r="E2175" i="6"/>
  <c r="A2176" i="6"/>
  <c r="C2176" i="6"/>
  <c r="D2176" i="6"/>
  <c r="E2176" i="6"/>
  <c r="F2176" i="6"/>
  <c r="A2177" i="6"/>
  <c r="E2177" i="6" s="1"/>
  <c r="C2177" i="6"/>
  <c r="F2177" i="6"/>
  <c r="A2178" i="6"/>
  <c r="D2178" i="6" s="1"/>
  <c r="C2178" i="6"/>
  <c r="F2178" i="6"/>
  <c r="A2179" i="6"/>
  <c r="C2179" i="6" s="1"/>
  <c r="D2179" i="6"/>
  <c r="F2179" i="6"/>
  <c r="A2180" i="6"/>
  <c r="C2180" i="6"/>
  <c r="D2180" i="6"/>
  <c r="E2180" i="6"/>
  <c r="F2180" i="6"/>
  <c r="A2181" i="6"/>
  <c r="E2181" i="6" s="1"/>
  <c r="A2182" i="6"/>
  <c r="D2182" i="6" s="1"/>
  <c r="A2183" i="6"/>
  <c r="C2183" i="6" s="1"/>
  <c r="A2184" i="6"/>
  <c r="C2184" i="6"/>
  <c r="D2184" i="6"/>
  <c r="E2184" i="6"/>
  <c r="F2184" i="6"/>
  <c r="A2185" i="6"/>
  <c r="E2185" i="6" s="1"/>
  <c r="C2185" i="6"/>
  <c r="D2185" i="6"/>
  <c r="F2185" i="6"/>
  <c r="A2186" i="6"/>
  <c r="D2186" i="6" s="1"/>
  <c r="C2186" i="6"/>
  <c r="E2186" i="6"/>
  <c r="F2186" i="6"/>
  <c r="A2187" i="6"/>
  <c r="C2187" i="6" s="1"/>
  <c r="D2187" i="6"/>
  <c r="E2187" i="6"/>
  <c r="F2187" i="6"/>
  <c r="A2188" i="6"/>
  <c r="C2188" i="6"/>
  <c r="D2188" i="6"/>
  <c r="E2188" i="6"/>
  <c r="F2188" i="6"/>
  <c r="A2189" i="6"/>
  <c r="E2189" i="6" s="1"/>
  <c r="D2189" i="6"/>
  <c r="A2190" i="6"/>
  <c r="D2190" i="6" s="1"/>
  <c r="E2190" i="6"/>
  <c r="A2191" i="6"/>
  <c r="C2191" i="6" s="1"/>
  <c r="D2191" i="6"/>
  <c r="F2191" i="6"/>
  <c r="A2192" i="6"/>
  <c r="D2192" i="6" s="1"/>
  <c r="C2192" i="6"/>
  <c r="E2192" i="6"/>
  <c r="F2192" i="6"/>
  <c r="A2193" i="6"/>
  <c r="D2193" i="6" s="1"/>
  <c r="F2193" i="6"/>
  <c r="A2194" i="6"/>
  <c r="C2194" i="6"/>
  <c r="D2194" i="6"/>
  <c r="E2194" i="6"/>
  <c r="F2194" i="6"/>
  <c r="A2195" i="6"/>
  <c r="C2195" i="6" s="1"/>
  <c r="D2195" i="6"/>
  <c r="F2195" i="6"/>
  <c r="A2196" i="6"/>
  <c r="D2196" i="6" s="1"/>
  <c r="C2196" i="6"/>
  <c r="E2196" i="6"/>
  <c r="F2196" i="6"/>
  <c r="A2197" i="6"/>
  <c r="D2197" i="6" s="1"/>
  <c r="F2197" i="6"/>
  <c r="A2198" i="6"/>
  <c r="C2198" i="6"/>
  <c r="D2198" i="6"/>
  <c r="E2198" i="6"/>
  <c r="F2198" i="6"/>
  <c r="A2199" i="6"/>
  <c r="C2199" i="6" s="1"/>
  <c r="D2199" i="6"/>
  <c r="F2199" i="6"/>
  <c r="A2200" i="6"/>
  <c r="D2200" i="6" s="1"/>
  <c r="C2200" i="6"/>
  <c r="E2200" i="6"/>
  <c r="F2200" i="6"/>
  <c r="A2201" i="6"/>
  <c r="D2201" i="6" s="1"/>
  <c r="F2201" i="6"/>
  <c r="G2202" i="6"/>
  <c r="G2207" i="6"/>
  <c r="A2212" i="6"/>
  <c r="C2212" i="6"/>
  <c r="D2212" i="6"/>
  <c r="E2212" i="6"/>
  <c r="F2212" i="6"/>
  <c r="A2213" i="6"/>
  <c r="C2213" i="6" s="1"/>
  <c r="D2213" i="6"/>
  <c r="F2213" i="6"/>
  <c r="A2214" i="6"/>
  <c r="D2214" i="6" s="1"/>
  <c r="C2214" i="6"/>
  <c r="E2214" i="6"/>
  <c r="F2214" i="6"/>
  <c r="A2215" i="6"/>
  <c r="D2215" i="6" s="1"/>
  <c r="F2215" i="6"/>
  <c r="A2216" i="6"/>
  <c r="C2216" i="6"/>
  <c r="D2216" i="6"/>
  <c r="E2216" i="6"/>
  <c r="F2216" i="6"/>
  <c r="A2217" i="6"/>
  <c r="C2217" i="6" s="1"/>
  <c r="D2217" i="6"/>
  <c r="F2217" i="6"/>
  <c r="A2218" i="6"/>
  <c r="D2218" i="6" s="1"/>
  <c r="C2218" i="6"/>
  <c r="E2218" i="6"/>
  <c r="F2218" i="6"/>
  <c r="A2219" i="6"/>
  <c r="D2219" i="6" s="1"/>
  <c r="F2219" i="6"/>
  <c r="A2220" i="6"/>
  <c r="C2220" i="6"/>
  <c r="D2220" i="6"/>
  <c r="E2220" i="6"/>
  <c r="F2220" i="6"/>
  <c r="A2221" i="6"/>
  <c r="C2221" i="6" s="1"/>
  <c r="D2221" i="6"/>
  <c r="F2221" i="6"/>
  <c r="A2222" i="6"/>
  <c r="D2222" i="6" s="1"/>
  <c r="C2222" i="6"/>
  <c r="E2222" i="6"/>
  <c r="F2222" i="6"/>
  <c r="A2223" i="6"/>
  <c r="D2223" i="6" s="1"/>
  <c r="F2223" i="6"/>
  <c r="A2224" i="6"/>
  <c r="C2224" i="6"/>
  <c r="D2224" i="6"/>
  <c r="E2224" i="6"/>
  <c r="F2224" i="6"/>
  <c r="A2225" i="6"/>
  <c r="C2225" i="6" s="1"/>
  <c r="D2225" i="6"/>
  <c r="F2225" i="6"/>
  <c r="A2226" i="6"/>
  <c r="D2226" i="6" s="1"/>
  <c r="C2226" i="6"/>
  <c r="E2226" i="6"/>
  <c r="F2226" i="6"/>
  <c r="A2227" i="6"/>
  <c r="D2227" i="6" s="1"/>
  <c r="F2227" i="6"/>
  <c r="A2228" i="6"/>
  <c r="C2228" i="6"/>
  <c r="D2228" i="6"/>
  <c r="E2228" i="6"/>
  <c r="F2228" i="6"/>
  <c r="A2229" i="6"/>
  <c r="C2229" i="6" s="1"/>
  <c r="D2229" i="6"/>
  <c r="F2229" i="6"/>
  <c r="A2230" i="6"/>
  <c r="D2230" i="6" s="1"/>
  <c r="C2230" i="6"/>
  <c r="E2230" i="6"/>
  <c r="F2230" i="6"/>
  <c r="A2231" i="6"/>
  <c r="D2231" i="6" s="1"/>
  <c r="F2231" i="6"/>
  <c r="A2232" i="6"/>
  <c r="C2232" i="6"/>
  <c r="D2232" i="6"/>
  <c r="E2232" i="6"/>
  <c r="F2232" i="6"/>
  <c r="A2233" i="6"/>
  <c r="C2233" i="6" s="1"/>
  <c r="D2233" i="6"/>
  <c r="F2233" i="6"/>
  <c r="A2234" i="6"/>
  <c r="D2234" i="6" s="1"/>
  <c r="C2234" i="6"/>
  <c r="E2234" i="6"/>
  <c r="F2234" i="6"/>
  <c r="A2235" i="6"/>
  <c r="D2235" i="6" s="1"/>
  <c r="F2235" i="6"/>
  <c r="A2236" i="6"/>
  <c r="C2236" i="6"/>
  <c r="D2236" i="6"/>
  <c r="E2236" i="6"/>
  <c r="F2236" i="6"/>
  <c r="A2237" i="6"/>
  <c r="C2237" i="6" s="1"/>
  <c r="D2237" i="6"/>
  <c r="F2237" i="6"/>
  <c r="A2238" i="6"/>
  <c r="D2238" i="6" s="1"/>
  <c r="C2238" i="6"/>
  <c r="E2238" i="6"/>
  <c r="F2238" i="6"/>
  <c r="A2239" i="6"/>
  <c r="D2239" i="6" s="1"/>
  <c r="F2239" i="6"/>
  <c r="A2240" i="6"/>
  <c r="C2240" i="6"/>
  <c r="D2240" i="6"/>
  <c r="E2240" i="6"/>
  <c r="F2240" i="6"/>
  <c r="A2241" i="6"/>
  <c r="C2241" i="6" s="1"/>
  <c r="D2241" i="6"/>
  <c r="F2241" i="6"/>
  <c r="A2242" i="6"/>
  <c r="D2242" i="6" s="1"/>
  <c r="C2242" i="6"/>
  <c r="E2242" i="6"/>
  <c r="F2242" i="6"/>
  <c r="A2243" i="6"/>
  <c r="D2243" i="6" s="1"/>
  <c r="F2243" i="6"/>
  <c r="A2244" i="6"/>
  <c r="C2244" i="6"/>
  <c r="D2244" i="6"/>
  <c r="E2244" i="6"/>
  <c r="F2244" i="6"/>
  <c r="A2245" i="6"/>
  <c r="C2245" i="6" s="1"/>
  <c r="D2245" i="6"/>
  <c r="F2245" i="6"/>
  <c r="A2246" i="6"/>
  <c r="D2246" i="6" s="1"/>
  <c r="C2246" i="6"/>
  <c r="E2246" i="6"/>
  <c r="F2246" i="6"/>
  <c r="A2247" i="6"/>
  <c r="D2247" i="6" s="1"/>
  <c r="F2247" i="6"/>
  <c r="A2248" i="6"/>
  <c r="C2248" i="6"/>
  <c r="D2248" i="6"/>
  <c r="E2248" i="6"/>
  <c r="F2248" i="6"/>
  <c r="A2249" i="6"/>
  <c r="C2249" i="6" s="1"/>
  <c r="D2249" i="6"/>
  <c r="F2249" i="6"/>
  <c r="A2250" i="6"/>
  <c r="D2250" i="6" s="1"/>
  <c r="C2250" i="6"/>
  <c r="E2250" i="6"/>
  <c r="F2250" i="6"/>
  <c r="G2251" i="6"/>
  <c r="G2256" i="6"/>
  <c r="A2261" i="6"/>
  <c r="D2261" i="6" s="1"/>
  <c r="F2261" i="6"/>
  <c r="A2262" i="6"/>
  <c r="C2262" i="6"/>
  <c r="D2262" i="6"/>
  <c r="E2262" i="6"/>
  <c r="F2262" i="6"/>
  <c r="A2263" i="6"/>
  <c r="C2263" i="6" s="1"/>
  <c r="D2263" i="6"/>
  <c r="F2263" i="6"/>
  <c r="A2264" i="6"/>
  <c r="D2264" i="6" s="1"/>
  <c r="C2264" i="6"/>
  <c r="E2264" i="6"/>
  <c r="F2264" i="6"/>
  <c r="A2265" i="6"/>
  <c r="D2265" i="6" s="1"/>
  <c r="F2265" i="6"/>
  <c r="A2266" i="6"/>
  <c r="C2266" i="6"/>
  <c r="D2266" i="6"/>
  <c r="E2266" i="6"/>
  <c r="F2266" i="6"/>
  <c r="A2267" i="6"/>
  <c r="C2267" i="6" s="1"/>
  <c r="D2267" i="6"/>
  <c r="F2267" i="6"/>
  <c r="A2268" i="6"/>
  <c r="D2268" i="6" s="1"/>
  <c r="C2268" i="6"/>
  <c r="E2268" i="6"/>
  <c r="F2268" i="6"/>
  <c r="A2269" i="6"/>
  <c r="D2269" i="6" s="1"/>
  <c r="F2269" i="6"/>
  <c r="A2270" i="6"/>
  <c r="C2270" i="6"/>
  <c r="D2270" i="6"/>
  <c r="E2270" i="6"/>
  <c r="F2270" i="6"/>
  <c r="A2271" i="6"/>
  <c r="C2271" i="6" s="1"/>
  <c r="D2271" i="6"/>
  <c r="F2271" i="6"/>
  <c r="A2272" i="6"/>
  <c r="D2272" i="6" s="1"/>
  <c r="C2272" i="6"/>
  <c r="E2272" i="6"/>
  <c r="F2272" i="6"/>
  <c r="A2273" i="6"/>
  <c r="D2273" i="6" s="1"/>
  <c r="F2273" i="6"/>
  <c r="A2274" i="6"/>
  <c r="C2274" i="6"/>
  <c r="D2274" i="6"/>
  <c r="E2274" i="6"/>
  <c r="F2274" i="6"/>
  <c r="A2275" i="6"/>
  <c r="C2275" i="6" s="1"/>
  <c r="D2275" i="6"/>
  <c r="F2275" i="6"/>
  <c r="A2276" i="6"/>
  <c r="D2276" i="6" s="1"/>
  <c r="C2276" i="6"/>
  <c r="E2276" i="6"/>
  <c r="F2276" i="6"/>
  <c r="A2277" i="6"/>
  <c r="D2277" i="6" s="1"/>
  <c r="F2277" i="6"/>
  <c r="A2278" i="6"/>
  <c r="C2278" i="6"/>
  <c r="D2278" i="6"/>
  <c r="E2278" i="6"/>
  <c r="F2278" i="6"/>
  <c r="A2279" i="6"/>
  <c r="C2279" i="6" s="1"/>
  <c r="D2279" i="6"/>
  <c r="F2279" i="6"/>
  <c r="A2280" i="6"/>
  <c r="D2280" i="6" s="1"/>
  <c r="C2280" i="6"/>
  <c r="E2280" i="6"/>
  <c r="F2280" i="6"/>
  <c r="A2281" i="6"/>
  <c r="D2281" i="6" s="1"/>
  <c r="F2281" i="6"/>
  <c r="A2282" i="6"/>
  <c r="C2282" i="6"/>
  <c r="D2282" i="6"/>
  <c r="E2282" i="6"/>
  <c r="F2282" i="6"/>
  <c r="A2283" i="6"/>
  <c r="C2283" i="6" s="1"/>
  <c r="D2283" i="6"/>
  <c r="F2283" i="6"/>
  <c r="A2284" i="6"/>
  <c r="D2284" i="6" s="1"/>
  <c r="C2284" i="6"/>
  <c r="E2284" i="6"/>
  <c r="F2284" i="6"/>
  <c r="A2285" i="6"/>
  <c r="D2285" i="6" s="1"/>
  <c r="F2285" i="6"/>
  <c r="A2286" i="6"/>
  <c r="C2286" i="6"/>
  <c r="D2286" i="6"/>
  <c r="E2286" i="6"/>
  <c r="F2286" i="6"/>
  <c r="A2287" i="6"/>
  <c r="C2287" i="6" s="1"/>
  <c r="D2287" i="6"/>
  <c r="F2287" i="6"/>
  <c r="A2288" i="6"/>
  <c r="D2288" i="6" s="1"/>
  <c r="C2288" i="6"/>
  <c r="E2288" i="6"/>
  <c r="F2288" i="6"/>
  <c r="A2289" i="6"/>
  <c r="D2289" i="6" s="1"/>
  <c r="F2289" i="6"/>
  <c r="A2290" i="6"/>
  <c r="C2290" i="6"/>
  <c r="D2290" i="6"/>
  <c r="E2290" i="6"/>
  <c r="F2290" i="6"/>
  <c r="A2291" i="6"/>
  <c r="C2291" i="6" s="1"/>
  <c r="D2291" i="6"/>
  <c r="F2291" i="6"/>
  <c r="A2292" i="6"/>
  <c r="D2292" i="6" s="1"/>
  <c r="C2292" i="6"/>
  <c r="E2292" i="6"/>
  <c r="F2292" i="6"/>
  <c r="A2293" i="6"/>
  <c r="D2293" i="6" s="1"/>
  <c r="F2293" i="6"/>
  <c r="A2294" i="6"/>
  <c r="C2294" i="6"/>
  <c r="D2294" i="6"/>
  <c r="E2294" i="6"/>
  <c r="F2294" i="6"/>
  <c r="A2295" i="6"/>
  <c r="C2295" i="6" s="1"/>
  <c r="D2295" i="6"/>
  <c r="F2295" i="6"/>
  <c r="A2296" i="6"/>
  <c r="D2296" i="6" s="1"/>
  <c r="C2296" i="6"/>
  <c r="E2296" i="6"/>
  <c r="F2296" i="6"/>
  <c r="G2297" i="6"/>
  <c r="G2302" i="6"/>
  <c r="A2307" i="6"/>
  <c r="D2307" i="6" s="1"/>
  <c r="F2307" i="6"/>
  <c r="A2308" i="6"/>
  <c r="C2308" i="6"/>
  <c r="D2308" i="6"/>
  <c r="E2308" i="6"/>
  <c r="F2308" i="6"/>
  <c r="A2309" i="6"/>
  <c r="C2309" i="6" s="1"/>
  <c r="D2309" i="6"/>
  <c r="F2309" i="6"/>
  <c r="A2310" i="6"/>
  <c r="D2310" i="6" s="1"/>
  <c r="C2310" i="6"/>
  <c r="E2310" i="6"/>
  <c r="F2310" i="6"/>
  <c r="A2311" i="6"/>
  <c r="D2311" i="6" s="1"/>
  <c r="F2311" i="6"/>
  <c r="A2312" i="6"/>
  <c r="C2312" i="6"/>
  <c r="D2312" i="6"/>
  <c r="E2312" i="6"/>
  <c r="F2312" i="6"/>
  <c r="A2313" i="6"/>
  <c r="C2313" i="6" s="1"/>
  <c r="D2313" i="6"/>
  <c r="F2313" i="6"/>
  <c r="A2314" i="6"/>
  <c r="D2314" i="6" s="1"/>
  <c r="C2314" i="6"/>
  <c r="E2314" i="6"/>
  <c r="F2314" i="6"/>
  <c r="A2315" i="6"/>
  <c r="D2315" i="6" s="1"/>
  <c r="F2315" i="6"/>
  <c r="A2316" i="6"/>
  <c r="C2316" i="6"/>
  <c r="D2316" i="6"/>
  <c r="E2316" i="6"/>
  <c r="F2316" i="6"/>
  <c r="A2317" i="6"/>
  <c r="C2317" i="6" s="1"/>
  <c r="D2317" i="6"/>
  <c r="F2317" i="6"/>
  <c r="A2318" i="6"/>
  <c r="D2318" i="6" s="1"/>
  <c r="C2318" i="6"/>
  <c r="E2318" i="6"/>
  <c r="F2318" i="6"/>
  <c r="A2319" i="6"/>
  <c r="D2319" i="6" s="1"/>
  <c r="F2319" i="6"/>
  <c r="A2320" i="6"/>
  <c r="C2320" i="6"/>
  <c r="D2320" i="6"/>
  <c r="E2320" i="6"/>
  <c r="F2320" i="6"/>
  <c r="A2321" i="6"/>
  <c r="C2321" i="6" s="1"/>
  <c r="D2321" i="6"/>
  <c r="F2321" i="6"/>
  <c r="A2322" i="6"/>
  <c r="D2322" i="6" s="1"/>
  <c r="C2322" i="6"/>
  <c r="E2322" i="6"/>
  <c r="F2322" i="6"/>
  <c r="A2323" i="6"/>
  <c r="D2323" i="6" s="1"/>
  <c r="F2323" i="6"/>
  <c r="A2324" i="6"/>
  <c r="C2324" i="6"/>
  <c r="D2324" i="6"/>
  <c r="E2324" i="6"/>
  <c r="F2324" i="6"/>
  <c r="A2325" i="6"/>
  <c r="C2325" i="6" s="1"/>
  <c r="D2325" i="6"/>
  <c r="F2325" i="6"/>
  <c r="A2326" i="6"/>
  <c r="D2326" i="6" s="1"/>
  <c r="C2326" i="6"/>
  <c r="E2326" i="6"/>
  <c r="F2326" i="6"/>
  <c r="A2327" i="6"/>
  <c r="F2327" i="6"/>
  <c r="A2328" i="6"/>
  <c r="C2328" i="6"/>
  <c r="D2328" i="6"/>
  <c r="E2328" i="6"/>
  <c r="F2328" i="6"/>
  <c r="A2329" i="6"/>
  <c r="C2329" i="6" s="1"/>
  <c r="D2329" i="6"/>
  <c r="F2329" i="6"/>
  <c r="A2330" i="6"/>
  <c r="D2330" i="6" s="1"/>
  <c r="C2330" i="6"/>
  <c r="E2330" i="6"/>
  <c r="F2330" i="6"/>
  <c r="A2331" i="6"/>
  <c r="F2331" i="6" s="1"/>
  <c r="A2332" i="6"/>
  <c r="C2332" i="6"/>
  <c r="D2332" i="6"/>
  <c r="E2332" i="6"/>
  <c r="F2332" i="6"/>
  <c r="A2333" i="6"/>
  <c r="C2333" i="6" s="1"/>
  <c r="D2333" i="6"/>
  <c r="F2333" i="6"/>
  <c r="A2334" i="6"/>
  <c r="D2334" i="6" s="1"/>
  <c r="C2334" i="6"/>
  <c r="E2334" i="6"/>
  <c r="F2334" i="6"/>
  <c r="A2335" i="6"/>
  <c r="F2335" i="6"/>
  <c r="A2336" i="6"/>
  <c r="C2336" i="6"/>
  <c r="D2336" i="6"/>
  <c r="E2336" i="6"/>
  <c r="F2336" i="6"/>
  <c r="A2337" i="6"/>
  <c r="C2337" i="6" s="1"/>
  <c r="D2337" i="6"/>
  <c r="F2337" i="6"/>
  <c r="A2338" i="6"/>
  <c r="D2338" i="6" s="1"/>
  <c r="C2338" i="6"/>
  <c r="E2338" i="6"/>
  <c r="F2338" i="6"/>
  <c r="A2339" i="6"/>
  <c r="F2339" i="6" s="1"/>
  <c r="A2340" i="6"/>
  <c r="C2340" i="6"/>
  <c r="D2340" i="6"/>
  <c r="E2340" i="6"/>
  <c r="F2340" i="6"/>
  <c r="A2341" i="6"/>
  <c r="C2341" i="6" s="1"/>
  <c r="D2341" i="6"/>
  <c r="F2341" i="6"/>
  <c r="A2342" i="6"/>
  <c r="D2342" i="6" s="1"/>
  <c r="C2342" i="6"/>
  <c r="E2342" i="6"/>
  <c r="F2342" i="6"/>
  <c r="A2343" i="6"/>
  <c r="F2343" i="6"/>
  <c r="A2344" i="6"/>
  <c r="C2344" i="6"/>
  <c r="D2344" i="6"/>
  <c r="E2344" i="6"/>
  <c r="F2344" i="6"/>
  <c r="A2345" i="6"/>
  <c r="C2345" i="6" s="1"/>
  <c r="D2345" i="6"/>
  <c r="F2345" i="6"/>
  <c r="A2346" i="6"/>
  <c r="D2346" i="6" s="1"/>
  <c r="C2346" i="6"/>
  <c r="E2346" i="6"/>
  <c r="F2346" i="6"/>
  <c r="A2347" i="6"/>
  <c r="F2347" i="6" s="1"/>
  <c r="A2348" i="6"/>
  <c r="C2348" i="6"/>
  <c r="D2348" i="6"/>
  <c r="E2348" i="6"/>
  <c r="F2348" i="6"/>
  <c r="A2349" i="6"/>
  <c r="C2349" i="6" s="1"/>
  <c r="D2349" i="6"/>
  <c r="F2349" i="6"/>
  <c r="A2350" i="6"/>
  <c r="D2350" i="6" s="1"/>
  <c r="C2350" i="6"/>
  <c r="E2350" i="6"/>
  <c r="F2350" i="6"/>
  <c r="A2351" i="6"/>
  <c r="F2351" i="6"/>
  <c r="A2352" i="6"/>
  <c r="C2352" i="6"/>
  <c r="D2352" i="6"/>
  <c r="E2352" i="6"/>
  <c r="F2352" i="6"/>
  <c r="A2353" i="6"/>
  <c r="C2353" i="6" s="1"/>
  <c r="D2353" i="6"/>
  <c r="F2353" i="6"/>
  <c r="A2354" i="6"/>
  <c r="D2354" i="6" s="1"/>
  <c r="C2354" i="6"/>
  <c r="E2354" i="6"/>
  <c r="F2354" i="6"/>
  <c r="A2355" i="6"/>
  <c r="F2355" i="6" s="1"/>
  <c r="A2356" i="6"/>
  <c r="C2356" i="6"/>
  <c r="D2356" i="6"/>
  <c r="E2356" i="6"/>
  <c r="F2356" i="6"/>
  <c r="A2357" i="6"/>
  <c r="C2357" i="6" s="1"/>
  <c r="D2357" i="6"/>
  <c r="F2357" i="6"/>
  <c r="A2358" i="6"/>
  <c r="D2358" i="6" s="1"/>
  <c r="C2358" i="6"/>
  <c r="E2358" i="6"/>
  <c r="F2358" i="6"/>
  <c r="A2359" i="6"/>
  <c r="F2359" i="6"/>
  <c r="A2360" i="6"/>
  <c r="C2360" i="6"/>
  <c r="D2360" i="6"/>
  <c r="E2360" i="6"/>
  <c r="F2360" i="6"/>
  <c r="A2361" i="6"/>
  <c r="C2361" i="6" s="1"/>
  <c r="D2361" i="6"/>
  <c r="F2361" i="6"/>
  <c r="A2362" i="6"/>
  <c r="D2362" i="6" s="1"/>
  <c r="C2362" i="6"/>
  <c r="E2362" i="6"/>
  <c r="F2362" i="6"/>
  <c r="A2363" i="6"/>
  <c r="F2363" i="6" s="1"/>
  <c r="A2364" i="6"/>
  <c r="C2364" i="6"/>
  <c r="D2364" i="6"/>
  <c r="E2364" i="6"/>
  <c r="F2364" i="6"/>
  <c r="A2365" i="6"/>
  <c r="C2365" i="6" s="1"/>
  <c r="D2365" i="6"/>
  <c r="F2365" i="6"/>
  <c r="A2366" i="6"/>
  <c r="D2366" i="6" s="1"/>
  <c r="C2366" i="6"/>
  <c r="E2366" i="6"/>
  <c r="F2366" i="6"/>
  <c r="A2367" i="6"/>
  <c r="F2367" i="6"/>
  <c r="A2368" i="6"/>
  <c r="C2368" i="6"/>
  <c r="D2368" i="6"/>
  <c r="E2368" i="6"/>
  <c r="F2368" i="6"/>
  <c r="A2369" i="6"/>
  <c r="C2369" i="6" s="1"/>
  <c r="D2369" i="6"/>
  <c r="F2369" i="6"/>
  <c r="A2370" i="6"/>
  <c r="D2370" i="6" s="1"/>
  <c r="C2370" i="6"/>
  <c r="E2370" i="6"/>
  <c r="F2370" i="6"/>
  <c r="A2371" i="6"/>
  <c r="F2371" i="6" s="1"/>
  <c r="A2372" i="6"/>
  <c r="C2372" i="6"/>
  <c r="D2372" i="6"/>
  <c r="E2372" i="6"/>
  <c r="F2372" i="6"/>
  <c r="A2373" i="6"/>
  <c r="C2373" i="6" s="1"/>
  <c r="D2373" i="6"/>
  <c r="F2373" i="6"/>
  <c r="A2374" i="6"/>
  <c r="D2374" i="6" s="1"/>
  <c r="C2374" i="6"/>
  <c r="E2374" i="6"/>
  <c r="F2374" i="6"/>
  <c r="A2375" i="6"/>
  <c r="F2375" i="6"/>
  <c r="A2376" i="6"/>
  <c r="C2376" i="6"/>
  <c r="D2376" i="6"/>
  <c r="E2376" i="6"/>
  <c r="F2376" i="6"/>
  <c r="G2377" i="6"/>
  <c r="G2382" i="6"/>
  <c r="A2387" i="6"/>
  <c r="C2387" i="6" s="1"/>
  <c r="D2387" i="6"/>
  <c r="F2387" i="6"/>
  <c r="A2388" i="6"/>
  <c r="D2388" i="6" s="1"/>
  <c r="C2388" i="6"/>
  <c r="E2388" i="6"/>
  <c r="F2388" i="6"/>
  <c r="A2389" i="6"/>
  <c r="F2389" i="6"/>
  <c r="A2390" i="6"/>
  <c r="C2390" i="6"/>
  <c r="D2390" i="6"/>
  <c r="E2390" i="6"/>
  <c r="F2390" i="6"/>
  <c r="A2391" i="6"/>
  <c r="C2391" i="6" s="1"/>
  <c r="D2391" i="6"/>
  <c r="F2391" i="6"/>
  <c r="A2392" i="6"/>
  <c r="D2392" i="6" s="1"/>
  <c r="C2392" i="6"/>
  <c r="E2392" i="6"/>
  <c r="F2392" i="6"/>
  <c r="A2393" i="6"/>
  <c r="D2393" i="6" s="1"/>
  <c r="A2394" i="6"/>
  <c r="C2394" i="6"/>
  <c r="D2394" i="6"/>
  <c r="E2394" i="6"/>
  <c r="F2394" i="6"/>
  <c r="A2395" i="6"/>
  <c r="D2395" i="6" s="1"/>
  <c r="A2396" i="6"/>
  <c r="D2396" i="6" s="1"/>
  <c r="C2396" i="6"/>
  <c r="E2396" i="6"/>
  <c r="F2396" i="6"/>
  <c r="A2397" i="6"/>
  <c r="A2398" i="6"/>
  <c r="C2398" i="6"/>
  <c r="D2398" i="6"/>
  <c r="E2398" i="6"/>
  <c r="F2398" i="6"/>
  <c r="A2399" i="6"/>
  <c r="A2400" i="6"/>
  <c r="D2400" i="6" s="1"/>
  <c r="C2400" i="6"/>
  <c r="E2400" i="6"/>
  <c r="F2400" i="6"/>
  <c r="A2401" i="6"/>
  <c r="D2401" i="6"/>
  <c r="F2401" i="6"/>
  <c r="A2402" i="6"/>
  <c r="C2402" i="6"/>
  <c r="D2402" i="6"/>
  <c r="E2402" i="6"/>
  <c r="F2402" i="6"/>
  <c r="A2403" i="6"/>
  <c r="D2403" i="6"/>
  <c r="F2403" i="6"/>
  <c r="A2404" i="6"/>
  <c r="D2404" i="6" s="1"/>
  <c r="C2404" i="6"/>
  <c r="E2404" i="6"/>
  <c r="F2404" i="6"/>
  <c r="A2405" i="6"/>
  <c r="D2405" i="6"/>
  <c r="F2405" i="6"/>
  <c r="A2406" i="6"/>
  <c r="C2406" i="6"/>
  <c r="D2406" i="6"/>
  <c r="E2406" i="6"/>
  <c r="F2406" i="6"/>
  <c r="A2407" i="6"/>
  <c r="D2407" i="6"/>
  <c r="F2407" i="6"/>
  <c r="A2408" i="6"/>
  <c r="D2408" i="6" s="1"/>
  <c r="C2408" i="6"/>
  <c r="E2408" i="6"/>
  <c r="F2408" i="6"/>
  <c r="A2409" i="6"/>
  <c r="D2409" i="6" s="1"/>
  <c r="A2410" i="6"/>
  <c r="C2410" i="6"/>
  <c r="D2410" i="6"/>
  <c r="E2410" i="6"/>
  <c r="F2410" i="6"/>
  <c r="A2411" i="6"/>
  <c r="D2411" i="6" s="1"/>
  <c r="A2412" i="6"/>
  <c r="D2412" i="6" s="1"/>
  <c r="C2412" i="6"/>
  <c r="E2412" i="6"/>
  <c r="F2412" i="6"/>
  <c r="A2413" i="6"/>
  <c r="A2414" i="6"/>
  <c r="C2414" i="6"/>
  <c r="D2414" i="6"/>
  <c r="E2414" i="6"/>
  <c r="F2414" i="6"/>
  <c r="A2415" i="6"/>
  <c r="A2416" i="6"/>
  <c r="D2416" i="6" s="1"/>
  <c r="C2416" i="6"/>
  <c r="E2416" i="6"/>
  <c r="F2416" i="6"/>
  <c r="A2417" i="6"/>
  <c r="D2417" i="6"/>
  <c r="F2417" i="6"/>
  <c r="A2418" i="6"/>
  <c r="C2418" i="6"/>
  <c r="D2418" i="6"/>
  <c r="E2418" i="6"/>
  <c r="F2418" i="6"/>
  <c r="A2419" i="6"/>
  <c r="D2419" i="6"/>
  <c r="F2419" i="6"/>
  <c r="A2420" i="6"/>
  <c r="D2420" i="6" s="1"/>
  <c r="C2420" i="6"/>
  <c r="E2420" i="6"/>
  <c r="F2420" i="6"/>
  <c r="A2421" i="6"/>
  <c r="D2421" i="6"/>
  <c r="F2421" i="6"/>
  <c r="A2422" i="6"/>
  <c r="C2422" i="6"/>
  <c r="D2422" i="6"/>
  <c r="E2422" i="6"/>
  <c r="F2422" i="6"/>
  <c r="A2423" i="6"/>
  <c r="D2423" i="6"/>
  <c r="F2423" i="6"/>
  <c r="A2424" i="6"/>
  <c r="D2424" i="6" s="1"/>
  <c r="C2424" i="6"/>
  <c r="E2424" i="6"/>
  <c r="F2424" i="6"/>
  <c r="A2425" i="6"/>
  <c r="D2425" i="6" s="1"/>
  <c r="A2426" i="6"/>
  <c r="C2426" i="6"/>
  <c r="D2426" i="6"/>
  <c r="E2426" i="6"/>
  <c r="F2426" i="6"/>
  <c r="A2427" i="6"/>
  <c r="D2427" i="6" s="1"/>
  <c r="A2428" i="6"/>
  <c r="D2428" i="6" s="1"/>
  <c r="C2428" i="6"/>
  <c r="E2428" i="6"/>
  <c r="F2428" i="6"/>
  <c r="A2429" i="6"/>
  <c r="A2430" i="6"/>
  <c r="C2430" i="6"/>
  <c r="D2430" i="6"/>
  <c r="E2430" i="6"/>
  <c r="F2430" i="6"/>
  <c r="A2431" i="6"/>
  <c r="A2432" i="6"/>
  <c r="D2432" i="6" s="1"/>
  <c r="C2432" i="6"/>
  <c r="E2432" i="6"/>
  <c r="F2432" i="6"/>
  <c r="A2433" i="6"/>
  <c r="D2433" i="6"/>
  <c r="F2433" i="6"/>
  <c r="A2434" i="6"/>
  <c r="C2434" i="6"/>
  <c r="D2434" i="6"/>
  <c r="E2434" i="6"/>
  <c r="F2434" i="6"/>
  <c r="A2435" i="6"/>
  <c r="D2435" i="6"/>
  <c r="F2435" i="6"/>
  <c r="A2436" i="6"/>
  <c r="D2436" i="6" s="1"/>
  <c r="C2436" i="6"/>
  <c r="E2436" i="6"/>
  <c r="F2436" i="6"/>
  <c r="A2437" i="6"/>
  <c r="D2437" i="6"/>
  <c r="F2437" i="6"/>
  <c r="A2438" i="6"/>
  <c r="C2438" i="6"/>
  <c r="D2438" i="6"/>
  <c r="E2438" i="6"/>
  <c r="F2438" i="6"/>
  <c r="A2439" i="6"/>
  <c r="D2439" i="6"/>
  <c r="F2439" i="6"/>
  <c r="A2440" i="6"/>
  <c r="D2440" i="6" s="1"/>
  <c r="C2440" i="6"/>
  <c r="E2440" i="6"/>
  <c r="F2440" i="6"/>
  <c r="A2441" i="6"/>
  <c r="D2441" i="6" s="1"/>
  <c r="A2442" i="6"/>
  <c r="C2442" i="6"/>
  <c r="D2442" i="6"/>
  <c r="E2442" i="6"/>
  <c r="F2442" i="6"/>
  <c r="A2443" i="6"/>
  <c r="D2443" i="6" s="1"/>
  <c r="A2444" i="6"/>
  <c r="D2444" i="6" s="1"/>
  <c r="C2444" i="6"/>
  <c r="E2444" i="6"/>
  <c r="F2444" i="6"/>
  <c r="A2445" i="6"/>
  <c r="A2446" i="6"/>
  <c r="C2446" i="6"/>
  <c r="D2446" i="6"/>
  <c r="E2446" i="6"/>
  <c r="F2446" i="6"/>
  <c r="A2447" i="6"/>
  <c r="A2448" i="6"/>
  <c r="D2448" i="6" s="1"/>
  <c r="C2448" i="6"/>
  <c r="E2448" i="6"/>
  <c r="F2448" i="6"/>
  <c r="A2449" i="6"/>
  <c r="D2449" i="6"/>
  <c r="F2449" i="6"/>
  <c r="A2450" i="6"/>
  <c r="C2450" i="6"/>
  <c r="D2450" i="6"/>
  <c r="E2450" i="6"/>
  <c r="F2450" i="6"/>
  <c r="A2451" i="6"/>
  <c r="D2451" i="6"/>
  <c r="F2451" i="6"/>
  <c r="A2452" i="6"/>
  <c r="D2452" i="6" s="1"/>
  <c r="C2452" i="6"/>
  <c r="E2452" i="6"/>
  <c r="F2452" i="6"/>
  <c r="A2453" i="6"/>
  <c r="D2453" i="6"/>
  <c r="F2453" i="6"/>
  <c r="A2454" i="6"/>
  <c r="C2454" i="6"/>
  <c r="D2454" i="6"/>
  <c r="E2454" i="6"/>
  <c r="F2454" i="6"/>
  <c r="A2455" i="6"/>
  <c r="D2455" i="6"/>
  <c r="F2455" i="6"/>
  <c r="A2456" i="6"/>
  <c r="D2456" i="6" s="1"/>
  <c r="C2456" i="6"/>
  <c r="E2456" i="6"/>
  <c r="F2456" i="6"/>
  <c r="A2457" i="6"/>
  <c r="D2457" i="6" s="1"/>
  <c r="A2458" i="6"/>
  <c r="C2458" i="6"/>
  <c r="D2458" i="6"/>
  <c r="E2458" i="6"/>
  <c r="F2458" i="6"/>
  <c r="A2459" i="6"/>
  <c r="D2459" i="6" s="1"/>
  <c r="A2460" i="6"/>
  <c r="D2460" i="6" s="1"/>
  <c r="C2460" i="6"/>
  <c r="E2460" i="6"/>
  <c r="F2460" i="6"/>
  <c r="A2461" i="6"/>
  <c r="A2462" i="6"/>
  <c r="C2462" i="6"/>
  <c r="D2462" i="6"/>
  <c r="E2462" i="6"/>
  <c r="F2462" i="6"/>
  <c r="A2463" i="6"/>
  <c r="A2464" i="6"/>
  <c r="D2464" i="6" s="1"/>
  <c r="C2464" i="6"/>
  <c r="E2464" i="6"/>
  <c r="F2464" i="6"/>
  <c r="A2465" i="6"/>
  <c r="D2465" i="6"/>
  <c r="F2465" i="6"/>
  <c r="A2466" i="6"/>
  <c r="C2466" i="6"/>
  <c r="D2466" i="6"/>
  <c r="E2466" i="6"/>
  <c r="F2466" i="6"/>
  <c r="A2467" i="6"/>
  <c r="D2467" i="6"/>
  <c r="F2467" i="6"/>
  <c r="A2468" i="6"/>
  <c r="D2468" i="6" s="1"/>
  <c r="C2468" i="6"/>
  <c r="E2468" i="6"/>
  <c r="F2468" i="6"/>
  <c r="A2469" i="6"/>
  <c r="D2469" i="6"/>
  <c r="F2469" i="6"/>
  <c r="A2470" i="6"/>
  <c r="C2470" i="6"/>
  <c r="D2470" i="6"/>
  <c r="E2470" i="6"/>
  <c r="F2470" i="6"/>
  <c r="A2471" i="6"/>
  <c r="D2471" i="6"/>
  <c r="F2471" i="6"/>
  <c r="A2472" i="6"/>
  <c r="D2472" i="6" s="1"/>
  <c r="C2472" i="6"/>
  <c r="E2472" i="6"/>
  <c r="F2472" i="6"/>
  <c r="A2473" i="6"/>
  <c r="D2473" i="6" s="1"/>
  <c r="A2474" i="6"/>
  <c r="C2474" i="6"/>
  <c r="D2474" i="6"/>
  <c r="E2474" i="6"/>
  <c r="F2474" i="6"/>
  <c r="A2475" i="6"/>
  <c r="D2475" i="6" s="1"/>
  <c r="A2476" i="6"/>
  <c r="D2476" i="6" s="1"/>
  <c r="C2476" i="6"/>
  <c r="E2476" i="6"/>
  <c r="F2476" i="6"/>
  <c r="A2477" i="6"/>
  <c r="A2478" i="6"/>
  <c r="C2478" i="6"/>
  <c r="D2478" i="6"/>
  <c r="E2478" i="6"/>
  <c r="F2478" i="6"/>
  <c r="A2479" i="6"/>
  <c r="A2480" i="6"/>
  <c r="D2480" i="6" s="1"/>
  <c r="C2480" i="6"/>
  <c r="E2480" i="6"/>
  <c r="F2480" i="6"/>
  <c r="A2481" i="6"/>
  <c r="D2481" i="6"/>
  <c r="F2481" i="6"/>
  <c r="A2482" i="6"/>
  <c r="C2482" i="6"/>
  <c r="D2482" i="6"/>
  <c r="E2482" i="6"/>
  <c r="F2482" i="6"/>
  <c r="A2483" i="6"/>
  <c r="D2483" i="6"/>
  <c r="F2483" i="6"/>
  <c r="A2484" i="6"/>
  <c r="D2484" i="6" s="1"/>
  <c r="C2484" i="6"/>
  <c r="E2484" i="6"/>
  <c r="F2484" i="6"/>
  <c r="A2485" i="6"/>
  <c r="D2485" i="6"/>
  <c r="F2485" i="6"/>
  <c r="A2486" i="6"/>
  <c r="C2486" i="6"/>
  <c r="D2486" i="6"/>
  <c r="E2486" i="6"/>
  <c r="F2486" i="6"/>
  <c r="A2487" i="6"/>
  <c r="D2487" i="6"/>
  <c r="F2487" i="6"/>
  <c r="A2488" i="6"/>
  <c r="D2488" i="6" s="1"/>
  <c r="C2488" i="6"/>
  <c r="E2488" i="6"/>
  <c r="F2488" i="6"/>
  <c r="A2489" i="6"/>
  <c r="D2489" i="6" s="1"/>
  <c r="A2490" i="6"/>
  <c r="C2490" i="6"/>
  <c r="D2490" i="6"/>
  <c r="E2490" i="6"/>
  <c r="F2490" i="6"/>
  <c r="A2491" i="6"/>
  <c r="D2491" i="6" s="1"/>
  <c r="A2492" i="6"/>
  <c r="D2492" i="6" s="1"/>
  <c r="C2492" i="6"/>
  <c r="E2492" i="6"/>
  <c r="F2492" i="6"/>
  <c r="A2493" i="6"/>
  <c r="A2494" i="6"/>
  <c r="C2494" i="6"/>
  <c r="D2494" i="6"/>
  <c r="E2494" i="6"/>
  <c r="F2494" i="6"/>
  <c r="A2495" i="6"/>
  <c r="A2496" i="6"/>
  <c r="D2496" i="6" s="1"/>
  <c r="C2496" i="6"/>
  <c r="E2496" i="6"/>
  <c r="F2496" i="6"/>
  <c r="A2497" i="6"/>
  <c r="D2497" i="6"/>
  <c r="F2497" i="6"/>
  <c r="A2498" i="6"/>
  <c r="C2498" i="6"/>
  <c r="D2498" i="6"/>
  <c r="E2498" i="6"/>
  <c r="F2498" i="6"/>
  <c r="A2499" i="6"/>
  <c r="D2499" i="6"/>
  <c r="F2499" i="6"/>
  <c r="A2500" i="6"/>
  <c r="D2500" i="6" s="1"/>
  <c r="C2500" i="6"/>
  <c r="E2500" i="6"/>
  <c r="F2500" i="6"/>
  <c r="A2501" i="6"/>
  <c r="D2501" i="6"/>
  <c r="F2501" i="6"/>
  <c r="A2502" i="6"/>
  <c r="C2502" i="6"/>
  <c r="D2502" i="6"/>
  <c r="E2502" i="6"/>
  <c r="F2502" i="6"/>
  <c r="A2503" i="6"/>
  <c r="D2503" i="6"/>
  <c r="F2503" i="6"/>
  <c r="A2504" i="6"/>
  <c r="D2504" i="6" s="1"/>
  <c r="C2504" i="6"/>
  <c r="E2504" i="6"/>
  <c r="F2504" i="6"/>
  <c r="A2505" i="6"/>
  <c r="D2505" i="6" s="1"/>
  <c r="G2506" i="6"/>
  <c r="G2511" i="6"/>
  <c r="A2516" i="6"/>
  <c r="C2516" i="6"/>
  <c r="D2516" i="6"/>
  <c r="E2516" i="6"/>
  <c r="F2516" i="6"/>
  <c r="A2517" i="6"/>
  <c r="A2518" i="6"/>
  <c r="D2518" i="6" s="1"/>
  <c r="C2518" i="6"/>
  <c r="E2518" i="6"/>
  <c r="F2518" i="6"/>
  <c r="A2519" i="6"/>
  <c r="D2519" i="6"/>
  <c r="F2519" i="6"/>
  <c r="A2520" i="6"/>
  <c r="C2520" i="6"/>
  <c r="D2520" i="6"/>
  <c r="E2520" i="6"/>
  <c r="F2520" i="6"/>
  <c r="A2521" i="6"/>
  <c r="D2521" i="6"/>
  <c r="F2521" i="6"/>
  <c r="A2522" i="6"/>
  <c r="D2522" i="6" s="1"/>
  <c r="C2522" i="6"/>
  <c r="E2522" i="6"/>
  <c r="F2522" i="6"/>
  <c r="A2523" i="6"/>
  <c r="D2523" i="6"/>
  <c r="F2523" i="6"/>
  <c r="A2524" i="6"/>
  <c r="C2524" i="6"/>
  <c r="D2524" i="6"/>
  <c r="E2524" i="6"/>
  <c r="F2524" i="6"/>
  <c r="A2525" i="6"/>
  <c r="D2525" i="6"/>
  <c r="F2525" i="6"/>
  <c r="A2526" i="6"/>
  <c r="D2526" i="6" s="1"/>
  <c r="C2526" i="6"/>
  <c r="E2526" i="6"/>
  <c r="F2526" i="6"/>
  <c r="A2527" i="6"/>
  <c r="D2527" i="6" s="1"/>
  <c r="A2528" i="6"/>
  <c r="C2528" i="6"/>
  <c r="D2528" i="6"/>
  <c r="E2528" i="6"/>
  <c r="F2528" i="6"/>
  <c r="A2529" i="6"/>
  <c r="D2529" i="6" s="1"/>
  <c r="A2530" i="6"/>
  <c r="D2530" i="6" s="1"/>
  <c r="C2530" i="6"/>
  <c r="E2530" i="6"/>
  <c r="F2530" i="6"/>
  <c r="A2531" i="6"/>
  <c r="A2532" i="6"/>
  <c r="C2532" i="6"/>
  <c r="D2532" i="6"/>
  <c r="E2532" i="6"/>
  <c r="F2532" i="6"/>
  <c r="A2533" i="6"/>
  <c r="A2534" i="6"/>
  <c r="D2534" i="6" s="1"/>
  <c r="C2534" i="6"/>
  <c r="E2534" i="6"/>
  <c r="F2534" i="6"/>
  <c r="A2535" i="6"/>
  <c r="D2535" i="6"/>
  <c r="F2535" i="6"/>
  <c r="A2536" i="6"/>
  <c r="C2536" i="6"/>
  <c r="D2536" i="6"/>
  <c r="E2536" i="6"/>
  <c r="F2536" i="6"/>
  <c r="A2537" i="6"/>
  <c r="D2537" i="6"/>
  <c r="F2537" i="6"/>
  <c r="A2538" i="6"/>
  <c r="D2538" i="6" s="1"/>
  <c r="C2538" i="6"/>
  <c r="E2538" i="6"/>
  <c r="F2538" i="6"/>
  <c r="A2539" i="6"/>
  <c r="D2539" i="6"/>
  <c r="F2539" i="6"/>
  <c r="A2540" i="6"/>
  <c r="C2540" i="6"/>
  <c r="D2540" i="6"/>
  <c r="E2540" i="6"/>
  <c r="F2540" i="6"/>
  <c r="A2541" i="6"/>
  <c r="D2541" i="6"/>
  <c r="F2541" i="6"/>
  <c r="A2542" i="6"/>
  <c r="D2542" i="6" s="1"/>
  <c r="C2542" i="6"/>
  <c r="E2542" i="6"/>
  <c r="F2542" i="6"/>
  <c r="A2543" i="6"/>
  <c r="D2543" i="6" s="1"/>
  <c r="A2544" i="6"/>
  <c r="C2544" i="6"/>
  <c r="D2544" i="6"/>
  <c r="E2544" i="6"/>
  <c r="F2544" i="6"/>
  <c r="A2545" i="6"/>
  <c r="D2545" i="6" s="1"/>
  <c r="A2546" i="6"/>
  <c r="D2546" i="6" s="1"/>
  <c r="C2546" i="6"/>
  <c r="E2546" i="6"/>
  <c r="F2546" i="6"/>
  <c r="A2547" i="6"/>
  <c r="A2548" i="6"/>
  <c r="C2548" i="6"/>
  <c r="D2548" i="6"/>
  <c r="E2548" i="6"/>
  <c r="F2548" i="6"/>
  <c r="A2549" i="6"/>
  <c r="G2550" i="6"/>
  <c r="G2555" i="6"/>
  <c r="A2560" i="6"/>
  <c r="D2560" i="6" s="1"/>
  <c r="C2560" i="6"/>
  <c r="E2560" i="6"/>
  <c r="F2560" i="6"/>
  <c r="A2561" i="6"/>
  <c r="D2561" i="6"/>
  <c r="F2561" i="6"/>
  <c r="A2562" i="6"/>
  <c r="C2562" i="6"/>
  <c r="D2562" i="6"/>
  <c r="E2562" i="6"/>
  <c r="F2562" i="6"/>
  <c r="A2563" i="6"/>
  <c r="D2563" i="6"/>
  <c r="F2563" i="6"/>
  <c r="A2564" i="6"/>
  <c r="D2564" i="6" s="1"/>
  <c r="C2564" i="6"/>
  <c r="E2564" i="6"/>
  <c r="F2564" i="6"/>
  <c r="A2565" i="6"/>
  <c r="D2565" i="6" s="1"/>
  <c r="A2566" i="6"/>
  <c r="C2566" i="6"/>
  <c r="D2566" i="6"/>
  <c r="E2566" i="6"/>
  <c r="F2566" i="6"/>
  <c r="A2567" i="6"/>
  <c r="D2567" i="6" s="1"/>
  <c r="A2568" i="6"/>
  <c r="D2568" i="6" s="1"/>
  <c r="C2568" i="6"/>
  <c r="E2568" i="6"/>
  <c r="F2568" i="6"/>
  <c r="A2569" i="6"/>
  <c r="A2570" i="6"/>
  <c r="C2570" i="6"/>
  <c r="D2570" i="6"/>
  <c r="E2570" i="6"/>
  <c r="F2570" i="6"/>
  <c r="A2571" i="6"/>
  <c r="A2572" i="6"/>
  <c r="D2572" i="6" s="1"/>
  <c r="C2572" i="6"/>
  <c r="E2572" i="6"/>
  <c r="F2572" i="6"/>
  <c r="A2573" i="6"/>
  <c r="D2573" i="6"/>
  <c r="F2573" i="6"/>
  <c r="A2574" i="6"/>
  <c r="C2574" i="6"/>
  <c r="D2574" i="6"/>
  <c r="E2574" i="6"/>
  <c r="F2574" i="6"/>
  <c r="A2575" i="6"/>
  <c r="D2575" i="6"/>
  <c r="F2575" i="6"/>
  <c r="A2576" i="6"/>
  <c r="D2576" i="6" s="1"/>
  <c r="C2576" i="6"/>
  <c r="E2576" i="6"/>
  <c r="F2576" i="6"/>
  <c r="A2577" i="6"/>
  <c r="D2577" i="6"/>
  <c r="F2577" i="6"/>
  <c r="A2578" i="6"/>
  <c r="C2578" i="6"/>
  <c r="D2578" i="6"/>
  <c r="E2578" i="6"/>
  <c r="F2578" i="6"/>
  <c r="A2579" i="6"/>
  <c r="D2579" i="6"/>
  <c r="F2579" i="6"/>
  <c r="A2580" i="6"/>
  <c r="D2580" i="6" s="1"/>
  <c r="C2580" i="6"/>
  <c r="E2580" i="6"/>
  <c r="F2580" i="6"/>
  <c r="A2581" i="6"/>
  <c r="D2581" i="6" s="1"/>
  <c r="A2582" i="6"/>
  <c r="C2582" i="6"/>
  <c r="D2582" i="6"/>
  <c r="E2582" i="6"/>
  <c r="F2582" i="6"/>
  <c r="A2583" i="6"/>
  <c r="D2583" i="6" s="1"/>
  <c r="A2584" i="6"/>
  <c r="D2584" i="6" s="1"/>
  <c r="C2584" i="6"/>
  <c r="E2584" i="6"/>
  <c r="F2584" i="6"/>
  <c r="A2585" i="6"/>
  <c r="A2586" i="6"/>
  <c r="C2586" i="6"/>
  <c r="D2586" i="6"/>
  <c r="E2586" i="6"/>
  <c r="F2586" i="6"/>
  <c r="A2587" i="6"/>
  <c r="A2588" i="6"/>
  <c r="D2588" i="6" s="1"/>
  <c r="C2588" i="6"/>
  <c r="E2588" i="6"/>
  <c r="F2588" i="6"/>
  <c r="A2589" i="6"/>
  <c r="D2589" i="6"/>
  <c r="F2589" i="6"/>
  <c r="A2590" i="6"/>
  <c r="C2590" i="6"/>
  <c r="D2590" i="6"/>
  <c r="E2590" i="6"/>
  <c r="F2590" i="6"/>
  <c r="A2591" i="6"/>
  <c r="D2591" i="6"/>
  <c r="F2591" i="6"/>
  <c r="A2592" i="6"/>
  <c r="D2592" i="6" s="1"/>
  <c r="C2592" i="6"/>
  <c r="E2592" i="6"/>
  <c r="F2592" i="6"/>
  <c r="A2593" i="6"/>
  <c r="D2593" i="6"/>
  <c r="F2593" i="6"/>
  <c r="G2594" i="6"/>
  <c r="G2599" i="6"/>
  <c r="A2604" i="6"/>
  <c r="C2604" i="6"/>
  <c r="D2604" i="6"/>
  <c r="E2604" i="6"/>
  <c r="F2604" i="6"/>
  <c r="A2605" i="6"/>
  <c r="D2605" i="6" s="1"/>
  <c r="A2606" i="6"/>
  <c r="D2606" i="6" s="1"/>
  <c r="C2606" i="6"/>
  <c r="E2606" i="6"/>
  <c r="F2606" i="6"/>
  <c r="A2607" i="6"/>
  <c r="A2608" i="6"/>
  <c r="C2608" i="6"/>
  <c r="D2608" i="6"/>
  <c r="E2608" i="6"/>
  <c r="F2608" i="6"/>
  <c r="A2609" i="6"/>
  <c r="A2610" i="6"/>
  <c r="D2610" i="6" s="1"/>
  <c r="C2610" i="6"/>
  <c r="E2610" i="6"/>
  <c r="F2610" i="6"/>
  <c r="A2611" i="6"/>
  <c r="D2611" i="6"/>
  <c r="F2611" i="6"/>
  <c r="A2612" i="6"/>
  <c r="C2612" i="6"/>
  <c r="D2612" i="6"/>
  <c r="E2612" i="6"/>
  <c r="F2612" i="6"/>
  <c r="A2613" i="6"/>
  <c r="D2613" i="6"/>
  <c r="F2613" i="6"/>
  <c r="A2614" i="6"/>
  <c r="D2614" i="6" s="1"/>
  <c r="C2614" i="6"/>
  <c r="E2614" i="6"/>
  <c r="F2614" i="6"/>
  <c r="A2615" i="6"/>
  <c r="D2615" i="6"/>
  <c r="F2615" i="6"/>
  <c r="A2616" i="6"/>
  <c r="C2616" i="6"/>
  <c r="D2616" i="6"/>
  <c r="E2616" i="6"/>
  <c r="F2616" i="6"/>
  <c r="A2617" i="6"/>
  <c r="D2617" i="6"/>
  <c r="F2617" i="6"/>
  <c r="A2618" i="6"/>
  <c r="D2618" i="6" s="1"/>
  <c r="C2618" i="6"/>
  <c r="E2618" i="6"/>
  <c r="F2618" i="6"/>
  <c r="A2619" i="6"/>
  <c r="D2619" i="6" s="1"/>
  <c r="A2620" i="6"/>
  <c r="C2620" i="6"/>
  <c r="D2620" i="6"/>
  <c r="E2620" i="6"/>
  <c r="F2620" i="6"/>
  <c r="A2621" i="6"/>
  <c r="D2621" i="6" s="1"/>
  <c r="A2622" i="6"/>
  <c r="D2622" i="6" s="1"/>
  <c r="C2622" i="6"/>
  <c r="E2622" i="6"/>
  <c r="F2622" i="6"/>
  <c r="A2623" i="6"/>
  <c r="A2624" i="6"/>
  <c r="C2624" i="6"/>
  <c r="D2624" i="6"/>
  <c r="E2624" i="6"/>
  <c r="F2624" i="6"/>
  <c r="A2625" i="6"/>
  <c r="A2626" i="6"/>
  <c r="D2626" i="6" s="1"/>
  <c r="C2626" i="6"/>
  <c r="E2626" i="6"/>
  <c r="F2626" i="6"/>
  <c r="A2627" i="6"/>
  <c r="D2627" i="6"/>
  <c r="F2627" i="6"/>
  <c r="A2628" i="6"/>
  <c r="C2628" i="6"/>
  <c r="D2628" i="6"/>
  <c r="E2628" i="6"/>
  <c r="F2628" i="6"/>
  <c r="A2629" i="6"/>
  <c r="D2629" i="6"/>
  <c r="F2629" i="6"/>
  <c r="A2630" i="6"/>
  <c r="D2630" i="6" s="1"/>
  <c r="C2630" i="6"/>
  <c r="E2630" i="6"/>
  <c r="F2630" i="6"/>
  <c r="A2631" i="6"/>
  <c r="D2631" i="6"/>
  <c r="F2631" i="6"/>
  <c r="A2632" i="6"/>
  <c r="C2632" i="6"/>
  <c r="D2632" i="6"/>
  <c r="E2632" i="6"/>
  <c r="F2632" i="6"/>
  <c r="A2633" i="6"/>
  <c r="D2633" i="6"/>
  <c r="F2633" i="6"/>
  <c r="A2634" i="6"/>
  <c r="D2634" i="6" s="1"/>
  <c r="C2634" i="6"/>
  <c r="E2634" i="6"/>
  <c r="F2634" i="6"/>
  <c r="A2635" i="6"/>
  <c r="D2635" i="6" s="1"/>
  <c r="A2636" i="6"/>
  <c r="C2636" i="6"/>
  <c r="D2636" i="6"/>
  <c r="E2636" i="6"/>
  <c r="F2636" i="6"/>
  <c r="A2637" i="6"/>
  <c r="D2637" i="6" s="1"/>
  <c r="G2638" i="6"/>
  <c r="G2643" i="6"/>
  <c r="A2648" i="6"/>
  <c r="D2648" i="6" s="1"/>
  <c r="C2648" i="6"/>
  <c r="E2648" i="6"/>
  <c r="F2648" i="6"/>
  <c r="A2649" i="6"/>
  <c r="D2649" i="6"/>
  <c r="F2649" i="6"/>
  <c r="A2650" i="6"/>
  <c r="C2650" i="6"/>
  <c r="D2650" i="6"/>
  <c r="E2650" i="6"/>
  <c r="F2650" i="6"/>
  <c r="A2651" i="6"/>
  <c r="D2651" i="6"/>
  <c r="F2651" i="6"/>
  <c r="A2652" i="6"/>
  <c r="D2652" i="6" s="1"/>
  <c r="C2652" i="6"/>
  <c r="E2652" i="6"/>
  <c r="F2652" i="6"/>
  <c r="A2653" i="6"/>
  <c r="D2653" i="6"/>
  <c r="F2653" i="6"/>
  <c r="A2654" i="6"/>
  <c r="C2654" i="6"/>
  <c r="D2654" i="6"/>
  <c r="E2654" i="6"/>
  <c r="F2654" i="6"/>
  <c r="A2655" i="6"/>
  <c r="D2655" i="6"/>
  <c r="F2655" i="6"/>
  <c r="A2656" i="6"/>
  <c r="D2656" i="6" s="1"/>
  <c r="C2656" i="6"/>
  <c r="E2656" i="6"/>
  <c r="F2656" i="6"/>
  <c r="A2657" i="6"/>
  <c r="D2657" i="6" s="1"/>
  <c r="A2658" i="6"/>
  <c r="C2658" i="6"/>
  <c r="D2658" i="6"/>
  <c r="E2658" i="6"/>
  <c r="F2658" i="6"/>
  <c r="A2659" i="6"/>
  <c r="D2659" i="6" s="1"/>
  <c r="A2660" i="6"/>
  <c r="D2660" i="6" s="1"/>
  <c r="C2660" i="6"/>
  <c r="E2660" i="6"/>
  <c r="F2660" i="6"/>
  <c r="A2661" i="6"/>
  <c r="A2662" i="6"/>
  <c r="C2662" i="6"/>
  <c r="D2662" i="6"/>
  <c r="E2662" i="6"/>
  <c r="F2662" i="6"/>
  <c r="G2663" i="6"/>
  <c r="G2668" i="6"/>
  <c r="A2673" i="6"/>
  <c r="D2673" i="6"/>
  <c r="F2673" i="6"/>
  <c r="A2674" i="6"/>
  <c r="D2674" i="6" s="1"/>
  <c r="C2674" i="6"/>
  <c r="E2674" i="6"/>
  <c r="F2674" i="6"/>
  <c r="A2675" i="6"/>
  <c r="D2675" i="6"/>
  <c r="F2675" i="6"/>
  <c r="A2676" i="6"/>
  <c r="C2676" i="6"/>
  <c r="D2676" i="6"/>
  <c r="E2676" i="6"/>
  <c r="F2676" i="6"/>
  <c r="A2677" i="6"/>
  <c r="D2677" i="6"/>
  <c r="F2677" i="6"/>
  <c r="A2678" i="6"/>
  <c r="D2678" i="6" s="1"/>
  <c r="C2678" i="6"/>
  <c r="E2678" i="6"/>
  <c r="F2678" i="6"/>
  <c r="A2679" i="6"/>
  <c r="D2679" i="6" s="1"/>
  <c r="A2680" i="6"/>
  <c r="C2680" i="6"/>
  <c r="D2680" i="6"/>
  <c r="E2680" i="6"/>
  <c r="F2680" i="6"/>
  <c r="A2681" i="6"/>
  <c r="D2681" i="6" s="1"/>
  <c r="A2682" i="6"/>
  <c r="D2682" i="6" s="1"/>
  <c r="C2682" i="6"/>
  <c r="E2682" i="6"/>
  <c r="F2682" i="6"/>
  <c r="A2683" i="6"/>
  <c r="A2684" i="6"/>
  <c r="C2684" i="6"/>
  <c r="D2684" i="6"/>
  <c r="E2684" i="6"/>
  <c r="F2684" i="6"/>
  <c r="A2685" i="6"/>
  <c r="A2686" i="6"/>
  <c r="D2686" i="6" s="1"/>
  <c r="C2686" i="6"/>
  <c r="E2686" i="6"/>
  <c r="F2686" i="6"/>
  <c r="A2687" i="6"/>
  <c r="D2687" i="6"/>
  <c r="F2687" i="6"/>
  <c r="A2688" i="6"/>
  <c r="C2688" i="6"/>
  <c r="D2688" i="6"/>
  <c r="E2688" i="6"/>
  <c r="F2688" i="6"/>
  <c r="A2689" i="6"/>
  <c r="D2689" i="6"/>
  <c r="F2689" i="6"/>
  <c r="A2690" i="6"/>
  <c r="D2690" i="6" s="1"/>
  <c r="C2690" i="6"/>
  <c r="E2690" i="6"/>
  <c r="F2690" i="6"/>
  <c r="A2691" i="6"/>
  <c r="D2691" i="6"/>
  <c r="F2691" i="6"/>
  <c r="A2692" i="6"/>
  <c r="C2692" i="6"/>
  <c r="D2692" i="6"/>
  <c r="E2692" i="6"/>
  <c r="F2692" i="6"/>
  <c r="A2693" i="6"/>
  <c r="D2693" i="6"/>
  <c r="F2693" i="6"/>
  <c r="A2694" i="6"/>
  <c r="D2694" i="6" s="1"/>
  <c r="C2694" i="6"/>
  <c r="E2694" i="6"/>
  <c r="F2694" i="6"/>
  <c r="A2695" i="6"/>
  <c r="D2695" i="6" s="1"/>
  <c r="A2696" i="6"/>
  <c r="C2696" i="6"/>
  <c r="D2696" i="6"/>
  <c r="E2696" i="6"/>
  <c r="F2696" i="6"/>
  <c r="A2697" i="6"/>
  <c r="D2697" i="6" s="1"/>
  <c r="A2698" i="6"/>
  <c r="D2698" i="6" s="1"/>
  <c r="C2698" i="6"/>
  <c r="E2698" i="6"/>
  <c r="F2698" i="6"/>
  <c r="A2699" i="6"/>
  <c r="A2700" i="6"/>
  <c r="C2700" i="6"/>
  <c r="D2700" i="6"/>
  <c r="E2700" i="6"/>
  <c r="F2700" i="6"/>
  <c r="A2701" i="6"/>
  <c r="A2702" i="6"/>
  <c r="D2702" i="6" s="1"/>
  <c r="C2702" i="6"/>
  <c r="E2702" i="6"/>
  <c r="F2702" i="6"/>
  <c r="A2703" i="6"/>
  <c r="D2703" i="6"/>
  <c r="F2703" i="6"/>
  <c r="A2704" i="6"/>
  <c r="C2704" i="6"/>
  <c r="D2704" i="6"/>
  <c r="E2704" i="6"/>
  <c r="F2704" i="6"/>
  <c r="A2705" i="6"/>
  <c r="D2705" i="6"/>
  <c r="F2705" i="6"/>
  <c r="A2706" i="6"/>
  <c r="D2706" i="6" s="1"/>
  <c r="C2706" i="6"/>
  <c r="E2706" i="6"/>
  <c r="F2706" i="6"/>
  <c r="A2707" i="6"/>
  <c r="D2707" i="6"/>
  <c r="F2707" i="6"/>
  <c r="G2708" i="6"/>
  <c r="G2713" i="6"/>
  <c r="A2718" i="6"/>
  <c r="C2718" i="6"/>
  <c r="D2718" i="6"/>
  <c r="E2718" i="6"/>
  <c r="F2718" i="6"/>
  <c r="A2719" i="6"/>
  <c r="D2719" i="6" s="1"/>
  <c r="A2720" i="6"/>
  <c r="D2720" i="6" s="1"/>
  <c r="C2720" i="6"/>
  <c r="E2720" i="6"/>
  <c r="F2720" i="6"/>
  <c r="A2721" i="6"/>
  <c r="A2722" i="6"/>
  <c r="C2722" i="6"/>
  <c r="D2722" i="6"/>
  <c r="E2722" i="6"/>
  <c r="F2722" i="6"/>
  <c r="A2723" i="6"/>
  <c r="A2724" i="6"/>
  <c r="D2724" i="6" s="1"/>
  <c r="C2724" i="6"/>
  <c r="E2724" i="6"/>
  <c r="F2724" i="6"/>
  <c r="A2725" i="6"/>
  <c r="D2725" i="6"/>
  <c r="F2725" i="6"/>
  <c r="A2726" i="6"/>
  <c r="C2726" i="6"/>
  <c r="D2726" i="6"/>
  <c r="E2726" i="6"/>
  <c r="F2726" i="6"/>
  <c r="A2727" i="6"/>
  <c r="D2727" i="6"/>
  <c r="F2727" i="6"/>
  <c r="A2728" i="6"/>
  <c r="D2728" i="6" s="1"/>
  <c r="C2728" i="6"/>
  <c r="E2728" i="6"/>
  <c r="F2728" i="6"/>
  <c r="A2729" i="6"/>
  <c r="D2729" i="6"/>
  <c r="F2729" i="6"/>
  <c r="A2730" i="6"/>
  <c r="C2730" i="6"/>
  <c r="D2730" i="6"/>
  <c r="E2730" i="6"/>
  <c r="F2730" i="6"/>
  <c r="A2731" i="6"/>
  <c r="D2731" i="6"/>
  <c r="F2731" i="6"/>
  <c r="A2732" i="6"/>
  <c r="D2732" i="6" s="1"/>
  <c r="C2732" i="6"/>
  <c r="E2732" i="6"/>
  <c r="F2732" i="6"/>
  <c r="A2733" i="6"/>
  <c r="A2734" i="6"/>
  <c r="C2734" i="6"/>
  <c r="D2734" i="6"/>
  <c r="E2734" i="6"/>
  <c r="F2734" i="6"/>
  <c r="A2735" i="6"/>
  <c r="A2736" i="6"/>
  <c r="D2736" i="6" s="1"/>
  <c r="C2736" i="6"/>
  <c r="E2736" i="6"/>
  <c r="F2736" i="6"/>
  <c r="A2737" i="6"/>
  <c r="D2737" i="6"/>
  <c r="A2738" i="6"/>
  <c r="C2738" i="6"/>
  <c r="D2738" i="6"/>
  <c r="E2738" i="6"/>
  <c r="F2738" i="6"/>
  <c r="A2739" i="6"/>
  <c r="D2739" i="6" s="1"/>
  <c r="A2740" i="6"/>
  <c r="D2740" i="6" s="1"/>
  <c r="C2740" i="6"/>
  <c r="E2740" i="6"/>
  <c r="F2740" i="6"/>
  <c r="A2741" i="6"/>
  <c r="D2741" i="6"/>
  <c r="F2741" i="6"/>
  <c r="A2742" i="6"/>
  <c r="C2742" i="6"/>
  <c r="D2742" i="6"/>
  <c r="E2742" i="6"/>
  <c r="F2742" i="6"/>
  <c r="A2743" i="6"/>
  <c r="D2743" i="6"/>
  <c r="F2743" i="6"/>
  <c r="A2744" i="6"/>
  <c r="D2744" i="6" s="1"/>
  <c r="C2744" i="6"/>
  <c r="E2744" i="6"/>
  <c r="F2744" i="6"/>
  <c r="A2745" i="6"/>
  <c r="C2745" i="6" s="1"/>
  <c r="D2745" i="6"/>
  <c r="E2745" i="6"/>
  <c r="F2745" i="6"/>
  <c r="A2746" i="6"/>
  <c r="C2746" i="6"/>
  <c r="D2746" i="6"/>
  <c r="E2746" i="6"/>
  <c r="F2746" i="6"/>
  <c r="A2747" i="6"/>
  <c r="E2747" i="6" s="1"/>
  <c r="C2747" i="6"/>
  <c r="D2747" i="6"/>
  <c r="A2748" i="6"/>
  <c r="D2748" i="6" s="1"/>
  <c r="C2748" i="6"/>
  <c r="E2748" i="6"/>
  <c r="A2749" i="6"/>
  <c r="C2749" i="6" s="1"/>
  <c r="D2749" i="6"/>
  <c r="E2749" i="6"/>
  <c r="A2750" i="6"/>
  <c r="C2750" i="6"/>
  <c r="D2750" i="6"/>
  <c r="E2750" i="6"/>
  <c r="F2750" i="6"/>
  <c r="A2751" i="6"/>
  <c r="C2751" i="6" s="1"/>
  <c r="A2752" i="6"/>
  <c r="C2752" i="6"/>
  <c r="A2753" i="6"/>
  <c r="D2753" i="6" s="1"/>
  <c r="A2754" i="6"/>
  <c r="C2754" i="6"/>
  <c r="D2754" i="6"/>
  <c r="E2754" i="6"/>
  <c r="F2754" i="6"/>
  <c r="A2755" i="6"/>
  <c r="G2756" i="6"/>
  <c r="G2761" i="6"/>
  <c r="A2766" i="6"/>
  <c r="F2766" i="6"/>
  <c r="A2767" i="6"/>
  <c r="A2768" i="6"/>
  <c r="C2768" i="6"/>
  <c r="D2768" i="6"/>
  <c r="E2768" i="6"/>
  <c r="F2768" i="6"/>
  <c r="A2769" i="6"/>
  <c r="E2769" i="6" s="1"/>
  <c r="C2769" i="6"/>
  <c r="D2769" i="6"/>
  <c r="F2769" i="6"/>
  <c r="A2770" i="6"/>
  <c r="D2770" i="6" s="1"/>
  <c r="C2770" i="6"/>
  <c r="E2770" i="6"/>
  <c r="F2770" i="6"/>
  <c r="A2771" i="6"/>
  <c r="C2771" i="6" s="1"/>
  <c r="D2771" i="6"/>
  <c r="E2771" i="6"/>
  <c r="F2771" i="6"/>
  <c r="A2772" i="6"/>
  <c r="C2772" i="6"/>
  <c r="D2772" i="6"/>
  <c r="E2772" i="6"/>
  <c r="F2772" i="6"/>
  <c r="A2773" i="6"/>
  <c r="E2773" i="6" s="1"/>
  <c r="C2773" i="6"/>
  <c r="D2773" i="6"/>
  <c r="A2774" i="6"/>
  <c r="D2774" i="6" s="1"/>
  <c r="C2774" i="6"/>
  <c r="E2774" i="6"/>
  <c r="A2775" i="6"/>
  <c r="C2775" i="6" s="1"/>
  <c r="D2775" i="6"/>
  <c r="E2775" i="6"/>
  <c r="A2776" i="6"/>
  <c r="C2776" i="6"/>
  <c r="D2776" i="6"/>
  <c r="E2776" i="6"/>
  <c r="F2776" i="6"/>
  <c r="A2777" i="6"/>
  <c r="C2777" i="6"/>
  <c r="A2778" i="6"/>
  <c r="C2778" i="6"/>
  <c r="A2779" i="6"/>
  <c r="D2779" i="6"/>
  <c r="A2780" i="6"/>
  <c r="C2780" i="6"/>
  <c r="D2780" i="6"/>
  <c r="E2780" i="6"/>
  <c r="F2780" i="6"/>
  <c r="A2781" i="6"/>
  <c r="F2781" i="6" s="1"/>
  <c r="A2782" i="6"/>
  <c r="F2782" i="6"/>
  <c r="A2783" i="6"/>
  <c r="F2783" i="6" s="1"/>
  <c r="A2784" i="6"/>
  <c r="C2784" i="6"/>
  <c r="D2784" i="6"/>
  <c r="E2784" i="6"/>
  <c r="F2784" i="6"/>
  <c r="A2785" i="6"/>
  <c r="E2785" i="6" s="1"/>
  <c r="C2785" i="6"/>
  <c r="D2785" i="6"/>
  <c r="F2785" i="6"/>
  <c r="A2786" i="6"/>
  <c r="D2786" i="6" s="1"/>
  <c r="C2786" i="6"/>
  <c r="E2786" i="6"/>
  <c r="F2786" i="6"/>
  <c r="A2787" i="6"/>
  <c r="C2787" i="6" s="1"/>
  <c r="D2787" i="6"/>
  <c r="E2787" i="6"/>
  <c r="F2787" i="6"/>
  <c r="A2788" i="6"/>
  <c r="C2788" i="6"/>
  <c r="D2788" i="6"/>
  <c r="E2788" i="6"/>
  <c r="F2788" i="6"/>
  <c r="A2789" i="6"/>
  <c r="E2789" i="6" s="1"/>
  <c r="C2789" i="6"/>
  <c r="D2789" i="6"/>
  <c r="A2790" i="6"/>
  <c r="D2790" i="6" s="1"/>
  <c r="C2790" i="6"/>
  <c r="E2790" i="6"/>
  <c r="A2791" i="6"/>
  <c r="C2791" i="6" s="1"/>
  <c r="D2791" i="6"/>
  <c r="E2791" i="6"/>
  <c r="A2792" i="6"/>
  <c r="C2792" i="6"/>
  <c r="D2792" i="6"/>
  <c r="E2792" i="6"/>
  <c r="F2792" i="6"/>
  <c r="A2793" i="6"/>
  <c r="C2793" i="6" s="1"/>
  <c r="A2794" i="6"/>
  <c r="C2794" i="6" s="1"/>
  <c r="A2795" i="6"/>
  <c r="D2795" i="6" s="1"/>
  <c r="A2796" i="6"/>
  <c r="C2796" i="6"/>
  <c r="D2796" i="6"/>
  <c r="E2796" i="6"/>
  <c r="F2796" i="6"/>
  <c r="A2797" i="6"/>
  <c r="F2797" i="6"/>
  <c r="A2798" i="6"/>
  <c r="F2798" i="6"/>
  <c r="A2799" i="6"/>
  <c r="F2799" i="6"/>
  <c r="A2800" i="6"/>
  <c r="C2800" i="6"/>
  <c r="D2800" i="6"/>
  <c r="E2800" i="6"/>
  <c r="F2800" i="6"/>
  <c r="A2801" i="6"/>
  <c r="E2801" i="6" s="1"/>
  <c r="C2801" i="6"/>
  <c r="D2801" i="6"/>
  <c r="F2801" i="6"/>
  <c r="A2802" i="6"/>
  <c r="D2802" i="6" s="1"/>
  <c r="C2802" i="6"/>
  <c r="E2802" i="6"/>
  <c r="F2802" i="6"/>
  <c r="A2803" i="6"/>
  <c r="C2803" i="6" s="1"/>
  <c r="D2803" i="6"/>
  <c r="E2803" i="6"/>
  <c r="F2803" i="6"/>
  <c r="A2804" i="6"/>
  <c r="C2804" i="6"/>
  <c r="D2804" i="6"/>
  <c r="E2804" i="6"/>
  <c r="F2804" i="6"/>
  <c r="A2805" i="6"/>
  <c r="E2805" i="6" s="1"/>
  <c r="C2805" i="6"/>
  <c r="D2805" i="6"/>
  <c r="G2806" i="6"/>
  <c r="G2811" i="6"/>
  <c r="A2816" i="6"/>
  <c r="D2816" i="6" s="1"/>
  <c r="C2816" i="6"/>
  <c r="E2816" i="6"/>
  <c r="A2817" i="6"/>
  <c r="C2817" i="6" s="1"/>
  <c r="D2817" i="6"/>
  <c r="E2817" i="6"/>
  <c r="A2818" i="6"/>
  <c r="C2818" i="6"/>
  <c r="D2818" i="6"/>
  <c r="E2818" i="6"/>
  <c r="F2818" i="6"/>
  <c r="A2819" i="6"/>
  <c r="C2819" i="6"/>
  <c r="A2820" i="6"/>
  <c r="C2820" i="6"/>
  <c r="A2821" i="6"/>
  <c r="D2821" i="6"/>
  <c r="A2822" i="6"/>
  <c r="C2822" i="6"/>
  <c r="D2822" i="6"/>
  <c r="E2822" i="6"/>
  <c r="F2822" i="6"/>
  <c r="A2823" i="6"/>
  <c r="F2823" i="6" s="1"/>
  <c r="A2824" i="6"/>
  <c r="F2824" i="6" s="1"/>
  <c r="A2825" i="6"/>
  <c r="F2825" i="6" s="1"/>
  <c r="A2826" i="6"/>
  <c r="C2826" i="6"/>
  <c r="D2826" i="6"/>
  <c r="E2826" i="6"/>
  <c r="F2826" i="6"/>
  <c r="A2827" i="6"/>
  <c r="E2827" i="6" s="1"/>
  <c r="C2827" i="6"/>
  <c r="D2827" i="6"/>
  <c r="F2827" i="6"/>
  <c r="A2828" i="6"/>
  <c r="D2828" i="6" s="1"/>
  <c r="C2828" i="6"/>
  <c r="E2828" i="6"/>
  <c r="F2828" i="6"/>
  <c r="A2829" i="6"/>
  <c r="C2829" i="6" s="1"/>
  <c r="D2829" i="6"/>
  <c r="E2829" i="6"/>
  <c r="F2829" i="6"/>
  <c r="A2830" i="6"/>
  <c r="C2830" i="6"/>
  <c r="D2830" i="6"/>
  <c r="E2830" i="6"/>
  <c r="F2830" i="6"/>
  <c r="A2831" i="6"/>
  <c r="E2831" i="6" s="1"/>
  <c r="C2831" i="6"/>
  <c r="D2831" i="6"/>
  <c r="A2832" i="6"/>
  <c r="D2832" i="6" s="1"/>
  <c r="C2832" i="6"/>
  <c r="E2832" i="6"/>
  <c r="A2833" i="6"/>
  <c r="C2833" i="6" s="1"/>
  <c r="D2833" i="6"/>
  <c r="E2833" i="6"/>
  <c r="A2834" i="6"/>
  <c r="C2834" i="6"/>
  <c r="D2834" i="6"/>
  <c r="E2834" i="6"/>
  <c r="F2834" i="6"/>
  <c r="A2835" i="6"/>
  <c r="C2835" i="6" s="1"/>
  <c r="A2836" i="6"/>
  <c r="C2836" i="6" s="1"/>
  <c r="A2837" i="6"/>
  <c r="D2837" i="6" s="1"/>
  <c r="A2838" i="6"/>
  <c r="C2838" i="6"/>
  <c r="D2838" i="6"/>
  <c r="E2838" i="6"/>
  <c r="F2838" i="6"/>
  <c r="A2839" i="6"/>
  <c r="F2839" i="6"/>
  <c r="A2840" i="6"/>
  <c r="F2840" i="6"/>
  <c r="A2841" i="6"/>
  <c r="F2841" i="6"/>
  <c r="A2842" i="6"/>
  <c r="C2842" i="6"/>
  <c r="D2842" i="6"/>
  <c r="E2842" i="6"/>
  <c r="F2842" i="6"/>
  <c r="A2843" i="6"/>
  <c r="E2843" i="6" s="1"/>
  <c r="C2843" i="6"/>
  <c r="D2843" i="6"/>
  <c r="F2843" i="6"/>
  <c r="A2844" i="6"/>
  <c r="D2844" i="6" s="1"/>
  <c r="C2844" i="6"/>
  <c r="E2844" i="6"/>
  <c r="F2844" i="6"/>
  <c r="A2845" i="6"/>
  <c r="C2845" i="6" s="1"/>
  <c r="D2845" i="6"/>
  <c r="E2845" i="6"/>
  <c r="F2845" i="6"/>
  <c r="A2846" i="6"/>
  <c r="C2846" i="6"/>
  <c r="D2846" i="6"/>
  <c r="E2846" i="6"/>
  <c r="F2846" i="6"/>
  <c r="A2847" i="6"/>
  <c r="E2847" i="6" s="1"/>
  <c r="C2847" i="6"/>
  <c r="D2847" i="6"/>
  <c r="A2848" i="6"/>
  <c r="D2848" i="6" s="1"/>
  <c r="C2848" i="6"/>
  <c r="E2848" i="6"/>
  <c r="A2849" i="6"/>
  <c r="C2849" i="6" s="1"/>
  <c r="D2849" i="6"/>
  <c r="E2849" i="6"/>
  <c r="G2850" i="6"/>
  <c r="G2855" i="6"/>
  <c r="A2860" i="6"/>
  <c r="C2860" i="6"/>
  <c r="D2860" i="6"/>
  <c r="E2860" i="6"/>
  <c r="F2860" i="6"/>
  <c r="A2861" i="6"/>
  <c r="E2861" i="6" s="1"/>
  <c r="C2861" i="6"/>
  <c r="D2861" i="6"/>
  <c r="A2862" i="6"/>
  <c r="D2862" i="6" s="1"/>
  <c r="C2862" i="6"/>
  <c r="E2862" i="6"/>
  <c r="A2863" i="6"/>
  <c r="C2863" i="6" s="1"/>
  <c r="D2863" i="6"/>
  <c r="E2863" i="6"/>
  <c r="A2864" i="6"/>
  <c r="C2864" i="6"/>
  <c r="D2864" i="6"/>
  <c r="E2864" i="6"/>
  <c r="F2864" i="6"/>
  <c r="A2865" i="6"/>
  <c r="C2865" i="6" s="1"/>
  <c r="A2866" i="6"/>
  <c r="C2866" i="6" s="1"/>
  <c r="A2867" i="6"/>
  <c r="D2867" i="6" s="1"/>
  <c r="A2868" i="6"/>
  <c r="C2868" i="6"/>
  <c r="D2868" i="6"/>
  <c r="E2868" i="6"/>
  <c r="F2868" i="6"/>
  <c r="A2869" i="6"/>
  <c r="A2870" i="6"/>
  <c r="F2870" i="6"/>
  <c r="A2871" i="6"/>
  <c r="A2872" i="6"/>
  <c r="C2872" i="6"/>
  <c r="D2872" i="6"/>
  <c r="E2872" i="6"/>
  <c r="F2872" i="6"/>
  <c r="A2873" i="6"/>
  <c r="E2873" i="6" s="1"/>
  <c r="C2873" i="6"/>
  <c r="D2873" i="6"/>
  <c r="F2873" i="6"/>
  <c r="A2874" i="6"/>
  <c r="D2874" i="6" s="1"/>
  <c r="C2874" i="6"/>
  <c r="E2874" i="6"/>
  <c r="F2874" i="6"/>
  <c r="A2875" i="6"/>
  <c r="C2875" i="6" s="1"/>
  <c r="D2875" i="6"/>
  <c r="E2875" i="6"/>
  <c r="F2875" i="6"/>
  <c r="A2876" i="6"/>
  <c r="C2876" i="6"/>
  <c r="D2876" i="6"/>
  <c r="E2876" i="6"/>
  <c r="F2876" i="6"/>
  <c r="A2877" i="6"/>
  <c r="E2877" i="6" s="1"/>
  <c r="C2877" i="6"/>
  <c r="D2877" i="6"/>
  <c r="A2878" i="6"/>
  <c r="D2878" i="6" s="1"/>
  <c r="C2878" i="6"/>
  <c r="E2878" i="6"/>
  <c r="A2879" i="6"/>
  <c r="C2879" i="6" s="1"/>
  <c r="D2879" i="6"/>
  <c r="E2879" i="6"/>
  <c r="A2880" i="6"/>
  <c r="C2880" i="6"/>
  <c r="D2880" i="6"/>
  <c r="E2880" i="6"/>
  <c r="F2880" i="6"/>
  <c r="A2881" i="6"/>
  <c r="C2881" i="6"/>
  <c r="A2882" i="6"/>
  <c r="C2882" i="6"/>
  <c r="A2883" i="6"/>
  <c r="D2883" i="6"/>
  <c r="G2884" i="6"/>
  <c r="G2889" i="6"/>
  <c r="A2894" i="6"/>
  <c r="C2894" i="6"/>
  <c r="D2894" i="6"/>
  <c r="E2894" i="6"/>
  <c r="F2894" i="6"/>
  <c r="A2895" i="6"/>
  <c r="C2895" i="6" s="1"/>
  <c r="A2896" i="6"/>
  <c r="C2896" i="6" s="1"/>
  <c r="A2897" i="6"/>
  <c r="D2897" i="6" s="1"/>
  <c r="A2898" i="6"/>
  <c r="C2898" i="6"/>
  <c r="D2898" i="6"/>
  <c r="E2898" i="6"/>
  <c r="F2898" i="6"/>
  <c r="A2899" i="6"/>
  <c r="F2899" i="6"/>
  <c r="A2900" i="6"/>
  <c r="F2900" i="6"/>
  <c r="A2901" i="6"/>
  <c r="F2901" i="6"/>
  <c r="A2902" i="6"/>
  <c r="C2902" i="6"/>
  <c r="D2902" i="6"/>
  <c r="E2902" i="6"/>
  <c r="F2902" i="6"/>
  <c r="A2903" i="6"/>
  <c r="E2903" i="6" s="1"/>
  <c r="C2903" i="6"/>
  <c r="D2903" i="6"/>
  <c r="F2903" i="6"/>
  <c r="A2904" i="6"/>
  <c r="D2904" i="6" s="1"/>
  <c r="C2904" i="6"/>
  <c r="E2904" i="6"/>
  <c r="F2904" i="6"/>
  <c r="A2905" i="6"/>
  <c r="C2905" i="6" s="1"/>
  <c r="D2905" i="6"/>
  <c r="E2905" i="6"/>
  <c r="F2905" i="6"/>
  <c r="A2906" i="6"/>
  <c r="C2906" i="6"/>
  <c r="D2906" i="6"/>
  <c r="E2906" i="6"/>
  <c r="F2906" i="6"/>
  <c r="A2907" i="6"/>
  <c r="E2907" i="6" s="1"/>
  <c r="C2907" i="6"/>
  <c r="D2907" i="6"/>
  <c r="A2908" i="6"/>
  <c r="D2908" i="6" s="1"/>
  <c r="C2908" i="6"/>
  <c r="E2908" i="6"/>
  <c r="G2909" i="6"/>
  <c r="G2914" i="6"/>
  <c r="A2919" i="6"/>
  <c r="C2919" i="6" s="1"/>
  <c r="D2919" i="6"/>
  <c r="E2919" i="6"/>
  <c r="A2920" i="6"/>
  <c r="C2920" i="6"/>
  <c r="D2920" i="6"/>
  <c r="E2920" i="6"/>
  <c r="F2920" i="6"/>
  <c r="A2921" i="6"/>
  <c r="C2921" i="6"/>
  <c r="A2922" i="6"/>
  <c r="A2923" i="6"/>
  <c r="D2923" i="6"/>
  <c r="A2924" i="6"/>
  <c r="C2924" i="6"/>
  <c r="D2924" i="6"/>
  <c r="E2924" i="6"/>
  <c r="F2924" i="6"/>
  <c r="A2925" i="6"/>
  <c r="F2925" i="6" s="1"/>
  <c r="A2926" i="6"/>
  <c r="F2926" i="6" s="1"/>
  <c r="A2927" i="6"/>
  <c r="F2927" i="6" s="1"/>
  <c r="A2928" i="6"/>
  <c r="C2928" i="6"/>
  <c r="D2928" i="6"/>
  <c r="E2928" i="6"/>
  <c r="F2928" i="6"/>
  <c r="A2929" i="6"/>
  <c r="E2929" i="6" s="1"/>
  <c r="C2929" i="6"/>
  <c r="D2929" i="6"/>
  <c r="F2929" i="6"/>
  <c r="A2930" i="6"/>
  <c r="D2930" i="6" s="1"/>
  <c r="C2930" i="6"/>
  <c r="E2930" i="6"/>
  <c r="F2930" i="6"/>
  <c r="A2931" i="6"/>
  <c r="C2931" i="6" s="1"/>
  <c r="D2931" i="6"/>
  <c r="E2931" i="6"/>
  <c r="F2931" i="6"/>
  <c r="A2932" i="6"/>
  <c r="C2932" i="6"/>
  <c r="D2932" i="6"/>
  <c r="E2932" i="6"/>
  <c r="F2932" i="6"/>
  <c r="A2933" i="6"/>
  <c r="E2933" i="6" s="1"/>
  <c r="C2933" i="6"/>
  <c r="D2933" i="6"/>
  <c r="A2934" i="6"/>
  <c r="D2934" i="6" s="1"/>
  <c r="C2934" i="6"/>
  <c r="E2934" i="6"/>
  <c r="A2935" i="6"/>
  <c r="C2935" i="6" s="1"/>
  <c r="D2935" i="6"/>
  <c r="E2935" i="6"/>
  <c r="A2936" i="6"/>
  <c r="C2936" i="6"/>
  <c r="D2936" i="6"/>
  <c r="E2936" i="6"/>
  <c r="F2936" i="6"/>
  <c r="A2937" i="6"/>
  <c r="C2937" i="6" s="1"/>
  <c r="G2938" i="6"/>
  <c r="G2943" i="6"/>
  <c r="A2948" i="6"/>
  <c r="A2949" i="6"/>
  <c r="D2949" i="6"/>
  <c r="A2950" i="6"/>
  <c r="C2950" i="6"/>
  <c r="D2950" i="6"/>
  <c r="E2950" i="6"/>
  <c r="F2950" i="6"/>
  <c r="A2951" i="6"/>
  <c r="F2951" i="6" s="1"/>
  <c r="A2952" i="6"/>
  <c r="F2952" i="6" s="1"/>
  <c r="A2953" i="6"/>
  <c r="F2953" i="6" s="1"/>
  <c r="A2954" i="6"/>
  <c r="C2954" i="6"/>
  <c r="D2954" i="6"/>
  <c r="E2954" i="6"/>
  <c r="F2954" i="6"/>
  <c r="A2955" i="6"/>
  <c r="E2955" i="6" s="1"/>
  <c r="C2955" i="6"/>
  <c r="D2955" i="6"/>
  <c r="F2955" i="6"/>
  <c r="A2956" i="6"/>
  <c r="D2956" i="6" s="1"/>
  <c r="C2956" i="6"/>
  <c r="E2956" i="6"/>
  <c r="F2956" i="6"/>
  <c r="A2957" i="6"/>
  <c r="C2957" i="6" s="1"/>
  <c r="D2957" i="6"/>
  <c r="E2957" i="6"/>
  <c r="F2957" i="6"/>
  <c r="A2958" i="6"/>
  <c r="C2958" i="6"/>
  <c r="D2958" i="6"/>
  <c r="E2958" i="6"/>
  <c r="F2958" i="6"/>
  <c r="A2959" i="6"/>
  <c r="E2959" i="6" s="1"/>
  <c r="C2959" i="6"/>
  <c r="D2959" i="6"/>
  <c r="A2960" i="6"/>
  <c r="D2960" i="6" s="1"/>
  <c r="C2960" i="6"/>
  <c r="E2960" i="6"/>
  <c r="A2961" i="6"/>
  <c r="C2961" i="6" s="1"/>
  <c r="D2961" i="6"/>
  <c r="E2961" i="6"/>
  <c r="A2962" i="6"/>
  <c r="C2962" i="6"/>
  <c r="D2962" i="6"/>
  <c r="E2962" i="6"/>
  <c r="F2962" i="6"/>
  <c r="G2963" i="6"/>
  <c r="G2968" i="6"/>
  <c r="A2973" i="6"/>
  <c r="E2973" i="6" s="1"/>
  <c r="C2973" i="6"/>
  <c r="D2973" i="6"/>
  <c r="A2974" i="6"/>
  <c r="D2974" i="6" s="1"/>
  <c r="C2974" i="6"/>
  <c r="E2974" i="6"/>
  <c r="A2975" i="6"/>
  <c r="C2975" i="6" s="1"/>
  <c r="D2975" i="6"/>
  <c r="E2975" i="6"/>
  <c r="A2976" i="6"/>
  <c r="C2976" i="6"/>
  <c r="D2976" i="6"/>
  <c r="E2976" i="6"/>
  <c r="F2976" i="6"/>
  <c r="A2977" i="6"/>
  <c r="C2977" i="6"/>
  <c r="A2978" i="6"/>
  <c r="C2978" i="6"/>
  <c r="A2979" i="6"/>
  <c r="D2979" i="6"/>
  <c r="A2980" i="6"/>
  <c r="C2980" i="6"/>
  <c r="D2980" i="6"/>
  <c r="E2980" i="6"/>
  <c r="F2980" i="6"/>
  <c r="A2981" i="6"/>
  <c r="F2981" i="6" s="1"/>
  <c r="A2982" i="6"/>
  <c r="F2982" i="6" s="1"/>
  <c r="A2983" i="6"/>
  <c r="F2983" i="6" s="1"/>
  <c r="A2984" i="6"/>
  <c r="C2984" i="6"/>
  <c r="D2984" i="6"/>
  <c r="E2984" i="6"/>
  <c r="F2984" i="6"/>
  <c r="A2985" i="6"/>
  <c r="E2985" i="6" s="1"/>
  <c r="C2985" i="6"/>
  <c r="D2985" i="6"/>
  <c r="F2985" i="6"/>
  <c r="A2986" i="6"/>
  <c r="D2986" i="6" s="1"/>
  <c r="C2986" i="6"/>
  <c r="E2986" i="6"/>
  <c r="F2986" i="6"/>
  <c r="A2987" i="6"/>
  <c r="C2987" i="6" s="1"/>
  <c r="D2987" i="6"/>
  <c r="E2987" i="6"/>
  <c r="F2987" i="6"/>
  <c r="G2988" i="6"/>
  <c r="G2993" i="6"/>
  <c r="A2998" i="6"/>
  <c r="C2998" i="6"/>
  <c r="D2998" i="6"/>
  <c r="E2998" i="6"/>
  <c r="F2998" i="6"/>
  <c r="A2999" i="6"/>
  <c r="E2999" i="6" s="1"/>
  <c r="C2999" i="6"/>
  <c r="D2999" i="6"/>
  <c r="F2999" i="6"/>
  <c r="A3000" i="6"/>
  <c r="D3000" i="6" s="1"/>
  <c r="C3000" i="6"/>
  <c r="E3000" i="6"/>
  <c r="F3000" i="6"/>
  <c r="A3001" i="6"/>
  <c r="C3001" i="6" s="1"/>
  <c r="D3001" i="6"/>
  <c r="E3001" i="6"/>
  <c r="F3001" i="6"/>
  <c r="A3002" i="6"/>
  <c r="C3002" i="6"/>
  <c r="D3002" i="6"/>
  <c r="E3002" i="6"/>
  <c r="F3002" i="6"/>
  <c r="A3003" i="6"/>
  <c r="E3003" i="6" s="1"/>
  <c r="C3003" i="6"/>
  <c r="D3003" i="6"/>
  <c r="A3004" i="6"/>
  <c r="D3004" i="6" s="1"/>
  <c r="C3004" i="6"/>
  <c r="E3004" i="6"/>
  <c r="A3005" i="6"/>
  <c r="C3005" i="6" s="1"/>
  <c r="D3005" i="6"/>
  <c r="E3005" i="6"/>
  <c r="A3006" i="6"/>
  <c r="C3006" i="6"/>
  <c r="D3006" i="6"/>
  <c r="E3006" i="6"/>
  <c r="F3006" i="6"/>
  <c r="A3007" i="6"/>
  <c r="C3007" i="6" s="1"/>
  <c r="A3008" i="6"/>
  <c r="C3008" i="6" s="1"/>
  <c r="A3009" i="6"/>
  <c r="D3009" i="6" s="1"/>
  <c r="A3010" i="6"/>
  <c r="C3010" i="6"/>
  <c r="D3010" i="6"/>
  <c r="E3010" i="6"/>
  <c r="F3010" i="6"/>
  <c r="A3011" i="6"/>
  <c r="F3011" i="6"/>
  <c r="A3012" i="6"/>
  <c r="F3012" i="6"/>
  <c r="G3013" i="6"/>
  <c r="G3018" i="6"/>
  <c r="A3023" i="6"/>
  <c r="F3023" i="6"/>
  <c r="A3024" i="6"/>
  <c r="C3024" i="6"/>
  <c r="D3024" i="6"/>
  <c r="E3024" i="6"/>
  <c r="F3024" i="6"/>
  <c r="A3025" i="6"/>
  <c r="E3025" i="6" s="1"/>
  <c r="C3025" i="6"/>
  <c r="D3025" i="6"/>
  <c r="F3025" i="6"/>
  <c r="A3026" i="6"/>
  <c r="D3026" i="6" s="1"/>
  <c r="C3026" i="6"/>
  <c r="E3026" i="6"/>
  <c r="F3026" i="6"/>
  <c r="A3027" i="6"/>
  <c r="C3027" i="6" s="1"/>
  <c r="D3027" i="6"/>
  <c r="E3027" i="6"/>
  <c r="F3027" i="6"/>
  <c r="A3028" i="6"/>
  <c r="C3028" i="6"/>
  <c r="D3028" i="6"/>
  <c r="E3028" i="6"/>
  <c r="F3028" i="6"/>
  <c r="A3029" i="6"/>
  <c r="E3029" i="6" s="1"/>
  <c r="C3029" i="6"/>
  <c r="D3029" i="6"/>
  <c r="A3030" i="6"/>
  <c r="D3030" i="6" s="1"/>
  <c r="C3030" i="6"/>
  <c r="E3030" i="6"/>
  <c r="A3031" i="6"/>
  <c r="C3031" i="6" s="1"/>
  <c r="D3031" i="6"/>
  <c r="E3031" i="6"/>
  <c r="A3032" i="6"/>
  <c r="C3032" i="6"/>
  <c r="D3032" i="6"/>
  <c r="E3032" i="6"/>
  <c r="F3032" i="6"/>
  <c r="A3033" i="6"/>
  <c r="C3033" i="6"/>
  <c r="A3034" i="6"/>
  <c r="C3034" i="6"/>
  <c r="A3035" i="6"/>
  <c r="D3035" i="6"/>
  <c r="A3036" i="6"/>
  <c r="C3036" i="6"/>
  <c r="D3036" i="6"/>
  <c r="E3036" i="6"/>
  <c r="F3036" i="6"/>
  <c r="A3037" i="6"/>
  <c r="F3037" i="6" s="1"/>
  <c r="A3038" i="6"/>
  <c r="F3038" i="6" s="1"/>
  <c r="A3039" i="6"/>
  <c r="F3039" i="6" s="1"/>
  <c r="A3040" i="6"/>
  <c r="C3040" i="6"/>
  <c r="D3040" i="6"/>
  <c r="E3040" i="6"/>
  <c r="F3040" i="6"/>
  <c r="A3041" i="6"/>
  <c r="E3041" i="6" s="1"/>
  <c r="C3041" i="6"/>
  <c r="D3041" i="6"/>
  <c r="F3041" i="6"/>
  <c r="G3042" i="6"/>
  <c r="G3047" i="6"/>
  <c r="A3052" i="6"/>
  <c r="D3052" i="6" s="1"/>
  <c r="C3052" i="6"/>
  <c r="E3052" i="6"/>
  <c r="F3052" i="6"/>
  <c r="A3053" i="6"/>
  <c r="C3053" i="6" s="1"/>
  <c r="D3053" i="6"/>
  <c r="E3053" i="6"/>
  <c r="F3053" i="6"/>
  <c r="A3054" i="6"/>
  <c r="C3054" i="6"/>
  <c r="D3054" i="6"/>
  <c r="E3054" i="6"/>
  <c r="F3054" i="6"/>
  <c r="A3055" i="6"/>
  <c r="E3055" i="6" s="1"/>
  <c r="C3055" i="6"/>
  <c r="D3055" i="6"/>
  <c r="A3056" i="6"/>
  <c r="D3056" i="6" s="1"/>
  <c r="C3056" i="6"/>
  <c r="E3056" i="6"/>
  <c r="A3057" i="6"/>
  <c r="D3057" i="6"/>
  <c r="E3057" i="6"/>
  <c r="A3058" i="6"/>
  <c r="C3058" i="6"/>
  <c r="D3058" i="6"/>
  <c r="E3058" i="6"/>
  <c r="F3058" i="6"/>
  <c r="A3059" i="6"/>
  <c r="C3059" i="6"/>
  <c r="F3059" i="6"/>
  <c r="A3060" i="6"/>
  <c r="C3060" i="6" s="1"/>
  <c r="F3060" i="6"/>
  <c r="A3061" i="6"/>
  <c r="D3061" i="6"/>
  <c r="A3062" i="6"/>
  <c r="C3062" i="6"/>
  <c r="D3062" i="6"/>
  <c r="E3062" i="6"/>
  <c r="F3062" i="6"/>
  <c r="A3063" i="6"/>
  <c r="D3063" i="6"/>
  <c r="A3064" i="6"/>
  <c r="E3064" i="6" s="1"/>
  <c r="A3065" i="6"/>
  <c r="E3065" i="6"/>
  <c r="F3065" i="6"/>
  <c r="A3066" i="6"/>
  <c r="C3066" i="6"/>
  <c r="D3066" i="6"/>
  <c r="E3066" i="6"/>
  <c r="F3066" i="6"/>
  <c r="A3067" i="6"/>
  <c r="E3067" i="6" s="1"/>
  <c r="C3067" i="6"/>
  <c r="D3067" i="6"/>
  <c r="F3067" i="6"/>
  <c r="A3068" i="6"/>
  <c r="D3068" i="6" s="1"/>
  <c r="C3068" i="6"/>
  <c r="E3068" i="6"/>
  <c r="F3068" i="6"/>
  <c r="A3069" i="6"/>
  <c r="C3069" i="6" s="1"/>
  <c r="D3069" i="6"/>
  <c r="E3069" i="6"/>
  <c r="F3069" i="6"/>
  <c r="A3070" i="6"/>
  <c r="C3070" i="6"/>
  <c r="D3070" i="6"/>
  <c r="E3070" i="6"/>
  <c r="F3070" i="6"/>
  <c r="A3071" i="6"/>
  <c r="C3071" i="6" s="1"/>
  <c r="A3072" i="6"/>
  <c r="C3072" i="6"/>
  <c r="E3072" i="6"/>
  <c r="A3073" i="6"/>
  <c r="D3073" i="6" s="1"/>
  <c r="E3073" i="6"/>
  <c r="A3074" i="6"/>
  <c r="C3074" i="6"/>
  <c r="D3074" i="6"/>
  <c r="E3074" i="6"/>
  <c r="F3074" i="6"/>
  <c r="A3075" i="6"/>
  <c r="C3075" i="6" s="1"/>
  <c r="F3075" i="6"/>
  <c r="A3076" i="6"/>
  <c r="C3076" i="6"/>
  <c r="A3077" i="6"/>
  <c r="D3077" i="6" s="1"/>
  <c r="A3078" i="6"/>
  <c r="C3078" i="6"/>
  <c r="D3078" i="6"/>
  <c r="E3078" i="6"/>
  <c r="F3078" i="6"/>
  <c r="G3079" i="6"/>
  <c r="G3084" i="6"/>
  <c r="A3089" i="6"/>
  <c r="C3089" i="6"/>
  <c r="F3089" i="6"/>
  <c r="A3090" i="6"/>
  <c r="C3090" i="6" s="1"/>
  <c r="F3090" i="6"/>
  <c r="A3091" i="6"/>
  <c r="D3091" i="6"/>
  <c r="A3092" i="6"/>
  <c r="C3092" i="6"/>
  <c r="D3092" i="6"/>
  <c r="E3092" i="6"/>
  <c r="F3092" i="6"/>
  <c r="A3093" i="6"/>
  <c r="D3093" i="6"/>
  <c r="A3094" i="6"/>
  <c r="E3094" i="6" s="1"/>
  <c r="A3095" i="6"/>
  <c r="E3095" i="6"/>
  <c r="F3095" i="6"/>
  <c r="A3096" i="6"/>
  <c r="C3096" i="6"/>
  <c r="D3096" i="6"/>
  <c r="E3096" i="6"/>
  <c r="F3096" i="6"/>
  <c r="A3097" i="6"/>
  <c r="E3097" i="6" s="1"/>
  <c r="C3097" i="6"/>
  <c r="D3097" i="6"/>
  <c r="F3097" i="6"/>
  <c r="A3098" i="6"/>
  <c r="D3098" i="6" s="1"/>
  <c r="C3098" i="6"/>
  <c r="E3098" i="6"/>
  <c r="F3098" i="6"/>
  <c r="A3099" i="6"/>
  <c r="C3099" i="6" s="1"/>
  <c r="D3099" i="6"/>
  <c r="E3099" i="6"/>
  <c r="F3099" i="6"/>
  <c r="A3100" i="6"/>
  <c r="C3100" i="6"/>
  <c r="D3100" i="6"/>
  <c r="E3100" i="6"/>
  <c r="F3100" i="6"/>
  <c r="A3101" i="6"/>
  <c r="C3101" i="6" s="1"/>
  <c r="A3102" i="6"/>
  <c r="C3102" i="6"/>
  <c r="E3102" i="6"/>
  <c r="A3103" i="6"/>
  <c r="D3103" i="6" s="1"/>
  <c r="E3103" i="6"/>
  <c r="G3104" i="6"/>
  <c r="G3109" i="6"/>
  <c r="A3114" i="6"/>
  <c r="C3114" i="6"/>
  <c r="D3114" i="6"/>
  <c r="E3114" i="6"/>
  <c r="F3114" i="6"/>
  <c r="A3115" i="6"/>
  <c r="C3115" i="6"/>
  <c r="A3116" i="6"/>
  <c r="C3116" i="6" s="1"/>
  <c r="A3117" i="6"/>
  <c r="D3117" i="6"/>
  <c r="E3117" i="6"/>
  <c r="A3118" i="6"/>
  <c r="C3118" i="6"/>
  <c r="D3118" i="6"/>
  <c r="E3118" i="6"/>
  <c r="F3118" i="6"/>
  <c r="A3119" i="6"/>
  <c r="C3119" i="6"/>
  <c r="F3119" i="6"/>
  <c r="A3120" i="6"/>
  <c r="D3120" i="6" s="1"/>
  <c r="E3120" i="6"/>
  <c r="A3121" i="6"/>
  <c r="C3121" i="6" s="1"/>
  <c r="E3121" i="6"/>
  <c r="A3122" i="6"/>
  <c r="C3122" i="6"/>
  <c r="D3122" i="6"/>
  <c r="E3122" i="6"/>
  <c r="F3122" i="6"/>
  <c r="A3123" i="6"/>
  <c r="E3123" i="6" s="1"/>
  <c r="C3123" i="6"/>
  <c r="D3123" i="6"/>
  <c r="F3123" i="6"/>
  <c r="A3124" i="6"/>
  <c r="D3124" i="6" s="1"/>
  <c r="C3124" i="6"/>
  <c r="E3124" i="6"/>
  <c r="F3124" i="6"/>
  <c r="A3125" i="6"/>
  <c r="C3125" i="6" s="1"/>
  <c r="D3125" i="6"/>
  <c r="E3125" i="6"/>
  <c r="F3125" i="6"/>
  <c r="A3126" i="6"/>
  <c r="C3126" i="6"/>
  <c r="D3126" i="6"/>
  <c r="E3126" i="6"/>
  <c r="F3126" i="6"/>
  <c r="A3127" i="6"/>
  <c r="E3127" i="6" s="1"/>
  <c r="A3128" i="6"/>
  <c r="D3128" i="6" s="1"/>
  <c r="G3129" i="6"/>
  <c r="G3134" i="6"/>
  <c r="A3139" i="6"/>
  <c r="C3139" i="6" s="1"/>
  <c r="A3140" i="6"/>
  <c r="C3140" i="6"/>
  <c r="D3140" i="6"/>
  <c r="E3140" i="6"/>
  <c r="F3140" i="6"/>
  <c r="A3141" i="6"/>
  <c r="E3141" i="6" s="1"/>
  <c r="C3141" i="6"/>
  <c r="F3141" i="6"/>
  <c r="A3142" i="6"/>
  <c r="D3142" i="6" s="1"/>
  <c r="C3142" i="6"/>
  <c r="F3142" i="6"/>
  <c r="A3143" i="6"/>
  <c r="C3143" i="6" s="1"/>
  <c r="D3143" i="6"/>
  <c r="F3143" i="6"/>
  <c r="A3144" i="6"/>
  <c r="C3144" i="6"/>
  <c r="D3144" i="6"/>
  <c r="E3144" i="6"/>
  <c r="F3144" i="6"/>
  <c r="A3145" i="6"/>
  <c r="E3145" i="6" s="1"/>
  <c r="D3145" i="6"/>
  <c r="A3146" i="6"/>
  <c r="D3146" i="6" s="1"/>
  <c r="E3146" i="6"/>
  <c r="A3147" i="6"/>
  <c r="C3147" i="6" s="1"/>
  <c r="E3147" i="6"/>
  <c r="A3148" i="6"/>
  <c r="C3148" i="6"/>
  <c r="D3148" i="6"/>
  <c r="E3148" i="6"/>
  <c r="F3148" i="6"/>
  <c r="A3149" i="6"/>
  <c r="E3149" i="6" s="1"/>
  <c r="C3149" i="6"/>
  <c r="D3149" i="6"/>
  <c r="F3149" i="6"/>
  <c r="A3150" i="6"/>
  <c r="D3150" i="6" s="1"/>
  <c r="C3150" i="6"/>
  <c r="E3150" i="6"/>
  <c r="F3150" i="6"/>
  <c r="A3151" i="6"/>
  <c r="C3151" i="6" s="1"/>
  <c r="D3151" i="6"/>
  <c r="E3151" i="6"/>
  <c r="F3151" i="6"/>
  <c r="A3152" i="6"/>
  <c r="C3152" i="6"/>
  <c r="D3152" i="6"/>
  <c r="E3152" i="6"/>
  <c r="F3152" i="6"/>
  <c r="A3153" i="6"/>
  <c r="E3153" i="6" s="1"/>
  <c r="G3154" i="6"/>
  <c r="G3159" i="6"/>
  <c r="A3164" i="6"/>
  <c r="D3164" i="6" s="1"/>
  <c r="A3165" i="6"/>
  <c r="C3165" i="6" s="1"/>
  <c r="A3166" i="6"/>
  <c r="C3166" i="6"/>
  <c r="D3166" i="6"/>
  <c r="E3166" i="6"/>
  <c r="F3166" i="6"/>
  <c r="A3167" i="6"/>
  <c r="E3167" i="6" s="1"/>
  <c r="C3167" i="6"/>
  <c r="F3167" i="6"/>
  <c r="A3168" i="6"/>
  <c r="D3168" i="6" s="1"/>
  <c r="C3168" i="6"/>
  <c r="F3168" i="6"/>
  <c r="A3169" i="6"/>
  <c r="C3169" i="6" s="1"/>
  <c r="D3169" i="6"/>
  <c r="F3169" i="6"/>
  <c r="A3170" i="6"/>
  <c r="C3170" i="6"/>
  <c r="D3170" i="6"/>
  <c r="E3170" i="6"/>
  <c r="F3170" i="6"/>
  <c r="A3171" i="6"/>
  <c r="E3171" i="6" s="1"/>
  <c r="D3171" i="6"/>
  <c r="A3172" i="6"/>
  <c r="D3172" i="6" s="1"/>
  <c r="E3172" i="6"/>
  <c r="A3173" i="6"/>
  <c r="C3173" i="6" s="1"/>
  <c r="E3173" i="6"/>
  <c r="A3174" i="6"/>
  <c r="C3174" i="6"/>
  <c r="D3174" i="6"/>
  <c r="E3174" i="6"/>
  <c r="F3174" i="6"/>
  <c r="A3175" i="6"/>
  <c r="E3175" i="6" s="1"/>
  <c r="C3175" i="6"/>
  <c r="D3175" i="6"/>
  <c r="F3175" i="6"/>
  <c r="A3176" i="6"/>
  <c r="D3176" i="6" s="1"/>
  <c r="C3176" i="6"/>
  <c r="E3176" i="6"/>
  <c r="F3176" i="6"/>
  <c r="A3177" i="6"/>
  <c r="C3177" i="6" s="1"/>
  <c r="D3177" i="6"/>
  <c r="E3177" i="6"/>
  <c r="F3177" i="6"/>
  <c r="A3178" i="6"/>
  <c r="C3178" i="6"/>
  <c r="D3178" i="6"/>
  <c r="E3178" i="6"/>
  <c r="F3178" i="6"/>
  <c r="G3179" i="6"/>
  <c r="G3184" i="6"/>
  <c r="A3189" i="6"/>
  <c r="E3189" i="6" s="1"/>
  <c r="C3189" i="6"/>
  <c r="D3189" i="6"/>
  <c r="F3189" i="6"/>
  <c r="A3190" i="6"/>
  <c r="D3190" i="6" s="1"/>
  <c r="C3190" i="6"/>
  <c r="E3190" i="6"/>
  <c r="F3190" i="6"/>
  <c r="A3191" i="6"/>
  <c r="C3191" i="6" s="1"/>
  <c r="D3191" i="6"/>
  <c r="E3191" i="6"/>
  <c r="F3191" i="6"/>
  <c r="A3192" i="6"/>
  <c r="C3192" i="6"/>
  <c r="D3192" i="6"/>
  <c r="E3192" i="6"/>
  <c r="F3192" i="6"/>
  <c r="A3193" i="6"/>
  <c r="E3193" i="6" s="1"/>
  <c r="A3194" i="6"/>
  <c r="D3194" i="6" s="1"/>
  <c r="A3195" i="6"/>
  <c r="C3195" i="6" s="1"/>
  <c r="A3196" i="6"/>
  <c r="C3196" i="6"/>
  <c r="D3196" i="6"/>
  <c r="E3196" i="6"/>
  <c r="F3196" i="6"/>
  <c r="A3197" i="6"/>
  <c r="E3197" i="6" s="1"/>
  <c r="C3197" i="6"/>
  <c r="F3197" i="6"/>
  <c r="A3198" i="6"/>
  <c r="D3198" i="6" s="1"/>
  <c r="C3198" i="6"/>
  <c r="F3198" i="6"/>
  <c r="A3199" i="6"/>
  <c r="C3199" i="6" s="1"/>
  <c r="D3199" i="6"/>
  <c r="F3199" i="6"/>
  <c r="A3200" i="6"/>
  <c r="C3200" i="6"/>
  <c r="D3200" i="6"/>
  <c r="E3200" i="6"/>
  <c r="F3200" i="6"/>
  <c r="A3201" i="6"/>
  <c r="E3201" i="6" s="1"/>
  <c r="D3201" i="6"/>
  <c r="A3202" i="6"/>
  <c r="D3202" i="6" s="1"/>
  <c r="E3202" i="6"/>
  <c r="A3203" i="6"/>
  <c r="C3203" i="6" s="1"/>
  <c r="E3203" i="6"/>
  <c r="G3204" i="6"/>
  <c r="G3209" i="6"/>
  <c r="A3214" i="6"/>
  <c r="C3214" i="6"/>
  <c r="D3214" i="6"/>
  <c r="E3214" i="6"/>
  <c r="F3214" i="6"/>
  <c r="A3215" i="6"/>
  <c r="E3215" i="6" s="1"/>
  <c r="D3215" i="6"/>
  <c r="A3216" i="6"/>
  <c r="D3216" i="6" s="1"/>
  <c r="E3216" i="6"/>
  <c r="A3217" i="6"/>
  <c r="C3217" i="6" s="1"/>
  <c r="E3217" i="6"/>
  <c r="A3218" i="6"/>
  <c r="C3218" i="6"/>
  <c r="D3218" i="6"/>
  <c r="E3218" i="6"/>
  <c r="F3218" i="6"/>
  <c r="A3219" i="6"/>
  <c r="E3219" i="6" s="1"/>
  <c r="C3219" i="6"/>
  <c r="D3219" i="6"/>
  <c r="F3219" i="6"/>
  <c r="A3220" i="6"/>
  <c r="D3220" i="6" s="1"/>
  <c r="C3220" i="6"/>
  <c r="E3220" i="6"/>
  <c r="F3220" i="6"/>
  <c r="A3221" i="6"/>
  <c r="C3221" i="6" s="1"/>
  <c r="D3221" i="6"/>
  <c r="E3221" i="6"/>
  <c r="F3221" i="6"/>
  <c r="A3222" i="6"/>
  <c r="C3222" i="6"/>
  <c r="D3222" i="6"/>
  <c r="E3222" i="6"/>
  <c r="F3222" i="6"/>
  <c r="A3223" i="6"/>
  <c r="E3223" i="6" s="1"/>
  <c r="A3224" i="6"/>
  <c r="D3224" i="6" s="1"/>
  <c r="A3225" i="6"/>
  <c r="C3225" i="6" s="1"/>
  <c r="A3226" i="6"/>
  <c r="C3226" i="6"/>
  <c r="D3226" i="6"/>
  <c r="E3226" i="6"/>
  <c r="F3226" i="6"/>
  <c r="A3227" i="6"/>
  <c r="E3227" i="6" s="1"/>
  <c r="C3227" i="6"/>
  <c r="F3227" i="6"/>
  <c r="A3228" i="6"/>
  <c r="D3228" i="6" s="1"/>
  <c r="C3228" i="6"/>
  <c r="F3228" i="6"/>
  <c r="G3229" i="6"/>
  <c r="G3234" i="6"/>
  <c r="A3239" i="6"/>
  <c r="C3239" i="6" s="1"/>
  <c r="D3239" i="6"/>
  <c r="F3239" i="6"/>
  <c r="A3240" i="6"/>
  <c r="C3240" i="6"/>
  <c r="D3240" i="6"/>
  <c r="E3240" i="6"/>
  <c r="F3240" i="6"/>
  <c r="A3241" i="6"/>
  <c r="E3241" i="6" s="1"/>
  <c r="D3241" i="6"/>
  <c r="A3242" i="6"/>
  <c r="D3242" i="6" s="1"/>
  <c r="E3242" i="6"/>
  <c r="A3243" i="6"/>
  <c r="C3243" i="6" s="1"/>
  <c r="E3243" i="6"/>
  <c r="A3244" i="6"/>
  <c r="C3244" i="6"/>
  <c r="D3244" i="6"/>
  <c r="E3244" i="6"/>
  <c r="F3244" i="6"/>
  <c r="A3245" i="6"/>
  <c r="E3245" i="6" s="1"/>
  <c r="C3245" i="6"/>
  <c r="D3245" i="6"/>
  <c r="F3245" i="6"/>
  <c r="A3246" i="6"/>
  <c r="D3246" i="6" s="1"/>
  <c r="C3246" i="6"/>
  <c r="E3246" i="6"/>
  <c r="F3246" i="6"/>
  <c r="A3247" i="6"/>
  <c r="C3247" i="6" s="1"/>
  <c r="D3247" i="6"/>
  <c r="E3247" i="6"/>
  <c r="F3247" i="6"/>
  <c r="A3248" i="6"/>
  <c r="C3248" i="6"/>
  <c r="D3248" i="6"/>
  <c r="E3248" i="6"/>
  <c r="F3248" i="6"/>
  <c r="A3249" i="6"/>
  <c r="E3249" i="6" s="1"/>
  <c r="A3250" i="6"/>
  <c r="D3250" i="6" s="1"/>
  <c r="A3251" i="6"/>
  <c r="C3251" i="6" s="1"/>
  <c r="A3252" i="6"/>
  <c r="C3252" i="6"/>
  <c r="D3252" i="6"/>
  <c r="E3252" i="6"/>
  <c r="F3252" i="6"/>
  <c r="A3253" i="6"/>
  <c r="E3253" i="6" s="1"/>
  <c r="C3253" i="6"/>
  <c r="F3253" i="6"/>
  <c r="G3254" i="6"/>
  <c r="G3259" i="6"/>
  <c r="A3264" i="6"/>
  <c r="D3264" i="6" s="1"/>
  <c r="C3264" i="6"/>
  <c r="F3264" i="6"/>
  <c r="A3265" i="6"/>
  <c r="C3265" i="6" s="1"/>
  <c r="D3265" i="6"/>
  <c r="F3265" i="6"/>
  <c r="A3266" i="6"/>
  <c r="C3266" i="6"/>
  <c r="D3266" i="6"/>
  <c r="E3266" i="6"/>
  <c r="F3266" i="6"/>
  <c r="A3267" i="6"/>
  <c r="E3267" i="6" s="1"/>
  <c r="D3267" i="6"/>
  <c r="A3268" i="6"/>
  <c r="D3268" i="6" s="1"/>
  <c r="E3268" i="6"/>
  <c r="A3269" i="6"/>
  <c r="C3269" i="6" s="1"/>
  <c r="E3269" i="6"/>
  <c r="A3270" i="6"/>
  <c r="C3270" i="6"/>
  <c r="D3270" i="6"/>
  <c r="E3270" i="6"/>
  <c r="F3270" i="6"/>
  <c r="A3271" i="6"/>
  <c r="E3271" i="6" s="1"/>
  <c r="C3271" i="6"/>
  <c r="D3271" i="6"/>
  <c r="F3271" i="6"/>
  <c r="A3272" i="6"/>
  <c r="D3272" i="6" s="1"/>
  <c r="C3272" i="6"/>
  <c r="E3272" i="6"/>
  <c r="F3272" i="6"/>
  <c r="A3273" i="6"/>
  <c r="C3273" i="6" s="1"/>
  <c r="D3273" i="6"/>
  <c r="E3273" i="6"/>
  <c r="F3273" i="6"/>
  <c r="A3274" i="6"/>
  <c r="C3274" i="6"/>
  <c r="D3274" i="6"/>
  <c r="E3274" i="6"/>
  <c r="F3274" i="6"/>
  <c r="A3275" i="6"/>
  <c r="E3275" i="6" s="1"/>
  <c r="A3276" i="6"/>
  <c r="D3276" i="6" s="1"/>
  <c r="A3277" i="6"/>
  <c r="C3277" i="6" s="1"/>
  <c r="A3278" i="6"/>
  <c r="C3278" i="6"/>
  <c r="D3278" i="6"/>
  <c r="E3278" i="6"/>
  <c r="F3278" i="6"/>
  <c r="A3279" i="6"/>
  <c r="E3279" i="6" s="1"/>
  <c r="C3279" i="6"/>
  <c r="F3279" i="6"/>
  <c r="A3280" i="6"/>
  <c r="D3280" i="6" s="1"/>
  <c r="C3280" i="6"/>
  <c r="F3280" i="6"/>
  <c r="A3281" i="6"/>
  <c r="C3281" i="6" s="1"/>
  <c r="D3281" i="6"/>
  <c r="F3281" i="6"/>
  <c r="A3282" i="6"/>
  <c r="C3282" i="6"/>
  <c r="D3282" i="6"/>
  <c r="E3282" i="6"/>
  <c r="F3282" i="6"/>
  <c r="A3283" i="6"/>
  <c r="E3283" i="6" s="1"/>
  <c r="D3283" i="6"/>
  <c r="A3284" i="6"/>
  <c r="D3284" i="6" s="1"/>
  <c r="E3284" i="6"/>
  <c r="A3285" i="6"/>
  <c r="C3285" i="6" s="1"/>
  <c r="E3285" i="6"/>
  <c r="A3286" i="6"/>
  <c r="C3286" i="6"/>
  <c r="D3286" i="6"/>
  <c r="E3286" i="6"/>
  <c r="F3286" i="6"/>
  <c r="A3287" i="6"/>
  <c r="E3287" i="6" s="1"/>
  <c r="C3287" i="6"/>
  <c r="D3287" i="6"/>
  <c r="F3287" i="6"/>
  <c r="A3288" i="6"/>
  <c r="D3288" i="6" s="1"/>
  <c r="C3288" i="6"/>
  <c r="E3288" i="6"/>
  <c r="F3288" i="6"/>
  <c r="A3289" i="6"/>
  <c r="C3289" i="6" s="1"/>
  <c r="D3289" i="6"/>
  <c r="E3289" i="6"/>
  <c r="F3289" i="6"/>
  <c r="A3290" i="6"/>
  <c r="C3290" i="6"/>
  <c r="D3290" i="6"/>
  <c r="E3290" i="6"/>
  <c r="F3290" i="6"/>
  <c r="A3291" i="6"/>
  <c r="E3291" i="6" s="1"/>
  <c r="A3292" i="6"/>
  <c r="D3292" i="6" s="1"/>
  <c r="A3293" i="6"/>
  <c r="C3293" i="6" s="1"/>
  <c r="A3294" i="6"/>
  <c r="C3294" i="6"/>
  <c r="D3294" i="6"/>
  <c r="E3294" i="6"/>
  <c r="F3294" i="6"/>
  <c r="A3295" i="6"/>
  <c r="E3295" i="6" s="1"/>
  <c r="C3295" i="6"/>
  <c r="F3295" i="6"/>
  <c r="A3296" i="6"/>
  <c r="D3296" i="6" s="1"/>
  <c r="C3296" i="6"/>
  <c r="F3296" i="6"/>
  <c r="A3297" i="6"/>
  <c r="C3297" i="6" s="1"/>
  <c r="D3297" i="6"/>
  <c r="F3297" i="6"/>
  <c r="A3298" i="6"/>
  <c r="C3298" i="6"/>
  <c r="D3298" i="6"/>
  <c r="E3298" i="6"/>
  <c r="F3298" i="6"/>
  <c r="G3299" i="6"/>
  <c r="G3304" i="6"/>
  <c r="A3309" i="6"/>
  <c r="E3309" i="6" s="1"/>
  <c r="C3309" i="6"/>
  <c r="F3309" i="6"/>
  <c r="A3310" i="6"/>
  <c r="D3310" i="6" s="1"/>
  <c r="C3310" i="6"/>
  <c r="F3310" i="6"/>
  <c r="A3311" i="6"/>
  <c r="C3311" i="6" s="1"/>
  <c r="D3311" i="6"/>
  <c r="F3311" i="6"/>
  <c r="A3312" i="6"/>
  <c r="C3312" i="6"/>
  <c r="D3312" i="6"/>
  <c r="E3312" i="6"/>
  <c r="F3312" i="6"/>
  <c r="A3313" i="6"/>
  <c r="E3313" i="6" s="1"/>
  <c r="D3313" i="6"/>
  <c r="A3314" i="6"/>
  <c r="D3314" i="6" s="1"/>
  <c r="E3314" i="6"/>
  <c r="A3315" i="6"/>
  <c r="C3315" i="6" s="1"/>
  <c r="E3315" i="6"/>
  <c r="A3316" i="6"/>
  <c r="C3316" i="6" s="1"/>
  <c r="D3316" i="6"/>
  <c r="F3316" i="6"/>
  <c r="A3317" i="6"/>
  <c r="C3317" i="6"/>
  <c r="D3317" i="6"/>
  <c r="E3317" i="6"/>
  <c r="F3317" i="6"/>
  <c r="A3318" i="6"/>
  <c r="D3318" i="6" s="1"/>
  <c r="F3318" i="6"/>
  <c r="A3319" i="6"/>
  <c r="D3319" i="6" s="1"/>
  <c r="C3319" i="6"/>
  <c r="E3319" i="6"/>
  <c r="F3319" i="6"/>
  <c r="A3320" i="6"/>
  <c r="C3320" i="6" s="1"/>
  <c r="D3320" i="6"/>
  <c r="F3320" i="6"/>
  <c r="A3321" i="6"/>
  <c r="C3321" i="6"/>
  <c r="D3321" i="6"/>
  <c r="E3321" i="6"/>
  <c r="F3321" i="6"/>
  <c r="A3322" i="6"/>
  <c r="D3322" i="6" s="1"/>
  <c r="F3322" i="6"/>
  <c r="A3323" i="6"/>
  <c r="D3323" i="6" s="1"/>
  <c r="C3323" i="6"/>
  <c r="E3323" i="6"/>
  <c r="F3323" i="6"/>
  <c r="A3324" i="6"/>
  <c r="C3324" i="6" s="1"/>
  <c r="D3324" i="6"/>
  <c r="F3324" i="6"/>
  <c r="A3325" i="6"/>
  <c r="C3325" i="6"/>
  <c r="D3325" i="6"/>
  <c r="E3325" i="6"/>
  <c r="F3325" i="6"/>
  <c r="A3326" i="6"/>
  <c r="D3326" i="6" s="1"/>
  <c r="F3326" i="6"/>
  <c r="A3327" i="6"/>
  <c r="D3327" i="6" s="1"/>
  <c r="C3327" i="6"/>
  <c r="E3327" i="6"/>
  <c r="F3327" i="6"/>
  <c r="A3328" i="6"/>
  <c r="C3328" i="6" s="1"/>
  <c r="D3328" i="6"/>
  <c r="F3328" i="6"/>
  <c r="A3329" i="6"/>
  <c r="C3329" i="6"/>
  <c r="D3329" i="6"/>
  <c r="E3329" i="6"/>
  <c r="F3329" i="6"/>
  <c r="A3330" i="6"/>
  <c r="D3330" i="6" s="1"/>
  <c r="F3330" i="6"/>
  <c r="A3331" i="6"/>
  <c r="D3331" i="6" s="1"/>
  <c r="C3331" i="6"/>
  <c r="E3331" i="6"/>
  <c r="F3331" i="6"/>
  <c r="A3332" i="6"/>
  <c r="C3332" i="6" s="1"/>
  <c r="D3332" i="6"/>
  <c r="F3332" i="6"/>
  <c r="A3333" i="6"/>
  <c r="C3333" i="6"/>
  <c r="D3333" i="6"/>
  <c r="E3333" i="6"/>
  <c r="F3333" i="6"/>
  <c r="A3334" i="6"/>
  <c r="D3334" i="6" s="1"/>
  <c r="F3334" i="6"/>
  <c r="A3335" i="6"/>
  <c r="D3335" i="6" s="1"/>
  <c r="C3335" i="6"/>
  <c r="E3335" i="6"/>
  <c r="F3335" i="6"/>
  <c r="A3336" i="6"/>
  <c r="C3336" i="6" s="1"/>
  <c r="D3336" i="6"/>
  <c r="F3336" i="6"/>
  <c r="A3337" i="6"/>
  <c r="C3337" i="6"/>
  <c r="D3337" i="6"/>
  <c r="E3337" i="6"/>
  <c r="F3337" i="6"/>
  <c r="A3338" i="6"/>
  <c r="D3338" i="6" s="1"/>
  <c r="F3338" i="6"/>
  <c r="A3339" i="6"/>
  <c r="D3339" i="6" s="1"/>
  <c r="C3339" i="6"/>
  <c r="E3339" i="6"/>
  <c r="F3339" i="6"/>
  <c r="A3340" i="6"/>
  <c r="C3340" i="6" s="1"/>
  <c r="D3340" i="6"/>
  <c r="F3340" i="6"/>
  <c r="A3341" i="6"/>
  <c r="C3341" i="6"/>
  <c r="D3341" i="6"/>
  <c r="E3341" i="6"/>
  <c r="F3341" i="6"/>
  <c r="A3342" i="6"/>
  <c r="D3342" i="6" s="1"/>
  <c r="F3342" i="6"/>
  <c r="G3343" i="6"/>
  <c r="G3348" i="6"/>
  <c r="A3353" i="6"/>
  <c r="D3353" i="6" s="1"/>
  <c r="C3353" i="6"/>
  <c r="E3353" i="6"/>
  <c r="F3353" i="6"/>
  <c r="A3354" i="6"/>
  <c r="C3354" i="6" s="1"/>
  <c r="D3354" i="6"/>
  <c r="F3354" i="6"/>
  <c r="A3355" i="6"/>
  <c r="C3355" i="6"/>
  <c r="D3355" i="6"/>
  <c r="E3355" i="6"/>
  <c r="F3355" i="6"/>
  <c r="A3356" i="6"/>
  <c r="D3356" i="6" s="1"/>
  <c r="F3356" i="6"/>
  <c r="A3357" i="6"/>
  <c r="D3357" i="6" s="1"/>
  <c r="C3357" i="6"/>
  <c r="E3357" i="6"/>
  <c r="F3357" i="6"/>
  <c r="A3358" i="6"/>
  <c r="C3358" i="6" s="1"/>
  <c r="D3358" i="6"/>
  <c r="F3358" i="6"/>
  <c r="A3359" i="6"/>
  <c r="C3359" i="6"/>
  <c r="D3359" i="6"/>
  <c r="E3359" i="6"/>
  <c r="F3359" i="6"/>
  <c r="A3360" i="6"/>
  <c r="D3360" i="6" s="1"/>
  <c r="F3360" i="6"/>
  <c r="A3361" i="6"/>
  <c r="D3361" i="6" s="1"/>
  <c r="C3361" i="6"/>
  <c r="E3361" i="6"/>
  <c r="F3361" i="6"/>
  <c r="A3362" i="6"/>
  <c r="C3362" i="6" s="1"/>
  <c r="D3362" i="6"/>
  <c r="F3362" i="6"/>
  <c r="A3363" i="6"/>
  <c r="C3363" i="6"/>
  <c r="D3363" i="6"/>
  <c r="E3363" i="6"/>
  <c r="F3363" i="6"/>
  <c r="A3364" i="6"/>
  <c r="D3364" i="6" s="1"/>
  <c r="F3364" i="6"/>
  <c r="A3365" i="6"/>
  <c r="D3365" i="6" s="1"/>
  <c r="C3365" i="6"/>
  <c r="E3365" i="6"/>
  <c r="F3365" i="6"/>
  <c r="A3366" i="6"/>
  <c r="C3366" i="6" s="1"/>
  <c r="D3366" i="6"/>
  <c r="F3366" i="6"/>
  <c r="A3367" i="6"/>
  <c r="C3367" i="6"/>
  <c r="D3367" i="6"/>
  <c r="E3367" i="6"/>
  <c r="F3367" i="6"/>
  <c r="G3368" i="6"/>
  <c r="G3373" i="6"/>
  <c r="A3378" i="6"/>
  <c r="D3378" i="6" s="1"/>
  <c r="F3378" i="6"/>
  <c r="A3379" i="6"/>
  <c r="D3379" i="6" s="1"/>
  <c r="C3379" i="6"/>
  <c r="E3379" i="6"/>
  <c r="F3379" i="6"/>
  <c r="A3380" i="6"/>
  <c r="C3380" i="6" s="1"/>
  <c r="D3380" i="6"/>
  <c r="F3380" i="6"/>
  <c r="A3381" i="6"/>
  <c r="C3381" i="6"/>
  <c r="D3381" i="6"/>
  <c r="E3381" i="6"/>
  <c r="F3381" i="6"/>
  <c r="A3382" i="6"/>
  <c r="D3382" i="6" s="1"/>
  <c r="F3382" i="6"/>
  <c r="A3383" i="6"/>
  <c r="D3383" i="6" s="1"/>
  <c r="C3383" i="6"/>
  <c r="E3383" i="6"/>
  <c r="F3383" i="6"/>
  <c r="A3384" i="6"/>
  <c r="C3384" i="6" s="1"/>
  <c r="D3384" i="6"/>
  <c r="F3384" i="6"/>
  <c r="A3385" i="6"/>
  <c r="C3385" i="6"/>
  <c r="D3385" i="6"/>
  <c r="E3385" i="6"/>
  <c r="F3385" i="6"/>
  <c r="A3386" i="6"/>
  <c r="D3386" i="6" s="1"/>
  <c r="F3386" i="6"/>
  <c r="A3387" i="6"/>
  <c r="D3387" i="6" s="1"/>
  <c r="C3387" i="6"/>
  <c r="E3387" i="6"/>
  <c r="F3387" i="6"/>
  <c r="A3388" i="6"/>
  <c r="C3388" i="6" s="1"/>
  <c r="D3388" i="6"/>
  <c r="F3388" i="6"/>
  <c r="A3389" i="6"/>
  <c r="C3389" i="6"/>
  <c r="D3389" i="6"/>
  <c r="E3389" i="6"/>
  <c r="F3389" i="6"/>
  <c r="A3390" i="6"/>
  <c r="D3390" i="6" s="1"/>
  <c r="F3390" i="6"/>
  <c r="A3391" i="6"/>
  <c r="D3391" i="6" s="1"/>
  <c r="C3391" i="6"/>
  <c r="E3391" i="6"/>
  <c r="F3391" i="6"/>
  <c r="A3392" i="6"/>
  <c r="C3392" i="6" s="1"/>
  <c r="D3392" i="6"/>
  <c r="F3392" i="6"/>
  <c r="A3393" i="6"/>
  <c r="C3393" i="6"/>
  <c r="D3393" i="6"/>
  <c r="E3393" i="6"/>
  <c r="F3393" i="6"/>
  <c r="A3394" i="6"/>
  <c r="D3394" i="6" s="1"/>
  <c r="F3394" i="6"/>
  <c r="A3395" i="6"/>
  <c r="D3395" i="6" s="1"/>
  <c r="C3395" i="6"/>
  <c r="E3395" i="6"/>
  <c r="F3395" i="6"/>
  <c r="A3396" i="6"/>
  <c r="C3396" i="6" s="1"/>
  <c r="D3396" i="6"/>
  <c r="F3396" i="6"/>
  <c r="A3397" i="6"/>
  <c r="C3397" i="6"/>
  <c r="D3397" i="6"/>
  <c r="E3397" i="6"/>
  <c r="F3397" i="6"/>
  <c r="A3398" i="6"/>
  <c r="D3398" i="6" s="1"/>
  <c r="F3398" i="6"/>
  <c r="A3399" i="6"/>
  <c r="D3399" i="6" s="1"/>
  <c r="C3399" i="6"/>
  <c r="E3399" i="6"/>
  <c r="F3399" i="6"/>
  <c r="A3400" i="6"/>
  <c r="C3400" i="6" s="1"/>
  <c r="D3400" i="6"/>
  <c r="F3400" i="6"/>
  <c r="A3401" i="6"/>
  <c r="C3401" i="6"/>
  <c r="D3401" i="6"/>
  <c r="E3401" i="6"/>
  <c r="F3401" i="6"/>
  <c r="A3402" i="6"/>
  <c r="D3402" i="6" s="1"/>
  <c r="F3402" i="6"/>
  <c r="A3403" i="6"/>
  <c r="D3403" i="6" s="1"/>
  <c r="C3403" i="6"/>
  <c r="E3403" i="6"/>
  <c r="F3403" i="6"/>
  <c r="A3404" i="6"/>
  <c r="C3404" i="6" s="1"/>
  <c r="D3404" i="6"/>
  <c r="F3404" i="6"/>
  <c r="A3405" i="6"/>
  <c r="C3405" i="6"/>
  <c r="D3405" i="6"/>
  <c r="E3405" i="6"/>
  <c r="F3405" i="6"/>
  <c r="A3406" i="6"/>
  <c r="D3406" i="6" s="1"/>
  <c r="F3406" i="6"/>
  <c r="A3407" i="6"/>
  <c r="D3407" i="6" s="1"/>
  <c r="C3407" i="6"/>
  <c r="E3407" i="6"/>
  <c r="F3407" i="6"/>
  <c r="A3408" i="6"/>
  <c r="C3408" i="6" s="1"/>
  <c r="D3408" i="6"/>
  <c r="F3408" i="6"/>
  <c r="A3409" i="6"/>
  <c r="C3409" i="6"/>
  <c r="D3409" i="6"/>
  <c r="E3409" i="6"/>
  <c r="F3409" i="6"/>
  <c r="A3410" i="6"/>
  <c r="D3410" i="6" s="1"/>
  <c r="F3410" i="6"/>
  <c r="A3411" i="6"/>
  <c r="D3411" i="6" s="1"/>
  <c r="C3411" i="6"/>
  <c r="E3411" i="6"/>
  <c r="F3411" i="6"/>
  <c r="A3412" i="6"/>
  <c r="C3412" i="6" s="1"/>
  <c r="D3412" i="6"/>
  <c r="F3412" i="6"/>
  <c r="A3413" i="6"/>
  <c r="C3413" i="6"/>
  <c r="D3413" i="6"/>
  <c r="E3413" i="6"/>
  <c r="F3413" i="6"/>
  <c r="A3414" i="6"/>
  <c r="D3414" i="6" s="1"/>
  <c r="F3414" i="6"/>
  <c r="A3415" i="6"/>
  <c r="D3415" i="6" s="1"/>
  <c r="C3415" i="6"/>
  <c r="E3415" i="6"/>
  <c r="F3415" i="6"/>
  <c r="A3416" i="6"/>
  <c r="C3416" i="6" s="1"/>
  <c r="D3416" i="6"/>
  <c r="F3416" i="6"/>
  <c r="A3417" i="6"/>
  <c r="C3417" i="6"/>
  <c r="D3417" i="6"/>
  <c r="E3417" i="6"/>
  <c r="F3417" i="6"/>
  <c r="A3418" i="6"/>
  <c r="D3418" i="6" s="1"/>
  <c r="F3418" i="6"/>
  <c r="A3419" i="6"/>
  <c r="D3419" i="6" s="1"/>
  <c r="C3419" i="6"/>
  <c r="E3419" i="6"/>
  <c r="F3419" i="6"/>
  <c r="A3420" i="6"/>
  <c r="C3420" i="6" s="1"/>
  <c r="D3420" i="6"/>
  <c r="F3420" i="6"/>
  <c r="A3421" i="6"/>
  <c r="C3421" i="6"/>
  <c r="D3421" i="6"/>
  <c r="E3421" i="6"/>
  <c r="F3421" i="6"/>
  <c r="A3422" i="6"/>
  <c r="D3422" i="6" s="1"/>
  <c r="F3422" i="6"/>
  <c r="A3423" i="6"/>
  <c r="D3423" i="6" s="1"/>
  <c r="C3423" i="6"/>
  <c r="E3423" i="6"/>
  <c r="F3423" i="6"/>
  <c r="A3424" i="6"/>
  <c r="C3424" i="6" s="1"/>
  <c r="D3424" i="6"/>
  <c r="F3424" i="6"/>
  <c r="A3425" i="6"/>
  <c r="C3425" i="6"/>
  <c r="D3425" i="6"/>
  <c r="E3425" i="6"/>
  <c r="F3425" i="6"/>
  <c r="A3426" i="6"/>
  <c r="D3426" i="6" s="1"/>
  <c r="F3426" i="6"/>
  <c r="A3427" i="6"/>
  <c r="D3427" i="6" s="1"/>
  <c r="C3427" i="6"/>
  <c r="E3427" i="6"/>
  <c r="F3427" i="6"/>
  <c r="A3428" i="6"/>
  <c r="C3428" i="6" s="1"/>
  <c r="D3428" i="6"/>
  <c r="F3428" i="6"/>
  <c r="A3429" i="6"/>
  <c r="C3429" i="6"/>
  <c r="D3429" i="6"/>
  <c r="E3429" i="6"/>
  <c r="F3429" i="6"/>
  <c r="A3430" i="6"/>
  <c r="D3430" i="6" s="1"/>
  <c r="F3430" i="6"/>
  <c r="A3431" i="6"/>
  <c r="D3431" i="6" s="1"/>
  <c r="C3431" i="6"/>
  <c r="E3431" i="6"/>
  <c r="F3431" i="6"/>
  <c r="A3432" i="6"/>
  <c r="C3432" i="6" s="1"/>
  <c r="D3432" i="6"/>
  <c r="F3432" i="6"/>
  <c r="A3433" i="6"/>
  <c r="C3433" i="6"/>
  <c r="D3433" i="6"/>
  <c r="E3433" i="6"/>
  <c r="F3433" i="6"/>
  <c r="A3434" i="6"/>
  <c r="D3434" i="6" s="1"/>
  <c r="F3434" i="6"/>
  <c r="A3435" i="6"/>
  <c r="D3435" i="6" s="1"/>
  <c r="C3435" i="6"/>
  <c r="E3435" i="6"/>
  <c r="F3435" i="6"/>
  <c r="A3436" i="6"/>
  <c r="C3436" i="6" s="1"/>
  <c r="D3436" i="6"/>
  <c r="F3436" i="6"/>
  <c r="A3437" i="6"/>
  <c r="C3437" i="6"/>
  <c r="D3437" i="6"/>
  <c r="E3437" i="6"/>
  <c r="F3437" i="6"/>
  <c r="A3438" i="6"/>
  <c r="D3438" i="6" s="1"/>
  <c r="F3438" i="6"/>
  <c r="A3439" i="6"/>
  <c r="D3439" i="6" s="1"/>
  <c r="C3439" i="6"/>
  <c r="E3439" i="6"/>
  <c r="F3439" i="6"/>
  <c r="A3440" i="6"/>
  <c r="C3440" i="6" s="1"/>
  <c r="D3440" i="6"/>
  <c r="F3440" i="6"/>
  <c r="A3441" i="6"/>
  <c r="C3441" i="6"/>
  <c r="D3441" i="6"/>
  <c r="E3441" i="6"/>
  <c r="F3441" i="6"/>
  <c r="A3442" i="6"/>
  <c r="D3442" i="6" s="1"/>
  <c r="F3442" i="6"/>
  <c r="A3443" i="6"/>
  <c r="D3443" i="6" s="1"/>
  <c r="C3443" i="6"/>
  <c r="E3443" i="6"/>
  <c r="F3443" i="6"/>
  <c r="A3444" i="6"/>
  <c r="C3444" i="6" s="1"/>
  <c r="D3444" i="6"/>
  <c r="F3444" i="6"/>
  <c r="A3445" i="6"/>
  <c r="C3445" i="6"/>
  <c r="D3445" i="6"/>
  <c r="E3445" i="6"/>
  <c r="F3445" i="6"/>
  <c r="A3446" i="6"/>
  <c r="D3446" i="6" s="1"/>
  <c r="F3446" i="6"/>
  <c r="A3447" i="6"/>
  <c r="D3447" i="6" s="1"/>
  <c r="C3447" i="6"/>
  <c r="E3447" i="6"/>
  <c r="F3447" i="6"/>
  <c r="A3448" i="6"/>
  <c r="C3448" i="6" s="1"/>
  <c r="D3448" i="6"/>
  <c r="F3448" i="6"/>
  <c r="A3449" i="6"/>
  <c r="C3449" i="6"/>
  <c r="D3449" i="6"/>
  <c r="E3449" i="6"/>
  <c r="F3449" i="6"/>
  <c r="A3450" i="6"/>
  <c r="D3450" i="6" s="1"/>
  <c r="F3450" i="6"/>
  <c r="A3451" i="6"/>
  <c r="D3451" i="6" s="1"/>
  <c r="C3451" i="6"/>
  <c r="E3451" i="6"/>
  <c r="F3451" i="6"/>
  <c r="A3452" i="6"/>
  <c r="C3452" i="6" s="1"/>
  <c r="D3452" i="6"/>
  <c r="F3452" i="6"/>
  <c r="A3453" i="6"/>
  <c r="C3453" i="6"/>
  <c r="D3453" i="6"/>
  <c r="E3453" i="6"/>
  <c r="F3453" i="6"/>
  <c r="A3454" i="6"/>
  <c r="D3454" i="6" s="1"/>
  <c r="F3454" i="6"/>
  <c r="A3455" i="6"/>
  <c r="D3455" i="6" s="1"/>
  <c r="C3455" i="6"/>
  <c r="E3455" i="6"/>
  <c r="F3455" i="6"/>
  <c r="A3456" i="6"/>
  <c r="C3456" i="6" s="1"/>
  <c r="D3456" i="6"/>
  <c r="F3456" i="6"/>
  <c r="A3457" i="6"/>
  <c r="C3457" i="6"/>
  <c r="D3457" i="6"/>
  <c r="E3457" i="6"/>
  <c r="F3457" i="6"/>
  <c r="A3458" i="6"/>
  <c r="D3458" i="6" s="1"/>
  <c r="F3458" i="6"/>
  <c r="A3459" i="6"/>
  <c r="D3459" i="6" s="1"/>
  <c r="C3459" i="6"/>
  <c r="E3459" i="6"/>
  <c r="F3459" i="6"/>
  <c r="A3460" i="6"/>
  <c r="C3460" i="6" s="1"/>
  <c r="D3460" i="6"/>
  <c r="F3460" i="6"/>
  <c r="A3461" i="6"/>
  <c r="C3461" i="6"/>
  <c r="D3461" i="6"/>
  <c r="E3461" i="6"/>
  <c r="F3461" i="6"/>
  <c r="A3462" i="6"/>
  <c r="D3462" i="6" s="1"/>
  <c r="F3462" i="6"/>
  <c r="A3463" i="6"/>
  <c r="D3463" i="6" s="1"/>
  <c r="C3463" i="6"/>
  <c r="E3463" i="6"/>
  <c r="F3463" i="6"/>
  <c r="A3464" i="6"/>
  <c r="C3464" i="6" s="1"/>
  <c r="D3464" i="6"/>
  <c r="F3464" i="6"/>
  <c r="A3465" i="6"/>
  <c r="C3465" i="6"/>
  <c r="D3465" i="6"/>
  <c r="E3465" i="6"/>
  <c r="F3465" i="6"/>
  <c r="A3466" i="6"/>
  <c r="D3466" i="6" s="1"/>
  <c r="F3466" i="6"/>
  <c r="A3467" i="6"/>
  <c r="D3467" i="6" s="1"/>
  <c r="C3467" i="6"/>
  <c r="E3467" i="6"/>
  <c r="F3467" i="6"/>
  <c r="G3468" i="6"/>
  <c r="G3473" i="6"/>
  <c r="A3478" i="6"/>
  <c r="C3478" i="6" s="1"/>
  <c r="D3478" i="6"/>
  <c r="F3478" i="6"/>
  <c r="A3479" i="6"/>
  <c r="C3479" i="6"/>
  <c r="D3479" i="6"/>
  <c r="E3479" i="6"/>
  <c r="F3479" i="6"/>
  <c r="A3480" i="6"/>
  <c r="D3480" i="6" s="1"/>
  <c r="F3480" i="6"/>
  <c r="A3481" i="6"/>
  <c r="D3481" i="6" s="1"/>
  <c r="C3481" i="6"/>
  <c r="E3481" i="6"/>
  <c r="F3481" i="6"/>
  <c r="A3482" i="6"/>
  <c r="C3482" i="6" s="1"/>
  <c r="D3482" i="6"/>
  <c r="F3482" i="6"/>
  <c r="A3483" i="6"/>
  <c r="C3483" i="6"/>
  <c r="D3483" i="6"/>
  <c r="E3483" i="6"/>
  <c r="F3483" i="6"/>
  <c r="A3484" i="6"/>
  <c r="D3484" i="6" s="1"/>
  <c r="F3484" i="6"/>
  <c r="A3485" i="6"/>
  <c r="D3485" i="6" s="1"/>
  <c r="C3485" i="6"/>
  <c r="E3485" i="6"/>
  <c r="F3485" i="6"/>
  <c r="A3486" i="6"/>
  <c r="C3486" i="6" s="1"/>
  <c r="D3486" i="6"/>
  <c r="F3486" i="6"/>
  <c r="A3487" i="6"/>
  <c r="C3487" i="6"/>
  <c r="D3487" i="6"/>
  <c r="E3487" i="6"/>
  <c r="F3487" i="6"/>
  <c r="A3488" i="6"/>
  <c r="D3488" i="6" s="1"/>
  <c r="F3488" i="6"/>
  <c r="A3489" i="6"/>
  <c r="D3489" i="6" s="1"/>
  <c r="C3489" i="6"/>
  <c r="E3489" i="6"/>
  <c r="F3489" i="6"/>
  <c r="A3490" i="6"/>
  <c r="C3490" i="6" s="1"/>
  <c r="D3490" i="6"/>
  <c r="F3490" i="6"/>
  <c r="A3491" i="6"/>
  <c r="C3491" i="6"/>
  <c r="D3491" i="6"/>
  <c r="E3491" i="6"/>
  <c r="F3491" i="6"/>
  <c r="A3492" i="6"/>
  <c r="D3492" i="6" s="1"/>
  <c r="F3492" i="6"/>
  <c r="A3493" i="6"/>
  <c r="D3493" i="6" s="1"/>
  <c r="C3493" i="6"/>
  <c r="E3493" i="6"/>
  <c r="F3493" i="6"/>
  <c r="A3494" i="6"/>
  <c r="C3494" i="6" s="1"/>
  <c r="D3494" i="6"/>
  <c r="F3494" i="6"/>
  <c r="A3495" i="6"/>
  <c r="C3495" i="6"/>
  <c r="D3495" i="6"/>
  <c r="E3495" i="6"/>
  <c r="F3495" i="6"/>
  <c r="A3496" i="6"/>
  <c r="D3496" i="6" s="1"/>
  <c r="F3496" i="6"/>
  <c r="A3497" i="6"/>
  <c r="D3497" i="6" s="1"/>
  <c r="C3497" i="6"/>
  <c r="E3497" i="6"/>
  <c r="F3497" i="6"/>
  <c r="A3498" i="6"/>
  <c r="C3498" i="6" s="1"/>
  <c r="D3498" i="6"/>
  <c r="F3498" i="6"/>
  <c r="A3499" i="6"/>
  <c r="C3499" i="6"/>
  <c r="D3499" i="6"/>
  <c r="E3499" i="6"/>
  <c r="F3499" i="6"/>
  <c r="A3500" i="6"/>
  <c r="D3500" i="6" s="1"/>
  <c r="F3500" i="6"/>
  <c r="A3501" i="6"/>
  <c r="D3501" i="6" s="1"/>
  <c r="C3501" i="6"/>
  <c r="E3501" i="6"/>
  <c r="F3501" i="6"/>
  <c r="A3502" i="6"/>
  <c r="C3502" i="6" s="1"/>
  <c r="D3502" i="6"/>
  <c r="F3502" i="6"/>
  <c r="A3503" i="6"/>
  <c r="C3503" i="6"/>
  <c r="D3503" i="6"/>
  <c r="E3503" i="6"/>
  <c r="F3503" i="6"/>
  <c r="A3504" i="6"/>
  <c r="D3504" i="6" s="1"/>
  <c r="F3504" i="6"/>
  <c r="A3505" i="6"/>
  <c r="D3505" i="6" s="1"/>
  <c r="C3505" i="6"/>
  <c r="E3505" i="6"/>
  <c r="F3505" i="6"/>
  <c r="A3506" i="6"/>
  <c r="C3506" i="6" s="1"/>
  <c r="D3506" i="6"/>
  <c r="F3506" i="6"/>
  <c r="A3507" i="6"/>
  <c r="C3507" i="6"/>
  <c r="D3507" i="6"/>
  <c r="E3507" i="6"/>
  <c r="F3507" i="6"/>
  <c r="A3508" i="6"/>
  <c r="D3508" i="6" s="1"/>
  <c r="F3508" i="6"/>
  <c r="A3509" i="6"/>
  <c r="D3509" i="6" s="1"/>
  <c r="C3509" i="6"/>
  <c r="E3509" i="6"/>
  <c r="F3509" i="6"/>
  <c r="A3510" i="6"/>
  <c r="C3510" i="6" s="1"/>
  <c r="D3510" i="6"/>
  <c r="F3510" i="6"/>
  <c r="A3511" i="6"/>
  <c r="C3511" i="6"/>
  <c r="D3511" i="6"/>
  <c r="E3511" i="6"/>
  <c r="F3511" i="6"/>
  <c r="A3512" i="6"/>
  <c r="D3512" i="6" s="1"/>
  <c r="F3512" i="6"/>
  <c r="A3513" i="6"/>
  <c r="D3513" i="6" s="1"/>
  <c r="C3513" i="6"/>
  <c r="E3513" i="6"/>
  <c r="F3513" i="6"/>
  <c r="A3514" i="6"/>
  <c r="C3514" i="6" s="1"/>
  <c r="D3514" i="6"/>
  <c r="F3514" i="6"/>
  <c r="A3515" i="6"/>
  <c r="C3515" i="6"/>
  <c r="D3515" i="6"/>
  <c r="E3515" i="6"/>
  <c r="F3515" i="6"/>
  <c r="A3516" i="6"/>
  <c r="D3516" i="6" s="1"/>
  <c r="F3516" i="6"/>
  <c r="A3517" i="6"/>
  <c r="D3517" i="6" s="1"/>
  <c r="C3517" i="6"/>
  <c r="E3517" i="6"/>
  <c r="F3517" i="6"/>
  <c r="A3518" i="6"/>
  <c r="C3518" i="6" s="1"/>
  <c r="D3518" i="6"/>
  <c r="F3518" i="6"/>
  <c r="A3519" i="6"/>
  <c r="C3519" i="6"/>
  <c r="D3519" i="6"/>
  <c r="E3519" i="6"/>
  <c r="F3519" i="6"/>
  <c r="A3520" i="6"/>
  <c r="D3520" i="6" s="1"/>
  <c r="F3520" i="6"/>
  <c r="A3521" i="6"/>
  <c r="D3521" i="6" s="1"/>
  <c r="C3521" i="6"/>
  <c r="E3521" i="6"/>
  <c r="F3521" i="6"/>
  <c r="A3522" i="6"/>
  <c r="C3522" i="6" s="1"/>
  <c r="D3522" i="6"/>
  <c r="F3522" i="6"/>
  <c r="A3523" i="6"/>
  <c r="C3523" i="6"/>
  <c r="D3523" i="6"/>
  <c r="E3523" i="6"/>
  <c r="F3523" i="6"/>
  <c r="A3524" i="6"/>
  <c r="D3524" i="6" s="1"/>
  <c r="F3524" i="6"/>
  <c r="A3525" i="6"/>
  <c r="D3525" i="6" s="1"/>
  <c r="C3525" i="6"/>
  <c r="E3525" i="6"/>
  <c r="F3525" i="6"/>
  <c r="A3526" i="6"/>
  <c r="C3526" i="6" s="1"/>
  <c r="D3526" i="6"/>
  <c r="F3526" i="6"/>
  <c r="A3527" i="6"/>
  <c r="C3527" i="6"/>
  <c r="D3527" i="6"/>
  <c r="E3527" i="6"/>
  <c r="F3527" i="6"/>
  <c r="A3528" i="6"/>
  <c r="D3528" i="6" s="1"/>
  <c r="F3528" i="6"/>
  <c r="A3529" i="6"/>
  <c r="D3529" i="6" s="1"/>
  <c r="C3529" i="6"/>
  <c r="E3529" i="6"/>
  <c r="F3529" i="6"/>
  <c r="A3530" i="6"/>
  <c r="C3530" i="6" s="1"/>
  <c r="D3530" i="6"/>
  <c r="F3530" i="6"/>
  <c r="A3531" i="6"/>
  <c r="C3531" i="6"/>
  <c r="D3531" i="6"/>
  <c r="E3531" i="6"/>
  <c r="F3531" i="6"/>
  <c r="A3532" i="6"/>
  <c r="D3532" i="6" s="1"/>
  <c r="F3532" i="6"/>
  <c r="A3533" i="6"/>
  <c r="D3533" i="6" s="1"/>
  <c r="C3533" i="6"/>
  <c r="E3533" i="6"/>
  <c r="F3533" i="6"/>
  <c r="A3534" i="6"/>
  <c r="C3534" i="6" s="1"/>
  <c r="D3534" i="6"/>
  <c r="F3534" i="6"/>
  <c r="A3535" i="6"/>
  <c r="C3535" i="6"/>
  <c r="D3535" i="6"/>
  <c r="E3535" i="6"/>
  <c r="F3535" i="6"/>
  <c r="A3536" i="6"/>
  <c r="D3536" i="6" s="1"/>
  <c r="F3536" i="6"/>
  <c r="A3537" i="6"/>
  <c r="D3537" i="6" s="1"/>
  <c r="C3537" i="6"/>
  <c r="E3537" i="6"/>
  <c r="F3537" i="6"/>
  <c r="A3538" i="6"/>
  <c r="C3538" i="6" s="1"/>
  <c r="D3538" i="6"/>
  <c r="F3538" i="6"/>
  <c r="A3539" i="6"/>
  <c r="C3539" i="6"/>
  <c r="D3539" i="6"/>
  <c r="E3539" i="6"/>
  <c r="F3539" i="6"/>
  <c r="A3540" i="6"/>
  <c r="D3540" i="6" s="1"/>
  <c r="F3540" i="6"/>
  <c r="A3541" i="6"/>
  <c r="D3541" i="6" s="1"/>
  <c r="C3541" i="6"/>
  <c r="E3541" i="6"/>
  <c r="F3541" i="6"/>
  <c r="A3542" i="6"/>
  <c r="C3542" i="6" s="1"/>
  <c r="D3542" i="6"/>
  <c r="F3542" i="6"/>
  <c r="A3543" i="6"/>
  <c r="C3543" i="6"/>
  <c r="D3543" i="6"/>
  <c r="E3543" i="6"/>
  <c r="F3543" i="6"/>
  <c r="A3544" i="6"/>
  <c r="D3544" i="6" s="1"/>
  <c r="F3544" i="6"/>
  <c r="A3545" i="6"/>
  <c r="D3545" i="6" s="1"/>
  <c r="C3545" i="6"/>
  <c r="E3545" i="6"/>
  <c r="F3545" i="6"/>
  <c r="A3546" i="6"/>
  <c r="C3546" i="6" s="1"/>
  <c r="D3546" i="6"/>
  <c r="F3546" i="6"/>
  <c r="A3547" i="6"/>
  <c r="C3547" i="6"/>
  <c r="D3547" i="6"/>
  <c r="E3547" i="6"/>
  <c r="F3547" i="6"/>
  <c r="A3548" i="6"/>
  <c r="D3548" i="6" s="1"/>
  <c r="F3548" i="6"/>
  <c r="A3549" i="6"/>
  <c r="D3549" i="6" s="1"/>
  <c r="C3549" i="6"/>
  <c r="E3549" i="6"/>
  <c r="F3549" i="6"/>
  <c r="A3550" i="6"/>
  <c r="C3550" i="6" s="1"/>
  <c r="D3550" i="6"/>
  <c r="F3550" i="6"/>
  <c r="A3551" i="6"/>
  <c r="C3551" i="6"/>
  <c r="D3551" i="6"/>
  <c r="E3551" i="6"/>
  <c r="F3551" i="6"/>
  <c r="A3552" i="6"/>
  <c r="D3552" i="6" s="1"/>
  <c r="F3552" i="6"/>
  <c r="A3553" i="6"/>
  <c r="D3553" i="6" s="1"/>
  <c r="C3553" i="6"/>
  <c r="E3553" i="6"/>
  <c r="F3553" i="6"/>
  <c r="A3554" i="6"/>
  <c r="C3554" i="6" s="1"/>
  <c r="D3554" i="6"/>
  <c r="F3554" i="6"/>
  <c r="A3555" i="6"/>
  <c r="C3555" i="6"/>
  <c r="D3555" i="6"/>
  <c r="E3555" i="6"/>
  <c r="F3555" i="6"/>
  <c r="A3556" i="6"/>
  <c r="D3556" i="6" s="1"/>
  <c r="F3556" i="6"/>
  <c r="A3557" i="6"/>
  <c r="D3557" i="6" s="1"/>
  <c r="C3557" i="6"/>
  <c r="E3557" i="6"/>
  <c r="F3557" i="6"/>
  <c r="A3558" i="6"/>
  <c r="C3558" i="6" s="1"/>
  <c r="D3558" i="6"/>
  <c r="F3558" i="6"/>
  <c r="A3559" i="6"/>
  <c r="C3559" i="6"/>
  <c r="D3559" i="6"/>
  <c r="E3559" i="6"/>
  <c r="F3559" i="6"/>
  <c r="A3560" i="6"/>
  <c r="D3560" i="6" s="1"/>
  <c r="F3560" i="6"/>
  <c r="A3561" i="6"/>
  <c r="D3561" i="6" s="1"/>
  <c r="C3561" i="6"/>
  <c r="E3561" i="6"/>
  <c r="F3561" i="6"/>
  <c r="A3562" i="6"/>
  <c r="C3562" i="6" s="1"/>
  <c r="D3562" i="6"/>
  <c r="F3562" i="6"/>
  <c r="A3563" i="6"/>
  <c r="C3563" i="6"/>
  <c r="D3563" i="6"/>
  <c r="E3563" i="6"/>
  <c r="F3563" i="6"/>
  <c r="A3564" i="6"/>
  <c r="D3564" i="6" s="1"/>
  <c r="F3564" i="6"/>
  <c r="A3565" i="6"/>
  <c r="D3565" i="6" s="1"/>
  <c r="C3565" i="6"/>
  <c r="E3565" i="6"/>
  <c r="F3565" i="6"/>
  <c r="A3566" i="6"/>
  <c r="C3566" i="6" s="1"/>
  <c r="D3566" i="6"/>
  <c r="F3566" i="6"/>
  <c r="A3567" i="6"/>
  <c r="C3567" i="6"/>
  <c r="D3567" i="6"/>
  <c r="E3567" i="6"/>
  <c r="F3567" i="6"/>
  <c r="A3568" i="6"/>
  <c r="D3568" i="6" s="1"/>
  <c r="F3568" i="6"/>
  <c r="A3569" i="6"/>
  <c r="D3569" i="6" s="1"/>
  <c r="C3569" i="6"/>
  <c r="E3569" i="6"/>
  <c r="F3569" i="6"/>
  <c r="A3570" i="6"/>
  <c r="C3570" i="6" s="1"/>
  <c r="D3570" i="6"/>
  <c r="F3570" i="6"/>
  <c r="A3571" i="6"/>
  <c r="C3571" i="6"/>
  <c r="D3571" i="6"/>
  <c r="E3571" i="6"/>
  <c r="F3571" i="6"/>
  <c r="A3572" i="6"/>
  <c r="D3572" i="6" s="1"/>
  <c r="F3572" i="6"/>
  <c r="A3573" i="6"/>
  <c r="D3573" i="6" s="1"/>
  <c r="C3573" i="6"/>
  <c r="E3573" i="6"/>
  <c r="F3573" i="6"/>
  <c r="A3574" i="6"/>
  <c r="C3574" i="6" s="1"/>
  <c r="D3574" i="6"/>
  <c r="F3574" i="6"/>
  <c r="A3575" i="6"/>
  <c r="C3575" i="6"/>
  <c r="D3575" i="6"/>
  <c r="E3575" i="6"/>
  <c r="F3575" i="6"/>
  <c r="A3576" i="6"/>
  <c r="D3576" i="6" s="1"/>
  <c r="F3576" i="6"/>
  <c r="A3577" i="6"/>
  <c r="D3577" i="6" s="1"/>
  <c r="C3577" i="6"/>
  <c r="E3577" i="6"/>
  <c r="F3577" i="6"/>
  <c r="A3578" i="6"/>
  <c r="C3578" i="6" s="1"/>
  <c r="D3578" i="6"/>
  <c r="F3578" i="6"/>
  <c r="A3579" i="6"/>
  <c r="C3579" i="6"/>
  <c r="D3579" i="6"/>
  <c r="E3579" i="6"/>
  <c r="F3579" i="6"/>
  <c r="A3580" i="6"/>
  <c r="D3580" i="6" s="1"/>
  <c r="F3580" i="6"/>
  <c r="A3581" i="6"/>
  <c r="D3581" i="6" s="1"/>
  <c r="C3581" i="6"/>
  <c r="E3581" i="6"/>
  <c r="F3581" i="6"/>
  <c r="A3582" i="6"/>
  <c r="C3582" i="6" s="1"/>
  <c r="D3582" i="6"/>
  <c r="F3582" i="6"/>
  <c r="A3583" i="6"/>
  <c r="C3583" i="6"/>
  <c r="D3583" i="6"/>
  <c r="E3583" i="6"/>
  <c r="F3583" i="6"/>
  <c r="A3584" i="6"/>
  <c r="D3584" i="6" s="1"/>
  <c r="F3584" i="6"/>
  <c r="A3585" i="6"/>
  <c r="D3585" i="6" s="1"/>
  <c r="C3585" i="6"/>
  <c r="E3585" i="6"/>
  <c r="F3585" i="6"/>
  <c r="A3586" i="6"/>
  <c r="C3586" i="6" s="1"/>
  <c r="D3586" i="6"/>
  <c r="F3586" i="6"/>
  <c r="A3587" i="6"/>
  <c r="C3587" i="6"/>
  <c r="D3587" i="6"/>
  <c r="E3587" i="6"/>
  <c r="F3587" i="6"/>
  <c r="A3588" i="6"/>
  <c r="D3588" i="6" s="1"/>
  <c r="F3588" i="6"/>
  <c r="A3589" i="6"/>
  <c r="D3589" i="6" s="1"/>
  <c r="C3589" i="6"/>
  <c r="E3589" i="6"/>
  <c r="F3589" i="6"/>
  <c r="A3590" i="6"/>
  <c r="C3590" i="6" s="1"/>
  <c r="D3590" i="6"/>
  <c r="F3590" i="6"/>
  <c r="A3591" i="6"/>
  <c r="C3591" i="6"/>
  <c r="D3591" i="6"/>
  <c r="E3591" i="6"/>
  <c r="F3591" i="6"/>
  <c r="A3592" i="6"/>
  <c r="D3592" i="6" s="1"/>
  <c r="F3592" i="6"/>
  <c r="A3593" i="6"/>
  <c r="D3593" i="6" s="1"/>
  <c r="C3593" i="6"/>
  <c r="E3593" i="6"/>
  <c r="F3593" i="6"/>
  <c r="A3594" i="6"/>
  <c r="C3594" i="6" s="1"/>
  <c r="D3594" i="6"/>
  <c r="F3594" i="6"/>
  <c r="A3595" i="6"/>
  <c r="C3595" i="6"/>
  <c r="D3595" i="6"/>
  <c r="E3595" i="6"/>
  <c r="F3595" i="6"/>
  <c r="A3596" i="6"/>
  <c r="D3596" i="6" s="1"/>
  <c r="F3596" i="6"/>
  <c r="A3597" i="6"/>
  <c r="D3597" i="6" s="1"/>
  <c r="C3597" i="6"/>
  <c r="E3597" i="6"/>
  <c r="F3597" i="6"/>
  <c r="A3598" i="6"/>
  <c r="C3598" i="6" s="1"/>
  <c r="D3598" i="6"/>
  <c r="F3598" i="6"/>
  <c r="A3599" i="6"/>
  <c r="C3599" i="6"/>
  <c r="D3599" i="6"/>
  <c r="E3599" i="6"/>
  <c r="F3599" i="6"/>
  <c r="A3600" i="6"/>
  <c r="D3600" i="6" s="1"/>
  <c r="F3600" i="6"/>
  <c r="A3601" i="6"/>
  <c r="D3601" i="6" s="1"/>
  <c r="C3601" i="6"/>
  <c r="E3601" i="6"/>
  <c r="F3601" i="6"/>
  <c r="A3602" i="6"/>
  <c r="C3602" i="6" s="1"/>
  <c r="D3602" i="6"/>
  <c r="F3602" i="6"/>
  <c r="A3603" i="6"/>
  <c r="C3603" i="6"/>
  <c r="D3603" i="6"/>
  <c r="E3603" i="6"/>
  <c r="F3603" i="6"/>
  <c r="A3604" i="6"/>
  <c r="D3604" i="6" s="1"/>
  <c r="F3604" i="6"/>
  <c r="A3605" i="6"/>
  <c r="D3605" i="6" s="1"/>
  <c r="C3605" i="6"/>
  <c r="E3605" i="6"/>
  <c r="F3605" i="6"/>
  <c r="A3606" i="6"/>
  <c r="C3606" i="6" s="1"/>
  <c r="D3606" i="6"/>
  <c r="F3606" i="6"/>
  <c r="A3607" i="6"/>
  <c r="C3607" i="6"/>
  <c r="D3607" i="6"/>
  <c r="E3607" i="6"/>
  <c r="F3607" i="6"/>
  <c r="A3608" i="6"/>
  <c r="D3608" i="6" s="1"/>
  <c r="F3608" i="6"/>
  <c r="A3609" i="6"/>
  <c r="D3609" i="6" s="1"/>
  <c r="C3609" i="6"/>
  <c r="E3609" i="6"/>
  <c r="F3609" i="6"/>
  <c r="A3610" i="6"/>
  <c r="C3610" i="6" s="1"/>
  <c r="D3610" i="6"/>
  <c r="F3610" i="6"/>
  <c r="A3611" i="6"/>
  <c r="C3611" i="6"/>
  <c r="D3611" i="6"/>
  <c r="E3611" i="6"/>
  <c r="F3611" i="6"/>
  <c r="A3612" i="6"/>
  <c r="D3612" i="6" s="1"/>
  <c r="F3612" i="6"/>
  <c r="A3613" i="6"/>
  <c r="D3613" i="6" s="1"/>
  <c r="C3613" i="6"/>
  <c r="E3613" i="6"/>
  <c r="F3613" i="6"/>
  <c r="A3614" i="6"/>
  <c r="C3614" i="6" s="1"/>
  <c r="D3614" i="6"/>
  <c r="F3614" i="6"/>
  <c r="A3615" i="6"/>
  <c r="C3615" i="6"/>
  <c r="D3615" i="6"/>
  <c r="E3615" i="6"/>
  <c r="F3615" i="6"/>
  <c r="A3616" i="6"/>
  <c r="D3616" i="6" s="1"/>
  <c r="F3616" i="6"/>
  <c r="A3617" i="6"/>
  <c r="D3617" i="6" s="1"/>
  <c r="C3617" i="6"/>
  <c r="E3617" i="6"/>
  <c r="F3617" i="6"/>
  <c r="A3618" i="6"/>
  <c r="C3618" i="6" s="1"/>
  <c r="D3618" i="6"/>
  <c r="F3618" i="6"/>
  <c r="A3619" i="6"/>
  <c r="C3619" i="6"/>
  <c r="D3619" i="6"/>
  <c r="E3619" i="6"/>
  <c r="F3619" i="6"/>
  <c r="A3620" i="6"/>
  <c r="D3620" i="6" s="1"/>
  <c r="F3620" i="6"/>
  <c r="A3621" i="6"/>
  <c r="D3621" i="6" s="1"/>
  <c r="C3621" i="6"/>
  <c r="E3621" i="6"/>
  <c r="F3621" i="6"/>
  <c r="A3622" i="6"/>
  <c r="C3622" i="6" s="1"/>
  <c r="D3622" i="6"/>
  <c r="F3622" i="6"/>
  <c r="A3623" i="6"/>
  <c r="C3623" i="6"/>
  <c r="D3623" i="6"/>
  <c r="E3623" i="6"/>
  <c r="F3623" i="6"/>
  <c r="A3624" i="6"/>
  <c r="D3624" i="6" s="1"/>
  <c r="F3624" i="6"/>
  <c r="A3625" i="6"/>
  <c r="D3625" i="6" s="1"/>
  <c r="C3625" i="6"/>
  <c r="E3625" i="6"/>
  <c r="F3625" i="6"/>
  <c r="A3626" i="6"/>
  <c r="C3626" i="6" s="1"/>
  <c r="D3626" i="6"/>
  <c r="F3626" i="6"/>
  <c r="A3627" i="6"/>
  <c r="C3627" i="6"/>
  <c r="D3627" i="6"/>
  <c r="E3627" i="6"/>
  <c r="F3627" i="6"/>
  <c r="A3628" i="6"/>
  <c r="D3628" i="6" s="1"/>
  <c r="F3628" i="6"/>
  <c r="A3629" i="6"/>
  <c r="D3629" i="6" s="1"/>
  <c r="C3629" i="6"/>
  <c r="E3629" i="6"/>
  <c r="F3629" i="6"/>
  <c r="A3630" i="6"/>
  <c r="C3630" i="6" s="1"/>
  <c r="D3630" i="6"/>
  <c r="F3630" i="6"/>
  <c r="A3631" i="6"/>
  <c r="C3631" i="6"/>
  <c r="D3631" i="6"/>
  <c r="E3631" i="6"/>
  <c r="F3631" i="6"/>
  <c r="A3632" i="6"/>
  <c r="D3632" i="6" s="1"/>
  <c r="F3632" i="6"/>
  <c r="A3633" i="6"/>
  <c r="D3633" i="6" s="1"/>
  <c r="C3633" i="6"/>
  <c r="E3633" i="6"/>
  <c r="F3633" i="6"/>
  <c r="A3634" i="6"/>
  <c r="C3634" i="6" s="1"/>
  <c r="D3634" i="6"/>
  <c r="F3634" i="6"/>
  <c r="A3635" i="6"/>
  <c r="C3635" i="6"/>
  <c r="D3635" i="6"/>
  <c r="E3635" i="6"/>
  <c r="F3635" i="6"/>
  <c r="A3636" i="6"/>
  <c r="D3636" i="6" s="1"/>
  <c r="F3636" i="6"/>
  <c r="A3637" i="6"/>
  <c r="D3637" i="6" s="1"/>
  <c r="C3637" i="6"/>
  <c r="E3637" i="6"/>
  <c r="F3637" i="6"/>
  <c r="A3638" i="6"/>
  <c r="C3638" i="6" s="1"/>
  <c r="D3638" i="6"/>
  <c r="F3638" i="6"/>
  <c r="A3639" i="6"/>
  <c r="C3639" i="6"/>
  <c r="D3639" i="6"/>
  <c r="E3639" i="6"/>
  <c r="F3639" i="6"/>
  <c r="A3640" i="6"/>
  <c r="D3640" i="6" s="1"/>
  <c r="F3640" i="6"/>
  <c r="A3641" i="6"/>
  <c r="D3641" i="6" s="1"/>
  <c r="C3641" i="6"/>
  <c r="E3641" i="6"/>
  <c r="F3641" i="6"/>
  <c r="A3642" i="6"/>
  <c r="C3642" i="6" s="1"/>
  <c r="D3642" i="6"/>
  <c r="F3642" i="6"/>
  <c r="A3643" i="6"/>
  <c r="C3643" i="6"/>
  <c r="D3643" i="6"/>
  <c r="E3643" i="6"/>
  <c r="F3643" i="6"/>
  <c r="A3644" i="6"/>
  <c r="D3644" i="6" s="1"/>
  <c r="F3644" i="6"/>
  <c r="A3645" i="6"/>
  <c r="D3645" i="6" s="1"/>
  <c r="C3645" i="6"/>
  <c r="E3645" i="6"/>
  <c r="F3645" i="6"/>
  <c r="A3646" i="6"/>
  <c r="C3646" i="6" s="1"/>
  <c r="D3646" i="6"/>
  <c r="F3646" i="6"/>
  <c r="A3647" i="6"/>
  <c r="C3647" i="6"/>
  <c r="D3647" i="6"/>
  <c r="E3647" i="6"/>
  <c r="F3647" i="6"/>
  <c r="A3648" i="6"/>
  <c r="D3648" i="6" s="1"/>
  <c r="F3648" i="6"/>
  <c r="A3649" i="6"/>
  <c r="D3649" i="6" s="1"/>
  <c r="C3649" i="6"/>
  <c r="E3649" i="6"/>
  <c r="F3649" i="6"/>
  <c r="A3650" i="6"/>
  <c r="C3650" i="6" s="1"/>
  <c r="D3650" i="6"/>
  <c r="F3650" i="6"/>
  <c r="A3651" i="6"/>
  <c r="C3651" i="6"/>
  <c r="D3651" i="6"/>
  <c r="E3651" i="6"/>
  <c r="F3651" i="6"/>
  <c r="A3652" i="6"/>
  <c r="F3652" i="6" s="1"/>
  <c r="A3653" i="6"/>
  <c r="D3653" i="6" s="1"/>
  <c r="C3653" i="6"/>
  <c r="E3653" i="6"/>
  <c r="F3653" i="6"/>
  <c r="A3654" i="6"/>
  <c r="C3654" i="6" s="1"/>
  <c r="D3654" i="6"/>
  <c r="F3654" i="6"/>
  <c r="A3655" i="6"/>
  <c r="C3655" i="6"/>
  <c r="D3655" i="6"/>
  <c r="E3655" i="6"/>
  <c r="F3655" i="6"/>
  <c r="A3656" i="6"/>
  <c r="A3657" i="6"/>
  <c r="D3657" i="6" s="1"/>
  <c r="C3657" i="6"/>
  <c r="E3657" i="6"/>
  <c r="F3657" i="6"/>
  <c r="A3658" i="6"/>
  <c r="C3658" i="6" s="1"/>
  <c r="D3658" i="6"/>
  <c r="F3658" i="6"/>
  <c r="A3659" i="6"/>
  <c r="C3659" i="6"/>
  <c r="D3659" i="6"/>
  <c r="E3659" i="6"/>
  <c r="F3659" i="6"/>
  <c r="A3660" i="6"/>
  <c r="F3660" i="6" s="1"/>
  <c r="A3661" i="6"/>
  <c r="D3661" i="6" s="1"/>
  <c r="C3661" i="6"/>
  <c r="E3661" i="6"/>
  <c r="F3661" i="6"/>
  <c r="A3662" i="6"/>
  <c r="C3662" i="6" s="1"/>
  <c r="D3662" i="6"/>
  <c r="F3662" i="6"/>
  <c r="A3663" i="6"/>
  <c r="C3663" i="6"/>
  <c r="D3663" i="6"/>
  <c r="E3663" i="6"/>
  <c r="F3663" i="6"/>
  <c r="A3664" i="6"/>
  <c r="A3665" i="6"/>
  <c r="D3665" i="6" s="1"/>
  <c r="C3665" i="6"/>
  <c r="E3665" i="6"/>
  <c r="F3665" i="6"/>
  <c r="A3666" i="6"/>
  <c r="C3666" i="6" s="1"/>
  <c r="D3666" i="6"/>
  <c r="F3666" i="6"/>
  <c r="A3667" i="6"/>
  <c r="C3667" i="6"/>
  <c r="D3667" i="6"/>
  <c r="E3667" i="6"/>
  <c r="F3667" i="6"/>
  <c r="A3668" i="6"/>
  <c r="F3668" i="6" s="1"/>
  <c r="A3669" i="6"/>
  <c r="D3669" i="6" s="1"/>
  <c r="C3669" i="6"/>
  <c r="E3669" i="6"/>
  <c r="F3669" i="6"/>
  <c r="A3670" i="6"/>
  <c r="C3670" i="6" s="1"/>
  <c r="D3670" i="6"/>
  <c r="F3670" i="6"/>
  <c r="A3671" i="6"/>
  <c r="C3671" i="6"/>
  <c r="D3671" i="6"/>
  <c r="E3671" i="6"/>
  <c r="F3671" i="6"/>
  <c r="A3672" i="6"/>
  <c r="A3673" i="6"/>
  <c r="D3673" i="6" s="1"/>
  <c r="C3673" i="6"/>
  <c r="E3673" i="6"/>
  <c r="F3673" i="6"/>
  <c r="A3674" i="6"/>
  <c r="C3674" i="6" s="1"/>
  <c r="D3674" i="6"/>
  <c r="F3674" i="6"/>
  <c r="A3675" i="6"/>
  <c r="C3675" i="6"/>
  <c r="D3675" i="6"/>
  <c r="E3675" i="6"/>
  <c r="F3675" i="6"/>
  <c r="A3676" i="6"/>
  <c r="F3676" i="6" s="1"/>
  <c r="A3677" i="6"/>
  <c r="D3677" i="6" s="1"/>
  <c r="C3677" i="6"/>
  <c r="E3677" i="6"/>
  <c r="F3677" i="6"/>
  <c r="A3678" i="6"/>
  <c r="C3678" i="6" s="1"/>
  <c r="D3678" i="6"/>
  <c r="F3678" i="6"/>
  <c r="A3679" i="6"/>
  <c r="C3679" i="6"/>
  <c r="D3679" i="6"/>
  <c r="E3679" i="6"/>
  <c r="F3679" i="6"/>
  <c r="A3680" i="6"/>
  <c r="A3681" i="6"/>
  <c r="D3681" i="6" s="1"/>
  <c r="C3681" i="6"/>
  <c r="E3681" i="6"/>
  <c r="F3681" i="6"/>
  <c r="A3682" i="6"/>
  <c r="C3682" i="6" s="1"/>
  <c r="D3682" i="6"/>
  <c r="F3682" i="6"/>
  <c r="A3683" i="6"/>
  <c r="C3683" i="6"/>
  <c r="D3683" i="6"/>
  <c r="E3683" i="6"/>
  <c r="F3683" i="6"/>
  <c r="A3684" i="6"/>
  <c r="F3684" i="6" s="1"/>
  <c r="A3685" i="6"/>
  <c r="D3685" i="6" s="1"/>
  <c r="C3685" i="6"/>
  <c r="E3685" i="6"/>
  <c r="F3685" i="6"/>
  <c r="A3686" i="6"/>
  <c r="C3686" i="6" s="1"/>
  <c r="D3686" i="6"/>
  <c r="F3686" i="6"/>
  <c r="A3687" i="6"/>
  <c r="C3687" i="6"/>
  <c r="D3687" i="6"/>
  <c r="E3687" i="6"/>
  <c r="F3687" i="6"/>
  <c r="A3688" i="6"/>
  <c r="A3689" i="6"/>
  <c r="D3689" i="6" s="1"/>
  <c r="C3689" i="6"/>
  <c r="E3689" i="6"/>
  <c r="F3689" i="6"/>
  <c r="A3690" i="6"/>
  <c r="C3690" i="6" s="1"/>
  <c r="D3690" i="6"/>
  <c r="F3690" i="6"/>
  <c r="A3691" i="6"/>
  <c r="C3691" i="6"/>
  <c r="D3691" i="6"/>
  <c r="E3691" i="6"/>
  <c r="F3691" i="6"/>
  <c r="A3692" i="6"/>
  <c r="F3692" i="6" s="1"/>
  <c r="A3693" i="6"/>
  <c r="D3693" i="6" s="1"/>
  <c r="C3693" i="6"/>
  <c r="E3693" i="6"/>
  <c r="F3693" i="6"/>
  <c r="A3694" i="6"/>
  <c r="C3694" i="6" s="1"/>
  <c r="D3694" i="6"/>
  <c r="F3694" i="6"/>
  <c r="A3695" i="6"/>
  <c r="C3695" i="6"/>
  <c r="D3695" i="6"/>
  <c r="E3695" i="6"/>
  <c r="F3695" i="6"/>
  <c r="A3696" i="6"/>
  <c r="A3697" i="6"/>
  <c r="D3697" i="6" s="1"/>
  <c r="C3697" i="6"/>
  <c r="E3697" i="6"/>
  <c r="F3697" i="6"/>
  <c r="A3698" i="6"/>
  <c r="C3698" i="6" s="1"/>
  <c r="D3698" i="6"/>
  <c r="F3698" i="6"/>
  <c r="A3699" i="6"/>
  <c r="C3699" i="6"/>
  <c r="D3699" i="6"/>
  <c r="E3699" i="6"/>
  <c r="F3699" i="6"/>
  <c r="A3700" i="6"/>
  <c r="F3700" i="6" s="1"/>
  <c r="A3701" i="6"/>
  <c r="D3701" i="6" s="1"/>
  <c r="C3701" i="6"/>
  <c r="E3701" i="6"/>
  <c r="F3701" i="6"/>
  <c r="A3702" i="6"/>
  <c r="C3702" i="6" s="1"/>
  <c r="D3702" i="6"/>
  <c r="F3702" i="6"/>
  <c r="A3703" i="6"/>
  <c r="C3703" i="6"/>
  <c r="D3703" i="6"/>
  <c r="E3703" i="6"/>
  <c r="F3703" i="6"/>
  <c r="A3704" i="6"/>
  <c r="A3705" i="6"/>
  <c r="D3705" i="6" s="1"/>
  <c r="C3705" i="6"/>
  <c r="E3705" i="6"/>
  <c r="F3705" i="6"/>
  <c r="A3706" i="6"/>
  <c r="C3706" i="6" s="1"/>
  <c r="D3706" i="6"/>
  <c r="F3706" i="6"/>
  <c r="A3707" i="6"/>
  <c r="C3707" i="6"/>
  <c r="D3707" i="6"/>
  <c r="E3707" i="6"/>
  <c r="F3707" i="6"/>
  <c r="A3708" i="6"/>
  <c r="F3708" i="6" s="1"/>
  <c r="A3709" i="6"/>
  <c r="D3709" i="6" s="1"/>
  <c r="C3709" i="6"/>
  <c r="E3709" i="6"/>
  <c r="F3709" i="6"/>
  <c r="A3710" i="6"/>
  <c r="C3710" i="6" s="1"/>
  <c r="D3710" i="6"/>
  <c r="F3710" i="6"/>
  <c r="A3711" i="6"/>
  <c r="C3711" i="6"/>
  <c r="D3711" i="6"/>
  <c r="E3711" i="6"/>
  <c r="F3711" i="6"/>
  <c r="A3712" i="6"/>
  <c r="A3713" i="6"/>
  <c r="D3713" i="6" s="1"/>
  <c r="C3713" i="6"/>
  <c r="E3713" i="6"/>
  <c r="F3713" i="6"/>
  <c r="A3714" i="6"/>
  <c r="C3714" i="6" s="1"/>
  <c r="D3714" i="6"/>
  <c r="F3714" i="6"/>
  <c r="A3715" i="6"/>
  <c r="C3715" i="6"/>
  <c r="D3715" i="6"/>
  <c r="E3715" i="6"/>
  <c r="F3715" i="6"/>
  <c r="A3716" i="6"/>
  <c r="F3716" i="6" s="1"/>
  <c r="A3717" i="6"/>
  <c r="D3717" i="6" s="1"/>
  <c r="C3717" i="6"/>
  <c r="E3717" i="6"/>
  <c r="F3717" i="6"/>
  <c r="A3718" i="6"/>
  <c r="C3718" i="6" s="1"/>
  <c r="D3718" i="6"/>
  <c r="F3718" i="6"/>
  <c r="A3719" i="6"/>
  <c r="C3719" i="6"/>
  <c r="D3719" i="6"/>
  <c r="E3719" i="6"/>
  <c r="F3719" i="6"/>
  <c r="A3720" i="6"/>
  <c r="A3721" i="6"/>
  <c r="D3721" i="6" s="1"/>
  <c r="C3721" i="6"/>
  <c r="E3721" i="6"/>
  <c r="F3721" i="6"/>
  <c r="A3722" i="6"/>
  <c r="C3722" i="6" s="1"/>
  <c r="D3722" i="6"/>
  <c r="F3722" i="6"/>
  <c r="A3723" i="6"/>
  <c r="C3723" i="6"/>
  <c r="D3723" i="6"/>
  <c r="E3723" i="6"/>
  <c r="F3723" i="6"/>
  <c r="A3724" i="6"/>
  <c r="F3724" i="6" s="1"/>
  <c r="G3725" i="6"/>
  <c r="G3730" i="6"/>
  <c r="A3735" i="6"/>
  <c r="D3735" i="6" s="1"/>
  <c r="C3735" i="6"/>
  <c r="E3735" i="6"/>
  <c r="F3735" i="6"/>
  <c r="A3736" i="6"/>
  <c r="C3736" i="6" s="1"/>
  <c r="D3736" i="6"/>
  <c r="F3736" i="6"/>
  <c r="A3737" i="6"/>
  <c r="C3737" i="6"/>
  <c r="D3737" i="6"/>
  <c r="E3737" i="6"/>
  <c r="F3737" i="6"/>
  <c r="A3738" i="6"/>
  <c r="F3738" i="6"/>
  <c r="A3739" i="6"/>
  <c r="D3739" i="6" s="1"/>
  <c r="C3739" i="6"/>
  <c r="E3739" i="6"/>
  <c r="F3739" i="6"/>
  <c r="A3740" i="6"/>
  <c r="C3740" i="6" s="1"/>
  <c r="D3740" i="6"/>
  <c r="F3740" i="6"/>
  <c r="A3741" i="6"/>
  <c r="C3741" i="6"/>
  <c r="D3741" i="6"/>
  <c r="E3741" i="6"/>
  <c r="F3741" i="6"/>
  <c r="A3742" i="6"/>
  <c r="F3742" i="6"/>
  <c r="A3743" i="6"/>
  <c r="D3743" i="6" s="1"/>
  <c r="C3743" i="6"/>
  <c r="E3743" i="6"/>
  <c r="F3743" i="6"/>
  <c r="A3744" i="6"/>
  <c r="C3744" i="6" s="1"/>
  <c r="D3744" i="6"/>
  <c r="F3744" i="6"/>
  <c r="A3745" i="6"/>
  <c r="C3745" i="6"/>
  <c r="D3745" i="6"/>
  <c r="E3745" i="6"/>
  <c r="F3745" i="6"/>
  <c r="A3746" i="6"/>
  <c r="F3746" i="6"/>
  <c r="A3747" i="6"/>
  <c r="D3747" i="6" s="1"/>
  <c r="C3747" i="6"/>
  <c r="E3747" i="6"/>
  <c r="F3747" i="6"/>
  <c r="A3748" i="6"/>
  <c r="C3748" i="6" s="1"/>
  <c r="D3748" i="6"/>
  <c r="F3748" i="6"/>
  <c r="A3749" i="6"/>
  <c r="C3749" i="6"/>
  <c r="D3749" i="6"/>
  <c r="E3749" i="6"/>
  <c r="F3749" i="6"/>
  <c r="A3750" i="6"/>
  <c r="F3750" i="6"/>
  <c r="A3751" i="6"/>
  <c r="D3751" i="6" s="1"/>
  <c r="C3751" i="6"/>
  <c r="E3751" i="6"/>
  <c r="F3751" i="6"/>
  <c r="A3752" i="6"/>
  <c r="C3752" i="6" s="1"/>
  <c r="D3752" i="6"/>
  <c r="F3752" i="6"/>
  <c r="A3753" i="6"/>
  <c r="C3753" i="6"/>
  <c r="D3753" i="6"/>
  <c r="E3753" i="6"/>
  <c r="F3753" i="6"/>
  <c r="A3754" i="6"/>
  <c r="F3754" i="6"/>
  <c r="A3755" i="6"/>
  <c r="D3755" i="6" s="1"/>
  <c r="C3755" i="6"/>
  <c r="E3755" i="6"/>
  <c r="F3755" i="6"/>
  <c r="A3756" i="6"/>
  <c r="C3756" i="6" s="1"/>
  <c r="D3756" i="6"/>
  <c r="F3756" i="6"/>
  <c r="A3757" i="6"/>
  <c r="C3757" i="6"/>
  <c r="D3757" i="6"/>
  <c r="E3757" i="6"/>
  <c r="F3757" i="6"/>
  <c r="A3758" i="6"/>
  <c r="F3758" i="6"/>
  <c r="A3759" i="6"/>
  <c r="D3759" i="6" s="1"/>
  <c r="C3759" i="6"/>
  <c r="E3759" i="6"/>
  <c r="F3759" i="6"/>
  <c r="A3760" i="6"/>
  <c r="C3760" i="6" s="1"/>
  <c r="D3760" i="6"/>
  <c r="F3760" i="6"/>
  <c r="A3761" i="6"/>
  <c r="C3761" i="6"/>
  <c r="D3761" i="6"/>
  <c r="E3761" i="6"/>
  <c r="F3761" i="6"/>
  <c r="A3762" i="6"/>
  <c r="F3762" i="6"/>
  <c r="A3763" i="6"/>
  <c r="D3763" i="6" s="1"/>
  <c r="C3763" i="6"/>
  <c r="E3763" i="6"/>
  <c r="F3763" i="6"/>
  <c r="A3764" i="6"/>
  <c r="C3764" i="6" s="1"/>
  <c r="D3764" i="6"/>
  <c r="F3764" i="6"/>
  <c r="A3765" i="6"/>
  <c r="C3765" i="6"/>
  <c r="D3765" i="6"/>
  <c r="E3765" i="6"/>
  <c r="F3765" i="6"/>
  <c r="A3766" i="6"/>
  <c r="F3766" i="6"/>
  <c r="A3767" i="6"/>
  <c r="D3767" i="6" s="1"/>
  <c r="C3767" i="6"/>
  <c r="E3767" i="6"/>
  <c r="F3767" i="6"/>
  <c r="A3768" i="6"/>
  <c r="C3768" i="6" s="1"/>
  <c r="D3768" i="6"/>
  <c r="F3768" i="6"/>
  <c r="A3769" i="6"/>
  <c r="C3769" i="6"/>
  <c r="D3769" i="6"/>
  <c r="E3769" i="6"/>
  <c r="F3769" i="6"/>
  <c r="A3770" i="6"/>
  <c r="F3770" i="6"/>
  <c r="A3771" i="6"/>
  <c r="D3771" i="6" s="1"/>
  <c r="C3771" i="6"/>
  <c r="E3771" i="6"/>
  <c r="F3771" i="6"/>
  <c r="A3772" i="6"/>
  <c r="C3772" i="6" s="1"/>
  <c r="D3772" i="6"/>
  <c r="F3772" i="6"/>
  <c r="A3773" i="6"/>
  <c r="C3773" i="6"/>
  <c r="D3773" i="6"/>
  <c r="E3773" i="6"/>
  <c r="F3773" i="6"/>
  <c r="A3774" i="6"/>
  <c r="F3774" i="6"/>
  <c r="A3775" i="6"/>
  <c r="D3775" i="6" s="1"/>
  <c r="C3775" i="6"/>
  <c r="E3775" i="6"/>
  <c r="F3775" i="6"/>
  <c r="A3776" i="6"/>
  <c r="C3776" i="6" s="1"/>
  <c r="D3776" i="6"/>
  <c r="F3776" i="6"/>
  <c r="A3777" i="6"/>
  <c r="C3777" i="6"/>
  <c r="D3777" i="6"/>
  <c r="E3777" i="6"/>
  <c r="F3777" i="6"/>
  <c r="A3778" i="6"/>
  <c r="F3778" i="6"/>
  <c r="A3779" i="6"/>
  <c r="D3779" i="6" s="1"/>
  <c r="C3779" i="6"/>
  <c r="E3779" i="6"/>
  <c r="F3779" i="6"/>
  <c r="A3780" i="6"/>
  <c r="C3780" i="6" s="1"/>
  <c r="D3780" i="6"/>
  <c r="F3780" i="6"/>
  <c r="A3781" i="6"/>
  <c r="C3781" i="6"/>
  <c r="D3781" i="6"/>
  <c r="E3781" i="6"/>
  <c r="F3781" i="6"/>
  <c r="A3782" i="6"/>
  <c r="F3782" i="6"/>
  <c r="A3783" i="6"/>
  <c r="D3783" i="6" s="1"/>
  <c r="C3783" i="6"/>
  <c r="E3783" i="6"/>
  <c r="F3783" i="6"/>
  <c r="A3784" i="6"/>
  <c r="C3784" i="6" s="1"/>
  <c r="D3784" i="6"/>
  <c r="F3784" i="6"/>
  <c r="A3785" i="6"/>
  <c r="C3785" i="6"/>
  <c r="D3785" i="6"/>
  <c r="E3785" i="6"/>
  <c r="F3785" i="6"/>
  <c r="A3786" i="6"/>
  <c r="F3786" i="6"/>
  <c r="A3787" i="6"/>
  <c r="D3787" i="6" s="1"/>
  <c r="C3787" i="6"/>
  <c r="E3787" i="6"/>
  <c r="F3787" i="6"/>
  <c r="A3788" i="6"/>
  <c r="C3788" i="6" s="1"/>
  <c r="D3788" i="6"/>
  <c r="F3788" i="6"/>
  <c r="A3789" i="6"/>
  <c r="C3789" i="6"/>
  <c r="D3789" i="6"/>
  <c r="E3789" i="6"/>
  <c r="F3789" i="6"/>
  <c r="A3790" i="6"/>
  <c r="F3790" i="6"/>
  <c r="A3791" i="6"/>
  <c r="D3791" i="6" s="1"/>
  <c r="C3791" i="6"/>
  <c r="E3791" i="6"/>
  <c r="F3791" i="6"/>
  <c r="A3792" i="6"/>
  <c r="C3792" i="6" s="1"/>
  <c r="D3792" i="6"/>
  <c r="F3792" i="6"/>
  <c r="A3793" i="6"/>
  <c r="C3793" i="6"/>
  <c r="D3793" i="6"/>
  <c r="E3793" i="6"/>
  <c r="F3793" i="6"/>
  <c r="A3794" i="6"/>
  <c r="F3794" i="6"/>
  <c r="A3795" i="6"/>
  <c r="D3795" i="6" s="1"/>
  <c r="C3795" i="6"/>
  <c r="E3795" i="6"/>
  <c r="F3795" i="6"/>
  <c r="A3796" i="6"/>
  <c r="C3796" i="6" s="1"/>
  <c r="D3796" i="6"/>
  <c r="F3796" i="6"/>
  <c r="A3797" i="6"/>
  <c r="C3797" i="6"/>
  <c r="D3797" i="6"/>
  <c r="E3797" i="6"/>
  <c r="F3797" i="6"/>
  <c r="A3798" i="6"/>
  <c r="F3798" i="6"/>
  <c r="A3799" i="6"/>
  <c r="D3799" i="6" s="1"/>
  <c r="C3799" i="6"/>
  <c r="E3799" i="6"/>
  <c r="F3799" i="6"/>
  <c r="A3800" i="6"/>
  <c r="C3800" i="6" s="1"/>
  <c r="D3800" i="6"/>
  <c r="F3800" i="6"/>
  <c r="A3801" i="6"/>
  <c r="C3801" i="6"/>
  <c r="D3801" i="6"/>
  <c r="E3801" i="6"/>
  <c r="F3801" i="6"/>
  <c r="A3802" i="6"/>
  <c r="F3802" i="6"/>
  <c r="A3803" i="6"/>
  <c r="D3803" i="6" s="1"/>
  <c r="C3803" i="6"/>
  <c r="E3803" i="6"/>
  <c r="F3803" i="6"/>
  <c r="A3804" i="6"/>
  <c r="C3804" i="6" s="1"/>
  <c r="D3804" i="6"/>
  <c r="F3804" i="6"/>
  <c r="A3805" i="6"/>
  <c r="C3805" i="6"/>
  <c r="D3805" i="6"/>
  <c r="E3805" i="6"/>
  <c r="F3805" i="6"/>
  <c r="A3806" i="6"/>
  <c r="F3806" i="6"/>
  <c r="A3807" i="6"/>
  <c r="D3807" i="6" s="1"/>
  <c r="C3807" i="6"/>
  <c r="E3807" i="6"/>
  <c r="F3807" i="6"/>
  <c r="A3808" i="6"/>
  <c r="C3808" i="6" s="1"/>
  <c r="D3808" i="6"/>
  <c r="F3808" i="6"/>
  <c r="A3809" i="6"/>
  <c r="C3809" i="6"/>
  <c r="D3809" i="6"/>
  <c r="E3809" i="6"/>
  <c r="F3809" i="6"/>
  <c r="A3810" i="6"/>
  <c r="F3810" i="6"/>
  <c r="A3811" i="6"/>
  <c r="D3811" i="6" s="1"/>
  <c r="C3811" i="6"/>
  <c r="E3811" i="6"/>
  <c r="F3811" i="6"/>
  <c r="A3812" i="6"/>
  <c r="C3812" i="6" s="1"/>
  <c r="D3812" i="6"/>
  <c r="F3812" i="6"/>
  <c r="A3813" i="6"/>
  <c r="C3813" i="6"/>
  <c r="D3813" i="6"/>
  <c r="E3813" i="6"/>
  <c r="F3813" i="6"/>
  <c r="A3814" i="6"/>
  <c r="F3814" i="6"/>
  <c r="A3815" i="6"/>
  <c r="D3815" i="6" s="1"/>
  <c r="C3815" i="6"/>
  <c r="E3815" i="6"/>
  <c r="F3815" i="6"/>
  <c r="A3816" i="6"/>
  <c r="C3816" i="6" s="1"/>
  <c r="D3816" i="6"/>
  <c r="F3816" i="6"/>
  <c r="A3817" i="6"/>
  <c r="C3817" i="6"/>
  <c r="D3817" i="6"/>
  <c r="E3817" i="6"/>
  <c r="F3817" i="6"/>
  <c r="A3818" i="6"/>
  <c r="F3818" i="6"/>
  <c r="A3819" i="6"/>
  <c r="D3819" i="6" s="1"/>
  <c r="C3819" i="6"/>
  <c r="E3819" i="6"/>
  <c r="F3819" i="6"/>
  <c r="A3820" i="6"/>
  <c r="C3820" i="6" s="1"/>
  <c r="D3820" i="6"/>
  <c r="F3820" i="6"/>
  <c r="A3821" i="6"/>
  <c r="C3821" i="6"/>
  <c r="D3821" i="6"/>
  <c r="E3821" i="6"/>
  <c r="F3821" i="6"/>
  <c r="A3822" i="6"/>
  <c r="F3822" i="6"/>
  <c r="A3823" i="6"/>
  <c r="D3823" i="6" s="1"/>
  <c r="C3823" i="6"/>
  <c r="E3823" i="6"/>
  <c r="F3823" i="6"/>
  <c r="A3824" i="6"/>
  <c r="C3824" i="6" s="1"/>
  <c r="D3824" i="6"/>
  <c r="F3824" i="6"/>
  <c r="A3825" i="6"/>
  <c r="C3825" i="6"/>
  <c r="D3825" i="6"/>
  <c r="E3825" i="6"/>
  <c r="F3825" i="6"/>
  <c r="A3826" i="6"/>
  <c r="F3826" i="6"/>
  <c r="A3827" i="6"/>
  <c r="D3827" i="6" s="1"/>
  <c r="C3827" i="6"/>
  <c r="E3827" i="6"/>
  <c r="F3827" i="6"/>
  <c r="A3828" i="6"/>
  <c r="C3828" i="6" s="1"/>
  <c r="D3828" i="6"/>
  <c r="F3828" i="6"/>
  <c r="A3829" i="6"/>
  <c r="C3829" i="6"/>
  <c r="D3829" i="6"/>
  <c r="E3829" i="6"/>
  <c r="F3829" i="6"/>
  <c r="A3830" i="6"/>
  <c r="F3830" i="6"/>
  <c r="A3831" i="6"/>
  <c r="D3831" i="6" s="1"/>
  <c r="C3831" i="6"/>
  <c r="E3831" i="6"/>
  <c r="F3831" i="6"/>
  <c r="A3832" i="6"/>
  <c r="C3832" i="6" s="1"/>
  <c r="D3832" i="6"/>
  <c r="F3832" i="6"/>
  <c r="A3833" i="6"/>
  <c r="C3833" i="6"/>
  <c r="D3833" i="6"/>
  <c r="E3833" i="6"/>
  <c r="F3833" i="6"/>
  <c r="A3834" i="6"/>
  <c r="F3834" i="6"/>
  <c r="A3835" i="6"/>
  <c r="D3835" i="6" s="1"/>
  <c r="C3835" i="6"/>
  <c r="E3835" i="6"/>
  <c r="F3835" i="6"/>
  <c r="A3836" i="6"/>
  <c r="C3836" i="6" s="1"/>
  <c r="D3836" i="6"/>
  <c r="F3836" i="6"/>
  <c r="A3837" i="6"/>
  <c r="C3837" i="6"/>
  <c r="D3837" i="6"/>
  <c r="E3837" i="6"/>
  <c r="F3837" i="6"/>
  <c r="A3838" i="6"/>
  <c r="F3838" i="6"/>
  <c r="A3839" i="6"/>
  <c r="D3839" i="6" s="1"/>
  <c r="C3839" i="6"/>
  <c r="E3839" i="6"/>
  <c r="F3839" i="6"/>
  <c r="A3840" i="6"/>
  <c r="C3840" i="6" s="1"/>
  <c r="D3840" i="6"/>
  <c r="F3840" i="6"/>
  <c r="A3841" i="6"/>
  <c r="C3841" i="6"/>
  <c r="D3841" i="6"/>
  <c r="E3841" i="6"/>
  <c r="F3841" i="6"/>
  <c r="A3842" i="6"/>
  <c r="F3842" i="6"/>
  <c r="A3843" i="6"/>
  <c r="D3843" i="6" s="1"/>
  <c r="C3843" i="6"/>
  <c r="E3843" i="6"/>
  <c r="F3843" i="6"/>
  <c r="A3844" i="6"/>
  <c r="C3844" i="6" s="1"/>
  <c r="D3844" i="6"/>
  <c r="F3844" i="6"/>
  <c r="A3845" i="6"/>
  <c r="C3845" i="6"/>
  <c r="D3845" i="6"/>
  <c r="E3845" i="6"/>
  <c r="F3845" i="6"/>
  <c r="A3846" i="6"/>
  <c r="F3846" i="6" s="1"/>
  <c r="A3847" i="6"/>
  <c r="D3847" i="6" s="1"/>
  <c r="C3847" i="6"/>
  <c r="E3847" i="6"/>
  <c r="F3847" i="6"/>
  <c r="A3848" i="6"/>
  <c r="C3848" i="6" s="1"/>
  <c r="D3848" i="6"/>
  <c r="F3848" i="6"/>
  <c r="A3849" i="6"/>
  <c r="C3849" i="6"/>
  <c r="D3849" i="6"/>
  <c r="E3849" i="6"/>
  <c r="F3849" i="6"/>
  <c r="A3850" i="6"/>
  <c r="F3850" i="6"/>
  <c r="A3851" i="6"/>
  <c r="D3851" i="6" s="1"/>
  <c r="C3851" i="6"/>
  <c r="E3851" i="6"/>
  <c r="F3851" i="6"/>
  <c r="A3852" i="6"/>
  <c r="C3852" i="6" s="1"/>
  <c r="D3852" i="6"/>
  <c r="F3852" i="6"/>
  <c r="A3853" i="6"/>
  <c r="C3853" i="6"/>
  <c r="D3853" i="6"/>
  <c r="E3853" i="6"/>
  <c r="F3853" i="6"/>
  <c r="A3854" i="6"/>
  <c r="F3854" i="6" s="1"/>
  <c r="A3855" i="6"/>
  <c r="D3855" i="6" s="1"/>
  <c r="C3855" i="6"/>
  <c r="E3855" i="6"/>
  <c r="F3855" i="6"/>
  <c r="A3856" i="6"/>
  <c r="C3856" i="6" s="1"/>
  <c r="D3856" i="6"/>
  <c r="F3856" i="6"/>
  <c r="A3857" i="6"/>
  <c r="C3857" i="6"/>
  <c r="D3857" i="6"/>
  <c r="E3857" i="6"/>
  <c r="F3857" i="6"/>
  <c r="A3858" i="6"/>
  <c r="F3858" i="6"/>
  <c r="A3859" i="6"/>
  <c r="C3859" i="6"/>
  <c r="D3859" i="6"/>
  <c r="E3859" i="6"/>
  <c r="F3859" i="6"/>
  <c r="A3860" i="6"/>
  <c r="C3860" i="6" s="1"/>
  <c r="D3860" i="6"/>
  <c r="F3860" i="6"/>
  <c r="A3861" i="6"/>
  <c r="D3861" i="6" s="1"/>
  <c r="C3861" i="6"/>
  <c r="E3861" i="6"/>
  <c r="F3861" i="6"/>
  <c r="A3862" i="6"/>
  <c r="F3862" i="6" s="1"/>
  <c r="A3863" i="6"/>
  <c r="C3863" i="6"/>
  <c r="D3863" i="6"/>
  <c r="E3863" i="6"/>
  <c r="F3863" i="6"/>
  <c r="A3864" i="6"/>
  <c r="C3864" i="6" s="1"/>
  <c r="D3864" i="6"/>
  <c r="F3864" i="6"/>
  <c r="A3865" i="6"/>
  <c r="D3865" i="6" s="1"/>
  <c r="C3865" i="6"/>
  <c r="E3865" i="6"/>
  <c r="F3865" i="6"/>
  <c r="A3866" i="6"/>
  <c r="F3866" i="6"/>
  <c r="A3867" i="6"/>
  <c r="C3867" i="6"/>
  <c r="D3867" i="6"/>
  <c r="E3867" i="6"/>
  <c r="F3867" i="6"/>
  <c r="A3868" i="6"/>
  <c r="C3868" i="6" s="1"/>
  <c r="D3868" i="6"/>
  <c r="F3868" i="6"/>
  <c r="A3869" i="6"/>
  <c r="D3869" i="6" s="1"/>
  <c r="C3869" i="6"/>
  <c r="E3869" i="6"/>
  <c r="F3869" i="6"/>
  <c r="A3870" i="6"/>
  <c r="F3870" i="6" s="1"/>
  <c r="A3871" i="6"/>
  <c r="C3871" i="6"/>
  <c r="D3871" i="6"/>
  <c r="E3871" i="6"/>
  <c r="F3871" i="6"/>
  <c r="A3872" i="6"/>
  <c r="C3872" i="6" s="1"/>
  <c r="D3872" i="6"/>
  <c r="F3872" i="6"/>
  <c r="A3873" i="6"/>
  <c r="D3873" i="6" s="1"/>
  <c r="C3873" i="6"/>
  <c r="E3873" i="6"/>
  <c r="F3873" i="6"/>
  <c r="A3874" i="6"/>
  <c r="F3874" i="6"/>
  <c r="A3875" i="6"/>
  <c r="C3875" i="6"/>
  <c r="D3875" i="6"/>
  <c r="E3875" i="6"/>
  <c r="F3875" i="6"/>
  <c r="A3876" i="6"/>
  <c r="C3876" i="6" s="1"/>
  <c r="D3876" i="6"/>
  <c r="F3876" i="6"/>
  <c r="A3877" i="6"/>
  <c r="D3877" i="6" s="1"/>
  <c r="C3877" i="6"/>
  <c r="E3877" i="6"/>
  <c r="F3877" i="6"/>
  <c r="A3878" i="6"/>
  <c r="F3878" i="6" s="1"/>
  <c r="A3879" i="6"/>
  <c r="C3879" i="6"/>
  <c r="D3879" i="6"/>
  <c r="E3879" i="6"/>
  <c r="F3879" i="6"/>
  <c r="A3880" i="6"/>
  <c r="C3880" i="6" s="1"/>
  <c r="D3880" i="6"/>
  <c r="F3880" i="6"/>
  <c r="A3881" i="6"/>
  <c r="D3881" i="6" s="1"/>
  <c r="C3881" i="6"/>
  <c r="E3881" i="6"/>
  <c r="F3881" i="6"/>
  <c r="A3882" i="6"/>
  <c r="F3882" i="6"/>
  <c r="A3883" i="6"/>
  <c r="C3883" i="6"/>
  <c r="D3883" i="6"/>
  <c r="E3883" i="6"/>
  <c r="F3883" i="6"/>
  <c r="A3884" i="6"/>
  <c r="C3884" i="6" s="1"/>
  <c r="D3884" i="6"/>
  <c r="F3884" i="6"/>
  <c r="G3885" i="6"/>
  <c r="G3890" i="6"/>
  <c r="A3895" i="6"/>
  <c r="D3895" i="6" s="1"/>
  <c r="C3895" i="6"/>
  <c r="E3895" i="6"/>
  <c r="F3895" i="6"/>
  <c r="A3896" i="6"/>
  <c r="F3896" i="6"/>
  <c r="A3897" i="6"/>
  <c r="C3897" i="6"/>
  <c r="D3897" i="6"/>
  <c r="E3897" i="6"/>
  <c r="F3897" i="6"/>
  <c r="A3898" i="6"/>
  <c r="C3898" i="6" s="1"/>
  <c r="D3898" i="6"/>
  <c r="F3898" i="6"/>
  <c r="A3899" i="6"/>
  <c r="D3899" i="6" s="1"/>
  <c r="C3899" i="6"/>
  <c r="E3899" i="6"/>
  <c r="F3899" i="6"/>
  <c r="A3900" i="6"/>
  <c r="F3900" i="6" s="1"/>
  <c r="A3901" i="6"/>
  <c r="C3901" i="6"/>
  <c r="D3901" i="6"/>
  <c r="E3901" i="6"/>
  <c r="F3901" i="6"/>
  <c r="A3902" i="6"/>
  <c r="C3902" i="6" s="1"/>
  <c r="D3902" i="6"/>
  <c r="F3902" i="6"/>
  <c r="A3903" i="6"/>
  <c r="D3903" i="6" s="1"/>
  <c r="C3903" i="6"/>
  <c r="E3903" i="6"/>
  <c r="F3903" i="6"/>
  <c r="A3904" i="6"/>
  <c r="F3904" i="6"/>
  <c r="A3905" i="6"/>
  <c r="C3905" i="6"/>
  <c r="D3905" i="6"/>
  <c r="E3905" i="6"/>
  <c r="F3905" i="6"/>
  <c r="A3906" i="6"/>
  <c r="C3906" i="6" s="1"/>
  <c r="D3906" i="6"/>
  <c r="F3906" i="6"/>
  <c r="A3907" i="6"/>
  <c r="D3907" i="6" s="1"/>
  <c r="C3907" i="6"/>
  <c r="E3907" i="6"/>
  <c r="F3907" i="6"/>
  <c r="A3908" i="6"/>
  <c r="F3908" i="6" s="1"/>
  <c r="A3909" i="6"/>
  <c r="C3909" i="6"/>
  <c r="D3909" i="6"/>
  <c r="E3909" i="6"/>
  <c r="F3909" i="6"/>
  <c r="G3910" i="6"/>
  <c r="G3915" i="6"/>
  <c r="A3920" i="6"/>
  <c r="C3920" i="6" s="1"/>
  <c r="D3920" i="6"/>
  <c r="F3920" i="6"/>
  <c r="A3921" i="6"/>
  <c r="D3921" i="6" s="1"/>
  <c r="C3921" i="6"/>
  <c r="E3921" i="6"/>
  <c r="F3921" i="6"/>
  <c r="A3922" i="6"/>
  <c r="F3922" i="6" s="1"/>
  <c r="A3923" i="6"/>
  <c r="C3923" i="6"/>
  <c r="D3923" i="6"/>
  <c r="E3923" i="6"/>
  <c r="F3923" i="6"/>
  <c r="A3924" i="6"/>
  <c r="C3924" i="6" s="1"/>
  <c r="D3924" i="6"/>
  <c r="F3924" i="6"/>
  <c r="A3925" i="6"/>
  <c r="D3925" i="6" s="1"/>
  <c r="C3925" i="6"/>
  <c r="E3925" i="6"/>
  <c r="F3925" i="6"/>
  <c r="A3926" i="6"/>
  <c r="F3926" i="6"/>
  <c r="A3927" i="6"/>
  <c r="C3927" i="6"/>
  <c r="D3927" i="6"/>
  <c r="E3927" i="6"/>
  <c r="F3927" i="6"/>
  <c r="A3928" i="6"/>
  <c r="C3928" i="6" s="1"/>
  <c r="D3928" i="6"/>
  <c r="F3928" i="6"/>
  <c r="A3929" i="6"/>
  <c r="D3929" i="6" s="1"/>
  <c r="C3929" i="6"/>
  <c r="E3929" i="6"/>
  <c r="F3929" i="6"/>
  <c r="A3930" i="6"/>
  <c r="F3930" i="6" s="1"/>
  <c r="A3931" i="6"/>
  <c r="C3931" i="6"/>
  <c r="D3931" i="6"/>
  <c r="E3931" i="6"/>
  <c r="F3931" i="6"/>
  <c r="A3932" i="6"/>
  <c r="C3932" i="6" s="1"/>
  <c r="D3932" i="6"/>
  <c r="F3932" i="6"/>
  <c r="A3933" i="6"/>
  <c r="D3933" i="6" s="1"/>
  <c r="C3933" i="6"/>
  <c r="E3933" i="6"/>
  <c r="F3933" i="6"/>
  <c r="A3934" i="6"/>
  <c r="F3934" i="6"/>
  <c r="A3935" i="6"/>
  <c r="C3935" i="6"/>
  <c r="D3935" i="6"/>
  <c r="E3935" i="6"/>
  <c r="F3935" i="6"/>
  <c r="A3936" i="6"/>
  <c r="C3936" i="6" s="1"/>
  <c r="D3936" i="6"/>
  <c r="F3936" i="6"/>
  <c r="A3937" i="6"/>
  <c r="D3937" i="6" s="1"/>
  <c r="C3937" i="6"/>
  <c r="E3937" i="6"/>
  <c r="F3937" i="6"/>
  <c r="A3938" i="6"/>
  <c r="F3938" i="6" s="1"/>
  <c r="A3939" i="6"/>
  <c r="C3939" i="6"/>
  <c r="D3939" i="6"/>
  <c r="E3939" i="6"/>
  <c r="F3939" i="6"/>
  <c r="A3940" i="6"/>
  <c r="C3940" i="6" s="1"/>
  <c r="D3940" i="6"/>
  <c r="F3940" i="6"/>
  <c r="A3941" i="6"/>
  <c r="D3941" i="6" s="1"/>
  <c r="C3941" i="6"/>
  <c r="E3941" i="6"/>
  <c r="F3941" i="6"/>
  <c r="A3942" i="6"/>
  <c r="F3942" i="6"/>
  <c r="A3943" i="6"/>
  <c r="C3943" i="6"/>
  <c r="D3943" i="6"/>
  <c r="E3943" i="6"/>
  <c r="F3943" i="6"/>
  <c r="A3944" i="6"/>
  <c r="C3944" i="6" s="1"/>
  <c r="D3944" i="6"/>
  <c r="F3944" i="6"/>
  <c r="A3945" i="6"/>
  <c r="D3945" i="6" s="1"/>
  <c r="C3945" i="6"/>
  <c r="E3945" i="6"/>
  <c r="F3945" i="6"/>
  <c r="A3946" i="6"/>
  <c r="F3946" i="6" s="1"/>
  <c r="A3947" i="6"/>
  <c r="C3947" i="6"/>
  <c r="D3947" i="6"/>
  <c r="E3947" i="6"/>
  <c r="F3947" i="6"/>
  <c r="A3948" i="6"/>
  <c r="C3948" i="6" s="1"/>
  <c r="D3948" i="6"/>
  <c r="F3948" i="6"/>
  <c r="A3949" i="6"/>
  <c r="D3949" i="6" s="1"/>
  <c r="C3949" i="6"/>
  <c r="E3949" i="6"/>
  <c r="F3949" i="6"/>
  <c r="A3950" i="6"/>
  <c r="F3950" i="6"/>
  <c r="A3951" i="6"/>
  <c r="C3951" i="6"/>
  <c r="D3951" i="6"/>
  <c r="E3951" i="6"/>
  <c r="F3951" i="6"/>
  <c r="A3952" i="6"/>
  <c r="C3952" i="6" s="1"/>
  <c r="D3952" i="6"/>
  <c r="F3952" i="6"/>
  <c r="A3953" i="6"/>
  <c r="D3953" i="6" s="1"/>
  <c r="C3953" i="6"/>
  <c r="E3953" i="6"/>
  <c r="F3953" i="6"/>
  <c r="A3954" i="6"/>
  <c r="F3954" i="6" s="1"/>
  <c r="A3955" i="6"/>
  <c r="C3955" i="6"/>
  <c r="D3955" i="6"/>
  <c r="E3955" i="6"/>
  <c r="F3955" i="6"/>
  <c r="A3956" i="6"/>
  <c r="C3956" i="6" s="1"/>
  <c r="D3956" i="6"/>
  <c r="F3956" i="6"/>
  <c r="A3957" i="6"/>
  <c r="D3957" i="6" s="1"/>
  <c r="C3957" i="6"/>
  <c r="E3957" i="6"/>
  <c r="F3957" i="6"/>
  <c r="A3958" i="6"/>
  <c r="F3958" i="6"/>
  <c r="A3959" i="6"/>
  <c r="C3959" i="6"/>
  <c r="D3959" i="6"/>
  <c r="E3959" i="6"/>
  <c r="F3959" i="6"/>
  <c r="A3960" i="6"/>
  <c r="C3960" i="6" s="1"/>
  <c r="D3960" i="6"/>
  <c r="F3960" i="6"/>
  <c r="A3961" i="6"/>
  <c r="D3961" i="6" s="1"/>
  <c r="C3961" i="6"/>
  <c r="E3961" i="6"/>
  <c r="F3961" i="6"/>
  <c r="A3962" i="6"/>
  <c r="F3962" i="6" s="1"/>
  <c r="A3963" i="6"/>
  <c r="C3963" i="6"/>
  <c r="D3963" i="6"/>
  <c r="E3963" i="6"/>
  <c r="F3963" i="6"/>
  <c r="A3964" i="6"/>
  <c r="C3964" i="6" s="1"/>
  <c r="D3964" i="6"/>
  <c r="F3964" i="6"/>
  <c r="A3965" i="6"/>
  <c r="D3965" i="6" s="1"/>
  <c r="C3965" i="6"/>
  <c r="E3965" i="6"/>
  <c r="F3965" i="6"/>
  <c r="A3966" i="6"/>
  <c r="F3966" i="6"/>
  <c r="A3967" i="6"/>
  <c r="C3967" i="6"/>
  <c r="D3967" i="6"/>
  <c r="E3967" i="6"/>
  <c r="F3967" i="6"/>
  <c r="A3968" i="6"/>
  <c r="C3968" i="6" s="1"/>
  <c r="D3968" i="6"/>
  <c r="F3968" i="6"/>
  <c r="A3969" i="6"/>
  <c r="D3969" i="6" s="1"/>
  <c r="C3969" i="6"/>
  <c r="E3969" i="6"/>
  <c r="F3969" i="6"/>
  <c r="A3970" i="6"/>
  <c r="F3970" i="6" s="1"/>
  <c r="A3971" i="6"/>
  <c r="C3971" i="6"/>
  <c r="D3971" i="6"/>
  <c r="E3971" i="6"/>
  <c r="F3971" i="6"/>
  <c r="A3972" i="6"/>
  <c r="C3972" i="6" s="1"/>
  <c r="D3972" i="6"/>
  <c r="F3972" i="6"/>
  <c r="A3973" i="6"/>
  <c r="D3973" i="6" s="1"/>
  <c r="C3973" i="6"/>
  <c r="E3973" i="6"/>
  <c r="F3973" i="6"/>
  <c r="A3974" i="6"/>
  <c r="F3974" i="6"/>
  <c r="A3975" i="6"/>
  <c r="C3975" i="6"/>
  <c r="D3975" i="6"/>
  <c r="E3975" i="6"/>
  <c r="F3975" i="6"/>
  <c r="A3976" i="6"/>
  <c r="C3976" i="6" s="1"/>
  <c r="D3976" i="6"/>
  <c r="F3976" i="6"/>
  <c r="A3977" i="6"/>
  <c r="D3977" i="6" s="1"/>
  <c r="C3977" i="6"/>
  <c r="E3977" i="6"/>
  <c r="F3977" i="6"/>
  <c r="G3978" i="6"/>
  <c r="G3983" i="6"/>
  <c r="A3988" i="6"/>
  <c r="F3988" i="6"/>
  <c r="A3989" i="6"/>
  <c r="C3989" i="6"/>
  <c r="D3989" i="6"/>
  <c r="E3989" i="6"/>
  <c r="F3989" i="6"/>
  <c r="A3990" i="6"/>
  <c r="C3990" i="6" s="1"/>
  <c r="D3990" i="6"/>
  <c r="F3990" i="6"/>
  <c r="A3991" i="6"/>
  <c r="D3991" i="6" s="1"/>
  <c r="C3991" i="6"/>
  <c r="E3991" i="6"/>
  <c r="F3991" i="6"/>
  <c r="A3992" i="6"/>
  <c r="F3992" i="6" s="1"/>
  <c r="A3993" i="6"/>
  <c r="C3993" i="6"/>
  <c r="D3993" i="6"/>
  <c r="E3993" i="6"/>
  <c r="F3993" i="6"/>
  <c r="A3994" i="6"/>
  <c r="C3994" i="6" s="1"/>
  <c r="D3994" i="6"/>
  <c r="F3994" i="6"/>
  <c r="A3995" i="6"/>
  <c r="D3995" i="6" s="1"/>
  <c r="C3995" i="6"/>
  <c r="E3995" i="6"/>
  <c r="F3995" i="6"/>
  <c r="A3996" i="6"/>
  <c r="F3996" i="6"/>
  <c r="A3997" i="6"/>
  <c r="C3997" i="6"/>
  <c r="D3997" i="6"/>
  <c r="E3997" i="6"/>
  <c r="F3997" i="6"/>
  <c r="A3998" i="6"/>
  <c r="C3998" i="6" s="1"/>
  <c r="D3998" i="6"/>
  <c r="F3998" i="6"/>
  <c r="A3999" i="6"/>
  <c r="D3999" i="6" s="1"/>
  <c r="C3999" i="6"/>
  <c r="E3999" i="6"/>
  <c r="F3999" i="6"/>
  <c r="A4000" i="6"/>
  <c r="F4000" i="6" s="1"/>
  <c r="A4001" i="6"/>
  <c r="C4001" i="6"/>
  <c r="D4001" i="6"/>
  <c r="E4001" i="6"/>
  <c r="F4001" i="6"/>
  <c r="A4002" i="6"/>
  <c r="C4002" i="6" s="1"/>
  <c r="D4002" i="6"/>
  <c r="F4002" i="6"/>
  <c r="G4003" i="6"/>
  <c r="G4008" i="6"/>
  <c r="A4013" i="6"/>
  <c r="D4013" i="6" s="1"/>
  <c r="C4013" i="6"/>
  <c r="E4013" i="6"/>
  <c r="F4013" i="6"/>
  <c r="A4014" i="6"/>
  <c r="F4014" i="6" s="1"/>
  <c r="A4015" i="6"/>
  <c r="C4015" i="6"/>
  <c r="D4015" i="6"/>
  <c r="E4015" i="6"/>
  <c r="F4015" i="6"/>
  <c r="A4016" i="6"/>
  <c r="C4016" i="6" s="1"/>
  <c r="D4016" i="6"/>
  <c r="F4016" i="6"/>
  <c r="A4017" i="6"/>
  <c r="D4017" i="6" s="1"/>
  <c r="C4017" i="6"/>
  <c r="E4017" i="6"/>
  <c r="F4017" i="6"/>
  <c r="A4018" i="6"/>
  <c r="F4018" i="6"/>
  <c r="A4019" i="6"/>
  <c r="C4019" i="6"/>
  <c r="D4019" i="6"/>
  <c r="E4019" i="6"/>
  <c r="F4019" i="6"/>
  <c r="A4020" i="6"/>
  <c r="C4020" i="6" s="1"/>
  <c r="D4020" i="6"/>
  <c r="F4020" i="6"/>
  <c r="A4021" i="6"/>
  <c r="D4021" i="6" s="1"/>
  <c r="C4021" i="6"/>
  <c r="E4021" i="6"/>
  <c r="F4021" i="6"/>
  <c r="A4022" i="6"/>
  <c r="F4022" i="6" s="1"/>
  <c r="A4023" i="6"/>
  <c r="C4023" i="6"/>
  <c r="D4023" i="6"/>
  <c r="E4023" i="6"/>
  <c r="F4023" i="6"/>
  <c r="A4024" i="6"/>
  <c r="C4024" i="6" s="1"/>
  <c r="D4024" i="6"/>
  <c r="F4024" i="6"/>
  <c r="A4025" i="6"/>
  <c r="D4025" i="6" s="1"/>
  <c r="C4025" i="6"/>
  <c r="E4025" i="6"/>
  <c r="F4025" i="6"/>
  <c r="A4026" i="6"/>
  <c r="D4026" i="6"/>
  <c r="A4027" i="6"/>
  <c r="C4027" i="6"/>
  <c r="D4027" i="6"/>
  <c r="E4027" i="6"/>
  <c r="F4027" i="6"/>
  <c r="A4028" i="6"/>
  <c r="D4028" i="6"/>
  <c r="A4029" i="6"/>
  <c r="D4029" i="6" s="1"/>
  <c r="C4029" i="6"/>
  <c r="E4029" i="6"/>
  <c r="F4029" i="6"/>
  <c r="A4030" i="6"/>
  <c r="D4030" i="6"/>
  <c r="F4030" i="6"/>
  <c r="A4031" i="6"/>
  <c r="C4031" i="6"/>
  <c r="D4031" i="6"/>
  <c r="E4031" i="6"/>
  <c r="F4031" i="6"/>
  <c r="A4032" i="6"/>
  <c r="D4032" i="6"/>
  <c r="F4032" i="6"/>
  <c r="A4033" i="6"/>
  <c r="D4033" i="6" s="1"/>
  <c r="C4033" i="6"/>
  <c r="E4033" i="6"/>
  <c r="F4033" i="6"/>
  <c r="A4034" i="6"/>
  <c r="D4034" i="6" s="1"/>
  <c r="F4034" i="6"/>
  <c r="A4035" i="6"/>
  <c r="C4035" i="6"/>
  <c r="D4035" i="6"/>
  <c r="E4035" i="6"/>
  <c r="F4035" i="6"/>
  <c r="A4036" i="6"/>
  <c r="D4036" i="6" s="1"/>
  <c r="F4036" i="6"/>
  <c r="A4037" i="6"/>
  <c r="D4037" i="6" s="1"/>
  <c r="C4037" i="6"/>
  <c r="E4037" i="6"/>
  <c r="F4037" i="6"/>
  <c r="A4038" i="6"/>
  <c r="D4038" i="6" s="1"/>
  <c r="A4039" i="6"/>
  <c r="C4039" i="6"/>
  <c r="D4039" i="6"/>
  <c r="E4039" i="6"/>
  <c r="F4039" i="6"/>
  <c r="A4040" i="6"/>
  <c r="D4040" i="6" s="1"/>
  <c r="A4041" i="6"/>
  <c r="D4041" i="6" s="1"/>
  <c r="C4041" i="6"/>
  <c r="E4041" i="6"/>
  <c r="F4041" i="6"/>
  <c r="A4042" i="6"/>
  <c r="D4042" i="6"/>
  <c r="A4043" i="6"/>
  <c r="C4043" i="6"/>
  <c r="D4043" i="6"/>
  <c r="E4043" i="6"/>
  <c r="F4043" i="6"/>
  <c r="A4044" i="6"/>
  <c r="D4044" i="6"/>
  <c r="A4045" i="6"/>
  <c r="D4045" i="6" s="1"/>
  <c r="C4045" i="6"/>
  <c r="E4045" i="6"/>
  <c r="F4045" i="6"/>
  <c r="A4046" i="6"/>
  <c r="D4046" i="6"/>
  <c r="F4046" i="6"/>
  <c r="A4047" i="6"/>
  <c r="C4047" i="6"/>
  <c r="D4047" i="6"/>
  <c r="E4047" i="6"/>
  <c r="F4047" i="6"/>
  <c r="A4048" i="6"/>
  <c r="D4048" i="6"/>
  <c r="F4048" i="6"/>
  <c r="A4049" i="6"/>
  <c r="D4049" i="6" s="1"/>
  <c r="C4049" i="6"/>
  <c r="E4049" i="6"/>
  <c r="F4049" i="6"/>
  <c r="A4050" i="6"/>
  <c r="D4050" i="6" s="1"/>
  <c r="F4050" i="6"/>
  <c r="A4051" i="6"/>
  <c r="C4051" i="6"/>
  <c r="D4051" i="6"/>
  <c r="E4051" i="6"/>
  <c r="F4051" i="6"/>
  <c r="A4052" i="6"/>
  <c r="D4052" i="6" s="1"/>
  <c r="F4052" i="6"/>
  <c r="A4053" i="6"/>
  <c r="D4053" i="6" s="1"/>
  <c r="C4053" i="6"/>
  <c r="E4053" i="6"/>
  <c r="F4053" i="6"/>
  <c r="A4054" i="6"/>
  <c r="D4054" i="6" s="1"/>
  <c r="A4055" i="6"/>
  <c r="C4055" i="6"/>
  <c r="D4055" i="6"/>
  <c r="E4055" i="6"/>
  <c r="F4055" i="6"/>
  <c r="A4056" i="6"/>
  <c r="D4056" i="6" s="1"/>
  <c r="A4057" i="6"/>
  <c r="D4057" i="6" s="1"/>
  <c r="C4057" i="6"/>
  <c r="E4057" i="6"/>
  <c r="F4057" i="6"/>
  <c r="A4058" i="6"/>
  <c r="D4058" i="6"/>
  <c r="A4059" i="6"/>
  <c r="C4059" i="6"/>
  <c r="D4059" i="6"/>
  <c r="E4059" i="6"/>
  <c r="F4059" i="6"/>
  <c r="A4060" i="6"/>
  <c r="D4060" i="6"/>
  <c r="A4061" i="6"/>
  <c r="D4061" i="6" s="1"/>
  <c r="C4061" i="6"/>
  <c r="E4061" i="6"/>
  <c r="F4061" i="6"/>
  <c r="A4062" i="6"/>
  <c r="D4062" i="6"/>
  <c r="F4062" i="6"/>
  <c r="A4063" i="6"/>
  <c r="C4063" i="6"/>
  <c r="D4063" i="6"/>
  <c r="E4063" i="6"/>
  <c r="F4063" i="6"/>
  <c r="A4064" i="6"/>
  <c r="D4064" i="6"/>
  <c r="F4064" i="6"/>
  <c r="A4065" i="6"/>
  <c r="D4065" i="6" s="1"/>
  <c r="C4065" i="6"/>
  <c r="E4065" i="6"/>
  <c r="F4065" i="6"/>
  <c r="A4066" i="6"/>
  <c r="D4066" i="6" s="1"/>
  <c r="F4066" i="6"/>
  <c r="A4067" i="6"/>
  <c r="C4067" i="6"/>
  <c r="D4067" i="6"/>
  <c r="E4067" i="6"/>
  <c r="F4067" i="6"/>
  <c r="A4068" i="6"/>
  <c r="D4068" i="6" s="1"/>
  <c r="F4068" i="6"/>
  <c r="A4069" i="6"/>
  <c r="D4069" i="6" s="1"/>
  <c r="C4069" i="6"/>
  <c r="E4069" i="6"/>
  <c r="F4069" i="6"/>
  <c r="A4070" i="6"/>
  <c r="D4070" i="6" s="1"/>
  <c r="A4071" i="6"/>
  <c r="C4071" i="6"/>
  <c r="D4071" i="6"/>
  <c r="E4071" i="6"/>
  <c r="F4071" i="6"/>
  <c r="A4072" i="6"/>
  <c r="D4072" i="6" s="1"/>
  <c r="A4073" i="6"/>
  <c r="D4073" i="6" s="1"/>
  <c r="C4073" i="6"/>
  <c r="E4073" i="6"/>
  <c r="F4073" i="6"/>
  <c r="A4074" i="6"/>
  <c r="D4074" i="6"/>
  <c r="A4075" i="6"/>
  <c r="C4075" i="6"/>
  <c r="D4075" i="6"/>
  <c r="E4075" i="6"/>
  <c r="F4075" i="6"/>
  <c r="A4076" i="6"/>
  <c r="D4076" i="6"/>
  <c r="A4077" i="6"/>
  <c r="D4077" i="6" s="1"/>
  <c r="C4077" i="6"/>
  <c r="E4077" i="6"/>
  <c r="F4077" i="6"/>
  <c r="A4078" i="6"/>
  <c r="D4078" i="6"/>
  <c r="F4078" i="6"/>
  <c r="A4079" i="6"/>
  <c r="C4079" i="6"/>
  <c r="D4079" i="6"/>
  <c r="E4079" i="6"/>
  <c r="F4079" i="6"/>
  <c r="A4080" i="6"/>
  <c r="D4080" i="6"/>
  <c r="F4080" i="6"/>
  <c r="A4081" i="6"/>
  <c r="D4081" i="6" s="1"/>
  <c r="C4081" i="6"/>
  <c r="E4081" i="6"/>
  <c r="F4081" i="6"/>
  <c r="A4082" i="6"/>
  <c r="D4082" i="6" s="1"/>
  <c r="F4082" i="6"/>
  <c r="A4083" i="6"/>
  <c r="C4083" i="6"/>
  <c r="D4083" i="6"/>
  <c r="E4083" i="6"/>
  <c r="F4083" i="6"/>
  <c r="A4084" i="6"/>
  <c r="D4084" i="6" s="1"/>
  <c r="F4084" i="6"/>
  <c r="A4085" i="6"/>
  <c r="D4085" i="6" s="1"/>
  <c r="C4085" i="6"/>
  <c r="E4085" i="6"/>
  <c r="F4085" i="6"/>
  <c r="A4086" i="6"/>
  <c r="D4086" i="6" s="1"/>
  <c r="A4087" i="6"/>
  <c r="C4087" i="6"/>
  <c r="D4087" i="6"/>
  <c r="E4087" i="6"/>
  <c r="F4087" i="6"/>
  <c r="A4088" i="6"/>
  <c r="D4088" i="6" s="1"/>
  <c r="A4089" i="6"/>
  <c r="D4089" i="6" s="1"/>
  <c r="C4089" i="6"/>
  <c r="E4089" i="6"/>
  <c r="F4089" i="6"/>
  <c r="A4090" i="6"/>
  <c r="D4090" i="6"/>
  <c r="A4091" i="6"/>
  <c r="C4091" i="6"/>
  <c r="D4091" i="6"/>
  <c r="E4091" i="6"/>
  <c r="F4091" i="6"/>
  <c r="A4092" i="6"/>
  <c r="D4092" i="6"/>
  <c r="A4093" i="6"/>
  <c r="D4093" i="6" s="1"/>
  <c r="C4093" i="6"/>
  <c r="E4093" i="6"/>
  <c r="F4093" i="6"/>
  <c r="A4094" i="6"/>
  <c r="D4094" i="6"/>
  <c r="F4094" i="6"/>
  <c r="G4095" i="6"/>
  <c r="G4100" i="6"/>
  <c r="A4105" i="6"/>
  <c r="C4105" i="6"/>
  <c r="D4105" i="6"/>
  <c r="E4105" i="6"/>
  <c r="F4105" i="6"/>
  <c r="A4106" i="6"/>
  <c r="D4106" i="6" s="1"/>
  <c r="F4106" i="6"/>
  <c r="A4107" i="6"/>
  <c r="D4107" i="6" s="1"/>
  <c r="C4107" i="6"/>
  <c r="E4107" i="6"/>
  <c r="F4107" i="6"/>
  <c r="A4108" i="6"/>
  <c r="D4108" i="6" s="1"/>
  <c r="A4109" i="6"/>
  <c r="C4109" i="6"/>
  <c r="D4109" i="6"/>
  <c r="E4109" i="6"/>
  <c r="F4109" i="6"/>
  <c r="A4110" i="6"/>
  <c r="D4110" i="6" s="1"/>
  <c r="A4111" i="6"/>
  <c r="D4111" i="6" s="1"/>
  <c r="C4111" i="6"/>
  <c r="E4111" i="6"/>
  <c r="F4111" i="6"/>
  <c r="A4112" i="6"/>
  <c r="D4112" i="6"/>
  <c r="A4113" i="6"/>
  <c r="C4113" i="6"/>
  <c r="D4113" i="6"/>
  <c r="E4113" i="6"/>
  <c r="F4113" i="6"/>
  <c r="A4114" i="6"/>
  <c r="D4114" i="6"/>
  <c r="A4115" i="6"/>
  <c r="D4115" i="6" s="1"/>
  <c r="C4115" i="6"/>
  <c r="E4115" i="6"/>
  <c r="F4115" i="6"/>
  <c r="A4116" i="6"/>
  <c r="D4116" i="6"/>
  <c r="F4116" i="6"/>
  <c r="A4117" i="6"/>
  <c r="C4117" i="6"/>
  <c r="D4117" i="6"/>
  <c r="E4117" i="6"/>
  <c r="F4117" i="6"/>
  <c r="A4118" i="6"/>
  <c r="D4118" i="6"/>
  <c r="F4118" i="6"/>
  <c r="A4119" i="6"/>
  <c r="D4119" i="6" s="1"/>
  <c r="C4119" i="6"/>
  <c r="E4119" i="6"/>
  <c r="F4119" i="6"/>
  <c r="G4120" i="6"/>
  <c r="G4125" i="6"/>
  <c r="A4130" i="6"/>
  <c r="D4130" i="6" s="1"/>
  <c r="A4131" i="6"/>
  <c r="C4131" i="6"/>
  <c r="D4131" i="6"/>
  <c r="E4131" i="6"/>
  <c r="F4131" i="6"/>
  <c r="A4132" i="6"/>
  <c r="D4132" i="6" s="1"/>
  <c r="A4133" i="6"/>
  <c r="D4133" i="6" s="1"/>
  <c r="C4133" i="6"/>
  <c r="E4133" i="6"/>
  <c r="F4133" i="6"/>
  <c r="A4134" i="6"/>
  <c r="D4134" i="6"/>
  <c r="A4135" i="6"/>
  <c r="C4135" i="6"/>
  <c r="D4135" i="6"/>
  <c r="E4135" i="6"/>
  <c r="F4135" i="6"/>
  <c r="A4136" i="6"/>
  <c r="D4136" i="6"/>
  <c r="A4137" i="6"/>
  <c r="D4137" i="6" s="1"/>
  <c r="C4137" i="6"/>
  <c r="E4137" i="6"/>
  <c r="F4137" i="6"/>
  <c r="A4138" i="6"/>
  <c r="D4138" i="6"/>
  <c r="F4138" i="6"/>
  <c r="A4139" i="6"/>
  <c r="C4139" i="6"/>
  <c r="D4139" i="6"/>
  <c r="E4139" i="6"/>
  <c r="F4139" i="6"/>
  <c r="A4140" i="6"/>
  <c r="D4140" i="6"/>
  <c r="F4140" i="6"/>
  <c r="A4141" i="6"/>
  <c r="D4141" i="6" s="1"/>
  <c r="C4141" i="6"/>
  <c r="E4141" i="6"/>
  <c r="F4141" i="6"/>
  <c r="A4142" i="6"/>
  <c r="D4142" i="6" s="1"/>
  <c r="F4142" i="6"/>
  <c r="A4143" i="6"/>
  <c r="C4143" i="6"/>
  <c r="D4143" i="6"/>
  <c r="E4143" i="6"/>
  <c r="F4143" i="6"/>
  <c r="A4144" i="6"/>
  <c r="D4144" i="6" s="1"/>
  <c r="F4144" i="6"/>
  <c r="G4145" i="6"/>
  <c r="G4150" i="6"/>
  <c r="A4155" i="6"/>
  <c r="D4155" i="6" s="1"/>
  <c r="C4155" i="6"/>
  <c r="E4155" i="6"/>
  <c r="F4155" i="6"/>
  <c r="A4156" i="6"/>
  <c r="D4156" i="6"/>
  <c r="A4157" i="6"/>
  <c r="C4157" i="6"/>
  <c r="D4157" i="6"/>
  <c r="E4157" i="6"/>
  <c r="F4157" i="6"/>
  <c r="A4158" i="6"/>
  <c r="D4158" i="6"/>
  <c r="A4159" i="6"/>
  <c r="D4159" i="6" s="1"/>
  <c r="C4159" i="6"/>
  <c r="E4159" i="6"/>
  <c r="F4159" i="6"/>
  <c r="A4160" i="6"/>
  <c r="D4160" i="6"/>
  <c r="F4160" i="6"/>
  <c r="A4161" i="6"/>
  <c r="C4161" i="6"/>
  <c r="D4161" i="6"/>
  <c r="E4161" i="6"/>
  <c r="F4161" i="6"/>
  <c r="A4162" i="6"/>
  <c r="D4162" i="6"/>
  <c r="F4162" i="6"/>
  <c r="A4163" i="6"/>
  <c r="D4163" i="6" s="1"/>
  <c r="C4163" i="6"/>
  <c r="E4163" i="6"/>
  <c r="F4163" i="6"/>
  <c r="A4164" i="6"/>
  <c r="D4164" i="6" s="1"/>
  <c r="F4164" i="6"/>
  <c r="A4165" i="6"/>
  <c r="C4165" i="6"/>
  <c r="D4165" i="6"/>
  <c r="E4165" i="6"/>
  <c r="F4165" i="6"/>
  <c r="A4166" i="6"/>
  <c r="D4166" i="6" s="1"/>
  <c r="F4166" i="6"/>
  <c r="A4167" i="6"/>
  <c r="D4167" i="6" s="1"/>
  <c r="C4167" i="6"/>
  <c r="E4167" i="6"/>
  <c r="F4167" i="6"/>
  <c r="A4168" i="6"/>
  <c r="D4168" i="6" s="1"/>
  <c r="A4169" i="6"/>
  <c r="C4169" i="6"/>
  <c r="D4169" i="6"/>
  <c r="E4169" i="6"/>
  <c r="F4169" i="6"/>
  <c r="A4170" i="6"/>
  <c r="D4170" i="6" s="1"/>
  <c r="A4171" i="6"/>
  <c r="D4171" i="6" s="1"/>
  <c r="C4171" i="6"/>
  <c r="E4171" i="6"/>
  <c r="F4171" i="6"/>
  <c r="A4172" i="6"/>
  <c r="D4172" i="6"/>
  <c r="A4173" i="6"/>
  <c r="C4173" i="6"/>
  <c r="D4173" i="6"/>
  <c r="E4173" i="6"/>
  <c r="F4173" i="6"/>
  <c r="A4174" i="6"/>
  <c r="D4174" i="6"/>
  <c r="A4175" i="6"/>
  <c r="D4175" i="6" s="1"/>
  <c r="C4175" i="6"/>
  <c r="E4175" i="6"/>
  <c r="F4175" i="6"/>
  <c r="A4176" i="6"/>
  <c r="D4176" i="6"/>
  <c r="F4176" i="6"/>
  <c r="A4177" i="6"/>
  <c r="C4177" i="6"/>
  <c r="D4177" i="6"/>
  <c r="E4177" i="6"/>
  <c r="F4177" i="6"/>
  <c r="A4178" i="6"/>
  <c r="D4178" i="6"/>
  <c r="F4178" i="6"/>
  <c r="A4179" i="6"/>
  <c r="D4179" i="6" s="1"/>
  <c r="C4179" i="6"/>
  <c r="E4179" i="6"/>
  <c r="F4179" i="6"/>
  <c r="A4180" i="6"/>
  <c r="D4180" i="6" s="1"/>
  <c r="F4180" i="6"/>
  <c r="A4181" i="6"/>
  <c r="C4181" i="6"/>
  <c r="D4181" i="6"/>
  <c r="E4181" i="6"/>
  <c r="F4181" i="6"/>
  <c r="A4182" i="6"/>
  <c r="D4182" i="6" s="1"/>
  <c r="F4182" i="6"/>
  <c r="A4183" i="6"/>
  <c r="D4183" i="6" s="1"/>
  <c r="C4183" i="6"/>
  <c r="E4183" i="6"/>
  <c r="F4183" i="6"/>
  <c r="A4184" i="6"/>
  <c r="D4184" i="6" s="1"/>
  <c r="A4185" i="6"/>
  <c r="C4185" i="6"/>
  <c r="D4185" i="6"/>
  <c r="E4185" i="6"/>
  <c r="F4185" i="6"/>
  <c r="A4186" i="6"/>
  <c r="D4186" i="6" s="1"/>
  <c r="A4187" i="6"/>
  <c r="D4187" i="6" s="1"/>
  <c r="C4187" i="6"/>
  <c r="E4187" i="6"/>
  <c r="F4187" i="6"/>
  <c r="A4188" i="6"/>
  <c r="D4188" i="6"/>
  <c r="A4189" i="6"/>
  <c r="C4189" i="6"/>
  <c r="D4189" i="6"/>
  <c r="E4189" i="6"/>
  <c r="F4189" i="6"/>
  <c r="A4190" i="6"/>
  <c r="D4190" i="6"/>
  <c r="A4191" i="6"/>
  <c r="D4191" i="6" s="1"/>
  <c r="C4191" i="6"/>
  <c r="E4191" i="6"/>
  <c r="F4191" i="6"/>
  <c r="A4192" i="6"/>
  <c r="D4192" i="6"/>
  <c r="F4192" i="6"/>
  <c r="A4193" i="6"/>
  <c r="C4193" i="6"/>
  <c r="D4193" i="6"/>
  <c r="E4193" i="6"/>
  <c r="F4193" i="6"/>
  <c r="A4194" i="6"/>
  <c r="D4194" i="6"/>
  <c r="F4194" i="6"/>
  <c r="A4195" i="6"/>
  <c r="D4195" i="6" s="1"/>
  <c r="C4195" i="6"/>
  <c r="E4195" i="6"/>
  <c r="F4195" i="6"/>
  <c r="A4196" i="6"/>
  <c r="D4196" i="6" s="1"/>
  <c r="F4196" i="6"/>
  <c r="A4197" i="6"/>
  <c r="C4197" i="6"/>
  <c r="D4197" i="6"/>
  <c r="E4197" i="6"/>
  <c r="F4197" i="6"/>
  <c r="A4198" i="6"/>
  <c r="D4198" i="6" s="1"/>
  <c r="F4198" i="6"/>
  <c r="A4199" i="6"/>
  <c r="D4199" i="6" s="1"/>
  <c r="C4199" i="6"/>
  <c r="E4199" i="6"/>
  <c r="F4199" i="6"/>
  <c r="A4200" i="6"/>
  <c r="D4200" i="6" s="1"/>
  <c r="A4201" i="6"/>
  <c r="C4201" i="6"/>
  <c r="D4201" i="6"/>
  <c r="E4201" i="6"/>
  <c r="F4201" i="6"/>
  <c r="A4202" i="6"/>
  <c r="D4202" i="6" s="1"/>
  <c r="A4203" i="6"/>
  <c r="D4203" i="6" s="1"/>
  <c r="C4203" i="6"/>
  <c r="E4203" i="6"/>
  <c r="F4203" i="6"/>
  <c r="A4204" i="6"/>
  <c r="D4204" i="6"/>
  <c r="A4205" i="6"/>
  <c r="C4205" i="6"/>
  <c r="D4205" i="6"/>
  <c r="E4205" i="6"/>
  <c r="F4205" i="6"/>
  <c r="G4206" i="6"/>
  <c r="G4211" i="6"/>
  <c r="A4216" i="6"/>
  <c r="D4216" i="6"/>
  <c r="F4216" i="6"/>
  <c r="A4217" i="6"/>
  <c r="D4217" i="6" s="1"/>
  <c r="C4217" i="6"/>
  <c r="E4217" i="6"/>
  <c r="F4217" i="6"/>
  <c r="A4218" i="6"/>
  <c r="D4218" i="6" s="1"/>
  <c r="F4218" i="6"/>
  <c r="A4219" i="6"/>
  <c r="C4219" i="6"/>
  <c r="D4219" i="6"/>
  <c r="E4219" i="6"/>
  <c r="F4219" i="6"/>
  <c r="A4220" i="6"/>
  <c r="D4220" i="6" s="1"/>
  <c r="F4220" i="6"/>
  <c r="A4221" i="6"/>
  <c r="D4221" i="6" s="1"/>
  <c r="C4221" i="6"/>
  <c r="E4221" i="6"/>
  <c r="F4221" i="6"/>
  <c r="A4222" i="6"/>
  <c r="D4222" i="6" s="1"/>
  <c r="A4223" i="6"/>
  <c r="C4223" i="6"/>
  <c r="D4223" i="6"/>
  <c r="E4223" i="6"/>
  <c r="F4223" i="6"/>
  <c r="A4224" i="6"/>
  <c r="D4224" i="6" s="1"/>
  <c r="A4225" i="6"/>
  <c r="D4225" i="6" s="1"/>
  <c r="C4225" i="6"/>
  <c r="E4225" i="6"/>
  <c r="F4225" i="6"/>
  <c r="A4226" i="6"/>
  <c r="D4226" i="6"/>
  <c r="A4227" i="6"/>
  <c r="C4227" i="6"/>
  <c r="D4227" i="6"/>
  <c r="E4227" i="6"/>
  <c r="F4227" i="6"/>
  <c r="A4228" i="6"/>
  <c r="D4228" i="6"/>
  <c r="A4229" i="6"/>
  <c r="D4229" i="6" s="1"/>
  <c r="C4229" i="6"/>
  <c r="E4229" i="6"/>
  <c r="F4229" i="6"/>
  <c r="A4230" i="6"/>
  <c r="D4230" i="6"/>
  <c r="F4230" i="6"/>
  <c r="G4231" i="6"/>
  <c r="G4236" i="6"/>
  <c r="A4241" i="6"/>
  <c r="C4241" i="6"/>
  <c r="D4241" i="6"/>
  <c r="E4241" i="6"/>
  <c r="F4241" i="6"/>
  <c r="A4242" i="6"/>
  <c r="D4242" i="6" s="1"/>
  <c r="F4242" i="6"/>
  <c r="A4243" i="6"/>
  <c r="D4243" i="6" s="1"/>
  <c r="C4243" i="6"/>
  <c r="E4243" i="6"/>
  <c r="F4243" i="6"/>
  <c r="A4244" i="6"/>
  <c r="D4244" i="6" s="1"/>
  <c r="A4245" i="6"/>
  <c r="C4245" i="6"/>
  <c r="D4245" i="6"/>
  <c r="E4245" i="6"/>
  <c r="F4245" i="6"/>
  <c r="A4246" i="6"/>
  <c r="D4246" i="6" s="1"/>
  <c r="A4247" i="6"/>
  <c r="D4247" i="6" s="1"/>
  <c r="C4247" i="6"/>
  <c r="E4247" i="6"/>
  <c r="F4247" i="6"/>
  <c r="A4248" i="6"/>
  <c r="D4248" i="6"/>
  <c r="A4249" i="6"/>
  <c r="C4249" i="6"/>
  <c r="D4249" i="6"/>
  <c r="E4249" i="6"/>
  <c r="F4249" i="6"/>
  <c r="A4250" i="6"/>
  <c r="D4250" i="6"/>
  <c r="A4251" i="6"/>
  <c r="D4251" i="6" s="1"/>
  <c r="C4251" i="6"/>
  <c r="E4251" i="6"/>
  <c r="F4251" i="6"/>
  <c r="A4252" i="6"/>
  <c r="D4252" i="6"/>
  <c r="F4252" i="6"/>
  <c r="A4253" i="6"/>
  <c r="C4253" i="6"/>
  <c r="D4253" i="6"/>
  <c r="E4253" i="6"/>
  <c r="F4253" i="6"/>
  <c r="A4254" i="6"/>
  <c r="D4254" i="6"/>
  <c r="F4254" i="6"/>
  <c r="A4255" i="6"/>
  <c r="D4255" i="6" s="1"/>
  <c r="C4255" i="6"/>
  <c r="E4255" i="6"/>
  <c r="F4255" i="6"/>
  <c r="A4256" i="6"/>
  <c r="D4256" i="6" s="1"/>
  <c r="F4256" i="6"/>
  <c r="A4257" i="6"/>
  <c r="C4257" i="6"/>
  <c r="D4257" i="6"/>
  <c r="E4257" i="6"/>
  <c r="F4257" i="6"/>
  <c r="A4258" i="6"/>
  <c r="D4258" i="6" s="1"/>
  <c r="F4258" i="6"/>
  <c r="A4259" i="6"/>
  <c r="D4259" i="6" s="1"/>
  <c r="C4259" i="6"/>
  <c r="E4259" i="6"/>
  <c r="F4259" i="6"/>
  <c r="A4260" i="6"/>
  <c r="D4260" i="6" s="1"/>
  <c r="A4261" i="6"/>
  <c r="C4261" i="6"/>
  <c r="D4261" i="6"/>
  <c r="E4261" i="6"/>
  <c r="F4261" i="6"/>
  <c r="A4262" i="6"/>
  <c r="D4262" i="6" s="1"/>
  <c r="A4263" i="6"/>
  <c r="D4263" i="6" s="1"/>
  <c r="C4263" i="6"/>
  <c r="E4263" i="6"/>
  <c r="F4263" i="6"/>
  <c r="A4264" i="6"/>
  <c r="D4264" i="6"/>
  <c r="A4265" i="6"/>
  <c r="C4265" i="6"/>
  <c r="D4265" i="6"/>
  <c r="E4265" i="6"/>
  <c r="F4265" i="6"/>
  <c r="A4266" i="6"/>
  <c r="D4266" i="6"/>
  <c r="A4267" i="6"/>
  <c r="D4267" i="6" s="1"/>
  <c r="C4267" i="6"/>
  <c r="E4267" i="6"/>
  <c r="F4267" i="6"/>
  <c r="A4268" i="6"/>
  <c r="D4268" i="6"/>
  <c r="F4268" i="6"/>
  <c r="A4269" i="6"/>
  <c r="C4269" i="6"/>
  <c r="D4269" i="6"/>
  <c r="E4269" i="6"/>
  <c r="F4269" i="6"/>
  <c r="A4270" i="6"/>
  <c r="D4270" i="6"/>
  <c r="F4270" i="6"/>
  <c r="A4271" i="6"/>
  <c r="D4271" i="6" s="1"/>
  <c r="C4271" i="6"/>
  <c r="E4271" i="6"/>
  <c r="F4271" i="6"/>
  <c r="A4272" i="6"/>
  <c r="D4272" i="6" s="1"/>
  <c r="F4272" i="6"/>
  <c r="A4273" i="6"/>
  <c r="C4273" i="6"/>
  <c r="D4273" i="6"/>
  <c r="E4273" i="6"/>
  <c r="F4273" i="6"/>
  <c r="A4274" i="6"/>
  <c r="D4274" i="6" s="1"/>
  <c r="F4274" i="6"/>
  <c r="A4275" i="6"/>
  <c r="D4275" i="6" s="1"/>
  <c r="C4275" i="6"/>
  <c r="E4275" i="6"/>
  <c r="F4275" i="6"/>
  <c r="G4276" i="6"/>
  <c r="G4281" i="6"/>
  <c r="A4286" i="6"/>
  <c r="D4286" i="6"/>
  <c r="A4287" i="6"/>
  <c r="C4287" i="6"/>
  <c r="D4287" i="6"/>
  <c r="E4287" i="6"/>
  <c r="F4287" i="6"/>
  <c r="A4288" i="6"/>
  <c r="A4289" i="6"/>
  <c r="D4289" i="6" s="1"/>
  <c r="C4289" i="6"/>
  <c r="E4289" i="6"/>
  <c r="F4289" i="6"/>
  <c r="A4290" i="6"/>
  <c r="D4290" i="6"/>
  <c r="F4290" i="6"/>
  <c r="A4291" i="6"/>
  <c r="C4291" i="6"/>
  <c r="D4291" i="6"/>
  <c r="E4291" i="6"/>
  <c r="F4291" i="6"/>
  <c r="A4292" i="6"/>
  <c r="D4292" i="6"/>
  <c r="F4292" i="6"/>
  <c r="A4293" i="6"/>
  <c r="D4293" i="6" s="1"/>
  <c r="C4293" i="6"/>
  <c r="E4293" i="6"/>
  <c r="F4293" i="6"/>
  <c r="A4294" i="6"/>
  <c r="D4294" i="6" s="1"/>
  <c r="F4294" i="6"/>
  <c r="A4295" i="6"/>
  <c r="C4295" i="6"/>
  <c r="D4295" i="6"/>
  <c r="E4295" i="6"/>
  <c r="F4295" i="6"/>
  <c r="A4296" i="6"/>
  <c r="D4296" i="6" s="1"/>
  <c r="F4296" i="6"/>
  <c r="A4297" i="6"/>
  <c r="D4297" i="6" s="1"/>
  <c r="C4297" i="6"/>
  <c r="E4297" i="6"/>
  <c r="F4297" i="6"/>
  <c r="A4298" i="6"/>
  <c r="D4298" i="6" s="1"/>
  <c r="A4299" i="6"/>
  <c r="C4299" i="6"/>
  <c r="D4299" i="6"/>
  <c r="E4299" i="6"/>
  <c r="F4299" i="6"/>
  <c r="A4300" i="6"/>
  <c r="D4300" i="6" s="1"/>
  <c r="G4301" i="6"/>
  <c r="G4306" i="6"/>
  <c r="A4311" i="6"/>
  <c r="D4311" i="6" s="1"/>
  <c r="C4311" i="6"/>
  <c r="E4311" i="6"/>
  <c r="F4311" i="6"/>
  <c r="A4312" i="6"/>
  <c r="D4312" i="6"/>
  <c r="F4312" i="6"/>
  <c r="A4313" i="6"/>
  <c r="C4313" i="6"/>
  <c r="D4313" i="6"/>
  <c r="E4313" i="6"/>
  <c r="F4313" i="6"/>
  <c r="A4314" i="6"/>
  <c r="D4314" i="6"/>
  <c r="F4314" i="6"/>
  <c r="A4315" i="6"/>
  <c r="D4315" i="6" s="1"/>
  <c r="C4315" i="6"/>
  <c r="E4315" i="6"/>
  <c r="F4315" i="6"/>
  <c r="A4316" i="6"/>
  <c r="D4316" i="6" s="1"/>
  <c r="F4316" i="6"/>
  <c r="A4317" i="6"/>
  <c r="C4317" i="6"/>
  <c r="D4317" i="6"/>
  <c r="E4317" i="6"/>
  <c r="F4317" i="6"/>
  <c r="A4318" i="6"/>
  <c r="D4318" i="6" s="1"/>
  <c r="F4318" i="6"/>
  <c r="A4319" i="6"/>
  <c r="D4319" i="6" s="1"/>
  <c r="C4319" i="6"/>
  <c r="E4319" i="6"/>
  <c r="F4319" i="6"/>
  <c r="A4320" i="6"/>
  <c r="D4320" i="6" s="1"/>
  <c r="A4321" i="6"/>
  <c r="C4321" i="6"/>
  <c r="D4321" i="6"/>
  <c r="E4321" i="6"/>
  <c r="F4321" i="6"/>
  <c r="A4322" i="6"/>
  <c r="D4322" i="6" s="1"/>
  <c r="A4323" i="6"/>
  <c r="D4323" i="6" s="1"/>
  <c r="C4323" i="6"/>
  <c r="E4323" i="6"/>
  <c r="F4323" i="6"/>
  <c r="A4324" i="6"/>
  <c r="A4325" i="6"/>
  <c r="C4325" i="6"/>
  <c r="D4325" i="6"/>
  <c r="E4325" i="6"/>
  <c r="F4325" i="6"/>
  <c r="G4326" i="6"/>
  <c r="G4331" i="6"/>
  <c r="A4336" i="6"/>
  <c r="D4336" i="6"/>
  <c r="F4336" i="6"/>
  <c r="A4337" i="6"/>
  <c r="D4337" i="6" s="1"/>
  <c r="E4337" i="6"/>
  <c r="F4337" i="6"/>
  <c r="A4338" i="6"/>
  <c r="C4338" i="6" s="1"/>
  <c r="E4338" i="6"/>
  <c r="F4338" i="6"/>
  <c r="A4339" i="6"/>
  <c r="C4339" i="6"/>
  <c r="D4339" i="6"/>
  <c r="E4339" i="6"/>
  <c r="F4339" i="6"/>
  <c r="A4340" i="6"/>
  <c r="E4340" i="6" s="1"/>
  <c r="C4340" i="6"/>
  <c r="D4340" i="6"/>
  <c r="F4340" i="6"/>
  <c r="A4341" i="6"/>
  <c r="D4341" i="6" s="1"/>
  <c r="C4341" i="6"/>
  <c r="E4341" i="6"/>
  <c r="F4341" i="6"/>
  <c r="A4342" i="6"/>
  <c r="C4342" i="6" s="1"/>
  <c r="D4342" i="6"/>
  <c r="E4342" i="6"/>
  <c r="F4342" i="6"/>
  <c r="A4343" i="6"/>
  <c r="C4343" i="6"/>
  <c r="D4343" i="6"/>
  <c r="E4343" i="6"/>
  <c r="F4343" i="6"/>
  <c r="A4344" i="6"/>
  <c r="E4344" i="6" s="1"/>
  <c r="A4345" i="6"/>
  <c r="D4345" i="6" s="1"/>
  <c r="A4346" i="6"/>
  <c r="C4346" i="6" s="1"/>
  <c r="A4347" i="6"/>
  <c r="C4347" i="6"/>
  <c r="D4347" i="6"/>
  <c r="E4347" i="6"/>
  <c r="F4347" i="6"/>
  <c r="A4348" i="6"/>
  <c r="E4348" i="6" s="1"/>
  <c r="F4348" i="6"/>
  <c r="A4349" i="6"/>
  <c r="D4349" i="6" s="1"/>
  <c r="F4349" i="6"/>
  <c r="A4350" i="6"/>
  <c r="C4350" i="6" s="1"/>
  <c r="F4350" i="6"/>
  <c r="G4351" i="6"/>
  <c r="G4356" i="6"/>
  <c r="A4361" i="6"/>
  <c r="C4361" i="6"/>
  <c r="D4361" i="6"/>
  <c r="E4361" i="6"/>
  <c r="F4361" i="6"/>
  <c r="A4362" i="6"/>
  <c r="E4362" i="6" s="1"/>
  <c r="F4362" i="6"/>
  <c r="A4363" i="6"/>
  <c r="D4363" i="6" s="1"/>
  <c r="F4363" i="6"/>
  <c r="A4364" i="6"/>
  <c r="C4364" i="6" s="1"/>
  <c r="F4364" i="6"/>
  <c r="A4365" i="6"/>
  <c r="C4365" i="6"/>
  <c r="D4365" i="6"/>
  <c r="E4365" i="6"/>
  <c r="F4365" i="6"/>
  <c r="A4366" i="6"/>
  <c r="E4366" i="6" s="1"/>
  <c r="D4366" i="6"/>
  <c r="F4366" i="6"/>
  <c r="A4367" i="6"/>
  <c r="D4367" i="6" s="1"/>
  <c r="E4367" i="6"/>
  <c r="F4367" i="6"/>
  <c r="A4368" i="6"/>
  <c r="C4368" i="6" s="1"/>
  <c r="E4368" i="6"/>
  <c r="F4368" i="6"/>
  <c r="A4369" i="6"/>
  <c r="C4369" i="6"/>
  <c r="D4369" i="6"/>
  <c r="E4369" i="6"/>
  <c r="F4369" i="6"/>
  <c r="A4370" i="6"/>
  <c r="E4370" i="6" s="1"/>
  <c r="C4370" i="6"/>
  <c r="D4370" i="6"/>
  <c r="F4370" i="6"/>
  <c r="A4371" i="6"/>
  <c r="D4371" i="6" s="1"/>
  <c r="C4371" i="6"/>
  <c r="E4371" i="6"/>
  <c r="F4371" i="6"/>
  <c r="A4372" i="6"/>
  <c r="C4372" i="6" s="1"/>
  <c r="D4372" i="6"/>
  <c r="E4372" i="6"/>
  <c r="F4372" i="6"/>
  <c r="A4373" i="6"/>
  <c r="C4373" i="6"/>
  <c r="D4373" i="6"/>
  <c r="E4373" i="6"/>
  <c r="F4373" i="6"/>
  <c r="A4374" i="6"/>
  <c r="E4374" i="6" s="1"/>
  <c r="A4375" i="6"/>
  <c r="D4375" i="6" s="1"/>
  <c r="G4376" i="6"/>
  <c r="G4381" i="6"/>
  <c r="A4386" i="6"/>
  <c r="C4386" i="6" s="1"/>
  <c r="A4387" i="6"/>
  <c r="C4387" i="6"/>
  <c r="D4387" i="6"/>
  <c r="E4387" i="6"/>
  <c r="F4387" i="6"/>
  <c r="A4388" i="6"/>
  <c r="E4388" i="6" s="1"/>
  <c r="F4388" i="6"/>
  <c r="A4389" i="6"/>
  <c r="D4389" i="6" s="1"/>
  <c r="F4389" i="6"/>
  <c r="A4390" i="6"/>
  <c r="C4390" i="6" s="1"/>
  <c r="F4390" i="6"/>
  <c r="A4391" i="6"/>
  <c r="C4391" i="6"/>
  <c r="D4391" i="6"/>
  <c r="E4391" i="6"/>
  <c r="F4391" i="6"/>
  <c r="A4392" i="6"/>
  <c r="E4392" i="6" s="1"/>
  <c r="D4392" i="6"/>
  <c r="F4392" i="6"/>
  <c r="A4393" i="6"/>
  <c r="D4393" i="6" s="1"/>
  <c r="E4393" i="6"/>
  <c r="F4393" i="6"/>
  <c r="A4394" i="6"/>
  <c r="C4394" i="6" s="1"/>
  <c r="E4394" i="6"/>
  <c r="F4394" i="6"/>
  <c r="A4395" i="6"/>
  <c r="C4395" i="6"/>
  <c r="D4395" i="6"/>
  <c r="E4395" i="6"/>
  <c r="F4395" i="6"/>
  <c r="A4396" i="6"/>
  <c r="E4396" i="6" s="1"/>
  <c r="C4396" i="6"/>
  <c r="D4396" i="6"/>
  <c r="F4396" i="6"/>
  <c r="A4397" i="6"/>
  <c r="D4397" i="6" s="1"/>
  <c r="C4397" i="6"/>
  <c r="E4397" i="6"/>
  <c r="F4397" i="6"/>
  <c r="A4398" i="6"/>
  <c r="C4398" i="6" s="1"/>
  <c r="D4398" i="6"/>
  <c r="E4398" i="6"/>
  <c r="F4398" i="6"/>
  <c r="A4399" i="6"/>
  <c r="C4399" i="6"/>
  <c r="D4399" i="6"/>
  <c r="E4399" i="6"/>
  <c r="F4399" i="6"/>
  <c r="A4400" i="6"/>
  <c r="E4400" i="6" s="1"/>
  <c r="G4401" i="6"/>
  <c r="G4406" i="6"/>
  <c r="A4411" i="6"/>
  <c r="D4411" i="6" s="1"/>
  <c r="A4412" i="6"/>
  <c r="C4412" i="6" s="1"/>
  <c r="A4413" i="6"/>
  <c r="C4413" i="6"/>
  <c r="D4413" i="6"/>
  <c r="E4413" i="6"/>
  <c r="F4413" i="6"/>
  <c r="A4414" i="6"/>
  <c r="E4414" i="6" s="1"/>
  <c r="F4414" i="6"/>
  <c r="A4415" i="6"/>
  <c r="D4415" i="6" s="1"/>
  <c r="F4415" i="6"/>
  <c r="A4416" i="6"/>
  <c r="C4416" i="6" s="1"/>
  <c r="F4416" i="6"/>
  <c r="A4417" i="6"/>
  <c r="C4417" i="6"/>
  <c r="D4417" i="6"/>
  <c r="E4417" i="6"/>
  <c r="F4417" i="6"/>
  <c r="A4418" i="6"/>
  <c r="E4418" i="6" s="1"/>
  <c r="D4418" i="6"/>
  <c r="F4418" i="6"/>
  <c r="A4419" i="6"/>
  <c r="D4419" i="6" s="1"/>
  <c r="E4419" i="6"/>
  <c r="F4419" i="6"/>
  <c r="A4420" i="6"/>
  <c r="C4420" i="6" s="1"/>
  <c r="E4420" i="6"/>
  <c r="F4420" i="6"/>
  <c r="A4421" i="6"/>
  <c r="C4421" i="6"/>
  <c r="D4421" i="6"/>
  <c r="E4421" i="6"/>
  <c r="F4421" i="6"/>
  <c r="A4422" i="6"/>
  <c r="E4422" i="6" s="1"/>
  <c r="C4422" i="6"/>
  <c r="D4422" i="6"/>
  <c r="F4422" i="6"/>
  <c r="A4423" i="6"/>
  <c r="D4423" i="6" s="1"/>
  <c r="C4423" i="6"/>
  <c r="E4423" i="6"/>
  <c r="F4423" i="6"/>
  <c r="A4424" i="6"/>
  <c r="C4424" i="6" s="1"/>
  <c r="D4424" i="6"/>
  <c r="E4424" i="6"/>
  <c r="F4424" i="6"/>
  <c r="A4425" i="6"/>
  <c r="C4425" i="6"/>
  <c r="D4425" i="6"/>
  <c r="E4425" i="6"/>
  <c r="F4425" i="6"/>
  <c r="G4426" i="6"/>
  <c r="G4431" i="6"/>
  <c r="A4436" i="6"/>
  <c r="E4436" i="6" s="1"/>
  <c r="C4436" i="6"/>
  <c r="D4436" i="6"/>
  <c r="F4436" i="6"/>
  <c r="A4437" i="6"/>
  <c r="D4437" i="6" s="1"/>
  <c r="C4437" i="6"/>
  <c r="E4437" i="6"/>
  <c r="F4437" i="6"/>
  <c r="A4438" i="6"/>
  <c r="C4438" i="6" s="1"/>
  <c r="D4438" i="6"/>
  <c r="E4438" i="6"/>
  <c r="F4438" i="6"/>
  <c r="A4439" i="6"/>
  <c r="C4439" i="6"/>
  <c r="D4439" i="6"/>
  <c r="E4439" i="6"/>
  <c r="F4439" i="6"/>
  <c r="A4440" i="6"/>
  <c r="E4440" i="6" s="1"/>
  <c r="A4441" i="6"/>
  <c r="D4441" i="6" s="1"/>
  <c r="A4442" i="6"/>
  <c r="C4442" i="6" s="1"/>
  <c r="A4443" i="6"/>
  <c r="C4443" i="6"/>
  <c r="D4443" i="6"/>
  <c r="E4443" i="6"/>
  <c r="F4443" i="6"/>
  <c r="A4444" i="6"/>
  <c r="E4444" i="6" s="1"/>
  <c r="F4444" i="6"/>
  <c r="A4445" i="6"/>
  <c r="D4445" i="6" s="1"/>
  <c r="F4445" i="6"/>
  <c r="A4446" i="6"/>
  <c r="C4446" i="6" s="1"/>
  <c r="F4446" i="6"/>
  <c r="A4447" i="6"/>
  <c r="C4447" i="6"/>
  <c r="D4447" i="6"/>
  <c r="E4447" i="6"/>
  <c r="F4447" i="6"/>
  <c r="A4448" i="6"/>
  <c r="E4448" i="6" s="1"/>
  <c r="D4448" i="6"/>
  <c r="F4448" i="6"/>
  <c r="A4449" i="6"/>
  <c r="D4449" i="6" s="1"/>
  <c r="E4449" i="6"/>
  <c r="F4449" i="6"/>
  <c r="A4450" i="6"/>
  <c r="C4450" i="6" s="1"/>
  <c r="E4450" i="6"/>
  <c r="F4450" i="6"/>
  <c r="G4451" i="6"/>
  <c r="G4456" i="6"/>
  <c r="A4461" i="6"/>
  <c r="C4461" i="6"/>
  <c r="D4461" i="6"/>
  <c r="E4461" i="6"/>
  <c r="F4461" i="6"/>
  <c r="A4462" i="6"/>
  <c r="E4462" i="6" s="1"/>
  <c r="D4462" i="6"/>
  <c r="F4462" i="6"/>
  <c r="A4463" i="6"/>
  <c r="D4463" i="6" s="1"/>
  <c r="E4463" i="6"/>
  <c r="F4463" i="6"/>
  <c r="A4464" i="6"/>
  <c r="C4464" i="6" s="1"/>
  <c r="E4464" i="6"/>
  <c r="F4464" i="6"/>
  <c r="A4465" i="6"/>
  <c r="C4465" i="6"/>
  <c r="D4465" i="6"/>
  <c r="E4465" i="6"/>
  <c r="F4465" i="6"/>
  <c r="A4466" i="6"/>
  <c r="E4466" i="6" s="1"/>
  <c r="C4466" i="6"/>
  <c r="D4466" i="6"/>
  <c r="F4466" i="6"/>
  <c r="A4467" i="6"/>
  <c r="D4467" i="6" s="1"/>
  <c r="C4467" i="6"/>
  <c r="E4467" i="6"/>
  <c r="F4467" i="6"/>
  <c r="A4468" i="6"/>
  <c r="C4468" i="6" s="1"/>
  <c r="D4468" i="6"/>
  <c r="E4468" i="6"/>
  <c r="F4468" i="6"/>
  <c r="A4469" i="6"/>
  <c r="C4469" i="6"/>
  <c r="D4469" i="6"/>
  <c r="E4469" i="6"/>
  <c r="F4469" i="6"/>
  <c r="A4470" i="6"/>
  <c r="E4470" i="6" s="1"/>
  <c r="A4471" i="6"/>
  <c r="D4471" i="6" s="1"/>
  <c r="A4472" i="6"/>
  <c r="C4472" i="6" s="1"/>
  <c r="A4473" i="6"/>
  <c r="C4473" i="6"/>
  <c r="D4473" i="6"/>
  <c r="E4473" i="6"/>
  <c r="F4473" i="6"/>
  <c r="A4474" i="6"/>
  <c r="E4474" i="6" s="1"/>
  <c r="F4474" i="6"/>
  <c r="A4475" i="6"/>
  <c r="D4475" i="6" s="1"/>
  <c r="F4475" i="6"/>
  <c r="G4476" i="6"/>
  <c r="G4481" i="6"/>
  <c r="A4486" i="6"/>
  <c r="C4486" i="6" s="1"/>
  <c r="F4486" i="6"/>
  <c r="A4487" i="6"/>
  <c r="C4487" i="6"/>
  <c r="D4487" i="6"/>
  <c r="E4487" i="6"/>
  <c r="F4487" i="6"/>
  <c r="A4488" i="6"/>
  <c r="E4488" i="6" s="1"/>
  <c r="D4488" i="6"/>
  <c r="F4488" i="6"/>
  <c r="A4489" i="6"/>
  <c r="D4489" i="6" s="1"/>
  <c r="E4489" i="6"/>
  <c r="F4489" i="6"/>
  <c r="A4490" i="6"/>
  <c r="C4490" i="6" s="1"/>
  <c r="E4490" i="6"/>
  <c r="F4490" i="6"/>
  <c r="A4491" i="6"/>
  <c r="C4491" i="6"/>
  <c r="D4491" i="6"/>
  <c r="E4491" i="6"/>
  <c r="F4491" i="6"/>
  <c r="A4492" i="6"/>
  <c r="E4492" i="6" s="1"/>
  <c r="C4492" i="6"/>
  <c r="D4492" i="6"/>
  <c r="F4492" i="6"/>
  <c r="A4493" i="6"/>
  <c r="D4493" i="6" s="1"/>
  <c r="C4493" i="6"/>
  <c r="E4493" i="6"/>
  <c r="F4493" i="6"/>
  <c r="A4494" i="6"/>
  <c r="C4494" i="6" s="1"/>
  <c r="D4494" i="6"/>
  <c r="E4494" i="6"/>
  <c r="F4494" i="6"/>
  <c r="A4495" i="6"/>
  <c r="C4495" i="6"/>
  <c r="D4495" i="6"/>
  <c r="E4495" i="6"/>
  <c r="F4495" i="6"/>
  <c r="A4496" i="6"/>
  <c r="E4496" i="6" s="1"/>
  <c r="A4497" i="6"/>
  <c r="D4497" i="6" s="1"/>
  <c r="A4498" i="6"/>
  <c r="C4498" i="6" s="1"/>
  <c r="A4499" i="6"/>
  <c r="C4499" i="6"/>
  <c r="D4499" i="6"/>
  <c r="E4499" i="6"/>
  <c r="F4499" i="6"/>
  <c r="A4500" i="6"/>
  <c r="E4500" i="6" s="1"/>
  <c r="F4500" i="6"/>
  <c r="G4501" i="6"/>
  <c r="G4506" i="6"/>
  <c r="A4511" i="6"/>
  <c r="D4511" i="6" s="1"/>
  <c r="F4511" i="6"/>
  <c r="A4512" i="6"/>
  <c r="C4512" i="6" s="1"/>
  <c r="F4512" i="6"/>
  <c r="A4513" i="6"/>
  <c r="C4513" i="6"/>
  <c r="D4513" i="6"/>
  <c r="E4513" i="6"/>
  <c r="F4513" i="6"/>
  <c r="A4514" i="6"/>
  <c r="E4514" i="6" s="1"/>
  <c r="D4514" i="6"/>
  <c r="F4514" i="6"/>
  <c r="A4515" i="6"/>
  <c r="D4515" i="6" s="1"/>
  <c r="E4515" i="6"/>
  <c r="F4515" i="6"/>
  <c r="A4516" i="6"/>
  <c r="C4516" i="6" s="1"/>
  <c r="E4516" i="6"/>
  <c r="F4516" i="6"/>
  <c r="A4517" i="6"/>
  <c r="C4517" i="6"/>
  <c r="D4517" i="6"/>
  <c r="E4517" i="6"/>
  <c r="F4517" i="6"/>
  <c r="A4518" i="6"/>
  <c r="E4518" i="6" s="1"/>
  <c r="C4518" i="6"/>
  <c r="D4518" i="6"/>
  <c r="F4518" i="6"/>
  <c r="A4519" i="6"/>
  <c r="D4519" i="6" s="1"/>
  <c r="C4519" i="6"/>
  <c r="E4519" i="6"/>
  <c r="F4519" i="6"/>
  <c r="A4520" i="6"/>
  <c r="C4520" i="6" s="1"/>
  <c r="D4520" i="6"/>
  <c r="E4520" i="6"/>
  <c r="F4520" i="6"/>
  <c r="A4521" i="6"/>
  <c r="C4521" i="6"/>
  <c r="D4521" i="6"/>
  <c r="E4521" i="6"/>
  <c r="F4521" i="6"/>
  <c r="A4522" i="6"/>
  <c r="E4522" i="6" s="1"/>
  <c r="A4523" i="6"/>
  <c r="D4523" i="6" s="1"/>
  <c r="A4524" i="6"/>
  <c r="C4524" i="6" s="1"/>
  <c r="A4525" i="6"/>
  <c r="C4525" i="6"/>
  <c r="D4525" i="6"/>
  <c r="E4525" i="6"/>
  <c r="F4525" i="6"/>
  <c r="G4526" i="6"/>
  <c r="G4531" i="6"/>
  <c r="A4536" i="6"/>
  <c r="E4536" i="6" s="1"/>
  <c r="A4537" i="6"/>
  <c r="D4537" i="6" s="1"/>
  <c r="A4538" i="6"/>
  <c r="C4538" i="6" s="1"/>
  <c r="A4539" i="6"/>
  <c r="C4539" i="6"/>
  <c r="D4539" i="6"/>
  <c r="E4539" i="6"/>
  <c r="F4539" i="6"/>
  <c r="A4540" i="6"/>
  <c r="E4540" i="6" s="1"/>
  <c r="F4540" i="6"/>
  <c r="A4541" i="6"/>
  <c r="D4541" i="6" s="1"/>
  <c r="F4541" i="6"/>
  <c r="A4542" i="6"/>
  <c r="C4542" i="6" s="1"/>
  <c r="F4542" i="6"/>
  <c r="A4543" i="6"/>
  <c r="C4543" i="6"/>
  <c r="D4543" i="6"/>
  <c r="E4543" i="6"/>
  <c r="F4543" i="6"/>
  <c r="A4544" i="6"/>
  <c r="E4544" i="6" s="1"/>
  <c r="D4544" i="6"/>
  <c r="F4544" i="6"/>
  <c r="A4545" i="6"/>
  <c r="D4545" i="6" s="1"/>
  <c r="E4545" i="6"/>
  <c r="F4545" i="6"/>
  <c r="A4546" i="6"/>
  <c r="C4546" i="6" s="1"/>
  <c r="E4546" i="6"/>
  <c r="F4546" i="6"/>
  <c r="A4547" i="6"/>
  <c r="C4547" i="6"/>
  <c r="D4547" i="6"/>
  <c r="E4547" i="6"/>
  <c r="F4547" i="6"/>
  <c r="A4548" i="6"/>
  <c r="E4548" i="6" s="1"/>
  <c r="C4548" i="6"/>
  <c r="D4548" i="6"/>
  <c r="F4548" i="6"/>
  <c r="A4549" i="6"/>
  <c r="D4549" i="6" s="1"/>
  <c r="C4549" i="6"/>
  <c r="E4549" i="6"/>
  <c r="F4549" i="6"/>
  <c r="A4550" i="6"/>
  <c r="C4550" i="6" s="1"/>
  <c r="D4550" i="6"/>
  <c r="E4550" i="6"/>
  <c r="F4550" i="6"/>
  <c r="G4551" i="6"/>
  <c r="G4556" i="6"/>
  <c r="A4561" i="6"/>
  <c r="C4561" i="6"/>
  <c r="D4561" i="6"/>
  <c r="E4561" i="6"/>
  <c r="F4561" i="6"/>
  <c r="A4562" i="6"/>
  <c r="E4562" i="6" s="1"/>
  <c r="C4562" i="6"/>
  <c r="D4562" i="6"/>
  <c r="F4562" i="6"/>
  <c r="A4563" i="6"/>
  <c r="D4563" i="6" s="1"/>
  <c r="C4563" i="6"/>
  <c r="E4563" i="6"/>
  <c r="F4563" i="6"/>
  <c r="A4564" i="6"/>
  <c r="C4564" i="6" s="1"/>
  <c r="D4564" i="6"/>
  <c r="E4564" i="6"/>
  <c r="F4564" i="6"/>
  <c r="A4565" i="6"/>
  <c r="C4565" i="6"/>
  <c r="D4565" i="6"/>
  <c r="E4565" i="6"/>
  <c r="F4565" i="6"/>
  <c r="A4566" i="6"/>
  <c r="E4566" i="6" s="1"/>
  <c r="A4567" i="6"/>
  <c r="D4567" i="6" s="1"/>
  <c r="A4568" i="6"/>
  <c r="C4568" i="6" s="1"/>
  <c r="A4569" i="6"/>
  <c r="C4569" i="6"/>
  <c r="D4569" i="6"/>
  <c r="E4569" i="6"/>
  <c r="F4569" i="6"/>
  <c r="A4570" i="6"/>
  <c r="E4570" i="6" s="1"/>
  <c r="F4570" i="6"/>
  <c r="A4571" i="6"/>
  <c r="D4571" i="6" s="1"/>
  <c r="F4571" i="6"/>
  <c r="A4572" i="6"/>
  <c r="C4572" i="6" s="1"/>
  <c r="F4572" i="6"/>
  <c r="A4573" i="6"/>
  <c r="C4573" i="6"/>
  <c r="D4573" i="6"/>
  <c r="E4573" i="6"/>
  <c r="F4573" i="6"/>
  <c r="A4574" i="6"/>
  <c r="E4574" i="6" s="1"/>
  <c r="D4574" i="6"/>
  <c r="F4574" i="6"/>
  <c r="A4575" i="6"/>
  <c r="D4575" i="6" s="1"/>
  <c r="E4575" i="6"/>
  <c r="F4575" i="6"/>
  <c r="G4576" i="6"/>
  <c r="G4581" i="6"/>
  <c r="A4586" i="6"/>
  <c r="C4586" i="6" s="1"/>
  <c r="E4586" i="6"/>
  <c r="F4586" i="6"/>
  <c r="A4587" i="6"/>
  <c r="C4587" i="6"/>
  <c r="D4587" i="6"/>
  <c r="E4587" i="6"/>
  <c r="F4587" i="6"/>
  <c r="A4588" i="6"/>
  <c r="E4588" i="6" s="1"/>
  <c r="C4588" i="6"/>
  <c r="D4588" i="6"/>
  <c r="F4588" i="6"/>
  <c r="A4589" i="6"/>
  <c r="D4589" i="6" s="1"/>
  <c r="C4589" i="6"/>
  <c r="E4589" i="6"/>
  <c r="F4589" i="6"/>
  <c r="A4590" i="6"/>
  <c r="C4590" i="6" s="1"/>
  <c r="D4590" i="6"/>
  <c r="E4590" i="6"/>
  <c r="F4590" i="6"/>
  <c r="A4591" i="6"/>
  <c r="C4591" i="6"/>
  <c r="D4591" i="6"/>
  <c r="E4591" i="6"/>
  <c r="F4591" i="6"/>
  <c r="A4592" i="6"/>
  <c r="E4592" i="6" s="1"/>
  <c r="A4593" i="6"/>
  <c r="D4593" i="6" s="1"/>
  <c r="A4594" i="6"/>
  <c r="C4594" i="6" s="1"/>
  <c r="A4595" i="6"/>
  <c r="C4595" i="6"/>
  <c r="D4595" i="6"/>
  <c r="E4595" i="6"/>
  <c r="F4595" i="6"/>
  <c r="A4596" i="6"/>
  <c r="E4596" i="6" s="1"/>
  <c r="F4596" i="6"/>
  <c r="A4597" i="6"/>
  <c r="D4597" i="6" s="1"/>
  <c r="F4597" i="6"/>
  <c r="A4598" i="6"/>
  <c r="C4598" i="6" s="1"/>
  <c r="F4598" i="6"/>
  <c r="A4599" i="6"/>
  <c r="C4599" i="6"/>
  <c r="D4599" i="6"/>
  <c r="E4599" i="6"/>
  <c r="F4599" i="6"/>
  <c r="A4600" i="6"/>
  <c r="C4600" i="6" s="1"/>
  <c r="D4600" i="6"/>
  <c r="E4600" i="6"/>
  <c r="F4600" i="6"/>
  <c r="G4601" i="6"/>
  <c r="G4606" i="6"/>
  <c r="A4611" i="6"/>
  <c r="C4611" i="6"/>
  <c r="D4611" i="6"/>
  <c r="E4611" i="6"/>
  <c r="F4611" i="6"/>
  <c r="A4612" i="6"/>
  <c r="C4612" i="6" s="1"/>
  <c r="F4612" i="6"/>
  <c r="A4613" i="6"/>
  <c r="C4613" i="6" s="1"/>
  <c r="E4613" i="6"/>
  <c r="F4613" i="6"/>
  <c r="A4614" i="6"/>
  <c r="C4614" i="6" s="1"/>
  <c r="D4614" i="6"/>
  <c r="E4614" i="6"/>
  <c r="F4614" i="6"/>
  <c r="A4615" i="6"/>
  <c r="C4615" i="6"/>
  <c r="D4615" i="6"/>
  <c r="E4615" i="6"/>
  <c r="F4615" i="6"/>
  <c r="A4616" i="6"/>
  <c r="C4616" i="6" s="1"/>
  <c r="F4616" i="6"/>
  <c r="A4617" i="6"/>
  <c r="C4617" i="6" s="1"/>
  <c r="E4617" i="6"/>
  <c r="F4617" i="6"/>
  <c r="A4618" i="6"/>
  <c r="C4618" i="6" s="1"/>
  <c r="D4618" i="6"/>
  <c r="E4618" i="6"/>
  <c r="F4618" i="6"/>
  <c r="A4619" i="6"/>
  <c r="C4619" i="6"/>
  <c r="D4619" i="6"/>
  <c r="E4619" i="6"/>
  <c r="F4619" i="6"/>
  <c r="A4620" i="6"/>
  <c r="C4620" i="6" s="1"/>
  <c r="A4621" i="6"/>
  <c r="C4621" i="6" s="1"/>
  <c r="E4621" i="6"/>
  <c r="F4621" i="6"/>
  <c r="A4622" i="6"/>
  <c r="C4622" i="6" s="1"/>
  <c r="D4622" i="6"/>
  <c r="E4622" i="6"/>
  <c r="F4622" i="6"/>
  <c r="A4623" i="6"/>
  <c r="C4623" i="6"/>
  <c r="D4623" i="6"/>
  <c r="E4623" i="6"/>
  <c r="F4623" i="6"/>
  <c r="A4624" i="6"/>
  <c r="C4624" i="6" s="1"/>
  <c r="F4624" i="6"/>
  <c r="A4625" i="6"/>
  <c r="C4625" i="6" s="1"/>
  <c r="E4625" i="6"/>
  <c r="F4625" i="6"/>
  <c r="G4626" i="6"/>
  <c r="G4631" i="6"/>
  <c r="A4636" i="6"/>
  <c r="C4636" i="6" s="1"/>
  <c r="D4636" i="6"/>
  <c r="E4636" i="6"/>
  <c r="F4636" i="6"/>
  <c r="A4637" i="6"/>
  <c r="C4637" i="6"/>
  <c r="D4637" i="6"/>
  <c r="E4637" i="6"/>
  <c r="F4637" i="6"/>
  <c r="A4638" i="6"/>
  <c r="C4638" i="6" s="1"/>
  <c r="F4638" i="6"/>
  <c r="A4639" i="6"/>
  <c r="C4639" i="6" s="1"/>
  <c r="E4639" i="6"/>
  <c r="F4639" i="6"/>
  <c r="A4640" i="6"/>
  <c r="C4640" i="6" s="1"/>
  <c r="D4640" i="6"/>
  <c r="E4640" i="6"/>
  <c r="F4640" i="6"/>
  <c r="A4641" i="6"/>
  <c r="C4641" i="6"/>
  <c r="D4641" i="6"/>
  <c r="E4641" i="6"/>
  <c r="F4641" i="6"/>
  <c r="A4642" i="6"/>
  <c r="C4642" i="6" s="1"/>
  <c r="A4643" i="6"/>
  <c r="C4643" i="6" s="1"/>
  <c r="E4643" i="6"/>
  <c r="F4643" i="6"/>
  <c r="A4644" i="6"/>
  <c r="C4644" i="6" s="1"/>
  <c r="D4644" i="6"/>
  <c r="E4644" i="6"/>
  <c r="F4644" i="6"/>
  <c r="A4645" i="6"/>
  <c r="C4645" i="6"/>
  <c r="D4645" i="6"/>
  <c r="E4645" i="6"/>
  <c r="F4645" i="6"/>
  <c r="A4646" i="6"/>
  <c r="C4646" i="6" s="1"/>
  <c r="F4646" i="6"/>
  <c r="A4647" i="6"/>
  <c r="C4647" i="6" s="1"/>
  <c r="E4647" i="6"/>
  <c r="F4647" i="6"/>
  <c r="A4648" i="6"/>
  <c r="C4648" i="6" s="1"/>
  <c r="D4648" i="6"/>
  <c r="E4648" i="6"/>
  <c r="F4648" i="6"/>
  <c r="A4649" i="6"/>
  <c r="C4649" i="6"/>
  <c r="D4649" i="6"/>
  <c r="E4649" i="6"/>
  <c r="F4649" i="6"/>
  <c r="A4650" i="6"/>
  <c r="C4650" i="6" s="1"/>
  <c r="G4651" i="6"/>
  <c r="G4656" i="6"/>
  <c r="A4661" i="6"/>
  <c r="C4661" i="6" s="1"/>
  <c r="E4661" i="6"/>
  <c r="F4661" i="6"/>
  <c r="A4662" i="6"/>
  <c r="C4662" i="6" s="1"/>
  <c r="D4662" i="6"/>
  <c r="E4662" i="6"/>
  <c r="F4662" i="6"/>
  <c r="A4663" i="6"/>
  <c r="C4663" i="6"/>
  <c r="D4663" i="6"/>
  <c r="E4663" i="6"/>
  <c r="F4663" i="6"/>
  <c r="A4664" i="6"/>
  <c r="C4664" i="6" s="1"/>
  <c r="F4664" i="6"/>
  <c r="A4665" i="6"/>
  <c r="C4665" i="6" s="1"/>
  <c r="E4665" i="6"/>
  <c r="F4665" i="6"/>
  <c r="A4666" i="6"/>
  <c r="C4666" i="6" s="1"/>
  <c r="D4666" i="6"/>
  <c r="E4666" i="6"/>
  <c r="F4666" i="6"/>
  <c r="A4667" i="6"/>
  <c r="C4667" i="6"/>
  <c r="D4667" i="6"/>
  <c r="E4667" i="6"/>
  <c r="F4667" i="6"/>
  <c r="A4668" i="6"/>
  <c r="C4668" i="6" s="1"/>
  <c r="F4668" i="6"/>
  <c r="A4669" i="6"/>
  <c r="C4669" i="6" s="1"/>
  <c r="E4669" i="6"/>
  <c r="F4669" i="6"/>
  <c r="A4670" i="6"/>
  <c r="C4670" i="6" s="1"/>
  <c r="D4670" i="6"/>
  <c r="E4670" i="6"/>
  <c r="F4670" i="6"/>
  <c r="A4671" i="6"/>
  <c r="C4671" i="6"/>
  <c r="D4671" i="6"/>
  <c r="E4671" i="6"/>
  <c r="F4671" i="6"/>
  <c r="A4672" i="6"/>
  <c r="C4672" i="6" s="1"/>
  <c r="F4672" i="6"/>
  <c r="A4673" i="6"/>
  <c r="C4673" i="6" s="1"/>
  <c r="E4673" i="6"/>
  <c r="F4673" i="6"/>
  <c r="A4674" i="6"/>
  <c r="C4674" i="6" s="1"/>
  <c r="D4674" i="6"/>
  <c r="E4674" i="6"/>
  <c r="F4674" i="6"/>
  <c r="A4675" i="6"/>
  <c r="C4675" i="6"/>
  <c r="D4675" i="6"/>
  <c r="E4675" i="6"/>
  <c r="F4675" i="6"/>
  <c r="G4676" i="6"/>
  <c r="G4681" i="6"/>
  <c r="A4686" i="6"/>
  <c r="C4686" i="6" s="1"/>
  <c r="A4687" i="6"/>
  <c r="C4687" i="6" s="1"/>
  <c r="E4687" i="6"/>
  <c r="F4687" i="6"/>
  <c r="A4688" i="6"/>
  <c r="C4688" i="6" s="1"/>
  <c r="D4688" i="6"/>
  <c r="E4688" i="6"/>
  <c r="F4688" i="6"/>
  <c r="A4689" i="6"/>
  <c r="C4689" i="6"/>
  <c r="D4689" i="6"/>
  <c r="E4689" i="6"/>
  <c r="F4689" i="6"/>
  <c r="A4690" i="6"/>
  <c r="C4690" i="6" s="1"/>
  <c r="F4690" i="6"/>
  <c r="A4691" i="6"/>
  <c r="C4691" i="6" s="1"/>
  <c r="E4691" i="6"/>
  <c r="F4691" i="6"/>
  <c r="A4692" i="6"/>
  <c r="C4692" i="6" s="1"/>
  <c r="D4692" i="6"/>
  <c r="E4692" i="6"/>
  <c r="F4692" i="6"/>
  <c r="A4693" i="6"/>
  <c r="C4693" i="6"/>
  <c r="D4693" i="6"/>
  <c r="E4693" i="6"/>
  <c r="F4693" i="6"/>
  <c r="A4694" i="6"/>
  <c r="C4694" i="6" s="1"/>
  <c r="F4694" i="6"/>
  <c r="A4695" i="6"/>
  <c r="C4695" i="6" s="1"/>
  <c r="E4695" i="6"/>
  <c r="F4695" i="6"/>
  <c r="A4696" i="6"/>
  <c r="C4696" i="6" s="1"/>
  <c r="D4696" i="6"/>
  <c r="E4696" i="6"/>
  <c r="F4696" i="6"/>
  <c r="A4697" i="6"/>
  <c r="C4697" i="6"/>
  <c r="D4697" i="6"/>
  <c r="E4697" i="6"/>
  <c r="F4697" i="6"/>
  <c r="A4698" i="6"/>
  <c r="C4698" i="6" s="1"/>
  <c r="A4699" i="6"/>
  <c r="C4699" i="6" s="1"/>
  <c r="E4699" i="6"/>
  <c r="F4699" i="6"/>
  <c r="A4700" i="6"/>
  <c r="C4700" i="6" s="1"/>
  <c r="D4700" i="6"/>
  <c r="E4700" i="6"/>
  <c r="F4700" i="6"/>
  <c r="G4701" i="6"/>
  <c r="G4706" i="6"/>
  <c r="A4711" i="6"/>
  <c r="C4711" i="6"/>
  <c r="D4711" i="6"/>
  <c r="E4711" i="6"/>
  <c r="F4711" i="6"/>
  <c r="A4712" i="6"/>
  <c r="C4712" i="6" s="1"/>
  <c r="F4712" i="6"/>
  <c r="A4713" i="6"/>
  <c r="C4713" i="6" s="1"/>
  <c r="E4713" i="6"/>
  <c r="F4713" i="6"/>
  <c r="A4714" i="6"/>
  <c r="C4714" i="6" s="1"/>
  <c r="D4714" i="6"/>
  <c r="E4714" i="6"/>
  <c r="F4714" i="6"/>
  <c r="A4715" i="6"/>
  <c r="C4715" i="6"/>
  <c r="D4715" i="6"/>
  <c r="E4715" i="6"/>
  <c r="F4715" i="6"/>
  <c r="A4716" i="6"/>
  <c r="C4716" i="6" s="1"/>
  <c r="F4716" i="6"/>
  <c r="A4717" i="6"/>
  <c r="C4717" i="6" s="1"/>
  <c r="E4717" i="6"/>
  <c r="F4717" i="6"/>
  <c r="A4718" i="6"/>
  <c r="C4718" i="6" s="1"/>
  <c r="D4718" i="6"/>
  <c r="E4718" i="6"/>
  <c r="F4718" i="6"/>
  <c r="A4719" i="6"/>
  <c r="C4719" i="6"/>
  <c r="D4719" i="6"/>
  <c r="E4719" i="6"/>
  <c r="F4719" i="6"/>
  <c r="A4720" i="6"/>
  <c r="C4720" i="6" s="1"/>
  <c r="F4720" i="6"/>
  <c r="A4721" i="6"/>
  <c r="C4721" i="6" s="1"/>
  <c r="E4721" i="6"/>
  <c r="F4721" i="6"/>
  <c r="A4722" i="6"/>
  <c r="C4722" i="6" s="1"/>
  <c r="D4722" i="6"/>
  <c r="E4722" i="6"/>
  <c r="F4722" i="6"/>
  <c r="A4723" i="6"/>
  <c r="C4723" i="6"/>
  <c r="D4723" i="6"/>
  <c r="E4723" i="6"/>
  <c r="F4723" i="6"/>
  <c r="A4724" i="6"/>
  <c r="C4724" i="6" s="1"/>
  <c r="A4725" i="6"/>
  <c r="C4725" i="6" s="1"/>
  <c r="E4725" i="6"/>
  <c r="F4725" i="6"/>
  <c r="G4726" i="6"/>
  <c r="G4731" i="6"/>
  <c r="A4736" i="6"/>
  <c r="C4736" i="6" s="1"/>
  <c r="D4736" i="6"/>
  <c r="E4736" i="6"/>
  <c r="F4736" i="6"/>
  <c r="A4737" i="6"/>
  <c r="C4737" i="6"/>
  <c r="D4737" i="6"/>
  <c r="E4737" i="6"/>
  <c r="F4737" i="6"/>
  <c r="A4738" i="6"/>
  <c r="C4738" i="6" s="1"/>
  <c r="F4738" i="6"/>
  <c r="A4739" i="6"/>
  <c r="C4739" i="6" s="1"/>
  <c r="E4739" i="6"/>
  <c r="F4739" i="6"/>
  <c r="A4740" i="6"/>
  <c r="C4740" i="6" s="1"/>
  <c r="D4740" i="6"/>
  <c r="E4740" i="6"/>
  <c r="F4740" i="6"/>
  <c r="A4741" i="6"/>
  <c r="C4741" i="6"/>
  <c r="D4741" i="6"/>
  <c r="E4741" i="6"/>
  <c r="F4741" i="6"/>
  <c r="A4742" i="6"/>
  <c r="C4742" i="6" s="1"/>
  <c r="F4742" i="6"/>
  <c r="A4743" i="6"/>
  <c r="C4743" i="6" s="1"/>
  <c r="E4743" i="6"/>
  <c r="F4743" i="6"/>
  <c r="A4744" i="6"/>
  <c r="C4744" i="6" s="1"/>
  <c r="D4744" i="6"/>
  <c r="E4744" i="6"/>
  <c r="F4744" i="6"/>
  <c r="A4745" i="6"/>
  <c r="C4745" i="6"/>
  <c r="D4745" i="6"/>
  <c r="E4745" i="6"/>
  <c r="F4745" i="6"/>
  <c r="A4746" i="6"/>
  <c r="C4746" i="6" s="1"/>
  <c r="A4747" i="6"/>
  <c r="C4747" i="6" s="1"/>
  <c r="E4747" i="6"/>
  <c r="F4747" i="6"/>
  <c r="A4748" i="6"/>
  <c r="C4748" i="6" s="1"/>
  <c r="D4748" i="6"/>
  <c r="E4748" i="6"/>
  <c r="F4748" i="6"/>
  <c r="A4749" i="6"/>
  <c r="C4749" i="6"/>
  <c r="D4749" i="6"/>
  <c r="E4749" i="6"/>
  <c r="F4749" i="6"/>
  <c r="A4750" i="6"/>
  <c r="C4750" i="6" s="1"/>
  <c r="F4750" i="6"/>
  <c r="G4751" i="6"/>
  <c r="G4756" i="6"/>
  <c r="A4761" i="6"/>
  <c r="C4761" i="6" s="1"/>
  <c r="E4761" i="6"/>
  <c r="F4761" i="6"/>
  <c r="A4762" i="6"/>
  <c r="C4762" i="6" s="1"/>
  <c r="D4762" i="6"/>
  <c r="E4762" i="6"/>
  <c r="F4762" i="6"/>
  <c r="A4763" i="6"/>
  <c r="C4763" i="6"/>
  <c r="D4763" i="6"/>
  <c r="E4763" i="6"/>
  <c r="F4763" i="6"/>
  <c r="A4764" i="6"/>
  <c r="C4764" i="6" s="1"/>
  <c r="F4764" i="6"/>
  <c r="A4765" i="6"/>
  <c r="C4765" i="6" s="1"/>
  <c r="E4765" i="6"/>
  <c r="F4765" i="6"/>
  <c r="A4766" i="6"/>
  <c r="C4766" i="6" s="1"/>
  <c r="D4766" i="6"/>
  <c r="E4766" i="6"/>
  <c r="F4766" i="6"/>
  <c r="A4767" i="6"/>
  <c r="C4767" i="6"/>
  <c r="D4767" i="6"/>
  <c r="E4767" i="6"/>
  <c r="F4767" i="6"/>
  <c r="A4768" i="6"/>
  <c r="C4768" i="6" s="1"/>
  <c r="F4768" i="6"/>
  <c r="A4769" i="6"/>
  <c r="C4769" i="6" s="1"/>
  <c r="E4769" i="6"/>
  <c r="F4769" i="6"/>
  <c r="A4770" i="6"/>
  <c r="C4770" i="6" s="1"/>
  <c r="D4770" i="6"/>
  <c r="E4770" i="6"/>
  <c r="F4770" i="6"/>
  <c r="A4771" i="6"/>
  <c r="C4771" i="6"/>
  <c r="D4771" i="6"/>
  <c r="E4771" i="6"/>
  <c r="F4771" i="6"/>
  <c r="A4772" i="6"/>
  <c r="D4772" i="6" s="1"/>
  <c r="C4772" i="6"/>
  <c r="A4773" i="6"/>
  <c r="C4773" i="6" s="1"/>
  <c r="F4773" i="6"/>
  <c r="A4774" i="6"/>
  <c r="C4774" i="6" s="1"/>
  <c r="D4774" i="6"/>
  <c r="E4774" i="6"/>
  <c r="F4774" i="6"/>
  <c r="A4775" i="6"/>
  <c r="C4775" i="6"/>
  <c r="D4775" i="6"/>
  <c r="E4775" i="6"/>
  <c r="F4775" i="6"/>
  <c r="G4776" i="6"/>
  <c r="G4781" i="6"/>
  <c r="A4786" i="6"/>
  <c r="D4786" i="6" s="1"/>
  <c r="C4786" i="6"/>
  <c r="A4787" i="6"/>
  <c r="C4787" i="6" s="1"/>
  <c r="F4787" i="6"/>
  <c r="A4788" i="6"/>
  <c r="C4788" i="6" s="1"/>
  <c r="D4788" i="6"/>
  <c r="E4788" i="6"/>
  <c r="F4788" i="6"/>
  <c r="A4789" i="6"/>
  <c r="C4789" i="6"/>
  <c r="D4789" i="6"/>
  <c r="E4789" i="6"/>
  <c r="F4789" i="6"/>
  <c r="A4790" i="6"/>
  <c r="D4790" i="6" s="1"/>
  <c r="C4790" i="6"/>
  <c r="A4791" i="6"/>
  <c r="C4791" i="6" s="1"/>
  <c r="F4791" i="6"/>
  <c r="A4792" i="6"/>
  <c r="C4792" i="6" s="1"/>
  <c r="D4792" i="6"/>
  <c r="E4792" i="6"/>
  <c r="F4792" i="6"/>
  <c r="A4793" i="6"/>
  <c r="C4793" i="6"/>
  <c r="D4793" i="6"/>
  <c r="E4793" i="6"/>
  <c r="F4793" i="6"/>
  <c r="A4794" i="6"/>
  <c r="D4794" i="6" s="1"/>
  <c r="C4794" i="6"/>
  <c r="A4795" i="6"/>
  <c r="C4795" i="6" s="1"/>
  <c r="F4795" i="6"/>
  <c r="A4796" i="6"/>
  <c r="C4796" i="6" s="1"/>
  <c r="D4796" i="6"/>
  <c r="E4796" i="6"/>
  <c r="F4796" i="6"/>
  <c r="A4797" i="6"/>
  <c r="C4797" i="6"/>
  <c r="D4797" i="6"/>
  <c r="E4797" i="6"/>
  <c r="F4797" i="6"/>
  <c r="A4798" i="6"/>
  <c r="D4798" i="6" s="1"/>
  <c r="C4798" i="6"/>
  <c r="A4799" i="6"/>
  <c r="C4799" i="6" s="1"/>
  <c r="F4799" i="6"/>
  <c r="A4800" i="6"/>
  <c r="C4800" i="6" s="1"/>
  <c r="D4800" i="6"/>
  <c r="E4800" i="6"/>
  <c r="F4800" i="6"/>
  <c r="G4801" i="6"/>
  <c r="G4806" i="6"/>
  <c r="A4811" i="6"/>
  <c r="C4811" i="6"/>
  <c r="D4811" i="6"/>
  <c r="E4811" i="6"/>
  <c r="F4811" i="6"/>
  <c r="A4812" i="6"/>
  <c r="D4812" i="6" s="1"/>
  <c r="C4812" i="6"/>
  <c r="A4813" i="6"/>
  <c r="C4813" i="6" s="1"/>
  <c r="F4813" i="6"/>
  <c r="A4814" i="6"/>
  <c r="C4814" i="6" s="1"/>
  <c r="D4814" i="6"/>
  <c r="E4814" i="6"/>
  <c r="F4814" i="6"/>
  <c r="A4815" i="6"/>
  <c r="C4815" i="6"/>
  <c r="D4815" i="6"/>
  <c r="E4815" i="6"/>
  <c r="F4815" i="6"/>
  <c r="A4816" i="6"/>
  <c r="D4816" i="6" s="1"/>
  <c r="C4816" i="6"/>
  <c r="A4817" i="6"/>
  <c r="C4817" i="6" s="1"/>
  <c r="F4817" i="6"/>
  <c r="A4818" i="6"/>
  <c r="C4818" i="6" s="1"/>
  <c r="D4818" i="6"/>
  <c r="E4818" i="6"/>
  <c r="F4818" i="6"/>
  <c r="A4819" i="6"/>
  <c r="C4819" i="6"/>
  <c r="D4819" i="6"/>
  <c r="E4819" i="6"/>
  <c r="F4819" i="6"/>
  <c r="A4820" i="6"/>
  <c r="D4820" i="6" s="1"/>
  <c r="C4820" i="6"/>
  <c r="A4821" i="6"/>
  <c r="C4821" i="6" s="1"/>
  <c r="F4821" i="6"/>
  <c r="A4822" i="6"/>
  <c r="C4822" i="6" s="1"/>
  <c r="D4822" i="6"/>
  <c r="E4822" i="6"/>
  <c r="F4822" i="6"/>
  <c r="A4823" i="6"/>
  <c r="C4823" i="6"/>
  <c r="D4823" i="6"/>
  <c r="E4823" i="6"/>
  <c r="F4823" i="6"/>
  <c r="A4824" i="6"/>
  <c r="D4824" i="6" s="1"/>
  <c r="C4824" i="6"/>
  <c r="A4825" i="6"/>
  <c r="C4825" i="6" s="1"/>
  <c r="F4825" i="6"/>
  <c r="G4826" i="6"/>
  <c r="G4831" i="6"/>
  <c r="A4836" i="6"/>
  <c r="C4836" i="6" s="1"/>
  <c r="D4836" i="6"/>
  <c r="E4836" i="6"/>
  <c r="F4836" i="6"/>
  <c r="A4837" i="6"/>
  <c r="C4837" i="6"/>
  <c r="D4837" i="6"/>
  <c r="E4837" i="6"/>
  <c r="F4837" i="6"/>
  <c r="A4838" i="6"/>
  <c r="D4838" i="6" s="1"/>
  <c r="C4838" i="6"/>
  <c r="F4838" i="6"/>
  <c r="A4839" i="6"/>
  <c r="C4839" i="6" s="1"/>
  <c r="F4839" i="6"/>
  <c r="A4840" i="6"/>
  <c r="C4840" i="6" s="1"/>
  <c r="D4840" i="6"/>
  <c r="E4840" i="6"/>
  <c r="F4840" i="6"/>
  <c r="A4841" i="6"/>
  <c r="C4841" i="6"/>
  <c r="D4841" i="6"/>
  <c r="E4841" i="6"/>
  <c r="F4841" i="6"/>
  <c r="A4842" i="6"/>
  <c r="D4842" i="6" s="1"/>
  <c r="C4842" i="6"/>
  <c r="F4842" i="6"/>
  <c r="A4843" i="6"/>
  <c r="C4843" i="6" s="1"/>
  <c r="F4843" i="6"/>
  <c r="A4844" i="6"/>
  <c r="C4844" i="6" s="1"/>
  <c r="D4844" i="6"/>
  <c r="E4844" i="6"/>
  <c r="F4844" i="6"/>
  <c r="A4845" i="6"/>
  <c r="C4845" i="6"/>
  <c r="D4845" i="6"/>
  <c r="E4845" i="6"/>
  <c r="F4845" i="6"/>
  <c r="A4846" i="6"/>
  <c r="D4846" i="6" s="1"/>
  <c r="C4846" i="6"/>
  <c r="F4846" i="6"/>
  <c r="A4847" i="6"/>
  <c r="C4847" i="6" s="1"/>
  <c r="F4847" i="6"/>
  <c r="A4848" i="6"/>
  <c r="C4848" i="6" s="1"/>
  <c r="D4848" i="6"/>
  <c r="E4848" i="6"/>
  <c r="F4848" i="6"/>
  <c r="A4849" i="6"/>
  <c r="C4849" i="6"/>
  <c r="D4849" i="6"/>
  <c r="E4849" i="6"/>
  <c r="F4849" i="6"/>
  <c r="A4850" i="6"/>
  <c r="D4850" i="6" s="1"/>
  <c r="C4850" i="6"/>
  <c r="F4850" i="6"/>
  <c r="G4851" i="6"/>
  <c r="G4856" i="6"/>
  <c r="A4861" i="6"/>
  <c r="C4861" i="6" s="1"/>
  <c r="F4861" i="6"/>
  <c r="A4862" i="6"/>
  <c r="C4862" i="6" s="1"/>
  <c r="D4862" i="6"/>
  <c r="E4862" i="6"/>
  <c r="F4862" i="6"/>
  <c r="A4863" i="6"/>
  <c r="C4863" i="6"/>
  <c r="D4863" i="6"/>
  <c r="E4863" i="6"/>
  <c r="F4863" i="6"/>
  <c r="A4864" i="6"/>
  <c r="D4864" i="6" s="1"/>
  <c r="C4864" i="6"/>
  <c r="A4865" i="6"/>
  <c r="C4865" i="6" s="1"/>
  <c r="F4865" i="6"/>
  <c r="A4866" i="6"/>
  <c r="C4866" i="6" s="1"/>
  <c r="D4866" i="6"/>
  <c r="E4866" i="6"/>
  <c r="F4866" i="6"/>
  <c r="A4867" i="6"/>
  <c r="C4867" i="6"/>
  <c r="D4867" i="6"/>
  <c r="E4867" i="6"/>
  <c r="F4867" i="6"/>
  <c r="A4868" i="6"/>
  <c r="D4868" i="6" s="1"/>
  <c r="C4868" i="6"/>
  <c r="A4869" i="6"/>
  <c r="C4869" i="6" s="1"/>
  <c r="F4869" i="6"/>
  <c r="A4870" i="6"/>
  <c r="C4870" i="6" s="1"/>
  <c r="D4870" i="6"/>
  <c r="E4870" i="6"/>
  <c r="F4870" i="6"/>
  <c r="A4871" i="6"/>
  <c r="C4871" i="6"/>
  <c r="D4871" i="6"/>
  <c r="E4871" i="6"/>
  <c r="F4871" i="6"/>
  <c r="A4872" i="6"/>
  <c r="D4872" i="6" s="1"/>
  <c r="C4872" i="6"/>
  <c r="A4873" i="6"/>
  <c r="C4873" i="6" s="1"/>
  <c r="F4873" i="6"/>
  <c r="A4874" i="6"/>
  <c r="C4874" i="6" s="1"/>
  <c r="D4874" i="6"/>
  <c r="E4874" i="6"/>
  <c r="F4874" i="6"/>
  <c r="A4875" i="6"/>
  <c r="C4875" i="6"/>
  <c r="D4875" i="6"/>
  <c r="E4875" i="6"/>
  <c r="F4875" i="6"/>
  <c r="G4876" i="6"/>
  <c r="G4881" i="6"/>
  <c r="A4886" i="6"/>
  <c r="D4886" i="6" s="1"/>
  <c r="C4886" i="6"/>
  <c r="A4887" i="6"/>
  <c r="C4887" i="6" s="1"/>
  <c r="F4887" i="6"/>
  <c r="A4888" i="6"/>
  <c r="C4888" i="6" s="1"/>
  <c r="D4888" i="6"/>
  <c r="E4888" i="6"/>
  <c r="F4888" i="6"/>
  <c r="A4889" i="6"/>
  <c r="C4889" i="6"/>
  <c r="D4889" i="6"/>
  <c r="E4889" i="6"/>
  <c r="F4889" i="6"/>
  <c r="A4890" i="6"/>
  <c r="D4890" i="6" s="1"/>
  <c r="C4890" i="6"/>
  <c r="A4891" i="6"/>
  <c r="C4891" i="6" s="1"/>
  <c r="F4891" i="6"/>
  <c r="A4892" i="6"/>
  <c r="C4892" i="6" s="1"/>
  <c r="D4892" i="6"/>
  <c r="E4892" i="6"/>
  <c r="F4892" i="6"/>
  <c r="A4893" i="6"/>
  <c r="C4893" i="6"/>
  <c r="D4893" i="6"/>
  <c r="E4893" i="6"/>
  <c r="F4893" i="6"/>
  <c r="A4894" i="6"/>
  <c r="D4894" i="6" s="1"/>
  <c r="C4894" i="6"/>
  <c r="A4895" i="6"/>
  <c r="C4895" i="6" s="1"/>
  <c r="F4895" i="6"/>
  <c r="A4896" i="6"/>
  <c r="C4896" i="6" s="1"/>
  <c r="D4896" i="6"/>
  <c r="E4896" i="6"/>
  <c r="F4896" i="6"/>
  <c r="A4897" i="6"/>
  <c r="C4897" i="6"/>
  <c r="D4897" i="6"/>
  <c r="E4897" i="6"/>
  <c r="F4897" i="6"/>
  <c r="A4898" i="6"/>
  <c r="D4898" i="6" s="1"/>
  <c r="C4898" i="6"/>
  <c r="A4899" i="6"/>
  <c r="C4899" i="6" s="1"/>
  <c r="F4899" i="6"/>
  <c r="A4900" i="6"/>
  <c r="C4900" i="6" s="1"/>
  <c r="D4900" i="6"/>
  <c r="E4900" i="6"/>
  <c r="F4900" i="6"/>
  <c r="G4901" i="6"/>
  <c r="G4906" i="6"/>
  <c r="A4911" i="6"/>
  <c r="C4911" i="6"/>
  <c r="D4911" i="6"/>
  <c r="E4911" i="6"/>
  <c r="F4911" i="6"/>
  <c r="A4912" i="6"/>
  <c r="D4912" i="6" s="1"/>
  <c r="C4912" i="6"/>
  <c r="F4912" i="6"/>
  <c r="A4913" i="6"/>
  <c r="C4913" i="6" s="1"/>
  <c r="F4913" i="6"/>
  <c r="A4914" i="6"/>
  <c r="C4914" i="6" s="1"/>
  <c r="D4914" i="6"/>
  <c r="E4914" i="6"/>
  <c r="F4914" i="6"/>
  <c r="A4915" i="6"/>
  <c r="C4915" i="6"/>
  <c r="D4915" i="6"/>
  <c r="E4915" i="6"/>
  <c r="F4915" i="6"/>
  <c r="A4916" i="6"/>
  <c r="D4916" i="6" s="1"/>
  <c r="C4916" i="6"/>
  <c r="F4916" i="6"/>
  <c r="A4917" i="6"/>
  <c r="C4917" i="6" s="1"/>
  <c r="F4917" i="6"/>
  <c r="A4918" i="6"/>
  <c r="C4918" i="6" s="1"/>
  <c r="D4918" i="6"/>
  <c r="E4918" i="6"/>
  <c r="F4918" i="6"/>
  <c r="A4919" i="6"/>
  <c r="C4919" i="6"/>
  <c r="D4919" i="6"/>
  <c r="E4919" i="6"/>
  <c r="F4919" i="6"/>
  <c r="A4920" i="6"/>
  <c r="D4920" i="6" s="1"/>
  <c r="C4920" i="6"/>
  <c r="F4920" i="6"/>
  <c r="A4921" i="6"/>
  <c r="C4921" i="6" s="1"/>
  <c r="F4921" i="6"/>
  <c r="A4922" i="6"/>
  <c r="C4922" i="6" s="1"/>
  <c r="D4922" i="6"/>
  <c r="E4922" i="6"/>
  <c r="F4922" i="6"/>
  <c r="A4923" i="6"/>
  <c r="C4923" i="6"/>
  <c r="D4923" i="6"/>
  <c r="E4923" i="6"/>
  <c r="F4923" i="6"/>
  <c r="A4924" i="6"/>
  <c r="D4924" i="6" s="1"/>
  <c r="C4924" i="6"/>
  <c r="F4924" i="6"/>
  <c r="A4925" i="6"/>
  <c r="C4925" i="6" s="1"/>
  <c r="F4925" i="6"/>
  <c r="G4926" i="6"/>
  <c r="G4931" i="6"/>
  <c r="A4936" i="6"/>
  <c r="C4936" i="6" s="1"/>
  <c r="D4936" i="6"/>
  <c r="E4936" i="6"/>
  <c r="F4936" i="6"/>
  <c r="A4937" i="6"/>
  <c r="C4937" i="6"/>
  <c r="D4937" i="6"/>
  <c r="E4937" i="6"/>
  <c r="F4937" i="6"/>
  <c r="A4938" i="6"/>
  <c r="D4938" i="6" s="1"/>
  <c r="C4938" i="6"/>
  <c r="F4938" i="6"/>
  <c r="A4939" i="6"/>
  <c r="C4939" i="6" s="1"/>
  <c r="F4939" i="6"/>
  <c r="A4940" i="6"/>
  <c r="C4940" i="6" s="1"/>
  <c r="D4940" i="6"/>
  <c r="E4940" i="6"/>
  <c r="F4940" i="6"/>
  <c r="A4941" i="6"/>
  <c r="C4941" i="6"/>
  <c r="D4941" i="6"/>
  <c r="E4941" i="6"/>
  <c r="F4941" i="6"/>
  <c r="A4942" i="6"/>
  <c r="D4942" i="6" s="1"/>
  <c r="C4942" i="6"/>
  <c r="F4942" i="6"/>
  <c r="A4943" i="6"/>
  <c r="C4943" i="6" s="1"/>
  <c r="F4943" i="6"/>
  <c r="A4944" i="6"/>
  <c r="C4944" i="6" s="1"/>
  <c r="D4944" i="6"/>
  <c r="E4944" i="6"/>
  <c r="F4944" i="6"/>
  <c r="A4945" i="6"/>
  <c r="C4945" i="6"/>
  <c r="D4945" i="6"/>
  <c r="E4945" i="6"/>
  <c r="F4945" i="6"/>
  <c r="A4946" i="6"/>
  <c r="D4946" i="6" s="1"/>
  <c r="C4946" i="6"/>
  <c r="F4946" i="6"/>
  <c r="A4947" i="6"/>
  <c r="C4947" i="6" s="1"/>
  <c r="F4947" i="6"/>
  <c r="A4948" i="6"/>
  <c r="C4948" i="6" s="1"/>
  <c r="D4948" i="6"/>
  <c r="E4948" i="6"/>
  <c r="F4948" i="6"/>
  <c r="A4949" i="6"/>
  <c r="C4949" i="6"/>
  <c r="D4949" i="6"/>
  <c r="E4949" i="6"/>
  <c r="F4949" i="6"/>
  <c r="A4950" i="6"/>
  <c r="D4950" i="6" s="1"/>
  <c r="C4950" i="6"/>
  <c r="G4951" i="6"/>
  <c r="G4956" i="6"/>
  <c r="A4961" i="6"/>
  <c r="C4961" i="6" s="1"/>
  <c r="F4961" i="6"/>
  <c r="A4962" i="6"/>
  <c r="C4962" i="6" s="1"/>
  <c r="D4962" i="6"/>
  <c r="E4962" i="6"/>
  <c r="F4962" i="6"/>
  <c r="A4963" i="6"/>
  <c r="C4963" i="6"/>
  <c r="D4963" i="6"/>
  <c r="E4963" i="6"/>
  <c r="F4963" i="6"/>
  <c r="A4964" i="6"/>
  <c r="D4964" i="6" s="1"/>
  <c r="C4964" i="6"/>
  <c r="F4964" i="6"/>
  <c r="A4965" i="6"/>
  <c r="C4965" i="6" s="1"/>
  <c r="F4965" i="6"/>
  <c r="A4966" i="6"/>
  <c r="C4966" i="6" s="1"/>
  <c r="D4966" i="6"/>
  <c r="E4966" i="6"/>
  <c r="F4966" i="6"/>
  <c r="A4967" i="6"/>
  <c r="C4967" i="6"/>
  <c r="D4967" i="6"/>
  <c r="E4967" i="6"/>
  <c r="F4967" i="6"/>
  <c r="A4968" i="6"/>
  <c r="D4968" i="6" s="1"/>
  <c r="C4968" i="6"/>
  <c r="F4968" i="6"/>
  <c r="A4969" i="6"/>
  <c r="C4969" i="6" s="1"/>
  <c r="F4969" i="6"/>
  <c r="A4970" i="6"/>
  <c r="C4970" i="6" s="1"/>
  <c r="D4970" i="6"/>
  <c r="E4970" i="6"/>
  <c r="F4970" i="6"/>
  <c r="A4971" i="6"/>
  <c r="C4971" i="6"/>
  <c r="D4971" i="6"/>
  <c r="E4971" i="6"/>
  <c r="F4971" i="6"/>
  <c r="A4972" i="6"/>
  <c r="D4972" i="6" s="1"/>
  <c r="C4972" i="6"/>
  <c r="F4972" i="6"/>
  <c r="A4973" i="6"/>
  <c r="C4973" i="6" s="1"/>
  <c r="F4973" i="6"/>
  <c r="A4974" i="6"/>
  <c r="C4974" i="6" s="1"/>
  <c r="D4974" i="6"/>
  <c r="E4974" i="6"/>
  <c r="F4974" i="6"/>
  <c r="A4975" i="6"/>
  <c r="C4975" i="6"/>
  <c r="D4975" i="6"/>
  <c r="E4975" i="6"/>
  <c r="F4975" i="6"/>
  <c r="G4976" i="6"/>
  <c r="G4981" i="6"/>
  <c r="A4986" i="6"/>
  <c r="D4986" i="6" s="1"/>
  <c r="C4986" i="6"/>
  <c r="A4987" i="6"/>
  <c r="C4987" i="6" s="1"/>
  <c r="F4987" i="6"/>
  <c r="A4988" i="6"/>
  <c r="C4988" i="6" s="1"/>
  <c r="D4988" i="6"/>
  <c r="E4988" i="6"/>
  <c r="F4988" i="6"/>
  <c r="A4989" i="6"/>
  <c r="C4989" i="6"/>
  <c r="D4989" i="6"/>
  <c r="E4989" i="6"/>
  <c r="F4989" i="6"/>
  <c r="A4990" i="6"/>
  <c r="D4990" i="6" s="1"/>
  <c r="C4990" i="6"/>
  <c r="A4991" i="6"/>
  <c r="C4991" i="6" s="1"/>
  <c r="F4991" i="6"/>
  <c r="A4992" i="6"/>
  <c r="C4992" i="6" s="1"/>
  <c r="D4992" i="6"/>
  <c r="E4992" i="6"/>
  <c r="F4992" i="6"/>
  <c r="A4993" i="6"/>
  <c r="C4993" i="6"/>
  <c r="D4993" i="6"/>
  <c r="E4993" i="6"/>
  <c r="F4993" i="6"/>
  <c r="A4994" i="6"/>
  <c r="D4994" i="6" s="1"/>
  <c r="C4994" i="6"/>
  <c r="A4995" i="6"/>
  <c r="C4995" i="6" s="1"/>
  <c r="F4995" i="6"/>
  <c r="A4996" i="6"/>
  <c r="C4996" i="6" s="1"/>
  <c r="D4996" i="6"/>
  <c r="E4996" i="6"/>
  <c r="F4996" i="6"/>
  <c r="A4997" i="6"/>
  <c r="C4997" i="6"/>
  <c r="D4997" i="6"/>
  <c r="E4997" i="6"/>
  <c r="F4997" i="6"/>
  <c r="A4998" i="6"/>
  <c r="D4998" i="6" s="1"/>
  <c r="C4998" i="6"/>
  <c r="F4998" i="6"/>
  <c r="A4999" i="6"/>
  <c r="C4999" i="6" s="1"/>
  <c r="F4999" i="6"/>
  <c r="A5000" i="6"/>
  <c r="C5000" i="6" s="1"/>
  <c r="D5000" i="6"/>
  <c r="E5000" i="6"/>
  <c r="F5000" i="6"/>
  <c r="G5001" i="6"/>
  <c r="G5006" i="6"/>
  <c r="A5011" i="6"/>
  <c r="C5011" i="6"/>
  <c r="D5011" i="6"/>
  <c r="E5011" i="6"/>
  <c r="F5011" i="6"/>
  <c r="A5012" i="6"/>
  <c r="D5012" i="6" s="1"/>
  <c r="C5012" i="6"/>
  <c r="F5012" i="6"/>
  <c r="A5013" i="6"/>
  <c r="C5013" i="6" s="1"/>
  <c r="F5013" i="6"/>
  <c r="A5014" i="6"/>
  <c r="C5014" i="6" s="1"/>
  <c r="D5014" i="6"/>
  <c r="E5014" i="6"/>
  <c r="F5014" i="6"/>
  <c r="A5015" i="6"/>
  <c r="C5015" i="6"/>
  <c r="D5015" i="6"/>
  <c r="E5015" i="6"/>
  <c r="F5015" i="6"/>
  <c r="A5016" i="6"/>
  <c r="D5016" i="6" s="1"/>
  <c r="C5016" i="6"/>
  <c r="A5017" i="6"/>
  <c r="C5017" i="6" s="1"/>
  <c r="F5017" i="6"/>
  <c r="A5018" i="6"/>
  <c r="C5018" i="6" s="1"/>
  <c r="D5018" i="6"/>
  <c r="E5018" i="6"/>
  <c r="F5018" i="6"/>
  <c r="A5019" i="6"/>
  <c r="C5019" i="6"/>
  <c r="D5019" i="6"/>
  <c r="E5019" i="6"/>
  <c r="F5019" i="6"/>
  <c r="A5020" i="6"/>
  <c r="D5020" i="6" s="1"/>
  <c r="C5020" i="6"/>
  <c r="A5021" i="6"/>
  <c r="C5021" i="6" s="1"/>
  <c r="F5021" i="6"/>
  <c r="A5022" i="6"/>
  <c r="C5022" i="6" s="1"/>
  <c r="D5022" i="6"/>
  <c r="E5022" i="6"/>
  <c r="F5022" i="6"/>
  <c r="A5023" i="6"/>
  <c r="C5023" i="6"/>
  <c r="D5023" i="6"/>
  <c r="E5023" i="6"/>
  <c r="F5023" i="6"/>
  <c r="A5024" i="6"/>
  <c r="D5024" i="6" s="1"/>
  <c r="C5024" i="6"/>
  <c r="F5024" i="6"/>
  <c r="A5025" i="6"/>
  <c r="F5025" i="6" s="1"/>
  <c r="G5026" i="6"/>
  <c r="G5031" i="6"/>
  <c r="A5036" i="6"/>
  <c r="C5036" i="6" s="1"/>
  <c r="D5036" i="6"/>
  <c r="E5036" i="6"/>
  <c r="F5036" i="6"/>
  <c r="A5037" i="6"/>
  <c r="C5037" i="6"/>
  <c r="D5037" i="6"/>
  <c r="E5037" i="6"/>
  <c r="F5037" i="6"/>
  <c r="A5038" i="6"/>
  <c r="D5038" i="6" s="1"/>
  <c r="C5038" i="6"/>
  <c r="F5038" i="6"/>
  <c r="A5039" i="6"/>
  <c r="C5039" i="6" s="1"/>
  <c r="F5039" i="6"/>
  <c r="A5040" i="6"/>
  <c r="C5040" i="6" s="1"/>
  <c r="D5040" i="6"/>
  <c r="E5040" i="6"/>
  <c r="F5040" i="6"/>
  <c r="A5041" i="6"/>
  <c r="C5041" i="6"/>
  <c r="D5041" i="6"/>
  <c r="E5041" i="6"/>
  <c r="F5041" i="6"/>
  <c r="A5042" i="6"/>
  <c r="D5042" i="6" s="1"/>
  <c r="C5042" i="6"/>
  <c r="F5042" i="6"/>
  <c r="A5043" i="6"/>
  <c r="F5043" i="6" s="1"/>
  <c r="A5044" i="6"/>
  <c r="C5044" i="6" s="1"/>
  <c r="D5044" i="6"/>
  <c r="E5044" i="6"/>
  <c r="F5044" i="6"/>
  <c r="A5045" i="6"/>
  <c r="C5045" i="6"/>
  <c r="D5045" i="6"/>
  <c r="E5045" i="6"/>
  <c r="F5045" i="6"/>
  <c r="A5046" i="6"/>
  <c r="D5046" i="6" s="1"/>
  <c r="C5046" i="6"/>
  <c r="F5046" i="6"/>
  <c r="A5047" i="6"/>
  <c r="C5047" i="6" s="1"/>
  <c r="F5047" i="6"/>
  <c r="A5048" i="6"/>
  <c r="C5048" i="6" s="1"/>
  <c r="D5048" i="6"/>
  <c r="E5048" i="6"/>
  <c r="F5048" i="6"/>
  <c r="A5049" i="6"/>
  <c r="C5049" i="6"/>
  <c r="D5049" i="6"/>
  <c r="E5049" i="6"/>
  <c r="F5049" i="6"/>
  <c r="A5050" i="6"/>
  <c r="D5050" i="6" s="1"/>
  <c r="C5050" i="6"/>
  <c r="F5050" i="6"/>
  <c r="G5051" i="6"/>
  <c r="G5056" i="6"/>
  <c r="A5061" i="6"/>
  <c r="C5061" i="6" s="1"/>
  <c r="A5062" i="6"/>
  <c r="C5062" i="6" s="1"/>
  <c r="D5062" i="6"/>
  <c r="E5062" i="6"/>
  <c r="F5062" i="6"/>
  <c r="A5063" i="6"/>
  <c r="C5063" i="6"/>
  <c r="D5063" i="6"/>
  <c r="E5063" i="6"/>
  <c r="F5063" i="6"/>
  <c r="A5064" i="6"/>
  <c r="D5064" i="6" s="1"/>
  <c r="C5064" i="6"/>
  <c r="F5064" i="6"/>
  <c r="A5065" i="6"/>
  <c r="C5065" i="6" s="1"/>
  <c r="F5065" i="6"/>
  <c r="A5066" i="6"/>
  <c r="C5066" i="6" s="1"/>
  <c r="D5066" i="6"/>
  <c r="E5066" i="6"/>
  <c r="F5066" i="6"/>
  <c r="A5067" i="6"/>
  <c r="C5067" i="6"/>
  <c r="D5067" i="6"/>
  <c r="E5067" i="6"/>
  <c r="F5067" i="6"/>
  <c r="A5068" i="6"/>
  <c r="D5068" i="6" s="1"/>
  <c r="C5068" i="6"/>
  <c r="F5068" i="6"/>
  <c r="A5069" i="6"/>
  <c r="C5069" i="6" s="1"/>
  <c r="F5069" i="6"/>
  <c r="A5070" i="6"/>
  <c r="C5070" i="6" s="1"/>
  <c r="D5070" i="6"/>
  <c r="E5070" i="6"/>
  <c r="F5070" i="6"/>
  <c r="A5071" i="6"/>
  <c r="C5071" i="6"/>
  <c r="D5071" i="6"/>
  <c r="E5071" i="6"/>
  <c r="F5071" i="6"/>
  <c r="A5072" i="6"/>
  <c r="D5072" i="6" s="1"/>
  <c r="C5072" i="6"/>
  <c r="F5072" i="6"/>
  <c r="A5073" i="6"/>
  <c r="C5073" i="6" s="1"/>
  <c r="F5073" i="6"/>
  <c r="A5074" i="6"/>
  <c r="C5074" i="6" s="1"/>
  <c r="D5074" i="6"/>
  <c r="E5074" i="6"/>
  <c r="F5074" i="6"/>
  <c r="A5075" i="6"/>
  <c r="C5075" i="6"/>
  <c r="D5075" i="6"/>
  <c r="E5075" i="6"/>
  <c r="F5075" i="6"/>
  <c r="A5076" i="6"/>
  <c r="D5076" i="6" s="1"/>
  <c r="C5076" i="6"/>
  <c r="A5077" i="6"/>
  <c r="C5077" i="6" s="1"/>
  <c r="A5078" i="6"/>
  <c r="C5078" i="6" s="1"/>
  <c r="D5078" i="6"/>
  <c r="E5078" i="6"/>
  <c r="F5078" i="6"/>
  <c r="A5079" i="6"/>
  <c r="C5079" i="6"/>
  <c r="D5079" i="6"/>
  <c r="E5079" i="6"/>
  <c r="F5079" i="6"/>
  <c r="A5080" i="6"/>
  <c r="D5080" i="6" s="1"/>
  <c r="C5080" i="6"/>
  <c r="F5080" i="6"/>
  <c r="A5081" i="6"/>
  <c r="C5081" i="6" s="1"/>
  <c r="F5081" i="6"/>
  <c r="A5082" i="6"/>
  <c r="C5082" i="6" s="1"/>
  <c r="D5082" i="6"/>
  <c r="E5082" i="6"/>
  <c r="F5082" i="6"/>
  <c r="A5083" i="6"/>
  <c r="C5083" i="6"/>
  <c r="D5083" i="6"/>
  <c r="E5083" i="6"/>
  <c r="F5083" i="6"/>
  <c r="A5084" i="6"/>
  <c r="D5084" i="6" s="1"/>
  <c r="C5084" i="6"/>
  <c r="F5084" i="6"/>
  <c r="A5085" i="6"/>
  <c r="C5085" i="6" s="1"/>
  <c r="F5085" i="6"/>
  <c r="A5086" i="6"/>
  <c r="C5086" i="6" s="1"/>
  <c r="D5086" i="6"/>
  <c r="E5086" i="6"/>
  <c r="F5086" i="6"/>
  <c r="A5087" i="6"/>
  <c r="C5087" i="6"/>
  <c r="D5087" i="6"/>
  <c r="E5087" i="6"/>
  <c r="F5087" i="6"/>
  <c r="A5088" i="6"/>
  <c r="D5088" i="6" s="1"/>
  <c r="C5088" i="6"/>
  <c r="F5088" i="6"/>
  <c r="A5089" i="6"/>
  <c r="C5089" i="6" s="1"/>
  <c r="F5089" i="6"/>
  <c r="A5090" i="6"/>
  <c r="C5090" i="6" s="1"/>
  <c r="D5090" i="6"/>
  <c r="E5090" i="6"/>
  <c r="F5090" i="6"/>
  <c r="A5091" i="6"/>
  <c r="C5091" i="6"/>
  <c r="D5091" i="6"/>
  <c r="E5091" i="6"/>
  <c r="F5091" i="6"/>
  <c r="A5092" i="6"/>
  <c r="D5092" i="6" s="1"/>
  <c r="C5092" i="6"/>
  <c r="F5092" i="6"/>
  <c r="A5093" i="6"/>
  <c r="C5093" i="6" s="1"/>
  <c r="A5094" i="6"/>
  <c r="C5094" i="6" s="1"/>
  <c r="D5094" i="6"/>
  <c r="E5094" i="6"/>
  <c r="F5094" i="6"/>
  <c r="A5095" i="6"/>
  <c r="C5095" i="6"/>
  <c r="D5095" i="6"/>
  <c r="E5095" i="6"/>
  <c r="F5095" i="6"/>
  <c r="A5096" i="6"/>
  <c r="D5096" i="6" s="1"/>
  <c r="C5096" i="6"/>
  <c r="F5096" i="6"/>
  <c r="A5097" i="6"/>
  <c r="C5097" i="6" s="1"/>
  <c r="F5097" i="6"/>
  <c r="A5098" i="6"/>
  <c r="C5098" i="6" s="1"/>
  <c r="D5098" i="6"/>
  <c r="E5098" i="6"/>
  <c r="F5098" i="6"/>
  <c r="G5104" i="6"/>
  <c r="A5109" i="6"/>
  <c r="C5109" i="6" s="1"/>
  <c r="D5109" i="6"/>
  <c r="E5109" i="6"/>
  <c r="F5109" i="6"/>
  <c r="A5110" i="6"/>
  <c r="C5110" i="6"/>
  <c r="D5110" i="6"/>
  <c r="E5110" i="6"/>
  <c r="F5110" i="6"/>
  <c r="A5111" i="6"/>
  <c r="D5111" i="6" s="1"/>
  <c r="C5111" i="6"/>
  <c r="F5111" i="6"/>
  <c r="A5112" i="6"/>
  <c r="C5112" i="6" s="1"/>
  <c r="F5112" i="6"/>
  <c r="A5113" i="6"/>
  <c r="C5113" i="6" s="1"/>
  <c r="D5113" i="6"/>
  <c r="E5113" i="6"/>
  <c r="F5113" i="6"/>
  <c r="A5114" i="6"/>
  <c r="C5114" i="6"/>
  <c r="D5114" i="6"/>
  <c r="E5114" i="6"/>
  <c r="F5114" i="6"/>
  <c r="A5115" i="6"/>
  <c r="D5115" i="6" s="1"/>
  <c r="C5115" i="6"/>
  <c r="F5115" i="6"/>
  <c r="A5116" i="6"/>
  <c r="C5116" i="6" s="1"/>
  <c r="A5117" i="6"/>
  <c r="C5117" i="6" s="1"/>
  <c r="D5117" i="6"/>
  <c r="E5117" i="6"/>
  <c r="F5117" i="6"/>
  <c r="A5118" i="6"/>
  <c r="C5118" i="6"/>
  <c r="D5118" i="6"/>
  <c r="E5118" i="6"/>
  <c r="F5118" i="6"/>
  <c r="A5119" i="6"/>
  <c r="D5119" i="6" s="1"/>
  <c r="C5119" i="6"/>
  <c r="F5119" i="6"/>
  <c r="A5120" i="6"/>
  <c r="C5120" i="6" s="1"/>
  <c r="F5120" i="6"/>
  <c r="A5121" i="6"/>
  <c r="C5121" i="6" s="1"/>
  <c r="D5121" i="6"/>
  <c r="E5121" i="6"/>
  <c r="F5121" i="6"/>
  <c r="A5122" i="6"/>
  <c r="C5122" i="6"/>
  <c r="D5122" i="6"/>
  <c r="E5122" i="6"/>
  <c r="F5122" i="6"/>
  <c r="A5123" i="6"/>
  <c r="D5123" i="6" s="1"/>
  <c r="C5123" i="6"/>
  <c r="F5123" i="6"/>
  <c r="G5124" i="6"/>
  <c r="G5129" i="6"/>
  <c r="A5134" i="6"/>
  <c r="F5134" i="6" s="1"/>
  <c r="A5135" i="6"/>
  <c r="C5135" i="6" s="1"/>
  <c r="D5135" i="6"/>
  <c r="E5135" i="6"/>
  <c r="F5135" i="6"/>
  <c r="A5136" i="6"/>
  <c r="C5136" i="6"/>
  <c r="D5136" i="6"/>
  <c r="E5136" i="6"/>
  <c r="F5136" i="6"/>
  <c r="A5137" i="6"/>
  <c r="D5137" i="6" s="1"/>
  <c r="C5137" i="6"/>
  <c r="F5137" i="6"/>
  <c r="A5138" i="6"/>
  <c r="C5138" i="6" s="1"/>
  <c r="A5139" i="6"/>
  <c r="C5139" i="6" s="1"/>
  <c r="D5139" i="6"/>
  <c r="E5139" i="6"/>
  <c r="F5139" i="6"/>
  <c r="A5140" i="6"/>
  <c r="C5140" i="6"/>
  <c r="D5140" i="6"/>
  <c r="E5140" i="6"/>
  <c r="F5140" i="6"/>
  <c r="A5141" i="6"/>
  <c r="D5141" i="6" s="1"/>
  <c r="C5141" i="6"/>
  <c r="F5141" i="6"/>
  <c r="A5142" i="6"/>
  <c r="C5142" i="6" s="1"/>
  <c r="A5143" i="6"/>
  <c r="C5143" i="6" s="1"/>
  <c r="D5143" i="6"/>
  <c r="E5143" i="6"/>
  <c r="F5143" i="6"/>
  <c r="A5144" i="6"/>
  <c r="C5144" i="6"/>
  <c r="D5144" i="6"/>
  <c r="E5144" i="6"/>
  <c r="F5144" i="6"/>
  <c r="A5145" i="6"/>
  <c r="D5145" i="6" s="1"/>
  <c r="C5145" i="6"/>
  <c r="A5146" i="6"/>
  <c r="F5146" i="6" s="1"/>
  <c r="A5147" i="6"/>
  <c r="C5147" i="6" s="1"/>
  <c r="D5147" i="6"/>
  <c r="E5147" i="6"/>
  <c r="F5147" i="6"/>
  <c r="A5148" i="6"/>
  <c r="C5148" i="6"/>
  <c r="D5148" i="6"/>
  <c r="E5148" i="6"/>
  <c r="F5148" i="6"/>
  <c r="G5149" i="6"/>
  <c r="G5154" i="6"/>
  <c r="A5159" i="6"/>
  <c r="D5159" i="6" s="1"/>
  <c r="C5159" i="6"/>
  <c r="F5159" i="6"/>
  <c r="A5160" i="6"/>
  <c r="F5160" i="6" s="1"/>
  <c r="A5161" i="6"/>
  <c r="C5161" i="6" s="1"/>
  <c r="D5161" i="6"/>
  <c r="E5161" i="6"/>
  <c r="F5161" i="6"/>
  <c r="A5162" i="6"/>
  <c r="C5162" i="6"/>
  <c r="D5162" i="6"/>
  <c r="E5162" i="6"/>
  <c r="F5162" i="6"/>
  <c r="A5163" i="6"/>
  <c r="D5163" i="6" s="1"/>
  <c r="C5163" i="6"/>
  <c r="F5163" i="6"/>
  <c r="A5164" i="6"/>
  <c r="C5164" i="6" s="1"/>
  <c r="A5165" i="6"/>
  <c r="C5165" i="6" s="1"/>
  <c r="D5165" i="6"/>
  <c r="E5165" i="6"/>
  <c r="F5165" i="6"/>
  <c r="A5166" i="6"/>
  <c r="C5166" i="6"/>
  <c r="D5166" i="6"/>
  <c r="E5166" i="6"/>
  <c r="F5166" i="6"/>
  <c r="A5167" i="6"/>
  <c r="D5167" i="6" s="1"/>
  <c r="C5167" i="6"/>
  <c r="F5167" i="6"/>
  <c r="A5168" i="6"/>
  <c r="C5168" i="6" s="1"/>
  <c r="A5169" i="6"/>
  <c r="C5169" i="6" s="1"/>
  <c r="D5169" i="6"/>
  <c r="E5169" i="6"/>
  <c r="F5169" i="6"/>
  <c r="A5170" i="6"/>
  <c r="C5170" i="6"/>
  <c r="D5170" i="6"/>
  <c r="E5170" i="6"/>
  <c r="F5170" i="6"/>
  <c r="A5171" i="6"/>
  <c r="D5171" i="6" s="1"/>
  <c r="C5171" i="6"/>
  <c r="A5172" i="6"/>
  <c r="C5172" i="6" s="1"/>
  <c r="A5173" i="6"/>
  <c r="C5173" i="6" s="1"/>
  <c r="D5173" i="6"/>
  <c r="E5173" i="6"/>
  <c r="F5173" i="6"/>
  <c r="G5174" i="6"/>
  <c r="G5179" i="6"/>
  <c r="A5184" i="6"/>
  <c r="C5184" i="6"/>
  <c r="D5184" i="6"/>
  <c r="E5184" i="6"/>
  <c r="F5184" i="6"/>
  <c r="A5185" i="6"/>
  <c r="D5185" i="6" s="1"/>
  <c r="C5185" i="6"/>
  <c r="F5185" i="6"/>
  <c r="A5186" i="6"/>
  <c r="C5186" i="6" s="1"/>
  <c r="A5187" i="6"/>
  <c r="C5187" i="6" s="1"/>
  <c r="D5187" i="6"/>
  <c r="E5187" i="6"/>
  <c r="F5187" i="6"/>
  <c r="A5188" i="6"/>
  <c r="C5188" i="6"/>
  <c r="D5188" i="6"/>
  <c r="E5188" i="6"/>
  <c r="F5188" i="6"/>
  <c r="A5189" i="6"/>
  <c r="D5189" i="6" s="1"/>
  <c r="C5189" i="6"/>
  <c r="F5189" i="6"/>
  <c r="A5190" i="6"/>
  <c r="C5190" i="6" s="1"/>
  <c r="A5191" i="6"/>
  <c r="C5191" i="6" s="1"/>
  <c r="D5191" i="6"/>
  <c r="E5191" i="6"/>
  <c r="F5191" i="6"/>
  <c r="A5192" i="6"/>
  <c r="C5192" i="6"/>
  <c r="D5192" i="6"/>
  <c r="E5192" i="6"/>
  <c r="F5192" i="6"/>
  <c r="A5193" i="6"/>
  <c r="D5193" i="6" s="1"/>
  <c r="C5193" i="6"/>
  <c r="A5194" i="6"/>
  <c r="C5194" i="6" s="1"/>
  <c r="A5195" i="6"/>
  <c r="C5195" i="6" s="1"/>
  <c r="D5195" i="6"/>
  <c r="E5195" i="6"/>
  <c r="F5195" i="6"/>
  <c r="A5196" i="6"/>
  <c r="C5196" i="6"/>
  <c r="D5196" i="6"/>
  <c r="E5196" i="6"/>
  <c r="F5196" i="6"/>
  <c r="A5197" i="6"/>
  <c r="D5197" i="6" s="1"/>
  <c r="C5197" i="6"/>
  <c r="F5197" i="6"/>
  <c r="A5198" i="6"/>
  <c r="F5198" i="6" s="1"/>
  <c r="G5199" i="6"/>
  <c r="G5204" i="6"/>
  <c r="A5209" i="6"/>
  <c r="C5209" i="6" s="1"/>
  <c r="D5209" i="6"/>
  <c r="E5209" i="6"/>
  <c r="F5209" i="6"/>
  <c r="A5210" i="6"/>
  <c r="C5210" i="6"/>
  <c r="D5210" i="6"/>
  <c r="E5210" i="6"/>
  <c r="F5210" i="6"/>
  <c r="A5211" i="6"/>
  <c r="D5211" i="6" s="1"/>
  <c r="C5211" i="6"/>
  <c r="F5211" i="6"/>
  <c r="A5212" i="6"/>
  <c r="C5212" i="6" s="1"/>
  <c r="A5213" i="6"/>
  <c r="C5213" i="6" s="1"/>
  <c r="D5213" i="6"/>
  <c r="E5213" i="6"/>
  <c r="F5213" i="6"/>
  <c r="A5214" i="6"/>
  <c r="C5214" i="6"/>
  <c r="D5214" i="6"/>
  <c r="E5214" i="6"/>
  <c r="F5214" i="6"/>
  <c r="A5215" i="6"/>
  <c r="D5215" i="6" s="1"/>
  <c r="C5215" i="6"/>
  <c r="F5215" i="6"/>
  <c r="A5216" i="6"/>
  <c r="C5216" i="6" s="1"/>
  <c r="F5216" i="6"/>
  <c r="A5217" i="6"/>
  <c r="C5217" i="6" s="1"/>
  <c r="D5217" i="6"/>
  <c r="E5217" i="6"/>
  <c r="F5217" i="6"/>
  <c r="A5218" i="6"/>
  <c r="C5218" i="6"/>
  <c r="D5218" i="6"/>
  <c r="E5218" i="6"/>
  <c r="F5218" i="6"/>
  <c r="A5219" i="6"/>
  <c r="D5219" i="6" s="1"/>
  <c r="C5219" i="6"/>
  <c r="A5220" i="6"/>
  <c r="C5220" i="6" s="1"/>
  <c r="A5221" i="6"/>
  <c r="C5221" i="6" s="1"/>
  <c r="D5221" i="6"/>
  <c r="E5221" i="6"/>
  <c r="F5221" i="6"/>
  <c r="A5222" i="6"/>
  <c r="C5222" i="6"/>
  <c r="D5222" i="6"/>
  <c r="E5222" i="6"/>
  <c r="F5222" i="6"/>
  <c r="A5223" i="6"/>
  <c r="D5223" i="6" s="1"/>
  <c r="C5223" i="6"/>
  <c r="F5223" i="6"/>
  <c r="G5224" i="6"/>
  <c r="G5229" i="6"/>
  <c r="A5234" i="6"/>
  <c r="C5234" i="6" s="1"/>
  <c r="A5235" i="6"/>
  <c r="C5235" i="6" s="1"/>
  <c r="D5235" i="6"/>
  <c r="E5235" i="6"/>
  <c r="F5235" i="6"/>
  <c r="A5236" i="6"/>
  <c r="C5236" i="6"/>
  <c r="D5236" i="6"/>
  <c r="E5236" i="6"/>
  <c r="F5236" i="6"/>
  <c r="A5237" i="6"/>
  <c r="D5237" i="6" s="1"/>
  <c r="C5237" i="6"/>
  <c r="F5237" i="6"/>
  <c r="A5238" i="6"/>
  <c r="C5238" i="6" s="1"/>
  <c r="A5239" i="6"/>
  <c r="C5239" i="6" s="1"/>
  <c r="D5239" i="6"/>
  <c r="E5239" i="6"/>
  <c r="F5239" i="6"/>
  <c r="A5240" i="6"/>
  <c r="C5240" i="6"/>
  <c r="D5240" i="6"/>
  <c r="E5240" i="6"/>
  <c r="F5240" i="6"/>
  <c r="A5241" i="6"/>
  <c r="D5241" i="6" s="1"/>
  <c r="C5241" i="6"/>
  <c r="F5241" i="6"/>
  <c r="A5242" i="6"/>
  <c r="C5242" i="6" s="1"/>
  <c r="A5243" i="6"/>
  <c r="C5243" i="6" s="1"/>
  <c r="D5243" i="6"/>
  <c r="E5243" i="6"/>
  <c r="F5243" i="6"/>
  <c r="A5244" i="6"/>
  <c r="C5244" i="6"/>
  <c r="D5244" i="6"/>
  <c r="E5244" i="6"/>
  <c r="F5244" i="6"/>
  <c r="A5245" i="6"/>
  <c r="D5245" i="6" s="1"/>
  <c r="C5245" i="6"/>
  <c r="F5245" i="6"/>
  <c r="A5246" i="6"/>
  <c r="C5246" i="6" s="1"/>
  <c r="A5247" i="6"/>
  <c r="C5247" i="6" s="1"/>
  <c r="D5247" i="6"/>
  <c r="E5247" i="6"/>
  <c r="F5247" i="6"/>
  <c r="A5248" i="6"/>
  <c r="C5248" i="6"/>
  <c r="D5248" i="6"/>
  <c r="E5248" i="6"/>
  <c r="F5248" i="6"/>
  <c r="G5249" i="6"/>
  <c r="G5254" i="6"/>
  <c r="A5259" i="6"/>
  <c r="D5259" i="6" s="1"/>
  <c r="C5259" i="6"/>
  <c r="A5260" i="6"/>
  <c r="F5260" i="6" s="1"/>
  <c r="A5261" i="6"/>
  <c r="C5261" i="6" s="1"/>
  <c r="D5261" i="6"/>
  <c r="E5261" i="6"/>
  <c r="F5261" i="6"/>
  <c r="A5262" i="6"/>
  <c r="C5262" i="6"/>
  <c r="D5262" i="6"/>
  <c r="E5262" i="6"/>
  <c r="F5262" i="6"/>
  <c r="A5263" i="6"/>
  <c r="D5263" i="6" s="1"/>
  <c r="C5263" i="6"/>
  <c r="F5263" i="6"/>
  <c r="A5264" i="6"/>
  <c r="C5264" i="6" s="1"/>
  <c r="A5265" i="6"/>
  <c r="C5265" i="6" s="1"/>
  <c r="D5265" i="6"/>
  <c r="E5265" i="6"/>
  <c r="F5265" i="6"/>
  <c r="A5266" i="6"/>
  <c r="C5266" i="6"/>
  <c r="D5266" i="6"/>
  <c r="E5266" i="6"/>
  <c r="F5266" i="6"/>
  <c r="A5267" i="6"/>
  <c r="D5267" i="6" s="1"/>
  <c r="C5267" i="6"/>
  <c r="F5267" i="6"/>
  <c r="A5268" i="6"/>
  <c r="C5268" i="6" s="1"/>
  <c r="A5269" i="6"/>
  <c r="C5269" i="6" s="1"/>
  <c r="D5269" i="6"/>
  <c r="E5269" i="6"/>
  <c r="F5269" i="6"/>
  <c r="A5270" i="6"/>
  <c r="C5270" i="6"/>
  <c r="D5270" i="6"/>
  <c r="E5270" i="6"/>
  <c r="F5270" i="6"/>
  <c r="A5271" i="6"/>
  <c r="D5271" i="6" s="1"/>
  <c r="C5271" i="6"/>
  <c r="F5271" i="6"/>
  <c r="A5272" i="6"/>
  <c r="F5272" i="6" s="1"/>
  <c r="A5273" i="6"/>
  <c r="C5273" i="6" s="1"/>
  <c r="D5273" i="6"/>
  <c r="E5273" i="6"/>
  <c r="F5273" i="6"/>
  <c r="G5274" i="6"/>
  <c r="G5279" i="6"/>
  <c r="A5284" i="6"/>
  <c r="C5284" i="6"/>
  <c r="D5284" i="6"/>
  <c r="E5284" i="6"/>
  <c r="F5284" i="6"/>
  <c r="A5285" i="6"/>
  <c r="D5285" i="6" s="1"/>
  <c r="C5285" i="6"/>
  <c r="F5285" i="6"/>
  <c r="A5286" i="6"/>
  <c r="C5286" i="6" s="1"/>
  <c r="A5287" i="6"/>
  <c r="C5287" i="6" s="1"/>
  <c r="D5287" i="6"/>
  <c r="E5287" i="6"/>
  <c r="F5287" i="6"/>
  <c r="A5288" i="6"/>
  <c r="C5288" i="6"/>
  <c r="D5288" i="6"/>
  <c r="E5288" i="6"/>
  <c r="F5288" i="6"/>
  <c r="A5289" i="6"/>
  <c r="D5289" i="6" s="1"/>
  <c r="C5289" i="6"/>
  <c r="A5290" i="6"/>
  <c r="C5290" i="6" s="1"/>
  <c r="F5290" i="6"/>
  <c r="A5291" i="6"/>
  <c r="C5291" i="6" s="1"/>
  <c r="D5291" i="6"/>
  <c r="E5291" i="6"/>
  <c r="F5291" i="6"/>
  <c r="A5292" i="6"/>
  <c r="C5292" i="6"/>
  <c r="D5292" i="6"/>
  <c r="E5292" i="6"/>
  <c r="F5292" i="6"/>
  <c r="A5293" i="6"/>
  <c r="D5293" i="6" s="1"/>
  <c r="C5293" i="6"/>
  <c r="F5293" i="6"/>
  <c r="A5294" i="6"/>
  <c r="C5294" i="6" s="1"/>
  <c r="A5295" i="6"/>
  <c r="C5295" i="6" s="1"/>
  <c r="D5295" i="6"/>
  <c r="E5295" i="6"/>
  <c r="F5295" i="6"/>
  <c r="A5296" i="6"/>
  <c r="C5296" i="6"/>
  <c r="D5296" i="6"/>
  <c r="E5296" i="6"/>
  <c r="F5296" i="6"/>
  <c r="A5297" i="6"/>
  <c r="D5297" i="6" s="1"/>
  <c r="C5297" i="6"/>
  <c r="F5297" i="6"/>
  <c r="A5298" i="6"/>
  <c r="C5298" i="6" s="1"/>
  <c r="G5299" i="6"/>
  <c r="G5304" i="6"/>
  <c r="A5309" i="6"/>
  <c r="C5309" i="6" s="1"/>
  <c r="D5309" i="6"/>
  <c r="E5309" i="6"/>
  <c r="F5309" i="6"/>
  <c r="A5310" i="6"/>
  <c r="C5310" i="6"/>
  <c r="D5310" i="6"/>
  <c r="E5310" i="6"/>
  <c r="F5310" i="6"/>
  <c r="A5311" i="6"/>
  <c r="D5311" i="6" s="1"/>
  <c r="C5311" i="6"/>
  <c r="F5311" i="6"/>
  <c r="A5312" i="6"/>
  <c r="C5312" i="6" s="1"/>
  <c r="A5313" i="6"/>
  <c r="C5313" i="6" s="1"/>
  <c r="D5313" i="6"/>
  <c r="E5313" i="6"/>
  <c r="F5313" i="6"/>
  <c r="A5314" i="6"/>
  <c r="C5314" i="6"/>
  <c r="D5314" i="6"/>
  <c r="E5314" i="6"/>
  <c r="F5314" i="6"/>
  <c r="A5315" i="6"/>
  <c r="D5315" i="6" s="1"/>
  <c r="C5315" i="6"/>
  <c r="F5315" i="6"/>
  <c r="A5316" i="6"/>
  <c r="F5316" i="6" s="1"/>
  <c r="A5317" i="6"/>
  <c r="C5317" i="6" s="1"/>
  <c r="D5317" i="6"/>
  <c r="E5317" i="6"/>
  <c r="F5317" i="6"/>
  <c r="A5318" i="6"/>
  <c r="C5318" i="6"/>
  <c r="D5318" i="6"/>
  <c r="E5318" i="6"/>
  <c r="F5318" i="6"/>
  <c r="A5319" i="6"/>
  <c r="D5319" i="6" s="1"/>
  <c r="C5319" i="6"/>
  <c r="A5320" i="6"/>
  <c r="F5320" i="6" s="1"/>
  <c r="A5321" i="6"/>
  <c r="C5321" i="6" s="1"/>
  <c r="D5321" i="6"/>
  <c r="E5321" i="6"/>
  <c r="F5321" i="6"/>
  <c r="A5322" i="6"/>
  <c r="C5322" i="6"/>
  <c r="D5322" i="6"/>
  <c r="E5322" i="6"/>
  <c r="F5322" i="6"/>
  <c r="A5323" i="6"/>
  <c r="D5323" i="6" s="1"/>
  <c r="C5323" i="6"/>
  <c r="F5323" i="6"/>
  <c r="G5324" i="6"/>
  <c r="G5329" i="6"/>
  <c r="A5334" i="6"/>
  <c r="F5334" i="6" s="1"/>
  <c r="A5335" i="6"/>
  <c r="C5335" i="6" s="1"/>
  <c r="D5335" i="6"/>
  <c r="E5335" i="6"/>
  <c r="F5335" i="6"/>
  <c r="A5336" i="6"/>
  <c r="C5336" i="6"/>
  <c r="D5336" i="6"/>
  <c r="E5336" i="6"/>
  <c r="F5336" i="6"/>
  <c r="A5337" i="6"/>
  <c r="D5337" i="6" s="1"/>
  <c r="C5337" i="6"/>
  <c r="F5337" i="6"/>
  <c r="A5338" i="6"/>
  <c r="F5338" i="6" s="1"/>
  <c r="A5339" i="6"/>
  <c r="C5339" i="6" s="1"/>
  <c r="D5339" i="6"/>
  <c r="E5339" i="6"/>
  <c r="F5339" i="6"/>
  <c r="A5340" i="6"/>
  <c r="C5340" i="6"/>
  <c r="D5340" i="6"/>
  <c r="E5340" i="6"/>
  <c r="F5340" i="6"/>
  <c r="A5341" i="6"/>
  <c r="D5341" i="6" s="1"/>
  <c r="C5341" i="6"/>
  <c r="F5341" i="6"/>
  <c r="A5342" i="6"/>
  <c r="C5342" i="6" s="1"/>
  <c r="A5343" i="6"/>
  <c r="C5343" i="6" s="1"/>
  <c r="D5343" i="6"/>
  <c r="E5343" i="6"/>
  <c r="F5343" i="6"/>
  <c r="A5344" i="6"/>
  <c r="C5344" i="6"/>
  <c r="D5344" i="6"/>
  <c r="E5344" i="6"/>
  <c r="F5344" i="6"/>
  <c r="A5345" i="6"/>
  <c r="D5345" i="6" s="1"/>
  <c r="C5345" i="6"/>
  <c r="F5345" i="6"/>
  <c r="A5346" i="6"/>
  <c r="C5346" i="6" s="1"/>
  <c r="A5347" i="6"/>
  <c r="C5347" i="6" s="1"/>
  <c r="D5347" i="6"/>
  <c r="E5347" i="6"/>
  <c r="F5347" i="6"/>
  <c r="A5348" i="6"/>
  <c r="C5348" i="6"/>
  <c r="D5348" i="6"/>
  <c r="E5348" i="6"/>
  <c r="F5348" i="6"/>
  <c r="G5349" i="6"/>
  <c r="G5354" i="6"/>
  <c r="A5359" i="6"/>
  <c r="D5359" i="6" s="1"/>
  <c r="C5359" i="6"/>
  <c r="A5360" i="6"/>
  <c r="F5360" i="6" s="1"/>
  <c r="A5361" i="6"/>
  <c r="C5361" i="6" s="1"/>
  <c r="D5361" i="6"/>
  <c r="E5361" i="6"/>
  <c r="F5361" i="6"/>
  <c r="A5362" i="6"/>
  <c r="C5362" i="6"/>
  <c r="D5362" i="6"/>
  <c r="E5362" i="6"/>
  <c r="F5362" i="6"/>
  <c r="A5363" i="6"/>
  <c r="D5363" i="6" s="1"/>
  <c r="C5363" i="6"/>
  <c r="F5363" i="6"/>
  <c r="A5364" i="6"/>
  <c r="F5364" i="6" s="1"/>
  <c r="A5365" i="6"/>
  <c r="C5365" i="6" s="1"/>
  <c r="D5365" i="6"/>
  <c r="E5365" i="6"/>
  <c r="F5365" i="6"/>
  <c r="A5366" i="6"/>
  <c r="C5366" i="6"/>
  <c r="D5366" i="6"/>
  <c r="E5366" i="6"/>
  <c r="F5366" i="6"/>
  <c r="A5367" i="6"/>
  <c r="D5367" i="6" s="1"/>
  <c r="C5367" i="6"/>
  <c r="F5367" i="6"/>
  <c r="A5368" i="6"/>
  <c r="C5368" i="6" s="1"/>
  <c r="A5369" i="6"/>
  <c r="C5369" i="6" s="1"/>
  <c r="D5369" i="6"/>
  <c r="E5369" i="6"/>
  <c r="F5369" i="6"/>
  <c r="A5370" i="6"/>
  <c r="C5370" i="6"/>
  <c r="D5370" i="6"/>
  <c r="E5370" i="6"/>
  <c r="F5370" i="6"/>
  <c r="A5371" i="6"/>
  <c r="D5371" i="6" s="1"/>
  <c r="C5371" i="6"/>
  <c r="F5371" i="6"/>
  <c r="A5372" i="6"/>
  <c r="F5372" i="6" s="1"/>
  <c r="A5373" i="6"/>
  <c r="C5373" i="6" s="1"/>
  <c r="D5373" i="6"/>
  <c r="E5373" i="6"/>
  <c r="F5373" i="6"/>
  <c r="G5374" i="6"/>
  <c r="G5379" i="6"/>
  <c r="A5384" i="6"/>
  <c r="C5384" i="6"/>
  <c r="D5384" i="6"/>
  <c r="E5384" i="6"/>
  <c r="F5384" i="6"/>
  <c r="A5385" i="6"/>
  <c r="D5385" i="6" s="1"/>
  <c r="C5385" i="6"/>
  <c r="A5386" i="6"/>
  <c r="C5386" i="6" s="1"/>
  <c r="A5387" i="6"/>
  <c r="C5387" i="6" s="1"/>
  <c r="D5387" i="6"/>
  <c r="E5387" i="6"/>
  <c r="F5387" i="6"/>
  <c r="A5388" i="6"/>
  <c r="C5388" i="6"/>
  <c r="D5388" i="6"/>
  <c r="E5388" i="6"/>
  <c r="F5388" i="6"/>
  <c r="A5389" i="6"/>
  <c r="D5389" i="6" s="1"/>
  <c r="C5389" i="6"/>
  <c r="F5389" i="6"/>
  <c r="A5390" i="6"/>
  <c r="F5390" i="6" s="1"/>
  <c r="A5391" i="6"/>
  <c r="C5391" i="6" s="1"/>
  <c r="D5391" i="6"/>
  <c r="E5391" i="6"/>
  <c r="F5391" i="6"/>
  <c r="A5392" i="6"/>
  <c r="C5392" i="6"/>
  <c r="D5392" i="6"/>
  <c r="E5392" i="6"/>
  <c r="F5392" i="6"/>
  <c r="A5393" i="6"/>
  <c r="D5393" i="6" s="1"/>
  <c r="C5393" i="6"/>
  <c r="F5393" i="6"/>
  <c r="A5394" i="6"/>
  <c r="C5394" i="6" s="1"/>
  <c r="A5395" i="6"/>
  <c r="C5395" i="6" s="1"/>
  <c r="D5395" i="6"/>
  <c r="E5395" i="6"/>
  <c r="F5395" i="6"/>
  <c r="A5396" i="6"/>
  <c r="C5396" i="6"/>
  <c r="D5396" i="6"/>
  <c r="E5396" i="6"/>
  <c r="F5396" i="6"/>
  <c r="A5397" i="6"/>
  <c r="D5397" i="6" s="1"/>
  <c r="C5397" i="6"/>
  <c r="F5397" i="6"/>
  <c r="A5398" i="6"/>
  <c r="C5398" i="6" s="1"/>
  <c r="G5399" i="6"/>
  <c r="G5404" i="6"/>
  <c r="A5409" i="6"/>
  <c r="C5409" i="6" s="1"/>
  <c r="D5409" i="6"/>
  <c r="E5409" i="6"/>
  <c r="F5409" i="6"/>
  <c r="A5410" i="6"/>
  <c r="C5410" i="6"/>
  <c r="D5410" i="6"/>
  <c r="E5410" i="6"/>
  <c r="F5410" i="6"/>
  <c r="A5411" i="6"/>
  <c r="D5411" i="6" s="1"/>
  <c r="C5411" i="6"/>
  <c r="F5411" i="6"/>
  <c r="A5412" i="6"/>
  <c r="C5412" i="6" s="1"/>
  <c r="A5413" i="6"/>
  <c r="C5413" i="6" s="1"/>
  <c r="D5413" i="6"/>
  <c r="E5413" i="6"/>
  <c r="F5413" i="6"/>
  <c r="A5414" i="6"/>
  <c r="C5414" i="6"/>
  <c r="D5414" i="6"/>
  <c r="E5414" i="6"/>
  <c r="F5414" i="6"/>
  <c r="A5415" i="6"/>
  <c r="D5415" i="6" s="1"/>
  <c r="C5415" i="6"/>
  <c r="A5416" i="6"/>
  <c r="C5416" i="6" s="1"/>
  <c r="A5417" i="6"/>
  <c r="C5417" i="6" s="1"/>
  <c r="D5417" i="6"/>
  <c r="E5417" i="6"/>
  <c r="F5417" i="6"/>
  <c r="A5418" i="6"/>
  <c r="C5418" i="6"/>
  <c r="D5418" i="6"/>
  <c r="E5418" i="6"/>
  <c r="F5418" i="6"/>
  <c r="A5419" i="6"/>
  <c r="D5419" i="6" s="1"/>
  <c r="C5419" i="6"/>
  <c r="F5419" i="6"/>
  <c r="A5420" i="6"/>
  <c r="C5420" i="6" s="1"/>
  <c r="F5420" i="6"/>
  <c r="A5421" i="6"/>
  <c r="C5421" i="6" s="1"/>
  <c r="D5421" i="6"/>
  <c r="E5421" i="6"/>
  <c r="F5421" i="6"/>
  <c r="A5422" i="6"/>
  <c r="C5422" i="6"/>
  <c r="D5422" i="6"/>
  <c r="E5422" i="6"/>
  <c r="F5422" i="6"/>
  <c r="A5423" i="6"/>
  <c r="D5423" i="6" s="1"/>
  <c r="C5423" i="6"/>
  <c r="F5423" i="6"/>
  <c r="G5424" i="6"/>
  <c r="A2" i="5"/>
  <c r="A3" i="5"/>
  <c r="L3" i="5" a="1"/>
  <c r="L3" i="5" s="1"/>
  <c r="M3" i="5" a="1"/>
  <c r="M3" i="5" s="1"/>
  <c r="N3" i="5" a="1"/>
  <c r="N3" i="5" s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F28" i="5"/>
  <c r="G28" i="5"/>
  <c r="G31" i="5" s="1"/>
  <c r="G64" i="5" s="1"/>
  <c r="F30" i="5"/>
  <c r="F31" i="5" s="1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F62" i="5"/>
  <c r="G62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F96" i="5"/>
  <c r="G96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F130" i="5"/>
  <c r="G130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F164" i="5"/>
  <c r="G164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F198" i="5"/>
  <c r="G198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F232" i="5"/>
  <c r="G232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F266" i="5"/>
  <c r="G266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F300" i="5"/>
  <c r="G300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F334" i="5"/>
  <c r="G334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F368" i="5"/>
  <c r="G368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F402" i="5"/>
  <c r="G402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F436" i="5"/>
  <c r="G436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F470" i="5"/>
  <c r="G470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F504" i="5"/>
  <c r="G504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F538" i="5"/>
  <c r="G538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F572" i="5"/>
  <c r="G572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F606" i="5"/>
  <c r="G606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F640" i="5"/>
  <c r="G640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F674" i="5"/>
  <c r="G674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F708" i="5"/>
  <c r="G708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F742" i="5"/>
  <c r="G742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F776" i="5"/>
  <c r="G776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F810" i="5"/>
  <c r="G810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F844" i="5"/>
  <c r="G844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F878" i="5"/>
  <c r="G878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F912" i="5"/>
  <c r="G912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F946" i="5"/>
  <c r="G946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F980" i="5"/>
  <c r="G980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F1014" i="5"/>
  <c r="G1014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F1048" i="5"/>
  <c r="G1048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F1082" i="5"/>
  <c r="G1082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F1116" i="5"/>
  <c r="G1116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F1150" i="5"/>
  <c r="G1150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F1184" i="5"/>
  <c r="G1184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F1218" i="5"/>
  <c r="G1218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F1252" i="5"/>
  <c r="G1252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F1286" i="5"/>
  <c r="G1286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F1320" i="5"/>
  <c r="G1320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F1354" i="5"/>
  <c r="G1354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F1388" i="5"/>
  <c r="G1388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F1422" i="5"/>
  <c r="G1422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F1456" i="5"/>
  <c r="G1456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F1490" i="5"/>
  <c r="G1490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F1524" i="5"/>
  <c r="G1524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F1558" i="5"/>
  <c r="G1558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F1592" i="5"/>
  <c r="G1592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F1626" i="5"/>
  <c r="G1626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F1660" i="5"/>
  <c r="G1660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F1694" i="5"/>
  <c r="G1694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F1728" i="5"/>
  <c r="G1728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F1762" i="5"/>
  <c r="G1762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F1796" i="5"/>
  <c r="G1796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F1830" i="5"/>
  <c r="G1830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F1864" i="5"/>
  <c r="G1864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F1898" i="5"/>
  <c r="G1898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F1932" i="5"/>
  <c r="G1932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F1966" i="5"/>
  <c r="G1966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F2000" i="5"/>
  <c r="G2000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F2034" i="5"/>
  <c r="G2034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F2068" i="5"/>
  <c r="G2068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F2102" i="5"/>
  <c r="G2102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F2136" i="5"/>
  <c r="G2136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F2170" i="5"/>
  <c r="G2170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F2204" i="5"/>
  <c r="G2204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F2238" i="5"/>
  <c r="G2238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F2272" i="5"/>
  <c r="G2272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F2306" i="5"/>
  <c r="G2306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F2340" i="5"/>
  <c r="G2340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F2374" i="5"/>
  <c r="G2374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F2408" i="5"/>
  <c r="G2408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F2442" i="5"/>
  <c r="G2442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F2476" i="5"/>
  <c r="G2476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F2510" i="5"/>
  <c r="G2510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F2544" i="5"/>
  <c r="G2544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F2578" i="5"/>
  <c r="G2578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F2612" i="5"/>
  <c r="G2612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F2646" i="5"/>
  <c r="G2646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F2680" i="5"/>
  <c r="G2680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F2714" i="5"/>
  <c r="G2714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F2748" i="5"/>
  <c r="G2748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F2782" i="5"/>
  <c r="G2782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F2816" i="5"/>
  <c r="G2816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F2850" i="5"/>
  <c r="G2850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F2884" i="5"/>
  <c r="G2884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F2918" i="5"/>
  <c r="G2918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F2952" i="5"/>
  <c r="G2952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F2986" i="5"/>
  <c r="G2986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F3020" i="5"/>
  <c r="G3020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F3054" i="5"/>
  <c r="G3054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F3088" i="5"/>
  <c r="G3088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F3122" i="5"/>
  <c r="G3122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F3156" i="5"/>
  <c r="G3156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F3190" i="5"/>
  <c r="G3190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F3224" i="5"/>
  <c r="G3224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F3258" i="5"/>
  <c r="G3258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F3292" i="5"/>
  <c r="G3292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F3326" i="5"/>
  <c r="G3326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F3360" i="5"/>
  <c r="G3360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F3394" i="5"/>
  <c r="G3394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F3428" i="5"/>
  <c r="G3428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F3462" i="5"/>
  <c r="G3462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F3496" i="5"/>
  <c r="G3496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F3530" i="5"/>
  <c r="G3530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F3564" i="5"/>
  <c r="G3564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F3598" i="5"/>
  <c r="G3598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F3632" i="5"/>
  <c r="G3632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F3666" i="5"/>
  <c r="G3666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F3700" i="5"/>
  <c r="G3700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F3734" i="5"/>
  <c r="G3734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F3768" i="5"/>
  <c r="G3768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F3802" i="5"/>
  <c r="G3802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F3836" i="5"/>
  <c r="G3836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F3870" i="5"/>
  <c r="G3870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F3904" i="5"/>
  <c r="G3904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F3938" i="5"/>
  <c r="G3938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F3972" i="5"/>
  <c r="G3972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F4006" i="5"/>
  <c r="G4006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F4040" i="5"/>
  <c r="G4040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F4074" i="5"/>
  <c r="G4074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F4108" i="5"/>
  <c r="G4108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F4142" i="5"/>
  <c r="G4142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F4176" i="5"/>
  <c r="G4176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F4210" i="5"/>
  <c r="G4210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F4244" i="5"/>
  <c r="G4244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F4278" i="5"/>
  <c r="G4278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F4312" i="5"/>
  <c r="G4312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F4346" i="5"/>
  <c r="G4346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F4380" i="5"/>
  <c r="G4380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F4414" i="5"/>
  <c r="G4414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F4448" i="5"/>
  <c r="G4448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F4482" i="5"/>
  <c r="G4482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F4516" i="5"/>
  <c r="G4516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F4550" i="5"/>
  <c r="G4550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F4584" i="5"/>
  <c r="G4584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F4618" i="5"/>
  <c r="G4618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F4652" i="5"/>
  <c r="G4652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F4686" i="5"/>
  <c r="G4686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F4720" i="5"/>
  <c r="G4720" i="5"/>
  <c r="A4728" i="5"/>
  <c r="A4729" i="5"/>
  <c r="A4730" i="5"/>
  <c r="A4731" i="5"/>
  <c r="A4732" i="5"/>
  <c r="A4733" i="5"/>
  <c r="A4734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F4754" i="5"/>
  <c r="G4754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F4788" i="5"/>
  <c r="G4788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F4822" i="5"/>
  <c r="G4822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F4856" i="5"/>
  <c r="G4856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F4890" i="5"/>
  <c r="G4890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F4924" i="5"/>
  <c r="G4924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F4958" i="5"/>
  <c r="G4958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F4992" i="5"/>
  <c r="G4992" i="5"/>
  <c r="A5000" i="5"/>
  <c r="A5001" i="5"/>
  <c r="A5002" i="5"/>
  <c r="A5003" i="5"/>
  <c r="A5004" i="5"/>
  <c r="A5005" i="5"/>
  <c r="A5006" i="5"/>
  <c r="A5007" i="5"/>
  <c r="A5008" i="5"/>
  <c r="A5009" i="5"/>
  <c r="A5010" i="5"/>
  <c r="A5011" i="5"/>
  <c r="A5012" i="5"/>
  <c r="A5013" i="5"/>
  <c r="A5014" i="5"/>
  <c r="A5015" i="5"/>
  <c r="A5016" i="5"/>
  <c r="A5017" i="5"/>
  <c r="A5018" i="5"/>
  <c r="A5019" i="5"/>
  <c r="A5020" i="5"/>
  <c r="A5021" i="5"/>
  <c r="A5022" i="5"/>
  <c r="A5023" i="5"/>
  <c r="A5024" i="5"/>
  <c r="F5026" i="5"/>
  <c r="G5026" i="5"/>
  <c r="A5034" i="5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A5047" i="5"/>
  <c r="A5048" i="5"/>
  <c r="A5049" i="5"/>
  <c r="A5050" i="5"/>
  <c r="A5051" i="5"/>
  <c r="A5052" i="5"/>
  <c r="A5053" i="5"/>
  <c r="A5054" i="5"/>
  <c r="A5055" i="5"/>
  <c r="A5056" i="5"/>
  <c r="A5057" i="5"/>
  <c r="A5058" i="5"/>
  <c r="F5060" i="5"/>
  <c r="G5060" i="5"/>
  <c r="A5068" i="5"/>
  <c r="A5069" i="5"/>
  <c r="A5070" i="5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A5083" i="5"/>
  <c r="A5084" i="5"/>
  <c r="A5085" i="5"/>
  <c r="A5086" i="5"/>
  <c r="A5087" i="5"/>
  <c r="A5088" i="5"/>
  <c r="A5089" i="5"/>
  <c r="A5090" i="5"/>
  <c r="A5091" i="5"/>
  <c r="A5092" i="5"/>
  <c r="F5094" i="5"/>
  <c r="G5094" i="5"/>
  <c r="A5102" i="5"/>
  <c r="A5103" i="5"/>
  <c r="A5104" i="5"/>
  <c r="A5105" i="5"/>
  <c r="A5106" i="5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A5119" i="5"/>
  <c r="A5120" i="5"/>
  <c r="A5121" i="5"/>
  <c r="A5122" i="5"/>
  <c r="A5123" i="5"/>
  <c r="A5124" i="5"/>
  <c r="A5125" i="5"/>
  <c r="A5126" i="5"/>
  <c r="F5128" i="5"/>
  <c r="G5128" i="5"/>
  <c r="A5136" i="5"/>
  <c r="A5137" i="5"/>
  <c r="A5138" i="5"/>
  <c r="A5139" i="5"/>
  <c r="A5140" i="5"/>
  <c r="A5141" i="5"/>
  <c r="A5142" i="5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A5155" i="5"/>
  <c r="A5156" i="5"/>
  <c r="A5157" i="5"/>
  <c r="A5158" i="5"/>
  <c r="A5159" i="5"/>
  <c r="A5160" i="5"/>
  <c r="F5162" i="5"/>
  <c r="G5162" i="5"/>
  <c r="A5170" i="5"/>
  <c r="A5171" i="5"/>
  <c r="A5172" i="5"/>
  <c r="A5173" i="5"/>
  <c r="A5174" i="5"/>
  <c r="A5175" i="5"/>
  <c r="A5176" i="5"/>
  <c r="A5177" i="5"/>
  <c r="A5178" i="5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A5191" i="5"/>
  <c r="A5192" i="5"/>
  <c r="A5193" i="5"/>
  <c r="A5194" i="5"/>
  <c r="F5196" i="5"/>
  <c r="G5196" i="5"/>
  <c r="A5204" i="5"/>
  <c r="A5205" i="5"/>
  <c r="A5206" i="5"/>
  <c r="A5207" i="5"/>
  <c r="A5208" i="5"/>
  <c r="A5209" i="5"/>
  <c r="A5210" i="5"/>
  <c r="A5211" i="5"/>
  <c r="A5212" i="5"/>
  <c r="A5213" i="5"/>
  <c r="A5214" i="5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A5227" i="5"/>
  <c r="A5228" i="5"/>
  <c r="F5230" i="5"/>
  <c r="G5230" i="5"/>
  <c r="A5238" i="5"/>
  <c r="A5239" i="5"/>
  <c r="A5240" i="5"/>
  <c r="A5241" i="5"/>
  <c r="A5242" i="5"/>
  <c r="A5243" i="5"/>
  <c r="A5244" i="5"/>
  <c r="A5245" i="5"/>
  <c r="A5246" i="5"/>
  <c r="A5247" i="5"/>
  <c r="A5248" i="5"/>
  <c r="A5249" i="5"/>
  <c r="A5250" i="5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F5264" i="5"/>
  <c r="G5264" i="5"/>
  <c r="A5272" i="5"/>
  <c r="A5273" i="5"/>
  <c r="A5274" i="5"/>
  <c r="A5275" i="5"/>
  <c r="A5276" i="5"/>
  <c r="A5277" i="5"/>
  <c r="A5278" i="5"/>
  <c r="A5279" i="5"/>
  <c r="A5280" i="5"/>
  <c r="A5281" i="5"/>
  <c r="A5282" i="5"/>
  <c r="A5283" i="5"/>
  <c r="A5284" i="5"/>
  <c r="A5285" i="5"/>
  <c r="A5286" i="5"/>
  <c r="A5287" i="5"/>
  <c r="A5288" i="5"/>
  <c r="A5289" i="5"/>
  <c r="A5290" i="5"/>
  <c r="A5291" i="5"/>
  <c r="A5292" i="5"/>
  <c r="A5293" i="5"/>
  <c r="A5294" i="5"/>
  <c r="A5295" i="5"/>
  <c r="A5296" i="5"/>
  <c r="F5298" i="5"/>
  <c r="G5298" i="5"/>
  <c r="A5306" i="5"/>
  <c r="A5307" i="5"/>
  <c r="A5308" i="5"/>
  <c r="A5309" i="5"/>
  <c r="A5310" i="5"/>
  <c r="A5311" i="5"/>
  <c r="A5312" i="5"/>
  <c r="A5313" i="5"/>
  <c r="A5314" i="5"/>
  <c r="A5315" i="5"/>
  <c r="A5316" i="5"/>
  <c r="A5317" i="5"/>
  <c r="A5318" i="5"/>
  <c r="A5319" i="5"/>
  <c r="A5320" i="5"/>
  <c r="A5321" i="5"/>
  <c r="A5322" i="5"/>
  <c r="A5323" i="5"/>
  <c r="A5324" i="5"/>
  <c r="A5325" i="5"/>
  <c r="A5326" i="5"/>
  <c r="A5327" i="5"/>
  <c r="A5328" i="5"/>
  <c r="A5329" i="5"/>
  <c r="A5330" i="5"/>
  <c r="F5332" i="5"/>
  <c r="G5332" i="5"/>
  <c r="A5340" i="5"/>
  <c r="A5341" i="5"/>
  <c r="A5342" i="5"/>
  <c r="A5343" i="5"/>
  <c r="A5344" i="5"/>
  <c r="A5345" i="5"/>
  <c r="A5346" i="5"/>
  <c r="A5347" i="5"/>
  <c r="A5348" i="5"/>
  <c r="A5349" i="5"/>
  <c r="A5350" i="5"/>
  <c r="A5351" i="5"/>
  <c r="A5352" i="5"/>
  <c r="A5353" i="5"/>
  <c r="A5354" i="5"/>
  <c r="A5355" i="5"/>
  <c r="A5356" i="5"/>
  <c r="A5357" i="5"/>
  <c r="A5358" i="5"/>
  <c r="A5359" i="5"/>
  <c r="A5360" i="5"/>
  <c r="A5361" i="5"/>
  <c r="A5362" i="5"/>
  <c r="A5363" i="5"/>
  <c r="A5364" i="5"/>
  <c r="F5366" i="5"/>
  <c r="G5366" i="5"/>
  <c r="A5374" i="5"/>
  <c r="A5375" i="5"/>
  <c r="A5376" i="5"/>
  <c r="A5377" i="5"/>
  <c r="A5378" i="5"/>
  <c r="A5379" i="5"/>
  <c r="A5380" i="5"/>
  <c r="A5381" i="5"/>
  <c r="A5382" i="5"/>
  <c r="A5383" i="5"/>
  <c r="A5384" i="5"/>
  <c r="A5385" i="5"/>
  <c r="A5386" i="5"/>
  <c r="A5387" i="5"/>
  <c r="A5388" i="5"/>
  <c r="A5389" i="5"/>
  <c r="A5390" i="5"/>
  <c r="A5391" i="5"/>
  <c r="A5392" i="5"/>
  <c r="A5393" i="5"/>
  <c r="A5394" i="5"/>
  <c r="A5395" i="5"/>
  <c r="A5396" i="5"/>
  <c r="A5397" i="5"/>
  <c r="A5398" i="5"/>
  <c r="F5400" i="5"/>
  <c r="G5400" i="5"/>
  <c r="A5408" i="5"/>
  <c r="A5409" i="5"/>
  <c r="A5410" i="5"/>
  <c r="A5411" i="5"/>
  <c r="A5412" i="5"/>
  <c r="A5413" i="5"/>
  <c r="A5414" i="5"/>
  <c r="A5415" i="5"/>
  <c r="A5416" i="5"/>
  <c r="A5417" i="5"/>
  <c r="A5418" i="5"/>
  <c r="A5419" i="5"/>
  <c r="A5420" i="5"/>
  <c r="A5421" i="5"/>
  <c r="A5422" i="5"/>
  <c r="A5423" i="5"/>
  <c r="A5424" i="5"/>
  <c r="A5425" i="5"/>
  <c r="A5426" i="5"/>
  <c r="A5427" i="5"/>
  <c r="A5428" i="5"/>
  <c r="A5429" i="5"/>
  <c r="A5430" i="5"/>
  <c r="A5431" i="5"/>
  <c r="A5432" i="5"/>
  <c r="F5434" i="5"/>
  <c r="G5434" i="5"/>
  <c r="A5442" i="5"/>
  <c r="A5443" i="5"/>
  <c r="A5444" i="5"/>
  <c r="A5445" i="5"/>
  <c r="A5446" i="5"/>
  <c r="A5447" i="5"/>
  <c r="A5448" i="5"/>
  <c r="A5449" i="5"/>
  <c r="A5450" i="5"/>
  <c r="A5451" i="5"/>
  <c r="A5452" i="5"/>
  <c r="A5453" i="5"/>
  <c r="A5454" i="5"/>
  <c r="A5455" i="5"/>
  <c r="A5456" i="5"/>
  <c r="A5457" i="5"/>
  <c r="A5458" i="5"/>
  <c r="A5459" i="5"/>
  <c r="A5460" i="5"/>
  <c r="A5461" i="5"/>
  <c r="A5462" i="5"/>
  <c r="A5463" i="5"/>
  <c r="A5464" i="5"/>
  <c r="A5465" i="5"/>
  <c r="A5466" i="5"/>
  <c r="F5468" i="5"/>
  <c r="G5468" i="5"/>
  <c r="A5476" i="5"/>
  <c r="A5477" i="5"/>
  <c r="A5478" i="5"/>
  <c r="A5479" i="5"/>
  <c r="A5480" i="5"/>
  <c r="A5481" i="5"/>
  <c r="A5482" i="5"/>
  <c r="A5483" i="5"/>
  <c r="A5484" i="5"/>
  <c r="A5485" i="5"/>
  <c r="A5486" i="5"/>
  <c r="A5487" i="5"/>
  <c r="A5488" i="5"/>
  <c r="A5489" i="5"/>
  <c r="A5490" i="5"/>
  <c r="A5491" i="5"/>
  <c r="A5492" i="5"/>
  <c r="A5493" i="5"/>
  <c r="A5494" i="5"/>
  <c r="A5495" i="5"/>
  <c r="A5496" i="5"/>
  <c r="A5497" i="5"/>
  <c r="A5498" i="5"/>
  <c r="A5499" i="5"/>
  <c r="A5500" i="5"/>
  <c r="F5502" i="5"/>
  <c r="G5502" i="5"/>
  <c r="A5510" i="5"/>
  <c r="A5511" i="5"/>
  <c r="A5512" i="5"/>
  <c r="A5513" i="5"/>
  <c r="A5514" i="5"/>
  <c r="A5515" i="5"/>
  <c r="A5516" i="5"/>
  <c r="A5517" i="5"/>
  <c r="A5518" i="5"/>
  <c r="A5519" i="5"/>
  <c r="A5520" i="5"/>
  <c r="A5521" i="5"/>
  <c r="A5522" i="5"/>
  <c r="A5523" i="5"/>
  <c r="A5524" i="5"/>
  <c r="A5525" i="5"/>
  <c r="A5526" i="5"/>
  <c r="A5527" i="5"/>
  <c r="A5528" i="5"/>
  <c r="A5529" i="5"/>
  <c r="A5530" i="5"/>
  <c r="A5531" i="5"/>
  <c r="A5532" i="5"/>
  <c r="A5533" i="5"/>
  <c r="A5534" i="5"/>
  <c r="F5536" i="5"/>
  <c r="G5536" i="5"/>
  <c r="A5544" i="5"/>
  <c r="A5545" i="5"/>
  <c r="A5546" i="5"/>
  <c r="A5547" i="5"/>
  <c r="A5548" i="5"/>
  <c r="A5549" i="5"/>
  <c r="A5550" i="5"/>
  <c r="A5551" i="5"/>
  <c r="A5552" i="5"/>
  <c r="A5553" i="5"/>
  <c r="A5554" i="5"/>
  <c r="A5555" i="5"/>
  <c r="A5556" i="5"/>
  <c r="A5557" i="5"/>
  <c r="A5558" i="5"/>
  <c r="A5559" i="5"/>
  <c r="A5560" i="5"/>
  <c r="A5561" i="5"/>
  <c r="A5562" i="5"/>
  <c r="A5563" i="5"/>
  <c r="A5564" i="5"/>
  <c r="A5565" i="5"/>
  <c r="A5566" i="5"/>
  <c r="A5567" i="5"/>
  <c r="A5568" i="5"/>
  <c r="F5570" i="5"/>
  <c r="G5570" i="5"/>
  <c r="A5578" i="5"/>
  <c r="A5579" i="5"/>
  <c r="A5580" i="5"/>
  <c r="A5581" i="5"/>
  <c r="A5582" i="5"/>
  <c r="A5583" i="5"/>
  <c r="A5584" i="5"/>
  <c r="A5585" i="5"/>
  <c r="A5586" i="5"/>
  <c r="A5587" i="5"/>
  <c r="A5588" i="5"/>
  <c r="A5589" i="5"/>
  <c r="A5590" i="5"/>
  <c r="A5591" i="5"/>
  <c r="A5592" i="5"/>
  <c r="A5593" i="5"/>
  <c r="A5594" i="5"/>
  <c r="A5595" i="5"/>
  <c r="A5596" i="5"/>
  <c r="A5597" i="5"/>
  <c r="A5598" i="5"/>
  <c r="A5599" i="5"/>
  <c r="A5600" i="5"/>
  <c r="A5601" i="5"/>
  <c r="A5602" i="5"/>
  <c r="F5604" i="5"/>
  <c r="G5604" i="5"/>
  <c r="A5612" i="5"/>
  <c r="A5613" i="5"/>
  <c r="A5614" i="5"/>
  <c r="A5615" i="5"/>
  <c r="A5616" i="5"/>
  <c r="A5617" i="5"/>
  <c r="A5618" i="5"/>
  <c r="A5619" i="5"/>
  <c r="A5620" i="5"/>
  <c r="A5621" i="5"/>
  <c r="A5622" i="5"/>
  <c r="A5623" i="5"/>
  <c r="A5624" i="5"/>
  <c r="A5625" i="5"/>
  <c r="A5626" i="5"/>
  <c r="A5627" i="5"/>
  <c r="A5628" i="5"/>
  <c r="A5629" i="5"/>
  <c r="A5630" i="5"/>
  <c r="A5631" i="5"/>
  <c r="A5632" i="5"/>
  <c r="A5633" i="5"/>
  <c r="A5634" i="5"/>
  <c r="A5635" i="5"/>
  <c r="A5636" i="5"/>
  <c r="F5638" i="5"/>
  <c r="G5638" i="5"/>
  <c r="A5646" i="5"/>
  <c r="A5647" i="5"/>
  <c r="A5648" i="5"/>
  <c r="A5649" i="5"/>
  <c r="A5650" i="5"/>
  <c r="A5651" i="5"/>
  <c r="A5652" i="5"/>
  <c r="A5653" i="5"/>
  <c r="A5654" i="5"/>
  <c r="A5655" i="5"/>
  <c r="A5656" i="5"/>
  <c r="A5657" i="5"/>
  <c r="A5658" i="5"/>
  <c r="A5659" i="5"/>
  <c r="A5660" i="5"/>
  <c r="A5661" i="5"/>
  <c r="A5662" i="5"/>
  <c r="A5663" i="5"/>
  <c r="A5664" i="5"/>
  <c r="A5665" i="5"/>
  <c r="A5666" i="5"/>
  <c r="A5667" i="5"/>
  <c r="A5668" i="5"/>
  <c r="A5669" i="5"/>
  <c r="A5670" i="5"/>
  <c r="F5672" i="5"/>
  <c r="G5672" i="5"/>
  <c r="A5680" i="5"/>
  <c r="A5681" i="5"/>
  <c r="A5682" i="5"/>
  <c r="A5683" i="5"/>
  <c r="A5684" i="5"/>
  <c r="A5685" i="5"/>
  <c r="A5686" i="5"/>
  <c r="A5687" i="5"/>
  <c r="A5688" i="5"/>
  <c r="A5689" i="5"/>
  <c r="A5690" i="5"/>
  <c r="A5691" i="5"/>
  <c r="A5692" i="5"/>
  <c r="A5693" i="5"/>
  <c r="A5694" i="5"/>
  <c r="A5695" i="5"/>
  <c r="A5696" i="5"/>
  <c r="A5697" i="5"/>
  <c r="A5698" i="5"/>
  <c r="A5699" i="5"/>
  <c r="A5700" i="5"/>
  <c r="A5701" i="5"/>
  <c r="A5702" i="5"/>
  <c r="A5703" i="5"/>
  <c r="A5704" i="5"/>
  <c r="F5706" i="5"/>
  <c r="G5706" i="5"/>
  <c r="A5714" i="5"/>
  <c r="A5715" i="5"/>
  <c r="A5716" i="5"/>
  <c r="A5717" i="5"/>
  <c r="A5718" i="5"/>
  <c r="A5719" i="5"/>
  <c r="A5720" i="5"/>
  <c r="A5721" i="5"/>
  <c r="A5722" i="5"/>
  <c r="A5723" i="5"/>
  <c r="A5724" i="5"/>
  <c r="A5725" i="5"/>
  <c r="A5726" i="5"/>
  <c r="A5727" i="5"/>
  <c r="A5728" i="5"/>
  <c r="A5729" i="5"/>
  <c r="A5730" i="5"/>
  <c r="A5731" i="5"/>
  <c r="A5732" i="5"/>
  <c r="A5733" i="5"/>
  <c r="A5734" i="5"/>
  <c r="A5735" i="5"/>
  <c r="A5736" i="5"/>
  <c r="A5737" i="5"/>
  <c r="A5738" i="5"/>
  <c r="F5740" i="5"/>
  <c r="G5740" i="5"/>
  <c r="A5748" i="5"/>
  <c r="A5749" i="5"/>
  <c r="A5750" i="5"/>
  <c r="A5751" i="5"/>
  <c r="A5752" i="5"/>
  <c r="A5753" i="5"/>
  <c r="A5754" i="5"/>
  <c r="A5755" i="5"/>
  <c r="A5756" i="5"/>
  <c r="A5757" i="5"/>
  <c r="A5758" i="5"/>
  <c r="A5759" i="5"/>
  <c r="A5760" i="5"/>
  <c r="A5761" i="5"/>
  <c r="A5762" i="5"/>
  <c r="A5763" i="5"/>
  <c r="A5764" i="5"/>
  <c r="A5765" i="5"/>
  <c r="A5766" i="5"/>
  <c r="A5767" i="5"/>
  <c r="A5768" i="5"/>
  <c r="A5769" i="5"/>
  <c r="A5770" i="5"/>
  <c r="A5771" i="5"/>
  <c r="A5772" i="5"/>
  <c r="F5774" i="5"/>
  <c r="G5774" i="5"/>
  <c r="A5782" i="5"/>
  <c r="A5783" i="5"/>
  <c r="A5784" i="5"/>
  <c r="A5785" i="5"/>
  <c r="A5786" i="5"/>
  <c r="A5787" i="5"/>
  <c r="A5788" i="5"/>
  <c r="A5789" i="5"/>
  <c r="A5790" i="5"/>
  <c r="A5791" i="5"/>
  <c r="A5792" i="5"/>
  <c r="A5793" i="5"/>
  <c r="A5794" i="5"/>
  <c r="A5795" i="5"/>
  <c r="A5796" i="5"/>
  <c r="A5797" i="5"/>
  <c r="A5798" i="5"/>
  <c r="A5799" i="5"/>
  <c r="A5800" i="5"/>
  <c r="A5801" i="5"/>
  <c r="A5802" i="5"/>
  <c r="A5803" i="5"/>
  <c r="A5804" i="5"/>
  <c r="A5805" i="5"/>
  <c r="A5806" i="5"/>
  <c r="F5808" i="5"/>
  <c r="G5808" i="5"/>
  <c r="A5816" i="5"/>
  <c r="A5817" i="5"/>
  <c r="A5818" i="5"/>
  <c r="A5819" i="5"/>
  <c r="A5820" i="5"/>
  <c r="A5821" i="5"/>
  <c r="A5822" i="5"/>
  <c r="A5823" i="5"/>
  <c r="A5824" i="5"/>
  <c r="A5825" i="5"/>
  <c r="A5826" i="5"/>
  <c r="A5827" i="5"/>
  <c r="A5828" i="5"/>
  <c r="A5829" i="5"/>
  <c r="A5830" i="5"/>
  <c r="A5831" i="5"/>
  <c r="A5832" i="5"/>
  <c r="A5833" i="5"/>
  <c r="A5834" i="5"/>
  <c r="A5835" i="5"/>
  <c r="A5836" i="5"/>
  <c r="A5837" i="5"/>
  <c r="A5838" i="5"/>
  <c r="A5839" i="5"/>
  <c r="A5840" i="5"/>
  <c r="F5842" i="5"/>
  <c r="G5842" i="5"/>
  <c r="A5850" i="5"/>
  <c r="A5851" i="5"/>
  <c r="A5852" i="5"/>
  <c r="A5853" i="5"/>
  <c r="A5854" i="5"/>
  <c r="A5855" i="5"/>
  <c r="A5856" i="5"/>
  <c r="A5857" i="5"/>
  <c r="A5858" i="5"/>
  <c r="A5859" i="5"/>
  <c r="A5860" i="5"/>
  <c r="A5861" i="5"/>
  <c r="A5862" i="5"/>
  <c r="A5863" i="5"/>
  <c r="A5864" i="5"/>
  <c r="A5865" i="5"/>
  <c r="A5866" i="5"/>
  <c r="A5867" i="5"/>
  <c r="A5868" i="5"/>
  <c r="A5869" i="5"/>
  <c r="A5870" i="5"/>
  <c r="A5871" i="5"/>
  <c r="A5872" i="5"/>
  <c r="A5873" i="5"/>
  <c r="A5874" i="5"/>
  <c r="F5876" i="5"/>
  <c r="G5876" i="5"/>
  <c r="A5884" i="5"/>
  <c r="A5885" i="5"/>
  <c r="A5886" i="5"/>
  <c r="A5887" i="5"/>
  <c r="A5888" i="5"/>
  <c r="A5889" i="5"/>
  <c r="A5890" i="5"/>
  <c r="A5891" i="5"/>
  <c r="A5892" i="5"/>
  <c r="A5893" i="5"/>
  <c r="A5894" i="5"/>
  <c r="A5895" i="5"/>
  <c r="A5896" i="5"/>
  <c r="A5897" i="5"/>
  <c r="A5898" i="5"/>
  <c r="A5899" i="5"/>
  <c r="A5900" i="5"/>
  <c r="A5901" i="5"/>
  <c r="A5902" i="5"/>
  <c r="A5903" i="5"/>
  <c r="A5904" i="5"/>
  <c r="A5905" i="5"/>
  <c r="A5906" i="5"/>
  <c r="A5907" i="5"/>
  <c r="A5908" i="5"/>
  <c r="F5910" i="5"/>
  <c r="G5910" i="5"/>
  <c r="A5918" i="5"/>
  <c r="A5919" i="5"/>
  <c r="A5920" i="5"/>
  <c r="A5921" i="5"/>
  <c r="A5922" i="5"/>
  <c r="A5923" i="5"/>
  <c r="A5924" i="5"/>
  <c r="A5925" i="5"/>
  <c r="A5926" i="5"/>
  <c r="A5927" i="5"/>
  <c r="A5928" i="5"/>
  <c r="A5929" i="5"/>
  <c r="A5930" i="5"/>
  <c r="A5931" i="5"/>
  <c r="A5932" i="5"/>
  <c r="A5933" i="5"/>
  <c r="A5934" i="5"/>
  <c r="A5935" i="5"/>
  <c r="A5936" i="5"/>
  <c r="A5937" i="5"/>
  <c r="A5938" i="5"/>
  <c r="A5939" i="5"/>
  <c r="A5940" i="5"/>
  <c r="A5941" i="5"/>
  <c r="A5942" i="5"/>
  <c r="F5944" i="5"/>
  <c r="G5944" i="5"/>
  <c r="A5952" i="5"/>
  <c r="A5953" i="5"/>
  <c r="A5954" i="5"/>
  <c r="A5955" i="5"/>
  <c r="A5956" i="5"/>
  <c r="A5957" i="5"/>
  <c r="A5958" i="5"/>
  <c r="A5959" i="5"/>
  <c r="A5960" i="5"/>
  <c r="A5961" i="5"/>
  <c r="A5962" i="5"/>
  <c r="A5963" i="5"/>
  <c r="A5964" i="5"/>
  <c r="A5965" i="5"/>
  <c r="A5966" i="5"/>
  <c r="A5967" i="5"/>
  <c r="A5968" i="5"/>
  <c r="A5969" i="5"/>
  <c r="A5970" i="5"/>
  <c r="A5971" i="5"/>
  <c r="A5972" i="5"/>
  <c r="A5973" i="5"/>
  <c r="A5974" i="5"/>
  <c r="A5975" i="5"/>
  <c r="A5976" i="5"/>
  <c r="F5978" i="5"/>
  <c r="G5978" i="5"/>
  <c r="A5986" i="5"/>
  <c r="A5987" i="5"/>
  <c r="A5988" i="5"/>
  <c r="A5989" i="5"/>
  <c r="A5990" i="5"/>
  <c r="A5991" i="5"/>
  <c r="A5992" i="5"/>
  <c r="A5993" i="5"/>
  <c r="A5994" i="5"/>
  <c r="A5995" i="5"/>
  <c r="A5996" i="5"/>
  <c r="A5997" i="5"/>
  <c r="A5998" i="5"/>
  <c r="A5999" i="5"/>
  <c r="A6000" i="5"/>
  <c r="A6001" i="5"/>
  <c r="A6002" i="5"/>
  <c r="A6003" i="5"/>
  <c r="A6004" i="5"/>
  <c r="A6005" i="5"/>
  <c r="A6006" i="5"/>
  <c r="A6007" i="5"/>
  <c r="A6008" i="5"/>
  <c r="A6009" i="5"/>
  <c r="A6010" i="5"/>
  <c r="F6012" i="5"/>
  <c r="G6012" i="5"/>
  <c r="A6020" i="5"/>
  <c r="A6021" i="5"/>
  <c r="A6022" i="5"/>
  <c r="A6023" i="5"/>
  <c r="A6024" i="5"/>
  <c r="A6025" i="5"/>
  <c r="A6026" i="5"/>
  <c r="A6027" i="5"/>
  <c r="A6028" i="5"/>
  <c r="A6029" i="5"/>
  <c r="A6030" i="5"/>
  <c r="A6031" i="5"/>
  <c r="A6032" i="5"/>
  <c r="A6033" i="5"/>
  <c r="A6034" i="5"/>
  <c r="A6035" i="5"/>
  <c r="A6036" i="5"/>
  <c r="A6037" i="5"/>
  <c r="A6038" i="5"/>
  <c r="A6039" i="5"/>
  <c r="A6040" i="5"/>
  <c r="A6041" i="5"/>
  <c r="A6042" i="5"/>
  <c r="A6043" i="5"/>
  <c r="A6044" i="5"/>
  <c r="F6046" i="5"/>
  <c r="G6046" i="5"/>
  <c r="A6054" i="5"/>
  <c r="A6055" i="5"/>
  <c r="A6056" i="5"/>
  <c r="A6057" i="5"/>
  <c r="A6058" i="5"/>
  <c r="A6059" i="5"/>
  <c r="A6060" i="5"/>
  <c r="A6061" i="5"/>
  <c r="A6062" i="5"/>
  <c r="A6063" i="5"/>
  <c r="A6064" i="5"/>
  <c r="A6065" i="5"/>
  <c r="A6066" i="5"/>
  <c r="A6067" i="5"/>
  <c r="A6068" i="5"/>
  <c r="A6069" i="5"/>
  <c r="A6070" i="5"/>
  <c r="A6071" i="5"/>
  <c r="A6072" i="5"/>
  <c r="A6073" i="5"/>
  <c r="A6074" i="5"/>
  <c r="A6075" i="5"/>
  <c r="A6076" i="5"/>
  <c r="A6077" i="5"/>
  <c r="A6078" i="5"/>
  <c r="F6080" i="5"/>
  <c r="G6080" i="5"/>
  <c r="A6088" i="5"/>
  <c r="A6089" i="5"/>
  <c r="A6090" i="5"/>
  <c r="A6091" i="5"/>
  <c r="A6092" i="5"/>
  <c r="A6093" i="5"/>
  <c r="A6094" i="5"/>
  <c r="A6095" i="5"/>
  <c r="A6096" i="5"/>
  <c r="A6097" i="5"/>
  <c r="A6098" i="5"/>
  <c r="A6099" i="5"/>
  <c r="A6100" i="5"/>
  <c r="A6101" i="5"/>
  <c r="A6102" i="5"/>
  <c r="A6103" i="5"/>
  <c r="A6104" i="5"/>
  <c r="A6105" i="5"/>
  <c r="A6106" i="5"/>
  <c r="A6107" i="5"/>
  <c r="A6108" i="5"/>
  <c r="A6109" i="5"/>
  <c r="A6110" i="5"/>
  <c r="A6111" i="5"/>
  <c r="A6112" i="5"/>
  <c r="F6114" i="5"/>
  <c r="G6114" i="5"/>
  <c r="A6122" i="5"/>
  <c r="A6123" i="5"/>
  <c r="A6124" i="5"/>
  <c r="A6125" i="5"/>
  <c r="A6126" i="5"/>
  <c r="A6127" i="5"/>
  <c r="A6128" i="5"/>
  <c r="A6129" i="5"/>
  <c r="A6130" i="5"/>
  <c r="A6131" i="5"/>
  <c r="A6132" i="5"/>
  <c r="A6133" i="5"/>
  <c r="A6134" i="5"/>
  <c r="A6135" i="5"/>
  <c r="A6136" i="5"/>
  <c r="A6137" i="5"/>
  <c r="A6138" i="5"/>
  <c r="A6139" i="5"/>
  <c r="A6140" i="5"/>
  <c r="A6141" i="5"/>
  <c r="A6142" i="5"/>
  <c r="A6143" i="5"/>
  <c r="A6144" i="5"/>
  <c r="A6145" i="5"/>
  <c r="A6146" i="5"/>
  <c r="F6148" i="5"/>
  <c r="G6148" i="5"/>
  <c r="A6156" i="5"/>
  <c r="A6157" i="5"/>
  <c r="A6158" i="5"/>
  <c r="A6159" i="5"/>
  <c r="A6160" i="5"/>
  <c r="A6161" i="5"/>
  <c r="A6162" i="5"/>
  <c r="A6163" i="5"/>
  <c r="A6164" i="5"/>
  <c r="A6165" i="5"/>
  <c r="A6166" i="5"/>
  <c r="A6167" i="5"/>
  <c r="A6168" i="5"/>
  <c r="A6169" i="5"/>
  <c r="A6170" i="5"/>
  <c r="A6171" i="5"/>
  <c r="A6172" i="5"/>
  <c r="A6173" i="5"/>
  <c r="A6174" i="5"/>
  <c r="A6175" i="5"/>
  <c r="A6176" i="5"/>
  <c r="A6177" i="5"/>
  <c r="A6178" i="5"/>
  <c r="A6179" i="5"/>
  <c r="A6180" i="5"/>
  <c r="F6182" i="5"/>
  <c r="G6182" i="5"/>
  <c r="A6190" i="5"/>
  <c r="A6191" i="5"/>
  <c r="A6192" i="5"/>
  <c r="A6193" i="5"/>
  <c r="A6194" i="5"/>
  <c r="A6195" i="5"/>
  <c r="A6196" i="5"/>
  <c r="A6197" i="5"/>
  <c r="A6198" i="5"/>
  <c r="A6199" i="5"/>
  <c r="A6200" i="5"/>
  <c r="A6201" i="5"/>
  <c r="A6202" i="5"/>
  <c r="A6203" i="5"/>
  <c r="A6204" i="5"/>
  <c r="A6205" i="5"/>
  <c r="A6206" i="5"/>
  <c r="A6207" i="5"/>
  <c r="A6208" i="5"/>
  <c r="A6209" i="5"/>
  <c r="A6210" i="5"/>
  <c r="A6211" i="5"/>
  <c r="A6212" i="5"/>
  <c r="A6213" i="5"/>
  <c r="A6214" i="5"/>
  <c r="F6216" i="5"/>
  <c r="G6216" i="5"/>
  <c r="A6224" i="5"/>
  <c r="A6225" i="5"/>
  <c r="A6226" i="5"/>
  <c r="A6227" i="5"/>
  <c r="A6228" i="5"/>
  <c r="A6229" i="5"/>
  <c r="A6230" i="5"/>
  <c r="A6231" i="5"/>
  <c r="A6232" i="5"/>
  <c r="A6233" i="5"/>
  <c r="A6234" i="5"/>
  <c r="A6235" i="5"/>
  <c r="A6236" i="5"/>
  <c r="A6237" i="5"/>
  <c r="A6238" i="5"/>
  <c r="A6239" i="5"/>
  <c r="A6240" i="5"/>
  <c r="A6241" i="5"/>
  <c r="A6242" i="5"/>
  <c r="A6243" i="5"/>
  <c r="A6244" i="5"/>
  <c r="A6245" i="5"/>
  <c r="A6246" i="5"/>
  <c r="A6247" i="5"/>
  <c r="A6248" i="5"/>
  <c r="F6250" i="5"/>
  <c r="G6250" i="5"/>
  <c r="A6258" i="5"/>
  <c r="A6259" i="5"/>
  <c r="A6260" i="5"/>
  <c r="A6261" i="5"/>
  <c r="A6262" i="5"/>
  <c r="A6263" i="5"/>
  <c r="A6264" i="5"/>
  <c r="A6265" i="5"/>
  <c r="A6266" i="5"/>
  <c r="A6267" i="5"/>
  <c r="A6268" i="5"/>
  <c r="A6269" i="5"/>
  <c r="A6270" i="5"/>
  <c r="A6271" i="5"/>
  <c r="A6272" i="5"/>
  <c r="A6273" i="5"/>
  <c r="A6274" i="5"/>
  <c r="A6275" i="5"/>
  <c r="A6276" i="5"/>
  <c r="A6277" i="5"/>
  <c r="A6278" i="5"/>
  <c r="A6279" i="5"/>
  <c r="A6280" i="5"/>
  <c r="A6281" i="5"/>
  <c r="A6282" i="5"/>
  <c r="F6284" i="5"/>
  <c r="G6284" i="5"/>
  <c r="A6292" i="5"/>
  <c r="A6293" i="5"/>
  <c r="A6294" i="5"/>
  <c r="A6295" i="5"/>
  <c r="A6296" i="5"/>
  <c r="A6297" i="5"/>
  <c r="A6298" i="5"/>
  <c r="A6299" i="5"/>
  <c r="A6300" i="5"/>
  <c r="A6301" i="5"/>
  <c r="A6302" i="5"/>
  <c r="A6303" i="5"/>
  <c r="A6304" i="5"/>
  <c r="A6305" i="5"/>
  <c r="A6306" i="5"/>
  <c r="A6307" i="5"/>
  <c r="A6308" i="5"/>
  <c r="A6309" i="5"/>
  <c r="A6310" i="5"/>
  <c r="A6311" i="5"/>
  <c r="A6312" i="5"/>
  <c r="A6313" i="5"/>
  <c r="A6314" i="5"/>
  <c r="A6315" i="5"/>
  <c r="A6316" i="5"/>
  <c r="F6318" i="5"/>
  <c r="G6318" i="5"/>
  <c r="A6326" i="5"/>
  <c r="A6327" i="5"/>
  <c r="A6328" i="5"/>
  <c r="A6329" i="5"/>
  <c r="A6330" i="5"/>
  <c r="A6331" i="5"/>
  <c r="A6332" i="5"/>
  <c r="A6333" i="5"/>
  <c r="A6334" i="5"/>
  <c r="A6335" i="5"/>
  <c r="A6336" i="5"/>
  <c r="A6337" i="5"/>
  <c r="A6338" i="5"/>
  <c r="A6339" i="5"/>
  <c r="A6340" i="5"/>
  <c r="A6341" i="5"/>
  <c r="A6342" i="5"/>
  <c r="A6343" i="5"/>
  <c r="A6344" i="5"/>
  <c r="A6345" i="5"/>
  <c r="A6346" i="5"/>
  <c r="A6347" i="5"/>
  <c r="A6348" i="5"/>
  <c r="A6349" i="5"/>
  <c r="A6350" i="5"/>
  <c r="F6352" i="5"/>
  <c r="G6352" i="5"/>
  <c r="A6360" i="5"/>
  <c r="A6361" i="5"/>
  <c r="A6362" i="5"/>
  <c r="A6363" i="5"/>
  <c r="A6364" i="5"/>
  <c r="A6365" i="5"/>
  <c r="A6366" i="5"/>
  <c r="A6367" i="5"/>
  <c r="A6368" i="5"/>
  <c r="A6369" i="5"/>
  <c r="A6370" i="5"/>
  <c r="A6371" i="5"/>
  <c r="A6372" i="5"/>
  <c r="A6373" i="5"/>
  <c r="A6374" i="5"/>
  <c r="A6375" i="5"/>
  <c r="A6376" i="5"/>
  <c r="A6377" i="5"/>
  <c r="A6378" i="5"/>
  <c r="A6379" i="5"/>
  <c r="A6380" i="5"/>
  <c r="A6381" i="5"/>
  <c r="A6382" i="5"/>
  <c r="A6383" i="5"/>
  <c r="A6384" i="5"/>
  <c r="F6386" i="5"/>
  <c r="G6386" i="5"/>
  <c r="A6394" i="5"/>
  <c r="A6395" i="5"/>
  <c r="A6396" i="5"/>
  <c r="A6397" i="5"/>
  <c r="A6398" i="5"/>
  <c r="A6399" i="5"/>
  <c r="A6400" i="5"/>
  <c r="A6401" i="5"/>
  <c r="A6402" i="5"/>
  <c r="A6403" i="5"/>
  <c r="A6404" i="5"/>
  <c r="A6405" i="5"/>
  <c r="A6406" i="5"/>
  <c r="A6407" i="5"/>
  <c r="A6408" i="5"/>
  <c r="A6409" i="5"/>
  <c r="A6410" i="5"/>
  <c r="A6411" i="5"/>
  <c r="A6412" i="5"/>
  <c r="A6413" i="5"/>
  <c r="A6414" i="5"/>
  <c r="A6415" i="5"/>
  <c r="A6416" i="5"/>
  <c r="A6417" i="5"/>
  <c r="A6418" i="5"/>
  <c r="F6420" i="5"/>
  <c r="G6420" i="5"/>
  <c r="A6428" i="5"/>
  <c r="A6429" i="5"/>
  <c r="A6430" i="5"/>
  <c r="A6431" i="5"/>
  <c r="A6432" i="5"/>
  <c r="A6433" i="5"/>
  <c r="A6434" i="5"/>
  <c r="A6435" i="5"/>
  <c r="A6436" i="5"/>
  <c r="A6437" i="5"/>
  <c r="A6438" i="5"/>
  <c r="A6439" i="5"/>
  <c r="A6440" i="5"/>
  <c r="A6441" i="5"/>
  <c r="A6442" i="5"/>
  <c r="A6443" i="5"/>
  <c r="A6444" i="5"/>
  <c r="A6445" i="5"/>
  <c r="A6446" i="5"/>
  <c r="A6447" i="5"/>
  <c r="A6448" i="5"/>
  <c r="A6449" i="5"/>
  <c r="A6450" i="5"/>
  <c r="A6451" i="5"/>
  <c r="A6452" i="5"/>
  <c r="F6454" i="5"/>
  <c r="G6454" i="5"/>
  <c r="A6462" i="5"/>
  <c r="A6463" i="5"/>
  <c r="A6464" i="5"/>
  <c r="A6465" i="5"/>
  <c r="A6466" i="5"/>
  <c r="A6467" i="5"/>
  <c r="A6468" i="5"/>
  <c r="A6469" i="5"/>
  <c r="A6470" i="5"/>
  <c r="A6471" i="5"/>
  <c r="A6472" i="5"/>
  <c r="A6473" i="5"/>
  <c r="A6474" i="5"/>
  <c r="A6475" i="5"/>
  <c r="A6476" i="5"/>
  <c r="A6477" i="5"/>
  <c r="A6478" i="5"/>
  <c r="A6479" i="5"/>
  <c r="A6480" i="5"/>
  <c r="A6481" i="5"/>
  <c r="A6482" i="5"/>
  <c r="A6483" i="5"/>
  <c r="A6484" i="5"/>
  <c r="A6485" i="5"/>
  <c r="A6486" i="5"/>
  <c r="F6488" i="5"/>
  <c r="G6488" i="5"/>
  <c r="A6496" i="5"/>
  <c r="A6497" i="5"/>
  <c r="A6498" i="5"/>
  <c r="A6499" i="5"/>
  <c r="A6500" i="5"/>
  <c r="A6501" i="5"/>
  <c r="A6502" i="5"/>
  <c r="A6503" i="5"/>
  <c r="A6504" i="5"/>
  <c r="A6505" i="5"/>
  <c r="A6506" i="5"/>
  <c r="A6507" i="5"/>
  <c r="A6508" i="5"/>
  <c r="A6509" i="5"/>
  <c r="A6510" i="5"/>
  <c r="A6511" i="5"/>
  <c r="A6512" i="5"/>
  <c r="A6513" i="5"/>
  <c r="A6514" i="5"/>
  <c r="A6515" i="5"/>
  <c r="A6516" i="5"/>
  <c r="A6517" i="5"/>
  <c r="A6518" i="5"/>
  <c r="A6519" i="5"/>
  <c r="A6520" i="5"/>
  <c r="F6522" i="5"/>
  <c r="G6522" i="5"/>
  <c r="A6530" i="5"/>
  <c r="A6531" i="5"/>
  <c r="A6532" i="5"/>
  <c r="A6533" i="5"/>
  <c r="A6534" i="5"/>
  <c r="A6535" i="5"/>
  <c r="A6536" i="5"/>
  <c r="A6537" i="5"/>
  <c r="A6538" i="5"/>
  <c r="A6539" i="5"/>
  <c r="A6540" i="5"/>
  <c r="A6541" i="5"/>
  <c r="A6542" i="5"/>
  <c r="A6543" i="5"/>
  <c r="A6544" i="5"/>
  <c r="A6545" i="5"/>
  <c r="A6546" i="5"/>
  <c r="A6547" i="5"/>
  <c r="A6548" i="5"/>
  <c r="A6549" i="5"/>
  <c r="A6550" i="5"/>
  <c r="A6551" i="5"/>
  <c r="A6552" i="5"/>
  <c r="A6553" i="5"/>
  <c r="A6554" i="5"/>
  <c r="F6556" i="5"/>
  <c r="G6556" i="5"/>
  <c r="A6564" i="5"/>
  <c r="A6565" i="5"/>
  <c r="A6566" i="5"/>
  <c r="A6567" i="5"/>
  <c r="A6568" i="5"/>
  <c r="A6569" i="5"/>
  <c r="A6570" i="5"/>
  <c r="A6571" i="5"/>
  <c r="A6572" i="5"/>
  <c r="A6573" i="5"/>
  <c r="A6574" i="5"/>
  <c r="A6575" i="5"/>
  <c r="A6576" i="5"/>
  <c r="A6577" i="5"/>
  <c r="A6578" i="5"/>
  <c r="A6579" i="5"/>
  <c r="A6580" i="5"/>
  <c r="A6581" i="5"/>
  <c r="A6582" i="5"/>
  <c r="A6583" i="5"/>
  <c r="A6584" i="5"/>
  <c r="A6585" i="5"/>
  <c r="A6586" i="5"/>
  <c r="A6587" i="5"/>
  <c r="A6588" i="5"/>
  <c r="F6590" i="5"/>
  <c r="G6590" i="5"/>
  <c r="A6598" i="5"/>
  <c r="A6599" i="5"/>
  <c r="A6600" i="5"/>
  <c r="A6601" i="5"/>
  <c r="A6602" i="5"/>
  <c r="A6603" i="5"/>
  <c r="A6604" i="5"/>
  <c r="A6605" i="5"/>
  <c r="A6606" i="5"/>
  <c r="A6607" i="5"/>
  <c r="A6608" i="5"/>
  <c r="A6609" i="5"/>
  <c r="A6610" i="5"/>
  <c r="A6611" i="5"/>
  <c r="A6612" i="5"/>
  <c r="A6613" i="5"/>
  <c r="A6614" i="5"/>
  <c r="A6615" i="5"/>
  <c r="A6616" i="5"/>
  <c r="A6617" i="5"/>
  <c r="A6618" i="5"/>
  <c r="A6619" i="5"/>
  <c r="A6620" i="5"/>
  <c r="A6621" i="5"/>
  <c r="A6622" i="5"/>
  <c r="F6624" i="5"/>
  <c r="G6624" i="5"/>
  <c r="A6632" i="5"/>
  <c r="A6633" i="5"/>
  <c r="A6634" i="5"/>
  <c r="A6635" i="5"/>
  <c r="A6636" i="5"/>
  <c r="A6637" i="5"/>
  <c r="A6638" i="5"/>
  <c r="A6639" i="5"/>
  <c r="A6640" i="5"/>
  <c r="A6641" i="5"/>
  <c r="A6642" i="5"/>
  <c r="A6643" i="5"/>
  <c r="A6644" i="5"/>
  <c r="A6645" i="5"/>
  <c r="A6646" i="5"/>
  <c r="A6647" i="5"/>
  <c r="A6648" i="5"/>
  <c r="A6649" i="5"/>
  <c r="A6650" i="5"/>
  <c r="A6651" i="5"/>
  <c r="A6652" i="5"/>
  <c r="A6653" i="5"/>
  <c r="A6654" i="5"/>
  <c r="A6655" i="5"/>
  <c r="A6656" i="5"/>
  <c r="F6658" i="5"/>
  <c r="G6658" i="5"/>
  <c r="A6666" i="5"/>
  <c r="A6667" i="5"/>
  <c r="A6668" i="5"/>
  <c r="A6669" i="5"/>
  <c r="A6670" i="5"/>
  <c r="A6671" i="5"/>
  <c r="A6672" i="5"/>
  <c r="A6673" i="5"/>
  <c r="A6674" i="5"/>
  <c r="A6675" i="5"/>
  <c r="A6676" i="5"/>
  <c r="A6677" i="5"/>
  <c r="A6678" i="5"/>
  <c r="A6679" i="5"/>
  <c r="A6680" i="5"/>
  <c r="A6681" i="5"/>
  <c r="A6682" i="5"/>
  <c r="A6683" i="5"/>
  <c r="A6684" i="5"/>
  <c r="A6685" i="5"/>
  <c r="A6686" i="5"/>
  <c r="A6687" i="5"/>
  <c r="A6688" i="5"/>
  <c r="A6689" i="5"/>
  <c r="A6690" i="5"/>
  <c r="F6692" i="5"/>
  <c r="G6692" i="5"/>
  <c r="A6700" i="5"/>
  <c r="A6701" i="5"/>
  <c r="A6702" i="5"/>
  <c r="A6703" i="5"/>
  <c r="A6704" i="5"/>
  <c r="A6705" i="5"/>
  <c r="A6706" i="5"/>
  <c r="A6707" i="5"/>
  <c r="A6708" i="5"/>
  <c r="A6709" i="5"/>
  <c r="A6710" i="5"/>
  <c r="A6711" i="5"/>
  <c r="A6712" i="5"/>
  <c r="A6713" i="5"/>
  <c r="A6714" i="5"/>
  <c r="A6715" i="5"/>
  <c r="A6716" i="5"/>
  <c r="A6717" i="5"/>
  <c r="A6718" i="5"/>
  <c r="A6719" i="5"/>
  <c r="A6720" i="5"/>
  <c r="A6721" i="5"/>
  <c r="A6722" i="5"/>
  <c r="A6723" i="5"/>
  <c r="A6724" i="5"/>
  <c r="F6726" i="5"/>
  <c r="G6726" i="5"/>
  <c r="A6734" i="5"/>
  <c r="A6735" i="5"/>
  <c r="A6736" i="5"/>
  <c r="A6737" i="5"/>
  <c r="A6738" i="5"/>
  <c r="A6739" i="5"/>
  <c r="A6740" i="5"/>
  <c r="A6741" i="5"/>
  <c r="A6742" i="5"/>
  <c r="A6743" i="5"/>
  <c r="A6744" i="5"/>
  <c r="A6745" i="5"/>
  <c r="A6746" i="5"/>
  <c r="A6747" i="5"/>
  <c r="A6748" i="5"/>
  <c r="A6749" i="5"/>
  <c r="A6750" i="5"/>
  <c r="A6751" i="5"/>
  <c r="A6752" i="5"/>
  <c r="A6753" i="5"/>
  <c r="A6754" i="5"/>
  <c r="A6755" i="5"/>
  <c r="A6756" i="5"/>
  <c r="A6757" i="5"/>
  <c r="A6758" i="5"/>
  <c r="F6760" i="5"/>
  <c r="G6760" i="5"/>
  <c r="A6768" i="5"/>
  <c r="A6769" i="5"/>
  <c r="A6770" i="5"/>
  <c r="A6771" i="5"/>
  <c r="A6772" i="5"/>
  <c r="A6773" i="5"/>
  <c r="A6774" i="5"/>
  <c r="A6775" i="5"/>
  <c r="A6776" i="5"/>
  <c r="A6777" i="5"/>
  <c r="A6778" i="5"/>
  <c r="A6779" i="5"/>
  <c r="A6780" i="5"/>
  <c r="A6781" i="5"/>
  <c r="A6782" i="5"/>
  <c r="A6783" i="5"/>
  <c r="A6784" i="5"/>
  <c r="A6785" i="5"/>
  <c r="A6786" i="5"/>
  <c r="A6787" i="5"/>
  <c r="A6788" i="5"/>
  <c r="A6789" i="5"/>
  <c r="A6790" i="5"/>
  <c r="A6791" i="5"/>
  <c r="A6792" i="5"/>
  <c r="F6794" i="5"/>
  <c r="G6794" i="5"/>
  <c r="A6802" i="5"/>
  <c r="A6803" i="5"/>
  <c r="A6804" i="5"/>
  <c r="A6805" i="5"/>
  <c r="A6806" i="5"/>
  <c r="A6807" i="5"/>
  <c r="A6808" i="5"/>
  <c r="A6809" i="5"/>
  <c r="A6810" i="5"/>
  <c r="A6811" i="5"/>
  <c r="A6812" i="5"/>
  <c r="A6813" i="5"/>
  <c r="A6814" i="5"/>
  <c r="A6815" i="5"/>
  <c r="A6816" i="5"/>
  <c r="A6817" i="5"/>
  <c r="A6818" i="5"/>
  <c r="A6819" i="5"/>
  <c r="A6820" i="5"/>
  <c r="A6821" i="5"/>
  <c r="A6822" i="5"/>
  <c r="A6823" i="5"/>
  <c r="A6824" i="5"/>
  <c r="A6825" i="5"/>
  <c r="A6826" i="5"/>
  <c r="F6828" i="5"/>
  <c r="G6828" i="5"/>
  <c r="A6836" i="5"/>
  <c r="A6837" i="5"/>
  <c r="A6838" i="5"/>
  <c r="A6839" i="5"/>
  <c r="A6840" i="5"/>
  <c r="A6841" i="5"/>
  <c r="A6842" i="5"/>
  <c r="A6843" i="5"/>
  <c r="A6844" i="5"/>
  <c r="A6845" i="5"/>
  <c r="A6846" i="5"/>
  <c r="A6847" i="5"/>
  <c r="A6848" i="5"/>
  <c r="A6849" i="5"/>
  <c r="A6850" i="5"/>
  <c r="A6851" i="5"/>
  <c r="A6852" i="5"/>
  <c r="A6853" i="5"/>
  <c r="A6854" i="5"/>
  <c r="A6855" i="5"/>
  <c r="A6856" i="5"/>
  <c r="A6857" i="5"/>
  <c r="A6858" i="5"/>
  <c r="A6859" i="5"/>
  <c r="A6860" i="5"/>
  <c r="F6862" i="5"/>
  <c r="G6862" i="5"/>
  <c r="A6870" i="5"/>
  <c r="A6871" i="5"/>
  <c r="A6872" i="5"/>
  <c r="A6873" i="5"/>
  <c r="A6874" i="5"/>
  <c r="A6875" i="5"/>
  <c r="A6876" i="5"/>
  <c r="A6877" i="5"/>
  <c r="A6878" i="5"/>
  <c r="A6879" i="5"/>
  <c r="A6880" i="5"/>
  <c r="A6881" i="5"/>
  <c r="A6882" i="5"/>
  <c r="A6883" i="5"/>
  <c r="A6884" i="5"/>
  <c r="A6885" i="5"/>
  <c r="A6886" i="5"/>
  <c r="A6887" i="5"/>
  <c r="A6888" i="5"/>
  <c r="A6889" i="5"/>
  <c r="A6890" i="5"/>
  <c r="A6891" i="5"/>
  <c r="A6892" i="5"/>
  <c r="A6893" i="5"/>
  <c r="A6894" i="5"/>
  <c r="F6896" i="5"/>
  <c r="G6896" i="5"/>
  <c r="A6904" i="5"/>
  <c r="A6905" i="5"/>
  <c r="A6906" i="5"/>
  <c r="A6907" i="5"/>
  <c r="A6908" i="5"/>
  <c r="A6909" i="5"/>
  <c r="A6910" i="5"/>
  <c r="A6911" i="5"/>
  <c r="A6912" i="5"/>
  <c r="A6913" i="5"/>
  <c r="A6914" i="5"/>
  <c r="A6915" i="5"/>
  <c r="A6916" i="5"/>
  <c r="A6917" i="5"/>
  <c r="A6918" i="5"/>
  <c r="A6919" i="5"/>
  <c r="A6920" i="5"/>
  <c r="A6921" i="5"/>
  <c r="A6922" i="5"/>
  <c r="A6923" i="5"/>
  <c r="A6924" i="5"/>
  <c r="A6925" i="5"/>
  <c r="A6926" i="5"/>
  <c r="A6927" i="5"/>
  <c r="A6928" i="5"/>
  <c r="F6930" i="5"/>
  <c r="G6930" i="5"/>
  <c r="A6938" i="5"/>
  <c r="A6939" i="5"/>
  <c r="A6940" i="5"/>
  <c r="A6941" i="5"/>
  <c r="A6942" i="5"/>
  <c r="A6943" i="5"/>
  <c r="A6944" i="5"/>
  <c r="A6945" i="5"/>
  <c r="A6946" i="5"/>
  <c r="A6947" i="5"/>
  <c r="A6948" i="5"/>
  <c r="A6949" i="5"/>
  <c r="A6950" i="5"/>
  <c r="A6951" i="5"/>
  <c r="A6952" i="5"/>
  <c r="A6953" i="5"/>
  <c r="A6954" i="5"/>
  <c r="A6955" i="5"/>
  <c r="A6956" i="5"/>
  <c r="A6957" i="5"/>
  <c r="A6958" i="5"/>
  <c r="A6959" i="5"/>
  <c r="A6960" i="5"/>
  <c r="A6961" i="5"/>
  <c r="A6962" i="5"/>
  <c r="F6964" i="5"/>
  <c r="G6964" i="5"/>
  <c r="A6972" i="5"/>
  <c r="A6973" i="5"/>
  <c r="A6974" i="5"/>
  <c r="A6975" i="5"/>
  <c r="A6976" i="5"/>
  <c r="A6977" i="5"/>
  <c r="A6978" i="5"/>
  <c r="A6979" i="5"/>
  <c r="A6980" i="5"/>
  <c r="A6981" i="5"/>
  <c r="A6982" i="5"/>
  <c r="A6983" i="5"/>
  <c r="A6984" i="5"/>
  <c r="A6985" i="5"/>
  <c r="A6986" i="5"/>
  <c r="A6987" i="5"/>
  <c r="A6988" i="5"/>
  <c r="A6989" i="5"/>
  <c r="A6990" i="5"/>
  <c r="A6991" i="5"/>
  <c r="A6992" i="5"/>
  <c r="A6993" i="5"/>
  <c r="A6994" i="5"/>
  <c r="A6995" i="5"/>
  <c r="A6996" i="5"/>
  <c r="F6998" i="5"/>
  <c r="G6998" i="5"/>
  <c r="A7006" i="5"/>
  <c r="A7007" i="5"/>
  <c r="A7008" i="5"/>
  <c r="A7009" i="5"/>
  <c r="A7010" i="5"/>
  <c r="A7011" i="5"/>
  <c r="A7012" i="5"/>
  <c r="A7013" i="5"/>
  <c r="A7014" i="5"/>
  <c r="A7015" i="5"/>
  <c r="A7016" i="5"/>
  <c r="A7017" i="5"/>
  <c r="A7018" i="5"/>
  <c r="A7019" i="5"/>
  <c r="A7020" i="5"/>
  <c r="A7021" i="5"/>
  <c r="A7022" i="5"/>
  <c r="A7023" i="5"/>
  <c r="A7024" i="5"/>
  <c r="A7025" i="5"/>
  <c r="A7026" i="5"/>
  <c r="A7027" i="5"/>
  <c r="A7028" i="5"/>
  <c r="A7029" i="5"/>
  <c r="A7030" i="5"/>
  <c r="F7032" i="5"/>
  <c r="G7032" i="5"/>
  <c r="A7040" i="5"/>
  <c r="A7041" i="5"/>
  <c r="A7042" i="5"/>
  <c r="A7043" i="5"/>
  <c r="A7044" i="5"/>
  <c r="A7045" i="5"/>
  <c r="A7046" i="5"/>
  <c r="A7047" i="5"/>
  <c r="A7048" i="5"/>
  <c r="A7049" i="5"/>
  <c r="A7050" i="5"/>
  <c r="A7051" i="5"/>
  <c r="A7052" i="5"/>
  <c r="A7053" i="5"/>
  <c r="A7054" i="5"/>
  <c r="A7055" i="5"/>
  <c r="A7056" i="5"/>
  <c r="A7057" i="5"/>
  <c r="A7058" i="5"/>
  <c r="A7059" i="5"/>
  <c r="A7060" i="5"/>
  <c r="A7061" i="5"/>
  <c r="A7062" i="5"/>
  <c r="A7063" i="5"/>
  <c r="A7064" i="5"/>
  <c r="F7066" i="5"/>
  <c r="G7066" i="5"/>
  <c r="A7074" i="5"/>
  <c r="A7075" i="5"/>
  <c r="A7076" i="5"/>
  <c r="A7077" i="5"/>
  <c r="A7078" i="5"/>
  <c r="A7079" i="5"/>
  <c r="A7080" i="5"/>
  <c r="A7081" i="5"/>
  <c r="A7082" i="5"/>
  <c r="A7083" i="5"/>
  <c r="A7084" i="5"/>
  <c r="A7085" i="5"/>
  <c r="A7086" i="5"/>
  <c r="A7087" i="5"/>
  <c r="A7088" i="5"/>
  <c r="A7089" i="5"/>
  <c r="A7090" i="5"/>
  <c r="A7091" i="5"/>
  <c r="A7092" i="5"/>
  <c r="A7093" i="5"/>
  <c r="A7094" i="5"/>
  <c r="A7095" i="5"/>
  <c r="A7096" i="5"/>
  <c r="A7097" i="5"/>
  <c r="A7098" i="5"/>
  <c r="F7100" i="5"/>
  <c r="G7100" i="5"/>
  <c r="A7108" i="5"/>
  <c r="A7109" i="5"/>
  <c r="A7110" i="5"/>
  <c r="A7111" i="5"/>
  <c r="A7112" i="5"/>
  <c r="A7113" i="5"/>
  <c r="A7114" i="5"/>
  <c r="A7115" i="5"/>
  <c r="A7116" i="5"/>
  <c r="A7117" i="5"/>
  <c r="A7118" i="5"/>
  <c r="A7119" i="5"/>
  <c r="A7120" i="5"/>
  <c r="A7121" i="5"/>
  <c r="A7122" i="5"/>
  <c r="A7123" i="5"/>
  <c r="A7124" i="5"/>
  <c r="A7125" i="5"/>
  <c r="A7126" i="5"/>
  <c r="A7127" i="5"/>
  <c r="A7128" i="5"/>
  <c r="A7129" i="5"/>
  <c r="A7130" i="5"/>
  <c r="A7131" i="5"/>
  <c r="A7132" i="5"/>
  <c r="F7134" i="5"/>
  <c r="G7134" i="5"/>
  <c r="I7134" i="5"/>
  <c r="I7135" i="5"/>
  <c r="A7142" i="5"/>
  <c r="A7143" i="5"/>
  <c r="A7144" i="5"/>
  <c r="A7145" i="5"/>
  <c r="A7146" i="5"/>
  <c r="A7147" i="5"/>
  <c r="A7148" i="5"/>
  <c r="A7149" i="5"/>
  <c r="A7150" i="5"/>
  <c r="A7151" i="5"/>
  <c r="A7152" i="5"/>
  <c r="A7153" i="5"/>
  <c r="A7154" i="5"/>
  <c r="A7155" i="5"/>
  <c r="A7156" i="5"/>
  <c r="A7157" i="5"/>
  <c r="A7158" i="5"/>
  <c r="A7159" i="5"/>
  <c r="A7160" i="5"/>
  <c r="A7161" i="5"/>
  <c r="A7162" i="5"/>
  <c r="A7163" i="5"/>
  <c r="A7164" i="5"/>
  <c r="A7165" i="5"/>
  <c r="A7166" i="5"/>
  <c r="F7168" i="5"/>
  <c r="G7168" i="5"/>
  <c r="A7176" i="5"/>
  <c r="A7177" i="5"/>
  <c r="A7178" i="5"/>
  <c r="A7179" i="5"/>
  <c r="A7180" i="5"/>
  <c r="A7181" i="5"/>
  <c r="A7182" i="5"/>
  <c r="A7183" i="5"/>
  <c r="A7184" i="5"/>
  <c r="A7185" i="5"/>
  <c r="A7186" i="5"/>
  <c r="A7187" i="5"/>
  <c r="A7188" i="5"/>
  <c r="A7189" i="5"/>
  <c r="A7190" i="5"/>
  <c r="A7191" i="5"/>
  <c r="A7192" i="5"/>
  <c r="A7193" i="5"/>
  <c r="A7194" i="5"/>
  <c r="A7195" i="5"/>
  <c r="A7196" i="5"/>
  <c r="A7197" i="5"/>
  <c r="A7198" i="5"/>
  <c r="A7199" i="5"/>
  <c r="A7200" i="5"/>
  <c r="F7202" i="5"/>
  <c r="G7202" i="5"/>
  <c r="A7210" i="5"/>
  <c r="A7211" i="5"/>
  <c r="A7212" i="5"/>
  <c r="A7213" i="5"/>
  <c r="A7214" i="5"/>
  <c r="A7215" i="5"/>
  <c r="A7216" i="5"/>
  <c r="A7217" i="5"/>
  <c r="A7218" i="5"/>
  <c r="A7219" i="5"/>
  <c r="A7220" i="5"/>
  <c r="A7221" i="5"/>
  <c r="A7222" i="5"/>
  <c r="A7223" i="5"/>
  <c r="A7224" i="5"/>
  <c r="A7225" i="5"/>
  <c r="A7226" i="5"/>
  <c r="A7227" i="5"/>
  <c r="A7228" i="5"/>
  <c r="A7229" i="5"/>
  <c r="A7230" i="5"/>
  <c r="A7231" i="5"/>
  <c r="A7232" i="5"/>
  <c r="A7233" i="5"/>
  <c r="A7234" i="5"/>
  <c r="F7236" i="5"/>
  <c r="G7236" i="5"/>
  <c r="A7244" i="5"/>
  <c r="A7245" i="5"/>
  <c r="A7246" i="5"/>
  <c r="A7247" i="5"/>
  <c r="A7248" i="5"/>
  <c r="A7249" i="5"/>
  <c r="A7250" i="5"/>
  <c r="A7251" i="5"/>
  <c r="A7252" i="5"/>
  <c r="A7253" i="5"/>
  <c r="A7254" i="5"/>
  <c r="A7255" i="5"/>
  <c r="A7256" i="5"/>
  <c r="A7257" i="5"/>
  <c r="A7258" i="5"/>
  <c r="A7259" i="5"/>
  <c r="A7260" i="5"/>
  <c r="A7261" i="5"/>
  <c r="A7262" i="5"/>
  <c r="A7263" i="5"/>
  <c r="A7264" i="5"/>
  <c r="A7265" i="5"/>
  <c r="A7266" i="5"/>
  <c r="A7267" i="5"/>
  <c r="A7268" i="5"/>
  <c r="F7270" i="5"/>
  <c r="G7270" i="5"/>
  <c r="A7278" i="5"/>
  <c r="A7279" i="5"/>
  <c r="A7280" i="5"/>
  <c r="A7281" i="5"/>
  <c r="A7282" i="5"/>
  <c r="A7283" i="5"/>
  <c r="A7284" i="5"/>
  <c r="A7285" i="5"/>
  <c r="A7286" i="5"/>
  <c r="A7287" i="5"/>
  <c r="A7288" i="5"/>
  <c r="A7289" i="5"/>
  <c r="A7290" i="5"/>
  <c r="A7291" i="5"/>
  <c r="A7292" i="5"/>
  <c r="A7293" i="5"/>
  <c r="A7294" i="5"/>
  <c r="A7295" i="5"/>
  <c r="A7296" i="5"/>
  <c r="A7297" i="5"/>
  <c r="A7298" i="5"/>
  <c r="A7299" i="5"/>
  <c r="A7300" i="5"/>
  <c r="A7301" i="5"/>
  <c r="A7302" i="5"/>
  <c r="F7304" i="5"/>
  <c r="G7304" i="5"/>
  <c r="A7312" i="5"/>
  <c r="A7313" i="5"/>
  <c r="A7314" i="5"/>
  <c r="A7315" i="5"/>
  <c r="A7316" i="5"/>
  <c r="A7317" i="5"/>
  <c r="A7318" i="5"/>
  <c r="A7319" i="5"/>
  <c r="A7320" i="5"/>
  <c r="A7321" i="5"/>
  <c r="A7322" i="5"/>
  <c r="A7323" i="5"/>
  <c r="A7324" i="5"/>
  <c r="A7325" i="5"/>
  <c r="A7326" i="5"/>
  <c r="A7327" i="5"/>
  <c r="A7328" i="5"/>
  <c r="A7329" i="5"/>
  <c r="A7330" i="5"/>
  <c r="A7331" i="5"/>
  <c r="A7332" i="5"/>
  <c r="A7333" i="5"/>
  <c r="A7334" i="5"/>
  <c r="A7335" i="5"/>
  <c r="A7336" i="5"/>
  <c r="F7338" i="5"/>
  <c r="G7338" i="5"/>
  <c r="A7346" i="5"/>
  <c r="A7347" i="5"/>
  <c r="A7348" i="5"/>
  <c r="A7349" i="5"/>
  <c r="A7350" i="5"/>
  <c r="A7351" i="5"/>
  <c r="A7352" i="5"/>
  <c r="A7353" i="5"/>
  <c r="A7354" i="5"/>
  <c r="A7355" i="5"/>
  <c r="A7356" i="5"/>
  <c r="A7357" i="5"/>
  <c r="A7358" i="5"/>
  <c r="A7359" i="5"/>
  <c r="A7360" i="5"/>
  <c r="A7361" i="5"/>
  <c r="A7362" i="5"/>
  <c r="A7363" i="5"/>
  <c r="A7364" i="5"/>
  <c r="A7365" i="5"/>
  <c r="A7366" i="5"/>
  <c r="A7367" i="5"/>
  <c r="A7368" i="5"/>
  <c r="A7369" i="5"/>
  <c r="A7370" i="5"/>
  <c r="F7372" i="5"/>
  <c r="G7372" i="5"/>
  <c r="A7380" i="5"/>
  <c r="A7381" i="5"/>
  <c r="A7382" i="5"/>
  <c r="A7383" i="5"/>
  <c r="A7384" i="5"/>
  <c r="A7385" i="5"/>
  <c r="A7386" i="5"/>
  <c r="A7387" i="5"/>
  <c r="A7388" i="5"/>
  <c r="A7389" i="5"/>
  <c r="A7390" i="5"/>
  <c r="A7391" i="5"/>
  <c r="A7392" i="5"/>
  <c r="A7393" i="5"/>
  <c r="A7394" i="5"/>
  <c r="A7395" i="5"/>
  <c r="A7396" i="5"/>
  <c r="A7397" i="5"/>
  <c r="A7398" i="5"/>
  <c r="A7399" i="5"/>
  <c r="A7400" i="5"/>
  <c r="A7401" i="5"/>
  <c r="A7402" i="5"/>
  <c r="A7403" i="5"/>
  <c r="A7404" i="5"/>
  <c r="F7406" i="5"/>
  <c r="G7406" i="5"/>
  <c r="A7414" i="5"/>
  <c r="A7415" i="5"/>
  <c r="A7416" i="5"/>
  <c r="A7417" i="5"/>
  <c r="A7418" i="5"/>
  <c r="A7419" i="5"/>
  <c r="A7420" i="5"/>
  <c r="A7421" i="5"/>
  <c r="A7422" i="5"/>
  <c r="A7423" i="5"/>
  <c r="A7424" i="5"/>
  <c r="A7425" i="5"/>
  <c r="A7426" i="5"/>
  <c r="A7427" i="5"/>
  <c r="A7428" i="5"/>
  <c r="A7429" i="5"/>
  <c r="A7430" i="5"/>
  <c r="A7431" i="5"/>
  <c r="A7432" i="5"/>
  <c r="A7433" i="5"/>
  <c r="A7434" i="5"/>
  <c r="A7435" i="5"/>
  <c r="A7436" i="5"/>
  <c r="A7437" i="5"/>
  <c r="A7438" i="5"/>
  <c r="F7440" i="5"/>
  <c r="G7440" i="5"/>
  <c r="A7448" i="5"/>
  <c r="A7449" i="5"/>
  <c r="A7450" i="5"/>
  <c r="A7451" i="5"/>
  <c r="A7452" i="5"/>
  <c r="A7453" i="5"/>
  <c r="A7454" i="5"/>
  <c r="A7455" i="5"/>
  <c r="A7456" i="5"/>
  <c r="A7457" i="5"/>
  <c r="A7458" i="5"/>
  <c r="A7459" i="5"/>
  <c r="A7460" i="5"/>
  <c r="A7461" i="5"/>
  <c r="A7462" i="5"/>
  <c r="A7463" i="5"/>
  <c r="A7464" i="5"/>
  <c r="A7465" i="5"/>
  <c r="A7466" i="5"/>
  <c r="A7467" i="5"/>
  <c r="A7468" i="5"/>
  <c r="A7469" i="5"/>
  <c r="A7470" i="5"/>
  <c r="A7471" i="5"/>
  <c r="A7472" i="5"/>
  <c r="F7474" i="5"/>
  <c r="G7474" i="5"/>
  <c r="A7482" i="5"/>
  <c r="A7483" i="5"/>
  <c r="A7484" i="5"/>
  <c r="A7485" i="5"/>
  <c r="A7486" i="5"/>
  <c r="A7487" i="5"/>
  <c r="A7488" i="5"/>
  <c r="A7489" i="5"/>
  <c r="A7490" i="5"/>
  <c r="A7491" i="5"/>
  <c r="A7492" i="5"/>
  <c r="A7493" i="5"/>
  <c r="A7494" i="5"/>
  <c r="A7495" i="5"/>
  <c r="A7496" i="5"/>
  <c r="A7497" i="5"/>
  <c r="A7498" i="5"/>
  <c r="A7499" i="5"/>
  <c r="A7500" i="5"/>
  <c r="A7501" i="5"/>
  <c r="A7502" i="5"/>
  <c r="A7503" i="5"/>
  <c r="A7504" i="5"/>
  <c r="A7505" i="5"/>
  <c r="A7506" i="5"/>
  <c r="F7508" i="5"/>
  <c r="G7508" i="5"/>
  <c r="F2251" i="6" l="1"/>
  <c r="G2208" i="6" s="1"/>
  <c r="F3368" i="6"/>
  <c r="G3349" i="6" s="1"/>
  <c r="F2297" i="6"/>
  <c r="G2257" i="6" s="1"/>
  <c r="F50" i="7"/>
  <c r="G31" i="7" s="1"/>
  <c r="F4851" i="6"/>
  <c r="G4832" i="6" s="1"/>
  <c r="F4676" i="6"/>
  <c r="G4657" i="6" s="1"/>
  <c r="F3725" i="6"/>
  <c r="G3474" i="6" s="1"/>
  <c r="F3468" i="6"/>
  <c r="G3374" i="6" s="1"/>
  <c r="F1037" i="6"/>
  <c r="G1024" i="6" s="1"/>
  <c r="F1001" i="6"/>
  <c r="G989" i="6" s="1"/>
  <c r="F965" i="6"/>
  <c r="G954" i="6" s="1"/>
  <c r="F821" i="6"/>
  <c r="G811" i="6" s="1"/>
  <c r="F3017" i="7"/>
  <c r="G2998" i="7" s="1"/>
  <c r="F508" i="7"/>
  <c r="G489" i="7" s="1"/>
  <c r="F4926" i="6"/>
  <c r="G4907" i="6" s="1"/>
  <c r="F1515" i="7"/>
  <c r="G1496" i="7" s="1"/>
  <c r="F5051" i="6"/>
  <c r="G5032" i="6" s="1"/>
  <c r="F4976" i="6"/>
  <c r="G4957" i="6" s="1"/>
  <c r="F1056" i="6"/>
  <c r="G1043" i="6" s="1"/>
  <c r="F45" i="6"/>
  <c r="G39" i="6" s="1"/>
  <c r="F3042" i="7"/>
  <c r="G3023" i="7" s="1"/>
  <c r="F541" i="7"/>
  <c r="G514" i="7" s="1"/>
  <c r="F858" i="6"/>
  <c r="G827" i="6" s="1"/>
  <c r="F32" i="6"/>
  <c r="G18" i="6" s="1"/>
  <c r="F1407" i="7"/>
  <c r="G1379" i="7" s="1"/>
  <c r="C3040" i="7"/>
  <c r="C3036" i="7"/>
  <c r="C3032" i="7"/>
  <c r="C3028" i="7"/>
  <c r="C3014" i="7"/>
  <c r="C3010" i="7"/>
  <c r="C3006" i="7"/>
  <c r="C3002" i="7"/>
  <c r="C2988" i="7"/>
  <c r="C2984" i="7"/>
  <c r="C2980" i="7"/>
  <c r="D2958" i="7"/>
  <c r="C2957" i="7"/>
  <c r="C2956" i="7"/>
  <c r="D2928" i="7"/>
  <c r="C2927" i="7"/>
  <c r="C2916" i="7"/>
  <c r="D2902" i="7"/>
  <c r="C2891" i="7"/>
  <c r="C2890" i="7"/>
  <c r="D2862" i="7"/>
  <c r="C2861" i="7"/>
  <c r="C2860" i="7"/>
  <c r="D2831" i="7"/>
  <c r="F2831" i="7"/>
  <c r="D2809" i="7"/>
  <c r="E2809" i="7"/>
  <c r="D2787" i="7"/>
  <c r="C2787" i="7"/>
  <c r="D2779" i="7"/>
  <c r="F2779" i="7"/>
  <c r="E2764" i="7"/>
  <c r="F2764" i="7"/>
  <c r="D2757" i="7"/>
  <c r="C2757" i="7"/>
  <c r="D2749" i="7"/>
  <c r="F2749" i="7"/>
  <c r="C2742" i="7"/>
  <c r="D2742" i="7"/>
  <c r="E2726" i="7"/>
  <c r="D2726" i="7"/>
  <c r="C2724" i="7"/>
  <c r="F2724" i="7"/>
  <c r="D2711" i="7"/>
  <c r="E2711" i="7"/>
  <c r="C2686" i="7"/>
  <c r="D2686" i="7"/>
  <c r="C2683" i="7"/>
  <c r="E2683" i="7"/>
  <c r="C2678" i="7"/>
  <c r="D2678" i="7"/>
  <c r="C2675" i="7"/>
  <c r="E2675" i="7"/>
  <c r="C2670" i="7"/>
  <c r="D2670" i="7"/>
  <c r="C2667" i="7"/>
  <c r="E2667" i="7"/>
  <c r="D2656" i="7"/>
  <c r="C2656" i="7"/>
  <c r="E2656" i="7"/>
  <c r="D2636" i="7"/>
  <c r="E2636" i="7"/>
  <c r="F2636" i="7"/>
  <c r="C2625" i="7"/>
  <c r="D2625" i="7"/>
  <c r="E2625" i="7"/>
  <c r="E2623" i="7"/>
  <c r="C2623" i="7"/>
  <c r="D2623" i="7"/>
  <c r="C2605" i="7"/>
  <c r="E2605" i="7"/>
  <c r="F2605" i="7"/>
  <c r="E2603" i="7"/>
  <c r="D2603" i="7"/>
  <c r="F2603" i="7"/>
  <c r="C2583" i="7"/>
  <c r="D2583" i="7"/>
  <c r="E2583" i="7"/>
  <c r="E2581" i="7"/>
  <c r="C2581" i="7"/>
  <c r="D2581" i="7"/>
  <c r="C2565" i="7"/>
  <c r="E2565" i="7"/>
  <c r="F2565" i="7"/>
  <c r="E2563" i="7"/>
  <c r="D2563" i="7"/>
  <c r="F2563" i="7"/>
  <c r="D2552" i="7"/>
  <c r="C2552" i="7"/>
  <c r="E2552" i="7"/>
  <c r="F2988" i="7"/>
  <c r="F2992" i="7" s="1"/>
  <c r="G2973" i="7" s="1"/>
  <c r="E2834" i="7"/>
  <c r="D2834" i="7"/>
  <c r="C2832" i="7"/>
  <c r="F2832" i="7"/>
  <c r="E2812" i="7"/>
  <c r="C2812" i="7"/>
  <c r="C2810" i="7"/>
  <c r="E2810" i="7"/>
  <c r="E2804" i="7"/>
  <c r="F2804" i="7"/>
  <c r="C2788" i="7"/>
  <c r="D2788" i="7"/>
  <c r="E2782" i="7"/>
  <c r="D2782" i="7"/>
  <c r="C2780" i="7"/>
  <c r="F2780" i="7"/>
  <c r="D2765" i="7"/>
  <c r="F2765" i="7"/>
  <c r="C2758" i="7"/>
  <c r="D2758" i="7"/>
  <c r="E2752" i="7"/>
  <c r="D2752" i="7"/>
  <c r="C2750" i="7"/>
  <c r="F2750" i="7"/>
  <c r="D2727" i="7"/>
  <c r="E2727" i="7"/>
  <c r="E2714" i="7"/>
  <c r="C2714" i="7"/>
  <c r="C2712" i="7"/>
  <c r="E2712" i="7"/>
  <c r="E2706" i="7"/>
  <c r="F2706" i="7"/>
  <c r="C2653" i="7"/>
  <c r="E2653" i="7"/>
  <c r="F2653" i="7"/>
  <c r="E2651" i="7"/>
  <c r="D2651" i="7"/>
  <c r="F2651" i="7"/>
  <c r="D2640" i="7"/>
  <c r="C2640" i="7"/>
  <c r="E2640" i="7"/>
  <c r="D2620" i="7"/>
  <c r="E2620" i="7"/>
  <c r="F2620" i="7"/>
  <c r="C2609" i="7"/>
  <c r="D2609" i="7"/>
  <c r="E2609" i="7"/>
  <c r="E2607" i="7"/>
  <c r="C2607" i="7"/>
  <c r="D2607" i="7"/>
  <c r="D2578" i="7"/>
  <c r="E2578" i="7"/>
  <c r="F2578" i="7"/>
  <c r="C2549" i="7"/>
  <c r="E2549" i="7"/>
  <c r="F2549" i="7"/>
  <c r="E2547" i="7"/>
  <c r="D2547" i="7"/>
  <c r="F2547" i="7"/>
  <c r="C2527" i="7"/>
  <c r="D2527" i="7"/>
  <c r="E2527" i="7"/>
  <c r="F2527" i="7"/>
  <c r="D2514" i="7"/>
  <c r="E2514" i="7"/>
  <c r="C2514" i="7"/>
  <c r="F2514" i="7"/>
  <c r="D3041" i="7"/>
  <c r="E3040" i="7"/>
  <c r="D3037" i="7"/>
  <c r="E3036" i="7"/>
  <c r="D3033" i="7"/>
  <c r="E3032" i="7"/>
  <c r="D3029" i="7"/>
  <c r="E3028" i="7"/>
  <c r="D3015" i="7"/>
  <c r="E3014" i="7"/>
  <c r="D3011" i="7"/>
  <c r="E3010" i="7"/>
  <c r="D3007" i="7"/>
  <c r="E3006" i="7"/>
  <c r="D3003" i="7"/>
  <c r="E3002" i="7"/>
  <c r="D2989" i="7"/>
  <c r="E2988" i="7"/>
  <c r="D2985" i="7"/>
  <c r="E2984" i="7"/>
  <c r="D2981" i="7"/>
  <c r="E2980" i="7"/>
  <c r="D2966" i="7"/>
  <c r="C2965" i="7"/>
  <c r="C2964" i="7"/>
  <c r="E2962" i="7"/>
  <c r="E2961" i="7"/>
  <c r="D2960" i="7"/>
  <c r="F2958" i="7"/>
  <c r="F2957" i="7"/>
  <c r="F2956" i="7"/>
  <c r="D2936" i="7"/>
  <c r="C2935" i="7"/>
  <c r="C2934" i="7"/>
  <c r="E2932" i="7"/>
  <c r="E2931" i="7"/>
  <c r="D2930" i="7"/>
  <c r="F2928" i="7"/>
  <c r="F2927" i="7"/>
  <c r="F2916" i="7"/>
  <c r="D2910" i="7"/>
  <c r="C2909" i="7"/>
  <c r="C2908" i="7"/>
  <c r="E2906" i="7"/>
  <c r="E2905" i="7"/>
  <c r="D2904" i="7"/>
  <c r="F2902" i="7"/>
  <c r="F2891" i="7"/>
  <c r="F2890" i="7"/>
  <c r="D2884" i="7"/>
  <c r="C2883" i="7"/>
  <c r="C2882" i="7"/>
  <c r="E2880" i="7"/>
  <c r="E2879" i="7"/>
  <c r="D2878" i="7"/>
  <c r="E2866" i="7"/>
  <c r="E2865" i="7"/>
  <c r="D2864" i="7"/>
  <c r="F2862" i="7"/>
  <c r="F2861" i="7"/>
  <c r="F2860" i="7"/>
  <c r="D2854" i="7"/>
  <c r="C2853" i="7"/>
  <c r="C2852" i="7"/>
  <c r="D2840" i="7"/>
  <c r="C2839" i="7"/>
  <c r="C2838" i="7"/>
  <c r="D2835" i="7"/>
  <c r="E2835" i="7"/>
  <c r="E2831" i="7"/>
  <c r="D2813" i="7"/>
  <c r="C2813" i="7"/>
  <c r="F2809" i="7"/>
  <c r="D2805" i="7"/>
  <c r="F2805" i="7"/>
  <c r="F2787" i="7"/>
  <c r="D2783" i="7"/>
  <c r="E2783" i="7"/>
  <c r="E2779" i="7"/>
  <c r="C2766" i="7"/>
  <c r="F2766" i="7"/>
  <c r="D2764" i="7"/>
  <c r="F2757" i="7"/>
  <c r="D2753" i="7"/>
  <c r="E2753" i="7"/>
  <c r="E2749" i="7"/>
  <c r="F2742" i="7"/>
  <c r="E2730" i="7"/>
  <c r="C2730" i="7"/>
  <c r="C2728" i="7"/>
  <c r="E2728" i="7"/>
  <c r="F2726" i="7"/>
  <c r="E2724" i="7"/>
  <c r="E2722" i="7"/>
  <c r="F2722" i="7"/>
  <c r="D2715" i="7"/>
  <c r="C2715" i="7"/>
  <c r="F2711" i="7"/>
  <c r="D2707" i="7"/>
  <c r="F2707" i="7"/>
  <c r="C2700" i="7"/>
  <c r="D2700" i="7"/>
  <c r="E2688" i="7"/>
  <c r="C2687" i="7"/>
  <c r="E2687" i="7"/>
  <c r="C2682" i="7"/>
  <c r="D2682" i="7"/>
  <c r="E2680" i="7"/>
  <c r="C2679" i="7"/>
  <c r="E2679" i="7"/>
  <c r="C2674" i="7"/>
  <c r="D2674" i="7"/>
  <c r="E2672" i="7"/>
  <c r="C2671" i="7"/>
  <c r="E2671" i="7"/>
  <c r="C2666" i="7"/>
  <c r="D2666" i="7"/>
  <c r="C2657" i="7"/>
  <c r="D2657" i="7"/>
  <c r="E2657" i="7"/>
  <c r="E2655" i="7"/>
  <c r="C2655" i="7"/>
  <c r="D2655" i="7"/>
  <c r="C2637" i="7"/>
  <c r="E2637" i="7"/>
  <c r="F2637" i="7"/>
  <c r="E2635" i="7"/>
  <c r="D2635" i="7"/>
  <c r="F2635" i="7"/>
  <c r="D2624" i="7"/>
  <c r="C2624" i="7"/>
  <c r="E2624" i="7"/>
  <c r="D2604" i="7"/>
  <c r="E2604" i="7"/>
  <c r="F2604" i="7"/>
  <c r="D2582" i="7"/>
  <c r="C2582" i="7"/>
  <c r="E2582" i="7"/>
  <c r="D2564" i="7"/>
  <c r="E2564" i="7"/>
  <c r="F2564" i="7"/>
  <c r="C2553" i="7"/>
  <c r="D2553" i="7"/>
  <c r="E2553" i="7"/>
  <c r="E2551" i="7"/>
  <c r="C2551" i="7"/>
  <c r="D2551" i="7"/>
  <c r="D2962" i="7"/>
  <c r="C2961" i="7"/>
  <c r="C2960" i="7"/>
  <c r="E2958" i="7"/>
  <c r="E2957" i="7"/>
  <c r="D2956" i="7"/>
  <c r="D2932" i="7"/>
  <c r="C2931" i="7"/>
  <c r="C2930" i="7"/>
  <c r="E2928" i="7"/>
  <c r="E2927" i="7"/>
  <c r="D2916" i="7"/>
  <c r="D2906" i="7"/>
  <c r="C2905" i="7"/>
  <c r="C2904" i="7"/>
  <c r="E2902" i="7"/>
  <c r="E2891" i="7"/>
  <c r="D2890" i="7"/>
  <c r="D2880" i="7"/>
  <c r="C2879" i="7"/>
  <c r="C2878" i="7"/>
  <c r="D2866" i="7"/>
  <c r="C2865" i="7"/>
  <c r="C2864" i="7"/>
  <c r="E2862" i="7"/>
  <c r="E2861" i="7"/>
  <c r="D2860" i="7"/>
  <c r="C2836" i="7"/>
  <c r="E2836" i="7"/>
  <c r="F2834" i="7"/>
  <c r="E2832" i="7"/>
  <c r="C2831" i="7"/>
  <c r="E2830" i="7"/>
  <c r="F2830" i="7"/>
  <c r="C2814" i="7"/>
  <c r="D2814" i="7"/>
  <c r="F2812" i="7"/>
  <c r="F2810" i="7"/>
  <c r="C2809" i="7"/>
  <c r="E2808" i="7"/>
  <c r="D2808" i="7"/>
  <c r="C2806" i="7"/>
  <c r="F2806" i="7"/>
  <c r="D2804" i="7"/>
  <c r="F2788" i="7"/>
  <c r="E2787" i="7"/>
  <c r="E2786" i="7"/>
  <c r="C2786" i="7"/>
  <c r="C2784" i="7"/>
  <c r="E2784" i="7"/>
  <c r="F2782" i="7"/>
  <c r="E2780" i="7"/>
  <c r="C2779" i="7"/>
  <c r="E2778" i="7"/>
  <c r="F2778" i="7"/>
  <c r="E2765" i="7"/>
  <c r="C2764" i="7"/>
  <c r="F2758" i="7"/>
  <c r="E2757" i="7"/>
  <c r="E2756" i="7"/>
  <c r="C2756" i="7"/>
  <c r="C2754" i="7"/>
  <c r="E2754" i="7"/>
  <c r="F2752" i="7"/>
  <c r="E2750" i="7"/>
  <c r="C2749" i="7"/>
  <c r="E2748" i="7"/>
  <c r="F2748" i="7"/>
  <c r="E2742" i="7"/>
  <c r="D2741" i="7"/>
  <c r="C2741" i="7"/>
  <c r="F2727" i="7"/>
  <c r="C2726" i="7"/>
  <c r="D2724" i="7"/>
  <c r="D2723" i="7"/>
  <c r="F2723" i="7"/>
  <c r="C2716" i="7"/>
  <c r="D2716" i="7"/>
  <c r="F2714" i="7"/>
  <c r="F2712" i="7"/>
  <c r="C2711" i="7"/>
  <c r="E2710" i="7"/>
  <c r="D2710" i="7"/>
  <c r="C2708" i="7"/>
  <c r="F2708" i="7"/>
  <c r="D2706" i="7"/>
  <c r="D2688" i="7"/>
  <c r="E2686" i="7"/>
  <c r="D2683" i="7"/>
  <c r="D2680" i="7"/>
  <c r="E2678" i="7"/>
  <c r="D2675" i="7"/>
  <c r="D2672" i="7"/>
  <c r="E2670" i="7"/>
  <c r="D2667" i="7"/>
  <c r="F2656" i="7"/>
  <c r="D2652" i="7"/>
  <c r="E2652" i="7"/>
  <c r="F2652" i="7"/>
  <c r="C2641" i="7"/>
  <c r="D2641" i="7"/>
  <c r="E2641" i="7"/>
  <c r="E2639" i="7"/>
  <c r="C2639" i="7"/>
  <c r="D2639" i="7"/>
  <c r="C2636" i="7"/>
  <c r="F2625" i="7"/>
  <c r="F2623" i="7"/>
  <c r="C2621" i="7"/>
  <c r="E2621" i="7"/>
  <c r="F2621" i="7"/>
  <c r="E2619" i="7"/>
  <c r="D2619" i="7"/>
  <c r="F2619" i="7"/>
  <c r="D2608" i="7"/>
  <c r="C2608" i="7"/>
  <c r="E2608" i="7"/>
  <c r="D2605" i="7"/>
  <c r="C2603" i="7"/>
  <c r="F2583" i="7"/>
  <c r="F2581" i="7"/>
  <c r="C2579" i="7"/>
  <c r="E2579" i="7"/>
  <c r="F2579" i="7"/>
  <c r="E2577" i="7"/>
  <c r="D2577" i="7"/>
  <c r="F2577" i="7"/>
  <c r="D2565" i="7"/>
  <c r="C2563" i="7"/>
  <c r="F2552" i="7"/>
  <c r="D2548" i="7"/>
  <c r="E2548" i="7"/>
  <c r="F2548" i="7"/>
  <c r="D2661" i="7"/>
  <c r="C2660" i="7"/>
  <c r="C2659" i="7"/>
  <c r="D2645" i="7"/>
  <c r="C2644" i="7"/>
  <c r="C2643" i="7"/>
  <c r="D2629" i="7"/>
  <c r="C2628" i="7"/>
  <c r="C2627" i="7"/>
  <c r="D2613" i="7"/>
  <c r="C2612" i="7"/>
  <c r="C2611" i="7"/>
  <c r="D2587" i="7"/>
  <c r="C2586" i="7"/>
  <c r="C2585" i="7"/>
  <c r="D2557" i="7"/>
  <c r="C2556" i="7"/>
  <c r="C2555" i="7"/>
  <c r="D2541" i="7"/>
  <c r="D2540" i="7"/>
  <c r="E2540" i="7"/>
  <c r="F2526" i="7"/>
  <c r="F2523" i="7"/>
  <c r="D2518" i="7"/>
  <c r="E2518" i="7"/>
  <c r="C2515" i="7"/>
  <c r="D2515" i="7"/>
  <c r="F2510" i="7"/>
  <c r="F2507" i="7"/>
  <c r="D2502" i="7"/>
  <c r="E2502" i="7"/>
  <c r="C2499" i="7"/>
  <c r="D2499" i="7"/>
  <c r="F2494" i="7"/>
  <c r="F2491" i="7"/>
  <c r="D2486" i="7"/>
  <c r="E2486" i="7"/>
  <c r="C2483" i="7"/>
  <c r="D2483" i="7"/>
  <c r="F2478" i="7"/>
  <c r="F2475" i="7"/>
  <c r="D2470" i="7"/>
  <c r="E2470" i="7"/>
  <c r="C2467" i="7"/>
  <c r="D2467" i="7"/>
  <c r="F2462" i="7"/>
  <c r="F2459" i="7"/>
  <c r="D2454" i="7"/>
  <c r="E2454" i="7"/>
  <c r="C2451" i="7"/>
  <c r="D2451" i="7"/>
  <c r="F2446" i="7"/>
  <c r="F2443" i="7"/>
  <c r="D2438" i="7"/>
  <c r="E2438" i="7"/>
  <c r="C2435" i="7"/>
  <c r="D2435" i="7"/>
  <c r="F2430" i="7"/>
  <c r="F2427" i="7"/>
  <c r="D2422" i="7"/>
  <c r="E2422" i="7"/>
  <c r="C2419" i="7"/>
  <c r="D2419" i="7"/>
  <c r="F2414" i="7"/>
  <c r="F2411" i="7"/>
  <c r="D2406" i="7"/>
  <c r="E2406" i="7"/>
  <c r="C2403" i="7"/>
  <c r="D2403" i="7"/>
  <c r="D2390" i="7"/>
  <c r="E2390" i="7"/>
  <c r="F2390" i="7"/>
  <c r="D2378" i="7"/>
  <c r="C2378" i="7"/>
  <c r="E2378" i="7"/>
  <c r="F2378" i="7"/>
  <c r="E2367" i="7"/>
  <c r="C2367" i="7"/>
  <c r="D2367" i="7"/>
  <c r="F2367" i="7"/>
  <c r="D2336" i="7"/>
  <c r="C2336" i="7"/>
  <c r="E2336" i="7"/>
  <c r="F2336" i="7"/>
  <c r="E2295" i="7"/>
  <c r="C2295" i="7"/>
  <c r="D2295" i="7"/>
  <c r="F2295" i="7"/>
  <c r="D2270" i="7"/>
  <c r="C2270" i="7"/>
  <c r="E2270" i="7"/>
  <c r="F2270" i="7"/>
  <c r="F1715" i="7"/>
  <c r="G1696" i="7" s="1"/>
  <c r="D2522" i="7"/>
  <c r="E2522" i="7"/>
  <c r="C2519" i="7"/>
  <c r="D2519" i="7"/>
  <c r="F2511" i="7"/>
  <c r="D2506" i="7"/>
  <c r="E2506" i="7"/>
  <c r="C2503" i="7"/>
  <c r="D2503" i="7"/>
  <c r="D2490" i="7"/>
  <c r="E2490" i="7"/>
  <c r="C2487" i="7"/>
  <c r="D2487" i="7"/>
  <c r="D2474" i="7"/>
  <c r="E2474" i="7"/>
  <c r="C2471" i="7"/>
  <c r="D2471" i="7"/>
  <c r="D2458" i="7"/>
  <c r="E2458" i="7"/>
  <c r="C2455" i="7"/>
  <c r="D2455" i="7"/>
  <c r="D2442" i="7"/>
  <c r="E2442" i="7"/>
  <c r="C2439" i="7"/>
  <c r="D2439" i="7"/>
  <c r="D2426" i="7"/>
  <c r="E2426" i="7"/>
  <c r="C2423" i="7"/>
  <c r="D2423" i="7"/>
  <c r="D2410" i="7"/>
  <c r="E2410" i="7"/>
  <c r="C2407" i="7"/>
  <c r="D2407" i="7"/>
  <c r="D2394" i="7"/>
  <c r="C2394" i="7"/>
  <c r="E2394" i="7"/>
  <c r="C2353" i="7"/>
  <c r="D2353" i="7"/>
  <c r="E2353" i="7"/>
  <c r="F2353" i="7"/>
  <c r="E2335" i="7"/>
  <c r="C2335" i="7"/>
  <c r="D2335" i="7"/>
  <c r="F2335" i="7"/>
  <c r="C2323" i="7"/>
  <c r="D2323" i="7"/>
  <c r="E2323" i="7"/>
  <c r="F2323" i="7"/>
  <c r="E2269" i="7"/>
  <c r="C2269" i="7"/>
  <c r="D2269" i="7"/>
  <c r="F2269" i="7"/>
  <c r="D2526" i="7"/>
  <c r="E2526" i="7"/>
  <c r="C2523" i="7"/>
  <c r="D2523" i="7"/>
  <c r="D2510" i="7"/>
  <c r="E2510" i="7"/>
  <c r="C2507" i="7"/>
  <c r="D2507" i="7"/>
  <c r="D2494" i="7"/>
  <c r="E2494" i="7"/>
  <c r="C2491" i="7"/>
  <c r="D2491" i="7"/>
  <c r="D2478" i="7"/>
  <c r="E2478" i="7"/>
  <c r="C2475" i="7"/>
  <c r="D2475" i="7"/>
  <c r="D2462" i="7"/>
  <c r="E2462" i="7"/>
  <c r="C2459" i="7"/>
  <c r="D2459" i="7"/>
  <c r="D2446" i="7"/>
  <c r="E2446" i="7"/>
  <c r="C2443" i="7"/>
  <c r="D2443" i="7"/>
  <c r="D2430" i="7"/>
  <c r="E2430" i="7"/>
  <c r="C2427" i="7"/>
  <c r="D2427" i="7"/>
  <c r="D2414" i="7"/>
  <c r="E2414" i="7"/>
  <c r="C2411" i="7"/>
  <c r="D2411" i="7"/>
  <c r="C2391" i="7"/>
  <c r="E2391" i="7"/>
  <c r="F2391" i="7"/>
  <c r="E2389" i="7"/>
  <c r="D2389" i="7"/>
  <c r="F2389" i="7"/>
  <c r="D2352" i="7"/>
  <c r="C2352" i="7"/>
  <c r="E2352" i="7"/>
  <c r="F2352" i="7"/>
  <c r="D2322" i="7"/>
  <c r="C2322" i="7"/>
  <c r="E2322" i="7"/>
  <c r="F2322" i="7"/>
  <c r="C2297" i="7"/>
  <c r="D2297" i="7"/>
  <c r="E2297" i="7"/>
  <c r="F2297" i="7"/>
  <c r="C2511" i="7"/>
  <c r="D2511" i="7"/>
  <c r="F2506" i="7"/>
  <c r="F2503" i="7"/>
  <c r="D2498" i="7"/>
  <c r="E2498" i="7"/>
  <c r="C2495" i="7"/>
  <c r="D2495" i="7"/>
  <c r="F2490" i="7"/>
  <c r="F2487" i="7"/>
  <c r="D2482" i="7"/>
  <c r="E2482" i="7"/>
  <c r="C2479" i="7"/>
  <c r="D2479" i="7"/>
  <c r="F2474" i="7"/>
  <c r="F2471" i="7"/>
  <c r="D2466" i="7"/>
  <c r="E2466" i="7"/>
  <c r="C2463" i="7"/>
  <c r="D2463" i="7"/>
  <c r="F2458" i="7"/>
  <c r="F2455" i="7"/>
  <c r="D2450" i="7"/>
  <c r="E2450" i="7"/>
  <c r="C2447" i="7"/>
  <c r="D2447" i="7"/>
  <c r="F2442" i="7"/>
  <c r="F2439" i="7"/>
  <c r="D2434" i="7"/>
  <c r="E2434" i="7"/>
  <c r="C2431" i="7"/>
  <c r="D2431" i="7"/>
  <c r="F2426" i="7"/>
  <c r="F2423" i="7"/>
  <c r="D2418" i="7"/>
  <c r="E2418" i="7"/>
  <c r="C2415" i="7"/>
  <c r="D2415" i="7"/>
  <c r="F2410" i="7"/>
  <c r="F2407" i="7"/>
  <c r="D2402" i="7"/>
  <c r="E2402" i="7"/>
  <c r="C2395" i="7"/>
  <c r="D2395" i="7"/>
  <c r="E2395" i="7"/>
  <c r="E2393" i="7"/>
  <c r="C2393" i="7"/>
  <c r="D2393" i="7"/>
  <c r="C2379" i="7"/>
  <c r="D2379" i="7"/>
  <c r="E2379" i="7"/>
  <c r="F2379" i="7"/>
  <c r="E2351" i="7"/>
  <c r="C2351" i="7"/>
  <c r="D2351" i="7"/>
  <c r="F2351" i="7"/>
  <c r="C2337" i="7"/>
  <c r="D2337" i="7"/>
  <c r="E2337" i="7"/>
  <c r="F2337" i="7"/>
  <c r="E2321" i="7"/>
  <c r="C2321" i="7"/>
  <c r="D2321" i="7"/>
  <c r="F2321" i="7"/>
  <c r="D2296" i="7"/>
  <c r="C2296" i="7"/>
  <c r="E2296" i="7"/>
  <c r="F2296" i="7"/>
  <c r="C2271" i="7"/>
  <c r="D2271" i="7"/>
  <c r="E2271" i="7"/>
  <c r="F2271" i="7"/>
  <c r="F1615" i="7"/>
  <c r="G1596" i="7" s="1"/>
  <c r="D2361" i="7"/>
  <c r="C2360" i="7"/>
  <c r="C2359" i="7"/>
  <c r="D2345" i="7"/>
  <c r="C2344" i="7"/>
  <c r="C2343" i="7"/>
  <c r="D2315" i="7"/>
  <c r="C2314" i="7"/>
  <c r="C2313" i="7"/>
  <c r="D2289" i="7"/>
  <c r="C2288" i="7"/>
  <c r="C2287" i="7"/>
  <c r="C2263" i="7"/>
  <c r="D2263" i="7"/>
  <c r="D2244" i="7"/>
  <c r="E2244" i="7"/>
  <c r="C2241" i="7"/>
  <c r="D2241" i="7"/>
  <c r="C2223" i="7"/>
  <c r="D2223" i="7"/>
  <c r="D2210" i="7"/>
  <c r="E2210" i="7"/>
  <c r="C2207" i="7"/>
  <c r="D2207" i="7"/>
  <c r="D2194" i="7"/>
  <c r="E2194" i="7"/>
  <c r="C2191" i="7"/>
  <c r="D2191" i="7"/>
  <c r="D2178" i="7"/>
  <c r="E2178" i="7"/>
  <c r="C2175" i="7"/>
  <c r="D2175" i="7"/>
  <c r="D2162" i="7"/>
  <c r="E2162" i="7"/>
  <c r="C2159" i="7"/>
  <c r="D2159" i="7"/>
  <c r="D2146" i="7"/>
  <c r="E2146" i="7"/>
  <c r="C2143" i="7"/>
  <c r="D2143" i="7"/>
  <c r="D2130" i="7"/>
  <c r="E2130" i="7"/>
  <c r="D2108" i="7"/>
  <c r="E2108" i="7"/>
  <c r="C2105" i="7"/>
  <c r="D2105" i="7"/>
  <c r="D2090" i="7"/>
  <c r="E2090" i="7"/>
  <c r="C2087" i="7"/>
  <c r="D2087" i="7"/>
  <c r="C2065" i="7"/>
  <c r="D2065" i="7"/>
  <c r="D2042" i="7"/>
  <c r="E2042" i="7"/>
  <c r="C2039" i="7"/>
  <c r="D2039" i="7"/>
  <c r="C2017" i="7"/>
  <c r="D2017" i="7"/>
  <c r="D2004" i="7"/>
  <c r="E2004" i="7"/>
  <c r="D1986" i="7"/>
  <c r="E1986" i="7"/>
  <c r="C1983" i="7"/>
  <c r="D1983" i="7"/>
  <c r="D1964" i="7"/>
  <c r="E1964" i="7"/>
  <c r="C1961" i="7"/>
  <c r="D1961" i="7"/>
  <c r="D1938" i="7"/>
  <c r="E1938" i="7"/>
  <c r="C1935" i="7"/>
  <c r="D1935" i="7"/>
  <c r="D1912" i="7"/>
  <c r="E1912" i="7"/>
  <c r="C1909" i="7"/>
  <c r="D1909" i="7"/>
  <c r="D1890" i="7"/>
  <c r="E1890" i="7"/>
  <c r="C1887" i="7"/>
  <c r="D1887" i="7"/>
  <c r="D1856" i="7"/>
  <c r="E1856" i="7"/>
  <c r="C1853" i="7"/>
  <c r="D1853" i="7"/>
  <c r="D1832" i="7"/>
  <c r="E1832" i="7"/>
  <c r="C1829" i="7"/>
  <c r="D1829" i="7"/>
  <c r="D1806" i="7"/>
  <c r="E1806" i="7"/>
  <c r="C1803" i="7"/>
  <c r="D1803" i="7"/>
  <c r="D1784" i="7"/>
  <c r="E1784" i="7"/>
  <c r="C1781" i="7"/>
  <c r="D1781" i="7"/>
  <c r="C1759" i="7"/>
  <c r="D1759" i="7"/>
  <c r="E1759" i="7"/>
  <c r="C1751" i="7"/>
  <c r="D1751" i="7"/>
  <c r="E1751" i="7"/>
  <c r="C1737" i="7"/>
  <c r="D1737" i="7"/>
  <c r="E1737" i="7"/>
  <c r="C1729" i="7"/>
  <c r="D1729" i="7"/>
  <c r="E1729" i="7"/>
  <c r="C1689" i="7"/>
  <c r="D1689" i="7"/>
  <c r="E1689" i="7"/>
  <c r="C1681" i="7"/>
  <c r="D1681" i="7"/>
  <c r="E1681" i="7"/>
  <c r="C1659" i="7"/>
  <c r="D1659" i="7"/>
  <c r="E1659" i="7"/>
  <c r="C1651" i="7"/>
  <c r="D1651" i="7"/>
  <c r="E1651" i="7"/>
  <c r="C1637" i="7"/>
  <c r="D1637" i="7"/>
  <c r="E1637" i="7"/>
  <c r="C1629" i="7"/>
  <c r="D1629" i="7"/>
  <c r="E1629" i="7"/>
  <c r="C1589" i="7"/>
  <c r="D1589" i="7"/>
  <c r="E1589" i="7"/>
  <c r="C1581" i="7"/>
  <c r="D1581" i="7"/>
  <c r="E1581" i="7"/>
  <c r="C1559" i="7"/>
  <c r="D1559" i="7"/>
  <c r="E1559" i="7"/>
  <c r="C1551" i="7"/>
  <c r="D1551" i="7"/>
  <c r="E1551" i="7"/>
  <c r="C1537" i="7"/>
  <c r="D1537" i="7"/>
  <c r="E1537" i="7"/>
  <c r="C1529" i="7"/>
  <c r="D1529" i="7"/>
  <c r="E1529" i="7"/>
  <c r="C1489" i="7"/>
  <c r="D1489" i="7"/>
  <c r="E1489" i="7"/>
  <c r="C1481" i="7"/>
  <c r="D1481" i="7"/>
  <c r="E1481" i="7"/>
  <c r="C1459" i="7"/>
  <c r="D1459" i="7"/>
  <c r="E1459" i="7"/>
  <c r="C1451" i="7"/>
  <c r="D1451" i="7"/>
  <c r="E1451" i="7"/>
  <c r="C1437" i="7"/>
  <c r="D1437" i="7"/>
  <c r="E1437" i="7"/>
  <c r="C1429" i="7"/>
  <c r="D1429" i="7"/>
  <c r="E1429" i="7"/>
  <c r="C1421" i="7"/>
  <c r="D1421" i="7"/>
  <c r="E1421" i="7"/>
  <c r="C1365" i="7"/>
  <c r="D1365" i="7"/>
  <c r="E1365" i="7"/>
  <c r="C1357" i="7"/>
  <c r="D1357" i="7"/>
  <c r="E1357" i="7"/>
  <c r="C1266" i="7"/>
  <c r="D1266" i="7"/>
  <c r="E1266" i="7"/>
  <c r="F1266" i="7"/>
  <c r="D1243" i="7"/>
  <c r="F1243" i="7"/>
  <c r="C1243" i="7"/>
  <c r="E1243" i="7"/>
  <c r="C1206" i="7"/>
  <c r="D1206" i="7"/>
  <c r="E1206" i="7"/>
  <c r="F1206" i="7"/>
  <c r="D1183" i="7"/>
  <c r="F1183" i="7"/>
  <c r="C1183" i="7"/>
  <c r="E1183" i="7"/>
  <c r="C1150" i="7"/>
  <c r="D1150" i="7"/>
  <c r="E1150" i="7"/>
  <c r="F1150" i="7"/>
  <c r="C1088" i="7"/>
  <c r="E1088" i="7"/>
  <c r="F1088" i="7"/>
  <c r="D1088" i="7"/>
  <c r="C1002" i="7"/>
  <c r="E1002" i="7"/>
  <c r="D1002" i="7"/>
  <c r="F1002" i="7"/>
  <c r="D641" i="7"/>
  <c r="E641" i="7"/>
  <c r="C641" i="7"/>
  <c r="F641" i="7"/>
  <c r="D625" i="7"/>
  <c r="E625" i="7"/>
  <c r="C625" i="7"/>
  <c r="F625" i="7"/>
  <c r="C614" i="7"/>
  <c r="D614" i="7"/>
  <c r="E614" i="7"/>
  <c r="F614" i="7"/>
  <c r="F2365" i="7"/>
  <c r="F2364" i="7"/>
  <c r="F2363" i="7"/>
  <c r="F2262" i="7"/>
  <c r="D2248" i="7"/>
  <c r="E2248" i="7"/>
  <c r="C2245" i="7"/>
  <c r="D2245" i="7"/>
  <c r="F2240" i="7"/>
  <c r="F2237" i="7"/>
  <c r="F2222" i="7"/>
  <c r="F2219" i="7"/>
  <c r="D2214" i="7"/>
  <c r="E2214" i="7"/>
  <c r="C2211" i="7"/>
  <c r="D2211" i="7"/>
  <c r="F2206" i="7"/>
  <c r="F2203" i="7"/>
  <c r="D2198" i="7"/>
  <c r="E2198" i="7"/>
  <c r="C2195" i="7"/>
  <c r="D2195" i="7"/>
  <c r="F2190" i="7"/>
  <c r="F2187" i="7"/>
  <c r="D2182" i="7"/>
  <c r="E2182" i="7"/>
  <c r="C2179" i="7"/>
  <c r="D2179" i="7"/>
  <c r="F2174" i="7"/>
  <c r="F2171" i="7"/>
  <c r="D2166" i="7"/>
  <c r="E2166" i="7"/>
  <c r="C2163" i="7"/>
  <c r="D2163" i="7"/>
  <c r="F2158" i="7"/>
  <c r="F2155" i="7"/>
  <c r="D2150" i="7"/>
  <c r="E2150" i="7"/>
  <c r="C2147" i="7"/>
  <c r="D2147" i="7"/>
  <c r="F2142" i="7"/>
  <c r="F2139" i="7"/>
  <c r="D2134" i="7"/>
  <c r="E2134" i="7"/>
  <c r="C2131" i="7"/>
  <c r="D2131" i="7"/>
  <c r="F2117" i="7"/>
  <c r="D2112" i="7"/>
  <c r="E2112" i="7"/>
  <c r="C2109" i="7"/>
  <c r="D2109" i="7"/>
  <c r="F2104" i="7"/>
  <c r="C2091" i="7"/>
  <c r="D2091" i="7"/>
  <c r="F2086" i="7"/>
  <c r="F2083" i="7"/>
  <c r="D2078" i="7"/>
  <c r="E2078" i="7"/>
  <c r="F2064" i="7"/>
  <c r="F2061" i="7"/>
  <c r="D2056" i="7"/>
  <c r="E2056" i="7"/>
  <c r="C2053" i="7"/>
  <c r="D2053" i="7"/>
  <c r="F2038" i="7"/>
  <c r="F2035" i="7"/>
  <c r="D2030" i="7"/>
  <c r="E2030" i="7"/>
  <c r="F2016" i="7"/>
  <c r="F2013" i="7"/>
  <c r="D2008" i="7"/>
  <c r="E2008" i="7"/>
  <c r="C2005" i="7"/>
  <c r="D2005" i="7"/>
  <c r="D1990" i="7"/>
  <c r="E1990" i="7"/>
  <c r="C1987" i="7"/>
  <c r="D1987" i="7"/>
  <c r="F1982" i="7"/>
  <c r="F1979" i="7"/>
  <c r="C1965" i="7"/>
  <c r="D1965" i="7"/>
  <c r="F1960" i="7"/>
  <c r="F1957" i="7"/>
  <c r="D1942" i="7"/>
  <c r="E1942" i="7"/>
  <c r="C1939" i="7"/>
  <c r="D1939" i="7"/>
  <c r="F1934" i="7"/>
  <c r="F1931" i="7"/>
  <c r="D1916" i="7"/>
  <c r="E1916" i="7"/>
  <c r="C1913" i="7"/>
  <c r="D1913" i="7"/>
  <c r="F1908" i="7"/>
  <c r="F1905" i="7"/>
  <c r="C1891" i="7"/>
  <c r="D1891" i="7"/>
  <c r="F1886" i="7"/>
  <c r="F1883" i="7"/>
  <c r="D1878" i="7"/>
  <c r="E1878" i="7"/>
  <c r="F1865" i="7"/>
  <c r="D1860" i="7"/>
  <c r="E1860" i="7"/>
  <c r="C1857" i="7"/>
  <c r="D1857" i="7"/>
  <c r="F1852" i="7"/>
  <c r="D1836" i="7"/>
  <c r="E1836" i="7"/>
  <c r="C1833" i="7"/>
  <c r="D1833" i="7"/>
  <c r="F1828" i="7"/>
  <c r="F1825" i="7"/>
  <c r="D1810" i="7"/>
  <c r="E1810" i="7"/>
  <c r="C1807" i="7"/>
  <c r="D1807" i="7"/>
  <c r="F1802" i="7"/>
  <c r="D1788" i="7"/>
  <c r="E1788" i="7"/>
  <c r="C1785" i="7"/>
  <c r="D1785" i="7"/>
  <c r="F1765" i="7"/>
  <c r="G1746" i="7" s="1"/>
  <c r="F1740" i="7"/>
  <c r="G1721" i="7" s="1"/>
  <c r="C1707" i="7"/>
  <c r="D1707" i="7"/>
  <c r="E1707" i="7"/>
  <c r="F1665" i="7"/>
  <c r="G1646" i="7" s="1"/>
  <c r="F1640" i="7"/>
  <c r="G1621" i="7" s="1"/>
  <c r="C1607" i="7"/>
  <c r="D1607" i="7"/>
  <c r="E1607" i="7"/>
  <c r="F1565" i="7"/>
  <c r="G1546" i="7" s="1"/>
  <c r="C1507" i="7"/>
  <c r="D1507" i="7"/>
  <c r="E1507" i="7"/>
  <c r="C1399" i="7"/>
  <c r="D1399" i="7"/>
  <c r="E1399" i="7"/>
  <c r="C1391" i="7"/>
  <c r="D1391" i="7"/>
  <c r="E1391" i="7"/>
  <c r="C1383" i="7"/>
  <c r="D1383" i="7"/>
  <c r="E1383" i="7"/>
  <c r="C1328" i="7"/>
  <c r="D1328" i="7"/>
  <c r="E1328" i="7"/>
  <c r="F1328" i="7"/>
  <c r="E1260" i="7"/>
  <c r="D1260" i="7"/>
  <c r="C1260" i="7"/>
  <c r="F1260" i="7"/>
  <c r="C1228" i="7"/>
  <c r="F1228" i="7"/>
  <c r="D1228" i="7"/>
  <c r="E1228" i="7"/>
  <c r="E1200" i="7"/>
  <c r="D1200" i="7"/>
  <c r="C1200" i="7"/>
  <c r="F1200" i="7"/>
  <c r="D1161" i="7"/>
  <c r="E1161" i="7"/>
  <c r="F1161" i="7"/>
  <c r="C1161" i="7"/>
  <c r="E1128" i="7"/>
  <c r="D1128" i="7"/>
  <c r="F1128" i="7"/>
  <c r="C1128" i="7"/>
  <c r="E867" i="7"/>
  <c r="C867" i="7"/>
  <c r="D867" i="7"/>
  <c r="F867" i="7"/>
  <c r="E851" i="7"/>
  <c r="C851" i="7"/>
  <c r="D851" i="7"/>
  <c r="F851" i="7"/>
  <c r="C793" i="7"/>
  <c r="D793" i="7"/>
  <c r="E793" i="7"/>
  <c r="F793" i="7"/>
  <c r="F2387" i="7"/>
  <c r="F2386" i="7"/>
  <c r="F2385" i="7"/>
  <c r="E2365" i="7"/>
  <c r="E2364" i="7"/>
  <c r="D2363" i="7"/>
  <c r="F2361" i="7"/>
  <c r="F2360" i="7"/>
  <c r="F2359" i="7"/>
  <c r="E2349" i="7"/>
  <c r="E2348" i="7"/>
  <c r="D2347" i="7"/>
  <c r="F2345" i="7"/>
  <c r="F2344" i="7"/>
  <c r="F2343" i="7"/>
  <c r="E2319" i="7"/>
  <c r="E2318" i="7"/>
  <c r="D2317" i="7"/>
  <c r="F2315" i="7"/>
  <c r="F2314" i="7"/>
  <c r="F2313" i="7"/>
  <c r="E2293" i="7"/>
  <c r="E2292" i="7"/>
  <c r="D2291" i="7"/>
  <c r="F2289" i="7"/>
  <c r="F2288" i="7"/>
  <c r="F2287" i="7"/>
  <c r="E2267" i="7"/>
  <c r="E2266" i="7"/>
  <c r="D2265" i="7"/>
  <c r="F2263" i="7"/>
  <c r="C2249" i="7"/>
  <c r="D2249" i="7"/>
  <c r="F2244" i="7"/>
  <c r="F2241" i="7"/>
  <c r="D2236" i="7"/>
  <c r="E2236" i="7"/>
  <c r="F2223" i="7"/>
  <c r="D2218" i="7"/>
  <c r="E2218" i="7"/>
  <c r="C2215" i="7"/>
  <c r="D2215" i="7"/>
  <c r="F2210" i="7"/>
  <c r="F2207" i="7"/>
  <c r="D2202" i="7"/>
  <c r="E2202" i="7"/>
  <c r="C2199" i="7"/>
  <c r="D2199" i="7"/>
  <c r="F2194" i="7"/>
  <c r="F2191" i="7"/>
  <c r="D2186" i="7"/>
  <c r="E2186" i="7"/>
  <c r="C2183" i="7"/>
  <c r="D2183" i="7"/>
  <c r="F2178" i="7"/>
  <c r="F2175" i="7"/>
  <c r="D2170" i="7"/>
  <c r="E2170" i="7"/>
  <c r="C2167" i="7"/>
  <c r="D2167" i="7"/>
  <c r="F2162" i="7"/>
  <c r="F2159" i="7"/>
  <c r="D2154" i="7"/>
  <c r="E2154" i="7"/>
  <c r="C2151" i="7"/>
  <c r="D2151" i="7"/>
  <c r="F2146" i="7"/>
  <c r="F2143" i="7"/>
  <c r="D2138" i="7"/>
  <c r="E2138" i="7"/>
  <c r="C2135" i="7"/>
  <c r="D2135" i="7"/>
  <c r="F2130" i="7"/>
  <c r="D2116" i="7"/>
  <c r="E2116" i="7"/>
  <c r="C2113" i="7"/>
  <c r="D2113" i="7"/>
  <c r="F2108" i="7"/>
  <c r="F2105" i="7"/>
  <c r="F2090" i="7"/>
  <c r="F2087" i="7"/>
  <c r="D2082" i="7"/>
  <c r="E2082" i="7"/>
  <c r="C2079" i="7"/>
  <c r="D2079" i="7"/>
  <c r="F2065" i="7"/>
  <c r="D2060" i="7"/>
  <c r="E2060" i="7"/>
  <c r="C2057" i="7"/>
  <c r="D2057" i="7"/>
  <c r="F2042" i="7"/>
  <c r="F2039" i="7"/>
  <c r="D2034" i="7"/>
  <c r="E2034" i="7"/>
  <c r="C2031" i="7"/>
  <c r="D2031" i="7"/>
  <c r="F2017" i="7"/>
  <c r="D2012" i="7"/>
  <c r="E2012" i="7"/>
  <c r="C2009" i="7"/>
  <c r="D2009" i="7"/>
  <c r="F2004" i="7"/>
  <c r="C1991" i="7"/>
  <c r="D1991" i="7"/>
  <c r="F1986" i="7"/>
  <c r="F1983" i="7"/>
  <c r="D1978" i="7"/>
  <c r="E1978" i="7"/>
  <c r="F1964" i="7"/>
  <c r="F1961" i="7"/>
  <c r="D1956" i="7"/>
  <c r="E1956" i="7"/>
  <c r="C1953" i="7"/>
  <c r="D1953" i="7"/>
  <c r="F1938" i="7"/>
  <c r="F1935" i="7"/>
  <c r="D1930" i="7"/>
  <c r="E1930" i="7"/>
  <c r="C1927" i="7"/>
  <c r="D1927" i="7"/>
  <c r="F1912" i="7"/>
  <c r="F1909" i="7"/>
  <c r="D1904" i="7"/>
  <c r="E1904" i="7"/>
  <c r="F1890" i="7"/>
  <c r="F1887" i="7"/>
  <c r="D1882" i="7"/>
  <c r="E1882" i="7"/>
  <c r="C1879" i="7"/>
  <c r="D1879" i="7"/>
  <c r="D1864" i="7"/>
  <c r="E1864" i="7"/>
  <c r="C1861" i="7"/>
  <c r="D1861" i="7"/>
  <c r="F1856" i="7"/>
  <c r="F1853" i="7"/>
  <c r="C1837" i="7"/>
  <c r="D1837" i="7"/>
  <c r="F1832" i="7"/>
  <c r="F1829" i="7"/>
  <c r="D1814" i="7"/>
  <c r="E1814" i="7"/>
  <c r="C1811" i="7"/>
  <c r="D1811" i="7"/>
  <c r="F1806" i="7"/>
  <c r="F1803" i="7"/>
  <c r="C1789" i="7"/>
  <c r="D1789" i="7"/>
  <c r="F1784" i="7"/>
  <c r="F1781" i="7"/>
  <c r="C1777" i="7"/>
  <c r="D1777" i="7"/>
  <c r="E1777" i="7"/>
  <c r="C1763" i="7"/>
  <c r="D1763" i="7"/>
  <c r="E1763" i="7"/>
  <c r="C1755" i="7"/>
  <c r="D1755" i="7"/>
  <c r="E1755" i="7"/>
  <c r="C1733" i="7"/>
  <c r="D1733" i="7"/>
  <c r="E1733" i="7"/>
  <c r="C1725" i="7"/>
  <c r="D1725" i="7"/>
  <c r="E1725" i="7"/>
  <c r="C1685" i="7"/>
  <c r="D1685" i="7"/>
  <c r="E1685" i="7"/>
  <c r="C1677" i="7"/>
  <c r="D1677" i="7"/>
  <c r="E1677" i="7"/>
  <c r="F1690" i="7"/>
  <c r="G1671" i="7" s="1"/>
  <c r="C1663" i="7"/>
  <c r="D1663" i="7"/>
  <c r="E1663" i="7"/>
  <c r="C1655" i="7"/>
  <c r="D1655" i="7"/>
  <c r="E1655" i="7"/>
  <c r="C1633" i="7"/>
  <c r="D1633" i="7"/>
  <c r="E1633" i="7"/>
  <c r="C1625" i="7"/>
  <c r="D1625" i="7"/>
  <c r="E1625" i="7"/>
  <c r="C1585" i="7"/>
  <c r="D1585" i="7"/>
  <c r="E1585" i="7"/>
  <c r="C1577" i="7"/>
  <c r="D1577" i="7"/>
  <c r="E1577" i="7"/>
  <c r="F1590" i="7"/>
  <c r="G1571" i="7" s="1"/>
  <c r="C1563" i="7"/>
  <c r="D1563" i="7"/>
  <c r="E1563" i="7"/>
  <c r="C1555" i="7"/>
  <c r="D1555" i="7"/>
  <c r="E1555" i="7"/>
  <c r="C1533" i="7"/>
  <c r="D1533" i="7"/>
  <c r="E1533" i="7"/>
  <c r="C1525" i="7"/>
  <c r="D1525" i="7"/>
  <c r="E1525" i="7"/>
  <c r="C1485" i="7"/>
  <c r="D1485" i="7"/>
  <c r="E1485" i="7"/>
  <c r="C1477" i="7"/>
  <c r="D1477" i="7"/>
  <c r="E1477" i="7"/>
  <c r="C1463" i="7"/>
  <c r="D1463" i="7"/>
  <c r="E1463" i="7"/>
  <c r="C1455" i="7"/>
  <c r="D1455" i="7"/>
  <c r="E1455" i="7"/>
  <c r="C1433" i="7"/>
  <c r="D1433" i="7"/>
  <c r="E1433" i="7"/>
  <c r="C1425" i="7"/>
  <c r="D1425" i="7"/>
  <c r="E1425" i="7"/>
  <c r="C1417" i="7"/>
  <c r="D1417" i="7"/>
  <c r="E1417" i="7"/>
  <c r="C1369" i="7"/>
  <c r="D1369" i="7"/>
  <c r="E1369" i="7"/>
  <c r="C1361" i="7"/>
  <c r="D1361" i="7"/>
  <c r="E1361" i="7"/>
  <c r="C1353" i="7"/>
  <c r="D1353" i="7"/>
  <c r="E1353" i="7"/>
  <c r="D1327" i="7"/>
  <c r="C1327" i="7"/>
  <c r="E1327" i="7"/>
  <c r="F1327" i="7"/>
  <c r="E1302" i="7"/>
  <c r="F1302" i="7"/>
  <c r="C1302" i="7"/>
  <c r="D1302" i="7"/>
  <c r="D1273" i="7"/>
  <c r="F1273" i="7"/>
  <c r="C1273" i="7"/>
  <c r="E1273" i="7"/>
  <c r="C1236" i="7"/>
  <c r="D1236" i="7"/>
  <c r="E1236" i="7"/>
  <c r="F1236" i="7"/>
  <c r="D1213" i="7"/>
  <c r="F1213" i="7"/>
  <c r="C1213" i="7"/>
  <c r="E1213" i="7"/>
  <c r="C1130" i="7"/>
  <c r="E1130" i="7"/>
  <c r="F1130" i="7"/>
  <c r="D1130" i="7"/>
  <c r="E986" i="7"/>
  <c r="C986" i="7"/>
  <c r="F986" i="7"/>
  <c r="D986" i="7"/>
  <c r="D2262" i="7"/>
  <c r="E2262" i="7"/>
  <c r="D2240" i="7"/>
  <c r="E2240" i="7"/>
  <c r="C2237" i="7"/>
  <c r="D2237" i="7"/>
  <c r="D2222" i="7"/>
  <c r="E2222" i="7"/>
  <c r="C2219" i="7"/>
  <c r="D2219" i="7"/>
  <c r="D2206" i="7"/>
  <c r="E2206" i="7"/>
  <c r="C2203" i="7"/>
  <c r="D2203" i="7"/>
  <c r="D2190" i="7"/>
  <c r="E2190" i="7"/>
  <c r="C2187" i="7"/>
  <c r="D2187" i="7"/>
  <c r="D2174" i="7"/>
  <c r="E2174" i="7"/>
  <c r="C2171" i="7"/>
  <c r="D2171" i="7"/>
  <c r="D2158" i="7"/>
  <c r="E2158" i="7"/>
  <c r="C2155" i="7"/>
  <c r="D2155" i="7"/>
  <c r="D2142" i="7"/>
  <c r="E2142" i="7"/>
  <c r="C2139" i="7"/>
  <c r="D2139" i="7"/>
  <c r="C2117" i="7"/>
  <c r="D2117" i="7"/>
  <c r="D2104" i="7"/>
  <c r="E2104" i="7"/>
  <c r="D2086" i="7"/>
  <c r="E2086" i="7"/>
  <c r="C2083" i="7"/>
  <c r="D2083" i="7"/>
  <c r="D2064" i="7"/>
  <c r="E2064" i="7"/>
  <c r="C2061" i="7"/>
  <c r="D2061" i="7"/>
  <c r="D2038" i="7"/>
  <c r="E2038" i="7"/>
  <c r="C2035" i="7"/>
  <c r="D2035" i="7"/>
  <c r="D2016" i="7"/>
  <c r="E2016" i="7"/>
  <c r="C2013" i="7"/>
  <c r="D2013" i="7"/>
  <c r="D1982" i="7"/>
  <c r="E1982" i="7"/>
  <c r="C1979" i="7"/>
  <c r="D1979" i="7"/>
  <c r="D1960" i="7"/>
  <c r="E1960" i="7"/>
  <c r="C1957" i="7"/>
  <c r="D1957" i="7"/>
  <c r="D1934" i="7"/>
  <c r="E1934" i="7"/>
  <c r="C1931" i="7"/>
  <c r="D1931" i="7"/>
  <c r="D1908" i="7"/>
  <c r="E1908" i="7"/>
  <c r="C1905" i="7"/>
  <c r="D1905" i="7"/>
  <c r="D1886" i="7"/>
  <c r="E1886" i="7"/>
  <c r="C1883" i="7"/>
  <c r="D1883" i="7"/>
  <c r="C1865" i="7"/>
  <c r="D1865" i="7"/>
  <c r="D1852" i="7"/>
  <c r="E1852" i="7"/>
  <c r="D1828" i="7"/>
  <c r="E1828" i="7"/>
  <c r="C1825" i="7"/>
  <c r="D1825" i="7"/>
  <c r="D1802" i="7"/>
  <c r="E1802" i="7"/>
  <c r="C1711" i="7"/>
  <c r="D1711" i="7"/>
  <c r="E1711" i="7"/>
  <c r="C1703" i="7"/>
  <c r="D1703" i="7"/>
  <c r="E1703" i="7"/>
  <c r="C1611" i="7"/>
  <c r="D1611" i="7"/>
  <c r="E1611" i="7"/>
  <c r="C1603" i="7"/>
  <c r="D1603" i="7"/>
  <c r="E1603" i="7"/>
  <c r="F1537" i="7"/>
  <c r="F1529" i="7"/>
  <c r="C1511" i="7"/>
  <c r="D1511" i="7"/>
  <c r="E1511" i="7"/>
  <c r="C1503" i="7"/>
  <c r="D1503" i="7"/>
  <c r="E1503" i="7"/>
  <c r="F1489" i="7"/>
  <c r="F1481" i="7"/>
  <c r="F1490" i="7" s="1"/>
  <c r="G1471" i="7" s="1"/>
  <c r="F1459" i="7"/>
  <c r="F1451" i="7"/>
  <c r="F1437" i="7"/>
  <c r="F1429" i="7"/>
  <c r="F1421" i="7"/>
  <c r="C1403" i="7"/>
  <c r="D1403" i="7"/>
  <c r="E1403" i="7"/>
  <c r="C1395" i="7"/>
  <c r="D1395" i="7"/>
  <c r="E1395" i="7"/>
  <c r="C1387" i="7"/>
  <c r="D1387" i="7"/>
  <c r="E1387" i="7"/>
  <c r="F1365" i="7"/>
  <c r="F1357" i="7"/>
  <c r="E1326" i="7"/>
  <c r="C1326" i="7"/>
  <c r="D1326" i="7"/>
  <c r="F1326" i="7"/>
  <c r="D1295" i="7"/>
  <c r="C1295" i="7"/>
  <c r="E1295" i="7"/>
  <c r="F1295" i="7"/>
  <c r="C1258" i="7"/>
  <c r="F1258" i="7"/>
  <c r="D1258" i="7"/>
  <c r="E1258" i="7"/>
  <c r="E1230" i="7"/>
  <c r="D1230" i="7"/>
  <c r="C1230" i="7"/>
  <c r="F1230" i="7"/>
  <c r="E1148" i="7"/>
  <c r="C1148" i="7"/>
  <c r="D1148" i="7"/>
  <c r="F1148" i="7"/>
  <c r="D1117" i="7"/>
  <c r="C1117" i="7"/>
  <c r="E1117" i="7"/>
  <c r="F1117" i="7"/>
  <c r="D1303" i="7"/>
  <c r="F1303" i="7"/>
  <c r="C1296" i="7"/>
  <c r="D1296" i="7"/>
  <c r="E1290" i="7"/>
  <c r="D1290" i="7"/>
  <c r="E1276" i="7"/>
  <c r="D1276" i="7"/>
  <c r="C1274" i="7"/>
  <c r="F1274" i="7"/>
  <c r="D1261" i="7"/>
  <c r="E1261" i="7"/>
  <c r="C1244" i="7"/>
  <c r="F1244" i="7"/>
  <c r="D1231" i="7"/>
  <c r="E1231" i="7"/>
  <c r="C1214" i="7"/>
  <c r="F1214" i="7"/>
  <c r="D1201" i="7"/>
  <c r="E1201" i="7"/>
  <c r="E1186" i="7"/>
  <c r="D1186" i="7"/>
  <c r="C1184" i="7"/>
  <c r="F1184" i="7"/>
  <c r="D1175" i="7"/>
  <c r="C1175" i="7"/>
  <c r="E1175" i="7"/>
  <c r="D1145" i="7"/>
  <c r="E1145" i="7"/>
  <c r="F1145" i="7"/>
  <c r="C1134" i="7"/>
  <c r="D1134" i="7"/>
  <c r="E1134" i="7"/>
  <c r="E1132" i="7"/>
  <c r="C1132" i="7"/>
  <c r="D1132" i="7"/>
  <c r="C1114" i="7"/>
  <c r="E1114" i="7"/>
  <c r="F1114" i="7"/>
  <c r="E1112" i="7"/>
  <c r="D1112" i="7"/>
  <c r="F1112" i="7"/>
  <c r="E1090" i="7"/>
  <c r="C1090" i="7"/>
  <c r="F1090" i="7"/>
  <c r="E1086" i="7"/>
  <c r="C1086" i="7"/>
  <c r="D1086" i="7"/>
  <c r="F1086" i="7"/>
  <c r="E1064" i="7"/>
  <c r="C1064" i="7"/>
  <c r="D1064" i="7"/>
  <c r="F1064" i="7"/>
  <c r="C1006" i="7"/>
  <c r="E1006" i="7"/>
  <c r="F1006" i="7"/>
  <c r="E970" i="7"/>
  <c r="C970" i="7"/>
  <c r="D970" i="7"/>
  <c r="F970" i="7"/>
  <c r="C941" i="7"/>
  <c r="E941" i="7"/>
  <c r="D941" i="7"/>
  <c r="F941" i="7"/>
  <c r="C925" i="7"/>
  <c r="E925" i="7"/>
  <c r="D925" i="7"/>
  <c r="F925" i="7"/>
  <c r="C827" i="7"/>
  <c r="E827" i="7"/>
  <c r="D827" i="7"/>
  <c r="F827" i="7"/>
  <c r="D715" i="7"/>
  <c r="C715" i="7"/>
  <c r="E715" i="7"/>
  <c r="F715" i="7"/>
  <c r="C690" i="7"/>
  <c r="D690" i="7"/>
  <c r="E690" i="7"/>
  <c r="F690" i="7"/>
  <c r="E1780" i="7"/>
  <c r="E1776" i="7"/>
  <c r="E1762" i="7"/>
  <c r="E1758" i="7"/>
  <c r="E1754" i="7"/>
  <c r="E1750" i="7"/>
  <c r="E1736" i="7"/>
  <c r="E1732" i="7"/>
  <c r="E1728" i="7"/>
  <c r="E1714" i="7"/>
  <c r="E1710" i="7"/>
  <c r="E1706" i="7"/>
  <c r="E1702" i="7"/>
  <c r="E1688" i="7"/>
  <c r="E1684" i="7"/>
  <c r="E1680" i="7"/>
  <c r="E1676" i="7"/>
  <c r="E1662" i="7"/>
  <c r="E1658" i="7"/>
  <c r="E1654" i="7"/>
  <c r="E1650" i="7"/>
  <c r="E1636" i="7"/>
  <c r="E1632" i="7"/>
  <c r="E1628" i="7"/>
  <c r="E1614" i="7"/>
  <c r="E1610" i="7"/>
  <c r="E1606" i="7"/>
  <c r="E1602" i="7"/>
  <c r="E1588" i="7"/>
  <c r="E1584" i="7"/>
  <c r="E1580" i="7"/>
  <c r="E1576" i="7"/>
  <c r="E1562" i="7"/>
  <c r="E1558" i="7"/>
  <c r="E1554" i="7"/>
  <c r="E1550" i="7"/>
  <c r="E1536" i="7"/>
  <c r="E1532" i="7"/>
  <c r="E1528" i="7"/>
  <c r="E1514" i="7"/>
  <c r="E1510" i="7"/>
  <c r="E1506" i="7"/>
  <c r="E1502" i="7"/>
  <c r="E1488" i="7"/>
  <c r="E1484" i="7"/>
  <c r="E1480" i="7"/>
  <c r="E1476" i="7"/>
  <c r="E1462" i="7"/>
  <c r="E1458" i="7"/>
  <c r="E1454" i="7"/>
  <c r="E1450" i="7"/>
  <c r="E1436" i="7"/>
  <c r="E1432" i="7"/>
  <c r="E1428" i="7"/>
  <c r="E1424" i="7"/>
  <c r="E1420" i="7"/>
  <c r="E1406" i="7"/>
  <c r="E1402" i="7"/>
  <c r="E1398" i="7"/>
  <c r="E1394" i="7"/>
  <c r="E1390" i="7"/>
  <c r="E1386" i="7"/>
  <c r="E1372" i="7"/>
  <c r="E1368" i="7"/>
  <c r="E1364" i="7"/>
  <c r="E1360" i="7"/>
  <c r="E1356" i="7"/>
  <c r="E1352" i="7"/>
  <c r="F1324" i="7"/>
  <c r="F1323" i="7"/>
  <c r="F1322" i="7"/>
  <c r="D1291" i="7"/>
  <c r="E1291" i="7"/>
  <c r="D1277" i="7"/>
  <c r="E1277" i="7"/>
  <c r="E1264" i="7"/>
  <c r="C1264" i="7"/>
  <c r="C1262" i="7"/>
  <c r="E1262" i="7"/>
  <c r="E1256" i="7"/>
  <c r="F1256" i="7"/>
  <c r="E1234" i="7"/>
  <c r="C1234" i="7"/>
  <c r="C1232" i="7"/>
  <c r="E1232" i="7"/>
  <c r="E1226" i="7"/>
  <c r="F1226" i="7"/>
  <c r="E1204" i="7"/>
  <c r="C1204" i="7"/>
  <c r="C1202" i="7"/>
  <c r="E1202" i="7"/>
  <c r="D1187" i="7"/>
  <c r="E1187" i="7"/>
  <c r="C1162" i="7"/>
  <c r="E1162" i="7"/>
  <c r="F1162" i="7"/>
  <c r="E1160" i="7"/>
  <c r="D1160" i="7"/>
  <c r="F1160" i="7"/>
  <c r="D1149" i="7"/>
  <c r="C1149" i="7"/>
  <c r="E1149" i="7"/>
  <c r="D1129" i="7"/>
  <c r="E1129" i="7"/>
  <c r="F1129" i="7"/>
  <c r="C1118" i="7"/>
  <c r="D1118" i="7"/>
  <c r="E1118" i="7"/>
  <c r="E1116" i="7"/>
  <c r="C1116" i="7"/>
  <c r="D1116" i="7"/>
  <c r="C1028" i="7"/>
  <c r="E1028" i="7"/>
  <c r="F1028" i="7"/>
  <c r="E1008" i="7"/>
  <c r="C1008" i="7"/>
  <c r="F1008" i="7"/>
  <c r="E1004" i="7"/>
  <c r="C1004" i="7"/>
  <c r="D1004" i="7"/>
  <c r="F1004" i="7"/>
  <c r="C865" i="7"/>
  <c r="E865" i="7"/>
  <c r="D865" i="7"/>
  <c r="F865" i="7"/>
  <c r="C849" i="7"/>
  <c r="E849" i="7"/>
  <c r="D849" i="7"/>
  <c r="F849" i="7"/>
  <c r="C801" i="7"/>
  <c r="D801" i="7"/>
  <c r="E801" i="7"/>
  <c r="F801" i="7"/>
  <c r="E766" i="7"/>
  <c r="C766" i="7"/>
  <c r="D766" i="7"/>
  <c r="F766" i="7"/>
  <c r="F779" i="7" s="1"/>
  <c r="G760" i="7" s="1"/>
  <c r="E740" i="7"/>
  <c r="C740" i="7"/>
  <c r="D740" i="7"/>
  <c r="F740" i="7"/>
  <c r="F1350" i="7"/>
  <c r="F1349" i="7"/>
  <c r="F1348" i="7"/>
  <c r="F1336" i="7"/>
  <c r="F1335" i="7"/>
  <c r="F1334" i="7"/>
  <c r="E1324" i="7"/>
  <c r="E1323" i="7"/>
  <c r="D1322" i="7"/>
  <c r="F1320" i="7"/>
  <c r="F1319" i="7"/>
  <c r="F1318" i="7"/>
  <c r="E1303" i="7"/>
  <c r="F1296" i="7"/>
  <c r="E1294" i="7"/>
  <c r="C1294" i="7"/>
  <c r="C1292" i="7"/>
  <c r="E1292" i="7"/>
  <c r="F1290" i="7"/>
  <c r="C1278" i="7"/>
  <c r="E1278" i="7"/>
  <c r="F1276" i="7"/>
  <c r="E1274" i="7"/>
  <c r="E1272" i="7"/>
  <c r="F1272" i="7"/>
  <c r="D1265" i="7"/>
  <c r="C1265" i="7"/>
  <c r="F1261" i="7"/>
  <c r="D1257" i="7"/>
  <c r="F1257" i="7"/>
  <c r="E1244" i="7"/>
  <c r="E1242" i="7"/>
  <c r="F1242" i="7"/>
  <c r="D1235" i="7"/>
  <c r="C1235" i="7"/>
  <c r="F1231" i="7"/>
  <c r="D1227" i="7"/>
  <c r="F1227" i="7"/>
  <c r="E1214" i="7"/>
  <c r="E1212" i="7"/>
  <c r="F1212" i="7"/>
  <c r="D1205" i="7"/>
  <c r="C1205" i="7"/>
  <c r="F1201" i="7"/>
  <c r="C1188" i="7"/>
  <c r="E1188" i="7"/>
  <c r="F1186" i="7"/>
  <c r="E1184" i="7"/>
  <c r="E1182" i="7"/>
  <c r="F1182" i="7"/>
  <c r="C1176" i="7"/>
  <c r="D1176" i="7"/>
  <c r="E1176" i="7"/>
  <c r="E1164" i="7"/>
  <c r="C1164" i="7"/>
  <c r="D1164" i="7"/>
  <c r="C1146" i="7"/>
  <c r="E1146" i="7"/>
  <c r="F1146" i="7"/>
  <c r="E1144" i="7"/>
  <c r="D1144" i="7"/>
  <c r="F1144" i="7"/>
  <c r="D1133" i="7"/>
  <c r="C1133" i="7"/>
  <c r="E1133" i="7"/>
  <c r="D1113" i="7"/>
  <c r="E1113" i="7"/>
  <c r="F1113" i="7"/>
  <c r="C1084" i="7"/>
  <c r="E1084" i="7"/>
  <c r="D1084" i="7"/>
  <c r="F1084" i="7"/>
  <c r="C1062" i="7"/>
  <c r="E1062" i="7"/>
  <c r="D1062" i="7"/>
  <c r="F1062" i="7"/>
  <c r="E1052" i="7"/>
  <c r="C1052" i="7"/>
  <c r="F1052" i="7"/>
  <c r="C1040" i="7"/>
  <c r="E1040" i="7"/>
  <c r="D1040" i="7"/>
  <c r="F1040" i="7"/>
  <c r="E1030" i="7"/>
  <c r="C1030" i="7"/>
  <c r="F1030" i="7"/>
  <c r="E1026" i="7"/>
  <c r="C1026" i="7"/>
  <c r="D1026" i="7"/>
  <c r="F1026" i="7"/>
  <c r="C984" i="7"/>
  <c r="E984" i="7"/>
  <c r="F984" i="7"/>
  <c r="C968" i="7"/>
  <c r="E968" i="7"/>
  <c r="D968" i="7"/>
  <c r="F968" i="7"/>
  <c r="E943" i="7"/>
  <c r="C943" i="7"/>
  <c r="D943" i="7"/>
  <c r="F943" i="7"/>
  <c r="E927" i="7"/>
  <c r="C927" i="7"/>
  <c r="D927" i="7"/>
  <c r="F927" i="7"/>
  <c r="C903" i="7"/>
  <c r="E903" i="7"/>
  <c r="D903" i="7"/>
  <c r="F903" i="7"/>
  <c r="E829" i="7"/>
  <c r="C829" i="7"/>
  <c r="D829" i="7"/>
  <c r="F829" i="7"/>
  <c r="C809" i="7"/>
  <c r="D809" i="7"/>
  <c r="E809" i="7"/>
  <c r="F809" i="7"/>
  <c r="E1078" i="7"/>
  <c r="C1078" i="7"/>
  <c r="C1076" i="7"/>
  <c r="E1076" i="7"/>
  <c r="E1056" i="7"/>
  <c r="C1056" i="7"/>
  <c r="C1054" i="7"/>
  <c r="E1054" i="7"/>
  <c r="E1034" i="7"/>
  <c r="C1034" i="7"/>
  <c r="C1032" i="7"/>
  <c r="E1032" i="7"/>
  <c r="E1012" i="7"/>
  <c r="C1012" i="7"/>
  <c r="C1010" i="7"/>
  <c r="E1010" i="7"/>
  <c r="E990" i="7"/>
  <c r="C990" i="7"/>
  <c r="C988" i="7"/>
  <c r="E988" i="7"/>
  <c r="F982" i="7"/>
  <c r="F980" i="7"/>
  <c r="E974" i="7"/>
  <c r="C974" i="7"/>
  <c r="C972" i="7"/>
  <c r="E972" i="7"/>
  <c r="F966" i="7"/>
  <c r="F953" i="7"/>
  <c r="E947" i="7"/>
  <c r="C947" i="7"/>
  <c r="C945" i="7"/>
  <c r="E945" i="7"/>
  <c r="F939" i="7"/>
  <c r="F937" i="7"/>
  <c r="E931" i="7"/>
  <c r="C931" i="7"/>
  <c r="C929" i="7"/>
  <c r="E929" i="7"/>
  <c r="F923" i="7"/>
  <c r="F921" i="7"/>
  <c r="E915" i="7"/>
  <c r="C915" i="7"/>
  <c r="F901" i="7"/>
  <c r="F899" i="7"/>
  <c r="E893" i="7"/>
  <c r="C893" i="7"/>
  <c r="C891" i="7"/>
  <c r="E891" i="7"/>
  <c r="F879" i="7"/>
  <c r="F877" i="7"/>
  <c r="E871" i="7"/>
  <c r="C871" i="7"/>
  <c r="C869" i="7"/>
  <c r="E869" i="7"/>
  <c r="F863" i="7"/>
  <c r="F861" i="7"/>
  <c r="E855" i="7"/>
  <c r="C855" i="7"/>
  <c r="C853" i="7"/>
  <c r="E853" i="7"/>
  <c r="E833" i="7"/>
  <c r="C833" i="7"/>
  <c r="C831" i="7"/>
  <c r="E831" i="7"/>
  <c r="F825" i="7"/>
  <c r="F823" i="7"/>
  <c r="C771" i="7"/>
  <c r="D771" i="7"/>
  <c r="E771" i="7"/>
  <c r="E714" i="7"/>
  <c r="C714" i="7"/>
  <c r="D714" i="7"/>
  <c r="F714" i="7"/>
  <c r="D689" i="7"/>
  <c r="C689" i="7"/>
  <c r="E689" i="7"/>
  <c r="F689" i="7"/>
  <c r="D659" i="7"/>
  <c r="E659" i="7"/>
  <c r="C659" i="7"/>
  <c r="F659" i="7"/>
  <c r="F1158" i="7"/>
  <c r="F1157" i="7"/>
  <c r="F1156" i="7"/>
  <c r="F1142" i="7"/>
  <c r="F1141" i="7"/>
  <c r="F1140" i="7"/>
  <c r="F1126" i="7"/>
  <c r="F1125" i="7"/>
  <c r="F1124" i="7"/>
  <c r="F1110" i="7"/>
  <c r="F1109" i="7"/>
  <c r="F1108" i="7"/>
  <c r="C1102" i="7"/>
  <c r="E1102" i="7"/>
  <c r="E1082" i="7"/>
  <c r="C1082" i="7"/>
  <c r="C1080" i="7"/>
  <c r="E1080" i="7"/>
  <c r="E1060" i="7"/>
  <c r="C1060" i="7"/>
  <c r="C1058" i="7"/>
  <c r="E1058" i="7"/>
  <c r="E1038" i="7"/>
  <c r="C1038" i="7"/>
  <c r="C1036" i="7"/>
  <c r="E1036" i="7"/>
  <c r="C1014" i="7"/>
  <c r="E1014" i="7"/>
  <c r="E978" i="7"/>
  <c r="C978" i="7"/>
  <c r="C976" i="7"/>
  <c r="E976" i="7"/>
  <c r="E951" i="7"/>
  <c r="C951" i="7"/>
  <c r="C949" i="7"/>
  <c r="E949" i="7"/>
  <c r="E935" i="7"/>
  <c r="C935" i="7"/>
  <c r="C933" i="7"/>
  <c r="E933" i="7"/>
  <c r="E919" i="7"/>
  <c r="C919" i="7"/>
  <c r="C917" i="7"/>
  <c r="E917" i="7"/>
  <c r="E897" i="7"/>
  <c r="C897" i="7"/>
  <c r="C895" i="7"/>
  <c r="E895" i="7"/>
  <c r="E875" i="7"/>
  <c r="C875" i="7"/>
  <c r="C873" i="7"/>
  <c r="E873" i="7"/>
  <c r="E859" i="7"/>
  <c r="C859" i="7"/>
  <c r="C857" i="7"/>
  <c r="E857" i="7"/>
  <c r="E837" i="7"/>
  <c r="C837" i="7"/>
  <c r="C835" i="7"/>
  <c r="E835" i="7"/>
  <c r="C805" i="7"/>
  <c r="D805" i="7"/>
  <c r="E805" i="7"/>
  <c r="C797" i="7"/>
  <c r="D797" i="7"/>
  <c r="E797" i="7"/>
  <c r="C789" i="7"/>
  <c r="D789" i="7"/>
  <c r="E789" i="7"/>
  <c r="C742" i="7"/>
  <c r="D742" i="7"/>
  <c r="E742" i="7"/>
  <c r="F742" i="7"/>
  <c r="E688" i="7"/>
  <c r="C688" i="7"/>
  <c r="D688" i="7"/>
  <c r="F688" i="7"/>
  <c r="C638" i="7"/>
  <c r="D638" i="7"/>
  <c r="E638" i="7"/>
  <c r="F638" i="7"/>
  <c r="C622" i="7"/>
  <c r="D622" i="7"/>
  <c r="E622" i="7"/>
  <c r="F622" i="7"/>
  <c r="E982" i="7"/>
  <c r="C982" i="7"/>
  <c r="C980" i="7"/>
  <c r="E980" i="7"/>
  <c r="E966" i="7"/>
  <c r="C966" i="7"/>
  <c r="C953" i="7"/>
  <c r="E953" i="7"/>
  <c r="E939" i="7"/>
  <c r="C939" i="7"/>
  <c r="C937" i="7"/>
  <c r="E937" i="7"/>
  <c r="E923" i="7"/>
  <c r="C923" i="7"/>
  <c r="C921" i="7"/>
  <c r="E921" i="7"/>
  <c r="E901" i="7"/>
  <c r="C901" i="7"/>
  <c r="C899" i="7"/>
  <c r="E899" i="7"/>
  <c r="E879" i="7"/>
  <c r="C879" i="7"/>
  <c r="C877" i="7"/>
  <c r="E877" i="7"/>
  <c r="E863" i="7"/>
  <c r="C863" i="7"/>
  <c r="C861" i="7"/>
  <c r="E861" i="7"/>
  <c r="E825" i="7"/>
  <c r="C825" i="7"/>
  <c r="C823" i="7"/>
  <c r="E823" i="7"/>
  <c r="C775" i="7"/>
  <c r="D775" i="7"/>
  <c r="E775" i="7"/>
  <c r="C767" i="7"/>
  <c r="D767" i="7"/>
  <c r="E767" i="7"/>
  <c r="D741" i="7"/>
  <c r="C741" i="7"/>
  <c r="E741" i="7"/>
  <c r="F741" i="7"/>
  <c r="C716" i="7"/>
  <c r="D716" i="7"/>
  <c r="E716" i="7"/>
  <c r="F716" i="7"/>
  <c r="C656" i="7"/>
  <c r="D656" i="7"/>
  <c r="E656" i="7"/>
  <c r="F656" i="7"/>
  <c r="C811" i="7"/>
  <c r="C807" i="7"/>
  <c r="C803" i="7"/>
  <c r="C799" i="7"/>
  <c r="C795" i="7"/>
  <c r="C791" i="7"/>
  <c r="C777" i="7"/>
  <c r="C773" i="7"/>
  <c r="C769" i="7"/>
  <c r="D750" i="7"/>
  <c r="C749" i="7"/>
  <c r="C748" i="7"/>
  <c r="D734" i="7"/>
  <c r="C733" i="7"/>
  <c r="C732" i="7"/>
  <c r="D708" i="7"/>
  <c r="C707" i="7"/>
  <c r="C706" i="7"/>
  <c r="D682" i="7"/>
  <c r="C681" i="7"/>
  <c r="C680" i="7"/>
  <c r="D668" i="7"/>
  <c r="C667" i="7"/>
  <c r="D663" i="7"/>
  <c r="E663" i="7"/>
  <c r="C660" i="7"/>
  <c r="D660" i="7"/>
  <c r="C642" i="7"/>
  <c r="D642" i="7"/>
  <c r="D629" i="7"/>
  <c r="E629" i="7"/>
  <c r="C626" i="7"/>
  <c r="D626" i="7"/>
  <c r="C599" i="7"/>
  <c r="D599" i="7"/>
  <c r="E599" i="7"/>
  <c r="C591" i="7"/>
  <c r="D591" i="7"/>
  <c r="E591" i="7"/>
  <c r="C583" i="7"/>
  <c r="D583" i="7"/>
  <c r="E583" i="7"/>
  <c r="F604" i="7"/>
  <c r="G577" i="7" s="1"/>
  <c r="C569" i="7"/>
  <c r="D569" i="7"/>
  <c r="E569" i="7"/>
  <c r="C561" i="7"/>
  <c r="D561" i="7"/>
  <c r="E561" i="7"/>
  <c r="C664" i="7"/>
  <c r="D664" i="7"/>
  <c r="D633" i="7"/>
  <c r="E633" i="7"/>
  <c r="C630" i="7"/>
  <c r="D630" i="7"/>
  <c r="C618" i="7"/>
  <c r="D618" i="7"/>
  <c r="E618" i="7"/>
  <c r="F571" i="7"/>
  <c r="G547" i="7" s="1"/>
  <c r="E764" i="7"/>
  <c r="E753" i="7"/>
  <c r="D752" i="7"/>
  <c r="F750" i="7"/>
  <c r="F749" i="7"/>
  <c r="F748" i="7"/>
  <c r="E738" i="7"/>
  <c r="E737" i="7"/>
  <c r="D736" i="7"/>
  <c r="F734" i="7"/>
  <c r="F733" i="7"/>
  <c r="F732" i="7"/>
  <c r="E712" i="7"/>
  <c r="E711" i="7"/>
  <c r="D710" i="7"/>
  <c r="F708" i="7"/>
  <c r="F707" i="7"/>
  <c r="F706" i="7"/>
  <c r="E686" i="7"/>
  <c r="E685" i="7"/>
  <c r="D684" i="7"/>
  <c r="F682" i="7"/>
  <c r="F681" i="7"/>
  <c r="F680" i="7"/>
  <c r="F668" i="7"/>
  <c r="F667" i="7"/>
  <c r="F660" i="7"/>
  <c r="D655" i="7"/>
  <c r="E655" i="7"/>
  <c r="F642" i="7"/>
  <c r="D637" i="7"/>
  <c r="E637" i="7"/>
  <c r="C634" i="7"/>
  <c r="D634" i="7"/>
  <c r="F629" i="7"/>
  <c r="F626" i="7"/>
  <c r="D621" i="7"/>
  <c r="E621" i="7"/>
  <c r="C603" i="7"/>
  <c r="D603" i="7"/>
  <c r="E603" i="7"/>
  <c r="C595" i="7"/>
  <c r="D595" i="7"/>
  <c r="E595" i="7"/>
  <c r="C587" i="7"/>
  <c r="D587" i="7"/>
  <c r="E587" i="7"/>
  <c r="C565" i="7"/>
  <c r="D565" i="7"/>
  <c r="E565" i="7"/>
  <c r="C428" i="7"/>
  <c r="D428" i="7"/>
  <c r="D415" i="7"/>
  <c r="E415" i="7"/>
  <c r="C412" i="7"/>
  <c r="D412" i="7"/>
  <c r="F400" i="7"/>
  <c r="G373" i="7" s="1"/>
  <c r="E355" i="7"/>
  <c r="C355" i="7"/>
  <c r="D355" i="7"/>
  <c r="F355" i="7"/>
  <c r="C341" i="7"/>
  <c r="D341" i="7"/>
  <c r="E341" i="7"/>
  <c r="F341" i="7"/>
  <c r="E325" i="7"/>
  <c r="C325" i="7"/>
  <c r="D325" i="7"/>
  <c r="F325" i="7"/>
  <c r="C314" i="7"/>
  <c r="D314" i="7"/>
  <c r="E314" i="7"/>
  <c r="F314" i="7"/>
  <c r="C288" i="7"/>
  <c r="D288" i="7"/>
  <c r="E288" i="7"/>
  <c r="F288" i="7"/>
  <c r="C272" i="7"/>
  <c r="D272" i="7"/>
  <c r="E272" i="7"/>
  <c r="F272" i="7"/>
  <c r="E557" i="7"/>
  <c r="E553" i="7"/>
  <c r="E539" i="7"/>
  <c r="E535" i="7"/>
  <c r="E531" i="7"/>
  <c r="E527" i="7"/>
  <c r="E523" i="7"/>
  <c r="E519" i="7"/>
  <c r="E505" i="7"/>
  <c r="E501" i="7"/>
  <c r="E497" i="7"/>
  <c r="E493" i="7"/>
  <c r="E479" i="7"/>
  <c r="F469" i="7"/>
  <c r="F468" i="7"/>
  <c r="F457" i="7"/>
  <c r="F443" i="7"/>
  <c r="F432" i="7"/>
  <c r="F431" i="7"/>
  <c r="D419" i="7"/>
  <c r="E419" i="7"/>
  <c r="C416" i="7"/>
  <c r="D416" i="7"/>
  <c r="C393" i="7"/>
  <c r="D393" i="7"/>
  <c r="E393" i="7"/>
  <c r="C385" i="7"/>
  <c r="D385" i="7"/>
  <c r="E385" i="7"/>
  <c r="C377" i="7"/>
  <c r="D377" i="7"/>
  <c r="E377" i="7"/>
  <c r="D340" i="7"/>
  <c r="C340" i="7"/>
  <c r="E340" i="7"/>
  <c r="F340" i="7"/>
  <c r="C280" i="7"/>
  <c r="D280" i="7"/>
  <c r="E280" i="7"/>
  <c r="F280" i="7"/>
  <c r="E617" i="7"/>
  <c r="E602" i="7"/>
  <c r="E598" i="7"/>
  <c r="E594" i="7"/>
  <c r="E590" i="7"/>
  <c r="E586" i="7"/>
  <c r="E582" i="7"/>
  <c r="E568" i="7"/>
  <c r="E564" i="7"/>
  <c r="E560" i="7"/>
  <c r="D557" i="7"/>
  <c r="E556" i="7"/>
  <c r="D553" i="7"/>
  <c r="E552" i="7"/>
  <c r="D539" i="7"/>
  <c r="E538" i="7"/>
  <c r="D535" i="7"/>
  <c r="E534" i="7"/>
  <c r="D531" i="7"/>
  <c r="E530" i="7"/>
  <c r="D527" i="7"/>
  <c r="E526" i="7"/>
  <c r="D523" i="7"/>
  <c r="E522" i="7"/>
  <c r="D519" i="7"/>
  <c r="E518" i="7"/>
  <c r="D505" i="7"/>
  <c r="E504" i="7"/>
  <c r="D501" i="7"/>
  <c r="E500" i="7"/>
  <c r="D497" i="7"/>
  <c r="E496" i="7"/>
  <c r="D493" i="7"/>
  <c r="E482" i="7"/>
  <c r="D479" i="7"/>
  <c r="E478" i="7"/>
  <c r="E469" i="7"/>
  <c r="E468" i="7"/>
  <c r="D457" i="7"/>
  <c r="F455" i="7"/>
  <c r="F454" i="7"/>
  <c r="F453" i="7"/>
  <c r="E443" i="7"/>
  <c r="E432" i="7"/>
  <c r="D431" i="7"/>
  <c r="F428" i="7"/>
  <c r="D423" i="7"/>
  <c r="E423" i="7"/>
  <c r="C420" i="7"/>
  <c r="D420" i="7"/>
  <c r="F415" i="7"/>
  <c r="F412" i="7"/>
  <c r="C363" i="7"/>
  <c r="D363" i="7"/>
  <c r="E363" i="7"/>
  <c r="C357" i="7"/>
  <c r="D357" i="7"/>
  <c r="E357" i="7"/>
  <c r="F357" i="7"/>
  <c r="E339" i="7"/>
  <c r="C339" i="7"/>
  <c r="D339" i="7"/>
  <c r="F339" i="7"/>
  <c r="C327" i="7"/>
  <c r="D327" i="7"/>
  <c r="E327" i="7"/>
  <c r="F327" i="7"/>
  <c r="D317" i="7"/>
  <c r="E317" i="7"/>
  <c r="C317" i="7"/>
  <c r="F317" i="7"/>
  <c r="D291" i="7"/>
  <c r="E291" i="7"/>
  <c r="C291" i="7"/>
  <c r="F291" i="7"/>
  <c r="F476" i="7"/>
  <c r="F475" i="7"/>
  <c r="D469" i="7"/>
  <c r="C468" i="7"/>
  <c r="C457" i="7"/>
  <c r="E455" i="7"/>
  <c r="E454" i="7"/>
  <c r="D453" i="7"/>
  <c r="F451" i="7"/>
  <c r="F450" i="7"/>
  <c r="F449" i="7"/>
  <c r="D443" i="7"/>
  <c r="C432" i="7"/>
  <c r="C431" i="7"/>
  <c r="E428" i="7"/>
  <c r="D427" i="7"/>
  <c r="E427" i="7"/>
  <c r="C424" i="7"/>
  <c r="D424" i="7"/>
  <c r="F419" i="7"/>
  <c r="F416" i="7"/>
  <c r="C415" i="7"/>
  <c r="E412" i="7"/>
  <c r="D411" i="7"/>
  <c r="E411" i="7"/>
  <c r="C397" i="7"/>
  <c r="D397" i="7"/>
  <c r="E397" i="7"/>
  <c r="C389" i="7"/>
  <c r="D389" i="7"/>
  <c r="E389" i="7"/>
  <c r="C381" i="7"/>
  <c r="D381" i="7"/>
  <c r="E381" i="7"/>
  <c r="D356" i="7"/>
  <c r="C356" i="7"/>
  <c r="E356" i="7"/>
  <c r="F356" i="7"/>
  <c r="D326" i="7"/>
  <c r="C326" i="7"/>
  <c r="E326" i="7"/>
  <c r="F326" i="7"/>
  <c r="D398" i="7"/>
  <c r="D394" i="7"/>
  <c r="D390" i="7"/>
  <c r="D386" i="7"/>
  <c r="D382" i="7"/>
  <c r="D378" i="7"/>
  <c r="D364" i="7"/>
  <c r="D360" i="7"/>
  <c r="D359" i="7"/>
  <c r="D349" i="7"/>
  <c r="C348" i="7"/>
  <c r="C347" i="7"/>
  <c r="E345" i="7"/>
  <c r="E344" i="7"/>
  <c r="D343" i="7"/>
  <c r="C318" i="7"/>
  <c r="D318" i="7"/>
  <c r="F313" i="7"/>
  <c r="F310" i="7"/>
  <c r="D305" i="7"/>
  <c r="E305" i="7"/>
  <c r="C302" i="7"/>
  <c r="D302" i="7"/>
  <c r="C359" i="7"/>
  <c r="D345" i="7"/>
  <c r="C344" i="7"/>
  <c r="C343" i="7"/>
  <c r="D309" i="7"/>
  <c r="E309" i="7"/>
  <c r="C306" i="7"/>
  <c r="D306" i="7"/>
  <c r="C284" i="7"/>
  <c r="D284" i="7"/>
  <c r="E284" i="7"/>
  <c r="C276" i="7"/>
  <c r="D276" i="7"/>
  <c r="E276" i="7"/>
  <c r="C268" i="7"/>
  <c r="D268" i="7"/>
  <c r="E268" i="7"/>
  <c r="D313" i="7"/>
  <c r="E313" i="7"/>
  <c r="C310" i="7"/>
  <c r="D310" i="7"/>
  <c r="D287" i="7"/>
  <c r="E287" i="7"/>
  <c r="E193" i="7"/>
  <c r="D193" i="7"/>
  <c r="C191" i="7"/>
  <c r="F191" i="7"/>
  <c r="E171" i="7"/>
  <c r="C171" i="7"/>
  <c r="C169" i="7"/>
  <c r="E169" i="7"/>
  <c r="D137" i="7"/>
  <c r="F137" i="7"/>
  <c r="C137" i="7"/>
  <c r="D115" i="7"/>
  <c r="C115" i="7"/>
  <c r="E115" i="7"/>
  <c r="F115" i="7"/>
  <c r="F248" i="7"/>
  <c r="F247" i="7"/>
  <c r="F246" i="7"/>
  <c r="F218" i="7"/>
  <c r="F217" i="7"/>
  <c r="F216" i="7"/>
  <c r="D194" i="7"/>
  <c r="E194" i="7"/>
  <c r="D172" i="7"/>
  <c r="C172" i="7"/>
  <c r="C165" i="7"/>
  <c r="F165" i="7"/>
  <c r="D165" i="7"/>
  <c r="E163" i="7"/>
  <c r="F163" i="7"/>
  <c r="C163" i="7"/>
  <c r="C146" i="7"/>
  <c r="D146" i="7"/>
  <c r="F146" i="7"/>
  <c r="E144" i="7"/>
  <c r="C144" i="7"/>
  <c r="F144" i="7"/>
  <c r="C130" i="7"/>
  <c r="D130" i="7"/>
  <c r="E130" i="7"/>
  <c r="F130" i="7"/>
  <c r="E114" i="7"/>
  <c r="C114" i="7"/>
  <c r="D114" i="7"/>
  <c r="F114" i="7"/>
  <c r="C100" i="7"/>
  <c r="D100" i="7"/>
  <c r="E100" i="7"/>
  <c r="F100" i="7"/>
  <c r="E283" i="7"/>
  <c r="E279" i="7"/>
  <c r="E275" i="7"/>
  <c r="E271" i="7"/>
  <c r="E257" i="7"/>
  <c r="D252" i="7"/>
  <c r="C251" i="7"/>
  <c r="C250" i="7"/>
  <c r="E248" i="7"/>
  <c r="E247" i="7"/>
  <c r="D246" i="7"/>
  <c r="F244" i="7"/>
  <c r="F243" i="7"/>
  <c r="F242" i="7"/>
  <c r="D222" i="7"/>
  <c r="C221" i="7"/>
  <c r="C220" i="7"/>
  <c r="E218" i="7"/>
  <c r="E217" i="7"/>
  <c r="D216" i="7"/>
  <c r="F214" i="7"/>
  <c r="F213" i="7"/>
  <c r="F212" i="7"/>
  <c r="F200" i="7"/>
  <c r="F199" i="7"/>
  <c r="F198" i="7"/>
  <c r="F193" i="7"/>
  <c r="E191" i="7"/>
  <c r="E189" i="7"/>
  <c r="F189" i="7"/>
  <c r="C173" i="7"/>
  <c r="D173" i="7"/>
  <c r="F171" i="7"/>
  <c r="F169" i="7"/>
  <c r="C138" i="7"/>
  <c r="F138" i="7"/>
  <c r="D138" i="7"/>
  <c r="E136" i="7"/>
  <c r="F136" i="7"/>
  <c r="C136" i="7"/>
  <c r="D129" i="7"/>
  <c r="C129" i="7"/>
  <c r="E129" i="7"/>
  <c r="F129" i="7"/>
  <c r="D248" i="7"/>
  <c r="C247" i="7"/>
  <c r="C246" i="7"/>
  <c r="E244" i="7"/>
  <c r="E243" i="7"/>
  <c r="D242" i="7"/>
  <c r="D218" i="7"/>
  <c r="C217" i="7"/>
  <c r="C216" i="7"/>
  <c r="E214" i="7"/>
  <c r="E213" i="7"/>
  <c r="D212" i="7"/>
  <c r="E200" i="7"/>
  <c r="E199" i="7"/>
  <c r="D198" i="7"/>
  <c r="F194" i="7"/>
  <c r="C193" i="7"/>
  <c r="D191" i="7"/>
  <c r="D190" i="7"/>
  <c r="F190" i="7"/>
  <c r="F172" i="7"/>
  <c r="D171" i="7"/>
  <c r="D169" i="7"/>
  <c r="D164" i="7"/>
  <c r="F164" i="7"/>
  <c r="C164" i="7"/>
  <c r="D145" i="7"/>
  <c r="C145" i="7"/>
  <c r="F145" i="7"/>
  <c r="E137" i="7"/>
  <c r="E128" i="7"/>
  <c r="C128" i="7"/>
  <c r="D128" i="7"/>
  <c r="F128" i="7"/>
  <c r="C116" i="7"/>
  <c r="D116" i="7"/>
  <c r="E116" i="7"/>
  <c r="F116" i="7"/>
  <c r="D68" i="7"/>
  <c r="E68" i="7"/>
  <c r="D108" i="7"/>
  <c r="C107" i="7"/>
  <c r="C106" i="7"/>
  <c r="F99" i="7"/>
  <c r="F98" i="7"/>
  <c r="D78" i="7"/>
  <c r="D72" i="7"/>
  <c r="E72" i="7"/>
  <c r="C69" i="7"/>
  <c r="D69" i="7"/>
  <c r="E99" i="7"/>
  <c r="D98" i="7"/>
  <c r="C73" i="7"/>
  <c r="D73" i="7"/>
  <c r="F68" i="7"/>
  <c r="C64" i="7"/>
  <c r="D64" i="7"/>
  <c r="E64" i="7"/>
  <c r="E168" i="7"/>
  <c r="D167" i="7"/>
  <c r="E142" i="7"/>
  <c r="E141" i="7"/>
  <c r="D140" i="7"/>
  <c r="E112" i="7"/>
  <c r="E111" i="7"/>
  <c r="D110" i="7"/>
  <c r="F108" i="7"/>
  <c r="F107" i="7"/>
  <c r="F106" i="7"/>
  <c r="C99" i="7"/>
  <c r="C98" i="7"/>
  <c r="E96" i="7"/>
  <c r="E95" i="7"/>
  <c r="D94" i="7"/>
  <c r="E82" i="7"/>
  <c r="E81" i="7"/>
  <c r="D80" i="7"/>
  <c r="F78" i="7"/>
  <c r="F77" i="7"/>
  <c r="F76" i="7"/>
  <c r="F72" i="7"/>
  <c r="F69" i="7"/>
  <c r="C68" i="7"/>
  <c r="D65" i="7"/>
  <c r="D61" i="7"/>
  <c r="E60" i="7"/>
  <c r="D47" i="7"/>
  <c r="E46" i="7"/>
  <c r="D43" i="7"/>
  <c r="E42" i="7"/>
  <c r="D39" i="7"/>
  <c r="E38" i="7"/>
  <c r="D35" i="7"/>
  <c r="D60" i="7"/>
  <c r="D46" i="7"/>
  <c r="D42" i="7"/>
  <c r="D38" i="7"/>
  <c r="F3978" i="6"/>
  <c r="G3916" i="6" s="1"/>
  <c r="F5116" i="6"/>
  <c r="F5124" i="6" s="1"/>
  <c r="G5105" i="6" s="1"/>
  <c r="F5077" i="6"/>
  <c r="F5061" i="6"/>
  <c r="E5416" i="6"/>
  <c r="E5386" i="6"/>
  <c r="E5360" i="6"/>
  <c r="E5338" i="6"/>
  <c r="E5320" i="6"/>
  <c r="E5316" i="6"/>
  <c r="E5290" i="6"/>
  <c r="E5272" i="6"/>
  <c r="E5264" i="6"/>
  <c r="F5259" i="6"/>
  <c r="E5220" i="6"/>
  <c r="F5219" i="6"/>
  <c r="E5216" i="6"/>
  <c r="E5160" i="6"/>
  <c r="E5146" i="6"/>
  <c r="F5145" i="6"/>
  <c r="E5142" i="6"/>
  <c r="E5138" i="6"/>
  <c r="E5112" i="6"/>
  <c r="E5097" i="6"/>
  <c r="E5089" i="6"/>
  <c r="E5081" i="6"/>
  <c r="E5069" i="6"/>
  <c r="E5061" i="6"/>
  <c r="E5043" i="6"/>
  <c r="E5039" i="6"/>
  <c r="E5013" i="6"/>
  <c r="E4999" i="6"/>
  <c r="E4991" i="6"/>
  <c r="F4990" i="6"/>
  <c r="E4987" i="6"/>
  <c r="F4986" i="6"/>
  <c r="E4969" i="6"/>
  <c r="E4965" i="6"/>
  <c r="E4947" i="6"/>
  <c r="E4913" i="6"/>
  <c r="E4891" i="6"/>
  <c r="F4890" i="6"/>
  <c r="E4887" i="6"/>
  <c r="F4886" i="6"/>
  <c r="E4869" i="6"/>
  <c r="F4868" i="6"/>
  <c r="E4865" i="6"/>
  <c r="E4861" i="6"/>
  <c r="E4843" i="6"/>
  <c r="E4825" i="6"/>
  <c r="F4824" i="6"/>
  <c r="E4813" i="6"/>
  <c r="F4812" i="6"/>
  <c r="E4799" i="6"/>
  <c r="F4798" i="6"/>
  <c r="E4791" i="6"/>
  <c r="F4790" i="6"/>
  <c r="E4787" i="6"/>
  <c r="F4698" i="6"/>
  <c r="F4686" i="6"/>
  <c r="E4324" i="6"/>
  <c r="C4324" i="6"/>
  <c r="C4288" i="6"/>
  <c r="E4288" i="6"/>
  <c r="E4286" i="6"/>
  <c r="C4286" i="6"/>
  <c r="C4266" i="6"/>
  <c r="E4266" i="6"/>
  <c r="E4264" i="6"/>
  <c r="C4264" i="6"/>
  <c r="C4250" i="6"/>
  <c r="E4250" i="6"/>
  <c r="E4248" i="6"/>
  <c r="C4248" i="6"/>
  <c r="C4228" i="6"/>
  <c r="E4228" i="6"/>
  <c r="E4226" i="6"/>
  <c r="C4226" i="6"/>
  <c r="E4204" i="6"/>
  <c r="C4204" i="6"/>
  <c r="C4190" i="6"/>
  <c r="E4190" i="6"/>
  <c r="E4188" i="6"/>
  <c r="C4188" i="6"/>
  <c r="C4174" i="6"/>
  <c r="E4174" i="6"/>
  <c r="E4172" i="6"/>
  <c r="C4172" i="6"/>
  <c r="C4158" i="6"/>
  <c r="E4158" i="6"/>
  <c r="E4156" i="6"/>
  <c r="C4156" i="6"/>
  <c r="C4136" i="6"/>
  <c r="E4136" i="6"/>
  <c r="E4134" i="6"/>
  <c r="C4134" i="6"/>
  <c r="C4114" i="6"/>
  <c r="E4114" i="6"/>
  <c r="E4112" i="6"/>
  <c r="C4112" i="6"/>
  <c r="C4092" i="6"/>
  <c r="E4092" i="6"/>
  <c r="E4090" i="6"/>
  <c r="C4090" i="6"/>
  <c r="C4076" i="6"/>
  <c r="E4076" i="6"/>
  <c r="E4074" i="6"/>
  <c r="C4074" i="6"/>
  <c r="C4060" i="6"/>
  <c r="E4060" i="6"/>
  <c r="E4058" i="6"/>
  <c r="C4058" i="6"/>
  <c r="C4044" i="6"/>
  <c r="E4044" i="6"/>
  <c r="E4042" i="6"/>
  <c r="C4042" i="6"/>
  <c r="C4028" i="6"/>
  <c r="E4028" i="6"/>
  <c r="E4026" i="6"/>
  <c r="C4026" i="6"/>
  <c r="D4018" i="6"/>
  <c r="E4018" i="6"/>
  <c r="C4018" i="6"/>
  <c r="D3996" i="6"/>
  <c r="E3996" i="6"/>
  <c r="C3996" i="6"/>
  <c r="D3988" i="6"/>
  <c r="E3988" i="6"/>
  <c r="C3988" i="6"/>
  <c r="F3910" i="6"/>
  <c r="G3891" i="6" s="1"/>
  <c r="D3720" i="6"/>
  <c r="E3720" i="6"/>
  <c r="C3720" i="6"/>
  <c r="D3712" i="6"/>
  <c r="E3712" i="6"/>
  <c r="C3712" i="6"/>
  <c r="D3704" i="6"/>
  <c r="E3704" i="6"/>
  <c r="C3704" i="6"/>
  <c r="D3696" i="6"/>
  <c r="E3696" i="6"/>
  <c r="C3696" i="6"/>
  <c r="D3688" i="6"/>
  <c r="E3688" i="6"/>
  <c r="C3688" i="6"/>
  <c r="D3680" i="6"/>
  <c r="E3680" i="6"/>
  <c r="C3680" i="6"/>
  <c r="D3672" i="6"/>
  <c r="E3672" i="6"/>
  <c r="C3672" i="6"/>
  <c r="D3664" i="6"/>
  <c r="E3664" i="6"/>
  <c r="C3664" i="6"/>
  <c r="D3656" i="6"/>
  <c r="E3656" i="6"/>
  <c r="C3656" i="6"/>
  <c r="F5416" i="6"/>
  <c r="F5412" i="6"/>
  <c r="F5394" i="6"/>
  <c r="F5346" i="6"/>
  <c r="F5312" i="6"/>
  <c r="F5294" i="6"/>
  <c r="F5286" i="6"/>
  <c r="F5268" i="6"/>
  <c r="F5264" i="6"/>
  <c r="F5238" i="6"/>
  <c r="F5220" i="6"/>
  <c r="F5194" i="6"/>
  <c r="F5190" i="6"/>
  <c r="F5186" i="6"/>
  <c r="F5168" i="6"/>
  <c r="F5164" i="6"/>
  <c r="F5138" i="6"/>
  <c r="F5415" i="6"/>
  <c r="E5412" i="6"/>
  <c r="E5398" i="6"/>
  <c r="E5390" i="6"/>
  <c r="F5385" i="6"/>
  <c r="E5368" i="6"/>
  <c r="E5364" i="6"/>
  <c r="F5359" i="6"/>
  <c r="E5346" i="6"/>
  <c r="E5312" i="6"/>
  <c r="E5298" i="6"/>
  <c r="E5294" i="6"/>
  <c r="F5289" i="6"/>
  <c r="E5286" i="6"/>
  <c r="E5260" i="6"/>
  <c r="E5238" i="6"/>
  <c r="E5234" i="6"/>
  <c r="E5212" i="6"/>
  <c r="E5198" i="6"/>
  <c r="F5193" i="6"/>
  <c r="E5186" i="6"/>
  <c r="E5164" i="6"/>
  <c r="E5134" i="6"/>
  <c r="E5116" i="6"/>
  <c r="E5093" i="6"/>
  <c r="E5085" i="6"/>
  <c r="E5077" i="6"/>
  <c r="F5076" i="6"/>
  <c r="E5073" i="6"/>
  <c r="E5065" i="6"/>
  <c r="E5047" i="6"/>
  <c r="E5025" i="6"/>
  <c r="E5021" i="6"/>
  <c r="F5020" i="6"/>
  <c r="E5017" i="6"/>
  <c r="F5016" i="6"/>
  <c r="E4995" i="6"/>
  <c r="F4994" i="6"/>
  <c r="E4973" i="6"/>
  <c r="E4961" i="6"/>
  <c r="F4950" i="6"/>
  <c r="F4951" i="6" s="1"/>
  <c r="G4932" i="6" s="1"/>
  <c r="E4943" i="6"/>
  <c r="E4939" i="6"/>
  <c r="E4925" i="6"/>
  <c r="E4921" i="6"/>
  <c r="E4917" i="6"/>
  <c r="E4899" i="6"/>
  <c r="F4898" i="6"/>
  <c r="E4895" i="6"/>
  <c r="F4894" i="6"/>
  <c r="E4873" i="6"/>
  <c r="F4872" i="6"/>
  <c r="F4864" i="6"/>
  <c r="E4847" i="6"/>
  <c r="E4839" i="6"/>
  <c r="E4821" i="6"/>
  <c r="F4820" i="6"/>
  <c r="E4817" i="6"/>
  <c r="F4816" i="6"/>
  <c r="E4795" i="6"/>
  <c r="F4794" i="6"/>
  <c r="F4786" i="6"/>
  <c r="E4773" i="6"/>
  <c r="F4772" i="6"/>
  <c r="F4776" i="6" s="1"/>
  <c r="G4757" i="6" s="1"/>
  <c r="F4746" i="6"/>
  <c r="F4751" i="6" s="1"/>
  <c r="G4732" i="6" s="1"/>
  <c r="F4724" i="6"/>
  <c r="F4726" i="6" s="1"/>
  <c r="G4707" i="6" s="1"/>
  <c r="F4650" i="6"/>
  <c r="F4642" i="6"/>
  <c r="F4620" i="6"/>
  <c r="F4626" i="6" s="1"/>
  <c r="G4607" i="6" s="1"/>
  <c r="E5423" i="6"/>
  <c r="D5420" i="6"/>
  <c r="E5419" i="6"/>
  <c r="D5416" i="6"/>
  <c r="E5415" i="6"/>
  <c r="D5412" i="6"/>
  <c r="E5411" i="6"/>
  <c r="D5398" i="6"/>
  <c r="E5397" i="6"/>
  <c r="D5394" i="6"/>
  <c r="E5393" i="6"/>
  <c r="D5390" i="6"/>
  <c r="E5389" i="6"/>
  <c r="D5386" i="6"/>
  <c r="E5385" i="6"/>
  <c r="D5372" i="6"/>
  <c r="E5371" i="6"/>
  <c r="D5368" i="6"/>
  <c r="E5367" i="6"/>
  <c r="D5364" i="6"/>
  <c r="E5363" i="6"/>
  <c r="D5360" i="6"/>
  <c r="E5359" i="6"/>
  <c r="D5346" i="6"/>
  <c r="E5345" i="6"/>
  <c r="D5342" i="6"/>
  <c r="E5341" i="6"/>
  <c r="D5338" i="6"/>
  <c r="E5337" i="6"/>
  <c r="D5334" i="6"/>
  <c r="E5323" i="6"/>
  <c r="D5320" i="6"/>
  <c r="E5319" i="6"/>
  <c r="D5316" i="6"/>
  <c r="E5315" i="6"/>
  <c r="D5312" i="6"/>
  <c r="E5311" i="6"/>
  <c r="D5298" i="6"/>
  <c r="E5297" i="6"/>
  <c r="D5294" i="6"/>
  <c r="E5293" i="6"/>
  <c r="D5290" i="6"/>
  <c r="E5289" i="6"/>
  <c r="D5286" i="6"/>
  <c r="E5285" i="6"/>
  <c r="D5272" i="6"/>
  <c r="E5271" i="6"/>
  <c r="D5268" i="6"/>
  <c r="E5267" i="6"/>
  <c r="D5264" i="6"/>
  <c r="E5263" i="6"/>
  <c r="D5260" i="6"/>
  <c r="E5259" i="6"/>
  <c r="D5246" i="6"/>
  <c r="E5245" i="6"/>
  <c r="D5242" i="6"/>
  <c r="E5241" i="6"/>
  <c r="D5238" i="6"/>
  <c r="E5237" i="6"/>
  <c r="D5234" i="6"/>
  <c r="E5223" i="6"/>
  <c r="D5220" i="6"/>
  <c r="E5219" i="6"/>
  <c r="D5216" i="6"/>
  <c r="E5215" i="6"/>
  <c r="D5212" i="6"/>
  <c r="E5211" i="6"/>
  <c r="D5198" i="6"/>
  <c r="E5197" i="6"/>
  <c r="D5194" i="6"/>
  <c r="E5193" i="6"/>
  <c r="D5190" i="6"/>
  <c r="E5189" i="6"/>
  <c r="D5186" i="6"/>
  <c r="E5185" i="6"/>
  <c r="D5172" i="6"/>
  <c r="E5171" i="6"/>
  <c r="D5168" i="6"/>
  <c r="E5167" i="6"/>
  <c r="D5164" i="6"/>
  <c r="E5163" i="6"/>
  <c r="D5160" i="6"/>
  <c r="E5159" i="6"/>
  <c r="D5146" i="6"/>
  <c r="E5145" i="6"/>
  <c r="D5142" i="6"/>
  <c r="E5141" i="6"/>
  <c r="D5138" i="6"/>
  <c r="E5137" i="6"/>
  <c r="D5134" i="6"/>
  <c r="E5123" i="6"/>
  <c r="D5120" i="6"/>
  <c r="E5119" i="6"/>
  <c r="D5116" i="6"/>
  <c r="E5115" i="6"/>
  <c r="D5112" i="6"/>
  <c r="E5111" i="6"/>
  <c r="D5097" i="6"/>
  <c r="E5096" i="6"/>
  <c r="D5093" i="6"/>
  <c r="E5092" i="6"/>
  <c r="D5089" i="6"/>
  <c r="E5088" i="6"/>
  <c r="D5085" i="6"/>
  <c r="E5084" i="6"/>
  <c r="D5081" i="6"/>
  <c r="E5080" i="6"/>
  <c r="D5077" i="6"/>
  <c r="E5076" i="6"/>
  <c r="D5073" i="6"/>
  <c r="E5072" i="6"/>
  <c r="D5069" i="6"/>
  <c r="E5068" i="6"/>
  <c r="D5065" i="6"/>
  <c r="E5064" i="6"/>
  <c r="D5061" i="6"/>
  <c r="E5050" i="6"/>
  <c r="D5047" i="6"/>
  <c r="E5046" i="6"/>
  <c r="D5043" i="6"/>
  <c r="E5042" i="6"/>
  <c r="D5039" i="6"/>
  <c r="E5038" i="6"/>
  <c r="D5025" i="6"/>
  <c r="E5024" i="6"/>
  <c r="D5021" i="6"/>
  <c r="E5020" i="6"/>
  <c r="D5017" i="6"/>
  <c r="E5016" i="6"/>
  <c r="D5013" i="6"/>
  <c r="E5012" i="6"/>
  <c r="D4999" i="6"/>
  <c r="E4998" i="6"/>
  <c r="D4995" i="6"/>
  <c r="E4994" i="6"/>
  <c r="D4991" i="6"/>
  <c r="E4990" i="6"/>
  <c r="D4987" i="6"/>
  <c r="E4986" i="6"/>
  <c r="D4973" i="6"/>
  <c r="E4972" i="6"/>
  <c r="D4969" i="6"/>
  <c r="E4968" i="6"/>
  <c r="D4965" i="6"/>
  <c r="E4964" i="6"/>
  <c r="D4961" i="6"/>
  <c r="E4950" i="6"/>
  <c r="D4947" i="6"/>
  <c r="E4946" i="6"/>
  <c r="D4943" i="6"/>
  <c r="E4942" i="6"/>
  <c r="D4939" i="6"/>
  <c r="E4938" i="6"/>
  <c r="D4925" i="6"/>
  <c r="E4924" i="6"/>
  <c r="D4921" i="6"/>
  <c r="E4920" i="6"/>
  <c r="D4917" i="6"/>
  <c r="E4916" i="6"/>
  <c r="D4913" i="6"/>
  <c r="E4912" i="6"/>
  <c r="D4899" i="6"/>
  <c r="E4898" i="6"/>
  <c r="D4895" i="6"/>
  <c r="E4894" i="6"/>
  <c r="D4891" i="6"/>
  <c r="E4890" i="6"/>
  <c r="D4887" i="6"/>
  <c r="E4886" i="6"/>
  <c r="D4873" i="6"/>
  <c r="E4872" i="6"/>
  <c r="D4869" i="6"/>
  <c r="E4868" i="6"/>
  <c r="D4865" i="6"/>
  <c r="E4864" i="6"/>
  <c r="D4861" i="6"/>
  <c r="E4850" i="6"/>
  <c r="D4847" i="6"/>
  <c r="E4846" i="6"/>
  <c r="D4843" i="6"/>
  <c r="E4842" i="6"/>
  <c r="D4839" i="6"/>
  <c r="E4838" i="6"/>
  <c r="D4825" i="6"/>
  <c r="E4824" i="6"/>
  <c r="D4821" i="6"/>
  <c r="E4820" i="6"/>
  <c r="D4817" i="6"/>
  <c r="E4816" i="6"/>
  <c r="D4813" i="6"/>
  <c r="E4812" i="6"/>
  <c r="D4799" i="6"/>
  <c r="E4798" i="6"/>
  <c r="D4795" i="6"/>
  <c r="E4794" i="6"/>
  <c r="D4791" i="6"/>
  <c r="E4790" i="6"/>
  <c r="D4787" i="6"/>
  <c r="E4786" i="6"/>
  <c r="D4773" i="6"/>
  <c r="E4772" i="6"/>
  <c r="D4769" i="6"/>
  <c r="E4768" i="6"/>
  <c r="D4765" i="6"/>
  <c r="E4764" i="6"/>
  <c r="D4761" i="6"/>
  <c r="E4750" i="6"/>
  <c r="D4747" i="6"/>
  <c r="E4746" i="6"/>
  <c r="D4743" i="6"/>
  <c r="E4742" i="6"/>
  <c r="D4739" i="6"/>
  <c r="E4738" i="6"/>
  <c r="D4725" i="6"/>
  <c r="E4724" i="6"/>
  <c r="D4721" i="6"/>
  <c r="E4720" i="6"/>
  <c r="D4717" i="6"/>
  <c r="E4716" i="6"/>
  <c r="D4713" i="6"/>
  <c r="E4712" i="6"/>
  <c r="D4699" i="6"/>
  <c r="E4698" i="6"/>
  <c r="D4695" i="6"/>
  <c r="E4694" i="6"/>
  <c r="D4691" i="6"/>
  <c r="E4690" i="6"/>
  <c r="D4687" i="6"/>
  <c r="E4686" i="6"/>
  <c r="D4673" i="6"/>
  <c r="E4672" i="6"/>
  <c r="D4669" i="6"/>
  <c r="E4668" i="6"/>
  <c r="D4665" i="6"/>
  <c r="E4664" i="6"/>
  <c r="D4661" i="6"/>
  <c r="E4650" i="6"/>
  <c r="D4647" i="6"/>
  <c r="E4646" i="6"/>
  <c r="D4643" i="6"/>
  <c r="E4642" i="6"/>
  <c r="D4639" i="6"/>
  <c r="E4638" i="6"/>
  <c r="D4625" i="6"/>
  <c r="E4624" i="6"/>
  <c r="D4621" i="6"/>
  <c r="E4620" i="6"/>
  <c r="D4617" i="6"/>
  <c r="E4616" i="6"/>
  <c r="D4613" i="6"/>
  <c r="E4612" i="6"/>
  <c r="E4598" i="6"/>
  <c r="E4597" i="6"/>
  <c r="D4596" i="6"/>
  <c r="F4594" i="6"/>
  <c r="F4593" i="6"/>
  <c r="F4592" i="6"/>
  <c r="D4586" i="6"/>
  <c r="C4575" i="6"/>
  <c r="C4574" i="6"/>
  <c r="E4572" i="6"/>
  <c r="E4571" i="6"/>
  <c r="D4570" i="6"/>
  <c r="F4568" i="6"/>
  <c r="F4567" i="6"/>
  <c r="F4566" i="6"/>
  <c r="D4546" i="6"/>
  <c r="C4545" i="6"/>
  <c r="C4544" i="6"/>
  <c r="E4542" i="6"/>
  <c r="E4541" i="6"/>
  <c r="D4540" i="6"/>
  <c r="F4538" i="6"/>
  <c r="F4537" i="6"/>
  <c r="F4536" i="6"/>
  <c r="F4524" i="6"/>
  <c r="F4523" i="6"/>
  <c r="F4522" i="6"/>
  <c r="D4516" i="6"/>
  <c r="C4515" i="6"/>
  <c r="C4514" i="6"/>
  <c r="E4512" i="6"/>
  <c r="E4511" i="6"/>
  <c r="D4500" i="6"/>
  <c r="F4498" i="6"/>
  <c r="F4497" i="6"/>
  <c r="F4496" i="6"/>
  <c r="D4490" i="6"/>
  <c r="C4489" i="6"/>
  <c r="C4488" i="6"/>
  <c r="E4486" i="6"/>
  <c r="E4475" i="6"/>
  <c r="D4474" i="6"/>
  <c r="F4472" i="6"/>
  <c r="F4471" i="6"/>
  <c r="F4470" i="6"/>
  <c r="D4464" i="6"/>
  <c r="C4463" i="6"/>
  <c r="C4462" i="6"/>
  <c r="D4450" i="6"/>
  <c r="C4449" i="6"/>
  <c r="C4448" i="6"/>
  <c r="E4446" i="6"/>
  <c r="E4445" i="6"/>
  <c r="D4444" i="6"/>
  <c r="F4442" i="6"/>
  <c r="F4441" i="6"/>
  <c r="F4440" i="6"/>
  <c r="D4420" i="6"/>
  <c r="C4419" i="6"/>
  <c r="C4418" i="6"/>
  <c r="E4416" i="6"/>
  <c r="E4415" i="6"/>
  <c r="D4414" i="6"/>
  <c r="F4412" i="6"/>
  <c r="F4411" i="6"/>
  <c r="F4400" i="6"/>
  <c r="D4394" i="6"/>
  <c r="C4393" i="6"/>
  <c r="C4392" i="6"/>
  <c r="E4390" i="6"/>
  <c r="E4389" i="6"/>
  <c r="D4388" i="6"/>
  <c r="F4386" i="6"/>
  <c r="F4375" i="6"/>
  <c r="F4374" i="6"/>
  <c r="D4368" i="6"/>
  <c r="C4367" i="6"/>
  <c r="C4366" i="6"/>
  <c r="E4364" i="6"/>
  <c r="E4363" i="6"/>
  <c r="D4362" i="6"/>
  <c r="E4350" i="6"/>
  <c r="E4349" i="6"/>
  <c r="D4348" i="6"/>
  <c r="F4346" i="6"/>
  <c r="F4345" i="6"/>
  <c r="F4344" i="6"/>
  <c r="D4338" i="6"/>
  <c r="C4337" i="6"/>
  <c r="C4336" i="6"/>
  <c r="E4336" i="6"/>
  <c r="F4322" i="6"/>
  <c r="F4320" i="6"/>
  <c r="C4314" i="6"/>
  <c r="E4314" i="6"/>
  <c r="E4312" i="6"/>
  <c r="C4312" i="6"/>
  <c r="F4300" i="6"/>
  <c r="F4298" i="6"/>
  <c r="C4292" i="6"/>
  <c r="E4292" i="6"/>
  <c r="E4290" i="6"/>
  <c r="C4290" i="6"/>
  <c r="C4270" i="6"/>
  <c r="E4270" i="6"/>
  <c r="E4268" i="6"/>
  <c r="C4268" i="6"/>
  <c r="F4262" i="6"/>
  <c r="F4260" i="6"/>
  <c r="C4254" i="6"/>
  <c r="E4254" i="6"/>
  <c r="E4252" i="6"/>
  <c r="C4252" i="6"/>
  <c r="F4246" i="6"/>
  <c r="F4244" i="6"/>
  <c r="E4230" i="6"/>
  <c r="C4230" i="6"/>
  <c r="F4224" i="6"/>
  <c r="F4222" i="6"/>
  <c r="C4216" i="6"/>
  <c r="E4216" i="6"/>
  <c r="F4202" i="6"/>
  <c r="F4200" i="6"/>
  <c r="C4194" i="6"/>
  <c r="E4194" i="6"/>
  <c r="E4192" i="6"/>
  <c r="C4192" i="6"/>
  <c r="F4186" i="6"/>
  <c r="F4184" i="6"/>
  <c r="C4178" i="6"/>
  <c r="E4178" i="6"/>
  <c r="E4176" i="6"/>
  <c r="C4176" i="6"/>
  <c r="F4170" i="6"/>
  <c r="F4168" i="6"/>
  <c r="C4162" i="6"/>
  <c r="E4162" i="6"/>
  <c r="E4160" i="6"/>
  <c r="C4160" i="6"/>
  <c r="C4140" i="6"/>
  <c r="E4140" i="6"/>
  <c r="E4138" i="6"/>
  <c r="C4138" i="6"/>
  <c r="F4132" i="6"/>
  <c r="F4130" i="6"/>
  <c r="C4118" i="6"/>
  <c r="E4118" i="6"/>
  <c r="E4116" i="6"/>
  <c r="C4116" i="6"/>
  <c r="F4110" i="6"/>
  <c r="F4108" i="6"/>
  <c r="E4094" i="6"/>
  <c r="C4094" i="6"/>
  <c r="F4088" i="6"/>
  <c r="F4086" i="6"/>
  <c r="C4080" i="6"/>
  <c r="E4080" i="6"/>
  <c r="E4078" i="6"/>
  <c r="C4078" i="6"/>
  <c r="F4072" i="6"/>
  <c r="F4070" i="6"/>
  <c r="C4064" i="6"/>
  <c r="E4064" i="6"/>
  <c r="E4062" i="6"/>
  <c r="C4062" i="6"/>
  <c r="F4056" i="6"/>
  <c r="F4054" i="6"/>
  <c r="C4048" i="6"/>
  <c r="E4048" i="6"/>
  <c r="E4046" i="6"/>
  <c r="C4046" i="6"/>
  <c r="F4040" i="6"/>
  <c r="F4038" i="6"/>
  <c r="C4032" i="6"/>
  <c r="E4032" i="6"/>
  <c r="E4030" i="6"/>
  <c r="C4030" i="6"/>
  <c r="D3974" i="6"/>
  <c r="E3974" i="6"/>
  <c r="C3974" i="6"/>
  <c r="D3966" i="6"/>
  <c r="E3966" i="6"/>
  <c r="C3966" i="6"/>
  <c r="D3958" i="6"/>
  <c r="E3958" i="6"/>
  <c r="C3958" i="6"/>
  <c r="D3950" i="6"/>
  <c r="E3950" i="6"/>
  <c r="C3950" i="6"/>
  <c r="D3942" i="6"/>
  <c r="E3942" i="6"/>
  <c r="C3942" i="6"/>
  <c r="D3934" i="6"/>
  <c r="E3934" i="6"/>
  <c r="C3934" i="6"/>
  <c r="D3926" i="6"/>
  <c r="E3926" i="6"/>
  <c r="C3926" i="6"/>
  <c r="D3904" i="6"/>
  <c r="E3904" i="6"/>
  <c r="C3904" i="6"/>
  <c r="D3896" i="6"/>
  <c r="E3896" i="6"/>
  <c r="C3896" i="6"/>
  <c r="D3882" i="6"/>
  <c r="E3882" i="6"/>
  <c r="C3882" i="6"/>
  <c r="D3874" i="6"/>
  <c r="E3874" i="6"/>
  <c r="C3874" i="6"/>
  <c r="D3866" i="6"/>
  <c r="E3866" i="6"/>
  <c r="C3866" i="6"/>
  <c r="D3858" i="6"/>
  <c r="E3858" i="6"/>
  <c r="C3858" i="6"/>
  <c r="D3850" i="6"/>
  <c r="E3850" i="6"/>
  <c r="C3850" i="6"/>
  <c r="D3842" i="6"/>
  <c r="E3842" i="6"/>
  <c r="C3842" i="6"/>
  <c r="D3834" i="6"/>
  <c r="E3834" i="6"/>
  <c r="C3834" i="6"/>
  <c r="D3826" i="6"/>
  <c r="E3826" i="6"/>
  <c r="C3826" i="6"/>
  <c r="D3818" i="6"/>
  <c r="E3818" i="6"/>
  <c r="C3818" i="6"/>
  <c r="D3810" i="6"/>
  <c r="E3810" i="6"/>
  <c r="C3810" i="6"/>
  <c r="D3802" i="6"/>
  <c r="E3802" i="6"/>
  <c r="C3802" i="6"/>
  <c r="D3794" i="6"/>
  <c r="E3794" i="6"/>
  <c r="C3794" i="6"/>
  <c r="D3786" i="6"/>
  <c r="E3786" i="6"/>
  <c r="C3786" i="6"/>
  <c r="D3778" i="6"/>
  <c r="E3778" i="6"/>
  <c r="C3778" i="6"/>
  <c r="D3770" i="6"/>
  <c r="E3770" i="6"/>
  <c r="C3770" i="6"/>
  <c r="D3762" i="6"/>
  <c r="E3762" i="6"/>
  <c r="C3762" i="6"/>
  <c r="D3754" i="6"/>
  <c r="E3754" i="6"/>
  <c r="C3754" i="6"/>
  <c r="D3746" i="6"/>
  <c r="E3746" i="6"/>
  <c r="C3746" i="6"/>
  <c r="D3738" i="6"/>
  <c r="E3738" i="6"/>
  <c r="C3738" i="6"/>
  <c r="F5398" i="6"/>
  <c r="F5386" i="6"/>
  <c r="F5368" i="6"/>
  <c r="F5342" i="6"/>
  <c r="F5298" i="6"/>
  <c r="F5246" i="6"/>
  <c r="F5242" i="6"/>
  <c r="F5234" i="6"/>
  <c r="F5212" i="6"/>
  <c r="F5224" i="6" s="1"/>
  <c r="G5205" i="6" s="1"/>
  <c r="F5172" i="6"/>
  <c r="F5142" i="6"/>
  <c r="F5093" i="6"/>
  <c r="E5420" i="6"/>
  <c r="E5394" i="6"/>
  <c r="E5372" i="6"/>
  <c r="E5342" i="6"/>
  <c r="E5334" i="6"/>
  <c r="F5319" i="6"/>
  <c r="E5268" i="6"/>
  <c r="E5246" i="6"/>
  <c r="E5242" i="6"/>
  <c r="E5194" i="6"/>
  <c r="E5190" i="6"/>
  <c r="E5172" i="6"/>
  <c r="F5171" i="6"/>
  <c r="E5168" i="6"/>
  <c r="E5120" i="6"/>
  <c r="C5390" i="6"/>
  <c r="C5372" i="6"/>
  <c r="C5364" i="6"/>
  <c r="C5360" i="6"/>
  <c r="C5338" i="6"/>
  <c r="C5334" i="6"/>
  <c r="C5320" i="6"/>
  <c r="C5316" i="6"/>
  <c r="C5272" i="6"/>
  <c r="C5260" i="6"/>
  <c r="C5198" i="6"/>
  <c r="C5160" i="6"/>
  <c r="C5146" i="6"/>
  <c r="C5134" i="6"/>
  <c r="C5043" i="6"/>
  <c r="C5025" i="6"/>
  <c r="D4768" i="6"/>
  <c r="D4764" i="6"/>
  <c r="D4750" i="6"/>
  <c r="D4746" i="6"/>
  <c r="D4742" i="6"/>
  <c r="D4738" i="6"/>
  <c r="D4724" i="6"/>
  <c r="D4720" i="6"/>
  <c r="D4716" i="6"/>
  <c r="D4712" i="6"/>
  <c r="D4698" i="6"/>
  <c r="D4694" i="6"/>
  <c r="D4690" i="6"/>
  <c r="D4686" i="6"/>
  <c r="D4672" i="6"/>
  <c r="D4668" i="6"/>
  <c r="D4664" i="6"/>
  <c r="D4650" i="6"/>
  <c r="D4646" i="6"/>
  <c r="D4642" i="6"/>
  <c r="D4638" i="6"/>
  <c r="D4624" i="6"/>
  <c r="D4620" i="6"/>
  <c r="D4616" i="6"/>
  <c r="D4612" i="6"/>
  <c r="D4598" i="6"/>
  <c r="C4597" i="6"/>
  <c r="C4596" i="6"/>
  <c r="E4594" i="6"/>
  <c r="E4593" i="6"/>
  <c r="D4592" i="6"/>
  <c r="D4572" i="6"/>
  <c r="C4571" i="6"/>
  <c r="C4570" i="6"/>
  <c r="E4568" i="6"/>
  <c r="E4567" i="6"/>
  <c r="D4566" i="6"/>
  <c r="D4542" i="6"/>
  <c r="C4541" i="6"/>
  <c r="C4540" i="6"/>
  <c r="E4538" i="6"/>
  <c r="E4537" i="6"/>
  <c r="D4536" i="6"/>
  <c r="E4524" i="6"/>
  <c r="E4523" i="6"/>
  <c r="D4522" i="6"/>
  <c r="D4512" i="6"/>
  <c r="C4511" i="6"/>
  <c r="C4500" i="6"/>
  <c r="E4498" i="6"/>
  <c r="E4497" i="6"/>
  <c r="D4496" i="6"/>
  <c r="D4486" i="6"/>
  <c r="C4475" i="6"/>
  <c r="C4474" i="6"/>
  <c r="E4472" i="6"/>
  <c r="E4471" i="6"/>
  <c r="D4470" i="6"/>
  <c r="D4446" i="6"/>
  <c r="C4445" i="6"/>
  <c r="C4444" i="6"/>
  <c r="E4442" i="6"/>
  <c r="E4441" i="6"/>
  <c r="D4440" i="6"/>
  <c r="D4416" i="6"/>
  <c r="C4415" i="6"/>
  <c r="C4414" i="6"/>
  <c r="E4412" i="6"/>
  <c r="E4411" i="6"/>
  <c r="D4400" i="6"/>
  <c r="D4390" i="6"/>
  <c r="C4389" i="6"/>
  <c r="C4388" i="6"/>
  <c r="E4386" i="6"/>
  <c r="E4375" i="6"/>
  <c r="D4374" i="6"/>
  <c r="D4364" i="6"/>
  <c r="C4363" i="6"/>
  <c r="C4362" i="6"/>
  <c r="D4350" i="6"/>
  <c r="C4349" i="6"/>
  <c r="C4348" i="6"/>
  <c r="E4346" i="6"/>
  <c r="E4345" i="6"/>
  <c r="D4344" i="6"/>
  <c r="F4324" i="6"/>
  <c r="C4318" i="6"/>
  <c r="E4318" i="6"/>
  <c r="E4316" i="6"/>
  <c r="C4316" i="6"/>
  <c r="C4296" i="6"/>
  <c r="E4296" i="6"/>
  <c r="E4294" i="6"/>
  <c r="C4294" i="6"/>
  <c r="F4288" i="6"/>
  <c r="F4286" i="6"/>
  <c r="C4274" i="6"/>
  <c r="E4274" i="6"/>
  <c r="E4272" i="6"/>
  <c r="C4272" i="6"/>
  <c r="F4266" i="6"/>
  <c r="F4264" i="6"/>
  <c r="C4258" i="6"/>
  <c r="E4258" i="6"/>
  <c r="E4256" i="6"/>
  <c r="C4256" i="6"/>
  <c r="F4250" i="6"/>
  <c r="F4248" i="6"/>
  <c r="C4242" i="6"/>
  <c r="E4242" i="6"/>
  <c r="F4228" i="6"/>
  <c r="F4226" i="6"/>
  <c r="C4220" i="6"/>
  <c r="E4220" i="6"/>
  <c r="E4218" i="6"/>
  <c r="C4218" i="6"/>
  <c r="F4204" i="6"/>
  <c r="C4198" i="6"/>
  <c r="E4198" i="6"/>
  <c r="E4196" i="6"/>
  <c r="C4196" i="6"/>
  <c r="F4190" i="6"/>
  <c r="F4188" i="6"/>
  <c r="C4182" i="6"/>
  <c r="E4182" i="6"/>
  <c r="E4180" i="6"/>
  <c r="C4180" i="6"/>
  <c r="F4174" i="6"/>
  <c r="F4172" i="6"/>
  <c r="C4166" i="6"/>
  <c r="E4166" i="6"/>
  <c r="E4164" i="6"/>
  <c r="C4164" i="6"/>
  <c r="F4158" i="6"/>
  <c r="F4156" i="6"/>
  <c r="C4144" i="6"/>
  <c r="E4144" i="6"/>
  <c r="E4142" i="6"/>
  <c r="C4142" i="6"/>
  <c r="F4136" i="6"/>
  <c r="F4134" i="6"/>
  <c r="F4114" i="6"/>
  <c r="F4112" i="6"/>
  <c r="C4106" i="6"/>
  <c r="E4106" i="6"/>
  <c r="F4092" i="6"/>
  <c r="F4090" i="6"/>
  <c r="C4084" i="6"/>
  <c r="E4084" i="6"/>
  <c r="E4082" i="6"/>
  <c r="C4082" i="6"/>
  <c r="F4076" i="6"/>
  <c r="F4074" i="6"/>
  <c r="C4068" i="6"/>
  <c r="E4068" i="6"/>
  <c r="E4066" i="6"/>
  <c r="C4066" i="6"/>
  <c r="F4060" i="6"/>
  <c r="F4058" i="6"/>
  <c r="C4052" i="6"/>
  <c r="E4052" i="6"/>
  <c r="E4050" i="6"/>
  <c r="C4050" i="6"/>
  <c r="F4044" i="6"/>
  <c r="F4042" i="6"/>
  <c r="C4036" i="6"/>
  <c r="E4036" i="6"/>
  <c r="E4034" i="6"/>
  <c r="C4034" i="6"/>
  <c r="F4028" i="6"/>
  <c r="F4026" i="6"/>
  <c r="D4022" i="6"/>
  <c r="E4022" i="6"/>
  <c r="C4022" i="6"/>
  <c r="D4014" i="6"/>
  <c r="E4014" i="6"/>
  <c r="C4014" i="6"/>
  <c r="D4000" i="6"/>
  <c r="E4000" i="6"/>
  <c r="C4000" i="6"/>
  <c r="D3992" i="6"/>
  <c r="E3992" i="6"/>
  <c r="C3992" i="6"/>
  <c r="D3724" i="6"/>
  <c r="E3724" i="6"/>
  <c r="C3724" i="6"/>
  <c r="D3716" i="6"/>
  <c r="E3716" i="6"/>
  <c r="C3716" i="6"/>
  <c r="D3708" i="6"/>
  <c r="E3708" i="6"/>
  <c r="C3708" i="6"/>
  <c r="D3700" i="6"/>
  <c r="E3700" i="6"/>
  <c r="C3700" i="6"/>
  <c r="D3692" i="6"/>
  <c r="E3692" i="6"/>
  <c r="C3692" i="6"/>
  <c r="D3684" i="6"/>
  <c r="E3684" i="6"/>
  <c r="C3684" i="6"/>
  <c r="D3676" i="6"/>
  <c r="E3676" i="6"/>
  <c r="C3676" i="6"/>
  <c r="D3668" i="6"/>
  <c r="E3668" i="6"/>
  <c r="C3668" i="6"/>
  <c r="D3660" i="6"/>
  <c r="E3660" i="6"/>
  <c r="C3660" i="6"/>
  <c r="D3652" i="6"/>
  <c r="E3652" i="6"/>
  <c r="C3652" i="6"/>
  <c r="D4594" i="6"/>
  <c r="C4593" i="6"/>
  <c r="C4592" i="6"/>
  <c r="D4568" i="6"/>
  <c r="C4567" i="6"/>
  <c r="C4566" i="6"/>
  <c r="D4538" i="6"/>
  <c r="C4537" i="6"/>
  <c r="C4536" i="6"/>
  <c r="D4524" i="6"/>
  <c r="C4523" i="6"/>
  <c r="C4522" i="6"/>
  <c r="D4498" i="6"/>
  <c r="C4497" i="6"/>
  <c r="C4496" i="6"/>
  <c r="D4472" i="6"/>
  <c r="C4471" i="6"/>
  <c r="C4470" i="6"/>
  <c r="D4442" i="6"/>
  <c r="C4441" i="6"/>
  <c r="C4440" i="6"/>
  <c r="D4412" i="6"/>
  <c r="C4411" i="6"/>
  <c r="C4400" i="6"/>
  <c r="D4386" i="6"/>
  <c r="C4375" i="6"/>
  <c r="C4374" i="6"/>
  <c r="D4346" i="6"/>
  <c r="C4345" i="6"/>
  <c r="C4344" i="6"/>
  <c r="D4324" i="6"/>
  <c r="C4322" i="6"/>
  <c r="E4322" i="6"/>
  <c r="E4320" i="6"/>
  <c r="C4320" i="6"/>
  <c r="C4300" i="6"/>
  <c r="E4300" i="6"/>
  <c r="E4298" i="6"/>
  <c r="C4298" i="6"/>
  <c r="D4288" i="6"/>
  <c r="C4262" i="6"/>
  <c r="E4262" i="6"/>
  <c r="E4260" i="6"/>
  <c r="C4260" i="6"/>
  <c r="C4246" i="6"/>
  <c r="E4246" i="6"/>
  <c r="E4244" i="6"/>
  <c r="C4244" i="6"/>
  <c r="C4224" i="6"/>
  <c r="E4224" i="6"/>
  <c r="E4222" i="6"/>
  <c r="C4222" i="6"/>
  <c r="C4202" i="6"/>
  <c r="E4202" i="6"/>
  <c r="E4200" i="6"/>
  <c r="C4200" i="6"/>
  <c r="C4186" i="6"/>
  <c r="E4186" i="6"/>
  <c r="E4184" i="6"/>
  <c r="C4184" i="6"/>
  <c r="C4170" i="6"/>
  <c r="E4170" i="6"/>
  <c r="E4168" i="6"/>
  <c r="C4168" i="6"/>
  <c r="C4132" i="6"/>
  <c r="E4132" i="6"/>
  <c r="E4130" i="6"/>
  <c r="C4130" i="6"/>
  <c r="C4110" i="6"/>
  <c r="E4110" i="6"/>
  <c r="E4108" i="6"/>
  <c r="C4108" i="6"/>
  <c r="C4088" i="6"/>
  <c r="E4088" i="6"/>
  <c r="E4086" i="6"/>
  <c r="C4086" i="6"/>
  <c r="C4072" i="6"/>
  <c r="E4072" i="6"/>
  <c r="E4070" i="6"/>
  <c r="C4070" i="6"/>
  <c r="C4056" i="6"/>
  <c r="E4056" i="6"/>
  <c r="E4054" i="6"/>
  <c r="C4054" i="6"/>
  <c r="C4040" i="6"/>
  <c r="E4040" i="6"/>
  <c r="E4038" i="6"/>
  <c r="C4038" i="6"/>
  <c r="F4003" i="6"/>
  <c r="G3984" i="6" s="1"/>
  <c r="D3970" i="6"/>
  <c r="E3970" i="6"/>
  <c r="C3970" i="6"/>
  <c r="D3962" i="6"/>
  <c r="E3962" i="6"/>
  <c r="C3962" i="6"/>
  <c r="D3954" i="6"/>
  <c r="E3954" i="6"/>
  <c r="C3954" i="6"/>
  <c r="D3946" i="6"/>
  <c r="E3946" i="6"/>
  <c r="C3946" i="6"/>
  <c r="D3938" i="6"/>
  <c r="E3938" i="6"/>
  <c r="C3938" i="6"/>
  <c r="D3930" i="6"/>
  <c r="E3930" i="6"/>
  <c r="C3930" i="6"/>
  <c r="D3922" i="6"/>
  <c r="E3922" i="6"/>
  <c r="C3922" i="6"/>
  <c r="D3908" i="6"/>
  <c r="E3908" i="6"/>
  <c r="C3908" i="6"/>
  <c r="D3900" i="6"/>
  <c r="E3900" i="6"/>
  <c r="C3900" i="6"/>
  <c r="D3878" i="6"/>
  <c r="E3878" i="6"/>
  <c r="C3878" i="6"/>
  <c r="D3870" i="6"/>
  <c r="E3870" i="6"/>
  <c r="C3870" i="6"/>
  <c r="D3862" i="6"/>
  <c r="E3862" i="6"/>
  <c r="C3862" i="6"/>
  <c r="D3854" i="6"/>
  <c r="E3854" i="6"/>
  <c r="C3854" i="6"/>
  <c r="D3846" i="6"/>
  <c r="E3846" i="6"/>
  <c r="C3846" i="6"/>
  <c r="D3838" i="6"/>
  <c r="E3838" i="6"/>
  <c r="C3838" i="6"/>
  <c r="D3830" i="6"/>
  <c r="E3830" i="6"/>
  <c r="C3830" i="6"/>
  <c r="D3822" i="6"/>
  <c r="E3822" i="6"/>
  <c r="C3822" i="6"/>
  <c r="D3814" i="6"/>
  <c r="E3814" i="6"/>
  <c r="C3814" i="6"/>
  <c r="D3806" i="6"/>
  <c r="E3806" i="6"/>
  <c r="C3806" i="6"/>
  <c r="D3798" i="6"/>
  <c r="E3798" i="6"/>
  <c r="C3798" i="6"/>
  <c r="D3790" i="6"/>
  <c r="E3790" i="6"/>
  <c r="C3790" i="6"/>
  <c r="D3782" i="6"/>
  <c r="E3782" i="6"/>
  <c r="C3782" i="6"/>
  <c r="D3774" i="6"/>
  <c r="E3774" i="6"/>
  <c r="C3774" i="6"/>
  <c r="D3766" i="6"/>
  <c r="E3766" i="6"/>
  <c r="C3766" i="6"/>
  <c r="D3758" i="6"/>
  <c r="E3758" i="6"/>
  <c r="C3758" i="6"/>
  <c r="D3750" i="6"/>
  <c r="E3750" i="6"/>
  <c r="C3750" i="6"/>
  <c r="D3742" i="6"/>
  <c r="E3742" i="6"/>
  <c r="C3742" i="6"/>
  <c r="F3885" i="6"/>
  <c r="G3731" i="6" s="1"/>
  <c r="F3720" i="6"/>
  <c r="F3712" i="6"/>
  <c r="F3704" i="6"/>
  <c r="F3696" i="6"/>
  <c r="F3688" i="6"/>
  <c r="F3680" i="6"/>
  <c r="F3672" i="6"/>
  <c r="F3664" i="6"/>
  <c r="F3656" i="6"/>
  <c r="E4024" i="6"/>
  <c r="E4020" i="6"/>
  <c r="E4016" i="6"/>
  <c r="E4002" i="6"/>
  <c r="E3998" i="6"/>
  <c r="E3994" i="6"/>
  <c r="E3990" i="6"/>
  <c r="E3976" i="6"/>
  <c r="E3972" i="6"/>
  <c r="E3968" i="6"/>
  <c r="E3964" i="6"/>
  <c r="E3960" i="6"/>
  <c r="E3956" i="6"/>
  <c r="E3952" i="6"/>
  <c r="E3948" i="6"/>
  <c r="E3944" i="6"/>
  <c r="E3940" i="6"/>
  <c r="E3936" i="6"/>
  <c r="E3932" i="6"/>
  <c r="E3928" i="6"/>
  <c r="E3924" i="6"/>
  <c r="E3920" i="6"/>
  <c r="E3906" i="6"/>
  <c r="E3902" i="6"/>
  <c r="E3898" i="6"/>
  <c r="E3884" i="6"/>
  <c r="E3880" i="6"/>
  <c r="E3876" i="6"/>
  <c r="E3872" i="6"/>
  <c r="E3868" i="6"/>
  <c r="E3864" i="6"/>
  <c r="E3860" i="6"/>
  <c r="E3856" i="6"/>
  <c r="E3852" i="6"/>
  <c r="E3848" i="6"/>
  <c r="E3844" i="6"/>
  <c r="E3840" i="6"/>
  <c r="E3836" i="6"/>
  <c r="E3832" i="6"/>
  <c r="E3828" i="6"/>
  <c r="E3824" i="6"/>
  <c r="E3820" i="6"/>
  <c r="E3816" i="6"/>
  <c r="E3812" i="6"/>
  <c r="E3808" i="6"/>
  <c r="E3804" i="6"/>
  <c r="E3800" i="6"/>
  <c r="E3796" i="6"/>
  <c r="E3792" i="6"/>
  <c r="E3788" i="6"/>
  <c r="E3784" i="6"/>
  <c r="E3780" i="6"/>
  <c r="E3776" i="6"/>
  <c r="E3772" i="6"/>
  <c r="E3768" i="6"/>
  <c r="E3764" i="6"/>
  <c r="E3760" i="6"/>
  <c r="E3756" i="6"/>
  <c r="E3752" i="6"/>
  <c r="E3748" i="6"/>
  <c r="E3744" i="6"/>
  <c r="E3740" i="6"/>
  <c r="E3736" i="6"/>
  <c r="E3722" i="6"/>
  <c r="E3718" i="6"/>
  <c r="E3714" i="6"/>
  <c r="E3710" i="6"/>
  <c r="E3706" i="6"/>
  <c r="E3702" i="6"/>
  <c r="E3698" i="6"/>
  <c r="E3694" i="6"/>
  <c r="E3690" i="6"/>
  <c r="E3686" i="6"/>
  <c r="E3682" i="6"/>
  <c r="E3678" i="6"/>
  <c r="E3674" i="6"/>
  <c r="E3670" i="6"/>
  <c r="E3666" i="6"/>
  <c r="E3662" i="6"/>
  <c r="E3658" i="6"/>
  <c r="E3654" i="6"/>
  <c r="E3650" i="6"/>
  <c r="C3648" i="6"/>
  <c r="E3646" i="6"/>
  <c r="C3644" i="6"/>
  <c r="E3642" i="6"/>
  <c r="C3640" i="6"/>
  <c r="E3638" i="6"/>
  <c r="C3636" i="6"/>
  <c r="E3634" i="6"/>
  <c r="C3632" i="6"/>
  <c r="E3630" i="6"/>
  <c r="C3628" i="6"/>
  <c r="E3626" i="6"/>
  <c r="C3624" i="6"/>
  <c r="E3622" i="6"/>
  <c r="C3620" i="6"/>
  <c r="E3618" i="6"/>
  <c r="C3616" i="6"/>
  <c r="E3614" i="6"/>
  <c r="C3612" i="6"/>
  <c r="E3610" i="6"/>
  <c r="C3608" i="6"/>
  <c r="E3606" i="6"/>
  <c r="C3604" i="6"/>
  <c r="E3602" i="6"/>
  <c r="C3600" i="6"/>
  <c r="E3598" i="6"/>
  <c r="C3596" i="6"/>
  <c r="E3594" i="6"/>
  <c r="C3592" i="6"/>
  <c r="E3590" i="6"/>
  <c r="C3588" i="6"/>
  <c r="E3586" i="6"/>
  <c r="C3584" i="6"/>
  <c r="E3582" i="6"/>
  <c r="C3580" i="6"/>
  <c r="E3578" i="6"/>
  <c r="C3576" i="6"/>
  <c r="E3574" i="6"/>
  <c r="C3572" i="6"/>
  <c r="E3570" i="6"/>
  <c r="C3568" i="6"/>
  <c r="E3566" i="6"/>
  <c r="C3564" i="6"/>
  <c r="E3562" i="6"/>
  <c r="C3560" i="6"/>
  <c r="E3558" i="6"/>
  <c r="C3556" i="6"/>
  <c r="E3554" i="6"/>
  <c r="C3552" i="6"/>
  <c r="E3550" i="6"/>
  <c r="C3548" i="6"/>
  <c r="E3546" i="6"/>
  <c r="C3544" i="6"/>
  <c r="E3542" i="6"/>
  <c r="C3540" i="6"/>
  <c r="E3538" i="6"/>
  <c r="C3536" i="6"/>
  <c r="E3534" i="6"/>
  <c r="C3532" i="6"/>
  <c r="E3530" i="6"/>
  <c r="C3528" i="6"/>
  <c r="E3526" i="6"/>
  <c r="C3524" i="6"/>
  <c r="E3522" i="6"/>
  <c r="C3520" i="6"/>
  <c r="E3518" i="6"/>
  <c r="C3516" i="6"/>
  <c r="E3514" i="6"/>
  <c r="C3512" i="6"/>
  <c r="E3510" i="6"/>
  <c r="C3508" i="6"/>
  <c r="E3506" i="6"/>
  <c r="C3504" i="6"/>
  <c r="E3502" i="6"/>
  <c r="C3500" i="6"/>
  <c r="E3498" i="6"/>
  <c r="C3496" i="6"/>
  <c r="E3494" i="6"/>
  <c r="C3492" i="6"/>
  <c r="E3490" i="6"/>
  <c r="C3488" i="6"/>
  <c r="E3486" i="6"/>
  <c r="C3484" i="6"/>
  <c r="E3482" i="6"/>
  <c r="C3480" i="6"/>
  <c r="E3478" i="6"/>
  <c r="C3466" i="6"/>
  <c r="E3464" i="6"/>
  <c r="C3462" i="6"/>
  <c r="E3460" i="6"/>
  <c r="C3458" i="6"/>
  <c r="E3456" i="6"/>
  <c r="C3454" i="6"/>
  <c r="E3452" i="6"/>
  <c r="C3450" i="6"/>
  <c r="E3448" i="6"/>
  <c r="C3446" i="6"/>
  <c r="E3444" i="6"/>
  <c r="C3442" i="6"/>
  <c r="E3440" i="6"/>
  <c r="C3438" i="6"/>
  <c r="E3436" i="6"/>
  <c r="C3434" i="6"/>
  <c r="E3432" i="6"/>
  <c r="C3430" i="6"/>
  <c r="E3428" i="6"/>
  <c r="C3426" i="6"/>
  <c r="E3424" i="6"/>
  <c r="C3422" i="6"/>
  <c r="E3420" i="6"/>
  <c r="C3418" i="6"/>
  <c r="E3416" i="6"/>
  <c r="C3414" i="6"/>
  <c r="E3412" i="6"/>
  <c r="C3410" i="6"/>
  <c r="E3408" i="6"/>
  <c r="C3406" i="6"/>
  <c r="E3404" i="6"/>
  <c r="C3402" i="6"/>
  <c r="E3400" i="6"/>
  <c r="C3398" i="6"/>
  <c r="E3396" i="6"/>
  <c r="C3394" i="6"/>
  <c r="E3392" i="6"/>
  <c r="C3390" i="6"/>
  <c r="E3388" i="6"/>
  <c r="C3386" i="6"/>
  <c r="E3384" i="6"/>
  <c r="C3382" i="6"/>
  <c r="E3380" i="6"/>
  <c r="C3378" i="6"/>
  <c r="E3366" i="6"/>
  <c r="C3364" i="6"/>
  <c r="E3362" i="6"/>
  <c r="C3360" i="6"/>
  <c r="E3358" i="6"/>
  <c r="C3356" i="6"/>
  <c r="E3354" i="6"/>
  <c r="C3342" i="6"/>
  <c r="E3340" i="6"/>
  <c r="C3338" i="6"/>
  <c r="E3336" i="6"/>
  <c r="C3334" i="6"/>
  <c r="E3332" i="6"/>
  <c r="C3330" i="6"/>
  <c r="E3328" i="6"/>
  <c r="C3326" i="6"/>
  <c r="E3324" i="6"/>
  <c r="C3322" i="6"/>
  <c r="E3320" i="6"/>
  <c r="C3318" i="6"/>
  <c r="E3316" i="6"/>
  <c r="F3315" i="6"/>
  <c r="F3314" i="6"/>
  <c r="F3313" i="6"/>
  <c r="D3293" i="6"/>
  <c r="C3292" i="6"/>
  <c r="C3291" i="6"/>
  <c r="F3285" i="6"/>
  <c r="F3284" i="6"/>
  <c r="F3283" i="6"/>
  <c r="D3277" i="6"/>
  <c r="C3276" i="6"/>
  <c r="C3275" i="6"/>
  <c r="F3269" i="6"/>
  <c r="F3268" i="6"/>
  <c r="F3267" i="6"/>
  <c r="D3251" i="6"/>
  <c r="C3250" i="6"/>
  <c r="C3249" i="6"/>
  <c r="F3243" i="6"/>
  <c r="F3242" i="6"/>
  <c r="F3241" i="6"/>
  <c r="D3225" i="6"/>
  <c r="C3224" i="6"/>
  <c r="C3223" i="6"/>
  <c r="F3217" i="6"/>
  <c r="F3216" i="6"/>
  <c r="F3215" i="6"/>
  <c r="F3203" i="6"/>
  <c r="F3202" i="6"/>
  <c r="F3201" i="6"/>
  <c r="D3195" i="6"/>
  <c r="C3194" i="6"/>
  <c r="C3193" i="6"/>
  <c r="F3173" i="6"/>
  <c r="F3172" i="6"/>
  <c r="F3171" i="6"/>
  <c r="D3165" i="6"/>
  <c r="C3164" i="6"/>
  <c r="C3153" i="6"/>
  <c r="F3147" i="6"/>
  <c r="F3146" i="6"/>
  <c r="F3145" i="6"/>
  <c r="D3139" i="6"/>
  <c r="C3128" i="6"/>
  <c r="C3127" i="6"/>
  <c r="F3121" i="6"/>
  <c r="F3120" i="6"/>
  <c r="E3115" i="6"/>
  <c r="F3115" i="6"/>
  <c r="E3093" i="6"/>
  <c r="C3093" i="6"/>
  <c r="C3091" i="6"/>
  <c r="E3091" i="6"/>
  <c r="D3076" i="6"/>
  <c r="E3076" i="6"/>
  <c r="E3063" i="6"/>
  <c r="C3063" i="6"/>
  <c r="C3061" i="6"/>
  <c r="E3061" i="6"/>
  <c r="D3034" i="6"/>
  <c r="E3034" i="6"/>
  <c r="F3034" i="6"/>
  <c r="C3023" i="6"/>
  <c r="D3023" i="6"/>
  <c r="E3023" i="6"/>
  <c r="E3011" i="6"/>
  <c r="C3011" i="6"/>
  <c r="D3011" i="6"/>
  <c r="C2979" i="6"/>
  <c r="E2979" i="6"/>
  <c r="F2979" i="6"/>
  <c r="E2977" i="6"/>
  <c r="D2977" i="6"/>
  <c r="F2977" i="6"/>
  <c r="D2948" i="6"/>
  <c r="E2948" i="6"/>
  <c r="F2948" i="6"/>
  <c r="D2922" i="6"/>
  <c r="E2922" i="6"/>
  <c r="F2922" i="6"/>
  <c r="D2900" i="6"/>
  <c r="C2900" i="6"/>
  <c r="E2900" i="6"/>
  <c r="D2882" i="6"/>
  <c r="E2882" i="6"/>
  <c r="F2882" i="6"/>
  <c r="C2871" i="6"/>
  <c r="D2871" i="6"/>
  <c r="E2871" i="6"/>
  <c r="E2869" i="6"/>
  <c r="C2869" i="6"/>
  <c r="D2869" i="6"/>
  <c r="D2840" i="6"/>
  <c r="C2840" i="6"/>
  <c r="E2840" i="6"/>
  <c r="D2820" i="6"/>
  <c r="E2820" i="6"/>
  <c r="F2820" i="6"/>
  <c r="D2798" i="6"/>
  <c r="C2798" i="6"/>
  <c r="E2798" i="6"/>
  <c r="D2778" i="6"/>
  <c r="E2778" i="6"/>
  <c r="F2778" i="6"/>
  <c r="C2767" i="6"/>
  <c r="D2767" i="6"/>
  <c r="E2767" i="6"/>
  <c r="E2755" i="6"/>
  <c r="C2755" i="6"/>
  <c r="D2755" i="6"/>
  <c r="D3116" i="6"/>
  <c r="F3116" i="6"/>
  <c r="E3101" i="6"/>
  <c r="F3101" i="6"/>
  <c r="D3094" i="6"/>
  <c r="C3094" i="6"/>
  <c r="C3077" i="6"/>
  <c r="E3077" i="6"/>
  <c r="E3071" i="6"/>
  <c r="F3071" i="6"/>
  <c r="D3064" i="6"/>
  <c r="C3064" i="6"/>
  <c r="D3038" i="6"/>
  <c r="C3038" i="6"/>
  <c r="E3038" i="6"/>
  <c r="D3008" i="6"/>
  <c r="E3008" i="6"/>
  <c r="F3008" i="6"/>
  <c r="C2983" i="6"/>
  <c r="D2983" i="6"/>
  <c r="E2983" i="6"/>
  <c r="E2981" i="6"/>
  <c r="C2981" i="6"/>
  <c r="D2981" i="6"/>
  <c r="D2952" i="6"/>
  <c r="C2952" i="6"/>
  <c r="E2952" i="6"/>
  <c r="E2937" i="6"/>
  <c r="D2937" i="6"/>
  <c r="F2937" i="6"/>
  <c r="D2926" i="6"/>
  <c r="C2926" i="6"/>
  <c r="E2926" i="6"/>
  <c r="C2897" i="6"/>
  <c r="E2897" i="6"/>
  <c r="F2897" i="6"/>
  <c r="E2895" i="6"/>
  <c r="D2895" i="6"/>
  <c r="F2895" i="6"/>
  <c r="D2866" i="6"/>
  <c r="E2866" i="6"/>
  <c r="F2866" i="6"/>
  <c r="C2837" i="6"/>
  <c r="E2837" i="6"/>
  <c r="F2837" i="6"/>
  <c r="E2835" i="6"/>
  <c r="D2835" i="6"/>
  <c r="F2835" i="6"/>
  <c r="D2824" i="6"/>
  <c r="C2824" i="6"/>
  <c r="E2824" i="6"/>
  <c r="C2795" i="6"/>
  <c r="E2795" i="6"/>
  <c r="F2795" i="6"/>
  <c r="E2793" i="6"/>
  <c r="D2793" i="6"/>
  <c r="F2793" i="6"/>
  <c r="D2782" i="6"/>
  <c r="C2782" i="6"/>
  <c r="E2782" i="6"/>
  <c r="D2752" i="6"/>
  <c r="E2752" i="6"/>
  <c r="F2752" i="6"/>
  <c r="E2733" i="6"/>
  <c r="C2733" i="6"/>
  <c r="D2733" i="6"/>
  <c r="F2733" i="6"/>
  <c r="E3648" i="6"/>
  <c r="E3644" i="6"/>
  <c r="E3640" i="6"/>
  <c r="E3636" i="6"/>
  <c r="E3632" i="6"/>
  <c r="E3628" i="6"/>
  <c r="E3624" i="6"/>
  <c r="E3620" i="6"/>
  <c r="E3616" i="6"/>
  <c r="E3612" i="6"/>
  <c r="E3608" i="6"/>
  <c r="E3604" i="6"/>
  <c r="E3600" i="6"/>
  <c r="E3596" i="6"/>
  <c r="E3592" i="6"/>
  <c r="E3588" i="6"/>
  <c r="E3584" i="6"/>
  <c r="E3580" i="6"/>
  <c r="E3576" i="6"/>
  <c r="E3572" i="6"/>
  <c r="E3568" i="6"/>
  <c r="E3564" i="6"/>
  <c r="E3560" i="6"/>
  <c r="E3556" i="6"/>
  <c r="E3552" i="6"/>
  <c r="E3548" i="6"/>
  <c r="E3544" i="6"/>
  <c r="E3540" i="6"/>
  <c r="E3536" i="6"/>
  <c r="E3532" i="6"/>
  <c r="E3528" i="6"/>
  <c r="E3524" i="6"/>
  <c r="E3520" i="6"/>
  <c r="E3516" i="6"/>
  <c r="E3512" i="6"/>
  <c r="E3508" i="6"/>
  <c r="E3504" i="6"/>
  <c r="E3500" i="6"/>
  <c r="E3496" i="6"/>
  <c r="E3492" i="6"/>
  <c r="E3488" i="6"/>
  <c r="E3484" i="6"/>
  <c r="E3480" i="6"/>
  <c r="E3466" i="6"/>
  <c r="E3462" i="6"/>
  <c r="E3458" i="6"/>
  <c r="E3454" i="6"/>
  <c r="E3450" i="6"/>
  <c r="E3446" i="6"/>
  <c r="E3442" i="6"/>
  <c r="E3438" i="6"/>
  <c r="E3434" i="6"/>
  <c r="E3430" i="6"/>
  <c r="E3426" i="6"/>
  <c r="E3422" i="6"/>
  <c r="E3418" i="6"/>
  <c r="E3414" i="6"/>
  <c r="E3410" i="6"/>
  <c r="E3406" i="6"/>
  <c r="E3402" i="6"/>
  <c r="E3398" i="6"/>
  <c r="E3394" i="6"/>
  <c r="E3390" i="6"/>
  <c r="E3386" i="6"/>
  <c r="E3382" i="6"/>
  <c r="E3378" i="6"/>
  <c r="E3364" i="6"/>
  <c r="E3360" i="6"/>
  <c r="E3356" i="6"/>
  <c r="E3342" i="6"/>
  <c r="E3338" i="6"/>
  <c r="E3334" i="6"/>
  <c r="E3330" i="6"/>
  <c r="E3326" i="6"/>
  <c r="E3322" i="6"/>
  <c r="E3318" i="6"/>
  <c r="D3315" i="6"/>
  <c r="C3314" i="6"/>
  <c r="C3313" i="6"/>
  <c r="E3311" i="6"/>
  <c r="E3310" i="6"/>
  <c r="D3309" i="6"/>
  <c r="E3297" i="6"/>
  <c r="E3296" i="6"/>
  <c r="D3295" i="6"/>
  <c r="F3293" i="6"/>
  <c r="F3292" i="6"/>
  <c r="F3291" i="6"/>
  <c r="D3285" i="6"/>
  <c r="C3284" i="6"/>
  <c r="C3283" i="6"/>
  <c r="E3281" i="6"/>
  <c r="E3280" i="6"/>
  <c r="D3279" i="6"/>
  <c r="F3277" i="6"/>
  <c r="F3276" i="6"/>
  <c r="F3275" i="6"/>
  <c r="D3269" i="6"/>
  <c r="C3268" i="6"/>
  <c r="C3267" i="6"/>
  <c r="E3265" i="6"/>
  <c r="E3264" i="6"/>
  <c r="D3253" i="6"/>
  <c r="F3251" i="6"/>
  <c r="F3250" i="6"/>
  <c r="F3249" i="6"/>
  <c r="D3243" i="6"/>
  <c r="C3242" i="6"/>
  <c r="C3241" i="6"/>
  <c r="E3239" i="6"/>
  <c r="E3228" i="6"/>
  <c r="D3227" i="6"/>
  <c r="F3225" i="6"/>
  <c r="F3224" i="6"/>
  <c r="F3223" i="6"/>
  <c r="D3217" i="6"/>
  <c r="C3216" i="6"/>
  <c r="C3215" i="6"/>
  <c r="D3203" i="6"/>
  <c r="C3202" i="6"/>
  <c r="C3201" i="6"/>
  <c r="E3199" i="6"/>
  <c r="E3198" i="6"/>
  <c r="D3197" i="6"/>
  <c r="F3195" i="6"/>
  <c r="F3194" i="6"/>
  <c r="F3193" i="6"/>
  <c r="D3173" i="6"/>
  <c r="C3172" i="6"/>
  <c r="C3171" i="6"/>
  <c r="E3169" i="6"/>
  <c r="E3168" i="6"/>
  <c r="D3167" i="6"/>
  <c r="F3165" i="6"/>
  <c r="F3164" i="6"/>
  <c r="F3153" i="6"/>
  <c r="D3147" i="6"/>
  <c r="C3146" i="6"/>
  <c r="C3145" i="6"/>
  <c r="E3143" i="6"/>
  <c r="E3142" i="6"/>
  <c r="D3141" i="6"/>
  <c r="F3139" i="6"/>
  <c r="F3128" i="6"/>
  <c r="F3127" i="6"/>
  <c r="D3121" i="6"/>
  <c r="C3120" i="6"/>
  <c r="E3119" i="6"/>
  <c r="D3119" i="6"/>
  <c r="C3117" i="6"/>
  <c r="F3117" i="6"/>
  <c r="D3115" i="6"/>
  <c r="D3102" i="6"/>
  <c r="F3102" i="6"/>
  <c r="C3095" i="6"/>
  <c r="D3095" i="6"/>
  <c r="F3093" i="6"/>
  <c r="F3091" i="6"/>
  <c r="E3089" i="6"/>
  <c r="D3089" i="6"/>
  <c r="F3076" i="6"/>
  <c r="D3072" i="6"/>
  <c r="F3072" i="6"/>
  <c r="C3065" i="6"/>
  <c r="D3065" i="6"/>
  <c r="F3063" i="6"/>
  <c r="F3061" i="6"/>
  <c r="E3059" i="6"/>
  <c r="D3059" i="6"/>
  <c r="C3057" i="6"/>
  <c r="F3057" i="6"/>
  <c r="C3035" i="6"/>
  <c r="E3035" i="6"/>
  <c r="F3035" i="6"/>
  <c r="E3033" i="6"/>
  <c r="D3033" i="6"/>
  <c r="F3033" i="6"/>
  <c r="D3012" i="6"/>
  <c r="C3012" i="6"/>
  <c r="E3012" i="6"/>
  <c r="D2978" i="6"/>
  <c r="E2978" i="6"/>
  <c r="F2978" i="6"/>
  <c r="C2949" i="6"/>
  <c r="E2949" i="6"/>
  <c r="F2949" i="6"/>
  <c r="C2923" i="6"/>
  <c r="E2923" i="6"/>
  <c r="F2923" i="6"/>
  <c r="E2921" i="6"/>
  <c r="D2921" i="6"/>
  <c r="F2921" i="6"/>
  <c r="C2901" i="6"/>
  <c r="D2901" i="6"/>
  <c r="E2901" i="6"/>
  <c r="E2899" i="6"/>
  <c r="C2899" i="6"/>
  <c r="D2899" i="6"/>
  <c r="C2883" i="6"/>
  <c r="E2883" i="6"/>
  <c r="F2883" i="6"/>
  <c r="E2881" i="6"/>
  <c r="D2881" i="6"/>
  <c r="F2881" i="6"/>
  <c r="D2870" i="6"/>
  <c r="C2870" i="6"/>
  <c r="E2870" i="6"/>
  <c r="C2841" i="6"/>
  <c r="D2841" i="6"/>
  <c r="E2841" i="6"/>
  <c r="E2839" i="6"/>
  <c r="C2839" i="6"/>
  <c r="D2839" i="6"/>
  <c r="C2821" i="6"/>
  <c r="E2821" i="6"/>
  <c r="F2821" i="6"/>
  <c r="E2819" i="6"/>
  <c r="D2819" i="6"/>
  <c r="F2819" i="6"/>
  <c r="C2799" i="6"/>
  <c r="D2799" i="6"/>
  <c r="E2799" i="6"/>
  <c r="E2797" i="6"/>
  <c r="C2797" i="6"/>
  <c r="D2797" i="6"/>
  <c r="C2779" i="6"/>
  <c r="E2779" i="6"/>
  <c r="F2779" i="6"/>
  <c r="E2777" i="6"/>
  <c r="D2777" i="6"/>
  <c r="F2777" i="6"/>
  <c r="D2766" i="6"/>
  <c r="C2766" i="6"/>
  <c r="E2766" i="6"/>
  <c r="E2737" i="6"/>
  <c r="C2737" i="6"/>
  <c r="F2737" i="6"/>
  <c r="E3293" i="6"/>
  <c r="E3292" i="6"/>
  <c r="D3291" i="6"/>
  <c r="E3277" i="6"/>
  <c r="E3276" i="6"/>
  <c r="D3275" i="6"/>
  <c r="E3251" i="6"/>
  <c r="E3250" i="6"/>
  <c r="D3249" i="6"/>
  <c r="E3225" i="6"/>
  <c r="E3224" i="6"/>
  <c r="D3223" i="6"/>
  <c r="E3195" i="6"/>
  <c r="E3194" i="6"/>
  <c r="D3193" i="6"/>
  <c r="E3165" i="6"/>
  <c r="E3164" i="6"/>
  <c r="D3153" i="6"/>
  <c r="E3139" i="6"/>
  <c r="E3128" i="6"/>
  <c r="D3127" i="6"/>
  <c r="E3116" i="6"/>
  <c r="C3103" i="6"/>
  <c r="F3103" i="6"/>
  <c r="D3101" i="6"/>
  <c r="F3094" i="6"/>
  <c r="D3090" i="6"/>
  <c r="E3090" i="6"/>
  <c r="F3077" i="6"/>
  <c r="E3075" i="6"/>
  <c r="D3075" i="6"/>
  <c r="C3073" i="6"/>
  <c r="F3073" i="6"/>
  <c r="D3071" i="6"/>
  <c r="F3064" i="6"/>
  <c r="D3060" i="6"/>
  <c r="E3060" i="6"/>
  <c r="C3039" i="6"/>
  <c r="D3039" i="6"/>
  <c r="E3039" i="6"/>
  <c r="E3037" i="6"/>
  <c r="C3037" i="6"/>
  <c r="D3037" i="6"/>
  <c r="C3009" i="6"/>
  <c r="E3009" i="6"/>
  <c r="F3009" i="6"/>
  <c r="E3007" i="6"/>
  <c r="D3007" i="6"/>
  <c r="F3007" i="6"/>
  <c r="D2982" i="6"/>
  <c r="C2982" i="6"/>
  <c r="E2982" i="6"/>
  <c r="C2953" i="6"/>
  <c r="D2953" i="6"/>
  <c r="E2953" i="6"/>
  <c r="E2951" i="6"/>
  <c r="C2951" i="6"/>
  <c r="D2951" i="6"/>
  <c r="C2948" i="6"/>
  <c r="C2927" i="6"/>
  <c r="D2927" i="6"/>
  <c r="E2927" i="6"/>
  <c r="E2925" i="6"/>
  <c r="C2925" i="6"/>
  <c r="D2925" i="6"/>
  <c r="C2922" i="6"/>
  <c r="D2896" i="6"/>
  <c r="E2896" i="6"/>
  <c r="F2896" i="6"/>
  <c r="F2871" i="6"/>
  <c r="F2869" i="6"/>
  <c r="C2867" i="6"/>
  <c r="E2867" i="6"/>
  <c r="F2867" i="6"/>
  <c r="E2865" i="6"/>
  <c r="D2865" i="6"/>
  <c r="F2865" i="6"/>
  <c r="D2836" i="6"/>
  <c r="E2836" i="6"/>
  <c r="F2836" i="6"/>
  <c r="C2825" i="6"/>
  <c r="D2825" i="6"/>
  <c r="E2825" i="6"/>
  <c r="E2823" i="6"/>
  <c r="C2823" i="6"/>
  <c r="D2823" i="6"/>
  <c r="D2794" i="6"/>
  <c r="E2794" i="6"/>
  <c r="F2794" i="6"/>
  <c r="C2783" i="6"/>
  <c r="D2783" i="6"/>
  <c r="E2783" i="6"/>
  <c r="E2781" i="6"/>
  <c r="C2781" i="6"/>
  <c r="D2781" i="6"/>
  <c r="F2767" i="6"/>
  <c r="F2755" i="6"/>
  <c r="C2753" i="6"/>
  <c r="E2753" i="6"/>
  <c r="F2753" i="6"/>
  <c r="E2751" i="6"/>
  <c r="D2751" i="6"/>
  <c r="F2751" i="6"/>
  <c r="C2739" i="6"/>
  <c r="E2739" i="6"/>
  <c r="F2739" i="6"/>
  <c r="C2735" i="6"/>
  <c r="E2735" i="6"/>
  <c r="D2735" i="6"/>
  <c r="F2735" i="6"/>
  <c r="C2723" i="6"/>
  <c r="E2723" i="6"/>
  <c r="E2721" i="6"/>
  <c r="C2721" i="6"/>
  <c r="C2701" i="6"/>
  <c r="E2701" i="6"/>
  <c r="E2699" i="6"/>
  <c r="C2699" i="6"/>
  <c r="C2685" i="6"/>
  <c r="E2685" i="6"/>
  <c r="E2683" i="6"/>
  <c r="C2683" i="6"/>
  <c r="E2661" i="6"/>
  <c r="C2661" i="6"/>
  <c r="C2625" i="6"/>
  <c r="E2625" i="6"/>
  <c r="E2623" i="6"/>
  <c r="C2623" i="6"/>
  <c r="C2609" i="6"/>
  <c r="E2609" i="6"/>
  <c r="E2607" i="6"/>
  <c r="C2607" i="6"/>
  <c r="C2587" i="6"/>
  <c r="E2587" i="6"/>
  <c r="E2585" i="6"/>
  <c r="C2585" i="6"/>
  <c r="C2571" i="6"/>
  <c r="E2571" i="6"/>
  <c r="E2569" i="6"/>
  <c r="C2569" i="6"/>
  <c r="C2549" i="6"/>
  <c r="E2549" i="6"/>
  <c r="E2547" i="6"/>
  <c r="C2547" i="6"/>
  <c r="C2533" i="6"/>
  <c r="E2533" i="6"/>
  <c r="E2531" i="6"/>
  <c r="C2531" i="6"/>
  <c r="C2517" i="6"/>
  <c r="E2517" i="6"/>
  <c r="C2495" i="6"/>
  <c r="E2495" i="6"/>
  <c r="E2493" i="6"/>
  <c r="C2493" i="6"/>
  <c r="C2479" i="6"/>
  <c r="E2479" i="6"/>
  <c r="E2477" i="6"/>
  <c r="C2477" i="6"/>
  <c r="C2463" i="6"/>
  <c r="E2463" i="6"/>
  <c r="E2461" i="6"/>
  <c r="C2461" i="6"/>
  <c r="C2447" i="6"/>
  <c r="E2447" i="6"/>
  <c r="E2445" i="6"/>
  <c r="C2445" i="6"/>
  <c r="C2431" i="6"/>
  <c r="E2431" i="6"/>
  <c r="E2429" i="6"/>
  <c r="C2429" i="6"/>
  <c r="C2415" i="6"/>
  <c r="E2415" i="6"/>
  <c r="E2413" i="6"/>
  <c r="C2413" i="6"/>
  <c r="C2399" i="6"/>
  <c r="E2399" i="6"/>
  <c r="E2397" i="6"/>
  <c r="C2397" i="6"/>
  <c r="F2377" i="6"/>
  <c r="G2303" i="6" s="1"/>
  <c r="C2743" i="6"/>
  <c r="E2743" i="6"/>
  <c r="E2741" i="6"/>
  <c r="C2741" i="6"/>
  <c r="C2727" i="6"/>
  <c r="E2727" i="6"/>
  <c r="E2725" i="6"/>
  <c r="C2725" i="6"/>
  <c r="F2719" i="6"/>
  <c r="C2705" i="6"/>
  <c r="E2705" i="6"/>
  <c r="E2703" i="6"/>
  <c r="C2703" i="6"/>
  <c r="F2697" i="6"/>
  <c r="F2695" i="6"/>
  <c r="C2689" i="6"/>
  <c r="E2689" i="6"/>
  <c r="E2687" i="6"/>
  <c r="C2687" i="6"/>
  <c r="F2681" i="6"/>
  <c r="F2679" i="6"/>
  <c r="C2673" i="6"/>
  <c r="E2673" i="6"/>
  <c r="F2659" i="6"/>
  <c r="F2657" i="6"/>
  <c r="C2651" i="6"/>
  <c r="E2651" i="6"/>
  <c r="E2649" i="6"/>
  <c r="C2649" i="6"/>
  <c r="F2637" i="6"/>
  <c r="F2635" i="6"/>
  <c r="C2629" i="6"/>
  <c r="E2629" i="6"/>
  <c r="E2627" i="6"/>
  <c r="C2627" i="6"/>
  <c r="F2621" i="6"/>
  <c r="F2619" i="6"/>
  <c r="C2613" i="6"/>
  <c r="E2613" i="6"/>
  <c r="E2611" i="6"/>
  <c r="C2611" i="6"/>
  <c r="F2605" i="6"/>
  <c r="C2591" i="6"/>
  <c r="E2591" i="6"/>
  <c r="E2589" i="6"/>
  <c r="C2589" i="6"/>
  <c r="F2583" i="6"/>
  <c r="F2581" i="6"/>
  <c r="C2575" i="6"/>
  <c r="E2575" i="6"/>
  <c r="E2573" i="6"/>
  <c r="C2573" i="6"/>
  <c r="F2567" i="6"/>
  <c r="F2565" i="6"/>
  <c r="F2545" i="6"/>
  <c r="F2543" i="6"/>
  <c r="C2537" i="6"/>
  <c r="E2537" i="6"/>
  <c r="E2535" i="6"/>
  <c r="C2535" i="6"/>
  <c r="F2529" i="6"/>
  <c r="F2527" i="6"/>
  <c r="C2521" i="6"/>
  <c r="E2521" i="6"/>
  <c r="E2519" i="6"/>
  <c r="C2519" i="6"/>
  <c r="F2505" i="6"/>
  <c r="C2499" i="6"/>
  <c r="E2499" i="6"/>
  <c r="E2497" i="6"/>
  <c r="C2497" i="6"/>
  <c r="F2491" i="6"/>
  <c r="F2489" i="6"/>
  <c r="C2483" i="6"/>
  <c r="E2483" i="6"/>
  <c r="E2481" i="6"/>
  <c r="C2481" i="6"/>
  <c r="F2475" i="6"/>
  <c r="F2473" i="6"/>
  <c r="C2467" i="6"/>
  <c r="E2467" i="6"/>
  <c r="E2465" i="6"/>
  <c r="C2465" i="6"/>
  <c r="F2459" i="6"/>
  <c r="F2457" i="6"/>
  <c r="C2451" i="6"/>
  <c r="E2451" i="6"/>
  <c r="E2449" i="6"/>
  <c r="C2449" i="6"/>
  <c r="F2443" i="6"/>
  <c r="F2441" i="6"/>
  <c r="C2435" i="6"/>
  <c r="E2435" i="6"/>
  <c r="E2433" i="6"/>
  <c r="C2433" i="6"/>
  <c r="F2427" i="6"/>
  <c r="F2425" i="6"/>
  <c r="C2419" i="6"/>
  <c r="E2419" i="6"/>
  <c r="E2417" i="6"/>
  <c r="C2417" i="6"/>
  <c r="F2411" i="6"/>
  <c r="F2409" i="6"/>
  <c r="C2403" i="6"/>
  <c r="E2403" i="6"/>
  <c r="E2401" i="6"/>
  <c r="C2401" i="6"/>
  <c r="F2395" i="6"/>
  <c r="F2393" i="6"/>
  <c r="D2389" i="6"/>
  <c r="E2389" i="6"/>
  <c r="C2389" i="6"/>
  <c r="D2375" i="6"/>
  <c r="E2375" i="6"/>
  <c r="C2375" i="6"/>
  <c r="D2367" i="6"/>
  <c r="E2367" i="6"/>
  <c r="C2367" i="6"/>
  <c r="D2359" i="6"/>
  <c r="E2359" i="6"/>
  <c r="C2359" i="6"/>
  <c r="D2351" i="6"/>
  <c r="E2351" i="6"/>
  <c r="C2351" i="6"/>
  <c r="D2343" i="6"/>
  <c r="E2343" i="6"/>
  <c r="C2343" i="6"/>
  <c r="D2335" i="6"/>
  <c r="E2335" i="6"/>
  <c r="C2335" i="6"/>
  <c r="D2327" i="6"/>
  <c r="E2327" i="6"/>
  <c r="C2327" i="6"/>
  <c r="F3056" i="6"/>
  <c r="F3055" i="6"/>
  <c r="F3031" i="6"/>
  <c r="F3030" i="6"/>
  <c r="F3029" i="6"/>
  <c r="F3005" i="6"/>
  <c r="F3004" i="6"/>
  <c r="F3003" i="6"/>
  <c r="F2975" i="6"/>
  <c r="F2974" i="6"/>
  <c r="F2973" i="6"/>
  <c r="F2961" i="6"/>
  <c r="F2960" i="6"/>
  <c r="F2959" i="6"/>
  <c r="F2935" i="6"/>
  <c r="F2934" i="6"/>
  <c r="F2933" i="6"/>
  <c r="F2919" i="6"/>
  <c r="F2908" i="6"/>
  <c r="F2907" i="6"/>
  <c r="F2879" i="6"/>
  <c r="F2878" i="6"/>
  <c r="F2877" i="6"/>
  <c r="F2863" i="6"/>
  <c r="F2862" i="6"/>
  <c r="F2861" i="6"/>
  <c r="F2849" i="6"/>
  <c r="F2848" i="6"/>
  <c r="F2847" i="6"/>
  <c r="F2833" i="6"/>
  <c r="F2832" i="6"/>
  <c r="F2831" i="6"/>
  <c r="F2817" i="6"/>
  <c r="F2816" i="6"/>
  <c r="F2805" i="6"/>
  <c r="F2791" i="6"/>
  <c r="F2790" i="6"/>
  <c r="F2789" i="6"/>
  <c r="F2775" i="6"/>
  <c r="F2774" i="6"/>
  <c r="F2773" i="6"/>
  <c r="F2749" i="6"/>
  <c r="F2748" i="6"/>
  <c r="F2747" i="6"/>
  <c r="C2731" i="6"/>
  <c r="E2731" i="6"/>
  <c r="E2729" i="6"/>
  <c r="C2729" i="6"/>
  <c r="F2723" i="6"/>
  <c r="F2721" i="6"/>
  <c r="E2707" i="6"/>
  <c r="C2707" i="6"/>
  <c r="F2701" i="6"/>
  <c r="F2699" i="6"/>
  <c r="C2693" i="6"/>
  <c r="E2693" i="6"/>
  <c r="E2691" i="6"/>
  <c r="C2691" i="6"/>
  <c r="F2685" i="6"/>
  <c r="F2683" i="6"/>
  <c r="C2677" i="6"/>
  <c r="E2677" i="6"/>
  <c r="E2675" i="6"/>
  <c r="C2675" i="6"/>
  <c r="F2661" i="6"/>
  <c r="C2655" i="6"/>
  <c r="E2655" i="6"/>
  <c r="E2653" i="6"/>
  <c r="C2653" i="6"/>
  <c r="C2633" i="6"/>
  <c r="E2633" i="6"/>
  <c r="E2631" i="6"/>
  <c r="C2631" i="6"/>
  <c r="F2625" i="6"/>
  <c r="F2623" i="6"/>
  <c r="C2617" i="6"/>
  <c r="E2617" i="6"/>
  <c r="E2615" i="6"/>
  <c r="C2615" i="6"/>
  <c r="F2609" i="6"/>
  <c r="F2607" i="6"/>
  <c r="E2593" i="6"/>
  <c r="C2593" i="6"/>
  <c r="F2587" i="6"/>
  <c r="F2585" i="6"/>
  <c r="C2579" i="6"/>
  <c r="E2579" i="6"/>
  <c r="E2577" i="6"/>
  <c r="C2577" i="6"/>
  <c r="F2571" i="6"/>
  <c r="F2569" i="6"/>
  <c r="C2563" i="6"/>
  <c r="E2563" i="6"/>
  <c r="E2561" i="6"/>
  <c r="C2561" i="6"/>
  <c r="F2549" i="6"/>
  <c r="F2547" i="6"/>
  <c r="C2541" i="6"/>
  <c r="E2541" i="6"/>
  <c r="E2539" i="6"/>
  <c r="C2539" i="6"/>
  <c r="F2533" i="6"/>
  <c r="F2531" i="6"/>
  <c r="C2525" i="6"/>
  <c r="E2525" i="6"/>
  <c r="E2523" i="6"/>
  <c r="C2523" i="6"/>
  <c r="F2517" i="6"/>
  <c r="C2503" i="6"/>
  <c r="E2503" i="6"/>
  <c r="E2501" i="6"/>
  <c r="C2501" i="6"/>
  <c r="F2495" i="6"/>
  <c r="F2493" i="6"/>
  <c r="C2487" i="6"/>
  <c r="E2487" i="6"/>
  <c r="E2485" i="6"/>
  <c r="C2485" i="6"/>
  <c r="F2479" i="6"/>
  <c r="F2477" i="6"/>
  <c r="C2471" i="6"/>
  <c r="E2471" i="6"/>
  <c r="E2469" i="6"/>
  <c r="C2469" i="6"/>
  <c r="F2463" i="6"/>
  <c r="F2461" i="6"/>
  <c r="C2455" i="6"/>
  <c r="E2455" i="6"/>
  <c r="E2453" i="6"/>
  <c r="C2453" i="6"/>
  <c r="F2447" i="6"/>
  <c r="F2445" i="6"/>
  <c r="C2439" i="6"/>
  <c r="E2439" i="6"/>
  <c r="E2437" i="6"/>
  <c r="C2437" i="6"/>
  <c r="F2431" i="6"/>
  <c r="F2429" i="6"/>
  <c r="C2423" i="6"/>
  <c r="E2423" i="6"/>
  <c r="E2421" i="6"/>
  <c r="C2421" i="6"/>
  <c r="F2415" i="6"/>
  <c r="F2413" i="6"/>
  <c r="C2407" i="6"/>
  <c r="E2407" i="6"/>
  <c r="E2405" i="6"/>
  <c r="C2405" i="6"/>
  <c r="F2399" i="6"/>
  <c r="F2397" i="6"/>
  <c r="D2723" i="6"/>
  <c r="D2721" i="6"/>
  <c r="C2719" i="6"/>
  <c r="E2719" i="6"/>
  <c r="D2701" i="6"/>
  <c r="D2699" i="6"/>
  <c r="C2697" i="6"/>
  <c r="E2697" i="6"/>
  <c r="E2695" i="6"/>
  <c r="C2695" i="6"/>
  <c r="D2685" i="6"/>
  <c r="D2683" i="6"/>
  <c r="C2681" i="6"/>
  <c r="E2681" i="6"/>
  <c r="E2679" i="6"/>
  <c r="C2679" i="6"/>
  <c r="D2661" i="6"/>
  <c r="C2659" i="6"/>
  <c r="E2659" i="6"/>
  <c r="E2657" i="6"/>
  <c r="C2657" i="6"/>
  <c r="C2637" i="6"/>
  <c r="E2637" i="6"/>
  <c r="E2635" i="6"/>
  <c r="C2635" i="6"/>
  <c r="D2625" i="6"/>
  <c r="D2623" i="6"/>
  <c r="C2621" i="6"/>
  <c r="E2621" i="6"/>
  <c r="E2619" i="6"/>
  <c r="C2619" i="6"/>
  <c r="D2609" i="6"/>
  <c r="D2607" i="6"/>
  <c r="C2605" i="6"/>
  <c r="E2605" i="6"/>
  <c r="D2587" i="6"/>
  <c r="D2585" i="6"/>
  <c r="C2583" i="6"/>
  <c r="E2583" i="6"/>
  <c r="E2581" i="6"/>
  <c r="C2581" i="6"/>
  <c r="D2571" i="6"/>
  <c r="D2569" i="6"/>
  <c r="C2567" i="6"/>
  <c r="E2567" i="6"/>
  <c r="E2565" i="6"/>
  <c r="C2565" i="6"/>
  <c r="D2549" i="6"/>
  <c r="D2547" i="6"/>
  <c r="C2545" i="6"/>
  <c r="E2545" i="6"/>
  <c r="E2543" i="6"/>
  <c r="C2543" i="6"/>
  <c r="D2533" i="6"/>
  <c r="D2531" i="6"/>
  <c r="C2529" i="6"/>
  <c r="E2529" i="6"/>
  <c r="E2527" i="6"/>
  <c r="C2527" i="6"/>
  <c r="D2517" i="6"/>
  <c r="E2505" i="6"/>
  <c r="C2505" i="6"/>
  <c r="D2495" i="6"/>
  <c r="D2493" i="6"/>
  <c r="C2491" i="6"/>
  <c r="E2491" i="6"/>
  <c r="E2489" i="6"/>
  <c r="C2489" i="6"/>
  <c r="D2479" i="6"/>
  <c r="D2477" i="6"/>
  <c r="C2475" i="6"/>
  <c r="E2475" i="6"/>
  <c r="E2473" i="6"/>
  <c r="C2473" i="6"/>
  <c r="D2463" i="6"/>
  <c r="D2461" i="6"/>
  <c r="C2459" i="6"/>
  <c r="E2459" i="6"/>
  <c r="E2457" i="6"/>
  <c r="C2457" i="6"/>
  <c r="D2447" i="6"/>
  <c r="D2445" i="6"/>
  <c r="C2443" i="6"/>
  <c r="E2443" i="6"/>
  <c r="E2441" i="6"/>
  <c r="C2441" i="6"/>
  <c r="D2431" i="6"/>
  <c r="D2429" i="6"/>
  <c r="C2427" i="6"/>
  <c r="E2427" i="6"/>
  <c r="E2425" i="6"/>
  <c r="C2425" i="6"/>
  <c r="D2415" i="6"/>
  <c r="D2413" i="6"/>
  <c r="C2411" i="6"/>
  <c r="E2411" i="6"/>
  <c r="E2409" i="6"/>
  <c r="C2409" i="6"/>
  <c r="D2399" i="6"/>
  <c r="D2397" i="6"/>
  <c r="C2395" i="6"/>
  <c r="E2395" i="6"/>
  <c r="E2393" i="6"/>
  <c r="C2393" i="6"/>
  <c r="D2371" i="6"/>
  <c r="E2371" i="6"/>
  <c r="C2371" i="6"/>
  <c r="D2363" i="6"/>
  <c r="E2363" i="6"/>
  <c r="C2363" i="6"/>
  <c r="D2355" i="6"/>
  <c r="E2355" i="6"/>
  <c r="C2355" i="6"/>
  <c r="D2347" i="6"/>
  <c r="E2347" i="6"/>
  <c r="C2347" i="6"/>
  <c r="D2339" i="6"/>
  <c r="E2339" i="6"/>
  <c r="C2339" i="6"/>
  <c r="D2331" i="6"/>
  <c r="E2331" i="6"/>
  <c r="C2331" i="6"/>
  <c r="E2391" i="6"/>
  <c r="E2387" i="6"/>
  <c r="E2373" i="6"/>
  <c r="E2369" i="6"/>
  <c r="E2365" i="6"/>
  <c r="E2361" i="6"/>
  <c r="E2357" i="6"/>
  <c r="E2353" i="6"/>
  <c r="E2349" i="6"/>
  <c r="E2345" i="6"/>
  <c r="E2341" i="6"/>
  <c r="E2337" i="6"/>
  <c r="E2333" i="6"/>
  <c r="E2329" i="6"/>
  <c r="E2325" i="6"/>
  <c r="C2323" i="6"/>
  <c r="E2321" i="6"/>
  <c r="C2319" i="6"/>
  <c r="E2317" i="6"/>
  <c r="C2315" i="6"/>
  <c r="E2313" i="6"/>
  <c r="C2311" i="6"/>
  <c r="E2309" i="6"/>
  <c r="C2307" i="6"/>
  <c r="E2295" i="6"/>
  <c r="C2293" i="6"/>
  <c r="E2291" i="6"/>
  <c r="C2289" i="6"/>
  <c r="E2287" i="6"/>
  <c r="C2285" i="6"/>
  <c r="E2283" i="6"/>
  <c r="C2281" i="6"/>
  <c r="E2279" i="6"/>
  <c r="C2277" i="6"/>
  <c r="E2275" i="6"/>
  <c r="C2273" i="6"/>
  <c r="E2271" i="6"/>
  <c r="C2269" i="6"/>
  <c r="E2267" i="6"/>
  <c r="C2265" i="6"/>
  <c r="E2263" i="6"/>
  <c r="C2261" i="6"/>
  <c r="E2249" i="6"/>
  <c r="C2247" i="6"/>
  <c r="E2245" i="6"/>
  <c r="C2243" i="6"/>
  <c r="E2241" i="6"/>
  <c r="C2239" i="6"/>
  <c r="E2237" i="6"/>
  <c r="C2235" i="6"/>
  <c r="E2233" i="6"/>
  <c r="C2231" i="6"/>
  <c r="E2229" i="6"/>
  <c r="C2227" i="6"/>
  <c r="E2225" i="6"/>
  <c r="C2223" i="6"/>
  <c r="E2221" i="6"/>
  <c r="C2219" i="6"/>
  <c r="E2217" i="6"/>
  <c r="C2215" i="6"/>
  <c r="E2213" i="6"/>
  <c r="C2201" i="6"/>
  <c r="E2199" i="6"/>
  <c r="C2197" i="6"/>
  <c r="E2195" i="6"/>
  <c r="C2193" i="6"/>
  <c r="E2191" i="6"/>
  <c r="F2190" i="6"/>
  <c r="F2189" i="6"/>
  <c r="D2183" i="6"/>
  <c r="C2182" i="6"/>
  <c r="C2181" i="6"/>
  <c r="E2179" i="6"/>
  <c r="E2178" i="6"/>
  <c r="D2177" i="6"/>
  <c r="F2175" i="6"/>
  <c r="F2174" i="6"/>
  <c r="F2173" i="6"/>
  <c r="D2167" i="6"/>
  <c r="C2166" i="6"/>
  <c r="C2165" i="6"/>
  <c r="E2163" i="6"/>
  <c r="E2162" i="6"/>
  <c r="D2161" i="6"/>
  <c r="F2159" i="6"/>
  <c r="F2158" i="6"/>
  <c r="F2157" i="6"/>
  <c r="F2145" i="6"/>
  <c r="F2144" i="6"/>
  <c r="F2143" i="6"/>
  <c r="D2137" i="6"/>
  <c r="C2136" i="6"/>
  <c r="C2135" i="6"/>
  <c r="E2133" i="6"/>
  <c r="E2132" i="6"/>
  <c r="D2131" i="6"/>
  <c r="F2129" i="6"/>
  <c r="F2128" i="6"/>
  <c r="F2127" i="6"/>
  <c r="D2121" i="6"/>
  <c r="C2120" i="6"/>
  <c r="C2119" i="6"/>
  <c r="E2117" i="6"/>
  <c r="E2116" i="6"/>
  <c r="D2115" i="6"/>
  <c r="F2113" i="6"/>
  <c r="F2112" i="6"/>
  <c r="F2111" i="6"/>
  <c r="D2105" i="6"/>
  <c r="C2094" i="6"/>
  <c r="C2093" i="6"/>
  <c r="E2091" i="6"/>
  <c r="E2090" i="6"/>
  <c r="D2089" i="6"/>
  <c r="F2087" i="6"/>
  <c r="F2086" i="6"/>
  <c r="F2085" i="6"/>
  <c r="D2079" i="6"/>
  <c r="C2078" i="6"/>
  <c r="C2077" i="6"/>
  <c r="E2075" i="6"/>
  <c r="E2074" i="6"/>
  <c r="D2073" i="6"/>
  <c r="F2071" i="6"/>
  <c r="F2070" i="6"/>
  <c r="F2069" i="6"/>
  <c r="D2063" i="6"/>
  <c r="C2062" i="6"/>
  <c r="C2061" i="6"/>
  <c r="E2059" i="6"/>
  <c r="E2058" i="6"/>
  <c r="D2057" i="6"/>
  <c r="F2055" i="6"/>
  <c r="F2054" i="6"/>
  <c r="F2053" i="6"/>
  <c r="D2047" i="6"/>
  <c r="C2046" i="6"/>
  <c r="C2045" i="6"/>
  <c r="E2043" i="6"/>
  <c r="E2042" i="6"/>
  <c r="D2041" i="6"/>
  <c r="F2039" i="6"/>
  <c r="F2038" i="6"/>
  <c r="F2037" i="6"/>
  <c r="D2031" i="6"/>
  <c r="C2030" i="6"/>
  <c r="C2029" i="6"/>
  <c r="E2027" i="6"/>
  <c r="E2026" i="6"/>
  <c r="D2025" i="6"/>
  <c r="F2023" i="6"/>
  <c r="F2022" i="6"/>
  <c r="F2021" i="6"/>
  <c r="E2015" i="6"/>
  <c r="C2015" i="6"/>
  <c r="C2001" i="6"/>
  <c r="E2001" i="6"/>
  <c r="E1999" i="6"/>
  <c r="C1999" i="6"/>
  <c r="C1985" i="6"/>
  <c r="E1985" i="6"/>
  <c r="E1983" i="6"/>
  <c r="C1983" i="6"/>
  <c r="C1969" i="6"/>
  <c r="E1969" i="6"/>
  <c r="E1967" i="6"/>
  <c r="C1967" i="6"/>
  <c r="C1953" i="6"/>
  <c r="E1953" i="6"/>
  <c r="E1951" i="6"/>
  <c r="C1951" i="6"/>
  <c r="E1929" i="6"/>
  <c r="C1929" i="6"/>
  <c r="C1915" i="6"/>
  <c r="E1915" i="6"/>
  <c r="E1913" i="6"/>
  <c r="C1913" i="6"/>
  <c r="C1899" i="6"/>
  <c r="E1899" i="6"/>
  <c r="E1897" i="6"/>
  <c r="C1897" i="6"/>
  <c r="C1883" i="6"/>
  <c r="E1883" i="6"/>
  <c r="E1881" i="6"/>
  <c r="C1881" i="6"/>
  <c r="C1867" i="6"/>
  <c r="E1867" i="6"/>
  <c r="E1865" i="6"/>
  <c r="C1865" i="6"/>
  <c r="C1851" i="6"/>
  <c r="E1851" i="6"/>
  <c r="E1849" i="6"/>
  <c r="C1849" i="6"/>
  <c r="C1835" i="6"/>
  <c r="E1835" i="6"/>
  <c r="C1827" i="6"/>
  <c r="D1827" i="6"/>
  <c r="E1827" i="6"/>
  <c r="E1813" i="6"/>
  <c r="C1813" i="6"/>
  <c r="D1813" i="6"/>
  <c r="F1813" i="6"/>
  <c r="C1799" i="6"/>
  <c r="D1799" i="6"/>
  <c r="E1799" i="6"/>
  <c r="F1799" i="6"/>
  <c r="E1783" i="6"/>
  <c r="C1783" i="6"/>
  <c r="D1783" i="6"/>
  <c r="F1783" i="6"/>
  <c r="C1769" i="6"/>
  <c r="D1769" i="6"/>
  <c r="E1769" i="6"/>
  <c r="F1769" i="6"/>
  <c r="C2005" i="6"/>
  <c r="E2005" i="6"/>
  <c r="E2003" i="6"/>
  <c r="C2003" i="6"/>
  <c r="C1989" i="6"/>
  <c r="E1989" i="6"/>
  <c r="E1987" i="6"/>
  <c r="C1987" i="6"/>
  <c r="C1973" i="6"/>
  <c r="E1973" i="6"/>
  <c r="E1971" i="6"/>
  <c r="C1971" i="6"/>
  <c r="C1957" i="6"/>
  <c r="E1957" i="6"/>
  <c r="E1955" i="6"/>
  <c r="C1955" i="6"/>
  <c r="C1941" i="6"/>
  <c r="E1941" i="6"/>
  <c r="C1919" i="6"/>
  <c r="E1919" i="6"/>
  <c r="E1917" i="6"/>
  <c r="C1917" i="6"/>
  <c r="C1903" i="6"/>
  <c r="E1903" i="6"/>
  <c r="E1901" i="6"/>
  <c r="C1901" i="6"/>
  <c r="C1887" i="6"/>
  <c r="E1887" i="6"/>
  <c r="E1885" i="6"/>
  <c r="C1885" i="6"/>
  <c r="C1871" i="6"/>
  <c r="E1871" i="6"/>
  <c r="E1869" i="6"/>
  <c r="C1869" i="6"/>
  <c r="C1855" i="6"/>
  <c r="E1855" i="6"/>
  <c r="E1853" i="6"/>
  <c r="C1853" i="6"/>
  <c r="C1839" i="6"/>
  <c r="E1839" i="6"/>
  <c r="E1837" i="6"/>
  <c r="C1837" i="6"/>
  <c r="D1798" i="6"/>
  <c r="C1798" i="6"/>
  <c r="E1798" i="6"/>
  <c r="F1798" i="6"/>
  <c r="D1768" i="6"/>
  <c r="C1768" i="6"/>
  <c r="E1768" i="6"/>
  <c r="F1768" i="6"/>
  <c r="E2323" i="6"/>
  <c r="E2319" i="6"/>
  <c r="E2315" i="6"/>
  <c r="E2311" i="6"/>
  <c r="E2307" i="6"/>
  <c r="E2293" i="6"/>
  <c r="E2289" i="6"/>
  <c r="E2285" i="6"/>
  <c r="E2281" i="6"/>
  <c r="E2277" i="6"/>
  <c r="E2273" i="6"/>
  <c r="E2269" i="6"/>
  <c r="E2265" i="6"/>
  <c r="E2261" i="6"/>
  <c r="E2247" i="6"/>
  <c r="E2243" i="6"/>
  <c r="E2239" i="6"/>
  <c r="E2235" i="6"/>
  <c r="E2231" i="6"/>
  <c r="E2227" i="6"/>
  <c r="E2223" i="6"/>
  <c r="E2219" i="6"/>
  <c r="E2215" i="6"/>
  <c r="E2201" i="6"/>
  <c r="E2197" i="6"/>
  <c r="E2193" i="6"/>
  <c r="C2190" i="6"/>
  <c r="C2189" i="6"/>
  <c r="F2183" i="6"/>
  <c r="F2182" i="6"/>
  <c r="F2181" i="6"/>
  <c r="D2175" i="6"/>
  <c r="C2174" i="6"/>
  <c r="C2173" i="6"/>
  <c r="F2167" i="6"/>
  <c r="F2166" i="6"/>
  <c r="F2165" i="6"/>
  <c r="D2159" i="6"/>
  <c r="C2158" i="6"/>
  <c r="C2157" i="6"/>
  <c r="D2145" i="6"/>
  <c r="C2144" i="6"/>
  <c r="C2143" i="6"/>
  <c r="F2137" i="6"/>
  <c r="F2136" i="6"/>
  <c r="F2135" i="6"/>
  <c r="D2129" i="6"/>
  <c r="C2128" i="6"/>
  <c r="C2127" i="6"/>
  <c r="F2121" i="6"/>
  <c r="F2120" i="6"/>
  <c r="F2119" i="6"/>
  <c r="D2113" i="6"/>
  <c r="C2112" i="6"/>
  <c r="C2111" i="6"/>
  <c r="F2105" i="6"/>
  <c r="F2094" i="6"/>
  <c r="F2093" i="6"/>
  <c r="D2087" i="6"/>
  <c r="C2086" i="6"/>
  <c r="C2085" i="6"/>
  <c r="F2079" i="6"/>
  <c r="F2078" i="6"/>
  <c r="F2077" i="6"/>
  <c r="D2071" i="6"/>
  <c r="C2070" i="6"/>
  <c r="C2069" i="6"/>
  <c r="F2063" i="6"/>
  <c r="F2062" i="6"/>
  <c r="F2061" i="6"/>
  <c r="D2055" i="6"/>
  <c r="C2054" i="6"/>
  <c r="C2053" i="6"/>
  <c r="F2047" i="6"/>
  <c r="F2046" i="6"/>
  <c r="F2045" i="6"/>
  <c r="D2039" i="6"/>
  <c r="C2038" i="6"/>
  <c r="C2037" i="6"/>
  <c r="F2031" i="6"/>
  <c r="F2030" i="6"/>
  <c r="F2029" i="6"/>
  <c r="D2023" i="6"/>
  <c r="C2022" i="6"/>
  <c r="C2021" i="6"/>
  <c r="C2009" i="6"/>
  <c r="E2009" i="6"/>
  <c r="E2007" i="6"/>
  <c r="C2007" i="6"/>
  <c r="C1993" i="6"/>
  <c r="E1993" i="6"/>
  <c r="E1991" i="6"/>
  <c r="C1991" i="6"/>
  <c r="C1977" i="6"/>
  <c r="E1977" i="6"/>
  <c r="E1975" i="6"/>
  <c r="C1975" i="6"/>
  <c r="C1961" i="6"/>
  <c r="E1961" i="6"/>
  <c r="E1959" i="6"/>
  <c r="C1959" i="6"/>
  <c r="C1945" i="6"/>
  <c r="E1945" i="6"/>
  <c r="E1943" i="6"/>
  <c r="C1943" i="6"/>
  <c r="C1923" i="6"/>
  <c r="E1923" i="6"/>
  <c r="E1921" i="6"/>
  <c r="C1921" i="6"/>
  <c r="C1907" i="6"/>
  <c r="E1907" i="6"/>
  <c r="E1905" i="6"/>
  <c r="C1905" i="6"/>
  <c r="C1891" i="6"/>
  <c r="E1891" i="6"/>
  <c r="E1889" i="6"/>
  <c r="C1889" i="6"/>
  <c r="C1875" i="6"/>
  <c r="E1875" i="6"/>
  <c r="E1873" i="6"/>
  <c r="C1873" i="6"/>
  <c r="C1859" i="6"/>
  <c r="E1859" i="6"/>
  <c r="E1857" i="6"/>
  <c r="C1857" i="6"/>
  <c r="C1843" i="6"/>
  <c r="E1843" i="6"/>
  <c r="E1841" i="6"/>
  <c r="C1841" i="6"/>
  <c r="C1831" i="6"/>
  <c r="D1831" i="6"/>
  <c r="E1831" i="6"/>
  <c r="C1823" i="6"/>
  <c r="D1823" i="6"/>
  <c r="E1823" i="6"/>
  <c r="C1815" i="6"/>
  <c r="D1815" i="6"/>
  <c r="E1815" i="6"/>
  <c r="F1815" i="6"/>
  <c r="E1797" i="6"/>
  <c r="C1797" i="6"/>
  <c r="D1797" i="6"/>
  <c r="F1797" i="6"/>
  <c r="C1785" i="6"/>
  <c r="D1785" i="6"/>
  <c r="E1785" i="6"/>
  <c r="F1785" i="6"/>
  <c r="E1767" i="6"/>
  <c r="C1767" i="6"/>
  <c r="D1767" i="6"/>
  <c r="F1767" i="6"/>
  <c r="E2183" i="6"/>
  <c r="E2182" i="6"/>
  <c r="D2181" i="6"/>
  <c r="E2167" i="6"/>
  <c r="E2166" i="6"/>
  <c r="D2165" i="6"/>
  <c r="E2137" i="6"/>
  <c r="E2136" i="6"/>
  <c r="D2135" i="6"/>
  <c r="E2121" i="6"/>
  <c r="E2120" i="6"/>
  <c r="D2119" i="6"/>
  <c r="E2105" i="6"/>
  <c r="E2094" i="6"/>
  <c r="D2093" i="6"/>
  <c r="E2079" i="6"/>
  <c r="E2078" i="6"/>
  <c r="D2077" i="6"/>
  <c r="E2063" i="6"/>
  <c r="E2062" i="6"/>
  <c r="D2061" i="6"/>
  <c r="E2047" i="6"/>
  <c r="E2046" i="6"/>
  <c r="D2045" i="6"/>
  <c r="E2031" i="6"/>
  <c r="E2030" i="6"/>
  <c r="D2029" i="6"/>
  <c r="C2013" i="6"/>
  <c r="E2013" i="6"/>
  <c r="E2011" i="6"/>
  <c r="C2011" i="6"/>
  <c r="F2005" i="6"/>
  <c r="F2003" i="6"/>
  <c r="C1997" i="6"/>
  <c r="E1997" i="6"/>
  <c r="E1995" i="6"/>
  <c r="C1995" i="6"/>
  <c r="F1989" i="6"/>
  <c r="F1987" i="6"/>
  <c r="C1981" i="6"/>
  <c r="E1981" i="6"/>
  <c r="E1979" i="6"/>
  <c r="C1979" i="6"/>
  <c r="F1973" i="6"/>
  <c r="F1971" i="6"/>
  <c r="C1965" i="6"/>
  <c r="E1965" i="6"/>
  <c r="E1963" i="6"/>
  <c r="C1963" i="6"/>
  <c r="F1957" i="6"/>
  <c r="F1955" i="6"/>
  <c r="C1949" i="6"/>
  <c r="E1949" i="6"/>
  <c r="E1947" i="6"/>
  <c r="C1947" i="6"/>
  <c r="F1941" i="6"/>
  <c r="C1927" i="6"/>
  <c r="E1927" i="6"/>
  <c r="E1925" i="6"/>
  <c r="C1925" i="6"/>
  <c r="F1919" i="6"/>
  <c r="F1917" i="6"/>
  <c r="C1911" i="6"/>
  <c r="E1911" i="6"/>
  <c r="E1909" i="6"/>
  <c r="C1909" i="6"/>
  <c r="F1903" i="6"/>
  <c r="F1901" i="6"/>
  <c r="C1895" i="6"/>
  <c r="E1895" i="6"/>
  <c r="E1893" i="6"/>
  <c r="C1893" i="6"/>
  <c r="F1887" i="6"/>
  <c r="F1885" i="6"/>
  <c r="C1879" i="6"/>
  <c r="E1879" i="6"/>
  <c r="E1877" i="6"/>
  <c r="C1877" i="6"/>
  <c r="F1871" i="6"/>
  <c r="F1869" i="6"/>
  <c r="C1863" i="6"/>
  <c r="E1863" i="6"/>
  <c r="E1861" i="6"/>
  <c r="C1861" i="6"/>
  <c r="F1855" i="6"/>
  <c r="F1853" i="6"/>
  <c r="C1847" i="6"/>
  <c r="E1847" i="6"/>
  <c r="E1845" i="6"/>
  <c r="C1845" i="6"/>
  <c r="F1839" i="6"/>
  <c r="F1837" i="6"/>
  <c r="D1835" i="6"/>
  <c r="D1814" i="6"/>
  <c r="C1814" i="6"/>
  <c r="E1814" i="6"/>
  <c r="F1814" i="6"/>
  <c r="D1784" i="6"/>
  <c r="C1784" i="6"/>
  <c r="E1784" i="6"/>
  <c r="F1784" i="6"/>
  <c r="C1733" i="6"/>
  <c r="E1733" i="6"/>
  <c r="E1713" i="6"/>
  <c r="C1713" i="6"/>
  <c r="C1711" i="6"/>
  <c r="E1711" i="6"/>
  <c r="E1697" i="6"/>
  <c r="C1697" i="6"/>
  <c r="C1695" i="6"/>
  <c r="E1695" i="6"/>
  <c r="E1681" i="6"/>
  <c r="C1681" i="6"/>
  <c r="C1679" i="6"/>
  <c r="E1679" i="6"/>
  <c r="E1659" i="6"/>
  <c r="C1659" i="6"/>
  <c r="C1657" i="6"/>
  <c r="E1657" i="6"/>
  <c r="E1643" i="6"/>
  <c r="C1643" i="6"/>
  <c r="C1641" i="6"/>
  <c r="E1641" i="6"/>
  <c r="E1627" i="6"/>
  <c r="C1627" i="6"/>
  <c r="C1625" i="6"/>
  <c r="E1625" i="6"/>
  <c r="E1605" i="6"/>
  <c r="C1605" i="6"/>
  <c r="C1603" i="6"/>
  <c r="E1603" i="6"/>
  <c r="C1833" i="6"/>
  <c r="C1829" i="6"/>
  <c r="C1825" i="6"/>
  <c r="C1821" i="6"/>
  <c r="E1819" i="6"/>
  <c r="E1818" i="6"/>
  <c r="D1817" i="6"/>
  <c r="D1807" i="6"/>
  <c r="C1806" i="6"/>
  <c r="C1805" i="6"/>
  <c r="E1803" i="6"/>
  <c r="E1802" i="6"/>
  <c r="D1801" i="6"/>
  <c r="D1777" i="6"/>
  <c r="C1776" i="6"/>
  <c r="C1775" i="6"/>
  <c r="E1773" i="6"/>
  <c r="E1772" i="6"/>
  <c r="D1771" i="6"/>
  <c r="D1761" i="6"/>
  <c r="C1760" i="6"/>
  <c r="C1759" i="6"/>
  <c r="E1757" i="6"/>
  <c r="E1756" i="6"/>
  <c r="D1755" i="6"/>
  <c r="F1753" i="6"/>
  <c r="F1752" i="6"/>
  <c r="F1751" i="6"/>
  <c r="D1745" i="6"/>
  <c r="C1744" i="6"/>
  <c r="C1743" i="6"/>
  <c r="E1741" i="6"/>
  <c r="E1740" i="6"/>
  <c r="D1739" i="6"/>
  <c r="F1737" i="6"/>
  <c r="F1736" i="6"/>
  <c r="F1735" i="6"/>
  <c r="E1701" i="6"/>
  <c r="C1701" i="6"/>
  <c r="C1699" i="6"/>
  <c r="E1699" i="6"/>
  <c r="E1685" i="6"/>
  <c r="C1685" i="6"/>
  <c r="C1683" i="6"/>
  <c r="E1683" i="6"/>
  <c r="E1663" i="6"/>
  <c r="C1663" i="6"/>
  <c r="C1661" i="6"/>
  <c r="E1661" i="6"/>
  <c r="E1647" i="6"/>
  <c r="C1647" i="6"/>
  <c r="C1645" i="6"/>
  <c r="E1645" i="6"/>
  <c r="E1631" i="6"/>
  <c r="C1631" i="6"/>
  <c r="C1629" i="6"/>
  <c r="E1629" i="6"/>
  <c r="E1609" i="6"/>
  <c r="C1609" i="6"/>
  <c r="C1607" i="6"/>
  <c r="E1607" i="6"/>
  <c r="E1593" i="6"/>
  <c r="C1593" i="6"/>
  <c r="C1591" i="6"/>
  <c r="E1591" i="6"/>
  <c r="C1583" i="6"/>
  <c r="D1583" i="6"/>
  <c r="E1583" i="6"/>
  <c r="C1575" i="6"/>
  <c r="D1575" i="6"/>
  <c r="E1575" i="6"/>
  <c r="C1567" i="6"/>
  <c r="D1567" i="6"/>
  <c r="E1567" i="6"/>
  <c r="C1559" i="6"/>
  <c r="D1559" i="6"/>
  <c r="E1559" i="6"/>
  <c r="C1551" i="6"/>
  <c r="D1551" i="6"/>
  <c r="E1551" i="6"/>
  <c r="C1543" i="6"/>
  <c r="D1543" i="6"/>
  <c r="E1543" i="6"/>
  <c r="C1535" i="6"/>
  <c r="D1535" i="6"/>
  <c r="E1535" i="6"/>
  <c r="C1527" i="6"/>
  <c r="D1527" i="6"/>
  <c r="E1527" i="6"/>
  <c r="C1519" i="6"/>
  <c r="D1519" i="6"/>
  <c r="E1519" i="6"/>
  <c r="C1511" i="6"/>
  <c r="D1511" i="6"/>
  <c r="E1511" i="6"/>
  <c r="C1503" i="6"/>
  <c r="D1503" i="6"/>
  <c r="E1503" i="6"/>
  <c r="C1495" i="6"/>
  <c r="D1495" i="6"/>
  <c r="E1495" i="6"/>
  <c r="C1487" i="6"/>
  <c r="D1487" i="6"/>
  <c r="E1487" i="6"/>
  <c r="C1479" i="6"/>
  <c r="D1479" i="6"/>
  <c r="E1479" i="6"/>
  <c r="E1753" i="6"/>
  <c r="E1752" i="6"/>
  <c r="D1751" i="6"/>
  <c r="E1737" i="6"/>
  <c r="E1736" i="6"/>
  <c r="D1735" i="6"/>
  <c r="F1733" i="6"/>
  <c r="E1727" i="6"/>
  <c r="C1727" i="6"/>
  <c r="C1725" i="6"/>
  <c r="E1725" i="6"/>
  <c r="F1713" i="6"/>
  <c r="F1711" i="6"/>
  <c r="E1705" i="6"/>
  <c r="C1705" i="6"/>
  <c r="C1703" i="6"/>
  <c r="E1703" i="6"/>
  <c r="F1697" i="6"/>
  <c r="F1695" i="6"/>
  <c r="E1689" i="6"/>
  <c r="C1689" i="6"/>
  <c r="C1687" i="6"/>
  <c r="E1687" i="6"/>
  <c r="F1681" i="6"/>
  <c r="F1679" i="6"/>
  <c r="C1665" i="6"/>
  <c r="E1665" i="6"/>
  <c r="F1659" i="6"/>
  <c r="F1657" i="6"/>
  <c r="E1651" i="6"/>
  <c r="C1651" i="6"/>
  <c r="C1649" i="6"/>
  <c r="E1649" i="6"/>
  <c r="F1643" i="6"/>
  <c r="F1641" i="6"/>
  <c r="E1635" i="6"/>
  <c r="C1635" i="6"/>
  <c r="C1633" i="6"/>
  <c r="E1633" i="6"/>
  <c r="F1627" i="6"/>
  <c r="F1625" i="6"/>
  <c r="F1605" i="6"/>
  <c r="F1603" i="6"/>
  <c r="E1597" i="6"/>
  <c r="C1597" i="6"/>
  <c r="C1595" i="6"/>
  <c r="E1595" i="6"/>
  <c r="F1807" i="6"/>
  <c r="F1806" i="6"/>
  <c r="F1805" i="6"/>
  <c r="F1777" i="6"/>
  <c r="F1776" i="6"/>
  <c r="F1775" i="6"/>
  <c r="F1761" i="6"/>
  <c r="F1760" i="6"/>
  <c r="F1759" i="6"/>
  <c r="D1753" i="6"/>
  <c r="C1752" i="6"/>
  <c r="C1751" i="6"/>
  <c r="F1745" i="6"/>
  <c r="F1744" i="6"/>
  <c r="F1743" i="6"/>
  <c r="D1737" i="6"/>
  <c r="C1736" i="6"/>
  <c r="C1735" i="6"/>
  <c r="D1733" i="6"/>
  <c r="E1731" i="6"/>
  <c r="C1731" i="6"/>
  <c r="C1729" i="6"/>
  <c r="E1729" i="6"/>
  <c r="D1713" i="6"/>
  <c r="D1711" i="6"/>
  <c r="E1709" i="6"/>
  <c r="C1709" i="6"/>
  <c r="C1707" i="6"/>
  <c r="E1707" i="6"/>
  <c r="D1697" i="6"/>
  <c r="D1695" i="6"/>
  <c r="E1693" i="6"/>
  <c r="C1693" i="6"/>
  <c r="C1691" i="6"/>
  <c r="E1691" i="6"/>
  <c r="D1681" i="6"/>
  <c r="D1679" i="6"/>
  <c r="E1677" i="6"/>
  <c r="C1677" i="6"/>
  <c r="D1659" i="6"/>
  <c r="D1657" i="6"/>
  <c r="E1655" i="6"/>
  <c r="C1655" i="6"/>
  <c r="C1653" i="6"/>
  <c r="E1653" i="6"/>
  <c r="D1643" i="6"/>
  <c r="D1641" i="6"/>
  <c r="E1639" i="6"/>
  <c r="C1639" i="6"/>
  <c r="C1637" i="6"/>
  <c r="E1637" i="6"/>
  <c r="D1627" i="6"/>
  <c r="D1625" i="6"/>
  <c r="E1623" i="6"/>
  <c r="C1623" i="6"/>
  <c r="C1621" i="6"/>
  <c r="E1621" i="6"/>
  <c r="D1605" i="6"/>
  <c r="D1603" i="6"/>
  <c r="E1601" i="6"/>
  <c r="C1601" i="6"/>
  <c r="C1599" i="6"/>
  <c r="E1599" i="6"/>
  <c r="C1587" i="6"/>
  <c r="D1587" i="6"/>
  <c r="E1587" i="6"/>
  <c r="C1579" i="6"/>
  <c r="D1579" i="6"/>
  <c r="E1579" i="6"/>
  <c r="C1571" i="6"/>
  <c r="D1571" i="6"/>
  <c r="E1571" i="6"/>
  <c r="C1563" i="6"/>
  <c r="D1563" i="6"/>
  <c r="E1563" i="6"/>
  <c r="C1555" i="6"/>
  <c r="D1555" i="6"/>
  <c r="E1555" i="6"/>
  <c r="C1547" i="6"/>
  <c r="D1547" i="6"/>
  <c r="E1547" i="6"/>
  <c r="C1539" i="6"/>
  <c r="D1539" i="6"/>
  <c r="E1539" i="6"/>
  <c r="C1531" i="6"/>
  <c r="D1531" i="6"/>
  <c r="E1531" i="6"/>
  <c r="C1523" i="6"/>
  <c r="D1523" i="6"/>
  <c r="E1523" i="6"/>
  <c r="C1515" i="6"/>
  <c r="D1515" i="6"/>
  <c r="E1515" i="6"/>
  <c r="C1507" i="6"/>
  <c r="D1507" i="6"/>
  <c r="E1507" i="6"/>
  <c r="C1499" i="6"/>
  <c r="D1499" i="6"/>
  <c r="E1499" i="6"/>
  <c r="C1491" i="6"/>
  <c r="D1491" i="6"/>
  <c r="E1491" i="6"/>
  <c r="C1483" i="6"/>
  <c r="D1483" i="6"/>
  <c r="E1483" i="6"/>
  <c r="C1475" i="6"/>
  <c r="D1475" i="6"/>
  <c r="E1475" i="6"/>
  <c r="E1325" i="6"/>
  <c r="C1325" i="6"/>
  <c r="C1323" i="6"/>
  <c r="E1323" i="6"/>
  <c r="E1309" i="6"/>
  <c r="C1309" i="6"/>
  <c r="C1307" i="6"/>
  <c r="E1307" i="6"/>
  <c r="C1281" i="6"/>
  <c r="F1281" i="6"/>
  <c r="D1281" i="6"/>
  <c r="E1279" i="6"/>
  <c r="F1279" i="6"/>
  <c r="C1279" i="6"/>
  <c r="C1267" i="6"/>
  <c r="E1267" i="6"/>
  <c r="F1267" i="6"/>
  <c r="D1267" i="6"/>
  <c r="E1249" i="6"/>
  <c r="D1249" i="6"/>
  <c r="F1249" i="6"/>
  <c r="C1249" i="6"/>
  <c r="C1235" i="6"/>
  <c r="E1235" i="6"/>
  <c r="F1235" i="6"/>
  <c r="D1235" i="6"/>
  <c r="C1589" i="6"/>
  <c r="C1585" i="6"/>
  <c r="C1581" i="6"/>
  <c r="C1577" i="6"/>
  <c r="C1573" i="6"/>
  <c r="C1569" i="6"/>
  <c r="C1565" i="6"/>
  <c r="C1561" i="6"/>
  <c r="C1557" i="6"/>
  <c r="C1553" i="6"/>
  <c r="C1549" i="6"/>
  <c r="C1545" i="6"/>
  <c r="C1541" i="6"/>
  <c r="C1537" i="6"/>
  <c r="C1533" i="6"/>
  <c r="C1529" i="6"/>
  <c r="C1525" i="6"/>
  <c r="C1521" i="6"/>
  <c r="C1517" i="6"/>
  <c r="C1513" i="6"/>
  <c r="C1509" i="6"/>
  <c r="C1505" i="6"/>
  <c r="C1501" i="6"/>
  <c r="C1497" i="6"/>
  <c r="C1493" i="6"/>
  <c r="C1489" i="6"/>
  <c r="C1485" i="6"/>
  <c r="C1481" i="6"/>
  <c r="C1477" i="6"/>
  <c r="C1463" i="6"/>
  <c r="E1461" i="6"/>
  <c r="C1459" i="6"/>
  <c r="E1457" i="6"/>
  <c r="C1455" i="6"/>
  <c r="E1453" i="6"/>
  <c r="C1451" i="6"/>
  <c r="E1449" i="6"/>
  <c r="C1447" i="6"/>
  <c r="E1445" i="6"/>
  <c r="C1443" i="6"/>
  <c r="E1441" i="6"/>
  <c r="C1439" i="6"/>
  <c r="E1437" i="6"/>
  <c r="C1435" i="6"/>
  <c r="E1433" i="6"/>
  <c r="C1431" i="6"/>
  <c r="F1425" i="6"/>
  <c r="F1424" i="6"/>
  <c r="F1423" i="6"/>
  <c r="D1417" i="6"/>
  <c r="C1416" i="6"/>
  <c r="C1415" i="6"/>
  <c r="F1409" i="6"/>
  <c r="F1408" i="6"/>
  <c r="F1407" i="6"/>
  <c r="D1401" i="6"/>
  <c r="C1400" i="6"/>
  <c r="C1389" i="6"/>
  <c r="F1383" i="6"/>
  <c r="F1382" i="6"/>
  <c r="F1381" i="6"/>
  <c r="D1365" i="6"/>
  <c r="C1364" i="6"/>
  <c r="C1363" i="6"/>
  <c r="F1357" i="6"/>
  <c r="F1356" i="6"/>
  <c r="F1355" i="6"/>
  <c r="D1349" i="6"/>
  <c r="C1348" i="6"/>
  <c r="C1337" i="6"/>
  <c r="F1331" i="6"/>
  <c r="F1330" i="6"/>
  <c r="F1329" i="6"/>
  <c r="E1313" i="6"/>
  <c r="C1313" i="6"/>
  <c r="C1311" i="6"/>
  <c r="E1311" i="6"/>
  <c r="D1296" i="6"/>
  <c r="F1296" i="6"/>
  <c r="C1296" i="6"/>
  <c r="D1288" i="6"/>
  <c r="C1288" i="6"/>
  <c r="F1288" i="6"/>
  <c r="D1266" i="6"/>
  <c r="E1266" i="6"/>
  <c r="F1266" i="6"/>
  <c r="C1266" i="6"/>
  <c r="D1234" i="6"/>
  <c r="E1234" i="6"/>
  <c r="F1234" i="6"/>
  <c r="C1234" i="6"/>
  <c r="D1461" i="6"/>
  <c r="D1457" i="6"/>
  <c r="D1453" i="6"/>
  <c r="D1449" i="6"/>
  <c r="D1445" i="6"/>
  <c r="D1441" i="6"/>
  <c r="D1437" i="6"/>
  <c r="D1433" i="6"/>
  <c r="E1425" i="6"/>
  <c r="E1424" i="6"/>
  <c r="D1423" i="6"/>
  <c r="E1409" i="6"/>
  <c r="E1408" i="6"/>
  <c r="D1407" i="6"/>
  <c r="E1383" i="6"/>
  <c r="E1382" i="6"/>
  <c r="D1381" i="6"/>
  <c r="E1357" i="6"/>
  <c r="E1356" i="6"/>
  <c r="D1355" i="6"/>
  <c r="E1331" i="6"/>
  <c r="E1330" i="6"/>
  <c r="D1329" i="6"/>
  <c r="F1325" i="6"/>
  <c r="F1323" i="6"/>
  <c r="E1317" i="6"/>
  <c r="C1317" i="6"/>
  <c r="C1315" i="6"/>
  <c r="E1315" i="6"/>
  <c r="F1309" i="6"/>
  <c r="F1307" i="6"/>
  <c r="D1280" i="6"/>
  <c r="F1280" i="6"/>
  <c r="C1280" i="6"/>
  <c r="E1265" i="6"/>
  <c r="D1265" i="6"/>
  <c r="F1265" i="6"/>
  <c r="C1265" i="6"/>
  <c r="C1251" i="6"/>
  <c r="E1251" i="6"/>
  <c r="F1251" i="6"/>
  <c r="D1251" i="6"/>
  <c r="F948" i="6"/>
  <c r="G932" i="6" s="1"/>
  <c r="F877" i="6"/>
  <c r="G864" i="6" s="1"/>
  <c r="D1425" i="6"/>
  <c r="C1424" i="6"/>
  <c r="C1423" i="6"/>
  <c r="E1421" i="6"/>
  <c r="E1420" i="6"/>
  <c r="D1419" i="6"/>
  <c r="F1417" i="6"/>
  <c r="F1416" i="6"/>
  <c r="F1415" i="6"/>
  <c r="D1409" i="6"/>
  <c r="C1408" i="6"/>
  <c r="C1407" i="6"/>
  <c r="E1405" i="6"/>
  <c r="E1404" i="6"/>
  <c r="D1403" i="6"/>
  <c r="F1401" i="6"/>
  <c r="F1400" i="6"/>
  <c r="F1389" i="6"/>
  <c r="D1383" i="6"/>
  <c r="C1382" i="6"/>
  <c r="C1381" i="6"/>
  <c r="E1379" i="6"/>
  <c r="E1368" i="6"/>
  <c r="D1367" i="6"/>
  <c r="F1365" i="6"/>
  <c r="F1364" i="6"/>
  <c r="F1363" i="6"/>
  <c r="D1357" i="6"/>
  <c r="C1356" i="6"/>
  <c r="C1355" i="6"/>
  <c r="E1353" i="6"/>
  <c r="E1352" i="6"/>
  <c r="D1351" i="6"/>
  <c r="F1349" i="6"/>
  <c r="F1348" i="6"/>
  <c r="F1337" i="6"/>
  <c r="D1331" i="6"/>
  <c r="C1330" i="6"/>
  <c r="C1329" i="6"/>
  <c r="E1327" i="6"/>
  <c r="D1325" i="6"/>
  <c r="D1323" i="6"/>
  <c r="E1321" i="6"/>
  <c r="C1321" i="6"/>
  <c r="C1319" i="6"/>
  <c r="E1319" i="6"/>
  <c r="F1313" i="6"/>
  <c r="F1311" i="6"/>
  <c r="D1309" i="6"/>
  <c r="D1307" i="6"/>
  <c r="E1305" i="6"/>
  <c r="C1305" i="6"/>
  <c r="C1303" i="6"/>
  <c r="E1303" i="6"/>
  <c r="C1297" i="6"/>
  <c r="F1297" i="6"/>
  <c r="D1297" i="6"/>
  <c r="E1295" i="6"/>
  <c r="F1295" i="6"/>
  <c r="C1295" i="6"/>
  <c r="C1289" i="6"/>
  <c r="D1289" i="6"/>
  <c r="F1289" i="6"/>
  <c r="E1287" i="6"/>
  <c r="C1287" i="6"/>
  <c r="F1287" i="6"/>
  <c r="E1281" i="6"/>
  <c r="D1279" i="6"/>
  <c r="D1250" i="6"/>
  <c r="E1250" i="6"/>
  <c r="F1250" i="6"/>
  <c r="C1250" i="6"/>
  <c r="F1259" i="6"/>
  <c r="F1258" i="6"/>
  <c r="F1257" i="6"/>
  <c r="F1243" i="6"/>
  <c r="F1242" i="6"/>
  <c r="F1241" i="6"/>
  <c r="C1233" i="6"/>
  <c r="F1227" i="6"/>
  <c r="F1226" i="6"/>
  <c r="F1225" i="6"/>
  <c r="D1219" i="6"/>
  <c r="C1208" i="6"/>
  <c r="C1207" i="6"/>
  <c r="E1204" i="6"/>
  <c r="D1204" i="6"/>
  <c r="D1201" i="6"/>
  <c r="C1201" i="6"/>
  <c r="E1188" i="6"/>
  <c r="D1188" i="6"/>
  <c r="D1185" i="6"/>
  <c r="C1185" i="6"/>
  <c r="E1172" i="6"/>
  <c r="D1172" i="6"/>
  <c r="D1169" i="6"/>
  <c r="C1169" i="6"/>
  <c r="E1156" i="6"/>
  <c r="D1156" i="6"/>
  <c r="D1153" i="6"/>
  <c r="C1153" i="6"/>
  <c r="D1131" i="6"/>
  <c r="C1131" i="6"/>
  <c r="E1118" i="6"/>
  <c r="D1118" i="6"/>
  <c r="D1115" i="6"/>
  <c r="C1115" i="6"/>
  <c r="D1093" i="6"/>
  <c r="C1093" i="6"/>
  <c r="E1074" i="6"/>
  <c r="D1074" i="6"/>
  <c r="D1071" i="6"/>
  <c r="C1071" i="6"/>
  <c r="E1048" i="6"/>
  <c r="C1048" i="6"/>
  <c r="D1048" i="6"/>
  <c r="E1034" i="6"/>
  <c r="C1034" i="6"/>
  <c r="D1034" i="6"/>
  <c r="E1012" i="6"/>
  <c r="C1012" i="6"/>
  <c r="D1012" i="6"/>
  <c r="E998" i="6"/>
  <c r="C998" i="6"/>
  <c r="D998" i="6"/>
  <c r="E976" i="6"/>
  <c r="C976" i="6"/>
  <c r="D976" i="6"/>
  <c r="E962" i="6"/>
  <c r="C962" i="6"/>
  <c r="D962" i="6"/>
  <c r="E908" i="6"/>
  <c r="C908" i="6"/>
  <c r="D908" i="6"/>
  <c r="E894" i="6"/>
  <c r="C894" i="6"/>
  <c r="D894" i="6"/>
  <c r="F896" i="6"/>
  <c r="G883" i="6" s="1"/>
  <c r="E854" i="6"/>
  <c r="C854" i="6"/>
  <c r="D854" i="6"/>
  <c r="E846" i="6"/>
  <c r="C846" i="6"/>
  <c r="D846" i="6"/>
  <c r="E838" i="6"/>
  <c r="C838" i="6"/>
  <c r="D838" i="6"/>
  <c r="D1205" i="6"/>
  <c r="C1205" i="6"/>
  <c r="E1192" i="6"/>
  <c r="D1192" i="6"/>
  <c r="D1189" i="6"/>
  <c r="C1189" i="6"/>
  <c r="E1176" i="6"/>
  <c r="D1176" i="6"/>
  <c r="D1173" i="6"/>
  <c r="C1173" i="6"/>
  <c r="E1160" i="6"/>
  <c r="D1160" i="6"/>
  <c r="D1157" i="6"/>
  <c r="C1157" i="6"/>
  <c r="E1144" i="6"/>
  <c r="D1144" i="6"/>
  <c r="E1122" i="6"/>
  <c r="D1122" i="6"/>
  <c r="D1119" i="6"/>
  <c r="C1119" i="6"/>
  <c r="E1106" i="6"/>
  <c r="D1106" i="6"/>
  <c r="D1075" i="6"/>
  <c r="C1075" i="6"/>
  <c r="E1066" i="6"/>
  <c r="C1066" i="6"/>
  <c r="D1066" i="6"/>
  <c r="F1018" i="6"/>
  <c r="G1007" i="6" s="1"/>
  <c r="E940" i="6"/>
  <c r="C940" i="6"/>
  <c r="D940" i="6"/>
  <c r="F914" i="6"/>
  <c r="G902" i="6" s="1"/>
  <c r="E872" i="6"/>
  <c r="C872" i="6"/>
  <c r="D872" i="6"/>
  <c r="E816" i="6"/>
  <c r="C816" i="6"/>
  <c r="D816" i="6"/>
  <c r="E802" i="6"/>
  <c r="C802" i="6"/>
  <c r="D802" i="6"/>
  <c r="E794" i="6"/>
  <c r="C794" i="6"/>
  <c r="D794" i="6"/>
  <c r="E786" i="6"/>
  <c r="C786" i="6"/>
  <c r="D786" i="6"/>
  <c r="E778" i="6"/>
  <c r="C778" i="6"/>
  <c r="D778" i="6"/>
  <c r="E770" i="6"/>
  <c r="C770" i="6"/>
  <c r="D770" i="6"/>
  <c r="E762" i="6"/>
  <c r="C762" i="6"/>
  <c r="D762" i="6"/>
  <c r="E1301" i="6"/>
  <c r="E1300" i="6"/>
  <c r="D1299" i="6"/>
  <c r="E1285" i="6"/>
  <c r="E1284" i="6"/>
  <c r="D1283" i="6"/>
  <c r="D1259" i="6"/>
  <c r="C1258" i="6"/>
  <c r="C1257" i="6"/>
  <c r="E1255" i="6"/>
  <c r="E1254" i="6"/>
  <c r="D1253" i="6"/>
  <c r="D1243" i="6"/>
  <c r="C1242" i="6"/>
  <c r="C1241" i="6"/>
  <c r="E1239" i="6"/>
  <c r="E1238" i="6"/>
  <c r="D1237" i="6"/>
  <c r="F1233" i="6"/>
  <c r="D1227" i="6"/>
  <c r="C1226" i="6"/>
  <c r="C1225" i="6"/>
  <c r="E1223" i="6"/>
  <c r="E1222" i="6"/>
  <c r="D1221" i="6"/>
  <c r="F1219" i="6"/>
  <c r="F1208" i="6"/>
  <c r="F1207" i="6"/>
  <c r="F1204" i="6"/>
  <c r="F1201" i="6"/>
  <c r="E1196" i="6"/>
  <c r="D1196" i="6"/>
  <c r="D1193" i="6"/>
  <c r="C1193" i="6"/>
  <c r="F1188" i="6"/>
  <c r="F1185" i="6"/>
  <c r="E1180" i="6"/>
  <c r="D1180" i="6"/>
  <c r="D1177" i="6"/>
  <c r="C1177" i="6"/>
  <c r="F1172" i="6"/>
  <c r="F1169" i="6"/>
  <c r="E1164" i="6"/>
  <c r="D1164" i="6"/>
  <c r="D1161" i="6"/>
  <c r="C1161" i="6"/>
  <c r="F1156" i="6"/>
  <c r="F1153" i="6"/>
  <c r="E1148" i="6"/>
  <c r="D1148" i="6"/>
  <c r="D1145" i="6"/>
  <c r="C1145" i="6"/>
  <c r="F1131" i="6"/>
  <c r="E1126" i="6"/>
  <c r="D1126" i="6"/>
  <c r="D1123" i="6"/>
  <c r="C1123" i="6"/>
  <c r="F1118" i="6"/>
  <c r="F1115" i="6"/>
  <c r="E1110" i="6"/>
  <c r="D1110" i="6"/>
  <c r="D1107" i="6"/>
  <c r="C1107" i="6"/>
  <c r="F1093" i="6"/>
  <c r="F1096" i="6" s="1"/>
  <c r="G1082" i="6" s="1"/>
  <c r="E1088" i="6"/>
  <c r="D1088" i="6"/>
  <c r="F1074" i="6"/>
  <c r="F1071" i="6"/>
  <c r="E1052" i="6"/>
  <c r="C1052" i="6"/>
  <c r="D1052" i="6"/>
  <c r="E1030" i="6"/>
  <c r="C1030" i="6"/>
  <c r="D1030" i="6"/>
  <c r="E1016" i="6"/>
  <c r="C1016" i="6"/>
  <c r="D1016" i="6"/>
  <c r="E994" i="6"/>
  <c r="C994" i="6"/>
  <c r="D994" i="6"/>
  <c r="E980" i="6"/>
  <c r="C980" i="6"/>
  <c r="D980" i="6"/>
  <c r="E958" i="6"/>
  <c r="C958" i="6"/>
  <c r="D958" i="6"/>
  <c r="G920" i="6"/>
  <c r="E912" i="6"/>
  <c r="C912" i="6"/>
  <c r="D912" i="6"/>
  <c r="E890" i="6"/>
  <c r="C890" i="6"/>
  <c r="D890" i="6"/>
  <c r="E850" i="6"/>
  <c r="C850" i="6"/>
  <c r="D850" i="6"/>
  <c r="E842" i="6"/>
  <c r="C842" i="6"/>
  <c r="D842" i="6"/>
  <c r="E834" i="6"/>
  <c r="C834" i="6"/>
  <c r="D834" i="6"/>
  <c r="F805" i="6"/>
  <c r="G710" i="6" s="1"/>
  <c r="D1233" i="6"/>
  <c r="E1219" i="6"/>
  <c r="E1208" i="6"/>
  <c r="D1207" i="6"/>
  <c r="F1205" i="6"/>
  <c r="E1200" i="6"/>
  <c r="D1200" i="6"/>
  <c r="D1197" i="6"/>
  <c r="C1197" i="6"/>
  <c r="F1192" i="6"/>
  <c r="F1189" i="6"/>
  <c r="E1184" i="6"/>
  <c r="D1184" i="6"/>
  <c r="D1181" i="6"/>
  <c r="C1181" i="6"/>
  <c r="F1176" i="6"/>
  <c r="F1173" i="6"/>
  <c r="E1168" i="6"/>
  <c r="D1168" i="6"/>
  <c r="D1165" i="6"/>
  <c r="C1165" i="6"/>
  <c r="F1160" i="6"/>
  <c r="F1157" i="6"/>
  <c r="E1152" i="6"/>
  <c r="D1152" i="6"/>
  <c r="D1149" i="6"/>
  <c r="C1149" i="6"/>
  <c r="F1144" i="6"/>
  <c r="E1130" i="6"/>
  <c r="D1130" i="6"/>
  <c r="D1127" i="6"/>
  <c r="C1127" i="6"/>
  <c r="F1122" i="6"/>
  <c r="F1119" i="6"/>
  <c r="E1114" i="6"/>
  <c r="D1114" i="6"/>
  <c r="D1111" i="6"/>
  <c r="C1111" i="6"/>
  <c r="F1106" i="6"/>
  <c r="E1092" i="6"/>
  <c r="D1092" i="6"/>
  <c r="D1089" i="6"/>
  <c r="C1089" i="6"/>
  <c r="F1075" i="6"/>
  <c r="E1070" i="6"/>
  <c r="D1070" i="6"/>
  <c r="F983" i="6"/>
  <c r="G971" i="6" s="1"/>
  <c r="E944" i="6"/>
  <c r="C944" i="6"/>
  <c r="D944" i="6"/>
  <c r="E936" i="6"/>
  <c r="C936" i="6"/>
  <c r="D936" i="6"/>
  <c r="E876" i="6"/>
  <c r="C876" i="6"/>
  <c r="D876" i="6"/>
  <c r="E868" i="6"/>
  <c r="C868" i="6"/>
  <c r="D868" i="6"/>
  <c r="E820" i="6"/>
  <c r="C820" i="6"/>
  <c r="D820" i="6"/>
  <c r="E798" i="6"/>
  <c r="C798" i="6"/>
  <c r="D798" i="6"/>
  <c r="E790" i="6"/>
  <c r="C790" i="6"/>
  <c r="D790" i="6"/>
  <c r="E782" i="6"/>
  <c r="C782" i="6"/>
  <c r="D782" i="6"/>
  <c r="E774" i="6"/>
  <c r="C774" i="6"/>
  <c r="D774" i="6"/>
  <c r="E766" i="6"/>
  <c r="C766" i="6"/>
  <c r="D766" i="6"/>
  <c r="C1067" i="6"/>
  <c r="C1053" i="6"/>
  <c r="C1049" i="6"/>
  <c r="C1035" i="6"/>
  <c r="C1031" i="6"/>
  <c r="C1017" i="6"/>
  <c r="C1013" i="6"/>
  <c r="C999" i="6"/>
  <c r="C995" i="6"/>
  <c r="C981" i="6"/>
  <c r="C977" i="6"/>
  <c r="C963" i="6"/>
  <c r="C959" i="6"/>
  <c r="C945" i="6"/>
  <c r="C941" i="6"/>
  <c r="C937" i="6"/>
  <c r="C913" i="6"/>
  <c r="C909" i="6"/>
  <c r="C895" i="6"/>
  <c r="C891" i="6"/>
  <c r="C887" i="6"/>
  <c r="C873" i="6"/>
  <c r="C869" i="6"/>
  <c r="C855" i="6"/>
  <c r="C851" i="6"/>
  <c r="C847" i="6"/>
  <c r="C843" i="6"/>
  <c r="C839" i="6"/>
  <c r="C835" i="6"/>
  <c r="C831" i="6"/>
  <c r="C817" i="6"/>
  <c r="C803" i="6"/>
  <c r="C799" i="6"/>
  <c r="C795" i="6"/>
  <c r="C791" i="6"/>
  <c r="C787" i="6"/>
  <c r="C783" i="6"/>
  <c r="C779" i="6"/>
  <c r="C775" i="6"/>
  <c r="C771" i="6"/>
  <c r="C767" i="6"/>
  <c r="C763" i="6"/>
  <c r="C759" i="6"/>
  <c r="D758" i="6"/>
  <c r="C755" i="6"/>
  <c r="D754" i="6"/>
  <c r="C751" i="6"/>
  <c r="D750" i="6"/>
  <c r="C747" i="6"/>
  <c r="D746" i="6"/>
  <c r="C743" i="6"/>
  <c r="D742" i="6"/>
  <c r="C739" i="6"/>
  <c r="D738" i="6"/>
  <c r="C735" i="6"/>
  <c r="D734" i="6"/>
  <c r="C731" i="6"/>
  <c r="D730" i="6"/>
  <c r="C727" i="6"/>
  <c r="D726" i="6"/>
  <c r="C723" i="6"/>
  <c r="D722" i="6"/>
  <c r="D718" i="6"/>
  <c r="E717" i="6"/>
  <c r="D714" i="6"/>
  <c r="E700" i="6"/>
  <c r="D699" i="6"/>
  <c r="F697" i="6"/>
  <c r="F696" i="6"/>
  <c r="F695" i="6"/>
  <c r="E685" i="6"/>
  <c r="E684" i="6"/>
  <c r="D683" i="6"/>
  <c r="F681" i="6"/>
  <c r="F680" i="6"/>
  <c r="F679" i="6"/>
  <c r="E669" i="6"/>
  <c r="E668" i="6"/>
  <c r="D667" i="6"/>
  <c r="E653" i="6"/>
  <c r="E652" i="6"/>
  <c r="D651" i="6"/>
  <c r="E637" i="6"/>
  <c r="E636" i="6"/>
  <c r="D635" i="6"/>
  <c r="F633" i="6"/>
  <c r="E627" i="6"/>
  <c r="C627" i="6"/>
  <c r="C625" i="6"/>
  <c r="E625" i="6"/>
  <c r="F619" i="6"/>
  <c r="F617" i="6"/>
  <c r="E611" i="6"/>
  <c r="C611" i="6"/>
  <c r="C609" i="6"/>
  <c r="E609" i="6"/>
  <c r="F603" i="6"/>
  <c r="F601" i="6"/>
  <c r="E595" i="6"/>
  <c r="C595" i="6"/>
  <c r="C593" i="6"/>
  <c r="E593" i="6"/>
  <c r="F587" i="6"/>
  <c r="F585" i="6"/>
  <c r="E579" i="6"/>
  <c r="C579" i="6"/>
  <c r="C577" i="6"/>
  <c r="E577" i="6"/>
  <c r="F571" i="6"/>
  <c r="F569" i="6"/>
  <c r="E567" i="6"/>
  <c r="C567" i="6"/>
  <c r="D567" i="6"/>
  <c r="E554" i="6"/>
  <c r="F554" i="6"/>
  <c r="C554" i="6"/>
  <c r="D554" i="6"/>
  <c r="C540" i="6"/>
  <c r="F540" i="6"/>
  <c r="D540" i="6"/>
  <c r="E540" i="6"/>
  <c r="C758" i="6"/>
  <c r="C754" i="6"/>
  <c r="C750" i="6"/>
  <c r="C746" i="6"/>
  <c r="C742" i="6"/>
  <c r="C738" i="6"/>
  <c r="C734" i="6"/>
  <c r="C730" i="6"/>
  <c r="C726" i="6"/>
  <c r="C722" i="6"/>
  <c r="C718" i="6"/>
  <c r="C714" i="6"/>
  <c r="C700" i="6"/>
  <c r="C699" i="6"/>
  <c r="E697" i="6"/>
  <c r="E696" i="6"/>
  <c r="D695" i="6"/>
  <c r="F693" i="6"/>
  <c r="F692" i="6"/>
  <c r="F691" i="6"/>
  <c r="D685" i="6"/>
  <c r="C684" i="6"/>
  <c r="C683" i="6"/>
  <c r="E681" i="6"/>
  <c r="E680" i="6"/>
  <c r="D679" i="6"/>
  <c r="F677" i="6"/>
  <c r="F676" i="6"/>
  <c r="F675" i="6"/>
  <c r="D669" i="6"/>
  <c r="C668" i="6"/>
  <c r="C667" i="6"/>
  <c r="E665" i="6"/>
  <c r="E664" i="6"/>
  <c r="D663" i="6"/>
  <c r="F661" i="6"/>
  <c r="F660" i="6"/>
  <c r="F659" i="6"/>
  <c r="D653" i="6"/>
  <c r="C652" i="6"/>
  <c r="C651" i="6"/>
  <c r="E649" i="6"/>
  <c r="E648" i="6"/>
  <c r="D647" i="6"/>
  <c r="F645" i="6"/>
  <c r="F644" i="6"/>
  <c r="F643" i="6"/>
  <c r="D637" i="6"/>
  <c r="C636" i="6"/>
  <c r="C635" i="6"/>
  <c r="E631" i="6"/>
  <c r="C631" i="6"/>
  <c r="C629" i="6"/>
  <c r="E629" i="6"/>
  <c r="E615" i="6"/>
  <c r="C615" i="6"/>
  <c r="C613" i="6"/>
  <c r="E613" i="6"/>
  <c r="E599" i="6"/>
  <c r="C599" i="6"/>
  <c r="C597" i="6"/>
  <c r="E597" i="6"/>
  <c r="E583" i="6"/>
  <c r="C583" i="6"/>
  <c r="C581" i="6"/>
  <c r="E581" i="6"/>
  <c r="D539" i="6"/>
  <c r="F539" i="6"/>
  <c r="C539" i="6"/>
  <c r="E539" i="6"/>
  <c r="C633" i="6"/>
  <c r="E633" i="6"/>
  <c r="E619" i="6"/>
  <c r="C619" i="6"/>
  <c r="C617" i="6"/>
  <c r="E617" i="6"/>
  <c r="E603" i="6"/>
  <c r="C603" i="6"/>
  <c r="C601" i="6"/>
  <c r="E601" i="6"/>
  <c r="E587" i="6"/>
  <c r="C587" i="6"/>
  <c r="C585" i="6"/>
  <c r="E585" i="6"/>
  <c r="E571" i="6"/>
  <c r="C571" i="6"/>
  <c r="C569" i="6"/>
  <c r="E569" i="6"/>
  <c r="C556" i="6"/>
  <c r="F556" i="6"/>
  <c r="D556" i="6"/>
  <c r="E556" i="6"/>
  <c r="E538" i="6"/>
  <c r="F538" i="6"/>
  <c r="C538" i="6"/>
  <c r="D538" i="6"/>
  <c r="F700" i="6"/>
  <c r="F699" i="6"/>
  <c r="F685" i="6"/>
  <c r="F684" i="6"/>
  <c r="F683" i="6"/>
  <c r="F669" i="6"/>
  <c r="F668" i="6"/>
  <c r="F667" i="6"/>
  <c r="D661" i="6"/>
  <c r="C660" i="6"/>
  <c r="C659" i="6"/>
  <c r="F653" i="6"/>
  <c r="F652" i="6"/>
  <c r="F651" i="6"/>
  <c r="D645" i="6"/>
  <c r="C644" i="6"/>
  <c r="C643" i="6"/>
  <c r="F637" i="6"/>
  <c r="F636" i="6"/>
  <c r="F635" i="6"/>
  <c r="E623" i="6"/>
  <c r="C623" i="6"/>
  <c r="C621" i="6"/>
  <c r="E621" i="6"/>
  <c r="D611" i="6"/>
  <c r="D609" i="6"/>
  <c r="E607" i="6"/>
  <c r="C607" i="6"/>
  <c r="C605" i="6"/>
  <c r="E605" i="6"/>
  <c r="D595" i="6"/>
  <c r="D593" i="6"/>
  <c r="E591" i="6"/>
  <c r="C591" i="6"/>
  <c r="C589" i="6"/>
  <c r="E589" i="6"/>
  <c r="D579" i="6"/>
  <c r="D577" i="6"/>
  <c r="E575" i="6"/>
  <c r="C575" i="6"/>
  <c r="C573" i="6"/>
  <c r="E573" i="6"/>
  <c r="F567" i="6"/>
  <c r="D555" i="6"/>
  <c r="F555" i="6"/>
  <c r="C555" i="6"/>
  <c r="E555" i="6"/>
  <c r="E524" i="6"/>
  <c r="E523" i="6"/>
  <c r="D522" i="6"/>
  <c r="E508" i="6"/>
  <c r="E507" i="6"/>
  <c r="D506" i="6"/>
  <c r="E492" i="6"/>
  <c r="E491" i="6"/>
  <c r="D490" i="6"/>
  <c r="E476" i="6"/>
  <c r="E475" i="6"/>
  <c r="D474" i="6"/>
  <c r="E462" i="6"/>
  <c r="C462" i="6"/>
  <c r="C460" i="6"/>
  <c r="E460" i="6"/>
  <c r="F454" i="6"/>
  <c r="E450" i="6"/>
  <c r="C450" i="6"/>
  <c r="D450" i="6"/>
  <c r="E442" i="6"/>
  <c r="C442" i="6"/>
  <c r="D442" i="6"/>
  <c r="E434" i="6"/>
  <c r="C434" i="6"/>
  <c r="D434" i="6"/>
  <c r="E426" i="6"/>
  <c r="C426" i="6"/>
  <c r="D426" i="6"/>
  <c r="E418" i="6"/>
  <c r="C418" i="6"/>
  <c r="D418" i="6"/>
  <c r="E410" i="6"/>
  <c r="C410" i="6"/>
  <c r="D410" i="6"/>
  <c r="E402" i="6"/>
  <c r="C402" i="6"/>
  <c r="D402" i="6"/>
  <c r="E394" i="6"/>
  <c r="C394" i="6"/>
  <c r="D394" i="6"/>
  <c r="E386" i="6"/>
  <c r="C386" i="6"/>
  <c r="D386" i="6"/>
  <c r="E378" i="6"/>
  <c r="C378" i="6"/>
  <c r="D378" i="6"/>
  <c r="D355" i="6"/>
  <c r="F355" i="6"/>
  <c r="C355" i="6"/>
  <c r="E355" i="6"/>
  <c r="C316" i="6"/>
  <c r="F316" i="6"/>
  <c r="D316" i="6"/>
  <c r="E316" i="6"/>
  <c r="E565" i="6"/>
  <c r="F564" i="6"/>
  <c r="F563" i="6"/>
  <c r="F562" i="6"/>
  <c r="F548" i="6"/>
  <c r="F547" i="6"/>
  <c r="F546" i="6"/>
  <c r="F532" i="6"/>
  <c r="F531" i="6"/>
  <c r="F530" i="6"/>
  <c r="D524" i="6"/>
  <c r="C523" i="6"/>
  <c r="C522" i="6"/>
  <c r="F516" i="6"/>
  <c r="F515" i="6"/>
  <c r="F514" i="6"/>
  <c r="D508" i="6"/>
  <c r="C507" i="6"/>
  <c r="C506" i="6"/>
  <c r="F500" i="6"/>
  <c r="F499" i="6"/>
  <c r="F498" i="6"/>
  <c r="D492" i="6"/>
  <c r="C491" i="6"/>
  <c r="C490" i="6"/>
  <c r="F484" i="6"/>
  <c r="F483" i="6"/>
  <c r="F482" i="6"/>
  <c r="D476" i="6"/>
  <c r="C475" i="6"/>
  <c r="C474" i="6"/>
  <c r="F468" i="6"/>
  <c r="F467" i="6"/>
  <c r="F466" i="6"/>
  <c r="C372" i="6"/>
  <c r="F372" i="6"/>
  <c r="D372" i="6"/>
  <c r="E372" i="6"/>
  <c r="E354" i="6"/>
  <c r="F354" i="6"/>
  <c r="C354" i="6"/>
  <c r="D354" i="6"/>
  <c r="C328" i="6"/>
  <c r="E328" i="6"/>
  <c r="D328" i="6"/>
  <c r="F328" i="6"/>
  <c r="E454" i="6"/>
  <c r="C454" i="6"/>
  <c r="E446" i="6"/>
  <c r="C446" i="6"/>
  <c r="D446" i="6"/>
  <c r="E438" i="6"/>
  <c r="C438" i="6"/>
  <c r="D438" i="6"/>
  <c r="E430" i="6"/>
  <c r="C430" i="6"/>
  <c r="D430" i="6"/>
  <c r="E422" i="6"/>
  <c r="C422" i="6"/>
  <c r="D422" i="6"/>
  <c r="E414" i="6"/>
  <c r="C414" i="6"/>
  <c r="D414" i="6"/>
  <c r="E406" i="6"/>
  <c r="C406" i="6"/>
  <c r="D406" i="6"/>
  <c r="E398" i="6"/>
  <c r="C398" i="6"/>
  <c r="D398" i="6"/>
  <c r="E390" i="6"/>
  <c r="C390" i="6"/>
  <c r="D390" i="6"/>
  <c r="E382" i="6"/>
  <c r="C382" i="6"/>
  <c r="D382" i="6"/>
  <c r="D371" i="6"/>
  <c r="F371" i="6"/>
  <c r="C371" i="6"/>
  <c r="E371" i="6"/>
  <c r="E314" i="6"/>
  <c r="F314" i="6"/>
  <c r="C314" i="6"/>
  <c r="D314" i="6"/>
  <c r="D564" i="6"/>
  <c r="C563" i="6"/>
  <c r="C562" i="6"/>
  <c r="E560" i="6"/>
  <c r="E559" i="6"/>
  <c r="D558" i="6"/>
  <c r="D548" i="6"/>
  <c r="C547" i="6"/>
  <c r="C546" i="6"/>
  <c r="E544" i="6"/>
  <c r="E543" i="6"/>
  <c r="D542" i="6"/>
  <c r="D532" i="6"/>
  <c r="C531" i="6"/>
  <c r="C530" i="6"/>
  <c r="E528" i="6"/>
  <c r="E527" i="6"/>
  <c r="D526" i="6"/>
  <c r="F524" i="6"/>
  <c r="F523" i="6"/>
  <c r="F522" i="6"/>
  <c r="D516" i="6"/>
  <c r="C515" i="6"/>
  <c r="C514" i="6"/>
  <c r="E512" i="6"/>
  <c r="E511" i="6"/>
  <c r="D510" i="6"/>
  <c r="F508" i="6"/>
  <c r="F507" i="6"/>
  <c r="F506" i="6"/>
  <c r="D500" i="6"/>
  <c r="C499" i="6"/>
  <c r="C498" i="6"/>
  <c r="E496" i="6"/>
  <c r="E495" i="6"/>
  <c r="D494" i="6"/>
  <c r="F492" i="6"/>
  <c r="F491" i="6"/>
  <c r="F490" i="6"/>
  <c r="D484" i="6"/>
  <c r="C483" i="6"/>
  <c r="C482" i="6"/>
  <c r="E480" i="6"/>
  <c r="E479" i="6"/>
  <c r="D478" i="6"/>
  <c r="F476" i="6"/>
  <c r="F475" i="6"/>
  <c r="F474" i="6"/>
  <c r="D468" i="6"/>
  <c r="C467" i="6"/>
  <c r="C466" i="6"/>
  <c r="E464" i="6"/>
  <c r="D462" i="6"/>
  <c r="D460" i="6"/>
  <c r="E458" i="6"/>
  <c r="C458" i="6"/>
  <c r="C456" i="6"/>
  <c r="E456" i="6"/>
  <c r="F450" i="6"/>
  <c r="F442" i="6"/>
  <c r="F434" i="6"/>
  <c r="F426" i="6"/>
  <c r="F418" i="6"/>
  <c r="F410" i="6"/>
  <c r="F402" i="6"/>
  <c r="F394" i="6"/>
  <c r="E370" i="6"/>
  <c r="F370" i="6"/>
  <c r="C370" i="6"/>
  <c r="D370" i="6"/>
  <c r="C356" i="6"/>
  <c r="F356" i="6"/>
  <c r="D356" i="6"/>
  <c r="E356" i="6"/>
  <c r="E330" i="6"/>
  <c r="C330" i="6"/>
  <c r="D330" i="6"/>
  <c r="F330" i="6"/>
  <c r="E338" i="6"/>
  <c r="C338" i="6"/>
  <c r="C336" i="6"/>
  <c r="E336" i="6"/>
  <c r="E322" i="6"/>
  <c r="C322" i="6"/>
  <c r="C320" i="6"/>
  <c r="E320" i="6"/>
  <c r="D315" i="6"/>
  <c r="F315" i="6"/>
  <c r="C315" i="6"/>
  <c r="E452" i="6"/>
  <c r="E448" i="6"/>
  <c r="E444" i="6"/>
  <c r="E440" i="6"/>
  <c r="E436" i="6"/>
  <c r="E432" i="6"/>
  <c r="E428" i="6"/>
  <c r="E424" i="6"/>
  <c r="E420" i="6"/>
  <c r="E416" i="6"/>
  <c r="E412" i="6"/>
  <c r="E408" i="6"/>
  <c r="E404" i="6"/>
  <c r="E400" i="6"/>
  <c r="E396" i="6"/>
  <c r="E392" i="6"/>
  <c r="E388" i="6"/>
  <c r="E384" i="6"/>
  <c r="E380" i="6"/>
  <c r="E376" i="6"/>
  <c r="F364" i="6"/>
  <c r="F363" i="6"/>
  <c r="F362" i="6"/>
  <c r="F348" i="6"/>
  <c r="F347" i="6"/>
  <c r="F346" i="6"/>
  <c r="C340" i="6"/>
  <c r="E340" i="6"/>
  <c r="E326" i="6"/>
  <c r="C326" i="6"/>
  <c r="C324" i="6"/>
  <c r="E324" i="6"/>
  <c r="D374" i="6"/>
  <c r="D364" i="6"/>
  <c r="C363" i="6"/>
  <c r="C362" i="6"/>
  <c r="E360" i="6"/>
  <c r="E359" i="6"/>
  <c r="D358" i="6"/>
  <c r="D348" i="6"/>
  <c r="C347" i="6"/>
  <c r="C346" i="6"/>
  <c r="E344" i="6"/>
  <c r="E343" i="6"/>
  <c r="D342" i="6"/>
  <c r="F340" i="6"/>
  <c r="D338" i="6"/>
  <c r="D336" i="6"/>
  <c r="E334" i="6"/>
  <c r="C334" i="6"/>
  <c r="C332" i="6"/>
  <c r="E332" i="6"/>
  <c r="F326" i="6"/>
  <c r="F324" i="6"/>
  <c r="D322" i="6"/>
  <c r="D320" i="6"/>
  <c r="E315" i="6"/>
  <c r="E300" i="6"/>
  <c r="E299" i="6"/>
  <c r="D298" i="6"/>
  <c r="E284" i="6"/>
  <c r="E283" i="6"/>
  <c r="D282" i="6"/>
  <c r="C270" i="6"/>
  <c r="E270" i="6"/>
  <c r="E268" i="6"/>
  <c r="C268" i="6"/>
  <c r="F262" i="6"/>
  <c r="F260" i="6"/>
  <c r="C254" i="6"/>
  <c r="E254" i="6"/>
  <c r="E252" i="6"/>
  <c r="C252" i="6"/>
  <c r="F246" i="6"/>
  <c r="F244" i="6"/>
  <c r="C238" i="6"/>
  <c r="E238" i="6"/>
  <c r="E236" i="6"/>
  <c r="C236" i="6"/>
  <c r="F230" i="6"/>
  <c r="F228" i="6"/>
  <c r="C204" i="6"/>
  <c r="D204" i="6"/>
  <c r="E204" i="6"/>
  <c r="C196" i="6"/>
  <c r="D196" i="6"/>
  <c r="E196" i="6"/>
  <c r="C188" i="6"/>
  <c r="D188" i="6"/>
  <c r="E188" i="6"/>
  <c r="F308" i="6"/>
  <c r="F307" i="6"/>
  <c r="F306" i="6"/>
  <c r="D300" i="6"/>
  <c r="C299" i="6"/>
  <c r="C298" i="6"/>
  <c r="F292" i="6"/>
  <c r="F291" i="6"/>
  <c r="F290" i="6"/>
  <c r="D284" i="6"/>
  <c r="C283" i="6"/>
  <c r="C282" i="6"/>
  <c r="F276" i="6"/>
  <c r="F275" i="6"/>
  <c r="F274" i="6"/>
  <c r="C258" i="6"/>
  <c r="E258" i="6"/>
  <c r="E256" i="6"/>
  <c r="C256" i="6"/>
  <c r="C242" i="6"/>
  <c r="E242" i="6"/>
  <c r="E240" i="6"/>
  <c r="C240" i="6"/>
  <c r="C226" i="6"/>
  <c r="E226" i="6"/>
  <c r="E224" i="6"/>
  <c r="C224" i="6"/>
  <c r="C262" i="6"/>
  <c r="E262" i="6"/>
  <c r="E260" i="6"/>
  <c r="C260" i="6"/>
  <c r="C246" i="6"/>
  <c r="E246" i="6"/>
  <c r="E244" i="6"/>
  <c r="C244" i="6"/>
  <c r="C230" i="6"/>
  <c r="E230" i="6"/>
  <c r="E228" i="6"/>
  <c r="C228" i="6"/>
  <c r="C208" i="6"/>
  <c r="D208" i="6"/>
  <c r="E208" i="6"/>
  <c r="C200" i="6"/>
  <c r="D200" i="6"/>
  <c r="E200" i="6"/>
  <c r="C192" i="6"/>
  <c r="D192" i="6"/>
  <c r="E192" i="6"/>
  <c r="C184" i="6"/>
  <c r="D184" i="6"/>
  <c r="E184" i="6"/>
  <c r="D318" i="6"/>
  <c r="D308" i="6"/>
  <c r="C307" i="6"/>
  <c r="C306" i="6"/>
  <c r="E304" i="6"/>
  <c r="E303" i="6"/>
  <c r="D302" i="6"/>
  <c r="F300" i="6"/>
  <c r="F299" i="6"/>
  <c r="F298" i="6"/>
  <c r="D292" i="6"/>
  <c r="C291" i="6"/>
  <c r="C290" i="6"/>
  <c r="E288" i="6"/>
  <c r="E287" i="6"/>
  <c r="D286" i="6"/>
  <c r="F284" i="6"/>
  <c r="F283" i="6"/>
  <c r="F282" i="6"/>
  <c r="D276" i="6"/>
  <c r="C275" i="6"/>
  <c r="C274" i="6"/>
  <c r="E272" i="6"/>
  <c r="D270" i="6"/>
  <c r="D268" i="6"/>
  <c r="C266" i="6"/>
  <c r="E266" i="6"/>
  <c r="E264" i="6"/>
  <c r="C264" i="6"/>
  <c r="F258" i="6"/>
  <c r="F256" i="6"/>
  <c r="D254" i="6"/>
  <c r="D252" i="6"/>
  <c r="C250" i="6"/>
  <c r="E250" i="6"/>
  <c r="E248" i="6"/>
  <c r="C248" i="6"/>
  <c r="F242" i="6"/>
  <c r="F240" i="6"/>
  <c r="D238" i="6"/>
  <c r="D236" i="6"/>
  <c r="C234" i="6"/>
  <c r="E234" i="6"/>
  <c r="E232" i="6"/>
  <c r="C232" i="6"/>
  <c r="F226" i="6"/>
  <c r="F224" i="6"/>
  <c r="F204" i="6"/>
  <c r="F196" i="6"/>
  <c r="F188" i="6"/>
  <c r="C206" i="6"/>
  <c r="C202" i="6"/>
  <c r="C198" i="6"/>
  <c r="C194" i="6"/>
  <c r="C190" i="6"/>
  <c r="C186" i="6"/>
  <c r="C182" i="6"/>
  <c r="E180" i="6"/>
  <c r="C178" i="6"/>
  <c r="E176" i="6"/>
  <c r="C174" i="6"/>
  <c r="E172" i="6"/>
  <c r="C170" i="6"/>
  <c r="E157" i="6"/>
  <c r="C156" i="6"/>
  <c r="G156" i="6" s="1"/>
  <c r="E155" i="6"/>
  <c r="C154" i="6"/>
  <c r="G154" i="6" s="1"/>
  <c r="E153" i="6"/>
  <c r="C152" i="6"/>
  <c r="G152" i="6" s="1"/>
  <c r="E151" i="6"/>
  <c r="C150" i="6"/>
  <c r="G150" i="6" s="1"/>
  <c r="E149" i="6"/>
  <c r="C148" i="6"/>
  <c r="G148" i="6" s="1"/>
  <c r="E147" i="6"/>
  <c r="C146" i="6"/>
  <c r="G146" i="6" s="1"/>
  <c r="E145" i="6"/>
  <c r="C144" i="6"/>
  <c r="G144" i="6" s="1"/>
  <c r="E143" i="6"/>
  <c r="C142" i="6"/>
  <c r="G142" i="6" s="1"/>
  <c r="E141" i="6"/>
  <c r="C140" i="6"/>
  <c r="G140" i="6" s="1"/>
  <c r="E139" i="6"/>
  <c r="C138" i="6"/>
  <c r="G138" i="6" s="1"/>
  <c r="E137" i="6"/>
  <c r="C135" i="6"/>
  <c r="G135" i="6" s="1"/>
  <c r="D134" i="6"/>
  <c r="D133" i="6"/>
  <c r="E132" i="6"/>
  <c r="F131" i="6"/>
  <c r="F130" i="6"/>
  <c r="C127" i="6"/>
  <c r="G127" i="6" s="1"/>
  <c r="D126" i="6"/>
  <c r="D125" i="6"/>
  <c r="E124" i="6"/>
  <c r="F123" i="6"/>
  <c r="F122" i="6"/>
  <c r="C119" i="6"/>
  <c r="G119" i="6" s="1"/>
  <c r="D118" i="6"/>
  <c r="D117" i="6"/>
  <c r="E116" i="6"/>
  <c r="F115" i="6"/>
  <c r="F114" i="6"/>
  <c r="C111" i="6"/>
  <c r="G111" i="6" s="1"/>
  <c r="D110" i="6"/>
  <c r="D109" i="6"/>
  <c r="E108" i="6"/>
  <c r="F107" i="6"/>
  <c r="F106" i="6"/>
  <c r="E103" i="6"/>
  <c r="D103" i="6"/>
  <c r="C94" i="6"/>
  <c r="G94" i="6" s="1"/>
  <c r="E94" i="6"/>
  <c r="E93" i="6"/>
  <c r="F93" i="6"/>
  <c r="E87" i="6"/>
  <c r="C87" i="6"/>
  <c r="G87" i="6" s="1"/>
  <c r="D87" i="6"/>
  <c r="E79" i="6"/>
  <c r="C79" i="6"/>
  <c r="G79" i="6" s="1"/>
  <c r="D79" i="6"/>
  <c r="D180" i="6"/>
  <c r="D176" i="6"/>
  <c r="D172" i="6"/>
  <c r="D157" i="6"/>
  <c r="D155" i="6"/>
  <c r="D153" i="6"/>
  <c r="D151" i="6"/>
  <c r="D149" i="6"/>
  <c r="D147" i="6"/>
  <c r="D145" i="6"/>
  <c r="D143" i="6"/>
  <c r="D141" i="6"/>
  <c r="D139" i="6"/>
  <c r="D137" i="6"/>
  <c r="D131" i="6"/>
  <c r="E130" i="6"/>
  <c r="D123" i="6"/>
  <c r="E122" i="6"/>
  <c r="D115" i="6"/>
  <c r="E114" i="6"/>
  <c r="D107" i="6"/>
  <c r="E106" i="6"/>
  <c r="F102" i="6"/>
  <c r="D101" i="6"/>
  <c r="C96" i="6"/>
  <c r="G96" i="6" s="1"/>
  <c r="D96" i="6"/>
  <c r="E95" i="6"/>
  <c r="D95" i="6"/>
  <c r="E92" i="6"/>
  <c r="E85" i="6"/>
  <c r="D85" i="6"/>
  <c r="F85" i="6"/>
  <c r="E77" i="6"/>
  <c r="D77" i="6"/>
  <c r="F77" i="6"/>
  <c r="F135" i="6"/>
  <c r="F134" i="6"/>
  <c r="C131" i="6"/>
  <c r="G131" i="6" s="1"/>
  <c r="D130" i="6"/>
  <c r="F127" i="6"/>
  <c r="F126" i="6"/>
  <c r="C123" i="6"/>
  <c r="G123" i="6" s="1"/>
  <c r="D122" i="6"/>
  <c r="F119" i="6"/>
  <c r="F118" i="6"/>
  <c r="C115" i="6"/>
  <c r="G115" i="6" s="1"/>
  <c r="D114" i="6"/>
  <c r="F111" i="6"/>
  <c r="F110" i="6"/>
  <c r="C107" i="6"/>
  <c r="G107" i="6" s="1"/>
  <c r="D106" i="6"/>
  <c r="C100" i="6"/>
  <c r="G100" i="6" s="1"/>
  <c r="F100" i="6"/>
  <c r="E97" i="6"/>
  <c r="C97" i="6"/>
  <c r="G97" i="6" s="1"/>
  <c r="C86" i="6"/>
  <c r="G86" i="6" s="1"/>
  <c r="D86" i="6"/>
  <c r="E86" i="6"/>
  <c r="C78" i="6"/>
  <c r="G78" i="6" s="1"/>
  <c r="D78" i="6"/>
  <c r="E78" i="6"/>
  <c r="C102" i="6"/>
  <c r="G102" i="6" s="1"/>
  <c r="E102" i="6"/>
  <c r="E101" i="6"/>
  <c r="F101" i="6"/>
  <c r="C92" i="6"/>
  <c r="G92" i="6" s="1"/>
  <c r="F92" i="6"/>
  <c r="C84" i="6"/>
  <c r="G84" i="6" s="1"/>
  <c r="E84" i="6"/>
  <c r="F84" i="6"/>
  <c r="C57" i="6"/>
  <c r="G57" i="6" s="1"/>
  <c r="D57" i="6"/>
  <c r="E57" i="6"/>
  <c r="F71" i="6"/>
  <c r="F70" i="6"/>
  <c r="F63" i="6"/>
  <c r="F62" i="6"/>
  <c r="C59" i="6"/>
  <c r="G59" i="6" s="1"/>
  <c r="C89" i="6"/>
  <c r="G89" i="6" s="1"/>
  <c r="D88" i="6"/>
  <c r="C81" i="6"/>
  <c r="G81" i="6" s="1"/>
  <c r="D80" i="6"/>
  <c r="F76" i="6"/>
  <c r="C73" i="6"/>
  <c r="G73" i="6" s="1"/>
  <c r="D71" i="6"/>
  <c r="E70" i="6"/>
  <c r="F69" i="6"/>
  <c r="F68" i="6"/>
  <c r="D63" i="6"/>
  <c r="E62" i="6"/>
  <c r="F61" i="6"/>
  <c r="E76" i="6"/>
  <c r="C71" i="6"/>
  <c r="G71" i="6" s="1"/>
  <c r="D70" i="6"/>
  <c r="D69" i="6"/>
  <c r="E68" i="6"/>
  <c r="F67" i="6"/>
  <c r="F66" i="6"/>
  <c r="C63" i="6"/>
  <c r="G63" i="6" s="1"/>
  <c r="D62" i="6"/>
  <c r="D61" i="6"/>
  <c r="E60" i="6"/>
  <c r="F59" i="6"/>
  <c r="F57" i="6"/>
  <c r="D44" i="6"/>
  <c r="E43" i="6"/>
  <c r="E31" i="6"/>
  <c r="D28" i="6"/>
  <c r="E27" i="6"/>
  <c r="D24" i="6"/>
  <c r="E23" i="6"/>
  <c r="G10" i="6"/>
  <c r="G11" i="6" s="1"/>
  <c r="D9" i="6"/>
  <c r="D43" i="6"/>
  <c r="D31" i="6"/>
  <c r="D27" i="6"/>
  <c r="D23" i="6"/>
  <c r="G65" i="5"/>
  <c r="G98" i="5" s="1"/>
  <c r="G99" i="5" s="1"/>
  <c r="G132" i="5" s="1"/>
  <c r="G133" i="5" s="1"/>
  <c r="G166" i="5" s="1"/>
  <c r="G167" i="5" s="1"/>
  <c r="G200" i="5" s="1"/>
  <c r="G201" i="5" s="1"/>
  <c r="G234" i="5" s="1"/>
  <c r="G235" i="5" s="1"/>
  <c r="G268" i="5" s="1"/>
  <c r="G269" i="5" s="1"/>
  <c r="G302" i="5" s="1"/>
  <c r="G303" i="5" s="1"/>
  <c r="G336" i="5" s="1"/>
  <c r="G337" i="5" s="1"/>
  <c r="G370" i="5" s="1"/>
  <c r="G371" i="5" s="1"/>
  <c r="G404" i="5" s="1"/>
  <c r="G405" i="5" s="1"/>
  <c r="G438" i="5" s="1"/>
  <c r="G439" i="5" s="1"/>
  <c r="G472" i="5" s="1"/>
  <c r="G473" i="5" s="1"/>
  <c r="G506" i="5" s="1"/>
  <c r="G507" i="5" s="1"/>
  <c r="D33" i="5"/>
  <c r="F64" i="5"/>
  <c r="F65" i="5" s="1"/>
  <c r="F1790" i="7" l="1"/>
  <c r="G1771" i="7" s="1"/>
  <c r="F2325" i="7"/>
  <c r="G2306" i="7" s="1"/>
  <c r="F3042" i="6"/>
  <c r="G3019" i="6" s="1"/>
  <c r="F367" i="7"/>
  <c r="G335" i="7" s="1"/>
  <c r="F1091" i="7"/>
  <c r="G1072" i="7" s="1"/>
  <c r="F813" i="7"/>
  <c r="G785" i="7" s="1"/>
  <c r="F838" i="7"/>
  <c r="G819" i="7" s="1"/>
  <c r="F1304" i="7"/>
  <c r="G1285" i="7" s="1"/>
  <c r="F1373" i="7"/>
  <c r="G1344" i="7" s="1"/>
  <c r="F1540" i="7"/>
  <c r="G1521" i="7" s="1"/>
  <c r="F2093" i="7"/>
  <c r="G2074" i="7" s="1"/>
  <c r="F4701" i="6"/>
  <c r="G4682" i="6" s="1"/>
  <c r="F2967" i="7"/>
  <c r="G2948" i="7" s="1"/>
  <c r="F2506" i="6"/>
  <c r="G2383" i="6" s="1"/>
  <c r="F4231" i="6"/>
  <c r="G4212" i="6" s="1"/>
  <c r="F4351" i="6"/>
  <c r="G4332" i="6" s="1"/>
  <c r="F4451" i="6"/>
  <c r="G4432" i="6" s="1"/>
  <c r="F258" i="7"/>
  <c r="G233" i="7" s="1"/>
  <c r="F1066" i="7"/>
  <c r="G1047" i="7" s="1"/>
  <c r="F2842" i="7"/>
  <c r="G2823" i="7" s="1"/>
  <c r="F4601" i="6"/>
  <c r="G4582" i="6" s="1"/>
  <c r="F118" i="7"/>
  <c r="G90" i="7" s="1"/>
  <c r="F1611" i="6"/>
  <c r="G1471" i="6" s="1"/>
  <c r="F4426" i="6"/>
  <c r="G4407" i="6" s="1"/>
  <c r="F4876" i="6"/>
  <c r="G4857" i="6" s="1"/>
  <c r="F2250" i="7"/>
  <c r="G2231" i="7" s="1"/>
  <c r="F2566" i="7"/>
  <c r="G2534" i="7" s="1"/>
  <c r="F1076" i="6"/>
  <c r="G1062" i="6" s="1"/>
  <c r="F1369" i="6"/>
  <c r="G1344" i="6" s="1"/>
  <c r="F1787" i="6"/>
  <c r="G1721" i="6" s="1"/>
  <c r="F2594" i="6"/>
  <c r="G2556" i="6" s="1"/>
  <c r="F3104" i="6"/>
  <c r="G3085" i="6" s="1"/>
  <c r="F3204" i="6"/>
  <c r="G3185" i="6" s="1"/>
  <c r="F3299" i="6"/>
  <c r="G3260" i="6" s="1"/>
  <c r="F3343" i="6"/>
  <c r="G3305" i="6" s="1"/>
  <c r="F5349" i="6"/>
  <c r="G5330" i="6" s="1"/>
  <c r="F4401" i="6"/>
  <c r="G4382" i="6" s="1"/>
  <c r="F4476" i="6"/>
  <c r="G4457" i="6" s="1"/>
  <c r="F5199" i="6"/>
  <c r="G5180" i="6" s="1"/>
  <c r="F719" i="7"/>
  <c r="G700" i="7" s="1"/>
  <c r="F1190" i="7"/>
  <c r="G1171" i="7" s="1"/>
  <c r="F1943" i="7"/>
  <c r="G1923" i="7" s="1"/>
  <c r="F2043" i="7"/>
  <c r="G2024" i="7" s="1"/>
  <c r="F2767" i="7"/>
  <c r="G2737" i="7" s="1"/>
  <c r="F2917" i="7"/>
  <c r="G2898" i="7" s="1"/>
  <c r="F701" i="6"/>
  <c r="G219" i="6" s="1"/>
  <c r="F2806" i="6"/>
  <c r="G2762" i="6" s="1"/>
  <c r="F4095" i="6"/>
  <c r="G4009" i="6" s="1"/>
  <c r="F4206" i="6"/>
  <c r="G4151" i="6" s="1"/>
  <c r="F4501" i="6"/>
  <c r="G4482" i="6" s="1"/>
  <c r="F4651" i="6"/>
  <c r="G4632" i="6" s="1"/>
  <c r="F5026" i="6"/>
  <c r="G5007" i="6" s="1"/>
  <c r="F5149" i="6"/>
  <c r="G5130" i="6" s="1"/>
  <c r="F329" i="7"/>
  <c r="G298" i="7" s="1"/>
  <c r="F669" i="7"/>
  <c r="G650" i="7" s="1"/>
  <c r="F905" i="7"/>
  <c r="G886" i="7" s="1"/>
  <c r="F955" i="7"/>
  <c r="G911" i="7" s="1"/>
  <c r="F1465" i="7"/>
  <c r="G1446" i="7" s="1"/>
  <c r="F2118" i="7"/>
  <c r="G2099" i="7" s="1"/>
  <c r="F2300" i="7"/>
  <c r="G2281" i="7" s="1"/>
  <c r="F2817" i="7"/>
  <c r="G2798" i="7" s="1"/>
  <c r="F210" i="6"/>
  <c r="G166" i="6" s="1"/>
  <c r="F1666" i="6"/>
  <c r="G1617" i="6" s="1"/>
  <c r="F1715" i="6"/>
  <c r="G1672" i="6" s="1"/>
  <c r="F2988" i="6"/>
  <c r="G2969" i="6" s="1"/>
  <c r="F2708" i="6"/>
  <c r="G2669" i="6" s="1"/>
  <c r="F3254" i="6"/>
  <c r="G3235" i="6" s="1"/>
  <c r="F4120" i="6"/>
  <c r="G4101" i="6" s="1"/>
  <c r="F4376" i="6"/>
  <c r="G4357" i="6" s="1"/>
  <c r="F4526" i="6"/>
  <c r="G4507" i="6" s="1"/>
  <c r="F5174" i="6"/>
  <c r="G5155" i="6" s="1"/>
  <c r="F227" i="7"/>
  <c r="G208" i="7" s="1"/>
  <c r="F754" i="7"/>
  <c r="G725" i="7" s="1"/>
  <c r="F1338" i="7"/>
  <c r="G1310" i="7" s="1"/>
  <c r="F1440" i="7"/>
  <c r="G1413" i="7" s="1"/>
  <c r="F2018" i="7"/>
  <c r="G1999" i="7" s="1"/>
  <c r="F1892" i="7"/>
  <c r="G1873" i="7" s="1"/>
  <c r="F1917" i="7"/>
  <c r="G1898" i="7" s="1"/>
  <c r="F1993" i="7"/>
  <c r="G1974" i="7" s="1"/>
  <c r="F2068" i="7"/>
  <c r="G2049" i="7" s="1"/>
  <c r="F2867" i="7"/>
  <c r="G2848" i="7" s="1"/>
  <c r="F2892" i="7"/>
  <c r="G2873" i="7" s="1"/>
  <c r="F2731" i="7"/>
  <c r="G2696" i="7" s="1"/>
  <c r="F5299" i="6"/>
  <c r="G5280" i="6" s="1"/>
  <c r="F433" i="7"/>
  <c r="G406" i="7" s="1"/>
  <c r="F292" i="7"/>
  <c r="G264" i="7" s="1"/>
  <c r="F880" i="7"/>
  <c r="G844" i="7" s="1"/>
  <c r="F1279" i="7"/>
  <c r="G1251" i="7" s="1"/>
  <c r="F2225" i="7"/>
  <c r="G2124" i="7" s="1"/>
  <c r="F2528" i="7"/>
  <c r="G2374" i="7" s="1"/>
  <c r="F152" i="7"/>
  <c r="G124" i="7" s="1"/>
  <c r="F483" i="7"/>
  <c r="G464" i="7" s="1"/>
  <c r="F694" i="7"/>
  <c r="G675" i="7" s="1"/>
  <c r="F1165" i="7"/>
  <c r="G1097" i="7" s="1"/>
  <c r="F1041" i="7"/>
  <c r="G1022" i="7" s="1"/>
  <c r="F1215" i="7"/>
  <c r="G1196" i="7" s="1"/>
  <c r="F1867" i="7"/>
  <c r="G1848" i="7" s="1"/>
  <c r="F1968" i="7"/>
  <c r="G1949" i="7" s="1"/>
  <c r="F2368" i="7"/>
  <c r="G2331" i="7" s="1"/>
  <c r="F177" i="7"/>
  <c r="G158" i="7" s="1"/>
  <c r="F1245" i="7"/>
  <c r="G1221" i="7" s="1"/>
  <c r="F1815" i="7"/>
  <c r="G1796" i="7" s="1"/>
  <c r="F2275" i="7"/>
  <c r="G2256" i="7" s="1"/>
  <c r="F644" i="7"/>
  <c r="G610" i="7" s="1"/>
  <c r="F1016" i="7"/>
  <c r="G997" i="7" s="1"/>
  <c r="F2591" i="7"/>
  <c r="G2572" i="7" s="1"/>
  <c r="F2792" i="7"/>
  <c r="G2773" i="7" s="1"/>
  <c r="F2690" i="7"/>
  <c r="G2597" i="7" s="1"/>
  <c r="F202" i="7"/>
  <c r="G183" i="7" s="1"/>
  <c r="F84" i="7"/>
  <c r="G56" i="7" s="1"/>
  <c r="F458" i="7"/>
  <c r="G439" i="7" s="1"/>
  <c r="F991" i="7"/>
  <c r="G961" i="7" s="1"/>
  <c r="F1840" i="7"/>
  <c r="G1821" i="7" s="1"/>
  <c r="F2942" i="7"/>
  <c r="G2923" i="7" s="1"/>
  <c r="G158" i="6"/>
  <c r="F1132" i="6"/>
  <c r="G1102" i="6" s="1"/>
  <c r="F1268" i="6"/>
  <c r="G1215" i="6" s="1"/>
  <c r="F1465" i="6"/>
  <c r="G1396" i="6" s="1"/>
  <c r="F2147" i="6"/>
  <c r="G2101" i="6" s="1"/>
  <c r="F3129" i="6"/>
  <c r="G3110" i="6" s="1"/>
  <c r="F4145" i="6"/>
  <c r="G4126" i="6" s="1"/>
  <c r="F4326" i="6"/>
  <c r="G4307" i="6" s="1"/>
  <c r="F5399" i="6"/>
  <c r="G5380" i="6" s="1"/>
  <c r="F5424" i="6"/>
  <c r="G5405" i="6" s="1"/>
  <c r="F4901" i="6"/>
  <c r="G4882" i="6" s="1"/>
  <c r="F5001" i="6"/>
  <c r="G4982" i="6" s="1"/>
  <c r="F5099" i="6"/>
  <c r="G5057" i="6" s="1"/>
  <c r="F158" i="6"/>
  <c r="G52" i="6" s="1"/>
  <c r="F1390" i="6"/>
  <c r="G1375" i="6" s="1"/>
  <c r="F2095" i="6"/>
  <c r="G1937" i="6" s="1"/>
  <c r="F1931" i="6"/>
  <c r="G1793" i="6" s="1"/>
  <c r="F2202" i="6"/>
  <c r="G2153" i="6" s="1"/>
  <c r="F2850" i="6"/>
  <c r="G2812" i="6" s="1"/>
  <c r="F2884" i="6"/>
  <c r="G2856" i="6" s="1"/>
  <c r="F2938" i="6"/>
  <c r="G2915" i="6" s="1"/>
  <c r="F3079" i="6"/>
  <c r="G3048" i="6" s="1"/>
  <c r="F4551" i="6"/>
  <c r="G4532" i="6" s="1"/>
  <c r="F5374" i="6"/>
  <c r="G5355" i="6" s="1"/>
  <c r="F5324" i="6"/>
  <c r="G5305" i="6" s="1"/>
  <c r="F2638" i="6"/>
  <c r="G2600" i="6" s="1"/>
  <c r="F3229" i="6"/>
  <c r="G3210" i="6" s="1"/>
  <c r="F4276" i="6"/>
  <c r="G4237" i="6" s="1"/>
  <c r="F4576" i="6"/>
  <c r="G4557" i="6" s="1"/>
  <c r="F5274" i="6"/>
  <c r="G5255" i="6" s="1"/>
  <c r="F1209" i="6"/>
  <c r="G1138" i="6" s="1"/>
  <c r="F1338" i="6"/>
  <c r="G1274" i="6" s="1"/>
  <c r="F2550" i="6"/>
  <c r="G2512" i="6" s="1"/>
  <c r="F3013" i="6"/>
  <c r="G2994" i="6" s="1"/>
  <c r="F2663" i="6"/>
  <c r="G2644" i="6" s="1"/>
  <c r="F2756" i="6"/>
  <c r="G2714" i="6" s="1"/>
  <c r="F3154" i="6"/>
  <c r="G3135" i="6" s="1"/>
  <c r="F3179" i="6"/>
  <c r="G3160" i="6" s="1"/>
  <c r="F2909" i="6"/>
  <c r="G2890" i="6" s="1"/>
  <c r="F2963" i="6"/>
  <c r="G2944" i="6" s="1"/>
  <c r="F4301" i="6"/>
  <c r="G4282" i="6" s="1"/>
  <c r="F5249" i="6"/>
  <c r="G5230" i="6" s="1"/>
  <c r="F4801" i="6"/>
  <c r="G4782" i="6" s="1"/>
  <c r="F4826" i="6"/>
  <c r="G4807" i="6" s="1"/>
  <c r="G540" i="5"/>
  <c r="G541" i="5" s="1"/>
  <c r="G574" i="5" s="1"/>
  <c r="G575" i="5" s="1"/>
  <c r="G608" i="5" s="1"/>
  <c r="G609" i="5" s="1"/>
  <c r="G642" i="5" s="1"/>
  <c r="G643" i="5" s="1"/>
  <c r="G676" i="5" s="1"/>
  <c r="G677" i="5" s="1"/>
  <c r="G710" i="5" s="1"/>
  <c r="G711" i="5" s="1"/>
  <c r="G744" i="5" s="1"/>
  <c r="G745" i="5" s="1"/>
  <c r="G778" i="5" s="1"/>
  <c r="G779" i="5" s="1"/>
  <c r="G812" i="5" s="1"/>
  <c r="G813" i="5" s="1"/>
  <c r="G846" i="5" s="1"/>
  <c r="G847" i="5" s="1"/>
  <c r="G880" i="5" s="1"/>
  <c r="G881" i="5" s="1"/>
  <c r="G914" i="5" s="1"/>
  <c r="G915" i="5" s="1"/>
  <c r="G948" i="5" s="1"/>
  <c r="G949" i="5" s="1"/>
  <c r="G982" i="5" s="1"/>
  <c r="G983" i="5" s="1"/>
  <c r="G1016" i="5" s="1"/>
  <c r="G1017" i="5" s="1"/>
  <c r="D67" i="5"/>
  <c r="F98" i="5"/>
  <c r="F99" i="5" s="1"/>
  <c r="G1050" i="5" l="1"/>
  <c r="G1051" i="5" s="1"/>
  <c r="G1084" i="5" s="1"/>
  <c r="G1085" i="5" s="1"/>
  <c r="G1118" i="5" s="1"/>
  <c r="G1119" i="5" s="1"/>
  <c r="G1152" i="5" s="1"/>
  <c r="G1153" i="5" s="1"/>
  <c r="G1186" i="5" s="1"/>
  <c r="G1187" i="5" s="1"/>
  <c r="G1220" i="5" s="1"/>
  <c r="G1221" i="5" s="1"/>
  <c r="G1254" i="5" s="1"/>
  <c r="G1255" i="5" s="1"/>
  <c r="G1288" i="5" s="1"/>
  <c r="G1289" i="5" s="1"/>
  <c r="G1322" i="5" s="1"/>
  <c r="G1323" i="5" s="1"/>
  <c r="G1356" i="5" s="1"/>
  <c r="G1357" i="5" s="1"/>
  <c r="G1390" i="5" s="1"/>
  <c r="G1391" i="5" s="1"/>
  <c r="G1424" i="5" s="1"/>
  <c r="G1425" i="5" s="1"/>
  <c r="G1458" i="5" s="1"/>
  <c r="G1459" i="5" s="1"/>
  <c r="G1492" i="5" s="1"/>
  <c r="G1493" i="5" s="1"/>
  <c r="G1526" i="5" s="1"/>
  <c r="G1527" i="5" s="1"/>
  <c r="G1560" i="5" s="1"/>
  <c r="G1561" i="5" s="1"/>
  <c r="G1594" i="5" s="1"/>
  <c r="G1595" i="5" s="1"/>
  <c r="G1628" i="5" s="1"/>
  <c r="G1629" i="5" s="1"/>
  <c r="G1662" i="5" s="1"/>
  <c r="G1663" i="5" s="1"/>
  <c r="G1696" i="5" s="1"/>
  <c r="G1697" i="5" s="1"/>
  <c r="G1730" i="5" s="1"/>
  <c r="G1731" i="5" s="1"/>
  <c r="G1764" i="5" s="1"/>
  <c r="G1765" i="5" s="1"/>
  <c r="G1798" i="5" s="1"/>
  <c r="G1799" i="5" s="1"/>
  <c r="G1832" i="5" s="1"/>
  <c r="G1833" i="5" s="1"/>
  <c r="G1866" i="5" s="1"/>
  <c r="G1867" i="5" s="1"/>
  <c r="G1900" i="5" s="1"/>
  <c r="G1901" i="5" s="1"/>
  <c r="G1934" i="5" s="1"/>
  <c r="G1935" i="5" s="1"/>
  <c r="G1968" i="5" s="1"/>
  <c r="G1969" i="5" s="1"/>
  <c r="G2002" i="5" s="1"/>
  <c r="G2003" i="5" s="1"/>
  <c r="G2036" i="5" s="1"/>
  <c r="G2037" i="5" s="1"/>
  <c r="G2070" i="5" s="1"/>
  <c r="G2071" i="5" s="1"/>
  <c r="G2104" i="5" s="1"/>
  <c r="G2105" i="5" s="1"/>
  <c r="G2138" i="5" s="1"/>
  <c r="G2139" i="5" s="1"/>
  <c r="G2172" i="5" s="1"/>
  <c r="G2173" i="5" s="1"/>
  <c r="G2206" i="5" s="1"/>
  <c r="G2207" i="5" s="1"/>
  <c r="G2240" i="5" s="1"/>
  <c r="G2241" i="5" s="1"/>
  <c r="G2274" i="5" s="1"/>
  <c r="G2275" i="5" s="1"/>
  <c r="G2308" i="5" s="1"/>
  <c r="G2309" i="5" s="1"/>
  <c r="G2342" i="5" s="1"/>
  <c r="G2343" i="5" s="1"/>
  <c r="G2376" i="5" s="1"/>
  <c r="G2377" i="5" s="1"/>
  <c r="G2410" i="5" s="1"/>
  <c r="G2411" i="5" s="1"/>
  <c r="G2444" i="5" s="1"/>
  <c r="G2445" i="5" s="1"/>
  <c r="G2478" i="5" s="1"/>
  <c r="G2479" i="5" s="1"/>
  <c r="G2512" i="5" s="1"/>
  <c r="G2513" i="5" s="1"/>
  <c r="G2546" i="5" s="1"/>
  <c r="G2547" i="5" s="1"/>
  <c r="G2580" i="5" s="1"/>
  <c r="G2581" i="5" s="1"/>
  <c r="G2614" i="5" s="1"/>
  <c r="G2615" i="5" s="1"/>
  <c r="G2648" i="5" s="1"/>
  <c r="G2649" i="5" s="1"/>
  <c r="G2682" i="5" s="1"/>
  <c r="G2683" i="5" s="1"/>
  <c r="G2716" i="5" s="1"/>
  <c r="G2717" i="5" s="1"/>
  <c r="G2750" i="5" s="1"/>
  <c r="G2751" i="5" s="1"/>
  <c r="G2784" i="5" s="1"/>
  <c r="G2785" i="5" s="1"/>
  <c r="G2818" i="5" s="1"/>
  <c r="G2819" i="5" s="1"/>
  <c r="G2852" i="5" s="1"/>
  <c r="G2853" i="5" s="1"/>
  <c r="G2886" i="5" s="1"/>
  <c r="G2887" i="5" s="1"/>
  <c r="G2920" i="5" s="1"/>
  <c r="G2921" i="5" s="1"/>
  <c r="G2954" i="5" s="1"/>
  <c r="G2955" i="5" s="1"/>
  <c r="G2988" i="5" s="1"/>
  <c r="G2989" i="5" s="1"/>
  <c r="G3022" i="5" s="1"/>
  <c r="G3023" i="5" s="1"/>
  <c r="G3056" i="5" s="1"/>
  <c r="G3057" i="5" s="1"/>
  <c r="G3090" i="5" s="1"/>
  <c r="G3091" i="5" s="1"/>
  <c r="G3124" i="5" s="1"/>
  <c r="G3125" i="5" s="1"/>
  <c r="G3158" i="5" s="1"/>
  <c r="G3159" i="5" s="1"/>
  <c r="G3192" i="5" s="1"/>
  <c r="G3193" i="5" s="1"/>
  <c r="G3226" i="5" s="1"/>
  <c r="G3227" i="5" s="1"/>
  <c r="G3260" i="5" s="1"/>
  <c r="G3261" i="5" s="1"/>
  <c r="G3294" i="5" s="1"/>
  <c r="G3295" i="5" s="1"/>
  <c r="G3328" i="5" s="1"/>
  <c r="G3329" i="5" s="1"/>
  <c r="G3362" i="5" s="1"/>
  <c r="G3363" i="5" s="1"/>
  <c r="G3396" i="5" s="1"/>
  <c r="G3397" i="5" s="1"/>
  <c r="G3430" i="5" s="1"/>
  <c r="G3431" i="5" s="1"/>
  <c r="G3464" i="5" s="1"/>
  <c r="G3465" i="5" s="1"/>
  <c r="G3498" i="5" s="1"/>
  <c r="G3499" i="5" s="1"/>
  <c r="G3532" i="5" s="1"/>
  <c r="G3533" i="5" s="1"/>
  <c r="G3566" i="5" s="1"/>
  <c r="G3567" i="5" s="1"/>
  <c r="G3600" i="5" s="1"/>
  <c r="G3601" i="5" s="1"/>
  <c r="G3634" i="5" s="1"/>
  <c r="G3635" i="5" s="1"/>
  <c r="G3668" i="5" s="1"/>
  <c r="G3669" i="5" s="1"/>
  <c r="G3702" i="5" s="1"/>
  <c r="G3703" i="5" s="1"/>
  <c r="G3736" i="5" s="1"/>
  <c r="G3737" i="5" s="1"/>
  <c r="G3770" i="5" s="1"/>
  <c r="G3771" i="5" s="1"/>
  <c r="G3804" i="5" s="1"/>
  <c r="G3805" i="5" s="1"/>
  <c r="G3838" i="5" s="1"/>
  <c r="G3839" i="5" s="1"/>
  <c r="D101" i="5"/>
  <c r="F132" i="5"/>
  <c r="F133" i="5" s="1"/>
  <c r="G3872" i="5" l="1"/>
  <c r="G3873" i="5" s="1"/>
  <c r="G3906" i="5" s="1"/>
  <c r="G3907" i="5" s="1"/>
  <c r="G3940" i="5" s="1"/>
  <c r="G3941" i="5" s="1"/>
  <c r="G3974" i="5" s="1"/>
  <c r="G3975" i="5" s="1"/>
  <c r="G4008" i="5" s="1"/>
  <c r="G4009" i="5" s="1"/>
  <c r="G4042" i="5" s="1"/>
  <c r="G4043" i="5" s="1"/>
  <c r="G4076" i="5" s="1"/>
  <c r="G4077" i="5" s="1"/>
  <c r="G4110" i="5" s="1"/>
  <c r="G4111" i="5" s="1"/>
  <c r="G4144" i="5" s="1"/>
  <c r="G4145" i="5" s="1"/>
  <c r="G4178" i="5" s="1"/>
  <c r="G4179" i="5" s="1"/>
  <c r="G4212" i="5" s="1"/>
  <c r="G4213" i="5" s="1"/>
  <c r="G4246" i="5" s="1"/>
  <c r="G4247" i="5" s="1"/>
  <c r="G4280" i="5" s="1"/>
  <c r="G4281" i="5" s="1"/>
  <c r="G4314" i="5" s="1"/>
  <c r="G4315" i="5" s="1"/>
  <c r="G4348" i="5" s="1"/>
  <c r="G4349" i="5" s="1"/>
  <c r="G4382" i="5" s="1"/>
  <c r="G4383" i="5" s="1"/>
  <c r="G4416" i="5" s="1"/>
  <c r="G4417" i="5" s="1"/>
  <c r="G4450" i="5" s="1"/>
  <c r="G4451" i="5" s="1"/>
  <c r="D135" i="5"/>
  <c r="F166" i="5"/>
  <c r="F167" i="5" s="1"/>
  <c r="G4484" i="5" l="1"/>
  <c r="G4485" i="5" s="1"/>
  <c r="G4518" i="5" s="1"/>
  <c r="G4519" i="5" s="1"/>
  <c r="G4552" i="5" s="1"/>
  <c r="G4553" i="5" s="1"/>
  <c r="G4586" i="5" s="1"/>
  <c r="G4587" i="5" s="1"/>
  <c r="G4620" i="5" s="1"/>
  <c r="G4621" i="5" s="1"/>
  <c r="G4654" i="5" s="1"/>
  <c r="G4655" i="5" s="1"/>
  <c r="G4688" i="5" s="1"/>
  <c r="G4689" i="5" s="1"/>
  <c r="G4722" i="5" s="1"/>
  <c r="G4723" i="5" s="1"/>
  <c r="G4756" i="5" s="1"/>
  <c r="G4757" i="5" s="1"/>
  <c r="G4790" i="5" s="1"/>
  <c r="G4791" i="5" s="1"/>
  <c r="G4824" i="5" s="1"/>
  <c r="G4825" i="5" s="1"/>
  <c r="G4858" i="5" s="1"/>
  <c r="G4859" i="5" s="1"/>
  <c r="G4892" i="5" s="1"/>
  <c r="G4893" i="5" s="1"/>
  <c r="G4926" i="5" s="1"/>
  <c r="G4927" i="5" s="1"/>
  <c r="G4960" i="5" s="1"/>
  <c r="G4961" i="5" s="1"/>
  <c r="G4994" i="5" s="1"/>
  <c r="G4995" i="5" s="1"/>
  <c r="G5028" i="5" s="1"/>
  <c r="G5029" i="5" s="1"/>
  <c r="G5062" i="5" s="1"/>
  <c r="G5063" i="5" s="1"/>
  <c r="G5096" i="5" s="1"/>
  <c r="G5097" i="5" s="1"/>
  <c r="G5130" i="5" s="1"/>
  <c r="G5131" i="5" s="1"/>
  <c r="G5164" i="5" s="1"/>
  <c r="G5165" i="5" s="1"/>
  <c r="G5198" i="5" s="1"/>
  <c r="G5199" i="5" s="1"/>
  <c r="G5232" i="5" s="1"/>
  <c r="G5233" i="5" s="1"/>
  <c r="G5266" i="5" s="1"/>
  <c r="G5267" i="5" s="1"/>
  <c r="G5300" i="5" s="1"/>
  <c r="G5301" i="5" s="1"/>
  <c r="G5334" i="5" s="1"/>
  <c r="G5335" i="5" s="1"/>
  <c r="G5368" i="5" s="1"/>
  <c r="G5369" i="5" s="1"/>
  <c r="G5402" i="5" s="1"/>
  <c r="G5403" i="5" s="1"/>
  <c r="G5436" i="5" s="1"/>
  <c r="G5437" i="5" s="1"/>
  <c r="G5470" i="5" s="1"/>
  <c r="G5471" i="5" s="1"/>
  <c r="G5504" i="5" s="1"/>
  <c r="G5505" i="5" s="1"/>
  <c r="G5538" i="5" s="1"/>
  <c r="G5539" i="5" s="1"/>
  <c r="G5572" i="5" s="1"/>
  <c r="G5573" i="5" s="1"/>
  <c r="G5606" i="5" s="1"/>
  <c r="G5607" i="5" s="1"/>
  <c r="G5640" i="5" s="1"/>
  <c r="G5641" i="5" s="1"/>
  <c r="G5674" i="5" s="1"/>
  <c r="G5675" i="5" s="1"/>
  <c r="G5708" i="5" s="1"/>
  <c r="G5709" i="5" s="1"/>
  <c r="G5742" i="5" s="1"/>
  <c r="G5743" i="5" s="1"/>
  <c r="G5776" i="5" s="1"/>
  <c r="G5777" i="5" s="1"/>
  <c r="G5810" i="5" s="1"/>
  <c r="G5811" i="5" s="1"/>
  <c r="G5844" i="5" s="1"/>
  <c r="G5845" i="5" s="1"/>
  <c r="G5878" i="5" s="1"/>
  <c r="G5879" i="5" s="1"/>
  <c r="G5912" i="5" s="1"/>
  <c r="G5913" i="5" s="1"/>
  <c r="G5946" i="5" s="1"/>
  <c r="G5947" i="5" s="1"/>
  <c r="G5980" i="5" s="1"/>
  <c r="G5981" i="5" s="1"/>
  <c r="G6014" i="5" s="1"/>
  <c r="G6015" i="5" s="1"/>
  <c r="G6048" i="5" s="1"/>
  <c r="G6049" i="5" s="1"/>
  <c r="G6082" i="5" s="1"/>
  <c r="G6083" i="5" s="1"/>
  <c r="G6116" i="5" s="1"/>
  <c r="G6117" i="5" s="1"/>
  <c r="G6150" i="5" s="1"/>
  <c r="G6151" i="5" s="1"/>
  <c r="G6184" i="5" s="1"/>
  <c r="G6185" i="5" s="1"/>
  <c r="G6218" i="5" s="1"/>
  <c r="G6219" i="5" s="1"/>
  <c r="G6252" i="5" s="1"/>
  <c r="G6253" i="5" s="1"/>
  <c r="G6286" i="5" s="1"/>
  <c r="G6287" i="5" s="1"/>
  <c r="G6320" i="5" s="1"/>
  <c r="G6321" i="5" s="1"/>
  <c r="G6354" i="5" s="1"/>
  <c r="G6355" i="5" s="1"/>
  <c r="G6388" i="5" s="1"/>
  <c r="G6389" i="5" s="1"/>
  <c r="G6422" i="5" s="1"/>
  <c r="G6423" i="5" s="1"/>
  <c r="G6456" i="5" s="1"/>
  <c r="G6457" i="5" s="1"/>
  <c r="G6490" i="5" s="1"/>
  <c r="G6491" i="5" s="1"/>
  <c r="G6524" i="5" s="1"/>
  <c r="G6525" i="5" s="1"/>
  <c r="G6558" i="5" s="1"/>
  <c r="G6559" i="5" s="1"/>
  <c r="G6592" i="5" s="1"/>
  <c r="G6593" i="5" s="1"/>
  <c r="G6626" i="5" s="1"/>
  <c r="G6627" i="5" s="1"/>
  <c r="G6660" i="5" s="1"/>
  <c r="G6661" i="5" s="1"/>
  <c r="G6694" i="5" s="1"/>
  <c r="G6695" i="5" s="1"/>
  <c r="G6728" i="5" s="1"/>
  <c r="G6729" i="5" s="1"/>
  <c r="G6762" i="5" s="1"/>
  <c r="G6763" i="5" s="1"/>
  <c r="G6796" i="5" s="1"/>
  <c r="G6797" i="5" s="1"/>
  <c r="G6830" i="5" s="1"/>
  <c r="G6831" i="5" s="1"/>
  <c r="G6864" i="5" s="1"/>
  <c r="G6865" i="5" s="1"/>
  <c r="G6898" i="5" s="1"/>
  <c r="G6899" i="5" s="1"/>
  <c r="G6932" i="5" s="1"/>
  <c r="G6933" i="5" s="1"/>
  <c r="G6966" i="5" s="1"/>
  <c r="G6967" i="5" s="1"/>
  <c r="G7000" i="5" s="1"/>
  <c r="G7001" i="5" s="1"/>
  <c r="G7034" i="5" s="1"/>
  <c r="G7035" i="5" s="1"/>
  <c r="G7068" i="5" s="1"/>
  <c r="G7069" i="5" s="1"/>
  <c r="G7102" i="5" s="1"/>
  <c r="G7103" i="5" s="1"/>
  <c r="G7136" i="5" s="1"/>
  <c r="G7137" i="5" s="1"/>
  <c r="G7170" i="5" s="1"/>
  <c r="G7171" i="5" s="1"/>
  <c r="G7204" i="5" s="1"/>
  <c r="G7205" i="5" s="1"/>
  <c r="G7238" i="5" s="1"/>
  <c r="G7239" i="5" s="1"/>
  <c r="G7272" i="5" s="1"/>
  <c r="G7273" i="5" s="1"/>
  <c r="G7306" i="5" s="1"/>
  <c r="G7307" i="5" s="1"/>
  <c r="G7340" i="5" s="1"/>
  <c r="G7341" i="5" s="1"/>
  <c r="G7374" i="5" s="1"/>
  <c r="G7375" i="5" s="1"/>
  <c r="G7408" i="5" s="1"/>
  <c r="G7409" i="5" s="1"/>
  <c r="G7442" i="5" s="1"/>
  <c r="G7443" i="5" s="1"/>
  <c r="G7476" i="5" s="1"/>
  <c r="G7477" i="5" s="1"/>
  <c r="G7510" i="5" s="1"/>
  <c r="G7511" i="5" s="1"/>
  <c r="D169" i="5"/>
  <c r="F200" i="5"/>
  <c r="F201" i="5" s="1"/>
  <c r="D203" i="5" l="1"/>
  <c r="F234" i="5"/>
  <c r="F235" i="5" s="1"/>
  <c r="I4893" i="5" l="1"/>
  <c r="I6322" i="5"/>
  <c r="D237" i="5"/>
  <c r="F268" i="5"/>
  <c r="F269" i="5" s="1"/>
  <c r="D271" i="5" l="1"/>
  <c r="F302" i="5"/>
  <c r="F303" i="5" s="1"/>
  <c r="I7070" i="5"/>
  <c r="D305" i="5" l="1"/>
  <c r="F336" i="5"/>
  <c r="F337" i="5" s="1"/>
  <c r="D339" i="5" l="1"/>
  <c r="F370" i="5"/>
  <c r="F371" i="5" s="1"/>
  <c r="I12" i="4"/>
  <c r="I13" i="4"/>
  <c r="I14" i="4"/>
  <c r="I15" i="4"/>
  <c r="I16" i="4"/>
  <c r="I18" i="4"/>
  <c r="I19" i="4"/>
  <c r="I21" i="4"/>
  <c r="I23" i="4"/>
  <c r="I24" i="4"/>
  <c r="I25" i="4"/>
  <c r="I26" i="4"/>
  <c r="I27" i="4"/>
  <c r="I29" i="4"/>
  <c r="I30" i="4"/>
  <c r="I32" i="4"/>
  <c r="I33" i="4"/>
  <c r="I35" i="4"/>
  <c r="I37" i="4"/>
  <c r="I38" i="4"/>
  <c r="I40" i="4"/>
  <c r="I41" i="4"/>
  <c r="I42" i="4"/>
  <c r="I44" i="4"/>
  <c r="I46" i="4"/>
  <c r="I48" i="4"/>
  <c r="I49" i="4"/>
  <c r="I50" i="4"/>
  <c r="I52" i="4"/>
  <c r="I53" i="4"/>
  <c r="I54" i="4"/>
  <c r="I11" i="4"/>
  <c r="F55" i="4"/>
  <c r="F12" i="4"/>
  <c r="F13" i="4"/>
  <c r="F14" i="4"/>
  <c r="F15" i="4"/>
  <c r="F16" i="4"/>
  <c r="F18" i="4"/>
  <c r="F19" i="4"/>
  <c r="F21" i="4"/>
  <c r="F23" i="4"/>
  <c r="F24" i="4"/>
  <c r="F25" i="4"/>
  <c r="F26" i="4"/>
  <c r="F27" i="4"/>
  <c r="F29" i="4"/>
  <c r="F30" i="4"/>
  <c r="F32" i="4"/>
  <c r="F33" i="4"/>
  <c r="F35" i="4"/>
  <c r="F36" i="4"/>
  <c r="F37" i="4"/>
  <c r="F38" i="4"/>
  <c r="F40" i="4"/>
  <c r="F41" i="4"/>
  <c r="F42" i="4"/>
  <c r="F44" i="4"/>
  <c r="F46" i="4"/>
  <c r="F48" i="4"/>
  <c r="F49" i="4"/>
  <c r="F50" i="4"/>
  <c r="F52" i="4"/>
  <c r="F53" i="4"/>
  <c r="F54" i="4"/>
  <c r="F11" i="4"/>
  <c r="H55" i="4"/>
  <c r="G55" i="4"/>
  <c r="E55" i="4"/>
  <c r="D55" i="4"/>
  <c r="F23" i="3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E23" i="3"/>
  <c r="D23" i="3"/>
  <c r="C23" i="3"/>
  <c r="D12" i="2"/>
  <c r="D13" i="2" s="1"/>
  <c r="E13" i="2" s="1"/>
  <c r="C13" i="2"/>
  <c r="C16" i="2"/>
  <c r="D16" i="2"/>
  <c r="C17" i="2"/>
  <c r="D17" i="2"/>
  <c r="C18" i="2"/>
  <c r="D18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C89" i="2"/>
  <c r="E91" i="2"/>
  <c r="E92" i="2"/>
  <c r="C93" i="2"/>
  <c r="E95" i="2"/>
  <c r="E96" i="2"/>
  <c r="C97" i="2"/>
  <c r="E104" i="2"/>
  <c r="E105" i="2"/>
  <c r="E106" i="2"/>
  <c r="E107" i="2"/>
  <c r="E108" i="2"/>
  <c r="E110" i="2"/>
  <c r="E111" i="2"/>
  <c r="C112" i="2"/>
  <c r="E115" i="2"/>
  <c r="E116" i="2"/>
  <c r="E117" i="2"/>
  <c r="E118" i="2"/>
  <c r="E119" i="2"/>
  <c r="E120" i="2"/>
  <c r="E121" i="2"/>
  <c r="C122" i="2"/>
  <c r="D122" i="2"/>
  <c r="E122" i="2" s="1"/>
  <c r="E125" i="2"/>
  <c r="D130" i="2"/>
  <c r="E130" i="2" s="1"/>
  <c r="E128" i="2"/>
  <c r="E129" i="2"/>
  <c r="C130" i="2"/>
  <c r="E133" i="2"/>
  <c r="E135" i="2"/>
  <c r="E136" i="2"/>
  <c r="E138" i="2"/>
  <c r="E139" i="2"/>
  <c r="E140" i="2"/>
  <c r="E142" i="2"/>
  <c r="E144" i="2"/>
  <c r="E146" i="2"/>
  <c r="E147" i="2"/>
  <c r="E148" i="2"/>
  <c r="E150" i="2"/>
  <c r="E151" i="2"/>
  <c r="E152" i="2"/>
  <c r="C153" i="2"/>
  <c r="E158" i="2"/>
  <c r="C159" i="2"/>
  <c r="E162" i="2"/>
  <c r="E163" i="2"/>
  <c r="E164" i="2"/>
  <c r="E165" i="2"/>
  <c r="C166" i="2"/>
  <c r="D166" i="2"/>
  <c r="E166" i="2" s="1"/>
  <c r="D171" i="2"/>
  <c r="D172" i="2" s="1"/>
  <c r="E168" i="2"/>
  <c r="E169" i="2"/>
  <c r="E170" i="2"/>
  <c r="C171" i="2"/>
  <c r="C172" i="2" s="1"/>
  <c r="E176" i="2"/>
  <c r="E177" i="2"/>
  <c r="E178" i="2"/>
  <c r="E179" i="2"/>
  <c r="E180" i="2"/>
  <c r="E181" i="2"/>
  <c r="E182" i="2"/>
  <c r="E183" i="2"/>
  <c r="E184" i="2"/>
  <c r="E185" i="2"/>
  <c r="C186" i="2"/>
  <c r="C187" i="2" s="1"/>
  <c r="D198" i="2"/>
  <c r="E201" i="2"/>
  <c r="E202" i="2"/>
  <c r="E203" i="2"/>
  <c r="E204" i="2"/>
  <c r="E205" i="2"/>
  <c r="E206" i="2"/>
  <c r="E207" i="2"/>
  <c r="D208" i="2"/>
  <c r="E210" i="2"/>
  <c r="E211" i="2"/>
  <c r="E212" i="2"/>
  <c r="E213" i="2"/>
  <c r="E214" i="2"/>
  <c r="E215" i="2"/>
  <c r="E216" i="2"/>
  <c r="E217" i="2"/>
  <c r="C218" i="2"/>
  <c r="E220" i="2"/>
  <c r="E222" i="2"/>
  <c r="E223" i="2"/>
  <c r="E224" i="2"/>
  <c r="E225" i="2"/>
  <c r="E226" i="2"/>
  <c r="C227" i="2"/>
  <c r="E229" i="2"/>
  <c r="E230" i="2"/>
  <c r="C231" i="2"/>
  <c r="D231" i="2"/>
  <c r="E231" i="2" s="1"/>
  <c r="E233" i="2"/>
  <c r="E235" i="2"/>
  <c r="E236" i="2"/>
  <c r="E237" i="2"/>
  <c r="C238" i="2"/>
  <c r="E240" i="2"/>
  <c r="E241" i="2"/>
  <c r="E242" i="2"/>
  <c r="E243" i="2"/>
  <c r="C244" i="2"/>
  <c r="E246" i="2"/>
  <c r="C247" i="2"/>
  <c r="D247" i="2"/>
  <c r="E247" i="2" s="1"/>
  <c r="D252" i="2"/>
  <c r="E250" i="2"/>
  <c r="E251" i="2"/>
  <c r="C252" i="2"/>
  <c r="E258" i="2"/>
  <c r="E259" i="2"/>
  <c r="E260" i="2"/>
  <c r="E261" i="2"/>
  <c r="E262" i="2"/>
  <c r="E263" i="2"/>
  <c r="E265" i="2"/>
  <c r="E266" i="2"/>
  <c r="C267" i="2"/>
  <c r="E270" i="2"/>
  <c r="E272" i="2"/>
  <c r="E273" i="2"/>
  <c r="E274" i="2"/>
  <c r="E275" i="2"/>
  <c r="E276" i="2"/>
  <c r="C277" i="2"/>
  <c r="D277" i="2"/>
  <c r="E280" i="2"/>
  <c r="D285" i="2"/>
  <c r="E281" i="2"/>
  <c r="E283" i="2"/>
  <c r="E284" i="2"/>
  <c r="C285" i="2"/>
  <c r="E288" i="2"/>
  <c r="E290" i="2"/>
  <c r="E291" i="2"/>
  <c r="E293" i="2"/>
  <c r="E294" i="2"/>
  <c r="E295" i="2"/>
  <c r="E297" i="2"/>
  <c r="E299" i="2"/>
  <c r="E301" i="2"/>
  <c r="E302" i="2"/>
  <c r="E303" i="2"/>
  <c r="E305" i="2"/>
  <c r="E306" i="2"/>
  <c r="E307" i="2"/>
  <c r="C308" i="2"/>
  <c r="E312" i="2"/>
  <c r="E313" i="2"/>
  <c r="C314" i="2"/>
  <c r="D314" i="2"/>
  <c r="E317" i="2"/>
  <c r="E319" i="2"/>
  <c r="E320" i="2"/>
  <c r="E321" i="2"/>
  <c r="E322" i="2"/>
  <c r="E323" i="2"/>
  <c r="E324" i="2"/>
  <c r="E325" i="2"/>
  <c r="E326" i="2"/>
  <c r="E327" i="2"/>
  <c r="C328" i="2"/>
  <c r="E330" i="2"/>
  <c r="E331" i="2"/>
  <c r="C332" i="2"/>
  <c r="D332" i="2"/>
  <c r="E336" i="2"/>
  <c r="E337" i="2"/>
  <c r="E338" i="2"/>
  <c r="E339" i="2"/>
  <c r="E340" i="2"/>
  <c r="E341" i="2"/>
  <c r="E342" i="2"/>
  <c r="E343" i="2"/>
  <c r="E344" i="2"/>
  <c r="E345" i="2"/>
  <c r="D346" i="2"/>
  <c r="E18" i="2" l="1"/>
  <c r="E16" i="2"/>
  <c r="D373" i="5"/>
  <c r="F404" i="5"/>
  <c r="F405" i="5" s="1"/>
  <c r="D19" i="2"/>
  <c r="I55" i="4"/>
  <c r="D25" i="3"/>
  <c r="C25" i="3"/>
  <c r="E25" i="3" s="1"/>
  <c r="E332" i="2"/>
  <c r="E314" i="2"/>
  <c r="E285" i="2"/>
  <c r="E277" i="2"/>
  <c r="C309" i="2"/>
  <c r="C154" i="2"/>
  <c r="E172" i="2"/>
  <c r="E346" i="2"/>
  <c r="E221" i="2"/>
  <c r="D227" i="2"/>
  <c r="E227" i="2" s="1"/>
  <c r="E17" i="2"/>
  <c r="C19" i="2"/>
  <c r="C346" i="2"/>
  <c r="C347" i="2" s="1"/>
  <c r="E318" i="2"/>
  <c r="D328" i="2"/>
  <c r="E252" i="2"/>
  <c r="C208" i="2"/>
  <c r="C253" i="2" s="1"/>
  <c r="C198" i="2"/>
  <c r="E198" i="2" s="1"/>
  <c r="D153" i="2"/>
  <c r="D97" i="2"/>
  <c r="D347" i="2"/>
  <c r="D244" i="2"/>
  <c r="E244" i="2" s="1"/>
  <c r="D186" i="2"/>
  <c r="E171" i="2"/>
  <c r="C333" i="2"/>
  <c r="D308" i="2"/>
  <c r="D267" i="2"/>
  <c r="E267" i="2" s="1"/>
  <c r="E249" i="2"/>
  <c r="E234" i="2"/>
  <c r="D238" i="2"/>
  <c r="E238" i="2" s="1"/>
  <c r="D218" i="2"/>
  <c r="E218" i="2" s="1"/>
  <c r="E157" i="2"/>
  <c r="D159" i="2"/>
  <c r="E159" i="2" s="1"/>
  <c r="E126" i="2"/>
  <c r="E103" i="2"/>
  <c r="D112" i="2"/>
  <c r="E112" i="2" s="1"/>
  <c r="C98" i="2"/>
  <c r="C173" i="2" s="1"/>
  <c r="C188" i="2" s="1"/>
  <c r="D93" i="2"/>
  <c r="E93" i="2" s="1"/>
  <c r="E22" i="2"/>
  <c r="D89" i="2"/>
  <c r="E89" i="2" s="1"/>
  <c r="D407" i="5" l="1"/>
  <c r="F438" i="5"/>
  <c r="F439" i="5" s="1"/>
  <c r="C334" i="2"/>
  <c r="E347" i="2"/>
  <c r="D98" i="2"/>
  <c r="E98" i="2" s="1"/>
  <c r="E97" i="2"/>
  <c r="C348" i="2"/>
  <c r="D187" i="2"/>
  <c r="E186" i="2"/>
  <c r="D154" i="2"/>
  <c r="E154" i="2" s="1"/>
  <c r="E153" i="2"/>
  <c r="E208" i="2"/>
  <c r="D253" i="2"/>
  <c r="E253" i="2" s="1"/>
  <c r="D309" i="2"/>
  <c r="E309" i="2" s="1"/>
  <c r="E308" i="2"/>
  <c r="E328" i="2"/>
  <c r="D333" i="2"/>
  <c r="D441" i="5" l="1"/>
  <c r="F472" i="5"/>
  <c r="F473" i="5" s="1"/>
  <c r="F540" i="5"/>
  <c r="F541" i="5" s="1"/>
  <c r="E187" i="2"/>
  <c r="D173" i="2"/>
  <c r="E173" i="2" s="1"/>
  <c r="E333" i="2"/>
  <c r="D334" i="2"/>
  <c r="D543" i="5" l="1"/>
  <c r="F574" i="5"/>
  <c r="F575" i="5" s="1"/>
  <c r="D475" i="5"/>
  <c r="F506" i="5"/>
  <c r="F507" i="5" s="1"/>
  <c r="D509" i="5" s="1"/>
  <c r="D188" i="2"/>
  <c r="E188" i="2" s="1"/>
  <c r="E334" i="2"/>
  <c r="D348" i="2"/>
  <c r="E348" i="2" s="1"/>
  <c r="D577" i="5" l="1"/>
  <c r="F608" i="5"/>
  <c r="F609" i="5" s="1"/>
  <c r="E349" i="2"/>
  <c r="E189" i="2"/>
  <c r="D611" i="5" l="1"/>
  <c r="F642" i="5"/>
  <c r="F643" i="5" s="1"/>
  <c r="D645" i="5" l="1"/>
  <c r="F676" i="5"/>
  <c r="F677" i="5" s="1"/>
  <c r="D679" i="5" l="1"/>
  <c r="F710" i="5"/>
  <c r="F711" i="5" s="1"/>
  <c r="D713" i="5" l="1"/>
  <c r="F744" i="5"/>
  <c r="F745" i="5" s="1"/>
  <c r="D747" i="5" l="1"/>
  <c r="F778" i="5"/>
  <c r="F779" i="5" s="1"/>
  <c r="D781" i="5" l="1"/>
  <c r="F812" i="5"/>
  <c r="F813" i="5" s="1"/>
  <c r="D815" i="5" l="1"/>
  <c r="F846" i="5"/>
  <c r="F847" i="5" s="1"/>
  <c r="D849" i="5" l="1"/>
  <c r="F880" i="5"/>
  <c r="F881" i="5" s="1"/>
  <c r="D883" i="5" l="1"/>
  <c r="F914" i="5"/>
  <c r="F915" i="5" s="1"/>
  <c r="D917" i="5" l="1"/>
  <c r="F948" i="5"/>
  <c r="F949" i="5" s="1"/>
  <c r="D951" i="5" l="1"/>
  <c r="F982" i="5"/>
  <c r="F983" i="5" s="1"/>
  <c r="F1050" i="5"/>
  <c r="F1051" i="5" s="1"/>
  <c r="D1053" i="5" l="1"/>
  <c r="F1084" i="5"/>
  <c r="F1085" i="5" s="1"/>
  <c r="D985" i="5"/>
  <c r="F1016" i="5"/>
  <c r="F1017" i="5" s="1"/>
  <c r="D1019" i="5" s="1"/>
  <c r="D1087" i="5" l="1"/>
  <c r="F1118" i="5"/>
  <c r="F1119" i="5" s="1"/>
  <c r="D1121" i="5" l="1"/>
  <c r="F1152" i="5"/>
  <c r="F1153" i="5" s="1"/>
  <c r="D1155" i="5" l="1"/>
  <c r="F1186" i="5"/>
  <c r="F1187" i="5" s="1"/>
  <c r="D1189" i="5" l="1"/>
  <c r="F1220" i="5"/>
  <c r="F1221" i="5" s="1"/>
  <c r="D1223" i="5" l="1"/>
  <c r="F1254" i="5"/>
  <c r="F1255" i="5" s="1"/>
  <c r="D1257" i="5" l="1"/>
  <c r="F1288" i="5"/>
  <c r="F1289" i="5" s="1"/>
  <c r="D1291" i="5" l="1"/>
  <c r="F1322" i="5"/>
  <c r="F1323" i="5" s="1"/>
  <c r="D1325" i="5" l="1"/>
  <c r="F1356" i="5"/>
  <c r="F1357" i="5" s="1"/>
  <c r="D1359" i="5" l="1"/>
  <c r="F1390" i="5"/>
  <c r="F1391" i="5" s="1"/>
  <c r="D1393" i="5" l="1"/>
  <c r="F1424" i="5"/>
  <c r="F1425" i="5" s="1"/>
  <c r="D1427" i="5" l="1"/>
  <c r="F1458" i="5"/>
  <c r="F1459" i="5" s="1"/>
  <c r="D1461" i="5" l="1"/>
  <c r="F1492" i="5"/>
  <c r="F1493" i="5" s="1"/>
  <c r="D1495" i="5" l="1"/>
  <c r="F1526" i="5"/>
  <c r="F1527" i="5" s="1"/>
  <c r="D1529" i="5" l="1"/>
  <c r="F1560" i="5"/>
  <c r="F1561" i="5" s="1"/>
  <c r="D1563" i="5" l="1"/>
  <c r="F1594" i="5"/>
  <c r="F1595" i="5" s="1"/>
  <c r="D1597" i="5" l="1"/>
  <c r="F1628" i="5"/>
  <c r="F1629" i="5" s="1"/>
  <c r="D1631" i="5" l="1"/>
  <c r="F1662" i="5"/>
  <c r="F1663" i="5" s="1"/>
  <c r="D1665" i="5" l="1"/>
  <c r="F1696" i="5"/>
  <c r="F1697" i="5" s="1"/>
  <c r="D1699" i="5" l="1"/>
  <c r="F1730" i="5"/>
  <c r="F1731" i="5" s="1"/>
  <c r="D1733" i="5" l="1"/>
  <c r="F1764" i="5"/>
  <c r="F1765" i="5" s="1"/>
  <c r="D1767" i="5" l="1"/>
  <c r="F1798" i="5"/>
  <c r="F1799" i="5" s="1"/>
  <c r="D1801" i="5" l="1"/>
  <c r="F1832" i="5"/>
  <c r="F1833" i="5" s="1"/>
  <c r="D1835" i="5" l="1"/>
  <c r="F1866" i="5"/>
  <c r="F1867" i="5" s="1"/>
  <c r="D1869" i="5" l="1"/>
  <c r="F1900" i="5"/>
  <c r="F1901" i="5" s="1"/>
  <c r="D1903" i="5" l="1"/>
  <c r="F1934" i="5"/>
  <c r="F1935" i="5" s="1"/>
  <c r="D1937" i="5" l="1"/>
  <c r="F1968" i="5"/>
  <c r="F1969" i="5" s="1"/>
  <c r="D1971" i="5" l="1"/>
  <c r="F2002" i="5"/>
  <c r="F2003" i="5" s="1"/>
  <c r="D2005" i="5" l="1"/>
  <c r="F2036" i="5"/>
  <c r="F2037" i="5" s="1"/>
  <c r="D2039" i="5" l="1"/>
  <c r="F2070" i="5"/>
  <c r="F2071" i="5" s="1"/>
  <c r="D2073" i="5" l="1"/>
  <c r="F2104" i="5"/>
  <c r="F2105" i="5" s="1"/>
  <c r="D2107" i="5" l="1"/>
  <c r="F2138" i="5"/>
  <c r="F2139" i="5" s="1"/>
  <c r="D2141" i="5" l="1"/>
  <c r="F2172" i="5"/>
  <c r="F2173" i="5" s="1"/>
  <c r="D2175" i="5" l="1"/>
  <c r="F2206" i="5"/>
  <c r="F2207" i="5" s="1"/>
  <c r="D2209" i="5" l="1"/>
  <c r="F2240" i="5"/>
  <c r="F2241" i="5" s="1"/>
  <c r="D2243" i="5" l="1"/>
  <c r="F2274" i="5"/>
  <c r="F2275" i="5" s="1"/>
  <c r="D2277" i="5" l="1"/>
  <c r="F2308" i="5"/>
  <c r="F2309" i="5" s="1"/>
  <c r="D2311" i="5" l="1"/>
  <c r="F2342" i="5"/>
  <c r="F2343" i="5" s="1"/>
  <c r="D2345" i="5" l="1"/>
  <c r="F2376" i="5"/>
  <c r="F2377" i="5" s="1"/>
  <c r="D2379" i="5" l="1"/>
  <c r="F2410" i="5"/>
  <c r="F2411" i="5" s="1"/>
  <c r="D2413" i="5" l="1"/>
  <c r="F2444" i="5"/>
  <c r="F2445" i="5" s="1"/>
  <c r="D2447" i="5" l="1"/>
  <c r="F2478" i="5"/>
  <c r="F2479" i="5" s="1"/>
  <c r="D2481" i="5" l="1"/>
  <c r="F2512" i="5"/>
  <c r="F2513" i="5" s="1"/>
  <c r="D2515" i="5" l="1"/>
  <c r="F2546" i="5"/>
  <c r="F2547" i="5" s="1"/>
  <c r="D2549" i="5" l="1"/>
  <c r="F2580" i="5"/>
  <c r="F2581" i="5" s="1"/>
  <c r="D2583" i="5" l="1"/>
  <c r="F2614" i="5"/>
  <c r="F2615" i="5" s="1"/>
  <c r="D2617" i="5" l="1"/>
  <c r="F2648" i="5"/>
  <c r="F2649" i="5" s="1"/>
  <c r="D2651" i="5" l="1"/>
  <c r="F2682" i="5"/>
  <c r="F2683" i="5" s="1"/>
  <c r="D2685" i="5" l="1"/>
  <c r="F2716" i="5"/>
  <c r="F2717" i="5" s="1"/>
  <c r="D2719" i="5" l="1"/>
  <c r="F2750" i="5"/>
  <c r="F2751" i="5" s="1"/>
  <c r="D2753" i="5" l="1"/>
  <c r="F2784" i="5"/>
  <c r="F2785" i="5" s="1"/>
  <c r="D2787" i="5" l="1"/>
  <c r="F2818" i="5"/>
  <c r="F2819" i="5" s="1"/>
  <c r="D2821" i="5" l="1"/>
  <c r="F2852" i="5"/>
  <c r="F2853" i="5" s="1"/>
  <c r="D2855" i="5" l="1"/>
  <c r="F2886" i="5"/>
  <c r="F2887" i="5" s="1"/>
  <c r="D2889" i="5" l="1"/>
  <c r="F2920" i="5"/>
  <c r="F2921" i="5" s="1"/>
  <c r="D2923" i="5" l="1"/>
  <c r="F2954" i="5"/>
  <c r="F2955" i="5" s="1"/>
  <c r="D2957" i="5" l="1"/>
  <c r="F2988" i="5"/>
  <c r="F2989" i="5" s="1"/>
  <c r="D2991" i="5" l="1"/>
  <c r="F3022" i="5"/>
  <c r="F3023" i="5" s="1"/>
  <c r="D3025" i="5" l="1"/>
  <c r="F3056" i="5"/>
  <c r="F3057" i="5" s="1"/>
  <c r="D3059" i="5" l="1"/>
  <c r="F3090" i="5"/>
  <c r="F3091" i="5" s="1"/>
  <c r="D3093" i="5" l="1"/>
  <c r="F3124" i="5"/>
  <c r="F3125" i="5" s="1"/>
  <c r="D3127" i="5" l="1"/>
  <c r="F3158" i="5"/>
  <c r="F3159" i="5" s="1"/>
  <c r="D3161" i="5" l="1"/>
  <c r="F3192" i="5"/>
  <c r="F3193" i="5" s="1"/>
  <c r="D3195" i="5" l="1"/>
  <c r="F3226" i="5"/>
  <c r="F3227" i="5" s="1"/>
  <c r="D3229" i="5" l="1"/>
  <c r="F3260" i="5"/>
  <c r="F3261" i="5" s="1"/>
  <c r="D3263" i="5" l="1"/>
  <c r="F3294" i="5"/>
  <c r="F3295" i="5" s="1"/>
  <c r="D3297" i="5" l="1"/>
  <c r="F3328" i="5"/>
  <c r="F3329" i="5" s="1"/>
  <c r="D3331" i="5" l="1"/>
  <c r="F3362" i="5"/>
  <c r="F3363" i="5" s="1"/>
  <c r="D3365" i="5" l="1"/>
  <c r="F3396" i="5"/>
  <c r="F3397" i="5" s="1"/>
  <c r="D3399" i="5" l="1"/>
  <c r="F3430" i="5"/>
  <c r="F3431" i="5" s="1"/>
  <c r="D3433" i="5" l="1"/>
  <c r="F3464" i="5"/>
  <c r="F3465" i="5" s="1"/>
  <c r="D3467" i="5" l="1"/>
  <c r="F3498" i="5"/>
  <c r="F3499" i="5" s="1"/>
  <c r="D3501" i="5" l="1"/>
  <c r="F3532" i="5"/>
  <c r="F3533" i="5" s="1"/>
  <c r="D3535" i="5" l="1"/>
  <c r="F3566" i="5"/>
  <c r="F3567" i="5" s="1"/>
  <c r="D3569" i="5" l="1"/>
  <c r="F3600" i="5"/>
  <c r="F3601" i="5" s="1"/>
  <c r="D3603" i="5" l="1"/>
  <c r="F3634" i="5"/>
  <c r="F3635" i="5" s="1"/>
  <c r="D3637" i="5" l="1"/>
  <c r="F3668" i="5"/>
  <c r="F3669" i="5" s="1"/>
  <c r="D3671" i="5" l="1"/>
  <c r="F3702" i="5"/>
  <c r="F3703" i="5" s="1"/>
  <c r="D3705" i="5" l="1"/>
  <c r="F3736" i="5"/>
  <c r="F3737" i="5" s="1"/>
  <c r="D3739" i="5" l="1"/>
  <c r="F3770" i="5"/>
  <c r="F3771" i="5" s="1"/>
  <c r="D3773" i="5" l="1"/>
  <c r="F3804" i="5"/>
  <c r="F3805" i="5" s="1"/>
  <c r="D3807" i="5" l="1"/>
  <c r="F3838" i="5"/>
  <c r="F3839" i="5" s="1"/>
  <c r="D3841" i="5" s="1"/>
  <c r="F3872" i="5"/>
  <c r="F3873" i="5" s="1"/>
  <c r="D3875" i="5" l="1"/>
  <c r="F3906" i="5"/>
  <c r="F3907" i="5" s="1"/>
  <c r="D3909" i="5" l="1"/>
  <c r="F3940" i="5"/>
  <c r="F3941" i="5" s="1"/>
  <c r="D3943" i="5" l="1"/>
  <c r="F3974" i="5"/>
  <c r="F3975" i="5" s="1"/>
  <c r="D3977" i="5" l="1"/>
  <c r="F4008" i="5"/>
  <c r="F4009" i="5" s="1"/>
  <c r="D4011" i="5" l="1"/>
  <c r="F4042" i="5"/>
  <c r="F4043" i="5" s="1"/>
  <c r="D4045" i="5" l="1"/>
  <c r="F4076" i="5"/>
  <c r="F4077" i="5" s="1"/>
  <c r="D4079" i="5" l="1"/>
  <c r="F4110" i="5"/>
  <c r="F4111" i="5" s="1"/>
  <c r="D4113" i="5" l="1"/>
  <c r="F4144" i="5"/>
  <c r="F4145" i="5" s="1"/>
  <c r="D4147" i="5" l="1"/>
  <c r="F4178" i="5"/>
  <c r="F4179" i="5" s="1"/>
  <c r="D4181" i="5" l="1"/>
  <c r="F4212" i="5"/>
  <c r="F4213" i="5" s="1"/>
  <c r="D4215" i="5" l="1"/>
  <c r="F4246" i="5"/>
  <c r="F4247" i="5" s="1"/>
  <c r="D4249" i="5" l="1"/>
  <c r="F4280" i="5"/>
  <c r="F4281" i="5" s="1"/>
  <c r="D4283" i="5" l="1"/>
  <c r="F4314" i="5"/>
  <c r="F4315" i="5" s="1"/>
  <c r="D4317" i="5" l="1"/>
  <c r="F4348" i="5"/>
  <c r="F4349" i="5" s="1"/>
  <c r="D4351" i="5" l="1"/>
  <c r="F4382" i="5"/>
  <c r="F4383" i="5" s="1"/>
  <c r="D4385" i="5" l="1"/>
  <c r="F4416" i="5"/>
  <c r="F4417" i="5" s="1"/>
  <c r="I4417" i="5" l="1"/>
  <c r="D4419" i="5"/>
  <c r="F4450" i="5"/>
  <c r="F4451" i="5" s="1"/>
  <c r="D4453" i="5" s="1"/>
  <c r="F4484" i="5"/>
  <c r="F4485" i="5" s="1"/>
  <c r="D4487" i="5" l="1"/>
  <c r="F4518" i="5"/>
  <c r="F4519" i="5" s="1"/>
  <c r="D4521" i="5" l="1"/>
  <c r="F4552" i="5"/>
  <c r="F4553" i="5" s="1"/>
  <c r="D4555" i="5" l="1"/>
  <c r="F4586" i="5"/>
  <c r="F4587" i="5" s="1"/>
  <c r="D4589" i="5" l="1"/>
  <c r="F4620" i="5"/>
  <c r="F4621" i="5" s="1"/>
  <c r="D4623" i="5" l="1"/>
  <c r="F4654" i="5"/>
  <c r="F4655" i="5" s="1"/>
  <c r="D4657" i="5" l="1"/>
  <c r="F4688" i="5"/>
  <c r="F4689" i="5" s="1"/>
  <c r="D4691" i="5" l="1"/>
  <c r="F4722" i="5"/>
  <c r="F4723" i="5" s="1"/>
  <c r="D4725" i="5" l="1"/>
  <c r="F4756" i="5"/>
  <c r="F4757" i="5" s="1"/>
  <c r="D4759" i="5" l="1"/>
  <c r="F4790" i="5"/>
  <c r="F4791" i="5" s="1"/>
  <c r="D4793" i="5" l="1"/>
  <c r="F4824" i="5"/>
  <c r="F4825" i="5" s="1"/>
  <c r="D4827" i="5" l="1"/>
  <c r="F4858" i="5"/>
  <c r="F4859" i="5" s="1"/>
  <c r="D4861" i="5" l="1"/>
  <c r="F4892" i="5"/>
  <c r="F4893" i="5" s="1"/>
  <c r="D4895" i="5" l="1"/>
  <c r="F4926" i="5"/>
  <c r="F4927" i="5" s="1"/>
  <c r="D4929" i="5" l="1"/>
  <c r="F4960" i="5"/>
  <c r="F4961" i="5" s="1"/>
  <c r="D4963" i="5" l="1"/>
  <c r="F4994" i="5"/>
  <c r="F4995" i="5" s="1"/>
  <c r="D4997" i="5" l="1"/>
  <c r="F5028" i="5"/>
  <c r="F5029" i="5" s="1"/>
  <c r="D5031" i="5" l="1"/>
  <c r="F5062" i="5"/>
  <c r="F5063" i="5" s="1"/>
  <c r="D5065" i="5" l="1"/>
  <c r="F5096" i="5"/>
  <c r="F5097" i="5" s="1"/>
  <c r="D5099" i="5" l="1"/>
  <c r="F5130" i="5"/>
  <c r="F5131" i="5" s="1"/>
  <c r="D5133" i="5" l="1"/>
  <c r="F5164" i="5"/>
  <c r="F5165" i="5" s="1"/>
  <c r="D5167" i="5" l="1"/>
  <c r="F5198" i="5"/>
  <c r="F5199" i="5" s="1"/>
  <c r="D5201" i="5" l="1"/>
  <c r="F5232" i="5"/>
  <c r="F5233" i="5" s="1"/>
  <c r="D5235" i="5" l="1"/>
  <c r="F5266" i="5"/>
  <c r="F5267" i="5" s="1"/>
  <c r="D5269" i="5" l="1"/>
  <c r="F5300" i="5"/>
  <c r="F5301" i="5" s="1"/>
  <c r="D5303" i="5" l="1"/>
  <c r="F5334" i="5"/>
  <c r="F5335" i="5" s="1"/>
  <c r="D5337" i="5" l="1"/>
  <c r="F5368" i="5"/>
  <c r="F5369" i="5" s="1"/>
  <c r="D5371" i="5" l="1"/>
  <c r="F5402" i="5"/>
  <c r="F5403" i="5" s="1"/>
  <c r="D5405" i="5" l="1"/>
  <c r="F5436" i="5"/>
  <c r="F5437" i="5" s="1"/>
  <c r="D5439" i="5" l="1"/>
  <c r="F5470" i="5"/>
  <c r="F5471" i="5" s="1"/>
  <c r="D5473" i="5" l="1"/>
  <c r="F5504" i="5"/>
  <c r="F5505" i="5" s="1"/>
  <c r="D5507" i="5" l="1"/>
  <c r="F5538" i="5"/>
  <c r="F5539" i="5" s="1"/>
  <c r="D5541" i="5" l="1"/>
  <c r="F5572" i="5"/>
  <c r="F5573" i="5" s="1"/>
  <c r="D5575" i="5" l="1"/>
  <c r="F5606" i="5"/>
  <c r="F5607" i="5" s="1"/>
  <c r="D5609" i="5" l="1"/>
  <c r="F5640" i="5"/>
  <c r="F5641" i="5" s="1"/>
  <c r="D5643" i="5" l="1"/>
  <c r="F5674" i="5"/>
  <c r="F5675" i="5" s="1"/>
  <c r="D5677" i="5" l="1"/>
  <c r="F5708" i="5"/>
  <c r="F5709" i="5" s="1"/>
  <c r="D5711" i="5" l="1"/>
  <c r="F5742" i="5"/>
  <c r="F5743" i="5" s="1"/>
  <c r="D5745" i="5" l="1"/>
  <c r="F5776" i="5"/>
  <c r="F5777" i="5" s="1"/>
  <c r="D5779" i="5" l="1"/>
  <c r="F5810" i="5"/>
  <c r="F5811" i="5" s="1"/>
  <c r="D5813" i="5" l="1"/>
  <c r="I5816" i="5" s="1"/>
  <c r="I5817" i="5" s="1"/>
  <c r="F5844" i="5"/>
  <c r="F5845" i="5" s="1"/>
  <c r="D5847" i="5" l="1"/>
  <c r="F5878" i="5"/>
  <c r="F5879" i="5" s="1"/>
  <c r="D5881" i="5" l="1"/>
  <c r="F5912" i="5"/>
  <c r="F5913" i="5" s="1"/>
  <c r="D5915" i="5" l="1"/>
  <c r="F5946" i="5"/>
  <c r="F5947" i="5" s="1"/>
  <c r="D5949" i="5" l="1"/>
  <c r="F5980" i="5"/>
  <c r="F5981" i="5" s="1"/>
  <c r="D5983" i="5" l="1"/>
  <c r="F6014" i="5"/>
  <c r="F6015" i="5" s="1"/>
  <c r="D6017" i="5" l="1"/>
  <c r="F6048" i="5"/>
  <c r="F6049" i="5" s="1"/>
  <c r="D6051" i="5" l="1"/>
  <c r="F6082" i="5"/>
  <c r="F6083" i="5" s="1"/>
  <c r="D6085" i="5" l="1"/>
  <c r="F6116" i="5"/>
  <c r="F6117" i="5" s="1"/>
  <c r="D6119" i="5" l="1"/>
  <c r="F6150" i="5"/>
  <c r="F6151" i="5" s="1"/>
  <c r="D6153" i="5" l="1"/>
  <c r="F6184" i="5"/>
  <c r="F6185" i="5" s="1"/>
  <c r="D6187" i="5" l="1"/>
  <c r="F6218" i="5"/>
  <c r="F6219" i="5" s="1"/>
  <c r="D6221" i="5" l="1"/>
  <c r="F6252" i="5"/>
  <c r="F6253" i="5" s="1"/>
  <c r="D6255" i="5" l="1"/>
  <c r="F6286" i="5"/>
  <c r="F6287" i="5" s="1"/>
  <c r="D6289" i="5" l="1"/>
  <c r="F6320" i="5"/>
  <c r="F6321" i="5" s="1"/>
  <c r="D6323" i="5" l="1"/>
  <c r="I6323" i="5" s="1"/>
  <c r="F6354" i="5"/>
  <c r="F6355" i="5" s="1"/>
  <c r="I6321" i="5"/>
  <c r="I6324" i="5" s="1"/>
  <c r="D6357" i="5" l="1"/>
  <c r="F6388" i="5"/>
  <c r="F6389" i="5" s="1"/>
  <c r="D6391" i="5" l="1"/>
  <c r="F6422" i="5"/>
  <c r="F6423" i="5" s="1"/>
  <c r="D6425" i="5" l="1"/>
  <c r="F6456" i="5"/>
  <c r="F6457" i="5" s="1"/>
  <c r="D6459" i="5" l="1"/>
  <c r="F6490" i="5"/>
  <c r="F6491" i="5" s="1"/>
  <c r="D6493" i="5" l="1"/>
  <c r="F6524" i="5"/>
  <c r="F6525" i="5" s="1"/>
  <c r="D6527" i="5" l="1"/>
  <c r="F6558" i="5"/>
  <c r="F6559" i="5" s="1"/>
  <c r="D6561" i="5" l="1"/>
  <c r="F6592" i="5"/>
  <c r="F6593" i="5" s="1"/>
  <c r="D6595" i="5" l="1"/>
  <c r="F6626" i="5"/>
  <c r="F6627" i="5" s="1"/>
  <c r="D6629" i="5" l="1"/>
  <c r="F6660" i="5"/>
  <c r="F6661" i="5" s="1"/>
  <c r="D6663" i="5" l="1"/>
  <c r="F6694" i="5"/>
  <c r="F6695" i="5" s="1"/>
  <c r="D6697" i="5" l="1"/>
  <c r="F6728" i="5"/>
  <c r="F6729" i="5" s="1"/>
  <c r="D6731" i="5" l="1"/>
  <c r="F6762" i="5"/>
  <c r="F6763" i="5" s="1"/>
  <c r="D6765" i="5" l="1"/>
  <c r="F6796" i="5"/>
  <c r="F6797" i="5" s="1"/>
  <c r="D6799" i="5" l="1"/>
  <c r="F6830" i="5"/>
  <c r="F6831" i="5" s="1"/>
  <c r="D6833" i="5" l="1"/>
  <c r="F6864" i="5"/>
  <c r="F6865" i="5" s="1"/>
  <c r="D6867" i="5" l="1"/>
  <c r="F6898" i="5"/>
  <c r="F6899" i="5" s="1"/>
  <c r="D6901" i="5" l="1"/>
  <c r="F6932" i="5"/>
  <c r="F6933" i="5" s="1"/>
  <c r="D6935" i="5" l="1"/>
  <c r="F6966" i="5"/>
  <c r="F6967" i="5" s="1"/>
  <c r="D6969" i="5" l="1"/>
  <c r="F7000" i="5"/>
  <c r="F7001" i="5" s="1"/>
  <c r="D7003" i="5" l="1"/>
  <c r="F7034" i="5"/>
  <c r="F7035" i="5" s="1"/>
  <c r="D7037" i="5" l="1"/>
  <c r="F7068" i="5"/>
  <c r="F7069" i="5" s="1"/>
  <c r="I7069" i="5" l="1"/>
  <c r="D7071" i="5"/>
  <c r="F7102" i="5"/>
  <c r="F7103" i="5" s="1"/>
  <c r="F7136" i="5" l="1"/>
  <c r="F7137" i="5" s="1"/>
  <c r="D7105" i="5"/>
  <c r="D7139" i="5" l="1"/>
  <c r="F7170" i="5"/>
  <c r="F7171" i="5" s="1"/>
  <c r="D7173" i="5" l="1"/>
  <c r="F7204" i="5"/>
  <c r="F7205" i="5" s="1"/>
  <c r="D7207" i="5" l="1"/>
  <c r="F7238" i="5"/>
  <c r="F7239" i="5" s="1"/>
  <c r="D7241" i="5" l="1"/>
  <c r="F7272" i="5"/>
  <c r="F7273" i="5" s="1"/>
  <c r="D7275" i="5" l="1"/>
  <c r="F7306" i="5"/>
  <c r="F7307" i="5" s="1"/>
  <c r="D7309" i="5" l="1"/>
  <c r="F7340" i="5"/>
  <c r="F7341" i="5" s="1"/>
  <c r="D7343" i="5" l="1"/>
  <c r="F7374" i="5"/>
  <c r="F7375" i="5" s="1"/>
  <c r="D7377" i="5" l="1"/>
  <c r="F7408" i="5"/>
  <c r="F7409" i="5" s="1"/>
  <c r="D7411" i="5" l="1"/>
  <c r="F7442" i="5"/>
  <c r="F7443" i="5" s="1"/>
  <c r="D7445" i="5" l="1"/>
  <c r="F7476" i="5"/>
  <c r="F7477" i="5" s="1"/>
  <c r="D7479" i="5" l="1"/>
  <c r="F7510" i="5"/>
  <c r="F7511" i="5" s="1"/>
  <c r="D751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<sst xmlns="http://schemas.openxmlformats.org/spreadsheetml/2006/main" count="6820" uniqueCount="665">
  <si>
    <t>SALDO</t>
  </si>
  <si>
    <t>TOTAL BELANJA :</t>
  </si>
  <si>
    <t>Jumlah Bagian II.6.</t>
  </si>
  <si>
    <t>Jumlah Pos II.6.</t>
  </si>
  <si>
    <t>Pengeluaran pihak ketiga lainnya</t>
  </si>
  <si>
    <t>II.6.1.10</t>
  </si>
  <si>
    <t>Sumbangan Pegawai Organik dan Jemaat (KK)untuk Pembangunan Kampus UKIM</t>
  </si>
  <si>
    <t>II.6.1.09</t>
  </si>
  <si>
    <t>Sumbangan/Derma Kepada Panitia Pemb</t>
  </si>
  <si>
    <t>II.6.1.08</t>
  </si>
  <si>
    <t>Bantuan Bencana Alam, Non Alam dan Sosial.</t>
  </si>
  <si>
    <t>II.6.1.07</t>
  </si>
  <si>
    <t>Kolekta Kebaktian AMGPM</t>
  </si>
  <si>
    <t>II.6.1.06</t>
  </si>
  <si>
    <t>Kolekta Kebaktian Syukur HUT PGI</t>
  </si>
  <si>
    <t>II.6.1.05</t>
  </si>
  <si>
    <t>Kolekta HDA Perempuan</t>
  </si>
  <si>
    <t>II.6.1.04</t>
  </si>
  <si>
    <t>Kolekta HDA Anak</t>
  </si>
  <si>
    <t>II.6.1.03</t>
  </si>
  <si>
    <t>Kolekta HDS Perempuan</t>
  </si>
  <si>
    <t>II.6.1.02</t>
  </si>
  <si>
    <t>Kolekta HDS Anak</t>
  </si>
  <si>
    <t>II.6.1.01</t>
  </si>
  <si>
    <t>Pos Belanja UKP</t>
  </si>
  <si>
    <t>II.6.1.</t>
  </si>
  <si>
    <t>JUMLAH BELANJA MURNI :</t>
  </si>
  <si>
    <t>Jumlah Bagian II.5.</t>
  </si>
  <si>
    <t>Jumlah Pos II.5.2.</t>
  </si>
  <si>
    <t>Belanja Penanggulangan Bencana</t>
  </si>
  <si>
    <t>II.5.2.02</t>
  </si>
  <si>
    <t>Belanja Tak Terduga</t>
  </si>
  <si>
    <t>II.5.2.01</t>
  </si>
  <si>
    <t>Pos Belanja Tak Terduga dan Bencana</t>
  </si>
  <si>
    <t>II.5.2</t>
  </si>
  <si>
    <t>Jumlah Pos II.5.1.</t>
  </si>
  <si>
    <t xml:space="preserve"> Belanja Lain yang dianggap Sah</t>
  </si>
  <si>
    <t>II.5.1.11</t>
  </si>
  <si>
    <t>Belanja Barang Habis Pakai</t>
  </si>
  <si>
    <t>II.5.1.10</t>
  </si>
  <si>
    <t>Belanja BPJS</t>
  </si>
  <si>
    <t>II.5.1.09</t>
  </si>
  <si>
    <t>Belanja Bahan Perjamuan Kudus</t>
  </si>
  <si>
    <t>II.5.1.08</t>
  </si>
  <si>
    <t>Belanja Pelayanan Kebaktian Minggu dan NonMinggu Di Gedung Gereja</t>
  </si>
  <si>
    <t>II.5.1.07</t>
  </si>
  <si>
    <t>Sumbangan Duka</t>
  </si>
  <si>
    <t>II.5.1.06</t>
  </si>
  <si>
    <t>Belanja HUT Nasional/Gerejawi</t>
  </si>
  <si>
    <t>II.5.1.05</t>
  </si>
  <si>
    <t>Belanja Partisipasi</t>
  </si>
  <si>
    <t>II.5.1.04</t>
  </si>
  <si>
    <t>Biaya Verifikasi</t>
  </si>
  <si>
    <t>II.5.1.03</t>
  </si>
  <si>
    <t>Bantuan Biaya Studi</t>
  </si>
  <si>
    <t>II.5.1.02</t>
  </si>
  <si>
    <t>Bantuan-bantuan</t>
  </si>
  <si>
    <t>II.5.1.01</t>
  </si>
  <si>
    <t>Pos Belanja Lain-Lain</t>
  </si>
  <si>
    <t>II.5.1</t>
  </si>
  <si>
    <t>BAGIAN BELANJA LAIN-LAIN</t>
  </si>
  <si>
    <t>II.5</t>
  </si>
  <si>
    <t>Jumlah Bagian II.4.</t>
  </si>
  <si>
    <t>Unit Usaha</t>
  </si>
  <si>
    <t>II.4.1.02</t>
  </si>
  <si>
    <t>Kebun Jemaat</t>
  </si>
  <si>
    <t>II.4.1.01</t>
  </si>
  <si>
    <t>Pos Belanja Unit Usaha</t>
  </si>
  <si>
    <t>II.4.1.</t>
  </si>
  <si>
    <t>BAGIAN BELANJA UNIT USAHA</t>
  </si>
  <si>
    <t>II.4.</t>
  </si>
  <si>
    <t>Jumlah Bagian II.3.</t>
  </si>
  <si>
    <t>Jumlah Pos II.3.1.4.</t>
  </si>
  <si>
    <t>Komunikasi Pelayan</t>
  </si>
  <si>
    <t>II.3.1.4.07.003</t>
  </si>
  <si>
    <t>Dokumentasi dan Publikasi</t>
  </si>
  <si>
    <t>II.3.1.4.07.002</t>
  </si>
  <si>
    <t>Pengelolaan Informasi</t>
  </si>
  <si>
    <t>II.3.1.4.07.001</t>
  </si>
  <si>
    <t>Sub Seksi Penataan dan Pengembangan Informasi, Dokumentasi dan Komunikasi</t>
  </si>
  <si>
    <t>II.3.1.4.07</t>
  </si>
  <si>
    <t>Pengelolaan Hubungan Kerjasama</t>
  </si>
  <si>
    <t>II.3.1.4.06.003</t>
  </si>
  <si>
    <t>Pengendalian Program</t>
  </si>
  <si>
    <t>II.3.1.4.06.002</t>
  </si>
  <si>
    <t>Penelitian, Perencanaan dan Pengembangan</t>
  </si>
  <si>
    <t>II.3.1.4.06.001</t>
  </si>
  <si>
    <t>Sub Seksi Penelitian dan Pengembangan</t>
  </si>
  <si>
    <t>II.3.1.4.06</t>
  </si>
  <si>
    <t>Pembinaan Aparatur Pelayan</t>
  </si>
  <si>
    <t>II.3.1.4.05.001</t>
  </si>
  <si>
    <t>Sub Seksi Pengembangan Kapasitas Pelayan</t>
  </si>
  <si>
    <t>II.3.1.4.05</t>
  </si>
  <si>
    <t>Pengembangan Infrastruktur</t>
  </si>
  <si>
    <t>II.3.1.4.04.001</t>
  </si>
  <si>
    <t>Sub Seksi Penataan dan Pengembangan Infrastruktur</t>
  </si>
  <si>
    <t>II.3.1.4.04</t>
  </si>
  <si>
    <t>Pembinaan Sumber-Sumber Keuangan Gereja</t>
  </si>
  <si>
    <t>II.3.1.4.03.003</t>
  </si>
  <si>
    <t>Pembinaan Penggunaan dan Pengendalian Keuangan Gereja</t>
  </si>
  <si>
    <t>II.3.1.4.03.002</t>
  </si>
  <si>
    <t>Pembinaan Sistim dan Manajemen Keuangan</t>
  </si>
  <si>
    <t>II.3.1.4.03.001</t>
  </si>
  <si>
    <t>Sub Seksi Penataan dan Pengembangan Keuangan</t>
  </si>
  <si>
    <t>II.3.1.4.03</t>
  </si>
  <si>
    <t>Pengembangan Staf</t>
  </si>
  <si>
    <t>II.3.1.4.02.002</t>
  </si>
  <si>
    <t>Pembinaan Kepegawaian</t>
  </si>
  <si>
    <t>II.3.1.4.02.001</t>
  </si>
  <si>
    <t>Sub Seksi Penataan dan Pengembangan Personalia</t>
  </si>
  <si>
    <t>II.3.1.4.02</t>
  </si>
  <si>
    <t>Pembinaan Administrasi dan Manajemen</t>
  </si>
  <si>
    <t>II.3.1.4.01.001</t>
  </si>
  <si>
    <t>Sub Seksi Penataan dan Pengembangan Daya Dukung Organisasi</t>
  </si>
  <si>
    <t>II.3.1.4.01</t>
  </si>
  <si>
    <t>Penataan dan Pengembangan Kelembagaan</t>
  </si>
  <si>
    <t>II.3.1.4</t>
  </si>
  <si>
    <t>Jumlah Pos II.3.1.3.</t>
  </si>
  <si>
    <t>Bencana Alam dan Sosial</t>
  </si>
  <si>
    <t>II.3.1.3.02.002</t>
  </si>
  <si>
    <t>Lingkungan Hidup dan Keutuhan Ciptaan</t>
  </si>
  <si>
    <t>II.3.1.3.02.001</t>
  </si>
  <si>
    <t>Sub Seksi Penanganan Permasalahan Lingkungan Hidup, Bencana Alam dan Sosial</t>
  </si>
  <si>
    <t>II.3.1.3.02</t>
  </si>
  <si>
    <t>Pembinaan Kerjasama Antar Agama dan Aliran Kepercayaan</t>
  </si>
  <si>
    <t>II.3.1.3.01.002</t>
  </si>
  <si>
    <t>Pembinaan Kerjasama Lintas Denominasi</t>
  </si>
  <si>
    <t>II.3.1.3.01.001</t>
  </si>
  <si>
    <t>Sub Seksi Pengembangan Kerjasama Antar Agama dan Denominasi Gereja</t>
  </si>
  <si>
    <t>II.3.1.3.01</t>
  </si>
  <si>
    <t>Pengembangan Oikumene Semesta</t>
  </si>
  <si>
    <t>II.3.1.3.</t>
  </si>
  <si>
    <t>Jumlah Pos II.3.1.2</t>
  </si>
  <si>
    <t>Pemberdayaan Dibidang Sosial-Politik-Budaya</t>
  </si>
  <si>
    <t>II.3.1.2.02.005</t>
  </si>
  <si>
    <t>Pemberdayaan Ekonomi Umat</t>
  </si>
  <si>
    <t>II.3.1.2.02.004</t>
  </si>
  <si>
    <t>Pelayanan Kesehatan</t>
  </si>
  <si>
    <t>II.3.1.2.02.003</t>
  </si>
  <si>
    <t>Pelayanan Pendidikan</t>
  </si>
  <si>
    <t>II.3.1.2.02.002</t>
  </si>
  <si>
    <t>Pelayanan Hukum dan Advokasi</t>
  </si>
  <si>
    <t>II.3.1.2.02.001</t>
  </si>
  <si>
    <t>Sub Seksi Pelayanan Kasih</t>
  </si>
  <si>
    <t>II.3.1.2.02</t>
  </si>
  <si>
    <t>Pemberitaan Injil</t>
  </si>
  <si>
    <t>II.3.1.2.01.001</t>
  </si>
  <si>
    <t>Sub Seksi Pemberitaan Injil</t>
  </si>
  <si>
    <t>II.3.1.2.01</t>
  </si>
  <si>
    <t>Pemberitaan Injil dan Pelayanan Kasih</t>
  </si>
  <si>
    <t>II.3.1.2</t>
  </si>
  <si>
    <t>Jumlah Pos II.3.1.1.</t>
  </si>
  <si>
    <t>Pembinaan Pastoral Konseling</t>
  </si>
  <si>
    <t>II.3.1.1.02.002</t>
  </si>
  <si>
    <t>Pembinaan PerKebaktianan dan Musik Gerejawi</t>
  </si>
  <si>
    <t>II.3.1.1.02.001</t>
  </si>
  <si>
    <t>Sub Seksi PerKebaktianan dan Pastoral</t>
  </si>
  <si>
    <t>II.3.1.1.02</t>
  </si>
  <si>
    <t>Pembinaan Warga Gereja Profesi</t>
  </si>
  <si>
    <t>II.3.1.1.01.006</t>
  </si>
  <si>
    <t>Pembinaan Keluarga</t>
  </si>
  <si>
    <t>II.3.1.1.01.005</t>
  </si>
  <si>
    <t>Pembinaan Warga Gereja Senior</t>
  </si>
  <si>
    <t>II.3.1.1.01.004</t>
  </si>
  <si>
    <t>Pembinaan Kemitraan Laki-Laki &amp; Perempuan</t>
  </si>
  <si>
    <t>II.3.1.1.01.003</t>
  </si>
  <si>
    <t>Pembinaan Pemuda</t>
  </si>
  <si>
    <t>II.3.1.1.01.002</t>
  </si>
  <si>
    <t>Pembinaan Anak Remaja &amp; Katekisasi</t>
  </si>
  <si>
    <t>II.3.1.1.01.001</t>
  </si>
  <si>
    <t>Sub Seksi Pembinaan Warga Gereja</t>
  </si>
  <si>
    <t>II.3.1.1.01</t>
  </si>
  <si>
    <t>Pemberdayaan Teologi dan Pemberdayaan Umat</t>
  </si>
  <si>
    <t>II.3.1.1</t>
  </si>
  <si>
    <t>Pos Belanja Seksi-Seksi Pelayanan</t>
  </si>
  <si>
    <t>II.3.1</t>
  </si>
  <si>
    <t>BAGIAN BELANJA PELAYANAN GEREJA</t>
  </si>
  <si>
    <t>II.3.</t>
  </si>
  <si>
    <t>Jumlah Bagian II.2.</t>
  </si>
  <si>
    <t>Jumlah Pos II.2.8.</t>
  </si>
  <si>
    <t>Biaya Perjalanan Mutasi</t>
  </si>
  <si>
    <t>II.2.8.03</t>
  </si>
  <si>
    <t>Perjalanan Dinas diluar wilayah Jemaat</t>
  </si>
  <si>
    <t>II.2.8.02</t>
  </si>
  <si>
    <t>Transport Dinas Lokal</t>
  </si>
  <si>
    <t>II.2.8.01</t>
  </si>
  <si>
    <t>Pos Belanja Perjalanan Dinas</t>
  </si>
  <si>
    <t>II.2.8</t>
  </si>
  <si>
    <t>Jumlah Pos II.2.7</t>
  </si>
  <si>
    <t>Belanja Taktis Pimpinan</t>
  </si>
  <si>
    <t>II.2.7.01</t>
  </si>
  <si>
    <t>Pos Belanja Taktis Pimpinan</t>
  </si>
  <si>
    <t>II.2.7.</t>
  </si>
  <si>
    <t>Jumlah Pos II.2.6.</t>
  </si>
  <si>
    <t>Belanja Sidang Jemaat</t>
  </si>
  <si>
    <t>II.2.6.04</t>
  </si>
  <si>
    <t>Belanja Rapat Konsultasi Tingkat Klasis</t>
  </si>
  <si>
    <t>II.2.6.03</t>
  </si>
  <si>
    <t>Belanja Sidang Klasis</t>
  </si>
  <si>
    <t>II.2.6.02</t>
  </si>
  <si>
    <t>Belanja Rapat MJ / Rapat Koordinasi</t>
  </si>
  <si>
    <t>II.2.6.01</t>
  </si>
  <si>
    <t>Pos Belanja Rapat-Rapat / Sidang</t>
  </si>
  <si>
    <t>II.2.6.</t>
  </si>
  <si>
    <t>Jumlah Pos II.2.5.</t>
  </si>
  <si>
    <t>Belanja Pemeliharaan kendaraan</t>
  </si>
  <si>
    <t>II.2.5.05</t>
  </si>
  <si>
    <t>Belanja Pemeliharaan Inventaris pastori</t>
  </si>
  <si>
    <t>II.2.5.04</t>
  </si>
  <si>
    <t>Belanja Pemeliharaan Inventaris Gedung Gereja dan gedung lainnya</t>
  </si>
  <si>
    <t>II.2.5.03</t>
  </si>
  <si>
    <t>Belanja Pemeliharaan Pastori</t>
  </si>
  <si>
    <t>II.2.5.02</t>
  </si>
  <si>
    <t>Belanja Pemeliharaan Kantor, Gedung Gereja &amp; gedung lainnya</t>
  </si>
  <si>
    <t>II.2.5.01</t>
  </si>
  <si>
    <t>Pos Belanja Pemeliharaan</t>
  </si>
  <si>
    <t>II.2.5.</t>
  </si>
  <si>
    <t>Jumlah Pos II.2.4.</t>
  </si>
  <si>
    <t>Belanja Inventaris Pastori</t>
  </si>
  <si>
    <t>II.2.4.02</t>
  </si>
  <si>
    <t>Belanja Inventaris Kantor dan Gedung gereja dan Gedung lainnya</t>
  </si>
  <si>
    <t>II.2.4.01</t>
  </si>
  <si>
    <t>Pos Belanja Inventaris</t>
  </si>
  <si>
    <t>II.2.4.</t>
  </si>
  <si>
    <t>Jumlah Pos II.2.3.</t>
  </si>
  <si>
    <t>Belanja Pajak-Pajak</t>
  </si>
  <si>
    <t>II.2.3.07</t>
  </si>
  <si>
    <t>Biaya surat</t>
  </si>
  <si>
    <t>II.2.3.06</t>
  </si>
  <si>
    <t>Belanja Rekening Air</t>
  </si>
  <si>
    <t>II.2.3.05</t>
  </si>
  <si>
    <t>Belanja Rekening Tlp/Wifi</t>
  </si>
  <si>
    <t>II.2.3.04</t>
  </si>
  <si>
    <t>Belanja Rekening Listrik</t>
  </si>
  <si>
    <t>II.2.3.03</t>
  </si>
  <si>
    <t>Belanja Tamu Gereja</t>
  </si>
  <si>
    <t>II.2.3.02</t>
  </si>
  <si>
    <t>Belanja ATK</t>
  </si>
  <si>
    <t>II.2.3.01</t>
  </si>
  <si>
    <t>Pos Belanja Barang dan Pajak-Pajak</t>
  </si>
  <si>
    <t>II.2.3</t>
  </si>
  <si>
    <t>Jumlah Pos II.2.2.</t>
  </si>
  <si>
    <t>THR / Open house</t>
  </si>
  <si>
    <t>II.2.2.08</t>
  </si>
  <si>
    <t>Kontrak Rumah</t>
  </si>
  <si>
    <t>II.2.2.07</t>
  </si>
  <si>
    <t>Biaya Perawatan</t>
  </si>
  <si>
    <t>II.2.2.06</t>
  </si>
  <si>
    <t>Insentif Tuagama / Kostor</t>
  </si>
  <si>
    <t>II.2.2.05</t>
  </si>
  <si>
    <t>Insentif Pengelola Keuangan</t>
  </si>
  <si>
    <t>II.2.2.04</t>
  </si>
  <si>
    <t>Insentif PHMJ dan MJ</t>
  </si>
  <si>
    <t>II.2.2.03</t>
  </si>
  <si>
    <t>Biaya Lembur</t>
  </si>
  <si>
    <t>II.2.2.02</t>
  </si>
  <si>
    <t>Honor</t>
  </si>
  <si>
    <t>II.2.2.01</t>
  </si>
  <si>
    <t>Pos Belanja Pegawai</t>
  </si>
  <si>
    <t>II.2.2</t>
  </si>
  <si>
    <t>Jumlah Pos II.2.1.</t>
  </si>
  <si>
    <t>Barang Cetakan GPM</t>
  </si>
  <si>
    <t>II.2.1.07</t>
  </si>
  <si>
    <t>Surat-Surat Gerejawi</t>
  </si>
  <si>
    <t>II.2.1.06</t>
  </si>
  <si>
    <t>Subsidi AMGPM / Panitia Sidang</t>
  </si>
  <si>
    <t>II.2.1.05</t>
  </si>
  <si>
    <t>Tunggakan Tanggungan Pelayanan</t>
  </si>
  <si>
    <t>II.2.1.04</t>
  </si>
  <si>
    <t>Tanggungan 5% - 10% ke Klasis</t>
  </si>
  <si>
    <t>II.2.1.03</t>
  </si>
  <si>
    <t>Tanggungan 1 % ke YPPK</t>
  </si>
  <si>
    <t>II.2.1.02</t>
  </si>
  <si>
    <t>Tanggungan Pengembangan Institusi (30%)</t>
  </si>
  <si>
    <t>II.2.1.01</t>
  </si>
  <si>
    <t>Pos Belanja Tetap Gereja</t>
  </si>
  <si>
    <t>II.2.1.</t>
  </si>
  <si>
    <t>BAGIAN BELANJA TETAP GEREJA</t>
  </si>
  <si>
    <t>II.2.</t>
  </si>
  <si>
    <t>Jumlah Bagian II.1.</t>
  </si>
  <si>
    <t>Sisa Kurang Perhitungan Anggaran Tahun Lalu</t>
  </si>
  <si>
    <t>II.1.1.01</t>
  </si>
  <si>
    <t>Pos Sisa Kurang Perhitungan Angg Thn Lalu</t>
  </si>
  <si>
    <t>II.1.1</t>
  </si>
  <si>
    <t>BAGIAN SISA KURANG ANGG THN LALU</t>
  </si>
  <si>
    <t>II. 1.</t>
  </si>
  <si>
    <t xml:space="preserve">M A T A   A N G G A R A N  </t>
  </si>
  <si>
    <t>KODE ANGGARAN</t>
  </si>
  <si>
    <t>II.  BAGIAN BELANJA</t>
  </si>
  <si>
    <t>TOTAL PENDAPATAN :</t>
  </si>
  <si>
    <t>Jumlah Bagian I.6.</t>
  </si>
  <si>
    <t>Jumlah Pos 1. 6</t>
  </si>
  <si>
    <t>Penerimaan Pihak ketiga lainnya</t>
  </si>
  <si>
    <t>I.6.1.10</t>
  </si>
  <si>
    <t>Sumbangan Pegawai Organik dan Jemaat Per KK untuk Pembangunan Kampus UKIM</t>
  </si>
  <si>
    <t>I.6.1.09</t>
  </si>
  <si>
    <t>I.6.1.08</t>
  </si>
  <si>
    <t>Bantuan Bencana Alam, Non Alam, Sosial.</t>
  </si>
  <si>
    <t>I.6.1.07</t>
  </si>
  <si>
    <t>I.6.1.06</t>
  </si>
  <si>
    <t>I.6.1.05</t>
  </si>
  <si>
    <t>I.6.1.04</t>
  </si>
  <si>
    <t xml:space="preserve">Kolekta HDA Anak </t>
  </si>
  <si>
    <t>I.6.1.03</t>
  </si>
  <si>
    <t xml:space="preserve">Kolekta HDS Perempuan </t>
  </si>
  <si>
    <t>I.6.1.02</t>
  </si>
  <si>
    <t>I.6.1.01</t>
  </si>
  <si>
    <t>Pos Pendapatan UKP</t>
  </si>
  <si>
    <t>I.6.1.</t>
  </si>
  <si>
    <t>BAGIAN PENDAPATAN UKP</t>
  </si>
  <si>
    <t>I.6.</t>
  </si>
  <si>
    <t>JUMLAH PENDAPATAN MURNI :</t>
  </si>
  <si>
    <t>Jumlah Bagian I.5</t>
  </si>
  <si>
    <t>Jumlah Pos I.5.2.</t>
  </si>
  <si>
    <t>Pendapatan Lain-lain</t>
  </si>
  <si>
    <t>I.5.2.03</t>
  </si>
  <si>
    <t>Pengembalian Kelebihan Belanja / Program.</t>
  </si>
  <si>
    <t>I.5.2.02</t>
  </si>
  <si>
    <t>Bunga Bank</t>
  </si>
  <si>
    <t>I.5.2.01</t>
  </si>
  <si>
    <t>Pos Pendapatan Lain lain</t>
  </si>
  <si>
    <t>I.5.2</t>
  </si>
  <si>
    <t>Jumlah Pos I.5.1.</t>
  </si>
  <si>
    <t>Sumbangan-Sumbangan</t>
  </si>
  <si>
    <t>I.5.1.04</t>
  </si>
  <si>
    <t>Donasi</t>
  </si>
  <si>
    <t>I.5.1.03</t>
  </si>
  <si>
    <t>Warisan</t>
  </si>
  <si>
    <t>I.5.1.02</t>
  </si>
  <si>
    <t>Hibah</t>
  </si>
  <si>
    <t>I.5.1.01</t>
  </si>
  <si>
    <t>Pos Bantuan-bantuan dan Sumbangan- sumbangan</t>
  </si>
  <si>
    <t>I.5.1</t>
  </si>
  <si>
    <t>BAGIAN PENDAPATAN LAIN-LAIN</t>
  </si>
  <si>
    <t>I.5.</t>
  </si>
  <si>
    <t>Jumlah Bagian I.4.</t>
  </si>
  <si>
    <t>I.4.1.02</t>
  </si>
  <si>
    <t>I.4.1.01</t>
  </si>
  <si>
    <t>Pos Pendapatan Unit Usaha</t>
  </si>
  <si>
    <t>I.4.1.</t>
  </si>
  <si>
    <t>BAGIAN PENDAPATAN UNIT USAHA GEREJA</t>
  </si>
  <si>
    <t>I.4.</t>
  </si>
  <si>
    <t>Jumlah Bagian I.3.</t>
  </si>
  <si>
    <t>Jumlah Pos I.3.1.4.</t>
  </si>
  <si>
    <t>I.3.1.4.07.003</t>
  </si>
  <si>
    <t>I.3.1.4.07.002</t>
  </si>
  <si>
    <t>I.3.1.4.07.001</t>
  </si>
  <si>
    <t>I.3.1.4.07</t>
  </si>
  <si>
    <t>I.3.1.4.06.003</t>
  </si>
  <si>
    <t>I.3.1.4.06.002</t>
  </si>
  <si>
    <t>I.3.1.4.06.001</t>
  </si>
  <si>
    <t>I.3.1.4.06</t>
  </si>
  <si>
    <t>I.3.1.4.05.001</t>
  </si>
  <si>
    <t>Sub Seksi Pengembangan KapasitasPelayan</t>
  </si>
  <si>
    <t>I.3.1.4.05</t>
  </si>
  <si>
    <t>I.3.1.4.04.001</t>
  </si>
  <si>
    <t>I.3.1.4.04</t>
  </si>
  <si>
    <t>I.3.1.4.03.003</t>
  </si>
  <si>
    <t>I.3.1.4.03.002</t>
  </si>
  <si>
    <t>I.3.1.4.03.001</t>
  </si>
  <si>
    <t>I.3.1.4.03</t>
  </si>
  <si>
    <t>I.3.1.4.02.002</t>
  </si>
  <si>
    <t>I.3.1.4.02.001</t>
  </si>
  <si>
    <t>I.3.1.4.02</t>
  </si>
  <si>
    <t>I.3.1.4.01.001</t>
  </si>
  <si>
    <t>I.3.1.4.01</t>
  </si>
  <si>
    <t>I.3.1.4</t>
  </si>
  <si>
    <t>Jumlah Pos  I.3.1.3.</t>
  </si>
  <si>
    <t>I.3.1.3.02.002</t>
  </si>
  <si>
    <t>I.3.1.3.02.001</t>
  </si>
  <si>
    <t>I.3.1.3.02</t>
  </si>
  <si>
    <t>I.3.1.3.01.002</t>
  </si>
  <si>
    <t>Pembinaan Kerjasama Lintas Denomisasi</t>
  </si>
  <si>
    <t>I.3.1.3.01.001</t>
  </si>
  <si>
    <t>I.3.1.3.01</t>
  </si>
  <si>
    <t>I.3.1.3.</t>
  </si>
  <si>
    <t>Jumlah Pos  I.3.1.2.</t>
  </si>
  <si>
    <t>I.3.1.2.02.005</t>
  </si>
  <si>
    <t>I.3.1.2.02.004</t>
  </si>
  <si>
    <t>I.3.1.2.02.003</t>
  </si>
  <si>
    <t>I.3.1.2.02.002</t>
  </si>
  <si>
    <t>I.3.1.2.02.001</t>
  </si>
  <si>
    <t>I.3.1.2.02</t>
  </si>
  <si>
    <t>I.3.1.2.01.001</t>
  </si>
  <si>
    <t>I.3.1.2.01</t>
  </si>
  <si>
    <t>I.3.1.2</t>
  </si>
  <si>
    <t>Jumlah Pos  I.3.1.1.</t>
  </si>
  <si>
    <t>Gerejawi Pembinaan Pastoral Konseling</t>
  </si>
  <si>
    <t>1.3.1.1.02.002</t>
  </si>
  <si>
    <t>Pembinaan Perkebaktianan dan Musik Gerejawi</t>
  </si>
  <si>
    <t>1.3.1.1.02.001</t>
  </si>
  <si>
    <t>Sub Seksi Perkebaktianan dan Pastoral</t>
  </si>
  <si>
    <t>1.3.1.1.02</t>
  </si>
  <si>
    <t>1.3.1.1.01.006</t>
  </si>
  <si>
    <t>1.3.1.1.01.005</t>
  </si>
  <si>
    <t>1.3.1.1.01.004</t>
  </si>
  <si>
    <t>1.3.1.1.01.003</t>
  </si>
  <si>
    <t>1.3.1.1.01.002</t>
  </si>
  <si>
    <t>1.3.1.1.01.001</t>
  </si>
  <si>
    <t>I.3.1.1.01</t>
  </si>
  <si>
    <t>I.3.1.1</t>
  </si>
  <si>
    <t>Pos Pendapatan Seksi-Seksi Pelayanan</t>
  </si>
  <si>
    <t>I.3.1.</t>
  </si>
  <si>
    <t>BAGIAN PENDAPATAN PELAYANAN GEREJA</t>
  </si>
  <si>
    <t>I.3.</t>
  </si>
  <si>
    <t>Jumlah Bagian I.2</t>
  </si>
  <si>
    <t>Jumlah Pos I.2.4</t>
  </si>
  <si>
    <t>I.2.4.02</t>
  </si>
  <si>
    <t>I.2.4.01</t>
  </si>
  <si>
    <t>Pos Pendapatan Surat Gerejawi dan Barang Cetakan.</t>
  </si>
  <si>
    <t>I.2.4</t>
  </si>
  <si>
    <t>Jumlah Pos  I.2.3.</t>
  </si>
  <si>
    <t>Huluhasil ( Hasil Pertama )</t>
  </si>
  <si>
    <t>I.2.3.02</t>
  </si>
  <si>
    <t>Persepuluhan</t>
  </si>
  <si>
    <t>I.2.3.01</t>
  </si>
  <si>
    <t>Pos Pendapatan Persepuluhan / Uluhasil</t>
  </si>
  <si>
    <t>I.2.3</t>
  </si>
  <si>
    <t>Jumlah Pos  I.2.2.</t>
  </si>
  <si>
    <t>Kolekta Kebaktian Lainnya</t>
  </si>
  <si>
    <t>I.2.2.02.064</t>
  </si>
  <si>
    <t>Natzar Pergumulan Khusus</t>
  </si>
  <si>
    <t>I.2.2.02.063</t>
  </si>
  <si>
    <t>Kolekta Kebaktian Persiapan Ujian SLTA/SMK</t>
  </si>
  <si>
    <t>I.2.2.02.062</t>
  </si>
  <si>
    <t>Kolekta Kebaktian Persiapan Ujian SLTP</t>
  </si>
  <si>
    <t>I.2.2.02.061</t>
  </si>
  <si>
    <t>Kolekta Kebaktian Persiapan Ujian SD</t>
  </si>
  <si>
    <t>I.2.2.02.060</t>
  </si>
  <si>
    <t>Kolekta Kebaktian Syukur HUT SMTPI</t>
  </si>
  <si>
    <t>I.2.2.02.059</t>
  </si>
  <si>
    <t>Kolekta Kebaktian Syukur HUT Laki-Laki</t>
  </si>
  <si>
    <t>I.2.2.02.058</t>
  </si>
  <si>
    <t>Kolekta Kebaktian Syukur HUT Perempuan</t>
  </si>
  <si>
    <t>I.2.2.02.057</t>
  </si>
  <si>
    <t>Kolekta Kebaktian Syukur HUT GPM</t>
  </si>
  <si>
    <t>I.2.2.02.056</t>
  </si>
  <si>
    <t>Kolekta Kebaktian Malam Puji-Pujian</t>
  </si>
  <si>
    <t>I.2.2.02.055</t>
  </si>
  <si>
    <t>Kolekta Kebaktian Akhir Tahun</t>
  </si>
  <si>
    <t>I.2.2.02.054</t>
  </si>
  <si>
    <t>Kolekta Kebaktian Tahun Baru</t>
  </si>
  <si>
    <t>I.2.2.02.053</t>
  </si>
  <si>
    <t>Kolekta Kebaktian Natal Persekutuan / Keluarga</t>
  </si>
  <si>
    <t>I.2.2.02.052</t>
  </si>
  <si>
    <t>Kolekta Kebaktian Natal Wadah / Organisasi</t>
  </si>
  <si>
    <t>I.2.2.02.051</t>
  </si>
  <si>
    <t>Kolekta Kebaktian Natal II</t>
  </si>
  <si>
    <t>I.2.2.02.050</t>
  </si>
  <si>
    <t>Kolekta Kebaktian Natal I</t>
  </si>
  <si>
    <t>I.2.2.02.049</t>
  </si>
  <si>
    <t>Kolekta Kebaktian Persiapan Natal</t>
  </si>
  <si>
    <t>I.2.2.02.048</t>
  </si>
  <si>
    <t xml:space="preserve">Kolekta Kebaktian Kenaikan Tuhan Yesus </t>
  </si>
  <si>
    <t>I.2.2.02.047</t>
  </si>
  <si>
    <t>Kolekta Kebaktian Pentakosta II</t>
  </si>
  <si>
    <t>I.2.2.02.046</t>
  </si>
  <si>
    <t>Kolekta Kebaktian Syukur Paskah (Paskah II)</t>
  </si>
  <si>
    <t>I.2.2.02.045</t>
  </si>
  <si>
    <t>Kolekta Kebaktian Syukur Perjamuan Kudus (Jumat Agung)</t>
  </si>
  <si>
    <t>I.2.2.02.044</t>
  </si>
  <si>
    <t>Kolekta Kebaktian Perjamuan Kudus    (Jumat Agung)</t>
  </si>
  <si>
    <t>I.2.2.02.043</t>
  </si>
  <si>
    <t>Kolekta Kebaktian Syukur Peneguhan Nikah</t>
  </si>
  <si>
    <t>I.2.2.02.042</t>
  </si>
  <si>
    <t>Kolekta Kebaktian Penggembalaan Nikah</t>
  </si>
  <si>
    <t>I.2.2.02.041</t>
  </si>
  <si>
    <t>Sampul Syukur Anggota Sidi Baru</t>
  </si>
  <si>
    <t>I.2.2.02.040</t>
  </si>
  <si>
    <t>Kolekta Kebaktian Syukur Peneguhan Sidi</t>
  </si>
  <si>
    <t>I.2.2.02.039</t>
  </si>
  <si>
    <t>Kolekta Kebaktian Syukur Baptis</t>
  </si>
  <si>
    <t>I.2.2.02.038</t>
  </si>
  <si>
    <t>Kolekta Kebaktian Penggembalaan Baptis</t>
  </si>
  <si>
    <t>I.2.2.02.037</t>
  </si>
  <si>
    <t>Kolekta Kebaktian Akhir Bulan</t>
  </si>
  <si>
    <t>I.2.2.02.036</t>
  </si>
  <si>
    <t>Kolekta Kebaktian Lansia / Orang Sakit</t>
  </si>
  <si>
    <t>I.2.2.02.035</t>
  </si>
  <si>
    <t>Kolekta Kebaktian Pengemudi Angkot /Ojek/ Becak</t>
  </si>
  <si>
    <t>I.2.2.02.034</t>
  </si>
  <si>
    <t>Kolekta Kebaktian Tiga Batu Tungku</t>
  </si>
  <si>
    <t>I.2.2.02.033</t>
  </si>
  <si>
    <t>Kolekta Kebaktian Majelis Jemaat/Tuagama</t>
  </si>
  <si>
    <t>I.2.2.02.032</t>
  </si>
  <si>
    <t>Kolekta Kebaktian Pengasuh SMTPI</t>
  </si>
  <si>
    <t>I.2.2.02.031</t>
  </si>
  <si>
    <t>Kolekta Kebaktian Pelayanan Laki-Laki</t>
  </si>
  <si>
    <t>I.2.2.02.030</t>
  </si>
  <si>
    <t>Kolekta Kebaktian Pelayanan Perempuan</t>
  </si>
  <si>
    <t>I.2.2.02.029</t>
  </si>
  <si>
    <t>Kolekta Kebaktian Kemitraan</t>
  </si>
  <si>
    <t>I.2.2.02.028</t>
  </si>
  <si>
    <t>Kolekta Kebaktian Pemuda</t>
  </si>
  <si>
    <t>I.2.2.02.027</t>
  </si>
  <si>
    <t>Kolekta Kebaktian Katekisasi</t>
  </si>
  <si>
    <t>I.2.2.02.026</t>
  </si>
  <si>
    <t>Kolekta Kebaktian SMTPI</t>
  </si>
  <si>
    <t>I.2.2.02.025</t>
  </si>
  <si>
    <t>Kolekta Kebaktian Pasar</t>
  </si>
  <si>
    <t>I.2.2.02.024</t>
  </si>
  <si>
    <t>Kolekta Kebaktian Tutup Usbu</t>
  </si>
  <si>
    <t>I.2.2.02.023</t>
  </si>
  <si>
    <t>Kolekta Kebaktian Buka Usbu</t>
  </si>
  <si>
    <t>I.2.2.02.022</t>
  </si>
  <si>
    <t>Kolekta Kebaktian Binakel/Gatris</t>
  </si>
  <si>
    <t>I.2.2.02.021</t>
  </si>
  <si>
    <t>Kolekta Kebaktian Unit</t>
  </si>
  <si>
    <t>I.2.2.02.020</t>
  </si>
  <si>
    <t>Kolekta Kebaktian Sektor</t>
  </si>
  <si>
    <t>I.2.2.02.019</t>
  </si>
  <si>
    <t>Kolekta Kebaktian Perkunjungan Majelis Jemaat</t>
  </si>
  <si>
    <t>I.2.2.02.018</t>
  </si>
  <si>
    <t>Kolekta Syukur Buka Rumah Makan / Restoran</t>
  </si>
  <si>
    <t>I.2.2.02.017</t>
  </si>
  <si>
    <t>Kolekta Syukur Buka Usaha Pondok/Kios/Toko</t>
  </si>
  <si>
    <t>I.2.2.02.016</t>
  </si>
  <si>
    <t>Kolekta Syukur Rompon</t>
  </si>
  <si>
    <t>I.2.2.02.015</t>
  </si>
  <si>
    <t>Kolekta Syukur Jaring</t>
  </si>
  <si>
    <t>I.2.2.02.014</t>
  </si>
  <si>
    <t>Kolekta Syukur Bodi Motor/Perahu</t>
  </si>
  <si>
    <t>I.2.2.02.013</t>
  </si>
  <si>
    <t>Kolekta Syukur Mobil Baru</t>
  </si>
  <si>
    <t>I.2.2.02.012</t>
  </si>
  <si>
    <t>Kolekta Kebaktian Syukur Panen</t>
  </si>
  <si>
    <t>I.2.2.02.011</t>
  </si>
  <si>
    <t>Kolekta Syukur Buka Kebun</t>
  </si>
  <si>
    <t>I.2.2.02.010</t>
  </si>
  <si>
    <t>Kolekta Kebaktian Syukur Kelulusan dan Wisuda</t>
  </si>
  <si>
    <t>I.2.2.02.009</t>
  </si>
  <si>
    <t>Kolekta Kebaktian Syukur Pengangkatan Pegawai.</t>
  </si>
  <si>
    <t>I.2.2.02.008</t>
  </si>
  <si>
    <t>Kolekta Kebaktian Syukur Purna Bakti</t>
  </si>
  <si>
    <t>I.2.2.02.007</t>
  </si>
  <si>
    <t>Kolekta Kebaktian Syukur Kenaikan Pangkat/Jabatan</t>
  </si>
  <si>
    <t>I.2.2.02.006</t>
  </si>
  <si>
    <t>Kolekta Kebaktian Syukur Masuk Rumah</t>
  </si>
  <si>
    <t>I.2.2.02.005</t>
  </si>
  <si>
    <t>Kolekta Kebaktian Syukur Duka</t>
  </si>
  <si>
    <t>I.2.2.02.004</t>
  </si>
  <si>
    <t>Kolekta Kebaktian Syukur Kesembuhan</t>
  </si>
  <si>
    <t>I.2.2.02.003</t>
  </si>
  <si>
    <t>Kolekta Kebaktian Syukur HUT Perkawinan</t>
  </si>
  <si>
    <t>I.2.2.02.002</t>
  </si>
  <si>
    <t>Kolekta Kebaktian Syukur HUT Kelahiran</t>
  </si>
  <si>
    <t>I.2.2.02.001</t>
  </si>
  <si>
    <t>Kolekta Ibadah Non Minggu</t>
  </si>
  <si>
    <t>I.2.2.02</t>
  </si>
  <si>
    <t>Kolekta Kebaktian Minggu Perjamuan Kudus</t>
  </si>
  <si>
    <t>I.2.2.01.002</t>
  </si>
  <si>
    <t>Kolekta Kebaktian Minggu</t>
  </si>
  <si>
    <t>I.2.2.01.001</t>
  </si>
  <si>
    <t>I.2.2.01</t>
  </si>
  <si>
    <t>Pos Pendapatan Kolekta-Kolekta</t>
  </si>
  <si>
    <t>I.2.2</t>
  </si>
  <si>
    <t>Jumlah Pos  I.2.1.</t>
  </si>
  <si>
    <t>Tunggakan Tanggungan Pelayanan Warga Jemaat</t>
  </si>
  <si>
    <t>I.2.1.02</t>
  </si>
  <si>
    <t>Iuran Jemaat (Per Anggota / Per. Keluarga)</t>
  </si>
  <si>
    <t>I.2.1.01.01</t>
  </si>
  <si>
    <t>Tanggungan Pelayanan Warga Jemaat/Celengan</t>
  </si>
  <si>
    <t>I.2.1.01</t>
  </si>
  <si>
    <t>Pos Tanggungan Pelayanan Gereja</t>
  </si>
  <si>
    <t>I.2.1.</t>
  </si>
  <si>
    <t>BAGIAN PENDAPATAN TETAP GEREJA</t>
  </si>
  <si>
    <t>I.2.</t>
  </si>
  <si>
    <t>Jumlah Bagian I.1.</t>
  </si>
  <si>
    <t>Sisa Lebih Perhitungan Anggaran Tahun Lalu</t>
  </si>
  <si>
    <t>I.1.1.01</t>
  </si>
  <si>
    <t>Pos Sisa Lebih Perhitungan Angg Tahun Lalu</t>
  </si>
  <si>
    <t>I.1.1.</t>
  </si>
  <si>
    <t>BAGIAN SISA LEBIH ANGG TAHUN LALU</t>
  </si>
  <si>
    <t>I. 1.</t>
  </si>
  <si>
    <t>KETERANGAN</t>
  </si>
  <si>
    <t>LEBIH / KURANG</t>
  </si>
  <si>
    <t xml:space="preserve">JEMAAT SULI </t>
  </si>
  <si>
    <t>KLASIS  PULAU  AMBON TIMUR</t>
  </si>
  <si>
    <t>(ANGGOTA PGI)</t>
  </si>
  <si>
    <t>GEREJA PROTESTAN MALUKU</t>
  </si>
  <si>
    <t>DIANGGARKAN 2026</t>
  </si>
  <si>
    <t>SISA SALDO</t>
  </si>
  <si>
    <t>TOTAL</t>
  </si>
  <si>
    <t>PENDAPATAN MURNI</t>
  </si>
  <si>
    <t>Desember 2026</t>
  </si>
  <si>
    <t>November 2026</t>
  </si>
  <si>
    <t>Oktober 2026</t>
  </si>
  <si>
    <t>September 2026</t>
  </si>
  <si>
    <t>Agustus 2026</t>
  </si>
  <si>
    <t>Juli 2026</t>
  </si>
  <si>
    <t>Juni 2026</t>
  </si>
  <si>
    <t>Mei 2026</t>
  </si>
  <si>
    <t>April 2026</t>
  </si>
  <si>
    <t>Maret 2026</t>
  </si>
  <si>
    <t>Februari 2026</t>
  </si>
  <si>
    <t>Januari 2026</t>
  </si>
  <si>
    <t>PENGELUARAN</t>
  </si>
  <si>
    <t>PENDAPATAN</t>
  </si>
  <si>
    <t>UKP</t>
  </si>
  <si>
    <t>JUMLAH PENGELUARAN</t>
  </si>
  <si>
    <t>JUMLAH PENDAPATAN</t>
  </si>
  <si>
    <t>URAIAN</t>
  </si>
  <si>
    <t>No</t>
  </si>
  <si>
    <t xml:space="preserve">REALISASI PERBULAN </t>
  </si>
  <si>
    <t xml:space="preserve">JEMAAT GPM SULI </t>
  </si>
  <si>
    <t>REALISASI PER SUB SEKSI</t>
  </si>
  <si>
    <t>NO</t>
  </si>
  <si>
    <t>MATA ANGGARAN</t>
  </si>
  <si>
    <t>KET</t>
  </si>
  <si>
    <t>SEMESTER I</t>
  </si>
  <si>
    <t>SEMESTER II</t>
  </si>
  <si>
    <t>I.3.1.1.01.001</t>
  </si>
  <si>
    <t>I.3.1.1.01.002</t>
  </si>
  <si>
    <t>I.3.1.1.01.003</t>
  </si>
  <si>
    <t>I.3.1.1.01.004</t>
  </si>
  <si>
    <t>I.3.1.1.01.005</t>
  </si>
  <si>
    <t>I.3.1.1.01.006</t>
  </si>
  <si>
    <t>I.3.1.1.02</t>
  </si>
  <si>
    <t>I.3.1.1.02.001</t>
  </si>
  <si>
    <t>I.3.1.1.02.002</t>
  </si>
  <si>
    <t>SISA</t>
  </si>
  <si>
    <t>JUMLAH S/D TANGGAL</t>
  </si>
  <si>
    <t>HARI INI</t>
  </si>
  <si>
    <t>JUMLAH TANGGAL</t>
  </si>
  <si>
    <t>PENERIMAAN</t>
  </si>
  <si>
    <t>DESEMBER</t>
  </si>
  <si>
    <t>KODE BANTU</t>
  </si>
  <si>
    <t>NOVEMBER</t>
  </si>
  <si>
    <t>OKTOBER</t>
  </si>
  <si>
    <t>SEPTEMBER</t>
  </si>
  <si>
    <t>AGUSTUS</t>
  </si>
  <si>
    <t>JULI</t>
  </si>
  <si>
    <t>JUNI</t>
  </si>
  <si>
    <t>MEI</t>
  </si>
  <si>
    <t>APRIL</t>
  </si>
  <si>
    <t>MARET</t>
  </si>
  <si>
    <t>FEBRUARI</t>
  </si>
  <si>
    <t>JANUARI</t>
  </si>
  <si>
    <t>Rumus 4</t>
  </si>
  <si>
    <t>Rumus 3</t>
  </si>
  <si>
    <t>Rumus 2</t>
  </si>
  <si>
    <t>Rumus 1</t>
  </si>
  <si>
    <t>REALISASI ANGGARAN PENDAPATAN DAN BELANJA TAHUN 2026</t>
  </si>
  <si>
    <t>REALISASI 2026</t>
  </si>
  <si>
    <t xml:space="preserve">Jumlah </t>
  </si>
  <si>
    <t>Keterangan</t>
  </si>
  <si>
    <t>Jumlah</t>
  </si>
  <si>
    <t>Uraian</t>
  </si>
  <si>
    <t>Tanggal</t>
  </si>
  <si>
    <t>No. Bukti Kas</t>
  </si>
  <si>
    <t>KURANG / LEBIH</t>
  </si>
  <si>
    <t>DIANGGARKAN</t>
  </si>
  <si>
    <t>JUMLAH</t>
  </si>
  <si>
    <t>KODE BANATU</t>
  </si>
  <si>
    <t>KODE Bntu</t>
  </si>
  <si>
    <t>KODE BANTU ANGGARAN</t>
  </si>
  <si>
    <t>Kolekta Kebaktian Binakel</t>
  </si>
  <si>
    <t>TanggaL</t>
  </si>
  <si>
    <t>Kolekta Syukur Buka Rumah Makan</t>
  </si>
  <si>
    <t>Kolekta Syukur Buka Usaha/Kios</t>
  </si>
  <si>
    <t>Kolekta Kebaktian Syukur Mobil Baru</t>
  </si>
  <si>
    <t>No Bukti Kas</t>
  </si>
  <si>
    <t>A. PENDAPATAN</t>
  </si>
  <si>
    <t>B. PENGELUARAN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</si>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</sst>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Rp&quot;#,##0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_-[$Rp-421]* #,##0_-;\-[$Rp-421]* #,##0_-;_-[$Rp-421]* &quot;-&quot;_-;_-@_-"/>
    <numFmt numFmtId="168" formatCode="[$-421]dd\ mmmm\ yyyy;@"/>
    <numFmt numFmtId="169" formatCode="[$-409]dd\-mmm\-yy;@"/>
    <numFmt numFmtId="170" formatCode="_(* #,##0_);_(* \(#,##0\);_(* &quot;-&quot;??_);_(@_)"/>
  </numFmts>
  <fonts count="3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Tahoma"/>
      <family val="2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sz val="14"/>
      <color theme="1"/>
      <name val="Calibri"/>
      <family val="2"/>
      <scheme val="minor"/>
    </font>
    <font>
      <b/>
      <sz val="14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b/>
      <sz val="16"/>
      <color theme="1"/>
      <name val="Tahoma"/>
      <family val="2"/>
    </font>
    <font>
      <b/>
      <sz val="18"/>
      <color theme="1"/>
      <name val="Tahoma"/>
      <family val="2"/>
      <charset val="1"/>
    </font>
    <font>
      <b/>
      <sz val="12"/>
      <color theme="1"/>
      <name val="Tahoma"/>
      <family val="2"/>
      <charset val="1"/>
    </font>
    <font>
      <b/>
      <sz val="14"/>
      <color theme="1"/>
      <name val="Tahoma"/>
      <family val="2"/>
      <charset val="1"/>
    </font>
    <font>
      <sz val="11"/>
      <color theme="1"/>
      <name val="Tahoma"/>
      <family val="2"/>
    </font>
    <font>
      <b/>
      <sz val="18"/>
      <color theme="1"/>
      <name val="Tahoma"/>
      <family val="2"/>
    </font>
    <font>
      <b/>
      <i/>
      <sz val="11"/>
      <color theme="1"/>
      <name val="Tahoma"/>
      <family val="2"/>
    </font>
    <font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0207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601">
    <xf numFmtId="0" fontId="0" fillId="0" borderId="0" xfId="0"/>
    <xf numFmtId="0" fontId="1" fillId="0" borderId="0" xfId="1"/>
    <xf numFmtId="0" fontId="2" fillId="0" borderId="0" xfId="1" applyFont="1"/>
    <xf numFmtId="0" fontId="3" fillId="3" borderId="3" xfId="1" applyFont="1" applyFill="1" applyBorder="1"/>
    <xf numFmtId="42" fontId="4" fillId="3" borderId="4" xfId="1" applyNumberFormat="1" applyFont="1" applyFill="1" applyBorder="1"/>
    <xf numFmtId="0" fontId="5" fillId="3" borderId="5" xfId="2" applyFont="1" applyFill="1" applyBorder="1" applyAlignment="1" applyProtection="1">
      <alignment horizontal="right" vertical="center"/>
      <protection locked="0"/>
    </xf>
    <xf numFmtId="0" fontId="6" fillId="4" borderId="6" xfId="2" applyFont="1" applyFill="1" applyBorder="1" applyAlignment="1" applyProtection="1">
      <alignment vertical="center"/>
      <protection locked="0"/>
    </xf>
    <xf numFmtId="0" fontId="3" fillId="5" borderId="7" xfId="1" applyFont="1" applyFill="1" applyBorder="1"/>
    <xf numFmtId="42" fontId="4" fillId="5" borderId="8" xfId="1" applyNumberFormat="1" applyFont="1" applyFill="1" applyBorder="1"/>
    <xf numFmtId="0" fontId="5" fillId="5" borderId="9" xfId="2" applyFont="1" applyFill="1" applyBorder="1" applyAlignment="1" applyProtection="1">
      <alignment horizontal="right" vertical="center"/>
      <protection locked="0"/>
    </xf>
    <xf numFmtId="0" fontId="6" fillId="5" borderId="10" xfId="2" applyFont="1" applyFill="1" applyBorder="1" applyAlignment="1" applyProtection="1">
      <alignment vertical="center"/>
      <protection locked="0"/>
    </xf>
    <xf numFmtId="0" fontId="3" fillId="6" borderId="7" xfId="1" applyFont="1" applyFill="1" applyBorder="1"/>
    <xf numFmtId="42" fontId="4" fillId="6" borderId="8" xfId="1" applyNumberFormat="1" applyFont="1" applyFill="1" applyBorder="1"/>
    <xf numFmtId="0" fontId="5" fillId="6" borderId="9" xfId="2" applyFont="1" applyFill="1" applyBorder="1" applyAlignment="1" applyProtection="1">
      <alignment horizontal="right" vertical="center"/>
      <protection locked="0"/>
    </xf>
    <xf numFmtId="0" fontId="5" fillId="7" borderId="10" xfId="2" applyFont="1" applyFill="1" applyBorder="1" applyAlignment="1" applyProtection="1">
      <alignment vertical="center"/>
      <protection locked="0"/>
    </xf>
    <xf numFmtId="0" fontId="3" fillId="0" borderId="11" xfId="1" applyFont="1" applyBorder="1"/>
    <xf numFmtId="42" fontId="3" fillId="0" borderId="12" xfId="1" applyNumberFormat="1" applyFont="1" applyBorder="1"/>
    <xf numFmtId="0" fontId="6" fillId="0" borderId="13" xfId="2" applyFont="1" applyBorder="1" applyAlignment="1" applyProtection="1">
      <alignment vertical="center"/>
      <protection locked="0"/>
    </xf>
    <xf numFmtId="0" fontId="6" fillId="0" borderId="14" xfId="2" applyFont="1" applyBorder="1" applyAlignment="1" applyProtection="1">
      <alignment vertical="center"/>
      <protection locked="0"/>
    </xf>
    <xf numFmtId="0" fontId="3" fillId="0" borderId="15" xfId="1" applyFont="1" applyBorder="1"/>
    <xf numFmtId="0" fontId="6" fillId="0" borderId="16" xfId="2" applyFont="1" applyBorder="1" applyAlignment="1" applyProtection="1">
      <alignment vertical="center" wrapText="1"/>
      <protection locked="0"/>
    </xf>
    <xf numFmtId="0" fontId="6" fillId="0" borderId="17" xfId="2" applyFont="1" applyBorder="1" applyAlignment="1" applyProtection="1">
      <alignment vertical="center"/>
      <protection locked="0"/>
    </xf>
    <xf numFmtId="0" fontId="6" fillId="0" borderId="16" xfId="2" applyFont="1" applyBorder="1" applyAlignment="1" applyProtection="1">
      <alignment vertical="center"/>
      <protection locked="0"/>
    </xf>
    <xf numFmtId="0" fontId="3" fillId="0" borderId="18" xfId="1" applyFont="1" applyBorder="1"/>
    <xf numFmtId="42" fontId="3" fillId="0" borderId="19" xfId="1" applyNumberFormat="1" applyFont="1" applyBorder="1"/>
    <xf numFmtId="0" fontId="7" fillId="0" borderId="20" xfId="2" applyFont="1" applyBorder="1" applyAlignment="1" applyProtection="1">
      <alignment horizontal="left" vertical="center"/>
      <protection locked="0"/>
    </xf>
    <xf numFmtId="0" fontId="7" fillId="0" borderId="21" xfId="2" applyFont="1" applyBorder="1" applyAlignment="1" applyProtection="1">
      <alignment horizontal="left" vertical="center"/>
      <protection locked="0"/>
    </xf>
    <xf numFmtId="0" fontId="3" fillId="3" borderId="7" xfId="1" applyFont="1" applyFill="1" applyBorder="1"/>
    <xf numFmtId="42" fontId="4" fillId="3" borderId="8" xfId="1" applyNumberFormat="1" applyFont="1" applyFill="1" applyBorder="1"/>
    <xf numFmtId="0" fontId="5" fillId="3" borderId="9" xfId="2" applyFont="1" applyFill="1" applyBorder="1" applyAlignment="1" applyProtection="1">
      <alignment horizontal="right" vertical="center"/>
      <protection locked="0"/>
    </xf>
    <xf numFmtId="0" fontId="7" fillId="0" borderId="10" xfId="2" applyFont="1" applyBorder="1" applyAlignment="1" applyProtection="1">
      <alignment horizontal="left" vertical="center"/>
      <protection locked="0"/>
    </xf>
    <xf numFmtId="0" fontId="7" fillId="5" borderId="10" xfId="2" applyFont="1" applyFill="1" applyBorder="1" applyAlignment="1" applyProtection="1">
      <alignment horizontal="left" vertical="center"/>
      <protection locked="0"/>
    </xf>
    <xf numFmtId="0" fontId="7" fillId="7" borderId="10" xfId="2" applyFont="1" applyFill="1" applyBorder="1" applyAlignment="1" applyProtection="1">
      <alignment horizontal="left" vertical="center"/>
      <protection locked="0"/>
    </xf>
    <xf numFmtId="42" fontId="3" fillId="0" borderId="22" xfId="1" applyNumberFormat="1" applyFont="1" applyBorder="1"/>
    <xf numFmtId="0" fontId="6" fillId="0" borderId="13" xfId="2" applyFont="1" applyBorder="1" applyAlignment="1" applyProtection="1">
      <alignment horizontal="left" vertical="center"/>
      <protection locked="0"/>
    </xf>
    <xf numFmtId="0" fontId="6" fillId="0" borderId="14" xfId="2" applyFont="1" applyBorder="1" applyAlignment="1" applyProtection="1">
      <alignment horizontal="left" vertical="center"/>
      <protection locked="0"/>
    </xf>
    <xf numFmtId="0" fontId="6" fillId="0" borderId="16" xfId="2" applyFont="1" applyBorder="1" applyAlignment="1" applyProtection="1">
      <alignment horizontal="left" vertical="center"/>
      <protection locked="0"/>
    </xf>
    <xf numFmtId="0" fontId="6" fillId="0" borderId="17" xfId="2" applyFont="1" applyBorder="1" applyAlignment="1" applyProtection="1">
      <alignment horizontal="left" vertical="center"/>
      <protection locked="0"/>
    </xf>
    <xf numFmtId="0" fontId="6" fillId="7" borderId="10" xfId="2" applyFont="1" applyFill="1" applyBorder="1" applyAlignment="1" applyProtection="1">
      <alignment horizontal="left" vertical="center"/>
      <protection locked="0"/>
    </xf>
    <xf numFmtId="0" fontId="7" fillId="0" borderId="16" xfId="2" applyFont="1" applyBorder="1" applyAlignment="1" applyProtection="1">
      <alignment horizontal="left" vertical="center"/>
      <protection locked="0"/>
    </xf>
    <xf numFmtId="0" fontId="7" fillId="0" borderId="17" xfId="2" applyFont="1" applyBorder="1" applyAlignment="1" applyProtection="1">
      <alignment horizontal="left" vertical="center"/>
      <protection locked="0"/>
    </xf>
    <xf numFmtId="0" fontId="6" fillId="5" borderId="10" xfId="2" applyFont="1" applyFill="1" applyBorder="1" applyAlignment="1" applyProtection="1">
      <alignment horizontal="left" vertical="center"/>
      <protection locked="0"/>
    </xf>
    <xf numFmtId="0" fontId="7" fillId="0" borderId="16" xfId="2" applyFont="1" applyBorder="1" applyAlignment="1" applyProtection="1">
      <alignment horizontal="left" vertical="center" wrapText="1"/>
      <protection locked="0"/>
    </xf>
    <xf numFmtId="0" fontId="6" fillId="0" borderId="20" xfId="2" applyFont="1" applyBorder="1" applyAlignment="1" applyProtection="1">
      <alignment horizontal="left" vertical="center"/>
      <protection locked="0"/>
    </xf>
    <xf numFmtId="0" fontId="6" fillId="0" borderId="21" xfId="2" applyFont="1" applyBorder="1" applyAlignment="1" applyProtection="1">
      <alignment horizontal="left" vertical="center"/>
      <protection locked="0"/>
    </xf>
    <xf numFmtId="0" fontId="5" fillId="7" borderId="10" xfId="2" applyFont="1" applyFill="1" applyBorder="1" applyAlignment="1" applyProtection="1">
      <alignment horizontal="left" vertical="center"/>
      <protection locked="0"/>
    </xf>
    <xf numFmtId="0" fontId="4" fillId="5" borderId="7" xfId="1" applyFont="1" applyFill="1" applyBorder="1"/>
    <xf numFmtId="0" fontId="5" fillId="5" borderId="10" xfId="2" applyFont="1" applyFill="1" applyBorder="1" applyAlignment="1" applyProtection="1">
      <alignment horizontal="left" vertical="center"/>
      <protection locked="0"/>
    </xf>
    <xf numFmtId="0" fontId="6" fillId="0" borderId="20" xfId="2" applyFont="1" applyBorder="1" applyAlignment="1" applyProtection="1">
      <alignment horizontal="center" vertical="center"/>
      <protection locked="0"/>
    </xf>
    <xf numFmtId="0" fontId="6" fillId="0" borderId="21" xfId="2" applyFont="1" applyBorder="1" applyAlignment="1" applyProtection="1">
      <alignment horizontal="center" vertical="center"/>
      <protection locked="0"/>
    </xf>
    <xf numFmtId="0" fontId="8" fillId="0" borderId="0" xfId="1" applyFont="1"/>
    <xf numFmtId="42" fontId="8" fillId="0" borderId="0" xfId="1" applyNumberFormat="1" applyFont="1"/>
    <xf numFmtId="0" fontId="9" fillId="0" borderId="0" xfId="2" applyFont="1" applyAlignment="1" applyProtection="1">
      <alignment vertical="center"/>
      <protection locked="0"/>
    </xf>
    <xf numFmtId="0" fontId="3" fillId="0" borderId="0" xfId="1" applyFont="1"/>
    <xf numFmtId="42" fontId="3" fillId="0" borderId="0" xfId="1" applyNumberFormat="1" applyFont="1"/>
    <xf numFmtId="164" fontId="5" fillId="0" borderId="0" xfId="2" applyNumberFormat="1" applyFont="1" applyAlignment="1" applyProtection="1">
      <alignment horizontal="right" vertical="center"/>
      <protection locked="0"/>
    </xf>
    <xf numFmtId="0" fontId="5" fillId="0" borderId="0" xfId="2" applyFont="1" applyAlignment="1" applyProtection="1">
      <alignment horizontal="right" vertical="center"/>
      <protection locked="0"/>
    </xf>
    <xf numFmtId="42" fontId="2" fillId="0" borderId="0" xfId="1" applyNumberFormat="1" applyFont="1"/>
    <xf numFmtId="42" fontId="10" fillId="0" borderId="0" xfId="1" applyNumberFormat="1" applyFont="1"/>
    <xf numFmtId="0" fontId="2" fillId="8" borderId="3" xfId="1" applyFont="1" applyFill="1" applyBorder="1"/>
    <xf numFmtId="42" fontId="2" fillId="8" borderId="4" xfId="1" applyNumberFormat="1" applyFont="1" applyFill="1" applyBorder="1"/>
    <xf numFmtId="164" fontId="5" fillId="8" borderId="5" xfId="2" applyNumberFormat="1" applyFont="1" applyFill="1" applyBorder="1" applyAlignment="1" applyProtection="1">
      <alignment horizontal="right" vertical="center"/>
      <protection locked="0"/>
    </xf>
    <xf numFmtId="0" fontId="5" fillId="4" borderId="6" xfId="2" applyFont="1" applyFill="1" applyBorder="1" applyAlignment="1" applyProtection="1">
      <alignment horizontal="right" vertical="center"/>
      <protection locked="0"/>
    </xf>
    <xf numFmtId="0" fontId="2" fillId="9" borderId="7" xfId="1" applyFont="1" applyFill="1" applyBorder="1"/>
    <xf numFmtId="42" fontId="2" fillId="9" borderId="8" xfId="1" applyNumberFormat="1" applyFont="1" applyFill="1" applyBorder="1"/>
    <xf numFmtId="164" fontId="5" fillId="9" borderId="9" xfId="2" applyNumberFormat="1" applyFont="1" applyFill="1" applyBorder="1" applyAlignment="1" applyProtection="1">
      <alignment horizontal="right" vertical="center"/>
      <protection locked="0"/>
    </xf>
    <xf numFmtId="0" fontId="2" fillId="10" borderId="7" xfId="1" applyFont="1" applyFill="1" applyBorder="1"/>
    <xf numFmtId="42" fontId="2" fillId="10" borderId="8" xfId="1" applyNumberFormat="1" applyFont="1" applyFill="1" applyBorder="1"/>
    <xf numFmtId="0" fontId="5" fillId="10" borderId="9" xfId="2" applyFont="1" applyFill="1" applyBorder="1" applyAlignment="1" applyProtection="1">
      <alignment horizontal="right" vertical="center"/>
      <protection locked="0"/>
    </xf>
    <xf numFmtId="0" fontId="10" fillId="0" borderId="11" xfId="1" applyFont="1" applyBorder="1"/>
    <xf numFmtId="42" fontId="10" fillId="0" borderId="12" xfId="1" applyNumberFormat="1" applyFont="1" applyBorder="1"/>
    <xf numFmtId="0" fontId="6" fillId="0" borderId="13" xfId="2" applyFont="1" applyBorder="1" applyAlignment="1" applyProtection="1">
      <alignment horizontal="left" vertical="center" wrapText="1"/>
      <protection locked="0"/>
    </xf>
    <xf numFmtId="0" fontId="10" fillId="0" borderId="15" xfId="1" applyFont="1" applyBorder="1"/>
    <xf numFmtId="0" fontId="6" fillId="0" borderId="16" xfId="2" applyFont="1" applyBorder="1" applyAlignment="1" applyProtection="1">
      <alignment horizontal="left" vertical="center" wrapText="1"/>
      <protection locked="0"/>
    </xf>
    <xf numFmtId="0" fontId="10" fillId="0" borderId="18" xfId="1" applyFont="1" applyBorder="1"/>
    <xf numFmtId="42" fontId="10" fillId="0" borderId="19" xfId="1" applyNumberFormat="1" applyFont="1" applyBorder="1"/>
    <xf numFmtId="0" fontId="2" fillId="3" borderId="7" xfId="1" applyFont="1" applyFill="1" applyBorder="1"/>
    <xf numFmtId="42" fontId="2" fillId="3" borderId="8" xfId="1" applyNumberFormat="1" applyFont="1" applyFill="1" applyBorder="1"/>
    <xf numFmtId="0" fontId="5" fillId="4" borderId="10" xfId="2" applyFont="1" applyFill="1" applyBorder="1" applyAlignment="1" applyProtection="1">
      <alignment horizontal="left" vertical="center"/>
      <protection locked="0"/>
    </xf>
    <xf numFmtId="0" fontId="2" fillId="5" borderId="7" xfId="1" applyFont="1" applyFill="1" applyBorder="1"/>
    <xf numFmtId="42" fontId="2" fillId="5" borderId="8" xfId="1" applyNumberFormat="1" applyFont="1" applyFill="1" applyBorder="1"/>
    <xf numFmtId="0" fontId="5" fillId="10" borderId="9" xfId="2" applyFont="1" applyFill="1" applyBorder="1" applyAlignment="1" applyProtection="1">
      <alignment horizontal="left" vertical="center"/>
      <protection locked="0"/>
    </xf>
    <xf numFmtId="0" fontId="10" fillId="5" borderId="7" xfId="1" applyFont="1" applyFill="1" applyBorder="1"/>
    <xf numFmtId="42" fontId="10" fillId="5" borderId="8" xfId="1" applyNumberFormat="1" applyFont="1" applyFill="1" applyBorder="1"/>
    <xf numFmtId="42" fontId="10" fillId="0" borderId="22" xfId="1" applyNumberFormat="1" applyFont="1" applyBorder="1"/>
    <xf numFmtId="0" fontId="6" fillId="0" borderId="16" xfId="2" quotePrefix="1" applyFont="1" applyBorder="1" applyAlignment="1" applyProtection="1">
      <alignment horizontal="left" vertical="center"/>
      <protection locked="0"/>
    </xf>
    <xf numFmtId="0" fontId="11" fillId="10" borderId="7" xfId="1" applyFont="1" applyFill="1" applyBorder="1"/>
    <xf numFmtId="42" fontId="11" fillId="10" borderId="8" xfId="1" applyNumberFormat="1" applyFont="1" applyFill="1" applyBorder="1"/>
    <xf numFmtId="42" fontId="5" fillId="10" borderId="9" xfId="2" applyNumberFormat="1" applyFont="1" applyFill="1" applyBorder="1" applyAlignment="1" applyProtection="1">
      <alignment horizontal="right" vertical="center"/>
      <protection locked="0"/>
    </xf>
    <xf numFmtId="42" fontId="5" fillId="7" borderId="10" xfId="2" applyNumberFormat="1" applyFont="1" applyFill="1" applyBorder="1" applyAlignment="1" applyProtection="1">
      <alignment horizontal="left" vertical="center"/>
      <protection locked="0"/>
    </xf>
    <xf numFmtId="0" fontId="11" fillId="5" borderId="7" xfId="1" applyFont="1" applyFill="1" applyBorder="1"/>
    <xf numFmtId="42" fontId="11" fillId="5" borderId="8" xfId="1" applyNumberFormat="1" applyFont="1" applyFill="1" applyBorder="1"/>
    <xf numFmtId="0" fontId="10" fillId="0" borderId="18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12" fillId="0" borderId="36" xfId="1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11" fillId="0" borderId="35" xfId="2" applyFont="1" applyBorder="1" applyAlignment="1">
      <alignment vertical="center" wrapText="1"/>
    </xf>
    <xf numFmtId="0" fontId="11" fillId="0" borderId="40" xfId="2" applyFont="1" applyBorder="1" applyAlignment="1">
      <alignment vertical="center" wrapText="1"/>
    </xf>
    <xf numFmtId="42" fontId="10" fillId="0" borderId="41" xfId="1" applyNumberFormat="1" applyFont="1" applyBorder="1" applyAlignment="1">
      <alignment vertical="center"/>
    </xf>
    <xf numFmtId="166" fontId="10" fillId="0" borderId="41" xfId="1" applyNumberFormat="1" applyFont="1" applyBorder="1" applyAlignment="1">
      <alignment horizontal="center" vertical="center"/>
    </xf>
    <xf numFmtId="166" fontId="10" fillId="0" borderId="41" xfId="1" applyNumberFormat="1" applyFont="1" applyBorder="1" applyAlignment="1">
      <alignment vertical="center"/>
    </xf>
    <xf numFmtId="17" fontId="10" fillId="0" borderId="41" xfId="2" quotePrefix="1" applyNumberFormat="1" applyFont="1" applyBorder="1" applyAlignment="1">
      <alignment horizontal="center" vertical="center" wrapText="1"/>
    </xf>
    <xf numFmtId="0" fontId="10" fillId="0" borderId="41" xfId="2" applyFont="1" applyBorder="1" applyAlignment="1">
      <alignment horizontal="center" vertical="center" wrapText="1"/>
    </xf>
    <xf numFmtId="42" fontId="10" fillId="0" borderId="42" xfId="1" applyNumberFormat="1" applyFont="1" applyBorder="1" applyAlignment="1">
      <alignment vertical="center"/>
    </xf>
    <xf numFmtId="166" fontId="10" fillId="0" borderId="41" xfId="1" quotePrefix="1" applyNumberFormat="1" applyFont="1" applyBorder="1" applyAlignment="1">
      <alignment horizontal="center" vertical="center"/>
    </xf>
    <xf numFmtId="42" fontId="10" fillId="0" borderId="30" xfId="1" applyNumberFormat="1" applyFont="1" applyBorder="1" applyAlignment="1">
      <alignment vertical="center"/>
    </xf>
    <xf numFmtId="0" fontId="17" fillId="0" borderId="0" xfId="2" applyFont="1"/>
    <xf numFmtId="0" fontId="10" fillId="0" borderId="0" xfId="2" applyFont="1"/>
    <xf numFmtId="0" fontId="17" fillId="0" borderId="0" xfId="1" applyFont="1"/>
    <xf numFmtId="0" fontId="11" fillId="0" borderId="0" xfId="1" applyFont="1" applyAlignment="1">
      <alignment horizontal="center"/>
    </xf>
    <xf numFmtId="0" fontId="12" fillId="2" borderId="41" xfId="1" applyFont="1" applyFill="1" applyBorder="1" applyAlignment="1">
      <alignment horizontal="center" vertical="center"/>
    </xf>
    <xf numFmtId="0" fontId="12" fillId="5" borderId="2" xfId="1" applyFont="1" applyFill="1" applyBorder="1" applyAlignment="1">
      <alignment horizontal="center" vertical="center"/>
    </xf>
    <xf numFmtId="0" fontId="12" fillId="5" borderId="41" xfId="1" applyFont="1" applyFill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1" fillId="0" borderId="19" xfId="1" applyFont="1" applyBorder="1" applyAlignment="1">
      <alignment vertical="center"/>
    </xf>
    <xf numFmtId="0" fontId="11" fillId="0" borderId="19" xfId="1" applyFont="1" applyBorder="1" applyAlignment="1">
      <alignment wrapText="1"/>
    </xf>
    <xf numFmtId="42" fontId="10" fillId="0" borderId="19" xfId="1" applyNumberFormat="1" applyFont="1" applyBorder="1" applyAlignment="1">
      <alignment vertical="center"/>
    </xf>
    <xf numFmtId="0" fontId="10" fillId="0" borderId="18" xfId="1" applyFont="1" applyBorder="1" applyAlignment="1">
      <alignment vertical="center"/>
    </xf>
    <xf numFmtId="0" fontId="10" fillId="0" borderId="17" xfId="1" applyFont="1" applyBorder="1" applyAlignment="1">
      <alignment horizontal="center" vertical="center"/>
    </xf>
    <xf numFmtId="0" fontId="10" fillId="0" borderId="12" xfId="1" applyFont="1" applyBorder="1" applyAlignment="1">
      <alignment vertical="center"/>
    </xf>
    <xf numFmtId="0" fontId="10" fillId="0" borderId="12" xfId="1" applyFont="1" applyBorder="1" applyAlignment="1">
      <alignment wrapText="1"/>
    </xf>
    <xf numFmtId="42" fontId="10" fillId="0" borderId="12" xfId="1" applyNumberFormat="1" applyFont="1" applyBorder="1" applyAlignment="1">
      <alignment vertical="center"/>
    </xf>
    <xf numFmtId="0" fontId="10" fillId="0" borderId="15" xfId="1" applyFont="1" applyBorder="1" applyAlignment="1">
      <alignment vertical="center"/>
    </xf>
    <xf numFmtId="0" fontId="11" fillId="0" borderId="12" xfId="1" applyFont="1" applyBorder="1" applyAlignment="1">
      <alignment vertical="center"/>
    </xf>
    <xf numFmtId="0" fontId="11" fillId="0" borderId="12" xfId="1" applyFont="1" applyBorder="1" applyAlignment="1">
      <alignment wrapText="1"/>
    </xf>
    <xf numFmtId="0" fontId="11" fillId="0" borderId="12" xfId="1" applyFont="1" applyBorder="1" applyAlignment="1">
      <alignment horizontal="left" vertical="center"/>
    </xf>
    <xf numFmtId="0" fontId="11" fillId="0" borderId="12" xfId="1" applyFont="1" applyBorder="1" applyAlignment="1">
      <alignment vertical="center" wrapText="1"/>
    </xf>
    <xf numFmtId="0" fontId="10" fillId="0" borderId="14" xfId="1" applyFont="1" applyBorder="1" applyAlignment="1">
      <alignment horizontal="center" vertical="center"/>
    </xf>
    <xf numFmtId="0" fontId="10" fillId="0" borderId="22" xfId="1" applyFont="1" applyBorder="1" applyAlignment="1">
      <alignment vertical="center"/>
    </xf>
    <xf numFmtId="0" fontId="10" fillId="0" borderId="22" xfId="1" applyFont="1" applyBorder="1" applyAlignment="1">
      <alignment wrapText="1"/>
    </xf>
    <xf numFmtId="0" fontId="10" fillId="0" borderId="11" xfId="1" applyFont="1" applyBorder="1" applyAlignment="1">
      <alignment vertical="center"/>
    </xf>
    <xf numFmtId="42" fontId="2" fillId="2" borderId="41" xfId="1" applyNumberFormat="1" applyFont="1" applyFill="1" applyBorder="1" applyAlignment="1">
      <alignment vertical="center"/>
    </xf>
    <xf numFmtId="42" fontId="2" fillId="5" borderId="41" xfId="1" applyNumberFormat="1" applyFont="1" applyFill="1" applyBorder="1" applyAlignment="1">
      <alignment vertical="center"/>
    </xf>
    <xf numFmtId="42" fontId="2" fillId="8" borderId="41" xfId="1" applyNumberFormat="1" applyFont="1" applyFill="1" applyBorder="1" applyAlignment="1">
      <alignment vertical="center"/>
    </xf>
    <xf numFmtId="0" fontId="19" fillId="0" borderId="1" xfId="1" applyFont="1" applyBorder="1" applyAlignment="1">
      <alignment vertical="center"/>
    </xf>
    <xf numFmtId="0" fontId="17" fillId="0" borderId="0" xfId="1" applyFont="1" applyAlignment="1">
      <alignment horizontal="center" vertical="center"/>
    </xf>
    <xf numFmtId="0" fontId="1" fillId="0" borderId="0" xfId="1" applyProtection="1">
      <protection locked="0"/>
    </xf>
    <xf numFmtId="0" fontId="20" fillId="0" borderId="0" xfId="1" applyFont="1" applyProtection="1">
      <protection locked="0"/>
    </xf>
    <xf numFmtId="167" fontId="17" fillId="0" borderId="0" xfId="1" applyNumberFormat="1" applyFont="1" applyProtection="1">
      <protection locked="0"/>
    </xf>
    <xf numFmtId="0" fontId="17" fillId="0" borderId="0" xfId="1" applyFont="1" applyProtection="1">
      <protection locked="0"/>
    </xf>
    <xf numFmtId="0" fontId="17" fillId="0" borderId="0" xfId="1" applyFont="1" applyAlignment="1" applyProtection="1">
      <alignment horizont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11" fillId="0" borderId="0" xfId="1" applyNumberFormat="1" applyFont="1" applyAlignment="1" applyProtection="1">
      <alignment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167" fontId="11" fillId="0" borderId="7" xfId="1" applyNumberFormat="1" applyFont="1" applyBorder="1" applyAlignment="1" applyProtection="1">
      <alignment vertical="center"/>
      <protection locked="0"/>
    </xf>
    <xf numFmtId="0" fontId="11" fillId="0" borderId="10" xfId="1" applyFont="1" applyBorder="1" applyAlignment="1" applyProtection="1">
      <alignment horizontal="center" vertical="center"/>
      <protection locked="0"/>
    </xf>
    <xf numFmtId="0" fontId="17" fillId="0" borderId="0" xfId="1" applyFont="1" applyAlignment="1">
      <alignment vertical="center"/>
    </xf>
    <xf numFmtId="0" fontId="11" fillId="0" borderId="0" xfId="1" applyFont="1" applyAlignment="1" applyProtection="1">
      <alignment vertical="center"/>
      <protection locked="0"/>
    </xf>
    <xf numFmtId="167" fontId="11" fillId="0" borderId="12" xfId="1" applyNumberFormat="1" applyFont="1" applyBorder="1" applyAlignment="1" applyProtection="1">
      <alignment vertical="center"/>
      <protection locked="0"/>
    </xf>
    <xf numFmtId="0" fontId="11" fillId="0" borderId="43" xfId="1" applyFont="1" applyBorder="1" applyAlignment="1" applyProtection="1">
      <alignment vertical="center"/>
      <protection locked="0"/>
    </xf>
    <xf numFmtId="0" fontId="11" fillId="0" borderId="44" xfId="1" applyFont="1" applyBorder="1" applyAlignment="1" applyProtection="1">
      <alignment vertical="center"/>
      <protection locked="0"/>
    </xf>
    <xf numFmtId="0" fontId="11" fillId="0" borderId="16" xfId="1" applyFont="1" applyBorder="1" applyAlignment="1" applyProtection="1">
      <alignment vertical="center"/>
      <protection locked="0"/>
    </xf>
    <xf numFmtId="0" fontId="11" fillId="0" borderId="0" xfId="1" applyFont="1" applyAlignment="1" applyProtection="1">
      <alignment horizontal="left" vertical="center"/>
      <protection locked="0"/>
    </xf>
    <xf numFmtId="167" fontId="11" fillId="0" borderId="43" xfId="1" applyNumberFormat="1" applyFont="1" applyBorder="1" applyAlignment="1" applyProtection="1">
      <alignment vertical="center"/>
      <protection locked="0"/>
    </xf>
    <xf numFmtId="167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vertical="center"/>
      <protection locked="0"/>
    </xf>
    <xf numFmtId="167" fontId="17" fillId="0" borderId="23" xfId="1" applyNumberFormat="1" applyFont="1" applyBorder="1" applyAlignment="1" applyProtection="1">
      <alignment vertical="center"/>
      <protection locked="0"/>
    </xf>
    <xf numFmtId="167" fontId="17" fillId="0" borderId="24" xfId="1" applyNumberFormat="1" applyFont="1" applyBorder="1" applyAlignment="1" applyProtection="1">
      <alignment vertical="center"/>
      <protection locked="0"/>
    </xf>
    <xf numFmtId="0" fontId="17" fillId="0" borderId="24" xfId="1" applyFont="1" applyBorder="1" applyAlignment="1" applyProtection="1">
      <alignment horizontal="center" vertical="center"/>
      <protection locked="0"/>
    </xf>
    <xf numFmtId="0" fontId="17" fillId="0" borderId="24" xfId="1" applyFont="1" applyBorder="1" applyAlignment="1" applyProtection="1">
      <alignment vertical="center"/>
      <protection locked="0"/>
    </xf>
    <xf numFmtId="168" fontId="17" fillId="0" borderId="24" xfId="1" applyNumberFormat="1" applyFont="1" applyBorder="1" applyAlignment="1" applyProtection="1">
      <alignment horizontal="center" vertical="center"/>
      <protection locked="0"/>
    </xf>
    <xf numFmtId="0" fontId="17" fillId="0" borderId="6" xfId="1" applyFont="1" applyBorder="1" applyAlignment="1">
      <alignment horizontal="center" vertical="center"/>
    </xf>
    <xf numFmtId="167" fontId="17" fillId="0" borderId="15" xfId="1" applyNumberFormat="1" applyFont="1" applyBorder="1" applyAlignment="1" applyProtection="1">
      <alignment vertical="center"/>
      <protection locked="0"/>
    </xf>
    <xf numFmtId="167" fontId="17" fillId="0" borderId="12" xfId="1" applyNumberFormat="1" applyFont="1" applyBorder="1" applyAlignment="1" applyProtection="1">
      <alignment vertical="center"/>
      <protection locked="0"/>
    </xf>
    <xf numFmtId="0" fontId="17" fillId="0" borderId="12" xfId="1" applyFont="1" applyBorder="1" applyAlignment="1" applyProtection="1">
      <alignment horizontal="center" vertical="center"/>
      <protection locked="0"/>
    </xf>
    <xf numFmtId="0" fontId="17" fillId="0" borderId="12" xfId="1" applyFont="1" applyBorder="1" applyAlignment="1" applyProtection="1">
      <alignment vertical="center"/>
      <protection locked="0"/>
    </xf>
    <xf numFmtId="168" fontId="17" fillId="0" borderId="12" xfId="1" applyNumberFormat="1" applyFont="1" applyBorder="1" applyAlignment="1" applyProtection="1">
      <alignment horizontal="center" vertical="center"/>
      <protection locked="0"/>
    </xf>
    <xf numFmtId="0" fontId="17" fillId="0" borderId="21" xfId="1" applyFont="1" applyBorder="1" applyAlignment="1">
      <alignment horizontal="center" vertical="center"/>
    </xf>
    <xf numFmtId="167" fontId="17" fillId="0" borderId="27" xfId="1" applyNumberFormat="1" applyFont="1" applyBorder="1" applyAlignment="1" applyProtection="1">
      <alignment vertical="center"/>
      <protection locked="0"/>
    </xf>
    <xf numFmtId="167" fontId="17" fillId="0" borderId="28" xfId="1" applyNumberFormat="1" applyFont="1" applyBorder="1" applyAlignment="1" applyProtection="1">
      <alignment vertical="center"/>
      <protection locked="0"/>
    </xf>
    <xf numFmtId="0" fontId="17" fillId="0" borderId="28" xfId="1" applyFont="1" applyBorder="1" applyAlignment="1" applyProtection="1">
      <alignment horizontal="center" vertical="center"/>
      <protection locked="0"/>
    </xf>
    <xf numFmtId="0" fontId="17" fillId="0" borderId="28" xfId="1" applyFont="1" applyBorder="1" applyAlignment="1" applyProtection="1">
      <alignment vertical="center"/>
      <protection locked="0"/>
    </xf>
    <xf numFmtId="168" fontId="17" fillId="0" borderId="28" xfId="1" applyNumberFormat="1" applyFont="1" applyBorder="1" applyAlignment="1" applyProtection="1">
      <alignment horizontal="center" vertical="center"/>
      <protection locked="0"/>
    </xf>
    <xf numFmtId="0" fontId="17" fillId="0" borderId="45" xfId="1" applyFont="1" applyBorder="1" applyAlignment="1">
      <alignment horizontal="center" vertical="center"/>
    </xf>
    <xf numFmtId="0" fontId="11" fillId="8" borderId="39" xfId="1" applyFont="1" applyFill="1" applyBorder="1" applyAlignment="1" applyProtection="1">
      <alignment horizontal="center" vertical="center"/>
      <protection locked="0"/>
    </xf>
    <xf numFmtId="0" fontId="11" fillId="8" borderId="30" xfId="1" applyFont="1" applyFill="1" applyBorder="1" applyAlignment="1" applyProtection="1">
      <alignment horizontal="center" vertical="center" wrapText="1"/>
      <protection locked="0"/>
    </xf>
    <xf numFmtId="0" fontId="11" fillId="8" borderId="29" xfId="1" applyFont="1" applyFill="1" applyBorder="1" applyAlignment="1" applyProtection="1">
      <alignment horizontal="center" vertical="center"/>
      <protection locked="0"/>
    </xf>
    <xf numFmtId="0" fontId="11" fillId="8" borderId="30" xfId="1" applyFont="1" applyFill="1" applyBorder="1" applyAlignment="1" applyProtection="1">
      <alignment horizontal="center" vertical="center"/>
      <protection locked="0"/>
    </xf>
    <xf numFmtId="0" fontId="11" fillId="8" borderId="40" xfId="1" applyFont="1" applyFill="1" applyBorder="1" applyAlignment="1" applyProtection="1">
      <alignment horizontal="center" vertical="center" wrapText="1"/>
      <protection locked="0"/>
    </xf>
    <xf numFmtId="0" fontId="21" fillId="8" borderId="41" xfId="1" applyFont="1" applyFill="1" applyBorder="1" applyAlignment="1">
      <alignment horizontal="center" vertical="center" wrapText="1"/>
    </xf>
    <xf numFmtId="167" fontId="20" fillId="0" borderId="0" xfId="1" applyNumberFormat="1" applyFont="1" applyProtection="1">
      <protection locked="0"/>
    </xf>
    <xf numFmtId="0" fontId="22" fillId="0" borderId="12" xfId="2" applyFont="1" applyBorder="1" applyAlignment="1" applyProtection="1">
      <alignment horizontal="center" vertical="center"/>
      <protection locked="0"/>
    </xf>
    <xf numFmtId="0" fontId="17" fillId="0" borderId="16" xfId="1" applyFont="1" applyBorder="1" applyAlignment="1" applyProtection="1">
      <alignment vertical="center"/>
      <protection locked="0"/>
    </xf>
    <xf numFmtId="0" fontId="11" fillId="12" borderId="39" xfId="1" applyFont="1" applyFill="1" applyBorder="1" applyAlignment="1" applyProtection="1">
      <alignment horizontal="center" vertical="center"/>
      <protection locked="0"/>
    </xf>
    <xf numFmtId="0" fontId="11" fillId="12" borderId="30" xfId="1" applyFont="1" applyFill="1" applyBorder="1" applyAlignment="1" applyProtection="1">
      <alignment horizontal="center" vertical="center" wrapText="1"/>
      <protection locked="0"/>
    </xf>
    <xf numFmtId="0" fontId="11" fillId="12" borderId="29" xfId="1" applyFont="1" applyFill="1" applyBorder="1" applyAlignment="1" applyProtection="1">
      <alignment horizontal="center" vertical="center"/>
      <protection locked="0"/>
    </xf>
    <xf numFmtId="0" fontId="11" fillId="12" borderId="30" xfId="1" applyFont="1" applyFill="1" applyBorder="1" applyAlignment="1" applyProtection="1">
      <alignment horizontal="center" vertical="center"/>
      <protection locked="0"/>
    </xf>
    <xf numFmtId="0" fontId="11" fillId="12" borderId="40" xfId="1" applyFont="1" applyFill="1" applyBorder="1" applyAlignment="1" applyProtection="1">
      <alignment horizontal="center" vertical="center" wrapText="1"/>
      <protection locked="0"/>
    </xf>
    <xf numFmtId="0" fontId="21" fillId="12" borderId="41" xfId="1" applyFont="1" applyFill="1" applyBorder="1" applyAlignment="1">
      <alignment horizontal="center" vertical="center" wrapText="1"/>
    </xf>
    <xf numFmtId="0" fontId="11" fillId="13" borderId="39" xfId="1" applyFont="1" applyFill="1" applyBorder="1" applyAlignment="1" applyProtection="1">
      <alignment horizontal="center" vertical="center"/>
      <protection locked="0"/>
    </xf>
    <xf numFmtId="0" fontId="11" fillId="13" borderId="30" xfId="1" applyFont="1" applyFill="1" applyBorder="1" applyAlignment="1" applyProtection="1">
      <alignment horizontal="center" vertical="center" wrapText="1"/>
      <protection locked="0"/>
    </xf>
    <xf numFmtId="0" fontId="11" fillId="13" borderId="29" xfId="1" applyFont="1" applyFill="1" applyBorder="1" applyAlignment="1" applyProtection="1">
      <alignment horizontal="center" vertical="center"/>
      <protection locked="0"/>
    </xf>
    <xf numFmtId="0" fontId="11" fillId="13" borderId="30" xfId="1" applyFont="1" applyFill="1" applyBorder="1" applyAlignment="1" applyProtection="1">
      <alignment horizontal="center" vertical="center"/>
      <protection locked="0"/>
    </xf>
    <xf numFmtId="0" fontId="11" fillId="13" borderId="40" xfId="1" applyFont="1" applyFill="1" applyBorder="1" applyAlignment="1" applyProtection="1">
      <alignment horizontal="center" vertical="center" wrapText="1"/>
      <protection locked="0"/>
    </xf>
    <xf numFmtId="0" fontId="21" fillId="13" borderId="41" xfId="1" applyFont="1" applyFill="1" applyBorder="1" applyAlignment="1">
      <alignment horizontal="center" vertical="center" wrapText="1"/>
    </xf>
    <xf numFmtId="0" fontId="17" fillId="0" borderId="19" xfId="1" applyFont="1" applyBorder="1" applyAlignment="1" applyProtection="1">
      <alignment vertical="center"/>
      <protection locked="0"/>
    </xf>
    <xf numFmtId="0" fontId="11" fillId="13" borderId="39" xfId="1" applyFont="1" applyFill="1" applyBorder="1" applyAlignment="1" applyProtection="1">
      <alignment horizontal="center" vertical="center" wrapText="1"/>
      <protection locked="0"/>
    </xf>
    <xf numFmtId="0" fontId="11" fillId="13" borderId="12" xfId="1" applyFont="1" applyFill="1" applyBorder="1" applyAlignment="1" applyProtection="1">
      <alignment horizontal="center" vertical="center"/>
      <protection locked="0"/>
    </xf>
    <xf numFmtId="0" fontId="11" fillId="13" borderId="40" xfId="1" applyFont="1" applyFill="1" applyBorder="1" applyAlignment="1" applyProtection="1">
      <alignment horizontal="center" vertical="center"/>
      <protection locked="0"/>
    </xf>
    <xf numFmtId="168" fontId="17" fillId="0" borderId="0" xfId="1" applyNumberFormat="1" applyFont="1" applyAlignment="1" applyProtection="1">
      <alignment horizontal="center" vertical="center"/>
      <protection locked="0"/>
    </xf>
    <xf numFmtId="0" fontId="17" fillId="0" borderId="38" xfId="1" applyFont="1" applyBorder="1" applyAlignment="1">
      <alignment horizontal="center" vertical="center"/>
    </xf>
    <xf numFmtId="168" fontId="17" fillId="0" borderId="19" xfId="1" applyNumberFormat="1" applyFont="1" applyBorder="1" applyAlignment="1" applyProtection="1">
      <alignment horizontal="center" vertical="center"/>
      <protection locked="0"/>
    </xf>
    <xf numFmtId="0" fontId="11" fillId="14" borderId="39" xfId="1" applyFont="1" applyFill="1" applyBorder="1" applyAlignment="1" applyProtection="1">
      <alignment horizontal="center" vertical="center"/>
      <protection locked="0"/>
    </xf>
    <xf numFmtId="0" fontId="11" fillId="14" borderId="30" xfId="1" applyFont="1" applyFill="1" applyBorder="1" applyAlignment="1" applyProtection="1">
      <alignment horizontal="center" vertical="center" wrapText="1"/>
      <protection locked="0"/>
    </xf>
    <xf numFmtId="0" fontId="11" fillId="14" borderId="29" xfId="1" applyFont="1" applyFill="1" applyBorder="1" applyAlignment="1" applyProtection="1">
      <alignment horizontal="center" vertical="center"/>
      <protection locked="0"/>
    </xf>
    <xf numFmtId="0" fontId="11" fillId="14" borderId="30" xfId="1" applyFont="1" applyFill="1" applyBorder="1" applyAlignment="1" applyProtection="1">
      <alignment horizontal="center" vertical="center"/>
      <protection locked="0"/>
    </xf>
    <xf numFmtId="0" fontId="11" fillId="14" borderId="40" xfId="1" applyFont="1" applyFill="1" applyBorder="1" applyAlignment="1" applyProtection="1">
      <alignment horizontal="center" vertical="center" wrapText="1"/>
      <protection locked="0"/>
    </xf>
    <xf numFmtId="0" fontId="21" fillId="14" borderId="41" xfId="1" applyFont="1" applyFill="1" applyBorder="1" applyAlignment="1">
      <alignment horizontal="center" vertical="center" wrapText="1"/>
    </xf>
    <xf numFmtId="167" fontId="11" fillId="0" borderId="34" xfId="1" applyNumberFormat="1" applyFont="1" applyBorder="1" applyAlignment="1" applyProtection="1">
      <alignment vertical="center"/>
      <protection locked="0"/>
    </xf>
    <xf numFmtId="167" fontId="11" fillId="0" borderId="25" xfId="1" applyNumberFormat="1" applyFont="1" applyBorder="1" applyAlignment="1" applyProtection="1">
      <alignment vertical="center"/>
      <protection locked="0"/>
    </xf>
    <xf numFmtId="0" fontId="11" fillId="0" borderId="25" xfId="1" applyFont="1" applyBorder="1" applyAlignment="1" applyProtection="1">
      <alignment horizontal="center" vertical="center"/>
      <protection locked="0"/>
    </xf>
    <xf numFmtId="0" fontId="17" fillId="0" borderId="35" xfId="1" applyFont="1" applyBorder="1" applyAlignment="1" applyProtection="1">
      <alignment horizontal="center" vertical="center"/>
      <protection locked="0"/>
    </xf>
    <xf numFmtId="167" fontId="11" fillId="0" borderId="37" xfId="1" applyNumberFormat="1" applyFont="1" applyBorder="1" applyAlignment="1" applyProtection="1">
      <alignment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167" fontId="11" fillId="0" borderId="15" xfId="1" applyNumberFormat="1" applyFont="1" applyBorder="1" applyAlignment="1" applyProtection="1">
      <alignment vertical="center"/>
      <protection locked="0"/>
    </xf>
    <xf numFmtId="167" fontId="11" fillId="0" borderId="46" xfId="1" applyNumberFormat="1" applyFont="1" applyBorder="1" applyAlignment="1" applyProtection="1">
      <alignment vertical="center"/>
      <protection locked="0"/>
    </xf>
    <xf numFmtId="167" fontId="17" fillId="0" borderId="37" xfId="1" applyNumberFormat="1" applyFont="1" applyBorder="1" applyAlignment="1" applyProtection="1">
      <alignment vertical="center"/>
      <protection locked="0"/>
    </xf>
    <xf numFmtId="0" fontId="17" fillId="0" borderId="47" xfId="1" applyFont="1" applyBorder="1" applyAlignment="1" applyProtection="1">
      <alignment horizontal="center" vertical="center"/>
      <protection locked="0"/>
    </xf>
    <xf numFmtId="0" fontId="17" fillId="0" borderId="35" xfId="1" applyFont="1" applyBorder="1" applyAlignment="1">
      <alignment horizontal="center" vertical="center"/>
    </xf>
    <xf numFmtId="0" fontId="17" fillId="0" borderId="17" xfId="1" applyFont="1" applyBorder="1" applyAlignment="1" applyProtection="1">
      <alignment horizontal="center" vertical="center"/>
      <protection locked="0"/>
    </xf>
    <xf numFmtId="0" fontId="17" fillId="0" borderId="48" xfId="1" applyFont="1" applyBorder="1" applyAlignment="1">
      <alignment horizontal="center" vertical="center"/>
    </xf>
    <xf numFmtId="0" fontId="17" fillId="0" borderId="45" xfId="1" applyFont="1" applyBorder="1" applyAlignment="1" applyProtection="1">
      <alignment horizontal="center" vertical="center"/>
      <protection locked="0"/>
    </xf>
    <xf numFmtId="0" fontId="17" fillId="0" borderId="49" xfId="1" applyFont="1" applyBorder="1" applyAlignment="1">
      <alignment horizontal="center" vertical="center"/>
    </xf>
    <xf numFmtId="0" fontId="21" fillId="14" borderId="2" xfId="1" applyFont="1" applyFill="1" applyBorder="1" applyAlignment="1">
      <alignment horizontal="center" vertical="center" wrapText="1"/>
    </xf>
    <xf numFmtId="0" fontId="22" fillId="0" borderId="16" xfId="2" applyFont="1" applyBorder="1" applyAlignment="1" applyProtection="1">
      <alignment horizontal="left" vertical="center"/>
      <protection locked="0"/>
    </xf>
    <xf numFmtId="0" fontId="11" fillId="15" borderId="39" xfId="1" applyFont="1" applyFill="1" applyBorder="1" applyAlignment="1" applyProtection="1">
      <alignment horizontal="center" vertical="center"/>
      <protection locked="0"/>
    </xf>
    <xf numFmtId="0" fontId="11" fillId="15" borderId="30" xfId="1" applyFont="1" applyFill="1" applyBorder="1" applyAlignment="1" applyProtection="1">
      <alignment horizontal="center" vertical="center" wrapText="1"/>
      <protection locked="0"/>
    </xf>
    <xf numFmtId="0" fontId="11" fillId="15" borderId="29" xfId="1" applyFont="1" applyFill="1" applyBorder="1" applyAlignment="1" applyProtection="1">
      <alignment horizontal="center" vertical="center"/>
      <protection locked="0"/>
    </xf>
    <xf numFmtId="0" fontId="11" fillId="15" borderId="30" xfId="1" applyFont="1" applyFill="1" applyBorder="1" applyAlignment="1" applyProtection="1">
      <alignment horizontal="center" vertical="center"/>
      <protection locked="0"/>
    </xf>
    <xf numFmtId="0" fontId="11" fillId="15" borderId="40" xfId="1" applyFont="1" applyFill="1" applyBorder="1" applyAlignment="1" applyProtection="1">
      <alignment horizontal="center" vertical="center" wrapText="1"/>
      <protection locked="0"/>
    </xf>
    <xf numFmtId="0" fontId="21" fillId="15" borderId="41" xfId="1" applyFont="1" applyFill="1" applyBorder="1" applyAlignment="1">
      <alignment horizontal="center" vertical="center" wrapText="1"/>
    </xf>
    <xf numFmtId="0" fontId="11" fillId="16" borderId="39" xfId="1" applyFont="1" applyFill="1" applyBorder="1" applyAlignment="1" applyProtection="1">
      <alignment horizontal="center" vertical="center"/>
      <protection locked="0"/>
    </xf>
    <xf numFmtId="0" fontId="11" fillId="16" borderId="30" xfId="1" applyFont="1" applyFill="1" applyBorder="1" applyAlignment="1" applyProtection="1">
      <alignment horizontal="center" vertical="center" wrapText="1"/>
      <protection locked="0"/>
    </xf>
    <xf numFmtId="0" fontId="11" fillId="16" borderId="29" xfId="1" applyFont="1" applyFill="1" applyBorder="1" applyAlignment="1" applyProtection="1">
      <alignment horizontal="center" vertical="center"/>
      <protection locked="0"/>
    </xf>
    <xf numFmtId="0" fontId="11" fillId="16" borderId="30" xfId="1" applyFont="1" applyFill="1" applyBorder="1" applyAlignment="1" applyProtection="1">
      <alignment horizontal="center" vertical="center"/>
      <protection locked="0"/>
    </xf>
    <xf numFmtId="0" fontId="11" fillId="16" borderId="40" xfId="1" applyFont="1" applyFill="1" applyBorder="1" applyAlignment="1" applyProtection="1">
      <alignment horizontal="center" vertical="center" wrapText="1"/>
      <protection locked="0"/>
    </xf>
    <xf numFmtId="0" fontId="21" fillId="16" borderId="41" xfId="1" applyFont="1" applyFill="1" applyBorder="1" applyAlignment="1">
      <alignment horizontal="center" vertical="center" wrapText="1"/>
    </xf>
    <xf numFmtId="0" fontId="21" fillId="16" borderId="2" xfId="1" applyFont="1" applyFill="1" applyBorder="1" applyAlignment="1">
      <alignment horizontal="center" vertical="center" wrapText="1"/>
    </xf>
    <xf numFmtId="167" fontId="11" fillId="0" borderId="41" xfId="1" applyNumberFormat="1" applyFont="1" applyBorder="1" applyAlignment="1" applyProtection="1">
      <alignment vertical="center"/>
      <protection locked="0"/>
    </xf>
    <xf numFmtId="0" fontId="11" fillId="0" borderId="36" xfId="1" applyFont="1" applyBorder="1" applyAlignment="1" applyProtection="1">
      <alignment vertical="center"/>
      <protection locked="0"/>
    </xf>
    <xf numFmtId="0" fontId="11" fillId="0" borderId="2" xfId="1" applyFont="1" applyBorder="1" applyAlignment="1" applyProtection="1">
      <alignment vertical="center"/>
      <protection locked="0"/>
    </xf>
    <xf numFmtId="0" fontId="7" fillId="8" borderId="39" xfId="1" applyFont="1" applyFill="1" applyBorder="1" applyAlignment="1" applyProtection="1">
      <alignment horizontal="center" vertical="center"/>
      <protection locked="0"/>
    </xf>
    <xf numFmtId="0" fontId="7" fillId="8" borderId="30" xfId="1" applyFont="1" applyFill="1" applyBorder="1" applyAlignment="1" applyProtection="1">
      <alignment horizontal="center" vertical="center" wrapText="1"/>
      <protection locked="0"/>
    </xf>
    <xf numFmtId="0" fontId="7" fillId="8" borderId="29" xfId="1" applyFont="1" applyFill="1" applyBorder="1" applyAlignment="1" applyProtection="1">
      <alignment horizontal="center" vertical="center"/>
      <protection locked="0"/>
    </xf>
    <xf numFmtId="0" fontId="7" fillId="8" borderId="30" xfId="1" applyFont="1" applyFill="1" applyBorder="1" applyAlignment="1" applyProtection="1">
      <alignment horizontal="center" vertical="center"/>
      <protection locked="0"/>
    </xf>
    <xf numFmtId="0" fontId="7" fillId="8" borderId="40" xfId="1" applyFont="1" applyFill="1" applyBorder="1" applyAlignment="1" applyProtection="1">
      <alignment horizontal="center" vertical="center" wrapText="1"/>
      <protection locked="0"/>
    </xf>
    <xf numFmtId="0" fontId="23" fillId="8" borderId="41" xfId="1" applyFont="1" applyFill="1" applyBorder="1" applyAlignment="1">
      <alignment horizontal="center" vertical="center" wrapText="1"/>
    </xf>
    <xf numFmtId="0" fontId="11" fillId="17" borderId="39" xfId="1" applyFont="1" applyFill="1" applyBorder="1" applyAlignment="1" applyProtection="1">
      <alignment horizontal="center" vertical="center"/>
      <protection locked="0"/>
    </xf>
    <xf numFmtId="0" fontId="11" fillId="17" borderId="30" xfId="1" applyFont="1" applyFill="1" applyBorder="1" applyAlignment="1" applyProtection="1">
      <alignment horizontal="center" vertical="center" wrapText="1"/>
      <protection locked="0"/>
    </xf>
    <xf numFmtId="0" fontId="11" fillId="17" borderId="29" xfId="1" applyFont="1" applyFill="1" applyBorder="1" applyAlignment="1" applyProtection="1">
      <alignment horizontal="center" vertical="center"/>
      <protection locked="0"/>
    </xf>
    <xf numFmtId="0" fontId="11" fillId="17" borderId="30" xfId="1" applyFont="1" applyFill="1" applyBorder="1" applyAlignment="1" applyProtection="1">
      <alignment horizontal="center" vertical="center"/>
      <protection locked="0"/>
    </xf>
    <xf numFmtId="0" fontId="11" fillId="17" borderId="40" xfId="1" applyFont="1" applyFill="1" applyBorder="1" applyAlignment="1" applyProtection="1">
      <alignment horizontal="center" vertical="center" wrapText="1"/>
      <protection locked="0"/>
    </xf>
    <xf numFmtId="0" fontId="21" fillId="17" borderId="41" xfId="1" applyFont="1" applyFill="1" applyBorder="1" applyAlignment="1">
      <alignment horizontal="center" vertical="center" wrapText="1"/>
    </xf>
    <xf numFmtId="0" fontId="11" fillId="15" borderId="1" xfId="1" applyFont="1" applyFill="1" applyBorder="1" applyAlignment="1" applyProtection="1">
      <alignment horizontal="center" vertical="center"/>
      <protection locked="0"/>
    </xf>
    <xf numFmtId="0" fontId="11" fillId="15" borderId="41" xfId="1" applyFont="1" applyFill="1" applyBorder="1" applyAlignment="1" applyProtection="1">
      <alignment horizontal="center" vertical="center" wrapText="1"/>
      <protection locked="0"/>
    </xf>
    <xf numFmtId="0" fontId="11" fillId="15" borderId="36" xfId="1" applyFont="1" applyFill="1" applyBorder="1" applyAlignment="1" applyProtection="1">
      <alignment horizontal="center" vertical="center"/>
      <protection locked="0"/>
    </xf>
    <xf numFmtId="0" fontId="11" fillId="15" borderId="41" xfId="1" applyFont="1" applyFill="1" applyBorder="1" applyAlignment="1" applyProtection="1">
      <alignment horizontal="center" vertical="center"/>
      <protection locked="0"/>
    </xf>
    <xf numFmtId="0" fontId="11" fillId="15" borderId="2" xfId="1" applyFont="1" applyFill="1" applyBorder="1" applyAlignment="1" applyProtection="1">
      <alignment horizontal="center" vertical="center" wrapText="1"/>
      <protection locked="0"/>
    </xf>
    <xf numFmtId="0" fontId="11" fillId="3" borderId="39" xfId="1" applyFont="1" applyFill="1" applyBorder="1" applyAlignment="1" applyProtection="1">
      <alignment horizontal="center" vertical="center"/>
      <protection locked="0"/>
    </xf>
    <xf numFmtId="0" fontId="11" fillId="3" borderId="30" xfId="1" applyFont="1" applyFill="1" applyBorder="1" applyAlignment="1" applyProtection="1">
      <alignment horizontal="center" vertical="center" wrapText="1"/>
      <protection locked="0"/>
    </xf>
    <xf numFmtId="0" fontId="11" fillId="3" borderId="29" xfId="1" applyFont="1" applyFill="1" applyBorder="1" applyAlignment="1" applyProtection="1">
      <alignment horizontal="center" vertical="center"/>
      <protection locked="0"/>
    </xf>
    <xf numFmtId="0" fontId="11" fillId="3" borderId="30" xfId="1" applyFont="1" applyFill="1" applyBorder="1" applyAlignment="1" applyProtection="1">
      <alignment horizontal="center" vertical="center"/>
      <protection locked="0"/>
    </xf>
    <xf numFmtId="0" fontId="11" fillId="3" borderId="40" xfId="1" applyFont="1" applyFill="1" applyBorder="1" applyAlignment="1" applyProtection="1">
      <alignment horizontal="center" vertical="center" wrapText="1"/>
      <protection locked="0"/>
    </xf>
    <xf numFmtId="0" fontId="21" fillId="3" borderId="41" xfId="1" applyFont="1" applyFill="1" applyBorder="1" applyAlignment="1">
      <alignment horizontal="center" vertical="center" wrapText="1"/>
    </xf>
    <xf numFmtId="0" fontId="1" fillId="0" borderId="12" xfId="2" applyBorder="1" applyAlignment="1" applyProtection="1">
      <alignment horizontal="center" vertical="center"/>
      <protection locked="0"/>
    </xf>
    <xf numFmtId="0" fontId="11" fillId="18" borderId="39" xfId="1" applyFont="1" applyFill="1" applyBorder="1" applyAlignment="1" applyProtection="1">
      <alignment horizontal="center" vertical="center"/>
      <protection locked="0"/>
    </xf>
    <xf numFmtId="0" fontId="11" fillId="18" borderId="30" xfId="1" applyFont="1" applyFill="1" applyBorder="1" applyAlignment="1" applyProtection="1">
      <alignment horizontal="center" vertical="center" wrapText="1"/>
      <protection locked="0"/>
    </xf>
    <xf numFmtId="0" fontId="11" fillId="18" borderId="29" xfId="1" applyFont="1" applyFill="1" applyBorder="1" applyAlignment="1" applyProtection="1">
      <alignment horizontal="center" vertical="center"/>
      <protection locked="0"/>
    </xf>
    <xf numFmtId="0" fontId="11" fillId="18" borderId="30" xfId="1" applyFont="1" applyFill="1" applyBorder="1" applyAlignment="1" applyProtection="1">
      <alignment horizontal="center" vertical="center"/>
      <protection locked="0"/>
    </xf>
    <xf numFmtId="0" fontId="11" fillId="18" borderId="40" xfId="1" applyFont="1" applyFill="1" applyBorder="1" applyAlignment="1" applyProtection="1">
      <alignment horizontal="center" vertical="center" wrapText="1"/>
      <protection locked="0"/>
    </xf>
    <xf numFmtId="0" fontId="21" fillId="18" borderId="41" xfId="1" applyFont="1" applyFill="1" applyBorder="1" applyAlignment="1">
      <alignment horizontal="center" vertical="center" wrapText="1"/>
    </xf>
    <xf numFmtId="167" fontId="17" fillId="0" borderId="18" xfId="1" applyNumberFormat="1" applyFont="1" applyBorder="1" applyAlignment="1" applyProtection="1">
      <alignment vertical="center"/>
      <protection locked="0"/>
    </xf>
    <xf numFmtId="167" fontId="17" fillId="0" borderId="19" xfId="1" applyNumberFormat="1" applyFont="1" applyBorder="1" applyAlignment="1" applyProtection="1">
      <alignment vertical="center"/>
      <protection locked="0"/>
    </xf>
    <xf numFmtId="0" fontId="17" fillId="0" borderId="19" xfId="1" applyFont="1" applyBorder="1" applyAlignment="1" applyProtection="1">
      <alignment horizontal="center" vertical="center"/>
      <protection locked="0"/>
    </xf>
    <xf numFmtId="0" fontId="11" fillId="18" borderId="1" xfId="1" applyFont="1" applyFill="1" applyBorder="1" applyAlignment="1" applyProtection="1">
      <alignment horizontal="center" vertical="center"/>
      <protection locked="0"/>
    </xf>
    <xf numFmtId="0" fontId="11" fillId="18" borderId="41" xfId="1" applyFont="1" applyFill="1" applyBorder="1" applyAlignment="1" applyProtection="1">
      <alignment horizontal="center" vertical="center" wrapText="1"/>
      <protection locked="0"/>
    </xf>
    <xf numFmtId="0" fontId="11" fillId="18" borderId="36" xfId="1" applyFont="1" applyFill="1" applyBorder="1" applyAlignment="1" applyProtection="1">
      <alignment horizontal="center" vertical="center"/>
      <protection locked="0"/>
    </xf>
    <xf numFmtId="0" fontId="11" fillId="18" borderId="41" xfId="1" applyFont="1" applyFill="1" applyBorder="1" applyAlignment="1" applyProtection="1">
      <alignment horizontal="center" vertical="center"/>
      <protection locked="0"/>
    </xf>
    <xf numFmtId="0" fontId="11" fillId="18" borderId="2" xfId="1" applyFont="1" applyFill="1" applyBorder="1" applyAlignment="1" applyProtection="1">
      <alignment horizontal="center" vertical="center" wrapText="1"/>
      <protection locked="0"/>
    </xf>
    <xf numFmtId="0" fontId="17" fillId="0" borderId="12" xfId="1" applyFont="1" applyBorder="1" applyAlignment="1" applyProtection="1">
      <alignment horizontal="center"/>
      <protection locked="0"/>
    </xf>
    <xf numFmtId="0" fontId="11" fillId="4" borderId="39" xfId="1" applyFont="1" applyFill="1" applyBorder="1" applyAlignment="1" applyProtection="1">
      <alignment horizontal="center" vertical="center"/>
      <protection locked="0"/>
    </xf>
    <xf numFmtId="0" fontId="11" fillId="4" borderId="30" xfId="1" applyFont="1" applyFill="1" applyBorder="1" applyAlignment="1" applyProtection="1">
      <alignment horizontal="center" vertical="center" wrapText="1"/>
      <protection locked="0"/>
    </xf>
    <xf numFmtId="0" fontId="11" fillId="4" borderId="29" xfId="1" applyFont="1" applyFill="1" applyBorder="1" applyAlignment="1" applyProtection="1">
      <alignment horizontal="center" vertical="center"/>
      <protection locked="0"/>
    </xf>
    <xf numFmtId="0" fontId="11" fillId="4" borderId="30" xfId="1" applyFont="1" applyFill="1" applyBorder="1" applyAlignment="1" applyProtection="1">
      <alignment horizontal="center" vertical="center"/>
      <protection locked="0"/>
    </xf>
    <xf numFmtId="0" fontId="11" fillId="4" borderId="40" xfId="1" applyFont="1" applyFill="1" applyBorder="1" applyAlignment="1" applyProtection="1">
      <alignment horizontal="center" vertical="center" wrapText="1"/>
      <protection locked="0"/>
    </xf>
    <xf numFmtId="0" fontId="21" fillId="4" borderId="41" xfId="1" applyFont="1" applyFill="1" applyBorder="1" applyAlignment="1">
      <alignment horizontal="center" vertical="center" wrapText="1"/>
    </xf>
    <xf numFmtId="0" fontId="20" fillId="0" borderId="0" xfId="1" applyFont="1" applyAlignment="1" applyProtection="1">
      <alignment horizontal="center" vertical="center"/>
      <protection locked="0"/>
    </xf>
    <xf numFmtId="0" fontId="20" fillId="0" borderId="12" xfId="4" applyFont="1" applyBorder="1" applyProtection="1">
      <alignment vertical="center"/>
      <protection locked="0"/>
    </xf>
    <xf numFmtId="0" fontId="20" fillId="0" borderId="12" xfId="4" applyFont="1" applyBorder="1" applyAlignment="1" applyProtection="1">
      <alignment horizontal="center" vertical="center"/>
      <protection locked="0"/>
    </xf>
    <xf numFmtId="0" fontId="20" fillId="0" borderId="0" xfId="4" applyFont="1" applyProtection="1">
      <alignment vertical="center"/>
      <protection locked="0"/>
    </xf>
    <xf numFmtId="0" fontId="17" fillId="0" borderId="0" xfId="1" applyFont="1" applyAlignment="1" applyProtection="1">
      <alignment horizontal="center" vertical="center"/>
      <protection hidden="1"/>
    </xf>
    <xf numFmtId="167" fontId="11" fillId="0" borderId="0" xfId="1" applyNumberFormat="1" applyFont="1" applyAlignment="1" applyProtection="1">
      <alignment horizontal="center" vertical="center"/>
      <protection locked="0"/>
    </xf>
    <xf numFmtId="167" fontId="11" fillId="0" borderId="7" xfId="1" applyNumberFormat="1" applyFont="1" applyBorder="1" applyAlignment="1" applyProtection="1">
      <alignment horizontal="center" vertical="center"/>
      <protection locked="0"/>
    </xf>
    <xf numFmtId="0" fontId="11" fillId="0" borderId="10" xfId="1" applyFont="1" applyBorder="1" applyAlignment="1" applyProtection="1">
      <alignment horizontal="left" vertical="center"/>
      <protection locked="0"/>
    </xf>
    <xf numFmtId="0" fontId="20" fillId="0" borderId="12" xfId="4" applyFont="1" applyBorder="1" applyAlignment="1" applyProtection="1">
      <alignment horizontal="left"/>
      <protection locked="0"/>
    </xf>
    <xf numFmtId="167" fontId="11" fillId="0" borderId="12" xfId="1" applyNumberFormat="1" applyFont="1" applyBorder="1" applyAlignment="1" applyProtection="1">
      <alignment horizontal="left" vertical="center"/>
      <protection locked="0"/>
    </xf>
    <xf numFmtId="0" fontId="11" fillId="0" borderId="43" xfId="1" applyFont="1" applyBorder="1" applyAlignment="1" applyProtection="1">
      <alignment horizontal="left" vertical="center"/>
      <protection locked="0"/>
    </xf>
    <xf numFmtId="0" fontId="11" fillId="0" borderId="44" xfId="1" applyFont="1" applyBorder="1" applyAlignment="1" applyProtection="1">
      <alignment horizontal="left" vertical="center"/>
      <protection locked="0"/>
    </xf>
    <xf numFmtId="0" fontId="11" fillId="0" borderId="16" xfId="1" applyFont="1" applyBorder="1" applyAlignment="1" applyProtection="1">
      <alignment horizontal="left" vertical="center"/>
      <protection locked="0"/>
    </xf>
    <xf numFmtId="167" fontId="11" fillId="0" borderId="0" xfId="1" applyNumberFormat="1" applyFont="1" applyAlignment="1" applyProtection="1">
      <alignment horizontal="left" vertical="center"/>
      <protection locked="0"/>
    </xf>
    <xf numFmtId="167" fontId="11" fillId="0" borderId="43" xfId="1" applyNumberFormat="1" applyFont="1" applyBorder="1" applyAlignment="1" applyProtection="1">
      <alignment horizontal="left" vertical="center"/>
      <protection locked="0"/>
    </xf>
    <xf numFmtId="0" fontId="20" fillId="0" borderId="12" xfId="2" applyFont="1" applyBorder="1" applyProtection="1">
      <protection locked="0"/>
    </xf>
    <xf numFmtId="9" fontId="17" fillId="0" borderId="12" xfId="1" applyNumberFormat="1" applyFont="1" applyBorder="1" applyAlignment="1" applyProtection="1">
      <alignment vertical="center"/>
      <protection locked="0"/>
    </xf>
    <xf numFmtId="0" fontId="24" fillId="19" borderId="12" xfId="4" applyFont="1" applyFill="1" applyBorder="1" applyAlignment="1" applyProtection="1">
      <alignment horizontal="center" vertical="center"/>
      <protection locked="0"/>
    </xf>
    <xf numFmtId="0" fontId="20" fillId="0" borderId="0" xfId="4" applyFont="1" applyAlignment="1" applyProtection="1">
      <alignment horizontal="center" vertical="center"/>
      <protection locked="0"/>
    </xf>
    <xf numFmtId="0" fontId="1" fillId="0" borderId="0" xfId="1" applyProtection="1">
      <protection hidden="1"/>
    </xf>
    <xf numFmtId="0" fontId="1" fillId="0" borderId="0" xfId="1" applyAlignment="1" applyProtection="1">
      <alignment horizontal="left"/>
      <protection hidden="1"/>
    </xf>
    <xf numFmtId="42" fontId="25" fillId="0" borderId="7" xfId="1" applyNumberFormat="1" applyFont="1" applyBorder="1" applyProtection="1">
      <protection hidden="1"/>
    </xf>
    <xf numFmtId="42" fontId="25" fillId="0" borderId="8" xfId="6" applyNumberFormat="1" applyFont="1" applyBorder="1" applyAlignment="1" applyProtection="1">
      <protection hidden="1"/>
    </xf>
    <xf numFmtId="0" fontId="25" fillId="0" borderId="8" xfId="1" applyFont="1" applyBorder="1" applyAlignment="1" applyProtection="1">
      <alignment horizontal="left"/>
      <protection hidden="1"/>
    </xf>
    <xf numFmtId="0" fontId="25" fillId="0" borderId="8" xfId="1" applyFont="1" applyBorder="1" applyProtection="1">
      <protection hidden="1"/>
    </xf>
    <xf numFmtId="0" fontId="25" fillId="0" borderId="50" xfId="1" applyFont="1" applyBorder="1" applyAlignment="1" applyProtection="1">
      <alignment horizontal="left"/>
      <protection hidden="1"/>
    </xf>
    <xf numFmtId="0" fontId="25" fillId="0" borderId="10" xfId="1" applyFont="1" applyBorder="1" applyProtection="1">
      <protection hidden="1"/>
    </xf>
    <xf numFmtId="42" fontId="1" fillId="0" borderId="11" xfId="1" applyNumberFormat="1" applyBorder="1" applyProtection="1">
      <protection hidden="1"/>
    </xf>
    <xf numFmtId="41" fontId="0" fillId="0" borderId="12" xfId="6" applyNumberFormat="1" applyFont="1" applyFill="1" applyBorder="1" applyProtection="1">
      <protection hidden="1"/>
    </xf>
    <xf numFmtId="0" fontId="0" fillId="0" borderId="12" xfId="6" applyNumberFormat="1" applyFont="1" applyFill="1" applyBorder="1" applyAlignment="1" applyProtection="1">
      <alignment horizontal="left"/>
      <protection hidden="1"/>
    </xf>
    <xf numFmtId="168" fontId="0" fillId="0" borderId="12" xfId="6" applyNumberFormat="1" applyFont="1" applyFill="1" applyBorder="1" applyAlignment="1" applyProtection="1">
      <alignment horizontal="center" vertical="center"/>
      <protection hidden="1"/>
    </xf>
    <xf numFmtId="0" fontId="1" fillId="0" borderId="12" xfId="1" applyBorder="1" applyAlignment="1" applyProtection="1">
      <alignment horizontal="center" vertical="center"/>
      <protection hidden="1"/>
    </xf>
    <xf numFmtId="0" fontId="1" fillId="0" borderId="19" xfId="1" applyBorder="1" applyAlignment="1" applyProtection="1">
      <alignment horizontal="center"/>
      <protection hidden="1"/>
    </xf>
    <xf numFmtId="0" fontId="1" fillId="0" borderId="12" xfId="1" applyBorder="1" applyAlignment="1" applyProtection="1">
      <alignment horizontal="center"/>
      <protection hidden="1"/>
    </xf>
    <xf numFmtId="42" fontId="1" fillId="0" borderId="18" xfId="1" applyNumberFormat="1" applyBorder="1" applyProtection="1">
      <protection hidden="1"/>
    </xf>
    <xf numFmtId="0" fontId="1" fillId="0" borderId="1" xfId="1" applyBorder="1" applyAlignment="1" applyProtection="1">
      <alignment horizontal="center" vertical="center"/>
      <protection hidden="1"/>
    </xf>
    <xf numFmtId="0" fontId="1" fillId="0" borderId="36" xfId="1" applyBorder="1" applyAlignment="1" applyProtection="1">
      <alignment horizontal="center" vertical="center"/>
      <protection hidden="1"/>
    </xf>
    <xf numFmtId="0" fontId="1" fillId="0" borderId="2" xfId="1" applyBorder="1" applyAlignment="1" applyProtection="1">
      <alignment horizontal="center" vertical="center"/>
      <protection hidden="1"/>
    </xf>
    <xf numFmtId="42" fontId="27" fillId="0" borderId="0" xfId="1" applyNumberFormat="1" applyFont="1" applyAlignment="1" applyProtection="1">
      <alignment horizontal="left"/>
      <protection hidden="1"/>
    </xf>
    <xf numFmtId="0" fontId="28" fillId="0" borderId="0" xfId="1" applyFont="1" applyAlignment="1" applyProtection="1">
      <alignment horizontal="left"/>
      <protection hidden="1"/>
    </xf>
    <xf numFmtId="0" fontId="29" fillId="0" borderId="0" xfId="1" applyFont="1" applyAlignment="1" applyProtection="1">
      <alignment horizontal="left"/>
      <protection hidden="1"/>
    </xf>
    <xf numFmtId="0" fontId="29" fillId="0" borderId="0" xfId="1" applyFont="1" applyProtection="1">
      <protection hidden="1"/>
    </xf>
    <xf numFmtId="0" fontId="29" fillId="0" borderId="0" xfId="1" applyFont="1" applyAlignment="1" applyProtection="1">
      <alignment horizontal="center" vertical="center"/>
      <protection hidden="1"/>
    </xf>
    <xf numFmtId="42" fontId="28" fillId="0" borderId="0" xfId="1" applyNumberFormat="1" applyFont="1" applyAlignment="1" applyProtection="1">
      <alignment horizontal="left"/>
      <protection hidden="1"/>
    </xf>
    <xf numFmtId="0" fontId="30" fillId="0" borderId="0" xfId="1" applyFont="1" applyAlignment="1" applyProtection="1">
      <alignment horizontal="left"/>
      <protection hidden="1"/>
    </xf>
    <xf numFmtId="0" fontId="30" fillId="0" borderId="0" xfId="1" applyFont="1" applyAlignment="1" applyProtection="1">
      <alignment horizontal="center"/>
      <protection hidden="1"/>
    </xf>
    <xf numFmtId="0" fontId="30" fillId="0" borderId="0" xfId="1" applyFont="1" applyAlignment="1" applyProtection="1">
      <alignment horizontal="center" vertical="center"/>
      <protection hidden="1"/>
    </xf>
    <xf numFmtId="0" fontId="1" fillId="0" borderId="0" xfId="1" applyAlignment="1" applyProtection="1">
      <alignment horizontal="center" vertical="center"/>
      <protection hidden="1"/>
    </xf>
    <xf numFmtId="0" fontId="25" fillId="0" borderId="50" xfId="1" applyFont="1" applyBorder="1" applyAlignment="1" applyProtection="1">
      <alignment horizontal="center" vertical="center"/>
      <protection hidden="1"/>
    </xf>
    <xf numFmtId="0" fontId="28" fillId="0" borderId="0" xfId="1" applyFont="1" applyAlignment="1" applyProtection="1">
      <alignment horizontal="left" wrapText="1"/>
      <protection hidden="1"/>
    </xf>
    <xf numFmtId="42" fontId="25" fillId="0" borderId="8" xfId="6" applyNumberFormat="1" applyFont="1" applyFill="1" applyBorder="1" applyAlignment="1" applyProtection="1">
      <protection hidden="1"/>
    </xf>
    <xf numFmtId="0" fontId="1" fillId="0" borderId="19" xfId="1" applyBorder="1" applyAlignment="1" applyProtection="1">
      <alignment horizontal="center" vertical="center"/>
      <protection hidden="1"/>
    </xf>
    <xf numFmtId="0" fontId="25" fillId="0" borderId="8" xfId="1" applyFont="1" applyBorder="1" applyAlignment="1" applyProtection="1">
      <alignment horizontal="center"/>
      <protection hidden="1"/>
    </xf>
    <xf numFmtId="0" fontId="25" fillId="0" borderId="10" xfId="1" applyFont="1" applyBorder="1" applyAlignment="1" applyProtection="1">
      <alignment horizontal="center"/>
      <protection hidden="1"/>
    </xf>
    <xf numFmtId="0" fontId="1" fillId="0" borderId="22" xfId="1" applyBorder="1" applyAlignment="1" applyProtection="1">
      <alignment horizontal="center"/>
      <protection hidden="1"/>
    </xf>
    <xf numFmtId="0" fontId="25" fillId="0" borderId="8" xfId="1" applyFont="1" applyBorder="1" applyAlignment="1" applyProtection="1">
      <alignment horizontal="center" vertical="center"/>
      <protection hidden="1"/>
    </xf>
    <xf numFmtId="0" fontId="25" fillId="0" borderId="10" xfId="1" applyFont="1" applyBorder="1" applyAlignment="1" applyProtection="1">
      <alignment horizontal="center" vertical="center"/>
      <protection hidden="1"/>
    </xf>
    <xf numFmtId="0" fontId="1" fillId="0" borderId="22" xfId="1" applyBorder="1" applyAlignment="1" applyProtection="1">
      <alignment horizontal="center" vertical="center"/>
      <protection hidden="1"/>
    </xf>
    <xf numFmtId="0" fontId="1" fillId="0" borderId="7" xfId="1" applyBorder="1" applyAlignment="1" applyProtection="1">
      <alignment horizontal="center" vertical="center"/>
      <protection hidden="1"/>
    </xf>
    <xf numFmtId="0" fontId="1" fillId="0" borderId="8" xfId="1" applyBorder="1" applyAlignment="1" applyProtection="1">
      <alignment horizontal="center" vertical="center"/>
      <protection hidden="1"/>
    </xf>
    <xf numFmtId="0" fontId="1" fillId="0" borderId="10" xfId="1" applyBorder="1" applyAlignment="1" applyProtection="1">
      <alignment horizontal="center" vertical="center"/>
      <protection hidden="1"/>
    </xf>
    <xf numFmtId="42" fontId="1" fillId="0" borderId="15" xfId="1" applyNumberFormat="1" applyBorder="1" applyProtection="1">
      <protection hidden="1"/>
    </xf>
    <xf numFmtId="0" fontId="1" fillId="0" borderId="34" xfId="1" applyBorder="1" applyAlignment="1" applyProtection="1">
      <alignment horizontal="center" vertical="center"/>
      <protection hidden="1"/>
    </xf>
    <xf numFmtId="0" fontId="1" fillId="0" borderId="25" xfId="1" applyBorder="1" applyAlignment="1" applyProtection="1">
      <alignment horizontal="center" vertical="center"/>
      <protection hidden="1"/>
    </xf>
    <xf numFmtId="0" fontId="1" fillId="0" borderId="38" xfId="1" applyBorder="1" applyAlignment="1" applyProtection="1">
      <alignment horizontal="center" vertical="center"/>
      <protection hidden="1"/>
    </xf>
    <xf numFmtId="0" fontId="1" fillId="0" borderId="52" xfId="1" applyBorder="1" applyAlignment="1" applyProtection="1">
      <alignment horizontal="center" vertical="center"/>
      <protection hidden="1"/>
    </xf>
    <xf numFmtId="0" fontId="1" fillId="0" borderId="35" xfId="1" applyBorder="1" applyAlignment="1" applyProtection="1">
      <alignment horizontal="center" vertical="center"/>
      <protection hidden="1"/>
    </xf>
    <xf numFmtId="169" fontId="1" fillId="0" borderId="19" xfId="1" applyNumberFormat="1" applyBorder="1" applyAlignment="1" applyProtection="1">
      <alignment horizontal="center"/>
      <protection hidden="1"/>
    </xf>
    <xf numFmtId="0" fontId="1" fillId="0" borderId="7" xfId="1" applyBorder="1" applyAlignment="1" applyProtection="1">
      <alignment horizontal="center"/>
      <protection hidden="1"/>
    </xf>
    <xf numFmtId="0" fontId="25" fillId="0" borderId="36" xfId="1" applyFont="1" applyBorder="1" applyProtection="1">
      <protection hidden="1"/>
    </xf>
    <xf numFmtId="0" fontId="25" fillId="0" borderId="2" xfId="1" applyFont="1" applyBorder="1" applyProtection="1">
      <protection hidden="1"/>
    </xf>
    <xf numFmtId="0" fontId="1" fillId="0" borderId="17" xfId="1" applyBorder="1" applyAlignment="1" applyProtection="1">
      <alignment horizontal="center" vertical="center"/>
      <protection hidden="1"/>
    </xf>
    <xf numFmtId="0" fontId="1" fillId="0" borderId="21" xfId="1" applyBorder="1" applyAlignment="1" applyProtection="1">
      <alignment horizontal="center" vertical="center"/>
      <protection hidden="1"/>
    </xf>
    <xf numFmtId="42" fontId="1" fillId="0" borderId="11" xfId="1" applyNumberFormat="1" applyBorder="1" applyAlignment="1" applyProtection="1">
      <alignment wrapText="1"/>
      <protection hidden="1"/>
    </xf>
    <xf numFmtId="0" fontId="1" fillId="0" borderId="12" xfId="1" applyBorder="1" applyAlignment="1" applyProtection="1">
      <alignment horizontal="center" vertical="center" wrapText="1"/>
      <protection hidden="1"/>
    </xf>
    <xf numFmtId="0" fontId="1" fillId="0" borderId="21" xfId="1" applyBorder="1" applyAlignment="1" applyProtection="1">
      <alignment horizontal="center" vertical="center" wrapText="1"/>
      <protection hidden="1"/>
    </xf>
    <xf numFmtId="42" fontId="25" fillId="0" borderId="3" xfId="1" applyNumberFormat="1" applyFont="1" applyBorder="1" applyProtection="1">
      <protection hidden="1"/>
    </xf>
    <xf numFmtId="42" fontId="25" fillId="0" borderId="4" xfId="6" applyNumberFormat="1" applyFont="1" applyBorder="1" applyAlignment="1" applyProtection="1">
      <protection hidden="1"/>
    </xf>
    <xf numFmtId="0" fontId="25" fillId="0" borderId="4" xfId="1" applyFont="1" applyBorder="1" applyAlignment="1" applyProtection="1">
      <alignment horizontal="left"/>
      <protection hidden="1"/>
    </xf>
    <xf numFmtId="0" fontId="25" fillId="0" borderId="4" xfId="1" applyFont="1" applyBorder="1" applyProtection="1">
      <protection hidden="1"/>
    </xf>
    <xf numFmtId="0" fontId="25" fillId="0" borderId="55" xfId="1" applyFont="1" applyBorder="1" applyAlignment="1" applyProtection="1">
      <alignment horizontal="center" vertical="center"/>
      <protection hidden="1"/>
    </xf>
    <xf numFmtId="0" fontId="25" fillId="0" borderId="4" xfId="1" applyFont="1" applyBorder="1" applyAlignment="1" applyProtection="1">
      <alignment horizontal="center" vertical="center"/>
      <protection hidden="1"/>
    </xf>
    <xf numFmtId="0" fontId="25" fillId="0" borderId="6" xfId="1" applyFont="1" applyBorder="1" applyAlignment="1" applyProtection="1">
      <alignment horizontal="center" vertical="center"/>
      <protection hidden="1"/>
    </xf>
    <xf numFmtId="42" fontId="1" fillId="0" borderId="23" xfId="1" applyNumberFormat="1" applyBorder="1" applyProtection="1">
      <protection hidden="1"/>
    </xf>
    <xf numFmtId="41" fontId="0" fillId="0" borderId="24" xfId="6" applyNumberFormat="1" applyFont="1" applyFill="1" applyBorder="1" applyProtection="1">
      <protection hidden="1"/>
    </xf>
    <xf numFmtId="0" fontId="0" fillId="0" borderId="24" xfId="6" applyNumberFormat="1" applyFont="1" applyFill="1" applyBorder="1" applyAlignment="1" applyProtection="1">
      <alignment horizontal="left"/>
      <protection hidden="1"/>
    </xf>
    <xf numFmtId="168" fontId="0" fillId="0" borderId="24" xfId="6" applyNumberFormat="1" applyFont="1" applyFill="1" applyBorder="1" applyAlignment="1" applyProtection="1">
      <alignment horizontal="center" vertical="center"/>
      <protection hidden="1"/>
    </xf>
    <xf numFmtId="0" fontId="1" fillId="0" borderId="24" xfId="1" applyBorder="1" applyAlignment="1" applyProtection="1">
      <alignment horizontal="center" vertical="center"/>
      <protection hidden="1"/>
    </xf>
    <xf numFmtId="0" fontId="1" fillId="0" borderId="47" xfId="1" applyBorder="1" applyAlignment="1" applyProtection="1">
      <alignment horizontal="center" vertical="center"/>
      <protection hidden="1"/>
    </xf>
    <xf numFmtId="42" fontId="1" fillId="0" borderId="27" xfId="1" applyNumberFormat="1" applyBorder="1" applyProtection="1">
      <protection hidden="1"/>
    </xf>
    <xf numFmtId="41" fontId="0" fillId="0" borderId="28" xfId="6" applyNumberFormat="1" applyFont="1" applyFill="1" applyBorder="1" applyProtection="1">
      <protection hidden="1"/>
    </xf>
    <xf numFmtId="0" fontId="0" fillId="0" borderId="28" xfId="6" applyNumberFormat="1" applyFont="1" applyFill="1" applyBorder="1" applyAlignment="1" applyProtection="1">
      <alignment horizontal="left"/>
      <protection hidden="1"/>
    </xf>
    <xf numFmtId="168" fontId="0" fillId="0" borderId="28" xfId="6" applyNumberFormat="1" applyFont="1" applyFill="1" applyBorder="1" applyAlignment="1" applyProtection="1">
      <alignment horizontal="center" vertical="center"/>
      <protection hidden="1"/>
    </xf>
    <xf numFmtId="0" fontId="1" fillId="0" borderId="28" xfId="1" applyBorder="1" applyAlignment="1" applyProtection="1">
      <alignment horizontal="center" vertical="center"/>
      <protection hidden="1"/>
    </xf>
    <xf numFmtId="0" fontId="1" fillId="0" borderId="45" xfId="1" applyBorder="1" applyAlignment="1" applyProtection="1">
      <alignment horizontal="center" vertical="center"/>
      <protection hidden="1"/>
    </xf>
    <xf numFmtId="0" fontId="1" fillId="0" borderId="39" xfId="1" applyBorder="1" applyAlignment="1" applyProtection="1">
      <alignment horizontal="center" vertical="center"/>
      <protection hidden="1"/>
    </xf>
    <xf numFmtId="0" fontId="1" fillId="0" borderId="29" xfId="1" applyBorder="1" applyAlignment="1" applyProtection="1">
      <alignment horizontal="center" vertical="center"/>
      <protection hidden="1"/>
    </xf>
    <xf numFmtId="0" fontId="1" fillId="0" borderId="40" xfId="1" applyBorder="1" applyAlignment="1" applyProtection="1">
      <alignment horizontal="center" vertical="center"/>
      <protection hidden="1"/>
    </xf>
    <xf numFmtId="41" fontId="0" fillId="0" borderId="52" xfId="6" applyNumberFormat="1" applyFont="1" applyFill="1" applyBorder="1" applyProtection="1">
      <protection hidden="1"/>
    </xf>
    <xf numFmtId="0" fontId="0" fillId="0" borderId="52" xfId="6" applyNumberFormat="1" applyFont="1" applyFill="1" applyBorder="1" applyAlignment="1" applyProtection="1">
      <alignment horizontal="left"/>
      <protection hidden="1"/>
    </xf>
    <xf numFmtId="168" fontId="0" fillId="0" borderId="52" xfId="6" applyNumberFormat="1" applyFont="1" applyFill="1" applyBorder="1" applyAlignment="1" applyProtection="1">
      <alignment horizontal="center" vertical="center"/>
      <protection hidden="1"/>
    </xf>
    <xf numFmtId="0" fontId="1" fillId="0" borderId="53" xfId="1" applyBorder="1" applyAlignment="1" applyProtection="1">
      <alignment horizontal="center" vertical="center"/>
      <protection hidden="1"/>
    </xf>
    <xf numFmtId="0" fontId="1" fillId="0" borderId="14" xfId="1" applyBorder="1" applyAlignment="1" applyProtection="1">
      <alignment horizontal="center" vertical="center"/>
      <protection hidden="1"/>
    </xf>
    <xf numFmtId="41" fontId="0" fillId="0" borderId="19" xfId="6" applyNumberFormat="1" applyFont="1" applyFill="1" applyBorder="1" applyProtection="1">
      <protection hidden="1"/>
    </xf>
    <xf numFmtId="0" fontId="0" fillId="0" borderId="19" xfId="6" applyNumberFormat="1" applyFont="1" applyFill="1" applyBorder="1" applyAlignment="1" applyProtection="1">
      <alignment horizontal="left"/>
      <protection hidden="1"/>
    </xf>
    <xf numFmtId="168" fontId="0" fillId="0" borderId="19" xfId="6" applyNumberFormat="1" applyFont="1" applyFill="1" applyBorder="1" applyAlignment="1" applyProtection="1">
      <alignment horizontal="center" vertical="center"/>
      <protection hidden="1"/>
    </xf>
    <xf numFmtId="0" fontId="1" fillId="0" borderId="56" xfId="1" applyBorder="1" applyAlignment="1" applyProtection="1">
      <alignment horizontal="center" vertical="center"/>
      <protection hidden="1"/>
    </xf>
    <xf numFmtId="0" fontId="1" fillId="0" borderId="57" xfId="1" applyBorder="1" applyAlignment="1" applyProtection="1">
      <alignment horizontal="center" vertical="center"/>
      <protection hidden="1"/>
    </xf>
    <xf numFmtId="41" fontId="25" fillId="0" borderId="8" xfId="6" applyNumberFormat="1" applyFont="1" applyFill="1" applyBorder="1" applyAlignment="1" applyProtection="1">
      <protection hidden="1"/>
    </xf>
    <xf numFmtId="44" fontId="0" fillId="0" borderId="19" xfId="6" applyNumberFormat="1" applyFont="1" applyFill="1" applyBorder="1" applyProtection="1">
      <protection hidden="1"/>
    </xf>
    <xf numFmtId="42" fontId="26" fillId="0" borderId="7" xfId="1" applyNumberFormat="1" applyFont="1" applyBorder="1" applyProtection="1">
      <protection hidden="1"/>
    </xf>
    <xf numFmtId="42" fontId="26" fillId="0" borderId="8" xfId="6" applyNumberFormat="1" applyFont="1" applyBorder="1" applyAlignment="1" applyProtection="1">
      <protection hidden="1"/>
    </xf>
    <xf numFmtId="0" fontId="26" fillId="0" borderId="8" xfId="1" applyFont="1" applyBorder="1" applyAlignment="1" applyProtection="1">
      <alignment horizontal="left"/>
      <protection hidden="1"/>
    </xf>
    <xf numFmtId="0" fontId="26" fillId="0" borderId="8" xfId="1" applyFont="1" applyBorder="1" applyProtection="1">
      <protection hidden="1"/>
    </xf>
    <xf numFmtId="0" fontId="26" fillId="0" borderId="50" xfId="1" applyFont="1" applyBorder="1" applyAlignment="1" applyProtection="1">
      <alignment horizontal="center" vertical="center"/>
      <protection hidden="1"/>
    </xf>
    <xf numFmtId="0" fontId="26" fillId="0" borderId="8" xfId="1" applyFont="1" applyBorder="1" applyAlignment="1" applyProtection="1">
      <alignment horizontal="center" vertical="center"/>
      <protection hidden="1"/>
    </xf>
    <xf numFmtId="0" fontId="26" fillId="0" borderId="10" xfId="1" applyFont="1" applyBorder="1" applyAlignment="1" applyProtection="1">
      <alignment horizontal="center" vertical="center"/>
      <protection hidden="1"/>
    </xf>
    <xf numFmtId="42" fontId="0" fillId="0" borderId="19" xfId="6" applyNumberFormat="1" applyFont="1" applyFill="1" applyBorder="1" applyProtection="1">
      <protection hidden="1"/>
    </xf>
    <xf numFmtId="0" fontId="1" fillId="0" borderId="18" xfId="1" applyBorder="1" applyAlignment="1" applyProtection="1">
      <alignment horizontal="center"/>
      <protection hidden="1"/>
    </xf>
    <xf numFmtId="0" fontId="25" fillId="0" borderId="10" xfId="1" applyFont="1" applyBorder="1" applyAlignment="1" applyProtection="1">
      <alignment horizontal="left"/>
      <protection hidden="1"/>
    </xf>
    <xf numFmtId="170" fontId="25" fillId="0" borderId="3" xfId="1" applyNumberFormat="1" applyFont="1" applyBorder="1" applyProtection="1">
      <protection hidden="1"/>
    </xf>
    <xf numFmtId="170" fontId="25" fillId="0" borderId="4" xfId="6" applyNumberFormat="1" applyFont="1" applyBorder="1" applyAlignment="1" applyProtection="1">
      <protection hidden="1"/>
    </xf>
    <xf numFmtId="0" fontId="25" fillId="0" borderId="55" xfId="1" applyFont="1" applyBorder="1" applyAlignment="1" applyProtection="1">
      <alignment horizontal="left"/>
      <protection hidden="1"/>
    </xf>
    <xf numFmtId="0" fontId="25" fillId="0" borderId="6" xfId="1" applyFont="1" applyBorder="1" applyProtection="1">
      <protection hidden="1"/>
    </xf>
    <xf numFmtId="0" fontId="1" fillId="0" borderId="23" xfId="1" applyBorder="1" applyProtection="1">
      <protection hidden="1"/>
    </xf>
    <xf numFmtId="0" fontId="1" fillId="0" borderId="12" xfId="1" applyBorder="1" applyProtection="1">
      <protection hidden="1"/>
    </xf>
    <xf numFmtId="0" fontId="1" fillId="0" borderId="15" xfId="1" applyBorder="1" applyProtection="1">
      <protection hidden="1"/>
    </xf>
    <xf numFmtId="0" fontId="1" fillId="0" borderId="11" xfId="1" applyBorder="1" applyProtection="1">
      <protection hidden="1"/>
    </xf>
    <xf numFmtId="170" fontId="1" fillId="0" borderId="11" xfId="1" applyNumberFormat="1" applyBorder="1" applyProtection="1">
      <protection hidden="1"/>
    </xf>
    <xf numFmtId="0" fontId="1" fillId="0" borderId="21" xfId="1" applyBorder="1" applyProtection="1">
      <protection hidden="1"/>
    </xf>
    <xf numFmtId="170" fontId="1" fillId="0" borderId="27" xfId="1" applyNumberFormat="1" applyBorder="1" applyProtection="1">
      <protection hidden="1"/>
    </xf>
    <xf numFmtId="0" fontId="1" fillId="0" borderId="45" xfId="1" applyBorder="1" applyProtection="1">
      <protection hidden="1"/>
    </xf>
    <xf numFmtId="0" fontId="31" fillId="0" borderId="8" xfId="1" applyFont="1" applyBorder="1" applyProtection="1">
      <protection hidden="1"/>
    </xf>
    <xf numFmtId="0" fontId="31" fillId="0" borderId="10" xfId="1" applyFont="1" applyBorder="1" applyProtection="1">
      <protection hidden="1"/>
    </xf>
    <xf numFmtId="0" fontId="25" fillId="0" borderId="36" xfId="1" applyFont="1" applyBorder="1" applyAlignment="1" applyProtection="1">
      <alignment horizontal="center" vertical="center"/>
      <protection hidden="1"/>
    </xf>
    <xf numFmtId="42" fontId="32" fillId="0" borderId="11" xfId="1" applyNumberFormat="1" applyFont="1" applyBorder="1" applyProtection="1">
      <protection hidden="1"/>
    </xf>
    <xf numFmtId="42" fontId="32" fillId="0" borderId="18" xfId="1" applyNumberFormat="1" applyFont="1" applyBorder="1" applyProtection="1">
      <protection hidden="1"/>
    </xf>
    <xf numFmtId="0" fontId="1" fillId="0" borderId="41" xfId="1" applyBorder="1" applyAlignment="1" applyProtection="1">
      <alignment horizontal="center" vertical="center"/>
      <protection hidden="1"/>
    </xf>
    <xf numFmtId="170" fontId="26" fillId="0" borderId="7" xfId="1" applyNumberFormat="1" applyFont="1" applyBorder="1" applyProtection="1">
      <protection hidden="1"/>
    </xf>
    <xf numFmtId="170" fontId="26" fillId="0" borderId="8" xfId="6" applyNumberFormat="1" applyFont="1" applyBorder="1" applyAlignment="1" applyProtection="1">
      <protection hidden="1"/>
    </xf>
    <xf numFmtId="0" fontId="26" fillId="0" borderId="10" xfId="1" applyFont="1" applyBorder="1" applyAlignment="1" applyProtection="1">
      <alignment horizontal="left"/>
      <protection hidden="1"/>
    </xf>
    <xf numFmtId="0" fontId="26" fillId="0" borderId="36" xfId="1" applyFont="1" applyBorder="1" applyProtection="1">
      <protection hidden="1"/>
    </xf>
    <xf numFmtId="0" fontId="26" fillId="0" borderId="2" xfId="1" applyFont="1" applyBorder="1" applyProtection="1">
      <protection hidden="1"/>
    </xf>
    <xf numFmtId="0" fontId="1" fillId="0" borderId="11" xfId="1" applyBorder="1" applyAlignment="1" applyProtection="1">
      <alignment horizontal="center" vertical="center"/>
      <protection hidden="1"/>
    </xf>
    <xf numFmtId="170" fontId="1" fillId="0" borderId="11" xfId="1" applyNumberFormat="1" applyBorder="1" applyAlignment="1" applyProtection="1">
      <alignment horizontal="center" vertical="center"/>
      <protection hidden="1"/>
    </xf>
    <xf numFmtId="170" fontId="1" fillId="0" borderId="18" xfId="1" applyNumberFormat="1" applyBorder="1" applyAlignment="1" applyProtection="1">
      <alignment horizontal="center" vertical="center"/>
      <protection hidden="1"/>
    </xf>
    <xf numFmtId="0" fontId="1" fillId="0" borderId="8" xfId="1" applyBorder="1" applyAlignment="1" applyProtection="1">
      <alignment horizontal="center"/>
      <protection hidden="1"/>
    </xf>
    <xf numFmtId="170" fontId="25" fillId="0" borderId="7" xfId="1" applyNumberFormat="1" applyFont="1" applyBorder="1" applyProtection="1">
      <protection hidden="1"/>
    </xf>
    <xf numFmtId="170" fontId="25" fillId="0" borderId="8" xfId="6" applyNumberFormat="1" applyFont="1" applyBorder="1" applyAlignment="1" applyProtection="1">
      <protection hidden="1"/>
    </xf>
    <xf numFmtId="170" fontId="1" fillId="0" borderId="18" xfId="1" applyNumberFormat="1" applyBorder="1" applyProtection="1">
      <protection hidden="1"/>
    </xf>
    <xf numFmtId="42" fontId="1" fillId="0" borderId="18" xfId="1" applyNumberFormat="1" applyBorder="1" applyAlignment="1" applyProtection="1">
      <alignment horizontal="left"/>
      <protection hidden="1"/>
    </xf>
    <xf numFmtId="42" fontId="1" fillId="0" borderId="15" xfId="1" applyNumberFormat="1" applyBorder="1" applyAlignment="1" applyProtection="1">
      <alignment horizontal="left"/>
      <protection hidden="1"/>
    </xf>
    <xf numFmtId="42" fontId="1" fillId="0" borderId="51" xfId="1" applyNumberFormat="1" applyBorder="1" applyAlignment="1" applyProtection="1">
      <alignment horizontal="left"/>
      <protection hidden="1"/>
    </xf>
    <xf numFmtId="0" fontId="7" fillId="0" borderId="0" xfId="2" applyFont="1" applyAlignment="1" applyProtection="1">
      <alignment horizontal="left" vertical="center"/>
      <protection locked="0" hidden="1"/>
    </xf>
    <xf numFmtId="42" fontId="25" fillId="0" borderId="1" xfId="1" applyNumberFormat="1" applyFont="1" applyBorder="1" applyAlignment="1" applyProtection="1">
      <alignment horizontal="left"/>
      <protection hidden="1"/>
    </xf>
    <xf numFmtId="42" fontId="25" fillId="0" borderId="7" xfId="6" applyNumberFormat="1" applyFont="1" applyBorder="1" applyAlignment="1" applyProtection="1">
      <alignment horizontal="left"/>
      <protection hidden="1"/>
    </xf>
    <xf numFmtId="42" fontId="1" fillId="0" borderId="11" xfId="1" applyNumberFormat="1" applyBorder="1" applyAlignment="1" applyProtection="1">
      <alignment horizontal="left"/>
      <protection hidden="1"/>
    </xf>
    <xf numFmtId="42" fontId="1" fillId="0" borderId="18" xfId="1" applyNumberFormat="1" applyBorder="1" applyAlignment="1" applyProtection="1">
      <alignment horizontal="center"/>
      <protection hidden="1"/>
    </xf>
    <xf numFmtId="170" fontId="1" fillId="0" borderId="15" xfId="1" applyNumberFormat="1" applyBorder="1" applyProtection="1">
      <protection hidden="1"/>
    </xf>
    <xf numFmtId="0" fontId="1" fillId="0" borderId="50" xfId="1" applyBorder="1" applyAlignment="1" applyProtection="1">
      <alignment horizontal="center" vertical="center"/>
      <protection hidden="1"/>
    </xf>
    <xf numFmtId="170" fontId="25" fillId="0" borderId="1" xfId="1" applyNumberFormat="1" applyFont="1" applyBorder="1" applyProtection="1">
      <protection hidden="1"/>
    </xf>
    <xf numFmtId="0" fontId="25" fillId="0" borderId="9" xfId="1" applyFont="1" applyBorder="1" applyAlignment="1" applyProtection="1">
      <alignment horizontal="left"/>
      <protection hidden="1"/>
    </xf>
    <xf numFmtId="0" fontId="1" fillId="0" borderId="22" xfId="1" applyBorder="1" applyProtection="1">
      <protection hidden="1"/>
    </xf>
    <xf numFmtId="170" fontId="1" fillId="0" borderId="12" xfId="1" applyNumberFormat="1" applyBorder="1" applyProtection="1">
      <protection hidden="1"/>
    </xf>
    <xf numFmtId="170" fontId="1" fillId="0" borderId="19" xfId="1" applyNumberFormat="1" applyBorder="1" applyProtection="1">
      <protection hidden="1"/>
    </xf>
    <xf numFmtId="0" fontId="26" fillId="0" borderId="50" xfId="1" applyFont="1" applyBorder="1" applyAlignment="1" applyProtection="1">
      <alignment horizontal="left"/>
      <protection hidden="1"/>
    </xf>
    <xf numFmtId="0" fontId="26" fillId="0" borderId="10" xfId="1" applyFont="1" applyBorder="1" applyProtection="1">
      <protection hidden="1"/>
    </xf>
    <xf numFmtId="0" fontId="1" fillId="0" borderId="10" xfId="1" applyBorder="1" applyAlignment="1" applyProtection="1">
      <alignment horizontal="center"/>
      <protection hidden="1"/>
    </xf>
    <xf numFmtId="0" fontId="26" fillId="0" borderId="1" xfId="1" applyFont="1" applyBorder="1" applyProtection="1">
      <protection hidden="1"/>
    </xf>
    <xf numFmtId="170" fontId="1" fillId="0" borderId="7" xfId="1" applyNumberFormat="1" applyBorder="1" applyProtection="1">
      <protection hidden="1"/>
    </xf>
    <xf numFmtId="170" fontId="0" fillId="0" borderId="8" xfId="6" applyNumberFormat="1" applyFont="1" applyBorder="1" applyAlignment="1" applyProtection="1">
      <protection hidden="1"/>
    </xf>
    <xf numFmtId="0" fontId="1" fillId="0" borderId="8" xfId="1" applyBorder="1" applyAlignment="1" applyProtection="1">
      <alignment horizontal="left"/>
      <protection hidden="1"/>
    </xf>
    <xf numFmtId="0" fontId="1" fillId="0" borderId="8" xfId="1" applyBorder="1" applyProtection="1">
      <protection hidden="1"/>
    </xf>
    <xf numFmtId="0" fontId="1" fillId="0" borderId="10" xfId="1" applyBorder="1" applyAlignment="1" applyProtection="1">
      <alignment horizontal="left"/>
      <protection hidden="1"/>
    </xf>
    <xf numFmtId="0" fontId="1" fillId="0" borderId="7" xfId="1" applyBorder="1" applyProtection="1">
      <protection hidden="1"/>
    </xf>
    <xf numFmtId="0" fontId="1" fillId="0" borderId="2" xfId="1" applyBorder="1" applyProtection="1">
      <protection hidden="1"/>
    </xf>
    <xf numFmtId="0" fontId="26" fillId="0" borderId="50" xfId="1" applyFont="1" applyBorder="1" applyProtection="1">
      <protection hidden="1"/>
    </xf>
    <xf numFmtId="0" fontId="26" fillId="0" borderId="41" xfId="1" applyFont="1" applyBorder="1" applyProtection="1">
      <protection hidden="1"/>
    </xf>
    <xf numFmtId="0" fontId="0" fillId="0" borderId="19" xfId="6" applyNumberFormat="1" applyFont="1" applyFill="1" applyBorder="1" applyAlignment="1" applyProtection="1">
      <alignment horizontal="left" vertical="center"/>
      <protection hidden="1"/>
    </xf>
    <xf numFmtId="0" fontId="0" fillId="0" borderId="19" xfId="6" applyNumberFormat="1" applyFont="1" applyFill="1" applyBorder="1" applyAlignment="1" applyProtection="1">
      <alignment horizontal="center" vertical="center"/>
      <protection hidden="1"/>
    </xf>
    <xf numFmtId="0" fontId="26" fillId="0" borderId="41" xfId="1" applyFont="1" applyBorder="1" applyAlignment="1" applyProtection="1">
      <alignment horizontal="center" vertical="center" wrapText="1"/>
      <protection hidden="1"/>
    </xf>
    <xf numFmtId="0" fontId="26" fillId="0" borderId="41" xfId="1" applyFont="1" applyBorder="1" applyAlignment="1" applyProtection="1">
      <alignment horizontal="left"/>
      <protection hidden="1"/>
    </xf>
    <xf numFmtId="14" fontId="0" fillId="0" borderId="19" xfId="6" applyNumberFormat="1" applyFont="1" applyFill="1" applyBorder="1" applyAlignment="1" applyProtection="1">
      <alignment horizontal="center" vertical="center"/>
      <protection hidden="1"/>
    </xf>
    <xf numFmtId="0" fontId="1" fillId="0" borderId="19" xfId="1" applyBorder="1" applyProtection="1">
      <protection hidden="1"/>
    </xf>
    <xf numFmtId="0" fontId="1" fillId="0" borderId="36" xfId="1" applyBorder="1" applyAlignment="1" applyProtection="1">
      <alignment horizontal="center"/>
      <protection hidden="1"/>
    </xf>
    <xf numFmtId="0" fontId="1" fillId="0" borderId="41" xfId="1" applyBorder="1" applyAlignment="1" applyProtection="1">
      <alignment horizontal="center"/>
      <protection hidden="1"/>
    </xf>
    <xf numFmtId="0" fontId="25" fillId="0" borderId="41" xfId="1" applyFont="1" applyBorder="1" applyProtection="1">
      <protection hidden="1"/>
    </xf>
    <xf numFmtId="0" fontId="1" fillId="0" borderId="21" xfId="1" applyBorder="1" applyAlignment="1" applyProtection="1">
      <alignment horizontal="center"/>
      <protection hidden="1"/>
    </xf>
    <xf numFmtId="0" fontId="1" fillId="0" borderId="50" xfId="1" applyBorder="1" applyProtection="1"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10" xfId="1" applyBorder="1" applyProtection="1">
      <protection hidden="1"/>
    </xf>
    <xf numFmtId="14" fontId="1" fillId="0" borderId="12" xfId="1" applyNumberFormat="1" applyBorder="1" applyAlignment="1" applyProtection="1">
      <alignment horizontal="center" vertical="center"/>
      <protection hidden="1"/>
    </xf>
    <xf numFmtId="0" fontId="1" fillId="0" borderId="19" xfId="1" applyBorder="1" applyAlignment="1" applyProtection="1">
      <alignment horizontal="left"/>
      <protection hidden="1"/>
    </xf>
    <xf numFmtId="168" fontId="1" fillId="0" borderId="19" xfId="1" applyNumberFormat="1" applyBorder="1" applyAlignment="1" applyProtection="1">
      <alignment horizontal="center"/>
      <protection hidden="1"/>
    </xf>
    <xf numFmtId="168" fontId="29" fillId="0" borderId="0" xfId="1" applyNumberFormat="1" applyFont="1" applyProtection="1">
      <protection hidden="1"/>
    </xf>
    <xf numFmtId="0" fontId="26" fillId="0" borderId="0" xfId="1" applyFont="1" applyProtection="1">
      <protection hidden="1"/>
    </xf>
    <xf numFmtId="168" fontId="30" fillId="0" borderId="0" xfId="1" applyNumberFormat="1" applyFont="1" applyAlignment="1" applyProtection="1">
      <alignment horizontal="center"/>
      <protection hidden="1"/>
    </xf>
    <xf numFmtId="168" fontId="1" fillId="0" borderId="0" xfId="1" applyNumberFormat="1" applyProtection="1">
      <protection hidden="1"/>
    </xf>
    <xf numFmtId="168" fontId="25" fillId="0" borderId="8" xfId="1" applyNumberFormat="1" applyFont="1" applyBorder="1" applyProtection="1">
      <protection hidden="1"/>
    </xf>
    <xf numFmtId="0" fontId="26" fillId="0" borderId="0" xfId="1" applyFont="1" applyAlignment="1" applyProtection="1">
      <alignment wrapText="1"/>
      <protection hidden="1"/>
    </xf>
    <xf numFmtId="0" fontId="25" fillId="0" borderId="12" xfId="1" applyFont="1" applyBorder="1" applyAlignment="1" applyProtection="1">
      <alignment horizontal="center"/>
      <protection hidden="1"/>
    </xf>
    <xf numFmtId="0" fontId="25" fillId="0" borderId="4" xfId="1" applyFont="1" applyBorder="1" applyAlignment="1" applyProtection="1">
      <alignment horizontal="center"/>
      <protection hidden="1"/>
    </xf>
    <xf numFmtId="168" fontId="25" fillId="0" borderId="4" xfId="1" applyNumberFormat="1" applyFont="1" applyBorder="1" applyProtection="1">
      <protection hidden="1"/>
    </xf>
    <xf numFmtId="0" fontId="25" fillId="0" borderId="6" xfId="1" applyFont="1" applyBorder="1" applyAlignment="1" applyProtection="1">
      <alignment horizontal="center"/>
      <protection hidden="1"/>
    </xf>
    <xf numFmtId="42" fontId="0" fillId="0" borderId="24" xfId="6" applyNumberFormat="1" applyFont="1" applyFill="1" applyBorder="1" applyProtection="1">
      <protection hidden="1"/>
    </xf>
    <xf numFmtId="0" fontId="1" fillId="0" borderId="24" xfId="1" applyBorder="1" applyAlignment="1" applyProtection="1">
      <alignment horizontal="center"/>
      <protection hidden="1"/>
    </xf>
    <xf numFmtId="0" fontId="1" fillId="0" borderId="47" xfId="1" applyBorder="1" applyAlignment="1" applyProtection="1">
      <alignment horizontal="center"/>
      <protection hidden="1"/>
    </xf>
    <xf numFmtId="42" fontId="0" fillId="0" borderId="12" xfId="6" applyNumberFormat="1" applyFont="1" applyFill="1" applyBorder="1" applyProtection="1">
      <protection hidden="1"/>
    </xf>
    <xf numFmtId="0" fontId="1" fillId="0" borderId="17" xfId="1" applyBorder="1" applyAlignment="1" applyProtection="1">
      <alignment horizontal="center"/>
      <protection hidden="1"/>
    </xf>
    <xf numFmtId="0" fontId="1" fillId="0" borderId="28" xfId="1" applyBorder="1" applyAlignment="1" applyProtection="1">
      <alignment horizontal="center"/>
      <protection hidden="1"/>
    </xf>
    <xf numFmtId="0" fontId="1" fillId="0" borderId="45" xfId="1" applyBorder="1" applyAlignment="1" applyProtection="1">
      <alignment horizontal="center"/>
      <protection hidden="1"/>
    </xf>
    <xf numFmtId="42" fontId="1" fillId="2" borderId="11" xfId="1" applyNumberFormat="1" applyFill="1" applyBorder="1" applyProtection="1">
      <protection hidden="1"/>
    </xf>
    <xf numFmtId="1" fontId="1" fillId="0" borderId="41" xfId="1" applyNumberFormat="1" applyBorder="1" applyAlignment="1" applyProtection="1">
      <alignment horizontal="center" vertical="center"/>
      <protection hidden="1"/>
    </xf>
    <xf numFmtId="0" fontId="11" fillId="0" borderId="0" xfId="1" applyFont="1" applyProtection="1">
      <protection hidden="1"/>
    </xf>
    <xf numFmtId="42" fontId="1" fillId="0" borderId="51" xfId="1" applyNumberFormat="1" applyBorder="1" applyProtection="1">
      <protection hidden="1"/>
    </xf>
    <xf numFmtId="0" fontId="1" fillId="0" borderId="14" xfId="1" applyBorder="1" applyAlignment="1" applyProtection="1">
      <alignment horizontal="center"/>
      <protection hidden="1"/>
    </xf>
    <xf numFmtId="0" fontId="1" fillId="0" borderId="30" xfId="1" applyBorder="1" applyAlignment="1" applyProtection="1">
      <alignment horizontal="center" vertical="center"/>
      <protection hidden="1"/>
    </xf>
    <xf numFmtId="42" fontId="0" fillId="0" borderId="22" xfId="6" applyNumberFormat="1" applyFont="1" applyBorder="1" applyProtection="1">
      <protection hidden="1"/>
    </xf>
    <xf numFmtId="42" fontId="0" fillId="0" borderId="12" xfId="6" applyNumberFormat="1" applyFont="1" applyBorder="1" applyProtection="1">
      <protection hidden="1"/>
    </xf>
    <xf numFmtId="42" fontId="0" fillId="0" borderId="19" xfId="6" applyNumberFormat="1" applyFont="1" applyBorder="1" applyProtection="1">
      <protection hidden="1"/>
    </xf>
    <xf numFmtId="42" fontId="2" fillId="2" borderId="2" xfId="1" applyNumberFormat="1" applyFont="1" applyFill="1" applyBorder="1" applyAlignment="1">
      <alignment horizontal="center"/>
    </xf>
    <xf numFmtId="42" fontId="2" fillId="2" borderId="1" xfId="1" applyNumberFormat="1" applyFont="1" applyFill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9" fillId="0" borderId="30" xfId="2" applyFont="1" applyBorder="1" applyAlignment="1" applyProtection="1">
      <alignment horizontal="center" vertical="center"/>
      <protection locked="0"/>
    </xf>
    <xf numFmtId="0" fontId="9" fillId="0" borderId="26" xfId="2" applyFont="1" applyBorder="1" applyAlignment="1" applyProtection="1">
      <alignment horizontal="center" vertical="center"/>
      <protection locked="0"/>
    </xf>
    <xf numFmtId="0" fontId="9" fillId="0" borderId="29" xfId="2" applyFont="1" applyBorder="1" applyAlignment="1" applyProtection="1">
      <alignment horizontal="center" vertical="center"/>
      <protection locked="0"/>
    </xf>
    <xf numFmtId="0" fontId="9" fillId="0" borderId="25" xfId="2" applyFont="1" applyBorder="1" applyAlignment="1" applyProtection="1">
      <alignment horizontal="center" vertical="center"/>
      <protection locked="0"/>
    </xf>
    <xf numFmtId="42" fontId="8" fillId="0" borderId="28" xfId="1" applyNumberFormat="1" applyFont="1" applyBorder="1" applyAlignment="1">
      <alignment horizontal="center" vertical="center"/>
    </xf>
    <xf numFmtId="42" fontId="8" fillId="0" borderId="24" xfId="1" applyNumberFormat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32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3" fillId="0" borderId="0" xfId="1" applyFont="1" applyAlignment="1">
      <alignment horizontal="center"/>
    </xf>
    <xf numFmtId="0" fontId="13" fillId="0" borderId="0" xfId="2" applyFont="1" applyAlignment="1">
      <alignment horizontal="center"/>
    </xf>
    <xf numFmtId="0" fontId="11" fillId="0" borderId="40" xfId="2" applyFont="1" applyBorder="1" applyAlignment="1">
      <alignment horizontal="center" vertical="center"/>
    </xf>
    <xf numFmtId="0" fontId="11" fillId="0" borderId="35" xfId="2" applyFont="1" applyBorder="1" applyAlignment="1">
      <alignment horizontal="center" vertical="center"/>
    </xf>
    <xf numFmtId="0" fontId="16" fillId="0" borderId="40" xfId="1" applyFont="1" applyBorder="1" applyAlignment="1">
      <alignment horizontal="center" vertical="center" wrapText="1"/>
    </xf>
    <xf numFmtId="0" fontId="16" fillId="0" borderId="39" xfId="1" applyFont="1" applyBorder="1" applyAlignment="1">
      <alignment horizontal="center" vertical="center" wrapText="1"/>
    </xf>
    <xf numFmtId="0" fontId="16" fillId="0" borderId="35" xfId="1" applyFont="1" applyBorder="1" applyAlignment="1">
      <alignment horizontal="center" vertical="center" wrapText="1"/>
    </xf>
    <xf numFmtId="0" fontId="16" fillId="0" borderId="34" xfId="1" applyFont="1" applyBorder="1" applyAlignment="1">
      <alignment horizontal="center" vertical="center" wrapText="1"/>
    </xf>
    <xf numFmtId="0" fontId="16" fillId="0" borderId="30" xfId="1" applyFont="1" applyBorder="1" applyAlignment="1">
      <alignment horizontal="center" vertical="center" wrapText="1"/>
    </xf>
    <xf numFmtId="0" fontId="16" fillId="0" borderId="26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/>
    </xf>
    <xf numFmtId="0" fontId="12" fillId="0" borderId="26" xfId="1" applyFont="1" applyBorder="1" applyAlignment="1">
      <alignment horizontal="center" vertical="center"/>
    </xf>
    <xf numFmtId="42" fontId="15" fillId="0" borderId="30" xfId="1" applyNumberFormat="1" applyFont="1" applyBorder="1" applyAlignment="1">
      <alignment horizontal="center" vertical="center"/>
    </xf>
    <xf numFmtId="0" fontId="15" fillId="0" borderId="26" xfId="1" applyFont="1" applyBorder="1" applyAlignment="1">
      <alignment horizontal="center" vertical="center"/>
    </xf>
    <xf numFmtId="0" fontId="16" fillId="0" borderId="30" xfId="2" applyFont="1" applyBorder="1" applyAlignment="1">
      <alignment horizontal="center" vertical="center" wrapText="1"/>
    </xf>
    <xf numFmtId="0" fontId="16" fillId="0" borderId="42" xfId="2" applyFont="1" applyBorder="1" applyAlignment="1">
      <alignment horizontal="center" vertical="center" wrapText="1"/>
    </xf>
    <xf numFmtId="0" fontId="16" fillId="0" borderId="26" xfId="2" applyFont="1" applyBorder="1" applyAlignment="1">
      <alignment horizontal="center" vertical="center" wrapText="1"/>
    </xf>
    <xf numFmtId="166" fontId="11" fillId="11" borderId="30" xfId="3" applyNumberFormat="1" applyFont="1" applyFill="1" applyBorder="1" applyAlignment="1">
      <alignment horizontal="center" vertical="center" wrapText="1"/>
    </xf>
    <xf numFmtId="166" fontId="11" fillId="11" borderId="26" xfId="3" applyNumberFormat="1" applyFont="1" applyFill="1" applyBorder="1" applyAlignment="1">
      <alignment horizontal="center" vertical="center" wrapText="1"/>
    </xf>
    <xf numFmtId="0" fontId="11" fillId="0" borderId="39" xfId="2" applyFont="1" applyBorder="1" applyAlignment="1">
      <alignment horizontal="center" vertical="center" wrapText="1"/>
    </xf>
    <xf numFmtId="0" fontId="11" fillId="0" borderId="34" xfId="2" applyFont="1" applyBorder="1" applyAlignment="1">
      <alignment horizontal="center" vertical="center" wrapText="1"/>
    </xf>
    <xf numFmtId="0" fontId="12" fillId="0" borderId="36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42" fontId="14" fillId="0" borderId="40" xfId="1" applyNumberFormat="1" applyFont="1" applyBorder="1" applyAlignment="1">
      <alignment horizontal="center" vertical="center"/>
    </xf>
    <xf numFmtId="42" fontId="14" fillId="0" borderId="39" xfId="1" applyNumberFormat="1" applyFont="1" applyBorder="1" applyAlignment="1">
      <alignment horizontal="center" vertical="center"/>
    </xf>
    <xf numFmtId="42" fontId="14" fillId="0" borderId="38" xfId="1" applyNumberFormat="1" applyFont="1" applyBorder="1" applyAlignment="1">
      <alignment horizontal="center" vertical="center"/>
    </xf>
    <xf numFmtId="42" fontId="14" fillId="0" borderId="37" xfId="1" applyNumberFormat="1" applyFont="1" applyBorder="1" applyAlignment="1">
      <alignment horizontal="center" vertical="center"/>
    </xf>
    <xf numFmtId="42" fontId="14" fillId="0" borderId="35" xfId="1" applyNumberFormat="1" applyFont="1" applyBorder="1" applyAlignment="1">
      <alignment horizontal="center" vertical="center"/>
    </xf>
    <xf numFmtId="42" fontId="14" fillId="0" borderId="34" xfId="1" applyNumberFormat="1" applyFont="1" applyBorder="1" applyAlignment="1">
      <alignment horizontal="center" vertical="center"/>
    </xf>
    <xf numFmtId="42" fontId="15" fillId="0" borderId="26" xfId="1" applyNumberFormat="1" applyFont="1" applyBorder="1" applyAlignment="1">
      <alignment horizontal="center" vertical="center"/>
    </xf>
    <xf numFmtId="166" fontId="11" fillId="0" borderId="30" xfId="2" applyNumberFormat="1" applyFont="1" applyBorder="1" applyAlignment="1">
      <alignment horizontal="center" vertical="center" wrapText="1"/>
    </xf>
    <xf numFmtId="0" fontId="11" fillId="0" borderId="26" xfId="2" applyFont="1" applyBorder="1" applyAlignment="1">
      <alignment horizontal="center" vertical="center" wrapText="1"/>
    </xf>
    <xf numFmtId="166" fontId="11" fillId="11" borderId="30" xfId="3" applyNumberFormat="1" applyFont="1" applyFill="1" applyBorder="1" applyAlignment="1">
      <alignment horizontal="left" vertical="center" wrapText="1"/>
    </xf>
    <xf numFmtId="166" fontId="11" fillId="11" borderId="26" xfId="3" applyNumberFormat="1" applyFont="1" applyFill="1" applyBorder="1" applyAlignment="1">
      <alignment horizontal="left" vertical="center" wrapText="1"/>
    </xf>
    <xf numFmtId="0" fontId="12" fillId="0" borderId="2" xfId="1" applyFont="1" applyBorder="1" applyAlignment="1">
      <alignment horizontal="center" vertical="center"/>
    </xf>
    <xf numFmtId="0" fontId="12" fillId="8" borderId="40" xfId="1" applyFont="1" applyFill="1" applyBorder="1" applyAlignment="1">
      <alignment horizontal="center" vertical="center" wrapText="1"/>
    </xf>
    <xf numFmtId="0" fontId="12" fillId="8" borderId="35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right" vertical="center"/>
    </xf>
    <xf numFmtId="0" fontId="2" fillId="0" borderId="36" xfId="1" applyFont="1" applyBorder="1" applyAlignment="1">
      <alignment horizontal="right" vertical="center"/>
    </xf>
    <xf numFmtId="0" fontId="18" fillId="0" borderId="0" xfId="1" applyFont="1" applyAlignment="1">
      <alignment horizontal="center"/>
    </xf>
    <xf numFmtId="0" fontId="12" fillId="0" borderId="29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2" fillId="8" borderId="30" xfId="1" applyFont="1" applyFill="1" applyBorder="1" applyAlignment="1">
      <alignment horizontal="center" vertical="center" wrapText="1"/>
    </xf>
    <xf numFmtId="0" fontId="12" fillId="8" borderId="26" xfId="1" applyFont="1" applyFill="1" applyBorder="1" applyAlignment="1">
      <alignment horizontal="center" vertical="center" wrapText="1"/>
    </xf>
    <xf numFmtId="0" fontId="24" fillId="19" borderId="12" xfId="5" applyFont="1" applyFill="1" applyBorder="1" applyAlignment="1" applyProtection="1">
      <alignment horizontal="center" vertical="center"/>
      <protection locked="0"/>
    </xf>
    <xf numFmtId="0" fontId="26" fillId="0" borderId="30" xfId="1" applyFont="1" applyBorder="1" applyAlignment="1" applyProtection="1">
      <alignment horizontal="center" vertical="center" wrapText="1"/>
      <protection hidden="1"/>
    </xf>
    <xf numFmtId="0" fontId="26" fillId="0" borderId="26" xfId="1" applyFont="1" applyBorder="1" applyAlignment="1" applyProtection="1">
      <alignment horizontal="center" vertical="center" wrapText="1"/>
      <protection hidden="1"/>
    </xf>
    <xf numFmtId="0" fontId="26" fillId="0" borderId="30" xfId="1" applyFont="1" applyBorder="1" applyAlignment="1" applyProtection="1">
      <alignment horizontal="center" vertical="center"/>
      <protection hidden="1"/>
    </xf>
    <xf numFmtId="0" fontId="26" fillId="0" borderId="26" xfId="1" applyFont="1" applyBorder="1" applyAlignment="1" applyProtection="1">
      <alignment horizontal="center" vertical="center"/>
      <protection hidden="1"/>
    </xf>
    <xf numFmtId="0" fontId="26" fillId="0" borderId="33" xfId="1" applyFont="1" applyBorder="1" applyAlignment="1" applyProtection="1">
      <alignment horizontal="center" vertical="center" wrapText="1"/>
      <protection hidden="1"/>
    </xf>
    <xf numFmtId="0" fontId="26" fillId="0" borderId="6" xfId="1" applyFont="1" applyBorder="1" applyAlignment="1" applyProtection="1">
      <alignment horizontal="center" vertical="center" wrapText="1"/>
      <protection hidden="1"/>
    </xf>
    <xf numFmtId="0" fontId="26" fillId="0" borderId="32" xfId="1" applyFont="1" applyBorder="1" applyAlignment="1" applyProtection="1">
      <alignment horizontal="center" vertical="center"/>
      <protection hidden="1"/>
    </xf>
    <xf numFmtId="0" fontId="26" fillId="0" borderId="52" xfId="1" applyFont="1" applyBorder="1" applyAlignment="1" applyProtection="1">
      <alignment horizontal="center" vertical="center"/>
      <protection hidden="1"/>
    </xf>
    <xf numFmtId="0" fontId="26" fillId="0" borderId="42" xfId="1" applyFont="1" applyBorder="1" applyAlignment="1" applyProtection="1">
      <alignment horizontal="center" vertical="center" wrapText="1"/>
      <protection hidden="1"/>
    </xf>
    <xf numFmtId="0" fontId="26" fillId="0" borderId="31" xfId="1" applyFont="1" applyBorder="1" applyAlignment="1" applyProtection="1">
      <alignment horizontal="center" vertical="center"/>
      <protection hidden="1"/>
    </xf>
    <xf numFmtId="0" fontId="26" fillId="0" borderId="51" xfId="1" applyFont="1" applyBorder="1" applyAlignment="1" applyProtection="1">
      <alignment horizontal="center" vertical="center"/>
      <protection hidden="1"/>
    </xf>
    <xf numFmtId="0" fontId="26" fillId="0" borderId="40" xfId="1" applyFont="1" applyBorder="1" applyAlignment="1" applyProtection="1">
      <alignment horizontal="center" vertical="center" wrapText="1"/>
      <protection hidden="1"/>
    </xf>
    <xf numFmtId="0" fontId="26" fillId="0" borderId="35" xfId="1" applyFont="1" applyBorder="1" applyAlignment="1" applyProtection="1">
      <alignment horizontal="center" vertical="center" wrapText="1"/>
      <protection hidden="1"/>
    </xf>
    <xf numFmtId="0" fontId="26" fillId="0" borderId="39" xfId="1" applyFont="1" applyBorder="1" applyAlignment="1" applyProtection="1">
      <alignment horizontal="center" vertical="center"/>
      <protection hidden="1"/>
    </xf>
    <xf numFmtId="0" fontId="26" fillId="0" borderId="34" xfId="1" applyFont="1" applyBorder="1" applyAlignment="1" applyProtection="1">
      <alignment horizontal="center" vertical="center"/>
      <protection hidden="1"/>
    </xf>
    <xf numFmtId="0" fontId="26" fillId="0" borderId="4" xfId="1" applyFont="1" applyBorder="1" applyAlignment="1" applyProtection="1">
      <alignment horizontal="center" vertical="center"/>
      <protection hidden="1"/>
    </xf>
    <xf numFmtId="0" fontId="26" fillId="0" borderId="3" xfId="1" applyFont="1" applyBorder="1" applyAlignment="1" applyProtection="1">
      <alignment horizontal="center" vertical="center"/>
      <protection hidden="1"/>
    </xf>
    <xf numFmtId="0" fontId="26" fillId="0" borderId="33" xfId="1" applyFont="1" applyBorder="1" applyAlignment="1" applyProtection="1">
      <alignment horizontal="center" vertical="center"/>
      <protection hidden="1"/>
    </xf>
    <xf numFmtId="0" fontId="26" fillId="0" borderId="6" xfId="1" applyFont="1" applyBorder="1" applyAlignment="1" applyProtection="1">
      <alignment horizontal="center" vertical="center"/>
      <protection hidden="1"/>
    </xf>
    <xf numFmtId="0" fontId="26" fillId="0" borderId="30" xfId="1" applyFont="1" applyBorder="1" applyAlignment="1" applyProtection="1">
      <alignment horizontal="center" wrapText="1"/>
      <protection hidden="1"/>
    </xf>
    <xf numFmtId="0" fontId="26" fillId="0" borderId="26" xfId="1" applyFont="1" applyBorder="1" applyAlignment="1" applyProtection="1">
      <alignment horizontal="center" wrapText="1"/>
      <protection hidden="1"/>
    </xf>
    <xf numFmtId="0" fontId="26" fillId="0" borderId="58" xfId="1" applyFont="1" applyBorder="1" applyAlignment="1" applyProtection="1">
      <alignment horizontal="center" vertical="center"/>
      <protection hidden="1"/>
    </xf>
    <xf numFmtId="0" fontId="26" fillId="0" borderId="42" xfId="1" applyFont="1" applyBorder="1" applyAlignment="1" applyProtection="1">
      <alignment horizontal="center" vertical="center"/>
      <protection hidden="1"/>
    </xf>
    <xf numFmtId="0" fontId="26" fillId="0" borderId="40" xfId="1" applyFont="1" applyBorder="1" applyAlignment="1" applyProtection="1">
      <alignment horizontal="center" vertical="center"/>
      <protection hidden="1"/>
    </xf>
    <xf numFmtId="0" fontId="26" fillId="0" borderId="35" xfId="1" applyFont="1" applyBorder="1" applyAlignment="1" applyProtection="1">
      <alignment horizontal="center" vertical="center"/>
      <protection hidden="1"/>
    </xf>
    <xf numFmtId="0" fontId="26" fillId="0" borderId="38" xfId="1" applyFont="1" applyBorder="1" applyAlignment="1" applyProtection="1">
      <alignment horizontal="center" vertical="center"/>
      <protection hidden="1"/>
    </xf>
    <xf numFmtId="0" fontId="26" fillId="0" borderId="54" xfId="1" applyFont="1" applyBorder="1" applyAlignment="1" applyProtection="1">
      <alignment horizontal="center" vertical="center"/>
      <protection hidden="1"/>
    </xf>
    <xf numFmtId="0" fontId="26" fillId="0" borderId="53" xfId="1" applyFont="1" applyBorder="1" applyAlignment="1" applyProtection="1">
      <alignment horizontal="center" vertical="center"/>
      <protection hidden="1"/>
    </xf>
    <xf numFmtId="168" fontId="26" fillId="0" borderId="32" xfId="1" applyNumberFormat="1" applyFont="1" applyBorder="1" applyAlignment="1" applyProtection="1">
      <alignment horizontal="center" vertical="center"/>
      <protection hidden="1"/>
    </xf>
    <xf numFmtId="168" fontId="26" fillId="0" borderId="52" xfId="1" applyNumberFormat="1" applyFont="1" applyBorder="1" applyAlignment="1" applyProtection="1">
      <alignment horizontal="center" vertical="center"/>
      <protection hidden="1"/>
    </xf>
  </cellXfs>
  <cellStyles count="7">
    <cellStyle name="Comma 2" xfId="3" xr:uid="{AB16B9ED-A02C-4392-A944-3DF92D05CCA5}"/>
    <cellStyle name="Comma 3" xfId="6" xr:uid="{3714CC24-DBF4-486E-A97B-782EC3D043D3}"/>
    <cellStyle name="Normal" xfId="0" builtinId="0"/>
    <cellStyle name="Normal 2" xfId="1" xr:uid="{DD94CF48-ABDE-4613-9B93-8CF5A1C61C61}"/>
    <cellStyle name="Normal 2 2" xfId="2" xr:uid="{66358EBF-C8B3-4378-AE17-CB272D9FBCCF}"/>
    <cellStyle name="Normal 2 3" xfId="4" xr:uid="{ACD39997-F396-4237-AD03-DEF8F9D1644B}"/>
    <cellStyle name="Normal 3 2" xfId="5" xr:uid="{25137648-5884-4C7D-B927-847D26C155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1066800</xdr:colOff>
          <xdr:row>0</xdr:row>
          <xdr:rowOff>0</xdr:rowOff>
        </xdr:from>
        <xdr:to>
          <xdr:col>1</xdr:col>
          <xdr:colOff>628650</xdr:colOff>
          <xdr:row>5</xdr:row>
          <xdr:rowOff>9525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142875</xdr:colOff>
          <xdr:row>0</xdr:row>
          <xdr:rowOff>0</xdr:rowOff>
        </xdr:from>
        <xdr:to>
          <xdr:col>1</xdr:col>
          <xdr:colOff>952500</xdr:colOff>
          <xdr:row>5</xdr:row>
          <xdr:rowOff>9525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419100</xdr:colOff>
          <xdr:row>0</xdr:row>
          <xdr:rowOff>85725</xdr:rowOff>
        </xdr:from>
        <xdr:to>
          <xdr:col>1</xdr:col>
          <xdr:colOff>1504950</xdr:colOff>
          <xdr:row>6</xdr:row>
          <xdr:rowOff>9525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LIKASI%20KEUANGAN%20TAHUN%202025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AITRAFA\BENDAHARA\2024\RANCANGAN%20ANGGARAN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ENDAHARA\2026\SEMESTER%201\DATA%20EXCEL\TES%20IM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DOORSCRIEFT2"/>
      <sheetName val="BATANG TUBUH2"/>
      <sheetName val="BELANJA PERBULAN"/>
      <sheetName val="PENDAPATAN PERBULAN"/>
      <sheetName val="KOMP. BELANJA"/>
      <sheetName val="KOMP. PENDAPATAN"/>
      <sheetName val="SUB SEKSI"/>
      <sheetName val="REKON"/>
      <sheetName val="DATA BASE"/>
      <sheetName val="DATA BASE2"/>
      <sheetName val="MATA ANGGARAN PENDAPATAN"/>
      <sheetName val="MATA ANGGARAN PENGELUARAN"/>
      <sheetName val="SUB SEKSI PENDAPATAN"/>
      <sheetName val="SUB SEKSI PENGELUARAN"/>
    </sheetNames>
    <sheetDataSet>
      <sheetData sheetId="0"/>
      <sheetData sheetId="1"/>
      <sheetData sheetId="2"/>
      <sheetData sheetId="3">
        <row r="158">
          <cell r="Q158">
            <v>490780936</v>
          </cell>
        </row>
        <row r="159">
          <cell r="Q159">
            <v>23858716</v>
          </cell>
        </row>
      </sheetData>
      <sheetData sheetId="4">
        <row r="7">
          <cell r="Q7">
            <v>24986352</v>
          </cell>
        </row>
        <row r="11">
          <cell r="Q11">
            <v>0</v>
          </cell>
        </row>
        <row r="12">
          <cell r="Q12">
            <v>0</v>
          </cell>
        </row>
        <row r="13">
          <cell r="Q13">
            <v>0</v>
          </cell>
        </row>
        <row r="183">
          <cell r="Q183">
            <v>514639652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3">
          <cell r="D13">
            <v>5806500</v>
          </cell>
        </row>
        <row r="17">
          <cell r="D17">
            <v>0</v>
          </cell>
        </row>
        <row r="23">
          <cell r="D23">
            <v>338000000</v>
          </cell>
        </row>
        <row r="25">
          <cell r="D25">
            <v>66000000</v>
          </cell>
        </row>
        <row r="27">
          <cell r="D27">
            <v>90000000</v>
          </cell>
        </row>
        <row r="28">
          <cell r="D28">
            <v>4000000</v>
          </cell>
        </row>
        <row r="29">
          <cell r="D29">
            <v>0</v>
          </cell>
        </row>
        <row r="30">
          <cell r="D30">
            <v>200000</v>
          </cell>
        </row>
        <row r="31">
          <cell r="D31">
            <v>100000</v>
          </cell>
        </row>
        <row r="32">
          <cell r="D32">
            <v>250000</v>
          </cell>
        </row>
        <row r="33">
          <cell r="D33">
            <v>500000</v>
          </cell>
        </row>
        <row r="34">
          <cell r="D34">
            <v>0</v>
          </cell>
        </row>
        <row r="35">
          <cell r="D35">
            <v>500000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200000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40000000</v>
          </cell>
        </row>
        <row r="45">
          <cell r="D45">
            <v>10350000</v>
          </cell>
        </row>
        <row r="46">
          <cell r="D46">
            <v>67584000</v>
          </cell>
        </row>
        <row r="47">
          <cell r="D47">
            <v>12000000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14000000</v>
          </cell>
        </row>
        <row r="51">
          <cell r="D51">
            <v>37000000</v>
          </cell>
        </row>
        <row r="52">
          <cell r="D52">
            <v>10000000</v>
          </cell>
        </row>
        <row r="53">
          <cell r="D53">
            <v>4000000</v>
          </cell>
        </row>
        <row r="54">
          <cell r="D54">
            <v>11000000</v>
          </cell>
        </row>
        <row r="55">
          <cell r="D55">
            <v>30000000</v>
          </cell>
        </row>
        <row r="56">
          <cell r="D56">
            <v>27000000</v>
          </cell>
        </row>
        <row r="57">
          <cell r="D57">
            <v>6300000</v>
          </cell>
        </row>
        <row r="59">
          <cell r="D59">
            <v>3000000</v>
          </cell>
        </row>
        <row r="60">
          <cell r="D60">
            <v>400000</v>
          </cell>
        </row>
        <row r="61">
          <cell r="D61">
            <v>1000000</v>
          </cell>
        </row>
        <row r="62">
          <cell r="D62">
            <v>20000000</v>
          </cell>
        </row>
        <row r="63">
          <cell r="D63">
            <v>21000000</v>
          </cell>
        </row>
        <row r="64">
          <cell r="D64">
            <v>2500000</v>
          </cell>
        </row>
        <row r="65">
          <cell r="D65">
            <v>4000000</v>
          </cell>
        </row>
        <row r="66">
          <cell r="D66">
            <v>0</v>
          </cell>
        </row>
        <row r="67">
          <cell r="D67">
            <v>3000000</v>
          </cell>
        </row>
        <row r="68">
          <cell r="D68">
            <v>2500000</v>
          </cell>
        </row>
        <row r="69">
          <cell r="D69">
            <v>11000000</v>
          </cell>
        </row>
        <row r="70">
          <cell r="D70">
            <v>25000000</v>
          </cell>
        </row>
        <row r="71">
          <cell r="D71">
            <v>9000000</v>
          </cell>
        </row>
        <row r="72">
          <cell r="D72">
            <v>9000000</v>
          </cell>
        </row>
        <row r="73">
          <cell r="D73">
            <v>4500000</v>
          </cell>
        </row>
        <row r="74">
          <cell r="D74">
            <v>2500000</v>
          </cell>
        </row>
        <row r="75">
          <cell r="D75">
            <v>30000000</v>
          </cell>
        </row>
        <row r="76">
          <cell r="D76">
            <v>9000000</v>
          </cell>
        </row>
        <row r="77">
          <cell r="D77">
            <v>4000000</v>
          </cell>
        </row>
        <row r="78">
          <cell r="D78">
            <v>4500000</v>
          </cell>
        </row>
        <row r="79">
          <cell r="D79">
            <v>18000000</v>
          </cell>
        </row>
        <row r="80">
          <cell r="D80">
            <v>10000000</v>
          </cell>
        </row>
        <row r="81">
          <cell r="D81">
            <v>30000000</v>
          </cell>
        </row>
        <row r="82">
          <cell r="D82">
            <v>0</v>
          </cell>
        </row>
        <row r="83">
          <cell r="D83">
            <v>5000000</v>
          </cell>
        </row>
        <row r="84">
          <cell r="D84">
            <v>1500000</v>
          </cell>
        </row>
        <row r="85">
          <cell r="D85">
            <v>750000</v>
          </cell>
        </row>
        <row r="86">
          <cell r="D86">
            <v>2000000</v>
          </cell>
        </row>
        <row r="87">
          <cell r="D87">
            <v>700000</v>
          </cell>
        </row>
        <row r="88">
          <cell r="D88">
            <v>500000</v>
          </cell>
        </row>
        <row r="89">
          <cell r="D89">
            <v>200000</v>
          </cell>
        </row>
        <row r="90">
          <cell r="D90">
            <v>40000000</v>
          </cell>
        </row>
        <row r="91">
          <cell r="D91">
            <v>99370000</v>
          </cell>
        </row>
        <row r="94">
          <cell r="D94">
            <v>750000000</v>
          </cell>
        </row>
        <row r="95">
          <cell r="D95">
            <v>2000000</v>
          </cell>
        </row>
        <row r="98">
          <cell r="D98">
            <v>19750000</v>
          </cell>
        </row>
        <row r="102">
          <cell r="D102">
            <v>0</v>
          </cell>
        </row>
        <row r="109">
          <cell r="D109">
            <v>0</v>
          </cell>
        </row>
        <row r="110">
          <cell r="D110">
            <v>0</v>
          </cell>
        </row>
        <row r="111">
          <cell r="D111">
            <v>0</v>
          </cell>
        </row>
        <row r="112">
          <cell r="D112">
            <v>0</v>
          </cell>
        </row>
        <row r="113">
          <cell r="D113">
            <v>0</v>
          </cell>
        </row>
        <row r="114">
          <cell r="D114">
            <v>0</v>
          </cell>
        </row>
        <row r="116">
          <cell r="D116">
            <v>0</v>
          </cell>
        </row>
        <row r="117">
          <cell r="D117">
            <v>0</v>
          </cell>
        </row>
        <row r="121">
          <cell r="D121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31">
          <cell r="D131">
            <v>0</v>
          </cell>
        </row>
        <row r="132">
          <cell r="D132">
            <v>0</v>
          </cell>
        </row>
        <row r="134">
          <cell r="D134">
            <v>0</v>
          </cell>
        </row>
        <row r="135">
          <cell r="D135">
            <v>0</v>
          </cell>
        </row>
        <row r="139">
          <cell r="D139">
            <v>0</v>
          </cell>
        </row>
        <row r="141">
          <cell r="D141">
            <v>0</v>
          </cell>
        </row>
        <row r="142">
          <cell r="D142">
            <v>0</v>
          </cell>
        </row>
        <row r="144">
          <cell r="D144">
            <v>0</v>
          </cell>
        </row>
        <row r="145">
          <cell r="D145">
            <v>0</v>
          </cell>
        </row>
        <row r="146">
          <cell r="D146">
            <v>24150000</v>
          </cell>
        </row>
        <row r="150">
          <cell r="D150">
            <v>0</v>
          </cell>
        </row>
        <row r="152">
          <cell r="D152">
            <v>0</v>
          </cell>
        </row>
        <row r="154">
          <cell r="D154">
            <v>0</v>
          </cell>
        </row>
        <row r="155">
          <cell r="D155">
            <v>0</v>
          </cell>
        </row>
        <row r="156">
          <cell r="D156">
            <v>0</v>
          </cell>
        </row>
        <row r="158">
          <cell r="D158">
            <v>0</v>
          </cell>
        </row>
        <row r="159">
          <cell r="D159">
            <v>0</v>
          </cell>
        </row>
        <row r="160">
          <cell r="D160">
            <v>0</v>
          </cell>
        </row>
        <row r="166">
          <cell r="D166">
            <v>200000</v>
          </cell>
        </row>
        <row r="167">
          <cell r="D167">
            <v>0</v>
          </cell>
        </row>
        <row r="171">
          <cell r="D171">
            <v>0</v>
          </cell>
        </row>
        <row r="172">
          <cell r="D172">
            <v>0</v>
          </cell>
        </row>
        <row r="173">
          <cell r="D173">
            <v>0</v>
          </cell>
        </row>
        <row r="174">
          <cell r="D174">
            <v>27000000</v>
          </cell>
        </row>
        <row r="177">
          <cell r="D177">
            <v>0</v>
          </cell>
        </row>
        <row r="178">
          <cell r="D178">
            <v>0</v>
          </cell>
        </row>
        <row r="179">
          <cell r="D179">
            <v>36569068</v>
          </cell>
        </row>
        <row r="185">
          <cell r="D185">
            <v>0</v>
          </cell>
        </row>
        <row r="186">
          <cell r="D186">
            <v>0</v>
          </cell>
        </row>
        <row r="187">
          <cell r="D187">
            <v>0</v>
          </cell>
        </row>
        <row r="188">
          <cell r="D188">
            <v>0</v>
          </cell>
        </row>
        <row r="189">
          <cell r="D189">
            <v>0</v>
          </cell>
        </row>
        <row r="190">
          <cell r="D19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3">
          <cell r="D193">
            <v>0</v>
          </cell>
        </row>
        <row r="194">
          <cell r="D194">
            <v>0</v>
          </cell>
        </row>
        <row r="208">
          <cell r="D208">
            <v>0</v>
          </cell>
        </row>
        <row r="209">
          <cell r="D209">
            <v>0</v>
          </cell>
        </row>
        <row r="213">
          <cell r="D213">
            <v>676486296</v>
          </cell>
        </row>
        <row r="214">
          <cell r="D214">
            <v>22549548</v>
          </cell>
        </row>
        <row r="215">
          <cell r="D215">
            <v>124473480</v>
          </cell>
        </row>
        <row r="216">
          <cell r="D216">
            <v>0</v>
          </cell>
        </row>
        <row r="217">
          <cell r="D217">
            <v>3000000</v>
          </cell>
        </row>
        <row r="219">
          <cell r="D219">
            <v>6480000</v>
          </cell>
        </row>
        <row r="224">
          <cell r="D224">
            <v>18850000</v>
          </cell>
        </row>
        <row r="231">
          <cell r="D231">
            <v>36000000</v>
          </cell>
        </row>
        <row r="233">
          <cell r="D233">
            <v>2000000</v>
          </cell>
        </row>
        <row r="234">
          <cell r="D234">
            <v>230400000</v>
          </cell>
        </row>
        <row r="242">
          <cell r="D242">
            <v>4800000</v>
          </cell>
        </row>
        <row r="243">
          <cell r="D243">
            <v>36000000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20750000</v>
          </cell>
        </row>
        <row r="254">
          <cell r="D254">
            <v>18601000</v>
          </cell>
        </row>
        <row r="259">
          <cell r="D259">
            <v>3000000</v>
          </cell>
        </row>
        <row r="260">
          <cell r="D260">
            <v>43200000</v>
          </cell>
        </row>
        <row r="263">
          <cell r="D263">
            <v>1000000</v>
          </cell>
        </row>
        <row r="264">
          <cell r="D264">
            <v>0</v>
          </cell>
        </row>
        <row r="265">
          <cell r="D265">
            <v>1520000</v>
          </cell>
        </row>
        <row r="268">
          <cell r="D268">
            <v>52000000</v>
          </cell>
        </row>
        <row r="277">
          <cell r="D277">
            <v>9000000</v>
          </cell>
        </row>
        <row r="284">
          <cell r="D284">
            <v>45000000</v>
          </cell>
        </row>
        <row r="287">
          <cell r="D287">
            <v>0</v>
          </cell>
        </row>
        <row r="288">
          <cell r="D288">
            <v>8500000</v>
          </cell>
        </row>
        <row r="292">
          <cell r="D292">
            <v>750000</v>
          </cell>
        </row>
        <row r="293">
          <cell r="D293">
            <v>24000000</v>
          </cell>
        </row>
        <row r="296">
          <cell r="D296">
            <v>5000000</v>
          </cell>
        </row>
        <row r="299">
          <cell r="D299">
            <v>6000000</v>
          </cell>
        </row>
        <row r="300">
          <cell r="D300">
            <v>2000000</v>
          </cell>
        </row>
        <row r="301">
          <cell r="D301">
            <v>7500000</v>
          </cell>
        </row>
        <row r="304">
          <cell r="D304">
            <v>5000000</v>
          </cell>
        </row>
        <row r="307">
          <cell r="D307">
            <v>17000000</v>
          </cell>
        </row>
        <row r="308">
          <cell r="D308">
            <v>2000000</v>
          </cell>
        </row>
        <row r="309">
          <cell r="D309">
            <v>0</v>
          </cell>
        </row>
        <row r="316">
          <cell r="D316">
            <v>31642500</v>
          </cell>
        </row>
        <row r="338">
          <cell r="D338">
            <v>6250000</v>
          </cell>
        </row>
        <row r="348">
          <cell r="D348">
            <v>17500000</v>
          </cell>
        </row>
        <row r="368">
          <cell r="D368">
            <v>16100000</v>
          </cell>
        </row>
        <row r="390">
          <cell r="D390">
            <v>17735000</v>
          </cell>
        </row>
        <row r="399">
          <cell r="D399">
            <v>8840000</v>
          </cell>
        </row>
        <row r="411">
          <cell r="D411">
            <v>2000000</v>
          </cell>
        </row>
        <row r="419">
          <cell r="D419">
            <v>2200000</v>
          </cell>
        </row>
        <row r="430">
          <cell r="D430">
            <v>14850000</v>
          </cell>
        </row>
        <row r="448">
          <cell r="D448">
            <v>6100000</v>
          </cell>
        </row>
        <row r="453">
          <cell r="D453">
            <v>0</v>
          </cell>
        </row>
        <row r="455">
          <cell r="D455">
            <v>0</v>
          </cell>
        </row>
        <row r="460">
          <cell r="D460">
            <v>0</v>
          </cell>
        </row>
        <row r="461">
          <cell r="D461">
            <v>0</v>
          </cell>
        </row>
        <row r="466">
          <cell r="D466">
            <v>0</v>
          </cell>
        </row>
        <row r="467">
          <cell r="D467">
            <v>1000000</v>
          </cell>
        </row>
        <row r="471">
          <cell r="D471">
            <v>1000000</v>
          </cell>
        </row>
        <row r="479">
          <cell r="D479">
            <v>0</v>
          </cell>
        </row>
        <row r="485">
          <cell r="D485">
            <v>0</v>
          </cell>
        </row>
        <row r="487">
          <cell r="D487">
            <v>0</v>
          </cell>
        </row>
        <row r="488">
          <cell r="D488">
            <v>0</v>
          </cell>
        </row>
        <row r="490">
          <cell r="D490">
            <v>0</v>
          </cell>
        </row>
        <row r="491">
          <cell r="D491">
            <v>1200000</v>
          </cell>
        </row>
        <row r="494">
          <cell r="D494">
            <v>5000000</v>
          </cell>
        </row>
        <row r="497">
          <cell r="D497">
            <v>48000000</v>
          </cell>
        </row>
        <row r="509">
          <cell r="D509">
            <v>0</v>
          </cell>
        </row>
        <row r="523">
          <cell r="D523">
            <v>4760000</v>
          </cell>
        </row>
        <row r="530">
          <cell r="D530">
            <v>1700000</v>
          </cell>
        </row>
        <row r="535">
          <cell r="D535">
            <v>0</v>
          </cell>
        </row>
        <row r="537">
          <cell r="D537">
            <v>0</v>
          </cell>
        </row>
        <row r="542">
          <cell r="D542">
            <v>0</v>
          </cell>
        </row>
        <row r="543">
          <cell r="D543">
            <v>0</v>
          </cell>
        </row>
        <row r="548">
          <cell r="D548">
            <v>0</v>
          </cell>
        </row>
        <row r="549">
          <cell r="D549">
            <v>0</v>
          </cell>
        </row>
        <row r="553">
          <cell r="D553">
            <v>78900000</v>
          </cell>
        </row>
        <row r="576">
          <cell r="D576">
            <v>4800000</v>
          </cell>
        </row>
        <row r="577">
          <cell r="D577">
            <v>0</v>
          </cell>
        </row>
        <row r="578">
          <cell r="D578">
            <v>22500000</v>
          </cell>
        </row>
        <row r="580">
          <cell r="D580">
            <v>15000000</v>
          </cell>
        </row>
        <row r="581">
          <cell r="D581">
            <v>211280000</v>
          </cell>
        </row>
        <row r="597">
          <cell r="D597">
            <v>10000000</v>
          </cell>
        </row>
        <row r="598">
          <cell r="D598">
            <v>0</v>
          </cell>
        </row>
        <row r="599">
          <cell r="D599">
            <v>18000000</v>
          </cell>
        </row>
        <row r="604">
          <cell r="D604">
            <v>30266500</v>
          </cell>
        </row>
        <row r="608">
          <cell r="D608">
            <v>10000000</v>
          </cell>
        </row>
        <row r="609">
          <cell r="D609">
            <v>10000000</v>
          </cell>
        </row>
        <row r="614">
          <cell r="D614">
            <v>0</v>
          </cell>
        </row>
        <row r="615">
          <cell r="D615">
            <v>0</v>
          </cell>
        </row>
        <row r="616">
          <cell r="D616">
            <v>0</v>
          </cell>
        </row>
        <row r="617">
          <cell r="D617">
            <v>0</v>
          </cell>
        </row>
        <row r="618">
          <cell r="D618">
            <v>0</v>
          </cell>
        </row>
        <row r="619">
          <cell r="D619">
            <v>0</v>
          </cell>
        </row>
        <row r="620">
          <cell r="D620">
            <v>0</v>
          </cell>
        </row>
        <row r="621">
          <cell r="D621">
            <v>0</v>
          </cell>
        </row>
        <row r="622">
          <cell r="D622">
            <v>0</v>
          </cell>
        </row>
        <row r="623">
          <cell r="D623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ORSCRIEFT"/>
    </sheetNames>
    <sheetDataSet>
      <sheetData sheetId="0">
        <row r="2">
          <cell r="A2" t="str">
            <v>I.1.1.011</v>
          </cell>
          <cell r="C2">
            <v>46023</v>
          </cell>
          <cell r="D2" t="str">
            <v>Sisa Belanja Tahun Anggaran 2025</v>
          </cell>
          <cell r="E2" t="str">
            <v>I.1.1.01</v>
          </cell>
          <cell r="F2">
            <v>24986352</v>
          </cell>
        </row>
        <row r="3">
          <cell r="A3" t="str">
            <v>I.2.2.01.0011</v>
          </cell>
          <cell r="B3">
            <v>1</v>
          </cell>
          <cell r="C3">
            <v>46023</v>
          </cell>
          <cell r="D3" t="str">
            <v>Kolekta Kebaktian Minggu Gereja Baitrafa dan SK</v>
          </cell>
          <cell r="E3" t="str">
            <v>I.2.2.01.001</v>
          </cell>
          <cell r="F3">
            <v>8335000</v>
          </cell>
        </row>
        <row r="4">
          <cell r="A4" t="str">
            <v>I.2.3.011</v>
          </cell>
          <cell r="B4">
            <v>2</v>
          </cell>
          <cell r="C4">
            <v>46023</v>
          </cell>
          <cell r="D4" t="str">
            <v>Persembahan Persepuluhan gereja Baitrafa dan SK</v>
          </cell>
          <cell r="E4" t="str">
            <v>I.2.3.01</v>
          </cell>
          <cell r="F4">
            <v>4774000</v>
          </cell>
        </row>
        <row r="5">
          <cell r="A5" t="str">
            <v>II.5.1.071</v>
          </cell>
          <cell r="B5">
            <v>3</v>
          </cell>
          <cell r="C5">
            <v>46023</v>
          </cell>
          <cell r="D5" t="str">
            <v>Belanja Kebaktian Minggu</v>
          </cell>
          <cell r="E5" t="str">
            <v>II.5.1.07</v>
          </cell>
          <cell r="G5">
            <v>1325000</v>
          </cell>
        </row>
        <row r="6">
          <cell r="A6" t="str">
            <v>II.5.1.101</v>
          </cell>
          <cell r="B6">
            <v>4</v>
          </cell>
          <cell r="C6">
            <v>46023</v>
          </cell>
          <cell r="D6" t="str">
            <v>Belanja Bulan Tugas Januari</v>
          </cell>
          <cell r="E6" t="str">
            <v>II.5.1.10</v>
          </cell>
          <cell r="G6">
            <v>650000</v>
          </cell>
        </row>
        <row r="7">
          <cell r="A7" t="str">
            <v>II.5.1.061</v>
          </cell>
          <cell r="B7">
            <v>5</v>
          </cell>
          <cell r="C7">
            <v>46023</v>
          </cell>
          <cell r="D7" t="str">
            <v>Sumbangan Pelayanan Duka Alm. Oma Nel Rering</v>
          </cell>
          <cell r="E7" t="str">
            <v>II.5.1.06</v>
          </cell>
          <cell r="G7">
            <v>500000</v>
          </cell>
        </row>
        <row r="8">
          <cell r="A8" t="str">
            <v>I.2.2.02.0011</v>
          </cell>
          <cell r="B8">
            <v>6</v>
          </cell>
          <cell r="C8">
            <v>46023</v>
          </cell>
          <cell r="D8" t="str">
            <v>Kolekta HUT Lahir</v>
          </cell>
          <cell r="E8" t="str">
            <v>I.2.2.02.001</v>
          </cell>
          <cell r="F8">
            <v>445000</v>
          </cell>
        </row>
        <row r="9">
          <cell r="A9" t="str">
            <v>I.2.2.02.0021</v>
          </cell>
          <cell r="B9">
            <v>7</v>
          </cell>
          <cell r="C9">
            <v>46023</v>
          </cell>
          <cell r="D9" t="str">
            <v>Kolekta HUT Nikah</v>
          </cell>
          <cell r="E9" t="str">
            <v>I.2.2.02.002</v>
          </cell>
          <cell r="F9">
            <v>384000</v>
          </cell>
        </row>
        <row r="10">
          <cell r="A10" t="str">
            <v>I.2.2.02.0351</v>
          </cell>
          <cell r="B10">
            <v>8</v>
          </cell>
          <cell r="C10">
            <v>46023</v>
          </cell>
          <cell r="D10" t="str">
            <v>Kolekta Pelayanan Org sakit</v>
          </cell>
          <cell r="E10" t="str">
            <v>I.2.2.02.035</v>
          </cell>
          <cell r="F10">
            <v>340000</v>
          </cell>
        </row>
        <row r="11">
          <cell r="A11" t="str">
            <v>I.2.2.02.0381</v>
          </cell>
          <cell r="B11">
            <v>9</v>
          </cell>
          <cell r="C11">
            <v>46023</v>
          </cell>
          <cell r="D11" t="str">
            <v>Kolekta Baptisan Kel. Christofel, Noya</v>
          </cell>
          <cell r="E11" t="str">
            <v>I.2.2.02.038</v>
          </cell>
          <cell r="F11">
            <v>153000</v>
          </cell>
        </row>
        <row r="12">
          <cell r="A12" t="str">
            <v>I.2.2.02.0631</v>
          </cell>
          <cell r="B12">
            <v>10</v>
          </cell>
          <cell r="C12">
            <v>46023</v>
          </cell>
          <cell r="D12" t="str">
            <v>Natsar Gumul Keluarga MJ dan Kel. Bpk. Valen Kristian</v>
          </cell>
          <cell r="E12" t="str">
            <v>I.2.2.02.063</v>
          </cell>
          <cell r="F12">
            <v>549000</v>
          </cell>
        </row>
        <row r="13">
          <cell r="A13" t="str">
            <v>I.2.2.02.0041</v>
          </cell>
          <cell r="B13">
            <v>11</v>
          </cell>
          <cell r="C13">
            <v>46023</v>
          </cell>
          <cell r="D13" t="str">
            <v>Kolekta Syukur Duka Kel. Jemy Waisapy dan Kel. Lewakabessy</v>
          </cell>
          <cell r="E13" t="str">
            <v>I.2.2.02.004</v>
          </cell>
          <cell r="F13">
            <v>488000</v>
          </cell>
        </row>
        <row r="14">
          <cell r="A14" t="str">
            <v>0</v>
          </cell>
        </row>
        <row r="15">
          <cell r="A15" t="str">
            <v>0</v>
          </cell>
        </row>
        <row r="16">
          <cell r="A16" t="str">
            <v>0</v>
          </cell>
        </row>
        <row r="17">
          <cell r="A17" t="str">
            <v>0</v>
          </cell>
        </row>
        <row r="18">
          <cell r="A18" t="str">
            <v>0</v>
          </cell>
        </row>
        <row r="19">
          <cell r="A19" t="str">
            <v>0</v>
          </cell>
        </row>
        <row r="20">
          <cell r="A20" t="str">
            <v>0</v>
          </cell>
        </row>
        <row r="21">
          <cell r="A21" t="str">
            <v>0</v>
          </cell>
        </row>
        <row r="22">
          <cell r="A22" t="str">
            <v>0</v>
          </cell>
        </row>
        <row r="23">
          <cell r="A23" t="str">
            <v>0</v>
          </cell>
        </row>
        <row r="24">
          <cell r="A24" t="str">
            <v>0</v>
          </cell>
        </row>
        <row r="25">
          <cell r="A25" t="str">
            <v>0</v>
          </cell>
        </row>
        <row r="26">
          <cell r="A26" t="str">
            <v>0</v>
          </cell>
        </row>
        <row r="28">
          <cell r="C28" t="str">
            <v>JUMLAH TANGGAL</v>
          </cell>
          <cell r="F28">
            <v>15468000</v>
          </cell>
          <cell r="G28">
            <v>2475000</v>
          </cell>
        </row>
        <row r="29">
          <cell r="C29" t="str">
            <v>HARI INI</v>
          </cell>
        </row>
        <row r="30">
          <cell r="C30" t="str">
            <v>JUMLAH S/D TANGGAL</v>
          </cell>
          <cell r="F30">
            <v>24986352</v>
          </cell>
          <cell r="G30">
            <v>0</v>
          </cell>
        </row>
        <row r="31">
          <cell r="C31" t="str">
            <v>TOTAL</v>
          </cell>
          <cell r="F31">
            <v>40454352</v>
          </cell>
          <cell r="G31">
            <v>2475000</v>
          </cell>
        </row>
        <row r="33">
          <cell r="C33" t="str">
            <v>SISA</v>
          </cell>
          <cell r="D33">
            <v>37979352</v>
          </cell>
        </row>
        <row r="35">
          <cell r="A35" t="str">
            <v>KODE BANTU</v>
          </cell>
          <cell r="B35" t="str">
            <v>NO</v>
          </cell>
          <cell r="C35" t="str">
            <v>JANUARI</v>
          </cell>
          <cell r="D35" t="str">
            <v>URAIAN</v>
          </cell>
          <cell r="E35" t="str">
            <v>KODE ANGGARAN</v>
          </cell>
          <cell r="F35" t="str">
            <v>PENERIMAAN</v>
          </cell>
          <cell r="G35" t="str">
            <v>PENGELUARAN</v>
          </cell>
        </row>
        <row r="36">
          <cell r="A36" t="str">
            <v>I.2.2.01.0021</v>
          </cell>
          <cell r="B36">
            <v>12</v>
          </cell>
          <cell r="C36">
            <v>46026</v>
          </cell>
          <cell r="D36" t="str">
            <v>Kolekta Kebaktian Minggu Perjamuan Gereja Baitrafa dan SK</v>
          </cell>
          <cell r="E36" t="str">
            <v>I.2.2.01.002</v>
          </cell>
          <cell r="F36">
            <v>19538000</v>
          </cell>
        </row>
        <row r="37">
          <cell r="A37" t="str">
            <v>I.2.2.01.0022</v>
          </cell>
          <cell r="B37">
            <v>13</v>
          </cell>
          <cell r="C37">
            <v>46026</v>
          </cell>
          <cell r="D37" t="str">
            <v>Kolekta Perjamuan Rumah Sektor</v>
          </cell>
          <cell r="E37" t="str">
            <v>I.2.2.01.002</v>
          </cell>
          <cell r="F37">
            <v>2773000</v>
          </cell>
        </row>
        <row r="38">
          <cell r="A38" t="str">
            <v>I.2.2.02.0641</v>
          </cell>
          <cell r="B38">
            <v>14</v>
          </cell>
          <cell r="C38">
            <v>46026</v>
          </cell>
          <cell r="D38" t="str">
            <v>Kolekta Syukur Kel. NN</v>
          </cell>
          <cell r="E38" t="str">
            <v>I.2.2.02.064</v>
          </cell>
          <cell r="F38">
            <v>20000</v>
          </cell>
        </row>
        <row r="39">
          <cell r="A39" t="str">
            <v>I.2.2.01.0023</v>
          </cell>
          <cell r="B39">
            <v>15</v>
          </cell>
          <cell r="C39">
            <v>46026</v>
          </cell>
          <cell r="D39" t="str">
            <v>Kolekta Syukur Perjamuan Kudus Gereja Baitrafa dan SK</v>
          </cell>
          <cell r="E39" t="str">
            <v>I.2.2.01.002</v>
          </cell>
          <cell r="F39">
            <v>6723000</v>
          </cell>
        </row>
        <row r="40">
          <cell r="A40" t="str">
            <v>I.2.3.012</v>
          </cell>
          <cell r="B40">
            <v>16</v>
          </cell>
          <cell r="C40">
            <v>46026</v>
          </cell>
          <cell r="D40" t="str">
            <v>Persepuluhan Gereja Baitrafa dan SK</v>
          </cell>
          <cell r="E40" t="str">
            <v>I.2.3.01</v>
          </cell>
          <cell r="F40">
            <v>5045500</v>
          </cell>
        </row>
        <row r="41">
          <cell r="A41" t="str">
            <v>II.5.1.072</v>
          </cell>
          <cell r="B41">
            <v>17</v>
          </cell>
          <cell r="C41">
            <v>46026</v>
          </cell>
          <cell r="D41" t="str">
            <v>Belanja Pelayanan Kebaktian Minggu</v>
          </cell>
          <cell r="E41" t="str">
            <v>II.5.1.07</v>
          </cell>
          <cell r="G41">
            <v>3900000</v>
          </cell>
        </row>
        <row r="42">
          <cell r="A42" t="str">
            <v>II.5.1.073</v>
          </cell>
          <cell r="B42">
            <v>18</v>
          </cell>
          <cell r="C42">
            <v>46026</v>
          </cell>
          <cell r="D42" t="str">
            <v>Biaya Sewa 4 mobil untuk pelayanan perjamuan rumah</v>
          </cell>
          <cell r="E42" t="str">
            <v>II.5.1.07</v>
          </cell>
          <cell r="G42">
            <v>800000</v>
          </cell>
        </row>
        <row r="43">
          <cell r="A43" t="str">
            <v>II.5.1.074</v>
          </cell>
          <cell r="B43">
            <v>19</v>
          </cell>
          <cell r="C43">
            <v>46026</v>
          </cell>
          <cell r="D43" t="str">
            <v>Biaya Jaga Malam Persiapan Perjamuan</v>
          </cell>
          <cell r="E43" t="str">
            <v>II.5.1.07</v>
          </cell>
          <cell r="G43">
            <v>200000</v>
          </cell>
        </row>
        <row r="44">
          <cell r="A44" t="str">
            <v>II.5.1.062</v>
          </cell>
          <cell r="B44">
            <v>20</v>
          </cell>
          <cell r="C44">
            <v>46026</v>
          </cell>
          <cell r="D44" t="str">
            <v>Sumbangan Pelayanan Org sakit 9 orang</v>
          </cell>
          <cell r="E44" t="str">
            <v>II.5.1.06</v>
          </cell>
          <cell r="G44">
            <v>2700000</v>
          </cell>
        </row>
        <row r="45">
          <cell r="A45" t="str">
            <v>II.3.1.1.01.0051</v>
          </cell>
          <cell r="B45">
            <v>21</v>
          </cell>
          <cell r="C45">
            <v>46026</v>
          </cell>
          <cell r="D45" t="str">
            <v>Beli Buku SHK, Bina Khotbah dan Bina Umat dan Transport</v>
          </cell>
          <cell r="E45" t="str">
            <v>II.3.1.1.01.005</v>
          </cell>
          <cell r="G45">
            <v>650000</v>
          </cell>
        </row>
        <row r="46">
          <cell r="A46" t="str">
            <v>I.5.2.021</v>
          </cell>
          <cell r="B46">
            <v>22</v>
          </cell>
          <cell r="C46">
            <v>46026</v>
          </cell>
          <cell r="D46" t="str">
            <v>Sisa uang Bazar Ikan Tuna</v>
          </cell>
          <cell r="E46" t="str">
            <v>I.5.2.02</v>
          </cell>
          <cell r="F46">
            <v>1400000</v>
          </cell>
        </row>
        <row r="47">
          <cell r="A47" t="str">
            <v>0</v>
          </cell>
        </row>
        <row r="48">
          <cell r="A48" t="str">
            <v>0</v>
          </cell>
        </row>
        <row r="49">
          <cell r="A49" t="str">
            <v>0</v>
          </cell>
        </row>
        <row r="50">
          <cell r="A50" t="str">
            <v>0</v>
          </cell>
        </row>
        <row r="51">
          <cell r="A51" t="str">
            <v>0</v>
          </cell>
        </row>
        <row r="52">
          <cell r="A52" t="str">
            <v>0</v>
          </cell>
        </row>
        <row r="53">
          <cell r="A53" t="str">
            <v>0</v>
          </cell>
        </row>
        <row r="54">
          <cell r="A54" t="str">
            <v>0</v>
          </cell>
        </row>
        <row r="55">
          <cell r="A55" t="str">
            <v>0</v>
          </cell>
        </row>
        <row r="56">
          <cell r="A56" t="str">
            <v>0</v>
          </cell>
        </row>
        <row r="57">
          <cell r="A57" t="str">
            <v>0</v>
          </cell>
        </row>
        <row r="58">
          <cell r="A58" t="str">
            <v>0</v>
          </cell>
        </row>
        <row r="59">
          <cell r="A59" t="str">
            <v>0</v>
          </cell>
        </row>
        <row r="60">
          <cell r="A60" t="str">
            <v>0</v>
          </cell>
        </row>
        <row r="62">
          <cell r="C62" t="str">
            <v>JUMLAH TANGGAL</v>
          </cell>
          <cell r="F62">
            <v>35499500</v>
          </cell>
          <cell r="G62">
            <v>8250000</v>
          </cell>
        </row>
        <row r="63">
          <cell r="C63" t="str">
            <v>HARI INI</v>
          </cell>
        </row>
        <row r="64">
          <cell r="C64" t="str">
            <v>JUMLAH S/D TANGGAL</v>
          </cell>
          <cell r="F64">
            <v>40454352</v>
          </cell>
          <cell r="G64">
            <v>2475000</v>
          </cell>
        </row>
        <row r="65">
          <cell r="C65" t="str">
            <v>TOTAL</v>
          </cell>
          <cell r="F65">
            <v>75953852</v>
          </cell>
          <cell r="G65">
            <v>10725000</v>
          </cell>
        </row>
        <row r="67">
          <cell r="C67" t="str">
            <v>SISA</v>
          </cell>
          <cell r="D67">
            <v>65228852</v>
          </cell>
        </row>
        <row r="69">
          <cell r="A69" t="str">
            <v>KODE BANTU</v>
          </cell>
          <cell r="B69" t="str">
            <v>NO</v>
          </cell>
          <cell r="C69" t="str">
            <v>JANUARI</v>
          </cell>
          <cell r="D69" t="str">
            <v>URAIAN</v>
          </cell>
          <cell r="E69" t="str">
            <v>KODE ANGGARAN</v>
          </cell>
          <cell r="F69" t="str">
            <v>PENERIMAAN</v>
          </cell>
          <cell r="G69" t="str">
            <v>PENGELUARAN</v>
          </cell>
        </row>
        <row r="70">
          <cell r="A70" t="str">
            <v>II.2.5.051</v>
          </cell>
          <cell r="B70">
            <v>23</v>
          </cell>
          <cell r="C70">
            <v>46028</v>
          </cell>
          <cell r="D70" t="str">
            <v>Beli Pertalite untuk mobil gereja</v>
          </cell>
          <cell r="E70" t="str">
            <v>II.2.5.05</v>
          </cell>
          <cell r="G70">
            <v>300000</v>
          </cell>
        </row>
        <row r="71">
          <cell r="A71" t="str">
            <v>II.2.5.031</v>
          </cell>
          <cell r="B71">
            <v>24</v>
          </cell>
          <cell r="C71">
            <v>46028</v>
          </cell>
          <cell r="D71" t="str">
            <v>Biaya Kerja Speaker Gereja SK</v>
          </cell>
          <cell r="E71" t="str">
            <v>II.2.5.03</v>
          </cell>
          <cell r="G71">
            <v>300000</v>
          </cell>
        </row>
        <row r="72">
          <cell r="A72" t="str">
            <v>I.5.2.022</v>
          </cell>
          <cell r="B72">
            <v>25</v>
          </cell>
          <cell r="C72">
            <v>46028</v>
          </cell>
          <cell r="D72" t="str">
            <v>Pengembalian Sisa Uang Belanja Natal SMTPI, HUT SMTPI, dan Natal Pengasuh</v>
          </cell>
          <cell r="E72" t="str">
            <v>I.5.2.02</v>
          </cell>
          <cell r="F72">
            <v>951000</v>
          </cell>
        </row>
        <row r="73">
          <cell r="A73" t="str">
            <v>I.5.2.023</v>
          </cell>
          <cell r="B73">
            <v>26</v>
          </cell>
          <cell r="C73">
            <v>46028</v>
          </cell>
          <cell r="D73" t="str">
            <v>Pengembalian sisa uang belanja perbaikan speaker Gereja SK</v>
          </cell>
          <cell r="E73" t="str">
            <v>I.5.2.02</v>
          </cell>
          <cell r="F73">
            <v>600000</v>
          </cell>
        </row>
        <row r="74">
          <cell r="A74" t="str">
            <v>II.5.1.031</v>
          </cell>
          <cell r="B74">
            <v>27</v>
          </cell>
          <cell r="C74">
            <v>46028</v>
          </cell>
          <cell r="D74" t="str">
            <v>Biaya Pemeriksaan oleh tim Verifikasi</v>
          </cell>
          <cell r="E74" t="str">
            <v>II.5.1.03</v>
          </cell>
          <cell r="G74">
            <v>1500000</v>
          </cell>
        </row>
        <row r="75">
          <cell r="A75" t="str">
            <v>II.5.1.032</v>
          </cell>
          <cell r="B75">
            <v>28</v>
          </cell>
          <cell r="C75">
            <v>46028</v>
          </cell>
          <cell r="D75" t="str">
            <v>Biaya Makan Tim Verifikasi dan MJ</v>
          </cell>
          <cell r="E75" t="str">
            <v>II.5.1.03</v>
          </cell>
          <cell r="G75">
            <v>1270000</v>
          </cell>
        </row>
        <row r="76">
          <cell r="A76" t="str">
            <v>II.5.1.111</v>
          </cell>
          <cell r="B76">
            <v>29</v>
          </cell>
          <cell r="C76">
            <v>46028</v>
          </cell>
          <cell r="D76" t="str">
            <v>Biaya Tanggungan Ikan Bakar di Klasis</v>
          </cell>
          <cell r="E76" t="str">
            <v>II.5.1.11</v>
          </cell>
          <cell r="G76">
            <v>520000</v>
          </cell>
        </row>
        <row r="77">
          <cell r="A77" t="str">
            <v>II.5.1.102</v>
          </cell>
          <cell r="B77">
            <v>30</v>
          </cell>
          <cell r="C77">
            <v>46028</v>
          </cell>
          <cell r="D77" t="str">
            <v>Beli Lilin</v>
          </cell>
          <cell r="E77" t="str">
            <v>II.5.1.10</v>
          </cell>
          <cell r="G77">
            <v>85000</v>
          </cell>
        </row>
        <row r="78">
          <cell r="A78" t="str">
            <v>0</v>
          </cell>
        </row>
        <row r="79">
          <cell r="A79" t="str">
            <v>0</v>
          </cell>
        </row>
        <row r="80">
          <cell r="A80" t="str">
            <v>0</v>
          </cell>
        </row>
        <row r="81">
          <cell r="A81" t="str">
            <v>0</v>
          </cell>
        </row>
        <row r="82">
          <cell r="A82" t="str">
            <v>0</v>
          </cell>
        </row>
        <row r="83">
          <cell r="A83" t="str">
            <v>0</v>
          </cell>
        </row>
        <row r="84">
          <cell r="A84" t="str">
            <v>0</v>
          </cell>
        </row>
        <row r="85">
          <cell r="A85" t="str">
            <v>0</v>
          </cell>
        </row>
        <row r="86">
          <cell r="A86" t="str">
            <v>0</v>
          </cell>
        </row>
        <row r="87">
          <cell r="A87" t="str">
            <v>0</v>
          </cell>
        </row>
        <row r="88">
          <cell r="A88" t="str">
            <v>0</v>
          </cell>
        </row>
        <row r="89">
          <cell r="A89" t="str">
            <v>0</v>
          </cell>
        </row>
        <row r="90">
          <cell r="A90" t="str">
            <v>0</v>
          </cell>
        </row>
        <row r="91">
          <cell r="A91" t="str">
            <v>0</v>
          </cell>
        </row>
        <row r="92">
          <cell r="A92" t="str">
            <v>0</v>
          </cell>
        </row>
        <row r="93">
          <cell r="A93" t="str">
            <v>0</v>
          </cell>
        </row>
        <row r="94">
          <cell r="A94" t="str">
            <v>0</v>
          </cell>
        </row>
        <row r="96">
          <cell r="C96" t="str">
            <v>JUMLAH TANGGAL</v>
          </cell>
          <cell r="F96">
            <v>1551000</v>
          </cell>
          <cell r="G96">
            <v>3975000</v>
          </cell>
        </row>
        <row r="97">
          <cell r="C97" t="str">
            <v>HARI INI</v>
          </cell>
        </row>
        <row r="98">
          <cell r="C98" t="str">
            <v>JUMLAH S/D TANGGAL</v>
          </cell>
          <cell r="F98">
            <v>75953852</v>
          </cell>
          <cell r="G98">
            <v>10725000</v>
          </cell>
        </row>
        <row r="99">
          <cell r="C99" t="str">
            <v>TOTAL</v>
          </cell>
          <cell r="F99">
            <v>77504852</v>
          </cell>
          <cell r="G99">
            <v>14700000</v>
          </cell>
        </row>
        <row r="101">
          <cell r="C101" t="str">
            <v>SISA</v>
          </cell>
          <cell r="D101">
            <v>62804852</v>
          </cell>
        </row>
        <row r="103">
          <cell r="A103" t="str">
            <v>KODE BANTU</v>
          </cell>
          <cell r="B103" t="str">
            <v>NO</v>
          </cell>
          <cell r="C103" t="str">
            <v>JANUARI</v>
          </cell>
          <cell r="D103" t="str">
            <v>URAIAN</v>
          </cell>
          <cell r="E103" t="str">
            <v>KODE ANGGARAN</v>
          </cell>
          <cell r="F103" t="str">
            <v>PENERIMAAN</v>
          </cell>
          <cell r="G103" t="str">
            <v>PENGELUARAN</v>
          </cell>
        </row>
        <row r="104">
          <cell r="A104" t="str">
            <v>I.2.2.02.0012</v>
          </cell>
          <cell r="B104">
            <v>31</v>
          </cell>
          <cell r="C104">
            <v>46031</v>
          </cell>
          <cell r="D104" t="str">
            <v>Kolekta Syukur HUT Lahir</v>
          </cell>
          <cell r="E104" t="str">
            <v>I.2.2.02.001</v>
          </cell>
          <cell r="F104">
            <v>2215000</v>
          </cell>
        </row>
        <row r="105">
          <cell r="A105" t="str">
            <v>I.2.2.02.0022</v>
          </cell>
          <cell r="B105">
            <v>32</v>
          </cell>
          <cell r="C105">
            <v>46031</v>
          </cell>
          <cell r="D105" t="str">
            <v>Kolekta Syukur HUT Nikah</v>
          </cell>
          <cell r="E105" t="str">
            <v>I.2.2.02.002</v>
          </cell>
          <cell r="F105">
            <v>555000</v>
          </cell>
        </row>
        <row r="106">
          <cell r="A106" t="str">
            <v>I.2.2.02.0352</v>
          </cell>
          <cell r="B106">
            <v>33</v>
          </cell>
          <cell r="C106">
            <v>46031</v>
          </cell>
          <cell r="D106" t="str">
            <v>Kolekta Pelayanan Orang sakit Imanuel 2, Petra 3 dan Kalvari 4</v>
          </cell>
          <cell r="E106" t="str">
            <v>I.2.2.02.035</v>
          </cell>
          <cell r="F106">
            <v>130000</v>
          </cell>
        </row>
        <row r="107">
          <cell r="A107" t="str">
            <v>I.2.2.02.0191</v>
          </cell>
          <cell r="B107">
            <v>34</v>
          </cell>
          <cell r="C107">
            <v>46031</v>
          </cell>
          <cell r="D107" t="str">
            <v>Kolekta Kebaktian Sektor</v>
          </cell>
          <cell r="E107" t="str">
            <v>I.2.2.02.019</v>
          </cell>
          <cell r="F107">
            <v>2278000</v>
          </cell>
        </row>
        <row r="108">
          <cell r="A108" t="str">
            <v>I.2.2.02.0632</v>
          </cell>
          <cell r="B108">
            <v>35</v>
          </cell>
          <cell r="C108">
            <v>46031</v>
          </cell>
          <cell r="D108" t="str">
            <v>Kolekta Natsar Gumul keluarga</v>
          </cell>
          <cell r="E108" t="str">
            <v>I.2.2.02.063</v>
          </cell>
          <cell r="F108">
            <v>601000</v>
          </cell>
        </row>
        <row r="109">
          <cell r="A109" t="str">
            <v>I.2.2.02.0642</v>
          </cell>
          <cell r="B109">
            <v>36</v>
          </cell>
          <cell r="C109">
            <v>46031</v>
          </cell>
          <cell r="D109" t="str">
            <v>Kolekta Syukur Keluarga</v>
          </cell>
          <cell r="E109" t="str">
            <v>I.2.2.02.064</v>
          </cell>
          <cell r="F109">
            <v>1075000</v>
          </cell>
        </row>
        <row r="110">
          <cell r="A110" t="str">
            <v>I.2.2.02.0221</v>
          </cell>
          <cell r="B110">
            <v>37</v>
          </cell>
          <cell r="C110">
            <v>46031</v>
          </cell>
          <cell r="D110" t="str">
            <v>Kolekta Buka Tutup Usbu Pemerntah Negeri Suli</v>
          </cell>
          <cell r="E110" t="str">
            <v>I.2.2.02.022</v>
          </cell>
          <cell r="F110">
            <v>100000</v>
          </cell>
        </row>
        <row r="111">
          <cell r="A111" t="str">
            <v>I.2.2.02.0411</v>
          </cell>
          <cell r="B111">
            <v>38</v>
          </cell>
          <cell r="C111">
            <v>46031</v>
          </cell>
          <cell r="D111" t="str">
            <v>Kolekta Pergembalaan Nikah Adi dan Vara</v>
          </cell>
          <cell r="E111" t="str">
            <v>I.2.2.02.041</v>
          </cell>
          <cell r="F111">
            <v>54000</v>
          </cell>
        </row>
        <row r="112">
          <cell r="A112" t="str">
            <v>0</v>
          </cell>
        </row>
        <row r="113">
          <cell r="A113" t="str">
            <v>0</v>
          </cell>
        </row>
        <row r="114">
          <cell r="A114" t="str">
            <v>0</v>
          </cell>
        </row>
        <row r="115">
          <cell r="A115" t="str">
            <v>0</v>
          </cell>
        </row>
        <row r="116">
          <cell r="A116" t="str">
            <v>0</v>
          </cell>
        </row>
        <row r="117">
          <cell r="A117" t="str">
            <v>0</v>
          </cell>
        </row>
        <row r="118">
          <cell r="A118" t="str">
            <v>0</v>
          </cell>
        </row>
        <row r="119">
          <cell r="A119" t="str">
            <v>0</v>
          </cell>
        </row>
        <row r="120">
          <cell r="A120" t="str">
            <v>0</v>
          </cell>
        </row>
        <row r="121">
          <cell r="A121" t="str">
            <v>0</v>
          </cell>
        </row>
        <row r="122">
          <cell r="A122" t="str">
            <v>0</v>
          </cell>
        </row>
        <row r="123">
          <cell r="A123" t="str">
            <v>0</v>
          </cell>
        </row>
        <row r="124">
          <cell r="A124" t="str">
            <v>0</v>
          </cell>
        </row>
        <row r="125">
          <cell r="A125" t="str">
            <v>0</v>
          </cell>
        </row>
        <row r="126">
          <cell r="A126" t="str">
            <v>0</v>
          </cell>
        </row>
        <row r="127">
          <cell r="A127" t="str">
            <v>0</v>
          </cell>
        </row>
        <row r="128">
          <cell r="A128" t="str">
            <v>0</v>
          </cell>
        </row>
        <row r="130">
          <cell r="C130" t="str">
            <v>JUMLAH TANGGAL</v>
          </cell>
          <cell r="F130">
            <v>7008000</v>
          </cell>
          <cell r="G130">
            <v>0</v>
          </cell>
        </row>
        <row r="131">
          <cell r="C131" t="str">
            <v>HARI INI</v>
          </cell>
        </row>
        <row r="132">
          <cell r="C132" t="str">
            <v>JUMLAH S/D TANGGAL</v>
          </cell>
          <cell r="F132">
            <v>77504852</v>
          </cell>
          <cell r="G132">
            <v>14700000</v>
          </cell>
        </row>
        <row r="133">
          <cell r="C133" t="str">
            <v>TOTAL</v>
          </cell>
          <cell r="F133">
            <v>84512852</v>
          </cell>
          <cell r="G133">
            <v>14700000</v>
          </cell>
        </row>
        <row r="135">
          <cell r="C135" t="str">
            <v>SISA</v>
          </cell>
          <cell r="D135">
            <v>69812852</v>
          </cell>
        </row>
        <row r="137">
          <cell r="A137" t="str">
            <v>KODE BANTU</v>
          </cell>
          <cell r="B137" t="str">
            <v>NO</v>
          </cell>
          <cell r="C137" t="str">
            <v>JANUARI</v>
          </cell>
          <cell r="D137" t="str">
            <v>URAIAN</v>
          </cell>
          <cell r="E137" t="str">
            <v>KODE ANGGARAN</v>
          </cell>
          <cell r="F137" t="str">
            <v>PENERIMAAN</v>
          </cell>
          <cell r="G137" t="str">
            <v>PENGELUARAN</v>
          </cell>
        </row>
        <row r="138">
          <cell r="A138" t="str">
            <v>I.2.2.01.0012</v>
          </cell>
          <cell r="B138">
            <v>39</v>
          </cell>
          <cell r="C138">
            <v>46033</v>
          </cell>
          <cell r="D138" t="str">
            <v>Kolekta Kebaktan Minggu Gereja Baitrafa dan SK</v>
          </cell>
          <cell r="E138" t="str">
            <v>I.2.2.01.001</v>
          </cell>
          <cell r="F138">
            <v>7514000</v>
          </cell>
        </row>
        <row r="139">
          <cell r="A139" t="str">
            <v>I.2.3.013</v>
          </cell>
          <cell r="B139">
            <v>40</v>
          </cell>
          <cell r="C139">
            <v>46033</v>
          </cell>
          <cell r="D139" t="str">
            <v>Persembahan Persepuluhan Gereja Baitrafa dan SK</v>
          </cell>
          <cell r="E139" t="str">
            <v>I.2.3.01</v>
          </cell>
          <cell r="F139">
            <v>14566000</v>
          </cell>
        </row>
        <row r="140">
          <cell r="A140" t="str">
            <v>I.2.3.014</v>
          </cell>
          <cell r="B140">
            <v>41</v>
          </cell>
          <cell r="C140">
            <v>46033</v>
          </cell>
          <cell r="D140" t="str">
            <v>Persembahan Perpuluhan Sdr. Ian Sitanala</v>
          </cell>
          <cell r="E140" t="str">
            <v>I.2.3.01</v>
          </cell>
          <cell r="F140">
            <v>750000</v>
          </cell>
        </row>
        <row r="141">
          <cell r="A141" t="str">
            <v>II.5.1.075</v>
          </cell>
          <cell r="B141">
            <v>42</v>
          </cell>
          <cell r="C141">
            <v>46033</v>
          </cell>
          <cell r="D141" t="str">
            <v>Belanja Kebaktian minggu</v>
          </cell>
          <cell r="E141" t="str">
            <v>II.5.1.07</v>
          </cell>
          <cell r="G141">
            <v>1525000</v>
          </cell>
        </row>
        <row r="142">
          <cell r="A142" t="str">
            <v>II.5.1.011</v>
          </cell>
          <cell r="B142">
            <v>43</v>
          </cell>
          <cell r="C142">
            <v>46033</v>
          </cell>
          <cell r="D142" t="str">
            <v>Sumbangan Pelayanan Sakit 14 orang</v>
          </cell>
          <cell r="E142" t="str">
            <v>II.5.1.01</v>
          </cell>
          <cell r="G142">
            <v>4300000</v>
          </cell>
        </row>
        <row r="143">
          <cell r="A143" t="str">
            <v>II.3.1.1.02.0021</v>
          </cell>
          <cell r="B143">
            <v>44</v>
          </cell>
          <cell r="C143">
            <v>46033</v>
          </cell>
          <cell r="D143" t="str">
            <v>Sumbangan Pelayanan Lapas 4 orang</v>
          </cell>
          <cell r="E143" t="str">
            <v>II.3.1.1.02.002</v>
          </cell>
          <cell r="G143">
            <v>400000</v>
          </cell>
        </row>
        <row r="144">
          <cell r="A144" t="str">
            <v>II.2.5.032</v>
          </cell>
          <cell r="B144">
            <v>45</v>
          </cell>
          <cell r="C144">
            <v>46033</v>
          </cell>
          <cell r="D144" t="str">
            <v>Biaya Cuci Pakaian Gereja</v>
          </cell>
          <cell r="E144" t="str">
            <v>II.2.5.03</v>
          </cell>
          <cell r="G144">
            <v>100000</v>
          </cell>
        </row>
        <row r="145">
          <cell r="A145" t="str">
            <v>II.2.2.021</v>
          </cell>
          <cell r="B145">
            <v>46</v>
          </cell>
          <cell r="C145">
            <v>46033</v>
          </cell>
          <cell r="D145" t="str">
            <v>Biaya Lembur Kerja Keuangan 2x</v>
          </cell>
          <cell r="E145" t="str">
            <v>II.2.2.02</v>
          </cell>
          <cell r="G145">
            <v>200000</v>
          </cell>
        </row>
        <row r="146">
          <cell r="A146" t="str">
            <v>II.5.1.076</v>
          </cell>
          <cell r="B146">
            <v>47</v>
          </cell>
          <cell r="C146">
            <v>46033</v>
          </cell>
          <cell r="D146" t="str">
            <v>Biaya Sewa Mobil Angkut Aksesoris Nikah</v>
          </cell>
          <cell r="E146" t="str">
            <v>II.5.1.07</v>
          </cell>
          <cell r="G146">
            <v>50000</v>
          </cell>
        </row>
        <row r="147">
          <cell r="A147" t="str">
            <v>II.2.5.052</v>
          </cell>
          <cell r="B147">
            <v>48</v>
          </cell>
          <cell r="C147">
            <v>46033</v>
          </cell>
          <cell r="D147" t="str">
            <v>Beli Pertamax untuk mobil Gereja</v>
          </cell>
          <cell r="E147" t="str">
            <v>II.2.5.05</v>
          </cell>
          <cell r="G147">
            <v>300000</v>
          </cell>
        </row>
        <row r="148">
          <cell r="A148" t="str">
            <v>I.2.2.02.0251</v>
          </cell>
          <cell r="B148">
            <v>49</v>
          </cell>
          <cell r="C148">
            <v>46033</v>
          </cell>
          <cell r="D148" t="str">
            <v>Kolekta SMTPI</v>
          </cell>
          <cell r="E148" t="str">
            <v>I.2.2.02.025</v>
          </cell>
          <cell r="F148">
            <v>1248000</v>
          </cell>
        </row>
        <row r="149">
          <cell r="A149" t="str">
            <v>I.2.2.02.0311</v>
          </cell>
          <cell r="B149">
            <v>50</v>
          </cell>
          <cell r="C149">
            <v>46033</v>
          </cell>
          <cell r="D149" t="str">
            <v>Kolekta Kebaktian Pengasuh SMTPI</v>
          </cell>
          <cell r="E149" t="str">
            <v>I.2.2.02.031</v>
          </cell>
          <cell r="F149">
            <v>180000</v>
          </cell>
        </row>
        <row r="150">
          <cell r="A150" t="str">
            <v>I.2.2.02.0643</v>
          </cell>
          <cell r="B150">
            <v>51</v>
          </cell>
          <cell r="C150">
            <v>46033</v>
          </cell>
          <cell r="D150" t="str">
            <v>Kolekta Syukur akhir tahun Kel. Tahapary</v>
          </cell>
          <cell r="E150" t="str">
            <v>I.2.2.02.064</v>
          </cell>
          <cell r="F150">
            <v>170000</v>
          </cell>
        </row>
        <row r="151">
          <cell r="A151" t="str">
            <v>I.2.2.02.0633</v>
          </cell>
          <cell r="B151">
            <v>52</v>
          </cell>
          <cell r="C151">
            <v>46033</v>
          </cell>
          <cell r="D151" t="str">
            <v>Kolekta Pergumulan MJ</v>
          </cell>
          <cell r="E151" t="str">
            <v>I.2.2.02.063</v>
          </cell>
          <cell r="F151">
            <v>176000</v>
          </cell>
        </row>
        <row r="152">
          <cell r="A152" t="str">
            <v>I.2.2.02.0634</v>
          </cell>
          <cell r="B152">
            <v>53</v>
          </cell>
          <cell r="C152">
            <v>46033</v>
          </cell>
          <cell r="D152" t="str">
            <v>Kolekta Pergumulan MJ dan Perangkata Pelayan</v>
          </cell>
          <cell r="E152" t="str">
            <v>I.2.2.02.063</v>
          </cell>
          <cell r="F152">
            <v>730000</v>
          </cell>
        </row>
        <row r="153">
          <cell r="A153" t="str">
            <v>I.2.2.02.0635</v>
          </cell>
          <cell r="B153">
            <v>54</v>
          </cell>
          <cell r="C153">
            <v>46033</v>
          </cell>
          <cell r="D153" t="str">
            <v>Kolekta Pergumulan AMGPM persiapan Konfercab</v>
          </cell>
          <cell r="E153" t="str">
            <v>I.2.2.02.063</v>
          </cell>
          <cell r="F153">
            <v>150000</v>
          </cell>
        </row>
        <row r="154">
          <cell r="A154" t="str">
            <v>I.2.2.02.0644</v>
          </cell>
          <cell r="B154">
            <v>55</v>
          </cell>
          <cell r="C154">
            <v>46033</v>
          </cell>
          <cell r="D154" t="str">
            <v>Kolekta Syukur Kel. Matita</v>
          </cell>
          <cell r="E154" t="str">
            <v>I.2.2.02.064</v>
          </cell>
          <cell r="F154">
            <v>180000</v>
          </cell>
        </row>
        <row r="155">
          <cell r="A155" t="str">
            <v>I.2.2.02.0261</v>
          </cell>
          <cell r="B155">
            <v>56</v>
          </cell>
          <cell r="C155">
            <v>46033</v>
          </cell>
          <cell r="D155" t="str">
            <v>Kolekta Katekisasi Gereja SK</v>
          </cell>
          <cell r="E155" t="str">
            <v>I.2.2.02.026</v>
          </cell>
          <cell r="F155">
            <v>99000</v>
          </cell>
        </row>
        <row r="156">
          <cell r="A156" t="str">
            <v>0</v>
          </cell>
        </row>
        <row r="157">
          <cell r="A157" t="str">
            <v>0</v>
          </cell>
        </row>
        <row r="158">
          <cell r="A158" t="str">
            <v>0</v>
          </cell>
        </row>
        <row r="159">
          <cell r="A159" t="str">
            <v>0</v>
          </cell>
        </row>
        <row r="160">
          <cell r="A160" t="str">
            <v>0</v>
          </cell>
        </row>
        <row r="161">
          <cell r="A161" t="str">
            <v>0</v>
          </cell>
        </row>
        <row r="162">
          <cell r="A162" t="str">
            <v>0</v>
          </cell>
        </row>
        <row r="164">
          <cell r="C164" t="str">
            <v>JUMLAH TANGGAL</v>
          </cell>
          <cell r="F164">
            <v>25763000</v>
          </cell>
          <cell r="G164">
            <v>6875000</v>
          </cell>
        </row>
        <row r="165">
          <cell r="C165" t="str">
            <v>HARI INI</v>
          </cell>
        </row>
        <row r="166">
          <cell r="C166" t="str">
            <v>JUMLAH S/D TANGGAL</v>
          </cell>
          <cell r="F166">
            <v>84512852</v>
          </cell>
          <cell r="G166">
            <v>14700000</v>
          </cell>
        </row>
        <row r="167">
          <cell r="C167" t="str">
            <v>TOTAL</v>
          </cell>
          <cell r="F167">
            <v>110275852</v>
          </cell>
          <cell r="G167">
            <v>21575000</v>
          </cell>
        </row>
        <row r="169">
          <cell r="C169" t="str">
            <v>SISA</v>
          </cell>
          <cell r="D169">
            <v>88700852</v>
          </cell>
        </row>
        <row r="171">
          <cell r="A171" t="str">
            <v>KODE BANTU</v>
          </cell>
          <cell r="B171" t="str">
            <v>NO</v>
          </cell>
          <cell r="C171" t="str">
            <v>JANUARI</v>
          </cell>
          <cell r="D171" t="str">
            <v>URAIAN</v>
          </cell>
          <cell r="E171" t="str">
            <v>KODE ANGGARAN</v>
          </cell>
          <cell r="F171" t="str">
            <v>PENERIMAAN</v>
          </cell>
          <cell r="G171" t="str">
            <v>PENGELUARAN</v>
          </cell>
        </row>
        <row r="172">
          <cell r="A172" t="str">
            <v>I.2.2.02.0636</v>
          </cell>
          <cell r="B172">
            <v>57</v>
          </cell>
          <cell r="C172">
            <v>46038</v>
          </cell>
          <cell r="D172" t="str">
            <v>Natsar Gumul Keluarga Ibu Stin Watimena</v>
          </cell>
          <cell r="E172" t="str">
            <v>I.2.2.02.063</v>
          </cell>
          <cell r="F172">
            <v>50000</v>
          </cell>
        </row>
        <row r="173">
          <cell r="A173" t="str">
            <v>I.2.2.02.0222</v>
          </cell>
          <cell r="B173">
            <v>58</v>
          </cell>
          <cell r="C173">
            <v>46038</v>
          </cell>
          <cell r="D173" t="str">
            <v>Kolekta Buka Usbu Pemerintah Negeri</v>
          </cell>
          <cell r="E173" t="str">
            <v>I.2.2.02.022</v>
          </cell>
          <cell r="F173">
            <v>50000</v>
          </cell>
        </row>
        <row r="174">
          <cell r="A174" t="str">
            <v>I.2.4.011</v>
          </cell>
          <cell r="B174">
            <v>59</v>
          </cell>
          <cell r="C174">
            <v>46038</v>
          </cell>
          <cell r="D174" t="str">
            <v>Admin Nikah Kel. Tahalea Pattirane</v>
          </cell>
          <cell r="E174" t="str">
            <v>I.2.4.01</v>
          </cell>
          <cell r="F174">
            <v>500000</v>
          </cell>
        </row>
        <row r="175">
          <cell r="A175" t="str">
            <v>I.2.2.02.0412</v>
          </cell>
          <cell r="B175">
            <v>60</v>
          </cell>
          <cell r="C175">
            <v>46038</v>
          </cell>
          <cell r="D175" t="str">
            <v>Kolekta Pergembalaan Nikah Kel. Tahalea Pattirane</v>
          </cell>
          <cell r="E175" t="str">
            <v>I.2.2.02.041</v>
          </cell>
          <cell r="F175">
            <v>40000</v>
          </cell>
        </row>
        <row r="176">
          <cell r="A176" t="str">
            <v>I.2.2.02.0421</v>
          </cell>
          <cell r="B176">
            <v>61</v>
          </cell>
          <cell r="C176">
            <v>46038</v>
          </cell>
          <cell r="D176" t="str">
            <v>Kolekta Pemberkatan Nikah Kel. Tahalea dan Pattirane</v>
          </cell>
          <cell r="E176" t="str">
            <v>I.2.2.02.042</v>
          </cell>
          <cell r="F176">
            <v>407000</v>
          </cell>
        </row>
        <row r="177">
          <cell r="A177" t="str">
            <v>I.2.2.02.0262</v>
          </cell>
          <cell r="B177">
            <v>62</v>
          </cell>
          <cell r="C177">
            <v>46038</v>
          </cell>
          <cell r="D177" t="str">
            <v>Kolekta katekisasi Gereja Baitrafa</v>
          </cell>
          <cell r="E177" t="str">
            <v>I.2.2.02.026</v>
          </cell>
          <cell r="F177">
            <v>61000</v>
          </cell>
        </row>
        <row r="178">
          <cell r="A178" t="str">
            <v>II.2.1.011</v>
          </cell>
          <cell r="B178">
            <v>63</v>
          </cell>
          <cell r="C178">
            <v>46038</v>
          </cell>
          <cell r="D178" t="str">
            <v>Tanggungan Pengembangan Institusi (30%) bulan januari</v>
          </cell>
          <cell r="E178" t="str">
            <v>II.2.1.01</v>
          </cell>
          <cell r="G178">
            <v>47818813</v>
          </cell>
        </row>
        <row r="179">
          <cell r="A179" t="str">
            <v>II.2.1.031</v>
          </cell>
          <cell r="B179">
            <v>64</v>
          </cell>
          <cell r="C179">
            <v>46038</v>
          </cell>
          <cell r="D179" t="str">
            <v>Tanggungan 5% - 10% ke Klasis bulan januari</v>
          </cell>
          <cell r="E179" t="str">
            <v>II.2.1.03</v>
          </cell>
          <cell r="G179">
            <v>7698828</v>
          </cell>
        </row>
        <row r="180">
          <cell r="A180" t="str">
            <v>II.2.1.021</v>
          </cell>
          <cell r="B180">
            <v>65</v>
          </cell>
          <cell r="C180">
            <v>46038</v>
          </cell>
          <cell r="D180" t="str">
            <v>Tanggungan 1 % ke YPPK bulan Januari</v>
          </cell>
          <cell r="E180" t="str">
            <v>II.2.1.02</v>
          </cell>
          <cell r="G180">
            <v>1593960</v>
          </cell>
        </row>
        <row r="181">
          <cell r="A181" t="str">
            <v>II.2.1.071</v>
          </cell>
          <cell r="B181">
            <v>66</v>
          </cell>
          <cell r="C181">
            <v>46038</v>
          </cell>
          <cell r="D181" t="str">
            <v>Beli kwitansi dan Doorscrieft</v>
          </cell>
          <cell r="E181" t="str">
            <v>II.2.1.07</v>
          </cell>
          <cell r="G181">
            <v>1225000</v>
          </cell>
        </row>
        <row r="182">
          <cell r="A182" t="str">
            <v>II.5.1.103</v>
          </cell>
          <cell r="B182">
            <v>67</v>
          </cell>
          <cell r="C182">
            <v>46038</v>
          </cell>
          <cell r="D182" t="str">
            <v>Beli sapu untuk Gereja SK</v>
          </cell>
          <cell r="E182" t="str">
            <v>II.5.1.10</v>
          </cell>
          <cell r="G182">
            <v>300000</v>
          </cell>
        </row>
        <row r="183">
          <cell r="A183" t="str">
            <v>II.5.1.077</v>
          </cell>
          <cell r="B183">
            <v>68</v>
          </cell>
          <cell r="C183">
            <v>46038</v>
          </cell>
          <cell r="D183" t="str">
            <v>Biaya sewa mobil ke rumah duka di Tawiri</v>
          </cell>
          <cell r="E183" t="str">
            <v>II.5.1.07</v>
          </cell>
          <cell r="G183">
            <v>250000</v>
          </cell>
        </row>
        <row r="184">
          <cell r="A184" t="str">
            <v>II.2.8.011</v>
          </cell>
          <cell r="B184">
            <v>69</v>
          </cell>
          <cell r="C184">
            <v>46038</v>
          </cell>
          <cell r="D184" t="str">
            <v>biaya transport rekon 3 orang</v>
          </cell>
          <cell r="E184" t="str">
            <v>II.2.8.01</v>
          </cell>
          <cell r="G184">
            <v>600000</v>
          </cell>
        </row>
        <row r="185">
          <cell r="A185" t="str">
            <v>I.2.2.02.0301</v>
          </cell>
          <cell r="B185">
            <v>70</v>
          </cell>
          <cell r="C185">
            <v>46038</v>
          </cell>
          <cell r="D185" t="str">
            <v>Kolekta Kebaktian pelayanan laki laki</v>
          </cell>
          <cell r="E185" t="str">
            <v>I.2.2.02.030</v>
          </cell>
          <cell r="F185">
            <v>960000</v>
          </cell>
        </row>
        <row r="186">
          <cell r="A186" t="str">
            <v>I.2.2.02.0291</v>
          </cell>
          <cell r="B186">
            <v>71</v>
          </cell>
          <cell r="C186">
            <v>46038</v>
          </cell>
          <cell r="D186" t="str">
            <v>Kolekta Kebaktian Pelayanan Perempuan</v>
          </cell>
          <cell r="E186" t="str">
            <v>I.2.2.02.029</v>
          </cell>
          <cell r="F186">
            <v>1714000</v>
          </cell>
        </row>
        <row r="187">
          <cell r="A187" t="str">
            <v>I.2.2.02.0023</v>
          </cell>
          <cell r="B187">
            <v>72</v>
          </cell>
          <cell r="C187">
            <v>46038</v>
          </cell>
          <cell r="D187" t="str">
            <v>Kolekta Kebaktian Syukur HUT Nikah</v>
          </cell>
          <cell r="E187" t="str">
            <v>I.2.2.02.002</v>
          </cell>
          <cell r="F187">
            <v>350000</v>
          </cell>
        </row>
        <row r="188">
          <cell r="A188" t="str">
            <v>0</v>
          </cell>
        </row>
        <row r="189">
          <cell r="A189" t="str">
            <v>0</v>
          </cell>
        </row>
        <row r="190">
          <cell r="A190" t="str">
            <v>0</v>
          </cell>
        </row>
        <row r="191">
          <cell r="A191" t="str">
            <v>0</v>
          </cell>
        </row>
        <row r="192">
          <cell r="A192" t="str">
            <v>0</v>
          </cell>
        </row>
        <row r="193">
          <cell r="A193" t="str">
            <v>0</v>
          </cell>
        </row>
        <row r="194">
          <cell r="A194" t="str">
            <v>0</v>
          </cell>
        </row>
        <row r="195">
          <cell r="A195" t="str">
            <v>0</v>
          </cell>
        </row>
        <row r="196">
          <cell r="A196" t="str">
            <v>0</v>
          </cell>
        </row>
        <row r="198">
          <cell r="C198" t="str">
            <v>JUMLAH TANGGAL</v>
          </cell>
          <cell r="F198">
            <v>4132000</v>
          </cell>
          <cell r="G198">
            <v>59486601</v>
          </cell>
        </row>
        <row r="199">
          <cell r="C199" t="str">
            <v>HARI INI</v>
          </cell>
        </row>
        <row r="200">
          <cell r="C200" t="str">
            <v>JUMLAH S/D TANGGAL</v>
          </cell>
          <cell r="F200">
            <v>110275852</v>
          </cell>
          <cell r="G200">
            <v>21575000</v>
          </cell>
        </row>
        <row r="201">
          <cell r="C201" t="str">
            <v>TOTAL</v>
          </cell>
          <cell r="F201">
            <v>114407852</v>
          </cell>
          <cell r="G201">
            <v>81061601</v>
          </cell>
        </row>
        <row r="203">
          <cell r="C203" t="str">
            <v>SISA</v>
          </cell>
          <cell r="D203">
            <v>33346251</v>
          </cell>
        </row>
        <row r="205">
          <cell r="A205" t="str">
            <v>KODE BANTU</v>
          </cell>
          <cell r="B205" t="str">
            <v>NO</v>
          </cell>
          <cell r="C205" t="str">
            <v>JANUARI</v>
          </cell>
          <cell r="D205" t="str">
            <v>URAIAN</v>
          </cell>
          <cell r="E205" t="str">
            <v>KODE ANGGARAN</v>
          </cell>
          <cell r="F205" t="str">
            <v>PENERIMAAN</v>
          </cell>
          <cell r="G205" t="str">
            <v>PENGELUARAN</v>
          </cell>
        </row>
        <row r="206">
          <cell r="A206" t="str">
            <v>I.2.2.02.0201</v>
          </cell>
          <cell r="B206">
            <v>73</v>
          </cell>
          <cell r="C206">
            <v>46038</v>
          </cell>
          <cell r="D206" t="str">
            <v>Kolekta Kebaktian Unit</v>
          </cell>
          <cell r="E206" t="str">
            <v>I.2.2.02.020</v>
          </cell>
          <cell r="F206">
            <v>2413000</v>
          </cell>
        </row>
        <row r="207">
          <cell r="A207" t="str">
            <v>I.2.2.02.0013</v>
          </cell>
          <cell r="B207">
            <v>74</v>
          </cell>
          <cell r="C207">
            <v>46038</v>
          </cell>
          <cell r="D207" t="str">
            <v>Kolekta Kebaktian Syukur HUT Lahir</v>
          </cell>
          <cell r="E207" t="str">
            <v>I.2.2.02.001</v>
          </cell>
          <cell r="F207">
            <v>2240000</v>
          </cell>
        </row>
        <row r="208">
          <cell r="A208" t="str">
            <v>I.2.2.02.0353</v>
          </cell>
          <cell r="B208">
            <v>75</v>
          </cell>
          <cell r="C208">
            <v>46038</v>
          </cell>
          <cell r="D208" t="str">
            <v>Kolekta Pelayanan Rumah ( sakit )</v>
          </cell>
          <cell r="E208" t="str">
            <v>I.2.2.02.035</v>
          </cell>
          <cell r="F208">
            <v>275000</v>
          </cell>
        </row>
        <row r="209">
          <cell r="A209" t="str">
            <v>0</v>
          </cell>
        </row>
        <row r="210">
          <cell r="A210" t="str">
            <v>0</v>
          </cell>
        </row>
        <row r="211">
          <cell r="A211" t="str">
            <v>0</v>
          </cell>
        </row>
        <row r="212">
          <cell r="A212" t="str">
            <v>0</v>
          </cell>
        </row>
        <row r="213">
          <cell r="A213" t="str">
            <v>0</v>
          </cell>
        </row>
        <row r="214">
          <cell r="A214" t="str">
            <v>0</v>
          </cell>
        </row>
        <row r="215">
          <cell r="A215" t="str">
            <v>0</v>
          </cell>
        </row>
        <row r="216">
          <cell r="A216" t="str">
            <v>0</v>
          </cell>
        </row>
        <row r="217">
          <cell r="A217" t="str">
            <v>0</v>
          </cell>
        </row>
        <row r="218">
          <cell r="A218" t="str">
            <v>0</v>
          </cell>
        </row>
        <row r="219">
          <cell r="A219" t="str">
            <v>0</v>
          </cell>
        </row>
        <row r="220">
          <cell r="A220" t="str">
            <v>0</v>
          </cell>
        </row>
        <row r="221">
          <cell r="A221" t="str">
            <v>0</v>
          </cell>
        </row>
        <row r="222">
          <cell r="A222" t="str">
            <v>0</v>
          </cell>
        </row>
        <row r="223">
          <cell r="A223" t="str">
            <v>0</v>
          </cell>
        </row>
        <row r="224">
          <cell r="A224" t="str">
            <v>0</v>
          </cell>
        </row>
        <row r="225">
          <cell r="A225" t="str">
            <v>0</v>
          </cell>
        </row>
        <row r="226">
          <cell r="A226" t="str">
            <v>0</v>
          </cell>
        </row>
        <row r="227">
          <cell r="A227" t="str">
            <v>0</v>
          </cell>
        </row>
        <row r="228">
          <cell r="A228" t="str">
            <v>0</v>
          </cell>
        </row>
        <row r="229">
          <cell r="A229" t="str">
            <v>0</v>
          </cell>
        </row>
        <row r="230">
          <cell r="A230" t="str">
            <v>0</v>
          </cell>
        </row>
        <row r="232">
          <cell r="C232" t="str">
            <v>JUMLAH TANGGAL</v>
          </cell>
          <cell r="F232">
            <v>4928000</v>
          </cell>
          <cell r="G232">
            <v>0</v>
          </cell>
        </row>
        <row r="233">
          <cell r="C233" t="str">
            <v>HARI INI</v>
          </cell>
        </row>
        <row r="234">
          <cell r="C234" t="str">
            <v>JUMLAH S/D TANGGAL</v>
          </cell>
          <cell r="F234">
            <v>114407852</v>
          </cell>
          <cell r="G234">
            <v>81061601</v>
          </cell>
        </row>
        <row r="235">
          <cell r="C235" t="str">
            <v>TOTAL</v>
          </cell>
          <cell r="F235">
            <v>119335852</v>
          </cell>
          <cell r="G235">
            <v>81061601</v>
          </cell>
        </row>
        <row r="237">
          <cell r="C237" t="str">
            <v>SISA</v>
          </cell>
          <cell r="D237">
            <v>38274251</v>
          </cell>
        </row>
        <row r="239">
          <cell r="A239" t="str">
            <v>KODE BANTU</v>
          </cell>
          <cell r="B239" t="str">
            <v>NO</v>
          </cell>
          <cell r="C239" t="str">
            <v>JANUARI</v>
          </cell>
          <cell r="D239" t="str">
            <v>URAIAN</v>
          </cell>
          <cell r="E239" t="str">
            <v>KODE ANGGARAN</v>
          </cell>
          <cell r="F239" t="str">
            <v>PENERIMAAN</v>
          </cell>
          <cell r="G239" t="str">
            <v>PENGELUARAN</v>
          </cell>
        </row>
        <row r="240">
          <cell r="A240" t="str">
            <v>I.2.2.01.0013</v>
          </cell>
          <cell r="B240">
            <v>76</v>
          </cell>
          <cell r="C240">
            <v>46040</v>
          </cell>
          <cell r="D240" t="str">
            <v>Kolekta Kebaktian minggu Gereja Baitrafa dan SK</v>
          </cell>
          <cell r="E240" t="str">
            <v>I.2.2.01.001</v>
          </cell>
          <cell r="F240">
            <v>7297500</v>
          </cell>
        </row>
        <row r="241">
          <cell r="A241" t="str">
            <v>I.2.3.015</v>
          </cell>
          <cell r="B241">
            <v>77</v>
          </cell>
          <cell r="C241">
            <v>46040</v>
          </cell>
          <cell r="D241" t="str">
            <v>Persembahan Persepuluhan Gereja Baitrafa dan SK</v>
          </cell>
          <cell r="E241" t="str">
            <v>I.2.3.01</v>
          </cell>
          <cell r="F241">
            <v>9734000</v>
          </cell>
        </row>
        <row r="242">
          <cell r="A242" t="str">
            <v>II.5.1.078</v>
          </cell>
          <cell r="B242">
            <v>78</v>
          </cell>
          <cell r="C242">
            <v>46040</v>
          </cell>
          <cell r="D242" t="str">
            <v>Belanja Kebaktian Minggu</v>
          </cell>
          <cell r="E242" t="str">
            <v>II.5.1.07</v>
          </cell>
          <cell r="G242">
            <v>1425000</v>
          </cell>
        </row>
        <row r="243">
          <cell r="A243" t="str">
            <v>II.5.1.012</v>
          </cell>
          <cell r="B243">
            <v>79</v>
          </cell>
          <cell r="C243">
            <v>46040</v>
          </cell>
          <cell r="D243" t="str">
            <v>Sumbangan pelayanan sakit 7 orang dan transport</v>
          </cell>
          <cell r="E243" t="str">
            <v>II.5.1.01</v>
          </cell>
          <cell r="G243">
            <v>2200000</v>
          </cell>
        </row>
        <row r="244">
          <cell r="A244" t="str">
            <v>II.2.5.033</v>
          </cell>
          <cell r="B244">
            <v>80</v>
          </cell>
          <cell r="C244">
            <v>46040</v>
          </cell>
          <cell r="D244" t="str">
            <v>Biaya service Ac Gereja Baitrafa dan Pastori I</v>
          </cell>
          <cell r="E244" t="str">
            <v>II.2.5.03</v>
          </cell>
          <cell r="G244">
            <v>2500000</v>
          </cell>
        </row>
        <row r="245">
          <cell r="A245" t="str">
            <v>II.2.5.034</v>
          </cell>
          <cell r="B245">
            <v>81</v>
          </cell>
          <cell r="C245">
            <v>46040</v>
          </cell>
          <cell r="D245" t="str">
            <v>Biaya Cuci pakaian Gereja</v>
          </cell>
          <cell r="E245" t="str">
            <v>II.2.5.03</v>
          </cell>
          <cell r="G245">
            <v>50000</v>
          </cell>
        </row>
        <row r="246">
          <cell r="A246" t="str">
            <v>II.5.1.104</v>
          </cell>
          <cell r="B246">
            <v>82</v>
          </cell>
          <cell r="C246">
            <v>46040</v>
          </cell>
          <cell r="D246" t="str">
            <v>Beli Masker 1 dos</v>
          </cell>
          <cell r="E246" t="str">
            <v>II.5.1.10</v>
          </cell>
          <cell r="G246">
            <v>50000</v>
          </cell>
        </row>
        <row r="247">
          <cell r="A247" t="str">
            <v>II.2.5.053</v>
          </cell>
          <cell r="B247">
            <v>83</v>
          </cell>
          <cell r="C247">
            <v>46040</v>
          </cell>
          <cell r="D247" t="str">
            <v>Beli Pertalite untuk mobil Gereja</v>
          </cell>
          <cell r="E247" t="str">
            <v>II.2.5.05</v>
          </cell>
          <cell r="G247">
            <v>300000</v>
          </cell>
        </row>
        <row r="248">
          <cell r="A248" t="str">
            <v>II.5.1.112</v>
          </cell>
          <cell r="B248">
            <v>84</v>
          </cell>
          <cell r="C248">
            <v>46040</v>
          </cell>
          <cell r="D248" t="str">
            <v>Biaya fotocopy warta 2x dan liturgi ibadah dan pemakaman</v>
          </cell>
          <cell r="E248" t="str">
            <v>II.5.1.11</v>
          </cell>
          <cell r="G248">
            <v>966000</v>
          </cell>
        </row>
        <row r="249">
          <cell r="A249" t="str">
            <v>II.5.1.063</v>
          </cell>
          <cell r="B249">
            <v>85</v>
          </cell>
          <cell r="C249">
            <v>46040</v>
          </cell>
          <cell r="D249" t="str">
            <v>Sumbangan pelayanan duka 2 org Kel. Pattisina dan Kel. Nanlohy</v>
          </cell>
          <cell r="E249" t="str">
            <v>II.5.1.06</v>
          </cell>
          <cell r="G249">
            <v>1000000</v>
          </cell>
        </row>
        <row r="250">
          <cell r="A250" t="str">
            <v>II.2.5.011</v>
          </cell>
          <cell r="B250">
            <v>86</v>
          </cell>
          <cell r="C250">
            <v>46040</v>
          </cell>
          <cell r="D250" t="str">
            <v>Biaya potong rumput Gereja SK</v>
          </cell>
          <cell r="E250" t="str">
            <v>II.2.5.01</v>
          </cell>
          <cell r="G250">
            <v>150000</v>
          </cell>
        </row>
        <row r="251">
          <cell r="A251" t="str">
            <v>II.2.3.051</v>
          </cell>
          <cell r="B251">
            <v>87</v>
          </cell>
          <cell r="C251">
            <v>46040</v>
          </cell>
          <cell r="D251" t="str">
            <v>Beli air 1 tangki di gereja SK</v>
          </cell>
          <cell r="E251" t="str">
            <v>II.2.3.05</v>
          </cell>
          <cell r="G251">
            <v>150000</v>
          </cell>
        </row>
        <row r="252">
          <cell r="A252" t="str">
            <v>0</v>
          </cell>
        </row>
        <row r="253">
          <cell r="A253" t="str">
            <v>0</v>
          </cell>
        </row>
        <row r="254">
          <cell r="A254" t="str">
            <v>0</v>
          </cell>
        </row>
        <row r="255">
          <cell r="A255" t="str">
            <v>0</v>
          </cell>
        </row>
        <row r="256">
          <cell r="A256" t="str">
            <v>0</v>
          </cell>
        </row>
        <row r="257">
          <cell r="A257" t="str">
            <v>0</v>
          </cell>
        </row>
        <row r="258">
          <cell r="A258" t="str">
            <v>0</v>
          </cell>
        </row>
        <row r="259">
          <cell r="A259" t="str">
            <v>0</v>
          </cell>
        </row>
        <row r="260">
          <cell r="A260" t="str">
            <v>0</v>
          </cell>
        </row>
        <row r="261">
          <cell r="A261" t="str">
            <v>0</v>
          </cell>
        </row>
        <row r="262">
          <cell r="A262" t="str">
            <v>0</v>
          </cell>
        </row>
        <row r="263">
          <cell r="A263" t="str">
            <v>0</v>
          </cell>
        </row>
        <row r="264">
          <cell r="A264" t="str">
            <v>0</v>
          </cell>
        </row>
        <row r="266">
          <cell r="C266" t="str">
            <v>JUMLAH TANGGAL</v>
          </cell>
          <cell r="F266">
            <v>17031500</v>
          </cell>
          <cell r="G266">
            <v>8791000</v>
          </cell>
        </row>
        <row r="267">
          <cell r="C267" t="str">
            <v>HARI INI</v>
          </cell>
        </row>
        <row r="268">
          <cell r="C268" t="str">
            <v>JUMLAH S/D TANGGAL</v>
          </cell>
          <cell r="F268">
            <v>119335852</v>
          </cell>
          <cell r="G268">
            <v>81061601</v>
          </cell>
        </row>
        <row r="269">
          <cell r="C269" t="str">
            <v>TOTAL</v>
          </cell>
          <cell r="F269">
            <v>136367352</v>
          </cell>
          <cell r="G269">
            <v>89852601</v>
          </cell>
        </row>
        <row r="271">
          <cell r="C271" t="str">
            <v>SISA</v>
          </cell>
          <cell r="D271">
            <v>46514751</v>
          </cell>
        </row>
        <row r="273">
          <cell r="A273" t="str">
            <v>KODE BANTU</v>
          </cell>
          <cell r="B273" t="str">
            <v>NO</v>
          </cell>
          <cell r="C273" t="str">
            <v>JANUARI</v>
          </cell>
          <cell r="D273" t="str">
            <v>URAIAN</v>
          </cell>
          <cell r="E273" t="str">
            <v>KODE ANGGARAN</v>
          </cell>
          <cell r="F273" t="str">
            <v>PENERIMAAN</v>
          </cell>
          <cell r="G273" t="str">
            <v>PENGELUARAN</v>
          </cell>
        </row>
        <row r="274">
          <cell r="A274" t="str">
            <v>I.2.2.02.0302</v>
          </cell>
          <cell r="B274">
            <v>88</v>
          </cell>
          <cell r="C274">
            <v>46045</v>
          </cell>
          <cell r="D274" t="str">
            <v>Kolekta Kebaktian Laki laki sektor Galilea</v>
          </cell>
          <cell r="E274" t="str">
            <v>I.2.2.02.030</v>
          </cell>
          <cell r="F274">
            <v>73000</v>
          </cell>
        </row>
        <row r="275">
          <cell r="A275" t="str">
            <v>I.2.2.02.0292</v>
          </cell>
          <cell r="B275">
            <v>89</v>
          </cell>
          <cell r="C275">
            <v>46045</v>
          </cell>
          <cell r="D275" t="str">
            <v>Kolekta Kebaktian Pelayanan Perempuan</v>
          </cell>
          <cell r="E275" t="str">
            <v>I.2.2.02.029</v>
          </cell>
          <cell r="F275">
            <v>1553000</v>
          </cell>
        </row>
        <row r="276">
          <cell r="A276" t="str">
            <v>I.2.2.02.0202</v>
          </cell>
          <cell r="B276">
            <v>90</v>
          </cell>
          <cell r="C276">
            <v>46045</v>
          </cell>
          <cell r="D276" t="str">
            <v>Kolekta Kebaktian Unit</v>
          </cell>
          <cell r="E276" t="str">
            <v>I.2.2.02.020</v>
          </cell>
          <cell r="F276">
            <v>137000</v>
          </cell>
        </row>
        <row r="277">
          <cell r="A277" t="str">
            <v>I.2.2.02.0014</v>
          </cell>
          <cell r="B277">
            <v>91</v>
          </cell>
          <cell r="C277">
            <v>46045</v>
          </cell>
          <cell r="D277" t="str">
            <v>Kolekta Syukur HUT Lahir</v>
          </cell>
          <cell r="E277" t="str">
            <v>I.2.2.02.001</v>
          </cell>
          <cell r="F277">
            <v>1222000</v>
          </cell>
        </row>
        <row r="278">
          <cell r="A278" t="str">
            <v>I.2.2.02.0024</v>
          </cell>
          <cell r="B278">
            <v>92</v>
          </cell>
          <cell r="C278">
            <v>46045</v>
          </cell>
          <cell r="D278" t="str">
            <v>Kolekta Syukur HUT Nikah</v>
          </cell>
          <cell r="E278" t="str">
            <v>I.2.2.02.002</v>
          </cell>
          <cell r="F278">
            <v>425000</v>
          </cell>
        </row>
        <row r="279">
          <cell r="A279" t="str">
            <v>I.2.2.02.0354</v>
          </cell>
          <cell r="B279">
            <v>93</v>
          </cell>
          <cell r="C279">
            <v>46045</v>
          </cell>
          <cell r="D279" t="str">
            <v>Kolekta Pelayanan Rumah (Sakit dan Lansia)</v>
          </cell>
          <cell r="E279" t="str">
            <v>I.2.2.02.035</v>
          </cell>
          <cell r="F279">
            <v>80000</v>
          </cell>
        </row>
        <row r="280">
          <cell r="A280" t="str">
            <v>II.2.3.031</v>
          </cell>
          <cell r="B280">
            <v>94</v>
          </cell>
          <cell r="C280">
            <v>46045</v>
          </cell>
          <cell r="D280" t="str">
            <v>Bayar Listrik Gereja dan Pastori bulan Januari</v>
          </cell>
          <cell r="E280" t="str">
            <v>II.2.3.03</v>
          </cell>
          <cell r="G280">
            <v>4572417</v>
          </cell>
        </row>
        <row r="281">
          <cell r="A281" t="str">
            <v>II.2.3.041</v>
          </cell>
          <cell r="B281">
            <v>95</v>
          </cell>
          <cell r="C281">
            <v>46045</v>
          </cell>
          <cell r="D281" t="str">
            <v>Bayar Wifi Gereja Baitrafa dan SK bulan januari</v>
          </cell>
          <cell r="E281" t="str">
            <v>II.2.3.04</v>
          </cell>
          <cell r="G281">
            <v>788550</v>
          </cell>
        </row>
        <row r="282">
          <cell r="A282" t="str">
            <v>II.5.1.079</v>
          </cell>
          <cell r="B282">
            <v>96</v>
          </cell>
          <cell r="C282">
            <v>46045</v>
          </cell>
          <cell r="D282" t="str">
            <v>Biaya Sewa Mobil ke Rumah sakit Tulehu</v>
          </cell>
          <cell r="E282" t="str">
            <v>II.5.1.07</v>
          </cell>
          <cell r="G282">
            <v>200000</v>
          </cell>
        </row>
        <row r="283">
          <cell r="A283" t="str">
            <v>II.2.8.012</v>
          </cell>
          <cell r="B283">
            <v>97</v>
          </cell>
          <cell r="C283">
            <v>46045</v>
          </cell>
          <cell r="D283" t="str">
            <v>Biaya Transport ke KPAT koordinasi Peresmian Gedung Serbaguna</v>
          </cell>
          <cell r="E283" t="str">
            <v>II.2.8.01</v>
          </cell>
          <cell r="G283">
            <v>300000</v>
          </cell>
        </row>
        <row r="284">
          <cell r="A284" t="str">
            <v>II.5.1.113</v>
          </cell>
          <cell r="B284">
            <v>98</v>
          </cell>
          <cell r="C284">
            <v>46045</v>
          </cell>
          <cell r="D284" t="str">
            <v>Biaya Tebang pohon Mangga di Belakang Pastori I</v>
          </cell>
          <cell r="E284" t="str">
            <v>II.5.1.11</v>
          </cell>
          <cell r="G284">
            <v>1000000</v>
          </cell>
        </row>
        <row r="285">
          <cell r="A285" t="str">
            <v>II.2.5.054</v>
          </cell>
          <cell r="B285">
            <v>99</v>
          </cell>
          <cell r="C285">
            <v>46045</v>
          </cell>
          <cell r="D285" t="str">
            <v>Biaya Ganti Oli Mobil Gereja</v>
          </cell>
          <cell r="E285" t="str">
            <v>II.2.5.05</v>
          </cell>
          <cell r="G285">
            <v>865000</v>
          </cell>
        </row>
        <row r="286">
          <cell r="A286" t="str">
            <v>I.5.1.041</v>
          </cell>
          <cell r="B286">
            <v>100</v>
          </cell>
          <cell r="C286">
            <v>46045</v>
          </cell>
          <cell r="D286" t="str">
            <v>Tukar Uang 100 Euro</v>
          </cell>
          <cell r="E286" t="str">
            <v>I.5.1.04</v>
          </cell>
          <cell r="F286">
            <v>1966300</v>
          </cell>
        </row>
        <row r="287">
          <cell r="A287" t="str">
            <v>I.2.2.02.0645</v>
          </cell>
          <cell r="B287">
            <v>101</v>
          </cell>
          <cell r="C287">
            <v>46045</v>
          </cell>
          <cell r="D287" t="str">
            <v>Natsar Fondasi rumah Nn. Letsa Talla</v>
          </cell>
          <cell r="E287" t="str">
            <v>I.2.2.02.064</v>
          </cell>
          <cell r="F287">
            <v>100000</v>
          </cell>
        </row>
        <row r="288">
          <cell r="A288" t="str">
            <v>I.2.2.02.0042</v>
          </cell>
          <cell r="B288">
            <v>102</v>
          </cell>
          <cell r="C288">
            <v>46045</v>
          </cell>
          <cell r="D288" t="str">
            <v>Kolekta Syukur Duka Kel. Salampessy Mantouw</v>
          </cell>
          <cell r="E288" t="str">
            <v>I.2.2.02.004</v>
          </cell>
          <cell r="F288">
            <v>238000</v>
          </cell>
        </row>
        <row r="289">
          <cell r="A289" t="str">
            <v>0</v>
          </cell>
        </row>
        <row r="290">
          <cell r="A290" t="str">
            <v>0</v>
          </cell>
        </row>
        <row r="291">
          <cell r="A291" t="str">
            <v>0</v>
          </cell>
        </row>
        <row r="292">
          <cell r="A292" t="str">
            <v>0</v>
          </cell>
        </row>
        <row r="293">
          <cell r="A293" t="str">
            <v>0</v>
          </cell>
        </row>
        <row r="294">
          <cell r="A294" t="str">
            <v>0</v>
          </cell>
        </row>
        <row r="295">
          <cell r="A295" t="str">
            <v>0</v>
          </cell>
        </row>
        <row r="296">
          <cell r="A296" t="str">
            <v>0</v>
          </cell>
        </row>
        <row r="297">
          <cell r="A297" t="str">
            <v>0</v>
          </cell>
        </row>
        <row r="298">
          <cell r="A298" t="str">
            <v>0</v>
          </cell>
        </row>
        <row r="300">
          <cell r="C300" t="str">
            <v>JUMLAH TANGGAL</v>
          </cell>
          <cell r="F300">
            <v>5794300</v>
          </cell>
          <cell r="G300">
            <v>7725967</v>
          </cell>
        </row>
        <row r="301">
          <cell r="C301" t="str">
            <v>HARI INI</v>
          </cell>
        </row>
        <row r="302">
          <cell r="C302" t="str">
            <v>JUMLAH S/D TANGGAL</v>
          </cell>
          <cell r="F302">
            <v>136367352</v>
          </cell>
          <cell r="G302">
            <v>89852601</v>
          </cell>
        </row>
        <row r="303">
          <cell r="C303" t="str">
            <v>TOTAL</v>
          </cell>
          <cell r="F303">
            <v>142161652</v>
          </cell>
          <cell r="G303">
            <v>97578568</v>
          </cell>
        </row>
        <row r="305">
          <cell r="C305" t="str">
            <v>SISA</v>
          </cell>
          <cell r="D305">
            <v>44583084</v>
          </cell>
        </row>
        <row r="307">
          <cell r="A307" t="str">
            <v>KODE BANTU</v>
          </cell>
          <cell r="B307" t="str">
            <v>NO</v>
          </cell>
          <cell r="C307" t="str">
            <v>JANUARI</v>
          </cell>
          <cell r="D307" t="str">
            <v>URAIAN</v>
          </cell>
          <cell r="E307" t="str">
            <v>KODE ANGGARAN</v>
          </cell>
          <cell r="F307" t="str">
            <v>PENERIMAAN</v>
          </cell>
          <cell r="G307" t="str">
            <v>PENGELUARAN</v>
          </cell>
        </row>
        <row r="308">
          <cell r="A308" t="str">
            <v>I.2.2.02.0637</v>
          </cell>
          <cell r="B308">
            <v>103</v>
          </cell>
          <cell r="C308">
            <v>46045</v>
          </cell>
          <cell r="D308" t="str">
            <v>Natsar Gumul Keluarga</v>
          </cell>
          <cell r="E308" t="str">
            <v>I.2.2.02.063</v>
          </cell>
          <cell r="F308">
            <v>224000</v>
          </cell>
        </row>
        <row r="309">
          <cell r="A309" t="str">
            <v>I.2.2.02.0646</v>
          </cell>
          <cell r="B309">
            <v>104</v>
          </cell>
          <cell r="C309">
            <v>46045</v>
          </cell>
          <cell r="D309" t="str">
            <v>Kolekta Kebaktian Muhabeth Amalatuey</v>
          </cell>
          <cell r="E309" t="str">
            <v>I.2.2.02.064</v>
          </cell>
          <cell r="F309">
            <v>168000</v>
          </cell>
        </row>
        <row r="310">
          <cell r="A310" t="str">
            <v>I.2.2.02.0271</v>
          </cell>
          <cell r="B310">
            <v>105</v>
          </cell>
          <cell r="C310">
            <v>46045</v>
          </cell>
          <cell r="D310" t="str">
            <v>Kolekta Kebaktian Penutupan Konfercab AMGPM Cab. Luther</v>
          </cell>
          <cell r="E310" t="str">
            <v>I.2.2.02.027</v>
          </cell>
          <cell r="F310">
            <v>300000</v>
          </cell>
        </row>
        <row r="311">
          <cell r="A311" t="str">
            <v>I.2.2.02.0241</v>
          </cell>
          <cell r="B311">
            <v>106</v>
          </cell>
          <cell r="C311">
            <v>46045</v>
          </cell>
          <cell r="D311" t="str">
            <v>Kolekta Pelayanan Pantai</v>
          </cell>
          <cell r="E311" t="str">
            <v>I.2.2.02.024</v>
          </cell>
          <cell r="F311">
            <v>497000</v>
          </cell>
        </row>
        <row r="312">
          <cell r="A312" t="str">
            <v>0</v>
          </cell>
        </row>
        <row r="313">
          <cell r="A313" t="str">
            <v>0</v>
          </cell>
        </row>
        <row r="314">
          <cell r="A314" t="str">
            <v>0</v>
          </cell>
        </row>
        <row r="315">
          <cell r="A315" t="str">
            <v>0</v>
          </cell>
        </row>
        <row r="316">
          <cell r="A316" t="str">
            <v>0</v>
          </cell>
        </row>
        <row r="317">
          <cell r="A317" t="str">
            <v>0</v>
          </cell>
        </row>
        <row r="318">
          <cell r="A318" t="str">
            <v>0</v>
          </cell>
        </row>
        <row r="319">
          <cell r="A319" t="str">
            <v>0</v>
          </cell>
        </row>
        <row r="320">
          <cell r="A320" t="str">
            <v>0</v>
          </cell>
        </row>
        <row r="321">
          <cell r="A321" t="str">
            <v>0</v>
          </cell>
        </row>
        <row r="322">
          <cell r="A322" t="str">
            <v>0</v>
          </cell>
        </row>
        <row r="323">
          <cell r="A323" t="str">
            <v>0</v>
          </cell>
        </row>
        <row r="324">
          <cell r="A324" t="str">
            <v>0</v>
          </cell>
        </row>
        <row r="325">
          <cell r="A325" t="str">
            <v>0</v>
          </cell>
        </row>
        <row r="326">
          <cell r="A326" t="str">
            <v>0</v>
          </cell>
        </row>
        <row r="327">
          <cell r="A327" t="str">
            <v>0</v>
          </cell>
        </row>
        <row r="328">
          <cell r="A328" t="str">
            <v>0</v>
          </cell>
        </row>
        <row r="329">
          <cell r="A329" t="str">
            <v>0</v>
          </cell>
        </row>
        <row r="330">
          <cell r="A330" t="str">
            <v>0</v>
          </cell>
        </row>
        <row r="331">
          <cell r="A331" t="str">
            <v>0</v>
          </cell>
        </row>
        <row r="332">
          <cell r="A332" t="str">
            <v>0</v>
          </cell>
        </row>
        <row r="334">
          <cell r="C334" t="str">
            <v>JUMLAH TANGGAL</v>
          </cell>
          <cell r="F334">
            <v>1189000</v>
          </cell>
          <cell r="G334">
            <v>0</v>
          </cell>
        </row>
        <row r="335">
          <cell r="C335" t="str">
            <v>HARI INI</v>
          </cell>
        </row>
        <row r="336">
          <cell r="C336" t="str">
            <v>JUMLAH S/D TANGGAL</v>
          </cell>
          <cell r="F336">
            <v>142161652</v>
          </cell>
          <cell r="G336">
            <v>97578568</v>
          </cell>
        </row>
        <row r="337">
          <cell r="C337" t="str">
            <v>TOTAL</v>
          </cell>
          <cell r="F337">
            <v>143350652</v>
          </cell>
          <cell r="G337">
            <v>97578568</v>
          </cell>
        </row>
        <row r="339">
          <cell r="C339" t="str">
            <v>SISA</v>
          </cell>
          <cell r="D339">
            <v>45772084</v>
          </cell>
        </row>
        <row r="341">
          <cell r="A341" t="str">
            <v>KODE BANTU</v>
          </cell>
          <cell r="B341" t="str">
            <v>NO</v>
          </cell>
          <cell r="C341" t="str">
            <v>JANUARI</v>
          </cell>
          <cell r="D341" t="str">
            <v>URAIAN</v>
          </cell>
          <cell r="E341" t="str">
            <v>KODE ANGGARAN</v>
          </cell>
          <cell r="F341" t="str">
            <v>PENERIMAAN</v>
          </cell>
          <cell r="G341" t="str">
            <v>PENGELUARAN</v>
          </cell>
        </row>
        <row r="342">
          <cell r="A342" t="str">
            <v>I.2.2.01.0014</v>
          </cell>
          <cell r="B342">
            <v>107</v>
          </cell>
          <cell r="C342">
            <v>46047</v>
          </cell>
          <cell r="D342" t="str">
            <v>Kolekta Kebaktian Minggu gereja Baitrafa dan SK</v>
          </cell>
          <cell r="E342" t="str">
            <v>I.2.2.01.001</v>
          </cell>
          <cell r="F342">
            <v>6366000</v>
          </cell>
        </row>
        <row r="343">
          <cell r="A343" t="str">
            <v>I.2.3.016</v>
          </cell>
          <cell r="B343">
            <v>108</v>
          </cell>
          <cell r="C343">
            <v>46047</v>
          </cell>
          <cell r="D343" t="str">
            <v>Persembahan Persepuluhan Gereja Baitrafa dan SK</v>
          </cell>
          <cell r="E343" t="str">
            <v>I.2.3.01</v>
          </cell>
          <cell r="F343">
            <v>5825000</v>
          </cell>
        </row>
        <row r="344">
          <cell r="A344" t="str">
            <v>II.5.1.0710</v>
          </cell>
          <cell r="B344">
            <v>109</v>
          </cell>
          <cell r="C344">
            <v>46047</v>
          </cell>
          <cell r="D344" t="str">
            <v>Belanja Kebaktian Minggu</v>
          </cell>
          <cell r="E344" t="str">
            <v>II.5.1.07</v>
          </cell>
          <cell r="G344">
            <v>2850000</v>
          </cell>
        </row>
        <row r="345">
          <cell r="A345" t="str">
            <v>II.5.1.013</v>
          </cell>
          <cell r="B345">
            <v>110</v>
          </cell>
          <cell r="C345">
            <v>46047</v>
          </cell>
          <cell r="D345" t="str">
            <v>Sumbangan Pelayanan orang sakit 10 org</v>
          </cell>
          <cell r="E345" t="str">
            <v>II.5.1.01</v>
          </cell>
          <cell r="G345">
            <v>3000000</v>
          </cell>
        </row>
        <row r="346">
          <cell r="A346" t="str">
            <v>II.2.3.011</v>
          </cell>
          <cell r="B346">
            <v>111</v>
          </cell>
          <cell r="C346">
            <v>46047</v>
          </cell>
          <cell r="D346" t="str">
            <v>Beli Kertas 1 karton dan spidol</v>
          </cell>
          <cell r="E346" t="str">
            <v>II.2.3.01</v>
          </cell>
          <cell r="G346">
            <v>320000</v>
          </cell>
        </row>
        <row r="347">
          <cell r="A347" t="str">
            <v>II.2.5.012</v>
          </cell>
          <cell r="B347">
            <v>112</v>
          </cell>
          <cell r="C347">
            <v>46047</v>
          </cell>
          <cell r="D347" t="str">
            <v>Beli 1 buah senk dan paku senk</v>
          </cell>
          <cell r="E347" t="str">
            <v>II.2.5.01</v>
          </cell>
          <cell r="G347">
            <v>150000</v>
          </cell>
        </row>
        <row r="348">
          <cell r="A348" t="str">
            <v>II.2.3.021</v>
          </cell>
          <cell r="B348">
            <v>113</v>
          </cell>
          <cell r="C348">
            <v>46047</v>
          </cell>
          <cell r="D348" t="str">
            <v>Biaya Tamu gereja</v>
          </cell>
          <cell r="E348" t="str">
            <v>II.2.3.02</v>
          </cell>
          <cell r="G348">
            <v>220000</v>
          </cell>
        </row>
        <row r="349">
          <cell r="A349" t="str">
            <v>II.5.1.114</v>
          </cell>
          <cell r="B349">
            <v>114</v>
          </cell>
          <cell r="C349">
            <v>46047</v>
          </cell>
          <cell r="D349" t="str">
            <v>Biaya Fotocopy Warta Jemaat dan Liturgi Ibadah dan Pemakaman</v>
          </cell>
          <cell r="E349" t="str">
            <v>II.5.1.11</v>
          </cell>
          <cell r="G349">
            <v>650000</v>
          </cell>
        </row>
        <row r="350">
          <cell r="A350" t="str">
            <v>II.5.1.105</v>
          </cell>
          <cell r="B350">
            <v>115</v>
          </cell>
          <cell r="C350">
            <v>46047</v>
          </cell>
          <cell r="D350" t="str">
            <v>Belanja Kebutuhan Bulan Tugas Februari</v>
          </cell>
          <cell r="E350" t="str">
            <v>II.5.1.10</v>
          </cell>
          <cell r="G350">
            <v>650000</v>
          </cell>
        </row>
        <row r="351">
          <cell r="A351" t="str">
            <v>II.2.5.035</v>
          </cell>
          <cell r="B351">
            <v>116</v>
          </cell>
          <cell r="C351">
            <v>46047</v>
          </cell>
          <cell r="D351" t="str">
            <v>Biaya Cuci Pakaian Gereja</v>
          </cell>
          <cell r="E351" t="str">
            <v>II.2.5.03</v>
          </cell>
          <cell r="G351">
            <v>50000</v>
          </cell>
        </row>
        <row r="352">
          <cell r="A352" t="str">
            <v>II.2.5.036</v>
          </cell>
          <cell r="B352">
            <v>117</v>
          </cell>
          <cell r="C352">
            <v>46047</v>
          </cell>
          <cell r="D352" t="str">
            <v>Biaya Servici Komputer</v>
          </cell>
          <cell r="E352" t="str">
            <v>II.2.5.03</v>
          </cell>
          <cell r="G352">
            <v>50000</v>
          </cell>
        </row>
        <row r="353">
          <cell r="A353" t="str">
            <v>II.2.2.022</v>
          </cell>
          <cell r="B353">
            <v>118</v>
          </cell>
          <cell r="C353">
            <v>46047</v>
          </cell>
          <cell r="D353" t="str">
            <v>Biaya Lembur Kerja Keuangan (susun anggaran 2026)</v>
          </cell>
          <cell r="E353" t="str">
            <v>II.2.2.02</v>
          </cell>
          <cell r="G353">
            <v>250000</v>
          </cell>
        </row>
        <row r="354">
          <cell r="A354" t="str">
            <v>II.2.5.037</v>
          </cell>
          <cell r="B354">
            <v>119</v>
          </cell>
          <cell r="C354">
            <v>46047</v>
          </cell>
          <cell r="D354" t="str">
            <v>Biaya service AC gereja SK dan Beli barang AC</v>
          </cell>
          <cell r="E354" t="str">
            <v>II.2.5.03</v>
          </cell>
          <cell r="G354">
            <v>1150000</v>
          </cell>
        </row>
        <row r="355">
          <cell r="A355" t="str">
            <v>II.5.1.064</v>
          </cell>
          <cell r="B355">
            <v>120</v>
          </cell>
          <cell r="C355">
            <v>46047</v>
          </cell>
          <cell r="D355" t="str">
            <v>Sumbangan Pelayanan duka 2 org Bpk. Onggo dan Bpk. Oce Titarsole</v>
          </cell>
          <cell r="E355" t="str">
            <v>II.5.1.06</v>
          </cell>
          <cell r="G355">
            <v>1000000</v>
          </cell>
        </row>
        <row r="356">
          <cell r="A356" t="str">
            <v>I.5.1.042</v>
          </cell>
          <cell r="B356">
            <v>121</v>
          </cell>
          <cell r="C356">
            <v>46047</v>
          </cell>
          <cell r="D356" t="str">
            <v>Pemberian untuk Gereja dari anak Dani Salampessy</v>
          </cell>
          <cell r="E356" t="str">
            <v>I.5.1.04</v>
          </cell>
          <cell r="F356">
            <v>2000000</v>
          </cell>
        </row>
        <row r="357">
          <cell r="A357" t="str">
            <v>I.5.1.043</v>
          </cell>
          <cell r="B357">
            <v>122</v>
          </cell>
          <cell r="C357">
            <v>46047</v>
          </cell>
          <cell r="D357" t="str">
            <v>Pemberian dr anak Vian untuk gereja</v>
          </cell>
          <cell r="E357" t="str">
            <v>I.5.1.04</v>
          </cell>
          <cell r="F357">
            <v>100000</v>
          </cell>
        </row>
        <row r="358">
          <cell r="A358" t="str">
            <v>I.5.2.024</v>
          </cell>
          <cell r="B358">
            <v>123</v>
          </cell>
          <cell r="C358">
            <v>46047</v>
          </cell>
          <cell r="D358" t="str">
            <v>Pengembalian uang sisa ganti oli mobil Gereja</v>
          </cell>
          <cell r="E358" t="str">
            <v>I.5.2.02</v>
          </cell>
          <cell r="F358">
            <v>500000</v>
          </cell>
        </row>
        <row r="359">
          <cell r="A359" t="str">
            <v>I.2.2.02.0272</v>
          </cell>
          <cell r="B359">
            <v>124</v>
          </cell>
          <cell r="C359">
            <v>46047</v>
          </cell>
          <cell r="D359" t="str">
            <v>Kolekta Pergembalaan Pengurus AMGPM Cab. Luher I</v>
          </cell>
          <cell r="E359" t="str">
            <v>I.2.2.02.027</v>
          </cell>
          <cell r="F359">
            <v>100000</v>
          </cell>
        </row>
        <row r="360">
          <cell r="A360" t="str">
            <v>0</v>
          </cell>
        </row>
        <row r="361">
          <cell r="A361" t="str">
            <v>0</v>
          </cell>
        </row>
        <row r="362">
          <cell r="A362" t="str">
            <v>0</v>
          </cell>
        </row>
        <row r="363">
          <cell r="A363" t="str">
            <v>0</v>
          </cell>
        </row>
        <row r="364">
          <cell r="A364" t="str">
            <v>0</v>
          </cell>
        </row>
        <row r="365">
          <cell r="A365" t="str">
            <v>0</v>
          </cell>
        </row>
        <row r="366">
          <cell r="A366" t="str">
            <v>0</v>
          </cell>
        </row>
        <row r="368">
          <cell r="C368" t="str">
            <v>JUMLAH TANGGAL</v>
          </cell>
          <cell r="F368">
            <v>14891000</v>
          </cell>
          <cell r="G368">
            <v>10340000</v>
          </cell>
        </row>
        <row r="369">
          <cell r="C369" t="str">
            <v>HARI INI</v>
          </cell>
        </row>
        <row r="370">
          <cell r="C370" t="str">
            <v>JUMLAH S/D TANGGAL</v>
          </cell>
          <cell r="F370">
            <v>143350652</v>
          </cell>
          <cell r="G370">
            <v>97578568</v>
          </cell>
        </row>
        <row r="371">
          <cell r="C371" t="str">
            <v>TOTAL</v>
          </cell>
          <cell r="F371">
            <v>158241652</v>
          </cell>
          <cell r="G371">
            <v>107918568</v>
          </cell>
        </row>
        <row r="373">
          <cell r="C373" t="str">
            <v>SISA</v>
          </cell>
          <cell r="D373">
            <v>50323084</v>
          </cell>
        </row>
        <row r="375">
          <cell r="A375" t="str">
            <v>KODE BANTU</v>
          </cell>
          <cell r="B375" t="str">
            <v>NO</v>
          </cell>
          <cell r="C375" t="str">
            <v>JANUARI</v>
          </cell>
          <cell r="D375" t="str">
            <v>URAIAN</v>
          </cell>
          <cell r="E375" t="str">
            <v>KODE ANGGARAN</v>
          </cell>
          <cell r="F375" t="str">
            <v>PENERIMAAN</v>
          </cell>
          <cell r="G375" t="str">
            <v>PENGELUARAN</v>
          </cell>
        </row>
        <row r="376">
          <cell r="A376" t="str">
            <v>I.2.2.02.0638</v>
          </cell>
          <cell r="B376">
            <v>125</v>
          </cell>
          <cell r="C376">
            <v>46052</v>
          </cell>
          <cell r="D376" t="str">
            <v>Kolekta Pergumulan</v>
          </cell>
          <cell r="E376" t="str">
            <v>I.2.2.02.063</v>
          </cell>
          <cell r="F376">
            <v>347000</v>
          </cell>
        </row>
        <row r="377">
          <cell r="A377" t="str">
            <v>I.2.2.02.0043</v>
          </cell>
          <cell r="B377">
            <v>126</v>
          </cell>
          <cell r="C377">
            <v>46052</v>
          </cell>
          <cell r="D377" t="str">
            <v>Kolekta syukur duka Kel. Salampessy, Lainsamputty</v>
          </cell>
          <cell r="E377" t="str">
            <v>I.2.2.02.004</v>
          </cell>
          <cell r="F377">
            <v>412000</v>
          </cell>
        </row>
        <row r="378">
          <cell r="A378" t="str">
            <v>I.2.2.02.0647</v>
          </cell>
          <cell r="B378">
            <v>127</v>
          </cell>
          <cell r="C378">
            <v>46052</v>
          </cell>
          <cell r="D378" t="str">
            <v>Kolekta Syukur buka kerja KSP Triyaksa Jaya Mandiri</v>
          </cell>
          <cell r="E378" t="str">
            <v>I.2.2.02.064</v>
          </cell>
          <cell r="F378">
            <v>306000</v>
          </cell>
        </row>
        <row r="379">
          <cell r="A379" t="str">
            <v>I.2.2.02.0091</v>
          </cell>
          <cell r="B379">
            <v>128</v>
          </cell>
          <cell r="C379">
            <v>46052</v>
          </cell>
          <cell r="D379" t="str">
            <v>Kolekta syukur Wisuda Kel. Jerry Putinela</v>
          </cell>
          <cell r="E379" t="str">
            <v>I.2.2.02.009</v>
          </cell>
          <cell r="F379">
            <v>124000</v>
          </cell>
        </row>
        <row r="380">
          <cell r="A380" t="str">
            <v>I.2.2.02.0252</v>
          </cell>
          <cell r="B380">
            <v>129</v>
          </cell>
          <cell r="C380">
            <v>46052</v>
          </cell>
          <cell r="D380" t="str">
            <v>Kolekta SMTPI</v>
          </cell>
          <cell r="E380" t="str">
            <v>I.2.2.02.025</v>
          </cell>
          <cell r="F380">
            <v>614000</v>
          </cell>
        </row>
        <row r="381">
          <cell r="A381" t="str">
            <v>I.2.2.02.0312</v>
          </cell>
          <cell r="B381">
            <v>130</v>
          </cell>
          <cell r="C381">
            <v>46052</v>
          </cell>
          <cell r="D381" t="str">
            <v>KolektaKebaktian Pengasuh</v>
          </cell>
          <cell r="E381" t="str">
            <v>I.2.2.02.031</v>
          </cell>
          <cell r="F381">
            <v>160000</v>
          </cell>
        </row>
        <row r="382">
          <cell r="A382" t="str">
            <v>I.2.2.02.0648</v>
          </cell>
          <cell r="B382">
            <v>131</v>
          </cell>
          <cell r="C382">
            <v>46052</v>
          </cell>
          <cell r="D382" t="str">
            <v>Kolekta Kebaktian ana cucu Tete Ipu Pattirane</v>
          </cell>
          <cell r="E382" t="str">
            <v>I.2.2.02.064</v>
          </cell>
          <cell r="F382">
            <v>138000</v>
          </cell>
        </row>
        <row r="383">
          <cell r="A383" t="str">
            <v>I.2.2.02.0263</v>
          </cell>
          <cell r="B383">
            <v>132</v>
          </cell>
          <cell r="C383">
            <v>46052</v>
          </cell>
          <cell r="D383" t="str">
            <v>Kolekta Katekisasi Gereja SK</v>
          </cell>
          <cell r="E383" t="str">
            <v>I.2.2.02.026</v>
          </cell>
          <cell r="F383">
            <v>272000</v>
          </cell>
        </row>
        <row r="384">
          <cell r="A384" t="str">
            <v>I.2.2.02.0303</v>
          </cell>
          <cell r="B384">
            <v>133</v>
          </cell>
          <cell r="C384">
            <v>46052</v>
          </cell>
          <cell r="D384" t="str">
            <v>Kolekta Kebaktian Laki laki Sektor</v>
          </cell>
          <cell r="E384" t="str">
            <v>I.2.2.02.030</v>
          </cell>
          <cell r="F384">
            <v>731000</v>
          </cell>
        </row>
        <row r="385">
          <cell r="A385" t="str">
            <v>I.2.2.02.0293</v>
          </cell>
          <cell r="B385">
            <v>134</v>
          </cell>
          <cell r="C385">
            <v>46052</v>
          </cell>
          <cell r="D385" t="str">
            <v>Kolekta Kebaktian Perempuan Sektor</v>
          </cell>
          <cell r="E385" t="str">
            <v>I.2.2.02.029</v>
          </cell>
          <cell r="F385">
            <v>1769000</v>
          </cell>
        </row>
        <row r="386">
          <cell r="A386" t="str">
            <v>I.2.2.02.0203</v>
          </cell>
          <cell r="B386">
            <v>135</v>
          </cell>
          <cell r="C386">
            <v>46052</v>
          </cell>
          <cell r="D386" t="str">
            <v>Kolekta Kebaktian unit Petra</v>
          </cell>
          <cell r="E386" t="str">
            <v>I.2.2.02.020</v>
          </cell>
          <cell r="F386">
            <v>207000</v>
          </cell>
        </row>
        <row r="387">
          <cell r="A387" t="str">
            <v>I.2.2.02.0015</v>
          </cell>
          <cell r="B387">
            <v>136</v>
          </cell>
          <cell r="C387">
            <v>46052</v>
          </cell>
          <cell r="D387" t="str">
            <v>Kolekta syukur HUT Lahir</v>
          </cell>
          <cell r="E387" t="str">
            <v>I.2.2.02.001</v>
          </cell>
          <cell r="F387">
            <v>2371000</v>
          </cell>
        </row>
        <row r="388">
          <cell r="A388" t="str">
            <v>I.2.2.02.0025</v>
          </cell>
          <cell r="B388">
            <v>137</v>
          </cell>
          <cell r="C388">
            <v>46052</v>
          </cell>
          <cell r="D388" t="str">
            <v>Kolekta syukur HUT Nikah</v>
          </cell>
          <cell r="E388" t="str">
            <v>I.2.2.02.002</v>
          </cell>
          <cell r="F388">
            <v>75000</v>
          </cell>
        </row>
        <row r="389">
          <cell r="A389" t="str">
            <v>0</v>
          </cell>
        </row>
        <row r="390">
          <cell r="A390" t="str">
            <v>0</v>
          </cell>
        </row>
        <row r="391">
          <cell r="A391" t="str">
            <v>0</v>
          </cell>
        </row>
        <row r="392">
          <cell r="A392" t="str">
            <v>0</v>
          </cell>
        </row>
        <row r="393">
          <cell r="A393" t="str">
            <v>0</v>
          </cell>
        </row>
        <row r="394">
          <cell r="A394" t="str">
            <v>0</v>
          </cell>
        </row>
        <row r="395">
          <cell r="A395" t="str">
            <v>0</v>
          </cell>
        </row>
        <row r="396">
          <cell r="A396" t="str">
            <v>0</v>
          </cell>
        </row>
        <row r="397">
          <cell r="A397" t="str">
            <v>0</v>
          </cell>
        </row>
        <row r="398">
          <cell r="A398" t="str">
            <v>0</v>
          </cell>
        </row>
        <row r="399">
          <cell r="A399" t="str">
            <v>0</v>
          </cell>
        </row>
        <row r="400">
          <cell r="A400" t="str">
            <v>0</v>
          </cell>
        </row>
        <row r="402">
          <cell r="C402" t="str">
            <v>JUMLAH TANGGAL</v>
          </cell>
          <cell r="F402">
            <v>7526000</v>
          </cell>
          <cell r="G402">
            <v>0</v>
          </cell>
        </row>
        <row r="403">
          <cell r="C403" t="str">
            <v>HARI INI</v>
          </cell>
        </row>
        <row r="404">
          <cell r="C404" t="str">
            <v>JUMLAH S/D TANGGAL</v>
          </cell>
          <cell r="F404">
            <v>158241652</v>
          </cell>
          <cell r="G404">
            <v>107918568</v>
          </cell>
        </row>
        <row r="405">
          <cell r="C405" t="str">
            <v>TOTAL</v>
          </cell>
          <cell r="F405">
            <v>165767652</v>
          </cell>
          <cell r="G405">
            <v>107918568</v>
          </cell>
        </row>
        <row r="407">
          <cell r="C407" t="str">
            <v>SISA</v>
          </cell>
          <cell r="D407">
            <v>57849084</v>
          </cell>
        </row>
        <row r="409">
          <cell r="A409" t="str">
            <v>KODE BANTU</v>
          </cell>
          <cell r="B409" t="str">
            <v>NO</v>
          </cell>
          <cell r="C409" t="str">
            <v>JANUARI</v>
          </cell>
          <cell r="D409" t="str">
            <v>URAIAN</v>
          </cell>
          <cell r="E409" t="str">
            <v>KODE ANGGARAN</v>
          </cell>
          <cell r="F409" t="str">
            <v>PENERIMAAN</v>
          </cell>
          <cell r="G409" t="str">
            <v>PENGELUARAN</v>
          </cell>
        </row>
        <row r="410">
          <cell r="A410" t="str">
            <v>II.2.2.031</v>
          </cell>
          <cell r="B410">
            <v>138</v>
          </cell>
          <cell r="C410">
            <v>46052</v>
          </cell>
          <cell r="D410" t="str">
            <v>Bayar Insentif PHMJ dan MJ bulan Januari</v>
          </cell>
          <cell r="E410" t="str">
            <v>II.2.2.03</v>
          </cell>
          <cell r="G410">
            <v>17500000</v>
          </cell>
        </row>
        <row r="411">
          <cell r="A411" t="str">
            <v>II.5.1.0711</v>
          </cell>
          <cell r="B411">
            <v>139</v>
          </cell>
          <cell r="C411">
            <v>46052</v>
          </cell>
          <cell r="D411" t="str">
            <v>transport MJ bulan januari</v>
          </cell>
          <cell r="E411" t="str">
            <v>II.5.1.07</v>
          </cell>
          <cell r="G411">
            <v>2450000</v>
          </cell>
        </row>
        <row r="412">
          <cell r="A412" t="str">
            <v>II.2.2.051</v>
          </cell>
          <cell r="B412">
            <v>140</v>
          </cell>
          <cell r="C412">
            <v>46052</v>
          </cell>
          <cell r="D412" t="str">
            <v>Insentif Tuagama bulan Januari</v>
          </cell>
          <cell r="E412" t="str">
            <v>II.2.2.05</v>
          </cell>
          <cell r="G412">
            <v>3300000</v>
          </cell>
        </row>
        <row r="413">
          <cell r="A413" t="str">
            <v>II.2.2.041</v>
          </cell>
          <cell r="B413">
            <v>141</v>
          </cell>
          <cell r="C413">
            <v>46052</v>
          </cell>
          <cell r="D413" t="str">
            <v>Insentif Pengelola Keuangan bulan januari</v>
          </cell>
          <cell r="E413" t="str">
            <v>II.2.2.04</v>
          </cell>
          <cell r="G413">
            <v>400000</v>
          </cell>
        </row>
        <row r="414">
          <cell r="A414" t="str">
            <v>II.2.2.011</v>
          </cell>
          <cell r="B414">
            <v>142</v>
          </cell>
          <cell r="C414">
            <v>46052</v>
          </cell>
          <cell r="D414" t="str">
            <v>Honor Sopir dan Tenaga Sekretariat bulan januari</v>
          </cell>
          <cell r="E414" t="str">
            <v>II.2.2.01</v>
          </cell>
          <cell r="G414">
            <v>3500000</v>
          </cell>
        </row>
        <row r="415">
          <cell r="A415" t="str">
            <v>II.5.1.0712</v>
          </cell>
          <cell r="B415">
            <v>143</v>
          </cell>
          <cell r="C415">
            <v>46052</v>
          </cell>
          <cell r="D415" t="str">
            <v>Transport Sound man, Penjaga Kebun dan Pelatih kantoria bulan januari</v>
          </cell>
          <cell r="E415" t="str">
            <v>II.5.1.07</v>
          </cell>
          <cell r="G415">
            <v>1400000</v>
          </cell>
        </row>
        <row r="416">
          <cell r="A416" t="str">
            <v>I.2.2.02.0355</v>
          </cell>
          <cell r="B416">
            <v>144</v>
          </cell>
          <cell r="C416">
            <v>46052</v>
          </cell>
          <cell r="D416" t="str">
            <v>Kolekta Kebaktian Lansia / Orang Sakit</v>
          </cell>
          <cell r="E416" t="str">
            <v>I.2.2.02.035</v>
          </cell>
          <cell r="F416">
            <v>340000</v>
          </cell>
        </row>
        <row r="417">
          <cell r="A417" t="str">
            <v>I.2.2.02.0192</v>
          </cell>
          <cell r="B417">
            <v>145</v>
          </cell>
          <cell r="C417">
            <v>46052</v>
          </cell>
          <cell r="D417" t="str">
            <v>Kolekta Kebaktian koinonia antar Sektor</v>
          </cell>
          <cell r="E417" t="str">
            <v>I.2.2.02.019</v>
          </cell>
          <cell r="F417">
            <v>2151000</v>
          </cell>
        </row>
        <row r="418">
          <cell r="A418" t="str">
            <v>0</v>
          </cell>
        </row>
        <row r="419">
          <cell r="A419" t="str">
            <v>0</v>
          </cell>
        </row>
        <row r="420">
          <cell r="A420" t="str">
            <v>0</v>
          </cell>
        </row>
        <row r="421">
          <cell r="A421" t="str">
            <v>0</v>
          </cell>
        </row>
        <row r="422">
          <cell r="A422" t="str">
            <v>0</v>
          </cell>
        </row>
        <row r="423">
          <cell r="A423" t="str">
            <v>0</v>
          </cell>
        </row>
        <row r="424">
          <cell r="A424" t="str">
            <v>0</v>
          </cell>
        </row>
        <row r="425">
          <cell r="A425" t="str">
            <v>0</v>
          </cell>
        </row>
        <row r="426">
          <cell r="A426" t="str">
            <v>0</v>
          </cell>
        </row>
        <row r="427">
          <cell r="A427" t="str">
            <v>0</v>
          </cell>
        </row>
        <row r="428">
          <cell r="A428" t="str">
            <v>0</v>
          </cell>
        </row>
        <row r="429">
          <cell r="A429" t="str">
            <v>0</v>
          </cell>
        </row>
        <row r="430">
          <cell r="A430" t="str">
            <v>0</v>
          </cell>
        </row>
        <row r="431">
          <cell r="A431" t="str">
            <v>0</v>
          </cell>
        </row>
        <row r="432">
          <cell r="A432" t="str">
            <v>0</v>
          </cell>
        </row>
        <row r="433">
          <cell r="A433" t="str">
            <v>0</v>
          </cell>
        </row>
        <row r="434">
          <cell r="A434" t="str">
            <v>0</v>
          </cell>
        </row>
        <row r="436">
          <cell r="C436" t="str">
            <v>JUMLAH TANGGAL</v>
          </cell>
          <cell r="F436">
            <v>2491000</v>
          </cell>
          <cell r="G436">
            <v>28550000</v>
          </cell>
        </row>
        <row r="437">
          <cell r="C437" t="str">
            <v>HARI INI</v>
          </cell>
        </row>
        <row r="438">
          <cell r="C438" t="str">
            <v>JUMLAH S/D TANGGAL</v>
          </cell>
          <cell r="F438">
            <v>165767652</v>
          </cell>
          <cell r="G438">
            <v>107918568</v>
          </cell>
        </row>
        <row r="439">
          <cell r="C439" t="str">
            <v>TOTAL</v>
          </cell>
          <cell r="F439">
            <v>168258652</v>
          </cell>
          <cell r="G439">
            <v>136468568</v>
          </cell>
        </row>
        <row r="441">
          <cell r="C441" t="str">
            <v>SISA</v>
          </cell>
          <cell r="D441">
            <v>31790084</v>
          </cell>
        </row>
        <row r="443">
          <cell r="A443" t="str">
            <v>KODE BANTU</v>
          </cell>
          <cell r="B443" t="str">
            <v>NO</v>
          </cell>
          <cell r="C443" t="str">
            <v>JANUARI</v>
          </cell>
          <cell r="D443" t="str">
            <v>URAIAN</v>
          </cell>
          <cell r="E443" t="str">
            <v>KODE ANGGARAN</v>
          </cell>
          <cell r="F443" t="str">
            <v>PENERIMAAN</v>
          </cell>
          <cell r="G443" t="str">
            <v>PENGELUARAN</v>
          </cell>
        </row>
        <row r="444">
          <cell r="A444" t="str">
            <v>0</v>
          </cell>
        </row>
        <row r="445">
          <cell r="A445" t="str">
            <v>0</v>
          </cell>
        </row>
        <row r="446">
          <cell r="A446" t="str">
            <v>0</v>
          </cell>
        </row>
        <row r="447">
          <cell r="A447" t="str">
            <v>0</v>
          </cell>
        </row>
        <row r="448">
          <cell r="A448" t="str">
            <v>0</v>
          </cell>
        </row>
        <row r="449">
          <cell r="A449" t="str">
            <v>0</v>
          </cell>
        </row>
        <row r="450">
          <cell r="A450" t="str">
            <v>0</v>
          </cell>
        </row>
        <row r="451">
          <cell r="A451" t="str">
            <v>0</v>
          </cell>
        </row>
        <row r="452">
          <cell r="A452" t="str">
            <v>0</v>
          </cell>
        </row>
        <row r="453">
          <cell r="A453" t="str">
            <v>0</v>
          </cell>
        </row>
        <row r="454">
          <cell r="A454" t="str">
            <v>0</v>
          </cell>
        </row>
        <row r="455">
          <cell r="A455" t="str">
            <v>0</v>
          </cell>
        </row>
        <row r="456">
          <cell r="A456" t="str">
            <v>0</v>
          </cell>
        </row>
        <row r="457">
          <cell r="A457" t="str">
            <v>0</v>
          </cell>
        </row>
        <row r="458">
          <cell r="A458" t="str">
            <v>0</v>
          </cell>
        </row>
        <row r="459">
          <cell r="A459" t="str">
            <v>0</v>
          </cell>
        </row>
        <row r="460">
          <cell r="A460" t="str">
            <v>0</v>
          </cell>
        </row>
        <row r="461">
          <cell r="A461" t="str">
            <v>0</v>
          </cell>
        </row>
        <row r="462">
          <cell r="A462" t="str">
            <v>0</v>
          </cell>
        </row>
        <row r="463">
          <cell r="A463" t="str">
            <v>0</v>
          </cell>
        </row>
        <row r="464">
          <cell r="A464" t="str">
            <v>0</v>
          </cell>
        </row>
        <row r="465">
          <cell r="A465" t="str">
            <v>0</v>
          </cell>
        </row>
        <row r="466">
          <cell r="A466" t="str">
            <v>0</v>
          </cell>
        </row>
        <row r="467">
          <cell r="A467" t="str">
            <v>0</v>
          </cell>
        </row>
        <row r="468">
          <cell r="A468" t="str">
            <v>0</v>
          </cell>
        </row>
        <row r="470">
          <cell r="C470" t="str">
            <v>JUMLAH TANGGAL</v>
          </cell>
          <cell r="F470">
            <v>0</v>
          </cell>
          <cell r="G470">
            <v>0</v>
          </cell>
        </row>
        <row r="471">
          <cell r="C471" t="str">
            <v>HARI INI</v>
          </cell>
        </row>
        <row r="472">
          <cell r="C472" t="str">
            <v>JUMLAH S/D TANGGAL</v>
          </cell>
          <cell r="F472">
            <v>168258652</v>
          </cell>
          <cell r="G472">
            <v>136468568</v>
          </cell>
        </row>
        <row r="473">
          <cell r="C473" t="str">
            <v>TOTAL</v>
          </cell>
          <cell r="F473">
            <v>168258652</v>
          </cell>
          <cell r="G473">
            <v>136468568</v>
          </cell>
        </row>
        <row r="475">
          <cell r="C475" t="str">
            <v>SISA</v>
          </cell>
          <cell r="D475">
            <v>31790084</v>
          </cell>
        </row>
        <row r="477">
          <cell r="A477" t="str">
            <v>KODE BANTU</v>
          </cell>
          <cell r="B477" t="str">
            <v>NO</v>
          </cell>
          <cell r="C477" t="str">
            <v>JANUARI</v>
          </cell>
          <cell r="D477" t="str">
            <v>URAIAN</v>
          </cell>
          <cell r="E477" t="str">
            <v>KODE ANGGARAN</v>
          </cell>
          <cell r="F477" t="str">
            <v>PENERIMAAN</v>
          </cell>
          <cell r="G477" t="str">
            <v>PENGELUARAN</v>
          </cell>
        </row>
        <row r="478">
          <cell r="A478" t="str">
            <v>0</v>
          </cell>
        </row>
        <row r="479">
          <cell r="A479" t="str">
            <v>0</v>
          </cell>
        </row>
        <row r="480">
          <cell r="A480" t="str">
            <v>0</v>
          </cell>
        </row>
        <row r="481">
          <cell r="A481" t="str">
            <v>0</v>
          </cell>
        </row>
        <row r="482">
          <cell r="A482" t="str">
            <v>0</v>
          </cell>
        </row>
        <row r="483">
          <cell r="A483" t="str">
            <v>0</v>
          </cell>
        </row>
        <row r="484">
          <cell r="A484" t="str">
            <v>0</v>
          </cell>
        </row>
        <row r="485">
          <cell r="A485" t="str">
            <v>0</v>
          </cell>
        </row>
        <row r="486">
          <cell r="A486" t="str">
            <v>0</v>
          </cell>
        </row>
        <row r="487">
          <cell r="A487" t="str">
            <v>0</v>
          </cell>
        </row>
        <row r="488">
          <cell r="A488" t="str">
            <v>0</v>
          </cell>
        </row>
        <row r="489">
          <cell r="A489" t="str">
            <v>0</v>
          </cell>
        </row>
        <row r="490">
          <cell r="A490" t="str">
            <v>0</v>
          </cell>
        </row>
        <row r="491">
          <cell r="A491" t="str">
            <v>0</v>
          </cell>
        </row>
        <row r="492">
          <cell r="A492" t="str">
            <v>0</v>
          </cell>
        </row>
        <row r="493">
          <cell r="A493" t="str">
            <v>0</v>
          </cell>
        </row>
        <row r="494">
          <cell r="A494" t="str">
            <v>0</v>
          </cell>
        </row>
        <row r="495">
          <cell r="A495" t="str">
            <v>0</v>
          </cell>
        </row>
        <row r="496">
          <cell r="A496" t="str">
            <v>0</v>
          </cell>
        </row>
        <row r="497">
          <cell r="A497" t="str">
            <v>0</v>
          </cell>
        </row>
        <row r="498">
          <cell r="A498" t="str">
            <v>0</v>
          </cell>
        </row>
        <row r="499">
          <cell r="A499" t="str">
            <v>0</v>
          </cell>
        </row>
        <row r="500">
          <cell r="A500" t="str">
            <v>0</v>
          </cell>
        </row>
        <row r="501">
          <cell r="A501" t="str">
            <v>0</v>
          </cell>
        </row>
        <row r="502">
          <cell r="A502" t="str">
            <v>0</v>
          </cell>
        </row>
        <row r="504">
          <cell r="C504" t="str">
            <v>JUMLAH TANGGAL</v>
          </cell>
          <cell r="F504">
            <v>0</v>
          </cell>
          <cell r="G504">
            <v>0</v>
          </cell>
        </row>
        <row r="505">
          <cell r="C505" t="str">
            <v>HARI INI</v>
          </cell>
        </row>
        <row r="506">
          <cell r="C506" t="str">
            <v>JUMLAH S/D TANGGAL</v>
          </cell>
          <cell r="F506">
            <v>168258652</v>
          </cell>
          <cell r="G506">
            <v>136468568</v>
          </cell>
        </row>
        <row r="507">
          <cell r="C507" t="str">
            <v>TOTAL</v>
          </cell>
          <cell r="F507">
            <v>168258652</v>
          </cell>
          <cell r="G507">
            <v>136468568</v>
          </cell>
        </row>
        <row r="509">
          <cell r="C509" t="str">
            <v>SISA</v>
          </cell>
          <cell r="D509">
            <v>31790084</v>
          </cell>
        </row>
        <row r="511">
          <cell r="A511" t="str">
            <v>KODE BANTU</v>
          </cell>
          <cell r="B511" t="str">
            <v>NO</v>
          </cell>
          <cell r="C511" t="str">
            <v>FEBRUARI</v>
          </cell>
          <cell r="D511" t="str">
            <v>URAIAN</v>
          </cell>
          <cell r="E511" t="str">
            <v>KODE ANGGARAN</v>
          </cell>
          <cell r="F511" t="str">
            <v>PENERIMAAN</v>
          </cell>
          <cell r="G511" t="str">
            <v>PENGELUARAN</v>
          </cell>
        </row>
        <row r="512">
          <cell r="A512" t="str">
            <v>I.2.2.01.0015</v>
          </cell>
          <cell r="B512">
            <v>146</v>
          </cell>
          <cell r="C512">
            <v>46054</v>
          </cell>
          <cell r="D512" t="str">
            <v>Kolekta Kebaktian Minggu Gereja Baitrafa dan SK</v>
          </cell>
          <cell r="E512" t="str">
            <v>I.2.2.01.001</v>
          </cell>
          <cell r="F512">
            <v>7226000</v>
          </cell>
        </row>
        <row r="513">
          <cell r="A513" t="str">
            <v>I.2.3.017</v>
          </cell>
          <cell r="B513">
            <v>147</v>
          </cell>
          <cell r="C513">
            <v>46054</v>
          </cell>
          <cell r="D513" t="str">
            <v>Persepuluhan Gereja Baitrafa dan SK</v>
          </cell>
          <cell r="E513" t="str">
            <v>I.2.3.01</v>
          </cell>
          <cell r="F513">
            <v>12654000</v>
          </cell>
        </row>
        <row r="514">
          <cell r="A514" t="str">
            <v>II.5.1.0713</v>
          </cell>
          <cell r="B514">
            <v>148</v>
          </cell>
          <cell r="C514">
            <v>46054</v>
          </cell>
          <cell r="D514" t="str">
            <v>Belanja Kebaktian Minggu</v>
          </cell>
          <cell r="E514" t="str">
            <v>II.5.1.07</v>
          </cell>
          <cell r="G514">
            <v>1050000</v>
          </cell>
        </row>
        <row r="515">
          <cell r="A515" t="str">
            <v>II.5.1.014</v>
          </cell>
          <cell r="B515">
            <v>149</v>
          </cell>
          <cell r="C515">
            <v>46054</v>
          </cell>
          <cell r="D515" t="str">
            <v>Sumbangan Pelayanan sakit 10 org dan Transport</v>
          </cell>
          <cell r="E515" t="str">
            <v>II.5.1.01</v>
          </cell>
          <cell r="G515">
            <v>3200000</v>
          </cell>
        </row>
        <row r="516">
          <cell r="A516" t="str">
            <v>II.2.3.012</v>
          </cell>
          <cell r="B516">
            <v>150</v>
          </cell>
          <cell r="C516">
            <v>46054</v>
          </cell>
          <cell r="D516" t="str">
            <v>Belanja ATK bulan Februari</v>
          </cell>
          <cell r="E516" t="str">
            <v>II.2.3.01</v>
          </cell>
          <cell r="G516">
            <v>1250000</v>
          </cell>
        </row>
        <row r="517">
          <cell r="A517" t="str">
            <v>II.2.5.038</v>
          </cell>
          <cell r="B517">
            <v>151</v>
          </cell>
          <cell r="C517">
            <v>46054</v>
          </cell>
          <cell r="D517" t="str">
            <v>Biaya cuci pakaian Gereja</v>
          </cell>
          <cell r="E517" t="str">
            <v>II.2.5.03</v>
          </cell>
          <cell r="G517">
            <v>200000</v>
          </cell>
        </row>
        <row r="518">
          <cell r="A518" t="str">
            <v>II.5.1.106</v>
          </cell>
          <cell r="B518">
            <v>152</v>
          </cell>
          <cell r="C518">
            <v>46054</v>
          </cell>
          <cell r="D518" t="str">
            <v>Beli masker 1 dos</v>
          </cell>
          <cell r="E518" t="str">
            <v>II.5.1.10</v>
          </cell>
          <cell r="G518">
            <v>50000</v>
          </cell>
        </row>
        <row r="519">
          <cell r="A519" t="str">
            <v>II.2.5.039</v>
          </cell>
          <cell r="B519">
            <v>153</v>
          </cell>
          <cell r="C519">
            <v>46054</v>
          </cell>
          <cell r="D519" t="str">
            <v>Beli solar untuk mesin genset dan transport</v>
          </cell>
          <cell r="E519" t="str">
            <v>II.2.5.03</v>
          </cell>
          <cell r="G519">
            <v>320000</v>
          </cell>
        </row>
        <row r="520">
          <cell r="A520" t="str">
            <v>II.5.1.115</v>
          </cell>
          <cell r="B520">
            <v>154</v>
          </cell>
          <cell r="C520">
            <v>46054</v>
          </cell>
          <cell r="D520" t="str">
            <v>biaya fotocopy liturgi pemakaman dan kebaktian peresmian gedung serbaguna dan warta</v>
          </cell>
          <cell r="E520" t="str">
            <v>II.5.1.11</v>
          </cell>
          <cell r="G520">
            <v>550000</v>
          </cell>
        </row>
        <row r="521">
          <cell r="A521" t="str">
            <v>0</v>
          </cell>
        </row>
        <row r="522">
          <cell r="A522" t="str">
            <v>0</v>
          </cell>
        </row>
        <row r="523">
          <cell r="A523" t="str">
            <v>0</v>
          </cell>
        </row>
        <row r="524">
          <cell r="A524" t="str">
            <v>0</v>
          </cell>
        </row>
        <row r="525">
          <cell r="A525" t="str">
            <v>0</v>
          </cell>
        </row>
        <row r="526">
          <cell r="A526" t="str">
            <v>0</v>
          </cell>
        </row>
        <row r="527">
          <cell r="A527" t="str">
            <v>0</v>
          </cell>
        </row>
        <row r="528">
          <cell r="A528" t="str">
            <v>0</v>
          </cell>
        </row>
        <row r="529">
          <cell r="A529" t="str">
            <v>0</v>
          </cell>
        </row>
        <row r="530">
          <cell r="A530" t="str">
            <v>0</v>
          </cell>
        </row>
        <row r="531">
          <cell r="A531" t="str">
            <v>0</v>
          </cell>
        </row>
        <row r="532">
          <cell r="A532" t="str">
            <v>0</v>
          </cell>
        </row>
        <row r="533">
          <cell r="A533" t="str">
            <v>0</v>
          </cell>
        </row>
        <row r="534">
          <cell r="A534" t="str">
            <v>0</v>
          </cell>
        </row>
        <row r="535">
          <cell r="A535" t="str">
            <v>0</v>
          </cell>
        </row>
        <row r="536">
          <cell r="A536" t="str">
            <v>0</v>
          </cell>
        </row>
        <row r="538">
          <cell r="C538" t="str">
            <v>JUMLAH TANGGAL</v>
          </cell>
          <cell r="F538">
            <v>19880000</v>
          </cell>
          <cell r="G538">
            <v>6620000</v>
          </cell>
        </row>
        <row r="539">
          <cell r="C539" t="str">
            <v>HARI INI</v>
          </cell>
        </row>
        <row r="540">
          <cell r="C540" t="str">
            <v>JUMLAH S/D TANGGAL</v>
          </cell>
          <cell r="F540">
            <v>168258652</v>
          </cell>
          <cell r="G540">
            <v>136468568</v>
          </cell>
        </row>
        <row r="541">
          <cell r="C541" t="str">
            <v>TOTAL</v>
          </cell>
          <cell r="F541">
            <v>188138652</v>
          </cell>
          <cell r="G541">
            <v>143088568</v>
          </cell>
        </row>
        <row r="543">
          <cell r="C543" t="str">
            <v>SISA</v>
          </cell>
          <cell r="D543">
            <v>45050084</v>
          </cell>
        </row>
        <row r="545">
          <cell r="A545" t="str">
            <v>KODE BANTU</v>
          </cell>
          <cell r="B545" t="str">
            <v>NO</v>
          </cell>
          <cell r="C545" t="str">
            <v>FEBRUARI</v>
          </cell>
          <cell r="D545" t="str">
            <v>URAIAN</v>
          </cell>
          <cell r="E545" t="str">
            <v>KODE ANGGARAN</v>
          </cell>
          <cell r="F545" t="str">
            <v>PENERIMAAN</v>
          </cell>
          <cell r="G545" t="str">
            <v>PENGELUARAN</v>
          </cell>
        </row>
        <row r="546">
          <cell r="A546" t="str">
            <v>I.2.2.02.0304</v>
          </cell>
          <cell r="B546">
            <v>155</v>
          </cell>
          <cell r="C546">
            <v>46059</v>
          </cell>
          <cell r="D546" t="str">
            <v>Kolekta Kebaktian Pelayanan Laki-Laki</v>
          </cell>
          <cell r="E546" t="str">
            <v>I.2.2.02.030</v>
          </cell>
          <cell r="F546">
            <v>657000</v>
          </cell>
        </row>
        <row r="547">
          <cell r="A547" t="str">
            <v>I.2.2.02.0294</v>
          </cell>
          <cell r="B547">
            <v>156</v>
          </cell>
          <cell r="C547">
            <v>46059</v>
          </cell>
          <cell r="D547" t="str">
            <v>Kolekta Kebaktian Pelayanan Perempuan</v>
          </cell>
          <cell r="E547" t="str">
            <v>I.2.2.02.029</v>
          </cell>
          <cell r="F547">
            <v>1624000</v>
          </cell>
        </row>
        <row r="548">
          <cell r="A548" t="str">
            <v>I.2.2.02.0016</v>
          </cell>
          <cell r="B548">
            <v>157</v>
          </cell>
          <cell r="C548">
            <v>46059</v>
          </cell>
          <cell r="D548" t="str">
            <v>Kolekta Kebaktian Syukur HUT Kelahiran</v>
          </cell>
          <cell r="E548" t="str">
            <v>I.2.2.02.001</v>
          </cell>
          <cell r="F548">
            <v>1365000</v>
          </cell>
        </row>
        <row r="549">
          <cell r="A549" t="str">
            <v>I.2.2.02.0026</v>
          </cell>
          <cell r="B549">
            <v>158</v>
          </cell>
          <cell r="C549">
            <v>46059</v>
          </cell>
          <cell r="D549" t="str">
            <v>Kolekta Kebaktian Syukur HUT Perkawinan</v>
          </cell>
          <cell r="E549" t="str">
            <v>I.2.2.02.002</v>
          </cell>
          <cell r="F549">
            <v>450000</v>
          </cell>
        </row>
        <row r="550">
          <cell r="A550" t="str">
            <v>I.2.2.02.0356</v>
          </cell>
          <cell r="B550">
            <v>159</v>
          </cell>
          <cell r="C550">
            <v>46059</v>
          </cell>
          <cell r="D550" t="str">
            <v>Kolekta Kebaktian Lansia / Orang Sakit</v>
          </cell>
          <cell r="E550" t="str">
            <v>I.2.2.02.035</v>
          </cell>
          <cell r="F550">
            <v>340000</v>
          </cell>
        </row>
        <row r="551">
          <cell r="A551" t="str">
            <v>I.2.2.02.0649</v>
          </cell>
          <cell r="B551">
            <v>160</v>
          </cell>
          <cell r="C551">
            <v>46059</v>
          </cell>
          <cell r="D551" t="str">
            <v>Kolekta kebaktian prasidang ke 47</v>
          </cell>
          <cell r="E551" t="str">
            <v>I.2.2.02.064</v>
          </cell>
          <cell r="F551">
            <v>585000</v>
          </cell>
        </row>
        <row r="552">
          <cell r="A552" t="str">
            <v>I.2.2.02.0639</v>
          </cell>
          <cell r="B552">
            <v>161</v>
          </cell>
          <cell r="C552">
            <v>46059</v>
          </cell>
          <cell r="D552" t="str">
            <v>Kolekta Pergumulan</v>
          </cell>
          <cell r="E552" t="str">
            <v>I.2.2.02.063</v>
          </cell>
          <cell r="F552">
            <v>534000</v>
          </cell>
        </row>
        <row r="553">
          <cell r="A553" t="str">
            <v>I.2.2.02.06410</v>
          </cell>
          <cell r="B553">
            <v>162</v>
          </cell>
          <cell r="C553">
            <v>46059</v>
          </cell>
          <cell r="D553" t="str">
            <v>Kolekta kebaktian persekutuan keluarga ana cucu opa gabe, oma bata waisapy</v>
          </cell>
          <cell r="E553" t="str">
            <v>I.2.2.02.064</v>
          </cell>
          <cell r="F553">
            <v>150000</v>
          </cell>
        </row>
        <row r="554">
          <cell r="A554" t="str">
            <v>I.2.2.02.06411</v>
          </cell>
          <cell r="B554">
            <v>163</v>
          </cell>
          <cell r="C554">
            <v>46059</v>
          </cell>
          <cell r="D554" t="str">
            <v>Kolekta pergumulan panitia gedung serbaguna</v>
          </cell>
          <cell r="E554" t="str">
            <v>I.2.2.02.064</v>
          </cell>
          <cell r="F554">
            <v>189000</v>
          </cell>
        </row>
        <row r="555">
          <cell r="A555" t="str">
            <v>0</v>
          </cell>
        </row>
        <row r="556">
          <cell r="A556" t="str">
            <v>0</v>
          </cell>
        </row>
        <row r="557">
          <cell r="A557" t="str">
            <v>0</v>
          </cell>
        </row>
        <row r="558">
          <cell r="A558" t="str">
            <v>0</v>
          </cell>
        </row>
        <row r="559">
          <cell r="A559" t="str">
            <v>0</v>
          </cell>
        </row>
        <row r="560">
          <cell r="A560" t="str">
            <v>0</v>
          </cell>
        </row>
        <row r="561">
          <cell r="A561" t="str">
            <v>0</v>
          </cell>
        </row>
        <row r="562">
          <cell r="A562" t="str">
            <v>0</v>
          </cell>
        </row>
        <row r="563">
          <cell r="A563" t="str">
            <v>0</v>
          </cell>
        </row>
        <row r="564">
          <cell r="A564" t="str">
            <v>0</v>
          </cell>
        </row>
        <row r="565">
          <cell r="A565" t="str">
            <v>0</v>
          </cell>
        </row>
        <row r="566">
          <cell r="A566" t="str">
            <v>0</v>
          </cell>
        </row>
        <row r="567">
          <cell r="A567" t="str">
            <v>0</v>
          </cell>
        </row>
        <row r="568">
          <cell r="A568" t="str">
            <v>0</v>
          </cell>
        </row>
        <row r="569">
          <cell r="A569" t="str">
            <v>0</v>
          </cell>
        </row>
        <row r="570">
          <cell r="A570" t="str">
            <v>0</v>
          </cell>
        </row>
        <row r="572">
          <cell r="C572" t="str">
            <v>JUMLAH TANGGAL</v>
          </cell>
          <cell r="F572">
            <v>5894000</v>
          </cell>
          <cell r="G572">
            <v>0</v>
          </cell>
        </row>
        <row r="573">
          <cell r="C573" t="str">
            <v>HARI INI</v>
          </cell>
        </row>
        <row r="574">
          <cell r="C574" t="str">
            <v>JUMLAH S/D TANGGAL</v>
          </cell>
          <cell r="F574">
            <v>188138652</v>
          </cell>
          <cell r="G574">
            <v>143088568</v>
          </cell>
        </row>
        <row r="575">
          <cell r="C575" t="str">
            <v>TOTAL</v>
          </cell>
          <cell r="F575">
            <v>194032652</v>
          </cell>
          <cell r="G575">
            <v>143088568</v>
          </cell>
        </row>
        <row r="577">
          <cell r="C577" t="str">
            <v>SISA</v>
          </cell>
          <cell r="D577">
            <v>50944084</v>
          </cell>
        </row>
        <row r="579">
          <cell r="A579" t="str">
            <v>KODE BANTU</v>
          </cell>
          <cell r="B579" t="str">
            <v>NO</v>
          </cell>
          <cell r="C579" t="str">
            <v>FEBRUARI</v>
          </cell>
          <cell r="D579" t="str">
            <v>URAIAN</v>
          </cell>
          <cell r="E579" t="str">
            <v>KODE ANGGARAN</v>
          </cell>
          <cell r="F579" t="str">
            <v>PENERIMAAN</v>
          </cell>
          <cell r="G579" t="str">
            <v>PENGELUARAN</v>
          </cell>
        </row>
        <row r="580">
          <cell r="A580" t="str">
            <v>I.2.2.02.0313</v>
          </cell>
          <cell r="B580">
            <v>164</v>
          </cell>
          <cell r="C580">
            <v>46059</v>
          </cell>
          <cell r="D580" t="str">
            <v>Kolekta Kebaktian Pengasuh SMTPI</v>
          </cell>
          <cell r="E580" t="str">
            <v>I.2.2.02.031</v>
          </cell>
          <cell r="F580">
            <v>164000</v>
          </cell>
        </row>
        <row r="581">
          <cell r="A581" t="str">
            <v>I.2.2.02.0253</v>
          </cell>
          <cell r="B581">
            <v>165</v>
          </cell>
          <cell r="C581">
            <v>46059</v>
          </cell>
          <cell r="D581" t="str">
            <v>Kolekta Kebaktian SMTPI</v>
          </cell>
          <cell r="E581" t="str">
            <v>I.2.2.02.025</v>
          </cell>
          <cell r="F581">
            <v>1300000</v>
          </cell>
        </row>
        <row r="582">
          <cell r="A582" t="str">
            <v>I.2.2.02.06412</v>
          </cell>
          <cell r="B582">
            <v>166</v>
          </cell>
          <cell r="C582">
            <v>46059</v>
          </cell>
          <cell r="D582" t="str">
            <v>Kolekta kebaktian syukur Kel. Lewakabessy</v>
          </cell>
          <cell r="E582" t="str">
            <v>I.2.2.02.064</v>
          </cell>
          <cell r="F582">
            <v>203000</v>
          </cell>
        </row>
        <row r="583">
          <cell r="A583" t="str">
            <v>I.2.2.02.0242</v>
          </cell>
          <cell r="B583">
            <v>167</v>
          </cell>
          <cell r="C583">
            <v>46059</v>
          </cell>
          <cell r="D583" t="str">
            <v>Kolekta Kebaktian Pantai/Papalele</v>
          </cell>
          <cell r="E583" t="str">
            <v>I.2.2.02.024</v>
          </cell>
          <cell r="F583">
            <v>620000</v>
          </cell>
        </row>
        <row r="584">
          <cell r="A584" t="str">
            <v>I.2.2.02.0081</v>
          </cell>
          <cell r="B584">
            <v>168</v>
          </cell>
          <cell r="C584">
            <v>46059</v>
          </cell>
          <cell r="D584" t="str">
            <v>Kolekta kebaktian syukur selesai pendidikan Tamtama TNI AD Kel. Bpk Andi Talla</v>
          </cell>
          <cell r="E584" t="str">
            <v>I.2.2.02.008</v>
          </cell>
          <cell r="F584">
            <v>120000</v>
          </cell>
        </row>
        <row r="585">
          <cell r="A585" t="str">
            <v>I.2.2.02.06413</v>
          </cell>
          <cell r="B585">
            <v>169</v>
          </cell>
          <cell r="C585">
            <v>46059</v>
          </cell>
          <cell r="D585" t="str">
            <v>Kolekta Peresmian Gedung Serbaguna</v>
          </cell>
          <cell r="E585" t="str">
            <v>I.2.2.02.064</v>
          </cell>
          <cell r="F585">
            <v>2250000</v>
          </cell>
        </row>
        <row r="586">
          <cell r="A586" t="str">
            <v>I.2.2.02.0044</v>
          </cell>
          <cell r="B586">
            <v>170</v>
          </cell>
          <cell r="C586">
            <v>46059</v>
          </cell>
          <cell r="D586" t="str">
            <v>Kolekta Kebaktian Syukur Duka Kel. Titarsole Letlora</v>
          </cell>
          <cell r="E586" t="str">
            <v>I.2.2.02.004</v>
          </cell>
          <cell r="F586">
            <v>270000</v>
          </cell>
        </row>
        <row r="587">
          <cell r="A587" t="str">
            <v>I.2.2.02.06414</v>
          </cell>
          <cell r="B587">
            <v>171</v>
          </cell>
          <cell r="C587">
            <v>46059</v>
          </cell>
          <cell r="D587" t="str">
            <v>Kolekta kebaktian persekutuan Kel. Manuputty</v>
          </cell>
          <cell r="E587" t="str">
            <v>I.2.2.02.064</v>
          </cell>
          <cell r="F587">
            <v>105000</v>
          </cell>
        </row>
        <row r="588">
          <cell r="A588" t="str">
            <v>II.5.1.0714</v>
          </cell>
          <cell r="B588">
            <v>172</v>
          </cell>
          <cell r="C588">
            <v>46059</v>
          </cell>
          <cell r="D588" t="str">
            <v>Biaya Pelayanan Kebaktian Peresmian Gedung Serbaguna</v>
          </cell>
          <cell r="E588" t="str">
            <v>II.5.1.07</v>
          </cell>
          <cell r="G588">
            <v>700000</v>
          </cell>
        </row>
        <row r="589">
          <cell r="A589" t="str">
            <v>II.5.1.065</v>
          </cell>
          <cell r="B589">
            <v>173</v>
          </cell>
          <cell r="C589">
            <v>46059</v>
          </cell>
          <cell r="D589" t="str">
            <v>Sumbangan Duka Alm. Bapa Deky Petta</v>
          </cell>
          <cell r="E589" t="str">
            <v>II.5.1.06</v>
          </cell>
          <cell r="G589">
            <v>500000</v>
          </cell>
        </row>
        <row r="590">
          <cell r="A590" t="str">
            <v>0</v>
          </cell>
        </row>
        <row r="591">
          <cell r="A591" t="str">
            <v>0</v>
          </cell>
        </row>
        <row r="592">
          <cell r="A592" t="str">
            <v>0</v>
          </cell>
        </row>
        <row r="593">
          <cell r="A593" t="str">
            <v>0</v>
          </cell>
        </row>
        <row r="594">
          <cell r="A594" t="str">
            <v>0</v>
          </cell>
        </row>
        <row r="595">
          <cell r="A595" t="str">
            <v>0</v>
          </cell>
        </row>
        <row r="596">
          <cell r="A596" t="str">
            <v>0</v>
          </cell>
        </row>
        <row r="597">
          <cell r="A597" t="str">
            <v>0</v>
          </cell>
        </row>
        <row r="598">
          <cell r="A598" t="str">
            <v>0</v>
          </cell>
        </row>
        <row r="599">
          <cell r="A599" t="str">
            <v>0</v>
          </cell>
        </row>
        <row r="600">
          <cell r="A600" t="str">
            <v>0</v>
          </cell>
        </row>
        <row r="601">
          <cell r="A601" t="str">
            <v>0</v>
          </cell>
        </row>
        <row r="602">
          <cell r="A602" t="str">
            <v>0</v>
          </cell>
        </row>
        <row r="603">
          <cell r="A603" t="str">
            <v>0</v>
          </cell>
        </row>
        <row r="604">
          <cell r="A604" t="str">
            <v>0</v>
          </cell>
        </row>
        <row r="606">
          <cell r="C606" t="str">
            <v>JUMLAH TANGGAL</v>
          </cell>
          <cell r="F606">
            <v>5032000</v>
          </cell>
          <cell r="G606">
            <v>1200000</v>
          </cell>
        </row>
        <row r="607">
          <cell r="C607" t="str">
            <v>HARI INI</v>
          </cell>
        </row>
        <row r="608">
          <cell r="C608" t="str">
            <v>JUMLAH S/D TANGGAL</v>
          </cell>
          <cell r="F608">
            <v>194032652</v>
          </cell>
          <cell r="G608">
            <v>143088568</v>
          </cell>
        </row>
        <row r="609">
          <cell r="C609" t="str">
            <v>TOTAL</v>
          </cell>
          <cell r="F609">
            <v>199064652</v>
          </cell>
          <cell r="G609">
            <v>144288568</v>
          </cell>
        </row>
        <row r="611">
          <cell r="C611" t="str">
            <v>SISA</v>
          </cell>
          <cell r="D611">
            <v>54776084</v>
          </cell>
        </row>
        <row r="613">
          <cell r="A613" t="str">
            <v>KODE BANTU</v>
          </cell>
          <cell r="B613" t="str">
            <v>NO</v>
          </cell>
          <cell r="C613" t="str">
            <v>FEBRUARI</v>
          </cell>
          <cell r="D613" t="str">
            <v>URAIAN</v>
          </cell>
          <cell r="E613" t="str">
            <v>KODE ANGGARAN</v>
          </cell>
          <cell r="F613" t="str">
            <v>PENERIMAAN</v>
          </cell>
          <cell r="G613" t="str">
            <v>PENGELUARAN</v>
          </cell>
        </row>
        <row r="614">
          <cell r="A614" t="str">
            <v>I.2.2.01.0016</v>
          </cell>
          <cell r="B614">
            <v>174</v>
          </cell>
          <cell r="C614">
            <v>46061</v>
          </cell>
          <cell r="D614" t="str">
            <v>Kolekta Kebaktian Minggu Gereja Baitrafa dan SK</v>
          </cell>
          <cell r="E614" t="str">
            <v>I.2.2.01.001</v>
          </cell>
          <cell r="F614">
            <v>8367000</v>
          </cell>
        </row>
        <row r="615">
          <cell r="A615" t="str">
            <v>I.2.3.018</v>
          </cell>
          <cell r="B615">
            <v>175</v>
          </cell>
          <cell r="C615">
            <v>46061</v>
          </cell>
          <cell r="D615" t="str">
            <v>Persepuluhan Gereja Baitrafa dan SK</v>
          </cell>
          <cell r="E615" t="str">
            <v>I.2.3.01</v>
          </cell>
          <cell r="F615">
            <v>16816000</v>
          </cell>
        </row>
        <row r="616">
          <cell r="A616" t="str">
            <v>II.5.1.0715</v>
          </cell>
          <cell r="B616">
            <v>176</v>
          </cell>
          <cell r="C616">
            <v>46061</v>
          </cell>
          <cell r="D616" t="str">
            <v>Belanja Kebaktian Minggu</v>
          </cell>
          <cell r="E616" t="str">
            <v>II.5.1.07</v>
          </cell>
          <cell r="G616">
            <v>1800000</v>
          </cell>
        </row>
        <row r="617">
          <cell r="A617" t="str">
            <v>II.5.1.015</v>
          </cell>
          <cell r="B617">
            <v>177</v>
          </cell>
          <cell r="C617">
            <v>46061</v>
          </cell>
          <cell r="D617" t="str">
            <v>Sumbangan Pelayanan sakit 12 org dan transport</v>
          </cell>
          <cell r="E617" t="str">
            <v>II.5.1.01</v>
          </cell>
          <cell r="G617">
            <v>3800000</v>
          </cell>
        </row>
        <row r="618">
          <cell r="A618" t="str">
            <v>II.5.1.0716</v>
          </cell>
          <cell r="B618">
            <v>178</v>
          </cell>
          <cell r="C618">
            <v>46061</v>
          </cell>
          <cell r="D618" t="str">
            <v>Sumbangan Pelayanan Baptis Kel. Suitela</v>
          </cell>
          <cell r="E618" t="str">
            <v>II.5.1.07</v>
          </cell>
          <cell r="G618">
            <v>200000</v>
          </cell>
        </row>
        <row r="619">
          <cell r="A619" t="str">
            <v>II.2.2.032</v>
          </cell>
          <cell r="B619">
            <v>179</v>
          </cell>
          <cell r="C619">
            <v>46061</v>
          </cell>
          <cell r="D619" t="str">
            <v>Bayar Insentif KMJ dan Pendeta Jemaat bulan Februari</v>
          </cell>
          <cell r="E619" t="str">
            <v>II.2.2.03</v>
          </cell>
          <cell r="G619">
            <v>5000000</v>
          </cell>
        </row>
        <row r="620">
          <cell r="A620" t="str">
            <v>II.2.3.042</v>
          </cell>
          <cell r="B620">
            <v>180</v>
          </cell>
          <cell r="C620">
            <v>46061</v>
          </cell>
          <cell r="D620" t="str">
            <v>Biaya Telepon 3 pendeta bulan februari</v>
          </cell>
          <cell r="E620" t="str">
            <v>II.2.3.04</v>
          </cell>
          <cell r="G620">
            <v>600000</v>
          </cell>
        </row>
        <row r="621">
          <cell r="A621" t="str">
            <v>II.5.1.116</v>
          </cell>
          <cell r="B621">
            <v>181</v>
          </cell>
          <cell r="C621">
            <v>46061</v>
          </cell>
          <cell r="D621" t="str">
            <v>Biaya HUT Pendeta Lina Matahelemual</v>
          </cell>
          <cell r="E621" t="str">
            <v>II.5.1.11</v>
          </cell>
          <cell r="G621">
            <v>1500000</v>
          </cell>
        </row>
        <row r="622">
          <cell r="A622" t="str">
            <v>II.5.1.107</v>
          </cell>
          <cell r="B622">
            <v>182</v>
          </cell>
          <cell r="C622">
            <v>46061</v>
          </cell>
          <cell r="D622" t="str">
            <v>Beli Bohlam</v>
          </cell>
          <cell r="E622" t="str">
            <v>II.5.1.10</v>
          </cell>
          <cell r="G622">
            <v>30000</v>
          </cell>
        </row>
        <row r="623">
          <cell r="A623" t="str">
            <v>II.5.1.108</v>
          </cell>
          <cell r="B623">
            <v>183</v>
          </cell>
          <cell r="C623">
            <v>46061</v>
          </cell>
          <cell r="D623" t="str">
            <v>Biaya Cetak Baliho Minggu Sengsara</v>
          </cell>
          <cell r="E623" t="str">
            <v>II.5.1.10</v>
          </cell>
          <cell r="G623">
            <v>700000</v>
          </cell>
        </row>
        <row r="624">
          <cell r="A624" t="str">
            <v>II.2.2.023</v>
          </cell>
          <cell r="B624">
            <v>184</v>
          </cell>
          <cell r="C624">
            <v>46061</v>
          </cell>
          <cell r="D624" t="str">
            <v>Biaya Lembur 2 hari untuk pembahasan pandangan umum dan keuangan</v>
          </cell>
          <cell r="E624" t="str">
            <v>II.2.2.02</v>
          </cell>
          <cell r="G624">
            <v>500000</v>
          </cell>
        </row>
        <row r="625">
          <cell r="A625" t="str">
            <v>II.2.8.013</v>
          </cell>
          <cell r="B625">
            <v>185</v>
          </cell>
          <cell r="C625">
            <v>46061</v>
          </cell>
          <cell r="D625" t="str">
            <v>Biaya sewa mobil untuk ambil Natura di Sinode</v>
          </cell>
          <cell r="E625" t="str">
            <v>II.2.8.01</v>
          </cell>
          <cell r="G625">
            <v>350000</v>
          </cell>
        </row>
        <row r="626">
          <cell r="A626" t="str">
            <v>II.5.1.0717</v>
          </cell>
          <cell r="B626">
            <v>186</v>
          </cell>
          <cell r="C626">
            <v>46061</v>
          </cell>
          <cell r="D626" t="str">
            <v>Biaya sewa mobil untuk pelayanan Baptis</v>
          </cell>
          <cell r="E626" t="str">
            <v>II.5.1.07</v>
          </cell>
          <cell r="G626">
            <v>100000</v>
          </cell>
        </row>
        <row r="627">
          <cell r="A627" t="str">
            <v>II.2.5.0310</v>
          </cell>
          <cell r="B627">
            <v>187</v>
          </cell>
          <cell r="C627">
            <v>46061</v>
          </cell>
          <cell r="D627" t="str">
            <v>Biaya cuci pakaian Gereja</v>
          </cell>
          <cell r="E627" t="str">
            <v>II.2.5.03</v>
          </cell>
          <cell r="G627">
            <v>70000</v>
          </cell>
        </row>
        <row r="628">
          <cell r="A628" t="str">
            <v>I.5.1.044</v>
          </cell>
          <cell r="B628">
            <v>188</v>
          </cell>
          <cell r="C628">
            <v>46061</v>
          </cell>
          <cell r="D628" t="str">
            <v>Pemberian untuk Gereja dari Kel. Hully dan sdri Jeklin Kailuhu</v>
          </cell>
          <cell r="E628" t="str">
            <v>I.5.1.04</v>
          </cell>
          <cell r="F628">
            <v>1000000</v>
          </cell>
        </row>
        <row r="629">
          <cell r="A629" t="str">
            <v>I.2.3.019</v>
          </cell>
          <cell r="B629">
            <v>189</v>
          </cell>
          <cell r="C629">
            <v>46061</v>
          </cell>
          <cell r="D629" t="str">
            <v>Persembahan Persepuluhan Kel. NN di Zaitun 2</v>
          </cell>
          <cell r="E629" t="str">
            <v>I.2.3.01</v>
          </cell>
          <cell r="F629">
            <v>2100000</v>
          </cell>
        </row>
        <row r="630">
          <cell r="A630" t="str">
            <v>I.2.4.012</v>
          </cell>
          <cell r="B630">
            <v>190</v>
          </cell>
          <cell r="C630">
            <v>46061</v>
          </cell>
          <cell r="D630" t="str">
            <v>Admin Nikah Kel. Harmusial, Pattipawae dan Kel. Tahapary</v>
          </cell>
          <cell r="E630" t="str">
            <v>I.2.4.01</v>
          </cell>
          <cell r="F630">
            <v>1500000</v>
          </cell>
        </row>
        <row r="631">
          <cell r="A631" t="str">
            <v>0</v>
          </cell>
        </row>
        <row r="632">
          <cell r="A632" t="str">
            <v>0</v>
          </cell>
        </row>
        <row r="633">
          <cell r="A633" t="str">
            <v>0</v>
          </cell>
        </row>
        <row r="634">
          <cell r="A634" t="str">
            <v>0</v>
          </cell>
        </row>
        <row r="635">
          <cell r="A635" t="str">
            <v>0</v>
          </cell>
        </row>
        <row r="636">
          <cell r="A636" t="str">
            <v>0</v>
          </cell>
        </row>
        <row r="637">
          <cell r="A637" t="str">
            <v>0</v>
          </cell>
        </row>
        <row r="638">
          <cell r="A638" t="str">
            <v>0</v>
          </cell>
        </row>
        <row r="640">
          <cell r="C640" t="str">
            <v>JUMLAH TANGGAL</v>
          </cell>
          <cell r="F640">
            <v>29783000</v>
          </cell>
          <cell r="G640">
            <v>14650000</v>
          </cell>
        </row>
        <row r="641">
          <cell r="C641" t="str">
            <v>HARI INI</v>
          </cell>
        </row>
        <row r="642">
          <cell r="C642" t="str">
            <v>JUMLAH S/D TANGGAL</v>
          </cell>
          <cell r="F642">
            <v>199064652</v>
          </cell>
          <cell r="G642">
            <v>144288568</v>
          </cell>
        </row>
        <row r="643">
          <cell r="C643" t="str">
            <v>TOTAL</v>
          </cell>
          <cell r="F643">
            <v>228847652</v>
          </cell>
          <cell r="G643">
            <v>158938568</v>
          </cell>
        </row>
        <row r="645">
          <cell r="C645" t="str">
            <v>SISA</v>
          </cell>
          <cell r="D645">
            <v>69909084</v>
          </cell>
        </row>
        <row r="647">
          <cell r="A647" t="str">
            <v>KODE BANTU</v>
          </cell>
          <cell r="B647" t="str">
            <v>NO</v>
          </cell>
          <cell r="C647" t="str">
            <v>FEBRUARI</v>
          </cell>
          <cell r="D647" t="str">
            <v>URAIAN</v>
          </cell>
          <cell r="E647" t="str">
            <v>KODE ANGGARAN</v>
          </cell>
          <cell r="F647" t="str">
            <v>PENERIMAAN</v>
          </cell>
          <cell r="G647" t="str">
            <v>PENGELUARAN</v>
          </cell>
        </row>
        <row r="648">
          <cell r="A648" t="str">
            <v>I.2.2.02.0305</v>
          </cell>
          <cell r="B648">
            <v>191</v>
          </cell>
          <cell r="C648">
            <v>46066</v>
          </cell>
          <cell r="D648" t="str">
            <v>Kolekta Kebaktian Pelayanan Laki-Laki</v>
          </cell>
          <cell r="E648" t="str">
            <v>I.2.2.02.030</v>
          </cell>
          <cell r="F648">
            <v>1158000</v>
          </cell>
        </row>
        <row r="649">
          <cell r="A649" t="str">
            <v>I.2.2.02.0295</v>
          </cell>
          <cell r="B649">
            <v>192</v>
          </cell>
          <cell r="C649">
            <v>46066</v>
          </cell>
          <cell r="D649" t="str">
            <v>Kolekta Kebaktian Pelayanan Perempuan</v>
          </cell>
          <cell r="E649" t="str">
            <v>I.2.2.02.029</v>
          </cell>
          <cell r="F649">
            <v>1409000</v>
          </cell>
        </row>
        <row r="650">
          <cell r="A650" t="str">
            <v>I.2.2.02.0017</v>
          </cell>
          <cell r="B650">
            <v>193</v>
          </cell>
          <cell r="C650">
            <v>46066</v>
          </cell>
          <cell r="D650" t="str">
            <v>Kolekta Kebaktian Syukur HUT Kelahiran</v>
          </cell>
          <cell r="E650" t="str">
            <v>I.2.2.02.001</v>
          </cell>
          <cell r="F650">
            <v>1360000</v>
          </cell>
        </row>
        <row r="651">
          <cell r="A651" t="str">
            <v>I.2.2.02.0027</v>
          </cell>
          <cell r="B651">
            <v>194</v>
          </cell>
          <cell r="C651">
            <v>46066</v>
          </cell>
          <cell r="D651" t="str">
            <v>Kolekta Kebaktian Syukur HUT Perkawinan</v>
          </cell>
          <cell r="E651" t="str">
            <v>I.2.2.02.002</v>
          </cell>
          <cell r="F651">
            <v>750000</v>
          </cell>
        </row>
        <row r="652">
          <cell r="A652" t="str">
            <v>I.2.2.02.0357</v>
          </cell>
          <cell r="B652">
            <v>195</v>
          </cell>
          <cell r="C652">
            <v>46066</v>
          </cell>
          <cell r="D652" t="str">
            <v>Kolekta Kebaktian Lansia / Orang Sakit</v>
          </cell>
          <cell r="E652" t="str">
            <v>I.2.2.02.035</v>
          </cell>
          <cell r="F652">
            <v>350000</v>
          </cell>
        </row>
        <row r="653">
          <cell r="A653" t="str">
            <v>I.2.2.02.06310</v>
          </cell>
          <cell r="B653">
            <v>196</v>
          </cell>
          <cell r="C653">
            <v>46066</v>
          </cell>
          <cell r="D653" t="str">
            <v>Natsar Gumul Keluarga</v>
          </cell>
          <cell r="E653" t="str">
            <v>I.2.2.02.063</v>
          </cell>
          <cell r="F653">
            <v>637000</v>
          </cell>
        </row>
        <row r="654">
          <cell r="A654" t="str">
            <v>I.2.2.02.06415</v>
          </cell>
          <cell r="B654">
            <v>187</v>
          </cell>
          <cell r="C654">
            <v>46066</v>
          </cell>
          <cell r="D654" t="str">
            <v>Kolekta syukur Kel. Pendeta Lina Matahalemual</v>
          </cell>
          <cell r="E654" t="str">
            <v>I.2.2.02.064</v>
          </cell>
          <cell r="F654">
            <v>358000</v>
          </cell>
        </row>
        <row r="655">
          <cell r="A655" t="str">
            <v>0</v>
          </cell>
        </row>
        <row r="656">
          <cell r="A656" t="str">
            <v>0</v>
          </cell>
        </row>
        <row r="657">
          <cell r="A657" t="str">
            <v>0</v>
          </cell>
        </row>
        <row r="658">
          <cell r="A658" t="str">
            <v>0</v>
          </cell>
        </row>
        <row r="659">
          <cell r="A659" t="str">
            <v>0</v>
          </cell>
        </row>
        <row r="660">
          <cell r="A660" t="str">
            <v>0</v>
          </cell>
        </row>
        <row r="661">
          <cell r="A661" t="str">
            <v>0</v>
          </cell>
        </row>
        <row r="662">
          <cell r="A662" t="str">
            <v>0</v>
          </cell>
        </row>
        <row r="663">
          <cell r="A663" t="str">
            <v>0</v>
          </cell>
        </row>
        <row r="664">
          <cell r="A664" t="str">
            <v>0</v>
          </cell>
        </row>
        <row r="665">
          <cell r="A665" t="str">
            <v>0</v>
          </cell>
        </row>
        <row r="666">
          <cell r="A666" t="str">
            <v>0</v>
          </cell>
        </row>
        <row r="667">
          <cell r="A667" t="str">
            <v>0</v>
          </cell>
        </row>
        <row r="668">
          <cell r="A668" t="str">
            <v>0</v>
          </cell>
        </row>
        <row r="669">
          <cell r="A669" t="str">
            <v>0</v>
          </cell>
        </row>
        <row r="670">
          <cell r="A670" t="str">
            <v>0</v>
          </cell>
        </row>
        <row r="671">
          <cell r="A671" t="str">
            <v>0</v>
          </cell>
        </row>
        <row r="672">
          <cell r="A672" t="str">
            <v>0</v>
          </cell>
        </row>
        <row r="674">
          <cell r="C674" t="str">
            <v>JUMLAH TANGGAL</v>
          </cell>
          <cell r="F674">
            <v>6022000</v>
          </cell>
          <cell r="G674">
            <v>0</v>
          </cell>
        </row>
        <row r="675">
          <cell r="C675" t="str">
            <v>HARI INI</v>
          </cell>
        </row>
        <row r="676">
          <cell r="C676" t="str">
            <v>JUMLAH S/D TANGGAL</v>
          </cell>
          <cell r="F676">
            <v>228847652</v>
          </cell>
          <cell r="G676">
            <v>158938568</v>
          </cell>
        </row>
        <row r="677">
          <cell r="C677" t="str">
            <v>TOTAL</v>
          </cell>
          <cell r="F677">
            <v>234869652</v>
          </cell>
          <cell r="G677">
            <v>158938568</v>
          </cell>
        </row>
        <row r="679">
          <cell r="C679" t="str">
            <v>SISA</v>
          </cell>
          <cell r="D679">
            <v>75931084</v>
          </cell>
        </row>
        <row r="681">
          <cell r="A681" t="str">
            <v>KODE BANTU</v>
          </cell>
          <cell r="B681" t="str">
            <v>NO</v>
          </cell>
          <cell r="C681" t="str">
            <v>FEBRUARI</v>
          </cell>
          <cell r="D681" t="str">
            <v>URAIAN</v>
          </cell>
          <cell r="E681" t="str">
            <v>KODE ANGGARAN</v>
          </cell>
          <cell r="F681" t="str">
            <v>PENERIMAAN</v>
          </cell>
          <cell r="G681" t="str">
            <v>PENGELUARAN</v>
          </cell>
        </row>
        <row r="682">
          <cell r="A682" t="str">
            <v>I.2.2.02.06416</v>
          </cell>
          <cell r="B682">
            <v>188</v>
          </cell>
          <cell r="C682">
            <v>46066</v>
          </cell>
          <cell r="D682" t="str">
            <v>Kolekta Kebaktian syukur Keluarga</v>
          </cell>
          <cell r="E682" t="str">
            <v>I.2.2.02.064</v>
          </cell>
          <cell r="F682">
            <v>1570000</v>
          </cell>
        </row>
        <row r="683">
          <cell r="A683" t="str">
            <v>I.2.2.02.0382</v>
          </cell>
          <cell r="B683">
            <v>189</v>
          </cell>
          <cell r="C683">
            <v>46066</v>
          </cell>
          <cell r="D683" t="str">
            <v>Kolekta Syukur Baptisan Kel. Suitela</v>
          </cell>
          <cell r="E683" t="str">
            <v>I.2.2.02.038</v>
          </cell>
          <cell r="F683">
            <v>200000</v>
          </cell>
        </row>
        <row r="684">
          <cell r="A684" t="str">
            <v>I.2.2.02.06417</v>
          </cell>
          <cell r="B684">
            <v>190</v>
          </cell>
          <cell r="C684">
            <v>46066</v>
          </cell>
          <cell r="D684" t="str">
            <v>Kolekta Kebaktian Muhabeth Amalatuei dan Kolekta Kebaktian Paduan Terompet</v>
          </cell>
          <cell r="E684" t="str">
            <v>I.2.2.02.064</v>
          </cell>
          <cell r="F684">
            <v>204000</v>
          </cell>
        </row>
        <row r="685">
          <cell r="A685" t="str">
            <v>I.2.2.02.0223</v>
          </cell>
          <cell r="B685">
            <v>191</v>
          </cell>
          <cell r="C685">
            <v>46066</v>
          </cell>
          <cell r="D685" t="str">
            <v>Kolekta Kebaktian buka usbu Pangkalan Ojek Banda</v>
          </cell>
          <cell r="E685" t="str">
            <v>I.2.2.02.022</v>
          </cell>
          <cell r="F685">
            <v>43000</v>
          </cell>
        </row>
        <row r="686">
          <cell r="A686" t="str">
            <v>I.2.2.02.0243</v>
          </cell>
          <cell r="B686">
            <v>192</v>
          </cell>
          <cell r="C686">
            <v>46066</v>
          </cell>
          <cell r="D686" t="str">
            <v>Kolekta Kebaktian Pantai/Papalele</v>
          </cell>
          <cell r="E686" t="str">
            <v>I.2.2.02.024</v>
          </cell>
          <cell r="F686">
            <v>400000</v>
          </cell>
        </row>
        <row r="687">
          <cell r="A687" t="str">
            <v>I.2.2.02.0264</v>
          </cell>
          <cell r="B687">
            <v>193</v>
          </cell>
          <cell r="C687">
            <v>46066</v>
          </cell>
          <cell r="D687" t="str">
            <v>Kolekta Kebaktian Katekisasi</v>
          </cell>
          <cell r="E687" t="str">
            <v>I.2.2.02.026</v>
          </cell>
          <cell r="F687">
            <v>124000</v>
          </cell>
        </row>
        <row r="688">
          <cell r="A688" t="str">
            <v>I.2.2.02.0371</v>
          </cell>
          <cell r="B688">
            <v>194</v>
          </cell>
          <cell r="C688">
            <v>46066</v>
          </cell>
          <cell r="D688" t="str">
            <v>Kolekta Kebaktian Penggembalaan Baptis Kel. Suitela</v>
          </cell>
          <cell r="E688" t="str">
            <v>I.2.2.02.037</v>
          </cell>
          <cell r="F688">
            <v>82000</v>
          </cell>
        </row>
        <row r="689">
          <cell r="A689" t="str">
            <v>II.2.1.012</v>
          </cell>
          <cell r="B689">
            <v>195</v>
          </cell>
          <cell r="C689">
            <v>46066</v>
          </cell>
          <cell r="D689" t="str">
            <v>Tanggungan Pengembangan Institusi (30%) bulan februari</v>
          </cell>
          <cell r="E689" t="str">
            <v>II.2.1.01</v>
          </cell>
          <cell r="G689">
            <v>47818813</v>
          </cell>
        </row>
        <row r="690">
          <cell r="A690" t="str">
            <v>II.2.1.032</v>
          </cell>
          <cell r="B690">
            <v>196</v>
          </cell>
          <cell r="C690">
            <v>46066</v>
          </cell>
          <cell r="D690" t="str">
            <v>Tanggungan 5% - 10% ke Klasis bulan februari</v>
          </cell>
          <cell r="E690" t="str">
            <v>II.2.1.03</v>
          </cell>
          <cell r="G690">
            <v>7698829</v>
          </cell>
        </row>
        <row r="691">
          <cell r="A691" t="str">
            <v>II.2.1.022</v>
          </cell>
          <cell r="B691">
            <v>197</v>
          </cell>
          <cell r="C691">
            <v>46066</v>
          </cell>
          <cell r="D691" t="str">
            <v>Tanggungan 1 % ke YPPK bulan februari</v>
          </cell>
          <cell r="E691" t="str">
            <v>II.2.1.02</v>
          </cell>
          <cell r="G691">
            <v>1593960</v>
          </cell>
        </row>
        <row r="692">
          <cell r="A692" t="str">
            <v>II.2.8.014</v>
          </cell>
          <cell r="B692">
            <v>198</v>
          </cell>
          <cell r="C692">
            <v>46066</v>
          </cell>
          <cell r="D692" t="str">
            <v>Transport Bayar Tapel</v>
          </cell>
          <cell r="E692" t="str">
            <v>II.2.8.01</v>
          </cell>
          <cell r="G692">
            <v>50000</v>
          </cell>
        </row>
        <row r="693">
          <cell r="A693" t="str">
            <v>0</v>
          </cell>
        </row>
        <row r="694">
          <cell r="A694" t="str">
            <v>0</v>
          </cell>
        </row>
        <row r="695">
          <cell r="A695" t="str">
            <v>0</v>
          </cell>
        </row>
        <row r="696">
          <cell r="A696" t="str">
            <v>0</v>
          </cell>
        </row>
        <row r="697">
          <cell r="A697" t="str">
            <v>0</v>
          </cell>
        </row>
        <row r="698">
          <cell r="A698" t="str">
            <v>0</v>
          </cell>
        </row>
        <row r="699">
          <cell r="A699" t="str">
            <v>0</v>
          </cell>
        </row>
        <row r="700">
          <cell r="A700" t="str">
            <v>0</v>
          </cell>
        </row>
        <row r="701">
          <cell r="A701" t="str">
            <v>0</v>
          </cell>
        </row>
        <row r="702">
          <cell r="A702" t="str">
            <v>0</v>
          </cell>
        </row>
        <row r="703">
          <cell r="A703" t="str">
            <v>0</v>
          </cell>
        </row>
        <row r="704">
          <cell r="A704" t="str">
            <v>0</v>
          </cell>
        </row>
        <row r="705">
          <cell r="A705" t="str">
            <v>0</v>
          </cell>
        </row>
        <row r="706">
          <cell r="A706" t="str">
            <v>0</v>
          </cell>
        </row>
        <row r="708">
          <cell r="C708" t="str">
            <v>JUMLAH TANGGAL</v>
          </cell>
          <cell r="F708">
            <v>2623000</v>
          </cell>
          <cell r="G708">
            <v>57161602</v>
          </cell>
        </row>
        <row r="709">
          <cell r="C709" t="str">
            <v>HARI INI</v>
          </cell>
        </row>
        <row r="710">
          <cell r="C710" t="str">
            <v>JUMLAH S/D TANGGAL</v>
          </cell>
          <cell r="F710">
            <v>234869652</v>
          </cell>
          <cell r="G710">
            <v>158938568</v>
          </cell>
        </row>
        <row r="711">
          <cell r="C711" t="str">
            <v>TOTAL</v>
          </cell>
          <cell r="F711">
            <v>237492652</v>
          </cell>
          <cell r="G711">
            <v>216100170</v>
          </cell>
        </row>
        <row r="713">
          <cell r="C713" t="str">
            <v>SISA</v>
          </cell>
          <cell r="D713">
            <v>21392482</v>
          </cell>
        </row>
        <row r="715">
          <cell r="A715" t="str">
            <v>KODE BANTU</v>
          </cell>
          <cell r="B715" t="str">
            <v>NO</v>
          </cell>
          <cell r="C715" t="str">
            <v>FEBRUARI</v>
          </cell>
          <cell r="D715" t="str">
            <v>URAIAN</v>
          </cell>
          <cell r="E715" t="str">
            <v>KODE ANGGARAN</v>
          </cell>
          <cell r="F715" t="str">
            <v>PENERIMAAN</v>
          </cell>
          <cell r="G715" t="str">
            <v>PENGELUARAN</v>
          </cell>
        </row>
        <row r="716">
          <cell r="A716" t="str">
            <v>I.2.2.01.0017</v>
          </cell>
          <cell r="B716">
            <v>199</v>
          </cell>
          <cell r="C716">
            <v>46068</v>
          </cell>
          <cell r="D716" t="str">
            <v>Kolekta Kebaktian Minggu Gereja Baitrafa dan SK</v>
          </cell>
          <cell r="E716" t="str">
            <v>I.2.2.01.001</v>
          </cell>
          <cell r="F716">
            <v>5889000</v>
          </cell>
        </row>
        <row r="717">
          <cell r="A717" t="str">
            <v>I.2.3.0110</v>
          </cell>
          <cell r="B717">
            <v>200</v>
          </cell>
          <cell r="C717">
            <v>46068</v>
          </cell>
          <cell r="D717" t="str">
            <v>Persepuluhan Gereja Baitrafa dan SK</v>
          </cell>
          <cell r="E717" t="str">
            <v>I.2.3.01</v>
          </cell>
          <cell r="F717">
            <v>7910000</v>
          </cell>
        </row>
        <row r="718">
          <cell r="A718" t="str">
            <v>II.5.1.0718</v>
          </cell>
          <cell r="B718">
            <v>201</v>
          </cell>
          <cell r="C718">
            <v>46068</v>
          </cell>
          <cell r="D718" t="str">
            <v>Belanja Kebaktian Minggu</v>
          </cell>
          <cell r="E718" t="str">
            <v>II.5.1.07</v>
          </cell>
          <cell r="G718">
            <v>1525000</v>
          </cell>
        </row>
        <row r="719">
          <cell r="A719" t="str">
            <v>II.5.1.066</v>
          </cell>
          <cell r="B719">
            <v>202</v>
          </cell>
          <cell r="C719">
            <v>46068</v>
          </cell>
          <cell r="D719" t="str">
            <v xml:space="preserve">Sumbangan Pelayanan duka Alm. </v>
          </cell>
          <cell r="E719" t="str">
            <v>II.5.1.06</v>
          </cell>
          <cell r="G719">
            <v>500000</v>
          </cell>
        </row>
        <row r="720">
          <cell r="A720" t="str">
            <v>II.2.2.012</v>
          </cell>
          <cell r="B720">
            <v>203</v>
          </cell>
          <cell r="C720">
            <v>46068</v>
          </cell>
          <cell r="D720" t="str">
            <v>Honor Sopir bulan Februari</v>
          </cell>
          <cell r="E720" t="str">
            <v>II.2.2.01</v>
          </cell>
          <cell r="G720">
            <v>1500000</v>
          </cell>
        </row>
        <row r="721">
          <cell r="A721" t="str">
            <v>II.2.3.032</v>
          </cell>
          <cell r="B721">
            <v>204</v>
          </cell>
          <cell r="C721">
            <v>46068</v>
          </cell>
          <cell r="D721" t="str">
            <v>Bayar Rekening Listrik Gereja dan Pastori bulan Februari</v>
          </cell>
          <cell r="E721" t="str">
            <v>II.2.3.03</v>
          </cell>
          <cell r="G721">
            <v>4955148</v>
          </cell>
        </row>
        <row r="722">
          <cell r="A722" t="str">
            <v>II.2.3.043</v>
          </cell>
          <cell r="B722">
            <v>205</v>
          </cell>
          <cell r="C722">
            <v>46068</v>
          </cell>
          <cell r="D722" t="str">
            <v>Bayar Wifi Gereja Baitrafa dan SK bulan Februari</v>
          </cell>
          <cell r="E722" t="str">
            <v>II.2.3.04</v>
          </cell>
          <cell r="G722">
            <v>810550</v>
          </cell>
        </row>
        <row r="723">
          <cell r="A723" t="str">
            <v>II.2.5.0311</v>
          </cell>
          <cell r="B723">
            <v>206</v>
          </cell>
          <cell r="C723">
            <v>46068</v>
          </cell>
          <cell r="D723" t="str">
            <v>Biaya Kontrak Mesin Cetak tahun 2026</v>
          </cell>
          <cell r="E723" t="str">
            <v>II.2.5.03</v>
          </cell>
          <cell r="G723">
            <v>1685000</v>
          </cell>
        </row>
        <row r="724">
          <cell r="A724" t="str">
            <v>II.3.1.1.01.0052</v>
          </cell>
          <cell r="B724">
            <v>207</v>
          </cell>
          <cell r="C724">
            <v>46068</v>
          </cell>
          <cell r="D724" t="str">
            <v>Beli Alkitab Nikah 5 buah</v>
          </cell>
          <cell r="E724" t="str">
            <v>II.3.1.1.01.005</v>
          </cell>
          <cell r="G724">
            <v>750000</v>
          </cell>
        </row>
        <row r="725">
          <cell r="A725" t="str">
            <v>II.5.1.109</v>
          </cell>
          <cell r="B725">
            <v>208</v>
          </cell>
          <cell r="C725">
            <v>46068</v>
          </cell>
          <cell r="D725" t="str">
            <v>Beli lilin Nikah</v>
          </cell>
          <cell r="E725" t="str">
            <v>II.5.1.10</v>
          </cell>
          <cell r="G725">
            <v>385000</v>
          </cell>
        </row>
        <row r="726">
          <cell r="A726" t="str">
            <v>II.2.5.0312</v>
          </cell>
          <cell r="B726">
            <v>209</v>
          </cell>
          <cell r="C726">
            <v>46068</v>
          </cell>
          <cell r="D726" t="str">
            <v>Biaya Laundry Pakaian Gereja</v>
          </cell>
          <cell r="E726" t="str">
            <v>II.2.5.03</v>
          </cell>
          <cell r="G726">
            <v>50000</v>
          </cell>
        </row>
        <row r="727">
          <cell r="A727" t="str">
            <v>II.2.6.021</v>
          </cell>
          <cell r="B727">
            <v>210</v>
          </cell>
          <cell r="C727">
            <v>46068</v>
          </cell>
          <cell r="D727" t="str">
            <v>Transport Peserta Sidang Klasis 6 org untuk pra sidang di Jemaat Rutong</v>
          </cell>
          <cell r="E727" t="str">
            <v>II.2.6.02</v>
          </cell>
          <cell r="G727">
            <v>1800000</v>
          </cell>
        </row>
        <row r="728">
          <cell r="A728" t="str">
            <v>I.2.2.02.06418</v>
          </cell>
          <cell r="B728">
            <v>211</v>
          </cell>
          <cell r="C728">
            <v>46068</v>
          </cell>
          <cell r="D728" t="str">
            <v>Kolekta Kebaktian Penutupan Sidang Jemaat ke 47</v>
          </cell>
          <cell r="E728" t="str">
            <v>I.2.2.02.064</v>
          </cell>
          <cell r="F728">
            <v>2643000</v>
          </cell>
        </row>
        <row r="729">
          <cell r="A729" t="str">
            <v>0</v>
          </cell>
        </row>
        <row r="730">
          <cell r="A730" t="str">
            <v>0</v>
          </cell>
        </row>
        <row r="731">
          <cell r="A731" t="str">
            <v>0</v>
          </cell>
        </row>
        <row r="732">
          <cell r="A732" t="str">
            <v>0</v>
          </cell>
        </row>
        <row r="733">
          <cell r="A733" t="str">
            <v>0</v>
          </cell>
        </row>
        <row r="734">
          <cell r="A734" t="str">
            <v>0</v>
          </cell>
        </row>
        <row r="735">
          <cell r="A735" t="str">
            <v>0</v>
          </cell>
        </row>
        <row r="736">
          <cell r="A736" t="str">
            <v>0</v>
          </cell>
        </row>
        <row r="737">
          <cell r="A737" t="str">
            <v>0</v>
          </cell>
        </row>
        <row r="738">
          <cell r="A738" t="str">
            <v>0</v>
          </cell>
        </row>
        <row r="739">
          <cell r="A739" t="str">
            <v>0</v>
          </cell>
        </row>
        <row r="740">
          <cell r="A740" t="str">
            <v>0</v>
          </cell>
        </row>
        <row r="742">
          <cell r="C742" t="str">
            <v>JUMLAH TANGGAL</v>
          </cell>
          <cell r="F742">
            <v>16442000</v>
          </cell>
          <cell r="G742">
            <v>13960698</v>
          </cell>
        </row>
        <row r="743">
          <cell r="C743" t="str">
            <v>HARI INI</v>
          </cell>
        </row>
        <row r="744">
          <cell r="C744" t="str">
            <v>JUMLAH S/D TANGGAL</v>
          </cell>
          <cell r="F744">
            <v>237492652</v>
          </cell>
          <cell r="G744">
            <v>216100170</v>
          </cell>
        </row>
        <row r="745">
          <cell r="C745" t="str">
            <v>TOTAL</v>
          </cell>
          <cell r="F745">
            <v>253934652</v>
          </cell>
          <cell r="G745">
            <v>230060868</v>
          </cell>
        </row>
        <row r="747">
          <cell r="C747" t="str">
            <v>SISA</v>
          </cell>
          <cell r="D747">
            <v>23873784</v>
          </cell>
        </row>
        <row r="749">
          <cell r="A749" t="str">
            <v>KODE BANTU</v>
          </cell>
          <cell r="B749" t="str">
            <v>NO</v>
          </cell>
          <cell r="C749" t="str">
            <v>FEBRUARI</v>
          </cell>
          <cell r="D749" t="str">
            <v>URAIAN</v>
          </cell>
          <cell r="E749" t="str">
            <v>KODE ANGGARAN</v>
          </cell>
          <cell r="F749" t="str">
            <v>PENERIMAAN</v>
          </cell>
          <cell r="G749" t="str">
            <v>PENGELUARAN</v>
          </cell>
        </row>
        <row r="750">
          <cell r="A750" t="str">
            <v>I.5.2.025</v>
          </cell>
          <cell r="B750">
            <v>212</v>
          </cell>
          <cell r="C750">
            <v>46073</v>
          </cell>
          <cell r="D750" t="str">
            <v>Pengembalian Biaya HUT Pendeta Lina Matahelumual</v>
          </cell>
          <cell r="E750" t="str">
            <v>I.5.2.02</v>
          </cell>
          <cell r="F750">
            <v>1500000</v>
          </cell>
        </row>
        <row r="751">
          <cell r="A751" t="str">
            <v>I.2.2.02.06311</v>
          </cell>
          <cell r="B751">
            <v>213</v>
          </cell>
          <cell r="C751">
            <v>46073</v>
          </cell>
          <cell r="D751" t="str">
            <v>Natsar Gumul Keluarga</v>
          </cell>
          <cell r="E751" t="str">
            <v>I.2.2.02.063</v>
          </cell>
          <cell r="F751">
            <v>968000</v>
          </cell>
        </row>
        <row r="752">
          <cell r="A752" t="str">
            <v>I.2.2.02.0273</v>
          </cell>
          <cell r="B752">
            <v>214</v>
          </cell>
          <cell r="C752">
            <v>46073</v>
          </cell>
          <cell r="D752" t="str">
            <v>Kolekta Kebaktian AMGPM Cabang Luther 1</v>
          </cell>
          <cell r="E752" t="str">
            <v>I.2.2.02.027</v>
          </cell>
          <cell r="F752">
            <v>203000</v>
          </cell>
        </row>
        <row r="753">
          <cell r="A753" t="str">
            <v>I.2.2.02.0341</v>
          </cell>
          <cell r="B753">
            <v>215</v>
          </cell>
          <cell r="C753">
            <v>46073</v>
          </cell>
          <cell r="D753" t="str">
            <v>Kolekta Kebaktian Pangkalan Ojek Banda</v>
          </cell>
          <cell r="E753" t="str">
            <v>I.2.2.02.034</v>
          </cell>
          <cell r="F753">
            <v>73000</v>
          </cell>
        </row>
        <row r="754">
          <cell r="A754" t="str">
            <v>I.2.2.02.06419</v>
          </cell>
          <cell r="B754">
            <v>216</v>
          </cell>
          <cell r="C754">
            <v>46073</v>
          </cell>
          <cell r="D754" t="str">
            <v>Kolekta Kebaktian Syukur Kel. Mantouw</v>
          </cell>
          <cell r="E754" t="str">
            <v>I.2.2.02.064</v>
          </cell>
          <cell r="F754">
            <v>178000</v>
          </cell>
        </row>
        <row r="755">
          <cell r="A755" t="str">
            <v>I.2.2.02.0051</v>
          </cell>
          <cell r="B755">
            <v>217</v>
          </cell>
          <cell r="C755">
            <v>46073</v>
          </cell>
          <cell r="D755" t="str">
            <v>Kolekta Syukur Masuk rumah baru Kel. Hully, Oktosea</v>
          </cell>
          <cell r="E755" t="str">
            <v>I.2.2.02.005</v>
          </cell>
          <cell r="F755">
            <v>82000</v>
          </cell>
        </row>
        <row r="756">
          <cell r="A756" t="str">
            <v>I.2.2.02.0413</v>
          </cell>
          <cell r="B756">
            <v>218</v>
          </cell>
          <cell r="C756">
            <v>46073</v>
          </cell>
          <cell r="D756" t="str">
            <v>Kolekta Pergembalaan Nikah Kel. Harmusial Pattipawae</v>
          </cell>
          <cell r="E756" t="str">
            <v>I.2.2.02.041</v>
          </cell>
          <cell r="F756">
            <v>40000</v>
          </cell>
        </row>
        <row r="757">
          <cell r="A757" t="str">
            <v>I.2.2.02.0422</v>
          </cell>
          <cell r="B757">
            <v>219</v>
          </cell>
          <cell r="C757">
            <v>46073</v>
          </cell>
          <cell r="D757" t="str">
            <v>Kolekta Kebaktian Syukur Peneguhan Nikah Kel. Harmusial Pattipawae</v>
          </cell>
          <cell r="E757" t="str">
            <v>I.2.2.02.042</v>
          </cell>
          <cell r="F757">
            <v>170000</v>
          </cell>
        </row>
        <row r="758">
          <cell r="A758" t="str">
            <v>I.2.2.02.0306</v>
          </cell>
          <cell r="B758">
            <v>220</v>
          </cell>
          <cell r="C758">
            <v>46073</v>
          </cell>
          <cell r="D758" t="str">
            <v>Kolekta Kebaktian Pelayanan Laki-Laki</v>
          </cell>
          <cell r="E758" t="str">
            <v>I.2.2.02.030</v>
          </cell>
          <cell r="F758">
            <v>857000</v>
          </cell>
        </row>
        <row r="759">
          <cell r="A759" t="str">
            <v>I.2.2.02.0296</v>
          </cell>
          <cell r="B759">
            <v>221</v>
          </cell>
          <cell r="C759">
            <v>46073</v>
          </cell>
          <cell r="D759" t="str">
            <v>Kolekta Kebaktian Pelayanan Perempuan</v>
          </cell>
          <cell r="E759" t="str">
            <v>I.2.2.02.029</v>
          </cell>
          <cell r="F759">
            <v>1619000</v>
          </cell>
        </row>
        <row r="760">
          <cell r="A760" t="str">
            <v>I.2.2.02.0193</v>
          </cell>
          <cell r="B760">
            <v>222</v>
          </cell>
          <cell r="C760">
            <v>46073</v>
          </cell>
          <cell r="D760" t="str">
            <v>Kolekta Kebaktian Sektor</v>
          </cell>
          <cell r="E760" t="str">
            <v>I.2.2.02.019</v>
          </cell>
          <cell r="F760">
            <v>1934000</v>
          </cell>
        </row>
        <row r="761">
          <cell r="A761" t="str">
            <v>I.2.2.02.0358</v>
          </cell>
          <cell r="B761">
            <v>223</v>
          </cell>
          <cell r="C761">
            <v>46073</v>
          </cell>
          <cell r="D761" t="str">
            <v>Kolekta Kebaktian pelayanan rumah / Orang Sakit</v>
          </cell>
          <cell r="E761" t="str">
            <v>I.2.2.02.035</v>
          </cell>
          <cell r="F761">
            <v>115000</v>
          </cell>
        </row>
        <row r="762">
          <cell r="A762" t="str">
            <v>0</v>
          </cell>
        </row>
        <row r="763">
          <cell r="A763" t="str">
            <v>0</v>
          </cell>
        </row>
        <row r="764">
          <cell r="A764" t="str">
            <v>0</v>
          </cell>
        </row>
        <row r="765">
          <cell r="A765" t="str">
            <v>0</v>
          </cell>
        </row>
        <row r="766">
          <cell r="A766" t="str">
            <v>0</v>
          </cell>
        </row>
        <row r="767">
          <cell r="A767" t="str">
            <v>0</v>
          </cell>
        </row>
        <row r="768">
          <cell r="A768" t="str">
            <v>0</v>
          </cell>
        </row>
        <row r="769">
          <cell r="A769" t="str">
            <v>0</v>
          </cell>
        </row>
        <row r="770">
          <cell r="A770" t="str">
            <v>0</v>
          </cell>
        </row>
        <row r="771">
          <cell r="A771" t="str">
            <v>0</v>
          </cell>
        </row>
        <row r="772">
          <cell r="A772" t="str">
            <v>0</v>
          </cell>
        </row>
        <row r="773">
          <cell r="A773" t="str">
            <v>0</v>
          </cell>
        </row>
        <row r="774">
          <cell r="A774" t="str">
            <v>0</v>
          </cell>
        </row>
        <row r="776">
          <cell r="C776" t="str">
            <v>JUMLAH TANGGAL</v>
          </cell>
          <cell r="F776">
            <v>7739000</v>
          </cell>
          <cell r="G776">
            <v>0</v>
          </cell>
        </row>
        <row r="777">
          <cell r="C777" t="str">
            <v>HARI INI</v>
          </cell>
        </row>
        <row r="778">
          <cell r="C778" t="str">
            <v>JUMLAH S/D TANGGAL</v>
          </cell>
          <cell r="F778">
            <v>253934652</v>
          </cell>
          <cell r="G778">
            <v>230060868</v>
          </cell>
        </row>
        <row r="779">
          <cell r="C779" t="str">
            <v>TOTAL</v>
          </cell>
          <cell r="F779">
            <v>261673652</v>
          </cell>
          <cell r="G779">
            <v>230060868</v>
          </cell>
        </row>
        <row r="781">
          <cell r="C781" t="str">
            <v>SISA</v>
          </cell>
          <cell r="D781">
            <v>31612784</v>
          </cell>
        </row>
        <row r="783">
          <cell r="A783" t="str">
            <v>KODE BANTU</v>
          </cell>
          <cell r="B783" t="str">
            <v>NO</v>
          </cell>
          <cell r="C783" t="str">
            <v>FEBRUARI</v>
          </cell>
          <cell r="D783" t="str">
            <v>URAIAN</v>
          </cell>
          <cell r="E783" t="str">
            <v>KODE ANGGARAN</v>
          </cell>
          <cell r="F783" t="str">
            <v>PENERIMAAN</v>
          </cell>
          <cell r="G783" t="str">
            <v>PENGELUARAN</v>
          </cell>
        </row>
        <row r="784">
          <cell r="A784" t="str">
            <v>I.2.2.02.0018</v>
          </cell>
          <cell r="B784">
            <v>224</v>
          </cell>
          <cell r="C784">
            <v>46073</v>
          </cell>
          <cell r="D784" t="str">
            <v>Kolekta Kebaktian Syukur HUT Kelahiran</v>
          </cell>
          <cell r="E784" t="str">
            <v>I.2.2.02.001</v>
          </cell>
          <cell r="F784">
            <v>1590000</v>
          </cell>
        </row>
        <row r="785">
          <cell r="A785" t="str">
            <v>I.2.2.02.0028</v>
          </cell>
          <cell r="B785">
            <v>225</v>
          </cell>
          <cell r="C785">
            <v>46073</v>
          </cell>
          <cell r="D785" t="str">
            <v>Kolekta Kebaktian Syukur HUT Perkawinan</v>
          </cell>
          <cell r="E785" t="str">
            <v>I.2.2.02.002</v>
          </cell>
          <cell r="F785">
            <v>605000</v>
          </cell>
        </row>
        <row r="786">
          <cell r="A786" t="str">
            <v>0</v>
          </cell>
        </row>
        <row r="787">
          <cell r="A787" t="str">
            <v>0</v>
          </cell>
        </row>
        <row r="788">
          <cell r="A788" t="str">
            <v>0</v>
          </cell>
        </row>
        <row r="789">
          <cell r="A789" t="str">
            <v>0</v>
          </cell>
        </row>
        <row r="790">
          <cell r="A790" t="str">
            <v>0</v>
          </cell>
        </row>
        <row r="791">
          <cell r="A791" t="str">
            <v>0</v>
          </cell>
        </row>
        <row r="792">
          <cell r="A792" t="str">
            <v>0</v>
          </cell>
        </row>
        <row r="793">
          <cell r="A793" t="str">
            <v>0</v>
          </cell>
        </row>
        <row r="794">
          <cell r="A794" t="str">
            <v>0</v>
          </cell>
        </row>
        <row r="795">
          <cell r="A795" t="str">
            <v>0</v>
          </cell>
        </row>
        <row r="796">
          <cell r="A796" t="str">
            <v>0</v>
          </cell>
        </row>
        <row r="797">
          <cell r="A797" t="str">
            <v>0</v>
          </cell>
        </row>
        <row r="798">
          <cell r="A798" t="str">
            <v>0</v>
          </cell>
        </row>
        <row r="799">
          <cell r="A799" t="str">
            <v>0</v>
          </cell>
        </row>
        <row r="800">
          <cell r="A800" t="str">
            <v>0</v>
          </cell>
        </row>
        <row r="801">
          <cell r="A801" t="str">
            <v>0</v>
          </cell>
        </row>
        <row r="802">
          <cell r="A802" t="str">
            <v>0</v>
          </cell>
        </row>
        <row r="803">
          <cell r="A803" t="str">
            <v>0</v>
          </cell>
        </row>
        <row r="804">
          <cell r="A804" t="str">
            <v>0</v>
          </cell>
        </row>
        <row r="805">
          <cell r="A805" t="str">
            <v>0</v>
          </cell>
        </row>
        <row r="806">
          <cell r="A806" t="str">
            <v>0</v>
          </cell>
        </row>
        <row r="807">
          <cell r="A807" t="str">
            <v>0</v>
          </cell>
        </row>
        <row r="808">
          <cell r="A808" t="str">
            <v>0</v>
          </cell>
        </row>
        <row r="810">
          <cell r="C810" t="str">
            <v>JUMLAH TANGGAL</v>
          </cell>
          <cell r="F810">
            <v>2195000</v>
          </cell>
          <cell r="G810">
            <v>0</v>
          </cell>
        </row>
        <row r="811">
          <cell r="C811" t="str">
            <v>HARI INI</v>
          </cell>
        </row>
        <row r="812">
          <cell r="C812" t="str">
            <v>JUMLAH S/D TANGGAL</v>
          </cell>
          <cell r="F812">
            <v>261673652</v>
          </cell>
          <cell r="G812">
            <v>230060868</v>
          </cell>
        </row>
        <row r="813">
          <cell r="C813" t="str">
            <v>TOTAL</v>
          </cell>
          <cell r="F813">
            <v>263868652</v>
          </cell>
          <cell r="G813">
            <v>230060868</v>
          </cell>
        </row>
        <row r="815">
          <cell r="C815" t="str">
            <v>SISA</v>
          </cell>
          <cell r="D815">
            <v>33807784</v>
          </cell>
        </row>
        <row r="817">
          <cell r="A817" t="str">
            <v>KODE BANTU</v>
          </cell>
          <cell r="B817" t="str">
            <v>NO</v>
          </cell>
          <cell r="C817" t="str">
            <v>FEBRUARI</v>
          </cell>
          <cell r="D817" t="str">
            <v>URAIAN</v>
          </cell>
          <cell r="E817" t="str">
            <v>KODE ANGGARAN</v>
          </cell>
          <cell r="F817" t="str">
            <v>PENERIMAAN</v>
          </cell>
          <cell r="G817" t="str">
            <v>PENGELUARAN</v>
          </cell>
        </row>
        <row r="818">
          <cell r="A818" t="str">
            <v>I.2.2.01.0018</v>
          </cell>
          <cell r="B818">
            <v>226</v>
          </cell>
          <cell r="C818">
            <v>46075</v>
          </cell>
          <cell r="D818" t="str">
            <v>Kolekta Kebaktian Minggu Gereja Baitrafa dan SK</v>
          </cell>
          <cell r="E818" t="str">
            <v>I.2.2.01.001</v>
          </cell>
          <cell r="F818">
            <v>6878000</v>
          </cell>
        </row>
        <row r="819">
          <cell r="A819" t="str">
            <v>I.2.3.0111</v>
          </cell>
          <cell r="B819">
            <v>227</v>
          </cell>
          <cell r="C819">
            <v>46075</v>
          </cell>
          <cell r="D819" t="str">
            <v>Persepuluhan Gereja Baitrafa dan SK</v>
          </cell>
          <cell r="E819" t="str">
            <v>I.2.3.01</v>
          </cell>
          <cell r="F819">
            <v>9493000</v>
          </cell>
        </row>
        <row r="820">
          <cell r="A820" t="str">
            <v>I.2.3.0112</v>
          </cell>
          <cell r="B820">
            <v>228</v>
          </cell>
          <cell r="C820">
            <v>46075</v>
          </cell>
          <cell r="D820" t="str">
            <v>Persepuluhan Kel. NN Zaitun 1</v>
          </cell>
          <cell r="E820" t="str">
            <v>I.2.3.01</v>
          </cell>
          <cell r="F820">
            <v>500000</v>
          </cell>
        </row>
        <row r="821">
          <cell r="A821" t="str">
            <v>I.5.1.045</v>
          </cell>
          <cell r="B821">
            <v>229</v>
          </cell>
          <cell r="C821">
            <v>46075</v>
          </cell>
          <cell r="D821" t="str">
            <v>Pemberian untuk Gereja dari Ibu Yo Waisapy</v>
          </cell>
          <cell r="E821" t="str">
            <v>I.5.1.04</v>
          </cell>
          <cell r="F821">
            <v>500000</v>
          </cell>
        </row>
        <row r="822">
          <cell r="A822" t="str">
            <v>I.2.2.02.0121</v>
          </cell>
          <cell r="B822">
            <v>230</v>
          </cell>
          <cell r="C822">
            <v>46075</v>
          </cell>
          <cell r="D822" t="str">
            <v>Kolekta Syukur Mobil</v>
          </cell>
          <cell r="E822" t="str">
            <v>I.2.2.02.012</v>
          </cell>
          <cell r="F822">
            <v>50000</v>
          </cell>
        </row>
        <row r="823">
          <cell r="A823" t="str">
            <v>I.2.4.013</v>
          </cell>
          <cell r="B823">
            <v>231</v>
          </cell>
          <cell r="C823">
            <v>46075</v>
          </cell>
          <cell r="D823" t="str">
            <v>Biaya Administrasi Baptis dan Nikah</v>
          </cell>
          <cell r="E823" t="str">
            <v>I.2.4.01</v>
          </cell>
          <cell r="F823">
            <v>1700000</v>
          </cell>
        </row>
        <row r="824">
          <cell r="A824" t="str">
            <v>I.2.2.02.0254</v>
          </cell>
          <cell r="B824">
            <v>232</v>
          </cell>
          <cell r="C824">
            <v>46075</v>
          </cell>
          <cell r="D824" t="str">
            <v>Kolekta Kebaktian SMTPI</v>
          </cell>
          <cell r="E824" t="str">
            <v>I.2.2.02.025</v>
          </cell>
          <cell r="F824">
            <v>1552000</v>
          </cell>
        </row>
        <row r="825">
          <cell r="A825" t="str">
            <v>I.2.2.02.0314</v>
          </cell>
          <cell r="B825">
            <v>233</v>
          </cell>
          <cell r="C825">
            <v>46075</v>
          </cell>
          <cell r="D825" t="str">
            <v>Kolekta Kebaktian Pengasuh SMTPI</v>
          </cell>
          <cell r="E825" t="str">
            <v>I.2.2.02.031</v>
          </cell>
          <cell r="F825">
            <v>170000</v>
          </cell>
        </row>
        <row r="826">
          <cell r="A826" t="str">
            <v>I.2.2.02.0045</v>
          </cell>
          <cell r="B826">
            <v>234</v>
          </cell>
          <cell r="C826">
            <v>46075</v>
          </cell>
          <cell r="D826" t="str">
            <v>Kolekta syukur 40 hari Alm. Oma Nel Rering</v>
          </cell>
          <cell r="E826" t="str">
            <v>I.2.2.02.004</v>
          </cell>
          <cell r="F826">
            <v>1000000</v>
          </cell>
        </row>
        <row r="827">
          <cell r="A827" t="str">
            <v>I.5.1.046</v>
          </cell>
          <cell r="B827">
            <v>235</v>
          </cell>
          <cell r="C827">
            <v>46075</v>
          </cell>
          <cell r="D827" t="str">
            <v>Pemberian untuk Gereja dari Kel. NN Zaitun 2</v>
          </cell>
          <cell r="E827" t="str">
            <v>I.5.1.04</v>
          </cell>
          <cell r="F827">
            <v>2000000</v>
          </cell>
        </row>
        <row r="828">
          <cell r="A828" t="str">
            <v>I.2.2.02.06420</v>
          </cell>
          <cell r="B828">
            <v>236</v>
          </cell>
          <cell r="C828">
            <v>46075</v>
          </cell>
          <cell r="D828" t="str">
            <v>Kolekta Kebaktian syukur Kel. Bpk. Natan Manuputty</v>
          </cell>
          <cell r="E828" t="str">
            <v>I.2.2.02.064</v>
          </cell>
          <cell r="F828">
            <v>500000</v>
          </cell>
        </row>
        <row r="829">
          <cell r="A829" t="str">
            <v>I.5.1.047</v>
          </cell>
          <cell r="B829">
            <v>237</v>
          </cell>
          <cell r="C829">
            <v>46075</v>
          </cell>
          <cell r="D829" t="str">
            <v>Sumbangan kursi dari Kel. Bpk. Nus Salampessy</v>
          </cell>
          <cell r="E829" t="str">
            <v>I.5.1.04</v>
          </cell>
          <cell r="F829">
            <v>500000</v>
          </cell>
        </row>
        <row r="830">
          <cell r="A830" t="str">
            <v>II.5.1.0719</v>
          </cell>
          <cell r="B830">
            <v>238</v>
          </cell>
          <cell r="C830">
            <v>46075</v>
          </cell>
          <cell r="D830" t="str">
            <v>Belanja Kebaktian Minggu</v>
          </cell>
          <cell r="E830" t="str">
            <v>II.5.1.07</v>
          </cell>
          <cell r="G830">
            <v>3225000</v>
          </cell>
        </row>
        <row r="831">
          <cell r="A831" t="str">
            <v>II.2.2.033</v>
          </cell>
          <cell r="B831">
            <v>239</v>
          </cell>
          <cell r="C831">
            <v>46075</v>
          </cell>
          <cell r="D831" t="str">
            <v>Bayar Insentif KMJ dan Pendeta Jemaat bulan Januari</v>
          </cell>
          <cell r="E831" t="str">
            <v>II.2.2.03</v>
          </cell>
          <cell r="G831">
            <v>5000000</v>
          </cell>
        </row>
        <row r="832">
          <cell r="A832" t="str">
            <v>II.2.3.044</v>
          </cell>
          <cell r="B832">
            <v>240</v>
          </cell>
          <cell r="C832">
            <v>46075</v>
          </cell>
          <cell r="D832" t="str">
            <v>Biaya Telepon 3 pendeta bulan januari</v>
          </cell>
          <cell r="E832" t="str">
            <v>II.2.3.04</v>
          </cell>
          <cell r="G832">
            <v>600000</v>
          </cell>
        </row>
        <row r="833">
          <cell r="A833" t="str">
            <v>II.3.1.1.02.0022</v>
          </cell>
          <cell r="B833">
            <v>241</v>
          </cell>
          <cell r="C833">
            <v>46075</v>
          </cell>
          <cell r="D833" t="str">
            <v>Sumbangan Pelayanan Lapas 4 org dan transport</v>
          </cell>
          <cell r="E833" t="str">
            <v>II.3.1.1.02.002</v>
          </cell>
          <cell r="G833">
            <v>600000</v>
          </cell>
        </row>
        <row r="834">
          <cell r="A834" t="str">
            <v>0</v>
          </cell>
        </row>
        <row r="835">
          <cell r="A835" t="str">
            <v>0</v>
          </cell>
        </row>
        <row r="836">
          <cell r="A836" t="str">
            <v>0</v>
          </cell>
        </row>
        <row r="837">
          <cell r="A837" t="str">
            <v>0</v>
          </cell>
        </row>
        <row r="838">
          <cell r="A838" t="str">
            <v>0</v>
          </cell>
        </row>
        <row r="839">
          <cell r="A839" t="str">
            <v>0</v>
          </cell>
        </row>
        <row r="840">
          <cell r="A840" t="str">
            <v>0</v>
          </cell>
        </row>
        <row r="841">
          <cell r="A841" t="str">
            <v>0</v>
          </cell>
        </row>
        <row r="842">
          <cell r="A842" t="str">
            <v>0</v>
          </cell>
        </row>
        <row r="844">
          <cell r="C844" t="str">
            <v>JUMLAH TANGGAL</v>
          </cell>
          <cell r="F844">
            <v>24843000</v>
          </cell>
          <cell r="G844">
            <v>9425000</v>
          </cell>
        </row>
        <row r="845">
          <cell r="C845" t="str">
            <v>HARI INI</v>
          </cell>
        </row>
        <row r="846">
          <cell r="C846" t="str">
            <v>JUMLAH S/D TANGGAL</v>
          </cell>
          <cell r="F846">
            <v>263868652</v>
          </cell>
          <cell r="G846">
            <v>230060868</v>
          </cell>
        </row>
        <row r="847">
          <cell r="C847" t="str">
            <v>TOTAL</v>
          </cell>
          <cell r="F847">
            <v>288711652</v>
          </cell>
          <cell r="G847">
            <v>239485868</v>
          </cell>
        </row>
        <row r="849">
          <cell r="C849" t="str">
            <v>SISA</v>
          </cell>
          <cell r="D849">
            <v>49225784</v>
          </cell>
        </row>
        <row r="851">
          <cell r="A851" t="str">
            <v>KODE BANTU</v>
          </cell>
          <cell r="B851" t="str">
            <v>NO</v>
          </cell>
          <cell r="C851" t="str">
            <v>FEBRUARI</v>
          </cell>
          <cell r="D851" t="str">
            <v>URAIAN</v>
          </cell>
          <cell r="E851" t="str">
            <v>KODE ANGGARAN</v>
          </cell>
          <cell r="F851" t="str">
            <v>PENERIMAAN</v>
          </cell>
          <cell r="G851" t="str">
            <v>PENGELUARAN</v>
          </cell>
        </row>
        <row r="852">
          <cell r="A852" t="str">
            <v>II.2.4.011</v>
          </cell>
          <cell r="B852">
            <v>242</v>
          </cell>
          <cell r="C852">
            <v>46075</v>
          </cell>
          <cell r="D852" t="str">
            <v>Beli Kipas angin 2 buah untuk Gedung Serbaguna dan Transport</v>
          </cell>
          <cell r="E852" t="str">
            <v>II.2.4.01</v>
          </cell>
          <cell r="G852">
            <v>2700000</v>
          </cell>
        </row>
        <row r="853">
          <cell r="A853" t="str">
            <v>II.5.1.016</v>
          </cell>
          <cell r="B853">
            <v>243</v>
          </cell>
          <cell r="C853">
            <v>46075</v>
          </cell>
          <cell r="D853" t="str">
            <v>Sumbangan Pelayanan sakit 16 orang</v>
          </cell>
          <cell r="E853" t="str">
            <v>II.5.1.01</v>
          </cell>
          <cell r="G853">
            <v>4800000</v>
          </cell>
        </row>
        <row r="854">
          <cell r="A854" t="str">
            <v>II.5.1.067</v>
          </cell>
          <cell r="B854">
            <v>244</v>
          </cell>
          <cell r="C854">
            <v>46075</v>
          </cell>
          <cell r="D854" t="str">
            <v>Sumbangan Duka Alm. Bpk Benny dan Alm. Ibu Ety Pattisina</v>
          </cell>
          <cell r="E854" t="str">
            <v>II.5.1.06</v>
          </cell>
          <cell r="G854">
            <v>1000000</v>
          </cell>
        </row>
        <row r="855">
          <cell r="A855" t="str">
            <v>II.3.1.3.01.0021</v>
          </cell>
          <cell r="B855">
            <v>245</v>
          </cell>
          <cell r="C855">
            <v>46075</v>
          </cell>
          <cell r="D855" t="str">
            <v>Biaya Kegiatan buka bersama dengan saudara muslim di hanie dan transport</v>
          </cell>
          <cell r="E855" t="str">
            <v>II.3.1.3.01.002</v>
          </cell>
          <cell r="G855">
            <v>2300000</v>
          </cell>
        </row>
        <row r="856">
          <cell r="A856" t="str">
            <v>II.5.1.1010</v>
          </cell>
          <cell r="B856">
            <v>246</v>
          </cell>
          <cell r="C856">
            <v>46075</v>
          </cell>
          <cell r="D856" t="str">
            <v>Belanja bulan tugas maret</v>
          </cell>
          <cell r="E856" t="str">
            <v>II.5.1.10</v>
          </cell>
          <cell r="G856">
            <v>650000</v>
          </cell>
        </row>
        <row r="857">
          <cell r="A857" t="str">
            <v>II.5.1.0720</v>
          </cell>
          <cell r="B857">
            <v>247</v>
          </cell>
          <cell r="C857">
            <v>46075</v>
          </cell>
          <cell r="D857" t="str">
            <v>Belanja Kebaktian Minggu</v>
          </cell>
          <cell r="E857" t="str">
            <v>II.5.1.07</v>
          </cell>
          <cell r="G857">
            <v>1100000</v>
          </cell>
        </row>
        <row r="858">
          <cell r="A858" t="str">
            <v>I.2.2.02.06421</v>
          </cell>
          <cell r="B858">
            <v>248</v>
          </cell>
          <cell r="C858">
            <v>46075</v>
          </cell>
          <cell r="D858" t="str">
            <v>natsar syukur Toko Kayu Sirayuri 4 Saudara</v>
          </cell>
          <cell r="E858" t="str">
            <v>I.2.2.02.064</v>
          </cell>
          <cell r="F858">
            <v>250000</v>
          </cell>
        </row>
        <row r="859">
          <cell r="A859" t="str">
            <v>I.2.2.02.06312</v>
          </cell>
          <cell r="B859">
            <v>249</v>
          </cell>
          <cell r="C859">
            <v>46075</v>
          </cell>
          <cell r="D859" t="str">
            <v>Kolekta Pergumulan Keluarga</v>
          </cell>
          <cell r="E859" t="str">
            <v>I.2.2.02.063</v>
          </cell>
          <cell r="F859">
            <v>186000</v>
          </cell>
        </row>
        <row r="860">
          <cell r="A860" t="str">
            <v>I.2.2.02.06422</v>
          </cell>
          <cell r="B860">
            <v>249</v>
          </cell>
          <cell r="C860">
            <v>46075</v>
          </cell>
          <cell r="D860" t="str">
            <v>Kolekta Syukur Keluarga Manuputty dan Kel. NN Petra 3</v>
          </cell>
          <cell r="E860" t="str">
            <v>I.2.2.02.064</v>
          </cell>
          <cell r="F860">
            <v>309000</v>
          </cell>
        </row>
        <row r="861">
          <cell r="A861" t="str">
            <v>I.2.2.02.0046</v>
          </cell>
          <cell r="B861">
            <v>250</v>
          </cell>
          <cell r="C861">
            <v>46075</v>
          </cell>
          <cell r="D861" t="str">
            <v>Kolekta Kebaktian Syukur Duka Kel. Tapilaha</v>
          </cell>
          <cell r="E861" t="str">
            <v>I.2.2.02.004</v>
          </cell>
          <cell r="F861">
            <v>400000</v>
          </cell>
        </row>
        <row r="862">
          <cell r="A862" t="str">
            <v>I.2.2.02.0307</v>
          </cell>
          <cell r="B862">
            <v>251</v>
          </cell>
          <cell r="C862">
            <v>46075</v>
          </cell>
          <cell r="D862" t="str">
            <v>Kolekta Kebaktian Pelayanan Laki-Laki sek Imanuel</v>
          </cell>
          <cell r="E862" t="str">
            <v>I.2.2.02.030</v>
          </cell>
          <cell r="F862">
            <v>90000</v>
          </cell>
        </row>
        <row r="863">
          <cell r="A863" t="str">
            <v>I.2.2.02.0297</v>
          </cell>
          <cell r="B863">
            <v>252</v>
          </cell>
          <cell r="C863">
            <v>46075</v>
          </cell>
          <cell r="D863" t="str">
            <v>Kolekta Kebaktian Pelayanan Perempuan sek. Imanuel</v>
          </cell>
          <cell r="E863" t="str">
            <v>I.2.2.02.029</v>
          </cell>
          <cell r="F863">
            <v>179000</v>
          </cell>
        </row>
        <row r="864">
          <cell r="A864" t="str">
            <v>I.2.2.02.06423</v>
          </cell>
          <cell r="B864">
            <v>253</v>
          </cell>
          <cell r="C864">
            <v>46075</v>
          </cell>
          <cell r="D864" t="str">
            <v>Kolekta Kebaktian ana cucu tete ipu Pattirane dan ana cucu Opa Gabe Waisapy</v>
          </cell>
          <cell r="E864" t="str">
            <v>I.2.2.02.064</v>
          </cell>
          <cell r="F864">
            <v>372000</v>
          </cell>
        </row>
        <row r="865">
          <cell r="A865" t="str">
            <v>I.2.2.02.0342</v>
          </cell>
          <cell r="B865">
            <v>254</v>
          </cell>
          <cell r="C865">
            <v>46075</v>
          </cell>
          <cell r="D865" t="str">
            <v>Kolekta Kebaktian Pangkalan Ojek</v>
          </cell>
          <cell r="E865" t="str">
            <v>I.2.2.02.034</v>
          </cell>
          <cell r="F865">
            <v>32000</v>
          </cell>
        </row>
        <row r="866">
          <cell r="A866" t="str">
            <v>I.2.2.02.0265</v>
          </cell>
          <cell r="B866">
            <v>255</v>
          </cell>
          <cell r="C866">
            <v>46075</v>
          </cell>
          <cell r="D866" t="str">
            <v>Kolekta Kebaktian Katekisasi Gereja Baitrafa</v>
          </cell>
          <cell r="E866" t="str">
            <v>I.2.2.02.026</v>
          </cell>
          <cell r="F866">
            <v>23000</v>
          </cell>
        </row>
        <row r="867">
          <cell r="A867" t="str">
            <v>I.2.2.02.0372</v>
          </cell>
          <cell r="B867">
            <v>256</v>
          </cell>
          <cell r="C867">
            <v>46075</v>
          </cell>
          <cell r="D867" t="str">
            <v>Kolekta Kebaktian Penggembalaan Baptis</v>
          </cell>
          <cell r="E867" t="str">
            <v>I.2.2.02.037</v>
          </cell>
          <cell r="F867">
            <v>52000</v>
          </cell>
        </row>
        <row r="868">
          <cell r="A868" t="str">
            <v>I.2.2.02.0414</v>
          </cell>
          <cell r="B868">
            <v>257</v>
          </cell>
          <cell r="C868">
            <v>46075</v>
          </cell>
          <cell r="D868" t="str">
            <v>Kolekta Kebaktian Penggembalaan Nikah Kel. Peleuw</v>
          </cell>
          <cell r="E868" t="str">
            <v>I.2.2.02.041</v>
          </cell>
          <cell r="F868">
            <v>85000</v>
          </cell>
        </row>
        <row r="869">
          <cell r="A869" t="str">
            <v>I.2.2.02.0415</v>
          </cell>
          <cell r="B869">
            <v>258</v>
          </cell>
          <cell r="C869">
            <v>46075</v>
          </cell>
          <cell r="D869" t="str">
            <v>Kolekta Kebaktian Penggembalaan Nikah Kel. Suitela</v>
          </cell>
          <cell r="E869" t="str">
            <v>I.2.2.02.041</v>
          </cell>
          <cell r="F869">
            <v>265000</v>
          </cell>
        </row>
        <row r="870">
          <cell r="A870" t="str">
            <v>I.2.2.02.0423</v>
          </cell>
          <cell r="B870">
            <v>259</v>
          </cell>
          <cell r="C870">
            <v>46075</v>
          </cell>
          <cell r="D870" t="str">
            <v>Kolekta Kebaktian Syukur Peneguhan Nikah Kel. Suitela, Kel. Tahapary dan Kel. Peleuw</v>
          </cell>
          <cell r="E870" t="str">
            <v>I.2.2.02.042</v>
          </cell>
          <cell r="F870">
            <v>2149000</v>
          </cell>
        </row>
        <row r="871">
          <cell r="A871" t="str">
            <v>0</v>
          </cell>
        </row>
        <row r="872">
          <cell r="A872" t="str">
            <v>0</v>
          </cell>
        </row>
        <row r="873">
          <cell r="A873" t="str">
            <v>0</v>
          </cell>
        </row>
        <row r="874">
          <cell r="A874" t="str">
            <v>0</v>
          </cell>
        </row>
        <row r="875">
          <cell r="A875" t="str">
            <v>0</v>
          </cell>
        </row>
        <row r="876">
          <cell r="A876" t="str">
            <v>0</v>
          </cell>
        </row>
        <row r="878">
          <cell r="C878" t="str">
            <v>JUMLAH TANGGAL</v>
          </cell>
          <cell r="F878">
            <v>4392000</v>
          </cell>
          <cell r="G878">
            <v>12550000</v>
          </cell>
        </row>
        <row r="879">
          <cell r="C879" t="str">
            <v>HARI INI</v>
          </cell>
        </row>
        <row r="880">
          <cell r="C880" t="str">
            <v>JUMLAH S/D TANGGAL</v>
          </cell>
          <cell r="F880">
            <v>288711652</v>
          </cell>
          <cell r="G880">
            <v>239485868</v>
          </cell>
        </row>
        <row r="881">
          <cell r="C881" t="str">
            <v>TOTAL</v>
          </cell>
          <cell r="F881">
            <v>293103652</v>
          </cell>
          <cell r="G881">
            <v>252035868</v>
          </cell>
        </row>
        <row r="883">
          <cell r="C883" t="str">
            <v>SISA</v>
          </cell>
          <cell r="D883">
            <v>41067784</v>
          </cell>
        </row>
        <row r="885">
          <cell r="A885" t="str">
            <v>KODE BANTU</v>
          </cell>
          <cell r="B885" t="str">
            <v>NO</v>
          </cell>
          <cell r="C885" t="str">
            <v>FEBRUARI</v>
          </cell>
          <cell r="D885" t="str">
            <v>URAIAN</v>
          </cell>
          <cell r="E885" t="str">
            <v>KODE ANGGARAN</v>
          </cell>
          <cell r="F885" t="str">
            <v>PENERIMAAN</v>
          </cell>
          <cell r="G885" t="str">
            <v>PENGELUARAN</v>
          </cell>
        </row>
        <row r="886">
          <cell r="A886" t="str">
            <v>I.2.2.02.0308</v>
          </cell>
          <cell r="B886">
            <v>260</v>
          </cell>
          <cell r="C886">
            <v>46080</v>
          </cell>
          <cell r="D886" t="str">
            <v>Kolekta Kebaktian Pelayanan Laki-Laki</v>
          </cell>
          <cell r="E886" t="str">
            <v>I.2.2.02.030</v>
          </cell>
          <cell r="F886">
            <v>1020000</v>
          </cell>
        </row>
        <row r="887">
          <cell r="A887" t="str">
            <v>I.2.2.02.0298</v>
          </cell>
          <cell r="B887">
            <v>261</v>
          </cell>
          <cell r="C887">
            <v>46080</v>
          </cell>
          <cell r="D887" t="str">
            <v>Kolekta Kebaktian Pelayanan Perempuan</v>
          </cell>
          <cell r="E887" t="str">
            <v>I.2.2.02.029</v>
          </cell>
          <cell r="F887">
            <v>930000</v>
          </cell>
        </row>
        <row r="888">
          <cell r="A888" t="str">
            <v>I.2.2.02.0204</v>
          </cell>
          <cell r="B888">
            <v>262</v>
          </cell>
          <cell r="C888">
            <v>46080</v>
          </cell>
          <cell r="D888" t="str">
            <v>Kolekta Kebaktian Unit</v>
          </cell>
          <cell r="E888" t="str">
            <v>I.2.2.02.020</v>
          </cell>
          <cell r="F888">
            <v>2450000</v>
          </cell>
        </row>
        <row r="889">
          <cell r="A889" t="str">
            <v>I.2.2.02.0019</v>
          </cell>
          <cell r="B889">
            <v>263</v>
          </cell>
          <cell r="C889">
            <v>46080</v>
          </cell>
          <cell r="D889" t="str">
            <v>Kolekta Kebaktian Syukur HUT Kelahiran</v>
          </cell>
          <cell r="E889" t="str">
            <v>I.2.2.02.001</v>
          </cell>
          <cell r="F889">
            <v>2009000</v>
          </cell>
        </row>
        <row r="890">
          <cell r="A890" t="str">
            <v>I.2.2.02.0029</v>
          </cell>
          <cell r="B890">
            <v>264</v>
          </cell>
          <cell r="C890">
            <v>46080</v>
          </cell>
          <cell r="D890" t="str">
            <v>Kolekta Kebaktian Syukur HUT Perkawinan</v>
          </cell>
          <cell r="E890" t="str">
            <v>I.2.2.02.002</v>
          </cell>
          <cell r="F890">
            <v>190000</v>
          </cell>
        </row>
        <row r="891">
          <cell r="A891" t="str">
            <v>I.2.2.02.0194</v>
          </cell>
          <cell r="B891">
            <v>265</v>
          </cell>
          <cell r="C891">
            <v>46080</v>
          </cell>
          <cell r="D891" t="str">
            <v>Kolekta Kebaktian Sektor Imanuel</v>
          </cell>
          <cell r="E891" t="str">
            <v>I.2.2.02.019</v>
          </cell>
          <cell r="F891">
            <v>121000</v>
          </cell>
        </row>
        <row r="892">
          <cell r="A892" t="str">
            <v>0</v>
          </cell>
        </row>
        <row r="893">
          <cell r="A893" t="str">
            <v>0</v>
          </cell>
        </row>
        <row r="894">
          <cell r="A894" t="str">
            <v>0</v>
          </cell>
        </row>
        <row r="895">
          <cell r="A895" t="str">
            <v>0</v>
          </cell>
        </row>
        <row r="896">
          <cell r="A896" t="str">
            <v>0</v>
          </cell>
        </row>
        <row r="897">
          <cell r="A897" t="str">
            <v>0</v>
          </cell>
        </row>
        <row r="898">
          <cell r="A898" t="str">
            <v>0</v>
          </cell>
        </row>
        <row r="899">
          <cell r="A899" t="str">
            <v>0</v>
          </cell>
        </row>
        <row r="900">
          <cell r="A900" t="str">
            <v>0</v>
          </cell>
        </row>
        <row r="901">
          <cell r="A901" t="str">
            <v>0</v>
          </cell>
        </row>
        <row r="902">
          <cell r="A902" t="str">
            <v>0</v>
          </cell>
        </row>
        <row r="903">
          <cell r="A903" t="str">
            <v>0</v>
          </cell>
        </row>
        <row r="904">
          <cell r="A904" t="str">
            <v>0</v>
          </cell>
        </row>
        <row r="905">
          <cell r="A905" t="str">
            <v>0</v>
          </cell>
        </row>
        <row r="906">
          <cell r="A906" t="str">
            <v>0</v>
          </cell>
        </row>
        <row r="907">
          <cell r="A907" t="str">
            <v>0</v>
          </cell>
        </row>
        <row r="908">
          <cell r="A908" t="str">
            <v>0</v>
          </cell>
        </row>
        <row r="909">
          <cell r="A909" t="str">
            <v>0</v>
          </cell>
        </row>
        <row r="910">
          <cell r="A910" t="str">
            <v>0</v>
          </cell>
        </row>
        <row r="912">
          <cell r="C912" t="str">
            <v>JUMLAH TANGGAL</v>
          </cell>
          <cell r="F912">
            <v>6720000</v>
          </cell>
          <cell r="G912">
            <v>0</v>
          </cell>
        </row>
        <row r="913">
          <cell r="C913" t="str">
            <v>HARI INI</v>
          </cell>
        </row>
        <row r="914">
          <cell r="C914" t="str">
            <v>JUMLAH S/D TANGGAL</v>
          </cell>
          <cell r="F914">
            <v>293103652</v>
          </cell>
          <cell r="G914">
            <v>252035868</v>
          </cell>
        </row>
        <row r="915">
          <cell r="C915" t="str">
            <v>TOTAL</v>
          </cell>
          <cell r="F915">
            <v>299823652</v>
          </cell>
          <cell r="G915">
            <v>252035868</v>
          </cell>
        </row>
        <row r="917">
          <cell r="C917" t="str">
            <v>SISA</v>
          </cell>
          <cell r="D917">
            <v>47787784</v>
          </cell>
        </row>
        <row r="919">
          <cell r="A919" t="str">
            <v>KODE BANTU</v>
          </cell>
          <cell r="B919" t="str">
            <v>NO</v>
          </cell>
          <cell r="C919" t="str">
            <v>FEBRUARI</v>
          </cell>
          <cell r="D919" t="str">
            <v>URAIAN</v>
          </cell>
          <cell r="E919" t="str">
            <v>KODE ANGGARAN</v>
          </cell>
          <cell r="F919" t="str">
            <v>PENERIMAAN</v>
          </cell>
          <cell r="G919" t="str">
            <v>PENGELUARAN</v>
          </cell>
        </row>
        <row r="920">
          <cell r="A920" t="str">
            <v>I.2.2.02.0359</v>
          </cell>
          <cell r="B920">
            <v>266</v>
          </cell>
          <cell r="C920">
            <v>46080</v>
          </cell>
          <cell r="D920" t="str">
            <v>Kolekta Kebaktian pelayanan rumah / Orang Sakit</v>
          </cell>
          <cell r="E920" t="str">
            <v>I.2.2.02.035</v>
          </cell>
          <cell r="F920">
            <v>540000</v>
          </cell>
        </row>
        <row r="921">
          <cell r="A921" t="str">
            <v>0</v>
          </cell>
        </row>
        <row r="922">
          <cell r="A922" t="str">
            <v>0</v>
          </cell>
        </row>
        <row r="923">
          <cell r="A923" t="str">
            <v>0</v>
          </cell>
        </row>
        <row r="924">
          <cell r="A924" t="str">
            <v>0</v>
          </cell>
        </row>
        <row r="925">
          <cell r="A925" t="str">
            <v>0</v>
          </cell>
        </row>
        <row r="926">
          <cell r="A926" t="str">
            <v>0</v>
          </cell>
        </row>
        <row r="927">
          <cell r="A927" t="str">
            <v>0</v>
          </cell>
        </row>
        <row r="928">
          <cell r="A928" t="str">
            <v>0</v>
          </cell>
        </row>
        <row r="929">
          <cell r="A929" t="str">
            <v>0</v>
          </cell>
        </row>
        <row r="930">
          <cell r="A930" t="str">
            <v>0</v>
          </cell>
        </row>
        <row r="931">
          <cell r="A931" t="str">
            <v>0</v>
          </cell>
        </row>
        <row r="932">
          <cell r="A932" t="str">
            <v>0</v>
          </cell>
        </row>
        <row r="933">
          <cell r="A933" t="str">
            <v>0</v>
          </cell>
        </row>
        <row r="934">
          <cell r="A934" t="str">
            <v>0</v>
          </cell>
        </row>
        <row r="935">
          <cell r="A935" t="str">
            <v>0</v>
          </cell>
        </row>
        <row r="936">
          <cell r="A936" t="str">
            <v>0</v>
          </cell>
        </row>
        <row r="937">
          <cell r="A937" t="str">
            <v>0</v>
          </cell>
        </row>
        <row r="938">
          <cell r="A938" t="str">
            <v>0</v>
          </cell>
        </row>
        <row r="939">
          <cell r="A939" t="str">
            <v>0</v>
          </cell>
        </row>
        <row r="940">
          <cell r="A940" t="str">
            <v>0</v>
          </cell>
        </row>
        <row r="941">
          <cell r="A941" t="str">
            <v>0</v>
          </cell>
        </row>
        <row r="942">
          <cell r="A942" t="str">
            <v>0</v>
          </cell>
        </row>
        <row r="943">
          <cell r="A943" t="str">
            <v>0</v>
          </cell>
        </row>
        <row r="944">
          <cell r="A944" t="str">
            <v>0</v>
          </cell>
        </row>
        <row r="946">
          <cell r="C946" t="str">
            <v>JUMLAH TANGGAL</v>
          </cell>
          <cell r="F946">
            <v>540000</v>
          </cell>
          <cell r="G946">
            <v>0</v>
          </cell>
        </row>
        <row r="947">
          <cell r="C947" t="str">
            <v>HARI INI</v>
          </cell>
        </row>
        <row r="948">
          <cell r="C948" t="str">
            <v>JUMLAH S/D TANGGAL</v>
          </cell>
          <cell r="F948">
            <v>299823652</v>
          </cell>
          <cell r="G948">
            <v>252035868</v>
          </cell>
        </row>
        <row r="949">
          <cell r="C949" t="str">
            <v>TOTAL</v>
          </cell>
          <cell r="F949">
            <v>300363652</v>
          </cell>
          <cell r="G949">
            <v>252035868</v>
          </cell>
        </row>
        <row r="951">
          <cell r="C951" t="str">
            <v>SISA</v>
          </cell>
          <cell r="D951">
            <v>48327784</v>
          </cell>
        </row>
        <row r="953">
          <cell r="A953" t="str">
            <v>KODE BANTU</v>
          </cell>
          <cell r="B953" t="str">
            <v>NO</v>
          </cell>
          <cell r="C953" t="str">
            <v>FEBRUARI</v>
          </cell>
          <cell r="D953" t="str">
            <v>URAIAN</v>
          </cell>
          <cell r="E953" t="str">
            <v>KODE ANGGARAN</v>
          </cell>
          <cell r="F953" t="str">
            <v>PENERIMAAN</v>
          </cell>
          <cell r="G953" t="str">
            <v>PENGELUARAN</v>
          </cell>
        </row>
        <row r="954">
          <cell r="A954" t="str">
            <v>0</v>
          </cell>
        </row>
        <row r="955">
          <cell r="A955" t="str">
            <v>0</v>
          </cell>
        </row>
        <row r="956">
          <cell r="A956" t="str">
            <v>0</v>
          </cell>
        </row>
        <row r="957">
          <cell r="A957" t="str">
            <v>0</v>
          </cell>
        </row>
        <row r="958">
          <cell r="A958" t="str">
            <v>0</v>
          </cell>
        </row>
        <row r="959">
          <cell r="A959" t="str">
            <v>0</v>
          </cell>
        </row>
        <row r="960">
          <cell r="A960" t="str">
            <v>0</v>
          </cell>
        </row>
        <row r="961">
          <cell r="A961" t="str">
            <v>0</v>
          </cell>
        </row>
        <row r="962">
          <cell r="A962" t="str">
            <v>0</v>
          </cell>
        </row>
        <row r="963">
          <cell r="A963" t="str">
            <v>0</v>
          </cell>
        </row>
        <row r="964">
          <cell r="A964" t="str">
            <v>0</v>
          </cell>
        </row>
        <row r="965">
          <cell r="A965" t="str">
            <v>0</v>
          </cell>
        </row>
        <row r="966">
          <cell r="A966" t="str">
            <v>0</v>
          </cell>
        </row>
        <row r="967">
          <cell r="A967" t="str">
            <v>0</v>
          </cell>
        </row>
        <row r="968">
          <cell r="A968" t="str">
            <v>0</v>
          </cell>
        </row>
        <row r="969">
          <cell r="A969" t="str">
            <v>0</v>
          </cell>
        </row>
        <row r="970">
          <cell r="A970" t="str">
            <v>0</v>
          </cell>
        </row>
        <row r="971">
          <cell r="A971" t="str">
            <v>0</v>
          </cell>
        </row>
        <row r="972">
          <cell r="A972" t="str">
            <v>0</v>
          </cell>
        </row>
        <row r="973">
          <cell r="A973" t="str">
            <v>0</v>
          </cell>
        </row>
        <row r="974">
          <cell r="A974" t="str">
            <v>0</v>
          </cell>
        </row>
        <row r="975">
          <cell r="A975" t="str">
            <v>0</v>
          </cell>
        </row>
        <row r="976">
          <cell r="A976" t="str">
            <v>0</v>
          </cell>
        </row>
        <row r="977">
          <cell r="A977" t="str">
            <v>0</v>
          </cell>
        </row>
        <row r="978">
          <cell r="A978" t="str">
            <v>0</v>
          </cell>
        </row>
        <row r="980">
          <cell r="C980" t="str">
            <v>JUMLAH TANGGAL</v>
          </cell>
          <cell r="F980">
            <v>0</v>
          </cell>
          <cell r="G980">
            <v>0</v>
          </cell>
        </row>
        <row r="981">
          <cell r="C981" t="str">
            <v>HARI INI</v>
          </cell>
        </row>
        <row r="982">
          <cell r="C982" t="str">
            <v>JUMLAH S/D TANGGAL</v>
          </cell>
          <cell r="F982">
            <v>300363652</v>
          </cell>
          <cell r="G982">
            <v>252035868</v>
          </cell>
        </row>
        <row r="983">
          <cell r="C983" t="str">
            <v>TOTAL</v>
          </cell>
          <cell r="F983">
            <v>300363652</v>
          </cell>
          <cell r="G983">
            <v>252035868</v>
          </cell>
        </row>
        <row r="985">
          <cell r="C985" t="str">
            <v>SISA</v>
          </cell>
          <cell r="D985">
            <v>48327784</v>
          </cell>
        </row>
        <row r="987">
          <cell r="A987" t="str">
            <v>KODE BANTU</v>
          </cell>
          <cell r="B987" t="str">
            <v>NO</v>
          </cell>
          <cell r="C987" t="str">
            <v>FEBRUARI</v>
          </cell>
          <cell r="D987" t="str">
            <v>URAIAN</v>
          </cell>
          <cell r="E987" t="str">
            <v>KODE ANGGARAN</v>
          </cell>
          <cell r="F987" t="str">
            <v>PENERIMAAN</v>
          </cell>
          <cell r="G987" t="str">
            <v>PENGELUARAN</v>
          </cell>
        </row>
        <row r="988">
          <cell r="A988" t="str">
            <v>0</v>
          </cell>
        </row>
        <row r="989">
          <cell r="A989" t="str">
            <v>0</v>
          </cell>
        </row>
        <row r="990">
          <cell r="A990" t="str">
            <v>0</v>
          </cell>
        </row>
        <row r="991">
          <cell r="A991" t="str">
            <v>0</v>
          </cell>
        </row>
        <row r="992">
          <cell r="A992" t="str">
            <v>0</v>
          </cell>
        </row>
        <row r="993">
          <cell r="A993" t="str">
            <v>0</v>
          </cell>
        </row>
        <row r="994">
          <cell r="A994" t="str">
            <v>0</v>
          </cell>
        </row>
        <row r="995">
          <cell r="A995" t="str">
            <v>0</v>
          </cell>
        </row>
        <row r="996">
          <cell r="A996" t="str">
            <v>0</v>
          </cell>
        </row>
        <row r="997">
          <cell r="A997" t="str">
            <v>0</v>
          </cell>
        </row>
        <row r="998">
          <cell r="A998" t="str">
            <v>0</v>
          </cell>
        </row>
        <row r="999">
          <cell r="A999" t="str">
            <v>0</v>
          </cell>
        </row>
        <row r="1000">
          <cell r="A1000" t="str">
            <v>0</v>
          </cell>
        </row>
        <row r="1001">
          <cell r="A1001" t="str">
            <v>0</v>
          </cell>
        </row>
        <row r="1002">
          <cell r="A1002" t="str">
            <v>0</v>
          </cell>
        </row>
        <row r="1003">
          <cell r="A1003" t="str">
            <v>0</v>
          </cell>
        </row>
        <row r="1004">
          <cell r="A1004" t="str">
            <v>0</v>
          </cell>
        </row>
        <row r="1005">
          <cell r="A1005" t="str">
            <v>0</v>
          </cell>
        </row>
        <row r="1006">
          <cell r="A1006" t="str">
            <v>0</v>
          </cell>
        </row>
        <row r="1007">
          <cell r="A1007" t="str">
            <v>0</v>
          </cell>
        </row>
        <row r="1008">
          <cell r="A1008" t="str">
            <v>0</v>
          </cell>
        </row>
        <row r="1009">
          <cell r="A1009" t="str">
            <v>0</v>
          </cell>
        </row>
        <row r="1010">
          <cell r="A1010" t="str">
            <v>0</v>
          </cell>
        </row>
        <row r="1011">
          <cell r="A1011" t="str">
            <v>0</v>
          </cell>
        </row>
        <row r="1012">
          <cell r="A1012" t="str">
            <v>0</v>
          </cell>
        </row>
        <row r="1014">
          <cell r="C1014" t="str">
            <v>JUMLAH TANGGAL</v>
          </cell>
          <cell r="F1014">
            <v>0</v>
          </cell>
          <cell r="G1014">
            <v>0</v>
          </cell>
        </row>
        <row r="1015">
          <cell r="C1015" t="str">
            <v>HARI INI</v>
          </cell>
        </row>
        <row r="1016">
          <cell r="C1016" t="str">
            <v>JUMLAH S/D TANGGAL</v>
          </cell>
          <cell r="F1016">
            <v>300363652</v>
          </cell>
          <cell r="G1016">
            <v>252035868</v>
          </cell>
        </row>
        <row r="1017">
          <cell r="C1017" t="str">
            <v>TOTAL</v>
          </cell>
          <cell r="F1017">
            <v>300363652</v>
          </cell>
          <cell r="G1017">
            <v>252035868</v>
          </cell>
        </row>
        <row r="1019">
          <cell r="C1019" t="str">
            <v>SISA</v>
          </cell>
          <cell r="D1019">
            <v>48327784</v>
          </cell>
        </row>
        <row r="1021">
          <cell r="A1021" t="str">
            <v>KODE BANTU</v>
          </cell>
          <cell r="B1021" t="str">
            <v>NO</v>
          </cell>
          <cell r="C1021" t="str">
            <v>MARET</v>
          </cell>
          <cell r="D1021" t="str">
            <v>URAIAN</v>
          </cell>
          <cell r="E1021" t="str">
            <v>KODE ANGGARAN</v>
          </cell>
          <cell r="F1021" t="str">
            <v>PENERIMAAN</v>
          </cell>
          <cell r="G1021" t="str">
            <v>PENGELUARAN</v>
          </cell>
        </row>
        <row r="1022">
          <cell r="A1022" t="str">
            <v>I.2.2.01.0019</v>
          </cell>
          <cell r="B1022">
            <v>267</v>
          </cell>
          <cell r="C1022">
            <v>46082</v>
          </cell>
          <cell r="D1022" t="str">
            <v>Kolekta Kebaktian Minggu Gereja Baitrafa dan SK</v>
          </cell>
          <cell r="E1022" t="str">
            <v>I.2.2.01.001</v>
          </cell>
          <cell r="F1022">
            <v>6980000</v>
          </cell>
        </row>
        <row r="1023">
          <cell r="A1023" t="str">
            <v>I.2.3.0113</v>
          </cell>
          <cell r="B1023">
            <v>268</v>
          </cell>
          <cell r="C1023">
            <v>46082</v>
          </cell>
          <cell r="D1023" t="str">
            <v>Persepuluhan gereja Baitrafa dan Sk</v>
          </cell>
          <cell r="E1023" t="str">
            <v>I.2.3.01</v>
          </cell>
          <cell r="F1023">
            <v>8456000</v>
          </cell>
        </row>
        <row r="1024">
          <cell r="A1024" t="str">
            <v>I.5.1.048</v>
          </cell>
          <cell r="B1024">
            <v>269</v>
          </cell>
          <cell r="C1024">
            <v>46082</v>
          </cell>
          <cell r="D1024" t="str">
            <v>Pemberian Uang Kursi dari Keluarga Ibu Wis Salampessy dan Kel. NN Siloam 1</v>
          </cell>
          <cell r="E1024" t="str">
            <v>I.5.1.04</v>
          </cell>
          <cell r="F1024">
            <v>400000</v>
          </cell>
        </row>
        <row r="1025">
          <cell r="A1025" t="str">
            <v>I.5.1.049</v>
          </cell>
          <cell r="B1025">
            <v>270</v>
          </cell>
          <cell r="C1025">
            <v>46082</v>
          </cell>
          <cell r="D1025" t="str">
            <v>Pemberian untuk Gereja dari Kel. Hully</v>
          </cell>
          <cell r="E1025" t="str">
            <v>I.5.1.04</v>
          </cell>
          <cell r="F1025">
            <v>1000000</v>
          </cell>
        </row>
        <row r="1026">
          <cell r="A1026" t="str">
            <v>I.2.3.0114</v>
          </cell>
          <cell r="B1026">
            <v>271</v>
          </cell>
          <cell r="C1026">
            <v>46082</v>
          </cell>
          <cell r="D1026" t="str">
            <v>Persepuluhan Kel. Soumokil</v>
          </cell>
          <cell r="E1026" t="str">
            <v>I.2.3.01</v>
          </cell>
          <cell r="F1026">
            <v>1200000</v>
          </cell>
        </row>
        <row r="1027">
          <cell r="A1027" t="str">
            <v>II.5.1.0721</v>
          </cell>
          <cell r="B1027">
            <v>272</v>
          </cell>
          <cell r="C1027">
            <v>46082</v>
          </cell>
          <cell r="D1027" t="str">
            <v>Biaya Kebaktian Minggu</v>
          </cell>
          <cell r="E1027" t="str">
            <v>II.5.1.07</v>
          </cell>
          <cell r="G1027">
            <v>1150000</v>
          </cell>
        </row>
        <row r="1028">
          <cell r="A1028" t="str">
            <v>II.5.1.0722</v>
          </cell>
          <cell r="B1028">
            <v>273</v>
          </cell>
          <cell r="C1028">
            <v>46082</v>
          </cell>
          <cell r="D1028" t="str">
            <v>Transport Pelayanan Pendeta Kekunjungan selama 3 hari</v>
          </cell>
          <cell r="E1028" t="str">
            <v>II.5.1.07</v>
          </cell>
          <cell r="G1028">
            <v>2400000</v>
          </cell>
        </row>
        <row r="1029">
          <cell r="A1029" t="str">
            <v>II.5.1.017</v>
          </cell>
          <cell r="B1029">
            <v>274</v>
          </cell>
          <cell r="C1029">
            <v>46082</v>
          </cell>
          <cell r="D1029" t="str">
            <v>Sumbangan Pelayanan sakit 5 org</v>
          </cell>
          <cell r="E1029" t="str">
            <v>II.5.1.01</v>
          </cell>
          <cell r="G1029">
            <v>1500000</v>
          </cell>
        </row>
        <row r="1030">
          <cell r="A1030" t="str">
            <v>II.5.1.068</v>
          </cell>
          <cell r="B1030">
            <v>275</v>
          </cell>
          <cell r="C1030">
            <v>46082</v>
          </cell>
          <cell r="D1030" t="str">
            <v>Sumbangan Duka ke Namrole ( Kakak kandung KMJ )</v>
          </cell>
          <cell r="E1030" t="str">
            <v>II.5.1.06</v>
          </cell>
          <cell r="G1030">
            <v>1500000</v>
          </cell>
        </row>
        <row r="1031">
          <cell r="A1031" t="str">
            <v>II.2.2.034</v>
          </cell>
          <cell r="B1031">
            <v>276</v>
          </cell>
          <cell r="C1031">
            <v>46082</v>
          </cell>
          <cell r="D1031" t="str">
            <v>Bayar Insentif KMJ dan Pendeta Jemaat bulan Maret</v>
          </cell>
          <cell r="E1031" t="str">
            <v>II.2.2.03</v>
          </cell>
          <cell r="G1031">
            <v>5000000</v>
          </cell>
        </row>
        <row r="1032">
          <cell r="A1032" t="str">
            <v>II.2.3.045</v>
          </cell>
          <cell r="B1032">
            <v>277</v>
          </cell>
          <cell r="C1032">
            <v>46082</v>
          </cell>
          <cell r="D1032" t="str">
            <v>Biaya Telepon 3 orang Pendeta bulan Maret</v>
          </cell>
          <cell r="E1032" t="str">
            <v>II.2.3.04</v>
          </cell>
          <cell r="G1032">
            <v>600000</v>
          </cell>
        </row>
        <row r="1033">
          <cell r="A1033" t="str">
            <v>II.2.5.0313</v>
          </cell>
          <cell r="B1033">
            <v>278</v>
          </cell>
          <cell r="C1033">
            <v>46082</v>
          </cell>
          <cell r="D1033" t="str">
            <v>Biaya Cuci Pakaian Gereja</v>
          </cell>
          <cell r="E1033" t="str">
            <v>II.2.5.03</v>
          </cell>
          <cell r="G1033">
            <v>100000</v>
          </cell>
        </row>
        <row r="1034">
          <cell r="A1034" t="str">
            <v>II.2.5.0314</v>
          </cell>
          <cell r="B1034">
            <v>279</v>
          </cell>
          <cell r="C1034">
            <v>46082</v>
          </cell>
          <cell r="D1034" t="str">
            <v>Biaya Service Laptop</v>
          </cell>
          <cell r="E1034" t="str">
            <v>II.2.5.03</v>
          </cell>
          <cell r="G1034">
            <v>500000</v>
          </cell>
        </row>
        <row r="1035">
          <cell r="A1035" t="str">
            <v>II.5.1.0723</v>
          </cell>
          <cell r="B1035">
            <v>280</v>
          </cell>
          <cell r="C1035">
            <v>46082</v>
          </cell>
          <cell r="D1035" t="str">
            <v>Biaya sewa mobil pelayanan orang sakit</v>
          </cell>
          <cell r="E1035" t="str">
            <v>II.5.1.07</v>
          </cell>
          <cell r="G1035">
            <v>250000</v>
          </cell>
        </row>
        <row r="1036">
          <cell r="A1036" t="str">
            <v>II.5.1.0724</v>
          </cell>
          <cell r="B1036">
            <v>281</v>
          </cell>
          <cell r="C1036">
            <v>46082</v>
          </cell>
          <cell r="D1036" t="str">
            <v>Biaya sewa mobil pe;ayanan kekunjungan</v>
          </cell>
          <cell r="E1036" t="str">
            <v>II.5.1.07</v>
          </cell>
          <cell r="G1036">
            <v>100000</v>
          </cell>
        </row>
        <row r="1037">
          <cell r="A1037" t="str">
            <v>II.5.1.0725</v>
          </cell>
          <cell r="B1037">
            <v>282</v>
          </cell>
          <cell r="C1037">
            <v>46082</v>
          </cell>
          <cell r="D1037" t="str">
            <v>Biaya sewa mobil pelayanan kekunjungan</v>
          </cell>
          <cell r="E1037" t="str">
            <v>II.5.1.07</v>
          </cell>
          <cell r="G1037">
            <v>800000</v>
          </cell>
        </row>
        <row r="1038">
          <cell r="A1038" t="str">
            <v>II.2.6.022</v>
          </cell>
          <cell r="B1038">
            <v>283</v>
          </cell>
          <cell r="C1038">
            <v>46082</v>
          </cell>
          <cell r="D1038" t="str">
            <v>Transport peserta sidang Klasis 6 org</v>
          </cell>
          <cell r="E1038" t="str">
            <v>II.2.6.02</v>
          </cell>
          <cell r="G1038">
            <v>1800000</v>
          </cell>
        </row>
        <row r="1039">
          <cell r="A1039" t="str">
            <v>0</v>
          </cell>
        </row>
        <row r="1040">
          <cell r="A1040" t="str">
            <v>0</v>
          </cell>
        </row>
        <row r="1041">
          <cell r="A1041" t="str">
            <v>0</v>
          </cell>
        </row>
        <row r="1042">
          <cell r="A1042" t="str">
            <v>0</v>
          </cell>
        </row>
        <row r="1043">
          <cell r="A1043" t="str">
            <v>0</v>
          </cell>
        </row>
        <row r="1044">
          <cell r="A1044" t="str">
            <v>0</v>
          </cell>
        </row>
        <row r="1045">
          <cell r="A1045" t="str">
            <v>0</v>
          </cell>
        </row>
        <row r="1046">
          <cell r="A1046" t="str">
            <v>0</v>
          </cell>
        </row>
        <row r="1048">
          <cell r="C1048" t="str">
            <v>JUMLAH TANGGAL</v>
          </cell>
          <cell r="F1048">
            <v>18036000</v>
          </cell>
          <cell r="G1048">
            <v>15700000</v>
          </cell>
        </row>
        <row r="1049">
          <cell r="C1049" t="str">
            <v>HARI INI</v>
          </cell>
        </row>
        <row r="1050">
          <cell r="C1050" t="str">
            <v>JUMLAH S/D TANGGAL</v>
          </cell>
          <cell r="F1050">
            <v>300363652</v>
          </cell>
          <cell r="G1050">
            <v>252035868</v>
          </cell>
        </row>
        <row r="1051">
          <cell r="C1051" t="str">
            <v>TOTAL</v>
          </cell>
          <cell r="F1051">
            <v>318399652</v>
          </cell>
          <cell r="G1051">
            <v>267735868</v>
          </cell>
        </row>
        <row r="1053">
          <cell r="C1053" t="str">
            <v>SISA</v>
          </cell>
          <cell r="D1053">
            <v>50663784</v>
          </cell>
        </row>
        <row r="1055">
          <cell r="A1055" t="str">
            <v>KODE BANTU</v>
          </cell>
          <cell r="B1055" t="str">
            <v>NO</v>
          </cell>
          <cell r="C1055" t="str">
            <v>MARET</v>
          </cell>
          <cell r="D1055" t="str">
            <v>URAIAN</v>
          </cell>
          <cell r="E1055" t="str">
            <v>KODE ANGGARAN</v>
          </cell>
          <cell r="F1055" t="str">
            <v>PENERIMAAN</v>
          </cell>
          <cell r="G1055" t="str">
            <v>PENGELUARAN</v>
          </cell>
        </row>
        <row r="1056">
          <cell r="A1056" t="str">
            <v>I.2.2.02.06313</v>
          </cell>
          <cell r="B1056">
            <v>284</v>
          </cell>
          <cell r="C1056">
            <v>46087</v>
          </cell>
          <cell r="D1056" t="str">
            <v>Natsar Gumul Keluarga</v>
          </cell>
          <cell r="E1056" t="str">
            <v>I.2.2.02.063</v>
          </cell>
          <cell r="F1056">
            <v>1126000</v>
          </cell>
        </row>
        <row r="1057">
          <cell r="A1057" t="str">
            <v>I.2.2.02.06424</v>
          </cell>
          <cell r="B1057">
            <v>285</v>
          </cell>
          <cell r="C1057">
            <v>46087</v>
          </cell>
          <cell r="D1057" t="str">
            <v>Kolekta kebaktan syukur keluarga</v>
          </cell>
          <cell r="E1057" t="str">
            <v>I.2.2.02.064</v>
          </cell>
          <cell r="F1057">
            <v>810000</v>
          </cell>
        </row>
        <row r="1058">
          <cell r="A1058" t="str">
            <v>I.2.2.02.0047</v>
          </cell>
          <cell r="B1058">
            <v>286</v>
          </cell>
          <cell r="C1058">
            <v>46087</v>
          </cell>
          <cell r="D1058" t="str">
            <v>Kolekta kebaktan syukur Duka Kel. Manuputty Pattisina</v>
          </cell>
          <cell r="E1058" t="str">
            <v>I.2.2.02.004</v>
          </cell>
          <cell r="F1058">
            <v>147000</v>
          </cell>
        </row>
        <row r="1059">
          <cell r="A1059" t="str">
            <v>I.2.2.02.06425</v>
          </cell>
          <cell r="B1059">
            <v>287</v>
          </cell>
          <cell r="C1059">
            <v>46087</v>
          </cell>
          <cell r="D1059" t="str">
            <v>Kolekta kebaktan Paduan terompet</v>
          </cell>
          <cell r="E1059" t="str">
            <v>I.2.2.02.064</v>
          </cell>
          <cell r="F1059">
            <v>79000</v>
          </cell>
        </row>
        <row r="1060">
          <cell r="A1060" t="str">
            <v>I.2.2.02.0274</v>
          </cell>
          <cell r="B1060">
            <v>288</v>
          </cell>
          <cell r="C1060">
            <v>46087</v>
          </cell>
          <cell r="D1060" t="str">
            <v>Kolekta kebaktan penutupan Raker AMGPM</v>
          </cell>
          <cell r="E1060" t="str">
            <v>I.2.2.02.027</v>
          </cell>
          <cell r="F1060">
            <v>684000</v>
          </cell>
        </row>
        <row r="1061">
          <cell r="A1061" t="str">
            <v>I.2.2.02.0315</v>
          </cell>
          <cell r="B1061">
            <v>289</v>
          </cell>
          <cell r="C1061">
            <v>46087</v>
          </cell>
          <cell r="D1061" t="str">
            <v>Kolekta Kebaktian Pengasuh</v>
          </cell>
          <cell r="E1061" t="str">
            <v>I.2.2.02.031</v>
          </cell>
          <cell r="F1061">
            <v>150000</v>
          </cell>
        </row>
        <row r="1062">
          <cell r="A1062" t="str">
            <v>I.2.2.02.0255</v>
          </cell>
          <cell r="B1062">
            <v>290</v>
          </cell>
          <cell r="C1062">
            <v>46087</v>
          </cell>
          <cell r="D1062" t="str">
            <v>Kolekta kebaktian SMTPI</v>
          </cell>
          <cell r="E1062" t="str">
            <v>I.2.2.02.025</v>
          </cell>
          <cell r="F1062">
            <v>780000</v>
          </cell>
        </row>
        <row r="1063">
          <cell r="A1063" t="str">
            <v>I.2.2.02.0244</v>
          </cell>
          <cell r="B1063">
            <v>291</v>
          </cell>
          <cell r="C1063">
            <v>46087</v>
          </cell>
          <cell r="D1063" t="str">
            <v>Kolekta pelayanan Pantai</v>
          </cell>
          <cell r="E1063" t="str">
            <v>I.2.2.02.024</v>
          </cell>
          <cell r="F1063">
            <v>441000</v>
          </cell>
        </row>
        <row r="1064">
          <cell r="A1064" t="str">
            <v>I.2.2.02.0266</v>
          </cell>
          <cell r="B1064">
            <v>292</v>
          </cell>
          <cell r="C1064">
            <v>46087</v>
          </cell>
          <cell r="D1064" t="str">
            <v>Kolekta Katekisasi</v>
          </cell>
          <cell r="E1064" t="str">
            <v>I.2.2.02.026</v>
          </cell>
          <cell r="F1064">
            <v>97000</v>
          </cell>
        </row>
        <row r="1065">
          <cell r="A1065" t="str">
            <v>I.2.2.02.0309</v>
          </cell>
          <cell r="B1065">
            <v>293</v>
          </cell>
          <cell r="C1065">
            <v>46087</v>
          </cell>
          <cell r="D1065" t="str">
            <v>Kolekta Kebaktan Laki laki sektor</v>
          </cell>
          <cell r="E1065" t="str">
            <v>I.2.2.02.030</v>
          </cell>
          <cell r="F1065">
            <v>822000</v>
          </cell>
        </row>
        <row r="1066">
          <cell r="A1066" t="str">
            <v>I.2.2.02.00210</v>
          </cell>
          <cell r="B1066">
            <v>294</v>
          </cell>
          <cell r="C1066">
            <v>46087</v>
          </cell>
          <cell r="D1066" t="str">
            <v>Kolekta kebaktian syukur HUT Nikah</v>
          </cell>
          <cell r="E1066" t="str">
            <v>I.2.2.02.002</v>
          </cell>
          <cell r="F1066">
            <v>500000</v>
          </cell>
        </row>
        <row r="1067">
          <cell r="A1067" t="str">
            <v>0</v>
          </cell>
        </row>
        <row r="1068">
          <cell r="A1068" t="str">
            <v>0</v>
          </cell>
        </row>
        <row r="1069">
          <cell r="A1069" t="str">
            <v>0</v>
          </cell>
        </row>
        <row r="1070">
          <cell r="A1070" t="str">
            <v>0</v>
          </cell>
        </row>
        <row r="1071">
          <cell r="A1071" t="str">
            <v>0</v>
          </cell>
        </row>
        <row r="1072">
          <cell r="A1072" t="str">
            <v>0</v>
          </cell>
        </row>
        <row r="1073">
          <cell r="A1073" t="str">
            <v>0</v>
          </cell>
        </row>
        <row r="1074">
          <cell r="A1074" t="str">
            <v>0</v>
          </cell>
        </row>
        <row r="1075">
          <cell r="A1075" t="str">
            <v>0</v>
          </cell>
        </row>
        <row r="1076">
          <cell r="A1076" t="str">
            <v>0</v>
          </cell>
        </row>
        <row r="1077">
          <cell r="A1077" t="str">
            <v>0</v>
          </cell>
        </row>
        <row r="1078">
          <cell r="A1078" t="str">
            <v>0</v>
          </cell>
        </row>
        <row r="1079">
          <cell r="A1079" t="str">
            <v>0</v>
          </cell>
        </row>
        <row r="1080">
          <cell r="A1080" t="str">
            <v>0</v>
          </cell>
        </row>
        <row r="1082">
          <cell r="C1082" t="str">
            <v>JUMLAH TANGGAL</v>
          </cell>
          <cell r="F1082">
            <v>5636000</v>
          </cell>
          <cell r="G1082">
            <v>0</v>
          </cell>
        </row>
        <row r="1083">
          <cell r="C1083" t="str">
            <v>HARI INI</v>
          </cell>
        </row>
        <row r="1084">
          <cell r="C1084" t="str">
            <v>JUMLAH S/D TANGGAL</v>
          </cell>
          <cell r="F1084">
            <v>318399652</v>
          </cell>
          <cell r="G1084">
            <v>267735868</v>
          </cell>
        </row>
        <row r="1085">
          <cell r="C1085" t="str">
            <v>TOTAL</v>
          </cell>
          <cell r="F1085">
            <v>324035652</v>
          </cell>
          <cell r="G1085">
            <v>267735868</v>
          </cell>
        </row>
        <row r="1087">
          <cell r="C1087" t="str">
            <v>SISA</v>
          </cell>
          <cell r="D1087">
            <v>56299784</v>
          </cell>
        </row>
        <row r="1089">
          <cell r="A1089" t="str">
            <v>KODE BANTU</v>
          </cell>
          <cell r="B1089" t="str">
            <v>NO</v>
          </cell>
          <cell r="C1089" t="str">
            <v>MARET</v>
          </cell>
          <cell r="D1089" t="str">
            <v>URAIAN</v>
          </cell>
          <cell r="E1089" t="str">
            <v>KODE ANGGARAN</v>
          </cell>
          <cell r="F1089" t="str">
            <v>PENERIMAAN</v>
          </cell>
          <cell r="G1089" t="str">
            <v>PENGELUARAN</v>
          </cell>
        </row>
        <row r="1090">
          <cell r="A1090" t="str">
            <v>I.2.2.02.0299</v>
          </cell>
          <cell r="B1090">
            <v>295</v>
          </cell>
          <cell r="C1090">
            <v>46087</v>
          </cell>
          <cell r="D1090" t="str">
            <v>Kolekta Kebaktian Perempuan sektor</v>
          </cell>
          <cell r="E1090" t="str">
            <v>I.2.2.02.029</v>
          </cell>
          <cell r="F1090">
            <v>1326000</v>
          </cell>
        </row>
        <row r="1091">
          <cell r="A1091" t="str">
            <v>I.2.2.02.0205</v>
          </cell>
          <cell r="B1091">
            <v>296</v>
          </cell>
          <cell r="C1091">
            <v>46087</v>
          </cell>
          <cell r="D1091" t="str">
            <v>kKolekta Kebaktian Unit</v>
          </cell>
          <cell r="E1091" t="str">
            <v>I.2.2.02.020</v>
          </cell>
          <cell r="F1091">
            <v>2401000</v>
          </cell>
        </row>
        <row r="1092">
          <cell r="A1092" t="str">
            <v>I.2.2.02.00110</v>
          </cell>
          <cell r="B1092">
            <v>297</v>
          </cell>
          <cell r="C1092">
            <v>46087</v>
          </cell>
          <cell r="D1092" t="str">
            <v>Kolekta Kebaktian Syukur HUT Kelahiran</v>
          </cell>
          <cell r="E1092" t="str">
            <v>I.2.2.02.001</v>
          </cell>
          <cell r="F1092">
            <v>1350000</v>
          </cell>
        </row>
        <row r="1093">
          <cell r="A1093" t="str">
            <v>I.2.2.02.03510</v>
          </cell>
          <cell r="B1093">
            <v>298</v>
          </cell>
          <cell r="C1093">
            <v>46087</v>
          </cell>
          <cell r="D1093" t="str">
            <v>Kolekta Kebaktian pelayanan rumah / Orang Sakit</v>
          </cell>
          <cell r="E1093" t="str">
            <v>I.2.2.02.035</v>
          </cell>
          <cell r="F1093">
            <v>490000</v>
          </cell>
        </row>
        <row r="1094">
          <cell r="A1094" t="str">
            <v>I.2.2.02.0181</v>
          </cell>
          <cell r="B1094">
            <v>299</v>
          </cell>
          <cell r="C1094">
            <v>46087</v>
          </cell>
          <cell r="D1094" t="str">
            <v>Kolekta Kebaktian Perkunjungan Majelis Jemaat</v>
          </cell>
          <cell r="E1094" t="str">
            <v>I.2.2.02.018</v>
          </cell>
          <cell r="F1094">
            <v>7480000</v>
          </cell>
        </row>
        <row r="1095">
          <cell r="A1095" t="str">
            <v>0</v>
          </cell>
        </row>
        <row r="1096">
          <cell r="A1096" t="str">
            <v>0</v>
          </cell>
        </row>
        <row r="1097">
          <cell r="A1097" t="str">
            <v>0</v>
          </cell>
        </row>
        <row r="1098">
          <cell r="A1098" t="str">
            <v>0</v>
          </cell>
        </row>
        <row r="1099">
          <cell r="A1099" t="str">
            <v>0</v>
          </cell>
        </row>
        <row r="1100">
          <cell r="A1100" t="str">
            <v>0</v>
          </cell>
        </row>
        <row r="1101">
          <cell r="A1101" t="str">
            <v>0</v>
          </cell>
        </row>
        <row r="1102">
          <cell r="A1102" t="str">
            <v>0</v>
          </cell>
        </row>
        <row r="1103">
          <cell r="A1103" t="str">
            <v>0</v>
          </cell>
        </row>
        <row r="1104">
          <cell r="A1104" t="str">
            <v>0</v>
          </cell>
        </row>
        <row r="1105">
          <cell r="A1105" t="str">
            <v>0</v>
          </cell>
        </row>
        <row r="1106">
          <cell r="A1106" t="str">
            <v>0</v>
          </cell>
        </row>
        <row r="1107">
          <cell r="A1107" t="str">
            <v>0</v>
          </cell>
        </row>
        <row r="1108">
          <cell r="A1108" t="str">
            <v>0</v>
          </cell>
        </row>
        <row r="1109">
          <cell r="A1109" t="str">
            <v>0</v>
          </cell>
        </row>
        <row r="1110">
          <cell r="A1110" t="str">
            <v>0</v>
          </cell>
        </row>
        <row r="1111">
          <cell r="A1111" t="str">
            <v>0</v>
          </cell>
        </row>
        <row r="1112">
          <cell r="A1112" t="str">
            <v>0</v>
          </cell>
        </row>
        <row r="1113">
          <cell r="A1113" t="str">
            <v>0</v>
          </cell>
        </row>
        <row r="1114">
          <cell r="A1114" t="str">
            <v>0</v>
          </cell>
        </row>
        <row r="1116">
          <cell r="C1116" t="str">
            <v>JUMLAH TANGGAL</v>
          </cell>
          <cell r="F1116">
            <v>13047000</v>
          </cell>
          <cell r="G1116">
            <v>0</v>
          </cell>
        </row>
        <row r="1117">
          <cell r="C1117" t="str">
            <v>HARI INI</v>
          </cell>
        </row>
        <row r="1118">
          <cell r="C1118" t="str">
            <v>JUMLAH S/D TANGGAL</v>
          </cell>
          <cell r="F1118">
            <v>324035652</v>
          </cell>
          <cell r="G1118">
            <v>267735868</v>
          </cell>
        </row>
        <row r="1119">
          <cell r="C1119" t="str">
            <v>TOTAL</v>
          </cell>
          <cell r="F1119">
            <v>337082652</v>
          </cell>
          <cell r="G1119">
            <v>267735868</v>
          </cell>
        </row>
        <row r="1121">
          <cell r="C1121" t="str">
            <v>SISA</v>
          </cell>
          <cell r="D1121">
            <v>69346784</v>
          </cell>
        </row>
        <row r="1123">
          <cell r="A1123" t="str">
            <v>KODE BANTU</v>
          </cell>
          <cell r="B1123" t="str">
            <v>NO</v>
          </cell>
          <cell r="C1123" t="str">
            <v>MARET</v>
          </cell>
          <cell r="D1123" t="str">
            <v>URAIAN</v>
          </cell>
          <cell r="E1123" t="str">
            <v>KODE ANGGARAN</v>
          </cell>
          <cell r="F1123" t="str">
            <v>PENERIMAAN</v>
          </cell>
          <cell r="G1123" t="str">
            <v>PENGELUARAN</v>
          </cell>
        </row>
        <row r="1124">
          <cell r="A1124" t="str">
            <v>I.2.2.02.0182</v>
          </cell>
          <cell r="B1124">
            <v>300</v>
          </cell>
          <cell r="C1124">
            <v>46087</v>
          </cell>
          <cell r="D1124" t="str">
            <v>Kolekta Kekunjungan Majelis Jemaat</v>
          </cell>
          <cell r="E1124" t="str">
            <v>I.2.2.02.018</v>
          </cell>
          <cell r="F1124">
            <v>7137000</v>
          </cell>
        </row>
        <row r="1125">
          <cell r="A1125" t="str">
            <v>0</v>
          </cell>
        </row>
        <row r="1126">
          <cell r="A1126" t="str">
            <v>0</v>
          </cell>
        </row>
        <row r="1127">
          <cell r="A1127" t="str">
            <v>0</v>
          </cell>
        </row>
        <row r="1128">
          <cell r="A1128" t="str">
            <v>0</v>
          </cell>
        </row>
        <row r="1129">
          <cell r="A1129" t="str">
            <v>0</v>
          </cell>
        </row>
        <row r="1130">
          <cell r="A1130" t="str">
            <v>0</v>
          </cell>
        </row>
        <row r="1131">
          <cell r="A1131" t="str">
            <v>0</v>
          </cell>
        </row>
        <row r="1132">
          <cell r="A1132" t="str">
            <v>0</v>
          </cell>
        </row>
        <row r="1133">
          <cell r="A1133" t="str">
            <v>0</v>
          </cell>
        </row>
        <row r="1134">
          <cell r="A1134" t="str">
            <v>0</v>
          </cell>
        </row>
        <row r="1135">
          <cell r="A1135" t="str">
            <v>0</v>
          </cell>
        </row>
        <row r="1136">
          <cell r="A1136" t="str">
            <v>0</v>
          </cell>
        </row>
        <row r="1137">
          <cell r="A1137" t="str">
            <v>0</v>
          </cell>
        </row>
        <row r="1138">
          <cell r="A1138" t="str">
            <v>0</v>
          </cell>
        </row>
        <row r="1139">
          <cell r="A1139" t="str">
            <v>0</v>
          </cell>
        </row>
        <row r="1140">
          <cell r="A1140" t="str">
            <v>0</v>
          </cell>
        </row>
        <row r="1141">
          <cell r="A1141" t="str">
            <v>0</v>
          </cell>
        </row>
        <row r="1142">
          <cell r="A1142" t="str">
            <v>0</v>
          </cell>
        </row>
        <row r="1143">
          <cell r="A1143" t="str">
            <v>0</v>
          </cell>
        </row>
        <row r="1144">
          <cell r="A1144" t="str">
            <v>0</v>
          </cell>
        </row>
        <row r="1145">
          <cell r="A1145" t="str">
            <v>0</v>
          </cell>
        </row>
        <row r="1146">
          <cell r="A1146" t="str">
            <v>0</v>
          </cell>
        </row>
        <row r="1147">
          <cell r="A1147" t="str">
            <v>0</v>
          </cell>
        </row>
        <row r="1148">
          <cell r="A1148" t="str">
            <v>0</v>
          </cell>
        </row>
        <row r="1150">
          <cell r="C1150" t="str">
            <v>JUMLAH TANGGAL</v>
          </cell>
          <cell r="F1150">
            <v>7137000</v>
          </cell>
          <cell r="G1150">
            <v>0</v>
          </cell>
        </row>
        <row r="1151">
          <cell r="C1151" t="str">
            <v>HARI INI</v>
          </cell>
        </row>
        <row r="1152">
          <cell r="C1152" t="str">
            <v>JUMLAH S/D TANGGAL</v>
          </cell>
          <cell r="F1152">
            <v>337082652</v>
          </cell>
          <cell r="G1152">
            <v>267735868</v>
          </cell>
        </row>
        <row r="1153">
          <cell r="C1153" t="str">
            <v>TOTAL</v>
          </cell>
          <cell r="F1153">
            <v>344219652</v>
          </cell>
          <cell r="G1153">
            <v>267735868</v>
          </cell>
        </row>
        <row r="1155">
          <cell r="C1155" t="str">
            <v>SISA</v>
          </cell>
          <cell r="D1155">
            <v>76483784</v>
          </cell>
        </row>
        <row r="1157">
          <cell r="A1157" t="str">
            <v>KODE BANTU</v>
          </cell>
          <cell r="B1157" t="str">
            <v>NO</v>
          </cell>
          <cell r="C1157" t="str">
            <v>MARET</v>
          </cell>
          <cell r="D1157" t="str">
            <v>URAIAN</v>
          </cell>
          <cell r="E1157" t="str">
            <v>KODE ANGGARAN</v>
          </cell>
          <cell r="F1157" t="str">
            <v>PENERIMAAN</v>
          </cell>
          <cell r="G1157" t="str">
            <v>PENGELUARAN</v>
          </cell>
        </row>
        <row r="1158">
          <cell r="A1158" t="str">
            <v>I.2.2.01.00110</v>
          </cell>
          <cell r="B1158">
            <v>301</v>
          </cell>
          <cell r="C1158">
            <v>46089</v>
          </cell>
          <cell r="D1158" t="str">
            <v>Kolekta Kebaktian Minggu Gereja Baitrafa dan SK</v>
          </cell>
          <cell r="E1158" t="str">
            <v>I.2.2.01.001</v>
          </cell>
          <cell r="F1158">
            <v>5664500</v>
          </cell>
        </row>
        <row r="1159">
          <cell r="A1159" t="str">
            <v>I.2.3.0115</v>
          </cell>
          <cell r="B1159">
            <v>302</v>
          </cell>
          <cell r="C1159">
            <v>46089</v>
          </cell>
          <cell r="D1159" t="str">
            <v>Persepuluhan Gereja Baitrafa dan SK</v>
          </cell>
          <cell r="E1159" t="str">
            <v>I.2.3.01</v>
          </cell>
          <cell r="F1159">
            <v>11758000</v>
          </cell>
        </row>
        <row r="1160">
          <cell r="A1160" t="str">
            <v>I.5.1.0410</v>
          </cell>
          <cell r="B1160">
            <v>303</v>
          </cell>
          <cell r="C1160">
            <v>46089</v>
          </cell>
          <cell r="D1160" t="str">
            <v>Pemberian untuk Gereja dari org di Ebenheazer 1</v>
          </cell>
          <cell r="E1160" t="str">
            <v>I.5.1.04</v>
          </cell>
          <cell r="F1160">
            <v>2500000</v>
          </cell>
        </row>
        <row r="1161">
          <cell r="A1161" t="str">
            <v>I.5.1.0411</v>
          </cell>
          <cell r="B1161">
            <v>304</v>
          </cell>
          <cell r="C1161">
            <v>46089</v>
          </cell>
          <cell r="D1161" t="str">
            <v>Pemberian uang kursi dari keluarga</v>
          </cell>
          <cell r="E1161" t="str">
            <v>I.5.1.04</v>
          </cell>
          <cell r="F1161">
            <v>450000</v>
          </cell>
        </row>
        <row r="1162">
          <cell r="A1162" t="str">
            <v>II.5.1.0726</v>
          </cell>
          <cell r="B1162">
            <v>305</v>
          </cell>
          <cell r="C1162">
            <v>46089</v>
          </cell>
          <cell r="D1162" t="str">
            <v>Belanja Kebaktian Minggu</v>
          </cell>
          <cell r="E1162" t="str">
            <v>II.5.1.07</v>
          </cell>
          <cell r="G1162">
            <v>2500000</v>
          </cell>
        </row>
        <row r="1163">
          <cell r="A1163" t="str">
            <v>II.5.1.0727</v>
          </cell>
          <cell r="B1163">
            <v>306</v>
          </cell>
          <cell r="C1163">
            <v>46089</v>
          </cell>
          <cell r="D1163" t="str">
            <v>Transport Pelayanan Kekunjungan</v>
          </cell>
          <cell r="E1163" t="str">
            <v>II.5.1.07</v>
          </cell>
          <cell r="G1163">
            <v>600000</v>
          </cell>
        </row>
        <row r="1164">
          <cell r="A1164" t="str">
            <v>II.5.1.018</v>
          </cell>
          <cell r="B1164">
            <v>307</v>
          </cell>
          <cell r="C1164">
            <v>46089</v>
          </cell>
          <cell r="D1164" t="str">
            <v>Sumbangan Pelayanan sakit 12 org</v>
          </cell>
          <cell r="E1164" t="str">
            <v>II.5.1.01</v>
          </cell>
          <cell r="G1164">
            <v>3300000</v>
          </cell>
        </row>
        <row r="1165">
          <cell r="A1165" t="str">
            <v>II.3.1.1.02.0023</v>
          </cell>
          <cell r="B1165">
            <v>308</v>
          </cell>
          <cell r="C1165">
            <v>46089</v>
          </cell>
          <cell r="D1165" t="str">
            <v>Sumbangan Pelayanan Lapas 4 org dan transport</v>
          </cell>
          <cell r="E1165" t="str">
            <v>II.3.1.1.02.002</v>
          </cell>
          <cell r="G1165">
            <v>600000</v>
          </cell>
        </row>
        <row r="1166">
          <cell r="A1166" t="str">
            <v>II.5.1.069</v>
          </cell>
          <cell r="B1166">
            <v>309</v>
          </cell>
          <cell r="C1166">
            <v>46089</v>
          </cell>
          <cell r="D1166" t="str">
            <v>Sumbangan Duka alm. Kel. Bpk. Beni Haliwela</v>
          </cell>
          <cell r="E1166" t="str">
            <v>II.5.1.06</v>
          </cell>
          <cell r="G1166">
            <v>500000</v>
          </cell>
        </row>
        <row r="1167">
          <cell r="A1167" t="str">
            <v>II.5.1.051</v>
          </cell>
          <cell r="B1167">
            <v>310</v>
          </cell>
          <cell r="C1167">
            <v>46089</v>
          </cell>
          <cell r="D1167" t="str">
            <v>Subsidi Panitia HHBG Sektor Kalvari</v>
          </cell>
          <cell r="E1167" t="str">
            <v>II.5.1.05</v>
          </cell>
          <cell r="G1167">
            <v>2000000</v>
          </cell>
        </row>
        <row r="1168">
          <cell r="A1168" t="str">
            <v>II.2.1.013</v>
          </cell>
          <cell r="B1168">
            <v>311</v>
          </cell>
          <cell r="C1168">
            <v>46089</v>
          </cell>
          <cell r="D1168" t="str">
            <v>Tanggungan Pengembangan Institusi (30%) bulan Maret</v>
          </cell>
          <cell r="E1168" t="str">
            <v>II.2.1.01</v>
          </cell>
          <cell r="G1168">
            <v>47818813</v>
          </cell>
        </row>
        <row r="1169">
          <cell r="A1169" t="str">
            <v>II.2.1.023</v>
          </cell>
          <cell r="B1169">
            <v>312</v>
          </cell>
          <cell r="C1169">
            <v>46089</v>
          </cell>
          <cell r="D1169" t="str">
            <v>Tanggungan 1 % ke YPPK bulan Maret</v>
          </cell>
          <cell r="E1169" t="str">
            <v>II.2.1.02</v>
          </cell>
          <cell r="G1169">
            <v>1593600</v>
          </cell>
        </row>
        <row r="1170">
          <cell r="A1170" t="str">
            <v>II.2.1.033</v>
          </cell>
          <cell r="B1170">
            <v>313</v>
          </cell>
          <cell r="C1170">
            <v>46089</v>
          </cell>
          <cell r="D1170" t="str">
            <v>Tanggungan 5% - 10% ke Klasis bulan Maret</v>
          </cell>
          <cell r="E1170" t="str">
            <v>II.2.1.03</v>
          </cell>
          <cell r="G1170">
            <v>7698829</v>
          </cell>
        </row>
        <row r="1171">
          <cell r="A1171" t="str">
            <v>II.3.1.1.01.0021</v>
          </cell>
          <cell r="B1171">
            <v>314</v>
          </cell>
          <cell r="C1171">
            <v>46089</v>
          </cell>
          <cell r="D1171" t="str">
            <v xml:space="preserve">Biaya kegiatan sosialisasi bagi siswa katekisasi </v>
          </cell>
          <cell r="E1171" t="str">
            <v>II.3.1.1.01.002</v>
          </cell>
          <cell r="G1171">
            <v>250000</v>
          </cell>
        </row>
        <row r="1172">
          <cell r="A1172" t="str">
            <v>II.3.1.3.02.0011</v>
          </cell>
          <cell r="B1172">
            <v>315</v>
          </cell>
          <cell r="C1172">
            <v>46089</v>
          </cell>
          <cell r="D1172" t="str">
            <v>Biaya kegiatan pelatihan ECO Kids</v>
          </cell>
          <cell r="E1172" t="str">
            <v>II.3.1.3.02.001</v>
          </cell>
          <cell r="G1172">
            <v>2345000</v>
          </cell>
        </row>
        <row r="1173">
          <cell r="A1173" t="str">
            <v>II.3.1.1.01.0022</v>
          </cell>
          <cell r="B1173">
            <v>316</v>
          </cell>
          <cell r="C1173">
            <v>46089</v>
          </cell>
          <cell r="D1173" t="str">
            <v>Biaya kegiatan Jalan Salib</v>
          </cell>
          <cell r="E1173" t="str">
            <v>II.3.1.1.01.002</v>
          </cell>
          <cell r="G1173">
            <v>3000000</v>
          </cell>
        </row>
        <row r="1174">
          <cell r="A1174" t="str">
            <v>II.5.1.1011</v>
          </cell>
          <cell r="B1174">
            <v>317</v>
          </cell>
          <cell r="C1174">
            <v>46089</v>
          </cell>
          <cell r="D1174" t="str">
            <v>Biaya Cetak Baliho Selamat Idul Fitri</v>
          </cell>
          <cell r="E1174" t="str">
            <v>II.5.1.10</v>
          </cell>
          <cell r="G1174">
            <v>540000</v>
          </cell>
        </row>
        <row r="1175">
          <cell r="A1175" t="str">
            <v>II.2.5.0315</v>
          </cell>
          <cell r="B1175">
            <v>318</v>
          </cell>
          <cell r="C1175">
            <v>46089</v>
          </cell>
          <cell r="D1175" t="str">
            <v>Biaya Pemeliharaan Lampu Paskah dan Beli Kabel</v>
          </cell>
          <cell r="E1175" t="str">
            <v>II.2.5.03</v>
          </cell>
          <cell r="G1175">
            <v>2500000</v>
          </cell>
        </row>
        <row r="1176">
          <cell r="A1176" t="str">
            <v>0</v>
          </cell>
        </row>
        <row r="1177">
          <cell r="A1177" t="str">
            <v>0</v>
          </cell>
        </row>
        <row r="1178">
          <cell r="A1178" t="str">
            <v>0</v>
          </cell>
        </row>
        <row r="1179">
          <cell r="A1179" t="str">
            <v>0</v>
          </cell>
        </row>
        <row r="1180">
          <cell r="A1180" t="str">
            <v>0</v>
          </cell>
        </row>
        <row r="1181">
          <cell r="A1181" t="str">
            <v>0</v>
          </cell>
        </row>
        <row r="1182">
          <cell r="A1182" t="str">
            <v>0</v>
          </cell>
        </row>
        <row r="1184">
          <cell r="C1184" t="str">
            <v>JUMLAH TANGGAL</v>
          </cell>
          <cell r="F1184">
            <v>20372500</v>
          </cell>
          <cell r="G1184">
            <v>75246242</v>
          </cell>
        </row>
        <row r="1185">
          <cell r="C1185" t="str">
            <v>HARI INI</v>
          </cell>
        </row>
        <row r="1186">
          <cell r="C1186" t="str">
            <v>JUMLAH S/D TANGGAL</v>
          </cell>
          <cell r="F1186">
            <v>344219652</v>
          </cell>
          <cell r="G1186">
            <v>267735868</v>
          </cell>
        </row>
        <row r="1187">
          <cell r="C1187" t="str">
            <v>TOTAL</v>
          </cell>
          <cell r="F1187">
            <v>364592152</v>
          </cell>
          <cell r="G1187">
            <v>342982110</v>
          </cell>
        </row>
        <row r="1189">
          <cell r="C1189" t="str">
            <v>SISA</v>
          </cell>
          <cell r="D1189">
            <v>21610042</v>
          </cell>
        </row>
        <row r="1191">
          <cell r="A1191" t="str">
            <v>KODE BANTU</v>
          </cell>
          <cell r="B1191" t="str">
            <v>NO</v>
          </cell>
          <cell r="C1191" t="str">
            <v>MARET</v>
          </cell>
          <cell r="D1191" t="str">
            <v>URAIAN</v>
          </cell>
          <cell r="E1191" t="str">
            <v>KODE ANGGARAN</v>
          </cell>
          <cell r="F1191" t="str">
            <v>PENERIMAAN</v>
          </cell>
          <cell r="G1191" t="str">
            <v>PENGELUARAN</v>
          </cell>
        </row>
        <row r="1192">
          <cell r="A1192" t="str">
            <v>II.2.5.055</v>
          </cell>
          <cell r="B1192">
            <v>319</v>
          </cell>
          <cell r="C1192">
            <v>46089</v>
          </cell>
          <cell r="D1192" t="str">
            <v>Biaya Service Mobil Gereja</v>
          </cell>
          <cell r="E1192" t="str">
            <v>II.2.5.05</v>
          </cell>
          <cell r="G1192">
            <v>5700000</v>
          </cell>
        </row>
        <row r="1193">
          <cell r="A1193" t="str">
            <v>II.2.8.021</v>
          </cell>
          <cell r="B1193">
            <v>320</v>
          </cell>
          <cell r="C1193">
            <v>46089</v>
          </cell>
          <cell r="D1193" t="str">
            <v>Biaya Perjalanan Dinas 3 Pendeta ke Masohi</v>
          </cell>
          <cell r="E1193" t="str">
            <v>II.2.8.02</v>
          </cell>
          <cell r="G1193">
            <v>2820000</v>
          </cell>
        </row>
        <row r="1194">
          <cell r="A1194" t="str">
            <v>II.2.7.011</v>
          </cell>
          <cell r="B1194">
            <v>321</v>
          </cell>
          <cell r="C1194">
            <v>46089</v>
          </cell>
          <cell r="D1194" t="str">
            <v>Belanja Taktis Pimpinan</v>
          </cell>
          <cell r="E1194" t="str">
            <v>II.2.7.01</v>
          </cell>
          <cell r="G1194">
            <v>300000</v>
          </cell>
        </row>
        <row r="1195">
          <cell r="A1195" t="str">
            <v>II.2.5.013</v>
          </cell>
          <cell r="B1195">
            <v>322</v>
          </cell>
          <cell r="C1195">
            <v>46089</v>
          </cell>
          <cell r="D1195" t="str">
            <v>Biaya Potong rumput di Gereja SK dan beli Oli</v>
          </cell>
          <cell r="E1195" t="str">
            <v>II.2.5.01</v>
          </cell>
          <cell r="G1195">
            <v>250000</v>
          </cell>
        </row>
        <row r="1196">
          <cell r="A1196" t="str">
            <v>II.5.1.117</v>
          </cell>
          <cell r="B1196">
            <v>323</v>
          </cell>
          <cell r="C1196">
            <v>46089</v>
          </cell>
          <cell r="D1196" t="str">
            <v>Biaya fotocopy warta Jemaat dan Liturgi Ibadah</v>
          </cell>
          <cell r="E1196" t="str">
            <v>II.5.1.11</v>
          </cell>
          <cell r="G1196">
            <v>350000</v>
          </cell>
        </row>
        <row r="1197">
          <cell r="A1197" t="str">
            <v>II.2.3.013</v>
          </cell>
          <cell r="B1197">
            <v>324</v>
          </cell>
          <cell r="C1197">
            <v>46089</v>
          </cell>
          <cell r="D1197" t="str">
            <v>Beli Tinta print Epson Hitam dan Karet</v>
          </cell>
          <cell r="E1197" t="str">
            <v>II.2.3.01</v>
          </cell>
          <cell r="G1197">
            <v>150000</v>
          </cell>
        </row>
        <row r="1198">
          <cell r="A1198" t="str">
            <v>II.2.2.013</v>
          </cell>
          <cell r="B1198">
            <v>325</v>
          </cell>
          <cell r="C1198">
            <v>46089</v>
          </cell>
          <cell r="D1198" t="str">
            <v>Honor Sopir bulan Maret</v>
          </cell>
          <cell r="E1198" t="str">
            <v>II.2.2.01</v>
          </cell>
          <cell r="G1198">
            <v>1700000</v>
          </cell>
        </row>
        <row r="1199">
          <cell r="A1199" t="str">
            <v>II.3.1.2.01.0011</v>
          </cell>
          <cell r="B1199">
            <v>326</v>
          </cell>
          <cell r="C1199">
            <v>46089</v>
          </cell>
          <cell r="D1199" t="str">
            <v>Biaya Transport ibadah Kring PI Mercusuar</v>
          </cell>
          <cell r="E1199" t="str">
            <v>II.3.1.2.01.001</v>
          </cell>
          <cell r="G1199">
            <v>200000</v>
          </cell>
        </row>
        <row r="1200">
          <cell r="A1200" t="str">
            <v>II.2.5.056</v>
          </cell>
          <cell r="B1200">
            <v>327</v>
          </cell>
          <cell r="C1200">
            <v>46089</v>
          </cell>
          <cell r="D1200" t="str">
            <v>Beli bensin untuk mobil gereja</v>
          </cell>
          <cell r="E1200" t="str">
            <v>II.2.5.05</v>
          </cell>
          <cell r="G1200">
            <v>300000</v>
          </cell>
        </row>
        <row r="1201">
          <cell r="A1201" t="str">
            <v>I.6.1.011</v>
          </cell>
          <cell r="B1201">
            <v>328</v>
          </cell>
          <cell r="C1201">
            <v>46089</v>
          </cell>
          <cell r="D1201" t="str">
            <v>Kolekta HDS Anak</v>
          </cell>
          <cell r="E1201" t="str">
            <v>I.6.1.01</v>
          </cell>
          <cell r="F1201">
            <v>736000</v>
          </cell>
        </row>
        <row r="1202">
          <cell r="A1202" t="str">
            <v>I.2.2.02.0245</v>
          </cell>
          <cell r="B1202">
            <v>329</v>
          </cell>
          <cell r="C1202">
            <v>46089</v>
          </cell>
          <cell r="D1202" t="str">
            <v>Kolekta Kebaktian Pantai/Papalele</v>
          </cell>
          <cell r="E1202" t="str">
            <v>I.2.2.02.024</v>
          </cell>
          <cell r="F1202">
            <v>190000</v>
          </cell>
        </row>
        <row r="1203">
          <cell r="A1203" t="str">
            <v>I.2.4.014</v>
          </cell>
          <cell r="B1203">
            <v>330</v>
          </cell>
          <cell r="C1203">
            <v>46089</v>
          </cell>
          <cell r="D1203" t="str">
            <v>Admin Baptis Kel. teriraun</v>
          </cell>
          <cell r="E1203" t="str">
            <v>I.2.4.01</v>
          </cell>
          <cell r="F1203">
            <v>100000</v>
          </cell>
        </row>
        <row r="1204">
          <cell r="A1204" t="str">
            <v>I.2.4.015</v>
          </cell>
          <cell r="B1204">
            <v>331</v>
          </cell>
          <cell r="C1204">
            <v>46089</v>
          </cell>
          <cell r="D1204" t="str">
            <v>Admin Nikah Kel. Manuputty/Tatipata dan Kel. Siahaya/Sahalessy</v>
          </cell>
          <cell r="E1204" t="str">
            <v>I.2.4.01</v>
          </cell>
          <cell r="F1204">
            <v>1750000</v>
          </cell>
        </row>
        <row r="1205">
          <cell r="A1205" t="str">
            <v>I.4.1.021</v>
          </cell>
          <cell r="B1205">
            <v>332</v>
          </cell>
          <cell r="C1205">
            <v>46089</v>
          </cell>
          <cell r="D1205" t="str">
            <v>Biaya Sewa Gedung serbaguna Kel. Tahapary</v>
          </cell>
          <cell r="E1205" t="str">
            <v>I.4.1.02</v>
          </cell>
          <cell r="F1205">
            <v>1500000</v>
          </cell>
        </row>
        <row r="1206">
          <cell r="A1206" t="str">
            <v>I.5.1.0412</v>
          </cell>
          <cell r="B1206">
            <v>333</v>
          </cell>
          <cell r="C1206">
            <v>46089</v>
          </cell>
          <cell r="D1206" t="str">
            <v>Tukar uang 150 Euro</v>
          </cell>
          <cell r="E1206" t="str">
            <v>I.5.1.04</v>
          </cell>
          <cell r="F1206">
            <v>2904000</v>
          </cell>
        </row>
        <row r="1207">
          <cell r="A1207" t="str">
            <v>I.2.2.02.06314</v>
          </cell>
          <cell r="B1207">
            <v>334</v>
          </cell>
          <cell r="C1207">
            <v>46089</v>
          </cell>
          <cell r="D1207" t="str">
            <v>Natsar Gumul Keluarga</v>
          </cell>
          <cell r="E1207" t="str">
            <v>I.2.2.02.063</v>
          </cell>
          <cell r="F1207">
            <v>1150000</v>
          </cell>
        </row>
        <row r="1208">
          <cell r="A1208" t="str">
            <v>I.2.2.02.0048</v>
          </cell>
          <cell r="B1208">
            <v>335</v>
          </cell>
          <cell r="C1208">
            <v>46089</v>
          </cell>
          <cell r="D1208" t="str">
            <v>Kolekta Kebaktian Syukur Duka Kel. Haliwela</v>
          </cell>
          <cell r="E1208" t="str">
            <v>I.2.2.02.004</v>
          </cell>
          <cell r="F1208">
            <v>655000</v>
          </cell>
        </row>
        <row r="1209">
          <cell r="A1209" t="str">
            <v>I.2.2.02.06426</v>
          </cell>
          <cell r="B1209">
            <v>336</v>
          </cell>
          <cell r="C1209">
            <v>46089</v>
          </cell>
          <cell r="D1209" t="str">
            <v>Kolekta Syukur Keluarga</v>
          </cell>
          <cell r="E1209" t="str">
            <v>I.2.2.02.064</v>
          </cell>
          <cell r="F1209">
            <v>590000</v>
          </cell>
        </row>
        <row r="1210">
          <cell r="A1210" t="str">
            <v>0</v>
          </cell>
        </row>
        <row r="1211">
          <cell r="A1211" t="str">
            <v>0</v>
          </cell>
        </row>
        <row r="1212">
          <cell r="A1212" t="str">
            <v>0</v>
          </cell>
        </row>
        <row r="1213">
          <cell r="A1213" t="str">
            <v>0</v>
          </cell>
        </row>
        <row r="1214">
          <cell r="A1214" t="str">
            <v>0</v>
          </cell>
        </row>
        <row r="1215">
          <cell r="A1215" t="str">
            <v>0</v>
          </cell>
        </row>
        <row r="1216">
          <cell r="A1216" t="str">
            <v>0</v>
          </cell>
        </row>
        <row r="1218">
          <cell r="C1218" t="str">
            <v>JUMLAH TANGGAL</v>
          </cell>
          <cell r="F1218">
            <v>9575000</v>
          </cell>
          <cell r="G1218">
            <v>11770000</v>
          </cell>
        </row>
        <row r="1219">
          <cell r="C1219" t="str">
            <v>HARI INI</v>
          </cell>
        </row>
        <row r="1220">
          <cell r="C1220" t="str">
            <v>JUMLAH S/D TANGGAL</v>
          </cell>
          <cell r="F1220">
            <v>364592152</v>
          </cell>
          <cell r="G1220">
            <v>342982110</v>
          </cell>
        </row>
        <row r="1221">
          <cell r="C1221" t="str">
            <v>TOTAL</v>
          </cell>
          <cell r="F1221">
            <v>374167152</v>
          </cell>
          <cell r="G1221">
            <v>354752110</v>
          </cell>
        </row>
        <row r="1223">
          <cell r="C1223" t="str">
            <v>SISA</v>
          </cell>
          <cell r="D1223">
            <v>19415042</v>
          </cell>
        </row>
        <row r="1225">
          <cell r="A1225" t="str">
            <v>KODE BANTU</v>
          </cell>
          <cell r="B1225" t="str">
            <v>NO</v>
          </cell>
          <cell r="C1225" t="str">
            <v>MARET</v>
          </cell>
          <cell r="D1225" t="str">
            <v>URAIAN</v>
          </cell>
          <cell r="E1225" t="str">
            <v>KODE ANGGARAN</v>
          </cell>
          <cell r="F1225" t="str">
            <v>PENERIMAAN</v>
          </cell>
          <cell r="G1225" t="str">
            <v>PENGELUARAN</v>
          </cell>
        </row>
        <row r="1226">
          <cell r="A1226" t="str">
            <v>I.2.2.02.06427</v>
          </cell>
          <cell r="B1226">
            <v>337</v>
          </cell>
          <cell r="C1226">
            <v>46094</v>
          </cell>
          <cell r="D1226" t="str">
            <v>Kolekta Kebaktian Keluarga</v>
          </cell>
          <cell r="E1226" t="str">
            <v>I.2.2.02.064</v>
          </cell>
          <cell r="F1226">
            <v>620000</v>
          </cell>
        </row>
        <row r="1227">
          <cell r="A1227" t="str">
            <v>I.2.2.02.0343</v>
          </cell>
          <cell r="B1227">
            <v>338</v>
          </cell>
          <cell r="C1227">
            <v>46094</v>
          </cell>
          <cell r="D1227" t="str">
            <v>Kolekta Pangkalan Ojek banda</v>
          </cell>
          <cell r="E1227" t="str">
            <v>I.2.2.02.034</v>
          </cell>
          <cell r="F1227">
            <v>65000</v>
          </cell>
        </row>
        <row r="1228">
          <cell r="A1228" t="str">
            <v>I.2.2.02.0231</v>
          </cell>
          <cell r="B1228">
            <v>339</v>
          </cell>
          <cell r="C1228">
            <v>46094</v>
          </cell>
          <cell r="D1228" t="str">
            <v>Kolekta Kebaktian Tutup Usbu Pemerintah Negeri Suli</v>
          </cell>
          <cell r="E1228" t="str">
            <v>I.2.2.02.023</v>
          </cell>
          <cell r="F1228">
            <v>60000</v>
          </cell>
        </row>
        <row r="1229">
          <cell r="A1229" t="str">
            <v>I.2.2.02.0275</v>
          </cell>
          <cell r="B1229">
            <v>340</v>
          </cell>
          <cell r="C1229">
            <v>46094</v>
          </cell>
          <cell r="D1229" t="str">
            <v>Kolekta Kebaktian Penutupan Raker AMGPM Ranting 5 Baitrafa</v>
          </cell>
          <cell r="E1229" t="str">
            <v>I.2.2.02.027</v>
          </cell>
          <cell r="F1229">
            <v>200000</v>
          </cell>
        </row>
        <row r="1230">
          <cell r="A1230" t="str">
            <v>I.2.2.02.0267</v>
          </cell>
          <cell r="B1230">
            <v>341</v>
          </cell>
          <cell r="C1230">
            <v>46094</v>
          </cell>
          <cell r="D1230" t="str">
            <v>Kolekta Kebaktian Katekisasi di Gereja Baitrafa</v>
          </cell>
          <cell r="E1230" t="str">
            <v>I.2.2.02.026</v>
          </cell>
          <cell r="F1230">
            <v>76000</v>
          </cell>
        </row>
        <row r="1231">
          <cell r="A1231" t="str">
            <v>I.2.2.02.06428</v>
          </cell>
          <cell r="B1231">
            <v>342</v>
          </cell>
          <cell r="C1231">
            <v>46094</v>
          </cell>
          <cell r="D1231" t="str">
            <v>Kolekta Pergembalaan Panitia Sidang dan HHBG</v>
          </cell>
          <cell r="E1231" t="str">
            <v>I.2.2.02.064</v>
          </cell>
          <cell r="F1231">
            <v>626000</v>
          </cell>
        </row>
        <row r="1232">
          <cell r="A1232" t="str">
            <v>I.2.2.02.03010</v>
          </cell>
          <cell r="B1232">
            <v>343</v>
          </cell>
          <cell r="C1232">
            <v>46094</v>
          </cell>
          <cell r="D1232" t="str">
            <v>Kolekta Kebaktian Pelayanan Laki-Laki</v>
          </cell>
          <cell r="E1232" t="str">
            <v>I.2.2.02.030</v>
          </cell>
          <cell r="F1232">
            <v>1925000</v>
          </cell>
        </row>
        <row r="1233">
          <cell r="A1233" t="str">
            <v>I.2.2.02.0206</v>
          </cell>
          <cell r="B1233">
            <v>344</v>
          </cell>
          <cell r="C1233">
            <v>46094</v>
          </cell>
          <cell r="D1233" t="str">
            <v>Kolekta Kebaktian Unit</v>
          </cell>
          <cell r="E1233" t="str">
            <v>I.2.2.02.020</v>
          </cell>
          <cell r="F1233">
            <v>2747000</v>
          </cell>
        </row>
        <row r="1234">
          <cell r="A1234" t="str">
            <v>I.2.2.02.00211</v>
          </cell>
          <cell r="B1234">
            <v>345</v>
          </cell>
          <cell r="C1234">
            <v>46094</v>
          </cell>
          <cell r="D1234" t="str">
            <v>Kolekta Kebaktian Syukur HUT Perkawinan</v>
          </cell>
          <cell r="E1234" t="str">
            <v>I.2.2.02.002</v>
          </cell>
          <cell r="F1234">
            <v>850000</v>
          </cell>
        </row>
        <row r="1235">
          <cell r="A1235" t="str">
            <v>0</v>
          </cell>
        </row>
        <row r="1236">
          <cell r="A1236" t="str">
            <v>0</v>
          </cell>
        </row>
        <row r="1237">
          <cell r="A1237" t="str">
            <v>0</v>
          </cell>
        </row>
        <row r="1238">
          <cell r="A1238" t="str">
            <v>0</v>
          </cell>
        </row>
        <row r="1239">
          <cell r="A1239" t="str">
            <v>0</v>
          </cell>
        </row>
        <row r="1240">
          <cell r="A1240" t="str">
            <v>0</v>
          </cell>
        </row>
        <row r="1241">
          <cell r="A1241" t="str">
            <v>0</v>
          </cell>
        </row>
        <row r="1242">
          <cell r="A1242" t="str">
            <v>0</v>
          </cell>
        </row>
        <row r="1243">
          <cell r="A1243" t="str">
            <v>0</v>
          </cell>
        </row>
        <row r="1244">
          <cell r="A1244" t="str">
            <v>0</v>
          </cell>
        </row>
        <row r="1245">
          <cell r="A1245" t="str">
            <v>0</v>
          </cell>
        </row>
        <row r="1246">
          <cell r="A1246" t="str">
            <v>0</v>
          </cell>
        </row>
        <row r="1247">
          <cell r="A1247" t="str">
            <v>0</v>
          </cell>
        </row>
        <row r="1248">
          <cell r="A1248" t="str">
            <v>0</v>
          </cell>
        </row>
        <row r="1249">
          <cell r="A1249" t="str">
            <v>0</v>
          </cell>
        </row>
        <row r="1250">
          <cell r="A1250" t="str">
            <v>0</v>
          </cell>
        </row>
        <row r="1252">
          <cell r="C1252" t="str">
            <v>JUMLAH TANGGAL</v>
          </cell>
          <cell r="F1252">
            <v>7169000</v>
          </cell>
          <cell r="G1252">
            <v>0</v>
          </cell>
        </row>
        <row r="1253">
          <cell r="C1253" t="str">
            <v>HARI INI</v>
          </cell>
        </row>
        <row r="1254">
          <cell r="C1254" t="str">
            <v>JUMLAH S/D TANGGAL</v>
          </cell>
          <cell r="F1254">
            <v>374167152</v>
          </cell>
          <cell r="G1254">
            <v>354752110</v>
          </cell>
        </row>
        <row r="1255">
          <cell r="C1255" t="str">
            <v>TOTAL</v>
          </cell>
          <cell r="F1255">
            <v>381336152</v>
          </cell>
          <cell r="G1255">
            <v>354752110</v>
          </cell>
        </row>
        <row r="1257">
          <cell r="C1257" t="str">
            <v>SISA</v>
          </cell>
          <cell r="D1257">
            <v>26584042</v>
          </cell>
        </row>
        <row r="1259">
          <cell r="A1259" t="str">
            <v>KODE BANTU</v>
          </cell>
          <cell r="B1259" t="str">
            <v>NO</v>
          </cell>
          <cell r="C1259" t="str">
            <v>MARET</v>
          </cell>
          <cell r="D1259" t="str">
            <v>URAIAN</v>
          </cell>
          <cell r="E1259" t="str">
            <v>KODE ANGGARAN</v>
          </cell>
          <cell r="F1259" t="str">
            <v>PENERIMAAN</v>
          </cell>
          <cell r="G1259" t="str">
            <v>PENGELUARAN</v>
          </cell>
        </row>
        <row r="1260">
          <cell r="A1260" t="str">
            <v>I.2.2.02.00111</v>
          </cell>
          <cell r="B1260">
            <v>346</v>
          </cell>
          <cell r="C1260">
            <v>46094</v>
          </cell>
          <cell r="D1260" t="str">
            <v>Kolekta Kebaktian Syukur HUT Kelahiran</v>
          </cell>
          <cell r="E1260" t="str">
            <v>I.2.2.02.001</v>
          </cell>
          <cell r="F1260">
            <v>1666000</v>
          </cell>
        </row>
        <row r="1261">
          <cell r="A1261" t="str">
            <v>I.2.2.02.0207</v>
          </cell>
          <cell r="B1261">
            <v>347</v>
          </cell>
          <cell r="C1261">
            <v>46094</v>
          </cell>
          <cell r="D1261" t="str">
            <v>Kolekta Kebaktian Unit</v>
          </cell>
          <cell r="E1261" t="str">
            <v>I.2.2.02.020</v>
          </cell>
          <cell r="F1261">
            <v>267000</v>
          </cell>
        </row>
        <row r="1262">
          <cell r="A1262" t="str">
            <v>0</v>
          </cell>
        </row>
        <row r="1263">
          <cell r="A1263" t="str">
            <v>0</v>
          </cell>
        </row>
        <row r="1264">
          <cell r="A1264" t="str">
            <v>0</v>
          </cell>
        </row>
        <row r="1265">
          <cell r="A1265" t="str">
            <v>0</v>
          </cell>
        </row>
        <row r="1266">
          <cell r="A1266" t="str">
            <v>0</v>
          </cell>
        </row>
        <row r="1267">
          <cell r="A1267" t="str">
            <v>0</v>
          </cell>
        </row>
        <row r="1268">
          <cell r="A1268" t="str">
            <v>0</v>
          </cell>
        </row>
        <row r="1269">
          <cell r="A1269" t="str">
            <v>0</v>
          </cell>
        </row>
        <row r="1270">
          <cell r="A1270" t="str">
            <v>0</v>
          </cell>
        </row>
        <row r="1271">
          <cell r="A1271" t="str">
            <v>0</v>
          </cell>
        </row>
        <row r="1272">
          <cell r="A1272" t="str">
            <v>0</v>
          </cell>
        </row>
        <row r="1273">
          <cell r="A1273" t="str">
            <v>0</v>
          </cell>
        </row>
        <row r="1274">
          <cell r="A1274" t="str">
            <v>0</v>
          </cell>
        </row>
        <row r="1275">
          <cell r="A1275" t="str">
            <v>0</v>
          </cell>
        </row>
        <row r="1276">
          <cell r="A1276" t="str">
            <v>0</v>
          </cell>
        </row>
        <row r="1277">
          <cell r="A1277" t="str">
            <v>0</v>
          </cell>
        </row>
        <row r="1278">
          <cell r="A1278" t="str">
            <v>0</v>
          </cell>
        </row>
        <row r="1279">
          <cell r="A1279" t="str">
            <v>0</v>
          </cell>
        </row>
        <row r="1280">
          <cell r="A1280" t="str">
            <v>0</v>
          </cell>
        </row>
        <row r="1281">
          <cell r="A1281" t="str">
            <v>0</v>
          </cell>
        </row>
        <row r="1282">
          <cell r="A1282" t="str">
            <v>0</v>
          </cell>
        </row>
        <row r="1283">
          <cell r="A1283" t="str">
            <v>0</v>
          </cell>
        </row>
        <row r="1284">
          <cell r="A1284" t="str">
            <v>0</v>
          </cell>
        </row>
        <row r="1286">
          <cell r="C1286" t="str">
            <v>JUMLAH TANGGAL</v>
          </cell>
          <cell r="F1286">
            <v>1933000</v>
          </cell>
          <cell r="G1286">
            <v>0</v>
          </cell>
        </row>
        <row r="1287">
          <cell r="C1287" t="str">
            <v>HARI INI</v>
          </cell>
        </row>
        <row r="1288">
          <cell r="C1288" t="str">
            <v>JUMLAH S/D TANGGAL</v>
          </cell>
          <cell r="F1288">
            <v>381336152</v>
          </cell>
          <cell r="G1288">
            <v>354752110</v>
          </cell>
        </row>
        <row r="1289">
          <cell r="C1289" t="str">
            <v>TOTAL</v>
          </cell>
          <cell r="F1289">
            <v>383269152</v>
          </cell>
          <cell r="G1289">
            <v>354752110</v>
          </cell>
        </row>
        <row r="1291">
          <cell r="C1291" t="str">
            <v>SISA</v>
          </cell>
          <cell r="D1291">
            <v>28517042</v>
          </cell>
        </row>
        <row r="1293">
          <cell r="A1293" t="str">
            <v>KODE BANTU</v>
          </cell>
          <cell r="B1293" t="str">
            <v>NO</v>
          </cell>
          <cell r="C1293" t="str">
            <v>MARET</v>
          </cell>
          <cell r="D1293" t="str">
            <v>URAIAN</v>
          </cell>
          <cell r="E1293" t="str">
            <v>KODE ANGGARAN</v>
          </cell>
          <cell r="F1293" t="str">
            <v>PENERIMAAN</v>
          </cell>
          <cell r="G1293" t="str">
            <v>PENGELUARAN</v>
          </cell>
        </row>
        <row r="1294">
          <cell r="A1294" t="str">
            <v>I.2.2.01.00111</v>
          </cell>
          <cell r="B1294">
            <v>348</v>
          </cell>
          <cell r="C1294">
            <v>46096</v>
          </cell>
          <cell r="D1294" t="str">
            <v>Kolekta Kebaktian Minggu Gereja Baitrafa dan SK</v>
          </cell>
          <cell r="E1294" t="str">
            <v>I.2.2.01.001</v>
          </cell>
          <cell r="F1294">
            <v>8543000</v>
          </cell>
        </row>
        <row r="1295">
          <cell r="A1295" t="str">
            <v>I.2.3.0116</v>
          </cell>
          <cell r="B1295">
            <v>349</v>
          </cell>
          <cell r="C1295">
            <v>46096</v>
          </cell>
          <cell r="D1295" t="str">
            <v>Persepuluhan Gereja Baitrafa dan SK</v>
          </cell>
          <cell r="E1295" t="str">
            <v>I.2.3.01</v>
          </cell>
          <cell r="F1295">
            <v>19838000</v>
          </cell>
        </row>
        <row r="1296">
          <cell r="A1296" t="str">
            <v>I.5.1.0413</v>
          </cell>
          <cell r="B1296">
            <v>350</v>
          </cell>
          <cell r="C1296">
            <v>46096</v>
          </cell>
          <cell r="D1296" t="str">
            <v>Pemberian untuk Gereja</v>
          </cell>
          <cell r="E1296" t="str">
            <v>I.5.1.04</v>
          </cell>
          <cell r="F1296">
            <v>1700000</v>
          </cell>
        </row>
        <row r="1297">
          <cell r="A1297" t="str">
            <v>I.2.2.02.06315</v>
          </cell>
          <cell r="B1297">
            <v>351</v>
          </cell>
          <cell r="C1297">
            <v>46096</v>
          </cell>
          <cell r="D1297" t="str">
            <v>Kolekta Pergumulan MJ bersama anak anak Tes TNI dan orang tua</v>
          </cell>
          <cell r="E1297" t="str">
            <v>I.2.2.02.063</v>
          </cell>
          <cell r="F1297">
            <v>289000</v>
          </cell>
        </row>
        <row r="1298">
          <cell r="A1298" t="str">
            <v>I.2.2.02.06429</v>
          </cell>
          <cell r="B1298">
            <v>352</v>
          </cell>
          <cell r="C1298">
            <v>46096</v>
          </cell>
          <cell r="D1298" t="str">
            <v>Kolekta Kebaktian Paduan Terompet</v>
          </cell>
          <cell r="E1298" t="str">
            <v>I.2.2.02.064</v>
          </cell>
          <cell r="F1298">
            <v>63000</v>
          </cell>
        </row>
        <row r="1299">
          <cell r="A1299" t="str">
            <v>I.3.1.1.01.0041</v>
          </cell>
          <cell r="B1299">
            <v>353</v>
          </cell>
          <cell r="C1299">
            <v>46096</v>
          </cell>
          <cell r="D1299" t="str">
            <v>Kolekta Kebaktian WGS</v>
          </cell>
          <cell r="E1299" t="str">
            <v>I.3.1.1.01.004</v>
          </cell>
          <cell r="F1299">
            <v>566000</v>
          </cell>
        </row>
        <row r="1300">
          <cell r="A1300" t="str">
            <v>I.2.2.02.06430</v>
          </cell>
          <cell r="B1300">
            <v>354</v>
          </cell>
          <cell r="C1300">
            <v>46096</v>
          </cell>
          <cell r="D1300" t="str">
            <v>Kolekta Kebaktian Syukur Keluarga</v>
          </cell>
          <cell r="E1300" t="str">
            <v>I.2.2.02.064</v>
          </cell>
          <cell r="F1300">
            <v>1138000</v>
          </cell>
        </row>
        <row r="1301">
          <cell r="A1301" t="str">
            <v>I.2.2.02.0049</v>
          </cell>
          <cell r="B1301">
            <v>355</v>
          </cell>
          <cell r="C1301">
            <v>46096</v>
          </cell>
          <cell r="D1301" t="str">
            <v>Kolekta Kebaktian Syukur Duka Kel. Salampessy</v>
          </cell>
          <cell r="E1301" t="str">
            <v>I.2.2.02.004</v>
          </cell>
          <cell r="F1301">
            <v>251000</v>
          </cell>
        </row>
        <row r="1302">
          <cell r="A1302" t="str">
            <v>I.2.2.02.06431</v>
          </cell>
          <cell r="B1302">
            <v>356</v>
          </cell>
          <cell r="C1302">
            <v>46096</v>
          </cell>
          <cell r="D1302" t="str">
            <v>Kolekta Syukur Pembuatan Pagar rumah Kel. Iwamoni</v>
          </cell>
          <cell r="E1302" t="str">
            <v>I.2.2.02.064</v>
          </cell>
          <cell r="F1302">
            <v>100000</v>
          </cell>
        </row>
        <row r="1303">
          <cell r="A1303" t="str">
            <v>I.2.2.02.0276</v>
          </cell>
          <cell r="B1303">
            <v>357</v>
          </cell>
          <cell r="C1303">
            <v>46096</v>
          </cell>
          <cell r="D1303" t="str">
            <v>Kolekta Syukur Penutupan Raker AMGPM Ranting 3 dan 6 Baitrafa</v>
          </cell>
          <cell r="E1303" t="str">
            <v>I.2.2.02.027</v>
          </cell>
          <cell r="F1303">
            <v>520000</v>
          </cell>
        </row>
        <row r="1304">
          <cell r="A1304" t="str">
            <v>I.2.2.02.06432</v>
          </cell>
          <cell r="B1304">
            <v>358</v>
          </cell>
          <cell r="C1304">
            <v>46096</v>
          </cell>
          <cell r="D1304" t="str">
            <v>Kolekta Persiapan kegiatan HHBG sektor Kalvari</v>
          </cell>
          <cell r="E1304" t="str">
            <v>I.2.2.02.064</v>
          </cell>
          <cell r="F1304">
            <v>201000</v>
          </cell>
        </row>
        <row r="1305">
          <cell r="A1305" t="str">
            <v>I.3.1.1.01.0011</v>
          </cell>
          <cell r="B1305">
            <v>359</v>
          </cell>
          <cell r="C1305">
            <v>46096</v>
          </cell>
          <cell r="D1305" t="str">
            <v>Kolekta Malam Bedah anak anak sidi baru</v>
          </cell>
          <cell r="E1305" t="str">
            <v>I.3.1.1.01.001</v>
          </cell>
          <cell r="F1305">
            <v>452000</v>
          </cell>
        </row>
        <row r="1306">
          <cell r="A1306" t="str">
            <v>I.2.2.02.0344</v>
          </cell>
          <cell r="B1306">
            <v>360</v>
          </cell>
          <cell r="C1306">
            <v>46096</v>
          </cell>
          <cell r="D1306" t="str">
            <v>Kolekta Ibadah Pangkalan ojek banda</v>
          </cell>
          <cell r="E1306" t="str">
            <v>I.2.2.02.034</v>
          </cell>
          <cell r="F1306">
            <v>45000</v>
          </cell>
        </row>
        <row r="1307">
          <cell r="A1307" t="str">
            <v>0</v>
          </cell>
        </row>
        <row r="1308">
          <cell r="A1308" t="str">
            <v>0</v>
          </cell>
        </row>
        <row r="1309">
          <cell r="A1309" t="str">
            <v>0</v>
          </cell>
        </row>
        <row r="1310">
          <cell r="A1310" t="str">
            <v>0</v>
          </cell>
        </row>
        <row r="1311">
          <cell r="A1311" t="str">
            <v>0</v>
          </cell>
        </row>
        <row r="1312">
          <cell r="A1312" t="str">
            <v>0</v>
          </cell>
        </row>
        <row r="1313">
          <cell r="A1313" t="str">
            <v>0</v>
          </cell>
        </row>
        <row r="1314">
          <cell r="A1314" t="str">
            <v>0</v>
          </cell>
        </row>
        <row r="1315">
          <cell r="A1315" t="str">
            <v>0</v>
          </cell>
        </row>
        <row r="1316">
          <cell r="A1316" t="str">
            <v>0</v>
          </cell>
        </row>
        <row r="1317">
          <cell r="A1317" t="str">
            <v>0</v>
          </cell>
        </row>
        <row r="1318">
          <cell r="A1318" t="str">
            <v>0</v>
          </cell>
        </row>
        <row r="1320">
          <cell r="C1320" t="str">
            <v>JUMLAH TANGGAL</v>
          </cell>
          <cell r="F1320">
            <v>33706000</v>
          </cell>
          <cell r="G1320">
            <v>0</v>
          </cell>
        </row>
        <row r="1321">
          <cell r="C1321" t="str">
            <v>HARI INI</v>
          </cell>
        </row>
        <row r="1322">
          <cell r="C1322" t="str">
            <v>JUMLAH S/D TANGGAL</v>
          </cell>
          <cell r="F1322">
            <v>383269152</v>
          </cell>
          <cell r="G1322">
            <v>354752110</v>
          </cell>
        </row>
        <row r="1323">
          <cell r="C1323" t="str">
            <v>TOTAL</v>
          </cell>
          <cell r="F1323">
            <v>416975152</v>
          </cell>
          <cell r="G1323">
            <v>354752110</v>
          </cell>
        </row>
        <row r="1325">
          <cell r="C1325" t="str">
            <v>SISA</v>
          </cell>
          <cell r="D1325">
            <v>62223042</v>
          </cell>
        </row>
        <row r="1327">
          <cell r="A1327" t="str">
            <v>KODE BANTU</v>
          </cell>
          <cell r="B1327" t="str">
            <v>NO</v>
          </cell>
          <cell r="C1327" t="str">
            <v>MARET</v>
          </cell>
          <cell r="D1327" t="str">
            <v>URAIAN</v>
          </cell>
          <cell r="E1327" t="str">
            <v>KODE ANGGARAN</v>
          </cell>
          <cell r="F1327" t="str">
            <v>PENERIMAAN</v>
          </cell>
          <cell r="G1327" t="str">
            <v>PENGELUARAN</v>
          </cell>
        </row>
        <row r="1328">
          <cell r="A1328" t="str">
            <v>II.5.1.0728</v>
          </cell>
          <cell r="B1328">
            <v>361</v>
          </cell>
          <cell r="C1328">
            <v>50114</v>
          </cell>
          <cell r="D1328" t="str">
            <v>Belanja Kebaktian Minggu</v>
          </cell>
          <cell r="E1328" t="str">
            <v>II.5.1.07</v>
          </cell>
          <cell r="G1328">
            <v>2050000</v>
          </cell>
        </row>
        <row r="1329">
          <cell r="A1329" t="str">
            <v>II.5.1.019</v>
          </cell>
          <cell r="B1329">
            <v>362</v>
          </cell>
          <cell r="C1329">
            <v>50479</v>
          </cell>
          <cell r="D1329" t="str">
            <v>Sumbangan Pelayanan sakit 16 orang</v>
          </cell>
          <cell r="E1329" t="str">
            <v>II.5.1.01</v>
          </cell>
          <cell r="G1329">
            <v>4800000</v>
          </cell>
        </row>
        <row r="1330">
          <cell r="A1330" t="str">
            <v>II.5.1.0610</v>
          </cell>
          <cell r="B1330">
            <v>363</v>
          </cell>
          <cell r="C1330">
            <v>50844</v>
          </cell>
          <cell r="D1330" t="str">
            <v>Sumbangan Duka Alm. Bpk. Relly dan Oma Iye Waisapy</v>
          </cell>
          <cell r="E1330" t="str">
            <v>II.5.1.06</v>
          </cell>
          <cell r="G1330">
            <v>1000000</v>
          </cell>
        </row>
        <row r="1331">
          <cell r="A1331" t="str">
            <v>II.5.1.0110</v>
          </cell>
          <cell r="B1331">
            <v>364</v>
          </cell>
          <cell r="C1331">
            <v>51210</v>
          </cell>
          <cell r="D1331" t="str">
            <v>Pelayanan Nikah Kel. Teslatu</v>
          </cell>
          <cell r="E1331" t="str">
            <v>II.5.1.01</v>
          </cell>
          <cell r="G1331">
            <v>200000</v>
          </cell>
        </row>
        <row r="1332">
          <cell r="A1332" t="str">
            <v>II.2.6.041</v>
          </cell>
          <cell r="B1332">
            <v>365</v>
          </cell>
          <cell r="C1332">
            <v>51575</v>
          </cell>
          <cell r="D1332" t="str">
            <v>Subsidi Panitia Sidang Jemaat ke 48 Sektor Horeb</v>
          </cell>
          <cell r="E1332" t="str">
            <v>II.2.6.04</v>
          </cell>
          <cell r="G1332">
            <v>7500000</v>
          </cell>
        </row>
        <row r="1333">
          <cell r="A1333" t="str">
            <v>II.5.1.052</v>
          </cell>
          <cell r="B1333">
            <v>366</v>
          </cell>
          <cell r="C1333">
            <v>51940</v>
          </cell>
          <cell r="D1333" t="str">
            <v>Biaya HUT Gereja Baitrafa</v>
          </cell>
          <cell r="E1333" t="str">
            <v>II.5.1.05</v>
          </cell>
          <cell r="G1333">
            <v>8000000</v>
          </cell>
        </row>
        <row r="1334">
          <cell r="A1334" t="str">
            <v>II.2.3.033</v>
          </cell>
          <cell r="B1334">
            <v>367</v>
          </cell>
          <cell r="C1334">
            <v>52305</v>
          </cell>
          <cell r="D1334" t="str">
            <v>Bayar Rekening Listrik Gereja dan Pastori bulan Maret</v>
          </cell>
          <cell r="E1334" t="str">
            <v>II.2.3.03</v>
          </cell>
          <cell r="G1334">
            <v>4062826</v>
          </cell>
        </row>
        <row r="1335">
          <cell r="A1335" t="str">
            <v>II.2.3.046</v>
          </cell>
          <cell r="B1335">
            <v>368</v>
          </cell>
          <cell r="C1335">
            <v>52671</v>
          </cell>
          <cell r="D1335" t="str">
            <v>Bayar Wifi Gereja Baitrafa dan SK bulan Maret</v>
          </cell>
          <cell r="E1335" t="str">
            <v>II.2.3.04</v>
          </cell>
          <cell r="G1335">
            <v>773000</v>
          </cell>
        </row>
        <row r="1336">
          <cell r="A1336" t="str">
            <v>II.2.3.014</v>
          </cell>
          <cell r="B1336">
            <v>369</v>
          </cell>
          <cell r="C1336">
            <v>53036</v>
          </cell>
          <cell r="D1336" t="str">
            <v>Belanja ATK bulan Maret</v>
          </cell>
          <cell r="E1336" t="str">
            <v>II.2.3.01</v>
          </cell>
          <cell r="G1336">
            <v>2750000</v>
          </cell>
        </row>
        <row r="1337">
          <cell r="A1337" t="str">
            <v>II.3.1.2.01.0012</v>
          </cell>
          <cell r="B1337">
            <v>370</v>
          </cell>
          <cell r="C1337">
            <v>53401</v>
          </cell>
          <cell r="D1337" t="str">
            <v>Biaya Tanggungan Kring PI Mercusuar</v>
          </cell>
          <cell r="E1337" t="str">
            <v>II.3.1.2.01.001</v>
          </cell>
          <cell r="G1337">
            <v>300000</v>
          </cell>
        </row>
        <row r="1338">
          <cell r="A1338" t="str">
            <v>II.3.1.1.01.0011</v>
          </cell>
          <cell r="B1338">
            <v>371</v>
          </cell>
          <cell r="C1338">
            <v>53766</v>
          </cell>
          <cell r="D1338" t="str">
            <v>Biaya Kegiatan Malam Bedah diri</v>
          </cell>
          <cell r="E1338" t="str">
            <v>II.3.1.1.01.001</v>
          </cell>
          <cell r="G1338">
            <v>400000</v>
          </cell>
        </row>
        <row r="1339">
          <cell r="A1339" t="str">
            <v>II.3.1.1.01.0053</v>
          </cell>
          <cell r="B1339">
            <v>372</v>
          </cell>
          <cell r="C1339">
            <v>54132</v>
          </cell>
          <cell r="D1339" t="str">
            <v>Beli Alkitab Nikah 4 buah</v>
          </cell>
          <cell r="E1339" t="str">
            <v>II.3.1.1.01.005</v>
          </cell>
          <cell r="G1339">
            <v>600000</v>
          </cell>
        </row>
        <row r="1340">
          <cell r="A1340" t="str">
            <v>II.5.1.1012</v>
          </cell>
          <cell r="B1340">
            <v>373</v>
          </cell>
          <cell r="C1340">
            <v>54497</v>
          </cell>
          <cell r="D1340" t="str">
            <v>Beli Lilin Nikah</v>
          </cell>
          <cell r="E1340" t="str">
            <v>II.5.1.10</v>
          </cell>
          <cell r="G1340">
            <v>260000</v>
          </cell>
        </row>
        <row r="1341">
          <cell r="A1341" t="str">
            <v>II.5.1.1013</v>
          </cell>
          <cell r="B1341">
            <v>374</v>
          </cell>
          <cell r="C1341">
            <v>54862</v>
          </cell>
          <cell r="D1341" t="str">
            <v>Beli Baterai Alkalin 2 dos</v>
          </cell>
          <cell r="E1341" t="str">
            <v>II.5.1.10</v>
          </cell>
          <cell r="G1341">
            <v>600000</v>
          </cell>
        </row>
        <row r="1342">
          <cell r="A1342" t="str">
            <v>II.6.1.011</v>
          </cell>
          <cell r="B1342">
            <v>375</v>
          </cell>
          <cell r="C1342">
            <v>55227</v>
          </cell>
          <cell r="D1342" t="str">
            <v>setor Kolekta HDS Anak</v>
          </cell>
          <cell r="E1342" t="str">
            <v>II.6.1.01</v>
          </cell>
          <cell r="G1342">
            <v>736000</v>
          </cell>
        </row>
        <row r="1343">
          <cell r="A1343" t="str">
            <v>II.6.1.021</v>
          </cell>
          <cell r="B1343">
            <v>376</v>
          </cell>
          <cell r="C1343">
            <v>55593</v>
          </cell>
          <cell r="D1343" t="str">
            <v xml:space="preserve">setor Kolekta HDS Perempuan </v>
          </cell>
          <cell r="E1343" t="str">
            <v>II.6.1.02</v>
          </cell>
          <cell r="G1343">
            <v>1210000</v>
          </cell>
        </row>
        <row r="1344">
          <cell r="A1344" t="str">
            <v>II.2.3.034</v>
          </cell>
          <cell r="B1344">
            <v>377</v>
          </cell>
          <cell r="C1344">
            <v>55958</v>
          </cell>
          <cell r="D1344" t="str">
            <v>Beli Pulsa Listrik untuk Pastori III</v>
          </cell>
          <cell r="E1344" t="str">
            <v>II.2.3.03</v>
          </cell>
          <cell r="G1344">
            <v>200000</v>
          </cell>
        </row>
        <row r="1345">
          <cell r="A1345" t="str">
            <v>II.5.1.0729</v>
          </cell>
          <cell r="B1345">
            <v>378</v>
          </cell>
          <cell r="C1345">
            <v>56323</v>
          </cell>
          <cell r="D1345" t="str">
            <v>Sewa 2 mobil untuk pelayanan Rumah sakit</v>
          </cell>
          <cell r="E1345" t="str">
            <v>II.5.1.07</v>
          </cell>
          <cell r="G1345">
            <v>500000</v>
          </cell>
        </row>
        <row r="1346">
          <cell r="A1346" t="str">
            <v>I.2.2.02.0316</v>
          </cell>
          <cell r="B1346">
            <v>379</v>
          </cell>
          <cell r="C1346">
            <v>56688</v>
          </cell>
          <cell r="D1346" t="str">
            <v>Kolekta Kebaktian Pengasuh SMTPI</v>
          </cell>
          <cell r="E1346" t="str">
            <v>I.2.2.02.031</v>
          </cell>
          <cell r="F1346">
            <v>150000</v>
          </cell>
        </row>
        <row r="1347">
          <cell r="A1347" t="str">
            <v>I.2.2.02.0256</v>
          </cell>
          <cell r="B1347">
            <v>380</v>
          </cell>
          <cell r="C1347">
            <v>57054</v>
          </cell>
          <cell r="D1347" t="str">
            <v>Kolekta Kebaktian SMTPI</v>
          </cell>
          <cell r="E1347" t="str">
            <v>I.2.2.02.025</v>
          </cell>
          <cell r="F1347">
            <v>1235000</v>
          </cell>
        </row>
        <row r="1348">
          <cell r="A1348" t="str">
            <v>I.6.1.021</v>
          </cell>
          <cell r="B1348">
            <v>381</v>
          </cell>
          <cell r="C1348">
            <v>57419</v>
          </cell>
          <cell r="D1348" t="str">
            <v xml:space="preserve">Kolekta HDS Perempuan </v>
          </cell>
          <cell r="E1348" t="str">
            <v>I.6.1.02</v>
          </cell>
          <cell r="F1348">
            <v>1210000</v>
          </cell>
        </row>
        <row r="1349">
          <cell r="A1349" t="str">
            <v>0</v>
          </cell>
        </row>
        <row r="1350">
          <cell r="A1350" t="str">
            <v>0</v>
          </cell>
        </row>
        <row r="1351">
          <cell r="A1351" t="str">
            <v>0</v>
          </cell>
        </row>
        <row r="1352">
          <cell r="A1352" t="str">
            <v>0</v>
          </cell>
        </row>
        <row r="1354">
          <cell r="C1354" t="str">
            <v>JUMLAH TANGGAL</v>
          </cell>
          <cell r="F1354">
            <v>2595000</v>
          </cell>
          <cell r="G1354">
            <v>35941826</v>
          </cell>
        </row>
        <row r="1355">
          <cell r="C1355" t="str">
            <v>HARI INI</v>
          </cell>
        </row>
        <row r="1356">
          <cell r="C1356" t="str">
            <v>JUMLAH S/D TANGGAL</v>
          </cell>
          <cell r="F1356">
            <v>416975152</v>
          </cell>
          <cell r="G1356">
            <v>354752110</v>
          </cell>
        </row>
        <row r="1357">
          <cell r="C1357" t="str">
            <v>TOTAL</v>
          </cell>
          <cell r="F1357">
            <v>419570152</v>
          </cell>
          <cell r="G1357">
            <v>390693936</v>
          </cell>
        </row>
        <row r="1359">
          <cell r="C1359" t="str">
            <v>SISA</v>
          </cell>
          <cell r="D1359">
            <v>28876216</v>
          </cell>
        </row>
        <row r="1361">
          <cell r="A1361" t="str">
            <v>KODE BANTU</v>
          </cell>
          <cell r="B1361" t="str">
            <v>NO</v>
          </cell>
          <cell r="C1361" t="str">
            <v>MARET</v>
          </cell>
          <cell r="D1361" t="str">
            <v>URAIAN</v>
          </cell>
          <cell r="E1361" t="str">
            <v>KODE ANGGARAN</v>
          </cell>
          <cell r="F1361" t="str">
            <v>PENERIMAAN</v>
          </cell>
          <cell r="G1361" t="str">
            <v>PENGELUARAN</v>
          </cell>
        </row>
        <row r="1362">
          <cell r="A1362" t="str">
            <v>I.2.2.02.0246</v>
          </cell>
          <cell r="B1362">
            <v>382</v>
          </cell>
          <cell r="C1362">
            <v>46101</v>
          </cell>
          <cell r="D1362" t="str">
            <v>Kolekta Kebaktian Pantai/Papalele</v>
          </cell>
          <cell r="E1362" t="str">
            <v>I.2.2.02.024</v>
          </cell>
          <cell r="F1362">
            <v>315000</v>
          </cell>
        </row>
        <row r="1363">
          <cell r="A1363" t="str">
            <v>I.2.2.02.0416</v>
          </cell>
          <cell r="B1363">
            <v>383</v>
          </cell>
          <cell r="C1363">
            <v>46101</v>
          </cell>
          <cell r="D1363" t="str">
            <v>Kolekta Kebaktian Penggembalaan Nikah</v>
          </cell>
          <cell r="E1363" t="str">
            <v>I.2.2.02.041</v>
          </cell>
          <cell r="F1363">
            <v>500000</v>
          </cell>
        </row>
        <row r="1364">
          <cell r="A1364" t="str">
            <v>I.2.2.02.0417</v>
          </cell>
          <cell r="B1364">
            <v>384</v>
          </cell>
          <cell r="C1364">
            <v>46101</v>
          </cell>
          <cell r="D1364" t="str">
            <v>Kolekta Kebaktian Penggembalaan Nikah Kel. Teslatu dan Silaya</v>
          </cell>
          <cell r="E1364" t="str">
            <v>I.2.2.02.041</v>
          </cell>
          <cell r="F1364">
            <v>625000</v>
          </cell>
        </row>
        <row r="1365">
          <cell r="A1365" t="str">
            <v>I.2.2.02.0424</v>
          </cell>
          <cell r="B1365">
            <v>385</v>
          </cell>
          <cell r="C1365">
            <v>46101</v>
          </cell>
          <cell r="D1365" t="str">
            <v>Kolekta Kebaktian Syukur Peneguhan Nikah Kel. Silaya/Sahalessy</v>
          </cell>
          <cell r="E1365" t="str">
            <v>I.2.2.02.042</v>
          </cell>
          <cell r="F1365">
            <v>846000</v>
          </cell>
        </row>
        <row r="1366">
          <cell r="A1366" t="str">
            <v>I.2.2.02.0425</v>
          </cell>
          <cell r="B1366">
            <v>386</v>
          </cell>
          <cell r="C1366">
            <v>46101</v>
          </cell>
          <cell r="D1366" t="str">
            <v>Kolekta Kebaktian Syukur Peneguhan Nikah Kel. Teslatu</v>
          </cell>
          <cell r="E1366" t="str">
            <v>I.2.2.02.042</v>
          </cell>
          <cell r="F1366">
            <v>464000</v>
          </cell>
        </row>
        <row r="1367">
          <cell r="A1367" t="str">
            <v>I.4.1.011</v>
          </cell>
          <cell r="B1367">
            <v>387</v>
          </cell>
          <cell r="C1367">
            <v>46101</v>
          </cell>
          <cell r="D1367" t="str">
            <v>Hasil Jual Kelapa Kebun Jemaat</v>
          </cell>
          <cell r="E1367" t="str">
            <v>I.4.1.01</v>
          </cell>
          <cell r="F1367">
            <v>350000</v>
          </cell>
        </row>
        <row r="1368">
          <cell r="A1368" t="str">
            <v>I.2.4.016</v>
          </cell>
          <cell r="B1368">
            <v>388</v>
          </cell>
          <cell r="C1368">
            <v>46101</v>
          </cell>
          <cell r="D1368" t="str">
            <v>Administrasi Baptis Kel. Tahapary</v>
          </cell>
          <cell r="E1368" t="str">
            <v>I.2.4.01</v>
          </cell>
          <cell r="F1368">
            <v>100000</v>
          </cell>
        </row>
        <row r="1369">
          <cell r="A1369" t="str">
            <v>I.2.4.017</v>
          </cell>
          <cell r="B1369">
            <v>389</v>
          </cell>
          <cell r="C1369">
            <v>46101</v>
          </cell>
          <cell r="D1369" t="str">
            <v>Administrasi Nikah Kel. Teslatu dan Kel. da Costa</v>
          </cell>
          <cell r="E1369" t="str">
            <v>I.2.4.01</v>
          </cell>
          <cell r="F1369">
            <v>2000000</v>
          </cell>
        </row>
        <row r="1370">
          <cell r="A1370" t="str">
            <v>I.2.2.02.0208</v>
          </cell>
          <cell r="B1370">
            <v>390</v>
          </cell>
          <cell r="C1370">
            <v>46101</v>
          </cell>
          <cell r="D1370" t="str">
            <v>Kolekta Kebaktian Unit Efrat 2 dan Galilea I</v>
          </cell>
          <cell r="E1370" t="str">
            <v>I.2.2.02.020</v>
          </cell>
          <cell r="F1370">
            <v>155000</v>
          </cell>
        </row>
        <row r="1371">
          <cell r="A1371" t="str">
            <v>I.2.2.02.00112</v>
          </cell>
          <cell r="B1371">
            <v>391</v>
          </cell>
          <cell r="C1371">
            <v>46101</v>
          </cell>
          <cell r="D1371" t="str">
            <v>Kolekta Kebaktian Syukur HUT Kelahiran</v>
          </cell>
          <cell r="E1371" t="str">
            <v>I.2.2.02.001</v>
          </cell>
          <cell r="F1371">
            <v>2027000</v>
          </cell>
        </row>
        <row r="1372">
          <cell r="A1372" t="str">
            <v>I.2.2.02.00212</v>
          </cell>
          <cell r="B1372">
            <v>392</v>
          </cell>
          <cell r="C1372">
            <v>46101</v>
          </cell>
          <cell r="D1372" t="str">
            <v>Kolekta Kebaktian Syukur HUT Perkawinan</v>
          </cell>
          <cell r="E1372" t="str">
            <v>I.2.2.02.002</v>
          </cell>
          <cell r="F1372">
            <v>975000</v>
          </cell>
        </row>
        <row r="1373">
          <cell r="A1373" t="str">
            <v>I.2.2.02.0211</v>
          </cell>
          <cell r="B1373">
            <v>393</v>
          </cell>
          <cell r="C1373">
            <v>46101</v>
          </cell>
          <cell r="D1373" t="str">
            <v>Kolekta Kebaktian Binakel Bethesda 2</v>
          </cell>
          <cell r="E1373" t="str">
            <v>I.2.2.02.021</v>
          </cell>
          <cell r="F1373">
            <v>10000</v>
          </cell>
        </row>
        <row r="1374">
          <cell r="A1374" t="str">
            <v>I.2.2.02.0209</v>
          </cell>
          <cell r="B1374">
            <v>394</v>
          </cell>
          <cell r="C1374">
            <v>46101</v>
          </cell>
          <cell r="D1374" t="str">
            <v>Kolekta Kebaktian Unit</v>
          </cell>
          <cell r="E1374" t="str">
            <v>I.2.2.02.020</v>
          </cell>
          <cell r="F1374">
            <v>190000</v>
          </cell>
        </row>
        <row r="1375">
          <cell r="A1375" t="str">
            <v>0</v>
          </cell>
        </row>
        <row r="1376">
          <cell r="A1376" t="str">
            <v>0</v>
          </cell>
        </row>
        <row r="1377">
          <cell r="A1377" t="str">
            <v>0</v>
          </cell>
        </row>
        <row r="1378">
          <cell r="A1378" t="str">
            <v>0</v>
          </cell>
        </row>
        <row r="1379">
          <cell r="A1379" t="str">
            <v>0</v>
          </cell>
        </row>
        <row r="1380">
          <cell r="A1380" t="str">
            <v>0</v>
          </cell>
        </row>
        <row r="1381">
          <cell r="A1381" t="str">
            <v>0</v>
          </cell>
        </row>
        <row r="1382">
          <cell r="A1382" t="str">
            <v>0</v>
          </cell>
        </row>
        <row r="1383">
          <cell r="A1383" t="str">
            <v>0</v>
          </cell>
        </row>
        <row r="1384">
          <cell r="A1384" t="str">
            <v>0</v>
          </cell>
        </row>
        <row r="1385">
          <cell r="A1385" t="str">
            <v>0</v>
          </cell>
        </row>
        <row r="1386">
          <cell r="A1386" t="str">
            <v>0</v>
          </cell>
        </row>
        <row r="1388">
          <cell r="C1388" t="str">
            <v>JUMLAH TANGGAL</v>
          </cell>
          <cell r="F1388">
            <v>8557000</v>
          </cell>
          <cell r="G1388">
            <v>0</v>
          </cell>
        </row>
        <row r="1389">
          <cell r="C1389" t="str">
            <v>HARI INI</v>
          </cell>
        </row>
        <row r="1390">
          <cell r="C1390" t="str">
            <v>JUMLAH S/D TANGGAL</v>
          </cell>
          <cell r="F1390">
            <v>419570152</v>
          </cell>
          <cell r="G1390">
            <v>390693936</v>
          </cell>
        </row>
        <row r="1391">
          <cell r="C1391" t="str">
            <v>TOTAL</v>
          </cell>
          <cell r="F1391">
            <v>428127152</v>
          </cell>
          <cell r="G1391">
            <v>390693936</v>
          </cell>
        </row>
        <row r="1393">
          <cell r="C1393" t="str">
            <v>SISA</v>
          </cell>
          <cell r="D1393">
            <v>37433216</v>
          </cell>
        </row>
        <row r="1395">
          <cell r="A1395" t="str">
            <v>KODE BANTU</v>
          </cell>
          <cell r="B1395" t="str">
            <v>NO</v>
          </cell>
          <cell r="C1395" t="str">
            <v>MARET</v>
          </cell>
          <cell r="D1395" t="str">
            <v>URAIAN</v>
          </cell>
          <cell r="E1395" t="str">
            <v>KODE ANGGARAN</v>
          </cell>
          <cell r="F1395" t="str">
            <v>PENERIMAAN</v>
          </cell>
          <cell r="G1395" t="str">
            <v>PENGELUARAN</v>
          </cell>
        </row>
        <row r="1396">
          <cell r="A1396" t="str">
            <v>I.2.2.01.00112</v>
          </cell>
          <cell r="B1396">
            <v>395</v>
          </cell>
          <cell r="C1396">
            <v>46103</v>
          </cell>
          <cell r="D1396" t="str">
            <v>Kolekta Kebaktian Minggu Gereja Baitrafa dan SK</v>
          </cell>
          <cell r="E1396" t="str">
            <v>I.2.2.01.001</v>
          </cell>
          <cell r="F1396">
            <v>8457000</v>
          </cell>
        </row>
        <row r="1397">
          <cell r="A1397" t="str">
            <v>I.2.3.0117</v>
          </cell>
          <cell r="B1397">
            <v>396</v>
          </cell>
          <cell r="C1397">
            <v>46103</v>
          </cell>
          <cell r="D1397" t="str">
            <v>Persepuluhan Gereja Baitrafa dan SK</v>
          </cell>
          <cell r="E1397" t="str">
            <v>I.2.3.01</v>
          </cell>
          <cell r="F1397">
            <v>904000</v>
          </cell>
        </row>
        <row r="1398">
          <cell r="A1398" t="str">
            <v>I.2.3.0118</v>
          </cell>
          <cell r="B1398">
            <v>397</v>
          </cell>
          <cell r="C1398">
            <v>46103</v>
          </cell>
          <cell r="D1398" t="str">
            <v>Persepuluhan Alm. Oma Nel</v>
          </cell>
          <cell r="E1398" t="str">
            <v>I.2.3.01</v>
          </cell>
          <cell r="F1398">
            <v>200000</v>
          </cell>
        </row>
        <row r="1399">
          <cell r="A1399" t="str">
            <v>II.5.1.0730</v>
          </cell>
          <cell r="B1399">
            <v>398</v>
          </cell>
          <cell r="C1399">
            <v>46103</v>
          </cell>
          <cell r="D1399" t="str">
            <v>Belanja Kebaktian Minggu dan Non Minggu</v>
          </cell>
          <cell r="E1399" t="str">
            <v>II.5.1.07</v>
          </cell>
          <cell r="G1399">
            <v>3400000</v>
          </cell>
        </row>
        <row r="1400">
          <cell r="A1400" t="str">
            <v>II.5.1.0111</v>
          </cell>
          <cell r="B1400">
            <v>399</v>
          </cell>
          <cell r="C1400">
            <v>46103</v>
          </cell>
          <cell r="D1400" t="str">
            <v>Sumbangan Pelayanan sakit 10 org</v>
          </cell>
          <cell r="E1400" t="str">
            <v>II.5.1.01</v>
          </cell>
          <cell r="G1400">
            <v>3000000</v>
          </cell>
        </row>
        <row r="1401">
          <cell r="A1401" t="str">
            <v>II.5.1.0611</v>
          </cell>
          <cell r="B1401">
            <v>400</v>
          </cell>
          <cell r="C1401">
            <v>46103</v>
          </cell>
          <cell r="D1401" t="str">
            <v>Sumbangan Duka Alm. Bpk. Rifer Pattiwael</v>
          </cell>
          <cell r="E1401" t="str">
            <v>II.5.1.06</v>
          </cell>
          <cell r="G1401">
            <v>500000</v>
          </cell>
        </row>
        <row r="1402">
          <cell r="A1402" t="str">
            <v>II.2.2.035</v>
          </cell>
          <cell r="B1402">
            <v>401</v>
          </cell>
          <cell r="C1402">
            <v>46103</v>
          </cell>
          <cell r="D1402" t="str">
            <v>Bayar Insentif PHMJ dan MJ bulan Februari</v>
          </cell>
          <cell r="E1402" t="str">
            <v>II.2.2.03</v>
          </cell>
          <cell r="G1402">
            <v>17500000</v>
          </cell>
        </row>
        <row r="1403">
          <cell r="A1403" t="str">
            <v>II.5.1.0731</v>
          </cell>
          <cell r="B1403">
            <v>402</v>
          </cell>
          <cell r="C1403">
            <v>46103</v>
          </cell>
          <cell r="D1403" t="str">
            <v>Transport MJ bulan Februari</v>
          </cell>
          <cell r="E1403" t="str">
            <v>II.5.1.07</v>
          </cell>
          <cell r="G1403">
            <v>2450000</v>
          </cell>
        </row>
        <row r="1404">
          <cell r="A1404" t="str">
            <v>II.2.2.052</v>
          </cell>
          <cell r="B1404">
            <v>403</v>
          </cell>
          <cell r="C1404">
            <v>46103</v>
          </cell>
          <cell r="D1404" t="str">
            <v>Bayar Insentif Tuagama bulan Februari</v>
          </cell>
          <cell r="E1404" t="str">
            <v>II.2.2.05</v>
          </cell>
          <cell r="G1404">
            <v>3300000</v>
          </cell>
        </row>
        <row r="1405">
          <cell r="A1405" t="str">
            <v>II.2.2.014</v>
          </cell>
          <cell r="B1405">
            <v>404</v>
          </cell>
          <cell r="C1405">
            <v>46103</v>
          </cell>
          <cell r="D1405" t="str">
            <v>Honor Tenaga Sekretariat bulan Februari</v>
          </cell>
          <cell r="E1405" t="str">
            <v>II.2.2.01</v>
          </cell>
          <cell r="G1405">
            <v>2000000</v>
          </cell>
        </row>
        <row r="1406">
          <cell r="A1406" t="str">
            <v>II.2.2.042</v>
          </cell>
          <cell r="B1406">
            <v>405</v>
          </cell>
          <cell r="C1406">
            <v>46103</v>
          </cell>
          <cell r="D1406" t="str">
            <v>Bayar Insentif Pengelola Keuangan bulan Februari</v>
          </cell>
          <cell r="E1406" t="str">
            <v>II.2.2.04</v>
          </cell>
          <cell r="G1406">
            <v>400000</v>
          </cell>
        </row>
        <row r="1407">
          <cell r="A1407" t="str">
            <v>II.5.1.0732</v>
          </cell>
          <cell r="B1407">
            <v>406</v>
          </cell>
          <cell r="C1407">
            <v>46103</v>
          </cell>
          <cell r="D1407" t="str">
            <v>Bayar transport Soundman, Pelatih Kantoria dan Kebun Jemaat bulan Februari</v>
          </cell>
          <cell r="E1407" t="str">
            <v>II.5.1.07</v>
          </cell>
          <cell r="G1407">
            <v>1100000</v>
          </cell>
        </row>
        <row r="1408">
          <cell r="A1408" t="str">
            <v>II.5.1.0112</v>
          </cell>
          <cell r="B1408">
            <v>407</v>
          </cell>
          <cell r="C1408">
            <v>46103</v>
          </cell>
          <cell r="D1408" t="str">
            <v>Belanja Natura untuk 10 org anggota Jemaat bulan Jan-Feb</v>
          </cell>
          <cell r="E1408" t="str">
            <v>II.5.1.01</v>
          </cell>
          <cell r="G1408">
            <v>3100000</v>
          </cell>
        </row>
        <row r="1409">
          <cell r="A1409" t="str">
            <v>II.3.1.1.01.0023</v>
          </cell>
          <cell r="B1409">
            <v>408</v>
          </cell>
          <cell r="C1409">
            <v>46103</v>
          </cell>
          <cell r="D1409" t="str">
            <v>Biaya Kebaktian Pemuda</v>
          </cell>
          <cell r="E1409" t="str">
            <v>II.3.1.1.01.002</v>
          </cell>
          <cell r="G1409">
            <v>350000</v>
          </cell>
        </row>
        <row r="1410">
          <cell r="A1410" t="str">
            <v>II.2.1.061</v>
          </cell>
          <cell r="B1410">
            <v>409</v>
          </cell>
          <cell r="C1410">
            <v>46103</v>
          </cell>
          <cell r="D1410" t="str">
            <v>Beli surat Sidi 62 Lembar</v>
          </cell>
          <cell r="E1410" t="str">
            <v>II.2.1.06</v>
          </cell>
          <cell r="G1410">
            <v>2840000</v>
          </cell>
        </row>
        <row r="1411">
          <cell r="A1411" t="str">
            <v>0</v>
          </cell>
        </row>
        <row r="1412">
          <cell r="A1412" t="str">
            <v>0</v>
          </cell>
        </row>
        <row r="1413">
          <cell r="A1413" t="str">
            <v>0</v>
          </cell>
        </row>
        <row r="1414">
          <cell r="A1414" t="str">
            <v>0</v>
          </cell>
        </row>
        <row r="1415">
          <cell r="A1415" t="str">
            <v>0</v>
          </cell>
        </row>
        <row r="1416">
          <cell r="A1416" t="str">
            <v>0</v>
          </cell>
        </row>
        <row r="1417">
          <cell r="A1417" t="str">
            <v>0</v>
          </cell>
        </row>
        <row r="1418">
          <cell r="A1418" t="str">
            <v>0</v>
          </cell>
        </row>
        <row r="1419">
          <cell r="A1419" t="str">
            <v>0</v>
          </cell>
        </row>
        <row r="1420">
          <cell r="A1420" t="str">
            <v>0</v>
          </cell>
        </row>
        <row r="1422">
          <cell r="C1422" t="str">
            <v>JUMLAH TANGGAL</v>
          </cell>
          <cell r="F1422">
            <v>9561000</v>
          </cell>
          <cell r="G1422">
            <v>39940000</v>
          </cell>
        </row>
        <row r="1423">
          <cell r="C1423" t="str">
            <v>HARI INI</v>
          </cell>
        </row>
        <row r="1424">
          <cell r="C1424" t="str">
            <v>JUMLAH S/D TANGGAL</v>
          </cell>
          <cell r="F1424">
            <v>428127152</v>
          </cell>
          <cell r="G1424">
            <v>390693936</v>
          </cell>
        </row>
        <row r="1425">
          <cell r="C1425" t="str">
            <v>TOTAL</v>
          </cell>
          <cell r="F1425">
            <v>437688152</v>
          </cell>
          <cell r="G1425">
            <v>430633936</v>
          </cell>
        </row>
        <row r="1427">
          <cell r="C1427" t="str">
            <v>SISA</v>
          </cell>
          <cell r="D1427">
            <v>7054216</v>
          </cell>
        </row>
        <row r="1429">
          <cell r="A1429" t="str">
            <v>KODE BANTU</v>
          </cell>
          <cell r="B1429" t="str">
            <v>NO</v>
          </cell>
          <cell r="C1429" t="str">
            <v>MARET</v>
          </cell>
          <cell r="D1429" t="str">
            <v>URAIAN</v>
          </cell>
          <cell r="E1429" t="str">
            <v>KODE ANGGARAN</v>
          </cell>
          <cell r="F1429" t="str">
            <v>PENERIMAAN</v>
          </cell>
          <cell r="G1429" t="str">
            <v>PENGELUARAN</v>
          </cell>
        </row>
        <row r="1430">
          <cell r="A1430" t="str">
            <v>II.2.5.014</v>
          </cell>
          <cell r="B1430">
            <v>410</v>
          </cell>
          <cell r="C1430">
            <v>46103</v>
          </cell>
          <cell r="D1430" t="str">
            <v>Beli Bohlamp Gereja</v>
          </cell>
          <cell r="E1430" t="str">
            <v>II.2.5.01</v>
          </cell>
          <cell r="G1430">
            <v>1000000</v>
          </cell>
        </row>
        <row r="1431">
          <cell r="A1431" t="str">
            <v>II.2.5.015</v>
          </cell>
          <cell r="B1431">
            <v>411</v>
          </cell>
          <cell r="C1431">
            <v>46103</v>
          </cell>
          <cell r="D1431" t="str">
            <v>Biaya Tambah Daya Listrik Gereja Baitrafa</v>
          </cell>
          <cell r="E1431" t="str">
            <v>II.2.5.01</v>
          </cell>
          <cell r="G1431">
            <v>9285000</v>
          </cell>
        </row>
        <row r="1432">
          <cell r="A1432" t="str">
            <v>II.2.4.012</v>
          </cell>
          <cell r="B1432">
            <v>412</v>
          </cell>
          <cell r="C1432">
            <v>46103</v>
          </cell>
          <cell r="D1432" t="str">
            <v>Beli Kabel HDMI</v>
          </cell>
          <cell r="E1432" t="str">
            <v>II.2.4.01</v>
          </cell>
          <cell r="G1432">
            <v>900000</v>
          </cell>
        </row>
        <row r="1433">
          <cell r="A1433" t="str">
            <v>II.2.4.021</v>
          </cell>
          <cell r="B1433">
            <v>413</v>
          </cell>
          <cell r="C1433">
            <v>46103</v>
          </cell>
          <cell r="D1433" t="str">
            <v>Beli Kulkas 2 pintu di Pastori 3 dan transport</v>
          </cell>
          <cell r="E1433" t="str">
            <v>II.2.4.02</v>
          </cell>
          <cell r="G1433">
            <v>3150000</v>
          </cell>
        </row>
        <row r="1434">
          <cell r="A1434" t="str">
            <v>II.2.3.052</v>
          </cell>
          <cell r="B1434">
            <v>414</v>
          </cell>
          <cell r="C1434">
            <v>46103</v>
          </cell>
          <cell r="D1434" t="str">
            <v>Beli air 1 tangki untuk Gereja SK</v>
          </cell>
          <cell r="E1434" t="str">
            <v>II.2.3.05</v>
          </cell>
          <cell r="G1434">
            <v>150000</v>
          </cell>
        </row>
        <row r="1435">
          <cell r="A1435" t="str">
            <v>II.5.1.118</v>
          </cell>
          <cell r="B1435">
            <v>415</v>
          </cell>
          <cell r="C1435">
            <v>46103</v>
          </cell>
          <cell r="D1435" t="str">
            <v>Beli Dap</v>
          </cell>
          <cell r="E1435" t="str">
            <v>II.5.1.11</v>
          </cell>
          <cell r="G1435">
            <v>1000000</v>
          </cell>
        </row>
        <row r="1436">
          <cell r="A1436" t="str">
            <v>II.5.1.0733</v>
          </cell>
          <cell r="B1436">
            <v>416</v>
          </cell>
          <cell r="C1436">
            <v>46103</v>
          </cell>
          <cell r="D1436" t="str">
            <v>Belanja bahan bahan Perjamuan</v>
          </cell>
          <cell r="E1436" t="str">
            <v>II.5.1.07</v>
          </cell>
          <cell r="G1436">
            <v>4700000</v>
          </cell>
        </row>
        <row r="1437">
          <cell r="A1437" t="str">
            <v>II.5.1.0734</v>
          </cell>
          <cell r="B1437">
            <v>417</v>
          </cell>
          <cell r="C1437">
            <v>46103</v>
          </cell>
          <cell r="D1437" t="str">
            <v>Biaya sewa mobil pelayanan rumah sakit</v>
          </cell>
          <cell r="E1437" t="str">
            <v>II.5.1.07</v>
          </cell>
          <cell r="G1437">
            <v>250000</v>
          </cell>
        </row>
        <row r="1438">
          <cell r="A1438" t="str">
            <v>I.5.1.0414</v>
          </cell>
          <cell r="B1438">
            <v>418</v>
          </cell>
          <cell r="C1438">
            <v>46103</v>
          </cell>
          <cell r="D1438" t="str">
            <v>Pemberian untuk gereja dr kel. nn di Petra 3</v>
          </cell>
          <cell r="E1438" t="str">
            <v>I.5.1.04</v>
          </cell>
          <cell r="F1438">
            <v>300000</v>
          </cell>
        </row>
        <row r="1439">
          <cell r="A1439" t="str">
            <v>I.2.2.02.06316</v>
          </cell>
          <cell r="B1439">
            <v>419</v>
          </cell>
          <cell r="C1439">
            <v>46103</v>
          </cell>
          <cell r="D1439" t="str">
            <v>Kolekta Pergumulan Keluarga</v>
          </cell>
          <cell r="E1439" t="str">
            <v>I.2.2.02.063</v>
          </cell>
          <cell r="F1439">
            <v>1459000</v>
          </cell>
        </row>
        <row r="1440">
          <cell r="A1440" t="str">
            <v>I.2.2.02.06433</v>
          </cell>
          <cell r="B1440">
            <v>420</v>
          </cell>
          <cell r="C1440">
            <v>46103</v>
          </cell>
          <cell r="D1440" t="str">
            <v>Kolekta Paduan terompet dan Muhabeth Amalatuei</v>
          </cell>
          <cell r="E1440" t="str">
            <v>I.2.2.02.064</v>
          </cell>
          <cell r="F1440">
            <v>256000</v>
          </cell>
        </row>
        <row r="1441">
          <cell r="A1441" t="str">
            <v>I.2.2.02.0277</v>
          </cell>
          <cell r="B1441">
            <v>421</v>
          </cell>
          <cell r="C1441">
            <v>46103</v>
          </cell>
          <cell r="D1441" t="str">
            <v>Kolekta Kebaktian Gereja Pemuda</v>
          </cell>
          <cell r="E1441" t="str">
            <v>I.2.2.02.027</v>
          </cell>
          <cell r="F1441">
            <v>410000</v>
          </cell>
        </row>
        <row r="1442">
          <cell r="A1442" t="str">
            <v>I.2.2.02.06434</v>
          </cell>
          <cell r="B1442">
            <v>422</v>
          </cell>
          <cell r="C1442">
            <v>46103</v>
          </cell>
          <cell r="D1442" t="str">
            <v>Kolekta Kebaktian Syukur Keluarga</v>
          </cell>
          <cell r="E1442" t="str">
            <v>I.2.2.02.064</v>
          </cell>
          <cell r="F1442">
            <v>557000</v>
          </cell>
        </row>
        <row r="1443">
          <cell r="A1443" t="str">
            <v>I.2.2.02.00410</v>
          </cell>
          <cell r="B1443">
            <v>423</v>
          </cell>
          <cell r="C1443">
            <v>46103</v>
          </cell>
          <cell r="D1443" t="str">
            <v>Kolekta syukur duka Kel. Waisapy Salampessy</v>
          </cell>
          <cell r="E1443" t="str">
            <v>I.2.2.02.004</v>
          </cell>
          <cell r="F1443">
            <v>300000</v>
          </cell>
        </row>
        <row r="1444">
          <cell r="A1444" t="str">
            <v>I.3.1.1.01.0042</v>
          </cell>
          <cell r="B1444">
            <v>424</v>
          </cell>
          <cell r="C1444">
            <v>46103</v>
          </cell>
          <cell r="D1444" t="str">
            <v>Kolekta WGS Sektor Bethesda dan Galilea</v>
          </cell>
          <cell r="E1444" t="str">
            <v>I.3.1.1.01.004</v>
          </cell>
          <cell r="F1444">
            <v>67000</v>
          </cell>
        </row>
        <row r="1445">
          <cell r="A1445" t="str">
            <v>I.2.2.02.0317</v>
          </cell>
          <cell r="B1445">
            <v>425</v>
          </cell>
          <cell r="C1445">
            <v>46103</v>
          </cell>
          <cell r="D1445" t="str">
            <v>Kolekta Kebaktian Pengasuh SMTPI</v>
          </cell>
          <cell r="E1445" t="str">
            <v>I.2.2.02.031</v>
          </cell>
          <cell r="F1445">
            <v>130000</v>
          </cell>
        </row>
        <row r="1446">
          <cell r="A1446" t="str">
            <v>I.2.2.02.0257</v>
          </cell>
          <cell r="B1446">
            <v>426</v>
          </cell>
          <cell r="C1446">
            <v>46103</v>
          </cell>
          <cell r="D1446" t="str">
            <v>Kolekta Kebaktian SMTPI</v>
          </cell>
          <cell r="E1446" t="str">
            <v>I.2.2.02.025</v>
          </cell>
          <cell r="F1446">
            <v>998000</v>
          </cell>
        </row>
        <row r="1447">
          <cell r="A1447" t="str">
            <v>I.2.2.02.0345</v>
          </cell>
          <cell r="B1447">
            <v>427</v>
          </cell>
          <cell r="C1447">
            <v>46103</v>
          </cell>
          <cell r="D1447" t="str">
            <v>Kolekta Pangkalaan Ojek Tilar dan Ojek Banda</v>
          </cell>
          <cell r="E1447" t="str">
            <v>I.2.2.02.034</v>
          </cell>
          <cell r="F1447">
            <v>110000</v>
          </cell>
        </row>
        <row r="1448">
          <cell r="A1448" t="str">
            <v>I.2.2.02.0247</v>
          </cell>
          <cell r="B1448">
            <v>428</v>
          </cell>
          <cell r="C1448">
            <v>46103</v>
          </cell>
          <cell r="D1448" t="str">
            <v>Kolekta Kebaktian Pantai/Papalele</v>
          </cell>
          <cell r="E1448" t="str">
            <v>I.2.2.02.024</v>
          </cell>
          <cell r="F1448">
            <v>295000</v>
          </cell>
        </row>
        <row r="1449">
          <cell r="A1449" t="str">
            <v>0</v>
          </cell>
        </row>
        <row r="1450">
          <cell r="A1450" t="str">
            <v>0</v>
          </cell>
        </row>
        <row r="1451">
          <cell r="A1451" t="str">
            <v>0</v>
          </cell>
        </row>
        <row r="1452">
          <cell r="A1452" t="str">
            <v>0</v>
          </cell>
        </row>
        <row r="1453">
          <cell r="A1453" t="str">
            <v>0</v>
          </cell>
        </row>
        <row r="1454">
          <cell r="A1454" t="str">
            <v>0</v>
          </cell>
        </row>
        <row r="1456">
          <cell r="C1456" t="str">
            <v>JUMLAH TANGGAL</v>
          </cell>
          <cell r="F1456">
            <v>4882000</v>
          </cell>
          <cell r="G1456">
            <v>20435000</v>
          </cell>
        </row>
        <row r="1457">
          <cell r="C1457" t="str">
            <v>HARI INI</v>
          </cell>
        </row>
        <row r="1458">
          <cell r="C1458" t="str">
            <v>JUMLAH S/D TANGGAL</v>
          </cell>
          <cell r="F1458">
            <v>437688152</v>
          </cell>
          <cell r="G1458">
            <v>430633936</v>
          </cell>
        </row>
        <row r="1459">
          <cell r="C1459" t="str">
            <v>TOTAL</v>
          </cell>
          <cell r="F1459">
            <v>442570152</v>
          </cell>
          <cell r="G1459">
            <v>451068936</v>
          </cell>
        </row>
        <row r="1461">
          <cell r="C1461" t="str">
            <v>SISA</v>
          </cell>
          <cell r="D1461">
            <v>-8498784</v>
          </cell>
        </row>
        <row r="1463">
          <cell r="A1463" t="str">
            <v>KODE BANTU</v>
          </cell>
          <cell r="B1463" t="str">
            <v>NO</v>
          </cell>
          <cell r="C1463" t="str">
            <v>MARET</v>
          </cell>
          <cell r="D1463" t="str">
            <v>URAIAN</v>
          </cell>
          <cell r="E1463" t="str">
            <v>KODE ANGGARAN</v>
          </cell>
          <cell r="F1463" t="str">
            <v>PENERIMAAN</v>
          </cell>
          <cell r="G1463" t="str">
            <v>PENGELUARAN</v>
          </cell>
        </row>
        <row r="1464">
          <cell r="A1464" t="str">
            <v>I.2.2.02.0268</v>
          </cell>
          <cell r="B1464">
            <v>429</v>
          </cell>
          <cell r="C1464">
            <v>46103</v>
          </cell>
          <cell r="D1464" t="str">
            <v>Kolekta Kebaktian Katekisasi</v>
          </cell>
          <cell r="E1464" t="str">
            <v>I.2.2.02.026</v>
          </cell>
          <cell r="F1464">
            <v>165000</v>
          </cell>
        </row>
        <row r="1465">
          <cell r="A1465" t="str">
            <v>I.2.2.02.06435</v>
          </cell>
          <cell r="B1465">
            <v>430</v>
          </cell>
          <cell r="C1465">
            <v>46103</v>
          </cell>
          <cell r="D1465" t="str">
            <v>Kolekta Pergembalaan Tim Penanggulangan bencana</v>
          </cell>
          <cell r="E1465" t="str">
            <v>I.2.2.02.064</v>
          </cell>
          <cell r="F1465">
            <v>56000</v>
          </cell>
        </row>
        <row r="1466">
          <cell r="A1466" t="str">
            <v>I.2.2.02.0373</v>
          </cell>
          <cell r="B1466">
            <v>431</v>
          </cell>
          <cell r="C1466">
            <v>46103</v>
          </cell>
          <cell r="D1466" t="str">
            <v>Kolekta Kebaktian Penggembalaan Baptis</v>
          </cell>
          <cell r="E1466" t="str">
            <v>I.2.2.02.037</v>
          </cell>
          <cell r="F1466">
            <v>58000</v>
          </cell>
        </row>
        <row r="1467">
          <cell r="A1467" t="str">
            <v>I.2.2.02.0418</v>
          </cell>
          <cell r="B1467">
            <v>432</v>
          </cell>
          <cell r="C1467">
            <v>46103</v>
          </cell>
          <cell r="D1467" t="str">
            <v>Kolekta Kebaktian Penggembalaan Nikah Kel. da Costa/Dahaklory</v>
          </cell>
          <cell r="E1467" t="str">
            <v>I.2.2.02.041</v>
          </cell>
          <cell r="F1467">
            <v>57000</v>
          </cell>
        </row>
        <row r="1468">
          <cell r="A1468" t="str">
            <v>I.2.2.02.0426</v>
          </cell>
          <cell r="B1468">
            <v>433</v>
          </cell>
          <cell r="C1468">
            <v>46103</v>
          </cell>
          <cell r="D1468" t="str">
            <v>Kolekta Kebaktian Syukur Peneguhan Nikah Kel. da Costa/Dahaklory</v>
          </cell>
          <cell r="E1468" t="str">
            <v>I.2.2.02.042</v>
          </cell>
          <cell r="F1468">
            <v>434000</v>
          </cell>
        </row>
        <row r="1469">
          <cell r="A1469" t="str">
            <v>I.2.2.02.0383</v>
          </cell>
          <cell r="B1469">
            <v>434</v>
          </cell>
          <cell r="C1469">
            <v>46103</v>
          </cell>
          <cell r="D1469" t="str">
            <v>Kolekta Kebaktian syukur Baptisan Kel. Bpk. Rein Pattisina</v>
          </cell>
          <cell r="E1469" t="str">
            <v>I.2.2.02.038</v>
          </cell>
          <cell r="F1469">
            <v>190000</v>
          </cell>
        </row>
        <row r="1470">
          <cell r="A1470" t="str">
            <v>I.2.2.02.0384</v>
          </cell>
          <cell r="B1470">
            <v>435</v>
          </cell>
          <cell r="C1470">
            <v>46103</v>
          </cell>
          <cell r="D1470" t="str">
            <v>Kolekta Kebaktian Syukur Baptisan Kel. Teriraun</v>
          </cell>
          <cell r="E1470" t="str">
            <v>I.2.2.02.038</v>
          </cell>
          <cell r="F1470">
            <v>230000</v>
          </cell>
        </row>
        <row r="1471">
          <cell r="A1471" t="str">
            <v>I.4.1.022</v>
          </cell>
          <cell r="B1471">
            <v>436</v>
          </cell>
          <cell r="C1471">
            <v>46103</v>
          </cell>
          <cell r="D1471" t="str">
            <v>Sewa Gedung Serbaguna</v>
          </cell>
          <cell r="E1471" t="str">
            <v>I.4.1.02</v>
          </cell>
          <cell r="F1471">
            <v>2000000</v>
          </cell>
        </row>
        <row r="1472">
          <cell r="A1472" t="str">
            <v>I.2.4.018</v>
          </cell>
          <cell r="B1472">
            <v>437</v>
          </cell>
          <cell r="C1472">
            <v>46103</v>
          </cell>
          <cell r="D1472" t="str">
            <v>Admin Baptis 1 anak dan admin sidi 62 anak</v>
          </cell>
          <cell r="E1472" t="str">
            <v>I.2.4.01</v>
          </cell>
          <cell r="F1472">
            <v>6100000</v>
          </cell>
        </row>
        <row r="1473">
          <cell r="A1473" t="str">
            <v>I.5.1.0415</v>
          </cell>
          <cell r="B1473">
            <v>438</v>
          </cell>
          <cell r="C1473">
            <v>46103</v>
          </cell>
          <cell r="D1473" t="str">
            <v>Tukar uang 50 Euro</v>
          </cell>
          <cell r="E1473" t="str">
            <v>I.5.1.04</v>
          </cell>
          <cell r="F1473">
            <v>972000</v>
          </cell>
        </row>
        <row r="1474">
          <cell r="A1474" t="str">
            <v>0</v>
          </cell>
        </row>
        <row r="1475">
          <cell r="A1475" t="str">
            <v>0</v>
          </cell>
        </row>
        <row r="1476">
          <cell r="A1476" t="str">
            <v>0</v>
          </cell>
        </row>
        <row r="1477">
          <cell r="A1477" t="str">
            <v>0</v>
          </cell>
        </row>
        <row r="1478">
          <cell r="A1478" t="str">
            <v>0</v>
          </cell>
        </row>
        <row r="1479">
          <cell r="A1479" t="str">
            <v>0</v>
          </cell>
        </row>
        <row r="1480">
          <cell r="A1480" t="str">
            <v>0</v>
          </cell>
        </row>
        <row r="1481">
          <cell r="A1481" t="str">
            <v>0</v>
          </cell>
        </row>
        <row r="1482">
          <cell r="A1482" t="str">
            <v>0</v>
          </cell>
        </row>
        <row r="1483">
          <cell r="A1483" t="str">
            <v>0</v>
          </cell>
        </row>
        <row r="1484">
          <cell r="A1484" t="str">
            <v>0</v>
          </cell>
        </row>
        <row r="1485">
          <cell r="A1485" t="str">
            <v>0</v>
          </cell>
        </row>
        <row r="1486">
          <cell r="A1486" t="str">
            <v>0</v>
          </cell>
        </row>
        <row r="1487">
          <cell r="A1487" t="str">
            <v>0</v>
          </cell>
        </row>
        <row r="1488">
          <cell r="A1488" t="str">
            <v>0</v>
          </cell>
        </row>
        <row r="1490">
          <cell r="C1490" t="str">
            <v>JUMLAH TANGGAL</v>
          </cell>
          <cell r="F1490">
            <v>10262000</v>
          </cell>
          <cell r="G1490">
            <v>0</v>
          </cell>
        </row>
        <row r="1491">
          <cell r="C1491" t="str">
            <v>HARI INI</v>
          </cell>
        </row>
        <row r="1492">
          <cell r="C1492" t="str">
            <v>JUMLAH S/D TANGGAL</v>
          </cell>
          <cell r="F1492">
            <v>442570152</v>
          </cell>
          <cell r="G1492">
            <v>451068936</v>
          </cell>
        </row>
        <row r="1493">
          <cell r="C1493" t="str">
            <v>TOTAL</v>
          </cell>
          <cell r="F1493">
            <v>452832152</v>
          </cell>
          <cell r="G1493">
            <v>451068936</v>
          </cell>
        </row>
        <row r="1495">
          <cell r="C1495" t="str">
            <v>SISA</v>
          </cell>
          <cell r="D1495">
            <v>1763216</v>
          </cell>
        </row>
        <row r="1497">
          <cell r="A1497" t="str">
            <v>KODE BANTU</v>
          </cell>
          <cell r="B1497" t="str">
            <v>NO</v>
          </cell>
          <cell r="C1497" t="str">
            <v>MARET</v>
          </cell>
          <cell r="D1497" t="str">
            <v>URAIAN</v>
          </cell>
          <cell r="E1497" t="str">
            <v>KODE ANGGARAN</v>
          </cell>
          <cell r="F1497" t="str">
            <v>PENERIMAAN</v>
          </cell>
          <cell r="G1497" t="str">
            <v>PENGELUARAN</v>
          </cell>
        </row>
        <row r="1498">
          <cell r="A1498" t="str">
            <v>I.2.2.02.03011</v>
          </cell>
          <cell r="B1498">
            <v>439</v>
          </cell>
          <cell r="C1498">
            <v>46108</v>
          </cell>
          <cell r="D1498" t="str">
            <v>Kolekta Kebaktian Pelayanan Laki-Laki</v>
          </cell>
          <cell r="E1498" t="str">
            <v>I.2.2.02.030</v>
          </cell>
          <cell r="F1498">
            <v>919000</v>
          </cell>
        </row>
        <row r="1499">
          <cell r="A1499" t="str">
            <v>I.2.2.02.02910</v>
          </cell>
          <cell r="B1499">
            <v>440</v>
          </cell>
          <cell r="C1499">
            <v>46108</v>
          </cell>
          <cell r="D1499" t="str">
            <v>Kolekta Kebaktian Pelayanan Perempuan</v>
          </cell>
          <cell r="E1499" t="str">
            <v>I.2.2.02.029</v>
          </cell>
          <cell r="F1499">
            <v>1068000</v>
          </cell>
        </row>
        <row r="1500">
          <cell r="A1500" t="str">
            <v>I.2.2.02.02010</v>
          </cell>
          <cell r="B1500">
            <v>441</v>
          </cell>
          <cell r="C1500">
            <v>46108</v>
          </cell>
          <cell r="D1500" t="str">
            <v>Kolekta Kebaktian Unit Bethesda 3</v>
          </cell>
          <cell r="E1500" t="str">
            <v>I.2.2.02.020</v>
          </cell>
          <cell r="F1500">
            <v>134000</v>
          </cell>
        </row>
        <row r="1501">
          <cell r="A1501" t="str">
            <v>I.2.2.02.00113</v>
          </cell>
          <cell r="B1501">
            <v>442</v>
          </cell>
          <cell r="C1501">
            <v>46108</v>
          </cell>
          <cell r="D1501" t="str">
            <v>Kolekta Kebaktian Syukur HUT Kelahiran</v>
          </cell>
          <cell r="E1501" t="str">
            <v>I.2.2.02.001</v>
          </cell>
          <cell r="F1501">
            <v>2410000</v>
          </cell>
        </row>
        <row r="1502">
          <cell r="A1502" t="str">
            <v>I.2.2.02.00213</v>
          </cell>
          <cell r="B1502">
            <v>443</v>
          </cell>
          <cell r="C1502">
            <v>46108</v>
          </cell>
          <cell r="D1502" t="str">
            <v>Kolekta Kebaktian Syukur HUT Perkawinan</v>
          </cell>
          <cell r="E1502" t="str">
            <v>I.2.2.02.002</v>
          </cell>
          <cell r="F1502">
            <v>785000</v>
          </cell>
        </row>
        <row r="1503">
          <cell r="A1503" t="str">
            <v>I.2.2.02.03511</v>
          </cell>
          <cell r="B1503">
            <v>445</v>
          </cell>
          <cell r="C1503">
            <v>46108</v>
          </cell>
          <cell r="D1503" t="str">
            <v>Kolekta Kebaktian pelayanan rumah / Orang Sakit</v>
          </cell>
          <cell r="E1503" t="str">
            <v>I.2.2.02.035</v>
          </cell>
          <cell r="F1503">
            <v>146000</v>
          </cell>
        </row>
        <row r="1504">
          <cell r="A1504" t="str">
            <v>0</v>
          </cell>
        </row>
        <row r="1505">
          <cell r="A1505" t="str">
            <v>0</v>
          </cell>
        </row>
        <row r="1506">
          <cell r="A1506" t="str">
            <v>0</v>
          </cell>
        </row>
        <row r="1507">
          <cell r="A1507" t="str">
            <v>0</v>
          </cell>
        </row>
        <row r="1508">
          <cell r="A1508" t="str">
            <v>0</v>
          </cell>
        </row>
        <row r="1509">
          <cell r="A1509" t="str">
            <v>0</v>
          </cell>
        </row>
        <row r="1510">
          <cell r="A1510" t="str">
            <v>0</v>
          </cell>
        </row>
        <row r="1511">
          <cell r="A1511" t="str">
            <v>0</v>
          </cell>
        </row>
        <row r="1512">
          <cell r="A1512" t="str">
            <v>0</v>
          </cell>
        </row>
        <row r="1513">
          <cell r="A1513" t="str">
            <v>0</v>
          </cell>
        </row>
        <row r="1514">
          <cell r="A1514" t="str">
            <v>0</v>
          </cell>
        </row>
        <row r="1515">
          <cell r="A1515" t="str">
            <v>0</v>
          </cell>
        </row>
        <row r="1516">
          <cell r="A1516" t="str">
            <v>0</v>
          </cell>
        </row>
        <row r="1517">
          <cell r="A1517" t="str">
            <v>0</v>
          </cell>
        </row>
        <row r="1518">
          <cell r="A1518" t="str">
            <v>0</v>
          </cell>
        </row>
        <row r="1519">
          <cell r="A1519" t="str">
            <v>0</v>
          </cell>
        </row>
        <row r="1520">
          <cell r="A1520" t="str">
            <v>0</v>
          </cell>
        </row>
        <row r="1521">
          <cell r="A1521" t="str">
            <v>0</v>
          </cell>
        </row>
        <row r="1522">
          <cell r="A1522" t="str">
            <v>0</v>
          </cell>
        </row>
        <row r="1524">
          <cell r="C1524" t="str">
            <v>JUMLAH TANGGAL</v>
          </cell>
          <cell r="F1524">
            <v>5462000</v>
          </cell>
          <cell r="G1524">
            <v>0</v>
          </cell>
        </row>
        <row r="1525">
          <cell r="C1525" t="str">
            <v>HARI INI</v>
          </cell>
        </row>
        <row r="1526">
          <cell r="C1526" t="str">
            <v>JUMLAH S/D TANGGAL</v>
          </cell>
          <cell r="F1526">
            <v>452832152</v>
          </cell>
          <cell r="G1526">
            <v>451068936</v>
          </cell>
        </row>
        <row r="1527">
          <cell r="C1527" t="str">
            <v>TOTAL</v>
          </cell>
          <cell r="F1527">
            <v>458294152</v>
          </cell>
          <cell r="G1527">
            <v>451068936</v>
          </cell>
        </row>
        <row r="1529">
          <cell r="C1529" t="str">
            <v>SISA</v>
          </cell>
          <cell r="D1529">
            <v>7225216</v>
          </cell>
        </row>
        <row r="1531">
          <cell r="A1531" t="str">
            <v>KODE BANTU</v>
          </cell>
          <cell r="B1531" t="str">
            <v>NO</v>
          </cell>
          <cell r="C1531" t="str">
            <v>MARET</v>
          </cell>
          <cell r="D1531" t="str">
            <v>URAIAN</v>
          </cell>
          <cell r="E1531" t="str">
            <v>KODE ANGGARAN</v>
          </cell>
          <cell r="F1531" t="str">
            <v>PENERIMAAN</v>
          </cell>
          <cell r="G1531" t="str">
            <v>PENGELUARAN</v>
          </cell>
        </row>
        <row r="1532">
          <cell r="A1532" t="str">
            <v>I.2.2.02.0195</v>
          </cell>
          <cell r="B1532">
            <v>445</v>
          </cell>
          <cell r="C1532">
            <v>46108</v>
          </cell>
          <cell r="D1532" t="str">
            <v>Kolekta Kebaktian Sektor</v>
          </cell>
          <cell r="E1532" t="str">
            <v>I.2.2.02.019</v>
          </cell>
          <cell r="F1532">
            <v>1698000</v>
          </cell>
        </row>
        <row r="1533">
          <cell r="A1533" t="str">
            <v>0</v>
          </cell>
        </row>
        <row r="1534">
          <cell r="A1534" t="str">
            <v>0</v>
          </cell>
        </row>
        <row r="1535">
          <cell r="A1535" t="str">
            <v>0</v>
          </cell>
        </row>
        <row r="1536">
          <cell r="A1536" t="str">
            <v>0</v>
          </cell>
        </row>
        <row r="1537">
          <cell r="A1537" t="str">
            <v>0</v>
          </cell>
        </row>
        <row r="1538">
          <cell r="A1538" t="str">
            <v>0</v>
          </cell>
        </row>
        <row r="1539">
          <cell r="A1539" t="str">
            <v>0</v>
          </cell>
        </row>
        <row r="1540">
          <cell r="A1540" t="str">
            <v>0</v>
          </cell>
        </row>
        <row r="1541">
          <cell r="A1541" t="str">
            <v>0</v>
          </cell>
        </row>
        <row r="1542">
          <cell r="A1542" t="str">
            <v>0</v>
          </cell>
        </row>
        <row r="1543">
          <cell r="A1543" t="str">
            <v>0</v>
          </cell>
        </row>
        <row r="1544">
          <cell r="A1544" t="str">
            <v>0</v>
          </cell>
        </row>
        <row r="1545">
          <cell r="A1545" t="str">
            <v>0</v>
          </cell>
        </row>
        <row r="1546">
          <cell r="A1546" t="str">
            <v>0</v>
          </cell>
        </row>
        <row r="1547">
          <cell r="A1547" t="str">
            <v>0</v>
          </cell>
        </row>
        <row r="1548">
          <cell r="A1548" t="str">
            <v>0</v>
          </cell>
        </row>
        <row r="1549">
          <cell r="A1549" t="str">
            <v>0</v>
          </cell>
        </row>
        <row r="1550">
          <cell r="A1550" t="str">
            <v>0</v>
          </cell>
        </row>
        <row r="1551">
          <cell r="A1551" t="str">
            <v>0</v>
          </cell>
        </row>
        <row r="1552">
          <cell r="A1552" t="str">
            <v>0</v>
          </cell>
        </row>
        <row r="1553">
          <cell r="A1553" t="str">
            <v>0</v>
          </cell>
        </row>
        <row r="1554">
          <cell r="A1554" t="str">
            <v>0</v>
          </cell>
        </row>
        <row r="1555">
          <cell r="A1555" t="str">
            <v>0</v>
          </cell>
        </row>
        <row r="1556">
          <cell r="A1556" t="str">
            <v>0</v>
          </cell>
        </row>
        <row r="1558">
          <cell r="C1558" t="str">
            <v>JUMLAH TANGGAL</v>
          </cell>
          <cell r="F1558">
            <v>1698000</v>
          </cell>
          <cell r="G1558">
            <v>0</v>
          </cell>
        </row>
        <row r="1559">
          <cell r="C1559" t="str">
            <v>HARI INI</v>
          </cell>
        </row>
        <row r="1560">
          <cell r="C1560" t="str">
            <v>JUMLAH S/D TANGGAL</v>
          </cell>
          <cell r="F1560">
            <v>458294152</v>
          </cell>
          <cell r="G1560">
            <v>451068936</v>
          </cell>
        </row>
        <row r="1561">
          <cell r="C1561" t="str">
            <v>TOTAL</v>
          </cell>
          <cell r="F1561">
            <v>459992152</v>
          </cell>
          <cell r="G1561">
            <v>451068936</v>
          </cell>
        </row>
        <row r="1563">
          <cell r="C1563" t="str">
            <v>SISA</v>
          </cell>
          <cell r="D1563">
            <v>8923216</v>
          </cell>
        </row>
        <row r="1565">
          <cell r="A1565" t="str">
            <v>KODE BANTU</v>
          </cell>
          <cell r="B1565" t="str">
            <v>NO</v>
          </cell>
          <cell r="C1565" t="str">
            <v>MARET</v>
          </cell>
          <cell r="D1565" t="str">
            <v>URAIAN</v>
          </cell>
          <cell r="E1565" t="str">
            <v>KODE ANGGARAN</v>
          </cell>
          <cell r="F1565" t="str">
            <v>PENERIMAAN</v>
          </cell>
          <cell r="G1565" t="str">
            <v>PENGELUARAN</v>
          </cell>
        </row>
        <row r="1566">
          <cell r="A1566" t="str">
            <v>I.2.2.01.00113</v>
          </cell>
          <cell r="B1566">
            <v>446</v>
          </cell>
          <cell r="C1566">
            <v>46110</v>
          </cell>
          <cell r="D1566" t="str">
            <v>Kolekta Kebaktian Minggu Gereja Baitrafa dan SK</v>
          </cell>
          <cell r="E1566" t="str">
            <v>I.2.2.01.001</v>
          </cell>
          <cell r="F1566">
            <v>12636000</v>
          </cell>
        </row>
        <row r="1567">
          <cell r="A1567" t="str">
            <v>I.2.3.0119</v>
          </cell>
          <cell r="B1567">
            <v>447</v>
          </cell>
          <cell r="C1567">
            <v>46110</v>
          </cell>
          <cell r="D1567" t="str">
            <v>Persepuluhan Gereja Baitrafa dan SK</v>
          </cell>
          <cell r="E1567" t="str">
            <v>I.2.3.01</v>
          </cell>
          <cell r="F1567">
            <v>5526000</v>
          </cell>
        </row>
        <row r="1568">
          <cell r="A1568" t="str">
            <v>II.2.2.036</v>
          </cell>
          <cell r="B1568">
            <v>448</v>
          </cell>
          <cell r="C1568">
            <v>46110</v>
          </cell>
          <cell r="D1568" t="str">
            <v>Bayar Insentif PHMJ dan MJ bulan maret</v>
          </cell>
          <cell r="E1568" t="str">
            <v>II.2.2.03</v>
          </cell>
          <cell r="G1568">
            <v>17500000</v>
          </cell>
        </row>
        <row r="1569">
          <cell r="A1569" t="str">
            <v>II.5.1.0735</v>
          </cell>
          <cell r="B1569">
            <v>449</v>
          </cell>
          <cell r="C1569">
            <v>46110</v>
          </cell>
          <cell r="D1569" t="str">
            <v>Bayar transport MJ bulan Maret</v>
          </cell>
          <cell r="E1569" t="str">
            <v>II.5.1.07</v>
          </cell>
          <cell r="G1569">
            <v>2450000</v>
          </cell>
        </row>
        <row r="1570">
          <cell r="A1570" t="str">
            <v>II.2.2.053</v>
          </cell>
          <cell r="B1570">
            <v>450</v>
          </cell>
          <cell r="C1570">
            <v>46110</v>
          </cell>
          <cell r="D1570" t="str">
            <v>Bayar Insentif Tuagama bulan Maret</v>
          </cell>
          <cell r="E1570" t="str">
            <v>II.2.2.05</v>
          </cell>
          <cell r="G1570">
            <v>3300000</v>
          </cell>
        </row>
        <row r="1571">
          <cell r="A1571" t="str">
            <v>II.2.2.015</v>
          </cell>
          <cell r="B1571">
            <v>451</v>
          </cell>
          <cell r="C1571">
            <v>46110</v>
          </cell>
          <cell r="D1571" t="str">
            <v>Honor Tenaga Sekretariat bulan maret</v>
          </cell>
          <cell r="E1571" t="str">
            <v>II.2.2.01</v>
          </cell>
          <cell r="G1571">
            <v>2000000</v>
          </cell>
        </row>
        <row r="1572">
          <cell r="A1572" t="str">
            <v>II.5.1.0736</v>
          </cell>
          <cell r="B1572">
            <v>452</v>
          </cell>
          <cell r="C1572">
            <v>46110</v>
          </cell>
          <cell r="D1572" t="str">
            <v>Transport Pelatih Kantoria dan penjaga kebun bulan maret</v>
          </cell>
          <cell r="E1572" t="str">
            <v>II.5.1.07</v>
          </cell>
          <cell r="G1572">
            <v>500000</v>
          </cell>
        </row>
        <row r="1573">
          <cell r="A1573" t="str">
            <v>II.5.1.1014</v>
          </cell>
          <cell r="B1573">
            <v>453</v>
          </cell>
          <cell r="C1573">
            <v>46110</v>
          </cell>
          <cell r="D1573" t="str">
            <v>Beli Bohlam untuk pastori 2 dan Gereja</v>
          </cell>
          <cell r="E1573" t="str">
            <v>II.5.1.10</v>
          </cell>
          <cell r="G1573">
            <v>332000</v>
          </cell>
        </row>
        <row r="1574">
          <cell r="A1574" t="str">
            <v>II.5.1.1015</v>
          </cell>
          <cell r="B1574">
            <v>454</v>
          </cell>
          <cell r="C1574">
            <v>46110</v>
          </cell>
          <cell r="D1574" t="str">
            <v>Belanja Kebutuhan Bulan Tugas April</v>
          </cell>
          <cell r="E1574" t="str">
            <v>II.5.1.10</v>
          </cell>
          <cell r="G1574">
            <v>650000</v>
          </cell>
        </row>
        <row r="1575">
          <cell r="A1575" t="str">
            <v>II.5.1.1016</v>
          </cell>
          <cell r="B1575">
            <v>455</v>
          </cell>
          <cell r="C1575">
            <v>46110</v>
          </cell>
          <cell r="D1575" t="str">
            <v>Beli 1 buah alat pel untuk Gereja Baitrafa</v>
          </cell>
          <cell r="E1575" t="str">
            <v>II.5.1.10</v>
          </cell>
          <cell r="G1575">
            <v>230000</v>
          </cell>
        </row>
        <row r="1576">
          <cell r="A1576" t="str">
            <v>II.2.3.053</v>
          </cell>
          <cell r="B1576">
            <v>456</v>
          </cell>
          <cell r="C1576">
            <v>46110</v>
          </cell>
          <cell r="D1576" t="str">
            <v>Beli air 1 tangki untuk Gereja Sumber Kasih</v>
          </cell>
          <cell r="E1576" t="str">
            <v>II.2.3.05</v>
          </cell>
          <cell r="G1576">
            <v>150000</v>
          </cell>
        </row>
        <row r="1577">
          <cell r="A1577" t="str">
            <v>II.2.5.0316</v>
          </cell>
          <cell r="B1577">
            <v>457</v>
          </cell>
          <cell r="C1577">
            <v>46110</v>
          </cell>
          <cell r="D1577" t="str">
            <v>Biaya Cuci Pakaian Gereja</v>
          </cell>
          <cell r="E1577" t="str">
            <v>II.2.5.03</v>
          </cell>
          <cell r="G1577">
            <v>300000</v>
          </cell>
        </row>
        <row r="1578">
          <cell r="A1578" t="str">
            <v>II.5.1.0737</v>
          </cell>
          <cell r="B1578">
            <v>458</v>
          </cell>
          <cell r="C1578">
            <v>46110</v>
          </cell>
          <cell r="D1578" t="str">
            <v>Biaya sewa tenda untuk kebaktian peneguhan sidi</v>
          </cell>
          <cell r="E1578" t="str">
            <v>II.5.1.07</v>
          </cell>
          <cell r="G1578">
            <v>1000000</v>
          </cell>
        </row>
        <row r="1579">
          <cell r="A1579" t="str">
            <v>II.5.1.0738</v>
          </cell>
          <cell r="B1579">
            <v>459</v>
          </cell>
          <cell r="C1579">
            <v>46110</v>
          </cell>
          <cell r="D1579" t="str">
            <v>Biaya sewa 2 mobil untuk pelayanan sidi</v>
          </cell>
          <cell r="E1579" t="str">
            <v>II.5.1.07</v>
          </cell>
          <cell r="G1579">
            <v>600000</v>
          </cell>
        </row>
        <row r="1580">
          <cell r="A1580" t="str">
            <v>II.5.1.0113</v>
          </cell>
          <cell r="B1580">
            <v>460</v>
          </cell>
          <cell r="C1580">
            <v>46110</v>
          </cell>
          <cell r="D1580" t="str">
            <v>Sumbangan pelayanan sidi baru 9 anak</v>
          </cell>
          <cell r="E1580" t="str">
            <v>II.5.1.01</v>
          </cell>
          <cell r="G1580">
            <v>1800000</v>
          </cell>
        </row>
        <row r="1581">
          <cell r="A1581" t="str">
            <v>II.5.1.0739</v>
          </cell>
          <cell r="B1581">
            <v>461</v>
          </cell>
          <cell r="C1581">
            <v>46110</v>
          </cell>
          <cell r="D1581" t="str">
            <v>Biaya Snack Kebaktian Minggu</v>
          </cell>
          <cell r="E1581" t="str">
            <v>II.5.1.07</v>
          </cell>
          <cell r="G1581">
            <v>250000</v>
          </cell>
        </row>
        <row r="1582">
          <cell r="A1582" t="str">
            <v>I.2.2.02.0401</v>
          </cell>
          <cell r="B1582">
            <v>462</v>
          </cell>
          <cell r="C1582">
            <v>46110</v>
          </cell>
          <cell r="D1582" t="str">
            <v>Persembahan Sampul anak sidi baru</v>
          </cell>
          <cell r="E1582" t="str">
            <v>I.2.2.02.040</v>
          </cell>
          <cell r="F1582">
            <v>1174000</v>
          </cell>
        </row>
        <row r="1583">
          <cell r="A1583" t="str">
            <v>0</v>
          </cell>
        </row>
        <row r="1584">
          <cell r="A1584" t="str">
            <v>0</v>
          </cell>
        </row>
        <row r="1585">
          <cell r="A1585" t="str">
            <v>0</v>
          </cell>
        </row>
        <row r="1586">
          <cell r="A1586" t="str">
            <v>0</v>
          </cell>
        </row>
        <row r="1587">
          <cell r="A1587" t="str">
            <v>0</v>
          </cell>
        </row>
        <row r="1588">
          <cell r="A1588" t="str">
            <v>0</v>
          </cell>
        </row>
        <row r="1589">
          <cell r="A1589" t="str">
            <v>0</v>
          </cell>
        </row>
        <row r="1590">
          <cell r="A1590" t="str">
            <v>0</v>
          </cell>
        </row>
        <row r="1592">
          <cell r="C1592" t="str">
            <v>JUMLAH TANGGAL</v>
          </cell>
          <cell r="F1592">
            <v>19336000</v>
          </cell>
          <cell r="G1592">
            <v>31062000</v>
          </cell>
        </row>
        <row r="1593">
          <cell r="C1593" t="str">
            <v>HARI INI</v>
          </cell>
        </row>
        <row r="1594">
          <cell r="C1594" t="str">
            <v>JUMLAH S/D TANGGAL</v>
          </cell>
          <cell r="F1594">
            <v>459992152</v>
          </cell>
          <cell r="G1594">
            <v>451068936</v>
          </cell>
        </row>
        <row r="1595">
          <cell r="C1595" t="str">
            <v>TOTAL</v>
          </cell>
          <cell r="F1595">
            <v>479328152</v>
          </cell>
          <cell r="G1595">
            <v>482130936</v>
          </cell>
        </row>
        <row r="1597">
          <cell r="C1597" t="str">
            <v>SISA</v>
          </cell>
          <cell r="D1597">
            <v>-2802784</v>
          </cell>
        </row>
        <row r="1599">
          <cell r="A1599" t="str">
            <v>KODE BANTU</v>
          </cell>
          <cell r="B1599" t="str">
            <v>NO</v>
          </cell>
          <cell r="C1599" t="str">
            <v>MARET</v>
          </cell>
          <cell r="D1599" t="str">
            <v>URAIAN</v>
          </cell>
          <cell r="E1599" t="str">
            <v>KODE ANGGARAN</v>
          </cell>
          <cell r="F1599" t="str">
            <v>PENERIMAAN</v>
          </cell>
          <cell r="G1599" t="str">
            <v>PENGELUARAN</v>
          </cell>
        </row>
        <row r="1600">
          <cell r="A1600" t="str">
            <v>0</v>
          </cell>
        </row>
        <row r="1601">
          <cell r="A1601" t="str">
            <v>0</v>
          </cell>
        </row>
        <row r="1602">
          <cell r="A1602" t="str">
            <v>0</v>
          </cell>
        </row>
        <row r="1603">
          <cell r="A1603" t="str">
            <v>0</v>
          </cell>
        </row>
        <row r="1604">
          <cell r="A1604" t="str">
            <v>0</v>
          </cell>
        </row>
        <row r="1605">
          <cell r="A1605" t="str">
            <v>0</v>
          </cell>
        </row>
        <row r="1606">
          <cell r="A1606" t="str">
            <v>0</v>
          </cell>
        </row>
        <row r="1607">
          <cell r="A1607" t="str">
            <v>0</v>
          </cell>
        </row>
        <row r="1608">
          <cell r="A1608" t="str">
            <v>0</v>
          </cell>
        </row>
        <row r="1609">
          <cell r="A1609" t="str">
            <v>0</v>
          </cell>
        </row>
        <row r="1610">
          <cell r="A1610" t="str">
            <v>0</v>
          </cell>
        </row>
        <row r="1611">
          <cell r="A1611" t="str">
            <v>0</v>
          </cell>
        </row>
        <row r="1612">
          <cell r="A1612" t="str">
            <v>0</v>
          </cell>
        </row>
        <row r="1613">
          <cell r="A1613" t="str">
            <v>0</v>
          </cell>
        </row>
        <row r="1614">
          <cell r="A1614" t="str">
            <v>0</v>
          </cell>
        </row>
        <row r="1615">
          <cell r="A1615" t="str">
            <v>0</v>
          </cell>
        </row>
        <row r="1616">
          <cell r="A1616" t="str">
            <v>0</v>
          </cell>
        </row>
        <row r="1617">
          <cell r="A1617" t="str">
            <v>0</v>
          </cell>
        </row>
        <row r="1618">
          <cell r="A1618" t="str">
            <v>0</v>
          </cell>
        </row>
        <row r="1619">
          <cell r="A1619" t="str">
            <v>0</v>
          </cell>
        </row>
        <row r="1620">
          <cell r="A1620" t="str">
            <v>0</v>
          </cell>
        </row>
        <row r="1621">
          <cell r="A1621" t="str">
            <v>0</v>
          </cell>
        </row>
        <row r="1622">
          <cell r="A1622" t="str">
            <v>0</v>
          </cell>
        </row>
        <row r="1623">
          <cell r="A1623" t="str">
            <v>0</v>
          </cell>
        </row>
        <row r="1624">
          <cell r="A1624" t="str">
            <v>0</v>
          </cell>
        </row>
        <row r="1626">
          <cell r="C1626" t="str">
            <v>JUMLAH TANGGAL</v>
          </cell>
          <cell r="F1626">
            <v>0</v>
          </cell>
          <cell r="G1626">
            <v>0</v>
          </cell>
        </row>
        <row r="1627">
          <cell r="C1627" t="str">
            <v>HARI INI</v>
          </cell>
        </row>
        <row r="1628">
          <cell r="C1628" t="str">
            <v>JUMLAH S/D TANGGAL</v>
          </cell>
          <cell r="F1628">
            <v>479328152</v>
          </cell>
          <cell r="G1628">
            <v>482130936</v>
          </cell>
        </row>
        <row r="1629">
          <cell r="C1629" t="str">
            <v>TOTAL</v>
          </cell>
          <cell r="F1629">
            <v>479328152</v>
          </cell>
          <cell r="G1629">
            <v>482130936</v>
          </cell>
        </row>
        <row r="1631">
          <cell r="C1631" t="str">
            <v>SISA</v>
          </cell>
          <cell r="D1631">
            <v>-2802784</v>
          </cell>
        </row>
        <row r="1633">
          <cell r="A1633" t="str">
            <v>KODE BANTU</v>
          </cell>
          <cell r="B1633" t="str">
            <v>NO</v>
          </cell>
          <cell r="C1633" t="str">
            <v>MARET</v>
          </cell>
          <cell r="D1633" t="str">
            <v>URAIAN</v>
          </cell>
          <cell r="E1633" t="str">
            <v>KODE ANGGARAN</v>
          </cell>
          <cell r="F1633" t="str">
            <v>PENERIMAAN</v>
          </cell>
          <cell r="G1633" t="str">
            <v>PENGELUARAN</v>
          </cell>
        </row>
        <row r="1634">
          <cell r="A1634" t="str">
            <v>0</v>
          </cell>
        </row>
        <row r="1635">
          <cell r="A1635" t="str">
            <v>0</v>
          </cell>
        </row>
        <row r="1636">
          <cell r="A1636" t="str">
            <v>0</v>
          </cell>
        </row>
        <row r="1637">
          <cell r="A1637" t="str">
            <v>0</v>
          </cell>
        </row>
        <row r="1638">
          <cell r="A1638" t="str">
            <v>0</v>
          </cell>
        </row>
        <row r="1639">
          <cell r="A1639" t="str">
            <v>0</v>
          </cell>
        </row>
        <row r="1640">
          <cell r="A1640" t="str">
            <v>0</v>
          </cell>
        </row>
        <row r="1641">
          <cell r="A1641" t="str">
            <v>0</v>
          </cell>
        </row>
        <row r="1642">
          <cell r="A1642" t="str">
            <v>0</v>
          </cell>
        </row>
        <row r="1643">
          <cell r="A1643" t="str">
            <v>0</v>
          </cell>
        </row>
        <row r="1644">
          <cell r="A1644" t="str">
            <v>0</v>
          </cell>
        </row>
        <row r="1645">
          <cell r="A1645" t="str">
            <v>0</v>
          </cell>
        </row>
        <row r="1646">
          <cell r="A1646" t="str">
            <v>0</v>
          </cell>
        </row>
        <row r="1647">
          <cell r="A1647" t="str">
            <v>0</v>
          </cell>
        </row>
        <row r="1648">
          <cell r="A1648" t="str">
            <v>0</v>
          </cell>
        </row>
        <row r="1649">
          <cell r="A1649" t="str">
            <v>0</v>
          </cell>
        </row>
        <row r="1650">
          <cell r="A1650" t="str">
            <v>0</v>
          </cell>
        </row>
        <row r="1651">
          <cell r="A1651" t="str">
            <v>0</v>
          </cell>
        </row>
        <row r="1652">
          <cell r="A1652" t="str">
            <v>0</v>
          </cell>
        </row>
        <row r="1653">
          <cell r="A1653" t="str">
            <v>0</v>
          </cell>
        </row>
        <row r="1654">
          <cell r="A1654" t="str">
            <v>0</v>
          </cell>
        </row>
        <row r="1655">
          <cell r="A1655" t="str">
            <v>0</v>
          </cell>
        </row>
        <row r="1656">
          <cell r="A1656" t="str">
            <v>0</v>
          </cell>
        </row>
        <row r="1657">
          <cell r="A1657" t="str">
            <v>0</v>
          </cell>
        </row>
        <row r="1658">
          <cell r="A1658" t="str">
            <v>0</v>
          </cell>
        </row>
        <row r="1660">
          <cell r="C1660" t="str">
            <v>JUMLAH TANGGAL</v>
          </cell>
          <cell r="F1660">
            <v>0</v>
          </cell>
          <cell r="G1660">
            <v>0</v>
          </cell>
        </row>
        <row r="1661">
          <cell r="C1661" t="str">
            <v>HARI INI</v>
          </cell>
        </row>
        <row r="1662">
          <cell r="C1662" t="str">
            <v>JUMLAH S/D TANGGAL</v>
          </cell>
          <cell r="F1662">
            <v>479328152</v>
          </cell>
          <cell r="G1662">
            <v>482130936</v>
          </cell>
        </row>
        <row r="1663">
          <cell r="C1663" t="str">
            <v>TOTAL</v>
          </cell>
          <cell r="F1663">
            <v>479328152</v>
          </cell>
          <cell r="G1663">
            <v>482130936</v>
          </cell>
        </row>
        <row r="1665">
          <cell r="C1665" t="str">
            <v>SISA</v>
          </cell>
          <cell r="D1665">
            <v>-2802784</v>
          </cell>
        </row>
        <row r="1667">
          <cell r="A1667" t="str">
            <v>KODE BANTU</v>
          </cell>
          <cell r="B1667" t="str">
            <v>NO</v>
          </cell>
          <cell r="C1667" t="str">
            <v>MARET</v>
          </cell>
          <cell r="D1667" t="str">
            <v>URAIAN</v>
          </cell>
          <cell r="E1667" t="str">
            <v>KODE ANGGARAN</v>
          </cell>
          <cell r="F1667" t="str">
            <v>PENERIMAAN</v>
          </cell>
          <cell r="G1667" t="str">
            <v>PENGELUARAN</v>
          </cell>
        </row>
        <row r="1668">
          <cell r="A1668" t="str">
            <v>0</v>
          </cell>
        </row>
        <row r="1669">
          <cell r="A1669" t="str">
            <v>0</v>
          </cell>
        </row>
        <row r="1670">
          <cell r="A1670" t="str">
            <v>0</v>
          </cell>
        </row>
        <row r="1671">
          <cell r="A1671" t="str">
            <v>0</v>
          </cell>
        </row>
        <row r="1672">
          <cell r="A1672" t="str">
            <v>0</v>
          </cell>
        </row>
        <row r="1673">
          <cell r="A1673" t="str">
            <v>0</v>
          </cell>
        </row>
        <row r="1674">
          <cell r="A1674" t="str">
            <v>0</v>
          </cell>
        </row>
        <row r="1675">
          <cell r="A1675" t="str">
            <v>0</v>
          </cell>
        </row>
        <row r="1676">
          <cell r="A1676" t="str">
            <v>0</v>
          </cell>
        </row>
        <row r="1677">
          <cell r="A1677" t="str">
            <v>0</v>
          </cell>
        </row>
        <row r="1678">
          <cell r="A1678" t="str">
            <v>0</v>
          </cell>
        </row>
        <row r="1679">
          <cell r="A1679" t="str">
            <v>0</v>
          </cell>
        </row>
        <row r="1680">
          <cell r="A1680" t="str">
            <v>0</v>
          </cell>
        </row>
        <row r="1681">
          <cell r="A1681" t="str">
            <v>0</v>
          </cell>
        </row>
        <row r="1682">
          <cell r="A1682" t="str">
            <v>0</v>
          </cell>
        </row>
        <row r="1683">
          <cell r="A1683" t="str">
            <v>0</v>
          </cell>
        </row>
        <row r="1684">
          <cell r="A1684" t="str">
            <v>0</v>
          </cell>
        </row>
        <row r="1685">
          <cell r="A1685" t="str">
            <v>0</v>
          </cell>
        </row>
        <row r="1686">
          <cell r="A1686" t="str">
            <v>0</v>
          </cell>
        </row>
        <row r="1687">
          <cell r="A1687" t="str">
            <v>0</v>
          </cell>
        </row>
        <row r="1688">
          <cell r="A1688" t="str">
            <v>0</v>
          </cell>
        </row>
        <row r="1689">
          <cell r="A1689" t="str">
            <v>0</v>
          </cell>
        </row>
        <row r="1690">
          <cell r="A1690" t="str">
            <v>0</v>
          </cell>
        </row>
        <row r="1691">
          <cell r="A1691" t="str">
            <v>0</v>
          </cell>
        </row>
        <row r="1692">
          <cell r="A1692" t="str">
            <v>0</v>
          </cell>
        </row>
        <row r="1694">
          <cell r="C1694" t="str">
            <v>JUMLAH TANGGAL</v>
          </cell>
          <cell r="F1694">
            <v>0</v>
          </cell>
          <cell r="G1694">
            <v>0</v>
          </cell>
        </row>
        <row r="1695">
          <cell r="C1695" t="str">
            <v>HARI INI</v>
          </cell>
        </row>
        <row r="1696">
          <cell r="C1696" t="str">
            <v>JUMLAH S/D TANGGAL</v>
          </cell>
          <cell r="F1696">
            <v>479328152</v>
          </cell>
          <cell r="G1696">
            <v>482130936</v>
          </cell>
        </row>
        <row r="1697">
          <cell r="C1697" t="str">
            <v>TOTAL</v>
          </cell>
          <cell r="F1697">
            <v>479328152</v>
          </cell>
          <cell r="G1697">
            <v>482130936</v>
          </cell>
        </row>
        <row r="1699">
          <cell r="C1699" t="str">
            <v>SISA</v>
          </cell>
          <cell r="D1699">
            <v>-2802784</v>
          </cell>
        </row>
        <row r="1701">
          <cell r="A1701" t="str">
            <v>KODE BANTU</v>
          </cell>
          <cell r="B1701" t="str">
            <v>NO</v>
          </cell>
          <cell r="C1701" t="str">
            <v>APRIL</v>
          </cell>
          <cell r="D1701" t="str">
            <v>URAIAN</v>
          </cell>
          <cell r="E1701" t="str">
            <v>KODE ANGGARAN</v>
          </cell>
          <cell r="F1701" t="str">
            <v>PENERIMAAN</v>
          </cell>
          <cell r="G1701" t="str">
            <v>PENGELUARAN</v>
          </cell>
        </row>
        <row r="1702">
          <cell r="A1702" t="str">
            <v>I.2.2.02.0431</v>
          </cell>
          <cell r="B1702">
            <v>462</v>
          </cell>
          <cell r="C1702">
            <v>46115</v>
          </cell>
          <cell r="E1702" t="str">
            <v>I.2.2.02.043</v>
          </cell>
          <cell r="F1702">
            <v>11383000</v>
          </cell>
        </row>
        <row r="1703">
          <cell r="A1703" t="str">
            <v>I.2.3.0120</v>
          </cell>
          <cell r="B1703">
            <v>463</v>
          </cell>
          <cell r="C1703">
            <v>46115</v>
          </cell>
          <cell r="E1703" t="str">
            <v>I.2.3.01</v>
          </cell>
          <cell r="F1703">
            <v>1390500</v>
          </cell>
        </row>
        <row r="1704">
          <cell r="A1704" t="str">
            <v>I.2.2.02.0432</v>
          </cell>
          <cell r="B1704">
            <v>464</v>
          </cell>
          <cell r="C1704">
            <v>46115</v>
          </cell>
          <cell r="E1704" t="str">
            <v>I.2.2.02.043</v>
          </cell>
          <cell r="F1704">
            <v>13890000</v>
          </cell>
        </row>
        <row r="1705">
          <cell r="A1705" t="str">
            <v>I.2.2.02.0441</v>
          </cell>
          <cell r="B1705">
            <v>465</v>
          </cell>
          <cell r="C1705">
            <v>46115</v>
          </cell>
          <cell r="E1705" t="str">
            <v>I.2.2.02.044</v>
          </cell>
          <cell r="F1705">
            <v>7473000</v>
          </cell>
        </row>
        <row r="1706">
          <cell r="A1706" t="str">
            <v>II.5.1.081</v>
          </cell>
          <cell r="B1706">
            <v>466</v>
          </cell>
          <cell r="C1706">
            <v>46115</v>
          </cell>
          <cell r="E1706" t="str">
            <v>II.5.1.08</v>
          </cell>
          <cell r="G1706">
            <v>200000</v>
          </cell>
        </row>
        <row r="1707">
          <cell r="A1707" t="str">
            <v>II.5.1.0740</v>
          </cell>
          <cell r="B1707">
            <v>467</v>
          </cell>
          <cell r="C1707">
            <v>46115</v>
          </cell>
          <cell r="E1707" t="str">
            <v>II.5.1.07</v>
          </cell>
          <cell r="G1707">
            <v>7950000</v>
          </cell>
        </row>
        <row r="1708">
          <cell r="A1708" t="str">
            <v>II.5.1.0612</v>
          </cell>
          <cell r="B1708">
            <v>468</v>
          </cell>
          <cell r="C1708">
            <v>46115</v>
          </cell>
          <cell r="E1708" t="str">
            <v>II.5.1.06</v>
          </cell>
          <cell r="G1708">
            <v>500000</v>
          </cell>
        </row>
        <row r="1709">
          <cell r="A1709" t="str">
            <v>I.5.1.0416</v>
          </cell>
          <cell r="B1709">
            <v>469</v>
          </cell>
          <cell r="C1709">
            <v>46115</v>
          </cell>
          <cell r="E1709" t="str">
            <v>I.5.1.04</v>
          </cell>
          <cell r="F1709">
            <v>500000</v>
          </cell>
        </row>
        <row r="1710">
          <cell r="A1710" t="str">
            <v>I.2.2.02.06317</v>
          </cell>
          <cell r="B1710">
            <v>470</v>
          </cell>
          <cell r="C1710">
            <v>46115</v>
          </cell>
          <cell r="E1710" t="str">
            <v>I.2.2.02.063</v>
          </cell>
          <cell r="F1710">
            <v>475000</v>
          </cell>
        </row>
        <row r="1711">
          <cell r="A1711" t="str">
            <v>I.2.2.02.0391</v>
          </cell>
          <cell r="B1711">
            <v>471</v>
          </cell>
          <cell r="C1711">
            <v>46115</v>
          </cell>
          <cell r="D1711" t="str">
            <v>Kolekta syukur Sidi anak James Hatumena</v>
          </cell>
          <cell r="E1711" t="str">
            <v>I.2.2.02.039</v>
          </cell>
          <cell r="F1711">
            <v>100000</v>
          </cell>
        </row>
        <row r="1712">
          <cell r="A1712" t="str">
            <v>I.2.4.019</v>
          </cell>
          <cell r="B1712">
            <v>472</v>
          </cell>
          <cell r="C1712">
            <v>46115</v>
          </cell>
          <cell r="E1712" t="str">
            <v>I.2.4.01</v>
          </cell>
          <cell r="F1712">
            <v>100000</v>
          </cell>
        </row>
        <row r="1713">
          <cell r="A1713" t="str">
            <v>0</v>
          </cell>
        </row>
        <row r="1714">
          <cell r="A1714" t="str">
            <v>0</v>
          </cell>
        </row>
        <row r="1715">
          <cell r="A1715" t="str">
            <v>0</v>
          </cell>
        </row>
        <row r="1716">
          <cell r="A1716" t="str">
            <v>0</v>
          </cell>
        </row>
        <row r="1717">
          <cell r="A1717" t="str">
            <v>0</v>
          </cell>
        </row>
        <row r="1718">
          <cell r="A1718" t="str">
            <v>0</v>
          </cell>
        </row>
        <row r="1719">
          <cell r="A1719" t="str">
            <v>0</v>
          </cell>
        </row>
        <row r="1720">
          <cell r="A1720" t="str">
            <v>0</v>
          </cell>
        </row>
        <row r="1721">
          <cell r="A1721" t="str">
            <v>0</v>
          </cell>
        </row>
        <row r="1722">
          <cell r="A1722" t="str">
            <v>0</v>
          </cell>
        </row>
        <row r="1723">
          <cell r="A1723" t="str">
            <v>0</v>
          </cell>
        </row>
        <row r="1724">
          <cell r="A1724" t="str">
            <v>0</v>
          </cell>
        </row>
        <row r="1725">
          <cell r="A1725" t="str">
            <v>0</v>
          </cell>
        </row>
        <row r="1726">
          <cell r="A1726" t="str">
            <v>0</v>
          </cell>
        </row>
        <row r="1728">
          <cell r="C1728" t="str">
            <v>JUMLAH TANGGAL</v>
          </cell>
          <cell r="F1728">
            <v>35311500</v>
          </cell>
          <cell r="G1728">
            <v>8650000</v>
          </cell>
        </row>
        <row r="1729">
          <cell r="C1729" t="str">
            <v>HARI INI</v>
          </cell>
        </row>
        <row r="1730">
          <cell r="C1730" t="str">
            <v>JUMLAH S/D TANGGAL</v>
          </cell>
          <cell r="F1730">
            <v>479328152</v>
          </cell>
          <cell r="G1730">
            <v>482130936</v>
          </cell>
        </row>
        <row r="1731">
          <cell r="C1731" t="str">
            <v>TOTAL</v>
          </cell>
          <cell r="F1731">
            <v>514639652</v>
          </cell>
          <cell r="G1731">
            <v>490780936</v>
          </cell>
        </row>
        <row r="1733">
          <cell r="C1733" t="str">
            <v>SISA</v>
          </cell>
          <cell r="D1733">
            <v>23858716</v>
          </cell>
        </row>
        <row r="1735">
          <cell r="A1735" t="str">
            <v>KODE BANTU</v>
          </cell>
          <cell r="B1735" t="str">
            <v>NO</v>
          </cell>
          <cell r="C1735" t="str">
            <v>APRIL</v>
          </cell>
          <cell r="D1735" t="str">
            <v>URAIAN</v>
          </cell>
          <cell r="E1735" t="str">
            <v>KODE ANGGARAN</v>
          </cell>
          <cell r="F1735" t="str">
            <v>PENERIMAAN</v>
          </cell>
          <cell r="G1735" t="str">
            <v>PENGELUARAN</v>
          </cell>
        </row>
        <row r="1736">
          <cell r="A1736" t="str">
            <v>0</v>
          </cell>
        </row>
        <row r="1737">
          <cell r="A1737" t="str">
            <v>0</v>
          </cell>
        </row>
        <row r="1738">
          <cell r="A1738" t="str">
            <v>0</v>
          </cell>
        </row>
        <row r="1739">
          <cell r="A1739" t="str">
            <v>0</v>
          </cell>
        </row>
        <row r="1740">
          <cell r="A1740" t="str">
            <v>0</v>
          </cell>
        </row>
        <row r="1741">
          <cell r="A1741" t="str">
            <v>0</v>
          </cell>
        </row>
        <row r="1742">
          <cell r="A1742" t="str">
            <v>0</v>
          </cell>
        </row>
        <row r="1743">
          <cell r="A1743" t="str">
            <v>0</v>
          </cell>
        </row>
        <row r="1744">
          <cell r="A1744" t="str">
            <v>0</v>
          </cell>
        </row>
        <row r="1745">
          <cell r="A1745" t="str">
            <v>0</v>
          </cell>
        </row>
        <row r="1746">
          <cell r="A1746" t="str">
            <v>0</v>
          </cell>
        </row>
        <row r="1747">
          <cell r="A1747" t="str">
            <v>0</v>
          </cell>
        </row>
        <row r="1748">
          <cell r="A1748" t="str">
            <v>0</v>
          </cell>
        </row>
        <row r="1749">
          <cell r="A1749" t="str">
            <v>0</v>
          </cell>
        </row>
        <row r="1750">
          <cell r="A1750" t="str">
            <v>0</v>
          </cell>
        </row>
        <row r="1751">
          <cell r="A1751" t="str">
            <v>0</v>
          </cell>
        </row>
        <row r="1752">
          <cell r="A1752" t="str">
            <v>0</v>
          </cell>
        </row>
        <row r="1753">
          <cell r="A1753" t="str">
            <v>0</v>
          </cell>
        </row>
        <row r="1754">
          <cell r="A1754" t="str">
            <v>0</v>
          </cell>
        </row>
        <row r="1755">
          <cell r="A1755" t="str">
            <v>0</v>
          </cell>
        </row>
        <row r="1756">
          <cell r="A1756" t="str">
            <v>0</v>
          </cell>
        </row>
        <row r="1757">
          <cell r="A1757" t="str">
            <v>0</v>
          </cell>
        </row>
        <row r="1758">
          <cell r="A1758" t="str">
            <v>0</v>
          </cell>
        </row>
        <row r="1759">
          <cell r="A1759" t="str">
            <v>0</v>
          </cell>
        </row>
        <row r="1760">
          <cell r="A1760" t="str">
            <v>0</v>
          </cell>
        </row>
        <row r="1762">
          <cell r="C1762" t="str">
            <v>JUMLAH TANGGAL</v>
          </cell>
          <cell r="F1762">
            <v>0</v>
          </cell>
          <cell r="G1762">
            <v>0</v>
          </cell>
        </row>
        <row r="1763">
          <cell r="C1763" t="str">
            <v>HARI INI</v>
          </cell>
        </row>
        <row r="1764">
          <cell r="C1764" t="str">
            <v>JUMLAH S/D TANGGAL</v>
          </cell>
          <cell r="F1764">
            <v>514639652</v>
          </cell>
          <cell r="G1764">
            <v>490780936</v>
          </cell>
        </row>
        <row r="1765">
          <cell r="C1765" t="str">
            <v>TOTAL</v>
          </cell>
          <cell r="F1765">
            <v>514639652</v>
          </cell>
          <cell r="G1765">
            <v>490780936</v>
          </cell>
        </row>
        <row r="1767">
          <cell r="C1767" t="str">
            <v>SISA</v>
          </cell>
          <cell r="D1767">
            <v>23858716</v>
          </cell>
        </row>
        <row r="1769">
          <cell r="A1769" t="str">
            <v>KODE BANTU</v>
          </cell>
          <cell r="B1769" t="str">
            <v>NO</v>
          </cell>
          <cell r="C1769" t="str">
            <v>APRIL</v>
          </cell>
          <cell r="D1769" t="str">
            <v>URAIAN</v>
          </cell>
          <cell r="E1769" t="str">
            <v>KODE ANGGARAN</v>
          </cell>
          <cell r="F1769" t="str">
            <v>PENERIMAAN</v>
          </cell>
          <cell r="G1769" t="str">
            <v>PENGELUARAN</v>
          </cell>
        </row>
        <row r="1770">
          <cell r="A1770" t="str">
            <v>0</v>
          </cell>
        </row>
        <row r="1771">
          <cell r="A1771" t="str">
            <v>0</v>
          </cell>
        </row>
        <row r="1772">
          <cell r="A1772" t="str">
            <v>0</v>
          </cell>
        </row>
        <row r="1773">
          <cell r="A1773" t="str">
            <v>0</v>
          </cell>
        </row>
        <row r="1774">
          <cell r="A1774" t="str">
            <v>0</v>
          </cell>
        </row>
        <row r="1775">
          <cell r="A1775" t="str">
            <v>0</v>
          </cell>
        </row>
        <row r="1776">
          <cell r="A1776" t="str">
            <v>0</v>
          </cell>
        </row>
        <row r="1777">
          <cell r="A1777" t="str">
            <v>0</v>
          </cell>
        </row>
        <row r="1778">
          <cell r="A1778" t="str">
            <v>0</v>
          </cell>
        </row>
        <row r="1779">
          <cell r="A1779" t="str">
            <v>0</v>
          </cell>
        </row>
        <row r="1780">
          <cell r="A1780" t="str">
            <v>0</v>
          </cell>
        </row>
        <row r="1781">
          <cell r="A1781" t="str">
            <v>0</v>
          </cell>
        </row>
        <row r="1782">
          <cell r="A1782" t="str">
            <v>0</v>
          </cell>
        </row>
        <row r="1783">
          <cell r="A1783" t="str">
            <v>0</v>
          </cell>
        </row>
        <row r="1784">
          <cell r="A1784" t="str">
            <v>0</v>
          </cell>
        </row>
        <row r="1785">
          <cell r="A1785" t="str">
            <v>0</v>
          </cell>
        </row>
        <row r="1786">
          <cell r="A1786" t="str">
            <v>0</v>
          </cell>
        </row>
        <row r="1787">
          <cell r="A1787" t="str">
            <v>0</v>
          </cell>
        </row>
        <row r="1788">
          <cell r="A1788" t="str">
            <v>0</v>
          </cell>
        </row>
        <row r="1789">
          <cell r="A1789" t="str">
            <v>0</v>
          </cell>
        </row>
        <row r="1790">
          <cell r="A1790" t="str">
            <v>0</v>
          </cell>
        </row>
        <row r="1791">
          <cell r="A1791" t="str">
            <v>0</v>
          </cell>
        </row>
        <row r="1792">
          <cell r="A1792" t="str">
            <v>0</v>
          </cell>
        </row>
        <row r="1793">
          <cell r="A1793" t="str">
            <v>0</v>
          </cell>
        </row>
        <row r="1794">
          <cell r="A1794" t="str">
            <v>0</v>
          </cell>
        </row>
        <row r="1796">
          <cell r="C1796" t="str">
            <v>JUMLAH TANGGAL</v>
          </cell>
          <cell r="F1796">
            <v>0</v>
          </cell>
          <cell r="G1796">
            <v>0</v>
          </cell>
        </row>
        <row r="1797">
          <cell r="C1797" t="str">
            <v>HARI INI</v>
          </cell>
        </row>
        <row r="1798">
          <cell r="C1798" t="str">
            <v>JUMLAH S/D TANGGAL</v>
          </cell>
          <cell r="F1798">
            <v>514639652</v>
          </cell>
          <cell r="G1798">
            <v>490780936</v>
          </cell>
        </row>
        <row r="1799">
          <cell r="C1799" t="str">
            <v>TOTAL</v>
          </cell>
          <cell r="F1799">
            <v>514639652</v>
          </cell>
          <cell r="G1799">
            <v>490780936</v>
          </cell>
        </row>
        <row r="1801">
          <cell r="C1801" t="str">
            <v>SISA</v>
          </cell>
          <cell r="D1801">
            <v>23858716</v>
          </cell>
        </row>
        <row r="1803">
          <cell r="A1803" t="str">
            <v>KODE BANTU</v>
          </cell>
          <cell r="B1803" t="str">
            <v>NO</v>
          </cell>
          <cell r="C1803" t="str">
            <v>APRIL</v>
          </cell>
          <cell r="D1803" t="str">
            <v>URAIAN</v>
          </cell>
          <cell r="E1803" t="str">
            <v>KODE ANGGARAN</v>
          </cell>
          <cell r="F1803" t="str">
            <v>PENERIMAAN</v>
          </cell>
          <cell r="G1803" t="str">
            <v>PENGELUARAN</v>
          </cell>
        </row>
        <row r="1804">
          <cell r="A1804" t="str">
            <v>0</v>
          </cell>
        </row>
        <row r="1805">
          <cell r="A1805" t="str">
            <v>0</v>
          </cell>
        </row>
        <row r="1806">
          <cell r="A1806" t="str">
            <v>0</v>
          </cell>
        </row>
        <row r="1807">
          <cell r="A1807" t="str">
            <v>0</v>
          </cell>
        </row>
        <row r="1808">
          <cell r="A1808" t="str">
            <v>0</v>
          </cell>
        </row>
        <row r="1809">
          <cell r="A1809" t="str">
            <v>0</v>
          </cell>
        </row>
        <row r="1810">
          <cell r="A1810" t="str">
            <v>0</v>
          </cell>
        </row>
        <row r="1811">
          <cell r="A1811" t="str">
            <v>0</v>
          </cell>
        </row>
        <row r="1812">
          <cell r="A1812" t="str">
            <v>0</v>
          </cell>
        </row>
        <row r="1813">
          <cell r="A1813" t="str">
            <v>0</v>
          </cell>
        </row>
        <row r="1814">
          <cell r="A1814" t="str">
            <v>0</v>
          </cell>
        </row>
        <row r="1815">
          <cell r="A1815" t="str">
            <v>0</v>
          </cell>
        </row>
        <row r="1816">
          <cell r="A1816" t="str">
            <v>0</v>
          </cell>
        </row>
        <row r="1817">
          <cell r="A1817" t="str">
            <v>0</v>
          </cell>
        </row>
        <row r="1818">
          <cell r="A1818" t="str">
            <v>0</v>
          </cell>
        </row>
        <row r="1819">
          <cell r="A1819" t="str">
            <v>0</v>
          </cell>
        </row>
        <row r="1820">
          <cell r="A1820" t="str">
            <v>0</v>
          </cell>
        </row>
        <row r="1821">
          <cell r="A1821" t="str">
            <v>0</v>
          </cell>
        </row>
        <row r="1822">
          <cell r="A1822" t="str">
            <v>0</v>
          </cell>
        </row>
        <row r="1823">
          <cell r="A1823" t="str">
            <v>0</v>
          </cell>
        </row>
        <row r="1824">
          <cell r="A1824" t="str">
            <v>0</v>
          </cell>
        </row>
        <row r="1825">
          <cell r="A1825" t="str">
            <v>0</v>
          </cell>
        </row>
        <row r="1826">
          <cell r="A1826" t="str">
            <v>0</v>
          </cell>
        </row>
        <row r="1827">
          <cell r="A1827" t="str">
            <v>0</v>
          </cell>
        </row>
        <row r="1828">
          <cell r="A1828" t="str">
            <v>0</v>
          </cell>
        </row>
        <row r="1830">
          <cell r="C1830" t="str">
            <v>JUMLAH TANGGAL</v>
          </cell>
          <cell r="F1830">
            <v>0</v>
          </cell>
          <cell r="G1830">
            <v>0</v>
          </cell>
        </row>
        <row r="1831">
          <cell r="C1831" t="str">
            <v>HARI INI</v>
          </cell>
        </row>
        <row r="1832">
          <cell r="C1832" t="str">
            <v>JUMLAH S/D TANGGAL</v>
          </cell>
          <cell r="F1832">
            <v>514639652</v>
          </cell>
          <cell r="G1832">
            <v>490780936</v>
          </cell>
        </row>
        <row r="1833">
          <cell r="C1833" t="str">
            <v>TOTAL</v>
          </cell>
          <cell r="F1833">
            <v>514639652</v>
          </cell>
          <cell r="G1833">
            <v>490780936</v>
          </cell>
        </row>
        <row r="1835">
          <cell r="C1835" t="str">
            <v>SISA</v>
          </cell>
          <cell r="D1835">
            <v>23858716</v>
          </cell>
        </row>
        <row r="1837">
          <cell r="A1837" t="str">
            <v>KODE BANTU</v>
          </cell>
          <cell r="B1837" t="str">
            <v>NO</v>
          </cell>
          <cell r="C1837" t="str">
            <v>APRIL</v>
          </cell>
          <cell r="D1837" t="str">
            <v>URAIAN</v>
          </cell>
          <cell r="E1837" t="str">
            <v>KODE ANGGARAN</v>
          </cell>
          <cell r="F1837" t="str">
            <v>PENERIMAAN</v>
          </cell>
          <cell r="G1837" t="str">
            <v>PENGELUARAN</v>
          </cell>
        </row>
        <row r="1838">
          <cell r="A1838" t="str">
            <v>0</v>
          </cell>
        </row>
        <row r="1839">
          <cell r="A1839" t="str">
            <v>0</v>
          </cell>
        </row>
        <row r="1840">
          <cell r="A1840" t="str">
            <v>0</v>
          </cell>
        </row>
        <row r="1841">
          <cell r="A1841" t="str">
            <v>0</v>
          </cell>
        </row>
        <row r="1842">
          <cell r="A1842" t="str">
            <v>0</v>
          </cell>
        </row>
        <row r="1843">
          <cell r="A1843" t="str">
            <v>0</v>
          </cell>
        </row>
        <row r="1844">
          <cell r="A1844" t="str">
            <v>0</v>
          </cell>
        </row>
        <row r="1845">
          <cell r="A1845" t="str">
            <v>0</v>
          </cell>
        </row>
        <row r="1846">
          <cell r="A1846" t="str">
            <v>0</v>
          </cell>
        </row>
        <row r="1847">
          <cell r="A1847" t="str">
            <v>0</v>
          </cell>
        </row>
        <row r="1848">
          <cell r="A1848" t="str">
            <v>0</v>
          </cell>
        </row>
        <row r="1849">
          <cell r="A1849" t="str">
            <v>0</v>
          </cell>
        </row>
        <row r="1850">
          <cell r="A1850" t="str">
            <v>0</v>
          </cell>
        </row>
        <row r="1851">
          <cell r="A1851" t="str">
            <v>0</v>
          </cell>
        </row>
        <row r="1852">
          <cell r="A1852" t="str">
            <v>0</v>
          </cell>
        </row>
        <row r="1853">
          <cell r="A1853" t="str">
            <v>0</v>
          </cell>
        </row>
        <row r="1854">
          <cell r="A1854" t="str">
            <v>0</v>
          </cell>
        </row>
        <row r="1855">
          <cell r="A1855" t="str">
            <v>0</v>
          </cell>
        </row>
        <row r="1856">
          <cell r="A1856" t="str">
            <v>0</v>
          </cell>
        </row>
        <row r="1857">
          <cell r="A1857" t="str">
            <v>0</v>
          </cell>
        </row>
        <row r="1858">
          <cell r="A1858" t="str">
            <v>0</v>
          </cell>
        </row>
        <row r="1859">
          <cell r="A1859" t="str">
            <v>0</v>
          </cell>
        </row>
        <row r="1860">
          <cell r="A1860" t="str">
            <v>0</v>
          </cell>
        </row>
        <row r="1861">
          <cell r="A1861" t="str">
            <v>0</v>
          </cell>
        </row>
        <row r="1862">
          <cell r="A1862" t="str">
            <v>0</v>
          </cell>
        </row>
        <row r="1864">
          <cell r="C1864" t="str">
            <v>JUMLAH TANGGAL</v>
          </cell>
          <cell r="F1864">
            <v>0</v>
          </cell>
          <cell r="G1864">
            <v>0</v>
          </cell>
        </row>
        <row r="1865">
          <cell r="C1865" t="str">
            <v>HARI INI</v>
          </cell>
        </row>
        <row r="1866">
          <cell r="C1866" t="str">
            <v>JUMLAH S/D TANGGAL</v>
          </cell>
          <cell r="F1866">
            <v>514639652</v>
          </cell>
          <cell r="G1866">
            <v>490780936</v>
          </cell>
        </row>
        <row r="1867">
          <cell r="C1867" t="str">
            <v>TOTAL</v>
          </cell>
          <cell r="F1867">
            <v>514639652</v>
          </cell>
          <cell r="G1867">
            <v>490780936</v>
          </cell>
        </row>
        <row r="1869">
          <cell r="C1869" t="str">
            <v>SISA</v>
          </cell>
          <cell r="D1869">
            <v>23858716</v>
          </cell>
        </row>
        <row r="1871">
          <cell r="A1871" t="str">
            <v>KODE BANTU</v>
          </cell>
          <cell r="B1871" t="str">
            <v>NO</v>
          </cell>
          <cell r="C1871" t="str">
            <v>APRIL</v>
          </cell>
          <cell r="D1871" t="str">
            <v>URAIAN</v>
          </cell>
          <cell r="E1871" t="str">
            <v>KODE ANGGARAN</v>
          </cell>
          <cell r="F1871" t="str">
            <v>PENERIMAAN</v>
          </cell>
          <cell r="G1871" t="str">
            <v>PENGELUARAN</v>
          </cell>
        </row>
        <row r="1872">
          <cell r="A1872" t="str">
            <v>0</v>
          </cell>
        </row>
        <row r="1873">
          <cell r="A1873" t="str">
            <v>0</v>
          </cell>
        </row>
        <row r="1874">
          <cell r="A1874" t="str">
            <v>0</v>
          </cell>
        </row>
        <row r="1875">
          <cell r="A1875" t="str">
            <v>0</v>
          </cell>
        </row>
        <row r="1876">
          <cell r="A1876" t="str">
            <v>0</v>
          </cell>
        </row>
        <row r="1877">
          <cell r="A1877" t="str">
            <v>0</v>
          </cell>
        </row>
        <row r="1878">
          <cell r="A1878" t="str">
            <v>0</v>
          </cell>
        </row>
        <row r="1879">
          <cell r="A1879" t="str">
            <v>0</v>
          </cell>
        </row>
        <row r="1880">
          <cell r="A1880" t="str">
            <v>0</v>
          </cell>
        </row>
        <row r="1881">
          <cell r="A1881" t="str">
            <v>0</v>
          </cell>
        </row>
        <row r="1882">
          <cell r="A1882" t="str">
            <v>0</v>
          </cell>
        </row>
        <row r="1883">
          <cell r="A1883" t="str">
            <v>0</v>
          </cell>
        </row>
        <row r="1884">
          <cell r="A1884" t="str">
            <v>0</v>
          </cell>
        </row>
        <row r="1885">
          <cell r="A1885" t="str">
            <v>0</v>
          </cell>
        </row>
        <row r="1886">
          <cell r="A1886" t="str">
            <v>0</v>
          </cell>
        </row>
        <row r="1887">
          <cell r="A1887" t="str">
            <v>0</v>
          </cell>
        </row>
        <row r="1888">
          <cell r="A1888" t="str">
            <v>0</v>
          </cell>
        </row>
        <row r="1889">
          <cell r="A1889" t="str">
            <v>0</v>
          </cell>
        </row>
        <row r="1890">
          <cell r="A1890" t="str">
            <v>0</v>
          </cell>
        </row>
        <row r="1891">
          <cell r="A1891" t="str">
            <v>0</v>
          </cell>
        </row>
        <row r="1892">
          <cell r="A1892" t="str">
            <v>0</v>
          </cell>
        </row>
        <row r="1893">
          <cell r="A1893" t="str">
            <v>0</v>
          </cell>
        </row>
        <row r="1894">
          <cell r="A1894" t="str">
            <v>0</v>
          </cell>
        </row>
        <row r="1895">
          <cell r="A1895" t="str">
            <v>0</v>
          </cell>
        </row>
        <row r="1896">
          <cell r="A1896" t="str">
            <v>0</v>
          </cell>
        </row>
        <row r="1898">
          <cell r="C1898" t="str">
            <v>JUMLAH TANGGAL</v>
          </cell>
          <cell r="F1898">
            <v>0</v>
          </cell>
          <cell r="G1898">
            <v>0</v>
          </cell>
        </row>
        <row r="1899">
          <cell r="C1899" t="str">
            <v>HARI INI</v>
          </cell>
        </row>
        <row r="1900">
          <cell r="C1900" t="str">
            <v>JUMLAH S/D TANGGAL</v>
          </cell>
          <cell r="F1900">
            <v>514639652</v>
          </cell>
          <cell r="G1900">
            <v>490780936</v>
          </cell>
        </row>
        <row r="1901">
          <cell r="C1901" t="str">
            <v>TOTAL</v>
          </cell>
          <cell r="F1901">
            <v>514639652</v>
          </cell>
          <cell r="G1901">
            <v>490780936</v>
          </cell>
        </row>
        <row r="1903">
          <cell r="C1903" t="str">
            <v>SISA</v>
          </cell>
          <cell r="D1903">
            <v>23858716</v>
          </cell>
        </row>
        <row r="1905">
          <cell r="A1905" t="str">
            <v>KODE BANTU</v>
          </cell>
          <cell r="B1905" t="str">
            <v>NO</v>
          </cell>
          <cell r="C1905" t="str">
            <v>APRIL</v>
          </cell>
          <cell r="D1905" t="str">
            <v>URAIAN</v>
          </cell>
          <cell r="E1905" t="str">
            <v>KODE ANGGARAN</v>
          </cell>
          <cell r="F1905" t="str">
            <v>PENERIMAAN</v>
          </cell>
          <cell r="G1905" t="str">
            <v>PENGELUARAN</v>
          </cell>
        </row>
        <row r="1906">
          <cell r="A1906" t="str">
            <v>0</v>
          </cell>
        </row>
        <row r="1907">
          <cell r="A1907" t="str">
            <v>0</v>
          </cell>
        </row>
        <row r="1908">
          <cell r="A1908" t="str">
            <v>0</v>
          </cell>
        </row>
        <row r="1909">
          <cell r="A1909" t="str">
            <v>0</v>
          </cell>
        </row>
        <row r="1910">
          <cell r="A1910" t="str">
            <v>0</v>
          </cell>
        </row>
        <row r="1911">
          <cell r="A1911" t="str">
            <v>0</v>
          </cell>
        </row>
        <row r="1912">
          <cell r="A1912" t="str">
            <v>0</v>
          </cell>
        </row>
        <row r="1913">
          <cell r="A1913" t="str">
            <v>0</v>
          </cell>
        </row>
        <row r="1914">
          <cell r="A1914" t="str">
            <v>0</v>
          </cell>
        </row>
        <row r="1915">
          <cell r="A1915" t="str">
            <v>0</v>
          </cell>
        </row>
        <row r="1916">
          <cell r="A1916" t="str">
            <v>0</v>
          </cell>
        </row>
        <row r="1917">
          <cell r="A1917" t="str">
            <v>0</v>
          </cell>
        </row>
        <row r="1918">
          <cell r="A1918" t="str">
            <v>0</v>
          </cell>
        </row>
        <row r="1919">
          <cell r="A1919" t="str">
            <v>0</v>
          </cell>
        </row>
        <row r="1920">
          <cell r="A1920" t="str">
            <v>0</v>
          </cell>
        </row>
        <row r="1921">
          <cell r="A1921" t="str">
            <v>0</v>
          </cell>
        </row>
        <row r="1922">
          <cell r="A1922" t="str">
            <v>0</v>
          </cell>
        </row>
        <row r="1923">
          <cell r="A1923" t="str">
            <v>0</v>
          </cell>
        </row>
        <row r="1924">
          <cell r="A1924" t="str">
            <v>0</v>
          </cell>
        </row>
        <row r="1925">
          <cell r="A1925" t="str">
            <v>0</v>
          </cell>
        </row>
        <row r="1926">
          <cell r="A1926" t="str">
            <v>0</v>
          </cell>
        </row>
        <row r="1927">
          <cell r="A1927" t="str">
            <v>0</v>
          </cell>
        </row>
        <row r="1928">
          <cell r="A1928" t="str">
            <v>0</v>
          </cell>
        </row>
        <row r="1929">
          <cell r="A1929" t="str">
            <v>0</v>
          </cell>
        </row>
        <row r="1930">
          <cell r="A1930" t="str">
            <v>0</v>
          </cell>
        </row>
        <row r="1932">
          <cell r="C1932" t="str">
            <v>JUMLAH TANGGAL</v>
          </cell>
          <cell r="F1932">
            <v>0</v>
          </cell>
          <cell r="G1932">
            <v>0</v>
          </cell>
        </row>
        <row r="1933">
          <cell r="C1933" t="str">
            <v>HARI INI</v>
          </cell>
        </row>
        <row r="1934">
          <cell r="C1934" t="str">
            <v>JUMLAH S/D TANGGAL</v>
          </cell>
          <cell r="F1934">
            <v>514639652</v>
          </cell>
          <cell r="G1934">
            <v>490780936</v>
          </cell>
        </row>
        <row r="1935">
          <cell r="C1935" t="str">
            <v>TOTAL</v>
          </cell>
          <cell r="F1935">
            <v>514639652</v>
          </cell>
          <cell r="G1935">
            <v>490780936</v>
          </cell>
        </row>
        <row r="1937">
          <cell r="C1937" t="str">
            <v>SISA</v>
          </cell>
          <cell r="D1937">
            <v>23858716</v>
          </cell>
        </row>
        <row r="1939">
          <cell r="A1939" t="str">
            <v>KODE BANTU</v>
          </cell>
          <cell r="B1939" t="str">
            <v>NO</v>
          </cell>
          <cell r="C1939" t="str">
            <v>APRIL</v>
          </cell>
          <cell r="D1939" t="str">
            <v>URAIAN</v>
          </cell>
          <cell r="E1939" t="str">
            <v>KODE ANGGARAN</v>
          </cell>
          <cell r="F1939" t="str">
            <v>PENERIMAAN</v>
          </cell>
          <cell r="G1939" t="str">
            <v>PENGELUARAN</v>
          </cell>
        </row>
        <row r="1940">
          <cell r="A1940" t="str">
            <v>0</v>
          </cell>
        </row>
        <row r="1941">
          <cell r="A1941" t="str">
            <v>0</v>
          </cell>
        </row>
        <row r="1942">
          <cell r="A1942" t="str">
            <v>0</v>
          </cell>
        </row>
        <row r="1943">
          <cell r="A1943" t="str">
            <v>0</v>
          </cell>
        </row>
        <row r="1944">
          <cell r="A1944" t="str">
            <v>0</v>
          </cell>
        </row>
        <row r="1945">
          <cell r="A1945" t="str">
            <v>0</v>
          </cell>
        </row>
        <row r="1946">
          <cell r="A1946" t="str">
            <v>0</v>
          </cell>
        </row>
        <row r="1947">
          <cell r="A1947" t="str">
            <v>0</v>
          </cell>
        </row>
        <row r="1948">
          <cell r="A1948" t="str">
            <v>0</v>
          </cell>
        </row>
        <row r="1949">
          <cell r="A1949" t="str">
            <v>0</v>
          </cell>
        </row>
        <row r="1950">
          <cell r="A1950" t="str">
            <v>0</v>
          </cell>
        </row>
        <row r="1951">
          <cell r="A1951" t="str">
            <v>0</v>
          </cell>
        </row>
        <row r="1952">
          <cell r="A1952" t="str">
            <v>0</v>
          </cell>
        </row>
        <row r="1953">
          <cell r="A1953" t="str">
            <v>0</v>
          </cell>
        </row>
        <row r="1954">
          <cell r="A1954" t="str">
            <v>0</v>
          </cell>
        </row>
        <row r="1955">
          <cell r="A1955" t="str">
            <v>0</v>
          </cell>
        </row>
        <row r="1956">
          <cell r="A1956" t="str">
            <v>0</v>
          </cell>
        </row>
        <row r="1957">
          <cell r="A1957" t="str">
            <v>0</v>
          </cell>
        </row>
        <row r="1958">
          <cell r="A1958" t="str">
            <v>0</v>
          </cell>
        </row>
        <row r="1959">
          <cell r="A1959" t="str">
            <v>0</v>
          </cell>
        </row>
        <row r="1960">
          <cell r="A1960" t="str">
            <v>0</v>
          </cell>
        </row>
        <row r="1961">
          <cell r="A1961" t="str">
            <v>0</v>
          </cell>
        </row>
        <row r="1962">
          <cell r="A1962" t="str">
            <v>0</v>
          </cell>
        </row>
        <row r="1963">
          <cell r="A1963" t="str">
            <v>0</v>
          </cell>
        </row>
        <row r="1964">
          <cell r="A1964" t="str">
            <v>0</v>
          </cell>
        </row>
        <row r="1966">
          <cell r="C1966" t="str">
            <v>JUMLAH TANGGAL</v>
          </cell>
          <cell r="F1966">
            <v>0</v>
          </cell>
          <cell r="G1966">
            <v>0</v>
          </cell>
        </row>
        <row r="1967">
          <cell r="C1967" t="str">
            <v>HARI INI</v>
          </cell>
        </row>
        <row r="1968">
          <cell r="C1968" t="str">
            <v>JUMLAH S/D TANGGAL</v>
          </cell>
          <cell r="F1968">
            <v>514639652</v>
          </cell>
          <cell r="G1968">
            <v>490780936</v>
          </cell>
        </row>
        <row r="1969">
          <cell r="C1969" t="str">
            <v>TOTAL</v>
          </cell>
          <cell r="F1969">
            <v>514639652</v>
          </cell>
          <cell r="G1969">
            <v>490780936</v>
          </cell>
        </row>
        <row r="1971">
          <cell r="C1971" t="str">
            <v>SISA</v>
          </cell>
          <cell r="D1971">
            <v>23858716</v>
          </cell>
        </row>
        <row r="1973">
          <cell r="A1973" t="str">
            <v>KODE BANTU</v>
          </cell>
          <cell r="B1973" t="str">
            <v>NO</v>
          </cell>
          <cell r="C1973" t="str">
            <v>APRIL</v>
          </cell>
          <cell r="D1973" t="str">
            <v>URAIAN</v>
          </cell>
          <cell r="E1973" t="str">
            <v>KODE ANGGARAN</v>
          </cell>
          <cell r="F1973" t="str">
            <v>PENERIMAAN</v>
          </cell>
          <cell r="G1973" t="str">
            <v>PENGELUARAN</v>
          </cell>
        </row>
        <row r="1974">
          <cell r="A1974" t="str">
            <v>0</v>
          </cell>
        </row>
        <row r="1975">
          <cell r="A1975" t="str">
            <v>0</v>
          </cell>
        </row>
        <row r="1976">
          <cell r="A1976" t="str">
            <v>0</v>
          </cell>
        </row>
        <row r="1977">
          <cell r="A1977" t="str">
            <v>0</v>
          </cell>
        </row>
        <row r="1978">
          <cell r="A1978" t="str">
            <v>0</v>
          </cell>
        </row>
        <row r="1979">
          <cell r="A1979" t="str">
            <v>0</v>
          </cell>
        </row>
        <row r="1980">
          <cell r="A1980" t="str">
            <v>0</v>
          </cell>
        </row>
        <row r="1981">
          <cell r="A1981" t="str">
            <v>0</v>
          </cell>
        </row>
        <row r="1982">
          <cell r="A1982" t="str">
            <v>0</v>
          </cell>
        </row>
        <row r="1983">
          <cell r="A1983" t="str">
            <v>0</v>
          </cell>
        </row>
        <row r="1984">
          <cell r="A1984" t="str">
            <v>0</v>
          </cell>
        </row>
        <row r="1985">
          <cell r="A1985" t="str">
            <v>0</v>
          </cell>
        </row>
        <row r="1986">
          <cell r="A1986" t="str">
            <v>0</v>
          </cell>
        </row>
        <row r="1987">
          <cell r="A1987" t="str">
            <v>0</v>
          </cell>
        </row>
        <row r="1988">
          <cell r="A1988" t="str">
            <v>0</v>
          </cell>
        </row>
        <row r="1989">
          <cell r="A1989" t="str">
            <v>0</v>
          </cell>
        </row>
        <row r="1990">
          <cell r="A1990" t="str">
            <v>0</v>
          </cell>
        </row>
        <row r="1991">
          <cell r="A1991" t="str">
            <v>0</v>
          </cell>
        </row>
        <row r="1992">
          <cell r="A1992" t="str">
            <v>0</v>
          </cell>
        </row>
        <row r="1993">
          <cell r="A1993" t="str">
            <v>0</v>
          </cell>
        </row>
        <row r="1994">
          <cell r="A1994" t="str">
            <v>0</v>
          </cell>
        </row>
        <row r="1995">
          <cell r="A1995" t="str">
            <v>0</v>
          </cell>
        </row>
        <row r="1996">
          <cell r="A1996" t="str">
            <v>0</v>
          </cell>
        </row>
        <row r="1997">
          <cell r="A1997" t="str">
            <v>0</v>
          </cell>
        </row>
        <row r="1998">
          <cell r="A1998" t="str">
            <v>0</v>
          </cell>
        </row>
        <row r="2000">
          <cell r="C2000" t="str">
            <v>JUMLAH TANGGAL</v>
          </cell>
          <cell r="F2000">
            <v>0</v>
          </cell>
          <cell r="G2000">
            <v>0</v>
          </cell>
        </row>
        <row r="2001">
          <cell r="C2001" t="str">
            <v>HARI INI</v>
          </cell>
        </row>
        <row r="2002">
          <cell r="C2002" t="str">
            <v>JUMLAH S/D TANGGAL</v>
          </cell>
          <cell r="F2002">
            <v>514639652</v>
          </cell>
          <cell r="G2002">
            <v>490780936</v>
          </cell>
        </row>
        <row r="2003">
          <cell r="C2003" t="str">
            <v>TOTAL</v>
          </cell>
          <cell r="F2003">
            <v>514639652</v>
          </cell>
          <cell r="G2003">
            <v>490780936</v>
          </cell>
        </row>
        <row r="2005">
          <cell r="C2005" t="str">
            <v>SISA</v>
          </cell>
          <cell r="D2005">
            <v>23858716</v>
          </cell>
        </row>
        <row r="2007">
          <cell r="A2007" t="str">
            <v>KODE BANTU</v>
          </cell>
          <cell r="B2007" t="str">
            <v>NO</v>
          </cell>
          <cell r="C2007" t="str">
            <v>APRIL</v>
          </cell>
          <cell r="D2007" t="str">
            <v>URAIAN</v>
          </cell>
          <cell r="E2007" t="str">
            <v>KODE ANGGARAN</v>
          </cell>
          <cell r="F2007" t="str">
            <v>PENERIMAAN</v>
          </cell>
          <cell r="G2007" t="str">
            <v>PENGELUARAN</v>
          </cell>
        </row>
        <row r="2008">
          <cell r="A2008" t="str">
            <v>0</v>
          </cell>
        </row>
        <row r="2009">
          <cell r="A2009" t="str">
            <v>0</v>
          </cell>
        </row>
        <row r="2010">
          <cell r="A2010" t="str">
            <v>0</v>
          </cell>
        </row>
        <row r="2011">
          <cell r="A2011" t="str">
            <v>0</v>
          </cell>
        </row>
        <row r="2012">
          <cell r="A2012" t="str">
            <v>0</v>
          </cell>
        </row>
        <row r="2013">
          <cell r="A2013" t="str">
            <v>0</v>
          </cell>
        </row>
        <row r="2014">
          <cell r="A2014" t="str">
            <v>0</v>
          </cell>
        </row>
        <row r="2015">
          <cell r="A2015" t="str">
            <v>0</v>
          </cell>
        </row>
        <row r="2016">
          <cell r="A2016" t="str">
            <v>0</v>
          </cell>
        </row>
        <row r="2017">
          <cell r="A2017" t="str">
            <v>0</v>
          </cell>
        </row>
        <row r="2018">
          <cell r="A2018" t="str">
            <v>0</v>
          </cell>
        </row>
        <row r="2019">
          <cell r="A2019" t="str">
            <v>0</v>
          </cell>
        </row>
        <row r="2020">
          <cell r="A2020" t="str">
            <v>0</v>
          </cell>
        </row>
        <row r="2021">
          <cell r="A2021" t="str">
            <v>0</v>
          </cell>
        </row>
        <row r="2022">
          <cell r="A2022" t="str">
            <v>0</v>
          </cell>
        </row>
        <row r="2023">
          <cell r="A2023" t="str">
            <v>0</v>
          </cell>
        </row>
        <row r="2024">
          <cell r="A2024" t="str">
            <v>0</v>
          </cell>
        </row>
        <row r="2025">
          <cell r="A2025" t="str">
            <v>0</v>
          </cell>
        </row>
        <row r="2026">
          <cell r="A2026" t="str">
            <v>0</v>
          </cell>
        </row>
        <row r="2027">
          <cell r="A2027" t="str">
            <v>0</v>
          </cell>
        </row>
        <row r="2028">
          <cell r="A2028" t="str">
            <v>0</v>
          </cell>
        </row>
        <row r="2029">
          <cell r="A2029" t="str">
            <v>0</v>
          </cell>
        </row>
        <row r="2030">
          <cell r="A2030" t="str">
            <v>0</v>
          </cell>
        </row>
        <row r="2031">
          <cell r="A2031" t="str">
            <v>0</v>
          </cell>
        </row>
        <row r="2032">
          <cell r="A2032" t="str">
            <v>0</v>
          </cell>
        </row>
        <row r="2034">
          <cell r="C2034" t="str">
            <v>JUMLAH TANGGAL</v>
          </cell>
          <cell r="F2034">
            <v>0</v>
          </cell>
          <cell r="G2034">
            <v>0</v>
          </cell>
        </row>
        <row r="2035">
          <cell r="C2035" t="str">
            <v>HARI INI</v>
          </cell>
        </row>
        <row r="2036">
          <cell r="C2036" t="str">
            <v>JUMLAH S/D TANGGAL</v>
          </cell>
          <cell r="F2036">
            <v>514639652</v>
          </cell>
          <cell r="G2036">
            <v>490780936</v>
          </cell>
        </row>
        <row r="2037">
          <cell r="C2037" t="str">
            <v>TOTAL</v>
          </cell>
          <cell r="F2037">
            <v>514639652</v>
          </cell>
          <cell r="G2037">
            <v>490780936</v>
          </cell>
        </row>
        <row r="2039">
          <cell r="C2039" t="str">
            <v>SISA</v>
          </cell>
          <cell r="D2039">
            <v>23858716</v>
          </cell>
        </row>
        <row r="2041">
          <cell r="A2041" t="str">
            <v>KODE BANTU</v>
          </cell>
          <cell r="B2041" t="str">
            <v>NO</v>
          </cell>
          <cell r="C2041" t="str">
            <v>APRIL</v>
          </cell>
          <cell r="D2041" t="str">
            <v>URAIAN</v>
          </cell>
          <cell r="E2041" t="str">
            <v>KODE ANGGARAN</v>
          </cell>
          <cell r="F2041" t="str">
            <v>PENERIMAAN</v>
          </cell>
          <cell r="G2041" t="str">
            <v>PENGELUARAN</v>
          </cell>
        </row>
        <row r="2042">
          <cell r="A2042" t="str">
            <v>0</v>
          </cell>
        </row>
        <row r="2043">
          <cell r="A2043" t="str">
            <v>0</v>
          </cell>
        </row>
        <row r="2044">
          <cell r="A2044" t="str">
            <v>0</v>
          </cell>
        </row>
        <row r="2045">
          <cell r="A2045" t="str">
            <v>0</v>
          </cell>
        </row>
        <row r="2046">
          <cell r="A2046" t="str">
            <v>0</v>
          </cell>
        </row>
        <row r="2047">
          <cell r="A2047" t="str">
            <v>0</v>
          </cell>
        </row>
        <row r="2048">
          <cell r="A2048" t="str">
            <v>0</v>
          </cell>
        </row>
        <row r="2049">
          <cell r="A2049" t="str">
            <v>0</v>
          </cell>
        </row>
        <row r="2050">
          <cell r="A2050" t="str">
            <v>0</v>
          </cell>
        </row>
        <row r="2051">
          <cell r="A2051" t="str">
            <v>0</v>
          </cell>
        </row>
        <row r="2052">
          <cell r="A2052" t="str">
            <v>0</v>
          </cell>
        </row>
        <row r="2053">
          <cell r="A2053" t="str">
            <v>0</v>
          </cell>
        </row>
        <row r="2054">
          <cell r="A2054" t="str">
            <v>0</v>
          </cell>
        </row>
        <row r="2055">
          <cell r="A2055" t="str">
            <v>0</v>
          </cell>
        </row>
        <row r="2056">
          <cell r="A2056" t="str">
            <v>0</v>
          </cell>
        </row>
        <row r="2057">
          <cell r="A2057" t="str">
            <v>0</v>
          </cell>
        </row>
        <row r="2058">
          <cell r="A2058" t="str">
            <v>0</v>
          </cell>
        </row>
        <row r="2059">
          <cell r="A2059" t="str">
            <v>0</v>
          </cell>
        </row>
        <row r="2060">
          <cell r="A2060" t="str">
            <v>0</v>
          </cell>
        </row>
        <row r="2061">
          <cell r="A2061" t="str">
            <v>0</v>
          </cell>
        </row>
        <row r="2062">
          <cell r="A2062" t="str">
            <v>0</v>
          </cell>
        </row>
        <row r="2063">
          <cell r="A2063" t="str">
            <v>0</v>
          </cell>
        </row>
        <row r="2064">
          <cell r="A2064" t="str">
            <v>0</v>
          </cell>
        </row>
        <row r="2065">
          <cell r="A2065" t="str">
            <v>0</v>
          </cell>
        </row>
        <row r="2066">
          <cell r="A2066" t="str">
            <v>0</v>
          </cell>
        </row>
        <row r="2068">
          <cell r="C2068" t="str">
            <v>JUMLAH TANGGAL</v>
          </cell>
          <cell r="F2068">
            <v>0</v>
          </cell>
          <cell r="G2068">
            <v>0</v>
          </cell>
        </row>
        <row r="2069">
          <cell r="C2069" t="str">
            <v>HARI INI</v>
          </cell>
        </row>
        <row r="2070">
          <cell r="C2070" t="str">
            <v>JUMLAH S/D TANGGAL</v>
          </cell>
          <cell r="F2070">
            <v>514639652</v>
          </cell>
          <cell r="G2070">
            <v>490780936</v>
          </cell>
        </row>
        <row r="2071">
          <cell r="C2071" t="str">
            <v>TOTAL</v>
          </cell>
          <cell r="F2071">
            <v>514639652</v>
          </cell>
          <cell r="G2071">
            <v>490780936</v>
          </cell>
        </row>
        <row r="2073">
          <cell r="C2073" t="str">
            <v>SISA</v>
          </cell>
          <cell r="D2073">
            <v>23858716</v>
          </cell>
        </row>
        <row r="2075">
          <cell r="A2075" t="str">
            <v>KODE BANTU</v>
          </cell>
          <cell r="B2075" t="str">
            <v>NO</v>
          </cell>
          <cell r="C2075" t="str">
            <v>APRIL</v>
          </cell>
          <cell r="D2075" t="str">
            <v>URAIAN</v>
          </cell>
          <cell r="E2075" t="str">
            <v>KODE ANGGARAN</v>
          </cell>
          <cell r="F2075" t="str">
            <v>PENERIMAAN</v>
          </cell>
          <cell r="G2075" t="str">
            <v>PENGELUARAN</v>
          </cell>
        </row>
        <row r="2076">
          <cell r="A2076" t="str">
            <v>0</v>
          </cell>
        </row>
        <row r="2077">
          <cell r="A2077" t="str">
            <v>0</v>
          </cell>
        </row>
        <row r="2078">
          <cell r="A2078" t="str">
            <v>0</v>
          </cell>
        </row>
        <row r="2079">
          <cell r="A2079" t="str">
            <v>0</v>
          </cell>
        </row>
        <row r="2080">
          <cell r="A2080" t="str">
            <v>0</v>
          </cell>
        </row>
        <row r="2081">
          <cell r="A2081" t="str">
            <v>0</v>
          </cell>
        </row>
        <row r="2082">
          <cell r="A2082" t="str">
            <v>0</v>
          </cell>
        </row>
        <row r="2083">
          <cell r="A2083" t="str">
            <v>0</v>
          </cell>
        </row>
        <row r="2084">
          <cell r="A2084" t="str">
            <v>0</v>
          </cell>
        </row>
        <row r="2085">
          <cell r="A2085" t="str">
            <v>0</v>
          </cell>
        </row>
        <row r="2086">
          <cell r="A2086" t="str">
            <v>0</v>
          </cell>
        </row>
        <row r="2087">
          <cell r="A2087" t="str">
            <v>0</v>
          </cell>
        </row>
        <row r="2088">
          <cell r="A2088" t="str">
            <v>0</v>
          </cell>
        </row>
        <row r="2089">
          <cell r="A2089" t="str">
            <v>0</v>
          </cell>
        </row>
        <row r="2090">
          <cell r="A2090" t="str">
            <v>0</v>
          </cell>
        </row>
        <row r="2091">
          <cell r="A2091" t="str">
            <v>0</v>
          </cell>
        </row>
        <row r="2092">
          <cell r="A2092" t="str">
            <v>0</v>
          </cell>
        </row>
        <row r="2093">
          <cell r="A2093" t="str">
            <v>0</v>
          </cell>
        </row>
        <row r="2094">
          <cell r="A2094" t="str">
            <v>0</v>
          </cell>
        </row>
        <row r="2095">
          <cell r="A2095" t="str">
            <v>0</v>
          </cell>
        </row>
        <row r="2096">
          <cell r="A2096" t="str">
            <v>0</v>
          </cell>
        </row>
        <row r="2097">
          <cell r="A2097" t="str">
            <v>0</v>
          </cell>
        </row>
        <row r="2098">
          <cell r="A2098" t="str">
            <v>0</v>
          </cell>
        </row>
        <row r="2099">
          <cell r="A2099" t="str">
            <v>0</v>
          </cell>
        </row>
        <row r="2100">
          <cell r="A2100" t="str">
            <v>0</v>
          </cell>
        </row>
        <row r="2102">
          <cell r="C2102" t="str">
            <v>JUMLAH TANGGAL</v>
          </cell>
          <cell r="F2102">
            <v>0</v>
          </cell>
          <cell r="G2102">
            <v>0</v>
          </cell>
        </row>
        <row r="2103">
          <cell r="C2103" t="str">
            <v>HARI INI</v>
          </cell>
        </row>
        <row r="2104">
          <cell r="C2104" t="str">
            <v>JUMLAH S/D TANGGAL</v>
          </cell>
          <cell r="F2104">
            <v>514639652</v>
          </cell>
          <cell r="G2104">
            <v>490780936</v>
          </cell>
        </row>
        <row r="2105">
          <cell r="C2105" t="str">
            <v>TOTAL</v>
          </cell>
          <cell r="F2105">
            <v>514639652</v>
          </cell>
          <cell r="G2105">
            <v>490780936</v>
          </cell>
        </row>
        <row r="2107">
          <cell r="C2107" t="str">
            <v>SISA</v>
          </cell>
          <cell r="D2107">
            <v>23858716</v>
          </cell>
        </row>
        <row r="2109">
          <cell r="A2109" t="str">
            <v>KODE BANTU</v>
          </cell>
          <cell r="B2109" t="str">
            <v>NO</v>
          </cell>
          <cell r="C2109" t="str">
            <v>APRIL</v>
          </cell>
          <cell r="D2109" t="str">
            <v>URAIAN</v>
          </cell>
          <cell r="E2109" t="str">
            <v>KODE ANGGARAN</v>
          </cell>
          <cell r="F2109" t="str">
            <v>PENERIMAAN</v>
          </cell>
          <cell r="G2109" t="str">
            <v>PENGELUARAN</v>
          </cell>
        </row>
        <row r="2110">
          <cell r="A2110" t="str">
            <v>0</v>
          </cell>
        </row>
        <row r="2111">
          <cell r="A2111" t="str">
            <v>0</v>
          </cell>
        </row>
        <row r="2112">
          <cell r="A2112" t="str">
            <v>0</v>
          </cell>
        </row>
        <row r="2113">
          <cell r="A2113" t="str">
            <v>0</v>
          </cell>
        </row>
        <row r="2114">
          <cell r="A2114" t="str">
            <v>0</v>
          </cell>
        </row>
        <row r="2115">
          <cell r="A2115" t="str">
            <v>0</v>
          </cell>
        </row>
        <row r="2116">
          <cell r="A2116" t="str">
            <v>0</v>
          </cell>
        </row>
        <row r="2117">
          <cell r="A2117" t="str">
            <v>0</v>
          </cell>
        </row>
        <row r="2118">
          <cell r="A2118" t="str">
            <v>0</v>
          </cell>
        </row>
        <row r="2119">
          <cell r="A2119" t="str">
            <v>0</v>
          </cell>
        </row>
        <row r="2120">
          <cell r="A2120" t="str">
            <v>0</v>
          </cell>
        </row>
        <row r="2121">
          <cell r="A2121" t="str">
            <v>0</v>
          </cell>
        </row>
        <row r="2122">
          <cell r="A2122" t="str">
            <v>0</v>
          </cell>
        </row>
        <row r="2123">
          <cell r="A2123" t="str">
            <v>0</v>
          </cell>
        </row>
        <row r="2124">
          <cell r="A2124" t="str">
            <v>0</v>
          </cell>
        </row>
        <row r="2125">
          <cell r="A2125" t="str">
            <v>0</v>
          </cell>
        </row>
        <row r="2126">
          <cell r="A2126" t="str">
            <v>0</v>
          </cell>
        </row>
        <row r="2127">
          <cell r="A2127" t="str">
            <v>0</v>
          </cell>
        </row>
        <row r="2128">
          <cell r="A2128" t="str">
            <v>0</v>
          </cell>
        </row>
        <row r="2129">
          <cell r="A2129" t="str">
            <v>0</v>
          </cell>
        </row>
        <row r="2130">
          <cell r="A2130" t="str">
            <v>0</v>
          </cell>
        </row>
        <row r="2131">
          <cell r="A2131" t="str">
            <v>0</v>
          </cell>
        </row>
        <row r="2132">
          <cell r="A2132" t="str">
            <v>0</v>
          </cell>
        </row>
        <row r="2133">
          <cell r="A2133" t="str">
            <v>0</v>
          </cell>
        </row>
        <row r="2134">
          <cell r="A2134" t="str">
            <v>0</v>
          </cell>
        </row>
        <row r="2136">
          <cell r="C2136" t="str">
            <v>JUMLAH TANGGAL</v>
          </cell>
          <cell r="F2136">
            <v>0</v>
          </cell>
          <cell r="G2136">
            <v>0</v>
          </cell>
        </row>
        <row r="2137">
          <cell r="C2137" t="str">
            <v>HARI INI</v>
          </cell>
        </row>
        <row r="2138">
          <cell r="C2138" t="str">
            <v>JUMLAH S/D TANGGAL</v>
          </cell>
          <cell r="F2138">
            <v>514639652</v>
          </cell>
          <cell r="G2138">
            <v>490780936</v>
          </cell>
        </row>
        <row r="2139">
          <cell r="C2139" t="str">
            <v>TOTAL</v>
          </cell>
          <cell r="F2139">
            <v>514639652</v>
          </cell>
          <cell r="G2139">
            <v>490780936</v>
          </cell>
        </row>
        <row r="2141">
          <cell r="C2141" t="str">
            <v>SISA</v>
          </cell>
          <cell r="D2141">
            <v>23858716</v>
          </cell>
        </row>
        <row r="2143">
          <cell r="A2143" t="str">
            <v>KODE BANTU</v>
          </cell>
          <cell r="B2143" t="str">
            <v>NO</v>
          </cell>
          <cell r="C2143" t="str">
            <v>APRIL</v>
          </cell>
          <cell r="D2143" t="str">
            <v>URAIAN</v>
          </cell>
          <cell r="E2143" t="str">
            <v>KODE ANGGARAN</v>
          </cell>
          <cell r="F2143" t="str">
            <v>PENERIMAAN</v>
          </cell>
          <cell r="G2143" t="str">
            <v>PENGELUARAN</v>
          </cell>
        </row>
        <row r="2144">
          <cell r="A2144" t="str">
            <v>0</v>
          </cell>
        </row>
        <row r="2145">
          <cell r="A2145" t="str">
            <v>0</v>
          </cell>
        </row>
        <row r="2146">
          <cell r="A2146" t="str">
            <v>0</v>
          </cell>
        </row>
        <row r="2147">
          <cell r="A2147" t="str">
            <v>0</v>
          </cell>
        </row>
        <row r="2148">
          <cell r="A2148" t="str">
            <v>0</v>
          </cell>
        </row>
        <row r="2149">
          <cell r="A2149" t="str">
            <v>0</v>
          </cell>
        </row>
        <row r="2150">
          <cell r="A2150" t="str">
            <v>0</v>
          </cell>
        </row>
        <row r="2151">
          <cell r="A2151" t="str">
            <v>0</v>
          </cell>
        </row>
        <row r="2152">
          <cell r="A2152" t="str">
            <v>0</v>
          </cell>
        </row>
        <row r="2153">
          <cell r="A2153" t="str">
            <v>0</v>
          </cell>
        </row>
        <row r="2154">
          <cell r="A2154" t="str">
            <v>0</v>
          </cell>
        </row>
        <row r="2155">
          <cell r="A2155" t="str">
            <v>0</v>
          </cell>
        </row>
        <row r="2156">
          <cell r="A2156" t="str">
            <v>0</v>
          </cell>
        </row>
        <row r="2157">
          <cell r="A2157" t="str">
            <v>0</v>
          </cell>
        </row>
        <row r="2158">
          <cell r="A2158" t="str">
            <v>0</v>
          </cell>
        </row>
        <row r="2159">
          <cell r="A2159" t="str">
            <v>0</v>
          </cell>
        </row>
        <row r="2160">
          <cell r="A2160" t="str">
            <v>0</v>
          </cell>
        </row>
        <row r="2161">
          <cell r="A2161" t="str">
            <v>0</v>
          </cell>
        </row>
        <row r="2162">
          <cell r="A2162" t="str">
            <v>0</v>
          </cell>
        </row>
        <row r="2163">
          <cell r="A2163" t="str">
            <v>0</v>
          </cell>
        </row>
        <row r="2164">
          <cell r="A2164" t="str">
            <v>0</v>
          </cell>
        </row>
        <row r="2165">
          <cell r="A2165" t="str">
            <v>0</v>
          </cell>
        </row>
        <row r="2166">
          <cell r="A2166" t="str">
            <v>0</v>
          </cell>
        </row>
        <row r="2167">
          <cell r="A2167" t="str">
            <v>0</v>
          </cell>
        </row>
        <row r="2168">
          <cell r="A2168" t="str">
            <v>0</v>
          </cell>
        </row>
        <row r="2170">
          <cell r="C2170" t="str">
            <v>JUMLAH TANGGAL</v>
          </cell>
          <cell r="F2170">
            <v>0</v>
          </cell>
          <cell r="G2170">
            <v>0</v>
          </cell>
        </row>
        <row r="2171">
          <cell r="C2171" t="str">
            <v>HARI INI</v>
          </cell>
        </row>
        <row r="2172">
          <cell r="C2172" t="str">
            <v>JUMLAH S/D TANGGAL</v>
          </cell>
          <cell r="F2172">
            <v>514639652</v>
          </cell>
          <cell r="G2172">
            <v>490780936</v>
          </cell>
        </row>
        <row r="2173">
          <cell r="C2173" t="str">
            <v>TOTAL</v>
          </cell>
          <cell r="F2173">
            <v>514639652</v>
          </cell>
          <cell r="G2173">
            <v>490780936</v>
          </cell>
        </row>
        <row r="2175">
          <cell r="C2175" t="str">
            <v>SISA</v>
          </cell>
          <cell r="D2175">
            <v>23858716</v>
          </cell>
        </row>
        <row r="2177">
          <cell r="A2177" t="str">
            <v>KODE BANTU</v>
          </cell>
          <cell r="B2177" t="str">
            <v>NO</v>
          </cell>
          <cell r="C2177" t="str">
            <v>APRIL</v>
          </cell>
          <cell r="D2177" t="str">
            <v>URAIAN</v>
          </cell>
          <cell r="E2177" t="str">
            <v>KODE ANGGARAN</v>
          </cell>
          <cell r="F2177" t="str">
            <v>PENERIMAAN</v>
          </cell>
          <cell r="G2177" t="str">
            <v>PENGELUARAN</v>
          </cell>
        </row>
        <row r="2178">
          <cell r="A2178" t="str">
            <v>0</v>
          </cell>
        </row>
        <row r="2179">
          <cell r="A2179" t="str">
            <v>0</v>
          </cell>
        </row>
        <row r="2180">
          <cell r="A2180" t="str">
            <v>0</v>
          </cell>
        </row>
        <row r="2181">
          <cell r="A2181" t="str">
            <v>0</v>
          </cell>
        </row>
        <row r="2182">
          <cell r="A2182" t="str">
            <v>0</v>
          </cell>
        </row>
        <row r="2183">
          <cell r="A2183" t="str">
            <v>0</v>
          </cell>
        </row>
        <row r="2184">
          <cell r="A2184" t="str">
            <v>0</v>
          </cell>
        </row>
        <row r="2185">
          <cell r="A2185" t="str">
            <v>0</v>
          </cell>
        </row>
        <row r="2186">
          <cell r="A2186" t="str">
            <v>0</v>
          </cell>
        </row>
        <row r="2187">
          <cell r="A2187" t="str">
            <v>0</v>
          </cell>
        </row>
        <row r="2188">
          <cell r="A2188" t="str">
            <v>0</v>
          </cell>
        </row>
        <row r="2189">
          <cell r="A2189" t="str">
            <v>0</v>
          </cell>
        </row>
        <row r="2190">
          <cell r="A2190" t="str">
            <v>0</v>
          </cell>
        </row>
        <row r="2191">
          <cell r="A2191" t="str">
            <v>0</v>
          </cell>
        </row>
        <row r="2192">
          <cell r="A2192" t="str">
            <v>0</v>
          </cell>
        </row>
        <row r="2193">
          <cell r="A2193" t="str">
            <v>0</v>
          </cell>
        </row>
        <row r="2194">
          <cell r="A2194" t="str">
            <v>0</v>
          </cell>
        </row>
        <row r="2195">
          <cell r="A2195" t="str">
            <v>0</v>
          </cell>
        </row>
        <row r="2196">
          <cell r="A2196" t="str">
            <v>0</v>
          </cell>
        </row>
        <row r="2197">
          <cell r="A2197" t="str">
            <v>0</v>
          </cell>
        </row>
        <row r="2198">
          <cell r="A2198" t="str">
            <v>0</v>
          </cell>
        </row>
        <row r="2199">
          <cell r="A2199" t="str">
            <v>0</v>
          </cell>
        </row>
        <row r="2200">
          <cell r="A2200" t="str">
            <v>0</v>
          </cell>
        </row>
        <row r="2201">
          <cell r="A2201" t="str">
            <v>0</v>
          </cell>
        </row>
        <row r="2202">
          <cell r="A2202" t="str">
            <v>0</v>
          </cell>
        </row>
        <row r="2204">
          <cell r="C2204" t="str">
            <v>JUMLAH TANGGAL</v>
          </cell>
          <cell r="F2204">
            <v>0</v>
          </cell>
          <cell r="G2204">
            <v>0</v>
          </cell>
        </row>
        <row r="2205">
          <cell r="C2205" t="str">
            <v>HARI INI</v>
          </cell>
        </row>
        <row r="2206">
          <cell r="C2206" t="str">
            <v>JUMLAH S/D TANGGAL</v>
          </cell>
          <cell r="F2206">
            <v>514639652</v>
          </cell>
          <cell r="G2206">
            <v>490780936</v>
          </cell>
        </row>
        <row r="2207">
          <cell r="C2207" t="str">
            <v>TOTAL</v>
          </cell>
          <cell r="F2207">
            <v>514639652</v>
          </cell>
          <cell r="G2207">
            <v>490780936</v>
          </cell>
        </row>
        <row r="2209">
          <cell r="C2209" t="str">
            <v>SISA</v>
          </cell>
          <cell r="D2209">
            <v>23858716</v>
          </cell>
        </row>
        <row r="2211">
          <cell r="A2211" t="str">
            <v>KODE BANTU</v>
          </cell>
          <cell r="B2211" t="str">
            <v>NO</v>
          </cell>
          <cell r="C2211" t="str">
            <v>MEI</v>
          </cell>
          <cell r="D2211" t="str">
            <v>URAIAN</v>
          </cell>
          <cell r="E2211" t="str">
            <v>KODE ANGGARAN</v>
          </cell>
          <cell r="F2211" t="str">
            <v>PENERIMAAN</v>
          </cell>
          <cell r="G2211" t="str">
            <v>PENGELUARAN</v>
          </cell>
        </row>
        <row r="2212">
          <cell r="A2212" t="str">
            <v>0</v>
          </cell>
        </row>
        <row r="2213">
          <cell r="A2213" t="str">
            <v>0</v>
          </cell>
        </row>
        <row r="2214">
          <cell r="A2214" t="str">
            <v>0</v>
          </cell>
        </row>
        <row r="2215">
          <cell r="A2215" t="str">
            <v>0</v>
          </cell>
        </row>
        <row r="2216">
          <cell r="A2216" t="str">
            <v>0</v>
          </cell>
        </row>
        <row r="2217">
          <cell r="A2217" t="str">
            <v>0</v>
          </cell>
        </row>
        <row r="2218">
          <cell r="A2218" t="str">
            <v>0</v>
          </cell>
        </row>
        <row r="2219">
          <cell r="A2219" t="str">
            <v>0</v>
          </cell>
        </row>
        <row r="2220">
          <cell r="A2220" t="str">
            <v>0</v>
          </cell>
        </row>
        <row r="2221">
          <cell r="A2221" t="str">
            <v>0</v>
          </cell>
        </row>
        <row r="2222">
          <cell r="A2222" t="str">
            <v>0</v>
          </cell>
        </row>
        <row r="2223">
          <cell r="A2223" t="str">
            <v>0</v>
          </cell>
        </row>
        <row r="2224">
          <cell r="A2224" t="str">
            <v>0</v>
          </cell>
        </row>
        <row r="2225">
          <cell r="A2225" t="str">
            <v>0</v>
          </cell>
        </row>
        <row r="2226">
          <cell r="A2226" t="str">
            <v>0</v>
          </cell>
        </row>
        <row r="2227">
          <cell r="A2227" t="str">
            <v>0</v>
          </cell>
        </row>
        <row r="2228">
          <cell r="A2228" t="str">
            <v>0</v>
          </cell>
        </row>
        <row r="2229">
          <cell r="A2229" t="str">
            <v>0</v>
          </cell>
        </row>
        <row r="2230">
          <cell r="A2230" t="str">
            <v>0</v>
          </cell>
        </row>
        <row r="2231">
          <cell r="A2231" t="str">
            <v>0</v>
          </cell>
        </row>
        <row r="2232">
          <cell r="A2232" t="str">
            <v>0</v>
          </cell>
        </row>
        <row r="2233">
          <cell r="A2233" t="str">
            <v>0</v>
          </cell>
        </row>
        <row r="2234">
          <cell r="A2234" t="str">
            <v>0</v>
          </cell>
        </row>
        <row r="2235">
          <cell r="A2235" t="str">
            <v>0</v>
          </cell>
        </row>
        <row r="2236">
          <cell r="A2236" t="str">
            <v>0</v>
          </cell>
        </row>
        <row r="2238">
          <cell r="C2238" t="str">
            <v>JUMLAH TANGGAL</v>
          </cell>
          <cell r="F2238">
            <v>0</v>
          </cell>
          <cell r="G2238">
            <v>0</v>
          </cell>
        </row>
        <row r="2239">
          <cell r="C2239" t="str">
            <v>HARI INI</v>
          </cell>
        </row>
        <row r="2240">
          <cell r="C2240" t="str">
            <v>JUMLAH S/D TANGGAL</v>
          </cell>
          <cell r="F2240">
            <v>514639652</v>
          </cell>
          <cell r="G2240">
            <v>490780936</v>
          </cell>
        </row>
        <row r="2241">
          <cell r="C2241" t="str">
            <v>TOTAL</v>
          </cell>
          <cell r="F2241">
            <v>514639652</v>
          </cell>
          <cell r="G2241">
            <v>490780936</v>
          </cell>
        </row>
        <row r="2243">
          <cell r="C2243" t="str">
            <v>SISA</v>
          </cell>
          <cell r="D2243">
            <v>23858716</v>
          </cell>
        </row>
        <row r="2245">
          <cell r="A2245" t="str">
            <v>KODE BANTU</v>
          </cell>
          <cell r="B2245" t="str">
            <v>NO</v>
          </cell>
          <cell r="C2245" t="str">
            <v>MEI</v>
          </cell>
          <cell r="D2245" t="str">
            <v>URAIAN</v>
          </cell>
          <cell r="E2245" t="str">
            <v>KODE ANGGARAN</v>
          </cell>
          <cell r="F2245" t="str">
            <v>PENERIMAAN</v>
          </cell>
          <cell r="G2245" t="str">
            <v>PENGELUARAN</v>
          </cell>
        </row>
        <row r="2246">
          <cell r="A2246" t="str">
            <v>0</v>
          </cell>
        </row>
        <row r="2247">
          <cell r="A2247" t="str">
            <v>0</v>
          </cell>
        </row>
        <row r="2248">
          <cell r="A2248" t="str">
            <v>0</v>
          </cell>
        </row>
        <row r="2249">
          <cell r="A2249" t="str">
            <v>0</v>
          </cell>
        </row>
        <row r="2250">
          <cell r="A2250" t="str">
            <v>0</v>
          </cell>
        </row>
        <row r="2251">
          <cell r="A2251" t="str">
            <v>0</v>
          </cell>
        </row>
        <row r="2252">
          <cell r="A2252" t="str">
            <v>0</v>
          </cell>
        </row>
        <row r="2253">
          <cell r="A2253" t="str">
            <v>0</v>
          </cell>
        </row>
        <row r="2254">
          <cell r="A2254" t="str">
            <v>0</v>
          </cell>
        </row>
        <row r="2255">
          <cell r="A2255" t="str">
            <v>0</v>
          </cell>
        </row>
        <row r="2256">
          <cell r="A2256" t="str">
            <v>0</v>
          </cell>
        </row>
        <row r="2257">
          <cell r="A2257" t="str">
            <v>0</v>
          </cell>
        </row>
        <row r="2258">
          <cell r="A2258" t="str">
            <v>0</v>
          </cell>
        </row>
        <row r="2259">
          <cell r="A2259" t="str">
            <v>0</v>
          </cell>
        </row>
        <row r="2260">
          <cell r="A2260" t="str">
            <v>0</v>
          </cell>
        </row>
        <row r="2261">
          <cell r="A2261" t="str">
            <v>0</v>
          </cell>
        </row>
        <row r="2262">
          <cell r="A2262" t="str">
            <v>0</v>
          </cell>
        </row>
        <row r="2263">
          <cell r="A2263" t="str">
            <v>0</v>
          </cell>
        </row>
        <row r="2264">
          <cell r="A2264" t="str">
            <v>0</v>
          </cell>
        </row>
        <row r="2265">
          <cell r="A2265" t="str">
            <v>0</v>
          </cell>
        </row>
        <row r="2266">
          <cell r="A2266" t="str">
            <v>0</v>
          </cell>
        </row>
        <row r="2267">
          <cell r="A2267" t="str">
            <v>0</v>
          </cell>
        </row>
        <row r="2268">
          <cell r="A2268" t="str">
            <v>0</v>
          </cell>
        </row>
        <row r="2269">
          <cell r="A2269" t="str">
            <v>0</v>
          </cell>
        </row>
        <row r="2270">
          <cell r="A2270" t="str">
            <v>0</v>
          </cell>
        </row>
        <row r="2272">
          <cell r="C2272" t="str">
            <v>JUMLAH TANGGAL</v>
          </cell>
          <cell r="F2272">
            <v>0</v>
          </cell>
          <cell r="G2272">
            <v>0</v>
          </cell>
        </row>
        <row r="2273">
          <cell r="C2273" t="str">
            <v>HARI INI</v>
          </cell>
        </row>
        <row r="2274">
          <cell r="C2274" t="str">
            <v>JUMLAH S/D TANGGAL</v>
          </cell>
          <cell r="F2274">
            <v>514639652</v>
          </cell>
          <cell r="G2274">
            <v>490780936</v>
          </cell>
        </row>
        <row r="2275">
          <cell r="C2275" t="str">
            <v>TOTAL</v>
          </cell>
          <cell r="F2275">
            <v>514639652</v>
          </cell>
          <cell r="G2275">
            <v>490780936</v>
          </cell>
        </row>
        <row r="2277">
          <cell r="C2277" t="str">
            <v>SISA</v>
          </cell>
          <cell r="D2277">
            <v>23858716</v>
          </cell>
        </row>
        <row r="2279">
          <cell r="A2279" t="str">
            <v>KODE BANTU</v>
          </cell>
          <cell r="B2279" t="str">
            <v>NO</v>
          </cell>
          <cell r="C2279" t="str">
            <v>MEI</v>
          </cell>
          <cell r="D2279" t="str">
            <v>URAIAN</v>
          </cell>
          <cell r="E2279" t="str">
            <v>KODE ANGGARAN</v>
          </cell>
          <cell r="F2279" t="str">
            <v>PENERIMAAN</v>
          </cell>
          <cell r="G2279" t="str">
            <v>PENGELUARAN</v>
          </cell>
        </row>
        <row r="2280">
          <cell r="A2280" t="str">
            <v>0</v>
          </cell>
        </row>
        <row r="2281">
          <cell r="A2281" t="str">
            <v>0</v>
          </cell>
        </row>
        <row r="2282">
          <cell r="A2282" t="str">
            <v>0</v>
          </cell>
        </row>
        <row r="2283">
          <cell r="A2283" t="str">
            <v>0</v>
          </cell>
        </row>
        <row r="2284">
          <cell r="A2284" t="str">
            <v>0</v>
          </cell>
        </row>
        <row r="2285">
          <cell r="A2285" t="str">
            <v>0</v>
          </cell>
        </row>
        <row r="2286">
          <cell r="A2286" t="str">
            <v>0</v>
          </cell>
        </row>
        <row r="2287">
          <cell r="A2287" t="str">
            <v>0</v>
          </cell>
        </row>
        <row r="2288">
          <cell r="A2288" t="str">
            <v>0</v>
          </cell>
        </row>
        <row r="2289">
          <cell r="A2289" t="str">
            <v>0</v>
          </cell>
        </row>
        <row r="2290">
          <cell r="A2290" t="str">
            <v>0</v>
          </cell>
        </row>
        <row r="2291">
          <cell r="A2291" t="str">
            <v>0</v>
          </cell>
        </row>
        <row r="2292">
          <cell r="A2292" t="str">
            <v>0</v>
          </cell>
        </row>
        <row r="2293">
          <cell r="A2293" t="str">
            <v>0</v>
          </cell>
        </row>
        <row r="2294">
          <cell r="A2294" t="str">
            <v>0</v>
          </cell>
        </row>
        <row r="2295">
          <cell r="A2295" t="str">
            <v>0</v>
          </cell>
        </row>
        <row r="2296">
          <cell r="A2296" t="str">
            <v>0</v>
          </cell>
        </row>
        <row r="2297">
          <cell r="A2297" t="str">
            <v>0</v>
          </cell>
        </row>
        <row r="2298">
          <cell r="A2298" t="str">
            <v>0</v>
          </cell>
        </row>
        <row r="2299">
          <cell r="A2299" t="str">
            <v>0</v>
          </cell>
        </row>
        <row r="2300">
          <cell r="A2300" t="str">
            <v>0</v>
          </cell>
        </row>
        <row r="2301">
          <cell r="A2301" t="str">
            <v>0</v>
          </cell>
        </row>
        <row r="2302">
          <cell r="A2302" t="str">
            <v>0</v>
          </cell>
        </row>
        <row r="2303">
          <cell r="A2303" t="str">
            <v>0</v>
          </cell>
        </row>
        <row r="2304">
          <cell r="A2304" t="str">
            <v>0</v>
          </cell>
        </row>
        <row r="2306">
          <cell r="C2306" t="str">
            <v>JUMLAH TANGGAL</v>
          </cell>
          <cell r="F2306">
            <v>0</v>
          </cell>
          <cell r="G2306">
            <v>0</v>
          </cell>
        </row>
        <row r="2307">
          <cell r="C2307" t="str">
            <v>HARI INI</v>
          </cell>
        </row>
        <row r="2308">
          <cell r="C2308" t="str">
            <v>JUMLAH S/D TANGGAL</v>
          </cell>
          <cell r="F2308">
            <v>514639652</v>
          </cell>
          <cell r="G2308">
            <v>490780936</v>
          </cell>
        </row>
        <row r="2309">
          <cell r="C2309" t="str">
            <v>TOTAL</v>
          </cell>
          <cell r="F2309">
            <v>514639652</v>
          </cell>
          <cell r="G2309">
            <v>490780936</v>
          </cell>
        </row>
        <row r="2311">
          <cell r="C2311" t="str">
            <v>SISA</v>
          </cell>
          <cell r="D2311">
            <v>23858716</v>
          </cell>
        </row>
        <row r="2313">
          <cell r="A2313" t="str">
            <v>KODE BANTU</v>
          </cell>
          <cell r="B2313" t="str">
            <v>NO</v>
          </cell>
          <cell r="C2313" t="str">
            <v>MEI</v>
          </cell>
          <cell r="D2313" t="str">
            <v>URAIAN</v>
          </cell>
          <cell r="E2313" t="str">
            <v>KODE ANGGARAN</v>
          </cell>
          <cell r="F2313" t="str">
            <v>PENERIMAAN</v>
          </cell>
          <cell r="G2313" t="str">
            <v>PENGELUARAN</v>
          </cell>
        </row>
        <row r="2314">
          <cell r="A2314" t="str">
            <v>0</v>
          </cell>
        </row>
        <row r="2315">
          <cell r="A2315" t="str">
            <v>0</v>
          </cell>
        </row>
        <row r="2316">
          <cell r="A2316" t="str">
            <v>0</v>
          </cell>
        </row>
        <row r="2317">
          <cell r="A2317" t="str">
            <v>0</v>
          </cell>
        </row>
        <row r="2318">
          <cell r="A2318" t="str">
            <v>0</v>
          </cell>
        </row>
        <row r="2319">
          <cell r="A2319" t="str">
            <v>0</v>
          </cell>
        </row>
        <row r="2320">
          <cell r="A2320" t="str">
            <v>0</v>
          </cell>
        </row>
        <row r="2321">
          <cell r="A2321" t="str">
            <v>0</v>
          </cell>
        </row>
        <row r="2322">
          <cell r="A2322" t="str">
            <v>0</v>
          </cell>
        </row>
        <row r="2323">
          <cell r="A2323" t="str">
            <v>0</v>
          </cell>
        </row>
        <row r="2324">
          <cell r="A2324" t="str">
            <v>0</v>
          </cell>
        </row>
        <row r="2325">
          <cell r="A2325" t="str">
            <v>0</v>
          </cell>
        </row>
        <row r="2326">
          <cell r="A2326" t="str">
            <v>0</v>
          </cell>
        </row>
        <row r="2327">
          <cell r="A2327" t="str">
            <v>0</v>
          </cell>
        </row>
        <row r="2328">
          <cell r="A2328" t="str">
            <v>0</v>
          </cell>
        </row>
        <row r="2329">
          <cell r="A2329" t="str">
            <v>0</v>
          </cell>
        </row>
        <row r="2330">
          <cell r="A2330" t="str">
            <v>0</v>
          </cell>
        </row>
        <row r="2331">
          <cell r="A2331" t="str">
            <v>0</v>
          </cell>
        </row>
        <row r="2332">
          <cell r="A2332" t="str">
            <v>0</v>
          </cell>
        </row>
        <row r="2333">
          <cell r="A2333" t="str">
            <v>0</v>
          </cell>
        </row>
        <row r="2334">
          <cell r="A2334" t="str">
            <v>0</v>
          </cell>
        </row>
        <row r="2335">
          <cell r="A2335" t="str">
            <v>0</v>
          </cell>
        </row>
        <row r="2336">
          <cell r="A2336" t="str">
            <v>0</v>
          </cell>
        </row>
        <row r="2337">
          <cell r="A2337" t="str">
            <v>0</v>
          </cell>
        </row>
        <row r="2338">
          <cell r="A2338" t="str">
            <v>0</v>
          </cell>
        </row>
        <row r="2340">
          <cell r="C2340" t="str">
            <v>JUMLAH TANGGAL</v>
          </cell>
          <cell r="F2340">
            <v>0</v>
          </cell>
          <cell r="G2340">
            <v>0</v>
          </cell>
        </row>
        <row r="2341">
          <cell r="C2341" t="str">
            <v>HARI INI</v>
          </cell>
        </row>
        <row r="2342">
          <cell r="C2342" t="str">
            <v>JUMLAH S/D TANGGAL</v>
          </cell>
          <cell r="F2342">
            <v>514639652</v>
          </cell>
          <cell r="G2342">
            <v>490780936</v>
          </cell>
        </row>
        <row r="2343">
          <cell r="C2343" t="str">
            <v>TOTAL</v>
          </cell>
          <cell r="F2343">
            <v>514639652</v>
          </cell>
          <cell r="G2343">
            <v>490780936</v>
          </cell>
        </row>
        <row r="2345">
          <cell r="C2345" t="str">
            <v>SISA</v>
          </cell>
          <cell r="D2345">
            <v>23858716</v>
          </cell>
        </row>
        <row r="2347">
          <cell r="A2347" t="str">
            <v>KODE BANTU</v>
          </cell>
          <cell r="B2347" t="str">
            <v>NO</v>
          </cell>
          <cell r="C2347" t="str">
            <v>MEI</v>
          </cell>
          <cell r="D2347" t="str">
            <v>URAIAN</v>
          </cell>
          <cell r="E2347" t="str">
            <v>KODE ANGGARAN</v>
          </cell>
          <cell r="F2347" t="str">
            <v>PENERIMAAN</v>
          </cell>
          <cell r="G2347" t="str">
            <v>PENGELUARAN</v>
          </cell>
        </row>
        <row r="2348">
          <cell r="A2348" t="str">
            <v>0</v>
          </cell>
        </row>
        <row r="2349">
          <cell r="A2349" t="str">
            <v>0</v>
          </cell>
        </row>
        <row r="2350">
          <cell r="A2350" t="str">
            <v>0</v>
          </cell>
        </row>
        <row r="2351">
          <cell r="A2351" t="str">
            <v>0</v>
          </cell>
        </row>
        <row r="2352">
          <cell r="A2352" t="str">
            <v>0</v>
          </cell>
        </row>
        <row r="2353">
          <cell r="A2353" t="str">
            <v>0</v>
          </cell>
        </row>
        <row r="2354">
          <cell r="A2354" t="str">
            <v>0</v>
          </cell>
        </row>
        <row r="2355">
          <cell r="A2355" t="str">
            <v>0</v>
          </cell>
        </row>
        <row r="2356">
          <cell r="A2356" t="str">
            <v>0</v>
          </cell>
        </row>
        <row r="2357">
          <cell r="A2357" t="str">
            <v>0</v>
          </cell>
        </row>
        <row r="2358">
          <cell r="A2358" t="str">
            <v>0</v>
          </cell>
        </row>
        <row r="2359">
          <cell r="A2359" t="str">
            <v>0</v>
          </cell>
        </row>
        <row r="2360">
          <cell r="A2360" t="str">
            <v>0</v>
          </cell>
        </row>
        <row r="2361">
          <cell r="A2361" t="str">
            <v>0</v>
          </cell>
        </row>
        <row r="2362">
          <cell r="A2362" t="str">
            <v>0</v>
          </cell>
        </row>
        <row r="2363">
          <cell r="A2363" t="str">
            <v>0</v>
          </cell>
        </row>
        <row r="2364">
          <cell r="A2364" t="str">
            <v>0</v>
          </cell>
        </row>
        <row r="2365">
          <cell r="A2365" t="str">
            <v>0</v>
          </cell>
        </row>
        <row r="2366">
          <cell r="A2366" t="str">
            <v>0</v>
          </cell>
        </row>
        <row r="2367">
          <cell r="A2367" t="str">
            <v>0</v>
          </cell>
        </row>
        <row r="2368">
          <cell r="A2368" t="str">
            <v>0</v>
          </cell>
        </row>
        <row r="2369">
          <cell r="A2369" t="str">
            <v>0</v>
          </cell>
        </row>
        <row r="2370">
          <cell r="A2370" t="str">
            <v>0</v>
          </cell>
        </row>
        <row r="2371">
          <cell r="A2371" t="str">
            <v>0</v>
          </cell>
        </row>
        <row r="2372">
          <cell r="A2372" t="str">
            <v>0</v>
          </cell>
        </row>
        <row r="2374">
          <cell r="C2374" t="str">
            <v>JUMLAH TANGGAL</v>
          </cell>
          <cell r="F2374">
            <v>0</v>
          </cell>
          <cell r="G2374">
            <v>0</v>
          </cell>
        </row>
        <row r="2375">
          <cell r="C2375" t="str">
            <v>HARI INI</v>
          </cell>
        </row>
        <row r="2376">
          <cell r="C2376" t="str">
            <v>JUMLAH S/D TANGGAL</v>
          </cell>
          <cell r="F2376">
            <v>514639652</v>
          </cell>
          <cell r="G2376">
            <v>490780936</v>
          </cell>
        </row>
        <row r="2377">
          <cell r="C2377" t="str">
            <v>TOTAL</v>
          </cell>
          <cell r="F2377">
            <v>514639652</v>
          </cell>
          <cell r="G2377">
            <v>490780936</v>
          </cell>
        </row>
        <row r="2379">
          <cell r="C2379" t="str">
            <v>SISA</v>
          </cell>
          <cell r="D2379">
            <v>23858716</v>
          </cell>
        </row>
        <row r="2381">
          <cell r="A2381" t="str">
            <v>KODE BANTU</v>
          </cell>
          <cell r="B2381" t="str">
            <v>NO</v>
          </cell>
          <cell r="C2381" t="str">
            <v>MEI</v>
          </cell>
          <cell r="D2381" t="str">
            <v>URAIAN</v>
          </cell>
          <cell r="E2381" t="str">
            <v>KODE ANGGARAN</v>
          </cell>
          <cell r="F2381" t="str">
            <v>PENERIMAAN</v>
          </cell>
          <cell r="G2381" t="str">
            <v>PENGELUARAN</v>
          </cell>
        </row>
        <row r="2382">
          <cell r="A2382" t="str">
            <v>0</v>
          </cell>
        </row>
        <row r="2383">
          <cell r="A2383" t="str">
            <v>0</v>
          </cell>
        </row>
        <row r="2384">
          <cell r="A2384" t="str">
            <v>0</v>
          </cell>
        </row>
        <row r="2385">
          <cell r="A2385" t="str">
            <v>0</v>
          </cell>
        </row>
        <row r="2386">
          <cell r="A2386" t="str">
            <v>0</v>
          </cell>
        </row>
        <row r="2387">
          <cell r="A2387" t="str">
            <v>0</v>
          </cell>
        </row>
        <row r="2388">
          <cell r="A2388" t="str">
            <v>0</v>
          </cell>
        </row>
        <row r="2389">
          <cell r="A2389" t="str">
            <v>0</v>
          </cell>
        </row>
        <row r="2390">
          <cell r="A2390" t="str">
            <v>0</v>
          </cell>
        </row>
        <row r="2391">
          <cell r="A2391" t="str">
            <v>0</v>
          </cell>
        </row>
        <row r="2392">
          <cell r="A2392" t="str">
            <v>0</v>
          </cell>
        </row>
        <row r="2393">
          <cell r="A2393" t="str">
            <v>0</v>
          </cell>
        </row>
        <row r="2394">
          <cell r="A2394" t="str">
            <v>0</v>
          </cell>
        </row>
        <row r="2395">
          <cell r="A2395" t="str">
            <v>0</v>
          </cell>
        </row>
        <row r="2396">
          <cell r="A2396" t="str">
            <v>0</v>
          </cell>
        </row>
        <row r="2397">
          <cell r="A2397" t="str">
            <v>0</v>
          </cell>
        </row>
        <row r="2398">
          <cell r="A2398" t="str">
            <v>0</v>
          </cell>
        </row>
        <row r="2399">
          <cell r="A2399" t="str">
            <v>0</v>
          </cell>
        </row>
        <row r="2400">
          <cell r="A2400" t="str">
            <v>0</v>
          </cell>
        </row>
        <row r="2401">
          <cell r="A2401" t="str">
            <v>0</v>
          </cell>
        </row>
        <row r="2402">
          <cell r="A2402" t="str">
            <v>0</v>
          </cell>
        </row>
        <row r="2403">
          <cell r="A2403" t="str">
            <v>0</v>
          </cell>
        </row>
        <row r="2404">
          <cell r="A2404" t="str">
            <v>0</v>
          </cell>
        </row>
        <row r="2405">
          <cell r="A2405" t="str">
            <v>0</v>
          </cell>
        </row>
        <row r="2406">
          <cell r="A2406" t="str">
            <v>0</v>
          </cell>
        </row>
        <row r="2408">
          <cell r="C2408" t="str">
            <v>JUMLAH TANGGAL</v>
          </cell>
          <cell r="F2408">
            <v>0</v>
          </cell>
          <cell r="G2408">
            <v>0</v>
          </cell>
        </row>
        <row r="2409">
          <cell r="C2409" t="str">
            <v>HARI INI</v>
          </cell>
        </row>
        <row r="2410">
          <cell r="C2410" t="str">
            <v>JUMLAH S/D TANGGAL</v>
          </cell>
          <cell r="F2410">
            <v>514639652</v>
          </cell>
          <cell r="G2410">
            <v>490780936</v>
          </cell>
        </row>
        <row r="2411">
          <cell r="C2411" t="str">
            <v>TOTAL</v>
          </cell>
          <cell r="F2411">
            <v>514639652</v>
          </cell>
          <cell r="G2411">
            <v>490780936</v>
          </cell>
        </row>
        <row r="2413">
          <cell r="C2413" t="str">
            <v>SISA</v>
          </cell>
          <cell r="D2413">
            <v>23858716</v>
          </cell>
        </row>
        <row r="2415">
          <cell r="A2415" t="str">
            <v>KODE BANTU</v>
          </cell>
          <cell r="B2415" t="str">
            <v>NO</v>
          </cell>
          <cell r="C2415" t="str">
            <v>MEI</v>
          </cell>
          <cell r="D2415" t="str">
            <v>URAIAN</v>
          </cell>
          <cell r="E2415" t="str">
            <v>KODE ANGGARAN</v>
          </cell>
          <cell r="F2415" t="str">
            <v>PENERIMAAN</v>
          </cell>
          <cell r="G2415" t="str">
            <v>PENGELUARAN</v>
          </cell>
        </row>
        <row r="2416">
          <cell r="A2416" t="str">
            <v>0</v>
          </cell>
        </row>
        <row r="2417">
          <cell r="A2417" t="str">
            <v>0</v>
          </cell>
        </row>
        <row r="2418">
          <cell r="A2418" t="str">
            <v>0</v>
          </cell>
        </row>
        <row r="2419">
          <cell r="A2419" t="str">
            <v>0</v>
          </cell>
        </row>
        <row r="2420">
          <cell r="A2420" t="str">
            <v>0</v>
          </cell>
        </row>
        <row r="2421">
          <cell r="A2421" t="str">
            <v>0</v>
          </cell>
        </row>
        <row r="2422">
          <cell r="A2422" t="str">
            <v>0</v>
          </cell>
        </row>
        <row r="2423">
          <cell r="A2423" t="str">
            <v>0</v>
          </cell>
        </row>
        <row r="2424">
          <cell r="A2424" t="str">
            <v>0</v>
          </cell>
        </row>
        <row r="2425">
          <cell r="A2425" t="str">
            <v>0</v>
          </cell>
        </row>
        <row r="2426">
          <cell r="A2426" t="str">
            <v>0</v>
          </cell>
        </row>
        <row r="2427">
          <cell r="A2427" t="str">
            <v>0</v>
          </cell>
        </row>
        <row r="2428">
          <cell r="A2428" t="str">
            <v>0</v>
          </cell>
        </row>
        <row r="2429">
          <cell r="A2429" t="str">
            <v>0</v>
          </cell>
        </row>
        <row r="2430">
          <cell r="A2430" t="str">
            <v>0</v>
          </cell>
        </row>
        <row r="2431">
          <cell r="A2431" t="str">
            <v>0</v>
          </cell>
        </row>
        <row r="2432">
          <cell r="A2432" t="str">
            <v>0</v>
          </cell>
        </row>
        <row r="2433">
          <cell r="A2433" t="str">
            <v>0</v>
          </cell>
        </row>
        <row r="2434">
          <cell r="A2434" t="str">
            <v>0</v>
          </cell>
        </row>
        <row r="2435">
          <cell r="A2435" t="str">
            <v>0</v>
          </cell>
        </row>
        <row r="2436">
          <cell r="A2436" t="str">
            <v>0</v>
          </cell>
        </row>
        <row r="2437">
          <cell r="A2437" t="str">
            <v>0</v>
          </cell>
        </row>
        <row r="2438">
          <cell r="A2438" t="str">
            <v>0</v>
          </cell>
        </row>
        <row r="2439">
          <cell r="A2439" t="str">
            <v>0</v>
          </cell>
        </row>
        <row r="2440">
          <cell r="A2440" t="str">
            <v>0</v>
          </cell>
        </row>
        <row r="2442">
          <cell r="C2442" t="str">
            <v>JUMLAH TANGGAL</v>
          </cell>
          <cell r="F2442">
            <v>0</v>
          </cell>
          <cell r="G2442">
            <v>0</v>
          </cell>
        </row>
        <row r="2443">
          <cell r="C2443" t="str">
            <v>HARI INI</v>
          </cell>
        </row>
        <row r="2444">
          <cell r="C2444" t="str">
            <v>JUMLAH S/D TANGGAL</v>
          </cell>
          <cell r="F2444">
            <v>514639652</v>
          </cell>
          <cell r="G2444">
            <v>490780936</v>
          </cell>
        </row>
        <row r="2445">
          <cell r="C2445" t="str">
            <v>TOTAL</v>
          </cell>
          <cell r="F2445">
            <v>514639652</v>
          </cell>
          <cell r="G2445">
            <v>490780936</v>
          </cell>
        </row>
        <row r="2447">
          <cell r="C2447" t="str">
            <v>SISA</v>
          </cell>
          <cell r="D2447">
            <v>23858716</v>
          </cell>
        </row>
        <row r="2449">
          <cell r="A2449" t="str">
            <v>KODE BANTU</v>
          </cell>
          <cell r="B2449" t="str">
            <v>NO</v>
          </cell>
          <cell r="C2449" t="str">
            <v>MEI</v>
          </cell>
          <cell r="D2449" t="str">
            <v>URAIAN</v>
          </cell>
          <cell r="E2449" t="str">
            <v>KODE ANGGARAN</v>
          </cell>
          <cell r="F2449" t="str">
            <v>PENERIMAAN</v>
          </cell>
          <cell r="G2449" t="str">
            <v>PENGELUARAN</v>
          </cell>
        </row>
        <row r="2450">
          <cell r="A2450" t="str">
            <v>0</v>
          </cell>
        </row>
        <row r="2451">
          <cell r="A2451" t="str">
            <v>0</v>
          </cell>
        </row>
        <row r="2452">
          <cell r="A2452" t="str">
            <v>0</v>
          </cell>
        </row>
        <row r="2453">
          <cell r="A2453" t="str">
            <v>0</v>
          </cell>
        </row>
        <row r="2454">
          <cell r="A2454" t="str">
            <v>0</v>
          </cell>
        </row>
        <row r="2455">
          <cell r="A2455" t="str">
            <v>0</v>
          </cell>
        </row>
        <row r="2456">
          <cell r="A2456" t="str">
            <v>0</v>
          </cell>
        </row>
        <row r="2457">
          <cell r="A2457" t="str">
            <v>0</v>
          </cell>
        </row>
        <row r="2458">
          <cell r="A2458" t="str">
            <v>0</v>
          </cell>
        </row>
        <row r="2459">
          <cell r="A2459" t="str">
            <v>0</v>
          </cell>
        </row>
        <row r="2460">
          <cell r="A2460" t="str">
            <v>0</v>
          </cell>
        </row>
        <row r="2461">
          <cell r="A2461" t="str">
            <v>0</v>
          </cell>
        </row>
        <row r="2462">
          <cell r="A2462" t="str">
            <v>0</v>
          </cell>
        </row>
        <row r="2463">
          <cell r="A2463" t="str">
            <v>0</v>
          </cell>
        </row>
        <row r="2464">
          <cell r="A2464" t="str">
            <v>0</v>
          </cell>
        </row>
        <row r="2465">
          <cell r="A2465" t="str">
            <v>0</v>
          </cell>
        </row>
        <row r="2466">
          <cell r="A2466" t="str">
            <v>0</v>
          </cell>
        </row>
        <row r="2467">
          <cell r="A2467" t="str">
            <v>0</v>
          </cell>
        </row>
        <row r="2468">
          <cell r="A2468" t="str">
            <v>0</v>
          </cell>
        </row>
        <row r="2469">
          <cell r="A2469" t="str">
            <v>0</v>
          </cell>
        </row>
        <row r="2470">
          <cell r="A2470" t="str">
            <v>0</v>
          </cell>
        </row>
        <row r="2471">
          <cell r="A2471" t="str">
            <v>0</v>
          </cell>
        </row>
        <row r="2472">
          <cell r="A2472" t="str">
            <v>0</v>
          </cell>
        </row>
        <row r="2473">
          <cell r="A2473" t="str">
            <v>0</v>
          </cell>
        </row>
        <row r="2474">
          <cell r="A2474" t="str">
            <v>0</v>
          </cell>
        </row>
        <row r="2476">
          <cell r="C2476" t="str">
            <v>JUMLAH TANGGAL</v>
          </cell>
          <cell r="F2476">
            <v>0</v>
          </cell>
          <cell r="G2476">
            <v>0</v>
          </cell>
        </row>
        <row r="2477">
          <cell r="C2477" t="str">
            <v>HARI INI</v>
          </cell>
        </row>
        <row r="2478">
          <cell r="C2478" t="str">
            <v>JUMLAH S/D TANGGAL</v>
          </cell>
          <cell r="F2478">
            <v>514639652</v>
          </cell>
          <cell r="G2478">
            <v>490780936</v>
          </cell>
        </row>
        <row r="2479">
          <cell r="C2479" t="str">
            <v>TOTAL</v>
          </cell>
          <cell r="F2479">
            <v>514639652</v>
          </cell>
          <cell r="G2479">
            <v>490780936</v>
          </cell>
        </row>
        <row r="2481">
          <cell r="C2481" t="str">
            <v>SISA</v>
          </cell>
          <cell r="D2481">
            <v>23858716</v>
          </cell>
        </row>
        <row r="2483">
          <cell r="A2483" t="str">
            <v>KODE BANTU</v>
          </cell>
          <cell r="B2483" t="str">
            <v>NO</v>
          </cell>
          <cell r="C2483" t="str">
            <v>MEI</v>
          </cell>
          <cell r="D2483" t="str">
            <v>URAIAN</v>
          </cell>
          <cell r="E2483" t="str">
            <v>KODE ANGGARAN</v>
          </cell>
          <cell r="F2483" t="str">
            <v>PENERIMAAN</v>
          </cell>
          <cell r="G2483" t="str">
            <v>PENGELUARAN</v>
          </cell>
        </row>
        <row r="2484">
          <cell r="A2484" t="str">
            <v>0</v>
          </cell>
        </row>
        <row r="2485">
          <cell r="A2485" t="str">
            <v>0</v>
          </cell>
        </row>
        <row r="2486">
          <cell r="A2486" t="str">
            <v>0</v>
          </cell>
        </row>
        <row r="2487">
          <cell r="A2487" t="str">
            <v>0</v>
          </cell>
        </row>
        <row r="2488">
          <cell r="A2488" t="str">
            <v>0</v>
          </cell>
        </row>
        <row r="2489">
          <cell r="A2489" t="str">
            <v>0</v>
          </cell>
        </row>
        <row r="2490">
          <cell r="A2490" t="str">
            <v>0</v>
          </cell>
        </row>
        <row r="2491">
          <cell r="A2491" t="str">
            <v>0</v>
          </cell>
        </row>
        <row r="2492">
          <cell r="A2492" t="str">
            <v>0</v>
          </cell>
        </row>
        <row r="2493">
          <cell r="A2493" t="str">
            <v>0</v>
          </cell>
        </row>
        <row r="2494">
          <cell r="A2494" t="str">
            <v>0</v>
          </cell>
        </row>
        <row r="2495">
          <cell r="A2495" t="str">
            <v>0</v>
          </cell>
        </row>
        <row r="2496">
          <cell r="A2496" t="str">
            <v>0</v>
          </cell>
        </row>
        <row r="2497">
          <cell r="A2497" t="str">
            <v>0</v>
          </cell>
        </row>
        <row r="2498">
          <cell r="A2498" t="str">
            <v>0</v>
          </cell>
        </row>
        <row r="2499">
          <cell r="A2499" t="str">
            <v>0</v>
          </cell>
        </row>
        <row r="2500">
          <cell r="A2500" t="str">
            <v>0</v>
          </cell>
        </row>
        <row r="2501">
          <cell r="A2501" t="str">
            <v>0</v>
          </cell>
        </row>
        <row r="2502">
          <cell r="A2502" t="str">
            <v>0</v>
          </cell>
        </row>
        <row r="2503">
          <cell r="A2503" t="str">
            <v>0</v>
          </cell>
        </row>
        <row r="2504">
          <cell r="A2504" t="str">
            <v>0</v>
          </cell>
        </row>
        <row r="2505">
          <cell r="A2505" t="str">
            <v>0</v>
          </cell>
        </row>
        <row r="2506">
          <cell r="A2506" t="str">
            <v>0</v>
          </cell>
        </row>
        <row r="2507">
          <cell r="A2507" t="str">
            <v>0</v>
          </cell>
        </row>
        <row r="2508">
          <cell r="A2508" t="str">
            <v>0</v>
          </cell>
        </row>
        <row r="2510">
          <cell r="C2510" t="str">
            <v>JUMLAH TANGGAL</v>
          </cell>
          <cell r="F2510">
            <v>0</v>
          </cell>
          <cell r="G2510">
            <v>0</v>
          </cell>
        </row>
        <row r="2511">
          <cell r="C2511" t="str">
            <v>HARI INI</v>
          </cell>
        </row>
        <row r="2512">
          <cell r="C2512" t="str">
            <v>JUMLAH S/D TANGGAL</v>
          </cell>
          <cell r="F2512">
            <v>514639652</v>
          </cell>
          <cell r="G2512">
            <v>490780936</v>
          </cell>
        </row>
        <row r="2513">
          <cell r="C2513" t="str">
            <v>TOTAL</v>
          </cell>
          <cell r="F2513">
            <v>514639652</v>
          </cell>
          <cell r="G2513">
            <v>490780936</v>
          </cell>
        </row>
        <row r="2515">
          <cell r="C2515" t="str">
            <v>SISA</v>
          </cell>
          <cell r="D2515">
            <v>23858716</v>
          </cell>
        </row>
        <row r="2517">
          <cell r="A2517" t="str">
            <v>KODE BANTU</v>
          </cell>
          <cell r="B2517" t="str">
            <v>NO</v>
          </cell>
          <cell r="C2517" t="str">
            <v>MEI</v>
          </cell>
          <cell r="D2517" t="str">
            <v>URAIAN</v>
          </cell>
          <cell r="E2517" t="str">
            <v>KODE ANGGARAN</v>
          </cell>
          <cell r="F2517" t="str">
            <v>PENERIMAAN</v>
          </cell>
          <cell r="G2517" t="str">
            <v>PENGELUARAN</v>
          </cell>
        </row>
        <row r="2518">
          <cell r="A2518" t="str">
            <v>0</v>
          </cell>
        </row>
        <row r="2519">
          <cell r="A2519" t="str">
            <v>0</v>
          </cell>
        </row>
        <row r="2520">
          <cell r="A2520" t="str">
            <v>0</v>
          </cell>
        </row>
        <row r="2521">
          <cell r="A2521" t="str">
            <v>0</v>
          </cell>
        </row>
        <row r="2522">
          <cell r="A2522" t="str">
            <v>0</v>
          </cell>
        </row>
        <row r="2523">
          <cell r="A2523" t="str">
            <v>0</v>
          </cell>
        </row>
        <row r="2524">
          <cell r="A2524" t="str">
            <v>0</v>
          </cell>
        </row>
        <row r="2525">
          <cell r="A2525" t="str">
            <v>0</v>
          </cell>
        </row>
        <row r="2526">
          <cell r="A2526" t="str">
            <v>0</v>
          </cell>
        </row>
        <row r="2527">
          <cell r="A2527" t="str">
            <v>0</v>
          </cell>
        </row>
        <row r="2528">
          <cell r="A2528" t="str">
            <v>0</v>
          </cell>
        </row>
        <row r="2529">
          <cell r="A2529" t="str">
            <v>0</v>
          </cell>
        </row>
        <row r="2530">
          <cell r="A2530" t="str">
            <v>0</v>
          </cell>
        </row>
        <row r="2531">
          <cell r="A2531" t="str">
            <v>0</v>
          </cell>
        </row>
        <row r="2532">
          <cell r="A2532" t="str">
            <v>0</v>
          </cell>
        </row>
        <row r="2533">
          <cell r="A2533" t="str">
            <v>0</v>
          </cell>
        </row>
        <row r="2534">
          <cell r="A2534" t="str">
            <v>0</v>
          </cell>
        </row>
        <row r="2535">
          <cell r="A2535" t="str">
            <v>0</v>
          </cell>
        </row>
        <row r="2536">
          <cell r="A2536" t="str">
            <v>0</v>
          </cell>
        </row>
        <row r="2537">
          <cell r="A2537" t="str">
            <v>0</v>
          </cell>
        </row>
        <row r="2538">
          <cell r="A2538" t="str">
            <v>0</v>
          </cell>
        </row>
        <row r="2539">
          <cell r="A2539" t="str">
            <v>0</v>
          </cell>
        </row>
        <row r="2540">
          <cell r="A2540" t="str">
            <v>0</v>
          </cell>
        </row>
        <row r="2541">
          <cell r="A2541" t="str">
            <v>0</v>
          </cell>
        </row>
        <row r="2542">
          <cell r="A2542" t="str">
            <v>0</v>
          </cell>
        </row>
        <row r="2544">
          <cell r="C2544" t="str">
            <v>JUMLAH TANGGAL</v>
          </cell>
          <cell r="F2544">
            <v>0</v>
          </cell>
          <cell r="G2544">
            <v>0</v>
          </cell>
        </row>
        <row r="2545">
          <cell r="C2545" t="str">
            <v>HARI INI</v>
          </cell>
        </row>
        <row r="2546">
          <cell r="C2546" t="str">
            <v>JUMLAH S/D TANGGAL</v>
          </cell>
          <cell r="F2546">
            <v>514639652</v>
          </cell>
          <cell r="G2546">
            <v>490780936</v>
          </cell>
        </row>
        <row r="2547">
          <cell r="C2547" t="str">
            <v>TOTAL</v>
          </cell>
          <cell r="F2547">
            <v>514639652</v>
          </cell>
          <cell r="G2547">
            <v>490780936</v>
          </cell>
        </row>
        <row r="2549">
          <cell r="C2549" t="str">
            <v>SISA</v>
          </cell>
          <cell r="D2549">
            <v>23858716</v>
          </cell>
        </row>
        <row r="2551">
          <cell r="A2551" t="str">
            <v>KODE BANTU</v>
          </cell>
          <cell r="B2551" t="str">
            <v>NO</v>
          </cell>
          <cell r="C2551" t="str">
            <v>MEI</v>
          </cell>
          <cell r="D2551" t="str">
            <v>URAIAN</v>
          </cell>
          <cell r="E2551" t="str">
            <v>KODE ANGGARAN</v>
          </cell>
          <cell r="F2551" t="str">
            <v>PENERIMAAN</v>
          </cell>
          <cell r="G2551" t="str">
            <v>PENGELUARAN</v>
          </cell>
        </row>
        <row r="2552">
          <cell r="A2552" t="str">
            <v>0</v>
          </cell>
        </row>
        <row r="2553">
          <cell r="A2553" t="str">
            <v>0</v>
          </cell>
        </row>
        <row r="2554">
          <cell r="A2554" t="str">
            <v>0</v>
          </cell>
        </row>
        <row r="2555">
          <cell r="A2555" t="str">
            <v>0</v>
          </cell>
        </row>
        <row r="2556">
          <cell r="A2556" t="str">
            <v>0</v>
          </cell>
        </row>
        <row r="2557">
          <cell r="A2557" t="str">
            <v>0</v>
          </cell>
        </row>
        <row r="2558">
          <cell r="A2558" t="str">
            <v>0</v>
          </cell>
        </row>
        <row r="2559">
          <cell r="A2559" t="str">
            <v>0</v>
          </cell>
        </row>
        <row r="2560">
          <cell r="A2560" t="str">
            <v>0</v>
          </cell>
        </row>
        <row r="2561">
          <cell r="A2561" t="str">
            <v>0</v>
          </cell>
        </row>
        <row r="2562">
          <cell r="A2562" t="str">
            <v>0</v>
          </cell>
        </row>
        <row r="2563">
          <cell r="A2563" t="str">
            <v>0</v>
          </cell>
        </row>
        <row r="2564">
          <cell r="A2564" t="str">
            <v>0</v>
          </cell>
        </row>
        <row r="2565">
          <cell r="A2565" t="str">
            <v>0</v>
          </cell>
        </row>
        <row r="2566">
          <cell r="A2566" t="str">
            <v>0</v>
          </cell>
        </row>
        <row r="2567">
          <cell r="A2567" t="str">
            <v>0</v>
          </cell>
        </row>
        <row r="2568">
          <cell r="A2568" t="str">
            <v>0</v>
          </cell>
        </row>
        <row r="2569">
          <cell r="A2569" t="str">
            <v>0</v>
          </cell>
        </row>
        <row r="2570">
          <cell r="A2570" t="str">
            <v>0</v>
          </cell>
        </row>
        <row r="2571">
          <cell r="A2571" t="str">
            <v>0</v>
          </cell>
        </row>
        <row r="2572">
          <cell r="A2572" t="str">
            <v>0</v>
          </cell>
        </row>
        <row r="2573">
          <cell r="A2573" t="str">
            <v>0</v>
          </cell>
        </row>
        <row r="2574">
          <cell r="A2574" t="str">
            <v>0</v>
          </cell>
        </row>
        <row r="2575">
          <cell r="A2575" t="str">
            <v>0</v>
          </cell>
        </row>
        <row r="2576">
          <cell r="A2576" t="str">
            <v>0</v>
          </cell>
        </row>
        <row r="2578">
          <cell r="C2578" t="str">
            <v>JUMLAH TANGGAL</v>
          </cell>
          <cell r="F2578">
            <v>0</v>
          </cell>
          <cell r="G2578">
            <v>0</v>
          </cell>
        </row>
        <row r="2579">
          <cell r="C2579" t="str">
            <v>HARI INI</v>
          </cell>
        </row>
        <row r="2580">
          <cell r="C2580" t="str">
            <v>JUMLAH S/D TANGGAL</v>
          </cell>
          <cell r="F2580">
            <v>514639652</v>
          </cell>
          <cell r="G2580">
            <v>490780936</v>
          </cell>
        </row>
        <row r="2581">
          <cell r="C2581" t="str">
            <v>TOTAL</v>
          </cell>
          <cell r="F2581">
            <v>514639652</v>
          </cell>
          <cell r="G2581">
            <v>490780936</v>
          </cell>
        </row>
        <row r="2583">
          <cell r="C2583" t="str">
            <v>SISA</v>
          </cell>
          <cell r="D2583">
            <v>23858716</v>
          </cell>
        </row>
        <row r="2585">
          <cell r="A2585" t="str">
            <v>KODE BANTU</v>
          </cell>
          <cell r="B2585" t="str">
            <v>NO</v>
          </cell>
          <cell r="C2585" t="str">
            <v>MEI</v>
          </cell>
          <cell r="D2585" t="str">
            <v>URAIAN</v>
          </cell>
          <cell r="E2585" t="str">
            <v>KODE ANGGARAN</v>
          </cell>
          <cell r="F2585" t="str">
            <v>PENERIMAAN</v>
          </cell>
          <cell r="G2585" t="str">
            <v>PENGELUARAN</v>
          </cell>
        </row>
        <row r="2586">
          <cell r="A2586" t="str">
            <v>0</v>
          </cell>
        </row>
        <row r="2587">
          <cell r="A2587" t="str">
            <v>0</v>
          </cell>
        </row>
        <row r="2588">
          <cell r="A2588" t="str">
            <v>0</v>
          </cell>
        </row>
        <row r="2589">
          <cell r="A2589" t="str">
            <v>0</v>
          </cell>
        </row>
        <row r="2590">
          <cell r="A2590" t="str">
            <v>0</v>
          </cell>
        </row>
        <row r="2591">
          <cell r="A2591" t="str">
            <v>0</v>
          </cell>
        </row>
        <row r="2592">
          <cell r="A2592" t="str">
            <v>0</v>
          </cell>
        </row>
        <row r="2593">
          <cell r="A2593" t="str">
            <v>0</v>
          </cell>
        </row>
        <row r="2594">
          <cell r="A2594" t="str">
            <v>0</v>
          </cell>
        </row>
        <row r="2595">
          <cell r="A2595" t="str">
            <v>0</v>
          </cell>
        </row>
        <row r="2596">
          <cell r="A2596" t="str">
            <v>0</v>
          </cell>
        </row>
        <row r="2597">
          <cell r="A2597" t="str">
            <v>0</v>
          </cell>
        </row>
        <row r="2598">
          <cell r="A2598" t="str">
            <v>0</v>
          </cell>
        </row>
        <row r="2599">
          <cell r="A2599" t="str">
            <v>0</v>
          </cell>
        </row>
        <row r="2600">
          <cell r="A2600" t="str">
            <v>0</v>
          </cell>
        </row>
        <row r="2601">
          <cell r="A2601" t="str">
            <v>0</v>
          </cell>
        </row>
        <row r="2602">
          <cell r="A2602" t="str">
            <v>0</v>
          </cell>
        </row>
        <row r="2603">
          <cell r="A2603" t="str">
            <v>0</v>
          </cell>
        </row>
        <row r="2604">
          <cell r="A2604" t="str">
            <v>0</v>
          </cell>
        </row>
        <row r="2605">
          <cell r="A2605" t="str">
            <v>0</v>
          </cell>
        </row>
        <row r="2606">
          <cell r="A2606" t="str">
            <v>0</v>
          </cell>
        </row>
        <row r="2607">
          <cell r="A2607" t="str">
            <v>0</v>
          </cell>
        </row>
        <row r="2608">
          <cell r="A2608" t="str">
            <v>0</v>
          </cell>
        </row>
        <row r="2609">
          <cell r="A2609" t="str">
            <v>0</v>
          </cell>
        </row>
        <row r="2610">
          <cell r="A2610" t="str">
            <v>0</v>
          </cell>
        </row>
        <row r="2612">
          <cell r="C2612" t="str">
            <v>JUMLAH TANGGAL</v>
          </cell>
          <cell r="F2612">
            <v>0</v>
          </cell>
          <cell r="G2612">
            <v>0</v>
          </cell>
        </row>
        <row r="2613">
          <cell r="C2613" t="str">
            <v>HARI INI</v>
          </cell>
        </row>
        <row r="2614">
          <cell r="C2614" t="str">
            <v>JUMLAH S/D TANGGAL</v>
          </cell>
          <cell r="F2614">
            <v>514639652</v>
          </cell>
          <cell r="G2614">
            <v>490780936</v>
          </cell>
        </row>
        <row r="2615">
          <cell r="C2615" t="str">
            <v>TOTAL</v>
          </cell>
          <cell r="F2615">
            <v>514639652</v>
          </cell>
          <cell r="G2615">
            <v>490780936</v>
          </cell>
        </row>
        <row r="2617">
          <cell r="C2617" t="str">
            <v>SISA</v>
          </cell>
          <cell r="D2617">
            <v>23858716</v>
          </cell>
        </row>
        <row r="2619">
          <cell r="A2619" t="str">
            <v>KODE BANTU</v>
          </cell>
          <cell r="B2619" t="str">
            <v>NO</v>
          </cell>
          <cell r="C2619" t="str">
            <v>MEI</v>
          </cell>
          <cell r="D2619" t="str">
            <v>URAIAN</v>
          </cell>
          <cell r="E2619" t="str">
            <v>KODE ANGGARAN</v>
          </cell>
          <cell r="F2619" t="str">
            <v>PENERIMAAN</v>
          </cell>
          <cell r="G2619" t="str">
            <v>PENGELUARAN</v>
          </cell>
        </row>
        <row r="2620">
          <cell r="A2620" t="str">
            <v>0</v>
          </cell>
        </row>
        <row r="2621">
          <cell r="A2621" t="str">
            <v>0</v>
          </cell>
        </row>
        <row r="2622">
          <cell r="A2622" t="str">
            <v>0</v>
          </cell>
        </row>
        <row r="2623">
          <cell r="A2623" t="str">
            <v>0</v>
          </cell>
        </row>
        <row r="2624">
          <cell r="A2624" t="str">
            <v>0</v>
          </cell>
        </row>
        <row r="2625">
          <cell r="A2625" t="str">
            <v>0</v>
          </cell>
        </row>
        <row r="2626">
          <cell r="A2626" t="str">
            <v>0</v>
          </cell>
        </row>
        <row r="2627">
          <cell r="A2627" t="str">
            <v>0</v>
          </cell>
        </row>
        <row r="2628">
          <cell r="A2628" t="str">
            <v>0</v>
          </cell>
        </row>
        <row r="2629">
          <cell r="A2629" t="str">
            <v>0</v>
          </cell>
        </row>
        <row r="2630">
          <cell r="A2630" t="str">
            <v>0</v>
          </cell>
        </row>
        <row r="2631">
          <cell r="A2631" t="str">
            <v>0</v>
          </cell>
        </row>
        <row r="2632">
          <cell r="A2632" t="str">
            <v>0</v>
          </cell>
        </row>
        <row r="2633">
          <cell r="A2633" t="str">
            <v>0</v>
          </cell>
        </row>
        <row r="2634">
          <cell r="A2634" t="str">
            <v>0</v>
          </cell>
        </row>
        <row r="2635">
          <cell r="A2635" t="str">
            <v>0</v>
          </cell>
        </row>
        <row r="2636">
          <cell r="A2636" t="str">
            <v>0</v>
          </cell>
        </row>
        <row r="2637">
          <cell r="A2637" t="str">
            <v>0</v>
          </cell>
        </row>
        <row r="2638">
          <cell r="A2638" t="str">
            <v>0</v>
          </cell>
        </row>
        <row r="2639">
          <cell r="A2639" t="str">
            <v>0</v>
          </cell>
        </row>
        <row r="2640">
          <cell r="A2640" t="str">
            <v>0</v>
          </cell>
        </row>
        <row r="2641">
          <cell r="A2641" t="str">
            <v>0</v>
          </cell>
        </row>
        <row r="2642">
          <cell r="A2642" t="str">
            <v>0</v>
          </cell>
        </row>
        <row r="2643">
          <cell r="A2643" t="str">
            <v>0</v>
          </cell>
        </row>
        <row r="2644">
          <cell r="A2644" t="str">
            <v>0</v>
          </cell>
        </row>
        <row r="2646">
          <cell r="C2646" t="str">
            <v>JUMLAH TANGGAL</v>
          </cell>
          <cell r="F2646">
            <v>0</v>
          </cell>
          <cell r="G2646">
            <v>0</v>
          </cell>
        </row>
        <row r="2647">
          <cell r="C2647" t="str">
            <v>HARI INI</v>
          </cell>
        </row>
        <row r="2648">
          <cell r="C2648" t="str">
            <v>JUMLAH S/D TANGGAL</v>
          </cell>
          <cell r="F2648">
            <v>514639652</v>
          </cell>
          <cell r="G2648">
            <v>490780936</v>
          </cell>
        </row>
        <row r="2649">
          <cell r="C2649" t="str">
            <v>TOTAL</v>
          </cell>
          <cell r="F2649">
            <v>514639652</v>
          </cell>
          <cell r="G2649">
            <v>490780936</v>
          </cell>
        </row>
        <row r="2651">
          <cell r="C2651" t="str">
            <v>SISA</v>
          </cell>
          <cell r="D2651">
            <v>23858716</v>
          </cell>
        </row>
        <row r="2653">
          <cell r="A2653" t="str">
            <v>KODE BANTU</v>
          </cell>
          <cell r="B2653" t="str">
            <v>NO</v>
          </cell>
          <cell r="C2653" t="str">
            <v>MEI</v>
          </cell>
          <cell r="D2653" t="str">
            <v>URAIAN</v>
          </cell>
          <cell r="E2653" t="str">
            <v>KODE ANGGARAN</v>
          </cell>
          <cell r="F2653" t="str">
            <v>PENERIMAAN</v>
          </cell>
          <cell r="G2653" t="str">
            <v>PENGELUARAN</v>
          </cell>
        </row>
        <row r="2654">
          <cell r="A2654" t="str">
            <v>0</v>
          </cell>
        </row>
        <row r="2655">
          <cell r="A2655" t="str">
            <v>0</v>
          </cell>
        </row>
        <row r="2656">
          <cell r="A2656" t="str">
            <v>0</v>
          </cell>
        </row>
        <row r="2657">
          <cell r="A2657" t="str">
            <v>0</v>
          </cell>
        </row>
        <row r="2658">
          <cell r="A2658" t="str">
            <v>0</v>
          </cell>
        </row>
        <row r="2659">
          <cell r="A2659" t="str">
            <v>0</v>
          </cell>
        </row>
        <row r="2660">
          <cell r="A2660" t="str">
            <v>0</v>
          </cell>
        </row>
        <row r="2661">
          <cell r="A2661" t="str">
            <v>0</v>
          </cell>
        </row>
        <row r="2662">
          <cell r="A2662" t="str">
            <v>0</v>
          </cell>
        </row>
        <row r="2663">
          <cell r="A2663" t="str">
            <v>0</v>
          </cell>
        </row>
        <row r="2664">
          <cell r="A2664" t="str">
            <v>0</v>
          </cell>
        </row>
        <row r="2665">
          <cell r="A2665" t="str">
            <v>0</v>
          </cell>
        </row>
        <row r="2666">
          <cell r="A2666" t="str">
            <v>0</v>
          </cell>
        </row>
        <row r="2667">
          <cell r="A2667" t="str">
            <v>0</v>
          </cell>
        </row>
        <row r="2668">
          <cell r="A2668" t="str">
            <v>0</v>
          </cell>
        </row>
        <row r="2669">
          <cell r="A2669" t="str">
            <v>0</v>
          </cell>
        </row>
        <row r="2670">
          <cell r="A2670" t="str">
            <v>0</v>
          </cell>
        </row>
        <row r="2671">
          <cell r="A2671" t="str">
            <v>0</v>
          </cell>
        </row>
        <row r="2672">
          <cell r="A2672" t="str">
            <v>0</v>
          </cell>
        </row>
        <row r="2673">
          <cell r="A2673" t="str">
            <v>0</v>
          </cell>
        </row>
        <row r="2674">
          <cell r="A2674" t="str">
            <v>0</v>
          </cell>
        </row>
        <row r="2675">
          <cell r="A2675" t="str">
            <v>0</v>
          </cell>
        </row>
        <row r="2676">
          <cell r="A2676" t="str">
            <v>0</v>
          </cell>
        </row>
        <row r="2677">
          <cell r="A2677" t="str">
            <v>0</v>
          </cell>
        </row>
        <row r="2678">
          <cell r="A2678" t="str">
            <v>0</v>
          </cell>
        </row>
        <row r="2680">
          <cell r="C2680" t="str">
            <v>JUMLAH TANGGAL</v>
          </cell>
          <cell r="F2680">
            <v>0</v>
          </cell>
          <cell r="G2680">
            <v>0</v>
          </cell>
        </row>
        <row r="2681">
          <cell r="C2681" t="str">
            <v>HARI INI</v>
          </cell>
        </row>
        <row r="2682">
          <cell r="C2682" t="str">
            <v>JUMLAH S/D TANGGAL</v>
          </cell>
          <cell r="F2682">
            <v>514639652</v>
          </cell>
          <cell r="G2682">
            <v>490780936</v>
          </cell>
        </row>
        <row r="2683">
          <cell r="C2683" t="str">
            <v>TOTAL</v>
          </cell>
          <cell r="F2683">
            <v>514639652</v>
          </cell>
          <cell r="G2683">
            <v>490780936</v>
          </cell>
        </row>
        <row r="2685">
          <cell r="C2685" t="str">
            <v>SISA</v>
          </cell>
          <cell r="D2685">
            <v>23858716</v>
          </cell>
        </row>
        <row r="2687">
          <cell r="A2687" t="str">
            <v>KODE BANTU</v>
          </cell>
          <cell r="B2687" t="str">
            <v>NO</v>
          </cell>
          <cell r="C2687" t="str">
            <v>MEI</v>
          </cell>
          <cell r="D2687" t="str">
            <v>URAIAN</v>
          </cell>
          <cell r="E2687" t="str">
            <v>KODE ANGGARAN</v>
          </cell>
          <cell r="F2687" t="str">
            <v>PENERIMAAN</v>
          </cell>
          <cell r="G2687" t="str">
            <v>PENGELUARAN</v>
          </cell>
        </row>
        <row r="2688">
          <cell r="A2688" t="str">
            <v>0</v>
          </cell>
        </row>
        <row r="2689">
          <cell r="A2689" t="str">
            <v>0</v>
          </cell>
        </row>
        <row r="2690">
          <cell r="A2690" t="str">
            <v>0</v>
          </cell>
        </row>
        <row r="2691">
          <cell r="A2691" t="str">
            <v>0</v>
          </cell>
        </row>
        <row r="2692">
          <cell r="A2692" t="str">
            <v>0</v>
          </cell>
        </row>
        <row r="2693">
          <cell r="A2693" t="str">
            <v>0</v>
          </cell>
        </row>
        <row r="2694">
          <cell r="A2694" t="str">
            <v>0</v>
          </cell>
        </row>
        <row r="2695">
          <cell r="A2695" t="str">
            <v>0</v>
          </cell>
        </row>
        <row r="2696">
          <cell r="A2696" t="str">
            <v>0</v>
          </cell>
        </row>
        <row r="2697">
          <cell r="A2697" t="str">
            <v>0</v>
          </cell>
        </row>
        <row r="2698">
          <cell r="A2698" t="str">
            <v>0</v>
          </cell>
        </row>
        <row r="2699">
          <cell r="A2699" t="str">
            <v>0</v>
          </cell>
        </row>
        <row r="2700">
          <cell r="A2700" t="str">
            <v>0</v>
          </cell>
        </row>
        <row r="2701">
          <cell r="A2701" t="str">
            <v>0</v>
          </cell>
        </row>
        <row r="2702">
          <cell r="A2702" t="str">
            <v>0</v>
          </cell>
        </row>
        <row r="2703">
          <cell r="A2703" t="str">
            <v>0</v>
          </cell>
        </row>
        <row r="2704">
          <cell r="A2704" t="str">
            <v>0</v>
          </cell>
        </row>
        <row r="2705">
          <cell r="A2705" t="str">
            <v>0</v>
          </cell>
        </row>
        <row r="2706">
          <cell r="A2706" t="str">
            <v>0</v>
          </cell>
        </row>
        <row r="2707">
          <cell r="A2707" t="str">
            <v>0</v>
          </cell>
        </row>
        <row r="2708">
          <cell r="A2708" t="str">
            <v>0</v>
          </cell>
        </row>
        <row r="2709">
          <cell r="A2709" t="str">
            <v>0</v>
          </cell>
        </row>
        <row r="2710">
          <cell r="A2710" t="str">
            <v>0</v>
          </cell>
        </row>
        <row r="2711">
          <cell r="A2711" t="str">
            <v>0</v>
          </cell>
        </row>
        <row r="2712">
          <cell r="A2712" t="str">
            <v>0</v>
          </cell>
        </row>
        <row r="2714">
          <cell r="C2714" t="str">
            <v>JUMLAH TANGGAL</v>
          </cell>
          <cell r="F2714">
            <v>0</v>
          </cell>
          <cell r="G2714">
            <v>0</v>
          </cell>
        </row>
        <row r="2715">
          <cell r="C2715" t="str">
            <v>HARI INI</v>
          </cell>
        </row>
        <row r="2716">
          <cell r="C2716" t="str">
            <v>JUMLAH S/D TANGGAL</v>
          </cell>
          <cell r="F2716">
            <v>514639652</v>
          </cell>
          <cell r="G2716">
            <v>490780936</v>
          </cell>
        </row>
        <row r="2717">
          <cell r="C2717" t="str">
            <v>TOTAL</v>
          </cell>
          <cell r="F2717">
            <v>514639652</v>
          </cell>
          <cell r="G2717">
            <v>490780936</v>
          </cell>
        </row>
        <row r="2719">
          <cell r="C2719" t="str">
            <v>SISA</v>
          </cell>
          <cell r="D2719">
            <v>23858716</v>
          </cell>
        </row>
        <row r="2721">
          <cell r="A2721" t="str">
            <v>KODE BANTU</v>
          </cell>
          <cell r="B2721" t="str">
            <v>NO</v>
          </cell>
          <cell r="C2721" t="str">
            <v>MEI</v>
          </cell>
          <cell r="D2721" t="str">
            <v>URAIAN</v>
          </cell>
          <cell r="E2721" t="str">
            <v>KODE ANGGARAN</v>
          </cell>
          <cell r="F2721" t="str">
            <v>PENERIMAAN</v>
          </cell>
          <cell r="G2721" t="str">
            <v>PENGELUARAN</v>
          </cell>
        </row>
        <row r="2722">
          <cell r="A2722" t="str">
            <v>0</v>
          </cell>
        </row>
        <row r="2723">
          <cell r="A2723" t="str">
            <v>0</v>
          </cell>
        </row>
        <row r="2724">
          <cell r="A2724" t="str">
            <v>0</v>
          </cell>
        </row>
        <row r="2725">
          <cell r="A2725" t="str">
            <v>0</v>
          </cell>
        </row>
        <row r="2726">
          <cell r="A2726" t="str">
            <v>0</v>
          </cell>
        </row>
        <row r="2727">
          <cell r="A2727" t="str">
            <v>0</v>
          </cell>
        </row>
        <row r="2728">
          <cell r="A2728" t="str">
            <v>0</v>
          </cell>
        </row>
        <row r="2729">
          <cell r="A2729" t="str">
            <v>0</v>
          </cell>
        </row>
        <row r="2730">
          <cell r="A2730" t="str">
            <v>0</v>
          </cell>
        </row>
        <row r="2731">
          <cell r="A2731" t="str">
            <v>0</v>
          </cell>
        </row>
        <row r="2732">
          <cell r="A2732" t="str">
            <v>0</v>
          </cell>
        </row>
        <row r="2733">
          <cell r="A2733" t="str">
            <v>0</v>
          </cell>
        </row>
        <row r="2734">
          <cell r="A2734" t="str">
            <v>0</v>
          </cell>
        </row>
        <row r="2735">
          <cell r="A2735" t="str">
            <v>0</v>
          </cell>
        </row>
        <row r="2736">
          <cell r="A2736" t="str">
            <v>0</v>
          </cell>
        </row>
        <row r="2737">
          <cell r="A2737" t="str">
            <v>0</v>
          </cell>
        </row>
        <row r="2738">
          <cell r="A2738" t="str">
            <v>0</v>
          </cell>
        </row>
        <row r="2739">
          <cell r="A2739" t="str">
            <v>0</v>
          </cell>
        </row>
        <row r="2740">
          <cell r="A2740" t="str">
            <v>0</v>
          </cell>
        </row>
        <row r="2741">
          <cell r="A2741" t="str">
            <v>0</v>
          </cell>
        </row>
        <row r="2742">
          <cell r="A2742" t="str">
            <v>0</v>
          </cell>
        </row>
        <row r="2743">
          <cell r="A2743" t="str">
            <v>0</v>
          </cell>
        </row>
        <row r="2744">
          <cell r="A2744" t="str">
            <v>0</v>
          </cell>
        </row>
        <row r="2745">
          <cell r="A2745" t="str">
            <v>0</v>
          </cell>
        </row>
        <row r="2746">
          <cell r="A2746" t="str">
            <v>0</v>
          </cell>
        </row>
        <row r="2748">
          <cell r="C2748" t="str">
            <v>JUMLAH TANGGAL</v>
          </cell>
          <cell r="F2748">
            <v>0</v>
          </cell>
          <cell r="G2748">
            <v>0</v>
          </cell>
        </row>
        <row r="2749">
          <cell r="C2749" t="str">
            <v>HARI INI</v>
          </cell>
        </row>
        <row r="2750">
          <cell r="C2750" t="str">
            <v>JUMLAH S/D TANGGAL</v>
          </cell>
          <cell r="F2750">
            <v>514639652</v>
          </cell>
          <cell r="G2750">
            <v>490780936</v>
          </cell>
        </row>
        <row r="2751">
          <cell r="C2751" t="str">
            <v>TOTAL</v>
          </cell>
          <cell r="F2751">
            <v>514639652</v>
          </cell>
          <cell r="G2751">
            <v>490780936</v>
          </cell>
        </row>
        <row r="2753">
          <cell r="C2753" t="str">
            <v>SISA</v>
          </cell>
          <cell r="D2753">
            <v>23858716</v>
          </cell>
        </row>
        <row r="2755">
          <cell r="A2755" t="str">
            <v>KODE BANTU</v>
          </cell>
          <cell r="B2755" t="str">
            <v>NO</v>
          </cell>
          <cell r="C2755" t="str">
            <v>MEI</v>
          </cell>
          <cell r="D2755" t="str">
            <v>URAIAN</v>
          </cell>
          <cell r="E2755" t="str">
            <v>KODE ANGGARAN</v>
          </cell>
          <cell r="F2755" t="str">
            <v>PENERIMAAN</v>
          </cell>
          <cell r="G2755" t="str">
            <v>PENGELUARAN</v>
          </cell>
        </row>
        <row r="2756">
          <cell r="A2756" t="str">
            <v>0</v>
          </cell>
        </row>
        <row r="2757">
          <cell r="A2757" t="str">
            <v>0</v>
          </cell>
        </row>
        <row r="2758">
          <cell r="A2758" t="str">
            <v>0</v>
          </cell>
        </row>
        <row r="2759">
          <cell r="A2759" t="str">
            <v>0</v>
          </cell>
        </row>
        <row r="2760">
          <cell r="A2760" t="str">
            <v>0</v>
          </cell>
        </row>
        <row r="2761">
          <cell r="A2761" t="str">
            <v>0</v>
          </cell>
        </row>
        <row r="2762">
          <cell r="A2762" t="str">
            <v>0</v>
          </cell>
        </row>
        <row r="2763">
          <cell r="A2763" t="str">
            <v>0</v>
          </cell>
        </row>
        <row r="2764">
          <cell r="A2764" t="str">
            <v>0</v>
          </cell>
        </row>
        <row r="2765">
          <cell r="A2765" t="str">
            <v>0</v>
          </cell>
        </row>
        <row r="2766">
          <cell r="A2766" t="str">
            <v>0</v>
          </cell>
        </row>
        <row r="2767">
          <cell r="A2767" t="str">
            <v>0</v>
          </cell>
        </row>
        <row r="2768">
          <cell r="A2768" t="str">
            <v>0</v>
          </cell>
        </row>
        <row r="2769">
          <cell r="A2769" t="str">
            <v>0</v>
          </cell>
        </row>
        <row r="2770">
          <cell r="A2770" t="str">
            <v>0</v>
          </cell>
        </row>
        <row r="2771">
          <cell r="A2771" t="str">
            <v>0</v>
          </cell>
        </row>
        <row r="2772">
          <cell r="A2772" t="str">
            <v>0</v>
          </cell>
        </row>
        <row r="2773">
          <cell r="A2773" t="str">
            <v>0</v>
          </cell>
        </row>
        <row r="2774">
          <cell r="A2774" t="str">
            <v>0</v>
          </cell>
        </row>
        <row r="2775">
          <cell r="A2775" t="str">
            <v>0</v>
          </cell>
        </row>
        <row r="2776">
          <cell r="A2776" t="str">
            <v>0</v>
          </cell>
        </row>
        <row r="2777">
          <cell r="A2777" t="str">
            <v>0</v>
          </cell>
        </row>
        <row r="2778">
          <cell r="A2778" t="str">
            <v>0</v>
          </cell>
        </row>
        <row r="2779">
          <cell r="A2779" t="str">
            <v>0</v>
          </cell>
        </row>
        <row r="2780">
          <cell r="A2780" t="str">
            <v>0</v>
          </cell>
        </row>
        <row r="2782">
          <cell r="C2782" t="str">
            <v>JUMLAH TANGGAL</v>
          </cell>
          <cell r="F2782">
            <v>0</v>
          </cell>
          <cell r="G2782">
            <v>0</v>
          </cell>
        </row>
        <row r="2783">
          <cell r="C2783" t="str">
            <v>HARI INI</v>
          </cell>
        </row>
        <row r="2784">
          <cell r="C2784" t="str">
            <v>JUMLAH S/D TANGGAL</v>
          </cell>
          <cell r="F2784">
            <v>514639652</v>
          </cell>
          <cell r="G2784">
            <v>490780936</v>
          </cell>
        </row>
        <row r="2785">
          <cell r="C2785" t="str">
            <v>TOTAL</v>
          </cell>
          <cell r="F2785">
            <v>514639652</v>
          </cell>
          <cell r="G2785">
            <v>490780936</v>
          </cell>
        </row>
        <row r="2787">
          <cell r="C2787" t="str">
            <v>SISA</v>
          </cell>
          <cell r="D2787">
            <v>23858716</v>
          </cell>
        </row>
        <row r="2789">
          <cell r="A2789" t="str">
            <v>KODE BANTU</v>
          </cell>
          <cell r="B2789" t="str">
            <v>NO</v>
          </cell>
          <cell r="C2789" t="str">
            <v>JUNI</v>
          </cell>
          <cell r="D2789" t="str">
            <v>URAIAN</v>
          </cell>
          <cell r="E2789" t="str">
            <v>KODE ANGGARAN</v>
          </cell>
          <cell r="F2789" t="str">
            <v>PENERIMAAN</v>
          </cell>
          <cell r="G2789" t="str">
            <v>PENGELUARAN</v>
          </cell>
        </row>
        <row r="2790">
          <cell r="A2790" t="str">
            <v>0</v>
          </cell>
        </row>
        <row r="2791">
          <cell r="A2791" t="str">
            <v>0</v>
          </cell>
        </row>
        <row r="2792">
          <cell r="A2792" t="str">
            <v>0</v>
          </cell>
        </row>
        <row r="2793">
          <cell r="A2793" t="str">
            <v>0</v>
          </cell>
        </row>
        <row r="2794">
          <cell r="A2794" t="str">
            <v>0</v>
          </cell>
        </row>
        <row r="2795">
          <cell r="A2795" t="str">
            <v>0</v>
          </cell>
        </row>
        <row r="2796">
          <cell r="A2796" t="str">
            <v>0</v>
          </cell>
        </row>
        <row r="2797">
          <cell r="A2797" t="str">
            <v>0</v>
          </cell>
        </row>
        <row r="2798">
          <cell r="A2798" t="str">
            <v>0</v>
          </cell>
        </row>
        <row r="2799">
          <cell r="A2799" t="str">
            <v>0</v>
          </cell>
        </row>
        <row r="2800">
          <cell r="A2800" t="str">
            <v>0</v>
          </cell>
        </row>
        <row r="2801">
          <cell r="A2801" t="str">
            <v>0</v>
          </cell>
        </row>
        <row r="2802">
          <cell r="A2802" t="str">
            <v>0</v>
          </cell>
        </row>
        <row r="2803">
          <cell r="A2803" t="str">
            <v>0</v>
          </cell>
        </row>
        <row r="2804">
          <cell r="A2804" t="str">
            <v>0</v>
          </cell>
        </row>
        <row r="2805">
          <cell r="A2805" t="str">
            <v>0</v>
          </cell>
        </row>
        <row r="2806">
          <cell r="A2806" t="str">
            <v>0</v>
          </cell>
        </row>
        <row r="2807">
          <cell r="A2807" t="str">
            <v>0</v>
          </cell>
        </row>
        <row r="2808">
          <cell r="A2808" t="str">
            <v>0</v>
          </cell>
        </row>
        <row r="2809">
          <cell r="A2809" t="str">
            <v>0</v>
          </cell>
        </row>
        <row r="2810">
          <cell r="A2810" t="str">
            <v>0</v>
          </cell>
        </row>
        <row r="2811">
          <cell r="A2811" t="str">
            <v>0</v>
          </cell>
        </row>
        <row r="2812">
          <cell r="A2812" t="str">
            <v>0</v>
          </cell>
        </row>
        <row r="2813">
          <cell r="A2813" t="str">
            <v>0</v>
          </cell>
        </row>
        <row r="2814">
          <cell r="A2814" t="str">
            <v>0</v>
          </cell>
        </row>
        <row r="2816">
          <cell r="C2816" t="str">
            <v>JUMLAH TANGGAL</v>
          </cell>
          <cell r="F2816">
            <v>0</v>
          </cell>
          <cell r="G2816">
            <v>0</v>
          </cell>
        </row>
        <row r="2817">
          <cell r="C2817" t="str">
            <v>HARI INI</v>
          </cell>
        </row>
        <row r="2818">
          <cell r="C2818" t="str">
            <v>JUMLAH S/D TANGGAL</v>
          </cell>
          <cell r="F2818">
            <v>514639652</v>
          </cell>
          <cell r="G2818">
            <v>490780936</v>
          </cell>
        </row>
        <row r="2819">
          <cell r="C2819" t="str">
            <v>TOTAL</v>
          </cell>
          <cell r="F2819">
            <v>514639652</v>
          </cell>
          <cell r="G2819">
            <v>490780936</v>
          </cell>
        </row>
        <row r="2821">
          <cell r="C2821" t="str">
            <v>SISA</v>
          </cell>
          <cell r="D2821">
            <v>23858716</v>
          </cell>
        </row>
        <row r="2823">
          <cell r="A2823" t="str">
            <v>KODE BANTU</v>
          </cell>
          <cell r="B2823" t="str">
            <v>NO</v>
          </cell>
          <cell r="C2823" t="str">
            <v>JUNI</v>
          </cell>
          <cell r="D2823" t="str">
            <v>URAIAN</v>
          </cell>
          <cell r="E2823" t="str">
            <v>KODE ANGGARAN</v>
          </cell>
          <cell r="F2823" t="str">
            <v>PENERIMAAN</v>
          </cell>
          <cell r="G2823" t="str">
            <v>PENGELUARAN</v>
          </cell>
        </row>
        <row r="2824">
          <cell r="A2824" t="str">
            <v>0</v>
          </cell>
        </row>
        <row r="2825">
          <cell r="A2825" t="str">
            <v>0</v>
          </cell>
        </row>
        <row r="2826">
          <cell r="A2826" t="str">
            <v>0</v>
          </cell>
        </row>
        <row r="2827">
          <cell r="A2827" t="str">
            <v>0</v>
          </cell>
        </row>
        <row r="2828">
          <cell r="A2828" t="str">
            <v>0</v>
          </cell>
        </row>
        <row r="2829">
          <cell r="A2829" t="str">
            <v>0</v>
          </cell>
        </row>
        <row r="2830">
          <cell r="A2830" t="str">
            <v>0</v>
          </cell>
        </row>
        <row r="2831">
          <cell r="A2831" t="str">
            <v>0</v>
          </cell>
        </row>
        <row r="2832">
          <cell r="A2832" t="str">
            <v>0</v>
          </cell>
        </row>
        <row r="2833">
          <cell r="A2833" t="str">
            <v>0</v>
          </cell>
        </row>
        <row r="2834">
          <cell r="A2834" t="str">
            <v>0</v>
          </cell>
        </row>
        <row r="2835">
          <cell r="A2835" t="str">
            <v>0</v>
          </cell>
        </row>
        <row r="2836">
          <cell r="A2836" t="str">
            <v>0</v>
          </cell>
        </row>
        <row r="2837">
          <cell r="A2837" t="str">
            <v>0</v>
          </cell>
        </row>
        <row r="2838">
          <cell r="A2838" t="str">
            <v>0</v>
          </cell>
        </row>
        <row r="2839">
          <cell r="A2839" t="str">
            <v>0</v>
          </cell>
        </row>
        <row r="2840">
          <cell r="A2840" t="str">
            <v>0</v>
          </cell>
        </row>
        <row r="2841">
          <cell r="A2841" t="str">
            <v>0</v>
          </cell>
        </row>
        <row r="2842">
          <cell r="A2842" t="str">
            <v>0</v>
          </cell>
        </row>
        <row r="2843">
          <cell r="A2843" t="str">
            <v>0</v>
          </cell>
        </row>
        <row r="2844">
          <cell r="A2844" t="str">
            <v>0</v>
          </cell>
        </row>
        <row r="2845">
          <cell r="A2845" t="str">
            <v>0</v>
          </cell>
        </row>
        <row r="2846">
          <cell r="A2846" t="str">
            <v>0</v>
          </cell>
        </row>
        <row r="2847">
          <cell r="A2847" t="str">
            <v>0</v>
          </cell>
        </row>
        <row r="2848">
          <cell r="A2848" t="str">
            <v>0</v>
          </cell>
        </row>
        <row r="2850">
          <cell r="C2850" t="str">
            <v>JUMLAH TANGGAL</v>
          </cell>
          <cell r="F2850">
            <v>0</v>
          </cell>
          <cell r="G2850">
            <v>0</v>
          </cell>
        </row>
        <row r="2851">
          <cell r="C2851" t="str">
            <v>HARI INI</v>
          </cell>
        </row>
        <row r="2852">
          <cell r="C2852" t="str">
            <v>JUMLAH S/D TANGGAL</v>
          </cell>
          <cell r="F2852">
            <v>514639652</v>
          </cell>
          <cell r="G2852">
            <v>490780936</v>
          </cell>
        </row>
        <row r="2853">
          <cell r="C2853" t="str">
            <v>TOTAL</v>
          </cell>
          <cell r="F2853">
            <v>514639652</v>
          </cell>
          <cell r="G2853">
            <v>490780936</v>
          </cell>
        </row>
        <row r="2855">
          <cell r="C2855" t="str">
            <v>SISA</v>
          </cell>
          <cell r="D2855">
            <v>23858716</v>
          </cell>
        </row>
        <row r="2857">
          <cell r="A2857" t="str">
            <v>KODE BANTU</v>
          </cell>
          <cell r="B2857" t="str">
            <v>NO</v>
          </cell>
          <cell r="C2857" t="str">
            <v>JUNI</v>
          </cell>
          <cell r="D2857" t="str">
            <v>URAIAN</v>
          </cell>
          <cell r="E2857" t="str">
            <v>KODE ANGGARAN</v>
          </cell>
          <cell r="F2857" t="str">
            <v>PENERIMAAN</v>
          </cell>
          <cell r="G2857" t="str">
            <v>PENGELUARAN</v>
          </cell>
        </row>
        <row r="2858">
          <cell r="A2858" t="str">
            <v>0</v>
          </cell>
        </row>
        <row r="2859">
          <cell r="A2859" t="str">
            <v>0</v>
          </cell>
        </row>
        <row r="2860">
          <cell r="A2860" t="str">
            <v>0</v>
          </cell>
        </row>
        <row r="2861">
          <cell r="A2861" t="str">
            <v>0</v>
          </cell>
        </row>
        <row r="2862">
          <cell r="A2862" t="str">
            <v>0</v>
          </cell>
        </row>
        <row r="2863">
          <cell r="A2863" t="str">
            <v>0</v>
          </cell>
        </row>
        <row r="2864">
          <cell r="A2864" t="str">
            <v>0</v>
          </cell>
        </row>
        <row r="2865">
          <cell r="A2865" t="str">
            <v>0</v>
          </cell>
        </row>
        <row r="2866">
          <cell r="A2866" t="str">
            <v>0</v>
          </cell>
        </row>
        <row r="2867">
          <cell r="A2867" t="str">
            <v>0</v>
          </cell>
        </row>
        <row r="2868">
          <cell r="A2868" t="str">
            <v>0</v>
          </cell>
        </row>
        <row r="2869">
          <cell r="A2869" t="str">
            <v>0</v>
          </cell>
        </row>
        <row r="2870">
          <cell r="A2870" t="str">
            <v>0</v>
          </cell>
        </row>
        <row r="2871">
          <cell r="A2871" t="str">
            <v>0</v>
          </cell>
        </row>
        <row r="2872">
          <cell r="A2872" t="str">
            <v>0</v>
          </cell>
        </row>
        <row r="2873">
          <cell r="A2873" t="str">
            <v>0</v>
          </cell>
        </row>
        <row r="2874">
          <cell r="A2874" t="str">
            <v>0</v>
          </cell>
        </row>
        <row r="2875">
          <cell r="A2875" t="str">
            <v>0</v>
          </cell>
        </row>
        <row r="2876">
          <cell r="A2876" t="str">
            <v>0</v>
          </cell>
        </row>
        <row r="2877">
          <cell r="A2877" t="str">
            <v>0</v>
          </cell>
        </row>
        <row r="2878">
          <cell r="A2878" t="str">
            <v>0</v>
          </cell>
        </row>
        <row r="2879">
          <cell r="A2879" t="str">
            <v>0</v>
          </cell>
        </row>
        <row r="2880">
          <cell r="A2880" t="str">
            <v>0</v>
          </cell>
        </row>
        <row r="2881">
          <cell r="A2881" t="str">
            <v>0</v>
          </cell>
        </row>
        <row r="2882">
          <cell r="A2882" t="str">
            <v>0</v>
          </cell>
        </row>
        <row r="2884">
          <cell r="C2884" t="str">
            <v>JUMLAH TANGGAL</v>
          </cell>
          <cell r="F2884">
            <v>0</v>
          </cell>
          <cell r="G2884">
            <v>0</v>
          </cell>
        </row>
        <row r="2885">
          <cell r="C2885" t="str">
            <v>HARI INI</v>
          </cell>
        </row>
        <row r="2886">
          <cell r="C2886" t="str">
            <v>JUMLAH S/D TANGGAL</v>
          </cell>
          <cell r="F2886">
            <v>514639652</v>
          </cell>
          <cell r="G2886">
            <v>490780936</v>
          </cell>
        </row>
        <row r="2887">
          <cell r="C2887" t="str">
            <v>TOTAL</v>
          </cell>
          <cell r="F2887">
            <v>514639652</v>
          </cell>
          <cell r="G2887">
            <v>490780936</v>
          </cell>
        </row>
        <row r="2889">
          <cell r="C2889" t="str">
            <v>SISA</v>
          </cell>
          <cell r="D2889">
            <v>23858716</v>
          </cell>
        </row>
        <row r="2891">
          <cell r="A2891" t="str">
            <v>KODE BANTU</v>
          </cell>
          <cell r="B2891" t="str">
            <v>NO</v>
          </cell>
          <cell r="C2891" t="str">
            <v>JUNI</v>
          </cell>
          <cell r="D2891" t="str">
            <v>URAIAN</v>
          </cell>
          <cell r="E2891" t="str">
            <v>KODE ANGGARAN</v>
          </cell>
          <cell r="F2891" t="str">
            <v>PENERIMAAN</v>
          </cell>
          <cell r="G2891" t="str">
            <v>PENGELUARAN</v>
          </cell>
        </row>
        <row r="2892">
          <cell r="A2892" t="str">
            <v>0</v>
          </cell>
        </row>
        <row r="2893">
          <cell r="A2893" t="str">
            <v>0</v>
          </cell>
        </row>
        <row r="2894">
          <cell r="A2894" t="str">
            <v>0</v>
          </cell>
        </row>
        <row r="2895">
          <cell r="A2895" t="str">
            <v>0</v>
          </cell>
        </row>
        <row r="2896">
          <cell r="A2896" t="str">
            <v>0</v>
          </cell>
        </row>
        <row r="2897">
          <cell r="A2897" t="str">
            <v>0</v>
          </cell>
        </row>
        <row r="2898">
          <cell r="A2898" t="str">
            <v>0</v>
          </cell>
        </row>
        <row r="2899">
          <cell r="A2899" t="str">
            <v>0</v>
          </cell>
        </row>
        <row r="2900">
          <cell r="A2900" t="str">
            <v>0</v>
          </cell>
        </row>
        <row r="2901">
          <cell r="A2901" t="str">
            <v>0</v>
          </cell>
        </row>
        <row r="2902">
          <cell r="A2902" t="str">
            <v>0</v>
          </cell>
        </row>
        <row r="2903">
          <cell r="A2903" t="str">
            <v>0</v>
          </cell>
        </row>
        <row r="2904">
          <cell r="A2904" t="str">
            <v>0</v>
          </cell>
        </row>
        <row r="2905">
          <cell r="A2905" t="str">
            <v>0</v>
          </cell>
        </row>
        <row r="2906">
          <cell r="A2906" t="str">
            <v>0</v>
          </cell>
        </row>
        <row r="2907">
          <cell r="A2907" t="str">
            <v>0</v>
          </cell>
        </row>
        <row r="2908">
          <cell r="A2908" t="str">
            <v>0</v>
          </cell>
        </row>
        <row r="2909">
          <cell r="A2909" t="str">
            <v>0</v>
          </cell>
        </row>
        <row r="2910">
          <cell r="A2910" t="str">
            <v>0</v>
          </cell>
        </row>
        <row r="2911">
          <cell r="A2911" t="str">
            <v>0</v>
          </cell>
        </row>
        <row r="2912">
          <cell r="A2912" t="str">
            <v>0</v>
          </cell>
        </row>
        <row r="2913">
          <cell r="A2913" t="str">
            <v>0</v>
          </cell>
        </row>
        <row r="2914">
          <cell r="A2914" t="str">
            <v>0</v>
          </cell>
        </row>
        <row r="2915">
          <cell r="A2915" t="str">
            <v>0</v>
          </cell>
        </row>
        <row r="2916">
          <cell r="A2916" t="str">
            <v>0</v>
          </cell>
        </row>
        <row r="2918">
          <cell r="C2918" t="str">
            <v>JUMLAH TANGGAL</v>
          </cell>
          <cell r="F2918">
            <v>0</v>
          </cell>
          <cell r="G2918">
            <v>0</v>
          </cell>
        </row>
        <row r="2919">
          <cell r="C2919" t="str">
            <v>HARI INI</v>
          </cell>
        </row>
        <row r="2920">
          <cell r="C2920" t="str">
            <v>JUMLAH S/D TANGGAL</v>
          </cell>
          <cell r="F2920">
            <v>514639652</v>
          </cell>
          <cell r="G2920">
            <v>490780936</v>
          </cell>
        </row>
        <row r="2921">
          <cell r="C2921" t="str">
            <v>TOTAL</v>
          </cell>
          <cell r="F2921">
            <v>514639652</v>
          </cell>
          <cell r="G2921">
            <v>490780936</v>
          </cell>
        </row>
        <row r="2923">
          <cell r="C2923" t="str">
            <v>SISA</v>
          </cell>
          <cell r="D2923">
            <v>23858716</v>
          </cell>
        </row>
        <row r="2925">
          <cell r="A2925" t="str">
            <v>KODE BANTU</v>
          </cell>
          <cell r="B2925" t="str">
            <v>NO</v>
          </cell>
          <cell r="C2925" t="str">
            <v>JUNI</v>
          </cell>
          <cell r="D2925" t="str">
            <v>URAIAN</v>
          </cell>
          <cell r="E2925" t="str">
            <v>KODE ANGGARAN</v>
          </cell>
          <cell r="F2925" t="str">
            <v>PENERIMAAN</v>
          </cell>
          <cell r="G2925" t="str">
            <v>PENGELUARAN</v>
          </cell>
        </row>
        <row r="2926">
          <cell r="A2926" t="str">
            <v>0</v>
          </cell>
        </row>
        <row r="2927">
          <cell r="A2927" t="str">
            <v>0</v>
          </cell>
        </row>
        <row r="2928">
          <cell r="A2928" t="str">
            <v>0</v>
          </cell>
        </row>
        <row r="2929">
          <cell r="A2929" t="str">
            <v>0</v>
          </cell>
        </row>
        <row r="2930">
          <cell r="A2930" t="str">
            <v>0</v>
          </cell>
        </row>
        <row r="2931">
          <cell r="A2931" t="str">
            <v>0</v>
          </cell>
        </row>
        <row r="2932">
          <cell r="A2932" t="str">
            <v>0</v>
          </cell>
        </row>
        <row r="2933">
          <cell r="A2933" t="str">
            <v>0</v>
          </cell>
        </row>
        <row r="2934">
          <cell r="A2934" t="str">
            <v>0</v>
          </cell>
        </row>
        <row r="2935">
          <cell r="A2935" t="str">
            <v>0</v>
          </cell>
        </row>
        <row r="2936">
          <cell r="A2936" t="str">
            <v>0</v>
          </cell>
        </row>
        <row r="2937">
          <cell r="A2937" t="str">
            <v>0</v>
          </cell>
        </row>
        <row r="2938">
          <cell r="A2938" t="str">
            <v>0</v>
          </cell>
        </row>
        <row r="2939">
          <cell r="A2939" t="str">
            <v>0</v>
          </cell>
        </row>
        <row r="2940">
          <cell r="A2940" t="str">
            <v>0</v>
          </cell>
        </row>
        <row r="2941">
          <cell r="A2941" t="str">
            <v>0</v>
          </cell>
        </row>
        <row r="2942">
          <cell r="A2942" t="str">
            <v>0</v>
          </cell>
        </row>
        <row r="2943">
          <cell r="A2943" t="str">
            <v>0</v>
          </cell>
        </row>
        <row r="2944">
          <cell r="A2944" t="str">
            <v>0</v>
          </cell>
        </row>
        <row r="2945">
          <cell r="A2945" t="str">
            <v>0</v>
          </cell>
        </row>
        <row r="2946">
          <cell r="A2946" t="str">
            <v>0</v>
          </cell>
        </row>
        <row r="2947">
          <cell r="A2947" t="str">
            <v>0</v>
          </cell>
        </row>
        <row r="2948">
          <cell r="A2948" t="str">
            <v>0</v>
          </cell>
        </row>
        <row r="2949">
          <cell r="A2949" t="str">
            <v>0</v>
          </cell>
        </row>
        <row r="2950">
          <cell r="A2950" t="str">
            <v>0</v>
          </cell>
        </row>
        <row r="2952">
          <cell r="C2952" t="str">
            <v>JUMLAH TANGGAL</v>
          </cell>
          <cell r="F2952">
            <v>0</v>
          </cell>
          <cell r="G2952">
            <v>0</v>
          </cell>
        </row>
        <row r="2953">
          <cell r="C2953" t="str">
            <v>HARI INI</v>
          </cell>
        </row>
        <row r="2954">
          <cell r="C2954" t="str">
            <v>JUMLAH S/D TANGGAL</v>
          </cell>
          <cell r="F2954">
            <v>514639652</v>
          </cell>
          <cell r="G2954">
            <v>490780936</v>
          </cell>
        </row>
        <row r="2955">
          <cell r="C2955" t="str">
            <v>TOTAL</v>
          </cell>
          <cell r="F2955">
            <v>514639652</v>
          </cell>
          <cell r="G2955">
            <v>490780936</v>
          </cell>
        </row>
        <row r="2957">
          <cell r="C2957" t="str">
            <v>SISA</v>
          </cell>
          <cell r="D2957">
            <v>23858716</v>
          </cell>
        </row>
        <row r="2959">
          <cell r="A2959" t="str">
            <v>KODE BANTU</v>
          </cell>
          <cell r="B2959" t="str">
            <v>NO</v>
          </cell>
          <cell r="C2959" t="str">
            <v>JUNI</v>
          </cell>
          <cell r="D2959" t="str">
            <v>URAIAN</v>
          </cell>
          <cell r="E2959" t="str">
            <v>KODE ANGGARAN</v>
          </cell>
          <cell r="F2959" t="str">
            <v>PENERIMAAN</v>
          </cell>
          <cell r="G2959" t="str">
            <v>PENGELUARAN</v>
          </cell>
        </row>
        <row r="2960">
          <cell r="A2960" t="str">
            <v>0</v>
          </cell>
        </row>
        <row r="2961">
          <cell r="A2961" t="str">
            <v>0</v>
          </cell>
        </row>
        <row r="2962">
          <cell r="A2962" t="str">
            <v>0</v>
          </cell>
        </row>
        <row r="2963">
          <cell r="A2963" t="str">
            <v>0</v>
          </cell>
        </row>
        <row r="2964">
          <cell r="A2964" t="str">
            <v>0</v>
          </cell>
        </row>
        <row r="2965">
          <cell r="A2965" t="str">
            <v>0</v>
          </cell>
        </row>
        <row r="2966">
          <cell r="A2966" t="str">
            <v>0</v>
          </cell>
        </row>
        <row r="2967">
          <cell r="A2967" t="str">
            <v>0</v>
          </cell>
        </row>
        <row r="2968">
          <cell r="A2968" t="str">
            <v>0</v>
          </cell>
        </row>
        <row r="2969">
          <cell r="A2969" t="str">
            <v>0</v>
          </cell>
        </row>
        <row r="2970">
          <cell r="A2970" t="str">
            <v>0</v>
          </cell>
        </row>
        <row r="2971">
          <cell r="A2971" t="str">
            <v>0</v>
          </cell>
        </row>
        <row r="2972">
          <cell r="A2972" t="str">
            <v>0</v>
          </cell>
        </row>
        <row r="2973">
          <cell r="A2973" t="str">
            <v>0</v>
          </cell>
        </row>
        <row r="2974">
          <cell r="A2974" t="str">
            <v>0</v>
          </cell>
        </row>
        <row r="2975">
          <cell r="A2975" t="str">
            <v>0</v>
          </cell>
        </row>
        <row r="2976">
          <cell r="A2976" t="str">
            <v>0</v>
          </cell>
        </row>
        <row r="2977">
          <cell r="A2977" t="str">
            <v>0</v>
          </cell>
        </row>
        <row r="2978">
          <cell r="A2978" t="str">
            <v>0</v>
          </cell>
        </row>
        <row r="2979">
          <cell r="A2979" t="str">
            <v>0</v>
          </cell>
        </row>
        <row r="2980">
          <cell r="A2980" t="str">
            <v>0</v>
          </cell>
        </row>
        <row r="2981">
          <cell r="A2981" t="str">
            <v>0</v>
          </cell>
        </row>
        <row r="2982">
          <cell r="A2982" t="str">
            <v>0</v>
          </cell>
        </row>
        <row r="2983">
          <cell r="A2983" t="str">
            <v>0</v>
          </cell>
        </row>
        <row r="2984">
          <cell r="A2984" t="str">
            <v>0</v>
          </cell>
        </row>
        <row r="2986">
          <cell r="C2986" t="str">
            <v>JUMLAH TANGGAL</v>
          </cell>
          <cell r="F2986">
            <v>0</v>
          </cell>
          <cell r="G2986">
            <v>0</v>
          </cell>
        </row>
        <row r="2987">
          <cell r="C2987" t="str">
            <v>HARI INI</v>
          </cell>
        </row>
        <row r="2988">
          <cell r="C2988" t="str">
            <v>JUMLAH S/D TANGGAL</v>
          </cell>
          <cell r="F2988">
            <v>514639652</v>
          </cell>
          <cell r="G2988">
            <v>490780936</v>
          </cell>
        </row>
        <row r="2989">
          <cell r="C2989" t="str">
            <v>TOTAL</v>
          </cell>
          <cell r="F2989">
            <v>514639652</v>
          </cell>
          <cell r="G2989">
            <v>490780936</v>
          </cell>
        </row>
        <row r="2991">
          <cell r="C2991" t="str">
            <v>SISA</v>
          </cell>
          <cell r="D2991">
            <v>23858716</v>
          </cell>
        </row>
        <row r="2993">
          <cell r="A2993" t="str">
            <v>KODE BANTU</v>
          </cell>
          <cell r="B2993" t="str">
            <v>NO</v>
          </cell>
          <cell r="C2993" t="str">
            <v>JUNI</v>
          </cell>
          <cell r="D2993" t="str">
            <v>URAIAN</v>
          </cell>
          <cell r="E2993" t="str">
            <v>KODE ANGGARAN</v>
          </cell>
          <cell r="F2993" t="str">
            <v>PENERIMAAN</v>
          </cell>
          <cell r="G2993" t="str">
            <v>PENGELUARAN</v>
          </cell>
        </row>
        <row r="2994">
          <cell r="A2994" t="str">
            <v>0</v>
          </cell>
        </row>
        <row r="2995">
          <cell r="A2995" t="str">
            <v>0</v>
          </cell>
        </row>
        <row r="2996">
          <cell r="A2996" t="str">
            <v>0</v>
          </cell>
        </row>
        <row r="2997">
          <cell r="A2997" t="str">
            <v>0</v>
          </cell>
        </row>
        <row r="2998">
          <cell r="A2998" t="str">
            <v>0</v>
          </cell>
        </row>
        <row r="2999">
          <cell r="A2999" t="str">
            <v>0</v>
          </cell>
        </row>
        <row r="3000">
          <cell r="A3000" t="str">
            <v>0</v>
          </cell>
        </row>
        <row r="3001">
          <cell r="A3001" t="str">
            <v>0</v>
          </cell>
        </row>
        <row r="3002">
          <cell r="A3002" t="str">
            <v>0</v>
          </cell>
        </row>
        <row r="3003">
          <cell r="A3003" t="str">
            <v>0</v>
          </cell>
        </row>
        <row r="3004">
          <cell r="A3004" t="str">
            <v>0</v>
          </cell>
        </row>
        <row r="3005">
          <cell r="A3005" t="str">
            <v>0</v>
          </cell>
        </row>
        <row r="3006">
          <cell r="A3006" t="str">
            <v>0</v>
          </cell>
        </row>
        <row r="3007">
          <cell r="A3007" t="str">
            <v>0</v>
          </cell>
        </row>
        <row r="3008">
          <cell r="A3008" t="str">
            <v>0</v>
          </cell>
        </row>
        <row r="3009">
          <cell r="A3009" t="str">
            <v>0</v>
          </cell>
        </row>
        <row r="3010">
          <cell r="A3010" t="str">
            <v>0</v>
          </cell>
        </row>
        <row r="3011">
          <cell r="A3011" t="str">
            <v>0</v>
          </cell>
        </row>
        <row r="3012">
          <cell r="A3012" t="str">
            <v>0</v>
          </cell>
        </row>
        <row r="3013">
          <cell r="A3013" t="str">
            <v>0</v>
          </cell>
        </row>
        <row r="3014">
          <cell r="A3014" t="str">
            <v>0</v>
          </cell>
        </row>
        <row r="3015">
          <cell r="A3015" t="str">
            <v>0</v>
          </cell>
        </row>
        <row r="3016">
          <cell r="A3016" t="str">
            <v>0</v>
          </cell>
        </row>
        <row r="3017">
          <cell r="A3017" t="str">
            <v>0</v>
          </cell>
        </row>
        <row r="3018">
          <cell r="A3018" t="str">
            <v>0</v>
          </cell>
        </row>
        <row r="3020">
          <cell r="C3020" t="str">
            <v>JUMLAH TANGGAL</v>
          </cell>
          <cell r="F3020">
            <v>0</v>
          </cell>
          <cell r="G3020">
            <v>0</v>
          </cell>
        </row>
        <row r="3021">
          <cell r="C3021" t="str">
            <v>HARI INI</v>
          </cell>
        </row>
        <row r="3022">
          <cell r="C3022" t="str">
            <v>JUMLAH S/D TANGGAL</v>
          </cell>
          <cell r="F3022">
            <v>514639652</v>
          </cell>
          <cell r="G3022">
            <v>490780936</v>
          </cell>
        </row>
        <row r="3023">
          <cell r="C3023" t="str">
            <v>TOTAL</v>
          </cell>
          <cell r="F3023">
            <v>514639652</v>
          </cell>
          <cell r="G3023">
            <v>490780936</v>
          </cell>
        </row>
        <row r="3025">
          <cell r="C3025" t="str">
            <v>SISA</v>
          </cell>
          <cell r="D3025">
            <v>23858716</v>
          </cell>
        </row>
        <row r="3027">
          <cell r="A3027" t="str">
            <v>KODE BANTU</v>
          </cell>
          <cell r="B3027" t="str">
            <v>NO</v>
          </cell>
          <cell r="C3027" t="str">
            <v>JUNI</v>
          </cell>
          <cell r="D3027" t="str">
            <v>URAIAN</v>
          </cell>
          <cell r="E3027" t="str">
            <v>KODE ANGGARAN</v>
          </cell>
          <cell r="F3027" t="str">
            <v>PENERIMAAN</v>
          </cell>
          <cell r="G3027" t="str">
            <v>PENGELUARAN</v>
          </cell>
        </row>
        <row r="3028">
          <cell r="A3028" t="str">
            <v>0</v>
          </cell>
        </row>
        <row r="3029">
          <cell r="A3029" t="str">
            <v>0</v>
          </cell>
        </row>
        <row r="3030">
          <cell r="A3030" t="str">
            <v>0</v>
          </cell>
        </row>
        <row r="3031">
          <cell r="A3031" t="str">
            <v>0</v>
          </cell>
        </row>
        <row r="3032">
          <cell r="A3032" t="str">
            <v>0</v>
          </cell>
        </row>
        <row r="3033">
          <cell r="A3033" t="str">
            <v>0</v>
          </cell>
        </row>
        <row r="3034">
          <cell r="A3034" t="str">
            <v>0</v>
          </cell>
        </row>
        <row r="3035">
          <cell r="A3035" t="str">
            <v>0</v>
          </cell>
        </row>
        <row r="3036">
          <cell r="A3036" t="str">
            <v>0</v>
          </cell>
        </row>
        <row r="3037">
          <cell r="A3037" t="str">
            <v>0</v>
          </cell>
        </row>
        <row r="3038">
          <cell r="A3038" t="str">
            <v>0</v>
          </cell>
        </row>
        <row r="3039">
          <cell r="A3039" t="str">
            <v>0</v>
          </cell>
        </row>
        <row r="3040">
          <cell r="A3040" t="str">
            <v>0</v>
          </cell>
        </row>
        <row r="3041">
          <cell r="A3041" t="str">
            <v>0</v>
          </cell>
        </row>
        <row r="3042">
          <cell r="A3042" t="str">
            <v>0</v>
          </cell>
        </row>
        <row r="3043">
          <cell r="A3043" t="str">
            <v>0</v>
          </cell>
        </row>
        <row r="3044">
          <cell r="A3044" t="str">
            <v>0</v>
          </cell>
        </row>
        <row r="3045">
          <cell r="A3045" t="str">
            <v>0</v>
          </cell>
        </row>
        <row r="3046">
          <cell r="A3046" t="str">
            <v>0</v>
          </cell>
        </row>
        <row r="3047">
          <cell r="A3047" t="str">
            <v>0</v>
          </cell>
        </row>
        <row r="3048">
          <cell r="A3048" t="str">
            <v>0</v>
          </cell>
        </row>
        <row r="3049">
          <cell r="A3049" t="str">
            <v>0</v>
          </cell>
        </row>
        <row r="3050">
          <cell r="A3050" t="str">
            <v>0</v>
          </cell>
        </row>
        <row r="3051">
          <cell r="A3051" t="str">
            <v>0</v>
          </cell>
        </row>
        <row r="3052">
          <cell r="A3052" t="str">
            <v>0</v>
          </cell>
        </row>
        <row r="3054">
          <cell r="C3054" t="str">
            <v>JUMLAH TANGGAL</v>
          </cell>
          <cell r="F3054">
            <v>0</v>
          </cell>
          <cell r="G3054">
            <v>0</v>
          </cell>
        </row>
        <row r="3055">
          <cell r="C3055" t="str">
            <v>HARI INI</v>
          </cell>
        </row>
        <row r="3056">
          <cell r="C3056" t="str">
            <v>JUMLAH S/D TANGGAL</v>
          </cell>
          <cell r="F3056">
            <v>514639652</v>
          </cell>
          <cell r="G3056">
            <v>490780936</v>
          </cell>
        </row>
        <row r="3057">
          <cell r="C3057" t="str">
            <v>TOTAL</v>
          </cell>
          <cell r="F3057">
            <v>514639652</v>
          </cell>
          <cell r="G3057">
            <v>490780936</v>
          </cell>
        </row>
        <row r="3059">
          <cell r="C3059" t="str">
            <v>SISA</v>
          </cell>
          <cell r="D3059">
            <v>23858716</v>
          </cell>
        </row>
        <row r="3061">
          <cell r="A3061" t="str">
            <v>KODE BANTU</v>
          </cell>
          <cell r="B3061" t="str">
            <v>NO</v>
          </cell>
          <cell r="C3061" t="str">
            <v>JUNI</v>
          </cell>
          <cell r="D3061" t="str">
            <v>URAIAN</v>
          </cell>
          <cell r="E3061" t="str">
            <v>KODE ANGGARAN</v>
          </cell>
          <cell r="F3061" t="str">
            <v>PENERIMAAN</v>
          </cell>
          <cell r="G3061" t="str">
            <v>PENGELUARAN</v>
          </cell>
        </row>
        <row r="3062">
          <cell r="A3062" t="str">
            <v>0</v>
          </cell>
        </row>
        <row r="3063">
          <cell r="A3063" t="str">
            <v>0</v>
          </cell>
        </row>
        <row r="3064">
          <cell r="A3064" t="str">
            <v>0</v>
          </cell>
        </row>
        <row r="3065">
          <cell r="A3065" t="str">
            <v>0</v>
          </cell>
        </row>
        <row r="3066">
          <cell r="A3066" t="str">
            <v>0</v>
          </cell>
        </row>
        <row r="3067">
          <cell r="A3067" t="str">
            <v>0</v>
          </cell>
        </row>
        <row r="3068">
          <cell r="A3068" t="str">
            <v>0</v>
          </cell>
        </row>
        <row r="3069">
          <cell r="A3069" t="str">
            <v>0</v>
          </cell>
        </row>
        <row r="3070">
          <cell r="A3070" t="str">
            <v>0</v>
          </cell>
        </row>
        <row r="3071">
          <cell r="A3071" t="str">
            <v>0</v>
          </cell>
        </row>
        <row r="3072">
          <cell r="A3072" t="str">
            <v>0</v>
          </cell>
        </row>
        <row r="3073">
          <cell r="A3073" t="str">
            <v>0</v>
          </cell>
        </row>
        <row r="3074">
          <cell r="A3074" t="str">
            <v>0</v>
          </cell>
        </row>
        <row r="3075">
          <cell r="A3075" t="str">
            <v>0</v>
          </cell>
        </row>
        <row r="3076">
          <cell r="A3076" t="str">
            <v>0</v>
          </cell>
        </row>
        <row r="3077">
          <cell r="A3077" t="str">
            <v>0</v>
          </cell>
        </row>
        <row r="3078">
          <cell r="A3078" t="str">
            <v>0</v>
          </cell>
        </row>
        <row r="3079">
          <cell r="A3079" t="str">
            <v>0</v>
          </cell>
        </row>
        <row r="3080">
          <cell r="A3080" t="str">
            <v>0</v>
          </cell>
        </row>
        <row r="3081">
          <cell r="A3081" t="str">
            <v>0</v>
          </cell>
        </row>
        <row r="3082">
          <cell r="A3082" t="str">
            <v>0</v>
          </cell>
        </row>
        <row r="3083">
          <cell r="A3083" t="str">
            <v>0</v>
          </cell>
        </row>
        <row r="3084">
          <cell r="A3084" t="str">
            <v>0</v>
          </cell>
        </row>
        <row r="3085">
          <cell r="A3085" t="str">
            <v>0</v>
          </cell>
        </row>
        <row r="3086">
          <cell r="A3086" t="str">
            <v>0</v>
          </cell>
        </row>
        <row r="3088">
          <cell r="C3088" t="str">
            <v>JUMLAH TANGGAL</v>
          </cell>
          <cell r="F3088">
            <v>0</v>
          </cell>
          <cell r="G3088">
            <v>0</v>
          </cell>
        </row>
        <row r="3089">
          <cell r="C3089" t="str">
            <v>HARI INI</v>
          </cell>
        </row>
        <row r="3090">
          <cell r="C3090" t="str">
            <v>JUMLAH S/D TANGGAL</v>
          </cell>
          <cell r="F3090">
            <v>514639652</v>
          </cell>
          <cell r="G3090">
            <v>490780936</v>
          </cell>
        </row>
        <row r="3091">
          <cell r="C3091" t="str">
            <v>TOTAL</v>
          </cell>
          <cell r="F3091">
            <v>514639652</v>
          </cell>
          <cell r="G3091">
            <v>490780936</v>
          </cell>
        </row>
        <row r="3093">
          <cell r="C3093" t="str">
            <v>SISA</v>
          </cell>
          <cell r="D3093">
            <v>23858716</v>
          </cell>
        </row>
        <row r="3095">
          <cell r="A3095" t="str">
            <v>KODE BANTU</v>
          </cell>
          <cell r="B3095" t="str">
            <v>NO</v>
          </cell>
          <cell r="C3095" t="str">
            <v>JUNI</v>
          </cell>
          <cell r="D3095" t="str">
            <v>URAIAN</v>
          </cell>
          <cell r="E3095" t="str">
            <v>KODE ANGGARAN</v>
          </cell>
          <cell r="F3095" t="str">
            <v>PENERIMAAN</v>
          </cell>
          <cell r="G3095" t="str">
            <v>PENGELUARAN</v>
          </cell>
        </row>
        <row r="3096">
          <cell r="A3096" t="str">
            <v>0</v>
          </cell>
        </row>
        <row r="3097">
          <cell r="A3097" t="str">
            <v>0</v>
          </cell>
        </row>
        <row r="3098">
          <cell r="A3098" t="str">
            <v>0</v>
          </cell>
        </row>
        <row r="3099">
          <cell r="A3099" t="str">
            <v>0</v>
          </cell>
        </row>
        <row r="3100">
          <cell r="A3100" t="str">
            <v>0</v>
          </cell>
        </row>
        <row r="3101">
          <cell r="A3101" t="str">
            <v>0</v>
          </cell>
        </row>
        <row r="3102">
          <cell r="A3102" t="str">
            <v>0</v>
          </cell>
        </row>
        <row r="3103">
          <cell r="A3103" t="str">
            <v>0</v>
          </cell>
        </row>
        <row r="3104">
          <cell r="A3104" t="str">
            <v>0</v>
          </cell>
        </row>
        <row r="3105">
          <cell r="A3105" t="str">
            <v>0</v>
          </cell>
        </row>
        <row r="3106">
          <cell r="A3106" t="str">
            <v>0</v>
          </cell>
        </row>
        <row r="3107">
          <cell r="A3107" t="str">
            <v>0</v>
          </cell>
        </row>
        <row r="3108">
          <cell r="A3108" t="str">
            <v>0</v>
          </cell>
        </row>
        <row r="3109">
          <cell r="A3109" t="str">
            <v>0</v>
          </cell>
        </row>
        <row r="3110">
          <cell r="A3110" t="str">
            <v>0</v>
          </cell>
        </row>
        <row r="3111">
          <cell r="A3111" t="str">
            <v>0</v>
          </cell>
        </row>
        <row r="3112">
          <cell r="A3112" t="str">
            <v>0</v>
          </cell>
        </row>
        <row r="3113">
          <cell r="A3113" t="str">
            <v>0</v>
          </cell>
        </row>
        <row r="3114">
          <cell r="A3114" t="str">
            <v>0</v>
          </cell>
        </row>
        <row r="3115">
          <cell r="A3115" t="str">
            <v>0</v>
          </cell>
        </row>
        <row r="3116">
          <cell r="A3116" t="str">
            <v>0</v>
          </cell>
        </row>
        <row r="3117">
          <cell r="A3117" t="str">
            <v>0</v>
          </cell>
        </row>
        <row r="3118">
          <cell r="A3118" t="str">
            <v>0</v>
          </cell>
        </row>
        <row r="3119">
          <cell r="A3119" t="str">
            <v>0</v>
          </cell>
        </row>
        <row r="3120">
          <cell r="A3120" t="str">
            <v>0</v>
          </cell>
        </row>
        <row r="3122">
          <cell r="C3122" t="str">
            <v>JUMLAH TANGGAL</v>
          </cell>
          <cell r="F3122">
            <v>0</v>
          </cell>
          <cell r="G3122">
            <v>0</v>
          </cell>
        </row>
        <row r="3123">
          <cell r="C3123" t="str">
            <v>HARI INI</v>
          </cell>
        </row>
        <row r="3124">
          <cell r="C3124" t="str">
            <v>JUMLAH S/D TANGGAL</v>
          </cell>
          <cell r="F3124">
            <v>514639652</v>
          </cell>
          <cell r="G3124">
            <v>490780936</v>
          </cell>
        </row>
        <row r="3125">
          <cell r="C3125" t="str">
            <v>TOTAL</v>
          </cell>
          <cell r="F3125">
            <v>514639652</v>
          </cell>
          <cell r="G3125">
            <v>490780936</v>
          </cell>
        </row>
        <row r="3127">
          <cell r="C3127" t="str">
            <v>SISA</v>
          </cell>
          <cell r="D3127">
            <v>23858716</v>
          </cell>
        </row>
        <row r="3129">
          <cell r="A3129" t="str">
            <v>KODE BANTU</v>
          </cell>
          <cell r="B3129" t="str">
            <v>NO</v>
          </cell>
          <cell r="C3129" t="str">
            <v>JUNI</v>
          </cell>
          <cell r="D3129" t="str">
            <v>URAIAN</v>
          </cell>
          <cell r="E3129" t="str">
            <v>KODE ANGGARAN</v>
          </cell>
          <cell r="F3129" t="str">
            <v>PENERIMAAN</v>
          </cell>
          <cell r="G3129" t="str">
            <v>PENGELUARAN</v>
          </cell>
        </row>
        <row r="3130">
          <cell r="A3130" t="str">
            <v>0</v>
          </cell>
        </row>
        <row r="3131">
          <cell r="A3131" t="str">
            <v>0</v>
          </cell>
        </row>
        <row r="3132">
          <cell r="A3132" t="str">
            <v>0</v>
          </cell>
        </row>
        <row r="3133">
          <cell r="A3133" t="str">
            <v>0</v>
          </cell>
        </row>
        <row r="3134">
          <cell r="A3134" t="str">
            <v>0</v>
          </cell>
        </row>
        <row r="3135">
          <cell r="A3135" t="str">
            <v>0</v>
          </cell>
        </row>
        <row r="3136">
          <cell r="A3136" t="str">
            <v>0</v>
          </cell>
        </row>
        <row r="3137">
          <cell r="A3137" t="str">
            <v>0</v>
          </cell>
        </row>
        <row r="3138">
          <cell r="A3138" t="str">
            <v>0</v>
          </cell>
        </row>
        <row r="3139">
          <cell r="A3139" t="str">
            <v>0</v>
          </cell>
        </row>
        <row r="3140">
          <cell r="A3140" t="str">
            <v>0</v>
          </cell>
        </row>
        <row r="3141">
          <cell r="A3141" t="str">
            <v>0</v>
          </cell>
        </row>
        <row r="3142">
          <cell r="A3142" t="str">
            <v>0</v>
          </cell>
        </row>
        <row r="3143">
          <cell r="A3143" t="str">
            <v>0</v>
          </cell>
        </row>
        <row r="3144">
          <cell r="A3144" t="str">
            <v>0</v>
          </cell>
        </row>
        <row r="3145">
          <cell r="A3145" t="str">
            <v>0</v>
          </cell>
        </row>
        <row r="3146">
          <cell r="A3146" t="str">
            <v>0</v>
          </cell>
        </row>
        <row r="3147">
          <cell r="A3147" t="str">
            <v>0</v>
          </cell>
        </row>
        <row r="3148">
          <cell r="A3148" t="str">
            <v>0</v>
          </cell>
        </row>
        <row r="3149">
          <cell r="A3149" t="str">
            <v>0</v>
          </cell>
        </row>
        <row r="3150">
          <cell r="A3150" t="str">
            <v>0</v>
          </cell>
        </row>
        <row r="3151">
          <cell r="A3151" t="str">
            <v>0</v>
          </cell>
        </row>
        <row r="3152">
          <cell r="A3152" t="str">
            <v>0</v>
          </cell>
        </row>
        <row r="3153">
          <cell r="A3153" t="str">
            <v>0</v>
          </cell>
        </row>
        <row r="3154">
          <cell r="A3154" t="str">
            <v>0</v>
          </cell>
        </row>
        <row r="3156">
          <cell r="C3156" t="str">
            <v>JUMLAH TANGGAL</v>
          </cell>
          <cell r="F3156">
            <v>0</v>
          </cell>
          <cell r="G3156">
            <v>0</v>
          </cell>
        </row>
        <row r="3157">
          <cell r="C3157" t="str">
            <v>HARI INI</v>
          </cell>
        </row>
        <row r="3158">
          <cell r="C3158" t="str">
            <v>JUMLAH S/D TANGGAL</v>
          </cell>
          <cell r="F3158">
            <v>514639652</v>
          </cell>
          <cell r="G3158">
            <v>490780936</v>
          </cell>
        </row>
        <row r="3159">
          <cell r="C3159" t="str">
            <v>TOTAL</v>
          </cell>
          <cell r="F3159">
            <v>514639652</v>
          </cell>
          <cell r="G3159">
            <v>490780936</v>
          </cell>
        </row>
        <row r="3161">
          <cell r="C3161" t="str">
            <v>SISA</v>
          </cell>
          <cell r="D3161">
            <v>23858716</v>
          </cell>
        </row>
        <row r="3163">
          <cell r="A3163" t="str">
            <v>KODE BANTU</v>
          </cell>
          <cell r="B3163" t="str">
            <v>NO</v>
          </cell>
          <cell r="C3163" t="str">
            <v>JUNI</v>
          </cell>
          <cell r="D3163" t="str">
            <v>URAIAN</v>
          </cell>
          <cell r="E3163" t="str">
            <v>KODE ANGGARAN</v>
          </cell>
          <cell r="F3163" t="str">
            <v>PENERIMAAN</v>
          </cell>
          <cell r="G3163" t="str">
            <v>PENGELUARAN</v>
          </cell>
        </row>
        <row r="3164">
          <cell r="A3164" t="str">
            <v>0</v>
          </cell>
        </row>
        <row r="3165">
          <cell r="A3165" t="str">
            <v>0</v>
          </cell>
        </row>
        <row r="3166">
          <cell r="A3166" t="str">
            <v>0</v>
          </cell>
        </row>
        <row r="3167">
          <cell r="A3167" t="str">
            <v>0</v>
          </cell>
        </row>
        <row r="3168">
          <cell r="A3168" t="str">
            <v>0</v>
          </cell>
        </row>
        <row r="3169">
          <cell r="A3169" t="str">
            <v>0</v>
          </cell>
        </row>
        <row r="3170">
          <cell r="A3170" t="str">
            <v>0</v>
          </cell>
        </row>
        <row r="3171">
          <cell r="A3171" t="str">
            <v>0</v>
          </cell>
        </row>
        <row r="3172">
          <cell r="A3172" t="str">
            <v>0</v>
          </cell>
        </row>
        <row r="3173">
          <cell r="A3173" t="str">
            <v>0</v>
          </cell>
        </row>
        <row r="3174">
          <cell r="A3174" t="str">
            <v>0</v>
          </cell>
        </row>
        <row r="3175">
          <cell r="A3175" t="str">
            <v>0</v>
          </cell>
        </row>
        <row r="3176">
          <cell r="A3176" t="str">
            <v>0</v>
          </cell>
        </row>
        <row r="3177">
          <cell r="A3177" t="str">
            <v>0</v>
          </cell>
        </row>
        <row r="3178">
          <cell r="A3178" t="str">
            <v>0</v>
          </cell>
        </row>
        <row r="3179">
          <cell r="A3179" t="str">
            <v>0</v>
          </cell>
        </row>
        <row r="3180">
          <cell r="A3180" t="str">
            <v>0</v>
          </cell>
        </row>
        <row r="3181">
          <cell r="A3181" t="str">
            <v>0</v>
          </cell>
        </row>
        <row r="3182">
          <cell r="A3182" t="str">
            <v>0</v>
          </cell>
        </row>
        <row r="3183">
          <cell r="A3183" t="str">
            <v>0</v>
          </cell>
        </row>
        <row r="3184">
          <cell r="A3184" t="str">
            <v>0</v>
          </cell>
        </row>
        <row r="3185">
          <cell r="A3185" t="str">
            <v>0</v>
          </cell>
        </row>
        <row r="3186">
          <cell r="A3186" t="str">
            <v>0</v>
          </cell>
        </row>
        <row r="3187">
          <cell r="A3187" t="str">
            <v>0</v>
          </cell>
        </row>
        <row r="3188">
          <cell r="A3188" t="str">
            <v>0</v>
          </cell>
        </row>
        <row r="3190">
          <cell r="C3190" t="str">
            <v>JUMLAH TANGGAL</v>
          </cell>
          <cell r="F3190">
            <v>0</v>
          </cell>
          <cell r="G3190">
            <v>0</v>
          </cell>
        </row>
        <row r="3191">
          <cell r="C3191" t="str">
            <v>HARI INI</v>
          </cell>
        </row>
        <row r="3192">
          <cell r="C3192" t="str">
            <v>JUMLAH S/D TANGGAL</v>
          </cell>
          <cell r="F3192">
            <v>514639652</v>
          </cell>
          <cell r="G3192">
            <v>490780936</v>
          </cell>
        </row>
        <row r="3193">
          <cell r="C3193" t="str">
            <v>TOTAL</v>
          </cell>
          <cell r="F3193">
            <v>514639652</v>
          </cell>
          <cell r="G3193">
            <v>490780936</v>
          </cell>
        </row>
        <row r="3195">
          <cell r="C3195" t="str">
            <v>SISA</v>
          </cell>
          <cell r="D3195">
            <v>23858716</v>
          </cell>
        </row>
        <row r="3197">
          <cell r="A3197" t="str">
            <v>KODE BANTU</v>
          </cell>
          <cell r="B3197" t="str">
            <v>NO</v>
          </cell>
          <cell r="C3197" t="str">
            <v>JUNI</v>
          </cell>
          <cell r="D3197" t="str">
            <v>URAIAN</v>
          </cell>
          <cell r="E3197" t="str">
            <v>KODE ANGGARAN</v>
          </cell>
          <cell r="F3197" t="str">
            <v>PENERIMAAN</v>
          </cell>
          <cell r="G3197" t="str">
            <v>PENGELUARAN</v>
          </cell>
        </row>
        <row r="3198">
          <cell r="A3198" t="str">
            <v>0</v>
          </cell>
        </row>
        <row r="3199">
          <cell r="A3199" t="str">
            <v>0</v>
          </cell>
        </row>
        <row r="3200">
          <cell r="A3200" t="str">
            <v>0</v>
          </cell>
        </row>
        <row r="3201">
          <cell r="A3201" t="str">
            <v>0</v>
          </cell>
        </row>
        <row r="3202">
          <cell r="A3202" t="str">
            <v>0</v>
          </cell>
        </row>
        <row r="3203">
          <cell r="A3203" t="str">
            <v>0</v>
          </cell>
        </row>
        <row r="3204">
          <cell r="A3204" t="str">
            <v>0</v>
          </cell>
        </row>
        <row r="3205">
          <cell r="A3205" t="str">
            <v>0</v>
          </cell>
        </row>
        <row r="3206">
          <cell r="A3206" t="str">
            <v>0</v>
          </cell>
        </row>
        <row r="3207">
          <cell r="A3207" t="str">
            <v>0</v>
          </cell>
        </row>
        <row r="3208">
          <cell r="A3208" t="str">
            <v>0</v>
          </cell>
        </row>
        <row r="3209">
          <cell r="A3209" t="str">
            <v>0</v>
          </cell>
        </row>
        <row r="3210">
          <cell r="A3210" t="str">
            <v>0</v>
          </cell>
        </row>
        <row r="3211">
          <cell r="A3211" t="str">
            <v>0</v>
          </cell>
        </row>
        <row r="3212">
          <cell r="A3212" t="str">
            <v>0</v>
          </cell>
        </row>
        <row r="3213">
          <cell r="A3213" t="str">
            <v>0</v>
          </cell>
        </row>
        <row r="3214">
          <cell r="A3214" t="str">
            <v>0</v>
          </cell>
        </row>
        <row r="3215">
          <cell r="A3215" t="str">
            <v>0</v>
          </cell>
        </row>
        <row r="3216">
          <cell r="A3216" t="str">
            <v>0</v>
          </cell>
        </row>
        <row r="3217">
          <cell r="A3217" t="str">
            <v>0</v>
          </cell>
        </row>
        <row r="3218">
          <cell r="A3218" t="str">
            <v>0</v>
          </cell>
        </row>
        <row r="3219">
          <cell r="A3219" t="str">
            <v>0</v>
          </cell>
        </row>
        <row r="3220">
          <cell r="A3220" t="str">
            <v>0</v>
          </cell>
        </row>
        <row r="3221">
          <cell r="A3221" t="str">
            <v>0</v>
          </cell>
        </row>
        <row r="3222">
          <cell r="A3222" t="str">
            <v>0</v>
          </cell>
        </row>
        <row r="3224">
          <cell r="C3224" t="str">
            <v>JUMLAH TANGGAL</v>
          </cell>
          <cell r="F3224">
            <v>0</v>
          </cell>
          <cell r="G3224">
            <v>0</v>
          </cell>
        </row>
        <row r="3225">
          <cell r="C3225" t="str">
            <v>HARI INI</v>
          </cell>
        </row>
        <row r="3226">
          <cell r="C3226" t="str">
            <v>JUMLAH S/D TANGGAL</v>
          </cell>
          <cell r="F3226">
            <v>514639652</v>
          </cell>
          <cell r="G3226">
            <v>490780936</v>
          </cell>
        </row>
        <row r="3227">
          <cell r="C3227" t="str">
            <v>TOTAL</v>
          </cell>
          <cell r="F3227">
            <v>514639652</v>
          </cell>
          <cell r="G3227">
            <v>490780936</v>
          </cell>
        </row>
        <row r="3229">
          <cell r="C3229" t="str">
            <v>SISA</v>
          </cell>
          <cell r="D3229">
            <v>23858716</v>
          </cell>
        </row>
        <row r="3231">
          <cell r="A3231" t="str">
            <v>KODE BANTU</v>
          </cell>
          <cell r="B3231" t="str">
            <v>NO</v>
          </cell>
          <cell r="C3231" t="str">
            <v>JUNI</v>
          </cell>
          <cell r="D3231" t="str">
            <v>URAIAN</v>
          </cell>
          <cell r="E3231" t="str">
            <v>KODE ANGGARAN</v>
          </cell>
          <cell r="F3231" t="str">
            <v>PENERIMAAN</v>
          </cell>
          <cell r="G3231" t="str">
            <v>PENGELUARAN</v>
          </cell>
        </row>
        <row r="3232">
          <cell r="A3232" t="str">
            <v>0</v>
          </cell>
        </row>
        <row r="3233">
          <cell r="A3233" t="str">
            <v>0</v>
          </cell>
        </row>
        <row r="3234">
          <cell r="A3234" t="str">
            <v>0</v>
          </cell>
        </row>
        <row r="3235">
          <cell r="A3235" t="str">
            <v>0</v>
          </cell>
        </row>
        <row r="3236">
          <cell r="A3236" t="str">
            <v>0</v>
          </cell>
        </row>
        <row r="3237">
          <cell r="A3237" t="str">
            <v>0</v>
          </cell>
        </row>
        <row r="3238">
          <cell r="A3238" t="str">
            <v>0</v>
          </cell>
        </row>
        <row r="3239">
          <cell r="A3239" t="str">
            <v>0</v>
          </cell>
        </row>
        <row r="3240">
          <cell r="A3240" t="str">
            <v>0</v>
          </cell>
        </row>
        <row r="3241">
          <cell r="A3241" t="str">
            <v>0</v>
          </cell>
        </row>
        <row r="3242">
          <cell r="A3242" t="str">
            <v>0</v>
          </cell>
        </row>
        <row r="3243">
          <cell r="A3243" t="str">
            <v>0</v>
          </cell>
        </row>
        <row r="3244">
          <cell r="A3244" t="str">
            <v>0</v>
          </cell>
        </row>
        <row r="3245">
          <cell r="A3245" t="str">
            <v>0</v>
          </cell>
        </row>
        <row r="3246">
          <cell r="A3246" t="str">
            <v>0</v>
          </cell>
        </row>
        <row r="3247">
          <cell r="A3247" t="str">
            <v>0</v>
          </cell>
        </row>
        <row r="3248">
          <cell r="A3248" t="str">
            <v>0</v>
          </cell>
        </row>
        <row r="3249">
          <cell r="A3249" t="str">
            <v>0</v>
          </cell>
        </row>
        <row r="3250">
          <cell r="A3250" t="str">
            <v>0</v>
          </cell>
        </row>
        <row r="3251">
          <cell r="A3251" t="str">
            <v>0</v>
          </cell>
        </row>
        <row r="3252">
          <cell r="A3252" t="str">
            <v>0</v>
          </cell>
        </row>
        <row r="3253">
          <cell r="A3253" t="str">
            <v>0</v>
          </cell>
        </row>
        <row r="3254">
          <cell r="A3254" t="str">
            <v>0</v>
          </cell>
        </row>
        <row r="3255">
          <cell r="A3255" t="str">
            <v>0</v>
          </cell>
        </row>
        <row r="3256">
          <cell r="A3256" t="str">
            <v>0</v>
          </cell>
        </row>
        <row r="3258">
          <cell r="C3258" t="str">
            <v>JUMLAH TANGGAL</v>
          </cell>
          <cell r="F3258">
            <v>0</v>
          </cell>
          <cell r="G3258">
            <v>0</v>
          </cell>
        </row>
        <row r="3259">
          <cell r="C3259" t="str">
            <v>HARI INI</v>
          </cell>
        </row>
        <row r="3260">
          <cell r="C3260" t="str">
            <v>JUMLAH S/D TANGGAL</v>
          </cell>
          <cell r="F3260">
            <v>514639652</v>
          </cell>
          <cell r="G3260">
            <v>490780936</v>
          </cell>
        </row>
        <row r="3261">
          <cell r="C3261" t="str">
            <v>TOTAL</v>
          </cell>
          <cell r="F3261">
            <v>514639652</v>
          </cell>
          <cell r="G3261">
            <v>490780936</v>
          </cell>
        </row>
        <row r="3263">
          <cell r="C3263" t="str">
            <v>SISA</v>
          </cell>
          <cell r="D3263">
            <v>23858716</v>
          </cell>
        </row>
        <row r="3265">
          <cell r="A3265" t="str">
            <v>KODE BANTU</v>
          </cell>
          <cell r="B3265" t="str">
            <v>NO</v>
          </cell>
          <cell r="C3265" t="str">
            <v>JUNI</v>
          </cell>
          <cell r="D3265" t="str">
            <v>URAIAN</v>
          </cell>
          <cell r="E3265" t="str">
            <v>KODE ANGGARAN</v>
          </cell>
          <cell r="F3265" t="str">
            <v>PENERIMAAN</v>
          </cell>
          <cell r="G3265" t="str">
            <v>PENGELUARAN</v>
          </cell>
        </row>
        <row r="3266">
          <cell r="A3266" t="str">
            <v>0</v>
          </cell>
        </row>
        <row r="3267">
          <cell r="A3267" t="str">
            <v>0</v>
          </cell>
        </row>
        <row r="3268">
          <cell r="A3268" t="str">
            <v>0</v>
          </cell>
        </row>
        <row r="3269">
          <cell r="A3269" t="str">
            <v>0</v>
          </cell>
        </row>
        <row r="3270">
          <cell r="A3270" t="str">
            <v>0</v>
          </cell>
        </row>
        <row r="3271">
          <cell r="A3271" t="str">
            <v>0</v>
          </cell>
        </row>
        <row r="3272">
          <cell r="A3272" t="str">
            <v>0</v>
          </cell>
        </row>
        <row r="3273">
          <cell r="A3273" t="str">
            <v>0</v>
          </cell>
        </row>
        <row r="3274">
          <cell r="A3274" t="str">
            <v>0</v>
          </cell>
        </row>
        <row r="3275">
          <cell r="A3275" t="str">
            <v>0</v>
          </cell>
        </row>
        <row r="3276">
          <cell r="A3276" t="str">
            <v>0</v>
          </cell>
        </row>
        <row r="3277">
          <cell r="A3277" t="str">
            <v>0</v>
          </cell>
        </row>
        <row r="3278">
          <cell r="A3278" t="str">
            <v>0</v>
          </cell>
        </row>
        <row r="3279">
          <cell r="A3279" t="str">
            <v>0</v>
          </cell>
        </row>
        <row r="3280">
          <cell r="A3280" t="str">
            <v>0</v>
          </cell>
        </row>
        <row r="3281">
          <cell r="A3281" t="str">
            <v>0</v>
          </cell>
        </row>
        <row r="3282">
          <cell r="A3282" t="str">
            <v>0</v>
          </cell>
        </row>
        <row r="3283">
          <cell r="A3283" t="str">
            <v>0</v>
          </cell>
        </row>
        <row r="3284">
          <cell r="A3284" t="str">
            <v>0</v>
          </cell>
        </row>
        <row r="3285">
          <cell r="A3285" t="str">
            <v>0</v>
          </cell>
        </row>
        <row r="3286">
          <cell r="A3286" t="str">
            <v>0</v>
          </cell>
        </row>
        <row r="3287">
          <cell r="A3287" t="str">
            <v>0</v>
          </cell>
        </row>
        <row r="3288">
          <cell r="A3288" t="str">
            <v>0</v>
          </cell>
        </row>
        <row r="3289">
          <cell r="A3289" t="str">
            <v>0</v>
          </cell>
        </row>
        <row r="3290">
          <cell r="A3290" t="str">
            <v>0</v>
          </cell>
        </row>
        <row r="3292">
          <cell r="C3292" t="str">
            <v>JUMLAH TANGGAL</v>
          </cell>
          <cell r="F3292">
            <v>0</v>
          </cell>
          <cell r="G3292">
            <v>0</v>
          </cell>
        </row>
        <row r="3293">
          <cell r="C3293" t="str">
            <v>HARI INI</v>
          </cell>
        </row>
        <row r="3294">
          <cell r="C3294" t="str">
            <v>JUMLAH S/D TANGGAL</v>
          </cell>
          <cell r="F3294">
            <v>514639652</v>
          </cell>
          <cell r="G3294">
            <v>490780936</v>
          </cell>
        </row>
        <row r="3295">
          <cell r="C3295" t="str">
            <v>TOTAL</v>
          </cell>
          <cell r="F3295">
            <v>514639652</v>
          </cell>
          <cell r="G3295">
            <v>490780936</v>
          </cell>
        </row>
        <row r="3297">
          <cell r="C3297" t="str">
            <v>SISA</v>
          </cell>
          <cell r="D3297">
            <v>23858716</v>
          </cell>
        </row>
        <row r="3299">
          <cell r="A3299" t="str">
            <v>KODE BANTU</v>
          </cell>
          <cell r="B3299" t="str">
            <v>NO</v>
          </cell>
          <cell r="C3299" t="str">
            <v>JULI</v>
          </cell>
          <cell r="D3299" t="str">
            <v>URAIAN</v>
          </cell>
          <cell r="E3299" t="str">
            <v>KODE ANGGARAN</v>
          </cell>
          <cell r="F3299" t="str">
            <v>PENERIMAAN</v>
          </cell>
          <cell r="G3299" t="str">
            <v>PENGELUARAN</v>
          </cell>
        </row>
        <row r="3300">
          <cell r="A3300" t="str">
            <v>0</v>
          </cell>
        </row>
        <row r="3301">
          <cell r="A3301" t="str">
            <v>0</v>
          </cell>
        </row>
        <row r="3302">
          <cell r="A3302" t="str">
            <v>0</v>
          </cell>
        </row>
        <row r="3303">
          <cell r="A3303" t="str">
            <v>0</v>
          </cell>
        </row>
        <row r="3304">
          <cell r="A3304" t="str">
            <v>0</v>
          </cell>
        </row>
        <row r="3305">
          <cell r="A3305" t="str">
            <v>0</v>
          </cell>
        </row>
        <row r="3306">
          <cell r="A3306" t="str">
            <v>0</v>
          </cell>
        </row>
        <row r="3307">
          <cell r="A3307" t="str">
            <v>0</v>
          </cell>
        </row>
        <row r="3308">
          <cell r="A3308" t="str">
            <v>0</v>
          </cell>
        </row>
        <row r="3309">
          <cell r="A3309" t="str">
            <v>0</v>
          </cell>
        </row>
        <row r="3310">
          <cell r="A3310" t="str">
            <v>0</v>
          </cell>
        </row>
        <row r="3311">
          <cell r="A3311" t="str">
            <v>0</v>
          </cell>
        </row>
        <row r="3312">
          <cell r="A3312" t="str">
            <v>0</v>
          </cell>
        </row>
        <row r="3313">
          <cell r="A3313" t="str">
            <v>0</v>
          </cell>
        </row>
        <row r="3314">
          <cell r="A3314" t="str">
            <v>0</v>
          </cell>
        </row>
        <row r="3315">
          <cell r="A3315" t="str">
            <v>0</v>
          </cell>
        </row>
        <row r="3316">
          <cell r="A3316" t="str">
            <v>0</v>
          </cell>
        </row>
        <row r="3317">
          <cell r="A3317" t="str">
            <v>0</v>
          </cell>
        </row>
        <row r="3318">
          <cell r="A3318" t="str">
            <v>0</v>
          </cell>
        </row>
        <row r="3319">
          <cell r="A3319" t="str">
            <v>0</v>
          </cell>
        </row>
        <row r="3320">
          <cell r="A3320" t="str">
            <v>0</v>
          </cell>
        </row>
        <row r="3321">
          <cell r="A3321" t="str">
            <v>0</v>
          </cell>
        </row>
        <row r="3322">
          <cell r="A3322" t="str">
            <v>0</v>
          </cell>
        </row>
        <row r="3323">
          <cell r="A3323" t="str">
            <v>0</v>
          </cell>
        </row>
        <row r="3324">
          <cell r="A3324" t="str">
            <v>0</v>
          </cell>
        </row>
        <row r="3326">
          <cell r="C3326" t="str">
            <v>JUMLAH TANGGAL</v>
          </cell>
          <cell r="F3326">
            <v>0</v>
          </cell>
          <cell r="G3326">
            <v>0</v>
          </cell>
        </row>
        <row r="3327">
          <cell r="C3327" t="str">
            <v>HARI INI</v>
          </cell>
        </row>
        <row r="3328">
          <cell r="C3328" t="str">
            <v>JUMLAH S/D TANGGAL</v>
          </cell>
          <cell r="F3328">
            <v>514639652</v>
          </cell>
          <cell r="G3328">
            <v>490780936</v>
          </cell>
        </row>
        <row r="3329">
          <cell r="C3329" t="str">
            <v>TOTAL</v>
          </cell>
          <cell r="F3329">
            <v>514639652</v>
          </cell>
          <cell r="G3329">
            <v>490780936</v>
          </cell>
        </row>
        <row r="3331">
          <cell r="C3331" t="str">
            <v>SISA</v>
          </cell>
          <cell r="D3331">
            <v>23858716</v>
          </cell>
        </row>
        <row r="3333">
          <cell r="A3333" t="str">
            <v>KODE BANTU</v>
          </cell>
          <cell r="B3333" t="str">
            <v>NO</v>
          </cell>
          <cell r="C3333" t="str">
            <v>JULI</v>
          </cell>
          <cell r="D3333" t="str">
            <v>URAIAN</v>
          </cell>
          <cell r="E3333" t="str">
            <v>KODE ANGGARAN</v>
          </cell>
          <cell r="F3333" t="str">
            <v>PENERIMAAN</v>
          </cell>
          <cell r="G3333" t="str">
            <v>PENGELUARAN</v>
          </cell>
        </row>
        <row r="3334">
          <cell r="A3334" t="str">
            <v>0</v>
          </cell>
        </row>
        <row r="3335">
          <cell r="A3335" t="str">
            <v>0</v>
          </cell>
        </row>
        <row r="3336">
          <cell r="A3336" t="str">
            <v>0</v>
          </cell>
        </row>
        <row r="3337">
          <cell r="A3337" t="str">
            <v>0</v>
          </cell>
        </row>
        <row r="3338">
          <cell r="A3338" t="str">
            <v>0</v>
          </cell>
        </row>
        <row r="3339">
          <cell r="A3339" t="str">
            <v>0</v>
          </cell>
        </row>
        <row r="3340">
          <cell r="A3340" t="str">
            <v>0</v>
          </cell>
        </row>
        <row r="3341">
          <cell r="A3341" t="str">
            <v>0</v>
          </cell>
        </row>
        <row r="3342">
          <cell r="A3342" t="str">
            <v>0</v>
          </cell>
        </row>
        <row r="3343">
          <cell r="A3343" t="str">
            <v>0</v>
          </cell>
        </row>
        <row r="3344">
          <cell r="A3344" t="str">
            <v>0</v>
          </cell>
        </row>
        <row r="3345">
          <cell r="A3345" t="str">
            <v>0</v>
          </cell>
        </row>
        <row r="3346">
          <cell r="A3346" t="str">
            <v>0</v>
          </cell>
        </row>
        <row r="3347">
          <cell r="A3347" t="str">
            <v>0</v>
          </cell>
        </row>
        <row r="3348">
          <cell r="A3348" t="str">
            <v>0</v>
          </cell>
        </row>
        <row r="3349">
          <cell r="A3349" t="str">
            <v>0</v>
          </cell>
        </row>
        <row r="3350">
          <cell r="A3350" t="str">
            <v>0</v>
          </cell>
        </row>
        <row r="3351">
          <cell r="A3351" t="str">
            <v>0</v>
          </cell>
        </row>
        <row r="3352">
          <cell r="A3352" t="str">
            <v>0</v>
          </cell>
        </row>
        <row r="3353">
          <cell r="A3353" t="str">
            <v>0</v>
          </cell>
        </row>
        <row r="3354">
          <cell r="A3354" t="str">
            <v>0</v>
          </cell>
        </row>
        <row r="3355">
          <cell r="A3355" t="str">
            <v>0</v>
          </cell>
        </row>
        <row r="3356">
          <cell r="A3356" t="str">
            <v>0</v>
          </cell>
        </row>
        <row r="3357">
          <cell r="A3357" t="str">
            <v>0</v>
          </cell>
        </row>
        <row r="3358">
          <cell r="A3358" t="str">
            <v>0</v>
          </cell>
        </row>
        <row r="3360">
          <cell r="C3360" t="str">
            <v>JUMLAH TANGGAL</v>
          </cell>
          <cell r="F3360">
            <v>0</v>
          </cell>
          <cell r="G3360">
            <v>0</v>
          </cell>
        </row>
        <row r="3361">
          <cell r="C3361" t="str">
            <v>HARI INI</v>
          </cell>
        </row>
        <row r="3362">
          <cell r="C3362" t="str">
            <v>JUMLAH S/D TANGGAL</v>
          </cell>
          <cell r="F3362">
            <v>514639652</v>
          </cell>
          <cell r="G3362">
            <v>490780936</v>
          </cell>
        </row>
        <row r="3363">
          <cell r="C3363" t="str">
            <v>TOTAL</v>
          </cell>
          <cell r="F3363">
            <v>514639652</v>
          </cell>
          <cell r="G3363">
            <v>490780936</v>
          </cell>
        </row>
        <row r="3365">
          <cell r="C3365" t="str">
            <v>SISA</v>
          </cell>
          <cell r="D3365">
            <v>23858716</v>
          </cell>
        </row>
        <row r="3367">
          <cell r="A3367" t="str">
            <v>KODE BANTU</v>
          </cell>
          <cell r="B3367" t="str">
            <v>NO</v>
          </cell>
          <cell r="C3367" t="str">
            <v>JULI</v>
          </cell>
          <cell r="D3367" t="str">
            <v>URAIAN</v>
          </cell>
          <cell r="E3367" t="str">
            <v>KODE ANGGARAN</v>
          </cell>
          <cell r="F3367" t="str">
            <v>PENERIMAAN</v>
          </cell>
          <cell r="G3367" t="str">
            <v>PENGELUARAN</v>
          </cell>
        </row>
        <row r="3368">
          <cell r="A3368" t="str">
            <v>0</v>
          </cell>
        </row>
        <row r="3369">
          <cell r="A3369" t="str">
            <v>0</v>
          </cell>
        </row>
        <row r="3370">
          <cell r="A3370" t="str">
            <v>0</v>
          </cell>
        </row>
        <row r="3371">
          <cell r="A3371" t="str">
            <v>0</v>
          </cell>
        </row>
        <row r="3372">
          <cell r="A3372" t="str">
            <v>0</v>
          </cell>
        </row>
        <row r="3373">
          <cell r="A3373" t="str">
            <v>0</v>
          </cell>
        </row>
        <row r="3374">
          <cell r="A3374" t="str">
            <v>0</v>
          </cell>
        </row>
        <row r="3375">
          <cell r="A3375" t="str">
            <v>0</v>
          </cell>
        </row>
        <row r="3376">
          <cell r="A3376" t="str">
            <v>0</v>
          </cell>
        </row>
        <row r="3377">
          <cell r="A3377" t="str">
            <v>0</v>
          </cell>
        </row>
        <row r="3378">
          <cell r="A3378" t="str">
            <v>0</v>
          </cell>
        </row>
        <row r="3379">
          <cell r="A3379" t="str">
            <v>0</v>
          </cell>
        </row>
        <row r="3380">
          <cell r="A3380" t="str">
            <v>0</v>
          </cell>
        </row>
        <row r="3381">
          <cell r="A3381" t="str">
            <v>0</v>
          </cell>
        </row>
        <row r="3382">
          <cell r="A3382" t="str">
            <v>0</v>
          </cell>
        </row>
        <row r="3383">
          <cell r="A3383" t="str">
            <v>0</v>
          </cell>
        </row>
        <row r="3384">
          <cell r="A3384" t="str">
            <v>0</v>
          </cell>
        </row>
        <row r="3385">
          <cell r="A3385" t="str">
            <v>0</v>
          </cell>
        </row>
        <row r="3386">
          <cell r="A3386" t="str">
            <v>0</v>
          </cell>
        </row>
        <row r="3387">
          <cell r="A3387" t="str">
            <v>0</v>
          </cell>
        </row>
        <row r="3388">
          <cell r="A3388" t="str">
            <v>0</v>
          </cell>
        </row>
        <row r="3389">
          <cell r="A3389" t="str">
            <v>0</v>
          </cell>
        </row>
        <row r="3390">
          <cell r="A3390" t="str">
            <v>0</v>
          </cell>
        </row>
        <row r="3391">
          <cell r="A3391" t="str">
            <v>0</v>
          </cell>
        </row>
        <row r="3392">
          <cell r="A3392" t="str">
            <v>0</v>
          </cell>
        </row>
        <row r="3394">
          <cell r="C3394" t="str">
            <v>JUMLAH TANGGAL</v>
          </cell>
          <cell r="F3394">
            <v>0</v>
          </cell>
          <cell r="G3394">
            <v>0</v>
          </cell>
        </row>
        <row r="3395">
          <cell r="C3395" t="str">
            <v>HARI INI</v>
          </cell>
        </row>
        <row r="3396">
          <cell r="C3396" t="str">
            <v>JUMLAH S/D TANGGAL</v>
          </cell>
          <cell r="F3396">
            <v>514639652</v>
          </cell>
          <cell r="G3396">
            <v>490780936</v>
          </cell>
        </row>
        <row r="3397">
          <cell r="C3397" t="str">
            <v>TOTAL</v>
          </cell>
          <cell r="F3397">
            <v>514639652</v>
          </cell>
          <cell r="G3397">
            <v>490780936</v>
          </cell>
        </row>
        <row r="3399">
          <cell r="C3399" t="str">
            <v>SISA</v>
          </cell>
          <cell r="D3399">
            <v>23858716</v>
          </cell>
        </row>
        <row r="3401">
          <cell r="A3401" t="str">
            <v>KODE BANTU</v>
          </cell>
          <cell r="B3401" t="str">
            <v>NO</v>
          </cell>
          <cell r="C3401" t="str">
            <v>JULI</v>
          </cell>
          <cell r="D3401" t="str">
            <v>URAIAN</v>
          </cell>
          <cell r="E3401" t="str">
            <v>KODE ANGGARAN</v>
          </cell>
          <cell r="F3401" t="str">
            <v>PENERIMAAN</v>
          </cell>
          <cell r="G3401" t="str">
            <v>PENGELUARAN</v>
          </cell>
        </row>
        <row r="3402">
          <cell r="A3402" t="str">
            <v>0</v>
          </cell>
        </row>
        <row r="3403">
          <cell r="A3403" t="str">
            <v>0</v>
          </cell>
        </row>
        <row r="3404">
          <cell r="A3404" t="str">
            <v>0</v>
          </cell>
        </row>
        <row r="3405">
          <cell r="A3405" t="str">
            <v>0</v>
          </cell>
        </row>
        <row r="3406">
          <cell r="A3406" t="str">
            <v>0</v>
          </cell>
        </row>
        <row r="3407">
          <cell r="A3407" t="str">
            <v>0</v>
          </cell>
        </row>
        <row r="3408">
          <cell r="A3408" t="str">
            <v>0</v>
          </cell>
        </row>
        <row r="3409">
          <cell r="A3409" t="str">
            <v>0</v>
          </cell>
        </row>
        <row r="3410">
          <cell r="A3410" t="str">
            <v>0</v>
          </cell>
        </row>
        <row r="3411">
          <cell r="A3411" t="str">
            <v>0</v>
          </cell>
        </row>
        <row r="3412">
          <cell r="A3412" t="str">
            <v>0</v>
          </cell>
        </row>
        <row r="3413">
          <cell r="A3413" t="str">
            <v>0</v>
          </cell>
        </row>
        <row r="3414">
          <cell r="A3414" t="str">
            <v>0</v>
          </cell>
        </row>
        <row r="3415">
          <cell r="A3415" t="str">
            <v>0</v>
          </cell>
        </row>
        <row r="3416">
          <cell r="A3416" t="str">
            <v>0</v>
          </cell>
        </row>
        <row r="3417">
          <cell r="A3417" t="str">
            <v>0</v>
          </cell>
        </row>
        <row r="3418">
          <cell r="A3418" t="str">
            <v>0</v>
          </cell>
        </row>
        <row r="3419">
          <cell r="A3419" t="str">
            <v>0</v>
          </cell>
        </row>
        <row r="3420">
          <cell r="A3420" t="str">
            <v>0</v>
          </cell>
        </row>
        <row r="3421">
          <cell r="A3421" t="str">
            <v>0</v>
          </cell>
        </row>
        <row r="3422">
          <cell r="A3422" t="str">
            <v>0</v>
          </cell>
        </row>
        <row r="3423">
          <cell r="A3423" t="str">
            <v>0</v>
          </cell>
        </row>
        <row r="3424">
          <cell r="A3424" t="str">
            <v>0</v>
          </cell>
        </row>
        <row r="3425">
          <cell r="A3425" t="str">
            <v>0</v>
          </cell>
        </row>
        <row r="3426">
          <cell r="A3426" t="str">
            <v>0</v>
          </cell>
        </row>
        <row r="3428">
          <cell r="C3428" t="str">
            <v>JUMLAH TANGGAL</v>
          </cell>
          <cell r="F3428">
            <v>0</v>
          </cell>
          <cell r="G3428">
            <v>0</v>
          </cell>
        </row>
        <row r="3429">
          <cell r="C3429" t="str">
            <v>HARI INI</v>
          </cell>
        </row>
        <row r="3430">
          <cell r="C3430" t="str">
            <v>JUMLAH S/D TANGGAL</v>
          </cell>
          <cell r="F3430">
            <v>514639652</v>
          </cell>
          <cell r="G3430">
            <v>490780936</v>
          </cell>
        </row>
        <row r="3431">
          <cell r="C3431" t="str">
            <v>TOTAL</v>
          </cell>
          <cell r="F3431">
            <v>514639652</v>
          </cell>
          <cell r="G3431">
            <v>490780936</v>
          </cell>
        </row>
        <row r="3433">
          <cell r="C3433" t="str">
            <v>SISA</v>
          </cell>
          <cell r="D3433">
            <v>23858716</v>
          </cell>
        </row>
        <row r="3435">
          <cell r="A3435" t="str">
            <v>KODE BANTU</v>
          </cell>
          <cell r="B3435" t="str">
            <v>NO</v>
          </cell>
          <cell r="C3435" t="str">
            <v>JULI</v>
          </cell>
          <cell r="D3435" t="str">
            <v>URAIAN</v>
          </cell>
          <cell r="E3435" t="str">
            <v>KODE ANGGARAN</v>
          </cell>
          <cell r="F3435" t="str">
            <v>PENERIMAAN</v>
          </cell>
          <cell r="G3435" t="str">
            <v>PENGELUARAN</v>
          </cell>
        </row>
        <row r="3436">
          <cell r="A3436" t="str">
            <v>0</v>
          </cell>
        </row>
        <row r="3437">
          <cell r="A3437" t="str">
            <v>0</v>
          </cell>
        </row>
        <row r="3438">
          <cell r="A3438" t="str">
            <v>0</v>
          </cell>
        </row>
        <row r="3439">
          <cell r="A3439" t="str">
            <v>0</v>
          </cell>
        </row>
        <row r="3440">
          <cell r="A3440" t="str">
            <v>0</v>
          </cell>
        </row>
        <row r="3441">
          <cell r="A3441" t="str">
            <v>0</v>
          </cell>
        </row>
        <row r="3442">
          <cell r="A3442" t="str">
            <v>0</v>
          </cell>
        </row>
        <row r="3443">
          <cell r="A3443" t="str">
            <v>0</v>
          </cell>
        </row>
        <row r="3444">
          <cell r="A3444" t="str">
            <v>0</v>
          </cell>
        </row>
        <row r="3445">
          <cell r="A3445" t="str">
            <v>0</v>
          </cell>
        </row>
        <row r="3446">
          <cell r="A3446" t="str">
            <v>0</v>
          </cell>
        </row>
        <row r="3447">
          <cell r="A3447" t="str">
            <v>0</v>
          </cell>
        </row>
        <row r="3448">
          <cell r="A3448" t="str">
            <v>0</v>
          </cell>
        </row>
        <row r="3449">
          <cell r="A3449" t="str">
            <v>0</v>
          </cell>
        </row>
        <row r="3450">
          <cell r="A3450" t="str">
            <v>0</v>
          </cell>
        </row>
        <row r="3451">
          <cell r="A3451" t="str">
            <v>0</v>
          </cell>
        </row>
        <row r="3452">
          <cell r="A3452" t="str">
            <v>0</v>
          </cell>
        </row>
        <row r="3453">
          <cell r="A3453" t="str">
            <v>0</v>
          </cell>
        </row>
        <row r="3454">
          <cell r="A3454" t="str">
            <v>0</v>
          </cell>
        </row>
        <row r="3455">
          <cell r="A3455" t="str">
            <v>0</v>
          </cell>
        </row>
        <row r="3456">
          <cell r="A3456" t="str">
            <v>0</v>
          </cell>
        </row>
        <row r="3457">
          <cell r="A3457" t="str">
            <v>0</v>
          </cell>
        </row>
        <row r="3458">
          <cell r="A3458" t="str">
            <v>0</v>
          </cell>
        </row>
        <row r="3459">
          <cell r="A3459" t="str">
            <v>0</v>
          </cell>
        </row>
        <row r="3460">
          <cell r="A3460" t="str">
            <v>0</v>
          </cell>
        </row>
        <row r="3462">
          <cell r="C3462" t="str">
            <v>JUMLAH TANGGAL</v>
          </cell>
          <cell r="F3462">
            <v>0</v>
          </cell>
          <cell r="G3462">
            <v>0</v>
          </cell>
        </row>
        <row r="3463">
          <cell r="C3463" t="str">
            <v>HARI INI</v>
          </cell>
        </row>
        <row r="3464">
          <cell r="C3464" t="str">
            <v>JUMLAH S/D TANGGAL</v>
          </cell>
          <cell r="F3464">
            <v>514639652</v>
          </cell>
          <cell r="G3464">
            <v>490780936</v>
          </cell>
        </row>
        <row r="3465">
          <cell r="C3465" t="str">
            <v>TOTAL</v>
          </cell>
          <cell r="F3465">
            <v>514639652</v>
          </cell>
          <cell r="G3465">
            <v>490780936</v>
          </cell>
        </row>
        <row r="3467">
          <cell r="C3467" t="str">
            <v>SISA</v>
          </cell>
          <cell r="D3467">
            <v>23858716</v>
          </cell>
        </row>
        <row r="3469">
          <cell r="A3469" t="str">
            <v>KODE BANTU</v>
          </cell>
          <cell r="B3469" t="str">
            <v>NO</v>
          </cell>
          <cell r="C3469" t="str">
            <v>JULI</v>
          </cell>
          <cell r="D3469" t="str">
            <v>URAIAN</v>
          </cell>
          <cell r="E3469" t="str">
            <v>KODE ANGGARAN</v>
          </cell>
          <cell r="F3469" t="str">
            <v>PENERIMAAN</v>
          </cell>
          <cell r="G3469" t="str">
            <v>PENGELUARAN</v>
          </cell>
        </row>
        <row r="3470">
          <cell r="A3470" t="str">
            <v>0</v>
          </cell>
        </row>
        <row r="3471">
          <cell r="A3471" t="str">
            <v>0</v>
          </cell>
        </row>
        <row r="3472">
          <cell r="A3472" t="str">
            <v>0</v>
          </cell>
        </row>
        <row r="3473">
          <cell r="A3473" t="str">
            <v>0</v>
          </cell>
        </row>
        <row r="3474">
          <cell r="A3474" t="str">
            <v>0</v>
          </cell>
        </row>
        <row r="3475">
          <cell r="A3475" t="str">
            <v>0</v>
          </cell>
        </row>
        <row r="3476">
          <cell r="A3476" t="str">
            <v>0</v>
          </cell>
        </row>
        <row r="3477">
          <cell r="A3477" t="str">
            <v>0</v>
          </cell>
        </row>
        <row r="3478">
          <cell r="A3478" t="str">
            <v>0</v>
          </cell>
        </row>
        <row r="3479">
          <cell r="A3479" t="str">
            <v>0</v>
          </cell>
        </row>
        <row r="3480">
          <cell r="A3480" t="str">
            <v>0</v>
          </cell>
        </row>
        <row r="3481">
          <cell r="A3481" t="str">
            <v>0</v>
          </cell>
        </row>
        <row r="3482">
          <cell r="A3482" t="str">
            <v>0</v>
          </cell>
        </row>
        <row r="3483">
          <cell r="A3483" t="str">
            <v>0</v>
          </cell>
        </row>
        <row r="3484">
          <cell r="A3484" t="str">
            <v>0</v>
          </cell>
        </row>
        <row r="3485">
          <cell r="A3485" t="str">
            <v>0</v>
          </cell>
        </row>
        <row r="3486">
          <cell r="A3486" t="str">
            <v>0</v>
          </cell>
        </row>
        <row r="3487">
          <cell r="A3487" t="str">
            <v>0</v>
          </cell>
        </row>
        <row r="3488">
          <cell r="A3488" t="str">
            <v>0</v>
          </cell>
        </row>
        <row r="3489">
          <cell r="A3489" t="str">
            <v>0</v>
          </cell>
        </row>
        <row r="3490">
          <cell r="A3490" t="str">
            <v>0</v>
          </cell>
        </row>
        <row r="3491">
          <cell r="A3491" t="str">
            <v>0</v>
          </cell>
        </row>
        <row r="3492">
          <cell r="A3492" t="str">
            <v>0</v>
          </cell>
        </row>
        <row r="3493">
          <cell r="A3493" t="str">
            <v>0</v>
          </cell>
        </row>
        <row r="3494">
          <cell r="A3494" t="str">
            <v>0</v>
          </cell>
        </row>
        <row r="3496">
          <cell r="C3496" t="str">
            <v>JUMLAH TANGGAL</v>
          </cell>
          <cell r="F3496">
            <v>0</v>
          </cell>
          <cell r="G3496">
            <v>0</v>
          </cell>
        </row>
        <row r="3497">
          <cell r="C3497" t="str">
            <v>HARI INI</v>
          </cell>
        </row>
        <row r="3498">
          <cell r="C3498" t="str">
            <v>JUMLAH S/D TANGGAL</v>
          </cell>
          <cell r="F3498">
            <v>514639652</v>
          </cell>
          <cell r="G3498">
            <v>490780936</v>
          </cell>
        </row>
        <row r="3499">
          <cell r="C3499" t="str">
            <v>TOTAL</v>
          </cell>
          <cell r="F3499">
            <v>514639652</v>
          </cell>
          <cell r="G3499">
            <v>490780936</v>
          </cell>
        </row>
        <row r="3501">
          <cell r="C3501" t="str">
            <v>SISA</v>
          </cell>
          <cell r="D3501">
            <v>23858716</v>
          </cell>
        </row>
        <row r="3503">
          <cell r="A3503" t="str">
            <v>KODE BANTU</v>
          </cell>
          <cell r="B3503" t="str">
            <v>NO</v>
          </cell>
          <cell r="C3503" t="str">
            <v>JULI</v>
          </cell>
          <cell r="D3503" t="str">
            <v>URAIAN</v>
          </cell>
          <cell r="E3503" t="str">
            <v>KODE ANGGARAN</v>
          </cell>
          <cell r="F3503" t="str">
            <v>PENERIMAAN</v>
          </cell>
          <cell r="G3503" t="str">
            <v>PENGELUARAN</v>
          </cell>
        </row>
        <row r="3504">
          <cell r="A3504" t="str">
            <v>0</v>
          </cell>
        </row>
        <row r="3505">
          <cell r="A3505" t="str">
            <v>0</v>
          </cell>
        </row>
        <row r="3506">
          <cell r="A3506" t="str">
            <v>0</v>
          </cell>
        </row>
        <row r="3507">
          <cell r="A3507" t="str">
            <v>0</v>
          </cell>
        </row>
        <row r="3508">
          <cell r="A3508" t="str">
            <v>0</v>
          </cell>
        </row>
        <row r="3509">
          <cell r="A3509" t="str">
            <v>0</v>
          </cell>
        </row>
        <row r="3510">
          <cell r="A3510" t="str">
            <v>0</v>
          </cell>
        </row>
        <row r="3511">
          <cell r="A3511" t="str">
            <v>0</v>
          </cell>
        </row>
        <row r="3512">
          <cell r="A3512" t="str">
            <v>0</v>
          </cell>
        </row>
        <row r="3513">
          <cell r="A3513" t="str">
            <v>0</v>
          </cell>
        </row>
        <row r="3514">
          <cell r="A3514" t="str">
            <v>0</v>
          </cell>
        </row>
        <row r="3515">
          <cell r="A3515" t="str">
            <v>0</v>
          </cell>
        </row>
        <row r="3516">
          <cell r="A3516" t="str">
            <v>0</v>
          </cell>
        </row>
        <row r="3517">
          <cell r="A3517" t="str">
            <v>0</v>
          </cell>
        </row>
        <row r="3518">
          <cell r="A3518" t="str">
            <v>0</v>
          </cell>
        </row>
        <row r="3519">
          <cell r="A3519" t="str">
            <v>0</v>
          </cell>
        </row>
        <row r="3520">
          <cell r="A3520" t="str">
            <v>0</v>
          </cell>
        </row>
        <row r="3521">
          <cell r="A3521" t="str">
            <v>0</v>
          </cell>
        </row>
        <row r="3522">
          <cell r="A3522" t="str">
            <v>0</v>
          </cell>
        </row>
        <row r="3523">
          <cell r="A3523" t="str">
            <v>0</v>
          </cell>
        </row>
        <row r="3524">
          <cell r="A3524" t="str">
            <v>0</v>
          </cell>
        </row>
        <row r="3525">
          <cell r="A3525" t="str">
            <v>0</v>
          </cell>
        </row>
        <row r="3526">
          <cell r="A3526" t="str">
            <v>0</v>
          </cell>
        </row>
        <row r="3527">
          <cell r="A3527" t="str">
            <v>0</v>
          </cell>
        </row>
        <row r="3528">
          <cell r="A3528" t="str">
            <v>0</v>
          </cell>
        </row>
        <row r="3530">
          <cell r="C3530" t="str">
            <v>JUMLAH TANGGAL</v>
          </cell>
          <cell r="F3530">
            <v>0</v>
          </cell>
          <cell r="G3530">
            <v>0</v>
          </cell>
        </row>
        <row r="3531">
          <cell r="C3531" t="str">
            <v>HARI INI</v>
          </cell>
        </row>
        <row r="3532">
          <cell r="C3532" t="str">
            <v>JUMLAH S/D TANGGAL</v>
          </cell>
          <cell r="F3532">
            <v>514639652</v>
          </cell>
          <cell r="G3532">
            <v>490780936</v>
          </cell>
        </row>
        <row r="3533">
          <cell r="C3533" t="str">
            <v>TOTAL</v>
          </cell>
          <cell r="F3533">
            <v>514639652</v>
          </cell>
          <cell r="G3533">
            <v>490780936</v>
          </cell>
        </row>
        <row r="3535">
          <cell r="C3535" t="str">
            <v>SISA</v>
          </cell>
          <cell r="D3535">
            <v>23858716</v>
          </cell>
        </row>
        <row r="3537">
          <cell r="A3537" t="str">
            <v>KODE BANTU</v>
          </cell>
          <cell r="B3537" t="str">
            <v>NO</v>
          </cell>
          <cell r="C3537" t="str">
            <v>JULI</v>
          </cell>
          <cell r="D3537" t="str">
            <v>URAIAN</v>
          </cell>
          <cell r="E3537" t="str">
            <v>KODE ANGGARAN</v>
          </cell>
          <cell r="F3537" t="str">
            <v>PENERIMAAN</v>
          </cell>
          <cell r="G3537" t="str">
            <v>PENGELUARAN</v>
          </cell>
        </row>
        <row r="3538">
          <cell r="A3538" t="str">
            <v>0</v>
          </cell>
        </row>
        <row r="3539">
          <cell r="A3539" t="str">
            <v>0</v>
          </cell>
        </row>
        <row r="3540">
          <cell r="A3540" t="str">
            <v>0</v>
          </cell>
        </row>
        <row r="3541">
          <cell r="A3541" t="str">
            <v>0</v>
          </cell>
        </row>
        <row r="3542">
          <cell r="A3542" t="str">
            <v>0</v>
          </cell>
        </row>
        <row r="3543">
          <cell r="A3543" t="str">
            <v>0</v>
          </cell>
        </row>
        <row r="3544">
          <cell r="A3544" t="str">
            <v>0</v>
          </cell>
        </row>
        <row r="3545">
          <cell r="A3545" t="str">
            <v>0</v>
          </cell>
        </row>
        <row r="3546">
          <cell r="A3546" t="str">
            <v>0</v>
          </cell>
        </row>
        <row r="3547">
          <cell r="A3547" t="str">
            <v>0</v>
          </cell>
        </row>
        <row r="3548">
          <cell r="A3548" t="str">
            <v>0</v>
          </cell>
        </row>
        <row r="3549">
          <cell r="A3549" t="str">
            <v>0</v>
          </cell>
        </row>
        <row r="3550">
          <cell r="A3550" t="str">
            <v>0</v>
          </cell>
        </row>
        <row r="3551">
          <cell r="A3551" t="str">
            <v>0</v>
          </cell>
        </row>
        <row r="3552">
          <cell r="A3552" t="str">
            <v>0</v>
          </cell>
        </row>
        <row r="3553">
          <cell r="A3553" t="str">
            <v>0</v>
          </cell>
        </row>
        <row r="3554">
          <cell r="A3554" t="str">
            <v>0</v>
          </cell>
        </row>
        <row r="3555">
          <cell r="A3555" t="str">
            <v>0</v>
          </cell>
        </row>
        <row r="3556">
          <cell r="A3556" t="str">
            <v>0</v>
          </cell>
        </row>
        <row r="3557">
          <cell r="A3557" t="str">
            <v>0</v>
          </cell>
        </row>
        <row r="3558">
          <cell r="A3558" t="str">
            <v>0</v>
          </cell>
        </row>
        <row r="3559">
          <cell r="A3559" t="str">
            <v>0</v>
          </cell>
        </row>
        <row r="3560">
          <cell r="A3560" t="str">
            <v>0</v>
          </cell>
        </row>
        <row r="3561">
          <cell r="A3561" t="str">
            <v>0</v>
          </cell>
        </row>
        <row r="3562">
          <cell r="A3562" t="str">
            <v>0</v>
          </cell>
        </row>
        <row r="3564">
          <cell r="C3564" t="str">
            <v>JUMLAH TANGGAL</v>
          </cell>
          <cell r="F3564">
            <v>0</v>
          </cell>
          <cell r="G3564">
            <v>0</v>
          </cell>
        </row>
        <row r="3565">
          <cell r="C3565" t="str">
            <v>HARI INI</v>
          </cell>
        </row>
        <row r="3566">
          <cell r="C3566" t="str">
            <v>JUMLAH S/D TANGGAL</v>
          </cell>
          <cell r="F3566">
            <v>514639652</v>
          </cell>
          <cell r="G3566">
            <v>490780936</v>
          </cell>
        </row>
        <row r="3567">
          <cell r="C3567" t="str">
            <v>TOTAL</v>
          </cell>
          <cell r="F3567">
            <v>514639652</v>
          </cell>
          <cell r="G3567">
            <v>490780936</v>
          </cell>
        </row>
        <row r="3569">
          <cell r="C3569" t="str">
            <v>SISA</v>
          </cell>
          <cell r="D3569">
            <v>23858716</v>
          </cell>
        </row>
        <row r="3571">
          <cell r="A3571" t="str">
            <v>KODE BANTU</v>
          </cell>
          <cell r="B3571" t="str">
            <v>NO</v>
          </cell>
          <cell r="C3571" t="str">
            <v>JULI</v>
          </cell>
          <cell r="D3571" t="str">
            <v>URAIAN</v>
          </cell>
          <cell r="E3571" t="str">
            <v>KODE ANGGARAN</v>
          </cell>
          <cell r="F3571" t="str">
            <v>PENERIMAAN</v>
          </cell>
          <cell r="G3571" t="str">
            <v>PENGELUARAN</v>
          </cell>
        </row>
        <row r="3572">
          <cell r="A3572" t="str">
            <v>0</v>
          </cell>
        </row>
        <row r="3573">
          <cell r="A3573" t="str">
            <v>0</v>
          </cell>
        </row>
        <row r="3574">
          <cell r="A3574" t="str">
            <v>0</v>
          </cell>
        </row>
        <row r="3575">
          <cell r="A3575" t="str">
            <v>0</v>
          </cell>
        </row>
        <row r="3576">
          <cell r="A3576" t="str">
            <v>0</v>
          </cell>
        </row>
        <row r="3577">
          <cell r="A3577" t="str">
            <v>0</v>
          </cell>
        </row>
        <row r="3578">
          <cell r="A3578" t="str">
            <v>0</v>
          </cell>
        </row>
        <row r="3579">
          <cell r="A3579" t="str">
            <v>0</v>
          </cell>
        </row>
        <row r="3580">
          <cell r="A3580" t="str">
            <v>0</v>
          </cell>
        </row>
        <row r="3581">
          <cell r="A3581" t="str">
            <v>0</v>
          </cell>
        </row>
        <row r="3582">
          <cell r="A3582" t="str">
            <v>0</v>
          </cell>
        </row>
        <row r="3583">
          <cell r="A3583" t="str">
            <v>0</v>
          </cell>
        </row>
        <row r="3584">
          <cell r="A3584" t="str">
            <v>0</v>
          </cell>
        </row>
        <row r="3585">
          <cell r="A3585" t="str">
            <v>0</v>
          </cell>
        </row>
        <row r="3586">
          <cell r="A3586" t="str">
            <v>0</v>
          </cell>
        </row>
        <row r="3587">
          <cell r="A3587" t="str">
            <v>0</v>
          </cell>
        </row>
        <row r="3588">
          <cell r="A3588" t="str">
            <v>0</v>
          </cell>
        </row>
        <row r="3589">
          <cell r="A3589" t="str">
            <v>0</v>
          </cell>
        </row>
        <row r="3590">
          <cell r="A3590" t="str">
            <v>0</v>
          </cell>
        </row>
        <row r="3591">
          <cell r="A3591" t="str">
            <v>0</v>
          </cell>
        </row>
        <row r="3592">
          <cell r="A3592" t="str">
            <v>0</v>
          </cell>
        </row>
        <row r="3593">
          <cell r="A3593" t="str">
            <v>0</v>
          </cell>
        </row>
        <row r="3594">
          <cell r="A3594" t="str">
            <v>0</v>
          </cell>
        </row>
        <row r="3595">
          <cell r="A3595" t="str">
            <v>0</v>
          </cell>
        </row>
        <row r="3596">
          <cell r="A3596" t="str">
            <v>0</v>
          </cell>
        </row>
        <row r="3598">
          <cell r="C3598" t="str">
            <v>JUMLAH TANGGAL</v>
          </cell>
          <cell r="F3598">
            <v>0</v>
          </cell>
          <cell r="G3598">
            <v>0</v>
          </cell>
        </row>
        <row r="3599">
          <cell r="C3599" t="str">
            <v>HARI INI</v>
          </cell>
        </row>
        <row r="3600">
          <cell r="C3600" t="str">
            <v>JUMLAH S/D TANGGAL</v>
          </cell>
          <cell r="F3600">
            <v>514639652</v>
          </cell>
          <cell r="G3600">
            <v>490780936</v>
          </cell>
        </row>
        <row r="3601">
          <cell r="C3601" t="str">
            <v>TOTAL</v>
          </cell>
          <cell r="F3601">
            <v>514639652</v>
          </cell>
          <cell r="G3601">
            <v>490780936</v>
          </cell>
        </row>
        <row r="3603">
          <cell r="C3603" t="str">
            <v>SISA</v>
          </cell>
          <cell r="D3603">
            <v>23858716</v>
          </cell>
        </row>
        <row r="3605">
          <cell r="A3605" t="str">
            <v>KODE BANTU</v>
          </cell>
          <cell r="B3605" t="str">
            <v>NO</v>
          </cell>
          <cell r="C3605" t="str">
            <v>JULI</v>
          </cell>
          <cell r="D3605" t="str">
            <v>URAIAN</v>
          </cell>
          <cell r="E3605" t="str">
            <v>KODE ANGGARAN</v>
          </cell>
          <cell r="F3605" t="str">
            <v>PENERIMAAN</v>
          </cell>
          <cell r="G3605" t="str">
            <v>PENGELUARAN</v>
          </cell>
        </row>
        <row r="3606">
          <cell r="A3606" t="str">
            <v>0</v>
          </cell>
        </row>
        <row r="3607">
          <cell r="A3607" t="str">
            <v>0</v>
          </cell>
        </row>
        <row r="3608">
          <cell r="A3608" t="str">
            <v>0</v>
          </cell>
        </row>
        <row r="3609">
          <cell r="A3609" t="str">
            <v>0</v>
          </cell>
        </row>
        <row r="3610">
          <cell r="A3610" t="str">
            <v>0</v>
          </cell>
        </row>
        <row r="3611">
          <cell r="A3611" t="str">
            <v>0</v>
          </cell>
        </row>
        <row r="3612">
          <cell r="A3612" t="str">
            <v>0</v>
          </cell>
        </row>
        <row r="3613">
          <cell r="A3613" t="str">
            <v>0</v>
          </cell>
        </row>
        <row r="3614">
          <cell r="A3614" t="str">
            <v>0</v>
          </cell>
        </row>
        <row r="3615">
          <cell r="A3615" t="str">
            <v>0</v>
          </cell>
        </row>
        <row r="3616">
          <cell r="A3616" t="str">
            <v>0</v>
          </cell>
        </row>
        <row r="3617">
          <cell r="A3617" t="str">
            <v>0</v>
          </cell>
        </row>
        <row r="3618">
          <cell r="A3618" t="str">
            <v>0</v>
          </cell>
        </row>
        <row r="3619">
          <cell r="A3619" t="str">
            <v>0</v>
          </cell>
        </row>
        <row r="3620">
          <cell r="A3620" t="str">
            <v>0</v>
          </cell>
        </row>
        <row r="3621">
          <cell r="A3621" t="str">
            <v>0</v>
          </cell>
        </row>
        <row r="3622">
          <cell r="A3622" t="str">
            <v>0</v>
          </cell>
        </row>
        <row r="3623">
          <cell r="A3623" t="str">
            <v>0</v>
          </cell>
        </row>
        <row r="3624">
          <cell r="A3624" t="str">
            <v>0</v>
          </cell>
        </row>
        <row r="3625">
          <cell r="A3625" t="str">
            <v>0</v>
          </cell>
        </row>
        <row r="3626">
          <cell r="A3626" t="str">
            <v>0</v>
          </cell>
        </row>
        <row r="3627">
          <cell r="A3627" t="str">
            <v>0</v>
          </cell>
        </row>
        <row r="3628">
          <cell r="A3628" t="str">
            <v>0</v>
          </cell>
        </row>
        <row r="3629">
          <cell r="A3629" t="str">
            <v>0</v>
          </cell>
        </row>
        <row r="3630">
          <cell r="A3630" t="str">
            <v>0</v>
          </cell>
        </row>
        <row r="3632">
          <cell r="C3632" t="str">
            <v>JUMLAH TANGGAL</v>
          </cell>
          <cell r="F3632">
            <v>0</v>
          </cell>
          <cell r="G3632">
            <v>0</v>
          </cell>
        </row>
        <row r="3633">
          <cell r="C3633" t="str">
            <v>HARI INI</v>
          </cell>
        </row>
        <row r="3634">
          <cell r="C3634" t="str">
            <v>JUMLAH S/D TANGGAL</v>
          </cell>
          <cell r="F3634">
            <v>514639652</v>
          </cell>
          <cell r="G3634">
            <v>490780936</v>
          </cell>
        </row>
        <row r="3635">
          <cell r="C3635" t="str">
            <v>TOTAL</v>
          </cell>
          <cell r="F3635">
            <v>514639652</v>
          </cell>
          <cell r="G3635">
            <v>490780936</v>
          </cell>
        </row>
        <row r="3637">
          <cell r="C3637" t="str">
            <v>SISA</v>
          </cell>
          <cell r="D3637">
            <v>23858716</v>
          </cell>
        </row>
        <row r="3639">
          <cell r="A3639" t="str">
            <v>KODE BANTU</v>
          </cell>
          <cell r="B3639" t="str">
            <v>NO</v>
          </cell>
          <cell r="C3639" t="str">
            <v>JULI</v>
          </cell>
          <cell r="D3639" t="str">
            <v>URAIAN</v>
          </cell>
          <cell r="E3639" t="str">
            <v>KODE ANGGARAN</v>
          </cell>
          <cell r="F3639" t="str">
            <v>PENERIMAAN</v>
          </cell>
          <cell r="G3639" t="str">
            <v>PENGELUARAN</v>
          </cell>
        </row>
        <row r="3640">
          <cell r="A3640" t="str">
            <v>0</v>
          </cell>
        </row>
        <row r="3641">
          <cell r="A3641" t="str">
            <v>0</v>
          </cell>
        </row>
        <row r="3642">
          <cell r="A3642" t="str">
            <v>0</v>
          </cell>
        </row>
        <row r="3643">
          <cell r="A3643" t="str">
            <v>0</v>
          </cell>
        </row>
        <row r="3644">
          <cell r="A3644" t="str">
            <v>0</v>
          </cell>
        </row>
        <row r="3645">
          <cell r="A3645" t="str">
            <v>0</v>
          </cell>
        </row>
        <row r="3646">
          <cell r="A3646" t="str">
            <v>0</v>
          </cell>
        </row>
        <row r="3647">
          <cell r="A3647" t="str">
            <v>0</v>
          </cell>
        </row>
        <row r="3648">
          <cell r="A3648" t="str">
            <v>0</v>
          </cell>
        </row>
        <row r="3649">
          <cell r="A3649" t="str">
            <v>0</v>
          </cell>
        </row>
        <row r="3650">
          <cell r="A3650" t="str">
            <v>0</v>
          </cell>
        </row>
        <row r="3651">
          <cell r="A3651" t="str">
            <v>0</v>
          </cell>
        </row>
        <row r="3652">
          <cell r="A3652" t="str">
            <v>0</v>
          </cell>
        </row>
        <row r="3653">
          <cell r="A3653" t="str">
            <v>0</v>
          </cell>
        </row>
        <row r="3654">
          <cell r="A3654" t="str">
            <v>0</v>
          </cell>
        </row>
        <row r="3655">
          <cell r="A3655" t="str">
            <v>0</v>
          </cell>
        </row>
        <row r="3656">
          <cell r="A3656" t="str">
            <v>0</v>
          </cell>
        </row>
        <row r="3657">
          <cell r="A3657" t="str">
            <v>0</v>
          </cell>
        </row>
        <row r="3658">
          <cell r="A3658" t="str">
            <v>0</v>
          </cell>
        </row>
        <row r="3659">
          <cell r="A3659" t="str">
            <v>0</v>
          </cell>
        </row>
        <row r="3660">
          <cell r="A3660" t="str">
            <v>0</v>
          </cell>
        </row>
        <row r="3661">
          <cell r="A3661" t="str">
            <v>0</v>
          </cell>
        </row>
        <row r="3662">
          <cell r="A3662" t="str">
            <v>0</v>
          </cell>
        </row>
        <row r="3663">
          <cell r="A3663" t="str">
            <v>0</v>
          </cell>
        </row>
        <row r="3664">
          <cell r="A3664" t="str">
            <v>0</v>
          </cell>
        </row>
        <row r="3666">
          <cell r="C3666" t="str">
            <v>JUMLAH TANGGAL</v>
          </cell>
          <cell r="F3666">
            <v>0</v>
          </cell>
          <cell r="G3666">
            <v>0</v>
          </cell>
        </row>
        <row r="3667">
          <cell r="C3667" t="str">
            <v>HARI INI</v>
          </cell>
        </row>
        <row r="3668">
          <cell r="C3668" t="str">
            <v>JUMLAH S/D TANGGAL</v>
          </cell>
          <cell r="F3668">
            <v>514639652</v>
          </cell>
          <cell r="G3668">
            <v>490780936</v>
          </cell>
        </row>
        <row r="3669">
          <cell r="C3669" t="str">
            <v>TOTAL</v>
          </cell>
          <cell r="F3669">
            <v>514639652</v>
          </cell>
          <cell r="G3669">
            <v>490780936</v>
          </cell>
        </row>
        <row r="3671">
          <cell r="C3671" t="str">
            <v>SISA</v>
          </cell>
          <cell r="D3671">
            <v>23858716</v>
          </cell>
        </row>
        <row r="3673">
          <cell r="A3673" t="str">
            <v>KODE BANTU</v>
          </cell>
          <cell r="B3673" t="str">
            <v>NO</v>
          </cell>
          <cell r="C3673" t="str">
            <v>JULI</v>
          </cell>
          <cell r="D3673" t="str">
            <v>URAIAN</v>
          </cell>
          <cell r="E3673" t="str">
            <v>KODE ANGGARAN</v>
          </cell>
          <cell r="F3673" t="str">
            <v>PENERIMAAN</v>
          </cell>
          <cell r="G3673" t="str">
            <v>PENGELUARAN</v>
          </cell>
        </row>
        <row r="3674">
          <cell r="A3674" t="str">
            <v>0</v>
          </cell>
        </row>
        <row r="3675">
          <cell r="A3675" t="str">
            <v>0</v>
          </cell>
        </row>
        <row r="3676">
          <cell r="A3676" t="str">
            <v>0</v>
          </cell>
        </row>
        <row r="3677">
          <cell r="A3677" t="str">
            <v>0</v>
          </cell>
        </row>
        <row r="3678">
          <cell r="A3678" t="str">
            <v>0</v>
          </cell>
        </row>
        <row r="3679">
          <cell r="A3679" t="str">
            <v>0</v>
          </cell>
        </row>
        <row r="3680">
          <cell r="A3680" t="str">
            <v>0</v>
          </cell>
        </row>
        <row r="3681">
          <cell r="A3681" t="str">
            <v>0</v>
          </cell>
        </row>
        <row r="3682">
          <cell r="A3682" t="str">
            <v>0</v>
          </cell>
        </row>
        <row r="3683">
          <cell r="A3683" t="str">
            <v>0</v>
          </cell>
        </row>
        <row r="3684">
          <cell r="A3684" t="str">
            <v>0</v>
          </cell>
        </row>
        <row r="3685">
          <cell r="A3685" t="str">
            <v>0</v>
          </cell>
        </row>
        <row r="3686">
          <cell r="A3686" t="str">
            <v>0</v>
          </cell>
        </row>
        <row r="3687">
          <cell r="A3687" t="str">
            <v>0</v>
          </cell>
        </row>
        <row r="3688">
          <cell r="A3688" t="str">
            <v>0</v>
          </cell>
        </row>
        <row r="3689">
          <cell r="A3689" t="str">
            <v>0</v>
          </cell>
        </row>
        <row r="3690">
          <cell r="A3690" t="str">
            <v>0</v>
          </cell>
        </row>
        <row r="3691">
          <cell r="A3691" t="str">
            <v>0</v>
          </cell>
        </row>
        <row r="3692">
          <cell r="A3692" t="str">
            <v>0</v>
          </cell>
        </row>
        <row r="3693">
          <cell r="A3693" t="str">
            <v>0</v>
          </cell>
        </row>
        <row r="3694">
          <cell r="A3694" t="str">
            <v>0</v>
          </cell>
        </row>
        <row r="3695">
          <cell r="A3695" t="str">
            <v>0</v>
          </cell>
        </row>
        <row r="3696">
          <cell r="A3696" t="str">
            <v>0</v>
          </cell>
        </row>
        <row r="3697">
          <cell r="A3697" t="str">
            <v>0</v>
          </cell>
        </row>
        <row r="3698">
          <cell r="A3698" t="str">
            <v>0</v>
          </cell>
        </row>
        <row r="3700">
          <cell r="C3700" t="str">
            <v>JUMLAH TANGGAL</v>
          </cell>
          <cell r="F3700">
            <v>0</v>
          </cell>
          <cell r="G3700">
            <v>0</v>
          </cell>
        </row>
        <row r="3701">
          <cell r="C3701" t="str">
            <v>HARI INI</v>
          </cell>
        </row>
        <row r="3702">
          <cell r="C3702" t="str">
            <v>JUMLAH S/D TANGGAL</v>
          </cell>
          <cell r="F3702">
            <v>514639652</v>
          </cell>
          <cell r="G3702">
            <v>490780936</v>
          </cell>
        </row>
        <row r="3703">
          <cell r="C3703" t="str">
            <v>TOTAL</v>
          </cell>
          <cell r="F3703">
            <v>514639652</v>
          </cell>
          <cell r="G3703">
            <v>490780936</v>
          </cell>
        </row>
        <row r="3705">
          <cell r="C3705" t="str">
            <v>SISA</v>
          </cell>
          <cell r="D3705">
            <v>23858716</v>
          </cell>
        </row>
        <row r="3707">
          <cell r="A3707" t="str">
            <v>KODE BANTU</v>
          </cell>
          <cell r="B3707" t="str">
            <v>NO</v>
          </cell>
          <cell r="C3707" t="str">
            <v>JULI</v>
          </cell>
          <cell r="D3707" t="str">
            <v>URAIAN</v>
          </cell>
          <cell r="E3707" t="str">
            <v>KODE ANGGARAN</v>
          </cell>
          <cell r="F3707" t="str">
            <v>PENERIMAAN</v>
          </cell>
          <cell r="G3707" t="str">
            <v>PENGELUARAN</v>
          </cell>
        </row>
        <row r="3708">
          <cell r="A3708" t="str">
            <v>0</v>
          </cell>
        </row>
        <row r="3709">
          <cell r="A3709" t="str">
            <v>0</v>
          </cell>
        </row>
        <row r="3710">
          <cell r="A3710" t="str">
            <v>0</v>
          </cell>
        </row>
        <row r="3711">
          <cell r="A3711" t="str">
            <v>0</v>
          </cell>
        </row>
        <row r="3712">
          <cell r="A3712" t="str">
            <v>0</v>
          </cell>
        </row>
        <row r="3713">
          <cell r="A3713" t="str">
            <v>0</v>
          </cell>
        </row>
        <row r="3714">
          <cell r="A3714" t="str">
            <v>0</v>
          </cell>
        </row>
        <row r="3715">
          <cell r="A3715" t="str">
            <v>0</v>
          </cell>
        </row>
        <row r="3716">
          <cell r="A3716" t="str">
            <v>0</v>
          </cell>
        </row>
        <row r="3717">
          <cell r="A3717" t="str">
            <v>0</v>
          </cell>
        </row>
        <row r="3718">
          <cell r="A3718" t="str">
            <v>0</v>
          </cell>
        </row>
        <row r="3719">
          <cell r="A3719" t="str">
            <v>0</v>
          </cell>
        </row>
        <row r="3720">
          <cell r="A3720" t="str">
            <v>0</v>
          </cell>
        </row>
        <row r="3721">
          <cell r="A3721" t="str">
            <v>0</v>
          </cell>
        </row>
        <row r="3722">
          <cell r="A3722" t="str">
            <v>0</v>
          </cell>
        </row>
        <row r="3723">
          <cell r="A3723" t="str">
            <v>0</v>
          </cell>
        </row>
        <row r="3724">
          <cell r="A3724" t="str">
            <v>0</v>
          </cell>
        </row>
        <row r="3725">
          <cell r="A3725" t="str">
            <v>0</v>
          </cell>
        </row>
        <row r="3726">
          <cell r="A3726" t="str">
            <v>0</v>
          </cell>
        </row>
        <row r="3727">
          <cell r="A3727" t="str">
            <v>0</v>
          </cell>
        </row>
        <row r="3728">
          <cell r="A3728" t="str">
            <v>0</v>
          </cell>
        </row>
        <row r="3729">
          <cell r="A3729" t="str">
            <v>0</v>
          </cell>
        </row>
        <row r="3730">
          <cell r="A3730" t="str">
            <v>0</v>
          </cell>
        </row>
        <row r="3731">
          <cell r="A3731" t="str">
            <v>0</v>
          </cell>
        </row>
        <row r="3732">
          <cell r="A3732" t="str">
            <v>0</v>
          </cell>
        </row>
        <row r="3734">
          <cell r="C3734" t="str">
            <v>JUMLAH TANGGAL</v>
          </cell>
          <cell r="F3734">
            <v>0</v>
          </cell>
          <cell r="G3734">
            <v>0</v>
          </cell>
        </row>
        <row r="3735">
          <cell r="C3735" t="str">
            <v>HARI INI</v>
          </cell>
        </row>
        <row r="3736">
          <cell r="C3736" t="str">
            <v>JUMLAH S/D TANGGAL</v>
          </cell>
          <cell r="F3736">
            <v>514639652</v>
          </cell>
          <cell r="G3736">
            <v>490780936</v>
          </cell>
        </row>
        <row r="3737">
          <cell r="C3737" t="str">
            <v>TOTAL</v>
          </cell>
          <cell r="F3737">
            <v>514639652</v>
          </cell>
          <cell r="G3737">
            <v>490780936</v>
          </cell>
        </row>
        <row r="3739">
          <cell r="C3739" t="str">
            <v>SISA</v>
          </cell>
          <cell r="D3739">
            <v>23858716</v>
          </cell>
        </row>
        <row r="3741">
          <cell r="A3741" t="str">
            <v>KODE BANTU</v>
          </cell>
          <cell r="B3741" t="str">
            <v>NO</v>
          </cell>
          <cell r="C3741" t="str">
            <v>JULI</v>
          </cell>
          <cell r="D3741" t="str">
            <v>URAIAN</v>
          </cell>
          <cell r="E3741" t="str">
            <v>KODE ANGGARAN</v>
          </cell>
          <cell r="F3741" t="str">
            <v>PENERIMAAN</v>
          </cell>
          <cell r="G3741" t="str">
            <v>PENGELUARAN</v>
          </cell>
        </row>
        <row r="3742">
          <cell r="A3742" t="str">
            <v>0</v>
          </cell>
        </row>
        <row r="3743">
          <cell r="A3743" t="str">
            <v>0</v>
          </cell>
        </row>
        <row r="3744">
          <cell r="A3744" t="str">
            <v>0</v>
          </cell>
        </row>
        <row r="3745">
          <cell r="A3745" t="str">
            <v>0</v>
          </cell>
        </row>
        <row r="3746">
          <cell r="A3746" t="str">
            <v>0</v>
          </cell>
        </row>
        <row r="3747">
          <cell r="A3747" t="str">
            <v>0</v>
          </cell>
        </row>
        <row r="3748">
          <cell r="A3748" t="str">
            <v>0</v>
          </cell>
        </row>
        <row r="3749">
          <cell r="A3749" t="str">
            <v>0</v>
          </cell>
        </row>
        <row r="3750">
          <cell r="A3750" t="str">
            <v>0</v>
          </cell>
        </row>
        <row r="3751">
          <cell r="A3751" t="str">
            <v>0</v>
          </cell>
        </row>
        <row r="3752">
          <cell r="A3752" t="str">
            <v>0</v>
          </cell>
        </row>
        <row r="3753">
          <cell r="A3753" t="str">
            <v>0</v>
          </cell>
        </row>
        <row r="3754">
          <cell r="A3754" t="str">
            <v>0</v>
          </cell>
        </row>
        <row r="3755">
          <cell r="A3755" t="str">
            <v>0</v>
          </cell>
        </row>
        <row r="3756">
          <cell r="A3756" t="str">
            <v>0</v>
          </cell>
        </row>
        <row r="3757">
          <cell r="A3757" t="str">
            <v>0</v>
          </cell>
        </row>
        <row r="3758">
          <cell r="A3758" t="str">
            <v>0</v>
          </cell>
        </row>
        <row r="3759">
          <cell r="A3759" t="str">
            <v>0</v>
          </cell>
        </row>
        <row r="3760">
          <cell r="A3760" t="str">
            <v>0</v>
          </cell>
        </row>
        <row r="3761">
          <cell r="A3761" t="str">
            <v>0</v>
          </cell>
        </row>
        <row r="3762">
          <cell r="A3762" t="str">
            <v>0</v>
          </cell>
        </row>
        <row r="3763">
          <cell r="A3763" t="str">
            <v>0</v>
          </cell>
        </row>
        <row r="3764">
          <cell r="A3764" t="str">
            <v>0</v>
          </cell>
        </row>
        <row r="3765">
          <cell r="A3765" t="str">
            <v>0</v>
          </cell>
        </row>
        <row r="3766">
          <cell r="A3766" t="str">
            <v>0</v>
          </cell>
        </row>
        <row r="3768">
          <cell r="C3768" t="str">
            <v>JUMLAH TANGGAL</v>
          </cell>
          <cell r="F3768">
            <v>0</v>
          </cell>
          <cell r="G3768">
            <v>0</v>
          </cell>
        </row>
        <row r="3769">
          <cell r="C3769" t="str">
            <v>HARI INI</v>
          </cell>
        </row>
        <row r="3770">
          <cell r="C3770" t="str">
            <v>JUMLAH S/D TANGGAL</v>
          </cell>
          <cell r="F3770">
            <v>514639652</v>
          </cell>
          <cell r="G3770">
            <v>490780936</v>
          </cell>
        </row>
        <row r="3771">
          <cell r="C3771" t="str">
            <v>TOTAL</v>
          </cell>
          <cell r="F3771">
            <v>514639652</v>
          </cell>
          <cell r="G3771">
            <v>490780936</v>
          </cell>
        </row>
        <row r="3773">
          <cell r="C3773" t="str">
            <v>SISA</v>
          </cell>
          <cell r="D3773">
            <v>23858716</v>
          </cell>
        </row>
        <row r="3775">
          <cell r="A3775" t="str">
            <v>KODE BANTU</v>
          </cell>
          <cell r="B3775" t="str">
            <v>NO</v>
          </cell>
          <cell r="C3775" t="str">
            <v>JULI</v>
          </cell>
          <cell r="D3775" t="str">
            <v>URAIAN</v>
          </cell>
          <cell r="E3775" t="str">
            <v>KODE ANGGARAN</v>
          </cell>
          <cell r="F3775" t="str">
            <v>PENERIMAAN</v>
          </cell>
          <cell r="G3775" t="str">
            <v>PENGELUARAN</v>
          </cell>
        </row>
        <row r="3776">
          <cell r="A3776" t="str">
            <v>0</v>
          </cell>
        </row>
        <row r="3777">
          <cell r="A3777" t="str">
            <v>0</v>
          </cell>
        </row>
        <row r="3778">
          <cell r="A3778" t="str">
            <v>0</v>
          </cell>
        </row>
        <row r="3779">
          <cell r="A3779" t="str">
            <v>0</v>
          </cell>
        </row>
        <row r="3780">
          <cell r="A3780" t="str">
            <v>0</v>
          </cell>
        </row>
        <row r="3781">
          <cell r="A3781" t="str">
            <v>0</v>
          </cell>
        </row>
        <row r="3782">
          <cell r="A3782" t="str">
            <v>0</v>
          </cell>
        </row>
        <row r="3783">
          <cell r="A3783" t="str">
            <v>0</v>
          </cell>
        </row>
        <row r="3784">
          <cell r="A3784" t="str">
            <v>0</v>
          </cell>
        </row>
        <row r="3785">
          <cell r="A3785" t="str">
            <v>0</v>
          </cell>
        </row>
        <row r="3786">
          <cell r="A3786" t="str">
            <v>0</v>
          </cell>
        </row>
        <row r="3787">
          <cell r="A3787" t="str">
            <v>0</v>
          </cell>
        </row>
        <row r="3788">
          <cell r="A3788" t="str">
            <v>0</v>
          </cell>
        </row>
        <row r="3789">
          <cell r="A3789" t="str">
            <v>0</v>
          </cell>
        </row>
        <row r="3790">
          <cell r="A3790" t="str">
            <v>0</v>
          </cell>
        </row>
        <row r="3791">
          <cell r="A3791" t="str">
            <v>0</v>
          </cell>
        </row>
        <row r="3792">
          <cell r="A3792" t="str">
            <v>0</v>
          </cell>
        </row>
        <row r="3793">
          <cell r="A3793" t="str">
            <v>0</v>
          </cell>
        </row>
        <row r="3794">
          <cell r="A3794" t="str">
            <v>0</v>
          </cell>
        </row>
        <row r="3795">
          <cell r="A3795" t="str">
            <v>0</v>
          </cell>
        </row>
        <row r="3796">
          <cell r="A3796" t="str">
            <v>0</v>
          </cell>
        </row>
        <row r="3797">
          <cell r="A3797" t="str">
            <v>0</v>
          </cell>
        </row>
        <row r="3798">
          <cell r="A3798" t="str">
            <v>0</v>
          </cell>
        </row>
        <row r="3799">
          <cell r="A3799" t="str">
            <v>0</v>
          </cell>
        </row>
        <row r="3800">
          <cell r="A3800" t="str">
            <v>0</v>
          </cell>
        </row>
        <row r="3802">
          <cell r="C3802" t="str">
            <v>JUMLAH TANGGAL</v>
          </cell>
          <cell r="F3802">
            <v>0</v>
          </cell>
          <cell r="G3802">
            <v>0</v>
          </cell>
        </row>
        <row r="3803">
          <cell r="C3803" t="str">
            <v>HARI INI</v>
          </cell>
        </row>
        <row r="3804">
          <cell r="C3804" t="str">
            <v>JUMLAH S/D TANGGAL</v>
          </cell>
          <cell r="F3804">
            <v>514639652</v>
          </cell>
          <cell r="G3804">
            <v>490780936</v>
          </cell>
        </row>
        <row r="3805">
          <cell r="C3805" t="str">
            <v>TOTAL</v>
          </cell>
          <cell r="F3805">
            <v>514639652</v>
          </cell>
          <cell r="G3805">
            <v>490780936</v>
          </cell>
        </row>
        <row r="3807">
          <cell r="C3807" t="str">
            <v>SISA</v>
          </cell>
          <cell r="D3807">
            <v>23858716</v>
          </cell>
        </row>
        <row r="3809">
          <cell r="A3809" t="str">
            <v>KODE BANTU</v>
          </cell>
          <cell r="B3809" t="str">
            <v>NO</v>
          </cell>
          <cell r="C3809" t="str">
            <v>JULI</v>
          </cell>
          <cell r="D3809" t="str">
            <v>URAIAN</v>
          </cell>
          <cell r="E3809" t="str">
            <v>KODE ANGGARAN</v>
          </cell>
          <cell r="F3809" t="str">
            <v>PENERIMAAN</v>
          </cell>
          <cell r="G3809" t="str">
            <v>PENGELUARAN</v>
          </cell>
        </row>
        <row r="3810">
          <cell r="A3810" t="str">
            <v>0</v>
          </cell>
        </row>
        <row r="3811">
          <cell r="A3811" t="str">
            <v>0</v>
          </cell>
        </row>
        <row r="3812">
          <cell r="A3812" t="str">
            <v>0</v>
          </cell>
        </row>
        <row r="3813">
          <cell r="A3813" t="str">
            <v>0</v>
          </cell>
        </row>
        <row r="3814">
          <cell r="A3814" t="str">
            <v>0</v>
          </cell>
        </row>
        <row r="3815">
          <cell r="A3815" t="str">
            <v>0</v>
          </cell>
        </row>
        <row r="3816">
          <cell r="A3816" t="str">
            <v>0</v>
          </cell>
        </row>
        <row r="3817">
          <cell r="A3817" t="str">
            <v>0</v>
          </cell>
        </row>
        <row r="3818">
          <cell r="A3818" t="str">
            <v>0</v>
          </cell>
        </row>
        <row r="3819">
          <cell r="A3819" t="str">
            <v>0</v>
          </cell>
        </row>
        <row r="3820">
          <cell r="A3820" t="str">
            <v>0</v>
          </cell>
        </row>
        <row r="3821">
          <cell r="A3821" t="str">
            <v>0</v>
          </cell>
        </row>
        <row r="3822">
          <cell r="A3822" t="str">
            <v>0</v>
          </cell>
        </row>
        <row r="3823">
          <cell r="A3823" t="str">
            <v>0</v>
          </cell>
        </row>
        <row r="3824">
          <cell r="A3824" t="str">
            <v>0</v>
          </cell>
        </row>
        <row r="3825">
          <cell r="A3825" t="str">
            <v>0</v>
          </cell>
        </row>
        <row r="3826">
          <cell r="A3826" t="str">
            <v>0</v>
          </cell>
        </row>
        <row r="3827">
          <cell r="A3827" t="str">
            <v>0</v>
          </cell>
        </row>
        <row r="3828">
          <cell r="A3828" t="str">
            <v>0</v>
          </cell>
        </row>
        <row r="3829">
          <cell r="A3829" t="str">
            <v>0</v>
          </cell>
        </row>
        <row r="3830">
          <cell r="A3830" t="str">
            <v>0</v>
          </cell>
        </row>
        <row r="3831">
          <cell r="A3831" t="str">
            <v>0</v>
          </cell>
        </row>
        <row r="3832">
          <cell r="A3832" t="str">
            <v>0</v>
          </cell>
        </row>
        <row r="3833">
          <cell r="A3833" t="str">
            <v>0</v>
          </cell>
        </row>
        <row r="3834">
          <cell r="A3834" t="str">
            <v>0</v>
          </cell>
        </row>
        <row r="3836">
          <cell r="C3836" t="str">
            <v>JUMLAH TANGGAL</v>
          </cell>
          <cell r="F3836">
            <v>0</v>
          </cell>
          <cell r="G3836">
            <v>0</v>
          </cell>
        </row>
        <row r="3837">
          <cell r="C3837" t="str">
            <v>HARI INI</v>
          </cell>
        </row>
        <row r="3838">
          <cell r="C3838" t="str">
            <v>JUMLAH S/D TANGGAL</v>
          </cell>
          <cell r="F3838">
            <v>514639652</v>
          </cell>
          <cell r="G3838">
            <v>490780936</v>
          </cell>
        </row>
        <row r="3839">
          <cell r="C3839" t="str">
            <v>TOTAL</v>
          </cell>
          <cell r="F3839">
            <v>514639652</v>
          </cell>
          <cell r="G3839">
            <v>490780936</v>
          </cell>
        </row>
        <row r="3841">
          <cell r="C3841" t="str">
            <v>SISA</v>
          </cell>
          <cell r="D3841">
            <v>23858716</v>
          </cell>
        </row>
        <row r="3843">
          <cell r="A3843" t="str">
            <v>KODE BANTU</v>
          </cell>
          <cell r="B3843" t="str">
            <v>NO</v>
          </cell>
          <cell r="C3843" t="str">
            <v>AGUSTUS</v>
          </cell>
          <cell r="D3843" t="str">
            <v>URAIAN</v>
          </cell>
          <cell r="E3843" t="str">
            <v>KODE ANGGARAN</v>
          </cell>
          <cell r="F3843" t="str">
            <v>PENERIMAAN</v>
          </cell>
          <cell r="G3843" t="str">
            <v>PENGELUARAN</v>
          </cell>
        </row>
        <row r="3844">
          <cell r="A3844" t="str">
            <v>0</v>
          </cell>
        </row>
        <row r="3845">
          <cell r="A3845" t="str">
            <v>0</v>
          </cell>
        </row>
        <row r="3846">
          <cell r="A3846" t="str">
            <v>0</v>
          </cell>
        </row>
        <row r="3847">
          <cell r="A3847" t="str">
            <v>0</v>
          </cell>
        </row>
        <row r="3848">
          <cell r="A3848" t="str">
            <v>0</v>
          </cell>
        </row>
        <row r="3849">
          <cell r="A3849" t="str">
            <v>0</v>
          </cell>
        </row>
        <row r="3850">
          <cell r="A3850" t="str">
            <v>0</v>
          </cell>
        </row>
        <row r="3851">
          <cell r="A3851" t="str">
            <v>0</v>
          </cell>
        </row>
        <row r="3852">
          <cell r="A3852" t="str">
            <v>0</v>
          </cell>
        </row>
        <row r="3853">
          <cell r="A3853" t="str">
            <v>0</v>
          </cell>
        </row>
        <row r="3854">
          <cell r="A3854" t="str">
            <v>0</v>
          </cell>
        </row>
        <row r="3855">
          <cell r="A3855" t="str">
            <v>0</v>
          </cell>
        </row>
        <row r="3856">
          <cell r="A3856" t="str">
            <v>0</v>
          </cell>
        </row>
        <row r="3857">
          <cell r="A3857" t="str">
            <v>0</v>
          </cell>
        </row>
        <row r="3858">
          <cell r="A3858" t="str">
            <v>0</v>
          </cell>
        </row>
        <row r="3859">
          <cell r="A3859" t="str">
            <v>0</v>
          </cell>
        </row>
        <row r="3860">
          <cell r="A3860" t="str">
            <v>0</v>
          </cell>
        </row>
        <row r="3861">
          <cell r="A3861" t="str">
            <v>0</v>
          </cell>
        </row>
        <row r="3862">
          <cell r="A3862" t="str">
            <v>0</v>
          </cell>
        </row>
        <row r="3863">
          <cell r="A3863" t="str">
            <v>0</v>
          </cell>
        </row>
        <row r="3864">
          <cell r="A3864" t="str">
            <v>0</v>
          </cell>
        </row>
        <row r="3865">
          <cell r="A3865" t="str">
            <v>0</v>
          </cell>
        </row>
        <row r="3866">
          <cell r="A3866" t="str">
            <v>0</v>
          </cell>
        </row>
        <row r="3867">
          <cell r="A3867" t="str">
            <v>0</v>
          </cell>
        </row>
        <row r="3868">
          <cell r="A3868" t="str">
            <v>0</v>
          </cell>
        </row>
        <row r="3870">
          <cell r="C3870" t="str">
            <v>JUMLAH TANGGAL</v>
          </cell>
          <cell r="F3870">
            <v>0</v>
          </cell>
          <cell r="G3870">
            <v>0</v>
          </cell>
        </row>
        <row r="3871">
          <cell r="C3871" t="str">
            <v>HARI INI</v>
          </cell>
        </row>
        <row r="3872">
          <cell r="C3872" t="str">
            <v>JUMLAH S/D TANGGAL</v>
          </cell>
          <cell r="F3872">
            <v>514639652</v>
          </cell>
          <cell r="G3872">
            <v>490780936</v>
          </cell>
        </row>
        <row r="3873">
          <cell r="C3873" t="str">
            <v>TOTAL</v>
          </cell>
          <cell r="F3873">
            <v>514639652</v>
          </cell>
          <cell r="G3873">
            <v>490780936</v>
          </cell>
        </row>
        <row r="3875">
          <cell r="C3875" t="str">
            <v>SISA</v>
          </cell>
          <cell r="D3875">
            <v>23858716</v>
          </cell>
        </row>
        <row r="3877">
          <cell r="A3877" t="str">
            <v>KODE BANTU</v>
          </cell>
          <cell r="B3877" t="str">
            <v>NO</v>
          </cell>
          <cell r="C3877" t="str">
            <v>AGUSTUS</v>
          </cell>
          <cell r="D3877" t="str">
            <v>URAIAN</v>
          </cell>
          <cell r="E3877" t="str">
            <v>KODE ANGGARAN</v>
          </cell>
          <cell r="F3877" t="str">
            <v>PENERIMAAN</v>
          </cell>
          <cell r="G3877" t="str">
            <v>PENGELUARAN</v>
          </cell>
        </row>
        <row r="3878">
          <cell r="A3878" t="str">
            <v>0</v>
          </cell>
        </row>
        <row r="3879">
          <cell r="A3879" t="str">
            <v>0</v>
          </cell>
        </row>
        <row r="3880">
          <cell r="A3880" t="str">
            <v>0</v>
          </cell>
        </row>
        <row r="3881">
          <cell r="A3881" t="str">
            <v>0</v>
          </cell>
        </row>
        <row r="3882">
          <cell r="A3882" t="str">
            <v>0</v>
          </cell>
        </row>
        <row r="3883">
          <cell r="A3883" t="str">
            <v>0</v>
          </cell>
        </row>
        <row r="3884">
          <cell r="A3884" t="str">
            <v>0</v>
          </cell>
        </row>
        <row r="3885">
          <cell r="A3885" t="str">
            <v>0</v>
          </cell>
        </row>
        <row r="3886">
          <cell r="A3886" t="str">
            <v>0</v>
          </cell>
        </row>
        <row r="3887">
          <cell r="A3887" t="str">
            <v>0</v>
          </cell>
        </row>
        <row r="3888">
          <cell r="A3888" t="str">
            <v>0</v>
          </cell>
        </row>
        <row r="3889">
          <cell r="A3889" t="str">
            <v>0</v>
          </cell>
        </row>
        <row r="3890">
          <cell r="A3890" t="str">
            <v>0</v>
          </cell>
        </row>
        <row r="3891">
          <cell r="A3891" t="str">
            <v>0</v>
          </cell>
        </row>
        <row r="3892">
          <cell r="A3892" t="str">
            <v>0</v>
          </cell>
        </row>
        <row r="3893">
          <cell r="A3893" t="str">
            <v>0</v>
          </cell>
        </row>
        <row r="3894">
          <cell r="A3894" t="str">
            <v>0</v>
          </cell>
        </row>
        <row r="3895">
          <cell r="A3895" t="str">
            <v>0</v>
          </cell>
        </row>
        <row r="3896">
          <cell r="A3896" t="str">
            <v>0</v>
          </cell>
        </row>
        <row r="3897">
          <cell r="A3897" t="str">
            <v>0</v>
          </cell>
        </row>
        <row r="3898">
          <cell r="A3898" t="str">
            <v>0</v>
          </cell>
        </row>
        <row r="3899">
          <cell r="A3899" t="str">
            <v>0</v>
          </cell>
        </row>
        <row r="3900">
          <cell r="A3900" t="str">
            <v>0</v>
          </cell>
        </row>
        <row r="3901">
          <cell r="A3901" t="str">
            <v>0</v>
          </cell>
        </row>
        <row r="3902">
          <cell r="A3902" t="str">
            <v>0</v>
          </cell>
        </row>
        <row r="3904">
          <cell r="C3904" t="str">
            <v>JUMLAH TANGGAL</v>
          </cell>
          <cell r="F3904">
            <v>0</v>
          </cell>
          <cell r="G3904">
            <v>0</v>
          </cell>
        </row>
        <row r="3905">
          <cell r="C3905" t="str">
            <v>HARI INI</v>
          </cell>
        </row>
        <row r="3906">
          <cell r="C3906" t="str">
            <v>JUMLAH S/D TANGGAL</v>
          </cell>
          <cell r="F3906">
            <v>514639652</v>
          </cell>
          <cell r="G3906">
            <v>490780936</v>
          </cell>
        </row>
        <row r="3907">
          <cell r="C3907" t="str">
            <v>TOTAL</v>
          </cell>
          <cell r="F3907">
            <v>514639652</v>
          </cell>
          <cell r="G3907">
            <v>490780936</v>
          </cell>
        </row>
        <row r="3909">
          <cell r="C3909" t="str">
            <v>SISA</v>
          </cell>
          <cell r="D3909">
            <v>23858716</v>
          </cell>
        </row>
        <row r="3911">
          <cell r="A3911" t="str">
            <v>KODE BANTU</v>
          </cell>
          <cell r="B3911" t="str">
            <v>NO</v>
          </cell>
          <cell r="C3911" t="str">
            <v>AGUSTUS</v>
          </cell>
          <cell r="D3911" t="str">
            <v>URAIAN</v>
          </cell>
          <cell r="E3911" t="str">
            <v>KODE ANGGARAN</v>
          </cell>
          <cell r="F3911" t="str">
            <v>PENERIMAAN</v>
          </cell>
          <cell r="G3911" t="str">
            <v>PENGELUARAN</v>
          </cell>
        </row>
        <row r="3912">
          <cell r="A3912" t="str">
            <v>0</v>
          </cell>
        </row>
        <row r="3913">
          <cell r="A3913" t="str">
            <v>0</v>
          </cell>
        </row>
        <row r="3914">
          <cell r="A3914" t="str">
            <v>0</v>
          </cell>
        </row>
        <row r="3915">
          <cell r="A3915" t="str">
            <v>0</v>
          </cell>
        </row>
        <row r="3916">
          <cell r="A3916" t="str">
            <v>0</v>
          </cell>
        </row>
        <row r="3917">
          <cell r="A3917" t="str">
            <v>0</v>
          </cell>
        </row>
        <row r="3918">
          <cell r="A3918" t="str">
            <v>0</v>
          </cell>
        </row>
        <row r="3919">
          <cell r="A3919" t="str">
            <v>0</v>
          </cell>
        </row>
        <row r="3920">
          <cell r="A3920" t="str">
            <v>0</v>
          </cell>
        </row>
        <row r="3921">
          <cell r="A3921" t="str">
            <v>0</v>
          </cell>
        </row>
        <row r="3922">
          <cell r="A3922" t="str">
            <v>0</v>
          </cell>
        </row>
        <row r="3923">
          <cell r="A3923" t="str">
            <v>0</v>
          </cell>
        </row>
        <row r="3924">
          <cell r="A3924" t="str">
            <v>0</v>
          </cell>
        </row>
        <row r="3925">
          <cell r="A3925" t="str">
            <v>0</v>
          </cell>
        </row>
        <row r="3926">
          <cell r="A3926" t="str">
            <v>0</v>
          </cell>
        </row>
        <row r="3927">
          <cell r="A3927" t="str">
            <v>0</v>
          </cell>
        </row>
        <row r="3928">
          <cell r="A3928" t="str">
            <v>0</v>
          </cell>
        </row>
        <row r="3929">
          <cell r="A3929" t="str">
            <v>0</v>
          </cell>
        </row>
        <row r="3930">
          <cell r="A3930" t="str">
            <v>0</v>
          </cell>
        </row>
        <row r="3931">
          <cell r="A3931" t="str">
            <v>0</v>
          </cell>
        </row>
        <row r="3932">
          <cell r="A3932" t="str">
            <v>0</v>
          </cell>
        </row>
        <row r="3933">
          <cell r="A3933" t="str">
            <v>0</v>
          </cell>
        </row>
        <row r="3934">
          <cell r="A3934" t="str">
            <v>0</v>
          </cell>
        </row>
        <row r="3935">
          <cell r="A3935" t="str">
            <v>0</v>
          </cell>
        </row>
        <row r="3936">
          <cell r="A3936" t="str">
            <v>0</v>
          </cell>
        </row>
        <row r="3938">
          <cell r="C3938" t="str">
            <v>JUMLAH TANGGAL</v>
          </cell>
          <cell r="F3938">
            <v>0</v>
          </cell>
          <cell r="G3938">
            <v>0</v>
          </cell>
        </row>
        <row r="3939">
          <cell r="C3939" t="str">
            <v>HARI INI</v>
          </cell>
        </row>
        <row r="3940">
          <cell r="C3940" t="str">
            <v>JUMLAH S/D TANGGAL</v>
          </cell>
          <cell r="F3940">
            <v>514639652</v>
          </cell>
          <cell r="G3940">
            <v>490780936</v>
          </cell>
        </row>
        <row r="3941">
          <cell r="C3941" t="str">
            <v>TOTAL</v>
          </cell>
          <cell r="F3941">
            <v>514639652</v>
          </cell>
          <cell r="G3941">
            <v>490780936</v>
          </cell>
        </row>
        <row r="3943">
          <cell r="C3943" t="str">
            <v>SISA</v>
          </cell>
          <cell r="D3943">
            <v>23858716</v>
          </cell>
        </row>
        <row r="3945">
          <cell r="A3945" t="str">
            <v>KODE BANTU</v>
          </cell>
          <cell r="B3945" t="str">
            <v>NO</v>
          </cell>
          <cell r="C3945" t="str">
            <v>AGUSTUS</v>
          </cell>
          <cell r="D3945" t="str">
            <v>URAIAN</v>
          </cell>
          <cell r="E3945" t="str">
            <v>KODE ANGGARAN</v>
          </cell>
          <cell r="F3945" t="str">
            <v>PENERIMAAN</v>
          </cell>
          <cell r="G3945" t="str">
            <v>PENGELUARAN</v>
          </cell>
        </row>
        <row r="3946">
          <cell r="A3946" t="str">
            <v>0</v>
          </cell>
        </row>
        <row r="3947">
          <cell r="A3947" t="str">
            <v>0</v>
          </cell>
        </row>
        <row r="3948">
          <cell r="A3948" t="str">
            <v>0</v>
          </cell>
        </row>
        <row r="3949">
          <cell r="A3949" t="str">
            <v>0</v>
          </cell>
        </row>
        <row r="3950">
          <cell r="A3950" t="str">
            <v>0</v>
          </cell>
        </row>
        <row r="3951">
          <cell r="A3951" t="str">
            <v>0</v>
          </cell>
        </row>
        <row r="3952">
          <cell r="A3952" t="str">
            <v>0</v>
          </cell>
        </row>
        <row r="3953">
          <cell r="A3953" t="str">
            <v>0</v>
          </cell>
        </row>
        <row r="3954">
          <cell r="A3954" t="str">
            <v>0</v>
          </cell>
        </row>
        <row r="3955">
          <cell r="A3955" t="str">
            <v>0</v>
          </cell>
        </row>
        <row r="3956">
          <cell r="A3956" t="str">
            <v>0</v>
          </cell>
        </row>
        <row r="3957">
          <cell r="A3957" t="str">
            <v>0</v>
          </cell>
        </row>
        <row r="3958">
          <cell r="A3958" t="str">
            <v>0</v>
          </cell>
        </row>
        <row r="3959">
          <cell r="A3959" t="str">
            <v>0</v>
          </cell>
        </row>
        <row r="3960">
          <cell r="A3960" t="str">
            <v>0</v>
          </cell>
        </row>
        <row r="3961">
          <cell r="A3961" t="str">
            <v>0</v>
          </cell>
        </row>
        <row r="3962">
          <cell r="A3962" t="str">
            <v>0</v>
          </cell>
        </row>
        <row r="3963">
          <cell r="A3963" t="str">
            <v>0</v>
          </cell>
        </row>
        <row r="3964">
          <cell r="A3964" t="str">
            <v>0</v>
          </cell>
        </row>
        <row r="3965">
          <cell r="A3965" t="str">
            <v>0</v>
          </cell>
        </row>
        <row r="3966">
          <cell r="A3966" t="str">
            <v>0</v>
          </cell>
        </row>
        <row r="3967">
          <cell r="A3967" t="str">
            <v>0</v>
          </cell>
        </row>
        <row r="3968">
          <cell r="A3968" t="str">
            <v>0</v>
          </cell>
        </row>
        <row r="3969">
          <cell r="A3969" t="str">
            <v>0</v>
          </cell>
        </row>
        <row r="3970">
          <cell r="A3970" t="str">
            <v>0</v>
          </cell>
        </row>
        <row r="3972">
          <cell r="C3972" t="str">
            <v>JUMLAH TANGGAL</v>
          </cell>
          <cell r="F3972">
            <v>0</v>
          </cell>
          <cell r="G3972">
            <v>0</v>
          </cell>
        </row>
        <row r="3973">
          <cell r="C3973" t="str">
            <v>HARI INI</v>
          </cell>
        </row>
        <row r="3974">
          <cell r="C3974" t="str">
            <v>JUMLAH S/D TANGGAL</v>
          </cell>
          <cell r="F3974">
            <v>514639652</v>
          </cell>
          <cell r="G3974">
            <v>490780936</v>
          </cell>
        </row>
        <row r="3975">
          <cell r="C3975" t="str">
            <v>TOTAL</v>
          </cell>
          <cell r="F3975">
            <v>514639652</v>
          </cell>
          <cell r="G3975">
            <v>490780936</v>
          </cell>
        </row>
        <row r="3977">
          <cell r="C3977" t="str">
            <v>SISA</v>
          </cell>
          <cell r="D3977">
            <v>23858716</v>
          </cell>
        </row>
        <row r="3979">
          <cell r="A3979" t="str">
            <v>KODE BANTU</v>
          </cell>
          <cell r="B3979" t="str">
            <v>NO</v>
          </cell>
          <cell r="C3979" t="str">
            <v>AGUSTUS</v>
          </cell>
          <cell r="D3979" t="str">
            <v>URAIAN</v>
          </cell>
          <cell r="E3979" t="str">
            <v>KODE ANGGARAN</v>
          </cell>
          <cell r="F3979" t="str">
            <v>PENERIMAAN</v>
          </cell>
          <cell r="G3979" t="str">
            <v>PENGELUARAN</v>
          </cell>
        </row>
        <row r="3980">
          <cell r="A3980" t="str">
            <v>0</v>
          </cell>
        </row>
        <row r="3981">
          <cell r="A3981" t="str">
            <v>0</v>
          </cell>
        </row>
        <row r="3982">
          <cell r="A3982" t="str">
            <v>0</v>
          </cell>
        </row>
        <row r="3983">
          <cell r="A3983" t="str">
            <v>0</v>
          </cell>
        </row>
        <row r="3984">
          <cell r="A3984" t="str">
            <v>0</v>
          </cell>
        </row>
        <row r="3985">
          <cell r="A3985" t="str">
            <v>0</v>
          </cell>
        </row>
        <row r="3986">
          <cell r="A3986" t="str">
            <v>0</v>
          </cell>
        </row>
        <row r="3987">
          <cell r="A3987" t="str">
            <v>0</v>
          </cell>
        </row>
        <row r="3988">
          <cell r="A3988" t="str">
            <v>0</v>
          </cell>
        </row>
        <row r="3989">
          <cell r="A3989" t="str">
            <v>0</v>
          </cell>
        </row>
        <row r="3990">
          <cell r="A3990" t="str">
            <v>0</v>
          </cell>
        </row>
        <row r="3991">
          <cell r="A3991" t="str">
            <v>0</v>
          </cell>
        </row>
        <row r="3992">
          <cell r="A3992" t="str">
            <v>0</v>
          </cell>
        </row>
        <row r="3993">
          <cell r="A3993" t="str">
            <v>0</v>
          </cell>
        </row>
        <row r="3994">
          <cell r="A3994" t="str">
            <v>0</v>
          </cell>
        </row>
        <row r="3995">
          <cell r="A3995" t="str">
            <v>0</v>
          </cell>
        </row>
        <row r="3996">
          <cell r="A3996" t="str">
            <v>0</v>
          </cell>
        </row>
        <row r="3997">
          <cell r="A3997" t="str">
            <v>0</v>
          </cell>
        </row>
        <row r="3998">
          <cell r="A3998" t="str">
            <v>0</v>
          </cell>
        </row>
        <row r="3999">
          <cell r="A3999" t="str">
            <v>0</v>
          </cell>
        </row>
        <row r="4000">
          <cell r="A4000" t="str">
            <v>0</v>
          </cell>
        </row>
        <row r="4001">
          <cell r="A4001" t="str">
            <v>0</v>
          </cell>
        </row>
        <row r="4002">
          <cell r="A4002" t="str">
            <v>0</v>
          </cell>
        </row>
        <row r="4003">
          <cell r="A4003" t="str">
            <v>0</v>
          </cell>
        </row>
        <row r="4004">
          <cell r="A4004" t="str">
            <v>0</v>
          </cell>
        </row>
        <row r="4006">
          <cell r="C4006" t="str">
            <v>JUMLAH TANGGAL</v>
          </cell>
          <cell r="F4006">
            <v>0</v>
          </cell>
          <cell r="G4006">
            <v>0</v>
          </cell>
        </row>
        <row r="4007">
          <cell r="C4007" t="str">
            <v>HARI INI</v>
          </cell>
        </row>
        <row r="4008">
          <cell r="C4008" t="str">
            <v>JUMLAH S/D TANGGAL</v>
          </cell>
          <cell r="F4008">
            <v>514639652</v>
          </cell>
          <cell r="G4008">
            <v>490780936</v>
          </cell>
        </row>
        <row r="4009">
          <cell r="C4009" t="str">
            <v>TOTAL</v>
          </cell>
          <cell r="F4009">
            <v>514639652</v>
          </cell>
          <cell r="G4009">
            <v>490780936</v>
          </cell>
        </row>
        <row r="4011">
          <cell r="C4011" t="str">
            <v>SISA</v>
          </cell>
          <cell r="D4011">
            <v>23858716</v>
          </cell>
        </row>
        <row r="4013">
          <cell r="A4013" t="str">
            <v>KODE BANTU</v>
          </cell>
          <cell r="B4013" t="str">
            <v>NO</v>
          </cell>
          <cell r="C4013" t="str">
            <v>AGUSTUS</v>
          </cell>
          <cell r="D4013" t="str">
            <v>URAIAN</v>
          </cell>
          <cell r="E4013" t="str">
            <v>KODE ANGGARAN</v>
          </cell>
          <cell r="F4013" t="str">
            <v>PENERIMAAN</v>
          </cell>
          <cell r="G4013" t="str">
            <v>PENGELUARAN</v>
          </cell>
        </row>
        <row r="4014">
          <cell r="A4014" t="str">
            <v>0</v>
          </cell>
        </row>
        <row r="4015">
          <cell r="A4015" t="str">
            <v>0</v>
          </cell>
        </row>
        <row r="4016">
          <cell r="A4016" t="str">
            <v>0</v>
          </cell>
        </row>
        <row r="4017">
          <cell r="A4017" t="str">
            <v>0</v>
          </cell>
        </row>
        <row r="4018">
          <cell r="A4018" t="str">
            <v>0</v>
          </cell>
        </row>
        <row r="4019">
          <cell r="A4019" t="str">
            <v>0</v>
          </cell>
        </row>
        <row r="4020">
          <cell r="A4020" t="str">
            <v>0</v>
          </cell>
        </row>
        <row r="4021">
          <cell r="A4021" t="str">
            <v>0</v>
          </cell>
        </row>
        <row r="4022">
          <cell r="A4022" t="str">
            <v>0</v>
          </cell>
        </row>
        <row r="4023">
          <cell r="A4023" t="str">
            <v>0</v>
          </cell>
        </row>
        <row r="4024">
          <cell r="A4024" t="str">
            <v>0</v>
          </cell>
        </row>
        <row r="4025">
          <cell r="A4025" t="str">
            <v>0</v>
          </cell>
        </row>
        <row r="4026">
          <cell r="A4026" t="str">
            <v>0</v>
          </cell>
        </row>
        <row r="4027">
          <cell r="A4027" t="str">
            <v>0</v>
          </cell>
        </row>
        <row r="4028">
          <cell r="A4028" t="str">
            <v>0</v>
          </cell>
        </row>
        <row r="4029">
          <cell r="A4029" t="str">
            <v>0</v>
          </cell>
        </row>
        <row r="4030">
          <cell r="A4030" t="str">
            <v>0</v>
          </cell>
        </row>
        <row r="4031">
          <cell r="A4031" t="str">
            <v>0</v>
          </cell>
        </row>
        <row r="4032">
          <cell r="A4032" t="str">
            <v>0</v>
          </cell>
        </row>
        <row r="4033">
          <cell r="A4033" t="str">
            <v>0</v>
          </cell>
        </row>
        <row r="4034">
          <cell r="A4034" t="str">
            <v>0</v>
          </cell>
        </row>
        <row r="4035">
          <cell r="A4035" t="str">
            <v>0</v>
          </cell>
        </row>
        <row r="4036">
          <cell r="A4036" t="str">
            <v>0</v>
          </cell>
        </row>
        <row r="4037">
          <cell r="A4037" t="str">
            <v>0</v>
          </cell>
        </row>
        <row r="4038">
          <cell r="A4038" t="str">
            <v>0</v>
          </cell>
        </row>
        <row r="4040">
          <cell r="C4040" t="str">
            <v>JUMLAH TANGGAL</v>
          </cell>
          <cell r="F4040">
            <v>0</v>
          </cell>
          <cell r="G4040">
            <v>0</v>
          </cell>
        </row>
        <row r="4041">
          <cell r="C4041" t="str">
            <v>HARI INI</v>
          </cell>
        </row>
        <row r="4042">
          <cell r="C4042" t="str">
            <v>JUMLAH S/D TANGGAL</v>
          </cell>
          <cell r="F4042">
            <v>514639652</v>
          </cell>
          <cell r="G4042">
            <v>490780936</v>
          </cell>
        </row>
        <row r="4043">
          <cell r="C4043" t="str">
            <v>TOTAL</v>
          </cell>
          <cell r="F4043">
            <v>514639652</v>
          </cell>
          <cell r="G4043">
            <v>490780936</v>
          </cell>
        </row>
        <row r="4045">
          <cell r="C4045" t="str">
            <v>SISA</v>
          </cell>
          <cell r="D4045">
            <v>23858716</v>
          </cell>
        </row>
        <row r="4047">
          <cell r="A4047" t="str">
            <v>KODE BANTU</v>
          </cell>
          <cell r="B4047" t="str">
            <v>NO</v>
          </cell>
          <cell r="C4047" t="str">
            <v>AGUSTUS</v>
          </cell>
          <cell r="D4047" t="str">
            <v>URAIAN</v>
          </cell>
          <cell r="E4047" t="str">
            <v>KODE ANGGARAN</v>
          </cell>
          <cell r="F4047" t="str">
            <v>PENERIMAAN</v>
          </cell>
          <cell r="G4047" t="str">
            <v>PENGELUARAN</v>
          </cell>
        </row>
        <row r="4048">
          <cell r="A4048" t="str">
            <v>0</v>
          </cell>
        </row>
        <row r="4049">
          <cell r="A4049" t="str">
            <v>0</v>
          </cell>
        </row>
        <row r="4050">
          <cell r="A4050" t="str">
            <v>0</v>
          </cell>
        </row>
        <row r="4051">
          <cell r="A4051" t="str">
            <v>0</v>
          </cell>
        </row>
        <row r="4052">
          <cell r="A4052" t="str">
            <v>0</v>
          </cell>
        </row>
        <row r="4053">
          <cell r="A4053" t="str">
            <v>0</v>
          </cell>
        </row>
        <row r="4054">
          <cell r="A4054" t="str">
            <v>0</v>
          </cell>
        </row>
        <row r="4055">
          <cell r="A4055" t="str">
            <v>0</v>
          </cell>
        </row>
        <row r="4056">
          <cell r="A4056" t="str">
            <v>0</v>
          </cell>
        </row>
        <row r="4057">
          <cell r="A4057" t="str">
            <v>0</v>
          </cell>
        </row>
        <row r="4058">
          <cell r="A4058" t="str">
            <v>0</v>
          </cell>
        </row>
        <row r="4059">
          <cell r="A4059" t="str">
            <v>0</v>
          </cell>
        </row>
        <row r="4060">
          <cell r="A4060" t="str">
            <v>0</v>
          </cell>
        </row>
        <row r="4061">
          <cell r="A4061" t="str">
            <v>0</v>
          </cell>
        </row>
        <row r="4062">
          <cell r="A4062" t="str">
            <v>0</v>
          </cell>
        </row>
        <row r="4063">
          <cell r="A4063" t="str">
            <v>0</v>
          </cell>
        </row>
        <row r="4064">
          <cell r="A4064" t="str">
            <v>0</v>
          </cell>
        </row>
        <row r="4065">
          <cell r="A4065" t="str">
            <v>0</v>
          </cell>
        </row>
        <row r="4066">
          <cell r="A4066" t="str">
            <v>0</v>
          </cell>
        </row>
        <row r="4067">
          <cell r="A4067" t="str">
            <v>0</v>
          </cell>
        </row>
        <row r="4068">
          <cell r="A4068" t="str">
            <v>0</v>
          </cell>
        </row>
        <row r="4069">
          <cell r="A4069" t="str">
            <v>0</v>
          </cell>
        </row>
        <row r="4070">
          <cell r="A4070" t="str">
            <v>0</v>
          </cell>
        </row>
        <row r="4071">
          <cell r="A4071" t="str">
            <v>0</v>
          </cell>
        </row>
        <row r="4072">
          <cell r="A4072" t="str">
            <v>0</v>
          </cell>
        </row>
        <row r="4074">
          <cell r="C4074" t="str">
            <v>JUMLAH TANGGAL</v>
          </cell>
          <cell r="F4074">
            <v>0</v>
          </cell>
          <cell r="G4074">
            <v>0</v>
          </cell>
        </row>
        <row r="4075">
          <cell r="C4075" t="str">
            <v>HARI INI</v>
          </cell>
        </row>
        <row r="4076">
          <cell r="C4076" t="str">
            <v>JUMLAH S/D TANGGAL</v>
          </cell>
          <cell r="F4076">
            <v>514639652</v>
          </cell>
          <cell r="G4076">
            <v>490780936</v>
          </cell>
        </row>
        <row r="4077">
          <cell r="C4077" t="str">
            <v>TOTAL</v>
          </cell>
          <cell r="F4077">
            <v>514639652</v>
          </cell>
          <cell r="G4077">
            <v>490780936</v>
          </cell>
        </row>
        <row r="4079">
          <cell r="C4079" t="str">
            <v>SISA</v>
          </cell>
          <cell r="D4079">
            <v>23858716</v>
          </cell>
        </row>
        <row r="4081">
          <cell r="A4081" t="str">
            <v>KODE BANTU</v>
          </cell>
          <cell r="B4081" t="str">
            <v>NO</v>
          </cell>
          <cell r="C4081" t="str">
            <v>AGUSTUS</v>
          </cell>
          <cell r="D4081" t="str">
            <v>URAIAN</v>
          </cell>
          <cell r="E4081" t="str">
            <v>KODE ANGGARAN</v>
          </cell>
          <cell r="F4081" t="str">
            <v>PENERIMAAN</v>
          </cell>
          <cell r="G4081" t="str">
            <v>PENGELUARAN</v>
          </cell>
        </row>
        <row r="4082">
          <cell r="A4082" t="str">
            <v>0</v>
          </cell>
        </row>
        <row r="4083">
          <cell r="A4083" t="str">
            <v>0</v>
          </cell>
        </row>
        <row r="4084">
          <cell r="A4084" t="str">
            <v>0</v>
          </cell>
        </row>
        <row r="4085">
          <cell r="A4085" t="str">
            <v>0</v>
          </cell>
        </row>
        <row r="4086">
          <cell r="A4086" t="str">
            <v>0</v>
          </cell>
        </row>
        <row r="4087">
          <cell r="A4087" t="str">
            <v>0</v>
          </cell>
        </row>
        <row r="4088">
          <cell r="A4088" t="str">
            <v>0</v>
          </cell>
        </row>
        <row r="4089">
          <cell r="A4089" t="str">
            <v>0</v>
          </cell>
        </row>
        <row r="4090">
          <cell r="A4090" t="str">
            <v>0</v>
          </cell>
        </row>
        <row r="4091">
          <cell r="A4091" t="str">
            <v>0</v>
          </cell>
        </row>
        <row r="4092">
          <cell r="A4092" t="str">
            <v>0</v>
          </cell>
        </row>
        <row r="4093">
          <cell r="A4093" t="str">
            <v>0</v>
          </cell>
        </row>
        <row r="4094">
          <cell r="A4094" t="str">
            <v>0</v>
          </cell>
        </row>
        <row r="4095">
          <cell r="A4095" t="str">
            <v>0</v>
          </cell>
        </row>
        <row r="4096">
          <cell r="A4096" t="str">
            <v>0</v>
          </cell>
        </row>
        <row r="4097">
          <cell r="A4097" t="str">
            <v>0</v>
          </cell>
        </row>
        <row r="4098">
          <cell r="A4098" t="str">
            <v>0</v>
          </cell>
        </row>
        <row r="4099">
          <cell r="A4099" t="str">
            <v>0</v>
          </cell>
        </row>
        <row r="4100">
          <cell r="A4100" t="str">
            <v>0</v>
          </cell>
        </row>
        <row r="4101">
          <cell r="A4101" t="str">
            <v>0</v>
          </cell>
        </row>
        <row r="4102">
          <cell r="A4102" t="str">
            <v>0</v>
          </cell>
        </row>
        <row r="4103">
          <cell r="A4103" t="str">
            <v>0</v>
          </cell>
        </row>
        <row r="4104">
          <cell r="A4104" t="str">
            <v>0</v>
          </cell>
        </row>
        <row r="4105">
          <cell r="A4105" t="str">
            <v>0</v>
          </cell>
        </row>
        <row r="4106">
          <cell r="A4106" t="str">
            <v>0</v>
          </cell>
        </row>
        <row r="4108">
          <cell r="C4108" t="str">
            <v>JUMLAH TANGGAL</v>
          </cell>
          <cell r="F4108">
            <v>0</v>
          </cell>
          <cell r="G4108">
            <v>0</v>
          </cell>
        </row>
        <row r="4109">
          <cell r="C4109" t="str">
            <v>HARI INI</v>
          </cell>
        </row>
        <row r="4110">
          <cell r="C4110" t="str">
            <v>JUMLAH S/D TANGGAL</v>
          </cell>
          <cell r="F4110">
            <v>514639652</v>
          </cell>
          <cell r="G4110">
            <v>490780936</v>
          </cell>
        </row>
        <row r="4111">
          <cell r="C4111" t="str">
            <v>TOTAL</v>
          </cell>
          <cell r="F4111">
            <v>514639652</v>
          </cell>
          <cell r="G4111">
            <v>490780936</v>
          </cell>
        </row>
        <row r="4113">
          <cell r="C4113" t="str">
            <v>SISA</v>
          </cell>
          <cell r="D4113">
            <v>23858716</v>
          </cell>
        </row>
        <row r="4115">
          <cell r="A4115" t="str">
            <v>KODE BANTU</v>
          </cell>
          <cell r="B4115" t="str">
            <v>NO</v>
          </cell>
          <cell r="C4115" t="str">
            <v>AGUSTUS</v>
          </cell>
          <cell r="D4115" t="str">
            <v>URAIAN</v>
          </cell>
          <cell r="E4115" t="str">
            <v>KODE ANGGARAN</v>
          </cell>
          <cell r="F4115" t="str">
            <v>PENERIMAAN</v>
          </cell>
          <cell r="G4115" t="str">
            <v>PENGELUARAN</v>
          </cell>
        </row>
        <row r="4116">
          <cell r="A4116" t="str">
            <v>0</v>
          </cell>
        </row>
        <row r="4117">
          <cell r="A4117" t="str">
            <v>0</v>
          </cell>
        </row>
        <row r="4118">
          <cell r="A4118" t="str">
            <v>0</v>
          </cell>
        </row>
        <row r="4119">
          <cell r="A4119" t="str">
            <v>0</v>
          </cell>
        </row>
        <row r="4120">
          <cell r="A4120" t="str">
            <v>0</v>
          </cell>
        </row>
        <row r="4121">
          <cell r="A4121" t="str">
            <v>0</v>
          </cell>
        </row>
        <row r="4122">
          <cell r="A4122" t="str">
            <v>0</v>
          </cell>
        </row>
        <row r="4123">
          <cell r="A4123" t="str">
            <v>0</v>
          </cell>
        </row>
        <row r="4124">
          <cell r="A4124" t="str">
            <v>0</v>
          </cell>
        </row>
        <row r="4125">
          <cell r="A4125" t="str">
            <v>0</v>
          </cell>
        </row>
        <row r="4126">
          <cell r="A4126" t="str">
            <v>0</v>
          </cell>
        </row>
        <row r="4127">
          <cell r="A4127" t="str">
            <v>0</v>
          </cell>
        </row>
        <row r="4128">
          <cell r="A4128" t="str">
            <v>0</v>
          </cell>
        </row>
        <row r="4129">
          <cell r="A4129" t="str">
            <v>0</v>
          </cell>
        </row>
        <row r="4130">
          <cell r="A4130" t="str">
            <v>0</v>
          </cell>
        </row>
        <row r="4131">
          <cell r="A4131" t="str">
            <v>0</v>
          </cell>
        </row>
        <row r="4132">
          <cell r="A4132" t="str">
            <v>0</v>
          </cell>
        </row>
        <row r="4133">
          <cell r="A4133" t="str">
            <v>0</v>
          </cell>
        </row>
        <row r="4134">
          <cell r="A4134" t="str">
            <v>0</v>
          </cell>
        </row>
        <row r="4135">
          <cell r="A4135" t="str">
            <v>0</v>
          </cell>
        </row>
        <row r="4136">
          <cell r="A4136" t="str">
            <v>0</v>
          </cell>
        </row>
        <row r="4137">
          <cell r="A4137" t="str">
            <v>0</v>
          </cell>
        </row>
        <row r="4138">
          <cell r="A4138" t="str">
            <v>0</v>
          </cell>
        </row>
        <row r="4139">
          <cell r="A4139" t="str">
            <v>0</v>
          </cell>
        </row>
        <row r="4140">
          <cell r="A4140" t="str">
            <v>0</v>
          </cell>
        </row>
        <row r="4142">
          <cell r="C4142" t="str">
            <v>JUMLAH TANGGAL</v>
          </cell>
          <cell r="F4142">
            <v>0</v>
          </cell>
          <cell r="G4142">
            <v>0</v>
          </cell>
        </row>
        <row r="4143">
          <cell r="C4143" t="str">
            <v>HARI INI</v>
          </cell>
        </row>
        <row r="4144">
          <cell r="C4144" t="str">
            <v>JUMLAH S/D TANGGAL</v>
          </cell>
          <cell r="F4144">
            <v>514639652</v>
          </cell>
          <cell r="G4144">
            <v>490780936</v>
          </cell>
        </row>
        <row r="4145">
          <cell r="C4145" t="str">
            <v>TOTAL</v>
          </cell>
          <cell r="F4145">
            <v>514639652</v>
          </cell>
          <cell r="G4145">
            <v>490780936</v>
          </cell>
        </row>
        <row r="4147">
          <cell r="C4147" t="str">
            <v>SISA</v>
          </cell>
          <cell r="D4147">
            <v>23858716</v>
          </cell>
        </row>
        <row r="4149">
          <cell r="A4149" t="str">
            <v>KODE BANTU</v>
          </cell>
          <cell r="B4149" t="str">
            <v>NO</v>
          </cell>
          <cell r="C4149" t="str">
            <v>AGUSTUS</v>
          </cell>
          <cell r="D4149" t="str">
            <v>URAIAN</v>
          </cell>
          <cell r="E4149" t="str">
            <v>KODE ANGGARAN</v>
          </cell>
          <cell r="F4149" t="str">
            <v>PENERIMAAN</v>
          </cell>
          <cell r="G4149" t="str">
            <v>PENGELUARAN</v>
          </cell>
        </row>
        <row r="4150">
          <cell r="A4150" t="str">
            <v>0</v>
          </cell>
        </row>
        <row r="4151">
          <cell r="A4151" t="str">
            <v>0</v>
          </cell>
        </row>
        <row r="4152">
          <cell r="A4152" t="str">
            <v>0</v>
          </cell>
        </row>
        <row r="4153">
          <cell r="A4153" t="str">
            <v>0</v>
          </cell>
        </row>
        <row r="4154">
          <cell r="A4154" t="str">
            <v>0</v>
          </cell>
        </row>
        <row r="4155">
          <cell r="A4155" t="str">
            <v>0</v>
          </cell>
        </row>
        <row r="4156">
          <cell r="A4156" t="str">
            <v>0</v>
          </cell>
        </row>
        <row r="4157">
          <cell r="A4157" t="str">
            <v>0</v>
          </cell>
        </row>
        <row r="4158">
          <cell r="A4158" t="str">
            <v>0</v>
          </cell>
        </row>
        <row r="4159">
          <cell r="A4159" t="str">
            <v>0</v>
          </cell>
        </row>
        <row r="4160">
          <cell r="A4160" t="str">
            <v>0</v>
          </cell>
        </row>
        <row r="4161">
          <cell r="A4161" t="str">
            <v>0</v>
          </cell>
        </row>
        <row r="4162">
          <cell r="A4162" t="str">
            <v>0</v>
          </cell>
        </row>
        <row r="4163">
          <cell r="A4163" t="str">
            <v>0</v>
          </cell>
        </row>
        <row r="4164">
          <cell r="A4164" t="str">
            <v>0</v>
          </cell>
        </row>
        <row r="4165">
          <cell r="A4165" t="str">
            <v>0</v>
          </cell>
        </row>
        <row r="4166">
          <cell r="A4166" t="str">
            <v>0</v>
          </cell>
        </row>
        <row r="4167">
          <cell r="A4167" t="str">
            <v>0</v>
          </cell>
        </row>
        <row r="4168">
          <cell r="A4168" t="str">
            <v>0</v>
          </cell>
        </row>
        <row r="4169">
          <cell r="A4169" t="str">
            <v>0</v>
          </cell>
        </row>
        <row r="4170">
          <cell r="A4170" t="str">
            <v>0</v>
          </cell>
        </row>
        <row r="4171">
          <cell r="A4171" t="str">
            <v>0</v>
          </cell>
        </row>
        <row r="4172">
          <cell r="A4172" t="str">
            <v>0</v>
          </cell>
        </row>
        <row r="4173">
          <cell r="A4173" t="str">
            <v>0</v>
          </cell>
        </row>
        <row r="4174">
          <cell r="A4174" t="str">
            <v>0</v>
          </cell>
        </row>
        <row r="4176">
          <cell r="C4176" t="str">
            <v>JUMLAH TANGGAL</v>
          </cell>
          <cell r="F4176">
            <v>0</v>
          </cell>
          <cell r="G4176">
            <v>0</v>
          </cell>
        </row>
        <row r="4177">
          <cell r="C4177" t="str">
            <v>HARI INI</v>
          </cell>
        </row>
        <row r="4178">
          <cell r="C4178" t="str">
            <v>JUMLAH S/D TANGGAL</v>
          </cell>
          <cell r="F4178">
            <v>514639652</v>
          </cell>
          <cell r="G4178">
            <v>490780936</v>
          </cell>
        </row>
        <row r="4179">
          <cell r="C4179" t="str">
            <v>TOTAL</v>
          </cell>
          <cell r="F4179">
            <v>514639652</v>
          </cell>
          <cell r="G4179">
            <v>490780936</v>
          </cell>
        </row>
        <row r="4181">
          <cell r="C4181" t="str">
            <v>SISA</v>
          </cell>
          <cell r="D4181">
            <v>23858716</v>
          </cell>
        </row>
        <row r="4183">
          <cell r="A4183" t="str">
            <v>KODE BANTU</v>
          </cell>
          <cell r="B4183" t="str">
            <v>NO</v>
          </cell>
          <cell r="C4183" t="str">
            <v>AGUSTUS</v>
          </cell>
          <cell r="D4183" t="str">
            <v>URAIAN</v>
          </cell>
          <cell r="E4183" t="str">
            <v>KODE ANGGARAN</v>
          </cell>
          <cell r="F4183" t="str">
            <v>PENERIMAAN</v>
          </cell>
          <cell r="G4183" t="str">
            <v>PENGELUARAN</v>
          </cell>
        </row>
        <row r="4184">
          <cell r="A4184" t="str">
            <v>0</v>
          </cell>
        </row>
        <row r="4185">
          <cell r="A4185" t="str">
            <v>0</v>
          </cell>
        </row>
        <row r="4186">
          <cell r="A4186" t="str">
            <v>0</v>
          </cell>
        </row>
        <row r="4187">
          <cell r="A4187" t="str">
            <v>0</v>
          </cell>
        </row>
        <row r="4188">
          <cell r="A4188" t="str">
            <v>0</v>
          </cell>
        </row>
        <row r="4189">
          <cell r="A4189" t="str">
            <v>0</v>
          </cell>
        </row>
        <row r="4190">
          <cell r="A4190" t="str">
            <v>0</v>
          </cell>
        </row>
        <row r="4191">
          <cell r="A4191" t="str">
            <v>0</v>
          </cell>
        </row>
        <row r="4192">
          <cell r="A4192" t="str">
            <v>0</v>
          </cell>
        </row>
        <row r="4193">
          <cell r="A4193" t="str">
            <v>0</v>
          </cell>
        </row>
        <row r="4194">
          <cell r="A4194" t="str">
            <v>0</v>
          </cell>
        </row>
        <row r="4195">
          <cell r="A4195" t="str">
            <v>0</v>
          </cell>
        </row>
        <row r="4196">
          <cell r="A4196" t="str">
            <v>0</v>
          </cell>
        </row>
        <row r="4197">
          <cell r="A4197" t="str">
            <v>0</v>
          </cell>
        </row>
        <row r="4198">
          <cell r="A4198" t="str">
            <v>0</v>
          </cell>
        </row>
        <row r="4199">
          <cell r="A4199" t="str">
            <v>0</v>
          </cell>
        </row>
        <row r="4200">
          <cell r="A4200" t="str">
            <v>0</v>
          </cell>
        </row>
        <row r="4201">
          <cell r="A4201" t="str">
            <v>0</v>
          </cell>
        </row>
        <row r="4202">
          <cell r="A4202" t="str">
            <v>0</v>
          </cell>
        </row>
        <row r="4203">
          <cell r="A4203" t="str">
            <v>0</v>
          </cell>
        </row>
        <row r="4204">
          <cell r="A4204" t="str">
            <v>0</v>
          </cell>
        </row>
        <row r="4205">
          <cell r="A4205" t="str">
            <v>0</v>
          </cell>
        </row>
        <row r="4206">
          <cell r="A4206" t="str">
            <v>0</v>
          </cell>
        </row>
        <row r="4207">
          <cell r="A4207" t="str">
            <v>0</v>
          </cell>
        </row>
        <row r="4208">
          <cell r="A4208" t="str">
            <v>0</v>
          </cell>
        </row>
        <row r="4210">
          <cell r="C4210" t="str">
            <v>JUMLAH TANGGAL</v>
          </cell>
          <cell r="F4210">
            <v>0</v>
          </cell>
          <cell r="G4210">
            <v>0</v>
          </cell>
        </row>
        <row r="4211">
          <cell r="C4211" t="str">
            <v>HARI INI</v>
          </cell>
        </row>
        <row r="4212">
          <cell r="C4212" t="str">
            <v>JUMLAH S/D TANGGAL</v>
          </cell>
          <cell r="F4212">
            <v>514639652</v>
          </cell>
          <cell r="G4212">
            <v>490780936</v>
          </cell>
        </row>
        <row r="4213">
          <cell r="C4213" t="str">
            <v>TOTAL</v>
          </cell>
          <cell r="F4213">
            <v>514639652</v>
          </cell>
          <cell r="G4213">
            <v>490780936</v>
          </cell>
        </row>
        <row r="4215">
          <cell r="C4215" t="str">
            <v>SISA</v>
          </cell>
          <cell r="D4215">
            <v>23858716</v>
          </cell>
        </row>
        <row r="4217">
          <cell r="A4217" t="str">
            <v>KODE BANTU</v>
          </cell>
          <cell r="B4217" t="str">
            <v>NO</v>
          </cell>
          <cell r="C4217" t="str">
            <v>AGUSTUS</v>
          </cell>
          <cell r="D4217" t="str">
            <v>URAIAN</v>
          </cell>
          <cell r="E4217" t="str">
            <v>KODE ANGGARAN</v>
          </cell>
          <cell r="F4217" t="str">
            <v>PENERIMAAN</v>
          </cell>
          <cell r="G4217" t="str">
            <v>PENGELUARAN</v>
          </cell>
        </row>
        <row r="4218">
          <cell r="A4218" t="str">
            <v>0</v>
          </cell>
        </row>
        <row r="4219">
          <cell r="A4219" t="str">
            <v>0</v>
          </cell>
        </row>
        <row r="4220">
          <cell r="A4220" t="str">
            <v>0</v>
          </cell>
        </row>
        <row r="4221">
          <cell r="A4221" t="str">
            <v>0</v>
          </cell>
        </row>
        <row r="4222">
          <cell r="A4222" t="str">
            <v>0</v>
          </cell>
        </row>
        <row r="4223">
          <cell r="A4223" t="str">
            <v>0</v>
          </cell>
        </row>
        <row r="4224">
          <cell r="A4224" t="str">
            <v>0</v>
          </cell>
        </row>
        <row r="4225">
          <cell r="A4225" t="str">
            <v>0</v>
          </cell>
        </row>
        <row r="4226">
          <cell r="A4226" t="str">
            <v>0</v>
          </cell>
        </row>
        <row r="4227">
          <cell r="A4227" t="str">
            <v>0</v>
          </cell>
        </row>
        <row r="4228">
          <cell r="A4228" t="str">
            <v>0</v>
          </cell>
        </row>
        <row r="4229">
          <cell r="A4229" t="str">
            <v>0</v>
          </cell>
        </row>
        <row r="4230">
          <cell r="A4230" t="str">
            <v>0</v>
          </cell>
        </row>
        <row r="4231">
          <cell r="A4231" t="str">
            <v>0</v>
          </cell>
        </row>
        <row r="4232">
          <cell r="A4232" t="str">
            <v>0</v>
          </cell>
        </row>
        <row r="4233">
          <cell r="A4233" t="str">
            <v>0</v>
          </cell>
        </row>
        <row r="4234">
          <cell r="A4234" t="str">
            <v>0</v>
          </cell>
        </row>
        <row r="4235">
          <cell r="A4235" t="str">
            <v>0</v>
          </cell>
        </row>
        <row r="4236">
          <cell r="A4236" t="str">
            <v>0</v>
          </cell>
        </row>
        <row r="4237">
          <cell r="A4237" t="str">
            <v>0</v>
          </cell>
        </row>
        <row r="4238">
          <cell r="A4238" t="str">
            <v>0</v>
          </cell>
        </row>
        <row r="4239">
          <cell r="A4239" t="str">
            <v>0</v>
          </cell>
        </row>
        <row r="4240">
          <cell r="A4240" t="str">
            <v>0</v>
          </cell>
        </row>
        <row r="4241">
          <cell r="A4241" t="str">
            <v>0</v>
          </cell>
        </row>
        <row r="4242">
          <cell r="A4242" t="str">
            <v>0</v>
          </cell>
        </row>
        <row r="4244">
          <cell r="C4244" t="str">
            <v>JUMLAH TANGGAL</v>
          </cell>
          <cell r="F4244">
            <v>0</v>
          </cell>
          <cell r="G4244">
            <v>0</v>
          </cell>
        </row>
        <row r="4245">
          <cell r="C4245" t="str">
            <v>HARI INI</v>
          </cell>
        </row>
        <row r="4246">
          <cell r="C4246" t="str">
            <v>JUMLAH S/D TANGGAL</v>
          </cell>
          <cell r="F4246">
            <v>514639652</v>
          </cell>
          <cell r="G4246">
            <v>490780936</v>
          </cell>
        </row>
        <row r="4247">
          <cell r="C4247" t="str">
            <v>TOTAL</v>
          </cell>
          <cell r="F4247">
            <v>514639652</v>
          </cell>
          <cell r="G4247">
            <v>490780936</v>
          </cell>
        </row>
        <row r="4249">
          <cell r="C4249" t="str">
            <v>SISA</v>
          </cell>
          <cell r="D4249">
            <v>23858716</v>
          </cell>
        </row>
        <row r="4251">
          <cell r="A4251" t="str">
            <v>KODE BANTU</v>
          </cell>
          <cell r="B4251" t="str">
            <v>NO</v>
          </cell>
          <cell r="C4251" t="str">
            <v>AGUSTUS</v>
          </cell>
          <cell r="D4251" t="str">
            <v>URAIAN</v>
          </cell>
          <cell r="E4251" t="str">
            <v>KODE ANGGARAN</v>
          </cell>
          <cell r="F4251" t="str">
            <v>PENERIMAAN</v>
          </cell>
          <cell r="G4251" t="str">
            <v>PENGELUARAN</v>
          </cell>
        </row>
        <row r="4252">
          <cell r="A4252" t="str">
            <v>0</v>
          </cell>
        </row>
        <row r="4253">
          <cell r="A4253" t="str">
            <v>0</v>
          </cell>
        </row>
        <row r="4254">
          <cell r="A4254" t="str">
            <v>0</v>
          </cell>
        </row>
        <row r="4255">
          <cell r="A4255" t="str">
            <v>0</v>
          </cell>
        </row>
        <row r="4256">
          <cell r="A4256" t="str">
            <v>0</v>
          </cell>
        </row>
        <row r="4257">
          <cell r="A4257" t="str">
            <v>0</v>
          </cell>
        </row>
        <row r="4258">
          <cell r="A4258" t="str">
            <v>0</v>
          </cell>
        </row>
        <row r="4259">
          <cell r="A4259" t="str">
            <v>0</v>
          </cell>
        </row>
        <row r="4260">
          <cell r="A4260" t="str">
            <v>0</v>
          </cell>
        </row>
        <row r="4261">
          <cell r="A4261" t="str">
            <v>0</v>
          </cell>
        </row>
        <row r="4262">
          <cell r="A4262" t="str">
            <v>0</v>
          </cell>
        </row>
        <row r="4263">
          <cell r="A4263" t="str">
            <v>0</v>
          </cell>
        </row>
        <row r="4264">
          <cell r="A4264" t="str">
            <v>0</v>
          </cell>
        </row>
        <row r="4265">
          <cell r="A4265" t="str">
            <v>0</v>
          </cell>
        </row>
        <row r="4266">
          <cell r="A4266" t="str">
            <v>0</v>
          </cell>
        </row>
        <row r="4267">
          <cell r="A4267" t="str">
            <v>0</v>
          </cell>
        </row>
        <row r="4268">
          <cell r="A4268" t="str">
            <v>0</v>
          </cell>
        </row>
        <row r="4269">
          <cell r="A4269" t="str">
            <v>0</v>
          </cell>
        </row>
        <row r="4270">
          <cell r="A4270" t="str">
            <v>0</v>
          </cell>
        </row>
        <row r="4271">
          <cell r="A4271" t="str">
            <v>0</v>
          </cell>
        </row>
        <row r="4272">
          <cell r="A4272" t="str">
            <v>0</v>
          </cell>
        </row>
        <row r="4273">
          <cell r="A4273" t="str">
            <v>0</v>
          </cell>
        </row>
        <row r="4274">
          <cell r="A4274" t="str">
            <v>0</v>
          </cell>
        </row>
        <row r="4275">
          <cell r="A4275" t="str">
            <v>0</v>
          </cell>
        </row>
        <row r="4276">
          <cell r="A4276" t="str">
            <v>0</v>
          </cell>
        </row>
        <row r="4278">
          <cell r="C4278" t="str">
            <v>JUMLAH TANGGAL</v>
          </cell>
          <cell r="F4278">
            <v>0</v>
          </cell>
          <cell r="G4278">
            <v>0</v>
          </cell>
        </row>
        <row r="4279">
          <cell r="C4279" t="str">
            <v>HARI INI</v>
          </cell>
        </row>
        <row r="4280">
          <cell r="C4280" t="str">
            <v>JUMLAH S/D TANGGAL</v>
          </cell>
          <cell r="F4280">
            <v>514639652</v>
          </cell>
          <cell r="G4280">
            <v>490780936</v>
          </cell>
        </row>
        <row r="4281">
          <cell r="C4281" t="str">
            <v>TOTAL</v>
          </cell>
          <cell r="F4281">
            <v>514639652</v>
          </cell>
          <cell r="G4281">
            <v>490780936</v>
          </cell>
        </row>
        <row r="4283">
          <cell r="C4283" t="str">
            <v>SISA</v>
          </cell>
          <cell r="D4283">
            <v>23858716</v>
          </cell>
        </row>
        <row r="4285">
          <cell r="A4285" t="str">
            <v>KODE BANTU</v>
          </cell>
          <cell r="B4285" t="str">
            <v>NO</v>
          </cell>
          <cell r="C4285" t="str">
            <v>AGUSTUS</v>
          </cell>
          <cell r="D4285" t="str">
            <v>URAIAN</v>
          </cell>
          <cell r="E4285" t="str">
            <v>KODE ANGGARAN</v>
          </cell>
          <cell r="F4285" t="str">
            <v>PENERIMAAN</v>
          </cell>
          <cell r="G4285" t="str">
            <v>PENGELUARAN</v>
          </cell>
        </row>
        <row r="4286">
          <cell r="A4286" t="str">
            <v>0</v>
          </cell>
        </row>
        <row r="4287">
          <cell r="A4287" t="str">
            <v>0</v>
          </cell>
        </row>
        <row r="4288">
          <cell r="A4288" t="str">
            <v>0</v>
          </cell>
        </row>
        <row r="4289">
          <cell r="A4289" t="str">
            <v>0</v>
          </cell>
        </row>
        <row r="4290">
          <cell r="A4290" t="str">
            <v>0</v>
          </cell>
        </row>
        <row r="4291">
          <cell r="A4291" t="str">
            <v>0</v>
          </cell>
        </row>
        <row r="4292">
          <cell r="A4292" t="str">
            <v>0</v>
          </cell>
        </row>
        <row r="4293">
          <cell r="A4293" t="str">
            <v>0</v>
          </cell>
        </row>
        <row r="4294">
          <cell r="A4294" t="str">
            <v>0</v>
          </cell>
        </row>
        <row r="4295">
          <cell r="A4295" t="str">
            <v>0</v>
          </cell>
        </row>
        <row r="4296">
          <cell r="A4296" t="str">
            <v>0</v>
          </cell>
        </row>
        <row r="4297">
          <cell r="A4297" t="str">
            <v>0</v>
          </cell>
        </row>
        <row r="4298">
          <cell r="A4298" t="str">
            <v>0</v>
          </cell>
        </row>
        <row r="4299">
          <cell r="A4299" t="str">
            <v>0</v>
          </cell>
        </row>
        <row r="4300">
          <cell r="A4300" t="str">
            <v>0</v>
          </cell>
        </row>
        <row r="4301">
          <cell r="A4301" t="str">
            <v>0</v>
          </cell>
        </row>
        <row r="4302">
          <cell r="A4302" t="str">
            <v>0</v>
          </cell>
        </row>
        <row r="4303">
          <cell r="A4303" t="str">
            <v>0</v>
          </cell>
        </row>
        <row r="4304">
          <cell r="A4304" t="str">
            <v>0</v>
          </cell>
        </row>
        <row r="4305">
          <cell r="A4305" t="str">
            <v>0</v>
          </cell>
        </row>
        <row r="4306">
          <cell r="A4306" t="str">
            <v>0</v>
          </cell>
        </row>
        <row r="4307">
          <cell r="A4307" t="str">
            <v>0</v>
          </cell>
        </row>
        <row r="4308">
          <cell r="A4308" t="str">
            <v>0</v>
          </cell>
        </row>
        <row r="4309">
          <cell r="A4309" t="str">
            <v>0</v>
          </cell>
        </row>
        <row r="4310">
          <cell r="A4310" t="str">
            <v>0</v>
          </cell>
        </row>
        <row r="4312">
          <cell r="C4312" t="str">
            <v>JUMLAH TANGGAL</v>
          </cell>
          <cell r="F4312">
            <v>0</v>
          </cell>
          <cell r="G4312">
            <v>0</v>
          </cell>
        </row>
        <row r="4313">
          <cell r="C4313" t="str">
            <v>HARI INI</v>
          </cell>
        </row>
        <row r="4314">
          <cell r="C4314" t="str">
            <v>JUMLAH S/D TANGGAL</v>
          </cell>
          <cell r="F4314">
            <v>514639652</v>
          </cell>
          <cell r="G4314">
            <v>490780936</v>
          </cell>
        </row>
        <row r="4315">
          <cell r="C4315" t="str">
            <v>TOTAL</v>
          </cell>
          <cell r="F4315">
            <v>514639652</v>
          </cell>
          <cell r="G4315">
            <v>490780936</v>
          </cell>
        </row>
        <row r="4317">
          <cell r="C4317" t="str">
            <v>SISA</v>
          </cell>
          <cell r="D4317">
            <v>23858716</v>
          </cell>
        </row>
        <row r="4319">
          <cell r="A4319" t="str">
            <v>KODE BANTU</v>
          </cell>
          <cell r="B4319" t="str">
            <v>NO</v>
          </cell>
          <cell r="C4319" t="str">
            <v>AGUSTUS</v>
          </cell>
          <cell r="D4319" t="str">
            <v>URAIAN</v>
          </cell>
          <cell r="E4319" t="str">
            <v>KODE ANGGARAN</v>
          </cell>
          <cell r="F4319" t="str">
            <v>PENERIMAAN</v>
          </cell>
          <cell r="G4319" t="str">
            <v>PENGELUARAN</v>
          </cell>
        </row>
        <row r="4320">
          <cell r="A4320" t="str">
            <v>0</v>
          </cell>
        </row>
        <row r="4321">
          <cell r="A4321" t="str">
            <v>0</v>
          </cell>
        </row>
        <row r="4322">
          <cell r="A4322" t="str">
            <v>0</v>
          </cell>
        </row>
        <row r="4323">
          <cell r="A4323" t="str">
            <v>0</v>
          </cell>
        </row>
        <row r="4324">
          <cell r="A4324" t="str">
            <v>0</v>
          </cell>
        </row>
        <row r="4325">
          <cell r="A4325" t="str">
            <v>0</v>
          </cell>
        </row>
        <row r="4326">
          <cell r="A4326" t="str">
            <v>0</v>
          </cell>
        </row>
        <row r="4327">
          <cell r="A4327" t="str">
            <v>0</v>
          </cell>
        </row>
        <row r="4328">
          <cell r="A4328" t="str">
            <v>0</v>
          </cell>
        </row>
        <row r="4329">
          <cell r="A4329" t="str">
            <v>0</v>
          </cell>
        </row>
        <row r="4330">
          <cell r="A4330" t="str">
            <v>0</v>
          </cell>
        </row>
        <row r="4331">
          <cell r="A4331" t="str">
            <v>0</v>
          </cell>
        </row>
        <row r="4332">
          <cell r="A4332" t="str">
            <v>0</v>
          </cell>
        </row>
        <row r="4333">
          <cell r="A4333" t="str">
            <v>0</v>
          </cell>
        </row>
        <row r="4334">
          <cell r="A4334" t="str">
            <v>0</v>
          </cell>
        </row>
        <row r="4335">
          <cell r="A4335" t="str">
            <v>0</v>
          </cell>
        </row>
        <row r="4336">
          <cell r="A4336" t="str">
            <v>0</v>
          </cell>
        </row>
        <row r="4337">
          <cell r="A4337" t="str">
            <v>0</v>
          </cell>
        </row>
        <row r="4338">
          <cell r="A4338" t="str">
            <v>0</v>
          </cell>
        </row>
        <row r="4339">
          <cell r="A4339" t="str">
            <v>0</v>
          </cell>
        </row>
        <row r="4340">
          <cell r="A4340" t="str">
            <v>0</v>
          </cell>
        </row>
        <row r="4341">
          <cell r="A4341" t="str">
            <v>0</v>
          </cell>
        </row>
        <row r="4342">
          <cell r="A4342" t="str">
            <v>0</v>
          </cell>
        </row>
        <row r="4343">
          <cell r="A4343" t="str">
            <v>0</v>
          </cell>
        </row>
        <row r="4344">
          <cell r="A4344" t="str">
            <v>0</v>
          </cell>
        </row>
        <row r="4346">
          <cell r="C4346" t="str">
            <v>JUMLAH TANGGAL</v>
          </cell>
          <cell r="F4346">
            <v>0</v>
          </cell>
          <cell r="G4346">
            <v>0</v>
          </cell>
        </row>
        <row r="4347">
          <cell r="C4347" t="str">
            <v>HARI INI</v>
          </cell>
        </row>
        <row r="4348">
          <cell r="C4348" t="str">
            <v>JUMLAH S/D TANGGAL</v>
          </cell>
          <cell r="F4348">
            <v>514639652</v>
          </cell>
          <cell r="G4348">
            <v>490780936</v>
          </cell>
        </row>
        <row r="4349">
          <cell r="C4349" t="str">
            <v>TOTAL</v>
          </cell>
          <cell r="F4349">
            <v>514639652</v>
          </cell>
          <cell r="G4349">
            <v>490780936</v>
          </cell>
        </row>
        <row r="4351">
          <cell r="C4351" t="str">
            <v>SISA</v>
          </cell>
          <cell r="D4351">
            <v>23858716</v>
          </cell>
        </row>
        <row r="4353">
          <cell r="A4353" t="str">
            <v>KODE BANTU</v>
          </cell>
          <cell r="B4353" t="str">
            <v>NO</v>
          </cell>
          <cell r="C4353" t="str">
            <v>AGUSTUS</v>
          </cell>
          <cell r="D4353" t="str">
            <v>URAIAN</v>
          </cell>
          <cell r="E4353" t="str">
            <v>KODE ANGGARAN</v>
          </cell>
          <cell r="F4353" t="str">
            <v>PENERIMAAN</v>
          </cell>
          <cell r="G4353" t="str">
            <v>PENGELUARAN</v>
          </cell>
        </row>
        <row r="4354">
          <cell r="A4354" t="str">
            <v>0</v>
          </cell>
        </row>
        <row r="4355">
          <cell r="A4355" t="str">
            <v>0</v>
          </cell>
        </row>
        <row r="4356">
          <cell r="A4356" t="str">
            <v>0</v>
          </cell>
        </row>
        <row r="4357">
          <cell r="A4357" t="str">
            <v>0</v>
          </cell>
        </row>
        <row r="4358">
          <cell r="A4358" t="str">
            <v>0</v>
          </cell>
        </row>
        <row r="4359">
          <cell r="A4359" t="str">
            <v>0</v>
          </cell>
        </row>
        <row r="4360">
          <cell r="A4360" t="str">
            <v>0</v>
          </cell>
        </row>
        <row r="4361">
          <cell r="A4361" t="str">
            <v>0</v>
          </cell>
        </row>
        <row r="4362">
          <cell r="A4362" t="str">
            <v>0</v>
          </cell>
        </row>
        <row r="4363">
          <cell r="A4363" t="str">
            <v>0</v>
          </cell>
        </row>
        <row r="4364">
          <cell r="A4364" t="str">
            <v>0</v>
          </cell>
        </row>
        <row r="4365">
          <cell r="A4365" t="str">
            <v>0</v>
          </cell>
        </row>
        <row r="4366">
          <cell r="A4366" t="str">
            <v>0</v>
          </cell>
        </row>
        <row r="4367">
          <cell r="A4367" t="str">
            <v>0</v>
          </cell>
        </row>
        <row r="4368">
          <cell r="A4368" t="str">
            <v>0</v>
          </cell>
        </row>
        <row r="4369">
          <cell r="A4369" t="str">
            <v>0</v>
          </cell>
        </row>
        <row r="4370">
          <cell r="A4370" t="str">
            <v>0</v>
          </cell>
        </row>
        <row r="4371">
          <cell r="A4371" t="str">
            <v>0</v>
          </cell>
        </row>
        <row r="4372">
          <cell r="A4372" t="str">
            <v>0</v>
          </cell>
        </row>
        <row r="4373">
          <cell r="A4373" t="str">
            <v>0</v>
          </cell>
        </row>
        <row r="4374">
          <cell r="A4374" t="str">
            <v>0</v>
          </cell>
        </row>
        <row r="4375">
          <cell r="A4375" t="str">
            <v>0</v>
          </cell>
        </row>
        <row r="4376">
          <cell r="A4376" t="str">
            <v>0</v>
          </cell>
        </row>
        <row r="4377">
          <cell r="A4377" t="str">
            <v>0</v>
          </cell>
        </row>
        <row r="4378">
          <cell r="A4378" t="str">
            <v>0</v>
          </cell>
        </row>
        <row r="4380">
          <cell r="C4380" t="str">
            <v>JUMLAH TANGGAL</v>
          </cell>
          <cell r="F4380">
            <v>0</v>
          </cell>
          <cell r="G4380">
            <v>0</v>
          </cell>
        </row>
        <row r="4381">
          <cell r="C4381" t="str">
            <v>HARI INI</v>
          </cell>
        </row>
        <row r="4382">
          <cell r="C4382" t="str">
            <v>JUMLAH S/D TANGGAL</v>
          </cell>
          <cell r="F4382">
            <v>514639652</v>
          </cell>
          <cell r="G4382">
            <v>490780936</v>
          </cell>
        </row>
        <row r="4383">
          <cell r="C4383" t="str">
            <v>TOTAL</v>
          </cell>
          <cell r="F4383">
            <v>514639652</v>
          </cell>
          <cell r="G4383">
            <v>490780936</v>
          </cell>
        </row>
        <row r="4385">
          <cell r="C4385" t="str">
            <v>SISA</v>
          </cell>
          <cell r="D4385">
            <v>23858716</v>
          </cell>
        </row>
        <row r="4387">
          <cell r="A4387" t="str">
            <v>KODE BANTU</v>
          </cell>
          <cell r="B4387" t="str">
            <v>NO</v>
          </cell>
          <cell r="C4387" t="str">
            <v>AGUSTUS</v>
          </cell>
          <cell r="D4387" t="str">
            <v>URAIAN</v>
          </cell>
          <cell r="E4387" t="str">
            <v>KODE ANGGARAN</v>
          </cell>
          <cell r="F4387" t="str">
            <v>PENERIMAAN</v>
          </cell>
          <cell r="G4387" t="str">
            <v>PENGELUARAN</v>
          </cell>
        </row>
        <row r="4388">
          <cell r="A4388" t="str">
            <v>0</v>
          </cell>
        </row>
        <row r="4389">
          <cell r="A4389" t="str">
            <v>0</v>
          </cell>
        </row>
        <row r="4390">
          <cell r="A4390" t="str">
            <v>0</v>
          </cell>
        </row>
        <row r="4391">
          <cell r="A4391" t="str">
            <v>0</v>
          </cell>
        </row>
        <row r="4392">
          <cell r="A4392" t="str">
            <v>0</v>
          </cell>
        </row>
        <row r="4393">
          <cell r="A4393" t="str">
            <v>0</v>
          </cell>
        </row>
        <row r="4394">
          <cell r="A4394" t="str">
            <v>0</v>
          </cell>
        </row>
        <row r="4395">
          <cell r="A4395" t="str">
            <v>0</v>
          </cell>
        </row>
        <row r="4396">
          <cell r="A4396" t="str">
            <v>0</v>
          </cell>
        </row>
        <row r="4397">
          <cell r="A4397" t="str">
            <v>0</v>
          </cell>
        </row>
        <row r="4398">
          <cell r="A4398" t="str">
            <v>0</v>
          </cell>
        </row>
        <row r="4399">
          <cell r="A4399" t="str">
            <v>0</v>
          </cell>
        </row>
        <row r="4400">
          <cell r="A4400" t="str">
            <v>0</v>
          </cell>
        </row>
        <row r="4401">
          <cell r="A4401" t="str">
            <v>0</v>
          </cell>
        </row>
        <row r="4402">
          <cell r="A4402" t="str">
            <v>0</v>
          </cell>
        </row>
        <row r="4403">
          <cell r="A4403" t="str">
            <v>0</v>
          </cell>
        </row>
        <row r="4404">
          <cell r="A4404" t="str">
            <v>0</v>
          </cell>
        </row>
        <row r="4405">
          <cell r="A4405" t="str">
            <v>0</v>
          </cell>
        </row>
        <row r="4406">
          <cell r="A4406" t="str">
            <v>0</v>
          </cell>
        </row>
        <row r="4407">
          <cell r="A4407" t="str">
            <v>0</v>
          </cell>
        </row>
        <row r="4408">
          <cell r="A4408" t="str">
            <v>0</v>
          </cell>
        </row>
        <row r="4409">
          <cell r="A4409" t="str">
            <v>0</v>
          </cell>
        </row>
        <row r="4410">
          <cell r="A4410" t="str">
            <v>0</v>
          </cell>
        </row>
        <row r="4411">
          <cell r="A4411" t="str">
            <v>0</v>
          </cell>
        </row>
        <row r="4412">
          <cell r="A4412" t="str">
            <v>0</v>
          </cell>
        </row>
        <row r="4414">
          <cell r="C4414" t="str">
            <v>JUMLAH TANGGAL</v>
          </cell>
          <cell r="F4414">
            <v>0</v>
          </cell>
          <cell r="G4414">
            <v>0</v>
          </cell>
        </row>
        <row r="4415">
          <cell r="C4415" t="str">
            <v>HARI INI</v>
          </cell>
        </row>
        <row r="4416">
          <cell r="C4416" t="str">
            <v>JUMLAH S/D TANGGAL</v>
          </cell>
          <cell r="F4416">
            <v>514639652</v>
          </cell>
          <cell r="G4416">
            <v>490780936</v>
          </cell>
        </row>
        <row r="4417">
          <cell r="C4417" t="str">
            <v>TOTAL</v>
          </cell>
          <cell r="F4417">
            <v>514639652</v>
          </cell>
          <cell r="G4417">
            <v>490780936</v>
          </cell>
        </row>
        <row r="4419">
          <cell r="C4419" t="str">
            <v>SISA</v>
          </cell>
          <cell r="D4419">
            <v>23858716</v>
          </cell>
        </row>
        <row r="4421">
          <cell r="A4421" t="str">
            <v>KODE BANTU</v>
          </cell>
          <cell r="B4421" t="str">
            <v>NO</v>
          </cell>
          <cell r="C4421" t="str">
            <v>AGUSTUS</v>
          </cell>
          <cell r="D4421" t="str">
            <v>URAIAN</v>
          </cell>
          <cell r="E4421" t="str">
            <v>KODE ANGGARAN</v>
          </cell>
          <cell r="F4421" t="str">
            <v>PENERIMAAN</v>
          </cell>
          <cell r="G4421" t="str">
            <v>PENGELUARAN</v>
          </cell>
        </row>
        <row r="4422">
          <cell r="A4422" t="str">
            <v>0</v>
          </cell>
        </row>
        <row r="4423">
          <cell r="A4423" t="str">
            <v>0</v>
          </cell>
        </row>
        <row r="4424">
          <cell r="A4424" t="str">
            <v>0</v>
          </cell>
        </row>
        <row r="4425">
          <cell r="A4425" t="str">
            <v>0</v>
          </cell>
        </row>
        <row r="4426">
          <cell r="A4426" t="str">
            <v>0</v>
          </cell>
        </row>
        <row r="4427">
          <cell r="A4427" t="str">
            <v>0</v>
          </cell>
        </row>
        <row r="4428">
          <cell r="A4428" t="str">
            <v>0</v>
          </cell>
        </row>
        <row r="4429">
          <cell r="A4429" t="str">
            <v>0</v>
          </cell>
        </row>
        <row r="4430">
          <cell r="A4430" t="str">
            <v>0</v>
          </cell>
        </row>
        <row r="4431">
          <cell r="A4431" t="str">
            <v>0</v>
          </cell>
        </row>
        <row r="4432">
          <cell r="A4432" t="str">
            <v>0</v>
          </cell>
        </row>
        <row r="4433">
          <cell r="A4433" t="str">
            <v>0</v>
          </cell>
        </row>
        <row r="4434">
          <cell r="A4434" t="str">
            <v>0</v>
          </cell>
        </row>
        <row r="4435">
          <cell r="A4435" t="str">
            <v>0</v>
          </cell>
        </row>
        <row r="4436">
          <cell r="A4436" t="str">
            <v>0</v>
          </cell>
        </row>
        <row r="4437">
          <cell r="A4437" t="str">
            <v>0</v>
          </cell>
        </row>
        <row r="4438">
          <cell r="A4438" t="str">
            <v>0</v>
          </cell>
        </row>
        <row r="4439">
          <cell r="A4439" t="str">
            <v>0</v>
          </cell>
        </row>
        <row r="4440">
          <cell r="A4440" t="str">
            <v>0</v>
          </cell>
        </row>
        <row r="4441">
          <cell r="A4441" t="str">
            <v>0</v>
          </cell>
        </row>
        <row r="4442">
          <cell r="A4442" t="str">
            <v>0</v>
          </cell>
        </row>
        <row r="4443">
          <cell r="A4443" t="str">
            <v>0</v>
          </cell>
        </row>
        <row r="4444">
          <cell r="A4444" t="str">
            <v>0</v>
          </cell>
        </row>
        <row r="4445">
          <cell r="A4445" t="str">
            <v>0</v>
          </cell>
        </row>
        <row r="4446">
          <cell r="A4446" t="str">
            <v>0</v>
          </cell>
        </row>
        <row r="4448">
          <cell r="C4448" t="str">
            <v>JUMLAH TANGGAL</v>
          </cell>
          <cell r="F4448">
            <v>0</v>
          </cell>
          <cell r="G4448">
            <v>0</v>
          </cell>
        </row>
        <row r="4449">
          <cell r="C4449" t="str">
            <v>HARI INI</v>
          </cell>
        </row>
        <row r="4450">
          <cell r="C4450" t="str">
            <v>JUMLAH S/D TANGGAL</v>
          </cell>
          <cell r="F4450">
            <v>514639652</v>
          </cell>
          <cell r="G4450">
            <v>490780936</v>
          </cell>
        </row>
        <row r="4451">
          <cell r="C4451" t="str">
            <v>TOTAL</v>
          </cell>
          <cell r="F4451">
            <v>514639652</v>
          </cell>
          <cell r="G4451">
            <v>490780936</v>
          </cell>
        </row>
        <row r="4453">
          <cell r="C4453" t="str">
            <v>SISA</v>
          </cell>
          <cell r="D4453">
            <v>23858716</v>
          </cell>
        </row>
        <row r="4455">
          <cell r="A4455" t="str">
            <v>KODE BANTU</v>
          </cell>
          <cell r="B4455" t="str">
            <v>NO</v>
          </cell>
          <cell r="C4455" t="str">
            <v>SEPTEMBER</v>
          </cell>
          <cell r="D4455" t="str">
            <v>URAIAN</v>
          </cell>
          <cell r="E4455" t="str">
            <v>KODE ANGGARAN</v>
          </cell>
          <cell r="F4455" t="str">
            <v>PENERIMAAN</v>
          </cell>
          <cell r="G4455" t="str">
            <v>PENGELUARAN</v>
          </cell>
        </row>
        <row r="4456">
          <cell r="A4456" t="str">
            <v>0</v>
          </cell>
        </row>
        <row r="4457">
          <cell r="A4457" t="str">
            <v>0</v>
          </cell>
        </row>
        <row r="4458">
          <cell r="A4458" t="str">
            <v>0</v>
          </cell>
        </row>
        <row r="4459">
          <cell r="A4459" t="str">
            <v>0</v>
          </cell>
        </row>
        <row r="4460">
          <cell r="A4460" t="str">
            <v>0</v>
          </cell>
        </row>
        <row r="4461">
          <cell r="A4461" t="str">
            <v>0</v>
          </cell>
        </row>
        <row r="4462">
          <cell r="A4462" t="str">
            <v>0</v>
          </cell>
        </row>
        <row r="4463">
          <cell r="A4463" t="str">
            <v>0</v>
          </cell>
        </row>
        <row r="4464">
          <cell r="A4464" t="str">
            <v>0</v>
          </cell>
        </row>
        <row r="4465">
          <cell r="A4465" t="str">
            <v>0</v>
          </cell>
        </row>
        <row r="4466">
          <cell r="A4466" t="str">
            <v>0</v>
          </cell>
        </row>
        <row r="4467">
          <cell r="A4467" t="str">
            <v>0</v>
          </cell>
        </row>
        <row r="4468">
          <cell r="A4468" t="str">
            <v>0</v>
          </cell>
        </row>
        <row r="4469">
          <cell r="A4469" t="str">
            <v>0</v>
          </cell>
        </row>
        <row r="4470">
          <cell r="A4470" t="str">
            <v>0</v>
          </cell>
        </row>
        <row r="4471">
          <cell r="A4471" t="str">
            <v>0</v>
          </cell>
        </row>
        <row r="4472">
          <cell r="A4472" t="str">
            <v>0</v>
          </cell>
        </row>
        <row r="4473">
          <cell r="A4473" t="str">
            <v>0</v>
          </cell>
        </row>
        <row r="4474">
          <cell r="A4474" t="str">
            <v>0</v>
          </cell>
        </row>
        <row r="4475">
          <cell r="A4475" t="str">
            <v>0</v>
          </cell>
        </row>
        <row r="4476">
          <cell r="A4476" t="str">
            <v>0</v>
          </cell>
        </row>
        <row r="4477">
          <cell r="A4477" t="str">
            <v>0</v>
          </cell>
        </row>
        <row r="4478">
          <cell r="A4478" t="str">
            <v>0</v>
          </cell>
        </row>
        <row r="4479">
          <cell r="A4479" t="str">
            <v>0</v>
          </cell>
        </row>
        <row r="4480">
          <cell r="A4480" t="str">
            <v>0</v>
          </cell>
        </row>
        <row r="4482">
          <cell r="C4482" t="str">
            <v>JUMLAH TANGGAL</v>
          </cell>
          <cell r="F4482">
            <v>0</v>
          </cell>
          <cell r="G4482">
            <v>0</v>
          </cell>
        </row>
        <row r="4483">
          <cell r="C4483" t="str">
            <v>HARI INI</v>
          </cell>
        </row>
        <row r="4484">
          <cell r="C4484" t="str">
            <v>JUMLAH S/D TANGGAL</v>
          </cell>
          <cell r="F4484">
            <v>514639652</v>
          </cell>
          <cell r="G4484">
            <v>490780936</v>
          </cell>
        </row>
        <row r="4485">
          <cell r="C4485" t="str">
            <v>TOTAL</v>
          </cell>
          <cell r="F4485">
            <v>514639652</v>
          </cell>
          <cell r="G4485">
            <v>490780936</v>
          </cell>
        </row>
        <row r="4487">
          <cell r="C4487" t="str">
            <v>SISA</v>
          </cell>
          <cell r="D4487">
            <v>23858716</v>
          </cell>
        </row>
        <row r="4489">
          <cell r="A4489" t="str">
            <v>KODE BANTU</v>
          </cell>
          <cell r="B4489" t="str">
            <v>NO</v>
          </cell>
          <cell r="C4489" t="str">
            <v>SEPTEMBER</v>
          </cell>
          <cell r="D4489" t="str">
            <v>URAIAN</v>
          </cell>
          <cell r="E4489" t="str">
            <v>KODE ANGGARAN</v>
          </cell>
          <cell r="F4489" t="str">
            <v>PENERIMAAN</v>
          </cell>
          <cell r="G4489" t="str">
            <v>PENGELUARAN</v>
          </cell>
        </row>
        <row r="4490">
          <cell r="A4490" t="str">
            <v>0</v>
          </cell>
        </row>
        <row r="4491">
          <cell r="A4491" t="str">
            <v>0</v>
          </cell>
        </row>
        <row r="4492">
          <cell r="A4492" t="str">
            <v>0</v>
          </cell>
        </row>
        <row r="4493">
          <cell r="A4493" t="str">
            <v>0</v>
          </cell>
        </row>
        <row r="4494">
          <cell r="A4494" t="str">
            <v>0</v>
          </cell>
        </row>
        <row r="4495">
          <cell r="A4495" t="str">
            <v>0</v>
          </cell>
        </row>
        <row r="4496">
          <cell r="A4496" t="str">
            <v>0</v>
          </cell>
        </row>
        <row r="4497">
          <cell r="A4497" t="str">
            <v>0</v>
          </cell>
        </row>
        <row r="4498">
          <cell r="A4498" t="str">
            <v>0</v>
          </cell>
        </row>
        <row r="4499">
          <cell r="A4499" t="str">
            <v>0</v>
          </cell>
        </row>
        <row r="4500">
          <cell r="A4500" t="str">
            <v>0</v>
          </cell>
        </row>
        <row r="4501">
          <cell r="A4501" t="str">
            <v>0</v>
          </cell>
        </row>
        <row r="4502">
          <cell r="A4502" t="str">
            <v>0</v>
          </cell>
        </row>
        <row r="4503">
          <cell r="A4503" t="str">
            <v>0</v>
          </cell>
        </row>
        <row r="4504">
          <cell r="A4504" t="str">
            <v>0</v>
          </cell>
        </row>
        <row r="4505">
          <cell r="A4505" t="str">
            <v>0</v>
          </cell>
        </row>
        <row r="4506">
          <cell r="A4506" t="str">
            <v>0</v>
          </cell>
        </row>
        <row r="4507">
          <cell r="A4507" t="str">
            <v>0</v>
          </cell>
        </row>
        <row r="4508">
          <cell r="A4508" t="str">
            <v>0</v>
          </cell>
        </row>
        <row r="4509">
          <cell r="A4509" t="str">
            <v>0</v>
          </cell>
        </row>
        <row r="4510">
          <cell r="A4510" t="str">
            <v>0</v>
          </cell>
        </row>
        <row r="4511">
          <cell r="A4511" t="str">
            <v>0</v>
          </cell>
        </row>
        <row r="4512">
          <cell r="A4512" t="str">
            <v>0</v>
          </cell>
        </row>
        <row r="4513">
          <cell r="A4513" t="str">
            <v>0</v>
          </cell>
        </row>
        <row r="4514">
          <cell r="A4514" t="str">
            <v>0</v>
          </cell>
        </row>
        <row r="4516">
          <cell r="C4516" t="str">
            <v>JUMLAH TANGGAL</v>
          </cell>
          <cell r="F4516">
            <v>0</v>
          </cell>
          <cell r="G4516">
            <v>0</v>
          </cell>
        </row>
        <row r="4517">
          <cell r="C4517" t="str">
            <v>HARI INI</v>
          </cell>
        </row>
        <row r="4518">
          <cell r="C4518" t="str">
            <v>JUMLAH S/D TANGGAL</v>
          </cell>
          <cell r="F4518">
            <v>514639652</v>
          </cell>
          <cell r="G4518">
            <v>490780936</v>
          </cell>
        </row>
        <row r="4519">
          <cell r="C4519" t="str">
            <v>TOTAL</v>
          </cell>
          <cell r="F4519">
            <v>514639652</v>
          </cell>
          <cell r="G4519">
            <v>490780936</v>
          </cell>
        </row>
        <row r="4521">
          <cell r="C4521" t="str">
            <v>SISA</v>
          </cell>
          <cell r="D4521">
            <v>23858716</v>
          </cell>
        </row>
        <row r="4523">
          <cell r="A4523" t="str">
            <v>KODE BANTU</v>
          </cell>
          <cell r="B4523" t="str">
            <v>NO</v>
          </cell>
          <cell r="C4523" t="str">
            <v>SEPTEMBER</v>
          </cell>
          <cell r="D4523" t="str">
            <v>URAIAN</v>
          </cell>
          <cell r="E4523" t="str">
            <v>KODE ANGGARAN</v>
          </cell>
          <cell r="F4523" t="str">
            <v>PENERIMAAN</v>
          </cell>
          <cell r="G4523" t="str">
            <v>PENGELUARAN</v>
          </cell>
        </row>
        <row r="4524">
          <cell r="A4524" t="str">
            <v>0</v>
          </cell>
        </row>
        <row r="4525">
          <cell r="A4525" t="str">
            <v>0</v>
          </cell>
        </row>
        <row r="4526">
          <cell r="A4526" t="str">
            <v>0</v>
          </cell>
        </row>
        <row r="4527">
          <cell r="A4527" t="str">
            <v>0</v>
          </cell>
        </row>
        <row r="4528">
          <cell r="A4528" t="str">
            <v>0</v>
          </cell>
        </row>
        <row r="4529">
          <cell r="A4529" t="str">
            <v>0</v>
          </cell>
        </row>
        <row r="4530">
          <cell r="A4530" t="str">
            <v>0</v>
          </cell>
        </row>
        <row r="4531">
          <cell r="A4531" t="str">
            <v>0</v>
          </cell>
        </row>
        <row r="4532">
          <cell r="A4532" t="str">
            <v>0</v>
          </cell>
        </row>
        <row r="4533">
          <cell r="A4533" t="str">
            <v>0</v>
          </cell>
        </row>
        <row r="4534">
          <cell r="A4534" t="str">
            <v>0</v>
          </cell>
        </row>
        <row r="4535">
          <cell r="A4535" t="str">
            <v>0</v>
          </cell>
        </row>
        <row r="4536">
          <cell r="A4536" t="str">
            <v>0</v>
          </cell>
        </row>
        <row r="4537">
          <cell r="A4537" t="str">
            <v>0</v>
          </cell>
        </row>
        <row r="4538">
          <cell r="A4538" t="str">
            <v>0</v>
          </cell>
        </row>
        <row r="4539">
          <cell r="A4539" t="str">
            <v>0</v>
          </cell>
        </row>
        <row r="4540">
          <cell r="A4540" t="str">
            <v>0</v>
          </cell>
        </row>
        <row r="4541">
          <cell r="A4541" t="str">
            <v>0</v>
          </cell>
        </row>
        <row r="4542">
          <cell r="A4542" t="str">
            <v>0</v>
          </cell>
        </row>
        <row r="4543">
          <cell r="A4543" t="str">
            <v>0</v>
          </cell>
        </row>
        <row r="4544">
          <cell r="A4544" t="str">
            <v>0</v>
          </cell>
        </row>
        <row r="4545">
          <cell r="A4545" t="str">
            <v>0</v>
          </cell>
        </row>
        <row r="4546">
          <cell r="A4546" t="str">
            <v>0</v>
          </cell>
        </row>
        <row r="4547">
          <cell r="A4547" t="str">
            <v>0</v>
          </cell>
        </row>
        <row r="4548">
          <cell r="A4548" t="str">
            <v>0</v>
          </cell>
        </row>
        <row r="4550">
          <cell r="C4550" t="str">
            <v>JUMLAH TANGGAL</v>
          </cell>
          <cell r="F4550">
            <v>0</v>
          </cell>
          <cell r="G4550">
            <v>0</v>
          </cell>
        </row>
        <row r="4551">
          <cell r="C4551" t="str">
            <v>HARI INI</v>
          </cell>
        </row>
        <row r="4552">
          <cell r="C4552" t="str">
            <v>JUMLAH S/D TANGGAL</v>
          </cell>
          <cell r="F4552">
            <v>514639652</v>
          </cell>
          <cell r="G4552">
            <v>490780936</v>
          </cell>
        </row>
        <row r="4553">
          <cell r="C4553" t="str">
            <v>TOTAL</v>
          </cell>
          <cell r="F4553">
            <v>514639652</v>
          </cell>
          <cell r="G4553">
            <v>490780936</v>
          </cell>
        </row>
        <row r="4555">
          <cell r="C4555" t="str">
            <v>SISA</v>
          </cell>
          <cell r="D4555">
            <v>23858716</v>
          </cell>
        </row>
        <row r="4557">
          <cell r="A4557" t="str">
            <v>KODE BANTU</v>
          </cell>
          <cell r="B4557" t="str">
            <v>NO</v>
          </cell>
          <cell r="C4557" t="str">
            <v>SEPTEMBER</v>
          </cell>
          <cell r="D4557" t="str">
            <v>URAIAN</v>
          </cell>
          <cell r="E4557" t="str">
            <v>KODE ANGGARAN</v>
          </cell>
          <cell r="F4557" t="str">
            <v>PENERIMAAN</v>
          </cell>
          <cell r="G4557" t="str">
            <v>PENGELUARAN</v>
          </cell>
        </row>
        <row r="4558">
          <cell r="A4558" t="str">
            <v>0</v>
          </cell>
        </row>
        <row r="4559">
          <cell r="A4559" t="str">
            <v>0</v>
          </cell>
        </row>
        <row r="4560">
          <cell r="A4560" t="str">
            <v>0</v>
          </cell>
        </row>
        <row r="4561">
          <cell r="A4561" t="str">
            <v>0</v>
          </cell>
        </row>
        <row r="4562">
          <cell r="A4562" t="str">
            <v>0</v>
          </cell>
        </row>
        <row r="4563">
          <cell r="A4563" t="str">
            <v>0</v>
          </cell>
        </row>
        <row r="4564">
          <cell r="A4564" t="str">
            <v>0</v>
          </cell>
        </row>
        <row r="4565">
          <cell r="A4565" t="str">
            <v>0</v>
          </cell>
        </row>
        <row r="4566">
          <cell r="A4566" t="str">
            <v>0</v>
          </cell>
        </row>
        <row r="4567">
          <cell r="A4567" t="str">
            <v>0</v>
          </cell>
        </row>
        <row r="4568">
          <cell r="A4568" t="str">
            <v>0</v>
          </cell>
        </row>
        <row r="4569">
          <cell r="A4569" t="str">
            <v>0</v>
          </cell>
        </row>
        <row r="4570">
          <cell r="A4570" t="str">
            <v>0</v>
          </cell>
        </row>
        <row r="4571">
          <cell r="A4571" t="str">
            <v>0</v>
          </cell>
        </row>
        <row r="4572">
          <cell r="A4572" t="str">
            <v>0</v>
          </cell>
        </row>
        <row r="4573">
          <cell r="A4573" t="str">
            <v>0</v>
          </cell>
        </row>
        <row r="4574">
          <cell r="A4574" t="str">
            <v>0</v>
          </cell>
        </row>
        <row r="4575">
          <cell r="A4575" t="str">
            <v>0</v>
          </cell>
        </row>
        <row r="4576">
          <cell r="A4576" t="str">
            <v>0</v>
          </cell>
        </row>
        <row r="4577">
          <cell r="A4577" t="str">
            <v>0</v>
          </cell>
        </row>
        <row r="4578">
          <cell r="A4578" t="str">
            <v>0</v>
          </cell>
        </row>
        <row r="4579">
          <cell r="A4579" t="str">
            <v>0</v>
          </cell>
        </row>
        <row r="4580">
          <cell r="A4580" t="str">
            <v>0</v>
          </cell>
        </row>
        <row r="4581">
          <cell r="A4581" t="str">
            <v>0</v>
          </cell>
        </row>
        <row r="4582">
          <cell r="A4582" t="str">
            <v>0</v>
          </cell>
        </row>
        <row r="4584">
          <cell r="C4584" t="str">
            <v>JUMLAH TANGGAL</v>
          </cell>
          <cell r="F4584">
            <v>0</v>
          </cell>
          <cell r="G4584">
            <v>0</v>
          </cell>
        </row>
        <row r="4585">
          <cell r="C4585" t="str">
            <v>HARI INI</v>
          </cell>
        </row>
        <row r="4586">
          <cell r="C4586" t="str">
            <v>JUMLAH S/D TANGGAL</v>
          </cell>
          <cell r="F4586">
            <v>514639652</v>
          </cell>
          <cell r="G4586">
            <v>490780936</v>
          </cell>
        </row>
        <row r="4587">
          <cell r="C4587" t="str">
            <v>TOTAL</v>
          </cell>
          <cell r="F4587">
            <v>514639652</v>
          </cell>
          <cell r="G4587">
            <v>490780936</v>
          </cell>
        </row>
        <row r="4589">
          <cell r="C4589" t="str">
            <v>SISA</v>
          </cell>
          <cell r="D4589">
            <v>23858716</v>
          </cell>
        </row>
        <row r="4591">
          <cell r="A4591" t="str">
            <v>KODE BANTU</v>
          </cell>
          <cell r="B4591" t="str">
            <v>NO</v>
          </cell>
          <cell r="C4591" t="str">
            <v>SEPTEMBER</v>
          </cell>
          <cell r="D4591" t="str">
            <v>URAIAN</v>
          </cell>
          <cell r="E4591" t="str">
            <v>KODE ANGGARAN</v>
          </cell>
          <cell r="F4591" t="str">
            <v>PENERIMAAN</v>
          </cell>
          <cell r="G4591" t="str">
            <v>PENGELUARAN</v>
          </cell>
        </row>
        <row r="4592">
          <cell r="A4592" t="str">
            <v>0</v>
          </cell>
        </row>
        <row r="4593">
          <cell r="A4593" t="str">
            <v>0</v>
          </cell>
        </row>
        <row r="4594">
          <cell r="A4594" t="str">
            <v>0</v>
          </cell>
        </row>
        <row r="4595">
          <cell r="A4595" t="str">
            <v>0</v>
          </cell>
        </row>
        <row r="4596">
          <cell r="A4596" t="str">
            <v>0</v>
          </cell>
        </row>
        <row r="4597">
          <cell r="A4597" t="str">
            <v>0</v>
          </cell>
        </row>
        <row r="4598">
          <cell r="A4598" t="str">
            <v>0</v>
          </cell>
        </row>
        <row r="4599">
          <cell r="A4599" t="str">
            <v>0</v>
          </cell>
        </row>
        <row r="4600">
          <cell r="A4600" t="str">
            <v>0</v>
          </cell>
        </row>
        <row r="4601">
          <cell r="A4601" t="str">
            <v>0</v>
          </cell>
        </row>
        <row r="4602">
          <cell r="A4602" t="str">
            <v>0</v>
          </cell>
        </row>
        <row r="4603">
          <cell r="A4603" t="str">
            <v>0</v>
          </cell>
        </row>
        <row r="4604">
          <cell r="A4604" t="str">
            <v>0</v>
          </cell>
        </row>
        <row r="4605">
          <cell r="A4605" t="str">
            <v>0</v>
          </cell>
        </row>
        <row r="4606">
          <cell r="A4606" t="str">
            <v>0</v>
          </cell>
        </row>
        <row r="4607">
          <cell r="A4607" t="str">
            <v>0</v>
          </cell>
        </row>
        <row r="4608">
          <cell r="A4608" t="str">
            <v>0</v>
          </cell>
        </row>
        <row r="4609">
          <cell r="A4609" t="str">
            <v>0</v>
          </cell>
        </row>
        <row r="4610">
          <cell r="A4610" t="str">
            <v>0</v>
          </cell>
        </row>
        <row r="4611">
          <cell r="A4611" t="str">
            <v>0</v>
          </cell>
        </row>
        <row r="4612">
          <cell r="A4612" t="str">
            <v>0</v>
          </cell>
        </row>
        <row r="4613">
          <cell r="A4613" t="str">
            <v>0</v>
          </cell>
        </row>
        <row r="4614">
          <cell r="A4614" t="str">
            <v>0</v>
          </cell>
        </row>
        <row r="4615">
          <cell r="A4615" t="str">
            <v>0</v>
          </cell>
        </row>
        <row r="4616">
          <cell r="A4616" t="str">
            <v>0</v>
          </cell>
        </row>
        <row r="4618">
          <cell r="C4618" t="str">
            <v>JUMLAH TANGGAL</v>
          </cell>
          <cell r="F4618">
            <v>0</v>
          </cell>
          <cell r="G4618">
            <v>0</v>
          </cell>
        </row>
        <row r="4619">
          <cell r="C4619" t="str">
            <v>HARI INI</v>
          </cell>
        </row>
        <row r="4620">
          <cell r="C4620" t="str">
            <v>JUMLAH S/D TANGGAL</v>
          </cell>
          <cell r="F4620">
            <v>514639652</v>
          </cell>
          <cell r="G4620">
            <v>490780936</v>
          </cell>
        </row>
        <row r="4621">
          <cell r="C4621" t="str">
            <v>TOTAL</v>
          </cell>
          <cell r="F4621">
            <v>514639652</v>
          </cell>
          <cell r="G4621">
            <v>490780936</v>
          </cell>
        </row>
        <row r="4623">
          <cell r="C4623" t="str">
            <v>SISA</v>
          </cell>
          <cell r="D4623">
            <v>23858716</v>
          </cell>
        </row>
        <row r="4625">
          <cell r="A4625" t="str">
            <v>KODE BANTU</v>
          </cell>
          <cell r="B4625" t="str">
            <v>NO</v>
          </cell>
          <cell r="C4625" t="str">
            <v>SEPTEMBER</v>
          </cell>
          <cell r="D4625" t="str">
            <v>URAIAN</v>
          </cell>
          <cell r="E4625" t="str">
            <v>KODE ANGGARAN</v>
          </cell>
          <cell r="F4625" t="str">
            <v>PENERIMAAN</v>
          </cell>
          <cell r="G4625" t="str">
            <v>PENGELUARAN</v>
          </cell>
        </row>
        <row r="4626">
          <cell r="A4626" t="str">
            <v>0</v>
          </cell>
        </row>
        <row r="4627">
          <cell r="A4627" t="str">
            <v>0</v>
          </cell>
        </row>
        <row r="4628">
          <cell r="A4628" t="str">
            <v>0</v>
          </cell>
        </row>
        <row r="4629">
          <cell r="A4629" t="str">
            <v>0</v>
          </cell>
        </row>
        <row r="4630">
          <cell r="A4630" t="str">
            <v>0</v>
          </cell>
        </row>
        <row r="4631">
          <cell r="A4631" t="str">
            <v>0</v>
          </cell>
        </row>
        <row r="4632">
          <cell r="A4632" t="str">
            <v>0</v>
          </cell>
        </row>
        <row r="4633">
          <cell r="A4633" t="str">
            <v>0</v>
          </cell>
        </row>
        <row r="4634">
          <cell r="A4634" t="str">
            <v>0</v>
          </cell>
        </row>
        <row r="4635">
          <cell r="A4635" t="str">
            <v>0</v>
          </cell>
        </row>
        <row r="4636">
          <cell r="A4636" t="str">
            <v>0</v>
          </cell>
        </row>
        <row r="4637">
          <cell r="A4637" t="str">
            <v>0</v>
          </cell>
        </row>
        <row r="4638">
          <cell r="A4638" t="str">
            <v>0</v>
          </cell>
        </row>
        <row r="4639">
          <cell r="A4639" t="str">
            <v>0</v>
          </cell>
        </row>
        <row r="4640">
          <cell r="A4640" t="str">
            <v>0</v>
          </cell>
        </row>
        <row r="4641">
          <cell r="A4641" t="str">
            <v>0</v>
          </cell>
        </row>
        <row r="4642">
          <cell r="A4642" t="str">
            <v>0</v>
          </cell>
        </row>
        <row r="4643">
          <cell r="A4643" t="str">
            <v>0</v>
          </cell>
        </row>
        <row r="4644">
          <cell r="A4644" t="str">
            <v>0</v>
          </cell>
        </row>
        <row r="4645">
          <cell r="A4645" t="str">
            <v>0</v>
          </cell>
        </row>
        <row r="4646">
          <cell r="A4646" t="str">
            <v>0</v>
          </cell>
        </row>
        <row r="4647">
          <cell r="A4647" t="str">
            <v>0</v>
          </cell>
        </row>
        <row r="4648">
          <cell r="A4648" t="str">
            <v>0</v>
          </cell>
        </row>
        <row r="4649">
          <cell r="A4649" t="str">
            <v>0</v>
          </cell>
        </row>
        <row r="4650">
          <cell r="A4650" t="str">
            <v>0</v>
          </cell>
        </row>
        <row r="4652">
          <cell r="C4652" t="str">
            <v>JUMLAH TANGGAL</v>
          </cell>
          <cell r="F4652">
            <v>0</v>
          </cell>
          <cell r="G4652">
            <v>0</v>
          </cell>
        </row>
        <row r="4653">
          <cell r="C4653" t="str">
            <v>HARI INI</v>
          </cell>
        </row>
        <row r="4654">
          <cell r="C4654" t="str">
            <v>JUMLAH S/D TANGGAL</v>
          </cell>
          <cell r="F4654">
            <v>514639652</v>
          </cell>
          <cell r="G4654">
            <v>490780936</v>
          </cell>
        </row>
        <row r="4655">
          <cell r="C4655" t="str">
            <v>TOTAL</v>
          </cell>
          <cell r="F4655">
            <v>514639652</v>
          </cell>
          <cell r="G4655">
            <v>490780936</v>
          </cell>
        </row>
        <row r="4657">
          <cell r="C4657" t="str">
            <v>SISA</v>
          </cell>
          <cell r="D4657">
            <v>23858716</v>
          </cell>
        </row>
        <row r="4659">
          <cell r="A4659" t="str">
            <v>KODE BANTU</v>
          </cell>
          <cell r="B4659" t="str">
            <v>NO</v>
          </cell>
          <cell r="C4659" t="str">
            <v>SEPTEMBER</v>
          </cell>
          <cell r="D4659" t="str">
            <v>URAIAN</v>
          </cell>
          <cell r="E4659" t="str">
            <v>KODE ANGGARAN</v>
          </cell>
          <cell r="F4659" t="str">
            <v>PENERIMAAN</v>
          </cell>
          <cell r="G4659" t="str">
            <v>PENGELUARAN</v>
          </cell>
        </row>
        <row r="4660">
          <cell r="A4660" t="str">
            <v>0</v>
          </cell>
        </row>
        <row r="4661">
          <cell r="A4661" t="str">
            <v>0</v>
          </cell>
        </row>
        <row r="4662">
          <cell r="A4662" t="str">
            <v>0</v>
          </cell>
        </row>
        <row r="4663">
          <cell r="A4663" t="str">
            <v>0</v>
          </cell>
        </row>
        <row r="4664">
          <cell r="A4664" t="str">
            <v>0</v>
          </cell>
        </row>
        <row r="4665">
          <cell r="A4665" t="str">
            <v>0</v>
          </cell>
        </row>
        <row r="4666">
          <cell r="A4666" t="str">
            <v>0</v>
          </cell>
        </row>
        <row r="4667">
          <cell r="A4667" t="str">
            <v>0</v>
          </cell>
        </row>
        <row r="4668">
          <cell r="A4668" t="str">
            <v>0</v>
          </cell>
        </row>
        <row r="4669">
          <cell r="A4669" t="str">
            <v>0</v>
          </cell>
        </row>
        <row r="4670">
          <cell r="A4670" t="str">
            <v>0</v>
          </cell>
        </row>
        <row r="4671">
          <cell r="A4671" t="str">
            <v>0</v>
          </cell>
        </row>
        <row r="4672">
          <cell r="A4672" t="str">
            <v>0</v>
          </cell>
        </row>
        <row r="4673">
          <cell r="A4673" t="str">
            <v>0</v>
          </cell>
        </row>
        <row r="4674">
          <cell r="A4674" t="str">
            <v>0</v>
          </cell>
        </row>
        <row r="4675">
          <cell r="A4675" t="str">
            <v>0</v>
          </cell>
        </row>
        <row r="4676">
          <cell r="A4676" t="str">
            <v>0</v>
          </cell>
        </row>
        <row r="4677">
          <cell r="A4677" t="str">
            <v>0</v>
          </cell>
        </row>
        <row r="4678">
          <cell r="A4678" t="str">
            <v>0</v>
          </cell>
        </row>
        <row r="4679">
          <cell r="A4679" t="str">
            <v>0</v>
          </cell>
        </row>
        <row r="4680">
          <cell r="A4680" t="str">
            <v>0</v>
          </cell>
        </row>
        <row r="4681">
          <cell r="A4681" t="str">
            <v>0</v>
          </cell>
        </row>
        <row r="4682">
          <cell r="A4682" t="str">
            <v>0</v>
          </cell>
        </row>
        <row r="4683">
          <cell r="A4683" t="str">
            <v>0</v>
          </cell>
        </row>
        <row r="4684">
          <cell r="A4684" t="str">
            <v>0</v>
          </cell>
        </row>
        <row r="4686">
          <cell r="C4686" t="str">
            <v>JUMLAH TANGGAL</v>
          </cell>
          <cell r="F4686">
            <v>0</v>
          </cell>
          <cell r="G4686">
            <v>0</v>
          </cell>
        </row>
        <row r="4687">
          <cell r="C4687" t="str">
            <v>HARI INI</v>
          </cell>
        </row>
        <row r="4688">
          <cell r="C4688" t="str">
            <v>JUMLAH S/D TANGGAL</v>
          </cell>
          <cell r="F4688">
            <v>514639652</v>
          </cell>
          <cell r="G4688">
            <v>490780936</v>
          </cell>
        </row>
        <row r="4689">
          <cell r="C4689" t="str">
            <v>TOTAL</v>
          </cell>
          <cell r="F4689">
            <v>514639652</v>
          </cell>
          <cell r="G4689">
            <v>490780936</v>
          </cell>
        </row>
        <row r="4691">
          <cell r="C4691" t="str">
            <v>SISA</v>
          </cell>
          <cell r="D4691">
            <v>23858716</v>
          </cell>
        </row>
        <row r="4693">
          <cell r="A4693" t="str">
            <v>KODE BANTU</v>
          </cell>
          <cell r="B4693" t="str">
            <v>NO</v>
          </cell>
          <cell r="C4693" t="str">
            <v>SEPTEMBER</v>
          </cell>
          <cell r="D4693" t="str">
            <v>URAIAN</v>
          </cell>
          <cell r="E4693" t="str">
            <v>KODE ANGGARAN</v>
          </cell>
          <cell r="F4693" t="str">
            <v>PENERIMAAN</v>
          </cell>
          <cell r="G4693" t="str">
            <v>PENGELUARAN</v>
          </cell>
        </row>
        <row r="4694">
          <cell r="A4694" t="str">
            <v>0</v>
          </cell>
        </row>
        <row r="4695">
          <cell r="A4695" t="str">
            <v>0</v>
          </cell>
        </row>
        <row r="4696">
          <cell r="A4696" t="str">
            <v>0</v>
          </cell>
        </row>
        <row r="4697">
          <cell r="A4697" t="str">
            <v>0</v>
          </cell>
        </row>
        <row r="4698">
          <cell r="A4698" t="str">
            <v>0</v>
          </cell>
        </row>
        <row r="4699">
          <cell r="A4699" t="str">
            <v>0</v>
          </cell>
        </row>
        <row r="4700">
          <cell r="A4700" t="str">
            <v>0</v>
          </cell>
        </row>
        <row r="4701">
          <cell r="A4701" t="str">
            <v>0</v>
          </cell>
        </row>
        <row r="4702">
          <cell r="A4702" t="str">
            <v>0</v>
          </cell>
        </row>
        <row r="4703">
          <cell r="A4703" t="str">
            <v>0</v>
          </cell>
        </row>
        <row r="4704">
          <cell r="A4704" t="str">
            <v>0</v>
          </cell>
        </row>
        <row r="4705">
          <cell r="A4705" t="str">
            <v>0</v>
          </cell>
        </row>
        <row r="4706">
          <cell r="A4706" t="str">
            <v>0</v>
          </cell>
        </row>
        <row r="4707">
          <cell r="A4707" t="str">
            <v>0</v>
          </cell>
        </row>
        <row r="4708">
          <cell r="A4708" t="str">
            <v>0</v>
          </cell>
        </row>
        <row r="4709">
          <cell r="A4709" t="str">
            <v>0</v>
          </cell>
        </row>
        <row r="4710">
          <cell r="A4710" t="str">
            <v>0</v>
          </cell>
        </row>
        <row r="4711">
          <cell r="A4711" t="str">
            <v>0</v>
          </cell>
        </row>
        <row r="4712">
          <cell r="A4712" t="str">
            <v>0</v>
          </cell>
        </row>
        <row r="4713">
          <cell r="A4713" t="str">
            <v>0</v>
          </cell>
        </row>
        <row r="4714">
          <cell r="A4714" t="str">
            <v>0</v>
          </cell>
        </row>
        <row r="4715">
          <cell r="A4715" t="str">
            <v>0</v>
          </cell>
        </row>
        <row r="4716">
          <cell r="A4716" t="str">
            <v>0</v>
          </cell>
        </row>
        <row r="4717">
          <cell r="A4717" t="str">
            <v>0</v>
          </cell>
        </row>
        <row r="4718">
          <cell r="A4718" t="str">
            <v>0</v>
          </cell>
        </row>
        <row r="4720">
          <cell r="C4720" t="str">
            <v>JUMLAH TANGGAL</v>
          </cell>
          <cell r="F4720">
            <v>0</v>
          </cell>
          <cell r="G4720">
            <v>0</v>
          </cell>
        </row>
        <row r="4721">
          <cell r="C4721" t="str">
            <v>HARI INI</v>
          </cell>
        </row>
        <row r="4722">
          <cell r="C4722" t="str">
            <v>JUMLAH S/D TANGGAL</v>
          </cell>
          <cell r="F4722">
            <v>514639652</v>
          </cell>
          <cell r="G4722">
            <v>490780936</v>
          </cell>
        </row>
        <row r="4723">
          <cell r="C4723" t="str">
            <v>TOTAL</v>
          </cell>
          <cell r="F4723">
            <v>514639652</v>
          </cell>
          <cell r="G4723">
            <v>490780936</v>
          </cell>
        </row>
        <row r="4725">
          <cell r="C4725" t="str">
            <v>SISA</v>
          </cell>
          <cell r="D4725">
            <v>23858716</v>
          </cell>
        </row>
        <row r="4727">
          <cell r="A4727" t="str">
            <v>KODE BANTU</v>
          </cell>
          <cell r="B4727" t="str">
            <v>NO</v>
          </cell>
          <cell r="C4727" t="str">
            <v>SEPTEMBER</v>
          </cell>
          <cell r="D4727" t="str">
            <v>URAIAN</v>
          </cell>
          <cell r="E4727" t="str">
            <v>KODE ANGGARAN</v>
          </cell>
          <cell r="F4727" t="str">
            <v>PENERIMAAN</v>
          </cell>
          <cell r="G4727" t="str">
            <v>PENGELUARAN</v>
          </cell>
        </row>
        <row r="4728">
          <cell r="A4728" t="str">
            <v>0</v>
          </cell>
        </row>
        <row r="4729">
          <cell r="A4729" t="str">
            <v>0</v>
          </cell>
        </row>
        <row r="4730">
          <cell r="A4730" t="str">
            <v>0</v>
          </cell>
        </row>
        <row r="4731">
          <cell r="A4731" t="str">
            <v>0</v>
          </cell>
        </row>
        <row r="4732">
          <cell r="A4732" t="str">
            <v>0</v>
          </cell>
        </row>
        <row r="4733">
          <cell r="A4733" t="str">
            <v>0</v>
          </cell>
        </row>
        <row r="4734">
          <cell r="A4734" t="str">
            <v>0</v>
          </cell>
        </row>
        <row r="4735">
          <cell r="A4735" t="str">
            <v>0</v>
          </cell>
        </row>
        <row r="4736">
          <cell r="A4736" t="str">
            <v>0</v>
          </cell>
        </row>
        <row r="4737">
          <cell r="A4737" t="str">
            <v>0</v>
          </cell>
        </row>
        <row r="4738">
          <cell r="A4738" t="str">
            <v>0</v>
          </cell>
        </row>
        <row r="4739">
          <cell r="A4739" t="str">
            <v>0</v>
          </cell>
        </row>
        <row r="4740">
          <cell r="A4740" t="str">
            <v>0</v>
          </cell>
        </row>
        <row r="4741">
          <cell r="A4741" t="str">
            <v>0</v>
          </cell>
        </row>
        <row r="4742">
          <cell r="A4742" t="str">
            <v>0</v>
          </cell>
        </row>
        <row r="4743">
          <cell r="A4743" t="str">
            <v>0</v>
          </cell>
        </row>
        <row r="4744">
          <cell r="A4744" t="str">
            <v>0</v>
          </cell>
        </row>
        <row r="4745">
          <cell r="A4745" t="str">
            <v>0</v>
          </cell>
        </row>
        <row r="4746">
          <cell r="A4746" t="str">
            <v>0</v>
          </cell>
        </row>
        <row r="4747">
          <cell r="A4747" t="str">
            <v>0</v>
          </cell>
        </row>
        <row r="4748">
          <cell r="A4748" t="str">
            <v>0</v>
          </cell>
        </row>
        <row r="4749">
          <cell r="A4749" t="str">
            <v>0</v>
          </cell>
        </row>
        <row r="4750">
          <cell r="A4750" t="str">
            <v>0</v>
          </cell>
        </row>
        <row r="4751">
          <cell r="A4751" t="str">
            <v>0</v>
          </cell>
        </row>
        <row r="4752">
          <cell r="A4752" t="str">
            <v>0</v>
          </cell>
        </row>
        <row r="4754">
          <cell r="C4754" t="str">
            <v>JUMLAH TANGGAL</v>
          </cell>
          <cell r="F4754">
            <v>0</v>
          </cell>
          <cell r="G4754">
            <v>0</v>
          </cell>
        </row>
        <row r="4755">
          <cell r="C4755" t="str">
            <v>HARI INI</v>
          </cell>
        </row>
        <row r="4756">
          <cell r="C4756" t="str">
            <v>JUMLAH S/D TANGGAL</v>
          </cell>
          <cell r="F4756">
            <v>514639652</v>
          </cell>
          <cell r="G4756">
            <v>490780936</v>
          </cell>
        </row>
        <row r="4757">
          <cell r="C4757" t="str">
            <v>TOTAL</v>
          </cell>
          <cell r="F4757">
            <v>514639652</v>
          </cell>
          <cell r="G4757">
            <v>490780936</v>
          </cell>
        </row>
        <row r="4759">
          <cell r="C4759" t="str">
            <v>SISA</v>
          </cell>
          <cell r="D4759">
            <v>23858716</v>
          </cell>
        </row>
        <row r="4761">
          <cell r="A4761" t="str">
            <v>KODE BANTU</v>
          </cell>
          <cell r="B4761" t="str">
            <v>NO</v>
          </cell>
          <cell r="C4761" t="str">
            <v>SEPTEMBER</v>
          </cell>
          <cell r="D4761" t="str">
            <v>URAIAN</v>
          </cell>
          <cell r="E4761" t="str">
            <v>KODE ANGGARAN</v>
          </cell>
          <cell r="F4761" t="str">
            <v>PENERIMAAN</v>
          </cell>
          <cell r="G4761" t="str">
            <v>PENGELUARAN</v>
          </cell>
        </row>
        <row r="4762">
          <cell r="A4762" t="str">
            <v>0</v>
          </cell>
        </row>
        <row r="4763">
          <cell r="A4763" t="str">
            <v>0</v>
          </cell>
        </row>
        <row r="4764">
          <cell r="A4764" t="str">
            <v>0</v>
          </cell>
        </row>
        <row r="4765">
          <cell r="A4765" t="str">
            <v>0</v>
          </cell>
        </row>
        <row r="4766">
          <cell r="A4766" t="str">
            <v>0</v>
          </cell>
        </row>
        <row r="4767">
          <cell r="A4767" t="str">
            <v>0</v>
          </cell>
        </row>
        <row r="4768">
          <cell r="A4768" t="str">
            <v>0</v>
          </cell>
        </row>
        <row r="4769">
          <cell r="A4769" t="str">
            <v>0</v>
          </cell>
        </row>
        <row r="4770">
          <cell r="A4770" t="str">
            <v>0</v>
          </cell>
        </row>
        <row r="4771">
          <cell r="A4771" t="str">
            <v>0</v>
          </cell>
        </row>
        <row r="4772">
          <cell r="A4772" t="str">
            <v>0</v>
          </cell>
        </row>
        <row r="4773">
          <cell r="A4773" t="str">
            <v>0</v>
          </cell>
        </row>
        <row r="4774">
          <cell r="A4774" t="str">
            <v>0</v>
          </cell>
        </row>
        <row r="4775">
          <cell r="A4775" t="str">
            <v>0</v>
          </cell>
        </row>
        <row r="4776">
          <cell r="A4776" t="str">
            <v>0</v>
          </cell>
        </row>
        <row r="4777">
          <cell r="A4777" t="str">
            <v>0</v>
          </cell>
        </row>
        <row r="4778">
          <cell r="A4778" t="str">
            <v>0</v>
          </cell>
        </row>
        <row r="4779">
          <cell r="A4779" t="str">
            <v>0</v>
          </cell>
        </row>
        <row r="4780">
          <cell r="A4780" t="str">
            <v>0</v>
          </cell>
        </row>
        <row r="4781">
          <cell r="A4781" t="str">
            <v>0</v>
          </cell>
        </row>
        <row r="4782">
          <cell r="A4782" t="str">
            <v>0</v>
          </cell>
        </row>
        <row r="4783">
          <cell r="A4783" t="str">
            <v>0</v>
          </cell>
        </row>
        <row r="4784">
          <cell r="A4784" t="str">
            <v>0</v>
          </cell>
        </row>
        <row r="4785">
          <cell r="A4785" t="str">
            <v>0</v>
          </cell>
        </row>
        <row r="4786">
          <cell r="A4786" t="str">
            <v>0</v>
          </cell>
        </row>
        <row r="4788">
          <cell r="C4788" t="str">
            <v>JUMLAH TANGGAL</v>
          </cell>
          <cell r="F4788">
            <v>0</v>
          </cell>
          <cell r="G4788">
            <v>0</v>
          </cell>
        </row>
        <row r="4789">
          <cell r="C4789" t="str">
            <v>HARI INI</v>
          </cell>
        </row>
        <row r="4790">
          <cell r="C4790" t="str">
            <v>JUMLAH S/D TANGGAL</v>
          </cell>
          <cell r="F4790">
            <v>514639652</v>
          </cell>
          <cell r="G4790">
            <v>490780936</v>
          </cell>
        </row>
        <row r="4791">
          <cell r="C4791" t="str">
            <v>TOTAL</v>
          </cell>
          <cell r="F4791">
            <v>514639652</v>
          </cell>
          <cell r="G4791">
            <v>490780936</v>
          </cell>
        </row>
        <row r="4793">
          <cell r="C4793" t="str">
            <v>SISA</v>
          </cell>
          <cell r="D4793">
            <v>23858716</v>
          </cell>
        </row>
        <row r="4795">
          <cell r="A4795" t="str">
            <v>KODE BANTU</v>
          </cell>
          <cell r="B4795" t="str">
            <v>NO</v>
          </cell>
          <cell r="C4795" t="str">
            <v>SEPTEMBER</v>
          </cell>
          <cell r="D4795" t="str">
            <v>URAIAN</v>
          </cell>
          <cell r="E4795" t="str">
            <v>KODE ANGGARAN</v>
          </cell>
          <cell r="F4795" t="str">
            <v>PENERIMAAN</v>
          </cell>
          <cell r="G4795" t="str">
            <v>PENGELUARAN</v>
          </cell>
        </row>
        <row r="4796">
          <cell r="A4796" t="str">
            <v>0</v>
          </cell>
        </row>
        <row r="4797">
          <cell r="A4797" t="str">
            <v>0</v>
          </cell>
        </row>
        <row r="4798">
          <cell r="A4798" t="str">
            <v>0</v>
          </cell>
        </row>
        <row r="4799">
          <cell r="A4799" t="str">
            <v>0</v>
          </cell>
        </row>
        <row r="4800">
          <cell r="A4800" t="str">
            <v>0</v>
          </cell>
        </row>
        <row r="4801">
          <cell r="A4801" t="str">
            <v>0</v>
          </cell>
        </row>
        <row r="4802">
          <cell r="A4802" t="str">
            <v>0</v>
          </cell>
        </row>
        <row r="4803">
          <cell r="A4803" t="str">
            <v>0</v>
          </cell>
        </row>
        <row r="4804">
          <cell r="A4804" t="str">
            <v>0</v>
          </cell>
        </row>
        <row r="4805">
          <cell r="A4805" t="str">
            <v>0</v>
          </cell>
        </row>
        <row r="4806">
          <cell r="A4806" t="str">
            <v>0</v>
          </cell>
        </row>
        <row r="4807">
          <cell r="A4807" t="str">
            <v>0</v>
          </cell>
        </row>
        <row r="4808">
          <cell r="A4808" t="str">
            <v>0</v>
          </cell>
        </row>
        <row r="4809">
          <cell r="A4809" t="str">
            <v>0</v>
          </cell>
        </row>
        <row r="4810">
          <cell r="A4810" t="str">
            <v>0</v>
          </cell>
        </row>
        <row r="4811">
          <cell r="A4811" t="str">
            <v>0</v>
          </cell>
        </row>
        <row r="4812">
          <cell r="A4812" t="str">
            <v>0</v>
          </cell>
        </row>
        <row r="4813">
          <cell r="A4813" t="str">
            <v>0</v>
          </cell>
        </row>
        <row r="4814">
          <cell r="A4814" t="str">
            <v>0</v>
          </cell>
        </row>
        <row r="4815">
          <cell r="A4815" t="str">
            <v>0</v>
          </cell>
        </row>
        <row r="4816">
          <cell r="A4816" t="str">
            <v>0</v>
          </cell>
        </row>
        <row r="4817">
          <cell r="A4817" t="str">
            <v>0</v>
          </cell>
        </row>
        <row r="4818">
          <cell r="A4818" t="str">
            <v>0</v>
          </cell>
        </row>
        <row r="4819">
          <cell r="A4819" t="str">
            <v>0</v>
          </cell>
        </row>
        <row r="4820">
          <cell r="A4820" t="str">
            <v>0</v>
          </cell>
        </row>
        <row r="4822">
          <cell r="C4822" t="str">
            <v>JUMLAH TANGGAL</v>
          </cell>
          <cell r="F4822">
            <v>0</v>
          </cell>
          <cell r="G4822">
            <v>0</v>
          </cell>
        </row>
        <row r="4823">
          <cell r="C4823" t="str">
            <v>HARI INI</v>
          </cell>
        </row>
        <row r="4824">
          <cell r="C4824" t="str">
            <v>JUMLAH S/D TANGGAL</v>
          </cell>
          <cell r="F4824">
            <v>514639652</v>
          </cell>
          <cell r="G4824">
            <v>490780936</v>
          </cell>
        </row>
        <row r="4825">
          <cell r="C4825" t="str">
            <v>TOTAL</v>
          </cell>
          <cell r="F4825">
            <v>514639652</v>
          </cell>
          <cell r="G4825">
            <v>490780936</v>
          </cell>
        </row>
        <row r="4827">
          <cell r="C4827" t="str">
            <v>SISA</v>
          </cell>
          <cell r="D4827">
            <v>23858716</v>
          </cell>
        </row>
        <row r="4829">
          <cell r="A4829" t="str">
            <v>KODE BANTU</v>
          </cell>
          <cell r="B4829" t="str">
            <v>NO</v>
          </cell>
          <cell r="C4829" t="str">
            <v>SEPTEMBER</v>
          </cell>
          <cell r="D4829" t="str">
            <v>URAIAN</v>
          </cell>
          <cell r="E4829" t="str">
            <v>KODE ANGGARAN</v>
          </cell>
          <cell r="F4829" t="str">
            <v>PENERIMAAN</v>
          </cell>
          <cell r="G4829" t="str">
            <v>PENGELUARAN</v>
          </cell>
        </row>
        <row r="4830">
          <cell r="A4830" t="str">
            <v>0</v>
          </cell>
        </row>
        <row r="4831">
          <cell r="A4831" t="str">
            <v>0</v>
          </cell>
        </row>
        <row r="4832">
          <cell r="A4832" t="str">
            <v>0</v>
          </cell>
        </row>
        <row r="4833">
          <cell r="A4833" t="str">
            <v>0</v>
          </cell>
        </row>
        <row r="4834">
          <cell r="A4834" t="str">
            <v>0</v>
          </cell>
        </row>
        <row r="4835">
          <cell r="A4835" t="str">
            <v>0</v>
          </cell>
        </row>
        <row r="4836">
          <cell r="A4836" t="str">
            <v>0</v>
          </cell>
        </row>
        <row r="4837">
          <cell r="A4837" t="str">
            <v>0</v>
          </cell>
        </row>
        <row r="4838">
          <cell r="A4838" t="str">
            <v>0</v>
          </cell>
        </row>
        <row r="4839">
          <cell r="A4839" t="str">
            <v>0</v>
          </cell>
        </row>
        <row r="4840">
          <cell r="A4840" t="str">
            <v>0</v>
          </cell>
        </row>
        <row r="4841">
          <cell r="A4841" t="str">
            <v>0</v>
          </cell>
        </row>
        <row r="4842">
          <cell r="A4842" t="str">
            <v>0</v>
          </cell>
        </row>
        <row r="4843">
          <cell r="A4843" t="str">
            <v>0</v>
          </cell>
        </row>
        <row r="4844">
          <cell r="A4844" t="str">
            <v>0</v>
          </cell>
        </row>
        <row r="4845">
          <cell r="A4845" t="str">
            <v>0</v>
          </cell>
        </row>
        <row r="4846">
          <cell r="A4846" t="str">
            <v>0</v>
          </cell>
        </row>
        <row r="4847">
          <cell r="A4847" t="str">
            <v>0</v>
          </cell>
        </row>
        <row r="4848">
          <cell r="A4848" t="str">
            <v>0</v>
          </cell>
        </row>
        <row r="4849">
          <cell r="A4849" t="str">
            <v>0</v>
          </cell>
        </row>
        <row r="4850">
          <cell r="A4850" t="str">
            <v>0</v>
          </cell>
        </row>
        <row r="4851">
          <cell r="A4851" t="str">
            <v>0</v>
          </cell>
        </row>
        <row r="4852">
          <cell r="A4852" t="str">
            <v>0</v>
          </cell>
        </row>
        <row r="4853">
          <cell r="A4853" t="str">
            <v>0</v>
          </cell>
        </row>
        <row r="4854">
          <cell r="A4854" t="str">
            <v>0</v>
          </cell>
        </row>
        <row r="4856">
          <cell r="C4856" t="str">
            <v>JUMLAH TANGGAL</v>
          </cell>
          <cell r="F4856">
            <v>0</v>
          </cell>
          <cell r="G4856">
            <v>0</v>
          </cell>
        </row>
        <row r="4857">
          <cell r="C4857" t="str">
            <v>HARI INI</v>
          </cell>
        </row>
        <row r="4858">
          <cell r="C4858" t="str">
            <v>JUMLAH S/D TANGGAL</v>
          </cell>
          <cell r="F4858">
            <v>514639652</v>
          </cell>
          <cell r="G4858">
            <v>490780936</v>
          </cell>
        </row>
        <row r="4859">
          <cell r="C4859" t="str">
            <v>TOTAL</v>
          </cell>
          <cell r="F4859">
            <v>514639652</v>
          </cell>
          <cell r="G4859">
            <v>490780936</v>
          </cell>
        </row>
        <row r="4861">
          <cell r="C4861" t="str">
            <v>SISA</v>
          </cell>
          <cell r="D4861">
            <v>23858716</v>
          </cell>
        </row>
        <row r="4863">
          <cell r="A4863" t="str">
            <v>KODE BANTU</v>
          </cell>
          <cell r="B4863" t="str">
            <v>NO</v>
          </cell>
          <cell r="C4863" t="str">
            <v>SEPTEMBER</v>
          </cell>
          <cell r="D4863" t="str">
            <v>URAIAN</v>
          </cell>
          <cell r="E4863" t="str">
            <v>KODE ANGGARAN</v>
          </cell>
          <cell r="F4863" t="str">
            <v>PENERIMAAN</v>
          </cell>
          <cell r="G4863" t="str">
            <v>PENGELUARAN</v>
          </cell>
        </row>
        <row r="4864">
          <cell r="A4864" t="str">
            <v>0</v>
          </cell>
        </row>
        <row r="4865">
          <cell r="A4865" t="str">
            <v>0</v>
          </cell>
        </row>
        <row r="4866">
          <cell r="A4866" t="str">
            <v>0</v>
          </cell>
        </row>
        <row r="4867">
          <cell r="A4867" t="str">
            <v>0</v>
          </cell>
        </row>
        <row r="4868">
          <cell r="A4868" t="str">
            <v>0</v>
          </cell>
        </row>
        <row r="4869">
          <cell r="A4869" t="str">
            <v>0</v>
          </cell>
        </row>
        <row r="4870">
          <cell r="A4870" t="str">
            <v>0</v>
          </cell>
        </row>
        <row r="4871">
          <cell r="A4871" t="str">
            <v>0</v>
          </cell>
        </row>
        <row r="4872">
          <cell r="A4872" t="str">
            <v>0</v>
          </cell>
        </row>
        <row r="4873">
          <cell r="A4873" t="str">
            <v>0</v>
          </cell>
        </row>
        <row r="4874">
          <cell r="A4874" t="str">
            <v>0</v>
          </cell>
        </row>
        <row r="4875">
          <cell r="A4875" t="str">
            <v>0</v>
          </cell>
        </row>
        <row r="4876">
          <cell r="A4876" t="str">
            <v>0</v>
          </cell>
        </row>
        <row r="4877">
          <cell r="A4877" t="str">
            <v>0</v>
          </cell>
        </row>
        <row r="4878">
          <cell r="A4878" t="str">
            <v>0</v>
          </cell>
        </row>
        <row r="4879">
          <cell r="A4879" t="str">
            <v>0</v>
          </cell>
        </row>
        <row r="4880">
          <cell r="A4880" t="str">
            <v>0</v>
          </cell>
        </row>
        <row r="4881">
          <cell r="A4881" t="str">
            <v>0</v>
          </cell>
        </row>
        <row r="4882">
          <cell r="A4882" t="str">
            <v>0</v>
          </cell>
        </row>
        <row r="4883">
          <cell r="A4883" t="str">
            <v>0</v>
          </cell>
        </row>
        <row r="4884">
          <cell r="A4884" t="str">
            <v>0</v>
          </cell>
        </row>
        <row r="4885">
          <cell r="A4885" t="str">
            <v>0</v>
          </cell>
        </row>
        <row r="4886">
          <cell r="A4886" t="str">
            <v>0</v>
          </cell>
        </row>
        <row r="4887">
          <cell r="A4887" t="str">
            <v>0</v>
          </cell>
        </row>
        <row r="4888">
          <cell r="A4888" t="str">
            <v>0</v>
          </cell>
        </row>
        <row r="4890">
          <cell r="C4890" t="str">
            <v>JUMLAH TANGGAL</v>
          </cell>
          <cell r="F4890">
            <v>0</v>
          </cell>
          <cell r="G4890">
            <v>0</v>
          </cell>
        </row>
        <row r="4891">
          <cell r="C4891" t="str">
            <v>HARI INI</v>
          </cell>
        </row>
        <row r="4892">
          <cell r="C4892" t="str">
            <v>JUMLAH S/D TANGGAL</v>
          </cell>
          <cell r="F4892">
            <v>514639652</v>
          </cell>
          <cell r="G4892">
            <v>490780936</v>
          </cell>
        </row>
        <row r="4893">
          <cell r="C4893" t="str">
            <v>TOTAL</v>
          </cell>
          <cell r="F4893">
            <v>514639652</v>
          </cell>
          <cell r="G4893">
            <v>490780936</v>
          </cell>
        </row>
        <row r="4895">
          <cell r="C4895" t="str">
            <v>SISA</v>
          </cell>
          <cell r="D4895">
            <v>23858716</v>
          </cell>
        </row>
        <row r="4897">
          <cell r="A4897" t="str">
            <v>KODE BANTU</v>
          </cell>
          <cell r="B4897" t="str">
            <v>NO</v>
          </cell>
          <cell r="C4897" t="str">
            <v>SEPTEMBER</v>
          </cell>
          <cell r="D4897" t="str">
            <v>URAIAN</v>
          </cell>
          <cell r="E4897" t="str">
            <v>KODE ANGGARAN</v>
          </cell>
          <cell r="F4897" t="str">
            <v>PENERIMAAN</v>
          </cell>
          <cell r="G4897" t="str">
            <v>PENGELUARAN</v>
          </cell>
        </row>
        <row r="4898">
          <cell r="A4898" t="str">
            <v>0</v>
          </cell>
        </row>
        <row r="4899">
          <cell r="A4899" t="str">
            <v>0</v>
          </cell>
        </row>
        <row r="4900">
          <cell r="A4900" t="str">
            <v>0</v>
          </cell>
        </row>
        <row r="4901">
          <cell r="A4901" t="str">
            <v>0</v>
          </cell>
        </row>
        <row r="4902">
          <cell r="A4902" t="str">
            <v>0</v>
          </cell>
        </row>
        <row r="4903">
          <cell r="A4903" t="str">
            <v>0</v>
          </cell>
        </row>
        <row r="4904">
          <cell r="A4904" t="str">
            <v>0</v>
          </cell>
        </row>
        <row r="4905">
          <cell r="A4905" t="str">
            <v>0</v>
          </cell>
        </row>
        <row r="4906">
          <cell r="A4906" t="str">
            <v>0</v>
          </cell>
        </row>
        <row r="4907">
          <cell r="A4907" t="str">
            <v>0</v>
          </cell>
        </row>
        <row r="4908">
          <cell r="A4908" t="str">
            <v>0</v>
          </cell>
        </row>
        <row r="4909">
          <cell r="A4909" t="str">
            <v>0</v>
          </cell>
        </row>
        <row r="4910">
          <cell r="A4910" t="str">
            <v>0</v>
          </cell>
        </row>
        <row r="4911">
          <cell r="A4911" t="str">
            <v>0</v>
          </cell>
        </row>
        <row r="4912">
          <cell r="A4912" t="str">
            <v>0</v>
          </cell>
        </row>
        <row r="4913">
          <cell r="A4913" t="str">
            <v>0</v>
          </cell>
        </row>
        <row r="4914">
          <cell r="A4914" t="str">
            <v>0</v>
          </cell>
        </row>
        <row r="4915">
          <cell r="A4915" t="str">
            <v>0</v>
          </cell>
        </row>
        <row r="4916">
          <cell r="A4916" t="str">
            <v>0</v>
          </cell>
        </row>
        <row r="4917">
          <cell r="A4917" t="str">
            <v>0</v>
          </cell>
        </row>
        <row r="4918">
          <cell r="A4918" t="str">
            <v>0</v>
          </cell>
        </row>
        <row r="4919">
          <cell r="A4919" t="str">
            <v>0</v>
          </cell>
        </row>
        <row r="4920">
          <cell r="A4920" t="str">
            <v>0</v>
          </cell>
        </row>
        <row r="4921">
          <cell r="A4921" t="str">
            <v>0</v>
          </cell>
        </row>
        <row r="4922">
          <cell r="A4922" t="str">
            <v>0</v>
          </cell>
        </row>
        <row r="4924">
          <cell r="C4924" t="str">
            <v>JUMLAH TANGGAL</v>
          </cell>
          <cell r="F4924">
            <v>0</v>
          </cell>
          <cell r="G4924">
            <v>0</v>
          </cell>
        </row>
        <row r="4925">
          <cell r="C4925" t="str">
            <v>HARI INI</v>
          </cell>
        </row>
        <row r="4926">
          <cell r="C4926" t="str">
            <v>JUMLAH S/D TANGGAL</v>
          </cell>
          <cell r="F4926">
            <v>514639652</v>
          </cell>
          <cell r="G4926">
            <v>490780936</v>
          </cell>
        </row>
        <row r="4927">
          <cell r="C4927" t="str">
            <v>TOTAL</v>
          </cell>
          <cell r="F4927">
            <v>514639652</v>
          </cell>
          <cell r="G4927">
            <v>490780936</v>
          </cell>
        </row>
        <row r="4929">
          <cell r="C4929" t="str">
            <v>SISA</v>
          </cell>
          <cell r="D4929">
            <v>23858716</v>
          </cell>
        </row>
        <row r="4931">
          <cell r="A4931" t="str">
            <v>KODE BANTU</v>
          </cell>
          <cell r="B4931" t="str">
            <v>NO</v>
          </cell>
          <cell r="C4931" t="str">
            <v>SEPTEMBER</v>
          </cell>
          <cell r="D4931" t="str">
            <v>URAIAN</v>
          </cell>
          <cell r="E4931" t="str">
            <v>KODE ANGGARAN</v>
          </cell>
          <cell r="F4931" t="str">
            <v>PENERIMAAN</v>
          </cell>
          <cell r="G4931" t="str">
            <v>PENGELUARAN</v>
          </cell>
        </row>
        <row r="4932">
          <cell r="A4932" t="str">
            <v>0</v>
          </cell>
        </row>
        <row r="4933">
          <cell r="A4933" t="str">
            <v>0</v>
          </cell>
        </row>
        <row r="4934">
          <cell r="A4934" t="str">
            <v>0</v>
          </cell>
        </row>
        <row r="4935">
          <cell r="A4935" t="str">
            <v>0</v>
          </cell>
        </row>
        <row r="4936">
          <cell r="A4936" t="str">
            <v>0</v>
          </cell>
        </row>
        <row r="4937">
          <cell r="A4937" t="str">
            <v>0</v>
          </cell>
        </row>
        <row r="4938">
          <cell r="A4938" t="str">
            <v>0</v>
          </cell>
        </row>
        <row r="4939">
          <cell r="A4939" t="str">
            <v>0</v>
          </cell>
        </row>
        <row r="4940">
          <cell r="A4940" t="str">
            <v>0</v>
          </cell>
        </row>
        <row r="4941">
          <cell r="A4941" t="str">
            <v>0</v>
          </cell>
        </row>
        <row r="4942">
          <cell r="A4942" t="str">
            <v>0</v>
          </cell>
        </row>
        <row r="4943">
          <cell r="A4943" t="str">
            <v>0</v>
          </cell>
        </row>
        <row r="4944">
          <cell r="A4944" t="str">
            <v>0</v>
          </cell>
        </row>
        <row r="4945">
          <cell r="A4945" t="str">
            <v>0</v>
          </cell>
        </row>
        <row r="4946">
          <cell r="A4946" t="str">
            <v>0</v>
          </cell>
        </row>
        <row r="4947">
          <cell r="A4947" t="str">
            <v>0</v>
          </cell>
        </row>
        <row r="4948">
          <cell r="A4948" t="str">
            <v>0</v>
          </cell>
        </row>
        <row r="4949">
          <cell r="A4949" t="str">
            <v>0</v>
          </cell>
        </row>
        <row r="4950">
          <cell r="A4950" t="str">
            <v>0</v>
          </cell>
        </row>
        <row r="4951">
          <cell r="A4951" t="str">
            <v>0</v>
          </cell>
        </row>
        <row r="4952">
          <cell r="A4952" t="str">
            <v>0</v>
          </cell>
        </row>
        <row r="4953">
          <cell r="A4953" t="str">
            <v>0</v>
          </cell>
        </row>
        <row r="4954">
          <cell r="A4954" t="str">
            <v>0</v>
          </cell>
        </row>
        <row r="4955">
          <cell r="A4955" t="str">
            <v>0</v>
          </cell>
        </row>
        <row r="4956">
          <cell r="A4956" t="str">
            <v>0</v>
          </cell>
        </row>
        <row r="4958">
          <cell r="C4958" t="str">
            <v>JUMLAH TANGGAL</v>
          </cell>
          <cell r="F4958">
            <v>0</v>
          </cell>
          <cell r="G4958">
            <v>0</v>
          </cell>
        </row>
        <row r="4959">
          <cell r="C4959" t="str">
            <v>HARI INI</v>
          </cell>
        </row>
        <row r="4960">
          <cell r="C4960" t="str">
            <v>JUMLAH S/D TANGGAL</v>
          </cell>
          <cell r="F4960">
            <v>514639652</v>
          </cell>
          <cell r="G4960">
            <v>490780936</v>
          </cell>
        </row>
        <row r="4961">
          <cell r="C4961" t="str">
            <v>TOTAL</v>
          </cell>
          <cell r="F4961">
            <v>514639652</v>
          </cell>
          <cell r="G4961">
            <v>490780936</v>
          </cell>
        </row>
        <row r="4963">
          <cell r="C4963" t="str">
            <v>SISA</v>
          </cell>
          <cell r="D4963">
            <v>23858716</v>
          </cell>
        </row>
        <row r="4965">
          <cell r="A4965" t="str">
            <v>KODE BANTU</v>
          </cell>
          <cell r="B4965" t="str">
            <v>NO</v>
          </cell>
          <cell r="C4965" t="str">
            <v>OKTOBER</v>
          </cell>
          <cell r="D4965" t="str">
            <v>URAIAN</v>
          </cell>
          <cell r="E4965" t="str">
            <v>KODE ANGGARAN</v>
          </cell>
          <cell r="F4965" t="str">
            <v>PENERIMAAN</v>
          </cell>
          <cell r="G4965" t="str">
            <v>PENGELUARAN</v>
          </cell>
        </row>
        <row r="4966">
          <cell r="A4966" t="str">
            <v>0</v>
          </cell>
        </row>
        <row r="4967">
          <cell r="A4967" t="str">
            <v>0</v>
          </cell>
        </row>
        <row r="4968">
          <cell r="A4968" t="str">
            <v>0</v>
          </cell>
        </row>
        <row r="4969">
          <cell r="A4969" t="str">
            <v>0</v>
          </cell>
        </row>
        <row r="4970">
          <cell r="A4970" t="str">
            <v>0</v>
          </cell>
        </row>
        <row r="4971">
          <cell r="A4971" t="str">
            <v>0</v>
          </cell>
        </row>
        <row r="4972">
          <cell r="A4972" t="str">
            <v>0</v>
          </cell>
        </row>
        <row r="4973">
          <cell r="A4973" t="str">
            <v>0</v>
          </cell>
        </row>
        <row r="4974">
          <cell r="A4974" t="str">
            <v>0</v>
          </cell>
        </row>
        <row r="4975">
          <cell r="A4975" t="str">
            <v>0</v>
          </cell>
        </row>
        <row r="4976">
          <cell r="A4976" t="str">
            <v>0</v>
          </cell>
        </row>
        <row r="4977">
          <cell r="A4977" t="str">
            <v>0</v>
          </cell>
        </row>
        <row r="4978">
          <cell r="A4978" t="str">
            <v>0</v>
          </cell>
        </row>
        <row r="4979">
          <cell r="A4979" t="str">
            <v>0</v>
          </cell>
        </row>
        <row r="4980">
          <cell r="A4980" t="str">
            <v>0</v>
          </cell>
        </row>
        <row r="4981">
          <cell r="A4981" t="str">
            <v>0</v>
          </cell>
        </row>
        <row r="4982">
          <cell r="A4982" t="str">
            <v>0</v>
          </cell>
        </row>
        <row r="4983">
          <cell r="A4983" t="str">
            <v>0</v>
          </cell>
        </row>
        <row r="4984">
          <cell r="A4984" t="str">
            <v>0</v>
          </cell>
        </row>
        <row r="4985">
          <cell r="A4985" t="str">
            <v>0</v>
          </cell>
        </row>
        <row r="4986">
          <cell r="A4986" t="str">
            <v>0</v>
          </cell>
        </row>
        <row r="4987">
          <cell r="A4987" t="str">
            <v>0</v>
          </cell>
        </row>
        <row r="4988">
          <cell r="A4988" t="str">
            <v>0</v>
          </cell>
        </row>
        <row r="4989">
          <cell r="A4989" t="str">
            <v>0</v>
          </cell>
        </row>
        <row r="4990">
          <cell r="A4990" t="str">
            <v>0</v>
          </cell>
        </row>
        <row r="4992">
          <cell r="C4992" t="str">
            <v>JUMLAH TANGGAL</v>
          </cell>
          <cell r="F4992">
            <v>0</v>
          </cell>
          <cell r="G4992">
            <v>0</v>
          </cell>
        </row>
        <row r="4993">
          <cell r="C4993" t="str">
            <v>HARI INI</v>
          </cell>
        </row>
        <row r="4994">
          <cell r="C4994" t="str">
            <v>JUMLAH S/D TANGGAL</v>
          </cell>
          <cell r="F4994">
            <v>514639652</v>
          </cell>
          <cell r="G4994">
            <v>490780936</v>
          </cell>
        </row>
        <row r="4995">
          <cell r="C4995" t="str">
            <v>TOTAL</v>
          </cell>
          <cell r="F4995">
            <v>514639652</v>
          </cell>
          <cell r="G4995">
            <v>490780936</v>
          </cell>
        </row>
        <row r="4997">
          <cell r="C4997" t="str">
            <v>SISA</v>
          </cell>
          <cell r="D4997">
            <v>23858716</v>
          </cell>
        </row>
        <row r="4999">
          <cell r="A4999" t="str">
            <v>KODE BANTU</v>
          </cell>
          <cell r="B4999" t="str">
            <v>NO</v>
          </cell>
          <cell r="C4999" t="str">
            <v>OKTOBER</v>
          </cell>
          <cell r="D4999" t="str">
            <v>URAIAN</v>
          </cell>
          <cell r="E4999" t="str">
            <v>KODE ANGGARAN</v>
          </cell>
          <cell r="F4999" t="str">
            <v>PENERIMAAN</v>
          </cell>
          <cell r="G4999" t="str">
            <v>PENGELUARAN</v>
          </cell>
        </row>
        <row r="5000">
          <cell r="A5000" t="str">
            <v>0</v>
          </cell>
        </row>
        <row r="5001">
          <cell r="A5001" t="str">
            <v>0</v>
          </cell>
        </row>
        <row r="5002">
          <cell r="A5002" t="str">
            <v>0</v>
          </cell>
        </row>
        <row r="5003">
          <cell r="A5003" t="str">
            <v>0</v>
          </cell>
        </row>
        <row r="5004">
          <cell r="A5004" t="str">
            <v>0</v>
          </cell>
        </row>
        <row r="5005">
          <cell r="A5005" t="str">
            <v>0</v>
          </cell>
        </row>
        <row r="5006">
          <cell r="A5006" t="str">
            <v>0</v>
          </cell>
        </row>
        <row r="5007">
          <cell r="A5007" t="str">
            <v>0</v>
          </cell>
        </row>
        <row r="5008">
          <cell r="A5008" t="str">
            <v>0</v>
          </cell>
        </row>
        <row r="5009">
          <cell r="A5009" t="str">
            <v>0</v>
          </cell>
        </row>
        <row r="5010">
          <cell r="A5010" t="str">
            <v>0</v>
          </cell>
        </row>
        <row r="5011">
          <cell r="A5011" t="str">
            <v>0</v>
          </cell>
        </row>
        <row r="5012">
          <cell r="A5012" t="str">
            <v>0</v>
          </cell>
        </row>
        <row r="5013">
          <cell r="A5013" t="str">
            <v>0</v>
          </cell>
        </row>
        <row r="5014">
          <cell r="A5014" t="str">
            <v>0</v>
          </cell>
        </row>
        <row r="5015">
          <cell r="A5015" t="str">
            <v>0</v>
          </cell>
        </row>
        <row r="5016">
          <cell r="A5016" t="str">
            <v>0</v>
          </cell>
        </row>
        <row r="5017">
          <cell r="A5017" t="str">
            <v>0</v>
          </cell>
        </row>
        <row r="5018">
          <cell r="A5018" t="str">
            <v>0</v>
          </cell>
        </row>
        <row r="5019">
          <cell r="A5019" t="str">
            <v>0</v>
          </cell>
        </row>
        <row r="5020">
          <cell r="A5020" t="str">
            <v>0</v>
          </cell>
        </row>
        <row r="5021">
          <cell r="A5021" t="str">
            <v>0</v>
          </cell>
        </row>
        <row r="5022">
          <cell r="A5022" t="str">
            <v>0</v>
          </cell>
        </row>
        <row r="5023">
          <cell r="A5023" t="str">
            <v>0</v>
          </cell>
        </row>
        <row r="5024">
          <cell r="A5024" t="str">
            <v>0</v>
          </cell>
        </row>
        <row r="5026">
          <cell r="C5026" t="str">
            <v>JUMLAH TANGGAL</v>
          </cell>
          <cell r="F5026">
            <v>0</v>
          </cell>
          <cell r="G5026">
            <v>0</v>
          </cell>
        </row>
        <row r="5027">
          <cell r="C5027" t="str">
            <v>HARI INI</v>
          </cell>
        </row>
        <row r="5028">
          <cell r="C5028" t="str">
            <v>JUMLAH S/D TANGGAL</v>
          </cell>
          <cell r="F5028">
            <v>514639652</v>
          </cell>
          <cell r="G5028">
            <v>490780936</v>
          </cell>
        </row>
        <row r="5029">
          <cell r="C5029" t="str">
            <v>TOTAL</v>
          </cell>
          <cell r="F5029">
            <v>514639652</v>
          </cell>
          <cell r="G5029">
            <v>490780936</v>
          </cell>
        </row>
        <row r="5031">
          <cell r="C5031" t="str">
            <v>SISA</v>
          </cell>
          <cell r="D5031">
            <v>23858716</v>
          </cell>
        </row>
        <row r="5033">
          <cell r="A5033" t="str">
            <v>KODE BANTU</v>
          </cell>
          <cell r="B5033" t="str">
            <v>NO</v>
          </cell>
          <cell r="C5033" t="str">
            <v>OKTOBER</v>
          </cell>
          <cell r="D5033" t="str">
            <v>URAIAN</v>
          </cell>
          <cell r="E5033" t="str">
            <v>KODE ANGGARAN</v>
          </cell>
          <cell r="F5033" t="str">
            <v>PENERIMAAN</v>
          </cell>
          <cell r="G5033" t="str">
            <v>PENGELUARAN</v>
          </cell>
        </row>
        <row r="5034">
          <cell r="A5034" t="str">
            <v>0</v>
          </cell>
        </row>
        <row r="5035">
          <cell r="A5035" t="str">
            <v>0</v>
          </cell>
        </row>
        <row r="5036">
          <cell r="A5036" t="str">
            <v>0</v>
          </cell>
        </row>
        <row r="5037">
          <cell r="A5037" t="str">
            <v>0</v>
          </cell>
        </row>
        <row r="5038">
          <cell r="A5038" t="str">
            <v>0</v>
          </cell>
        </row>
        <row r="5039">
          <cell r="A5039" t="str">
            <v>0</v>
          </cell>
        </row>
        <row r="5040">
          <cell r="A5040" t="str">
            <v>0</v>
          </cell>
        </row>
        <row r="5041">
          <cell r="A5041" t="str">
            <v>0</v>
          </cell>
        </row>
        <row r="5042">
          <cell r="A5042" t="str">
            <v>0</v>
          </cell>
        </row>
        <row r="5043">
          <cell r="A5043" t="str">
            <v>0</v>
          </cell>
        </row>
        <row r="5044">
          <cell r="A5044" t="str">
            <v>0</v>
          </cell>
        </row>
        <row r="5045">
          <cell r="A5045" t="str">
            <v>0</v>
          </cell>
        </row>
        <row r="5046">
          <cell r="A5046" t="str">
            <v>0</v>
          </cell>
        </row>
        <row r="5047">
          <cell r="A5047" t="str">
            <v>0</v>
          </cell>
        </row>
        <row r="5048">
          <cell r="A5048" t="str">
            <v>0</v>
          </cell>
        </row>
        <row r="5049">
          <cell r="A5049" t="str">
            <v>0</v>
          </cell>
        </row>
        <row r="5050">
          <cell r="A5050" t="str">
            <v>0</v>
          </cell>
        </row>
        <row r="5051">
          <cell r="A5051" t="str">
            <v>0</v>
          </cell>
        </row>
        <row r="5052">
          <cell r="A5052" t="str">
            <v>0</v>
          </cell>
        </row>
        <row r="5053">
          <cell r="A5053" t="str">
            <v>0</v>
          </cell>
        </row>
        <row r="5054">
          <cell r="A5054" t="str">
            <v>0</v>
          </cell>
        </row>
        <row r="5055">
          <cell r="A5055" t="str">
            <v>0</v>
          </cell>
        </row>
        <row r="5056">
          <cell r="A5056" t="str">
            <v>0</v>
          </cell>
        </row>
        <row r="5057">
          <cell r="A5057" t="str">
            <v>0</v>
          </cell>
        </row>
        <row r="5058">
          <cell r="A5058" t="str">
            <v>0</v>
          </cell>
        </row>
        <row r="5060">
          <cell r="C5060" t="str">
            <v>JUMLAH TANGGAL</v>
          </cell>
          <cell r="F5060">
            <v>0</v>
          </cell>
          <cell r="G5060">
            <v>0</v>
          </cell>
        </row>
        <row r="5061">
          <cell r="C5061" t="str">
            <v>HARI INI</v>
          </cell>
        </row>
        <row r="5062">
          <cell r="C5062" t="str">
            <v>JUMLAH S/D TANGGAL</v>
          </cell>
          <cell r="F5062">
            <v>514639652</v>
          </cell>
          <cell r="G5062">
            <v>490780936</v>
          </cell>
        </row>
        <row r="5063">
          <cell r="C5063" t="str">
            <v>TOTAL</v>
          </cell>
          <cell r="F5063">
            <v>514639652</v>
          </cell>
          <cell r="G5063">
            <v>490780936</v>
          </cell>
        </row>
        <row r="5065">
          <cell r="C5065" t="str">
            <v>SISA</v>
          </cell>
          <cell r="D5065">
            <v>23858716</v>
          </cell>
        </row>
        <row r="5067">
          <cell r="A5067" t="str">
            <v>KODE BANTU</v>
          </cell>
          <cell r="B5067" t="str">
            <v>NO</v>
          </cell>
          <cell r="C5067" t="str">
            <v>OKTOBER</v>
          </cell>
          <cell r="D5067" t="str">
            <v>URAIAN</v>
          </cell>
          <cell r="E5067" t="str">
            <v>KODE ANGGARAN</v>
          </cell>
          <cell r="F5067" t="str">
            <v>PENERIMAAN</v>
          </cell>
          <cell r="G5067" t="str">
            <v>PENGELUARAN</v>
          </cell>
        </row>
        <row r="5068">
          <cell r="A5068" t="str">
            <v>0</v>
          </cell>
        </row>
        <row r="5069">
          <cell r="A5069" t="str">
            <v>0</v>
          </cell>
        </row>
        <row r="5070">
          <cell r="A5070" t="str">
            <v>0</v>
          </cell>
        </row>
        <row r="5071">
          <cell r="A5071" t="str">
            <v>0</v>
          </cell>
        </row>
        <row r="5072">
          <cell r="A5072" t="str">
            <v>0</v>
          </cell>
        </row>
        <row r="5073">
          <cell r="A5073" t="str">
            <v>0</v>
          </cell>
        </row>
        <row r="5074">
          <cell r="A5074" t="str">
            <v>0</v>
          </cell>
        </row>
        <row r="5075">
          <cell r="A5075" t="str">
            <v>0</v>
          </cell>
        </row>
        <row r="5076">
          <cell r="A5076" t="str">
            <v>0</v>
          </cell>
        </row>
        <row r="5077">
          <cell r="A5077" t="str">
            <v>0</v>
          </cell>
        </row>
        <row r="5078">
          <cell r="A5078" t="str">
            <v>0</v>
          </cell>
        </row>
        <row r="5079">
          <cell r="A5079" t="str">
            <v>0</v>
          </cell>
        </row>
        <row r="5080">
          <cell r="A5080" t="str">
            <v>0</v>
          </cell>
        </row>
        <row r="5081">
          <cell r="A5081" t="str">
            <v>0</v>
          </cell>
        </row>
        <row r="5082">
          <cell r="A5082" t="str">
            <v>0</v>
          </cell>
        </row>
        <row r="5083">
          <cell r="A5083" t="str">
            <v>0</v>
          </cell>
        </row>
        <row r="5084">
          <cell r="A5084" t="str">
            <v>0</v>
          </cell>
        </row>
        <row r="5085">
          <cell r="A5085" t="str">
            <v>0</v>
          </cell>
        </row>
        <row r="5086">
          <cell r="A5086" t="str">
            <v>0</v>
          </cell>
        </row>
        <row r="5087">
          <cell r="A5087" t="str">
            <v>0</v>
          </cell>
        </row>
        <row r="5088">
          <cell r="A5088" t="str">
            <v>0</v>
          </cell>
        </row>
        <row r="5089">
          <cell r="A5089" t="str">
            <v>0</v>
          </cell>
        </row>
        <row r="5090">
          <cell r="A5090" t="str">
            <v>0</v>
          </cell>
        </row>
        <row r="5091">
          <cell r="A5091" t="str">
            <v>0</v>
          </cell>
        </row>
        <row r="5092">
          <cell r="A5092" t="str">
            <v>0</v>
          </cell>
        </row>
        <row r="5094">
          <cell r="C5094" t="str">
            <v>JUMLAH TANGGAL</v>
          </cell>
          <cell r="F5094">
            <v>0</v>
          </cell>
          <cell r="G5094">
            <v>0</v>
          </cell>
        </row>
        <row r="5095">
          <cell r="C5095" t="str">
            <v>HARI INI</v>
          </cell>
        </row>
        <row r="5096">
          <cell r="C5096" t="str">
            <v>JUMLAH S/D TANGGAL</v>
          </cell>
          <cell r="F5096">
            <v>514639652</v>
          </cell>
          <cell r="G5096">
            <v>490780936</v>
          </cell>
        </row>
        <row r="5097">
          <cell r="C5097" t="str">
            <v>TOTAL</v>
          </cell>
          <cell r="F5097">
            <v>514639652</v>
          </cell>
          <cell r="G5097">
            <v>490780936</v>
          </cell>
        </row>
        <row r="5099">
          <cell r="C5099" t="str">
            <v>SISA</v>
          </cell>
          <cell r="D5099">
            <v>23858716</v>
          </cell>
        </row>
        <row r="5101">
          <cell r="A5101" t="str">
            <v>KODE BANTU</v>
          </cell>
          <cell r="B5101" t="str">
            <v>NO</v>
          </cell>
          <cell r="C5101" t="str">
            <v>OKTOBER</v>
          </cell>
          <cell r="D5101" t="str">
            <v>URAIAN</v>
          </cell>
          <cell r="E5101" t="str">
            <v>KODE ANGGARAN</v>
          </cell>
          <cell r="F5101" t="str">
            <v>PENERIMAAN</v>
          </cell>
          <cell r="G5101" t="str">
            <v>PENGELUARAN</v>
          </cell>
        </row>
        <row r="5102">
          <cell r="A5102" t="str">
            <v>0</v>
          </cell>
        </row>
        <row r="5103">
          <cell r="A5103" t="str">
            <v>0</v>
          </cell>
        </row>
        <row r="5104">
          <cell r="A5104" t="str">
            <v>0</v>
          </cell>
        </row>
        <row r="5105">
          <cell r="A5105" t="str">
            <v>0</v>
          </cell>
        </row>
        <row r="5106">
          <cell r="A5106" t="str">
            <v>0</v>
          </cell>
        </row>
        <row r="5107">
          <cell r="A5107" t="str">
            <v>0</v>
          </cell>
        </row>
        <row r="5108">
          <cell r="A5108" t="str">
            <v>0</v>
          </cell>
        </row>
        <row r="5109">
          <cell r="A5109" t="str">
            <v>0</v>
          </cell>
        </row>
        <row r="5110">
          <cell r="A5110" t="str">
            <v>0</v>
          </cell>
        </row>
        <row r="5111">
          <cell r="A5111" t="str">
            <v>0</v>
          </cell>
        </row>
        <row r="5112">
          <cell r="A5112" t="str">
            <v>0</v>
          </cell>
        </row>
        <row r="5113">
          <cell r="A5113" t="str">
            <v>0</v>
          </cell>
        </row>
        <row r="5114">
          <cell r="A5114" t="str">
            <v>0</v>
          </cell>
        </row>
        <row r="5115">
          <cell r="A5115" t="str">
            <v>0</v>
          </cell>
        </row>
        <row r="5116">
          <cell r="A5116" t="str">
            <v>0</v>
          </cell>
        </row>
        <row r="5117">
          <cell r="A5117" t="str">
            <v>0</v>
          </cell>
        </row>
        <row r="5118">
          <cell r="A5118" t="str">
            <v>0</v>
          </cell>
        </row>
        <row r="5119">
          <cell r="A5119" t="str">
            <v>0</v>
          </cell>
        </row>
        <row r="5120">
          <cell r="A5120" t="str">
            <v>0</v>
          </cell>
        </row>
        <row r="5121">
          <cell r="A5121" t="str">
            <v>0</v>
          </cell>
        </row>
        <row r="5122">
          <cell r="A5122" t="str">
            <v>0</v>
          </cell>
        </row>
        <row r="5123">
          <cell r="A5123" t="str">
            <v>0</v>
          </cell>
        </row>
        <row r="5124">
          <cell r="A5124" t="str">
            <v>0</v>
          </cell>
        </row>
        <row r="5125">
          <cell r="A5125" t="str">
            <v>0</v>
          </cell>
        </row>
        <row r="5126">
          <cell r="A5126" t="str">
            <v>0</v>
          </cell>
        </row>
        <row r="5128">
          <cell r="C5128" t="str">
            <v>JUMLAH TANGGAL</v>
          </cell>
          <cell r="F5128">
            <v>0</v>
          </cell>
          <cell r="G5128">
            <v>0</v>
          </cell>
        </row>
        <row r="5129">
          <cell r="C5129" t="str">
            <v>HARI INI</v>
          </cell>
        </row>
        <row r="5130">
          <cell r="C5130" t="str">
            <v>JUMLAH S/D TANGGAL</v>
          </cell>
          <cell r="F5130">
            <v>514639652</v>
          </cell>
          <cell r="G5130">
            <v>490780936</v>
          </cell>
        </row>
        <row r="5131">
          <cell r="C5131" t="str">
            <v>TOTAL</v>
          </cell>
          <cell r="F5131">
            <v>514639652</v>
          </cell>
          <cell r="G5131">
            <v>490780936</v>
          </cell>
        </row>
        <row r="5133">
          <cell r="C5133" t="str">
            <v>SISA</v>
          </cell>
          <cell r="D5133">
            <v>23858716</v>
          </cell>
        </row>
        <row r="5135">
          <cell r="A5135" t="str">
            <v>KODE BANTU</v>
          </cell>
          <cell r="B5135" t="str">
            <v>NO</v>
          </cell>
          <cell r="C5135" t="str">
            <v>OKTOBER</v>
          </cell>
          <cell r="D5135" t="str">
            <v>URAIAN</v>
          </cell>
          <cell r="E5135" t="str">
            <v>KODE ANGGARAN</v>
          </cell>
          <cell r="F5135" t="str">
            <v>PENERIMAAN</v>
          </cell>
          <cell r="G5135" t="str">
            <v>PENGELUARAN</v>
          </cell>
        </row>
        <row r="5136">
          <cell r="A5136" t="str">
            <v>0</v>
          </cell>
        </row>
        <row r="5137">
          <cell r="A5137" t="str">
            <v>0</v>
          </cell>
        </row>
        <row r="5138">
          <cell r="A5138" t="str">
            <v>0</v>
          </cell>
        </row>
        <row r="5139">
          <cell r="A5139" t="str">
            <v>0</v>
          </cell>
        </row>
        <row r="5140">
          <cell r="A5140" t="str">
            <v>0</v>
          </cell>
        </row>
        <row r="5141">
          <cell r="A5141" t="str">
            <v>0</v>
          </cell>
        </row>
        <row r="5142">
          <cell r="A5142" t="str">
            <v>0</v>
          </cell>
        </row>
        <row r="5143">
          <cell r="A5143" t="str">
            <v>0</v>
          </cell>
        </row>
        <row r="5144">
          <cell r="A5144" t="str">
            <v>0</v>
          </cell>
        </row>
        <row r="5145">
          <cell r="A5145" t="str">
            <v>0</v>
          </cell>
        </row>
        <row r="5146">
          <cell r="A5146" t="str">
            <v>0</v>
          </cell>
        </row>
        <row r="5147">
          <cell r="A5147" t="str">
            <v>0</v>
          </cell>
        </row>
        <row r="5148">
          <cell r="A5148" t="str">
            <v>0</v>
          </cell>
        </row>
        <row r="5149">
          <cell r="A5149" t="str">
            <v>0</v>
          </cell>
        </row>
        <row r="5150">
          <cell r="A5150" t="str">
            <v>0</v>
          </cell>
        </row>
        <row r="5151">
          <cell r="A5151" t="str">
            <v>0</v>
          </cell>
        </row>
        <row r="5152">
          <cell r="A5152" t="str">
            <v>0</v>
          </cell>
        </row>
        <row r="5153">
          <cell r="A5153" t="str">
            <v>0</v>
          </cell>
        </row>
        <row r="5154">
          <cell r="A5154" t="str">
            <v>0</v>
          </cell>
        </row>
        <row r="5155">
          <cell r="A5155" t="str">
            <v>0</v>
          </cell>
        </row>
        <row r="5156">
          <cell r="A5156" t="str">
            <v>0</v>
          </cell>
        </row>
        <row r="5157">
          <cell r="A5157" t="str">
            <v>0</v>
          </cell>
        </row>
        <row r="5158">
          <cell r="A5158" t="str">
            <v>0</v>
          </cell>
        </row>
        <row r="5159">
          <cell r="A5159" t="str">
            <v>0</v>
          </cell>
        </row>
        <row r="5160">
          <cell r="A5160" t="str">
            <v>0</v>
          </cell>
        </row>
        <row r="5162">
          <cell r="C5162" t="str">
            <v>JUMLAH TANGGAL</v>
          </cell>
          <cell r="F5162">
            <v>0</v>
          </cell>
          <cell r="G5162">
            <v>0</v>
          </cell>
        </row>
        <row r="5163">
          <cell r="C5163" t="str">
            <v>HARI INI</v>
          </cell>
        </row>
        <row r="5164">
          <cell r="C5164" t="str">
            <v>JUMLAH S/D TANGGAL</v>
          </cell>
          <cell r="F5164">
            <v>514639652</v>
          </cell>
          <cell r="G5164">
            <v>490780936</v>
          </cell>
        </row>
        <row r="5165">
          <cell r="C5165" t="str">
            <v>TOTAL</v>
          </cell>
          <cell r="F5165">
            <v>514639652</v>
          </cell>
          <cell r="G5165">
            <v>490780936</v>
          </cell>
        </row>
        <row r="5167">
          <cell r="C5167" t="str">
            <v>SISA</v>
          </cell>
          <cell r="D5167">
            <v>23858716</v>
          </cell>
        </row>
        <row r="5169">
          <cell r="A5169" t="str">
            <v>KODE BANTU</v>
          </cell>
          <cell r="B5169" t="str">
            <v>NO</v>
          </cell>
          <cell r="C5169" t="str">
            <v>OKTOBER</v>
          </cell>
          <cell r="D5169" t="str">
            <v>URAIAN</v>
          </cell>
          <cell r="E5169" t="str">
            <v>KODE ANGGARAN</v>
          </cell>
          <cell r="F5169" t="str">
            <v>PENERIMAAN</v>
          </cell>
          <cell r="G5169" t="str">
            <v>PENGELUARAN</v>
          </cell>
        </row>
        <row r="5170">
          <cell r="A5170" t="str">
            <v>0</v>
          </cell>
        </row>
        <row r="5171">
          <cell r="A5171" t="str">
            <v>0</v>
          </cell>
        </row>
        <row r="5172">
          <cell r="A5172" t="str">
            <v>0</v>
          </cell>
        </row>
        <row r="5173">
          <cell r="A5173" t="str">
            <v>0</v>
          </cell>
        </row>
        <row r="5174">
          <cell r="A5174" t="str">
            <v>0</v>
          </cell>
        </row>
        <row r="5175">
          <cell r="A5175" t="str">
            <v>0</v>
          </cell>
        </row>
        <row r="5176">
          <cell r="A5176" t="str">
            <v>0</v>
          </cell>
        </row>
        <row r="5177">
          <cell r="A5177" t="str">
            <v>0</v>
          </cell>
        </row>
        <row r="5178">
          <cell r="A5178" t="str">
            <v>0</v>
          </cell>
        </row>
        <row r="5179">
          <cell r="A5179" t="str">
            <v>0</v>
          </cell>
        </row>
        <row r="5180">
          <cell r="A5180" t="str">
            <v>0</v>
          </cell>
        </row>
        <row r="5181">
          <cell r="A5181" t="str">
            <v>0</v>
          </cell>
        </row>
        <row r="5182">
          <cell r="A5182" t="str">
            <v>0</v>
          </cell>
        </row>
        <row r="5183">
          <cell r="A5183" t="str">
            <v>0</v>
          </cell>
        </row>
        <row r="5184">
          <cell r="A5184" t="str">
            <v>0</v>
          </cell>
        </row>
        <row r="5185">
          <cell r="A5185" t="str">
            <v>0</v>
          </cell>
        </row>
        <row r="5186">
          <cell r="A5186" t="str">
            <v>0</v>
          </cell>
        </row>
        <row r="5187">
          <cell r="A5187" t="str">
            <v>0</v>
          </cell>
        </row>
        <row r="5188">
          <cell r="A5188" t="str">
            <v>0</v>
          </cell>
        </row>
        <row r="5189">
          <cell r="A5189" t="str">
            <v>0</v>
          </cell>
        </row>
        <row r="5190">
          <cell r="A5190" t="str">
            <v>0</v>
          </cell>
        </row>
        <row r="5191">
          <cell r="A5191" t="str">
            <v>0</v>
          </cell>
        </row>
        <row r="5192">
          <cell r="A5192" t="str">
            <v>0</v>
          </cell>
        </row>
        <row r="5193">
          <cell r="A5193" t="str">
            <v>0</v>
          </cell>
        </row>
        <row r="5194">
          <cell r="A5194" t="str">
            <v>0</v>
          </cell>
        </row>
        <row r="5196">
          <cell r="C5196" t="str">
            <v>JUMLAH TANGGAL</v>
          </cell>
          <cell r="F5196">
            <v>0</v>
          </cell>
          <cell r="G5196">
            <v>0</v>
          </cell>
        </row>
        <row r="5197">
          <cell r="C5197" t="str">
            <v>HARI INI</v>
          </cell>
        </row>
        <row r="5198">
          <cell r="C5198" t="str">
            <v>JUMLAH S/D TANGGAL</v>
          </cell>
          <cell r="F5198">
            <v>514639652</v>
          </cell>
          <cell r="G5198">
            <v>490780936</v>
          </cell>
        </row>
        <row r="5199">
          <cell r="C5199" t="str">
            <v>TOTAL</v>
          </cell>
          <cell r="F5199">
            <v>514639652</v>
          </cell>
          <cell r="G5199">
            <v>490780936</v>
          </cell>
        </row>
        <row r="5201">
          <cell r="C5201" t="str">
            <v>SISA</v>
          </cell>
          <cell r="D5201">
            <v>23858716</v>
          </cell>
        </row>
        <row r="5203">
          <cell r="A5203" t="str">
            <v>KODE BANTU</v>
          </cell>
          <cell r="B5203" t="str">
            <v>NO</v>
          </cell>
          <cell r="C5203" t="str">
            <v>OKTOBER</v>
          </cell>
          <cell r="D5203" t="str">
            <v>URAIAN</v>
          </cell>
          <cell r="E5203" t="str">
            <v>KODE ANGGARAN</v>
          </cell>
          <cell r="F5203" t="str">
            <v>PENERIMAAN</v>
          </cell>
          <cell r="G5203" t="str">
            <v>PENGELUARAN</v>
          </cell>
        </row>
        <row r="5204">
          <cell r="A5204" t="str">
            <v>0</v>
          </cell>
        </row>
        <row r="5205">
          <cell r="A5205" t="str">
            <v>0</v>
          </cell>
        </row>
        <row r="5206">
          <cell r="A5206" t="str">
            <v>0</v>
          </cell>
        </row>
        <row r="5207">
          <cell r="A5207" t="str">
            <v>0</v>
          </cell>
        </row>
        <row r="5208">
          <cell r="A5208" t="str">
            <v>0</v>
          </cell>
        </row>
        <row r="5209">
          <cell r="A5209" t="str">
            <v>0</v>
          </cell>
        </row>
        <row r="5210">
          <cell r="A5210" t="str">
            <v>0</v>
          </cell>
        </row>
        <row r="5211">
          <cell r="A5211" t="str">
            <v>0</v>
          </cell>
        </row>
        <row r="5212">
          <cell r="A5212" t="str">
            <v>0</v>
          </cell>
        </row>
        <row r="5213">
          <cell r="A5213" t="str">
            <v>0</v>
          </cell>
        </row>
        <row r="5214">
          <cell r="A5214" t="str">
            <v>0</v>
          </cell>
        </row>
        <row r="5215">
          <cell r="A5215" t="str">
            <v>0</v>
          </cell>
        </row>
        <row r="5216">
          <cell r="A5216" t="str">
            <v>0</v>
          </cell>
        </row>
        <row r="5217">
          <cell r="A5217" t="str">
            <v>0</v>
          </cell>
        </row>
        <row r="5218">
          <cell r="A5218" t="str">
            <v>0</v>
          </cell>
        </row>
        <row r="5219">
          <cell r="A5219" t="str">
            <v>0</v>
          </cell>
        </row>
        <row r="5220">
          <cell r="A5220" t="str">
            <v>0</v>
          </cell>
        </row>
        <row r="5221">
          <cell r="A5221" t="str">
            <v>0</v>
          </cell>
        </row>
        <row r="5222">
          <cell r="A5222" t="str">
            <v>0</v>
          </cell>
        </row>
        <row r="5223">
          <cell r="A5223" t="str">
            <v>0</v>
          </cell>
        </row>
        <row r="5224">
          <cell r="A5224" t="str">
            <v>0</v>
          </cell>
        </row>
        <row r="5225">
          <cell r="A5225" t="str">
            <v>0</v>
          </cell>
        </row>
        <row r="5226">
          <cell r="A5226" t="str">
            <v>0</v>
          </cell>
        </row>
        <row r="5227">
          <cell r="A5227" t="str">
            <v>0</v>
          </cell>
        </row>
        <row r="5228">
          <cell r="A5228" t="str">
            <v>0</v>
          </cell>
        </row>
        <row r="5230">
          <cell r="C5230" t="str">
            <v>JUMLAH TANGGAL</v>
          </cell>
          <cell r="F5230">
            <v>0</v>
          </cell>
          <cell r="G5230">
            <v>0</v>
          </cell>
        </row>
        <row r="5231">
          <cell r="C5231" t="str">
            <v>HARI INI</v>
          </cell>
        </row>
        <row r="5232">
          <cell r="C5232" t="str">
            <v>JUMLAH S/D TANGGAL</v>
          </cell>
          <cell r="F5232">
            <v>514639652</v>
          </cell>
          <cell r="G5232">
            <v>490780936</v>
          </cell>
        </row>
        <row r="5233">
          <cell r="C5233" t="str">
            <v>TOTAL</v>
          </cell>
          <cell r="F5233">
            <v>514639652</v>
          </cell>
          <cell r="G5233">
            <v>490780936</v>
          </cell>
        </row>
        <row r="5235">
          <cell r="C5235" t="str">
            <v>SISA</v>
          </cell>
          <cell r="D5235">
            <v>23858716</v>
          </cell>
        </row>
        <row r="5237">
          <cell r="A5237" t="str">
            <v>KODE BANTU</v>
          </cell>
          <cell r="B5237" t="str">
            <v>NO</v>
          </cell>
          <cell r="C5237" t="str">
            <v>OKTOBER</v>
          </cell>
          <cell r="D5237" t="str">
            <v>URAIAN</v>
          </cell>
          <cell r="E5237" t="str">
            <v>KODE ANGGARAN</v>
          </cell>
          <cell r="F5237" t="str">
            <v>PENERIMAAN</v>
          </cell>
          <cell r="G5237" t="str">
            <v>PENGELUARAN</v>
          </cell>
        </row>
        <row r="5238">
          <cell r="A5238" t="str">
            <v>0</v>
          </cell>
        </row>
        <row r="5239">
          <cell r="A5239" t="str">
            <v>0</v>
          </cell>
        </row>
        <row r="5240">
          <cell r="A5240" t="str">
            <v>0</v>
          </cell>
        </row>
        <row r="5241">
          <cell r="A5241" t="str">
            <v>0</v>
          </cell>
        </row>
        <row r="5242">
          <cell r="A5242" t="str">
            <v>0</v>
          </cell>
        </row>
        <row r="5243">
          <cell r="A5243" t="str">
            <v>0</v>
          </cell>
        </row>
        <row r="5244">
          <cell r="A5244" t="str">
            <v>0</v>
          </cell>
        </row>
        <row r="5245">
          <cell r="A5245" t="str">
            <v>0</v>
          </cell>
        </row>
        <row r="5246">
          <cell r="A5246" t="str">
            <v>0</v>
          </cell>
        </row>
        <row r="5247">
          <cell r="A5247" t="str">
            <v>0</v>
          </cell>
        </row>
        <row r="5248">
          <cell r="A5248" t="str">
            <v>0</v>
          </cell>
        </row>
        <row r="5249">
          <cell r="A5249" t="str">
            <v>0</v>
          </cell>
        </row>
        <row r="5250">
          <cell r="A5250" t="str">
            <v>0</v>
          </cell>
        </row>
        <row r="5251">
          <cell r="A5251" t="str">
            <v>0</v>
          </cell>
        </row>
        <row r="5252">
          <cell r="A5252" t="str">
            <v>0</v>
          </cell>
        </row>
        <row r="5253">
          <cell r="A5253" t="str">
            <v>0</v>
          </cell>
        </row>
        <row r="5254">
          <cell r="A5254" t="str">
            <v>0</v>
          </cell>
        </row>
        <row r="5255">
          <cell r="A5255" t="str">
            <v>0</v>
          </cell>
        </row>
        <row r="5256">
          <cell r="A5256" t="str">
            <v>0</v>
          </cell>
        </row>
        <row r="5257">
          <cell r="A5257" t="str">
            <v>0</v>
          </cell>
        </row>
        <row r="5258">
          <cell r="A5258" t="str">
            <v>0</v>
          </cell>
        </row>
        <row r="5259">
          <cell r="A5259" t="str">
            <v>0</v>
          </cell>
        </row>
        <row r="5260">
          <cell r="A5260" t="str">
            <v>0</v>
          </cell>
        </row>
        <row r="5261">
          <cell r="A5261" t="str">
            <v>0</v>
          </cell>
        </row>
        <row r="5262">
          <cell r="A5262" t="str">
            <v>0</v>
          </cell>
        </row>
        <row r="5264">
          <cell r="C5264" t="str">
            <v>JUMLAH TANGGAL</v>
          </cell>
          <cell r="F5264">
            <v>0</v>
          </cell>
          <cell r="G5264">
            <v>0</v>
          </cell>
        </row>
        <row r="5265">
          <cell r="C5265" t="str">
            <v>HARI INI</v>
          </cell>
        </row>
        <row r="5266">
          <cell r="C5266" t="str">
            <v>JUMLAH S/D TANGGAL</v>
          </cell>
          <cell r="F5266">
            <v>514639652</v>
          </cell>
          <cell r="G5266">
            <v>490780936</v>
          </cell>
        </row>
        <row r="5267">
          <cell r="C5267" t="str">
            <v>TOTAL</v>
          </cell>
          <cell r="F5267">
            <v>514639652</v>
          </cell>
          <cell r="G5267">
            <v>490780936</v>
          </cell>
        </row>
        <row r="5269">
          <cell r="C5269" t="str">
            <v>SISA</v>
          </cell>
          <cell r="D5269">
            <v>23858716</v>
          </cell>
        </row>
        <row r="5271">
          <cell r="A5271" t="str">
            <v>KODE BANTU</v>
          </cell>
          <cell r="B5271" t="str">
            <v>NO</v>
          </cell>
          <cell r="C5271" t="str">
            <v>OKTOBER</v>
          </cell>
          <cell r="D5271" t="str">
            <v>URAIAN</v>
          </cell>
          <cell r="E5271" t="str">
            <v>KODE ANGGARAN</v>
          </cell>
          <cell r="F5271" t="str">
            <v>PENERIMAAN</v>
          </cell>
          <cell r="G5271" t="str">
            <v>PENGELUARAN</v>
          </cell>
        </row>
        <row r="5272">
          <cell r="A5272" t="str">
            <v>0</v>
          </cell>
        </row>
        <row r="5273">
          <cell r="A5273" t="str">
            <v>0</v>
          </cell>
        </row>
        <row r="5274">
          <cell r="A5274" t="str">
            <v>0</v>
          </cell>
        </row>
        <row r="5275">
          <cell r="A5275" t="str">
            <v>0</v>
          </cell>
        </row>
        <row r="5276">
          <cell r="A5276" t="str">
            <v>0</v>
          </cell>
        </row>
        <row r="5277">
          <cell r="A5277" t="str">
            <v>0</v>
          </cell>
        </row>
        <row r="5278">
          <cell r="A5278" t="str">
            <v>0</v>
          </cell>
        </row>
        <row r="5279">
          <cell r="A5279" t="str">
            <v>0</v>
          </cell>
        </row>
        <row r="5280">
          <cell r="A5280" t="str">
            <v>0</v>
          </cell>
        </row>
        <row r="5281">
          <cell r="A5281" t="str">
            <v>0</v>
          </cell>
        </row>
        <row r="5282">
          <cell r="A5282" t="str">
            <v>0</v>
          </cell>
        </row>
        <row r="5283">
          <cell r="A5283" t="str">
            <v>0</v>
          </cell>
        </row>
        <row r="5284">
          <cell r="A5284" t="str">
            <v>0</v>
          </cell>
        </row>
        <row r="5285">
          <cell r="A5285" t="str">
            <v>0</v>
          </cell>
        </row>
        <row r="5286">
          <cell r="A5286" t="str">
            <v>0</v>
          </cell>
        </row>
        <row r="5287">
          <cell r="A5287" t="str">
            <v>0</v>
          </cell>
        </row>
        <row r="5288">
          <cell r="A5288" t="str">
            <v>0</v>
          </cell>
        </row>
        <row r="5289">
          <cell r="A5289" t="str">
            <v>0</v>
          </cell>
        </row>
        <row r="5290">
          <cell r="A5290" t="str">
            <v>0</v>
          </cell>
        </row>
        <row r="5291">
          <cell r="A5291" t="str">
            <v>0</v>
          </cell>
        </row>
        <row r="5292">
          <cell r="A5292" t="str">
            <v>0</v>
          </cell>
        </row>
        <row r="5293">
          <cell r="A5293" t="str">
            <v>0</v>
          </cell>
        </row>
        <row r="5294">
          <cell r="A5294" t="str">
            <v>0</v>
          </cell>
        </row>
        <row r="5295">
          <cell r="A5295" t="str">
            <v>0</v>
          </cell>
        </row>
        <row r="5296">
          <cell r="A5296" t="str">
            <v>0</v>
          </cell>
        </row>
        <row r="5298">
          <cell r="C5298" t="str">
            <v>JUMLAH TANGGAL</v>
          </cell>
          <cell r="F5298">
            <v>0</v>
          </cell>
          <cell r="G5298">
            <v>0</v>
          </cell>
        </row>
        <row r="5299">
          <cell r="C5299" t="str">
            <v>HARI INI</v>
          </cell>
        </row>
        <row r="5300">
          <cell r="C5300" t="str">
            <v>JUMLAH S/D TANGGAL</v>
          </cell>
          <cell r="F5300">
            <v>514639652</v>
          </cell>
          <cell r="G5300">
            <v>490780936</v>
          </cell>
        </row>
        <row r="5301">
          <cell r="C5301" t="str">
            <v>TOTAL</v>
          </cell>
          <cell r="F5301">
            <v>514639652</v>
          </cell>
          <cell r="G5301">
            <v>490780936</v>
          </cell>
        </row>
        <row r="5303">
          <cell r="C5303" t="str">
            <v>SISA</v>
          </cell>
          <cell r="D5303">
            <v>23858716</v>
          </cell>
        </row>
        <row r="5305">
          <cell r="A5305" t="str">
            <v>KODE BANTU</v>
          </cell>
          <cell r="B5305" t="str">
            <v>NO</v>
          </cell>
          <cell r="C5305" t="str">
            <v>OKTOBER</v>
          </cell>
          <cell r="D5305" t="str">
            <v>URAIAN</v>
          </cell>
          <cell r="E5305" t="str">
            <v>KODE ANGGARAN</v>
          </cell>
          <cell r="F5305" t="str">
            <v>PENERIMAAN</v>
          </cell>
          <cell r="G5305" t="str">
            <v>PENGELUARAN</v>
          </cell>
        </row>
        <row r="5306">
          <cell r="A5306" t="str">
            <v>0</v>
          </cell>
        </row>
        <row r="5307">
          <cell r="A5307" t="str">
            <v>0</v>
          </cell>
        </row>
        <row r="5308">
          <cell r="A5308" t="str">
            <v>0</v>
          </cell>
        </row>
        <row r="5309">
          <cell r="A5309" t="str">
            <v>0</v>
          </cell>
        </row>
        <row r="5310">
          <cell r="A5310" t="str">
            <v>0</v>
          </cell>
        </row>
        <row r="5311">
          <cell r="A5311" t="str">
            <v>0</v>
          </cell>
        </row>
        <row r="5312">
          <cell r="A5312" t="str">
            <v>0</v>
          </cell>
        </row>
        <row r="5313">
          <cell r="A5313" t="str">
            <v>0</v>
          </cell>
        </row>
        <row r="5314">
          <cell r="A5314" t="str">
            <v>0</v>
          </cell>
        </row>
        <row r="5315">
          <cell r="A5315" t="str">
            <v>0</v>
          </cell>
        </row>
        <row r="5316">
          <cell r="A5316" t="str">
            <v>0</v>
          </cell>
        </row>
        <row r="5317">
          <cell r="A5317" t="str">
            <v>0</v>
          </cell>
        </row>
        <row r="5318">
          <cell r="A5318" t="str">
            <v>0</v>
          </cell>
        </row>
        <row r="5319">
          <cell r="A5319" t="str">
            <v>0</v>
          </cell>
        </row>
        <row r="5320">
          <cell r="A5320" t="str">
            <v>0</v>
          </cell>
        </row>
        <row r="5321">
          <cell r="A5321" t="str">
            <v>0</v>
          </cell>
        </row>
        <row r="5322">
          <cell r="A5322" t="str">
            <v>0</v>
          </cell>
        </row>
        <row r="5323">
          <cell r="A5323" t="str">
            <v>0</v>
          </cell>
        </row>
        <row r="5324">
          <cell r="A5324" t="str">
            <v>0</v>
          </cell>
        </row>
        <row r="5325">
          <cell r="A5325" t="str">
            <v>0</v>
          </cell>
        </row>
        <row r="5326">
          <cell r="A5326" t="str">
            <v>0</v>
          </cell>
        </row>
        <row r="5327">
          <cell r="A5327" t="str">
            <v>0</v>
          </cell>
        </row>
        <row r="5328">
          <cell r="A5328" t="str">
            <v>0</v>
          </cell>
        </row>
        <row r="5329">
          <cell r="A5329" t="str">
            <v>0</v>
          </cell>
        </row>
        <row r="5330">
          <cell r="A5330" t="str">
            <v>0</v>
          </cell>
        </row>
        <row r="5332">
          <cell r="C5332" t="str">
            <v>JUMLAH TANGGAL</v>
          </cell>
          <cell r="F5332">
            <v>0</v>
          </cell>
          <cell r="G5332">
            <v>0</v>
          </cell>
        </row>
        <row r="5333">
          <cell r="C5333" t="str">
            <v>HARI INI</v>
          </cell>
        </row>
        <row r="5334">
          <cell r="C5334" t="str">
            <v>JUMLAH S/D TANGGAL</v>
          </cell>
          <cell r="F5334">
            <v>514639652</v>
          </cell>
          <cell r="G5334">
            <v>490780936</v>
          </cell>
        </row>
        <row r="5335">
          <cell r="C5335" t="str">
            <v>TOTAL</v>
          </cell>
          <cell r="F5335">
            <v>514639652</v>
          </cell>
          <cell r="G5335">
            <v>490780936</v>
          </cell>
        </row>
        <row r="5337">
          <cell r="C5337" t="str">
            <v>SISA</v>
          </cell>
          <cell r="D5337">
            <v>23858716</v>
          </cell>
        </row>
        <row r="5339">
          <cell r="A5339" t="str">
            <v>KODE BANTU</v>
          </cell>
          <cell r="B5339" t="str">
            <v>NO</v>
          </cell>
          <cell r="C5339" t="str">
            <v>OKTOBER</v>
          </cell>
          <cell r="D5339" t="str">
            <v>URAIAN</v>
          </cell>
          <cell r="E5339" t="str">
            <v>KODE ANGGARAN</v>
          </cell>
          <cell r="F5339" t="str">
            <v>PENERIMAAN</v>
          </cell>
          <cell r="G5339" t="str">
            <v>PENGELUARAN</v>
          </cell>
        </row>
        <row r="5340">
          <cell r="A5340" t="str">
            <v>0</v>
          </cell>
        </row>
        <row r="5341">
          <cell r="A5341" t="str">
            <v>0</v>
          </cell>
        </row>
        <row r="5342">
          <cell r="A5342" t="str">
            <v>0</v>
          </cell>
        </row>
        <row r="5343">
          <cell r="A5343" t="str">
            <v>0</v>
          </cell>
        </row>
        <row r="5344">
          <cell r="A5344" t="str">
            <v>0</v>
          </cell>
        </row>
        <row r="5345">
          <cell r="A5345" t="str">
            <v>0</v>
          </cell>
        </row>
        <row r="5346">
          <cell r="A5346" t="str">
            <v>0</v>
          </cell>
        </row>
        <row r="5347">
          <cell r="A5347" t="str">
            <v>0</v>
          </cell>
        </row>
        <row r="5348">
          <cell r="A5348" t="str">
            <v>0</v>
          </cell>
        </row>
        <row r="5349">
          <cell r="A5349" t="str">
            <v>0</v>
          </cell>
        </row>
        <row r="5350">
          <cell r="A5350" t="str">
            <v>0</v>
          </cell>
        </row>
        <row r="5351">
          <cell r="A5351" t="str">
            <v>0</v>
          </cell>
        </row>
        <row r="5352">
          <cell r="A5352" t="str">
            <v>0</v>
          </cell>
        </row>
        <row r="5353">
          <cell r="A5353" t="str">
            <v>0</v>
          </cell>
        </row>
        <row r="5354">
          <cell r="A5354" t="str">
            <v>0</v>
          </cell>
        </row>
        <row r="5355">
          <cell r="A5355" t="str">
            <v>0</v>
          </cell>
        </row>
        <row r="5356">
          <cell r="A5356" t="str">
            <v>0</v>
          </cell>
        </row>
        <row r="5357">
          <cell r="A5357" t="str">
            <v>0</v>
          </cell>
        </row>
        <row r="5358">
          <cell r="A5358" t="str">
            <v>0</v>
          </cell>
        </row>
        <row r="5359">
          <cell r="A5359" t="str">
            <v>0</v>
          </cell>
        </row>
        <row r="5360">
          <cell r="A5360" t="str">
            <v>0</v>
          </cell>
        </row>
        <row r="5361">
          <cell r="A5361" t="str">
            <v>0</v>
          </cell>
        </row>
        <row r="5362">
          <cell r="A5362" t="str">
            <v>0</v>
          </cell>
        </row>
        <row r="5363">
          <cell r="A5363" t="str">
            <v>0</v>
          </cell>
        </row>
        <row r="5364">
          <cell r="A5364" t="str">
            <v>0</v>
          </cell>
        </row>
        <row r="5366">
          <cell r="C5366" t="str">
            <v>JUMLAH TANGGAL</v>
          </cell>
          <cell r="F5366">
            <v>0</v>
          </cell>
          <cell r="G5366">
            <v>0</v>
          </cell>
        </row>
        <row r="5367">
          <cell r="C5367" t="str">
            <v>HARI INI</v>
          </cell>
        </row>
        <row r="5368">
          <cell r="C5368" t="str">
            <v>JUMLAH S/D TANGGAL</v>
          </cell>
          <cell r="F5368">
            <v>514639652</v>
          </cell>
          <cell r="G5368">
            <v>490780936</v>
          </cell>
        </row>
        <row r="5369">
          <cell r="C5369" t="str">
            <v>TOTAL</v>
          </cell>
          <cell r="F5369">
            <v>514639652</v>
          </cell>
          <cell r="G5369">
            <v>490780936</v>
          </cell>
        </row>
        <row r="5371">
          <cell r="C5371" t="str">
            <v>SISA</v>
          </cell>
          <cell r="D5371">
            <v>23858716</v>
          </cell>
        </row>
        <row r="5373">
          <cell r="A5373" t="str">
            <v>KODE BANTU</v>
          </cell>
          <cell r="B5373" t="str">
            <v>NO</v>
          </cell>
          <cell r="C5373" t="str">
            <v>OKTOBER</v>
          </cell>
          <cell r="D5373" t="str">
            <v>URAIAN</v>
          </cell>
          <cell r="E5373" t="str">
            <v>KODE ANGGARAN</v>
          </cell>
          <cell r="F5373" t="str">
            <v>PENERIMAAN</v>
          </cell>
          <cell r="G5373" t="str">
            <v>PENGELUARAN</v>
          </cell>
        </row>
        <row r="5374">
          <cell r="A5374" t="str">
            <v>0</v>
          </cell>
        </row>
        <row r="5375">
          <cell r="A5375" t="str">
            <v>0</v>
          </cell>
        </row>
        <row r="5376">
          <cell r="A5376" t="str">
            <v>0</v>
          </cell>
        </row>
        <row r="5377">
          <cell r="A5377" t="str">
            <v>0</v>
          </cell>
        </row>
        <row r="5378">
          <cell r="A5378" t="str">
            <v>0</v>
          </cell>
        </row>
        <row r="5379">
          <cell r="A5379" t="str">
            <v>0</v>
          </cell>
        </row>
        <row r="5380">
          <cell r="A5380" t="str">
            <v>0</v>
          </cell>
        </row>
        <row r="5381">
          <cell r="A5381" t="str">
            <v>0</v>
          </cell>
        </row>
        <row r="5382">
          <cell r="A5382" t="str">
            <v>0</v>
          </cell>
        </row>
        <row r="5383">
          <cell r="A5383" t="str">
            <v>0</v>
          </cell>
        </row>
        <row r="5384">
          <cell r="A5384" t="str">
            <v>0</v>
          </cell>
        </row>
        <row r="5385">
          <cell r="A5385" t="str">
            <v>0</v>
          </cell>
        </row>
        <row r="5386">
          <cell r="A5386" t="str">
            <v>0</v>
          </cell>
        </row>
        <row r="5387">
          <cell r="A5387" t="str">
            <v>0</v>
          </cell>
        </row>
        <row r="5388">
          <cell r="A5388" t="str">
            <v>0</v>
          </cell>
        </row>
        <row r="5389">
          <cell r="A5389" t="str">
            <v>0</v>
          </cell>
        </row>
        <row r="5390">
          <cell r="A5390" t="str">
            <v>0</v>
          </cell>
        </row>
        <row r="5391">
          <cell r="A5391" t="str">
            <v>0</v>
          </cell>
        </row>
        <row r="5392">
          <cell r="A5392" t="str">
            <v>0</v>
          </cell>
        </row>
        <row r="5393">
          <cell r="A5393" t="str">
            <v>0</v>
          </cell>
        </row>
        <row r="5394">
          <cell r="A5394" t="str">
            <v>0</v>
          </cell>
        </row>
        <row r="5395">
          <cell r="A5395" t="str">
            <v>0</v>
          </cell>
        </row>
        <row r="5396">
          <cell r="A5396" t="str">
            <v>0</v>
          </cell>
        </row>
        <row r="5397">
          <cell r="A5397" t="str">
            <v>0</v>
          </cell>
        </row>
        <row r="5398">
          <cell r="A5398" t="str">
            <v>0</v>
          </cell>
        </row>
        <row r="5400">
          <cell r="C5400" t="str">
            <v>JUMLAH TANGGAL</v>
          </cell>
          <cell r="F5400">
            <v>0</v>
          </cell>
          <cell r="G5400">
            <v>0</v>
          </cell>
        </row>
        <row r="5401">
          <cell r="C5401" t="str">
            <v>HARI INI</v>
          </cell>
        </row>
        <row r="5402">
          <cell r="C5402" t="str">
            <v>JUMLAH S/D TANGGAL</v>
          </cell>
          <cell r="F5402">
            <v>514639652</v>
          </cell>
          <cell r="G5402">
            <v>490780936</v>
          </cell>
        </row>
        <row r="5403">
          <cell r="C5403" t="str">
            <v>TOTAL</v>
          </cell>
          <cell r="F5403">
            <v>514639652</v>
          </cell>
          <cell r="G5403">
            <v>490780936</v>
          </cell>
        </row>
        <row r="5405">
          <cell r="C5405" t="str">
            <v>SISA</v>
          </cell>
          <cell r="D5405">
            <v>23858716</v>
          </cell>
        </row>
        <row r="5407">
          <cell r="A5407" t="str">
            <v>KODE BANTU</v>
          </cell>
          <cell r="B5407" t="str">
            <v>NO</v>
          </cell>
          <cell r="C5407" t="str">
            <v>OKTOBER</v>
          </cell>
          <cell r="D5407" t="str">
            <v>URAIAN</v>
          </cell>
          <cell r="E5407" t="str">
            <v>KODE ANGGARAN</v>
          </cell>
          <cell r="F5407" t="str">
            <v>PENERIMAAN</v>
          </cell>
          <cell r="G5407" t="str">
            <v>PENGELUARAN</v>
          </cell>
        </row>
        <row r="5408">
          <cell r="A5408" t="str">
            <v>0</v>
          </cell>
        </row>
        <row r="5409">
          <cell r="A5409" t="str">
            <v>0</v>
          </cell>
        </row>
        <row r="5410">
          <cell r="A5410" t="str">
            <v>0</v>
          </cell>
        </row>
        <row r="5411">
          <cell r="A5411" t="str">
            <v>0</v>
          </cell>
        </row>
        <row r="5412">
          <cell r="A5412" t="str">
            <v>0</v>
          </cell>
        </row>
        <row r="5413">
          <cell r="A5413" t="str">
            <v>0</v>
          </cell>
        </row>
        <row r="5414">
          <cell r="A5414" t="str">
            <v>0</v>
          </cell>
        </row>
        <row r="5415">
          <cell r="A5415" t="str">
            <v>0</v>
          </cell>
        </row>
        <row r="5416">
          <cell r="A5416" t="str">
            <v>0</v>
          </cell>
        </row>
        <row r="5417">
          <cell r="A5417" t="str">
            <v>0</v>
          </cell>
        </row>
        <row r="5418">
          <cell r="A5418" t="str">
            <v>0</v>
          </cell>
        </row>
        <row r="5419">
          <cell r="A5419" t="str">
            <v>0</v>
          </cell>
        </row>
        <row r="5420">
          <cell r="A5420" t="str">
            <v>0</v>
          </cell>
        </row>
        <row r="5421">
          <cell r="A5421" t="str">
            <v>0</v>
          </cell>
        </row>
        <row r="5422">
          <cell r="A5422" t="str">
            <v>0</v>
          </cell>
        </row>
        <row r="5423">
          <cell r="A5423" t="str">
            <v>0</v>
          </cell>
        </row>
        <row r="5424">
          <cell r="A5424" t="str">
            <v>0</v>
          </cell>
        </row>
        <row r="5425">
          <cell r="A5425" t="str">
            <v>0</v>
          </cell>
        </row>
        <row r="5426">
          <cell r="A5426" t="str">
            <v>0</v>
          </cell>
        </row>
        <row r="5427">
          <cell r="A5427" t="str">
            <v>0</v>
          </cell>
        </row>
        <row r="5428">
          <cell r="A5428" t="str">
            <v>0</v>
          </cell>
        </row>
        <row r="5429">
          <cell r="A5429" t="str">
            <v>0</v>
          </cell>
        </row>
        <row r="5430">
          <cell r="A5430" t="str">
            <v>0</v>
          </cell>
        </row>
        <row r="5431">
          <cell r="A5431" t="str">
            <v>0</v>
          </cell>
        </row>
        <row r="5432">
          <cell r="A5432" t="str">
            <v>0</v>
          </cell>
        </row>
        <row r="5434">
          <cell r="C5434" t="str">
            <v>JUMLAH TANGGAL</v>
          </cell>
          <cell r="F5434">
            <v>0</v>
          </cell>
          <cell r="G5434">
            <v>0</v>
          </cell>
        </row>
        <row r="5435">
          <cell r="C5435" t="str">
            <v>HARI INI</v>
          </cell>
        </row>
        <row r="5436">
          <cell r="C5436" t="str">
            <v>JUMLAH S/D TANGGAL</v>
          </cell>
          <cell r="F5436">
            <v>514639652</v>
          </cell>
          <cell r="G5436">
            <v>490780936</v>
          </cell>
        </row>
        <row r="5437">
          <cell r="C5437" t="str">
            <v>TOTAL</v>
          </cell>
          <cell r="F5437">
            <v>514639652</v>
          </cell>
          <cell r="G5437">
            <v>490780936</v>
          </cell>
        </row>
        <row r="5439">
          <cell r="C5439" t="str">
            <v>SISA</v>
          </cell>
          <cell r="D5439">
            <v>23858716</v>
          </cell>
        </row>
        <row r="5441">
          <cell r="A5441" t="str">
            <v>KODE BANTU</v>
          </cell>
          <cell r="B5441" t="str">
            <v>NO</v>
          </cell>
          <cell r="C5441" t="str">
            <v>OKTOBER</v>
          </cell>
          <cell r="D5441" t="str">
            <v>URAIAN</v>
          </cell>
          <cell r="E5441" t="str">
            <v>KODE ANGGARAN</v>
          </cell>
          <cell r="F5441" t="str">
            <v>PENERIMAAN</v>
          </cell>
          <cell r="G5441" t="str">
            <v>PENGELUARAN</v>
          </cell>
        </row>
        <row r="5442">
          <cell r="A5442" t="str">
            <v>0</v>
          </cell>
        </row>
        <row r="5443">
          <cell r="A5443" t="str">
            <v>0</v>
          </cell>
        </row>
        <row r="5444">
          <cell r="A5444" t="str">
            <v>0</v>
          </cell>
        </row>
        <row r="5445">
          <cell r="A5445" t="str">
            <v>0</v>
          </cell>
        </row>
        <row r="5446">
          <cell r="A5446" t="str">
            <v>0</v>
          </cell>
        </row>
        <row r="5447">
          <cell r="A5447" t="str">
            <v>0</v>
          </cell>
        </row>
        <row r="5448">
          <cell r="A5448" t="str">
            <v>0</v>
          </cell>
        </row>
        <row r="5449">
          <cell r="A5449" t="str">
            <v>0</v>
          </cell>
        </row>
        <row r="5450">
          <cell r="A5450" t="str">
            <v>0</v>
          </cell>
        </row>
        <row r="5451">
          <cell r="A5451" t="str">
            <v>0</v>
          </cell>
        </row>
        <row r="5452">
          <cell r="A5452" t="str">
            <v>0</v>
          </cell>
        </row>
        <row r="5453">
          <cell r="A5453" t="str">
            <v>0</v>
          </cell>
        </row>
        <row r="5454">
          <cell r="A5454" t="str">
            <v>0</v>
          </cell>
        </row>
        <row r="5455">
          <cell r="A5455" t="str">
            <v>0</v>
          </cell>
        </row>
        <row r="5456">
          <cell r="A5456" t="str">
            <v>0</v>
          </cell>
        </row>
        <row r="5457">
          <cell r="A5457" t="str">
            <v>0</v>
          </cell>
        </row>
        <row r="5458">
          <cell r="A5458" t="str">
            <v>0</v>
          </cell>
        </row>
        <row r="5459">
          <cell r="A5459" t="str">
            <v>0</v>
          </cell>
        </row>
        <row r="5460">
          <cell r="A5460" t="str">
            <v>0</v>
          </cell>
        </row>
        <row r="5461">
          <cell r="A5461" t="str">
            <v>0</v>
          </cell>
        </row>
        <row r="5462">
          <cell r="A5462" t="str">
            <v>0</v>
          </cell>
        </row>
        <row r="5463">
          <cell r="A5463" t="str">
            <v>0</v>
          </cell>
        </row>
        <row r="5464">
          <cell r="A5464" t="str">
            <v>0</v>
          </cell>
        </row>
        <row r="5465">
          <cell r="A5465" t="str">
            <v>0</v>
          </cell>
        </row>
        <row r="5466">
          <cell r="A5466" t="str">
            <v>0</v>
          </cell>
        </row>
        <row r="5468">
          <cell r="C5468" t="str">
            <v>JUMLAH TANGGAL</v>
          </cell>
          <cell r="F5468">
            <v>0</v>
          </cell>
          <cell r="G5468">
            <v>0</v>
          </cell>
        </row>
        <row r="5469">
          <cell r="C5469" t="str">
            <v>HARI INI</v>
          </cell>
        </row>
        <row r="5470">
          <cell r="C5470" t="str">
            <v>JUMLAH S/D TANGGAL</v>
          </cell>
          <cell r="F5470">
            <v>514639652</v>
          </cell>
          <cell r="G5470">
            <v>490780936</v>
          </cell>
        </row>
        <row r="5471">
          <cell r="C5471" t="str">
            <v>TOTAL</v>
          </cell>
          <cell r="F5471">
            <v>514639652</v>
          </cell>
          <cell r="G5471">
            <v>490780936</v>
          </cell>
        </row>
        <row r="5473">
          <cell r="C5473" t="str">
            <v>SISA</v>
          </cell>
          <cell r="D5473">
            <v>23858716</v>
          </cell>
        </row>
        <row r="5475">
          <cell r="A5475" t="str">
            <v>KODE BANTU</v>
          </cell>
          <cell r="B5475" t="str">
            <v>NO</v>
          </cell>
          <cell r="C5475" t="str">
            <v>OKTOBER</v>
          </cell>
          <cell r="D5475" t="str">
            <v>URAIAN</v>
          </cell>
          <cell r="E5475" t="str">
            <v>KODE ANGGARAN</v>
          </cell>
          <cell r="F5475" t="str">
            <v>PENERIMAAN</v>
          </cell>
          <cell r="G5475" t="str">
            <v>PENGELUARAN</v>
          </cell>
        </row>
        <row r="5476">
          <cell r="A5476" t="str">
            <v>0</v>
          </cell>
        </row>
        <row r="5477">
          <cell r="A5477" t="str">
            <v>0</v>
          </cell>
        </row>
        <row r="5478">
          <cell r="A5478" t="str">
            <v>0</v>
          </cell>
        </row>
        <row r="5479">
          <cell r="A5479" t="str">
            <v>0</v>
          </cell>
        </row>
        <row r="5480">
          <cell r="A5480" t="str">
            <v>0</v>
          </cell>
        </row>
        <row r="5481">
          <cell r="A5481" t="str">
            <v>0</v>
          </cell>
        </row>
        <row r="5482">
          <cell r="A5482" t="str">
            <v>0</v>
          </cell>
        </row>
        <row r="5483">
          <cell r="A5483" t="str">
            <v>0</v>
          </cell>
        </row>
        <row r="5484">
          <cell r="A5484" t="str">
            <v>0</v>
          </cell>
        </row>
        <row r="5485">
          <cell r="A5485" t="str">
            <v>0</v>
          </cell>
        </row>
        <row r="5486">
          <cell r="A5486" t="str">
            <v>0</v>
          </cell>
        </row>
        <row r="5487">
          <cell r="A5487" t="str">
            <v>0</v>
          </cell>
        </row>
        <row r="5488">
          <cell r="A5488" t="str">
            <v>0</v>
          </cell>
        </row>
        <row r="5489">
          <cell r="A5489" t="str">
            <v>0</v>
          </cell>
        </row>
        <row r="5490">
          <cell r="A5490" t="str">
            <v>0</v>
          </cell>
        </row>
        <row r="5491">
          <cell r="A5491" t="str">
            <v>0</v>
          </cell>
        </row>
        <row r="5492">
          <cell r="A5492" t="str">
            <v>0</v>
          </cell>
        </row>
        <row r="5493">
          <cell r="A5493" t="str">
            <v>0</v>
          </cell>
        </row>
        <row r="5494">
          <cell r="A5494" t="str">
            <v>0</v>
          </cell>
        </row>
        <row r="5495">
          <cell r="A5495" t="str">
            <v>0</v>
          </cell>
        </row>
        <row r="5496">
          <cell r="A5496" t="str">
            <v>0</v>
          </cell>
        </row>
        <row r="5497">
          <cell r="A5497" t="str">
            <v>0</v>
          </cell>
        </row>
        <row r="5498">
          <cell r="A5498" t="str">
            <v>0</v>
          </cell>
        </row>
        <row r="5499">
          <cell r="A5499" t="str">
            <v>0</v>
          </cell>
        </row>
        <row r="5500">
          <cell r="A5500" t="str">
            <v>0</v>
          </cell>
        </row>
        <row r="5502">
          <cell r="C5502" t="str">
            <v>JUMLAH TANGGAL</v>
          </cell>
          <cell r="F5502">
            <v>0</v>
          </cell>
          <cell r="G5502">
            <v>0</v>
          </cell>
        </row>
        <row r="5503">
          <cell r="C5503" t="str">
            <v>HARI INI</v>
          </cell>
        </row>
        <row r="5504">
          <cell r="C5504" t="str">
            <v>JUMLAH S/D TANGGAL</v>
          </cell>
          <cell r="F5504">
            <v>514639652</v>
          </cell>
          <cell r="G5504">
            <v>490780936</v>
          </cell>
        </row>
        <row r="5505">
          <cell r="C5505" t="str">
            <v>TOTAL</v>
          </cell>
          <cell r="F5505">
            <v>514639652</v>
          </cell>
          <cell r="G5505">
            <v>490780936</v>
          </cell>
        </row>
        <row r="5507">
          <cell r="C5507" t="str">
            <v>SISA</v>
          </cell>
          <cell r="D5507">
            <v>23858716</v>
          </cell>
        </row>
        <row r="5509">
          <cell r="A5509" t="str">
            <v>KODE BANTU</v>
          </cell>
          <cell r="B5509" t="str">
            <v>NO</v>
          </cell>
          <cell r="C5509" t="str">
            <v>OKTOBER</v>
          </cell>
          <cell r="D5509" t="str">
            <v>URAIAN</v>
          </cell>
          <cell r="E5509" t="str">
            <v>KODE ANGGARAN</v>
          </cell>
          <cell r="F5509" t="str">
            <v>PENERIMAAN</v>
          </cell>
          <cell r="G5509" t="str">
            <v>PENGELUARAN</v>
          </cell>
        </row>
        <row r="5510">
          <cell r="A5510" t="str">
            <v>0</v>
          </cell>
        </row>
        <row r="5511">
          <cell r="A5511" t="str">
            <v>0</v>
          </cell>
        </row>
        <row r="5512">
          <cell r="A5512" t="str">
            <v>0</v>
          </cell>
        </row>
        <row r="5513">
          <cell r="A5513" t="str">
            <v>0</v>
          </cell>
        </row>
        <row r="5514">
          <cell r="A5514" t="str">
            <v>0</v>
          </cell>
        </row>
        <row r="5515">
          <cell r="A5515" t="str">
            <v>0</v>
          </cell>
        </row>
        <row r="5516">
          <cell r="A5516" t="str">
            <v>0</v>
          </cell>
        </row>
        <row r="5517">
          <cell r="A5517" t="str">
            <v>0</v>
          </cell>
        </row>
        <row r="5518">
          <cell r="A5518" t="str">
            <v>0</v>
          </cell>
        </row>
        <row r="5519">
          <cell r="A5519" t="str">
            <v>0</v>
          </cell>
        </row>
        <row r="5520">
          <cell r="A5520" t="str">
            <v>0</v>
          </cell>
        </row>
        <row r="5521">
          <cell r="A5521" t="str">
            <v>0</v>
          </cell>
        </row>
        <row r="5522">
          <cell r="A5522" t="str">
            <v>0</v>
          </cell>
        </row>
        <row r="5523">
          <cell r="A5523" t="str">
            <v>0</v>
          </cell>
        </row>
        <row r="5524">
          <cell r="A5524" t="str">
            <v>0</v>
          </cell>
        </row>
        <row r="5525">
          <cell r="A5525" t="str">
            <v>0</v>
          </cell>
        </row>
        <row r="5526">
          <cell r="A5526" t="str">
            <v>0</v>
          </cell>
        </row>
        <row r="5527">
          <cell r="A5527" t="str">
            <v>0</v>
          </cell>
        </row>
        <row r="5528">
          <cell r="A5528" t="str">
            <v>0</v>
          </cell>
        </row>
        <row r="5529">
          <cell r="A5529" t="str">
            <v>0</v>
          </cell>
        </row>
        <row r="5530">
          <cell r="A5530" t="str">
            <v>0</v>
          </cell>
        </row>
        <row r="5531">
          <cell r="A5531" t="str">
            <v>0</v>
          </cell>
        </row>
        <row r="5532">
          <cell r="A5532" t="str">
            <v>0</v>
          </cell>
        </row>
        <row r="5533">
          <cell r="A5533" t="str">
            <v>0</v>
          </cell>
        </row>
        <row r="5534">
          <cell r="A5534" t="str">
            <v>0</v>
          </cell>
        </row>
        <row r="5536">
          <cell r="C5536" t="str">
            <v>JUMLAH TANGGAL</v>
          </cell>
          <cell r="F5536">
            <v>0</v>
          </cell>
          <cell r="G5536">
            <v>0</v>
          </cell>
        </row>
        <row r="5537">
          <cell r="C5537" t="str">
            <v>HARI INI</v>
          </cell>
        </row>
        <row r="5538">
          <cell r="C5538" t="str">
            <v>JUMLAH S/D TANGGAL</v>
          </cell>
          <cell r="F5538">
            <v>514639652</v>
          </cell>
          <cell r="G5538">
            <v>490780936</v>
          </cell>
        </row>
        <row r="5539">
          <cell r="C5539" t="str">
            <v>TOTAL</v>
          </cell>
          <cell r="F5539">
            <v>514639652</v>
          </cell>
          <cell r="G5539">
            <v>490780936</v>
          </cell>
        </row>
        <row r="5541">
          <cell r="C5541" t="str">
            <v>SISA</v>
          </cell>
          <cell r="D5541">
            <v>23858716</v>
          </cell>
        </row>
        <row r="5543">
          <cell r="A5543" t="str">
            <v>KODE BANTU</v>
          </cell>
          <cell r="B5543" t="str">
            <v>NO</v>
          </cell>
          <cell r="C5543" t="str">
            <v>OKTOBER</v>
          </cell>
          <cell r="D5543" t="str">
            <v>URAIAN</v>
          </cell>
          <cell r="E5543" t="str">
            <v>KODE ANGGARAN</v>
          </cell>
          <cell r="F5543" t="str">
            <v>PENERIMAAN</v>
          </cell>
          <cell r="G5543" t="str">
            <v>PENGELUARAN</v>
          </cell>
        </row>
        <row r="5544">
          <cell r="A5544" t="str">
            <v>0</v>
          </cell>
        </row>
        <row r="5545">
          <cell r="A5545" t="str">
            <v>0</v>
          </cell>
        </row>
        <row r="5546">
          <cell r="A5546" t="str">
            <v>0</v>
          </cell>
        </row>
        <row r="5547">
          <cell r="A5547" t="str">
            <v>0</v>
          </cell>
        </row>
        <row r="5548">
          <cell r="A5548" t="str">
            <v>0</v>
          </cell>
        </row>
        <row r="5549">
          <cell r="A5549" t="str">
            <v>0</v>
          </cell>
        </row>
        <row r="5550">
          <cell r="A5550" t="str">
            <v>0</v>
          </cell>
        </row>
        <row r="5551">
          <cell r="A5551" t="str">
            <v>0</v>
          </cell>
        </row>
        <row r="5552">
          <cell r="A5552" t="str">
            <v>0</v>
          </cell>
        </row>
        <row r="5553">
          <cell r="A5553" t="str">
            <v>0</v>
          </cell>
        </row>
        <row r="5554">
          <cell r="A5554" t="str">
            <v>0</v>
          </cell>
        </row>
        <row r="5555">
          <cell r="A5555" t="str">
            <v>0</v>
          </cell>
        </row>
        <row r="5556">
          <cell r="A5556" t="str">
            <v>0</v>
          </cell>
        </row>
        <row r="5557">
          <cell r="A5557" t="str">
            <v>0</v>
          </cell>
        </row>
        <row r="5558">
          <cell r="A5558" t="str">
            <v>0</v>
          </cell>
        </row>
        <row r="5559">
          <cell r="A5559" t="str">
            <v>0</v>
          </cell>
        </row>
        <row r="5560">
          <cell r="A5560" t="str">
            <v>0</v>
          </cell>
        </row>
        <row r="5561">
          <cell r="A5561" t="str">
            <v>0</v>
          </cell>
        </row>
        <row r="5562">
          <cell r="A5562" t="str">
            <v>0</v>
          </cell>
        </row>
        <row r="5563">
          <cell r="A5563" t="str">
            <v>0</v>
          </cell>
        </row>
        <row r="5564">
          <cell r="A5564" t="str">
            <v>0</v>
          </cell>
        </row>
        <row r="5565">
          <cell r="A5565" t="str">
            <v>0</v>
          </cell>
        </row>
        <row r="5566">
          <cell r="A5566" t="str">
            <v>0</v>
          </cell>
        </row>
        <row r="5567">
          <cell r="A5567" t="str">
            <v>0</v>
          </cell>
        </row>
        <row r="5568">
          <cell r="A5568" t="str">
            <v>0</v>
          </cell>
        </row>
        <row r="5570">
          <cell r="C5570" t="str">
            <v>JUMLAH TANGGAL</v>
          </cell>
          <cell r="F5570">
            <v>0</v>
          </cell>
          <cell r="G5570">
            <v>0</v>
          </cell>
        </row>
        <row r="5571">
          <cell r="C5571" t="str">
            <v>HARI INI</v>
          </cell>
        </row>
        <row r="5572">
          <cell r="C5572" t="str">
            <v>JUMLAH S/D TANGGAL</v>
          </cell>
          <cell r="F5572">
            <v>514639652</v>
          </cell>
          <cell r="G5572">
            <v>490780936</v>
          </cell>
        </row>
        <row r="5573">
          <cell r="C5573" t="str">
            <v>TOTAL</v>
          </cell>
          <cell r="F5573">
            <v>514639652</v>
          </cell>
          <cell r="G5573">
            <v>490780936</v>
          </cell>
        </row>
        <row r="5575">
          <cell r="C5575" t="str">
            <v>SISA</v>
          </cell>
          <cell r="D5575">
            <v>23858716</v>
          </cell>
        </row>
        <row r="5577">
          <cell r="A5577" t="str">
            <v>KODE BANTU</v>
          </cell>
          <cell r="B5577" t="str">
            <v>NO</v>
          </cell>
          <cell r="C5577" t="str">
            <v>OKTOBER</v>
          </cell>
          <cell r="D5577" t="str">
            <v>URAIAN</v>
          </cell>
          <cell r="E5577" t="str">
            <v>KODE ANGGARAN</v>
          </cell>
          <cell r="F5577" t="str">
            <v>PENERIMAAN</v>
          </cell>
          <cell r="G5577" t="str">
            <v>PENGELUARAN</v>
          </cell>
        </row>
        <row r="5578">
          <cell r="A5578" t="str">
            <v>0</v>
          </cell>
        </row>
        <row r="5579">
          <cell r="A5579" t="str">
            <v>0</v>
          </cell>
        </row>
        <row r="5580">
          <cell r="A5580" t="str">
            <v>0</v>
          </cell>
        </row>
        <row r="5581">
          <cell r="A5581" t="str">
            <v>0</v>
          </cell>
        </row>
        <row r="5582">
          <cell r="A5582" t="str">
            <v>0</v>
          </cell>
        </row>
        <row r="5583">
          <cell r="A5583" t="str">
            <v>0</v>
          </cell>
        </row>
        <row r="5584">
          <cell r="A5584" t="str">
            <v>0</v>
          </cell>
        </row>
        <row r="5585">
          <cell r="A5585" t="str">
            <v>0</v>
          </cell>
        </row>
        <row r="5586">
          <cell r="A5586" t="str">
            <v>0</v>
          </cell>
        </row>
        <row r="5587">
          <cell r="A5587" t="str">
            <v>0</v>
          </cell>
        </row>
        <row r="5588">
          <cell r="A5588" t="str">
            <v>0</v>
          </cell>
        </row>
        <row r="5589">
          <cell r="A5589" t="str">
            <v>0</v>
          </cell>
        </row>
        <row r="5590">
          <cell r="A5590" t="str">
            <v>0</v>
          </cell>
        </row>
        <row r="5591">
          <cell r="A5591" t="str">
            <v>0</v>
          </cell>
        </row>
        <row r="5592">
          <cell r="A5592" t="str">
            <v>0</v>
          </cell>
        </row>
        <row r="5593">
          <cell r="A5593" t="str">
            <v>0</v>
          </cell>
        </row>
        <row r="5594">
          <cell r="A5594" t="str">
            <v>0</v>
          </cell>
        </row>
        <row r="5595">
          <cell r="A5595" t="str">
            <v>0</v>
          </cell>
        </row>
        <row r="5596">
          <cell r="A5596" t="str">
            <v>0</v>
          </cell>
        </row>
        <row r="5597">
          <cell r="A5597" t="str">
            <v>0</v>
          </cell>
        </row>
        <row r="5598">
          <cell r="A5598" t="str">
            <v>0</v>
          </cell>
        </row>
        <row r="5599">
          <cell r="A5599" t="str">
            <v>0</v>
          </cell>
        </row>
        <row r="5600">
          <cell r="A5600" t="str">
            <v>0</v>
          </cell>
        </row>
        <row r="5601">
          <cell r="A5601" t="str">
            <v>0</v>
          </cell>
        </row>
        <row r="5602">
          <cell r="A5602" t="str">
            <v>0</v>
          </cell>
        </row>
        <row r="5604">
          <cell r="C5604" t="str">
            <v>JUMLAH TANGGAL</v>
          </cell>
          <cell r="F5604">
            <v>0</v>
          </cell>
          <cell r="G5604">
            <v>0</v>
          </cell>
        </row>
        <row r="5605">
          <cell r="C5605" t="str">
            <v>HARI INI</v>
          </cell>
        </row>
        <row r="5606">
          <cell r="C5606" t="str">
            <v>JUMLAH S/D TANGGAL</v>
          </cell>
          <cell r="F5606">
            <v>514639652</v>
          </cell>
          <cell r="G5606">
            <v>490780936</v>
          </cell>
        </row>
        <row r="5607">
          <cell r="C5607" t="str">
            <v>TOTAL</v>
          </cell>
          <cell r="F5607">
            <v>514639652</v>
          </cell>
          <cell r="G5607">
            <v>490780936</v>
          </cell>
        </row>
        <row r="5609">
          <cell r="C5609" t="str">
            <v>SISA</v>
          </cell>
          <cell r="D5609">
            <v>23858716</v>
          </cell>
        </row>
        <row r="5611">
          <cell r="A5611" t="str">
            <v>KODE BANTU</v>
          </cell>
          <cell r="B5611" t="str">
            <v>NO</v>
          </cell>
          <cell r="C5611" t="str">
            <v>OKTOBER</v>
          </cell>
          <cell r="D5611" t="str">
            <v>URAIAN</v>
          </cell>
          <cell r="E5611" t="str">
            <v>KODE ANGGARAN</v>
          </cell>
          <cell r="F5611" t="str">
            <v>PENERIMAAN</v>
          </cell>
          <cell r="G5611" t="str">
            <v>PENGELUARAN</v>
          </cell>
        </row>
        <row r="5612">
          <cell r="A5612" t="str">
            <v>0</v>
          </cell>
        </row>
        <row r="5613">
          <cell r="A5613" t="str">
            <v>0</v>
          </cell>
        </row>
        <row r="5614">
          <cell r="A5614" t="str">
            <v>0</v>
          </cell>
        </row>
        <row r="5615">
          <cell r="A5615" t="str">
            <v>0</v>
          </cell>
        </row>
        <row r="5616">
          <cell r="A5616" t="str">
            <v>0</v>
          </cell>
        </row>
        <row r="5617">
          <cell r="A5617" t="str">
            <v>0</v>
          </cell>
        </row>
        <row r="5618">
          <cell r="A5618" t="str">
            <v>0</v>
          </cell>
        </row>
        <row r="5619">
          <cell r="A5619" t="str">
            <v>0</v>
          </cell>
        </row>
        <row r="5620">
          <cell r="A5620" t="str">
            <v>0</v>
          </cell>
        </row>
        <row r="5621">
          <cell r="A5621" t="str">
            <v>0</v>
          </cell>
        </row>
        <row r="5622">
          <cell r="A5622" t="str">
            <v>0</v>
          </cell>
        </row>
        <row r="5623">
          <cell r="A5623" t="str">
            <v>0</v>
          </cell>
        </row>
        <row r="5624">
          <cell r="A5624" t="str">
            <v>0</v>
          </cell>
        </row>
        <row r="5625">
          <cell r="A5625" t="str">
            <v>0</v>
          </cell>
        </row>
        <row r="5626">
          <cell r="A5626" t="str">
            <v>0</v>
          </cell>
        </row>
        <row r="5627">
          <cell r="A5627" t="str">
            <v>0</v>
          </cell>
        </row>
        <row r="5628">
          <cell r="A5628" t="str">
            <v>0</v>
          </cell>
        </row>
        <row r="5629">
          <cell r="A5629" t="str">
            <v>0</v>
          </cell>
        </row>
        <row r="5630">
          <cell r="A5630" t="str">
            <v>0</v>
          </cell>
        </row>
        <row r="5631">
          <cell r="A5631" t="str">
            <v>0</v>
          </cell>
        </row>
        <row r="5632">
          <cell r="A5632" t="str">
            <v>0</v>
          </cell>
        </row>
        <row r="5633">
          <cell r="A5633" t="str">
            <v>0</v>
          </cell>
        </row>
        <row r="5634">
          <cell r="A5634" t="str">
            <v>0</v>
          </cell>
        </row>
        <row r="5635">
          <cell r="A5635" t="str">
            <v>0</v>
          </cell>
        </row>
        <row r="5636">
          <cell r="A5636" t="str">
            <v>0</v>
          </cell>
        </row>
        <row r="5638">
          <cell r="C5638" t="str">
            <v>JUMLAH TANGGAL</v>
          </cell>
          <cell r="F5638">
            <v>0</v>
          </cell>
          <cell r="G5638">
            <v>0</v>
          </cell>
        </row>
        <row r="5639">
          <cell r="C5639" t="str">
            <v>HARI INI</v>
          </cell>
        </row>
        <row r="5640">
          <cell r="C5640" t="str">
            <v>JUMLAH S/D TANGGAL</v>
          </cell>
          <cell r="F5640">
            <v>514639652</v>
          </cell>
          <cell r="G5640">
            <v>490780936</v>
          </cell>
        </row>
        <row r="5641">
          <cell r="C5641" t="str">
            <v>TOTAL</v>
          </cell>
          <cell r="F5641">
            <v>514639652</v>
          </cell>
          <cell r="G5641">
            <v>490780936</v>
          </cell>
        </row>
        <row r="5643">
          <cell r="C5643" t="str">
            <v>SISA</v>
          </cell>
          <cell r="D5643">
            <v>23858716</v>
          </cell>
        </row>
        <row r="5645">
          <cell r="A5645" t="str">
            <v>KODE BANTU</v>
          </cell>
          <cell r="B5645" t="str">
            <v>NO</v>
          </cell>
          <cell r="C5645" t="str">
            <v>OKTOBER</v>
          </cell>
          <cell r="D5645" t="str">
            <v>URAIAN</v>
          </cell>
          <cell r="E5645" t="str">
            <v>KODE ANGGARAN</v>
          </cell>
          <cell r="F5645" t="str">
            <v>PENERIMAAN</v>
          </cell>
          <cell r="G5645" t="str">
            <v>PENGELUARAN</v>
          </cell>
        </row>
        <row r="5646">
          <cell r="A5646" t="str">
            <v>0</v>
          </cell>
        </row>
        <row r="5647">
          <cell r="A5647" t="str">
            <v>0</v>
          </cell>
        </row>
        <row r="5648">
          <cell r="A5648" t="str">
            <v>0</v>
          </cell>
        </row>
        <row r="5649">
          <cell r="A5649" t="str">
            <v>0</v>
          </cell>
        </row>
        <row r="5650">
          <cell r="A5650" t="str">
            <v>0</v>
          </cell>
        </row>
        <row r="5651">
          <cell r="A5651" t="str">
            <v>0</v>
          </cell>
        </row>
        <row r="5652">
          <cell r="A5652" t="str">
            <v>0</v>
          </cell>
        </row>
        <row r="5653">
          <cell r="A5653" t="str">
            <v>0</v>
          </cell>
        </row>
        <row r="5654">
          <cell r="A5654" t="str">
            <v>0</v>
          </cell>
        </row>
        <row r="5655">
          <cell r="A5655" t="str">
            <v>0</v>
          </cell>
        </row>
        <row r="5656">
          <cell r="A5656" t="str">
            <v>0</v>
          </cell>
        </row>
        <row r="5657">
          <cell r="A5657" t="str">
            <v>0</v>
          </cell>
        </row>
        <row r="5658">
          <cell r="A5658" t="str">
            <v>0</v>
          </cell>
        </row>
        <row r="5659">
          <cell r="A5659" t="str">
            <v>0</v>
          </cell>
        </row>
        <row r="5660">
          <cell r="A5660" t="str">
            <v>0</v>
          </cell>
        </row>
        <row r="5661">
          <cell r="A5661" t="str">
            <v>0</v>
          </cell>
        </row>
        <row r="5662">
          <cell r="A5662" t="str">
            <v>0</v>
          </cell>
        </row>
        <row r="5663">
          <cell r="A5663" t="str">
            <v>0</v>
          </cell>
        </row>
        <row r="5664">
          <cell r="A5664" t="str">
            <v>0</v>
          </cell>
        </row>
        <row r="5665">
          <cell r="A5665" t="str">
            <v>0</v>
          </cell>
        </row>
        <row r="5666">
          <cell r="A5666" t="str">
            <v>0</v>
          </cell>
        </row>
        <row r="5667">
          <cell r="A5667" t="str">
            <v>0</v>
          </cell>
        </row>
        <row r="5668">
          <cell r="A5668" t="str">
            <v>0</v>
          </cell>
        </row>
        <row r="5669">
          <cell r="A5669" t="str">
            <v>0</v>
          </cell>
        </row>
        <row r="5670">
          <cell r="A5670" t="str">
            <v>0</v>
          </cell>
        </row>
        <row r="5672">
          <cell r="C5672" t="str">
            <v>JUMLAH TANGGAL</v>
          </cell>
          <cell r="F5672">
            <v>0</v>
          </cell>
          <cell r="G5672">
            <v>0</v>
          </cell>
        </row>
        <row r="5673">
          <cell r="C5673" t="str">
            <v>HARI INI</v>
          </cell>
        </row>
        <row r="5674">
          <cell r="C5674" t="str">
            <v>JUMLAH S/D TANGGAL</v>
          </cell>
          <cell r="F5674">
            <v>514639652</v>
          </cell>
          <cell r="G5674">
            <v>490780936</v>
          </cell>
        </row>
        <row r="5675">
          <cell r="C5675" t="str">
            <v>TOTAL</v>
          </cell>
          <cell r="F5675">
            <v>514639652</v>
          </cell>
          <cell r="G5675">
            <v>490780936</v>
          </cell>
        </row>
        <row r="5677">
          <cell r="C5677" t="str">
            <v>SISA</v>
          </cell>
          <cell r="D5677">
            <v>23858716</v>
          </cell>
        </row>
        <row r="5679">
          <cell r="A5679" t="str">
            <v>KODE BANTU</v>
          </cell>
          <cell r="B5679" t="str">
            <v>NO</v>
          </cell>
          <cell r="C5679" t="str">
            <v>OKTOBER</v>
          </cell>
          <cell r="D5679" t="str">
            <v>URAIAN</v>
          </cell>
          <cell r="E5679" t="str">
            <v>KODE ANGGARAN</v>
          </cell>
          <cell r="F5679" t="str">
            <v>PENERIMAAN</v>
          </cell>
          <cell r="G5679" t="str">
            <v>PENGELUARAN</v>
          </cell>
        </row>
        <row r="5680">
          <cell r="A5680" t="str">
            <v>0</v>
          </cell>
        </row>
        <row r="5681">
          <cell r="A5681" t="str">
            <v>0</v>
          </cell>
        </row>
        <row r="5682">
          <cell r="A5682" t="str">
            <v>0</v>
          </cell>
        </row>
        <row r="5683">
          <cell r="A5683" t="str">
            <v>0</v>
          </cell>
        </row>
        <row r="5684">
          <cell r="A5684" t="str">
            <v>0</v>
          </cell>
        </row>
        <row r="5685">
          <cell r="A5685" t="str">
            <v>0</v>
          </cell>
        </row>
        <row r="5686">
          <cell r="A5686" t="str">
            <v>0</v>
          </cell>
        </row>
        <row r="5687">
          <cell r="A5687" t="str">
            <v>0</v>
          </cell>
        </row>
        <row r="5688">
          <cell r="A5688" t="str">
            <v>0</v>
          </cell>
        </row>
        <row r="5689">
          <cell r="A5689" t="str">
            <v>0</v>
          </cell>
        </row>
        <row r="5690">
          <cell r="A5690" t="str">
            <v>0</v>
          </cell>
        </row>
        <row r="5691">
          <cell r="A5691" t="str">
            <v>0</v>
          </cell>
        </row>
        <row r="5692">
          <cell r="A5692" t="str">
            <v>0</v>
          </cell>
        </row>
        <row r="5693">
          <cell r="A5693" t="str">
            <v>0</v>
          </cell>
        </row>
        <row r="5694">
          <cell r="A5694" t="str">
            <v>0</v>
          </cell>
        </row>
        <row r="5695">
          <cell r="A5695" t="str">
            <v>0</v>
          </cell>
        </row>
        <row r="5696">
          <cell r="A5696" t="str">
            <v>0</v>
          </cell>
        </row>
        <row r="5697">
          <cell r="A5697" t="str">
            <v>0</v>
          </cell>
        </row>
        <row r="5698">
          <cell r="A5698" t="str">
            <v>0</v>
          </cell>
        </row>
        <row r="5699">
          <cell r="A5699" t="str">
            <v>0</v>
          </cell>
        </row>
        <row r="5700">
          <cell r="A5700" t="str">
            <v>0</v>
          </cell>
        </row>
        <row r="5701">
          <cell r="A5701" t="str">
            <v>0</v>
          </cell>
        </row>
        <row r="5702">
          <cell r="A5702" t="str">
            <v>0</v>
          </cell>
        </row>
        <row r="5703">
          <cell r="A5703" t="str">
            <v>0</v>
          </cell>
        </row>
        <row r="5704">
          <cell r="A5704" t="str">
            <v>0</v>
          </cell>
        </row>
        <row r="5706">
          <cell r="C5706" t="str">
            <v>JUMLAH TANGGAL</v>
          </cell>
          <cell r="F5706">
            <v>0</v>
          </cell>
          <cell r="G5706">
            <v>0</v>
          </cell>
        </row>
        <row r="5707">
          <cell r="C5707" t="str">
            <v>HARI INI</v>
          </cell>
        </row>
        <row r="5708">
          <cell r="C5708" t="str">
            <v>JUMLAH S/D TANGGAL</v>
          </cell>
          <cell r="F5708">
            <v>514639652</v>
          </cell>
          <cell r="G5708">
            <v>490780936</v>
          </cell>
        </row>
        <row r="5709">
          <cell r="C5709" t="str">
            <v>TOTAL</v>
          </cell>
          <cell r="F5709">
            <v>514639652</v>
          </cell>
          <cell r="G5709">
            <v>490780936</v>
          </cell>
        </row>
        <row r="5711">
          <cell r="C5711" t="str">
            <v>SISA</v>
          </cell>
          <cell r="D5711">
            <v>23858716</v>
          </cell>
        </row>
        <row r="5713">
          <cell r="A5713" t="str">
            <v>KODE BANTU</v>
          </cell>
          <cell r="B5713" t="str">
            <v>NO</v>
          </cell>
          <cell r="C5713" t="str">
            <v>OKTOBER</v>
          </cell>
          <cell r="D5713" t="str">
            <v>URAIAN</v>
          </cell>
          <cell r="E5713" t="str">
            <v>KODE ANGGARAN</v>
          </cell>
          <cell r="F5713" t="str">
            <v>PENERIMAAN</v>
          </cell>
          <cell r="G5713" t="str">
            <v>PENGELUARAN</v>
          </cell>
        </row>
        <row r="5714">
          <cell r="A5714" t="str">
            <v>0</v>
          </cell>
        </row>
        <row r="5715">
          <cell r="A5715" t="str">
            <v>0</v>
          </cell>
        </row>
        <row r="5716">
          <cell r="A5716" t="str">
            <v>0</v>
          </cell>
        </row>
        <row r="5717">
          <cell r="A5717" t="str">
            <v>0</v>
          </cell>
        </row>
        <row r="5718">
          <cell r="A5718" t="str">
            <v>0</v>
          </cell>
        </row>
        <row r="5719">
          <cell r="A5719" t="str">
            <v>0</v>
          </cell>
        </row>
        <row r="5720">
          <cell r="A5720" t="str">
            <v>0</v>
          </cell>
        </row>
        <row r="5721">
          <cell r="A5721" t="str">
            <v>0</v>
          </cell>
        </row>
        <row r="5722">
          <cell r="A5722" t="str">
            <v>0</v>
          </cell>
        </row>
        <row r="5723">
          <cell r="A5723" t="str">
            <v>0</v>
          </cell>
        </row>
        <row r="5724">
          <cell r="A5724" t="str">
            <v>0</v>
          </cell>
        </row>
        <row r="5725">
          <cell r="A5725" t="str">
            <v>0</v>
          </cell>
        </row>
        <row r="5726">
          <cell r="A5726" t="str">
            <v>0</v>
          </cell>
        </row>
        <row r="5727">
          <cell r="A5727" t="str">
            <v>0</v>
          </cell>
        </row>
        <row r="5728">
          <cell r="A5728" t="str">
            <v>0</v>
          </cell>
        </row>
        <row r="5729">
          <cell r="A5729" t="str">
            <v>0</v>
          </cell>
        </row>
        <row r="5730">
          <cell r="A5730" t="str">
            <v>0</v>
          </cell>
        </row>
        <row r="5731">
          <cell r="A5731" t="str">
            <v>0</v>
          </cell>
        </row>
        <row r="5732">
          <cell r="A5732" t="str">
            <v>0</v>
          </cell>
        </row>
        <row r="5733">
          <cell r="A5733" t="str">
            <v>0</v>
          </cell>
        </row>
        <row r="5734">
          <cell r="A5734" t="str">
            <v>0</v>
          </cell>
        </row>
        <row r="5735">
          <cell r="A5735" t="str">
            <v>0</v>
          </cell>
        </row>
        <row r="5736">
          <cell r="A5736" t="str">
            <v>0</v>
          </cell>
        </row>
        <row r="5737">
          <cell r="A5737" t="str">
            <v>0</v>
          </cell>
        </row>
        <row r="5738">
          <cell r="A5738" t="str">
            <v>0</v>
          </cell>
        </row>
        <row r="5740">
          <cell r="C5740" t="str">
            <v>JUMLAH TANGGAL</v>
          </cell>
          <cell r="F5740">
            <v>0</v>
          </cell>
          <cell r="G5740">
            <v>0</v>
          </cell>
        </row>
        <row r="5741">
          <cell r="C5741" t="str">
            <v>HARI INI</v>
          </cell>
        </row>
        <row r="5742">
          <cell r="C5742" t="str">
            <v>JUMLAH S/D TANGGAL</v>
          </cell>
          <cell r="F5742">
            <v>514639652</v>
          </cell>
          <cell r="G5742">
            <v>490780936</v>
          </cell>
        </row>
        <row r="5743">
          <cell r="C5743" t="str">
            <v>TOTAL</v>
          </cell>
          <cell r="F5743">
            <v>514639652</v>
          </cell>
          <cell r="G5743">
            <v>490780936</v>
          </cell>
        </row>
        <row r="5745">
          <cell r="C5745" t="str">
            <v>SISA</v>
          </cell>
          <cell r="D5745">
            <v>23858716</v>
          </cell>
        </row>
        <row r="5747">
          <cell r="A5747" t="str">
            <v>KODE BANTU</v>
          </cell>
          <cell r="B5747" t="str">
            <v>NO</v>
          </cell>
          <cell r="C5747" t="str">
            <v>OKTOBER</v>
          </cell>
          <cell r="D5747" t="str">
            <v>URAIAN</v>
          </cell>
          <cell r="E5747" t="str">
            <v>KODE ANGGARAN</v>
          </cell>
          <cell r="F5747" t="str">
            <v>PENERIMAAN</v>
          </cell>
          <cell r="G5747" t="str">
            <v>PENGELUARAN</v>
          </cell>
        </row>
        <row r="5748">
          <cell r="A5748" t="str">
            <v>0</v>
          </cell>
        </row>
        <row r="5749">
          <cell r="A5749" t="str">
            <v>0</v>
          </cell>
        </row>
        <row r="5750">
          <cell r="A5750" t="str">
            <v>0</v>
          </cell>
        </row>
        <row r="5751">
          <cell r="A5751" t="str">
            <v>0</v>
          </cell>
        </row>
        <row r="5752">
          <cell r="A5752" t="str">
            <v>0</v>
          </cell>
        </row>
        <row r="5753">
          <cell r="A5753" t="str">
            <v>0</v>
          </cell>
        </row>
        <row r="5754">
          <cell r="A5754" t="str">
            <v>0</v>
          </cell>
        </row>
        <row r="5755">
          <cell r="A5755" t="str">
            <v>0</v>
          </cell>
        </row>
        <row r="5756">
          <cell r="A5756" t="str">
            <v>0</v>
          </cell>
        </row>
        <row r="5757">
          <cell r="A5757" t="str">
            <v>0</v>
          </cell>
        </row>
        <row r="5758">
          <cell r="A5758" t="str">
            <v>0</v>
          </cell>
        </row>
        <row r="5759">
          <cell r="A5759" t="str">
            <v>0</v>
          </cell>
        </row>
        <row r="5760">
          <cell r="A5760" t="str">
            <v>0</v>
          </cell>
        </row>
        <row r="5761">
          <cell r="A5761" t="str">
            <v>0</v>
          </cell>
        </row>
        <row r="5762">
          <cell r="A5762" t="str">
            <v>0</v>
          </cell>
        </row>
        <row r="5763">
          <cell r="A5763" t="str">
            <v>0</v>
          </cell>
        </row>
        <row r="5764">
          <cell r="A5764" t="str">
            <v>0</v>
          </cell>
        </row>
        <row r="5765">
          <cell r="A5765" t="str">
            <v>0</v>
          </cell>
        </row>
        <row r="5766">
          <cell r="A5766" t="str">
            <v>0</v>
          </cell>
        </row>
        <row r="5767">
          <cell r="A5767" t="str">
            <v>0</v>
          </cell>
        </row>
        <row r="5768">
          <cell r="A5768" t="str">
            <v>0</v>
          </cell>
        </row>
        <row r="5769">
          <cell r="A5769" t="str">
            <v>0</v>
          </cell>
        </row>
        <row r="5770">
          <cell r="A5770" t="str">
            <v>0</v>
          </cell>
        </row>
        <row r="5771">
          <cell r="A5771" t="str">
            <v>0</v>
          </cell>
        </row>
        <row r="5772">
          <cell r="A5772" t="str">
            <v>0</v>
          </cell>
        </row>
        <row r="5774">
          <cell r="C5774" t="str">
            <v>JUMLAH TANGGAL</v>
          </cell>
          <cell r="F5774">
            <v>0</v>
          </cell>
          <cell r="G5774">
            <v>0</v>
          </cell>
        </row>
        <row r="5775">
          <cell r="C5775" t="str">
            <v>HARI INI</v>
          </cell>
        </row>
        <row r="5776">
          <cell r="C5776" t="str">
            <v>JUMLAH S/D TANGGAL</v>
          </cell>
          <cell r="F5776">
            <v>514639652</v>
          </cell>
          <cell r="G5776">
            <v>490780936</v>
          </cell>
        </row>
        <row r="5777">
          <cell r="C5777" t="str">
            <v>TOTAL</v>
          </cell>
          <cell r="F5777">
            <v>514639652</v>
          </cell>
          <cell r="G5777">
            <v>490780936</v>
          </cell>
        </row>
        <row r="5779">
          <cell r="C5779" t="str">
            <v>SISA</v>
          </cell>
          <cell r="D5779">
            <v>23858716</v>
          </cell>
        </row>
        <row r="5781">
          <cell r="A5781" t="str">
            <v>KODE BANTU</v>
          </cell>
          <cell r="B5781" t="str">
            <v>NO</v>
          </cell>
          <cell r="C5781" t="str">
            <v>OKTOBER</v>
          </cell>
          <cell r="D5781" t="str">
            <v>URAIAN</v>
          </cell>
          <cell r="E5781" t="str">
            <v>KODE ANGGARAN</v>
          </cell>
          <cell r="F5781" t="str">
            <v>PENERIMAAN</v>
          </cell>
          <cell r="G5781" t="str">
            <v>PENGELUARAN</v>
          </cell>
        </row>
        <row r="5782">
          <cell r="A5782" t="str">
            <v>0</v>
          </cell>
        </row>
        <row r="5783">
          <cell r="A5783" t="str">
            <v>0</v>
          </cell>
        </row>
        <row r="5784">
          <cell r="A5784" t="str">
            <v>0</v>
          </cell>
        </row>
        <row r="5785">
          <cell r="A5785" t="str">
            <v>0</v>
          </cell>
        </row>
        <row r="5786">
          <cell r="A5786" t="str">
            <v>0</v>
          </cell>
        </row>
        <row r="5787">
          <cell r="A5787" t="str">
            <v>0</v>
          </cell>
        </row>
        <row r="5788">
          <cell r="A5788" t="str">
            <v>0</v>
          </cell>
        </row>
        <row r="5789">
          <cell r="A5789" t="str">
            <v>0</v>
          </cell>
        </row>
        <row r="5790">
          <cell r="A5790" t="str">
            <v>0</v>
          </cell>
        </row>
        <row r="5791">
          <cell r="A5791" t="str">
            <v>0</v>
          </cell>
        </row>
        <row r="5792">
          <cell r="A5792" t="str">
            <v>0</v>
          </cell>
        </row>
        <row r="5793">
          <cell r="A5793" t="str">
            <v>0</v>
          </cell>
        </row>
        <row r="5794">
          <cell r="A5794" t="str">
            <v>0</v>
          </cell>
        </row>
        <row r="5795">
          <cell r="A5795" t="str">
            <v>0</v>
          </cell>
        </row>
        <row r="5796">
          <cell r="A5796" t="str">
            <v>0</v>
          </cell>
        </row>
        <row r="5797">
          <cell r="A5797" t="str">
            <v>0</v>
          </cell>
        </row>
        <row r="5798">
          <cell r="A5798" t="str">
            <v>0</v>
          </cell>
        </row>
        <row r="5799">
          <cell r="A5799" t="str">
            <v>0</v>
          </cell>
        </row>
        <row r="5800">
          <cell r="A5800" t="str">
            <v>0</v>
          </cell>
        </row>
        <row r="5801">
          <cell r="A5801" t="str">
            <v>0</v>
          </cell>
        </row>
        <row r="5802">
          <cell r="A5802" t="str">
            <v>0</v>
          </cell>
        </row>
        <row r="5803">
          <cell r="A5803" t="str">
            <v>0</v>
          </cell>
        </row>
        <row r="5804">
          <cell r="A5804" t="str">
            <v>0</v>
          </cell>
        </row>
        <row r="5805">
          <cell r="A5805" t="str">
            <v>0</v>
          </cell>
        </row>
        <row r="5806">
          <cell r="A5806" t="str">
            <v>0</v>
          </cell>
        </row>
        <row r="5808">
          <cell r="C5808" t="str">
            <v>JUMLAH TANGGAL</v>
          </cell>
          <cell r="F5808">
            <v>0</v>
          </cell>
          <cell r="G5808">
            <v>0</v>
          </cell>
        </row>
        <row r="5809">
          <cell r="C5809" t="str">
            <v>HARI INI</v>
          </cell>
        </row>
        <row r="5810">
          <cell r="C5810" t="str">
            <v>JUMLAH S/D TANGGAL</v>
          </cell>
          <cell r="F5810">
            <v>514639652</v>
          </cell>
          <cell r="G5810">
            <v>490780936</v>
          </cell>
        </row>
        <row r="5811">
          <cell r="C5811" t="str">
            <v>TOTAL</v>
          </cell>
          <cell r="F5811">
            <v>514639652</v>
          </cell>
          <cell r="G5811">
            <v>490780936</v>
          </cell>
        </row>
        <row r="5813">
          <cell r="C5813" t="str">
            <v>SISA</v>
          </cell>
          <cell r="D5813">
            <v>23858716</v>
          </cell>
        </row>
        <row r="5815">
          <cell r="A5815" t="str">
            <v>KODE BANTU</v>
          </cell>
          <cell r="B5815" t="str">
            <v>NO</v>
          </cell>
          <cell r="C5815" t="str">
            <v>NOVEMBER</v>
          </cell>
          <cell r="D5815" t="str">
            <v>URAIAN</v>
          </cell>
          <cell r="E5815" t="str">
            <v>KODE ANGGARAN</v>
          </cell>
          <cell r="F5815" t="str">
            <v>PENERIMAAN</v>
          </cell>
          <cell r="G5815" t="str">
            <v>PENGELUARAN</v>
          </cell>
        </row>
        <row r="5816">
          <cell r="A5816" t="str">
            <v>0</v>
          </cell>
        </row>
        <row r="5817">
          <cell r="A5817" t="str">
            <v>0</v>
          </cell>
        </row>
        <row r="5818">
          <cell r="A5818" t="str">
            <v>0</v>
          </cell>
        </row>
        <row r="5819">
          <cell r="A5819" t="str">
            <v>0</v>
          </cell>
        </row>
        <row r="5820">
          <cell r="A5820" t="str">
            <v>0</v>
          </cell>
        </row>
        <row r="5821">
          <cell r="A5821" t="str">
            <v>0</v>
          </cell>
        </row>
        <row r="5822">
          <cell r="A5822" t="str">
            <v>0</v>
          </cell>
        </row>
        <row r="5823">
          <cell r="A5823" t="str">
            <v>0</v>
          </cell>
        </row>
        <row r="5824">
          <cell r="A5824" t="str">
            <v>0</v>
          </cell>
        </row>
        <row r="5825">
          <cell r="A5825" t="str">
            <v>0</v>
          </cell>
        </row>
        <row r="5826">
          <cell r="A5826" t="str">
            <v>0</v>
          </cell>
        </row>
        <row r="5827">
          <cell r="A5827" t="str">
            <v>0</v>
          </cell>
        </row>
        <row r="5828">
          <cell r="A5828" t="str">
            <v>0</v>
          </cell>
        </row>
        <row r="5829">
          <cell r="A5829" t="str">
            <v>0</v>
          </cell>
        </row>
        <row r="5830">
          <cell r="A5830" t="str">
            <v>0</v>
          </cell>
        </row>
        <row r="5831">
          <cell r="A5831" t="str">
            <v>0</v>
          </cell>
        </row>
        <row r="5832">
          <cell r="A5832" t="str">
            <v>0</v>
          </cell>
        </row>
        <row r="5833">
          <cell r="A5833" t="str">
            <v>0</v>
          </cell>
        </row>
        <row r="5834">
          <cell r="A5834" t="str">
            <v>0</v>
          </cell>
        </row>
        <row r="5835">
          <cell r="A5835" t="str">
            <v>0</v>
          </cell>
        </row>
        <row r="5836">
          <cell r="A5836" t="str">
            <v>0</v>
          </cell>
        </row>
        <row r="5837">
          <cell r="A5837" t="str">
            <v>0</v>
          </cell>
        </row>
        <row r="5838">
          <cell r="A5838" t="str">
            <v>0</v>
          </cell>
        </row>
        <row r="5839">
          <cell r="A5839" t="str">
            <v>0</v>
          </cell>
        </row>
        <row r="5840">
          <cell r="A5840" t="str">
            <v>0</v>
          </cell>
        </row>
        <row r="5842">
          <cell r="C5842" t="str">
            <v>JUMLAH TANGGAL</v>
          </cell>
          <cell r="F5842">
            <v>0</v>
          </cell>
          <cell r="G5842">
            <v>0</v>
          </cell>
        </row>
        <row r="5843">
          <cell r="C5843" t="str">
            <v>HARI INI</v>
          </cell>
        </row>
        <row r="5844">
          <cell r="C5844" t="str">
            <v>JUMLAH S/D TANGGAL</v>
          </cell>
          <cell r="F5844">
            <v>514639652</v>
          </cell>
          <cell r="G5844">
            <v>490780936</v>
          </cell>
        </row>
        <row r="5845">
          <cell r="C5845" t="str">
            <v>TOTAL</v>
          </cell>
          <cell r="F5845">
            <v>514639652</v>
          </cell>
          <cell r="G5845">
            <v>490780936</v>
          </cell>
        </row>
        <row r="5847">
          <cell r="C5847" t="str">
            <v>SISA</v>
          </cell>
          <cell r="D5847">
            <v>23858716</v>
          </cell>
        </row>
        <row r="5849">
          <cell r="A5849" t="str">
            <v>KODE BANTU</v>
          </cell>
          <cell r="B5849" t="str">
            <v>NO</v>
          </cell>
          <cell r="C5849" t="str">
            <v>NOVEMBER</v>
          </cell>
          <cell r="D5849" t="str">
            <v>URAIAN</v>
          </cell>
          <cell r="E5849" t="str">
            <v>KODE ANGGARAN</v>
          </cell>
          <cell r="F5849" t="str">
            <v>PENERIMAAN</v>
          </cell>
          <cell r="G5849" t="str">
            <v>PENGELUARAN</v>
          </cell>
        </row>
        <row r="5850">
          <cell r="A5850" t="str">
            <v>0</v>
          </cell>
        </row>
        <row r="5851">
          <cell r="A5851" t="str">
            <v>0</v>
          </cell>
        </row>
        <row r="5852">
          <cell r="A5852" t="str">
            <v>0</v>
          </cell>
        </row>
        <row r="5853">
          <cell r="A5853" t="str">
            <v>0</v>
          </cell>
        </row>
        <row r="5854">
          <cell r="A5854" t="str">
            <v>0</v>
          </cell>
        </row>
        <row r="5855">
          <cell r="A5855" t="str">
            <v>0</v>
          </cell>
        </row>
        <row r="5856">
          <cell r="A5856" t="str">
            <v>0</v>
          </cell>
        </row>
        <row r="5857">
          <cell r="A5857" t="str">
            <v>0</v>
          </cell>
        </row>
        <row r="5858">
          <cell r="A5858" t="str">
            <v>0</v>
          </cell>
        </row>
        <row r="5859">
          <cell r="A5859" t="str">
            <v>0</v>
          </cell>
        </row>
        <row r="5860">
          <cell r="A5860" t="str">
            <v>0</v>
          </cell>
        </row>
        <row r="5861">
          <cell r="A5861" t="str">
            <v>0</v>
          </cell>
        </row>
        <row r="5862">
          <cell r="A5862" t="str">
            <v>0</v>
          </cell>
        </row>
        <row r="5863">
          <cell r="A5863" t="str">
            <v>0</v>
          </cell>
        </row>
        <row r="5864">
          <cell r="A5864" t="str">
            <v>0</v>
          </cell>
        </row>
        <row r="5865">
          <cell r="A5865" t="str">
            <v>0</v>
          </cell>
        </row>
        <row r="5866">
          <cell r="A5866" t="str">
            <v>0</v>
          </cell>
        </row>
        <row r="5867">
          <cell r="A5867" t="str">
            <v>0</v>
          </cell>
        </row>
        <row r="5868">
          <cell r="A5868" t="str">
            <v>0</v>
          </cell>
        </row>
        <row r="5869">
          <cell r="A5869" t="str">
            <v>0</v>
          </cell>
        </row>
        <row r="5870">
          <cell r="A5870" t="str">
            <v>0</v>
          </cell>
        </row>
        <row r="5871">
          <cell r="A5871" t="str">
            <v>0</v>
          </cell>
        </row>
        <row r="5872">
          <cell r="A5872" t="str">
            <v>0</v>
          </cell>
        </row>
        <row r="5873">
          <cell r="A5873" t="str">
            <v>0</v>
          </cell>
        </row>
        <row r="5874">
          <cell r="A5874" t="str">
            <v>0</v>
          </cell>
        </row>
        <row r="5876">
          <cell r="C5876" t="str">
            <v>JUMLAH TANGGAL</v>
          </cell>
          <cell r="F5876">
            <v>0</v>
          </cell>
          <cell r="G5876">
            <v>0</v>
          </cell>
        </row>
        <row r="5877">
          <cell r="C5877" t="str">
            <v>HARI INI</v>
          </cell>
        </row>
        <row r="5878">
          <cell r="C5878" t="str">
            <v>JUMLAH S/D TANGGAL</v>
          </cell>
          <cell r="F5878">
            <v>514639652</v>
          </cell>
          <cell r="G5878">
            <v>490780936</v>
          </cell>
        </row>
        <row r="5879">
          <cell r="C5879" t="str">
            <v>TOTAL</v>
          </cell>
          <cell r="F5879">
            <v>514639652</v>
          </cell>
          <cell r="G5879">
            <v>490780936</v>
          </cell>
        </row>
        <row r="5881">
          <cell r="C5881" t="str">
            <v>SISA</v>
          </cell>
          <cell r="D5881">
            <v>23858716</v>
          </cell>
        </row>
        <row r="5883">
          <cell r="A5883" t="str">
            <v>KODE BANTU</v>
          </cell>
          <cell r="B5883" t="str">
            <v>NO</v>
          </cell>
          <cell r="C5883" t="str">
            <v>NOVEMBER</v>
          </cell>
          <cell r="D5883" t="str">
            <v>URAIAN</v>
          </cell>
          <cell r="E5883" t="str">
            <v>KODE ANGGARAN</v>
          </cell>
          <cell r="F5883" t="str">
            <v>PENERIMAAN</v>
          </cell>
          <cell r="G5883" t="str">
            <v>PENGELUARAN</v>
          </cell>
        </row>
        <row r="5884">
          <cell r="A5884" t="str">
            <v>0</v>
          </cell>
        </row>
        <row r="5885">
          <cell r="A5885" t="str">
            <v>0</v>
          </cell>
        </row>
        <row r="5886">
          <cell r="A5886" t="str">
            <v>0</v>
          </cell>
        </row>
        <row r="5887">
          <cell r="A5887" t="str">
            <v>0</v>
          </cell>
        </row>
        <row r="5888">
          <cell r="A5888" t="str">
            <v>0</v>
          </cell>
        </row>
        <row r="5889">
          <cell r="A5889" t="str">
            <v>0</v>
          </cell>
        </row>
        <row r="5890">
          <cell r="A5890" t="str">
            <v>0</v>
          </cell>
        </row>
        <row r="5891">
          <cell r="A5891" t="str">
            <v>0</v>
          </cell>
        </row>
        <row r="5892">
          <cell r="A5892" t="str">
            <v>0</v>
          </cell>
        </row>
        <row r="5893">
          <cell r="A5893" t="str">
            <v>0</v>
          </cell>
        </row>
        <row r="5894">
          <cell r="A5894" t="str">
            <v>0</v>
          </cell>
        </row>
        <row r="5895">
          <cell r="A5895" t="str">
            <v>0</v>
          </cell>
        </row>
        <row r="5896">
          <cell r="A5896" t="str">
            <v>0</v>
          </cell>
        </row>
        <row r="5897">
          <cell r="A5897" t="str">
            <v>0</v>
          </cell>
        </row>
        <row r="5898">
          <cell r="A5898" t="str">
            <v>0</v>
          </cell>
        </row>
        <row r="5899">
          <cell r="A5899" t="str">
            <v>0</v>
          </cell>
        </row>
        <row r="5900">
          <cell r="A5900" t="str">
            <v>0</v>
          </cell>
        </row>
        <row r="5901">
          <cell r="A5901" t="str">
            <v>0</v>
          </cell>
        </row>
        <row r="5902">
          <cell r="A5902" t="str">
            <v>0</v>
          </cell>
        </row>
        <row r="5903">
          <cell r="A5903" t="str">
            <v>0</v>
          </cell>
        </row>
        <row r="5904">
          <cell r="A5904" t="str">
            <v>0</v>
          </cell>
        </row>
        <row r="5905">
          <cell r="A5905" t="str">
            <v>0</v>
          </cell>
        </row>
        <row r="5906">
          <cell r="A5906" t="str">
            <v>0</v>
          </cell>
        </row>
        <row r="5907">
          <cell r="A5907" t="str">
            <v>0</v>
          </cell>
        </row>
        <row r="5908">
          <cell r="A5908" t="str">
            <v>0</v>
          </cell>
        </row>
        <row r="5910">
          <cell r="C5910" t="str">
            <v>JUMLAH TANGGAL</v>
          </cell>
          <cell r="F5910">
            <v>0</v>
          </cell>
          <cell r="G5910">
            <v>0</v>
          </cell>
        </row>
        <row r="5911">
          <cell r="C5911" t="str">
            <v>HARI INI</v>
          </cell>
        </row>
        <row r="5912">
          <cell r="C5912" t="str">
            <v>JUMLAH S/D TANGGAL</v>
          </cell>
          <cell r="F5912">
            <v>514639652</v>
          </cell>
          <cell r="G5912">
            <v>490780936</v>
          </cell>
        </row>
        <row r="5913">
          <cell r="C5913" t="str">
            <v>TOTAL</v>
          </cell>
          <cell r="F5913">
            <v>514639652</v>
          </cell>
          <cell r="G5913">
            <v>490780936</v>
          </cell>
        </row>
        <row r="5915">
          <cell r="C5915" t="str">
            <v>SISA</v>
          </cell>
          <cell r="D5915">
            <v>23858716</v>
          </cell>
        </row>
        <row r="5917">
          <cell r="A5917" t="str">
            <v>KODE BANTU</v>
          </cell>
          <cell r="B5917" t="str">
            <v>NO</v>
          </cell>
          <cell r="C5917" t="str">
            <v>NOVEMBER</v>
          </cell>
          <cell r="D5917" t="str">
            <v>URAIAN</v>
          </cell>
          <cell r="E5917" t="str">
            <v>KODE ANGGARAN</v>
          </cell>
          <cell r="F5917" t="str">
            <v>PENERIMAAN</v>
          </cell>
          <cell r="G5917" t="str">
            <v>PENGELUARAN</v>
          </cell>
        </row>
        <row r="5918">
          <cell r="A5918" t="str">
            <v>0</v>
          </cell>
        </row>
        <row r="5919">
          <cell r="A5919" t="str">
            <v>0</v>
          </cell>
        </row>
        <row r="5920">
          <cell r="A5920" t="str">
            <v>0</v>
          </cell>
        </row>
        <row r="5921">
          <cell r="A5921" t="str">
            <v>0</v>
          </cell>
        </row>
        <row r="5922">
          <cell r="A5922" t="str">
            <v>0</v>
          </cell>
        </row>
        <row r="5923">
          <cell r="A5923" t="str">
            <v>0</v>
          </cell>
        </row>
        <row r="5924">
          <cell r="A5924" t="str">
            <v>0</v>
          </cell>
        </row>
        <row r="5925">
          <cell r="A5925" t="str">
            <v>0</v>
          </cell>
        </row>
        <row r="5926">
          <cell r="A5926" t="str">
            <v>0</v>
          </cell>
        </row>
        <row r="5927">
          <cell r="A5927" t="str">
            <v>0</v>
          </cell>
        </row>
        <row r="5928">
          <cell r="A5928" t="str">
            <v>0</v>
          </cell>
        </row>
        <row r="5929">
          <cell r="A5929" t="str">
            <v>0</v>
          </cell>
        </row>
        <row r="5930">
          <cell r="A5930" t="str">
            <v>0</v>
          </cell>
        </row>
        <row r="5931">
          <cell r="A5931" t="str">
            <v>0</v>
          </cell>
        </row>
        <row r="5932">
          <cell r="A5932" t="str">
            <v>0</v>
          </cell>
        </row>
        <row r="5933">
          <cell r="A5933" t="str">
            <v>0</v>
          </cell>
        </row>
        <row r="5934">
          <cell r="A5934" t="str">
            <v>0</v>
          </cell>
        </row>
        <row r="5935">
          <cell r="A5935" t="str">
            <v>0</v>
          </cell>
        </row>
        <row r="5936">
          <cell r="A5936" t="str">
            <v>0</v>
          </cell>
        </row>
        <row r="5937">
          <cell r="A5937" t="str">
            <v>0</v>
          </cell>
        </row>
        <row r="5938">
          <cell r="A5938" t="str">
            <v>0</v>
          </cell>
        </row>
        <row r="5939">
          <cell r="A5939" t="str">
            <v>0</v>
          </cell>
        </row>
        <row r="5940">
          <cell r="A5940" t="str">
            <v>0</v>
          </cell>
        </row>
        <row r="5941">
          <cell r="A5941" t="str">
            <v>0</v>
          </cell>
        </row>
        <row r="5942">
          <cell r="A5942" t="str">
            <v>0</v>
          </cell>
        </row>
        <row r="5944">
          <cell r="C5944" t="str">
            <v>JUMLAH TANGGAL</v>
          </cell>
          <cell r="F5944">
            <v>0</v>
          </cell>
          <cell r="G5944">
            <v>0</v>
          </cell>
        </row>
        <row r="5945">
          <cell r="C5945" t="str">
            <v>HARI INI</v>
          </cell>
        </row>
        <row r="5946">
          <cell r="C5946" t="str">
            <v>JUMLAH S/D TANGGAL</v>
          </cell>
          <cell r="F5946">
            <v>514639652</v>
          </cell>
          <cell r="G5946">
            <v>490780936</v>
          </cell>
        </row>
        <row r="5947">
          <cell r="C5947" t="str">
            <v>TOTAL</v>
          </cell>
          <cell r="F5947">
            <v>514639652</v>
          </cell>
          <cell r="G5947">
            <v>490780936</v>
          </cell>
        </row>
        <row r="5949">
          <cell r="C5949" t="str">
            <v>SISA</v>
          </cell>
          <cell r="D5949">
            <v>23858716</v>
          </cell>
        </row>
        <row r="5951">
          <cell r="A5951" t="str">
            <v>KODE BANTU</v>
          </cell>
          <cell r="B5951" t="str">
            <v>NO</v>
          </cell>
          <cell r="C5951" t="str">
            <v>NOVEMBER</v>
          </cell>
          <cell r="D5951" t="str">
            <v>URAIAN</v>
          </cell>
          <cell r="E5951" t="str">
            <v>KODE ANGGARAN</v>
          </cell>
          <cell r="F5951" t="str">
            <v>PENERIMAAN</v>
          </cell>
          <cell r="G5951" t="str">
            <v>PENGELUARAN</v>
          </cell>
        </row>
        <row r="5952">
          <cell r="A5952" t="str">
            <v>0</v>
          </cell>
        </row>
        <row r="5953">
          <cell r="A5953" t="str">
            <v>0</v>
          </cell>
        </row>
        <row r="5954">
          <cell r="A5954" t="str">
            <v>0</v>
          </cell>
        </row>
        <row r="5955">
          <cell r="A5955" t="str">
            <v>0</v>
          </cell>
        </row>
        <row r="5956">
          <cell r="A5956" t="str">
            <v>0</v>
          </cell>
        </row>
        <row r="5957">
          <cell r="A5957" t="str">
            <v>0</v>
          </cell>
        </row>
        <row r="5958">
          <cell r="A5958" t="str">
            <v>0</v>
          </cell>
        </row>
        <row r="5959">
          <cell r="A5959" t="str">
            <v>0</v>
          </cell>
        </row>
        <row r="5960">
          <cell r="A5960" t="str">
            <v>0</v>
          </cell>
        </row>
        <row r="5961">
          <cell r="A5961" t="str">
            <v>0</v>
          </cell>
        </row>
        <row r="5962">
          <cell r="A5962" t="str">
            <v>0</v>
          </cell>
        </row>
        <row r="5963">
          <cell r="A5963" t="str">
            <v>0</v>
          </cell>
        </row>
        <row r="5964">
          <cell r="A5964" t="str">
            <v>0</v>
          </cell>
        </row>
        <row r="5965">
          <cell r="A5965" t="str">
            <v>0</v>
          </cell>
        </row>
        <row r="5966">
          <cell r="A5966" t="str">
            <v>0</v>
          </cell>
        </row>
        <row r="5967">
          <cell r="A5967" t="str">
            <v>0</v>
          </cell>
        </row>
        <row r="5968">
          <cell r="A5968" t="str">
            <v>0</v>
          </cell>
        </row>
        <row r="5969">
          <cell r="A5969" t="str">
            <v>0</v>
          </cell>
        </row>
        <row r="5970">
          <cell r="A5970" t="str">
            <v>0</v>
          </cell>
        </row>
        <row r="5971">
          <cell r="A5971" t="str">
            <v>0</v>
          </cell>
        </row>
        <row r="5972">
          <cell r="A5972" t="str">
            <v>0</v>
          </cell>
        </row>
        <row r="5973">
          <cell r="A5973" t="str">
            <v>0</v>
          </cell>
        </row>
        <row r="5974">
          <cell r="A5974" t="str">
            <v>0</v>
          </cell>
        </row>
        <row r="5975">
          <cell r="A5975" t="str">
            <v>0</v>
          </cell>
        </row>
        <row r="5976">
          <cell r="A5976" t="str">
            <v>0</v>
          </cell>
        </row>
        <row r="5978">
          <cell r="C5978" t="str">
            <v>JUMLAH TANGGAL</v>
          </cell>
          <cell r="F5978">
            <v>0</v>
          </cell>
          <cell r="G5978">
            <v>0</v>
          </cell>
        </row>
        <row r="5979">
          <cell r="C5979" t="str">
            <v>HARI INI</v>
          </cell>
        </row>
        <row r="5980">
          <cell r="C5980" t="str">
            <v>JUMLAH S/D TANGGAL</v>
          </cell>
          <cell r="F5980">
            <v>514639652</v>
          </cell>
          <cell r="G5980">
            <v>490780936</v>
          </cell>
        </row>
        <row r="5981">
          <cell r="C5981" t="str">
            <v>TOTAL</v>
          </cell>
          <cell r="F5981">
            <v>514639652</v>
          </cell>
          <cell r="G5981">
            <v>490780936</v>
          </cell>
        </row>
        <row r="5983">
          <cell r="C5983" t="str">
            <v>SISA</v>
          </cell>
          <cell r="D5983">
            <v>23858716</v>
          </cell>
        </row>
        <row r="5985">
          <cell r="A5985" t="str">
            <v>KODE BANTU</v>
          </cell>
          <cell r="B5985" t="str">
            <v>NO</v>
          </cell>
          <cell r="C5985" t="str">
            <v>NOVEMBER</v>
          </cell>
          <cell r="D5985" t="str">
            <v>URAIAN</v>
          </cell>
          <cell r="E5985" t="str">
            <v>KODE ANGGARAN</v>
          </cell>
          <cell r="F5985" t="str">
            <v>PENERIMAAN</v>
          </cell>
          <cell r="G5985" t="str">
            <v>PENGELUARAN</v>
          </cell>
        </row>
        <row r="5986">
          <cell r="A5986" t="str">
            <v>0</v>
          </cell>
        </row>
        <row r="5987">
          <cell r="A5987" t="str">
            <v>0</v>
          </cell>
        </row>
        <row r="5988">
          <cell r="A5988" t="str">
            <v>0</v>
          </cell>
        </row>
        <row r="5989">
          <cell r="A5989" t="str">
            <v>0</v>
          </cell>
        </row>
        <row r="5990">
          <cell r="A5990" t="str">
            <v>0</v>
          </cell>
        </row>
        <row r="5991">
          <cell r="A5991" t="str">
            <v>0</v>
          </cell>
        </row>
        <row r="5992">
          <cell r="A5992" t="str">
            <v>0</v>
          </cell>
        </row>
        <row r="5993">
          <cell r="A5993" t="str">
            <v>0</v>
          </cell>
        </row>
        <row r="5994">
          <cell r="A5994" t="str">
            <v>0</v>
          </cell>
        </row>
        <row r="5995">
          <cell r="A5995" t="str">
            <v>0</v>
          </cell>
        </row>
        <row r="5996">
          <cell r="A5996" t="str">
            <v>0</v>
          </cell>
        </row>
        <row r="5997">
          <cell r="A5997" t="str">
            <v>0</v>
          </cell>
        </row>
        <row r="5998">
          <cell r="A5998" t="str">
            <v>0</v>
          </cell>
        </row>
        <row r="5999">
          <cell r="A5999" t="str">
            <v>0</v>
          </cell>
        </row>
        <row r="6000">
          <cell r="A6000" t="str">
            <v>0</v>
          </cell>
        </row>
        <row r="6001">
          <cell r="A6001" t="str">
            <v>0</v>
          </cell>
        </row>
        <row r="6002">
          <cell r="A6002" t="str">
            <v>0</v>
          </cell>
        </row>
        <row r="6003">
          <cell r="A6003" t="str">
            <v>0</v>
          </cell>
        </row>
        <row r="6004">
          <cell r="A6004" t="str">
            <v>0</v>
          </cell>
        </row>
        <row r="6005">
          <cell r="A6005" t="str">
            <v>0</v>
          </cell>
        </row>
        <row r="6006">
          <cell r="A6006" t="str">
            <v>0</v>
          </cell>
        </row>
        <row r="6007">
          <cell r="A6007" t="str">
            <v>0</v>
          </cell>
        </row>
        <row r="6008">
          <cell r="A6008" t="str">
            <v>0</v>
          </cell>
        </row>
        <row r="6009">
          <cell r="A6009" t="str">
            <v>0</v>
          </cell>
        </row>
        <row r="6010">
          <cell r="A6010" t="str">
            <v>0</v>
          </cell>
        </row>
        <row r="6012">
          <cell r="C6012" t="str">
            <v>JUMLAH TANGGAL</v>
          </cell>
          <cell r="F6012">
            <v>0</v>
          </cell>
          <cell r="G6012">
            <v>0</v>
          </cell>
        </row>
        <row r="6013">
          <cell r="C6013" t="str">
            <v>HARI INI</v>
          </cell>
        </row>
        <row r="6014">
          <cell r="C6014" t="str">
            <v>JUMLAH S/D TANGGAL</v>
          </cell>
          <cell r="F6014">
            <v>514639652</v>
          </cell>
          <cell r="G6014">
            <v>490780936</v>
          </cell>
        </row>
        <row r="6015">
          <cell r="C6015" t="str">
            <v>TOTAL</v>
          </cell>
          <cell r="F6015">
            <v>514639652</v>
          </cell>
          <cell r="G6015">
            <v>490780936</v>
          </cell>
        </row>
        <row r="6017">
          <cell r="C6017" t="str">
            <v>SISA</v>
          </cell>
          <cell r="D6017">
            <v>23858716</v>
          </cell>
        </row>
        <row r="6019">
          <cell r="A6019" t="str">
            <v>KODE BANTU</v>
          </cell>
          <cell r="B6019" t="str">
            <v>NO</v>
          </cell>
          <cell r="C6019" t="str">
            <v>NOVEMBER</v>
          </cell>
          <cell r="D6019" t="str">
            <v>URAIAN</v>
          </cell>
          <cell r="E6019" t="str">
            <v>KODE ANGGARAN</v>
          </cell>
          <cell r="F6019" t="str">
            <v>PENERIMAAN</v>
          </cell>
          <cell r="G6019" t="str">
            <v>PENGELUARAN</v>
          </cell>
        </row>
        <row r="6020">
          <cell r="A6020" t="str">
            <v>0</v>
          </cell>
        </row>
        <row r="6021">
          <cell r="A6021" t="str">
            <v>0</v>
          </cell>
        </row>
        <row r="6022">
          <cell r="A6022" t="str">
            <v>0</v>
          </cell>
        </row>
        <row r="6023">
          <cell r="A6023" t="str">
            <v>0</v>
          </cell>
        </row>
        <row r="6024">
          <cell r="A6024" t="str">
            <v>0</v>
          </cell>
        </row>
        <row r="6025">
          <cell r="A6025" t="str">
            <v>0</v>
          </cell>
        </row>
        <row r="6026">
          <cell r="A6026" t="str">
            <v>0</v>
          </cell>
        </row>
        <row r="6027">
          <cell r="A6027" t="str">
            <v>0</v>
          </cell>
        </row>
        <row r="6028">
          <cell r="A6028" t="str">
            <v>0</v>
          </cell>
        </row>
        <row r="6029">
          <cell r="A6029" t="str">
            <v>0</v>
          </cell>
        </row>
        <row r="6030">
          <cell r="A6030" t="str">
            <v>0</v>
          </cell>
        </row>
        <row r="6031">
          <cell r="A6031" t="str">
            <v>0</v>
          </cell>
        </row>
        <row r="6032">
          <cell r="A6032" t="str">
            <v>0</v>
          </cell>
        </row>
        <row r="6033">
          <cell r="A6033" t="str">
            <v>0</v>
          </cell>
        </row>
        <row r="6034">
          <cell r="A6034" t="str">
            <v>0</v>
          </cell>
        </row>
        <row r="6035">
          <cell r="A6035" t="str">
            <v>0</v>
          </cell>
        </row>
        <row r="6036">
          <cell r="A6036" t="str">
            <v>0</v>
          </cell>
        </row>
        <row r="6037">
          <cell r="A6037" t="str">
            <v>0</v>
          </cell>
        </row>
        <row r="6038">
          <cell r="A6038" t="str">
            <v>0</v>
          </cell>
        </row>
        <row r="6039">
          <cell r="A6039" t="str">
            <v>0</v>
          </cell>
        </row>
        <row r="6040">
          <cell r="A6040" t="str">
            <v>0</v>
          </cell>
        </row>
        <row r="6041">
          <cell r="A6041" t="str">
            <v>0</v>
          </cell>
        </row>
        <row r="6042">
          <cell r="A6042" t="str">
            <v>0</v>
          </cell>
        </row>
        <row r="6043">
          <cell r="A6043" t="str">
            <v>0</v>
          </cell>
        </row>
        <row r="6044">
          <cell r="A6044" t="str">
            <v>0</v>
          </cell>
        </row>
        <row r="6046">
          <cell r="C6046" t="str">
            <v>JUMLAH TANGGAL</v>
          </cell>
          <cell r="F6046">
            <v>0</v>
          </cell>
          <cell r="G6046">
            <v>0</v>
          </cell>
        </row>
        <row r="6047">
          <cell r="C6047" t="str">
            <v>HARI INI</v>
          </cell>
        </row>
        <row r="6048">
          <cell r="C6048" t="str">
            <v>JUMLAH S/D TANGGAL</v>
          </cell>
          <cell r="F6048">
            <v>514639652</v>
          </cell>
          <cell r="G6048">
            <v>490780936</v>
          </cell>
        </row>
        <row r="6049">
          <cell r="C6049" t="str">
            <v>TOTAL</v>
          </cell>
          <cell r="F6049">
            <v>514639652</v>
          </cell>
          <cell r="G6049">
            <v>490780936</v>
          </cell>
        </row>
        <row r="6051">
          <cell r="C6051" t="str">
            <v>SISA</v>
          </cell>
          <cell r="D6051">
            <v>23858716</v>
          </cell>
        </row>
        <row r="6053">
          <cell r="A6053" t="str">
            <v>KODE BANTU</v>
          </cell>
          <cell r="B6053" t="str">
            <v>NO</v>
          </cell>
          <cell r="C6053" t="str">
            <v>NOVEMBER</v>
          </cell>
          <cell r="D6053" t="str">
            <v>URAIAN</v>
          </cell>
          <cell r="E6053" t="str">
            <v>KODE ANGGARAN</v>
          </cell>
          <cell r="F6053" t="str">
            <v>PENERIMAAN</v>
          </cell>
          <cell r="G6053" t="str">
            <v>PENGELUARAN</v>
          </cell>
        </row>
        <row r="6054">
          <cell r="A6054" t="str">
            <v>0</v>
          </cell>
        </row>
        <row r="6055">
          <cell r="A6055" t="str">
            <v>0</v>
          </cell>
        </row>
        <row r="6056">
          <cell r="A6056" t="str">
            <v>0</v>
          </cell>
        </row>
        <row r="6057">
          <cell r="A6057" t="str">
            <v>0</v>
          </cell>
        </row>
        <row r="6058">
          <cell r="A6058" t="str">
            <v>0</v>
          </cell>
        </row>
        <row r="6059">
          <cell r="A6059" t="str">
            <v>0</v>
          </cell>
        </row>
        <row r="6060">
          <cell r="A6060" t="str">
            <v>0</v>
          </cell>
        </row>
        <row r="6061">
          <cell r="A6061" t="str">
            <v>0</v>
          </cell>
        </row>
        <row r="6062">
          <cell r="A6062" t="str">
            <v>0</v>
          </cell>
        </row>
        <row r="6063">
          <cell r="A6063" t="str">
            <v>0</v>
          </cell>
        </row>
        <row r="6064">
          <cell r="A6064" t="str">
            <v>0</v>
          </cell>
        </row>
        <row r="6065">
          <cell r="A6065" t="str">
            <v>0</v>
          </cell>
        </row>
        <row r="6066">
          <cell r="A6066" t="str">
            <v>0</v>
          </cell>
        </row>
        <row r="6067">
          <cell r="A6067" t="str">
            <v>0</v>
          </cell>
        </row>
        <row r="6068">
          <cell r="A6068" t="str">
            <v>0</v>
          </cell>
        </row>
        <row r="6069">
          <cell r="A6069" t="str">
            <v>0</v>
          </cell>
        </row>
        <row r="6070">
          <cell r="A6070" t="str">
            <v>0</v>
          </cell>
        </row>
        <row r="6071">
          <cell r="A6071" t="str">
            <v>0</v>
          </cell>
        </row>
        <row r="6072">
          <cell r="A6072" t="str">
            <v>0</v>
          </cell>
        </row>
        <row r="6073">
          <cell r="A6073" t="str">
            <v>0</v>
          </cell>
        </row>
        <row r="6074">
          <cell r="A6074" t="str">
            <v>0</v>
          </cell>
        </row>
        <row r="6075">
          <cell r="A6075" t="str">
            <v>0</v>
          </cell>
        </row>
        <row r="6076">
          <cell r="A6076" t="str">
            <v>0</v>
          </cell>
        </row>
        <row r="6077">
          <cell r="A6077" t="str">
            <v>0</v>
          </cell>
        </row>
        <row r="6078">
          <cell r="A6078" t="str">
            <v>0</v>
          </cell>
        </row>
        <row r="6080">
          <cell r="C6080" t="str">
            <v>JUMLAH TANGGAL</v>
          </cell>
          <cell r="F6080">
            <v>0</v>
          </cell>
          <cell r="G6080">
            <v>0</v>
          </cell>
        </row>
        <row r="6081">
          <cell r="C6081" t="str">
            <v>HARI INI</v>
          </cell>
        </row>
        <row r="6082">
          <cell r="C6082" t="str">
            <v>JUMLAH S/D TANGGAL</v>
          </cell>
          <cell r="F6082">
            <v>514639652</v>
          </cell>
          <cell r="G6082">
            <v>490780936</v>
          </cell>
        </row>
        <row r="6083">
          <cell r="C6083" t="str">
            <v>TOTAL</v>
          </cell>
          <cell r="F6083">
            <v>514639652</v>
          </cell>
          <cell r="G6083">
            <v>490780936</v>
          </cell>
        </row>
        <row r="6085">
          <cell r="C6085" t="str">
            <v>SISA</v>
          </cell>
          <cell r="D6085">
            <v>23858716</v>
          </cell>
        </row>
        <row r="6087">
          <cell r="A6087" t="str">
            <v>KODE BANTU</v>
          </cell>
          <cell r="B6087" t="str">
            <v>NO</v>
          </cell>
          <cell r="C6087" t="str">
            <v>NOVEMBER</v>
          </cell>
          <cell r="D6087" t="str">
            <v>URAIAN</v>
          </cell>
          <cell r="E6087" t="str">
            <v>KODE ANGGARAN</v>
          </cell>
          <cell r="F6087" t="str">
            <v>PENERIMAAN</v>
          </cell>
          <cell r="G6087" t="str">
            <v>PENGELUARAN</v>
          </cell>
        </row>
        <row r="6088">
          <cell r="A6088" t="str">
            <v>0</v>
          </cell>
        </row>
        <row r="6089">
          <cell r="A6089" t="str">
            <v>0</v>
          </cell>
        </row>
        <row r="6090">
          <cell r="A6090" t="str">
            <v>0</v>
          </cell>
        </row>
        <row r="6091">
          <cell r="A6091" t="str">
            <v>0</v>
          </cell>
        </row>
        <row r="6092">
          <cell r="A6092" t="str">
            <v>0</v>
          </cell>
        </row>
        <row r="6093">
          <cell r="A6093" t="str">
            <v>0</v>
          </cell>
        </row>
        <row r="6094">
          <cell r="A6094" t="str">
            <v>0</v>
          </cell>
        </row>
        <row r="6095">
          <cell r="A6095" t="str">
            <v>0</v>
          </cell>
        </row>
        <row r="6096">
          <cell r="A6096" t="str">
            <v>0</v>
          </cell>
        </row>
        <row r="6097">
          <cell r="A6097" t="str">
            <v>0</v>
          </cell>
        </row>
        <row r="6098">
          <cell r="A6098" t="str">
            <v>0</v>
          </cell>
        </row>
        <row r="6099">
          <cell r="A6099" t="str">
            <v>0</v>
          </cell>
        </row>
        <row r="6100">
          <cell r="A6100" t="str">
            <v>0</v>
          </cell>
        </row>
        <row r="6101">
          <cell r="A6101" t="str">
            <v>0</v>
          </cell>
        </row>
        <row r="6102">
          <cell r="A6102" t="str">
            <v>0</v>
          </cell>
        </row>
        <row r="6103">
          <cell r="A6103" t="str">
            <v>0</v>
          </cell>
        </row>
        <row r="6104">
          <cell r="A6104" t="str">
            <v>0</v>
          </cell>
        </row>
        <row r="6105">
          <cell r="A6105" t="str">
            <v>0</v>
          </cell>
        </row>
        <row r="6106">
          <cell r="A6106" t="str">
            <v>0</v>
          </cell>
        </row>
        <row r="6107">
          <cell r="A6107" t="str">
            <v>0</v>
          </cell>
        </row>
        <row r="6108">
          <cell r="A6108" t="str">
            <v>0</v>
          </cell>
        </row>
        <row r="6109">
          <cell r="A6109" t="str">
            <v>0</v>
          </cell>
        </row>
        <row r="6110">
          <cell r="A6110" t="str">
            <v>0</v>
          </cell>
        </row>
        <row r="6111">
          <cell r="A6111" t="str">
            <v>0</v>
          </cell>
        </row>
        <row r="6112">
          <cell r="A6112" t="str">
            <v>0</v>
          </cell>
        </row>
        <row r="6114">
          <cell r="C6114" t="str">
            <v>JUMLAH TANGGAL</v>
          </cell>
          <cell r="F6114">
            <v>0</v>
          </cell>
          <cell r="G6114">
            <v>0</v>
          </cell>
        </row>
        <row r="6115">
          <cell r="C6115" t="str">
            <v>HARI INI</v>
          </cell>
        </row>
        <row r="6116">
          <cell r="C6116" t="str">
            <v>JUMLAH S/D TANGGAL</v>
          </cell>
          <cell r="F6116">
            <v>514639652</v>
          </cell>
          <cell r="G6116">
            <v>490780936</v>
          </cell>
        </row>
        <row r="6117">
          <cell r="C6117" t="str">
            <v>TOTAL</v>
          </cell>
          <cell r="F6117">
            <v>514639652</v>
          </cell>
          <cell r="G6117">
            <v>490780936</v>
          </cell>
        </row>
        <row r="6119">
          <cell r="C6119" t="str">
            <v>SISA</v>
          </cell>
          <cell r="D6119">
            <v>23858716</v>
          </cell>
        </row>
        <row r="6121">
          <cell r="A6121" t="str">
            <v>KODE BANTU</v>
          </cell>
          <cell r="B6121" t="str">
            <v>NO</v>
          </cell>
          <cell r="C6121" t="str">
            <v>NOVEMBER</v>
          </cell>
          <cell r="D6121" t="str">
            <v>URAIAN</v>
          </cell>
          <cell r="E6121" t="str">
            <v>KODE ANGGARAN</v>
          </cell>
          <cell r="F6121" t="str">
            <v>PENERIMAAN</v>
          </cell>
          <cell r="G6121" t="str">
            <v>PENGELUARAN</v>
          </cell>
        </row>
        <row r="6122">
          <cell r="A6122" t="str">
            <v>0</v>
          </cell>
        </row>
        <row r="6123">
          <cell r="A6123" t="str">
            <v>0</v>
          </cell>
        </row>
        <row r="6124">
          <cell r="A6124" t="str">
            <v>0</v>
          </cell>
        </row>
        <row r="6125">
          <cell r="A6125" t="str">
            <v>0</v>
          </cell>
        </row>
        <row r="6126">
          <cell r="A6126" t="str">
            <v>0</v>
          </cell>
        </row>
        <row r="6127">
          <cell r="A6127" t="str">
            <v>0</v>
          </cell>
        </row>
        <row r="6128">
          <cell r="A6128" t="str">
            <v>0</v>
          </cell>
        </row>
        <row r="6129">
          <cell r="A6129" t="str">
            <v>0</v>
          </cell>
        </row>
        <row r="6130">
          <cell r="A6130" t="str">
            <v>0</v>
          </cell>
        </row>
        <row r="6131">
          <cell r="A6131" t="str">
            <v>0</v>
          </cell>
        </row>
        <row r="6132">
          <cell r="A6132" t="str">
            <v>0</v>
          </cell>
        </row>
        <row r="6133">
          <cell r="A6133" t="str">
            <v>0</v>
          </cell>
        </row>
        <row r="6134">
          <cell r="A6134" t="str">
            <v>0</v>
          </cell>
        </row>
        <row r="6135">
          <cell r="A6135" t="str">
            <v>0</v>
          </cell>
        </row>
        <row r="6136">
          <cell r="A6136" t="str">
            <v>0</v>
          </cell>
        </row>
        <row r="6137">
          <cell r="A6137" t="str">
            <v>0</v>
          </cell>
        </row>
        <row r="6138">
          <cell r="A6138" t="str">
            <v>0</v>
          </cell>
        </row>
        <row r="6139">
          <cell r="A6139" t="str">
            <v>0</v>
          </cell>
        </row>
        <row r="6140">
          <cell r="A6140" t="str">
            <v>0</v>
          </cell>
        </row>
        <row r="6141">
          <cell r="A6141" t="str">
            <v>0</v>
          </cell>
        </row>
        <row r="6142">
          <cell r="A6142" t="str">
            <v>0</v>
          </cell>
        </row>
        <row r="6143">
          <cell r="A6143" t="str">
            <v>0</v>
          </cell>
        </row>
        <row r="6144">
          <cell r="A6144" t="str">
            <v>0</v>
          </cell>
        </row>
        <row r="6145">
          <cell r="A6145" t="str">
            <v>0</v>
          </cell>
        </row>
        <row r="6146">
          <cell r="A6146" t="str">
            <v>0</v>
          </cell>
        </row>
        <row r="6148">
          <cell r="C6148" t="str">
            <v>JUMLAH TANGGAL</v>
          </cell>
          <cell r="F6148">
            <v>0</v>
          </cell>
          <cell r="G6148">
            <v>0</v>
          </cell>
        </row>
        <row r="6149">
          <cell r="C6149" t="str">
            <v>HARI INI</v>
          </cell>
        </row>
        <row r="6150">
          <cell r="C6150" t="str">
            <v>JUMLAH S/D TANGGAL</v>
          </cell>
          <cell r="F6150">
            <v>514639652</v>
          </cell>
          <cell r="G6150">
            <v>490780936</v>
          </cell>
        </row>
        <row r="6151">
          <cell r="C6151" t="str">
            <v>TOTAL</v>
          </cell>
          <cell r="F6151">
            <v>514639652</v>
          </cell>
          <cell r="G6151">
            <v>490780936</v>
          </cell>
        </row>
        <row r="6153">
          <cell r="C6153" t="str">
            <v>SISA</v>
          </cell>
          <cell r="D6153">
            <v>23858716</v>
          </cell>
        </row>
        <row r="6155">
          <cell r="A6155" t="str">
            <v>KODE BANTU</v>
          </cell>
          <cell r="B6155" t="str">
            <v>NO</v>
          </cell>
          <cell r="C6155" t="str">
            <v>NOVEMBER</v>
          </cell>
          <cell r="D6155" t="str">
            <v>URAIAN</v>
          </cell>
          <cell r="E6155" t="str">
            <v>KODE ANGGARAN</v>
          </cell>
          <cell r="F6155" t="str">
            <v>PENERIMAAN</v>
          </cell>
          <cell r="G6155" t="str">
            <v>PENGELUARAN</v>
          </cell>
        </row>
        <row r="6156">
          <cell r="A6156" t="str">
            <v>0</v>
          </cell>
        </row>
        <row r="6157">
          <cell r="A6157" t="str">
            <v>0</v>
          </cell>
        </row>
        <row r="6158">
          <cell r="A6158" t="str">
            <v>0</v>
          </cell>
        </row>
        <row r="6159">
          <cell r="A6159" t="str">
            <v>0</v>
          </cell>
        </row>
        <row r="6160">
          <cell r="A6160" t="str">
            <v>0</v>
          </cell>
        </row>
        <row r="6161">
          <cell r="A6161" t="str">
            <v>0</v>
          </cell>
        </row>
        <row r="6162">
          <cell r="A6162" t="str">
            <v>0</v>
          </cell>
        </row>
        <row r="6163">
          <cell r="A6163" t="str">
            <v>0</v>
          </cell>
        </row>
        <row r="6164">
          <cell r="A6164" t="str">
            <v>0</v>
          </cell>
        </row>
        <row r="6165">
          <cell r="A6165" t="str">
            <v>0</v>
          </cell>
        </row>
        <row r="6166">
          <cell r="A6166" t="str">
            <v>0</v>
          </cell>
        </row>
        <row r="6167">
          <cell r="A6167" t="str">
            <v>0</v>
          </cell>
        </row>
        <row r="6168">
          <cell r="A6168" t="str">
            <v>0</v>
          </cell>
        </row>
        <row r="6169">
          <cell r="A6169" t="str">
            <v>0</v>
          </cell>
        </row>
        <row r="6170">
          <cell r="A6170" t="str">
            <v>0</v>
          </cell>
        </row>
        <row r="6171">
          <cell r="A6171" t="str">
            <v>0</v>
          </cell>
        </row>
        <row r="6172">
          <cell r="A6172" t="str">
            <v>0</v>
          </cell>
        </row>
        <row r="6173">
          <cell r="A6173" t="str">
            <v>0</v>
          </cell>
        </row>
        <row r="6174">
          <cell r="A6174" t="str">
            <v>0</v>
          </cell>
        </row>
        <row r="6175">
          <cell r="A6175" t="str">
            <v>0</v>
          </cell>
        </row>
        <row r="6176">
          <cell r="A6176" t="str">
            <v>0</v>
          </cell>
        </row>
        <row r="6177">
          <cell r="A6177" t="str">
            <v>0</v>
          </cell>
        </row>
        <row r="6178">
          <cell r="A6178" t="str">
            <v>0</v>
          </cell>
        </row>
        <row r="6179">
          <cell r="A6179" t="str">
            <v>0</v>
          </cell>
        </row>
        <row r="6180">
          <cell r="A6180" t="str">
            <v>0</v>
          </cell>
        </row>
        <row r="6182">
          <cell r="C6182" t="str">
            <v>JUMLAH TANGGAL</v>
          </cell>
          <cell r="F6182">
            <v>0</v>
          </cell>
          <cell r="G6182">
            <v>0</v>
          </cell>
        </row>
        <row r="6183">
          <cell r="C6183" t="str">
            <v>HARI INI</v>
          </cell>
        </row>
        <row r="6184">
          <cell r="C6184" t="str">
            <v>JUMLAH S/D TANGGAL</v>
          </cell>
          <cell r="F6184">
            <v>514639652</v>
          </cell>
          <cell r="G6184">
            <v>490780936</v>
          </cell>
        </row>
        <row r="6185">
          <cell r="C6185" t="str">
            <v>TOTAL</v>
          </cell>
          <cell r="F6185">
            <v>514639652</v>
          </cell>
          <cell r="G6185">
            <v>490780936</v>
          </cell>
        </row>
        <row r="6187">
          <cell r="C6187" t="str">
            <v>SISA</v>
          </cell>
          <cell r="D6187">
            <v>23858716</v>
          </cell>
        </row>
        <row r="6189">
          <cell r="A6189" t="str">
            <v>KODE BANTU</v>
          </cell>
          <cell r="B6189" t="str">
            <v>NO</v>
          </cell>
          <cell r="C6189" t="str">
            <v>NOVEMBER</v>
          </cell>
          <cell r="D6189" t="str">
            <v>URAIAN</v>
          </cell>
          <cell r="E6189" t="str">
            <v>KODE ANGGARAN</v>
          </cell>
          <cell r="F6189" t="str">
            <v>PENERIMAAN</v>
          </cell>
          <cell r="G6189" t="str">
            <v>PENGELUARAN</v>
          </cell>
        </row>
        <row r="6190">
          <cell r="A6190" t="str">
            <v>0</v>
          </cell>
        </row>
        <row r="6191">
          <cell r="A6191" t="str">
            <v>0</v>
          </cell>
        </row>
        <row r="6192">
          <cell r="A6192" t="str">
            <v>0</v>
          </cell>
        </row>
        <row r="6193">
          <cell r="A6193" t="str">
            <v>0</v>
          </cell>
        </row>
        <row r="6194">
          <cell r="A6194" t="str">
            <v>0</v>
          </cell>
        </row>
        <row r="6195">
          <cell r="A6195" t="str">
            <v>0</v>
          </cell>
        </row>
        <row r="6196">
          <cell r="A6196" t="str">
            <v>0</v>
          </cell>
        </row>
        <row r="6197">
          <cell r="A6197" t="str">
            <v>0</v>
          </cell>
        </row>
        <row r="6198">
          <cell r="A6198" t="str">
            <v>0</v>
          </cell>
        </row>
        <row r="6199">
          <cell r="A6199" t="str">
            <v>0</v>
          </cell>
        </row>
        <row r="6200">
          <cell r="A6200" t="str">
            <v>0</v>
          </cell>
        </row>
        <row r="6201">
          <cell r="A6201" t="str">
            <v>0</v>
          </cell>
        </row>
        <row r="6202">
          <cell r="A6202" t="str">
            <v>0</v>
          </cell>
        </row>
        <row r="6203">
          <cell r="A6203" t="str">
            <v>0</v>
          </cell>
        </row>
        <row r="6204">
          <cell r="A6204" t="str">
            <v>0</v>
          </cell>
        </row>
        <row r="6205">
          <cell r="A6205" t="str">
            <v>0</v>
          </cell>
        </row>
        <row r="6206">
          <cell r="A6206" t="str">
            <v>0</v>
          </cell>
        </row>
        <row r="6207">
          <cell r="A6207" t="str">
            <v>0</v>
          </cell>
        </row>
        <row r="6208">
          <cell r="A6208" t="str">
            <v>0</v>
          </cell>
        </row>
        <row r="6209">
          <cell r="A6209" t="str">
            <v>0</v>
          </cell>
        </row>
        <row r="6210">
          <cell r="A6210" t="str">
            <v>0</v>
          </cell>
        </row>
        <row r="6211">
          <cell r="A6211" t="str">
            <v>0</v>
          </cell>
        </row>
        <row r="6212">
          <cell r="A6212" t="str">
            <v>0</v>
          </cell>
        </row>
        <row r="6213">
          <cell r="A6213" t="str">
            <v>0</v>
          </cell>
        </row>
        <row r="6214">
          <cell r="A6214" t="str">
            <v>0</v>
          </cell>
        </row>
        <row r="6216">
          <cell r="C6216" t="str">
            <v>JUMLAH TANGGAL</v>
          </cell>
          <cell r="F6216">
            <v>0</v>
          </cell>
          <cell r="G6216">
            <v>0</v>
          </cell>
        </row>
        <row r="6217">
          <cell r="C6217" t="str">
            <v>HARI INI</v>
          </cell>
        </row>
        <row r="6218">
          <cell r="C6218" t="str">
            <v>JUMLAH S/D TANGGAL</v>
          </cell>
          <cell r="F6218">
            <v>514639652</v>
          </cell>
          <cell r="G6218">
            <v>490780936</v>
          </cell>
        </row>
        <row r="6219">
          <cell r="C6219" t="str">
            <v>TOTAL</v>
          </cell>
          <cell r="F6219">
            <v>514639652</v>
          </cell>
          <cell r="G6219">
            <v>490780936</v>
          </cell>
        </row>
        <row r="6221">
          <cell r="C6221" t="str">
            <v>SISA</v>
          </cell>
          <cell r="D6221">
            <v>23858716</v>
          </cell>
        </row>
        <row r="6223">
          <cell r="A6223" t="str">
            <v>KODE BANTU</v>
          </cell>
          <cell r="B6223" t="str">
            <v>NO</v>
          </cell>
          <cell r="C6223" t="str">
            <v>NOVEMBER</v>
          </cell>
          <cell r="D6223" t="str">
            <v>URAIAN</v>
          </cell>
          <cell r="E6223" t="str">
            <v>KODE ANGGARAN</v>
          </cell>
          <cell r="F6223" t="str">
            <v>PENERIMAAN</v>
          </cell>
          <cell r="G6223" t="str">
            <v>PENGELUARAN</v>
          </cell>
        </row>
        <row r="6224">
          <cell r="A6224" t="str">
            <v>0</v>
          </cell>
        </row>
        <row r="6225">
          <cell r="A6225" t="str">
            <v>0</v>
          </cell>
        </row>
        <row r="6226">
          <cell r="A6226" t="str">
            <v>0</v>
          </cell>
        </row>
        <row r="6227">
          <cell r="A6227" t="str">
            <v>0</v>
          </cell>
        </row>
        <row r="6228">
          <cell r="A6228" t="str">
            <v>0</v>
          </cell>
        </row>
        <row r="6229">
          <cell r="A6229" t="str">
            <v>0</v>
          </cell>
        </row>
        <row r="6230">
          <cell r="A6230" t="str">
            <v>0</v>
          </cell>
        </row>
        <row r="6231">
          <cell r="A6231" t="str">
            <v>0</v>
          </cell>
        </row>
        <row r="6232">
          <cell r="A6232" t="str">
            <v>0</v>
          </cell>
        </row>
        <row r="6233">
          <cell r="A6233" t="str">
            <v>0</v>
          </cell>
        </row>
        <row r="6234">
          <cell r="A6234" t="str">
            <v>0</v>
          </cell>
        </row>
        <row r="6235">
          <cell r="A6235" t="str">
            <v>0</v>
          </cell>
        </row>
        <row r="6236">
          <cell r="A6236" t="str">
            <v>0</v>
          </cell>
        </row>
        <row r="6237">
          <cell r="A6237" t="str">
            <v>0</v>
          </cell>
        </row>
        <row r="6238">
          <cell r="A6238" t="str">
            <v>0</v>
          </cell>
        </row>
        <row r="6239">
          <cell r="A6239" t="str">
            <v>0</v>
          </cell>
        </row>
        <row r="6240">
          <cell r="A6240" t="str">
            <v>0</v>
          </cell>
        </row>
        <row r="6241">
          <cell r="A6241" t="str">
            <v>0</v>
          </cell>
        </row>
        <row r="6242">
          <cell r="A6242" t="str">
            <v>0</v>
          </cell>
        </row>
        <row r="6243">
          <cell r="A6243" t="str">
            <v>0</v>
          </cell>
        </row>
        <row r="6244">
          <cell r="A6244" t="str">
            <v>0</v>
          </cell>
        </row>
        <row r="6245">
          <cell r="A6245" t="str">
            <v>0</v>
          </cell>
        </row>
        <row r="6246">
          <cell r="A6246" t="str">
            <v>0</v>
          </cell>
        </row>
        <row r="6247">
          <cell r="A6247" t="str">
            <v>0</v>
          </cell>
        </row>
        <row r="6248">
          <cell r="A6248" t="str">
            <v>0</v>
          </cell>
        </row>
        <row r="6250">
          <cell r="C6250" t="str">
            <v>JUMLAH TANGGAL</v>
          </cell>
          <cell r="F6250">
            <v>0</v>
          </cell>
          <cell r="G6250">
            <v>0</v>
          </cell>
        </row>
        <row r="6251">
          <cell r="C6251" t="str">
            <v>HARI INI</v>
          </cell>
        </row>
        <row r="6252">
          <cell r="C6252" t="str">
            <v>JUMLAH S/D TANGGAL</v>
          </cell>
          <cell r="F6252">
            <v>514639652</v>
          </cell>
          <cell r="G6252">
            <v>490780936</v>
          </cell>
        </row>
        <row r="6253">
          <cell r="C6253" t="str">
            <v>TOTAL</v>
          </cell>
          <cell r="F6253">
            <v>514639652</v>
          </cell>
          <cell r="G6253">
            <v>490780936</v>
          </cell>
        </row>
        <row r="6255">
          <cell r="C6255" t="str">
            <v>SISA</v>
          </cell>
          <cell r="D6255">
            <v>23858716</v>
          </cell>
        </row>
        <row r="6257">
          <cell r="A6257" t="str">
            <v>KODE BANTU</v>
          </cell>
          <cell r="B6257" t="str">
            <v>NO</v>
          </cell>
          <cell r="C6257" t="str">
            <v>NOVEMBER</v>
          </cell>
          <cell r="D6257" t="str">
            <v>URAIAN</v>
          </cell>
          <cell r="E6257" t="str">
            <v>KODE ANGGARAN</v>
          </cell>
          <cell r="F6257" t="str">
            <v>PENERIMAAN</v>
          </cell>
          <cell r="G6257" t="str">
            <v>PENGELUARAN</v>
          </cell>
        </row>
        <row r="6258">
          <cell r="A6258" t="str">
            <v>0</v>
          </cell>
        </row>
        <row r="6259">
          <cell r="A6259" t="str">
            <v>0</v>
          </cell>
        </row>
        <row r="6260">
          <cell r="A6260" t="str">
            <v>0</v>
          </cell>
        </row>
        <row r="6261">
          <cell r="A6261" t="str">
            <v>0</v>
          </cell>
        </row>
        <row r="6262">
          <cell r="A6262" t="str">
            <v>0</v>
          </cell>
        </row>
        <row r="6263">
          <cell r="A6263" t="str">
            <v>0</v>
          </cell>
        </row>
        <row r="6264">
          <cell r="A6264" t="str">
            <v>0</v>
          </cell>
        </row>
        <row r="6265">
          <cell r="A6265" t="str">
            <v>0</v>
          </cell>
        </row>
        <row r="6266">
          <cell r="A6266" t="str">
            <v>0</v>
          </cell>
        </row>
        <row r="6267">
          <cell r="A6267" t="str">
            <v>0</v>
          </cell>
        </row>
        <row r="6268">
          <cell r="A6268" t="str">
            <v>0</v>
          </cell>
        </row>
        <row r="6269">
          <cell r="A6269" t="str">
            <v>0</v>
          </cell>
        </row>
        <row r="6270">
          <cell r="A6270" t="str">
            <v>0</v>
          </cell>
        </row>
        <row r="6271">
          <cell r="A6271" t="str">
            <v>0</v>
          </cell>
        </row>
        <row r="6272">
          <cell r="A6272" t="str">
            <v>0</v>
          </cell>
        </row>
        <row r="6273">
          <cell r="A6273" t="str">
            <v>0</v>
          </cell>
        </row>
        <row r="6274">
          <cell r="A6274" t="str">
            <v>0</v>
          </cell>
        </row>
        <row r="6275">
          <cell r="A6275" t="str">
            <v>0</v>
          </cell>
        </row>
        <row r="6276">
          <cell r="A6276" t="str">
            <v>0</v>
          </cell>
        </row>
        <row r="6277">
          <cell r="A6277" t="str">
            <v>0</v>
          </cell>
        </row>
        <row r="6278">
          <cell r="A6278" t="str">
            <v>0</v>
          </cell>
        </row>
        <row r="6279">
          <cell r="A6279" t="str">
            <v>0</v>
          </cell>
        </row>
        <row r="6280">
          <cell r="A6280" t="str">
            <v>0</v>
          </cell>
        </row>
        <row r="6281">
          <cell r="A6281" t="str">
            <v>0</v>
          </cell>
        </row>
        <row r="6282">
          <cell r="A6282" t="str">
            <v>0</v>
          </cell>
        </row>
        <row r="6284">
          <cell r="C6284" t="str">
            <v>JUMLAH TANGGAL</v>
          </cell>
          <cell r="F6284">
            <v>0</v>
          </cell>
          <cell r="G6284">
            <v>0</v>
          </cell>
        </row>
        <row r="6285">
          <cell r="C6285" t="str">
            <v>HARI INI</v>
          </cell>
        </row>
        <row r="6286">
          <cell r="C6286" t="str">
            <v>JUMLAH S/D TANGGAL</v>
          </cell>
          <cell r="F6286">
            <v>514639652</v>
          </cell>
          <cell r="G6286">
            <v>490780936</v>
          </cell>
        </row>
        <row r="6287">
          <cell r="C6287" t="str">
            <v>TOTAL</v>
          </cell>
          <cell r="F6287">
            <v>514639652</v>
          </cell>
          <cell r="G6287">
            <v>490780936</v>
          </cell>
        </row>
        <row r="6289">
          <cell r="C6289" t="str">
            <v>SISA</v>
          </cell>
          <cell r="D6289">
            <v>23858716</v>
          </cell>
        </row>
        <row r="6291">
          <cell r="A6291" t="str">
            <v>KODE BANTU</v>
          </cell>
          <cell r="B6291" t="str">
            <v>NO</v>
          </cell>
          <cell r="C6291" t="str">
            <v>NOVEMBER</v>
          </cell>
          <cell r="D6291" t="str">
            <v>URAIAN</v>
          </cell>
          <cell r="E6291" t="str">
            <v>KODE ANGGARAN</v>
          </cell>
          <cell r="F6291" t="str">
            <v>PENERIMAAN</v>
          </cell>
          <cell r="G6291" t="str">
            <v>PENGELUARAN</v>
          </cell>
        </row>
        <row r="6292">
          <cell r="A6292" t="str">
            <v>0</v>
          </cell>
        </row>
        <row r="6293">
          <cell r="A6293" t="str">
            <v>0</v>
          </cell>
        </row>
        <row r="6294">
          <cell r="A6294" t="str">
            <v>0</v>
          </cell>
        </row>
        <row r="6295">
          <cell r="A6295" t="str">
            <v>0</v>
          </cell>
        </row>
        <row r="6296">
          <cell r="A6296" t="str">
            <v>0</v>
          </cell>
        </row>
        <row r="6297">
          <cell r="A6297" t="str">
            <v>0</v>
          </cell>
        </row>
        <row r="6298">
          <cell r="A6298" t="str">
            <v>0</v>
          </cell>
        </row>
        <row r="6299">
          <cell r="A6299" t="str">
            <v>0</v>
          </cell>
        </row>
        <row r="6300">
          <cell r="A6300" t="str">
            <v>0</v>
          </cell>
        </row>
        <row r="6301">
          <cell r="A6301" t="str">
            <v>0</v>
          </cell>
        </row>
        <row r="6302">
          <cell r="A6302" t="str">
            <v>0</v>
          </cell>
        </row>
        <row r="6303">
          <cell r="A6303" t="str">
            <v>0</v>
          </cell>
        </row>
        <row r="6304">
          <cell r="A6304" t="str">
            <v>0</v>
          </cell>
        </row>
        <row r="6305">
          <cell r="A6305" t="str">
            <v>0</v>
          </cell>
        </row>
        <row r="6306">
          <cell r="A6306" t="str">
            <v>0</v>
          </cell>
        </row>
        <row r="6307">
          <cell r="A6307" t="str">
            <v>0</v>
          </cell>
        </row>
        <row r="6308">
          <cell r="A6308" t="str">
            <v>0</v>
          </cell>
        </row>
        <row r="6309">
          <cell r="A6309" t="str">
            <v>0</v>
          </cell>
        </row>
        <row r="6310">
          <cell r="A6310" t="str">
            <v>0</v>
          </cell>
        </row>
        <row r="6311">
          <cell r="A6311" t="str">
            <v>0</v>
          </cell>
        </row>
        <row r="6312">
          <cell r="A6312" t="str">
            <v>0</v>
          </cell>
        </row>
        <row r="6313">
          <cell r="A6313" t="str">
            <v>0</v>
          </cell>
        </row>
        <row r="6314">
          <cell r="A6314" t="str">
            <v>0</v>
          </cell>
        </row>
        <row r="6315">
          <cell r="A6315" t="str">
            <v>0</v>
          </cell>
        </row>
        <row r="6316">
          <cell r="A6316" t="str">
            <v>0</v>
          </cell>
        </row>
        <row r="6318">
          <cell r="C6318" t="str">
            <v>JUMLAH TANGGAL</v>
          </cell>
          <cell r="F6318">
            <v>0</v>
          </cell>
          <cell r="G6318">
            <v>0</v>
          </cell>
        </row>
        <row r="6319">
          <cell r="C6319" t="str">
            <v>HARI INI</v>
          </cell>
        </row>
        <row r="6320">
          <cell r="C6320" t="str">
            <v>JUMLAH S/D TANGGAL</v>
          </cell>
          <cell r="F6320">
            <v>514639652</v>
          </cell>
          <cell r="G6320">
            <v>490780936</v>
          </cell>
        </row>
        <row r="6321">
          <cell r="C6321" t="str">
            <v>TOTAL</v>
          </cell>
          <cell r="F6321">
            <v>514639652</v>
          </cell>
          <cell r="G6321">
            <v>490780936</v>
          </cell>
        </row>
        <row r="6323">
          <cell r="C6323" t="str">
            <v>SISA</v>
          </cell>
          <cell r="D6323">
            <v>23858716</v>
          </cell>
        </row>
        <row r="6325">
          <cell r="A6325" t="str">
            <v>KODE BANTU</v>
          </cell>
          <cell r="B6325" t="str">
            <v>NO</v>
          </cell>
          <cell r="C6325" t="str">
            <v>NOVEMBER</v>
          </cell>
          <cell r="D6325" t="str">
            <v>URAIAN</v>
          </cell>
          <cell r="E6325" t="str">
            <v>KODE ANGGARAN</v>
          </cell>
          <cell r="F6325" t="str">
            <v>PENERIMAAN</v>
          </cell>
          <cell r="G6325" t="str">
            <v>PENGELUARAN</v>
          </cell>
        </row>
        <row r="6326">
          <cell r="A6326" t="str">
            <v>0</v>
          </cell>
        </row>
        <row r="6327">
          <cell r="A6327" t="str">
            <v>0</v>
          </cell>
        </row>
        <row r="6328">
          <cell r="A6328" t="str">
            <v>0</v>
          </cell>
        </row>
        <row r="6329">
          <cell r="A6329" t="str">
            <v>0</v>
          </cell>
        </row>
        <row r="6330">
          <cell r="A6330" t="str">
            <v>0</v>
          </cell>
        </row>
        <row r="6331">
          <cell r="A6331" t="str">
            <v>0</v>
          </cell>
        </row>
        <row r="6332">
          <cell r="A6332" t="str">
            <v>0</v>
          </cell>
        </row>
        <row r="6333">
          <cell r="A6333" t="str">
            <v>0</v>
          </cell>
        </row>
        <row r="6334">
          <cell r="A6334" t="str">
            <v>0</v>
          </cell>
        </row>
        <row r="6335">
          <cell r="A6335" t="str">
            <v>0</v>
          </cell>
        </row>
        <row r="6336">
          <cell r="A6336" t="str">
            <v>0</v>
          </cell>
        </row>
        <row r="6337">
          <cell r="A6337" t="str">
            <v>0</v>
          </cell>
        </row>
        <row r="6338">
          <cell r="A6338" t="str">
            <v>0</v>
          </cell>
        </row>
        <row r="6339">
          <cell r="A6339" t="str">
            <v>0</v>
          </cell>
        </row>
        <row r="6340">
          <cell r="A6340" t="str">
            <v>0</v>
          </cell>
        </row>
        <row r="6341">
          <cell r="A6341" t="str">
            <v>0</v>
          </cell>
        </row>
        <row r="6342">
          <cell r="A6342" t="str">
            <v>0</v>
          </cell>
        </row>
        <row r="6343">
          <cell r="A6343" t="str">
            <v>0</v>
          </cell>
        </row>
        <row r="6344">
          <cell r="A6344" t="str">
            <v>0</v>
          </cell>
        </row>
        <row r="6345">
          <cell r="A6345" t="str">
            <v>0</v>
          </cell>
        </row>
        <row r="6346">
          <cell r="A6346" t="str">
            <v>0</v>
          </cell>
        </row>
        <row r="6347">
          <cell r="A6347" t="str">
            <v>0</v>
          </cell>
        </row>
        <row r="6348">
          <cell r="A6348" t="str">
            <v>0</v>
          </cell>
        </row>
        <row r="6349">
          <cell r="A6349" t="str">
            <v>0</v>
          </cell>
        </row>
        <row r="6350">
          <cell r="A6350" t="str">
            <v>0</v>
          </cell>
        </row>
        <row r="6352">
          <cell r="C6352" t="str">
            <v>JUMLAH TANGGAL</v>
          </cell>
          <cell r="F6352">
            <v>0</v>
          </cell>
          <cell r="G6352">
            <v>0</v>
          </cell>
        </row>
        <row r="6353">
          <cell r="C6353" t="str">
            <v>HARI INI</v>
          </cell>
        </row>
        <row r="6354">
          <cell r="C6354" t="str">
            <v>JUMLAH S/D TANGGAL</v>
          </cell>
          <cell r="F6354">
            <v>514639652</v>
          </cell>
          <cell r="G6354">
            <v>490780936</v>
          </cell>
        </row>
        <row r="6355">
          <cell r="C6355" t="str">
            <v>TOTAL</v>
          </cell>
          <cell r="F6355">
            <v>514639652</v>
          </cell>
          <cell r="G6355">
            <v>490780936</v>
          </cell>
        </row>
        <row r="6357">
          <cell r="C6357" t="str">
            <v>SISA</v>
          </cell>
          <cell r="D6357">
            <v>23858716</v>
          </cell>
        </row>
        <row r="6359">
          <cell r="A6359" t="str">
            <v>KODE BANTU</v>
          </cell>
          <cell r="B6359" t="str">
            <v>NO</v>
          </cell>
          <cell r="C6359" t="str">
            <v>NOVEMBER</v>
          </cell>
          <cell r="D6359" t="str">
            <v>URAIAN</v>
          </cell>
          <cell r="E6359" t="str">
            <v>KODE ANGGARAN</v>
          </cell>
          <cell r="F6359" t="str">
            <v>PENERIMAAN</v>
          </cell>
          <cell r="G6359" t="str">
            <v>PENGELUARAN</v>
          </cell>
        </row>
        <row r="6360">
          <cell r="A6360" t="str">
            <v>0</v>
          </cell>
        </row>
        <row r="6361">
          <cell r="A6361" t="str">
            <v>0</v>
          </cell>
        </row>
        <row r="6362">
          <cell r="A6362" t="str">
            <v>0</v>
          </cell>
        </row>
        <row r="6363">
          <cell r="A6363" t="str">
            <v>0</v>
          </cell>
        </row>
        <row r="6364">
          <cell r="A6364" t="str">
            <v>0</v>
          </cell>
        </row>
        <row r="6365">
          <cell r="A6365" t="str">
            <v>0</v>
          </cell>
        </row>
        <row r="6366">
          <cell r="A6366" t="str">
            <v>0</v>
          </cell>
        </row>
        <row r="6367">
          <cell r="A6367" t="str">
            <v>0</v>
          </cell>
        </row>
        <row r="6368">
          <cell r="A6368" t="str">
            <v>0</v>
          </cell>
        </row>
        <row r="6369">
          <cell r="A6369" t="str">
            <v>0</v>
          </cell>
        </row>
        <row r="6370">
          <cell r="A6370" t="str">
            <v>0</v>
          </cell>
        </row>
        <row r="6371">
          <cell r="A6371" t="str">
            <v>0</v>
          </cell>
        </row>
        <row r="6372">
          <cell r="A6372" t="str">
            <v>0</v>
          </cell>
        </row>
        <row r="6373">
          <cell r="A6373" t="str">
            <v>0</v>
          </cell>
        </row>
        <row r="6374">
          <cell r="A6374" t="str">
            <v>0</v>
          </cell>
        </row>
        <row r="6375">
          <cell r="A6375" t="str">
            <v>0</v>
          </cell>
        </row>
        <row r="6376">
          <cell r="A6376" t="str">
            <v>0</v>
          </cell>
        </row>
        <row r="6377">
          <cell r="A6377" t="str">
            <v>0</v>
          </cell>
        </row>
        <row r="6378">
          <cell r="A6378" t="str">
            <v>0</v>
          </cell>
        </row>
        <row r="6379">
          <cell r="A6379" t="str">
            <v>0</v>
          </cell>
        </row>
        <row r="6380">
          <cell r="A6380" t="str">
            <v>0</v>
          </cell>
        </row>
        <row r="6381">
          <cell r="A6381" t="str">
            <v>0</v>
          </cell>
        </row>
        <row r="6382">
          <cell r="A6382" t="str">
            <v>0</v>
          </cell>
        </row>
        <row r="6383">
          <cell r="A6383" t="str">
            <v>0</v>
          </cell>
        </row>
        <row r="6384">
          <cell r="A6384" t="str">
            <v>0</v>
          </cell>
        </row>
        <row r="6386">
          <cell r="C6386" t="str">
            <v>JUMLAH TANGGAL</v>
          </cell>
          <cell r="F6386">
            <v>0</v>
          </cell>
          <cell r="G6386">
            <v>0</v>
          </cell>
        </row>
        <row r="6387">
          <cell r="C6387" t="str">
            <v>HARI INI</v>
          </cell>
        </row>
        <row r="6388">
          <cell r="C6388" t="str">
            <v>JUMLAH S/D TANGGAL</v>
          </cell>
          <cell r="F6388">
            <v>514639652</v>
          </cell>
          <cell r="G6388">
            <v>490780936</v>
          </cell>
        </row>
        <row r="6389">
          <cell r="C6389" t="str">
            <v>TOTAL</v>
          </cell>
          <cell r="F6389">
            <v>514639652</v>
          </cell>
          <cell r="G6389">
            <v>490780936</v>
          </cell>
        </row>
        <row r="6391">
          <cell r="C6391" t="str">
            <v>SISA</v>
          </cell>
          <cell r="D6391">
            <v>23858716</v>
          </cell>
        </row>
        <row r="6393">
          <cell r="A6393" t="str">
            <v>KODE BANTU</v>
          </cell>
          <cell r="B6393" t="str">
            <v>NO</v>
          </cell>
          <cell r="C6393" t="str">
            <v>NOVEMBER</v>
          </cell>
          <cell r="D6393" t="str">
            <v>URAIAN</v>
          </cell>
          <cell r="E6393" t="str">
            <v>KODE ANGGARAN</v>
          </cell>
          <cell r="F6393" t="str">
            <v>PENERIMAAN</v>
          </cell>
          <cell r="G6393" t="str">
            <v>PENGELUARAN</v>
          </cell>
        </row>
        <row r="6394">
          <cell r="A6394" t="str">
            <v>0</v>
          </cell>
        </row>
        <row r="6395">
          <cell r="A6395" t="str">
            <v>0</v>
          </cell>
        </row>
        <row r="6396">
          <cell r="A6396" t="str">
            <v>0</v>
          </cell>
        </row>
        <row r="6397">
          <cell r="A6397" t="str">
            <v>0</v>
          </cell>
        </row>
        <row r="6398">
          <cell r="A6398" t="str">
            <v>0</v>
          </cell>
        </row>
        <row r="6399">
          <cell r="A6399" t="str">
            <v>0</v>
          </cell>
        </row>
        <row r="6400">
          <cell r="A6400" t="str">
            <v>0</v>
          </cell>
        </row>
        <row r="6401">
          <cell r="A6401" t="str">
            <v>0</v>
          </cell>
        </row>
        <row r="6402">
          <cell r="A6402" t="str">
            <v>0</v>
          </cell>
        </row>
        <row r="6403">
          <cell r="A6403" t="str">
            <v>0</v>
          </cell>
        </row>
        <row r="6404">
          <cell r="A6404" t="str">
            <v>0</v>
          </cell>
        </row>
        <row r="6405">
          <cell r="A6405" t="str">
            <v>0</v>
          </cell>
        </row>
        <row r="6406">
          <cell r="A6406" t="str">
            <v>0</v>
          </cell>
        </row>
        <row r="6407">
          <cell r="A6407" t="str">
            <v>0</v>
          </cell>
        </row>
        <row r="6408">
          <cell r="A6408" t="str">
            <v>0</v>
          </cell>
        </row>
        <row r="6409">
          <cell r="A6409" t="str">
            <v>0</v>
          </cell>
        </row>
        <row r="6410">
          <cell r="A6410" t="str">
            <v>0</v>
          </cell>
        </row>
        <row r="6411">
          <cell r="A6411" t="str">
            <v>0</v>
          </cell>
        </row>
        <row r="6412">
          <cell r="A6412" t="str">
            <v>0</v>
          </cell>
        </row>
        <row r="6413">
          <cell r="A6413" t="str">
            <v>0</v>
          </cell>
        </row>
        <row r="6414">
          <cell r="A6414" t="str">
            <v>0</v>
          </cell>
        </row>
        <row r="6415">
          <cell r="A6415" t="str">
            <v>0</v>
          </cell>
        </row>
        <row r="6416">
          <cell r="A6416" t="str">
            <v>0</v>
          </cell>
        </row>
        <row r="6417">
          <cell r="A6417" t="str">
            <v>0</v>
          </cell>
        </row>
        <row r="6418">
          <cell r="A6418" t="str">
            <v>0</v>
          </cell>
        </row>
        <row r="6420">
          <cell r="C6420" t="str">
            <v>JUMLAH TANGGAL</v>
          </cell>
          <cell r="F6420">
            <v>0</v>
          </cell>
          <cell r="G6420">
            <v>0</v>
          </cell>
        </row>
        <row r="6421">
          <cell r="C6421" t="str">
            <v>HARI INI</v>
          </cell>
        </row>
        <row r="6422">
          <cell r="C6422" t="str">
            <v>JUMLAH S/D TANGGAL</v>
          </cell>
          <cell r="F6422">
            <v>514639652</v>
          </cell>
          <cell r="G6422">
            <v>490780936</v>
          </cell>
        </row>
        <row r="6423">
          <cell r="C6423" t="str">
            <v>TOTAL</v>
          </cell>
          <cell r="F6423">
            <v>514639652</v>
          </cell>
          <cell r="G6423">
            <v>490780936</v>
          </cell>
        </row>
        <row r="6425">
          <cell r="C6425" t="str">
            <v>SISA</v>
          </cell>
          <cell r="D6425">
            <v>23858716</v>
          </cell>
        </row>
        <row r="6427">
          <cell r="A6427" t="str">
            <v>KODE BANTU</v>
          </cell>
          <cell r="B6427" t="str">
            <v>NO</v>
          </cell>
          <cell r="C6427" t="str">
            <v>NOVEMBER</v>
          </cell>
          <cell r="D6427" t="str">
            <v>URAIAN</v>
          </cell>
          <cell r="E6427" t="str">
            <v>KODE ANGGARAN</v>
          </cell>
          <cell r="F6427" t="str">
            <v>PENERIMAAN</v>
          </cell>
          <cell r="G6427" t="str">
            <v>PENGELUARAN</v>
          </cell>
        </row>
        <row r="6428">
          <cell r="A6428" t="str">
            <v>0</v>
          </cell>
        </row>
        <row r="6429">
          <cell r="A6429" t="str">
            <v>0</v>
          </cell>
        </row>
        <row r="6430">
          <cell r="A6430" t="str">
            <v>0</v>
          </cell>
        </row>
        <row r="6431">
          <cell r="A6431" t="str">
            <v>0</v>
          </cell>
        </row>
        <row r="6432">
          <cell r="A6432" t="str">
            <v>0</v>
          </cell>
        </row>
        <row r="6433">
          <cell r="A6433" t="str">
            <v>0</v>
          </cell>
        </row>
        <row r="6434">
          <cell r="A6434" t="str">
            <v>0</v>
          </cell>
        </row>
        <row r="6435">
          <cell r="A6435" t="str">
            <v>0</v>
          </cell>
        </row>
        <row r="6436">
          <cell r="A6436" t="str">
            <v>0</v>
          </cell>
        </row>
        <row r="6437">
          <cell r="A6437" t="str">
            <v>0</v>
          </cell>
        </row>
        <row r="6438">
          <cell r="A6438" t="str">
            <v>0</v>
          </cell>
        </row>
        <row r="6439">
          <cell r="A6439" t="str">
            <v>0</v>
          </cell>
        </row>
        <row r="6440">
          <cell r="A6440" t="str">
            <v>0</v>
          </cell>
        </row>
        <row r="6441">
          <cell r="A6441" t="str">
            <v>0</v>
          </cell>
        </row>
        <row r="6442">
          <cell r="A6442" t="str">
            <v>0</v>
          </cell>
        </row>
        <row r="6443">
          <cell r="A6443" t="str">
            <v>0</v>
          </cell>
        </row>
        <row r="6444">
          <cell r="A6444" t="str">
            <v>0</v>
          </cell>
        </row>
        <row r="6445">
          <cell r="A6445" t="str">
            <v>0</v>
          </cell>
        </row>
        <row r="6446">
          <cell r="A6446" t="str">
            <v>0</v>
          </cell>
        </row>
        <row r="6447">
          <cell r="A6447" t="str">
            <v>0</v>
          </cell>
        </row>
        <row r="6448">
          <cell r="A6448" t="str">
            <v>0</v>
          </cell>
        </row>
        <row r="6449">
          <cell r="A6449" t="str">
            <v>0</v>
          </cell>
        </row>
        <row r="6450">
          <cell r="A6450" t="str">
            <v>0</v>
          </cell>
        </row>
        <row r="6451">
          <cell r="A6451" t="str">
            <v>0</v>
          </cell>
        </row>
        <row r="6452">
          <cell r="A6452" t="str">
            <v>0</v>
          </cell>
        </row>
        <row r="6454">
          <cell r="C6454" t="str">
            <v>JUMLAH TANGGAL</v>
          </cell>
          <cell r="F6454">
            <v>0</v>
          </cell>
          <cell r="G6454">
            <v>0</v>
          </cell>
        </row>
        <row r="6455">
          <cell r="C6455" t="str">
            <v>HARI INI</v>
          </cell>
        </row>
        <row r="6456">
          <cell r="C6456" t="str">
            <v>JUMLAH S/D TANGGAL</v>
          </cell>
          <cell r="F6456">
            <v>514639652</v>
          </cell>
          <cell r="G6456">
            <v>490780936</v>
          </cell>
        </row>
        <row r="6457">
          <cell r="C6457" t="str">
            <v>TOTAL</v>
          </cell>
          <cell r="F6457">
            <v>514639652</v>
          </cell>
          <cell r="G6457">
            <v>490780936</v>
          </cell>
        </row>
        <row r="6459">
          <cell r="C6459" t="str">
            <v>SISA</v>
          </cell>
          <cell r="D6459">
            <v>23858716</v>
          </cell>
        </row>
        <row r="6461">
          <cell r="A6461" t="str">
            <v>KODE BANTU</v>
          </cell>
          <cell r="B6461" t="str">
            <v>NO</v>
          </cell>
          <cell r="C6461" t="str">
            <v>NOVEMBER</v>
          </cell>
          <cell r="D6461" t="str">
            <v>URAIAN</v>
          </cell>
          <cell r="E6461" t="str">
            <v>KODE ANGGARAN</v>
          </cell>
          <cell r="F6461" t="str">
            <v>PENERIMAAN</v>
          </cell>
          <cell r="G6461" t="str">
            <v>PENGELUARAN</v>
          </cell>
        </row>
        <row r="6462">
          <cell r="A6462" t="str">
            <v>0</v>
          </cell>
        </row>
        <row r="6463">
          <cell r="A6463" t="str">
            <v>0</v>
          </cell>
        </row>
        <row r="6464">
          <cell r="A6464" t="str">
            <v>0</v>
          </cell>
        </row>
        <row r="6465">
          <cell r="A6465" t="str">
            <v>0</v>
          </cell>
        </row>
        <row r="6466">
          <cell r="A6466" t="str">
            <v>0</v>
          </cell>
        </row>
        <row r="6467">
          <cell r="A6467" t="str">
            <v>0</v>
          </cell>
        </row>
        <row r="6468">
          <cell r="A6468" t="str">
            <v>0</v>
          </cell>
        </row>
        <row r="6469">
          <cell r="A6469" t="str">
            <v>0</v>
          </cell>
        </row>
        <row r="6470">
          <cell r="A6470" t="str">
            <v>0</v>
          </cell>
        </row>
        <row r="6471">
          <cell r="A6471" t="str">
            <v>0</v>
          </cell>
        </row>
        <row r="6472">
          <cell r="A6472" t="str">
            <v>0</v>
          </cell>
        </row>
        <row r="6473">
          <cell r="A6473" t="str">
            <v>0</v>
          </cell>
        </row>
        <row r="6474">
          <cell r="A6474" t="str">
            <v>0</v>
          </cell>
        </row>
        <row r="6475">
          <cell r="A6475" t="str">
            <v>0</v>
          </cell>
        </row>
        <row r="6476">
          <cell r="A6476" t="str">
            <v>0</v>
          </cell>
        </row>
        <row r="6477">
          <cell r="A6477" t="str">
            <v>0</v>
          </cell>
        </row>
        <row r="6478">
          <cell r="A6478" t="str">
            <v>0</v>
          </cell>
        </row>
        <row r="6479">
          <cell r="A6479" t="str">
            <v>0</v>
          </cell>
        </row>
        <row r="6480">
          <cell r="A6480" t="str">
            <v>0</v>
          </cell>
        </row>
        <row r="6481">
          <cell r="A6481" t="str">
            <v>0</v>
          </cell>
        </row>
        <row r="6482">
          <cell r="A6482" t="str">
            <v>0</v>
          </cell>
        </row>
        <row r="6483">
          <cell r="A6483" t="str">
            <v>0</v>
          </cell>
        </row>
        <row r="6484">
          <cell r="A6484" t="str">
            <v>0</v>
          </cell>
        </row>
        <row r="6485">
          <cell r="A6485" t="str">
            <v>0</v>
          </cell>
        </row>
        <row r="6486">
          <cell r="A6486" t="str">
            <v>0</v>
          </cell>
        </row>
        <row r="6488">
          <cell r="C6488" t="str">
            <v>JUMLAH TANGGAL</v>
          </cell>
          <cell r="F6488">
            <v>0</v>
          </cell>
          <cell r="G6488">
            <v>0</v>
          </cell>
        </row>
        <row r="6489">
          <cell r="C6489" t="str">
            <v>HARI INI</v>
          </cell>
        </row>
        <row r="6490">
          <cell r="C6490" t="str">
            <v>JUMLAH S/D TANGGAL</v>
          </cell>
          <cell r="F6490">
            <v>514639652</v>
          </cell>
          <cell r="G6490">
            <v>490780936</v>
          </cell>
        </row>
        <row r="6491">
          <cell r="C6491" t="str">
            <v>TOTAL</v>
          </cell>
          <cell r="F6491">
            <v>514639652</v>
          </cell>
          <cell r="G6491">
            <v>490780936</v>
          </cell>
        </row>
        <row r="6493">
          <cell r="C6493" t="str">
            <v>SISA</v>
          </cell>
          <cell r="D6493">
            <v>23858716</v>
          </cell>
        </row>
        <row r="6495">
          <cell r="A6495" t="str">
            <v>KODE BANTU</v>
          </cell>
          <cell r="B6495" t="str">
            <v>NO</v>
          </cell>
          <cell r="C6495" t="str">
            <v>NOVEMBER</v>
          </cell>
          <cell r="D6495" t="str">
            <v>URAIAN</v>
          </cell>
          <cell r="E6495" t="str">
            <v>KODE ANGGARAN</v>
          </cell>
          <cell r="F6495" t="str">
            <v>PENERIMAAN</v>
          </cell>
          <cell r="G6495" t="str">
            <v>PENGELUARAN</v>
          </cell>
        </row>
        <row r="6496">
          <cell r="A6496" t="str">
            <v>0</v>
          </cell>
        </row>
        <row r="6497">
          <cell r="A6497" t="str">
            <v>0</v>
          </cell>
        </row>
        <row r="6498">
          <cell r="A6498" t="str">
            <v>0</v>
          </cell>
        </row>
        <row r="6499">
          <cell r="A6499" t="str">
            <v>0</v>
          </cell>
        </row>
        <row r="6500">
          <cell r="A6500" t="str">
            <v>0</v>
          </cell>
        </row>
        <row r="6501">
          <cell r="A6501" t="str">
            <v>0</v>
          </cell>
        </row>
        <row r="6502">
          <cell r="A6502" t="str">
            <v>0</v>
          </cell>
        </row>
        <row r="6503">
          <cell r="A6503" t="str">
            <v>0</v>
          </cell>
        </row>
        <row r="6504">
          <cell r="A6504" t="str">
            <v>0</v>
          </cell>
        </row>
        <row r="6505">
          <cell r="A6505" t="str">
            <v>0</v>
          </cell>
        </row>
        <row r="6506">
          <cell r="A6506" t="str">
            <v>0</v>
          </cell>
        </row>
        <row r="6507">
          <cell r="A6507" t="str">
            <v>0</v>
          </cell>
        </row>
        <row r="6508">
          <cell r="A6508" t="str">
            <v>0</v>
          </cell>
        </row>
        <row r="6509">
          <cell r="A6509" t="str">
            <v>0</v>
          </cell>
        </row>
        <row r="6510">
          <cell r="A6510" t="str">
            <v>0</v>
          </cell>
        </row>
        <row r="6511">
          <cell r="A6511" t="str">
            <v>0</v>
          </cell>
        </row>
        <row r="6512">
          <cell r="A6512" t="str">
            <v>0</v>
          </cell>
        </row>
        <row r="6513">
          <cell r="A6513" t="str">
            <v>0</v>
          </cell>
        </row>
        <row r="6514">
          <cell r="A6514" t="str">
            <v>0</v>
          </cell>
        </row>
        <row r="6515">
          <cell r="A6515" t="str">
            <v>0</v>
          </cell>
        </row>
        <row r="6516">
          <cell r="A6516" t="str">
            <v>0</v>
          </cell>
        </row>
        <row r="6517">
          <cell r="A6517" t="str">
            <v>0</v>
          </cell>
        </row>
        <row r="6518">
          <cell r="A6518" t="str">
            <v>0</v>
          </cell>
        </row>
        <row r="6519">
          <cell r="A6519" t="str">
            <v>0</v>
          </cell>
        </row>
        <row r="6520">
          <cell r="A6520" t="str">
            <v>0</v>
          </cell>
        </row>
        <row r="6522">
          <cell r="C6522" t="str">
            <v>JUMLAH TANGGAL</v>
          </cell>
          <cell r="F6522">
            <v>0</v>
          </cell>
          <cell r="G6522">
            <v>0</v>
          </cell>
        </row>
        <row r="6523">
          <cell r="C6523" t="str">
            <v>HARI INI</v>
          </cell>
        </row>
        <row r="6524">
          <cell r="C6524" t="str">
            <v>JUMLAH S/D TANGGAL</v>
          </cell>
          <cell r="F6524">
            <v>514639652</v>
          </cell>
          <cell r="G6524">
            <v>490780936</v>
          </cell>
        </row>
        <row r="6525">
          <cell r="C6525" t="str">
            <v>TOTAL</v>
          </cell>
          <cell r="F6525">
            <v>514639652</v>
          </cell>
          <cell r="G6525">
            <v>490780936</v>
          </cell>
        </row>
        <row r="6527">
          <cell r="C6527" t="str">
            <v>SISA</v>
          </cell>
          <cell r="D6527">
            <v>23858716</v>
          </cell>
        </row>
        <row r="6529">
          <cell r="A6529" t="str">
            <v>KODE BANTU</v>
          </cell>
          <cell r="B6529" t="str">
            <v>NO</v>
          </cell>
          <cell r="C6529" t="str">
            <v>NOVEMBER</v>
          </cell>
          <cell r="D6529" t="str">
            <v>URAIAN</v>
          </cell>
          <cell r="E6529" t="str">
            <v>KODE ANGGARAN</v>
          </cell>
          <cell r="F6529" t="str">
            <v>PENERIMAAN</v>
          </cell>
          <cell r="G6529" t="str">
            <v>PENGELUARAN</v>
          </cell>
        </row>
        <row r="6530">
          <cell r="A6530" t="str">
            <v>0</v>
          </cell>
        </row>
        <row r="6531">
          <cell r="A6531" t="str">
            <v>0</v>
          </cell>
        </row>
        <row r="6532">
          <cell r="A6532" t="str">
            <v>0</v>
          </cell>
        </row>
        <row r="6533">
          <cell r="A6533" t="str">
            <v>0</v>
          </cell>
        </row>
        <row r="6534">
          <cell r="A6534" t="str">
            <v>0</v>
          </cell>
        </row>
        <row r="6535">
          <cell r="A6535" t="str">
            <v>0</v>
          </cell>
        </row>
        <row r="6536">
          <cell r="A6536" t="str">
            <v>0</v>
          </cell>
        </row>
        <row r="6537">
          <cell r="A6537" t="str">
            <v>0</v>
          </cell>
        </row>
        <row r="6538">
          <cell r="A6538" t="str">
            <v>0</v>
          </cell>
        </row>
        <row r="6539">
          <cell r="A6539" t="str">
            <v>0</v>
          </cell>
        </row>
        <row r="6540">
          <cell r="A6540" t="str">
            <v>0</v>
          </cell>
        </row>
        <row r="6541">
          <cell r="A6541" t="str">
            <v>0</v>
          </cell>
        </row>
        <row r="6542">
          <cell r="A6542" t="str">
            <v>0</v>
          </cell>
        </row>
        <row r="6543">
          <cell r="A6543" t="str">
            <v>0</v>
          </cell>
        </row>
        <row r="6544">
          <cell r="A6544" t="str">
            <v>0</v>
          </cell>
        </row>
        <row r="6545">
          <cell r="A6545" t="str">
            <v>0</v>
          </cell>
        </row>
        <row r="6546">
          <cell r="A6546" t="str">
            <v>0</v>
          </cell>
        </row>
        <row r="6547">
          <cell r="A6547" t="str">
            <v>0</v>
          </cell>
        </row>
        <row r="6548">
          <cell r="A6548" t="str">
            <v>0</v>
          </cell>
        </row>
        <row r="6549">
          <cell r="A6549" t="str">
            <v>0</v>
          </cell>
        </row>
        <row r="6550">
          <cell r="A6550" t="str">
            <v>0</v>
          </cell>
        </row>
        <row r="6551">
          <cell r="A6551" t="str">
            <v>0</v>
          </cell>
        </row>
        <row r="6552">
          <cell r="A6552" t="str">
            <v>0</v>
          </cell>
        </row>
        <row r="6553">
          <cell r="A6553" t="str">
            <v>0</v>
          </cell>
        </row>
        <row r="6554">
          <cell r="A6554" t="str">
            <v>0</v>
          </cell>
        </row>
        <row r="6556">
          <cell r="C6556" t="str">
            <v>JUMLAH TANGGAL</v>
          </cell>
          <cell r="F6556">
            <v>0</v>
          </cell>
          <cell r="G6556">
            <v>0</v>
          </cell>
        </row>
        <row r="6557">
          <cell r="C6557" t="str">
            <v>HARI INI</v>
          </cell>
        </row>
        <row r="6558">
          <cell r="C6558" t="str">
            <v>JUMLAH S/D TANGGAL</v>
          </cell>
          <cell r="F6558">
            <v>514639652</v>
          </cell>
          <cell r="G6558">
            <v>490780936</v>
          </cell>
        </row>
        <row r="6559">
          <cell r="C6559" t="str">
            <v>TOTAL</v>
          </cell>
          <cell r="F6559">
            <v>514639652</v>
          </cell>
          <cell r="G6559">
            <v>490780936</v>
          </cell>
        </row>
        <row r="6561">
          <cell r="C6561" t="str">
            <v>SISA</v>
          </cell>
          <cell r="D6561">
            <v>23858716</v>
          </cell>
        </row>
        <row r="6563">
          <cell r="A6563" t="str">
            <v>KODE BANTU</v>
          </cell>
          <cell r="B6563" t="str">
            <v>NO</v>
          </cell>
          <cell r="C6563" t="str">
            <v>NOVEMBER</v>
          </cell>
          <cell r="D6563" t="str">
            <v>URAIAN</v>
          </cell>
          <cell r="E6563" t="str">
            <v>KODE ANGGARAN</v>
          </cell>
          <cell r="F6563" t="str">
            <v>PENERIMAAN</v>
          </cell>
          <cell r="G6563" t="str">
            <v>PENGELUARAN</v>
          </cell>
        </row>
        <row r="6564">
          <cell r="A6564" t="str">
            <v>0</v>
          </cell>
        </row>
        <row r="6565">
          <cell r="A6565" t="str">
            <v>0</v>
          </cell>
        </row>
        <row r="6566">
          <cell r="A6566" t="str">
            <v>0</v>
          </cell>
        </row>
        <row r="6567">
          <cell r="A6567" t="str">
            <v>0</v>
          </cell>
        </row>
        <row r="6568">
          <cell r="A6568" t="str">
            <v>0</v>
          </cell>
        </row>
        <row r="6569">
          <cell r="A6569" t="str">
            <v>0</v>
          </cell>
        </row>
        <row r="6570">
          <cell r="A6570" t="str">
            <v>0</v>
          </cell>
        </row>
        <row r="6571">
          <cell r="A6571" t="str">
            <v>0</v>
          </cell>
        </row>
        <row r="6572">
          <cell r="A6572" t="str">
            <v>0</v>
          </cell>
        </row>
        <row r="6573">
          <cell r="A6573" t="str">
            <v>0</v>
          </cell>
        </row>
        <row r="6574">
          <cell r="A6574" t="str">
            <v>0</v>
          </cell>
        </row>
        <row r="6575">
          <cell r="A6575" t="str">
            <v>0</v>
          </cell>
        </row>
        <row r="6576">
          <cell r="A6576" t="str">
            <v>0</v>
          </cell>
        </row>
        <row r="6577">
          <cell r="A6577" t="str">
            <v>0</v>
          </cell>
        </row>
        <row r="6578">
          <cell r="A6578" t="str">
            <v>0</v>
          </cell>
        </row>
        <row r="6579">
          <cell r="A6579" t="str">
            <v>0</v>
          </cell>
        </row>
        <row r="6580">
          <cell r="A6580" t="str">
            <v>0</v>
          </cell>
        </row>
        <row r="6581">
          <cell r="A6581" t="str">
            <v>0</v>
          </cell>
        </row>
        <row r="6582">
          <cell r="A6582" t="str">
            <v>0</v>
          </cell>
        </row>
        <row r="6583">
          <cell r="A6583" t="str">
            <v>0</v>
          </cell>
        </row>
        <row r="6584">
          <cell r="A6584" t="str">
            <v>0</v>
          </cell>
        </row>
        <row r="6585">
          <cell r="A6585" t="str">
            <v>0</v>
          </cell>
        </row>
        <row r="6586">
          <cell r="A6586" t="str">
            <v>0</v>
          </cell>
        </row>
        <row r="6587">
          <cell r="A6587" t="str">
            <v>0</v>
          </cell>
        </row>
        <row r="6588">
          <cell r="A6588" t="str">
            <v>0</v>
          </cell>
        </row>
        <row r="6590">
          <cell r="C6590" t="str">
            <v>JUMLAH TANGGAL</v>
          </cell>
          <cell r="F6590">
            <v>0</v>
          </cell>
          <cell r="G6590">
            <v>0</v>
          </cell>
        </row>
        <row r="6591">
          <cell r="C6591" t="str">
            <v>HARI INI</v>
          </cell>
        </row>
        <row r="6592">
          <cell r="C6592" t="str">
            <v>JUMLAH S/D TANGGAL</v>
          </cell>
          <cell r="F6592">
            <v>514639652</v>
          </cell>
          <cell r="G6592">
            <v>490780936</v>
          </cell>
        </row>
        <row r="6593">
          <cell r="C6593" t="str">
            <v>TOTAL</v>
          </cell>
          <cell r="F6593">
            <v>514639652</v>
          </cell>
          <cell r="G6593">
            <v>490780936</v>
          </cell>
        </row>
        <row r="6595">
          <cell r="C6595" t="str">
            <v>SISA</v>
          </cell>
          <cell r="D6595">
            <v>23858716</v>
          </cell>
        </row>
        <row r="6597">
          <cell r="A6597" t="str">
            <v>KODE BANTU</v>
          </cell>
          <cell r="B6597" t="str">
            <v>NO</v>
          </cell>
          <cell r="C6597" t="str">
            <v>NOVEMBER</v>
          </cell>
          <cell r="D6597" t="str">
            <v>URAIAN</v>
          </cell>
          <cell r="E6597" t="str">
            <v>KODE ANGGARAN</v>
          </cell>
          <cell r="F6597" t="str">
            <v>PENERIMAAN</v>
          </cell>
          <cell r="G6597" t="str">
            <v>PENGELUARAN</v>
          </cell>
        </row>
        <row r="6598">
          <cell r="A6598" t="str">
            <v>0</v>
          </cell>
        </row>
        <row r="6599">
          <cell r="A6599" t="str">
            <v>0</v>
          </cell>
        </row>
        <row r="6600">
          <cell r="A6600" t="str">
            <v>0</v>
          </cell>
        </row>
        <row r="6601">
          <cell r="A6601" t="str">
            <v>0</v>
          </cell>
        </row>
        <row r="6602">
          <cell r="A6602" t="str">
            <v>0</v>
          </cell>
        </row>
        <row r="6603">
          <cell r="A6603" t="str">
            <v>0</v>
          </cell>
        </row>
        <row r="6604">
          <cell r="A6604" t="str">
            <v>0</v>
          </cell>
        </row>
        <row r="6605">
          <cell r="A6605" t="str">
            <v>0</v>
          </cell>
        </row>
        <row r="6606">
          <cell r="A6606" t="str">
            <v>0</v>
          </cell>
        </row>
        <row r="6607">
          <cell r="A6607" t="str">
            <v>0</v>
          </cell>
        </row>
        <row r="6608">
          <cell r="A6608" t="str">
            <v>0</v>
          </cell>
        </row>
        <row r="6609">
          <cell r="A6609" t="str">
            <v>0</v>
          </cell>
        </row>
        <row r="6610">
          <cell r="A6610" t="str">
            <v>0</v>
          </cell>
        </row>
        <row r="6611">
          <cell r="A6611" t="str">
            <v>0</v>
          </cell>
        </row>
        <row r="6612">
          <cell r="A6612" t="str">
            <v>0</v>
          </cell>
        </row>
        <row r="6613">
          <cell r="A6613" t="str">
            <v>0</v>
          </cell>
        </row>
        <row r="6614">
          <cell r="A6614" t="str">
            <v>0</v>
          </cell>
        </row>
        <row r="6615">
          <cell r="A6615" t="str">
            <v>0</v>
          </cell>
        </row>
        <row r="6616">
          <cell r="A6616" t="str">
            <v>0</v>
          </cell>
        </row>
        <row r="6617">
          <cell r="A6617" t="str">
            <v>0</v>
          </cell>
        </row>
        <row r="6618">
          <cell r="A6618" t="str">
            <v>0</v>
          </cell>
        </row>
        <row r="6619">
          <cell r="A6619" t="str">
            <v>0</v>
          </cell>
        </row>
        <row r="6620">
          <cell r="A6620" t="str">
            <v>0</v>
          </cell>
        </row>
        <row r="6621">
          <cell r="A6621" t="str">
            <v>0</v>
          </cell>
        </row>
        <row r="6622">
          <cell r="A6622" t="str">
            <v>0</v>
          </cell>
        </row>
        <row r="6624">
          <cell r="C6624" t="str">
            <v>JUMLAH TANGGAL</v>
          </cell>
          <cell r="F6624">
            <v>0</v>
          </cell>
          <cell r="G6624">
            <v>0</v>
          </cell>
        </row>
        <row r="6625">
          <cell r="C6625" t="str">
            <v>HARI INI</v>
          </cell>
        </row>
        <row r="6626">
          <cell r="C6626" t="str">
            <v>JUMLAH S/D TANGGAL</v>
          </cell>
          <cell r="F6626">
            <v>514639652</v>
          </cell>
          <cell r="G6626">
            <v>490780936</v>
          </cell>
        </row>
        <row r="6627">
          <cell r="C6627" t="str">
            <v>TOTAL</v>
          </cell>
          <cell r="F6627">
            <v>514639652</v>
          </cell>
          <cell r="G6627">
            <v>490780936</v>
          </cell>
        </row>
        <row r="6629">
          <cell r="C6629" t="str">
            <v>SISA</v>
          </cell>
          <cell r="D6629">
            <v>23858716</v>
          </cell>
        </row>
        <row r="6631">
          <cell r="A6631" t="str">
            <v>KODE BANTU</v>
          </cell>
          <cell r="B6631" t="str">
            <v>NO</v>
          </cell>
          <cell r="C6631" t="str">
            <v>NOVEMBER</v>
          </cell>
          <cell r="D6631" t="str">
            <v>URAIAN</v>
          </cell>
          <cell r="E6631" t="str">
            <v>KODE ANGGARAN</v>
          </cell>
          <cell r="F6631" t="str">
            <v>PENERIMAAN</v>
          </cell>
          <cell r="G6631" t="str">
            <v>PENGELUARAN</v>
          </cell>
        </row>
        <row r="6632">
          <cell r="A6632" t="str">
            <v>0</v>
          </cell>
        </row>
        <row r="6633">
          <cell r="A6633" t="str">
            <v>0</v>
          </cell>
        </row>
        <row r="6634">
          <cell r="A6634" t="str">
            <v>0</v>
          </cell>
        </row>
        <row r="6635">
          <cell r="A6635" t="str">
            <v>0</v>
          </cell>
        </row>
        <row r="6636">
          <cell r="A6636" t="str">
            <v>0</v>
          </cell>
        </row>
        <row r="6637">
          <cell r="A6637" t="str">
            <v>0</v>
          </cell>
        </row>
        <row r="6638">
          <cell r="A6638" t="str">
            <v>0</v>
          </cell>
        </row>
        <row r="6639">
          <cell r="A6639" t="str">
            <v>0</v>
          </cell>
        </row>
        <row r="6640">
          <cell r="A6640" t="str">
            <v>0</v>
          </cell>
        </row>
        <row r="6641">
          <cell r="A6641" t="str">
            <v>0</v>
          </cell>
        </row>
        <row r="6642">
          <cell r="A6642" t="str">
            <v>0</v>
          </cell>
        </row>
        <row r="6643">
          <cell r="A6643" t="str">
            <v>0</v>
          </cell>
        </row>
        <row r="6644">
          <cell r="A6644" t="str">
            <v>0</v>
          </cell>
        </row>
        <row r="6645">
          <cell r="A6645" t="str">
            <v>0</v>
          </cell>
        </row>
        <row r="6646">
          <cell r="A6646" t="str">
            <v>0</v>
          </cell>
        </row>
        <row r="6647">
          <cell r="A6647" t="str">
            <v>0</v>
          </cell>
        </row>
        <row r="6648">
          <cell r="A6648" t="str">
            <v>0</v>
          </cell>
        </row>
        <row r="6649">
          <cell r="A6649" t="str">
            <v>0</v>
          </cell>
        </row>
        <row r="6650">
          <cell r="A6650" t="str">
            <v>0</v>
          </cell>
        </row>
        <row r="6651">
          <cell r="A6651" t="str">
            <v>0</v>
          </cell>
        </row>
        <row r="6652">
          <cell r="A6652" t="str">
            <v>0</v>
          </cell>
        </row>
        <row r="6653">
          <cell r="A6653" t="str">
            <v>0</v>
          </cell>
        </row>
        <row r="6654">
          <cell r="A6654" t="str">
            <v>0</v>
          </cell>
        </row>
        <row r="6655">
          <cell r="A6655" t="str">
            <v>0</v>
          </cell>
        </row>
        <row r="6656">
          <cell r="A6656" t="str">
            <v>0</v>
          </cell>
        </row>
        <row r="6658">
          <cell r="C6658" t="str">
            <v>JUMLAH TANGGAL</v>
          </cell>
          <cell r="F6658">
            <v>0</v>
          </cell>
          <cell r="G6658">
            <v>0</v>
          </cell>
        </row>
        <row r="6659">
          <cell r="C6659" t="str">
            <v>HARI INI</v>
          </cell>
        </row>
        <row r="6660">
          <cell r="C6660" t="str">
            <v>JUMLAH S/D TANGGAL</v>
          </cell>
          <cell r="F6660">
            <v>514639652</v>
          </cell>
          <cell r="G6660">
            <v>490780936</v>
          </cell>
        </row>
        <row r="6661">
          <cell r="C6661" t="str">
            <v>TOTAL</v>
          </cell>
          <cell r="F6661">
            <v>514639652</v>
          </cell>
          <cell r="G6661">
            <v>490780936</v>
          </cell>
        </row>
        <row r="6663">
          <cell r="C6663" t="str">
            <v>SISA</v>
          </cell>
          <cell r="D6663">
            <v>23858716</v>
          </cell>
        </row>
        <row r="6665">
          <cell r="A6665" t="str">
            <v>KODE BANTU</v>
          </cell>
          <cell r="B6665" t="str">
            <v>NO</v>
          </cell>
          <cell r="C6665" t="str">
            <v>DESEMBER</v>
          </cell>
          <cell r="D6665" t="str">
            <v>URAIAN</v>
          </cell>
          <cell r="E6665" t="str">
            <v>KODE ANGGARAN</v>
          </cell>
          <cell r="F6665" t="str">
            <v>PENERIMAAN</v>
          </cell>
          <cell r="G6665" t="str">
            <v>PENGELUARAN</v>
          </cell>
        </row>
        <row r="6666">
          <cell r="A6666" t="str">
            <v>0</v>
          </cell>
        </row>
        <row r="6667">
          <cell r="A6667" t="str">
            <v>0</v>
          </cell>
        </row>
        <row r="6668">
          <cell r="A6668" t="str">
            <v>0</v>
          </cell>
        </row>
        <row r="6669">
          <cell r="A6669" t="str">
            <v>0</v>
          </cell>
        </row>
        <row r="6670">
          <cell r="A6670" t="str">
            <v>0</v>
          </cell>
        </row>
        <row r="6671">
          <cell r="A6671" t="str">
            <v>0</v>
          </cell>
        </row>
        <row r="6672">
          <cell r="A6672" t="str">
            <v>0</v>
          </cell>
        </row>
        <row r="6673">
          <cell r="A6673" t="str">
            <v>0</v>
          </cell>
        </row>
        <row r="6674">
          <cell r="A6674" t="str">
            <v>0</v>
          </cell>
        </row>
        <row r="6675">
          <cell r="A6675" t="str">
            <v>0</v>
          </cell>
        </row>
        <row r="6676">
          <cell r="A6676" t="str">
            <v>0</v>
          </cell>
        </row>
        <row r="6677">
          <cell r="A6677" t="str">
            <v>0</v>
          </cell>
        </row>
        <row r="6678">
          <cell r="A6678" t="str">
            <v>0</v>
          </cell>
        </row>
        <row r="6679">
          <cell r="A6679" t="str">
            <v>0</v>
          </cell>
        </row>
        <row r="6680">
          <cell r="A6680" t="str">
            <v>0</v>
          </cell>
        </row>
        <row r="6681">
          <cell r="A6681" t="str">
            <v>0</v>
          </cell>
        </row>
        <row r="6682">
          <cell r="A6682" t="str">
            <v>0</v>
          </cell>
        </row>
        <row r="6683">
          <cell r="A6683" t="str">
            <v>0</v>
          </cell>
        </row>
        <row r="6684">
          <cell r="A6684" t="str">
            <v>0</v>
          </cell>
        </row>
        <row r="6685">
          <cell r="A6685" t="str">
            <v>0</v>
          </cell>
        </row>
        <row r="6686">
          <cell r="A6686" t="str">
            <v>0</v>
          </cell>
        </row>
        <row r="6687">
          <cell r="A6687" t="str">
            <v>0</v>
          </cell>
        </row>
        <row r="6688">
          <cell r="A6688" t="str">
            <v>0</v>
          </cell>
        </row>
        <row r="6689">
          <cell r="A6689" t="str">
            <v>0</v>
          </cell>
        </row>
        <row r="6690">
          <cell r="A6690" t="str">
            <v>0</v>
          </cell>
        </row>
        <row r="6692">
          <cell r="C6692" t="str">
            <v>JUMLAH TANGGAL</v>
          </cell>
          <cell r="F6692">
            <v>0</v>
          </cell>
          <cell r="G6692">
            <v>0</v>
          </cell>
        </row>
        <row r="6693">
          <cell r="C6693" t="str">
            <v>HARI INI</v>
          </cell>
        </row>
        <row r="6694">
          <cell r="C6694" t="str">
            <v>JUMLAH S/D TANGGAL</v>
          </cell>
          <cell r="F6694">
            <v>514639652</v>
          </cell>
          <cell r="G6694">
            <v>490780936</v>
          </cell>
        </row>
        <row r="6695">
          <cell r="C6695" t="str">
            <v>TOTAL</v>
          </cell>
          <cell r="F6695">
            <v>514639652</v>
          </cell>
          <cell r="G6695">
            <v>490780936</v>
          </cell>
        </row>
        <row r="6697">
          <cell r="C6697" t="str">
            <v>SISA</v>
          </cell>
          <cell r="D6697">
            <v>23858716</v>
          </cell>
        </row>
        <row r="6699">
          <cell r="A6699" t="str">
            <v>KODE BANTU</v>
          </cell>
          <cell r="B6699" t="str">
            <v>NO</v>
          </cell>
          <cell r="C6699" t="str">
            <v>DESEMBER</v>
          </cell>
          <cell r="D6699" t="str">
            <v>URAIAN</v>
          </cell>
          <cell r="E6699" t="str">
            <v>KODE ANGGARAN</v>
          </cell>
          <cell r="F6699" t="str">
            <v>PENERIMAAN</v>
          </cell>
          <cell r="G6699" t="str">
            <v>PENGELUARAN</v>
          </cell>
        </row>
        <row r="6700">
          <cell r="A6700" t="str">
            <v>0</v>
          </cell>
        </row>
        <row r="6701">
          <cell r="A6701" t="str">
            <v>0</v>
          </cell>
        </row>
        <row r="6702">
          <cell r="A6702" t="str">
            <v>0</v>
          </cell>
        </row>
        <row r="6703">
          <cell r="A6703" t="str">
            <v>0</v>
          </cell>
        </row>
        <row r="6704">
          <cell r="A6704" t="str">
            <v>0</v>
          </cell>
        </row>
        <row r="6705">
          <cell r="A6705" t="str">
            <v>0</v>
          </cell>
        </row>
        <row r="6706">
          <cell r="A6706" t="str">
            <v>0</v>
          </cell>
        </row>
        <row r="6707">
          <cell r="A6707" t="str">
            <v>0</v>
          </cell>
        </row>
        <row r="6708">
          <cell r="A6708" t="str">
            <v>0</v>
          </cell>
        </row>
        <row r="6709">
          <cell r="A6709" t="str">
            <v>0</v>
          </cell>
        </row>
        <row r="6710">
          <cell r="A6710" t="str">
            <v>0</v>
          </cell>
        </row>
        <row r="6711">
          <cell r="A6711" t="str">
            <v>0</v>
          </cell>
        </row>
        <row r="6712">
          <cell r="A6712" t="str">
            <v>0</v>
          </cell>
        </row>
        <row r="6713">
          <cell r="A6713" t="str">
            <v>0</v>
          </cell>
        </row>
        <row r="6714">
          <cell r="A6714" t="str">
            <v>0</v>
          </cell>
        </row>
        <row r="6715">
          <cell r="A6715" t="str">
            <v>0</v>
          </cell>
        </row>
        <row r="6716">
          <cell r="A6716" t="str">
            <v>0</v>
          </cell>
        </row>
        <row r="6717">
          <cell r="A6717" t="str">
            <v>0</v>
          </cell>
        </row>
        <row r="6718">
          <cell r="A6718" t="str">
            <v>0</v>
          </cell>
        </row>
        <row r="6719">
          <cell r="A6719" t="str">
            <v>0</v>
          </cell>
        </row>
        <row r="6720">
          <cell r="A6720" t="str">
            <v>0</v>
          </cell>
        </row>
        <row r="6721">
          <cell r="A6721" t="str">
            <v>0</v>
          </cell>
        </row>
        <row r="6722">
          <cell r="A6722" t="str">
            <v>0</v>
          </cell>
        </row>
        <row r="6723">
          <cell r="A6723" t="str">
            <v>0</v>
          </cell>
        </row>
        <row r="6724">
          <cell r="A6724" t="str">
            <v>0</v>
          </cell>
        </row>
        <row r="6726">
          <cell r="C6726" t="str">
            <v>JUMLAH TANGGAL</v>
          </cell>
          <cell r="F6726">
            <v>0</v>
          </cell>
          <cell r="G6726">
            <v>0</v>
          </cell>
        </row>
        <row r="6727">
          <cell r="C6727" t="str">
            <v>HARI INI</v>
          </cell>
        </row>
        <row r="6728">
          <cell r="C6728" t="str">
            <v>JUMLAH S/D TANGGAL</v>
          </cell>
          <cell r="F6728">
            <v>514639652</v>
          </cell>
          <cell r="G6728">
            <v>490780936</v>
          </cell>
        </row>
        <row r="6729">
          <cell r="C6729" t="str">
            <v>TOTAL</v>
          </cell>
          <cell r="F6729">
            <v>514639652</v>
          </cell>
          <cell r="G6729">
            <v>490780936</v>
          </cell>
        </row>
        <row r="6731">
          <cell r="C6731" t="str">
            <v>SISA</v>
          </cell>
          <cell r="D6731">
            <v>23858716</v>
          </cell>
        </row>
        <row r="6733">
          <cell r="A6733" t="str">
            <v>KODE BANTU</v>
          </cell>
          <cell r="B6733" t="str">
            <v>NO</v>
          </cell>
          <cell r="C6733" t="str">
            <v>DESEMBER</v>
          </cell>
          <cell r="D6733" t="str">
            <v>URAIAN</v>
          </cell>
          <cell r="E6733" t="str">
            <v>KODE ANGGARAN</v>
          </cell>
          <cell r="F6733" t="str">
            <v>PENERIMAAN</v>
          </cell>
          <cell r="G6733" t="str">
            <v>PENGELUARAN</v>
          </cell>
        </row>
        <row r="6734">
          <cell r="A6734" t="str">
            <v>0</v>
          </cell>
        </row>
        <row r="6735">
          <cell r="A6735" t="str">
            <v>0</v>
          </cell>
        </row>
        <row r="6736">
          <cell r="A6736" t="str">
            <v>0</v>
          </cell>
        </row>
        <row r="6737">
          <cell r="A6737" t="str">
            <v>0</v>
          </cell>
        </row>
        <row r="6738">
          <cell r="A6738" t="str">
            <v>0</v>
          </cell>
        </row>
        <row r="6739">
          <cell r="A6739" t="str">
            <v>0</v>
          </cell>
        </row>
        <row r="6740">
          <cell r="A6740" t="str">
            <v>0</v>
          </cell>
        </row>
        <row r="6741">
          <cell r="A6741" t="str">
            <v>0</v>
          </cell>
        </row>
        <row r="6742">
          <cell r="A6742" t="str">
            <v>0</v>
          </cell>
        </row>
        <row r="6743">
          <cell r="A6743" t="str">
            <v>0</v>
          </cell>
        </row>
        <row r="6744">
          <cell r="A6744" t="str">
            <v>0</v>
          </cell>
        </row>
        <row r="6745">
          <cell r="A6745" t="str">
            <v>0</v>
          </cell>
        </row>
        <row r="6746">
          <cell r="A6746" t="str">
            <v>0</v>
          </cell>
        </row>
        <row r="6747">
          <cell r="A6747" t="str">
            <v>0</v>
          </cell>
        </row>
        <row r="6748">
          <cell r="A6748" t="str">
            <v>0</v>
          </cell>
        </row>
        <row r="6749">
          <cell r="A6749" t="str">
            <v>0</v>
          </cell>
        </row>
        <row r="6750">
          <cell r="A6750" t="str">
            <v>0</v>
          </cell>
        </row>
        <row r="6751">
          <cell r="A6751" t="str">
            <v>0</v>
          </cell>
        </row>
        <row r="6752">
          <cell r="A6752" t="str">
            <v>0</v>
          </cell>
        </row>
        <row r="6753">
          <cell r="A6753" t="str">
            <v>0</v>
          </cell>
        </row>
        <row r="6754">
          <cell r="A6754" t="str">
            <v>0</v>
          </cell>
        </row>
        <row r="6755">
          <cell r="A6755" t="str">
            <v>0</v>
          </cell>
        </row>
        <row r="6756">
          <cell r="A6756" t="str">
            <v>0</v>
          </cell>
        </row>
        <row r="6757">
          <cell r="A6757" t="str">
            <v>0</v>
          </cell>
        </row>
        <row r="6758">
          <cell r="A6758" t="str">
            <v>0</v>
          </cell>
        </row>
        <row r="6760">
          <cell r="C6760" t="str">
            <v>JUMLAH TANGGAL</v>
          </cell>
          <cell r="F6760">
            <v>0</v>
          </cell>
          <cell r="G6760">
            <v>0</v>
          </cell>
        </row>
        <row r="6761">
          <cell r="C6761" t="str">
            <v>HARI INI</v>
          </cell>
        </row>
        <row r="6762">
          <cell r="C6762" t="str">
            <v>JUMLAH S/D TANGGAL</v>
          </cell>
          <cell r="F6762">
            <v>514639652</v>
          </cell>
          <cell r="G6762">
            <v>490780936</v>
          </cell>
        </row>
        <row r="6763">
          <cell r="C6763" t="str">
            <v>TOTAL</v>
          </cell>
          <cell r="F6763">
            <v>514639652</v>
          </cell>
          <cell r="G6763">
            <v>490780936</v>
          </cell>
        </row>
        <row r="6765">
          <cell r="C6765" t="str">
            <v>SISA</v>
          </cell>
          <cell r="D6765">
            <v>23858716</v>
          </cell>
        </row>
        <row r="6767">
          <cell r="A6767" t="str">
            <v>KODE BANTU</v>
          </cell>
          <cell r="B6767" t="str">
            <v>NO</v>
          </cell>
          <cell r="C6767" t="str">
            <v>DESEMBER</v>
          </cell>
          <cell r="D6767" t="str">
            <v>URAIAN</v>
          </cell>
          <cell r="E6767" t="str">
            <v>KODE ANGGARAN</v>
          </cell>
          <cell r="F6767" t="str">
            <v>PENERIMAAN</v>
          </cell>
          <cell r="G6767" t="str">
            <v>PENGELUARAN</v>
          </cell>
        </row>
        <row r="6768">
          <cell r="A6768" t="str">
            <v>0</v>
          </cell>
        </row>
        <row r="6769">
          <cell r="A6769" t="str">
            <v>0</v>
          </cell>
        </row>
        <row r="6770">
          <cell r="A6770" t="str">
            <v>0</v>
          </cell>
        </row>
        <row r="6771">
          <cell r="A6771" t="str">
            <v>0</v>
          </cell>
        </row>
        <row r="6772">
          <cell r="A6772" t="str">
            <v>0</v>
          </cell>
        </row>
        <row r="6773">
          <cell r="A6773" t="str">
            <v>0</v>
          </cell>
        </row>
        <row r="6774">
          <cell r="A6774" t="str">
            <v>0</v>
          </cell>
        </row>
        <row r="6775">
          <cell r="A6775" t="str">
            <v>0</v>
          </cell>
        </row>
        <row r="6776">
          <cell r="A6776" t="str">
            <v>0</v>
          </cell>
        </row>
        <row r="6777">
          <cell r="A6777" t="str">
            <v>0</v>
          </cell>
        </row>
        <row r="6778">
          <cell r="A6778" t="str">
            <v>0</v>
          </cell>
        </row>
        <row r="6779">
          <cell r="A6779" t="str">
            <v>0</v>
          </cell>
        </row>
        <row r="6780">
          <cell r="A6780" t="str">
            <v>0</v>
          </cell>
        </row>
        <row r="6781">
          <cell r="A6781" t="str">
            <v>0</v>
          </cell>
        </row>
        <row r="6782">
          <cell r="A6782" t="str">
            <v>0</v>
          </cell>
        </row>
        <row r="6783">
          <cell r="A6783" t="str">
            <v>0</v>
          </cell>
        </row>
        <row r="6784">
          <cell r="A6784" t="str">
            <v>0</v>
          </cell>
        </row>
        <row r="6785">
          <cell r="A6785" t="str">
            <v>0</v>
          </cell>
        </row>
        <row r="6786">
          <cell r="A6786" t="str">
            <v>0</v>
          </cell>
        </row>
        <row r="6787">
          <cell r="A6787" t="str">
            <v>0</v>
          </cell>
        </row>
        <row r="6788">
          <cell r="A6788" t="str">
            <v>0</v>
          </cell>
        </row>
        <row r="6789">
          <cell r="A6789" t="str">
            <v>0</v>
          </cell>
        </row>
        <row r="6790">
          <cell r="A6790" t="str">
            <v>0</v>
          </cell>
        </row>
        <row r="6791">
          <cell r="A6791" t="str">
            <v>0</v>
          </cell>
        </row>
        <row r="6792">
          <cell r="A6792" t="str">
            <v>0</v>
          </cell>
        </row>
        <row r="6794">
          <cell r="C6794" t="str">
            <v>JUMLAH TANGGAL</v>
          </cell>
          <cell r="F6794">
            <v>0</v>
          </cell>
          <cell r="G6794">
            <v>0</v>
          </cell>
        </row>
        <row r="6795">
          <cell r="C6795" t="str">
            <v>HARI INI</v>
          </cell>
        </row>
        <row r="6796">
          <cell r="C6796" t="str">
            <v>JUMLAH S/D TANGGAL</v>
          </cell>
          <cell r="F6796">
            <v>514639652</v>
          </cell>
          <cell r="G6796">
            <v>490780936</v>
          </cell>
        </row>
        <row r="6797">
          <cell r="C6797" t="str">
            <v>TOTAL</v>
          </cell>
          <cell r="F6797">
            <v>514639652</v>
          </cell>
          <cell r="G6797">
            <v>490780936</v>
          </cell>
        </row>
        <row r="6799">
          <cell r="C6799" t="str">
            <v>SISA</v>
          </cell>
          <cell r="D6799">
            <v>23858716</v>
          </cell>
        </row>
        <row r="6801">
          <cell r="A6801" t="str">
            <v>KODE BANTU</v>
          </cell>
          <cell r="B6801" t="str">
            <v>NO</v>
          </cell>
          <cell r="C6801" t="str">
            <v>DESEMBER</v>
          </cell>
          <cell r="D6801" t="str">
            <v>URAIAN</v>
          </cell>
          <cell r="E6801" t="str">
            <v>KODE ANGGARAN</v>
          </cell>
          <cell r="F6801" t="str">
            <v>PENERIMAAN</v>
          </cell>
          <cell r="G6801" t="str">
            <v>PENGELUARAN</v>
          </cell>
        </row>
        <row r="6802">
          <cell r="A6802" t="str">
            <v>0</v>
          </cell>
        </row>
        <row r="6803">
          <cell r="A6803" t="str">
            <v>0</v>
          </cell>
        </row>
        <row r="6804">
          <cell r="A6804" t="str">
            <v>0</v>
          </cell>
        </row>
        <row r="6805">
          <cell r="A6805" t="str">
            <v>0</v>
          </cell>
        </row>
        <row r="6806">
          <cell r="A6806" t="str">
            <v>0</v>
          </cell>
        </row>
        <row r="6807">
          <cell r="A6807" t="str">
            <v>0</v>
          </cell>
        </row>
        <row r="6808">
          <cell r="A6808" t="str">
            <v>0</v>
          </cell>
        </row>
        <row r="6809">
          <cell r="A6809" t="str">
            <v>0</v>
          </cell>
        </row>
        <row r="6810">
          <cell r="A6810" t="str">
            <v>0</v>
          </cell>
        </row>
        <row r="6811">
          <cell r="A6811" t="str">
            <v>0</v>
          </cell>
        </row>
        <row r="6812">
          <cell r="A6812" t="str">
            <v>0</v>
          </cell>
        </row>
        <row r="6813">
          <cell r="A6813" t="str">
            <v>0</v>
          </cell>
        </row>
        <row r="6814">
          <cell r="A6814" t="str">
            <v>0</v>
          </cell>
        </row>
        <row r="6815">
          <cell r="A6815" t="str">
            <v>0</v>
          </cell>
        </row>
        <row r="6816">
          <cell r="A6816" t="str">
            <v>0</v>
          </cell>
        </row>
        <row r="6817">
          <cell r="A6817" t="str">
            <v>0</v>
          </cell>
        </row>
        <row r="6818">
          <cell r="A6818" t="str">
            <v>0</v>
          </cell>
        </row>
        <row r="6819">
          <cell r="A6819" t="str">
            <v>0</v>
          </cell>
        </row>
        <row r="6820">
          <cell r="A6820" t="str">
            <v>0</v>
          </cell>
        </row>
        <row r="6821">
          <cell r="A6821" t="str">
            <v>0</v>
          </cell>
        </row>
        <row r="6822">
          <cell r="A6822" t="str">
            <v>0</v>
          </cell>
        </row>
        <row r="6823">
          <cell r="A6823" t="str">
            <v>0</v>
          </cell>
        </row>
        <row r="6824">
          <cell r="A6824" t="str">
            <v>0</v>
          </cell>
        </row>
        <row r="6825">
          <cell r="A6825" t="str">
            <v>0</v>
          </cell>
        </row>
        <row r="6826">
          <cell r="A6826" t="str">
            <v>0</v>
          </cell>
        </row>
        <row r="6828">
          <cell r="C6828" t="str">
            <v>JUMLAH TANGGAL</v>
          </cell>
          <cell r="F6828">
            <v>0</v>
          </cell>
          <cell r="G6828">
            <v>0</v>
          </cell>
        </row>
        <row r="6829">
          <cell r="C6829" t="str">
            <v>HARI INI</v>
          </cell>
        </row>
        <row r="6830">
          <cell r="C6830" t="str">
            <v>JUMLAH S/D TANGGAL</v>
          </cell>
          <cell r="F6830">
            <v>514639652</v>
          </cell>
          <cell r="G6830">
            <v>490780936</v>
          </cell>
        </row>
        <row r="6831">
          <cell r="C6831" t="str">
            <v>TOTAL</v>
          </cell>
          <cell r="F6831">
            <v>514639652</v>
          </cell>
          <cell r="G6831">
            <v>490780936</v>
          </cell>
        </row>
        <row r="6833">
          <cell r="C6833" t="str">
            <v>SISA</v>
          </cell>
          <cell r="D6833">
            <v>23858716</v>
          </cell>
        </row>
        <row r="6835">
          <cell r="A6835" t="str">
            <v>KODE BANTU</v>
          </cell>
          <cell r="B6835" t="str">
            <v>NO</v>
          </cell>
          <cell r="C6835" t="str">
            <v>DESEMBER</v>
          </cell>
          <cell r="D6835" t="str">
            <v>URAIAN</v>
          </cell>
          <cell r="E6835" t="str">
            <v>KODE ANGGARAN</v>
          </cell>
          <cell r="F6835" t="str">
            <v>PENERIMAAN</v>
          </cell>
          <cell r="G6835" t="str">
            <v>PENGELUARAN</v>
          </cell>
        </row>
        <row r="6836">
          <cell r="A6836" t="str">
            <v>0</v>
          </cell>
        </row>
        <row r="6837">
          <cell r="A6837" t="str">
            <v>0</v>
          </cell>
        </row>
        <row r="6838">
          <cell r="A6838" t="str">
            <v>0</v>
          </cell>
        </row>
        <row r="6839">
          <cell r="A6839" t="str">
            <v>0</v>
          </cell>
        </row>
        <row r="6840">
          <cell r="A6840" t="str">
            <v>0</v>
          </cell>
        </row>
        <row r="6841">
          <cell r="A6841" t="str">
            <v>0</v>
          </cell>
        </row>
        <row r="6842">
          <cell r="A6842" t="str">
            <v>0</v>
          </cell>
        </row>
        <row r="6843">
          <cell r="A6843" t="str">
            <v>0</v>
          </cell>
        </row>
        <row r="6844">
          <cell r="A6844" t="str">
            <v>0</v>
          </cell>
        </row>
        <row r="6845">
          <cell r="A6845" t="str">
            <v>0</v>
          </cell>
        </row>
        <row r="6846">
          <cell r="A6846" t="str">
            <v>0</v>
          </cell>
        </row>
        <row r="6847">
          <cell r="A6847" t="str">
            <v>0</v>
          </cell>
        </row>
        <row r="6848">
          <cell r="A6848" t="str">
            <v>0</v>
          </cell>
        </row>
        <row r="6849">
          <cell r="A6849" t="str">
            <v>0</v>
          </cell>
        </row>
        <row r="6850">
          <cell r="A6850" t="str">
            <v>0</v>
          </cell>
        </row>
        <row r="6851">
          <cell r="A6851" t="str">
            <v>0</v>
          </cell>
        </row>
        <row r="6852">
          <cell r="A6852" t="str">
            <v>0</v>
          </cell>
        </row>
        <row r="6853">
          <cell r="A6853" t="str">
            <v>0</v>
          </cell>
        </row>
        <row r="6854">
          <cell r="A6854" t="str">
            <v>0</v>
          </cell>
        </row>
        <row r="6855">
          <cell r="A6855" t="str">
            <v>0</v>
          </cell>
        </row>
        <row r="6856">
          <cell r="A6856" t="str">
            <v>0</v>
          </cell>
        </row>
        <row r="6857">
          <cell r="A6857" t="str">
            <v>0</v>
          </cell>
        </row>
        <row r="6858">
          <cell r="A6858" t="str">
            <v>0</v>
          </cell>
        </row>
        <row r="6859">
          <cell r="A6859" t="str">
            <v>0</v>
          </cell>
        </row>
        <row r="6860">
          <cell r="A6860" t="str">
            <v>0</v>
          </cell>
        </row>
        <row r="6862">
          <cell r="C6862" t="str">
            <v>JUMLAH TANGGAL</v>
          </cell>
          <cell r="F6862">
            <v>0</v>
          </cell>
          <cell r="G6862">
            <v>0</v>
          </cell>
        </row>
        <row r="6863">
          <cell r="C6863" t="str">
            <v>HARI INI</v>
          </cell>
        </row>
        <row r="6864">
          <cell r="C6864" t="str">
            <v>JUMLAH S/D TANGGAL</v>
          </cell>
          <cell r="F6864">
            <v>514639652</v>
          </cell>
          <cell r="G6864">
            <v>490780936</v>
          </cell>
        </row>
        <row r="6865">
          <cell r="C6865" t="str">
            <v>TOTAL</v>
          </cell>
          <cell r="F6865">
            <v>514639652</v>
          </cell>
          <cell r="G6865">
            <v>490780936</v>
          </cell>
        </row>
        <row r="6867">
          <cell r="C6867" t="str">
            <v>SISA</v>
          </cell>
          <cell r="D6867">
            <v>23858716</v>
          </cell>
        </row>
        <row r="6869">
          <cell r="A6869" t="str">
            <v>KODE BANTU</v>
          </cell>
          <cell r="B6869" t="str">
            <v>NO</v>
          </cell>
          <cell r="C6869" t="str">
            <v>DESEMBER</v>
          </cell>
          <cell r="D6869" t="str">
            <v>URAIAN</v>
          </cell>
          <cell r="E6869" t="str">
            <v>KODE ANGGARAN</v>
          </cell>
          <cell r="F6869" t="str">
            <v>PENERIMAAN</v>
          </cell>
          <cell r="G6869" t="str">
            <v>PENGELUARAN</v>
          </cell>
        </row>
        <row r="6870">
          <cell r="A6870" t="str">
            <v>0</v>
          </cell>
        </row>
        <row r="6871">
          <cell r="A6871" t="str">
            <v>0</v>
          </cell>
        </row>
        <row r="6872">
          <cell r="A6872" t="str">
            <v>0</v>
          </cell>
        </row>
        <row r="6873">
          <cell r="A6873" t="str">
            <v>0</v>
          </cell>
        </row>
        <row r="6874">
          <cell r="A6874" t="str">
            <v>0</v>
          </cell>
        </row>
        <row r="6875">
          <cell r="A6875" t="str">
            <v>0</v>
          </cell>
        </row>
        <row r="6876">
          <cell r="A6876" t="str">
            <v>0</v>
          </cell>
        </row>
        <row r="6877">
          <cell r="A6877" t="str">
            <v>0</v>
          </cell>
        </row>
        <row r="6878">
          <cell r="A6878" t="str">
            <v>0</v>
          </cell>
        </row>
        <row r="6879">
          <cell r="A6879" t="str">
            <v>0</v>
          </cell>
        </row>
        <row r="6880">
          <cell r="A6880" t="str">
            <v>0</v>
          </cell>
        </row>
        <row r="6881">
          <cell r="A6881" t="str">
            <v>0</v>
          </cell>
        </row>
        <row r="6882">
          <cell r="A6882" t="str">
            <v>0</v>
          </cell>
        </row>
        <row r="6883">
          <cell r="A6883" t="str">
            <v>0</v>
          </cell>
        </row>
        <row r="6884">
          <cell r="A6884" t="str">
            <v>0</v>
          </cell>
        </row>
        <row r="6885">
          <cell r="A6885" t="str">
            <v>0</v>
          </cell>
        </row>
        <row r="6886">
          <cell r="A6886" t="str">
            <v>0</v>
          </cell>
        </row>
        <row r="6887">
          <cell r="A6887" t="str">
            <v>0</v>
          </cell>
        </row>
        <row r="6888">
          <cell r="A6888" t="str">
            <v>0</v>
          </cell>
        </row>
        <row r="6889">
          <cell r="A6889" t="str">
            <v>0</v>
          </cell>
        </row>
        <row r="6890">
          <cell r="A6890" t="str">
            <v>0</v>
          </cell>
        </row>
        <row r="6891">
          <cell r="A6891" t="str">
            <v>0</v>
          </cell>
        </row>
        <row r="6892">
          <cell r="A6892" t="str">
            <v>0</v>
          </cell>
        </row>
        <row r="6893">
          <cell r="A6893" t="str">
            <v>0</v>
          </cell>
        </row>
        <row r="6894">
          <cell r="A6894" t="str">
            <v>0</v>
          </cell>
        </row>
        <row r="6896">
          <cell r="C6896" t="str">
            <v>JUMLAH TANGGAL</v>
          </cell>
          <cell r="F6896">
            <v>0</v>
          </cell>
          <cell r="G6896">
            <v>0</v>
          </cell>
        </row>
        <row r="6897">
          <cell r="C6897" t="str">
            <v>HARI INI</v>
          </cell>
        </row>
        <row r="6898">
          <cell r="C6898" t="str">
            <v>JUMLAH S/D TANGGAL</v>
          </cell>
          <cell r="F6898">
            <v>514639652</v>
          </cell>
          <cell r="G6898">
            <v>490780936</v>
          </cell>
        </row>
        <row r="6899">
          <cell r="C6899" t="str">
            <v>TOTAL</v>
          </cell>
          <cell r="F6899">
            <v>514639652</v>
          </cell>
          <cell r="G6899">
            <v>490780936</v>
          </cell>
        </row>
        <row r="6901">
          <cell r="C6901" t="str">
            <v>SISA</v>
          </cell>
          <cell r="D6901">
            <v>23858716</v>
          </cell>
        </row>
        <row r="6903">
          <cell r="A6903" t="str">
            <v>KODE BANTU</v>
          </cell>
          <cell r="B6903" t="str">
            <v>NO</v>
          </cell>
          <cell r="C6903" t="str">
            <v>DESEMBER</v>
          </cell>
          <cell r="D6903" t="str">
            <v>URAIAN</v>
          </cell>
          <cell r="E6903" t="str">
            <v>KODE ANGGARAN</v>
          </cell>
          <cell r="F6903" t="str">
            <v>PENERIMAAN</v>
          </cell>
          <cell r="G6903" t="str">
            <v>PENGELUARAN</v>
          </cell>
        </row>
        <row r="6904">
          <cell r="A6904" t="str">
            <v>0</v>
          </cell>
        </row>
        <row r="6905">
          <cell r="A6905" t="str">
            <v>0</v>
          </cell>
        </row>
        <row r="6906">
          <cell r="A6906" t="str">
            <v>0</v>
          </cell>
        </row>
        <row r="6907">
          <cell r="A6907" t="str">
            <v>0</v>
          </cell>
        </row>
        <row r="6908">
          <cell r="A6908" t="str">
            <v>0</v>
          </cell>
        </row>
        <row r="6909">
          <cell r="A6909" t="str">
            <v>0</v>
          </cell>
        </row>
        <row r="6910">
          <cell r="A6910" t="str">
            <v>0</v>
          </cell>
        </row>
        <row r="6911">
          <cell r="A6911" t="str">
            <v>0</v>
          </cell>
        </row>
        <row r="6912">
          <cell r="A6912" t="str">
            <v>0</v>
          </cell>
        </row>
        <row r="6913">
          <cell r="A6913" t="str">
            <v>0</v>
          </cell>
        </row>
        <row r="6914">
          <cell r="A6914" t="str">
            <v>0</v>
          </cell>
        </row>
        <row r="6915">
          <cell r="A6915" t="str">
            <v>0</v>
          </cell>
        </row>
        <row r="6916">
          <cell r="A6916" t="str">
            <v>0</v>
          </cell>
        </row>
        <row r="6917">
          <cell r="A6917" t="str">
            <v>0</v>
          </cell>
        </row>
        <row r="6918">
          <cell r="A6918" t="str">
            <v>0</v>
          </cell>
        </row>
        <row r="6919">
          <cell r="A6919" t="str">
            <v>0</v>
          </cell>
        </row>
        <row r="6920">
          <cell r="A6920" t="str">
            <v>0</v>
          </cell>
        </row>
        <row r="6921">
          <cell r="A6921" t="str">
            <v>0</v>
          </cell>
        </row>
        <row r="6922">
          <cell r="A6922" t="str">
            <v>0</v>
          </cell>
        </row>
        <row r="6923">
          <cell r="A6923" t="str">
            <v>0</v>
          </cell>
        </row>
        <row r="6924">
          <cell r="A6924" t="str">
            <v>0</v>
          </cell>
        </row>
        <row r="6925">
          <cell r="A6925" t="str">
            <v>0</v>
          </cell>
        </row>
        <row r="6926">
          <cell r="A6926" t="str">
            <v>0</v>
          </cell>
        </row>
        <row r="6927">
          <cell r="A6927" t="str">
            <v>0</v>
          </cell>
        </row>
        <row r="6928">
          <cell r="A6928" t="str">
            <v>0</v>
          </cell>
        </row>
        <row r="6930">
          <cell r="C6930" t="str">
            <v>JUMLAH TANGGAL</v>
          </cell>
          <cell r="F6930">
            <v>0</v>
          </cell>
          <cell r="G6930">
            <v>0</v>
          </cell>
        </row>
        <row r="6931">
          <cell r="C6931" t="str">
            <v>HARI INI</v>
          </cell>
        </row>
        <row r="6932">
          <cell r="C6932" t="str">
            <v>JUMLAH S/D TANGGAL</v>
          </cell>
          <cell r="F6932">
            <v>514639652</v>
          </cell>
          <cell r="G6932">
            <v>490780936</v>
          </cell>
        </row>
        <row r="6933">
          <cell r="C6933" t="str">
            <v>TOTAL</v>
          </cell>
          <cell r="F6933">
            <v>514639652</v>
          </cell>
          <cell r="G6933">
            <v>490780936</v>
          </cell>
        </row>
        <row r="6935">
          <cell r="C6935" t="str">
            <v>SISA</v>
          </cell>
          <cell r="D6935">
            <v>23858716</v>
          </cell>
        </row>
        <row r="6937">
          <cell r="A6937" t="str">
            <v>KODE BANTU</v>
          </cell>
          <cell r="B6937" t="str">
            <v>NO</v>
          </cell>
          <cell r="C6937" t="str">
            <v>DESEMBER</v>
          </cell>
          <cell r="D6937" t="str">
            <v>URAIAN</v>
          </cell>
          <cell r="E6937" t="str">
            <v>KODE ANGGARAN</v>
          </cell>
          <cell r="F6937" t="str">
            <v>PENERIMAAN</v>
          </cell>
          <cell r="G6937" t="str">
            <v>PENGELUARAN</v>
          </cell>
        </row>
        <row r="6938">
          <cell r="A6938" t="str">
            <v>0</v>
          </cell>
        </row>
        <row r="6939">
          <cell r="A6939" t="str">
            <v>0</v>
          </cell>
        </row>
        <row r="6940">
          <cell r="A6940" t="str">
            <v>0</v>
          </cell>
        </row>
        <row r="6941">
          <cell r="A6941" t="str">
            <v>0</v>
          </cell>
        </row>
        <row r="6942">
          <cell r="A6942" t="str">
            <v>0</v>
          </cell>
        </row>
        <row r="6943">
          <cell r="A6943" t="str">
            <v>0</v>
          </cell>
        </row>
        <row r="6944">
          <cell r="A6944" t="str">
            <v>0</v>
          </cell>
        </row>
        <row r="6945">
          <cell r="A6945" t="str">
            <v>0</v>
          </cell>
        </row>
        <row r="6946">
          <cell r="A6946" t="str">
            <v>0</v>
          </cell>
        </row>
        <row r="6947">
          <cell r="A6947" t="str">
            <v>0</v>
          </cell>
        </row>
        <row r="6948">
          <cell r="A6948" t="str">
            <v>0</v>
          </cell>
        </row>
        <row r="6949">
          <cell r="A6949" t="str">
            <v>0</v>
          </cell>
        </row>
        <row r="6950">
          <cell r="A6950" t="str">
            <v>0</v>
          </cell>
        </row>
        <row r="6951">
          <cell r="A6951" t="str">
            <v>0</v>
          </cell>
        </row>
        <row r="6952">
          <cell r="A6952" t="str">
            <v>0</v>
          </cell>
        </row>
        <row r="6953">
          <cell r="A6953" t="str">
            <v>0</v>
          </cell>
        </row>
        <row r="6954">
          <cell r="A6954" t="str">
            <v>0</v>
          </cell>
        </row>
        <row r="6955">
          <cell r="A6955" t="str">
            <v>0</v>
          </cell>
        </row>
        <row r="6956">
          <cell r="A6956" t="str">
            <v>0</v>
          </cell>
        </row>
        <row r="6957">
          <cell r="A6957" t="str">
            <v>0</v>
          </cell>
        </row>
        <row r="6958">
          <cell r="A6958" t="str">
            <v>0</v>
          </cell>
        </row>
        <row r="6959">
          <cell r="A6959" t="str">
            <v>0</v>
          </cell>
        </row>
        <row r="6960">
          <cell r="A6960" t="str">
            <v>0</v>
          </cell>
        </row>
        <row r="6961">
          <cell r="A6961" t="str">
            <v>0</v>
          </cell>
        </row>
        <row r="6962">
          <cell r="A6962" t="str">
            <v>0</v>
          </cell>
        </row>
        <row r="6964">
          <cell r="C6964" t="str">
            <v>JUMLAH TANGGAL</v>
          </cell>
          <cell r="F6964">
            <v>0</v>
          </cell>
          <cell r="G6964">
            <v>0</v>
          </cell>
        </row>
        <row r="6965">
          <cell r="C6965" t="str">
            <v>HARI INI</v>
          </cell>
        </row>
        <row r="6966">
          <cell r="C6966" t="str">
            <v>JUMLAH S/D TANGGAL</v>
          </cell>
          <cell r="F6966">
            <v>514639652</v>
          </cell>
          <cell r="G6966">
            <v>490780936</v>
          </cell>
        </row>
        <row r="6967">
          <cell r="C6967" t="str">
            <v>TOTAL</v>
          </cell>
          <cell r="F6967">
            <v>514639652</v>
          </cell>
          <cell r="G6967">
            <v>490780936</v>
          </cell>
        </row>
        <row r="6969">
          <cell r="C6969" t="str">
            <v>SISA</v>
          </cell>
          <cell r="D6969">
            <v>23858716</v>
          </cell>
        </row>
        <row r="6971">
          <cell r="A6971" t="str">
            <v>KODE BANTU</v>
          </cell>
          <cell r="B6971" t="str">
            <v>NO</v>
          </cell>
          <cell r="C6971" t="str">
            <v>DESEMBER</v>
          </cell>
          <cell r="D6971" t="str">
            <v>URAIAN</v>
          </cell>
          <cell r="E6971" t="str">
            <v>KODE ANGGARAN</v>
          </cell>
          <cell r="F6971" t="str">
            <v>PENERIMAAN</v>
          </cell>
          <cell r="G6971" t="str">
            <v>PENGELUARAN</v>
          </cell>
        </row>
        <row r="6972">
          <cell r="A6972" t="str">
            <v>0</v>
          </cell>
        </row>
        <row r="6973">
          <cell r="A6973" t="str">
            <v>0</v>
          </cell>
        </row>
        <row r="6974">
          <cell r="A6974" t="str">
            <v>0</v>
          </cell>
        </row>
        <row r="6975">
          <cell r="A6975" t="str">
            <v>0</v>
          </cell>
        </row>
        <row r="6976">
          <cell r="A6976" t="str">
            <v>0</v>
          </cell>
        </row>
        <row r="6977">
          <cell r="A6977" t="str">
            <v>0</v>
          </cell>
        </row>
        <row r="6978">
          <cell r="A6978" t="str">
            <v>0</v>
          </cell>
        </row>
        <row r="6979">
          <cell r="A6979" t="str">
            <v>0</v>
          </cell>
        </row>
        <row r="6980">
          <cell r="A6980" t="str">
            <v>0</v>
          </cell>
        </row>
        <row r="6981">
          <cell r="A6981" t="str">
            <v>0</v>
          </cell>
        </row>
        <row r="6982">
          <cell r="A6982" t="str">
            <v>0</v>
          </cell>
        </row>
        <row r="6983">
          <cell r="A6983" t="str">
            <v>0</v>
          </cell>
        </row>
        <row r="6984">
          <cell r="A6984" t="str">
            <v>0</v>
          </cell>
        </row>
        <row r="6985">
          <cell r="A6985" t="str">
            <v>0</v>
          </cell>
        </row>
        <row r="6986">
          <cell r="A6986" t="str">
            <v>0</v>
          </cell>
        </row>
        <row r="6987">
          <cell r="A6987" t="str">
            <v>0</v>
          </cell>
        </row>
        <row r="6988">
          <cell r="A6988" t="str">
            <v>0</v>
          </cell>
        </row>
        <row r="6989">
          <cell r="A6989" t="str">
            <v>0</v>
          </cell>
        </row>
        <row r="6990">
          <cell r="A6990" t="str">
            <v>0</v>
          </cell>
        </row>
        <row r="6991">
          <cell r="A6991" t="str">
            <v>0</v>
          </cell>
        </row>
        <row r="6992">
          <cell r="A6992" t="str">
            <v>0</v>
          </cell>
        </row>
        <row r="6993">
          <cell r="A6993" t="str">
            <v>0</v>
          </cell>
        </row>
        <row r="6994">
          <cell r="A6994" t="str">
            <v>0</v>
          </cell>
        </row>
        <row r="6995">
          <cell r="A6995" t="str">
            <v>0</v>
          </cell>
        </row>
        <row r="6996">
          <cell r="A6996" t="str">
            <v>0</v>
          </cell>
        </row>
        <row r="6998">
          <cell r="C6998" t="str">
            <v>JUMLAH TANGGAL</v>
          </cell>
          <cell r="F6998">
            <v>0</v>
          </cell>
          <cell r="G6998">
            <v>0</v>
          </cell>
        </row>
        <row r="6999">
          <cell r="C6999" t="str">
            <v>HARI INI</v>
          </cell>
        </row>
        <row r="7000">
          <cell r="C7000" t="str">
            <v>JUMLAH S/D TANGGAL</v>
          </cell>
          <cell r="F7000">
            <v>514639652</v>
          </cell>
          <cell r="G7000">
            <v>490780936</v>
          </cell>
        </row>
        <row r="7001">
          <cell r="C7001" t="str">
            <v>TOTAL</v>
          </cell>
          <cell r="F7001">
            <v>514639652</v>
          </cell>
          <cell r="G7001">
            <v>490780936</v>
          </cell>
        </row>
        <row r="7003">
          <cell r="C7003" t="str">
            <v>SISA</v>
          </cell>
          <cell r="D7003">
            <v>23858716</v>
          </cell>
        </row>
        <row r="7005">
          <cell r="A7005" t="str">
            <v>KODE BANTU</v>
          </cell>
          <cell r="B7005" t="str">
            <v>NO</v>
          </cell>
          <cell r="C7005" t="str">
            <v>DESEMBER</v>
          </cell>
          <cell r="D7005" t="str">
            <v>URAIAN</v>
          </cell>
          <cell r="E7005" t="str">
            <v>KODE ANGGARAN</v>
          </cell>
          <cell r="F7005" t="str">
            <v>PENERIMAAN</v>
          </cell>
          <cell r="G7005" t="str">
            <v>PENGELUARAN</v>
          </cell>
        </row>
        <row r="7006">
          <cell r="A7006" t="str">
            <v>0</v>
          </cell>
        </row>
        <row r="7007">
          <cell r="A7007" t="str">
            <v>0</v>
          </cell>
        </row>
        <row r="7008">
          <cell r="A7008" t="str">
            <v>0</v>
          </cell>
        </row>
        <row r="7009">
          <cell r="A7009" t="str">
            <v>0</v>
          </cell>
        </row>
        <row r="7010">
          <cell r="A7010" t="str">
            <v>0</v>
          </cell>
        </row>
        <row r="7011">
          <cell r="A7011" t="str">
            <v>0</v>
          </cell>
        </row>
        <row r="7012">
          <cell r="A7012" t="str">
            <v>0</v>
          </cell>
        </row>
        <row r="7013">
          <cell r="A7013" t="str">
            <v>0</v>
          </cell>
        </row>
        <row r="7014">
          <cell r="A7014" t="str">
            <v>0</v>
          </cell>
        </row>
        <row r="7015">
          <cell r="A7015" t="str">
            <v>0</v>
          </cell>
        </row>
        <row r="7016">
          <cell r="A7016" t="str">
            <v>0</v>
          </cell>
        </row>
        <row r="7017">
          <cell r="A7017" t="str">
            <v>0</v>
          </cell>
        </row>
        <row r="7018">
          <cell r="A7018" t="str">
            <v>0</v>
          </cell>
        </row>
        <row r="7019">
          <cell r="A7019" t="str">
            <v>0</v>
          </cell>
        </row>
        <row r="7020">
          <cell r="A7020" t="str">
            <v>0</v>
          </cell>
        </row>
        <row r="7021">
          <cell r="A7021" t="str">
            <v>0</v>
          </cell>
        </row>
        <row r="7022">
          <cell r="A7022" t="str">
            <v>0</v>
          </cell>
        </row>
        <row r="7023">
          <cell r="A7023" t="str">
            <v>0</v>
          </cell>
        </row>
        <row r="7024">
          <cell r="A7024" t="str">
            <v>0</v>
          </cell>
        </row>
        <row r="7025">
          <cell r="A7025" t="str">
            <v>0</v>
          </cell>
        </row>
        <row r="7026">
          <cell r="A7026" t="str">
            <v>0</v>
          </cell>
        </row>
        <row r="7027">
          <cell r="A7027" t="str">
            <v>0</v>
          </cell>
        </row>
        <row r="7028">
          <cell r="A7028" t="str">
            <v>0</v>
          </cell>
        </row>
        <row r="7029">
          <cell r="A7029" t="str">
            <v>0</v>
          </cell>
        </row>
        <row r="7030">
          <cell r="A7030" t="str">
            <v>0</v>
          </cell>
        </row>
        <row r="7032">
          <cell r="C7032" t="str">
            <v>JUMLAH TANGGAL</v>
          </cell>
          <cell r="F7032">
            <v>0</v>
          </cell>
          <cell r="G7032">
            <v>0</v>
          </cell>
        </row>
        <row r="7033">
          <cell r="C7033" t="str">
            <v>HARI INI</v>
          </cell>
        </row>
        <row r="7034">
          <cell r="C7034" t="str">
            <v>JUMLAH S/D TANGGAL</v>
          </cell>
          <cell r="F7034">
            <v>514639652</v>
          </cell>
          <cell r="G7034">
            <v>490780936</v>
          </cell>
        </row>
        <row r="7035">
          <cell r="C7035" t="str">
            <v>TOTAL</v>
          </cell>
          <cell r="F7035">
            <v>514639652</v>
          </cell>
          <cell r="G7035">
            <v>490780936</v>
          </cell>
        </row>
        <row r="7037">
          <cell r="C7037" t="str">
            <v>SISA</v>
          </cell>
          <cell r="D7037">
            <v>23858716</v>
          </cell>
        </row>
        <row r="7039">
          <cell r="A7039" t="str">
            <v>KODE BANTU</v>
          </cell>
          <cell r="B7039" t="str">
            <v>NO</v>
          </cell>
          <cell r="C7039" t="str">
            <v>DESEMBER</v>
          </cell>
          <cell r="D7039" t="str">
            <v>URAIAN</v>
          </cell>
          <cell r="E7039" t="str">
            <v>KODE ANGGARAN</v>
          </cell>
          <cell r="F7039" t="str">
            <v>PENERIMAAN</v>
          </cell>
          <cell r="G7039" t="str">
            <v>PENGELUARAN</v>
          </cell>
        </row>
        <row r="7040">
          <cell r="A7040" t="str">
            <v>0</v>
          </cell>
        </row>
        <row r="7041">
          <cell r="A7041" t="str">
            <v>0</v>
          </cell>
        </row>
        <row r="7042">
          <cell r="A7042" t="str">
            <v>0</v>
          </cell>
        </row>
        <row r="7043">
          <cell r="A7043" t="str">
            <v>0</v>
          </cell>
        </row>
        <row r="7044">
          <cell r="A7044" t="str">
            <v>0</v>
          </cell>
        </row>
        <row r="7045">
          <cell r="A7045" t="str">
            <v>0</v>
          </cell>
        </row>
        <row r="7046">
          <cell r="A7046" t="str">
            <v>0</v>
          </cell>
        </row>
        <row r="7047">
          <cell r="A7047" t="str">
            <v>0</v>
          </cell>
        </row>
        <row r="7048">
          <cell r="A7048" t="str">
            <v>0</v>
          </cell>
        </row>
        <row r="7049">
          <cell r="A7049" t="str">
            <v>0</v>
          </cell>
        </row>
        <row r="7050">
          <cell r="A7050" t="str">
            <v>0</v>
          </cell>
        </row>
        <row r="7051">
          <cell r="A7051" t="str">
            <v>0</v>
          </cell>
        </row>
        <row r="7052">
          <cell r="A7052" t="str">
            <v>0</v>
          </cell>
        </row>
        <row r="7053">
          <cell r="A7053" t="str">
            <v>0</v>
          </cell>
        </row>
        <row r="7054">
          <cell r="A7054" t="str">
            <v>0</v>
          </cell>
        </row>
        <row r="7055">
          <cell r="A7055" t="str">
            <v>0</v>
          </cell>
        </row>
        <row r="7056">
          <cell r="A7056" t="str">
            <v>0</v>
          </cell>
        </row>
        <row r="7057">
          <cell r="A7057" t="str">
            <v>0</v>
          </cell>
        </row>
        <row r="7058">
          <cell r="A7058" t="str">
            <v>0</v>
          </cell>
        </row>
        <row r="7059">
          <cell r="A7059" t="str">
            <v>0</v>
          </cell>
        </row>
        <row r="7060">
          <cell r="A7060" t="str">
            <v>0</v>
          </cell>
        </row>
        <row r="7061">
          <cell r="A7061" t="str">
            <v>0</v>
          </cell>
        </row>
        <row r="7062">
          <cell r="A7062" t="str">
            <v>0</v>
          </cell>
        </row>
        <row r="7063">
          <cell r="A7063" t="str">
            <v>0</v>
          </cell>
        </row>
        <row r="7064">
          <cell r="A7064" t="str">
            <v>0</v>
          </cell>
        </row>
        <row r="7066">
          <cell r="C7066" t="str">
            <v>JUMLAH TANGGAL</v>
          </cell>
          <cell r="F7066">
            <v>0</v>
          </cell>
          <cell r="G7066">
            <v>0</v>
          </cell>
        </row>
        <row r="7067">
          <cell r="C7067" t="str">
            <v>HARI INI</v>
          </cell>
        </row>
        <row r="7068">
          <cell r="C7068" t="str">
            <v>JUMLAH S/D TANGGAL</v>
          </cell>
          <cell r="F7068">
            <v>514639652</v>
          </cell>
          <cell r="G7068">
            <v>490780936</v>
          </cell>
        </row>
        <row r="7069">
          <cell r="C7069" t="str">
            <v>TOTAL</v>
          </cell>
          <cell r="F7069">
            <v>514639652</v>
          </cell>
          <cell r="G7069">
            <v>490780936</v>
          </cell>
        </row>
        <row r="7071">
          <cell r="C7071" t="str">
            <v>SISA</v>
          </cell>
          <cell r="D7071">
            <v>23858716</v>
          </cell>
        </row>
        <row r="7073">
          <cell r="A7073" t="str">
            <v>KODE BANTU</v>
          </cell>
          <cell r="B7073" t="str">
            <v>NO</v>
          </cell>
          <cell r="C7073" t="str">
            <v>DESEMBER</v>
          </cell>
          <cell r="D7073" t="str">
            <v>URAIAN</v>
          </cell>
          <cell r="E7073" t="str">
            <v>KODE ANGGARAN</v>
          </cell>
          <cell r="F7073" t="str">
            <v>PENERIMAAN</v>
          </cell>
          <cell r="G7073" t="str">
            <v>PENGELUARAN</v>
          </cell>
        </row>
        <row r="7074">
          <cell r="A7074" t="str">
            <v>0</v>
          </cell>
        </row>
        <row r="7075">
          <cell r="A7075" t="str">
            <v>0</v>
          </cell>
        </row>
        <row r="7076">
          <cell r="A7076" t="str">
            <v>0</v>
          </cell>
        </row>
        <row r="7077">
          <cell r="A7077" t="str">
            <v>0</v>
          </cell>
        </row>
        <row r="7078">
          <cell r="A7078" t="str">
            <v>0</v>
          </cell>
        </row>
        <row r="7079">
          <cell r="A7079" t="str">
            <v>0</v>
          </cell>
        </row>
        <row r="7080">
          <cell r="A7080" t="str">
            <v>0</v>
          </cell>
        </row>
        <row r="7081">
          <cell r="A7081" t="str">
            <v>0</v>
          </cell>
        </row>
        <row r="7082">
          <cell r="A7082" t="str">
            <v>0</v>
          </cell>
        </row>
        <row r="7083">
          <cell r="A7083" t="str">
            <v>0</v>
          </cell>
        </row>
        <row r="7084">
          <cell r="A7084" t="str">
            <v>0</v>
          </cell>
        </row>
        <row r="7085">
          <cell r="A7085" t="str">
            <v>0</v>
          </cell>
        </row>
        <row r="7086">
          <cell r="A7086" t="str">
            <v>0</v>
          </cell>
        </row>
        <row r="7087">
          <cell r="A7087" t="str">
            <v>0</v>
          </cell>
        </row>
        <row r="7088">
          <cell r="A7088" t="str">
            <v>0</v>
          </cell>
        </row>
        <row r="7089">
          <cell r="A7089" t="str">
            <v>0</v>
          </cell>
        </row>
        <row r="7090">
          <cell r="A7090" t="str">
            <v>0</v>
          </cell>
        </row>
        <row r="7091">
          <cell r="A7091" t="str">
            <v>0</v>
          </cell>
        </row>
        <row r="7092">
          <cell r="A7092" t="str">
            <v>0</v>
          </cell>
        </row>
        <row r="7093">
          <cell r="A7093" t="str">
            <v>0</v>
          </cell>
        </row>
        <row r="7094">
          <cell r="A7094" t="str">
            <v>0</v>
          </cell>
        </row>
        <row r="7095">
          <cell r="A7095" t="str">
            <v>0</v>
          </cell>
        </row>
        <row r="7096">
          <cell r="A7096" t="str">
            <v>0</v>
          </cell>
        </row>
        <row r="7097">
          <cell r="A7097" t="str">
            <v>0</v>
          </cell>
        </row>
        <row r="7098">
          <cell r="A7098" t="str">
            <v>0</v>
          </cell>
        </row>
        <row r="7100">
          <cell r="C7100" t="str">
            <v>JUMLAH TANGGAL</v>
          </cell>
          <cell r="F7100">
            <v>0</v>
          </cell>
          <cell r="G7100">
            <v>0</v>
          </cell>
        </row>
        <row r="7101">
          <cell r="C7101" t="str">
            <v>HARI INI</v>
          </cell>
        </row>
        <row r="7102">
          <cell r="C7102" t="str">
            <v>JUMLAH S/D TANGGAL</v>
          </cell>
          <cell r="F7102">
            <v>514639652</v>
          </cell>
          <cell r="G7102">
            <v>490780936</v>
          </cell>
        </row>
        <row r="7103">
          <cell r="C7103" t="str">
            <v>TOTAL</v>
          </cell>
          <cell r="F7103">
            <v>514639652</v>
          </cell>
          <cell r="G7103">
            <v>490780936</v>
          </cell>
        </row>
        <row r="7105">
          <cell r="C7105" t="str">
            <v>SISA</v>
          </cell>
          <cell r="D7105">
            <v>23858716</v>
          </cell>
        </row>
        <row r="7107">
          <cell r="A7107" t="str">
            <v>KODE BANTU</v>
          </cell>
          <cell r="B7107" t="str">
            <v>NO</v>
          </cell>
          <cell r="C7107" t="str">
            <v>DESEMBER</v>
          </cell>
          <cell r="D7107" t="str">
            <v>URAIAN</v>
          </cell>
          <cell r="E7107" t="str">
            <v>KODE ANGGARAN</v>
          </cell>
          <cell r="F7107" t="str">
            <v>PENERIMAAN</v>
          </cell>
          <cell r="G7107" t="str">
            <v>PENGELUARAN</v>
          </cell>
        </row>
        <row r="7108">
          <cell r="A7108" t="str">
            <v>0</v>
          </cell>
        </row>
        <row r="7109">
          <cell r="A7109" t="str">
            <v>0</v>
          </cell>
        </row>
        <row r="7110">
          <cell r="A7110" t="str">
            <v>0</v>
          </cell>
        </row>
        <row r="7111">
          <cell r="A7111" t="str">
            <v>0</v>
          </cell>
        </row>
        <row r="7112">
          <cell r="A7112" t="str">
            <v>0</v>
          </cell>
        </row>
        <row r="7113">
          <cell r="A7113" t="str">
            <v>0</v>
          </cell>
        </row>
        <row r="7114">
          <cell r="A7114" t="str">
            <v>0</v>
          </cell>
        </row>
        <row r="7115">
          <cell r="A7115" t="str">
            <v>0</v>
          </cell>
        </row>
        <row r="7116">
          <cell r="A7116" t="str">
            <v>0</v>
          </cell>
        </row>
        <row r="7117">
          <cell r="A7117" t="str">
            <v>0</v>
          </cell>
        </row>
        <row r="7118">
          <cell r="A7118" t="str">
            <v>0</v>
          </cell>
        </row>
        <row r="7119">
          <cell r="A7119" t="str">
            <v>0</v>
          </cell>
        </row>
        <row r="7120">
          <cell r="A7120" t="str">
            <v>0</v>
          </cell>
        </row>
        <row r="7121">
          <cell r="A7121" t="str">
            <v>0</v>
          </cell>
        </row>
        <row r="7122">
          <cell r="A7122" t="str">
            <v>0</v>
          </cell>
        </row>
        <row r="7123">
          <cell r="A7123" t="str">
            <v>0</v>
          </cell>
        </row>
        <row r="7124">
          <cell r="A7124" t="str">
            <v>0</v>
          </cell>
        </row>
        <row r="7125">
          <cell r="A7125" t="str">
            <v>0</v>
          </cell>
        </row>
        <row r="7126">
          <cell r="A7126" t="str">
            <v>0</v>
          </cell>
        </row>
        <row r="7127">
          <cell r="A7127" t="str">
            <v>0</v>
          </cell>
        </row>
        <row r="7128">
          <cell r="A7128" t="str">
            <v>0</v>
          </cell>
        </row>
        <row r="7129">
          <cell r="A7129" t="str">
            <v>0</v>
          </cell>
        </row>
        <row r="7130">
          <cell r="A7130" t="str">
            <v>0</v>
          </cell>
        </row>
        <row r="7131">
          <cell r="A7131" t="str">
            <v>0</v>
          </cell>
        </row>
        <row r="7132">
          <cell r="A7132" t="str">
            <v>0</v>
          </cell>
        </row>
        <row r="7134">
          <cell r="C7134" t="str">
            <v>JUMLAH TANGGAL</v>
          </cell>
          <cell r="F7134">
            <v>0</v>
          </cell>
          <cell r="G7134">
            <v>0</v>
          </cell>
        </row>
        <row r="7135">
          <cell r="C7135" t="str">
            <v>HARI INI</v>
          </cell>
        </row>
        <row r="7136">
          <cell r="C7136" t="str">
            <v>JUMLAH S/D TANGGAL</v>
          </cell>
          <cell r="F7136">
            <v>514639652</v>
          </cell>
          <cell r="G7136">
            <v>490780936</v>
          </cell>
        </row>
        <row r="7137">
          <cell r="C7137" t="str">
            <v>TOTAL</v>
          </cell>
          <cell r="F7137">
            <v>514639652</v>
          </cell>
          <cell r="G7137">
            <v>490780936</v>
          </cell>
        </row>
        <row r="7139">
          <cell r="C7139" t="str">
            <v>SISA</v>
          </cell>
          <cell r="D7139">
            <v>23858716</v>
          </cell>
        </row>
        <row r="7141">
          <cell r="A7141" t="str">
            <v>KODE BANTU</v>
          </cell>
          <cell r="B7141" t="str">
            <v>NO</v>
          </cell>
          <cell r="C7141" t="str">
            <v>DESEMBER</v>
          </cell>
          <cell r="D7141" t="str">
            <v>URAIAN</v>
          </cell>
          <cell r="E7141" t="str">
            <v>KODE ANGGARAN</v>
          </cell>
          <cell r="F7141" t="str">
            <v>PENERIMAAN</v>
          </cell>
          <cell r="G7141" t="str">
            <v>PENGELUARAN</v>
          </cell>
        </row>
        <row r="7142">
          <cell r="A7142" t="str">
            <v>0</v>
          </cell>
        </row>
        <row r="7143">
          <cell r="A7143" t="str">
            <v>0</v>
          </cell>
        </row>
        <row r="7144">
          <cell r="A7144" t="str">
            <v>0</v>
          </cell>
        </row>
        <row r="7145">
          <cell r="A7145" t="str">
            <v>0</v>
          </cell>
        </row>
        <row r="7146">
          <cell r="A7146" t="str">
            <v>0</v>
          </cell>
        </row>
        <row r="7147">
          <cell r="A7147" t="str">
            <v>0</v>
          </cell>
        </row>
        <row r="7148">
          <cell r="A7148" t="str">
            <v>0</v>
          </cell>
        </row>
        <row r="7149">
          <cell r="A7149" t="str">
            <v>0</v>
          </cell>
        </row>
        <row r="7150">
          <cell r="A7150" t="str">
            <v>0</v>
          </cell>
        </row>
        <row r="7151">
          <cell r="A7151" t="str">
            <v>0</v>
          </cell>
        </row>
        <row r="7152">
          <cell r="A7152" t="str">
            <v>0</v>
          </cell>
        </row>
        <row r="7153">
          <cell r="A7153" t="str">
            <v>0</v>
          </cell>
        </row>
        <row r="7154">
          <cell r="A7154" t="str">
            <v>0</v>
          </cell>
        </row>
        <row r="7155">
          <cell r="A7155" t="str">
            <v>0</v>
          </cell>
        </row>
        <row r="7156">
          <cell r="A7156" t="str">
            <v>0</v>
          </cell>
        </row>
        <row r="7157">
          <cell r="A7157" t="str">
            <v>0</v>
          </cell>
        </row>
        <row r="7158">
          <cell r="A7158" t="str">
            <v>0</v>
          </cell>
        </row>
        <row r="7159">
          <cell r="A7159" t="str">
            <v>0</v>
          </cell>
        </row>
        <row r="7160">
          <cell r="A7160" t="str">
            <v>0</v>
          </cell>
        </row>
        <row r="7161">
          <cell r="A7161" t="str">
            <v>0</v>
          </cell>
        </row>
        <row r="7162">
          <cell r="A7162" t="str">
            <v>0</v>
          </cell>
        </row>
        <row r="7163">
          <cell r="A7163" t="str">
            <v>0</v>
          </cell>
        </row>
        <row r="7164">
          <cell r="A7164" t="str">
            <v>0</v>
          </cell>
        </row>
        <row r="7165">
          <cell r="A7165" t="str">
            <v>0</v>
          </cell>
        </row>
        <row r="7166">
          <cell r="A7166" t="str">
            <v>0</v>
          </cell>
        </row>
        <row r="7168">
          <cell r="C7168" t="str">
            <v>JUMLAH TANGGAL</v>
          </cell>
          <cell r="F7168">
            <v>0</v>
          </cell>
          <cell r="G7168">
            <v>0</v>
          </cell>
        </row>
        <row r="7169">
          <cell r="C7169" t="str">
            <v>HARI INI</v>
          </cell>
        </row>
        <row r="7170">
          <cell r="C7170" t="str">
            <v>JUMLAH S/D TANGGAL</v>
          </cell>
          <cell r="F7170">
            <v>514639652</v>
          </cell>
          <cell r="G7170">
            <v>490780936</v>
          </cell>
        </row>
        <row r="7171">
          <cell r="C7171" t="str">
            <v>TOTAL</v>
          </cell>
          <cell r="F7171">
            <v>514639652</v>
          </cell>
          <cell r="G7171">
            <v>490780936</v>
          </cell>
        </row>
        <row r="7173">
          <cell r="C7173" t="str">
            <v>SISA</v>
          </cell>
          <cell r="D7173">
            <v>23858716</v>
          </cell>
        </row>
        <row r="7175">
          <cell r="A7175" t="str">
            <v>KODE BANTU</v>
          </cell>
          <cell r="B7175" t="str">
            <v>NO</v>
          </cell>
          <cell r="C7175" t="str">
            <v>DESEMBER</v>
          </cell>
          <cell r="D7175" t="str">
            <v>URAIAN</v>
          </cell>
          <cell r="E7175" t="str">
            <v>KODE ANGGARAN</v>
          </cell>
          <cell r="F7175" t="str">
            <v>PENERIMAAN</v>
          </cell>
          <cell r="G7175" t="str">
            <v>PENGELUARAN</v>
          </cell>
        </row>
        <row r="7176">
          <cell r="A7176" t="str">
            <v>0</v>
          </cell>
        </row>
        <row r="7177">
          <cell r="A7177" t="str">
            <v>0</v>
          </cell>
        </row>
        <row r="7178">
          <cell r="A7178" t="str">
            <v>0</v>
          </cell>
        </row>
        <row r="7179">
          <cell r="A7179" t="str">
            <v>0</v>
          </cell>
        </row>
        <row r="7180">
          <cell r="A7180" t="str">
            <v>0</v>
          </cell>
        </row>
        <row r="7181">
          <cell r="A7181" t="str">
            <v>0</v>
          </cell>
        </row>
        <row r="7182">
          <cell r="A7182" t="str">
            <v>0</v>
          </cell>
        </row>
        <row r="7183">
          <cell r="A7183" t="str">
            <v>0</v>
          </cell>
        </row>
        <row r="7184">
          <cell r="A7184" t="str">
            <v>0</v>
          </cell>
        </row>
        <row r="7185">
          <cell r="A7185" t="str">
            <v>0</v>
          </cell>
        </row>
        <row r="7186">
          <cell r="A7186" t="str">
            <v>0</v>
          </cell>
        </row>
        <row r="7187">
          <cell r="A7187" t="str">
            <v>0</v>
          </cell>
        </row>
        <row r="7188">
          <cell r="A7188" t="str">
            <v>0</v>
          </cell>
        </row>
        <row r="7189">
          <cell r="A7189" t="str">
            <v>0</v>
          </cell>
        </row>
        <row r="7190">
          <cell r="A7190" t="str">
            <v>0</v>
          </cell>
        </row>
        <row r="7191">
          <cell r="A7191" t="str">
            <v>0</v>
          </cell>
        </row>
        <row r="7192">
          <cell r="A7192" t="str">
            <v>0</v>
          </cell>
        </row>
        <row r="7193">
          <cell r="A7193" t="str">
            <v>0</v>
          </cell>
        </row>
        <row r="7194">
          <cell r="A7194" t="str">
            <v>0</v>
          </cell>
        </row>
        <row r="7195">
          <cell r="A7195" t="str">
            <v>0</v>
          </cell>
        </row>
        <row r="7196">
          <cell r="A7196" t="str">
            <v>0</v>
          </cell>
        </row>
        <row r="7197">
          <cell r="A7197" t="str">
            <v>0</v>
          </cell>
        </row>
        <row r="7198">
          <cell r="A7198" t="str">
            <v>0</v>
          </cell>
        </row>
        <row r="7199">
          <cell r="A7199" t="str">
            <v>0</v>
          </cell>
        </row>
        <row r="7200">
          <cell r="A7200" t="str">
            <v>0</v>
          </cell>
        </row>
        <row r="7202">
          <cell r="C7202" t="str">
            <v>JUMLAH TANGGAL</v>
          </cell>
          <cell r="F7202">
            <v>0</v>
          </cell>
          <cell r="G7202">
            <v>0</v>
          </cell>
        </row>
        <row r="7203">
          <cell r="C7203" t="str">
            <v>HARI INI</v>
          </cell>
        </row>
        <row r="7204">
          <cell r="C7204" t="str">
            <v>JUMLAH S/D TANGGAL</v>
          </cell>
          <cell r="F7204">
            <v>514639652</v>
          </cell>
          <cell r="G7204">
            <v>490780936</v>
          </cell>
        </row>
        <row r="7205">
          <cell r="C7205" t="str">
            <v>TOTAL</v>
          </cell>
          <cell r="F7205">
            <v>514639652</v>
          </cell>
          <cell r="G7205">
            <v>490780936</v>
          </cell>
        </row>
        <row r="7207">
          <cell r="C7207" t="str">
            <v>SISA</v>
          </cell>
          <cell r="D7207">
            <v>23858716</v>
          </cell>
        </row>
        <row r="7209">
          <cell r="A7209" t="str">
            <v>KODE BANTU</v>
          </cell>
          <cell r="B7209" t="str">
            <v>NO</v>
          </cell>
          <cell r="C7209" t="str">
            <v>DESEMBER</v>
          </cell>
          <cell r="D7209" t="str">
            <v>URAIAN</v>
          </cell>
          <cell r="E7209" t="str">
            <v>KODE ANGGARAN</v>
          </cell>
          <cell r="F7209" t="str">
            <v>PENERIMAAN</v>
          </cell>
          <cell r="G7209" t="str">
            <v>PENGELUARAN</v>
          </cell>
        </row>
        <row r="7210">
          <cell r="A7210" t="str">
            <v>0</v>
          </cell>
        </row>
        <row r="7211">
          <cell r="A7211" t="str">
            <v>0</v>
          </cell>
        </row>
        <row r="7212">
          <cell r="A7212" t="str">
            <v>0</v>
          </cell>
        </row>
        <row r="7213">
          <cell r="A7213" t="str">
            <v>0</v>
          </cell>
        </row>
        <row r="7214">
          <cell r="A7214" t="str">
            <v>0</v>
          </cell>
        </row>
        <row r="7215">
          <cell r="A7215" t="str">
            <v>0</v>
          </cell>
        </row>
        <row r="7216">
          <cell r="A7216" t="str">
            <v>0</v>
          </cell>
        </row>
        <row r="7217">
          <cell r="A7217" t="str">
            <v>0</v>
          </cell>
        </row>
        <row r="7218">
          <cell r="A7218" t="str">
            <v>0</v>
          </cell>
        </row>
        <row r="7219">
          <cell r="A7219" t="str">
            <v>0</v>
          </cell>
        </row>
        <row r="7220">
          <cell r="A7220" t="str">
            <v>0</v>
          </cell>
        </row>
        <row r="7221">
          <cell r="A7221" t="str">
            <v>0</v>
          </cell>
        </row>
        <row r="7222">
          <cell r="A7222" t="str">
            <v>0</v>
          </cell>
        </row>
        <row r="7223">
          <cell r="A7223" t="str">
            <v>0</v>
          </cell>
        </row>
        <row r="7224">
          <cell r="A7224" t="str">
            <v>0</v>
          </cell>
        </row>
        <row r="7225">
          <cell r="A7225" t="str">
            <v>0</v>
          </cell>
        </row>
        <row r="7226">
          <cell r="A7226" t="str">
            <v>0</v>
          </cell>
        </row>
        <row r="7227">
          <cell r="A7227" t="str">
            <v>0</v>
          </cell>
        </row>
        <row r="7228">
          <cell r="A7228" t="str">
            <v>0</v>
          </cell>
        </row>
        <row r="7229">
          <cell r="A7229" t="str">
            <v>0</v>
          </cell>
        </row>
        <row r="7230">
          <cell r="A7230" t="str">
            <v>0</v>
          </cell>
        </row>
        <row r="7231">
          <cell r="A7231" t="str">
            <v>0</v>
          </cell>
        </row>
        <row r="7232">
          <cell r="A7232" t="str">
            <v>0</v>
          </cell>
        </row>
        <row r="7233">
          <cell r="A7233" t="str">
            <v>0</v>
          </cell>
        </row>
        <row r="7234">
          <cell r="A7234" t="str">
            <v>0</v>
          </cell>
        </row>
        <row r="7236">
          <cell r="C7236" t="str">
            <v>JUMLAH TANGGAL</v>
          </cell>
          <cell r="F7236">
            <v>0</v>
          </cell>
          <cell r="G7236">
            <v>0</v>
          </cell>
        </row>
        <row r="7237">
          <cell r="C7237" t="str">
            <v>HARI INI</v>
          </cell>
        </row>
        <row r="7238">
          <cell r="C7238" t="str">
            <v>JUMLAH S/D TANGGAL</v>
          </cell>
          <cell r="F7238">
            <v>514639652</v>
          </cell>
          <cell r="G7238">
            <v>490780936</v>
          </cell>
        </row>
        <row r="7239">
          <cell r="C7239" t="str">
            <v>TOTAL</v>
          </cell>
          <cell r="F7239">
            <v>514639652</v>
          </cell>
          <cell r="G7239">
            <v>490780936</v>
          </cell>
        </row>
        <row r="7241">
          <cell r="C7241" t="str">
            <v>SISA</v>
          </cell>
          <cell r="D7241">
            <v>23858716</v>
          </cell>
        </row>
        <row r="7243">
          <cell r="A7243" t="str">
            <v>KODE BANTU</v>
          </cell>
          <cell r="B7243" t="str">
            <v>NO</v>
          </cell>
          <cell r="C7243" t="str">
            <v>DESEMBER</v>
          </cell>
          <cell r="D7243" t="str">
            <v>URAIAN</v>
          </cell>
          <cell r="E7243" t="str">
            <v>KODE ANGGARAN</v>
          </cell>
          <cell r="F7243" t="str">
            <v>PENERIMAAN</v>
          </cell>
          <cell r="G7243" t="str">
            <v>PENGELUARAN</v>
          </cell>
        </row>
        <row r="7244">
          <cell r="A7244" t="str">
            <v>0</v>
          </cell>
        </row>
        <row r="7245">
          <cell r="A7245" t="str">
            <v>0</v>
          </cell>
        </row>
        <row r="7246">
          <cell r="A7246" t="str">
            <v>0</v>
          </cell>
        </row>
        <row r="7247">
          <cell r="A7247" t="str">
            <v>0</v>
          </cell>
        </row>
        <row r="7248">
          <cell r="A7248" t="str">
            <v>0</v>
          </cell>
        </row>
        <row r="7249">
          <cell r="A7249" t="str">
            <v>0</v>
          </cell>
        </row>
        <row r="7250">
          <cell r="A7250" t="str">
            <v>0</v>
          </cell>
        </row>
        <row r="7251">
          <cell r="A7251" t="str">
            <v>0</v>
          </cell>
        </row>
        <row r="7252">
          <cell r="A7252" t="str">
            <v>0</v>
          </cell>
        </row>
        <row r="7253">
          <cell r="A7253" t="str">
            <v>0</v>
          </cell>
        </row>
        <row r="7254">
          <cell r="A7254" t="str">
            <v>0</v>
          </cell>
        </row>
        <row r="7255">
          <cell r="A7255" t="str">
            <v>0</v>
          </cell>
        </row>
        <row r="7256">
          <cell r="A7256" t="str">
            <v>0</v>
          </cell>
        </row>
        <row r="7257">
          <cell r="A7257" t="str">
            <v>0</v>
          </cell>
        </row>
        <row r="7258">
          <cell r="A7258" t="str">
            <v>0</v>
          </cell>
        </row>
        <row r="7259">
          <cell r="A7259" t="str">
            <v>0</v>
          </cell>
        </row>
        <row r="7260">
          <cell r="A7260" t="str">
            <v>0</v>
          </cell>
        </row>
        <row r="7261">
          <cell r="A7261" t="str">
            <v>0</v>
          </cell>
        </row>
        <row r="7262">
          <cell r="A7262" t="str">
            <v>0</v>
          </cell>
        </row>
        <row r="7263">
          <cell r="A7263" t="str">
            <v>0</v>
          </cell>
        </row>
        <row r="7264">
          <cell r="A7264" t="str">
            <v>0</v>
          </cell>
        </row>
        <row r="7265">
          <cell r="A7265" t="str">
            <v>0</v>
          </cell>
        </row>
        <row r="7266">
          <cell r="A7266" t="str">
            <v>0</v>
          </cell>
        </row>
        <row r="7267">
          <cell r="A7267" t="str">
            <v>0</v>
          </cell>
        </row>
        <row r="7268">
          <cell r="A7268" t="str">
            <v>0</v>
          </cell>
        </row>
        <row r="7270">
          <cell r="C7270" t="str">
            <v>JUMLAH TANGGAL</v>
          </cell>
          <cell r="F7270">
            <v>0</v>
          </cell>
          <cell r="G7270">
            <v>0</v>
          </cell>
        </row>
        <row r="7271">
          <cell r="C7271" t="str">
            <v>HARI INI</v>
          </cell>
        </row>
        <row r="7272">
          <cell r="C7272" t="str">
            <v>JUMLAH S/D TANGGAL</v>
          </cell>
          <cell r="F7272">
            <v>514639652</v>
          </cell>
          <cell r="G7272">
            <v>490780936</v>
          </cell>
        </row>
        <row r="7273">
          <cell r="C7273" t="str">
            <v>TOTAL</v>
          </cell>
          <cell r="F7273">
            <v>514639652</v>
          </cell>
          <cell r="G7273">
            <v>490780936</v>
          </cell>
        </row>
        <row r="7275">
          <cell r="C7275" t="str">
            <v>SISA</v>
          </cell>
          <cell r="D7275">
            <v>23858716</v>
          </cell>
        </row>
        <row r="7277">
          <cell r="A7277" t="str">
            <v>KODE BANTU</v>
          </cell>
          <cell r="B7277" t="str">
            <v>NO</v>
          </cell>
          <cell r="C7277" t="str">
            <v>DESEMBER</v>
          </cell>
          <cell r="D7277" t="str">
            <v>URAIAN</v>
          </cell>
          <cell r="E7277" t="str">
            <v>KODE ANGGARAN</v>
          </cell>
          <cell r="F7277" t="str">
            <v>PENERIMAAN</v>
          </cell>
          <cell r="G7277" t="str">
            <v>PENGELUARAN</v>
          </cell>
        </row>
        <row r="7278">
          <cell r="A7278" t="str">
            <v>0</v>
          </cell>
        </row>
        <row r="7279">
          <cell r="A7279" t="str">
            <v>0</v>
          </cell>
        </row>
        <row r="7280">
          <cell r="A7280" t="str">
            <v>0</v>
          </cell>
        </row>
        <row r="7281">
          <cell r="A7281" t="str">
            <v>0</v>
          </cell>
        </row>
        <row r="7282">
          <cell r="A7282" t="str">
            <v>0</v>
          </cell>
        </row>
        <row r="7283">
          <cell r="A7283" t="str">
            <v>0</v>
          </cell>
        </row>
        <row r="7284">
          <cell r="A7284" t="str">
            <v>0</v>
          </cell>
        </row>
        <row r="7285">
          <cell r="A7285" t="str">
            <v>0</v>
          </cell>
        </row>
        <row r="7286">
          <cell r="A7286" t="str">
            <v>0</v>
          </cell>
        </row>
        <row r="7287">
          <cell r="A7287" t="str">
            <v>0</v>
          </cell>
        </row>
        <row r="7288">
          <cell r="A7288" t="str">
            <v>0</v>
          </cell>
        </row>
        <row r="7289">
          <cell r="A7289" t="str">
            <v>0</v>
          </cell>
        </row>
        <row r="7290">
          <cell r="A7290" t="str">
            <v>0</v>
          </cell>
        </row>
        <row r="7291">
          <cell r="A7291" t="str">
            <v>0</v>
          </cell>
        </row>
        <row r="7292">
          <cell r="A7292" t="str">
            <v>0</v>
          </cell>
        </row>
        <row r="7293">
          <cell r="A7293" t="str">
            <v>0</v>
          </cell>
        </row>
        <row r="7294">
          <cell r="A7294" t="str">
            <v>0</v>
          </cell>
        </row>
        <row r="7295">
          <cell r="A7295" t="str">
            <v>0</v>
          </cell>
        </row>
        <row r="7296">
          <cell r="A7296" t="str">
            <v>0</v>
          </cell>
        </row>
        <row r="7297">
          <cell r="A7297" t="str">
            <v>0</v>
          </cell>
        </row>
        <row r="7298">
          <cell r="A7298" t="str">
            <v>0</v>
          </cell>
        </row>
        <row r="7299">
          <cell r="A7299" t="str">
            <v>0</v>
          </cell>
        </row>
        <row r="7300">
          <cell r="A7300" t="str">
            <v>0</v>
          </cell>
        </row>
        <row r="7301">
          <cell r="A7301" t="str">
            <v>0</v>
          </cell>
        </row>
        <row r="7302">
          <cell r="A7302" t="str">
            <v>0</v>
          </cell>
        </row>
        <row r="7304">
          <cell r="C7304" t="str">
            <v>JUMLAH TANGGAL</v>
          </cell>
          <cell r="F7304">
            <v>0</v>
          </cell>
          <cell r="G7304">
            <v>0</v>
          </cell>
        </row>
        <row r="7305">
          <cell r="C7305" t="str">
            <v>HARI INI</v>
          </cell>
        </row>
        <row r="7306">
          <cell r="C7306" t="str">
            <v>JUMLAH S/D TANGGAL</v>
          </cell>
          <cell r="F7306">
            <v>514639652</v>
          </cell>
          <cell r="G7306">
            <v>490780936</v>
          </cell>
        </row>
        <row r="7307">
          <cell r="C7307" t="str">
            <v>TOTAL</v>
          </cell>
          <cell r="F7307">
            <v>514639652</v>
          </cell>
          <cell r="G7307">
            <v>490780936</v>
          </cell>
        </row>
        <row r="7309">
          <cell r="C7309" t="str">
            <v>SISA</v>
          </cell>
          <cell r="D7309">
            <v>23858716</v>
          </cell>
        </row>
        <row r="7311">
          <cell r="A7311" t="str">
            <v>KODE BANTU</v>
          </cell>
          <cell r="B7311" t="str">
            <v>NO</v>
          </cell>
          <cell r="C7311" t="str">
            <v>DESEMBER</v>
          </cell>
          <cell r="D7311" t="str">
            <v>URAIAN</v>
          </cell>
          <cell r="E7311" t="str">
            <v>KODE ANGGARAN</v>
          </cell>
          <cell r="F7311" t="str">
            <v>PENERIMAAN</v>
          </cell>
          <cell r="G7311" t="str">
            <v>PENGELUARAN</v>
          </cell>
        </row>
        <row r="7312">
          <cell r="A7312" t="str">
            <v>0</v>
          </cell>
        </row>
        <row r="7313">
          <cell r="A7313" t="str">
            <v>0</v>
          </cell>
        </row>
        <row r="7314">
          <cell r="A7314" t="str">
            <v>0</v>
          </cell>
        </row>
        <row r="7315">
          <cell r="A7315" t="str">
            <v>0</v>
          </cell>
        </row>
        <row r="7316">
          <cell r="A7316" t="str">
            <v>0</v>
          </cell>
        </row>
        <row r="7317">
          <cell r="A7317" t="str">
            <v>0</v>
          </cell>
        </row>
        <row r="7318">
          <cell r="A7318" t="str">
            <v>0</v>
          </cell>
        </row>
        <row r="7319">
          <cell r="A7319" t="str">
            <v>0</v>
          </cell>
        </row>
        <row r="7320">
          <cell r="A7320" t="str">
            <v>0</v>
          </cell>
        </row>
        <row r="7321">
          <cell r="A7321" t="str">
            <v>0</v>
          </cell>
        </row>
        <row r="7322">
          <cell r="A7322" t="str">
            <v>0</v>
          </cell>
        </row>
        <row r="7323">
          <cell r="A7323" t="str">
            <v>0</v>
          </cell>
        </row>
        <row r="7324">
          <cell r="A7324" t="str">
            <v>0</v>
          </cell>
        </row>
        <row r="7325">
          <cell r="A7325" t="str">
            <v>0</v>
          </cell>
        </row>
        <row r="7326">
          <cell r="A7326" t="str">
            <v>0</v>
          </cell>
        </row>
        <row r="7327">
          <cell r="A7327" t="str">
            <v>0</v>
          </cell>
        </row>
        <row r="7328">
          <cell r="A7328" t="str">
            <v>0</v>
          </cell>
        </row>
        <row r="7329">
          <cell r="A7329" t="str">
            <v>0</v>
          </cell>
        </row>
        <row r="7330">
          <cell r="A7330" t="str">
            <v>0</v>
          </cell>
        </row>
        <row r="7331">
          <cell r="A7331" t="str">
            <v>0</v>
          </cell>
        </row>
        <row r="7332">
          <cell r="A7332" t="str">
            <v>0</v>
          </cell>
        </row>
        <row r="7333">
          <cell r="A7333" t="str">
            <v>0</v>
          </cell>
        </row>
        <row r="7334">
          <cell r="A7334" t="str">
            <v>0</v>
          </cell>
        </row>
        <row r="7335">
          <cell r="A7335" t="str">
            <v>0</v>
          </cell>
        </row>
        <row r="7336">
          <cell r="A7336" t="str">
            <v>0</v>
          </cell>
        </row>
        <row r="7338">
          <cell r="C7338" t="str">
            <v>JUMLAH TANGGAL</v>
          </cell>
          <cell r="F7338">
            <v>0</v>
          </cell>
          <cell r="G7338">
            <v>0</v>
          </cell>
        </row>
        <row r="7339">
          <cell r="C7339" t="str">
            <v>HARI INI</v>
          </cell>
        </row>
        <row r="7340">
          <cell r="C7340" t="str">
            <v>JUMLAH S/D TANGGAL</v>
          </cell>
          <cell r="F7340">
            <v>514639652</v>
          </cell>
          <cell r="G7340">
            <v>490780936</v>
          </cell>
        </row>
        <row r="7341">
          <cell r="C7341" t="str">
            <v>TOTAL</v>
          </cell>
          <cell r="F7341">
            <v>514639652</v>
          </cell>
          <cell r="G7341">
            <v>490780936</v>
          </cell>
        </row>
        <row r="7343">
          <cell r="C7343" t="str">
            <v>SISA</v>
          </cell>
          <cell r="D7343">
            <v>23858716</v>
          </cell>
        </row>
        <row r="7345">
          <cell r="A7345" t="str">
            <v>KODE BANTU</v>
          </cell>
          <cell r="B7345" t="str">
            <v>NO</v>
          </cell>
          <cell r="C7345" t="str">
            <v>DESEMBER</v>
          </cell>
          <cell r="D7345" t="str">
            <v>URAIAN</v>
          </cell>
          <cell r="E7345" t="str">
            <v>KODE ANGGARAN</v>
          </cell>
          <cell r="F7345" t="str">
            <v>PENERIMAAN</v>
          </cell>
          <cell r="G7345" t="str">
            <v>PENGELUARAN</v>
          </cell>
        </row>
        <row r="7346">
          <cell r="A7346" t="str">
            <v>0</v>
          </cell>
        </row>
        <row r="7347">
          <cell r="A7347" t="str">
            <v>0</v>
          </cell>
        </row>
        <row r="7348">
          <cell r="A7348" t="str">
            <v>0</v>
          </cell>
        </row>
        <row r="7349">
          <cell r="A7349" t="str">
            <v>0</v>
          </cell>
        </row>
        <row r="7350">
          <cell r="A7350" t="str">
            <v>0</v>
          </cell>
        </row>
        <row r="7351">
          <cell r="A7351" t="str">
            <v>0</v>
          </cell>
        </row>
        <row r="7352">
          <cell r="A7352" t="str">
            <v>0</v>
          </cell>
        </row>
        <row r="7353">
          <cell r="A7353" t="str">
            <v>0</v>
          </cell>
        </row>
        <row r="7354">
          <cell r="A7354" t="str">
            <v>0</v>
          </cell>
        </row>
        <row r="7355">
          <cell r="A7355" t="str">
            <v>0</v>
          </cell>
        </row>
        <row r="7356">
          <cell r="A7356" t="str">
            <v>0</v>
          </cell>
        </row>
        <row r="7357">
          <cell r="A7357" t="str">
            <v>0</v>
          </cell>
        </row>
        <row r="7358">
          <cell r="A7358" t="str">
            <v>0</v>
          </cell>
        </row>
        <row r="7359">
          <cell r="A7359" t="str">
            <v>0</v>
          </cell>
        </row>
        <row r="7360">
          <cell r="A7360" t="str">
            <v>0</v>
          </cell>
        </row>
        <row r="7361">
          <cell r="A7361" t="str">
            <v>0</v>
          </cell>
        </row>
        <row r="7362">
          <cell r="A7362" t="str">
            <v>0</v>
          </cell>
        </row>
        <row r="7363">
          <cell r="A7363" t="str">
            <v>0</v>
          </cell>
        </row>
        <row r="7364">
          <cell r="A7364" t="str">
            <v>0</v>
          </cell>
        </row>
        <row r="7365">
          <cell r="A7365" t="str">
            <v>0</v>
          </cell>
        </row>
        <row r="7366">
          <cell r="A7366" t="str">
            <v>0</v>
          </cell>
        </row>
        <row r="7367">
          <cell r="A7367" t="str">
            <v>0</v>
          </cell>
        </row>
        <row r="7368">
          <cell r="A7368" t="str">
            <v>0</v>
          </cell>
        </row>
        <row r="7369">
          <cell r="A7369" t="str">
            <v>0</v>
          </cell>
        </row>
        <row r="7370">
          <cell r="A7370" t="str">
            <v>0</v>
          </cell>
        </row>
        <row r="7372">
          <cell r="C7372" t="str">
            <v>JUMLAH TANGGAL</v>
          </cell>
          <cell r="F7372">
            <v>0</v>
          </cell>
          <cell r="G7372">
            <v>0</v>
          </cell>
        </row>
        <row r="7373">
          <cell r="C7373" t="str">
            <v>HARI INI</v>
          </cell>
        </row>
        <row r="7374">
          <cell r="C7374" t="str">
            <v>JUMLAH S/D TANGGAL</v>
          </cell>
          <cell r="F7374">
            <v>514639652</v>
          </cell>
          <cell r="G7374">
            <v>490780936</v>
          </cell>
        </row>
        <row r="7375">
          <cell r="C7375" t="str">
            <v>TOTAL</v>
          </cell>
          <cell r="F7375">
            <v>514639652</v>
          </cell>
          <cell r="G7375">
            <v>490780936</v>
          </cell>
        </row>
        <row r="7377">
          <cell r="C7377" t="str">
            <v>SISA</v>
          </cell>
          <cell r="D7377">
            <v>23858716</v>
          </cell>
        </row>
        <row r="7379">
          <cell r="A7379" t="str">
            <v>KODE BANTU</v>
          </cell>
          <cell r="B7379" t="str">
            <v>NO</v>
          </cell>
          <cell r="C7379" t="str">
            <v>DESEMBER</v>
          </cell>
          <cell r="D7379" t="str">
            <v>URAIAN</v>
          </cell>
          <cell r="E7379" t="str">
            <v>KODE ANGGARAN</v>
          </cell>
          <cell r="F7379" t="str">
            <v>PENERIMAAN</v>
          </cell>
          <cell r="G7379" t="str">
            <v>PENGELUARAN</v>
          </cell>
        </row>
        <row r="7380">
          <cell r="A7380" t="str">
            <v>0</v>
          </cell>
        </row>
        <row r="7381">
          <cell r="A7381" t="str">
            <v>0</v>
          </cell>
        </row>
        <row r="7382">
          <cell r="A7382" t="str">
            <v>0</v>
          </cell>
        </row>
        <row r="7383">
          <cell r="A7383" t="str">
            <v>0</v>
          </cell>
        </row>
        <row r="7384">
          <cell r="A7384" t="str">
            <v>0</v>
          </cell>
        </row>
        <row r="7385">
          <cell r="A7385" t="str">
            <v>0</v>
          </cell>
        </row>
        <row r="7386">
          <cell r="A7386" t="str">
            <v>0</v>
          </cell>
        </row>
        <row r="7387">
          <cell r="A7387" t="str">
            <v>0</v>
          </cell>
        </row>
        <row r="7388">
          <cell r="A7388" t="str">
            <v>0</v>
          </cell>
        </row>
        <row r="7389">
          <cell r="A7389" t="str">
            <v>0</v>
          </cell>
        </row>
        <row r="7390">
          <cell r="A7390" t="str">
            <v>0</v>
          </cell>
        </row>
        <row r="7391">
          <cell r="A7391" t="str">
            <v>0</v>
          </cell>
        </row>
        <row r="7392">
          <cell r="A7392" t="str">
            <v>0</v>
          </cell>
        </row>
        <row r="7393">
          <cell r="A7393" t="str">
            <v>0</v>
          </cell>
        </row>
        <row r="7394">
          <cell r="A7394" t="str">
            <v>0</v>
          </cell>
        </row>
        <row r="7395">
          <cell r="A7395" t="str">
            <v>0</v>
          </cell>
        </row>
        <row r="7396">
          <cell r="A7396" t="str">
            <v>0</v>
          </cell>
        </row>
        <row r="7397">
          <cell r="A7397" t="str">
            <v>0</v>
          </cell>
        </row>
        <row r="7398">
          <cell r="A7398" t="str">
            <v>0</v>
          </cell>
        </row>
        <row r="7399">
          <cell r="A7399" t="str">
            <v>0</v>
          </cell>
        </row>
        <row r="7400">
          <cell r="A7400" t="str">
            <v>0</v>
          </cell>
        </row>
        <row r="7401">
          <cell r="A7401" t="str">
            <v>0</v>
          </cell>
        </row>
        <row r="7402">
          <cell r="A7402" t="str">
            <v>0</v>
          </cell>
        </row>
        <row r="7403">
          <cell r="A7403" t="str">
            <v>0</v>
          </cell>
        </row>
        <row r="7404">
          <cell r="A7404" t="str">
            <v>0</v>
          </cell>
        </row>
        <row r="7406">
          <cell r="C7406" t="str">
            <v>JUMLAH TANGGAL</v>
          </cell>
          <cell r="F7406">
            <v>0</v>
          </cell>
          <cell r="G7406">
            <v>0</v>
          </cell>
        </row>
        <row r="7407">
          <cell r="C7407" t="str">
            <v>HARI INI</v>
          </cell>
        </row>
        <row r="7408">
          <cell r="C7408" t="str">
            <v>JUMLAH S/D TANGGAL</v>
          </cell>
          <cell r="F7408">
            <v>514639652</v>
          </cell>
          <cell r="G7408">
            <v>490780936</v>
          </cell>
        </row>
        <row r="7409">
          <cell r="C7409" t="str">
            <v>TOTAL</v>
          </cell>
          <cell r="F7409">
            <v>514639652</v>
          </cell>
          <cell r="G7409">
            <v>490780936</v>
          </cell>
        </row>
        <row r="7411">
          <cell r="C7411" t="str">
            <v>SISA</v>
          </cell>
          <cell r="D7411">
            <v>23858716</v>
          </cell>
        </row>
        <row r="7413">
          <cell r="A7413" t="str">
            <v>KODE BANTU</v>
          </cell>
          <cell r="B7413" t="str">
            <v>NO</v>
          </cell>
          <cell r="C7413" t="str">
            <v>DESEMBER</v>
          </cell>
          <cell r="D7413" t="str">
            <v>URAIAN</v>
          </cell>
          <cell r="E7413" t="str">
            <v>KODE ANGGARAN</v>
          </cell>
          <cell r="F7413" t="str">
            <v>PENERIMAAN</v>
          </cell>
          <cell r="G7413" t="str">
            <v>PENGELUARAN</v>
          </cell>
        </row>
        <row r="7414">
          <cell r="A7414" t="str">
            <v>0</v>
          </cell>
        </row>
        <row r="7415">
          <cell r="A7415" t="str">
            <v>0</v>
          </cell>
        </row>
        <row r="7416">
          <cell r="A7416" t="str">
            <v>0</v>
          </cell>
        </row>
        <row r="7417">
          <cell r="A7417" t="str">
            <v>0</v>
          </cell>
        </row>
        <row r="7418">
          <cell r="A7418" t="str">
            <v>0</v>
          </cell>
        </row>
        <row r="7419">
          <cell r="A7419" t="str">
            <v>0</v>
          </cell>
        </row>
        <row r="7420">
          <cell r="A7420" t="str">
            <v>0</v>
          </cell>
        </row>
        <row r="7421">
          <cell r="A7421" t="str">
            <v>0</v>
          </cell>
        </row>
        <row r="7422">
          <cell r="A7422" t="str">
            <v>0</v>
          </cell>
        </row>
        <row r="7423">
          <cell r="A7423" t="str">
            <v>0</v>
          </cell>
        </row>
        <row r="7424">
          <cell r="A7424" t="str">
            <v>0</v>
          </cell>
        </row>
        <row r="7425">
          <cell r="A7425" t="str">
            <v>0</v>
          </cell>
        </row>
        <row r="7426">
          <cell r="A7426" t="str">
            <v>0</v>
          </cell>
        </row>
        <row r="7427">
          <cell r="A7427" t="str">
            <v>0</v>
          </cell>
        </row>
        <row r="7428">
          <cell r="A7428" t="str">
            <v>0</v>
          </cell>
        </row>
        <row r="7429">
          <cell r="A7429" t="str">
            <v>0</v>
          </cell>
        </row>
        <row r="7430">
          <cell r="A7430" t="str">
            <v>0</v>
          </cell>
        </row>
        <row r="7431">
          <cell r="A7431" t="str">
            <v>0</v>
          </cell>
        </row>
        <row r="7432">
          <cell r="A7432" t="str">
            <v>0</v>
          </cell>
        </row>
        <row r="7433">
          <cell r="A7433" t="str">
            <v>0</v>
          </cell>
        </row>
        <row r="7434">
          <cell r="A7434" t="str">
            <v>0</v>
          </cell>
        </row>
        <row r="7435">
          <cell r="A7435" t="str">
            <v>0</v>
          </cell>
        </row>
        <row r="7436">
          <cell r="A7436" t="str">
            <v>0</v>
          </cell>
        </row>
        <row r="7437">
          <cell r="A7437" t="str">
            <v>0</v>
          </cell>
        </row>
        <row r="7438">
          <cell r="A7438" t="str">
            <v>0</v>
          </cell>
        </row>
        <row r="7440">
          <cell r="C7440" t="str">
            <v>JUMLAH TANGGAL</v>
          </cell>
          <cell r="F7440">
            <v>0</v>
          </cell>
          <cell r="G7440">
            <v>0</v>
          </cell>
        </row>
        <row r="7441">
          <cell r="C7441" t="str">
            <v>HARI INI</v>
          </cell>
        </row>
        <row r="7442">
          <cell r="C7442" t="str">
            <v>JUMLAH S/D TANGGAL</v>
          </cell>
          <cell r="F7442">
            <v>514639652</v>
          </cell>
          <cell r="G7442">
            <v>490780936</v>
          </cell>
        </row>
        <row r="7443">
          <cell r="C7443" t="str">
            <v>TOTAL</v>
          </cell>
          <cell r="F7443">
            <v>514639652</v>
          </cell>
          <cell r="G7443">
            <v>490780936</v>
          </cell>
        </row>
        <row r="7445">
          <cell r="C7445" t="str">
            <v>SISA</v>
          </cell>
          <cell r="D7445">
            <v>23858716</v>
          </cell>
        </row>
        <row r="7447">
          <cell r="A7447" t="str">
            <v>KODE BANTU</v>
          </cell>
          <cell r="B7447" t="str">
            <v>NO</v>
          </cell>
          <cell r="C7447" t="str">
            <v>DESEMBER</v>
          </cell>
          <cell r="D7447" t="str">
            <v>URAIAN</v>
          </cell>
          <cell r="E7447" t="str">
            <v>KODE ANGGARAN</v>
          </cell>
          <cell r="F7447" t="str">
            <v>PENERIMAAN</v>
          </cell>
          <cell r="G7447" t="str">
            <v>PENGELUARAN</v>
          </cell>
        </row>
        <row r="7448">
          <cell r="A7448" t="str">
            <v>0</v>
          </cell>
        </row>
        <row r="7449">
          <cell r="A7449" t="str">
            <v>0</v>
          </cell>
        </row>
        <row r="7450">
          <cell r="A7450" t="str">
            <v>0</v>
          </cell>
        </row>
        <row r="7451">
          <cell r="A7451" t="str">
            <v>0</v>
          </cell>
        </row>
        <row r="7452">
          <cell r="A7452" t="str">
            <v>0</v>
          </cell>
        </row>
        <row r="7453">
          <cell r="A7453" t="str">
            <v>0</v>
          </cell>
        </row>
        <row r="7454">
          <cell r="A7454" t="str">
            <v>0</v>
          </cell>
        </row>
        <row r="7455">
          <cell r="A7455" t="str">
            <v>0</v>
          </cell>
        </row>
        <row r="7456">
          <cell r="A7456" t="str">
            <v>0</v>
          </cell>
        </row>
        <row r="7457">
          <cell r="A7457" t="str">
            <v>0</v>
          </cell>
        </row>
        <row r="7458">
          <cell r="A7458" t="str">
            <v>0</v>
          </cell>
        </row>
        <row r="7459">
          <cell r="A7459" t="str">
            <v>0</v>
          </cell>
        </row>
        <row r="7460">
          <cell r="A7460" t="str">
            <v>0</v>
          </cell>
        </row>
        <row r="7461">
          <cell r="A7461" t="str">
            <v>0</v>
          </cell>
        </row>
        <row r="7462">
          <cell r="A7462" t="str">
            <v>0</v>
          </cell>
        </row>
        <row r="7463">
          <cell r="A7463" t="str">
            <v>0</v>
          </cell>
        </row>
        <row r="7464">
          <cell r="A7464" t="str">
            <v>0</v>
          </cell>
        </row>
        <row r="7465">
          <cell r="A7465" t="str">
            <v>0</v>
          </cell>
        </row>
        <row r="7466">
          <cell r="A7466" t="str">
            <v>0</v>
          </cell>
        </row>
        <row r="7467">
          <cell r="A7467" t="str">
            <v>0</v>
          </cell>
        </row>
        <row r="7468">
          <cell r="A7468" t="str">
            <v>0</v>
          </cell>
        </row>
        <row r="7469">
          <cell r="A7469" t="str">
            <v>0</v>
          </cell>
        </row>
        <row r="7470">
          <cell r="A7470" t="str">
            <v>0</v>
          </cell>
        </row>
        <row r="7471">
          <cell r="A7471" t="str">
            <v>0</v>
          </cell>
        </row>
        <row r="7472">
          <cell r="A7472" t="str">
            <v>0</v>
          </cell>
        </row>
        <row r="7474">
          <cell r="C7474" t="str">
            <v>JUMLAH TANGGAL</v>
          </cell>
          <cell r="F7474">
            <v>0</v>
          </cell>
          <cell r="G7474">
            <v>0</v>
          </cell>
        </row>
        <row r="7475">
          <cell r="C7475" t="str">
            <v>HARI INI</v>
          </cell>
        </row>
        <row r="7476">
          <cell r="C7476" t="str">
            <v>JUMLAH S/D TANGGAL</v>
          </cell>
          <cell r="F7476">
            <v>514639652</v>
          </cell>
          <cell r="G7476">
            <v>490780936</v>
          </cell>
        </row>
        <row r="7477">
          <cell r="C7477" t="str">
            <v>TOTAL</v>
          </cell>
          <cell r="F7477">
            <v>514639652</v>
          </cell>
          <cell r="G7477">
            <v>490780936</v>
          </cell>
        </row>
        <row r="7479">
          <cell r="C7479" t="str">
            <v>SISA</v>
          </cell>
          <cell r="D7479">
            <v>23858716</v>
          </cell>
        </row>
        <row r="7481">
          <cell r="A7481" t="str">
            <v>KODE BANTU</v>
          </cell>
          <cell r="B7481" t="str">
            <v>NO</v>
          </cell>
          <cell r="C7481" t="str">
            <v>DESEMBER</v>
          </cell>
          <cell r="D7481" t="str">
            <v>URAIAN</v>
          </cell>
          <cell r="E7481" t="str">
            <v>KODE ANGGARAN</v>
          </cell>
          <cell r="F7481" t="str">
            <v>PENERIMAAN</v>
          </cell>
          <cell r="G7481" t="str">
            <v>PENGELUARAN</v>
          </cell>
        </row>
        <row r="7482">
          <cell r="A7482" t="str">
            <v>0</v>
          </cell>
        </row>
        <row r="7483">
          <cell r="A7483" t="str">
            <v>0</v>
          </cell>
        </row>
        <row r="7484">
          <cell r="A7484" t="str">
            <v>0</v>
          </cell>
        </row>
        <row r="7485">
          <cell r="A7485" t="str">
            <v>0</v>
          </cell>
        </row>
        <row r="7486">
          <cell r="A7486" t="str">
            <v>0</v>
          </cell>
        </row>
        <row r="7487">
          <cell r="A7487" t="str">
            <v>0</v>
          </cell>
        </row>
        <row r="7488">
          <cell r="A7488" t="str">
            <v>0</v>
          </cell>
        </row>
        <row r="7489">
          <cell r="A7489" t="str">
            <v>0</v>
          </cell>
        </row>
        <row r="7490">
          <cell r="A7490" t="str">
            <v>0</v>
          </cell>
        </row>
        <row r="7491">
          <cell r="A7491" t="str">
            <v>0</v>
          </cell>
        </row>
        <row r="7492">
          <cell r="A7492" t="str">
            <v>0</v>
          </cell>
        </row>
        <row r="7493">
          <cell r="A7493" t="str">
            <v>0</v>
          </cell>
        </row>
        <row r="7494">
          <cell r="A7494" t="str">
            <v>0</v>
          </cell>
        </row>
        <row r="7495">
          <cell r="A7495" t="str">
            <v>0</v>
          </cell>
        </row>
        <row r="7496">
          <cell r="A7496" t="str">
            <v>0</v>
          </cell>
        </row>
        <row r="7497">
          <cell r="A7497" t="str">
            <v>0</v>
          </cell>
        </row>
        <row r="7498">
          <cell r="A7498" t="str">
            <v>0</v>
          </cell>
        </row>
        <row r="7499">
          <cell r="A7499" t="str">
            <v>0</v>
          </cell>
        </row>
        <row r="7500">
          <cell r="A7500" t="str">
            <v>0</v>
          </cell>
        </row>
        <row r="7501">
          <cell r="A7501" t="str">
            <v>0</v>
          </cell>
        </row>
        <row r="7502">
          <cell r="A7502" t="str">
            <v>0</v>
          </cell>
        </row>
        <row r="7503">
          <cell r="A7503" t="str">
            <v>0</v>
          </cell>
        </row>
        <row r="7504">
          <cell r="A7504" t="str">
            <v>0</v>
          </cell>
        </row>
        <row r="7505">
          <cell r="A7505" t="str">
            <v>0</v>
          </cell>
        </row>
        <row r="7506">
          <cell r="A7506" t="str">
            <v>0</v>
          </cell>
        </row>
        <row r="7508">
          <cell r="C7508" t="str">
            <v>JUMLAH TANGGAL</v>
          </cell>
          <cell r="F7508">
            <v>0</v>
          </cell>
          <cell r="G7508">
            <v>0</v>
          </cell>
        </row>
        <row r="7509">
          <cell r="C7509" t="str">
            <v>HARI INI</v>
          </cell>
        </row>
        <row r="7510">
          <cell r="C7510" t="str">
            <v>JUMLAH S/D TANGGAL</v>
          </cell>
          <cell r="F7510">
            <v>514639652</v>
          </cell>
          <cell r="G7510">
            <v>490780936</v>
          </cell>
        </row>
        <row r="7511">
          <cell r="C7511" t="str">
            <v>TOTAL</v>
          </cell>
          <cell r="F7511">
            <v>514639652</v>
          </cell>
          <cell r="G7511">
            <v>490780936</v>
          </cell>
        </row>
        <row r="7513">
          <cell r="C7513" t="str">
            <v>SISA</v>
          </cell>
          <cell r="D7513">
            <v>23858716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2087-ABC5-4BB7-9B66-7458B1480798}">
  <sheetPr>
    <tabColor rgb="FFFF0000"/>
  </sheetPr>
  <dimension ref="A1:F349"/>
  <sheetViews>
    <sheetView showGridLines="0" zoomScaleNormal="100" workbookViewId="0">
      <pane ySplit="8" topLeftCell="A9" activePane="bottomLeft" state="frozen"/>
      <selection activeCell="E5433" sqref="E5433"/>
      <selection pane="bottomLeft" activeCell="C89" sqref="C89"/>
    </sheetView>
  </sheetViews>
  <sheetFormatPr defaultRowHeight="15" x14ac:dyDescent="0.25"/>
  <cols>
    <col min="1" max="1" width="26.7109375" style="1" bestFit="1" customWidth="1"/>
    <col min="2" max="2" width="99.28515625" style="1" customWidth="1"/>
    <col min="3" max="3" width="33.5703125" style="1" customWidth="1"/>
    <col min="4" max="4" width="30.5703125" style="1" customWidth="1"/>
    <col min="5" max="5" width="28.85546875" style="1" customWidth="1"/>
    <col min="6" max="6" width="23.140625" style="1" customWidth="1"/>
    <col min="7" max="16384" width="9.140625" style="1"/>
  </cols>
  <sheetData>
    <row r="1" spans="1:6" ht="19.5" x14ac:dyDescent="0.25">
      <c r="A1" s="526" t="s">
        <v>579</v>
      </c>
      <c r="B1" s="526"/>
      <c r="C1" s="526"/>
      <c r="D1" s="526"/>
      <c r="E1" s="526"/>
      <c r="F1" s="526"/>
    </row>
    <row r="2" spans="1:6" ht="19.5" x14ac:dyDescent="0.25">
      <c r="A2" s="526" t="s">
        <v>578</v>
      </c>
      <c r="B2" s="526"/>
      <c r="C2" s="526"/>
      <c r="D2" s="526"/>
      <c r="E2" s="526"/>
      <c r="F2" s="526"/>
    </row>
    <row r="3" spans="1:6" ht="19.5" x14ac:dyDescent="0.25">
      <c r="A3" s="526" t="s">
        <v>577</v>
      </c>
      <c r="B3" s="526"/>
      <c r="C3" s="526"/>
      <c r="D3" s="526"/>
      <c r="E3" s="526"/>
      <c r="F3" s="526"/>
    </row>
    <row r="4" spans="1:6" ht="19.5" x14ac:dyDescent="0.25">
      <c r="A4" s="526" t="s">
        <v>576</v>
      </c>
      <c r="B4" s="526"/>
      <c r="C4" s="526"/>
      <c r="D4" s="526"/>
      <c r="E4" s="526"/>
      <c r="F4" s="526"/>
    </row>
    <row r="5" spans="1:6" ht="19.5" x14ac:dyDescent="0.25">
      <c r="A5" s="527" t="s">
        <v>642</v>
      </c>
      <c r="B5" s="527"/>
      <c r="C5" s="527"/>
      <c r="D5" s="527"/>
      <c r="E5" s="527"/>
      <c r="F5" s="527"/>
    </row>
    <row r="6" spans="1:6" ht="16.5" thickBot="1" x14ac:dyDescent="0.3">
      <c r="A6" s="53"/>
      <c r="B6" s="53"/>
      <c r="C6" s="53"/>
      <c r="D6" s="53"/>
      <c r="E6" s="53"/>
      <c r="F6" s="53"/>
    </row>
    <row r="7" spans="1:6" x14ac:dyDescent="0.25">
      <c r="A7" s="520" t="s">
        <v>287</v>
      </c>
      <c r="B7" s="522" t="s">
        <v>286</v>
      </c>
      <c r="C7" s="524" t="s">
        <v>580</v>
      </c>
      <c r="D7" s="524" t="s">
        <v>643</v>
      </c>
      <c r="E7" s="524" t="s">
        <v>575</v>
      </c>
      <c r="F7" s="510" t="s">
        <v>574</v>
      </c>
    </row>
    <row r="8" spans="1:6" ht="33.75" customHeight="1" thickBot="1" x14ac:dyDescent="0.3">
      <c r="A8" s="521"/>
      <c r="B8" s="523"/>
      <c r="C8" s="525"/>
      <c r="D8" s="525"/>
      <c r="E8" s="525"/>
      <c r="F8" s="511"/>
    </row>
    <row r="9" spans="1:6" x14ac:dyDescent="0.25">
      <c r="A9" s="95">
        <v>1</v>
      </c>
      <c r="B9" s="94">
        <v>2</v>
      </c>
      <c r="C9" s="93">
        <v>3</v>
      </c>
      <c r="D9" s="93">
        <v>4</v>
      </c>
      <c r="E9" s="93">
        <v>5</v>
      </c>
      <c r="F9" s="92">
        <v>6</v>
      </c>
    </row>
    <row r="10" spans="1:6" ht="15.75" x14ac:dyDescent="0.25">
      <c r="A10" s="40" t="s">
        <v>573</v>
      </c>
      <c r="B10" s="39" t="s">
        <v>572</v>
      </c>
      <c r="C10" s="70"/>
      <c r="D10" s="70"/>
      <c r="E10" s="70"/>
      <c r="F10" s="72"/>
    </row>
    <row r="11" spans="1:6" ht="15.75" x14ac:dyDescent="0.25">
      <c r="A11" s="37" t="s">
        <v>571</v>
      </c>
      <c r="B11" s="39" t="s">
        <v>570</v>
      </c>
      <c r="C11" s="70"/>
      <c r="D11" s="70"/>
      <c r="E11" s="70"/>
      <c r="F11" s="72"/>
    </row>
    <row r="12" spans="1:6" ht="16.5" thickBot="1" x14ac:dyDescent="0.3">
      <c r="A12" s="35" t="s">
        <v>569</v>
      </c>
      <c r="B12" s="34" t="s">
        <v>568</v>
      </c>
      <c r="C12" s="84">
        <v>11582975</v>
      </c>
      <c r="D12" s="84">
        <f>'[1]PENDAPATAN PERBULAN'!Q7</f>
        <v>24986352</v>
      </c>
      <c r="E12" s="84"/>
      <c r="F12" s="69"/>
    </row>
    <row r="13" spans="1:6" ht="16.5" thickBot="1" x14ac:dyDescent="0.3">
      <c r="A13" s="47"/>
      <c r="B13" s="9" t="s">
        <v>567</v>
      </c>
      <c r="C13" s="91">
        <f>SUM(C10:C12)</f>
        <v>11582975</v>
      </c>
      <c r="D13" s="91">
        <f>SUM(D10:D12)</f>
        <v>24986352</v>
      </c>
      <c r="E13" s="91">
        <f>C13-D13</f>
        <v>-13403377</v>
      </c>
      <c r="F13" s="90"/>
    </row>
    <row r="14" spans="1:6" ht="15.75" x14ac:dyDescent="0.25">
      <c r="A14" s="26" t="s">
        <v>566</v>
      </c>
      <c r="B14" s="25" t="s">
        <v>565</v>
      </c>
      <c r="C14" s="75"/>
      <c r="D14" s="75"/>
      <c r="E14" s="75"/>
      <c r="F14" s="74"/>
    </row>
    <row r="15" spans="1:6" ht="15.75" x14ac:dyDescent="0.25">
      <c r="A15" s="40" t="s">
        <v>564</v>
      </c>
      <c r="B15" s="39" t="s">
        <v>563</v>
      </c>
      <c r="C15" s="70"/>
      <c r="D15" s="70"/>
      <c r="E15" s="70"/>
      <c r="F15" s="72"/>
    </row>
    <row r="16" spans="1:6" ht="15.75" x14ac:dyDescent="0.25">
      <c r="A16" s="37" t="s">
        <v>562</v>
      </c>
      <c r="B16" s="36" t="s">
        <v>561</v>
      </c>
      <c r="C16" s="70">
        <f>[2]Sheet1!$D$17</f>
        <v>0</v>
      </c>
      <c r="D16" s="70">
        <f>'[1]PENDAPATAN PERBULAN'!Q11</f>
        <v>0</v>
      </c>
      <c r="E16" s="70">
        <f>D16-C16</f>
        <v>0</v>
      </c>
      <c r="F16" s="72"/>
    </row>
    <row r="17" spans="1:6" ht="15.75" x14ac:dyDescent="0.25">
      <c r="A17" s="37" t="s">
        <v>560</v>
      </c>
      <c r="B17" s="36" t="s">
        <v>559</v>
      </c>
      <c r="C17" s="70">
        <f>[2]Sheet1!$D$17</f>
        <v>0</v>
      </c>
      <c r="D17" s="70">
        <f>'[1]PENDAPATAN PERBULAN'!Q12</f>
        <v>0</v>
      </c>
      <c r="E17" s="70">
        <f>D17-C17</f>
        <v>0</v>
      </c>
      <c r="F17" s="72"/>
    </row>
    <row r="18" spans="1:6" ht="16.5" thickBot="1" x14ac:dyDescent="0.3">
      <c r="A18" s="35" t="s">
        <v>558</v>
      </c>
      <c r="B18" s="34" t="s">
        <v>557</v>
      </c>
      <c r="C18" s="70">
        <f>[2]Sheet1!$D$17</f>
        <v>0</v>
      </c>
      <c r="D18" s="84">
        <f>'[1]PENDAPATAN PERBULAN'!Q13</f>
        <v>0</v>
      </c>
      <c r="E18" s="70">
        <f>D18-C18</f>
        <v>0</v>
      </c>
      <c r="F18" s="69"/>
    </row>
    <row r="19" spans="1:6" ht="16.5" thickBot="1" x14ac:dyDescent="0.3">
      <c r="A19" s="89"/>
      <c r="B19" s="88" t="s">
        <v>556</v>
      </c>
      <c r="C19" s="87">
        <f>SUM(C16:C18)</f>
        <v>0</v>
      </c>
      <c r="D19" s="87">
        <f>SUM(D16:D18)</f>
        <v>0</v>
      </c>
      <c r="E19" s="87"/>
      <c r="F19" s="86"/>
    </row>
    <row r="20" spans="1:6" ht="15.75" x14ac:dyDescent="0.25">
      <c r="A20" s="26" t="s">
        <v>555</v>
      </c>
      <c r="B20" s="25" t="s">
        <v>554</v>
      </c>
      <c r="C20" s="75"/>
      <c r="D20" s="75"/>
      <c r="E20" s="75"/>
      <c r="F20" s="74"/>
    </row>
    <row r="21" spans="1:6" ht="15.75" x14ac:dyDescent="0.25">
      <c r="A21" s="40" t="s">
        <v>553</v>
      </c>
      <c r="B21" s="39" t="s">
        <v>551</v>
      </c>
      <c r="C21" s="70"/>
      <c r="D21" s="70"/>
      <c r="E21" s="70"/>
      <c r="F21" s="72"/>
    </row>
    <row r="22" spans="1:6" ht="15.75" x14ac:dyDescent="0.25">
      <c r="A22" s="37" t="s">
        <v>552</v>
      </c>
      <c r="B22" s="36" t="s">
        <v>551</v>
      </c>
      <c r="C22" s="70"/>
      <c r="D22" s="70"/>
      <c r="E22" s="70">
        <f t="shared" ref="E22:E53" si="0">D22-C22</f>
        <v>0</v>
      </c>
      <c r="F22" s="72"/>
    </row>
    <row r="23" spans="1:6" ht="15.75" x14ac:dyDescent="0.25">
      <c r="A23" s="37" t="s">
        <v>550</v>
      </c>
      <c r="B23" s="36" t="s">
        <v>549</v>
      </c>
      <c r="C23" s="70"/>
      <c r="D23" s="70"/>
      <c r="E23" s="70">
        <f t="shared" si="0"/>
        <v>0</v>
      </c>
      <c r="F23" s="72"/>
    </row>
    <row r="24" spans="1:6" ht="15.75" x14ac:dyDescent="0.25">
      <c r="A24" s="40" t="s">
        <v>548</v>
      </c>
      <c r="B24" s="39" t="s">
        <v>547</v>
      </c>
      <c r="C24" s="70"/>
      <c r="D24" s="70"/>
      <c r="E24" s="70">
        <f t="shared" si="0"/>
        <v>0</v>
      </c>
      <c r="F24" s="72"/>
    </row>
    <row r="25" spans="1:6" ht="15.75" x14ac:dyDescent="0.25">
      <c r="A25" s="37" t="s">
        <v>546</v>
      </c>
      <c r="B25" s="85" t="s">
        <v>545</v>
      </c>
      <c r="C25" s="70"/>
      <c r="D25" s="70"/>
      <c r="E25" s="70">
        <f t="shared" si="0"/>
        <v>0</v>
      </c>
      <c r="F25" s="72"/>
    </row>
    <row r="26" spans="1:6" ht="15.75" x14ac:dyDescent="0.25">
      <c r="A26" s="37" t="s">
        <v>544</v>
      </c>
      <c r="B26" s="85" t="s">
        <v>543</v>
      </c>
      <c r="C26" s="70"/>
      <c r="D26" s="70"/>
      <c r="E26" s="70">
        <f t="shared" si="0"/>
        <v>0</v>
      </c>
      <c r="F26" s="72"/>
    </row>
    <row r="27" spans="1:6" ht="15.75" x14ac:dyDescent="0.25">
      <c r="A27" s="37" t="s">
        <v>542</v>
      </c>
      <c r="B27" s="85" t="s">
        <v>541</v>
      </c>
      <c r="C27" s="70"/>
      <c r="D27" s="70"/>
      <c r="E27" s="70">
        <f t="shared" si="0"/>
        <v>0</v>
      </c>
      <c r="F27" s="72"/>
    </row>
    <row r="28" spans="1:6" ht="15.75" x14ac:dyDescent="0.25">
      <c r="A28" s="37" t="s">
        <v>540</v>
      </c>
      <c r="B28" s="85" t="s">
        <v>539</v>
      </c>
      <c r="C28" s="70"/>
      <c r="D28" s="70"/>
      <c r="E28" s="70">
        <f t="shared" si="0"/>
        <v>0</v>
      </c>
      <c r="F28" s="72"/>
    </row>
    <row r="29" spans="1:6" ht="15.75" x14ac:dyDescent="0.25">
      <c r="A29" s="37" t="s">
        <v>538</v>
      </c>
      <c r="B29" s="85" t="s">
        <v>537</v>
      </c>
      <c r="C29" s="70"/>
      <c r="D29" s="70"/>
      <c r="E29" s="70">
        <f t="shared" si="0"/>
        <v>0</v>
      </c>
      <c r="F29" s="72"/>
    </row>
    <row r="30" spans="1:6" ht="15.75" x14ac:dyDescent="0.25">
      <c r="A30" s="37" t="s">
        <v>536</v>
      </c>
      <c r="B30" s="85" t="s">
        <v>535</v>
      </c>
      <c r="C30" s="70"/>
      <c r="D30" s="70"/>
      <c r="E30" s="70">
        <f t="shared" si="0"/>
        <v>0</v>
      </c>
      <c r="F30" s="72"/>
    </row>
    <row r="31" spans="1:6" ht="15.75" x14ac:dyDescent="0.25">
      <c r="A31" s="37" t="s">
        <v>534</v>
      </c>
      <c r="B31" s="85" t="s">
        <v>533</v>
      </c>
      <c r="C31" s="70"/>
      <c r="D31" s="70"/>
      <c r="E31" s="70">
        <f t="shared" si="0"/>
        <v>0</v>
      </c>
      <c r="F31" s="72"/>
    </row>
    <row r="32" spans="1:6" ht="15.75" x14ac:dyDescent="0.25">
      <c r="A32" s="37" t="s">
        <v>532</v>
      </c>
      <c r="B32" s="36" t="s">
        <v>531</v>
      </c>
      <c r="C32" s="70"/>
      <c r="D32" s="70"/>
      <c r="E32" s="70">
        <f t="shared" si="0"/>
        <v>0</v>
      </c>
      <c r="F32" s="72"/>
    </row>
    <row r="33" spans="1:6" ht="15.75" x14ac:dyDescent="0.25">
      <c r="A33" s="37" t="s">
        <v>530</v>
      </c>
      <c r="B33" s="85" t="s">
        <v>529</v>
      </c>
      <c r="C33" s="70"/>
      <c r="D33" s="70"/>
      <c r="E33" s="70">
        <f t="shared" si="0"/>
        <v>0</v>
      </c>
      <c r="F33" s="72"/>
    </row>
    <row r="34" spans="1:6" ht="15.75" x14ac:dyDescent="0.25">
      <c r="A34" s="37" t="s">
        <v>528</v>
      </c>
      <c r="B34" s="85" t="s">
        <v>527</v>
      </c>
      <c r="C34" s="70"/>
      <c r="D34" s="70"/>
      <c r="E34" s="70">
        <f t="shared" si="0"/>
        <v>0</v>
      </c>
      <c r="F34" s="72"/>
    </row>
    <row r="35" spans="1:6" ht="15.75" x14ac:dyDescent="0.25">
      <c r="A35" s="37" t="s">
        <v>526</v>
      </c>
      <c r="B35" s="85" t="s">
        <v>525</v>
      </c>
      <c r="C35" s="70"/>
      <c r="D35" s="70"/>
      <c r="E35" s="70">
        <f t="shared" si="0"/>
        <v>0</v>
      </c>
      <c r="F35" s="72"/>
    </row>
    <row r="36" spans="1:6" ht="15.75" x14ac:dyDescent="0.25">
      <c r="A36" s="37" t="s">
        <v>524</v>
      </c>
      <c r="B36" s="85" t="s">
        <v>523</v>
      </c>
      <c r="C36" s="70"/>
      <c r="D36" s="70"/>
      <c r="E36" s="70">
        <f t="shared" si="0"/>
        <v>0</v>
      </c>
      <c r="F36" s="72"/>
    </row>
    <row r="37" spans="1:6" ht="15.75" x14ac:dyDescent="0.25">
      <c r="A37" s="37" t="s">
        <v>522</v>
      </c>
      <c r="B37" s="85" t="s">
        <v>521</v>
      </c>
      <c r="C37" s="70"/>
      <c r="D37" s="70"/>
      <c r="E37" s="70">
        <f t="shared" si="0"/>
        <v>0</v>
      </c>
      <c r="F37" s="72"/>
    </row>
    <row r="38" spans="1:6" ht="15.75" x14ac:dyDescent="0.25">
      <c r="A38" s="37" t="s">
        <v>520</v>
      </c>
      <c r="B38" s="85" t="s">
        <v>519</v>
      </c>
      <c r="C38" s="70"/>
      <c r="D38" s="70"/>
      <c r="E38" s="70">
        <f t="shared" si="0"/>
        <v>0</v>
      </c>
      <c r="F38" s="72"/>
    </row>
    <row r="39" spans="1:6" ht="15.75" x14ac:dyDescent="0.25">
      <c r="A39" s="37" t="s">
        <v>518</v>
      </c>
      <c r="B39" s="85" t="s">
        <v>517</v>
      </c>
      <c r="C39" s="70"/>
      <c r="D39" s="70"/>
      <c r="E39" s="70">
        <f t="shared" si="0"/>
        <v>0</v>
      </c>
      <c r="F39" s="72"/>
    </row>
    <row r="40" spans="1:6" ht="15.75" x14ac:dyDescent="0.25">
      <c r="A40" s="37" t="s">
        <v>516</v>
      </c>
      <c r="B40" s="85" t="s">
        <v>515</v>
      </c>
      <c r="C40" s="70"/>
      <c r="D40" s="70"/>
      <c r="E40" s="70">
        <f t="shared" si="0"/>
        <v>0</v>
      </c>
      <c r="F40" s="72"/>
    </row>
    <row r="41" spans="1:6" ht="15.75" x14ac:dyDescent="0.25">
      <c r="A41" s="37" t="s">
        <v>514</v>
      </c>
      <c r="B41" s="85" t="s">
        <v>513</v>
      </c>
      <c r="C41" s="70"/>
      <c r="D41" s="70"/>
      <c r="E41" s="70">
        <f t="shared" si="0"/>
        <v>0</v>
      </c>
      <c r="F41" s="72"/>
    </row>
    <row r="42" spans="1:6" ht="15.75" x14ac:dyDescent="0.25">
      <c r="A42" s="37" t="s">
        <v>512</v>
      </c>
      <c r="B42" s="85" t="s">
        <v>511</v>
      </c>
      <c r="C42" s="70"/>
      <c r="D42" s="70"/>
      <c r="E42" s="70">
        <f t="shared" si="0"/>
        <v>0</v>
      </c>
      <c r="F42" s="72"/>
    </row>
    <row r="43" spans="1:6" ht="15.75" x14ac:dyDescent="0.25">
      <c r="A43" s="37" t="s">
        <v>510</v>
      </c>
      <c r="B43" s="85" t="s">
        <v>509</v>
      </c>
      <c r="C43" s="70"/>
      <c r="D43" s="70"/>
      <c r="E43" s="70">
        <f t="shared" si="0"/>
        <v>0</v>
      </c>
      <c r="F43" s="72"/>
    </row>
    <row r="44" spans="1:6" ht="15.75" x14ac:dyDescent="0.25">
      <c r="A44" s="37" t="s">
        <v>508</v>
      </c>
      <c r="B44" s="85" t="s">
        <v>507</v>
      </c>
      <c r="C44" s="70"/>
      <c r="D44" s="70"/>
      <c r="E44" s="70">
        <f t="shared" si="0"/>
        <v>0</v>
      </c>
      <c r="F44" s="72"/>
    </row>
    <row r="45" spans="1:6" ht="15.75" x14ac:dyDescent="0.25">
      <c r="A45" s="37" t="s">
        <v>506</v>
      </c>
      <c r="B45" s="36" t="s">
        <v>505</v>
      </c>
      <c r="C45" s="70"/>
      <c r="D45" s="70"/>
      <c r="E45" s="70">
        <f t="shared" si="0"/>
        <v>0</v>
      </c>
      <c r="F45" s="72"/>
    </row>
    <row r="46" spans="1:6" ht="15.75" x14ac:dyDescent="0.25">
      <c r="A46" s="37" t="s">
        <v>504</v>
      </c>
      <c r="B46" s="36" t="s">
        <v>503</v>
      </c>
      <c r="C46" s="70"/>
      <c r="D46" s="70"/>
      <c r="E46" s="70">
        <f t="shared" si="0"/>
        <v>0</v>
      </c>
      <c r="F46" s="72"/>
    </row>
    <row r="47" spans="1:6" ht="15.75" x14ac:dyDescent="0.25">
      <c r="A47" s="37" t="s">
        <v>502</v>
      </c>
      <c r="B47" s="36" t="s">
        <v>501</v>
      </c>
      <c r="C47" s="70"/>
      <c r="D47" s="70"/>
      <c r="E47" s="70">
        <f t="shared" si="0"/>
        <v>0</v>
      </c>
      <c r="F47" s="72"/>
    </row>
    <row r="48" spans="1:6" ht="15.75" x14ac:dyDescent="0.25">
      <c r="A48" s="37" t="s">
        <v>500</v>
      </c>
      <c r="B48" s="36" t="s">
        <v>499</v>
      </c>
      <c r="C48" s="70"/>
      <c r="D48" s="70"/>
      <c r="E48" s="70">
        <f t="shared" si="0"/>
        <v>0</v>
      </c>
      <c r="F48" s="72"/>
    </row>
    <row r="49" spans="1:6" ht="15.75" x14ac:dyDescent="0.25">
      <c r="A49" s="37" t="s">
        <v>498</v>
      </c>
      <c r="B49" s="36" t="s">
        <v>497</v>
      </c>
      <c r="C49" s="70"/>
      <c r="D49" s="70"/>
      <c r="E49" s="70">
        <f t="shared" si="0"/>
        <v>0</v>
      </c>
      <c r="F49" s="72"/>
    </row>
    <row r="50" spans="1:6" ht="15.75" x14ac:dyDescent="0.25">
      <c r="A50" s="37" t="s">
        <v>496</v>
      </c>
      <c r="B50" s="36" t="s">
        <v>495</v>
      </c>
      <c r="C50" s="70"/>
      <c r="D50" s="70"/>
      <c r="E50" s="70">
        <f t="shared" si="0"/>
        <v>0</v>
      </c>
      <c r="F50" s="72"/>
    </row>
    <row r="51" spans="1:6" ht="15.75" x14ac:dyDescent="0.25">
      <c r="A51" s="37" t="s">
        <v>494</v>
      </c>
      <c r="B51" s="85" t="s">
        <v>493</v>
      </c>
      <c r="C51" s="70"/>
      <c r="D51" s="70"/>
      <c r="E51" s="70">
        <f t="shared" si="0"/>
        <v>0</v>
      </c>
      <c r="F51" s="72"/>
    </row>
    <row r="52" spans="1:6" ht="15.75" x14ac:dyDescent="0.25">
      <c r="A52" s="37" t="s">
        <v>492</v>
      </c>
      <c r="B52" s="85" t="s">
        <v>491</v>
      </c>
      <c r="C52" s="70"/>
      <c r="D52" s="70"/>
      <c r="E52" s="70">
        <f t="shared" si="0"/>
        <v>0</v>
      </c>
      <c r="F52" s="72"/>
    </row>
    <row r="53" spans="1:6" ht="15.75" x14ac:dyDescent="0.25">
      <c r="A53" s="37" t="s">
        <v>490</v>
      </c>
      <c r="B53" s="85" t="s">
        <v>489</v>
      </c>
      <c r="C53" s="70"/>
      <c r="D53" s="70"/>
      <c r="E53" s="70">
        <f t="shared" si="0"/>
        <v>0</v>
      </c>
      <c r="F53" s="72"/>
    </row>
    <row r="54" spans="1:6" ht="15.75" x14ac:dyDescent="0.25">
      <c r="A54" s="37" t="s">
        <v>488</v>
      </c>
      <c r="B54" s="36" t="s">
        <v>487</v>
      </c>
      <c r="C54" s="70"/>
      <c r="D54" s="70"/>
      <c r="E54" s="70">
        <f t="shared" ref="E54:E85" si="1">D54-C54</f>
        <v>0</v>
      </c>
      <c r="F54" s="72"/>
    </row>
    <row r="55" spans="1:6" ht="15.75" x14ac:dyDescent="0.25">
      <c r="A55" s="37" t="s">
        <v>486</v>
      </c>
      <c r="B55" s="36" t="s">
        <v>485</v>
      </c>
      <c r="C55" s="70"/>
      <c r="D55" s="70"/>
      <c r="E55" s="70">
        <f t="shared" si="1"/>
        <v>0</v>
      </c>
      <c r="F55" s="72"/>
    </row>
    <row r="56" spans="1:6" ht="15.75" x14ac:dyDescent="0.25">
      <c r="A56" s="37" t="s">
        <v>484</v>
      </c>
      <c r="B56" s="36" t="s">
        <v>483</v>
      </c>
      <c r="C56" s="70"/>
      <c r="D56" s="70"/>
      <c r="E56" s="70">
        <f t="shared" si="1"/>
        <v>0</v>
      </c>
      <c r="F56" s="72"/>
    </row>
    <row r="57" spans="1:6" ht="15.75" x14ac:dyDescent="0.25">
      <c r="A57" s="37" t="s">
        <v>482</v>
      </c>
      <c r="B57" s="36" t="s">
        <v>481</v>
      </c>
      <c r="C57" s="70"/>
      <c r="D57" s="70"/>
      <c r="E57" s="70">
        <f t="shared" si="1"/>
        <v>0</v>
      </c>
      <c r="F57" s="72"/>
    </row>
    <row r="58" spans="1:6" ht="15.75" x14ac:dyDescent="0.25">
      <c r="A58" s="37" t="s">
        <v>480</v>
      </c>
      <c r="B58" s="36" t="s">
        <v>479</v>
      </c>
      <c r="C58" s="70"/>
      <c r="D58" s="70"/>
      <c r="E58" s="70">
        <f t="shared" si="1"/>
        <v>0</v>
      </c>
      <c r="F58" s="72"/>
    </row>
    <row r="59" spans="1:6" ht="15.75" x14ac:dyDescent="0.25">
      <c r="A59" s="37" t="s">
        <v>478</v>
      </c>
      <c r="B59" s="36" t="s">
        <v>477</v>
      </c>
      <c r="C59" s="70"/>
      <c r="D59" s="70"/>
      <c r="E59" s="70">
        <f t="shared" si="1"/>
        <v>0</v>
      </c>
      <c r="F59" s="72"/>
    </row>
    <row r="60" spans="1:6" ht="15.75" x14ac:dyDescent="0.25">
      <c r="A60" s="37" t="s">
        <v>476</v>
      </c>
      <c r="B60" s="36" t="s">
        <v>475</v>
      </c>
      <c r="C60" s="70"/>
      <c r="D60" s="70"/>
      <c r="E60" s="70">
        <f t="shared" si="1"/>
        <v>0</v>
      </c>
      <c r="F60" s="72"/>
    </row>
    <row r="61" spans="1:6" ht="15.75" x14ac:dyDescent="0.25">
      <c r="A61" s="37" t="s">
        <v>474</v>
      </c>
      <c r="B61" s="36" t="s">
        <v>473</v>
      </c>
      <c r="C61" s="70"/>
      <c r="D61" s="70"/>
      <c r="E61" s="70">
        <f t="shared" si="1"/>
        <v>0</v>
      </c>
      <c r="F61" s="72"/>
    </row>
    <row r="62" spans="1:6" ht="15.75" x14ac:dyDescent="0.25">
      <c r="A62" s="37" t="s">
        <v>472</v>
      </c>
      <c r="B62" s="36" t="s">
        <v>471</v>
      </c>
      <c r="C62" s="70"/>
      <c r="D62" s="70"/>
      <c r="E62" s="70">
        <f t="shared" si="1"/>
        <v>0</v>
      </c>
      <c r="F62" s="72"/>
    </row>
    <row r="63" spans="1:6" ht="15.75" x14ac:dyDescent="0.25">
      <c r="A63" s="37" t="s">
        <v>470</v>
      </c>
      <c r="B63" s="36" t="s">
        <v>469</v>
      </c>
      <c r="C63" s="70"/>
      <c r="D63" s="70"/>
      <c r="E63" s="70">
        <f t="shared" si="1"/>
        <v>0</v>
      </c>
      <c r="F63" s="72"/>
    </row>
    <row r="64" spans="1:6" ht="15.75" x14ac:dyDescent="0.25">
      <c r="A64" s="37" t="s">
        <v>468</v>
      </c>
      <c r="B64" s="36" t="s">
        <v>467</v>
      </c>
      <c r="C64" s="70"/>
      <c r="D64" s="70"/>
      <c r="E64" s="70">
        <f t="shared" si="1"/>
        <v>0</v>
      </c>
      <c r="F64" s="72"/>
    </row>
    <row r="65" spans="1:6" ht="15.75" x14ac:dyDescent="0.25">
      <c r="A65" s="37" t="s">
        <v>466</v>
      </c>
      <c r="B65" s="36" t="s">
        <v>465</v>
      </c>
      <c r="C65" s="70"/>
      <c r="D65" s="70"/>
      <c r="E65" s="70">
        <f t="shared" si="1"/>
        <v>0</v>
      </c>
      <c r="F65" s="72"/>
    </row>
    <row r="66" spans="1:6" ht="15.75" x14ac:dyDescent="0.25">
      <c r="A66" s="37" t="s">
        <v>464</v>
      </c>
      <c r="B66" s="36" t="s">
        <v>463</v>
      </c>
      <c r="C66" s="70"/>
      <c r="D66" s="70"/>
      <c r="E66" s="70">
        <f t="shared" si="1"/>
        <v>0</v>
      </c>
      <c r="F66" s="72"/>
    </row>
    <row r="67" spans="1:6" ht="15.75" x14ac:dyDescent="0.25">
      <c r="A67" s="37" t="s">
        <v>462</v>
      </c>
      <c r="B67" s="36" t="s">
        <v>461</v>
      </c>
      <c r="C67" s="70"/>
      <c r="D67" s="70"/>
      <c r="E67" s="70">
        <f t="shared" si="1"/>
        <v>0</v>
      </c>
      <c r="F67" s="72"/>
    </row>
    <row r="68" spans="1:6" ht="15.75" x14ac:dyDescent="0.25">
      <c r="A68" s="37" t="s">
        <v>460</v>
      </c>
      <c r="B68" s="36" t="s">
        <v>459</v>
      </c>
      <c r="C68" s="70"/>
      <c r="D68" s="70"/>
      <c r="E68" s="70">
        <f t="shared" si="1"/>
        <v>0</v>
      </c>
      <c r="F68" s="72"/>
    </row>
    <row r="69" spans="1:6" ht="15.75" x14ac:dyDescent="0.25">
      <c r="A69" s="37" t="s">
        <v>458</v>
      </c>
      <c r="B69" s="36" t="s">
        <v>457</v>
      </c>
      <c r="C69" s="70"/>
      <c r="D69" s="70"/>
      <c r="E69" s="70">
        <f t="shared" si="1"/>
        <v>0</v>
      </c>
      <c r="F69" s="72"/>
    </row>
    <row r="70" spans="1:6" ht="15.75" x14ac:dyDescent="0.25">
      <c r="A70" s="37" t="s">
        <v>456</v>
      </c>
      <c r="B70" s="36" t="s">
        <v>455</v>
      </c>
      <c r="C70" s="70"/>
      <c r="D70" s="70"/>
      <c r="E70" s="70">
        <f t="shared" si="1"/>
        <v>0</v>
      </c>
      <c r="F70" s="72"/>
    </row>
    <row r="71" spans="1:6" ht="15.75" x14ac:dyDescent="0.25">
      <c r="A71" s="37" t="s">
        <v>454</v>
      </c>
      <c r="B71" s="36" t="s">
        <v>453</v>
      </c>
      <c r="C71" s="70"/>
      <c r="D71" s="70"/>
      <c r="E71" s="70">
        <f t="shared" si="1"/>
        <v>0</v>
      </c>
      <c r="F71" s="72"/>
    </row>
    <row r="72" spans="1:6" ht="15.75" x14ac:dyDescent="0.25">
      <c r="A72" s="37" t="s">
        <v>452</v>
      </c>
      <c r="B72" s="36" t="s">
        <v>451</v>
      </c>
      <c r="C72" s="70"/>
      <c r="D72" s="70"/>
      <c r="E72" s="70">
        <f t="shared" si="1"/>
        <v>0</v>
      </c>
      <c r="F72" s="72"/>
    </row>
    <row r="73" spans="1:6" ht="15.75" x14ac:dyDescent="0.25">
      <c r="A73" s="37" t="s">
        <v>450</v>
      </c>
      <c r="B73" s="36" t="s">
        <v>449</v>
      </c>
      <c r="C73" s="70"/>
      <c r="D73" s="70"/>
      <c r="E73" s="70">
        <f t="shared" si="1"/>
        <v>0</v>
      </c>
      <c r="F73" s="72"/>
    </row>
    <row r="74" spans="1:6" ht="15.75" x14ac:dyDescent="0.25">
      <c r="A74" s="37" t="s">
        <v>448</v>
      </c>
      <c r="B74" s="36" t="s">
        <v>447</v>
      </c>
      <c r="C74" s="70"/>
      <c r="D74" s="70"/>
      <c r="E74" s="70">
        <f t="shared" si="1"/>
        <v>0</v>
      </c>
      <c r="F74" s="72"/>
    </row>
    <row r="75" spans="1:6" ht="15.75" x14ac:dyDescent="0.25">
      <c r="A75" s="37" t="s">
        <v>446</v>
      </c>
      <c r="B75" s="36" t="s">
        <v>445</v>
      </c>
      <c r="C75" s="70"/>
      <c r="D75" s="70"/>
      <c r="E75" s="70">
        <f t="shared" si="1"/>
        <v>0</v>
      </c>
      <c r="F75" s="72"/>
    </row>
    <row r="76" spans="1:6" ht="15.75" x14ac:dyDescent="0.25">
      <c r="A76" s="37" t="s">
        <v>444</v>
      </c>
      <c r="B76" s="36" t="s">
        <v>443</v>
      </c>
      <c r="C76" s="70"/>
      <c r="D76" s="70"/>
      <c r="E76" s="70">
        <f t="shared" si="1"/>
        <v>0</v>
      </c>
      <c r="F76" s="72"/>
    </row>
    <row r="77" spans="1:6" ht="15.75" x14ac:dyDescent="0.25">
      <c r="A77" s="37" t="s">
        <v>442</v>
      </c>
      <c r="B77" s="36" t="s">
        <v>441</v>
      </c>
      <c r="C77" s="70"/>
      <c r="D77" s="70"/>
      <c r="E77" s="70">
        <f t="shared" si="1"/>
        <v>0</v>
      </c>
      <c r="F77" s="72"/>
    </row>
    <row r="78" spans="1:6" ht="15.75" x14ac:dyDescent="0.25">
      <c r="A78" s="37" t="s">
        <v>440</v>
      </c>
      <c r="B78" s="36" t="s">
        <v>439</v>
      </c>
      <c r="C78" s="70"/>
      <c r="D78" s="70"/>
      <c r="E78" s="70">
        <f t="shared" si="1"/>
        <v>0</v>
      </c>
      <c r="F78" s="72"/>
    </row>
    <row r="79" spans="1:6" ht="15.75" x14ac:dyDescent="0.25">
      <c r="A79" s="37" t="s">
        <v>438</v>
      </c>
      <c r="B79" s="36" t="s">
        <v>437</v>
      </c>
      <c r="C79" s="70"/>
      <c r="D79" s="70"/>
      <c r="E79" s="70">
        <f t="shared" si="1"/>
        <v>0</v>
      </c>
      <c r="F79" s="72"/>
    </row>
    <row r="80" spans="1:6" ht="15.75" x14ac:dyDescent="0.25">
      <c r="A80" s="37" t="s">
        <v>436</v>
      </c>
      <c r="B80" s="36" t="s">
        <v>435</v>
      </c>
      <c r="C80" s="70"/>
      <c r="D80" s="70"/>
      <c r="E80" s="70">
        <f t="shared" si="1"/>
        <v>0</v>
      </c>
      <c r="F80" s="72"/>
    </row>
    <row r="81" spans="1:6" ht="15.75" x14ac:dyDescent="0.25">
      <c r="A81" s="37" t="s">
        <v>434</v>
      </c>
      <c r="B81" s="36" t="s">
        <v>433</v>
      </c>
      <c r="C81" s="70"/>
      <c r="D81" s="70"/>
      <c r="E81" s="70">
        <f t="shared" si="1"/>
        <v>0</v>
      </c>
      <c r="F81" s="72"/>
    </row>
    <row r="82" spans="1:6" ht="15.75" x14ac:dyDescent="0.25">
      <c r="A82" s="37" t="s">
        <v>432</v>
      </c>
      <c r="B82" s="36" t="s">
        <v>431</v>
      </c>
      <c r="C82" s="70"/>
      <c r="D82" s="70"/>
      <c r="E82" s="70">
        <f t="shared" si="1"/>
        <v>0</v>
      </c>
      <c r="F82" s="72"/>
    </row>
    <row r="83" spans="1:6" ht="15.75" x14ac:dyDescent="0.25">
      <c r="A83" s="37" t="s">
        <v>430</v>
      </c>
      <c r="B83" s="36" t="s">
        <v>429</v>
      </c>
      <c r="C83" s="70"/>
      <c r="D83" s="70"/>
      <c r="E83" s="70">
        <f t="shared" si="1"/>
        <v>0</v>
      </c>
      <c r="F83" s="72"/>
    </row>
    <row r="84" spans="1:6" ht="15.75" x14ac:dyDescent="0.25">
      <c r="A84" s="37" t="s">
        <v>428</v>
      </c>
      <c r="B84" s="36" t="s">
        <v>427</v>
      </c>
      <c r="C84" s="70"/>
      <c r="D84" s="70"/>
      <c r="E84" s="70">
        <f t="shared" si="1"/>
        <v>0</v>
      </c>
      <c r="F84" s="72"/>
    </row>
    <row r="85" spans="1:6" ht="15.75" x14ac:dyDescent="0.25">
      <c r="A85" s="37" t="s">
        <v>426</v>
      </c>
      <c r="B85" s="36" t="s">
        <v>425</v>
      </c>
      <c r="C85" s="70"/>
      <c r="D85" s="70"/>
      <c r="E85" s="70">
        <f t="shared" si="1"/>
        <v>0</v>
      </c>
      <c r="F85" s="72"/>
    </row>
    <row r="86" spans="1:6" ht="15.75" x14ac:dyDescent="0.25">
      <c r="A86" s="37" t="s">
        <v>424</v>
      </c>
      <c r="B86" s="36" t="s">
        <v>423</v>
      </c>
      <c r="C86" s="70"/>
      <c r="D86" s="70"/>
      <c r="E86" s="70">
        <f t="shared" ref="E86:E89" si="2">D86-C86</f>
        <v>0</v>
      </c>
      <c r="F86" s="72"/>
    </row>
    <row r="87" spans="1:6" ht="15.75" x14ac:dyDescent="0.25">
      <c r="A87" s="37" t="s">
        <v>422</v>
      </c>
      <c r="B87" s="36" t="s">
        <v>421</v>
      </c>
      <c r="C87" s="70"/>
      <c r="D87" s="70"/>
      <c r="E87" s="70">
        <f t="shared" si="2"/>
        <v>0</v>
      </c>
      <c r="F87" s="72"/>
    </row>
    <row r="88" spans="1:6" ht="16.5" thickBot="1" x14ac:dyDescent="0.3">
      <c r="A88" s="35" t="s">
        <v>420</v>
      </c>
      <c r="B88" s="34" t="s">
        <v>419</v>
      </c>
      <c r="C88" s="70"/>
      <c r="D88" s="70"/>
      <c r="E88" s="70">
        <f t="shared" si="2"/>
        <v>0</v>
      </c>
      <c r="F88" s="69"/>
    </row>
    <row r="89" spans="1:6" ht="16.5" thickBot="1" x14ac:dyDescent="0.3">
      <c r="A89" s="38"/>
      <c r="B89" s="68" t="s">
        <v>418</v>
      </c>
      <c r="C89" s="67">
        <f>SUM(C20:C88)</f>
        <v>0</v>
      </c>
      <c r="D89" s="67">
        <f>SUM(D22:D88)</f>
        <v>0</v>
      </c>
      <c r="E89" s="67">
        <f t="shared" si="2"/>
        <v>0</v>
      </c>
      <c r="F89" s="66"/>
    </row>
    <row r="90" spans="1:6" ht="15.75" x14ac:dyDescent="0.25">
      <c r="A90" s="26" t="s">
        <v>417</v>
      </c>
      <c r="B90" s="25" t="s">
        <v>416</v>
      </c>
      <c r="C90" s="75"/>
      <c r="D90" s="75"/>
      <c r="E90" s="75"/>
      <c r="F90" s="74"/>
    </row>
    <row r="91" spans="1:6" ht="15.75" x14ac:dyDescent="0.25">
      <c r="A91" s="37" t="s">
        <v>415</v>
      </c>
      <c r="B91" s="36" t="s">
        <v>414</v>
      </c>
      <c r="C91" s="70"/>
      <c r="D91" s="70"/>
      <c r="E91" s="70">
        <f>D91-C91</f>
        <v>0</v>
      </c>
      <c r="F91" s="72"/>
    </row>
    <row r="92" spans="1:6" ht="16.5" thickBot="1" x14ac:dyDescent="0.3">
      <c r="A92" s="35" t="s">
        <v>413</v>
      </c>
      <c r="B92" s="34" t="s">
        <v>412</v>
      </c>
      <c r="C92" s="84"/>
      <c r="D92" s="70"/>
      <c r="E92" s="70">
        <f>D92-C92</f>
        <v>0</v>
      </c>
      <c r="F92" s="69"/>
    </row>
    <row r="93" spans="1:6" ht="16.5" thickBot="1" x14ac:dyDescent="0.3">
      <c r="A93" s="38"/>
      <c r="B93" s="68" t="s">
        <v>411</v>
      </c>
      <c r="C93" s="67">
        <f>SUM(C91:C92)</f>
        <v>0</v>
      </c>
      <c r="D93" s="67">
        <f>SUM(D91:D92)</f>
        <v>0</v>
      </c>
      <c r="E93" s="67">
        <f>D93-C93</f>
        <v>0</v>
      </c>
      <c r="F93" s="66"/>
    </row>
    <row r="94" spans="1:6" ht="15.75" x14ac:dyDescent="0.25">
      <c r="A94" s="26" t="s">
        <v>410</v>
      </c>
      <c r="B94" s="25" t="s">
        <v>409</v>
      </c>
      <c r="C94" s="75"/>
      <c r="D94" s="75"/>
      <c r="E94" s="75"/>
      <c r="F94" s="74"/>
    </row>
    <row r="95" spans="1:6" ht="15.75" x14ac:dyDescent="0.25">
      <c r="A95" s="37" t="s">
        <v>408</v>
      </c>
      <c r="B95" s="36" t="s">
        <v>263</v>
      </c>
      <c r="C95" s="70"/>
      <c r="D95" s="70"/>
      <c r="E95" s="70">
        <f>D95-C95</f>
        <v>0</v>
      </c>
      <c r="F95" s="72"/>
    </row>
    <row r="96" spans="1:6" ht="16.5" thickBot="1" x14ac:dyDescent="0.3">
      <c r="A96" s="35" t="s">
        <v>407</v>
      </c>
      <c r="B96" s="34" t="s">
        <v>261</v>
      </c>
      <c r="C96" s="84"/>
      <c r="D96" s="70"/>
      <c r="E96" s="70">
        <f>D96-C96</f>
        <v>0</v>
      </c>
      <c r="F96" s="69"/>
    </row>
    <row r="97" spans="1:6" ht="16.5" thickBot="1" x14ac:dyDescent="0.3">
      <c r="A97" s="38"/>
      <c r="B97" s="68" t="s">
        <v>406</v>
      </c>
      <c r="C97" s="67">
        <f>SUM(C95:C96)</f>
        <v>0</v>
      </c>
      <c r="D97" s="67">
        <f>SUM(D95:D96)</f>
        <v>0</v>
      </c>
      <c r="E97" s="67">
        <f>D97-C97</f>
        <v>0</v>
      </c>
      <c r="F97" s="66"/>
    </row>
    <row r="98" spans="1:6" ht="16.5" thickBot="1" x14ac:dyDescent="0.3">
      <c r="A98" s="47"/>
      <c r="B98" s="9" t="s">
        <v>405</v>
      </c>
      <c r="C98" s="80">
        <f>SUM(C97,C93,C89,C19)</f>
        <v>0</v>
      </c>
      <c r="D98" s="80">
        <f>SUM(D97,D93,D89,D19)</f>
        <v>0</v>
      </c>
      <c r="E98" s="80">
        <f>D98-C98</f>
        <v>0</v>
      </c>
      <c r="F98" s="79"/>
    </row>
    <row r="99" spans="1:6" ht="15.75" x14ac:dyDescent="0.25">
      <c r="A99" s="26" t="s">
        <v>404</v>
      </c>
      <c r="B99" s="25" t="s">
        <v>403</v>
      </c>
      <c r="C99" s="75"/>
      <c r="D99" s="75"/>
      <c r="E99" s="75"/>
      <c r="F99" s="74"/>
    </row>
    <row r="100" spans="1:6" ht="15.75" x14ac:dyDescent="0.25">
      <c r="A100" s="40" t="s">
        <v>402</v>
      </c>
      <c r="B100" s="39" t="s">
        <v>401</v>
      </c>
      <c r="C100" s="70"/>
      <c r="D100" s="70"/>
      <c r="E100" s="70"/>
      <c r="F100" s="72"/>
    </row>
    <row r="101" spans="1:6" ht="15.75" x14ac:dyDescent="0.25">
      <c r="A101" s="40" t="s">
        <v>400</v>
      </c>
      <c r="B101" s="39" t="s">
        <v>172</v>
      </c>
      <c r="C101" s="70"/>
      <c r="D101" s="70"/>
      <c r="E101" s="70"/>
      <c r="F101" s="72"/>
    </row>
    <row r="102" spans="1:6" ht="15.75" x14ac:dyDescent="0.25">
      <c r="A102" s="40" t="s">
        <v>399</v>
      </c>
      <c r="B102" s="39" t="s">
        <v>170</v>
      </c>
      <c r="C102" s="70"/>
      <c r="D102" s="70"/>
      <c r="E102" s="70"/>
      <c r="F102" s="72"/>
    </row>
    <row r="103" spans="1:6" ht="15.75" x14ac:dyDescent="0.25">
      <c r="A103" s="37" t="s">
        <v>398</v>
      </c>
      <c r="B103" s="36" t="s">
        <v>168</v>
      </c>
      <c r="C103" s="70"/>
      <c r="D103" s="70"/>
      <c r="E103" s="70">
        <f t="shared" ref="E103:E108" si="3">D103-C103</f>
        <v>0</v>
      </c>
      <c r="F103" s="72"/>
    </row>
    <row r="104" spans="1:6" ht="15.75" x14ac:dyDescent="0.25">
      <c r="A104" s="37" t="s">
        <v>397</v>
      </c>
      <c r="B104" s="36" t="s">
        <v>166</v>
      </c>
      <c r="C104" s="70"/>
      <c r="D104" s="70"/>
      <c r="E104" s="70">
        <f t="shared" si="3"/>
        <v>0</v>
      </c>
      <c r="F104" s="72"/>
    </row>
    <row r="105" spans="1:6" ht="15.75" x14ac:dyDescent="0.25">
      <c r="A105" s="37" t="s">
        <v>396</v>
      </c>
      <c r="B105" s="36" t="s">
        <v>164</v>
      </c>
      <c r="C105" s="70"/>
      <c r="D105" s="70"/>
      <c r="E105" s="70">
        <f t="shared" si="3"/>
        <v>0</v>
      </c>
      <c r="F105" s="72"/>
    </row>
    <row r="106" spans="1:6" ht="15.75" x14ac:dyDescent="0.25">
      <c r="A106" s="37" t="s">
        <v>395</v>
      </c>
      <c r="B106" s="36" t="s">
        <v>162</v>
      </c>
      <c r="C106" s="70"/>
      <c r="D106" s="70"/>
      <c r="E106" s="70">
        <f t="shared" si="3"/>
        <v>0</v>
      </c>
      <c r="F106" s="72"/>
    </row>
    <row r="107" spans="1:6" ht="15.75" x14ac:dyDescent="0.25">
      <c r="A107" s="37" t="s">
        <v>394</v>
      </c>
      <c r="B107" s="36" t="s">
        <v>160</v>
      </c>
      <c r="C107" s="70"/>
      <c r="D107" s="70"/>
      <c r="E107" s="70">
        <f t="shared" si="3"/>
        <v>0</v>
      </c>
      <c r="F107" s="72"/>
    </row>
    <row r="108" spans="1:6" ht="15.75" x14ac:dyDescent="0.25">
      <c r="A108" s="37" t="s">
        <v>393</v>
      </c>
      <c r="B108" s="36" t="s">
        <v>158</v>
      </c>
      <c r="C108" s="70"/>
      <c r="D108" s="70"/>
      <c r="E108" s="70">
        <f t="shared" si="3"/>
        <v>0</v>
      </c>
      <c r="F108" s="72"/>
    </row>
    <row r="109" spans="1:6" ht="15.75" x14ac:dyDescent="0.25">
      <c r="A109" s="40" t="s">
        <v>392</v>
      </c>
      <c r="B109" s="39" t="s">
        <v>391</v>
      </c>
      <c r="C109" s="70"/>
      <c r="D109" s="70"/>
      <c r="E109" s="70"/>
      <c r="F109" s="72"/>
    </row>
    <row r="110" spans="1:6" ht="15.75" x14ac:dyDescent="0.25">
      <c r="A110" s="37" t="s">
        <v>390</v>
      </c>
      <c r="B110" s="36" t="s">
        <v>389</v>
      </c>
      <c r="C110" s="70"/>
      <c r="D110" s="70"/>
      <c r="E110" s="70">
        <f>D110-C110</f>
        <v>0</v>
      </c>
      <c r="F110" s="72"/>
    </row>
    <row r="111" spans="1:6" ht="16.5" thickBot="1" x14ac:dyDescent="0.3">
      <c r="A111" s="35" t="s">
        <v>388</v>
      </c>
      <c r="B111" s="34" t="s">
        <v>387</v>
      </c>
      <c r="C111" s="70"/>
      <c r="D111" s="70"/>
      <c r="E111" s="70">
        <f>D111-C111</f>
        <v>0</v>
      </c>
      <c r="F111" s="69"/>
    </row>
    <row r="112" spans="1:6" ht="16.5" thickBot="1" x14ac:dyDescent="0.3">
      <c r="A112" s="32"/>
      <c r="B112" s="68" t="s">
        <v>386</v>
      </c>
      <c r="C112" s="67">
        <f>SUM(C103:C111)</f>
        <v>0</v>
      </c>
      <c r="D112" s="67">
        <f>SUM(D103:D111)</f>
        <v>0</v>
      </c>
      <c r="E112" s="67">
        <f>D112-C112</f>
        <v>0</v>
      </c>
      <c r="F112" s="66"/>
    </row>
    <row r="113" spans="1:6" ht="15.75" x14ac:dyDescent="0.25">
      <c r="A113" s="26" t="s">
        <v>385</v>
      </c>
      <c r="B113" s="25" t="s">
        <v>149</v>
      </c>
      <c r="C113" s="75"/>
      <c r="D113" s="75"/>
      <c r="E113" s="75"/>
      <c r="F113" s="74"/>
    </row>
    <row r="114" spans="1:6" ht="15.75" x14ac:dyDescent="0.25">
      <c r="A114" s="40" t="s">
        <v>384</v>
      </c>
      <c r="B114" s="39" t="s">
        <v>147</v>
      </c>
      <c r="C114" s="70"/>
      <c r="D114" s="70"/>
      <c r="E114" s="70"/>
      <c r="F114" s="72"/>
    </row>
    <row r="115" spans="1:6" ht="15.75" x14ac:dyDescent="0.25">
      <c r="A115" s="37" t="s">
        <v>383</v>
      </c>
      <c r="B115" s="36" t="s">
        <v>145</v>
      </c>
      <c r="C115" s="70"/>
      <c r="D115" s="70"/>
      <c r="E115" s="70">
        <f t="shared" ref="E115:E122" si="4">D115-C115</f>
        <v>0</v>
      </c>
      <c r="F115" s="72"/>
    </row>
    <row r="116" spans="1:6" ht="15.75" x14ac:dyDescent="0.25">
      <c r="A116" s="40" t="s">
        <v>382</v>
      </c>
      <c r="B116" s="39" t="s">
        <v>143</v>
      </c>
      <c r="C116" s="70"/>
      <c r="D116" s="70"/>
      <c r="E116" s="70">
        <f t="shared" si="4"/>
        <v>0</v>
      </c>
      <c r="F116" s="72"/>
    </row>
    <row r="117" spans="1:6" ht="15.75" x14ac:dyDescent="0.25">
      <c r="A117" s="37" t="s">
        <v>381</v>
      </c>
      <c r="B117" s="36" t="s">
        <v>141</v>
      </c>
      <c r="C117" s="70"/>
      <c r="D117" s="70"/>
      <c r="E117" s="70">
        <f t="shared" si="4"/>
        <v>0</v>
      </c>
      <c r="F117" s="72"/>
    </row>
    <row r="118" spans="1:6" ht="15.75" x14ac:dyDescent="0.25">
      <c r="A118" s="37" t="s">
        <v>380</v>
      </c>
      <c r="B118" s="36" t="s">
        <v>139</v>
      </c>
      <c r="C118" s="70"/>
      <c r="D118" s="70"/>
      <c r="E118" s="70">
        <f t="shared" si="4"/>
        <v>0</v>
      </c>
      <c r="F118" s="72"/>
    </row>
    <row r="119" spans="1:6" ht="15.75" x14ac:dyDescent="0.25">
      <c r="A119" s="37" t="s">
        <v>379</v>
      </c>
      <c r="B119" s="36" t="s">
        <v>137</v>
      </c>
      <c r="C119" s="70"/>
      <c r="D119" s="70"/>
      <c r="E119" s="70">
        <f t="shared" si="4"/>
        <v>0</v>
      </c>
      <c r="F119" s="72"/>
    </row>
    <row r="120" spans="1:6" ht="15.75" x14ac:dyDescent="0.25">
      <c r="A120" s="35" t="s">
        <v>378</v>
      </c>
      <c r="B120" s="34" t="s">
        <v>135</v>
      </c>
      <c r="C120" s="70"/>
      <c r="D120" s="70"/>
      <c r="E120" s="70">
        <f t="shared" si="4"/>
        <v>0</v>
      </c>
      <c r="F120" s="72"/>
    </row>
    <row r="121" spans="1:6" ht="16.5" thickBot="1" x14ac:dyDescent="0.3">
      <c r="A121" s="35" t="s">
        <v>377</v>
      </c>
      <c r="B121" s="34" t="s">
        <v>133</v>
      </c>
      <c r="C121" s="70"/>
      <c r="D121" s="70"/>
      <c r="E121" s="70">
        <f t="shared" si="4"/>
        <v>0</v>
      </c>
      <c r="F121" s="69"/>
    </row>
    <row r="122" spans="1:6" ht="16.5" thickBot="1" x14ac:dyDescent="0.3">
      <c r="A122" s="32"/>
      <c r="B122" s="68" t="s">
        <v>376</v>
      </c>
      <c r="C122" s="67">
        <f>SUM(C114:C121)</f>
        <v>0</v>
      </c>
      <c r="D122" s="67">
        <f>SUM(D115:D121)</f>
        <v>0</v>
      </c>
      <c r="E122" s="67">
        <f t="shared" si="4"/>
        <v>0</v>
      </c>
      <c r="F122" s="66"/>
    </row>
    <row r="123" spans="1:6" ht="15.75" x14ac:dyDescent="0.25">
      <c r="A123" s="26" t="s">
        <v>375</v>
      </c>
      <c r="B123" s="25" t="s">
        <v>130</v>
      </c>
      <c r="C123" s="75"/>
      <c r="D123" s="75"/>
      <c r="E123" s="75"/>
      <c r="F123" s="74"/>
    </row>
    <row r="124" spans="1:6" ht="15.75" x14ac:dyDescent="0.25">
      <c r="A124" s="40" t="s">
        <v>374</v>
      </c>
      <c r="B124" s="42" t="s">
        <v>128</v>
      </c>
      <c r="C124" s="70"/>
      <c r="D124" s="70"/>
      <c r="E124" s="70"/>
      <c r="F124" s="72"/>
    </row>
    <row r="125" spans="1:6" ht="15.75" x14ac:dyDescent="0.25">
      <c r="A125" s="37" t="s">
        <v>373</v>
      </c>
      <c r="B125" s="36" t="s">
        <v>372</v>
      </c>
      <c r="C125" s="70"/>
      <c r="D125" s="70"/>
      <c r="E125" s="70">
        <f>D125-C125</f>
        <v>0</v>
      </c>
      <c r="F125" s="72"/>
    </row>
    <row r="126" spans="1:6" ht="15.75" x14ac:dyDescent="0.25">
      <c r="A126" s="37" t="s">
        <v>371</v>
      </c>
      <c r="B126" s="36" t="s">
        <v>124</v>
      </c>
      <c r="C126" s="70"/>
      <c r="D126" s="70"/>
      <c r="E126" s="70">
        <f>D126-C126</f>
        <v>0</v>
      </c>
      <c r="F126" s="72"/>
    </row>
    <row r="127" spans="1:6" ht="30" x14ac:dyDescent="0.25">
      <c r="A127" s="40" t="s">
        <v>370</v>
      </c>
      <c r="B127" s="42" t="s">
        <v>122</v>
      </c>
      <c r="C127" s="70"/>
      <c r="D127" s="70"/>
      <c r="E127" s="70"/>
      <c r="F127" s="72"/>
    </row>
    <row r="128" spans="1:6" ht="15.75" x14ac:dyDescent="0.25">
      <c r="A128" s="37" t="s">
        <v>369</v>
      </c>
      <c r="B128" s="36" t="s">
        <v>120</v>
      </c>
      <c r="C128" s="70"/>
      <c r="D128" s="70"/>
      <c r="E128" s="70">
        <f>D128-C128</f>
        <v>0</v>
      </c>
      <c r="F128" s="72"/>
    </row>
    <row r="129" spans="1:6" ht="16.5" thickBot="1" x14ac:dyDescent="0.3">
      <c r="A129" s="35" t="s">
        <v>368</v>
      </c>
      <c r="B129" s="34" t="s">
        <v>118</v>
      </c>
      <c r="C129" s="70"/>
      <c r="D129" s="70"/>
      <c r="E129" s="70">
        <f>D129-C129</f>
        <v>0</v>
      </c>
      <c r="F129" s="69"/>
    </row>
    <row r="130" spans="1:6" ht="16.5" thickBot="1" x14ac:dyDescent="0.3">
      <c r="A130" s="32"/>
      <c r="B130" s="68" t="s">
        <v>367</v>
      </c>
      <c r="C130" s="67">
        <f>SUM(C125:C129)</f>
        <v>0</v>
      </c>
      <c r="D130" s="67">
        <f>SUM(D125:D129)</f>
        <v>0</v>
      </c>
      <c r="E130" s="67">
        <f>D130-C130</f>
        <v>0</v>
      </c>
      <c r="F130" s="66"/>
    </row>
    <row r="131" spans="1:6" ht="15.75" x14ac:dyDescent="0.25">
      <c r="A131" s="44" t="s">
        <v>366</v>
      </c>
      <c r="B131" s="25" t="s">
        <v>115</v>
      </c>
      <c r="C131" s="75"/>
      <c r="D131" s="75"/>
      <c r="E131" s="75"/>
      <c r="F131" s="74"/>
    </row>
    <row r="132" spans="1:6" ht="15.75" x14ac:dyDescent="0.25">
      <c r="A132" s="37" t="s">
        <v>365</v>
      </c>
      <c r="B132" s="39" t="s">
        <v>113</v>
      </c>
      <c r="C132" s="70"/>
      <c r="D132" s="70"/>
      <c r="E132" s="70"/>
      <c r="F132" s="72"/>
    </row>
    <row r="133" spans="1:6" ht="15.75" x14ac:dyDescent="0.25">
      <c r="A133" s="37" t="s">
        <v>364</v>
      </c>
      <c r="B133" s="36" t="s">
        <v>111</v>
      </c>
      <c r="C133" s="70"/>
      <c r="D133" s="70"/>
      <c r="E133" s="70">
        <f>D133-C133</f>
        <v>0</v>
      </c>
      <c r="F133" s="72"/>
    </row>
    <row r="134" spans="1:6" ht="15.75" x14ac:dyDescent="0.25">
      <c r="A134" s="40" t="s">
        <v>363</v>
      </c>
      <c r="B134" s="39" t="s">
        <v>109</v>
      </c>
      <c r="C134" s="70"/>
      <c r="D134" s="70"/>
      <c r="E134" s="70"/>
      <c r="F134" s="72"/>
    </row>
    <row r="135" spans="1:6" ht="15.75" x14ac:dyDescent="0.25">
      <c r="A135" s="37" t="s">
        <v>362</v>
      </c>
      <c r="B135" s="36" t="s">
        <v>107</v>
      </c>
      <c r="C135" s="70"/>
      <c r="D135" s="70"/>
      <c r="E135" s="70">
        <f>D135-C135</f>
        <v>0</v>
      </c>
      <c r="F135" s="72"/>
    </row>
    <row r="136" spans="1:6" ht="15.75" x14ac:dyDescent="0.25">
      <c r="A136" s="37" t="s">
        <v>361</v>
      </c>
      <c r="B136" s="36" t="s">
        <v>105</v>
      </c>
      <c r="C136" s="70"/>
      <c r="D136" s="70"/>
      <c r="E136" s="70">
        <f>D136-C136</f>
        <v>0</v>
      </c>
      <c r="F136" s="72"/>
    </row>
    <row r="137" spans="1:6" ht="15.75" x14ac:dyDescent="0.25">
      <c r="A137" s="40" t="s">
        <v>360</v>
      </c>
      <c r="B137" s="39" t="s">
        <v>103</v>
      </c>
      <c r="C137" s="70"/>
      <c r="D137" s="70"/>
      <c r="E137" s="70"/>
      <c r="F137" s="72"/>
    </row>
    <row r="138" spans="1:6" ht="15.75" x14ac:dyDescent="0.25">
      <c r="A138" s="37" t="s">
        <v>359</v>
      </c>
      <c r="B138" s="36" t="s">
        <v>101</v>
      </c>
      <c r="C138" s="70"/>
      <c r="D138" s="70"/>
      <c r="E138" s="70">
        <f>D138-C138</f>
        <v>0</v>
      </c>
      <c r="F138" s="72"/>
    </row>
    <row r="139" spans="1:6" ht="15.75" x14ac:dyDescent="0.25">
      <c r="A139" s="37" t="s">
        <v>358</v>
      </c>
      <c r="B139" s="36" t="s">
        <v>99</v>
      </c>
      <c r="C139" s="70"/>
      <c r="D139" s="70"/>
      <c r="E139" s="70">
        <f>D139-C139</f>
        <v>0</v>
      </c>
      <c r="F139" s="72"/>
    </row>
    <row r="140" spans="1:6" ht="15.75" x14ac:dyDescent="0.25">
      <c r="A140" s="37" t="s">
        <v>357</v>
      </c>
      <c r="B140" s="36" t="s">
        <v>97</v>
      </c>
      <c r="C140" s="70"/>
      <c r="D140" s="70"/>
      <c r="E140" s="70">
        <f>D140-C140</f>
        <v>0</v>
      </c>
      <c r="F140" s="72"/>
    </row>
    <row r="141" spans="1:6" ht="15.75" x14ac:dyDescent="0.25">
      <c r="A141" s="40" t="s">
        <v>356</v>
      </c>
      <c r="B141" s="39" t="s">
        <v>95</v>
      </c>
      <c r="C141" s="70"/>
      <c r="D141" s="70"/>
      <c r="E141" s="70"/>
      <c r="F141" s="72"/>
    </row>
    <row r="142" spans="1:6" ht="15.75" x14ac:dyDescent="0.25">
      <c r="A142" s="37" t="s">
        <v>355</v>
      </c>
      <c r="B142" s="36" t="s">
        <v>93</v>
      </c>
      <c r="C142" s="70"/>
      <c r="D142" s="70"/>
      <c r="E142" s="70">
        <f>D142-C142</f>
        <v>0</v>
      </c>
      <c r="F142" s="72"/>
    </row>
    <row r="143" spans="1:6" ht="15.75" x14ac:dyDescent="0.25">
      <c r="A143" s="40" t="s">
        <v>354</v>
      </c>
      <c r="B143" s="39" t="s">
        <v>353</v>
      </c>
      <c r="C143" s="70"/>
      <c r="D143" s="70"/>
      <c r="E143" s="70"/>
      <c r="F143" s="72"/>
    </row>
    <row r="144" spans="1:6" ht="15.75" x14ac:dyDescent="0.25">
      <c r="A144" s="37" t="s">
        <v>352</v>
      </c>
      <c r="B144" s="36" t="s">
        <v>89</v>
      </c>
      <c r="C144" s="70"/>
      <c r="D144" s="70"/>
      <c r="E144" s="70">
        <f>D144-C144</f>
        <v>0</v>
      </c>
      <c r="F144" s="72"/>
    </row>
    <row r="145" spans="1:6" ht="15.75" x14ac:dyDescent="0.25">
      <c r="A145" s="40" t="s">
        <v>351</v>
      </c>
      <c r="B145" s="39" t="s">
        <v>87</v>
      </c>
      <c r="C145" s="70"/>
      <c r="D145" s="70"/>
      <c r="E145" s="70"/>
      <c r="F145" s="72"/>
    </row>
    <row r="146" spans="1:6" ht="15.75" x14ac:dyDescent="0.25">
      <c r="A146" s="37" t="s">
        <v>350</v>
      </c>
      <c r="B146" s="36" t="s">
        <v>85</v>
      </c>
      <c r="C146" s="70"/>
      <c r="D146" s="70"/>
      <c r="E146" s="70">
        <f>D146-C146</f>
        <v>0</v>
      </c>
      <c r="F146" s="72"/>
    </row>
    <row r="147" spans="1:6" ht="15.75" x14ac:dyDescent="0.25">
      <c r="A147" s="37" t="s">
        <v>349</v>
      </c>
      <c r="B147" s="36" t="s">
        <v>83</v>
      </c>
      <c r="C147" s="70"/>
      <c r="D147" s="70"/>
      <c r="E147" s="70">
        <f>D147-C147</f>
        <v>0</v>
      </c>
      <c r="F147" s="72"/>
    </row>
    <row r="148" spans="1:6" ht="15.75" x14ac:dyDescent="0.25">
      <c r="A148" s="37" t="s">
        <v>348</v>
      </c>
      <c r="B148" s="36" t="s">
        <v>81</v>
      </c>
      <c r="C148" s="70"/>
      <c r="D148" s="70"/>
      <c r="E148" s="70">
        <f>D148-C148</f>
        <v>0</v>
      </c>
      <c r="F148" s="72"/>
    </row>
    <row r="149" spans="1:6" ht="32.25" customHeight="1" x14ac:dyDescent="0.25">
      <c r="A149" s="40" t="s">
        <v>347</v>
      </c>
      <c r="B149" s="42" t="s">
        <v>79</v>
      </c>
      <c r="C149" s="70"/>
      <c r="D149" s="70"/>
      <c r="E149" s="70"/>
      <c r="F149" s="72"/>
    </row>
    <row r="150" spans="1:6" ht="15.75" x14ac:dyDescent="0.25">
      <c r="A150" s="37" t="s">
        <v>346</v>
      </c>
      <c r="B150" s="36" t="s">
        <v>77</v>
      </c>
      <c r="C150" s="70"/>
      <c r="D150" s="70"/>
      <c r="E150" s="70">
        <f>D150-C150</f>
        <v>0</v>
      </c>
      <c r="F150" s="72"/>
    </row>
    <row r="151" spans="1:6" ht="15.75" x14ac:dyDescent="0.25">
      <c r="A151" s="37" t="s">
        <v>345</v>
      </c>
      <c r="B151" s="36" t="s">
        <v>75</v>
      </c>
      <c r="C151" s="70"/>
      <c r="D151" s="70"/>
      <c r="E151" s="70">
        <f>D151-C151</f>
        <v>0</v>
      </c>
      <c r="F151" s="72"/>
    </row>
    <row r="152" spans="1:6" ht="16.5" thickBot="1" x14ac:dyDescent="0.3">
      <c r="A152" s="35" t="s">
        <v>344</v>
      </c>
      <c r="B152" s="34" t="s">
        <v>73</v>
      </c>
      <c r="C152" s="70"/>
      <c r="D152" s="70"/>
      <c r="E152" s="70">
        <f>D152-C152</f>
        <v>0</v>
      </c>
      <c r="F152" s="69"/>
    </row>
    <row r="153" spans="1:6" ht="16.5" thickBot="1" x14ac:dyDescent="0.3">
      <c r="A153" s="32"/>
      <c r="B153" s="68" t="s">
        <v>343</v>
      </c>
      <c r="C153" s="67">
        <f>SUM(C132:C152)</f>
        <v>0</v>
      </c>
      <c r="D153" s="67">
        <f>SUM(D133:D152)</f>
        <v>0</v>
      </c>
      <c r="E153" s="67">
        <f>D153-C153</f>
        <v>0</v>
      </c>
      <c r="F153" s="66"/>
    </row>
    <row r="154" spans="1:6" ht="16.5" thickBot="1" x14ac:dyDescent="0.3">
      <c r="A154" s="47"/>
      <c r="B154" s="9" t="s">
        <v>342</v>
      </c>
      <c r="C154" s="80">
        <f>SUM(C153,C130,C122,C112)</f>
        <v>0</v>
      </c>
      <c r="D154" s="80">
        <f>SUM(D153,D130,D122,D112)</f>
        <v>0</v>
      </c>
      <c r="E154" s="83">
        <f>D154-C154</f>
        <v>0</v>
      </c>
      <c r="F154" s="82"/>
    </row>
    <row r="155" spans="1:6" ht="15.75" x14ac:dyDescent="0.25">
      <c r="A155" s="40" t="s">
        <v>341</v>
      </c>
      <c r="B155" s="39" t="s">
        <v>340</v>
      </c>
      <c r="C155" s="70"/>
      <c r="D155" s="70"/>
      <c r="E155" s="70"/>
      <c r="F155" s="72"/>
    </row>
    <row r="156" spans="1:6" ht="15.75" x14ac:dyDescent="0.25">
      <c r="A156" s="40" t="s">
        <v>339</v>
      </c>
      <c r="B156" s="39" t="s">
        <v>338</v>
      </c>
      <c r="C156" s="70"/>
      <c r="D156" s="70"/>
      <c r="E156" s="70"/>
      <c r="F156" s="72"/>
    </row>
    <row r="157" spans="1:6" ht="15.75" x14ac:dyDescent="0.25">
      <c r="A157" s="37" t="s">
        <v>337</v>
      </c>
      <c r="B157" s="36" t="s">
        <v>65</v>
      </c>
      <c r="C157" s="70"/>
      <c r="D157" s="70"/>
      <c r="E157" s="70">
        <f>D157-C157</f>
        <v>0</v>
      </c>
      <c r="F157" s="72"/>
    </row>
    <row r="158" spans="1:6" ht="16.5" thickBot="1" x14ac:dyDescent="0.3">
      <c r="A158" s="35" t="s">
        <v>336</v>
      </c>
      <c r="B158" s="34" t="s">
        <v>63</v>
      </c>
      <c r="C158" s="70"/>
      <c r="D158" s="70"/>
      <c r="E158" s="70">
        <f>D158-C158</f>
        <v>0</v>
      </c>
      <c r="F158" s="69"/>
    </row>
    <row r="159" spans="1:6" ht="16.5" thickBot="1" x14ac:dyDescent="0.3">
      <c r="A159" s="41"/>
      <c r="B159" s="9" t="s">
        <v>335</v>
      </c>
      <c r="C159" s="80">
        <f>SUM(C155:C158)</f>
        <v>0</v>
      </c>
      <c r="D159" s="80">
        <f>SUM(D157:D158)</f>
        <v>0</v>
      </c>
      <c r="E159" s="80">
        <f>D159-C159</f>
        <v>0</v>
      </c>
      <c r="F159" s="79"/>
    </row>
    <row r="160" spans="1:6" ht="15.75" x14ac:dyDescent="0.25">
      <c r="A160" s="26" t="s">
        <v>334</v>
      </c>
      <c r="B160" s="25" t="s">
        <v>333</v>
      </c>
      <c r="C160" s="75"/>
      <c r="D160" s="75"/>
      <c r="E160" s="75"/>
      <c r="F160" s="74"/>
    </row>
    <row r="161" spans="1:6" ht="15.75" x14ac:dyDescent="0.25">
      <c r="A161" s="40" t="s">
        <v>332</v>
      </c>
      <c r="B161" s="39" t="s">
        <v>331</v>
      </c>
      <c r="C161" s="70"/>
      <c r="D161" s="70"/>
      <c r="E161" s="70"/>
      <c r="F161" s="72"/>
    </row>
    <row r="162" spans="1:6" ht="15.75" x14ac:dyDescent="0.25">
      <c r="A162" s="37" t="s">
        <v>330</v>
      </c>
      <c r="B162" s="36" t="s">
        <v>329</v>
      </c>
      <c r="C162" s="70"/>
      <c r="D162" s="70"/>
      <c r="E162" s="70">
        <f>D162-C162</f>
        <v>0</v>
      </c>
      <c r="F162" s="72"/>
    </row>
    <row r="163" spans="1:6" ht="15.75" x14ac:dyDescent="0.25">
      <c r="A163" s="44" t="s">
        <v>328</v>
      </c>
      <c r="B163" s="43" t="s">
        <v>327</v>
      </c>
      <c r="C163" s="70"/>
      <c r="D163" s="70"/>
      <c r="E163" s="70">
        <f>D163-C163</f>
        <v>0</v>
      </c>
      <c r="F163" s="72"/>
    </row>
    <row r="164" spans="1:6" ht="15.75" x14ac:dyDescent="0.25">
      <c r="A164" s="37" t="s">
        <v>326</v>
      </c>
      <c r="B164" s="36" t="s">
        <v>325</v>
      </c>
      <c r="C164" s="70"/>
      <c r="D164" s="70"/>
      <c r="E164" s="70">
        <f>D164-C164</f>
        <v>0</v>
      </c>
      <c r="F164" s="72"/>
    </row>
    <row r="165" spans="1:6" ht="16.5" thickBot="1" x14ac:dyDescent="0.3">
      <c r="A165" s="35" t="s">
        <v>324</v>
      </c>
      <c r="B165" s="34" t="s">
        <v>323</v>
      </c>
      <c r="C165" s="70"/>
      <c r="D165" s="70"/>
      <c r="E165" s="70">
        <f>D165-C165</f>
        <v>0</v>
      </c>
      <c r="F165" s="69"/>
    </row>
    <row r="166" spans="1:6" ht="16.5" thickBot="1" x14ac:dyDescent="0.3">
      <c r="A166" s="45"/>
      <c r="B166" s="81" t="s">
        <v>322</v>
      </c>
      <c r="C166" s="67">
        <f>SUM(C162:C165)</f>
        <v>0</v>
      </c>
      <c r="D166" s="67">
        <f>SUM(D162:D165)</f>
        <v>0</v>
      </c>
      <c r="E166" s="67">
        <f>D166-C166</f>
        <v>0</v>
      </c>
      <c r="F166" s="66"/>
    </row>
    <row r="167" spans="1:6" ht="15.75" x14ac:dyDescent="0.25">
      <c r="A167" s="26" t="s">
        <v>321</v>
      </c>
      <c r="B167" s="25" t="s">
        <v>320</v>
      </c>
      <c r="C167" s="75"/>
      <c r="D167" s="75"/>
      <c r="E167" s="75"/>
      <c r="F167" s="74"/>
    </row>
    <row r="168" spans="1:6" ht="15.75" x14ac:dyDescent="0.25">
      <c r="A168" s="37" t="s">
        <v>319</v>
      </c>
      <c r="B168" s="36" t="s">
        <v>318</v>
      </c>
      <c r="C168" s="70"/>
      <c r="D168" s="70"/>
      <c r="E168" s="70">
        <f t="shared" ref="E168:E173" si="5">D168-C168</f>
        <v>0</v>
      </c>
      <c r="F168" s="72"/>
    </row>
    <row r="169" spans="1:6" ht="15.75" x14ac:dyDescent="0.25">
      <c r="A169" s="37" t="s">
        <v>317</v>
      </c>
      <c r="B169" s="36" t="s">
        <v>316</v>
      </c>
      <c r="C169" s="70"/>
      <c r="D169" s="70"/>
      <c r="E169" s="70">
        <f t="shared" si="5"/>
        <v>0</v>
      </c>
      <c r="F169" s="72"/>
    </row>
    <row r="170" spans="1:6" ht="16.5" thickBot="1" x14ac:dyDescent="0.3">
      <c r="A170" s="35" t="s">
        <v>315</v>
      </c>
      <c r="B170" s="34" t="s">
        <v>314</v>
      </c>
      <c r="C170" s="70"/>
      <c r="D170" s="70"/>
      <c r="E170" s="70">
        <f t="shared" si="5"/>
        <v>0</v>
      </c>
      <c r="F170" s="69"/>
    </row>
    <row r="171" spans="1:6" ht="16.5" thickBot="1" x14ac:dyDescent="0.3">
      <c r="A171" s="38"/>
      <c r="B171" s="68" t="s">
        <v>313</v>
      </c>
      <c r="C171" s="67">
        <f>SUM(C168:C170)</f>
        <v>0</v>
      </c>
      <c r="D171" s="67">
        <f>SUM(D168:D170)</f>
        <v>0</v>
      </c>
      <c r="E171" s="67">
        <f t="shared" si="5"/>
        <v>0</v>
      </c>
      <c r="F171" s="66"/>
    </row>
    <row r="172" spans="1:6" ht="16.5" thickBot="1" x14ac:dyDescent="0.3">
      <c r="A172" s="41"/>
      <c r="B172" s="9" t="s">
        <v>312</v>
      </c>
      <c r="C172" s="80">
        <f>SUM(C171,C166)</f>
        <v>0</v>
      </c>
      <c r="D172" s="80">
        <f>SUM(D171,D166)</f>
        <v>0</v>
      </c>
      <c r="E172" s="80">
        <f t="shared" si="5"/>
        <v>0</v>
      </c>
      <c r="F172" s="79"/>
    </row>
    <row r="173" spans="1:6" ht="16.5" thickBot="1" x14ac:dyDescent="0.3">
      <c r="A173" s="78"/>
      <c r="B173" s="29" t="s">
        <v>311</v>
      </c>
      <c r="C173" s="77">
        <f>SUM(C172,C159,C154,C98,C13)</f>
        <v>11582975</v>
      </c>
      <c r="D173" s="77">
        <f>SUM(D172,D159,D154,D98,D13)</f>
        <v>24986352</v>
      </c>
      <c r="E173" s="77">
        <f t="shared" si="5"/>
        <v>13403377</v>
      </c>
      <c r="F173" s="76"/>
    </row>
    <row r="174" spans="1:6" ht="15.75" x14ac:dyDescent="0.25">
      <c r="A174" s="26" t="s">
        <v>310</v>
      </c>
      <c r="B174" s="25" t="s">
        <v>309</v>
      </c>
      <c r="C174" s="75"/>
      <c r="D174" s="75"/>
      <c r="E174" s="75"/>
      <c r="F174" s="74"/>
    </row>
    <row r="175" spans="1:6" ht="15.75" x14ac:dyDescent="0.25">
      <c r="A175" s="40" t="s">
        <v>308</v>
      </c>
      <c r="B175" s="39" t="s">
        <v>307</v>
      </c>
      <c r="C175" s="70"/>
      <c r="D175" s="70"/>
      <c r="E175" s="70"/>
      <c r="F175" s="72"/>
    </row>
    <row r="176" spans="1:6" ht="15.75" x14ac:dyDescent="0.25">
      <c r="A176" s="37" t="s">
        <v>306</v>
      </c>
      <c r="B176" s="36" t="s">
        <v>22</v>
      </c>
      <c r="C176" s="70"/>
      <c r="D176" s="70"/>
      <c r="E176" s="70">
        <f t="shared" ref="E176:E188" si="6">D176-C176</f>
        <v>0</v>
      </c>
      <c r="F176" s="72"/>
    </row>
    <row r="177" spans="1:6" ht="15.75" x14ac:dyDescent="0.25">
      <c r="A177" s="37" t="s">
        <v>305</v>
      </c>
      <c r="B177" s="36" t="s">
        <v>304</v>
      </c>
      <c r="C177" s="70"/>
      <c r="D177" s="70"/>
      <c r="E177" s="70">
        <f t="shared" si="6"/>
        <v>0</v>
      </c>
      <c r="F177" s="72"/>
    </row>
    <row r="178" spans="1:6" ht="15.75" x14ac:dyDescent="0.25">
      <c r="A178" s="35" t="s">
        <v>303</v>
      </c>
      <c r="B178" s="34" t="s">
        <v>302</v>
      </c>
      <c r="C178" s="70"/>
      <c r="D178" s="70"/>
      <c r="E178" s="70">
        <f t="shared" si="6"/>
        <v>0</v>
      </c>
      <c r="F178" s="72"/>
    </row>
    <row r="179" spans="1:6" ht="15.75" x14ac:dyDescent="0.25">
      <c r="A179" s="37" t="s">
        <v>301</v>
      </c>
      <c r="B179" s="36" t="s">
        <v>16</v>
      </c>
      <c r="C179" s="70"/>
      <c r="D179" s="70"/>
      <c r="E179" s="70">
        <f t="shared" si="6"/>
        <v>0</v>
      </c>
      <c r="F179" s="72"/>
    </row>
    <row r="180" spans="1:6" ht="15.75" x14ac:dyDescent="0.25">
      <c r="A180" s="37" t="s">
        <v>300</v>
      </c>
      <c r="B180" s="36" t="s">
        <v>14</v>
      </c>
      <c r="C180" s="70"/>
      <c r="D180" s="70"/>
      <c r="E180" s="70">
        <f t="shared" si="6"/>
        <v>0</v>
      </c>
      <c r="F180" s="72"/>
    </row>
    <row r="181" spans="1:6" ht="15.75" x14ac:dyDescent="0.25">
      <c r="A181" s="37" t="s">
        <v>299</v>
      </c>
      <c r="B181" s="36" t="s">
        <v>12</v>
      </c>
      <c r="C181" s="70"/>
      <c r="D181" s="70"/>
      <c r="E181" s="70">
        <f t="shared" si="6"/>
        <v>0</v>
      </c>
      <c r="F181" s="72"/>
    </row>
    <row r="182" spans="1:6" ht="15.75" x14ac:dyDescent="0.25">
      <c r="A182" s="37" t="s">
        <v>298</v>
      </c>
      <c r="B182" s="36" t="s">
        <v>297</v>
      </c>
      <c r="C182" s="70"/>
      <c r="D182" s="70"/>
      <c r="E182" s="70">
        <f t="shared" si="6"/>
        <v>0</v>
      </c>
      <c r="F182" s="72"/>
    </row>
    <row r="183" spans="1:6" ht="15.75" x14ac:dyDescent="0.25">
      <c r="A183" s="37" t="s">
        <v>296</v>
      </c>
      <c r="B183" s="36" t="s">
        <v>8</v>
      </c>
      <c r="C183" s="70"/>
      <c r="D183" s="70"/>
      <c r="E183" s="70">
        <f t="shared" si="6"/>
        <v>0</v>
      </c>
      <c r="F183" s="72"/>
    </row>
    <row r="184" spans="1:6" ht="15.75" x14ac:dyDescent="0.25">
      <c r="A184" s="37" t="s">
        <v>295</v>
      </c>
      <c r="B184" s="73" t="s">
        <v>294</v>
      </c>
      <c r="C184" s="70"/>
      <c r="D184" s="70"/>
      <c r="E184" s="70">
        <f t="shared" si="6"/>
        <v>0</v>
      </c>
      <c r="F184" s="72"/>
    </row>
    <row r="185" spans="1:6" ht="16.5" thickBot="1" x14ac:dyDescent="0.3">
      <c r="A185" s="35" t="s">
        <v>293</v>
      </c>
      <c r="B185" s="71" t="s">
        <v>292</v>
      </c>
      <c r="C185" s="70"/>
      <c r="D185" s="70"/>
      <c r="E185" s="70">
        <f t="shared" si="6"/>
        <v>0</v>
      </c>
      <c r="F185" s="69"/>
    </row>
    <row r="186" spans="1:6" ht="16.5" thickBot="1" x14ac:dyDescent="0.3">
      <c r="A186" s="45"/>
      <c r="B186" s="68" t="s">
        <v>291</v>
      </c>
      <c r="C186" s="67">
        <f>SUM(C176:C185)</f>
        <v>0</v>
      </c>
      <c r="D186" s="67">
        <f>SUM(D175:D185)</f>
        <v>0</v>
      </c>
      <c r="E186" s="67">
        <f t="shared" si="6"/>
        <v>0</v>
      </c>
      <c r="F186" s="66"/>
    </row>
    <row r="187" spans="1:6" ht="16.5" thickBot="1" x14ac:dyDescent="0.3">
      <c r="A187" s="41"/>
      <c r="B187" s="65" t="s">
        <v>290</v>
      </c>
      <c r="C187" s="64">
        <f>SUM(C186)</f>
        <v>0</v>
      </c>
      <c r="D187" s="64">
        <f>SUM(D186)</f>
        <v>0</v>
      </c>
      <c r="E187" s="64">
        <f t="shared" si="6"/>
        <v>0</v>
      </c>
      <c r="F187" s="63"/>
    </row>
    <row r="188" spans="1:6" ht="16.5" thickBot="1" x14ac:dyDescent="0.3">
      <c r="A188" s="62"/>
      <c r="B188" s="61" t="s">
        <v>289</v>
      </c>
      <c r="C188" s="60">
        <f>SUM(C187,C173)</f>
        <v>11582975</v>
      </c>
      <c r="D188" s="60">
        <f>SUM(D187,D173)</f>
        <v>24986352</v>
      </c>
      <c r="E188" s="60">
        <f t="shared" si="6"/>
        <v>13403377</v>
      </c>
      <c r="F188" s="59"/>
    </row>
    <row r="189" spans="1:6" ht="16.5" thickBot="1" x14ac:dyDescent="0.3">
      <c r="A189" s="56"/>
      <c r="B189" s="55"/>
      <c r="C189" s="58"/>
      <c r="D189" s="57" t="s">
        <v>0</v>
      </c>
      <c r="E189" s="508">
        <f>D188-D348</f>
        <v>24986352</v>
      </c>
      <c r="F189" s="509"/>
    </row>
    <row r="190" spans="1:6" ht="15.75" x14ac:dyDescent="0.25">
      <c r="A190" s="56"/>
      <c r="B190" s="55"/>
      <c r="C190" s="54"/>
      <c r="D190" s="54"/>
      <c r="E190" s="54"/>
      <c r="F190" s="53"/>
    </row>
    <row r="191" spans="1:6" ht="19.5" thickBot="1" x14ac:dyDescent="0.35">
      <c r="A191" s="52" t="s">
        <v>288</v>
      </c>
      <c r="B191" s="52"/>
      <c r="C191" s="51"/>
      <c r="D191" s="51"/>
      <c r="E191" s="51"/>
      <c r="F191" s="50"/>
    </row>
    <row r="192" spans="1:6" x14ac:dyDescent="0.25">
      <c r="A192" s="512" t="s">
        <v>287</v>
      </c>
      <c r="B192" s="514" t="s">
        <v>286</v>
      </c>
      <c r="C192" s="516"/>
      <c r="D192" s="516"/>
      <c r="E192" s="516"/>
      <c r="F192" s="518"/>
    </row>
    <row r="193" spans="1:6" ht="15.75" thickBot="1" x14ac:dyDescent="0.3">
      <c r="A193" s="513"/>
      <c r="B193" s="515"/>
      <c r="C193" s="517"/>
      <c r="D193" s="517"/>
      <c r="E193" s="517"/>
      <c r="F193" s="519"/>
    </row>
    <row r="194" spans="1:6" ht="15.75" x14ac:dyDescent="0.25">
      <c r="A194" s="49">
        <v>1</v>
      </c>
      <c r="B194" s="48">
        <v>2</v>
      </c>
      <c r="C194" s="24"/>
      <c r="D194" s="24"/>
      <c r="E194" s="24"/>
      <c r="F194" s="23"/>
    </row>
    <row r="195" spans="1:6" ht="15.75" x14ac:dyDescent="0.25">
      <c r="A195" s="40" t="s">
        <v>285</v>
      </c>
      <c r="B195" s="39" t="s">
        <v>284</v>
      </c>
      <c r="C195" s="16"/>
      <c r="D195" s="16"/>
      <c r="E195" s="16"/>
      <c r="F195" s="19"/>
    </row>
    <row r="196" spans="1:6" ht="15.75" x14ac:dyDescent="0.25">
      <c r="A196" s="37" t="s">
        <v>283</v>
      </c>
      <c r="B196" s="36" t="s">
        <v>282</v>
      </c>
      <c r="C196" s="16"/>
      <c r="D196" s="16"/>
      <c r="E196" s="16"/>
      <c r="F196" s="19"/>
    </row>
    <row r="197" spans="1:6" ht="16.5" thickBot="1" x14ac:dyDescent="0.3">
      <c r="A197" s="35" t="s">
        <v>281</v>
      </c>
      <c r="B197" s="34" t="s">
        <v>280</v>
      </c>
      <c r="C197" s="33"/>
      <c r="D197" s="33"/>
      <c r="E197" s="33"/>
      <c r="F197" s="15"/>
    </row>
    <row r="198" spans="1:6" ht="16.5" thickBot="1" x14ac:dyDescent="0.3">
      <c r="A198" s="47"/>
      <c r="B198" s="9" t="s">
        <v>279</v>
      </c>
      <c r="C198" s="8">
        <f>SUM(C196:C197)</f>
        <v>0</v>
      </c>
      <c r="D198" s="8">
        <f>SUM(D196:D197)</f>
        <v>0</v>
      </c>
      <c r="E198" s="8">
        <f>D198-C198</f>
        <v>0</v>
      </c>
      <c r="F198" s="46"/>
    </row>
    <row r="199" spans="1:6" ht="15.75" x14ac:dyDescent="0.25">
      <c r="A199" s="26" t="s">
        <v>278</v>
      </c>
      <c r="B199" s="25" t="s">
        <v>277</v>
      </c>
      <c r="C199" s="24"/>
      <c r="D199" s="24"/>
      <c r="E199" s="24"/>
      <c r="F199" s="23"/>
    </row>
    <row r="200" spans="1:6" ht="15.75" x14ac:dyDescent="0.25">
      <c r="A200" s="40" t="s">
        <v>276</v>
      </c>
      <c r="B200" s="39" t="s">
        <v>275</v>
      </c>
      <c r="C200" s="16"/>
      <c r="D200" s="16"/>
      <c r="E200" s="16"/>
      <c r="F200" s="19"/>
    </row>
    <row r="201" spans="1:6" ht="15.75" x14ac:dyDescent="0.25">
      <c r="A201" s="37" t="s">
        <v>274</v>
      </c>
      <c r="B201" s="36" t="s">
        <v>273</v>
      </c>
      <c r="C201" s="16"/>
      <c r="D201" s="16"/>
      <c r="E201" s="16">
        <f t="shared" ref="E201:E208" si="7">D201-C201</f>
        <v>0</v>
      </c>
      <c r="F201" s="19"/>
    </row>
    <row r="202" spans="1:6" ht="15.75" x14ac:dyDescent="0.25">
      <c r="A202" s="37" t="s">
        <v>272</v>
      </c>
      <c r="B202" s="36" t="s">
        <v>271</v>
      </c>
      <c r="C202" s="16"/>
      <c r="D202" s="16"/>
      <c r="E202" s="16">
        <f t="shared" si="7"/>
        <v>0</v>
      </c>
      <c r="F202" s="19"/>
    </row>
    <row r="203" spans="1:6" ht="15.75" x14ac:dyDescent="0.25">
      <c r="A203" s="37" t="s">
        <v>270</v>
      </c>
      <c r="B203" s="36" t="s">
        <v>269</v>
      </c>
      <c r="C203" s="16"/>
      <c r="D203" s="16"/>
      <c r="E203" s="16">
        <f t="shared" si="7"/>
        <v>0</v>
      </c>
      <c r="F203" s="19"/>
    </row>
    <row r="204" spans="1:6" ht="15.75" x14ac:dyDescent="0.25">
      <c r="A204" s="37" t="s">
        <v>268</v>
      </c>
      <c r="B204" s="36" t="s">
        <v>267</v>
      </c>
      <c r="C204" s="16"/>
      <c r="D204" s="16"/>
      <c r="E204" s="16">
        <f t="shared" si="7"/>
        <v>0</v>
      </c>
      <c r="F204" s="19"/>
    </row>
    <row r="205" spans="1:6" ht="15.75" x14ac:dyDescent="0.25">
      <c r="A205" s="37" t="s">
        <v>266</v>
      </c>
      <c r="B205" s="36" t="s">
        <v>265</v>
      </c>
      <c r="C205" s="16"/>
      <c r="D205" s="16"/>
      <c r="E205" s="16">
        <f t="shared" si="7"/>
        <v>0</v>
      </c>
      <c r="F205" s="19"/>
    </row>
    <row r="206" spans="1:6" ht="15.75" x14ac:dyDescent="0.25">
      <c r="A206" s="37" t="s">
        <v>264</v>
      </c>
      <c r="B206" s="36" t="s">
        <v>263</v>
      </c>
      <c r="C206" s="16"/>
      <c r="D206" s="16"/>
      <c r="E206" s="16">
        <f t="shared" si="7"/>
        <v>0</v>
      </c>
      <c r="F206" s="19"/>
    </row>
    <row r="207" spans="1:6" ht="16.5" thickBot="1" x14ac:dyDescent="0.3">
      <c r="A207" s="35" t="s">
        <v>262</v>
      </c>
      <c r="B207" s="34" t="s">
        <v>261</v>
      </c>
      <c r="C207" s="16"/>
      <c r="D207" s="16"/>
      <c r="E207" s="16">
        <f t="shared" si="7"/>
        <v>0</v>
      </c>
      <c r="F207" s="15"/>
    </row>
    <row r="208" spans="1:6" ht="16.5" thickBot="1" x14ac:dyDescent="0.3">
      <c r="A208" s="32"/>
      <c r="B208" s="13" t="s">
        <v>260</v>
      </c>
      <c r="C208" s="12">
        <f>SUM(C201:C207)</f>
        <v>0</v>
      </c>
      <c r="D208" s="12">
        <f>SUM(D199:D207)</f>
        <v>0</v>
      </c>
      <c r="E208" s="12">
        <f t="shared" si="7"/>
        <v>0</v>
      </c>
      <c r="F208" s="11"/>
    </row>
    <row r="209" spans="1:6" ht="15.75" x14ac:dyDescent="0.25">
      <c r="A209" s="26" t="s">
        <v>259</v>
      </c>
      <c r="B209" s="25" t="s">
        <v>258</v>
      </c>
      <c r="C209" s="24"/>
      <c r="D209" s="24"/>
      <c r="E209" s="24"/>
      <c r="F209" s="23"/>
    </row>
    <row r="210" spans="1:6" ht="15.75" x14ac:dyDescent="0.25">
      <c r="A210" s="37" t="s">
        <v>257</v>
      </c>
      <c r="B210" s="36" t="s">
        <v>256</v>
      </c>
      <c r="C210" s="16"/>
      <c r="D210" s="16"/>
      <c r="E210" s="16">
        <f t="shared" ref="E210:E218" si="8">D210-C210</f>
        <v>0</v>
      </c>
      <c r="F210" s="19"/>
    </row>
    <row r="211" spans="1:6" ht="15.75" x14ac:dyDescent="0.25">
      <c r="A211" s="37" t="s">
        <v>255</v>
      </c>
      <c r="B211" s="36" t="s">
        <v>254</v>
      </c>
      <c r="C211" s="16"/>
      <c r="D211" s="16"/>
      <c r="E211" s="16">
        <f t="shared" si="8"/>
        <v>0</v>
      </c>
      <c r="F211" s="19"/>
    </row>
    <row r="212" spans="1:6" ht="15.75" x14ac:dyDescent="0.25">
      <c r="A212" s="37" t="s">
        <v>253</v>
      </c>
      <c r="B212" s="36" t="s">
        <v>252</v>
      </c>
      <c r="C212" s="16"/>
      <c r="D212" s="16"/>
      <c r="E212" s="16">
        <f t="shared" si="8"/>
        <v>0</v>
      </c>
      <c r="F212" s="19"/>
    </row>
    <row r="213" spans="1:6" ht="15.75" x14ac:dyDescent="0.25">
      <c r="A213" s="37" t="s">
        <v>251</v>
      </c>
      <c r="B213" s="36" t="s">
        <v>250</v>
      </c>
      <c r="C213" s="16"/>
      <c r="D213" s="16"/>
      <c r="E213" s="16">
        <f t="shared" si="8"/>
        <v>0</v>
      </c>
      <c r="F213" s="19"/>
    </row>
    <row r="214" spans="1:6" ht="15.75" x14ac:dyDescent="0.25">
      <c r="A214" s="37" t="s">
        <v>249</v>
      </c>
      <c r="B214" s="36" t="s">
        <v>248</v>
      </c>
      <c r="C214" s="16"/>
      <c r="D214" s="16"/>
      <c r="E214" s="16">
        <f t="shared" si="8"/>
        <v>0</v>
      </c>
      <c r="F214" s="19"/>
    </row>
    <row r="215" spans="1:6" ht="15.75" x14ac:dyDescent="0.25">
      <c r="A215" s="37" t="s">
        <v>247</v>
      </c>
      <c r="B215" s="36" t="s">
        <v>246</v>
      </c>
      <c r="C215" s="16"/>
      <c r="D215" s="16"/>
      <c r="E215" s="16">
        <f t="shared" si="8"/>
        <v>0</v>
      </c>
      <c r="F215" s="19"/>
    </row>
    <row r="216" spans="1:6" ht="15.75" x14ac:dyDescent="0.25">
      <c r="A216" s="37" t="s">
        <v>245</v>
      </c>
      <c r="B216" s="36" t="s">
        <v>244</v>
      </c>
      <c r="C216" s="16"/>
      <c r="D216" s="16"/>
      <c r="E216" s="16">
        <f t="shared" si="8"/>
        <v>0</v>
      </c>
      <c r="F216" s="19"/>
    </row>
    <row r="217" spans="1:6" ht="16.5" thickBot="1" x14ac:dyDescent="0.3">
      <c r="A217" s="35" t="s">
        <v>243</v>
      </c>
      <c r="B217" s="34" t="s">
        <v>242</v>
      </c>
      <c r="C217" s="33"/>
      <c r="D217" s="16"/>
      <c r="E217" s="16">
        <f t="shared" si="8"/>
        <v>0</v>
      </c>
      <c r="F217" s="15"/>
    </row>
    <row r="218" spans="1:6" ht="16.5" thickBot="1" x14ac:dyDescent="0.3">
      <c r="A218" s="45"/>
      <c r="B218" s="13" t="s">
        <v>241</v>
      </c>
      <c r="C218" s="12">
        <f>SUM(C210:C217)</f>
        <v>0</v>
      </c>
      <c r="D218" s="12">
        <f>SUM(D210:D217)</f>
        <v>0</v>
      </c>
      <c r="E218" s="12">
        <f t="shared" si="8"/>
        <v>0</v>
      </c>
      <c r="F218" s="11"/>
    </row>
    <row r="219" spans="1:6" ht="15.75" x14ac:dyDescent="0.25">
      <c r="A219" s="26" t="s">
        <v>240</v>
      </c>
      <c r="B219" s="25" t="s">
        <v>239</v>
      </c>
      <c r="C219" s="24"/>
      <c r="D219" s="24"/>
      <c r="E219" s="24"/>
      <c r="F219" s="23"/>
    </row>
    <row r="220" spans="1:6" ht="15.75" x14ac:dyDescent="0.25">
      <c r="A220" s="37" t="s">
        <v>238</v>
      </c>
      <c r="B220" s="36" t="s">
        <v>237</v>
      </c>
      <c r="C220" s="16"/>
      <c r="D220" s="16"/>
      <c r="E220" s="16">
        <f t="shared" ref="E220:E227" si="9">D220-C220</f>
        <v>0</v>
      </c>
      <c r="F220" s="19"/>
    </row>
    <row r="221" spans="1:6" ht="15.75" x14ac:dyDescent="0.25">
      <c r="A221" s="37" t="s">
        <v>236</v>
      </c>
      <c r="B221" s="36" t="s">
        <v>235</v>
      </c>
      <c r="C221" s="16"/>
      <c r="D221" s="16"/>
      <c r="E221" s="16">
        <f t="shared" si="9"/>
        <v>0</v>
      </c>
      <c r="F221" s="19"/>
    </row>
    <row r="222" spans="1:6" ht="15.75" x14ac:dyDescent="0.25">
      <c r="A222" s="37" t="s">
        <v>234</v>
      </c>
      <c r="B222" s="36" t="s">
        <v>233</v>
      </c>
      <c r="C222" s="16"/>
      <c r="D222" s="16"/>
      <c r="E222" s="16">
        <f t="shared" si="9"/>
        <v>0</v>
      </c>
      <c r="F222" s="19"/>
    </row>
    <row r="223" spans="1:6" ht="15.75" x14ac:dyDescent="0.25">
      <c r="A223" s="37" t="s">
        <v>232</v>
      </c>
      <c r="B223" s="36" t="s">
        <v>231</v>
      </c>
      <c r="C223" s="16"/>
      <c r="D223" s="16"/>
      <c r="E223" s="16">
        <f t="shared" si="9"/>
        <v>0</v>
      </c>
      <c r="F223" s="19"/>
    </row>
    <row r="224" spans="1:6" ht="15.75" x14ac:dyDescent="0.25">
      <c r="A224" s="37" t="s">
        <v>230</v>
      </c>
      <c r="B224" s="36" t="s">
        <v>229</v>
      </c>
      <c r="C224" s="16"/>
      <c r="D224" s="16"/>
      <c r="E224" s="16">
        <f t="shared" si="9"/>
        <v>0</v>
      </c>
      <c r="F224" s="19"/>
    </row>
    <row r="225" spans="1:6" ht="15.75" x14ac:dyDescent="0.25">
      <c r="A225" s="37" t="s">
        <v>228</v>
      </c>
      <c r="B225" s="36" t="s">
        <v>227</v>
      </c>
      <c r="C225" s="16"/>
      <c r="D225" s="16"/>
      <c r="E225" s="16">
        <f t="shared" si="9"/>
        <v>0</v>
      </c>
      <c r="F225" s="19"/>
    </row>
    <row r="226" spans="1:6" ht="16.5" thickBot="1" x14ac:dyDescent="0.3">
      <c r="A226" s="35" t="s">
        <v>226</v>
      </c>
      <c r="B226" s="34" t="s">
        <v>225</v>
      </c>
      <c r="C226" s="33"/>
      <c r="D226" s="16"/>
      <c r="E226" s="16">
        <f t="shared" si="9"/>
        <v>0</v>
      </c>
      <c r="F226" s="15"/>
    </row>
    <row r="227" spans="1:6" ht="16.5" thickBot="1" x14ac:dyDescent="0.3">
      <c r="A227" s="45"/>
      <c r="B227" s="13" t="s">
        <v>224</v>
      </c>
      <c r="C227" s="12">
        <f>SUM(C220:C226)</f>
        <v>0</v>
      </c>
      <c r="D227" s="12">
        <f>SUM(D220:D226)</f>
        <v>0</v>
      </c>
      <c r="E227" s="12">
        <f t="shared" si="9"/>
        <v>0</v>
      </c>
      <c r="F227" s="11"/>
    </row>
    <row r="228" spans="1:6" ht="15.75" x14ac:dyDescent="0.25">
      <c r="A228" s="26" t="s">
        <v>223</v>
      </c>
      <c r="B228" s="25" t="s">
        <v>222</v>
      </c>
      <c r="C228" s="24"/>
      <c r="D228" s="24"/>
      <c r="E228" s="24"/>
      <c r="F228" s="23"/>
    </row>
    <row r="229" spans="1:6" ht="15.75" x14ac:dyDescent="0.25">
      <c r="A229" s="37" t="s">
        <v>221</v>
      </c>
      <c r="B229" s="36" t="s">
        <v>220</v>
      </c>
      <c r="C229" s="16"/>
      <c r="D229" s="16"/>
      <c r="E229" s="16">
        <f>D229-C229</f>
        <v>0</v>
      </c>
      <c r="F229" s="19"/>
    </row>
    <row r="230" spans="1:6" ht="16.5" thickBot="1" x14ac:dyDescent="0.3">
      <c r="A230" s="35" t="s">
        <v>219</v>
      </c>
      <c r="B230" s="34" t="s">
        <v>218</v>
      </c>
      <c r="C230" s="33"/>
      <c r="D230" s="16"/>
      <c r="E230" s="16">
        <f>D230-C230</f>
        <v>0</v>
      </c>
      <c r="F230" s="15"/>
    </row>
    <row r="231" spans="1:6" ht="16.5" thickBot="1" x14ac:dyDescent="0.3">
      <c r="A231" s="38"/>
      <c r="B231" s="13" t="s">
        <v>217</v>
      </c>
      <c r="C231" s="12">
        <f>SUM(C229:C230)</f>
        <v>0</v>
      </c>
      <c r="D231" s="12">
        <f>SUM(D229:D230)</f>
        <v>0</v>
      </c>
      <c r="E231" s="12">
        <f>D231-C231</f>
        <v>0</v>
      </c>
      <c r="F231" s="11"/>
    </row>
    <row r="232" spans="1:6" ht="15.75" x14ac:dyDescent="0.25">
      <c r="A232" s="26" t="s">
        <v>216</v>
      </c>
      <c r="B232" s="25" t="s">
        <v>215</v>
      </c>
      <c r="C232" s="24"/>
      <c r="D232" s="24"/>
      <c r="E232" s="24"/>
      <c r="F232" s="23"/>
    </row>
    <row r="233" spans="1:6" ht="15.75" x14ac:dyDescent="0.25">
      <c r="A233" s="37" t="s">
        <v>214</v>
      </c>
      <c r="B233" s="36" t="s">
        <v>213</v>
      </c>
      <c r="C233" s="16"/>
      <c r="D233" s="16"/>
      <c r="E233" s="16">
        <f t="shared" ref="E233:E238" si="10">D233-C233</f>
        <v>0</v>
      </c>
      <c r="F233" s="19"/>
    </row>
    <row r="234" spans="1:6" ht="15.75" x14ac:dyDescent="0.25">
      <c r="A234" s="37" t="s">
        <v>212</v>
      </c>
      <c r="B234" s="36" t="s">
        <v>211</v>
      </c>
      <c r="C234" s="16"/>
      <c r="D234" s="16"/>
      <c r="E234" s="16">
        <f t="shared" si="10"/>
        <v>0</v>
      </c>
      <c r="F234" s="19"/>
    </row>
    <row r="235" spans="1:6" ht="15.75" x14ac:dyDescent="0.25">
      <c r="A235" s="37" t="s">
        <v>210</v>
      </c>
      <c r="B235" s="36" t="s">
        <v>209</v>
      </c>
      <c r="C235" s="16"/>
      <c r="D235" s="16"/>
      <c r="E235" s="16">
        <f t="shared" si="10"/>
        <v>0</v>
      </c>
      <c r="F235" s="19"/>
    </row>
    <row r="236" spans="1:6" ht="15.75" x14ac:dyDescent="0.25">
      <c r="A236" s="37" t="s">
        <v>208</v>
      </c>
      <c r="B236" s="36" t="s">
        <v>207</v>
      </c>
      <c r="C236" s="16"/>
      <c r="D236" s="16"/>
      <c r="E236" s="16">
        <f t="shared" si="10"/>
        <v>0</v>
      </c>
      <c r="F236" s="19"/>
    </row>
    <row r="237" spans="1:6" ht="16.5" thickBot="1" x14ac:dyDescent="0.3">
      <c r="A237" s="35" t="s">
        <v>206</v>
      </c>
      <c r="B237" s="34" t="s">
        <v>205</v>
      </c>
      <c r="C237" s="33"/>
      <c r="D237" s="16"/>
      <c r="E237" s="16">
        <f t="shared" si="10"/>
        <v>0</v>
      </c>
      <c r="F237" s="15"/>
    </row>
    <row r="238" spans="1:6" ht="16.5" thickBot="1" x14ac:dyDescent="0.3">
      <c r="A238" s="38"/>
      <c r="B238" s="13" t="s">
        <v>204</v>
      </c>
      <c r="C238" s="12">
        <f>SUM(C233:C237)</f>
        <v>0</v>
      </c>
      <c r="D238" s="12">
        <f>SUM(D233:D237)</f>
        <v>0</v>
      </c>
      <c r="E238" s="12">
        <f t="shared" si="10"/>
        <v>0</v>
      </c>
      <c r="F238" s="11"/>
    </row>
    <row r="239" spans="1:6" ht="15.75" x14ac:dyDescent="0.25">
      <c r="A239" s="26" t="s">
        <v>203</v>
      </c>
      <c r="B239" s="25" t="s">
        <v>202</v>
      </c>
      <c r="C239" s="24"/>
      <c r="D239" s="24"/>
      <c r="E239" s="24"/>
      <c r="F239" s="23"/>
    </row>
    <row r="240" spans="1:6" ht="15.75" x14ac:dyDescent="0.25">
      <c r="A240" s="37" t="s">
        <v>201</v>
      </c>
      <c r="B240" s="36" t="s">
        <v>200</v>
      </c>
      <c r="C240" s="16"/>
      <c r="D240" s="16"/>
      <c r="E240" s="16">
        <f>D240-C240</f>
        <v>0</v>
      </c>
      <c r="F240" s="19"/>
    </row>
    <row r="241" spans="1:6" ht="15.75" x14ac:dyDescent="0.25">
      <c r="A241" s="37" t="s">
        <v>199</v>
      </c>
      <c r="B241" s="36" t="s">
        <v>198</v>
      </c>
      <c r="C241" s="16"/>
      <c r="D241" s="16"/>
      <c r="E241" s="16">
        <f>D241-C241</f>
        <v>0</v>
      </c>
      <c r="F241" s="19"/>
    </row>
    <row r="242" spans="1:6" ht="15.75" x14ac:dyDescent="0.25">
      <c r="A242" s="37" t="s">
        <v>197</v>
      </c>
      <c r="B242" s="36" t="s">
        <v>196</v>
      </c>
      <c r="C242" s="16"/>
      <c r="D242" s="16"/>
      <c r="E242" s="16">
        <f>D242-C242</f>
        <v>0</v>
      </c>
      <c r="F242" s="19"/>
    </row>
    <row r="243" spans="1:6" ht="16.5" thickBot="1" x14ac:dyDescent="0.3">
      <c r="A243" s="35" t="s">
        <v>195</v>
      </c>
      <c r="B243" s="34" t="s">
        <v>194</v>
      </c>
      <c r="C243" s="33"/>
      <c r="D243" s="16"/>
      <c r="E243" s="16">
        <f>D243-C243</f>
        <v>0</v>
      </c>
      <c r="F243" s="15"/>
    </row>
    <row r="244" spans="1:6" ht="16.5" thickBot="1" x14ac:dyDescent="0.3">
      <c r="A244" s="38"/>
      <c r="B244" s="13" t="s">
        <v>193</v>
      </c>
      <c r="C244" s="12">
        <f>SUM(C240:C243)</f>
        <v>0</v>
      </c>
      <c r="D244" s="12">
        <f>SUM(D240:D243)</f>
        <v>0</v>
      </c>
      <c r="E244" s="12">
        <f>D244-C244</f>
        <v>0</v>
      </c>
      <c r="F244" s="11"/>
    </row>
    <row r="245" spans="1:6" ht="15.75" x14ac:dyDescent="0.25">
      <c r="A245" s="26" t="s">
        <v>192</v>
      </c>
      <c r="B245" s="25" t="s">
        <v>191</v>
      </c>
      <c r="C245" s="24"/>
      <c r="D245" s="24"/>
      <c r="E245" s="24"/>
      <c r="F245" s="23"/>
    </row>
    <row r="246" spans="1:6" ht="16.5" thickBot="1" x14ac:dyDescent="0.3">
      <c r="A246" s="35" t="s">
        <v>190</v>
      </c>
      <c r="B246" s="34" t="s">
        <v>189</v>
      </c>
      <c r="C246" s="33"/>
      <c r="D246" s="33"/>
      <c r="E246" s="16">
        <f>D246-C246</f>
        <v>0</v>
      </c>
      <c r="F246" s="15"/>
    </row>
    <row r="247" spans="1:6" ht="16.5" thickBot="1" x14ac:dyDescent="0.3">
      <c r="A247" s="38"/>
      <c r="B247" s="13" t="s">
        <v>188</v>
      </c>
      <c r="C247" s="12">
        <f>SUM(C246)</f>
        <v>0</v>
      </c>
      <c r="D247" s="12">
        <f>SUM(D245:D246)</f>
        <v>0</v>
      </c>
      <c r="E247" s="12">
        <f>D247-C247</f>
        <v>0</v>
      </c>
      <c r="F247" s="11"/>
    </row>
    <row r="248" spans="1:6" ht="15.75" x14ac:dyDescent="0.25">
      <c r="A248" s="26" t="s">
        <v>187</v>
      </c>
      <c r="B248" s="25" t="s">
        <v>186</v>
      </c>
      <c r="C248" s="24"/>
      <c r="D248" s="24"/>
      <c r="E248" s="24"/>
      <c r="F248" s="23"/>
    </row>
    <row r="249" spans="1:6" ht="15.75" x14ac:dyDescent="0.25">
      <c r="A249" s="37" t="s">
        <v>185</v>
      </c>
      <c r="B249" s="36" t="s">
        <v>184</v>
      </c>
      <c r="C249" s="16"/>
      <c r="D249" s="16"/>
      <c r="E249" s="16">
        <f>D249-C249</f>
        <v>0</v>
      </c>
      <c r="F249" s="19"/>
    </row>
    <row r="250" spans="1:6" ht="15.75" x14ac:dyDescent="0.25">
      <c r="A250" s="37" t="s">
        <v>183</v>
      </c>
      <c r="B250" s="36" t="s">
        <v>182</v>
      </c>
      <c r="C250" s="16"/>
      <c r="D250" s="16"/>
      <c r="E250" s="16">
        <f>D250-C250</f>
        <v>0</v>
      </c>
      <c r="F250" s="19"/>
    </row>
    <row r="251" spans="1:6" ht="16.5" thickBot="1" x14ac:dyDescent="0.3">
      <c r="A251" s="35" t="s">
        <v>181</v>
      </c>
      <c r="B251" s="34" t="s">
        <v>180</v>
      </c>
      <c r="C251" s="33"/>
      <c r="D251" s="16"/>
      <c r="E251" s="16">
        <f>D251-C251</f>
        <v>0</v>
      </c>
      <c r="F251" s="15"/>
    </row>
    <row r="252" spans="1:6" ht="16.5" thickBot="1" x14ac:dyDescent="0.3">
      <c r="A252" s="38"/>
      <c r="B252" s="13" t="s">
        <v>179</v>
      </c>
      <c r="C252" s="12">
        <f>SUM(C249:C251)</f>
        <v>0</v>
      </c>
      <c r="D252" s="12">
        <f>SUM(D249:D251)</f>
        <v>0</v>
      </c>
      <c r="E252" s="12">
        <f>D252-C252</f>
        <v>0</v>
      </c>
      <c r="F252" s="11"/>
    </row>
    <row r="253" spans="1:6" ht="16.5" thickBot="1" x14ac:dyDescent="0.3">
      <c r="A253" s="41"/>
      <c r="B253" s="9" t="s">
        <v>178</v>
      </c>
      <c r="C253" s="8">
        <f>SUM(C252,C247,C244,C238,C231,C227,C218,C208)</f>
        <v>0</v>
      </c>
      <c r="D253" s="8">
        <f>SUM(D252,D247,D244,D238,D231,D227,D218,D208)</f>
        <v>0</v>
      </c>
      <c r="E253" s="8">
        <f>D253-C253</f>
        <v>0</v>
      </c>
      <c r="F253" s="7"/>
    </row>
    <row r="254" spans="1:6" ht="15.75" x14ac:dyDescent="0.25">
      <c r="A254" s="26" t="s">
        <v>177</v>
      </c>
      <c r="B254" s="25" t="s">
        <v>176</v>
      </c>
      <c r="C254" s="24"/>
      <c r="D254" s="24"/>
      <c r="E254" s="24"/>
      <c r="F254" s="23"/>
    </row>
    <row r="255" spans="1:6" ht="15.75" x14ac:dyDescent="0.25">
      <c r="A255" s="40" t="s">
        <v>175</v>
      </c>
      <c r="B255" s="39" t="s">
        <v>174</v>
      </c>
      <c r="C255" s="16"/>
      <c r="D255" s="16"/>
      <c r="E255" s="16"/>
      <c r="F255" s="19"/>
    </row>
    <row r="256" spans="1:6" ht="15.75" x14ac:dyDescent="0.25">
      <c r="A256" s="40" t="s">
        <v>173</v>
      </c>
      <c r="B256" s="39" t="s">
        <v>172</v>
      </c>
      <c r="C256" s="16"/>
      <c r="D256" s="16"/>
      <c r="E256" s="16"/>
      <c r="F256" s="19"/>
    </row>
    <row r="257" spans="1:6" ht="15.75" x14ac:dyDescent="0.25">
      <c r="A257" s="40" t="s">
        <v>171</v>
      </c>
      <c r="B257" s="39" t="s">
        <v>170</v>
      </c>
      <c r="C257" s="16"/>
      <c r="D257" s="16"/>
      <c r="E257" s="16"/>
      <c r="F257" s="19"/>
    </row>
    <row r="258" spans="1:6" ht="15.75" x14ac:dyDescent="0.25">
      <c r="A258" s="37" t="s">
        <v>169</v>
      </c>
      <c r="B258" s="36" t="s">
        <v>168</v>
      </c>
      <c r="C258" s="16"/>
      <c r="D258" s="16"/>
      <c r="E258" s="16">
        <f t="shared" ref="E258:E263" si="11">D258-C258</f>
        <v>0</v>
      </c>
      <c r="F258" s="19"/>
    </row>
    <row r="259" spans="1:6" ht="15.75" x14ac:dyDescent="0.25">
      <c r="A259" s="37" t="s">
        <v>167</v>
      </c>
      <c r="B259" s="36" t="s">
        <v>166</v>
      </c>
      <c r="C259" s="16"/>
      <c r="D259" s="16"/>
      <c r="E259" s="16">
        <f t="shared" si="11"/>
        <v>0</v>
      </c>
      <c r="F259" s="19"/>
    </row>
    <row r="260" spans="1:6" ht="15.75" x14ac:dyDescent="0.25">
      <c r="A260" s="37" t="s">
        <v>165</v>
      </c>
      <c r="B260" s="36" t="s">
        <v>164</v>
      </c>
      <c r="C260" s="16"/>
      <c r="D260" s="16"/>
      <c r="E260" s="16">
        <f t="shared" si="11"/>
        <v>0</v>
      </c>
      <c r="F260" s="19"/>
    </row>
    <row r="261" spans="1:6" ht="15.75" x14ac:dyDescent="0.25">
      <c r="A261" s="37" t="s">
        <v>163</v>
      </c>
      <c r="B261" s="36" t="s">
        <v>162</v>
      </c>
      <c r="C261" s="16"/>
      <c r="D261" s="16"/>
      <c r="E261" s="16">
        <f t="shared" si="11"/>
        <v>0</v>
      </c>
      <c r="F261" s="19"/>
    </row>
    <row r="262" spans="1:6" ht="15.75" x14ac:dyDescent="0.25">
      <c r="A262" s="44" t="s">
        <v>161</v>
      </c>
      <c r="B262" s="43" t="s">
        <v>160</v>
      </c>
      <c r="C262" s="16"/>
      <c r="D262" s="16"/>
      <c r="E262" s="16">
        <f t="shared" si="11"/>
        <v>0</v>
      </c>
      <c r="F262" s="19"/>
    </row>
    <row r="263" spans="1:6" ht="15.75" x14ac:dyDescent="0.25">
      <c r="A263" s="37" t="s">
        <v>159</v>
      </c>
      <c r="B263" s="36" t="s">
        <v>158</v>
      </c>
      <c r="C263" s="16"/>
      <c r="D263" s="16"/>
      <c r="E263" s="16">
        <f t="shared" si="11"/>
        <v>0</v>
      </c>
      <c r="F263" s="19"/>
    </row>
    <row r="264" spans="1:6" ht="15.75" x14ac:dyDescent="0.25">
      <c r="A264" s="40" t="s">
        <v>157</v>
      </c>
      <c r="B264" s="39" t="s">
        <v>156</v>
      </c>
      <c r="C264" s="16"/>
      <c r="D264" s="16"/>
      <c r="E264" s="16"/>
      <c r="F264" s="19"/>
    </row>
    <row r="265" spans="1:6" ht="15.75" x14ac:dyDescent="0.25">
      <c r="A265" s="37" t="s">
        <v>155</v>
      </c>
      <c r="B265" s="36" t="s">
        <v>154</v>
      </c>
      <c r="C265" s="16"/>
      <c r="D265" s="16"/>
      <c r="E265" s="16">
        <f>D265-C265</f>
        <v>0</v>
      </c>
      <c r="F265" s="19"/>
    </row>
    <row r="266" spans="1:6" ht="16.5" thickBot="1" x14ac:dyDescent="0.3">
      <c r="A266" s="35" t="s">
        <v>153</v>
      </c>
      <c r="B266" s="34" t="s">
        <v>152</v>
      </c>
      <c r="C266" s="33"/>
      <c r="D266" s="16"/>
      <c r="E266" s="16">
        <f>D266-C266</f>
        <v>0</v>
      </c>
      <c r="F266" s="15"/>
    </row>
    <row r="267" spans="1:6" ht="16.5" thickBot="1" x14ac:dyDescent="0.3">
      <c r="A267" s="38"/>
      <c r="B267" s="13" t="s">
        <v>151</v>
      </c>
      <c r="C267" s="12">
        <f>SUM(C257:C266)</f>
        <v>0</v>
      </c>
      <c r="D267" s="12">
        <f>SUM(D258:D266)</f>
        <v>0</v>
      </c>
      <c r="E267" s="12">
        <f>D267-C267</f>
        <v>0</v>
      </c>
      <c r="F267" s="11"/>
    </row>
    <row r="268" spans="1:6" ht="15.75" x14ac:dyDescent="0.25">
      <c r="A268" s="26" t="s">
        <v>150</v>
      </c>
      <c r="B268" s="25" t="s">
        <v>149</v>
      </c>
      <c r="C268" s="24"/>
      <c r="D268" s="24"/>
      <c r="E268" s="24"/>
      <c r="F268" s="23"/>
    </row>
    <row r="269" spans="1:6" ht="15.75" x14ac:dyDescent="0.25">
      <c r="A269" s="40" t="s">
        <v>148</v>
      </c>
      <c r="B269" s="39" t="s">
        <v>147</v>
      </c>
      <c r="C269" s="16"/>
      <c r="D269" s="16"/>
      <c r="E269" s="16"/>
      <c r="F269" s="19"/>
    </row>
    <row r="270" spans="1:6" ht="15.75" x14ac:dyDescent="0.25">
      <c r="A270" s="37" t="s">
        <v>146</v>
      </c>
      <c r="B270" s="36" t="s">
        <v>145</v>
      </c>
      <c r="C270" s="16"/>
      <c r="D270" s="16"/>
      <c r="E270" s="16">
        <f>D270-C270</f>
        <v>0</v>
      </c>
      <c r="F270" s="19"/>
    </row>
    <row r="271" spans="1:6" ht="15.75" x14ac:dyDescent="0.25">
      <c r="A271" s="40" t="s">
        <v>144</v>
      </c>
      <c r="B271" s="39" t="s">
        <v>143</v>
      </c>
      <c r="C271" s="16"/>
      <c r="D271" s="16"/>
      <c r="E271" s="16"/>
      <c r="F271" s="19"/>
    </row>
    <row r="272" spans="1:6" ht="15.75" x14ac:dyDescent="0.25">
      <c r="A272" s="37" t="s">
        <v>142</v>
      </c>
      <c r="B272" s="36" t="s">
        <v>141</v>
      </c>
      <c r="C272" s="16"/>
      <c r="D272" s="16"/>
      <c r="E272" s="16">
        <f t="shared" ref="E272:E277" si="12">D272-C272</f>
        <v>0</v>
      </c>
      <c r="F272" s="19"/>
    </row>
    <row r="273" spans="1:6" ht="15.75" x14ac:dyDescent="0.25">
      <c r="A273" s="37" t="s">
        <v>140</v>
      </c>
      <c r="B273" s="36" t="s">
        <v>139</v>
      </c>
      <c r="C273" s="16"/>
      <c r="D273" s="16"/>
      <c r="E273" s="16">
        <f t="shared" si="12"/>
        <v>0</v>
      </c>
      <c r="F273" s="19"/>
    </row>
    <row r="274" spans="1:6" ht="15.75" x14ac:dyDescent="0.25">
      <c r="A274" s="37" t="s">
        <v>138</v>
      </c>
      <c r="B274" s="36" t="s">
        <v>137</v>
      </c>
      <c r="C274" s="16"/>
      <c r="D274" s="16"/>
      <c r="E274" s="16">
        <f t="shared" si="12"/>
        <v>0</v>
      </c>
      <c r="F274" s="19"/>
    </row>
    <row r="275" spans="1:6" ht="15.75" x14ac:dyDescent="0.25">
      <c r="A275" s="37" t="s">
        <v>136</v>
      </c>
      <c r="B275" s="36" t="s">
        <v>135</v>
      </c>
      <c r="C275" s="16"/>
      <c r="D275" s="16"/>
      <c r="E275" s="16">
        <f t="shared" si="12"/>
        <v>0</v>
      </c>
      <c r="F275" s="19"/>
    </row>
    <row r="276" spans="1:6" ht="16.5" thickBot="1" x14ac:dyDescent="0.3">
      <c r="A276" s="35" t="s">
        <v>134</v>
      </c>
      <c r="B276" s="34" t="s">
        <v>133</v>
      </c>
      <c r="C276" s="33"/>
      <c r="D276" s="16"/>
      <c r="E276" s="16">
        <f t="shared" si="12"/>
        <v>0</v>
      </c>
      <c r="F276" s="15"/>
    </row>
    <row r="277" spans="1:6" ht="16.5" thickBot="1" x14ac:dyDescent="0.3">
      <c r="A277" s="38"/>
      <c r="B277" s="13" t="s">
        <v>132</v>
      </c>
      <c r="C277" s="12">
        <f>SUM(C270:C276)</f>
        <v>0</v>
      </c>
      <c r="D277" s="12">
        <f>SUM(D270:D276)</f>
        <v>0</v>
      </c>
      <c r="E277" s="12">
        <f t="shared" si="12"/>
        <v>0</v>
      </c>
      <c r="F277" s="11"/>
    </row>
    <row r="278" spans="1:6" ht="15.75" x14ac:dyDescent="0.25">
      <c r="A278" s="26" t="s">
        <v>131</v>
      </c>
      <c r="B278" s="25" t="s">
        <v>130</v>
      </c>
      <c r="C278" s="24"/>
      <c r="D278" s="24"/>
      <c r="E278" s="24"/>
      <c r="F278" s="23"/>
    </row>
    <row r="279" spans="1:6" ht="15.75" x14ac:dyDescent="0.25">
      <c r="A279" s="40" t="s">
        <v>129</v>
      </c>
      <c r="B279" s="42" t="s">
        <v>128</v>
      </c>
      <c r="C279" s="16"/>
      <c r="D279" s="16"/>
      <c r="E279" s="16"/>
      <c r="F279" s="19"/>
    </row>
    <row r="280" spans="1:6" ht="15.75" x14ac:dyDescent="0.25">
      <c r="A280" s="37" t="s">
        <v>127</v>
      </c>
      <c r="B280" s="36" t="s">
        <v>126</v>
      </c>
      <c r="C280" s="16"/>
      <c r="D280" s="16"/>
      <c r="E280" s="16">
        <f>D280-C280</f>
        <v>0</v>
      </c>
      <c r="F280" s="19"/>
    </row>
    <row r="281" spans="1:6" ht="15.75" x14ac:dyDescent="0.25">
      <c r="A281" s="37" t="s">
        <v>125</v>
      </c>
      <c r="B281" s="36" t="s">
        <v>124</v>
      </c>
      <c r="C281" s="16"/>
      <c r="D281" s="16"/>
      <c r="E281" s="16">
        <f>D281-C281</f>
        <v>0</v>
      </c>
      <c r="F281" s="19"/>
    </row>
    <row r="282" spans="1:6" ht="32.25" customHeight="1" x14ac:dyDescent="0.25">
      <c r="A282" s="40" t="s">
        <v>123</v>
      </c>
      <c r="B282" s="42" t="s">
        <v>122</v>
      </c>
      <c r="C282" s="16"/>
      <c r="D282" s="16"/>
      <c r="E282" s="16"/>
      <c r="F282" s="19"/>
    </row>
    <row r="283" spans="1:6" ht="15.75" x14ac:dyDescent="0.25">
      <c r="A283" s="37" t="s">
        <v>121</v>
      </c>
      <c r="B283" s="36" t="s">
        <v>120</v>
      </c>
      <c r="C283" s="16"/>
      <c r="D283" s="16"/>
      <c r="E283" s="16">
        <f>D283-C283</f>
        <v>0</v>
      </c>
      <c r="F283" s="19"/>
    </row>
    <row r="284" spans="1:6" ht="16.5" thickBot="1" x14ac:dyDescent="0.3">
      <c r="A284" s="35" t="s">
        <v>119</v>
      </c>
      <c r="B284" s="34" t="s">
        <v>118</v>
      </c>
      <c r="C284" s="33"/>
      <c r="D284" s="16"/>
      <c r="E284" s="16">
        <f>D284-C284</f>
        <v>0</v>
      </c>
      <c r="F284" s="15"/>
    </row>
    <row r="285" spans="1:6" ht="16.5" thickBot="1" x14ac:dyDescent="0.3">
      <c r="A285" s="38"/>
      <c r="B285" s="13" t="s">
        <v>117</v>
      </c>
      <c r="C285" s="12">
        <f>SUM(C279:C284)</f>
        <v>0</v>
      </c>
      <c r="D285" s="12">
        <f>SUM(D280:D284)</f>
        <v>0</v>
      </c>
      <c r="E285" s="12">
        <f>D285-C285</f>
        <v>0</v>
      </c>
      <c r="F285" s="11"/>
    </row>
    <row r="286" spans="1:6" ht="15.75" x14ac:dyDescent="0.25">
      <c r="A286" s="26" t="s">
        <v>116</v>
      </c>
      <c r="B286" s="25" t="s">
        <v>115</v>
      </c>
      <c r="C286" s="24"/>
      <c r="D286" s="24"/>
      <c r="E286" s="24"/>
      <c r="F286" s="23"/>
    </row>
    <row r="287" spans="1:6" ht="15.75" x14ac:dyDescent="0.25">
      <c r="A287" s="40" t="s">
        <v>114</v>
      </c>
      <c r="B287" s="39" t="s">
        <v>113</v>
      </c>
      <c r="C287" s="16"/>
      <c r="D287" s="16"/>
      <c r="E287" s="16"/>
      <c r="F287" s="19"/>
    </row>
    <row r="288" spans="1:6" ht="15.75" x14ac:dyDescent="0.25">
      <c r="A288" s="37" t="s">
        <v>112</v>
      </c>
      <c r="B288" s="36" t="s">
        <v>111</v>
      </c>
      <c r="C288" s="16"/>
      <c r="D288" s="16"/>
      <c r="E288" s="16">
        <f>D288-C288</f>
        <v>0</v>
      </c>
      <c r="F288" s="19"/>
    </row>
    <row r="289" spans="1:6" ht="15.75" x14ac:dyDescent="0.25">
      <c r="A289" s="40" t="s">
        <v>110</v>
      </c>
      <c r="B289" s="39" t="s">
        <v>109</v>
      </c>
      <c r="C289" s="16"/>
      <c r="D289" s="16"/>
      <c r="E289" s="16"/>
      <c r="F289" s="19"/>
    </row>
    <row r="290" spans="1:6" ht="15.75" x14ac:dyDescent="0.25">
      <c r="A290" s="37" t="s">
        <v>108</v>
      </c>
      <c r="B290" s="36" t="s">
        <v>107</v>
      </c>
      <c r="C290" s="16"/>
      <c r="D290" s="16"/>
      <c r="E290" s="16">
        <f>D290-C290</f>
        <v>0</v>
      </c>
      <c r="F290" s="19"/>
    </row>
    <row r="291" spans="1:6" ht="15.75" x14ac:dyDescent="0.25">
      <c r="A291" s="37" t="s">
        <v>106</v>
      </c>
      <c r="B291" s="36" t="s">
        <v>105</v>
      </c>
      <c r="C291" s="16"/>
      <c r="D291" s="16"/>
      <c r="E291" s="16">
        <f>D291-C291</f>
        <v>0</v>
      </c>
      <c r="F291" s="19"/>
    </row>
    <row r="292" spans="1:6" ht="15.75" x14ac:dyDescent="0.25">
      <c r="A292" s="40" t="s">
        <v>104</v>
      </c>
      <c r="B292" s="39" t="s">
        <v>103</v>
      </c>
      <c r="C292" s="16"/>
      <c r="D292" s="16"/>
      <c r="E292" s="16"/>
      <c r="F292" s="19"/>
    </row>
    <row r="293" spans="1:6" ht="15.75" x14ac:dyDescent="0.25">
      <c r="A293" s="37" t="s">
        <v>102</v>
      </c>
      <c r="B293" s="36" t="s">
        <v>101</v>
      </c>
      <c r="C293" s="16"/>
      <c r="D293" s="16"/>
      <c r="E293" s="16">
        <f>D293-C293</f>
        <v>0</v>
      </c>
      <c r="F293" s="19"/>
    </row>
    <row r="294" spans="1:6" ht="15.75" x14ac:dyDescent="0.25">
      <c r="A294" s="37" t="s">
        <v>100</v>
      </c>
      <c r="B294" s="36" t="s">
        <v>99</v>
      </c>
      <c r="C294" s="16"/>
      <c r="D294" s="16"/>
      <c r="E294" s="16">
        <f>D294-C294</f>
        <v>0</v>
      </c>
      <c r="F294" s="19"/>
    </row>
    <row r="295" spans="1:6" ht="15.75" x14ac:dyDescent="0.25">
      <c r="A295" s="37" t="s">
        <v>98</v>
      </c>
      <c r="B295" s="36" t="s">
        <v>97</v>
      </c>
      <c r="C295" s="16"/>
      <c r="D295" s="16"/>
      <c r="E295" s="16">
        <f>D295-C295</f>
        <v>0</v>
      </c>
      <c r="F295" s="19"/>
    </row>
    <row r="296" spans="1:6" ht="15.75" x14ac:dyDescent="0.25">
      <c r="A296" s="40" t="s">
        <v>96</v>
      </c>
      <c r="B296" s="39" t="s">
        <v>95</v>
      </c>
      <c r="C296" s="16"/>
      <c r="D296" s="16"/>
      <c r="E296" s="16"/>
      <c r="F296" s="19"/>
    </row>
    <row r="297" spans="1:6" ht="15.75" x14ac:dyDescent="0.25">
      <c r="A297" s="44" t="s">
        <v>94</v>
      </c>
      <c r="B297" s="43" t="s">
        <v>93</v>
      </c>
      <c r="C297" s="16"/>
      <c r="D297" s="16"/>
      <c r="E297" s="16">
        <f>D297-C297</f>
        <v>0</v>
      </c>
      <c r="F297" s="19"/>
    </row>
    <row r="298" spans="1:6" ht="15.75" x14ac:dyDescent="0.25">
      <c r="A298" s="40" t="s">
        <v>92</v>
      </c>
      <c r="B298" s="39" t="s">
        <v>91</v>
      </c>
      <c r="C298" s="16"/>
      <c r="D298" s="16"/>
      <c r="E298" s="16"/>
      <c r="F298" s="19"/>
    </row>
    <row r="299" spans="1:6" ht="15.75" x14ac:dyDescent="0.25">
      <c r="A299" s="37" t="s">
        <v>90</v>
      </c>
      <c r="B299" s="36" t="s">
        <v>89</v>
      </c>
      <c r="C299" s="16"/>
      <c r="D299" s="16"/>
      <c r="E299" s="16">
        <f>D299-C299</f>
        <v>0</v>
      </c>
      <c r="F299" s="19"/>
    </row>
    <row r="300" spans="1:6" ht="15.75" x14ac:dyDescent="0.25">
      <c r="A300" s="40" t="s">
        <v>88</v>
      </c>
      <c r="B300" s="39" t="s">
        <v>87</v>
      </c>
      <c r="C300" s="16"/>
      <c r="D300" s="16"/>
      <c r="E300" s="16"/>
      <c r="F300" s="19"/>
    </row>
    <row r="301" spans="1:6" ht="15.75" x14ac:dyDescent="0.25">
      <c r="A301" s="37" t="s">
        <v>86</v>
      </c>
      <c r="B301" s="36" t="s">
        <v>85</v>
      </c>
      <c r="C301" s="16"/>
      <c r="D301" s="16"/>
      <c r="E301" s="16">
        <f>D301-C301</f>
        <v>0</v>
      </c>
      <c r="F301" s="19"/>
    </row>
    <row r="302" spans="1:6" ht="15.75" x14ac:dyDescent="0.25">
      <c r="A302" s="37" t="s">
        <v>84</v>
      </c>
      <c r="B302" s="36" t="s">
        <v>83</v>
      </c>
      <c r="C302" s="16"/>
      <c r="D302" s="16"/>
      <c r="E302" s="16">
        <f>D302-C302</f>
        <v>0</v>
      </c>
      <c r="F302" s="19"/>
    </row>
    <row r="303" spans="1:6" ht="15.75" x14ac:dyDescent="0.25">
      <c r="A303" s="37" t="s">
        <v>82</v>
      </c>
      <c r="B303" s="36" t="s">
        <v>81</v>
      </c>
      <c r="C303" s="16"/>
      <c r="D303" s="16"/>
      <c r="E303" s="16">
        <f>D303-C303</f>
        <v>0</v>
      </c>
      <c r="F303" s="19"/>
    </row>
    <row r="304" spans="1:6" ht="30.75" customHeight="1" x14ac:dyDescent="0.25">
      <c r="A304" s="40" t="s">
        <v>80</v>
      </c>
      <c r="B304" s="42" t="s">
        <v>79</v>
      </c>
      <c r="C304" s="16"/>
      <c r="D304" s="16"/>
      <c r="E304" s="16"/>
      <c r="F304" s="19"/>
    </row>
    <row r="305" spans="1:6" ht="15.75" x14ac:dyDescent="0.25">
      <c r="A305" s="37" t="s">
        <v>78</v>
      </c>
      <c r="B305" s="36" t="s">
        <v>77</v>
      </c>
      <c r="C305" s="16"/>
      <c r="D305" s="16"/>
      <c r="E305" s="16">
        <f>D305-C305</f>
        <v>0</v>
      </c>
      <c r="F305" s="19"/>
    </row>
    <row r="306" spans="1:6" ht="15.75" x14ac:dyDescent="0.25">
      <c r="A306" s="37" t="s">
        <v>76</v>
      </c>
      <c r="B306" s="36" t="s">
        <v>75</v>
      </c>
      <c r="C306" s="16"/>
      <c r="D306" s="16"/>
      <c r="E306" s="16">
        <f>D306-C306</f>
        <v>0</v>
      </c>
      <c r="F306" s="19"/>
    </row>
    <row r="307" spans="1:6" ht="16.5" thickBot="1" x14ac:dyDescent="0.3">
      <c r="A307" s="35" t="s">
        <v>74</v>
      </c>
      <c r="B307" s="34" t="s">
        <v>73</v>
      </c>
      <c r="C307" s="33"/>
      <c r="D307" s="16"/>
      <c r="E307" s="16">
        <f>D307-C307</f>
        <v>0</v>
      </c>
      <c r="F307" s="15"/>
    </row>
    <row r="308" spans="1:6" ht="16.5" thickBot="1" x14ac:dyDescent="0.3">
      <c r="A308" s="38"/>
      <c r="B308" s="13" t="s">
        <v>72</v>
      </c>
      <c r="C308" s="12">
        <f>SUM(C286:C307)</f>
        <v>0</v>
      </c>
      <c r="D308" s="12">
        <f>SUM(D288:D307)</f>
        <v>0</v>
      </c>
      <c r="E308" s="12">
        <f>D308-C308</f>
        <v>0</v>
      </c>
      <c r="F308" s="11"/>
    </row>
    <row r="309" spans="1:6" ht="16.5" thickBot="1" x14ac:dyDescent="0.3">
      <c r="A309" s="41"/>
      <c r="B309" s="9" t="s">
        <v>71</v>
      </c>
      <c r="C309" s="8">
        <f>SUM(C308,C285,C277,C267)</f>
        <v>0</v>
      </c>
      <c r="D309" s="8">
        <f>SUM(D308,D285,D277,D267)</f>
        <v>0</v>
      </c>
      <c r="E309" s="8">
        <f>D309-C309</f>
        <v>0</v>
      </c>
      <c r="F309" s="7"/>
    </row>
    <row r="310" spans="1:6" ht="15.75" x14ac:dyDescent="0.25">
      <c r="A310" s="26" t="s">
        <v>70</v>
      </c>
      <c r="B310" s="25" t="s">
        <v>69</v>
      </c>
      <c r="C310" s="24"/>
      <c r="D310" s="24"/>
      <c r="E310" s="24"/>
      <c r="F310" s="23"/>
    </row>
    <row r="311" spans="1:6" ht="15.75" x14ac:dyDescent="0.25">
      <c r="A311" s="40" t="s">
        <v>68</v>
      </c>
      <c r="B311" s="39" t="s">
        <v>67</v>
      </c>
      <c r="C311" s="16"/>
      <c r="D311" s="16"/>
      <c r="E311" s="16"/>
      <c r="F311" s="19"/>
    </row>
    <row r="312" spans="1:6" ht="15.75" x14ac:dyDescent="0.25">
      <c r="A312" s="37" t="s">
        <v>66</v>
      </c>
      <c r="B312" s="36" t="s">
        <v>65</v>
      </c>
      <c r="C312" s="16"/>
      <c r="D312" s="16"/>
      <c r="E312" s="16">
        <f>D312-C312</f>
        <v>0</v>
      </c>
      <c r="F312" s="19"/>
    </row>
    <row r="313" spans="1:6" ht="16.5" thickBot="1" x14ac:dyDescent="0.3">
      <c r="A313" s="35" t="s">
        <v>64</v>
      </c>
      <c r="B313" s="34" t="s">
        <v>63</v>
      </c>
      <c r="C313" s="33"/>
      <c r="D313" s="16"/>
      <c r="E313" s="16">
        <f>D313-C313</f>
        <v>0</v>
      </c>
      <c r="F313" s="15"/>
    </row>
    <row r="314" spans="1:6" ht="16.5" thickBot="1" x14ac:dyDescent="0.3">
      <c r="A314" s="41"/>
      <c r="B314" s="9" t="s">
        <v>62</v>
      </c>
      <c r="C314" s="8">
        <f>SUM(C312:C313)</f>
        <v>0</v>
      </c>
      <c r="D314" s="8">
        <f>SUM(D312:D313)</f>
        <v>0</v>
      </c>
      <c r="E314" s="8">
        <f>D314-C314</f>
        <v>0</v>
      </c>
      <c r="F314" s="7"/>
    </row>
    <row r="315" spans="1:6" ht="15.75" x14ac:dyDescent="0.25">
      <c r="A315" s="26" t="s">
        <v>61</v>
      </c>
      <c r="B315" s="25" t="s">
        <v>60</v>
      </c>
      <c r="C315" s="24"/>
      <c r="D315" s="24"/>
      <c r="E315" s="24"/>
      <c r="F315" s="23"/>
    </row>
    <row r="316" spans="1:6" ht="15.75" x14ac:dyDescent="0.25">
      <c r="A316" s="40" t="s">
        <v>59</v>
      </c>
      <c r="B316" s="39" t="s">
        <v>58</v>
      </c>
      <c r="C316" s="16"/>
      <c r="D316" s="16"/>
      <c r="E316" s="16"/>
      <c r="F316" s="19"/>
    </row>
    <row r="317" spans="1:6" ht="15.75" x14ac:dyDescent="0.25">
      <c r="A317" s="37" t="s">
        <v>57</v>
      </c>
      <c r="B317" s="36" t="s">
        <v>56</v>
      </c>
      <c r="C317" s="16"/>
      <c r="D317" s="16"/>
      <c r="E317" s="16">
        <f t="shared" ref="E317:E328" si="13">D317-C317</f>
        <v>0</v>
      </c>
      <c r="F317" s="19"/>
    </row>
    <row r="318" spans="1:6" ht="15.75" x14ac:dyDescent="0.25">
      <c r="A318" s="37" t="s">
        <v>55</v>
      </c>
      <c r="B318" s="36" t="s">
        <v>54</v>
      </c>
      <c r="C318" s="16"/>
      <c r="D318" s="16"/>
      <c r="E318" s="16">
        <f t="shared" si="13"/>
        <v>0</v>
      </c>
      <c r="F318" s="19"/>
    </row>
    <row r="319" spans="1:6" ht="15.75" x14ac:dyDescent="0.25">
      <c r="A319" s="37" t="s">
        <v>53</v>
      </c>
      <c r="B319" s="36" t="s">
        <v>52</v>
      </c>
      <c r="C319" s="16"/>
      <c r="D319" s="16"/>
      <c r="E319" s="16">
        <f t="shared" si="13"/>
        <v>0</v>
      </c>
      <c r="F319" s="19"/>
    </row>
    <row r="320" spans="1:6" ht="15.75" x14ac:dyDescent="0.25">
      <c r="A320" s="37" t="s">
        <v>51</v>
      </c>
      <c r="B320" s="36" t="s">
        <v>50</v>
      </c>
      <c r="C320" s="16"/>
      <c r="D320" s="16"/>
      <c r="E320" s="16">
        <f t="shared" si="13"/>
        <v>0</v>
      </c>
      <c r="F320" s="19"/>
    </row>
    <row r="321" spans="1:6" ht="15.75" x14ac:dyDescent="0.25">
      <c r="A321" s="37" t="s">
        <v>49</v>
      </c>
      <c r="B321" s="36" t="s">
        <v>48</v>
      </c>
      <c r="C321" s="16"/>
      <c r="D321" s="16"/>
      <c r="E321" s="16">
        <f t="shared" si="13"/>
        <v>0</v>
      </c>
      <c r="F321" s="19"/>
    </row>
    <row r="322" spans="1:6" ht="15.75" x14ac:dyDescent="0.25">
      <c r="A322" s="37" t="s">
        <v>47</v>
      </c>
      <c r="B322" s="36" t="s">
        <v>46</v>
      </c>
      <c r="C322" s="16"/>
      <c r="D322" s="16"/>
      <c r="E322" s="16">
        <f t="shared" si="13"/>
        <v>0</v>
      </c>
      <c r="F322" s="19"/>
    </row>
    <row r="323" spans="1:6" ht="15.75" x14ac:dyDescent="0.25">
      <c r="A323" s="37" t="s">
        <v>45</v>
      </c>
      <c r="B323" s="36" t="s">
        <v>44</v>
      </c>
      <c r="C323" s="16"/>
      <c r="D323" s="16"/>
      <c r="E323" s="16">
        <f t="shared" si="13"/>
        <v>0</v>
      </c>
      <c r="F323" s="19"/>
    </row>
    <row r="324" spans="1:6" ht="15.75" x14ac:dyDescent="0.25">
      <c r="A324" s="37" t="s">
        <v>43</v>
      </c>
      <c r="B324" s="36" t="s">
        <v>42</v>
      </c>
      <c r="C324" s="16"/>
      <c r="D324" s="16"/>
      <c r="E324" s="16">
        <f t="shared" si="13"/>
        <v>0</v>
      </c>
      <c r="F324" s="19"/>
    </row>
    <row r="325" spans="1:6" ht="15.75" x14ac:dyDescent="0.25">
      <c r="A325" s="37" t="s">
        <v>41</v>
      </c>
      <c r="B325" s="36" t="s">
        <v>40</v>
      </c>
      <c r="C325" s="16"/>
      <c r="D325" s="16"/>
      <c r="E325" s="16">
        <f t="shared" si="13"/>
        <v>0</v>
      </c>
      <c r="F325" s="19"/>
    </row>
    <row r="326" spans="1:6" ht="15.75" x14ac:dyDescent="0.25">
      <c r="A326" s="37" t="s">
        <v>39</v>
      </c>
      <c r="B326" s="36" t="s">
        <v>38</v>
      </c>
      <c r="C326" s="16"/>
      <c r="D326" s="16"/>
      <c r="E326" s="16">
        <f t="shared" si="13"/>
        <v>0</v>
      </c>
      <c r="F326" s="19"/>
    </row>
    <row r="327" spans="1:6" ht="16.5" thickBot="1" x14ac:dyDescent="0.3">
      <c r="A327" s="35" t="s">
        <v>37</v>
      </c>
      <c r="B327" s="34" t="s">
        <v>36</v>
      </c>
      <c r="C327" s="33"/>
      <c r="D327" s="16"/>
      <c r="E327" s="16">
        <f t="shared" si="13"/>
        <v>0</v>
      </c>
      <c r="F327" s="15"/>
    </row>
    <row r="328" spans="1:6" ht="16.5" thickBot="1" x14ac:dyDescent="0.3">
      <c r="A328" s="38"/>
      <c r="B328" s="13" t="s">
        <v>35</v>
      </c>
      <c r="C328" s="12">
        <f>SUM(C315:C327)</f>
        <v>0</v>
      </c>
      <c r="D328" s="12">
        <f>SUM(D317:D327)</f>
        <v>0</v>
      </c>
      <c r="E328" s="12">
        <f t="shared" si="13"/>
        <v>0</v>
      </c>
      <c r="F328" s="11"/>
    </row>
    <row r="329" spans="1:6" ht="15.75" x14ac:dyDescent="0.25">
      <c r="A329" s="26" t="s">
        <v>34</v>
      </c>
      <c r="B329" s="25" t="s">
        <v>33</v>
      </c>
      <c r="C329" s="24"/>
      <c r="D329" s="24"/>
      <c r="E329" s="24"/>
      <c r="F329" s="23"/>
    </row>
    <row r="330" spans="1:6" ht="15.75" x14ac:dyDescent="0.25">
      <c r="A330" s="37" t="s">
        <v>32</v>
      </c>
      <c r="B330" s="36" t="s">
        <v>31</v>
      </c>
      <c r="C330" s="16"/>
      <c r="D330" s="16"/>
      <c r="E330" s="16">
        <f>D330-C330</f>
        <v>0</v>
      </c>
      <c r="F330" s="19"/>
    </row>
    <row r="331" spans="1:6" ht="16.5" thickBot="1" x14ac:dyDescent="0.3">
      <c r="A331" s="35" t="s">
        <v>30</v>
      </c>
      <c r="B331" s="34" t="s">
        <v>29</v>
      </c>
      <c r="C331" s="33"/>
      <c r="D331" s="16"/>
      <c r="E331" s="16">
        <f>D331-C331</f>
        <v>0</v>
      </c>
      <c r="F331" s="15"/>
    </row>
    <row r="332" spans="1:6" ht="16.5" thickBot="1" x14ac:dyDescent="0.3">
      <c r="A332" s="32"/>
      <c r="B332" s="13" t="s">
        <v>28</v>
      </c>
      <c r="C332" s="12">
        <f>SUM(C330:C331)</f>
        <v>0</v>
      </c>
      <c r="D332" s="12">
        <f>SUM(D330:D331)</f>
        <v>0</v>
      </c>
      <c r="E332" s="12">
        <f>D332-C332</f>
        <v>0</v>
      </c>
      <c r="F332" s="11"/>
    </row>
    <row r="333" spans="1:6" ht="16.5" thickBot="1" x14ac:dyDescent="0.3">
      <c r="A333" s="31"/>
      <c r="B333" s="9" t="s">
        <v>27</v>
      </c>
      <c r="C333" s="8">
        <f>SUM(C332,C328)</f>
        <v>0</v>
      </c>
      <c r="D333" s="8">
        <f>SUM(D332,D328)</f>
        <v>0</v>
      </c>
      <c r="E333" s="8">
        <f>D333-C333</f>
        <v>0</v>
      </c>
      <c r="F333" s="7"/>
    </row>
    <row r="334" spans="1:6" ht="16.5" thickBot="1" x14ac:dyDescent="0.3">
      <c r="A334" s="30"/>
      <c r="B334" s="29" t="s">
        <v>26</v>
      </c>
      <c r="C334" s="28">
        <f>SUM(C333,C314,C309,C253,C198)</f>
        <v>0</v>
      </c>
      <c r="D334" s="28">
        <f>SUM(D333,D314,D309,D253,D198)</f>
        <v>0</v>
      </c>
      <c r="E334" s="28">
        <f>D334-C334</f>
        <v>0</v>
      </c>
      <c r="F334" s="27"/>
    </row>
    <row r="335" spans="1:6" ht="15.75" x14ac:dyDescent="0.25">
      <c r="A335" s="26" t="s">
        <v>25</v>
      </c>
      <c r="B335" s="25" t="s">
        <v>24</v>
      </c>
      <c r="C335" s="24"/>
      <c r="D335" s="24"/>
      <c r="E335" s="24"/>
      <c r="F335" s="23"/>
    </row>
    <row r="336" spans="1:6" ht="15.75" x14ac:dyDescent="0.25">
      <c r="A336" s="21" t="s">
        <v>23</v>
      </c>
      <c r="B336" s="22" t="s">
        <v>22</v>
      </c>
      <c r="C336" s="16"/>
      <c r="D336" s="16"/>
      <c r="E336" s="16">
        <f t="shared" ref="E336:E348" si="14">D336-C336</f>
        <v>0</v>
      </c>
      <c r="F336" s="19"/>
    </row>
    <row r="337" spans="1:6" ht="15.75" x14ac:dyDescent="0.25">
      <c r="A337" s="21" t="s">
        <v>21</v>
      </c>
      <c r="B337" s="22" t="s">
        <v>20</v>
      </c>
      <c r="C337" s="16"/>
      <c r="D337" s="16"/>
      <c r="E337" s="16">
        <f t="shared" si="14"/>
        <v>0</v>
      </c>
      <c r="F337" s="19"/>
    </row>
    <row r="338" spans="1:6" ht="15.75" x14ac:dyDescent="0.25">
      <c r="A338" s="21" t="s">
        <v>19</v>
      </c>
      <c r="B338" s="22" t="s">
        <v>18</v>
      </c>
      <c r="C338" s="16"/>
      <c r="D338" s="16"/>
      <c r="E338" s="16">
        <f t="shared" si="14"/>
        <v>0</v>
      </c>
      <c r="F338" s="19"/>
    </row>
    <row r="339" spans="1:6" ht="15.75" x14ac:dyDescent="0.25">
      <c r="A339" s="21" t="s">
        <v>17</v>
      </c>
      <c r="B339" s="22" t="s">
        <v>16</v>
      </c>
      <c r="C339" s="16"/>
      <c r="D339" s="16"/>
      <c r="E339" s="16">
        <f t="shared" si="14"/>
        <v>0</v>
      </c>
      <c r="F339" s="19"/>
    </row>
    <row r="340" spans="1:6" ht="15.75" x14ac:dyDescent="0.25">
      <c r="A340" s="21" t="s">
        <v>15</v>
      </c>
      <c r="B340" s="22" t="s">
        <v>14</v>
      </c>
      <c r="C340" s="16"/>
      <c r="D340" s="16"/>
      <c r="E340" s="16">
        <f t="shared" si="14"/>
        <v>0</v>
      </c>
      <c r="F340" s="19"/>
    </row>
    <row r="341" spans="1:6" ht="15.75" x14ac:dyDescent="0.25">
      <c r="A341" s="21" t="s">
        <v>13</v>
      </c>
      <c r="B341" s="22" t="s">
        <v>12</v>
      </c>
      <c r="C341" s="16"/>
      <c r="D341" s="16"/>
      <c r="E341" s="16">
        <f t="shared" si="14"/>
        <v>0</v>
      </c>
      <c r="F341" s="19"/>
    </row>
    <row r="342" spans="1:6" ht="15.75" x14ac:dyDescent="0.25">
      <c r="A342" s="21" t="s">
        <v>11</v>
      </c>
      <c r="B342" s="22" t="s">
        <v>10</v>
      </c>
      <c r="C342" s="16"/>
      <c r="D342" s="16"/>
      <c r="E342" s="16">
        <f t="shared" si="14"/>
        <v>0</v>
      </c>
      <c r="F342" s="19"/>
    </row>
    <row r="343" spans="1:6" ht="15.75" x14ac:dyDescent="0.25">
      <c r="A343" s="21" t="s">
        <v>9</v>
      </c>
      <c r="B343" s="22" t="s">
        <v>8</v>
      </c>
      <c r="C343" s="16"/>
      <c r="D343" s="16"/>
      <c r="E343" s="16">
        <f t="shared" si="14"/>
        <v>0</v>
      </c>
      <c r="F343" s="19"/>
    </row>
    <row r="344" spans="1:6" ht="15.75" x14ac:dyDescent="0.25">
      <c r="A344" s="21" t="s">
        <v>7</v>
      </c>
      <c r="B344" s="20" t="s">
        <v>6</v>
      </c>
      <c r="C344" s="16"/>
      <c r="D344" s="16"/>
      <c r="E344" s="16">
        <f t="shared" si="14"/>
        <v>0</v>
      </c>
      <c r="F344" s="19"/>
    </row>
    <row r="345" spans="1:6" ht="16.5" thickBot="1" x14ac:dyDescent="0.3">
      <c r="A345" s="18" t="s">
        <v>5</v>
      </c>
      <c r="B345" s="17" t="s">
        <v>4</v>
      </c>
      <c r="C345" s="16"/>
      <c r="D345" s="16"/>
      <c r="E345" s="16">
        <f t="shared" si="14"/>
        <v>0</v>
      </c>
      <c r="F345" s="15"/>
    </row>
    <row r="346" spans="1:6" ht="16.5" thickBot="1" x14ac:dyDescent="0.3">
      <c r="A346" s="14"/>
      <c r="B346" s="13" t="s">
        <v>3</v>
      </c>
      <c r="C346" s="12">
        <f>SUM(C335:C345)</f>
        <v>0</v>
      </c>
      <c r="D346" s="12">
        <f>SUM(D336:D345)</f>
        <v>0</v>
      </c>
      <c r="E346" s="12">
        <f t="shared" si="14"/>
        <v>0</v>
      </c>
      <c r="F346" s="11"/>
    </row>
    <row r="347" spans="1:6" ht="16.5" thickBot="1" x14ac:dyDescent="0.3">
      <c r="A347" s="10"/>
      <c r="B347" s="9" t="s">
        <v>2</v>
      </c>
      <c r="C347" s="8">
        <f>SUM(C346)</f>
        <v>0</v>
      </c>
      <c r="D347" s="8">
        <f>SUM(D346)</f>
        <v>0</v>
      </c>
      <c r="E347" s="8">
        <f t="shared" si="14"/>
        <v>0</v>
      </c>
      <c r="F347" s="7"/>
    </row>
    <row r="348" spans="1:6" ht="16.5" thickBot="1" x14ac:dyDescent="0.3">
      <c r="A348" s="6"/>
      <c r="B348" s="5" t="s">
        <v>1</v>
      </c>
      <c r="C348" s="4">
        <f>SUM(C347,C334)</f>
        <v>0</v>
      </c>
      <c r="D348" s="4">
        <f>SUM(D347,D334)</f>
        <v>0</v>
      </c>
      <c r="E348" s="4">
        <f t="shared" si="14"/>
        <v>0</v>
      </c>
      <c r="F348" s="3"/>
    </row>
    <row r="349" spans="1:6" ht="16.5" thickBot="1" x14ac:dyDescent="0.3">
      <c r="D349" s="2" t="s">
        <v>0</v>
      </c>
      <c r="E349" s="508">
        <f>D188-D348</f>
        <v>24986352</v>
      </c>
      <c r="F349" s="509"/>
    </row>
  </sheetData>
  <sheetProtection selectLockedCells="1" selectUnlockedCells="1"/>
  <mergeCells count="19">
    <mergeCell ref="A1:F1"/>
    <mergeCell ref="A2:F2"/>
    <mergeCell ref="A3:F3"/>
    <mergeCell ref="A4:F4"/>
    <mergeCell ref="A5:F5"/>
    <mergeCell ref="E349:F349"/>
    <mergeCell ref="F7:F8"/>
    <mergeCell ref="A192:A193"/>
    <mergeCell ref="B192:B193"/>
    <mergeCell ref="C192:C193"/>
    <mergeCell ref="D192:D193"/>
    <mergeCell ref="E192:E193"/>
    <mergeCell ref="F192:F193"/>
    <mergeCell ref="A7:A8"/>
    <mergeCell ref="B7:B8"/>
    <mergeCell ref="C7:C8"/>
    <mergeCell ref="D7:D8"/>
    <mergeCell ref="E7:E8"/>
    <mergeCell ref="E189:F189"/>
  </mergeCells>
  <pageMargins left="0.25" right="0.25" top="0.75" bottom="0.75" header="0.3" footer="0.3"/>
  <pageSetup paperSize="256" scale="65" orientation="landscape" horizontalDpi="0" verticalDpi="0" r:id="rId1"/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autoPict="0" r:id="rId5">
            <anchor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shapeId="1025" r:id="rId4"/>
      </mc:Fallback>
    </mc:AlternateContent>
    <mc:AlternateContent xmlns:mc="http://schemas.openxmlformats.org/markup-compatibility/2006">
      <mc:Choice Requires="x14">
        <oleObject shapeId="1026" r:id="rId6">
          <objectPr defaultSize="0" autoPict="0" r:id="rId5">
            <anchor moveWithCells="1" sizeWithCells="1">
              <from>
                <xdr:col>0</xdr:col>
                <xdr:colOff>1066800</xdr:colOff>
                <xdr:row>0</xdr:row>
                <xdr:rowOff>0</xdr:rowOff>
              </from>
              <to>
                <xdr:col>1</xdr:col>
                <xdr:colOff>628650</xdr:colOff>
                <xdr:row>5</xdr:row>
                <xdr:rowOff>9525</xdr:rowOff>
              </to>
            </anchor>
          </objectPr>
        </oleObject>
      </mc:Choice>
      <mc:Fallback>
        <oleObject shapeId="1026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AF40-57B5-40F7-9F77-CA7CB0E69874}">
  <sheetPr>
    <tabColor theme="4" tint="-0.249977111117893"/>
  </sheetPr>
  <dimension ref="A1:F27"/>
  <sheetViews>
    <sheetView showGridLines="0" showRowColHeaders="0" showRuler="0" showWhiteSpace="0" view="pageBreakPreview" zoomScale="83" zoomScaleNormal="175" zoomScaleSheetLayoutView="83" zoomScalePageLayoutView="115" workbookViewId="0">
      <selection activeCell="I14" sqref="I14"/>
    </sheetView>
  </sheetViews>
  <sheetFormatPr defaultRowHeight="15" x14ac:dyDescent="0.25"/>
  <cols>
    <col min="1" max="1" width="8.28515625" style="1" customWidth="1"/>
    <col min="2" max="2" width="22.42578125" style="1" customWidth="1"/>
    <col min="3" max="3" width="27" style="1" customWidth="1"/>
    <col min="4" max="4" width="25.28515625" style="1" customWidth="1"/>
    <col min="5" max="5" width="22.42578125" style="1" customWidth="1"/>
    <col min="6" max="6" width="23.42578125" style="1" customWidth="1"/>
    <col min="7" max="16384" width="9.140625" style="1"/>
  </cols>
  <sheetData>
    <row r="1" spans="1:6" ht="19.5" x14ac:dyDescent="0.25">
      <c r="A1" s="526" t="s">
        <v>579</v>
      </c>
      <c r="B1" s="526"/>
      <c r="C1" s="526"/>
      <c r="D1" s="526"/>
      <c r="E1" s="526"/>
      <c r="F1" s="526"/>
    </row>
    <row r="2" spans="1:6" ht="19.5" x14ac:dyDescent="0.25">
      <c r="A2" s="526" t="s">
        <v>578</v>
      </c>
      <c r="B2" s="526"/>
      <c r="C2" s="526"/>
      <c r="D2" s="526"/>
      <c r="E2" s="526"/>
      <c r="F2" s="526"/>
    </row>
    <row r="3" spans="1:6" ht="19.5" x14ac:dyDescent="0.25">
      <c r="A3" s="526" t="s">
        <v>577</v>
      </c>
      <c r="B3" s="526"/>
      <c r="C3" s="526"/>
      <c r="D3" s="526"/>
      <c r="E3" s="526"/>
      <c r="F3" s="526"/>
    </row>
    <row r="4" spans="1:6" ht="19.5" x14ac:dyDescent="0.25">
      <c r="A4" s="526" t="s">
        <v>604</v>
      </c>
      <c r="B4" s="526"/>
      <c r="C4" s="526"/>
      <c r="D4" s="526"/>
      <c r="E4" s="526"/>
      <c r="F4" s="526"/>
    </row>
    <row r="5" spans="1:6" ht="19.5" x14ac:dyDescent="0.25">
      <c r="A5" s="526" t="s">
        <v>603</v>
      </c>
      <c r="B5" s="526"/>
      <c r="C5" s="526"/>
      <c r="D5" s="526"/>
      <c r="E5" s="526"/>
      <c r="F5" s="526"/>
    </row>
    <row r="6" spans="1:6" ht="16.5" thickBot="1" x14ac:dyDescent="0.3">
      <c r="A6" s="108"/>
      <c r="B6" s="108"/>
      <c r="C6" s="109"/>
      <c r="D6" s="108"/>
    </row>
    <row r="7" spans="1:6" x14ac:dyDescent="0.25">
      <c r="A7" s="540" t="s">
        <v>602</v>
      </c>
      <c r="B7" s="540" t="s">
        <v>601</v>
      </c>
      <c r="C7" s="540" t="s">
        <v>600</v>
      </c>
      <c r="D7" s="540" t="s">
        <v>599</v>
      </c>
      <c r="E7" s="530" t="s">
        <v>598</v>
      </c>
      <c r="F7" s="531"/>
    </row>
    <row r="8" spans="1:6" ht="15.75" thickBot="1" x14ac:dyDescent="0.3">
      <c r="A8" s="541"/>
      <c r="B8" s="541"/>
      <c r="C8" s="541"/>
      <c r="D8" s="541"/>
      <c r="E8" s="532"/>
      <c r="F8" s="533"/>
    </row>
    <row r="9" spans="1:6" x14ac:dyDescent="0.25">
      <c r="A9" s="541"/>
      <c r="B9" s="541"/>
      <c r="C9" s="541"/>
      <c r="D9" s="541"/>
      <c r="E9" s="534" t="s">
        <v>597</v>
      </c>
      <c r="F9" s="536" t="s">
        <v>596</v>
      </c>
    </row>
    <row r="10" spans="1:6" ht="15.75" thickBot="1" x14ac:dyDescent="0.3">
      <c r="A10" s="542"/>
      <c r="B10" s="542"/>
      <c r="C10" s="542"/>
      <c r="D10" s="542"/>
      <c r="E10" s="535"/>
      <c r="F10" s="537"/>
    </row>
    <row r="11" spans="1:6" ht="39.950000000000003" customHeight="1" thickBot="1" x14ac:dyDescent="0.3">
      <c r="A11" s="104">
        <v>1</v>
      </c>
      <c r="B11" s="103" t="s">
        <v>595</v>
      </c>
      <c r="C11" s="101"/>
      <c r="D11" s="101"/>
      <c r="E11" s="100"/>
      <c r="F11" s="107"/>
    </row>
    <row r="12" spans="1:6" ht="39.950000000000003" customHeight="1" thickBot="1" x14ac:dyDescent="0.3">
      <c r="A12" s="104">
        <f t="shared" ref="A12:A22" si="0">A11+1</f>
        <v>2</v>
      </c>
      <c r="B12" s="103" t="s">
        <v>594</v>
      </c>
      <c r="C12" s="101"/>
      <c r="D12" s="101"/>
      <c r="E12" s="105"/>
      <c r="F12" s="100"/>
    </row>
    <row r="13" spans="1:6" ht="39.950000000000003" customHeight="1" thickBot="1" x14ac:dyDescent="0.3">
      <c r="A13" s="104">
        <f t="shared" si="0"/>
        <v>3</v>
      </c>
      <c r="B13" s="103" t="s">
        <v>593</v>
      </c>
      <c r="C13" s="101"/>
      <c r="D13" s="101"/>
      <c r="E13" s="100"/>
      <c r="F13" s="105"/>
    </row>
    <row r="14" spans="1:6" ht="39.950000000000003" customHeight="1" thickBot="1" x14ac:dyDescent="0.3">
      <c r="A14" s="104">
        <f t="shared" si="0"/>
        <v>4</v>
      </c>
      <c r="B14" s="103" t="s">
        <v>592</v>
      </c>
      <c r="C14" s="101"/>
      <c r="D14" s="101"/>
      <c r="E14" s="105"/>
      <c r="F14" s="100"/>
    </row>
    <row r="15" spans="1:6" ht="39.950000000000003" customHeight="1" thickBot="1" x14ac:dyDescent="0.3">
      <c r="A15" s="104">
        <f t="shared" si="0"/>
        <v>5</v>
      </c>
      <c r="B15" s="103" t="s">
        <v>591</v>
      </c>
      <c r="C15" s="106"/>
      <c r="D15" s="106"/>
      <c r="E15" s="100"/>
      <c r="F15" s="105"/>
    </row>
    <row r="16" spans="1:6" ht="39.950000000000003" customHeight="1" thickBot="1" x14ac:dyDescent="0.3">
      <c r="A16" s="104">
        <f t="shared" si="0"/>
        <v>6</v>
      </c>
      <c r="B16" s="103" t="s">
        <v>590</v>
      </c>
      <c r="C16" s="101"/>
      <c r="D16" s="101"/>
      <c r="E16" s="105"/>
      <c r="F16" s="100"/>
    </row>
    <row r="17" spans="1:6" ht="39.950000000000003" customHeight="1" thickBot="1" x14ac:dyDescent="0.3">
      <c r="A17" s="104">
        <f t="shared" si="0"/>
        <v>7</v>
      </c>
      <c r="B17" s="103" t="s">
        <v>589</v>
      </c>
      <c r="C17" s="101"/>
      <c r="D17" s="101"/>
      <c r="E17" s="100"/>
      <c r="F17" s="105"/>
    </row>
    <row r="18" spans="1:6" ht="39.950000000000003" customHeight="1" thickBot="1" x14ac:dyDescent="0.3">
      <c r="A18" s="104">
        <f t="shared" si="0"/>
        <v>8</v>
      </c>
      <c r="B18" s="103" t="s">
        <v>588</v>
      </c>
      <c r="C18" s="101"/>
      <c r="D18" s="101"/>
      <c r="E18" s="105"/>
      <c r="F18" s="100"/>
    </row>
    <row r="19" spans="1:6" ht="39.950000000000003" customHeight="1" thickBot="1" x14ac:dyDescent="0.3">
      <c r="A19" s="104">
        <f t="shared" si="0"/>
        <v>9</v>
      </c>
      <c r="B19" s="103" t="s">
        <v>587</v>
      </c>
      <c r="C19" s="101"/>
      <c r="D19" s="101"/>
      <c r="E19" s="100"/>
      <c r="F19" s="105"/>
    </row>
    <row r="20" spans="1:6" ht="39.950000000000003" customHeight="1" thickBot="1" x14ac:dyDescent="0.3">
      <c r="A20" s="104">
        <f t="shared" si="0"/>
        <v>10</v>
      </c>
      <c r="B20" s="103" t="s">
        <v>586</v>
      </c>
      <c r="C20" s="102"/>
      <c r="D20" s="101"/>
      <c r="E20" s="105"/>
      <c r="F20" s="100"/>
    </row>
    <row r="21" spans="1:6" ht="39.950000000000003" customHeight="1" thickBot="1" x14ac:dyDescent="0.3">
      <c r="A21" s="104">
        <f t="shared" si="0"/>
        <v>11</v>
      </c>
      <c r="B21" s="103" t="s">
        <v>585</v>
      </c>
      <c r="C21" s="102"/>
      <c r="D21" s="101"/>
      <c r="E21" s="100"/>
      <c r="F21" s="105"/>
    </row>
    <row r="22" spans="1:6" ht="39.950000000000003" customHeight="1" thickBot="1" x14ac:dyDescent="0.3">
      <c r="A22" s="104">
        <f t="shared" si="0"/>
        <v>12</v>
      </c>
      <c r="B22" s="103" t="s">
        <v>584</v>
      </c>
      <c r="C22" s="102"/>
      <c r="D22" s="101"/>
      <c r="E22" s="100"/>
      <c r="F22" s="100"/>
    </row>
    <row r="23" spans="1:6" ht="15" customHeight="1" x14ac:dyDescent="0.25">
      <c r="A23" s="528"/>
      <c r="B23" s="545" t="s">
        <v>583</v>
      </c>
      <c r="C23" s="543">
        <f>SUM(C11:C22)</f>
        <v>0</v>
      </c>
      <c r="D23" s="558">
        <f>SUM(D11:D22)</f>
        <v>0</v>
      </c>
      <c r="E23" s="538">
        <f>SUM(E11:E22)</f>
        <v>0</v>
      </c>
      <c r="F23" s="538">
        <f>SUM(F11:F22)</f>
        <v>0</v>
      </c>
    </row>
    <row r="24" spans="1:6" ht="15.75" thickBot="1" x14ac:dyDescent="0.3">
      <c r="A24" s="529"/>
      <c r="B24" s="546"/>
      <c r="C24" s="544"/>
      <c r="D24" s="559"/>
      <c r="E24" s="555"/>
      <c r="F24" s="539"/>
    </row>
    <row r="25" spans="1:6" ht="15.75" customHeight="1" x14ac:dyDescent="0.25">
      <c r="A25" s="99"/>
      <c r="B25" s="545" t="s">
        <v>582</v>
      </c>
      <c r="C25" s="556">
        <f>C23+E23</f>
        <v>0</v>
      </c>
      <c r="D25" s="543">
        <f>D23+F23</f>
        <v>0</v>
      </c>
      <c r="E25" s="549">
        <f>C25-D25</f>
        <v>0</v>
      </c>
      <c r="F25" s="550"/>
    </row>
    <row r="26" spans="1:6" ht="37.5" customHeight="1" thickBot="1" x14ac:dyDescent="0.3">
      <c r="A26" s="98"/>
      <c r="B26" s="546"/>
      <c r="C26" s="557"/>
      <c r="D26" s="544"/>
      <c r="E26" s="551"/>
      <c r="F26" s="552"/>
    </row>
    <row r="27" spans="1:6" ht="32.25" customHeight="1" thickBot="1" x14ac:dyDescent="0.3">
      <c r="A27" s="97"/>
      <c r="B27" s="96"/>
      <c r="C27" s="547" t="s">
        <v>581</v>
      </c>
      <c r="D27" s="548"/>
      <c r="E27" s="553"/>
      <c r="F27" s="554"/>
    </row>
  </sheetData>
  <sheetProtection selectLockedCells="1" selectUnlockedCells="1"/>
  <mergeCells count="23">
    <mergeCell ref="D25:D26"/>
    <mergeCell ref="D7:D10"/>
    <mergeCell ref="B25:B26"/>
    <mergeCell ref="C27:D27"/>
    <mergeCell ref="E25:F27"/>
    <mergeCell ref="E23:E24"/>
    <mergeCell ref="C25:C26"/>
    <mergeCell ref="D23:D24"/>
    <mergeCell ref="C23:C24"/>
    <mergeCell ref="B23:B24"/>
    <mergeCell ref="A23:A24"/>
    <mergeCell ref="E7:F8"/>
    <mergeCell ref="E9:E10"/>
    <mergeCell ref="F9:F10"/>
    <mergeCell ref="F23:F24"/>
    <mergeCell ref="C7:C10"/>
    <mergeCell ref="B7:B10"/>
    <mergeCell ref="A7:A10"/>
    <mergeCell ref="A1:F1"/>
    <mergeCell ref="A2:F2"/>
    <mergeCell ref="A3:F3"/>
    <mergeCell ref="A4:F4"/>
    <mergeCell ref="A5:F5"/>
  </mergeCells>
  <pageMargins left="0.23622047244094491" right="0.23622047244094491" top="0.74803149606299213" bottom="0.74803149606299213" header="0.31496062992125984" footer="0.31496062992125984"/>
  <pageSetup paperSize="10000" scale="77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shapeId="3073" r:id="rId4">
          <objectPr defaultSize="0" autoPict="0" r:id="rId5">
            <anchor moveWithCells="1" sizeWithCells="1">
              <from>
                <xdr:col>0</xdr:col>
                <xdr:colOff>142875</xdr:colOff>
                <xdr:row>0</xdr:row>
                <xdr:rowOff>0</xdr:rowOff>
              </from>
              <to>
                <xdr:col>1</xdr:col>
                <xdr:colOff>952500</xdr:colOff>
                <xdr:row>5</xdr:row>
                <xdr:rowOff>9525</xdr:rowOff>
              </to>
            </anchor>
          </objectPr>
        </oleObject>
      </mc:Choice>
      <mc:Fallback>
        <oleObject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30D4-2B16-4C51-9999-8ABAE5E40281}">
  <dimension ref="A1:J56"/>
  <sheetViews>
    <sheetView showGridLines="0" view="pageBreakPreview" zoomScaleNormal="85" zoomScaleSheetLayoutView="100" workbookViewId="0">
      <pane ySplit="9" topLeftCell="A17" activePane="bottomLeft" state="frozen"/>
      <selection activeCell="C338" sqref="C338"/>
      <selection pane="bottomLeft" activeCell="I55" sqref="I55"/>
    </sheetView>
  </sheetViews>
  <sheetFormatPr defaultRowHeight="14.25" x14ac:dyDescent="0.2"/>
  <cols>
    <col min="1" max="1" width="7" style="110" customWidth="1"/>
    <col min="2" max="2" width="26.28515625" style="110" bestFit="1" customWidth="1"/>
    <col min="3" max="3" width="50.140625" style="110" customWidth="1"/>
    <col min="4" max="6" width="22.42578125" style="110" customWidth="1"/>
    <col min="7" max="7" width="21.28515625" style="110" bestFit="1" customWidth="1"/>
    <col min="8" max="8" width="21.28515625" style="110" customWidth="1"/>
    <col min="9" max="9" width="22" style="110" customWidth="1"/>
    <col min="10" max="10" width="7.85546875" style="110" customWidth="1"/>
    <col min="11" max="16384" width="9.140625" style="110"/>
  </cols>
  <sheetData>
    <row r="1" spans="1:10" ht="22.5" x14ac:dyDescent="0.3">
      <c r="A1" s="565" t="s">
        <v>579</v>
      </c>
      <c r="B1" s="565"/>
      <c r="C1" s="565"/>
      <c r="D1" s="565"/>
      <c r="E1" s="565"/>
      <c r="F1" s="565"/>
      <c r="G1" s="565"/>
      <c r="H1" s="565"/>
      <c r="I1" s="565"/>
      <c r="J1" s="565"/>
    </row>
    <row r="2" spans="1:10" ht="22.5" x14ac:dyDescent="0.3">
      <c r="A2" s="565" t="s">
        <v>578</v>
      </c>
      <c r="B2" s="565"/>
      <c r="C2" s="565"/>
      <c r="D2" s="565"/>
      <c r="E2" s="565"/>
      <c r="F2" s="565"/>
      <c r="G2" s="565"/>
      <c r="H2" s="565"/>
      <c r="I2" s="565"/>
      <c r="J2" s="565"/>
    </row>
    <row r="3" spans="1:10" ht="19.5" x14ac:dyDescent="0.25">
      <c r="A3" s="526" t="s">
        <v>577</v>
      </c>
      <c r="B3" s="526"/>
      <c r="C3" s="526"/>
      <c r="D3" s="526"/>
      <c r="E3" s="526"/>
      <c r="F3" s="526"/>
      <c r="G3" s="526"/>
      <c r="H3" s="526"/>
      <c r="I3" s="526"/>
      <c r="J3" s="526"/>
    </row>
    <row r="4" spans="1:10" ht="19.5" x14ac:dyDescent="0.25">
      <c r="A4" s="526" t="s">
        <v>604</v>
      </c>
      <c r="B4" s="526"/>
      <c r="C4" s="526"/>
      <c r="D4" s="526"/>
      <c r="E4" s="526"/>
      <c r="F4" s="526"/>
      <c r="G4" s="526"/>
      <c r="H4" s="526"/>
      <c r="I4" s="526"/>
      <c r="J4" s="526"/>
    </row>
    <row r="5" spans="1:10" ht="19.5" x14ac:dyDescent="0.25">
      <c r="A5" s="526" t="s">
        <v>605</v>
      </c>
      <c r="B5" s="526"/>
      <c r="C5" s="526"/>
      <c r="D5" s="526"/>
      <c r="E5" s="526"/>
      <c r="F5" s="526"/>
      <c r="G5" s="526"/>
      <c r="H5" s="526"/>
      <c r="I5" s="526"/>
      <c r="J5" s="526"/>
    </row>
    <row r="6" spans="1:10" ht="15" x14ac:dyDescent="0.2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ht="15.75" thickBot="1" x14ac:dyDescent="0.25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8.75" thickBot="1" x14ac:dyDescent="0.25">
      <c r="A8" s="536" t="s">
        <v>606</v>
      </c>
      <c r="B8" s="566" t="s">
        <v>287</v>
      </c>
      <c r="C8" s="536" t="s">
        <v>607</v>
      </c>
      <c r="D8" s="560" t="s">
        <v>597</v>
      </c>
      <c r="E8" s="547"/>
      <c r="F8" s="568" t="s">
        <v>600</v>
      </c>
      <c r="G8" s="560" t="s">
        <v>596</v>
      </c>
      <c r="H8" s="548"/>
      <c r="I8" s="561" t="s">
        <v>599</v>
      </c>
      <c r="J8" s="536" t="s">
        <v>608</v>
      </c>
    </row>
    <row r="9" spans="1:10" ht="15.75" customHeight="1" thickBot="1" x14ac:dyDescent="0.25">
      <c r="A9" s="537"/>
      <c r="B9" s="567"/>
      <c r="C9" s="537"/>
      <c r="D9" s="112" t="s">
        <v>609</v>
      </c>
      <c r="E9" s="113" t="s">
        <v>610</v>
      </c>
      <c r="F9" s="569"/>
      <c r="G9" s="112" t="s">
        <v>609</v>
      </c>
      <c r="H9" s="114" t="s">
        <v>610</v>
      </c>
      <c r="I9" s="562"/>
      <c r="J9" s="537"/>
    </row>
    <row r="10" spans="1:10" ht="15" x14ac:dyDescent="0.2">
      <c r="A10" s="115">
        <v>1</v>
      </c>
      <c r="B10" s="116" t="s">
        <v>399</v>
      </c>
      <c r="C10" s="117" t="s">
        <v>170</v>
      </c>
      <c r="D10" s="118"/>
      <c r="E10" s="118"/>
      <c r="F10" s="118"/>
      <c r="G10" s="118"/>
      <c r="H10" s="118"/>
      <c r="I10" s="118"/>
      <c r="J10" s="119"/>
    </row>
    <row r="11" spans="1:10" ht="15" x14ac:dyDescent="0.2">
      <c r="A11" s="120">
        <v>2</v>
      </c>
      <c r="B11" s="121" t="s">
        <v>611</v>
      </c>
      <c r="C11" s="122" t="s">
        <v>168</v>
      </c>
      <c r="D11" s="123"/>
      <c r="E11" s="123"/>
      <c r="F11" s="123">
        <f>SUM(D11:E11)</f>
        <v>0</v>
      </c>
      <c r="G11" s="123"/>
      <c r="H11" s="123"/>
      <c r="I11" s="123">
        <f>SUM(G11:H11)</f>
        <v>0</v>
      </c>
      <c r="J11" s="124"/>
    </row>
    <row r="12" spans="1:10" ht="15" x14ac:dyDescent="0.2">
      <c r="A12" s="120">
        <v>3</v>
      </c>
      <c r="B12" s="121" t="s">
        <v>612</v>
      </c>
      <c r="C12" s="122" t="s">
        <v>166</v>
      </c>
      <c r="D12" s="123"/>
      <c r="E12" s="123"/>
      <c r="F12" s="123">
        <f>SUM(D12:E12)</f>
        <v>0</v>
      </c>
      <c r="G12" s="123"/>
      <c r="H12" s="123"/>
      <c r="I12" s="123">
        <f t="shared" ref="I12:I54" si="0">SUM(G12:H12)</f>
        <v>0</v>
      </c>
      <c r="J12" s="124"/>
    </row>
    <row r="13" spans="1:10" ht="15" x14ac:dyDescent="0.2">
      <c r="A13" s="120">
        <v>4</v>
      </c>
      <c r="B13" s="121" t="s">
        <v>613</v>
      </c>
      <c r="C13" s="122" t="s">
        <v>164</v>
      </c>
      <c r="D13" s="123"/>
      <c r="E13" s="123"/>
      <c r="F13" s="123">
        <f t="shared" ref="F13:F54" si="1">SUM(D13:E13)</f>
        <v>0</v>
      </c>
      <c r="G13" s="123"/>
      <c r="H13" s="123"/>
      <c r="I13" s="123">
        <f t="shared" si="0"/>
        <v>0</v>
      </c>
      <c r="J13" s="124"/>
    </row>
    <row r="14" spans="1:10" ht="15" x14ac:dyDescent="0.2">
      <c r="A14" s="120">
        <v>5</v>
      </c>
      <c r="B14" s="121" t="s">
        <v>614</v>
      </c>
      <c r="C14" s="122" t="s">
        <v>162</v>
      </c>
      <c r="D14" s="123"/>
      <c r="E14" s="123"/>
      <c r="F14" s="123">
        <f t="shared" si="1"/>
        <v>0</v>
      </c>
      <c r="G14" s="123"/>
      <c r="H14" s="123"/>
      <c r="I14" s="123">
        <f t="shared" si="0"/>
        <v>0</v>
      </c>
      <c r="J14" s="124"/>
    </row>
    <row r="15" spans="1:10" ht="15" x14ac:dyDescent="0.2">
      <c r="A15" s="120">
        <v>6</v>
      </c>
      <c r="B15" s="121" t="s">
        <v>615</v>
      </c>
      <c r="C15" s="122" t="s">
        <v>160</v>
      </c>
      <c r="D15" s="123"/>
      <c r="E15" s="123"/>
      <c r="F15" s="123">
        <f t="shared" si="1"/>
        <v>0</v>
      </c>
      <c r="G15" s="123"/>
      <c r="H15" s="123"/>
      <c r="I15" s="123">
        <f t="shared" si="0"/>
        <v>0</v>
      </c>
      <c r="J15" s="124"/>
    </row>
    <row r="16" spans="1:10" ht="15" x14ac:dyDescent="0.2">
      <c r="A16" s="120">
        <v>7</v>
      </c>
      <c r="B16" s="121" t="s">
        <v>616</v>
      </c>
      <c r="C16" s="122" t="s">
        <v>158</v>
      </c>
      <c r="D16" s="123"/>
      <c r="E16" s="123"/>
      <c r="F16" s="123">
        <f t="shared" si="1"/>
        <v>0</v>
      </c>
      <c r="G16" s="123"/>
      <c r="H16" s="123"/>
      <c r="I16" s="123">
        <f t="shared" si="0"/>
        <v>0</v>
      </c>
      <c r="J16" s="124"/>
    </row>
    <row r="17" spans="1:10" ht="15" x14ac:dyDescent="0.2">
      <c r="A17" s="120">
        <v>8</v>
      </c>
      <c r="B17" s="125" t="s">
        <v>617</v>
      </c>
      <c r="C17" s="126" t="s">
        <v>391</v>
      </c>
      <c r="D17" s="123"/>
      <c r="E17" s="123"/>
      <c r="F17" s="123"/>
      <c r="G17" s="123"/>
      <c r="H17" s="123"/>
      <c r="I17" s="123"/>
      <c r="J17" s="124"/>
    </row>
    <row r="18" spans="1:10" ht="15" x14ac:dyDescent="0.2">
      <c r="A18" s="120">
        <v>9</v>
      </c>
      <c r="B18" s="121" t="s">
        <v>618</v>
      </c>
      <c r="C18" s="122" t="s">
        <v>389</v>
      </c>
      <c r="D18" s="123"/>
      <c r="E18" s="123"/>
      <c r="F18" s="123">
        <f t="shared" si="1"/>
        <v>0</v>
      </c>
      <c r="G18" s="123"/>
      <c r="H18" s="123"/>
      <c r="I18" s="123">
        <f t="shared" si="0"/>
        <v>0</v>
      </c>
      <c r="J18" s="124"/>
    </row>
    <row r="19" spans="1:10" ht="15" x14ac:dyDescent="0.2">
      <c r="A19" s="120">
        <v>10</v>
      </c>
      <c r="B19" s="121" t="s">
        <v>619</v>
      </c>
      <c r="C19" s="122" t="s">
        <v>387</v>
      </c>
      <c r="D19" s="123"/>
      <c r="E19" s="123"/>
      <c r="F19" s="123">
        <f t="shared" si="1"/>
        <v>0</v>
      </c>
      <c r="G19" s="123"/>
      <c r="H19" s="123"/>
      <c r="I19" s="123">
        <f t="shared" si="0"/>
        <v>0</v>
      </c>
      <c r="J19" s="124"/>
    </row>
    <row r="20" spans="1:10" ht="15" x14ac:dyDescent="0.2">
      <c r="A20" s="120">
        <v>11</v>
      </c>
      <c r="B20" s="125" t="s">
        <v>384</v>
      </c>
      <c r="C20" s="126" t="s">
        <v>147</v>
      </c>
      <c r="D20" s="123"/>
      <c r="E20" s="123"/>
      <c r="F20" s="123"/>
      <c r="G20" s="123"/>
      <c r="H20" s="123"/>
      <c r="I20" s="123"/>
      <c r="J20" s="124"/>
    </row>
    <row r="21" spans="1:10" ht="15" x14ac:dyDescent="0.2">
      <c r="A21" s="120">
        <v>12</v>
      </c>
      <c r="B21" s="121" t="s">
        <v>383</v>
      </c>
      <c r="C21" s="122" t="s">
        <v>145</v>
      </c>
      <c r="D21" s="123"/>
      <c r="E21" s="123"/>
      <c r="F21" s="123">
        <f t="shared" si="1"/>
        <v>0</v>
      </c>
      <c r="G21" s="123"/>
      <c r="H21" s="123"/>
      <c r="I21" s="123">
        <f t="shared" si="0"/>
        <v>0</v>
      </c>
      <c r="J21" s="124"/>
    </row>
    <row r="22" spans="1:10" ht="15" x14ac:dyDescent="0.2">
      <c r="A22" s="120">
        <v>13</v>
      </c>
      <c r="B22" s="125" t="s">
        <v>382</v>
      </c>
      <c r="C22" s="126" t="s">
        <v>143</v>
      </c>
      <c r="D22" s="123"/>
      <c r="E22" s="123"/>
      <c r="F22" s="123"/>
      <c r="G22" s="123"/>
      <c r="H22" s="123"/>
      <c r="I22" s="123"/>
      <c r="J22" s="124"/>
    </row>
    <row r="23" spans="1:10" ht="15" x14ac:dyDescent="0.2">
      <c r="A23" s="120">
        <v>14</v>
      </c>
      <c r="B23" s="121" t="s">
        <v>381</v>
      </c>
      <c r="C23" s="122" t="s">
        <v>141</v>
      </c>
      <c r="D23" s="123"/>
      <c r="E23" s="123"/>
      <c r="F23" s="123">
        <f t="shared" si="1"/>
        <v>0</v>
      </c>
      <c r="G23" s="123"/>
      <c r="H23" s="123"/>
      <c r="I23" s="123">
        <f t="shared" si="0"/>
        <v>0</v>
      </c>
      <c r="J23" s="124"/>
    </row>
    <row r="24" spans="1:10" ht="15" x14ac:dyDescent="0.2">
      <c r="A24" s="120">
        <v>15</v>
      </c>
      <c r="B24" s="121" t="s">
        <v>380</v>
      </c>
      <c r="C24" s="122" t="s">
        <v>139</v>
      </c>
      <c r="D24" s="123"/>
      <c r="E24" s="123"/>
      <c r="F24" s="123">
        <f t="shared" si="1"/>
        <v>0</v>
      </c>
      <c r="G24" s="123"/>
      <c r="H24" s="123"/>
      <c r="I24" s="123">
        <f t="shared" si="0"/>
        <v>0</v>
      </c>
      <c r="J24" s="124"/>
    </row>
    <row r="25" spans="1:10" ht="15" x14ac:dyDescent="0.2">
      <c r="A25" s="120">
        <v>16</v>
      </c>
      <c r="B25" s="121" t="s">
        <v>379</v>
      </c>
      <c r="C25" s="122" t="s">
        <v>137</v>
      </c>
      <c r="D25" s="123"/>
      <c r="E25" s="123"/>
      <c r="F25" s="123">
        <f t="shared" si="1"/>
        <v>0</v>
      </c>
      <c r="G25" s="123"/>
      <c r="H25" s="123"/>
      <c r="I25" s="123">
        <f t="shared" si="0"/>
        <v>0</v>
      </c>
      <c r="J25" s="124"/>
    </row>
    <row r="26" spans="1:10" ht="15" x14ac:dyDescent="0.2">
      <c r="A26" s="120">
        <v>17</v>
      </c>
      <c r="B26" s="121" t="s">
        <v>378</v>
      </c>
      <c r="C26" s="122" t="s">
        <v>135</v>
      </c>
      <c r="D26" s="123"/>
      <c r="E26" s="123"/>
      <c r="F26" s="123">
        <f t="shared" si="1"/>
        <v>0</v>
      </c>
      <c r="G26" s="123"/>
      <c r="H26" s="123"/>
      <c r="I26" s="123">
        <f t="shared" si="0"/>
        <v>0</v>
      </c>
      <c r="J26" s="124"/>
    </row>
    <row r="27" spans="1:10" ht="15" x14ac:dyDescent="0.2">
      <c r="A27" s="120">
        <v>18</v>
      </c>
      <c r="B27" s="121" t="s">
        <v>377</v>
      </c>
      <c r="C27" s="122" t="s">
        <v>133</v>
      </c>
      <c r="D27" s="123"/>
      <c r="E27" s="123"/>
      <c r="F27" s="123">
        <f t="shared" si="1"/>
        <v>0</v>
      </c>
      <c r="G27" s="123"/>
      <c r="H27" s="123"/>
      <c r="I27" s="123">
        <f t="shared" si="0"/>
        <v>0</v>
      </c>
      <c r="J27" s="124"/>
    </row>
    <row r="28" spans="1:10" ht="30" x14ac:dyDescent="0.2">
      <c r="A28" s="120">
        <v>19</v>
      </c>
      <c r="B28" s="127" t="s">
        <v>374</v>
      </c>
      <c r="C28" s="126" t="s">
        <v>128</v>
      </c>
      <c r="D28" s="123"/>
      <c r="E28" s="123"/>
      <c r="F28" s="123"/>
      <c r="G28" s="123"/>
      <c r="H28" s="123"/>
      <c r="I28" s="123"/>
      <c r="J28" s="124"/>
    </row>
    <row r="29" spans="1:10" ht="15" x14ac:dyDescent="0.2">
      <c r="A29" s="120">
        <v>20</v>
      </c>
      <c r="B29" s="121" t="s">
        <v>373</v>
      </c>
      <c r="C29" s="122" t="s">
        <v>126</v>
      </c>
      <c r="D29" s="123"/>
      <c r="E29" s="123"/>
      <c r="F29" s="123">
        <f t="shared" si="1"/>
        <v>0</v>
      </c>
      <c r="G29" s="123"/>
      <c r="H29" s="123"/>
      <c r="I29" s="123">
        <f t="shared" si="0"/>
        <v>0</v>
      </c>
      <c r="J29" s="124"/>
    </row>
    <row r="30" spans="1:10" ht="30" x14ac:dyDescent="0.2">
      <c r="A30" s="120">
        <v>21</v>
      </c>
      <c r="B30" s="121" t="s">
        <v>371</v>
      </c>
      <c r="C30" s="122" t="s">
        <v>124</v>
      </c>
      <c r="D30" s="123"/>
      <c r="E30" s="123"/>
      <c r="F30" s="123">
        <f t="shared" si="1"/>
        <v>0</v>
      </c>
      <c r="G30" s="123"/>
      <c r="H30" s="123"/>
      <c r="I30" s="123">
        <f t="shared" si="0"/>
        <v>0</v>
      </c>
      <c r="J30" s="124"/>
    </row>
    <row r="31" spans="1:10" ht="41.25" customHeight="1" x14ac:dyDescent="0.2">
      <c r="A31" s="120">
        <v>22</v>
      </c>
      <c r="B31" s="128" t="s">
        <v>370</v>
      </c>
      <c r="C31" s="128" t="s">
        <v>122</v>
      </c>
      <c r="D31" s="123"/>
      <c r="E31" s="123"/>
      <c r="F31" s="123"/>
      <c r="G31" s="123"/>
      <c r="H31" s="123"/>
      <c r="I31" s="123"/>
      <c r="J31" s="124"/>
    </row>
    <row r="32" spans="1:10" ht="15" x14ac:dyDescent="0.2">
      <c r="A32" s="120">
        <v>23</v>
      </c>
      <c r="B32" s="121" t="s">
        <v>369</v>
      </c>
      <c r="C32" s="122" t="s">
        <v>120</v>
      </c>
      <c r="D32" s="123"/>
      <c r="E32" s="123"/>
      <c r="F32" s="123">
        <f t="shared" si="1"/>
        <v>0</v>
      </c>
      <c r="G32" s="123"/>
      <c r="H32" s="123"/>
      <c r="I32" s="123">
        <f t="shared" si="0"/>
        <v>0</v>
      </c>
      <c r="J32" s="124"/>
    </row>
    <row r="33" spans="1:10" ht="15" x14ac:dyDescent="0.2">
      <c r="A33" s="120">
        <v>24</v>
      </c>
      <c r="B33" s="121" t="s">
        <v>368</v>
      </c>
      <c r="C33" s="122" t="s">
        <v>118</v>
      </c>
      <c r="D33" s="123"/>
      <c r="E33" s="123"/>
      <c r="F33" s="123">
        <f t="shared" si="1"/>
        <v>0</v>
      </c>
      <c r="G33" s="123"/>
      <c r="H33" s="123"/>
      <c r="I33" s="123">
        <f t="shared" si="0"/>
        <v>0</v>
      </c>
      <c r="J33" s="124"/>
    </row>
    <row r="34" spans="1:10" ht="30" x14ac:dyDescent="0.2">
      <c r="A34" s="120">
        <v>25</v>
      </c>
      <c r="B34" s="125" t="s">
        <v>365</v>
      </c>
      <c r="C34" s="126" t="s">
        <v>113</v>
      </c>
      <c r="D34" s="123"/>
      <c r="E34" s="123"/>
      <c r="F34" s="123"/>
      <c r="G34" s="123"/>
      <c r="H34" s="123"/>
      <c r="I34" s="123"/>
      <c r="J34" s="124"/>
    </row>
    <row r="35" spans="1:10" ht="15" x14ac:dyDescent="0.2">
      <c r="A35" s="120">
        <v>26</v>
      </c>
      <c r="B35" s="121" t="s">
        <v>364</v>
      </c>
      <c r="C35" s="122" t="s">
        <v>111</v>
      </c>
      <c r="D35" s="123"/>
      <c r="E35" s="123"/>
      <c r="F35" s="123">
        <f t="shared" si="1"/>
        <v>0</v>
      </c>
      <c r="G35" s="123"/>
      <c r="H35" s="123"/>
      <c r="I35" s="123">
        <f t="shared" si="0"/>
        <v>0</v>
      </c>
      <c r="J35" s="124"/>
    </row>
    <row r="36" spans="1:10" ht="30" x14ac:dyDescent="0.2">
      <c r="A36" s="120">
        <v>27</v>
      </c>
      <c r="B36" s="125" t="s">
        <v>363</v>
      </c>
      <c r="C36" s="126" t="s">
        <v>109</v>
      </c>
      <c r="D36" s="123"/>
      <c r="E36" s="123"/>
      <c r="F36" s="123">
        <f t="shared" si="1"/>
        <v>0</v>
      </c>
      <c r="G36" s="123"/>
      <c r="H36" s="123"/>
      <c r="I36" s="123"/>
      <c r="J36" s="124"/>
    </row>
    <row r="37" spans="1:10" ht="15" x14ac:dyDescent="0.2">
      <c r="A37" s="120">
        <v>28</v>
      </c>
      <c r="B37" s="121" t="s">
        <v>362</v>
      </c>
      <c r="C37" s="122" t="s">
        <v>107</v>
      </c>
      <c r="D37" s="123"/>
      <c r="E37" s="123"/>
      <c r="F37" s="123">
        <f t="shared" si="1"/>
        <v>0</v>
      </c>
      <c r="G37" s="123"/>
      <c r="H37" s="123"/>
      <c r="I37" s="123">
        <f t="shared" si="0"/>
        <v>0</v>
      </c>
      <c r="J37" s="124"/>
    </row>
    <row r="38" spans="1:10" ht="15" x14ac:dyDescent="0.2">
      <c r="A38" s="120">
        <v>29</v>
      </c>
      <c r="B38" s="121" t="s">
        <v>361</v>
      </c>
      <c r="C38" s="122" t="s">
        <v>105</v>
      </c>
      <c r="D38" s="123"/>
      <c r="E38" s="123"/>
      <c r="F38" s="123">
        <f t="shared" si="1"/>
        <v>0</v>
      </c>
      <c r="G38" s="123"/>
      <c r="H38" s="123"/>
      <c r="I38" s="123">
        <f t="shared" si="0"/>
        <v>0</v>
      </c>
      <c r="J38" s="124"/>
    </row>
    <row r="39" spans="1:10" ht="30" x14ac:dyDescent="0.2">
      <c r="A39" s="120">
        <v>30</v>
      </c>
      <c r="B39" s="125" t="s">
        <v>360</v>
      </c>
      <c r="C39" s="126" t="s">
        <v>103</v>
      </c>
      <c r="D39" s="123"/>
      <c r="E39" s="123"/>
      <c r="F39" s="123"/>
      <c r="G39" s="123"/>
      <c r="H39" s="123"/>
      <c r="I39" s="123"/>
      <c r="J39" s="124"/>
    </row>
    <row r="40" spans="1:10" ht="15" x14ac:dyDescent="0.2">
      <c r="A40" s="120">
        <v>31</v>
      </c>
      <c r="B40" s="121" t="s">
        <v>359</v>
      </c>
      <c r="C40" s="122" t="s">
        <v>101</v>
      </c>
      <c r="D40" s="123"/>
      <c r="E40" s="123"/>
      <c r="F40" s="123">
        <f t="shared" si="1"/>
        <v>0</v>
      </c>
      <c r="G40" s="123"/>
      <c r="H40" s="123"/>
      <c r="I40" s="123">
        <f t="shared" si="0"/>
        <v>0</v>
      </c>
      <c r="J40" s="124"/>
    </row>
    <row r="41" spans="1:10" ht="30" x14ac:dyDescent="0.2">
      <c r="A41" s="120">
        <v>32</v>
      </c>
      <c r="B41" s="121" t="s">
        <v>358</v>
      </c>
      <c r="C41" s="122" t="s">
        <v>99</v>
      </c>
      <c r="D41" s="123"/>
      <c r="E41" s="123"/>
      <c r="F41" s="123">
        <f t="shared" si="1"/>
        <v>0</v>
      </c>
      <c r="G41" s="123"/>
      <c r="H41" s="123"/>
      <c r="I41" s="123">
        <f t="shared" si="0"/>
        <v>0</v>
      </c>
      <c r="J41" s="124"/>
    </row>
    <row r="42" spans="1:10" ht="15" x14ac:dyDescent="0.2">
      <c r="A42" s="120">
        <v>33</v>
      </c>
      <c r="B42" s="121" t="s">
        <v>357</v>
      </c>
      <c r="C42" s="122" t="s">
        <v>97</v>
      </c>
      <c r="D42" s="123"/>
      <c r="E42" s="123"/>
      <c r="F42" s="123">
        <f t="shared" si="1"/>
        <v>0</v>
      </c>
      <c r="G42" s="123"/>
      <c r="H42" s="123"/>
      <c r="I42" s="123">
        <f t="shared" si="0"/>
        <v>0</v>
      </c>
      <c r="J42" s="124"/>
    </row>
    <row r="43" spans="1:10" ht="30" x14ac:dyDescent="0.2">
      <c r="A43" s="120">
        <v>34</v>
      </c>
      <c r="B43" s="125" t="s">
        <v>356</v>
      </c>
      <c r="C43" s="126" t="s">
        <v>95</v>
      </c>
      <c r="D43" s="123"/>
      <c r="E43" s="123"/>
      <c r="F43" s="123"/>
      <c r="G43" s="123"/>
      <c r="H43" s="123"/>
      <c r="I43" s="123"/>
      <c r="J43" s="124"/>
    </row>
    <row r="44" spans="1:10" ht="15" x14ac:dyDescent="0.2">
      <c r="A44" s="120">
        <v>35</v>
      </c>
      <c r="B44" s="121" t="s">
        <v>355</v>
      </c>
      <c r="C44" s="122" t="s">
        <v>93</v>
      </c>
      <c r="D44" s="123"/>
      <c r="E44" s="123"/>
      <c r="F44" s="123">
        <f t="shared" si="1"/>
        <v>0</v>
      </c>
      <c r="G44" s="123"/>
      <c r="H44" s="123"/>
      <c r="I44" s="123">
        <f t="shared" si="0"/>
        <v>0</v>
      </c>
      <c r="J44" s="124"/>
    </row>
    <row r="45" spans="1:10" ht="30" x14ac:dyDescent="0.2">
      <c r="A45" s="120">
        <v>36</v>
      </c>
      <c r="B45" s="125" t="s">
        <v>354</v>
      </c>
      <c r="C45" s="126" t="s">
        <v>353</v>
      </c>
      <c r="D45" s="123"/>
      <c r="E45" s="123"/>
      <c r="F45" s="123"/>
      <c r="G45" s="123"/>
      <c r="H45" s="123"/>
      <c r="I45" s="123"/>
      <c r="J45" s="124"/>
    </row>
    <row r="46" spans="1:10" ht="15" x14ac:dyDescent="0.2">
      <c r="A46" s="120">
        <v>37</v>
      </c>
      <c r="B46" s="121" t="s">
        <v>352</v>
      </c>
      <c r="C46" s="122" t="s">
        <v>89</v>
      </c>
      <c r="D46" s="123"/>
      <c r="E46" s="123"/>
      <c r="F46" s="123">
        <f t="shared" si="1"/>
        <v>0</v>
      </c>
      <c r="G46" s="123"/>
      <c r="H46" s="123"/>
      <c r="I46" s="123">
        <f t="shared" si="0"/>
        <v>0</v>
      </c>
      <c r="J46" s="124"/>
    </row>
    <row r="47" spans="1:10" ht="15" x14ac:dyDescent="0.2">
      <c r="A47" s="120">
        <v>38</v>
      </c>
      <c r="B47" s="125" t="s">
        <v>351</v>
      </c>
      <c r="C47" s="126" t="s">
        <v>87</v>
      </c>
      <c r="D47" s="123"/>
      <c r="E47" s="123"/>
      <c r="F47" s="123"/>
      <c r="G47" s="123"/>
      <c r="H47" s="123"/>
      <c r="I47" s="123"/>
      <c r="J47" s="124"/>
    </row>
    <row r="48" spans="1:10" ht="15" x14ac:dyDescent="0.2">
      <c r="A48" s="120">
        <v>39</v>
      </c>
      <c r="B48" s="121" t="s">
        <v>350</v>
      </c>
      <c r="C48" s="122" t="s">
        <v>85</v>
      </c>
      <c r="D48" s="123"/>
      <c r="E48" s="123"/>
      <c r="F48" s="123">
        <f t="shared" si="1"/>
        <v>0</v>
      </c>
      <c r="G48" s="123"/>
      <c r="H48" s="123"/>
      <c r="I48" s="123">
        <f t="shared" si="0"/>
        <v>0</v>
      </c>
      <c r="J48" s="124"/>
    </row>
    <row r="49" spans="1:10" ht="15" x14ac:dyDescent="0.2">
      <c r="A49" s="120">
        <v>40</v>
      </c>
      <c r="B49" s="121" t="s">
        <v>349</v>
      </c>
      <c r="C49" s="122" t="s">
        <v>83</v>
      </c>
      <c r="D49" s="123"/>
      <c r="E49" s="123"/>
      <c r="F49" s="123">
        <f t="shared" si="1"/>
        <v>0</v>
      </c>
      <c r="G49" s="123"/>
      <c r="H49" s="123"/>
      <c r="I49" s="123">
        <f t="shared" si="0"/>
        <v>0</v>
      </c>
      <c r="J49" s="124"/>
    </row>
    <row r="50" spans="1:10" ht="15" x14ac:dyDescent="0.2">
      <c r="A50" s="120">
        <v>41</v>
      </c>
      <c r="B50" s="121" t="s">
        <v>348</v>
      </c>
      <c r="C50" s="122" t="s">
        <v>81</v>
      </c>
      <c r="D50" s="123"/>
      <c r="E50" s="123"/>
      <c r="F50" s="123">
        <f t="shared" si="1"/>
        <v>0</v>
      </c>
      <c r="G50" s="123"/>
      <c r="H50" s="123"/>
      <c r="I50" s="123">
        <f t="shared" si="0"/>
        <v>0</v>
      </c>
      <c r="J50" s="124"/>
    </row>
    <row r="51" spans="1:10" ht="30" x14ac:dyDescent="0.2">
      <c r="A51" s="120">
        <v>42</v>
      </c>
      <c r="B51" s="125" t="s">
        <v>347</v>
      </c>
      <c r="C51" s="126" t="s">
        <v>79</v>
      </c>
      <c r="D51" s="123"/>
      <c r="E51" s="123"/>
      <c r="F51" s="123"/>
      <c r="G51" s="123"/>
      <c r="H51" s="123"/>
      <c r="I51" s="123"/>
      <c r="J51" s="124"/>
    </row>
    <row r="52" spans="1:10" ht="15" x14ac:dyDescent="0.2">
      <c r="A52" s="120">
        <v>43</v>
      </c>
      <c r="B52" s="121" t="s">
        <v>346</v>
      </c>
      <c r="C52" s="122" t="s">
        <v>77</v>
      </c>
      <c r="D52" s="123"/>
      <c r="E52" s="123"/>
      <c r="F52" s="123">
        <f t="shared" si="1"/>
        <v>0</v>
      </c>
      <c r="G52" s="123"/>
      <c r="H52" s="123"/>
      <c r="I52" s="123">
        <f t="shared" si="0"/>
        <v>0</v>
      </c>
      <c r="J52" s="124"/>
    </row>
    <row r="53" spans="1:10" ht="15" x14ac:dyDescent="0.2">
      <c r="A53" s="120">
        <v>44</v>
      </c>
      <c r="B53" s="121" t="s">
        <v>345</v>
      </c>
      <c r="C53" s="122" t="s">
        <v>75</v>
      </c>
      <c r="D53" s="123"/>
      <c r="E53" s="123"/>
      <c r="F53" s="123">
        <f t="shared" si="1"/>
        <v>0</v>
      </c>
      <c r="G53" s="123"/>
      <c r="H53" s="123"/>
      <c r="I53" s="123">
        <f t="shared" si="0"/>
        <v>0</v>
      </c>
      <c r="J53" s="124"/>
    </row>
    <row r="54" spans="1:10" ht="15.75" thickBot="1" x14ac:dyDescent="0.25">
      <c r="A54" s="129">
        <v>45</v>
      </c>
      <c r="B54" s="130" t="s">
        <v>344</v>
      </c>
      <c r="C54" s="131" t="s">
        <v>73</v>
      </c>
      <c r="D54" s="123"/>
      <c r="E54" s="123"/>
      <c r="F54" s="123">
        <f t="shared" si="1"/>
        <v>0</v>
      </c>
      <c r="G54" s="123"/>
      <c r="H54" s="123"/>
      <c r="I54" s="123">
        <f t="shared" si="0"/>
        <v>0</v>
      </c>
      <c r="J54" s="132"/>
    </row>
    <row r="55" spans="1:10" ht="27" customHeight="1" thickBot="1" x14ac:dyDescent="0.25">
      <c r="A55" s="563" t="s">
        <v>582</v>
      </c>
      <c r="B55" s="564"/>
      <c r="C55" s="564"/>
      <c r="D55" s="133">
        <f>SUM(D10:D54)</f>
        <v>0</v>
      </c>
      <c r="E55" s="134">
        <f>SUM(E11:E54)</f>
        <v>0</v>
      </c>
      <c r="F55" s="135">
        <f>SUM(F11:F54)</f>
        <v>0</v>
      </c>
      <c r="G55" s="133">
        <f>SUM(G10:G54)</f>
        <v>0</v>
      </c>
      <c r="H55" s="134">
        <f>SUM(H10:H54)</f>
        <v>0</v>
      </c>
      <c r="I55" s="135">
        <f>SUM(I10:I54)</f>
        <v>0</v>
      </c>
      <c r="J55" s="136"/>
    </row>
    <row r="56" spans="1:10" x14ac:dyDescent="0.2">
      <c r="A56" s="137"/>
    </row>
  </sheetData>
  <sheetProtection selectLockedCells="1" selectUnlockedCells="1"/>
  <mergeCells count="14">
    <mergeCell ref="G8:H8"/>
    <mergeCell ref="I8:I9"/>
    <mergeCell ref="J8:J9"/>
    <mergeCell ref="A55:C55"/>
    <mergeCell ref="A1:J1"/>
    <mergeCell ref="A2:J2"/>
    <mergeCell ref="A3:J3"/>
    <mergeCell ref="A4:J4"/>
    <mergeCell ref="A5:J5"/>
    <mergeCell ref="A8:A9"/>
    <mergeCell ref="B8:B9"/>
    <mergeCell ref="C8:C9"/>
    <mergeCell ref="D8:E8"/>
    <mergeCell ref="F8:F9"/>
  </mergeCells>
  <pageMargins left="0.25" right="0.25" top="0.75" bottom="0.75" header="0.3" footer="0.3"/>
  <pageSetup paperSize="256" scale="64" orientation="landscape" horizontalDpi="360" verticalDpi="360" r:id="rId1"/>
  <drawing r:id="rId2"/>
  <legacyDrawing r:id="rId3"/>
  <oleObjects>
    <mc:AlternateContent xmlns:mc="http://schemas.openxmlformats.org/markup-compatibility/2006">
      <mc:Choice Requires="x14">
        <oleObject shapeId="4097" r:id="rId4">
          <objectPr defaultSize="0" autoPict="0" r:id="rId5">
            <anchor moveWithCells="1" sizeWithCells="1">
              <from>
                <xdr:col>0</xdr:col>
                <xdr:colOff>419100</xdr:colOff>
                <xdr:row>0</xdr:row>
                <xdr:rowOff>85725</xdr:rowOff>
              </from>
              <to>
                <xdr:col>1</xdr:col>
                <xdr:colOff>1504950</xdr:colOff>
                <xdr:row>6</xdr:row>
                <xdr:rowOff>9525</xdr:rowOff>
              </to>
            </anchor>
          </objectPr>
        </oleObject>
      </mc:Choice>
      <mc:Fallback>
        <oleObject shapeId="409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9C0F-1030-4C47-941C-AD5D68624F4B}">
  <dimension ref="A1:P7513"/>
  <sheetViews>
    <sheetView showGridLines="0" topLeftCell="B1" zoomScale="85" zoomScaleNormal="85" zoomScaleSheetLayoutView="55" zoomScalePageLayoutView="70" workbookViewId="0">
      <pane ySplit="1" topLeftCell="A2" activePane="bottomLeft" state="frozen"/>
      <selection activeCell="C338" sqref="C338"/>
      <selection pane="bottomLeft" activeCell="D5" sqref="D5"/>
    </sheetView>
  </sheetViews>
  <sheetFormatPr defaultRowHeight="15" x14ac:dyDescent="0.25"/>
  <cols>
    <col min="1" max="1" width="18" style="110" hidden="1" customWidth="1"/>
    <col min="2" max="2" width="7.5703125" style="143" customWidth="1"/>
    <col min="3" max="3" width="20.85546875" style="142" customWidth="1"/>
    <col min="4" max="4" width="69" style="141" customWidth="1"/>
    <col min="5" max="5" width="20.42578125" style="141" customWidth="1"/>
    <col min="6" max="6" width="21.28515625" style="140" customWidth="1"/>
    <col min="7" max="7" width="21.85546875" style="140" customWidth="1"/>
    <col min="8" max="8" width="9.140625" style="138" hidden="1" customWidth="1"/>
    <col min="9" max="9" width="17.28515625" style="139" hidden="1" customWidth="1"/>
    <col min="10" max="10" width="8.85546875" style="139" hidden="1" customWidth="1"/>
    <col min="11" max="11" width="9.85546875" style="139" hidden="1" customWidth="1"/>
    <col min="12" max="13" width="8.42578125" style="139" hidden="1" customWidth="1"/>
    <col min="14" max="14" width="13.140625" style="139" hidden="1" customWidth="1"/>
    <col min="15" max="15" width="18" style="139" hidden="1" customWidth="1"/>
    <col min="16" max="16" width="5.7109375" style="138" customWidth="1"/>
    <col min="17" max="16384" width="9.140625" style="138"/>
  </cols>
  <sheetData>
    <row r="1" spans="1:15" ht="39" customHeight="1" thickBot="1" x14ac:dyDescent="0.3">
      <c r="A1" s="287" t="s">
        <v>626</v>
      </c>
      <c r="B1" s="286" t="s">
        <v>606</v>
      </c>
      <c r="C1" s="283" t="s">
        <v>637</v>
      </c>
      <c r="D1" s="284" t="s">
        <v>601</v>
      </c>
      <c r="E1" s="283" t="s">
        <v>287</v>
      </c>
      <c r="F1" s="282" t="s">
        <v>624</v>
      </c>
      <c r="G1" s="282" t="s">
        <v>596</v>
      </c>
      <c r="I1" s="570" t="s">
        <v>287</v>
      </c>
      <c r="J1" s="306"/>
      <c r="K1" s="291"/>
      <c r="L1" s="306"/>
      <c r="M1" s="291"/>
      <c r="N1" s="306"/>
      <c r="O1" s="291"/>
    </row>
    <row r="2" spans="1:15" ht="15" customHeight="1" x14ac:dyDescent="0.25">
      <c r="A2" s="169" t="str">
        <f>E2&amp;COUNTIFS($E$2:E2,E2)</f>
        <v>0</v>
      </c>
      <c r="B2" s="172"/>
      <c r="C2" s="174"/>
      <c r="D2" s="173"/>
      <c r="E2" s="172"/>
      <c r="F2" s="171"/>
      <c r="G2" s="170"/>
      <c r="I2" s="570"/>
      <c r="J2" s="291"/>
      <c r="K2" s="291"/>
      <c r="L2" s="305" t="s">
        <v>641</v>
      </c>
      <c r="M2" s="305" t="s">
        <v>640</v>
      </c>
      <c r="N2" s="305" t="s">
        <v>639</v>
      </c>
      <c r="O2" s="305" t="s">
        <v>638</v>
      </c>
    </row>
    <row r="3" spans="1:15" ht="15" customHeight="1" x14ac:dyDescent="0.25">
      <c r="A3" s="169" t="str">
        <f>E3&amp;COUNTIFS($E$2:E3,E3)</f>
        <v>0</v>
      </c>
      <c r="B3" s="166"/>
      <c r="C3" s="168"/>
      <c r="D3" s="167"/>
      <c r="E3" s="166"/>
      <c r="F3" s="165"/>
      <c r="G3" s="164"/>
      <c r="I3" s="303" t="s">
        <v>569</v>
      </c>
      <c r="J3" s="291"/>
      <c r="K3" s="291"/>
      <c r="L3" s="290" t="e" cm="1">
        <f t="array" ref="L3:L220">SEARCH(#REF!,$I$3:$I$220)</f>
        <v>#REF!</v>
      </c>
      <c r="M3" s="289" t="b" cm="1">
        <f t="array" ref="M3:M220">ISNUMBER(SEARCH(#REF!,$I$3:$I$220))</f>
        <v>0</v>
      </c>
      <c r="N3" s="290" t="str" cm="1">
        <f t="array" ref="N3">_xlfn._xlws.FILTER($I$3:$I$220,ISNUMBER(SEARCH(#REF!,$I$3:$I$220)),"TIDAK ADA")</f>
        <v>TIDAK ADA</v>
      </c>
      <c r="O3" s="289"/>
    </row>
    <row r="4" spans="1:15" ht="15" customHeight="1" x14ac:dyDescent="0.25">
      <c r="A4" s="169" t="str">
        <f>E4&amp;COUNTIFS($E$2:E4,E4)</f>
        <v>0</v>
      </c>
      <c r="B4" s="166"/>
      <c r="C4" s="168"/>
      <c r="D4" s="167"/>
      <c r="E4" s="166"/>
      <c r="F4" s="165"/>
      <c r="G4" s="164"/>
      <c r="I4" s="303" t="s">
        <v>562</v>
      </c>
      <c r="J4" s="291"/>
      <c r="K4" s="291"/>
      <c r="L4" s="290" t="e">
        <v>#REF!</v>
      </c>
      <c r="M4" s="289" t="b">
        <v>0</v>
      </c>
      <c r="N4" s="290"/>
      <c r="O4" s="289"/>
    </row>
    <row r="5" spans="1:15" ht="15" customHeight="1" x14ac:dyDescent="0.25">
      <c r="A5" s="169" t="str">
        <f>E5&amp;COUNTIFS($E$2:E5,E5)</f>
        <v>0</v>
      </c>
      <c r="B5" s="166"/>
      <c r="C5" s="168"/>
      <c r="D5" s="167"/>
      <c r="E5" s="166"/>
      <c r="F5" s="165"/>
      <c r="G5" s="164"/>
      <c r="I5" s="303" t="s">
        <v>560</v>
      </c>
      <c r="J5" s="291"/>
      <c r="K5" s="291"/>
      <c r="L5" s="290" t="e">
        <v>#REF!</v>
      </c>
      <c r="M5" s="289" t="b">
        <v>0</v>
      </c>
      <c r="N5" s="290"/>
      <c r="O5" s="289"/>
    </row>
    <row r="6" spans="1:15" ht="15" customHeight="1" x14ac:dyDescent="0.25">
      <c r="A6" s="169" t="str">
        <f>E6&amp;COUNTIFS($E$2:E6,E6)</f>
        <v>0</v>
      </c>
      <c r="B6" s="166"/>
      <c r="C6" s="168"/>
      <c r="D6" s="167"/>
      <c r="E6" s="166"/>
      <c r="F6" s="165"/>
      <c r="G6" s="164"/>
      <c r="I6" s="303" t="s">
        <v>558</v>
      </c>
      <c r="J6" s="291"/>
      <c r="K6" s="291"/>
      <c r="L6" s="290" t="e">
        <v>#REF!</v>
      </c>
      <c r="M6" s="289" t="b">
        <v>0</v>
      </c>
      <c r="N6" s="290"/>
      <c r="O6" s="289"/>
    </row>
    <row r="7" spans="1:15" ht="15" customHeight="1" x14ac:dyDescent="0.25">
      <c r="A7" s="169" t="str">
        <f>E7&amp;COUNTIFS($E$2:E7,E7)</f>
        <v>0</v>
      </c>
      <c r="B7" s="166"/>
      <c r="C7" s="168"/>
      <c r="D7" s="167"/>
      <c r="E7" s="166"/>
      <c r="F7" s="165"/>
      <c r="G7" s="164"/>
      <c r="I7" s="303" t="s">
        <v>552</v>
      </c>
      <c r="J7" s="291"/>
      <c r="K7" s="291"/>
      <c r="L7" s="290" t="e">
        <v>#REF!</v>
      </c>
      <c r="M7" s="289" t="b">
        <v>0</v>
      </c>
      <c r="N7" s="290"/>
      <c r="O7" s="289"/>
    </row>
    <row r="8" spans="1:15" ht="15" customHeight="1" x14ac:dyDescent="0.25">
      <c r="A8" s="169" t="str">
        <f>E8&amp;COUNTIFS($E$2:E8,E8)</f>
        <v>0</v>
      </c>
      <c r="B8" s="166"/>
      <c r="C8" s="168"/>
      <c r="D8" s="167"/>
      <c r="E8" s="166"/>
      <c r="F8" s="165"/>
      <c r="G8" s="164"/>
      <c r="I8" s="303" t="s">
        <v>550</v>
      </c>
      <c r="J8" s="291"/>
      <c r="K8" s="291"/>
      <c r="L8" s="290" t="e">
        <v>#REF!</v>
      </c>
      <c r="M8" s="289" t="b">
        <v>0</v>
      </c>
      <c r="N8" s="290"/>
      <c r="O8" s="289"/>
    </row>
    <row r="9" spans="1:15" ht="15" customHeight="1" x14ac:dyDescent="0.25">
      <c r="A9" s="169" t="str">
        <f>E9&amp;COUNTIFS($E$2:E9,E9)</f>
        <v>0</v>
      </c>
      <c r="B9" s="166"/>
      <c r="C9" s="168"/>
      <c r="D9" s="167"/>
      <c r="E9" s="166"/>
      <c r="F9" s="165"/>
      <c r="G9" s="164"/>
      <c r="I9" s="303" t="s">
        <v>546</v>
      </c>
      <c r="J9" s="291"/>
      <c r="K9" s="291"/>
      <c r="L9" s="290" t="e">
        <v>#REF!</v>
      </c>
      <c r="M9" s="289" t="b">
        <v>0</v>
      </c>
      <c r="N9" s="290"/>
      <c r="O9" s="289"/>
    </row>
    <row r="10" spans="1:15" ht="15" customHeight="1" x14ac:dyDescent="0.25">
      <c r="A10" s="169" t="str">
        <f>E10&amp;COUNTIFS($E$2:E10,E10)</f>
        <v>0</v>
      </c>
      <c r="B10" s="166"/>
      <c r="C10" s="168"/>
      <c r="D10" s="167"/>
      <c r="E10" s="166"/>
      <c r="F10" s="165"/>
      <c r="G10" s="164"/>
      <c r="I10" s="303" t="s">
        <v>544</v>
      </c>
      <c r="J10" s="291"/>
      <c r="K10" s="291"/>
      <c r="L10" s="290" t="e">
        <v>#REF!</v>
      </c>
      <c r="M10" s="289" t="b">
        <v>0</v>
      </c>
      <c r="N10" s="290"/>
      <c r="O10" s="289"/>
    </row>
    <row r="11" spans="1:15" ht="15" customHeight="1" x14ac:dyDescent="0.25">
      <c r="A11" s="169" t="str">
        <f>E11&amp;COUNTIFS($E$2:E11,E11)</f>
        <v>0</v>
      </c>
      <c r="B11" s="166"/>
      <c r="C11" s="168"/>
      <c r="D11" s="167"/>
      <c r="E11" s="166"/>
      <c r="F11" s="165"/>
      <c r="G11" s="164"/>
      <c r="I11" s="303" t="s">
        <v>542</v>
      </c>
      <c r="J11" s="291"/>
      <c r="K11" s="291"/>
      <c r="L11" s="290" t="e">
        <v>#REF!</v>
      </c>
      <c r="M11" s="289" t="b">
        <v>0</v>
      </c>
      <c r="N11" s="290"/>
      <c r="O11" s="289"/>
    </row>
    <row r="12" spans="1:15" ht="15" customHeight="1" x14ac:dyDescent="0.25">
      <c r="A12" s="169" t="str">
        <f>E12&amp;COUNTIFS($E$2:E12,E12)</f>
        <v>0</v>
      </c>
      <c r="B12" s="166"/>
      <c r="C12" s="168"/>
      <c r="D12" s="167"/>
      <c r="E12" s="166"/>
      <c r="F12" s="165"/>
      <c r="G12" s="164"/>
      <c r="I12" s="303" t="s">
        <v>540</v>
      </c>
      <c r="J12" s="291"/>
      <c r="K12" s="291"/>
      <c r="L12" s="290" t="e">
        <v>#REF!</v>
      </c>
      <c r="M12" s="289" t="b">
        <v>0</v>
      </c>
      <c r="N12" s="290"/>
      <c r="O12" s="289"/>
    </row>
    <row r="13" spans="1:15" ht="15" customHeight="1" x14ac:dyDescent="0.25">
      <c r="A13" s="169" t="str">
        <f>E13&amp;COUNTIFS($E$2:E13,E13)</f>
        <v>0</v>
      </c>
      <c r="B13" s="166"/>
      <c r="C13" s="168"/>
      <c r="D13" s="167"/>
      <c r="E13" s="166"/>
      <c r="F13" s="165"/>
      <c r="G13" s="164"/>
      <c r="I13" s="303" t="s">
        <v>538</v>
      </c>
      <c r="J13" s="291"/>
      <c r="K13" s="291"/>
      <c r="L13" s="290" t="e">
        <v>#REF!</v>
      </c>
      <c r="M13" s="289" t="b">
        <v>0</v>
      </c>
      <c r="N13" s="290"/>
      <c r="O13" s="289"/>
    </row>
    <row r="14" spans="1:15" ht="15" customHeight="1" x14ac:dyDescent="0.25">
      <c r="A14" s="169" t="str">
        <f>E14&amp;COUNTIFS($E$2:E14,E14)</f>
        <v>0</v>
      </c>
      <c r="B14" s="166"/>
      <c r="C14" s="168"/>
      <c r="D14" s="167"/>
      <c r="E14" s="166"/>
      <c r="F14" s="165"/>
      <c r="G14" s="164"/>
      <c r="I14" s="303" t="s">
        <v>536</v>
      </c>
      <c r="J14" s="291"/>
      <c r="K14" s="291"/>
      <c r="L14" s="290" t="e">
        <v>#REF!</v>
      </c>
      <c r="M14" s="289" t="b">
        <v>0</v>
      </c>
      <c r="N14" s="290"/>
      <c r="O14" s="289"/>
    </row>
    <row r="15" spans="1:15" ht="15" customHeight="1" x14ac:dyDescent="0.25">
      <c r="A15" s="169" t="str">
        <f>E15&amp;COUNTIFS($E$2:E15,E15)</f>
        <v>0</v>
      </c>
      <c r="B15" s="166"/>
      <c r="C15" s="168"/>
      <c r="D15" s="167"/>
      <c r="E15" s="166"/>
      <c r="F15" s="165"/>
      <c r="G15" s="164"/>
      <c r="I15" s="303" t="s">
        <v>534</v>
      </c>
      <c r="J15" s="291"/>
      <c r="K15" s="291"/>
      <c r="L15" s="290" t="e">
        <v>#REF!</v>
      </c>
      <c r="M15" s="289" t="b">
        <v>0</v>
      </c>
      <c r="N15" s="290"/>
      <c r="O15" s="289"/>
    </row>
    <row r="16" spans="1:15" ht="15" customHeight="1" x14ac:dyDescent="0.25">
      <c r="A16" s="169" t="str">
        <f>E16&amp;COUNTIFS($E$2:E16,E16)</f>
        <v>0</v>
      </c>
      <c r="B16" s="166"/>
      <c r="C16" s="168"/>
      <c r="D16" s="167"/>
      <c r="E16" s="166"/>
      <c r="F16" s="165"/>
      <c r="G16" s="164"/>
      <c r="I16" s="303" t="s">
        <v>532</v>
      </c>
      <c r="J16" s="291"/>
      <c r="K16" s="291"/>
      <c r="L16" s="290" t="e">
        <v>#REF!</v>
      </c>
      <c r="M16" s="289" t="b">
        <v>0</v>
      </c>
      <c r="N16" s="290"/>
      <c r="O16" s="289"/>
    </row>
    <row r="17" spans="1:15" ht="15" customHeight="1" x14ac:dyDescent="0.25">
      <c r="A17" s="169" t="str">
        <f>E17&amp;COUNTIFS($E$2:E17,E17)</f>
        <v>0</v>
      </c>
      <c r="B17" s="166"/>
      <c r="C17" s="168"/>
      <c r="D17" s="304"/>
      <c r="E17" s="166"/>
      <c r="F17" s="165"/>
      <c r="G17" s="164"/>
      <c r="I17" s="303" t="s">
        <v>530</v>
      </c>
      <c r="J17" s="291"/>
      <c r="K17" s="291"/>
      <c r="L17" s="290" t="e">
        <v>#REF!</v>
      </c>
      <c r="M17" s="289" t="b">
        <v>0</v>
      </c>
      <c r="N17" s="290"/>
      <c r="O17" s="289"/>
    </row>
    <row r="18" spans="1:15" ht="15" customHeight="1" x14ac:dyDescent="0.25">
      <c r="A18" s="169" t="str">
        <f>E18&amp;COUNTIFS($E$2:E18,E18)</f>
        <v>0</v>
      </c>
      <c r="B18" s="166"/>
      <c r="C18" s="168"/>
      <c r="D18" s="167"/>
      <c r="E18" s="166"/>
      <c r="F18" s="165"/>
      <c r="G18" s="164"/>
      <c r="I18" s="303" t="s">
        <v>528</v>
      </c>
      <c r="J18" s="291"/>
      <c r="K18" s="291"/>
      <c r="L18" s="290" t="e">
        <v>#REF!</v>
      </c>
      <c r="M18" s="289" t="b">
        <v>0</v>
      </c>
      <c r="N18" s="290"/>
      <c r="O18" s="289"/>
    </row>
    <row r="19" spans="1:15" ht="15" customHeight="1" x14ac:dyDescent="0.25">
      <c r="A19" s="169" t="str">
        <f>E19&amp;COUNTIFS($E$2:E19,E19)</f>
        <v>0</v>
      </c>
      <c r="B19" s="166"/>
      <c r="C19" s="168"/>
      <c r="D19" s="167"/>
      <c r="E19" s="166"/>
      <c r="F19" s="165"/>
      <c r="G19" s="164"/>
      <c r="I19" s="303" t="s">
        <v>526</v>
      </c>
      <c r="J19" s="291"/>
      <c r="K19" s="291"/>
      <c r="L19" s="290" t="e">
        <v>#REF!</v>
      </c>
      <c r="M19" s="289" t="b">
        <v>0</v>
      </c>
      <c r="N19" s="290"/>
      <c r="O19" s="289"/>
    </row>
    <row r="20" spans="1:15" ht="15" customHeight="1" x14ac:dyDescent="0.25">
      <c r="A20" s="169" t="str">
        <f>E20&amp;COUNTIFS($E$2:E20,E20)</f>
        <v>0</v>
      </c>
      <c r="B20" s="166"/>
      <c r="C20" s="168"/>
      <c r="D20" s="167"/>
      <c r="E20" s="166"/>
      <c r="F20" s="165"/>
      <c r="G20" s="164"/>
      <c r="I20" s="303" t="s">
        <v>524</v>
      </c>
      <c r="J20" s="291"/>
      <c r="K20" s="291"/>
      <c r="L20" s="290" t="e">
        <v>#REF!</v>
      </c>
      <c r="M20" s="289" t="b">
        <v>0</v>
      </c>
      <c r="N20" s="290"/>
      <c r="O20" s="289"/>
    </row>
    <row r="21" spans="1:15" ht="15" customHeight="1" x14ac:dyDescent="0.25">
      <c r="A21" s="169" t="str">
        <f>E21&amp;COUNTIFS($E$2:E21,E21)</f>
        <v>0</v>
      </c>
      <c r="B21" s="166"/>
      <c r="C21" s="168"/>
      <c r="D21" s="167"/>
      <c r="E21" s="166"/>
      <c r="F21" s="165"/>
      <c r="G21" s="164"/>
      <c r="I21" s="303" t="s">
        <v>522</v>
      </c>
      <c r="J21" s="291"/>
      <c r="K21" s="291"/>
      <c r="L21" s="290" t="e">
        <v>#REF!</v>
      </c>
      <c r="M21" s="289" t="b">
        <v>0</v>
      </c>
      <c r="N21" s="290"/>
      <c r="O21" s="289"/>
    </row>
    <row r="22" spans="1:15" ht="15" customHeight="1" x14ac:dyDescent="0.25">
      <c r="A22" s="169" t="str">
        <f>E22&amp;COUNTIFS($E$2:E22,E22)</f>
        <v>0</v>
      </c>
      <c r="B22" s="166"/>
      <c r="C22" s="168"/>
      <c r="D22" s="167"/>
      <c r="E22" s="166"/>
      <c r="F22" s="165"/>
      <c r="G22" s="164"/>
      <c r="I22" s="303" t="s">
        <v>520</v>
      </c>
      <c r="J22" s="291"/>
      <c r="K22" s="291"/>
      <c r="L22" s="290" t="e">
        <v>#REF!</v>
      </c>
      <c r="M22" s="289" t="b">
        <v>0</v>
      </c>
      <c r="N22" s="290"/>
      <c r="O22" s="289"/>
    </row>
    <row r="23" spans="1:15" ht="15" customHeight="1" x14ac:dyDescent="0.25">
      <c r="A23" s="169" t="str">
        <f>E23&amp;COUNTIFS($E$2:E23,E23)</f>
        <v>0</v>
      </c>
      <c r="B23" s="166"/>
      <c r="C23" s="168"/>
      <c r="D23" s="167"/>
      <c r="E23" s="166"/>
      <c r="F23" s="165"/>
      <c r="G23" s="164"/>
      <c r="I23" s="303" t="s">
        <v>518</v>
      </c>
      <c r="J23" s="291"/>
      <c r="K23" s="291"/>
      <c r="L23" s="290" t="e">
        <v>#REF!</v>
      </c>
      <c r="M23" s="289" t="b">
        <v>0</v>
      </c>
      <c r="N23" s="290"/>
      <c r="O23" s="289"/>
    </row>
    <row r="24" spans="1:15" ht="15" customHeight="1" x14ac:dyDescent="0.25">
      <c r="A24" s="169" t="str">
        <f>E24&amp;COUNTIFS($E$2:E24,E24)</f>
        <v>0</v>
      </c>
      <c r="B24" s="166"/>
      <c r="C24" s="168"/>
      <c r="D24" s="167"/>
      <c r="E24" s="166"/>
      <c r="F24" s="165"/>
      <c r="G24" s="164"/>
      <c r="I24" s="303" t="s">
        <v>516</v>
      </c>
      <c r="J24" s="291"/>
      <c r="K24" s="291"/>
      <c r="L24" s="290" t="e">
        <v>#REF!</v>
      </c>
      <c r="M24" s="289" t="b">
        <v>0</v>
      </c>
      <c r="N24" s="290"/>
      <c r="O24" s="289"/>
    </row>
    <row r="25" spans="1:15" ht="15" customHeight="1" x14ac:dyDescent="0.25">
      <c r="A25" s="169" t="str">
        <f>E25&amp;COUNTIFS($E$2:E25,E25)</f>
        <v>0</v>
      </c>
      <c r="B25" s="166"/>
      <c r="C25" s="168"/>
      <c r="D25" s="167"/>
      <c r="E25" s="166"/>
      <c r="F25" s="165"/>
      <c r="G25" s="164"/>
      <c r="I25" s="303" t="s">
        <v>514</v>
      </c>
      <c r="J25" s="291"/>
      <c r="K25" s="291"/>
      <c r="L25" s="290" t="e">
        <v>#REF!</v>
      </c>
      <c r="M25" s="289" t="b">
        <v>0</v>
      </c>
      <c r="N25" s="290"/>
      <c r="O25" s="289"/>
    </row>
    <row r="26" spans="1:15" ht="15" customHeight="1" thickBot="1" x14ac:dyDescent="0.3">
      <c r="A26" s="163" t="str">
        <f>E26&amp;COUNTIFS($E$2:E26,E26)</f>
        <v>0</v>
      </c>
      <c r="B26" s="160"/>
      <c r="C26" s="162"/>
      <c r="D26" s="161"/>
      <c r="E26" s="160"/>
      <c r="F26" s="159"/>
      <c r="G26" s="158"/>
      <c r="I26" s="303" t="s">
        <v>512</v>
      </c>
      <c r="J26" s="291"/>
      <c r="K26" s="291"/>
      <c r="L26" s="290" t="e">
        <v>#REF!</v>
      </c>
      <c r="M26" s="289" t="b">
        <v>0</v>
      </c>
      <c r="N26" s="290"/>
      <c r="O26" s="289"/>
    </row>
    <row r="27" spans="1:15" ht="15" customHeight="1" x14ac:dyDescent="0.25">
      <c r="A27" s="148"/>
      <c r="C27" s="143"/>
      <c r="D27" s="157"/>
      <c r="E27" s="143"/>
      <c r="F27" s="156"/>
      <c r="G27" s="156"/>
      <c r="I27" s="303" t="s">
        <v>510</v>
      </c>
      <c r="J27" s="291"/>
      <c r="K27" s="291"/>
      <c r="L27" s="290" t="e">
        <v>#REF!</v>
      </c>
      <c r="M27" s="289" t="b">
        <v>0</v>
      </c>
      <c r="N27" s="290"/>
      <c r="O27" s="289"/>
    </row>
    <row r="28" spans="1:15" ht="15" customHeight="1" x14ac:dyDescent="0.25">
      <c r="A28" s="148"/>
      <c r="C28" s="300" t="s">
        <v>623</v>
      </c>
      <c r="D28" s="299"/>
      <c r="E28" s="298"/>
      <c r="F28" s="297">
        <f>SUM(F3:F26)</f>
        <v>0</v>
      </c>
      <c r="G28" s="302">
        <f>SUM(G2:G26)</f>
        <v>0</v>
      </c>
      <c r="I28" s="296" t="s">
        <v>508</v>
      </c>
      <c r="J28" s="291"/>
      <c r="K28" s="291"/>
      <c r="L28" s="290" t="e">
        <v>#REF!</v>
      </c>
      <c r="M28" s="289" t="b">
        <v>0</v>
      </c>
      <c r="N28" s="290"/>
      <c r="O28" s="289"/>
    </row>
    <row r="29" spans="1:15" ht="15" customHeight="1" x14ac:dyDescent="0.25">
      <c r="A29" s="148"/>
      <c r="C29" s="154" t="s">
        <v>622</v>
      </c>
      <c r="D29" s="154"/>
      <c r="E29" s="154"/>
      <c r="F29" s="301"/>
      <c r="G29" s="301"/>
      <c r="I29" s="296" t="s">
        <v>506</v>
      </c>
      <c r="J29" s="291"/>
      <c r="K29" s="291"/>
      <c r="L29" s="290" t="e">
        <v>#REF!</v>
      </c>
      <c r="M29" s="289" t="b">
        <v>0</v>
      </c>
      <c r="N29" s="290"/>
      <c r="O29" s="289"/>
    </row>
    <row r="30" spans="1:15" ht="15" customHeight="1" x14ac:dyDescent="0.25">
      <c r="A30" s="148"/>
      <c r="C30" s="300" t="s">
        <v>621</v>
      </c>
      <c r="D30" s="299"/>
      <c r="E30" s="298"/>
      <c r="F30" s="297">
        <f>F2</f>
        <v>0</v>
      </c>
      <c r="G30" s="297">
        <v>0</v>
      </c>
      <c r="I30" s="296" t="s">
        <v>504</v>
      </c>
      <c r="J30" s="291"/>
      <c r="K30" s="291"/>
      <c r="L30" s="290" t="e">
        <v>#REF!</v>
      </c>
      <c r="M30" s="289" t="b">
        <v>0</v>
      </c>
      <c r="N30" s="290"/>
      <c r="O30" s="289"/>
    </row>
    <row r="31" spans="1:15" ht="15" customHeight="1" x14ac:dyDescent="0.25">
      <c r="A31" s="148"/>
      <c r="C31" s="300" t="s">
        <v>582</v>
      </c>
      <c r="D31" s="299"/>
      <c r="E31" s="298"/>
      <c r="F31" s="297">
        <f>F30+F28</f>
        <v>0</v>
      </c>
      <c r="G31" s="297">
        <f>G30+G28</f>
        <v>0</v>
      </c>
      <c r="I31" s="296" t="s">
        <v>502</v>
      </c>
      <c r="J31" s="291"/>
      <c r="K31" s="291"/>
      <c r="L31" s="290" t="e">
        <v>#REF!</v>
      </c>
      <c r="M31" s="289" t="b">
        <v>0</v>
      </c>
      <c r="N31" s="290"/>
      <c r="O31" s="289"/>
    </row>
    <row r="32" spans="1:15" ht="15" customHeight="1" thickBot="1" x14ac:dyDescent="0.3">
      <c r="A32" s="148"/>
      <c r="C32" s="145"/>
      <c r="D32" s="145"/>
      <c r="E32" s="145"/>
      <c r="F32" s="293"/>
      <c r="G32" s="293"/>
      <c r="I32" s="289" t="s">
        <v>500</v>
      </c>
      <c r="J32" s="291"/>
      <c r="K32" s="291"/>
      <c r="L32" s="290" t="e">
        <v>#REF!</v>
      </c>
      <c r="M32" s="289" t="b">
        <v>0</v>
      </c>
      <c r="N32" s="290"/>
      <c r="O32" s="289"/>
    </row>
    <row r="33" spans="1:15" ht="15" customHeight="1" thickBot="1" x14ac:dyDescent="0.3">
      <c r="A33" s="148"/>
      <c r="C33" s="295" t="s">
        <v>620</v>
      </c>
      <c r="D33" s="294">
        <f>F31-G31</f>
        <v>0</v>
      </c>
      <c r="E33" s="145"/>
      <c r="F33" s="293"/>
      <c r="G33" s="293"/>
      <c r="I33" s="289" t="s">
        <v>498</v>
      </c>
      <c r="J33" s="291"/>
      <c r="K33" s="291"/>
      <c r="L33" s="290" t="e">
        <v>#REF!</v>
      </c>
      <c r="M33" s="289" t="b">
        <v>0</v>
      </c>
      <c r="N33" s="290"/>
      <c r="O33" s="289"/>
    </row>
    <row r="34" spans="1:15" ht="15.75" thickBot="1" x14ac:dyDescent="0.3">
      <c r="E34" s="143"/>
      <c r="I34" s="289" t="s">
        <v>496</v>
      </c>
      <c r="J34" s="291"/>
      <c r="K34" s="291"/>
      <c r="L34" s="290" t="e">
        <v>#REF!</v>
      </c>
      <c r="M34" s="289" t="b">
        <v>0</v>
      </c>
      <c r="N34" s="290"/>
      <c r="O34" s="289"/>
    </row>
    <row r="35" spans="1:15" ht="30.75" thickBot="1" x14ac:dyDescent="0.3">
      <c r="A35" s="287" t="s">
        <v>626</v>
      </c>
      <c r="B35" s="286" t="s">
        <v>606</v>
      </c>
      <c r="C35" s="283" t="s">
        <v>637</v>
      </c>
      <c r="D35" s="284" t="s">
        <v>601</v>
      </c>
      <c r="E35" s="283" t="s">
        <v>287</v>
      </c>
      <c r="F35" s="282" t="s">
        <v>624</v>
      </c>
      <c r="G35" s="282" t="s">
        <v>596</v>
      </c>
      <c r="I35" s="289" t="s">
        <v>494</v>
      </c>
      <c r="J35" s="291"/>
      <c r="K35" s="291"/>
      <c r="L35" s="290" t="e">
        <v>#REF!</v>
      </c>
      <c r="M35" s="289" t="b">
        <v>0</v>
      </c>
      <c r="N35" s="290"/>
      <c r="O35" s="289"/>
    </row>
    <row r="36" spans="1:15" x14ac:dyDescent="0.25">
      <c r="A36" s="169" t="str">
        <f>E36&amp;COUNTIFS($E$2:E36,E36)</f>
        <v>0</v>
      </c>
      <c r="B36" s="172"/>
      <c r="C36" s="174"/>
      <c r="D36" s="173"/>
      <c r="E36" s="172"/>
      <c r="F36" s="171"/>
      <c r="G36" s="170"/>
      <c r="I36" s="289" t="s">
        <v>492</v>
      </c>
      <c r="J36" s="291"/>
      <c r="K36" s="291"/>
      <c r="L36" s="290" t="e">
        <v>#REF!</v>
      </c>
      <c r="M36" s="289" t="b">
        <v>0</v>
      </c>
      <c r="N36" s="290"/>
      <c r="O36" s="289"/>
    </row>
    <row r="37" spans="1:15" x14ac:dyDescent="0.25">
      <c r="A37" s="169" t="str">
        <f>E37&amp;COUNTIFS($E$2:E37,E37)</f>
        <v>0</v>
      </c>
      <c r="B37" s="166"/>
      <c r="C37" s="168"/>
      <c r="D37" s="167"/>
      <c r="E37" s="166"/>
      <c r="F37" s="165"/>
      <c r="G37" s="164"/>
      <c r="I37" s="289" t="s">
        <v>490</v>
      </c>
      <c r="J37" s="291"/>
      <c r="K37" s="291"/>
      <c r="L37" s="290" t="e">
        <v>#REF!</v>
      </c>
      <c r="M37" s="289" t="b">
        <v>0</v>
      </c>
      <c r="N37" s="290"/>
      <c r="O37" s="289"/>
    </row>
    <row r="38" spans="1:15" x14ac:dyDescent="0.25">
      <c r="A38" s="169" t="str">
        <f>E38&amp;COUNTIFS($E$2:E38,E38)</f>
        <v>0</v>
      </c>
      <c r="B38" s="166"/>
      <c r="C38" s="168"/>
      <c r="D38" s="167"/>
      <c r="E38" s="166"/>
      <c r="F38" s="165"/>
      <c r="G38" s="164"/>
      <c r="I38" s="289" t="s">
        <v>488</v>
      </c>
      <c r="J38" s="291"/>
      <c r="K38" s="291"/>
      <c r="L38" s="290" t="e">
        <v>#REF!</v>
      </c>
      <c r="M38" s="289" t="b">
        <v>0</v>
      </c>
      <c r="N38" s="290"/>
      <c r="O38" s="289"/>
    </row>
    <row r="39" spans="1:15" x14ac:dyDescent="0.25">
      <c r="A39" s="169" t="str">
        <f>E39&amp;COUNTIFS($E$2:E39,E39)</f>
        <v>0</v>
      </c>
      <c r="B39" s="166"/>
      <c r="C39" s="168"/>
      <c r="D39" s="167"/>
      <c r="E39" s="166"/>
      <c r="F39" s="165"/>
      <c r="G39" s="164"/>
      <c r="I39" s="289" t="s">
        <v>486</v>
      </c>
      <c r="J39" s="291"/>
      <c r="K39" s="291"/>
      <c r="L39" s="290" t="e">
        <v>#REF!</v>
      </c>
      <c r="M39" s="289" t="b">
        <v>0</v>
      </c>
      <c r="N39" s="290"/>
      <c r="O39" s="289"/>
    </row>
    <row r="40" spans="1:15" x14ac:dyDescent="0.25">
      <c r="A40" s="169" t="str">
        <f>E40&amp;COUNTIFS($E$2:E40,E40)</f>
        <v>0</v>
      </c>
      <c r="B40" s="166"/>
      <c r="C40" s="168"/>
      <c r="D40" s="167"/>
      <c r="E40" s="166"/>
      <c r="F40" s="165"/>
      <c r="G40" s="164"/>
      <c r="I40" s="289" t="s">
        <v>484</v>
      </c>
      <c r="J40" s="291"/>
      <c r="K40" s="291"/>
      <c r="L40" s="290" t="e">
        <v>#REF!</v>
      </c>
      <c r="M40" s="289" t="b">
        <v>0</v>
      </c>
      <c r="N40" s="290"/>
      <c r="O40" s="289"/>
    </row>
    <row r="41" spans="1:15" x14ac:dyDescent="0.25">
      <c r="A41" s="169" t="str">
        <f>E41&amp;COUNTIFS($E$2:E41,E41)</f>
        <v>0</v>
      </c>
      <c r="B41" s="166"/>
      <c r="C41" s="168"/>
      <c r="D41" s="167"/>
      <c r="E41" s="166"/>
      <c r="F41" s="165"/>
      <c r="G41" s="164"/>
      <c r="I41" s="289" t="s">
        <v>482</v>
      </c>
      <c r="J41" s="291"/>
      <c r="K41" s="291"/>
      <c r="L41" s="290" t="e">
        <v>#REF!</v>
      </c>
      <c r="M41" s="289" t="b">
        <v>0</v>
      </c>
      <c r="N41" s="290"/>
      <c r="O41" s="289"/>
    </row>
    <row r="42" spans="1:15" x14ac:dyDescent="0.25">
      <c r="A42" s="169" t="str">
        <f>E42&amp;COUNTIFS($E$2:E42,E42)</f>
        <v>0</v>
      </c>
      <c r="B42" s="166"/>
      <c r="C42" s="168"/>
      <c r="D42" s="167"/>
      <c r="E42" s="166"/>
      <c r="F42" s="165"/>
      <c r="G42" s="164"/>
      <c r="I42" s="289" t="s">
        <v>480</v>
      </c>
      <c r="J42" s="291"/>
      <c r="K42" s="291"/>
      <c r="L42" s="290" t="e">
        <v>#REF!</v>
      </c>
      <c r="M42" s="289" t="b">
        <v>0</v>
      </c>
      <c r="N42" s="290"/>
      <c r="O42" s="289"/>
    </row>
    <row r="43" spans="1:15" x14ac:dyDescent="0.25">
      <c r="A43" s="169" t="str">
        <f>E43&amp;COUNTIFS($E$2:E43,E43)</f>
        <v>0</v>
      </c>
      <c r="B43" s="166"/>
      <c r="C43" s="168"/>
      <c r="D43" s="167"/>
      <c r="E43" s="166"/>
      <c r="F43" s="165"/>
      <c r="G43" s="164"/>
      <c r="I43" s="289" t="s">
        <v>478</v>
      </c>
      <c r="J43" s="291"/>
      <c r="K43" s="291"/>
      <c r="L43" s="290" t="e">
        <v>#REF!</v>
      </c>
      <c r="M43" s="289" t="b">
        <v>0</v>
      </c>
      <c r="N43" s="290"/>
      <c r="O43" s="289"/>
    </row>
    <row r="44" spans="1:15" x14ac:dyDescent="0.25">
      <c r="A44" s="169" t="str">
        <f>E44&amp;COUNTIFS($E$2:E44,E44)</f>
        <v>0</v>
      </c>
      <c r="B44" s="166"/>
      <c r="C44" s="168"/>
      <c r="D44" s="167"/>
      <c r="E44" s="166"/>
      <c r="F44" s="165"/>
      <c r="G44" s="164"/>
      <c r="I44" s="289" t="s">
        <v>476</v>
      </c>
      <c r="J44" s="291"/>
      <c r="K44" s="291"/>
      <c r="L44" s="290" t="e">
        <v>#REF!</v>
      </c>
      <c r="M44" s="289" t="b">
        <v>0</v>
      </c>
      <c r="N44" s="290"/>
      <c r="O44" s="289"/>
    </row>
    <row r="45" spans="1:15" x14ac:dyDescent="0.25">
      <c r="A45" s="169" t="str">
        <f>E45&amp;COUNTIFS($E$2:E45,E45)</f>
        <v>0</v>
      </c>
      <c r="B45" s="166"/>
      <c r="C45" s="168"/>
      <c r="D45" s="167"/>
      <c r="E45" s="166"/>
      <c r="F45" s="165"/>
      <c r="G45" s="164"/>
      <c r="I45" s="289" t="s">
        <v>474</v>
      </c>
      <c r="J45" s="291"/>
      <c r="K45" s="291"/>
      <c r="L45" s="290" t="e">
        <v>#REF!</v>
      </c>
      <c r="M45" s="289" t="b">
        <v>0</v>
      </c>
      <c r="N45" s="290"/>
      <c r="O45" s="289"/>
    </row>
    <row r="46" spans="1:15" x14ac:dyDescent="0.25">
      <c r="A46" s="169" t="str">
        <f>E46&amp;COUNTIFS($E$2:E46,E46)</f>
        <v>0</v>
      </c>
      <c r="B46" s="166"/>
      <c r="C46" s="168"/>
      <c r="D46" s="167"/>
      <c r="E46" s="166"/>
      <c r="F46" s="165"/>
      <c r="G46" s="164"/>
      <c r="I46" s="289" t="s">
        <v>472</v>
      </c>
      <c r="J46" s="291"/>
      <c r="K46" s="291"/>
      <c r="L46" s="290" t="e">
        <v>#REF!</v>
      </c>
      <c r="M46" s="289" t="b">
        <v>0</v>
      </c>
      <c r="N46" s="290"/>
      <c r="O46" s="289"/>
    </row>
    <row r="47" spans="1:15" x14ac:dyDescent="0.25">
      <c r="A47" s="169" t="str">
        <f>E47&amp;COUNTIFS($E$2:E47,E47)</f>
        <v>0</v>
      </c>
      <c r="B47" s="166"/>
      <c r="C47" s="168"/>
      <c r="D47" s="167"/>
      <c r="E47" s="166"/>
      <c r="F47" s="165"/>
      <c r="G47" s="164"/>
      <c r="I47" s="289" t="s">
        <v>470</v>
      </c>
      <c r="J47" s="291"/>
      <c r="K47" s="291"/>
      <c r="L47" s="290" t="e">
        <v>#REF!</v>
      </c>
      <c r="M47" s="289" t="b">
        <v>0</v>
      </c>
      <c r="N47" s="290"/>
      <c r="O47" s="289"/>
    </row>
    <row r="48" spans="1:15" x14ac:dyDescent="0.25">
      <c r="A48" s="169" t="str">
        <f>E48&amp;COUNTIFS($E$2:E48,E48)</f>
        <v>0</v>
      </c>
      <c r="B48" s="166"/>
      <c r="C48" s="168"/>
      <c r="D48" s="167"/>
      <c r="E48" s="166"/>
      <c r="F48" s="165"/>
      <c r="G48" s="164"/>
      <c r="I48" s="289" t="s">
        <v>468</v>
      </c>
      <c r="J48" s="291"/>
      <c r="K48" s="291"/>
      <c r="L48" s="290" t="e">
        <v>#REF!</v>
      </c>
      <c r="M48" s="289" t="b">
        <v>0</v>
      </c>
      <c r="N48" s="290"/>
      <c r="O48" s="289"/>
    </row>
    <row r="49" spans="1:15" x14ac:dyDescent="0.25">
      <c r="A49" s="169" t="str">
        <f>E49&amp;COUNTIFS($E$2:E49,E49)</f>
        <v>0</v>
      </c>
      <c r="B49" s="166"/>
      <c r="C49" s="168"/>
      <c r="D49" s="167"/>
      <c r="E49" s="166"/>
      <c r="F49" s="165"/>
      <c r="G49" s="164"/>
      <c r="I49" s="289" t="s">
        <v>466</v>
      </c>
      <c r="J49" s="291"/>
      <c r="K49" s="291"/>
      <c r="L49" s="290" t="e">
        <v>#REF!</v>
      </c>
      <c r="M49" s="289" t="b">
        <v>0</v>
      </c>
      <c r="N49" s="290"/>
      <c r="O49" s="289"/>
    </row>
    <row r="50" spans="1:15" x14ac:dyDescent="0.25">
      <c r="A50" s="169" t="str">
        <f>E50&amp;COUNTIFS($E$2:E50,E50)</f>
        <v>0</v>
      </c>
      <c r="B50" s="166"/>
      <c r="C50" s="168"/>
      <c r="D50" s="167"/>
      <c r="E50" s="166"/>
      <c r="F50" s="165"/>
      <c r="G50" s="164"/>
      <c r="I50" s="289" t="s">
        <v>464</v>
      </c>
      <c r="J50" s="291"/>
      <c r="K50" s="291"/>
      <c r="L50" s="290" t="e">
        <v>#REF!</v>
      </c>
      <c r="M50" s="289" t="b">
        <v>0</v>
      </c>
      <c r="N50" s="290"/>
      <c r="O50" s="289"/>
    </row>
    <row r="51" spans="1:15" x14ac:dyDescent="0.25">
      <c r="A51" s="169" t="str">
        <f>E51&amp;COUNTIFS($E$2:E51,E51)</f>
        <v>0</v>
      </c>
      <c r="B51" s="166"/>
      <c r="C51" s="168"/>
      <c r="D51" s="167"/>
      <c r="E51" s="166"/>
      <c r="F51" s="165"/>
      <c r="G51" s="164"/>
      <c r="I51" s="289" t="s">
        <v>462</v>
      </c>
      <c r="J51" s="291"/>
      <c r="K51" s="291"/>
      <c r="L51" s="290" t="e">
        <v>#REF!</v>
      </c>
      <c r="M51" s="289" t="b">
        <v>0</v>
      </c>
      <c r="N51" s="290"/>
      <c r="O51" s="289"/>
    </row>
    <row r="52" spans="1:15" x14ac:dyDescent="0.25">
      <c r="A52" s="169" t="str">
        <f>E52&amp;COUNTIFS($E$2:E52,E52)</f>
        <v>0</v>
      </c>
      <c r="B52" s="166"/>
      <c r="C52" s="168"/>
      <c r="D52" s="167"/>
      <c r="E52" s="166"/>
      <c r="F52" s="165"/>
      <c r="G52" s="164"/>
      <c r="I52" s="289" t="s">
        <v>460</v>
      </c>
      <c r="J52" s="291"/>
      <c r="K52" s="291"/>
      <c r="L52" s="290" t="e">
        <v>#REF!</v>
      </c>
      <c r="M52" s="289" t="b">
        <v>0</v>
      </c>
      <c r="N52" s="290"/>
      <c r="O52" s="289"/>
    </row>
    <row r="53" spans="1:15" x14ac:dyDescent="0.25">
      <c r="A53" s="169" t="str">
        <f>E53&amp;COUNTIFS($E$2:E53,E53)</f>
        <v>0</v>
      </c>
      <c r="B53" s="166"/>
      <c r="C53" s="168"/>
      <c r="D53" s="167"/>
      <c r="E53" s="166"/>
      <c r="F53" s="165"/>
      <c r="G53" s="164"/>
      <c r="I53" s="289" t="s">
        <v>458</v>
      </c>
      <c r="J53" s="291"/>
      <c r="K53" s="291"/>
      <c r="L53" s="290" t="e">
        <v>#REF!</v>
      </c>
      <c r="M53" s="289" t="b">
        <v>0</v>
      </c>
      <c r="N53" s="290"/>
      <c r="O53" s="289"/>
    </row>
    <row r="54" spans="1:15" x14ac:dyDescent="0.25">
      <c r="A54" s="169" t="str">
        <f>E54&amp;COUNTIFS($E$2:E54,E54)</f>
        <v>0</v>
      </c>
      <c r="B54" s="166"/>
      <c r="C54" s="168"/>
      <c r="D54" s="167"/>
      <c r="E54" s="166"/>
      <c r="F54" s="165"/>
      <c r="G54" s="164"/>
      <c r="I54" s="289" t="s">
        <v>456</v>
      </c>
      <c r="J54" s="291"/>
      <c r="K54" s="291"/>
      <c r="L54" s="290" t="e">
        <v>#REF!</v>
      </c>
      <c r="M54" s="289" t="b">
        <v>0</v>
      </c>
      <c r="N54" s="290"/>
      <c r="O54" s="289"/>
    </row>
    <row r="55" spans="1:15" x14ac:dyDescent="0.25">
      <c r="A55" s="169" t="str">
        <f>E55&amp;COUNTIFS($E$2:E55,E55)</f>
        <v>0</v>
      </c>
      <c r="B55" s="166"/>
      <c r="C55" s="168"/>
      <c r="D55" s="167"/>
      <c r="E55" s="166"/>
      <c r="F55" s="165"/>
      <c r="G55" s="164"/>
      <c r="I55" s="289" t="s">
        <v>454</v>
      </c>
      <c r="J55" s="291"/>
      <c r="K55" s="291"/>
      <c r="L55" s="290" t="e">
        <v>#REF!</v>
      </c>
      <c r="M55" s="289" t="b">
        <v>0</v>
      </c>
      <c r="N55" s="290"/>
      <c r="O55" s="289"/>
    </row>
    <row r="56" spans="1:15" x14ac:dyDescent="0.25">
      <c r="A56" s="169" t="str">
        <f>E56&amp;COUNTIFS($E$2:E56,E56)</f>
        <v>0</v>
      </c>
      <c r="B56" s="166"/>
      <c r="C56" s="168"/>
      <c r="D56" s="167"/>
      <c r="E56" s="166"/>
      <c r="F56" s="165"/>
      <c r="G56" s="164"/>
      <c r="I56" s="289" t="s">
        <v>452</v>
      </c>
      <c r="J56" s="291"/>
      <c r="K56" s="291"/>
      <c r="L56" s="290" t="e">
        <v>#REF!</v>
      </c>
      <c r="M56" s="289" t="b">
        <v>0</v>
      </c>
      <c r="N56" s="290"/>
      <c r="O56" s="289"/>
    </row>
    <row r="57" spans="1:15" x14ac:dyDescent="0.25">
      <c r="A57" s="169" t="str">
        <f>E57&amp;COUNTIFS($E$2:E57,E57)</f>
        <v>0</v>
      </c>
      <c r="B57" s="166"/>
      <c r="C57" s="168"/>
      <c r="D57" s="167"/>
      <c r="E57" s="166"/>
      <c r="F57" s="165"/>
      <c r="G57" s="164"/>
      <c r="I57" s="289" t="s">
        <v>450</v>
      </c>
      <c r="J57" s="291"/>
      <c r="K57" s="291"/>
      <c r="L57" s="290" t="e">
        <v>#REF!</v>
      </c>
      <c r="M57" s="289" t="b">
        <v>0</v>
      </c>
      <c r="N57" s="290"/>
      <c r="O57" s="289"/>
    </row>
    <row r="58" spans="1:15" x14ac:dyDescent="0.25">
      <c r="A58" s="169" t="str">
        <f>E58&amp;COUNTIFS($E$2:E58,E58)</f>
        <v>0</v>
      </c>
      <c r="B58" s="166"/>
      <c r="C58" s="168"/>
      <c r="D58" s="167"/>
      <c r="E58" s="166"/>
      <c r="F58" s="165"/>
      <c r="G58" s="164"/>
      <c r="I58" s="289" t="s">
        <v>448</v>
      </c>
      <c r="J58" s="291"/>
      <c r="K58" s="291"/>
      <c r="L58" s="290" t="e">
        <v>#REF!</v>
      </c>
      <c r="M58" s="289" t="b">
        <v>0</v>
      </c>
      <c r="N58" s="290"/>
      <c r="O58" s="289"/>
    </row>
    <row r="59" spans="1:15" x14ac:dyDescent="0.25">
      <c r="A59" s="169" t="str">
        <f>E59&amp;COUNTIFS($E$2:E59,E59)</f>
        <v>0</v>
      </c>
      <c r="B59" s="166"/>
      <c r="C59" s="168"/>
      <c r="D59" s="167"/>
      <c r="E59" s="166"/>
      <c r="F59" s="165"/>
      <c r="G59" s="164"/>
      <c r="I59" s="289" t="s">
        <v>446</v>
      </c>
      <c r="J59" s="291"/>
      <c r="K59" s="291"/>
      <c r="L59" s="290" t="e">
        <v>#REF!</v>
      </c>
      <c r="M59" s="289" t="b">
        <v>0</v>
      </c>
      <c r="N59" s="290"/>
      <c r="O59" s="289"/>
    </row>
    <row r="60" spans="1:15" ht="15.75" thickBot="1" x14ac:dyDescent="0.3">
      <c r="A60" s="163" t="str">
        <f>E60&amp;COUNTIFS($E$2:E60,E60)</f>
        <v>0</v>
      </c>
      <c r="B60" s="160"/>
      <c r="C60" s="162"/>
      <c r="D60" s="161"/>
      <c r="E60" s="160"/>
      <c r="F60" s="159"/>
      <c r="G60" s="158"/>
      <c r="I60" s="289" t="s">
        <v>444</v>
      </c>
      <c r="J60" s="291"/>
      <c r="K60" s="291"/>
      <c r="L60" s="290" t="e">
        <v>#REF!</v>
      </c>
      <c r="M60" s="289" t="b">
        <v>0</v>
      </c>
      <c r="N60" s="290"/>
      <c r="O60" s="289"/>
    </row>
    <row r="61" spans="1:15" x14ac:dyDescent="0.25">
      <c r="A61" s="148"/>
      <c r="C61" s="143"/>
      <c r="D61" s="157"/>
      <c r="E61" s="143"/>
      <c r="F61" s="156"/>
      <c r="G61" s="156"/>
      <c r="I61" s="289" t="s">
        <v>442</v>
      </c>
      <c r="J61" s="291"/>
      <c r="K61" s="291"/>
      <c r="L61" s="290" t="e">
        <v>#REF!</v>
      </c>
      <c r="M61" s="289" t="b">
        <v>0</v>
      </c>
      <c r="N61" s="290"/>
      <c r="O61" s="289"/>
    </row>
    <row r="62" spans="1:15" x14ac:dyDescent="0.25">
      <c r="A62" s="148"/>
      <c r="C62" s="153" t="s">
        <v>623</v>
      </c>
      <c r="D62" s="152"/>
      <c r="E62" s="151"/>
      <c r="F62" s="150">
        <f>SUM(F36:F60)</f>
        <v>0</v>
      </c>
      <c r="G62" s="155">
        <f>SUM(G36:G60)</f>
        <v>0</v>
      </c>
      <c r="I62" s="289" t="s">
        <v>440</v>
      </c>
      <c r="J62" s="291"/>
      <c r="K62" s="291"/>
      <c r="L62" s="290" t="e">
        <v>#REF!</v>
      </c>
      <c r="M62" s="289" t="b">
        <v>0</v>
      </c>
      <c r="N62" s="290"/>
      <c r="O62" s="289"/>
    </row>
    <row r="63" spans="1:15" x14ac:dyDescent="0.25">
      <c r="A63" s="148"/>
      <c r="C63" s="145" t="s">
        <v>622</v>
      </c>
      <c r="D63" s="154"/>
      <c r="E63" s="145"/>
      <c r="F63" s="144"/>
      <c r="G63" s="144"/>
      <c r="I63" s="289" t="s">
        <v>438</v>
      </c>
      <c r="J63" s="291"/>
      <c r="K63" s="291"/>
      <c r="L63" s="290" t="e">
        <v>#REF!</v>
      </c>
      <c r="M63" s="289" t="b">
        <v>0</v>
      </c>
      <c r="N63" s="290"/>
      <c r="O63" s="289"/>
    </row>
    <row r="64" spans="1:15" x14ac:dyDescent="0.25">
      <c r="A64" s="148"/>
      <c r="C64" s="153" t="s">
        <v>621</v>
      </c>
      <c r="D64" s="152"/>
      <c r="E64" s="151"/>
      <c r="F64" s="150">
        <f>F31</f>
        <v>0</v>
      </c>
      <c r="G64" s="150">
        <f>G31</f>
        <v>0</v>
      </c>
      <c r="I64" s="289" t="s">
        <v>436</v>
      </c>
      <c r="J64" s="291"/>
      <c r="K64" s="291"/>
      <c r="L64" s="290" t="e">
        <v>#REF!</v>
      </c>
      <c r="M64" s="289" t="b">
        <v>0</v>
      </c>
      <c r="N64" s="290"/>
      <c r="O64" s="289"/>
    </row>
    <row r="65" spans="1:16" x14ac:dyDescent="0.25">
      <c r="A65" s="148"/>
      <c r="C65" s="153" t="s">
        <v>582</v>
      </c>
      <c r="D65" s="152"/>
      <c r="E65" s="151"/>
      <c r="F65" s="150">
        <f>F64+F62</f>
        <v>0</v>
      </c>
      <c r="G65" s="150">
        <f>G64+G62</f>
        <v>0</v>
      </c>
      <c r="I65" s="289" t="s">
        <v>434</v>
      </c>
      <c r="J65" s="291"/>
      <c r="K65" s="291"/>
      <c r="L65" s="290" t="e">
        <v>#REF!</v>
      </c>
      <c r="M65" s="289" t="b">
        <v>0</v>
      </c>
      <c r="N65" s="290"/>
      <c r="O65" s="289"/>
    </row>
    <row r="66" spans="1:16" ht="15.75" thickBot="1" x14ac:dyDescent="0.3">
      <c r="A66" s="148"/>
      <c r="C66" s="145"/>
      <c r="D66" s="149"/>
      <c r="E66" s="145"/>
      <c r="F66" s="144"/>
      <c r="G66" s="144"/>
      <c r="I66" s="289" t="s">
        <v>432</v>
      </c>
      <c r="J66" s="291"/>
      <c r="K66" s="291"/>
      <c r="L66" s="290" t="e">
        <v>#REF!</v>
      </c>
      <c r="M66" s="289" t="b">
        <v>0</v>
      </c>
      <c r="N66" s="290"/>
      <c r="O66" s="289"/>
    </row>
    <row r="67" spans="1:16" ht="15.75" thickBot="1" x14ac:dyDescent="0.3">
      <c r="A67" s="148"/>
      <c r="C67" s="147" t="s">
        <v>620</v>
      </c>
      <c r="D67" s="146">
        <f>F65-G65</f>
        <v>0</v>
      </c>
      <c r="E67" s="145"/>
      <c r="F67" s="144"/>
      <c r="G67" s="144"/>
      <c r="I67" s="289" t="s">
        <v>430</v>
      </c>
      <c r="J67" s="291"/>
      <c r="K67" s="291"/>
      <c r="L67" s="290" t="e">
        <v>#REF!</v>
      </c>
      <c r="M67" s="289" t="b">
        <v>0</v>
      </c>
      <c r="N67" s="290"/>
      <c r="O67" s="289"/>
    </row>
    <row r="68" spans="1:16" ht="15.75" thickBot="1" x14ac:dyDescent="0.3">
      <c r="I68" s="289" t="s">
        <v>428</v>
      </c>
      <c r="J68" s="291"/>
      <c r="K68" s="291"/>
      <c r="L68" s="290" t="e">
        <v>#REF!</v>
      </c>
      <c r="M68" s="289" t="b">
        <v>0</v>
      </c>
      <c r="N68" s="290"/>
      <c r="O68" s="289"/>
    </row>
    <row r="69" spans="1:16" ht="30.75" thickBot="1" x14ac:dyDescent="0.3">
      <c r="A69" s="287" t="s">
        <v>626</v>
      </c>
      <c r="B69" s="286" t="s">
        <v>606</v>
      </c>
      <c r="C69" s="285" t="s">
        <v>637</v>
      </c>
      <c r="D69" s="284" t="s">
        <v>601</v>
      </c>
      <c r="E69" s="283" t="s">
        <v>287</v>
      </c>
      <c r="F69" s="282" t="s">
        <v>624</v>
      </c>
      <c r="G69" s="282" t="s">
        <v>596</v>
      </c>
      <c r="I69" s="289" t="s">
        <v>426</v>
      </c>
      <c r="J69" s="291"/>
      <c r="K69" s="291"/>
      <c r="L69" s="290" t="e">
        <v>#REF!</v>
      </c>
      <c r="M69" s="289" t="b">
        <v>0</v>
      </c>
      <c r="N69" s="290"/>
      <c r="O69" s="289"/>
    </row>
    <row r="70" spans="1:16" x14ac:dyDescent="0.25">
      <c r="A70" s="169" t="str">
        <f>E70&amp;COUNTIFS($E$2:E70,E70)</f>
        <v>0</v>
      </c>
      <c r="B70" s="172"/>
      <c r="C70" s="174"/>
      <c r="D70" s="173"/>
      <c r="E70" s="172"/>
      <c r="F70" s="171"/>
      <c r="G70" s="170"/>
      <c r="I70" s="289"/>
      <c r="J70" s="291"/>
      <c r="K70" s="291"/>
      <c r="L70" s="290" t="e">
        <v>#REF!</v>
      </c>
      <c r="M70" s="289" t="b">
        <v>0</v>
      </c>
      <c r="N70" s="290"/>
      <c r="O70" s="289"/>
    </row>
    <row r="71" spans="1:16" x14ac:dyDescent="0.25">
      <c r="A71" s="169" t="str">
        <f>E71&amp;COUNTIFS($E$2:E71,E71)</f>
        <v>0</v>
      </c>
      <c r="B71" s="166"/>
      <c r="C71" s="168"/>
      <c r="D71" s="167"/>
      <c r="E71" s="166"/>
      <c r="F71" s="165"/>
      <c r="G71" s="164"/>
      <c r="I71" s="289"/>
      <c r="J71" s="291"/>
      <c r="K71" s="291"/>
      <c r="L71" s="290" t="e">
        <v>#REF!</v>
      </c>
      <c r="M71" s="289" t="b">
        <v>0</v>
      </c>
      <c r="N71" s="290"/>
      <c r="O71" s="289"/>
    </row>
    <row r="72" spans="1:16" x14ac:dyDescent="0.25">
      <c r="A72" s="169" t="str">
        <f>E72&amp;COUNTIFS($E$2:E72,E72)</f>
        <v>0</v>
      </c>
      <c r="B72" s="166"/>
      <c r="C72" s="168"/>
      <c r="D72" s="167"/>
      <c r="E72" s="166"/>
      <c r="F72" s="165"/>
      <c r="G72" s="164"/>
      <c r="I72" s="289"/>
      <c r="J72" s="291"/>
      <c r="K72" s="291"/>
      <c r="L72" s="290" t="e">
        <v>#REF!</v>
      </c>
      <c r="M72" s="289" t="b">
        <v>0</v>
      </c>
      <c r="N72" s="290"/>
      <c r="O72" s="289"/>
      <c r="P72" s="165"/>
    </row>
    <row r="73" spans="1:16" x14ac:dyDescent="0.25">
      <c r="A73" s="169" t="str">
        <f>E73&amp;COUNTIFS($E$2:E73,E73)</f>
        <v>0</v>
      </c>
      <c r="B73" s="166"/>
      <c r="C73" s="168"/>
      <c r="D73" s="167"/>
      <c r="E73" s="166"/>
      <c r="F73" s="165"/>
      <c r="G73" s="164"/>
      <c r="I73" s="289"/>
      <c r="J73" s="291"/>
      <c r="K73" s="291"/>
      <c r="L73" s="290" t="e">
        <v>#REF!</v>
      </c>
      <c r="M73" s="289" t="b">
        <v>0</v>
      </c>
      <c r="N73" s="290"/>
      <c r="O73" s="289"/>
    </row>
    <row r="74" spans="1:16" x14ac:dyDescent="0.25">
      <c r="A74" s="169" t="str">
        <f>E74&amp;COUNTIFS($E$2:E74,E74)</f>
        <v>0</v>
      </c>
      <c r="B74" s="166"/>
      <c r="C74" s="168"/>
      <c r="D74" s="167"/>
      <c r="E74" s="166"/>
      <c r="F74" s="165"/>
      <c r="G74" s="164"/>
      <c r="I74" s="289"/>
      <c r="J74" s="291"/>
      <c r="K74" s="291"/>
      <c r="L74" s="290" t="e">
        <v>#REF!</v>
      </c>
      <c r="M74" s="289" t="b">
        <v>0</v>
      </c>
      <c r="N74" s="290"/>
      <c r="O74" s="289"/>
      <c r="P74" s="164"/>
    </row>
    <row r="75" spans="1:16" x14ac:dyDescent="0.25">
      <c r="A75" s="169" t="str">
        <f>E75&amp;COUNTIFS($E$2:E75,E75)</f>
        <v>0</v>
      </c>
      <c r="B75" s="166"/>
      <c r="C75" s="168"/>
      <c r="D75" s="167"/>
      <c r="E75" s="166"/>
      <c r="F75" s="165"/>
      <c r="G75" s="164"/>
      <c r="I75" s="289"/>
      <c r="J75" s="291"/>
      <c r="K75" s="291"/>
      <c r="L75" s="290" t="e">
        <v>#REF!</v>
      </c>
      <c r="M75" s="289" t="b">
        <v>0</v>
      </c>
      <c r="N75" s="290"/>
      <c r="O75" s="289"/>
    </row>
    <row r="76" spans="1:16" x14ac:dyDescent="0.25">
      <c r="A76" s="169" t="str">
        <f>E76&amp;COUNTIFS($E$2:E76,E76)</f>
        <v>0</v>
      </c>
      <c r="B76" s="166"/>
      <c r="C76" s="168"/>
      <c r="D76" s="167"/>
      <c r="E76" s="166"/>
      <c r="F76" s="165"/>
      <c r="G76" s="164"/>
      <c r="I76" s="289"/>
      <c r="J76" s="291"/>
      <c r="K76" s="291"/>
      <c r="L76" s="290" t="e">
        <v>#REF!</v>
      </c>
      <c r="M76" s="289" t="b">
        <v>0</v>
      </c>
      <c r="N76" s="290"/>
      <c r="O76" s="289"/>
    </row>
    <row r="77" spans="1:16" x14ac:dyDescent="0.25">
      <c r="A77" s="169" t="str">
        <f>E77&amp;COUNTIFS($E$2:E77,E77)</f>
        <v>0</v>
      </c>
      <c r="B77" s="166"/>
      <c r="C77" s="168"/>
      <c r="D77" s="167"/>
      <c r="E77" s="166"/>
      <c r="F77" s="165"/>
      <c r="G77" s="164"/>
      <c r="I77" s="289"/>
      <c r="J77" s="291"/>
      <c r="K77" s="291"/>
      <c r="L77" s="290" t="e">
        <v>#REF!</v>
      </c>
      <c r="M77" s="289" t="b">
        <v>0</v>
      </c>
      <c r="N77" s="290"/>
      <c r="O77" s="289"/>
    </row>
    <row r="78" spans="1:16" x14ac:dyDescent="0.25">
      <c r="A78" s="169" t="str">
        <f>E78&amp;COUNTIFS($E$2:E78,E78)</f>
        <v>0</v>
      </c>
      <c r="B78" s="166"/>
      <c r="C78" s="168"/>
      <c r="D78" s="167"/>
      <c r="E78" s="166"/>
      <c r="F78" s="165"/>
      <c r="G78" s="164"/>
      <c r="I78" s="289" t="s">
        <v>612</v>
      </c>
      <c r="J78" s="291"/>
      <c r="K78" s="291"/>
      <c r="L78" s="290" t="e">
        <v>#REF!</v>
      </c>
      <c r="M78" s="289" t="b">
        <v>0</v>
      </c>
      <c r="N78" s="290"/>
      <c r="O78" s="289"/>
    </row>
    <row r="79" spans="1:16" x14ac:dyDescent="0.25">
      <c r="A79" s="169" t="str">
        <f>E79&amp;COUNTIFS($E$2:E79,E79)</f>
        <v>0</v>
      </c>
      <c r="B79" s="166"/>
      <c r="C79" s="168"/>
      <c r="D79" s="167"/>
      <c r="E79" s="166"/>
      <c r="F79" s="165"/>
      <c r="G79" s="164"/>
      <c r="I79" s="289" t="s">
        <v>613</v>
      </c>
      <c r="J79" s="291"/>
      <c r="K79" s="291"/>
      <c r="L79" s="290" t="e">
        <v>#REF!</v>
      </c>
      <c r="M79" s="289" t="b">
        <v>0</v>
      </c>
      <c r="N79" s="290"/>
      <c r="O79" s="289"/>
    </row>
    <row r="80" spans="1:16" x14ac:dyDescent="0.25">
      <c r="A80" s="169" t="str">
        <f>E80&amp;COUNTIFS($E$2:E80,E80)</f>
        <v>0</v>
      </c>
      <c r="B80" s="166"/>
      <c r="C80" s="168"/>
      <c r="D80" s="167"/>
      <c r="E80" s="166"/>
      <c r="F80" s="165"/>
      <c r="G80" s="164"/>
      <c r="I80" s="289" t="s">
        <v>614</v>
      </c>
      <c r="J80" s="291"/>
      <c r="K80" s="291"/>
      <c r="L80" s="290" t="e">
        <v>#REF!</v>
      </c>
      <c r="M80" s="289" t="b">
        <v>0</v>
      </c>
      <c r="N80" s="290"/>
      <c r="O80" s="289"/>
    </row>
    <row r="81" spans="1:15" x14ac:dyDescent="0.25">
      <c r="A81" s="169" t="str">
        <f>E81&amp;COUNTIFS($E$2:E81,E81)</f>
        <v>0</v>
      </c>
      <c r="B81" s="166"/>
      <c r="C81" s="168"/>
      <c r="D81" s="167"/>
      <c r="E81" s="166"/>
      <c r="F81" s="165"/>
      <c r="G81" s="164"/>
      <c r="I81" s="289" t="s">
        <v>615</v>
      </c>
      <c r="J81" s="291"/>
      <c r="K81" s="291"/>
      <c r="L81" s="290" t="e">
        <v>#REF!</v>
      </c>
      <c r="M81" s="289" t="b">
        <v>0</v>
      </c>
      <c r="N81" s="290"/>
      <c r="O81" s="289"/>
    </row>
    <row r="82" spans="1:15" x14ac:dyDescent="0.25">
      <c r="A82" s="169" t="str">
        <f>E82&amp;COUNTIFS($E$2:E82,E82)</f>
        <v>0</v>
      </c>
      <c r="B82" s="166"/>
      <c r="C82" s="168"/>
      <c r="D82" s="167"/>
      <c r="E82" s="166"/>
      <c r="F82" s="165"/>
      <c r="G82" s="164"/>
      <c r="I82" s="289" t="s">
        <v>616</v>
      </c>
      <c r="J82" s="291"/>
      <c r="K82" s="291"/>
      <c r="L82" s="290" t="e">
        <v>#REF!</v>
      </c>
      <c r="M82" s="289" t="b">
        <v>0</v>
      </c>
      <c r="N82" s="290"/>
      <c r="O82" s="289"/>
    </row>
    <row r="83" spans="1:15" x14ac:dyDescent="0.25">
      <c r="A83" s="169" t="str">
        <f>E83&amp;COUNTIFS($E$2:E83,E83)</f>
        <v>0</v>
      </c>
      <c r="B83" s="166"/>
      <c r="C83" s="168"/>
      <c r="D83" s="167"/>
      <c r="E83" s="166"/>
      <c r="F83" s="165"/>
      <c r="G83" s="164"/>
      <c r="I83" s="289" t="s">
        <v>618</v>
      </c>
      <c r="J83" s="291"/>
      <c r="K83" s="291"/>
      <c r="L83" s="290" t="e">
        <v>#REF!</v>
      </c>
      <c r="M83" s="289" t="b">
        <v>0</v>
      </c>
      <c r="N83" s="290"/>
      <c r="O83" s="289"/>
    </row>
    <row r="84" spans="1:15" x14ac:dyDescent="0.25">
      <c r="A84" s="169" t="str">
        <f>E84&amp;COUNTIFS($E$2:E84,E84)</f>
        <v>0</v>
      </c>
      <c r="B84" s="166"/>
      <c r="C84" s="168"/>
      <c r="D84" s="167"/>
      <c r="E84" s="166"/>
      <c r="F84" s="165"/>
      <c r="G84" s="164"/>
      <c r="I84" s="289" t="s">
        <v>619</v>
      </c>
      <c r="J84" s="291"/>
      <c r="K84" s="291"/>
      <c r="L84" s="290" t="e">
        <v>#REF!</v>
      </c>
      <c r="M84" s="289" t="b">
        <v>0</v>
      </c>
      <c r="N84" s="290"/>
      <c r="O84" s="289"/>
    </row>
    <row r="85" spans="1:15" x14ac:dyDescent="0.25">
      <c r="A85" s="169" t="str">
        <f>E85&amp;COUNTIFS($E$2:E85,E85)</f>
        <v>0</v>
      </c>
      <c r="B85" s="166"/>
      <c r="C85" s="168"/>
      <c r="D85" s="167"/>
      <c r="E85" s="166"/>
      <c r="F85" s="165"/>
      <c r="G85" s="164"/>
      <c r="I85" s="289" t="s">
        <v>383</v>
      </c>
      <c r="J85" s="291"/>
      <c r="K85" s="291"/>
      <c r="L85" s="290" t="e">
        <v>#REF!</v>
      </c>
      <c r="M85" s="289" t="b">
        <v>0</v>
      </c>
      <c r="N85" s="290"/>
      <c r="O85" s="289"/>
    </row>
    <row r="86" spans="1:15" x14ac:dyDescent="0.25">
      <c r="A86" s="169" t="str">
        <f>E86&amp;COUNTIFS($E$2:E86,E86)</f>
        <v>0</v>
      </c>
      <c r="B86" s="166"/>
      <c r="C86" s="168"/>
      <c r="D86" s="167"/>
      <c r="E86" s="166"/>
      <c r="F86" s="165"/>
      <c r="G86" s="164"/>
      <c r="I86" s="289" t="s">
        <v>381</v>
      </c>
      <c r="J86" s="291"/>
      <c r="K86" s="291"/>
      <c r="L86" s="290" t="e">
        <v>#REF!</v>
      </c>
      <c r="M86" s="289" t="b">
        <v>0</v>
      </c>
      <c r="N86" s="290"/>
      <c r="O86" s="289"/>
    </row>
    <row r="87" spans="1:15" x14ac:dyDescent="0.25">
      <c r="A87" s="169" t="str">
        <f>E87&amp;COUNTIFS($E$2:E87,E87)</f>
        <v>0</v>
      </c>
      <c r="B87" s="166"/>
      <c r="C87" s="168"/>
      <c r="D87" s="167"/>
      <c r="E87" s="166"/>
      <c r="F87" s="165"/>
      <c r="G87" s="164"/>
      <c r="I87" s="289" t="s">
        <v>380</v>
      </c>
      <c r="J87" s="291"/>
      <c r="K87" s="291"/>
      <c r="L87" s="290" t="e">
        <v>#REF!</v>
      </c>
      <c r="M87" s="289" t="b">
        <v>0</v>
      </c>
      <c r="N87" s="290"/>
      <c r="O87" s="289"/>
    </row>
    <row r="88" spans="1:15" x14ac:dyDescent="0.25">
      <c r="A88" s="169" t="str">
        <f>E88&amp;COUNTIFS($E$2:E88,E88)</f>
        <v>0</v>
      </c>
      <c r="B88" s="166"/>
      <c r="C88" s="168"/>
      <c r="D88" s="167"/>
      <c r="E88" s="166"/>
      <c r="F88" s="165"/>
      <c r="G88" s="164"/>
      <c r="I88" s="289" t="s">
        <v>379</v>
      </c>
      <c r="J88" s="291"/>
      <c r="K88" s="291"/>
      <c r="L88" s="290" t="e">
        <v>#REF!</v>
      </c>
      <c r="M88" s="289" t="b">
        <v>0</v>
      </c>
      <c r="N88" s="290"/>
      <c r="O88" s="289"/>
    </row>
    <row r="89" spans="1:15" x14ac:dyDescent="0.25">
      <c r="A89" s="169" t="str">
        <f>E89&amp;COUNTIFS($E$2:E89,E89)</f>
        <v>0</v>
      </c>
      <c r="B89" s="166"/>
      <c r="C89" s="168"/>
      <c r="D89" s="167"/>
      <c r="E89" s="166"/>
      <c r="F89" s="165"/>
      <c r="G89" s="164"/>
      <c r="I89" s="289" t="s">
        <v>378</v>
      </c>
      <c r="J89" s="291"/>
      <c r="K89" s="291"/>
      <c r="L89" s="290" t="e">
        <v>#REF!</v>
      </c>
      <c r="M89" s="289" t="b">
        <v>0</v>
      </c>
      <c r="N89" s="290"/>
      <c r="O89" s="289"/>
    </row>
    <row r="90" spans="1:15" x14ac:dyDescent="0.25">
      <c r="A90" s="169" t="str">
        <f>E90&amp;COUNTIFS($E$2:E90,E90)</f>
        <v>0</v>
      </c>
      <c r="B90" s="166"/>
      <c r="C90" s="168"/>
      <c r="D90" s="167"/>
      <c r="E90" s="166"/>
      <c r="F90" s="165"/>
      <c r="G90" s="164"/>
      <c r="I90" s="289" t="s">
        <v>377</v>
      </c>
      <c r="J90" s="291"/>
      <c r="K90" s="291"/>
      <c r="L90" s="290" t="e">
        <v>#REF!</v>
      </c>
      <c r="M90" s="289" t="b">
        <v>0</v>
      </c>
      <c r="N90" s="290"/>
      <c r="O90" s="289"/>
    </row>
    <row r="91" spans="1:15" x14ac:dyDescent="0.25">
      <c r="A91" s="169" t="str">
        <f>E91&amp;COUNTIFS($E$2:E91,E91)</f>
        <v>0</v>
      </c>
      <c r="B91" s="166"/>
      <c r="C91" s="168"/>
      <c r="D91" s="167"/>
      <c r="E91" s="166"/>
      <c r="F91" s="165"/>
      <c r="G91" s="164"/>
      <c r="I91" s="289" t="s">
        <v>373</v>
      </c>
      <c r="J91" s="291"/>
      <c r="K91" s="291"/>
      <c r="L91" s="290" t="e">
        <v>#REF!</v>
      </c>
      <c r="M91" s="289" t="b">
        <v>0</v>
      </c>
      <c r="N91" s="290"/>
      <c r="O91" s="289"/>
    </row>
    <row r="92" spans="1:15" x14ac:dyDescent="0.25">
      <c r="A92" s="169" t="str">
        <f>E92&amp;COUNTIFS($E$2:E92,E92)</f>
        <v>0</v>
      </c>
      <c r="B92" s="166"/>
      <c r="C92" s="168"/>
      <c r="D92" s="167"/>
      <c r="E92" s="166"/>
      <c r="F92" s="165"/>
      <c r="G92" s="164"/>
      <c r="I92" s="289" t="s">
        <v>371</v>
      </c>
      <c r="J92" s="291"/>
      <c r="K92" s="291"/>
      <c r="L92" s="290" t="e">
        <v>#REF!</v>
      </c>
      <c r="M92" s="289" t="b">
        <v>0</v>
      </c>
      <c r="N92" s="290"/>
      <c r="O92" s="289"/>
    </row>
    <row r="93" spans="1:15" x14ac:dyDescent="0.25">
      <c r="A93" s="169" t="str">
        <f>E93&amp;COUNTIFS($E$2:E93,E93)</f>
        <v>0</v>
      </c>
      <c r="B93" s="166"/>
      <c r="C93" s="168"/>
      <c r="D93" s="167"/>
      <c r="E93" s="166"/>
      <c r="F93" s="165"/>
      <c r="G93" s="164"/>
      <c r="I93" s="289" t="s">
        <v>369</v>
      </c>
      <c r="J93" s="291"/>
      <c r="K93" s="291"/>
      <c r="L93" s="290" t="e">
        <v>#REF!</v>
      </c>
      <c r="M93" s="289" t="b">
        <v>0</v>
      </c>
      <c r="N93" s="290"/>
      <c r="O93" s="289"/>
    </row>
    <row r="94" spans="1:15" ht="15.75" thickBot="1" x14ac:dyDescent="0.3">
      <c r="A94" s="163" t="str">
        <f>E94&amp;COUNTIFS($E$2:E94,E94)</f>
        <v>0</v>
      </c>
      <c r="B94" s="160"/>
      <c r="C94" s="162"/>
      <c r="D94" s="161"/>
      <c r="E94" s="160"/>
      <c r="F94" s="159"/>
      <c r="G94" s="158"/>
      <c r="I94" s="289" t="s">
        <v>368</v>
      </c>
      <c r="J94" s="291"/>
      <c r="K94" s="291"/>
      <c r="L94" s="290" t="e">
        <v>#REF!</v>
      </c>
      <c r="M94" s="289" t="b">
        <v>0</v>
      </c>
      <c r="N94" s="290"/>
      <c r="O94" s="289"/>
    </row>
    <row r="95" spans="1:15" x14ac:dyDescent="0.25">
      <c r="A95" s="148"/>
      <c r="C95" s="143"/>
      <c r="D95" s="157"/>
      <c r="E95" s="143"/>
      <c r="F95" s="156"/>
      <c r="G95" s="156"/>
      <c r="I95" s="289" t="s">
        <v>364</v>
      </c>
      <c r="J95" s="291"/>
      <c r="K95" s="291"/>
      <c r="L95" s="290" t="e">
        <v>#REF!</v>
      </c>
      <c r="M95" s="289" t="b">
        <v>0</v>
      </c>
      <c r="N95" s="290"/>
      <c r="O95" s="289"/>
    </row>
    <row r="96" spans="1:15" x14ac:dyDescent="0.25">
      <c r="A96" s="148"/>
      <c r="C96" s="153" t="s">
        <v>623</v>
      </c>
      <c r="D96" s="152"/>
      <c r="E96" s="151"/>
      <c r="F96" s="150">
        <f>SUM(F70:F94)</f>
        <v>0</v>
      </c>
      <c r="G96" s="155">
        <f>SUM(G70:G94)</f>
        <v>0</v>
      </c>
      <c r="I96" s="289" t="s">
        <v>362</v>
      </c>
      <c r="J96" s="291"/>
      <c r="K96" s="291"/>
      <c r="L96" s="290" t="e">
        <v>#REF!</v>
      </c>
      <c r="M96" s="289" t="b">
        <v>0</v>
      </c>
      <c r="N96" s="290"/>
      <c r="O96" s="289"/>
    </row>
    <row r="97" spans="1:15" x14ac:dyDescent="0.25">
      <c r="A97" s="148"/>
      <c r="C97" s="145" t="s">
        <v>622</v>
      </c>
      <c r="D97" s="154"/>
      <c r="E97" s="145"/>
      <c r="F97" s="144"/>
      <c r="G97" s="144"/>
      <c r="I97" s="289" t="s">
        <v>361</v>
      </c>
      <c r="J97" s="291"/>
      <c r="K97" s="291"/>
      <c r="L97" s="290" t="e">
        <v>#REF!</v>
      </c>
      <c r="M97" s="289" t="b">
        <v>0</v>
      </c>
      <c r="N97" s="290"/>
      <c r="O97" s="289"/>
    </row>
    <row r="98" spans="1:15" x14ac:dyDescent="0.25">
      <c r="A98" s="148"/>
      <c r="C98" s="153" t="s">
        <v>621</v>
      </c>
      <c r="D98" s="152"/>
      <c r="E98" s="151"/>
      <c r="F98" s="150">
        <f>F65</f>
        <v>0</v>
      </c>
      <c r="G98" s="150">
        <f>G65</f>
        <v>0</v>
      </c>
      <c r="I98" s="289" t="s">
        <v>359</v>
      </c>
      <c r="J98" s="291"/>
      <c r="K98" s="291"/>
      <c r="L98" s="290" t="e">
        <v>#REF!</v>
      </c>
      <c r="M98" s="289" t="b">
        <v>0</v>
      </c>
      <c r="N98" s="290"/>
      <c r="O98" s="289"/>
    </row>
    <row r="99" spans="1:15" x14ac:dyDescent="0.25">
      <c r="A99" s="148"/>
      <c r="C99" s="153" t="s">
        <v>582</v>
      </c>
      <c r="D99" s="152"/>
      <c r="E99" s="151"/>
      <c r="F99" s="150">
        <f>F98+F96</f>
        <v>0</v>
      </c>
      <c r="G99" s="150">
        <f>G98+G96</f>
        <v>0</v>
      </c>
      <c r="I99" s="289" t="s">
        <v>358</v>
      </c>
      <c r="J99" s="291"/>
      <c r="K99" s="291"/>
      <c r="L99" s="290" t="e">
        <v>#REF!</v>
      </c>
      <c r="M99" s="289" t="b">
        <v>0</v>
      </c>
      <c r="N99" s="290"/>
      <c r="O99" s="289"/>
    </row>
    <row r="100" spans="1:15" ht="15.75" thickBot="1" x14ac:dyDescent="0.3">
      <c r="A100" s="148"/>
      <c r="C100" s="145"/>
      <c r="D100" s="149"/>
      <c r="E100" s="145"/>
      <c r="F100" s="144"/>
      <c r="G100" s="144"/>
      <c r="I100" s="289" t="s">
        <v>357</v>
      </c>
      <c r="J100" s="291"/>
      <c r="K100" s="291"/>
      <c r="L100" s="290" t="e">
        <v>#REF!</v>
      </c>
      <c r="M100" s="289" t="b">
        <v>0</v>
      </c>
      <c r="N100" s="290"/>
      <c r="O100" s="289"/>
    </row>
    <row r="101" spans="1:15" ht="15.75" thickBot="1" x14ac:dyDescent="0.3">
      <c r="A101" s="148"/>
      <c r="C101" s="147" t="s">
        <v>620</v>
      </c>
      <c r="D101" s="146">
        <f>F99-G99</f>
        <v>0</v>
      </c>
      <c r="E101" s="145"/>
      <c r="F101" s="144"/>
      <c r="G101" s="144"/>
      <c r="I101" s="289" t="s">
        <v>355</v>
      </c>
      <c r="J101" s="291"/>
      <c r="K101" s="291"/>
      <c r="L101" s="290" t="e">
        <v>#REF!</v>
      </c>
      <c r="M101" s="289" t="b">
        <v>0</v>
      </c>
      <c r="N101" s="290"/>
      <c r="O101" s="289"/>
    </row>
    <row r="102" spans="1:15" ht="15.75" thickBot="1" x14ac:dyDescent="0.3">
      <c r="I102" s="289" t="s">
        <v>352</v>
      </c>
      <c r="J102" s="291"/>
      <c r="K102" s="291"/>
      <c r="L102" s="290" t="e">
        <v>#REF!</v>
      </c>
      <c r="M102" s="289" t="b">
        <v>0</v>
      </c>
      <c r="N102" s="290"/>
      <c r="O102" s="289"/>
    </row>
    <row r="103" spans="1:15" ht="30.75" thickBot="1" x14ac:dyDescent="0.3">
      <c r="A103" s="287" t="s">
        <v>626</v>
      </c>
      <c r="B103" s="286" t="s">
        <v>606</v>
      </c>
      <c r="C103" s="285" t="s">
        <v>637</v>
      </c>
      <c r="D103" s="284" t="s">
        <v>601</v>
      </c>
      <c r="E103" s="283" t="s">
        <v>287</v>
      </c>
      <c r="F103" s="282" t="s">
        <v>624</v>
      </c>
      <c r="G103" s="282" t="s">
        <v>596</v>
      </c>
      <c r="I103" s="289" t="s">
        <v>350</v>
      </c>
      <c r="J103" s="291"/>
      <c r="K103" s="291"/>
      <c r="L103" s="290" t="e">
        <v>#REF!</v>
      </c>
      <c r="M103" s="289" t="b">
        <v>0</v>
      </c>
      <c r="N103" s="290"/>
      <c r="O103" s="289"/>
    </row>
    <row r="104" spans="1:15" x14ac:dyDescent="0.25">
      <c r="A104" s="169" t="str">
        <f>E104&amp;COUNTIFS($E$2:E104,E104)</f>
        <v>0</v>
      </c>
      <c r="B104" s="172"/>
      <c r="C104" s="174"/>
      <c r="D104" s="173"/>
      <c r="E104" s="172"/>
      <c r="F104" s="171"/>
      <c r="G104" s="170"/>
      <c r="I104" s="289" t="s">
        <v>349</v>
      </c>
      <c r="J104" s="291"/>
      <c r="K104" s="291"/>
      <c r="L104" s="290" t="e">
        <v>#REF!</v>
      </c>
      <c r="M104" s="289" t="b">
        <v>0</v>
      </c>
      <c r="N104" s="290"/>
      <c r="O104" s="289"/>
    </row>
    <row r="105" spans="1:15" x14ac:dyDescent="0.25">
      <c r="A105" s="169" t="str">
        <f>E105&amp;COUNTIFS($E$2:E105,E105)</f>
        <v>0</v>
      </c>
      <c r="B105" s="166"/>
      <c r="C105" s="168"/>
      <c r="D105" s="167"/>
      <c r="E105" s="166"/>
      <c r="F105" s="165"/>
      <c r="G105" s="164"/>
      <c r="I105" s="289" t="s">
        <v>348</v>
      </c>
      <c r="J105" s="291"/>
      <c r="K105" s="291"/>
      <c r="L105" s="290" t="e">
        <v>#REF!</v>
      </c>
      <c r="M105" s="289" t="b">
        <v>0</v>
      </c>
      <c r="N105" s="290"/>
      <c r="O105" s="289"/>
    </row>
    <row r="106" spans="1:15" x14ac:dyDescent="0.25">
      <c r="A106" s="169" t="str">
        <f>E106&amp;COUNTIFS($E$2:E106,E106)</f>
        <v>0</v>
      </c>
      <c r="B106" s="166"/>
      <c r="C106" s="168"/>
      <c r="D106" s="167"/>
      <c r="E106" s="166"/>
      <c r="F106" s="165"/>
      <c r="G106" s="164"/>
      <c r="I106" s="289" t="s">
        <v>346</v>
      </c>
      <c r="J106" s="291"/>
      <c r="K106" s="291"/>
      <c r="L106" s="290" t="e">
        <v>#REF!</v>
      </c>
      <c r="M106" s="289" t="b">
        <v>0</v>
      </c>
      <c r="N106" s="290"/>
      <c r="O106" s="289"/>
    </row>
    <row r="107" spans="1:15" x14ac:dyDescent="0.25">
      <c r="A107" s="169" t="str">
        <f>E107&amp;COUNTIFS($E$2:E107,E107)</f>
        <v>0</v>
      </c>
      <c r="B107" s="166"/>
      <c r="C107" s="168"/>
      <c r="D107" s="167"/>
      <c r="E107" s="166"/>
      <c r="F107" s="165"/>
      <c r="G107" s="164"/>
      <c r="I107" s="289" t="s">
        <v>345</v>
      </c>
      <c r="J107" s="291"/>
      <c r="K107" s="291"/>
      <c r="L107" s="290" t="e">
        <v>#REF!</v>
      </c>
      <c r="M107" s="289" t="b">
        <v>0</v>
      </c>
      <c r="N107" s="290"/>
      <c r="O107" s="289"/>
    </row>
    <row r="108" spans="1:15" x14ac:dyDescent="0.25">
      <c r="A108" s="169" t="str">
        <f>E108&amp;COUNTIFS($E$2:E108,E108)</f>
        <v>0</v>
      </c>
      <c r="B108" s="166"/>
      <c r="C108" s="168"/>
      <c r="D108" s="167"/>
      <c r="E108" s="166"/>
      <c r="F108" s="165"/>
      <c r="G108" s="164"/>
      <c r="I108" s="289" t="s">
        <v>344</v>
      </c>
      <c r="J108" s="291"/>
      <c r="K108" s="291"/>
      <c r="L108" s="290" t="e">
        <v>#REF!</v>
      </c>
      <c r="M108" s="289" t="b">
        <v>0</v>
      </c>
      <c r="N108" s="290"/>
      <c r="O108" s="289"/>
    </row>
    <row r="109" spans="1:15" x14ac:dyDescent="0.25">
      <c r="A109" s="169" t="str">
        <f>E109&amp;COUNTIFS($E$2:E109,E109)</f>
        <v>0</v>
      </c>
      <c r="B109" s="166"/>
      <c r="C109" s="168"/>
      <c r="D109" s="167"/>
      <c r="E109" s="166"/>
      <c r="F109" s="165"/>
      <c r="G109" s="164"/>
      <c r="I109" s="289" t="s">
        <v>337</v>
      </c>
      <c r="J109" s="291"/>
      <c r="K109" s="291"/>
      <c r="L109" s="290" t="e">
        <v>#REF!</v>
      </c>
      <c r="M109" s="289" t="b">
        <v>0</v>
      </c>
      <c r="N109" s="290"/>
      <c r="O109" s="289"/>
    </row>
    <row r="110" spans="1:15" x14ac:dyDescent="0.25">
      <c r="A110" s="169" t="str">
        <f>E110&amp;COUNTIFS($E$2:E110,E110)</f>
        <v>0</v>
      </c>
      <c r="B110" s="166"/>
      <c r="C110" s="168"/>
      <c r="D110" s="167"/>
      <c r="E110" s="166"/>
      <c r="F110" s="165"/>
      <c r="G110" s="164"/>
      <c r="I110" s="289" t="s">
        <v>336</v>
      </c>
      <c r="J110" s="291"/>
      <c r="K110" s="291"/>
      <c r="L110" s="290" t="e">
        <v>#REF!</v>
      </c>
      <c r="M110" s="289" t="b">
        <v>0</v>
      </c>
      <c r="N110" s="290"/>
      <c r="O110" s="289"/>
    </row>
    <row r="111" spans="1:15" x14ac:dyDescent="0.25">
      <c r="A111" s="169" t="str">
        <f>E111&amp;COUNTIFS($E$2:E111,E111)</f>
        <v>0</v>
      </c>
      <c r="B111" s="166"/>
      <c r="C111" s="168"/>
      <c r="D111" s="167"/>
      <c r="E111" s="166"/>
      <c r="F111" s="165"/>
      <c r="G111" s="164"/>
      <c r="I111" s="289" t="s">
        <v>330</v>
      </c>
      <c r="J111" s="291"/>
      <c r="K111" s="291"/>
      <c r="L111" s="290" t="e">
        <v>#REF!</v>
      </c>
      <c r="M111" s="289" t="b">
        <v>0</v>
      </c>
      <c r="N111" s="290"/>
      <c r="O111" s="289"/>
    </row>
    <row r="112" spans="1:15" x14ac:dyDescent="0.25">
      <c r="A112" s="169" t="str">
        <f>E112&amp;COUNTIFS($E$2:E112,E112)</f>
        <v>0</v>
      </c>
      <c r="B112" s="166"/>
      <c r="C112" s="168"/>
      <c r="D112" s="167"/>
      <c r="E112" s="166"/>
      <c r="F112" s="165"/>
      <c r="G112" s="164"/>
      <c r="I112" s="289" t="s">
        <v>328</v>
      </c>
      <c r="J112" s="291"/>
      <c r="K112" s="291"/>
      <c r="L112" s="290" t="e">
        <v>#REF!</v>
      </c>
      <c r="M112" s="289" t="b">
        <v>0</v>
      </c>
      <c r="N112" s="290"/>
      <c r="O112" s="289"/>
    </row>
    <row r="113" spans="1:15" x14ac:dyDescent="0.25">
      <c r="A113" s="169" t="str">
        <f>E113&amp;COUNTIFS($E$2:E113,E113)</f>
        <v>0</v>
      </c>
      <c r="B113" s="166"/>
      <c r="C113" s="168"/>
      <c r="D113" s="167"/>
      <c r="E113" s="166"/>
      <c r="F113" s="165"/>
      <c r="G113" s="164"/>
      <c r="I113" s="289" t="s">
        <v>326</v>
      </c>
      <c r="J113" s="291"/>
      <c r="K113" s="291"/>
      <c r="L113" s="290" t="e">
        <v>#REF!</v>
      </c>
      <c r="M113" s="289" t="b">
        <v>0</v>
      </c>
      <c r="N113" s="290"/>
      <c r="O113" s="289"/>
    </row>
    <row r="114" spans="1:15" x14ac:dyDescent="0.25">
      <c r="A114" s="169" t="str">
        <f>E114&amp;COUNTIFS($E$2:E114,E114)</f>
        <v>0</v>
      </c>
      <c r="B114" s="166"/>
      <c r="C114" s="168"/>
      <c r="D114" s="167"/>
      <c r="E114" s="166"/>
      <c r="F114" s="165"/>
      <c r="G114" s="164"/>
      <c r="I114" s="289" t="s">
        <v>324</v>
      </c>
      <c r="J114" s="291"/>
      <c r="K114" s="291"/>
      <c r="L114" s="290" t="e">
        <v>#REF!</v>
      </c>
      <c r="M114" s="289" t="b">
        <v>0</v>
      </c>
      <c r="N114" s="290"/>
      <c r="O114" s="289"/>
    </row>
    <row r="115" spans="1:15" x14ac:dyDescent="0.25">
      <c r="A115" s="169" t="str">
        <f>E115&amp;COUNTIFS($E$2:E115,E115)</f>
        <v>0</v>
      </c>
      <c r="B115" s="166"/>
      <c r="C115" s="168"/>
      <c r="D115" s="167"/>
      <c r="E115" s="166"/>
      <c r="F115" s="165"/>
      <c r="G115" s="164"/>
      <c r="I115" s="289" t="s">
        <v>317</v>
      </c>
      <c r="J115" s="291"/>
      <c r="K115" s="291"/>
      <c r="L115" s="290" t="e">
        <v>#REF!</v>
      </c>
      <c r="M115" s="289" t="b">
        <v>0</v>
      </c>
      <c r="N115" s="290"/>
      <c r="O115" s="289"/>
    </row>
    <row r="116" spans="1:15" x14ac:dyDescent="0.25">
      <c r="A116" s="169" t="str">
        <f>E116&amp;COUNTIFS($E$2:E116,E116)</f>
        <v>0</v>
      </c>
      <c r="B116" s="166"/>
      <c r="C116" s="168"/>
      <c r="D116" s="167"/>
      <c r="E116" s="166"/>
      <c r="F116" s="165"/>
      <c r="G116" s="164"/>
      <c r="I116" s="289" t="s">
        <v>306</v>
      </c>
      <c r="J116" s="291"/>
      <c r="K116" s="291"/>
      <c r="L116" s="290" t="e">
        <v>#REF!</v>
      </c>
      <c r="M116" s="289" t="b">
        <v>0</v>
      </c>
      <c r="N116" s="290"/>
      <c r="O116" s="289"/>
    </row>
    <row r="117" spans="1:15" x14ac:dyDescent="0.25">
      <c r="A117" s="169" t="str">
        <f>E117&amp;COUNTIFS($E$2:E117,E117)</f>
        <v>0</v>
      </c>
      <c r="B117" s="166"/>
      <c r="C117" s="168"/>
      <c r="D117" s="167"/>
      <c r="E117" s="166"/>
      <c r="F117" s="165"/>
      <c r="G117" s="164"/>
      <c r="I117" s="289" t="s">
        <v>305</v>
      </c>
      <c r="J117" s="291"/>
      <c r="K117" s="291"/>
      <c r="L117" s="290" t="e">
        <v>#REF!</v>
      </c>
      <c r="M117" s="289" t="b">
        <v>0</v>
      </c>
      <c r="N117" s="290"/>
      <c r="O117" s="289"/>
    </row>
    <row r="118" spans="1:15" x14ac:dyDescent="0.25">
      <c r="A118" s="169" t="str">
        <f>E118&amp;COUNTIFS($E$2:E118,E118)</f>
        <v>0</v>
      </c>
      <c r="B118" s="166"/>
      <c r="C118" s="168"/>
      <c r="D118" s="167"/>
      <c r="E118" s="166"/>
      <c r="F118" s="165"/>
      <c r="G118" s="164"/>
      <c r="I118" s="289" t="s">
        <v>303</v>
      </c>
      <c r="J118" s="291"/>
      <c r="K118" s="291"/>
      <c r="L118" s="290" t="e">
        <v>#REF!</v>
      </c>
      <c r="M118" s="289" t="b">
        <v>0</v>
      </c>
      <c r="N118" s="290"/>
      <c r="O118" s="289"/>
    </row>
    <row r="119" spans="1:15" x14ac:dyDescent="0.25">
      <c r="A119" s="169" t="str">
        <f>E119&amp;COUNTIFS($E$2:E119,E119)</f>
        <v>0</v>
      </c>
      <c r="B119" s="166"/>
      <c r="C119" s="168"/>
      <c r="D119" s="167"/>
      <c r="E119" s="166"/>
      <c r="F119" s="165"/>
      <c r="G119" s="164"/>
      <c r="I119" s="289" t="s">
        <v>301</v>
      </c>
      <c r="J119" s="291"/>
      <c r="K119" s="291"/>
      <c r="L119" s="290" t="e">
        <v>#REF!</v>
      </c>
      <c r="M119" s="289" t="b">
        <v>0</v>
      </c>
      <c r="N119" s="290"/>
      <c r="O119" s="289"/>
    </row>
    <row r="120" spans="1:15" x14ac:dyDescent="0.25">
      <c r="A120" s="169" t="str">
        <f>E120&amp;COUNTIFS($E$2:E120,E120)</f>
        <v>0</v>
      </c>
      <c r="B120" s="166"/>
      <c r="C120" s="168"/>
      <c r="D120" s="167"/>
      <c r="E120" s="166"/>
      <c r="F120" s="165"/>
      <c r="G120" s="164"/>
      <c r="I120" s="289" t="s">
        <v>300</v>
      </c>
      <c r="J120" s="291"/>
      <c r="K120" s="291"/>
      <c r="L120" s="290" t="e">
        <v>#REF!</v>
      </c>
      <c r="M120" s="289" t="b">
        <v>0</v>
      </c>
      <c r="N120" s="290"/>
      <c r="O120" s="289"/>
    </row>
    <row r="121" spans="1:15" x14ac:dyDescent="0.25">
      <c r="A121" s="169" t="str">
        <f>E121&amp;COUNTIFS($E$2:E121,E121)</f>
        <v>0</v>
      </c>
      <c r="B121" s="166"/>
      <c r="C121" s="168"/>
      <c r="D121" s="167"/>
      <c r="E121" s="166"/>
      <c r="F121" s="165"/>
      <c r="G121" s="164"/>
      <c r="I121" s="289" t="s">
        <v>299</v>
      </c>
      <c r="J121" s="291"/>
      <c r="K121" s="291"/>
      <c r="L121" s="290" t="e">
        <v>#REF!</v>
      </c>
      <c r="M121" s="289" t="b">
        <v>0</v>
      </c>
      <c r="N121" s="290"/>
      <c r="O121" s="289"/>
    </row>
    <row r="122" spans="1:15" x14ac:dyDescent="0.25">
      <c r="A122" s="169" t="str">
        <f>E122&amp;COUNTIFS($E$2:E122,E122)</f>
        <v>0</v>
      </c>
      <c r="B122" s="166"/>
      <c r="C122" s="168"/>
      <c r="D122" s="167"/>
      <c r="E122" s="166"/>
      <c r="F122" s="165"/>
      <c r="G122" s="164"/>
      <c r="I122" s="289" t="s">
        <v>298</v>
      </c>
      <c r="J122" s="291"/>
      <c r="K122" s="291"/>
      <c r="L122" s="290" t="e">
        <v>#REF!</v>
      </c>
      <c r="M122" s="289" t="b">
        <v>0</v>
      </c>
      <c r="N122" s="290"/>
      <c r="O122" s="289"/>
    </row>
    <row r="123" spans="1:15" x14ac:dyDescent="0.25">
      <c r="A123" s="169" t="str">
        <f>E123&amp;COUNTIFS($E$2:E123,E123)</f>
        <v>0</v>
      </c>
      <c r="B123" s="166"/>
      <c r="C123" s="168"/>
      <c r="D123" s="167"/>
      <c r="E123" s="166"/>
      <c r="F123" s="165"/>
      <c r="G123" s="164"/>
      <c r="I123" s="289" t="s">
        <v>296</v>
      </c>
      <c r="J123" s="291"/>
      <c r="K123" s="291"/>
      <c r="L123" s="290" t="e">
        <v>#REF!</v>
      </c>
      <c r="M123" s="289" t="b">
        <v>0</v>
      </c>
      <c r="N123" s="290"/>
      <c r="O123" s="289"/>
    </row>
    <row r="124" spans="1:15" x14ac:dyDescent="0.25">
      <c r="A124" s="169" t="str">
        <f>E124&amp;COUNTIFS($E$2:E124,E124)</f>
        <v>0</v>
      </c>
      <c r="B124" s="166"/>
      <c r="C124" s="168"/>
      <c r="D124" s="167"/>
      <c r="E124" s="166"/>
      <c r="F124" s="165"/>
      <c r="G124" s="164"/>
      <c r="I124" s="289" t="s">
        <v>295</v>
      </c>
      <c r="J124" s="291"/>
      <c r="K124" s="291"/>
      <c r="L124" s="290" t="e">
        <v>#REF!</v>
      </c>
      <c r="M124" s="289" t="b">
        <v>0</v>
      </c>
      <c r="N124" s="290"/>
      <c r="O124" s="289"/>
    </row>
    <row r="125" spans="1:15" x14ac:dyDescent="0.25">
      <c r="A125" s="169" t="str">
        <f>E125&amp;COUNTIFS($E$2:E125,E125)</f>
        <v>0</v>
      </c>
      <c r="B125" s="166"/>
      <c r="C125" s="168"/>
      <c r="D125" s="167"/>
      <c r="E125" s="166"/>
      <c r="F125" s="165"/>
      <c r="G125" s="164"/>
      <c r="I125" s="289" t="s">
        <v>293</v>
      </c>
      <c r="J125" s="291"/>
      <c r="K125" s="291"/>
      <c r="L125" s="290" t="e">
        <v>#REF!</v>
      </c>
      <c r="M125" s="289" t="b">
        <v>0</v>
      </c>
      <c r="N125" s="290"/>
      <c r="O125" s="289"/>
    </row>
    <row r="126" spans="1:15" x14ac:dyDescent="0.25">
      <c r="A126" s="169" t="str">
        <f>E126&amp;COUNTIFS($E$2:E126,E126)</f>
        <v>0</v>
      </c>
      <c r="B126" s="166"/>
      <c r="C126" s="168"/>
      <c r="D126" s="167"/>
      <c r="E126" s="166"/>
      <c r="F126" s="165"/>
      <c r="G126" s="164"/>
      <c r="I126" s="289" t="s">
        <v>281</v>
      </c>
      <c r="J126" s="291"/>
      <c r="K126" s="291"/>
      <c r="L126" s="290" t="e">
        <v>#REF!</v>
      </c>
      <c r="M126" s="289" t="b">
        <v>0</v>
      </c>
      <c r="N126" s="290"/>
      <c r="O126" s="289"/>
    </row>
    <row r="127" spans="1:15" x14ac:dyDescent="0.25">
      <c r="A127" s="169" t="str">
        <f>E127&amp;COUNTIFS($E$2:E127,E127)</f>
        <v>0</v>
      </c>
      <c r="B127" s="166"/>
      <c r="C127" s="168"/>
      <c r="D127" s="167"/>
      <c r="E127" s="166"/>
      <c r="F127" s="165"/>
      <c r="G127" s="164"/>
      <c r="I127" s="289" t="s">
        <v>274</v>
      </c>
      <c r="J127" s="291"/>
      <c r="K127" s="291"/>
      <c r="L127" s="290" t="e">
        <v>#REF!</v>
      </c>
      <c r="M127" s="289" t="b">
        <v>0</v>
      </c>
      <c r="N127" s="290"/>
      <c r="O127" s="289"/>
    </row>
    <row r="128" spans="1:15" ht="15.75" thickBot="1" x14ac:dyDescent="0.3">
      <c r="A128" s="163" t="str">
        <f>E128&amp;COUNTIFS($E$2:E128,E128)</f>
        <v>0</v>
      </c>
      <c r="B128" s="160"/>
      <c r="C128" s="162"/>
      <c r="D128" s="161"/>
      <c r="E128" s="160"/>
      <c r="F128" s="159"/>
      <c r="G128" s="158"/>
      <c r="I128" s="289" t="s">
        <v>272</v>
      </c>
      <c r="J128" s="291"/>
      <c r="K128" s="291"/>
      <c r="L128" s="290" t="e">
        <v>#REF!</v>
      </c>
      <c r="M128" s="289" t="b">
        <v>0</v>
      </c>
      <c r="N128" s="290"/>
      <c r="O128" s="289"/>
    </row>
    <row r="129" spans="1:15" x14ac:dyDescent="0.25">
      <c r="A129" s="148"/>
      <c r="C129" s="143"/>
      <c r="D129" s="157"/>
      <c r="E129" s="143"/>
      <c r="F129" s="156"/>
      <c r="G129" s="156"/>
      <c r="I129" s="289" t="s">
        <v>270</v>
      </c>
      <c r="J129" s="291"/>
      <c r="K129" s="291"/>
      <c r="L129" s="290" t="e">
        <v>#REF!</v>
      </c>
      <c r="M129" s="289" t="b">
        <v>0</v>
      </c>
      <c r="N129" s="290"/>
      <c r="O129" s="289"/>
    </row>
    <row r="130" spans="1:15" x14ac:dyDescent="0.25">
      <c r="A130" s="148"/>
      <c r="C130" s="153" t="s">
        <v>623</v>
      </c>
      <c r="D130" s="152"/>
      <c r="E130" s="151"/>
      <c r="F130" s="150">
        <f>SUM(F104:F128)</f>
        <v>0</v>
      </c>
      <c r="G130" s="155">
        <f>SUM(G104:G128)</f>
        <v>0</v>
      </c>
      <c r="I130" s="289" t="s">
        <v>268</v>
      </c>
      <c r="J130" s="291"/>
      <c r="K130" s="291"/>
      <c r="L130" s="290" t="e">
        <v>#REF!</v>
      </c>
      <c r="M130" s="289" t="b">
        <v>0</v>
      </c>
      <c r="N130" s="290"/>
      <c r="O130" s="289"/>
    </row>
    <row r="131" spans="1:15" x14ac:dyDescent="0.25">
      <c r="A131" s="148"/>
      <c r="C131" s="145" t="s">
        <v>622</v>
      </c>
      <c r="D131" s="154"/>
      <c r="E131" s="145"/>
      <c r="F131" s="144"/>
      <c r="G131" s="144"/>
      <c r="I131" s="289" t="s">
        <v>266</v>
      </c>
      <c r="J131" s="291"/>
      <c r="K131" s="291"/>
      <c r="L131" s="290" t="e">
        <v>#REF!</v>
      </c>
      <c r="M131" s="289" t="b">
        <v>0</v>
      </c>
      <c r="N131" s="290"/>
      <c r="O131" s="289"/>
    </row>
    <row r="132" spans="1:15" x14ac:dyDescent="0.25">
      <c r="A132" s="148"/>
      <c r="C132" s="153" t="s">
        <v>621</v>
      </c>
      <c r="D132" s="152"/>
      <c r="E132" s="151"/>
      <c r="F132" s="150">
        <f>F99</f>
        <v>0</v>
      </c>
      <c r="G132" s="150">
        <f>G99</f>
        <v>0</v>
      </c>
      <c r="I132" s="289" t="s">
        <v>264</v>
      </c>
      <c r="J132" s="291"/>
      <c r="K132" s="291"/>
      <c r="L132" s="290" t="e">
        <v>#REF!</v>
      </c>
      <c r="M132" s="289" t="b">
        <v>0</v>
      </c>
      <c r="N132" s="290"/>
      <c r="O132" s="289"/>
    </row>
    <row r="133" spans="1:15" x14ac:dyDescent="0.25">
      <c r="A133" s="148"/>
      <c r="C133" s="153" t="s">
        <v>582</v>
      </c>
      <c r="D133" s="152"/>
      <c r="E133" s="151"/>
      <c r="F133" s="150">
        <f>F132+F130</f>
        <v>0</v>
      </c>
      <c r="G133" s="150">
        <f>G132+G130</f>
        <v>0</v>
      </c>
      <c r="I133" s="289" t="s">
        <v>262</v>
      </c>
      <c r="J133" s="291"/>
      <c r="K133" s="291"/>
      <c r="L133" s="290" t="e">
        <v>#REF!</v>
      </c>
      <c r="M133" s="289" t="b">
        <v>0</v>
      </c>
      <c r="N133" s="290"/>
      <c r="O133" s="289"/>
    </row>
    <row r="134" spans="1:15" ht="15.75" thickBot="1" x14ac:dyDescent="0.3">
      <c r="A134" s="148"/>
      <c r="C134" s="145"/>
      <c r="D134" s="149"/>
      <c r="E134" s="145"/>
      <c r="F134" s="144"/>
      <c r="G134" s="144"/>
      <c r="I134" s="289" t="s">
        <v>257</v>
      </c>
      <c r="J134" s="291"/>
      <c r="K134" s="291"/>
      <c r="L134" s="290" t="e">
        <v>#REF!</v>
      </c>
      <c r="M134" s="289" t="b">
        <v>0</v>
      </c>
      <c r="N134" s="290"/>
      <c r="O134" s="289"/>
    </row>
    <row r="135" spans="1:15" ht="15.75" thickBot="1" x14ac:dyDescent="0.3">
      <c r="A135" s="148"/>
      <c r="C135" s="147" t="s">
        <v>620</v>
      </c>
      <c r="D135" s="146">
        <f>F133-G133</f>
        <v>0</v>
      </c>
      <c r="E135" s="145"/>
      <c r="F135" s="144"/>
      <c r="G135" s="144"/>
      <c r="I135" s="289" t="s">
        <v>255</v>
      </c>
      <c r="J135" s="291"/>
      <c r="K135" s="291"/>
      <c r="L135" s="290" t="e">
        <v>#REF!</v>
      </c>
      <c r="M135" s="289" t="b">
        <v>0</v>
      </c>
      <c r="N135" s="290"/>
      <c r="O135" s="289"/>
    </row>
    <row r="136" spans="1:15" ht="15.75" thickBot="1" x14ac:dyDescent="0.3">
      <c r="I136" s="289" t="s">
        <v>253</v>
      </c>
      <c r="J136" s="291"/>
      <c r="K136" s="291"/>
      <c r="L136" s="290" t="e">
        <v>#REF!</v>
      </c>
      <c r="M136" s="289" t="b">
        <v>0</v>
      </c>
      <c r="N136" s="290"/>
      <c r="O136" s="289"/>
    </row>
    <row r="137" spans="1:15" ht="30.75" thickBot="1" x14ac:dyDescent="0.3">
      <c r="A137" s="287" t="s">
        <v>626</v>
      </c>
      <c r="B137" s="286" t="s">
        <v>606</v>
      </c>
      <c r="C137" s="285" t="s">
        <v>637</v>
      </c>
      <c r="D137" s="284" t="s">
        <v>601</v>
      </c>
      <c r="E137" s="283" t="s">
        <v>287</v>
      </c>
      <c r="F137" s="282" t="s">
        <v>624</v>
      </c>
      <c r="G137" s="282" t="s">
        <v>596</v>
      </c>
      <c r="I137" s="289" t="s">
        <v>251</v>
      </c>
      <c r="J137" s="291"/>
      <c r="K137" s="291"/>
      <c r="L137" s="290" t="e">
        <v>#REF!</v>
      </c>
      <c r="M137" s="289" t="b">
        <v>0</v>
      </c>
      <c r="N137" s="290"/>
      <c r="O137" s="289"/>
    </row>
    <row r="138" spans="1:15" x14ac:dyDescent="0.25">
      <c r="A138" s="175" t="str">
        <f>E138&amp;COUNTIFS($E$2:E138,E138)</f>
        <v>0</v>
      </c>
      <c r="B138" s="172"/>
      <c r="C138" s="174"/>
      <c r="D138" s="173"/>
      <c r="E138" s="172"/>
      <c r="F138" s="171"/>
      <c r="G138" s="170"/>
      <c r="I138" s="289" t="s">
        <v>249</v>
      </c>
      <c r="J138" s="291"/>
      <c r="K138" s="291"/>
      <c r="L138" s="290" t="e">
        <v>#REF!</v>
      </c>
      <c r="M138" s="289" t="b">
        <v>0</v>
      </c>
      <c r="N138" s="290"/>
      <c r="O138" s="289"/>
    </row>
    <row r="139" spans="1:15" x14ac:dyDescent="0.25">
      <c r="A139" s="169" t="str">
        <f>E139&amp;COUNTIFS($E$2:E139,E139)</f>
        <v>0</v>
      </c>
      <c r="B139" s="166"/>
      <c r="C139" s="168"/>
      <c r="D139" s="167"/>
      <c r="E139" s="166"/>
      <c r="F139" s="165"/>
      <c r="G139" s="164"/>
      <c r="I139" s="289" t="s">
        <v>247</v>
      </c>
      <c r="J139" s="291"/>
      <c r="K139" s="291"/>
      <c r="L139" s="290" t="e">
        <v>#REF!</v>
      </c>
      <c r="M139" s="289" t="b">
        <v>0</v>
      </c>
      <c r="N139" s="290"/>
      <c r="O139" s="289"/>
    </row>
    <row r="140" spans="1:15" x14ac:dyDescent="0.25">
      <c r="A140" s="169" t="str">
        <f>E140&amp;COUNTIFS($E$2:E140,E140)</f>
        <v>0</v>
      </c>
      <c r="B140" s="166"/>
      <c r="C140" s="168"/>
      <c r="D140" s="167"/>
      <c r="E140" s="166"/>
      <c r="F140" s="165"/>
      <c r="G140" s="164"/>
      <c r="I140" s="289" t="s">
        <v>245</v>
      </c>
      <c r="J140" s="291"/>
      <c r="K140" s="291"/>
      <c r="L140" s="290" t="e">
        <v>#REF!</v>
      </c>
      <c r="M140" s="289" t="b">
        <v>0</v>
      </c>
      <c r="N140" s="290"/>
      <c r="O140" s="289"/>
    </row>
    <row r="141" spans="1:15" x14ac:dyDescent="0.25">
      <c r="A141" s="169" t="str">
        <f>E141&amp;COUNTIFS($E$2:E141,E141)</f>
        <v>0</v>
      </c>
      <c r="B141" s="166"/>
      <c r="C141" s="168"/>
      <c r="D141" s="167"/>
      <c r="E141" s="166"/>
      <c r="F141" s="165"/>
      <c r="G141" s="164"/>
      <c r="I141" s="289" t="s">
        <v>243</v>
      </c>
      <c r="J141" s="291"/>
      <c r="K141" s="291"/>
      <c r="L141" s="290" t="e">
        <v>#REF!</v>
      </c>
      <c r="M141" s="289" t="b">
        <v>0</v>
      </c>
      <c r="N141" s="290"/>
      <c r="O141" s="289"/>
    </row>
    <row r="142" spans="1:15" x14ac:dyDescent="0.25">
      <c r="A142" s="169" t="str">
        <f>E142&amp;COUNTIFS($E$2:E142,E142)</f>
        <v>0</v>
      </c>
      <c r="B142" s="166"/>
      <c r="C142" s="168"/>
      <c r="D142" s="167"/>
      <c r="E142" s="166"/>
      <c r="F142" s="165"/>
      <c r="G142" s="164"/>
      <c r="I142" s="289" t="s">
        <v>238</v>
      </c>
      <c r="J142" s="291"/>
      <c r="K142" s="291"/>
      <c r="L142" s="290" t="e">
        <v>#REF!</v>
      </c>
      <c r="M142" s="289" t="b">
        <v>0</v>
      </c>
      <c r="N142" s="290"/>
      <c r="O142" s="289"/>
    </row>
    <row r="143" spans="1:15" x14ac:dyDescent="0.25">
      <c r="A143" s="169" t="str">
        <f>E143&amp;COUNTIFS($E$2:E143,E143)</f>
        <v>0</v>
      </c>
      <c r="B143" s="166"/>
      <c r="C143" s="168"/>
      <c r="D143" s="167"/>
      <c r="E143" s="292"/>
      <c r="F143" s="165"/>
      <c r="G143" s="164"/>
      <c r="I143" s="289" t="s">
        <v>236</v>
      </c>
      <c r="J143" s="291"/>
      <c r="K143" s="291"/>
      <c r="L143" s="290" t="e">
        <v>#REF!</v>
      </c>
      <c r="M143" s="289" t="b">
        <v>0</v>
      </c>
      <c r="N143" s="290"/>
      <c r="O143" s="289"/>
    </row>
    <row r="144" spans="1:15" x14ac:dyDescent="0.25">
      <c r="A144" s="169" t="str">
        <f>E144&amp;COUNTIFS($E$2:E144,E144)</f>
        <v>0</v>
      </c>
      <c r="B144" s="166"/>
      <c r="C144" s="168"/>
      <c r="D144" s="167"/>
      <c r="E144" s="166"/>
      <c r="F144" s="165"/>
      <c r="G144" s="164"/>
      <c r="I144" s="289" t="s">
        <v>234</v>
      </c>
      <c r="J144" s="291"/>
      <c r="K144" s="291"/>
      <c r="L144" s="290" t="e">
        <v>#REF!</v>
      </c>
      <c r="M144" s="289" t="b">
        <v>0</v>
      </c>
      <c r="N144" s="290"/>
      <c r="O144" s="289"/>
    </row>
    <row r="145" spans="1:15" x14ac:dyDescent="0.25">
      <c r="A145" s="169" t="str">
        <f>E145&amp;COUNTIFS($E$2:E145,E145)</f>
        <v>0</v>
      </c>
      <c r="B145" s="166"/>
      <c r="C145" s="168"/>
      <c r="D145" s="167"/>
      <c r="E145" s="166"/>
      <c r="F145" s="165"/>
      <c r="G145" s="164"/>
      <c r="I145" s="289" t="s">
        <v>232</v>
      </c>
      <c r="J145" s="291"/>
      <c r="K145" s="291"/>
      <c r="L145" s="290" t="e">
        <v>#REF!</v>
      </c>
      <c r="M145" s="289" t="b">
        <v>0</v>
      </c>
      <c r="N145" s="290"/>
      <c r="O145" s="289"/>
    </row>
    <row r="146" spans="1:15" x14ac:dyDescent="0.25">
      <c r="A146" s="169" t="str">
        <f>E146&amp;COUNTIFS($E$2:E146,E146)</f>
        <v>0</v>
      </c>
      <c r="B146" s="166"/>
      <c r="C146" s="168"/>
      <c r="D146" s="167"/>
      <c r="E146" s="166"/>
      <c r="F146" s="165"/>
      <c r="G146" s="164"/>
      <c r="I146" s="289" t="s">
        <v>230</v>
      </c>
      <c r="J146" s="291"/>
      <c r="K146" s="291"/>
      <c r="L146" s="290" t="e">
        <v>#REF!</v>
      </c>
      <c r="M146" s="289" t="b">
        <v>0</v>
      </c>
      <c r="N146" s="290"/>
      <c r="O146" s="289"/>
    </row>
    <row r="147" spans="1:15" x14ac:dyDescent="0.25">
      <c r="A147" s="169" t="str">
        <f>E147&amp;COUNTIFS($E$2:E147,E147)</f>
        <v>0</v>
      </c>
      <c r="B147" s="166"/>
      <c r="C147" s="168"/>
      <c r="D147" s="167"/>
      <c r="E147" s="166"/>
      <c r="F147" s="165"/>
      <c r="G147" s="164"/>
      <c r="I147" s="289" t="s">
        <v>228</v>
      </c>
      <c r="J147" s="291"/>
      <c r="K147" s="291"/>
      <c r="L147" s="290" t="e">
        <v>#REF!</v>
      </c>
      <c r="M147" s="289" t="b">
        <v>0</v>
      </c>
      <c r="N147" s="290"/>
      <c r="O147" s="289"/>
    </row>
    <row r="148" spans="1:15" x14ac:dyDescent="0.25">
      <c r="A148" s="169" t="str">
        <f>E148&amp;COUNTIFS($E$2:E148,E148)</f>
        <v>0</v>
      </c>
      <c r="B148" s="166"/>
      <c r="C148" s="168"/>
      <c r="D148" s="167"/>
      <c r="E148" s="166"/>
      <c r="F148" s="165"/>
      <c r="G148" s="164"/>
      <c r="I148" s="289" t="s">
        <v>226</v>
      </c>
      <c r="J148" s="291"/>
      <c r="K148" s="291"/>
      <c r="L148" s="290" t="e">
        <v>#REF!</v>
      </c>
      <c r="M148" s="289" t="b">
        <v>0</v>
      </c>
      <c r="N148" s="290"/>
      <c r="O148" s="289"/>
    </row>
    <row r="149" spans="1:15" x14ac:dyDescent="0.25">
      <c r="A149" s="169" t="str">
        <f>E149&amp;COUNTIFS($E$2:E149,E149)</f>
        <v>0</v>
      </c>
      <c r="B149" s="166"/>
      <c r="C149" s="168"/>
      <c r="D149" s="167"/>
      <c r="E149" s="166"/>
      <c r="F149" s="165"/>
      <c r="G149" s="164"/>
      <c r="I149" s="289" t="s">
        <v>221</v>
      </c>
      <c r="J149" s="291"/>
      <c r="K149" s="291"/>
      <c r="L149" s="290" t="e">
        <v>#REF!</v>
      </c>
      <c r="M149" s="289" t="b">
        <v>0</v>
      </c>
      <c r="N149" s="290"/>
      <c r="O149" s="289"/>
    </row>
    <row r="150" spans="1:15" x14ac:dyDescent="0.25">
      <c r="A150" s="169" t="str">
        <f>E150&amp;COUNTIFS($E$2:E150,E150)</f>
        <v>0</v>
      </c>
      <c r="B150" s="166"/>
      <c r="C150" s="168"/>
      <c r="D150" s="167"/>
      <c r="E150" s="166"/>
      <c r="F150" s="165"/>
      <c r="G150" s="164"/>
      <c r="I150" s="289" t="s">
        <v>219</v>
      </c>
      <c r="J150" s="291"/>
      <c r="K150" s="291"/>
      <c r="L150" s="290" t="e">
        <v>#REF!</v>
      </c>
      <c r="M150" s="289" t="b">
        <v>0</v>
      </c>
      <c r="N150" s="290"/>
      <c r="O150" s="289"/>
    </row>
    <row r="151" spans="1:15" x14ac:dyDescent="0.25">
      <c r="A151" s="169" t="str">
        <f>E151&amp;COUNTIFS($E$2:E151,E151)</f>
        <v>0</v>
      </c>
      <c r="B151" s="166"/>
      <c r="C151" s="168"/>
      <c r="D151" s="167"/>
      <c r="E151" s="166"/>
      <c r="F151" s="165"/>
      <c r="G151" s="164"/>
      <c r="I151" s="289" t="s">
        <v>214</v>
      </c>
      <c r="J151" s="291"/>
      <c r="K151" s="291"/>
      <c r="L151" s="290" t="e">
        <v>#REF!</v>
      </c>
      <c r="M151" s="289" t="b">
        <v>0</v>
      </c>
      <c r="N151" s="290"/>
      <c r="O151" s="289"/>
    </row>
    <row r="152" spans="1:15" x14ac:dyDescent="0.25">
      <c r="A152" s="169" t="str">
        <f>E152&amp;COUNTIFS($E$2:E152,E152)</f>
        <v>0</v>
      </c>
      <c r="B152" s="166"/>
      <c r="C152" s="168"/>
      <c r="D152" s="167"/>
      <c r="E152" s="166"/>
      <c r="F152" s="165"/>
      <c r="G152" s="164"/>
      <c r="I152" s="289" t="s">
        <v>212</v>
      </c>
      <c r="J152" s="291"/>
      <c r="K152" s="291"/>
      <c r="L152" s="290" t="e">
        <v>#REF!</v>
      </c>
      <c r="M152" s="289" t="b">
        <v>0</v>
      </c>
      <c r="N152" s="290"/>
      <c r="O152" s="289"/>
    </row>
    <row r="153" spans="1:15" x14ac:dyDescent="0.25">
      <c r="A153" s="169" t="str">
        <f>E153&amp;COUNTIFS($E$2:E153,E153)</f>
        <v>0</v>
      </c>
      <c r="B153" s="166"/>
      <c r="C153" s="168"/>
      <c r="D153" s="167"/>
      <c r="E153" s="166"/>
      <c r="F153" s="165"/>
      <c r="G153" s="164"/>
      <c r="I153" s="289" t="s">
        <v>210</v>
      </c>
      <c r="J153" s="291"/>
      <c r="K153" s="291"/>
      <c r="L153" s="290" t="e">
        <v>#REF!</v>
      </c>
      <c r="M153" s="289" t="b">
        <v>0</v>
      </c>
      <c r="N153" s="290"/>
      <c r="O153" s="289"/>
    </row>
    <row r="154" spans="1:15" x14ac:dyDescent="0.25">
      <c r="A154" s="169" t="str">
        <f>E154&amp;COUNTIFS($E$2:E154,E154)</f>
        <v>0</v>
      </c>
      <c r="B154" s="166"/>
      <c r="C154" s="168"/>
      <c r="D154" s="167"/>
      <c r="E154" s="166"/>
      <c r="F154" s="165"/>
      <c r="G154" s="164"/>
      <c r="I154" s="289" t="s">
        <v>208</v>
      </c>
      <c r="J154" s="291"/>
      <c r="K154" s="291"/>
      <c r="L154" s="290" t="e">
        <v>#REF!</v>
      </c>
      <c r="M154" s="289" t="b">
        <v>0</v>
      </c>
      <c r="N154" s="290"/>
      <c r="O154" s="289"/>
    </row>
    <row r="155" spans="1:15" x14ac:dyDescent="0.25">
      <c r="A155" s="169" t="str">
        <f>E155&amp;COUNTIFS($E$2:E155,E155)</f>
        <v>0</v>
      </c>
      <c r="B155" s="166"/>
      <c r="C155" s="168"/>
      <c r="D155" s="167"/>
      <c r="E155" s="166"/>
      <c r="F155" s="165"/>
      <c r="G155" s="164"/>
      <c r="I155" s="289" t="s">
        <v>206</v>
      </c>
      <c r="J155" s="291"/>
      <c r="K155" s="291"/>
      <c r="L155" s="290" t="e">
        <v>#REF!</v>
      </c>
      <c r="M155" s="289" t="b">
        <v>0</v>
      </c>
      <c r="N155" s="290"/>
      <c r="O155" s="289"/>
    </row>
    <row r="156" spans="1:15" x14ac:dyDescent="0.25">
      <c r="A156" s="169" t="str">
        <f>E156&amp;COUNTIFS($E$2:E156,E156)</f>
        <v>0</v>
      </c>
      <c r="B156" s="166"/>
      <c r="C156" s="168"/>
      <c r="D156" s="167"/>
      <c r="E156" s="166"/>
      <c r="F156" s="165"/>
      <c r="G156" s="164"/>
      <c r="I156" s="289" t="s">
        <v>201</v>
      </c>
      <c r="J156" s="291"/>
      <c r="K156" s="291"/>
      <c r="L156" s="290" t="e">
        <v>#REF!</v>
      </c>
      <c r="M156" s="289" t="b">
        <v>0</v>
      </c>
      <c r="N156" s="290"/>
      <c r="O156" s="289"/>
    </row>
    <row r="157" spans="1:15" x14ac:dyDescent="0.25">
      <c r="A157" s="169" t="str">
        <f>E157&amp;COUNTIFS($E$2:E157,E157)</f>
        <v>0</v>
      </c>
      <c r="B157" s="166"/>
      <c r="C157" s="168"/>
      <c r="D157" s="167"/>
      <c r="E157" s="166"/>
      <c r="F157" s="165"/>
      <c r="G157" s="164"/>
      <c r="I157" s="289" t="s">
        <v>199</v>
      </c>
      <c r="J157" s="291"/>
      <c r="K157" s="291"/>
      <c r="L157" s="290" t="e">
        <v>#REF!</v>
      </c>
      <c r="M157" s="289" t="b">
        <v>0</v>
      </c>
      <c r="N157" s="290"/>
      <c r="O157" s="289"/>
    </row>
    <row r="158" spans="1:15" x14ac:dyDescent="0.25">
      <c r="A158" s="169" t="str">
        <f>E158&amp;COUNTIFS($E$2:E158,E158)</f>
        <v>0</v>
      </c>
      <c r="B158" s="166"/>
      <c r="C158" s="168"/>
      <c r="D158" s="167"/>
      <c r="E158" s="166"/>
      <c r="F158" s="165"/>
      <c r="G158" s="164"/>
      <c r="I158" s="289" t="s">
        <v>197</v>
      </c>
      <c r="J158" s="291"/>
      <c r="K158" s="291"/>
      <c r="L158" s="290" t="e">
        <v>#REF!</v>
      </c>
      <c r="M158" s="289" t="b">
        <v>0</v>
      </c>
      <c r="N158" s="290"/>
      <c r="O158" s="289"/>
    </row>
    <row r="159" spans="1:15" x14ac:dyDescent="0.25">
      <c r="A159" s="169" t="str">
        <f>E159&amp;COUNTIFS($E$2:E159,E159)</f>
        <v>0</v>
      </c>
      <c r="B159" s="166"/>
      <c r="C159" s="168"/>
      <c r="D159" s="167"/>
      <c r="E159" s="166"/>
      <c r="F159" s="165"/>
      <c r="G159" s="164"/>
      <c r="I159" s="289" t="s">
        <v>195</v>
      </c>
      <c r="J159" s="291"/>
      <c r="K159" s="291"/>
      <c r="L159" s="290" t="e">
        <v>#REF!</v>
      </c>
      <c r="M159" s="289" t="b">
        <v>0</v>
      </c>
      <c r="N159" s="290"/>
      <c r="O159" s="289"/>
    </row>
    <row r="160" spans="1:15" x14ac:dyDescent="0.25">
      <c r="A160" s="169" t="str">
        <f>E160&amp;COUNTIFS($E$2:E160,E160)</f>
        <v>0</v>
      </c>
      <c r="B160" s="166"/>
      <c r="C160" s="168"/>
      <c r="D160" s="167"/>
      <c r="E160" s="166"/>
      <c r="F160" s="165"/>
      <c r="G160" s="164"/>
      <c r="I160" s="289" t="s">
        <v>190</v>
      </c>
      <c r="J160" s="291"/>
      <c r="K160" s="291"/>
      <c r="L160" s="290" t="e">
        <v>#REF!</v>
      </c>
      <c r="M160" s="289" t="b">
        <v>0</v>
      </c>
      <c r="N160" s="290"/>
      <c r="O160" s="289"/>
    </row>
    <row r="161" spans="1:15" x14ac:dyDescent="0.25">
      <c r="A161" s="169" t="str">
        <f>E161&amp;COUNTIFS($E$2:E161,E161)</f>
        <v>0</v>
      </c>
      <c r="B161" s="166"/>
      <c r="C161" s="168"/>
      <c r="D161" s="167"/>
      <c r="E161" s="166"/>
      <c r="F161" s="165"/>
      <c r="G161" s="164"/>
      <c r="I161" s="289" t="s">
        <v>185</v>
      </c>
      <c r="J161" s="291"/>
      <c r="K161" s="291"/>
      <c r="L161" s="290" t="e">
        <v>#REF!</v>
      </c>
      <c r="M161" s="289" t="b">
        <v>0</v>
      </c>
      <c r="N161" s="290"/>
      <c r="O161" s="289"/>
    </row>
    <row r="162" spans="1:15" ht="15.75" thickBot="1" x14ac:dyDescent="0.3">
      <c r="A162" s="163" t="str">
        <f>E162&amp;COUNTIFS($E$2:E162,E162)</f>
        <v>0</v>
      </c>
      <c r="B162" s="160"/>
      <c r="C162" s="162"/>
      <c r="D162" s="161"/>
      <c r="E162" s="160"/>
      <c r="F162" s="159"/>
      <c r="G162" s="158"/>
      <c r="I162" s="289" t="s">
        <v>183</v>
      </c>
      <c r="J162" s="291"/>
      <c r="K162" s="291"/>
      <c r="L162" s="290" t="e">
        <v>#REF!</v>
      </c>
      <c r="M162" s="289" t="b">
        <v>0</v>
      </c>
      <c r="N162" s="290"/>
      <c r="O162" s="289"/>
    </row>
    <row r="163" spans="1:15" x14ac:dyDescent="0.25">
      <c r="A163" s="148"/>
      <c r="C163" s="143"/>
      <c r="D163" s="157"/>
      <c r="E163" s="143"/>
      <c r="F163" s="156"/>
      <c r="G163" s="156"/>
      <c r="I163" s="289" t="s">
        <v>181</v>
      </c>
      <c r="J163" s="291"/>
      <c r="K163" s="291"/>
      <c r="L163" s="290" t="e">
        <v>#REF!</v>
      </c>
      <c r="M163" s="289" t="b">
        <v>0</v>
      </c>
      <c r="N163" s="290"/>
      <c r="O163" s="289"/>
    </row>
    <row r="164" spans="1:15" x14ac:dyDescent="0.25">
      <c r="A164" s="148"/>
      <c r="C164" s="153" t="s">
        <v>623</v>
      </c>
      <c r="D164" s="152"/>
      <c r="E164" s="151"/>
      <c r="F164" s="150">
        <f>SUM(F138:F162)</f>
        <v>0</v>
      </c>
      <c r="G164" s="155">
        <f>SUM(G138:G162)</f>
        <v>0</v>
      </c>
      <c r="I164" s="289" t="s">
        <v>169</v>
      </c>
      <c r="J164" s="291"/>
      <c r="K164" s="291"/>
      <c r="L164" s="290" t="e">
        <v>#REF!</v>
      </c>
      <c r="M164" s="289" t="b">
        <v>0</v>
      </c>
      <c r="N164" s="290"/>
      <c r="O164" s="289"/>
    </row>
    <row r="165" spans="1:15" x14ac:dyDescent="0.25">
      <c r="A165" s="148"/>
      <c r="C165" s="145" t="s">
        <v>622</v>
      </c>
      <c r="D165" s="154"/>
      <c r="E165" s="145"/>
      <c r="F165" s="144"/>
      <c r="G165" s="144"/>
      <c r="I165" s="289" t="s">
        <v>167</v>
      </c>
      <c r="J165" s="291"/>
      <c r="K165" s="291"/>
      <c r="L165" s="290" t="e">
        <v>#REF!</v>
      </c>
      <c r="M165" s="289" t="b">
        <v>0</v>
      </c>
      <c r="N165" s="290"/>
      <c r="O165" s="289"/>
    </row>
    <row r="166" spans="1:15" x14ac:dyDescent="0.25">
      <c r="A166" s="148"/>
      <c r="C166" s="153" t="s">
        <v>621</v>
      </c>
      <c r="D166" s="152"/>
      <c r="E166" s="151"/>
      <c r="F166" s="150">
        <f>F133</f>
        <v>0</v>
      </c>
      <c r="G166" s="150">
        <f>G133</f>
        <v>0</v>
      </c>
      <c r="I166" s="289" t="s">
        <v>165</v>
      </c>
      <c r="J166" s="291"/>
      <c r="K166" s="291"/>
      <c r="L166" s="290" t="e">
        <v>#REF!</v>
      </c>
      <c r="M166" s="289" t="b">
        <v>0</v>
      </c>
      <c r="N166" s="290"/>
      <c r="O166" s="289"/>
    </row>
    <row r="167" spans="1:15" x14ac:dyDescent="0.25">
      <c r="A167" s="148"/>
      <c r="C167" s="153" t="s">
        <v>582</v>
      </c>
      <c r="D167" s="152"/>
      <c r="E167" s="151"/>
      <c r="F167" s="150">
        <f>F166+F164</f>
        <v>0</v>
      </c>
      <c r="G167" s="150">
        <f>G166+G164</f>
        <v>0</v>
      </c>
      <c r="I167" s="289" t="s">
        <v>163</v>
      </c>
      <c r="J167" s="291"/>
      <c r="K167" s="291"/>
      <c r="L167" s="290" t="e">
        <v>#REF!</v>
      </c>
      <c r="M167" s="289" t="b">
        <v>0</v>
      </c>
      <c r="N167" s="290"/>
      <c r="O167" s="289"/>
    </row>
    <row r="168" spans="1:15" ht="15.75" thickBot="1" x14ac:dyDescent="0.3">
      <c r="A168" s="148"/>
      <c r="C168" s="145"/>
      <c r="D168" s="149"/>
      <c r="E168" s="145"/>
      <c r="F168" s="144"/>
      <c r="G168" s="144"/>
      <c r="I168" s="289" t="s">
        <v>161</v>
      </c>
      <c r="J168" s="291"/>
      <c r="K168" s="291"/>
      <c r="L168" s="290" t="e">
        <v>#REF!</v>
      </c>
      <c r="M168" s="289" t="b">
        <v>0</v>
      </c>
      <c r="N168" s="290"/>
      <c r="O168" s="289"/>
    </row>
    <row r="169" spans="1:15" ht="15.75" thickBot="1" x14ac:dyDescent="0.3">
      <c r="A169" s="148"/>
      <c r="C169" s="147" t="s">
        <v>620</v>
      </c>
      <c r="D169" s="146">
        <f>F167-G167</f>
        <v>0</v>
      </c>
      <c r="E169" s="145"/>
      <c r="F169" s="144"/>
      <c r="G169" s="144"/>
      <c r="I169" s="289" t="s">
        <v>159</v>
      </c>
      <c r="J169" s="291"/>
      <c r="K169" s="291"/>
      <c r="L169" s="290" t="e">
        <v>#REF!</v>
      </c>
      <c r="M169" s="289" t="b">
        <v>0</v>
      </c>
      <c r="N169" s="290"/>
      <c r="O169" s="289"/>
    </row>
    <row r="170" spans="1:15" ht="15.75" thickBot="1" x14ac:dyDescent="0.3">
      <c r="I170" s="289" t="s">
        <v>155</v>
      </c>
      <c r="J170" s="291"/>
      <c r="K170" s="291"/>
      <c r="L170" s="290" t="e">
        <v>#REF!</v>
      </c>
      <c r="M170" s="289" t="b">
        <v>0</v>
      </c>
      <c r="N170" s="290"/>
      <c r="O170" s="289"/>
    </row>
    <row r="171" spans="1:15" ht="30.75" thickBot="1" x14ac:dyDescent="0.3">
      <c r="A171" s="287" t="s">
        <v>626</v>
      </c>
      <c r="B171" s="286" t="s">
        <v>606</v>
      </c>
      <c r="C171" s="285" t="s">
        <v>637</v>
      </c>
      <c r="D171" s="284" t="s">
        <v>601</v>
      </c>
      <c r="E171" s="283" t="s">
        <v>287</v>
      </c>
      <c r="F171" s="282" t="s">
        <v>624</v>
      </c>
      <c r="G171" s="282" t="s">
        <v>596</v>
      </c>
      <c r="I171" s="289" t="s">
        <v>153</v>
      </c>
      <c r="J171" s="291"/>
      <c r="K171" s="291"/>
      <c r="L171" s="290" t="e">
        <v>#REF!</v>
      </c>
      <c r="M171" s="289" t="b">
        <v>0</v>
      </c>
      <c r="N171" s="290"/>
      <c r="O171" s="289"/>
    </row>
    <row r="172" spans="1:15" x14ac:dyDescent="0.25">
      <c r="A172" s="175" t="str">
        <f>E172&amp;COUNTIFS($E$2:E172,E172)</f>
        <v>0</v>
      </c>
      <c r="B172" s="172"/>
      <c r="C172" s="174"/>
      <c r="D172" s="173"/>
      <c r="E172" s="172"/>
      <c r="F172" s="171"/>
      <c r="G172" s="170"/>
      <c r="I172" s="289" t="s">
        <v>146</v>
      </c>
      <c r="J172" s="291"/>
      <c r="K172" s="291"/>
      <c r="L172" s="290" t="e">
        <v>#REF!</v>
      </c>
      <c r="M172" s="289" t="b">
        <v>0</v>
      </c>
      <c r="N172" s="290"/>
      <c r="O172" s="289"/>
    </row>
    <row r="173" spans="1:15" x14ac:dyDescent="0.25">
      <c r="A173" s="169" t="str">
        <f>E173&amp;COUNTIFS($E$2:E173,E173)</f>
        <v>0</v>
      </c>
      <c r="B173" s="166"/>
      <c r="C173" s="168"/>
      <c r="D173" s="167"/>
      <c r="E173" s="166"/>
      <c r="F173" s="165"/>
      <c r="G173" s="164"/>
      <c r="I173" s="289" t="s">
        <v>142</v>
      </c>
      <c r="J173" s="291"/>
      <c r="K173" s="291"/>
      <c r="L173" s="290" t="e">
        <v>#REF!</v>
      </c>
      <c r="M173" s="289" t="b">
        <v>0</v>
      </c>
      <c r="N173" s="290"/>
      <c r="O173" s="289"/>
    </row>
    <row r="174" spans="1:15" x14ac:dyDescent="0.25">
      <c r="A174" s="169" t="str">
        <f>E174&amp;COUNTIFS($E$2:E174,E174)</f>
        <v>0</v>
      </c>
      <c r="B174" s="166"/>
      <c r="C174" s="168"/>
      <c r="D174" s="167"/>
      <c r="E174" s="166"/>
      <c r="F174" s="165"/>
      <c r="G174" s="164"/>
      <c r="I174" s="289" t="s">
        <v>140</v>
      </c>
      <c r="J174" s="291"/>
      <c r="K174" s="291"/>
      <c r="L174" s="290" t="e">
        <v>#REF!</v>
      </c>
      <c r="M174" s="289" t="b">
        <v>0</v>
      </c>
      <c r="N174" s="290"/>
      <c r="O174" s="289"/>
    </row>
    <row r="175" spans="1:15" x14ac:dyDescent="0.25">
      <c r="A175" s="169" t="str">
        <f>E175&amp;COUNTIFS($E$2:E175,E175)</f>
        <v>0</v>
      </c>
      <c r="B175" s="166"/>
      <c r="C175" s="168"/>
      <c r="D175" s="167"/>
      <c r="E175" s="166"/>
      <c r="F175" s="165"/>
      <c r="G175" s="164"/>
      <c r="I175" s="289" t="s">
        <v>138</v>
      </c>
      <c r="J175" s="291"/>
      <c r="K175" s="291"/>
      <c r="L175" s="290" t="e">
        <v>#REF!</v>
      </c>
      <c r="M175" s="289" t="b">
        <v>0</v>
      </c>
      <c r="N175" s="290"/>
      <c r="O175" s="289"/>
    </row>
    <row r="176" spans="1:15" x14ac:dyDescent="0.25">
      <c r="A176" s="169" t="str">
        <f>E176&amp;COUNTIFS($E$2:E176,E176)</f>
        <v>0</v>
      </c>
      <c r="B176" s="166"/>
      <c r="C176" s="168"/>
      <c r="D176" s="167"/>
      <c r="E176" s="166"/>
      <c r="F176" s="165"/>
      <c r="G176" s="164"/>
      <c r="I176" s="289" t="s">
        <v>136</v>
      </c>
      <c r="J176" s="291"/>
      <c r="K176" s="291"/>
      <c r="L176" s="290" t="e">
        <v>#REF!</v>
      </c>
      <c r="M176" s="289" t="b">
        <v>0</v>
      </c>
      <c r="N176" s="290"/>
      <c r="O176" s="289"/>
    </row>
    <row r="177" spans="1:15" x14ac:dyDescent="0.25">
      <c r="A177" s="169" t="str">
        <f>E177&amp;COUNTIFS($E$2:E177,E177)</f>
        <v>0</v>
      </c>
      <c r="B177" s="166"/>
      <c r="C177" s="168"/>
      <c r="D177" s="167"/>
      <c r="E177" s="166"/>
      <c r="F177" s="165"/>
      <c r="G177" s="164"/>
      <c r="I177" s="289" t="s">
        <v>134</v>
      </c>
      <c r="J177" s="291"/>
      <c r="K177" s="291"/>
      <c r="L177" s="290" t="e">
        <v>#REF!</v>
      </c>
      <c r="M177" s="289" t="b">
        <v>0</v>
      </c>
      <c r="N177" s="290"/>
      <c r="O177" s="289"/>
    </row>
    <row r="178" spans="1:15" x14ac:dyDescent="0.25">
      <c r="A178" s="169" t="str">
        <f>E178&amp;COUNTIFS($E$2:E178,E178)</f>
        <v>0</v>
      </c>
      <c r="B178" s="166"/>
      <c r="C178" s="168"/>
      <c r="D178" s="167"/>
      <c r="E178" s="166"/>
      <c r="F178" s="165"/>
      <c r="G178" s="164"/>
      <c r="I178" s="289" t="s">
        <v>127</v>
      </c>
      <c r="J178" s="291"/>
      <c r="K178" s="291"/>
      <c r="L178" s="290" t="e">
        <v>#REF!</v>
      </c>
      <c r="M178" s="289" t="b">
        <v>0</v>
      </c>
      <c r="N178" s="290"/>
      <c r="O178" s="289"/>
    </row>
    <row r="179" spans="1:15" x14ac:dyDescent="0.25">
      <c r="A179" s="169" t="str">
        <f>E179&amp;COUNTIFS($E$2:E179,E179)</f>
        <v>0</v>
      </c>
      <c r="B179" s="166"/>
      <c r="C179" s="168"/>
      <c r="D179" s="167"/>
      <c r="E179" s="166"/>
      <c r="F179" s="165"/>
      <c r="G179" s="164"/>
      <c r="I179" s="289" t="s">
        <v>125</v>
      </c>
      <c r="J179" s="291"/>
      <c r="K179" s="291"/>
      <c r="L179" s="290" t="e">
        <v>#REF!</v>
      </c>
      <c r="M179" s="289" t="b">
        <v>0</v>
      </c>
      <c r="N179" s="290"/>
      <c r="O179" s="289"/>
    </row>
    <row r="180" spans="1:15" x14ac:dyDescent="0.25">
      <c r="A180" s="169" t="str">
        <f>E180&amp;COUNTIFS($E$2:E180,E180)</f>
        <v>0</v>
      </c>
      <c r="B180" s="166"/>
      <c r="C180" s="168"/>
      <c r="D180" s="167"/>
      <c r="E180" s="166"/>
      <c r="F180" s="165"/>
      <c r="G180" s="164"/>
      <c r="I180" s="289" t="s">
        <v>121</v>
      </c>
      <c r="J180" s="291"/>
      <c r="K180" s="291"/>
      <c r="L180" s="290" t="e">
        <v>#REF!</v>
      </c>
      <c r="M180" s="289" t="b">
        <v>0</v>
      </c>
      <c r="N180" s="290"/>
      <c r="O180" s="289"/>
    </row>
    <row r="181" spans="1:15" x14ac:dyDescent="0.25">
      <c r="A181" s="169" t="str">
        <f>E181&amp;COUNTIFS($E$2:E181,E181)</f>
        <v>0</v>
      </c>
      <c r="B181" s="166"/>
      <c r="C181" s="168"/>
      <c r="D181" s="167"/>
      <c r="E181" s="166"/>
      <c r="F181" s="165"/>
      <c r="G181" s="164"/>
      <c r="I181" s="289" t="s">
        <v>119</v>
      </c>
      <c r="J181" s="291"/>
      <c r="K181" s="291"/>
      <c r="L181" s="290" t="e">
        <v>#REF!</v>
      </c>
      <c r="M181" s="289" t="b">
        <v>0</v>
      </c>
      <c r="N181" s="290"/>
      <c r="O181" s="289"/>
    </row>
    <row r="182" spans="1:15" x14ac:dyDescent="0.25">
      <c r="A182" s="169" t="str">
        <f>E182&amp;COUNTIFS($E$2:E182,E182)</f>
        <v>0</v>
      </c>
      <c r="B182" s="166"/>
      <c r="C182" s="168"/>
      <c r="D182" s="167"/>
      <c r="E182" s="166"/>
      <c r="F182" s="165"/>
      <c r="G182" s="164"/>
      <c r="I182" s="289" t="s">
        <v>112</v>
      </c>
      <c r="J182" s="291"/>
      <c r="K182" s="291"/>
      <c r="L182" s="290" t="e">
        <v>#REF!</v>
      </c>
      <c r="M182" s="289" t="b">
        <v>0</v>
      </c>
      <c r="N182" s="290"/>
      <c r="O182" s="289"/>
    </row>
    <row r="183" spans="1:15" x14ac:dyDescent="0.25">
      <c r="A183" s="169" t="str">
        <f>E183&amp;COUNTIFS($E$2:E183,E183)</f>
        <v>0</v>
      </c>
      <c r="B183" s="166"/>
      <c r="C183" s="168"/>
      <c r="D183" s="167"/>
      <c r="E183" s="166"/>
      <c r="F183" s="165"/>
      <c r="G183" s="164"/>
      <c r="I183" s="289" t="s">
        <v>108</v>
      </c>
      <c r="J183" s="291"/>
      <c r="K183" s="291"/>
      <c r="L183" s="290" t="e">
        <v>#REF!</v>
      </c>
      <c r="M183" s="289" t="b">
        <v>0</v>
      </c>
      <c r="N183" s="290"/>
      <c r="O183" s="289"/>
    </row>
    <row r="184" spans="1:15" x14ac:dyDescent="0.25">
      <c r="A184" s="169" t="str">
        <f>E184&amp;COUNTIFS($E$2:E184,E184)</f>
        <v>0</v>
      </c>
      <c r="B184" s="166"/>
      <c r="C184" s="168"/>
      <c r="D184" s="167"/>
      <c r="E184" s="166"/>
      <c r="F184" s="165"/>
      <c r="G184" s="164"/>
      <c r="I184" s="289" t="s">
        <v>106</v>
      </c>
      <c r="J184" s="291"/>
      <c r="K184" s="291"/>
      <c r="L184" s="290" t="e">
        <v>#REF!</v>
      </c>
      <c r="M184" s="289" t="b">
        <v>0</v>
      </c>
      <c r="N184" s="290"/>
      <c r="O184" s="289"/>
    </row>
    <row r="185" spans="1:15" x14ac:dyDescent="0.25">
      <c r="A185" s="169" t="str">
        <f>E185&amp;COUNTIFS($E$2:E185,E185)</f>
        <v>0</v>
      </c>
      <c r="B185" s="166"/>
      <c r="C185" s="168"/>
      <c r="D185" s="167"/>
      <c r="E185" s="166"/>
      <c r="F185" s="165"/>
      <c r="G185" s="164"/>
      <c r="I185" s="289" t="s">
        <v>102</v>
      </c>
      <c r="J185" s="291"/>
      <c r="K185" s="291"/>
      <c r="L185" s="290" t="e">
        <v>#REF!</v>
      </c>
      <c r="M185" s="289" t="b">
        <v>0</v>
      </c>
      <c r="N185" s="290"/>
      <c r="O185" s="289"/>
    </row>
    <row r="186" spans="1:15" x14ac:dyDescent="0.25">
      <c r="A186" s="169" t="str">
        <f>E186&amp;COUNTIFS($E$2:E186,E186)</f>
        <v>0</v>
      </c>
      <c r="B186" s="166"/>
      <c r="C186" s="168"/>
      <c r="D186" s="167"/>
      <c r="E186" s="166"/>
      <c r="F186" s="165"/>
      <c r="G186" s="164"/>
      <c r="I186" s="289" t="s">
        <v>100</v>
      </c>
      <c r="J186" s="291"/>
      <c r="K186" s="291"/>
      <c r="L186" s="290" t="e">
        <v>#REF!</v>
      </c>
      <c r="M186" s="289" t="b">
        <v>0</v>
      </c>
      <c r="N186" s="290"/>
      <c r="O186" s="289"/>
    </row>
    <row r="187" spans="1:15" x14ac:dyDescent="0.25">
      <c r="A187" s="169" t="str">
        <f>E187&amp;COUNTIFS($E$2:E187,E187)</f>
        <v>0</v>
      </c>
      <c r="B187" s="166"/>
      <c r="C187" s="168"/>
      <c r="D187" s="167"/>
      <c r="E187" s="166"/>
      <c r="F187" s="165"/>
      <c r="G187" s="164"/>
      <c r="I187" s="289" t="s">
        <v>98</v>
      </c>
      <c r="J187" s="291"/>
      <c r="K187" s="291"/>
      <c r="L187" s="290" t="e">
        <v>#REF!</v>
      </c>
      <c r="M187" s="289" t="b">
        <v>0</v>
      </c>
      <c r="N187" s="290"/>
      <c r="O187" s="289"/>
    </row>
    <row r="188" spans="1:15" x14ac:dyDescent="0.25">
      <c r="A188" s="169" t="str">
        <f>E188&amp;COUNTIFS($E$2:E188,E188)</f>
        <v>0</v>
      </c>
      <c r="B188" s="166"/>
      <c r="C188" s="168"/>
      <c r="D188" s="167"/>
      <c r="E188" s="166"/>
      <c r="F188" s="165"/>
      <c r="G188" s="164"/>
      <c r="I188" s="289" t="s">
        <v>94</v>
      </c>
      <c r="J188" s="291"/>
      <c r="K188" s="291"/>
      <c r="L188" s="290" t="e">
        <v>#REF!</v>
      </c>
      <c r="M188" s="289" t="b">
        <v>0</v>
      </c>
      <c r="N188" s="290"/>
      <c r="O188" s="289"/>
    </row>
    <row r="189" spans="1:15" x14ac:dyDescent="0.25">
      <c r="A189" s="169" t="str">
        <f>E189&amp;COUNTIFS($E$2:E189,E189)</f>
        <v>0</v>
      </c>
      <c r="B189" s="166"/>
      <c r="C189" s="168"/>
      <c r="D189" s="167"/>
      <c r="E189" s="166"/>
      <c r="F189" s="165"/>
      <c r="G189" s="164"/>
      <c r="I189" s="289" t="s">
        <v>90</v>
      </c>
      <c r="J189" s="291"/>
      <c r="K189" s="291"/>
      <c r="L189" s="290" t="e">
        <v>#REF!</v>
      </c>
      <c r="M189" s="289" t="b">
        <v>0</v>
      </c>
      <c r="N189" s="290"/>
      <c r="O189" s="289"/>
    </row>
    <row r="190" spans="1:15" x14ac:dyDescent="0.25">
      <c r="A190" s="169" t="str">
        <f>E190&amp;COUNTIFS($E$2:E190,E190)</f>
        <v>0</v>
      </c>
      <c r="B190" s="166"/>
      <c r="C190" s="168"/>
      <c r="D190" s="167"/>
      <c r="E190" s="166"/>
      <c r="F190" s="165"/>
      <c r="G190" s="164"/>
      <c r="I190" s="289" t="s">
        <v>86</v>
      </c>
      <c r="J190" s="291"/>
      <c r="K190" s="291"/>
      <c r="L190" s="290" t="e">
        <v>#REF!</v>
      </c>
      <c r="M190" s="289" t="b">
        <v>0</v>
      </c>
      <c r="N190" s="290"/>
      <c r="O190" s="289"/>
    </row>
    <row r="191" spans="1:15" x14ac:dyDescent="0.25">
      <c r="A191" s="169" t="str">
        <f>E191&amp;COUNTIFS($E$2:E191,E191)</f>
        <v>0</v>
      </c>
      <c r="B191" s="166"/>
      <c r="C191" s="168"/>
      <c r="D191" s="167"/>
      <c r="E191" s="166"/>
      <c r="F191" s="165"/>
      <c r="G191" s="164"/>
      <c r="I191" s="289" t="s">
        <v>84</v>
      </c>
      <c r="J191" s="291"/>
      <c r="K191" s="291"/>
      <c r="L191" s="290" t="e">
        <v>#REF!</v>
      </c>
      <c r="M191" s="289" t="b">
        <v>0</v>
      </c>
      <c r="N191" s="290"/>
      <c r="O191" s="289"/>
    </row>
    <row r="192" spans="1:15" x14ac:dyDescent="0.25">
      <c r="A192" s="169" t="str">
        <f>E192&amp;COUNTIFS($E$2:E192,E192)</f>
        <v>0</v>
      </c>
      <c r="B192" s="166"/>
      <c r="C192" s="168"/>
      <c r="D192" s="167"/>
      <c r="E192" s="166"/>
      <c r="F192" s="165"/>
      <c r="G192" s="164"/>
      <c r="I192" s="289" t="s">
        <v>82</v>
      </c>
      <c r="J192" s="291"/>
      <c r="K192" s="291"/>
      <c r="L192" s="290" t="e">
        <v>#REF!</v>
      </c>
      <c r="M192" s="289" t="b">
        <v>0</v>
      </c>
      <c r="N192" s="290"/>
      <c r="O192" s="289"/>
    </row>
    <row r="193" spans="1:15" x14ac:dyDescent="0.25">
      <c r="A193" s="169" t="str">
        <f>E193&amp;COUNTIFS($E$2:E193,E193)</f>
        <v>0</v>
      </c>
      <c r="B193" s="166"/>
      <c r="C193" s="168"/>
      <c r="D193" s="167"/>
      <c r="E193" s="166"/>
      <c r="F193" s="165"/>
      <c r="G193" s="164"/>
      <c r="I193" s="289" t="s">
        <v>78</v>
      </c>
      <c r="J193" s="291"/>
      <c r="K193" s="291"/>
      <c r="L193" s="290" t="e">
        <v>#REF!</v>
      </c>
      <c r="M193" s="289" t="b">
        <v>0</v>
      </c>
      <c r="N193" s="290"/>
      <c r="O193" s="289"/>
    </row>
    <row r="194" spans="1:15" x14ac:dyDescent="0.25">
      <c r="A194" s="169" t="str">
        <f>E194&amp;COUNTIFS($E$2:E194,E194)</f>
        <v>0</v>
      </c>
      <c r="B194" s="166"/>
      <c r="C194" s="168"/>
      <c r="D194" s="167"/>
      <c r="E194" s="166"/>
      <c r="F194" s="165"/>
      <c r="G194" s="164"/>
      <c r="I194" s="289" t="s">
        <v>76</v>
      </c>
      <c r="J194" s="291"/>
      <c r="K194" s="291"/>
      <c r="L194" s="290" t="e">
        <v>#REF!</v>
      </c>
      <c r="M194" s="289" t="b">
        <v>0</v>
      </c>
      <c r="N194" s="290"/>
      <c r="O194" s="289"/>
    </row>
    <row r="195" spans="1:15" x14ac:dyDescent="0.25">
      <c r="A195" s="169" t="str">
        <f>E195&amp;COUNTIFS($E$2:E195,E195)</f>
        <v>0</v>
      </c>
      <c r="B195" s="166"/>
      <c r="C195" s="168"/>
      <c r="D195" s="167"/>
      <c r="E195" s="166"/>
      <c r="F195" s="165"/>
      <c r="G195" s="164"/>
      <c r="I195" s="289" t="s">
        <v>74</v>
      </c>
      <c r="J195" s="291"/>
      <c r="K195" s="291"/>
      <c r="L195" s="290" t="e">
        <v>#REF!</v>
      </c>
      <c r="M195" s="289" t="b">
        <v>0</v>
      </c>
      <c r="N195" s="290"/>
      <c r="O195" s="289"/>
    </row>
    <row r="196" spans="1:15" ht="15.75" thickBot="1" x14ac:dyDescent="0.3">
      <c r="A196" s="163" t="str">
        <f>E196&amp;COUNTIFS($E$2:E196,E196)</f>
        <v>0</v>
      </c>
      <c r="B196" s="160"/>
      <c r="C196" s="162"/>
      <c r="D196" s="161"/>
      <c r="E196" s="160"/>
      <c r="F196" s="159"/>
      <c r="G196" s="158"/>
      <c r="I196" s="289" t="s">
        <v>66</v>
      </c>
      <c r="J196" s="291"/>
      <c r="K196" s="291"/>
      <c r="L196" s="290" t="e">
        <v>#REF!</v>
      </c>
      <c r="M196" s="289" t="b">
        <v>0</v>
      </c>
      <c r="N196" s="290"/>
      <c r="O196" s="289"/>
    </row>
    <row r="197" spans="1:15" x14ac:dyDescent="0.25">
      <c r="A197" s="148"/>
      <c r="C197" s="143"/>
      <c r="D197" s="157"/>
      <c r="E197" s="143"/>
      <c r="F197" s="156"/>
      <c r="G197" s="156"/>
      <c r="I197" s="289" t="s">
        <v>64</v>
      </c>
      <c r="J197" s="291"/>
      <c r="K197" s="291"/>
      <c r="L197" s="290" t="e">
        <v>#REF!</v>
      </c>
      <c r="M197" s="289" t="b">
        <v>0</v>
      </c>
      <c r="N197" s="290"/>
      <c r="O197" s="289"/>
    </row>
    <row r="198" spans="1:15" x14ac:dyDescent="0.25">
      <c r="A198" s="148"/>
      <c r="C198" s="153" t="s">
        <v>623</v>
      </c>
      <c r="D198" s="152"/>
      <c r="E198" s="151"/>
      <c r="F198" s="150">
        <f>SUM(F172:F196)</f>
        <v>0</v>
      </c>
      <c r="G198" s="155">
        <f>SUM(G172:G196)</f>
        <v>0</v>
      </c>
      <c r="I198" s="289" t="s">
        <v>57</v>
      </c>
      <c r="J198" s="291"/>
      <c r="K198" s="291"/>
      <c r="L198" s="290" t="e">
        <v>#REF!</v>
      </c>
      <c r="M198" s="289" t="b">
        <v>0</v>
      </c>
      <c r="N198" s="290"/>
      <c r="O198" s="289"/>
    </row>
    <row r="199" spans="1:15" x14ac:dyDescent="0.25">
      <c r="A199" s="148"/>
      <c r="C199" s="145" t="s">
        <v>622</v>
      </c>
      <c r="D199" s="154"/>
      <c r="E199" s="145"/>
      <c r="F199" s="144"/>
      <c r="G199" s="144"/>
      <c r="I199" s="289" t="s">
        <v>55</v>
      </c>
      <c r="J199" s="291"/>
      <c r="K199" s="291"/>
      <c r="L199" s="290" t="e">
        <v>#REF!</v>
      </c>
      <c r="M199" s="289" t="b">
        <v>0</v>
      </c>
      <c r="N199" s="290"/>
      <c r="O199" s="289"/>
    </row>
    <row r="200" spans="1:15" x14ac:dyDescent="0.25">
      <c r="A200" s="148"/>
      <c r="C200" s="153" t="s">
        <v>621</v>
      </c>
      <c r="D200" s="152"/>
      <c r="E200" s="151"/>
      <c r="F200" s="150">
        <f>F167</f>
        <v>0</v>
      </c>
      <c r="G200" s="150">
        <f>G167</f>
        <v>0</v>
      </c>
      <c r="I200" s="289" t="s">
        <v>53</v>
      </c>
      <c r="J200" s="291"/>
      <c r="K200" s="291"/>
      <c r="L200" s="290" t="e">
        <v>#REF!</v>
      </c>
      <c r="M200" s="289" t="b">
        <v>0</v>
      </c>
      <c r="N200" s="290"/>
      <c r="O200" s="289"/>
    </row>
    <row r="201" spans="1:15" x14ac:dyDescent="0.25">
      <c r="A201" s="148"/>
      <c r="C201" s="153" t="s">
        <v>582</v>
      </c>
      <c r="D201" s="152"/>
      <c r="E201" s="151"/>
      <c r="F201" s="150">
        <f>F200+F198</f>
        <v>0</v>
      </c>
      <c r="G201" s="150">
        <f>G200+G198</f>
        <v>0</v>
      </c>
      <c r="I201" s="289" t="s">
        <v>51</v>
      </c>
      <c r="J201" s="291"/>
      <c r="K201" s="291"/>
      <c r="L201" s="290" t="e">
        <v>#REF!</v>
      </c>
      <c r="M201" s="289" t="b">
        <v>0</v>
      </c>
      <c r="N201" s="290"/>
      <c r="O201" s="289"/>
    </row>
    <row r="202" spans="1:15" ht="15.75" thickBot="1" x14ac:dyDescent="0.3">
      <c r="A202" s="148"/>
      <c r="C202" s="145"/>
      <c r="D202" s="149"/>
      <c r="E202" s="145"/>
      <c r="F202" s="144"/>
      <c r="G202" s="144"/>
      <c r="I202" s="289" t="s">
        <v>49</v>
      </c>
      <c r="J202" s="291"/>
      <c r="K202" s="291"/>
      <c r="L202" s="290" t="e">
        <v>#REF!</v>
      </c>
      <c r="M202" s="289" t="b">
        <v>0</v>
      </c>
      <c r="N202" s="290"/>
      <c r="O202" s="289"/>
    </row>
    <row r="203" spans="1:15" ht="15.75" thickBot="1" x14ac:dyDescent="0.3">
      <c r="A203" s="148"/>
      <c r="C203" s="147" t="s">
        <v>620</v>
      </c>
      <c r="D203" s="146">
        <f>F201-G201</f>
        <v>0</v>
      </c>
      <c r="E203" s="145"/>
      <c r="F203" s="144"/>
      <c r="G203" s="144"/>
      <c r="I203" s="289" t="s">
        <v>47</v>
      </c>
      <c r="J203" s="291"/>
      <c r="K203" s="291"/>
      <c r="L203" s="290" t="e">
        <v>#REF!</v>
      </c>
      <c r="M203" s="289" t="b">
        <v>0</v>
      </c>
      <c r="N203" s="290"/>
      <c r="O203" s="289"/>
    </row>
    <row r="204" spans="1:15" ht="15.75" thickBot="1" x14ac:dyDescent="0.3">
      <c r="I204" s="289" t="s">
        <v>45</v>
      </c>
      <c r="J204" s="291"/>
      <c r="K204" s="291"/>
      <c r="L204" s="290" t="e">
        <v>#REF!</v>
      </c>
      <c r="M204" s="289" t="b">
        <v>0</v>
      </c>
      <c r="N204" s="290"/>
      <c r="O204" s="289"/>
    </row>
    <row r="205" spans="1:15" ht="30.75" thickBot="1" x14ac:dyDescent="0.3">
      <c r="A205" s="287" t="s">
        <v>626</v>
      </c>
      <c r="B205" s="286" t="s">
        <v>606</v>
      </c>
      <c r="C205" s="285" t="s">
        <v>637</v>
      </c>
      <c r="D205" s="284" t="s">
        <v>601</v>
      </c>
      <c r="E205" s="283" t="s">
        <v>287</v>
      </c>
      <c r="F205" s="282" t="s">
        <v>624</v>
      </c>
      <c r="G205" s="282" t="s">
        <v>596</v>
      </c>
      <c r="I205" s="289" t="s">
        <v>43</v>
      </c>
      <c r="J205" s="291"/>
      <c r="K205" s="291"/>
      <c r="L205" s="290" t="e">
        <v>#REF!</v>
      </c>
      <c r="M205" s="289" t="b">
        <v>0</v>
      </c>
      <c r="N205" s="290"/>
      <c r="O205" s="289"/>
    </row>
    <row r="206" spans="1:15" x14ac:dyDescent="0.25">
      <c r="A206" s="175" t="str">
        <f>E206&amp;COUNTIFS($E$2:E206,E206)</f>
        <v>0</v>
      </c>
      <c r="B206" s="172"/>
      <c r="C206" s="174"/>
      <c r="D206" s="173"/>
      <c r="E206" s="172"/>
      <c r="F206" s="171"/>
      <c r="G206" s="170"/>
      <c r="I206" s="289" t="s">
        <v>41</v>
      </c>
      <c r="J206" s="291"/>
      <c r="K206" s="291"/>
      <c r="L206" s="290" t="e">
        <v>#REF!</v>
      </c>
      <c r="M206" s="289" t="b">
        <v>0</v>
      </c>
      <c r="N206" s="290"/>
      <c r="O206" s="289"/>
    </row>
    <row r="207" spans="1:15" x14ac:dyDescent="0.25">
      <c r="A207" s="169" t="str">
        <f>E207&amp;COUNTIFS($E$2:E207,E207)</f>
        <v>0</v>
      </c>
      <c r="B207" s="166"/>
      <c r="C207" s="168"/>
      <c r="D207" s="167"/>
      <c r="E207" s="166"/>
      <c r="F207" s="165"/>
      <c r="G207" s="164"/>
      <c r="I207" s="289" t="s">
        <v>39</v>
      </c>
      <c r="J207" s="291"/>
      <c r="K207" s="291"/>
      <c r="L207" s="290" t="e">
        <v>#REF!</v>
      </c>
      <c r="M207" s="289" t="b">
        <v>0</v>
      </c>
      <c r="N207" s="290"/>
      <c r="O207" s="289"/>
    </row>
    <row r="208" spans="1:15" x14ac:dyDescent="0.25">
      <c r="A208" s="169" t="str">
        <f>E208&amp;COUNTIFS($E$2:E208,E208)</f>
        <v>0</v>
      </c>
      <c r="B208" s="166"/>
      <c r="C208" s="168"/>
      <c r="D208" s="167"/>
      <c r="E208" s="166"/>
      <c r="F208" s="165"/>
      <c r="G208" s="164"/>
      <c r="I208" s="289" t="s">
        <v>37</v>
      </c>
      <c r="J208" s="291"/>
      <c r="K208" s="291"/>
      <c r="L208" s="290" t="e">
        <v>#REF!</v>
      </c>
      <c r="M208" s="289" t="b">
        <v>0</v>
      </c>
      <c r="N208" s="290"/>
      <c r="O208" s="289"/>
    </row>
    <row r="209" spans="1:15" x14ac:dyDescent="0.25">
      <c r="A209" s="169" t="str">
        <f>E209&amp;COUNTIFS($E$2:E209,E209)</f>
        <v>0</v>
      </c>
      <c r="B209" s="166"/>
      <c r="C209" s="168"/>
      <c r="D209" s="167"/>
      <c r="E209" s="166"/>
      <c r="F209" s="165"/>
      <c r="G209" s="164"/>
      <c r="I209" s="289" t="s">
        <v>32</v>
      </c>
      <c r="J209" s="291"/>
      <c r="K209" s="291"/>
      <c r="L209" s="290" t="e">
        <v>#REF!</v>
      </c>
      <c r="M209" s="289" t="b">
        <v>0</v>
      </c>
      <c r="N209" s="290"/>
      <c r="O209" s="289"/>
    </row>
    <row r="210" spans="1:15" x14ac:dyDescent="0.25">
      <c r="A210" s="169" t="str">
        <f>E210&amp;COUNTIFS($E$2:E210,E210)</f>
        <v>0</v>
      </c>
      <c r="B210" s="166"/>
      <c r="C210" s="168"/>
      <c r="D210" s="167"/>
      <c r="E210" s="166"/>
      <c r="F210" s="165"/>
      <c r="G210" s="164"/>
      <c r="I210" s="289" t="s">
        <v>30</v>
      </c>
      <c r="J210" s="291"/>
      <c r="K210" s="291"/>
      <c r="L210" s="290" t="e">
        <v>#REF!</v>
      </c>
      <c r="M210" s="289" t="b">
        <v>0</v>
      </c>
      <c r="O210" s="289"/>
    </row>
    <row r="211" spans="1:15" x14ac:dyDescent="0.25">
      <c r="A211" s="169" t="str">
        <f>E211&amp;COUNTIFS($E$2:E211,E211)</f>
        <v>0</v>
      </c>
      <c r="B211" s="166"/>
      <c r="C211" s="168"/>
      <c r="D211" s="167"/>
      <c r="E211" s="166"/>
      <c r="F211" s="165"/>
      <c r="G211" s="164"/>
      <c r="I211" s="289" t="s">
        <v>23</v>
      </c>
      <c r="J211" s="291"/>
      <c r="K211" s="291"/>
      <c r="L211" s="290" t="e">
        <v>#REF!</v>
      </c>
      <c r="M211" s="289" t="b">
        <v>0</v>
      </c>
      <c r="O211" s="289"/>
    </row>
    <row r="212" spans="1:15" x14ac:dyDescent="0.25">
      <c r="A212" s="169" t="str">
        <f>E212&amp;COUNTIFS($E$2:E212,E212)</f>
        <v>0</v>
      </c>
      <c r="B212" s="166"/>
      <c r="C212" s="168"/>
      <c r="D212" s="167"/>
      <c r="E212" s="166"/>
      <c r="F212" s="165"/>
      <c r="G212" s="164"/>
      <c r="I212" s="289" t="s">
        <v>21</v>
      </c>
      <c r="J212" s="291"/>
      <c r="K212" s="291"/>
      <c r="L212" s="290" t="e">
        <v>#REF!</v>
      </c>
      <c r="M212" s="289" t="b">
        <v>0</v>
      </c>
      <c r="O212" s="289"/>
    </row>
    <row r="213" spans="1:15" x14ac:dyDescent="0.25">
      <c r="A213" s="169" t="str">
        <f>E213&amp;COUNTIFS($E$2:E213,E213)</f>
        <v>0</v>
      </c>
      <c r="B213" s="166"/>
      <c r="C213" s="168"/>
      <c r="D213" s="167"/>
      <c r="E213" s="166"/>
      <c r="F213" s="165"/>
      <c r="G213" s="164"/>
      <c r="I213" s="289" t="s">
        <v>19</v>
      </c>
      <c r="J213" s="291"/>
      <c r="K213" s="291"/>
      <c r="L213" s="290" t="e">
        <v>#REF!</v>
      </c>
      <c r="M213" s="289" t="b">
        <v>0</v>
      </c>
      <c r="O213" s="289"/>
    </row>
    <row r="214" spans="1:15" x14ac:dyDescent="0.25">
      <c r="A214" s="169" t="str">
        <f>E214&amp;COUNTIFS($E$2:E214,E214)</f>
        <v>0</v>
      </c>
      <c r="B214" s="166"/>
      <c r="C214" s="168"/>
      <c r="D214" s="167"/>
      <c r="E214" s="166"/>
      <c r="F214" s="165"/>
      <c r="G214" s="164"/>
      <c r="I214" s="289" t="s">
        <v>17</v>
      </c>
      <c r="J214" s="291"/>
      <c r="K214" s="291"/>
      <c r="L214" s="290" t="e">
        <v>#REF!</v>
      </c>
      <c r="M214" s="289" t="b">
        <v>0</v>
      </c>
      <c r="O214" s="289"/>
    </row>
    <row r="215" spans="1:15" x14ac:dyDescent="0.25">
      <c r="A215" s="169" t="str">
        <f>E215&amp;COUNTIFS($E$2:E215,E215)</f>
        <v>0</v>
      </c>
      <c r="B215" s="166"/>
      <c r="C215" s="168"/>
      <c r="D215" s="167"/>
      <c r="E215" s="166"/>
      <c r="F215" s="165"/>
      <c r="G215" s="164"/>
      <c r="I215" s="289" t="s">
        <v>15</v>
      </c>
      <c r="J215" s="291"/>
      <c r="K215" s="291"/>
      <c r="L215" s="290" t="e">
        <v>#REF!</v>
      </c>
      <c r="M215" s="289" t="b">
        <v>0</v>
      </c>
      <c r="O215" s="289"/>
    </row>
    <row r="216" spans="1:15" x14ac:dyDescent="0.25">
      <c r="A216" s="169" t="str">
        <f>E216&amp;COUNTIFS($E$2:E216,E216)</f>
        <v>0</v>
      </c>
      <c r="B216" s="166"/>
      <c r="C216" s="168"/>
      <c r="D216" s="167"/>
      <c r="E216" s="166"/>
      <c r="F216" s="165"/>
      <c r="G216" s="164"/>
      <c r="I216" s="289" t="s">
        <v>13</v>
      </c>
      <c r="J216" s="291"/>
      <c r="K216" s="291"/>
      <c r="L216" s="290" t="e">
        <v>#REF!</v>
      </c>
      <c r="M216" s="289" t="b">
        <v>0</v>
      </c>
      <c r="O216" s="289"/>
    </row>
    <row r="217" spans="1:15" x14ac:dyDescent="0.25">
      <c r="A217" s="169" t="str">
        <f>E217&amp;COUNTIFS($E$2:E217,E217)</f>
        <v>0</v>
      </c>
      <c r="B217" s="166"/>
      <c r="C217" s="168"/>
      <c r="D217" s="167"/>
      <c r="E217" s="166"/>
      <c r="F217" s="165"/>
      <c r="G217" s="164"/>
      <c r="I217" s="289" t="s">
        <v>11</v>
      </c>
      <c r="J217" s="291"/>
      <c r="K217" s="291"/>
      <c r="L217" s="290" t="e">
        <v>#REF!</v>
      </c>
      <c r="M217" s="289" t="b">
        <v>0</v>
      </c>
      <c r="O217" s="289"/>
    </row>
    <row r="218" spans="1:15" x14ac:dyDescent="0.25">
      <c r="A218" s="169" t="str">
        <f>E218&amp;COUNTIFS($E$2:E218,E218)</f>
        <v>0</v>
      </c>
      <c r="B218" s="166"/>
      <c r="C218" s="168"/>
      <c r="D218" s="167"/>
      <c r="E218" s="166"/>
      <c r="F218" s="165"/>
      <c r="G218" s="164"/>
      <c r="I218" s="289" t="s">
        <v>9</v>
      </c>
      <c r="J218" s="291"/>
      <c r="K218" s="291"/>
      <c r="L218" s="290" t="e">
        <v>#REF!</v>
      </c>
      <c r="M218" s="289" t="b">
        <v>0</v>
      </c>
      <c r="O218" s="289"/>
    </row>
    <row r="219" spans="1:15" x14ac:dyDescent="0.25">
      <c r="A219" s="169" t="str">
        <f>E219&amp;COUNTIFS($E$2:E219,E219)</f>
        <v>0</v>
      </c>
      <c r="B219" s="166"/>
      <c r="C219" s="168"/>
      <c r="D219" s="167"/>
      <c r="E219" s="166"/>
      <c r="F219" s="165"/>
      <c r="G219" s="164"/>
      <c r="I219" s="289" t="s">
        <v>7</v>
      </c>
      <c r="J219" s="291"/>
      <c r="K219" s="291"/>
      <c r="L219" s="290" t="e">
        <v>#REF!</v>
      </c>
      <c r="M219" s="289" t="b">
        <v>0</v>
      </c>
      <c r="O219" s="289"/>
    </row>
    <row r="220" spans="1:15" x14ac:dyDescent="0.25">
      <c r="A220" s="169" t="str">
        <f>E220&amp;COUNTIFS($E$2:E220,E220)</f>
        <v>0</v>
      </c>
      <c r="B220" s="166"/>
      <c r="C220" s="168"/>
      <c r="D220" s="167"/>
      <c r="E220" s="166"/>
      <c r="F220" s="165"/>
      <c r="G220" s="164"/>
      <c r="I220" s="289" t="s">
        <v>5</v>
      </c>
      <c r="J220" s="291"/>
      <c r="K220" s="291"/>
      <c r="L220" s="290" t="e">
        <v>#REF!</v>
      </c>
      <c r="M220" s="289" t="b">
        <v>0</v>
      </c>
      <c r="O220" s="289"/>
    </row>
    <row r="221" spans="1:15" x14ac:dyDescent="0.25">
      <c r="A221" s="169" t="str">
        <f>E221&amp;COUNTIFS($E$2:E221,E221)</f>
        <v>0</v>
      </c>
      <c r="B221" s="166"/>
      <c r="C221" s="168"/>
      <c r="D221" s="167"/>
      <c r="E221" s="166"/>
      <c r="F221" s="165"/>
      <c r="G221" s="164"/>
      <c r="J221" s="288"/>
    </row>
    <row r="222" spans="1:15" x14ac:dyDescent="0.25">
      <c r="A222" s="169" t="str">
        <f>E222&amp;COUNTIFS($E$2:E222,E222)</f>
        <v>0</v>
      </c>
      <c r="B222" s="166"/>
      <c r="C222" s="168"/>
      <c r="D222" s="167"/>
      <c r="E222" s="166"/>
      <c r="F222" s="165"/>
      <c r="G222" s="164"/>
      <c r="J222" s="288"/>
    </row>
    <row r="223" spans="1:15" x14ac:dyDescent="0.25">
      <c r="A223" s="169" t="str">
        <f>E223&amp;COUNTIFS($E$2:E223,E223)</f>
        <v>0</v>
      </c>
      <c r="B223" s="166"/>
      <c r="C223" s="168"/>
      <c r="D223" s="167"/>
      <c r="E223" s="166"/>
      <c r="F223" s="165"/>
      <c r="G223" s="164"/>
      <c r="J223" s="288"/>
    </row>
    <row r="224" spans="1:15" x14ac:dyDescent="0.25">
      <c r="A224" s="169" t="str">
        <f>E224&amp;COUNTIFS($E$2:E224,E224)</f>
        <v>0</v>
      </c>
      <c r="B224" s="166"/>
      <c r="C224" s="168"/>
      <c r="D224" s="167"/>
      <c r="E224" s="166"/>
      <c r="F224" s="165"/>
      <c r="G224" s="164"/>
      <c r="J224" s="288"/>
    </row>
    <row r="225" spans="1:10" x14ac:dyDescent="0.25">
      <c r="A225" s="169" t="str">
        <f>E225&amp;COUNTIFS($E$2:E225,E225)</f>
        <v>0</v>
      </c>
      <c r="B225" s="166"/>
      <c r="C225" s="168"/>
      <c r="D225" s="167"/>
      <c r="E225" s="166"/>
      <c r="F225" s="165"/>
      <c r="G225" s="164"/>
      <c r="J225" s="288"/>
    </row>
    <row r="226" spans="1:10" x14ac:dyDescent="0.25">
      <c r="A226" s="169" t="str">
        <f>E226&amp;COUNTIFS($E$2:E226,E226)</f>
        <v>0</v>
      </c>
      <c r="B226" s="166"/>
      <c r="C226" s="168"/>
      <c r="D226" s="167"/>
      <c r="E226" s="166"/>
      <c r="F226" s="165"/>
      <c r="G226" s="164"/>
      <c r="J226" s="288"/>
    </row>
    <row r="227" spans="1:10" x14ac:dyDescent="0.25">
      <c r="A227" s="169" t="str">
        <f>E227&amp;COUNTIFS($E$2:E227,E227)</f>
        <v>0</v>
      </c>
      <c r="B227" s="166"/>
      <c r="C227" s="168"/>
      <c r="D227" s="167"/>
      <c r="E227" s="166"/>
      <c r="F227" s="165"/>
      <c r="G227" s="164"/>
      <c r="J227" s="288"/>
    </row>
    <row r="228" spans="1:10" x14ac:dyDescent="0.25">
      <c r="A228" s="169" t="str">
        <f>E228&amp;COUNTIFS($E$2:E228,E228)</f>
        <v>0</v>
      </c>
      <c r="B228" s="166"/>
      <c r="C228" s="168"/>
      <c r="D228" s="167"/>
      <c r="E228" s="166"/>
      <c r="F228" s="165"/>
      <c r="G228" s="164"/>
      <c r="J228" s="288"/>
    </row>
    <row r="229" spans="1:10" x14ac:dyDescent="0.25">
      <c r="A229" s="169" t="str">
        <f>E229&amp;COUNTIFS($E$2:E229,E229)</f>
        <v>0</v>
      </c>
      <c r="B229" s="166"/>
      <c r="C229" s="168"/>
      <c r="D229" s="167"/>
      <c r="E229" s="166"/>
      <c r="F229" s="165"/>
      <c r="G229" s="164"/>
      <c r="J229" s="288"/>
    </row>
    <row r="230" spans="1:10" ht="15.75" thickBot="1" x14ac:dyDescent="0.3">
      <c r="A230" s="163" t="str">
        <f>E230&amp;COUNTIFS($E$2:E230,E230)</f>
        <v>0</v>
      </c>
      <c r="B230" s="160"/>
      <c r="C230" s="162"/>
      <c r="D230" s="161"/>
      <c r="E230" s="160"/>
      <c r="F230" s="159"/>
      <c r="G230" s="158"/>
      <c r="J230" s="288"/>
    </row>
    <row r="231" spans="1:10" x14ac:dyDescent="0.25">
      <c r="A231" s="148"/>
      <c r="C231" s="143"/>
      <c r="D231" s="157"/>
      <c r="E231" s="143"/>
      <c r="F231" s="156"/>
      <c r="G231" s="156"/>
      <c r="J231" s="288"/>
    </row>
    <row r="232" spans="1:10" x14ac:dyDescent="0.25">
      <c r="A232" s="148"/>
      <c r="C232" s="153" t="s">
        <v>623</v>
      </c>
      <c r="D232" s="152"/>
      <c r="E232" s="151"/>
      <c r="F232" s="150">
        <f>SUM(F206:F230)</f>
        <v>0</v>
      </c>
      <c r="G232" s="155">
        <f>SUM(G206:G230)</f>
        <v>0</v>
      </c>
      <c r="J232" s="288"/>
    </row>
    <row r="233" spans="1:10" x14ac:dyDescent="0.25">
      <c r="A233" s="148"/>
      <c r="C233" s="145" t="s">
        <v>622</v>
      </c>
      <c r="D233" s="154"/>
      <c r="E233" s="145"/>
      <c r="F233" s="144"/>
      <c r="G233" s="144"/>
      <c r="J233" s="288"/>
    </row>
    <row r="234" spans="1:10" x14ac:dyDescent="0.25">
      <c r="A234" s="148"/>
      <c r="C234" s="153" t="s">
        <v>621</v>
      </c>
      <c r="D234" s="152"/>
      <c r="E234" s="151"/>
      <c r="F234" s="150">
        <f>F201</f>
        <v>0</v>
      </c>
      <c r="G234" s="150">
        <f>G201</f>
        <v>0</v>
      </c>
      <c r="J234" s="288"/>
    </row>
    <row r="235" spans="1:10" x14ac:dyDescent="0.25">
      <c r="A235" s="148"/>
      <c r="C235" s="153" t="s">
        <v>582</v>
      </c>
      <c r="D235" s="152"/>
      <c r="E235" s="151"/>
      <c r="F235" s="150">
        <f>F234+F232</f>
        <v>0</v>
      </c>
      <c r="G235" s="150">
        <f>G234+G232</f>
        <v>0</v>
      </c>
      <c r="J235" s="288"/>
    </row>
    <row r="236" spans="1:10" ht="15.75" thickBot="1" x14ac:dyDescent="0.3">
      <c r="A236" s="148"/>
      <c r="C236" s="145"/>
      <c r="D236" s="149"/>
      <c r="E236" s="145"/>
      <c r="F236" s="144"/>
      <c r="G236" s="144"/>
      <c r="J236" s="288"/>
    </row>
    <row r="237" spans="1:10" ht="15.75" thickBot="1" x14ac:dyDescent="0.3">
      <c r="A237" s="148"/>
      <c r="C237" s="147" t="s">
        <v>620</v>
      </c>
      <c r="D237" s="146">
        <f>F235-G235</f>
        <v>0</v>
      </c>
      <c r="E237" s="145"/>
      <c r="F237" s="144"/>
      <c r="G237" s="144"/>
      <c r="J237" s="288"/>
    </row>
    <row r="238" spans="1:10" ht="15.75" thickBot="1" x14ac:dyDescent="0.3">
      <c r="J238" s="288"/>
    </row>
    <row r="239" spans="1:10" ht="30.75" thickBot="1" x14ac:dyDescent="0.3">
      <c r="A239" s="287" t="s">
        <v>626</v>
      </c>
      <c r="B239" s="286" t="s">
        <v>606</v>
      </c>
      <c r="C239" s="285" t="s">
        <v>637</v>
      </c>
      <c r="D239" s="284" t="s">
        <v>601</v>
      </c>
      <c r="E239" s="283" t="s">
        <v>287</v>
      </c>
      <c r="F239" s="282" t="s">
        <v>624</v>
      </c>
      <c r="G239" s="282" t="s">
        <v>596</v>
      </c>
      <c r="J239" s="288"/>
    </row>
    <row r="240" spans="1:10" x14ac:dyDescent="0.25">
      <c r="A240" s="175" t="str">
        <f>E240&amp;COUNTIFS($E$2:E240,E240)</f>
        <v>0</v>
      </c>
      <c r="B240" s="172"/>
      <c r="C240" s="174"/>
      <c r="D240" s="173"/>
      <c r="E240" s="172"/>
      <c r="F240" s="171"/>
      <c r="G240" s="170"/>
      <c r="J240" s="288"/>
    </row>
    <row r="241" spans="1:10" x14ac:dyDescent="0.25">
      <c r="A241" s="169" t="str">
        <f>E241&amp;COUNTIFS($E$2:E241,E241)</f>
        <v>0</v>
      </c>
      <c r="B241" s="166"/>
      <c r="C241" s="168"/>
      <c r="D241" s="167"/>
      <c r="E241" s="166"/>
      <c r="F241" s="165"/>
      <c r="G241" s="164"/>
      <c r="J241" s="288"/>
    </row>
    <row r="242" spans="1:10" x14ac:dyDescent="0.25">
      <c r="A242" s="169" t="str">
        <f>E242&amp;COUNTIFS($E$2:E242,E242)</f>
        <v>0</v>
      </c>
      <c r="B242" s="166"/>
      <c r="C242" s="168"/>
      <c r="D242" s="167"/>
      <c r="E242" s="166"/>
      <c r="F242" s="165"/>
      <c r="G242" s="164"/>
      <c r="J242" s="288"/>
    </row>
    <row r="243" spans="1:10" x14ac:dyDescent="0.25">
      <c r="A243" s="169" t="str">
        <f>E243&amp;COUNTIFS($E$2:E243,E243)</f>
        <v>0</v>
      </c>
      <c r="B243" s="166"/>
      <c r="C243" s="168"/>
      <c r="D243" s="167"/>
      <c r="E243" s="166"/>
      <c r="F243" s="165"/>
      <c r="G243" s="164"/>
      <c r="J243" s="288"/>
    </row>
    <row r="244" spans="1:10" x14ac:dyDescent="0.25">
      <c r="A244" s="169" t="str">
        <f>E244&amp;COUNTIFS($E$2:E244,E244)</f>
        <v>0</v>
      </c>
      <c r="B244" s="166"/>
      <c r="C244" s="168"/>
      <c r="D244" s="167"/>
      <c r="E244" s="166"/>
      <c r="F244" s="165"/>
      <c r="G244" s="164"/>
      <c r="J244" s="288"/>
    </row>
    <row r="245" spans="1:10" x14ac:dyDescent="0.25">
      <c r="A245" s="169" t="str">
        <f>E245&amp;COUNTIFS($E$2:E245,E245)</f>
        <v>0</v>
      </c>
      <c r="B245" s="166"/>
      <c r="C245" s="168"/>
      <c r="D245" s="167"/>
      <c r="E245" s="166"/>
      <c r="F245" s="165"/>
      <c r="G245" s="164"/>
      <c r="J245" s="288"/>
    </row>
    <row r="246" spans="1:10" x14ac:dyDescent="0.25">
      <c r="A246" s="169" t="str">
        <f>E246&amp;COUNTIFS($E$2:E246,E246)</f>
        <v>0</v>
      </c>
      <c r="B246" s="166"/>
      <c r="C246" s="168"/>
      <c r="D246" s="167"/>
      <c r="E246" s="166"/>
      <c r="F246" s="165"/>
      <c r="G246" s="164"/>
      <c r="J246" s="288"/>
    </row>
    <row r="247" spans="1:10" x14ac:dyDescent="0.25">
      <c r="A247" s="169" t="str">
        <f>E247&amp;COUNTIFS($E$2:E247,E247)</f>
        <v>0</v>
      </c>
      <c r="B247" s="166"/>
      <c r="C247" s="168"/>
      <c r="D247" s="167"/>
      <c r="E247" s="166"/>
      <c r="F247" s="165"/>
      <c r="G247" s="164"/>
      <c r="J247" s="288"/>
    </row>
    <row r="248" spans="1:10" x14ac:dyDescent="0.25">
      <c r="A248" s="169" t="str">
        <f>E248&amp;COUNTIFS($E$2:E248,E248)</f>
        <v>0</v>
      </c>
      <c r="B248" s="166"/>
      <c r="C248" s="168"/>
      <c r="D248" s="167"/>
      <c r="E248" s="166"/>
      <c r="F248" s="165"/>
      <c r="G248" s="164"/>
      <c r="J248" s="288"/>
    </row>
    <row r="249" spans="1:10" x14ac:dyDescent="0.25">
      <c r="A249" s="169" t="str">
        <f>E249&amp;COUNTIFS($E$2:E249,E249)</f>
        <v>0</v>
      </c>
      <c r="B249" s="166"/>
      <c r="C249" s="168"/>
      <c r="D249" s="167"/>
      <c r="E249" s="166"/>
      <c r="F249" s="165"/>
      <c r="G249" s="164"/>
    </row>
    <row r="250" spans="1:10" x14ac:dyDescent="0.25">
      <c r="A250" s="169" t="str">
        <f>E250&amp;COUNTIFS($E$2:E250,E250)</f>
        <v>0</v>
      </c>
      <c r="B250" s="166"/>
      <c r="C250" s="168"/>
      <c r="D250" s="167"/>
      <c r="E250" s="166"/>
      <c r="F250" s="165"/>
      <c r="G250" s="164"/>
    </row>
    <row r="251" spans="1:10" x14ac:dyDescent="0.25">
      <c r="A251" s="169" t="str">
        <f>E251&amp;COUNTIFS($E$2:E251,E251)</f>
        <v>0</v>
      </c>
      <c r="B251" s="166"/>
      <c r="C251" s="168"/>
      <c r="D251" s="167"/>
      <c r="E251" s="166"/>
      <c r="F251" s="165"/>
      <c r="G251" s="164"/>
    </row>
    <row r="252" spans="1:10" x14ac:dyDescent="0.25">
      <c r="A252" s="169" t="str">
        <f>E252&amp;COUNTIFS($E$2:E252,E252)</f>
        <v>0</v>
      </c>
      <c r="B252" s="166"/>
      <c r="C252" s="168"/>
      <c r="D252" s="167"/>
      <c r="E252" s="166"/>
      <c r="F252" s="165"/>
      <c r="G252" s="164"/>
    </row>
    <row r="253" spans="1:10" x14ac:dyDescent="0.25">
      <c r="A253" s="169" t="str">
        <f>E253&amp;COUNTIFS($E$2:E253,E253)</f>
        <v>0</v>
      </c>
      <c r="B253" s="166"/>
      <c r="C253" s="168"/>
      <c r="D253" s="167"/>
      <c r="E253" s="166"/>
      <c r="F253" s="165"/>
      <c r="G253" s="164"/>
    </row>
    <row r="254" spans="1:10" x14ac:dyDescent="0.25">
      <c r="A254" s="169" t="str">
        <f>E254&amp;COUNTIFS($E$2:E254,E254)</f>
        <v>0</v>
      </c>
      <c r="B254" s="166"/>
      <c r="C254" s="168"/>
      <c r="D254" s="167"/>
      <c r="E254" s="166"/>
      <c r="F254" s="165"/>
      <c r="G254" s="164"/>
    </row>
    <row r="255" spans="1:10" x14ac:dyDescent="0.25">
      <c r="A255" s="169" t="str">
        <f>E255&amp;COUNTIFS($E$2:E255,E255)</f>
        <v>0</v>
      </c>
      <c r="B255" s="166"/>
      <c r="C255" s="168"/>
      <c r="D255" s="167"/>
      <c r="E255" s="166"/>
      <c r="F255" s="165"/>
      <c r="G255" s="164"/>
    </row>
    <row r="256" spans="1:10" x14ac:dyDescent="0.25">
      <c r="A256" s="169" t="str">
        <f>E256&amp;COUNTIFS($E$2:E256,E256)</f>
        <v>0</v>
      </c>
      <c r="B256" s="166"/>
      <c r="C256" s="168"/>
      <c r="D256" s="167"/>
      <c r="E256" s="166"/>
      <c r="F256" s="165"/>
      <c r="G256" s="164"/>
    </row>
    <row r="257" spans="1:7" x14ac:dyDescent="0.25">
      <c r="A257" s="169" t="str">
        <f>E257&amp;COUNTIFS($E$2:E257,E257)</f>
        <v>0</v>
      </c>
      <c r="B257" s="166"/>
      <c r="C257" s="168"/>
      <c r="D257" s="167"/>
      <c r="E257" s="166"/>
      <c r="F257" s="165"/>
      <c r="G257" s="164"/>
    </row>
    <row r="258" spans="1:7" x14ac:dyDescent="0.25">
      <c r="A258" s="169" t="str">
        <f>E258&amp;COUNTIFS($E$2:E258,E258)</f>
        <v>0</v>
      </c>
      <c r="B258" s="166"/>
      <c r="C258" s="168"/>
      <c r="D258" s="167"/>
      <c r="E258" s="166"/>
      <c r="F258" s="165"/>
      <c r="G258" s="164"/>
    </row>
    <row r="259" spans="1:7" x14ac:dyDescent="0.25">
      <c r="A259" s="169" t="str">
        <f>E259&amp;COUNTIFS($E$2:E259,E259)</f>
        <v>0</v>
      </c>
      <c r="B259" s="166"/>
      <c r="C259" s="168"/>
      <c r="D259" s="167"/>
      <c r="E259" s="166"/>
      <c r="F259" s="165"/>
      <c r="G259" s="164"/>
    </row>
    <row r="260" spans="1:7" x14ac:dyDescent="0.25">
      <c r="A260" s="169" t="str">
        <f>E260&amp;COUNTIFS($E$2:E260,E260)</f>
        <v>0</v>
      </c>
      <c r="B260" s="166"/>
      <c r="C260" s="168"/>
      <c r="D260" s="167"/>
      <c r="E260" s="166"/>
      <c r="F260" s="165"/>
      <c r="G260" s="164"/>
    </row>
    <row r="261" spans="1:7" x14ac:dyDescent="0.25">
      <c r="A261" s="169" t="str">
        <f>E261&amp;COUNTIFS($E$2:E261,E261)</f>
        <v>0</v>
      </c>
      <c r="B261" s="166"/>
      <c r="C261" s="168"/>
      <c r="D261" s="167"/>
      <c r="E261" s="166"/>
      <c r="F261" s="165"/>
      <c r="G261" s="164"/>
    </row>
    <row r="262" spans="1:7" x14ac:dyDescent="0.25">
      <c r="A262" s="169" t="str">
        <f>E262&amp;COUNTIFS($E$2:E262,E262)</f>
        <v>0</v>
      </c>
      <c r="B262" s="166"/>
      <c r="C262" s="168"/>
      <c r="D262" s="167"/>
      <c r="E262" s="166"/>
      <c r="F262" s="165"/>
      <c r="G262" s="164"/>
    </row>
    <row r="263" spans="1:7" x14ac:dyDescent="0.25">
      <c r="A263" s="169" t="str">
        <f>E263&amp;COUNTIFS($E$2:E263,E263)</f>
        <v>0</v>
      </c>
      <c r="B263" s="166"/>
      <c r="C263" s="168"/>
      <c r="D263" s="167"/>
      <c r="E263" s="166"/>
      <c r="F263" s="165"/>
      <c r="G263" s="164"/>
    </row>
    <row r="264" spans="1:7" ht="15.75" thickBot="1" x14ac:dyDescent="0.3">
      <c r="A264" s="163" t="str">
        <f>E264&amp;COUNTIFS($E$2:E264,E264)</f>
        <v>0</v>
      </c>
      <c r="B264" s="160"/>
      <c r="C264" s="162"/>
      <c r="D264" s="161"/>
      <c r="E264" s="160"/>
      <c r="F264" s="159"/>
      <c r="G264" s="158"/>
    </row>
    <row r="265" spans="1:7" x14ac:dyDescent="0.25">
      <c r="A265" s="148"/>
      <c r="C265" s="143"/>
      <c r="D265" s="157"/>
      <c r="E265" s="143"/>
      <c r="F265" s="156"/>
      <c r="G265" s="156"/>
    </row>
    <row r="266" spans="1:7" x14ac:dyDescent="0.25">
      <c r="A266" s="148"/>
      <c r="C266" s="153" t="s">
        <v>623</v>
      </c>
      <c r="D266" s="152"/>
      <c r="E266" s="151"/>
      <c r="F266" s="150">
        <f>SUM(F240:F264)</f>
        <v>0</v>
      </c>
      <c r="G266" s="155">
        <f>SUM(G240:G264)</f>
        <v>0</v>
      </c>
    </row>
    <row r="267" spans="1:7" x14ac:dyDescent="0.25">
      <c r="A267" s="148"/>
      <c r="C267" s="145" t="s">
        <v>622</v>
      </c>
      <c r="D267" s="154"/>
      <c r="E267" s="145"/>
      <c r="F267" s="144"/>
      <c r="G267" s="144"/>
    </row>
    <row r="268" spans="1:7" x14ac:dyDescent="0.25">
      <c r="A268" s="148"/>
      <c r="C268" s="153" t="s">
        <v>621</v>
      </c>
      <c r="D268" s="152"/>
      <c r="E268" s="151"/>
      <c r="F268" s="150">
        <f>F235</f>
        <v>0</v>
      </c>
      <c r="G268" s="150">
        <f>G235</f>
        <v>0</v>
      </c>
    </row>
    <row r="269" spans="1:7" x14ac:dyDescent="0.25">
      <c r="A269" s="148"/>
      <c r="C269" s="153" t="s">
        <v>582</v>
      </c>
      <c r="D269" s="152"/>
      <c r="E269" s="151"/>
      <c r="F269" s="150">
        <f>F268+F266</f>
        <v>0</v>
      </c>
      <c r="G269" s="150">
        <f>G268+G266</f>
        <v>0</v>
      </c>
    </row>
    <row r="270" spans="1:7" ht="15.75" thickBot="1" x14ac:dyDescent="0.3">
      <c r="A270" s="148"/>
      <c r="C270" s="145"/>
      <c r="D270" s="149"/>
      <c r="E270" s="145"/>
      <c r="F270" s="144"/>
      <c r="G270" s="144"/>
    </row>
    <row r="271" spans="1:7" ht="15.75" thickBot="1" x14ac:dyDescent="0.3">
      <c r="A271" s="148"/>
      <c r="C271" s="147" t="s">
        <v>620</v>
      </c>
      <c r="D271" s="146">
        <f>F269-G269</f>
        <v>0</v>
      </c>
      <c r="E271" s="145"/>
      <c r="F271" s="144"/>
      <c r="G271" s="144"/>
    </row>
    <row r="272" spans="1:7" ht="15.75" thickBot="1" x14ac:dyDescent="0.3"/>
    <row r="273" spans="1:7" ht="30.75" thickBot="1" x14ac:dyDescent="0.3">
      <c r="A273" s="287" t="s">
        <v>626</v>
      </c>
      <c r="B273" s="286" t="s">
        <v>606</v>
      </c>
      <c r="C273" s="285" t="s">
        <v>637</v>
      </c>
      <c r="D273" s="284" t="s">
        <v>601</v>
      </c>
      <c r="E273" s="283" t="s">
        <v>287</v>
      </c>
      <c r="F273" s="282" t="s">
        <v>624</v>
      </c>
      <c r="G273" s="282" t="s">
        <v>596</v>
      </c>
    </row>
    <row r="274" spans="1:7" x14ac:dyDescent="0.25">
      <c r="A274" s="169" t="str">
        <f>E274&amp;COUNTIFS($E$2:E274,E274)</f>
        <v>0</v>
      </c>
      <c r="B274" s="172"/>
      <c r="C274" s="174"/>
      <c r="D274" s="173"/>
      <c r="E274" s="172"/>
      <c r="F274" s="171"/>
      <c r="G274" s="170"/>
    </row>
    <row r="275" spans="1:7" x14ac:dyDescent="0.25">
      <c r="A275" s="169" t="str">
        <f>E275&amp;COUNTIFS($E$2:E275,E275)</f>
        <v>0</v>
      </c>
      <c r="B275" s="166"/>
      <c r="C275" s="168"/>
      <c r="D275" s="167"/>
      <c r="E275" s="166"/>
      <c r="F275" s="165"/>
      <c r="G275" s="164"/>
    </row>
    <row r="276" spans="1:7" x14ac:dyDescent="0.25">
      <c r="A276" s="169" t="str">
        <f>E276&amp;COUNTIFS($E$2:E276,E276)</f>
        <v>0</v>
      </c>
      <c r="B276" s="166"/>
      <c r="C276" s="168"/>
      <c r="D276" s="167"/>
      <c r="E276" s="166"/>
      <c r="F276" s="165"/>
      <c r="G276" s="164"/>
    </row>
    <row r="277" spans="1:7" x14ac:dyDescent="0.25">
      <c r="A277" s="169" t="str">
        <f>E277&amp;COUNTIFS($E$2:E277,E277)</f>
        <v>0</v>
      </c>
      <c r="B277" s="166"/>
      <c r="C277" s="168"/>
      <c r="D277" s="167"/>
      <c r="E277" s="166"/>
      <c r="F277" s="165"/>
      <c r="G277" s="164"/>
    </row>
    <row r="278" spans="1:7" x14ac:dyDescent="0.25">
      <c r="A278" s="169" t="str">
        <f>E278&amp;COUNTIFS($E$2:E278,E278)</f>
        <v>0</v>
      </c>
      <c r="B278" s="166"/>
      <c r="C278" s="168"/>
      <c r="D278" s="167"/>
      <c r="E278" s="166"/>
      <c r="F278" s="165"/>
      <c r="G278" s="164"/>
    </row>
    <row r="279" spans="1:7" x14ac:dyDescent="0.25">
      <c r="A279" s="169" t="str">
        <f>E279&amp;COUNTIFS($E$2:E279,E279)</f>
        <v>0</v>
      </c>
      <c r="B279" s="166"/>
      <c r="C279" s="168"/>
      <c r="D279" s="167"/>
      <c r="E279" s="166"/>
      <c r="F279" s="165"/>
      <c r="G279" s="164"/>
    </row>
    <row r="280" spans="1:7" x14ac:dyDescent="0.25">
      <c r="A280" s="169" t="str">
        <f>E280&amp;COUNTIFS($E$2:E280,E280)</f>
        <v>0</v>
      </c>
      <c r="B280" s="166"/>
      <c r="C280" s="168"/>
      <c r="D280" s="167"/>
      <c r="E280" s="166"/>
      <c r="F280" s="165"/>
      <c r="G280" s="164"/>
    </row>
    <row r="281" spans="1:7" x14ac:dyDescent="0.25">
      <c r="A281" s="169" t="str">
        <f>E281&amp;COUNTIFS($E$2:E281,E281)</f>
        <v>0</v>
      </c>
      <c r="B281" s="166"/>
      <c r="C281" s="168"/>
      <c r="D281" s="167"/>
      <c r="E281" s="166"/>
      <c r="F281" s="165"/>
      <c r="G281" s="164"/>
    </row>
    <row r="282" spans="1:7" x14ac:dyDescent="0.25">
      <c r="A282" s="169" t="str">
        <f>E282&amp;COUNTIFS($E$2:E282,E282)</f>
        <v>0</v>
      </c>
      <c r="B282" s="166"/>
      <c r="C282" s="168"/>
      <c r="D282" s="167"/>
      <c r="E282" s="166"/>
      <c r="F282" s="165"/>
      <c r="G282" s="164"/>
    </row>
    <row r="283" spans="1:7" x14ac:dyDescent="0.25">
      <c r="A283" s="169" t="str">
        <f>E283&amp;COUNTIFS($E$2:E283,E283)</f>
        <v>0</v>
      </c>
      <c r="B283" s="166"/>
      <c r="C283" s="168"/>
      <c r="D283" s="167"/>
      <c r="E283" s="166"/>
      <c r="F283" s="165"/>
      <c r="G283" s="164"/>
    </row>
    <row r="284" spans="1:7" x14ac:dyDescent="0.25">
      <c r="A284" s="169" t="str">
        <f>E284&amp;COUNTIFS($E$2:E284,E284)</f>
        <v>0</v>
      </c>
      <c r="B284" s="166"/>
      <c r="C284" s="168"/>
      <c r="D284" s="167"/>
      <c r="E284" s="166"/>
      <c r="F284" s="165"/>
      <c r="G284" s="164"/>
    </row>
    <row r="285" spans="1:7" x14ac:dyDescent="0.25">
      <c r="A285" s="169" t="str">
        <f>E285&amp;COUNTIFS($E$2:E285,E285)</f>
        <v>0</v>
      </c>
      <c r="B285" s="166"/>
      <c r="C285" s="168"/>
      <c r="D285" s="167"/>
      <c r="E285" s="166"/>
      <c r="F285" s="165"/>
      <c r="G285" s="164"/>
    </row>
    <row r="286" spans="1:7" x14ac:dyDescent="0.25">
      <c r="A286" s="169" t="str">
        <f>E286&amp;COUNTIFS($E$2:E286,E286)</f>
        <v>0</v>
      </c>
      <c r="B286" s="166"/>
      <c r="C286" s="168"/>
      <c r="D286" s="167"/>
      <c r="E286" s="166"/>
      <c r="F286" s="165"/>
      <c r="G286" s="164"/>
    </row>
    <row r="287" spans="1:7" x14ac:dyDescent="0.25">
      <c r="A287" s="169" t="str">
        <f>E287&amp;COUNTIFS($E$2:E287,E287)</f>
        <v>0</v>
      </c>
      <c r="B287" s="166"/>
      <c r="C287" s="168"/>
      <c r="D287" s="167"/>
      <c r="E287" s="166"/>
      <c r="F287" s="165"/>
      <c r="G287" s="164"/>
    </row>
    <row r="288" spans="1:7" x14ac:dyDescent="0.25">
      <c r="A288" s="169" t="str">
        <f>E288&amp;COUNTIFS($E$2:E288,E288)</f>
        <v>0</v>
      </c>
      <c r="B288" s="166"/>
      <c r="C288" s="168"/>
      <c r="D288" s="167"/>
      <c r="E288" s="166"/>
      <c r="F288" s="165"/>
      <c r="G288" s="164"/>
    </row>
    <row r="289" spans="1:7" x14ac:dyDescent="0.25">
      <c r="A289" s="169" t="str">
        <f>E289&amp;COUNTIFS($E$2:E289,E289)</f>
        <v>0</v>
      </c>
      <c r="B289" s="166"/>
      <c r="C289" s="168"/>
      <c r="D289" s="167"/>
      <c r="E289" s="166"/>
      <c r="F289" s="165"/>
      <c r="G289" s="164"/>
    </row>
    <row r="290" spans="1:7" x14ac:dyDescent="0.25">
      <c r="A290" s="169" t="str">
        <f>E290&amp;COUNTIFS($E$2:E290,E290)</f>
        <v>0</v>
      </c>
      <c r="B290" s="166"/>
      <c r="C290" s="168"/>
      <c r="D290" s="167"/>
      <c r="E290" s="166"/>
      <c r="F290" s="165"/>
      <c r="G290" s="164"/>
    </row>
    <row r="291" spans="1:7" x14ac:dyDescent="0.25">
      <c r="A291" s="169" t="str">
        <f>E291&amp;COUNTIFS($E$2:E291,E291)</f>
        <v>0</v>
      </c>
      <c r="B291" s="166"/>
      <c r="C291" s="168"/>
      <c r="D291" s="167"/>
      <c r="E291" s="166"/>
      <c r="F291" s="165"/>
      <c r="G291" s="164"/>
    </row>
    <row r="292" spans="1:7" x14ac:dyDescent="0.25">
      <c r="A292" s="169" t="str">
        <f>E292&amp;COUNTIFS($E$2:E292,E292)</f>
        <v>0</v>
      </c>
      <c r="B292" s="166"/>
      <c r="C292" s="168"/>
      <c r="D292" s="167"/>
      <c r="E292" s="166"/>
      <c r="F292" s="165"/>
      <c r="G292" s="164"/>
    </row>
    <row r="293" spans="1:7" x14ac:dyDescent="0.25">
      <c r="A293" s="169" t="str">
        <f>E293&amp;COUNTIFS($E$2:E293,E293)</f>
        <v>0</v>
      </c>
      <c r="B293" s="166"/>
      <c r="C293" s="168"/>
      <c r="D293" s="167"/>
      <c r="E293" s="166"/>
      <c r="F293" s="165"/>
      <c r="G293" s="164"/>
    </row>
    <row r="294" spans="1:7" x14ac:dyDescent="0.25">
      <c r="A294" s="169" t="str">
        <f>E294&amp;COUNTIFS($E$2:E294,E294)</f>
        <v>0</v>
      </c>
      <c r="B294" s="166"/>
      <c r="C294" s="168"/>
      <c r="D294" s="167"/>
      <c r="E294" s="166"/>
      <c r="F294" s="165"/>
      <c r="G294" s="164"/>
    </row>
    <row r="295" spans="1:7" x14ac:dyDescent="0.25">
      <c r="A295" s="169" t="str">
        <f>E295&amp;COUNTIFS($E$2:E295,E295)</f>
        <v>0</v>
      </c>
      <c r="B295" s="166"/>
      <c r="C295" s="168"/>
      <c r="D295" s="167"/>
      <c r="E295" s="166"/>
      <c r="F295" s="165"/>
      <c r="G295" s="164"/>
    </row>
    <row r="296" spans="1:7" x14ac:dyDescent="0.25">
      <c r="A296" s="169" t="str">
        <f>E296&amp;COUNTIFS($E$2:E296,E296)</f>
        <v>0</v>
      </c>
      <c r="B296" s="166"/>
      <c r="C296" s="168"/>
      <c r="D296" s="167"/>
      <c r="E296" s="166"/>
      <c r="F296" s="165"/>
      <c r="G296" s="164"/>
    </row>
    <row r="297" spans="1:7" x14ac:dyDescent="0.25">
      <c r="A297" s="169" t="str">
        <f>E297&amp;COUNTIFS($E$2:E297,E297)</f>
        <v>0</v>
      </c>
      <c r="B297" s="166"/>
      <c r="C297" s="168"/>
      <c r="D297" s="167"/>
      <c r="E297" s="166"/>
      <c r="F297" s="165"/>
      <c r="G297" s="164"/>
    </row>
    <row r="298" spans="1:7" ht="15.75" thickBot="1" x14ac:dyDescent="0.3">
      <c r="A298" s="163" t="str">
        <f>E298&amp;COUNTIFS($E$2:E298,E298)</f>
        <v>0</v>
      </c>
      <c r="B298" s="166"/>
      <c r="C298" s="162"/>
      <c r="D298" s="161"/>
      <c r="E298" s="160"/>
      <c r="F298" s="159"/>
      <c r="G298" s="158"/>
    </row>
    <row r="299" spans="1:7" x14ac:dyDescent="0.25">
      <c r="A299" s="148"/>
      <c r="C299" s="143"/>
      <c r="D299" s="157"/>
      <c r="E299" s="143"/>
      <c r="F299" s="156"/>
      <c r="G299" s="156"/>
    </row>
    <row r="300" spans="1:7" x14ac:dyDescent="0.25">
      <c r="A300" s="148"/>
      <c r="C300" s="153" t="s">
        <v>623</v>
      </c>
      <c r="D300" s="152"/>
      <c r="E300" s="151"/>
      <c r="F300" s="150">
        <f>SUM(F274:F298)</f>
        <v>0</v>
      </c>
      <c r="G300" s="155">
        <f>SUM(G274:G298)</f>
        <v>0</v>
      </c>
    </row>
    <row r="301" spans="1:7" x14ac:dyDescent="0.25">
      <c r="A301" s="148"/>
      <c r="C301" s="145" t="s">
        <v>622</v>
      </c>
      <c r="D301" s="154"/>
      <c r="E301" s="145"/>
      <c r="F301" s="144"/>
      <c r="G301" s="144"/>
    </row>
    <row r="302" spans="1:7" x14ac:dyDescent="0.25">
      <c r="A302" s="148"/>
      <c r="C302" s="153" t="s">
        <v>621</v>
      </c>
      <c r="D302" s="152"/>
      <c r="E302" s="151"/>
      <c r="F302" s="150">
        <f>F269</f>
        <v>0</v>
      </c>
      <c r="G302" s="150">
        <f>G269</f>
        <v>0</v>
      </c>
    </row>
    <row r="303" spans="1:7" x14ac:dyDescent="0.25">
      <c r="A303" s="148"/>
      <c r="C303" s="153" t="s">
        <v>582</v>
      </c>
      <c r="D303" s="152"/>
      <c r="E303" s="151"/>
      <c r="F303" s="150">
        <f>F302+F300</f>
        <v>0</v>
      </c>
      <c r="G303" s="150">
        <f>G302+G300</f>
        <v>0</v>
      </c>
    </row>
    <row r="304" spans="1:7" ht="15.75" thickBot="1" x14ac:dyDescent="0.3">
      <c r="A304" s="148"/>
      <c r="C304" s="145"/>
      <c r="D304" s="149"/>
      <c r="E304" s="145"/>
      <c r="F304" s="144"/>
      <c r="G304" s="144"/>
    </row>
    <row r="305" spans="1:7" ht="15.75" thickBot="1" x14ac:dyDescent="0.3">
      <c r="A305" s="148"/>
      <c r="C305" s="147" t="s">
        <v>620</v>
      </c>
      <c r="D305" s="146">
        <f>F303-G303</f>
        <v>0</v>
      </c>
      <c r="E305" s="145"/>
      <c r="F305" s="144"/>
      <c r="G305" s="144"/>
    </row>
    <row r="306" spans="1:7" ht="15.75" thickBot="1" x14ac:dyDescent="0.3"/>
    <row r="307" spans="1:7" ht="30.75" thickBot="1" x14ac:dyDescent="0.3">
      <c r="A307" s="287" t="s">
        <v>626</v>
      </c>
      <c r="B307" s="286" t="s">
        <v>606</v>
      </c>
      <c r="C307" s="285" t="s">
        <v>637</v>
      </c>
      <c r="D307" s="284" t="s">
        <v>601</v>
      </c>
      <c r="E307" s="283" t="s">
        <v>287</v>
      </c>
      <c r="F307" s="282" t="s">
        <v>624</v>
      </c>
      <c r="G307" s="282" t="s">
        <v>596</v>
      </c>
    </row>
    <row r="308" spans="1:7" x14ac:dyDescent="0.25">
      <c r="A308" s="169" t="str">
        <f>E308&amp;COUNTIFS($E$2:E308,E308)</f>
        <v>0</v>
      </c>
      <c r="B308" s="172"/>
      <c r="C308" s="174"/>
      <c r="D308" s="173"/>
      <c r="E308" s="172"/>
      <c r="F308" s="171"/>
      <c r="G308" s="170"/>
    </row>
    <row r="309" spans="1:7" x14ac:dyDescent="0.25">
      <c r="A309" s="169" t="str">
        <f>E309&amp;COUNTIFS($E$2:E309,E309)</f>
        <v>0</v>
      </c>
      <c r="B309" s="166"/>
      <c r="C309" s="168"/>
      <c r="D309" s="167"/>
      <c r="E309" s="166"/>
      <c r="F309" s="165"/>
      <c r="G309" s="164"/>
    </row>
    <row r="310" spans="1:7" x14ac:dyDescent="0.25">
      <c r="A310" s="169" t="str">
        <f>E310&amp;COUNTIFS($E$2:E310,E310)</f>
        <v>0</v>
      </c>
      <c r="B310" s="166"/>
      <c r="C310" s="168"/>
      <c r="D310" s="167"/>
      <c r="E310" s="166"/>
      <c r="F310" s="165"/>
      <c r="G310" s="164"/>
    </row>
    <row r="311" spans="1:7" x14ac:dyDescent="0.25">
      <c r="A311" s="169" t="str">
        <f>E311&amp;COUNTIFS($E$2:E311,E311)</f>
        <v>0</v>
      </c>
      <c r="B311" s="166"/>
      <c r="C311" s="168"/>
      <c r="D311" s="167"/>
      <c r="E311" s="166"/>
      <c r="F311" s="165"/>
      <c r="G311" s="164"/>
    </row>
    <row r="312" spans="1:7" x14ac:dyDescent="0.25">
      <c r="A312" s="169" t="str">
        <f>E312&amp;COUNTIFS($E$2:E312,E312)</f>
        <v>0</v>
      </c>
      <c r="B312" s="166"/>
      <c r="C312" s="168"/>
      <c r="D312" s="167"/>
      <c r="E312" s="166"/>
      <c r="F312" s="165"/>
      <c r="G312" s="164"/>
    </row>
    <row r="313" spans="1:7" x14ac:dyDescent="0.25">
      <c r="A313" s="169" t="str">
        <f>E313&amp;COUNTIFS($E$2:E313,E313)</f>
        <v>0</v>
      </c>
      <c r="B313" s="166"/>
      <c r="C313" s="168"/>
      <c r="D313" s="167"/>
      <c r="E313" s="166"/>
      <c r="F313" s="165"/>
      <c r="G313" s="164"/>
    </row>
    <row r="314" spans="1:7" x14ac:dyDescent="0.25">
      <c r="A314" s="169" t="str">
        <f>E314&amp;COUNTIFS($E$2:E314,E314)</f>
        <v>0</v>
      </c>
      <c r="B314" s="166"/>
      <c r="C314" s="168"/>
      <c r="D314" s="167"/>
      <c r="E314" s="166"/>
      <c r="F314" s="165"/>
      <c r="G314" s="164"/>
    </row>
    <row r="315" spans="1:7" x14ac:dyDescent="0.25">
      <c r="A315" s="169" t="str">
        <f>E315&amp;COUNTIFS($E$2:E315,E315)</f>
        <v>0</v>
      </c>
      <c r="B315" s="166"/>
      <c r="C315" s="168"/>
      <c r="D315" s="167"/>
      <c r="E315" s="166"/>
      <c r="F315" s="165"/>
      <c r="G315" s="164"/>
    </row>
    <row r="316" spans="1:7" x14ac:dyDescent="0.25">
      <c r="A316" s="169" t="str">
        <f>E316&amp;COUNTIFS($E$2:E316,E316)</f>
        <v>0</v>
      </c>
      <c r="B316" s="166"/>
      <c r="C316" s="168"/>
      <c r="D316" s="167"/>
      <c r="E316" s="166"/>
      <c r="F316" s="165"/>
      <c r="G316" s="164"/>
    </row>
    <row r="317" spans="1:7" x14ac:dyDescent="0.25">
      <c r="A317" s="169" t="str">
        <f>E317&amp;COUNTIFS($E$2:E317,E317)</f>
        <v>0</v>
      </c>
      <c r="B317" s="166"/>
      <c r="C317" s="168"/>
      <c r="D317" s="167"/>
      <c r="E317" s="166"/>
      <c r="F317" s="165"/>
      <c r="G317" s="164"/>
    </row>
    <row r="318" spans="1:7" x14ac:dyDescent="0.25">
      <c r="A318" s="169" t="str">
        <f>E318&amp;COUNTIFS($E$2:E318,E318)</f>
        <v>0</v>
      </c>
      <c r="B318" s="166"/>
      <c r="C318" s="168"/>
      <c r="D318" s="167"/>
      <c r="E318" s="166"/>
      <c r="F318" s="165"/>
      <c r="G318" s="164"/>
    </row>
    <row r="319" spans="1:7" x14ac:dyDescent="0.25">
      <c r="A319" s="169" t="str">
        <f>E319&amp;COUNTIFS($E$2:E319,E319)</f>
        <v>0</v>
      </c>
      <c r="B319" s="166"/>
      <c r="C319" s="168"/>
      <c r="D319" s="167"/>
      <c r="E319" s="166"/>
      <c r="F319" s="165"/>
      <c r="G319" s="164"/>
    </row>
    <row r="320" spans="1:7" x14ac:dyDescent="0.25">
      <c r="A320" s="169" t="str">
        <f>E320&amp;COUNTIFS($E$2:E320,E320)</f>
        <v>0</v>
      </c>
      <c r="B320" s="166"/>
      <c r="C320" s="168"/>
      <c r="D320" s="167"/>
      <c r="E320" s="166"/>
      <c r="F320" s="165"/>
      <c r="G320" s="164"/>
    </row>
    <row r="321" spans="1:7" x14ac:dyDescent="0.25">
      <c r="A321" s="169" t="str">
        <f>E321&amp;COUNTIFS($E$2:E321,E321)</f>
        <v>0</v>
      </c>
      <c r="B321" s="166"/>
      <c r="C321" s="168"/>
      <c r="D321" s="167"/>
      <c r="E321" s="166"/>
      <c r="F321" s="165"/>
      <c r="G321" s="164"/>
    </row>
    <row r="322" spans="1:7" x14ac:dyDescent="0.25">
      <c r="A322" s="169" t="str">
        <f>E322&amp;COUNTIFS($E$2:E322,E322)</f>
        <v>0</v>
      </c>
      <c r="B322" s="166"/>
      <c r="C322" s="168"/>
      <c r="D322" s="167"/>
      <c r="E322" s="166"/>
      <c r="F322" s="165"/>
      <c r="G322" s="164"/>
    </row>
    <row r="323" spans="1:7" x14ac:dyDescent="0.25">
      <c r="A323" s="169" t="str">
        <f>E323&amp;COUNTIFS($E$2:E323,E323)</f>
        <v>0</v>
      </c>
      <c r="B323" s="166"/>
      <c r="C323" s="168"/>
      <c r="D323" s="167"/>
      <c r="E323" s="166"/>
      <c r="F323" s="165"/>
      <c r="G323" s="164"/>
    </row>
    <row r="324" spans="1:7" x14ac:dyDescent="0.25">
      <c r="A324" s="169" t="str">
        <f>E324&amp;COUNTIFS($E$2:E324,E324)</f>
        <v>0</v>
      </c>
      <c r="B324" s="166"/>
      <c r="C324" s="168"/>
      <c r="D324" s="167"/>
      <c r="E324" s="166"/>
      <c r="F324" s="165"/>
      <c r="G324" s="164"/>
    </row>
    <row r="325" spans="1:7" x14ac:dyDescent="0.25">
      <c r="A325" s="169" t="str">
        <f>E325&amp;COUNTIFS($E$2:E325,E325)</f>
        <v>0</v>
      </c>
      <c r="B325" s="166"/>
      <c r="C325" s="168"/>
      <c r="D325" s="167"/>
      <c r="E325" s="166"/>
      <c r="F325" s="165"/>
      <c r="G325" s="164"/>
    </row>
    <row r="326" spans="1:7" x14ac:dyDescent="0.25">
      <c r="A326" s="169" t="str">
        <f>E326&amp;COUNTIFS($E$2:E326,E326)</f>
        <v>0</v>
      </c>
      <c r="B326" s="166"/>
      <c r="C326" s="168"/>
      <c r="D326" s="167"/>
      <c r="E326" s="166"/>
      <c r="F326" s="165"/>
      <c r="G326" s="164"/>
    </row>
    <row r="327" spans="1:7" x14ac:dyDescent="0.25">
      <c r="A327" s="169" t="str">
        <f>E327&amp;COUNTIFS($E$2:E327,E327)</f>
        <v>0</v>
      </c>
      <c r="B327" s="166"/>
      <c r="C327" s="168"/>
      <c r="D327" s="167"/>
      <c r="E327" s="166"/>
      <c r="F327" s="165"/>
      <c r="G327" s="164"/>
    </row>
    <row r="328" spans="1:7" x14ac:dyDescent="0.25">
      <c r="A328" s="169" t="str">
        <f>E328&amp;COUNTIFS($E$2:E328,E328)</f>
        <v>0</v>
      </c>
      <c r="B328" s="166"/>
      <c r="C328" s="168"/>
      <c r="D328" s="167"/>
      <c r="E328" s="166"/>
      <c r="F328" s="165"/>
      <c r="G328" s="164"/>
    </row>
    <row r="329" spans="1:7" x14ac:dyDescent="0.25">
      <c r="A329" s="169" t="str">
        <f>E329&amp;COUNTIFS($E$2:E329,E329)</f>
        <v>0</v>
      </c>
      <c r="B329" s="166"/>
      <c r="C329" s="168"/>
      <c r="D329" s="167"/>
      <c r="E329" s="166"/>
      <c r="F329" s="165"/>
      <c r="G329" s="164"/>
    </row>
    <row r="330" spans="1:7" x14ac:dyDescent="0.25">
      <c r="A330" s="169" t="str">
        <f>E330&amp;COUNTIFS($E$2:E330,E330)</f>
        <v>0</v>
      </c>
      <c r="B330" s="166"/>
      <c r="C330" s="168"/>
      <c r="D330" s="167"/>
      <c r="E330" s="166"/>
      <c r="F330" s="165"/>
      <c r="G330" s="164"/>
    </row>
    <row r="331" spans="1:7" x14ac:dyDescent="0.25">
      <c r="A331" s="169" t="str">
        <f>E331&amp;COUNTIFS($E$2:E331,E331)</f>
        <v>0</v>
      </c>
      <c r="B331" s="166"/>
      <c r="C331" s="168"/>
      <c r="D331" s="167"/>
      <c r="E331" s="166"/>
      <c r="F331" s="165"/>
      <c r="G331" s="164"/>
    </row>
    <row r="332" spans="1:7" ht="15.75" thickBot="1" x14ac:dyDescent="0.3">
      <c r="A332" s="163" t="str">
        <f>E332&amp;COUNTIFS($E$2:E332,E332)</f>
        <v>0</v>
      </c>
      <c r="B332" s="166"/>
      <c r="C332" s="162"/>
      <c r="D332" s="161"/>
      <c r="E332" s="160"/>
      <c r="F332" s="159"/>
      <c r="G332" s="158"/>
    </row>
    <row r="333" spans="1:7" x14ac:dyDescent="0.25">
      <c r="A333" s="148"/>
      <c r="C333" s="143"/>
      <c r="D333" s="157"/>
      <c r="E333" s="143"/>
      <c r="F333" s="156"/>
      <c r="G333" s="156"/>
    </row>
    <row r="334" spans="1:7" x14ac:dyDescent="0.25">
      <c r="A334" s="148"/>
      <c r="C334" s="153" t="s">
        <v>623</v>
      </c>
      <c r="D334" s="152"/>
      <c r="E334" s="151"/>
      <c r="F334" s="150">
        <f>SUM(F308:F332)</f>
        <v>0</v>
      </c>
      <c r="G334" s="155">
        <f>SUM(G308:G332)</f>
        <v>0</v>
      </c>
    </row>
    <row r="335" spans="1:7" x14ac:dyDescent="0.25">
      <c r="A335" s="148"/>
      <c r="C335" s="145" t="s">
        <v>622</v>
      </c>
      <c r="D335" s="154"/>
      <c r="E335" s="145"/>
      <c r="F335" s="144"/>
      <c r="G335" s="144"/>
    </row>
    <row r="336" spans="1:7" x14ac:dyDescent="0.25">
      <c r="A336" s="148"/>
      <c r="C336" s="153" t="s">
        <v>621</v>
      </c>
      <c r="D336" s="152"/>
      <c r="E336" s="151"/>
      <c r="F336" s="150">
        <f>F303</f>
        <v>0</v>
      </c>
      <c r="G336" s="150">
        <f>G303</f>
        <v>0</v>
      </c>
    </row>
    <row r="337" spans="1:7" x14ac:dyDescent="0.25">
      <c r="A337" s="148"/>
      <c r="C337" s="153" t="s">
        <v>582</v>
      </c>
      <c r="D337" s="152"/>
      <c r="E337" s="151"/>
      <c r="F337" s="150">
        <f>F336+F334</f>
        <v>0</v>
      </c>
      <c r="G337" s="150">
        <f>G336+G334</f>
        <v>0</v>
      </c>
    </row>
    <row r="338" spans="1:7" ht="15.75" thickBot="1" x14ac:dyDescent="0.3">
      <c r="A338" s="148"/>
      <c r="C338" s="145"/>
      <c r="D338" s="149"/>
      <c r="E338" s="145"/>
      <c r="F338" s="144"/>
      <c r="G338" s="144"/>
    </row>
    <row r="339" spans="1:7" ht="15.75" thickBot="1" x14ac:dyDescent="0.3">
      <c r="A339" s="148"/>
      <c r="C339" s="147" t="s">
        <v>620</v>
      </c>
      <c r="D339" s="146">
        <f>F337-G337</f>
        <v>0</v>
      </c>
      <c r="E339" s="145"/>
      <c r="F339" s="144"/>
      <c r="G339" s="144"/>
    </row>
    <row r="340" spans="1:7" ht="15.75" thickBot="1" x14ac:dyDescent="0.3"/>
    <row r="341" spans="1:7" ht="30.75" thickBot="1" x14ac:dyDescent="0.3">
      <c r="A341" s="287" t="s">
        <v>626</v>
      </c>
      <c r="B341" s="286" t="s">
        <v>606</v>
      </c>
      <c r="C341" s="285" t="s">
        <v>637</v>
      </c>
      <c r="D341" s="284" t="s">
        <v>601</v>
      </c>
      <c r="E341" s="283" t="s">
        <v>287</v>
      </c>
      <c r="F341" s="282" t="s">
        <v>624</v>
      </c>
      <c r="G341" s="282" t="s">
        <v>596</v>
      </c>
    </row>
    <row r="342" spans="1:7" x14ac:dyDescent="0.25">
      <c r="A342" s="169" t="str">
        <f>E342&amp;COUNTIFS($E$2:E342,E342)</f>
        <v>0</v>
      </c>
      <c r="B342" s="172"/>
      <c r="C342" s="174"/>
      <c r="D342" s="173"/>
      <c r="E342" s="172"/>
      <c r="F342" s="171"/>
      <c r="G342" s="170"/>
    </row>
    <row r="343" spans="1:7" x14ac:dyDescent="0.25">
      <c r="A343" s="169" t="str">
        <f>E343&amp;COUNTIFS($E$2:E343,E343)</f>
        <v>0</v>
      </c>
      <c r="B343" s="166"/>
      <c r="C343" s="168"/>
      <c r="D343" s="167"/>
      <c r="E343" s="166"/>
      <c r="F343" s="165"/>
      <c r="G343" s="164"/>
    </row>
    <row r="344" spans="1:7" x14ac:dyDescent="0.25">
      <c r="A344" s="169" t="str">
        <f>E344&amp;COUNTIFS($E$2:E344,E344)</f>
        <v>0</v>
      </c>
      <c r="B344" s="166"/>
      <c r="C344" s="168"/>
      <c r="D344" s="167"/>
      <c r="E344" s="166"/>
      <c r="F344" s="165"/>
      <c r="G344" s="164"/>
    </row>
    <row r="345" spans="1:7" x14ac:dyDescent="0.25">
      <c r="A345" s="169" t="str">
        <f>E345&amp;COUNTIFS($E$2:E345,E345)</f>
        <v>0</v>
      </c>
      <c r="B345" s="166"/>
      <c r="C345" s="168"/>
      <c r="D345" s="167"/>
      <c r="E345" s="166"/>
      <c r="F345" s="165"/>
      <c r="G345" s="164"/>
    </row>
    <row r="346" spans="1:7" x14ac:dyDescent="0.25">
      <c r="A346" s="169" t="str">
        <f>E346&amp;COUNTIFS($E$2:E346,E346)</f>
        <v>0</v>
      </c>
      <c r="B346" s="166"/>
      <c r="C346" s="168"/>
      <c r="D346" s="167"/>
      <c r="E346" s="166"/>
      <c r="F346" s="165"/>
      <c r="G346" s="164"/>
    </row>
    <row r="347" spans="1:7" x14ac:dyDescent="0.25">
      <c r="A347" s="169" t="str">
        <f>E347&amp;COUNTIFS($E$2:E347,E347)</f>
        <v>0</v>
      </c>
      <c r="B347" s="166"/>
      <c r="C347" s="168"/>
      <c r="D347" s="167"/>
      <c r="E347" s="166"/>
      <c r="F347" s="165"/>
      <c r="G347" s="164"/>
    </row>
    <row r="348" spans="1:7" x14ac:dyDescent="0.25">
      <c r="A348" s="169" t="str">
        <f>E348&amp;COUNTIFS($E$2:E348,E348)</f>
        <v>0</v>
      </c>
      <c r="B348" s="166"/>
      <c r="C348" s="168"/>
      <c r="D348" s="167"/>
      <c r="E348" s="166"/>
      <c r="F348" s="165"/>
      <c r="G348" s="164"/>
    </row>
    <row r="349" spans="1:7" x14ac:dyDescent="0.25">
      <c r="A349" s="169" t="str">
        <f>E349&amp;COUNTIFS($E$2:E349,E349)</f>
        <v>0</v>
      </c>
      <c r="B349" s="166"/>
      <c r="C349" s="168"/>
      <c r="D349" s="167"/>
      <c r="E349" s="166"/>
      <c r="F349" s="165"/>
      <c r="G349" s="164"/>
    </row>
    <row r="350" spans="1:7" x14ac:dyDescent="0.25">
      <c r="A350" s="169" t="str">
        <f>E350&amp;COUNTIFS($E$2:E350,E350)</f>
        <v>0</v>
      </c>
      <c r="B350" s="166"/>
      <c r="C350" s="168"/>
      <c r="D350" s="167"/>
      <c r="E350" s="166"/>
      <c r="F350" s="165"/>
      <c r="G350" s="164"/>
    </row>
    <row r="351" spans="1:7" x14ac:dyDescent="0.25">
      <c r="A351" s="169" t="str">
        <f>E351&amp;COUNTIFS($E$2:E351,E351)</f>
        <v>0</v>
      </c>
      <c r="B351" s="166"/>
      <c r="C351" s="168"/>
      <c r="D351" s="167"/>
      <c r="E351" s="166"/>
      <c r="F351" s="165"/>
      <c r="G351" s="164"/>
    </row>
    <row r="352" spans="1:7" x14ac:dyDescent="0.25">
      <c r="A352" s="169" t="str">
        <f>E352&amp;COUNTIFS($E$2:E352,E352)</f>
        <v>0</v>
      </c>
      <c r="B352" s="166"/>
      <c r="C352" s="168"/>
      <c r="D352" s="167"/>
      <c r="E352" s="166"/>
      <c r="F352" s="165"/>
      <c r="G352" s="164"/>
    </row>
    <row r="353" spans="1:7" x14ac:dyDescent="0.25">
      <c r="A353" s="169" t="str">
        <f>E353&amp;COUNTIFS($E$2:E353,E353)</f>
        <v>0</v>
      </c>
      <c r="B353" s="166"/>
      <c r="C353" s="168"/>
      <c r="D353" s="167"/>
      <c r="E353" s="166"/>
      <c r="F353" s="165"/>
      <c r="G353" s="164"/>
    </row>
    <row r="354" spans="1:7" x14ac:dyDescent="0.25">
      <c r="A354" s="169" t="str">
        <f>E354&amp;COUNTIFS($E$2:E354,E354)</f>
        <v>0</v>
      </c>
      <c r="B354" s="166"/>
      <c r="C354" s="168"/>
      <c r="D354" s="167"/>
      <c r="E354" s="166"/>
      <c r="F354" s="165"/>
      <c r="G354" s="164"/>
    </row>
    <row r="355" spans="1:7" x14ac:dyDescent="0.25">
      <c r="A355" s="169" t="str">
        <f>E355&amp;COUNTIFS($E$2:E355,E355)</f>
        <v>0</v>
      </c>
      <c r="B355" s="166"/>
      <c r="C355" s="168"/>
      <c r="D355" s="167"/>
      <c r="E355" s="166"/>
      <c r="F355" s="165"/>
      <c r="G355" s="164"/>
    </row>
    <row r="356" spans="1:7" x14ac:dyDescent="0.25">
      <c r="A356" s="169" t="str">
        <f>E356&amp;COUNTIFS($E$2:E356,E356)</f>
        <v>0</v>
      </c>
      <c r="B356" s="166"/>
      <c r="C356" s="168"/>
      <c r="D356" s="167"/>
      <c r="E356" s="166"/>
      <c r="F356" s="165"/>
      <c r="G356" s="164"/>
    </row>
    <row r="357" spans="1:7" x14ac:dyDescent="0.25">
      <c r="A357" s="169" t="str">
        <f>E357&amp;COUNTIFS($E$2:E357,E357)</f>
        <v>0</v>
      </c>
      <c r="B357" s="166"/>
      <c r="C357" s="168"/>
      <c r="D357" s="167"/>
      <c r="E357" s="166"/>
      <c r="F357" s="165"/>
      <c r="G357" s="164"/>
    </row>
    <row r="358" spans="1:7" x14ac:dyDescent="0.25">
      <c r="A358" s="169" t="str">
        <f>E358&amp;COUNTIFS($E$2:E358,E358)</f>
        <v>0</v>
      </c>
      <c r="B358" s="166"/>
      <c r="C358" s="168"/>
      <c r="D358" s="167"/>
      <c r="E358" s="166"/>
      <c r="F358" s="165"/>
      <c r="G358" s="164"/>
    </row>
    <row r="359" spans="1:7" x14ac:dyDescent="0.25">
      <c r="A359" s="169" t="str">
        <f>E359&amp;COUNTIFS($E$2:E359,E359)</f>
        <v>0</v>
      </c>
      <c r="B359" s="166"/>
      <c r="C359" s="168"/>
      <c r="D359" s="167"/>
      <c r="E359" s="166"/>
      <c r="F359" s="165"/>
      <c r="G359" s="164"/>
    </row>
    <row r="360" spans="1:7" x14ac:dyDescent="0.25">
      <c r="A360" s="169" t="str">
        <f>E360&amp;COUNTIFS($E$2:E360,E360)</f>
        <v>0</v>
      </c>
      <c r="B360" s="166"/>
      <c r="C360" s="168"/>
      <c r="D360" s="167"/>
      <c r="E360" s="166"/>
      <c r="F360" s="165"/>
      <c r="G360" s="164"/>
    </row>
    <row r="361" spans="1:7" x14ac:dyDescent="0.25">
      <c r="A361" s="169" t="str">
        <f>E361&amp;COUNTIFS($E$2:E361,E361)</f>
        <v>0</v>
      </c>
      <c r="B361" s="166"/>
      <c r="C361" s="168"/>
      <c r="D361" s="167"/>
      <c r="E361" s="166"/>
      <c r="F361" s="165"/>
      <c r="G361" s="164"/>
    </row>
    <row r="362" spans="1:7" x14ac:dyDescent="0.25">
      <c r="A362" s="169" t="str">
        <f>E362&amp;COUNTIFS($E$2:E362,E362)</f>
        <v>0</v>
      </c>
      <c r="B362" s="166"/>
      <c r="C362" s="168"/>
      <c r="D362" s="167"/>
      <c r="E362" s="166"/>
      <c r="F362" s="165"/>
      <c r="G362" s="164"/>
    </row>
    <row r="363" spans="1:7" x14ac:dyDescent="0.25">
      <c r="A363" s="169" t="str">
        <f>E363&amp;COUNTIFS($E$2:E363,E363)</f>
        <v>0</v>
      </c>
      <c r="B363" s="166"/>
      <c r="C363" s="168"/>
      <c r="D363" s="167"/>
      <c r="E363" s="166"/>
      <c r="F363" s="165"/>
      <c r="G363" s="164"/>
    </row>
    <row r="364" spans="1:7" x14ac:dyDescent="0.25">
      <c r="A364" s="169" t="str">
        <f>E364&amp;COUNTIFS($E$2:E364,E364)</f>
        <v>0</v>
      </c>
      <c r="B364" s="166"/>
      <c r="C364" s="168"/>
      <c r="D364" s="167"/>
      <c r="E364" s="166"/>
      <c r="F364" s="165"/>
      <c r="G364" s="164"/>
    </row>
    <row r="365" spans="1:7" x14ac:dyDescent="0.25">
      <c r="A365" s="169" t="str">
        <f>E365&amp;COUNTIFS($E$2:E365,E365)</f>
        <v>0</v>
      </c>
      <c r="B365" s="166"/>
      <c r="C365" s="168"/>
      <c r="D365" s="167"/>
      <c r="E365" s="166"/>
      <c r="F365" s="165"/>
      <c r="G365" s="164"/>
    </row>
    <row r="366" spans="1:7" ht="15.75" thickBot="1" x14ac:dyDescent="0.3">
      <c r="A366" s="163" t="str">
        <f>E366&amp;COUNTIFS($E$2:E366,E366)</f>
        <v>0</v>
      </c>
      <c r="B366" s="166"/>
      <c r="C366" s="162"/>
      <c r="D366" s="161"/>
      <c r="E366" s="160"/>
      <c r="F366" s="159"/>
      <c r="G366" s="158"/>
    </row>
    <row r="367" spans="1:7" x14ac:dyDescent="0.25">
      <c r="A367" s="148"/>
      <c r="C367" s="143"/>
      <c r="D367" s="157"/>
      <c r="E367" s="143"/>
      <c r="F367" s="156"/>
      <c r="G367" s="156"/>
    </row>
    <row r="368" spans="1:7" x14ac:dyDescent="0.25">
      <c r="A368" s="148"/>
      <c r="C368" s="153" t="s">
        <v>623</v>
      </c>
      <c r="D368" s="152"/>
      <c r="E368" s="151"/>
      <c r="F368" s="150">
        <f>SUM(F342:F366)</f>
        <v>0</v>
      </c>
      <c r="G368" s="155">
        <f>SUM(G342:G366)</f>
        <v>0</v>
      </c>
    </row>
    <row r="369" spans="1:7" x14ac:dyDescent="0.25">
      <c r="A369" s="148"/>
      <c r="C369" s="145" t="s">
        <v>622</v>
      </c>
      <c r="D369" s="154"/>
      <c r="E369" s="145"/>
      <c r="F369" s="144"/>
      <c r="G369" s="144"/>
    </row>
    <row r="370" spans="1:7" x14ac:dyDescent="0.25">
      <c r="A370" s="148"/>
      <c r="C370" s="153" t="s">
        <v>621</v>
      </c>
      <c r="D370" s="152"/>
      <c r="E370" s="151"/>
      <c r="F370" s="150">
        <f>F337</f>
        <v>0</v>
      </c>
      <c r="G370" s="150">
        <f>G337</f>
        <v>0</v>
      </c>
    </row>
    <row r="371" spans="1:7" x14ac:dyDescent="0.25">
      <c r="A371" s="148"/>
      <c r="C371" s="153" t="s">
        <v>582</v>
      </c>
      <c r="D371" s="152"/>
      <c r="E371" s="151"/>
      <c r="F371" s="150">
        <f>F370+F368</f>
        <v>0</v>
      </c>
      <c r="G371" s="150">
        <f>G370+G368</f>
        <v>0</v>
      </c>
    </row>
    <row r="372" spans="1:7" ht="15.75" thickBot="1" x14ac:dyDescent="0.3">
      <c r="A372" s="148"/>
      <c r="C372" s="145"/>
      <c r="D372" s="149"/>
      <c r="E372" s="145"/>
      <c r="F372" s="144"/>
      <c r="G372" s="144"/>
    </row>
    <row r="373" spans="1:7" ht="15.75" thickBot="1" x14ac:dyDescent="0.3">
      <c r="A373" s="148"/>
      <c r="C373" s="147" t="s">
        <v>620</v>
      </c>
      <c r="D373" s="146">
        <f>F371-G371</f>
        <v>0</v>
      </c>
      <c r="E373" s="145"/>
      <c r="F373" s="144"/>
      <c r="G373" s="144"/>
    </row>
    <row r="374" spans="1:7" ht="15.75" thickBot="1" x14ac:dyDescent="0.3"/>
    <row r="375" spans="1:7" ht="30.75" thickBot="1" x14ac:dyDescent="0.3">
      <c r="A375" s="287" t="s">
        <v>626</v>
      </c>
      <c r="B375" s="286" t="s">
        <v>606</v>
      </c>
      <c r="C375" s="285" t="s">
        <v>637</v>
      </c>
      <c r="D375" s="284" t="s">
        <v>601</v>
      </c>
      <c r="E375" s="283" t="s">
        <v>287</v>
      </c>
      <c r="F375" s="282" t="s">
        <v>624</v>
      </c>
      <c r="G375" s="282" t="s">
        <v>596</v>
      </c>
    </row>
    <row r="376" spans="1:7" x14ac:dyDescent="0.25">
      <c r="A376" s="169" t="str">
        <f>E376&amp;COUNTIFS($E$2:E376,E376)</f>
        <v>0</v>
      </c>
      <c r="B376" s="172"/>
      <c r="C376" s="174"/>
      <c r="D376" s="173"/>
      <c r="E376" s="172"/>
      <c r="F376" s="171"/>
      <c r="G376" s="170"/>
    </row>
    <row r="377" spans="1:7" x14ac:dyDescent="0.25">
      <c r="A377" s="169" t="str">
        <f>E377&amp;COUNTIFS($E$2:E377,E377)</f>
        <v>0</v>
      </c>
      <c r="B377" s="166"/>
      <c r="C377" s="168"/>
      <c r="D377" s="167"/>
      <c r="E377" s="166"/>
      <c r="F377" s="165"/>
      <c r="G377" s="164"/>
    </row>
    <row r="378" spans="1:7" x14ac:dyDescent="0.25">
      <c r="A378" s="169" t="str">
        <f>E378&amp;COUNTIFS($E$2:E378,E378)</f>
        <v>0</v>
      </c>
      <c r="B378" s="166"/>
      <c r="C378" s="168"/>
      <c r="D378" s="167"/>
      <c r="E378" s="166"/>
      <c r="F378" s="165"/>
      <c r="G378" s="164"/>
    </row>
    <row r="379" spans="1:7" x14ac:dyDescent="0.25">
      <c r="A379" s="169" t="str">
        <f>E379&amp;COUNTIFS($E$2:E379,E379)</f>
        <v>0</v>
      </c>
      <c r="B379" s="166"/>
      <c r="C379" s="168"/>
      <c r="D379" s="167"/>
      <c r="E379" s="166"/>
      <c r="F379" s="165"/>
      <c r="G379" s="164"/>
    </row>
    <row r="380" spans="1:7" x14ac:dyDescent="0.25">
      <c r="A380" s="169" t="str">
        <f>E380&amp;COUNTIFS($E$2:E380,E380)</f>
        <v>0</v>
      </c>
      <c r="B380" s="166"/>
      <c r="C380" s="168"/>
      <c r="D380" s="167"/>
      <c r="E380" s="166"/>
      <c r="F380" s="165"/>
      <c r="G380" s="164"/>
    </row>
    <row r="381" spans="1:7" x14ac:dyDescent="0.25">
      <c r="A381" s="169" t="str">
        <f>E381&amp;COUNTIFS($E$2:E381,E381)</f>
        <v>0</v>
      </c>
      <c r="B381" s="166"/>
      <c r="C381" s="168"/>
      <c r="D381" s="167"/>
      <c r="E381" s="166"/>
      <c r="F381" s="165"/>
      <c r="G381" s="164"/>
    </row>
    <row r="382" spans="1:7" x14ac:dyDescent="0.25">
      <c r="A382" s="169" t="str">
        <f>E382&amp;COUNTIFS($E$2:E382,E382)</f>
        <v>0</v>
      </c>
      <c r="B382" s="166"/>
      <c r="C382" s="168"/>
      <c r="D382" s="167"/>
      <c r="E382" s="166"/>
      <c r="F382" s="165"/>
      <c r="G382" s="164"/>
    </row>
    <row r="383" spans="1:7" x14ac:dyDescent="0.25">
      <c r="A383" s="169" t="str">
        <f>E383&amp;COUNTIFS($E$2:E383,E383)</f>
        <v>0</v>
      </c>
      <c r="B383" s="166"/>
      <c r="C383" s="168"/>
      <c r="D383" s="167"/>
      <c r="E383" s="166"/>
      <c r="F383" s="165"/>
      <c r="G383" s="164"/>
    </row>
    <row r="384" spans="1:7" x14ac:dyDescent="0.25">
      <c r="A384" s="169" t="str">
        <f>E384&amp;COUNTIFS($E$2:E384,E384)</f>
        <v>0</v>
      </c>
      <c r="B384" s="166"/>
      <c r="C384" s="168"/>
      <c r="D384" s="167"/>
      <c r="E384" s="166"/>
      <c r="F384" s="165"/>
      <c r="G384" s="164"/>
    </row>
    <row r="385" spans="1:7" x14ac:dyDescent="0.25">
      <c r="A385" s="169" t="str">
        <f>E385&amp;COUNTIFS($E$2:E385,E385)</f>
        <v>0</v>
      </c>
      <c r="B385" s="166"/>
      <c r="C385" s="168"/>
      <c r="D385" s="167"/>
      <c r="E385" s="166"/>
      <c r="F385" s="165"/>
      <c r="G385" s="164"/>
    </row>
    <row r="386" spans="1:7" x14ac:dyDescent="0.25">
      <c r="A386" s="169" t="str">
        <f>E386&amp;COUNTIFS($E$2:E386,E386)</f>
        <v>0</v>
      </c>
      <c r="B386" s="166"/>
      <c r="C386" s="168"/>
      <c r="D386" s="167"/>
      <c r="E386" s="166"/>
      <c r="F386" s="165"/>
      <c r="G386" s="164"/>
    </row>
    <row r="387" spans="1:7" x14ac:dyDescent="0.25">
      <c r="A387" s="169" t="str">
        <f>E387&amp;COUNTIFS($E$2:E387,E387)</f>
        <v>0</v>
      </c>
      <c r="B387" s="166"/>
      <c r="C387" s="168"/>
      <c r="D387" s="167"/>
      <c r="E387" s="166"/>
      <c r="F387" s="165"/>
      <c r="G387" s="164"/>
    </row>
    <row r="388" spans="1:7" x14ac:dyDescent="0.25">
      <c r="A388" s="169" t="str">
        <f>E388&amp;COUNTIFS($E$2:E388,E388)</f>
        <v>0</v>
      </c>
      <c r="B388" s="166"/>
      <c r="C388" s="168"/>
      <c r="D388" s="167"/>
      <c r="E388" s="166"/>
      <c r="F388" s="165"/>
      <c r="G388" s="164"/>
    </row>
    <row r="389" spans="1:7" x14ac:dyDescent="0.25">
      <c r="A389" s="169" t="str">
        <f>E389&amp;COUNTIFS($E$2:E389,E389)</f>
        <v>0</v>
      </c>
      <c r="B389" s="166"/>
      <c r="C389" s="168"/>
      <c r="D389" s="167"/>
      <c r="E389" s="166"/>
      <c r="F389" s="165"/>
      <c r="G389" s="164"/>
    </row>
    <row r="390" spans="1:7" x14ac:dyDescent="0.25">
      <c r="A390" s="169" t="str">
        <f>E390&amp;COUNTIFS($E$2:E390,E390)</f>
        <v>0</v>
      </c>
      <c r="B390" s="166"/>
      <c r="C390" s="168"/>
      <c r="D390" s="167"/>
      <c r="E390" s="166"/>
      <c r="F390" s="165"/>
      <c r="G390" s="164"/>
    </row>
    <row r="391" spans="1:7" x14ac:dyDescent="0.25">
      <c r="A391" s="169" t="str">
        <f>E391&amp;COUNTIFS($E$2:E391,E391)</f>
        <v>0</v>
      </c>
      <c r="B391" s="166"/>
      <c r="C391" s="168"/>
      <c r="D391" s="167"/>
      <c r="E391" s="166"/>
      <c r="F391" s="165"/>
      <c r="G391" s="164"/>
    </row>
    <row r="392" spans="1:7" x14ac:dyDescent="0.25">
      <c r="A392" s="169" t="str">
        <f>E392&amp;COUNTIFS($E$2:E392,E392)</f>
        <v>0</v>
      </c>
      <c r="B392" s="166"/>
      <c r="C392" s="168"/>
      <c r="D392" s="167"/>
      <c r="E392" s="166"/>
      <c r="F392" s="165"/>
      <c r="G392" s="164"/>
    </row>
    <row r="393" spans="1:7" x14ac:dyDescent="0.25">
      <c r="A393" s="169" t="str">
        <f>E393&amp;COUNTIFS($E$2:E393,E393)</f>
        <v>0</v>
      </c>
      <c r="B393" s="166"/>
      <c r="C393" s="168"/>
      <c r="D393" s="167"/>
      <c r="E393" s="166"/>
      <c r="F393" s="165"/>
      <c r="G393" s="164"/>
    </row>
    <row r="394" spans="1:7" x14ac:dyDescent="0.25">
      <c r="A394" s="169" t="str">
        <f>E394&amp;COUNTIFS($E$2:E394,E394)</f>
        <v>0</v>
      </c>
      <c r="B394" s="166"/>
      <c r="C394" s="168"/>
      <c r="D394" s="167"/>
      <c r="E394" s="166"/>
      <c r="F394" s="165"/>
      <c r="G394" s="164"/>
    </row>
    <row r="395" spans="1:7" x14ac:dyDescent="0.25">
      <c r="A395" s="169" t="str">
        <f>E395&amp;COUNTIFS($E$2:E395,E395)</f>
        <v>0</v>
      </c>
      <c r="B395" s="166"/>
      <c r="C395" s="168"/>
      <c r="D395" s="167"/>
      <c r="E395" s="166"/>
      <c r="F395" s="165"/>
      <c r="G395" s="164"/>
    </row>
    <row r="396" spans="1:7" x14ac:dyDescent="0.25">
      <c r="A396" s="169" t="str">
        <f>E396&amp;COUNTIFS($E$2:E396,E396)</f>
        <v>0</v>
      </c>
      <c r="B396" s="166"/>
      <c r="C396" s="168"/>
      <c r="D396" s="167"/>
      <c r="E396" s="166"/>
      <c r="F396" s="165"/>
      <c r="G396" s="164"/>
    </row>
    <row r="397" spans="1:7" x14ac:dyDescent="0.25">
      <c r="A397" s="169" t="str">
        <f>E397&amp;COUNTIFS($E$2:E397,E397)</f>
        <v>0</v>
      </c>
      <c r="B397" s="166"/>
      <c r="C397" s="168"/>
      <c r="D397" s="167"/>
      <c r="E397" s="166"/>
      <c r="F397" s="165"/>
      <c r="G397" s="164"/>
    </row>
    <row r="398" spans="1:7" x14ac:dyDescent="0.25">
      <c r="A398" s="169" t="str">
        <f>E398&amp;COUNTIFS($E$2:E398,E398)</f>
        <v>0</v>
      </c>
      <c r="B398" s="166"/>
      <c r="C398" s="168"/>
      <c r="D398" s="167"/>
      <c r="E398" s="166"/>
      <c r="F398" s="165"/>
      <c r="G398" s="164"/>
    </row>
    <row r="399" spans="1:7" x14ac:dyDescent="0.25">
      <c r="A399" s="169" t="str">
        <f>E399&amp;COUNTIFS($E$2:E399,E399)</f>
        <v>0</v>
      </c>
      <c r="B399" s="166"/>
      <c r="C399" s="168"/>
      <c r="D399" s="167"/>
      <c r="E399" s="166"/>
      <c r="F399" s="165"/>
      <c r="G399" s="164"/>
    </row>
    <row r="400" spans="1:7" ht="15.75" thickBot="1" x14ac:dyDescent="0.3">
      <c r="A400" s="163" t="str">
        <f>E400&amp;COUNTIFS($E$2:E400,E400)</f>
        <v>0</v>
      </c>
      <c r="B400" s="166"/>
      <c r="C400" s="162"/>
      <c r="D400" s="161"/>
      <c r="E400" s="160"/>
      <c r="F400" s="159"/>
      <c r="G400" s="158"/>
    </row>
    <row r="401" spans="1:7" x14ac:dyDescent="0.25">
      <c r="A401" s="148"/>
      <c r="C401" s="143"/>
      <c r="D401" s="157"/>
      <c r="E401" s="143"/>
      <c r="F401" s="156"/>
      <c r="G401" s="156"/>
    </row>
    <row r="402" spans="1:7" x14ac:dyDescent="0.25">
      <c r="A402" s="148"/>
      <c r="C402" s="153" t="s">
        <v>623</v>
      </c>
      <c r="D402" s="152"/>
      <c r="E402" s="151"/>
      <c r="F402" s="150">
        <f>SUM(F376:F400)</f>
        <v>0</v>
      </c>
      <c r="G402" s="155">
        <f>SUM(G376:G400)</f>
        <v>0</v>
      </c>
    </row>
    <row r="403" spans="1:7" x14ac:dyDescent="0.25">
      <c r="A403" s="148"/>
      <c r="C403" s="145" t="s">
        <v>622</v>
      </c>
      <c r="D403" s="154"/>
      <c r="E403" s="145"/>
      <c r="F403" s="144"/>
      <c r="G403" s="144"/>
    </row>
    <row r="404" spans="1:7" x14ac:dyDescent="0.25">
      <c r="A404" s="148"/>
      <c r="C404" s="153" t="s">
        <v>621</v>
      </c>
      <c r="D404" s="152"/>
      <c r="E404" s="151"/>
      <c r="F404" s="150">
        <f>F371</f>
        <v>0</v>
      </c>
      <c r="G404" s="150">
        <f>G371</f>
        <v>0</v>
      </c>
    </row>
    <row r="405" spans="1:7" x14ac:dyDescent="0.25">
      <c r="A405" s="148"/>
      <c r="C405" s="153" t="s">
        <v>582</v>
      </c>
      <c r="D405" s="152"/>
      <c r="E405" s="151"/>
      <c r="F405" s="150">
        <f>F404+F402</f>
        <v>0</v>
      </c>
      <c r="G405" s="150">
        <f>G404+G402</f>
        <v>0</v>
      </c>
    </row>
    <row r="406" spans="1:7" ht="15.75" thickBot="1" x14ac:dyDescent="0.3">
      <c r="A406" s="148"/>
      <c r="C406" s="145"/>
      <c r="D406" s="149"/>
      <c r="E406" s="145"/>
      <c r="F406" s="144"/>
      <c r="G406" s="144"/>
    </row>
    <row r="407" spans="1:7" ht="15.75" thickBot="1" x14ac:dyDescent="0.3">
      <c r="A407" s="148"/>
      <c r="C407" s="147" t="s">
        <v>620</v>
      </c>
      <c r="D407" s="146">
        <f>F405-G405</f>
        <v>0</v>
      </c>
      <c r="E407" s="145"/>
      <c r="F407" s="144"/>
      <c r="G407" s="144"/>
    </row>
    <row r="408" spans="1:7" ht="15.75" thickBot="1" x14ac:dyDescent="0.3"/>
    <row r="409" spans="1:7" ht="30.75" thickBot="1" x14ac:dyDescent="0.3">
      <c r="A409" s="287" t="s">
        <v>626</v>
      </c>
      <c r="B409" s="286" t="s">
        <v>606</v>
      </c>
      <c r="C409" s="285" t="s">
        <v>637</v>
      </c>
      <c r="D409" s="284" t="s">
        <v>601</v>
      </c>
      <c r="E409" s="283" t="s">
        <v>287</v>
      </c>
      <c r="F409" s="282" t="s">
        <v>624</v>
      </c>
      <c r="G409" s="282" t="s">
        <v>596</v>
      </c>
    </row>
    <row r="410" spans="1:7" x14ac:dyDescent="0.25">
      <c r="A410" s="169" t="str">
        <f>E410&amp;COUNTIFS($E$2:E410,E410)</f>
        <v>0</v>
      </c>
      <c r="B410" s="172"/>
      <c r="C410" s="174"/>
      <c r="D410" s="173"/>
      <c r="E410" s="172"/>
      <c r="F410" s="171"/>
      <c r="G410" s="170"/>
    </row>
    <row r="411" spans="1:7" x14ac:dyDescent="0.25">
      <c r="A411" s="169" t="str">
        <f>E411&amp;COUNTIFS($E$2:E411,E411)</f>
        <v>0</v>
      </c>
      <c r="B411" s="166"/>
      <c r="C411" s="168"/>
      <c r="D411" s="167"/>
      <c r="E411" s="166"/>
      <c r="F411" s="165"/>
      <c r="G411" s="164"/>
    </row>
    <row r="412" spans="1:7" x14ac:dyDescent="0.25">
      <c r="A412" s="169" t="str">
        <f>E412&amp;COUNTIFS($E$2:E412,E412)</f>
        <v>0</v>
      </c>
      <c r="B412" s="166"/>
      <c r="C412" s="168"/>
      <c r="D412" s="167"/>
      <c r="E412" s="166"/>
      <c r="F412" s="165"/>
      <c r="G412" s="164"/>
    </row>
    <row r="413" spans="1:7" x14ac:dyDescent="0.25">
      <c r="A413" s="169" t="str">
        <f>E413&amp;COUNTIFS($E$2:E413,E413)</f>
        <v>0</v>
      </c>
      <c r="B413" s="166"/>
      <c r="C413" s="168"/>
      <c r="D413" s="167"/>
      <c r="E413" s="166"/>
      <c r="F413" s="165"/>
      <c r="G413" s="164"/>
    </row>
    <row r="414" spans="1:7" x14ac:dyDescent="0.25">
      <c r="A414" s="169" t="str">
        <f>E414&amp;COUNTIFS($E$2:E414,E414)</f>
        <v>0</v>
      </c>
      <c r="B414" s="166"/>
      <c r="C414" s="168"/>
      <c r="D414" s="167"/>
      <c r="E414" s="166"/>
      <c r="F414" s="165"/>
      <c r="G414" s="164"/>
    </row>
    <row r="415" spans="1:7" x14ac:dyDescent="0.25">
      <c r="A415" s="169" t="str">
        <f>E415&amp;COUNTIFS($E$2:E415,E415)</f>
        <v>0</v>
      </c>
      <c r="B415" s="166"/>
      <c r="C415" s="168"/>
      <c r="D415" s="167"/>
      <c r="E415" s="166"/>
      <c r="F415" s="165"/>
      <c r="G415" s="164"/>
    </row>
    <row r="416" spans="1:7" x14ac:dyDescent="0.25">
      <c r="A416" s="169" t="str">
        <f>E416&amp;COUNTIFS($E$2:E416,E416)</f>
        <v>0</v>
      </c>
      <c r="B416" s="166"/>
      <c r="C416" s="168"/>
      <c r="D416" s="167"/>
      <c r="E416" s="166"/>
      <c r="F416" s="165"/>
      <c r="G416" s="164"/>
    </row>
    <row r="417" spans="1:7" x14ac:dyDescent="0.25">
      <c r="A417" s="169" t="str">
        <f>E417&amp;COUNTIFS($E$2:E417,E417)</f>
        <v>0</v>
      </c>
      <c r="B417" s="166"/>
      <c r="C417" s="168"/>
      <c r="D417" s="167"/>
      <c r="E417" s="166"/>
      <c r="F417" s="165"/>
      <c r="G417" s="164"/>
    </row>
    <row r="418" spans="1:7" x14ac:dyDescent="0.25">
      <c r="A418" s="169" t="str">
        <f>E418&amp;COUNTIFS($E$2:E418,E418)</f>
        <v>0</v>
      </c>
      <c r="B418" s="166"/>
      <c r="C418" s="168"/>
      <c r="D418" s="167"/>
      <c r="E418" s="166"/>
      <c r="F418" s="165"/>
      <c r="G418" s="164"/>
    </row>
    <row r="419" spans="1:7" x14ac:dyDescent="0.25">
      <c r="A419" s="169" t="str">
        <f>E419&amp;COUNTIFS($E$2:E419,E419)</f>
        <v>0</v>
      </c>
      <c r="B419" s="166"/>
      <c r="C419" s="168"/>
      <c r="D419" s="167"/>
      <c r="E419" s="166"/>
      <c r="F419" s="165"/>
      <c r="G419" s="164"/>
    </row>
    <row r="420" spans="1:7" x14ac:dyDescent="0.25">
      <c r="A420" s="169" t="str">
        <f>E420&amp;COUNTIFS($E$2:E420,E420)</f>
        <v>0</v>
      </c>
      <c r="B420" s="166"/>
      <c r="C420" s="168"/>
      <c r="D420" s="167"/>
      <c r="E420" s="166"/>
      <c r="F420" s="165"/>
      <c r="G420" s="164"/>
    </row>
    <row r="421" spans="1:7" x14ac:dyDescent="0.25">
      <c r="A421" s="169" t="str">
        <f>E421&amp;COUNTIFS($E$2:E421,E421)</f>
        <v>0</v>
      </c>
      <c r="B421" s="166"/>
      <c r="C421" s="168"/>
      <c r="D421" s="167"/>
      <c r="E421" s="166"/>
      <c r="F421" s="165"/>
      <c r="G421" s="164"/>
    </row>
    <row r="422" spans="1:7" x14ac:dyDescent="0.25">
      <c r="A422" s="169" t="str">
        <f>E422&amp;COUNTIFS($E$2:E422,E422)</f>
        <v>0</v>
      </c>
      <c r="B422" s="166"/>
      <c r="C422" s="168"/>
      <c r="D422" s="167"/>
      <c r="E422" s="166"/>
      <c r="F422" s="165"/>
      <c r="G422" s="164"/>
    </row>
    <row r="423" spans="1:7" x14ac:dyDescent="0.25">
      <c r="A423" s="169" t="str">
        <f>E423&amp;COUNTIFS($E$2:E423,E423)</f>
        <v>0</v>
      </c>
      <c r="B423" s="166"/>
      <c r="C423" s="168"/>
      <c r="D423" s="167"/>
      <c r="E423" s="166"/>
      <c r="F423" s="165"/>
      <c r="G423" s="164"/>
    </row>
    <row r="424" spans="1:7" x14ac:dyDescent="0.25">
      <c r="A424" s="169" t="str">
        <f>E424&amp;COUNTIFS($E$2:E424,E424)</f>
        <v>0</v>
      </c>
      <c r="B424" s="166"/>
      <c r="C424" s="168"/>
      <c r="D424" s="167"/>
      <c r="E424" s="166"/>
      <c r="F424" s="165"/>
      <c r="G424" s="164"/>
    </row>
    <row r="425" spans="1:7" x14ac:dyDescent="0.25">
      <c r="A425" s="169" t="str">
        <f>E425&amp;COUNTIFS($E$2:E425,E425)</f>
        <v>0</v>
      </c>
      <c r="B425" s="166"/>
      <c r="C425" s="168"/>
      <c r="D425" s="167"/>
      <c r="E425" s="166"/>
      <c r="F425" s="165"/>
      <c r="G425" s="164"/>
    </row>
    <row r="426" spans="1:7" x14ac:dyDescent="0.25">
      <c r="A426" s="169" t="str">
        <f>E426&amp;COUNTIFS($E$2:E426,E426)</f>
        <v>0</v>
      </c>
      <c r="B426" s="166"/>
      <c r="C426" s="168"/>
      <c r="D426" s="167"/>
      <c r="E426" s="166"/>
      <c r="F426" s="165"/>
      <c r="G426" s="164"/>
    </row>
    <row r="427" spans="1:7" x14ac:dyDescent="0.25">
      <c r="A427" s="169" t="str">
        <f>E427&amp;COUNTIFS($E$2:E427,E427)</f>
        <v>0</v>
      </c>
      <c r="B427" s="166"/>
      <c r="C427" s="168"/>
      <c r="D427" s="167"/>
      <c r="E427" s="166"/>
      <c r="F427" s="165"/>
      <c r="G427" s="164"/>
    </row>
    <row r="428" spans="1:7" x14ac:dyDescent="0.25">
      <c r="A428" s="169" t="str">
        <f>E428&amp;COUNTIFS($E$2:E428,E428)</f>
        <v>0</v>
      </c>
      <c r="B428" s="166"/>
      <c r="C428" s="168"/>
      <c r="D428" s="167"/>
      <c r="E428" s="166"/>
      <c r="F428" s="165"/>
      <c r="G428" s="164"/>
    </row>
    <row r="429" spans="1:7" x14ac:dyDescent="0.25">
      <c r="A429" s="169" t="str">
        <f>E429&amp;COUNTIFS($E$2:E429,E429)</f>
        <v>0</v>
      </c>
      <c r="B429" s="166"/>
      <c r="C429" s="168"/>
      <c r="D429" s="167"/>
      <c r="E429" s="166"/>
      <c r="F429" s="165"/>
      <c r="G429" s="164"/>
    </row>
    <row r="430" spans="1:7" x14ac:dyDescent="0.25">
      <c r="A430" s="169" t="str">
        <f>E430&amp;COUNTIFS($E$2:E430,E430)</f>
        <v>0</v>
      </c>
      <c r="B430" s="166"/>
      <c r="C430" s="168"/>
      <c r="D430" s="167"/>
      <c r="E430" s="166"/>
      <c r="F430" s="165"/>
      <c r="G430" s="164"/>
    </row>
    <row r="431" spans="1:7" x14ac:dyDescent="0.25">
      <c r="A431" s="169" t="str">
        <f>E431&amp;COUNTIFS($E$2:E431,E431)</f>
        <v>0</v>
      </c>
      <c r="B431" s="166"/>
      <c r="C431" s="168"/>
      <c r="D431" s="167"/>
      <c r="E431" s="166"/>
      <c r="F431" s="165"/>
      <c r="G431" s="164"/>
    </row>
    <row r="432" spans="1:7" x14ac:dyDescent="0.25">
      <c r="A432" s="169" t="str">
        <f>E432&amp;COUNTIFS($E$2:E432,E432)</f>
        <v>0</v>
      </c>
      <c r="B432" s="166"/>
      <c r="C432" s="168"/>
      <c r="D432" s="167"/>
      <c r="E432" s="166"/>
      <c r="F432" s="165"/>
      <c r="G432" s="164"/>
    </row>
    <row r="433" spans="1:7" x14ac:dyDescent="0.25">
      <c r="A433" s="169" t="str">
        <f>E433&amp;COUNTIFS($E$2:E433,E433)</f>
        <v>0</v>
      </c>
      <c r="B433" s="166"/>
      <c r="C433" s="168"/>
      <c r="D433" s="167"/>
      <c r="E433" s="166"/>
      <c r="F433" s="165"/>
      <c r="G433" s="164"/>
    </row>
    <row r="434" spans="1:7" ht="15.75" thickBot="1" x14ac:dyDescent="0.3">
      <c r="A434" s="163" t="str">
        <f>E434&amp;COUNTIFS($E$2:E434,E434)</f>
        <v>0</v>
      </c>
      <c r="B434" s="166"/>
      <c r="C434" s="162"/>
      <c r="D434" s="161"/>
      <c r="E434" s="160"/>
      <c r="F434" s="159"/>
      <c r="G434" s="158"/>
    </row>
    <row r="435" spans="1:7" x14ac:dyDescent="0.25">
      <c r="A435" s="148"/>
      <c r="C435" s="143"/>
      <c r="D435" s="157"/>
      <c r="E435" s="143"/>
      <c r="F435" s="156"/>
      <c r="G435" s="156"/>
    </row>
    <row r="436" spans="1:7" x14ac:dyDescent="0.25">
      <c r="A436" s="148"/>
      <c r="C436" s="153" t="s">
        <v>623</v>
      </c>
      <c r="D436" s="152"/>
      <c r="E436" s="151"/>
      <c r="F436" s="150">
        <f>SUM(F410:F434)</f>
        <v>0</v>
      </c>
      <c r="G436" s="155">
        <f>SUM(G410:G434)</f>
        <v>0</v>
      </c>
    </row>
    <row r="437" spans="1:7" x14ac:dyDescent="0.25">
      <c r="A437" s="148"/>
      <c r="C437" s="145" t="s">
        <v>622</v>
      </c>
      <c r="D437" s="154"/>
      <c r="E437" s="145"/>
      <c r="F437" s="144"/>
      <c r="G437" s="144"/>
    </row>
    <row r="438" spans="1:7" x14ac:dyDescent="0.25">
      <c r="A438" s="148"/>
      <c r="C438" s="153" t="s">
        <v>621</v>
      </c>
      <c r="D438" s="152"/>
      <c r="E438" s="151"/>
      <c r="F438" s="150">
        <f>F405</f>
        <v>0</v>
      </c>
      <c r="G438" s="150">
        <f>G405</f>
        <v>0</v>
      </c>
    </row>
    <row r="439" spans="1:7" x14ac:dyDescent="0.25">
      <c r="A439" s="148"/>
      <c r="C439" s="153" t="s">
        <v>582</v>
      </c>
      <c r="D439" s="152"/>
      <c r="E439" s="151"/>
      <c r="F439" s="150">
        <f>F438+F436</f>
        <v>0</v>
      </c>
      <c r="G439" s="150">
        <f>G438+G436</f>
        <v>0</v>
      </c>
    </row>
    <row r="440" spans="1:7" ht="15.75" thickBot="1" x14ac:dyDescent="0.3">
      <c r="A440" s="148"/>
      <c r="C440" s="145"/>
      <c r="D440" s="149"/>
      <c r="E440" s="145"/>
      <c r="F440" s="144"/>
      <c r="G440" s="144"/>
    </row>
    <row r="441" spans="1:7" ht="15.75" thickBot="1" x14ac:dyDescent="0.3">
      <c r="A441" s="148"/>
      <c r="C441" s="147" t="s">
        <v>620</v>
      </c>
      <c r="D441" s="146">
        <f>F439-G439</f>
        <v>0</v>
      </c>
      <c r="E441" s="145"/>
      <c r="F441" s="144"/>
      <c r="G441" s="144"/>
    </row>
    <row r="442" spans="1:7" ht="15.75" thickBot="1" x14ac:dyDescent="0.3">
      <c r="A442" s="148"/>
      <c r="C442" s="145"/>
      <c r="D442" s="144"/>
      <c r="E442" s="145"/>
      <c r="F442" s="144"/>
      <c r="G442" s="144"/>
    </row>
    <row r="443" spans="1:7" ht="30.75" thickBot="1" x14ac:dyDescent="0.3">
      <c r="A443" s="287" t="s">
        <v>626</v>
      </c>
      <c r="B443" s="286" t="s">
        <v>606</v>
      </c>
      <c r="C443" s="285" t="s">
        <v>637</v>
      </c>
      <c r="D443" s="284" t="s">
        <v>601</v>
      </c>
      <c r="E443" s="283" t="s">
        <v>287</v>
      </c>
      <c r="F443" s="282" t="s">
        <v>624</v>
      </c>
      <c r="G443" s="282" t="s">
        <v>596</v>
      </c>
    </row>
    <row r="444" spans="1:7" x14ac:dyDescent="0.25">
      <c r="A444" s="169" t="str">
        <f>E444&amp;COUNTIFS($E$2:E444,E444)</f>
        <v>0</v>
      </c>
      <c r="B444" s="172"/>
      <c r="C444" s="174"/>
      <c r="D444" s="173"/>
      <c r="E444" s="172"/>
      <c r="F444" s="171"/>
      <c r="G444" s="170"/>
    </row>
    <row r="445" spans="1:7" x14ac:dyDescent="0.25">
      <c r="A445" s="169" t="str">
        <f>E445&amp;COUNTIFS($E$2:E445,E445)</f>
        <v>0</v>
      </c>
      <c r="B445" s="166"/>
      <c r="C445" s="168"/>
      <c r="D445" s="167"/>
      <c r="E445" s="166"/>
      <c r="F445" s="165"/>
      <c r="G445" s="164"/>
    </row>
    <row r="446" spans="1:7" x14ac:dyDescent="0.25">
      <c r="A446" s="169" t="str">
        <f>E446&amp;COUNTIFS($E$2:E446,E446)</f>
        <v>0</v>
      </c>
      <c r="B446" s="166"/>
      <c r="C446" s="168"/>
      <c r="D446" s="167"/>
      <c r="E446" s="166"/>
      <c r="F446" s="165"/>
      <c r="G446" s="164"/>
    </row>
    <row r="447" spans="1:7" x14ac:dyDescent="0.25">
      <c r="A447" s="169" t="str">
        <f>E447&amp;COUNTIFS($E$2:E447,E447)</f>
        <v>0</v>
      </c>
      <c r="B447" s="166"/>
      <c r="C447" s="168"/>
      <c r="D447" s="167"/>
      <c r="E447" s="166"/>
      <c r="F447" s="165"/>
      <c r="G447" s="164"/>
    </row>
    <row r="448" spans="1:7" x14ac:dyDescent="0.25">
      <c r="A448" s="169" t="str">
        <f>E448&amp;COUNTIFS($E$2:E448,E448)</f>
        <v>0</v>
      </c>
      <c r="B448" s="166"/>
      <c r="C448" s="168"/>
      <c r="D448" s="167"/>
      <c r="E448" s="166"/>
      <c r="F448" s="165"/>
      <c r="G448" s="164"/>
    </row>
    <row r="449" spans="1:7" x14ac:dyDescent="0.25">
      <c r="A449" s="169" t="str">
        <f>E449&amp;COUNTIFS($E$2:E449,E449)</f>
        <v>0</v>
      </c>
      <c r="B449" s="166"/>
      <c r="C449" s="168"/>
      <c r="D449" s="167"/>
      <c r="E449" s="166"/>
      <c r="F449" s="165"/>
      <c r="G449" s="164"/>
    </row>
    <row r="450" spans="1:7" x14ac:dyDescent="0.25">
      <c r="A450" s="169" t="str">
        <f>E450&amp;COUNTIFS($E$2:E450,E450)</f>
        <v>0</v>
      </c>
      <c r="B450" s="166"/>
      <c r="C450" s="168"/>
      <c r="D450" s="167"/>
      <c r="E450" s="166"/>
      <c r="F450" s="165"/>
      <c r="G450" s="164"/>
    </row>
    <row r="451" spans="1:7" x14ac:dyDescent="0.25">
      <c r="A451" s="169" t="str">
        <f>E451&amp;COUNTIFS($E$2:E451,E451)</f>
        <v>0</v>
      </c>
      <c r="B451" s="166"/>
      <c r="C451" s="168"/>
      <c r="D451" s="167"/>
      <c r="E451" s="166"/>
      <c r="F451" s="165"/>
      <c r="G451" s="164"/>
    </row>
    <row r="452" spans="1:7" x14ac:dyDescent="0.25">
      <c r="A452" s="169" t="str">
        <f>E452&amp;COUNTIFS($E$2:E452,E452)</f>
        <v>0</v>
      </c>
      <c r="B452" s="166"/>
      <c r="C452" s="168"/>
      <c r="D452" s="167"/>
      <c r="E452" s="166"/>
      <c r="F452" s="165"/>
      <c r="G452" s="164"/>
    </row>
    <row r="453" spans="1:7" x14ac:dyDescent="0.25">
      <c r="A453" s="169" t="str">
        <f>E453&amp;COUNTIFS($E$2:E453,E453)</f>
        <v>0</v>
      </c>
      <c r="B453" s="166"/>
      <c r="C453" s="168"/>
      <c r="D453" s="167"/>
      <c r="E453" s="166"/>
      <c r="F453" s="165"/>
      <c r="G453" s="164"/>
    </row>
    <row r="454" spans="1:7" x14ac:dyDescent="0.25">
      <c r="A454" s="169" t="str">
        <f>E454&amp;COUNTIFS($E$2:E454,E454)</f>
        <v>0</v>
      </c>
      <c r="B454" s="166"/>
      <c r="C454" s="168"/>
      <c r="D454" s="167"/>
      <c r="E454" s="166"/>
      <c r="F454" s="165"/>
      <c r="G454" s="164"/>
    </row>
    <row r="455" spans="1:7" x14ac:dyDescent="0.25">
      <c r="A455" s="169" t="str">
        <f>E455&amp;COUNTIFS($E$2:E455,E455)</f>
        <v>0</v>
      </c>
      <c r="B455" s="166"/>
      <c r="C455" s="168"/>
      <c r="D455" s="167"/>
      <c r="E455" s="166"/>
      <c r="F455" s="165"/>
      <c r="G455" s="164"/>
    </row>
    <row r="456" spans="1:7" x14ac:dyDescent="0.25">
      <c r="A456" s="169" t="str">
        <f>E456&amp;COUNTIFS($E$2:E456,E456)</f>
        <v>0</v>
      </c>
      <c r="B456" s="166"/>
      <c r="C456" s="168"/>
      <c r="D456" s="167"/>
      <c r="E456" s="166"/>
      <c r="F456" s="165"/>
      <c r="G456" s="164"/>
    </row>
    <row r="457" spans="1:7" x14ac:dyDescent="0.25">
      <c r="A457" s="169" t="str">
        <f>E457&amp;COUNTIFS($E$2:E457,E457)</f>
        <v>0</v>
      </c>
      <c r="B457" s="166"/>
      <c r="C457" s="168"/>
      <c r="D457" s="167"/>
      <c r="E457" s="166"/>
      <c r="F457" s="165"/>
      <c r="G457" s="164"/>
    </row>
    <row r="458" spans="1:7" x14ac:dyDescent="0.25">
      <c r="A458" s="169" t="str">
        <f>E458&amp;COUNTIFS($E$2:E458,E458)</f>
        <v>0</v>
      </c>
      <c r="B458" s="166"/>
      <c r="C458" s="168"/>
      <c r="D458" s="167"/>
      <c r="E458" s="166"/>
      <c r="F458" s="165"/>
      <c r="G458" s="164"/>
    </row>
    <row r="459" spans="1:7" x14ac:dyDescent="0.25">
      <c r="A459" s="169" t="str">
        <f>E459&amp;COUNTIFS($E$2:E459,E459)</f>
        <v>0</v>
      </c>
      <c r="B459" s="166"/>
      <c r="C459" s="168"/>
      <c r="D459" s="167"/>
      <c r="E459" s="166"/>
      <c r="F459" s="165"/>
      <c r="G459" s="164"/>
    </row>
    <row r="460" spans="1:7" x14ac:dyDescent="0.25">
      <c r="A460" s="169" t="str">
        <f>E460&amp;COUNTIFS($E$2:E460,E460)</f>
        <v>0</v>
      </c>
      <c r="B460" s="166"/>
      <c r="C460" s="168"/>
      <c r="D460" s="167"/>
      <c r="E460" s="166"/>
      <c r="F460" s="165"/>
      <c r="G460" s="164"/>
    </row>
    <row r="461" spans="1:7" x14ac:dyDescent="0.25">
      <c r="A461" s="169" t="str">
        <f>E461&amp;COUNTIFS($E$2:E461,E461)</f>
        <v>0</v>
      </c>
      <c r="B461" s="166"/>
      <c r="C461" s="168"/>
      <c r="D461" s="167"/>
      <c r="E461" s="166"/>
      <c r="F461" s="165"/>
      <c r="G461" s="164"/>
    </row>
    <row r="462" spans="1:7" x14ac:dyDescent="0.25">
      <c r="A462" s="169" t="str">
        <f>E462&amp;COUNTIFS($E$2:E462,E462)</f>
        <v>0</v>
      </c>
      <c r="B462" s="166"/>
      <c r="C462" s="168"/>
      <c r="D462" s="167"/>
      <c r="E462" s="166"/>
      <c r="F462" s="165"/>
      <c r="G462" s="164"/>
    </row>
    <row r="463" spans="1:7" x14ac:dyDescent="0.25">
      <c r="A463" s="169" t="str">
        <f>E463&amp;COUNTIFS($E$2:E463,E463)</f>
        <v>0</v>
      </c>
      <c r="B463" s="166"/>
      <c r="C463" s="168"/>
      <c r="D463" s="167"/>
      <c r="E463" s="166"/>
      <c r="F463" s="165"/>
      <c r="G463" s="164"/>
    </row>
    <row r="464" spans="1:7" x14ac:dyDescent="0.25">
      <c r="A464" s="169" t="str">
        <f>E464&amp;COUNTIFS($E$2:E464,E464)</f>
        <v>0</v>
      </c>
      <c r="B464" s="166"/>
      <c r="C464" s="168"/>
      <c r="D464" s="167"/>
      <c r="E464" s="166"/>
      <c r="F464" s="165"/>
      <c r="G464" s="164"/>
    </row>
    <row r="465" spans="1:7" x14ac:dyDescent="0.25">
      <c r="A465" s="169" t="str">
        <f>E465&amp;COUNTIFS($E$2:E465,E465)</f>
        <v>0</v>
      </c>
      <c r="B465" s="166"/>
      <c r="C465" s="168"/>
      <c r="D465" s="167"/>
      <c r="E465" s="166"/>
      <c r="F465" s="165"/>
      <c r="G465" s="164"/>
    </row>
    <row r="466" spans="1:7" x14ac:dyDescent="0.25">
      <c r="A466" s="169" t="str">
        <f>E466&amp;COUNTIFS($E$2:E466,E466)</f>
        <v>0</v>
      </c>
      <c r="B466" s="166"/>
      <c r="C466" s="168"/>
      <c r="D466" s="167"/>
      <c r="E466" s="166"/>
      <c r="F466" s="165"/>
      <c r="G466" s="164"/>
    </row>
    <row r="467" spans="1:7" x14ac:dyDescent="0.25">
      <c r="A467" s="169" t="str">
        <f>E467&amp;COUNTIFS($E$2:E467,E467)</f>
        <v>0</v>
      </c>
      <c r="B467" s="166"/>
      <c r="C467" s="168"/>
      <c r="D467" s="167"/>
      <c r="E467" s="166"/>
      <c r="F467" s="165"/>
      <c r="G467" s="164"/>
    </row>
    <row r="468" spans="1:7" ht="15.75" thickBot="1" x14ac:dyDescent="0.3">
      <c r="A468" s="163" t="str">
        <f>E468&amp;COUNTIFS($E$2:E468,E468)</f>
        <v>0</v>
      </c>
      <c r="B468" s="166"/>
      <c r="C468" s="162"/>
      <c r="D468" s="161"/>
      <c r="E468" s="160"/>
      <c r="F468" s="159"/>
      <c r="G468" s="158"/>
    </row>
    <row r="469" spans="1:7" x14ac:dyDescent="0.25">
      <c r="A469" s="148"/>
      <c r="C469" s="143"/>
      <c r="D469" s="157"/>
      <c r="E469" s="143"/>
      <c r="F469" s="156"/>
      <c r="G469" s="156"/>
    </row>
    <row r="470" spans="1:7" x14ac:dyDescent="0.25">
      <c r="A470" s="148"/>
      <c r="C470" s="153" t="s">
        <v>623</v>
      </c>
      <c r="D470" s="152"/>
      <c r="E470" s="151"/>
      <c r="F470" s="150">
        <f>SUM(F444:F468)</f>
        <v>0</v>
      </c>
      <c r="G470" s="155">
        <f>SUM(G444:G468)</f>
        <v>0</v>
      </c>
    </row>
    <row r="471" spans="1:7" x14ac:dyDescent="0.25">
      <c r="A471" s="148"/>
      <c r="C471" s="145" t="s">
        <v>622</v>
      </c>
      <c r="D471" s="154"/>
      <c r="E471" s="145"/>
      <c r="F471" s="144"/>
      <c r="G471" s="144"/>
    </row>
    <row r="472" spans="1:7" x14ac:dyDescent="0.25">
      <c r="A472" s="148"/>
      <c r="C472" s="153" t="s">
        <v>621</v>
      </c>
      <c r="D472" s="152"/>
      <c r="E472" s="151"/>
      <c r="F472" s="150">
        <f>F439</f>
        <v>0</v>
      </c>
      <c r="G472" s="150">
        <f>G439</f>
        <v>0</v>
      </c>
    </row>
    <row r="473" spans="1:7" x14ac:dyDescent="0.25">
      <c r="A473" s="148"/>
      <c r="C473" s="153" t="s">
        <v>582</v>
      </c>
      <c r="D473" s="152"/>
      <c r="E473" s="151"/>
      <c r="F473" s="150">
        <f>F472+F470</f>
        <v>0</v>
      </c>
      <c r="G473" s="150">
        <f>G472+G470</f>
        <v>0</v>
      </c>
    </row>
    <row r="474" spans="1:7" ht="15.75" thickBot="1" x14ac:dyDescent="0.3">
      <c r="A474" s="148"/>
      <c r="C474" s="145"/>
      <c r="D474" s="149"/>
      <c r="E474" s="145"/>
      <c r="F474" s="144"/>
      <c r="G474" s="144"/>
    </row>
    <row r="475" spans="1:7" ht="15.75" thickBot="1" x14ac:dyDescent="0.3">
      <c r="A475" s="148"/>
      <c r="C475" s="147" t="s">
        <v>620</v>
      </c>
      <c r="D475" s="146">
        <f>F473-G473</f>
        <v>0</v>
      </c>
      <c r="E475" s="145"/>
      <c r="F475" s="144"/>
      <c r="G475" s="144"/>
    </row>
    <row r="476" spans="1:7" ht="15.75" thickBot="1" x14ac:dyDescent="0.3">
      <c r="A476" s="148"/>
      <c r="C476" s="145"/>
      <c r="D476" s="144"/>
      <c r="E476" s="145"/>
      <c r="F476" s="144"/>
      <c r="G476" s="144"/>
    </row>
    <row r="477" spans="1:7" ht="30.75" thickBot="1" x14ac:dyDescent="0.3">
      <c r="A477" s="287" t="s">
        <v>626</v>
      </c>
      <c r="B477" s="286" t="s">
        <v>606</v>
      </c>
      <c r="C477" s="285" t="s">
        <v>637</v>
      </c>
      <c r="D477" s="284" t="s">
        <v>601</v>
      </c>
      <c r="E477" s="283" t="s">
        <v>287</v>
      </c>
      <c r="F477" s="282" t="s">
        <v>624</v>
      </c>
      <c r="G477" s="282" t="s">
        <v>596</v>
      </c>
    </row>
    <row r="478" spans="1:7" x14ac:dyDescent="0.25">
      <c r="A478" s="169" t="str">
        <f>E478&amp;COUNTIFS($E$2:E478,E478)</f>
        <v>0</v>
      </c>
      <c r="B478" s="172"/>
      <c r="C478" s="174"/>
      <c r="D478" s="173"/>
      <c r="E478" s="172"/>
      <c r="F478" s="171"/>
      <c r="G478" s="170"/>
    </row>
    <row r="479" spans="1:7" x14ac:dyDescent="0.25">
      <c r="A479" s="169" t="str">
        <f>E479&amp;COUNTIFS($E$2:E479,E479)</f>
        <v>0</v>
      </c>
      <c r="B479" s="166"/>
      <c r="C479" s="168"/>
      <c r="D479" s="167"/>
      <c r="E479" s="166"/>
      <c r="F479" s="165"/>
      <c r="G479" s="164"/>
    </row>
    <row r="480" spans="1:7" x14ac:dyDescent="0.25">
      <c r="A480" s="169" t="str">
        <f>E480&amp;COUNTIFS($E$2:E480,E480)</f>
        <v>0</v>
      </c>
      <c r="B480" s="166"/>
      <c r="C480" s="168"/>
      <c r="D480" s="167"/>
      <c r="E480" s="166"/>
      <c r="F480" s="165"/>
      <c r="G480" s="164"/>
    </row>
    <row r="481" spans="1:7" x14ac:dyDescent="0.25">
      <c r="A481" s="169" t="str">
        <f>E481&amp;COUNTIFS($E$2:E481,E481)</f>
        <v>0</v>
      </c>
      <c r="B481" s="166"/>
      <c r="C481" s="168"/>
      <c r="D481" s="167"/>
      <c r="E481" s="166"/>
      <c r="F481" s="165"/>
      <c r="G481" s="164"/>
    </row>
    <row r="482" spans="1:7" x14ac:dyDescent="0.25">
      <c r="A482" s="169" t="str">
        <f>E482&amp;COUNTIFS($E$2:E482,E482)</f>
        <v>0</v>
      </c>
      <c r="B482" s="166"/>
      <c r="C482" s="168"/>
      <c r="D482" s="167"/>
      <c r="E482" s="166"/>
      <c r="F482" s="165"/>
      <c r="G482" s="164"/>
    </row>
    <row r="483" spans="1:7" x14ac:dyDescent="0.25">
      <c r="A483" s="169" t="str">
        <f>E483&amp;COUNTIFS($E$2:E483,E483)</f>
        <v>0</v>
      </c>
      <c r="B483" s="166"/>
      <c r="C483" s="168"/>
      <c r="D483" s="167"/>
      <c r="E483" s="166"/>
      <c r="F483" s="165"/>
      <c r="G483" s="164"/>
    </row>
    <row r="484" spans="1:7" x14ac:dyDescent="0.25">
      <c r="A484" s="169" t="str">
        <f>E484&amp;COUNTIFS($E$2:E484,E484)</f>
        <v>0</v>
      </c>
      <c r="B484" s="166"/>
      <c r="C484" s="168"/>
      <c r="D484" s="167"/>
      <c r="E484" s="166"/>
      <c r="F484" s="165"/>
      <c r="G484" s="164"/>
    </row>
    <row r="485" spans="1:7" x14ac:dyDescent="0.25">
      <c r="A485" s="169" t="str">
        <f>E485&amp;COUNTIFS($E$2:E485,E485)</f>
        <v>0</v>
      </c>
      <c r="B485" s="166"/>
      <c r="C485" s="168"/>
      <c r="D485" s="167"/>
      <c r="E485" s="166"/>
      <c r="F485" s="165"/>
      <c r="G485" s="164"/>
    </row>
    <row r="486" spans="1:7" x14ac:dyDescent="0.25">
      <c r="A486" s="169" t="str">
        <f>E486&amp;COUNTIFS($E$2:E486,E486)</f>
        <v>0</v>
      </c>
      <c r="B486" s="166"/>
      <c r="C486" s="168"/>
      <c r="D486" s="167"/>
      <c r="E486" s="166"/>
      <c r="F486" s="165"/>
      <c r="G486" s="164"/>
    </row>
    <row r="487" spans="1:7" x14ac:dyDescent="0.25">
      <c r="A487" s="169" t="str">
        <f>E487&amp;COUNTIFS($E$2:E487,E487)</f>
        <v>0</v>
      </c>
      <c r="B487" s="166"/>
      <c r="C487" s="168"/>
      <c r="D487" s="167"/>
      <c r="E487" s="166"/>
      <c r="F487" s="165"/>
      <c r="G487" s="164"/>
    </row>
    <row r="488" spans="1:7" x14ac:dyDescent="0.25">
      <c r="A488" s="169" t="str">
        <f>E488&amp;COUNTIFS($E$2:E488,E488)</f>
        <v>0</v>
      </c>
      <c r="B488" s="166"/>
      <c r="C488" s="168"/>
      <c r="D488" s="167"/>
      <c r="E488" s="166"/>
      <c r="F488" s="165"/>
      <c r="G488" s="164"/>
    </row>
    <row r="489" spans="1:7" x14ac:dyDescent="0.25">
      <c r="A489" s="169" t="str">
        <f>E489&amp;COUNTIFS($E$2:E489,E489)</f>
        <v>0</v>
      </c>
      <c r="B489" s="166"/>
      <c r="C489" s="168"/>
      <c r="D489" s="167"/>
      <c r="E489" s="166"/>
      <c r="F489" s="165"/>
      <c r="G489" s="164"/>
    </row>
    <row r="490" spans="1:7" x14ac:dyDescent="0.25">
      <c r="A490" s="169" t="str">
        <f>E490&amp;COUNTIFS($E$2:E490,E490)</f>
        <v>0</v>
      </c>
      <c r="B490" s="166"/>
      <c r="C490" s="168"/>
      <c r="D490" s="167"/>
      <c r="E490" s="166"/>
      <c r="F490" s="165"/>
      <c r="G490" s="164"/>
    </row>
    <row r="491" spans="1:7" x14ac:dyDescent="0.25">
      <c r="A491" s="169" t="str">
        <f>E491&amp;COUNTIFS($E$2:E491,E491)</f>
        <v>0</v>
      </c>
      <c r="B491" s="166"/>
      <c r="C491" s="168"/>
      <c r="D491" s="167"/>
      <c r="E491" s="166"/>
      <c r="F491" s="165"/>
      <c r="G491" s="164"/>
    </row>
    <row r="492" spans="1:7" x14ac:dyDescent="0.25">
      <c r="A492" s="169" t="str">
        <f>E492&amp;COUNTIFS($E$2:E492,E492)</f>
        <v>0</v>
      </c>
      <c r="B492" s="166"/>
      <c r="C492" s="168"/>
      <c r="D492" s="167"/>
      <c r="E492" s="166"/>
      <c r="F492" s="165"/>
      <c r="G492" s="164"/>
    </row>
    <row r="493" spans="1:7" x14ac:dyDescent="0.25">
      <c r="A493" s="169" t="str">
        <f>E493&amp;COUNTIFS($E$2:E493,E493)</f>
        <v>0</v>
      </c>
      <c r="B493" s="166"/>
      <c r="C493" s="168"/>
      <c r="D493" s="167"/>
      <c r="E493" s="166"/>
      <c r="F493" s="165"/>
      <c r="G493" s="164"/>
    </row>
    <row r="494" spans="1:7" x14ac:dyDescent="0.25">
      <c r="A494" s="169" t="str">
        <f>E494&amp;COUNTIFS($E$2:E494,E494)</f>
        <v>0</v>
      </c>
      <c r="B494" s="166"/>
      <c r="C494" s="168"/>
      <c r="D494" s="167"/>
      <c r="E494" s="166"/>
      <c r="F494" s="165"/>
      <c r="G494" s="164"/>
    </row>
    <row r="495" spans="1:7" x14ac:dyDescent="0.25">
      <c r="A495" s="169" t="str">
        <f>E495&amp;COUNTIFS($E$2:E495,E495)</f>
        <v>0</v>
      </c>
      <c r="B495" s="166"/>
      <c r="C495" s="168"/>
      <c r="D495" s="167"/>
      <c r="E495" s="166"/>
      <c r="F495" s="165"/>
      <c r="G495" s="164"/>
    </row>
    <row r="496" spans="1:7" x14ac:dyDescent="0.25">
      <c r="A496" s="169" t="str">
        <f>E496&amp;COUNTIFS($E$2:E496,E496)</f>
        <v>0</v>
      </c>
      <c r="B496" s="166"/>
      <c r="C496" s="168"/>
      <c r="D496" s="167"/>
      <c r="E496" s="166"/>
      <c r="F496" s="165"/>
      <c r="G496" s="164"/>
    </row>
    <row r="497" spans="1:7" x14ac:dyDescent="0.25">
      <c r="A497" s="169" t="str">
        <f>E497&amp;COUNTIFS($E$2:E497,E497)</f>
        <v>0</v>
      </c>
      <c r="B497" s="166"/>
      <c r="C497" s="168"/>
      <c r="D497" s="167"/>
      <c r="E497" s="166"/>
      <c r="F497" s="165"/>
      <c r="G497" s="164"/>
    </row>
    <row r="498" spans="1:7" x14ac:dyDescent="0.25">
      <c r="A498" s="169" t="str">
        <f>E498&amp;COUNTIFS($E$2:E498,E498)</f>
        <v>0</v>
      </c>
      <c r="B498" s="166"/>
      <c r="C498" s="168"/>
      <c r="D498" s="167"/>
      <c r="E498" s="166"/>
      <c r="F498" s="165"/>
      <c r="G498" s="164"/>
    </row>
    <row r="499" spans="1:7" x14ac:dyDescent="0.25">
      <c r="A499" s="169" t="str">
        <f>E499&amp;COUNTIFS($E$2:E499,E499)</f>
        <v>0</v>
      </c>
      <c r="B499" s="166"/>
      <c r="C499" s="168"/>
      <c r="D499" s="167"/>
      <c r="E499" s="166"/>
      <c r="F499" s="165"/>
      <c r="G499" s="164"/>
    </row>
    <row r="500" spans="1:7" x14ac:dyDescent="0.25">
      <c r="A500" s="169" t="str">
        <f>E500&amp;COUNTIFS($E$2:E500,E500)</f>
        <v>0</v>
      </c>
      <c r="B500" s="166"/>
      <c r="C500" s="168"/>
      <c r="D500" s="167"/>
      <c r="E500" s="166"/>
      <c r="F500" s="165"/>
      <c r="G500" s="164"/>
    </row>
    <row r="501" spans="1:7" x14ac:dyDescent="0.25">
      <c r="A501" s="169" t="str">
        <f>E501&amp;COUNTIFS($E$2:E501,E501)</f>
        <v>0</v>
      </c>
      <c r="B501" s="166"/>
      <c r="C501" s="168"/>
      <c r="D501" s="167"/>
      <c r="E501" s="166"/>
      <c r="F501" s="165"/>
      <c r="G501" s="164"/>
    </row>
    <row r="502" spans="1:7" ht="15.75" thickBot="1" x14ac:dyDescent="0.3">
      <c r="A502" s="163" t="str">
        <f>E502&amp;COUNTIFS($E$2:E502,E502)</f>
        <v>0</v>
      </c>
      <c r="B502" s="166"/>
      <c r="C502" s="162"/>
      <c r="D502" s="161"/>
      <c r="E502" s="160"/>
      <c r="F502" s="159"/>
      <c r="G502" s="158"/>
    </row>
    <row r="503" spans="1:7" x14ac:dyDescent="0.25">
      <c r="A503" s="148"/>
      <c r="C503" s="143"/>
      <c r="D503" s="157"/>
      <c r="E503" s="143"/>
      <c r="F503" s="156"/>
      <c r="G503" s="156"/>
    </row>
    <row r="504" spans="1:7" x14ac:dyDescent="0.25">
      <c r="A504" s="148"/>
      <c r="C504" s="153" t="s">
        <v>623</v>
      </c>
      <c r="D504" s="152"/>
      <c r="E504" s="151"/>
      <c r="F504" s="150">
        <f>SUM(F478:F502)</f>
        <v>0</v>
      </c>
      <c r="G504" s="155">
        <f>SUM(G478:G502)</f>
        <v>0</v>
      </c>
    </row>
    <row r="505" spans="1:7" x14ac:dyDescent="0.25">
      <c r="A505" s="148"/>
      <c r="C505" s="145" t="s">
        <v>622</v>
      </c>
      <c r="D505" s="154"/>
      <c r="E505" s="145"/>
      <c r="F505" s="144"/>
      <c r="G505" s="144"/>
    </row>
    <row r="506" spans="1:7" x14ac:dyDescent="0.25">
      <c r="A506" s="148"/>
      <c r="C506" s="153" t="s">
        <v>621</v>
      </c>
      <c r="D506" s="152"/>
      <c r="E506" s="151"/>
      <c r="F506" s="150">
        <f>F473</f>
        <v>0</v>
      </c>
      <c r="G506" s="150">
        <f>G473</f>
        <v>0</v>
      </c>
    </row>
    <row r="507" spans="1:7" x14ac:dyDescent="0.25">
      <c r="A507" s="148"/>
      <c r="C507" s="153" t="s">
        <v>582</v>
      </c>
      <c r="D507" s="152"/>
      <c r="E507" s="151"/>
      <c r="F507" s="150">
        <f>F506+F504</f>
        <v>0</v>
      </c>
      <c r="G507" s="150">
        <f>G506+G504</f>
        <v>0</v>
      </c>
    </row>
    <row r="508" spans="1:7" ht="15.75" thickBot="1" x14ac:dyDescent="0.3">
      <c r="A508" s="148"/>
      <c r="C508" s="145"/>
      <c r="D508" s="149"/>
      <c r="E508" s="145"/>
      <c r="F508" s="144"/>
      <c r="G508" s="144"/>
    </row>
    <row r="509" spans="1:7" ht="15.75" thickBot="1" x14ac:dyDescent="0.3">
      <c r="A509" s="148"/>
      <c r="C509" s="147" t="s">
        <v>620</v>
      </c>
      <c r="D509" s="146">
        <f>F507-G507</f>
        <v>0</v>
      </c>
      <c r="E509" s="145"/>
      <c r="F509" s="144"/>
      <c r="G509" s="144"/>
    </row>
    <row r="510" spans="1:7" ht="15.75" thickBot="1" x14ac:dyDescent="0.3"/>
    <row r="511" spans="1:7" ht="30.75" thickBot="1" x14ac:dyDescent="0.3">
      <c r="A511" s="272" t="s">
        <v>626</v>
      </c>
      <c r="B511" s="271" t="s">
        <v>606</v>
      </c>
      <c r="C511" s="268" t="s">
        <v>636</v>
      </c>
      <c r="D511" s="269" t="s">
        <v>601</v>
      </c>
      <c r="E511" s="268" t="s">
        <v>287</v>
      </c>
      <c r="F511" s="267" t="s">
        <v>624</v>
      </c>
      <c r="G511" s="267" t="s">
        <v>596</v>
      </c>
    </row>
    <row r="512" spans="1:7" x14ac:dyDescent="0.25">
      <c r="A512" s="175" t="str">
        <f>E512&amp;COUNTIFS($E$2:E512,E512)</f>
        <v>0</v>
      </c>
      <c r="B512" s="172"/>
      <c r="C512" s="174"/>
      <c r="D512" s="173"/>
      <c r="E512" s="172"/>
      <c r="F512" s="171"/>
      <c r="G512" s="170"/>
    </row>
    <row r="513" spans="1:7" x14ac:dyDescent="0.25">
      <c r="A513" s="169" t="str">
        <f>E513&amp;COUNTIFS($E$2:E513,E513)</f>
        <v>0</v>
      </c>
      <c r="B513" s="166"/>
      <c r="C513" s="168"/>
      <c r="D513" s="167"/>
      <c r="E513" s="166"/>
      <c r="F513" s="165"/>
      <c r="G513" s="164"/>
    </row>
    <row r="514" spans="1:7" x14ac:dyDescent="0.25">
      <c r="A514" s="169" t="str">
        <f>E514&amp;COUNTIFS($E$2:E514,E514)</f>
        <v>0</v>
      </c>
      <c r="B514" s="166"/>
      <c r="C514" s="168"/>
      <c r="D514" s="167"/>
      <c r="E514" s="166"/>
      <c r="F514" s="165"/>
      <c r="G514" s="164"/>
    </row>
    <row r="515" spans="1:7" x14ac:dyDescent="0.25">
      <c r="A515" s="169" t="str">
        <f>E515&amp;COUNTIFS($E$2:E515,E515)</f>
        <v>0</v>
      </c>
      <c r="B515" s="166"/>
      <c r="C515" s="168"/>
      <c r="D515" s="167"/>
      <c r="E515" s="166"/>
      <c r="F515" s="165"/>
      <c r="G515" s="164"/>
    </row>
    <row r="516" spans="1:7" x14ac:dyDescent="0.25">
      <c r="A516" s="169" t="str">
        <f>E516&amp;COUNTIFS($E$2:E516,E516)</f>
        <v>0</v>
      </c>
      <c r="B516" s="166"/>
      <c r="C516" s="168"/>
      <c r="D516" s="167"/>
      <c r="E516" s="166"/>
      <c r="F516" s="165"/>
      <c r="G516" s="164"/>
    </row>
    <row r="517" spans="1:7" x14ac:dyDescent="0.25">
      <c r="A517" s="169" t="str">
        <f>E517&amp;COUNTIFS($E$2:E517,E517)</f>
        <v>0</v>
      </c>
      <c r="B517" s="166"/>
      <c r="C517" s="168"/>
      <c r="D517" s="167"/>
      <c r="E517" s="166"/>
      <c r="F517" s="165"/>
      <c r="G517" s="164"/>
    </row>
    <row r="518" spans="1:7" x14ac:dyDescent="0.25">
      <c r="A518" s="169" t="str">
        <f>E518&amp;COUNTIFS($E$2:E518,E518)</f>
        <v>0</v>
      </c>
      <c r="B518" s="166"/>
      <c r="C518" s="168"/>
      <c r="D518" s="167"/>
      <c r="E518" s="166"/>
      <c r="F518" s="165"/>
      <c r="G518" s="164"/>
    </row>
    <row r="519" spans="1:7" x14ac:dyDescent="0.25">
      <c r="A519" s="169" t="str">
        <f>E519&amp;COUNTIFS($E$2:E519,E519)</f>
        <v>0</v>
      </c>
      <c r="B519" s="166"/>
      <c r="C519" s="168"/>
      <c r="D519" s="167"/>
      <c r="E519" s="166"/>
      <c r="F519" s="165"/>
      <c r="G519" s="164"/>
    </row>
    <row r="520" spans="1:7" x14ac:dyDescent="0.25">
      <c r="A520" s="169" t="str">
        <f>E520&amp;COUNTIFS($E$2:E520,E520)</f>
        <v>0</v>
      </c>
      <c r="B520" s="166"/>
      <c r="C520" s="168"/>
      <c r="D520" s="167"/>
      <c r="E520" s="166"/>
      <c r="F520" s="165"/>
      <c r="G520" s="164"/>
    </row>
    <row r="521" spans="1:7" x14ac:dyDescent="0.25">
      <c r="A521" s="169" t="str">
        <f>E521&amp;COUNTIFS($E$2:E521,E521)</f>
        <v>0</v>
      </c>
      <c r="B521" s="166"/>
      <c r="C521" s="168"/>
      <c r="D521" s="167"/>
      <c r="E521" s="166"/>
      <c r="F521" s="165"/>
      <c r="G521" s="164"/>
    </row>
    <row r="522" spans="1:7" x14ac:dyDescent="0.25">
      <c r="A522" s="169" t="str">
        <f>E522&amp;COUNTIFS($E$2:E522,E522)</f>
        <v>0</v>
      </c>
      <c r="B522" s="166"/>
      <c r="C522" s="168"/>
      <c r="D522" s="167"/>
      <c r="E522" s="166"/>
      <c r="F522" s="165"/>
      <c r="G522" s="164"/>
    </row>
    <row r="523" spans="1:7" x14ac:dyDescent="0.25">
      <c r="A523" s="169" t="str">
        <f>E523&amp;COUNTIFS($E$2:E523,E523)</f>
        <v>0</v>
      </c>
      <c r="B523" s="166"/>
      <c r="C523" s="168"/>
      <c r="D523" s="167"/>
      <c r="E523" s="166"/>
      <c r="F523" s="165"/>
      <c r="G523" s="164"/>
    </row>
    <row r="524" spans="1:7" x14ac:dyDescent="0.25">
      <c r="A524" s="169" t="str">
        <f>E524&amp;COUNTIFS($E$2:E524,E524)</f>
        <v>0</v>
      </c>
      <c r="B524" s="166"/>
      <c r="C524" s="168"/>
      <c r="D524" s="167"/>
      <c r="E524" s="166"/>
      <c r="F524" s="165"/>
      <c r="G524" s="164"/>
    </row>
    <row r="525" spans="1:7" x14ac:dyDescent="0.25">
      <c r="A525" s="169" t="str">
        <f>E525&amp;COUNTIFS($E$2:E525,E525)</f>
        <v>0</v>
      </c>
      <c r="B525" s="166"/>
      <c r="C525" s="168"/>
      <c r="D525" s="167"/>
      <c r="E525" s="166"/>
      <c r="F525" s="165"/>
      <c r="G525" s="164"/>
    </row>
    <row r="526" spans="1:7" x14ac:dyDescent="0.25">
      <c r="A526" s="169" t="str">
        <f>E526&amp;COUNTIFS($E$2:E526,E526)</f>
        <v>0</v>
      </c>
      <c r="B526" s="166"/>
      <c r="C526" s="168"/>
      <c r="D526" s="167"/>
      <c r="E526" s="166"/>
      <c r="F526" s="165"/>
      <c r="G526" s="164"/>
    </row>
    <row r="527" spans="1:7" x14ac:dyDescent="0.25">
      <c r="A527" s="169" t="str">
        <f>E527&amp;COUNTIFS($E$2:E527,E527)</f>
        <v>0</v>
      </c>
      <c r="B527" s="166"/>
      <c r="C527" s="168"/>
      <c r="D527" s="167"/>
      <c r="E527" s="166"/>
      <c r="F527" s="165"/>
      <c r="G527" s="164"/>
    </row>
    <row r="528" spans="1:7" x14ac:dyDescent="0.25">
      <c r="A528" s="169" t="str">
        <f>E528&amp;COUNTIFS($E$2:E528,E528)</f>
        <v>0</v>
      </c>
      <c r="B528" s="166"/>
      <c r="C528" s="168"/>
      <c r="D528" s="167"/>
      <c r="E528" s="166"/>
      <c r="F528" s="165"/>
      <c r="G528" s="164"/>
    </row>
    <row r="529" spans="1:7" x14ac:dyDescent="0.25">
      <c r="A529" s="169" t="str">
        <f>E529&amp;COUNTIFS($E$2:E529,E529)</f>
        <v>0</v>
      </c>
      <c r="B529" s="166"/>
      <c r="C529" s="168"/>
      <c r="D529" s="167"/>
      <c r="E529" s="166"/>
      <c r="F529" s="165"/>
      <c r="G529" s="164"/>
    </row>
    <row r="530" spans="1:7" x14ac:dyDescent="0.25">
      <c r="A530" s="169" t="str">
        <f>E530&amp;COUNTIFS($E$2:E530,E530)</f>
        <v>0</v>
      </c>
      <c r="B530" s="166"/>
      <c r="C530" s="168"/>
      <c r="D530" s="167"/>
      <c r="E530" s="166"/>
      <c r="F530" s="165"/>
      <c r="G530" s="164"/>
    </row>
    <row r="531" spans="1:7" x14ac:dyDescent="0.25">
      <c r="A531" s="169" t="str">
        <f>E531&amp;COUNTIFS($E$2:E531,E531)</f>
        <v>0</v>
      </c>
      <c r="B531" s="166"/>
      <c r="C531" s="168"/>
      <c r="D531" s="167"/>
      <c r="E531" s="166"/>
      <c r="F531" s="165"/>
      <c r="G531" s="164"/>
    </row>
    <row r="532" spans="1:7" x14ac:dyDescent="0.25">
      <c r="A532" s="169" t="str">
        <f>E532&amp;COUNTIFS($E$2:E532,E532)</f>
        <v>0</v>
      </c>
      <c r="B532" s="166"/>
      <c r="C532" s="168"/>
      <c r="D532" s="167"/>
      <c r="E532" s="166"/>
      <c r="F532" s="165"/>
      <c r="G532" s="164"/>
    </row>
    <row r="533" spans="1:7" x14ac:dyDescent="0.25">
      <c r="A533" s="169" t="str">
        <f>E533&amp;COUNTIFS($E$2:E533,E533)</f>
        <v>0</v>
      </c>
      <c r="B533" s="166"/>
      <c r="C533" s="168"/>
      <c r="D533" s="167"/>
      <c r="E533" s="166"/>
      <c r="F533" s="165"/>
      <c r="G533" s="164"/>
    </row>
    <row r="534" spans="1:7" x14ac:dyDescent="0.25">
      <c r="A534" s="169" t="str">
        <f>E534&amp;COUNTIFS($E$2:E534,E534)</f>
        <v>0</v>
      </c>
      <c r="B534" s="166"/>
      <c r="C534" s="168"/>
      <c r="D534" s="167"/>
      <c r="E534" s="166"/>
      <c r="F534" s="165"/>
      <c r="G534" s="164"/>
    </row>
    <row r="535" spans="1:7" x14ac:dyDescent="0.25">
      <c r="A535" s="169" t="str">
        <f>E535&amp;COUNTIFS($E$2:E535,E535)</f>
        <v>0</v>
      </c>
      <c r="B535" s="166"/>
      <c r="C535" s="168"/>
      <c r="D535" s="167"/>
      <c r="E535" s="166"/>
      <c r="F535" s="165"/>
      <c r="G535" s="164"/>
    </row>
    <row r="536" spans="1:7" ht="15.75" thickBot="1" x14ac:dyDescent="0.3">
      <c r="A536" s="163" t="str">
        <f>E536&amp;COUNTIFS($E$2:E536,E536)</f>
        <v>0</v>
      </c>
      <c r="B536" s="160"/>
      <c r="C536" s="162"/>
      <c r="D536" s="161"/>
      <c r="E536" s="160"/>
      <c r="F536" s="159"/>
      <c r="G536" s="158"/>
    </row>
    <row r="537" spans="1:7" x14ac:dyDescent="0.25">
      <c r="A537" s="148"/>
      <c r="C537" s="143"/>
      <c r="D537" s="157"/>
      <c r="E537" s="143"/>
      <c r="F537" s="156"/>
      <c r="G537" s="156"/>
    </row>
    <row r="538" spans="1:7" x14ac:dyDescent="0.25">
      <c r="A538" s="148"/>
      <c r="C538" s="153" t="s">
        <v>623</v>
      </c>
      <c r="D538" s="152"/>
      <c r="E538" s="151"/>
      <c r="F538" s="150">
        <f>SUM(F512:F536)</f>
        <v>0</v>
      </c>
      <c r="G538" s="155">
        <f>SUM(G512:G536)</f>
        <v>0</v>
      </c>
    </row>
    <row r="539" spans="1:7" x14ac:dyDescent="0.25">
      <c r="A539" s="148"/>
      <c r="C539" s="145" t="s">
        <v>622</v>
      </c>
      <c r="D539" s="154"/>
      <c r="E539" s="145"/>
      <c r="F539" s="144"/>
      <c r="G539" s="144"/>
    </row>
    <row r="540" spans="1:7" x14ac:dyDescent="0.25">
      <c r="A540" s="148"/>
      <c r="C540" s="153" t="s">
        <v>621</v>
      </c>
      <c r="D540" s="152"/>
      <c r="E540" s="151"/>
      <c r="F540" s="150">
        <f>F439</f>
        <v>0</v>
      </c>
      <c r="G540" s="150">
        <f>G439</f>
        <v>0</v>
      </c>
    </row>
    <row r="541" spans="1:7" x14ac:dyDescent="0.25">
      <c r="A541" s="148"/>
      <c r="C541" s="153" t="s">
        <v>582</v>
      </c>
      <c r="D541" s="152"/>
      <c r="E541" s="151"/>
      <c r="F541" s="150">
        <f>F540+F538</f>
        <v>0</v>
      </c>
      <c r="G541" s="150">
        <f>G540+G538</f>
        <v>0</v>
      </c>
    </row>
    <row r="542" spans="1:7" ht="15.75" thickBot="1" x14ac:dyDescent="0.3">
      <c r="A542" s="148"/>
      <c r="C542" s="145"/>
      <c r="D542" s="149"/>
      <c r="E542" s="145"/>
      <c r="F542" s="144"/>
      <c r="G542" s="144"/>
    </row>
    <row r="543" spans="1:7" ht="15.75" thickBot="1" x14ac:dyDescent="0.3">
      <c r="A543" s="148"/>
      <c r="C543" s="147" t="s">
        <v>620</v>
      </c>
      <c r="D543" s="146">
        <f>F541-G541</f>
        <v>0</v>
      </c>
      <c r="E543" s="145"/>
      <c r="F543" s="144"/>
      <c r="G543" s="144"/>
    </row>
    <row r="544" spans="1:7" ht="15.75" thickBot="1" x14ac:dyDescent="0.3"/>
    <row r="545" spans="1:7" ht="30.75" thickBot="1" x14ac:dyDescent="0.3">
      <c r="A545" s="272" t="s">
        <v>626</v>
      </c>
      <c r="B545" s="271" t="s">
        <v>606</v>
      </c>
      <c r="C545" s="270" t="s">
        <v>636</v>
      </c>
      <c r="D545" s="269" t="s">
        <v>601</v>
      </c>
      <c r="E545" s="268" t="s">
        <v>287</v>
      </c>
      <c r="F545" s="267" t="s">
        <v>624</v>
      </c>
      <c r="G545" s="267" t="s">
        <v>596</v>
      </c>
    </row>
    <row r="546" spans="1:7" x14ac:dyDescent="0.25">
      <c r="A546" s="169" t="str">
        <f>E546&amp;COUNTIFS($E$2:E546,E546)</f>
        <v>0</v>
      </c>
      <c r="B546" s="172"/>
      <c r="C546" s="174"/>
      <c r="D546" s="173"/>
      <c r="E546" s="172"/>
      <c r="F546" s="171"/>
      <c r="G546" s="170"/>
    </row>
    <row r="547" spans="1:7" x14ac:dyDescent="0.25">
      <c r="A547" s="169" t="str">
        <f>E547&amp;COUNTIFS($E$2:E547,E547)</f>
        <v>0</v>
      </c>
      <c r="B547" s="166"/>
      <c r="C547" s="168"/>
      <c r="D547" s="167"/>
      <c r="E547" s="166"/>
      <c r="F547" s="165"/>
      <c r="G547" s="164"/>
    </row>
    <row r="548" spans="1:7" x14ac:dyDescent="0.25">
      <c r="A548" s="169" t="str">
        <f>E548&amp;COUNTIFS($E$2:E548,E548)</f>
        <v>0</v>
      </c>
      <c r="B548" s="166"/>
      <c r="C548" s="168"/>
      <c r="D548" s="167"/>
      <c r="E548" s="166"/>
      <c r="F548" s="165"/>
      <c r="G548" s="164"/>
    </row>
    <row r="549" spans="1:7" x14ac:dyDescent="0.25">
      <c r="A549" s="169" t="str">
        <f>E549&amp;COUNTIFS($E$2:E549,E549)</f>
        <v>0</v>
      </c>
      <c r="B549" s="166"/>
      <c r="C549" s="168"/>
      <c r="D549" s="167"/>
      <c r="E549" s="166"/>
      <c r="F549" s="165"/>
      <c r="G549" s="164"/>
    </row>
    <row r="550" spans="1:7" x14ac:dyDescent="0.25">
      <c r="A550" s="169" t="str">
        <f>E550&amp;COUNTIFS($E$2:E550,E550)</f>
        <v>0</v>
      </c>
      <c r="B550" s="166"/>
      <c r="C550" s="168"/>
      <c r="D550" s="167"/>
      <c r="E550" s="166"/>
      <c r="F550" s="165"/>
      <c r="G550" s="164"/>
    </row>
    <row r="551" spans="1:7" x14ac:dyDescent="0.25">
      <c r="A551" s="169" t="str">
        <f>E551&amp;COUNTIFS($E$2:E551,E551)</f>
        <v>0</v>
      </c>
      <c r="B551" s="166"/>
      <c r="C551" s="168"/>
      <c r="D551" s="167"/>
      <c r="E551" s="166"/>
      <c r="F551" s="165"/>
      <c r="G551" s="164"/>
    </row>
    <row r="552" spans="1:7" x14ac:dyDescent="0.25">
      <c r="A552" s="169" t="str">
        <f>E552&amp;COUNTIFS($E$2:E552,E552)</f>
        <v>0</v>
      </c>
      <c r="B552" s="166"/>
      <c r="C552" s="168"/>
      <c r="D552" s="167"/>
      <c r="E552" s="166"/>
      <c r="F552" s="165"/>
      <c r="G552" s="164"/>
    </row>
    <row r="553" spans="1:7" x14ac:dyDescent="0.25">
      <c r="A553" s="169" t="str">
        <f>E553&amp;COUNTIFS($E$2:E553,E553)</f>
        <v>0</v>
      </c>
      <c r="B553" s="166"/>
      <c r="C553" s="168"/>
      <c r="D553" s="167"/>
      <c r="E553" s="166"/>
      <c r="F553" s="165"/>
      <c r="G553" s="164"/>
    </row>
    <row r="554" spans="1:7" x14ac:dyDescent="0.25">
      <c r="A554" s="169" t="str">
        <f>E554&amp;COUNTIFS($E$2:E554,E554)</f>
        <v>0</v>
      </c>
      <c r="B554" s="166"/>
      <c r="C554" s="168"/>
      <c r="D554" s="167"/>
      <c r="E554" s="166"/>
      <c r="F554" s="165"/>
      <c r="G554" s="164"/>
    </row>
    <row r="555" spans="1:7" x14ac:dyDescent="0.25">
      <c r="A555" s="169" t="str">
        <f>E555&amp;COUNTIFS($E$2:E555,E555)</f>
        <v>0</v>
      </c>
      <c r="B555" s="166"/>
      <c r="C555" s="168"/>
      <c r="D555" s="167"/>
      <c r="E555" s="166"/>
      <c r="F555" s="165"/>
      <c r="G555" s="164"/>
    </row>
    <row r="556" spans="1:7" x14ac:dyDescent="0.25">
      <c r="A556" s="169" t="str">
        <f>E556&amp;COUNTIFS($E$2:E556,E556)</f>
        <v>0</v>
      </c>
      <c r="B556" s="166"/>
      <c r="C556" s="168"/>
      <c r="D556" s="167"/>
      <c r="E556" s="166"/>
      <c r="F556" s="165"/>
      <c r="G556" s="164"/>
    </row>
    <row r="557" spans="1:7" x14ac:dyDescent="0.25">
      <c r="A557" s="169" t="str">
        <f>E557&amp;COUNTIFS($E$2:E557,E557)</f>
        <v>0</v>
      </c>
      <c r="B557" s="166"/>
      <c r="C557" s="168"/>
      <c r="D557" s="167"/>
      <c r="E557" s="166"/>
      <c r="F557" s="165"/>
      <c r="G557" s="164"/>
    </row>
    <row r="558" spans="1:7" x14ac:dyDescent="0.25">
      <c r="A558" s="169" t="str">
        <f>E558&amp;COUNTIFS($E$2:E558,E558)</f>
        <v>0</v>
      </c>
      <c r="B558" s="166"/>
      <c r="C558" s="168"/>
      <c r="D558" s="167"/>
      <c r="E558" s="166"/>
      <c r="F558" s="165"/>
      <c r="G558" s="164"/>
    </row>
    <row r="559" spans="1:7" x14ac:dyDescent="0.25">
      <c r="A559" s="169" t="str">
        <f>E559&amp;COUNTIFS($E$2:E559,E559)</f>
        <v>0</v>
      </c>
      <c r="B559" s="166"/>
      <c r="C559" s="168"/>
      <c r="D559" s="167"/>
      <c r="E559" s="166"/>
      <c r="F559" s="165"/>
      <c r="G559" s="164"/>
    </row>
    <row r="560" spans="1:7" x14ac:dyDescent="0.25">
      <c r="A560" s="169" t="str">
        <f>E560&amp;COUNTIFS($E$2:E560,E560)</f>
        <v>0</v>
      </c>
      <c r="B560" s="166"/>
      <c r="C560" s="168"/>
      <c r="D560" s="167"/>
      <c r="E560" s="166"/>
      <c r="F560" s="165"/>
      <c r="G560" s="164"/>
    </row>
    <row r="561" spans="1:7" x14ac:dyDescent="0.25">
      <c r="A561" s="169" t="str">
        <f>E561&amp;COUNTIFS($E$2:E561,E561)</f>
        <v>0</v>
      </c>
      <c r="B561" s="166"/>
      <c r="C561" s="168"/>
      <c r="D561" s="167"/>
      <c r="E561" s="166"/>
      <c r="F561" s="165"/>
      <c r="G561" s="164"/>
    </row>
    <row r="562" spans="1:7" x14ac:dyDescent="0.25">
      <c r="A562" s="169" t="str">
        <f>E562&amp;COUNTIFS($E$2:E562,E562)</f>
        <v>0</v>
      </c>
      <c r="B562" s="166"/>
      <c r="C562" s="168"/>
      <c r="D562" s="167"/>
      <c r="E562" s="166"/>
      <c r="F562" s="165"/>
      <c r="G562" s="164"/>
    </row>
    <row r="563" spans="1:7" x14ac:dyDescent="0.25">
      <c r="A563" s="169" t="str">
        <f>E563&amp;COUNTIFS($E$2:E563,E563)</f>
        <v>0</v>
      </c>
      <c r="B563" s="166"/>
      <c r="C563" s="168"/>
      <c r="D563" s="167"/>
      <c r="E563" s="166"/>
      <c r="F563" s="165"/>
      <c r="G563" s="164"/>
    </row>
    <row r="564" spans="1:7" x14ac:dyDescent="0.25">
      <c r="A564" s="169" t="str">
        <f>E564&amp;COUNTIFS($E$2:E564,E564)</f>
        <v>0</v>
      </c>
      <c r="B564" s="166"/>
      <c r="C564" s="168"/>
      <c r="D564" s="167"/>
      <c r="E564" s="166"/>
      <c r="F564" s="165"/>
      <c r="G564" s="164"/>
    </row>
    <row r="565" spans="1:7" x14ac:dyDescent="0.25">
      <c r="A565" s="169" t="str">
        <f>E565&amp;COUNTIFS($E$2:E565,E565)</f>
        <v>0</v>
      </c>
      <c r="B565" s="166"/>
      <c r="C565" s="168"/>
      <c r="D565" s="167"/>
      <c r="E565" s="166"/>
      <c r="F565" s="165"/>
      <c r="G565" s="164"/>
    </row>
    <row r="566" spans="1:7" x14ac:dyDescent="0.25">
      <c r="A566" s="169" t="str">
        <f>E566&amp;COUNTIFS($E$2:E566,E566)</f>
        <v>0</v>
      </c>
      <c r="B566" s="166"/>
      <c r="C566" s="168"/>
      <c r="D566" s="167"/>
      <c r="E566" s="166"/>
      <c r="F566" s="165"/>
      <c r="G566" s="164"/>
    </row>
    <row r="567" spans="1:7" x14ac:dyDescent="0.25">
      <c r="A567" s="169" t="str">
        <f>E567&amp;COUNTIFS($E$2:E567,E567)</f>
        <v>0</v>
      </c>
      <c r="B567" s="166"/>
      <c r="C567" s="168"/>
      <c r="D567" s="167"/>
      <c r="E567" s="166"/>
      <c r="F567" s="165"/>
      <c r="G567" s="164"/>
    </row>
    <row r="568" spans="1:7" x14ac:dyDescent="0.25">
      <c r="A568" s="169" t="str">
        <f>E568&amp;COUNTIFS($E$2:E568,E568)</f>
        <v>0</v>
      </c>
      <c r="B568" s="166"/>
      <c r="C568" s="168"/>
      <c r="D568" s="167"/>
      <c r="E568" s="166"/>
      <c r="F568" s="165"/>
      <c r="G568" s="164"/>
    </row>
    <row r="569" spans="1:7" x14ac:dyDescent="0.25">
      <c r="A569" s="169" t="str">
        <f>E569&amp;COUNTIFS($E$2:E569,E569)</f>
        <v>0</v>
      </c>
      <c r="B569" s="166"/>
      <c r="C569" s="168"/>
      <c r="D569" s="167"/>
      <c r="E569" s="166"/>
      <c r="F569" s="165"/>
      <c r="G569" s="164"/>
    </row>
    <row r="570" spans="1:7" ht="15.75" thickBot="1" x14ac:dyDescent="0.3">
      <c r="A570" s="163" t="str">
        <f>E570&amp;COUNTIFS($E$2:E570,E570)</f>
        <v>0</v>
      </c>
      <c r="B570" s="166"/>
      <c r="C570" s="162"/>
      <c r="D570" s="161"/>
      <c r="E570" s="160"/>
      <c r="F570" s="159"/>
      <c r="G570" s="158"/>
    </row>
    <row r="571" spans="1:7" x14ac:dyDescent="0.25">
      <c r="A571" s="148"/>
      <c r="C571" s="143"/>
      <c r="D571" s="157"/>
      <c r="E571" s="143"/>
      <c r="F571" s="156"/>
      <c r="G571" s="156"/>
    </row>
    <row r="572" spans="1:7" x14ac:dyDescent="0.25">
      <c r="A572" s="148"/>
      <c r="C572" s="153" t="s">
        <v>623</v>
      </c>
      <c r="D572" s="152"/>
      <c r="E572" s="151"/>
      <c r="F572" s="150">
        <f>SUM(F546:F570)</f>
        <v>0</v>
      </c>
      <c r="G572" s="155">
        <f>SUM(G546:G570)</f>
        <v>0</v>
      </c>
    </row>
    <row r="573" spans="1:7" x14ac:dyDescent="0.25">
      <c r="A573" s="148"/>
      <c r="C573" s="145" t="s">
        <v>622</v>
      </c>
      <c r="D573" s="154"/>
      <c r="E573" s="145"/>
      <c r="F573" s="144"/>
      <c r="G573" s="144"/>
    </row>
    <row r="574" spans="1:7" x14ac:dyDescent="0.25">
      <c r="A574" s="148"/>
      <c r="C574" s="153" t="s">
        <v>621</v>
      </c>
      <c r="D574" s="152"/>
      <c r="E574" s="151"/>
      <c r="F574" s="150">
        <f>F541</f>
        <v>0</v>
      </c>
      <c r="G574" s="150">
        <f>G541</f>
        <v>0</v>
      </c>
    </row>
    <row r="575" spans="1:7" x14ac:dyDescent="0.25">
      <c r="A575" s="148"/>
      <c r="C575" s="153" t="s">
        <v>582</v>
      </c>
      <c r="D575" s="152"/>
      <c r="E575" s="151"/>
      <c r="F575" s="150">
        <f>F574+F572</f>
        <v>0</v>
      </c>
      <c r="G575" s="150">
        <f>G574+G572</f>
        <v>0</v>
      </c>
    </row>
    <row r="576" spans="1:7" ht="15.75" thickBot="1" x14ac:dyDescent="0.3">
      <c r="A576" s="148"/>
      <c r="C576" s="145"/>
      <c r="D576" s="149"/>
      <c r="E576" s="145"/>
      <c r="F576" s="144"/>
      <c r="G576" s="144"/>
    </row>
    <row r="577" spans="1:7" ht="15.75" thickBot="1" x14ac:dyDescent="0.3">
      <c r="A577" s="148"/>
      <c r="C577" s="147" t="s">
        <v>620</v>
      </c>
      <c r="D577" s="146">
        <f>F575-G575</f>
        <v>0</v>
      </c>
      <c r="E577" s="145"/>
      <c r="F577" s="144"/>
      <c r="G577" s="144"/>
    </row>
    <row r="578" spans="1:7" ht="15.75" thickBot="1" x14ac:dyDescent="0.3"/>
    <row r="579" spans="1:7" ht="30.75" thickBot="1" x14ac:dyDescent="0.3">
      <c r="A579" s="272" t="s">
        <v>626</v>
      </c>
      <c r="B579" s="271" t="s">
        <v>606</v>
      </c>
      <c r="C579" s="270" t="s">
        <v>636</v>
      </c>
      <c r="D579" s="269" t="s">
        <v>601</v>
      </c>
      <c r="E579" s="268" t="s">
        <v>287</v>
      </c>
      <c r="F579" s="267" t="s">
        <v>624</v>
      </c>
      <c r="G579" s="267" t="s">
        <v>596</v>
      </c>
    </row>
    <row r="580" spans="1:7" x14ac:dyDescent="0.25">
      <c r="A580" s="169" t="str">
        <f>E580&amp;COUNTIFS($E$2:E580,E580)</f>
        <v>0</v>
      </c>
      <c r="B580" s="172"/>
      <c r="C580" s="174"/>
      <c r="D580" s="173"/>
      <c r="E580" s="172"/>
      <c r="F580" s="171"/>
      <c r="G580" s="170"/>
    </row>
    <row r="581" spans="1:7" x14ac:dyDescent="0.25">
      <c r="A581" s="169" t="str">
        <f>E581&amp;COUNTIFS($E$2:E581,E581)</f>
        <v>0</v>
      </c>
      <c r="B581" s="166"/>
      <c r="C581" s="168"/>
      <c r="D581" s="167"/>
      <c r="E581" s="166"/>
      <c r="F581" s="165"/>
      <c r="G581" s="164"/>
    </row>
    <row r="582" spans="1:7" x14ac:dyDescent="0.25">
      <c r="A582" s="169" t="str">
        <f>E582&amp;COUNTIFS($E$2:E582,E582)</f>
        <v>0</v>
      </c>
      <c r="B582" s="166"/>
      <c r="C582" s="168"/>
      <c r="D582" s="167"/>
      <c r="E582" s="166"/>
      <c r="F582" s="165"/>
      <c r="G582" s="164"/>
    </row>
    <row r="583" spans="1:7" x14ac:dyDescent="0.25">
      <c r="A583" s="169" t="str">
        <f>E583&amp;COUNTIFS($E$2:E583,E583)</f>
        <v>0</v>
      </c>
      <c r="B583" s="166"/>
      <c r="C583" s="168"/>
      <c r="D583" s="167"/>
      <c r="E583" s="166"/>
      <c r="F583" s="165"/>
      <c r="G583" s="164"/>
    </row>
    <row r="584" spans="1:7" x14ac:dyDescent="0.25">
      <c r="A584" s="169" t="str">
        <f>E584&amp;COUNTIFS($E$2:E584,E584)</f>
        <v>0</v>
      </c>
      <c r="B584" s="166"/>
      <c r="C584" s="168"/>
      <c r="D584" s="167"/>
      <c r="E584" s="166"/>
      <c r="F584" s="165"/>
      <c r="G584" s="164"/>
    </row>
    <row r="585" spans="1:7" x14ac:dyDescent="0.25">
      <c r="A585" s="169" t="str">
        <f>E585&amp;COUNTIFS($E$2:E585,E585)</f>
        <v>0</v>
      </c>
      <c r="B585" s="166"/>
      <c r="C585" s="168"/>
      <c r="D585" s="167"/>
      <c r="E585" s="166"/>
      <c r="F585" s="165"/>
      <c r="G585" s="164"/>
    </row>
    <row r="586" spans="1:7" x14ac:dyDescent="0.25">
      <c r="A586" s="169" t="str">
        <f>E586&amp;COUNTIFS($E$2:E586,E586)</f>
        <v>0</v>
      </c>
      <c r="B586" s="166"/>
      <c r="C586" s="168"/>
      <c r="D586" s="167"/>
      <c r="E586" s="166"/>
      <c r="F586" s="165"/>
      <c r="G586" s="164"/>
    </row>
    <row r="587" spans="1:7" x14ac:dyDescent="0.25">
      <c r="A587" s="169" t="str">
        <f>E587&amp;COUNTIFS($E$2:E587,E587)</f>
        <v>0</v>
      </c>
      <c r="B587" s="166"/>
      <c r="C587" s="168"/>
      <c r="D587" s="167"/>
      <c r="E587" s="166"/>
      <c r="F587" s="165"/>
      <c r="G587" s="165"/>
    </row>
    <row r="588" spans="1:7" x14ac:dyDescent="0.25">
      <c r="A588" s="169" t="str">
        <f>E588&amp;COUNTIFS($E$2:E588,E588)</f>
        <v>0</v>
      </c>
      <c r="B588" s="166"/>
      <c r="C588" s="168"/>
      <c r="D588" s="167"/>
      <c r="E588" s="166"/>
      <c r="F588" s="165"/>
      <c r="G588" s="164"/>
    </row>
    <row r="589" spans="1:7" x14ac:dyDescent="0.25">
      <c r="A589" s="169" t="str">
        <f>E589&amp;COUNTIFS($E$2:E589,E589)</f>
        <v>0</v>
      </c>
      <c r="B589" s="166"/>
      <c r="C589" s="168"/>
      <c r="D589" s="167"/>
      <c r="E589" s="166"/>
      <c r="F589" s="165"/>
      <c r="G589" s="164"/>
    </row>
    <row r="590" spans="1:7" x14ac:dyDescent="0.25">
      <c r="A590" s="169" t="str">
        <f>E590&amp;COUNTIFS($E$2:E590,E590)</f>
        <v>0</v>
      </c>
      <c r="B590" s="166"/>
      <c r="C590" s="168"/>
      <c r="D590" s="167"/>
      <c r="E590" s="166"/>
      <c r="F590" s="165"/>
      <c r="G590" s="164"/>
    </row>
    <row r="591" spans="1:7" x14ac:dyDescent="0.25">
      <c r="A591" s="169" t="str">
        <f>E591&amp;COUNTIFS($E$2:E591,E591)</f>
        <v>0</v>
      </c>
      <c r="B591" s="166"/>
      <c r="C591" s="168"/>
      <c r="D591" s="167"/>
      <c r="E591" s="166"/>
      <c r="F591" s="165"/>
      <c r="G591" s="164"/>
    </row>
    <row r="592" spans="1:7" x14ac:dyDescent="0.25">
      <c r="A592" s="169" t="str">
        <f>E592&amp;COUNTIFS($E$2:E592,E592)</f>
        <v>0</v>
      </c>
      <c r="B592" s="166"/>
      <c r="C592" s="168"/>
      <c r="D592" s="167"/>
      <c r="E592" s="166"/>
      <c r="F592" s="165"/>
      <c r="G592" s="164"/>
    </row>
    <row r="593" spans="1:7" x14ac:dyDescent="0.25">
      <c r="A593" s="169" t="str">
        <f>E593&amp;COUNTIFS($E$2:E593,E593)</f>
        <v>0</v>
      </c>
      <c r="B593" s="166"/>
      <c r="C593" s="168"/>
      <c r="D593" s="167"/>
      <c r="E593" s="166"/>
      <c r="F593" s="165"/>
      <c r="G593" s="164"/>
    </row>
    <row r="594" spans="1:7" x14ac:dyDescent="0.25">
      <c r="A594" s="169" t="str">
        <f>E594&amp;COUNTIFS($E$2:E594,E594)</f>
        <v>0</v>
      </c>
      <c r="B594" s="166"/>
      <c r="C594" s="168"/>
      <c r="D594" s="167"/>
      <c r="E594" s="166"/>
      <c r="F594" s="165"/>
      <c r="G594" s="164"/>
    </row>
    <row r="595" spans="1:7" x14ac:dyDescent="0.25">
      <c r="A595" s="169" t="str">
        <f>E595&amp;COUNTIFS($E$2:E595,E595)</f>
        <v>0</v>
      </c>
      <c r="B595" s="166"/>
      <c r="C595" s="168"/>
      <c r="D595" s="167"/>
      <c r="E595" s="166"/>
      <c r="F595" s="165"/>
      <c r="G595" s="164"/>
    </row>
    <row r="596" spans="1:7" x14ac:dyDescent="0.25">
      <c r="A596" s="169" t="str">
        <f>E596&amp;COUNTIFS($E$2:E596,E596)</f>
        <v>0</v>
      </c>
      <c r="B596" s="166"/>
      <c r="C596" s="168"/>
      <c r="D596" s="167"/>
      <c r="E596" s="166"/>
      <c r="F596" s="165"/>
      <c r="G596" s="164"/>
    </row>
    <row r="597" spans="1:7" x14ac:dyDescent="0.25">
      <c r="A597" s="169" t="str">
        <f>E597&amp;COUNTIFS($E$2:E597,E597)</f>
        <v>0</v>
      </c>
      <c r="B597" s="166"/>
      <c r="C597" s="168"/>
      <c r="D597" s="167"/>
      <c r="E597" s="166"/>
      <c r="F597" s="165"/>
      <c r="G597" s="164"/>
    </row>
    <row r="598" spans="1:7" x14ac:dyDescent="0.25">
      <c r="A598" s="169" t="str">
        <f>E598&amp;COUNTIFS($E$2:E598,E598)</f>
        <v>0</v>
      </c>
      <c r="B598" s="166"/>
      <c r="C598" s="168"/>
      <c r="D598" s="167"/>
      <c r="E598" s="166"/>
      <c r="F598" s="165"/>
      <c r="G598" s="164"/>
    </row>
    <row r="599" spans="1:7" x14ac:dyDescent="0.25">
      <c r="A599" s="169" t="str">
        <f>E599&amp;COUNTIFS($E$2:E599,E599)</f>
        <v>0</v>
      </c>
      <c r="B599" s="166"/>
      <c r="C599" s="168"/>
      <c r="D599" s="167"/>
      <c r="E599" s="166"/>
      <c r="F599" s="165"/>
      <c r="G599" s="164"/>
    </row>
    <row r="600" spans="1:7" x14ac:dyDescent="0.25">
      <c r="A600" s="169" t="str">
        <f>E600&amp;COUNTIFS($E$2:E600,E600)</f>
        <v>0</v>
      </c>
      <c r="B600" s="166"/>
      <c r="C600" s="168"/>
      <c r="D600" s="167"/>
      <c r="E600" s="166"/>
      <c r="F600" s="165"/>
      <c r="G600" s="164"/>
    </row>
    <row r="601" spans="1:7" x14ac:dyDescent="0.25">
      <c r="A601" s="169" t="str">
        <f>E601&amp;COUNTIFS($E$2:E601,E601)</f>
        <v>0</v>
      </c>
      <c r="B601" s="166"/>
      <c r="C601" s="168"/>
      <c r="D601" s="167"/>
      <c r="E601" s="166"/>
      <c r="F601" s="165"/>
      <c r="G601" s="164"/>
    </row>
    <row r="602" spans="1:7" x14ac:dyDescent="0.25">
      <c r="A602" s="169" t="str">
        <f>E602&amp;COUNTIFS($E$2:E602,E602)</f>
        <v>0</v>
      </c>
      <c r="B602" s="166"/>
      <c r="C602" s="168"/>
      <c r="D602" s="167"/>
      <c r="E602" s="166"/>
      <c r="F602" s="165"/>
      <c r="G602" s="164"/>
    </row>
    <row r="603" spans="1:7" x14ac:dyDescent="0.25">
      <c r="A603" s="169" t="str">
        <f>E603&amp;COUNTIFS($E$2:E603,E603)</f>
        <v>0</v>
      </c>
      <c r="B603" s="166"/>
      <c r="C603" s="168"/>
      <c r="D603" s="167"/>
      <c r="E603" s="166"/>
      <c r="F603" s="165"/>
      <c r="G603" s="164"/>
    </row>
    <row r="604" spans="1:7" ht="15.75" thickBot="1" x14ac:dyDescent="0.3">
      <c r="A604" s="163" t="str">
        <f>E604&amp;COUNTIFS($E$2:E604,E604)</f>
        <v>0</v>
      </c>
      <c r="B604" s="166"/>
      <c r="C604" s="162"/>
      <c r="D604" s="161"/>
      <c r="E604" s="160"/>
      <c r="F604" s="159"/>
      <c r="G604" s="158"/>
    </row>
    <row r="605" spans="1:7" x14ac:dyDescent="0.25">
      <c r="A605" s="148"/>
      <c r="C605" s="143"/>
      <c r="D605" s="157"/>
      <c r="E605" s="143"/>
      <c r="F605" s="156"/>
      <c r="G605" s="156"/>
    </row>
    <row r="606" spans="1:7" x14ac:dyDescent="0.25">
      <c r="A606" s="148"/>
      <c r="C606" s="153" t="s">
        <v>623</v>
      </c>
      <c r="D606" s="152"/>
      <c r="E606" s="151"/>
      <c r="F606" s="150">
        <f>SUM(F580:F604)</f>
        <v>0</v>
      </c>
      <c r="G606" s="155">
        <f>SUM(G580:G604)</f>
        <v>0</v>
      </c>
    </row>
    <row r="607" spans="1:7" x14ac:dyDescent="0.25">
      <c r="A607" s="148"/>
      <c r="C607" s="145" t="s">
        <v>622</v>
      </c>
      <c r="D607" s="154"/>
      <c r="E607" s="145"/>
      <c r="F607" s="144"/>
      <c r="G607" s="144"/>
    </row>
    <row r="608" spans="1:7" x14ac:dyDescent="0.25">
      <c r="A608" s="148"/>
      <c r="C608" s="153" t="s">
        <v>621</v>
      </c>
      <c r="D608" s="152"/>
      <c r="E608" s="151"/>
      <c r="F608" s="150">
        <f>F575</f>
        <v>0</v>
      </c>
      <c r="G608" s="150">
        <f>G575</f>
        <v>0</v>
      </c>
    </row>
    <row r="609" spans="1:7" x14ac:dyDescent="0.25">
      <c r="A609" s="148"/>
      <c r="C609" s="153" t="s">
        <v>582</v>
      </c>
      <c r="D609" s="152"/>
      <c r="E609" s="151"/>
      <c r="F609" s="150">
        <f>F608+F606</f>
        <v>0</v>
      </c>
      <c r="G609" s="150">
        <f>G608+G606</f>
        <v>0</v>
      </c>
    </row>
    <row r="610" spans="1:7" ht="15.75" thickBot="1" x14ac:dyDescent="0.3">
      <c r="A610" s="148"/>
      <c r="C610" s="145"/>
      <c r="D610" s="149"/>
      <c r="E610" s="145"/>
      <c r="F610" s="144"/>
      <c r="G610" s="144"/>
    </row>
    <row r="611" spans="1:7" ht="15.75" thickBot="1" x14ac:dyDescent="0.3">
      <c r="A611" s="148"/>
      <c r="C611" s="147" t="s">
        <v>620</v>
      </c>
      <c r="D611" s="146">
        <f>F609-G609</f>
        <v>0</v>
      </c>
      <c r="E611" s="145"/>
      <c r="F611" s="144"/>
      <c r="G611" s="144"/>
    </row>
    <row r="612" spans="1:7" ht="15.75" thickBot="1" x14ac:dyDescent="0.3"/>
    <row r="613" spans="1:7" ht="30.75" thickBot="1" x14ac:dyDescent="0.3">
      <c r="A613" s="272" t="s">
        <v>626</v>
      </c>
      <c r="B613" s="271" t="s">
        <v>606</v>
      </c>
      <c r="C613" s="270" t="s">
        <v>636</v>
      </c>
      <c r="D613" s="269" t="s">
        <v>601</v>
      </c>
      <c r="E613" s="268" t="s">
        <v>287</v>
      </c>
      <c r="F613" s="267" t="s">
        <v>624</v>
      </c>
      <c r="G613" s="267" t="s">
        <v>596</v>
      </c>
    </row>
    <row r="614" spans="1:7" x14ac:dyDescent="0.25">
      <c r="A614" s="169" t="str">
        <f>E614&amp;COUNTIFS($E$2:E614,E614)</f>
        <v>0</v>
      </c>
      <c r="B614" s="172"/>
      <c r="C614" s="174"/>
      <c r="D614" s="173"/>
      <c r="E614" s="172"/>
      <c r="F614" s="171"/>
      <c r="G614" s="170"/>
    </row>
    <row r="615" spans="1:7" x14ac:dyDescent="0.25">
      <c r="A615" s="169" t="str">
        <f>E615&amp;COUNTIFS($E$2:E615,E615)</f>
        <v>0</v>
      </c>
      <c r="B615" s="166"/>
      <c r="C615" s="168"/>
      <c r="D615" s="167"/>
      <c r="E615" s="166"/>
      <c r="F615" s="165"/>
      <c r="G615" s="164"/>
    </row>
    <row r="616" spans="1:7" x14ac:dyDescent="0.25">
      <c r="A616" s="169" t="str">
        <f>E616&amp;COUNTIFS($E$2:E616,E616)</f>
        <v>0</v>
      </c>
      <c r="B616" s="166"/>
      <c r="C616" s="168"/>
      <c r="D616" s="167"/>
      <c r="E616" s="166"/>
      <c r="F616" s="165"/>
      <c r="G616" s="164"/>
    </row>
    <row r="617" spans="1:7" x14ac:dyDescent="0.25">
      <c r="A617" s="169" t="str">
        <f>E617&amp;COUNTIFS($E$2:E617,E617)</f>
        <v>0</v>
      </c>
      <c r="B617" s="166"/>
      <c r="C617" s="168"/>
      <c r="D617" s="167"/>
      <c r="E617" s="166"/>
      <c r="F617" s="165"/>
      <c r="G617" s="164"/>
    </row>
    <row r="618" spans="1:7" x14ac:dyDescent="0.25">
      <c r="A618" s="169" t="str">
        <f>E618&amp;COUNTIFS($E$2:E618,E618)</f>
        <v>0</v>
      </c>
      <c r="B618" s="166"/>
      <c r="C618" s="168"/>
      <c r="D618" s="167"/>
      <c r="E618" s="166"/>
      <c r="F618" s="165"/>
      <c r="G618" s="164"/>
    </row>
    <row r="619" spans="1:7" x14ac:dyDescent="0.25">
      <c r="A619" s="169" t="str">
        <f>E619&amp;COUNTIFS($E$2:E619,E619)</f>
        <v>0</v>
      </c>
      <c r="B619" s="166"/>
      <c r="C619" s="168"/>
      <c r="D619" s="167"/>
      <c r="E619" s="166"/>
      <c r="F619" s="165"/>
      <c r="G619" s="164"/>
    </row>
    <row r="620" spans="1:7" x14ac:dyDescent="0.25">
      <c r="A620" s="169" t="str">
        <f>E620&amp;COUNTIFS($E$2:E620,E620)</f>
        <v>0</v>
      </c>
      <c r="B620" s="166"/>
      <c r="C620" s="168"/>
      <c r="D620" s="167"/>
      <c r="E620" s="166"/>
      <c r="F620" s="165"/>
      <c r="G620" s="164"/>
    </row>
    <row r="621" spans="1:7" x14ac:dyDescent="0.25">
      <c r="A621" s="169" t="str">
        <f>E621&amp;COUNTIFS($E$2:E621,E621)</f>
        <v>0</v>
      </c>
      <c r="B621" s="166"/>
      <c r="C621" s="168"/>
      <c r="D621" s="167"/>
      <c r="E621" s="166"/>
      <c r="F621" s="165"/>
      <c r="G621" s="164"/>
    </row>
    <row r="622" spans="1:7" x14ac:dyDescent="0.25">
      <c r="A622" s="169" t="str">
        <f>E622&amp;COUNTIFS($E$2:E622,E622)</f>
        <v>0</v>
      </c>
      <c r="B622" s="166"/>
      <c r="C622" s="168"/>
      <c r="D622" s="167"/>
      <c r="E622" s="166"/>
      <c r="F622" s="165"/>
      <c r="G622" s="164"/>
    </row>
    <row r="623" spans="1:7" x14ac:dyDescent="0.25">
      <c r="A623" s="169" t="str">
        <f>E623&amp;COUNTIFS($E$2:E623,E623)</f>
        <v>0</v>
      </c>
      <c r="B623" s="166"/>
      <c r="C623" s="168"/>
      <c r="D623" s="167"/>
      <c r="E623" s="166"/>
      <c r="F623" s="165"/>
      <c r="G623" s="164"/>
    </row>
    <row r="624" spans="1:7" x14ac:dyDescent="0.25">
      <c r="A624" s="169" t="str">
        <f>E624&amp;COUNTIFS($E$2:E624,E624)</f>
        <v>0</v>
      </c>
      <c r="B624" s="166"/>
      <c r="C624" s="168"/>
      <c r="D624" s="167"/>
      <c r="E624" s="166"/>
      <c r="F624" s="165"/>
      <c r="G624" s="164"/>
    </row>
    <row r="625" spans="1:7" x14ac:dyDescent="0.25">
      <c r="A625" s="169" t="str">
        <f>E625&amp;COUNTIFS($E$2:E625,E625)</f>
        <v>0</v>
      </c>
      <c r="B625" s="166"/>
      <c r="C625" s="168"/>
      <c r="D625" s="167"/>
      <c r="E625" s="166"/>
      <c r="F625" s="165"/>
      <c r="G625" s="164"/>
    </row>
    <row r="626" spans="1:7" x14ac:dyDescent="0.25">
      <c r="A626" s="169" t="str">
        <f>E626&amp;COUNTIFS($E$2:E626,E626)</f>
        <v>0</v>
      </c>
      <c r="B626" s="166"/>
      <c r="C626" s="168"/>
      <c r="D626" s="167"/>
      <c r="E626" s="166"/>
      <c r="F626" s="165"/>
      <c r="G626" s="164"/>
    </row>
    <row r="627" spans="1:7" x14ac:dyDescent="0.25">
      <c r="A627" s="169" t="str">
        <f>E627&amp;COUNTIFS($E$2:E627,E627)</f>
        <v>0</v>
      </c>
      <c r="B627" s="166"/>
      <c r="C627" s="168"/>
      <c r="D627" s="167"/>
      <c r="E627" s="166"/>
      <c r="F627" s="165"/>
      <c r="G627" s="164"/>
    </row>
    <row r="628" spans="1:7" x14ac:dyDescent="0.25">
      <c r="A628" s="169" t="str">
        <f>E628&amp;COUNTIFS($E$2:E628,E628)</f>
        <v>0</v>
      </c>
      <c r="B628" s="166"/>
      <c r="C628" s="168"/>
      <c r="D628" s="167"/>
      <c r="E628" s="166"/>
      <c r="F628" s="165"/>
      <c r="G628" s="164"/>
    </row>
    <row r="629" spans="1:7" x14ac:dyDescent="0.25">
      <c r="A629" s="169" t="str">
        <f>E629&amp;COUNTIFS($E$2:E629,E629)</f>
        <v>0</v>
      </c>
      <c r="B629" s="166"/>
      <c r="C629" s="168"/>
      <c r="D629" s="167"/>
      <c r="E629" s="166"/>
      <c r="F629" s="165"/>
      <c r="G629" s="164"/>
    </row>
    <row r="630" spans="1:7" x14ac:dyDescent="0.25">
      <c r="A630" s="169" t="str">
        <f>E630&amp;COUNTIFS($E$2:E630,E630)</f>
        <v>0</v>
      </c>
      <c r="B630" s="166"/>
      <c r="C630" s="168"/>
      <c r="D630" s="167"/>
      <c r="E630" s="166"/>
      <c r="F630" s="165"/>
      <c r="G630" s="164"/>
    </row>
    <row r="631" spans="1:7" x14ac:dyDescent="0.25">
      <c r="A631" s="169" t="str">
        <f>E631&amp;COUNTIFS($E$2:E631,E631)</f>
        <v>0</v>
      </c>
      <c r="B631" s="166"/>
      <c r="C631" s="168"/>
      <c r="D631" s="167"/>
      <c r="E631" s="166"/>
      <c r="F631" s="165"/>
      <c r="G631" s="164"/>
    </row>
    <row r="632" spans="1:7" x14ac:dyDescent="0.25">
      <c r="A632" s="169" t="str">
        <f>E632&amp;COUNTIFS($E$2:E632,E632)</f>
        <v>0</v>
      </c>
      <c r="B632" s="166"/>
      <c r="C632" s="168"/>
      <c r="D632" s="167"/>
      <c r="E632" s="166"/>
      <c r="F632" s="165"/>
      <c r="G632" s="164"/>
    </row>
    <row r="633" spans="1:7" x14ac:dyDescent="0.25">
      <c r="A633" s="169" t="str">
        <f>E633&amp;COUNTIFS($E$2:E633,E633)</f>
        <v>0</v>
      </c>
      <c r="B633" s="166"/>
      <c r="C633" s="168"/>
      <c r="D633" s="167"/>
      <c r="E633" s="166"/>
      <c r="F633" s="165"/>
      <c r="G633" s="164"/>
    </row>
    <row r="634" spans="1:7" x14ac:dyDescent="0.25">
      <c r="A634" s="169" t="str">
        <f>E634&amp;COUNTIFS($E$2:E634,E634)</f>
        <v>0</v>
      </c>
      <c r="B634" s="166"/>
      <c r="C634" s="168"/>
      <c r="D634" s="167"/>
      <c r="E634" s="166"/>
      <c r="F634" s="165"/>
      <c r="G634" s="164"/>
    </row>
    <row r="635" spans="1:7" x14ac:dyDescent="0.25">
      <c r="A635" s="169" t="str">
        <f>E635&amp;COUNTIFS($E$2:E635,E635)</f>
        <v>0</v>
      </c>
      <c r="B635" s="166"/>
      <c r="C635" s="168"/>
      <c r="D635" s="167"/>
      <c r="E635" s="166"/>
      <c r="F635" s="165"/>
      <c r="G635" s="164"/>
    </row>
    <row r="636" spans="1:7" x14ac:dyDescent="0.25">
      <c r="A636" s="169" t="str">
        <f>E636&amp;COUNTIFS($E$2:E636,E636)</f>
        <v>0</v>
      </c>
      <c r="B636" s="166"/>
      <c r="C636" s="168"/>
      <c r="D636" s="167"/>
      <c r="E636" s="166"/>
      <c r="F636" s="165"/>
      <c r="G636" s="164"/>
    </row>
    <row r="637" spans="1:7" x14ac:dyDescent="0.25">
      <c r="A637" s="169" t="str">
        <f>E637&amp;COUNTIFS($E$2:E637,E637)</f>
        <v>0</v>
      </c>
      <c r="B637" s="166"/>
      <c r="C637" s="168"/>
      <c r="D637" s="167"/>
      <c r="E637" s="166"/>
      <c r="F637" s="165"/>
      <c r="G637" s="164"/>
    </row>
    <row r="638" spans="1:7" ht="15.75" thickBot="1" x14ac:dyDescent="0.3">
      <c r="A638" s="163" t="str">
        <f>E638&amp;COUNTIFS($E$2:E638,E638)</f>
        <v>0</v>
      </c>
      <c r="B638" s="166"/>
      <c r="C638" s="162"/>
      <c r="D638" s="161"/>
      <c r="E638" s="160"/>
      <c r="F638" s="159"/>
      <c r="G638" s="158"/>
    </row>
    <row r="639" spans="1:7" x14ac:dyDescent="0.25">
      <c r="A639" s="148"/>
      <c r="C639" s="143"/>
      <c r="D639" s="157"/>
      <c r="E639" s="143"/>
      <c r="F639" s="156"/>
      <c r="G639" s="156"/>
    </row>
    <row r="640" spans="1:7" x14ac:dyDescent="0.25">
      <c r="A640" s="148"/>
      <c r="C640" s="153" t="s">
        <v>623</v>
      </c>
      <c r="D640" s="152"/>
      <c r="E640" s="151"/>
      <c r="F640" s="150">
        <f>SUM(F614:F638)</f>
        <v>0</v>
      </c>
      <c r="G640" s="155">
        <f>SUM(G614:G638)</f>
        <v>0</v>
      </c>
    </row>
    <row r="641" spans="1:7" x14ac:dyDescent="0.25">
      <c r="A641" s="148"/>
      <c r="C641" s="145" t="s">
        <v>622</v>
      </c>
      <c r="D641" s="154"/>
      <c r="E641" s="145"/>
      <c r="F641" s="144"/>
      <c r="G641" s="144"/>
    </row>
    <row r="642" spans="1:7" x14ac:dyDescent="0.25">
      <c r="A642" s="148"/>
      <c r="C642" s="153" t="s">
        <v>621</v>
      </c>
      <c r="D642" s="152"/>
      <c r="E642" s="151"/>
      <c r="F642" s="150">
        <f>F609</f>
        <v>0</v>
      </c>
      <c r="G642" s="150">
        <f>G609</f>
        <v>0</v>
      </c>
    </row>
    <row r="643" spans="1:7" x14ac:dyDescent="0.25">
      <c r="A643" s="148"/>
      <c r="C643" s="153" t="s">
        <v>582</v>
      </c>
      <c r="D643" s="152"/>
      <c r="E643" s="151"/>
      <c r="F643" s="150">
        <f>F642+F640</f>
        <v>0</v>
      </c>
      <c r="G643" s="150">
        <f>G642+G640</f>
        <v>0</v>
      </c>
    </row>
    <row r="644" spans="1:7" ht="15.75" thickBot="1" x14ac:dyDescent="0.3">
      <c r="A644" s="148"/>
      <c r="C644" s="145"/>
      <c r="D644" s="149"/>
      <c r="E644" s="145"/>
      <c r="F644" s="144"/>
      <c r="G644" s="144"/>
    </row>
    <row r="645" spans="1:7" ht="15.75" thickBot="1" x14ac:dyDescent="0.3">
      <c r="A645" s="148"/>
      <c r="C645" s="147" t="s">
        <v>620</v>
      </c>
      <c r="D645" s="146">
        <f>F643-G643</f>
        <v>0</v>
      </c>
      <c r="E645" s="145"/>
      <c r="F645" s="144"/>
      <c r="G645" s="144"/>
    </row>
    <row r="646" spans="1:7" ht="15.75" thickBot="1" x14ac:dyDescent="0.3"/>
    <row r="647" spans="1:7" ht="30.75" thickBot="1" x14ac:dyDescent="0.3">
      <c r="A647" s="272" t="s">
        <v>626</v>
      </c>
      <c r="B647" s="271" t="s">
        <v>606</v>
      </c>
      <c r="C647" s="270" t="s">
        <v>636</v>
      </c>
      <c r="D647" s="269" t="s">
        <v>601</v>
      </c>
      <c r="E647" s="268" t="s">
        <v>287</v>
      </c>
      <c r="F647" s="267" t="s">
        <v>624</v>
      </c>
      <c r="G647" s="267" t="s">
        <v>596</v>
      </c>
    </row>
    <row r="648" spans="1:7" x14ac:dyDescent="0.25">
      <c r="A648" s="169" t="str">
        <f>E648&amp;COUNTIFS($E$2:E648,E648)</f>
        <v>0</v>
      </c>
      <c r="B648" s="172"/>
      <c r="C648" s="174"/>
      <c r="D648" s="173"/>
      <c r="E648" s="172"/>
      <c r="F648" s="171"/>
      <c r="G648" s="170"/>
    </row>
    <row r="649" spans="1:7" x14ac:dyDescent="0.25">
      <c r="A649" s="169" t="str">
        <f>E649&amp;COUNTIFS($E$2:E649,E649)</f>
        <v>0</v>
      </c>
      <c r="B649" s="166"/>
      <c r="C649" s="168"/>
      <c r="D649" s="167"/>
      <c r="E649" s="166"/>
      <c r="F649" s="165"/>
      <c r="G649" s="164"/>
    </row>
    <row r="650" spans="1:7" x14ac:dyDescent="0.25">
      <c r="A650" s="169" t="str">
        <f>E650&amp;COUNTIFS($E$2:E650,E650)</f>
        <v>0</v>
      </c>
      <c r="B650" s="166"/>
      <c r="C650" s="168"/>
      <c r="D650" s="167"/>
      <c r="E650" s="166"/>
      <c r="F650" s="165"/>
      <c r="G650" s="164"/>
    </row>
    <row r="651" spans="1:7" x14ac:dyDescent="0.25">
      <c r="A651" s="169" t="str">
        <f>E651&amp;COUNTIFS($E$2:E651,E651)</f>
        <v>0</v>
      </c>
      <c r="B651" s="166"/>
      <c r="C651" s="168"/>
      <c r="D651" s="167"/>
      <c r="E651" s="166"/>
      <c r="F651" s="165"/>
      <c r="G651" s="164"/>
    </row>
    <row r="652" spans="1:7" x14ac:dyDescent="0.25">
      <c r="A652" s="169" t="str">
        <f>E652&amp;COUNTIFS($E$2:E652,E652)</f>
        <v>0</v>
      </c>
      <c r="B652" s="166"/>
      <c r="C652" s="168"/>
      <c r="D652" s="167"/>
      <c r="E652" s="166"/>
      <c r="F652" s="165"/>
      <c r="G652" s="164"/>
    </row>
    <row r="653" spans="1:7" x14ac:dyDescent="0.25">
      <c r="A653" s="169" t="str">
        <f>E653&amp;COUNTIFS($E$2:E653,E653)</f>
        <v>0</v>
      </c>
      <c r="B653" s="166"/>
      <c r="C653" s="168"/>
      <c r="D653" s="167"/>
      <c r="E653" s="166"/>
      <c r="F653" s="165"/>
      <c r="G653" s="164"/>
    </row>
    <row r="654" spans="1:7" x14ac:dyDescent="0.25">
      <c r="A654" s="169" t="str">
        <f>E654&amp;COUNTIFS($E$2:E654,E654)</f>
        <v>0</v>
      </c>
      <c r="B654" s="166"/>
      <c r="C654" s="168"/>
      <c r="D654" s="167"/>
      <c r="E654" s="166"/>
      <c r="F654" s="165"/>
      <c r="G654" s="164"/>
    </row>
    <row r="655" spans="1:7" x14ac:dyDescent="0.25">
      <c r="A655" s="169" t="str">
        <f>E655&amp;COUNTIFS($E$2:E655,E655)</f>
        <v>0</v>
      </c>
      <c r="B655" s="166"/>
      <c r="C655" s="281"/>
      <c r="D655" s="167"/>
      <c r="E655" s="166"/>
      <c r="F655" s="165"/>
      <c r="G655" s="164"/>
    </row>
    <row r="656" spans="1:7" x14ac:dyDescent="0.25">
      <c r="A656" s="169" t="str">
        <f>E656&amp;COUNTIFS($E$2:E656,E656)</f>
        <v>0</v>
      </c>
      <c r="B656" s="166"/>
      <c r="C656" s="281"/>
      <c r="D656" s="167"/>
      <c r="E656" s="166"/>
      <c r="F656" s="165"/>
      <c r="G656" s="164"/>
    </row>
    <row r="657" spans="1:7" x14ac:dyDescent="0.25">
      <c r="A657" s="169" t="str">
        <f>E657&amp;COUNTIFS($E$2:E657,E657)</f>
        <v>0</v>
      </c>
      <c r="B657" s="166"/>
      <c r="C657" s="281"/>
      <c r="D657" s="167"/>
      <c r="E657" s="166"/>
      <c r="F657" s="165"/>
      <c r="G657" s="164"/>
    </row>
    <row r="658" spans="1:7" x14ac:dyDescent="0.25">
      <c r="A658" s="169" t="str">
        <f>E658&amp;COUNTIFS($E$2:E658,E658)</f>
        <v>0</v>
      </c>
      <c r="B658" s="166"/>
      <c r="C658" s="168"/>
      <c r="D658" s="167"/>
      <c r="E658" s="166"/>
      <c r="F658" s="165"/>
      <c r="G658" s="164"/>
    </row>
    <row r="659" spans="1:7" x14ac:dyDescent="0.25">
      <c r="A659" s="169" t="str">
        <f>E659&amp;COUNTIFS($E$2:E659,E659)</f>
        <v>0</v>
      </c>
      <c r="B659" s="166"/>
      <c r="C659" s="168"/>
      <c r="D659" s="167"/>
      <c r="E659" s="166"/>
      <c r="F659" s="165"/>
      <c r="G659" s="164"/>
    </row>
    <row r="660" spans="1:7" x14ac:dyDescent="0.25">
      <c r="A660" s="169" t="str">
        <f>E660&amp;COUNTIFS($E$2:E660,E660)</f>
        <v>0</v>
      </c>
      <c r="B660" s="166"/>
      <c r="C660" s="168"/>
      <c r="D660" s="167"/>
      <c r="E660" s="166"/>
      <c r="F660" s="165"/>
      <c r="G660" s="164"/>
    </row>
    <row r="661" spans="1:7" x14ac:dyDescent="0.25">
      <c r="A661" s="169" t="str">
        <f>E661&amp;COUNTIFS($E$2:E661,E661)</f>
        <v>0</v>
      </c>
      <c r="B661" s="166"/>
      <c r="C661" s="168"/>
      <c r="D661" s="167"/>
      <c r="E661" s="166"/>
      <c r="F661" s="165"/>
      <c r="G661" s="164"/>
    </row>
    <row r="662" spans="1:7" x14ac:dyDescent="0.25">
      <c r="A662" s="169" t="str">
        <f>E662&amp;COUNTIFS($E$2:E662,E662)</f>
        <v>0</v>
      </c>
      <c r="B662" s="166"/>
      <c r="C662" s="168"/>
      <c r="D662" s="167"/>
      <c r="E662" s="166"/>
      <c r="F662" s="165"/>
      <c r="G662" s="164"/>
    </row>
    <row r="663" spans="1:7" x14ac:dyDescent="0.25">
      <c r="A663" s="169" t="str">
        <f>E663&amp;COUNTIFS($E$2:E663,E663)</f>
        <v>0</v>
      </c>
      <c r="B663" s="166"/>
      <c r="C663" s="168"/>
      <c r="D663" s="167"/>
      <c r="E663" s="166"/>
      <c r="F663" s="165"/>
      <c r="G663" s="164"/>
    </row>
    <row r="664" spans="1:7" x14ac:dyDescent="0.25">
      <c r="A664" s="169" t="str">
        <f>E664&amp;COUNTIFS($E$2:E664,E664)</f>
        <v>0</v>
      </c>
      <c r="B664" s="166"/>
      <c r="C664" s="168"/>
      <c r="D664" s="167"/>
      <c r="E664" s="166"/>
      <c r="F664" s="165"/>
      <c r="G664" s="164"/>
    </row>
    <row r="665" spans="1:7" x14ac:dyDescent="0.25">
      <c r="A665" s="169" t="str">
        <f>E665&amp;COUNTIFS($E$2:E665,E665)</f>
        <v>0</v>
      </c>
      <c r="B665" s="166"/>
      <c r="C665" s="168"/>
      <c r="D665" s="167"/>
      <c r="E665" s="166"/>
      <c r="F665" s="165"/>
      <c r="G665" s="164"/>
    </row>
    <row r="666" spans="1:7" x14ac:dyDescent="0.25">
      <c r="A666" s="169" t="str">
        <f>E666&amp;COUNTIFS($E$2:E666,E666)</f>
        <v>0</v>
      </c>
      <c r="B666" s="166"/>
      <c r="C666" s="168"/>
      <c r="D666" s="167"/>
      <c r="E666" s="166"/>
      <c r="F666" s="165"/>
      <c r="G666" s="164"/>
    </row>
    <row r="667" spans="1:7" x14ac:dyDescent="0.25">
      <c r="A667" s="169" t="str">
        <f>E667&amp;COUNTIFS($E$2:E667,E667)</f>
        <v>0</v>
      </c>
      <c r="B667" s="166"/>
      <c r="C667" s="168"/>
      <c r="D667" s="167"/>
      <c r="E667" s="166"/>
      <c r="F667" s="165"/>
      <c r="G667" s="164"/>
    </row>
    <row r="668" spans="1:7" x14ac:dyDescent="0.25">
      <c r="A668" s="169" t="str">
        <f>E668&amp;COUNTIFS($E$2:E668,E668)</f>
        <v>0</v>
      </c>
      <c r="B668" s="166"/>
      <c r="C668" s="168"/>
      <c r="D668" s="167"/>
      <c r="E668" s="166"/>
      <c r="F668" s="165"/>
      <c r="G668" s="164"/>
    </row>
    <row r="669" spans="1:7" x14ac:dyDescent="0.25">
      <c r="A669" s="169" t="str">
        <f>E669&amp;COUNTIFS($E$2:E669,E669)</f>
        <v>0</v>
      </c>
      <c r="B669" s="166"/>
      <c r="C669" s="168"/>
      <c r="D669" s="167"/>
      <c r="E669" s="166"/>
      <c r="F669" s="165"/>
      <c r="G669" s="164"/>
    </row>
    <row r="670" spans="1:7" x14ac:dyDescent="0.25">
      <c r="A670" s="169" t="str">
        <f>E670&amp;COUNTIFS($E$2:E670,E670)</f>
        <v>0</v>
      </c>
      <c r="B670" s="166"/>
      <c r="C670" s="168"/>
      <c r="D670" s="167"/>
      <c r="E670" s="166"/>
      <c r="F670" s="165"/>
      <c r="G670" s="164"/>
    </row>
    <row r="671" spans="1:7" x14ac:dyDescent="0.25">
      <c r="A671" s="169" t="str">
        <f>E671&amp;COUNTIFS($E$2:E671,E671)</f>
        <v>0</v>
      </c>
      <c r="B671" s="166"/>
      <c r="C671" s="168"/>
      <c r="D671" s="167"/>
      <c r="E671" s="166"/>
      <c r="F671" s="165"/>
      <c r="G671" s="164"/>
    </row>
    <row r="672" spans="1:7" ht="15.75" thickBot="1" x14ac:dyDescent="0.3">
      <c r="A672" s="163" t="str">
        <f>E672&amp;COUNTIFS($E$2:E672,E672)</f>
        <v>0</v>
      </c>
      <c r="B672" s="166"/>
      <c r="C672" s="162"/>
      <c r="D672" s="161"/>
      <c r="E672" s="160"/>
      <c r="F672" s="159"/>
      <c r="G672" s="158"/>
    </row>
    <row r="673" spans="1:7" x14ac:dyDescent="0.25">
      <c r="A673" s="148"/>
      <c r="C673" s="143"/>
      <c r="D673" s="157"/>
      <c r="E673" s="143"/>
      <c r="F673" s="156"/>
      <c r="G673" s="156"/>
    </row>
    <row r="674" spans="1:7" x14ac:dyDescent="0.25">
      <c r="A674" s="148"/>
      <c r="C674" s="153" t="s">
        <v>623</v>
      </c>
      <c r="D674" s="152"/>
      <c r="E674" s="151"/>
      <c r="F674" s="150">
        <f>SUM(F648:F672)</f>
        <v>0</v>
      </c>
      <c r="G674" s="155">
        <f>SUM(G648:G672)</f>
        <v>0</v>
      </c>
    </row>
    <row r="675" spans="1:7" x14ac:dyDescent="0.25">
      <c r="A675" s="148"/>
      <c r="C675" s="145" t="s">
        <v>622</v>
      </c>
      <c r="D675" s="154"/>
      <c r="E675" s="145"/>
      <c r="F675" s="144"/>
      <c r="G675" s="144"/>
    </row>
    <row r="676" spans="1:7" x14ac:dyDescent="0.25">
      <c r="A676" s="148"/>
      <c r="C676" s="153" t="s">
        <v>621</v>
      </c>
      <c r="D676" s="152"/>
      <c r="E676" s="151"/>
      <c r="F676" s="150">
        <f>F643</f>
        <v>0</v>
      </c>
      <c r="G676" s="150">
        <f>G643</f>
        <v>0</v>
      </c>
    </row>
    <row r="677" spans="1:7" x14ac:dyDescent="0.25">
      <c r="A677" s="148"/>
      <c r="C677" s="153" t="s">
        <v>582</v>
      </c>
      <c r="D677" s="152"/>
      <c r="E677" s="151"/>
      <c r="F677" s="150">
        <f>F676+F674</f>
        <v>0</v>
      </c>
      <c r="G677" s="150">
        <f>G676+G674</f>
        <v>0</v>
      </c>
    </row>
    <row r="678" spans="1:7" ht="15.75" thickBot="1" x14ac:dyDescent="0.3">
      <c r="A678" s="148"/>
      <c r="C678" s="145"/>
      <c r="D678" s="149"/>
      <c r="E678" s="145"/>
      <c r="F678" s="144"/>
      <c r="G678" s="144"/>
    </row>
    <row r="679" spans="1:7" ht="15.75" thickBot="1" x14ac:dyDescent="0.3">
      <c r="A679" s="148"/>
      <c r="C679" s="147" t="s">
        <v>620</v>
      </c>
      <c r="D679" s="146">
        <f>F677-G677</f>
        <v>0</v>
      </c>
      <c r="E679" s="145"/>
      <c r="F679" s="144"/>
      <c r="G679" s="144"/>
    </row>
    <row r="680" spans="1:7" ht="15.75" thickBot="1" x14ac:dyDescent="0.3"/>
    <row r="681" spans="1:7" ht="30.75" thickBot="1" x14ac:dyDescent="0.3">
      <c r="A681" s="272" t="s">
        <v>626</v>
      </c>
      <c r="B681" s="280" t="s">
        <v>606</v>
      </c>
      <c r="C681" s="279" t="s">
        <v>636</v>
      </c>
      <c r="D681" s="278" t="s">
        <v>601</v>
      </c>
      <c r="E681" s="277" t="s">
        <v>287</v>
      </c>
      <c r="F681" s="276" t="s">
        <v>624</v>
      </c>
      <c r="G681" s="276" t="s">
        <v>596</v>
      </c>
    </row>
    <row r="682" spans="1:7" x14ac:dyDescent="0.25">
      <c r="A682" s="169" t="str">
        <f>E682&amp;COUNTIFS($E$2:E682,E682)</f>
        <v>0</v>
      </c>
      <c r="B682" s="275"/>
      <c r="C682" s="203"/>
      <c r="D682" s="197"/>
      <c r="E682" s="275"/>
      <c r="F682" s="274"/>
      <c r="G682" s="273"/>
    </row>
    <row r="683" spans="1:7" x14ac:dyDescent="0.25">
      <c r="A683" s="169" t="str">
        <f>E683&amp;COUNTIFS($E$2:E683,E683)</f>
        <v>0</v>
      </c>
      <c r="B683" s="166"/>
      <c r="C683" s="168"/>
      <c r="D683" s="167"/>
      <c r="E683" s="166"/>
      <c r="F683" s="165"/>
      <c r="G683" s="164"/>
    </row>
    <row r="684" spans="1:7" x14ac:dyDescent="0.25">
      <c r="A684" s="169" t="str">
        <f>E684&amp;COUNTIFS($E$2:E684,E684)</f>
        <v>0</v>
      </c>
      <c r="B684" s="166"/>
      <c r="C684" s="168"/>
      <c r="D684" s="167"/>
      <c r="E684" s="166"/>
      <c r="F684" s="165"/>
      <c r="G684" s="164"/>
    </row>
    <row r="685" spans="1:7" x14ac:dyDescent="0.25">
      <c r="A685" s="169" t="str">
        <f>E685&amp;COUNTIFS($E$2:E685,E685)</f>
        <v>0</v>
      </c>
      <c r="B685" s="166"/>
      <c r="C685" s="168"/>
      <c r="D685" s="167"/>
      <c r="E685" s="166"/>
      <c r="F685" s="165"/>
      <c r="G685" s="164"/>
    </row>
    <row r="686" spans="1:7" x14ac:dyDescent="0.25">
      <c r="A686" s="169" t="str">
        <f>E686&amp;COUNTIFS($E$2:E686,E686)</f>
        <v>0</v>
      </c>
      <c r="B686" s="166"/>
      <c r="C686" s="168"/>
      <c r="D686" s="167"/>
      <c r="E686" s="166"/>
      <c r="F686" s="165"/>
      <c r="G686" s="164"/>
    </row>
    <row r="687" spans="1:7" x14ac:dyDescent="0.25">
      <c r="A687" s="169" t="str">
        <f>E687&amp;COUNTIFS($E$2:E687,E687)</f>
        <v>0</v>
      </c>
      <c r="B687" s="166"/>
      <c r="C687" s="168"/>
      <c r="D687" s="167"/>
      <c r="E687" s="166"/>
      <c r="F687" s="165"/>
      <c r="G687" s="164"/>
    </row>
    <row r="688" spans="1:7" x14ac:dyDescent="0.25">
      <c r="A688" s="169" t="str">
        <f>E688&amp;COUNTIFS($E$2:E688,E688)</f>
        <v>0</v>
      </c>
      <c r="B688" s="166"/>
      <c r="C688" s="168"/>
      <c r="D688" s="167"/>
      <c r="E688" s="166"/>
      <c r="F688" s="165"/>
      <c r="G688" s="164"/>
    </row>
    <row r="689" spans="1:7" x14ac:dyDescent="0.25">
      <c r="A689" s="169" t="str">
        <f>E689&amp;COUNTIFS($E$2:E689,E689)</f>
        <v>0</v>
      </c>
      <c r="B689" s="166"/>
      <c r="C689" s="168"/>
      <c r="D689" s="167"/>
      <c r="E689" s="166"/>
      <c r="F689" s="165"/>
      <c r="G689" s="164"/>
    </row>
    <row r="690" spans="1:7" x14ac:dyDescent="0.25">
      <c r="A690" s="169" t="str">
        <f>E690&amp;COUNTIFS($E$2:E690,E690)</f>
        <v>0</v>
      </c>
      <c r="B690" s="166"/>
      <c r="C690" s="168"/>
      <c r="D690" s="167"/>
      <c r="E690" s="166"/>
      <c r="F690" s="165"/>
      <c r="G690" s="164"/>
    </row>
    <row r="691" spans="1:7" x14ac:dyDescent="0.25">
      <c r="A691" s="169" t="str">
        <f>E691&amp;COUNTIFS($E$2:E691,E691)</f>
        <v>0</v>
      </c>
      <c r="B691" s="166"/>
      <c r="C691" s="168"/>
      <c r="D691" s="167"/>
      <c r="E691" s="166"/>
      <c r="F691" s="165"/>
      <c r="G691" s="164"/>
    </row>
    <row r="692" spans="1:7" x14ac:dyDescent="0.25">
      <c r="A692" s="169" t="str">
        <f>E692&amp;COUNTIFS($E$2:E692,E692)</f>
        <v>0</v>
      </c>
      <c r="B692" s="166"/>
      <c r="C692" s="168"/>
      <c r="D692" s="167"/>
      <c r="E692" s="166"/>
      <c r="F692" s="165"/>
      <c r="G692" s="164"/>
    </row>
    <row r="693" spans="1:7" x14ac:dyDescent="0.25">
      <c r="A693" s="169" t="str">
        <f>E693&amp;COUNTIFS($E$2:E693,E693)</f>
        <v>0</v>
      </c>
      <c r="B693" s="166"/>
      <c r="C693" s="168"/>
      <c r="D693" s="167"/>
      <c r="E693" s="166"/>
      <c r="F693" s="165"/>
      <c r="G693" s="164"/>
    </row>
    <row r="694" spans="1:7" x14ac:dyDescent="0.25">
      <c r="A694" s="169" t="str">
        <f>E694&amp;COUNTIFS($E$2:E694,E694)</f>
        <v>0</v>
      </c>
      <c r="B694" s="166"/>
      <c r="C694" s="168"/>
      <c r="D694" s="167"/>
      <c r="E694" s="166"/>
      <c r="F694" s="165"/>
      <c r="G694" s="164"/>
    </row>
    <row r="695" spans="1:7" x14ac:dyDescent="0.25">
      <c r="A695" s="169" t="str">
        <f>E695&amp;COUNTIFS($E$2:E695,E695)</f>
        <v>0</v>
      </c>
      <c r="B695" s="166"/>
      <c r="C695" s="168"/>
      <c r="D695" s="167"/>
      <c r="E695" s="166"/>
      <c r="F695" s="165"/>
      <c r="G695" s="164"/>
    </row>
    <row r="696" spans="1:7" x14ac:dyDescent="0.25">
      <c r="A696" s="169" t="str">
        <f>E696&amp;COUNTIFS($E$2:E696,E696)</f>
        <v>0</v>
      </c>
      <c r="B696" s="166"/>
      <c r="C696" s="168"/>
      <c r="D696" s="167"/>
      <c r="E696" s="166"/>
      <c r="F696" s="165"/>
      <c r="G696" s="164"/>
    </row>
    <row r="697" spans="1:7" x14ac:dyDescent="0.25">
      <c r="A697" s="169" t="str">
        <f>E697&amp;COUNTIFS($E$2:E697,E697)</f>
        <v>0</v>
      </c>
      <c r="B697" s="166"/>
      <c r="C697" s="168"/>
      <c r="D697" s="167"/>
      <c r="E697" s="166"/>
      <c r="F697" s="165"/>
      <c r="G697" s="164"/>
    </row>
    <row r="698" spans="1:7" x14ac:dyDescent="0.25">
      <c r="A698" s="169" t="str">
        <f>E698&amp;COUNTIFS($E$2:E698,E698)</f>
        <v>0</v>
      </c>
      <c r="B698" s="166"/>
      <c r="C698" s="168"/>
      <c r="D698" s="167"/>
      <c r="E698" s="166"/>
      <c r="F698" s="165"/>
      <c r="G698" s="164"/>
    </row>
    <row r="699" spans="1:7" x14ac:dyDescent="0.25">
      <c r="A699" s="169" t="str">
        <f>E699&amp;COUNTIFS($E$2:E699,E699)</f>
        <v>0</v>
      </c>
      <c r="B699" s="166"/>
      <c r="C699" s="168"/>
      <c r="D699" s="167"/>
      <c r="E699" s="166"/>
      <c r="F699" s="165"/>
      <c r="G699" s="164"/>
    </row>
    <row r="700" spans="1:7" x14ac:dyDescent="0.25">
      <c r="A700" s="169" t="str">
        <f>E700&amp;COUNTIFS($E$2:E700,E700)</f>
        <v>0</v>
      </c>
      <c r="B700" s="166"/>
      <c r="C700" s="168"/>
      <c r="D700" s="167"/>
      <c r="E700" s="166"/>
      <c r="F700" s="165"/>
      <c r="G700" s="164"/>
    </row>
    <row r="701" spans="1:7" x14ac:dyDescent="0.25">
      <c r="A701" s="169" t="str">
        <f>E701&amp;COUNTIFS($E$2:E701,E701)</f>
        <v>0</v>
      </c>
      <c r="B701" s="166"/>
      <c r="C701" s="168"/>
      <c r="D701" s="167"/>
      <c r="E701" s="166"/>
      <c r="F701" s="165"/>
      <c r="G701" s="164"/>
    </row>
    <row r="702" spans="1:7" x14ac:dyDescent="0.25">
      <c r="A702" s="169" t="str">
        <f>E702&amp;COUNTIFS($E$2:E702,E702)</f>
        <v>0</v>
      </c>
      <c r="B702" s="166"/>
      <c r="C702" s="168"/>
      <c r="D702" s="167"/>
      <c r="E702" s="166"/>
      <c r="F702" s="165"/>
      <c r="G702" s="164"/>
    </row>
    <row r="703" spans="1:7" x14ac:dyDescent="0.25">
      <c r="A703" s="169" t="str">
        <f>E703&amp;COUNTIFS($E$2:E703,E703)</f>
        <v>0</v>
      </c>
      <c r="B703" s="166"/>
      <c r="C703" s="168"/>
      <c r="D703" s="167"/>
      <c r="E703" s="166"/>
      <c r="F703" s="165"/>
      <c r="G703" s="164"/>
    </row>
    <row r="704" spans="1:7" x14ac:dyDescent="0.25">
      <c r="A704" s="169" t="str">
        <f>E704&amp;COUNTIFS($E$2:E704,E704)</f>
        <v>0</v>
      </c>
      <c r="B704" s="166"/>
      <c r="C704" s="168"/>
      <c r="D704" s="167"/>
      <c r="E704" s="166"/>
      <c r="F704" s="165"/>
      <c r="G704" s="164"/>
    </row>
    <row r="705" spans="1:7" x14ac:dyDescent="0.25">
      <c r="A705" s="169" t="str">
        <f>E705&amp;COUNTIFS($E$2:E705,E705)</f>
        <v>0</v>
      </c>
      <c r="B705" s="166"/>
      <c r="C705" s="168"/>
      <c r="D705" s="167"/>
      <c r="E705" s="166"/>
      <c r="F705" s="165"/>
      <c r="G705" s="164"/>
    </row>
    <row r="706" spans="1:7" ht="15.75" thickBot="1" x14ac:dyDescent="0.3">
      <c r="A706" s="163" t="str">
        <f>E706&amp;COUNTIFS($E$2:E706,E706)</f>
        <v>0</v>
      </c>
      <c r="B706" s="166"/>
      <c r="C706" s="162"/>
      <c r="D706" s="161"/>
      <c r="E706" s="160"/>
      <c r="F706" s="159"/>
      <c r="G706" s="158"/>
    </row>
    <row r="707" spans="1:7" x14ac:dyDescent="0.25">
      <c r="A707" s="148"/>
      <c r="C707" s="143"/>
      <c r="D707" s="157"/>
      <c r="E707" s="143"/>
      <c r="F707" s="156"/>
      <c r="G707" s="156"/>
    </row>
    <row r="708" spans="1:7" x14ac:dyDescent="0.25">
      <c r="A708" s="148"/>
      <c r="C708" s="153" t="s">
        <v>623</v>
      </c>
      <c r="D708" s="152"/>
      <c r="E708" s="151"/>
      <c r="F708" s="150">
        <f>SUM(F682:F706)</f>
        <v>0</v>
      </c>
      <c r="G708" s="155">
        <f>SUM(G682:G706)</f>
        <v>0</v>
      </c>
    </row>
    <row r="709" spans="1:7" x14ac:dyDescent="0.25">
      <c r="A709" s="148"/>
      <c r="C709" s="145" t="s">
        <v>622</v>
      </c>
      <c r="D709" s="154"/>
      <c r="E709" s="145"/>
      <c r="F709" s="144"/>
      <c r="G709" s="144"/>
    </row>
    <row r="710" spans="1:7" x14ac:dyDescent="0.25">
      <c r="A710" s="148"/>
      <c r="C710" s="153" t="s">
        <v>621</v>
      </c>
      <c r="D710" s="152"/>
      <c r="E710" s="151"/>
      <c r="F710" s="150">
        <f>F677</f>
        <v>0</v>
      </c>
      <c r="G710" s="150">
        <f>G677</f>
        <v>0</v>
      </c>
    </row>
    <row r="711" spans="1:7" x14ac:dyDescent="0.25">
      <c r="A711" s="148"/>
      <c r="C711" s="153" t="s">
        <v>582</v>
      </c>
      <c r="D711" s="152"/>
      <c r="E711" s="151"/>
      <c r="F711" s="150">
        <f>F710+F708</f>
        <v>0</v>
      </c>
      <c r="G711" s="150">
        <f>G710+G708</f>
        <v>0</v>
      </c>
    </row>
    <row r="712" spans="1:7" ht="15.75" thickBot="1" x14ac:dyDescent="0.3">
      <c r="A712" s="148"/>
      <c r="C712" s="145"/>
      <c r="D712" s="149"/>
      <c r="E712" s="145"/>
      <c r="F712" s="144"/>
      <c r="G712" s="144"/>
    </row>
    <row r="713" spans="1:7" ht="15.75" thickBot="1" x14ac:dyDescent="0.3">
      <c r="A713" s="148"/>
      <c r="C713" s="147" t="s">
        <v>620</v>
      </c>
      <c r="D713" s="146">
        <f>F711-G711</f>
        <v>0</v>
      </c>
      <c r="E713" s="145"/>
      <c r="F713" s="144"/>
      <c r="G713" s="144"/>
    </row>
    <row r="714" spans="1:7" ht="15.75" thickBot="1" x14ac:dyDescent="0.3"/>
    <row r="715" spans="1:7" ht="30.75" thickBot="1" x14ac:dyDescent="0.3">
      <c r="A715" s="272" t="s">
        <v>626</v>
      </c>
      <c r="B715" s="271" t="s">
        <v>606</v>
      </c>
      <c r="C715" s="270" t="s">
        <v>636</v>
      </c>
      <c r="D715" s="269" t="s">
        <v>601</v>
      </c>
      <c r="E715" s="268" t="s">
        <v>287</v>
      </c>
      <c r="F715" s="267" t="s">
        <v>624</v>
      </c>
      <c r="G715" s="267" t="s">
        <v>596</v>
      </c>
    </row>
    <row r="716" spans="1:7" x14ac:dyDescent="0.25">
      <c r="A716" s="169" t="str">
        <f>E716&amp;COUNTIFS($E$2:E716,E716)</f>
        <v>0</v>
      </c>
      <c r="B716" s="172"/>
      <c r="C716" s="174"/>
      <c r="D716" s="173"/>
      <c r="E716" s="172"/>
      <c r="F716" s="171"/>
      <c r="G716" s="170"/>
    </row>
    <row r="717" spans="1:7" x14ac:dyDescent="0.25">
      <c r="A717" s="169" t="str">
        <f>E717&amp;COUNTIFS($E$2:E717,E717)</f>
        <v>0</v>
      </c>
      <c r="B717" s="166"/>
      <c r="C717" s="168"/>
      <c r="D717" s="167"/>
      <c r="E717" s="166"/>
      <c r="F717" s="165"/>
      <c r="G717" s="164"/>
    </row>
    <row r="718" spans="1:7" x14ac:dyDescent="0.25">
      <c r="A718" s="169" t="str">
        <f>E718&amp;COUNTIFS($E$2:E718,E718)</f>
        <v>0</v>
      </c>
      <c r="B718" s="166"/>
      <c r="C718" s="168"/>
      <c r="D718" s="167"/>
      <c r="E718" s="166"/>
      <c r="F718" s="165"/>
      <c r="G718" s="164"/>
    </row>
    <row r="719" spans="1:7" x14ac:dyDescent="0.25">
      <c r="A719" s="169" t="str">
        <f>E719&amp;COUNTIFS($E$2:E719,E719)</f>
        <v>0</v>
      </c>
      <c r="B719" s="166"/>
      <c r="C719" s="168"/>
      <c r="D719" s="167"/>
      <c r="E719" s="166"/>
      <c r="F719" s="165"/>
      <c r="G719" s="164"/>
    </row>
    <row r="720" spans="1:7" x14ac:dyDescent="0.25">
      <c r="A720" s="169" t="str">
        <f>E720&amp;COUNTIFS($E$2:E720,E720)</f>
        <v>0</v>
      </c>
      <c r="B720" s="166"/>
      <c r="C720" s="168"/>
      <c r="D720" s="167"/>
      <c r="E720" s="166"/>
      <c r="F720" s="165"/>
      <c r="G720" s="164"/>
    </row>
    <row r="721" spans="1:16" x14ac:dyDescent="0.25">
      <c r="A721" s="169" t="str">
        <f>E721&amp;COUNTIFS($E$2:E721,E721)</f>
        <v>0</v>
      </c>
      <c r="B721" s="166"/>
      <c r="C721" s="168"/>
      <c r="D721" s="167"/>
      <c r="E721" s="166"/>
      <c r="F721" s="165"/>
      <c r="G721" s="164"/>
    </row>
    <row r="722" spans="1:16" x14ac:dyDescent="0.25">
      <c r="A722" s="169" t="str">
        <f>E722&amp;COUNTIFS($E$2:E722,E722)</f>
        <v>0</v>
      </c>
      <c r="B722" s="166"/>
      <c r="C722" s="168"/>
      <c r="D722" s="167"/>
      <c r="E722" s="166"/>
      <c r="F722" s="165"/>
      <c r="G722" s="164"/>
    </row>
    <row r="723" spans="1:16" x14ac:dyDescent="0.25">
      <c r="A723" s="169" t="str">
        <f>E723&amp;COUNTIFS($E$2:E723,E723)</f>
        <v>0</v>
      </c>
      <c r="B723" s="166"/>
      <c r="C723" s="168"/>
      <c r="D723" s="167"/>
      <c r="E723" s="166"/>
      <c r="F723" s="165"/>
      <c r="G723" s="164"/>
    </row>
    <row r="724" spans="1:16" x14ac:dyDescent="0.25">
      <c r="A724" s="169" t="str">
        <f>E724&amp;COUNTIFS($E$2:E724,E724)</f>
        <v>0</v>
      </c>
      <c r="B724" s="166"/>
      <c r="C724" s="168"/>
      <c r="D724" s="167"/>
      <c r="E724" s="166"/>
      <c r="F724" s="165"/>
      <c r="G724" s="164"/>
    </row>
    <row r="725" spans="1:16" x14ac:dyDescent="0.25">
      <c r="A725" s="169" t="str">
        <f>E725&amp;COUNTIFS($E$2:E725,E725)</f>
        <v>0</v>
      </c>
      <c r="B725" s="166"/>
      <c r="C725" s="168"/>
      <c r="D725" s="167"/>
      <c r="E725" s="166"/>
      <c r="F725" s="165"/>
      <c r="G725" s="164"/>
      <c r="P725" s="164"/>
    </row>
    <row r="726" spans="1:16" x14ac:dyDescent="0.25">
      <c r="A726" s="169" t="str">
        <f>E726&amp;COUNTIFS($E$2:E726,E726)</f>
        <v>0</v>
      </c>
      <c r="B726" s="166"/>
      <c r="C726" s="168"/>
      <c r="D726" s="167"/>
      <c r="E726" s="166"/>
      <c r="F726" s="165"/>
      <c r="G726" s="164"/>
    </row>
    <row r="727" spans="1:16" x14ac:dyDescent="0.25">
      <c r="A727" s="169" t="str">
        <f>E727&amp;COUNTIFS($E$2:E727,E727)</f>
        <v>0</v>
      </c>
      <c r="B727" s="166"/>
      <c r="C727" s="168"/>
      <c r="D727" s="167"/>
      <c r="E727" s="166"/>
      <c r="F727" s="165"/>
      <c r="G727" s="164"/>
    </row>
    <row r="728" spans="1:16" x14ac:dyDescent="0.25">
      <c r="A728" s="169" t="str">
        <f>E728&amp;COUNTIFS($E$2:E728,E728)</f>
        <v>0</v>
      </c>
      <c r="B728" s="166"/>
      <c r="C728" s="168"/>
      <c r="D728" s="167"/>
      <c r="E728" s="166"/>
      <c r="F728" s="165"/>
      <c r="G728" s="164"/>
    </row>
    <row r="729" spans="1:16" x14ac:dyDescent="0.25">
      <c r="A729" s="169" t="str">
        <f>E729&amp;COUNTIFS($E$2:E729,E729)</f>
        <v>0</v>
      </c>
      <c r="B729" s="166"/>
      <c r="C729" s="168"/>
      <c r="D729" s="167"/>
      <c r="E729" s="166"/>
      <c r="F729" s="165"/>
      <c r="G729" s="164"/>
    </row>
    <row r="730" spans="1:16" x14ac:dyDescent="0.25">
      <c r="A730" s="169" t="str">
        <f>E730&amp;COUNTIFS($E$2:E730,E730)</f>
        <v>0</v>
      </c>
      <c r="B730" s="166"/>
      <c r="C730" s="168"/>
      <c r="D730" s="167"/>
      <c r="E730" s="166"/>
      <c r="F730" s="165"/>
      <c r="G730" s="164"/>
    </row>
    <row r="731" spans="1:16" x14ac:dyDescent="0.25">
      <c r="A731" s="169" t="str">
        <f>E731&amp;COUNTIFS($E$2:E731,E731)</f>
        <v>0</v>
      </c>
      <c r="B731" s="166"/>
      <c r="C731" s="168"/>
      <c r="D731" s="167"/>
      <c r="E731" s="166"/>
      <c r="F731" s="165"/>
      <c r="G731" s="164"/>
    </row>
    <row r="732" spans="1:16" x14ac:dyDescent="0.25">
      <c r="A732" s="169" t="str">
        <f>E732&amp;COUNTIFS($E$2:E732,E732)</f>
        <v>0</v>
      </c>
      <c r="B732" s="166"/>
      <c r="C732" s="168"/>
      <c r="D732" s="167"/>
      <c r="E732" s="166"/>
      <c r="F732" s="165"/>
      <c r="G732" s="164"/>
    </row>
    <row r="733" spans="1:16" x14ac:dyDescent="0.25">
      <c r="A733" s="169" t="str">
        <f>E733&amp;COUNTIFS($E$2:E733,E733)</f>
        <v>0</v>
      </c>
      <c r="B733" s="166"/>
      <c r="C733" s="168"/>
      <c r="D733" s="167"/>
      <c r="E733" s="166"/>
      <c r="F733" s="165"/>
      <c r="G733" s="164"/>
    </row>
    <row r="734" spans="1:16" x14ac:dyDescent="0.25">
      <c r="A734" s="169" t="str">
        <f>E734&amp;COUNTIFS($E$2:E734,E734)</f>
        <v>0</v>
      </c>
      <c r="B734" s="166"/>
      <c r="C734" s="168"/>
      <c r="D734" s="167"/>
      <c r="E734" s="166"/>
      <c r="F734" s="165"/>
      <c r="G734" s="164"/>
    </row>
    <row r="735" spans="1:16" x14ac:dyDescent="0.25">
      <c r="A735" s="169" t="str">
        <f>E735&amp;COUNTIFS($E$2:E735,E735)</f>
        <v>0</v>
      </c>
      <c r="B735" s="166"/>
      <c r="C735" s="168"/>
      <c r="D735" s="167"/>
      <c r="E735" s="166"/>
      <c r="F735" s="165"/>
      <c r="G735" s="164"/>
    </row>
    <row r="736" spans="1:16" x14ac:dyDescent="0.25">
      <c r="A736" s="169" t="str">
        <f>E736&amp;COUNTIFS($E$2:E736,E736)</f>
        <v>0</v>
      </c>
      <c r="B736" s="166"/>
      <c r="C736" s="168"/>
      <c r="D736" s="167"/>
      <c r="E736" s="166"/>
      <c r="F736" s="165"/>
      <c r="G736" s="164"/>
    </row>
    <row r="737" spans="1:7" x14ac:dyDescent="0.25">
      <c r="A737" s="169" t="str">
        <f>E737&amp;COUNTIFS($E$2:E737,E737)</f>
        <v>0</v>
      </c>
      <c r="B737" s="166"/>
      <c r="C737" s="168"/>
      <c r="D737" s="167"/>
      <c r="E737" s="166"/>
      <c r="F737" s="165"/>
      <c r="G737" s="164"/>
    </row>
    <row r="738" spans="1:7" x14ac:dyDescent="0.25">
      <c r="A738" s="169" t="str">
        <f>E738&amp;COUNTIFS($E$2:E738,E738)</f>
        <v>0</v>
      </c>
      <c r="B738" s="166"/>
      <c r="C738" s="168"/>
      <c r="D738" s="167"/>
      <c r="E738" s="166"/>
      <c r="F738" s="165"/>
      <c r="G738" s="164"/>
    </row>
    <row r="739" spans="1:7" x14ac:dyDescent="0.25">
      <c r="A739" s="169" t="str">
        <f>E739&amp;COUNTIFS($E$2:E739,E739)</f>
        <v>0</v>
      </c>
      <c r="B739" s="166"/>
      <c r="C739" s="168"/>
      <c r="D739" s="167"/>
      <c r="E739" s="166"/>
      <c r="F739" s="165"/>
      <c r="G739" s="164"/>
    </row>
    <row r="740" spans="1:7" ht="15.75" thickBot="1" x14ac:dyDescent="0.3">
      <c r="A740" s="163" t="str">
        <f>E740&amp;COUNTIFS($E$2:E740,E740)</f>
        <v>0</v>
      </c>
      <c r="B740" s="166"/>
      <c r="C740" s="162"/>
      <c r="D740" s="161"/>
      <c r="E740" s="160"/>
      <c r="F740" s="159"/>
      <c r="G740" s="158"/>
    </row>
    <row r="741" spans="1:7" x14ac:dyDescent="0.25">
      <c r="A741" s="148"/>
      <c r="C741" s="143"/>
      <c r="D741" s="157"/>
      <c r="E741" s="143"/>
      <c r="F741" s="156"/>
      <c r="G741" s="156"/>
    </row>
    <row r="742" spans="1:7" x14ac:dyDescent="0.25">
      <c r="A742" s="148"/>
      <c r="C742" s="153" t="s">
        <v>623</v>
      </c>
      <c r="D742" s="152"/>
      <c r="E742" s="151"/>
      <c r="F742" s="150">
        <f>SUM(F716:F740)</f>
        <v>0</v>
      </c>
      <c r="G742" s="155">
        <f>SUM(G716:G740)</f>
        <v>0</v>
      </c>
    </row>
    <row r="743" spans="1:7" x14ac:dyDescent="0.25">
      <c r="A743" s="148"/>
      <c r="C743" s="145" t="s">
        <v>622</v>
      </c>
      <c r="D743" s="154"/>
      <c r="E743" s="145"/>
      <c r="F743" s="144"/>
      <c r="G743" s="144"/>
    </row>
    <row r="744" spans="1:7" x14ac:dyDescent="0.25">
      <c r="A744" s="148"/>
      <c r="C744" s="153" t="s">
        <v>621</v>
      </c>
      <c r="D744" s="152"/>
      <c r="E744" s="151"/>
      <c r="F744" s="150">
        <f>F711</f>
        <v>0</v>
      </c>
      <c r="G744" s="150">
        <f>G711</f>
        <v>0</v>
      </c>
    </row>
    <row r="745" spans="1:7" x14ac:dyDescent="0.25">
      <c r="A745" s="148"/>
      <c r="C745" s="153" t="s">
        <v>582</v>
      </c>
      <c r="D745" s="152"/>
      <c r="E745" s="151"/>
      <c r="F745" s="150">
        <f>F744+F742</f>
        <v>0</v>
      </c>
      <c r="G745" s="150">
        <f>G744+G742</f>
        <v>0</v>
      </c>
    </row>
    <row r="746" spans="1:7" ht="15.75" thickBot="1" x14ac:dyDescent="0.3">
      <c r="A746" s="148"/>
      <c r="C746" s="145"/>
      <c r="D746" s="149"/>
      <c r="E746" s="145"/>
      <c r="F746" s="144"/>
      <c r="G746" s="144"/>
    </row>
    <row r="747" spans="1:7" ht="15.75" thickBot="1" x14ac:dyDescent="0.3">
      <c r="A747" s="148"/>
      <c r="C747" s="147" t="s">
        <v>620</v>
      </c>
      <c r="D747" s="146">
        <f>F745-G745</f>
        <v>0</v>
      </c>
      <c r="E747" s="145"/>
      <c r="F747" s="144"/>
      <c r="G747" s="144"/>
    </row>
    <row r="748" spans="1:7" ht="15.75" thickBot="1" x14ac:dyDescent="0.3"/>
    <row r="749" spans="1:7" ht="30.75" thickBot="1" x14ac:dyDescent="0.3">
      <c r="A749" s="272" t="s">
        <v>626</v>
      </c>
      <c r="B749" s="271" t="s">
        <v>606</v>
      </c>
      <c r="C749" s="270" t="s">
        <v>636</v>
      </c>
      <c r="D749" s="269" t="s">
        <v>601</v>
      </c>
      <c r="E749" s="268" t="s">
        <v>287</v>
      </c>
      <c r="F749" s="267" t="s">
        <v>624</v>
      </c>
      <c r="G749" s="267" t="s">
        <v>596</v>
      </c>
    </row>
    <row r="750" spans="1:7" x14ac:dyDescent="0.25">
      <c r="A750" s="169" t="str">
        <f>E750&amp;COUNTIFS($E$2:E750,E750)</f>
        <v>0</v>
      </c>
      <c r="B750" s="172"/>
      <c r="C750" s="174"/>
      <c r="D750" s="173"/>
      <c r="E750" s="172"/>
      <c r="F750" s="171"/>
      <c r="G750" s="170"/>
    </row>
    <row r="751" spans="1:7" x14ac:dyDescent="0.25">
      <c r="A751" s="169" t="str">
        <f>E751&amp;COUNTIFS($E$2:E751,E751)</f>
        <v>0</v>
      </c>
      <c r="B751" s="166"/>
      <c r="C751" s="168"/>
      <c r="D751" s="167"/>
      <c r="E751" s="166"/>
      <c r="F751" s="165"/>
      <c r="G751" s="164"/>
    </row>
    <row r="752" spans="1:7" x14ac:dyDescent="0.25">
      <c r="A752" s="169" t="str">
        <f>E752&amp;COUNTIFS($E$2:E752,E752)</f>
        <v>0</v>
      </c>
      <c r="B752" s="166"/>
      <c r="C752" s="168"/>
      <c r="D752" s="167"/>
      <c r="E752" s="166"/>
      <c r="F752" s="165"/>
      <c r="G752" s="164"/>
    </row>
    <row r="753" spans="1:7" x14ac:dyDescent="0.25">
      <c r="A753" s="169" t="str">
        <f>E753&amp;COUNTIFS($E$2:E753,E753)</f>
        <v>0</v>
      </c>
      <c r="B753" s="166"/>
      <c r="C753" s="168"/>
      <c r="D753" s="167"/>
      <c r="E753" s="166"/>
      <c r="F753" s="165"/>
      <c r="G753" s="164"/>
    </row>
    <row r="754" spans="1:7" x14ac:dyDescent="0.25">
      <c r="A754" s="169" t="str">
        <f>E754&amp;COUNTIFS($E$2:E754,E754)</f>
        <v>0</v>
      </c>
      <c r="B754" s="166"/>
      <c r="C754" s="168"/>
      <c r="D754" s="167"/>
      <c r="E754" s="166"/>
      <c r="F754" s="165"/>
      <c r="G754" s="164"/>
    </row>
    <row r="755" spans="1:7" x14ac:dyDescent="0.25">
      <c r="A755" s="169" t="str">
        <f>E755&amp;COUNTIFS($E$2:E755,E755)</f>
        <v>0</v>
      </c>
      <c r="B755" s="166"/>
      <c r="C755" s="168"/>
      <c r="D755" s="167"/>
      <c r="E755" s="166"/>
      <c r="F755" s="165"/>
      <c r="G755" s="164"/>
    </row>
    <row r="756" spans="1:7" x14ac:dyDescent="0.25">
      <c r="A756" s="169" t="str">
        <f>E756&amp;COUNTIFS($E$2:E756,E756)</f>
        <v>0</v>
      </c>
      <c r="B756" s="166"/>
      <c r="C756" s="168"/>
      <c r="D756" s="167"/>
      <c r="E756" s="166"/>
      <c r="F756" s="165"/>
      <c r="G756" s="164"/>
    </row>
    <row r="757" spans="1:7" x14ac:dyDescent="0.25">
      <c r="A757" s="169" t="str">
        <f>E757&amp;COUNTIFS($E$2:E757,E757)</f>
        <v>0</v>
      </c>
      <c r="B757" s="166"/>
      <c r="C757" s="168"/>
      <c r="D757" s="167"/>
      <c r="E757" s="166"/>
      <c r="F757" s="165"/>
      <c r="G757" s="164"/>
    </row>
    <row r="758" spans="1:7" x14ac:dyDescent="0.25">
      <c r="A758" s="169" t="str">
        <f>E758&amp;COUNTIFS($E$2:E758,E758)</f>
        <v>0</v>
      </c>
      <c r="B758" s="166"/>
      <c r="C758" s="168"/>
      <c r="D758" s="167"/>
      <c r="E758" s="166"/>
      <c r="F758" s="165"/>
      <c r="G758" s="164"/>
    </row>
    <row r="759" spans="1:7" x14ac:dyDescent="0.25">
      <c r="A759" s="169" t="str">
        <f>E759&amp;COUNTIFS($E$2:E759,E759)</f>
        <v>0</v>
      </c>
      <c r="B759" s="166"/>
      <c r="C759" s="168"/>
      <c r="D759" s="167"/>
      <c r="E759" s="166"/>
      <c r="F759" s="165"/>
      <c r="G759" s="164"/>
    </row>
    <row r="760" spans="1:7" x14ac:dyDescent="0.25">
      <c r="A760" s="169" t="str">
        <f>E760&amp;COUNTIFS($E$2:E760,E760)</f>
        <v>0</v>
      </c>
      <c r="B760" s="166"/>
      <c r="C760" s="168"/>
      <c r="D760" s="167"/>
      <c r="E760" s="166"/>
      <c r="F760" s="165"/>
      <c r="G760" s="164"/>
    </row>
    <row r="761" spans="1:7" x14ac:dyDescent="0.25">
      <c r="A761" s="169" t="str">
        <f>E761&amp;COUNTIFS($E$2:E761,E761)</f>
        <v>0</v>
      </c>
      <c r="B761" s="166"/>
      <c r="C761" s="168"/>
      <c r="D761" s="167"/>
      <c r="E761" s="166"/>
      <c r="F761" s="165"/>
      <c r="G761" s="164"/>
    </row>
    <row r="762" spans="1:7" x14ac:dyDescent="0.25">
      <c r="A762" s="169" t="str">
        <f>E762&amp;COUNTIFS($E$2:E762,E762)</f>
        <v>0</v>
      </c>
      <c r="B762" s="166"/>
      <c r="C762" s="168"/>
      <c r="D762" s="167"/>
      <c r="E762" s="166"/>
      <c r="F762" s="165"/>
      <c r="G762" s="164"/>
    </row>
    <row r="763" spans="1:7" x14ac:dyDescent="0.25">
      <c r="A763" s="169" t="str">
        <f>E763&amp;COUNTIFS($E$2:E763,E763)</f>
        <v>0</v>
      </c>
      <c r="B763" s="166"/>
      <c r="C763" s="168"/>
      <c r="D763" s="167"/>
      <c r="E763" s="166"/>
      <c r="F763" s="165"/>
      <c r="G763" s="164"/>
    </row>
    <row r="764" spans="1:7" x14ac:dyDescent="0.25">
      <c r="A764" s="169" t="str">
        <f>E764&amp;COUNTIFS($E$2:E764,E764)</f>
        <v>0</v>
      </c>
      <c r="B764" s="166"/>
      <c r="C764" s="168"/>
      <c r="D764" s="167"/>
      <c r="E764" s="166"/>
      <c r="F764" s="165"/>
      <c r="G764" s="164"/>
    </row>
    <row r="765" spans="1:7" x14ac:dyDescent="0.25">
      <c r="A765" s="169" t="str">
        <f>E765&amp;COUNTIFS($E$2:E765,E765)</f>
        <v>0</v>
      </c>
      <c r="B765" s="166"/>
      <c r="C765" s="168"/>
      <c r="D765" s="167"/>
      <c r="E765" s="166"/>
      <c r="F765" s="165"/>
      <c r="G765" s="164"/>
    </row>
    <row r="766" spans="1:7" x14ac:dyDescent="0.25">
      <c r="A766" s="169" t="str">
        <f>E766&amp;COUNTIFS($E$2:E766,E766)</f>
        <v>0</v>
      </c>
      <c r="B766" s="166"/>
      <c r="C766" s="168"/>
      <c r="D766" s="167"/>
      <c r="E766" s="166"/>
      <c r="F766" s="165"/>
      <c r="G766" s="164"/>
    </row>
    <row r="767" spans="1:7" x14ac:dyDescent="0.25">
      <c r="A767" s="169" t="str">
        <f>E767&amp;COUNTIFS($E$2:E767,E767)</f>
        <v>0</v>
      </c>
      <c r="B767" s="166"/>
      <c r="C767" s="168"/>
      <c r="D767" s="167"/>
      <c r="E767" s="166"/>
      <c r="F767" s="165"/>
      <c r="G767" s="164"/>
    </row>
    <row r="768" spans="1:7" x14ac:dyDescent="0.25">
      <c r="A768" s="169" t="str">
        <f>E768&amp;COUNTIFS($E$2:E768,E768)</f>
        <v>0</v>
      </c>
      <c r="B768" s="166"/>
      <c r="C768" s="168"/>
      <c r="D768" s="167"/>
      <c r="E768" s="166"/>
      <c r="F768" s="165"/>
      <c r="G768" s="164"/>
    </row>
    <row r="769" spans="1:7" x14ac:dyDescent="0.25">
      <c r="A769" s="169" t="str">
        <f>E769&amp;COUNTIFS($E$2:E769,E769)</f>
        <v>0</v>
      </c>
      <c r="B769" s="166"/>
      <c r="C769" s="168"/>
      <c r="D769" s="167"/>
      <c r="E769" s="166"/>
      <c r="F769" s="165"/>
      <c r="G769" s="164"/>
    </row>
    <row r="770" spans="1:7" x14ac:dyDescent="0.25">
      <c r="A770" s="169" t="str">
        <f>E770&amp;COUNTIFS($E$2:E770,E770)</f>
        <v>0</v>
      </c>
      <c r="B770" s="166"/>
      <c r="C770" s="168"/>
      <c r="D770" s="167"/>
      <c r="E770" s="166"/>
      <c r="F770" s="165"/>
      <c r="G770" s="164"/>
    </row>
    <row r="771" spans="1:7" x14ac:dyDescent="0.25">
      <c r="A771" s="169" t="str">
        <f>E771&amp;COUNTIFS($E$2:E771,E771)</f>
        <v>0</v>
      </c>
      <c r="B771" s="166"/>
      <c r="C771" s="168"/>
      <c r="D771" s="167"/>
      <c r="E771" s="166"/>
      <c r="F771" s="165"/>
      <c r="G771" s="164"/>
    </row>
    <row r="772" spans="1:7" x14ac:dyDescent="0.25">
      <c r="A772" s="169" t="str">
        <f>E772&amp;COUNTIFS($E$2:E772,E772)</f>
        <v>0</v>
      </c>
      <c r="B772" s="166"/>
      <c r="C772" s="168"/>
      <c r="D772" s="167"/>
      <c r="E772" s="166"/>
      <c r="F772" s="165"/>
      <c r="G772" s="164"/>
    </row>
    <row r="773" spans="1:7" x14ac:dyDescent="0.25">
      <c r="A773" s="169" t="str">
        <f>E773&amp;COUNTIFS($E$2:E773,E773)</f>
        <v>0</v>
      </c>
      <c r="B773" s="166"/>
      <c r="C773" s="168"/>
      <c r="D773" s="167"/>
      <c r="E773" s="166"/>
      <c r="F773" s="165"/>
      <c r="G773" s="164"/>
    </row>
    <row r="774" spans="1:7" ht="15.75" thickBot="1" x14ac:dyDescent="0.3">
      <c r="A774" s="163" t="str">
        <f>E774&amp;COUNTIFS($E$2:E774,E774)</f>
        <v>0</v>
      </c>
      <c r="B774" s="166"/>
      <c r="C774" s="162"/>
      <c r="D774" s="161"/>
      <c r="E774" s="160"/>
      <c r="F774" s="159"/>
      <c r="G774" s="158"/>
    </row>
    <row r="775" spans="1:7" x14ac:dyDescent="0.25">
      <c r="A775" s="148"/>
      <c r="C775" s="143"/>
      <c r="D775" s="157"/>
      <c r="E775" s="143"/>
      <c r="F775" s="156"/>
      <c r="G775" s="156"/>
    </row>
    <row r="776" spans="1:7" x14ac:dyDescent="0.25">
      <c r="A776" s="148"/>
      <c r="C776" s="153" t="s">
        <v>623</v>
      </c>
      <c r="D776" s="152"/>
      <c r="E776" s="151"/>
      <c r="F776" s="150">
        <f>SUM(F750:F774)</f>
        <v>0</v>
      </c>
      <c r="G776" s="155">
        <f>SUM(G750:G774)</f>
        <v>0</v>
      </c>
    </row>
    <row r="777" spans="1:7" x14ac:dyDescent="0.25">
      <c r="A777" s="148"/>
      <c r="C777" s="145" t="s">
        <v>622</v>
      </c>
      <c r="D777" s="154"/>
      <c r="E777" s="145"/>
      <c r="F777" s="144"/>
      <c r="G777" s="144"/>
    </row>
    <row r="778" spans="1:7" x14ac:dyDescent="0.25">
      <c r="A778" s="148"/>
      <c r="C778" s="153" t="s">
        <v>621</v>
      </c>
      <c r="D778" s="152"/>
      <c r="E778" s="151"/>
      <c r="F778" s="150">
        <f>F745</f>
        <v>0</v>
      </c>
      <c r="G778" s="150">
        <f>G745</f>
        <v>0</v>
      </c>
    </row>
    <row r="779" spans="1:7" x14ac:dyDescent="0.25">
      <c r="A779" s="148"/>
      <c r="C779" s="153" t="s">
        <v>582</v>
      </c>
      <c r="D779" s="152"/>
      <c r="E779" s="151"/>
      <c r="F779" s="150">
        <f>F778+F776</f>
        <v>0</v>
      </c>
      <c r="G779" s="150">
        <f>G778+G776</f>
        <v>0</v>
      </c>
    </row>
    <row r="780" spans="1:7" ht="15.75" thickBot="1" x14ac:dyDescent="0.3">
      <c r="A780" s="148"/>
      <c r="C780" s="145"/>
      <c r="D780" s="149"/>
      <c r="E780" s="145"/>
      <c r="F780" s="144"/>
      <c r="G780" s="144"/>
    </row>
    <row r="781" spans="1:7" ht="15.75" thickBot="1" x14ac:dyDescent="0.3">
      <c r="A781" s="148"/>
      <c r="C781" s="147" t="s">
        <v>620</v>
      </c>
      <c r="D781" s="146">
        <f>F779-G779</f>
        <v>0</v>
      </c>
      <c r="E781" s="145"/>
      <c r="F781" s="144"/>
      <c r="G781" s="144"/>
    </row>
    <row r="782" spans="1:7" ht="15.75" thickBot="1" x14ac:dyDescent="0.3"/>
    <row r="783" spans="1:7" ht="30.75" thickBot="1" x14ac:dyDescent="0.3">
      <c r="A783" s="272" t="s">
        <v>626</v>
      </c>
      <c r="B783" s="271" t="s">
        <v>606</v>
      </c>
      <c r="C783" s="270" t="s">
        <v>636</v>
      </c>
      <c r="D783" s="269" t="s">
        <v>601</v>
      </c>
      <c r="E783" s="268" t="s">
        <v>287</v>
      </c>
      <c r="F783" s="267" t="s">
        <v>624</v>
      </c>
      <c r="G783" s="267" t="s">
        <v>596</v>
      </c>
    </row>
    <row r="784" spans="1:7" x14ac:dyDescent="0.25">
      <c r="A784" s="169" t="str">
        <f>E784&amp;COUNTIFS($E$2:E784,E784)</f>
        <v>0</v>
      </c>
      <c r="B784" s="172"/>
      <c r="C784" s="174"/>
      <c r="D784" s="173"/>
      <c r="E784" s="172"/>
      <c r="F784" s="171"/>
      <c r="G784" s="170"/>
    </row>
    <row r="785" spans="1:7" x14ac:dyDescent="0.25">
      <c r="A785" s="169" t="str">
        <f>E785&amp;COUNTIFS($E$2:E785,E785)</f>
        <v>0</v>
      </c>
      <c r="B785" s="166"/>
      <c r="C785" s="168"/>
      <c r="D785" s="167"/>
      <c r="E785" s="166"/>
      <c r="F785" s="165"/>
      <c r="G785" s="164"/>
    </row>
    <row r="786" spans="1:7" x14ac:dyDescent="0.25">
      <c r="A786" s="169" t="str">
        <f>E786&amp;COUNTIFS($E$2:E786,E786)</f>
        <v>0</v>
      </c>
      <c r="B786" s="166"/>
      <c r="C786" s="168"/>
      <c r="D786" s="167"/>
      <c r="E786" s="166"/>
      <c r="F786" s="165"/>
      <c r="G786" s="164"/>
    </row>
    <row r="787" spans="1:7" x14ac:dyDescent="0.25">
      <c r="A787" s="169" t="str">
        <f>E787&amp;COUNTIFS($E$2:E787,E787)</f>
        <v>0</v>
      </c>
      <c r="B787" s="166"/>
      <c r="C787" s="168"/>
      <c r="D787" s="167"/>
      <c r="E787" s="166"/>
      <c r="F787" s="165"/>
      <c r="G787" s="164"/>
    </row>
    <row r="788" spans="1:7" x14ac:dyDescent="0.25">
      <c r="A788" s="169" t="str">
        <f>E788&amp;COUNTIFS($E$2:E788,E788)</f>
        <v>0</v>
      </c>
      <c r="B788" s="166"/>
      <c r="C788" s="168"/>
      <c r="D788" s="167"/>
      <c r="E788" s="166"/>
      <c r="F788" s="165"/>
      <c r="G788" s="164"/>
    </row>
    <row r="789" spans="1:7" x14ac:dyDescent="0.25">
      <c r="A789" s="169" t="str">
        <f>E789&amp;COUNTIFS($E$2:E789,E789)</f>
        <v>0</v>
      </c>
      <c r="B789" s="166"/>
      <c r="C789" s="168"/>
      <c r="D789" s="167"/>
      <c r="E789" s="166"/>
      <c r="F789" s="165"/>
      <c r="G789" s="164"/>
    </row>
    <row r="790" spans="1:7" x14ac:dyDescent="0.25">
      <c r="A790" s="169" t="str">
        <f>E790&amp;COUNTIFS($E$2:E790,E790)</f>
        <v>0</v>
      </c>
      <c r="B790" s="166"/>
      <c r="C790" s="168"/>
      <c r="D790" s="167"/>
      <c r="E790" s="166"/>
      <c r="F790" s="165"/>
      <c r="G790" s="164"/>
    </row>
    <row r="791" spans="1:7" x14ac:dyDescent="0.25">
      <c r="A791" s="169" t="str">
        <f>E791&amp;COUNTIFS($E$2:E791,E791)</f>
        <v>0</v>
      </c>
      <c r="B791" s="166"/>
      <c r="C791" s="168"/>
      <c r="D791" s="167"/>
      <c r="E791" s="166"/>
      <c r="F791" s="165"/>
      <c r="G791" s="164"/>
    </row>
    <row r="792" spans="1:7" x14ac:dyDescent="0.25">
      <c r="A792" s="169" t="str">
        <f>E792&amp;COUNTIFS($E$2:E792,E792)</f>
        <v>0</v>
      </c>
      <c r="B792" s="166"/>
      <c r="C792" s="168"/>
      <c r="D792" s="167"/>
      <c r="E792" s="166"/>
      <c r="F792" s="165"/>
      <c r="G792" s="164"/>
    </row>
    <row r="793" spans="1:7" x14ac:dyDescent="0.25">
      <c r="A793" s="169" t="str">
        <f>E793&amp;COUNTIFS($E$2:E793,E793)</f>
        <v>0</v>
      </c>
      <c r="B793" s="166"/>
      <c r="C793" s="168"/>
      <c r="D793" s="167"/>
      <c r="E793" s="166"/>
      <c r="F793" s="165"/>
      <c r="G793" s="164"/>
    </row>
    <row r="794" spans="1:7" x14ac:dyDescent="0.25">
      <c r="A794" s="169" t="str">
        <f>E794&amp;COUNTIFS($E$2:E794,E794)</f>
        <v>0</v>
      </c>
      <c r="B794" s="166"/>
      <c r="C794" s="168"/>
      <c r="D794" s="167"/>
      <c r="E794" s="166"/>
      <c r="F794" s="165"/>
      <c r="G794" s="164"/>
    </row>
    <row r="795" spans="1:7" x14ac:dyDescent="0.25">
      <c r="A795" s="169" t="str">
        <f>E795&amp;COUNTIFS($E$2:E795,E795)</f>
        <v>0</v>
      </c>
      <c r="B795" s="166"/>
      <c r="C795" s="168"/>
      <c r="D795" s="167"/>
      <c r="E795" s="166"/>
      <c r="F795" s="165"/>
      <c r="G795" s="164"/>
    </row>
    <row r="796" spans="1:7" x14ac:dyDescent="0.25">
      <c r="A796" s="169" t="str">
        <f>E796&amp;COUNTIFS($E$2:E796,E796)</f>
        <v>0</v>
      </c>
      <c r="B796" s="166"/>
      <c r="C796" s="168"/>
      <c r="D796" s="167"/>
      <c r="E796" s="166"/>
      <c r="F796" s="165"/>
      <c r="G796" s="164"/>
    </row>
    <row r="797" spans="1:7" x14ac:dyDescent="0.25">
      <c r="A797" s="169" t="str">
        <f>E797&amp;COUNTIFS($E$2:E797,E797)</f>
        <v>0</v>
      </c>
      <c r="B797" s="166"/>
      <c r="C797" s="168"/>
      <c r="D797" s="167"/>
      <c r="E797" s="166"/>
      <c r="F797" s="165"/>
      <c r="G797" s="164"/>
    </row>
    <row r="798" spans="1:7" x14ac:dyDescent="0.25">
      <c r="A798" s="169" t="str">
        <f>E798&amp;COUNTIFS($E$2:E798,E798)</f>
        <v>0</v>
      </c>
      <c r="B798" s="166"/>
      <c r="C798" s="168"/>
      <c r="D798" s="167"/>
      <c r="E798" s="166"/>
      <c r="F798" s="165"/>
      <c r="G798" s="164"/>
    </row>
    <row r="799" spans="1:7" x14ac:dyDescent="0.25">
      <c r="A799" s="169" t="str">
        <f>E799&amp;COUNTIFS($E$2:E799,E799)</f>
        <v>0</v>
      </c>
      <c r="B799" s="166"/>
      <c r="C799" s="168"/>
      <c r="D799" s="167"/>
      <c r="E799" s="166"/>
      <c r="F799" s="165"/>
      <c r="G799" s="164"/>
    </row>
    <row r="800" spans="1:7" x14ac:dyDescent="0.25">
      <c r="A800" s="169" t="str">
        <f>E800&amp;COUNTIFS($E$2:E800,E800)</f>
        <v>0</v>
      </c>
      <c r="B800" s="166"/>
      <c r="C800" s="168"/>
      <c r="D800" s="167"/>
      <c r="E800" s="166"/>
      <c r="F800" s="165"/>
      <c r="G800" s="164"/>
    </row>
    <row r="801" spans="1:7" x14ac:dyDescent="0.25">
      <c r="A801" s="169" t="str">
        <f>E801&amp;COUNTIFS($E$2:E801,E801)</f>
        <v>0</v>
      </c>
      <c r="B801" s="166"/>
      <c r="C801" s="168"/>
      <c r="D801" s="167"/>
      <c r="E801" s="166"/>
      <c r="F801" s="165"/>
      <c r="G801" s="164"/>
    </row>
    <row r="802" spans="1:7" x14ac:dyDescent="0.25">
      <c r="A802" s="169" t="str">
        <f>E802&amp;COUNTIFS($E$2:E802,E802)</f>
        <v>0</v>
      </c>
      <c r="B802" s="166"/>
      <c r="C802" s="168"/>
      <c r="D802" s="167"/>
      <c r="E802" s="166"/>
      <c r="F802" s="165"/>
      <c r="G802" s="164"/>
    </row>
    <row r="803" spans="1:7" x14ac:dyDescent="0.25">
      <c r="A803" s="169" t="str">
        <f>E803&amp;COUNTIFS($E$2:E803,E803)</f>
        <v>0</v>
      </c>
      <c r="B803" s="166"/>
      <c r="C803" s="168"/>
      <c r="D803" s="167"/>
      <c r="E803" s="166"/>
      <c r="F803" s="165"/>
      <c r="G803" s="164"/>
    </row>
    <row r="804" spans="1:7" x14ac:dyDescent="0.25">
      <c r="A804" s="169" t="str">
        <f>E804&amp;COUNTIFS($E$2:E804,E804)</f>
        <v>0</v>
      </c>
      <c r="B804" s="166"/>
      <c r="C804" s="168"/>
      <c r="D804" s="167"/>
      <c r="E804" s="166"/>
      <c r="F804" s="165"/>
      <c r="G804" s="164"/>
    </row>
    <row r="805" spans="1:7" x14ac:dyDescent="0.25">
      <c r="A805" s="169" t="str">
        <f>E805&amp;COUNTIFS($E$2:E805,E805)</f>
        <v>0</v>
      </c>
      <c r="B805" s="166"/>
      <c r="C805" s="168"/>
      <c r="D805" s="167"/>
      <c r="E805" s="166"/>
      <c r="F805" s="165"/>
      <c r="G805" s="164"/>
    </row>
    <row r="806" spans="1:7" x14ac:dyDescent="0.25">
      <c r="A806" s="169" t="str">
        <f>E806&amp;COUNTIFS($E$2:E806,E806)</f>
        <v>0</v>
      </c>
      <c r="B806" s="166"/>
      <c r="C806" s="168"/>
      <c r="D806" s="167"/>
      <c r="E806" s="166"/>
      <c r="F806" s="165"/>
      <c r="G806" s="164"/>
    </row>
    <row r="807" spans="1:7" x14ac:dyDescent="0.25">
      <c r="A807" s="169" t="str">
        <f>E807&amp;COUNTIFS($E$2:E807,E807)</f>
        <v>0</v>
      </c>
      <c r="B807" s="166"/>
      <c r="C807" s="168"/>
      <c r="D807" s="167"/>
      <c r="E807" s="166"/>
      <c r="F807" s="165"/>
      <c r="G807" s="164"/>
    </row>
    <row r="808" spans="1:7" ht="15.75" thickBot="1" x14ac:dyDescent="0.3">
      <c r="A808" s="163" t="str">
        <f>E808&amp;COUNTIFS($E$2:E808,E808)</f>
        <v>0</v>
      </c>
      <c r="B808" s="166"/>
      <c r="C808" s="162"/>
      <c r="D808" s="161"/>
      <c r="E808" s="160"/>
      <c r="F808" s="159"/>
      <c r="G808" s="158"/>
    </row>
    <row r="809" spans="1:7" x14ac:dyDescent="0.25">
      <c r="A809" s="148"/>
      <c r="C809" s="143"/>
      <c r="D809" s="157"/>
      <c r="E809" s="143"/>
      <c r="F809" s="156"/>
      <c r="G809" s="156"/>
    </row>
    <row r="810" spans="1:7" x14ac:dyDescent="0.25">
      <c r="A810" s="148"/>
      <c r="C810" s="153" t="s">
        <v>623</v>
      </c>
      <c r="D810" s="152"/>
      <c r="E810" s="151"/>
      <c r="F810" s="150">
        <f>SUM(F784:F808)</f>
        <v>0</v>
      </c>
      <c r="G810" s="155">
        <f>SUM(G784:G808)</f>
        <v>0</v>
      </c>
    </row>
    <row r="811" spans="1:7" x14ac:dyDescent="0.25">
      <c r="A811" s="148"/>
      <c r="C811" s="145" t="s">
        <v>622</v>
      </c>
      <c r="D811" s="154"/>
      <c r="E811" s="145"/>
      <c r="F811" s="144"/>
      <c r="G811" s="144"/>
    </row>
    <row r="812" spans="1:7" x14ac:dyDescent="0.25">
      <c r="A812" s="148"/>
      <c r="C812" s="153" t="s">
        <v>621</v>
      </c>
      <c r="D812" s="152"/>
      <c r="E812" s="151"/>
      <c r="F812" s="150">
        <f>F779</f>
        <v>0</v>
      </c>
      <c r="G812" s="150">
        <f>G779</f>
        <v>0</v>
      </c>
    </row>
    <row r="813" spans="1:7" x14ac:dyDescent="0.25">
      <c r="A813" s="148"/>
      <c r="C813" s="153" t="s">
        <v>582</v>
      </c>
      <c r="D813" s="152"/>
      <c r="E813" s="151"/>
      <c r="F813" s="150">
        <f>F812+F810</f>
        <v>0</v>
      </c>
      <c r="G813" s="150">
        <f>G812+G810</f>
        <v>0</v>
      </c>
    </row>
    <row r="814" spans="1:7" ht="15.75" thickBot="1" x14ac:dyDescent="0.3">
      <c r="A814" s="148"/>
      <c r="C814" s="145"/>
      <c r="D814" s="149"/>
      <c r="E814" s="145"/>
      <c r="F814" s="144"/>
      <c r="G814" s="144"/>
    </row>
    <row r="815" spans="1:7" ht="15.75" thickBot="1" x14ac:dyDescent="0.3">
      <c r="A815" s="148"/>
      <c r="C815" s="147" t="s">
        <v>620</v>
      </c>
      <c r="D815" s="146">
        <f>F813-G813</f>
        <v>0</v>
      </c>
      <c r="E815" s="145"/>
      <c r="F815" s="144"/>
      <c r="G815" s="144"/>
    </row>
    <row r="816" spans="1:7" ht="15.75" thickBot="1" x14ac:dyDescent="0.3"/>
    <row r="817" spans="1:7" ht="30.75" thickBot="1" x14ac:dyDescent="0.3">
      <c r="A817" s="272" t="s">
        <v>626</v>
      </c>
      <c r="B817" s="271" t="s">
        <v>606</v>
      </c>
      <c r="C817" s="270" t="s">
        <v>636</v>
      </c>
      <c r="D817" s="269" t="s">
        <v>601</v>
      </c>
      <c r="E817" s="268" t="s">
        <v>287</v>
      </c>
      <c r="F817" s="267" t="s">
        <v>624</v>
      </c>
      <c r="G817" s="267" t="s">
        <v>596</v>
      </c>
    </row>
    <row r="818" spans="1:7" x14ac:dyDescent="0.25">
      <c r="A818" s="169" t="str">
        <f>E818&amp;COUNTIFS($E$2:E818,E818)</f>
        <v>0</v>
      </c>
      <c r="B818" s="172"/>
      <c r="C818" s="174"/>
      <c r="D818" s="173"/>
      <c r="E818" s="172"/>
      <c r="F818" s="171"/>
      <c r="G818" s="170"/>
    </row>
    <row r="819" spans="1:7" x14ac:dyDescent="0.25">
      <c r="A819" s="169" t="str">
        <f>E819&amp;COUNTIFS($E$2:E819,E819)</f>
        <v>0</v>
      </c>
      <c r="B819" s="166"/>
      <c r="C819" s="168"/>
      <c r="D819" s="167"/>
      <c r="E819" s="166"/>
      <c r="F819" s="165"/>
      <c r="G819" s="164"/>
    </row>
    <row r="820" spans="1:7" x14ac:dyDescent="0.25">
      <c r="A820" s="169" t="str">
        <f>E820&amp;COUNTIFS($E$2:E820,E820)</f>
        <v>0</v>
      </c>
      <c r="B820" s="166"/>
      <c r="C820" s="168"/>
      <c r="D820" s="167"/>
      <c r="E820" s="166"/>
      <c r="F820" s="165"/>
      <c r="G820" s="164"/>
    </row>
    <row r="821" spans="1:7" x14ac:dyDescent="0.25">
      <c r="A821" s="169" t="str">
        <f>E821&amp;COUNTIFS($E$2:E821,E821)</f>
        <v>0</v>
      </c>
      <c r="B821" s="166"/>
      <c r="C821" s="168"/>
      <c r="D821" s="167"/>
      <c r="E821" s="166"/>
      <c r="F821" s="165"/>
      <c r="G821" s="164"/>
    </row>
    <row r="822" spans="1:7" x14ac:dyDescent="0.25">
      <c r="A822" s="169" t="str">
        <f>E822&amp;COUNTIFS($E$2:E822,E822)</f>
        <v>0</v>
      </c>
      <c r="B822" s="166"/>
      <c r="C822" s="168"/>
      <c r="D822" s="167"/>
      <c r="E822" s="166"/>
      <c r="F822" s="165"/>
      <c r="G822" s="164"/>
    </row>
    <row r="823" spans="1:7" x14ac:dyDescent="0.25">
      <c r="A823" s="169" t="str">
        <f>E823&amp;COUNTIFS($E$2:E823,E823)</f>
        <v>0</v>
      </c>
      <c r="B823" s="166"/>
      <c r="C823" s="168"/>
      <c r="D823" s="167"/>
      <c r="E823" s="166"/>
      <c r="F823" s="165"/>
      <c r="G823" s="164"/>
    </row>
    <row r="824" spans="1:7" x14ac:dyDescent="0.25">
      <c r="A824" s="169" t="str">
        <f>E824&amp;COUNTIFS($E$2:E824,E824)</f>
        <v>0</v>
      </c>
      <c r="B824" s="166"/>
      <c r="C824" s="168"/>
      <c r="D824" s="167"/>
      <c r="E824" s="166"/>
      <c r="F824" s="165"/>
      <c r="G824" s="164"/>
    </row>
    <row r="825" spans="1:7" x14ac:dyDescent="0.25">
      <c r="A825" s="169" t="str">
        <f>E825&amp;COUNTIFS($E$2:E825,E825)</f>
        <v>0</v>
      </c>
      <c r="B825" s="166"/>
      <c r="C825" s="168"/>
      <c r="D825" s="167"/>
      <c r="E825" s="166"/>
      <c r="F825" s="165"/>
      <c r="G825" s="164"/>
    </row>
    <row r="826" spans="1:7" x14ac:dyDescent="0.25">
      <c r="A826" s="169" t="str">
        <f>E826&amp;COUNTIFS($E$2:E826,E826)</f>
        <v>0</v>
      </c>
      <c r="B826" s="166"/>
      <c r="C826" s="168"/>
      <c r="D826" s="167"/>
      <c r="E826" s="166"/>
      <c r="F826" s="165"/>
      <c r="G826" s="164"/>
    </row>
    <row r="827" spans="1:7" x14ac:dyDescent="0.25">
      <c r="A827" s="169" t="str">
        <f>E827&amp;COUNTIFS($E$2:E827,E827)</f>
        <v>0</v>
      </c>
      <c r="B827" s="166"/>
      <c r="C827" s="168"/>
      <c r="D827" s="167"/>
      <c r="E827" s="166"/>
      <c r="F827" s="165"/>
      <c r="G827" s="164"/>
    </row>
    <row r="828" spans="1:7" x14ac:dyDescent="0.25">
      <c r="A828" s="169" t="str">
        <f>E828&amp;COUNTIFS($E$2:E828,E828)</f>
        <v>0</v>
      </c>
      <c r="B828" s="166"/>
      <c r="C828" s="168"/>
      <c r="D828" s="167"/>
      <c r="E828" s="166"/>
      <c r="F828" s="165"/>
      <c r="G828" s="164"/>
    </row>
    <row r="829" spans="1:7" x14ac:dyDescent="0.25">
      <c r="A829" s="169" t="str">
        <f>E829&amp;COUNTIFS($E$2:E829,E829)</f>
        <v>0</v>
      </c>
      <c r="B829" s="166"/>
      <c r="C829" s="168"/>
      <c r="D829" s="167"/>
      <c r="E829" s="166"/>
      <c r="F829" s="165"/>
      <c r="G829" s="164"/>
    </row>
    <row r="830" spans="1:7" x14ac:dyDescent="0.25">
      <c r="A830" s="169" t="str">
        <f>E830&amp;COUNTIFS($E$2:E830,E830)</f>
        <v>0</v>
      </c>
      <c r="B830" s="166"/>
      <c r="C830" s="168"/>
      <c r="D830" s="167"/>
      <c r="E830" s="166"/>
      <c r="F830" s="165"/>
      <c r="G830" s="164"/>
    </row>
    <row r="831" spans="1:7" x14ac:dyDescent="0.25">
      <c r="A831" s="169" t="str">
        <f>E831&amp;COUNTIFS($E$2:E831,E831)</f>
        <v>0</v>
      </c>
      <c r="B831" s="166"/>
      <c r="C831" s="168"/>
      <c r="D831" s="167"/>
      <c r="E831" s="166"/>
      <c r="F831" s="165"/>
      <c r="G831" s="164"/>
    </row>
    <row r="832" spans="1:7" x14ac:dyDescent="0.25">
      <c r="A832" s="169" t="str">
        <f>E832&amp;COUNTIFS($E$2:E832,E832)</f>
        <v>0</v>
      </c>
      <c r="B832" s="166"/>
      <c r="C832" s="168"/>
      <c r="D832" s="167"/>
      <c r="E832" s="166"/>
      <c r="F832" s="165"/>
      <c r="G832" s="164"/>
    </row>
    <row r="833" spans="1:7" x14ac:dyDescent="0.25">
      <c r="A833" s="169" t="str">
        <f>E833&amp;COUNTIFS($E$2:E833,E833)</f>
        <v>0</v>
      </c>
      <c r="B833" s="166"/>
      <c r="C833" s="168"/>
      <c r="D833" s="167"/>
      <c r="E833" s="166"/>
      <c r="F833" s="165"/>
      <c r="G833" s="164"/>
    </row>
    <row r="834" spans="1:7" x14ac:dyDescent="0.25">
      <c r="A834" s="169" t="str">
        <f>E834&amp;COUNTIFS($E$2:E834,E834)</f>
        <v>0</v>
      </c>
      <c r="B834" s="166"/>
      <c r="C834" s="168"/>
      <c r="D834" s="167"/>
      <c r="E834" s="166"/>
      <c r="F834" s="165"/>
      <c r="G834" s="164"/>
    </row>
    <row r="835" spans="1:7" x14ac:dyDescent="0.25">
      <c r="A835" s="169" t="str">
        <f>E835&amp;COUNTIFS($E$2:E835,E835)</f>
        <v>0</v>
      </c>
      <c r="B835" s="166"/>
      <c r="C835" s="168"/>
      <c r="D835" s="167"/>
      <c r="E835" s="166"/>
      <c r="F835" s="165"/>
      <c r="G835" s="164"/>
    </row>
    <row r="836" spans="1:7" x14ac:dyDescent="0.25">
      <c r="A836" s="169" t="str">
        <f>E836&amp;COUNTIFS($E$2:E836,E836)</f>
        <v>0</v>
      </c>
      <c r="B836" s="166"/>
      <c r="C836" s="168"/>
      <c r="D836" s="167"/>
      <c r="E836" s="166"/>
      <c r="F836" s="165"/>
      <c r="G836" s="164"/>
    </row>
    <row r="837" spans="1:7" x14ac:dyDescent="0.25">
      <c r="A837" s="169" t="str">
        <f>E837&amp;COUNTIFS($E$2:E837,E837)</f>
        <v>0</v>
      </c>
      <c r="B837" s="166"/>
      <c r="C837" s="168"/>
      <c r="D837" s="167"/>
      <c r="E837" s="166"/>
      <c r="F837" s="165"/>
      <c r="G837" s="164"/>
    </row>
    <row r="838" spans="1:7" x14ac:dyDescent="0.25">
      <c r="A838" s="169" t="str">
        <f>E838&amp;COUNTIFS($E$2:E838,E838)</f>
        <v>0</v>
      </c>
      <c r="B838" s="166"/>
      <c r="C838" s="168"/>
      <c r="D838" s="167"/>
      <c r="E838" s="166"/>
      <c r="F838" s="165"/>
      <c r="G838" s="164"/>
    </row>
    <row r="839" spans="1:7" x14ac:dyDescent="0.25">
      <c r="A839" s="169" t="str">
        <f>E839&amp;COUNTIFS($E$2:E839,E839)</f>
        <v>0</v>
      </c>
      <c r="B839" s="166"/>
      <c r="C839" s="168"/>
      <c r="D839" s="167"/>
      <c r="E839" s="166"/>
      <c r="F839" s="165"/>
      <c r="G839" s="164"/>
    </row>
    <row r="840" spans="1:7" x14ac:dyDescent="0.25">
      <c r="A840" s="169" t="str">
        <f>E840&amp;COUNTIFS($E$2:E840,E840)</f>
        <v>0</v>
      </c>
      <c r="B840" s="166"/>
      <c r="C840" s="168"/>
      <c r="D840" s="167"/>
      <c r="E840" s="166"/>
      <c r="F840" s="165"/>
      <c r="G840" s="164"/>
    </row>
    <row r="841" spans="1:7" x14ac:dyDescent="0.25">
      <c r="A841" s="169" t="str">
        <f>E841&amp;COUNTIFS($E$2:E841,E841)</f>
        <v>0</v>
      </c>
      <c r="B841" s="166"/>
      <c r="C841" s="168"/>
      <c r="D841" s="167"/>
      <c r="E841" s="166"/>
      <c r="F841" s="165"/>
      <c r="G841" s="164"/>
    </row>
    <row r="842" spans="1:7" ht="15.75" thickBot="1" x14ac:dyDescent="0.3">
      <c r="A842" s="163" t="str">
        <f>E842&amp;COUNTIFS($E$2:E842,E842)</f>
        <v>0</v>
      </c>
      <c r="B842" s="166"/>
      <c r="C842" s="162"/>
      <c r="D842" s="161"/>
      <c r="E842" s="160"/>
      <c r="F842" s="159"/>
      <c r="G842" s="158"/>
    </row>
    <row r="843" spans="1:7" x14ac:dyDescent="0.25">
      <c r="A843" s="148"/>
      <c r="C843" s="143"/>
      <c r="D843" s="157"/>
      <c r="E843" s="143"/>
      <c r="F843" s="156"/>
      <c r="G843" s="156"/>
    </row>
    <row r="844" spans="1:7" x14ac:dyDescent="0.25">
      <c r="A844" s="148"/>
      <c r="C844" s="153" t="s">
        <v>623</v>
      </c>
      <c r="D844" s="152"/>
      <c r="E844" s="151"/>
      <c r="F844" s="150">
        <f>SUM(F818:F842)</f>
        <v>0</v>
      </c>
      <c r="G844" s="155">
        <f>SUM(G818:G842)</f>
        <v>0</v>
      </c>
    </row>
    <row r="845" spans="1:7" x14ac:dyDescent="0.25">
      <c r="A845" s="148"/>
      <c r="C845" s="145" t="s">
        <v>622</v>
      </c>
      <c r="D845" s="154"/>
      <c r="E845" s="145"/>
      <c r="F845" s="144"/>
      <c r="G845" s="144"/>
    </row>
    <row r="846" spans="1:7" x14ac:dyDescent="0.25">
      <c r="A846" s="148"/>
      <c r="C846" s="153" t="s">
        <v>621</v>
      </c>
      <c r="D846" s="152"/>
      <c r="E846" s="151"/>
      <c r="F846" s="150">
        <f>F813</f>
        <v>0</v>
      </c>
      <c r="G846" s="150">
        <f>G813</f>
        <v>0</v>
      </c>
    </row>
    <row r="847" spans="1:7" x14ac:dyDescent="0.25">
      <c r="A847" s="148"/>
      <c r="C847" s="153" t="s">
        <v>582</v>
      </c>
      <c r="D847" s="152"/>
      <c r="E847" s="151"/>
      <c r="F847" s="150">
        <f>F846+F844</f>
        <v>0</v>
      </c>
      <c r="G847" s="150">
        <f>G846+G844</f>
        <v>0</v>
      </c>
    </row>
    <row r="848" spans="1:7" ht="15.75" thickBot="1" x14ac:dyDescent="0.3">
      <c r="A848" s="148"/>
      <c r="C848" s="145"/>
      <c r="D848" s="149"/>
      <c r="E848" s="145"/>
      <c r="F848" s="144"/>
      <c r="G848" s="144"/>
    </row>
    <row r="849" spans="1:7" ht="15.75" thickBot="1" x14ac:dyDescent="0.3">
      <c r="A849" s="148"/>
      <c r="C849" s="147" t="s">
        <v>620</v>
      </c>
      <c r="D849" s="146">
        <f>F847-G847</f>
        <v>0</v>
      </c>
      <c r="E849" s="145"/>
      <c r="F849" s="144"/>
      <c r="G849" s="144"/>
    </row>
    <row r="850" spans="1:7" ht="15.75" thickBot="1" x14ac:dyDescent="0.3"/>
    <row r="851" spans="1:7" ht="30.75" thickBot="1" x14ac:dyDescent="0.3">
      <c r="A851" s="272" t="s">
        <v>626</v>
      </c>
      <c r="B851" s="271" t="s">
        <v>606</v>
      </c>
      <c r="C851" s="270" t="s">
        <v>636</v>
      </c>
      <c r="D851" s="269" t="s">
        <v>601</v>
      </c>
      <c r="E851" s="268" t="s">
        <v>287</v>
      </c>
      <c r="F851" s="267" t="s">
        <v>624</v>
      </c>
      <c r="G851" s="267" t="s">
        <v>596</v>
      </c>
    </row>
    <row r="852" spans="1:7" x14ac:dyDescent="0.25">
      <c r="A852" s="169" t="str">
        <f>E852&amp;COUNTIFS($E$2:E852,E852)</f>
        <v>0</v>
      </c>
      <c r="B852" s="172"/>
      <c r="C852" s="174"/>
      <c r="D852" s="173"/>
      <c r="E852" s="172"/>
      <c r="F852" s="171"/>
      <c r="G852" s="170"/>
    </row>
    <row r="853" spans="1:7" x14ac:dyDescent="0.25">
      <c r="A853" s="169" t="str">
        <f>E853&amp;COUNTIFS($E$2:E853,E853)</f>
        <v>0</v>
      </c>
      <c r="B853" s="166"/>
      <c r="C853" s="168"/>
      <c r="D853" s="167"/>
      <c r="E853" s="166"/>
      <c r="F853" s="165"/>
      <c r="G853" s="164"/>
    </row>
    <row r="854" spans="1:7" x14ac:dyDescent="0.25">
      <c r="A854" s="169" t="str">
        <f>E854&amp;COUNTIFS($E$2:E854,E854)</f>
        <v>0</v>
      </c>
      <c r="B854" s="166"/>
      <c r="C854" s="168"/>
      <c r="D854" s="167"/>
      <c r="E854" s="166"/>
      <c r="F854" s="165"/>
      <c r="G854" s="164"/>
    </row>
    <row r="855" spans="1:7" x14ac:dyDescent="0.25">
      <c r="A855" s="169" t="str">
        <f>E855&amp;COUNTIFS($E$2:E855,E855)</f>
        <v>0</v>
      </c>
      <c r="B855" s="166"/>
      <c r="C855" s="168"/>
      <c r="D855" s="167"/>
      <c r="E855" s="166"/>
      <c r="F855" s="165"/>
      <c r="G855" s="164"/>
    </row>
    <row r="856" spans="1:7" x14ac:dyDescent="0.25">
      <c r="A856" s="169" t="str">
        <f>E856&amp;COUNTIFS($E$2:E856,E856)</f>
        <v>0</v>
      </c>
      <c r="B856" s="166"/>
      <c r="C856" s="168"/>
      <c r="D856" s="167"/>
      <c r="E856" s="166"/>
      <c r="F856" s="165"/>
      <c r="G856" s="164"/>
    </row>
    <row r="857" spans="1:7" x14ac:dyDescent="0.25">
      <c r="A857" s="169" t="str">
        <f>E857&amp;COUNTIFS($E$2:E857,E857)</f>
        <v>0</v>
      </c>
      <c r="B857" s="166"/>
      <c r="C857" s="168"/>
      <c r="D857" s="167"/>
      <c r="E857" s="166"/>
      <c r="F857" s="165"/>
      <c r="G857" s="164"/>
    </row>
    <row r="858" spans="1:7" x14ac:dyDescent="0.25">
      <c r="A858" s="169" t="str">
        <f>E858&amp;COUNTIFS($E$2:E858,E858)</f>
        <v>0</v>
      </c>
      <c r="B858" s="166"/>
      <c r="C858" s="168"/>
      <c r="D858" s="167"/>
      <c r="E858" s="166"/>
      <c r="F858" s="165"/>
      <c r="G858" s="164"/>
    </row>
    <row r="859" spans="1:7" x14ac:dyDescent="0.25">
      <c r="A859" s="169" t="str">
        <f>E859&amp;COUNTIFS($E$2:E859,E859)</f>
        <v>0</v>
      </c>
      <c r="B859" s="166"/>
      <c r="C859" s="168"/>
      <c r="D859" s="167"/>
      <c r="E859" s="166"/>
      <c r="F859" s="165"/>
      <c r="G859" s="164"/>
    </row>
    <row r="860" spans="1:7" x14ac:dyDescent="0.25">
      <c r="A860" s="169" t="str">
        <f>E860&amp;COUNTIFS($E$2:E860,E860)</f>
        <v>0</v>
      </c>
      <c r="B860" s="166"/>
      <c r="C860" s="168"/>
      <c r="D860" s="167"/>
      <c r="E860" s="166"/>
      <c r="F860" s="165"/>
      <c r="G860" s="164"/>
    </row>
    <row r="861" spans="1:7" x14ac:dyDescent="0.25">
      <c r="A861" s="169" t="str">
        <f>E861&amp;COUNTIFS($E$2:E861,E861)</f>
        <v>0</v>
      </c>
      <c r="B861" s="166"/>
      <c r="C861" s="168"/>
      <c r="D861" s="167"/>
      <c r="E861" s="166"/>
      <c r="F861" s="165"/>
      <c r="G861" s="164"/>
    </row>
    <row r="862" spans="1:7" x14ac:dyDescent="0.25">
      <c r="A862" s="169" t="str">
        <f>E862&amp;COUNTIFS($E$2:E862,E862)</f>
        <v>0</v>
      </c>
      <c r="B862" s="166"/>
      <c r="C862" s="168"/>
      <c r="D862" s="167"/>
      <c r="E862" s="166"/>
      <c r="F862" s="165"/>
      <c r="G862" s="164"/>
    </row>
    <row r="863" spans="1:7" x14ac:dyDescent="0.25">
      <c r="A863" s="169" t="str">
        <f>E863&amp;COUNTIFS($E$2:E863,E863)</f>
        <v>0</v>
      </c>
      <c r="B863" s="166"/>
      <c r="C863" s="168"/>
      <c r="D863" s="167"/>
      <c r="E863" s="166"/>
      <c r="F863" s="165"/>
      <c r="G863" s="164"/>
    </row>
    <row r="864" spans="1:7" x14ac:dyDescent="0.25">
      <c r="A864" s="169" t="str">
        <f>E864&amp;COUNTIFS($E$2:E864,E864)</f>
        <v>0</v>
      </c>
      <c r="B864" s="166"/>
      <c r="C864" s="168"/>
      <c r="D864" s="167"/>
      <c r="E864" s="166"/>
      <c r="F864" s="165"/>
      <c r="G864" s="164"/>
    </row>
    <row r="865" spans="1:7" x14ac:dyDescent="0.25">
      <c r="A865" s="169" t="str">
        <f>E865&amp;COUNTIFS($E$2:E865,E865)</f>
        <v>0</v>
      </c>
      <c r="B865" s="166"/>
      <c r="C865" s="168"/>
      <c r="D865" s="167"/>
      <c r="E865" s="166"/>
      <c r="F865" s="165"/>
      <c r="G865" s="164"/>
    </row>
    <row r="866" spans="1:7" x14ac:dyDescent="0.25">
      <c r="A866" s="169" t="str">
        <f>E866&amp;COUNTIFS($E$2:E866,E866)</f>
        <v>0</v>
      </c>
      <c r="B866" s="166"/>
      <c r="C866" s="168"/>
      <c r="D866" s="167"/>
      <c r="E866" s="166"/>
      <c r="F866" s="165"/>
      <c r="G866" s="164"/>
    </row>
    <row r="867" spans="1:7" x14ac:dyDescent="0.25">
      <c r="A867" s="169" t="str">
        <f>E867&amp;COUNTIFS($E$2:E867,E867)</f>
        <v>0</v>
      </c>
      <c r="B867" s="166"/>
      <c r="C867" s="168"/>
      <c r="D867" s="167"/>
      <c r="E867" s="166"/>
      <c r="F867" s="165"/>
      <c r="G867" s="164"/>
    </row>
    <row r="868" spans="1:7" x14ac:dyDescent="0.25">
      <c r="A868" s="169" t="str">
        <f>E868&amp;COUNTIFS($E$2:E868,E868)</f>
        <v>0</v>
      </c>
      <c r="B868" s="166"/>
      <c r="C868" s="168"/>
      <c r="D868" s="167"/>
      <c r="E868" s="166"/>
      <c r="F868" s="165"/>
      <c r="G868" s="164"/>
    </row>
    <row r="869" spans="1:7" x14ac:dyDescent="0.25">
      <c r="A869" s="169" t="str">
        <f>E869&amp;COUNTIFS($E$2:E869,E869)</f>
        <v>0</v>
      </c>
      <c r="B869" s="166"/>
      <c r="C869" s="168"/>
      <c r="D869" s="167"/>
      <c r="E869" s="166"/>
      <c r="F869" s="165"/>
      <c r="G869" s="164"/>
    </row>
    <row r="870" spans="1:7" x14ac:dyDescent="0.25">
      <c r="A870" s="169" t="str">
        <f>E870&amp;COUNTIFS($E$2:E870,E870)</f>
        <v>0</v>
      </c>
      <c r="B870" s="166"/>
      <c r="C870" s="168"/>
      <c r="D870" s="167"/>
      <c r="E870" s="166"/>
      <c r="F870" s="165"/>
      <c r="G870" s="164"/>
    </row>
    <row r="871" spans="1:7" x14ac:dyDescent="0.25">
      <c r="A871" s="169" t="str">
        <f>E871&amp;COUNTIFS($E$2:E871,E871)</f>
        <v>0</v>
      </c>
      <c r="B871" s="166"/>
      <c r="C871" s="168"/>
      <c r="D871" s="167"/>
      <c r="E871" s="166"/>
      <c r="F871" s="165"/>
      <c r="G871" s="164"/>
    </row>
    <row r="872" spans="1:7" x14ac:dyDescent="0.25">
      <c r="A872" s="169" t="str">
        <f>E872&amp;COUNTIFS($E$2:E872,E872)</f>
        <v>0</v>
      </c>
      <c r="B872" s="166"/>
      <c r="C872" s="168"/>
      <c r="D872" s="167"/>
      <c r="E872" s="166"/>
      <c r="F872" s="165"/>
      <c r="G872" s="164"/>
    </row>
    <row r="873" spans="1:7" x14ac:dyDescent="0.25">
      <c r="A873" s="169" t="str">
        <f>E873&amp;COUNTIFS($E$2:E873,E873)</f>
        <v>0</v>
      </c>
      <c r="B873" s="166"/>
      <c r="C873" s="168"/>
      <c r="D873" s="167"/>
      <c r="E873" s="166"/>
      <c r="F873" s="165"/>
      <c r="G873" s="164"/>
    </row>
    <row r="874" spans="1:7" x14ac:dyDescent="0.25">
      <c r="A874" s="169" t="str">
        <f>E874&amp;COUNTIFS($E$2:E874,E874)</f>
        <v>0</v>
      </c>
      <c r="B874" s="166"/>
      <c r="C874" s="168"/>
      <c r="D874" s="167"/>
      <c r="E874" s="166"/>
      <c r="F874" s="165"/>
      <c r="G874" s="164"/>
    </row>
    <row r="875" spans="1:7" x14ac:dyDescent="0.25">
      <c r="A875" s="169" t="str">
        <f>E875&amp;COUNTIFS($E$2:E875,E875)</f>
        <v>0</v>
      </c>
      <c r="B875" s="166"/>
      <c r="C875" s="168"/>
      <c r="D875" s="167"/>
      <c r="E875" s="166"/>
      <c r="F875" s="165"/>
      <c r="G875" s="164"/>
    </row>
    <row r="876" spans="1:7" ht="15.75" thickBot="1" x14ac:dyDescent="0.3">
      <c r="A876" s="163" t="str">
        <f>E876&amp;COUNTIFS($E$2:E876,E876)</f>
        <v>0</v>
      </c>
      <c r="B876" s="166"/>
      <c r="C876" s="162"/>
      <c r="D876" s="161"/>
      <c r="E876" s="160"/>
      <c r="F876" s="159"/>
      <c r="G876" s="158"/>
    </row>
    <row r="877" spans="1:7" x14ac:dyDescent="0.25">
      <c r="A877" s="148"/>
      <c r="C877" s="143"/>
      <c r="D877" s="157"/>
      <c r="E877" s="143"/>
      <c r="F877" s="156"/>
      <c r="G877" s="156"/>
    </row>
    <row r="878" spans="1:7" x14ac:dyDescent="0.25">
      <c r="A878" s="148"/>
      <c r="C878" s="153" t="s">
        <v>623</v>
      </c>
      <c r="D878" s="152"/>
      <c r="E878" s="151"/>
      <c r="F878" s="150">
        <f>SUM(F852:F876)</f>
        <v>0</v>
      </c>
      <c r="G878" s="155">
        <f>SUM(G852:G876)</f>
        <v>0</v>
      </c>
    </row>
    <row r="879" spans="1:7" x14ac:dyDescent="0.25">
      <c r="A879" s="148"/>
      <c r="C879" s="145" t="s">
        <v>622</v>
      </c>
      <c r="D879" s="154"/>
      <c r="E879" s="145"/>
      <c r="F879" s="144"/>
      <c r="G879" s="144"/>
    </row>
    <row r="880" spans="1:7" x14ac:dyDescent="0.25">
      <c r="A880" s="148"/>
      <c r="C880" s="153" t="s">
        <v>621</v>
      </c>
      <c r="D880" s="152"/>
      <c r="E880" s="151"/>
      <c r="F880" s="150">
        <f>F847</f>
        <v>0</v>
      </c>
      <c r="G880" s="150">
        <f>G847</f>
        <v>0</v>
      </c>
    </row>
    <row r="881" spans="1:7" x14ac:dyDescent="0.25">
      <c r="A881" s="148"/>
      <c r="C881" s="153" t="s">
        <v>582</v>
      </c>
      <c r="D881" s="152"/>
      <c r="E881" s="151"/>
      <c r="F881" s="150">
        <f>F880+F878</f>
        <v>0</v>
      </c>
      <c r="G881" s="150">
        <f>G880+G878</f>
        <v>0</v>
      </c>
    </row>
    <row r="882" spans="1:7" ht="15.75" thickBot="1" x14ac:dyDescent="0.3">
      <c r="A882" s="148"/>
      <c r="C882" s="145"/>
      <c r="D882" s="149"/>
      <c r="E882" s="145"/>
      <c r="F882" s="144"/>
      <c r="G882" s="144"/>
    </row>
    <row r="883" spans="1:7" ht="15.75" thickBot="1" x14ac:dyDescent="0.3">
      <c r="A883" s="148"/>
      <c r="C883" s="147" t="s">
        <v>620</v>
      </c>
      <c r="D883" s="146">
        <f>F881-G881</f>
        <v>0</v>
      </c>
      <c r="E883" s="145"/>
      <c r="F883" s="144"/>
      <c r="G883" s="144"/>
    </row>
    <row r="884" spans="1:7" ht="15.75" thickBot="1" x14ac:dyDescent="0.3"/>
    <row r="885" spans="1:7" ht="30.75" thickBot="1" x14ac:dyDescent="0.3">
      <c r="A885" s="272" t="s">
        <v>626</v>
      </c>
      <c r="B885" s="271" t="s">
        <v>606</v>
      </c>
      <c r="C885" s="270" t="s">
        <v>636</v>
      </c>
      <c r="D885" s="269" t="s">
        <v>601</v>
      </c>
      <c r="E885" s="268" t="s">
        <v>287</v>
      </c>
      <c r="F885" s="267" t="s">
        <v>624</v>
      </c>
      <c r="G885" s="267" t="s">
        <v>596</v>
      </c>
    </row>
    <row r="886" spans="1:7" x14ac:dyDescent="0.25">
      <c r="A886" s="169" t="str">
        <f>E886&amp;COUNTIFS($E$2:E886,E886)</f>
        <v>0</v>
      </c>
      <c r="B886" s="172"/>
      <c r="C886" s="174"/>
      <c r="D886" s="173"/>
      <c r="E886" s="172"/>
      <c r="F886" s="171"/>
      <c r="G886" s="170"/>
    </row>
    <row r="887" spans="1:7" x14ac:dyDescent="0.25">
      <c r="A887" s="169" t="str">
        <f>E887&amp;COUNTIFS($E$2:E887,E887)</f>
        <v>0</v>
      </c>
      <c r="B887" s="166"/>
      <c r="C887" s="168"/>
      <c r="D887" s="167"/>
      <c r="E887" s="166"/>
      <c r="F887" s="165"/>
      <c r="G887" s="164"/>
    </row>
    <row r="888" spans="1:7" x14ac:dyDescent="0.25">
      <c r="A888" s="169" t="str">
        <f>E888&amp;COUNTIFS($E$2:E888,E888)</f>
        <v>0</v>
      </c>
      <c r="B888" s="166"/>
      <c r="C888" s="168"/>
      <c r="D888" s="167"/>
      <c r="E888" s="166"/>
      <c r="F888" s="165"/>
      <c r="G888" s="164"/>
    </row>
    <row r="889" spans="1:7" x14ac:dyDescent="0.25">
      <c r="A889" s="169" t="str">
        <f>E889&amp;COUNTIFS($E$2:E889,E889)</f>
        <v>0</v>
      </c>
      <c r="B889" s="166"/>
      <c r="C889" s="168"/>
      <c r="D889" s="167"/>
      <c r="E889" s="166"/>
      <c r="F889" s="165"/>
      <c r="G889" s="164"/>
    </row>
    <row r="890" spans="1:7" x14ac:dyDescent="0.25">
      <c r="A890" s="169" t="str">
        <f>E890&amp;COUNTIFS($E$2:E890,E890)</f>
        <v>0</v>
      </c>
      <c r="B890" s="166"/>
      <c r="C890" s="168"/>
      <c r="D890" s="167"/>
      <c r="E890" s="166"/>
      <c r="F890" s="165"/>
      <c r="G890" s="164"/>
    </row>
    <row r="891" spans="1:7" x14ac:dyDescent="0.25">
      <c r="A891" s="169" t="str">
        <f>E891&amp;COUNTIFS($E$2:E891,E891)</f>
        <v>0</v>
      </c>
      <c r="B891" s="166"/>
      <c r="C891" s="168"/>
      <c r="D891" s="167"/>
      <c r="E891" s="166"/>
      <c r="F891" s="165"/>
      <c r="G891" s="164"/>
    </row>
    <row r="892" spans="1:7" x14ac:dyDescent="0.25">
      <c r="A892" s="169" t="str">
        <f>E892&amp;COUNTIFS($E$2:E892,E892)</f>
        <v>0</v>
      </c>
      <c r="B892" s="166"/>
      <c r="C892" s="168"/>
      <c r="D892" s="167"/>
      <c r="E892" s="166"/>
      <c r="F892" s="165"/>
      <c r="G892" s="164"/>
    </row>
    <row r="893" spans="1:7" x14ac:dyDescent="0.25">
      <c r="A893" s="169" t="str">
        <f>E893&amp;COUNTIFS($E$2:E893,E893)</f>
        <v>0</v>
      </c>
      <c r="B893" s="166"/>
      <c r="C893" s="168"/>
      <c r="D893" s="167"/>
      <c r="E893" s="166"/>
      <c r="F893" s="165"/>
      <c r="G893" s="164"/>
    </row>
    <row r="894" spans="1:7" x14ac:dyDescent="0.25">
      <c r="A894" s="169" t="str">
        <f>E894&amp;COUNTIFS($E$2:E894,E894)</f>
        <v>0</v>
      </c>
      <c r="B894" s="166"/>
      <c r="C894" s="168"/>
      <c r="D894" s="167"/>
      <c r="E894" s="166"/>
      <c r="F894" s="165"/>
      <c r="G894" s="164"/>
    </row>
    <row r="895" spans="1:7" x14ac:dyDescent="0.25">
      <c r="A895" s="169" t="str">
        <f>E895&amp;COUNTIFS($E$2:E895,E895)</f>
        <v>0</v>
      </c>
      <c r="B895" s="166"/>
      <c r="C895" s="168"/>
      <c r="D895" s="167"/>
      <c r="E895" s="166"/>
      <c r="F895" s="165"/>
      <c r="G895" s="164"/>
    </row>
    <row r="896" spans="1:7" x14ac:dyDescent="0.25">
      <c r="A896" s="169" t="str">
        <f>E896&amp;COUNTIFS($E$2:E896,E896)</f>
        <v>0</v>
      </c>
      <c r="B896" s="166"/>
      <c r="C896" s="168"/>
      <c r="D896" s="167"/>
      <c r="E896" s="166"/>
      <c r="F896" s="165"/>
      <c r="G896" s="164"/>
    </row>
    <row r="897" spans="1:7" x14ac:dyDescent="0.25">
      <c r="A897" s="169" t="str">
        <f>E897&amp;COUNTIFS($E$2:E897,E897)</f>
        <v>0</v>
      </c>
      <c r="B897" s="166"/>
      <c r="C897" s="168"/>
      <c r="D897" s="167"/>
      <c r="E897" s="166"/>
      <c r="F897" s="165"/>
      <c r="G897" s="164"/>
    </row>
    <row r="898" spans="1:7" x14ac:dyDescent="0.25">
      <c r="A898" s="169" t="str">
        <f>E898&amp;COUNTIFS($E$2:E898,E898)</f>
        <v>0</v>
      </c>
      <c r="B898" s="166"/>
      <c r="C898" s="168"/>
      <c r="D898" s="167"/>
      <c r="E898" s="166"/>
      <c r="F898" s="165"/>
      <c r="G898" s="164"/>
    </row>
    <row r="899" spans="1:7" x14ac:dyDescent="0.25">
      <c r="A899" s="169" t="str">
        <f>E899&amp;COUNTIFS($E$2:E899,E899)</f>
        <v>0</v>
      </c>
      <c r="B899" s="166"/>
      <c r="C899" s="168"/>
      <c r="D899" s="167"/>
      <c r="E899" s="166"/>
      <c r="F899" s="165"/>
      <c r="G899" s="164"/>
    </row>
    <row r="900" spans="1:7" x14ac:dyDescent="0.25">
      <c r="A900" s="169" t="str">
        <f>E900&amp;COUNTIFS($E$2:E900,E900)</f>
        <v>0</v>
      </c>
      <c r="B900" s="166"/>
      <c r="C900" s="168"/>
      <c r="D900" s="167"/>
      <c r="E900" s="166"/>
      <c r="F900" s="165"/>
      <c r="G900" s="164"/>
    </row>
    <row r="901" spans="1:7" x14ac:dyDescent="0.25">
      <c r="A901" s="169" t="str">
        <f>E901&amp;COUNTIFS($E$2:E901,E901)</f>
        <v>0</v>
      </c>
      <c r="B901" s="166"/>
      <c r="C901" s="168"/>
      <c r="D901" s="167"/>
      <c r="E901" s="166"/>
      <c r="F901" s="165"/>
      <c r="G901" s="164"/>
    </row>
    <row r="902" spans="1:7" x14ac:dyDescent="0.25">
      <c r="A902" s="169" t="str">
        <f>E902&amp;COUNTIFS($E$2:E902,E902)</f>
        <v>0</v>
      </c>
      <c r="B902" s="166"/>
      <c r="C902" s="168"/>
      <c r="D902" s="167"/>
      <c r="E902" s="166"/>
      <c r="F902" s="165"/>
      <c r="G902" s="164"/>
    </row>
    <row r="903" spans="1:7" x14ac:dyDescent="0.25">
      <c r="A903" s="169" t="str">
        <f>E903&amp;COUNTIFS($E$2:E903,E903)</f>
        <v>0</v>
      </c>
      <c r="B903" s="166"/>
      <c r="C903" s="168"/>
      <c r="D903" s="167"/>
      <c r="E903" s="166"/>
      <c r="F903" s="165"/>
      <c r="G903" s="164"/>
    </row>
    <row r="904" spans="1:7" x14ac:dyDescent="0.25">
      <c r="A904" s="169" t="str">
        <f>E904&amp;COUNTIFS($E$2:E904,E904)</f>
        <v>0</v>
      </c>
      <c r="B904" s="166"/>
      <c r="C904" s="168"/>
      <c r="D904" s="167"/>
      <c r="E904" s="166"/>
      <c r="F904" s="165"/>
      <c r="G904" s="164"/>
    </row>
    <row r="905" spans="1:7" x14ac:dyDescent="0.25">
      <c r="A905" s="169" t="str">
        <f>E905&amp;COUNTIFS($E$2:E905,E905)</f>
        <v>0</v>
      </c>
      <c r="B905" s="166"/>
      <c r="C905" s="168"/>
      <c r="D905" s="167"/>
      <c r="E905" s="166"/>
      <c r="F905" s="165"/>
      <c r="G905" s="164"/>
    </row>
    <row r="906" spans="1:7" x14ac:dyDescent="0.25">
      <c r="A906" s="169" t="str">
        <f>E906&amp;COUNTIFS($E$2:E906,E906)</f>
        <v>0</v>
      </c>
      <c r="B906" s="166"/>
      <c r="C906" s="168"/>
      <c r="D906" s="167"/>
      <c r="E906" s="166"/>
      <c r="F906" s="165"/>
      <c r="G906" s="164"/>
    </row>
    <row r="907" spans="1:7" x14ac:dyDescent="0.25">
      <c r="A907" s="169" t="str">
        <f>E907&amp;COUNTIFS($E$2:E907,E907)</f>
        <v>0</v>
      </c>
      <c r="B907" s="166"/>
      <c r="C907" s="168"/>
      <c r="D907" s="167"/>
      <c r="E907" s="166"/>
      <c r="F907" s="165"/>
      <c r="G907" s="164"/>
    </row>
    <row r="908" spans="1:7" x14ac:dyDescent="0.25">
      <c r="A908" s="169" t="str">
        <f>E908&amp;COUNTIFS($E$2:E908,E908)</f>
        <v>0</v>
      </c>
      <c r="B908" s="166"/>
      <c r="C908" s="168"/>
      <c r="D908" s="167"/>
      <c r="E908" s="166"/>
      <c r="F908" s="165"/>
      <c r="G908" s="164"/>
    </row>
    <row r="909" spans="1:7" x14ac:dyDescent="0.25">
      <c r="A909" s="169" t="str">
        <f>E909&amp;COUNTIFS($E$2:E909,E909)</f>
        <v>0</v>
      </c>
      <c r="B909" s="166"/>
      <c r="C909" s="168"/>
      <c r="D909" s="167"/>
      <c r="E909" s="166"/>
      <c r="F909" s="165"/>
      <c r="G909" s="164"/>
    </row>
    <row r="910" spans="1:7" ht="15.75" thickBot="1" x14ac:dyDescent="0.3">
      <c r="A910" s="163" t="str">
        <f>E910&amp;COUNTIFS($E$2:E910,E910)</f>
        <v>0</v>
      </c>
      <c r="B910" s="166"/>
      <c r="C910" s="162"/>
      <c r="D910" s="161"/>
      <c r="E910" s="160"/>
      <c r="F910" s="159"/>
      <c r="G910" s="158"/>
    </row>
    <row r="911" spans="1:7" x14ac:dyDescent="0.25">
      <c r="A911" s="148"/>
      <c r="C911" s="143"/>
      <c r="D911" s="157"/>
      <c r="E911" s="143"/>
      <c r="F911" s="156"/>
      <c r="G911" s="156"/>
    </row>
    <row r="912" spans="1:7" x14ac:dyDescent="0.25">
      <c r="A912" s="148"/>
      <c r="C912" s="153" t="s">
        <v>623</v>
      </c>
      <c r="D912" s="152"/>
      <c r="E912" s="151"/>
      <c r="F912" s="150">
        <f>SUM(F886:F910)</f>
        <v>0</v>
      </c>
      <c r="G912" s="155">
        <f>SUM(G886:G910)</f>
        <v>0</v>
      </c>
    </row>
    <row r="913" spans="1:7" x14ac:dyDescent="0.25">
      <c r="A913" s="148"/>
      <c r="C913" s="145" t="s">
        <v>622</v>
      </c>
      <c r="D913" s="154"/>
      <c r="E913" s="145"/>
      <c r="F913" s="144"/>
      <c r="G913" s="144"/>
    </row>
    <row r="914" spans="1:7" x14ac:dyDescent="0.25">
      <c r="A914" s="148"/>
      <c r="C914" s="153" t="s">
        <v>621</v>
      </c>
      <c r="D914" s="152"/>
      <c r="E914" s="151"/>
      <c r="F914" s="150">
        <f>F881</f>
        <v>0</v>
      </c>
      <c r="G914" s="150">
        <f>G881</f>
        <v>0</v>
      </c>
    </row>
    <row r="915" spans="1:7" x14ac:dyDescent="0.25">
      <c r="A915" s="148"/>
      <c r="C915" s="153" t="s">
        <v>582</v>
      </c>
      <c r="D915" s="152"/>
      <c r="E915" s="151"/>
      <c r="F915" s="150">
        <f>F914+F912</f>
        <v>0</v>
      </c>
      <c r="G915" s="150">
        <f>G914+G912</f>
        <v>0</v>
      </c>
    </row>
    <row r="916" spans="1:7" ht="15.75" thickBot="1" x14ac:dyDescent="0.3">
      <c r="A916" s="148"/>
      <c r="C916" s="145"/>
      <c r="D916" s="149"/>
      <c r="E916" s="145"/>
      <c r="F916" s="144"/>
      <c r="G916" s="144"/>
    </row>
    <row r="917" spans="1:7" ht="15.75" thickBot="1" x14ac:dyDescent="0.3">
      <c r="A917" s="148"/>
      <c r="C917" s="147" t="s">
        <v>620</v>
      </c>
      <c r="D917" s="146">
        <f>F915-G915</f>
        <v>0</v>
      </c>
      <c r="E917" s="145"/>
      <c r="F917" s="144"/>
      <c r="G917" s="144"/>
    </row>
    <row r="918" spans="1:7" ht="15.75" thickBot="1" x14ac:dyDescent="0.3"/>
    <row r="919" spans="1:7" ht="30.75" thickBot="1" x14ac:dyDescent="0.3">
      <c r="A919" s="272" t="s">
        <v>626</v>
      </c>
      <c r="B919" s="271" t="s">
        <v>606</v>
      </c>
      <c r="C919" s="270" t="s">
        <v>636</v>
      </c>
      <c r="D919" s="269" t="s">
        <v>601</v>
      </c>
      <c r="E919" s="268" t="s">
        <v>287</v>
      </c>
      <c r="F919" s="267" t="s">
        <v>624</v>
      </c>
      <c r="G919" s="267" t="s">
        <v>596</v>
      </c>
    </row>
    <row r="920" spans="1:7" x14ac:dyDescent="0.25">
      <c r="A920" s="169" t="str">
        <f>E920&amp;COUNTIFS($E$2:E920,E920)</f>
        <v>0</v>
      </c>
      <c r="B920" s="172"/>
      <c r="C920" s="174"/>
      <c r="D920" s="173"/>
      <c r="E920" s="172"/>
      <c r="F920" s="171"/>
      <c r="G920" s="170"/>
    </row>
    <row r="921" spans="1:7" x14ac:dyDescent="0.25">
      <c r="A921" s="169" t="str">
        <f>E921&amp;COUNTIFS($E$2:E921,E921)</f>
        <v>0</v>
      </c>
      <c r="B921" s="166"/>
      <c r="C921" s="168"/>
      <c r="D921" s="167"/>
      <c r="E921" s="166"/>
      <c r="F921" s="165"/>
      <c r="G921" s="164"/>
    </row>
    <row r="922" spans="1:7" x14ac:dyDescent="0.25">
      <c r="A922" s="169" t="str">
        <f>E922&amp;COUNTIFS($E$2:E922,E922)</f>
        <v>0</v>
      </c>
      <c r="B922" s="166"/>
      <c r="C922" s="168"/>
      <c r="D922" s="167"/>
      <c r="E922" s="166"/>
      <c r="F922" s="165"/>
      <c r="G922" s="164"/>
    </row>
    <row r="923" spans="1:7" x14ac:dyDescent="0.25">
      <c r="A923" s="169" t="str">
        <f>E923&amp;COUNTIFS($E$2:E923,E923)</f>
        <v>0</v>
      </c>
      <c r="B923" s="166"/>
      <c r="C923" s="168"/>
      <c r="D923" s="167"/>
      <c r="E923" s="166"/>
      <c r="F923" s="165"/>
      <c r="G923" s="164"/>
    </row>
    <row r="924" spans="1:7" x14ac:dyDescent="0.25">
      <c r="A924" s="169" t="str">
        <f>E924&amp;COUNTIFS($E$2:E924,E924)</f>
        <v>0</v>
      </c>
      <c r="B924" s="166"/>
      <c r="C924" s="168"/>
      <c r="D924" s="167"/>
      <c r="E924" s="166"/>
      <c r="F924" s="165"/>
      <c r="G924" s="164"/>
    </row>
    <row r="925" spans="1:7" x14ac:dyDescent="0.25">
      <c r="A925" s="169" t="str">
        <f>E925&amp;COUNTIFS($E$2:E925,E925)</f>
        <v>0</v>
      </c>
      <c r="B925" s="166"/>
      <c r="C925" s="168"/>
      <c r="D925" s="167"/>
      <c r="E925" s="166"/>
      <c r="F925" s="165"/>
      <c r="G925" s="164"/>
    </row>
    <row r="926" spans="1:7" x14ac:dyDescent="0.25">
      <c r="A926" s="169" t="str">
        <f>E926&amp;COUNTIFS($E$2:E926,E926)</f>
        <v>0</v>
      </c>
      <c r="B926" s="166"/>
      <c r="C926" s="168"/>
      <c r="D926" s="167"/>
      <c r="E926" s="166"/>
      <c r="F926" s="165"/>
      <c r="G926" s="164"/>
    </row>
    <row r="927" spans="1:7" x14ac:dyDescent="0.25">
      <c r="A927" s="169" t="str">
        <f>E927&amp;COUNTIFS($E$2:E927,E927)</f>
        <v>0</v>
      </c>
      <c r="B927" s="166"/>
      <c r="C927" s="168"/>
      <c r="D927" s="167"/>
      <c r="E927" s="166"/>
      <c r="F927" s="165"/>
      <c r="G927" s="164"/>
    </row>
    <row r="928" spans="1:7" x14ac:dyDescent="0.25">
      <c r="A928" s="169" t="str">
        <f>E928&amp;COUNTIFS($E$2:E928,E928)</f>
        <v>0</v>
      </c>
      <c r="B928" s="166"/>
      <c r="C928" s="168"/>
      <c r="D928" s="167"/>
      <c r="E928" s="166"/>
      <c r="F928" s="165"/>
      <c r="G928" s="164"/>
    </row>
    <row r="929" spans="1:7" x14ac:dyDescent="0.25">
      <c r="A929" s="169" t="str">
        <f>E929&amp;COUNTIFS($E$2:E929,E929)</f>
        <v>0</v>
      </c>
      <c r="B929" s="166"/>
      <c r="C929" s="168"/>
      <c r="D929" s="167"/>
      <c r="E929" s="166"/>
      <c r="F929" s="165"/>
      <c r="G929" s="164"/>
    </row>
    <row r="930" spans="1:7" x14ac:dyDescent="0.25">
      <c r="A930" s="169" t="str">
        <f>E930&amp;COUNTIFS($E$2:E930,E930)</f>
        <v>0</v>
      </c>
      <c r="B930" s="166"/>
      <c r="C930" s="168"/>
      <c r="D930" s="167"/>
      <c r="E930" s="166"/>
      <c r="F930" s="165"/>
      <c r="G930" s="164"/>
    </row>
    <row r="931" spans="1:7" x14ac:dyDescent="0.25">
      <c r="A931" s="169" t="str">
        <f>E931&amp;COUNTIFS($E$2:E931,E931)</f>
        <v>0</v>
      </c>
      <c r="B931" s="166"/>
      <c r="C931" s="168"/>
      <c r="D931" s="167"/>
      <c r="E931" s="166"/>
      <c r="F931" s="165"/>
      <c r="G931" s="164"/>
    </row>
    <row r="932" spans="1:7" x14ac:dyDescent="0.25">
      <c r="A932" s="169" t="str">
        <f>E932&amp;COUNTIFS($E$2:E932,E932)</f>
        <v>0</v>
      </c>
      <c r="B932" s="166"/>
      <c r="C932" s="168"/>
      <c r="D932" s="167"/>
      <c r="E932" s="166"/>
      <c r="F932" s="165"/>
      <c r="G932" s="164"/>
    </row>
    <row r="933" spans="1:7" x14ac:dyDescent="0.25">
      <c r="A933" s="169" t="str">
        <f>E933&amp;COUNTIFS($E$2:E933,E933)</f>
        <v>0</v>
      </c>
      <c r="B933" s="166"/>
      <c r="C933" s="168"/>
      <c r="D933" s="167"/>
      <c r="E933" s="166"/>
      <c r="F933" s="165"/>
      <c r="G933" s="164"/>
    </row>
    <row r="934" spans="1:7" x14ac:dyDescent="0.25">
      <c r="A934" s="169" t="str">
        <f>E934&amp;COUNTIFS($E$2:E934,E934)</f>
        <v>0</v>
      </c>
      <c r="B934" s="166"/>
      <c r="C934" s="168"/>
      <c r="D934" s="167"/>
      <c r="E934" s="166"/>
      <c r="F934" s="165"/>
      <c r="G934" s="164"/>
    </row>
    <row r="935" spans="1:7" x14ac:dyDescent="0.25">
      <c r="A935" s="169" t="str">
        <f>E935&amp;COUNTIFS($E$2:E935,E935)</f>
        <v>0</v>
      </c>
      <c r="B935" s="166"/>
      <c r="C935" s="168"/>
      <c r="D935" s="167"/>
      <c r="E935" s="166"/>
      <c r="F935" s="165"/>
      <c r="G935" s="164"/>
    </row>
    <row r="936" spans="1:7" x14ac:dyDescent="0.25">
      <c r="A936" s="169" t="str">
        <f>E936&amp;COUNTIFS($E$2:E936,E936)</f>
        <v>0</v>
      </c>
      <c r="B936" s="166"/>
      <c r="C936" s="168"/>
      <c r="D936" s="167"/>
      <c r="E936" s="166"/>
      <c r="F936" s="165"/>
      <c r="G936" s="164"/>
    </row>
    <row r="937" spans="1:7" x14ac:dyDescent="0.25">
      <c r="A937" s="169" t="str">
        <f>E937&amp;COUNTIFS($E$2:E937,E937)</f>
        <v>0</v>
      </c>
      <c r="B937" s="166"/>
      <c r="C937" s="168"/>
      <c r="D937" s="167"/>
      <c r="E937" s="166"/>
      <c r="F937" s="165"/>
      <c r="G937" s="164"/>
    </row>
    <row r="938" spans="1:7" x14ac:dyDescent="0.25">
      <c r="A938" s="169" t="str">
        <f>E938&amp;COUNTIFS($E$2:E938,E938)</f>
        <v>0</v>
      </c>
      <c r="B938" s="166"/>
      <c r="C938" s="168"/>
      <c r="D938" s="167"/>
      <c r="E938" s="166"/>
      <c r="F938" s="165"/>
      <c r="G938" s="164"/>
    </row>
    <row r="939" spans="1:7" x14ac:dyDescent="0.25">
      <c r="A939" s="169" t="str">
        <f>E939&amp;COUNTIFS($E$2:E939,E939)</f>
        <v>0</v>
      </c>
      <c r="B939" s="166"/>
      <c r="C939" s="168"/>
      <c r="D939" s="167"/>
      <c r="E939" s="166"/>
      <c r="F939" s="165"/>
      <c r="G939" s="164"/>
    </row>
    <row r="940" spans="1:7" x14ac:dyDescent="0.25">
      <c r="A940" s="169" t="str">
        <f>E940&amp;COUNTIFS($E$2:E940,E940)</f>
        <v>0</v>
      </c>
      <c r="B940" s="166"/>
      <c r="C940" s="168"/>
      <c r="D940" s="167"/>
      <c r="E940" s="166"/>
      <c r="F940" s="165"/>
      <c r="G940" s="164"/>
    </row>
    <row r="941" spans="1:7" x14ac:dyDescent="0.25">
      <c r="A941" s="169" t="str">
        <f>E941&amp;COUNTIFS($E$2:E941,E941)</f>
        <v>0</v>
      </c>
      <c r="B941" s="166"/>
      <c r="C941" s="168"/>
      <c r="D941" s="167"/>
      <c r="E941" s="166"/>
      <c r="F941" s="165"/>
      <c r="G941" s="164"/>
    </row>
    <row r="942" spans="1:7" x14ac:dyDescent="0.25">
      <c r="A942" s="169" t="str">
        <f>E942&amp;COUNTIFS($E$2:E942,E942)</f>
        <v>0</v>
      </c>
      <c r="B942" s="166"/>
      <c r="C942" s="168"/>
      <c r="D942" s="167"/>
      <c r="E942" s="166"/>
      <c r="F942" s="165"/>
      <c r="G942" s="164"/>
    </row>
    <row r="943" spans="1:7" x14ac:dyDescent="0.25">
      <c r="A943" s="169" t="str">
        <f>E943&amp;COUNTIFS($E$2:E943,E943)</f>
        <v>0</v>
      </c>
      <c r="B943" s="166"/>
      <c r="C943" s="168"/>
      <c r="D943" s="167"/>
      <c r="E943" s="166"/>
      <c r="F943" s="165"/>
      <c r="G943" s="164"/>
    </row>
    <row r="944" spans="1:7" ht="15.75" thickBot="1" x14ac:dyDescent="0.3">
      <c r="A944" s="163" t="str">
        <f>E944&amp;COUNTIFS($E$2:E944,E944)</f>
        <v>0</v>
      </c>
      <c r="B944" s="160"/>
      <c r="C944" s="162"/>
      <c r="D944" s="161"/>
      <c r="E944" s="160"/>
      <c r="F944" s="159"/>
      <c r="G944" s="158"/>
    </row>
    <row r="945" spans="1:7" x14ac:dyDescent="0.25">
      <c r="A945" s="148"/>
      <c r="C945" s="143"/>
      <c r="D945" s="157"/>
      <c r="E945" s="143"/>
      <c r="F945" s="156"/>
      <c r="G945" s="156"/>
    </row>
    <row r="946" spans="1:7" x14ac:dyDescent="0.25">
      <c r="A946" s="148"/>
      <c r="C946" s="153" t="s">
        <v>623</v>
      </c>
      <c r="D946" s="152"/>
      <c r="E946" s="151"/>
      <c r="F946" s="150">
        <f>SUM(F920:F944)</f>
        <v>0</v>
      </c>
      <c r="G946" s="155">
        <f>SUM(G920:G944)</f>
        <v>0</v>
      </c>
    </row>
    <row r="947" spans="1:7" x14ac:dyDescent="0.25">
      <c r="A947" s="148"/>
      <c r="C947" s="145" t="s">
        <v>622</v>
      </c>
      <c r="D947" s="154"/>
      <c r="E947" s="145"/>
      <c r="F947" s="144"/>
      <c r="G947" s="144"/>
    </row>
    <row r="948" spans="1:7" x14ac:dyDescent="0.25">
      <c r="A948" s="148"/>
      <c r="C948" s="153" t="s">
        <v>621</v>
      </c>
      <c r="D948" s="152"/>
      <c r="E948" s="151"/>
      <c r="F948" s="150">
        <f>F915</f>
        <v>0</v>
      </c>
      <c r="G948" s="150">
        <f>G915</f>
        <v>0</v>
      </c>
    </row>
    <row r="949" spans="1:7" x14ac:dyDescent="0.25">
      <c r="A949" s="148"/>
      <c r="C949" s="153" t="s">
        <v>582</v>
      </c>
      <c r="D949" s="152"/>
      <c r="E949" s="151"/>
      <c r="F949" s="150">
        <f>F948+F946</f>
        <v>0</v>
      </c>
      <c r="G949" s="150">
        <f>G948+G946</f>
        <v>0</v>
      </c>
    </row>
    <row r="950" spans="1:7" ht="15.75" thickBot="1" x14ac:dyDescent="0.3">
      <c r="A950" s="148"/>
      <c r="C950" s="145"/>
      <c r="D950" s="149"/>
      <c r="E950" s="145"/>
      <c r="F950" s="144"/>
      <c r="G950" s="144"/>
    </row>
    <row r="951" spans="1:7" ht="15.75" thickBot="1" x14ac:dyDescent="0.3">
      <c r="A951" s="148"/>
      <c r="C951" s="147" t="s">
        <v>620</v>
      </c>
      <c r="D951" s="146">
        <f>F949-G949</f>
        <v>0</v>
      </c>
      <c r="E951" s="145"/>
      <c r="F951" s="144"/>
      <c r="G951" s="144"/>
    </row>
    <row r="952" spans="1:7" ht="15.75" thickBot="1" x14ac:dyDescent="0.3">
      <c r="A952" s="148"/>
      <c r="C952" s="145"/>
      <c r="D952" s="144"/>
      <c r="E952" s="145"/>
      <c r="F952" s="144"/>
      <c r="G952" s="144"/>
    </row>
    <row r="953" spans="1:7" ht="30.75" thickBot="1" x14ac:dyDescent="0.3">
      <c r="A953" s="272" t="s">
        <v>626</v>
      </c>
      <c r="B953" s="271" t="s">
        <v>606</v>
      </c>
      <c r="C953" s="270" t="s">
        <v>636</v>
      </c>
      <c r="D953" s="269" t="s">
        <v>601</v>
      </c>
      <c r="E953" s="268" t="s">
        <v>287</v>
      </c>
      <c r="F953" s="267" t="s">
        <v>624</v>
      </c>
      <c r="G953" s="267" t="s">
        <v>596</v>
      </c>
    </row>
    <row r="954" spans="1:7" x14ac:dyDescent="0.25">
      <c r="A954" s="169" t="str">
        <f>E954&amp;COUNTIFS($E$2:E954,E954)</f>
        <v>0</v>
      </c>
      <c r="B954" s="172"/>
      <c r="C954" s="174"/>
      <c r="D954" s="173"/>
      <c r="E954" s="172"/>
      <c r="F954" s="171"/>
      <c r="G954" s="170"/>
    </row>
    <row r="955" spans="1:7" x14ac:dyDescent="0.25">
      <c r="A955" s="169" t="str">
        <f>E955&amp;COUNTIFS($E$2:E955,E955)</f>
        <v>0</v>
      </c>
      <c r="B955" s="166"/>
      <c r="C955" s="168"/>
      <c r="D955" s="167"/>
      <c r="E955" s="166"/>
      <c r="F955" s="165"/>
      <c r="G955" s="164"/>
    </row>
    <row r="956" spans="1:7" x14ac:dyDescent="0.25">
      <c r="A956" s="169" t="str">
        <f>E956&amp;COUNTIFS($E$2:E956,E956)</f>
        <v>0</v>
      </c>
      <c r="B956" s="166"/>
      <c r="C956" s="168"/>
      <c r="D956" s="167"/>
      <c r="E956" s="166"/>
      <c r="F956" s="165"/>
      <c r="G956" s="164"/>
    </row>
    <row r="957" spans="1:7" x14ac:dyDescent="0.25">
      <c r="A957" s="169" t="str">
        <f>E957&amp;COUNTIFS($E$2:E957,E957)</f>
        <v>0</v>
      </c>
      <c r="B957" s="166"/>
      <c r="C957" s="168"/>
      <c r="D957" s="167"/>
      <c r="E957" s="166"/>
      <c r="F957" s="165"/>
      <c r="G957" s="164"/>
    </row>
    <row r="958" spans="1:7" x14ac:dyDescent="0.25">
      <c r="A958" s="169" t="str">
        <f>E958&amp;COUNTIFS($E$2:E958,E958)</f>
        <v>0</v>
      </c>
      <c r="B958" s="166"/>
      <c r="C958" s="168"/>
      <c r="D958" s="167"/>
      <c r="E958" s="166"/>
      <c r="F958" s="165"/>
      <c r="G958" s="164"/>
    </row>
    <row r="959" spans="1:7" x14ac:dyDescent="0.25">
      <c r="A959" s="169" t="str">
        <f>E959&amp;COUNTIFS($E$2:E959,E959)</f>
        <v>0</v>
      </c>
      <c r="B959" s="166"/>
      <c r="C959" s="168"/>
      <c r="D959" s="167"/>
      <c r="E959" s="166"/>
      <c r="F959" s="165"/>
      <c r="G959" s="164"/>
    </row>
    <row r="960" spans="1:7" x14ac:dyDescent="0.25">
      <c r="A960" s="169" t="str">
        <f>E960&amp;COUNTIFS($E$2:E960,E960)</f>
        <v>0</v>
      </c>
      <c r="B960" s="166"/>
      <c r="C960" s="168"/>
      <c r="D960" s="167"/>
      <c r="E960" s="166"/>
      <c r="F960" s="165"/>
      <c r="G960" s="164"/>
    </row>
    <row r="961" spans="1:7" x14ac:dyDescent="0.25">
      <c r="A961" s="169" t="str">
        <f>E961&amp;COUNTIFS($E$2:E961,E961)</f>
        <v>0</v>
      </c>
      <c r="B961" s="166"/>
      <c r="C961" s="168"/>
      <c r="D961" s="167"/>
      <c r="E961" s="166"/>
      <c r="F961" s="165"/>
      <c r="G961" s="164"/>
    </row>
    <row r="962" spans="1:7" x14ac:dyDescent="0.25">
      <c r="A962" s="169" t="str">
        <f>E962&amp;COUNTIFS($E$2:E962,E962)</f>
        <v>0</v>
      </c>
      <c r="B962" s="166"/>
      <c r="C962" s="168"/>
      <c r="D962" s="167"/>
      <c r="E962" s="166"/>
      <c r="F962" s="165"/>
      <c r="G962" s="164"/>
    </row>
    <row r="963" spans="1:7" x14ac:dyDescent="0.25">
      <c r="A963" s="169" t="str">
        <f>E963&amp;COUNTIFS($E$2:E963,E963)</f>
        <v>0</v>
      </c>
      <c r="B963" s="166"/>
      <c r="C963" s="168"/>
      <c r="D963" s="167"/>
      <c r="E963" s="166"/>
      <c r="F963" s="165"/>
      <c r="G963" s="164"/>
    </row>
    <row r="964" spans="1:7" x14ac:dyDescent="0.25">
      <c r="A964" s="169" t="str">
        <f>E964&amp;COUNTIFS($E$2:E964,E964)</f>
        <v>0</v>
      </c>
      <c r="B964" s="166"/>
      <c r="C964" s="168"/>
      <c r="D964" s="167"/>
      <c r="E964" s="166"/>
      <c r="F964" s="165"/>
      <c r="G964" s="164"/>
    </row>
    <row r="965" spans="1:7" x14ac:dyDescent="0.25">
      <c r="A965" s="169" t="str">
        <f>E965&amp;COUNTIFS($E$2:E965,E965)</f>
        <v>0</v>
      </c>
      <c r="B965" s="166"/>
      <c r="C965" s="168"/>
      <c r="D965" s="167"/>
      <c r="E965" s="166"/>
      <c r="F965" s="165"/>
      <c r="G965" s="164"/>
    </row>
    <row r="966" spans="1:7" x14ac:dyDescent="0.25">
      <c r="A966" s="169" t="str">
        <f>E966&amp;COUNTIFS($E$2:E966,E966)</f>
        <v>0</v>
      </c>
      <c r="B966" s="166"/>
      <c r="C966" s="168"/>
      <c r="D966" s="167"/>
      <c r="E966" s="166"/>
      <c r="F966" s="165"/>
      <c r="G966" s="164"/>
    </row>
    <row r="967" spans="1:7" x14ac:dyDescent="0.25">
      <c r="A967" s="169" t="str">
        <f>E967&amp;COUNTIFS($E$2:E967,E967)</f>
        <v>0</v>
      </c>
      <c r="B967" s="166"/>
      <c r="C967" s="168"/>
      <c r="D967" s="167"/>
      <c r="E967" s="166"/>
      <c r="F967" s="165"/>
      <c r="G967" s="164"/>
    </row>
    <row r="968" spans="1:7" x14ac:dyDescent="0.25">
      <c r="A968" s="169" t="str">
        <f>E968&amp;COUNTIFS($E$2:E968,E968)</f>
        <v>0</v>
      </c>
      <c r="B968" s="166"/>
      <c r="C968" s="168"/>
      <c r="D968" s="167"/>
      <c r="E968" s="166"/>
      <c r="F968" s="165"/>
      <c r="G968" s="164"/>
    </row>
    <row r="969" spans="1:7" x14ac:dyDescent="0.25">
      <c r="A969" s="169" t="str">
        <f>E969&amp;COUNTIFS($E$2:E969,E969)</f>
        <v>0</v>
      </c>
      <c r="B969" s="166"/>
      <c r="C969" s="168"/>
      <c r="D969" s="167"/>
      <c r="E969" s="166"/>
      <c r="F969" s="165"/>
      <c r="G969" s="164"/>
    </row>
    <row r="970" spans="1:7" x14ac:dyDescent="0.25">
      <c r="A970" s="169" t="str">
        <f>E970&amp;COUNTIFS($E$2:E970,E970)</f>
        <v>0</v>
      </c>
      <c r="B970" s="166"/>
      <c r="C970" s="168"/>
      <c r="D970" s="167"/>
      <c r="E970" s="166"/>
      <c r="F970" s="165"/>
      <c r="G970" s="164"/>
    </row>
    <row r="971" spans="1:7" x14ac:dyDescent="0.25">
      <c r="A971" s="169" t="str">
        <f>E971&amp;COUNTIFS($E$2:E971,E971)</f>
        <v>0</v>
      </c>
      <c r="B971" s="166"/>
      <c r="C971" s="168"/>
      <c r="D971" s="167"/>
      <c r="E971" s="166"/>
      <c r="F971" s="165"/>
      <c r="G971" s="164"/>
    </row>
    <row r="972" spans="1:7" x14ac:dyDescent="0.25">
      <c r="A972" s="169" t="str">
        <f>E972&amp;COUNTIFS($E$2:E972,E972)</f>
        <v>0</v>
      </c>
      <c r="B972" s="166"/>
      <c r="C972" s="168"/>
      <c r="D972" s="167"/>
      <c r="E972" s="166"/>
      <c r="F972" s="165"/>
      <c r="G972" s="164"/>
    </row>
    <row r="973" spans="1:7" x14ac:dyDescent="0.25">
      <c r="A973" s="169" t="str">
        <f>E973&amp;COUNTIFS($E$2:E973,E973)</f>
        <v>0</v>
      </c>
      <c r="B973" s="166"/>
      <c r="C973" s="168"/>
      <c r="D973" s="167"/>
      <c r="E973" s="166"/>
      <c r="F973" s="165"/>
      <c r="G973" s="164"/>
    </row>
    <row r="974" spans="1:7" x14ac:dyDescent="0.25">
      <c r="A974" s="169" t="str">
        <f>E974&amp;COUNTIFS($E$2:E974,E974)</f>
        <v>0</v>
      </c>
      <c r="B974" s="166"/>
      <c r="C974" s="168"/>
      <c r="D974" s="167"/>
      <c r="E974" s="166"/>
      <c r="F974" s="165"/>
      <c r="G974" s="164"/>
    </row>
    <row r="975" spans="1:7" x14ac:dyDescent="0.25">
      <c r="A975" s="169" t="str">
        <f>E975&amp;COUNTIFS($E$2:E975,E975)</f>
        <v>0</v>
      </c>
      <c r="B975" s="166"/>
      <c r="C975" s="168"/>
      <c r="D975" s="167"/>
      <c r="E975" s="166"/>
      <c r="F975" s="165"/>
      <c r="G975" s="164"/>
    </row>
    <row r="976" spans="1:7" x14ac:dyDescent="0.25">
      <c r="A976" s="169" t="str">
        <f>E976&amp;COUNTIFS($E$2:E976,E976)</f>
        <v>0</v>
      </c>
      <c r="B976" s="166"/>
      <c r="C976" s="168"/>
      <c r="D976" s="167"/>
      <c r="E976" s="166"/>
      <c r="F976" s="165"/>
      <c r="G976" s="164"/>
    </row>
    <row r="977" spans="1:7" x14ac:dyDescent="0.25">
      <c r="A977" s="169" t="str">
        <f>E977&amp;COUNTIFS($E$2:E977,E977)</f>
        <v>0</v>
      </c>
      <c r="B977" s="166"/>
      <c r="C977" s="168"/>
      <c r="D977" s="167"/>
      <c r="E977" s="166"/>
      <c r="F977" s="165"/>
      <c r="G977" s="164"/>
    </row>
    <row r="978" spans="1:7" ht="15.75" thickBot="1" x14ac:dyDescent="0.3">
      <c r="A978" s="163" t="str">
        <f>E978&amp;COUNTIFS($E$2:E978,E978)</f>
        <v>0</v>
      </c>
      <c r="B978" s="160"/>
      <c r="C978" s="162"/>
      <c r="D978" s="161"/>
      <c r="E978" s="160"/>
      <c r="F978" s="159"/>
      <c r="G978" s="158"/>
    </row>
    <row r="979" spans="1:7" x14ac:dyDescent="0.25">
      <c r="A979" s="148"/>
      <c r="C979" s="143"/>
      <c r="D979" s="157"/>
      <c r="E979" s="143"/>
      <c r="F979" s="156"/>
      <c r="G979" s="156"/>
    </row>
    <row r="980" spans="1:7" x14ac:dyDescent="0.25">
      <c r="A980" s="148"/>
      <c r="C980" s="153" t="s">
        <v>623</v>
      </c>
      <c r="D980" s="152"/>
      <c r="E980" s="151"/>
      <c r="F980" s="150">
        <f>SUM(F954:F978)</f>
        <v>0</v>
      </c>
      <c r="G980" s="155">
        <f>SUM(G954:G978)</f>
        <v>0</v>
      </c>
    </row>
    <row r="981" spans="1:7" x14ac:dyDescent="0.25">
      <c r="A981" s="148"/>
      <c r="C981" s="145" t="s">
        <v>622</v>
      </c>
      <c r="D981" s="154"/>
      <c r="E981" s="145"/>
      <c r="F981" s="144"/>
      <c r="G981" s="144"/>
    </row>
    <row r="982" spans="1:7" x14ac:dyDescent="0.25">
      <c r="A982" s="148"/>
      <c r="C982" s="153" t="s">
        <v>621</v>
      </c>
      <c r="D982" s="152"/>
      <c r="E982" s="151"/>
      <c r="F982" s="150">
        <f>F949</f>
        <v>0</v>
      </c>
      <c r="G982" s="150">
        <f>G949</f>
        <v>0</v>
      </c>
    </row>
    <row r="983" spans="1:7" x14ac:dyDescent="0.25">
      <c r="A983" s="148"/>
      <c r="C983" s="153" t="s">
        <v>582</v>
      </c>
      <c r="D983" s="152"/>
      <c r="E983" s="151"/>
      <c r="F983" s="150">
        <f>F982+F980</f>
        <v>0</v>
      </c>
      <c r="G983" s="150">
        <f>G982+G980</f>
        <v>0</v>
      </c>
    </row>
    <row r="984" spans="1:7" ht="15.75" thickBot="1" x14ac:dyDescent="0.3">
      <c r="A984" s="148"/>
      <c r="C984" s="145"/>
      <c r="D984" s="149"/>
      <c r="E984" s="145"/>
      <c r="F984" s="144"/>
      <c r="G984" s="144"/>
    </row>
    <row r="985" spans="1:7" ht="15.75" thickBot="1" x14ac:dyDescent="0.3">
      <c r="A985" s="148"/>
      <c r="C985" s="147" t="s">
        <v>620</v>
      </c>
      <c r="D985" s="146">
        <f>F983-G983</f>
        <v>0</v>
      </c>
      <c r="E985" s="145"/>
      <c r="F985" s="144"/>
      <c r="G985" s="144"/>
    </row>
    <row r="986" spans="1:7" ht="15.75" thickBot="1" x14ac:dyDescent="0.3">
      <c r="A986" s="148"/>
      <c r="C986" s="145"/>
      <c r="D986" s="144"/>
      <c r="E986" s="145"/>
      <c r="F986" s="144"/>
      <c r="G986" s="144"/>
    </row>
    <row r="987" spans="1:7" ht="30.75" thickBot="1" x14ac:dyDescent="0.3">
      <c r="A987" s="272" t="s">
        <v>626</v>
      </c>
      <c r="B987" s="271" t="s">
        <v>606</v>
      </c>
      <c r="C987" s="270" t="s">
        <v>636</v>
      </c>
      <c r="D987" s="269" t="s">
        <v>601</v>
      </c>
      <c r="E987" s="268" t="s">
        <v>287</v>
      </c>
      <c r="F987" s="267" t="s">
        <v>624</v>
      </c>
      <c r="G987" s="267" t="s">
        <v>596</v>
      </c>
    </row>
    <row r="988" spans="1:7" x14ac:dyDescent="0.25">
      <c r="A988" s="169" t="str">
        <f>E988&amp;COUNTIFS($E$2:E988,E988)</f>
        <v>0</v>
      </c>
      <c r="B988" s="172"/>
      <c r="C988" s="174"/>
      <c r="D988" s="173"/>
      <c r="E988" s="172"/>
      <c r="F988" s="171"/>
      <c r="G988" s="170"/>
    </row>
    <row r="989" spans="1:7" x14ac:dyDescent="0.25">
      <c r="A989" s="169" t="str">
        <f>E989&amp;COUNTIFS($E$2:E989,E989)</f>
        <v>0</v>
      </c>
      <c r="B989" s="166"/>
      <c r="C989" s="168"/>
      <c r="D989" s="167"/>
      <c r="E989" s="166"/>
      <c r="F989" s="165"/>
      <c r="G989" s="164"/>
    </row>
    <row r="990" spans="1:7" x14ac:dyDescent="0.25">
      <c r="A990" s="169" t="str">
        <f>E990&amp;COUNTIFS($E$2:E990,E990)</f>
        <v>0</v>
      </c>
      <c r="B990" s="166"/>
      <c r="C990" s="168"/>
      <c r="D990" s="167"/>
      <c r="E990" s="166"/>
      <c r="F990" s="165"/>
      <c r="G990" s="164"/>
    </row>
    <row r="991" spans="1:7" x14ac:dyDescent="0.25">
      <c r="A991" s="169" t="str">
        <f>E991&amp;COUNTIFS($E$2:E991,E991)</f>
        <v>0</v>
      </c>
      <c r="B991" s="166"/>
      <c r="C991" s="168"/>
      <c r="D991" s="167"/>
      <c r="E991" s="166"/>
      <c r="F991" s="165"/>
      <c r="G991" s="164"/>
    </row>
    <row r="992" spans="1:7" x14ac:dyDescent="0.25">
      <c r="A992" s="169" t="str">
        <f>E992&amp;COUNTIFS($E$2:E992,E992)</f>
        <v>0</v>
      </c>
      <c r="B992" s="166"/>
      <c r="C992" s="168"/>
      <c r="D992" s="167"/>
      <c r="E992" s="166"/>
      <c r="F992" s="165"/>
      <c r="G992" s="164"/>
    </row>
    <row r="993" spans="1:7" x14ac:dyDescent="0.25">
      <c r="A993" s="169" t="str">
        <f>E993&amp;COUNTIFS($E$2:E993,E993)</f>
        <v>0</v>
      </c>
      <c r="B993" s="166"/>
      <c r="C993" s="168"/>
      <c r="D993" s="167"/>
      <c r="E993" s="166"/>
      <c r="F993" s="165"/>
      <c r="G993" s="164"/>
    </row>
    <row r="994" spans="1:7" x14ac:dyDescent="0.25">
      <c r="A994" s="169" t="str">
        <f>E994&amp;COUNTIFS($E$2:E994,E994)</f>
        <v>0</v>
      </c>
      <c r="B994" s="166"/>
      <c r="C994" s="168"/>
      <c r="D994" s="167"/>
      <c r="E994" s="166"/>
      <c r="F994" s="165"/>
      <c r="G994" s="164"/>
    </row>
    <row r="995" spans="1:7" x14ac:dyDescent="0.25">
      <c r="A995" s="169" t="str">
        <f>E995&amp;COUNTIFS($E$2:E995,E995)</f>
        <v>0</v>
      </c>
      <c r="B995" s="166"/>
      <c r="C995" s="168"/>
      <c r="D995" s="167"/>
      <c r="E995" s="166"/>
      <c r="F995" s="165"/>
      <c r="G995" s="164"/>
    </row>
    <row r="996" spans="1:7" x14ac:dyDescent="0.25">
      <c r="A996" s="169" t="str">
        <f>E996&amp;COUNTIFS($E$2:E996,E996)</f>
        <v>0</v>
      </c>
      <c r="B996" s="166"/>
      <c r="C996" s="168"/>
      <c r="D996" s="167"/>
      <c r="E996" s="166"/>
      <c r="F996" s="165"/>
      <c r="G996" s="164"/>
    </row>
    <row r="997" spans="1:7" x14ac:dyDescent="0.25">
      <c r="A997" s="169" t="str">
        <f>E997&amp;COUNTIFS($E$2:E997,E997)</f>
        <v>0</v>
      </c>
      <c r="B997" s="166"/>
      <c r="C997" s="168"/>
      <c r="D997" s="167"/>
      <c r="E997" s="166"/>
      <c r="F997" s="165"/>
      <c r="G997" s="164"/>
    </row>
    <row r="998" spans="1:7" x14ac:dyDescent="0.25">
      <c r="A998" s="169" t="str">
        <f>E998&amp;COUNTIFS($E$2:E998,E998)</f>
        <v>0</v>
      </c>
      <c r="B998" s="166"/>
      <c r="C998" s="168"/>
      <c r="D998" s="167"/>
      <c r="E998" s="166"/>
      <c r="F998" s="165"/>
      <c r="G998" s="164"/>
    </row>
    <row r="999" spans="1:7" x14ac:dyDescent="0.25">
      <c r="A999" s="169" t="str">
        <f>E999&amp;COUNTIFS($E$2:E999,E999)</f>
        <v>0</v>
      </c>
      <c r="B999" s="166"/>
      <c r="C999" s="168"/>
      <c r="D999" s="167"/>
      <c r="E999" s="166"/>
      <c r="F999" s="165"/>
      <c r="G999" s="164"/>
    </row>
    <row r="1000" spans="1:7" x14ac:dyDescent="0.25">
      <c r="A1000" s="169" t="str">
        <f>E1000&amp;COUNTIFS($E$2:E1000,E1000)</f>
        <v>0</v>
      </c>
      <c r="B1000" s="166"/>
      <c r="C1000" s="168"/>
      <c r="D1000" s="167"/>
      <c r="E1000" s="166"/>
      <c r="F1000" s="165"/>
      <c r="G1000" s="164"/>
    </row>
    <row r="1001" spans="1:7" x14ac:dyDescent="0.25">
      <c r="A1001" s="169" t="str">
        <f>E1001&amp;COUNTIFS($E$2:E1001,E1001)</f>
        <v>0</v>
      </c>
      <c r="B1001" s="166"/>
      <c r="C1001" s="168"/>
      <c r="D1001" s="167"/>
      <c r="E1001" s="166"/>
      <c r="F1001" s="165"/>
      <c r="G1001" s="164"/>
    </row>
    <row r="1002" spans="1:7" x14ac:dyDescent="0.25">
      <c r="A1002" s="169" t="str">
        <f>E1002&amp;COUNTIFS($E$2:E1002,E1002)</f>
        <v>0</v>
      </c>
      <c r="B1002" s="166"/>
      <c r="C1002" s="168"/>
      <c r="D1002" s="167"/>
      <c r="E1002" s="166"/>
      <c r="F1002" s="165"/>
      <c r="G1002" s="164"/>
    </row>
    <row r="1003" spans="1:7" x14ac:dyDescent="0.25">
      <c r="A1003" s="169" t="str">
        <f>E1003&amp;COUNTIFS($E$2:E1003,E1003)</f>
        <v>0</v>
      </c>
      <c r="B1003" s="166"/>
      <c r="C1003" s="168"/>
      <c r="D1003" s="167"/>
      <c r="E1003" s="166"/>
      <c r="F1003" s="165"/>
      <c r="G1003" s="164"/>
    </row>
    <row r="1004" spans="1:7" x14ac:dyDescent="0.25">
      <c r="A1004" s="169" t="str">
        <f>E1004&amp;COUNTIFS($E$2:E1004,E1004)</f>
        <v>0</v>
      </c>
      <c r="B1004" s="166"/>
      <c r="C1004" s="168"/>
      <c r="D1004" s="167"/>
      <c r="E1004" s="166"/>
      <c r="F1004" s="165"/>
      <c r="G1004" s="164"/>
    </row>
    <row r="1005" spans="1:7" x14ac:dyDescent="0.25">
      <c r="A1005" s="169" t="str">
        <f>E1005&amp;COUNTIFS($E$2:E1005,E1005)</f>
        <v>0</v>
      </c>
      <c r="B1005" s="166"/>
      <c r="C1005" s="168"/>
      <c r="D1005" s="167"/>
      <c r="E1005" s="166"/>
      <c r="F1005" s="165"/>
      <c r="G1005" s="164"/>
    </row>
    <row r="1006" spans="1:7" x14ac:dyDescent="0.25">
      <c r="A1006" s="169" t="str">
        <f>E1006&amp;COUNTIFS($E$2:E1006,E1006)</f>
        <v>0</v>
      </c>
      <c r="B1006" s="166"/>
      <c r="C1006" s="168"/>
      <c r="D1006" s="167"/>
      <c r="E1006" s="166"/>
      <c r="F1006" s="165"/>
      <c r="G1006" s="164"/>
    </row>
    <row r="1007" spans="1:7" x14ac:dyDescent="0.25">
      <c r="A1007" s="169" t="str">
        <f>E1007&amp;COUNTIFS($E$2:E1007,E1007)</f>
        <v>0</v>
      </c>
      <c r="B1007" s="166"/>
      <c r="C1007" s="168"/>
      <c r="D1007" s="167"/>
      <c r="E1007" s="166"/>
      <c r="F1007" s="165"/>
      <c r="G1007" s="164"/>
    </row>
    <row r="1008" spans="1:7" x14ac:dyDescent="0.25">
      <c r="A1008" s="169" t="str">
        <f>E1008&amp;COUNTIFS($E$2:E1008,E1008)</f>
        <v>0</v>
      </c>
      <c r="B1008" s="166"/>
      <c r="C1008" s="168"/>
      <c r="D1008" s="167"/>
      <c r="E1008" s="166"/>
      <c r="F1008" s="165"/>
      <c r="G1008" s="164"/>
    </row>
    <row r="1009" spans="1:7" x14ac:dyDescent="0.25">
      <c r="A1009" s="169" t="str">
        <f>E1009&amp;COUNTIFS($E$2:E1009,E1009)</f>
        <v>0</v>
      </c>
      <c r="B1009" s="166"/>
      <c r="C1009" s="168"/>
      <c r="D1009" s="167"/>
      <c r="E1009" s="166"/>
      <c r="F1009" s="165"/>
      <c r="G1009" s="164"/>
    </row>
    <row r="1010" spans="1:7" x14ac:dyDescent="0.25">
      <c r="A1010" s="169" t="str">
        <f>E1010&amp;COUNTIFS($E$2:E1010,E1010)</f>
        <v>0</v>
      </c>
      <c r="B1010" s="166"/>
      <c r="C1010" s="168"/>
      <c r="D1010" s="167"/>
      <c r="E1010" s="166"/>
      <c r="F1010" s="165"/>
      <c r="G1010" s="164"/>
    </row>
    <row r="1011" spans="1:7" x14ac:dyDescent="0.25">
      <c r="A1011" s="169" t="str">
        <f>E1011&amp;COUNTIFS($E$2:E1011,E1011)</f>
        <v>0</v>
      </c>
      <c r="B1011" s="166"/>
      <c r="C1011" s="168"/>
      <c r="D1011" s="167"/>
      <c r="E1011" s="166"/>
      <c r="F1011" s="165"/>
      <c r="G1011" s="164"/>
    </row>
    <row r="1012" spans="1:7" ht="15.75" thickBot="1" x14ac:dyDescent="0.3">
      <c r="A1012" s="163" t="str">
        <f>E1012&amp;COUNTIFS($E$2:E1012,E1012)</f>
        <v>0</v>
      </c>
      <c r="B1012" s="160"/>
      <c r="C1012" s="162"/>
      <c r="D1012" s="161"/>
      <c r="E1012" s="160"/>
      <c r="F1012" s="159"/>
      <c r="G1012" s="158"/>
    </row>
    <row r="1013" spans="1:7" x14ac:dyDescent="0.25">
      <c r="A1013" s="148"/>
      <c r="C1013" s="143"/>
      <c r="D1013" s="157"/>
      <c r="E1013" s="143"/>
      <c r="F1013" s="156"/>
      <c r="G1013" s="156"/>
    </row>
    <row r="1014" spans="1:7" x14ac:dyDescent="0.25">
      <c r="A1014" s="148"/>
      <c r="C1014" s="153" t="s">
        <v>623</v>
      </c>
      <c r="D1014" s="152"/>
      <c r="E1014" s="151"/>
      <c r="F1014" s="150">
        <f>SUM(F988:F1012)</f>
        <v>0</v>
      </c>
      <c r="G1014" s="155">
        <f>SUM(G988:G1012)</f>
        <v>0</v>
      </c>
    </row>
    <row r="1015" spans="1:7" x14ac:dyDescent="0.25">
      <c r="A1015" s="148"/>
      <c r="C1015" s="145" t="s">
        <v>622</v>
      </c>
      <c r="D1015" s="154"/>
      <c r="E1015" s="145"/>
      <c r="F1015" s="144"/>
      <c r="G1015" s="144"/>
    </row>
    <row r="1016" spans="1:7" x14ac:dyDescent="0.25">
      <c r="A1016" s="148"/>
      <c r="C1016" s="153" t="s">
        <v>621</v>
      </c>
      <c r="D1016" s="152"/>
      <c r="E1016" s="151"/>
      <c r="F1016" s="150">
        <f>F983</f>
        <v>0</v>
      </c>
      <c r="G1016" s="150">
        <f>G983</f>
        <v>0</v>
      </c>
    </row>
    <row r="1017" spans="1:7" x14ac:dyDescent="0.25">
      <c r="A1017" s="148"/>
      <c r="C1017" s="153" t="s">
        <v>582</v>
      </c>
      <c r="D1017" s="152"/>
      <c r="E1017" s="151"/>
      <c r="F1017" s="150">
        <f>F1016+F1014</f>
        <v>0</v>
      </c>
      <c r="G1017" s="150">
        <f>G1016+G1014</f>
        <v>0</v>
      </c>
    </row>
    <row r="1018" spans="1:7" ht="15.75" thickBot="1" x14ac:dyDescent="0.3">
      <c r="A1018" s="148"/>
      <c r="C1018" s="145"/>
      <c r="D1018" s="149"/>
      <c r="E1018" s="145"/>
      <c r="F1018" s="144"/>
      <c r="G1018" s="144"/>
    </row>
    <row r="1019" spans="1:7" ht="15.75" thickBot="1" x14ac:dyDescent="0.3">
      <c r="A1019" s="148"/>
      <c r="C1019" s="147" t="s">
        <v>620</v>
      </c>
      <c r="D1019" s="146">
        <f>F1017-G1017</f>
        <v>0</v>
      </c>
      <c r="E1019" s="145"/>
      <c r="F1019" s="144"/>
      <c r="G1019" s="144"/>
    </row>
    <row r="1020" spans="1:7" ht="15.75" thickBot="1" x14ac:dyDescent="0.3">
      <c r="A1020" s="148"/>
      <c r="C1020" s="145"/>
      <c r="D1020" s="144"/>
      <c r="E1020" s="145"/>
      <c r="F1020" s="144"/>
      <c r="G1020" s="144"/>
    </row>
    <row r="1021" spans="1:7" ht="30.75" thickBot="1" x14ac:dyDescent="0.3">
      <c r="A1021" s="265" t="s">
        <v>626</v>
      </c>
      <c r="B1021" s="264" t="s">
        <v>606</v>
      </c>
      <c r="C1021" s="263" t="s">
        <v>635</v>
      </c>
      <c r="D1021" s="262" t="s">
        <v>601</v>
      </c>
      <c r="E1021" s="261" t="s">
        <v>287</v>
      </c>
      <c r="F1021" s="260" t="s">
        <v>624</v>
      </c>
      <c r="G1021" s="260" t="s">
        <v>596</v>
      </c>
    </row>
    <row r="1022" spans="1:7" x14ac:dyDescent="0.25">
      <c r="A1022" s="169" t="str">
        <f>E1022&amp;COUNTIFS($E$2:E1022,E1022)</f>
        <v>0</v>
      </c>
      <c r="B1022" s="172"/>
      <c r="C1022" s="174"/>
      <c r="D1022" s="173"/>
      <c r="E1022" s="172"/>
      <c r="F1022" s="171"/>
      <c r="G1022" s="170"/>
    </row>
    <row r="1023" spans="1:7" x14ac:dyDescent="0.25">
      <c r="A1023" s="169" t="str">
        <f>E1023&amp;COUNTIFS($E$2:E1023,E1023)</f>
        <v>0</v>
      </c>
      <c r="B1023" s="166"/>
      <c r="C1023" s="168"/>
      <c r="D1023" s="167"/>
      <c r="E1023" s="166"/>
      <c r="F1023" s="165"/>
      <c r="G1023" s="164"/>
    </row>
    <row r="1024" spans="1:7" x14ac:dyDescent="0.25">
      <c r="A1024" s="169" t="str">
        <f>E1024&amp;COUNTIFS($E$2:E1024,E1024)</f>
        <v>0</v>
      </c>
      <c r="B1024" s="166"/>
      <c r="C1024" s="168"/>
      <c r="D1024" s="167"/>
      <c r="E1024" s="166"/>
      <c r="F1024" s="165"/>
      <c r="G1024" s="164"/>
    </row>
    <row r="1025" spans="1:7" x14ac:dyDescent="0.25">
      <c r="A1025" s="169" t="str">
        <f>E1025&amp;COUNTIFS($E$2:E1025,E1025)</f>
        <v>0</v>
      </c>
      <c r="B1025" s="166"/>
      <c r="C1025" s="168"/>
      <c r="D1025" s="167"/>
      <c r="E1025" s="166"/>
      <c r="F1025" s="165"/>
      <c r="G1025" s="164"/>
    </row>
    <row r="1026" spans="1:7" x14ac:dyDescent="0.25">
      <c r="A1026" s="169" t="str">
        <f>E1026&amp;COUNTIFS($E$2:E1026,E1026)</f>
        <v>0</v>
      </c>
      <c r="B1026" s="166"/>
      <c r="C1026" s="168"/>
      <c r="D1026" s="167"/>
      <c r="E1026" s="166"/>
      <c r="F1026" s="165"/>
      <c r="G1026" s="164"/>
    </row>
    <row r="1027" spans="1:7" x14ac:dyDescent="0.25">
      <c r="A1027" s="169" t="str">
        <f>E1027&amp;COUNTIFS($E$2:E1027,E1027)</f>
        <v>0</v>
      </c>
      <c r="B1027" s="166"/>
      <c r="C1027" s="168"/>
      <c r="D1027" s="167"/>
      <c r="E1027" s="166"/>
      <c r="F1027" s="165"/>
      <c r="G1027" s="164"/>
    </row>
    <row r="1028" spans="1:7" x14ac:dyDescent="0.25">
      <c r="A1028" s="169" t="str">
        <f>E1028&amp;COUNTIFS($E$2:E1028,E1028)</f>
        <v>0</v>
      </c>
      <c r="B1028" s="166"/>
      <c r="C1028" s="168"/>
      <c r="D1028" s="167"/>
      <c r="E1028" s="166"/>
      <c r="F1028" s="165"/>
      <c r="G1028" s="164"/>
    </row>
    <row r="1029" spans="1:7" x14ac:dyDescent="0.25">
      <c r="A1029" s="169" t="str">
        <f>E1029&amp;COUNTIFS($E$2:E1029,E1029)</f>
        <v>0</v>
      </c>
      <c r="B1029" s="166"/>
      <c r="C1029" s="168"/>
      <c r="D1029" s="167"/>
      <c r="E1029" s="166"/>
      <c r="F1029" s="165"/>
      <c r="G1029" s="164"/>
    </row>
    <row r="1030" spans="1:7" x14ac:dyDescent="0.25">
      <c r="A1030" s="169" t="str">
        <f>E1030&amp;COUNTIFS($E$2:E1030,E1030)</f>
        <v>0</v>
      </c>
      <c r="B1030" s="166"/>
      <c r="C1030" s="168"/>
      <c r="D1030" s="167"/>
      <c r="E1030" s="166"/>
      <c r="F1030" s="165"/>
      <c r="G1030" s="164"/>
    </row>
    <row r="1031" spans="1:7" x14ac:dyDescent="0.25">
      <c r="A1031" s="169" t="str">
        <f>E1031&amp;COUNTIFS($E$2:E1031,E1031)</f>
        <v>0</v>
      </c>
      <c r="B1031" s="166"/>
      <c r="C1031" s="168"/>
      <c r="D1031" s="167"/>
      <c r="E1031" s="166"/>
      <c r="F1031" s="165"/>
      <c r="G1031" s="164"/>
    </row>
    <row r="1032" spans="1:7" x14ac:dyDescent="0.25">
      <c r="A1032" s="169" t="str">
        <f>E1032&amp;COUNTIFS($E$2:E1032,E1032)</f>
        <v>0</v>
      </c>
      <c r="B1032" s="166"/>
      <c r="C1032" s="168"/>
      <c r="D1032" s="167"/>
      <c r="E1032" s="166"/>
      <c r="F1032" s="165"/>
      <c r="G1032" s="164"/>
    </row>
    <row r="1033" spans="1:7" x14ac:dyDescent="0.25">
      <c r="A1033" s="169" t="str">
        <f>E1033&amp;COUNTIFS($E$2:E1033,E1033)</f>
        <v>0</v>
      </c>
      <c r="B1033" s="166"/>
      <c r="C1033" s="168"/>
      <c r="D1033" s="167"/>
      <c r="E1033" s="166"/>
      <c r="F1033" s="165"/>
      <c r="G1033" s="164"/>
    </row>
    <row r="1034" spans="1:7" x14ac:dyDescent="0.25">
      <c r="A1034" s="169" t="str">
        <f>E1034&amp;COUNTIFS($E$2:E1034,E1034)</f>
        <v>0</v>
      </c>
      <c r="B1034" s="166"/>
      <c r="C1034" s="168"/>
      <c r="D1034" s="167"/>
      <c r="E1034" s="166"/>
      <c r="F1034" s="165"/>
      <c r="G1034" s="164"/>
    </row>
    <row r="1035" spans="1:7" x14ac:dyDescent="0.25">
      <c r="A1035" s="169" t="str">
        <f>E1035&amp;COUNTIFS($E$2:E1035,E1035)</f>
        <v>0</v>
      </c>
      <c r="B1035" s="166"/>
      <c r="C1035" s="168"/>
      <c r="D1035" s="167"/>
      <c r="E1035" s="166"/>
      <c r="F1035" s="165"/>
      <c r="G1035" s="164"/>
    </row>
    <row r="1036" spans="1:7" x14ac:dyDescent="0.25">
      <c r="A1036" s="169" t="str">
        <f>E1036&amp;COUNTIFS($E$2:E1036,E1036)</f>
        <v>0</v>
      </c>
      <c r="B1036" s="166"/>
      <c r="C1036" s="168"/>
      <c r="D1036" s="167"/>
      <c r="E1036" s="166"/>
      <c r="F1036" s="165"/>
      <c r="G1036" s="164"/>
    </row>
    <row r="1037" spans="1:7" x14ac:dyDescent="0.25">
      <c r="A1037" s="169" t="str">
        <f>E1037&amp;COUNTIFS($E$2:E1037,E1037)</f>
        <v>0</v>
      </c>
      <c r="B1037" s="166"/>
      <c r="C1037" s="168"/>
      <c r="D1037" s="167"/>
      <c r="E1037" s="166"/>
      <c r="F1037" s="165"/>
      <c r="G1037" s="164"/>
    </row>
    <row r="1038" spans="1:7" x14ac:dyDescent="0.25">
      <c r="A1038" s="169" t="str">
        <f>E1038&amp;COUNTIFS($E$2:E1038,E1038)</f>
        <v>0</v>
      </c>
      <c r="B1038" s="166"/>
      <c r="C1038" s="168"/>
      <c r="D1038" s="167"/>
      <c r="E1038" s="166"/>
      <c r="F1038" s="165"/>
      <c r="G1038" s="164"/>
    </row>
    <row r="1039" spans="1:7" x14ac:dyDescent="0.25">
      <c r="A1039" s="169" t="str">
        <f>E1039&amp;COUNTIFS($E$2:E1039,E1039)</f>
        <v>0</v>
      </c>
      <c r="B1039" s="166"/>
      <c r="C1039" s="168"/>
      <c r="D1039" s="167"/>
      <c r="E1039" s="166"/>
      <c r="F1039" s="165"/>
      <c r="G1039" s="164"/>
    </row>
    <row r="1040" spans="1:7" x14ac:dyDescent="0.25">
      <c r="A1040" s="169" t="str">
        <f>E1040&amp;COUNTIFS($E$2:E1040,E1040)</f>
        <v>0</v>
      </c>
      <c r="B1040" s="166"/>
      <c r="C1040" s="168"/>
      <c r="D1040" s="167"/>
      <c r="E1040" s="166"/>
      <c r="F1040" s="165"/>
      <c r="G1040" s="164"/>
    </row>
    <row r="1041" spans="1:7" x14ac:dyDescent="0.25">
      <c r="A1041" s="169" t="str">
        <f>E1041&amp;COUNTIFS($E$2:E1041,E1041)</f>
        <v>0</v>
      </c>
      <c r="B1041" s="166"/>
      <c r="C1041" s="168"/>
      <c r="D1041" s="167"/>
      <c r="E1041" s="166"/>
      <c r="F1041" s="165"/>
      <c r="G1041" s="164"/>
    </row>
    <row r="1042" spans="1:7" x14ac:dyDescent="0.25">
      <c r="A1042" s="169" t="str">
        <f>E1042&amp;COUNTIFS($E$2:E1042,E1042)</f>
        <v>0</v>
      </c>
      <c r="B1042" s="166"/>
      <c r="C1042" s="168"/>
      <c r="D1042" s="167"/>
      <c r="E1042" s="166"/>
      <c r="F1042" s="165"/>
      <c r="G1042" s="164"/>
    </row>
    <row r="1043" spans="1:7" x14ac:dyDescent="0.25">
      <c r="A1043" s="169" t="str">
        <f>E1043&amp;COUNTIFS($E$2:E1043,E1043)</f>
        <v>0</v>
      </c>
      <c r="B1043" s="166"/>
      <c r="C1043" s="168"/>
      <c r="D1043" s="167"/>
      <c r="E1043" s="166"/>
      <c r="F1043" s="165"/>
      <c r="G1043" s="164"/>
    </row>
    <row r="1044" spans="1:7" x14ac:dyDescent="0.25">
      <c r="A1044" s="169" t="str">
        <f>E1044&amp;COUNTIFS($E$2:E1044,E1044)</f>
        <v>0</v>
      </c>
      <c r="B1044" s="166"/>
      <c r="C1044" s="168"/>
      <c r="D1044" s="167"/>
      <c r="E1044" s="166"/>
      <c r="F1044" s="165"/>
      <c r="G1044" s="164"/>
    </row>
    <row r="1045" spans="1:7" x14ac:dyDescent="0.25">
      <c r="A1045" s="169" t="str">
        <f>E1045&amp;COUNTIFS($E$2:E1045,E1045)</f>
        <v>0</v>
      </c>
      <c r="B1045" s="166"/>
      <c r="C1045" s="168"/>
      <c r="D1045" s="167"/>
      <c r="E1045" s="166"/>
      <c r="F1045" s="165"/>
      <c r="G1045" s="164"/>
    </row>
    <row r="1046" spans="1:7" ht="15.75" thickBot="1" x14ac:dyDescent="0.3">
      <c r="A1046" s="163" t="str">
        <f>E1046&amp;COUNTIFS($E$2:E1046,E1046)</f>
        <v>0</v>
      </c>
      <c r="B1046" s="160"/>
      <c r="C1046" s="162"/>
      <c r="D1046" s="161"/>
      <c r="E1046" s="160"/>
      <c r="F1046" s="159"/>
      <c r="G1046" s="158"/>
    </row>
    <row r="1047" spans="1:7" x14ac:dyDescent="0.25">
      <c r="A1047" s="148"/>
      <c r="C1047" s="143"/>
      <c r="D1047" s="157"/>
      <c r="E1047" s="143"/>
      <c r="F1047" s="156"/>
      <c r="G1047" s="156"/>
    </row>
    <row r="1048" spans="1:7" x14ac:dyDescent="0.25">
      <c r="A1048" s="148"/>
      <c r="C1048" s="153" t="s">
        <v>623</v>
      </c>
      <c r="D1048" s="152"/>
      <c r="E1048" s="151"/>
      <c r="F1048" s="150">
        <f>SUM(F1022:F1046)</f>
        <v>0</v>
      </c>
      <c r="G1048" s="155">
        <f>SUM(G1022:G1046)</f>
        <v>0</v>
      </c>
    </row>
    <row r="1049" spans="1:7" x14ac:dyDescent="0.25">
      <c r="A1049" s="148"/>
      <c r="C1049" s="145" t="s">
        <v>622</v>
      </c>
      <c r="D1049" s="154"/>
      <c r="E1049" s="145"/>
      <c r="F1049" s="144"/>
      <c r="G1049" s="144"/>
    </row>
    <row r="1050" spans="1:7" x14ac:dyDescent="0.25">
      <c r="A1050" s="148"/>
      <c r="C1050" s="153" t="s">
        <v>621</v>
      </c>
      <c r="D1050" s="152"/>
      <c r="E1050" s="151"/>
      <c r="F1050" s="150">
        <f>F949</f>
        <v>0</v>
      </c>
      <c r="G1050" s="150">
        <f>G949</f>
        <v>0</v>
      </c>
    </row>
    <row r="1051" spans="1:7" x14ac:dyDescent="0.25">
      <c r="A1051" s="148"/>
      <c r="C1051" s="153" t="s">
        <v>582</v>
      </c>
      <c r="D1051" s="152"/>
      <c r="E1051" s="151"/>
      <c r="F1051" s="150">
        <f>F1050+F1048</f>
        <v>0</v>
      </c>
      <c r="G1051" s="150">
        <f>G1050+G1048</f>
        <v>0</v>
      </c>
    </row>
    <row r="1052" spans="1:7" ht="15.75" thickBot="1" x14ac:dyDescent="0.3">
      <c r="A1052" s="148"/>
      <c r="C1052" s="145"/>
      <c r="D1052" s="149"/>
      <c r="E1052" s="145"/>
      <c r="F1052" s="144"/>
      <c r="G1052" s="144"/>
    </row>
    <row r="1053" spans="1:7" ht="15.75" thickBot="1" x14ac:dyDescent="0.3">
      <c r="A1053" s="148"/>
      <c r="C1053" s="147" t="s">
        <v>620</v>
      </c>
      <c r="D1053" s="146">
        <f>F1051-G1051</f>
        <v>0</v>
      </c>
      <c r="E1053" s="145"/>
      <c r="F1053" s="144"/>
      <c r="G1053" s="144"/>
    </row>
    <row r="1054" spans="1:7" ht="15.75" thickBot="1" x14ac:dyDescent="0.3"/>
    <row r="1055" spans="1:7" ht="30.75" thickBot="1" x14ac:dyDescent="0.3">
      <c r="A1055" s="265" t="s">
        <v>626</v>
      </c>
      <c r="B1055" s="264" t="s">
        <v>606</v>
      </c>
      <c r="C1055" s="263" t="s">
        <v>635</v>
      </c>
      <c r="D1055" s="262" t="s">
        <v>601</v>
      </c>
      <c r="E1055" s="261" t="s">
        <v>287</v>
      </c>
      <c r="F1055" s="260" t="s">
        <v>624</v>
      </c>
      <c r="G1055" s="260" t="s">
        <v>596</v>
      </c>
    </row>
    <row r="1056" spans="1:7" x14ac:dyDescent="0.25">
      <c r="A1056" s="169" t="str">
        <f>E1056&amp;COUNTIFS($E$2:E1056,E1056)</f>
        <v>0</v>
      </c>
      <c r="B1056" s="172"/>
      <c r="C1056" s="174"/>
      <c r="D1056" s="173"/>
      <c r="E1056" s="172"/>
      <c r="F1056" s="171"/>
      <c r="G1056" s="170"/>
    </row>
    <row r="1057" spans="1:7" x14ac:dyDescent="0.25">
      <c r="A1057" s="169" t="str">
        <f>E1057&amp;COUNTIFS($E$2:E1057,E1057)</f>
        <v>0</v>
      </c>
      <c r="B1057" s="166"/>
      <c r="C1057" s="168"/>
      <c r="D1057" s="167"/>
      <c r="E1057" s="166"/>
      <c r="F1057" s="165"/>
      <c r="G1057" s="164"/>
    </row>
    <row r="1058" spans="1:7" x14ac:dyDescent="0.25">
      <c r="A1058" s="169" t="str">
        <f>E1058&amp;COUNTIFS($E$2:E1058,E1058)</f>
        <v>0</v>
      </c>
      <c r="B1058" s="166"/>
      <c r="C1058" s="168"/>
      <c r="D1058" s="167"/>
      <c r="E1058" s="166"/>
      <c r="F1058" s="165"/>
      <c r="G1058" s="164"/>
    </row>
    <row r="1059" spans="1:7" x14ac:dyDescent="0.25">
      <c r="A1059" s="169" t="str">
        <f>E1059&amp;COUNTIFS($E$2:E1059,E1059)</f>
        <v>0</v>
      </c>
      <c r="B1059" s="166"/>
      <c r="C1059" s="168"/>
      <c r="D1059" s="167"/>
      <c r="E1059" s="166"/>
      <c r="F1059" s="165"/>
      <c r="G1059" s="164"/>
    </row>
    <row r="1060" spans="1:7" x14ac:dyDescent="0.25">
      <c r="A1060" s="169" t="str">
        <f>E1060&amp;COUNTIFS($E$2:E1060,E1060)</f>
        <v>0</v>
      </c>
      <c r="B1060" s="166"/>
      <c r="C1060" s="168"/>
      <c r="D1060" s="167"/>
      <c r="E1060" s="166"/>
      <c r="F1060" s="165"/>
      <c r="G1060" s="164"/>
    </row>
    <row r="1061" spans="1:7" x14ac:dyDescent="0.25">
      <c r="A1061" s="169" t="str">
        <f>E1061&amp;COUNTIFS($E$2:E1061,E1061)</f>
        <v>0</v>
      </c>
      <c r="B1061" s="166"/>
      <c r="C1061" s="168"/>
      <c r="D1061" s="167"/>
      <c r="E1061" s="166"/>
      <c r="F1061" s="165"/>
      <c r="G1061" s="164"/>
    </row>
    <row r="1062" spans="1:7" x14ac:dyDescent="0.25">
      <c r="A1062" s="169" t="str">
        <f>E1062&amp;COUNTIFS($E$2:E1062,E1062)</f>
        <v>0</v>
      </c>
      <c r="B1062" s="166"/>
      <c r="C1062" s="168"/>
      <c r="D1062" s="167"/>
      <c r="E1062" s="166"/>
      <c r="F1062" s="165"/>
      <c r="G1062" s="164"/>
    </row>
    <row r="1063" spans="1:7" x14ac:dyDescent="0.25">
      <c r="A1063" s="169" t="str">
        <f>E1063&amp;COUNTIFS($E$2:E1063,E1063)</f>
        <v>0</v>
      </c>
      <c r="B1063" s="166"/>
      <c r="C1063" s="168"/>
      <c r="D1063" s="167"/>
      <c r="E1063" s="166"/>
      <c r="F1063" s="165"/>
      <c r="G1063" s="164"/>
    </row>
    <row r="1064" spans="1:7" x14ac:dyDescent="0.25">
      <c r="A1064" s="169" t="str">
        <f>E1064&amp;COUNTIFS($E$2:E1064,E1064)</f>
        <v>0</v>
      </c>
      <c r="B1064" s="166"/>
      <c r="C1064" s="168"/>
      <c r="D1064" s="167"/>
      <c r="E1064" s="166"/>
      <c r="F1064" s="165"/>
      <c r="G1064" s="164"/>
    </row>
    <row r="1065" spans="1:7" x14ac:dyDescent="0.25">
      <c r="A1065" s="169" t="str">
        <f>E1065&amp;COUNTIFS($E$2:E1065,E1065)</f>
        <v>0</v>
      </c>
      <c r="B1065" s="166"/>
      <c r="C1065" s="168"/>
      <c r="D1065" s="167"/>
      <c r="E1065" s="166"/>
      <c r="F1065" s="165"/>
      <c r="G1065" s="164"/>
    </row>
    <row r="1066" spans="1:7" x14ac:dyDescent="0.25">
      <c r="A1066" s="169" t="str">
        <f>E1066&amp;COUNTIFS($E$2:E1066,E1066)</f>
        <v>0</v>
      </c>
      <c r="B1066" s="166"/>
      <c r="C1066" s="168"/>
      <c r="D1066" s="167"/>
      <c r="E1066" s="166"/>
      <c r="F1066" s="165"/>
      <c r="G1066" s="164"/>
    </row>
    <row r="1067" spans="1:7" x14ac:dyDescent="0.25">
      <c r="A1067" s="169" t="str">
        <f>E1067&amp;COUNTIFS($E$2:E1067,E1067)</f>
        <v>0</v>
      </c>
      <c r="B1067" s="166"/>
      <c r="C1067" s="168"/>
      <c r="D1067" s="167"/>
      <c r="E1067" s="166"/>
      <c r="F1067" s="165"/>
      <c r="G1067" s="164"/>
    </row>
    <row r="1068" spans="1:7" x14ac:dyDescent="0.25">
      <c r="A1068" s="169" t="str">
        <f>E1068&amp;COUNTIFS($E$2:E1068,E1068)</f>
        <v>0</v>
      </c>
      <c r="B1068" s="166"/>
      <c r="C1068" s="168"/>
      <c r="D1068" s="167"/>
      <c r="E1068" s="166"/>
      <c r="F1068" s="165"/>
      <c r="G1068" s="164"/>
    </row>
    <row r="1069" spans="1:7" x14ac:dyDescent="0.25">
      <c r="A1069" s="169" t="str">
        <f>E1069&amp;COUNTIFS($E$2:E1069,E1069)</f>
        <v>0</v>
      </c>
      <c r="B1069" s="166"/>
      <c r="C1069" s="168"/>
      <c r="D1069" s="167"/>
      <c r="E1069" s="166"/>
      <c r="F1069" s="165"/>
      <c r="G1069" s="164"/>
    </row>
    <row r="1070" spans="1:7" x14ac:dyDescent="0.25">
      <c r="A1070" s="169" t="str">
        <f>E1070&amp;COUNTIFS($E$2:E1070,E1070)</f>
        <v>0</v>
      </c>
      <c r="B1070" s="166"/>
      <c r="C1070" s="168"/>
      <c r="D1070" s="167"/>
      <c r="E1070" s="166"/>
      <c r="F1070" s="165"/>
      <c r="G1070" s="164"/>
    </row>
    <row r="1071" spans="1:7" x14ac:dyDescent="0.25">
      <c r="A1071" s="169" t="str">
        <f>E1071&amp;COUNTIFS($E$2:E1071,E1071)</f>
        <v>0</v>
      </c>
      <c r="B1071" s="166"/>
      <c r="C1071" s="168"/>
      <c r="D1071" s="167"/>
      <c r="E1071" s="166"/>
      <c r="F1071" s="165"/>
      <c r="G1071" s="164"/>
    </row>
    <row r="1072" spans="1:7" x14ac:dyDescent="0.25">
      <c r="A1072" s="169" t="str">
        <f>E1072&amp;COUNTIFS($E$2:E1072,E1072)</f>
        <v>0</v>
      </c>
      <c r="B1072" s="166"/>
      <c r="C1072" s="168"/>
      <c r="D1072" s="167"/>
      <c r="E1072" s="166"/>
      <c r="F1072" s="165"/>
      <c r="G1072" s="164"/>
    </row>
    <row r="1073" spans="1:7" x14ac:dyDescent="0.25">
      <c r="A1073" s="169" t="str">
        <f>E1073&amp;COUNTIFS($E$2:E1073,E1073)</f>
        <v>0</v>
      </c>
      <c r="B1073" s="166"/>
      <c r="C1073" s="168"/>
      <c r="D1073" s="167"/>
      <c r="E1073" s="166"/>
      <c r="F1073" s="165"/>
      <c r="G1073" s="164"/>
    </row>
    <row r="1074" spans="1:7" x14ac:dyDescent="0.25">
      <c r="A1074" s="169" t="str">
        <f>E1074&amp;COUNTIFS($E$2:E1074,E1074)</f>
        <v>0</v>
      </c>
      <c r="B1074" s="166"/>
      <c r="C1074" s="168"/>
      <c r="D1074" s="167"/>
      <c r="E1074" s="166"/>
      <c r="F1074" s="165"/>
      <c r="G1074" s="164"/>
    </row>
    <row r="1075" spans="1:7" x14ac:dyDescent="0.25">
      <c r="A1075" s="169" t="str">
        <f>E1075&amp;COUNTIFS($E$2:E1075,E1075)</f>
        <v>0</v>
      </c>
      <c r="B1075" s="166"/>
      <c r="C1075" s="168"/>
      <c r="D1075" s="167"/>
      <c r="E1075" s="166"/>
      <c r="F1075" s="165"/>
      <c r="G1075" s="164"/>
    </row>
    <row r="1076" spans="1:7" x14ac:dyDescent="0.25">
      <c r="A1076" s="169" t="str">
        <f>E1076&amp;COUNTIFS($E$2:E1076,E1076)</f>
        <v>0</v>
      </c>
      <c r="B1076" s="166"/>
      <c r="C1076" s="168"/>
      <c r="D1076" s="167"/>
      <c r="E1076" s="166"/>
      <c r="F1076" s="165"/>
      <c r="G1076" s="164"/>
    </row>
    <row r="1077" spans="1:7" x14ac:dyDescent="0.25">
      <c r="A1077" s="169" t="str">
        <f>E1077&amp;COUNTIFS($E$2:E1077,E1077)</f>
        <v>0</v>
      </c>
      <c r="B1077" s="166"/>
      <c r="C1077" s="168"/>
      <c r="D1077" s="167"/>
      <c r="E1077" s="166"/>
      <c r="F1077" s="165"/>
      <c r="G1077" s="164"/>
    </row>
    <row r="1078" spans="1:7" x14ac:dyDescent="0.25">
      <c r="A1078" s="169" t="str">
        <f>E1078&amp;COUNTIFS($E$2:E1078,E1078)</f>
        <v>0</v>
      </c>
      <c r="B1078" s="166"/>
      <c r="C1078" s="168"/>
      <c r="D1078" s="167"/>
      <c r="E1078" s="166"/>
      <c r="F1078" s="165"/>
      <c r="G1078" s="164"/>
    </row>
    <row r="1079" spans="1:7" x14ac:dyDescent="0.25">
      <c r="A1079" s="169" t="str">
        <f>E1079&amp;COUNTIFS($E$2:E1079,E1079)</f>
        <v>0</v>
      </c>
      <c r="B1079" s="166"/>
      <c r="C1079" s="168"/>
      <c r="D1079" s="167"/>
      <c r="E1079" s="166"/>
      <c r="F1079" s="165"/>
      <c r="G1079" s="164"/>
    </row>
    <row r="1080" spans="1:7" ht="15.75" thickBot="1" x14ac:dyDescent="0.3">
      <c r="A1080" s="163" t="str">
        <f>E1080&amp;COUNTIFS($E$2:E1080,E1080)</f>
        <v>0</v>
      </c>
      <c r="B1080" s="166"/>
      <c r="C1080" s="162"/>
      <c r="D1080" s="161"/>
      <c r="E1080" s="160"/>
      <c r="F1080" s="159"/>
      <c r="G1080" s="158"/>
    </row>
    <row r="1081" spans="1:7" x14ac:dyDescent="0.25">
      <c r="A1081" s="148"/>
      <c r="C1081" s="143"/>
      <c r="D1081" s="157"/>
      <c r="E1081" s="143"/>
      <c r="F1081" s="156"/>
      <c r="G1081" s="156"/>
    </row>
    <row r="1082" spans="1:7" x14ac:dyDescent="0.25">
      <c r="A1082" s="148"/>
      <c r="C1082" s="153" t="s">
        <v>623</v>
      </c>
      <c r="D1082" s="152"/>
      <c r="E1082" s="151"/>
      <c r="F1082" s="150">
        <f>SUM(F1056:F1080)</f>
        <v>0</v>
      </c>
      <c r="G1082" s="155">
        <f>SUM(G1056:G1080)</f>
        <v>0</v>
      </c>
    </row>
    <row r="1083" spans="1:7" x14ac:dyDescent="0.25">
      <c r="A1083" s="148"/>
      <c r="C1083" s="145" t="s">
        <v>622</v>
      </c>
      <c r="D1083" s="154"/>
      <c r="E1083" s="145"/>
      <c r="F1083" s="144"/>
      <c r="G1083" s="144"/>
    </row>
    <row r="1084" spans="1:7" x14ac:dyDescent="0.25">
      <c r="A1084" s="148"/>
      <c r="C1084" s="153" t="s">
        <v>621</v>
      </c>
      <c r="D1084" s="152"/>
      <c r="E1084" s="151"/>
      <c r="F1084" s="150">
        <f>F1051</f>
        <v>0</v>
      </c>
      <c r="G1084" s="150">
        <f>G1051</f>
        <v>0</v>
      </c>
    </row>
    <row r="1085" spans="1:7" x14ac:dyDescent="0.25">
      <c r="A1085" s="148"/>
      <c r="C1085" s="153" t="s">
        <v>582</v>
      </c>
      <c r="D1085" s="152"/>
      <c r="E1085" s="151"/>
      <c r="F1085" s="150">
        <f>F1084+F1082</f>
        <v>0</v>
      </c>
      <c r="G1085" s="150">
        <f>G1084+G1082</f>
        <v>0</v>
      </c>
    </row>
    <row r="1086" spans="1:7" ht="15.75" thickBot="1" x14ac:dyDescent="0.3">
      <c r="A1086" s="148"/>
      <c r="C1086" s="145"/>
      <c r="D1086" s="149"/>
      <c r="E1086" s="145"/>
      <c r="F1086" s="144"/>
      <c r="G1086" s="144"/>
    </row>
    <row r="1087" spans="1:7" ht="15.75" thickBot="1" x14ac:dyDescent="0.3">
      <c r="A1087" s="148"/>
      <c r="C1087" s="147" t="s">
        <v>620</v>
      </c>
      <c r="D1087" s="146">
        <f>F1085-G1085</f>
        <v>0</v>
      </c>
      <c r="E1087" s="145"/>
      <c r="F1087" s="144"/>
      <c r="G1087" s="144"/>
    </row>
    <row r="1088" spans="1:7" ht="15.75" thickBot="1" x14ac:dyDescent="0.3"/>
    <row r="1089" spans="1:7" ht="30.75" thickBot="1" x14ac:dyDescent="0.3">
      <c r="A1089" s="265" t="s">
        <v>626</v>
      </c>
      <c r="B1089" s="264" t="s">
        <v>606</v>
      </c>
      <c r="C1089" s="263" t="s">
        <v>635</v>
      </c>
      <c r="D1089" s="262" t="s">
        <v>601</v>
      </c>
      <c r="E1089" s="261" t="s">
        <v>287</v>
      </c>
      <c r="F1089" s="260" t="s">
        <v>624</v>
      </c>
      <c r="G1089" s="260" t="s">
        <v>596</v>
      </c>
    </row>
    <row r="1090" spans="1:7" x14ac:dyDescent="0.25">
      <c r="A1090" s="169" t="str">
        <f>E1090&amp;COUNTIFS($E$2:E1090,E1090)</f>
        <v>0</v>
      </c>
      <c r="B1090" s="172"/>
      <c r="C1090" s="174"/>
      <c r="D1090" s="173"/>
      <c r="E1090" s="172"/>
      <c r="F1090" s="171"/>
      <c r="G1090" s="170"/>
    </row>
    <row r="1091" spans="1:7" x14ac:dyDescent="0.25">
      <c r="A1091" s="169" t="str">
        <f>E1091&amp;COUNTIFS($E$2:E1091,E1091)</f>
        <v>0</v>
      </c>
      <c r="B1091" s="166"/>
      <c r="C1091" s="168"/>
      <c r="D1091" s="167"/>
      <c r="E1091" s="166"/>
      <c r="F1091" s="165"/>
      <c r="G1091" s="164"/>
    </row>
    <row r="1092" spans="1:7" x14ac:dyDescent="0.25">
      <c r="A1092" s="169" t="str">
        <f>E1092&amp;COUNTIFS($E$2:E1092,E1092)</f>
        <v>0</v>
      </c>
      <c r="B1092" s="166"/>
      <c r="C1092" s="168"/>
      <c r="D1092" s="167"/>
      <c r="E1092" s="166"/>
      <c r="F1092" s="165"/>
      <c r="G1092" s="164"/>
    </row>
    <row r="1093" spans="1:7" x14ac:dyDescent="0.25">
      <c r="A1093" s="169" t="str">
        <f>E1093&amp;COUNTIFS($E$2:E1093,E1093)</f>
        <v>0</v>
      </c>
      <c r="B1093" s="166"/>
      <c r="C1093" s="168"/>
      <c r="D1093" s="167"/>
      <c r="E1093" s="166"/>
      <c r="F1093" s="165"/>
      <c r="G1093" s="164"/>
    </row>
    <row r="1094" spans="1:7" x14ac:dyDescent="0.25">
      <c r="A1094" s="169" t="str">
        <f>E1094&amp;COUNTIFS($E$2:E1094,E1094)</f>
        <v>0</v>
      </c>
      <c r="B1094" s="166"/>
      <c r="C1094" s="168"/>
      <c r="D1094" s="167"/>
      <c r="E1094" s="166"/>
      <c r="F1094" s="165"/>
      <c r="G1094" s="164"/>
    </row>
    <row r="1095" spans="1:7" x14ac:dyDescent="0.25">
      <c r="A1095" s="169" t="str">
        <f>E1095&amp;COUNTIFS($E$2:E1095,E1095)</f>
        <v>0</v>
      </c>
      <c r="B1095" s="166"/>
      <c r="C1095" s="168"/>
      <c r="D1095" s="167"/>
      <c r="E1095" s="166"/>
      <c r="F1095" s="165"/>
      <c r="G1095" s="164"/>
    </row>
    <row r="1096" spans="1:7" x14ac:dyDescent="0.25">
      <c r="A1096" s="169" t="str">
        <f>E1096&amp;COUNTIFS($E$2:E1096,E1096)</f>
        <v>0</v>
      </c>
      <c r="B1096" s="166"/>
      <c r="C1096" s="168"/>
      <c r="D1096" s="167"/>
      <c r="E1096" s="166"/>
      <c r="F1096" s="165"/>
      <c r="G1096" s="164"/>
    </row>
    <row r="1097" spans="1:7" x14ac:dyDescent="0.25">
      <c r="A1097" s="169" t="str">
        <f>E1097&amp;COUNTIFS($E$2:E1097,E1097)</f>
        <v>0</v>
      </c>
      <c r="B1097" s="166"/>
      <c r="C1097" s="168"/>
      <c r="D1097" s="167"/>
      <c r="E1097" s="166"/>
      <c r="F1097" s="165"/>
      <c r="G1097" s="164"/>
    </row>
    <row r="1098" spans="1:7" x14ac:dyDescent="0.25">
      <c r="A1098" s="169" t="str">
        <f>E1098&amp;COUNTIFS($E$2:E1098,E1098)</f>
        <v>0</v>
      </c>
      <c r="B1098" s="166"/>
      <c r="C1098" s="168"/>
      <c r="D1098" s="167"/>
      <c r="E1098" s="166"/>
      <c r="F1098" s="165"/>
      <c r="G1098" s="164"/>
    </row>
    <row r="1099" spans="1:7" x14ac:dyDescent="0.25">
      <c r="A1099" s="169" t="str">
        <f>E1099&amp;COUNTIFS($E$2:E1099,E1099)</f>
        <v>0</v>
      </c>
      <c r="B1099" s="166"/>
      <c r="C1099" s="168"/>
      <c r="D1099" s="167"/>
      <c r="E1099" s="166"/>
      <c r="F1099" s="165"/>
      <c r="G1099" s="164"/>
    </row>
    <row r="1100" spans="1:7" x14ac:dyDescent="0.25">
      <c r="A1100" s="169" t="str">
        <f>E1100&amp;COUNTIFS($E$2:E1100,E1100)</f>
        <v>0</v>
      </c>
      <c r="B1100" s="166"/>
      <c r="C1100" s="168"/>
      <c r="D1100" s="167"/>
      <c r="E1100" s="166"/>
      <c r="F1100" s="165"/>
      <c r="G1100" s="164"/>
    </row>
    <row r="1101" spans="1:7" x14ac:dyDescent="0.25">
      <c r="A1101" s="169" t="str">
        <f>E1101&amp;COUNTIFS($E$2:E1101,E1101)</f>
        <v>0</v>
      </c>
      <c r="B1101" s="166"/>
      <c r="C1101" s="168"/>
      <c r="D1101" s="167"/>
      <c r="E1101" s="166"/>
      <c r="F1101" s="165"/>
      <c r="G1101" s="164"/>
    </row>
    <row r="1102" spans="1:7" x14ac:dyDescent="0.25">
      <c r="A1102" s="169" t="str">
        <f>E1102&amp;COUNTIFS($E$2:E1102,E1102)</f>
        <v>0</v>
      </c>
      <c r="B1102" s="166"/>
      <c r="C1102" s="168"/>
      <c r="D1102" s="167"/>
      <c r="E1102" s="166"/>
      <c r="F1102" s="165"/>
      <c r="G1102" s="164"/>
    </row>
    <row r="1103" spans="1:7" x14ac:dyDescent="0.25">
      <c r="A1103" s="169" t="str">
        <f>E1103&amp;COUNTIFS($E$2:E1103,E1103)</f>
        <v>0</v>
      </c>
      <c r="B1103" s="166"/>
      <c r="C1103" s="168"/>
      <c r="D1103" s="167"/>
      <c r="E1103" s="166"/>
      <c r="F1103" s="165"/>
      <c r="G1103" s="164"/>
    </row>
    <row r="1104" spans="1:7" x14ac:dyDescent="0.25">
      <c r="A1104" s="169" t="str">
        <f>E1104&amp;COUNTIFS($E$2:E1104,E1104)</f>
        <v>0</v>
      </c>
      <c r="B1104" s="166"/>
      <c r="C1104" s="168"/>
      <c r="D1104" s="167"/>
      <c r="E1104" s="166"/>
      <c r="F1104" s="165"/>
      <c r="G1104" s="164"/>
    </row>
    <row r="1105" spans="1:7" x14ac:dyDescent="0.25">
      <c r="A1105" s="169" t="str">
        <f>E1105&amp;COUNTIFS($E$2:E1105,E1105)</f>
        <v>0</v>
      </c>
      <c r="B1105" s="166"/>
      <c r="C1105" s="168"/>
      <c r="D1105" s="167"/>
      <c r="E1105" s="166"/>
      <c r="F1105" s="165"/>
      <c r="G1105" s="164"/>
    </row>
    <row r="1106" spans="1:7" x14ac:dyDescent="0.25">
      <c r="A1106" s="169" t="str">
        <f>E1106&amp;COUNTIFS($E$2:E1106,E1106)</f>
        <v>0</v>
      </c>
      <c r="B1106" s="166"/>
      <c r="C1106" s="168"/>
      <c r="D1106" s="167"/>
      <c r="E1106" s="166"/>
      <c r="F1106" s="165"/>
      <c r="G1106" s="164"/>
    </row>
    <row r="1107" spans="1:7" x14ac:dyDescent="0.25">
      <c r="A1107" s="169" t="str">
        <f>E1107&amp;COUNTIFS($E$2:E1107,E1107)</f>
        <v>0</v>
      </c>
      <c r="B1107" s="166"/>
      <c r="C1107" s="168"/>
      <c r="D1107" s="167"/>
      <c r="E1107" s="166"/>
      <c r="F1107" s="165"/>
      <c r="G1107" s="164"/>
    </row>
    <row r="1108" spans="1:7" x14ac:dyDescent="0.25">
      <c r="A1108" s="169" t="str">
        <f>E1108&amp;COUNTIFS($E$2:E1108,E1108)</f>
        <v>0</v>
      </c>
      <c r="B1108" s="166"/>
      <c r="C1108" s="168"/>
      <c r="D1108" s="167"/>
      <c r="E1108" s="166"/>
      <c r="F1108" s="165"/>
      <c r="G1108" s="164"/>
    </row>
    <row r="1109" spans="1:7" x14ac:dyDescent="0.25">
      <c r="A1109" s="169" t="str">
        <f>E1109&amp;COUNTIFS($E$2:E1109,E1109)</f>
        <v>0</v>
      </c>
      <c r="B1109" s="166"/>
      <c r="C1109" s="168"/>
      <c r="D1109" s="167"/>
      <c r="E1109" s="166"/>
      <c r="F1109" s="165"/>
      <c r="G1109" s="164"/>
    </row>
    <row r="1110" spans="1:7" x14ac:dyDescent="0.25">
      <c r="A1110" s="169" t="str">
        <f>E1110&amp;COUNTIFS($E$2:E1110,E1110)</f>
        <v>0</v>
      </c>
      <c r="B1110" s="166"/>
      <c r="C1110" s="168"/>
      <c r="D1110" s="167"/>
      <c r="E1110" s="166"/>
      <c r="F1110" s="165"/>
      <c r="G1110" s="164"/>
    </row>
    <row r="1111" spans="1:7" x14ac:dyDescent="0.25">
      <c r="A1111" s="169" t="str">
        <f>E1111&amp;COUNTIFS($E$2:E1111,E1111)</f>
        <v>0</v>
      </c>
      <c r="B1111" s="166"/>
      <c r="C1111" s="168"/>
      <c r="D1111" s="167"/>
      <c r="E1111" s="166"/>
      <c r="F1111" s="165"/>
      <c r="G1111" s="164"/>
    </row>
    <row r="1112" spans="1:7" x14ac:dyDescent="0.25">
      <c r="A1112" s="169" t="str">
        <f>E1112&amp;COUNTIFS($E$2:E1112,E1112)</f>
        <v>0</v>
      </c>
      <c r="B1112" s="166"/>
      <c r="C1112" s="168"/>
      <c r="D1112" s="167"/>
      <c r="E1112" s="166"/>
      <c r="F1112" s="165"/>
      <c r="G1112" s="164"/>
    </row>
    <row r="1113" spans="1:7" x14ac:dyDescent="0.25">
      <c r="A1113" s="169" t="str">
        <f>E1113&amp;COUNTIFS($E$2:E1113,E1113)</f>
        <v>0</v>
      </c>
      <c r="B1113" s="166"/>
      <c r="C1113" s="168"/>
      <c r="D1113" s="167"/>
      <c r="E1113" s="166"/>
      <c r="F1113" s="165"/>
      <c r="G1113" s="164"/>
    </row>
    <row r="1114" spans="1:7" ht="15.75" thickBot="1" x14ac:dyDescent="0.3">
      <c r="A1114" s="163" t="str">
        <f>E1114&amp;COUNTIFS($E$2:E1114,E1114)</f>
        <v>0</v>
      </c>
      <c r="B1114" s="166"/>
      <c r="C1114" s="162"/>
      <c r="D1114" s="161"/>
      <c r="E1114" s="160"/>
      <c r="F1114" s="159"/>
      <c r="G1114" s="158"/>
    </row>
    <row r="1115" spans="1:7" x14ac:dyDescent="0.25">
      <c r="A1115" s="148"/>
      <c r="C1115" s="143"/>
      <c r="D1115" s="157"/>
      <c r="E1115" s="143"/>
      <c r="F1115" s="156"/>
      <c r="G1115" s="156"/>
    </row>
    <row r="1116" spans="1:7" x14ac:dyDescent="0.25">
      <c r="A1116" s="148"/>
      <c r="C1116" s="153" t="s">
        <v>623</v>
      </c>
      <c r="D1116" s="152"/>
      <c r="E1116" s="151"/>
      <c r="F1116" s="150">
        <f>SUM(F1090:F1114)</f>
        <v>0</v>
      </c>
      <c r="G1116" s="155">
        <f>SUM(G1090:G1114)</f>
        <v>0</v>
      </c>
    </row>
    <row r="1117" spans="1:7" x14ac:dyDescent="0.25">
      <c r="A1117" s="148"/>
      <c r="C1117" s="145" t="s">
        <v>622</v>
      </c>
      <c r="D1117" s="154"/>
      <c r="E1117" s="145"/>
      <c r="F1117" s="144"/>
      <c r="G1117" s="144"/>
    </row>
    <row r="1118" spans="1:7" x14ac:dyDescent="0.25">
      <c r="A1118" s="148"/>
      <c r="C1118" s="153" t="s">
        <v>621</v>
      </c>
      <c r="D1118" s="152"/>
      <c r="E1118" s="151"/>
      <c r="F1118" s="150">
        <f>F1085</f>
        <v>0</v>
      </c>
      <c r="G1118" s="150">
        <f>G1085</f>
        <v>0</v>
      </c>
    </row>
    <row r="1119" spans="1:7" x14ac:dyDescent="0.25">
      <c r="A1119" s="148"/>
      <c r="C1119" s="153" t="s">
        <v>582</v>
      </c>
      <c r="D1119" s="152"/>
      <c r="E1119" s="151"/>
      <c r="F1119" s="150">
        <f>F1118+F1116</f>
        <v>0</v>
      </c>
      <c r="G1119" s="150">
        <f>G1118+G1116</f>
        <v>0</v>
      </c>
    </row>
    <row r="1120" spans="1:7" ht="15.75" thickBot="1" x14ac:dyDescent="0.3">
      <c r="A1120" s="148"/>
      <c r="C1120" s="145"/>
      <c r="D1120" s="149"/>
      <c r="E1120" s="145"/>
      <c r="F1120" s="144"/>
      <c r="G1120" s="144"/>
    </row>
    <row r="1121" spans="1:7" ht="15.75" thickBot="1" x14ac:dyDescent="0.3">
      <c r="A1121" s="148"/>
      <c r="C1121" s="147" t="s">
        <v>620</v>
      </c>
      <c r="D1121" s="146">
        <f>F1119-G1119</f>
        <v>0</v>
      </c>
      <c r="E1121" s="145"/>
      <c r="F1121" s="144"/>
      <c r="G1121" s="144"/>
    </row>
    <row r="1122" spans="1:7" ht="15.75" thickBot="1" x14ac:dyDescent="0.3"/>
    <row r="1123" spans="1:7" ht="30.75" thickBot="1" x14ac:dyDescent="0.3">
      <c r="A1123" s="265" t="s">
        <v>626</v>
      </c>
      <c r="B1123" s="264" t="s">
        <v>606</v>
      </c>
      <c r="C1123" s="263" t="s">
        <v>635</v>
      </c>
      <c r="D1123" s="262" t="s">
        <v>601</v>
      </c>
      <c r="E1123" s="261" t="s">
        <v>287</v>
      </c>
      <c r="F1123" s="260" t="s">
        <v>624</v>
      </c>
      <c r="G1123" s="260" t="s">
        <v>596</v>
      </c>
    </row>
    <row r="1124" spans="1:7" x14ac:dyDescent="0.25">
      <c r="A1124" s="169" t="str">
        <f>E1124&amp;COUNTIFS($E$2:E1124,E1124)</f>
        <v>0</v>
      </c>
      <c r="B1124" s="172"/>
      <c r="C1124" s="174"/>
      <c r="D1124" s="173"/>
      <c r="E1124" s="172"/>
      <c r="F1124" s="171"/>
      <c r="G1124" s="170"/>
    </row>
    <row r="1125" spans="1:7" x14ac:dyDescent="0.25">
      <c r="A1125" s="169" t="str">
        <f>E1125&amp;COUNTIFS($E$2:E1125,E1125)</f>
        <v>0</v>
      </c>
      <c r="B1125" s="166"/>
      <c r="C1125" s="168"/>
      <c r="D1125" s="167"/>
      <c r="E1125" s="166"/>
      <c r="F1125" s="165"/>
      <c r="G1125" s="164"/>
    </row>
    <row r="1126" spans="1:7" x14ac:dyDescent="0.25">
      <c r="A1126" s="169" t="str">
        <f>E1126&amp;COUNTIFS($E$2:E1126,E1126)</f>
        <v>0</v>
      </c>
      <c r="B1126" s="166"/>
      <c r="C1126" s="168"/>
      <c r="D1126" s="167"/>
      <c r="E1126" s="166"/>
      <c r="F1126" s="165"/>
      <c r="G1126" s="164"/>
    </row>
    <row r="1127" spans="1:7" x14ac:dyDescent="0.25">
      <c r="A1127" s="169" t="str">
        <f>E1127&amp;COUNTIFS($E$2:E1127,E1127)</f>
        <v>0</v>
      </c>
      <c r="B1127" s="166"/>
      <c r="C1127" s="168"/>
      <c r="D1127" s="167"/>
      <c r="E1127" s="166"/>
      <c r="F1127" s="165"/>
      <c r="G1127" s="164"/>
    </row>
    <row r="1128" spans="1:7" x14ac:dyDescent="0.25">
      <c r="A1128" s="169" t="str">
        <f>E1128&amp;COUNTIFS($E$2:E1128,E1128)</f>
        <v>0</v>
      </c>
      <c r="B1128" s="166"/>
      <c r="C1128" s="168"/>
      <c r="D1128" s="167"/>
      <c r="E1128" s="166"/>
      <c r="F1128" s="165"/>
      <c r="G1128" s="164"/>
    </row>
    <row r="1129" spans="1:7" x14ac:dyDescent="0.25">
      <c r="A1129" s="169" t="str">
        <f>E1129&amp;COUNTIFS($E$2:E1129,E1129)</f>
        <v>0</v>
      </c>
      <c r="B1129" s="166"/>
      <c r="C1129" s="168"/>
      <c r="D1129" s="167"/>
      <c r="E1129" s="166"/>
      <c r="F1129" s="165"/>
      <c r="G1129" s="164"/>
    </row>
    <row r="1130" spans="1:7" x14ac:dyDescent="0.25">
      <c r="A1130" s="169" t="str">
        <f>E1130&amp;COUNTIFS($E$2:E1130,E1130)</f>
        <v>0</v>
      </c>
      <c r="B1130" s="166"/>
      <c r="C1130" s="168"/>
      <c r="D1130" s="167"/>
      <c r="E1130" s="166"/>
      <c r="F1130" s="165"/>
      <c r="G1130" s="164"/>
    </row>
    <row r="1131" spans="1:7" x14ac:dyDescent="0.25">
      <c r="A1131" s="169" t="str">
        <f>E1131&amp;COUNTIFS($E$2:E1131,E1131)</f>
        <v>0</v>
      </c>
      <c r="B1131" s="166"/>
      <c r="C1131" s="168"/>
      <c r="D1131" s="167"/>
      <c r="E1131" s="166"/>
      <c r="F1131" s="165"/>
      <c r="G1131" s="164"/>
    </row>
    <row r="1132" spans="1:7" x14ac:dyDescent="0.25">
      <c r="A1132" s="169" t="str">
        <f>E1132&amp;COUNTIFS($E$2:E1132,E1132)</f>
        <v>0</v>
      </c>
      <c r="B1132" s="166"/>
      <c r="C1132" s="168"/>
      <c r="D1132" s="167"/>
      <c r="E1132" s="166"/>
      <c r="F1132" s="165"/>
      <c r="G1132" s="164"/>
    </row>
    <row r="1133" spans="1:7" x14ac:dyDescent="0.25">
      <c r="A1133" s="169" t="str">
        <f>E1133&amp;COUNTIFS($E$2:E1133,E1133)</f>
        <v>0</v>
      </c>
      <c r="B1133" s="166"/>
      <c r="C1133" s="168"/>
      <c r="D1133" s="167"/>
      <c r="E1133" s="166"/>
      <c r="F1133" s="165"/>
      <c r="G1133" s="164"/>
    </row>
    <row r="1134" spans="1:7" x14ac:dyDescent="0.25">
      <c r="A1134" s="169" t="str">
        <f>E1134&amp;COUNTIFS($E$2:E1134,E1134)</f>
        <v>0</v>
      </c>
      <c r="B1134" s="166"/>
      <c r="C1134" s="168"/>
      <c r="D1134" s="167"/>
      <c r="E1134" s="166"/>
      <c r="F1134" s="165"/>
      <c r="G1134" s="164"/>
    </row>
    <row r="1135" spans="1:7" x14ac:dyDescent="0.25">
      <c r="A1135" s="169" t="str">
        <f>E1135&amp;COUNTIFS($E$2:E1135,E1135)</f>
        <v>0</v>
      </c>
      <c r="B1135" s="166"/>
      <c r="C1135" s="168"/>
      <c r="D1135" s="167"/>
      <c r="E1135" s="166"/>
      <c r="F1135" s="165"/>
      <c r="G1135" s="164"/>
    </row>
    <row r="1136" spans="1:7" x14ac:dyDescent="0.25">
      <c r="A1136" s="169" t="str">
        <f>E1136&amp;COUNTIFS($E$2:E1136,E1136)</f>
        <v>0</v>
      </c>
      <c r="B1136" s="166"/>
      <c r="C1136" s="168"/>
      <c r="D1136" s="167"/>
      <c r="E1136" s="166"/>
      <c r="F1136" s="165"/>
      <c r="G1136" s="164"/>
    </row>
    <row r="1137" spans="1:7" x14ac:dyDescent="0.25">
      <c r="A1137" s="169" t="str">
        <f>E1137&amp;COUNTIFS($E$2:E1137,E1137)</f>
        <v>0</v>
      </c>
      <c r="B1137" s="166"/>
      <c r="C1137" s="168"/>
      <c r="D1137" s="167"/>
      <c r="E1137" s="166"/>
      <c r="F1137" s="165"/>
      <c r="G1137" s="164"/>
    </row>
    <row r="1138" spans="1:7" x14ac:dyDescent="0.25">
      <c r="A1138" s="169" t="str">
        <f>E1138&amp;COUNTIFS($E$2:E1138,E1138)</f>
        <v>0</v>
      </c>
      <c r="B1138" s="166"/>
      <c r="C1138" s="168"/>
      <c r="D1138" s="167"/>
      <c r="E1138" s="166"/>
      <c r="F1138" s="165"/>
      <c r="G1138" s="164"/>
    </row>
    <row r="1139" spans="1:7" x14ac:dyDescent="0.25">
      <c r="A1139" s="169" t="str">
        <f>E1139&amp;COUNTIFS($E$2:E1139,E1139)</f>
        <v>0</v>
      </c>
      <c r="B1139" s="166"/>
      <c r="C1139" s="168"/>
      <c r="D1139" s="167"/>
      <c r="E1139" s="166"/>
      <c r="F1139" s="165"/>
      <c r="G1139" s="164"/>
    </row>
    <row r="1140" spans="1:7" x14ac:dyDescent="0.25">
      <c r="A1140" s="169" t="str">
        <f>E1140&amp;COUNTIFS($E$2:E1140,E1140)</f>
        <v>0</v>
      </c>
      <c r="B1140" s="166"/>
      <c r="C1140" s="168"/>
      <c r="D1140" s="167"/>
      <c r="E1140" s="166"/>
      <c r="F1140" s="165"/>
      <c r="G1140" s="164"/>
    </row>
    <row r="1141" spans="1:7" x14ac:dyDescent="0.25">
      <c r="A1141" s="169" t="str">
        <f>E1141&amp;COUNTIFS($E$2:E1141,E1141)</f>
        <v>0</v>
      </c>
      <c r="B1141" s="166"/>
      <c r="C1141" s="168"/>
      <c r="D1141" s="167"/>
      <c r="E1141" s="166"/>
      <c r="F1141" s="165"/>
      <c r="G1141" s="164"/>
    </row>
    <row r="1142" spans="1:7" x14ac:dyDescent="0.25">
      <c r="A1142" s="169" t="str">
        <f>E1142&amp;COUNTIFS($E$2:E1142,E1142)</f>
        <v>0</v>
      </c>
      <c r="B1142" s="166"/>
      <c r="C1142" s="168"/>
      <c r="D1142" s="167"/>
      <c r="E1142" s="166"/>
      <c r="F1142" s="165"/>
      <c r="G1142" s="164"/>
    </row>
    <row r="1143" spans="1:7" x14ac:dyDescent="0.25">
      <c r="A1143" s="169" t="str">
        <f>E1143&amp;COUNTIFS($E$2:E1143,E1143)</f>
        <v>0</v>
      </c>
      <c r="B1143" s="166"/>
      <c r="C1143" s="168"/>
      <c r="D1143" s="167"/>
      <c r="E1143" s="166"/>
      <c r="F1143" s="165"/>
      <c r="G1143" s="164"/>
    </row>
    <row r="1144" spans="1:7" x14ac:dyDescent="0.25">
      <c r="A1144" s="169" t="str">
        <f>E1144&amp;COUNTIFS($E$2:E1144,E1144)</f>
        <v>0</v>
      </c>
      <c r="B1144" s="166"/>
      <c r="C1144" s="168"/>
      <c r="D1144" s="167"/>
      <c r="E1144" s="166"/>
      <c r="F1144" s="165"/>
      <c r="G1144" s="164"/>
    </row>
    <row r="1145" spans="1:7" x14ac:dyDescent="0.25">
      <c r="A1145" s="169" t="str">
        <f>E1145&amp;COUNTIFS($E$2:E1145,E1145)</f>
        <v>0</v>
      </c>
      <c r="B1145" s="166"/>
      <c r="C1145" s="168"/>
      <c r="D1145" s="167"/>
      <c r="E1145" s="166"/>
      <c r="F1145" s="165"/>
      <c r="G1145" s="164"/>
    </row>
    <row r="1146" spans="1:7" x14ac:dyDescent="0.25">
      <c r="A1146" s="169" t="str">
        <f>E1146&amp;COUNTIFS($E$2:E1146,E1146)</f>
        <v>0</v>
      </c>
      <c r="B1146" s="166"/>
      <c r="C1146" s="168"/>
      <c r="D1146" s="167"/>
      <c r="E1146" s="166"/>
      <c r="F1146" s="165"/>
      <c r="G1146" s="164"/>
    </row>
    <row r="1147" spans="1:7" x14ac:dyDescent="0.25">
      <c r="A1147" s="169" t="str">
        <f>E1147&amp;COUNTIFS($E$2:E1147,E1147)</f>
        <v>0</v>
      </c>
      <c r="B1147" s="166"/>
      <c r="C1147" s="168"/>
      <c r="D1147" s="167"/>
      <c r="E1147" s="166"/>
      <c r="F1147" s="165"/>
      <c r="G1147" s="164"/>
    </row>
    <row r="1148" spans="1:7" ht="15.75" thickBot="1" x14ac:dyDescent="0.3">
      <c r="A1148" s="163" t="str">
        <f>E1148&amp;COUNTIFS($E$2:E1148,E1148)</f>
        <v>0</v>
      </c>
      <c r="B1148" s="166"/>
      <c r="C1148" s="162"/>
      <c r="D1148" s="161"/>
      <c r="E1148" s="160"/>
      <c r="F1148" s="159"/>
      <c r="G1148" s="158"/>
    </row>
    <row r="1149" spans="1:7" x14ac:dyDescent="0.25">
      <c r="A1149" s="148"/>
      <c r="C1149" s="143"/>
      <c r="D1149" s="157"/>
      <c r="E1149" s="143"/>
      <c r="F1149" s="156"/>
      <c r="G1149" s="156"/>
    </row>
    <row r="1150" spans="1:7" x14ac:dyDescent="0.25">
      <c r="A1150" s="148"/>
      <c r="C1150" s="153" t="s">
        <v>623</v>
      </c>
      <c r="D1150" s="152"/>
      <c r="E1150" s="151"/>
      <c r="F1150" s="150">
        <f>SUM(F1124:F1148)</f>
        <v>0</v>
      </c>
      <c r="G1150" s="155">
        <f>SUM(G1124:G1148)</f>
        <v>0</v>
      </c>
    </row>
    <row r="1151" spans="1:7" x14ac:dyDescent="0.25">
      <c r="A1151" s="148"/>
      <c r="C1151" s="145" t="s">
        <v>622</v>
      </c>
      <c r="D1151" s="154"/>
      <c r="E1151" s="145"/>
      <c r="F1151" s="144"/>
      <c r="G1151" s="144"/>
    </row>
    <row r="1152" spans="1:7" x14ac:dyDescent="0.25">
      <c r="A1152" s="148"/>
      <c r="C1152" s="153" t="s">
        <v>621</v>
      </c>
      <c r="D1152" s="152"/>
      <c r="E1152" s="151"/>
      <c r="F1152" s="150">
        <f>F1119</f>
        <v>0</v>
      </c>
      <c r="G1152" s="150">
        <f>G1119</f>
        <v>0</v>
      </c>
    </row>
    <row r="1153" spans="1:7" x14ac:dyDescent="0.25">
      <c r="A1153" s="148"/>
      <c r="C1153" s="153" t="s">
        <v>582</v>
      </c>
      <c r="D1153" s="152"/>
      <c r="E1153" s="151"/>
      <c r="F1153" s="150">
        <f>F1152+F1150</f>
        <v>0</v>
      </c>
      <c r="G1153" s="150">
        <f>G1152+G1150</f>
        <v>0</v>
      </c>
    </row>
    <row r="1154" spans="1:7" ht="15.75" thickBot="1" x14ac:dyDescent="0.3">
      <c r="A1154" s="148"/>
      <c r="C1154" s="145"/>
      <c r="D1154" s="149"/>
      <c r="E1154" s="145"/>
      <c r="F1154" s="144"/>
      <c r="G1154" s="144"/>
    </row>
    <row r="1155" spans="1:7" ht="15.75" thickBot="1" x14ac:dyDescent="0.3">
      <c r="A1155" s="148"/>
      <c r="C1155" s="147" t="s">
        <v>620</v>
      </c>
      <c r="D1155" s="146">
        <f>F1153-G1153</f>
        <v>0</v>
      </c>
      <c r="E1155" s="145"/>
      <c r="F1155" s="144"/>
      <c r="G1155" s="144"/>
    </row>
    <row r="1156" spans="1:7" ht="15.75" thickBot="1" x14ac:dyDescent="0.3"/>
    <row r="1157" spans="1:7" ht="30.75" thickBot="1" x14ac:dyDescent="0.3">
      <c r="A1157" s="265" t="s">
        <v>626</v>
      </c>
      <c r="B1157" s="264" t="s">
        <v>606</v>
      </c>
      <c r="C1157" s="263" t="s">
        <v>635</v>
      </c>
      <c r="D1157" s="262" t="s">
        <v>601</v>
      </c>
      <c r="E1157" s="261" t="s">
        <v>287</v>
      </c>
      <c r="F1157" s="260" t="s">
        <v>624</v>
      </c>
      <c r="G1157" s="260" t="s">
        <v>596</v>
      </c>
    </row>
    <row r="1158" spans="1:7" x14ac:dyDescent="0.25">
      <c r="A1158" s="169" t="str">
        <f>E1158&amp;COUNTIFS($E$2:E1158,E1158)</f>
        <v>0</v>
      </c>
      <c r="B1158" s="172"/>
      <c r="C1158" s="174"/>
      <c r="D1158" s="173"/>
      <c r="E1158" s="172"/>
      <c r="F1158" s="171"/>
      <c r="G1158" s="170"/>
    </row>
    <row r="1159" spans="1:7" x14ac:dyDescent="0.25">
      <c r="A1159" s="169" t="str">
        <f>E1159&amp;COUNTIFS($E$2:E1159,E1159)</f>
        <v>0</v>
      </c>
      <c r="B1159" s="166"/>
      <c r="C1159" s="168"/>
      <c r="D1159" s="167"/>
      <c r="E1159" s="166"/>
      <c r="F1159" s="165"/>
      <c r="G1159" s="164"/>
    </row>
    <row r="1160" spans="1:7" x14ac:dyDescent="0.25">
      <c r="A1160" s="169" t="str">
        <f>E1160&amp;COUNTIFS($E$2:E1160,E1160)</f>
        <v>0</v>
      </c>
      <c r="B1160" s="166"/>
      <c r="C1160" s="168"/>
      <c r="D1160" s="167"/>
      <c r="E1160" s="166"/>
      <c r="F1160" s="165"/>
      <c r="G1160" s="164"/>
    </row>
    <row r="1161" spans="1:7" x14ac:dyDescent="0.25">
      <c r="A1161" s="169" t="str">
        <f>E1161&amp;COUNTIFS($E$2:E1161,E1161)</f>
        <v>0</v>
      </c>
      <c r="B1161" s="166"/>
      <c r="C1161" s="168"/>
      <c r="D1161" s="167"/>
      <c r="E1161" s="166"/>
      <c r="F1161" s="165"/>
      <c r="G1161" s="164"/>
    </row>
    <row r="1162" spans="1:7" x14ac:dyDescent="0.25">
      <c r="A1162" s="169" t="str">
        <f>E1162&amp;COUNTIFS($E$2:E1162,E1162)</f>
        <v>0</v>
      </c>
      <c r="B1162" s="166"/>
      <c r="C1162" s="168"/>
      <c r="D1162" s="167"/>
      <c r="E1162" s="166"/>
      <c r="F1162" s="165"/>
      <c r="G1162" s="164"/>
    </row>
    <row r="1163" spans="1:7" x14ac:dyDescent="0.25">
      <c r="A1163" s="169" t="str">
        <f>E1163&amp;COUNTIFS($E$2:E1163,E1163)</f>
        <v>0</v>
      </c>
      <c r="B1163" s="166"/>
      <c r="C1163" s="168"/>
      <c r="D1163" s="167"/>
      <c r="E1163" s="166"/>
      <c r="F1163" s="165"/>
      <c r="G1163" s="164"/>
    </row>
    <row r="1164" spans="1:7" x14ac:dyDescent="0.25">
      <c r="A1164" s="169" t="str">
        <f>E1164&amp;COUNTIFS($E$2:E1164,E1164)</f>
        <v>0</v>
      </c>
      <c r="B1164" s="166"/>
      <c r="C1164" s="168"/>
      <c r="D1164" s="167"/>
      <c r="E1164" s="166"/>
      <c r="F1164" s="165"/>
      <c r="G1164" s="164"/>
    </row>
    <row r="1165" spans="1:7" x14ac:dyDescent="0.25">
      <c r="A1165" s="169" t="str">
        <f>E1165&amp;COUNTIFS($E$2:E1165,E1165)</f>
        <v>0</v>
      </c>
      <c r="B1165" s="166"/>
      <c r="C1165" s="168"/>
      <c r="D1165" s="167"/>
      <c r="E1165" s="166"/>
      <c r="F1165" s="165"/>
      <c r="G1165" s="164"/>
    </row>
    <row r="1166" spans="1:7" x14ac:dyDescent="0.25">
      <c r="A1166" s="169" t="str">
        <f>E1166&amp;COUNTIFS($E$2:E1166,E1166)</f>
        <v>0</v>
      </c>
      <c r="B1166" s="166"/>
      <c r="C1166" s="168"/>
      <c r="D1166" s="167"/>
      <c r="E1166" s="166"/>
      <c r="F1166" s="165"/>
      <c r="G1166" s="164"/>
    </row>
    <row r="1167" spans="1:7" x14ac:dyDescent="0.25">
      <c r="A1167" s="169" t="str">
        <f>E1167&amp;COUNTIFS($E$2:E1167,E1167)</f>
        <v>0</v>
      </c>
      <c r="B1167" s="166"/>
      <c r="C1167" s="168"/>
      <c r="D1167" s="167"/>
      <c r="E1167" s="166"/>
      <c r="F1167" s="165"/>
      <c r="G1167" s="164"/>
    </row>
    <row r="1168" spans="1:7" x14ac:dyDescent="0.25">
      <c r="A1168" s="169" t="str">
        <f>E1168&amp;COUNTIFS($E$2:E1168,E1168)</f>
        <v>0</v>
      </c>
      <c r="B1168" s="166"/>
      <c r="C1168" s="168"/>
      <c r="D1168" s="167"/>
      <c r="E1168" s="166"/>
      <c r="F1168" s="165"/>
      <c r="G1168" s="164"/>
    </row>
    <row r="1169" spans="1:7" x14ac:dyDescent="0.25">
      <c r="A1169" s="169" t="str">
        <f>E1169&amp;COUNTIFS($E$2:E1169,E1169)</f>
        <v>0</v>
      </c>
      <c r="B1169" s="166"/>
      <c r="C1169" s="168"/>
      <c r="D1169" s="167"/>
      <c r="E1169" s="166"/>
      <c r="F1169" s="165"/>
      <c r="G1169" s="164"/>
    </row>
    <row r="1170" spans="1:7" x14ac:dyDescent="0.25">
      <c r="A1170" s="169" t="str">
        <f>E1170&amp;COUNTIFS($E$2:E1170,E1170)</f>
        <v>0</v>
      </c>
      <c r="B1170" s="166"/>
      <c r="C1170" s="168"/>
      <c r="D1170" s="167"/>
      <c r="E1170" s="166"/>
      <c r="F1170" s="165"/>
      <c r="G1170" s="164"/>
    </row>
    <row r="1171" spans="1:7" x14ac:dyDescent="0.25">
      <c r="A1171" s="169" t="str">
        <f>E1171&amp;COUNTIFS($E$2:E1171,E1171)</f>
        <v>0</v>
      </c>
      <c r="B1171" s="166"/>
      <c r="C1171" s="168"/>
      <c r="D1171" s="167"/>
      <c r="E1171" s="166"/>
      <c r="F1171" s="165"/>
      <c r="G1171" s="164"/>
    </row>
    <row r="1172" spans="1:7" x14ac:dyDescent="0.25">
      <c r="A1172" s="169" t="str">
        <f>E1172&amp;COUNTIFS($E$2:E1172,E1172)</f>
        <v>0</v>
      </c>
      <c r="B1172" s="166"/>
      <c r="C1172" s="168"/>
      <c r="D1172" s="167"/>
      <c r="E1172" s="166"/>
      <c r="F1172" s="165"/>
      <c r="G1172" s="164"/>
    </row>
    <row r="1173" spans="1:7" x14ac:dyDescent="0.25">
      <c r="A1173" s="169" t="str">
        <f>E1173&amp;COUNTIFS($E$2:E1173,E1173)</f>
        <v>0</v>
      </c>
      <c r="B1173" s="166"/>
      <c r="C1173" s="168"/>
      <c r="D1173" s="167"/>
      <c r="E1173" s="166"/>
      <c r="F1173" s="165"/>
      <c r="G1173" s="164"/>
    </row>
    <row r="1174" spans="1:7" x14ac:dyDescent="0.25">
      <c r="A1174" s="169" t="str">
        <f>E1174&amp;COUNTIFS($E$2:E1174,E1174)</f>
        <v>0</v>
      </c>
      <c r="B1174" s="166"/>
      <c r="C1174" s="168"/>
      <c r="D1174" s="167"/>
      <c r="E1174" s="166"/>
      <c r="F1174" s="165"/>
      <c r="G1174" s="164"/>
    </row>
    <row r="1175" spans="1:7" x14ac:dyDescent="0.25">
      <c r="A1175" s="169" t="str">
        <f>E1175&amp;COUNTIFS($E$2:E1175,E1175)</f>
        <v>0</v>
      </c>
      <c r="B1175" s="166"/>
      <c r="C1175" s="168"/>
      <c r="D1175" s="167"/>
      <c r="E1175" s="166"/>
      <c r="F1175" s="165"/>
      <c r="G1175" s="164"/>
    </row>
    <row r="1176" spans="1:7" x14ac:dyDescent="0.25">
      <c r="A1176" s="169" t="str">
        <f>E1176&amp;COUNTIFS($E$2:E1176,E1176)</f>
        <v>0</v>
      </c>
      <c r="B1176" s="166"/>
      <c r="C1176" s="168"/>
      <c r="D1176" s="167"/>
      <c r="E1176" s="166"/>
      <c r="F1176" s="165"/>
      <c r="G1176" s="164"/>
    </row>
    <row r="1177" spans="1:7" x14ac:dyDescent="0.25">
      <c r="A1177" s="169" t="str">
        <f>E1177&amp;COUNTIFS($E$2:E1177,E1177)</f>
        <v>0</v>
      </c>
      <c r="B1177" s="166"/>
      <c r="C1177" s="168"/>
      <c r="D1177" s="167"/>
      <c r="E1177" s="166"/>
      <c r="F1177" s="165"/>
      <c r="G1177" s="164"/>
    </row>
    <row r="1178" spans="1:7" x14ac:dyDescent="0.25">
      <c r="A1178" s="169" t="str">
        <f>E1178&amp;COUNTIFS($E$2:E1178,E1178)</f>
        <v>0</v>
      </c>
      <c r="B1178" s="166"/>
      <c r="C1178" s="168"/>
      <c r="D1178" s="167"/>
      <c r="E1178" s="166"/>
      <c r="F1178" s="165"/>
      <c r="G1178" s="164"/>
    </row>
    <row r="1179" spans="1:7" x14ac:dyDescent="0.25">
      <c r="A1179" s="169" t="str">
        <f>E1179&amp;COUNTIFS($E$2:E1179,E1179)</f>
        <v>0</v>
      </c>
      <c r="B1179" s="166"/>
      <c r="C1179" s="168"/>
      <c r="D1179" s="167"/>
      <c r="E1179" s="166"/>
      <c r="F1179" s="165"/>
      <c r="G1179" s="164"/>
    </row>
    <row r="1180" spans="1:7" x14ac:dyDescent="0.25">
      <c r="A1180" s="169" t="str">
        <f>E1180&amp;COUNTIFS($E$2:E1180,E1180)</f>
        <v>0</v>
      </c>
      <c r="B1180" s="166"/>
      <c r="C1180" s="168"/>
      <c r="D1180" s="167"/>
      <c r="E1180" s="166"/>
      <c r="F1180" s="165"/>
      <c r="G1180" s="164"/>
    </row>
    <row r="1181" spans="1:7" x14ac:dyDescent="0.25">
      <c r="A1181" s="169" t="str">
        <f>E1181&amp;COUNTIFS($E$2:E1181,E1181)</f>
        <v>0</v>
      </c>
      <c r="B1181" s="166"/>
      <c r="C1181" s="168"/>
      <c r="D1181" s="167"/>
      <c r="E1181" s="166"/>
      <c r="F1181" s="165"/>
      <c r="G1181" s="164"/>
    </row>
    <row r="1182" spans="1:7" ht="15.75" thickBot="1" x14ac:dyDescent="0.3">
      <c r="A1182" s="163" t="str">
        <f>E1182&amp;COUNTIFS($E$2:E1182,E1182)</f>
        <v>0</v>
      </c>
      <c r="B1182" s="166"/>
      <c r="C1182" s="162"/>
      <c r="D1182" s="161"/>
      <c r="E1182" s="160"/>
      <c r="F1182" s="159"/>
      <c r="G1182" s="158"/>
    </row>
    <row r="1183" spans="1:7" x14ac:dyDescent="0.25">
      <c r="A1183" s="148"/>
      <c r="C1183" s="143"/>
      <c r="D1183" s="157"/>
      <c r="E1183" s="143"/>
      <c r="F1183" s="156"/>
      <c r="G1183" s="156"/>
    </row>
    <row r="1184" spans="1:7" x14ac:dyDescent="0.25">
      <c r="A1184" s="148"/>
      <c r="C1184" s="153" t="s">
        <v>623</v>
      </c>
      <c r="D1184" s="152"/>
      <c r="E1184" s="151"/>
      <c r="F1184" s="150">
        <f>SUM(F1158:F1182)</f>
        <v>0</v>
      </c>
      <c r="G1184" s="155">
        <f>SUM(G1158:G1182)</f>
        <v>0</v>
      </c>
    </row>
    <row r="1185" spans="1:7" x14ac:dyDescent="0.25">
      <c r="A1185" s="148"/>
      <c r="C1185" s="145" t="s">
        <v>622</v>
      </c>
      <c r="D1185" s="154"/>
      <c r="E1185" s="145"/>
      <c r="F1185" s="144"/>
      <c r="G1185" s="144"/>
    </row>
    <row r="1186" spans="1:7" x14ac:dyDescent="0.25">
      <c r="A1186" s="148"/>
      <c r="C1186" s="153" t="s">
        <v>621</v>
      </c>
      <c r="D1186" s="152"/>
      <c r="E1186" s="151"/>
      <c r="F1186" s="150">
        <f>F1153</f>
        <v>0</v>
      </c>
      <c r="G1186" s="150">
        <f>G1153</f>
        <v>0</v>
      </c>
    </row>
    <row r="1187" spans="1:7" x14ac:dyDescent="0.25">
      <c r="A1187" s="148"/>
      <c r="C1187" s="153" t="s">
        <v>582</v>
      </c>
      <c r="D1187" s="152"/>
      <c r="E1187" s="151"/>
      <c r="F1187" s="150">
        <f>F1186+F1184</f>
        <v>0</v>
      </c>
      <c r="G1187" s="150">
        <f>G1186+G1184</f>
        <v>0</v>
      </c>
    </row>
    <row r="1188" spans="1:7" ht="15.75" thickBot="1" x14ac:dyDescent="0.3">
      <c r="A1188" s="148"/>
      <c r="C1188" s="145"/>
      <c r="D1188" s="149"/>
      <c r="E1188" s="145"/>
      <c r="F1188" s="144"/>
      <c r="G1188" s="144"/>
    </row>
    <row r="1189" spans="1:7" ht="15.75" thickBot="1" x14ac:dyDescent="0.3">
      <c r="A1189" s="148"/>
      <c r="C1189" s="147" t="s">
        <v>620</v>
      </c>
      <c r="D1189" s="146">
        <f>F1187-G1187</f>
        <v>0</v>
      </c>
      <c r="E1189" s="145"/>
      <c r="F1189" s="144"/>
      <c r="G1189" s="144"/>
    </row>
    <row r="1190" spans="1:7" ht="15.75" thickBot="1" x14ac:dyDescent="0.3"/>
    <row r="1191" spans="1:7" ht="30.75" thickBot="1" x14ac:dyDescent="0.3">
      <c r="A1191" s="265" t="s">
        <v>626</v>
      </c>
      <c r="B1191" s="264" t="s">
        <v>606</v>
      </c>
      <c r="C1191" s="263" t="s">
        <v>635</v>
      </c>
      <c r="D1191" s="262" t="s">
        <v>601</v>
      </c>
      <c r="E1191" s="261" t="s">
        <v>287</v>
      </c>
      <c r="F1191" s="260" t="s">
        <v>624</v>
      </c>
      <c r="G1191" s="260" t="s">
        <v>596</v>
      </c>
    </row>
    <row r="1192" spans="1:7" x14ac:dyDescent="0.25">
      <c r="A1192" s="169" t="str">
        <f>E1192&amp;COUNTIFS($E$2:E1192,E1192)</f>
        <v>0</v>
      </c>
      <c r="B1192" s="172"/>
      <c r="C1192" s="174"/>
      <c r="D1192" s="173"/>
      <c r="E1192" s="172"/>
      <c r="F1192" s="171"/>
      <c r="G1192" s="170"/>
    </row>
    <row r="1193" spans="1:7" x14ac:dyDescent="0.25">
      <c r="A1193" s="169" t="str">
        <f>E1193&amp;COUNTIFS($E$2:E1193,E1193)</f>
        <v>0</v>
      </c>
      <c r="B1193" s="166"/>
      <c r="C1193" s="168"/>
      <c r="D1193" s="167"/>
      <c r="E1193" s="166"/>
      <c r="F1193" s="165"/>
      <c r="G1193" s="164"/>
    </row>
    <row r="1194" spans="1:7" x14ac:dyDescent="0.25">
      <c r="A1194" s="169" t="str">
        <f>E1194&amp;COUNTIFS($E$2:E1194,E1194)</f>
        <v>0</v>
      </c>
      <c r="B1194" s="166"/>
      <c r="C1194" s="168"/>
      <c r="D1194" s="167"/>
      <c r="E1194" s="166"/>
      <c r="F1194" s="165"/>
      <c r="G1194" s="164"/>
    </row>
    <row r="1195" spans="1:7" x14ac:dyDescent="0.25">
      <c r="A1195" s="169" t="str">
        <f>E1195&amp;COUNTIFS($E$2:E1195,E1195)</f>
        <v>0</v>
      </c>
      <c r="B1195" s="166"/>
      <c r="C1195" s="168"/>
      <c r="D1195" s="167"/>
      <c r="E1195" s="166"/>
      <c r="F1195" s="165"/>
      <c r="G1195" s="164"/>
    </row>
    <row r="1196" spans="1:7" x14ac:dyDescent="0.25">
      <c r="A1196" s="169" t="str">
        <f>E1196&amp;COUNTIFS($E$2:E1196,E1196)</f>
        <v>0</v>
      </c>
      <c r="B1196" s="166"/>
      <c r="C1196" s="168"/>
      <c r="D1196" s="167"/>
      <c r="E1196" s="166"/>
      <c r="F1196" s="165"/>
      <c r="G1196" s="164"/>
    </row>
    <row r="1197" spans="1:7" x14ac:dyDescent="0.25">
      <c r="A1197" s="169" t="str">
        <f>E1197&amp;COUNTIFS($E$2:E1197,E1197)</f>
        <v>0</v>
      </c>
      <c r="B1197" s="166"/>
      <c r="C1197" s="168"/>
      <c r="D1197" s="167"/>
      <c r="E1197" s="166"/>
      <c r="F1197" s="165"/>
      <c r="G1197" s="164"/>
    </row>
    <row r="1198" spans="1:7" x14ac:dyDescent="0.25">
      <c r="A1198" s="169" t="str">
        <f>E1198&amp;COUNTIFS($E$2:E1198,E1198)</f>
        <v>0</v>
      </c>
      <c r="B1198" s="166"/>
      <c r="C1198" s="168"/>
      <c r="D1198" s="167"/>
      <c r="E1198" s="166"/>
      <c r="F1198" s="165"/>
      <c r="G1198" s="164"/>
    </row>
    <row r="1199" spans="1:7" x14ac:dyDescent="0.25">
      <c r="A1199" s="169" t="str">
        <f>E1199&amp;COUNTIFS($E$2:E1199,E1199)</f>
        <v>0</v>
      </c>
      <c r="B1199" s="166"/>
      <c r="C1199" s="168"/>
      <c r="D1199" s="167"/>
      <c r="E1199" s="166"/>
      <c r="F1199" s="165"/>
      <c r="G1199" s="164"/>
    </row>
    <row r="1200" spans="1:7" x14ac:dyDescent="0.25">
      <c r="A1200" s="169" t="str">
        <f>E1200&amp;COUNTIFS($E$2:E1200,E1200)</f>
        <v>0</v>
      </c>
      <c r="B1200" s="166"/>
      <c r="C1200" s="168"/>
      <c r="D1200" s="167"/>
      <c r="E1200" s="166"/>
      <c r="F1200" s="165"/>
      <c r="G1200" s="164"/>
    </row>
    <row r="1201" spans="1:7" x14ac:dyDescent="0.25">
      <c r="A1201" s="169" t="str">
        <f>E1201&amp;COUNTIFS($E$2:E1201,E1201)</f>
        <v>0</v>
      </c>
      <c r="B1201" s="166"/>
      <c r="C1201" s="168"/>
      <c r="D1201" s="167"/>
      <c r="E1201" s="166"/>
      <c r="F1201" s="165"/>
      <c r="G1201" s="164"/>
    </row>
    <row r="1202" spans="1:7" x14ac:dyDescent="0.25">
      <c r="A1202" s="169" t="str">
        <f>E1202&amp;COUNTIFS($E$2:E1202,E1202)</f>
        <v>0</v>
      </c>
      <c r="B1202" s="166"/>
      <c r="C1202" s="168"/>
      <c r="D1202" s="167"/>
      <c r="E1202" s="166"/>
      <c r="F1202" s="165"/>
      <c r="G1202" s="164"/>
    </row>
    <row r="1203" spans="1:7" x14ac:dyDescent="0.25">
      <c r="A1203" s="169" t="str">
        <f>E1203&amp;COUNTIFS($E$2:E1203,E1203)</f>
        <v>0</v>
      </c>
      <c r="B1203" s="166"/>
      <c r="C1203" s="168"/>
      <c r="D1203" s="167"/>
      <c r="E1203" s="166"/>
      <c r="F1203" s="165"/>
      <c r="G1203" s="164"/>
    </row>
    <row r="1204" spans="1:7" x14ac:dyDescent="0.25">
      <c r="A1204" s="169" t="str">
        <f>E1204&amp;COUNTIFS($E$2:E1204,E1204)</f>
        <v>0</v>
      </c>
      <c r="B1204" s="166"/>
      <c r="C1204" s="168"/>
      <c r="D1204" s="167"/>
      <c r="E1204" s="166"/>
      <c r="F1204" s="165"/>
      <c r="G1204" s="164"/>
    </row>
    <row r="1205" spans="1:7" x14ac:dyDescent="0.25">
      <c r="A1205" s="169" t="str">
        <f>E1205&amp;COUNTIFS($E$2:E1205,E1205)</f>
        <v>0</v>
      </c>
      <c r="B1205" s="166"/>
      <c r="C1205" s="168"/>
      <c r="D1205" s="167"/>
      <c r="E1205" s="166"/>
      <c r="F1205" s="165"/>
      <c r="G1205" s="164"/>
    </row>
    <row r="1206" spans="1:7" x14ac:dyDescent="0.25">
      <c r="A1206" s="169" t="str">
        <f>E1206&amp;COUNTIFS($E$2:E1206,E1206)</f>
        <v>0</v>
      </c>
      <c r="B1206" s="166"/>
      <c r="C1206" s="168"/>
      <c r="D1206" s="167"/>
      <c r="E1206" s="166"/>
      <c r="F1206" s="165"/>
      <c r="G1206" s="164"/>
    </row>
    <row r="1207" spans="1:7" x14ac:dyDescent="0.25">
      <c r="A1207" s="169" t="str">
        <f>E1207&amp;COUNTIFS($E$2:E1207,E1207)</f>
        <v>0</v>
      </c>
      <c r="B1207" s="166"/>
      <c r="C1207" s="168"/>
      <c r="D1207" s="167"/>
      <c r="E1207" s="166"/>
      <c r="F1207" s="165"/>
      <c r="G1207" s="164"/>
    </row>
    <row r="1208" spans="1:7" x14ac:dyDescent="0.25">
      <c r="A1208" s="169" t="str">
        <f>E1208&amp;COUNTIFS($E$2:E1208,E1208)</f>
        <v>0</v>
      </c>
      <c r="B1208" s="166"/>
      <c r="C1208" s="168"/>
      <c r="D1208" s="167"/>
      <c r="E1208" s="166"/>
      <c r="F1208" s="165"/>
      <c r="G1208" s="164"/>
    </row>
    <row r="1209" spans="1:7" x14ac:dyDescent="0.25">
      <c r="A1209" s="169" t="str">
        <f>E1209&amp;COUNTIFS($E$2:E1209,E1209)</f>
        <v>0</v>
      </c>
      <c r="B1209" s="166"/>
      <c r="C1209" s="168"/>
      <c r="D1209" s="167"/>
      <c r="E1209" s="166"/>
      <c r="F1209" s="165"/>
      <c r="G1209" s="164"/>
    </row>
    <row r="1210" spans="1:7" x14ac:dyDescent="0.25">
      <c r="A1210" s="169" t="str">
        <f>E1210&amp;COUNTIFS($E$2:E1210,E1210)</f>
        <v>0</v>
      </c>
      <c r="B1210" s="166"/>
      <c r="C1210" s="168"/>
      <c r="D1210" s="167"/>
      <c r="E1210" s="166"/>
      <c r="F1210" s="165"/>
      <c r="G1210" s="164"/>
    </row>
    <row r="1211" spans="1:7" x14ac:dyDescent="0.25">
      <c r="A1211" s="169" t="str">
        <f>E1211&amp;COUNTIFS($E$2:E1211,E1211)</f>
        <v>0</v>
      </c>
      <c r="B1211" s="166"/>
      <c r="C1211" s="168"/>
      <c r="D1211" s="167"/>
      <c r="E1211" s="166"/>
      <c r="F1211" s="165"/>
      <c r="G1211" s="164"/>
    </row>
    <row r="1212" spans="1:7" x14ac:dyDescent="0.25">
      <c r="A1212" s="169" t="str">
        <f>E1212&amp;COUNTIFS($E$2:E1212,E1212)</f>
        <v>0</v>
      </c>
      <c r="B1212" s="166"/>
      <c r="C1212" s="168"/>
      <c r="D1212" s="167"/>
      <c r="E1212" s="166"/>
      <c r="F1212" s="165"/>
      <c r="G1212" s="164"/>
    </row>
    <row r="1213" spans="1:7" x14ac:dyDescent="0.25">
      <c r="A1213" s="169" t="str">
        <f>E1213&amp;COUNTIFS($E$2:E1213,E1213)</f>
        <v>0</v>
      </c>
      <c r="B1213" s="166"/>
      <c r="C1213" s="168"/>
      <c r="D1213" s="167"/>
      <c r="E1213" s="166"/>
      <c r="F1213" s="165"/>
      <c r="G1213" s="164"/>
    </row>
    <row r="1214" spans="1:7" x14ac:dyDescent="0.25">
      <c r="A1214" s="169" t="str">
        <f>E1214&amp;COUNTIFS($E$2:E1214,E1214)</f>
        <v>0</v>
      </c>
      <c r="B1214" s="166"/>
      <c r="C1214" s="168"/>
      <c r="D1214" s="167"/>
      <c r="E1214" s="166"/>
      <c r="F1214" s="165"/>
      <c r="G1214" s="164"/>
    </row>
    <row r="1215" spans="1:7" x14ac:dyDescent="0.25">
      <c r="A1215" s="169" t="str">
        <f>E1215&amp;COUNTIFS($E$2:E1215,E1215)</f>
        <v>0</v>
      </c>
      <c r="B1215" s="166"/>
      <c r="C1215" s="168"/>
      <c r="D1215" s="167"/>
      <c r="E1215" s="166"/>
      <c r="F1215" s="165"/>
      <c r="G1215" s="164"/>
    </row>
    <row r="1216" spans="1:7" ht="15.75" thickBot="1" x14ac:dyDescent="0.3">
      <c r="A1216" s="163" t="str">
        <f>E1216&amp;COUNTIFS($E$2:E1216,E1216)</f>
        <v>0</v>
      </c>
      <c r="B1216" s="166"/>
      <c r="C1216" s="162"/>
      <c r="D1216" s="161"/>
      <c r="E1216" s="160"/>
      <c r="F1216" s="159"/>
      <c r="G1216" s="158"/>
    </row>
    <row r="1217" spans="1:7" x14ac:dyDescent="0.25">
      <c r="A1217" s="148"/>
      <c r="C1217" s="143"/>
      <c r="D1217" s="157"/>
      <c r="E1217" s="143"/>
      <c r="F1217" s="156"/>
      <c r="G1217" s="156"/>
    </row>
    <row r="1218" spans="1:7" x14ac:dyDescent="0.25">
      <c r="A1218" s="148"/>
      <c r="C1218" s="153" t="s">
        <v>623</v>
      </c>
      <c r="D1218" s="152"/>
      <c r="E1218" s="151"/>
      <c r="F1218" s="150">
        <f>SUM(F1192:F1216)</f>
        <v>0</v>
      </c>
      <c r="G1218" s="155">
        <f>SUM(G1192:G1216)</f>
        <v>0</v>
      </c>
    </row>
    <row r="1219" spans="1:7" x14ac:dyDescent="0.25">
      <c r="A1219" s="148"/>
      <c r="C1219" s="145" t="s">
        <v>622</v>
      </c>
      <c r="D1219" s="154"/>
      <c r="E1219" s="145"/>
      <c r="F1219" s="144"/>
      <c r="G1219" s="144"/>
    </row>
    <row r="1220" spans="1:7" x14ac:dyDescent="0.25">
      <c r="A1220" s="148"/>
      <c r="C1220" s="153" t="s">
        <v>621</v>
      </c>
      <c r="D1220" s="152"/>
      <c r="E1220" s="151"/>
      <c r="F1220" s="150">
        <f>F1187</f>
        <v>0</v>
      </c>
      <c r="G1220" s="150">
        <f>G1187</f>
        <v>0</v>
      </c>
    </row>
    <row r="1221" spans="1:7" x14ac:dyDescent="0.25">
      <c r="A1221" s="148"/>
      <c r="C1221" s="153" t="s">
        <v>582</v>
      </c>
      <c r="D1221" s="152"/>
      <c r="E1221" s="151"/>
      <c r="F1221" s="150">
        <f>F1220+F1218</f>
        <v>0</v>
      </c>
      <c r="G1221" s="150">
        <f>G1220+G1218</f>
        <v>0</v>
      </c>
    </row>
    <row r="1222" spans="1:7" ht="15.75" thickBot="1" x14ac:dyDescent="0.3">
      <c r="A1222" s="148"/>
      <c r="C1222" s="145"/>
      <c r="D1222" s="149"/>
      <c r="E1222" s="145"/>
      <c r="F1222" s="144"/>
      <c r="G1222" s="144"/>
    </row>
    <row r="1223" spans="1:7" ht="15.75" thickBot="1" x14ac:dyDescent="0.3">
      <c r="A1223" s="148"/>
      <c r="C1223" s="147" t="s">
        <v>620</v>
      </c>
      <c r="D1223" s="146">
        <f>F1221-G1221</f>
        <v>0</v>
      </c>
      <c r="E1223" s="145"/>
      <c r="F1223" s="144"/>
      <c r="G1223" s="144"/>
    </row>
    <row r="1224" spans="1:7" ht="15.75" thickBot="1" x14ac:dyDescent="0.3"/>
    <row r="1225" spans="1:7" ht="30.75" thickBot="1" x14ac:dyDescent="0.3">
      <c r="A1225" s="265" t="s">
        <v>626</v>
      </c>
      <c r="B1225" s="264" t="s">
        <v>606</v>
      </c>
      <c r="C1225" s="263" t="s">
        <v>635</v>
      </c>
      <c r="D1225" s="262" t="s">
        <v>601</v>
      </c>
      <c r="E1225" s="261" t="s">
        <v>287</v>
      </c>
      <c r="F1225" s="260" t="s">
        <v>624</v>
      </c>
      <c r="G1225" s="260" t="s">
        <v>596</v>
      </c>
    </row>
    <row r="1226" spans="1:7" x14ac:dyDescent="0.25">
      <c r="A1226" s="169" t="str">
        <f>E1226&amp;COUNTIFS($E$2:E1226,E1226)</f>
        <v>0</v>
      </c>
      <c r="B1226" s="172"/>
      <c r="C1226" s="174"/>
      <c r="D1226" s="173"/>
      <c r="E1226" s="172"/>
      <c r="F1226" s="171"/>
      <c r="G1226" s="170"/>
    </row>
    <row r="1227" spans="1:7" x14ac:dyDescent="0.25">
      <c r="A1227" s="169" t="str">
        <f>E1227&amp;COUNTIFS($E$2:E1227,E1227)</f>
        <v>0</v>
      </c>
      <c r="B1227" s="166"/>
      <c r="C1227" s="168"/>
      <c r="D1227" s="167"/>
      <c r="E1227" s="166"/>
      <c r="F1227" s="165"/>
      <c r="G1227" s="164"/>
    </row>
    <row r="1228" spans="1:7" x14ac:dyDescent="0.25">
      <c r="A1228" s="169" t="str">
        <f>E1228&amp;COUNTIFS($E$2:E1228,E1228)</f>
        <v>0</v>
      </c>
      <c r="B1228" s="166"/>
      <c r="C1228" s="168"/>
      <c r="D1228" s="167"/>
      <c r="E1228" s="166"/>
      <c r="F1228" s="165"/>
      <c r="G1228" s="164"/>
    </row>
    <row r="1229" spans="1:7" x14ac:dyDescent="0.25">
      <c r="A1229" s="169" t="str">
        <f>E1229&amp;COUNTIFS($E$2:E1229,E1229)</f>
        <v>0</v>
      </c>
      <c r="B1229" s="166"/>
      <c r="C1229" s="168"/>
      <c r="D1229" s="167"/>
      <c r="E1229" s="166"/>
      <c r="F1229" s="165"/>
      <c r="G1229" s="164"/>
    </row>
    <row r="1230" spans="1:7" x14ac:dyDescent="0.25">
      <c r="A1230" s="169" t="str">
        <f>E1230&amp;COUNTIFS($E$2:E1230,E1230)</f>
        <v>0</v>
      </c>
      <c r="B1230" s="166"/>
      <c r="C1230" s="168"/>
      <c r="D1230" s="167"/>
      <c r="E1230" s="166"/>
      <c r="F1230" s="165"/>
      <c r="G1230" s="164"/>
    </row>
    <row r="1231" spans="1:7" x14ac:dyDescent="0.25">
      <c r="A1231" s="169" t="str">
        <f>E1231&amp;COUNTIFS($E$2:E1231,E1231)</f>
        <v>0</v>
      </c>
      <c r="B1231" s="166"/>
      <c r="C1231" s="168"/>
      <c r="D1231" s="167"/>
      <c r="E1231" s="166"/>
      <c r="F1231" s="165"/>
      <c r="G1231" s="164"/>
    </row>
    <row r="1232" spans="1:7" x14ac:dyDescent="0.25">
      <c r="A1232" s="169" t="str">
        <f>E1232&amp;COUNTIFS($E$2:E1232,E1232)</f>
        <v>0</v>
      </c>
      <c r="B1232" s="166"/>
      <c r="C1232" s="168"/>
      <c r="D1232" s="167"/>
      <c r="E1232" s="166"/>
      <c r="F1232" s="165"/>
      <c r="G1232" s="164"/>
    </row>
    <row r="1233" spans="1:7" x14ac:dyDescent="0.25">
      <c r="A1233" s="169" t="str">
        <f>E1233&amp;COUNTIFS($E$2:E1233,E1233)</f>
        <v>0</v>
      </c>
      <c r="B1233" s="166"/>
      <c r="C1233" s="168"/>
      <c r="D1233" s="167"/>
      <c r="E1233" s="166"/>
      <c r="F1233" s="165"/>
      <c r="G1233" s="164"/>
    </row>
    <row r="1234" spans="1:7" x14ac:dyDescent="0.25">
      <c r="A1234" s="169" t="str">
        <f>E1234&amp;COUNTIFS($E$2:E1234,E1234)</f>
        <v>0</v>
      </c>
      <c r="B1234" s="166"/>
      <c r="C1234" s="168"/>
      <c r="D1234" s="167"/>
      <c r="E1234" s="166"/>
      <c r="F1234" s="165"/>
      <c r="G1234" s="164"/>
    </row>
    <row r="1235" spans="1:7" x14ac:dyDescent="0.25">
      <c r="A1235" s="169" t="str">
        <f>E1235&amp;COUNTIFS($E$2:E1235,E1235)</f>
        <v>0</v>
      </c>
      <c r="B1235" s="166"/>
      <c r="C1235" s="168"/>
      <c r="D1235" s="167"/>
      <c r="E1235" s="166"/>
      <c r="F1235" s="165"/>
      <c r="G1235" s="164"/>
    </row>
    <row r="1236" spans="1:7" x14ac:dyDescent="0.25">
      <c r="A1236" s="169" t="str">
        <f>E1236&amp;COUNTIFS($E$2:E1236,E1236)</f>
        <v>0</v>
      </c>
      <c r="B1236" s="166"/>
      <c r="C1236" s="168"/>
      <c r="D1236" s="167"/>
      <c r="E1236" s="166"/>
      <c r="F1236" s="165"/>
      <c r="G1236" s="164"/>
    </row>
    <row r="1237" spans="1:7" x14ac:dyDescent="0.25">
      <c r="A1237" s="169" t="str">
        <f>E1237&amp;COUNTIFS($E$2:E1237,E1237)</f>
        <v>0</v>
      </c>
      <c r="B1237" s="166"/>
      <c r="C1237" s="168"/>
      <c r="D1237" s="167"/>
      <c r="E1237" s="166"/>
      <c r="F1237" s="165"/>
      <c r="G1237" s="164"/>
    </row>
    <row r="1238" spans="1:7" x14ac:dyDescent="0.25">
      <c r="A1238" s="169" t="str">
        <f>E1238&amp;COUNTIFS($E$2:E1238,E1238)</f>
        <v>0</v>
      </c>
      <c r="B1238" s="166"/>
      <c r="C1238" s="168"/>
      <c r="D1238" s="167"/>
      <c r="E1238" s="166"/>
      <c r="F1238" s="165"/>
      <c r="G1238" s="164"/>
    </row>
    <row r="1239" spans="1:7" x14ac:dyDescent="0.25">
      <c r="A1239" s="169" t="str">
        <f>E1239&amp;COUNTIFS($E$2:E1239,E1239)</f>
        <v>0</v>
      </c>
      <c r="B1239" s="166"/>
      <c r="C1239" s="168"/>
      <c r="D1239" s="167"/>
      <c r="E1239" s="166"/>
      <c r="F1239" s="165"/>
      <c r="G1239" s="164"/>
    </row>
    <row r="1240" spans="1:7" x14ac:dyDescent="0.25">
      <c r="A1240" s="169" t="str">
        <f>E1240&amp;COUNTIFS($E$2:E1240,E1240)</f>
        <v>0</v>
      </c>
      <c r="B1240" s="166"/>
      <c r="C1240" s="168"/>
      <c r="D1240" s="167"/>
      <c r="E1240" s="166"/>
      <c r="F1240" s="165"/>
      <c r="G1240" s="164"/>
    </row>
    <row r="1241" spans="1:7" x14ac:dyDescent="0.25">
      <c r="A1241" s="169" t="str">
        <f>E1241&amp;COUNTIFS($E$2:E1241,E1241)</f>
        <v>0</v>
      </c>
      <c r="B1241" s="166"/>
      <c r="C1241" s="168"/>
      <c r="D1241" s="167"/>
      <c r="E1241" s="166"/>
      <c r="F1241" s="165"/>
      <c r="G1241" s="164"/>
    </row>
    <row r="1242" spans="1:7" x14ac:dyDescent="0.25">
      <c r="A1242" s="169" t="str">
        <f>E1242&amp;COUNTIFS($E$2:E1242,E1242)</f>
        <v>0</v>
      </c>
      <c r="B1242" s="166"/>
      <c r="C1242" s="168"/>
      <c r="D1242" s="167"/>
      <c r="E1242" s="166"/>
      <c r="F1242" s="165"/>
      <c r="G1242" s="164"/>
    </row>
    <row r="1243" spans="1:7" x14ac:dyDescent="0.25">
      <c r="A1243" s="169" t="str">
        <f>E1243&amp;COUNTIFS($E$2:E1243,E1243)</f>
        <v>0</v>
      </c>
      <c r="B1243" s="166"/>
      <c r="C1243" s="168"/>
      <c r="D1243" s="167"/>
      <c r="E1243" s="166"/>
      <c r="F1243" s="165"/>
      <c r="G1243" s="164"/>
    </row>
    <row r="1244" spans="1:7" x14ac:dyDescent="0.25">
      <c r="A1244" s="169" t="str">
        <f>E1244&amp;COUNTIFS($E$2:E1244,E1244)</f>
        <v>0</v>
      </c>
      <c r="B1244" s="166"/>
      <c r="C1244" s="168"/>
      <c r="D1244" s="167"/>
      <c r="E1244" s="166"/>
      <c r="F1244" s="165"/>
      <c r="G1244" s="164"/>
    </row>
    <row r="1245" spans="1:7" x14ac:dyDescent="0.25">
      <c r="A1245" s="169" t="str">
        <f>E1245&amp;COUNTIFS($E$2:E1245,E1245)</f>
        <v>0</v>
      </c>
      <c r="B1245" s="166"/>
      <c r="C1245" s="168"/>
      <c r="D1245" s="167"/>
      <c r="E1245" s="166"/>
      <c r="F1245" s="165"/>
      <c r="G1245" s="164"/>
    </row>
    <row r="1246" spans="1:7" x14ac:dyDescent="0.25">
      <c r="A1246" s="169" t="str">
        <f>E1246&amp;COUNTIFS($E$2:E1246,E1246)</f>
        <v>0</v>
      </c>
      <c r="B1246" s="166"/>
      <c r="C1246" s="168"/>
      <c r="D1246" s="167"/>
      <c r="E1246" s="166"/>
      <c r="F1246" s="165"/>
      <c r="G1246" s="164"/>
    </row>
    <row r="1247" spans="1:7" x14ac:dyDescent="0.25">
      <c r="A1247" s="169" t="str">
        <f>E1247&amp;COUNTIFS($E$2:E1247,E1247)</f>
        <v>0</v>
      </c>
      <c r="B1247" s="166"/>
      <c r="C1247" s="168"/>
      <c r="D1247" s="167"/>
      <c r="E1247" s="166"/>
      <c r="F1247" s="165"/>
      <c r="G1247" s="164"/>
    </row>
    <row r="1248" spans="1:7" x14ac:dyDescent="0.25">
      <c r="A1248" s="169" t="str">
        <f>E1248&amp;COUNTIFS($E$2:E1248,E1248)</f>
        <v>0</v>
      </c>
      <c r="B1248" s="166"/>
      <c r="C1248" s="168"/>
      <c r="D1248" s="167"/>
      <c r="E1248" s="166"/>
      <c r="F1248" s="165"/>
      <c r="G1248" s="164"/>
    </row>
    <row r="1249" spans="1:7" x14ac:dyDescent="0.25">
      <c r="A1249" s="169" t="str">
        <f>E1249&amp;COUNTIFS($E$2:E1249,E1249)</f>
        <v>0</v>
      </c>
      <c r="B1249" s="166"/>
      <c r="C1249" s="168"/>
      <c r="D1249" s="167"/>
      <c r="E1249" s="166"/>
      <c r="F1249" s="165"/>
      <c r="G1249" s="164"/>
    </row>
    <row r="1250" spans="1:7" ht="15.75" thickBot="1" x14ac:dyDescent="0.3">
      <c r="A1250" s="163" t="str">
        <f>E1250&amp;COUNTIFS($E$2:E1250,E1250)</f>
        <v>0</v>
      </c>
      <c r="B1250" s="166"/>
      <c r="C1250" s="162"/>
      <c r="D1250" s="161"/>
      <c r="E1250" s="160"/>
      <c r="F1250" s="159"/>
      <c r="G1250" s="158"/>
    </row>
    <row r="1251" spans="1:7" x14ac:dyDescent="0.25">
      <c r="A1251" s="148"/>
      <c r="C1251" s="143"/>
      <c r="D1251" s="157"/>
      <c r="E1251" s="143"/>
      <c r="F1251" s="156"/>
      <c r="G1251" s="156"/>
    </row>
    <row r="1252" spans="1:7" x14ac:dyDescent="0.25">
      <c r="A1252" s="148"/>
      <c r="C1252" s="153" t="s">
        <v>623</v>
      </c>
      <c r="D1252" s="152"/>
      <c r="E1252" s="151"/>
      <c r="F1252" s="150">
        <f>SUM(F1226:F1250)</f>
        <v>0</v>
      </c>
      <c r="G1252" s="155">
        <f>SUM(G1226:G1250)</f>
        <v>0</v>
      </c>
    </row>
    <row r="1253" spans="1:7" x14ac:dyDescent="0.25">
      <c r="A1253" s="148"/>
      <c r="C1253" s="145" t="s">
        <v>622</v>
      </c>
      <c r="D1253" s="154"/>
      <c r="E1253" s="145"/>
      <c r="F1253" s="144"/>
      <c r="G1253" s="144"/>
    </row>
    <row r="1254" spans="1:7" x14ac:dyDescent="0.25">
      <c r="A1254" s="148"/>
      <c r="C1254" s="153" t="s">
        <v>621</v>
      </c>
      <c r="D1254" s="152"/>
      <c r="E1254" s="151"/>
      <c r="F1254" s="150">
        <f>F1221</f>
        <v>0</v>
      </c>
      <c r="G1254" s="150">
        <f>G1221</f>
        <v>0</v>
      </c>
    </row>
    <row r="1255" spans="1:7" x14ac:dyDescent="0.25">
      <c r="A1255" s="148"/>
      <c r="C1255" s="153" t="s">
        <v>582</v>
      </c>
      <c r="D1255" s="152"/>
      <c r="E1255" s="151"/>
      <c r="F1255" s="150">
        <f>F1254+F1252</f>
        <v>0</v>
      </c>
      <c r="G1255" s="150">
        <f>G1254+G1252</f>
        <v>0</v>
      </c>
    </row>
    <row r="1256" spans="1:7" ht="15.75" thickBot="1" x14ac:dyDescent="0.3">
      <c r="A1256" s="148"/>
      <c r="C1256" s="145"/>
      <c r="D1256" s="149"/>
      <c r="E1256" s="145"/>
      <c r="F1256" s="144"/>
      <c r="G1256" s="144"/>
    </row>
    <row r="1257" spans="1:7" ht="15.75" thickBot="1" x14ac:dyDescent="0.3">
      <c r="A1257" s="148"/>
      <c r="C1257" s="147" t="s">
        <v>620</v>
      </c>
      <c r="D1257" s="146">
        <f>F1255-G1255</f>
        <v>0</v>
      </c>
      <c r="E1257" s="145"/>
      <c r="F1257" s="144"/>
      <c r="G1257" s="144"/>
    </row>
    <row r="1258" spans="1:7" ht="15.75" thickBot="1" x14ac:dyDescent="0.3"/>
    <row r="1259" spans="1:7" ht="30.75" thickBot="1" x14ac:dyDescent="0.3">
      <c r="A1259" s="265" t="s">
        <v>626</v>
      </c>
      <c r="B1259" s="264" t="s">
        <v>606</v>
      </c>
      <c r="C1259" s="263" t="s">
        <v>635</v>
      </c>
      <c r="D1259" s="262" t="s">
        <v>601</v>
      </c>
      <c r="E1259" s="261" t="s">
        <v>287</v>
      </c>
      <c r="F1259" s="260" t="s">
        <v>624</v>
      </c>
      <c r="G1259" s="260" t="s">
        <v>596</v>
      </c>
    </row>
    <row r="1260" spans="1:7" x14ac:dyDescent="0.25">
      <c r="A1260" s="169" t="str">
        <f>E1260&amp;COUNTIFS($E$2:E1260,E1260)</f>
        <v>0</v>
      </c>
      <c r="B1260" s="172"/>
      <c r="C1260" s="174"/>
      <c r="D1260" s="173"/>
      <c r="E1260" s="172"/>
      <c r="F1260" s="171"/>
      <c r="G1260" s="170"/>
    </row>
    <row r="1261" spans="1:7" x14ac:dyDescent="0.25">
      <c r="A1261" s="169" t="str">
        <f>E1261&amp;COUNTIFS($E$2:E1261,E1261)</f>
        <v>0</v>
      </c>
      <c r="B1261" s="166"/>
      <c r="C1261" s="168"/>
      <c r="D1261" s="167"/>
      <c r="E1261" s="166"/>
      <c r="F1261" s="165"/>
      <c r="G1261" s="164"/>
    </row>
    <row r="1262" spans="1:7" x14ac:dyDescent="0.25">
      <c r="A1262" s="169" t="str">
        <f>E1262&amp;COUNTIFS($E$2:E1262,E1262)</f>
        <v>0</v>
      </c>
      <c r="B1262" s="166"/>
      <c r="C1262" s="168"/>
      <c r="D1262" s="167"/>
      <c r="E1262" s="166"/>
      <c r="F1262" s="165"/>
      <c r="G1262" s="164"/>
    </row>
    <row r="1263" spans="1:7" x14ac:dyDescent="0.25">
      <c r="A1263" s="169" t="str">
        <f>E1263&amp;COUNTIFS($E$2:E1263,E1263)</f>
        <v>0</v>
      </c>
      <c r="B1263" s="166"/>
      <c r="C1263" s="168"/>
      <c r="D1263" s="167"/>
      <c r="E1263" s="166"/>
      <c r="F1263" s="165"/>
      <c r="G1263" s="164"/>
    </row>
    <row r="1264" spans="1:7" x14ac:dyDescent="0.25">
      <c r="A1264" s="169" t="str">
        <f>E1264&amp;COUNTIFS($E$2:E1264,E1264)</f>
        <v>0</v>
      </c>
      <c r="B1264" s="166"/>
      <c r="C1264" s="168"/>
      <c r="D1264" s="167"/>
      <c r="E1264" s="166"/>
      <c r="F1264" s="165"/>
      <c r="G1264" s="164"/>
    </row>
    <row r="1265" spans="1:7" x14ac:dyDescent="0.25">
      <c r="A1265" s="169" t="str">
        <f>E1265&amp;COUNTIFS($E$2:E1265,E1265)</f>
        <v>0</v>
      </c>
      <c r="B1265" s="166"/>
      <c r="C1265" s="168"/>
      <c r="D1265" s="167"/>
      <c r="E1265" s="166"/>
      <c r="F1265" s="165"/>
      <c r="G1265" s="164"/>
    </row>
    <row r="1266" spans="1:7" x14ac:dyDescent="0.25">
      <c r="A1266" s="169" t="str">
        <f>E1266&amp;COUNTIFS($E$2:E1266,E1266)</f>
        <v>0</v>
      </c>
      <c r="B1266" s="166"/>
      <c r="C1266" s="168"/>
      <c r="D1266" s="167"/>
      <c r="E1266" s="166"/>
      <c r="F1266" s="165"/>
      <c r="G1266" s="164"/>
    </row>
    <row r="1267" spans="1:7" x14ac:dyDescent="0.25">
      <c r="A1267" s="169" t="str">
        <f>E1267&amp;COUNTIFS($E$2:E1267,E1267)</f>
        <v>0</v>
      </c>
      <c r="B1267" s="166"/>
      <c r="C1267" s="168"/>
      <c r="D1267" s="167"/>
      <c r="E1267" s="166"/>
      <c r="F1267" s="165"/>
      <c r="G1267" s="164"/>
    </row>
    <row r="1268" spans="1:7" x14ac:dyDescent="0.25">
      <c r="A1268" s="169" t="str">
        <f>E1268&amp;COUNTIFS($E$2:E1268,E1268)</f>
        <v>0</v>
      </c>
      <c r="B1268" s="166"/>
      <c r="C1268" s="168"/>
      <c r="D1268" s="167"/>
      <c r="E1268" s="166"/>
      <c r="F1268" s="165"/>
      <c r="G1268" s="164"/>
    </row>
    <row r="1269" spans="1:7" x14ac:dyDescent="0.25">
      <c r="A1269" s="169" t="str">
        <f>E1269&amp;COUNTIFS($E$2:E1269,E1269)</f>
        <v>0</v>
      </c>
      <c r="B1269" s="166"/>
      <c r="C1269" s="168"/>
      <c r="D1269" s="167"/>
      <c r="E1269" s="166"/>
      <c r="F1269" s="165"/>
      <c r="G1269" s="164"/>
    </row>
    <row r="1270" spans="1:7" x14ac:dyDescent="0.25">
      <c r="A1270" s="169" t="str">
        <f>E1270&amp;COUNTIFS($E$2:E1270,E1270)</f>
        <v>0</v>
      </c>
      <c r="B1270" s="166"/>
      <c r="C1270" s="168"/>
      <c r="D1270" s="167"/>
      <c r="E1270" s="166"/>
      <c r="F1270" s="165"/>
      <c r="G1270" s="164"/>
    </row>
    <row r="1271" spans="1:7" x14ac:dyDescent="0.25">
      <c r="A1271" s="169" t="str">
        <f>E1271&amp;COUNTIFS($E$2:E1271,E1271)</f>
        <v>0</v>
      </c>
      <c r="B1271" s="166"/>
      <c r="C1271" s="168"/>
      <c r="D1271" s="167"/>
      <c r="E1271" s="166"/>
      <c r="F1271" s="165"/>
      <c r="G1271" s="164"/>
    </row>
    <row r="1272" spans="1:7" x14ac:dyDescent="0.25">
      <c r="A1272" s="169" t="str">
        <f>E1272&amp;COUNTIFS($E$2:E1272,E1272)</f>
        <v>0</v>
      </c>
      <c r="B1272" s="166"/>
      <c r="C1272" s="168"/>
      <c r="D1272" s="167"/>
      <c r="E1272" s="166"/>
      <c r="F1272" s="165"/>
      <c r="G1272" s="164"/>
    </row>
    <row r="1273" spans="1:7" x14ac:dyDescent="0.25">
      <c r="A1273" s="169" t="str">
        <f>E1273&amp;COUNTIFS($E$2:E1273,E1273)</f>
        <v>0</v>
      </c>
      <c r="B1273" s="166"/>
      <c r="C1273" s="168"/>
      <c r="D1273" s="167"/>
      <c r="E1273" s="166"/>
      <c r="F1273" s="165"/>
      <c r="G1273" s="164"/>
    </row>
    <row r="1274" spans="1:7" x14ac:dyDescent="0.25">
      <c r="A1274" s="169" t="str">
        <f>E1274&amp;COUNTIFS($E$2:E1274,E1274)</f>
        <v>0</v>
      </c>
      <c r="B1274" s="166"/>
      <c r="C1274" s="168"/>
      <c r="D1274" s="167"/>
      <c r="E1274" s="166"/>
      <c r="F1274" s="165"/>
      <c r="G1274" s="164"/>
    </row>
    <row r="1275" spans="1:7" x14ac:dyDescent="0.25">
      <c r="A1275" s="169" t="str">
        <f>E1275&amp;COUNTIFS($E$2:E1275,E1275)</f>
        <v>0</v>
      </c>
      <c r="B1275" s="166"/>
      <c r="C1275" s="168"/>
      <c r="D1275" s="167"/>
      <c r="E1275" s="166"/>
      <c r="F1275" s="165"/>
      <c r="G1275" s="164"/>
    </row>
    <row r="1276" spans="1:7" x14ac:dyDescent="0.25">
      <c r="A1276" s="169" t="str">
        <f>E1276&amp;COUNTIFS($E$2:E1276,E1276)</f>
        <v>0</v>
      </c>
      <c r="B1276" s="166"/>
      <c r="C1276" s="168"/>
      <c r="D1276" s="167"/>
      <c r="E1276" s="166"/>
      <c r="F1276" s="165"/>
      <c r="G1276" s="164"/>
    </row>
    <row r="1277" spans="1:7" x14ac:dyDescent="0.25">
      <c r="A1277" s="169" t="str">
        <f>E1277&amp;COUNTIFS($E$2:E1277,E1277)</f>
        <v>0</v>
      </c>
      <c r="B1277" s="166"/>
      <c r="C1277" s="168"/>
      <c r="D1277" s="167"/>
      <c r="E1277" s="166"/>
      <c r="F1277" s="165"/>
      <c r="G1277" s="164"/>
    </row>
    <row r="1278" spans="1:7" x14ac:dyDescent="0.25">
      <c r="A1278" s="169" t="str">
        <f>E1278&amp;COUNTIFS($E$2:E1278,E1278)</f>
        <v>0</v>
      </c>
      <c r="B1278" s="166"/>
      <c r="C1278" s="168"/>
      <c r="D1278" s="167"/>
      <c r="E1278" s="166"/>
      <c r="F1278" s="165"/>
      <c r="G1278" s="164"/>
    </row>
    <row r="1279" spans="1:7" x14ac:dyDescent="0.25">
      <c r="A1279" s="169" t="str">
        <f>E1279&amp;COUNTIFS($E$2:E1279,E1279)</f>
        <v>0</v>
      </c>
      <c r="B1279" s="166"/>
      <c r="C1279" s="168"/>
      <c r="D1279" s="167"/>
      <c r="E1279" s="166"/>
      <c r="F1279" s="165"/>
      <c r="G1279" s="164"/>
    </row>
    <row r="1280" spans="1:7" x14ac:dyDescent="0.25">
      <c r="A1280" s="169" t="str">
        <f>E1280&amp;COUNTIFS($E$2:E1280,E1280)</f>
        <v>0</v>
      </c>
      <c r="B1280" s="166"/>
      <c r="C1280" s="168"/>
      <c r="D1280" s="167"/>
      <c r="E1280" s="166"/>
      <c r="F1280" s="165"/>
      <c r="G1280" s="164"/>
    </row>
    <row r="1281" spans="1:7" x14ac:dyDescent="0.25">
      <c r="A1281" s="169" t="str">
        <f>E1281&amp;COUNTIFS($E$2:E1281,E1281)</f>
        <v>0</v>
      </c>
      <c r="B1281" s="166"/>
      <c r="C1281" s="168"/>
      <c r="D1281" s="167"/>
      <c r="E1281" s="166"/>
      <c r="F1281" s="165"/>
      <c r="G1281" s="164"/>
    </row>
    <row r="1282" spans="1:7" x14ac:dyDescent="0.25">
      <c r="A1282" s="169" t="str">
        <f>E1282&amp;COUNTIFS($E$2:E1282,E1282)</f>
        <v>0</v>
      </c>
      <c r="B1282" s="166"/>
      <c r="C1282" s="168"/>
      <c r="D1282" s="167"/>
      <c r="E1282" s="166"/>
      <c r="F1282" s="165"/>
      <c r="G1282" s="164"/>
    </row>
    <row r="1283" spans="1:7" x14ac:dyDescent="0.25">
      <c r="A1283" s="169" t="str">
        <f>E1283&amp;COUNTIFS($E$2:E1283,E1283)</f>
        <v>0</v>
      </c>
      <c r="B1283" s="166"/>
      <c r="C1283" s="168"/>
      <c r="D1283" s="167"/>
      <c r="E1283" s="166"/>
      <c r="F1283" s="165"/>
      <c r="G1283" s="164"/>
    </row>
    <row r="1284" spans="1:7" ht="15.75" thickBot="1" x14ac:dyDescent="0.3">
      <c r="A1284" s="163" t="str">
        <f>E1284&amp;COUNTIFS($E$2:E1284,E1284)</f>
        <v>0</v>
      </c>
      <c r="B1284" s="166"/>
      <c r="C1284" s="162"/>
      <c r="D1284" s="161"/>
      <c r="E1284" s="160"/>
      <c r="F1284" s="159"/>
      <c r="G1284" s="158"/>
    </row>
    <row r="1285" spans="1:7" x14ac:dyDescent="0.25">
      <c r="A1285" s="148"/>
      <c r="C1285" s="143"/>
      <c r="D1285" s="157"/>
      <c r="E1285" s="143"/>
      <c r="F1285" s="156"/>
      <c r="G1285" s="156"/>
    </row>
    <row r="1286" spans="1:7" x14ac:dyDescent="0.25">
      <c r="A1286" s="148"/>
      <c r="C1286" s="153" t="s">
        <v>623</v>
      </c>
      <c r="D1286" s="152"/>
      <c r="E1286" s="151"/>
      <c r="F1286" s="150">
        <f>SUM(F1260:F1284)</f>
        <v>0</v>
      </c>
      <c r="G1286" s="155">
        <f>SUM(G1260:G1284)</f>
        <v>0</v>
      </c>
    </row>
    <row r="1287" spans="1:7" x14ac:dyDescent="0.25">
      <c r="A1287" s="148"/>
      <c r="C1287" s="145" t="s">
        <v>622</v>
      </c>
      <c r="D1287" s="154"/>
      <c r="E1287" s="145"/>
      <c r="F1287" s="144"/>
      <c r="G1287" s="144"/>
    </row>
    <row r="1288" spans="1:7" x14ac:dyDescent="0.25">
      <c r="A1288" s="148"/>
      <c r="C1288" s="153" t="s">
        <v>621</v>
      </c>
      <c r="D1288" s="152"/>
      <c r="E1288" s="151"/>
      <c r="F1288" s="150">
        <f>F1255</f>
        <v>0</v>
      </c>
      <c r="G1288" s="150">
        <f>G1255</f>
        <v>0</v>
      </c>
    </row>
    <row r="1289" spans="1:7" x14ac:dyDescent="0.25">
      <c r="A1289" s="148"/>
      <c r="C1289" s="153" t="s">
        <v>582</v>
      </c>
      <c r="D1289" s="152"/>
      <c r="E1289" s="151"/>
      <c r="F1289" s="150">
        <f>F1288+F1286</f>
        <v>0</v>
      </c>
      <c r="G1289" s="150">
        <f>G1288+G1286</f>
        <v>0</v>
      </c>
    </row>
    <row r="1290" spans="1:7" ht="15.75" thickBot="1" x14ac:dyDescent="0.3">
      <c r="A1290" s="148"/>
      <c r="C1290" s="145"/>
      <c r="D1290" s="149"/>
      <c r="E1290" s="145"/>
      <c r="F1290" s="144"/>
      <c r="G1290" s="144"/>
    </row>
    <row r="1291" spans="1:7" ht="15.75" thickBot="1" x14ac:dyDescent="0.3">
      <c r="A1291" s="148"/>
      <c r="C1291" s="147" t="s">
        <v>620</v>
      </c>
      <c r="D1291" s="146">
        <f>F1289-G1289</f>
        <v>0</v>
      </c>
      <c r="E1291" s="145"/>
      <c r="F1291" s="144"/>
      <c r="G1291" s="144"/>
    </row>
    <row r="1292" spans="1:7" ht="15.75" thickBot="1" x14ac:dyDescent="0.3"/>
    <row r="1293" spans="1:7" ht="30.75" thickBot="1" x14ac:dyDescent="0.3">
      <c r="A1293" s="265" t="s">
        <v>626</v>
      </c>
      <c r="B1293" s="264" t="s">
        <v>606</v>
      </c>
      <c r="C1293" s="263" t="s">
        <v>635</v>
      </c>
      <c r="D1293" s="262" t="s">
        <v>601</v>
      </c>
      <c r="E1293" s="261" t="s">
        <v>287</v>
      </c>
      <c r="F1293" s="260" t="s">
        <v>624</v>
      </c>
      <c r="G1293" s="260" t="s">
        <v>596</v>
      </c>
    </row>
    <row r="1294" spans="1:7" x14ac:dyDescent="0.25">
      <c r="A1294" s="169" t="str">
        <f>E1294&amp;COUNTIFS($E$2:E1294,E1294)</f>
        <v>0</v>
      </c>
      <c r="B1294" s="172"/>
      <c r="C1294" s="174"/>
      <c r="D1294" s="173"/>
      <c r="E1294" s="172"/>
      <c r="F1294" s="171"/>
      <c r="G1294" s="170"/>
    </row>
    <row r="1295" spans="1:7" x14ac:dyDescent="0.25">
      <c r="A1295" s="169" t="str">
        <f>E1295&amp;COUNTIFS($E$2:E1295,E1295)</f>
        <v>0</v>
      </c>
      <c r="B1295" s="166"/>
      <c r="C1295" s="168"/>
      <c r="D1295" s="167"/>
      <c r="E1295" s="166"/>
      <c r="F1295" s="165"/>
      <c r="G1295" s="164"/>
    </row>
    <row r="1296" spans="1:7" x14ac:dyDescent="0.25">
      <c r="A1296" s="169" t="str">
        <f>E1296&amp;COUNTIFS($E$2:E1296,E1296)</f>
        <v>0</v>
      </c>
      <c r="B1296" s="166"/>
      <c r="C1296" s="168"/>
      <c r="D1296" s="167"/>
      <c r="E1296" s="166"/>
      <c r="F1296" s="165"/>
      <c r="G1296" s="164"/>
    </row>
    <row r="1297" spans="1:7" x14ac:dyDescent="0.25">
      <c r="A1297" s="169" t="str">
        <f>E1297&amp;COUNTIFS($E$2:E1297,E1297)</f>
        <v>0</v>
      </c>
      <c r="B1297" s="166"/>
      <c r="C1297" s="168"/>
      <c r="D1297" s="167"/>
      <c r="E1297" s="166"/>
      <c r="F1297" s="165"/>
      <c r="G1297" s="164"/>
    </row>
    <row r="1298" spans="1:7" x14ac:dyDescent="0.25">
      <c r="A1298" s="169" t="str">
        <f>E1298&amp;COUNTIFS($E$2:E1298,E1298)</f>
        <v>0</v>
      </c>
      <c r="B1298" s="166"/>
      <c r="C1298" s="168"/>
      <c r="D1298" s="167"/>
      <c r="E1298" s="166"/>
      <c r="F1298" s="165"/>
      <c r="G1298" s="164"/>
    </row>
    <row r="1299" spans="1:7" x14ac:dyDescent="0.25">
      <c r="A1299" s="169" t="str">
        <f>E1299&amp;COUNTIFS($E$2:E1299,E1299)</f>
        <v>0</v>
      </c>
      <c r="B1299" s="166"/>
      <c r="C1299" s="168"/>
      <c r="D1299" s="167"/>
      <c r="E1299" s="166"/>
      <c r="F1299" s="165"/>
      <c r="G1299" s="164"/>
    </row>
    <row r="1300" spans="1:7" x14ac:dyDescent="0.25">
      <c r="A1300" s="169" t="str">
        <f>E1300&amp;COUNTIFS($E$2:E1300,E1300)</f>
        <v>0</v>
      </c>
      <c r="B1300" s="166"/>
      <c r="C1300" s="168"/>
      <c r="D1300" s="167"/>
      <c r="E1300" s="166"/>
      <c r="F1300" s="165"/>
      <c r="G1300" s="164"/>
    </row>
    <row r="1301" spans="1:7" x14ac:dyDescent="0.25">
      <c r="A1301" s="169" t="str">
        <f>E1301&amp;COUNTIFS($E$2:E1301,E1301)</f>
        <v>0</v>
      </c>
      <c r="B1301" s="166"/>
      <c r="C1301" s="168"/>
      <c r="D1301" s="167"/>
      <c r="E1301" s="166"/>
      <c r="F1301" s="165"/>
      <c r="G1301" s="164"/>
    </row>
    <row r="1302" spans="1:7" x14ac:dyDescent="0.25">
      <c r="A1302" s="169" t="str">
        <f>E1302&amp;COUNTIFS($E$2:E1302,E1302)</f>
        <v>0</v>
      </c>
      <c r="B1302" s="166"/>
      <c r="C1302" s="168"/>
      <c r="D1302" s="167"/>
      <c r="E1302" s="166"/>
      <c r="F1302" s="165"/>
      <c r="G1302" s="164"/>
    </row>
    <row r="1303" spans="1:7" x14ac:dyDescent="0.25">
      <c r="A1303" s="169" t="str">
        <f>E1303&amp;COUNTIFS($E$2:E1303,E1303)</f>
        <v>0</v>
      </c>
      <c r="B1303" s="166"/>
      <c r="C1303" s="168"/>
      <c r="D1303" s="167"/>
      <c r="E1303" s="166"/>
      <c r="F1303" s="165"/>
      <c r="G1303" s="164"/>
    </row>
    <row r="1304" spans="1:7" x14ac:dyDescent="0.25">
      <c r="A1304" s="169" t="str">
        <f>E1304&amp;COUNTIFS($E$2:E1304,E1304)</f>
        <v>0</v>
      </c>
      <c r="B1304" s="166"/>
      <c r="C1304" s="168"/>
      <c r="D1304" s="167"/>
      <c r="E1304" s="166"/>
      <c r="F1304" s="165"/>
      <c r="G1304" s="164"/>
    </row>
    <row r="1305" spans="1:7" x14ac:dyDescent="0.25">
      <c r="A1305" s="169" t="str">
        <f>E1305&amp;COUNTIFS($E$2:E1305,E1305)</f>
        <v>0</v>
      </c>
      <c r="B1305" s="166"/>
      <c r="C1305" s="168"/>
      <c r="D1305" s="167"/>
      <c r="E1305" s="166"/>
      <c r="F1305" s="165"/>
      <c r="G1305" s="164"/>
    </row>
    <row r="1306" spans="1:7" x14ac:dyDescent="0.25">
      <c r="A1306" s="169" t="str">
        <f>E1306&amp;COUNTIFS($E$2:E1306,E1306)</f>
        <v>0</v>
      </c>
      <c r="B1306" s="166"/>
      <c r="C1306" s="168"/>
      <c r="D1306" s="167"/>
      <c r="E1306" s="166"/>
      <c r="F1306" s="165"/>
      <c r="G1306" s="164"/>
    </row>
    <row r="1307" spans="1:7" x14ac:dyDescent="0.25">
      <c r="A1307" s="169" t="str">
        <f>E1307&amp;COUNTIFS($E$2:E1307,E1307)</f>
        <v>0</v>
      </c>
      <c r="B1307" s="166"/>
      <c r="C1307" s="168"/>
      <c r="D1307" s="167"/>
      <c r="E1307" s="166"/>
      <c r="F1307" s="165"/>
      <c r="G1307" s="164"/>
    </row>
    <row r="1308" spans="1:7" x14ac:dyDescent="0.25">
      <c r="A1308" s="169" t="str">
        <f>E1308&amp;COUNTIFS($E$2:E1308,E1308)</f>
        <v>0</v>
      </c>
      <c r="B1308" s="166"/>
      <c r="C1308" s="168"/>
      <c r="D1308" s="167"/>
      <c r="E1308" s="166"/>
      <c r="F1308" s="165"/>
      <c r="G1308" s="164"/>
    </row>
    <row r="1309" spans="1:7" x14ac:dyDescent="0.25">
      <c r="A1309" s="169" t="str">
        <f>E1309&amp;COUNTIFS($E$2:E1309,E1309)</f>
        <v>0</v>
      </c>
      <c r="B1309" s="166"/>
      <c r="C1309" s="168"/>
      <c r="D1309" s="167"/>
      <c r="E1309" s="166"/>
      <c r="F1309" s="165"/>
      <c r="G1309" s="164"/>
    </row>
    <row r="1310" spans="1:7" x14ac:dyDescent="0.25">
      <c r="A1310" s="169" t="str">
        <f>E1310&amp;COUNTIFS($E$2:E1310,E1310)</f>
        <v>0</v>
      </c>
      <c r="B1310" s="166"/>
      <c r="C1310" s="168"/>
      <c r="D1310" s="167"/>
      <c r="E1310" s="166"/>
      <c r="F1310" s="165"/>
      <c r="G1310" s="164"/>
    </row>
    <row r="1311" spans="1:7" x14ac:dyDescent="0.25">
      <c r="A1311" s="169" t="str">
        <f>E1311&amp;COUNTIFS($E$2:E1311,E1311)</f>
        <v>0</v>
      </c>
      <c r="B1311" s="166"/>
      <c r="C1311" s="168"/>
      <c r="D1311" s="167"/>
      <c r="E1311" s="166"/>
      <c r="F1311" s="165"/>
      <c r="G1311" s="164"/>
    </row>
    <row r="1312" spans="1:7" x14ac:dyDescent="0.25">
      <c r="A1312" s="169" t="str">
        <f>E1312&amp;COUNTIFS($E$2:E1312,E1312)</f>
        <v>0</v>
      </c>
      <c r="B1312" s="166"/>
      <c r="C1312" s="168"/>
      <c r="D1312" s="167"/>
      <c r="E1312" s="166"/>
      <c r="F1312" s="165"/>
      <c r="G1312" s="164"/>
    </row>
    <row r="1313" spans="1:7" x14ac:dyDescent="0.25">
      <c r="A1313" s="169" t="str">
        <f>E1313&amp;COUNTIFS($E$2:E1313,E1313)</f>
        <v>0</v>
      </c>
      <c r="B1313" s="166"/>
      <c r="C1313" s="168"/>
      <c r="D1313" s="167"/>
      <c r="E1313" s="166"/>
      <c r="F1313" s="165"/>
      <c r="G1313" s="164"/>
    </row>
    <row r="1314" spans="1:7" x14ac:dyDescent="0.25">
      <c r="A1314" s="169" t="str">
        <f>E1314&amp;COUNTIFS($E$2:E1314,E1314)</f>
        <v>0</v>
      </c>
      <c r="B1314" s="166"/>
      <c r="C1314" s="168"/>
      <c r="D1314" s="167"/>
      <c r="E1314" s="166"/>
      <c r="F1314" s="165"/>
      <c r="G1314" s="164"/>
    </row>
    <row r="1315" spans="1:7" x14ac:dyDescent="0.25">
      <c r="A1315" s="169" t="str">
        <f>E1315&amp;COUNTIFS($E$2:E1315,E1315)</f>
        <v>0</v>
      </c>
      <c r="B1315" s="166"/>
      <c r="C1315" s="168"/>
      <c r="D1315" s="167"/>
      <c r="E1315" s="166"/>
      <c r="F1315" s="165"/>
      <c r="G1315" s="164"/>
    </row>
    <row r="1316" spans="1:7" x14ac:dyDescent="0.25">
      <c r="A1316" s="169" t="str">
        <f>E1316&amp;COUNTIFS($E$2:E1316,E1316)</f>
        <v>0</v>
      </c>
      <c r="B1316" s="166"/>
      <c r="C1316" s="168"/>
      <c r="D1316" s="167"/>
      <c r="E1316" s="166"/>
      <c r="F1316" s="165"/>
      <c r="G1316" s="164"/>
    </row>
    <row r="1317" spans="1:7" x14ac:dyDescent="0.25">
      <c r="A1317" s="169" t="str">
        <f>E1317&amp;COUNTIFS($E$2:E1317,E1317)</f>
        <v>0</v>
      </c>
      <c r="B1317" s="166"/>
      <c r="C1317" s="168"/>
      <c r="D1317" s="167"/>
      <c r="E1317" s="166"/>
      <c r="F1317" s="165"/>
      <c r="G1317" s="164"/>
    </row>
    <row r="1318" spans="1:7" ht="15.75" thickBot="1" x14ac:dyDescent="0.3">
      <c r="A1318" s="163" t="str">
        <f>E1318&amp;COUNTIFS($E$2:E1318,E1318)</f>
        <v>0</v>
      </c>
      <c r="B1318" s="166"/>
      <c r="C1318" s="162"/>
      <c r="D1318" s="161"/>
      <c r="E1318" s="160"/>
      <c r="F1318" s="159"/>
      <c r="G1318" s="158"/>
    </row>
    <row r="1319" spans="1:7" x14ac:dyDescent="0.25">
      <c r="A1319" s="148"/>
      <c r="C1319" s="143"/>
      <c r="D1319" s="157"/>
      <c r="E1319" s="143"/>
      <c r="F1319" s="156"/>
      <c r="G1319" s="156"/>
    </row>
    <row r="1320" spans="1:7" x14ac:dyDescent="0.25">
      <c r="A1320" s="148"/>
      <c r="C1320" s="153" t="s">
        <v>623</v>
      </c>
      <c r="D1320" s="152"/>
      <c r="E1320" s="151"/>
      <c r="F1320" s="150">
        <f>SUM(F1294:F1318)</f>
        <v>0</v>
      </c>
      <c r="G1320" s="155">
        <f>SUM(G1294:G1318)</f>
        <v>0</v>
      </c>
    </row>
    <row r="1321" spans="1:7" x14ac:dyDescent="0.25">
      <c r="A1321" s="148"/>
      <c r="C1321" s="145" t="s">
        <v>622</v>
      </c>
      <c r="D1321" s="154"/>
      <c r="E1321" s="145"/>
      <c r="F1321" s="144"/>
      <c r="G1321" s="144"/>
    </row>
    <row r="1322" spans="1:7" x14ac:dyDescent="0.25">
      <c r="A1322" s="148"/>
      <c r="C1322" s="153" t="s">
        <v>621</v>
      </c>
      <c r="D1322" s="152"/>
      <c r="E1322" s="151"/>
      <c r="F1322" s="150">
        <f>F1289</f>
        <v>0</v>
      </c>
      <c r="G1322" s="150">
        <f>G1289</f>
        <v>0</v>
      </c>
    </row>
    <row r="1323" spans="1:7" x14ac:dyDescent="0.25">
      <c r="A1323" s="148"/>
      <c r="C1323" s="153" t="s">
        <v>582</v>
      </c>
      <c r="D1323" s="152"/>
      <c r="E1323" s="151"/>
      <c r="F1323" s="150">
        <f>F1322+F1320</f>
        <v>0</v>
      </c>
      <c r="G1323" s="150">
        <f>G1322+G1320</f>
        <v>0</v>
      </c>
    </row>
    <row r="1324" spans="1:7" ht="15.75" thickBot="1" x14ac:dyDescent="0.3">
      <c r="A1324" s="148"/>
      <c r="C1324" s="145"/>
      <c r="D1324" s="149"/>
      <c r="E1324" s="145"/>
      <c r="F1324" s="144"/>
      <c r="G1324" s="144"/>
    </row>
    <row r="1325" spans="1:7" ht="15.75" thickBot="1" x14ac:dyDescent="0.3">
      <c r="A1325" s="148"/>
      <c r="C1325" s="147" t="s">
        <v>620</v>
      </c>
      <c r="D1325" s="146">
        <f>F1323-G1323</f>
        <v>0</v>
      </c>
      <c r="E1325" s="145"/>
      <c r="F1325" s="144"/>
      <c r="G1325" s="144"/>
    </row>
    <row r="1326" spans="1:7" ht="15.75" thickBot="1" x14ac:dyDescent="0.3"/>
    <row r="1327" spans="1:7" ht="30.75" thickBot="1" x14ac:dyDescent="0.3">
      <c r="A1327" s="265" t="s">
        <v>626</v>
      </c>
      <c r="B1327" s="264" t="s">
        <v>606</v>
      </c>
      <c r="C1327" s="263" t="s">
        <v>635</v>
      </c>
      <c r="D1327" s="262" t="s">
        <v>601</v>
      </c>
      <c r="E1327" s="261" t="s">
        <v>287</v>
      </c>
      <c r="F1327" s="260" t="s">
        <v>624</v>
      </c>
      <c r="G1327" s="260" t="s">
        <v>596</v>
      </c>
    </row>
    <row r="1328" spans="1:7" x14ac:dyDescent="0.25">
      <c r="A1328" s="169" t="str">
        <f>E1328&amp;COUNTIFS($E$2:E1328,E1328)</f>
        <v>0</v>
      </c>
      <c r="B1328" s="172"/>
      <c r="C1328" s="174"/>
      <c r="D1328" s="173"/>
      <c r="E1328" s="172"/>
      <c r="F1328" s="171"/>
      <c r="G1328" s="170"/>
    </row>
    <row r="1329" spans="1:7" x14ac:dyDescent="0.25">
      <c r="A1329" s="169" t="str">
        <f>E1329&amp;COUNTIFS($E$2:E1329,E1329)</f>
        <v>0</v>
      </c>
      <c r="B1329" s="166"/>
      <c r="C1329" s="168"/>
      <c r="D1329" s="167"/>
      <c r="E1329" s="166"/>
      <c r="F1329" s="165"/>
      <c r="G1329" s="164"/>
    </row>
    <row r="1330" spans="1:7" x14ac:dyDescent="0.25">
      <c r="A1330" s="169" t="str">
        <f>E1330&amp;COUNTIFS($E$2:E1330,E1330)</f>
        <v>0</v>
      </c>
      <c r="B1330" s="166"/>
      <c r="C1330" s="168"/>
      <c r="D1330" s="167"/>
      <c r="E1330" s="166"/>
      <c r="F1330" s="165"/>
      <c r="G1330" s="164"/>
    </row>
    <row r="1331" spans="1:7" x14ac:dyDescent="0.25">
      <c r="A1331" s="169" t="str">
        <f>E1331&amp;COUNTIFS($E$2:E1331,E1331)</f>
        <v>0</v>
      </c>
      <c r="B1331" s="166"/>
      <c r="C1331" s="168"/>
      <c r="D1331" s="167"/>
      <c r="E1331" s="166"/>
      <c r="F1331" s="165"/>
      <c r="G1331" s="164"/>
    </row>
    <row r="1332" spans="1:7" x14ac:dyDescent="0.25">
      <c r="A1332" s="169" t="str">
        <f>E1332&amp;COUNTIFS($E$2:E1332,E1332)</f>
        <v>0</v>
      </c>
      <c r="B1332" s="166"/>
      <c r="C1332" s="168"/>
      <c r="D1332" s="167"/>
      <c r="E1332" s="166"/>
      <c r="F1332" s="165"/>
      <c r="G1332" s="164"/>
    </row>
    <row r="1333" spans="1:7" x14ac:dyDescent="0.25">
      <c r="A1333" s="169" t="str">
        <f>E1333&amp;COUNTIFS($E$2:E1333,E1333)</f>
        <v>0</v>
      </c>
      <c r="B1333" s="166"/>
      <c r="C1333" s="168"/>
      <c r="D1333" s="167"/>
      <c r="E1333" s="166"/>
      <c r="F1333" s="165"/>
      <c r="G1333" s="164"/>
    </row>
    <row r="1334" spans="1:7" x14ac:dyDescent="0.25">
      <c r="A1334" s="169" t="str">
        <f>E1334&amp;COUNTIFS($E$2:E1334,E1334)</f>
        <v>0</v>
      </c>
      <c r="B1334" s="166"/>
      <c r="C1334" s="168"/>
      <c r="D1334" s="167"/>
      <c r="E1334" s="166"/>
      <c r="F1334" s="165"/>
      <c r="G1334" s="164"/>
    </row>
    <row r="1335" spans="1:7" x14ac:dyDescent="0.25">
      <c r="A1335" s="169" t="str">
        <f>E1335&amp;COUNTIFS($E$2:E1335,E1335)</f>
        <v>0</v>
      </c>
      <c r="B1335" s="166"/>
      <c r="C1335" s="168"/>
      <c r="D1335" s="167"/>
      <c r="E1335" s="166"/>
      <c r="F1335" s="165"/>
      <c r="G1335" s="164"/>
    </row>
    <row r="1336" spans="1:7" x14ac:dyDescent="0.25">
      <c r="A1336" s="169" t="str">
        <f>E1336&amp;COUNTIFS($E$2:E1336,E1336)</f>
        <v>0</v>
      </c>
      <c r="B1336" s="166"/>
      <c r="C1336" s="168"/>
      <c r="D1336" s="167"/>
      <c r="E1336" s="166"/>
      <c r="F1336" s="165"/>
      <c r="G1336" s="164"/>
    </row>
    <row r="1337" spans="1:7" x14ac:dyDescent="0.25">
      <c r="A1337" s="169" t="str">
        <f>E1337&amp;COUNTIFS($E$2:E1337,E1337)</f>
        <v>0</v>
      </c>
      <c r="B1337" s="166"/>
      <c r="C1337" s="168"/>
      <c r="D1337" s="167"/>
      <c r="E1337" s="166"/>
      <c r="F1337" s="165"/>
      <c r="G1337" s="164"/>
    </row>
    <row r="1338" spans="1:7" x14ac:dyDescent="0.25">
      <c r="A1338" s="169" t="str">
        <f>E1338&amp;COUNTIFS($E$2:E1338,E1338)</f>
        <v>0</v>
      </c>
      <c r="B1338" s="166"/>
      <c r="C1338" s="168"/>
      <c r="D1338" s="167"/>
      <c r="E1338" s="166"/>
      <c r="F1338" s="165"/>
      <c r="G1338" s="164"/>
    </row>
    <row r="1339" spans="1:7" x14ac:dyDescent="0.25">
      <c r="A1339" s="169" t="str">
        <f>E1339&amp;COUNTIFS($E$2:E1339,E1339)</f>
        <v>0</v>
      </c>
      <c r="B1339" s="166"/>
      <c r="C1339" s="168"/>
      <c r="D1339" s="167"/>
      <c r="E1339" s="166"/>
      <c r="F1339" s="165"/>
      <c r="G1339" s="164"/>
    </row>
    <row r="1340" spans="1:7" x14ac:dyDescent="0.25">
      <c r="A1340" s="169" t="str">
        <f>E1340&amp;COUNTIFS($E$2:E1340,E1340)</f>
        <v>0</v>
      </c>
      <c r="B1340" s="166"/>
      <c r="C1340" s="168"/>
      <c r="D1340" s="167"/>
      <c r="E1340" s="166"/>
      <c r="F1340" s="165"/>
      <c r="G1340" s="164"/>
    </row>
    <row r="1341" spans="1:7" x14ac:dyDescent="0.25">
      <c r="A1341" s="169" t="str">
        <f>E1341&amp;COUNTIFS($E$2:E1341,E1341)</f>
        <v>0</v>
      </c>
      <c r="B1341" s="166"/>
      <c r="C1341" s="168"/>
      <c r="D1341" s="167"/>
      <c r="E1341" s="166"/>
      <c r="F1341" s="165"/>
      <c r="G1341" s="164"/>
    </row>
    <row r="1342" spans="1:7" x14ac:dyDescent="0.25">
      <c r="A1342" s="169" t="str">
        <f>E1342&amp;COUNTIFS($E$2:E1342,E1342)</f>
        <v>0</v>
      </c>
      <c r="B1342" s="166"/>
      <c r="C1342" s="168"/>
      <c r="D1342" s="167"/>
      <c r="E1342" s="166"/>
      <c r="F1342" s="165"/>
      <c r="G1342" s="164"/>
    </row>
    <row r="1343" spans="1:7" x14ac:dyDescent="0.25">
      <c r="A1343" s="169" t="str">
        <f>E1343&amp;COUNTIFS($E$2:E1343,E1343)</f>
        <v>0</v>
      </c>
      <c r="B1343" s="166"/>
      <c r="C1343" s="168"/>
      <c r="D1343" s="167"/>
      <c r="E1343" s="166"/>
      <c r="F1343" s="165"/>
      <c r="G1343" s="164"/>
    </row>
    <row r="1344" spans="1:7" x14ac:dyDescent="0.25">
      <c r="A1344" s="169" t="str">
        <f>E1344&amp;COUNTIFS($E$2:E1344,E1344)</f>
        <v>0</v>
      </c>
      <c r="B1344" s="166"/>
      <c r="C1344" s="168"/>
      <c r="D1344" s="167"/>
      <c r="E1344" s="166"/>
      <c r="F1344" s="165"/>
      <c r="G1344" s="164"/>
    </row>
    <row r="1345" spans="1:7" x14ac:dyDescent="0.25">
      <c r="A1345" s="169" t="str">
        <f>E1345&amp;COUNTIFS($E$2:E1345,E1345)</f>
        <v>0</v>
      </c>
      <c r="B1345" s="166"/>
      <c r="C1345" s="168"/>
      <c r="D1345" s="167"/>
      <c r="E1345" s="166"/>
      <c r="F1345" s="165"/>
      <c r="G1345" s="164"/>
    </row>
    <row r="1346" spans="1:7" x14ac:dyDescent="0.25">
      <c r="A1346" s="169" t="str">
        <f>E1346&amp;COUNTIFS($E$2:E1346,E1346)</f>
        <v>0</v>
      </c>
      <c r="B1346" s="166"/>
      <c r="C1346" s="168"/>
      <c r="D1346" s="167"/>
      <c r="E1346" s="166"/>
      <c r="F1346" s="165"/>
      <c r="G1346" s="164"/>
    </row>
    <row r="1347" spans="1:7" x14ac:dyDescent="0.25">
      <c r="A1347" s="169" t="str">
        <f>E1347&amp;COUNTIFS($E$2:E1347,E1347)</f>
        <v>0</v>
      </c>
      <c r="B1347" s="166"/>
      <c r="C1347" s="168"/>
      <c r="D1347" s="167"/>
      <c r="E1347" s="166"/>
      <c r="F1347" s="165"/>
      <c r="G1347" s="164"/>
    </row>
    <row r="1348" spans="1:7" x14ac:dyDescent="0.25">
      <c r="A1348" s="169" t="str">
        <f>E1348&amp;COUNTIFS($E$2:E1348,E1348)</f>
        <v>0</v>
      </c>
      <c r="B1348" s="166"/>
      <c r="C1348" s="168"/>
      <c r="D1348" s="167"/>
      <c r="E1348" s="166"/>
      <c r="F1348" s="165"/>
      <c r="G1348" s="164"/>
    </row>
    <row r="1349" spans="1:7" x14ac:dyDescent="0.25">
      <c r="A1349" s="169" t="str">
        <f>E1349&amp;COUNTIFS($E$2:E1349,E1349)</f>
        <v>0</v>
      </c>
      <c r="B1349" s="166"/>
      <c r="C1349" s="168"/>
      <c r="D1349" s="167"/>
      <c r="E1349" s="166"/>
      <c r="F1349" s="165"/>
      <c r="G1349" s="164"/>
    </row>
    <row r="1350" spans="1:7" x14ac:dyDescent="0.25">
      <c r="A1350" s="169" t="str">
        <f>E1350&amp;COUNTIFS($E$2:E1350,E1350)</f>
        <v>0</v>
      </c>
      <c r="B1350" s="166"/>
      <c r="C1350" s="168"/>
      <c r="D1350" s="167"/>
      <c r="E1350" s="166"/>
      <c r="F1350" s="165"/>
      <c r="G1350" s="164"/>
    </row>
    <row r="1351" spans="1:7" x14ac:dyDescent="0.25">
      <c r="A1351" s="169" t="str">
        <f>E1351&amp;COUNTIFS($E$2:E1351,E1351)</f>
        <v>0</v>
      </c>
      <c r="B1351" s="166"/>
      <c r="C1351" s="168"/>
      <c r="D1351" s="167"/>
      <c r="E1351" s="166"/>
      <c r="F1351" s="165"/>
      <c r="G1351" s="164"/>
    </row>
    <row r="1352" spans="1:7" ht="15.75" thickBot="1" x14ac:dyDescent="0.3">
      <c r="A1352" s="163" t="str">
        <f>E1352&amp;COUNTIFS($E$2:E1352,E1352)</f>
        <v>0</v>
      </c>
      <c r="B1352" s="166"/>
      <c r="C1352" s="162"/>
      <c r="D1352" s="161"/>
      <c r="E1352" s="160"/>
      <c r="F1352" s="159"/>
      <c r="G1352" s="158"/>
    </row>
    <row r="1353" spans="1:7" x14ac:dyDescent="0.25">
      <c r="A1353" s="148"/>
      <c r="C1353" s="143"/>
      <c r="D1353" s="157"/>
      <c r="E1353" s="143"/>
      <c r="F1353" s="156"/>
      <c r="G1353" s="156"/>
    </row>
    <row r="1354" spans="1:7" x14ac:dyDescent="0.25">
      <c r="A1354" s="148"/>
      <c r="C1354" s="153" t="s">
        <v>623</v>
      </c>
      <c r="D1354" s="152"/>
      <c r="E1354" s="151"/>
      <c r="F1354" s="150">
        <f>SUM(F1328:F1352)</f>
        <v>0</v>
      </c>
      <c r="G1354" s="155">
        <f>SUM(G1328:G1352)</f>
        <v>0</v>
      </c>
    </row>
    <row r="1355" spans="1:7" x14ac:dyDescent="0.25">
      <c r="A1355" s="148"/>
      <c r="C1355" s="145" t="s">
        <v>622</v>
      </c>
      <c r="D1355" s="154"/>
      <c r="E1355" s="145"/>
      <c r="F1355" s="144"/>
      <c r="G1355" s="144"/>
    </row>
    <row r="1356" spans="1:7" x14ac:dyDescent="0.25">
      <c r="A1356" s="148"/>
      <c r="C1356" s="153" t="s">
        <v>621</v>
      </c>
      <c r="D1356" s="152"/>
      <c r="E1356" s="151"/>
      <c r="F1356" s="150">
        <f>F1323</f>
        <v>0</v>
      </c>
      <c r="G1356" s="150">
        <f>G1323</f>
        <v>0</v>
      </c>
    </row>
    <row r="1357" spans="1:7" x14ac:dyDescent="0.25">
      <c r="A1357" s="148"/>
      <c r="C1357" s="153" t="s">
        <v>582</v>
      </c>
      <c r="D1357" s="152"/>
      <c r="E1357" s="151"/>
      <c r="F1357" s="150">
        <f>F1356+F1354</f>
        <v>0</v>
      </c>
      <c r="G1357" s="150">
        <f>G1356+G1354</f>
        <v>0</v>
      </c>
    </row>
    <row r="1358" spans="1:7" ht="15.75" thickBot="1" x14ac:dyDescent="0.3">
      <c r="A1358" s="148"/>
      <c r="C1358" s="145"/>
      <c r="D1358" s="149"/>
      <c r="E1358" s="145"/>
      <c r="F1358" s="144"/>
      <c r="G1358" s="144"/>
    </row>
    <row r="1359" spans="1:7" ht="15.75" thickBot="1" x14ac:dyDescent="0.3">
      <c r="A1359" s="148"/>
      <c r="C1359" s="147" t="s">
        <v>620</v>
      </c>
      <c r="D1359" s="146">
        <f>F1357-G1357</f>
        <v>0</v>
      </c>
      <c r="E1359" s="145"/>
      <c r="F1359" s="144"/>
      <c r="G1359" s="144"/>
    </row>
    <row r="1360" spans="1:7" ht="15.75" thickBot="1" x14ac:dyDescent="0.3"/>
    <row r="1361" spans="1:7" ht="30.75" thickBot="1" x14ac:dyDescent="0.3">
      <c r="A1361" s="265" t="s">
        <v>626</v>
      </c>
      <c r="B1361" s="264" t="s">
        <v>606</v>
      </c>
      <c r="C1361" s="263" t="s">
        <v>635</v>
      </c>
      <c r="D1361" s="262" t="s">
        <v>601</v>
      </c>
      <c r="E1361" s="261" t="s">
        <v>287</v>
      </c>
      <c r="F1361" s="260" t="s">
        <v>624</v>
      </c>
      <c r="G1361" s="260" t="s">
        <v>596</v>
      </c>
    </row>
    <row r="1362" spans="1:7" x14ac:dyDescent="0.25">
      <c r="A1362" s="169" t="str">
        <f>E1362&amp;COUNTIFS($E$2:E1362,E1362)</f>
        <v>0</v>
      </c>
      <c r="B1362" s="172"/>
      <c r="C1362" s="174"/>
      <c r="D1362" s="173"/>
      <c r="E1362" s="172"/>
      <c r="F1362" s="171"/>
      <c r="G1362" s="170"/>
    </row>
    <row r="1363" spans="1:7" x14ac:dyDescent="0.25">
      <c r="A1363" s="169" t="str">
        <f>E1363&amp;COUNTIFS($E$2:E1363,E1363)</f>
        <v>0</v>
      </c>
      <c r="B1363" s="166"/>
      <c r="C1363" s="168"/>
      <c r="D1363" s="167"/>
      <c r="E1363" s="166"/>
      <c r="F1363" s="165"/>
      <c r="G1363" s="164"/>
    </row>
    <row r="1364" spans="1:7" x14ac:dyDescent="0.25">
      <c r="A1364" s="169" t="str">
        <f>E1364&amp;COUNTIFS($E$2:E1364,E1364)</f>
        <v>0</v>
      </c>
      <c r="B1364" s="166"/>
      <c r="C1364" s="168"/>
      <c r="D1364" s="167"/>
      <c r="E1364" s="166"/>
      <c r="F1364" s="165"/>
      <c r="G1364" s="164"/>
    </row>
    <row r="1365" spans="1:7" x14ac:dyDescent="0.25">
      <c r="A1365" s="169" t="str">
        <f>E1365&amp;COUNTIFS($E$2:E1365,E1365)</f>
        <v>0</v>
      </c>
      <c r="B1365" s="166"/>
      <c r="C1365" s="168"/>
      <c r="D1365" s="167"/>
      <c r="E1365" s="166"/>
      <c r="F1365" s="165"/>
      <c r="G1365" s="164"/>
    </row>
    <row r="1366" spans="1:7" x14ac:dyDescent="0.25">
      <c r="A1366" s="169" t="str">
        <f>E1366&amp;COUNTIFS($E$2:E1366,E1366)</f>
        <v>0</v>
      </c>
      <c r="B1366" s="166"/>
      <c r="C1366" s="168"/>
      <c r="D1366" s="167"/>
      <c r="E1366" s="166"/>
      <c r="F1366" s="165"/>
      <c r="G1366" s="164"/>
    </row>
    <row r="1367" spans="1:7" x14ac:dyDescent="0.25">
      <c r="A1367" s="169" t="str">
        <f>E1367&amp;COUNTIFS($E$2:E1367,E1367)</f>
        <v>0</v>
      </c>
      <c r="B1367" s="166"/>
      <c r="C1367" s="168"/>
      <c r="D1367" s="167"/>
      <c r="E1367" s="166"/>
      <c r="F1367" s="165"/>
      <c r="G1367" s="164"/>
    </row>
    <row r="1368" spans="1:7" x14ac:dyDescent="0.25">
      <c r="A1368" s="169" t="str">
        <f>E1368&amp;COUNTIFS($E$2:E1368,E1368)</f>
        <v>0</v>
      </c>
      <c r="B1368" s="166"/>
      <c r="C1368" s="168"/>
      <c r="D1368" s="167"/>
      <c r="E1368" s="166"/>
      <c r="F1368" s="165"/>
      <c r="G1368" s="164"/>
    </row>
    <row r="1369" spans="1:7" x14ac:dyDescent="0.25">
      <c r="A1369" s="169" t="str">
        <f>E1369&amp;COUNTIFS($E$2:E1369,E1369)</f>
        <v>0</v>
      </c>
      <c r="B1369" s="166"/>
      <c r="C1369" s="168"/>
      <c r="D1369" s="167"/>
      <c r="E1369" s="166"/>
      <c r="F1369" s="165"/>
      <c r="G1369" s="164"/>
    </row>
    <row r="1370" spans="1:7" x14ac:dyDescent="0.25">
      <c r="A1370" s="169" t="str">
        <f>E1370&amp;COUNTIFS($E$2:E1370,E1370)</f>
        <v>0</v>
      </c>
      <c r="B1370" s="166"/>
      <c r="C1370" s="168"/>
      <c r="D1370" s="167"/>
      <c r="E1370" s="166"/>
      <c r="F1370" s="165"/>
      <c r="G1370" s="164"/>
    </row>
    <row r="1371" spans="1:7" x14ac:dyDescent="0.25">
      <c r="A1371" s="169" t="str">
        <f>E1371&amp;COUNTIFS($E$2:E1371,E1371)</f>
        <v>0</v>
      </c>
      <c r="B1371" s="166"/>
      <c r="C1371" s="168"/>
      <c r="D1371" s="167"/>
      <c r="E1371" s="166"/>
      <c r="F1371" s="165"/>
      <c r="G1371" s="164"/>
    </row>
    <row r="1372" spans="1:7" x14ac:dyDescent="0.25">
      <c r="A1372" s="169" t="str">
        <f>E1372&amp;COUNTIFS($E$2:E1372,E1372)</f>
        <v>0</v>
      </c>
      <c r="B1372" s="166"/>
      <c r="C1372" s="168"/>
      <c r="D1372" s="167"/>
      <c r="E1372" s="166"/>
      <c r="F1372" s="165"/>
      <c r="G1372" s="164"/>
    </row>
    <row r="1373" spans="1:7" x14ac:dyDescent="0.25">
      <c r="A1373" s="169" t="str">
        <f>E1373&amp;COUNTIFS($E$2:E1373,E1373)</f>
        <v>0</v>
      </c>
      <c r="B1373" s="166"/>
      <c r="C1373" s="168"/>
      <c r="D1373" s="167"/>
      <c r="E1373" s="166"/>
      <c r="F1373" s="165"/>
      <c r="G1373" s="164"/>
    </row>
    <row r="1374" spans="1:7" x14ac:dyDescent="0.25">
      <c r="A1374" s="169" t="str">
        <f>E1374&amp;COUNTIFS($E$2:E1374,E1374)</f>
        <v>0</v>
      </c>
      <c r="B1374" s="166"/>
      <c r="C1374" s="168"/>
      <c r="D1374" s="167"/>
      <c r="E1374" s="166"/>
      <c r="F1374" s="165"/>
      <c r="G1374" s="164"/>
    </row>
    <row r="1375" spans="1:7" x14ac:dyDescent="0.25">
      <c r="A1375" s="169" t="str">
        <f>E1375&amp;COUNTIFS($E$2:E1375,E1375)</f>
        <v>0</v>
      </c>
      <c r="B1375" s="166"/>
      <c r="C1375" s="168"/>
      <c r="D1375" s="167"/>
      <c r="E1375" s="166"/>
      <c r="F1375" s="165"/>
      <c r="G1375" s="164"/>
    </row>
    <row r="1376" spans="1:7" x14ac:dyDescent="0.25">
      <c r="A1376" s="169" t="str">
        <f>E1376&amp;COUNTIFS($E$2:E1376,E1376)</f>
        <v>0</v>
      </c>
      <c r="B1376" s="166"/>
      <c r="C1376" s="168"/>
      <c r="D1376" s="167"/>
      <c r="E1376" s="166"/>
      <c r="F1376" s="165"/>
      <c r="G1376" s="164"/>
    </row>
    <row r="1377" spans="1:7" x14ac:dyDescent="0.25">
      <c r="A1377" s="169" t="str">
        <f>E1377&amp;COUNTIFS($E$2:E1377,E1377)</f>
        <v>0</v>
      </c>
      <c r="B1377" s="166"/>
      <c r="C1377" s="168"/>
      <c r="D1377" s="167"/>
      <c r="E1377" s="166"/>
      <c r="F1377" s="165"/>
      <c r="G1377" s="164"/>
    </row>
    <row r="1378" spans="1:7" x14ac:dyDescent="0.25">
      <c r="A1378" s="169" t="str">
        <f>E1378&amp;COUNTIFS($E$2:E1378,E1378)</f>
        <v>0</v>
      </c>
      <c r="B1378" s="166"/>
      <c r="C1378" s="168"/>
      <c r="D1378" s="167"/>
      <c r="E1378" s="166"/>
      <c r="F1378" s="165"/>
      <c r="G1378" s="164"/>
    </row>
    <row r="1379" spans="1:7" x14ac:dyDescent="0.25">
      <c r="A1379" s="169" t="str">
        <f>E1379&amp;COUNTIFS($E$2:E1379,E1379)</f>
        <v>0</v>
      </c>
      <c r="B1379" s="166"/>
      <c r="C1379" s="168"/>
      <c r="D1379" s="167"/>
      <c r="E1379" s="166"/>
      <c r="F1379" s="165"/>
      <c r="G1379" s="164"/>
    </row>
    <row r="1380" spans="1:7" x14ac:dyDescent="0.25">
      <c r="A1380" s="169" t="str">
        <f>E1380&amp;COUNTIFS($E$2:E1380,E1380)</f>
        <v>0</v>
      </c>
      <c r="B1380" s="166"/>
      <c r="C1380" s="168"/>
      <c r="D1380" s="167"/>
      <c r="E1380" s="166"/>
      <c r="F1380" s="165"/>
      <c r="G1380" s="164"/>
    </row>
    <row r="1381" spans="1:7" x14ac:dyDescent="0.25">
      <c r="A1381" s="169" t="str">
        <f>E1381&amp;COUNTIFS($E$2:E1381,E1381)</f>
        <v>0</v>
      </c>
      <c r="B1381" s="166"/>
      <c r="C1381" s="168"/>
      <c r="D1381" s="167"/>
      <c r="E1381" s="166"/>
      <c r="F1381" s="165"/>
      <c r="G1381" s="164"/>
    </row>
    <row r="1382" spans="1:7" x14ac:dyDescent="0.25">
      <c r="A1382" s="169" t="str">
        <f>E1382&amp;COUNTIFS($E$2:E1382,E1382)</f>
        <v>0</v>
      </c>
      <c r="B1382" s="166"/>
      <c r="C1382" s="168"/>
      <c r="D1382" s="167"/>
      <c r="E1382" s="166"/>
      <c r="F1382" s="165"/>
      <c r="G1382" s="164"/>
    </row>
    <row r="1383" spans="1:7" x14ac:dyDescent="0.25">
      <c r="A1383" s="169" t="str">
        <f>E1383&amp;COUNTIFS($E$2:E1383,E1383)</f>
        <v>0</v>
      </c>
      <c r="B1383" s="166"/>
      <c r="C1383" s="168"/>
      <c r="D1383" s="167"/>
      <c r="E1383" s="166"/>
      <c r="F1383" s="165"/>
      <c r="G1383" s="164"/>
    </row>
    <row r="1384" spans="1:7" x14ac:dyDescent="0.25">
      <c r="A1384" s="169" t="str">
        <f>E1384&amp;COUNTIFS($E$2:E1384,E1384)</f>
        <v>0</v>
      </c>
      <c r="B1384" s="166"/>
      <c r="C1384" s="168"/>
      <c r="D1384" s="167"/>
      <c r="E1384" s="166"/>
      <c r="F1384" s="165"/>
      <c r="G1384" s="164"/>
    </row>
    <row r="1385" spans="1:7" x14ac:dyDescent="0.25">
      <c r="A1385" s="169" t="str">
        <f>E1385&amp;COUNTIFS($E$2:E1385,E1385)</f>
        <v>0</v>
      </c>
      <c r="B1385" s="166"/>
      <c r="C1385" s="168"/>
      <c r="D1385" s="167"/>
      <c r="E1385" s="166"/>
      <c r="F1385" s="165"/>
      <c r="G1385" s="164"/>
    </row>
    <row r="1386" spans="1:7" ht="15.75" thickBot="1" x14ac:dyDescent="0.3">
      <c r="A1386" s="163" t="str">
        <f>E1386&amp;COUNTIFS($E$2:E1386,E1386)</f>
        <v>0</v>
      </c>
      <c r="B1386" s="166"/>
      <c r="C1386" s="162"/>
      <c r="D1386" s="161"/>
      <c r="E1386" s="160"/>
      <c r="F1386" s="159"/>
      <c r="G1386" s="158"/>
    </row>
    <row r="1387" spans="1:7" x14ac:dyDescent="0.25">
      <c r="A1387" s="148"/>
      <c r="C1387" s="143"/>
      <c r="D1387" s="157"/>
      <c r="E1387" s="143"/>
      <c r="F1387" s="156"/>
      <c r="G1387" s="156"/>
    </row>
    <row r="1388" spans="1:7" x14ac:dyDescent="0.25">
      <c r="A1388" s="148"/>
      <c r="C1388" s="153" t="s">
        <v>623</v>
      </c>
      <c r="D1388" s="152"/>
      <c r="E1388" s="151"/>
      <c r="F1388" s="150">
        <f>SUM(F1362:F1386)</f>
        <v>0</v>
      </c>
      <c r="G1388" s="155">
        <f>SUM(G1362:G1386)</f>
        <v>0</v>
      </c>
    </row>
    <row r="1389" spans="1:7" x14ac:dyDescent="0.25">
      <c r="A1389" s="148"/>
      <c r="C1389" s="145" t="s">
        <v>622</v>
      </c>
      <c r="D1389" s="154"/>
      <c r="E1389" s="145"/>
      <c r="F1389" s="144"/>
      <c r="G1389" s="144"/>
    </row>
    <row r="1390" spans="1:7" x14ac:dyDescent="0.25">
      <c r="A1390" s="148"/>
      <c r="C1390" s="153" t="s">
        <v>621</v>
      </c>
      <c r="D1390" s="152"/>
      <c r="E1390" s="151"/>
      <c r="F1390" s="150">
        <f>F1357</f>
        <v>0</v>
      </c>
      <c r="G1390" s="150">
        <f>G1357</f>
        <v>0</v>
      </c>
    </row>
    <row r="1391" spans="1:7" x14ac:dyDescent="0.25">
      <c r="A1391" s="148"/>
      <c r="C1391" s="153" t="s">
        <v>582</v>
      </c>
      <c r="D1391" s="152"/>
      <c r="E1391" s="151"/>
      <c r="F1391" s="150">
        <f>F1390+F1388</f>
        <v>0</v>
      </c>
      <c r="G1391" s="150">
        <f>G1390+G1388</f>
        <v>0</v>
      </c>
    </row>
    <row r="1392" spans="1:7" ht="15.75" thickBot="1" x14ac:dyDescent="0.3">
      <c r="A1392" s="148"/>
      <c r="C1392" s="145"/>
      <c r="D1392" s="149"/>
      <c r="E1392" s="145"/>
      <c r="F1392" s="144"/>
      <c r="G1392" s="144"/>
    </row>
    <row r="1393" spans="1:7" ht="15.75" thickBot="1" x14ac:dyDescent="0.3">
      <c r="A1393" s="148"/>
      <c r="C1393" s="147" t="s">
        <v>620</v>
      </c>
      <c r="D1393" s="146">
        <f>F1391-G1391</f>
        <v>0</v>
      </c>
      <c r="E1393" s="145"/>
      <c r="F1393" s="144"/>
      <c r="G1393" s="144"/>
    </row>
    <row r="1394" spans="1:7" ht="15.75" thickBot="1" x14ac:dyDescent="0.3"/>
    <row r="1395" spans="1:7" ht="30.75" thickBot="1" x14ac:dyDescent="0.3">
      <c r="A1395" s="265" t="s">
        <v>626</v>
      </c>
      <c r="B1395" s="264" t="s">
        <v>606</v>
      </c>
      <c r="C1395" s="263" t="s">
        <v>635</v>
      </c>
      <c r="D1395" s="262" t="s">
        <v>601</v>
      </c>
      <c r="E1395" s="261" t="s">
        <v>287</v>
      </c>
      <c r="F1395" s="260" t="s">
        <v>624</v>
      </c>
      <c r="G1395" s="260" t="s">
        <v>596</v>
      </c>
    </row>
    <row r="1396" spans="1:7" x14ac:dyDescent="0.25">
      <c r="A1396" s="169" t="str">
        <f>E1396&amp;COUNTIFS($E$2:E1396,E1396)</f>
        <v>0</v>
      </c>
      <c r="B1396" s="172"/>
      <c r="C1396" s="174"/>
      <c r="D1396" s="173"/>
      <c r="E1396" s="266"/>
      <c r="F1396" s="171"/>
      <c r="G1396" s="170"/>
    </row>
    <row r="1397" spans="1:7" x14ac:dyDescent="0.25">
      <c r="A1397" s="169" t="str">
        <f>E1397&amp;COUNTIFS($E$2:E1397,E1397)</f>
        <v>0</v>
      </c>
      <c r="B1397" s="166"/>
      <c r="C1397" s="168"/>
      <c r="D1397" s="167"/>
      <c r="E1397" s="166"/>
      <c r="F1397" s="165"/>
      <c r="G1397" s="164"/>
    </row>
    <row r="1398" spans="1:7" x14ac:dyDescent="0.25">
      <c r="A1398" s="169" t="str">
        <f>E1398&amp;COUNTIFS($E$2:E1398,E1398)</f>
        <v>0</v>
      </c>
      <c r="B1398" s="166"/>
      <c r="C1398" s="168"/>
      <c r="D1398" s="167"/>
      <c r="E1398" s="166"/>
      <c r="F1398" s="165"/>
      <c r="G1398" s="164"/>
    </row>
    <row r="1399" spans="1:7" x14ac:dyDescent="0.25">
      <c r="A1399" s="169" t="str">
        <f>E1399&amp;COUNTIFS($E$2:E1399,E1399)</f>
        <v>0</v>
      </c>
      <c r="B1399" s="166"/>
      <c r="C1399" s="168"/>
      <c r="D1399" s="167"/>
      <c r="E1399" s="166"/>
      <c r="F1399" s="165"/>
      <c r="G1399" s="164"/>
    </row>
    <row r="1400" spans="1:7" x14ac:dyDescent="0.25">
      <c r="A1400" s="169" t="str">
        <f>E1400&amp;COUNTIFS($E$2:E1400,E1400)</f>
        <v>0</v>
      </c>
      <c r="B1400" s="166"/>
      <c r="C1400" s="168"/>
      <c r="D1400" s="167"/>
      <c r="E1400" s="166"/>
      <c r="F1400" s="165"/>
      <c r="G1400" s="164"/>
    </row>
    <row r="1401" spans="1:7" x14ac:dyDescent="0.25">
      <c r="A1401" s="169" t="str">
        <f>E1401&amp;COUNTIFS($E$2:E1401,E1401)</f>
        <v>0</v>
      </c>
      <c r="B1401" s="166"/>
      <c r="C1401" s="168"/>
      <c r="D1401" s="167"/>
      <c r="E1401" s="166"/>
      <c r="F1401" s="165"/>
      <c r="G1401" s="164"/>
    </row>
    <row r="1402" spans="1:7" x14ac:dyDescent="0.25">
      <c r="A1402" s="169" t="str">
        <f>E1402&amp;COUNTIFS($E$2:E1402,E1402)</f>
        <v>0</v>
      </c>
      <c r="B1402" s="166"/>
      <c r="C1402" s="168"/>
      <c r="D1402" s="167"/>
      <c r="E1402" s="166"/>
      <c r="F1402" s="165"/>
      <c r="G1402" s="164"/>
    </row>
    <row r="1403" spans="1:7" x14ac:dyDescent="0.25">
      <c r="A1403" s="169" t="str">
        <f>E1403&amp;COUNTIFS($E$2:E1403,E1403)</f>
        <v>0</v>
      </c>
      <c r="B1403" s="166"/>
      <c r="C1403" s="168"/>
      <c r="D1403" s="167"/>
      <c r="E1403" s="166"/>
      <c r="F1403" s="165"/>
      <c r="G1403" s="164"/>
    </row>
    <row r="1404" spans="1:7" x14ac:dyDescent="0.25">
      <c r="A1404" s="169" t="str">
        <f>E1404&amp;COUNTIFS($E$2:E1404,E1404)</f>
        <v>0</v>
      </c>
      <c r="B1404" s="166"/>
      <c r="C1404" s="168"/>
      <c r="D1404" s="167"/>
      <c r="E1404" s="166"/>
      <c r="F1404" s="165"/>
      <c r="G1404" s="164"/>
    </row>
    <row r="1405" spans="1:7" x14ac:dyDescent="0.25">
      <c r="A1405" s="169" t="str">
        <f>E1405&amp;COUNTIFS($E$2:E1405,E1405)</f>
        <v>0</v>
      </c>
      <c r="B1405" s="166"/>
      <c r="C1405" s="168"/>
      <c r="D1405" s="167"/>
      <c r="E1405" s="166"/>
      <c r="F1405" s="165"/>
      <c r="G1405" s="164"/>
    </row>
    <row r="1406" spans="1:7" x14ac:dyDescent="0.25">
      <c r="A1406" s="169" t="str">
        <f>E1406&amp;COUNTIFS($E$2:E1406,E1406)</f>
        <v>0</v>
      </c>
      <c r="B1406" s="166"/>
      <c r="C1406" s="168"/>
      <c r="D1406" s="167"/>
      <c r="E1406" s="166"/>
      <c r="F1406" s="165"/>
      <c r="G1406" s="164"/>
    </row>
    <row r="1407" spans="1:7" x14ac:dyDescent="0.25">
      <c r="A1407" s="169" t="str">
        <f>E1407&amp;COUNTIFS($E$2:E1407,E1407)</f>
        <v>0</v>
      </c>
      <c r="B1407" s="166"/>
      <c r="C1407" s="168"/>
      <c r="D1407" s="167"/>
      <c r="E1407" s="166"/>
      <c r="F1407" s="165"/>
      <c r="G1407" s="164"/>
    </row>
    <row r="1408" spans="1:7" x14ac:dyDescent="0.25">
      <c r="A1408" s="169" t="str">
        <f>E1408&amp;COUNTIFS($E$2:E1408,E1408)</f>
        <v>0</v>
      </c>
      <c r="B1408" s="166"/>
      <c r="C1408" s="168"/>
      <c r="D1408" s="167"/>
      <c r="E1408" s="166"/>
      <c r="F1408" s="165"/>
      <c r="G1408" s="164"/>
    </row>
    <row r="1409" spans="1:7" x14ac:dyDescent="0.25">
      <c r="A1409" s="169" t="str">
        <f>E1409&amp;COUNTIFS($E$2:E1409,E1409)</f>
        <v>0</v>
      </c>
      <c r="B1409" s="166"/>
      <c r="C1409" s="168"/>
      <c r="D1409" s="167"/>
      <c r="E1409" s="166"/>
      <c r="F1409" s="165"/>
      <c r="G1409" s="164"/>
    </row>
    <row r="1410" spans="1:7" x14ac:dyDescent="0.25">
      <c r="A1410" s="169" t="str">
        <f>E1410&amp;COUNTIFS($E$2:E1410,E1410)</f>
        <v>0</v>
      </c>
      <c r="B1410" s="166"/>
      <c r="C1410" s="168"/>
      <c r="D1410" s="167"/>
      <c r="E1410" s="166"/>
      <c r="F1410" s="165"/>
      <c r="G1410" s="164"/>
    </row>
    <row r="1411" spans="1:7" x14ac:dyDescent="0.25">
      <c r="A1411" s="169" t="str">
        <f>E1411&amp;COUNTIFS($E$2:E1411,E1411)</f>
        <v>0</v>
      </c>
      <c r="B1411" s="166"/>
      <c r="C1411" s="168"/>
      <c r="D1411" s="167"/>
      <c r="E1411" s="166"/>
      <c r="F1411" s="165"/>
      <c r="G1411" s="164"/>
    </row>
    <row r="1412" spans="1:7" x14ac:dyDescent="0.25">
      <c r="A1412" s="169" t="str">
        <f>E1412&amp;COUNTIFS($E$2:E1412,E1412)</f>
        <v>0</v>
      </c>
      <c r="B1412" s="166"/>
      <c r="C1412" s="168"/>
      <c r="D1412" s="167"/>
      <c r="E1412" s="166"/>
      <c r="F1412" s="165"/>
      <c r="G1412" s="164"/>
    </row>
    <row r="1413" spans="1:7" x14ac:dyDescent="0.25">
      <c r="A1413" s="169" t="str">
        <f>E1413&amp;COUNTIFS($E$2:E1413,E1413)</f>
        <v>0</v>
      </c>
      <c r="B1413" s="166"/>
      <c r="C1413" s="168"/>
      <c r="D1413" s="167"/>
      <c r="E1413" s="166"/>
      <c r="F1413" s="165"/>
      <c r="G1413" s="164"/>
    </row>
    <row r="1414" spans="1:7" x14ac:dyDescent="0.25">
      <c r="A1414" s="169" t="str">
        <f>E1414&amp;COUNTIFS($E$2:E1414,E1414)</f>
        <v>0</v>
      </c>
      <c r="B1414" s="166"/>
      <c r="C1414" s="168"/>
      <c r="D1414" s="167"/>
      <c r="E1414" s="166"/>
      <c r="F1414" s="165"/>
      <c r="G1414" s="164"/>
    </row>
    <row r="1415" spans="1:7" x14ac:dyDescent="0.25">
      <c r="A1415" s="169" t="str">
        <f>E1415&amp;COUNTIFS($E$2:E1415,E1415)</f>
        <v>0</v>
      </c>
      <c r="B1415" s="166"/>
      <c r="C1415" s="168"/>
      <c r="D1415" s="167"/>
      <c r="E1415" s="166"/>
      <c r="F1415" s="165"/>
      <c r="G1415" s="164"/>
    </row>
    <row r="1416" spans="1:7" x14ac:dyDescent="0.25">
      <c r="A1416" s="169" t="str">
        <f>E1416&amp;COUNTIFS($E$2:E1416,E1416)</f>
        <v>0</v>
      </c>
      <c r="B1416" s="166"/>
      <c r="C1416" s="168"/>
      <c r="D1416" s="167"/>
      <c r="E1416" s="166"/>
      <c r="F1416" s="165"/>
      <c r="G1416" s="164"/>
    </row>
    <row r="1417" spans="1:7" x14ac:dyDescent="0.25">
      <c r="A1417" s="169" t="str">
        <f>E1417&amp;COUNTIFS($E$2:E1417,E1417)</f>
        <v>0</v>
      </c>
      <c r="B1417" s="166"/>
      <c r="C1417" s="168"/>
      <c r="D1417" s="167"/>
      <c r="E1417" s="166"/>
      <c r="F1417" s="165"/>
      <c r="G1417" s="164"/>
    </row>
    <row r="1418" spans="1:7" x14ac:dyDescent="0.25">
      <c r="A1418" s="169" t="str">
        <f>E1418&amp;COUNTIFS($E$2:E1418,E1418)</f>
        <v>0</v>
      </c>
      <c r="B1418" s="166"/>
      <c r="C1418" s="168"/>
      <c r="D1418" s="167"/>
      <c r="E1418" s="166"/>
      <c r="F1418" s="165"/>
      <c r="G1418" s="164"/>
    </row>
    <row r="1419" spans="1:7" x14ac:dyDescent="0.25">
      <c r="A1419" s="169" t="str">
        <f>E1419&amp;COUNTIFS($E$2:E1419,E1419)</f>
        <v>0</v>
      </c>
      <c r="B1419" s="166"/>
      <c r="C1419" s="168"/>
      <c r="D1419" s="167"/>
      <c r="E1419" s="166"/>
      <c r="F1419" s="165"/>
      <c r="G1419" s="164"/>
    </row>
    <row r="1420" spans="1:7" ht="15.75" thickBot="1" x14ac:dyDescent="0.3">
      <c r="A1420" s="163" t="str">
        <f>E1420&amp;COUNTIFS($E$2:E1420,E1420)</f>
        <v>0</v>
      </c>
      <c r="B1420" s="166"/>
      <c r="C1420" s="162"/>
      <c r="D1420" s="161"/>
      <c r="E1420" s="160"/>
      <c r="F1420" s="159"/>
      <c r="G1420" s="158"/>
    </row>
    <row r="1421" spans="1:7" x14ac:dyDescent="0.25">
      <c r="A1421" s="148"/>
      <c r="C1421" s="143"/>
      <c r="D1421" s="157"/>
      <c r="E1421" s="143"/>
      <c r="F1421" s="156"/>
      <c r="G1421" s="156"/>
    </row>
    <row r="1422" spans="1:7" x14ac:dyDescent="0.25">
      <c r="A1422" s="148"/>
      <c r="C1422" s="153" t="s">
        <v>623</v>
      </c>
      <c r="D1422" s="152"/>
      <c r="E1422" s="151"/>
      <c r="F1422" s="150">
        <f>SUM(F1396:F1420)</f>
        <v>0</v>
      </c>
      <c r="G1422" s="155">
        <f>SUM(G1396:G1420)</f>
        <v>0</v>
      </c>
    </row>
    <row r="1423" spans="1:7" x14ac:dyDescent="0.25">
      <c r="A1423" s="148"/>
      <c r="C1423" s="145" t="s">
        <v>622</v>
      </c>
      <c r="D1423" s="154"/>
      <c r="E1423" s="145"/>
      <c r="F1423" s="144"/>
      <c r="G1423" s="144"/>
    </row>
    <row r="1424" spans="1:7" x14ac:dyDescent="0.25">
      <c r="A1424" s="148"/>
      <c r="C1424" s="153" t="s">
        <v>621</v>
      </c>
      <c r="D1424" s="152"/>
      <c r="E1424" s="151"/>
      <c r="F1424" s="150">
        <f>F1391</f>
        <v>0</v>
      </c>
      <c r="G1424" s="150">
        <f>G1391</f>
        <v>0</v>
      </c>
    </row>
    <row r="1425" spans="1:7" x14ac:dyDescent="0.25">
      <c r="A1425" s="148"/>
      <c r="C1425" s="153" t="s">
        <v>582</v>
      </c>
      <c r="D1425" s="152"/>
      <c r="E1425" s="151"/>
      <c r="F1425" s="150">
        <f>F1424+F1422</f>
        <v>0</v>
      </c>
      <c r="G1425" s="150">
        <f>G1424+G1422</f>
        <v>0</v>
      </c>
    </row>
    <row r="1426" spans="1:7" ht="15.75" thickBot="1" x14ac:dyDescent="0.3">
      <c r="A1426" s="148"/>
      <c r="C1426" s="145"/>
      <c r="D1426" s="149"/>
      <c r="E1426" s="145"/>
      <c r="F1426" s="144"/>
      <c r="G1426" s="144"/>
    </row>
    <row r="1427" spans="1:7" ht="15.75" thickBot="1" x14ac:dyDescent="0.3">
      <c r="A1427" s="148"/>
      <c r="C1427" s="147" t="s">
        <v>620</v>
      </c>
      <c r="D1427" s="146">
        <f>F1425-G1425</f>
        <v>0</v>
      </c>
      <c r="E1427" s="145"/>
      <c r="F1427" s="144"/>
      <c r="G1427" s="144"/>
    </row>
    <row r="1428" spans="1:7" ht="15.75" thickBot="1" x14ac:dyDescent="0.3"/>
    <row r="1429" spans="1:7" ht="30.75" thickBot="1" x14ac:dyDescent="0.3">
      <c r="A1429" s="265" t="s">
        <v>626</v>
      </c>
      <c r="B1429" s="264" t="s">
        <v>606</v>
      </c>
      <c r="C1429" s="263" t="s">
        <v>635</v>
      </c>
      <c r="D1429" s="262" t="s">
        <v>601</v>
      </c>
      <c r="E1429" s="261" t="s">
        <v>287</v>
      </c>
      <c r="F1429" s="260" t="s">
        <v>624</v>
      </c>
      <c r="G1429" s="260" t="s">
        <v>596</v>
      </c>
    </row>
    <row r="1430" spans="1:7" x14ac:dyDescent="0.25">
      <c r="A1430" s="222" t="str">
        <f>E1430&amp;COUNTIFS($E$2:E1430,E1430)</f>
        <v>0</v>
      </c>
      <c r="B1430" s="223"/>
      <c r="C1430" s="174"/>
      <c r="D1430" s="173"/>
      <c r="E1430" s="172"/>
      <c r="F1430" s="171"/>
      <c r="G1430" s="170"/>
    </row>
    <row r="1431" spans="1:7" x14ac:dyDescent="0.25">
      <c r="A1431" s="222" t="str">
        <f>E1431&amp;COUNTIFS($E$2:E1431,E1431)</f>
        <v>0</v>
      </c>
      <c r="B1431" s="221"/>
      <c r="C1431" s="168"/>
      <c r="D1431" s="167"/>
      <c r="E1431" s="166"/>
      <c r="F1431" s="165"/>
      <c r="G1431" s="164"/>
    </row>
    <row r="1432" spans="1:7" x14ac:dyDescent="0.25">
      <c r="A1432" s="222" t="str">
        <f>E1432&amp;COUNTIFS($E$2:E1432,E1432)</f>
        <v>0</v>
      </c>
      <c r="B1432" s="221"/>
      <c r="C1432" s="168"/>
      <c r="D1432" s="167"/>
      <c r="E1432" s="166"/>
      <c r="F1432" s="165"/>
      <c r="G1432" s="164"/>
    </row>
    <row r="1433" spans="1:7" x14ac:dyDescent="0.25">
      <c r="A1433" s="222" t="str">
        <f>E1433&amp;COUNTIFS($E$2:E1433,E1433)</f>
        <v>0</v>
      </c>
      <c r="B1433" s="221"/>
      <c r="C1433" s="168"/>
      <c r="D1433" s="167"/>
      <c r="E1433" s="166"/>
      <c r="F1433" s="165"/>
      <c r="G1433" s="164"/>
    </row>
    <row r="1434" spans="1:7" x14ac:dyDescent="0.25">
      <c r="A1434" s="222" t="str">
        <f>E1434&amp;COUNTIFS($E$2:E1434,E1434)</f>
        <v>0</v>
      </c>
      <c r="B1434" s="221"/>
      <c r="C1434" s="168"/>
      <c r="D1434" s="167"/>
      <c r="E1434" s="166"/>
      <c r="F1434" s="165"/>
      <c r="G1434" s="164"/>
    </row>
    <row r="1435" spans="1:7" x14ac:dyDescent="0.25">
      <c r="A1435" s="222" t="str">
        <f>E1435&amp;COUNTIFS($E$2:E1435,E1435)</f>
        <v>0</v>
      </c>
      <c r="B1435" s="221"/>
      <c r="C1435" s="168"/>
      <c r="D1435" s="167"/>
      <c r="E1435" s="166"/>
      <c r="F1435" s="165"/>
      <c r="G1435" s="164"/>
    </row>
    <row r="1436" spans="1:7" x14ac:dyDescent="0.25">
      <c r="A1436" s="222" t="str">
        <f>E1436&amp;COUNTIFS($E$2:E1436,E1436)</f>
        <v>0</v>
      </c>
      <c r="B1436" s="221"/>
      <c r="C1436" s="168"/>
      <c r="D1436" s="167"/>
      <c r="E1436" s="166"/>
      <c r="F1436" s="165"/>
      <c r="G1436" s="164"/>
    </row>
    <row r="1437" spans="1:7" x14ac:dyDescent="0.25">
      <c r="A1437" s="222" t="str">
        <f>E1437&amp;COUNTIFS($E$2:E1437,E1437)</f>
        <v>0</v>
      </c>
      <c r="B1437" s="221"/>
      <c r="C1437" s="168"/>
      <c r="D1437" s="167"/>
      <c r="E1437" s="166"/>
      <c r="F1437" s="165"/>
      <c r="G1437" s="164"/>
    </row>
    <row r="1438" spans="1:7" x14ac:dyDescent="0.25">
      <c r="A1438" s="222" t="str">
        <f>E1438&amp;COUNTIFS($E$2:E1438,E1438)</f>
        <v>0</v>
      </c>
      <c r="B1438" s="221"/>
      <c r="C1438" s="168"/>
      <c r="D1438" s="167"/>
      <c r="E1438" s="166"/>
      <c r="F1438" s="165"/>
      <c r="G1438" s="164"/>
    </row>
    <row r="1439" spans="1:7" x14ac:dyDescent="0.25">
      <c r="A1439" s="222" t="str">
        <f>E1439&amp;COUNTIFS($E$2:E1439,E1439)</f>
        <v>0</v>
      </c>
      <c r="B1439" s="221"/>
      <c r="C1439" s="168"/>
      <c r="D1439" s="167"/>
      <c r="E1439" s="166"/>
      <c r="F1439" s="165"/>
      <c r="G1439" s="164"/>
    </row>
    <row r="1440" spans="1:7" x14ac:dyDescent="0.25">
      <c r="A1440" s="222" t="str">
        <f>E1440&amp;COUNTIFS($E$2:E1440,E1440)</f>
        <v>0</v>
      </c>
      <c r="B1440" s="221"/>
      <c r="C1440" s="168"/>
      <c r="D1440" s="167"/>
      <c r="E1440" s="166"/>
      <c r="F1440" s="165"/>
      <c r="G1440" s="164"/>
    </row>
    <row r="1441" spans="1:7" x14ac:dyDescent="0.25">
      <c r="A1441" s="222" t="str">
        <f>E1441&amp;COUNTIFS($E$2:E1441,E1441)</f>
        <v>0</v>
      </c>
      <c r="B1441" s="221"/>
      <c r="C1441" s="168"/>
      <c r="D1441" s="167"/>
      <c r="E1441" s="166"/>
      <c r="F1441" s="165"/>
      <c r="G1441" s="164"/>
    </row>
    <row r="1442" spans="1:7" x14ac:dyDescent="0.25">
      <c r="A1442" s="222" t="str">
        <f>E1442&amp;COUNTIFS($E$2:E1442,E1442)</f>
        <v>0</v>
      </c>
      <c r="B1442" s="221"/>
      <c r="C1442" s="168"/>
      <c r="D1442" s="167"/>
      <c r="E1442" s="166"/>
      <c r="F1442" s="165"/>
      <c r="G1442" s="164"/>
    </row>
    <row r="1443" spans="1:7" x14ac:dyDescent="0.25">
      <c r="A1443" s="222" t="str">
        <f>E1443&amp;COUNTIFS($E$2:E1443,E1443)</f>
        <v>0</v>
      </c>
      <c r="B1443" s="221"/>
      <c r="C1443" s="168"/>
      <c r="D1443" s="167"/>
      <c r="E1443" s="166"/>
      <c r="F1443" s="165"/>
      <c r="G1443" s="164"/>
    </row>
    <row r="1444" spans="1:7" x14ac:dyDescent="0.25">
      <c r="A1444" s="222" t="str">
        <f>E1444&amp;COUNTIFS($E$2:E1444,E1444)</f>
        <v>0</v>
      </c>
      <c r="B1444" s="221"/>
      <c r="C1444" s="168"/>
      <c r="D1444" s="167"/>
      <c r="E1444" s="166"/>
      <c r="F1444" s="165"/>
      <c r="G1444" s="164"/>
    </row>
    <row r="1445" spans="1:7" x14ac:dyDescent="0.25">
      <c r="A1445" s="222" t="str">
        <f>E1445&amp;COUNTIFS($E$2:E1445,E1445)</f>
        <v>0</v>
      </c>
      <c r="B1445" s="221"/>
      <c r="C1445" s="168"/>
      <c r="D1445" s="167"/>
      <c r="E1445" s="166"/>
      <c r="F1445" s="165"/>
      <c r="G1445" s="164"/>
    </row>
    <row r="1446" spans="1:7" x14ac:dyDescent="0.25">
      <c r="A1446" s="222" t="str">
        <f>E1446&amp;COUNTIFS($E$2:E1446,E1446)</f>
        <v>0</v>
      </c>
      <c r="B1446" s="221"/>
      <c r="C1446" s="168"/>
      <c r="D1446" s="167"/>
      <c r="E1446" s="166"/>
      <c r="F1446" s="165"/>
      <c r="G1446" s="164"/>
    </row>
    <row r="1447" spans="1:7" x14ac:dyDescent="0.25">
      <c r="A1447" s="222" t="str">
        <f>E1447&amp;COUNTIFS($E$2:E1447,E1447)</f>
        <v>0</v>
      </c>
      <c r="B1447" s="221"/>
      <c r="C1447" s="168"/>
      <c r="D1447" s="167"/>
      <c r="E1447" s="166"/>
      <c r="F1447" s="165"/>
      <c r="G1447" s="164"/>
    </row>
    <row r="1448" spans="1:7" x14ac:dyDescent="0.25">
      <c r="A1448" s="222" t="str">
        <f>E1448&amp;COUNTIFS($E$2:E1448,E1448)</f>
        <v>0</v>
      </c>
      <c r="B1448" s="221"/>
      <c r="C1448" s="168"/>
      <c r="D1448" s="167"/>
      <c r="E1448" s="166"/>
      <c r="F1448" s="165"/>
      <c r="G1448" s="164"/>
    </row>
    <row r="1449" spans="1:7" x14ac:dyDescent="0.25">
      <c r="A1449" s="222" t="str">
        <f>E1449&amp;COUNTIFS($E$2:E1449,E1449)</f>
        <v>0</v>
      </c>
      <c r="B1449" s="221"/>
      <c r="C1449" s="168"/>
      <c r="D1449" s="167"/>
      <c r="E1449" s="166"/>
      <c r="F1449" s="165"/>
      <c r="G1449" s="164"/>
    </row>
    <row r="1450" spans="1:7" x14ac:dyDescent="0.25">
      <c r="A1450" s="222" t="str">
        <f>E1450&amp;COUNTIFS($E$2:E1450,E1450)</f>
        <v>0</v>
      </c>
      <c r="B1450" s="221"/>
      <c r="C1450" s="168"/>
      <c r="D1450" s="167"/>
      <c r="E1450" s="166"/>
      <c r="F1450" s="165"/>
      <c r="G1450" s="164"/>
    </row>
    <row r="1451" spans="1:7" x14ac:dyDescent="0.25">
      <c r="A1451" s="222" t="str">
        <f>E1451&amp;COUNTIFS($E$2:E1451,E1451)</f>
        <v>0</v>
      </c>
      <c r="B1451" s="221"/>
      <c r="C1451" s="168"/>
      <c r="D1451" s="167"/>
      <c r="E1451" s="166"/>
      <c r="F1451" s="165"/>
      <c r="G1451" s="164"/>
    </row>
    <row r="1452" spans="1:7" x14ac:dyDescent="0.25">
      <c r="A1452" s="222" t="str">
        <f>E1452&amp;COUNTIFS($E$2:E1452,E1452)</f>
        <v>0</v>
      </c>
      <c r="B1452" s="221"/>
      <c r="C1452" s="168"/>
      <c r="D1452" s="167"/>
      <c r="E1452" s="166"/>
      <c r="F1452" s="165"/>
      <c r="G1452" s="164"/>
    </row>
    <row r="1453" spans="1:7" x14ac:dyDescent="0.25">
      <c r="A1453" s="222" t="str">
        <f>E1453&amp;COUNTIFS($E$2:E1453,E1453)</f>
        <v>0</v>
      </c>
      <c r="B1453" s="221"/>
      <c r="C1453" s="168"/>
      <c r="D1453" s="167"/>
      <c r="E1453" s="166"/>
      <c r="F1453" s="165"/>
      <c r="G1453" s="164"/>
    </row>
    <row r="1454" spans="1:7" ht="15.75" thickBot="1" x14ac:dyDescent="0.3">
      <c r="A1454" s="220" t="str">
        <f>E1454&amp;COUNTIFS($E$2:E1454,E1454)</f>
        <v>0</v>
      </c>
      <c r="B1454" s="219"/>
      <c r="C1454" s="162"/>
      <c r="D1454" s="161"/>
      <c r="E1454" s="160"/>
      <c r="F1454" s="159"/>
      <c r="G1454" s="158"/>
    </row>
    <row r="1455" spans="1:7" x14ac:dyDescent="0.25">
      <c r="A1455" s="148"/>
      <c r="C1455" s="143"/>
      <c r="D1455" s="157"/>
      <c r="E1455" s="143"/>
      <c r="F1455" s="156"/>
      <c r="G1455" s="156"/>
    </row>
    <row r="1456" spans="1:7" x14ac:dyDescent="0.25">
      <c r="A1456" s="148"/>
      <c r="C1456" s="153" t="s">
        <v>623</v>
      </c>
      <c r="D1456" s="152"/>
      <c r="E1456" s="151"/>
      <c r="F1456" s="150">
        <f>SUM(F1430:F1454)</f>
        <v>0</v>
      </c>
      <c r="G1456" s="155">
        <f>SUM(G1430:G1454)</f>
        <v>0</v>
      </c>
    </row>
    <row r="1457" spans="1:7" x14ac:dyDescent="0.25">
      <c r="A1457" s="148"/>
      <c r="C1457" s="145" t="s">
        <v>622</v>
      </c>
      <c r="D1457" s="154"/>
      <c r="E1457" s="145"/>
      <c r="F1457" s="144"/>
      <c r="G1457" s="144"/>
    </row>
    <row r="1458" spans="1:7" x14ac:dyDescent="0.25">
      <c r="A1458" s="148"/>
      <c r="C1458" s="153" t="s">
        <v>621</v>
      </c>
      <c r="D1458" s="152"/>
      <c r="E1458" s="151"/>
      <c r="F1458" s="150">
        <f>F1425</f>
        <v>0</v>
      </c>
      <c r="G1458" s="150">
        <f>G1425</f>
        <v>0</v>
      </c>
    </row>
    <row r="1459" spans="1:7" x14ac:dyDescent="0.25">
      <c r="A1459" s="148"/>
      <c r="C1459" s="153" t="s">
        <v>582</v>
      </c>
      <c r="D1459" s="152"/>
      <c r="E1459" s="151"/>
      <c r="F1459" s="150">
        <f>F1458+F1456</f>
        <v>0</v>
      </c>
      <c r="G1459" s="150">
        <f>G1458+G1456</f>
        <v>0</v>
      </c>
    </row>
    <row r="1460" spans="1:7" ht="15.75" thickBot="1" x14ac:dyDescent="0.3">
      <c r="A1460" s="148"/>
      <c r="C1460" s="145"/>
      <c r="D1460" s="149"/>
      <c r="E1460" s="145"/>
      <c r="F1460" s="144"/>
      <c r="G1460" s="144"/>
    </row>
    <row r="1461" spans="1:7" ht="15.75" thickBot="1" x14ac:dyDescent="0.3">
      <c r="A1461" s="148"/>
      <c r="C1461" s="147" t="s">
        <v>620</v>
      </c>
      <c r="D1461" s="146">
        <f>F1459-G1459</f>
        <v>0</v>
      </c>
      <c r="E1461" s="145"/>
      <c r="F1461" s="144"/>
      <c r="G1461" s="144"/>
    </row>
    <row r="1462" spans="1:7" ht="15.75" thickBot="1" x14ac:dyDescent="0.3"/>
    <row r="1463" spans="1:7" ht="30.75" thickBot="1" x14ac:dyDescent="0.3">
      <c r="A1463" s="265" t="s">
        <v>626</v>
      </c>
      <c r="B1463" s="264" t="s">
        <v>606</v>
      </c>
      <c r="C1463" s="263" t="s">
        <v>635</v>
      </c>
      <c r="D1463" s="262" t="s">
        <v>601</v>
      </c>
      <c r="E1463" s="261" t="s">
        <v>287</v>
      </c>
      <c r="F1463" s="260" t="s">
        <v>624</v>
      </c>
      <c r="G1463" s="260" t="s">
        <v>596</v>
      </c>
    </row>
    <row r="1464" spans="1:7" x14ac:dyDescent="0.25">
      <c r="A1464" s="222" t="str">
        <f>E1464&amp;COUNTIFS($E$2:E1464,E1464)</f>
        <v>0</v>
      </c>
      <c r="B1464" s="223"/>
      <c r="C1464" s="174"/>
      <c r="D1464" s="173"/>
      <c r="E1464" s="172"/>
      <c r="F1464" s="171"/>
      <c r="G1464" s="170"/>
    </row>
    <row r="1465" spans="1:7" x14ac:dyDescent="0.25">
      <c r="A1465" s="222" t="str">
        <f>E1465&amp;COUNTIFS($E$2:E1465,E1465)</f>
        <v>0</v>
      </c>
      <c r="B1465" s="221"/>
      <c r="C1465" s="168"/>
      <c r="D1465" s="167"/>
      <c r="E1465" s="166"/>
      <c r="F1465" s="165"/>
      <c r="G1465" s="164"/>
    </row>
    <row r="1466" spans="1:7" x14ac:dyDescent="0.25">
      <c r="A1466" s="222" t="str">
        <f>E1466&amp;COUNTIFS($E$2:E1466,E1466)</f>
        <v>0</v>
      </c>
      <c r="B1466" s="221"/>
      <c r="C1466" s="168"/>
      <c r="D1466" s="167"/>
      <c r="E1466" s="166"/>
      <c r="F1466" s="165"/>
      <c r="G1466" s="164"/>
    </row>
    <row r="1467" spans="1:7" x14ac:dyDescent="0.25">
      <c r="A1467" s="222" t="str">
        <f>E1467&amp;COUNTIFS($E$2:E1467,E1467)</f>
        <v>0</v>
      </c>
      <c r="B1467" s="221"/>
      <c r="C1467" s="168"/>
      <c r="D1467" s="167"/>
      <c r="E1467" s="166"/>
      <c r="F1467" s="165"/>
      <c r="G1467" s="164"/>
    </row>
    <row r="1468" spans="1:7" x14ac:dyDescent="0.25">
      <c r="A1468" s="222" t="str">
        <f>E1468&amp;COUNTIFS($E$2:E1468,E1468)</f>
        <v>0</v>
      </c>
      <c r="B1468" s="221"/>
      <c r="C1468" s="168"/>
      <c r="D1468" s="167"/>
      <c r="E1468" s="166"/>
      <c r="F1468" s="165"/>
      <c r="G1468" s="164"/>
    </row>
    <row r="1469" spans="1:7" x14ac:dyDescent="0.25">
      <c r="A1469" s="222" t="str">
        <f>E1469&amp;COUNTIFS($E$2:E1469,E1469)</f>
        <v>0</v>
      </c>
      <c r="B1469" s="221"/>
      <c r="C1469" s="168"/>
      <c r="D1469" s="167"/>
      <c r="E1469" s="166"/>
      <c r="F1469" s="165"/>
      <c r="G1469" s="164"/>
    </row>
    <row r="1470" spans="1:7" x14ac:dyDescent="0.25">
      <c r="A1470" s="222" t="str">
        <f>E1470&amp;COUNTIFS($E$2:E1470,E1470)</f>
        <v>0</v>
      </c>
      <c r="B1470" s="221"/>
      <c r="C1470" s="168"/>
      <c r="D1470" s="167"/>
      <c r="E1470" s="166"/>
      <c r="F1470" s="165"/>
      <c r="G1470" s="164"/>
    </row>
    <row r="1471" spans="1:7" x14ac:dyDescent="0.25">
      <c r="A1471" s="222" t="str">
        <f>E1471&amp;COUNTIFS($E$2:E1471,E1471)</f>
        <v>0</v>
      </c>
      <c r="B1471" s="221"/>
      <c r="C1471" s="168"/>
      <c r="D1471" s="167"/>
      <c r="E1471" s="166"/>
      <c r="F1471" s="165"/>
      <c r="G1471" s="164"/>
    </row>
    <row r="1472" spans="1:7" x14ac:dyDescent="0.25">
      <c r="A1472" s="222" t="str">
        <f>E1472&amp;COUNTIFS($E$2:E1472,E1472)</f>
        <v>0</v>
      </c>
      <c r="B1472" s="221"/>
      <c r="C1472" s="168"/>
      <c r="D1472" s="167"/>
      <c r="E1472" s="166"/>
      <c r="F1472" s="165"/>
      <c r="G1472" s="164"/>
    </row>
    <row r="1473" spans="1:7" x14ac:dyDescent="0.25">
      <c r="A1473" s="222" t="str">
        <f>E1473&amp;COUNTIFS($E$2:E1473,E1473)</f>
        <v>0</v>
      </c>
      <c r="B1473" s="221"/>
      <c r="C1473" s="168"/>
      <c r="D1473" s="167"/>
      <c r="E1473" s="166"/>
      <c r="F1473" s="165"/>
      <c r="G1473" s="164"/>
    </row>
    <row r="1474" spans="1:7" x14ac:dyDescent="0.25">
      <c r="A1474" s="222" t="str">
        <f>E1474&amp;COUNTIFS($E$2:E1474,E1474)</f>
        <v>0</v>
      </c>
      <c r="B1474" s="221"/>
      <c r="C1474" s="168"/>
      <c r="D1474" s="167"/>
      <c r="E1474" s="166"/>
      <c r="F1474" s="165"/>
      <c r="G1474" s="164"/>
    </row>
    <row r="1475" spans="1:7" x14ac:dyDescent="0.25">
      <c r="A1475" s="222" t="str">
        <f>E1475&amp;COUNTIFS($E$2:E1475,E1475)</f>
        <v>0</v>
      </c>
      <c r="B1475" s="221"/>
      <c r="C1475" s="168"/>
      <c r="D1475" s="167"/>
      <c r="E1475" s="166"/>
      <c r="F1475" s="165"/>
      <c r="G1475" s="164"/>
    </row>
    <row r="1476" spans="1:7" x14ac:dyDescent="0.25">
      <c r="A1476" s="222" t="str">
        <f>E1476&amp;COUNTIFS($E$2:E1476,E1476)</f>
        <v>0</v>
      </c>
      <c r="B1476" s="221"/>
      <c r="C1476" s="168"/>
      <c r="D1476" s="167"/>
      <c r="E1476" s="166"/>
      <c r="F1476" s="165"/>
      <c r="G1476" s="164"/>
    </row>
    <row r="1477" spans="1:7" x14ac:dyDescent="0.25">
      <c r="A1477" s="222" t="str">
        <f>E1477&amp;COUNTIFS($E$2:E1477,E1477)</f>
        <v>0</v>
      </c>
      <c r="B1477" s="221"/>
      <c r="C1477" s="168"/>
      <c r="D1477" s="167"/>
      <c r="E1477" s="166"/>
      <c r="F1477" s="165"/>
      <c r="G1477" s="164"/>
    </row>
    <row r="1478" spans="1:7" x14ac:dyDescent="0.25">
      <c r="A1478" s="222" t="str">
        <f>E1478&amp;COUNTIFS($E$2:E1478,E1478)</f>
        <v>0</v>
      </c>
      <c r="B1478" s="221"/>
      <c r="C1478" s="168"/>
      <c r="D1478" s="167"/>
      <c r="E1478" s="166"/>
      <c r="F1478" s="165"/>
      <c r="G1478" s="164"/>
    </row>
    <row r="1479" spans="1:7" x14ac:dyDescent="0.25">
      <c r="A1479" s="222" t="str">
        <f>E1479&amp;COUNTIFS($E$2:E1479,E1479)</f>
        <v>0</v>
      </c>
      <c r="B1479" s="221"/>
      <c r="C1479" s="168"/>
      <c r="D1479" s="167"/>
      <c r="E1479" s="166"/>
      <c r="F1479" s="165"/>
      <c r="G1479" s="164"/>
    </row>
    <row r="1480" spans="1:7" x14ac:dyDescent="0.25">
      <c r="A1480" s="222" t="str">
        <f>E1480&amp;COUNTIFS($E$2:E1480,E1480)</f>
        <v>0</v>
      </c>
      <c r="B1480" s="221"/>
      <c r="C1480" s="168"/>
      <c r="D1480" s="167"/>
      <c r="E1480" s="166"/>
      <c r="F1480" s="165"/>
      <c r="G1480" s="164"/>
    </row>
    <row r="1481" spans="1:7" x14ac:dyDescent="0.25">
      <c r="A1481" s="222" t="str">
        <f>E1481&amp;COUNTIFS($E$2:E1481,E1481)</f>
        <v>0</v>
      </c>
      <c r="B1481" s="221"/>
      <c r="C1481" s="168"/>
      <c r="D1481" s="167"/>
      <c r="E1481" s="166"/>
      <c r="F1481" s="165"/>
      <c r="G1481" s="164"/>
    </row>
    <row r="1482" spans="1:7" x14ac:dyDescent="0.25">
      <c r="A1482" s="222" t="str">
        <f>E1482&amp;COUNTIFS($E$2:E1482,E1482)</f>
        <v>0</v>
      </c>
      <c r="B1482" s="221"/>
      <c r="C1482" s="168"/>
      <c r="D1482" s="167"/>
      <c r="E1482" s="166"/>
      <c r="F1482" s="165"/>
      <c r="G1482" s="164"/>
    </row>
    <row r="1483" spans="1:7" x14ac:dyDescent="0.25">
      <c r="A1483" s="222" t="str">
        <f>E1483&amp;COUNTIFS($E$2:E1483,E1483)</f>
        <v>0</v>
      </c>
      <c r="B1483" s="221"/>
      <c r="C1483" s="168"/>
      <c r="D1483" s="167"/>
      <c r="E1483" s="166"/>
      <c r="F1483" s="165"/>
      <c r="G1483" s="164"/>
    </row>
    <row r="1484" spans="1:7" x14ac:dyDescent="0.25">
      <c r="A1484" s="222" t="str">
        <f>E1484&amp;COUNTIFS($E$2:E1484,E1484)</f>
        <v>0</v>
      </c>
      <c r="B1484" s="221"/>
      <c r="C1484" s="168"/>
      <c r="D1484" s="167"/>
      <c r="E1484" s="166"/>
      <c r="F1484" s="165"/>
      <c r="G1484" s="164"/>
    </row>
    <row r="1485" spans="1:7" x14ac:dyDescent="0.25">
      <c r="A1485" s="222" t="str">
        <f>E1485&amp;COUNTIFS($E$2:E1485,E1485)</f>
        <v>0</v>
      </c>
      <c r="B1485" s="221"/>
      <c r="C1485" s="168"/>
      <c r="D1485" s="167"/>
      <c r="E1485" s="166"/>
      <c r="F1485" s="165"/>
      <c r="G1485" s="164"/>
    </row>
    <row r="1486" spans="1:7" x14ac:dyDescent="0.25">
      <c r="A1486" s="222" t="str">
        <f>E1486&amp;COUNTIFS($E$2:E1486,E1486)</f>
        <v>0</v>
      </c>
      <c r="B1486" s="221"/>
      <c r="C1486" s="168"/>
      <c r="D1486" s="167"/>
      <c r="E1486" s="166"/>
      <c r="F1486" s="165"/>
      <c r="G1486" s="164"/>
    </row>
    <row r="1487" spans="1:7" x14ac:dyDescent="0.25">
      <c r="A1487" s="222" t="str">
        <f>E1487&amp;COUNTIFS($E$2:E1487,E1487)</f>
        <v>0</v>
      </c>
      <c r="B1487" s="221"/>
      <c r="C1487" s="168"/>
      <c r="D1487" s="167"/>
      <c r="E1487" s="166"/>
      <c r="F1487" s="165"/>
      <c r="G1487" s="164"/>
    </row>
    <row r="1488" spans="1:7" ht="15.75" thickBot="1" x14ac:dyDescent="0.3">
      <c r="A1488" s="220" t="str">
        <f>E1488&amp;COUNTIFS($E$2:E1488,E1488)</f>
        <v>0</v>
      </c>
      <c r="B1488" s="219"/>
      <c r="C1488" s="162"/>
      <c r="D1488" s="161"/>
      <c r="E1488" s="160"/>
      <c r="F1488" s="159"/>
      <c r="G1488" s="158"/>
    </row>
    <row r="1489" spans="1:7" x14ac:dyDescent="0.25">
      <c r="A1489" s="148"/>
      <c r="C1489" s="143"/>
      <c r="D1489" s="157"/>
      <c r="E1489" s="143"/>
      <c r="F1489" s="156"/>
      <c r="G1489" s="156"/>
    </row>
    <row r="1490" spans="1:7" x14ac:dyDescent="0.25">
      <c r="A1490" s="148"/>
      <c r="C1490" s="153" t="s">
        <v>623</v>
      </c>
      <c r="D1490" s="152"/>
      <c r="E1490" s="151"/>
      <c r="F1490" s="150">
        <f>SUM(F1464:F1488)</f>
        <v>0</v>
      </c>
      <c r="G1490" s="155">
        <f>SUM(G1464:G1488)</f>
        <v>0</v>
      </c>
    </row>
    <row r="1491" spans="1:7" x14ac:dyDescent="0.25">
      <c r="A1491" s="148"/>
      <c r="C1491" s="145" t="s">
        <v>622</v>
      </c>
      <c r="D1491" s="154"/>
      <c r="E1491" s="145"/>
      <c r="F1491" s="144"/>
      <c r="G1491" s="144"/>
    </row>
    <row r="1492" spans="1:7" x14ac:dyDescent="0.25">
      <c r="A1492" s="148"/>
      <c r="C1492" s="153" t="s">
        <v>621</v>
      </c>
      <c r="D1492" s="152"/>
      <c r="E1492" s="151"/>
      <c r="F1492" s="150">
        <f>F1459</f>
        <v>0</v>
      </c>
      <c r="G1492" s="150">
        <f>G1459</f>
        <v>0</v>
      </c>
    </row>
    <row r="1493" spans="1:7" x14ac:dyDescent="0.25">
      <c r="A1493" s="148"/>
      <c r="C1493" s="153" t="s">
        <v>582</v>
      </c>
      <c r="D1493" s="152"/>
      <c r="E1493" s="151"/>
      <c r="F1493" s="150">
        <f>F1492+F1490</f>
        <v>0</v>
      </c>
      <c r="G1493" s="150">
        <f>G1492+G1490</f>
        <v>0</v>
      </c>
    </row>
    <row r="1494" spans="1:7" ht="15.75" thickBot="1" x14ac:dyDescent="0.3">
      <c r="A1494" s="148"/>
      <c r="C1494" s="145"/>
      <c r="D1494" s="149"/>
      <c r="E1494" s="145"/>
      <c r="F1494" s="144"/>
      <c r="G1494" s="144"/>
    </row>
    <row r="1495" spans="1:7" ht="15.75" thickBot="1" x14ac:dyDescent="0.3">
      <c r="A1495" s="148"/>
      <c r="C1495" s="147" t="s">
        <v>620</v>
      </c>
      <c r="D1495" s="146">
        <f>F1493-G1493</f>
        <v>0</v>
      </c>
      <c r="E1495" s="145"/>
      <c r="F1495" s="144"/>
      <c r="G1495" s="144"/>
    </row>
    <row r="1496" spans="1:7" ht="15.75" thickBot="1" x14ac:dyDescent="0.3"/>
    <row r="1497" spans="1:7" ht="30.75" thickBot="1" x14ac:dyDescent="0.3">
      <c r="A1497" s="265" t="s">
        <v>626</v>
      </c>
      <c r="B1497" s="264" t="s">
        <v>606</v>
      </c>
      <c r="C1497" s="263" t="s">
        <v>635</v>
      </c>
      <c r="D1497" s="262" t="s">
        <v>601</v>
      </c>
      <c r="E1497" s="261" t="s">
        <v>287</v>
      </c>
      <c r="F1497" s="260" t="s">
        <v>624</v>
      </c>
      <c r="G1497" s="260" t="s">
        <v>596</v>
      </c>
    </row>
    <row r="1498" spans="1:7" x14ac:dyDescent="0.25">
      <c r="A1498" s="169" t="str">
        <f>E1498&amp;COUNTIFS($E$2:E1498,E1498)</f>
        <v>0</v>
      </c>
      <c r="B1498" s="172"/>
      <c r="C1498" s="174"/>
      <c r="D1498" s="173"/>
      <c r="E1498" s="172"/>
      <c r="F1498" s="171"/>
      <c r="G1498" s="170"/>
    </row>
    <row r="1499" spans="1:7" x14ac:dyDescent="0.25">
      <c r="A1499" s="169" t="str">
        <f>E1499&amp;COUNTIFS($E$2:E1499,E1499)</f>
        <v>0</v>
      </c>
      <c r="B1499" s="166"/>
      <c r="C1499" s="168"/>
      <c r="D1499" s="167"/>
      <c r="E1499" s="166"/>
      <c r="F1499" s="165"/>
      <c r="G1499" s="164"/>
    </row>
    <row r="1500" spans="1:7" x14ac:dyDescent="0.25">
      <c r="A1500" s="169" t="str">
        <f>E1500&amp;COUNTIFS($E$2:E1500,E1500)</f>
        <v>0</v>
      </c>
      <c r="B1500" s="166"/>
      <c r="C1500" s="168"/>
      <c r="D1500" s="167"/>
      <c r="E1500" s="166"/>
      <c r="F1500" s="165"/>
      <c r="G1500" s="164"/>
    </row>
    <row r="1501" spans="1:7" x14ac:dyDescent="0.25">
      <c r="A1501" s="169" t="str">
        <f>E1501&amp;COUNTIFS($E$2:E1501,E1501)</f>
        <v>0</v>
      </c>
      <c r="B1501" s="166"/>
      <c r="C1501" s="168"/>
      <c r="D1501" s="167"/>
      <c r="E1501" s="166"/>
      <c r="F1501" s="165"/>
      <c r="G1501" s="164"/>
    </row>
    <row r="1502" spans="1:7" x14ac:dyDescent="0.25">
      <c r="A1502" s="169" t="str">
        <f>E1502&amp;COUNTIFS($E$2:E1502,E1502)</f>
        <v>0</v>
      </c>
      <c r="B1502" s="166"/>
      <c r="C1502" s="168"/>
      <c r="D1502" s="167"/>
      <c r="E1502" s="166"/>
      <c r="F1502" s="165"/>
      <c r="G1502" s="164"/>
    </row>
    <row r="1503" spans="1:7" x14ac:dyDescent="0.25">
      <c r="A1503" s="169" t="str">
        <f>E1503&amp;COUNTIFS($E$2:E1503,E1503)</f>
        <v>0</v>
      </c>
      <c r="B1503" s="166"/>
      <c r="C1503" s="168"/>
      <c r="D1503" s="167"/>
      <c r="E1503" s="166"/>
      <c r="F1503" s="165"/>
      <c r="G1503" s="164"/>
    </row>
    <row r="1504" spans="1:7" x14ac:dyDescent="0.25">
      <c r="A1504" s="169" t="str">
        <f>E1504&amp;COUNTIFS($E$2:E1504,E1504)</f>
        <v>0</v>
      </c>
      <c r="B1504" s="166"/>
      <c r="C1504" s="168"/>
      <c r="D1504" s="167"/>
      <c r="E1504" s="166"/>
      <c r="F1504" s="165"/>
      <c r="G1504" s="164"/>
    </row>
    <row r="1505" spans="1:7" x14ac:dyDescent="0.25">
      <c r="A1505" s="169" t="str">
        <f>E1505&amp;COUNTIFS($E$2:E1505,E1505)</f>
        <v>0</v>
      </c>
      <c r="B1505" s="166"/>
      <c r="C1505" s="168"/>
      <c r="D1505" s="167"/>
      <c r="E1505" s="166"/>
      <c r="F1505" s="165"/>
      <c r="G1505" s="164"/>
    </row>
    <row r="1506" spans="1:7" x14ac:dyDescent="0.25">
      <c r="A1506" s="169" t="str">
        <f>E1506&amp;COUNTIFS($E$2:E1506,E1506)</f>
        <v>0</v>
      </c>
      <c r="B1506" s="166"/>
      <c r="C1506" s="168"/>
      <c r="D1506" s="167"/>
      <c r="E1506" s="166"/>
      <c r="F1506" s="165"/>
      <c r="G1506" s="164"/>
    </row>
    <row r="1507" spans="1:7" x14ac:dyDescent="0.25">
      <c r="A1507" s="169" t="str">
        <f>E1507&amp;COUNTIFS($E$2:E1507,E1507)</f>
        <v>0</v>
      </c>
      <c r="B1507" s="166"/>
      <c r="C1507" s="168"/>
      <c r="D1507" s="167"/>
      <c r="E1507" s="166"/>
      <c r="F1507" s="165"/>
      <c r="G1507" s="164"/>
    </row>
    <row r="1508" spans="1:7" x14ac:dyDescent="0.25">
      <c r="A1508" s="169" t="str">
        <f>E1508&amp;COUNTIFS($E$2:E1508,E1508)</f>
        <v>0</v>
      </c>
      <c r="B1508" s="166"/>
      <c r="C1508" s="168"/>
      <c r="D1508" s="167"/>
      <c r="E1508" s="166"/>
      <c r="F1508" s="165"/>
      <c r="G1508" s="164"/>
    </row>
    <row r="1509" spans="1:7" x14ac:dyDescent="0.25">
      <c r="A1509" s="169" t="str">
        <f>E1509&amp;COUNTIFS($E$2:E1509,E1509)</f>
        <v>0</v>
      </c>
      <c r="B1509" s="166"/>
      <c r="C1509" s="168"/>
      <c r="D1509" s="167"/>
      <c r="E1509" s="166"/>
      <c r="F1509" s="165"/>
      <c r="G1509" s="164"/>
    </row>
    <row r="1510" spans="1:7" x14ac:dyDescent="0.25">
      <c r="A1510" s="169" t="str">
        <f>E1510&amp;COUNTIFS($E$2:E1510,E1510)</f>
        <v>0</v>
      </c>
      <c r="B1510" s="166"/>
      <c r="C1510" s="168"/>
      <c r="D1510" s="167"/>
      <c r="E1510" s="166"/>
      <c r="F1510" s="165"/>
      <c r="G1510" s="164"/>
    </row>
    <row r="1511" spans="1:7" x14ac:dyDescent="0.25">
      <c r="A1511" s="169" t="str">
        <f>E1511&amp;COUNTIFS($E$2:E1511,E1511)</f>
        <v>0</v>
      </c>
      <c r="B1511" s="166"/>
      <c r="C1511" s="168"/>
      <c r="D1511" s="167"/>
      <c r="E1511" s="166"/>
      <c r="F1511" s="165"/>
      <c r="G1511" s="164"/>
    </row>
    <row r="1512" spans="1:7" x14ac:dyDescent="0.25">
      <c r="A1512" s="169" t="str">
        <f>E1512&amp;COUNTIFS($E$2:E1512,E1512)</f>
        <v>0</v>
      </c>
      <c r="B1512" s="166"/>
      <c r="C1512" s="168"/>
      <c r="D1512" s="167"/>
      <c r="E1512" s="166"/>
      <c r="F1512" s="165"/>
      <c r="G1512" s="164"/>
    </row>
    <row r="1513" spans="1:7" x14ac:dyDescent="0.25">
      <c r="A1513" s="169" t="str">
        <f>E1513&amp;COUNTIFS($E$2:E1513,E1513)</f>
        <v>0</v>
      </c>
      <c r="B1513" s="166"/>
      <c r="C1513" s="168"/>
      <c r="D1513" s="167"/>
      <c r="E1513" s="166"/>
      <c r="F1513" s="165"/>
      <c r="G1513" s="164"/>
    </row>
    <row r="1514" spans="1:7" x14ac:dyDescent="0.25">
      <c r="A1514" s="169" t="str">
        <f>E1514&amp;COUNTIFS($E$2:E1514,E1514)</f>
        <v>0</v>
      </c>
      <c r="B1514" s="166"/>
      <c r="C1514" s="168"/>
      <c r="D1514" s="167"/>
      <c r="E1514" s="166"/>
      <c r="F1514" s="165"/>
      <c r="G1514" s="164"/>
    </row>
    <row r="1515" spans="1:7" x14ac:dyDescent="0.25">
      <c r="A1515" s="169" t="str">
        <f>E1515&amp;COUNTIFS($E$2:E1515,E1515)</f>
        <v>0</v>
      </c>
      <c r="B1515" s="166"/>
      <c r="C1515" s="168"/>
      <c r="D1515" s="167"/>
      <c r="E1515" s="166"/>
      <c r="F1515" s="165"/>
      <c r="G1515" s="164"/>
    </row>
    <row r="1516" spans="1:7" x14ac:dyDescent="0.25">
      <c r="A1516" s="169" t="str">
        <f>E1516&amp;COUNTIFS($E$2:E1516,E1516)</f>
        <v>0</v>
      </c>
      <c r="B1516" s="166"/>
      <c r="C1516" s="168"/>
      <c r="D1516" s="167"/>
      <c r="E1516" s="166"/>
      <c r="F1516" s="165"/>
      <c r="G1516" s="164"/>
    </row>
    <row r="1517" spans="1:7" x14ac:dyDescent="0.25">
      <c r="A1517" s="169" t="str">
        <f>E1517&amp;COUNTIFS($E$2:E1517,E1517)</f>
        <v>0</v>
      </c>
      <c r="B1517" s="166"/>
      <c r="C1517" s="168"/>
      <c r="D1517" s="167"/>
      <c r="E1517" s="166"/>
      <c r="F1517" s="165"/>
      <c r="G1517" s="164"/>
    </row>
    <row r="1518" spans="1:7" x14ac:dyDescent="0.25">
      <c r="A1518" s="169" t="str">
        <f>E1518&amp;COUNTIFS($E$2:E1518,E1518)</f>
        <v>0</v>
      </c>
      <c r="B1518" s="166"/>
      <c r="C1518" s="168"/>
      <c r="D1518" s="167"/>
      <c r="E1518" s="166"/>
      <c r="F1518" s="165"/>
      <c r="G1518" s="164"/>
    </row>
    <row r="1519" spans="1:7" x14ac:dyDescent="0.25">
      <c r="A1519" s="169" t="str">
        <f>E1519&amp;COUNTIFS($E$2:E1519,E1519)</f>
        <v>0</v>
      </c>
      <c r="B1519" s="166"/>
      <c r="C1519" s="168"/>
      <c r="D1519" s="167"/>
      <c r="E1519" s="166"/>
      <c r="F1519" s="165"/>
      <c r="G1519" s="164"/>
    </row>
    <row r="1520" spans="1:7" x14ac:dyDescent="0.25">
      <c r="A1520" s="169" t="str">
        <f>E1520&amp;COUNTIFS($E$2:E1520,E1520)</f>
        <v>0</v>
      </c>
      <c r="B1520" s="166"/>
      <c r="C1520" s="168"/>
      <c r="D1520" s="167"/>
      <c r="E1520" s="166"/>
      <c r="F1520" s="165"/>
      <c r="G1520" s="164"/>
    </row>
    <row r="1521" spans="1:7" x14ac:dyDescent="0.25">
      <c r="A1521" s="169" t="str">
        <f>E1521&amp;COUNTIFS($E$2:E1521,E1521)</f>
        <v>0</v>
      </c>
      <c r="B1521" s="166"/>
      <c r="C1521" s="168"/>
      <c r="D1521" s="167"/>
      <c r="E1521" s="166"/>
      <c r="F1521" s="165"/>
      <c r="G1521" s="164"/>
    </row>
    <row r="1522" spans="1:7" ht="15.75" thickBot="1" x14ac:dyDescent="0.3">
      <c r="A1522" s="163" t="str">
        <f>E1522&amp;COUNTIFS($E$2:E1522,E1522)</f>
        <v>0</v>
      </c>
      <c r="B1522" s="160"/>
      <c r="C1522" s="162"/>
      <c r="D1522" s="161"/>
      <c r="E1522" s="160"/>
      <c r="F1522" s="159"/>
      <c r="G1522" s="158"/>
    </row>
    <row r="1523" spans="1:7" x14ac:dyDescent="0.25">
      <c r="A1523" s="148"/>
      <c r="C1523" s="143"/>
      <c r="D1523" s="157"/>
      <c r="E1523" s="143"/>
      <c r="F1523" s="156"/>
      <c r="G1523" s="156"/>
    </row>
    <row r="1524" spans="1:7" x14ac:dyDescent="0.25">
      <c r="A1524" s="148"/>
      <c r="C1524" s="153" t="s">
        <v>623</v>
      </c>
      <c r="D1524" s="152"/>
      <c r="E1524" s="151"/>
      <c r="F1524" s="150">
        <f>SUM(F1498:F1522)</f>
        <v>0</v>
      </c>
      <c r="G1524" s="155">
        <f>SUM(G1498:G1522)</f>
        <v>0</v>
      </c>
    </row>
    <row r="1525" spans="1:7" x14ac:dyDescent="0.25">
      <c r="A1525" s="148"/>
      <c r="C1525" s="145" t="s">
        <v>622</v>
      </c>
      <c r="D1525" s="154"/>
      <c r="E1525" s="145"/>
      <c r="F1525" s="144"/>
      <c r="G1525" s="144"/>
    </row>
    <row r="1526" spans="1:7" x14ac:dyDescent="0.25">
      <c r="A1526" s="148"/>
      <c r="C1526" s="153" t="s">
        <v>621</v>
      </c>
      <c r="D1526" s="152"/>
      <c r="E1526" s="151"/>
      <c r="F1526" s="150">
        <f>F1493</f>
        <v>0</v>
      </c>
      <c r="G1526" s="150">
        <f>G1493</f>
        <v>0</v>
      </c>
    </row>
    <row r="1527" spans="1:7" x14ac:dyDescent="0.25">
      <c r="A1527" s="148"/>
      <c r="C1527" s="153" t="s">
        <v>582</v>
      </c>
      <c r="D1527" s="152"/>
      <c r="E1527" s="151"/>
      <c r="F1527" s="150">
        <f>F1526+F1524</f>
        <v>0</v>
      </c>
      <c r="G1527" s="150">
        <f>G1526+G1524</f>
        <v>0</v>
      </c>
    </row>
    <row r="1528" spans="1:7" ht="15.75" thickBot="1" x14ac:dyDescent="0.3">
      <c r="A1528" s="148"/>
      <c r="C1528" s="145"/>
      <c r="D1528" s="149"/>
      <c r="E1528" s="145"/>
      <c r="F1528" s="144"/>
      <c r="G1528" s="144"/>
    </row>
    <row r="1529" spans="1:7" ht="15.75" thickBot="1" x14ac:dyDescent="0.3">
      <c r="A1529" s="148"/>
      <c r="C1529" s="147" t="s">
        <v>620</v>
      </c>
      <c r="D1529" s="146">
        <f>F1527-G1527</f>
        <v>0</v>
      </c>
      <c r="E1529" s="145"/>
      <c r="F1529" s="144"/>
      <c r="G1529" s="144"/>
    </row>
    <row r="1530" spans="1:7" ht="15.75" thickBot="1" x14ac:dyDescent="0.3">
      <c r="A1530" s="148"/>
      <c r="C1530" s="145"/>
      <c r="D1530" s="144"/>
      <c r="E1530" s="145"/>
      <c r="F1530" s="144"/>
      <c r="G1530" s="144"/>
    </row>
    <row r="1531" spans="1:7" ht="30.75" thickBot="1" x14ac:dyDescent="0.3">
      <c r="A1531" s="265" t="s">
        <v>626</v>
      </c>
      <c r="B1531" s="264" t="s">
        <v>606</v>
      </c>
      <c r="C1531" s="263" t="s">
        <v>635</v>
      </c>
      <c r="D1531" s="262" t="s">
        <v>601</v>
      </c>
      <c r="E1531" s="261" t="s">
        <v>287</v>
      </c>
      <c r="F1531" s="260" t="s">
        <v>624</v>
      </c>
      <c r="G1531" s="260" t="s">
        <v>596</v>
      </c>
    </row>
    <row r="1532" spans="1:7" x14ac:dyDescent="0.25">
      <c r="A1532" s="169" t="str">
        <f>E1532&amp;COUNTIFS($E$2:E1532,E1532)</f>
        <v>0</v>
      </c>
      <c r="B1532" s="172"/>
      <c r="C1532" s="174"/>
      <c r="D1532" s="173"/>
      <c r="E1532" s="172"/>
      <c r="F1532" s="171"/>
      <c r="G1532" s="170"/>
    </row>
    <row r="1533" spans="1:7" x14ac:dyDescent="0.25">
      <c r="A1533" s="169" t="str">
        <f>E1533&amp;COUNTIFS($E$2:E1533,E1533)</f>
        <v>0</v>
      </c>
      <c r="B1533" s="166"/>
      <c r="C1533" s="168"/>
      <c r="D1533" s="167"/>
      <c r="E1533" s="166"/>
      <c r="F1533" s="165"/>
      <c r="G1533" s="164"/>
    </row>
    <row r="1534" spans="1:7" x14ac:dyDescent="0.25">
      <c r="A1534" s="169" t="str">
        <f>E1534&amp;COUNTIFS($E$2:E1534,E1534)</f>
        <v>0</v>
      </c>
      <c r="B1534" s="166"/>
      <c r="C1534" s="168"/>
      <c r="D1534" s="167"/>
      <c r="E1534" s="166"/>
      <c r="F1534" s="165"/>
      <c r="G1534" s="164"/>
    </row>
    <row r="1535" spans="1:7" x14ac:dyDescent="0.25">
      <c r="A1535" s="169" t="str">
        <f>E1535&amp;COUNTIFS($E$2:E1535,E1535)</f>
        <v>0</v>
      </c>
      <c r="B1535" s="166"/>
      <c r="C1535" s="168"/>
      <c r="D1535" s="167"/>
      <c r="E1535" s="166"/>
      <c r="F1535" s="165"/>
      <c r="G1535" s="164"/>
    </row>
    <row r="1536" spans="1:7" x14ac:dyDescent="0.25">
      <c r="A1536" s="169" t="str">
        <f>E1536&amp;COUNTIFS($E$2:E1536,E1536)</f>
        <v>0</v>
      </c>
      <c r="B1536" s="166"/>
      <c r="C1536" s="168"/>
      <c r="D1536" s="167"/>
      <c r="E1536" s="166"/>
      <c r="F1536" s="165"/>
      <c r="G1536" s="164"/>
    </row>
    <row r="1537" spans="1:7" x14ac:dyDescent="0.25">
      <c r="A1537" s="169" t="str">
        <f>E1537&amp;COUNTIFS($E$2:E1537,E1537)</f>
        <v>0</v>
      </c>
      <c r="B1537" s="166"/>
      <c r="C1537" s="168"/>
      <c r="D1537" s="167"/>
      <c r="E1537" s="166"/>
      <c r="F1537" s="165"/>
      <c r="G1537" s="164"/>
    </row>
    <row r="1538" spans="1:7" x14ac:dyDescent="0.25">
      <c r="A1538" s="169" t="str">
        <f>E1538&amp;COUNTIFS($E$2:E1538,E1538)</f>
        <v>0</v>
      </c>
      <c r="B1538" s="166"/>
      <c r="C1538" s="168"/>
      <c r="D1538" s="167"/>
      <c r="E1538" s="166"/>
      <c r="F1538" s="165"/>
      <c r="G1538" s="164"/>
    </row>
    <row r="1539" spans="1:7" x14ac:dyDescent="0.25">
      <c r="A1539" s="169" t="str">
        <f>E1539&amp;COUNTIFS($E$2:E1539,E1539)</f>
        <v>0</v>
      </c>
      <c r="B1539" s="166"/>
      <c r="C1539" s="168"/>
      <c r="D1539" s="167"/>
      <c r="E1539" s="166"/>
      <c r="F1539" s="165"/>
      <c r="G1539" s="164"/>
    </row>
    <row r="1540" spans="1:7" x14ac:dyDescent="0.25">
      <c r="A1540" s="169" t="str">
        <f>E1540&amp;COUNTIFS($E$2:E1540,E1540)</f>
        <v>0</v>
      </c>
      <c r="B1540" s="166"/>
      <c r="C1540" s="168"/>
      <c r="D1540" s="167"/>
      <c r="E1540" s="166"/>
      <c r="F1540" s="165"/>
      <c r="G1540" s="164"/>
    </row>
    <row r="1541" spans="1:7" x14ac:dyDescent="0.25">
      <c r="A1541" s="169" t="str">
        <f>E1541&amp;COUNTIFS($E$2:E1541,E1541)</f>
        <v>0</v>
      </c>
      <c r="B1541" s="166"/>
      <c r="C1541" s="168"/>
      <c r="D1541" s="167"/>
      <c r="E1541" s="166"/>
      <c r="F1541" s="165"/>
      <c r="G1541" s="164"/>
    </row>
    <row r="1542" spans="1:7" x14ac:dyDescent="0.25">
      <c r="A1542" s="169" t="str">
        <f>E1542&amp;COUNTIFS($E$2:E1542,E1542)</f>
        <v>0</v>
      </c>
      <c r="B1542" s="166"/>
      <c r="C1542" s="168"/>
      <c r="D1542" s="167"/>
      <c r="E1542" s="166"/>
      <c r="F1542" s="165"/>
      <c r="G1542" s="164"/>
    </row>
    <row r="1543" spans="1:7" x14ac:dyDescent="0.25">
      <c r="A1543" s="169" t="str">
        <f>E1543&amp;COUNTIFS($E$2:E1543,E1543)</f>
        <v>0</v>
      </c>
      <c r="B1543" s="166"/>
      <c r="C1543" s="168"/>
      <c r="D1543" s="167"/>
      <c r="E1543" s="166"/>
      <c r="F1543" s="165"/>
      <c r="G1543" s="164"/>
    </row>
    <row r="1544" spans="1:7" x14ac:dyDescent="0.25">
      <c r="A1544" s="169" t="str">
        <f>E1544&amp;COUNTIFS($E$2:E1544,E1544)</f>
        <v>0</v>
      </c>
      <c r="B1544" s="166"/>
      <c r="C1544" s="168"/>
      <c r="D1544" s="167"/>
      <c r="E1544" s="166"/>
      <c r="F1544" s="165"/>
      <c r="G1544" s="164"/>
    </row>
    <row r="1545" spans="1:7" x14ac:dyDescent="0.25">
      <c r="A1545" s="169" t="str">
        <f>E1545&amp;COUNTIFS($E$2:E1545,E1545)</f>
        <v>0</v>
      </c>
      <c r="B1545" s="166"/>
      <c r="C1545" s="168"/>
      <c r="D1545" s="167"/>
      <c r="E1545" s="166"/>
      <c r="F1545" s="165"/>
      <c r="G1545" s="164"/>
    </row>
    <row r="1546" spans="1:7" x14ac:dyDescent="0.25">
      <c r="A1546" s="169" t="str">
        <f>E1546&amp;COUNTIFS($E$2:E1546,E1546)</f>
        <v>0</v>
      </c>
      <c r="B1546" s="166"/>
      <c r="C1546" s="168"/>
      <c r="D1546" s="167"/>
      <c r="E1546" s="166"/>
      <c r="F1546" s="165"/>
      <c r="G1546" s="164"/>
    </row>
    <row r="1547" spans="1:7" x14ac:dyDescent="0.25">
      <c r="A1547" s="169" t="str">
        <f>E1547&amp;COUNTIFS($E$2:E1547,E1547)</f>
        <v>0</v>
      </c>
      <c r="B1547" s="166"/>
      <c r="C1547" s="168"/>
      <c r="D1547" s="167"/>
      <c r="E1547" s="166"/>
      <c r="F1547" s="165"/>
      <c r="G1547" s="164"/>
    </row>
    <row r="1548" spans="1:7" x14ac:dyDescent="0.25">
      <c r="A1548" s="169" t="str">
        <f>E1548&amp;COUNTIFS($E$2:E1548,E1548)</f>
        <v>0</v>
      </c>
      <c r="B1548" s="166"/>
      <c r="C1548" s="168"/>
      <c r="D1548" s="167"/>
      <c r="E1548" s="166"/>
      <c r="F1548" s="165"/>
      <c r="G1548" s="164"/>
    </row>
    <row r="1549" spans="1:7" x14ac:dyDescent="0.25">
      <c r="A1549" s="169" t="str">
        <f>E1549&amp;COUNTIFS($E$2:E1549,E1549)</f>
        <v>0</v>
      </c>
      <c r="B1549" s="166"/>
      <c r="C1549" s="168"/>
      <c r="D1549" s="167"/>
      <c r="E1549" s="166"/>
      <c r="F1549" s="165"/>
      <c r="G1549" s="164"/>
    </row>
    <row r="1550" spans="1:7" x14ac:dyDescent="0.25">
      <c r="A1550" s="169" t="str">
        <f>E1550&amp;COUNTIFS($E$2:E1550,E1550)</f>
        <v>0</v>
      </c>
      <c r="B1550" s="166"/>
      <c r="C1550" s="168"/>
      <c r="D1550" s="167"/>
      <c r="E1550" s="166"/>
      <c r="F1550" s="165"/>
      <c r="G1550" s="164"/>
    </row>
    <row r="1551" spans="1:7" x14ac:dyDescent="0.25">
      <c r="A1551" s="169" t="str">
        <f>E1551&amp;COUNTIFS($E$2:E1551,E1551)</f>
        <v>0</v>
      </c>
      <c r="B1551" s="166"/>
      <c r="C1551" s="168"/>
      <c r="D1551" s="167"/>
      <c r="E1551" s="166"/>
      <c r="F1551" s="165"/>
      <c r="G1551" s="164"/>
    </row>
    <row r="1552" spans="1:7" x14ac:dyDescent="0.25">
      <c r="A1552" s="169" t="str">
        <f>E1552&amp;COUNTIFS($E$2:E1552,E1552)</f>
        <v>0</v>
      </c>
      <c r="B1552" s="166"/>
      <c r="C1552" s="168"/>
      <c r="D1552" s="167"/>
      <c r="E1552" s="166"/>
      <c r="F1552" s="165"/>
      <c r="G1552" s="164"/>
    </row>
    <row r="1553" spans="1:7" x14ac:dyDescent="0.25">
      <c r="A1553" s="169" t="str">
        <f>E1553&amp;COUNTIFS($E$2:E1553,E1553)</f>
        <v>0</v>
      </c>
      <c r="B1553" s="166"/>
      <c r="C1553" s="168"/>
      <c r="D1553" s="167"/>
      <c r="E1553" s="166"/>
      <c r="F1553" s="165"/>
      <c r="G1553" s="164"/>
    </row>
    <row r="1554" spans="1:7" x14ac:dyDescent="0.25">
      <c r="A1554" s="169" t="str">
        <f>E1554&amp;COUNTIFS($E$2:E1554,E1554)</f>
        <v>0</v>
      </c>
      <c r="B1554" s="166"/>
      <c r="C1554" s="168"/>
      <c r="D1554" s="167"/>
      <c r="E1554" s="166"/>
      <c r="F1554" s="165"/>
      <c r="G1554" s="164"/>
    </row>
    <row r="1555" spans="1:7" x14ac:dyDescent="0.25">
      <c r="A1555" s="169" t="str">
        <f>E1555&amp;COUNTIFS($E$2:E1555,E1555)</f>
        <v>0</v>
      </c>
      <c r="B1555" s="166"/>
      <c r="C1555" s="168"/>
      <c r="D1555" s="167"/>
      <c r="E1555" s="166"/>
      <c r="F1555" s="165"/>
      <c r="G1555" s="164"/>
    </row>
    <row r="1556" spans="1:7" ht="15.75" thickBot="1" x14ac:dyDescent="0.3">
      <c r="A1556" s="163" t="str">
        <f>E1556&amp;COUNTIFS($E$2:E1556,E1556)</f>
        <v>0</v>
      </c>
      <c r="B1556" s="160"/>
      <c r="C1556" s="162"/>
      <c r="D1556" s="161"/>
      <c r="E1556" s="160"/>
      <c r="F1556" s="159"/>
      <c r="G1556" s="158"/>
    </row>
    <row r="1557" spans="1:7" x14ac:dyDescent="0.25">
      <c r="A1557" s="148"/>
      <c r="C1557" s="143"/>
      <c r="D1557" s="157"/>
      <c r="E1557" s="143"/>
      <c r="F1557" s="156"/>
      <c r="G1557" s="156"/>
    </row>
    <row r="1558" spans="1:7" x14ac:dyDescent="0.25">
      <c r="A1558" s="148"/>
      <c r="C1558" s="153" t="s">
        <v>623</v>
      </c>
      <c r="D1558" s="152"/>
      <c r="E1558" s="151"/>
      <c r="F1558" s="150">
        <f>SUM(F1532:F1556)</f>
        <v>0</v>
      </c>
      <c r="G1558" s="155">
        <f>SUM(G1532:G1556)</f>
        <v>0</v>
      </c>
    </row>
    <row r="1559" spans="1:7" x14ac:dyDescent="0.25">
      <c r="A1559" s="148"/>
      <c r="C1559" s="145" t="s">
        <v>622</v>
      </c>
      <c r="D1559" s="154"/>
      <c r="E1559" s="145"/>
      <c r="F1559" s="144"/>
      <c r="G1559" s="144"/>
    </row>
    <row r="1560" spans="1:7" x14ac:dyDescent="0.25">
      <c r="A1560" s="148"/>
      <c r="C1560" s="153" t="s">
        <v>621</v>
      </c>
      <c r="D1560" s="152"/>
      <c r="E1560" s="151"/>
      <c r="F1560" s="150">
        <f>F1527</f>
        <v>0</v>
      </c>
      <c r="G1560" s="150">
        <f>G1527</f>
        <v>0</v>
      </c>
    </row>
    <row r="1561" spans="1:7" x14ac:dyDescent="0.25">
      <c r="A1561" s="148"/>
      <c r="C1561" s="153" t="s">
        <v>582</v>
      </c>
      <c r="D1561" s="152"/>
      <c r="E1561" s="151"/>
      <c r="F1561" s="150">
        <f>F1560+F1558</f>
        <v>0</v>
      </c>
      <c r="G1561" s="150">
        <f>G1560+G1558</f>
        <v>0</v>
      </c>
    </row>
    <row r="1562" spans="1:7" ht="15.75" thickBot="1" x14ac:dyDescent="0.3">
      <c r="A1562" s="148"/>
      <c r="C1562" s="145"/>
      <c r="D1562" s="149"/>
      <c r="E1562" s="145"/>
      <c r="F1562" s="144"/>
      <c r="G1562" s="144"/>
    </row>
    <row r="1563" spans="1:7" ht="15.75" thickBot="1" x14ac:dyDescent="0.3">
      <c r="A1563" s="148"/>
      <c r="C1563" s="147" t="s">
        <v>620</v>
      </c>
      <c r="D1563" s="146">
        <f>F1561-G1561</f>
        <v>0</v>
      </c>
      <c r="E1563" s="145"/>
      <c r="F1563" s="144"/>
      <c r="G1563" s="144"/>
    </row>
    <row r="1564" spans="1:7" ht="15.75" thickBot="1" x14ac:dyDescent="0.3">
      <c r="A1564" s="148"/>
      <c r="C1564" s="145"/>
      <c r="D1564" s="144"/>
      <c r="E1564" s="145"/>
      <c r="F1564" s="144"/>
      <c r="G1564" s="144"/>
    </row>
    <row r="1565" spans="1:7" ht="30.75" thickBot="1" x14ac:dyDescent="0.3">
      <c r="A1565" s="265" t="s">
        <v>626</v>
      </c>
      <c r="B1565" s="264" t="s">
        <v>606</v>
      </c>
      <c r="C1565" s="263" t="s">
        <v>635</v>
      </c>
      <c r="D1565" s="262" t="s">
        <v>601</v>
      </c>
      <c r="E1565" s="261" t="s">
        <v>287</v>
      </c>
      <c r="F1565" s="260" t="s">
        <v>624</v>
      </c>
      <c r="G1565" s="260" t="s">
        <v>596</v>
      </c>
    </row>
    <row r="1566" spans="1:7" x14ac:dyDescent="0.25">
      <c r="A1566" s="169" t="str">
        <f>E1566&amp;COUNTIFS($E$2:E1566,E1566)</f>
        <v>0</v>
      </c>
      <c r="B1566" s="172"/>
      <c r="C1566" s="174"/>
      <c r="D1566" s="173"/>
      <c r="E1566" s="172"/>
      <c r="F1566" s="171"/>
      <c r="G1566" s="170"/>
    </row>
    <row r="1567" spans="1:7" x14ac:dyDescent="0.25">
      <c r="A1567" s="169" t="str">
        <f>E1567&amp;COUNTIFS($E$2:E1567,E1567)</f>
        <v>0</v>
      </c>
      <c r="B1567" s="166"/>
      <c r="C1567" s="168"/>
      <c r="D1567" s="167"/>
      <c r="E1567" s="166"/>
      <c r="F1567" s="165"/>
      <c r="G1567" s="164"/>
    </row>
    <row r="1568" spans="1:7" x14ac:dyDescent="0.25">
      <c r="A1568" s="169" t="str">
        <f>E1568&amp;COUNTIFS($E$2:E1568,E1568)</f>
        <v>0</v>
      </c>
      <c r="B1568" s="166"/>
      <c r="C1568" s="168"/>
      <c r="D1568" s="167"/>
      <c r="E1568" s="166"/>
      <c r="F1568" s="165"/>
      <c r="G1568" s="164"/>
    </row>
    <row r="1569" spans="1:7" x14ac:dyDescent="0.25">
      <c r="A1569" s="169" t="str">
        <f>E1569&amp;COUNTIFS($E$2:E1569,E1569)</f>
        <v>0</v>
      </c>
      <c r="B1569" s="166"/>
      <c r="C1569" s="168"/>
      <c r="D1569" s="167"/>
      <c r="E1569" s="166"/>
      <c r="F1569" s="165"/>
      <c r="G1569" s="164"/>
    </row>
    <row r="1570" spans="1:7" x14ac:dyDescent="0.25">
      <c r="A1570" s="169" t="str">
        <f>E1570&amp;COUNTIFS($E$2:E1570,E1570)</f>
        <v>0</v>
      </c>
      <c r="B1570" s="166"/>
      <c r="C1570" s="168"/>
      <c r="D1570" s="167"/>
      <c r="E1570" s="166"/>
      <c r="F1570" s="165"/>
      <c r="G1570" s="164"/>
    </row>
    <row r="1571" spans="1:7" x14ac:dyDescent="0.25">
      <c r="A1571" s="169" t="str">
        <f>E1571&amp;COUNTIFS($E$2:E1571,E1571)</f>
        <v>0</v>
      </c>
      <c r="B1571" s="166"/>
      <c r="C1571" s="168"/>
      <c r="D1571" s="167"/>
      <c r="E1571" s="166"/>
      <c r="F1571" s="165"/>
      <c r="G1571" s="164"/>
    </row>
    <row r="1572" spans="1:7" x14ac:dyDescent="0.25">
      <c r="A1572" s="169" t="str">
        <f>E1572&amp;COUNTIFS($E$2:E1572,E1572)</f>
        <v>0</v>
      </c>
      <c r="B1572" s="166"/>
      <c r="C1572" s="168"/>
      <c r="D1572" s="167"/>
      <c r="E1572" s="166"/>
      <c r="F1572" s="165"/>
      <c r="G1572" s="164"/>
    </row>
    <row r="1573" spans="1:7" x14ac:dyDescent="0.25">
      <c r="A1573" s="169" t="str">
        <f>E1573&amp;COUNTIFS($E$2:E1573,E1573)</f>
        <v>0</v>
      </c>
      <c r="B1573" s="166"/>
      <c r="C1573" s="168"/>
      <c r="D1573" s="167"/>
      <c r="E1573" s="166"/>
      <c r="F1573" s="165"/>
      <c r="G1573" s="164"/>
    </row>
    <row r="1574" spans="1:7" x14ac:dyDescent="0.25">
      <c r="A1574" s="169" t="str">
        <f>E1574&amp;COUNTIFS($E$2:E1574,E1574)</f>
        <v>0</v>
      </c>
      <c r="B1574" s="166"/>
      <c r="C1574" s="168"/>
      <c r="D1574" s="167"/>
      <c r="E1574" s="166"/>
      <c r="F1574" s="165"/>
      <c r="G1574" s="164"/>
    </row>
    <row r="1575" spans="1:7" x14ac:dyDescent="0.25">
      <c r="A1575" s="169" t="str">
        <f>E1575&amp;COUNTIFS($E$2:E1575,E1575)</f>
        <v>0</v>
      </c>
      <c r="B1575" s="166"/>
      <c r="C1575" s="168"/>
      <c r="D1575" s="167"/>
      <c r="E1575" s="166"/>
      <c r="F1575" s="165"/>
      <c r="G1575" s="164"/>
    </row>
    <row r="1576" spans="1:7" x14ac:dyDescent="0.25">
      <c r="A1576" s="169" t="str">
        <f>E1576&amp;COUNTIFS($E$2:E1576,E1576)</f>
        <v>0</v>
      </c>
      <c r="B1576" s="166"/>
      <c r="C1576" s="168"/>
      <c r="D1576" s="167"/>
      <c r="E1576" s="166"/>
      <c r="F1576" s="165"/>
      <c r="G1576" s="164"/>
    </row>
    <row r="1577" spans="1:7" x14ac:dyDescent="0.25">
      <c r="A1577" s="169" t="str">
        <f>E1577&amp;COUNTIFS($E$2:E1577,E1577)</f>
        <v>0</v>
      </c>
      <c r="B1577" s="166"/>
      <c r="C1577" s="168"/>
      <c r="D1577" s="167"/>
      <c r="E1577" s="166"/>
      <c r="F1577" s="165"/>
      <c r="G1577" s="164"/>
    </row>
    <row r="1578" spans="1:7" x14ac:dyDescent="0.25">
      <c r="A1578" s="169" t="str">
        <f>E1578&amp;COUNTIFS($E$2:E1578,E1578)</f>
        <v>0</v>
      </c>
      <c r="B1578" s="166"/>
      <c r="C1578" s="168"/>
      <c r="D1578" s="167"/>
      <c r="E1578" s="166"/>
      <c r="F1578" s="165"/>
      <c r="G1578" s="164"/>
    </row>
    <row r="1579" spans="1:7" x14ac:dyDescent="0.25">
      <c r="A1579" s="169" t="str">
        <f>E1579&amp;COUNTIFS($E$2:E1579,E1579)</f>
        <v>0</v>
      </c>
      <c r="B1579" s="166"/>
      <c r="C1579" s="168"/>
      <c r="D1579" s="167"/>
      <c r="E1579" s="166"/>
      <c r="F1579" s="165"/>
      <c r="G1579" s="164"/>
    </row>
    <row r="1580" spans="1:7" x14ac:dyDescent="0.25">
      <c r="A1580" s="169" t="str">
        <f>E1580&amp;COUNTIFS($E$2:E1580,E1580)</f>
        <v>0</v>
      </c>
      <c r="B1580" s="166"/>
      <c r="C1580" s="168"/>
      <c r="D1580" s="167"/>
      <c r="E1580" s="166"/>
      <c r="F1580" s="165"/>
      <c r="G1580" s="164"/>
    </row>
    <row r="1581" spans="1:7" x14ac:dyDescent="0.25">
      <c r="A1581" s="169" t="str">
        <f>E1581&amp;COUNTIFS($E$2:E1581,E1581)</f>
        <v>0</v>
      </c>
      <c r="B1581" s="166"/>
      <c r="C1581" s="168"/>
      <c r="D1581" s="167"/>
      <c r="E1581" s="166"/>
      <c r="F1581" s="165"/>
      <c r="G1581" s="164"/>
    </row>
    <row r="1582" spans="1:7" x14ac:dyDescent="0.25">
      <c r="A1582" s="169" t="str">
        <f>E1582&amp;COUNTIFS($E$2:E1582,E1582)</f>
        <v>0</v>
      </c>
      <c r="B1582" s="166"/>
      <c r="C1582" s="168"/>
      <c r="D1582" s="167"/>
      <c r="E1582" s="166"/>
      <c r="F1582" s="165"/>
      <c r="G1582" s="164"/>
    </row>
    <row r="1583" spans="1:7" x14ac:dyDescent="0.25">
      <c r="A1583" s="169" t="str">
        <f>E1583&amp;COUNTIFS($E$2:E1583,E1583)</f>
        <v>0</v>
      </c>
      <c r="B1583" s="166"/>
      <c r="C1583" s="168"/>
      <c r="D1583" s="167"/>
      <c r="E1583" s="166"/>
      <c r="F1583" s="165"/>
      <c r="G1583" s="164"/>
    </row>
    <row r="1584" spans="1:7" x14ac:dyDescent="0.25">
      <c r="A1584" s="169" t="str">
        <f>E1584&amp;COUNTIFS($E$2:E1584,E1584)</f>
        <v>0</v>
      </c>
      <c r="B1584" s="166"/>
      <c r="C1584" s="168"/>
      <c r="D1584" s="167"/>
      <c r="E1584" s="166"/>
      <c r="F1584" s="165"/>
      <c r="G1584" s="164"/>
    </row>
    <row r="1585" spans="1:7" x14ac:dyDescent="0.25">
      <c r="A1585" s="169" t="str">
        <f>E1585&amp;COUNTIFS($E$2:E1585,E1585)</f>
        <v>0</v>
      </c>
      <c r="B1585" s="166"/>
      <c r="C1585" s="168"/>
      <c r="D1585" s="167"/>
      <c r="E1585" s="166"/>
      <c r="F1585" s="165"/>
      <c r="G1585" s="164"/>
    </row>
    <row r="1586" spans="1:7" x14ac:dyDescent="0.25">
      <c r="A1586" s="169" t="str">
        <f>E1586&amp;COUNTIFS($E$2:E1586,E1586)</f>
        <v>0</v>
      </c>
      <c r="B1586" s="166"/>
      <c r="C1586" s="168"/>
      <c r="D1586" s="167"/>
      <c r="E1586" s="166"/>
      <c r="F1586" s="165"/>
      <c r="G1586" s="164"/>
    </row>
    <row r="1587" spans="1:7" x14ac:dyDescent="0.25">
      <c r="A1587" s="169" t="str">
        <f>E1587&amp;COUNTIFS($E$2:E1587,E1587)</f>
        <v>0</v>
      </c>
      <c r="B1587" s="166"/>
      <c r="C1587" s="168"/>
      <c r="D1587" s="167"/>
      <c r="E1587" s="166"/>
      <c r="F1587" s="165"/>
      <c r="G1587" s="164"/>
    </row>
    <row r="1588" spans="1:7" x14ac:dyDescent="0.25">
      <c r="A1588" s="169" t="str">
        <f>E1588&amp;COUNTIFS($E$2:E1588,E1588)</f>
        <v>0</v>
      </c>
      <c r="B1588" s="166"/>
      <c r="C1588" s="168"/>
      <c r="D1588" s="167"/>
      <c r="E1588" s="166"/>
      <c r="F1588" s="165"/>
      <c r="G1588" s="164"/>
    </row>
    <row r="1589" spans="1:7" x14ac:dyDescent="0.25">
      <c r="A1589" s="169" t="str">
        <f>E1589&amp;COUNTIFS($E$2:E1589,E1589)</f>
        <v>0</v>
      </c>
      <c r="B1589" s="166"/>
      <c r="C1589" s="168"/>
      <c r="D1589" s="167"/>
      <c r="E1589" s="166"/>
      <c r="F1589" s="165"/>
      <c r="G1589" s="164"/>
    </row>
    <row r="1590" spans="1:7" ht="15.75" thickBot="1" x14ac:dyDescent="0.3">
      <c r="A1590" s="163" t="str">
        <f>E1590&amp;COUNTIFS($E$2:E1590,E1590)</f>
        <v>0</v>
      </c>
      <c r="B1590" s="160"/>
      <c r="C1590" s="162"/>
      <c r="D1590" s="161"/>
      <c r="E1590" s="160"/>
      <c r="F1590" s="159"/>
      <c r="G1590" s="158"/>
    </row>
    <row r="1591" spans="1:7" x14ac:dyDescent="0.25">
      <c r="A1591" s="148"/>
      <c r="C1591" s="143"/>
      <c r="D1591" s="157"/>
      <c r="E1591" s="143"/>
      <c r="F1591" s="156"/>
      <c r="G1591" s="156"/>
    </row>
    <row r="1592" spans="1:7" x14ac:dyDescent="0.25">
      <c r="A1592" s="148"/>
      <c r="C1592" s="153" t="s">
        <v>623</v>
      </c>
      <c r="D1592" s="152"/>
      <c r="E1592" s="151"/>
      <c r="F1592" s="150">
        <f>SUM(F1566:F1590)</f>
        <v>0</v>
      </c>
      <c r="G1592" s="155">
        <f>SUM(G1566:G1590)</f>
        <v>0</v>
      </c>
    </row>
    <row r="1593" spans="1:7" x14ac:dyDescent="0.25">
      <c r="A1593" s="148"/>
      <c r="C1593" s="145" t="s">
        <v>622</v>
      </c>
      <c r="D1593" s="154"/>
      <c r="E1593" s="145"/>
      <c r="F1593" s="144"/>
      <c r="G1593" s="144"/>
    </row>
    <row r="1594" spans="1:7" x14ac:dyDescent="0.25">
      <c r="A1594" s="148"/>
      <c r="C1594" s="153" t="s">
        <v>621</v>
      </c>
      <c r="D1594" s="152"/>
      <c r="E1594" s="151"/>
      <c r="F1594" s="150">
        <f>F1561</f>
        <v>0</v>
      </c>
      <c r="G1594" s="150">
        <f>G1561</f>
        <v>0</v>
      </c>
    </row>
    <row r="1595" spans="1:7" x14ac:dyDescent="0.25">
      <c r="A1595" s="148"/>
      <c r="C1595" s="153" t="s">
        <v>582</v>
      </c>
      <c r="D1595" s="152"/>
      <c r="E1595" s="151"/>
      <c r="F1595" s="150">
        <f>F1594+F1592</f>
        <v>0</v>
      </c>
      <c r="G1595" s="150">
        <f>G1594+G1592</f>
        <v>0</v>
      </c>
    </row>
    <row r="1596" spans="1:7" ht="15.75" thickBot="1" x14ac:dyDescent="0.3">
      <c r="A1596" s="148"/>
      <c r="C1596" s="145"/>
      <c r="D1596" s="149"/>
      <c r="E1596" s="145"/>
      <c r="F1596" s="144"/>
      <c r="G1596" s="144"/>
    </row>
    <row r="1597" spans="1:7" ht="15.75" thickBot="1" x14ac:dyDescent="0.3">
      <c r="A1597" s="148"/>
      <c r="C1597" s="147" t="s">
        <v>620</v>
      </c>
      <c r="D1597" s="146">
        <f>F1595-G1595</f>
        <v>0</v>
      </c>
      <c r="E1597" s="145"/>
      <c r="F1597" s="144"/>
      <c r="G1597" s="144"/>
    </row>
    <row r="1598" spans="1:7" ht="15.75" thickBot="1" x14ac:dyDescent="0.3">
      <c r="A1598" s="148"/>
      <c r="C1598" s="145"/>
      <c r="D1598" s="144"/>
      <c r="E1598" s="145"/>
      <c r="F1598" s="144"/>
      <c r="G1598" s="144"/>
    </row>
    <row r="1599" spans="1:7" ht="30.75" thickBot="1" x14ac:dyDescent="0.3">
      <c r="A1599" s="265" t="s">
        <v>626</v>
      </c>
      <c r="B1599" s="264" t="s">
        <v>606</v>
      </c>
      <c r="C1599" s="263" t="s">
        <v>635</v>
      </c>
      <c r="D1599" s="262" t="s">
        <v>601</v>
      </c>
      <c r="E1599" s="261" t="s">
        <v>287</v>
      </c>
      <c r="F1599" s="260" t="s">
        <v>624</v>
      </c>
      <c r="G1599" s="260" t="s">
        <v>596</v>
      </c>
    </row>
    <row r="1600" spans="1:7" x14ac:dyDescent="0.25">
      <c r="A1600" s="169" t="str">
        <f>E1600&amp;COUNTIFS($E$2:E1600,E1600)</f>
        <v>0</v>
      </c>
      <c r="B1600" s="172"/>
      <c r="C1600" s="174"/>
      <c r="D1600" s="173"/>
      <c r="E1600" s="172"/>
      <c r="F1600" s="171"/>
      <c r="G1600" s="170"/>
    </row>
    <row r="1601" spans="1:7" x14ac:dyDescent="0.25">
      <c r="A1601" s="169" t="str">
        <f>E1601&amp;COUNTIFS($E$2:E1601,E1601)</f>
        <v>0</v>
      </c>
      <c r="B1601" s="166"/>
      <c r="C1601" s="168"/>
      <c r="D1601" s="167"/>
      <c r="E1601" s="166"/>
      <c r="F1601" s="165"/>
      <c r="G1601" s="164"/>
    </row>
    <row r="1602" spans="1:7" x14ac:dyDescent="0.25">
      <c r="A1602" s="169" t="str">
        <f>E1602&amp;COUNTIFS($E$2:E1602,E1602)</f>
        <v>0</v>
      </c>
      <c r="B1602" s="166"/>
      <c r="C1602" s="168"/>
      <c r="D1602" s="167"/>
      <c r="E1602" s="166"/>
      <c r="F1602" s="165"/>
      <c r="G1602" s="164"/>
    </row>
    <row r="1603" spans="1:7" x14ac:dyDescent="0.25">
      <c r="A1603" s="169" t="str">
        <f>E1603&amp;COUNTIFS($E$2:E1603,E1603)</f>
        <v>0</v>
      </c>
      <c r="B1603" s="166"/>
      <c r="C1603" s="168"/>
      <c r="D1603" s="167"/>
      <c r="E1603" s="166"/>
      <c r="F1603" s="165"/>
      <c r="G1603" s="164"/>
    </row>
    <row r="1604" spans="1:7" x14ac:dyDescent="0.25">
      <c r="A1604" s="169" t="str">
        <f>E1604&amp;COUNTIFS($E$2:E1604,E1604)</f>
        <v>0</v>
      </c>
      <c r="B1604" s="166"/>
      <c r="C1604" s="168"/>
      <c r="D1604" s="167"/>
      <c r="E1604" s="166"/>
      <c r="F1604" s="165"/>
      <c r="G1604" s="164"/>
    </row>
    <row r="1605" spans="1:7" x14ac:dyDescent="0.25">
      <c r="A1605" s="169" t="str">
        <f>E1605&amp;COUNTIFS($E$2:E1605,E1605)</f>
        <v>0</v>
      </c>
      <c r="B1605" s="166"/>
      <c r="C1605" s="168"/>
      <c r="D1605" s="167"/>
      <c r="E1605" s="166"/>
      <c r="F1605" s="165"/>
      <c r="G1605" s="164"/>
    </row>
    <row r="1606" spans="1:7" x14ac:dyDescent="0.25">
      <c r="A1606" s="169" t="str">
        <f>E1606&amp;COUNTIFS($E$2:E1606,E1606)</f>
        <v>0</v>
      </c>
      <c r="B1606" s="166"/>
      <c r="C1606" s="168"/>
      <c r="D1606" s="167"/>
      <c r="E1606" s="166"/>
      <c r="F1606" s="165"/>
      <c r="G1606" s="164"/>
    </row>
    <row r="1607" spans="1:7" x14ac:dyDescent="0.25">
      <c r="A1607" s="169" t="str">
        <f>E1607&amp;COUNTIFS($E$2:E1607,E1607)</f>
        <v>0</v>
      </c>
      <c r="B1607" s="166"/>
      <c r="C1607" s="168"/>
      <c r="D1607" s="167"/>
      <c r="E1607" s="166"/>
      <c r="F1607" s="165"/>
      <c r="G1607" s="164"/>
    </row>
    <row r="1608" spans="1:7" x14ac:dyDescent="0.25">
      <c r="A1608" s="169" t="str">
        <f>E1608&amp;COUNTIFS($E$2:E1608,E1608)</f>
        <v>0</v>
      </c>
      <c r="B1608" s="166"/>
      <c r="C1608" s="168"/>
      <c r="D1608" s="167"/>
      <c r="E1608" s="166"/>
      <c r="F1608" s="165"/>
      <c r="G1608" s="164"/>
    </row>
    <row r="1609" spans="1:7" x14ac:dyDescent="0.25">
      <c r="A1609" s="169" t="str">
        <f>E1609&amp;COUNTIFS($E$2:E1609,E1609)</f>
        <v>0</v>
      </c>
      <c r="B1609" s="166"/>
      <c r="C1609" s="168"/>
      <c r="D1609" s="167"/>
      <c r="E1609" s="166"/>
      <c r="F1609" s="165"/>
      <c r="G1609" s="164"/>
    </row>
    <row r="1610" spans="1:7" x14ac:dyDescent="0.25">
      <c r="A1610" s="169" t="str">
        <f>E1610&amp;COUNTIFS($E$2:E1610,E1610)</f>
        <v>0</v>
      </c>
      <c r="B1610" s="166"/>
      <c r="C1610" s="168"/>
      <c r="D1610" s="167"/>
      <c r="E1610" s="166"/>
      <c r="F1610" s="165"/>
      <c r="G1610" s="164"/>
    </row>
    <row r="1611" spans="1:7" x14ac:dyDescent="0.25">
      <c r="A1611" s="169" t="str">
        <f>E1611&amp;COUNTIFS($E$2:E1611,E1611)</f>
        <v>0</v>
      </c>
      <c r="B1611" s="166"/>
      <c r="C1611" s="168"/>
      <c r="D1611" s="167"/>
      <c r="E1611" s="166"/>
      <c r="F1611" s="165"/>
      <c r="G1611" s="164"/>
    </row>
    <row r="1612" spans="1:7" x14ac:dyDescent="0.25">
      <c r="A1612" s="169" t="str">
        <f>E1612&amp;COUNTIFS($E$2:E1612,E1612)</f>
        <v>0</v>
      </c>
      <c r="B1612" s="166"/>
      <c r="C1612" s="168"/>
      <c r="D1612" s="167"/>
      <c r="E1612" s="166"/>
      <c r="F1612" s="165"/>
      <c r="G1612" s="164"/>
    </row>
    <row r="1613" spans="1:7" x14ac:dyDescent="0.25">
      <c r="A1613" s="169" t="str">
        <f>E1613&amp;COUNTIFS($E$2:E1613,E1613)</f>
        <v>0</v>
      </c>
      <c r="B1613" s="166"/>
      <c r="C1613" s="168"/>
      <c r="D1613" s="167"/>
      <c r="E1613" s="166"/>
      <c r="F1613" s="165"/>
      <c r="G1613" s="164"/>
    </row>
    <row r="1614" spans="1:7" x14ac:dyDescent="0.25">
      <c r="A1614" s="169" t="str">
        <f>E1614&amp;COUNTIFS($E$2:E1614,E1614)</f>
        <v>0</v>
      </c>
      <c r="B1614" s="166"/>
      <c r="C1614" s="168"/>
      <c r="D1614" s="167"/>
      <c r="E1614" s="166"/>
      <c r="F1614" s="165"/>
      <c r="G1614" s="164"/>
    </row>
    <row r="1615" spans="1:7" x14ac:dyDescent="0.25">
      <c r="A1615" s="169" t="str">
        <f>E1615&amp;COUNTIFS($E$2:E1615,E1615)</f>
        <v>0</v>
      </c>
      <c r="B1615" s="166"/>
      <c r="C1615" s="168"/>
      <c r="D1615" s="167"/>
      <c r="E1615" s="166"/>
      <c r="F1615" s="165"/>
      <c r="G1615" s="164"/>
    </row>
    <row r="1616" spans="1:7" x14ac:dyDescent="0.25">
      <c r="A1616" s="169" t="str">
        <f>E1616&amp;COUNTIFS($E$2:E1616,E1616)</f>
        <v>0</v>
      </c>
      <c r="B1616" s="166"/>
      <c r="C1616" s="168"/>
      <c r="D1616" s="167"/>
      <c r="E1616" s="166"/>
      <c r="F1616" s="165"/>
      <c r="G1616" s="164"/>
    </row>
    <row r="1617" spans="1:7" x14ac:dyDescent="0.25">
      <c r="A1617" s="169" t="str">
        <f>E1617&amp;COUNTIFS($E$2:E1617,E1617)</f>
        <v>0</v>
      </c>
      <c r="B1617" s="166"/>
      <c r="C1617" s="168"/>
      <c r="D1617" s="167"/>
      <c r="E1617" s="166"/>
      <c r="F1617" s="165"/>
      <c r="G1617" s="164"/>
    </row>
    <row r="1618" spans="1:7" x14ac:dyDescent="0.25">
      <c r="A1618" s="169" t="str">
        <f>E1618&amp;COUNTIFS($E$2:E1618,E1618)</f>
        <v>0</v>
      </c>
      <c r="B1618" s="166"/>
      <c r="C1618" s="168"/>
      <c r="D1618" s="167"/>
      <c r="E1618" s="166"/>
      <c r="F1618" s="165"/>
      <c r="G1618" s="164"/>
    </row>
    <row r="1619" spans="1:7" x14ac:dyDescent="0.25">
      <c r="A1619" s="169" t="str">
        <f>E1619&amp;COUNTIFS($E$2:E1619,E1619)</f>
        <v>0</v>
      </c>
      <c r="B1619" s="166"/>
      <c r="C1619" s="168"/>
      <c r="D1619" s="167"/>
      <c r="E1619" s="166"/>
      <c r="F1619" s="165"/>
      <c r="G1619" s="164"/>
    </row>
    <row r="1620" spans="1:7" x14ac:dyDescent="0.25">
      <c r="A1620" s="169" t="str">
        <f>E1620&amp;COUNTIFS($E$2:E1620,E1620)</f>
        <v>0</v>
      </c>
      <c r="B1620" s="166"/>
      <c r="C1620" s="168"/>
      <c r="D1620" s="167"/>
      <c r="E1620" s="166"/>
      <c r="F1620" s="165"/>
      <c r="G1620" s="164"/>
    </row>
    <row r="1621" spans="1:7" x14ac:dyDescent="0.25">
      <c r="A1621" s="169" t="str">
        <f>E1621&amp;COUNTIFS($E$2:E1621,E1621)</f>
        <v>0</v>
      </c>
      <c r="B1621" s="166"/>
      <c r="C1621" s="168"/>
      <c r="D1621" s="167"/>
      <c r="E1621" s="166"/>
      <c r="F1621" s="165"/>
      <c r="G1621" s="164"/>
    </row>
    <row r="1622" spans="1:7" x14ac:dyDescent="0.25">
      <c r="A1622" s="169" t="str">
        <f>E1622&amp;COUNTIFS($E$2:E1622,E1622)</f>
        <v>0</v>
      </c>
      <c r="B1622" s="166"/>
      <c r="C1622" s="168"/>
      <c r="D1622" s="167"/>
      <c r="E1622" s="166"/>
      <c r="F1622" s="165"/>
      <c r="G1622" s="164"/>
    </row>
    <row r="1623" spans="1:7" x14ac:dyDescent="0.25">
      <c r="A1623" s="169" t="str">
        <f>E1623&amp;COUNTIFS($E$2:E1623,E1623)</f>
        <v>0</v>
      </c>
      <c r="B1623" s="166"/>
      <c r="C1623" s="168"/>
      <c r="D1623" s="167"/>
      <c r="E1623" s="166"/>
      <c r="F1623" s="165"/>
      <c r="G1623" s="164"/>
    </row>
    <row r="1624" spans="1:7" ht="15.75" thickBot="1" x14ac:dyDescent="0.3">
      <c r="A1624" s="163" t="str">
        <f>E1624&amp;COUNTIFS($E$2:E1624,E1624)</f>
        <v>0</v>
      </c>
      <c r="B1624" s="160"/>
      <c r="C1624" s="162"/>
      <c r="D1624" s="161"/>
      <c r="E1624" s="160"/>
      <c r="F1624" s="159"/>
      <c r="G1624" s="158"/>
    </row>
    <row r="1625" spans="1:7" x14ac:dyDescent="0.25">
      <c r="A1625" s="148"/>
      <c r="C1625" s="143"/>
      <c r="D1625" s="157"/>
      <c r="E1625" s="143"/>
      <c r="F1625" s="156"/>
      <c r="G1625" s="156"/>
    </row>
    <row r="1626" spans="1:7" x14ac:dyDescent="0.25">
      <c r="A1626" s="148"/>
      <c r="C1626" s="153" t="s">
        <v>623</v>
      </c>
      <c r="D1626" s="152"/>
      <c r="E1626" s="151"/>
      <c r="F1626" s="150">
        <f>SUM(F1600:F1624)</f>
        <v>0</v>
      </c>
      <c r="G1626" s="155">
        <f>SUM(G1600:G1624)</f>
        <v>0</v>
      </c>
    </row>
    <row r="1627" spans="1:7" x14ac:dyDescent="0.25">
      <c r="A1627" s="148"/>
      <c r="C1627" s="145" t="s">
        <v>622</v>
      </c>
      <c r="D1627" s="154"/>
      <c r="E1627" s="145"/>
      <c r="F1627" s="144"/>
      <c r="G1627" s="144"/>
    </row>
    <row r="1628" spans="1:7" x14ac:dyDescent="0.25">
      <c r="A1628" s="148"/>
      <c r="C1628" s="153" t="s">
        <v>621</v>
      </c>
      <c r="D1628" s="152"/>
      <c r="E1628" s="151"/>
      <c r="F1628" s="150">
        <f>F1595</f>
        <v>0</v>
      </c>
      <c r="G1628" s="150">
        <f>G1595</f>
        <v>0</v>
      </c>
    </row>
    <row r="1629" spans="1:7" x14ac:dyDescent="0.25">
      <c r="A1629" s="148"/>
      <c r="C1629" s="153" t="s">
        <v>582</v>
      </c>
      <c r="D1629" s="152"/>
      <c r="E1629" s="151"/>
      <c r="F1629" s="150">
        <f>F1628+F1626</f>
        <v>0</v>
      </c>
      <c r="G1629" s="150">
        <f>G1628+G1626</f>
        <v>0</v>
      </c>
    </row>
    <row r="1630" spans="1:7" ht="15.75" thickBot="1" x14ac:dyDescent="0.3">
      <c r="A1630" s="148"/>
      <c r="C1630" s="145"/>
      <c r="D1630" s="149"/>
      <c r="E1630" s="145"/>
      <c r="F1630" s="144"/>
      <c r="G1630" s="144"/>
    </row>
    <row r="1631" spans="1:7" ht="15.75" thickBot="1" x14ac:dyDescent="0.3">
      <c r="A1631" s="148"/>
      <c r="C1631" s="147" t="s">
        <v>620</v>
      </c>
      <c r="D1631" s="146">
        <f>F1629-G1629</f>
        <v>0</v>
      </c>
      <c r="E1631" s="145"/>
      <c r="F1631" s="144"/>
      <c r="G1631" s="144"/>
    </row>
    <row r="1632" spans="1:7" ht="15.75" thickBot="1" x14ac:dyDescent="0.3">
      <c r="A1632" s="148"/>
      <c r="C1632" s="145"/>
      <c r="D1632" s="144"/>
      <c r="E1632" s="145"/>
      <c r="F1632" s="144"/>
      <c r="G1632" s="144"/>
    </row>
    <row r="1633" spans="1:7" ht="30.75" thickBot="1" x14ac:dyDescent="0.3">
      <c r="A1633" s="265" t="s">
        <v>626</v>
      </c>
      <c r="B1633" s="264" t="s">
        <v>606</v>
      </c>
      <c r="C1633" s="263" t="s">
        <v>635</v>
      </c>
      <c r="D1633" s="262" t="s">
        <v>601</v>
      </c>
      <c r="E1633" s="261" t="s">
        <v>287</v>
      </c>
      <c r="F1633" s="260" t="s">
        <v>624</v>
      </c>
      <c r="G1633" s="260" t="s">
        <v>596</v>
      </c>
    </row>
    <row r="1634" spans="1:7" x14ac:dyDescent="0.25">
      <c r="A1634" s="169" t="str">
        <f>E1634&amp;COUNTIFS($E$2:E1634,E1634)</f>
        <v>0</v>
      </c>
      <c r="B1634" s="172"/>
      <c r="C1634" s="174"/>
      <c r="D1634" s="173"/>
      <c r="E1634" s="172"/>
      <c r="F1634" s="171"/>
      <c r="G1634" s="170"/>
    </row>
    <row r="1635" spans="1:7" x14ac:dyDescent="0.25">
      <c r="A1635" s="169" t="str">
        <f>E1635&amp;COUNTIFS($E$2:E1635,E1635)</f>
        <v>0</v>
      </c>
      <c r="B1635" s="166"/>
      <c r="C1635" s="168"/>
      <c r="D1635" s="167"/>
      <c r="E1635" s="166"/>
      <c r="F1635" s="165"/>
      <c r="G1635" s="164"/>
    </row>
    <row r="1636" spans="1:7" x14ac:dyDescent="0.25">
      <c r="A1636" s="169" t="str">
        <f>E1636&amp;COUNTIFS($E$2:E1636,E1636)</f>
        <v>0</v>
      </c>
      <c r="B1636" s="166"/>
      <c r="C1636" s="168"/>
      <c r="D1636" s="167"/>
      <c r="E1636" s="166"/>
      <c r="F1636" s="165"/>
      <c r="G1636" s="164"/>
    </row>
    <row r="1637" spans="1:7" x14ac:dyDescent="0.25">
      <c r="A1637" s="169" t="str">
        <f>E1637&amp;COUNTIFS($E$2:E1637,E1637)</f>
        <v>0</v>
      </c>
      <c r="B1637" s="166"/>
      <c r="C1637" s="168"/>
      <c r="D1637" s="167"/>
      <c r="E1637" s="166"/>
      <c r="F1637" s="165"/>
      <c r="G1637" s="164"/>
    </row>
    <row r="1638" spans="1:7" x14ac:dyDescent="0.25">
      <c r="A1638" s="169" t="str">
        <f>E1638&amp;COUNTIFS($E$2:E1638,E1638)</f>
        <v>0</v>
      </c>
      <c r="B1638" s="166"/>
      <c r="C1638" s="168"/>
      <c r="D1638" s="167"/>
      <c r="E1638" s="166"/>
      <c r="F1638" s="165"/>
      <c r="G1638" s="164"/>
    </row>
    <row r="1639" spans="1:7" x14ac:dyDescent="0.25">
      <c r="A1639" s="169" t="str">
        <f>E1639&amp;COUNTIFS($E$2:E1639,E1639)</f>
        <v>0</v>
      </c>
      <c r="B1639" s="166"/>
      <c r="C1639" s="168"/>
      <c r="D1639" s="167"/>
      <c r="E1639" s="166"/>
      <c r="F1639" s="165"/>
      <c r="G1639" s="164"/>
    </row>
    <row r="1640" spans="1:7" x14ac:dyDescent="0.25">
      <c r="A1640" s="169" t="str">
        <f>E1640&amp;COUNTIFS($E$2:E1640,E1640)</f>
        <v>0</v>
      </c>
      <c r="B1640" s="166"/>
      <c r="C1640" s="168"/>
      <c r="D1640" s="167"/>
      <c r="E1640" s="166"/>
      <c r="F1640" s="165"/>
      <c r="G1640" s="164"/>
    </row>
    <row r="1641" spans="1:7" x14ac:dyDescent="0.25">
      <c r="A1641" s="169" t="str">
        <f>E1641&amp;COUNTIFS($E$2:E1641,E1641)</f>
        <v>0</v>
      </c>
      <c r="B1641" s="166"/>
      <c r="C1641" s="168"/>
      <c r="D1641" s="167"/>
      <c r="E1641" s="166"/>
      <c r="F1641" s="165"/>
      <c r="G1641" s="164"/>
    </row>
    <row r="1642" spans="1:7" x14ac:dyDescent="0.25">
      <c r="A1642" s="169" t="str">
        <f>E1642&amp;COUNTIFS($E$2:E1642,E1642)</f>
        <v>0</v>
      </c>
      <c r="B1642" s="166"/>
      <c r="C1642" s="168"/>
      <c r="D1642" s="167"/>
      <c r="E1642" s="166"/>
      <c r="F1642" s="165"/>
      <c r="G1642" s="164"/>
    </row>
    <row r="1643" spans="1:7" x14ac:dyDescent="0.25">
      <c r="A1643" s="169" t="str">
        <f>E1643&amp;COUNTIFS($E$2:E1643,E1643)</f>
        <v>0</v>
      </c>
      <c r="B1643" s="166"/>
      <c r="C1643" s="168"/>
      <c r="D1643" s="167"/>
      <c r="E1643" s="166"/>
      <c r="F1643" s="165"/>
      <c r="G1643" s="164"/>
    </row>
    <row r="1644" spans="1:7" x14ac:dyDescent="0.25">
      <c r="A1644" s="169" t="str">
        <f>E1644&amp;COUNTIFS($E$2:E1644,E1644)</f>
        <v>0</v>
      </c>
      <c r="B1644" s="166"/>
      <c r="C1644" s="168"/>
      <c r="D1644" s="167"/>
      <c r="E1644" s="166"/>
      <c r="F1644" s="165"/>
      <c r="G1644" s="164"/>
    </row>
    <row r="1645" spans="1:7" x14ac:dyDescent="0.25">
      <c r="A1645" s="169" t="str">
        <f>E1645&amp;COUNTIFS($E$2:E1645,E1645)</f>
        <v>0</v>
      </c>
      <c r="B1645" s="166"/>
      <c r="C1645" s="168"/>
      <c r="D1645" s="167"/>
      <c r="E1645" s="166"/>
      <c r="F1645" s="165"/>
      <c r="G1645" s="164"/>
    </row>
    <row r="1646" spans="1:7" x14ac:dyDescent="0.25">
      <c r="A1646" s="169" t="str">
        <f>E1646&amp;COUNTIFS($E$2:E1646,E1646)</f>
        <v>0</v>
      </c>
      <c r="B1646" s="166"/>
      <c r="C1646" s="168"/>
      <c r="D1646" s="167"/>
      <c r="E1646" s="166"/>
      <c r="F1646" s="165"/>
      <c r="G1646" s="164"/>
    </row>
    <row r="1647" spans="1:7" x14ac:dyDescent="0.25">
      <c r="A1647" s="169" t="str">
        <f>E1647&amp;COUNTIFS($E$2:E1647,E1647)</f>
        <v>0</v>
      </c>
      <c r="B1647" s="166"/>
      <c r="C1647" s="168"/>
      <c r="D1647" s="167"/>
      <c r="E1647" s="166"/>
      <c r="F1647" s="165"/>
      <c r="G1647" s="164"/>
    </row>
    <row r="1648" spans="1:7" x14ac:dyDescent="0.25">
      <c r="A1648" s="169" t="str">
        <f>E1648&amp;COUNTIFS($E$2:E1648,E1648)</f>
        <v>0</v>
      </c>
      <c r="B1648" s="166"/>
      <c r="C1648" s="168"/>
      <c r="D1648" s="167"/>
      <c r="E1648" s="166"/>
      <c r="F1648" s="165"/>
      <c r="G1648" s="164"/>
    </row>
    <row r="1649" spans="1:7" x14ac:dyDescent="0.25">
      <c r="A1649" s="169" t="str">
        <f>E1649&amp;COUNTIFS($E$2:E1649,E1649)</f>
        <v>0</v>
      </c>
      <c r="B1649" s="166"/>
      <c r="C1649" s="168"/>
      <c r="D1649" s="167"/>
      <c r="E1649" s="166"/>
      <c r="F1649" s="165"/>
      <c r="G1649" s="164"/>
    </row>
    <row r="1650" spans="1:7" x14ac:dyDescent="0.25">
      <c r="A1650" s="169" t="str">
        <f>E1650&amp;COUNTIFS($E$2:E1650,E1650)</f>
        <v>0</v>
      </c>
      <c r="B1650" s="166"/>
      <c r="C1650" s="168"/>
      <c r="D1650" s="167"/>
      <c r="E1650" s="166"/>
      <c r="F1650" s="165"/>
      <c r="G1650" s="164"/>
    </row>
    <row r="1651" spans="1:7" x14ac:dyDescent="0.25">
      <c r="A1651" s="169" t="str">
        <f>E1651&amp;COUNTIFS($E$2:E1651,E1651)</f>
        <v>0</v>
      </c>
      <c r="B1651" s="166"/>
      <c r="C1651" s="168"/>
      <c r="D1651" s="167"/>
      <c r="E1651" s="166"/>
      <c r="F1651" s="165"/>
      <c r="G1651" s="164"/>
    </row>
    <row r="1652" spans="1:7" x14ac:dyDescent="0.25">
      <c r="A1652" s="169" t="str">
        <f>E1652&amp;COUNTIFS($E$2:E1652,E1652)</f>
        <v>0</v>
      </c>
      <c r="B1652" s="166"/>
      <c r="C1652" s="168"/>
      <c r="D1652" s="167"/>
      <c r="E1652" s="166"/>
      <c r="F1652" s="165"/>
      <c r="G1652" s="164"/>
    </row>
    <row r="1653" spans="1:7" x14ac:dyDescent="0.25">
      <c r="A1653" s="169" t="str">
        <f>E1653&amp;COUNTIFS($E$2:E1653,E1653)</f>
        <v>0</v>
      </c>
      <c r="B1653" s="166"/>
      <c r="C1653" s="168"/>
      <c r="D1653" s="167"/>
      <c r="E1653" s="166"/>
      <c r="F1653" s="165"/>
      <c r="G1653" s="164"/>
    </row>
    <row r="1654" spans="1:7" x14ac:dyDescent="0.25">
      <c r="A1654" s="169" t="str">
        <f>E1654&amp;COUNTIFS($E$2:E1654,E1654)</f>
        <v>0</v>
      </c>
      <c r="B1654" s="166"/>
      <c r="C1654" s="168"/>
      <c r="D1654" s="167"/>
      <c r="E1654" s="166"/>
      <c r="F1654" s="165"/>
      <c r="G1654" s="164"/>
    </row>
    <row r="1655" spans="1:7" x14ac:dyDescent="0.25">
      <c r="A1655" s="169" t="str">
        <f>E1655&amp;COUNTIFS($E$2:E1655,E1655)</f>
        <v>0</v>
      </c>
      <c r="B1655" s="166"/>
      <c r="C1655" s="168"/>
      <c r="D1655" s="167"/>
      <c r="E1655" s="166"/>
      <c r="F1655" s="165"/>
      <c r="G1655" s="164"/>
    </row>
    <row r="1656" spans="1:7" x14ac:dyDescent="0.25">
      <c r="A1656" s="169" t="str">
        <f>E1656&amp;COUNTIFS($E$2:E1656,E1656)</f>
        <v>0</v>
      </c>
      <c r="B1656" s="166"/>
      <c r="C1656" s="168"/>
      <c r="D1656" s="167"/>
      <c r="E1656" s="166"/>
      <c r="F1656" s="165"/>
      <c r="G1656" s="164"/>
    </row>
    <row r="1657" spans="1:7" x14ac:dyDescent="0.25">
      <c r="A1657" s="169" t="str">
        <f>E1657&amp;COUNTIFS($E$2:E1657,E1657)</f>
        <v>0</v>
      </c>
      <c r="B1657" s="166"/>
      <c r="C1657" s="168"/>
      <c r="D1657" s="167"/>
      <c r="E1657" s="166"/>
      <c r="F1657" s="165"/>
      <c r="G1657" s="164"/>
    </row>
    <row r="1658" spans="1:7" ht="15.75" thickBot="1" x14ac:dyDescent="0.3">
      <c r="A1658" s="163" t="str">
        <f>E1658&amp;COUNTIFS($E$2:E1658,E1658)</f>
        <v>0</v>
      </c>
      <c r="B1658" s="160"/>
      <c r="C1658" s="162"/>
      <c r="D1658" s="161"/>
      <c r="E1658" s="160"/>
      <c r="F1658" s="159"/>
      <c r="G1658" s="158"/>
    </row>
    <row r="1659" spans="1:7" x14ac:dyDescent="0.25">
      <c r="A1659" s="148"/>
      <c r="C1659" s="143"/>
      <c r="D1659" s="157"/>
      <c r="E1659" s="143"/>
      <c r="F1659" s="156"/>
      <c r="G1659" s="156"/>
    </row>
    <row r="1660" spans="1:7" x14ac:dyDescent="0.25">
      <c r="A1660" s="148"/>
      <c r="C1660" s="153" t="s">
        <v>623</v>
      </c>
      <c r="D1660" s="152"/>
      <c r="E1660" s="151"/>
      <c r="F1660" s="150">
        <f>SUM(F1634:F1658)</f>
        <v>0</v>
      </c>
      <c r="G1660" s="155">
        <f>SUM(G1634:G1658)</f>
        <v>0</v>
      </c>
    </row>
    <row r="1661" spans="1:7" x14ac:dyDescent="0.25">
      <c r="A1661" s="148"/>
      <c r="C1661" s="145" t="s">
        <v>622</v>
      </c>
      <c r="D1661" s="154"/>
      <c r="E1661" s="145"/>
      <c r="F1661" s="144"/>
      <c r="G1661" s="144"/>
    </row>
    <row r="1662" spans="1:7" x14ac:dyDescent="0.25">
      <c r="A1662" s="148"/>
      <c r="C1662" s="153" t="s">
        <v>621</v>
      </c>
      <c r="D1662" s="152"/>
      <c r="E1662" s="151"/>
      <c r="F1662" s="150">
        <f>F1629</f>
        <v>0</v>
      </c>
      <c r="G1662" s="150">
        <f>G1629</f>
        <v>0</v>
      </c>
    </row>
    <row r="1663" spans="1:7" x14ac:dyDescent="0.25">
      <c r="A1663" s="148"/>
      <c r="C1663" s="153" t="s">
        <v>582</v>
      </c>
      <c r="D1663" s="152"/>
      <c r="E1663" s="151"/>
      <c r="F1663" s="150">
        <f>F1662+F1660</f>
        <v>0</v>
      </c>
      <c r="G1663" s="150">
        <f>G1662+G1660</f>
        <v>0</v>
      </c>
    </row>
    <row r="1664" spans="1:7" ht="15.75" thickBot="1" x14ac:dyDescent="0.3">
      <c r="A1664" s="148"/>
      <c r="C1664" s="145"/>
      <c r="D1664" s="149"/>
      <c r="E1664" s="145"/>
      <c r="F1664" s="144"/>
      <c r="G1664" s="144"/>
    </row>
    <row r="1665" spans="1:7" ht="15.75" thickBot="1" x14ac:dyDescent="0.3">
      <c r="A1665" s="148"/>
      <c r="C1665" s="147" t="s">
        <v>620</v>
      </c>
      <c r="D1665" s="146">
        <f>F1663-G1663</f>
        <v>0</v>
      </c>
      <c r="E1665" s="145"/>
      <c r="F1665" s="144"/>
      <c r="G1665" s="144"/>
    </row>
    <row r="1666" spans="1:7" ht="15.75" thickBot="1" x14ac:dyDescent="0.3">
      <c r="A1666" s="148"/>
      <c r="C1666" s="145"/>
      <c r="D1666" s="144"/>
      <c r="E1666" s="145"/>
      <c r="F1666" s="144"/>
      <c r="G1666" s="144"/>
    </row>
    <row r="1667" spans="1:7" ht="30.75" thickBot="1" x14ac:dyDescent="0.3">
      <c r="A1667" s="265" t="s">
        <v>626</v>
      </c>
      <c r="B1667" s="264" t="s">
        <v>606</v>
      </c>
      <c r="C1667" s="263" t="s">
        <v>635</v>
      </c>
      <c r="D1667" s="262" t="s">
        <v>601</v>
      </c>
      <c r="E1667" s="261" t="s">
        <v>287</v>
      </c>
      <c r="F1667" s="260" t="s">
        <v>624</v>
      </c>
      <c r="G1667" s="260" t="s">
        <v>596</v>
      </c>
    </row>
    <row r="1668" spans="1:7" x14ac:dyDescent="0.25">
      <c r="A1668" s="169" t="str">
        <f>E1668&amp;COUNTIFS($E$2:E1668,E1668)</f>
        <v>0</v>
      </c>
      <c r="B1668" s="172"/>
      <c r="C1668" s="174"/>
      <c r="D1668" s="173"/>
      <c r="E1668" s="172"/>
      <c r="F1668" s="171"/>
      <c r="G1668" s="170"/>
    </row>
    <row r="1669" spans="1:7" x14ac:dyDescent="0.25">
      <c r="A1669" s="169" t="str">
        <f>E1669&amp;COUNTIFS($E$2:E1669,E1669)</f>
        <v>0</v>
      </c>
      <c r="B1669" s="166"/>
      <c r="C1669" s="168"/>
      <c r="D1669" s="167"/>
      <c r="E1669" s="166"/>
      <c r="F1669" s="165"/>
      <c r="G1669" s="164"/>
    </row>
    <row r="1670" spans="1:7" x14ac:dyDescent="0.25">
      <c r="A1670" s="169" t="str">
        <f>E1670&amp;COUNTIFS($E$2:E1670,E1670)</f>
        <v>0</v>
      </c>
      <c r="B1670" s="166"/>
      <c r="C1670" s="168"/>
      <c r="D1670" s="167"/>
      <c r="E1670" s="166"/>
      <c r="F1670" s="165"/>
      <c r="G1670" s="164"/>
    </row>
    <row r="1671" spans="1:7" x14ac:dyDescent="0.25">
      <c r="A1671" s="169" t="str">
        <f>E1671&amp;COUNTIFS($E$2:E1671,E1671)</f>
        <v>0</v>
      </c>
      <c r="B1671" s="166"/>
      <c r="C1671" s="168"/>
      <c r="D1671" s="167"/>
      <c r="E1671" s="166"/>
      <c r="F1671" s="165"/>
      <c r="G1671" s="164"/>
    </row>
    <row r="1672" spans="1:7" x14ac:dyDescent="0.25">
      <c r="A1672" s="169" t="str">
        <f>E1672&amp;COUNTIFS($E$2:E1672,E1672)</f>
        <v>0</v>
      </c>
      <c r="B1672" s="166"/>
      <c r="C1672" s="168"/>
      <c r="D1672" s="167"/>
      <c r="E1672" s="166"/>
      <c r="F1672" s="165"/>
      <c r="G1672" s="164"/>
    </row>
    <row r="1673" spans="1:7" x14ac:dyDescent="0.25">
      <c r="A1673" s="169" t="str">
        <f>E1673&amp;COUNTIFS($E$2:E1673,E1673)</f>
        <v>0</v>
      </c>
      <c r="B1673" s="166"/>
      <c r="C1673" s="168"/>
      <c r="D1673" s="167"/>
      <c r="E1673" s="166"/>
      <c r="F1673" s="165"/>
      <c r="G1673" s="164"/>
    </row>
    <row r="1674" spans="1:7" x14ac:dyDescent="0.25">
      <c r="A1674" s="169" t="str">
        <f>E1674&amp;COUNTIFS($E$2:E1674,E1674)</f>
        <v>0</v>
      </c>
      <c r="B1674" s="166"/>
      <c r="C1674" s="168"/>
      <c r="D1674" s="167"/>
      <c r="E1674" s="166"/>
      <c r="F1674" s="165"/>
      <c r="G1674" s="164"/>
    </row>
    <row r="1675" spans="1:7" x14ac:dyDescent="0.25">
      <c r="A1675" s="169" t="str">
        <f>E1675&amp;COUNTIFS($E$2:E1675,E1675)</f>
        <v>0</v>
      </c>
      <c r="B1675" s="166"/>
      <c r="C1675" s="168"/>
      <c r="D1675" s="167"/>
      <c r="E1675" s="166"/>
      <c r="F1675" s="165"/>
      <c r="G1675" s="164"/>
    </row>
    <row r="1676" spans="1:7" x14ac:dyDescent="0.25">
      <c r="A1676" s="169" t="str">
        <f>E1676&amp;COUNTIFS($E$2:E1676,E1676)</f>
        <v>0</v>
      </c>
      <c r="B1676" s="166"/>
      <c r="C1676" s="168"/>
      <c r="D1676" s="167"/>
      <c r="E1676" s="166"/>
      <c r="F1676" s="165"/>
      <c r="G1676" s="164"/>
    </row>
    <row r="1677" spans="1:7" x14ac:dyDescent="0.25">
      <c r="A1677" s="169" t="str">
        <f>E1677&amp;COUNTIFS($E$2:E1677,E1677)</f>
        <v>0</v>
      </c>
      <c r="B1677" s="166"/>
      <c r="C1677" s="168"/>
      <c r="D1677" s="167"/>
      <c r="E1677" s="166"/>
      <c r="F1677" s="165"/>
      <c r="G1677" s="164"/>
    </row>
    <row r="1678" spans="1:7" x14ac:dyDescent="0.25">
      <c r="A1678" s="169" t="str">
        <f>E1678&amp;COUNTIFS($E$2:E1678,E1678)</f>
        <v>0</v>
      </c>
      <c r="B1678" s="166"/>
      <c r="C1678" s="168"/>
      <c r="D1678" s="167"/>
      <c r="E1678" s="166"/>
      <c r="F1678" s="165"/>
      <c r="G1678" s="164"/>
    </row>
    <row r="1679" spans="1:7" x14ac:dyDescent="0.25">
      <c r="A1679" s="169" t="str">
        <f>E1679&amp;COUNTIFS($E$2:E1679,E1679)</f>
        <v>0</v>
      </c>
      <c r="B1679" s="166"/>
      <c r="C1679" s="168"/>
      <c r="D1679" s="167"/>
      <c r="E1679" s="166"/>
      <c r="F1679" s="165"/>
      <c r="G1679" s="164"/>
    </row>
    <row r="1680" spans="1:7" x14ac:dyDescent="0.25">
      <c r="A1680" s="169" t="str">
        <f>E1680&amp;COUNTIFS($E$2:E1680,E1680)</f>
        <v>0</v>
      </c>
      <c r="B1680" s="166"/>
      <c r="C1680" s="168"/>
      <c r="D1680" s="167"/>
      <c r="E1680" s="166"/>
      <c r="F1680" s="165"/>
      <c r="G1680" s="164"/>
    </row>
    <row r="1681" spans="1:7" x14ac:dyDescent="0.25">
      <c r="A1681" s="169" t="str">
        <f>E1681&amp;COUNTIFS($E$2:E1681,E1681)</f>
        <v>0</v>
      </c>
      <c r="B1681" s="166"/>
      <c r="C1681" s="168"/>
      <c r="D1681" s="167"/>
      <c r="E1681" s="166"/>
      <c r="F1681" s="165"/>
      <c r="G1681" s="164"/>
    </row>
    <row r="1682" spans="1:7" x14ac:dyDescent="0.25">
      <c r="A1682" s="169" t="str">
        <f>E1682&amp;COUNTIFS($E$2:E1682,E1682)</f>
        <v>0</v>
      </c>
      <c r="B1682" s="166"/>
      <c r="C1682" s="168"/>
      <c r="D1682" s="167"/>
      <c r="E1682" s="166"/>
      <c r="F1682" s="165"/>
      <c r="G1682" s="164"/>
    </row>
    <row r="1683" spans="1:7" x14ac:dyDescent="0.25">
      <c r="A1683" s="169" t="str">
        <f>E1683&amp;COUNTIFS($E$2:E1683,E1683)</f>
        <v>0</v>
      </c>
      <c r="B1683" s="166"/>
      <c r="C1683" s="168"/>
      <c r="D1683" s="167"/>
      <c r="E1683" s="166"/>
      <c r="F1683" s="165"/>
      <c r="G1683" s="164"/>
    </row>
    <row r="1684" spans="1:7" x14ac:dyDescent="0.25">
      <c r="A1684" s="169" t="str">
        <f>E1684&amp;COUNTIFS($E$2:E1684,E1684)</f>
        <v>0</v>
      </c>
      <c r="B1684" s="166"/>
      <c r="C1684" s="168"/>
      <c r="D1684" s="167"/>
      <c r="E1684" s="166"/>
      <c r="F1684" s="165"/>
      <c r="G1684" s="164"/>
    </row>
    <row r="1685" spans="1:7" x14ac:dyDescent="0.25">
      <c r="A1685" s="169" t="str">
        <f>E1685&amp;COUNTIFS($E$2:E1685,E1685)</f>
        <v>0</v>
      </c>
      <c r="B1685" s="166"/>
      <c r="C1685" s="168"/>
      <c r="D1685" s="167"/>
      <c r="E1685" s="166"/>
      <c r="F1685" s="165"/>
      <c r="G1685" s="164"/>
    </row>
    <row r="1686" spans="1:7" x14ac:dyDescent="0.25">
      <c r="A1686" s="169" t="str">
        <f>E1686&amp;COUNTIFS($E$2:E1686,E1686)</f>
        <v>0</v>
      </c>
      <c r="B1686" s="166"/>
      <c r="C1686" s="168"/>
      <c r="D1686" s="167"/>
      <c r="E1686" s="166"/>
      <c r="F1686" s="165"/>
      <c r="G1686" s="164"/>
    </row>
    <row r="1687" spans="1:7" x14ac:dyDescent="0.25">
      <c r="A1687" s="169" t="str">
        <f>E1687&amp;COUNTIFS($E$2:E1687,E1687)</f>
        <v>0</v>
      </c>
      <c r="B1687" s="166"/>
      <c r="C1687" s="168"/>
      <c r="D1687" s="167"/>
      <c r="E1687" s="166"/>
      <c r="F1687" s="165"/>
      <c r="G1687" s="164"/>
    </row>
    <row r="1688" spans="1:7" x14ac:dyDescent="0.25">
      <c r="A1688" s="169" t="str">
        <f>E1688&amp;COUNTIFS($E$2:E1688,E1688)</f>
        <v>0</v>
      </c>
      <c r="B1688" s="166"/>
      <c r="C1688" s="168"/>
      <c r="D1688" s="167"/>
      <c r="E1688" s="166"/>
      <c r="F1688" s="165"/>
      <c r="G1688" s="164"/>
    </row>
    <row r="1689" spans="1:7" x14ac:dyDescent="0.25">
      <c r="A1689" s="169" t="str">
        <f>E1689&amp;COUNTIFS($E$2:E1689,E1689)</f>
        <v>0</v>
      </c>
      <c r="B1689" s="166"/>
      <c r="C1689" s="168"/>
      <c r="D1689" s="167"/>
      <c r="E1689" s="166"/>
      <c r="F1689" s="165"/>
      <c r="G1689" s="164"/>
    </row>
    <row r="1690" spans="1:7" x14ac:dyDescent="0.25">
      <c r="A1690" s="169" t="str">
        <f>E1690&amp;COUNTIFS($E$2:E1690,E1690)</f>
        <v>0</v>
      </c>
      <c r="B1690" s="166"/>
      <c r="C1690" s="168"/>
      <c r="D1690" s="167"/>
      <c r="E1690" s="166"/>
      <c r="F1690" s="165"/>
      <c r="G1690" s="164"/>
    </row>
    <row r="1691" spans="1:7" x14ac:dyDescent="0.25">
      <c r="A1691" s="169" t="str">
        <f>E1691&amp;COUNTIFS($E$2:E1691,E1691)</f>
        <v>0</v>
      </c>
      <c r="B1691" s="166"/>
      <c r="C1691" s="168"/>
      <c r="D1691" s="167"/>
      <c r="E1691" s="166"/>
      <c r="F1691" s="165"/>
      <c r="G1691" s="164"/>
    </row>
    <row r="1692" spans="1:7" ht="15.75" thickBot="1" x14ac:dyDescent="0.3">
      <c r="A1692" s="163" t="str">
        <f>E1692&amp;COUNTIFS($E$2:E1692,E1692)</f>
        <v>0</v>
      </c>
      <c r="B1692" s="160"/>
      <c r="C1692" s="162"/>
      <c r="D1692" s="161"/>
      <c r="E1692" s="160"/>
      <c r="F1692" s="159"/>
      <c r="G1692" s="158"/>
    </row>
    <row r="1693" spans="1:7" x14ac:dyDescent="0.25">
      <c r="A1693" s="148"/>
      <c r="C1693" s="143"/>
      <c r="D1693" s="157"/>
      <c r="E1693" s="143"/>
      <c r="F1693" s="156"/>
      <c r="G1693" s="156"/>
    </row>
    <row r="1694" spans="1:7" x14ac:dyDescent="0.25">
      <c r="A1694" s="148"/>
      <c r="C1694" s="153" t="s">
        <v>623</v>
      </c>
      <c r="D1694" s="152"/>
      <c r="E1694" s="151"/>
      <c r="F1694" s="150">
        <f>SUM(F1668:F1692)</f>
        <v>0</v>
      </c>
      <c r="G1694" s="155">
        <f>SUM(G1668:G1692)</f>
        <v>0</v>
      </c>
    </row>
    <row r="1695" spans="1:7" x14ac:dyDescent="0.25">
      <c r="A1695" s="148"/>
      <c r="C1695" s="145" t="s">
        <v>622</v>
      </c>
      <c r="D1695" s="154"/>
      <c r="E1695" s="145"/>
      <c r="F1695" s="144"/>
      <c r="G1695" s="144"/>
    </row>
    <row r="1696" spans="1:7" x14ac:dyDescent="0.25">
      <c r="A1696" s="148"/>
      <c r="C1696" s="153" t="s">
        <v>621</v>
      </c>
      <c r="D1696" s="152"/>
      <c r="E1696" s="151"/>
      <c r="F1696" s="150">
        <f>F1663</f>
        <v>0</v>
      </c>
      <c r="G1696" s="150">
        <f>G1663</f>
        <v>0</v>
      </c>
    </row>
    <row r="1697" spans="1:7" x14ac:dyDescent="0.25">
      <c r="A1697" s="148"/>
      <c r="C1697" s="153" t="s">
        <v>582</v>
      </c>
      <c r="D1697" s="152"/>
      <c r="E1697" s="151"/>
      <c r="F1697" s="150">
        <f>F1696+F1694</f>
        <v>0</v>
      </c>
      <c r="G1697" s="150">
        <f>G1696+G1694</f>
        <v>0</v>
      </c>
    </row>
    <row r="1698" spans="1:7" ht="15.75" thickBot="1" x14ac:dyDescent="0.3">
      <c r="A1698" s="148"/>
      <c r="C1698" s="145"/>
      <c r="D1698" s="149"/>
      <c r="E1698" s="145"/>
      <c r="F1698" s="144"/>
      <c r="G1698" s="144"/>
    </row>
    <row r="1699" spans="1:7" ht="15.75" thickBot="1" x14ac:dyDescent="0.3">
      <c r="A1699" s="148"/>
      <c r="C1699" s="147" t="s">
        <v>620</v>
      </c>
      <c r="D1699" s="146">
        <f>F1697-G1697</f>
        <v>0</v>
      </c>
      <c r="E1699" s="145"/>
      <c r="F1699" s="144"/>
      <c r="G1699" s="144"/>
    </row>
    <row r="1700" spans="1:7" ht="15.75" thickBot="1" x14ac:dyDescent="0.3">
      <c r="A1700" s="148"/>
      <c r="C1700" s="145"/>
      <c r="D1700" s="144"/>
      <c r="E1700" s="145"/>
      <c r="F1700" s="144"/>
      <c r="G1700" s="144"/>
    </row>
    <row r="1701" spans="1:7" ht="30.75" thickBot="1" x14ac:dyDescent="0.3">
      <c r="A1701" s="232" t="s">
        <v>626</v>
      </c>
      <c r="B1701" s="231" t="s">
        <v>606</v>
      </c>
      <c r="C1701" s="230" t="s">
        <v>634</v>
      </c>
      <c r="D1701" s="229" t="s">
        <v>601</v>
      </c>
      <c r="E1701" s="228" t="s">
        <v>287</v>
      </c>
      <c r="F1701" s="227" t="s">
        <v>624</v>
      </c>
      <c r="G1701" s="227" t="s">
        <v>596</v>
      </c>
    </row>
    <row r="1702" spans="1:7" x14ac:dyDescent="0.25">
      <c r="A1702" s="169" t="str">
        <f>E1702&amp;COUNTIFS($E$2:E1702,E1702)</f>
        <v>0</v>
      </c>
      <c r="B1702" s="172"/>
      <c r="C1702" s="174"/>
      <c r="D1702" s="173"/>
      <c r="E1702" s="172"/>
      <c r="F1702" s="171"/>
      <c r="G1702" s="170"/>
    </row>
    <row r="1703" spans="1:7" x14ac:dyDescent="0.25">
      <c r="A1703" s="169" t="str">
        <f>E1703&amp;COUNTIFS($E$2:E1703,E1703)</f>
        <v>0</v>
      </c>
      <c r="B1703" s="166"/>
      <c r="C1703" s="168"/>
      <c r="D1703" s="167"/>
      <c r="E1703" s="166"/>
      <c r="F1703" s="165"/>
      <c r="G1703" s="164"/>
    </row>
    <row r="1704" spans="1:7" x14ac:dyDescent="0.25">
      <c r="A1704" s="169" t="str">
        <f>E1704&amp;COUNTIFS($E$2:E1704,E1704)</f>
        <v>0</v>
      </c>
      <c r="B1704" s="166"/>
      <c r="C1704" s="168"/>
      <c r="D1704" s="167"/>
      <c r="E1704" s="166"/>
      <c r="F1704" s="165"/>
      <c r="G1704" s="164"/>
    </row>
    <row r="1705" spans="1:7" x14ac:dyDescent="0.25">
      <c r="A1705" s="169" t="str">
        <f>E1705&amp;COUNTIFS($E$2:E1705,E1705)</f>
        <v>0</v>
      </c>
      <c r="B1705" s="166"/>
      <c r="C1705" s="168"/>
      <c r="D1705" s="167"/>
      <c r="E1705" s="166"/>
      <c r="F1705" s="165"/>
      <c r="G1705" s="164"/>
    </row>
    <row r="1706" spans="1:7" x14ac:dyDescent="0.25">
      <c r="A1706" s="169" t="str">
        <f>E1706&amp;COUNTIFS($E$2:E1706,E1706)</f>
        <v>0</v>
      </c>
      <c r="B1706" s="166"/>
      <c r="C1706" s="168"/>
      <c r="D1706" s="167"/>
      <c r="E1706" s="166"/>
      <c r="F1706" s="165"/>
      <c r="G1706" s="164"/>
    </row>
    <row r="1707" spans="1:7" x14ac:dyDescent="0.25">
      <c r="A1707" s="169" t="str">
        <f>E1707&amp;COUNTIFS($E$2:E1707,E1707)</f>
        <v>0</v>
      </c>
      <c r="B1707" s="166"/>
      <c r="C1707" s="168"/>
      <c r="D1707" s="167"/>
      <c r="E1707" s="166"/>
      <c r="F1707" s="165"/>
      <c r="G1707" s="164"/>
    </row>
    <row r="1708" spans="1:7" x14ac:dyDescent="0.25">
      <c r="A1708" s="169" t="str">
        <f>E1708&amp;COUNTIFS($E$2:E1708,E1708)</f>
        <v>0</v>
      </c>
      <c r="B1708" s="166"/>
      <c r="C1708" s="168"/>
      <c r="D1708" s="167"/>
      <c r="E1708" s="166"/>
      <c r="F1708" s="165"/>
      <c r="G1708" s="164"/>
    </row>
    <row r="1709" spans="1:7" x14ac:dyDescent="0.25">
      <c r="A1709" s="169" t="str">
        <f>E1709&amp;COUNTIFS($E$2:E1709,E1709)</f>
        <v>0</v>
      </c>
      <c r="B1709" s="166"/>
      <c r="C1709" s="168"/>
      <c r="D1709" s="167"/>
      <c r="E1709" s="166"/>
      <c r="F1709" s="165"/>
      <c r="G1709" s="164"/>
    </row>
    <row r="1710" spans="1:7" x14ac:dyDescent="0.25">
      <c r="A1710" s="169" t="str">
        <f>E1710&amp;COUNTIFS($E$2:E1710,E1710)</f>
        <v>0</v>
      </c>
      <c r="B1710" s="166"/>
      <c r="C1710" s="168"/>
      <c r="D1710" s="167"/>
      <c r="E1710" s="166"/>
      <c r="F1710" s="165"/>
      <c r="G1710" s="164"/>
    </row>
    <row r="1711" spans="1:7" x14ac:dyDescent="0.25">
      <c r="A1711" s="169" t="str">
        <f>E1711&amp;COUNTIFS($E$2:E1711,E1711)</f>
        <v>0</v>
      </c>
      <c r="B1711" s="166"/>
      <c r="C1711" s="168"/>
      <c r="D1711" s="167"/>
      <c r="E1711" s="166"/>
      <c r="F1711" s="165"/>
      <c r="G1711" s="164"/>
    </row>
    <row r="1712" spans="1:7" x14ac:dyDescent="0.25">
      <c r="A1712" s="169" t="str">
        <f>E1712&amp;COUNTIFS($E$2:E1712,E1712)</f>
        <v>0</v>
      </c>
      <c r="B1712" s="166"/>
      <c r="C1712" s="168"/>
      <c r="D1712" s="167"/>
      <c r="E1712" s="166"/>
      <c r="F1712" s="165"/>
      <c r="G1712" s="164"/>
    </row>
    <row r="1713" spans="1:9" x14ac:dyDescent="0.25">
      <c r="A1713" s="169" t="str">
        <f>E1713&amp;COUNTIFS($E$2:E1713,E1713)</f>
        <v>0</v>
      </c>
      <c r="B1713" s="166"/>
      <c r="C1713" s="168"/>
      <c r="D1713" s="167"/>
      <c r="E1713" s="166"/>
      <c r="F1713" s="165"/>
      <c r="G1713" s="164"/>
    </row>
    <row r="1714" spans="1:9" x14ac:dyDescent="0.25">
      <c r="A1714" s="169" t="str">
        <f>E1714&amp;COUNTIFS($E$2:E1714,E1714)</f>
        <v>0</v>
      </c>
      <c r="B1714" s="166"/>
      <c r="C1714" s="168"/>
      <c r="D1714" s="167"/>
      <c r="E1714" s="166"/>
      <c r="F1714" s="165"/>
      <c r="G1714" s="164"/>
    </row>
    <row r="1715" spans="1:9" x14ac:dyDescent="0.25">
      <c r="A1715" s="169" t="str">
        <f>E1715&amp;COUNTIFS($E$2:E1715,E1715)</f>
        <v>0</v>
      </c>
      <c r="B1715" s="166"/>
      <c r="C1715" s="168"/>
      <c r="D1715" s="167"/>
      <c r="E1715" s="166"/>
      <c r="F1715" s="165"/>
      <c r="G1715" s="164"/>
    </row>
    <row r="1716" spans="1:9" x14ac:dyDescent="0.25">
      <c r="A1716" s="169" t="str">
        <f>E1716&amp;COUNTIFS($E$2:E1716,E1716)</f>
        <v>0</v>
      </c>
      <c r="B1716" s="166"/>
      <c r="C1716" s="168"/>
      <c r="D1716" s="167"/>
      <c r="E1716" s="166"/>
      <c r="F1716" s="165"/>
      <c r="G1716" s="164"/>
    </row>
    <row r="1717" spans="1:9" x14ac:dyDescent="0.25">
      <c r="A1717" s="169" t="str">
        <f>E1717&amp;COUNTIFS($E$2:E1717,E1717)</f>
        <v>0</v>
      </c>
      <c r="B1717" s="166"/>
      <c r="C1717" s="168"/>
      <c r="D1717" s="167"/>
      <c r="E1717" s="166"/>
      <c r="F1717" s="165"/>
      <c r="G1717" s="164"/>
    </row>
    <row r="1718" spans="1:9" x14ac:dyDescent="0.25">
      <c r="A1718" s="169" t="str">
        <f>E1718&amp;COUNTIFS($E$2:E1718,E1718)</f>
        <v>0</v>
      </c>
      <c r="B1718" s="166"/>
      <c r="C1718" s="168"/>
      <c r="D1718" s="167"/>
      <c r="E1718" s="166"/>
      <c r="F1718" s="165"/>
      <c r="G1718" s="164"/>
    </row>
    <row r="1719" spans="1:9" x14ac:dyDescent="0.25">
      <c r="A1719" s="169" t="str">
        <f>E1719&amp;COUNTIFS($E$2:E1719,E1719)</f>
        <v>0</v>
      </c>
      <c r="B1719" s="166"/>
      <c r="C1719" s="168"/>
      <c r="D1719" s="167"/>
      <c r="E1719" s="166"/>
      <c r="F1719" s="165"/>
      <c r="G1719" s="164"/>
    </row>
    <row r="1720" spans="1:9" x14ac:dyDescent="0.25">
      <c r="A1720" s="169" t="str">
        <f>E1720&amp;COUNTIFS($E$2:E1720,E1720)</f>
        <v>0</v>
      </c>
      <c r="B1720" s="166"/>
      <c r="C1720" s="168"/>
      <c r="D1720" s="167"/>
      <c r="E1720" s="166"/>
      <c r="F1720" s="165"/>
      <c r="G1720" s="164"/>
    </row>
    <row r="1721" spans="1:9" x14ac:dyDescent="0.25">
      <c r="A1721" s="169" t="str">
        <f>E1721&amp;COUNTIFS($E$2:E1721,E1721)</f>
        <v>0</v>
      </c>
      <c r="B1721" s="166"/>
      <c r="C1721" s="168"/>
      <c r="D1721" s="167"/>
      <c r="E1721" s="166"/>
      <c r="F1721" s="165"/>
      <c r="G1721" s="164"/>
    </row>
    <row r="1722" spans="1:9" x14ac:dyDescent="0.25">
      <c r="A1722" s="169" t="str">
        <f>E1722&amp;COUNTIFS($E$2:E1722,E1722)</f>
        <v>0</v>
      </c>
      <c r="B1722" s="166"/>
      <c r="C1722" s="168"/>
      <c r="D1722" s="167"/>
      <c r="E1722" s="166"/>
      <c r="F1722" s="165"/>
      <c r="G1722" s="164"/>
    </row>
    <row r="1723" spans="1:9" x14ac:dyDescent="0.25">
      <c r="A1723" s="169" t="str">
        <f>E1723&amp;COUNTIFS($E$2:E1723,E1723)</f>
        <v>0</v>
      </c>
      <c r="B1723" s="166"/>
      <c r="C1723" s="168"/>
      <c r="D1723" s="167"/>
      <c r="E1723" s="166"/>
      <c r="F1723" s="165"/>
      <c r="G1723" s="164"/>
    </row>
    <row r="1724" spans="1:9" x14ac:dyDescent="0.25">
      <c r="A1724" s="169" t="str">
        <f>E1724&amp;COUNTIFS($E$2:E1724,E1724)</f>
        <v>0</v>
      </c>
      <c r="B1724" s="166"/>
      <c r="C1724" s="168"/>
      <c r="D1724" s="167"/>
      <c r="E1724" s="166"/>
      <c r="F1724" s="165"/>
      <c r="G1724" s="164"/>
    </row>
    <row r="1725" spans="1:9" x14ac:dyDescent="0.25">
      <c r="A1725" s="169" t="str">
        <f>E1725&amp;COUNTIFS($E$2:E1725,E1725)</f>
        <v>0</v>
      </c>
      <c r="B1725" s="166"/>
      <c r="C1725" s="168"/>
      <c r="D1725" s="167"/>
      <c r="E1725" s="166"/>
      <c r="F1725" s="165"/>
      <c r="G1725" s="164"/>
    </row>
    <row r="1726" spans="1:9" ht="15.75" thickBot="1" x14ac:dyDescent="0.3">
      <c r="A1726" s="163" t="str">
        <f>E1726&amp;COUNTIFS($E$2:E1726,E1726)</f>
        <v>0</v>
      </c>
      <c r="B1726" s="166"/>
      <c r="C1726" s="162"/>
      <c r="D1726" s="161"/>
      <c r="E1726" s="160"/>
      <c r="F1726" s="159"/>
      <c r="G1726" s="158"/>
    </row>
    <row r="1727" spans="1:9" x14ac:dyDescent="0.25">
      <c r="A1727" s="148"/>
      <c r="C1727" s="143"/>
      <c r="D1727" s="157"/>
      <c r="E1727" s="143"/>
      <c r="F1727" s="156"/>
      <c r="G1727" s="156"/>
    </row>
    <row r="1728" spans="1:9" x14ac:dyDescent="0.25">
      <c r="A1728" s="148"/>
      <c r="C1728" s="153" t="s">
        <v>623</v>
      </c>
      <c r="D1728" s="152"/>
      <c r="E1728" s="151"/>
      <c r="F1728" s="150">
        <f>SUM(F1702:F1726)</f>
        <v>0</v>
      </c>
      <c r="G1728" s="155">
        <f>SUM(G1702:G1726)</f>
        <v>0</v>
      </c>
      <c r="I1728" s="182"/>
    </row>
    <row r="1729" spans="1:9" x14ac:dyDescent="0.25">
      <c r="A1729" s="148"/>
      <c r="C1729" s="145" t="s">
        <v>622</v>
      </c>
      <c r="D1729" s="154"/>
      <c r="E1729" s="145"/>
      <c r="F1729" s="144"/>
      <c r="G1729" s="144"/>
      <c r="I1729" s="182"/>
    </row>
    <row r="1730" spans="1:9" x14ac:dyDescent="0.25">
      <c r="A1730" s="148"/>
      <c r="C1730" s="153" t="s">
        <v>621</v>
      </c>
      <c r="D1730" s="152"/>
      <c r="E1730" s="151"/>
      <c r="F1730" s="150">
        <f>F1697</f>
        <v>0</v>
      </c>
      <c r="G1730" s="150">
        <f>G1697</f>
        <v>0</v>
      </c>
    </row>
    <row r="1731" spans="1:9" x14ac:dyDescent="0.25">
      <c r="A1731" s="148"/>
      <c r="C1731" s="153" t="s">
        <v>582</v>
      </c>
      <c r="D1731" s="152"/>
      <c r="E1731" s="151"/>
      <c r="F1731" s="150">
        <f>F1730+F1728</f>
        <v>0</v>
      </c>
      <c r="G1731" s="150">
        <f>G1730+G1728</f>
        <v>0</v>
      </c>
    </row>
    <row r="1732" spans="1:9" ht="15.75" thickBot="1" x14ac:dyDescent="0.3">
      <c r="A1732" s="148"/>
      <c r="C1732" s="145"/>
      <c r="D1732" s="149"/>
      <c r="E1732" s="145"/>
      <c r="F1732" s="144"/>
      <c r="G1732" s="144"/>
    </row>
    <row r="1733" spans="1:9" ht="15.75" thickBot="1" x14ac:dyDescent="0.3">
      <c r="A1733" s="148"/>
      <c r="C1733" s="147" t="s">
        <v>620</v>
      </c>
      <c r="D1733" s="146">
        <f>F1731-G1731</f>
        <v>0</v>
      </c>
      <c r="E1733" s="145"/>
      <c r="F1733" s="144"/>
      <c r="G1733" s="144"/>
    </row>
    <row r="1734" spans="1:9" ht="15.75" thickBot="1" x14ac:dyDescent="0.3"/>
    <row r="1735" spans="1:9" ht="30.75" thickBot="1" x14ac:dyDescent="0.3">
      <c r="A1735" s="232" t="s">
        <v>626</v>
      </c>
      <c r="B1735" s="259" t="s">
        <v>606</v>
      </c>
      <c r="C1735" s="258" t="s">
        <v>634</v>
      </c>
      <c r="D1735" s="257" t="s">
        <v>601</v>
      </c>
      <c r="E1735" s="256" t="s">
        <v>287</v>
      </c>
      <c r="F1735" s="255" t="s">
        <v>624</v>
      </c>
      <c r="G1735" s="255" t="s">
        <v>596</v>
      </c>
    </row>
    <row r="1736" spans="1:9" x14ac:dyDescent="0.25">
      <c r="A1736" s="169" t="str">
        <f>E1736&amp;COUNTIFS($E$2:E1736,E1736)</f>
        <v>0</v>
      </c>
      <c r="B1736" s="172"/>
      <c r="C1736" s="174"/>
      <c r="D1736" s="173"/>
      <c r="E1736" s="172"/>
      <c r="F1736" s="171"/>
      <c r="G1736" s="170"/>
    </row>
    <row r="1737" spans="1:9" x14ac:dyDescent="0.25">
      <c r="A1737" s="169" t="str">
        <f>E1737&amp;COUNTIFS($E$2:E1737,E1737)</f>
        <v>0</v>
      </c>
      <c r="B1737" s="166"/>
      <c r="C1737" s="168"/>
      <c r="D1737" s="167"/>
      <c r="E1737" s="166"/>
      <c r="F1737" s="165"/>
      <c r="G1737" s="164"/>
    </row>
    <row r="1738" spans="1:9" x14ac:dyDescent="0.25">
      <c r="A1738" s="169" t="str">
        <f>E1738&amp;COUNTIFS($E$2:E1738,E1738)</f>
        <v>0</v>
      </c>
      <c r="B1738" s="166"/>
      <c r="C1738" s="168"/>
      <c r="D1738" s="167"/>
      <c r="E1738" s="166"/>
      <c r="F1738" s="165"/>
      <c r="G1738" s="164"/>
    </row>
    <row r="1739" spans="1:9" x14ac:dyDescent="0.25">
      <c r="A1739" s="169" t="str">
        <f>E1739&amp;COUNTIFS($E$2:E1739,E1739)</f>
        <v>0</v>
      </c>
      <c r="B1739" s="166"/>
      <c r="C1739" s="168"/>
      <c r="D1739" s="167"/>
      <c r="E1739" s="166"/>
      <c r="F1739" s="165"/>
      <c r="G1739" s="164"/>
    </row>
    <row r="1740" spans="1:9" x14ac:dyDescent="0.25">
      <c r="A1740" s="169" t="str">
        <f>E1740&amp;COUNTIFS($E$2:E1740,E1740)</f>
        <v>0</v>
      </c>
      <c r="B1740" s="166"/>
      <c r="C1740" s="168"/>
      <c r="D1740" s="167"/>
      <c r="E1740" s="166"/>
      <c r="F1740" s="165"/>
      <c r="G1740" s="164"/>
    </row>
    <row r="1741" spans="1:9" x14ac:dyDescent="0.25">
      <c r="A1741" s="169" t="str">
        <f>E1741&amp;COUNTIFS($E$2:E1741,E1741)</f>
        <v>0</v>
      </c>
      <c r="B1741" s="166"/>
      <c r="C1741" s="168"/>
      <c r="D1741" s="167"/>
      <c r="E1741" s="166"/>
      <c r="F1741" s="165"/>
      <c r="G1741" s="164"/>
    </row>
    <row r="1742" spans="1:9" x14ac:dyDescent="0.25">
      <c r="A1742" s="169" t="str">
        <f>E1742&amp;COUNTIFS($E$2:E1742,E1742)</f>
        <v>0</v>
      </c>
      <c r="B1742" s="166"/>
      <c r="C1742" s="168"/>
      <c r="D1742" s="167"/>
      <c r="E1742" s="166"/>
      <c r="F1742" s="165"/>
      <c r="G1742" s="164"/>
    </row>
    <row r="1743" spans="1:9" x14ac:dyDescent="0.25">
      <c r="A1743" s="169" t="str">
        <f>E1743&amp;COUNTIFS($E$2:E1743,E1743)</f>
        <v>0</v>
      </c>
      <c r="B1743" s="166"/>
      <c r="C1743" s="168"/>
      <c r="D1743" s="167"/>
      <c r="E1743" s="166"/>
      <c r="F1743" s="165"/>
      <c r="G1743" s="164"/>
    </row>
    <row r="1744" spans="1:9" x14ac:dyDescent="0.25">
      <c r="A1744" s="169" t="str">
        <f>E1744&amp;COUNTIFS($E$2:E1744,E1744)</f>
        <v>0</v>
      </c>
      <c r="B1744" s="166"/>
      <c r="C1744" s="168"/>
      <c r="D1744" s="167"/>
      <c r="E1744" s="166"/>
      <c r="F1744" s="165"/>
      <c r="G1744" s="164"/>
    </row>
    <row r="1745" spans="1:7" x14ac:dyDescent="0.25">
      <c r="A1745" s="169" t="str">
        <f>E1745&amp;COUNTIFS($E$2:E1745,E1745)</f>
        <v>0</v>
      </c>
      <c r="B1745" s="166"/>
      <c r="C1745" s="168"/>
      <c r="D1745" s="167"/>
      <c r="E1745" s="166"/>
      <c r="F1745" s="165"/>
      <c r="G1745" s="164"/>
    </row>
    <row r="1746" spans="1:7" x14ac:dyDescent="0.25">
      <c r="A1746" s="169" t="str">
        <f>E1746&amp;COUNTIFS($E$2:E1746,E1746)</f>
        <v>0</v>
      </c>
      <c r="B1746" s="166"/>
      <c r="C1746" s="168"/>
      <c r="D1746" s="167"/>
      <c r="E1746" s="166"/>
      <c r="F1746" s="165"/>
      <c r="G1746" s="164"/>
    </row>
    <row r="1747" spans="1:7" x14ac:dyDescent="0.25">
      <c r="A1747" s="169" t="str">
        <f>E1747&amp;COUNTIFS($E$2:E1747,E1747)</f>
        <v>0</v>
      </c>
      <c r="B1747" s="166"/>
      <c r="C1747" s="168"/>
      <c r="D1747" s="167"/>
      <c r="E1747" s="166"/>
      <c r="F1747" s="165"/>
      <c r="G1747" s="164"/>
    </row>
    <row r="1748" spans="1:7" x14ac:dyDescent="0.25">
      <c r="A1748" s="169" t="str">
        <f>E1748&amp;COUNTIFS($E$2:E1748,E1748)</f>
        <v>0</v>
      </c>
      <c r="B1748" s="166"/>
      <c r="C1748" s="168"/>
      <c r="D1748" s="167"/>
      <c r="E1748" s="166"/>
      <c r="F1748" s="165"/>
      <c r="G1748" s="164"/>
    </row>
    <row r="1749" spans="1:7" x14ac:dyDescent="0.25">
      <c r="A1749" s="169" t="str">
        <f>E1749&amp;COUNTIFS($E$2:E1749,E1749)</f>
        <v>0</v>
      </c>
      <c r="B1749" s="166"/>
      <c r="C1749" s="168"/>
      <c r="D1749" s="167"/>
      <c r="E1749" s="166"/>
      <c r="F1749" s="165"/>
      <c r="G1749" s="164"/>
    </row>
    <row r="1750" spans="1:7" x14ac:dyDescent="0.25">
      <c r="A1750" s="169" t="str">
        <f>E1750&amp;COUNTIFS($E$2:E1750,E1750)</f>
        <v>0</v>
      </c>
      <c r="B1750" s="166"/>
      <c r="C1750" s="168"/>
      <c r="D1750" s="167"/>
      <c r="E1750" s="166"/>
      <c r="F1750" s="165"/>
      <c r="G1750" s="164"/>
    </row>
    <row r="1751" spans="1:7" x14ac:dyDescent="0.25">
      <c r="A1751" s="169" t="str">
        <f>E1751&amp;COUNTIFS($E$2:E1751,E1751)</f>
        <v>0</v>
      </c>
      <c r="B1751" s="166"/>
      <c r="C1751" s="168"/>
      <c r="D1751" s="167"/>
      <c r="E1751" s="166"/>
      <c r="F1751" s="165"/>
      <c r="G1751" s="164"/>
    </row>
    <row r="1752" spans="1:7" x14ac:dyDescent="0.25">
      <c r="A1752" s="169" t="str">
        <f>E1752&amp;COUNTIFS($E$2:E1752,E1752)</f>
        <v>0</v>
      </c>
      <c r="B1752" s="166"/>
      <c r="C1752" s="168"/>
      <c r="D1752" s="167"/>
      <c r="E1752" s="166"/>
      <c r="F1752" s="165"/>
      <c r="G1752" s="164"/>
    </row>
    <row r="1753" spans="1:7" x14ac:dyDescent="0.25">
      <c r="A1753" s="169" t="str">
        <f>E1753&amp;COUNTIFS($E$2:E1753,E1753)</f>
        <v>0</v>
      </c>
      <c r="B1753" s="166"/>
      <c r="C1753" s="168"/>
      <c r="D1753" s="167"/>
      <c r="E1753" s="166"/>
      <c r="F1753" s="165"/>
      <c r="G1753" s="164"/>
    </row>
    <row r="1754" spans="1:7" x14ac:dyDescent="0.25">
      <c r="A1754" s="169" t="str">
        <f>E1754&amp;COUNTIFS($E$2:E1754,E1754)</f>
        <v>0</v>
      </c>
      <c r="B1754" s="166"/>
      <c r="C1754" s="168"/>
      <c r="D1754" s="167"/>
      <c r="E1754" s="166"/>
      <c r="F1754" s="165"/>
      <c r="G1754" s="164"/>
    </row>
    <row r="1755" spans="1:7" x14ac:dyDescent="0.25">
      <c r="A1755" s="169" t="str">
        <f>E1755&amp;COUNTIFS($E$2:E1755,E1755)</f>
        <v>0</v>
      </c>
      <c r="B1755" s="166"/>
      <c r="C1755" s="168"/>
      <c r="D1755" s="167"/>
      <c r="E1755" s="166"/>
      <c r="F1755" s="165"/>
      <c r="G1755" s="164"/>
    </row>
    <row r="1756" spans="1:7" x14ac:dyDescent="0.25">
      <c r="A1756" s="169" t="str">
        <f>E1756&amp;COUNTIFS($E$2:E1756,E1756)</f>
        <v>0</v>
      </c>
      <c r="B1756" s="166"/>
      <c r="C1756" s="168"/>
      <c r="D1756" s="167"/>
      <c r="E1756" s="166"/>
      <c r="F1756" s="165"/>
      <c r="G1756" s="164"/>
    </row>
    <row r="1757" spans="1:7" x14ac:dyDescent="0.25">
      <c r="A1757" s="169" t="str">
        <f>E1757&amp;COUNTIFS($E$2:E1757,E1757)</f>
        <v>0</v>
      </c>
      <c r="B1757" s="166"/>
      <c r="C1757" s="168"/>
      <c r="D1757" s="167"/>
      <c r="E1757" s="166"/>
      <c r="F1757" s="165"/>
      <c r="G1757" s="164"/>
    </row>
    <row r="1758" spans="1:7" x14ac:dyDescent="0.25">
      <c r="A1758" s="169" t="str">
        <f>E1758&amp;COUNTIFS($E$2:E1758,E1758)</f>
        <v>0</v>
      </c>
      <c r="B1758" s="166"/>
      <c r="C1758" s="168"/>
      <c r="D1758" s="167"/>
      <c r="E1758" s="166"/>
      <c r="F1758" s="165"/>
      <c r="G1758" s="164"/>
    </row>
    <row r="1759" spans="1:7" x14ac:dyDescent="0.25">
      <c r="A1759" s="169" t="str">
        <f>E1759&amp;COUNTIFS($E$2:E1759,E1759)</f>
        <v>0</v>
      </c>
      <c r="B1759" s="166"/>
      <c r="C1759" s="168"/>
      <c r="D1759" s="167"/>
      <c r="E1759" s="166"/>
      <c r="F1759" s="165"/>
      <c r="G1759" s="164"/>
    </row>
    <row r="1760" spans="1:7" ht="15.75" thickBot="1" x14ac:dyDescent="0.3">
      <c r="A1760" s="163" t="str">
        <f>E1760&amp;COUNTIFS($E$2:E1760,E1760)</f>
        <v>0</v>
      </c>
      <c r="B1760" s="166"/>
      <c r="C1760" s="162"/>
      <c r="D1760" s="161"/>
      <c r="E1760" s="160"/>
      <c r="F1760" s="159"/>
      <c r="G1760" s="158"/>
    </row>
    <row r="1761" spans="1:7" x14ac:dyDescent="0.25">
      <c r="A1761" s="148"/>
      <c r="C1761" s="143"/>
      <c r="D1761" s="157"/>
      <c r="E1761" s="143"/>
      <c r="F1761" s="156"/>
      <c r="G1761" s="156"/>
    </row>
    <row r="1762" spans="1:7" x14ac:dyDescent="0.25">
      <c r="A1762" s="148"/>
      <c r="C1762" s="153" t="s">
        <v>623</v>
      </c>
      <c r="D1762" s="152"/>
      <c r="E1762" s="151"/>
      <c r="F1762" s="150">
        <f>SUM(F1736:F1760)</f>
        <v>0</v>
      </c>
      <c r="G1762" s="155">
        <f>SUM(G1736:G1760)</f>
        <v>0</v>
      </c>
    </row>
    <row r="1763" spans="1:7" x14ac:dyDescent="0.25">
      <c r="A1763" s="148"/>
      <c r="C1763" s="145" t="s">
        <v>622</v>
      </c>
      <c r="D1763" s="154"/>
      <c r="E1763" s="145"/>
      <c r="F1763" s="144"/>
      <c r="G1763" s="144"/>
    </row>
    <row r="1764" spans="1:7" x14ac:dyDescent="0.25">
      <c r="A1764" s="148"/>
      <c r="C1764" s="153" t="s">
        <v>621</v>
      </c>
      <c r="D1764" s="152"/>
      <c r="E1764" s="151"/>
      <c r="F1764" s="150">
        <f>F1731</f>
        <v>0</v>
      </c>
      <c r="G1764" s="150">
        <f>G1731</f>
        <v>0</v>
      </c>
    </row>
    <row r="1765" spans="1:7" x14ac:dyDescent="0.25">
      <c r="A1765" s="148"/>
      <c r="C1765" s="153" t="s">
        <v>582</v>
      </c>
      <c r="D1765" s="152"/>
      <c r="E1765" s="151"/>
      <c r="F1765" s="150">
        <f>F1764+F1762</f>
        <v>0</v>
      </c>
      <c r="G1765" s="150">
        <f>G1764+G1762</f>
        <v>0</v>
      </c>
    </row>
    <row r="1766" spans="1:7" ht="15.75" thickBot="1" x14ac:dyDescent="0.3">
      <c r="A1766" s="148"/>
      <c r="C1766" s="145"/>
      <c r="D1766" s="149"/>
      <c r="E1766" s="145"/>
      <c r="F1766" s="144"/>
      <c r="G1766" s="144"/>
    </row>
    <row r="1767" spans="1:7" ht="15.75" thickBot="1" x14ac:dyDescent="0.3">
      <c r="A1767" s="148"/>
      <c r="C1767" s="147" t="s">
        <v>620</v>
      </c>
      <c r="D1767" s="146">
        <f>F1765-G1765</f>
        <v>0</v>
      </c>
      <c r="E1767" s="145"/>
      <c r="F1767" s="144"/>
      <c r="G1767" s="144"/>
    </row>
    <row r="1768" spans="1:7" ht="15.75" thickBot="1" x14ac:dyDescent="0.3"/>
    <row r="1769" spans="1:7" ht="30.75" thickBot="1" x14ac:dyDescent="0.3">
      <c r="A1769" s="232" t="s">
        <v>626</v>
      </c>
      <c r="B1769" s="231" t="s">
        <v>606</v>
      </c>
      <c r="C1769" s="230" t="s">
        <v>634</v>
      </c>
      <c r="D1769" s="229" t="s">
        <v>601</v>
      </c>
      <c r="E1769" s="228" t="s">
        <v>287</v>
      </c>
      <c r="F1769" s="227" t="s">
        <v>624</v>
      </c>
      <c r="G1769" s="227" t="s">
        <v>596</v>
      </c>
    </row>
    <row r="1770" spans="1:7" x14ac:dyDescent="0.25">
      <c r="A1770" s="169" t="str">
        <f>E1770&amp;COUNTIFS($E$2:E1770,E1770)</f>
        <v>0</v>
      </c>
      <c r="B1770" s="172"/>
      <c r="C1770" s="174"/>
      <c r="D1770" s="173"/>
      <c r="E1770" s="172"/>
      <c r="F1770" s="171"/>
      <c r="G1770" s="170"/>
    </row>
    <row r="1771" spans="1:7" x14ac:dyDescent="0.25">
      <c r="A1771" s="169" t="str">
        <f>E1771&amp;COUNTIFS($E$2:E1771,E1771)</f>
        <v>0</v>
      </c>
      <c r="B1771" s="166"/>
      <c r="C1771" s="168"/>
      <c r="D1771" s="167"/>
      <c r="E1771" s="166"/>
      <c r="F1771" s="165"/>
      <c r="G1771" s="164"/>
    </row>
    <row r="1772" spans="1:7" x14ac:dyDescent="0.25">
      <c r="A1772" s="169" t="str">
        <f>E1772&amp;COUNTIFS($E$2:E1772,E1772)</f>
        <v>0</v>
      </c>
      <c r="B1772" s="166"/>
      <c r="C1772" s="168"/>
      <c r="D1772" s="167"/>
      <c r="E1772" s="166"/>
      <c r="F1772" s="165"/>
      <c r="G1772" s="164"/>
    </row>
    <row r="1773" spans="1:7" x14ac:dyDescent="0.25">
      <c r="A1773" s="169" t="str">
        <f>E1773&amp;COUNTIFS($E$2:E1773,E1773)</f>
        <v>0</v>
      </c>
      <c r="B1773" s="166"/>
      <c r="C1773" s="168"/>
      <c r="D1773" s="167"/>
      <c r="E1773" s="166"/>
      <c r="F1773" s="165"/>
      <c r="G1773" s="164"/>
    </row>
    <row r="1774" spans="1:7" x14ac:dyDescent="0.25">
      <c r="A1774" s="169" t="str">
        <f>E1774&amp;COUNTIFS($E$2:E1774,E1774)</f>
        <v>0</v>
      </c>
      <c r="B1774" s="166"/>
      <c r="C1774" s="168"/>
      <c r="D1774" s="167"/>
      <c r="E1774" s="166"/>
      <c r="F1774" s="165"/>
      <c r="G1774" s="164"/>
    </row>
    <row r="1775" spans="1:7" x14ac:dyDescent="0.25">
      <c r="A1775" s="169" t="str">
        <f>E1775&amp;COUNTIFS($E$2:E1775,E1775)</f>
        <v>0</v>
      </c>
      <c r="B1775" s="166"/>
      <c r="C1775" s="168"/>
      <c r="D1775" s="167"/>
      <c r="E1775" s="166"/>
      <c r="F1775" s="165"/>
      <c r="G1775" s="164"/>
    </row>
    <row r="1776" spans="1:7" x14ac:dyDescent="0.25">
      <c r="A1776" s="169" t="str">
        <f>E1776&amp;COUNTIFS($E$2:E1776,E1776)</f>
        <v>0</v>
      </c>
      <c r="B1776" s="166"/>
      <c r="C1776" s="168"/>
      <c r="D1776" s="167"/>
      <c r="E1776" s="166"/>
      <c r="F1776" s="165"/>
      <c r="G1776" s="164"/>
    </row>
    <row r="1777" spans="1:7" x14ac:dyDescent="0.25">
      <c r="A1777" s="169" t="str">
        <f>E1777&amp;COUNTIFS($E$2:E1777,E1777)</f>
        <v>0</v>
      </c>
      <c r="B1777" s="166"/>
      <c r="C1777" s="168"/>
      <c r="D1777" s="167"/>
      <c r="E1777" s="166"/>
      <c r="F1777" s="165"/>
      <c r="G1777" s="164"/>
    </row>
    <row r="1778" spans="1:7" x14ac:dyDescent="0.25">
      <c r="A1778" s="169" t="str">
        <f>E1778&amp;COUNTIFS($E$2:E1778,E1778)</f>
        <v>0</v>
      </c>
      <c r="B1778" s="166"/>
      <c r="C1778" s="168"/>
      <c r="D1778" s="167"/>
      <c r="E1778" s="166"/>
      <c r="F1778" s="165"/>
      <c r="G1778" s="164"/>
    </row>
    <row r="1779" spans="1:7" x14ac:dyDescent="0.25">
      <c r="A1779" s="169" t="str">
        <f>E1779&amp;COUNTIFS($E$2:E1779,E1779)</f>
        <v>0</v>
      </c>
      <c r="B1779" s="166"/>
      <c r="C1779" s="168"/>
      <c r="D1779" s="167"/>
      <c r="E1779" s="166"/>
      <c r="F1779" s="165"/>
      <c r="G1779" s="164"/>
    </row>
    <row r="1780" spans="1:7" x14ac:dyDescent="0.25">
      <c r="A1780" s="169" t="str">
        <f>E1780&amp;COUNTIFS($E$2:E1780,E1780)</f>
        <v>0</v>
      </c>
      <c r="B1780" s="166"/>
      <c r="C1780" s="168"/>
      <c r="D1780" s="167"/>
      <c r="E1780" s="166"/>
      <c r="F1780" s="165"/>
      <c r="G1780" s="164"/>
    </row>
    <row r="1781" spans="1:7" x14ac:dyDescent="0.25">
      <c r="A1781" s="169" t="str">
        <f>E1781&amp;COUNTIFS($E$2:E1781,E1781)</f>
        <v>0</v>
      </c>
      <c r="B1781" s="166"/>
      <c r="C1781" s="168"/>
      <c r="D1781" s="167"/>
      <c r="E1781" s="166"/>
      <c r="F1781" s="165"/>
      <c r="G1781" s="164"/>
    </row>
    <row r="1782" spans="1:7" x14ac:dyDescent="0.25">
      <c r="A1782" s="169" t="str">
        <f>E1782&amp;COUNTIFS($E$2:E1782,E1782)</f>
        <v>0</v>
      </c>
      <c r="B1782" s="166"/>
      <c r="C1782" s="168"/>
      <c r="D1782" s="167"/>
      <c r="E1782" s="166"/>
      <c r="F1782" s="165"/>
      <c r="G1782" s="164"/>
    </row>
    <row r="1783" spans="1:7" x14ac:dyDescent="0.25">
      <c r="A1783" s="169" t="str">
        <f>E1783&amp;COUNTIFS($E$2:E1783,E1783)</f>
        <v>0</v>
      </c>
      <c r="B1783" s="166"/>
      <c r="C1783" s="168"/>
      <c r="D1783" s="167"/>
      <c r="E1783" s="166"/>
      <c r="F1783" s="165"/>
      <c r="G1783" s="164"/>
    </row>
    <row r="1784" spans="1:7" x14ac:dyDescent="0.25">
      <c r="A1784" s="169" t="str">
        <f>E1784&amp;COUNTIFS($E$2:E1784,E1784)</f>
        <v>0</v>
      </c>
      <c r="B1784" s="166"/>
      <c r="C1784" s="168"/>
      <c r="D1784" s="167"/>
      <c r="E1784" s="166"/>
      <c r="F1784" s="165"/>
      <c r="G1784" s="164"/>
    </row>
    <row r="1785" spans="1:7" x14ac:dyDescent="0.25">
      <c r="A1785" s="169" t="str">
        <f>E1785&amp;COUNTIFS($E$2:E1785,E1785)</f>
        <v>0</v>
      </c>
      <c r="B1785" s="166"/>
      <c r="C1785" s="168"/>
      <c r="D1785" s="167"/>
      <c r="E1785" s="166"/>
      <c r="F1785" s="165"/>
      <c r="G1785" s="164"/>
    </row>
    <row r="1786" spans="1:7" x14ac:dyDescent="0.25">
      <c r="A1786" s="169" t="str">
        <f>E1786&amp;COUNTIFS($E$2:E1786,E1786)</f>
        <v>0</v>
      </c>
      <c r="B1786" s="166"/>
      <c r="C1786" s="168"/>
      <c r="D1786" s="167"/>
      <c r="E1786" s="166"/>
      <c r="F1786" s="165"/>
      <c r="G1786" s="164"/>
    </row>
    <row r="1787" spans="1:7" x14ac:dyDescent="0.25">
      <c r="A1787" s="169" t="str">
        <f>E1787&amp;COUNTIFS($E$2:E1787,E1787)</f>
        <v>0</v>
      </c>
      <c r="B1787" s="166"/>
      <c r="C1787" s="168"/>
      <c r="D1787" s="167"/>
      <c r="E1787" s="166"/>
      <c r="F1787" s="165"/>
      <c r="G1787" s="164"/>
    </row>
    <row r="1788" spans="1:7" x14ac:dyDescent="0.25">
      <c r="A1788" s="169" t="str">
        <f>E1788&amp;COUNTIFS($E$2:E1788,E1788)</f>
        <v>0</v>
      </c>
      <c r="B1788" s="166"/>
      <c r="C1788" s="168"/>
      <c r="D1788" s="167"/>
      <c r="E1788" s="166"/>
      <c r="F1788" s="165"/>
      <c r="G1788" s="164"/>
    </row>
    <row r="1789" spans="1:7" x14ac:dyDescent="0.25">
      <c r="A1789" s="169" t="str">
        <f>E1789&amp;COUNTIFS($E$2:E1789,E1789)</f>
        <v>0</v>
      </c>
      <c r="B1789" s="166"/>
      <c r="C1789" s="168"/>
      <c r="D1789" s="167"/>
      <c r="E1789" s="166"/>
      <c r="F1789" s="165"/>
      <c r="G1789" s="164"/>
    </row>
    <row r="1790" spans="1:7" x14ac:dyDescent="0.25">
      <c r="A1790" s="169" t="str">
        <f>E1790&amp;COUNTIFS($E$2:E1790,E1790)</f>
        <v>0</v>
      </c>
      <c r="B1790" s="166"/>
      <c r="C1790" s="168"/>
      <c r="D1790" s="167"/>
      <c r="E1790" s="166"/>
      <c r="F1790" s="165"/>
      <c r="G1790" s="164"/>
    </row>
    <row r="1791" spans="1:7" x14ac:dyDescent="0.25">
      <c r="A1791" s="169" t="str">
        <f>E1791&amp;COUNTIFS($E$2:E1791,E1791)</f>
        <v>0</v>
      </c>
      <c r="B1791" s="166"/>
      <c r="C1791" s="168"/>
      <c r="D1791" s="167"/>
      <c r="E1791" s="166"/>
      <c r="F1791" s="165"/>
      <c r="G1791" s="164"/>
    </row>
    <row r="1792" spans="1:7" x14ac:dyDescent="0.25">
      <c r="A1792" s="169" t="str">
        <f>E1792&amp;COUNTIFS($E$2:E1792,E1792)</f>
        <v>0</v>
      </c>
      <c r="B1792" s="166"/>
      <c r="C1792" s="168"/>
      <c r="D1792" s="167"/>
      <c r="E1792" s="166"/>
      <c r="F1792" s="165"/>
      <c r="G1792" s="164"/>
    </row>
    <row r="1793" spans="1:7" x14ac:dyDescent="0.25">
      <c r="A1793" s="169" t="str">
        <f>E1793&amp;COUNTIFS($E$2:E1793,E1793)</f>
        <v>0</v>
      </c>
      <c r="B1793" s="166"/>
      <c r="C1793" s="168"/>
      <c r="D1793" s="167"/>
      <c r="E1793" s="166"/>
      <c r="F1793" s="165"/>
      <c r="G1793" s="164"/>
    </row>
    <row r="1794" spans="1:7" ht="15.75" thickBot="1" x14ac:dyDescent="0.3">
      <c r="A1794" s="163" t="str">
        <f>E1794&amp;COUNTIFS($E$2:E1794,E1794)</f>
        <v>0</v>
      </c>
      <c r="B1794" s="166"/>
      <c r="C1794" s="162"/>
      <c r="D1794" s="161"/>
      <c r="E1794" s="160"/>
      <c r="F1794" s="159"/>
      <c r="G1794" s="158"/>
    </row>
    <row r="1795" spans="1:7" x14ac:dyDescent="0.25">
      <c r="A1795" s="148"/>
      <c r="C1795" s="143"/>
      <c r="D1795" s="157"/>
      <c r="E1795" s="143"/>
      <c r="F1795" s="156"/>
      <c r="G1795" s="156"/>
    </row>
    <row r="1796" spans="1:7" x14ac:dyDescent="0.25">
      <c r="A1796" s="148"/>
      <c r="C1796" s="153" t="s">
        <v>623</v>
      </c>
      <c r="D1796" s="152"/>
      <c r="E1796" s="151"/>
      <c r="F1796" s="150">
        <f>SUM(F1770:F1794)</f>
        <v>0</v>
      </c>
      <c r="G1796" s="155">
        <f>SUM(G1770:G1794)</f>
        <v>0</v>
      </c>
    </row>
    <row r="1797" spans="1:7" x14ac:dyDescent="0.25">
      <c r="A1797" s="148"/>
      <c r="C1797" s="145" t="s">
        <v>622</v>
      </c>
      <c r="D1797" s="154"/>
      <c r="E1797" s="145"/>
      <c r="F1797" s="144"/>
      <c r="G1797" s="144"/>
    </row>
    <row r="1798" spans="1:7" x14ac:dyDescent="0.25">
      <c r="A1798" s="148"/>
      <c r="C1798" s="153" t="s">
        <v>621</v>
      </c>
      <c r="D1798" s="152"/>
      <c r="E1798" s="151"/>
      <c r="F1798" s="150">
        <f>F1765</f>
        <v>0</v>
      </c>
      <c r="G1798" s="150">
        <f>G1765</f>
        <v>0</v>
      </c>
    </row>
    <row r="1799" spans="1:7" x14ac:dyDescent="0.25">
      <c r="A1799" s="148"/>
      <c r="C1799" s="153" t="s">
        <v>582</v>
      </c>
      <c r="D1799" s="152"/>
      <c r="E1799" s="151"/>
      <c r="F1799" s="150">
        <f>F1798+F1796</f>
        <v>0</v>
      </c>
      <c r="G1799" s="150">
        <f>G1798+G1796</f>
        <v>0</v>
      </c>
    </row>
    <row r="1800" spans="1:7" ht="15.75" thickBot="1" x14ac:dyDescent="0.3">
      <c r="A1800" s="148"/>
      <c r="C1800" s="145"/>
      <c r="D1800" s="149"/>
      <c r="E1800" s="145"/>
      <c r="F1800" s="144"/>
      <c r="G1800" s="144"/>
    </row>
    <row r="1801" spans="1:7" ht="15.75" thickBot="1" x14ac:dyDescent="0.3">
      <c r="A1801" s="148"/>
      <c r="C1801" s="147" t="s">
        <v>620</v>
      </c>
      <c r="D1801" s="146">
        <f>F1799-G1799</f>
        <v>0</v>
      </c>
      <c r="E1801" s="145"/>
      <c r="F1801" s="144"/>
      <c r="G1801" s="144"/>
    </row>
    <row r="1802" spans="1:7" ht="15.75" thickBot="1" x14ac:dyDescent="0.3"/>
    <row r="1803" spans="1:7" ht="30.75" thickBot="1" x14ac:dyDescent="0.3">
      <c r="A1803" s="232" t="s">
        <v>626</v>
      </c>
      <c r="B1803" s="231" t="s">
        <v>606</v>
      </c>
      <c r="C1803" s="230" t="s">
        <v>634</v>
      </c>
      <c r="D1803" s="229" t="s">
        <v>601</v>
      </c>
      <c r="E1803" s="228" t="s">
        <v>287</v>
      </c>
      <c r="F1803" s="227" t="s">
        <v>624</v>
      </c>
      <c r="G1803" s="227" t="s">
        <v>596</v>
      </c>
    </row>
    <row r="1804" spans="1:7" x14ac:dyDescent="0.25">
      <c r="A1804" s="169" t="str">
        <f>E1804&amp;COUNTIFS($E$2:E1804,E1804)</f>
        <v>0</v>
      </c>
      <c r="B1804" s="172"/>
      <c r="C1804" s="174"/>
      <c r="D1804" s="173"/>
      <c r="E1804" s="172"/>
      <c r="F1804" s="171"/>
      <c r="G1804" s="170"/>
    </row>
    <row r="1805" spans="1:7" x14ac:dyDescent="0.25">
      <c r="A1805" s="169" t="str">
        <f>E1805&amp;COUNTIFS($E$2:E1805,E1805)</f>
        <v>0</v>
      </c>
      <c r="B1805" s="166"/>
      <c r="C1805" s="168"/>
      <c r="D1805" s="167"/>
      <c r="E1805" s="166"/>
      <c r="F1805" s="165"/>
      <c r="G1805" s="164"/>
    </row>
    <row r="1806" spans="1:7" x14ac:dyDescent="0.25">
      <c r="A1806" s="169" t="str">
        <f>E1806&amp;COUNTIFS($E$2:E1806,E1806)</f>
        <v>0</v>
      </c>
      <c r="B1806" s="166"/>
      <c r="C1806" s="168"/>
      <c r="D1806" s="167"/>
      <c r="E1806" s="166"/>
      <c r="F1806" s="165"/>
      <c r="G1806" s="164"/>
    </row>
    <row r="1807" spans="1:7" x14ac:dyDescent="0.25">
      <c r="A1807" s="169" t="str">
        <f>E1807&amp;COUNTIFS($E$2:E1807,E1807)</f>
        <v>0</v>
      </c>
      <c r="B1807" s="166"/>
      <c r="C1807" s="168"/>
      <c r="D1807" s="167"/>
      <c r="E1807" s="166"/>
      <c r="F1807" s="165"/>
      <c r="G1807" s="164"/>
    </row>
    <row r="1808" spans="1:7" x14ac:dyDescent="0.25">
      <c r="A1808" s="169" t="str">
        <f>E1808&amp;COUNTIFS($E$2:E1808,E1808)</f>
        <v>0</v>
      </c>
      <c r="B1808" s="166"/>
      <c r="C1808" s="168"/>
      <c r="D1808" s="167"/>
      <c r="E1808" s="166"/>
      <c r="F1808" s="165"/>
      <c r="G1808" s="164"/>
    </row>
    <row r="1809" spans="1:7" x14ac:dyDescent="0.25">
      <c r="A1809" s="169" t="str">
        <f>E1809&amp;COUNTIFS($E$2:E1809,E1809)</f>
        <v>0</v>
      </c>
      <c r="B1809" s="166"/>
      <c r="C1809" s="168"/>
      <c r="D1809" s="167"/>
      <c r="E1809" s="166"/>
      <c r="F1809" s="165"/>
      <c r="G1809" s="164"/>
    </row>
    <row r="1810" spans="1:7" x14ac:dyDescent="0.25">
      <c r="A1810" s="169" t="str">
        <f>E1810&amp;COUNTIFS($E$2:E1810,E1810)</f>
        <v>0</v>
      </c>
      <c r="B1810" s="166"/>
      <c r="C1810" s="168"/>
      <c r="D1810" s="167"/>
      <c r="E1810" s="166"/>
      <c r="F1810" s="165"/>
      <c r="G1810" s="164"/>
    </row>
    <row r="1811" spans="1:7" x14ac:dyDescent="0.25">
      <c r="A1811" s="169" t="str">
        <f>E1811&amp;COUNTIFS($E$2:E1811,E1811)</f>
        <v>0</v>
      </c>
      <c r="B1811" s="166"/>
      <c r="C1811" s="168"/>
      <c r="D1811" s="167"/>
      <c r="E1811" s="166"/>
      <c r="F1811" s="165"/>
      <c r="G1811" s="164"/>
    </row>
    <row r="1812" spans="1:7" x14ac:dyDescent="0.25">
      <c r="A1812" s="169" t="str">
        <f>E1812&amp;COUNTIFS($E$2:E1812,E1812)</f>
        <v>0</v>
      </c>
      <c r="B1812" s="166"/>
      <c r="C1812" s="168"/>
      <c r="D1812" s="167"/>
      <c r="E1812" s="166"/>
      <c r="F1812" s="165"/>
      <c r="G1812" s="164"/>
    </row>
    <row r="1813" spans="1:7" x14ac:dyDescent="0.25">
      <c r="A1813" s="169" t="str">
        <f>E1813&amp;COUNTIFS($E$2:E1813,E1813)</f>
        <v>0</v>
      </c>
      <c r="B1813" s="166"/>
      <c r="C1813" s="168"/>
      <c r="D1813" s="167"/>
      <c r="E1813" s="166"/>
      <c r="F1813" s="165"/>
      <c r="G1813" s="164"/>
    </row>
    <row r="1814" spans="1:7" x14ac:dyDescent="0.25">
      <c r="A1814" s="169" t="str">
        <f>E1814&amp;COUNTIFS($E$2:E1814,E1814)</f>
        <v>0</v>
      </c>
      <c r="B1814" s="166"/>
      <c r="C1814" s="168"/>
      <c r="D1814" s="167"/>
      <c r="E1814" s="166"/>
      <c r="F1814" s="165"/>
      <c r="G1814" s="164"/>
    </row>
    <row r="1815" spans="1:7" x14ac:dyDescent="0.25">
      <c r="A1815" s="169" t="str">
        <f>E1815&amp;COUNTIFS($E$2:E1815,E1815)</f>
        <v>0</v>
      </c>
      <c r="B1815" s="166"/>
      <c r="C1815" s="168"/>
      <c r="D1815" s="167"/>
      <c r="E1815" s="166"/>
      <c r="F1815" s="165"/>
      <c r="G1815" s="164"/>
    </row>
    <row r="1816" spans="1:7" x14ac:dyDescent="0.25">
      <c r="A1816" s="169" t="str">
        <f>E1816&amp;COUNTIFS($E$2:E1816,E1816)</f>
        <v>0</v>
      </c>
      <c r="B1816" s="166"/>
      <c r="C1816" s="168"/>
      <c r="D1816" s="167"/>
      <c r="E1816" s="166"/>
      <c r="F1816" s="165"/>
      <c r="G1816" s="164"/>
    </row>
    <row r="1817" spans="1:7" x14ac:dyDescent="0.25">
      <c r="A1817" s="169" t="str">
        <f>E1817&amp;COUNTIFS($E$2:E1817,E1817)</f>
        <v>0</v>
      </c>
      <c r="B1817" s="166"/>
      <c r="C1817" s="168"/>
      <c r="D1817" s="167"/>
      <c r="E1817" s="166"/>
      <c r="F1817" s="165"/>
      <c r="G1817" s="164"/>
    </row>
    <row r="1818" spans="1:7" x14ac:dyDescent="0.25">
      <c r="A1818" s="169" t="str">
        <f>E1818&amp;COUNTIFS($E$2:E1818,E1818)</f>
        <v>0</v>
      </c>
      <c r="B1818" s="166"/>
      <c r="C1818" s="168"/>
      <c r="D1818" s="167"/>
      <c r="E1818" s="166"/>
      <c r="F1818" s="165"/>
      <c r="G1818" s="164"/>
    </row>
    <row r="1819" spans="1:7" x14ac:dyDescent="0.25">
      <c r="A1819" s="169" t="str">
        <f>E1819&amp;COUNTIFS($E$2:E1819,E1819)</f>
        <v>0</v>
      </c>
      <c r="B1819" s="166"/>
      <c r="C1819" s="168"/>
      <c r="D1819" s="167"/>
      <c r="E1819" s="166"/>
      <c r="F1819" s="165"/>
      <c r="G1819" s="164"/>
    </row>
    <row r="1820" spans="1:7" x14ac:dyDescent="0.25">
      <c r="A1820" s="169" t="str">
        <f>E1820&amp;COUNTIFS($E$2:E1820,E1820)</f>
        <v>0</v>
      </c>
      <c r="B1820" s="166"/>
      <c r="C1820" s="168"/>
      <c r="D1820" s="167"/>
      <c r="E1820" s="166"/>
      <c r="F1820" s="165"/>
      <c r="G1820" s="164"/>
    </row>
    <row r="1821" spans="1:7" x14ac:dyDescent="0.25">
      <c r="A1821" s="169" t="str">
        <f>E1821&amp;COUNTIFS($E$2:E1821,E1821)</f>
        <v>0</v>
      </c>
      <c r="B1821" s="166"/>
      <c r="C1821" s="168"/>
      <c r="D1821" s="167"/>
      <c r="E1821" s="166"/>
      <c r="F1821" s="165"/>
      <c r="G1821" s="164"/>
    </row>
    <row r="1822" spans="1:7" x14ac:dyDescent="0.25">
      <c r="A1822" s="169" t="str">
        <f>E1822&amp;COUNTIFS($E$2:E1822,E1822)</f>
        <v>0</v>
      </c>
      <c r="B1822" s="166"/>
      <c r="C1822" s="168"/>
      <c r="D1822" s="167"/>
      <c r="E1822" s="166"/>
      <c r="F1822" s="165"/>
      <c r="G1822" s="164"/>
    </row>
    <row r="1823" spans="1:7" x14ac:dyDescent="0.25">
      <c r="A1823" s="169" t="str">
        <f>E1823&amp;COUNTIFS($E$2:E1823,E1823)</f>
        <v>0</v>
      </c>
      <c r="B1823" s="166"/>
      <c r="C1823" s="168"/>
      <c r="D1823" s="167"/>
      <c r="E1823" s="166"/>
      <c r="F1823" s="165"/>
      <c r="G1823" s="164"/>
    </row>
    <row r="1824" spans="1:7" x14ac:dyDescent="0.25">
      <c r="A1824" s="169" t="str">
        <f>E1824&amp;COUNTIFS($E$2:E1824,E1824)</f>
        <v>0</v>
      </c>
      <c r="B1824" s="166"/>
      <c r="C1824" s="168"/>
      <c r="D1824" s="167"/>
      <c r="E1824" s="166"/>
      <c r="F1824" s="165"/>
      <c r="G1824" s="164"/>
    </row>
    <row r="1825" spans="1:7" x14ac:dyDescent="0.25">
      <c r="A1825" s="169" t="str">
        <f>E1825&amp;COUNTIFS($E$2:E1825,E1825)</f>
        <v>0</v>
      </c>
      <c r="B1825" s="166"/>
      <c r="C1825" s="168"/>
      <c r="D1825" s="167"/>
      <c r="E1825" s="166"/>
      <c r="F1825" s="165"/>
      <c r="G1825" s="164"/>
    </row>
    <row r="1826" spans="1:7" x14ac:dyDescent="0.25">
      <c r="A1826" s="169" t="str">
        <f>E1826&amp;COUNTIFS($E$2:E1826,E1826)</f>
        <v>0</v>
      </c>
      <c r="B1826" s="166"/>
      <c r="C1826" s="168"/>
      <c r="D1826" s="167"/>
      <c r="E1826" s="166"/>
      <c r="F1826" s="165"/>
      <c r="G1826" s="164"/>
    </row>
    <row r="1827" spans="1:7" x14ac:dyDescent="0.25">
      <c r="A1827" s="169" t="str">
        <f>E1827&amp;COUNTIFS($E$2:E1827,E1827)</f>
        <v>0</v>
      </c>
      <c r="B1827" s="166"/>
      <c r="C1827" s="168"/>
      <c r="D1827" s="167"/>
      <c r="E1827" s="166"/>
      <c r="F1827" s="165"/>
      <c r="G1827" s="164"/>
    </row>
    <row r="1828" spans="1:7" ht="15.75" thickBot="1" x14ac:dyDescent="0.3">
      <c r="A1828" s="163" t="str">
        <f>E1828&amp;COUNTIFS($E$2:E1828,E1828)</f>
        <v>0</v>
      </c>
      <c r="B1828" s="166"/>
      <c r="C1828" s="162"/>
      <c r="D1828" s="161"/>
      <c r="E1828" s="160"/>
      <c r="F1828" s="159"/>
      <c r="G1828" s="158"/>
    </row>
    <row r="1829" spans="1:7" x14ac:dyDescent="0.25">
      <c r="A1829" s="148"/>
      <c r="C1829" s="143"/>
      <c r="D1829" s="157"/>
      <c r="E1829" s="143"/>
      <c r="F1829" s="156"/>
      <c r="G1829" s="156"/>
    </row>
    <row r="1830" spans="1:7" x14ac:dyDescent="0.25">
      <c r="A1830" s="148"/>
      <c r="C1830" s="153" t="s">
        <v>623</v>
      </c>
      <c r="D1830" s="152"/>
      <c r="E1830" s="151"/>
      <c r="F1830" s="150">
        <f>SUM(F1804:F1828)</f>
        <v>0</v>
      </c>
      <c r="G1830" s="155">
        <f>SUM(G1804:G1828)</f>
        <v>0</v>
      </c>
    </row>
    <row r="1831" spans="1:7" x14ac:dyDescent="0.25">
      <c r="A1831" s="148"/>
      <c r="C1831" s="145" t="s">
        <v>622</v>
      </c>
      <c r="D1831" s="154"/>
      <c r="E1831" s="145"/>
      <c r="F1831" s="144"/>
      <c r="G1831" s="144"/>
    </row>
    <row r="1832" spans="1:7" x14ac:dyDescent="0.25">
      <c r="A1832" s="148"/>
      <c r="C1832" s="153" t="s">
        <v>621</v>
      </c>
      <c r="D1832" s="152"/>
      <c r="E1832" s="151"/>
      <c r="F1832" s="150">
        <f>F1799</f>
        <v>0</v>
      </c>
      <c r="G1832" s="150">
        <f>G1799</f>
        <v>0</v>
      </c>
    </row>
    <row r="1833" spans="1:7" x14ac:dyDescent="0.25">
      <c r="A1833" s="148"/>
      <c r="C1833" s="153" t="s">
        <v>582</v>
      </c>
      <c r="D1833" s="152"/>
      <c r="E1833" s="151"/>
      <c r="F1833" s="150">
        <f>F1832+F1830</f>
        <v>0</v>
      </c>
      <c r="G1833" s="150">
        <f>G1832+G1830</f>
        <v>0</v>
      </c>
    </row>
    <row r="1834" spans="1:7" ht="15.75" thickBot="1" x14ac:dyDescent="0.3">
      <c r="A1834" s="148"/>
      <c r="C1834" s="145"/>
      <c r="D1834" s="149"/>
      <c r="E1834" s="145"/>
      <c r="F1834" s="144"/>
      <c r="G1834" s="144"/>
    </row>
    <row r="1835" spans="1:7" ht="15.75" thickBot="1" x14ac:dyDescent="0.3">
      <c r="A1835" s="148"/>
      <c r="C1835" s="147" t="s">
        <v>620</v>
      </c>
      <c r="D1835" s="146">
        <f>F1833-G1833</f>
        <v>0</v>
      </c>
      <c r="E1835" s="145"/>
      <c r="F1835" s="144"/>
      <c r="G1835" s="144"/>
    </row>
    <row r="1836" spans="1:7" ht="15.75" thickBot="1" x14ac:dyDescent="0.3"/>
    <row r="1837" spans="1:7" ht="30.75" thickBot="1" x14ac:dyDescent="0.3">
      <c r="A1837" s="232" t="s">
        <v>626</v>
      </c>
      <c r="B1837" s="231" t="s">
        <v>606</v>
      </c>
      <c r="C1837" s="230" t="s">
        <v>634</v>
      </c>
      <c r="D1837" s="229" t="s">
        <v>601</v>
      </c>
      <c r="E1837" s="228" t="s">
        <v>287</v>
      </c>
      <c r="F1837" s="227" t="s">
        <v>624</v>
      </c>
      <c r="G1837" s="227" t="s">
        <v>596</v>
      </c>
    </row>
    <row r="1838" spans="1:7" x14ac:dyDescent="0.25">
      <c r="A1838" s="169" t="str">
        <f>E1838&amp;COUNTIFS($E$2:E1838,E1838)</f>
        <v>0</v>
      </c>
      <c r="B1838" s="172"/>
      <c r="C1838" s="174"/>
      <c r="D1838" s="173"/>
      <c r="E1838" s="172"/>
      <c r="F1838" s="171"/>
      <c r="G1838" s="170"/>
    </row>
    <row r="1839" spans="1:7" x14ac:dyDescent="0.25">
      <c r="A1839" s="169" t="str">
        <f>E1839&amp;COUNTIFS($E$2:E1839,E1839)</f>
        <v>0</v>
      </c>
      <c r="B1839" s="166"/>
      <c r="C1839" s="168"/>
      <c r="D1839" s="167"/>
      <c r="E1839" s="166"/>
      <c r="F1839" s="165"/>
      <c r="G1839" s="164"/>
    </row>
    <row r="1840" spans="1:7" x14ac:dyDescent="0.25">
      <c r="A1840" s="169" t="str">
        <f>E1840&amp;COUNTIFS($E$2:E1840,E1840)</f>
        <v>0</v>
      </c>
      <c r="B1840" s="166"/>
      <c r="C1840" s="168"/>
      <c r="D1840" s="167"/>
      <c r="E1840" s="166"/>
      <c r="F1840" s="165"/>
      <c r="G1840" s="164"/>
    </row>
    <row r="1841" spans="1:7" x14ac:dyDescent="0.25">
      <c r="A1841" s="169" t="str">
        <f>E1841&amp;COUNTIFS($E$2:E1841,E1841)</f>
        <v>0</v>
      </c>
      <c r="B1841" s="166"/>
      <c r="C1841" s="168"/>
      <c r="D1841" s="167"/>
      <c r="E1841" s="166"/>
      <c r="F1841" s="165"/>
      <c r="G1841" s="164"/>
    </row>
    <row r="1842" spans="1:7" x14ac:dyDescent="0.25">
      <c r="A1842" s="169" t="str">
        <f>E1842&amp;COUNTIFS($E$2:E1842,E1842)</f>
        <v>0</v>
      </c>
      <c r="B1842" s="166"/>
      <c r="C1842" s="168"/>
      <c r="D1842" s="167"/>
      <c r="E1842" s="166"/>
      <c r="F1842" s="165"/>
      <c r="G1842" s="164"/>
    </row>
    <row r="1843" spans="1:7" x14ac:dyDescent="0.25">
      <c r="A1843" s="169" t="str">
        <f>E1843&amp;COUNTIFS($E$2:E1843,E1843)</f>
        <v>0</v>
      </c>
      <c r="B1843" s="166"/>
      <c r="C1843" s="168"/>
      <c r="D1843" s="167"/>
      <c r="E1843" s="166"/>
      <c r="F1843" s="165"/>
      <c r="G1843" s="164"/>
    </row>
    <row r="1844" spans="1:7" x14ac:dyDescent="0.25">
      <c r="A1844" s="169" t="str">
        <f>E1844&amp;COUNTIFS($E$2:E1844,E1844)</f>
        <v>0</v>
      </c>
      <c r="B1844" s="166"/>
      <c r="C1844" s="168"/>
      <c r="D1844" s="167"/>
      <c r="E1844" s="166"/>
      <c r="F1844" s="165"/>
      <c r="G1844" s="164"/>
    </row>
    <row r="1845" spans="1:7" x14ac:dyDescent="0.25">
      <c r="A1845" s="169" t="str">
        <f>E1845&amp;COUNTIFS($E$2:E1845,E1845)</f>
        <v>0</v>
      </c>
      <c r="B1845" s="166"/>
      <c r="C1845" s="168"/>
      <c r="D1845" s="167"/>
      <c r="E1845" s="166"/>
      <c r="F1845" s="165"/>
      <c r="G1845" s="164"/>
    </row>
    <row r="1846" spans="1:7" x14ac:dyDescent="0.25">
      <c r="A1846" s="169" t="str">
        <f>E1846&amp;COUNTIFS($E$2:E1846,E1846)</f>
        <v>0</v>
      </c>
      <c r="B1846" s="166"/>
      <c r="C1846" s="168"/>
      <c r="D1846" s="167"/>
      <c r="E1846" s="166"/>
      <c r="F1846" s="165"/>
      <c r="G1846" s="164"/>
    </row>
    <row r="1847" spans="1:7" x14ac:dyDescent="0.25">
      <c r="A1847" s="169" t="str">
        <f>E1847&amp;COUNTIFS($E$2:E1847,E1847)</f>
        <v>0</v>
      </c>
      <c r="B1847" s="166"/>
      <c r="C1847" s="168"/>
      <c r="D1847" s="167"/>
      <c r="E1847" s="166"/>
      <c r="F1847" s="165"/>
      <c r="G1847" s="164"/>
    </row>
    <row r="1848" spans="1:7" x14ac:dyDescent="0.25">
      <c r="A1848" s="169" t="str">
        <f>E1848&amp;COUNTIFS($E$2:E1848,E1848)</f>
        <v>0</v>
      </c>
      <c r="B1848" s="166"/>
      <c r="C1848" s="168"/>
      <c r="D1848" s="167"/>
      <c r="E1848" s="166"/>
      <c r="F1848" s="165"/>
      <c r="G1848" s="164"/>
    </row>
    <row r="1849" spans="1:7" x14ac:dyDescent="0.25">
      <c r="A1849" s="169" t="str">
        <f>E1849&amp;COUNTIFS($E$2:E1849,E1849)</f>
        <v>0</v>
      </c>
      <c r="B1849" s="166"/>
      <c r="C1849" s="168"/>
      <c r="D1849" s="167"/>
      <c r="E1849" s="166"/>
      <c r="F1849" s="165"/>
      <c r="G1849" s="164"/>
    </row>
    <row r="1850" spans="1:7" x14ac:dyDescent="0.25">
      <c r="A1850" s="169" t="str">
        <f>E1850&amp;COUNTIFS($E$2:E1850,E1850)</f>
        <v>0</v>
      </c>
      <c r="B1850" s="166"/>
      <c r="C1850" s="168"/>
      <c r="D1850" s="167"/>
      <c r="E1850" s="166"/>
      <c r="F1850" s="165"/>
      <c r="G1850" s="164"/>
    </row>
    <row r="1851" spans="1:7" x14ac:dyDescent="0.25">
      <c r="A1851" s="169" t="str">
        <f>E1851&amp;COUNTIFS($E$2:E1851,E1851)</f>
        <v>0</v>
      </c>
      <c r="B1851" s="166"/>
      <c r="C1851" s="168"/>
      <c r="D1851" s="167"/>
      <c r="E1851" s="166"/>
      <c r="F1851" s="165"/>
      <c r="G1851" s="164"/>
    </row>
    <row r="1852" spans="1:7" x14ac:dyDescent="0.25">
      <c r="A1852" s="169" t="str">
        <f>E1852&amp;COUNTIFS($E$2:E1852,E1852)</f>
        <v>0</v>
      </c>
      <c r="B1852" s="166"/>
      <c r="C1852" s="168"/>
      <c r="D1852" s="167"/>
      <c r="E1852" s="166"/>
      <c r="F1852" s="165"/>
      <c r="G1852" s="164"/>
    </row>
    <row r="1853" spans="1:7" x14ac:dyDescent="0.25">
      <c r="A1853" s="169" t="str">
        <f>E1853&amp;COUNTIFS($E$2:E1853,E1853)</f>
        <v>0</v>
      </c>
      <c r="B1853" s="166"/>
      <c r="C1853" s="168"/>
      <c r="D1853" s="167"/>
      <c r="E1853" s="166"/>
      <c r="F1853" s="165"/>
      <c r="G1853" s="164"/>
    </row>
    <row r="1854" spans="1:7" x14ac:dyDescent="0.25">
      <c r="A1854" s="169" t="str">
        <f>E1854&amp;COUNTIFS($E$2:E1854,E1854)</f>
        <v>0</v>
      </c>
      <c r="B1854" s="166"/>
      <c r="C1854" s="168"/>
      <c r="D1854" s="167"/>
      <c r="E1854" s="166"/>
      <c r="F1854" s="165"/>
      <c r="G1854" s="164"/>
    </row>
    <row r="1855" spans="1:7" x14ac:dyDescent="0.25">
      <c r="A1855" s="169" t="str">
        <f>E1855&amp;COUNTIFS($E$2:E1855,E1855)</f>
        <v>0</v>
      </c>
      <c r="B1855" s="166"/>
      <c r="C1855" s="168"/>
      <c r="D1855" s="167"/>
      <c r="E1855" s="166"/>
      <c r="F1855" s="165"/>
      <c r="G1855" s="164"/>
    </row>
    <row r="1856" spans="1:7" x14ac:dyDescent="0.25">
      <c r="A1856" s="169" t="str">
        <f>E1856&amp;COUNTIFS($E$2:E1856,E1856)</f>
        <v>0</v>
      </c>
      <c r="B1856" s="166"/>
      <c r="C1856" s="168"/>
      <c r="D1856" s="167"/>
      <c r="E1856" s="166"/>
      <c r="F1856" s="165"/>
      <c r="G1856" s="164"/>
    </row>
    <row r="1857" spans="1:7" x14ac:dyDescent="0.25">
      <c r="A1857" s="169" t="str">
        <f>E1857&amp;COUNTIFS($E$2:E1857,E1857)</f>
        <v>0</v>
      </c>
      <c r="B1857" s="166"/>
      <c r="C1857" s="168"/>
      <c r="D1857" s="167"/>
      <c r="E1857" s="166"/>
      <c r="F1857" s="165"/>
      <c r="G1857" s="164"/>
    </row>
    <row r="1858" spans="1:7" x14ac:dyDescent="0.25">
      <c r="A1858" s="169" t="str">
        <f>E1858&amp;COUNTIFS($E$2:E1858,E1858)</f>
        <v>0</v>
      </c>
      <c r="B1858" s="166"/>
      <c r="C1858" s="168"/>
      <c r="D1858" s="167"/>
      <c r="E1858" s="166"/>
      <c r="F1858" s="165"/>
      <c r="G1858" s="164"/>
    </row>
    <row r="1859" spans="1:7" x14ac:dyDescent="0.25">
      <c r="A1859" s="169" t="str">
        <f>E1859&amp;COUNTIFS($E$2:E1859,E1859)</f>
        <v>0</v>
      </c>
      <c r="B1859" s="166"/>
      <c r="C1859" s="168"/>
      <c r="D1859" s="167"/>
      <c r="E1859" s="166"/>
      <c r="F1859" s="165"/>
      <c r="G1859" s="164"/>
    </row>
    <row r="1860" spans="1:7" x14ac:dyDescent="0.25">
      <c r="A1860" s="169" t="str">
        <f>E1860&amp;COUNTIFS($E$2:E1860,E1860)</f>
        <v>0</v>
      </c>
      <c r="B1860" s="166"/>
      <c r="C1860" s="168"/>
      <c r="D1860" s="167"/>
      <c r="E1860" s="166"/>
      <c r="F1860" s="165"/>
      <c r="G1860" s="164"/>
    </row>
    <row r="1861" spans="1:7" x14ac:dyDescent="0.25">
      <c r="A1861" s="169" t="str">
        <f>E1861&amp;COUNTIFS($E$2:E1861,E1861)</f>
        <v>0</v>
      </c>
      <c r="B1861" s="166"/>
      <c r="C1861" s="168"/>
      <c r="D1861" s="167"/>
      <c r="E1861" s="166"/>
      <c r="F1861" s="165"/>
      <c r="G1861" s="164"/>
    </row>
    <row r="1862" spans="1:7" ht="15.75" thickBot="1" x14ac:dyDescent="0.3">
      <c r="A1862" s="163" t="str">
        <f>E1862&amp;COUNTIFS($E$2:E1862,E1862)</f>
        <v>0</v>
      </c>
      <c r="B1862" s="166"/>
      <c r="C1862" s="162"/>
      <c r="D1862" s="161"/>
      <c r="E1862" s="160"/>
      <c r="F1862" s="159"/>
      <c r="G1862" s="158"/>
    </row>
    <row r="1863" spans="1:7" x14ac:dyDescent="0.25">
      <c r="A1863" s="148"/>
      <c r="C1863" s="143"/>
      <c r="D1863" s="157"/>
      <c r="E1863" s="143"/>
      <c r="F1863" s="156"/>
      <c r="G1863" s="156"/>
    </row>
    <row r="1864" spans="1:7" x14ac:dyDescent="0.25">
      <c r="A1864" s="148"/>
      <c r="C1864" s="153" t="s">
        <v>623</v>
      </c>
      <c r="D1864" s="152"/>
      <c r="E1864" s="151"/>
      <c r="F1864" s="150">
        <f>SUM(F1838:F1862)</f>
        <v>0</v>
      </c>
      <c r="G1864" s="155">
        <f>SUM(G1838:G1862)</f>
        <v>0</v>
      </c>
    </row>
    <row r="1865" spans="1:7" x14ac:dyDescent="0.25">
      <c r="A1865" s="148"/>
      <c r="C1865" s="145" t="s">
        <v>622</v>
      </c>
      <c r="D1865" s="154"/>
      <c r="E1865" s="145"/>
      <c r="F1865" s="144"/>
      <c r="G1865" s="144"/>
    </row>
    <row r="1866" spans="1:7" x14ac:dyDescent="0.25">
      <c r="A1866" s="148"/>
      <c r="C1866" s="153" t="s">
        <v>621</v>
      </c>
      <c r="D1866" s="152"/>
      <c r="E1866" s="151"/>
      <c r="F1866" s="150">
        <f>F1833</f>
        <v>0</v>
      </c>
      <c r="G1866" s="150">
        <f>G1833</f>
        <v>0</v>
      </c>
    </row>
    <row r="1867" spans="1:7" x14ac:dyDescent="0.25">
      <c r="A1867" s="148"/>
      <c r="C1867" s="153" t="s">
        <v>582</v>
      </c>
      <c r="D1867" s="152"/>
      <c r="E1867" s="151"/>
      <c r="F1867" s="150">
        <f>F1866+F1864</f>
        <v>0</v>
      </c>
      <c r="G1867" s="150">
        <f>G1866+G1864</f>
        <v>0</v>
      </c>
    </row>
    <row r="1868" spans="1:7" ht="15.75" thickBot="1" x14ac:dyDescent="0.3">
      <c r="A1868" s="148"/>
      <c r="C1868" s="145"/>
      <c r="D1868" s="149"/>
      <c r="E1868" s="145"/>
      <c r="F1868" s="144"/>
      <c r="G1868" s="144"/>
    </row>
    <row r="1869" spans="1:7" ht="15.75" thickBot="1" x14ac:dyDescent="0.3">
      <c r="A1869" s="148"/>
      <c r="C1869" s="147" t="s">
        <v>620</v>
      </c>
      <c r="D1869" s="146">
        <f>F1867-G1867</f>
        <v>0</v>
      </c>
      <c r="E1869" s="145"/>
      <c r="F1869" s="144"/>
      <c r="G1869" s="144"/>
    </row>
    <row r="1870" spans="1:7" ht="15.75" thickBot="1" x14ac:dyDescent="0.3"/>
    <row r="1871" spans="1:7" ht="30.75" thickBot="1" x14ac:dyDescent="0.3">
      <c r="A1871" s="232" t="s">
        <v>626</v>
      </c>
      <c r="B1871" s="231" t="s">
        <v>606</v>
      </c>
      <c r="C1871" s="230" t="s">
        <v>634</v>
      </c>
      <c r="D1871" s="229" t="s">
        <v>601</v>
      </c>
      <c r="E1871" s="228" t="s">
        <v>287</v>
      </c>
      <c r="F1871" s="227" t="s">
        <v>624</v>
      </c>
      <c r="G1871" s="227" t="s">
        <v>596</v>
      </c>
    </row>
    <row r="1872" spans="1:7" x14ac:dyDescent="0.25">
      <c r="A1872" s="169" t="str">
        <f>E1872&amp;COUNTIFS($E$2:E1872,E1872)</f>
        <v>0</v>
      </c>
      <c r="B1872" s="172"/>
      <c r="C1872" s="174"/>
      <c r="D1872" s="173"/>
      <c r="E1872" s="172"/>
      <c r="F1872" s="171"/>
      <c r="G1872" s="170"/>
    </row>
    <row r="1873" spans="1:7" x14ac:dyDescent="0.25">
      <c r="A1873" s="169" t="str">
        <f>E1873&amp;COUNTIFS($E$2:E1873,E1873)</f>
        <v>0</v>
      </c>
      <c r="B1873" s="166"/>
      <c r="C1873" s="168"/>
      <c r="D1873" s="167"/>
      <c r="E1873" s="166"/>
      <c r="F1873" s="165"/>
      <c r="G1873" s="164"/>
    </row>
    <row r="1874" spans="1:7" x14ac:dyDescent="0.25">
      <c r="A1874" s="169" t="str">
        <f>E1874&amp;COUNTIFS($E$2:E1874,E1874)</f>
        <v>0</v>
      </c>
      <c r="B1874" s="166"/>
      <c r="C1874" s="168"/>
      <c r="D1874" s="167"/>
      <c r="E1874" s="166"/>
      <c r="F1874" s="165"/>
      <c r="G1874" s="164"/>
    </row>
    <row r="1875" spans="1:7" x14ac:dyDescent="0.25">
      <c r="A1875" s="169" t="str">
        <f>E1875&amp;COUNTIFS($E$2:E1875,E1875)</f>
        <v>0</v>
      </c>
      <c r="B1875" s="166"/>
      <c r="C1875" s="168"/>
      <c r="D1875" s="167"/>
      <c r="E1875" s="166"/>
      <c r="F1875" s="165"/>
      <c r="G1875" s="164"/>
    </row>
    <row r="1876" spans="1:7" x14ac:dyDescent="0.25">
      <c r="A1876" s="169" t="str">
        <f>E1876&amp;COUNTIFS($E$2:E1876,E1876)</f>
        <v>0</v>
      </c>
      <c r="B1876" s="166"/>
      <c r="C1876" s="168"/>
      <c r="D1876" s="167"/>
      <c r="E1876" s="166"/>
      <c r="F1876" s="165"/>
      <c r="G1876" s="164"/>
    </row>
    <row r="1877" spans="1:7" x14ac:dyDescent="0.25">
      <c r="A1877" s="169" t="str">
        <f>E1877&amp;COUNTIFS($E$2:E1877,E1877)</f>
        <v>0</v>
      </c>
      <c r="B1877" s="166"/>
      <c r="C1877" s="168"/>
      <c r="D1877" s="167"/>
      <c r="E1877" s="166"/>
      <c r="F1877" s="165"/>
      <c r="G1877" s="164"/>
    </row>
    <row r="1878" spans="1:7" x14ac:dyDescent="0.25">
      <c r="A1878" s="169" t="str">
        <f>E1878&amp;COUNTIFS($E$2:E1878,E1878)</f>
        <v>0</v>
      </c>
      <c r="B1878" s="166"/>
      <c r="C1878" s="168"/>
      <c r="D1878" s="167"/>
      <c r="E1878" s="166"/>
      <c r="F1878" s="165"/>
      <c r="G1878" s="164"/>
    </row>
    <row r="1879" spans="1:7" x14ac:dyDescent="0.25">
      <c r="A1879" s="169" t="str">
        <f>E1879&amp;COUNTIFS($E$2:E1879,E1879)</f>
        <v>0</v>
      </c>
      <c r="B1879" s="166"/>
      <c r="C1879" s="168"/>
      <c r="D1879" s="167"/>
      <c r="E1879" s="166"/>
      <c r="F1879" s="165"/>
      <c r="G1879" s="164"/>
    </row>
    <row r="1880" spans="1:7" x14ac:dyDescent="0.25">
      <c r="A1880" s="169" t="str">
        <f>E1880&amp;COUNTIFS($E$2:E1880,E1880)</f>
        <v>0</v>
      </c>
      <c r="B1880" s="166"/>
      <c r="C1880" s="168"/>
      <c r="D1880" s="167"/>
      <c r="E1880" s="166"/>
      <c r="F1880" s="165"/>
      <c r="G1880" s="164"/>
    </row>
    <row r="1881" spans="1:7" x14ac:dyDescent="0.25">
      <c r="A1881" s="169" t="str">
        <f>E1881&amp;COUNTIFS($E$2:E1881,E1881)</f>
        <v>0</v>
      </c>
      <c r="B1881" s="166"/>
      <c r="C1881" s="168"/>
      <c r="D1881" s="167"/>
      <c r="E1881" s="166"/>
      <c r="F1881" s="165"/>
      <c r="G1881" s="164"/>
    </row>
    <row r="1882" spans="1:7" x14ac:dyDescent="0.25">
      <c r="A1882" s="169" t="str">
        <f>E1882&amp;COUNTIFS($E$2:E1882,E1882)</f>
        <v>0</v>
      </c>
      <c r="B1882" s="166"/>
      <c r="C1882" s="168"/>
      <c r="D1882" s="167"/>
      <c r="E1882" s="166"/>
      <c r="F1882" s="165"/>
      <c r="G1882" s="164"/>
    </row>
    <row r="1883" spans="1:7" x14ac:dyDescent="0.25">
      <c r="A1883" s="169" t="str">
        <f>E1883&amp;COUNTIFS($E$2:E1883,E1883)</f>
        <v>0</v>
      </c>
      <c r="B1883" s="166"/>
      <c r="C1883" s="168"/>
      <c r="D1883" s="167"/>
      <c r="E1883" s="166"/>
      <c r="F1883" s="165"/>
      <c r="G1883" s="164"/>
    </row>
    <row r="1884" spans="1:7" x14ac:dyDescent="0.25">
      <c r="A1884" s="169" t="str">
        <f>E1884&amp;COUNTIFS($E$2:E1884,E1884)</f>
        <v>0</v>
      </c>
      <c r="B1884" s="166"/>
      <c r="C1884" s="168"/>
      <c r="D1884" s="167"/>
      <c r="E1884" s="166"/>
      <c r="F1884" s="165"/>
      <c r="G1884" s="164"/>
    </row>
    <row r="1885" spans="1:7" x14ac:dyDescent="0.25">
      <c r="A1885" s="169" t="str">
        <f>E1885&amp;COUNTIFS($E$2:E1885,E1885)</f>
        <v>0</v>
      </c>
      <c r="B1885" s="166"/>
      <c r="C1885" s="168"/>
      <c r="D1885" s="167"/>
      <c r="E1885" s="166"/>
      <c r="F1885" s="165"/>
      <c r="G1885" s="164"/>
    </row>
    <row r="1886" spans="1:7" x14ac:dyDescent="0.25">
      <c r="A1886" s="169" t="str">
        <f>E1886&amp;COUNTIFS($E$2:E1886,E1886)</f>
        <v>0</v>
      </c>
      <c r="B1886" s="166"/>
      <c r="C1886" s="168"/>
      <c r="D1886" s="167"/>
      <c r="E1886" s="166"/>
      <c r="F1886" s="165"/>
      <c r="G1886" s="164"/>
    </row>
    <row r="1887" spans="1:7" x14ac:dyDescent="0.25">
      <c r="A1887" s="169" t="str">
        <f>E1887&amp;COUNTIFS($E$2:E1887,E1887)</f>
        <v>0</v>
      </c>
      <c r="B1887" s="166"/>
      <c r="C1887" s="168"/>
      <c r="D1887" s="167"/>
      <c r="E1887" s="166"/>
      <c r="F1887" s="165"/>
      <c r="G1887" s="164"/>
    </row>
    <row r="1888" spans="1:7" x14ac:dyDescent="0.25">
      <c r="A1888" s="169" t="str">
        <f>E1888&amp;COUNTIFS($E$2:E1888,E1888)</f>
        <v>0</v>
      </c>
      <c r="B1888" s="166"/>
      <c r="C1888" s="168"/>
      <c r="D1888" s="167"/>
      <c r="E1888" s="166"/>
      <c r="F1888" s="165"/>
      <c r="G1888" s="164"/>
    </row>
    <row r="1889" spans="1:7" x14ac:dyDescent="0.25">
      <c r="A1889" s="169" t="str">
        <f>E1889&amp;COUNTIFS($E$2:E1889,E1889)</f>
        <v>0</v>
      </c>
      <c r="B1889" s="166"/>
      <c r="C1889" s="168"/>
      <c r="D1889" s="167"/>
      <c r="E1889" s="166"/>
      <c r="F1889" s="165"/>
      <c r="G1889" s="164"/>
    </row>
    <row r="1890" spans="1:7" x14ac:dyDescent="0.25">
      <c r="A1890" s="169" t="str">
        <f>E1890&amp;COUNTIFS($E$2:E1890,E1890)</f>
        <v>0</v>
      </c>
      <c r="B1890" s="166"/>
      <c r="C1890" s="168"/>
      <c r="D1890" s="167"/>
      <c r="E1890" s="166"/>
      <c r="F1890" s="165"/>
      <c r="G1890" s="164"/>
    </row>
    <row r="1891" spans="1:7" x14ac:dyDescent="0.25">
      <c r="A1891" s="169" t="str">
        <f>E1891&amp;COUNTIFS($E$2:E1891,E1891)</f>
        <v>0</v>
      </c>
      <c r="B1891" s="166"/>
      <c r="C1891" s="168"/>
      <c r="D1891" s="167"/>
      <c r="E1891" s="166"/>
      <c r="F1891" s="165"/>
      <c r="G1891" s="164"/>
    </row>
    <row r="1892" spans="1:7" x14ac:dyDescent="0.25">
      <c r="A1892" s="169" t="str">
        <f>E1892&amp;COUNTIFS($E$2:E1892,E1892)</f>
        <v>0</v>
      </c>
      <c r="B1892" s="166"/>
      <c r="C1892" s="168"/>
      <c r="D1892" s="167"/>
      <c r="E1892" s="166"/>
      <c r="F1892" s="165"/>
      <c r="G1892" s="164"/>
    </row>
    <row r="1893" spans="1:7" x14ac:dyDescent="0.25">
      <c r="A1893" s="169" t="str">
        <f>E1893&amp;COUNTIFS($E$2:E1893,E1893)</f>
        <v>0</v>
      </c>
      <c r="B1893" s="166"/>
      <c r="C1893" s="168"/>
      <c r="D1893" s="167"/>
      <c r="E1893" s="166"/>
      <c r="F1893" s="165"/>
      <c r="G1893" s="164"/>
    </row>
    <row r="1894" spans="1:7" x14ac:dyDescent="0.25">
      <c r="A1894" s="169" t="str">
        <f>E1894&amp;COUNTIFS($E$2:E1894,E1894)</f>
        <v>0</v>
      </c>
      <c r="B1894" s="166"/>
      <c r="C1894" s="168"/>
      <c r="D1894" s="167"/>
      <c r="E1894" s="166"/>
      <c r="F1894" s="165"/>
      <c r="G1894" s="164"/>
    </row>
    <row r="1895" spans="1:7" x14ac:dyDescent="0.25">
      <c r="A1895" s="169" t="str">
        <f>E1895&amp;COUNTIFS($E$2:E1895,E1895)</f>
        <v>0</v>
      </c>
      <c r="B1895" s="166"/>
      <c r="C1895" s="168"/>
      <c r="D1895" s="167"/>
      <c r="E1895" s="166"/>
      <c r="F1895" s="165"/>
      <c r="G1895" s="164"/>
    </row>
    <row r="1896" spans="1:7" ht="15.75" thickBot="1" x14ac:dyDescent="0.3">
      <c r="A1896" s="163" t="str">
        <f>E1896&amp;COUNTIFS($E$2:E1896,E1896)</f>
        <v>0</v>
      </c>
      <c r="B1896" s="166"/>
      <c r="C1896" s="162"/>
      <c r="D1896" s="161"/>
      <c r="E1896" s="160"/>
      <c r="F1896" s="159"/>
      <c r="G1896" s="158"/>
    </row>
    <row r="1897" spans="1:7" x14ac:dyDescent="0.25">
      <c r="A1897" s="148"/>
      <c r="C1897" s="143"/>
      <c r="D1897" s="157"/>
      <c r="E1897" s="143"/>
      <c r="F1897" s="156"/>
      <c r="G1897" s="156"/>
    </row>
    <row r="1898" spans="1:7" x14ac:dyDescent="0.25">
      <c r="A1898" s="148"/>
      <c r="C1898" s="153" t="s">
        <v>623</v>
      </c>
      <c r="D1898" s="152"/>
      <c r="E1898" s="151"/>
      <c r="F1898" s="150">
        <f>SUM(F1872:F1896)</f>
        <v>0</v>
      </c>
      <c r="G1898" s="155">
        <f>SUM(G1872:G1896)</f>
        <v>0</v>
      </c>
    </row>
    <row r="1899" spans="1:7" x14ac:dyDescent="0.25">
      <c r="A1899" s="148"/>
      <c r="C1899" s="145" t="s">
        <v>622</v>
      </c>
      <c r="D1899" s="154"/>
      <c r="E1899" s="145"/>
      <c r="F1899" s="144"/>
      <c r="G1899" s="144"/>
    </row>
    <row r="1900" spans="1:7" x14ac:dyDescent="0.25">
      <c r="A1900" s="148"/>
      <c r="C1900" s="153" t="s">
        <v>621</v>
      </c>
      <c r="D1900" s="152"/>
      <c r="E1900" s="151"/>
      <c r="F1900" s="150">
        <f>F1867</f>
        <v>0</v>
      </c>
      <c r="G1900" s="150">
        <f>G1867</f>
        <v>0</v>
      </c>
    </row>
    <row r="1901" spans="1:7" x14ac:dyDescent="0.25">
      <c r="A1901" s="148"/>
      <c r="C1901" s="153" t="s">
        <v>582</v>
      </c>
      <c r="D1901" s="152"/>
      <c r="E1901" s="151"/>
      <c r="F1901" s="150">
        <f>F1900+F1898</f>
        <v>0</v>
      </c>
      <c r="G1901" s="150">
        <f>G1900+G1898</f>
        <v>0</v>
      </c>
    </row>
    <row r="1902" spans="1:7" ht="15.75" thickBot="1" x14ac:dyDescent="0.3">
      <c r="A1902" s="148"/>
      <c r="C1902" s="145"/>
      <c r="D1902" s="149"/>
      <c r="E1902" s="145"/>
      <c r="F1902" s="144"/>
      <c r="G1902" s="144"/>
    </row>
    <row r="1903" spans="1:7" ht="15.75" thickBot="1" x14ac:dyDescent="0.3">
      <c r="A1903" s="148"/>
      <c r="C1903" s="147" t="s">
        <v>620</v>
      </c>
      <c r="D1903" s="146">
        <f>F1901-G1901</f>
        <v>0</v>
      </c>
      <c r="E1903" s="145"/>
      <c r="F1903" s="144"/>
      <c r="G1903" s="144"/>
    </row>
    <row r="1904" spans="1:7" ht="15.75" thickBot="1" x14ac:dyDescent="0.3"/>
    <row r="1905" spans="1:7" ht="30.75" thickBot="1" x14ac:dyDescent="0.3">
      <c r="A1905" s="232" t="s">
        <v>626</v>
      </c>
      <c r="B1905" s="231" t="s">
        <v>606</v>
      </c>
      <c r="C1905" s="230" t="s">
        <v>634</v>
      </c>
      <c r="D1905" s="229" t="s">
        <v>601</v>
      </c>
      <c r="E1905" s="228" t="s">
        <v>287</v>
      </c>
      <c r="F1905" s="227" t="s">
        <v>624</v>
      </c>
      <c r="G1905" s="227" t="s">
        <v>596</v>
      </c>
    </row>
    <row r="1906" spans="1:7" x14ac:dyDescent="0.25">
      <c r="A1906" s="169" t="str">
        <f>E1906&amp;COUNTIFS($E$2:E1906,E1906)</f>
        <v>0</v>
      </c>
      <c r="B1906" s="172"/>
      <c r="C1906" s="174"/>
      <c r="D1906" s="173"/>
      <c r="E1906" s="172"/>
      <c r="F1906" s="171"/>
      <c r="G1906" s="170"/>
    </row>
    <row r="1907" spans="1:7" x14ac:dyDescent="0.25">
      <c r="A1907" s="169" t="str">
        <f>E1907&amp;COUNTIFS($E$2:E1907,E1907)</f>
        <v>0</v>
      </c>
      <c r="B1907" s="166"/>
      <c r="C1907" s="168"/>
      <c r="D1907" s="167"/>
      <c r="E1907" s="166"/>
      <c r="F1907" s="165"/>
      <c r="G1907" s="164"/>
    </row>
    <row r="1908" spans="1:7" x14ac:dyDescent="0.25">
      <c r="A1908" s="169" t="str">
        <f>E1908&amp;COUNTIFS($E$2:E1908,E1908)</f>
        <v>0</v>
      </c>
      <c r="B1908" s="166"/>
      <c r="C1908" s="168"/>
      <c r="D1908" s="167"/>
      <c r="E1908" s="166"/>
      <c r="F1908" s="165"/>
      <c r="G1908" s="164"/>
    </row>
    <row r="1909" spans="1:7" x14ac:dyDescent="0.25">
      <c r="A1909" s="169" t="str">
        <f>E1909&amp;COUNTIFS($E$2:E1909,E1909)</f>
        <v>0</v>
      </c>
      <c r="B1909" s="166"/>
      <c r="C1909" s="168"/>
      <c r="D1909" s="167"/>
      <c r="E1909" s="166"/>
      <c r="F1909" s="165"/>
      <c r="G1909" s="164"/>
    </row>
    <row r="1910" spans="1:7" x14ac:dyDescent="0.25">
      <c r="A1910" s="169" t="str">
        <f>E1910&amp;COUNTIFS($E$2:E1910,E1910)</f>
        <v>0</v>
      </c>
      <c r="B1910" s="166"/>
      <c r="C1910" s="168"/>
      <c r="D1910" s="167"/>
      <c r="E1910" s="166"/>
      <c r="F1910" s="165"/>
      <c r="G1910" s="164"/>
    </row>
    <row r="1911" spans="1:7" x14ac:dyDescent="0.25">
      <c r="A1911" s="169" t="str">
        <f>E1911&amp;COUNTIFS($E$2:E1911,E1911)</f>
        <v>0</v>
      </c>
      <c r="B1911" s="166"/>
      <c r="C1911" s="168"/>
      <c r="D1911" s="167"/>
      <c r="E1911" s="166"/>
      <c r="F1911" s="165"/>
      <c r="G1911" s="164"/>
    </row>
    <row r="1912" spans="1:7" x14ac:dyDescent="0.25">
      <c r="A1912" s="169" t="str">
        <f>E1912&amp;COUNTIFS($E$2:E1912,E1912)</f>
        <v>0</v>
      </c>
      <c r="B1912" s="166"/>
      <c r="C1912" s="168"/>
      <c r="D1912" s="167"/>
      <c r="E1912" s="166"/>
      <c r="F1912" s="165"/>
      <c r="G1912" s="164"/>
    </row>
    <row r="1913" spans="1:7" x14ac:dyDescent="0.25">
      <c r="A1913" s="169" t="str">
        <f>E1913&amp;COUNTIFS($E$2:E1913,E1913)</f>
        <v>0</v>
      </c>
      <c r="B1913" s="166"/>
      <c r="C1913" s="168"/>
      <c r="D1913" s="167"/>
      <c r="E1913" s="166"/>
      <c r="F1913" s="165"/>
      <c r="G1913" s="164"/>
    </row>
    <row r="1914" spans="1:7" x14ac:dyDescent="0.25">
      <c r="A1914" s="169" t="str">
        <f>E1914&amp;COUNTIFS($E$2:E1914,E1914)</f>
        <v>0</v>
      </c>
      <c r="B1914" s="166"/>
      <c r="C1914" s="168"/>
      <c r="D1914" s="167"/>
      <c r="E1914" s="166"/>
      <c r="F1914" s="165"/>
      <c r="G1914" s="164"/>
    </row>
    <row r="1915" spans="1:7" x14ac:dyDescent="0.25">
      <c r="A1915" s="169" t="str">
        <f>E1915&amp;COUNTIFS($E$2:E1915,E1915)</f>
        <v>0</v>
      </c>
      <c r="B1915" s="166"/>
      <c r="C1915" s="168"/>
      <c r="D1915" s="167"/>
      <c r="E1915" s="166"/>
      <c r="F1915" s="165"/>
      <c r="G1915" s="164"/>
    </row>
    <row r="1916" spans="1:7" x14ac:dyDescent="0.25">
      <c r="A1916" s="169" t="str">
        <f>E1916&amp;COUNTIFS($E$2:E1916,E1916)</f>
        <v>0</v>
      </c>
      <c r="B1916" s="166"/>
      <c r="C1916" s="168"/>
      <c r="D1916" s="167"/>
      <c r="E1916" s="166"/>
      <c r="F1916" s="165"/>
      <c r="G1916" s="164"/>
    </row>
    <row r="1917" spans="1:7" x14ac:dyDescent="0.25">
      <c r="A1917" s="169" t="str">
        <f>E1917&amp;COUNTIFS($E$2:E1917,E1917)</f>
        <v>0</v>
      </c>
      <c r="B1917" s="166"/>
      <c r="C1917" s="168"/>
      <c r="D1917" s="167"/>
      <c r="E1917" s="166"/>
      <c r="F1917" s="165"/>
      <c r="G1917" s="164"/>
    </row>
    <row r="1918" spans="1:7" x14ac:dyDescent="0.25">
      <c r="A1918" s="169" t="str">
        <f>E1918&amp;COUNTIFS($E$2:E1918,E1918)</f>
        <v>0</v>
      </c>
      <c r="B1918" s="166"/>
      <c r="C1918" s="168"/>
      <c r="D1918" s="167"/>
      <c r="E1918" s="166"/>
      <c r="F1918" s="165"/>
      <c r="G1918" s="164"/>
    </row>
    <row r="1919" spans="1:7" x14ac:dyDescent="0.25">
      <c r="A1919" s="169" t="str">
        <f>E1919&amp;COUNTIFS($E$2:E1919,E1919)</f>
        <v>0</v>
      </c>
      <c r="B1919" s="166"/>
      <c r="C1919" s="168"/>
      <c r="D1919" s="167"/>
      <c r="E1919" s="166"/>
      <c r="F1919" s="165"/>
      <c r="G1919" s="164"/>
    </row>
    <row r="1920" spans="1:7" x14ac:dyDescent="0.25">
      <c r="A1920" s="169" t="str">
        <f>E1920&amp;COUNTIFS($E$2:E1920,E1920)</f>
        <v>0</v>
      </c>
      <c r="B1920" s="166"/>
      <c r="C1920" s="168"/>
      <c r="D1920" s="167"/>
      <c r="E1920" s="166"/>
      <c r="F1920" s="165"/>
      <c r="G1920" s="164"/>
    </row>
    <row r="1921" spans="1:7" x14ac:dyDescent="0.25">
      <c r="A1921" s="169" t="str">
        <f>E1921&amp;COUNTIFS($E$2:E1921,E1921)</f>
        <v>0</v>
      </c>
      <c r="B1921" s="166"/>
      <c r="C1921" s="168"/>
      <c r="D1921" s="167"/>
      <c r="E1921" s="166"/>
      <c r="F1921" s="165"/>
      <c r="G1921" s="164"/>
    </row>
    <row r="1922" spans="1:7" x14ac:dyDescent="0.25">
      <c r="A1922" s="169" t="str">
        <f>E1922&amp;COUNTIFS($E$2:E1922,E1922)</f>
        <v>0</v>
      </c>
      <c r="B1922" s="166"/>
      <c r="C1922" s="168"/>
      <c r="D1922" s="167"/>
      <c r="E1922" s="166"/>
      <c r="F1922" s="165"/>
      <c r="G1922" s="164"/>
    </row>
    <row r="1923" spans="1:7" x14ac:dyDescent="0.25">
      <c r="A1923" s="169" t="str">
        <f>E1923&amp;COUNTIFS($E$2:E1923,E1923)</f>
        <v>0</v>
      </c>
      <c r="B1923" s="166"/>
      <c r="C1923" s="168"/>
      <c r="D1923" s="167"/>
      <c r="E1923" s="166"/>
      <c r="F1923" s="165"/>
      <c r="G1923" s="164"/>
    </row>
    <row r="1924" spans="1:7" x14ac:dyDescent="0.25">
      <c r="A1924" s="169" t="str">
        <f>E1924&amp;COUNTIFS($E$2:E1924,E1924)</f>
        <v>0</v>
      </c>
      <c r="B1924" s="166"/>
      <c r="C1924" s="168"/>
      <c r="D1924" s="167"/>
      <c r="E1924" s="166"/>
      <c r="F1924" s="165"/>
      <c r="G1924" s="164"/>
    </row>
    <row r="1925" spans="1:7" x14ac:dyDescent="0.25">
      <c r="A1925" s="169" t="str">
        <f>E1925&amp;COUNTIFS($E$2:E1925,E1925)</f>
        <v>0</v>
      </c>
      <c r="B1925" s="166"/>
      <c r="C1925" s="168"/>
      <c r="D1925" s="167"/>
      <c r="E1925" s="166"/>
      <c r="F1925" s="165"/>
      <c r="G1925" s="164"/>
    </row>
    <row r="1926" spans="1:7" x14ac:dyDescent="0.25">
      <c r="A1926" s="169" t="str">
        <f>E1926&amp;COUNTIFS($E$2:E1926,E1926)</f>
        <v>0</v>
      </c>
      <c r="B1926" s="166"/>
      <c r="C1926" s="168"/>
      <c r="D1926" s="167"/>
      <c r="E1926" s="166"/>
      <c r="F1926" s="165"/>
      <c r="G1926" s="164"/>
    </row>
    <row r="1927" spans="1:7" x14ac:dyDescent="0.25">
      <c r="A1927" s="169" t="str">
        <f>E1927&amp;COUNTIFS($E$2:E1927,E1927)</f>
        <v>0</v>
      </c>
      <c r="B1927" s="166"/>
      <c r="C1927" s="168"/>
      <c r="D1927" s="167"/>
      <c r="E1927" s="166"/>
      <c r="F1927" s="165"/>
      <c r="G1927" s="164"/>
    </row>
    <row r="1928" spans="1:7" x14ac:dyDescent="0.25">
      <c r="A1928" s="169" t="str">
        <f>E1928&amp;COUNTIFS($E$2:E1928,E1928)</f>
        <v>0</v>
      </c>
      <c r="B1928" s="166"/>
      <c r="C1928" s="168"/>
      <c r="D1928" s="167"/>
      <c r="E1928" s="166"/>
      <c r="F1928" s="165"/>
      <c r="G1928" s="164"/>
    </row>
    <row r="1929" spans="1:7" x14ac:dyDescent="0.25">
      <c r="A1929" s="169" t="str">
        <f>E1929&amp;COUNTIFS($E$2:E1929,E1929)</f>
        <v>0</v>
      </c>
      <c r="B1929" s="166"/>
      <c r="C1929" s="168"/>
      <c r="D1929" s="167"/>
      <c r="E1929" s="166"/>
      <c r="F1929" s="165"/>
      <c r="G1929" s="164"/>
    </row>
    <row r="1930" spans="1:7" ht="15.75" thickBot="1" x14ac:dyDescent="0.3">
      <c r="A1930" s="163" t="str">
        <f>E1930&amp;COUNTIFS($E$2:E1930,E1930)</f>
        <v>0</v>
      </c>
      <c r="B1930" s="166"/>
      <c r="C1930" s="162"/>
      <c r="D1930" s="161"/>
      <c r="E1930" s="160"/>
      <c r="F1930" s="159"/>
      <c r="G1930" s="158"/>
    </row>
    <row r="1931" spans="1:7" x14ac:dyDescent="0.25">
      <c r="A1931" s="148"/>
      <c r="C1931" s="143"/>
      <c r="D1931" s="157"/>
      <c r="E1931" s="143"/>
      <c r="F1931" s="156"/>
      <c r="G1931" s="156"/>
    </row>
    <row r="1932" spans="1:7" x14ac:dyDescent="0.25">
      <c r="A1932" s="148"/>
      <c r="C1932" s="153" t="s">
        <v>623</v>
      </c>
      <c r="D1932" s="152"/>
      <c r="E1932" s="151"/>
      <c r="F1932" s="150">
        <f>SUM(F1906:F1930)</f>
        <v>0</v>
      </c>
      <c r="G1932" s="155">
        <f>SUM(G1906:G1930)</f>
        <v>0</v>
      </c>
    </row>
    <row r="1933" spans="1:7" x14ac:dyDescent="0.25">
      <c r="A1933" s="148"/>
      <c r="C1933" s="145" t="s">
        <v>622</v>
      </c>
      <c r="D1933" s="154"/>
      <c r="E1933" s="145"/>
      <c r="F1933" s="144"/>
      <c r="G1933" s="144"/>
    </row>
    <row r="1934" spans="1:7" x14ac:dyDescent="0.25">
      <c r="A1934" s="148"/>
      <c r="C1934" s="153" t="s">
        <v>621</v>
      </c>
      <c r="D1934" s="152"/>
      <c r="E1934" s="151"/>
      <c r="F1934" s="150">
        <f>F1901</f>
        <v>0</v>
      </c>
      <c r="G1934" s="150">
        <f>G1901</f>
        <v>0</v>
      </c>
    </row>
    <row r="1935" spans="1:7" x14ac:dyDescent="0.25">
      <c r="A1935" s="148"/>
      <c r="C1935" s="153" t="s">
        <v>582</v>
      </c>
      <c r="D1935" s="152"/>
      <c r="E1935" s="151"/>
      <c r="F1935" s="150">
        <f>F1934+F1932</f>
        <v>0</v>
      </c>
      <c r="G1935" s="150">
        <f>G1934+G1932</f>
        <v>0</v>
      </c>
    </row>
    <row r="1936" spans="1:7" ht="15.75" thickBot="1" x14ac:dyDescent="0.3">
      <c r="A1936" s="148"/>
      <c r="C1936" s="145"/>
      <c r="D1936" s="149"/>
      <c r="E1936" s="145"/>
      <c r="F1936" s="144"/>
      <c r="G1936" s="144"/>
    </row>
    <row r="1937" spans="1:7" ht="15.75" thickBot="1" x14ac:dyDescent="0.3">
      <c r="A1937" s="148"/>
      <c r="C1937" s="147" t="s">
        <v>620</v>
      </c>
      <c r="D1937" s="146">
        <f>F1935-G1935</f>
        <v>0</v>
      </c>
      <c r="E1937" s="145"/>
      <c r="F1937" s="144"/>
      <c r="G1937" s="144"/>
    </row>
    <row r="1938" spans="1:7" ht="15.75" thickBot="1" x14ac:dyDescent="0.3"/>
    <row r="1939" spans="1:7" ht="30.75" thickBot="1" x14ac:dyDescent="0.3">
      <c r="A1939" s="232" t="s">
        <v>626</v>
      </c>
      <c r="B1939" s="231" t="s">
        <v>606</v>
      </c>
      <c r="C1939" s="230" t="s">
        <v>634</v>
      </c>
      <c r="D1939" s="229" t="s">
        <v>601</v>
      </c>
      <c r="E1939" s="228" t="s">
        <v>287</v>
      </c>
      <c r="F1939" s="227" t="s">
        <v>624</v>
      </c>
      <c r="G1939" s="227" t="s">
        <v>596</v>
      </c>
    </row>
    <row r="1940" spans="1:7" x14ac:dyDescent="0.25">
      <c r="A1940" s="169" t="str">
        <f>E1940&amp;COUNTIFS($E$2:E1940,E1940)</f>
        <v>0</v>
      </c>
      <c r="B1940" s="172"/>
      <c r="C1940" s="174"/>
      <c r="D1940" s="173"/>
      <c r="E1940" s="172"/>
      <c r="F1940" s="171"/>
      <c r="G1940" s="170"/>
    </row>
    <row r="1941" spans="1:7" x14ac:dyDescent="0.25">
      <c r="A1941" s="169" t="str">
        <f>E1941&amp;COUNTIFS($E$2:E1941,E1941)</f>
        <v>0</v>
      </c>
      <c r="B1941" s="166"/>
      <c r="C1941" s="168"/>
      <c r="D1941" s="167"/>
      <c r="E1941" s="166"/>
      <c r="F1941" s="165"/>
      <c r="G1941" s="164"/>
    </row>
    <row r="1942" spans="1:7" x14ac:dyDescent="0.25">
      <c r="A1942" s="169" t="str">
        <f>E1942&amp;COUNTIFS($E$2:E1942,E1942)</f>
        <v>0</v>
      </c>
      <c r="B1942" s="166"/>
      <c r="C1942" s="168"/>
      <c r="D1942" s="167"/>
      <c r="E1942" s="166"/>
      <c r="F1942" s="165"/>
      <c r="G1942" s="164"/>
    </row>
    <row r="1943" spans="1:7" x14ac:dyDescent="0.25">
      <c r="A1943" s="169" t="str">
        <f>E1943&amp;COUNTIFS($E$2:E1943,E1943)</f>
        <v>0</v>
      </c>
      <c r="B1943" s="166"/>
      <c r="C1943" s="168"/>
      <c r="D1943" s="167"/>
      <c r="E1943" s="166"/>
      <c r="F1943" s="165"/>
      <c r="G1943" s="164"/>
    </row>
    <row r="1944" spans="1:7" x14ac:dyDescent="0.25">
      <c r="A1944" s="169" t="str">
        <f>E1944&amp;COUNTIFS($E$2:E1944,E1944)</f>
        <v>0</v>
      </c>
      <c r="B1944" s="166"/>
      <c r="C1944" s="168"/>
      <c r="D1944" s="167"/>
      <c r="E1944" s="166"/>
      <c r="F1944" s="165"/>
      <c r="G1944" s="164"/>
    </row>
    <row r="1945" spans="1:7" x14ac:dyDescent="0.25">
      <c r="A1945" s="169" t="str">
        <f>E1945&amp;COUNTIFS($E$2:E1945,E1945)</f>
        <v>0</v>
      </c>
      <c r="B1945" s="166"/>
      <c r="C1945" s="168"/>
      <c r="D1945" s="167"/>
      <c r="E1945" s="166"/>
      <c r="F1945" s="165"/>
      <c r="G1945" s="164"/>
    </row>
    <row r="1946" spans="1:7" x14ac:dyDescent="0.25">
      <c r="A1946" s="169" t="str">
        <f>E1946&amp;COUNTIFS($E$2:E1946,E1946)</f>
        <v>0</v>
      </c>
      <c r="B1946" s="166"/>
      <c r="C1946" s="168"/>
      <c r="D1946" s="167"/>
      <c r="E1946" s="166"/>
      <c r="F1946" s="165"/>
      <c r="G1946" s="164"/>
    </row>
    <row r="1947" spans="1:7" x14ac:dyDescent="0.25">
      <c r="A1947" s="169" t="str">
        <f>E1947&amp;COUNTIFS($E$2:E1947,E1947)</f>
        <v>0</v>
      </c>
      <c r="B1947" s="166"/>
      <c r="C1947" s="168"/>
      <c r="D1947" s="167"/>
      <c r="E1947" s="166"/>
      <c r="F1947" s="165"/>
      <c r="G1947" s="164"/>
    </row>
    <row r="1948" spans="1:7" x14ac:dyDescent="0.25">
      <c r="A1948" s="169" t="str">
        <f>E1948&amp;COUNTIFS($E$2:E1948,E1948)</f>
        <v>0</v>
      </c>
      <c r="B1948" s="166"/>
      <c r="C1948" s="168"/>
      <c r="D1948" s="167"/>
      <c r="E1948" s="166"/>
      <c r="F1948" s="165"/>
      <c r="G1948" s="164"/>
    </row>
    <row r="1949" spans="1:7" x14ac:dyDescent="0.25">
      <c r="A1949" s="169" t="str">
        <f>E1949&amp;COUNTIFS($E$2:E1949,E1949)</f>
        <v>0</v>
      </c>
      <c r="B1949" s="166"/>
      <c r="C1949" s="168"/>
      <c r="D1949" s="167"/>
      <c r="E1949" s="166"/>
      <c r="F1949" s="165"/>
      <c r="G1949" s="164"/>
    </row>
    <row r="1950" spans="1:7" x14ac:dyDescent="0.25">
      <c r="A1950" s="169" t="str">
        <f>E1950&amp;COUNTIFS($E$2:E1950,E1950)</f>
        <v>0</v>
      </c>
      <c r="B1950" s="166"/>
      <c r="C1950" s="168"/>
      <c r="D1950" s="167"/>
      <c r="E1950" s="166"/>
      <c r="F1950" s="165"/>
      <c r="G1950" s="164"/>
    </row>
    <row r="1951" spans="1:7" x14ac:dyDescent="0.25">
      <c r="A1951" s="169" t="str">
        <f>E1951&amp;COUNTIFS($E$2:E1951,E1951)</f>
        <v>0</v>
      </c>
      <c r="B1951" s="166"/>
      <c r="C1951" s="168"/>
      <c r="D1951" s="167"/>
      <c r="E1951" s="166"/>
      <c r="F1951" s="165"/>
      <c r="G1951" s="164"/>
    </row>
    <row r="1952" spans="1:7" x14ac:dyDescent="0.25">
      <c r="A1952" s="169" t="str">
        <f>E1952&amp;COUNTIFS($E$2:E1952,E1952)</f>
        <v>0</v>
      </c>
      <c r="B1952" s="166"/>
      <c r="C1952" s="168"/>
      <c r="D1952" s="167"/>
      <c r="E1952" s="166"/>
      <c r="F1952" s="165"/>
      <c r="G1952" s="164"/>
    </row>
    <row r="1953" spans="1:7" x14ac:dyDescent="0.25">
      <c r="A1953" s="169" t="str">
        <f>E1953&amp;COUNTIFS($E$2:E1953,E1953)</f>
        <v>0</v>
      </c>
      <c r="B1953" s="166"/>
      <c r="C1953" s="168"/>
      <c r="D1953" s="167"/>
      <c r="E1953" s="166"/>
      <c r="F1953" s="165"/>
      <c r="G1953" s="164"/>
    </row>
    <row r="1954" spans="1:7" x14ac:dyDescent="0.25">
      <c r="A1954" s="169" t="str">
        <f>E1954&amp;COUNTIFS($E$2:E1954,E1954)</f>
        <v>0</v>
      </c>
      <c r="B1954" s="166"/>
      <c r="C1954" s="168"/>
      <c r="D1954" s="167"/>
      <c r="E1954" s="166"/>
      <c r="F1954" s="165"/>
      <c r="G1954" s="164"/>
    </row>
    <row r="1955" spans="1:7" x14ac:dyDescent="0.25">
      <c r="A1955" s="169" t="str">
        <f>E1955&amp;COUNTIFS($E$2:E1955,E1955)</f>
        <v>0</v>
      </c>
      <c r="B1955" s="166"/>
      <c r="C1955" s="168"/>
      <c r="D1955" s="167"/>
      <c r="E1955" s="166"/>
      <c r="F1955" s="165"/>
      <c r="G1955" s="164"/>
    </row>
    <row r="1956" spans="1:7" x14ac:dyDescent="0.25">
      <c r="A1956" s="169" t="str">
        <f>E1956&amp;COUNTIFS($E$2:E1956,E1956)</f>
        <v>0</v>
      </c>
      <c r="B1956" s="166"/>
      <c r="C1956" s="168"/>
      <c r="D1956" s="167"/>
      <c r="E1956" s="166"/>
      <c r="F1956" s="165"/>
      <c r="G1956" s="164"/>
    </row>
    <row r="1957" spans="1:7" x14ac:dyDescent="0.25">
      <c r="A1957" s="169" t="str">
        <f>E1957&amp;COUNTIFS($E$2:E1957,E1957)</f>
        <v>0</v>
      </c>
      <c r="B1957" s="166"/>
      <c r="C1957" s="168"/>
      <c r="D1957" s="167"/>
      <c r="E1957" s="166"/>
      <c r="F1957" s="165"/>
      <c r="G1957" s="164"/>
    </row>
    <row r="1958" spans="1:7" x14ac:dyDescent="0.25">
      <c r="A1958" s="169" t="str">
        <f>E1958&amp;COUNTIFS($E$2:E1958,E1958)</f>
        <v>0</v>
      </c>
      <c r="B1958" s="166"/>
      <c r="C1958" s="168"/>
      <c r="D1958" s="167"/>
      <c r="E1958" s="166"/>
      <c r="F1958" s="165"/>
      <c r="G1958" s="164"/>
    </row>
    <row r="1959" spans="1:7" x14ac:dyDescent="0.25">
      <c r="A1959" s="169" t="str">
        <f>E1959&amp;COUNTIFS($E$2:E1959,E1959)</f>
        <v>0</v>
      </c>
      <c r="B1959" s="166"/>
      <c r="C1959" s="168"/>
      <c r="D1959" s="167"/>
      <c r="E1959" s="166"/>
      <c r="F1959" s="165"/>
      <c r="G1959" s="164"/>
    </row>
    <row r="1960" spans="1:7" x14ac:dyDescent="0.25">
      <c r="A1960" s="169" t="str">
        <f>E1960&amp;COUNTIFS($E$2:E1960,E1960)</f>
        <v>0</v>
      </c>
      <c r="B1960" s="166"/>
      <c r="C1960" s="168"/>
      <c r="D1960" s="167"/>
      <c r="E1960" s="166"/>
      <c r="F1960" s="165"/>
      <c r="G1960" s="164"/>
    </row>
    <row r="1961" spans="1:7" x14ac:dyDescent="0.25">
      <c r="A1961" s="169" t="str">
        <f>E1961&amp;COUNTIFS($E$2:E1961,E1961)</f>
        <v>0</v>
      </c>
      <c r="B1961" s="166"/>
      <c r="C1961" s="168"/>
      <c r="D1961" s="167"/>
      <c r="E1961" s="166"/>
      <c r="F1961" s="165"/>
      <c r="G1961" s="164"/>
    </row>
    <row r="1962" spans="1:7" x14ac:dyDescent="0.25">
      <c r="A1962" s="169" t="str">
        <f>E1962&amp;COUNTIFS($E$2:E1962,E1962)</f>
        <v>0</v>
      </c>
      <c r="B1962" s="166"/>
      <c r="C1962" s="168"/>
      <c r="D1962" s="167"/>
      <c r="E1962" s="166"/>
      <c r="F1962" s="165"/>
      <c r="G1962" s="164"/>
    </row>
    <row r="1963" spans="1:7" x14ac:dyDescent="0.25">
      <c r="A1963" s="169" t="str">
        <f>E1963&amp;COUNTIFS($E$2:E1963,E1963)</f>
        <v>0</v>
      </c>
      <c r="B1963" s="166"/>
      <c r="C1963" s="168"/>
      <c r="D1963" s="167"/>
      <c r="E1963" s="166"/>
      <c r="F1963" s="165"/>
      <c r="G1963" s="164"/>
    </row>
    <row r="1964" spans="1:7" ht="15.75" thickBot="1" x14ac:dyDescent="0.3">
      <c r="A1964" s="163" t="str">
        <f>E1964&amp;COUNTIFS($E$2:E1964,E1964)</f>
        <v>0</v>
      </c>
      <c r="B1964" s="166"/>
      <c r="C1964" s="162"/>
      <c r="D1964" s="161"/>
      <c r="E1964" s="160"/>
      <c r="F1964" s="159"/>
      <c r="G1964" s="158"/>
    </row>
    <row r="1965" spans="1:7" x14ac:dyDescent="0.25">
      <c r="A1965" s="148"/>
      <c r="C1965" s="143"/>
      <c r="D1965" s="157"/>
      <c r="E1965" s="143"/>
      <c r="F1965" s="156"/>
      <c r="G1965" s="156"/>
    </row>
    <row r="1966" spans="1:7" x14ac:dyDescent="0.25">
      <c r="A1966" s="148"/>
      <c r="C1966" s="153" t="s">
        <v>623</v>
      </c>
      <c r="D1966" s="152"/>
      <c r="E1966" s="151"/>
      <c r="F1966" s="150">
        <f>SUM(F1940:F1964)</f>
        <v>0</v>
      </c>
      <c r="G1966" s="155">
        <f>SUM(G1940:G1964)</f>
        <v>0</v>
      </c>
    </row>
    <row r="1967" spans="1:7" x14ac:dyDescent="0.25">
      <c r="A1967" s="148"/>
      <c r="C1967" s="145" t="s">
        <v>622</v>
      </c>
      <c r="D1967" s="154"/>
      <c r="E1967" s="145"/>
      <c r="F1967" s="144"/>
      <c r="G1967" s="144"/>
    </row>
    <row r="1968" spans="1:7" x14ac:dyDescent="0.25">
      <c r="A1968" s="148"/>
      <c r="C1968" s="153" t="s">
        <v>621</v>
      </c>
      <c r="D1968" s="152"/>
      <c r="E1968" s="151"/>
      <c r="F1968" s="150">
        <f>F1935</f>
        <v>0</v>
      </c>
      <c r="G1968" s="150">
        <f>G1935</f>
        <v>0</v>
      </c>
    </row>
    <row r="1969" spans="1:7" x14ac:dyDescent="0.25">
      <c r="A1969" s="148"/>
      <c r="C1969" s="153" t="s">
        <v>582</v>
      </c>
      <c r="D1969" s="152"/>
      <c r="E1969" s="151"/>
      <c r="F1969" s="150">
        <f>F1968+F1966</f>
        <v>0</v>
      </c>
      <c r="G1969" s="150">
        <f>G1968+G1966</f>
        <v>0</v>
      </c>
    </row>
    <row r="1970" spans="1:7" ht="15.75" thickBot="1" x14ac:dyDescent="0.3">
      <c r="A1970" s="148"/>
      <c r="C1970" s="145"/>
      <c r="D1970" s="149"/>
      <c r="E1970" s="145"/>
      <c r="F1970" s="144"/>
      <c r="G1970" s="144"/>
    </row>
    <row r="1971" spans="1:7" ht="15.75" thickBot="1" x14ac:dyDescent="0.3">
      <c r="A1971" s="148"/>
      <c r="C1971" s="147" t="s">
        <v>620</v>
      </c>
      <c r="D1971" s="146">
        <f>F1969-G1969</f>
        <v>0</v>
      </c>
      <c r="E1971" s="145"/>
      <c r="F1971" s="144"/>
      <c r="G1971" s="144"/>
    </row>
    <row r="1972" spans="1:7" ht="15.75" thickBot="1" x14ac:dyDescent="0.3"/>
    <row r="1973" spans="1:7" ht="30.75" thickBot="1" x14ac:dyDescent="0.3">
      <c r="A1973" s="232" t="s">
        <v>626</v>
      </c>
      <c r="B1973" s="231" t="s">
        <v>606</v>
      </c>
      <c r="C1973" s="230" t="s">
        <v>634</v>
      </c>
      <c r="D1973" s="229" t="s">
        <v>601</v>
      </c>
      <c r="E1973" s="228" t="s">
        <v>287</v>
      </c>
      <c r="F1973" s="227" t="s">
        <v>624</v>
      </c>
      <c r="G1973" s="227" t="s">
        <v>596</v>
      </c>
    </row>
    <row r="1974" spans="1:7" x14ac:dyDescent="0.25">
      <c r="A1974" s="169" t="str">
        <f>E1974&amp;COUNTIFS($E$2:E1974,E1974)</f>
        <v>0</v>
      </c>
      <c r="B1974" s="172"/>
      <c r="C1974" s="174"/>
      <c r="D1974" s="173"/>
      <c r="E1974" s="172"/>
      <c r="F1974" s="171"/>
      <c r="G1974" s="170"/>
    </row>
    <row r="1975" spans="1:7" x14ac:dyDescent="0.25">
      <c r="A1975" s="169" t="str">
        <f>E1975&amp;COUNTIFS($E$2:E1975,E1975)</f>
        <v>0</v>
      </c>
      <c r="B1975" s="166"/>
      <c r="C1975" s="168"/>
      <c r="D1975" s="167"/>
      <c r="E1975" s="166"/>
      <c r="F1975" s="165"/>
      <c r="G1975" s="164"/>
    </row>
    <row r="1976" spans="1:7" x14ac:dyDescent="0.25">
      <c r="A1976" s="169" t="str">
        <f>E1976&amp;COUNTIFS($E$2:E1976,E1976)</f>
        <v>0</v>
      </c>
      <c r="B1976" s="166"/>
      <c r="C1976" s="168"/>
      <c r="D1976" s="167"/>
      <c r="E1976" s="166"/>
      <c r="F1976" s="165"/>
      <c r="G1976" s="164"/>
    </row>
    <row r="1977" spans="1:7" x14ac:dyDescent="0.25">
      <c r="A1977" s="169" t="str">
        <f>E1977&amp;COUNTIFS($E$2:E1977,E1977)</f>
        <v>0</v>
      </c>
      <c r="B1977" s="166"/>
      <c r="C1977" s="168"/>
      <c r="D1977" s="167"/>
      <c r="E1977" s="166"/>
      <c r="F1977" s="165"/>
      <c r="G1977" s="164"/>
    </row>
    <row r="1978" spans="1:7" x14ac:dyDescent="0.25">
      <c r="A1978" s="169" t="str">
        <f>E1978&amp;COUNTIFS($E$2:E1978,E1978)</f>
        <v>0</v>
      </c>
      <c r="B1978" s="166"/>
      <c r="C1978" s="168"/>
      <c r="D1978" s="167"/>
      <c r="E1978" s="166"/>
      <c r="F1978" s="165"/>
      <c r="G1978" s="164"/>
    </row>
    <row r="1979" spans="1:7" x14ac:dyDescent="0.25">
      <c r="A1979" s="169" t="str">
        <f>E1979&amp;COUNTIFS($E$2:E1979,E1979)</f>
        <v>0</v>
      </c>
      <c r="B1979" s="166"/>
      <c r="C1979" s="168"/>
      <c r="D1979" s="167"/>
      <c r="E1979" s="166"/>
      <c r="F1979" s="165"/>
      <c r="G1979" s="164"/>
    </row>
    <row r="1980" spans="1:7" x14ac:dyDescent="0.25">
      <c r="A1980" s="169" t="str">
        <f>E1980&amp;COUNTIFS($E$2:E1980,E1980)</f>
        <v>0</v>
      </c>
      <c r="B1980" s="166"/>
      <c r="C1980" s="168"/>
      <c r="D1980" s="167"/>
      <c r="E1980" s="166"/>
      <c r="F1980" s="165"/>
      <c r="G1980" s="164"/>
    </row>
    <row r="1981" spans="1:7" x14ac:dyDescent="0.25">
      <c r="A1981" s="169" t="str">
        <f>E1981&amp;COUNTIFS($E$2:E1981,E1981)</f>
        <v>0</v>
      </c>
      <c r="B1981" s="166"/>
      <c r="C1981" s="168"/>
      <c r="D1981" s="167"/>
      <c r="E1981" s="166"/>
      <c r="F1981" s="165"/>
      <c r="G1981" s="164"/>
    </row>
    <row r="1982" spans="1:7" x14ac:dyDescent="0.25">
      <c r="A1982" s="169" t="str">
        <f>E1982&amp;COUNTIFS($E$2:E1982,E1982)</f>
        <v>0</v>
      </c>
      <c r="B1982" s="166"/>
      <c r="C1982" s="168"/>
      <c r="D1982" s="167"/>
      <c r="E1982" s="166"/>
      <c r="F1982" s="165"/>
      <c r="G1982" s="164"/>
    </row>
    <row r="1983" spans="1:7" x14ac:dyDescent="0.25">
      <c r="A1983" s="169" t="str">
        <f>E1983&amp;COUNTIFS($E$2:E1983,E1983)</f>
        <v>0</v>
      </c>
      <c r="B1983" s="166"/>
      <c r="C1983" s="168"/>
      <c r="D1983" s="167"/>
      <c r="E1983" s="166"/>
      <c r="F1983" s="165"/>
      <c r="G1983" s="164"/>
    </row>
    <row r="1984" spans="1:7" x14ac:dyDescent="0.25">
      <c r="A1984" s="169" t="str">
        <f>E1984&amp;COUNTIFS($E$2:E1984,E1984)</f>
        <v>0</v>
      </c>
      <c r="B1984" s="166"/>
      <c r="C1984" s="168"/>
      <c r="D1984" s="167"/>
      <c r="E1984" s="166"/>
      <c r="F1984" s="165"/>
      <c r="G1984" s="164"/>
    </row>
    <row r="1985" spans="1:7" x14ac:dyDescent="0.25">
      <c r="A1985" s="169" t="str">
        <f>E1985&amp;COUNTIFS($E$2:E1985,E1985)</f>
        <v>0</v>
      </c>
      <c r="B1985" s="166"/>
      <c r="C1985" s="168"/>
      <c r="D1985" s="167"/>
      <c r="E1985" s="166"/>
      <c r="F1985" s="165"/>
      <c r="G1985" s="164"/>
    </row>
    <row r="1986" spans="1:7" x14ac:dyDescent="0.25">
      <c r="A1986" s="169" t="str">
        <f>E1986&amp;COUNTIFS($E$2:E1986,E1986)</f>
        <v>0</v>
      </c>
      <c r="B1986" s="166"/>
      <c r="C1986" s="168"/>
      <c r="D1986" s="167"/>
      <c r="E1986" s="166"/>
      <c r="F1986" s="165"/>
      <c r="G1986" s="164"/>
    </row>
    <row r="1987" spans="1:7" x14ac:dyDescent="0.25">
      <c r="A1987" s="169" t="str">
        <f>E1987&amp;COUNTIFS($E$2:E1987,E1987)</f>
        <v>0</v>
      </c>
      <c r="B1987" s="166"/>
      <c r="C1987" s="168"/>
      <c r="D1987" s="167"/>
      <c r="E1987" s="166"/>
      <c r="F1987" s="165"/>
      <c r="G1987" s="164"/>
    </row>
    <row r="1988" spans="1:7" x14ac:dyDescent="0.25">
      <c r="A1988" s="169" t="str">
        <f>E1988&amp;COUNTIFS($E$2:E1988,E1988)</f>
        <v>0</v>
      </c>
      <c r="B1988" s="166"/>
      <c r="C1988" s="168"/>
      <c r="D1988" s="167"/>
      <c r="E1988" s="166"/>
      <c r="F1988" s="165"/>
      <c r="G1988" s="164"/>
    </row>
    <row r="1989" spans="1:7" x14ac:dyDescent="0.25">
      <c r="A1989" s="169" t="str">
        <f>E1989&amp;COUNTIFS($E$2:E1989,E1989)</f>
        <v>0</v>
      </c>
      <c r="B1989" s="166"/>
      <c r="C1989" s="168"/>
      <c r="D1989" s="167"/>
      <c r="E1989" s="166"/>
      <c r="F1989" s="165"/>
      <c r="G1989" s="164"/>
    </row>
    <row r="1990" spans="1:7" x14ac:dyDescent="0.25">
      <c r="A1990" s="169" t="str">
        <f>E1990&amp;COUNTIFS($E$2:E1990,E1990)</f>
        <v>0</v>
      </c>
      <c r="B1990" s="166"/>
      <c r="C1990" s="168"/>
      <c r="D1990" s="167"/>
      <c r="E1990" s="166"/>
      <c r="F1990" s="165"/>
      <c r="G1990" s="164"/>
    </row>
    <row r="1991" spans="1:7" x14ac:dyDescent="0.25">
      <c r="A1991" s="169" t="str">
        <f>E1991&amp;COUNTIFS($E$2:E1991,E1991)</f>
        <v>0</v>
      </c>
      <c r="B1991" s="166"/>
      <c r="C1991" s="168"/>
      <c r="D1991" s="167"/>
      <c r="E1991" s="166"/>
      <c r="F1991" s="165"/>
      <c r="G1991" s="164"/>
    </row>
    <row r="1992" spans="1:7" x14ac:dyDescent="0.25">
      <c r="A1992" s="169" t="str">
        <f>E1992&amp;COUNTIFS($E$2:E1992,E1992)</f>
        <v>0</v>
      </c>
      <c r="B1992" s="166"/>
      <c r="C1992" s="168"/>
      <c r="D1992" s="167"/>
      <c r="E1992" s="166"/>
      <c r="F1992" s="165"/>
      <c r="G1992" s="164"/>
    </row>
    <row r="1993" spans="1:7" x14ac:dyDescent="0.25">
      <c r="A1993" s="169" t="str">
        <f>E1993&amp;COUNTIFS($E$2:E1993,E1993)</f>
        <v>0</v>
      </c>
      <c r="B1993" s="166"/>
      <c r="C1993" s="168"/>
      <c r="D1993" s="167"/>
      <c r="E1993" s="166"/>
      <c r="F1993" s="165"/>
      <c r="G1993" s="164"/>
    </row>
    <row r="1994" spans="1:7" x14ac:dyDescent="0.25">
      <c r="A1994" s="169" t="str">
        <f>E1994&amp;COUNTIFS($E$2:E1994,E1994)</f>
        <v>0</v>
      </c>
      <c r="B1994" s="166"/>
      <c r="C1994" s="168"/>
      <c r="D1994" s="167"/>
      <c r="E1994" s="166"/>
      <c r="F1994" s="165"/>
      <c r="G1994" s="164"/>
    </row>
    <row r="1995" spans="1:7" x14ac:dyDescent="0.25">
      <c r="A1995" s="169" t="str">
        <f>E1995&amp;COUNTIFS($E$2:E1995,E1995)</f>
        <v>0</v>
      </c>
      <c r="B1995" s="166"/>
      <c r="C1995" s="168"/>
      <c r="D1995" s="167"/>
      <c r="E1995" s="166"/>
      <c r="F1995" s="165"/>
      <c r="G1995" s="164"/>
    </row>
    <row r="1996" spans="1:7" x14ac:dyDescent="0.25">
      <c r="A1996" s="169" t="str">
        <f>E1996&amp;COUNTIFS($E$2:E1996,E1996)</f>
        <v>0</v>
      </c>
      <c r="B1996" s="166"/>
      <c r="C1996" s="168"/>
      <c r="D1996" s="167"/>
      <c r="E1996" s="166"/>
      <c r="F1996" s="165"/>
      <c r="G1996" s="164"/>
    </row>
    <row r="1997" spans="1:7" x14ac:dyDescent="0.25">
      <c r="A1997" s="169" t="str">
        <f>E1997&amp;COUNTIFS($E$2:E1997,E1997)</f>
        <v>0</v>
      </c>
      <c r="B1997" s="166"/>
      <c r="C1997" s="168"/>
      <c r="D1997" s="167"/>
      <c r="E1997" s="166"/>
      <c r="F1997" s="165"/>
      <c r="G1997" s="164"/>
    </row>
    <row r="1998" spans="1:7" ht="15.75" thickBot="1" x14ac:dyDescent="0.3">
      <c r="A1998" s="163" t="str">
        <f>E1998&amp;COUNTIFS($E$2:E1998,E1998)</f>
        <v>0</v>
      </c>
      <c r="B1998" s="166"/>
      <c r="C1998" s="162"/>
      <c r="D1998" s="161"/>
      <c r="E1998" s="160"/>
      <c r="F1998" s="159"/>
      <c r="G1998" s="158"/>
    </row>
    <row r="1999" spans="1:7" x14ac:dyDescent="0.25">
      <c r="A1999" s="148"/>
      <c r="C1999" s="143"/>
      <c r="D1999" s="157"/>
      <c r="E1999" s="143"/>
      <c r="F1999" s="156"/>
      <c r="G1999" s="156"/>
    </row>
    <row r="2000" spans="1:7" x14ac:dyDescent="0.25">
      <c r="A2000" s="148"/>
      <c r="C2000" s="153" t="s">
        <v>623</v>
      </c>
      <c r="D2000" s="152"/>
      <c r="E2000" s="151"/>
      <c r="F2000" s="150">
        <f>SUM(F1974:F1998)</f>
        <v>0</v>
      </c>
      <c r="G2000" s="155">
        <f>SUM(G1974:G1998)</f>
        <v>0</v>
      </c>
    </row>
    <row r="2001" spans="1:7" x14ac:dyDescent="0.25">
      <c r="A2001" s="148"/>
      <c r="C2001" s="145" t="s">
        <v>622</v>
      </c>
      <c r="D2001" s="154"/>
      <c r="E2001" s="145"/>
      <c r="F2001" s="144"/>
      <c r="G2001" s="144"/>
    </row>
    <row r="2002" spans="1:7" x14ac:dyDescent="0.25">
      <c r="A2002" s="148"/>
      <c r="C2002" s="153" t="s">
        <v>621</v>
      </c>
      <c r="D2002" s="152"/>
      <c r="E2002" s="151"/>
      <c r="F2002" s="150">
        <f>F1969</f>
        <v>0</v>
      </c>
      <c r="G2002" s="150">
        <f>G1969</f>
        <v>0</v>
      </c>
    </row>
    <row r="2003" spans="1:7" x14ac:dyDescent="0.25">
      <c r="A2003" s="148"/>
      <c r="C2003" s="153" t="s">
        <v>582</v>
      </c>
      <c r="D2003" s="152"/>
      <c r="E2003" s="151"/>
      <c r="F2003" s="150">
        <f>F2002+F2000</f>
        <v>0</v>
      </c>
      <c r="G2003" s="150">
        <f>G2002+G2000</f>
        <v>0</v>
      </c>
    </row>
    <row r="2004" spans="1:7" ht="15.75" thickBot="1" x14ac:dyDescent="0.3">
      <c r="A2004" s="148"/>
      <c r="C2004" s="145"/>
      <c r="D2004" s="149"/>
      <c r="E2004" s="145"/>
      <c r="F2004" s="144"/>
      <c r="G2004" s="144"/>
    </row>
    <row r="2005" spans="1:7" ht="15.75" thickBot="1" x14ac:dyDescent="0.3">
      <c r="A2005" s="148"/>
      <c r="C2005" s="147" t="s">
        <v>620</v>
      </c>
      <c r="D2005" s="146">
        <f>F2003-G2003</f>
        <v>0</v>
      </c>
      <c r="E2005" s="145"/>
      <c r="F2005" s="144"/>
      <c r="G2005" s="144"/>
    </row>
    <row r="2006" spans="1:7" ht="15.75" thickBot="1" x14ac:dyDescent="0.3"/>
    <row r="2007" spans="1:7" ht="30.75" thickBot="1" x14ac:dyDescent="0.3">
      <c r="A2007" s="232" t="s">
        <v>626</v>
      </c>
      <c r="B2007" s="231" t="s">
        <v>606</v>
      </c>
      <c r="C2007" s="230" t="s">
        <v>634</v>
      </c>
      <c r="D2007" s="229" t="s">
        <v>601</v>
      </c>
      <c r="E2007" s="228" t="s">
        <v>287</v>
      </c>
      <c r="F2007" s="227" t="s">
        <v>624</v>
      </c>
      <c r="G2007" s="227" t="s">
        <v>596</v>
      </c>
    </row>
    <row r="2008" spans="1:7" x14ac:dyDescent="0.25">
      <c r="A2008" s="169" t="str">
        <f>E2008&amp;COUNTIFS($E$2:E2008,E2008)</f>
        <v>0</v>
      </c>
      <c r="B2008" s="172"/>
      <c r="C2008" s="174"/>
      <c r="D2008" s="173"/>
      <c r="E2008" s="172"/>
      <c r="F2008" s="171"/>
      <c r="G2008" s="170"/>
    </row>
    <row r="2009" spans="1:7" x14ac:dyDescent="0.25">
      <c r="A2009" s="169" t="str">
        <f>E2009&amp;COUNTIFS($E$2:E2009,E2009)</f>
        <v>0</v>
      </c>
      <c r="B2009" s="166"/>
      <c r="C2009" s="168"/>
      <c r="D2009" s="167"/>
      <c r="E2009" s="166"/>
      <c r="F2009" s="165"/>
      <c r="G2009" s="164"/>
    </row>
    <row r="2010" spans="1:7" x14ac:dyDescent="0.25">
      <c r="A2010" s="169" t="str">
        <f>E2010&amp;COUNTIFS($E$2:E2010,E2010)</f>
        <v>0</v>
      </c>
      <c r="B2010" s="166"/>
      <c r="C2010" s="168"/>
      <c r="D2010" s="167"/>
      <c r="E2010" s="166"/>
      <c r="F2010" s="165"/>
      <c r="G2010" s="164"/>
    </row>
    <row r="2011" spans="1:7" x14ac:dyDescent="0.25">
      <c r="A2011" s="169" t="str">
        <f>E2011&amp;COUNTIFS($E$2:E2011,E2011)</f>
        <v>0</v>
      </c>
      <c r="B2011" s="166"/>
      <c r="C2011" s="168"/>
      <c r="D2011" s="167"/>
      <c r="E2011" s="166"/>
      <c r="F2011" s="165"/>
      <c r="G2011" s="164"/>
    </row>
    <row r="2012" spans="1:7" x14ac:dyDescent="0.25">
      <c r="A2012" s="169" t="str">
        <f>E2012&amp;COUNTIFS($E$2:E2012,E2012)</f>
        <v>0</v>
      </c>
      <c r="B2012" s="166"/>
      <c r="C2012" s="168"/>
      <c r="D2012" s="167"/>
      <c r="E2012" s="166"/>
      <c r="F2012" s="165"/>
      <c r="G2012" s="164"/>
    </row>
    <row r="2013" spans="1:7" x14ac:dyDescent="0.25">
      <c r="A2013" s="169" t="str">
        <f>E2013&amp;COUNTIFS($E$2:E2013,E2013)</f>
        <v>0</v>
      </c>
      <c r="B2013" s="166"/>
      <c r="C2013" s="168"/>
      <c r="D2013" s="167"/>
      <c r="E2013" s="166"/>
      <c r="F2013" s="165"/>
      <c r="G2013" s="164"/>
    </row>
    <row r="2014" spans="1:7" x14ac:dyDescent="0.25">
      <c r="A2014" s="169" t="str">
        <f>E2014&amp;COUNTIFS($E$2:E2014,E2014)</f>
        <v>0</v>
      </c>
      <c r="B2014" s="166"/>
      <c r="C2014" s="168"/>
      <c r="D2014" s="167"/>
      <c r="E2014" s="166"/>
      <c r="F2014" s="165"/>
      <c r="G2014" s="164"/>
    </row>
    <row r="2015" spans="1:7" x14ac:dyDescent="0.25">
      <c r="A2015" s="169" t="str">
        <f>E2015&amp;COUNTIFS($E$2:E2015,E2015)</f>
        <v>0</v>
      </c>
      <c r="B2015" s="166"/>
      <c r="C2015" s="168"/>
      <c r="D2015" s="167"/>
      <c r="E2015" s="166"/>
      <c r="F2015" s="165"/>
      <c r="G2015" s="164"/>
    </row>
    <row r="2016" spans="1:7" x14ac:dyDescent="0.25">
      <c r="A2016" s="169" t="str">
        <f>E2016&amp;COUNTIFS($E$2:E2016,E2016)</f>
        <v>0</v>
      </c>
      <c r="B2016" s="166"/>
      <c r="C2016" s="168"/>
      <c r="D2016" s="167"/>
      <c r="E2016" s="166"/>
      <c r="F2016" s="165"/>
      <c r="G2016" s="164"/>
    </row>
    <row r="2017" spans="1:7" x14ac:dyDescent="0.25">
      <c r="A2017" s="169" t="str">
        <f>E2017&amp;COUNTIFS($E$2:E2017,E2017)</f>
        <v>0</v>
      </c>
      <c r="B2017" s="166"/>
      <c r="C2017" s="168"/>
      <c r="D2017" s="167"/>
      <c r="E2017" s="166"/>
      <c r="F2017" s="165"/>
      <c r="G2017" s="164"/>
    </row>
    <row r="2018" spans="1:7" x14ac:dyDescent="0.25">
      <c r="A2018" s="169" t="str">
        <f>E2018&amp;COUNTIFS($E$2:E2018,E2018)</f>
        <v>0</v>
      </c>
      <c r="B2018" s="166"/>
      <c r="C2018" s="168"/>
      <c r="D2018" s="167"/>
      <c r="E2018" s="166"/>
      <c r="F2018" s="165"/>
      <c r="G2018" s="164"/>
    </row>
    <row r="2019" spans="1:7" x14ac:dyDescent="0.25">
      <c r="A2019" s="169" t="str">
        <f>E2019&amp;COUNTIFS($E$2:E2019,E2019)</f>
        <v>0</v>
      </c>
      <c r="B2019" s="166"/>
      <c r="C2019" s="168"/>
      <c r="D2019" s="167"/>
      <c r="E2019" s="166"/>
      <c r="F2019" s="165"/>
      <c r="G2019" s="164"/>
    </row>
    <row r="2020" spans="1:7" x14ac:dyDescent="0.25">
      <c r="A2020" s="169" t="str">
        <f>E2020&amp;COUNTIFS($E$2:E2020,E2020)</f>
        <v>0</v>
      </c>
      <c r="B2020" s="166"/>
      <c r="C2020" s="168"/>
      <c r="D2020" s="167"/>
      <c r="E2020" s="166"/>
      <c r="F2020" s="165"/>
      <c r="G2020" s="164"/>
    </row>
    <row r="2021" spans="1:7" x14ac:dyDescent="0.25">
      <c r="A2021" s="169" t="str">
        <f>E2021&amp;COUNTIFS($E$2:E2021,E2021)</f>
        <v>0</v>
      </c>
      <c r="B2021" s="166"/>
      <c r="C2021" s="168"/>
      <c r="D2021" s="167"/>
      <c r="E2021" s="166"/>
      <c r="F2021" s="165"/>
      <c r="G2021" s="164"/>
    </row>
    <row r="2022" spans="1:7" x14ac:dyDescent="0.25">
      <c r="A2022" s="169" t="str">
        <f>E2022&amp;COUNTIFS($E$2:E2022,E2022)</f>
        <v>0</v>
      </c>
      <c r="B2022" s="166"/>
      <c r="C2022" s="168"/>
      <c r="D2022" s="167"/>
      <c r="E2022" s="166"/>
      <c r="F2022" s="165"/>
      <c r="G2022" s="164"/>
    </row>
    <row r="2023" spans="1:7" x14ac:dyDescent="0.25">
      <c r="A2023" s="169" t="str">
        <f>E2023&amp;COUNTIFS($E$2:E2023,E2023)</f>
        <v>0</v>
      </c>
      <c r="B2023" s="166"/>
      <c r="C2023" s="168"/>
      <c r="D2023" s="167"/>
      <c r="E2023" s="166"/>
      <c r="F2023" s="165"/>
      <c r="G2023" s="164"/>
    </row>
    <row r="2024" spans="1:7" x14ac:dyDescent="0.25">
      <c r="A2024" s="169" t="str">
        <f>E2024&amp;COUNTIFS($E$2:E2024,E2024)</f>
        <v>0</v>
      </c>
      <c r="B2024" s="166"/>
      <c r="C2024" s="168"/>
      <c r="D2024" s="167"/>
      <c r="E2024" s="166"/>
      <c r="F2024" s="165"/>
      <c r="G2024" s="164"/>
    </row>
    <row r="2025" spans="1:7" x14ac:dyDescent="0.25">
      <c r="A2025" s="169" t="str">
        <f>E2025&amp;COUNTIFS($E$2:E2025,E2025)</f>
        <v>0</v>
      </c>
      <c r="B2025" s="166"/>
      <c r="C2025" s="168"/>
      <c r="D2025" s="167"/>
      <c r="E2025" s="166"/>
      <c r="F2025" s="165"/>
      <c r="G2025" s="164"/>
    </row>
    <row r="2026" spans="1:7" x14ac:dyDescent="0.25">
      <c r="A2026" s="169" t="str">
        <f>E2026&amp;COUNTIFS($E$2:E2026,E2026)</f>
        <v>0</v>
      </c>
      <c r="B2026" s="166"/>
      <c r="C2026" s="168"/>
      <c r="D2026" s="167"/>
      <c r="E2026" s="166"/>
      <c r="F2026" s="165"/>
      <c r="G2026" s="164"/>
    </row>
    <row r="2027" spans="1:7" x14ac:dyDescent="0.25">
      <c r="A2027" s="169" t="str">
        <f>E2027&amp;COUNTIFS($E$2:E2027,E2027)</f>
        <v>0</v>
      </c>
      <c r="B2027" s="166"/>
      <c r="C2027" s="168"/>
      <c r="D2027" s="167"/>
      <c r="E2027" s="166"/>
      <c r="F2027" s="165"/>
      <c r="G2027" s="164"/>
    </row>
    <row r="2028" spans="1:7" x14ac:dyDescent="0.25">
      <c r="A2028" s="169" t="str">
        <f>E2028&amp;COUNTIFS($E$2:E2028,E2028)</f>
        <v>0</v>
      </c>
      <c r="B2028" s="166"/>
      <c r="C2028" s="168"/>
      <c r="D2028" s="167"/>
      <c r="E2028" s="166"/>
      <c r="F2028" s="165"/>
      <c r="G2028" s="164"/>
    </row>
    <row r="2029" spans="1:7" x14ac:dyDescent="0.25">
      <c r="A2029" s="169" t="str">
        <f>E2029&amp;COUNTIFS($E$2:E2029,E2029)</f>
        <v>0</v>
      </c>
      <c r="B2029" s="166"/>
      <c r="C2029" s="168"/>
      <c r="D2029" s="167"/>
      <c r="E2029" s="166"/>
      <c r="F2029" s="165"/>
      <c r="G2029" s="164"/>
    </row>
    <row r="2030" spans="1:7" x14ac:dyDescent="0.25">
      <c r="A2030" s="169" t="str">
        <f>E2030&amp;COUNTIFS($E$2:E2030,E2030)</f>
        <v>0</v>
      </c>
      <c r="B2030" s="166"/>
      <c r="C2030" s="168"/>
      <c r="D2030" s="167"/>
      <c r="E2030" s="166"/>
      <c r="F2030" s="165"/>
      <c r="G2030" s="164"/>
    </row>
    <row r="2031" spans="1:7" x14ac:dyDescent="0.25">
      <c r="A2031" s="169" t="str">
        <f>E2031&amp;COUNTIFS($E$2:E2031,E2031)</f>
        <v>0</v>
      </c>
      <c r="B2031" s="166"/>
      <c r="C2031" s="168"/>
      <c r="D2031" s="167"/>
      <c r="E2031" s="166"/>
      <c r="F2031" s="165"/>
      <c r="G2031" s="164"/>
    </row>
    <row r="2032" spans="1:7" ht="15.75" thickBot="1" x14ac:dyDescent="0.3">
      <c r="A2032" s="163" t="str">
        <f>E2032&amp;COUNTIFS($E$2:E2032,E2032)</f>
        <v>0</v>
      </c>
      <c r="B2032" s="166"/>
      <c r="C2032" s="162"/>
      <c r="D2032" s="161"/>
      <c r="E2032" s="160"/>
      <c r="F2032" s="159"/>
      <c r="G2032" s="158"/>
    </row>
    <row r="2033" spans="1:7" x14ac:dyDescent="0.25">
      <c r="A2033" s="148"/>
      <c r="C2033" s="143"/>
      <c r="D2033" s="157"/>
      <c r="E2033" s="143"/>
      <c r="F2033" s="156"/>
      <c r="G2033" s="156"/>
    </row>
    <row r="2034" spans="1:7" x14ac:dyDescent="0.25">
      <c r="A2034" s="148"/>
      <c r="C2034" s="153" t="s">
        <v>623</v>
      </c>
      <c r="D2034" s="152"/>
      <c r="E2034" s="151"/>
      <c r="F2034" s="150">
        <f>SUM(F2008:F2032)</f>
        <v>0</v>
      </c>
      <c r="G2034" s="155">
        <f>SUM(G2008:G2032)</f>
        <v>0</v>
      </c>
    </row>
    <row r="2035" spans="1:7" x14ac:dyDescent="0.25">
      <c r="A2035" s="148"/>
      <c r="C2035" s="145" t="s">
        <v>622</v>
      </c>
      <c r="D2035" s="154"/>
      <c r="E2035" s="145"/>
      <c r="F2035" s="144"/>
      <c r="G2035" s="144"/>
    </row>
    <row r="2036" spans="1:7" x14ac:dyDescent="0.25">
      <c r="A2036" s="148"/>
      <c r="C2036" s="153" t="s">
        <v>621</v>
      </c>
      <c r="D2036" s="152"/>
      <c r="E2036" s="151"/>
      <c r="F2036" s="150">
        <f>F2003</f>
        <v>0</v>
      </c>
      <c r="G2036" s="150">
        <f>G2003</f>
        <v>0</v>
      </c>
    </row>
    <row r="2037" spans="1:7" x14ac:dyDescent="0.25">
      <c r="A2037" s="148"/>
      <c r="C2037" s="153" t="s">
        <v>582</v>
      </c>
      <c r="D2037" s="152"/>
      <c r="E2037" s="151"/>
      <c r="F2037" s="150">
        <f>F2036+F2034</f>
        <v>0</v>
      </c>
      <c r="G2037" s="150">
        <f>G2036+G2034</f>
        <v>0</v>
      </c>
    </row>
    <row r="2038" spans="1:7" ht="15.75" thickBot="1" x14ac:dyDescent="0.3">
      <c r="A2038" s="148"/>
      <c r="C2038" s="145"/>
      <c r="D2038" s="149"/>
      <c r="E2038" s="145"/>
      <c r="F2038" s="144"/>
      <c r="G2038" s="144"/>
    </row>
    <row r="2039" spans="1:7" ht="15.75" thickBot="1" x14ac:dyDescent="0.3">
      <c r="A2039" s="148"/>
      <c r="C2039" s="147" t="s">
        <v>620</v>
      </c>
      <c r="D2039" s="146">
        <f>F2037-G2037</f>
        <v>0</v>
      </c>
      <c r="E2039" s="145"/>
      <c r="F2039" s="144"/>
      <c r="G2039" s="144"/>
    </row>
    <row r="2040" spans="1:7" ht="15.75" thickBot="1" x14ac:dyDescent="0.3"/>
    <row r="2041" spans="1:7" ht="30.75" thickBot="1" x14ac:dyDescent="0.3">
      <c r="A2041" s="232" t="s">
        <v>626</v>
      </c>
      <c r="B2041" s="231" t="s">
        <v>606</v>
      </c>
      <c r="C2041" s="230" t="s">
        <v>634</v>
      </c>
      <c r="D2041" s="229" t="s">
        <v>601</v>
      </c>
      <c r="E2041" s="228" t="s">
        <v>287</v>
      </c>
      <c r="F2041" s="227" t="s">
        <v>624</v>
      </c>
      <c r="G2041" s="227" t="s">
        <v>596</v>
      </c>
    </row>
    <row r="2042" spans="1:7" x14ac:dyDescent="0.25">
      <c r="A2042" s="169" t="str">
        <f>E2042&amp;COUNTIFS($E$2:E2042,E2042)</f>
        <v>0</v>
      </c>
      <c r="B2042" s="172"/>
      <c r="C2042" s="174"/>
      <c r="D2042" s="173"/>
      <c r="E2042" s="172"/>
      <c r="F2042" s="171"/>
      <c r="G2042" s="170"/>
    </row>
    <row r="2043" spans="1:7" x14ac:dyDescent="0.25">
      <c r="A2043" s="169" t="str">
        <f>E2043&amp;COUNTIFS($E$2:E2043,E2043)</f>
        <v>0</v>
      </c>
      <c r="B2043" s="166"/>
      <c r="C2043" s="168"/>
      <c r="D2043" s="167"/>
      <c r="E2043" s="166"/>
      <c r="F2043" s="165"/>
      <c r="G2043" s="164"/>
    </row>
    <row r="2044" spans="1:7" x14ac:dyDescent="0.25">
      <c r="A2044" s="169" t="str">
        <f>E2044&amp;COUNTIFS($E$2:E2044,E2044)</f>
        <v>0</v>
      </c>
      <c r="B2044" s="166"/>
      <c r="C2044" s="168"/>
      <c r="D2044" s="167"/>
      <c r="E2044" s="166"/>
      <c r="F2044" s="165"/>
      <c r="G2044" s="164"/>
    </row>
    <row r="2045" spans="1:7" x14ac:dyDescent="0.25">
      <c r="A2045" s="169" t="str">
        <f>E2045&amp;COUNTIFS($E$2:E2045,E2045)</f>
        <v>0</v>
      </c>
      <c r="B2045" s="166"/>
      <c r="C2045" s="168"/>
      <c r="D2045" s="167"/>
      <c r="E2045" s="166"/>
      <c r="F2045" s="165"/>
      <c r="G2045" s="164"/>
    </row>
    <row r="2046" spans="1:7" x14ac:dyDescent="0.25">
      <c r="A2046" s="169" t="str">
        <f>E2046&amp;COUNTIFS($E$2:E2046,E2046)</f>
        <v>0</v>
      </c>
      <c r="B2046" s="166"/>
      <c r="C2046" s="168"/>
      <c r="D2046" s="167"/>
      <c r="E2046" s="166"/>
      <c r="F2046" s="165"/>
      <c r="G2046" s="164"/>
    </row>
    <row r="2047" spans="1:7" x14ac:dyDescent="0.25">
      <c r="A2047" s="169" t="str">
        <f>E2047&amp;COUNTIFS($E$2:E2047,E2047)</f>
        <v>0</v>
      </c>
      <c r="B2047" s="166"/>
      <c r="C2047" s="168"/>
      <c r="D2047" s="167"/>
      <c r="E2047" s="166"/>
      <c r="F2047" s="165"/>
      <c r="G2047" s="164"/>
    </row>
    <row r="2048" spans="1:7" x14ac:dyDescent="0.25">
      <c r="A2048" s="169" t="str">
        <f>E2048&amp;COUNTIFS($E$2:E2048,E2048)</f>
        <v>0</v>
      </c>
      <c r="B2048" s="166"/>
      <c r="C2048" s="168"/>
      <c r="D2048" s="167"/>
      <c r="E2048" s="166"/>
      <c r="F2048" s="165"/>
      <c r="G2048" s="164"/>
    </row>
    <row r="2049" spans="1:7" x14ac:dyDescent="0.25">
      <c r="A2049" s="169" t="str">
        <f>E2049&amp;COUNTIFS($E$2:E2049,E2049)</f>
        <v>0</v>
      </c>
      <c r="B2049" s="166"/>
      <c r="C2049" s="168"/>
      <c r="D2049" s="167"/>
      <c r="E2049" s="166"/>
      <c r="F2049" s="165"/>
      <c r="G2049" s="164"/>
    </row>
    <row r="2050" spans="1:7" x14ac:dyDescent="0.25">
      <c r="A2050" s="169" t="str">
        <f>E2050&amp;COUNTIFS($E$2:E2050,E2050)</f>
        <v>0</v>
      </c>
      <c r="B2050" s="166"/>
      <c r="C2050" s="168"/>
      <c r="D2050" s="167"/>
      <c r="E2050" s="166"/>
      <c r="F2050" s="165"/>
      <c r="G2050" s="164"/>
    </row>
    <row r="2051" spans="1:7" x14ac:dyDescent="0.25">
      <c r="A2051" s="169" t="str">
        <f>E2051&amp;COUNTIFS($E$2:E2051,E2051)</f>
        <v>0</v>
      </c>
      <c r="B2051" s="166"/>
      <c r="C2051" s="168"/>
      <c r="D2051" s="167"/>
      <c r="E2051" s="166"/>
      <c r="F2051" s="165"/>
      <c r="G2051" s="164"/>
    </row>
    <row r="2052" spans="1:7" x14ac:dyDescent="0.25">
      <c r="A2052" s="169" t="str">
        <f>E2052&amp;COUNTIFS($E$2:E2052,E2052)</f>
        <v>0</v>
      </c>
      <c r="B2052" s="166"/>
      <c r="C2052" s="168"/>
      <c r="D2052" s="167"/>
      <c r="E2052" s="166"/>
      <c r="F2052" s="165"/>
      <c r="G2052" s="164"/>
    </row>
    <row r="2053" spans="1:7" x14ac:dyDescent="0.25">
      <c r="A2053" s="169" t="str">
        <f>E2053&amp;COUNTIFS($E$2:E2053,E2053)</f>
        <v>0</v>
      </c>
      <c r="B2053" s="166"/>
      <c r="C2053" s="168"/>
      <c r="D2053" s="167"/>
      <c r="E2053" s="166"/>
      <c r="F2053" s="165"/>
      <c r="G2053" s="164"/>
    </row>
    <row r="2054" spans="1:7" x14ac:dyDescent="0.25">
      <c r="A2054" s="169" t="str">
        <f>E2054&amp;COUNTIFS($E$2:E2054,E2054)</f>
        <v>0</v>
      </c>
      <c r="B2054" s="166"/>
      <c r="C2054" s="168"/>
      <c r="D2054" s="167"/>
      <c r="E2054" s="166"/>
      <c r="F2054" s="165"/>
      <c r="G2054" s="164"/>
    </row>
    <row r="2055" spans="1:7" x14ac:dyDescent="0.25">
      <c r="A2055" s="169" t="str">
        <f>E2055&amp;COUNTIFS($E$2:E2055,E2055)</f>
        <v>0</v>
      </c>
      <c r="B2055" s="166"/>
      <c r="C2055" s="168"/>
      <c r="D2055" s="167"/>
      <c r="E2055" s="166"/>
      <c r="F2055" s="165"/>
      <c r="G2055" s="164"/>
    </row>
    <row r="2056" spans="1:7" x14ac:dyDescent="0.25">
      <c r="A2056" s="169" t="str">
        <f>E2056&amp;COUNTIFS($E$2:E2056,E2056)</f>
        <v>0</v>
      </c>
      <c r="B2056" s="166"/>
      <c r="C2056" s="168"/>
      <c r="D2056" s="167"/>
      <c r="E2056" s="166"/>
      <c r="F2056" s="165"/>
      <c r="G2056" s="164"/>
    </row>
    <row r="2057" spans="1:7" x14ac:dyDescent="0.25">
      <c r="A2057" s="169" t="str">
        <f>E2057&amp;COUNTIFS($E$2:E2057,E2057)</f>
        <v>0</v>
      </c>
      <c r="B2057" s="166"/>
      <c r="C2057" s="168"/>
      <c r="D2057" s="167"/>
      <c r="E2057" s="166"/>
      <c r="F2057" s="165"/>
      <c r="G2057" s="164"/>
    </row>
    <row r="2058" spans="1:7" x14ac:dyDescent="0.25">
      <c r="A2058" s="169" t="str">
        <f>E2058&amp;COUNTIFS($E$2:E2058,E2058)</f>
        <v>0</v>
      </c>
      <c r="B2058" s="166"/>
      <c r="C2058" s="168"/>
      <c r="D2058" s="167"/>
      <c r="E2058" s="166"/>
      <c r="F2058" s="165"/>
      <c r="G2058" s="164"/>
    </row>
    <row r="2059" spans="1:7" x14ac:dyDescent="0.25">
      <c r="A2059" s="169" t="str">
        <f>E2059&amp;COUNTIFS($E$2:E2059,E2059)</f>
        <v>0</v>
      </c>
      <c r="B2059" s="166"/>
      <c r="C2059" s="168"/>
      <c r="D2059" s="167"/>
      <c r="E2059" s="166"/>
      <c r="F2059" s="165"/>
      <c r="G2059" s="164"/>
    </row>
    <row r="2060" spans="1:7" x14ac:dyDescent="0.25">
      <c r="A2060" s="169" t="str">
        <f>E2060&amp;COUNTIFS($E$2:E2060,E2060)</f>
        <v>0</v>
      </c>
      <c r="B2060" s="166"/>
      <c r="C2060" s="168"/>
      <c r="D2060" s="167"/>
      <c r="E2060" s="166"/>
      <c r="F2060" s="165"/>
      <c r="G2060" s="164"/>
    </row>
    <row r="2061" spans="1:7" x14ac:dyDescent="0.25">
      <c r="A2061" s="169" t="str">
        <f>E2061&amp;COUNTIFS($E$2:E2061,E2061)</f>
        <v>0</v>
      </c>
      <c r="B2061" s="166"/>
      <c r="C2061" s="168"/>
      <c r="D2061" s="167"/>
      <c r="E2061" s="166"/>
      <c r="F2061" s="165"/>
      <c r="G2061" s="164"/>
    </row>
    <row r="2062" spans="1:7" x14ac:dyDescent="0.25">
      <c r="A2062" s="169" t="str">
        <f>E2062&amp;COUNTIFS($E$2:E2062,E2062)</f>
        <v>0</v>
      </c>
      <c r="B2062" s="166"/>
      <c r="C2062" s="168"/>
      <c r="D2062" s="167"/>
      <c r="E2062" s="166"/>
      <c r="F2062" s="165"/>
      <c r="G2062" s="164"/>
    </row>
    <row r="2063" spans="1:7" x14ac:dyDescent="0.25">
      <c r="A2063" s="169" t="str">
        <f>E2063&amp;COUNTIFS($E$2:E2063,E2063)</f>
        <v>0</v>
      </c>
      <c r="B2063" s="166"/>
      <c r="C2063" s="168"/>
      <c r="D2063" s="167"/>
      <c r="E2063" s="166"/>
      <c r="F2063" s="165"/>
      <c r="G2063" s="164"/>
    </row>
    <row r="2064" spans="1:7" x14ac:dyDescent="0.25">
      <c r="A2064" s="169" t="str">
        <f>E2064&amp;COUNTIFS($E$2:E2064,E2064)</f>
        <v>0</v>
      </c>
      <c r="B2064" s="166"/>
      <c r="C2064" s="168"/>
      <c r="D2064" s="167"/>
      <c r="E2064" s="166"/>
      <c r="F2064" s="165"/>
      <c r="G2064" s="164"/>
    </row>
    <row r="2065" spans="1:7" x14ac:dyDescent="0.25">
      <c r="A2065" s="169" t="str">
        <f>E2065&amp;COUNTIFS($E$2:E2065,E2065)</f>
        <v>0</v>
      </c>
      <c r="B2065" s="166"/>
      <c r="C2065" s="168"/>
      <c r="D2065" s="167"/>
      <c r="E2065" s="166"/>
      <c r="F2065" s="165"/>
      <c r="G2065" s="164"/>
    </row>
    <row r="2066" spans="1:7" ht="15.75" thickBot="1" x14ac:dyDescent="0.3">
      <c r="A2066" s="163" t="str">
        <f>E2066&amp;COUNTIFS($E$2:E2066,E2066)</f>
        <v>0</v>
      </c>
      <c r="B2066" s="166"/>
      <c r="C2066" s="162"/>
      <c r="D2066" s="161"/>
      <c r="E2066" s="160"/>
      <c r="F2066" s="159"/>
      <c r="G2066" s="158"/>
    </row>
    <row r="2067" spans="1:7" x14ac:dyDescent="0.25">
      <c r="A2067" s="148"/>
      <c r="C2067" s="143"/>
      <c r="D2067" s="157"/>
      <c r="E2067" s="143"/>
      <c r="F2067" s="156"/>
      <c r="G2067" s="156"/>
    </row>
    <row r="2068" spans="1:7" x14ac:dyDescent="0.25">
      <c r="A2068" s="148"/>
      <c r="C2068" s="153" t="s">
        <v>623</v>
      </c>
      <c r="D2068" s="152"/>
      <c r="E2068" s="151"/>
      <c r="F2068" s="150">
        <f>SUM(F2042:F2066)</f>
        <v>0</v>
      </c>
      <c r="G2068" s="155">
        <f>SUM(G2042:G2066)</f>
        <v>0</v>
      </c>
    </row>
    <row r="2069" spans="1:7" x14ac:dyDescent="0.25">
      <c r="A2069" s="148"/>
      <c r="C2069" s="145" t="s">
        <v>622</v>
      </c>
      <c r="D2069" s="154"/>
      <c r="E2069" s="145"/>
      <c r="F2069" s="144"/>
      <c r="G2069" s="144"/>
    </row>
    <row r="2070" spans="1:7" x14ac:dyDescent="0.25">
      <c r="A2070" s="148"/>
      <c r="C2070" s="153" t="s">
        <v>621</v>
      </c>
      <c r="D2070" s="152"/>
      <c r="E2070" s="151"/>
      <c r="F2070" s="150">
        <f>F2037</f>
        <v>0</v>
      </c>
      <c r="G2070" s="150">
        <f>G2037</f>
        <v>0</v>
      </c>
    </row>
    <row r="2071" spans="1:7" x14ac:dyDescent="0.25">
      <c r="A2071" s="148"/>
      <c r="C2071" s="153" t="s">
        <v>582</v>
      </c>
      <c r="D2071" s="152"/>
      <c r="E2071" s="151"/>
      <c r="F2071" s="150">
        <f>F2070+F2068</f>
        <v>0</v>
      </c>
      <c r="G2071" s="150">
        <f>G2070+G2068</f>
        <v>0</v>
      </c>
    </row>
    <row r="2072" spans="1:7" ht="15.75" thickBot="1" x14ac:dyDescent="0.3">
      <c r="A2072" s="148"/>
      <c r="C2072" s="145"/>
      <c r="D2072" s="149"/>
      <c r="E2072" s="145"/>
      <c r="F2072" s="144"/>
      <c r="G2072" s="144"/>
    </row>
    <row r="2073" spans="1:7" ht="15.75" thickBot="1" x14ac:dyDescent="0.3">
      <c r="A2073" s="148"/>
      <c r="C2073" s="147" t="s">
        <v>620</v>
      </c>
      <c r="D2073" s="146">
        <f>F2071-G2071</f>
        <v>0</v>
      </c>
      <c r="E2073" s="145"/>
      <c r="F2073" s="144"/>
      <c r="G2073" s="144"/>
    </row>
    <row r="2074" spans="1:7" ht="15.75" thickBot="1" x14ac:dyDescent="0.3"/>
    <row r="2075" spans="1:7" ht="30.75" thickBot="1" x14ac:dyDescent="0.3">
      <c r="A2075" s="232" t="s">
        <v>626</v>
      </c>
      <c r="B2075" s="231" t="s">
        <v>606</v>
      </c>
      <c r="C2075" s="230" t="s">
        <v>634</v>
      </c>
      <c r="D2075" s="229" t="s">
        <v>601</v>
      </c>
      <c r="E2075" s="228" t="s">
        <v>287</v>
      </c>
      <c r="F2075" s="227" t="s">
        <v>624</v>
      </c>
      <c r="G2075" s="227" t="s">
        <v>596</v>
      </c>
    </row>
    <row r="2076" spans="1:7" x14ac:dyDescent="0.25">
      <c r="A2076" s="169" t="str">
        <f>E2076&amp;COUNTIFS($E$2:E2076,E2076)</f>
        <v>0</v>
      </c>
      <c r="B2076" s="172"/>
      <c r="C2076" s="174"/>
      <c r="D2076" s="173"/>
      <c r="E2076" s="172"/>
      <c r="F2076" s="171"/>
      <c r="G2076" s="170"/>
    </row>
    <row r="2077" spans="1:7" x14ac:dyDescent="0.25">
      <c r="A2077" s="169" t="str">
        <f>E2077&amp;COUNTIFS($E$2:E2077,E2077)</f>
        <v>0</v>
      </c>
      <c r="B2077" s="166"/>
      <c r="C2077" s="168"/>
      <c r="D2077" s="167"/>
      <c r="E2077" s="166"/>
      <c r="F2077" s="165"/>
      <c r="G2077" s="164"/>
    </row>
    <row r="2078" spans="1:7" x14ac:dyDescent="0.25">
      <c r="A2078" s="169" t="str">
        <f>E2078&amp;COUNTIFS($E$2:E2078,E2078)</f>
        <v>0</v>
      </c>
      <c r="B2078" s="166"/>
      <c r="C2078" s="168"/>
      <c r="D2078" s="167"/>
      <c r="E2078" s="166"/>
      <c r="F2078" s="165"/>
      <c r="G2078" s="164"/>
    </row>
    <row r="2079" spans="1:7" x14ac:dyDescent="0.25">
      <c r="A2079" s="169" t="str">
        <f>E2079&amp;COUNTIFS($E$2:E2079,E2079)</f>
        <v>0</v>
      </c>
      <c r="B2079" s="166"/>
      <c r="C2079" s="168"/>
      <c r="D2079" s="167"/>
      <c r="E2079" s="166"/>
      <c r="F2079" s="165"/>
      <c r="G2079" s="164"/>
    </row>
    <row r="2080" spans="1:7" x14ac:dyDescent="0.25">
      <c r="A2080" s="169" t="str">
        <f>E2080&amp;COUNTIFS($E$2:E2080,E2080)</f>
        <v>0</v>
      </c>
      <c r="B2080" s="166"/>
      <c r="C2080" s="168"/>
      <c r="D2080" s="167"/>
      <c r="E2080" s="166"/>
      <c r="F2080" s="165"/>
      <c r="G2080" s="164"/>
    </row>
    <row r="2081" spans="1:7" x14ac:dyDescent="0.25">
      <c r="A2081" s="169" t="str">
        <f>E2081&amp;COUNTIFS($E$2:E2081,E2081)</f>
        <v>0</v>
      </c>
      <c r="B2081" s="166"/>
      <c r="C2081" s="168"/>
      <c r="D2081" s="167"/>
      <c r="E2081" s="166"/>
      <c r="F2081" s="165"/>
      <c r="G2081" s="164"/>
    </row>
    <row r="2082" spans="1:7" x14ac:dyDescent="0.25">
      <c r="A2082" s="169" t="str">
        <f>E2082&amp;COUNTIFS($E$2:E2082,E2082)</f>
        <v>0</v>
      </c>
      <c r="B2082" s="166"/>
      <c r="C2082" s="168"/>
      <c r="D2082" s="167"/>
      <c r="E2082" s="166"/>
      <c r="F2082" s="165"/>
      <c r="G2082" s="164"/>
    </row>
    <row r="2083" spans="1:7" x14ac:dyDescent="0.25">
      <c r="A2083" s="169" t="str">
        <f>E2083&amp;COUNTIFS($E$2:E2083,E2083)</f>
        <v>0</v>
      </c>
      <c r="B2083" s="166"/>
      <c r="C2083" s="168"/>
      <c r="D2083" s="167"/>
      <c r="E2083" s="166"/>
      <c r="F2083" s="165"/>
      <c r="G2083" s="164"/>
    </row>
    <row r="2084" spans="1:7" x14ac:dyDescent="0.25">
      <c r="A2084" s="169" t="str">
        <f>E2084&amp;COUNTIFS($E$2:E2084,E2084)</f>
        <v>0</v>
      </c>
      <c r="B2084" s="166"/>
      <c r="C2084" s="168"/>
      <c r="D2084" s="167"/>
      <c r="E2084" s="166"/>
      <c r="F2084" s="165"/>
      <c r="G2084" s="164"/>
    </row>
    <row r="2085" spans="1:7" x14ac:dyDescent="0.25">
      <c r="A2085" s="169" t="str">
        <f>E2085&amp;COUNTIFS($E$2:E2085,E2085)</f>
        <v>0</v>
      </c>
      <c r="B2085" s="166"/>
      <c r="C2085" s="168"/>
      <c r="D2085" s="167"/>
      <c r="E2085" s="166"/>
      <c r="F2085" s="165"/>
      <c r="G2085" s="164"/>
    </row>
    <row r="2086" spans="1:7" x14ac:dyDescent="0.25">
      <c r="A2086" s="169" t="str">
        <f>E2086&amp;COUNTIFS($E$2:E2086,E2086)</f>
        <v>0</v>
      </c>
      <c r="B2086" s="166"/>
      <c r="C2086" s="168"/>
      <c r="D2086" s="167"/>
      <c r="E2086" s="166"/>
      <c r="F2086" s="165"/>
      <c r="G2086" s="164"/>
    </row>
    <row r="2087" spans="1:7" x14ac:dyDescent="0.25">
      <c r="A2087" s="169" t="str">
        <f>E2087&amp;COUNTIFS($E$2:E2087,E2087)</f>
        <v>0</v>
      </c>
      <c r="B2087" s="166"/>
      <c r="C2087" s="168"/>
      <c r="D2087" s="167"/>
      <c r="E2087" s="166"/>
      <c r="F2087" s="165"/>
      <c r="G2087" s="164"/>
    </row>
    <row r="2088" spans="1:7" x14ac:dyDescent="0.25">
      <c r="A2088" s="169" t="str">
        <f>E2088&amp;COUNTIFS($E$2:E2088,E2088)</f>
        <v>0</v>
      </c>
      <c r="B2088" s="166"/>
      <c r="C2088" s="168"/>
      <c r="D2088" s="167"/>
      <c r="E2088" s="166"/>
      <c r="F2088" s="165"/>
      <c r="G2088" s="164"/>
    </row>
    <row r="2089" spans="1:7" x14ac:dyDescent="0.25">
      <c r="A2089" s="169" t="str">
        <f>E2089&amp;COUNTIFS($E$2:E2089,E2089)</f>
        <v>0</v>
      </c>
      <c r="B2089" s="166"/>
      <c r="C2089" s="168"/>
      <c r="D2089" s="167"/>
      <c r="E2089" s="166"/>
      <c r="F2089" s="165"/>
      <c r="G2089" s="164"/>
    </row>
    <row r="2090" spans="1:7" x14ac:dyDescent="0.25">
      <c r="A2090" s="169" t="str">
        <f>E2090&amp;COUNTIFS($E$2:E2090,E2090)</f>
        <v>0</v>
      </c>
      <c r="B2090" s="166"/>
      <c r="C2090" s="168"/>
      <c r="D2090" s="167"/>
      <c r="E2090" s="166"/>
      <c r="F2090" s="165"/>
      <c r="G2090" s="164"/>
    </row>
    <row r="2091" spans="1:7" x14ac:dyDescent="0.25">
      <c r="A2091" s="169" t="str">
        <f>E2091&amp;COUNTIFS($E$2:E2091,E2091)</f>
        <v>0</v>
      </c>
      <c r="B2091" s="166"/>
      <c r="C2091" s="168"/>
      <c r="D2091" s="167"/>
      <c r="E2091" s="166"/>
      <c r="F2091" s="165"/>
      <c r="G2091" s="164"/>
    </row>
    <row r="2092" spans="1:7" x14ac:dyDescent="0.25">
      <c r="A2092" s="169" t="str">
        <f>E2092&amp;COUNTIFS($E$2:E2092,E2092)</f>
        <v>0</v>
      </c>
      <c r="B2092" s="166"/>
      <c r="C2092" s="168"/>
      <c r="D2092" s="167"/>
      <c r="E2092" s="166"/>
      <c r="F2092" s="165"/>
      <c r="G2092" s="164"/>
    </row>
    <row r="2093" spans="1:7" x14ac:dyDescent="0.25">
      <c r="A2093" s="169" t="str">
        <f>E2093&amp;COUNTIFS($E$2:E2093,E2093)</f>
        <v>0</v>
      </c>
      <c r="B2093" s="166"/>
      <c r="C2093" s="168"/>
      <c r="D2093" s="167"/>
      <c r="E2093" s="166"/>
      <c r="F2093" s="165"/>
      <c r="G2093" s="164"/>
    </row>
    <row r="2094" spans="1:7" x14ac:dyDescent="0.25">
      <c r="A2094" s="169" t="str">
        <f>E2094&amp;COUNTIFS($E$2:E2094,E2094)</f>
        <v>0</v>
      </c>
      <c r="B2094" s="166"/>
      <c r="C2094" s="168"/>
      <c r="D2094" s="167"/>
      <c r="E2094" s="166"/>
      <c r="F2094" s="165"/>
      <c r="G2094" s="164"/>
    </row>
    <row r="2095" spans="1:7" x14ac:dyDescent="0.25">
      <c r="A2095" s="169" t="str">
        <f>E2095&amp;COUNTIFS($E$2:E2095,E2095)</f>
        <v>0</v>
      </c>
      <c r="B2095" s="166"/>
      <c r="C2095" s="168"/>
      <c r="D2095" s="167"/>
      <c r="E2095" s="166"/>
      <c r="F2095" s="165"/>
      <c r="G2095" s="164"/>
    </row>
    <row r="2096" spans="1:7" x14ac:dyDescent="0.25">
      <c r="A2096" s="169" t="str">
        <f>E2096&amp;COUNTIFS($E$2:E2096,E2096)</f>
        <v>0</v>
      </c>
      <c r="B2096" s="166"/>
      <c r="C2096" s="168"/>
      <c r="D2096" s="167"/>
      <c r="E2096" s="166"/>
      <c r="F2096" s="165"/>
      <c r="G2096" s="164"/>
    </row>
    <row r="2097" spans="1:7" x14ac:dyDescent="0.25">
      <c r="A2097" s="169" t="str">
        <f>E2097&amp;COUNTIFS($E$2:E2097,E2097)</f>
        <v>0</v>
      </c>
      <c r="B2097" s="166"/>
      <c r="C2097" s="168"/>
      <c r="D2097" s="167"/>
      <c r="E2097" s="166"/>
      <c r="F2097" s="165"/>
      <c r="G2097" s="164"/>
    </row>
    <row r="2098" spans="1:7" x14ac:dyDescent="0.25">
      <c r="A2098" s="169" t="str">
        <f>E2098&amp;COUNTIFS($E$2:E2098,E2098)</f>
        <v>0</v>
      </c>
      <c r="B2098" s="166"/>
      <c r="C2098" s="168"/>
      <c r="D2098" s="167"/>
      <c r="E2098" s="166"/>
      <c r="F2098" s="165"/>
      <c r="G2098" s="164"/>
    </row>
    <row r="2099" spans="1:7" x14ac:dyDescent="0.25">
      <c r="A2099" s="169" t="str">
        <f>E2099&amp;COUNTIFS($E$2:E2099,E2099)</f>
        <v>0</v>
      </c>
      <c r="B2099" s="166"/>
      <c r="C2099" s="168"/>
      <c r="D2099" s="167"/>
      <c r="E2099" s="166"/>
      <c r="F2099" s="165"/>
      <c r="G2099" s="164"/>
    </row>
    <row r="2100" spans="1:7" ht="15.75" thickBot="1" x14ac:dyDescent="0.3">
      <c r="A2100" s="163" t="str">
        <f>E2100&amp;COUNTIFS($E$2:E2100,E2100)</f>
        <v>0</v>
      </c>
      <c r="B2100" s="166"/>
      <c r="C2100" s="162"/>
      <c r="D2100" s="161"/>
      <c r="E2100" s="160"/>
      <c r="F2100" s="159"/>
      <c r="G2100" s="158"/>
    </row>
    <row r="2101" spans="1:7" x14ac:dyDescent="0.25">
      <c r="A2101" s="148"/>
      <c r="C2101" s="143"/>
      <c r="D2101" s="157"/>
      <c r="E2101" s="143"/>
      <c r="F2101" s="156"/>
      <c r="G2101" s="156"/>
    </row>
    <row r="2102" spans="1:7" x14ac:dyDescent="0.25">
      <c r="A2102" s="148"/>
      <c r="C2102" s="153" t="s">
        <v>623</v>
      </c>
      <c r="D2102" s="152"/>
      <c r="E2102" s="151"/>
      <c r="F2102" s="150">
        <f>SUM(F2076:F2100)</f>
        <v>0</v>
      </c>
      <c r="G2102" s="155">
        <f>SUM(G2076:G2100)</f>
        <v>0</v>
      </c>
    </row>
    <row r="2103" spans="1:7" x14ac:dyDescent="0.25">
      <c r="A2103" s="148"/>
      <c r="C2103" s="145" t="s">
        <v>622</v>
      </c>
      <c r="D2103" s="154"/>
      <c r="E2103" s="145"/>
      <c r="F2103" s="144"/>
      <c r="G2103" s="144"/>
    </row>
    <row r="2104" spans="1:7" x14ac:dyDescent="0.25">
      <c r="A2104" s="148"/>
      <c r="C2104" s="153" t="s">
        <v>621</v>
      </c>
      <c r="D2104" s="152"/>
      <c r="E2104" s="151"/>
      <c r="F2104" s="150">
        <f>F2071</f>
        <v>0</v>
      </c>
      <c r="G2104" s="150">
        <f>G2071</f>
        <v>0</v>
      </c>
    </row>
    <row r="2105" spans="1:7" x14ac:dyDescent="0.25">
      <c r="A2105" s="148"/>
      <c r="C2105" s="153" t="s">
        <v>582</v>
      </c>
      <c r="D2105" s="152"/>
      <c r="E2105" s="151"/>
      <c r="F2105" s="150">
        <f>F2104+F2102</f>
        <v>0</v>
      </c>
      <c r="G2105" s="150">
        <f>G2104+G2102</f>
        <v>0</v>
      </c>
    </row>
    <row r="2106" spans="1:7" ht="15.75" thickBot="1" x14ac:dyDescent="0.3">
      <c r="A2106" s="148"/>
      <c r="C2106" s="145"/>
      <c r="D2106" s="149"/>
      <c r="E2106" s="145"/>
      <c r="F2106" s="144"/>
      <c r="G2106" s="144"/>
    </row>
    <row r="2107" spans="1:7" ht="15.75" thickBot="1" x14ac:dyDescent="0.3">
      <c r="A2107" s="148"/>
      <c r="C2107" s="147" t="s">
        <v>620</v>
      </c>
      <c r="D2107" s="146">
        <f>F2105-G2105</f>
        <v>0</v>
      </c>
      <c r="E2107" s="145"/>
      <c r="F2107" s="144"/>
      <c r="G2107" s="144"/>
    </row>
    <row r="2108" spans="1:7" ht="15.75" thickBot="1" x14ac:dyDescent="0.3"/>
    <row r="2109" spans="1:7" ht="30.75" thickBot="1" x14ac:dyDescent="0.3">
      <c r="A2109" s="232" t="s">
        <v>626</v>
      </c>
      <c r="B2109" s="231" t="s">
        <v>606</v>
      </c>
      <c r="C2109" s="230" t="s">
        <v>634</v>
      </c>
      <c r="D2109" s="229" t="s">
        <v>601</v>
      </c>
      <c r="E2109" s="228" t="s">
        <v>287</v>
      </c>
      <c r="F2109" s="227" t="s">
        <v>624</v>
      </c>
      <c r="G2109" s="227" t="s">
        <v>596</v>
      </c>
    </row>
    <row r="2110" spans="1:7" x14ac:dyDescent="0.25">
      <c r="A2110" s="169" t="str">
        <f>E2110&amp;COUNTIFS($E$2:E2110,E2110)</f>
        <v>0</v>
      </c>
      <c r="B2110" s="172"/>
      <c r="C2110" s="174"/>
      <c r="D2110" s="173"/>
      <c r="E2110" s="172"/>
      <c r="F2110" s="171"/>
      <c r="G2110" s="170"/>
    </row>
    <row r="2111" spans="1:7" x14ac:dyDescent="0.25">
      <c r="A2111" s="169" t="str">
        <f>E2111&amp;COUNTIFS($E$2:E2111,E2111)</f>
        <v>0</v>
      </c>
      <c r="B2111" s="166"/>
      <c r="C2111" s="168"/>
      <c r="D2111" s="167"/>
      <c r="E2111" s="166"/>
      <c r="F2111" s="165"/>
      <c r="G2111" s="164"/>
    </row>
    <row r="2112" spans="1:7" x14ac:dyDescent="0.25">
      <c r="A2112" s="169" t="str">
        <f>E2112&amp;COUNTIFS($E$2:E2112,E2112)</f>
        <v>0</v>
      </c>
      <c r="B2112" s="166"/>
      <c r="C2112" s="168"/>
      <c r="D2112" s="167"/>
      <c r="E2112" s="166"/>
      <c r="F2112" s="165"/>
      <c r="G2112" s="164"/>
    </row>
    <row r="2113" spans="1:7" x14ac:dyDescent="0.25">
      <c r="A2113" s="169" t="str">
        <f>E2113&amp;COUNTIFS($E$2:E2113,E2113)</f>
        <v>0</v>
      </c>
      <c r="B2113" s="166"/>
      <c r="C2113" s="168"/>
      <c r="D2113" s="167"/>
      <c r="E2113" s="166"/>
      <c r="F2113" s="165"/>
      <c r="G2113" s="164"/>
    </row>
    <row r="2114" spans="1:7" x14ac:dyDescent="0.25">
      <c r="A2114" s="169" t="str">
        <f>E2114&amp;COUNTIFS($E$2:E2114,E2114)</f>
        <v>0</v>
      </c>
      <c r="B2114" s="166"/>
      <c r="C2114" s="168"/>
      <c r="D2114" s="167"/>
      <c r="E2114" s="166"/>
      <c r="F2114" s="165"/>
      <c r="G2114" s="164"/>
    </row>
    <row r="2115" spans="1:7" x14ac:dyDescent="0.25">
      <c r="A2115" s="169" t="str">
        <f>E2115&amp;COUNTIFS($E$2:E2115,E2115)</f>
        <v>0</v>
      </c>
      <c r="B2115" s="166"/>
      <c r="C2115" s="168"/>
      <c r="D2115" s="167"/>
      <c r="E2115" s="166"/>
      <c r="F2115" s="165"/>
      <c r="G2115" s="164"/>
    </row>
    <row r="2116" spans="1:7" x14ac:dyDescent="0.25">
      <c r="A2116" s="169" t="str">
        <f>E2116&amp;COUNTIFS($E$2:E2116,E2116)</f>
        <v>0</v>
      </c>
      <c r="B2116" s="166"/>
      <c r="C2116" s="168"/>
      <c r="D2116" s="167"/>
      <c r="E2116" s="166"/>
      <c r="F2116" s="165"/>
      <c r="G2116" s="164"/>
    </row>
    <row r="2117" spans="1:7" x14ac:dyDescent="0.25">
      <c r="A2117" s="169" t="str">
        <f>E2117&amp;COUNTIFS($E$2:E2117,E2117)</f>
        <v>0</v>
      </c>
      <c r="B2117" s="166"/>
      <c r="C2117" s="168"/>
      <c r="D2117" s="167"/>
      <c r="E2117" s="166"/>
      <c r="F2117" s="165"/>
      <c r="G2117" s="164"/>
    </row>
    <row r="2118" spans="1:7" x14ac:dyDescent="0.25">
      <c r="A2118" s="169" t="str">
        <f>E2118&amp;COUNTIFS($E$2:E2118,E2118)</f>
        <v>0</v>
      </c>
      <c r="B2118" s="166"/>
      <c r="C2118" s="168"/>
      <c r="D2118" s="167"/>
      <c r="E2118" s="166"/>
      <c r="F2118" s="165"/>
      <c r="G2118" s="164"/>
    </row>
    <row r="2119" spans="1:7" x14ac:dyDescent="0.25">
      <c r="A2119" s="169" t="str">
        <f>E2119&amp;COUNTIFS($E$2:E2119,E2119)</f>
        <v>0</v>
      </c>
      <c r="B2119" s="166"/>
      <c r="C2119" s="168"/>
      <c r="D2119" s="167"/>
      <c r="E2119" s="166"/>
      <c r="F2119" s="165"/>
      <c r="G2119" s="164"/>
    </row>
    <row r="2120" spans="1:7" x14ac:dyDescent="0.25">
      <c r="A2120" s="169" t="str">
        <f>E2120&amp;COUNTIFS($E$2:E2120,E2120)</f>
        <v>0</v>
      </c>
      <c r="B2120" s="166"/>
      <c r="C2120" s="168"/>
      <c r="D2120" s="167"/>
      <c r="E2120" s="166"/>
      <c r="F2120" s="165"/>
      <c r="G2120" s="164"/>
    </row>
    <row r="2121" spans="1:7" x14ac:dyDescent="0.25">
      <c r="A2121" s="169" t="str">
        <f>E2121&amp;COUNTIFS($E$2:E2121,E2121)</f>
        <v>0</v>
      </c>
      <c r="B2121" s="166"/>
      <c r="C2121" s="168"/>
      <c r="D2121" s="167"/>
      <c r="E2121" s="166"/>
      <c r="F2121" s="165"/>
      <c r="G2121" s="164"/>
    </row>
    <row r="2122" spans="1:7" x14ac:dyDescent="0.25">
      <c r="A2122" s="169" t="str">
        <f>E2122&amp;COUNTIFS($E$2:E2122,E2122)</f>
        <v>0</v>
      </c>
      <c r="B2122" s="166"/>
      <c r="C2122" s="168"/>
      <c r="D2122" s="167"/>
      <c r="E2122" s="166"/>
      <c r="F2122" s="165"/>
      <c r="G2122" s="164"/>
    </row>
    <row r="2123" spans="1:7" x14ac:dyDescent="0.25">
      <c r="A2123" s="169" t="str">
        <f>E2123&amp;COUNTIFS($E$2:E2123,E2123)</f>
        <v>0</v>
      </c>
      <c r="B2123" s="166"/>
      <c r="C2123" s="168"/>
      <c r="D2123" s="167"/>
      <c r="E2123" s="166"/>
      <c r="F2123" s="165"/>
      <c r="G2123" s="164"/>
    </row>
    <row r="2124" spans="1:7" x14ac:dyDescent="0.25">
      <c r="A2124" s="169" t="str">
        <f>E2124&amp;COUNTIFS($E$2:E2124,E2124)</f>
        <v>0</v>
      </c>
      <c r="B2124" s="166"/>
      <c r="C2124" s="168"/>
      <c r="D2124" s="167"/>
      <c r="E2124" s="166"/>
      <c r="F2124" s="165"/>
      <c r="G2124" s="164"/>
    </row>
    <row r="2125" spans="1:7" x14ac:dyDescent="0.25">
      <c r="A2125" s="169" t="str">
        <f>E2125&amp;COUNTIFS($E$2:E2125,E2125)</f>
        <v>0</v>
      </c>
      <c r="B2125" s="166"/>
      <c r="C2125" s="168"/>
      <c r="D2125" s="167"/>
      <c r="E2125" s="166"/>
      <c r="F2125" s="165"/>
      <c r="G2125" s="164"/>
    </row>
    <row r="2126" spans="1:7" x14ac:dyDescent="0.25">
      <c r="A2126" s="169" t="str">
        <f>E2126&amp;COUNTIFS($E$2:E2126,E2126)</f>
        <v>0</v>
      </c>
      <c r="B2126" s="166"/>
      <c r="C2126" s="168"/>
      <c r="D2126" s="167"/>
      <c r="E2126" s="166"/>
      <c r="F2126" s="165"/>
      <c r="G2126" s="164"/>
    </row>
    <row r="2127" spans="1:7" x14ac:dyDescent="0.25">
      <c r="A2127" s="169" t="str">
        <f>E2127&amp;COUNTIFS($E$2:E2127,E2127)</f>
        <v>0</v>
      </c>
      <c r="B2127" s="166"/>
      <c r="C2127" s="168"/>
      <c r="D2127" s="167"/>
      <c r="E2127" s="166"/>
      <c r="F2127" s="165"/>
      <c r="G2127" s="164"/>
    </row>
    <row r="2128" spans="1:7" x14ac:dyDescent="0.25">
      <c r="A2128" s="169" t="str">
        <f>E2128&amp;COUNTIFS($E$2:E2128,E2128)</f>
        <v>0</v>
      </c>
      <c r="B2128" s="166"/>
      <c r="C2128" s="168"/>
      <c r="D2128" s="167"/>
      <c r="E2128" s="166"/>
      <c r="F2128" s="165"/>
      <c r="G2128" s="164"/>
    </row>
    <row r="2129" spans="1:7" x14ac:dyDescent="0.25">
      <c r="A2129" s="169" t="str">
        <f>E2129&amp;COUNTIFS($E$2:E2129,E2129)</f>
        <v>0</v>
      </c>
      <c r="B2129" s="166"/>
      <c r="C2129" s="168"/>
      <c r="D2129" s="167"/>
      <c r="E2129" s="166"/>
      <c r="F2129" s="165"/>
      <c r="G2129" s="164"/>
    </row>
    <row r="2130" spans="1:7" x14ac:dyDescent="0.25">
      <c r="A2130" s="169" t="str">
        <f>E2130&amp;COUNTIFS($E$2:E2130,E2130)</f>
        <v>0</v>
      </c>
      <c r="B2130" s="166"/>
      <c r="C2130" s="168"/>
      <c r="D2130" s="167"/>
      <c r="E2130" s="166"/>
      <c r="F2130" s="165"/>
      <c r="G2130" s="164"/>
    </row>
    <row r="2131" spans="1:7" x14ac:dyDescent="0.25">
      <c r="A2131" s="169" t="str">
        <f>E2131&amp;COUNTIFS($E$2:E2131,E2131)</f>
        <v>0</v>
      </c>
      <c r="B2131" s="166"/>
      <c r="C2131" s="168"/>
      <c r="D2131" s="167"/>
      <c r="E2131" s="166"/>
      <c r="F2131" s="165"/>
      <c r="G2131" s="164"/>
    </row>
    <row r="2132" spans="1:7" x14ac:dyDescent="0.25">
      <c r="A2132" s="169" t="str">
        <f>E2132&amp;COUNTIFS($E$2:E2132,E2132)</f>
        <v>0</v>
      </c>
      <c r="B2132" s="166"/>
      <c r="C2132" s="168"/>
      <c r="D2132" s="167"/>
      <c r="E2132" s="166"/>
      <c r="F2132" s="165"/>
      <c r="G2132" s="164"/>
    </row>
    <row r="2133" spans="1:7" x14ac:dyDescent="0.25">
      <c r="A2133" s="169" t="str">
        <f>E2133&amp;COUNTIFS($E$2:E2133,E2133)</f>
        <v>0</v>
      </c>
      <c r="B2133" s="166"/>
      <c r="C2133" s="168"/>
      <c r="D2133" s="167"/>
      <c r="E2133" s="166"/>
      <c r="F2133" s="165"/>
      <c r="G2133" s="164"/>
    </row>
    <row r="2134" spans="1:7" ht="15.75" thickBot="1" x14ac:dyDescent="0.3">
      <c r="A2134" s="163" t="str">
        <f>E2134&amp;COUNTIFS($E$2:E2134,E2134)</f>
        <v>0</v>
      </c>
      <c r="B2134" s="166"/>
      <c r="C2134" s="162"/>
      <c r="D2134" s="161"/>
      <c r="E2134" s="160"/>
      <c r="F2134" s="159"/>
      <c r="G2134" s="158"/>
    </row>
    <row r="2135" spans="1:7" x14ac:dyDescent="0.25">
      <c r="A2135" s="148"/>
      <c r="C2135" s="143"/>
      <c r="D2135" s="157"/>
      <c r="E2135" s="143"/>
      <c r="F2135" s="156"/>
      <c r="G2135" s="156"/>
    </row>
    <row r="2136" spans="1:7" x14ac:dyDescent="0.25">
      <c r="A2136" s="148"/>
      <c r="C2136" s="153" t="s">
        <v>623</v>
      </c>
      <c r="D2136" s="152"/>
      <c r="E2136" s="151"/>
      <c r="F2136" s="150">
        <f>SUM(F2110:F2134)</f>
        <v>0</v>
      </c>
      <c r="G2136" s="155">
        <f>SUM(G2110:G2134)</f>
        <v>0</v>
      </c>
    </row>
    <row r="2137" spans="1:7" x14ac:dyDescent="0.25">
      <c r="A2137" s="148"/>
      <c r="C2137" s="145" t="s">
        <v>622</v>
      </c>
      <c r="D2137" s="154"/>
      <c r="E2137" s="145"/>
      <c r="F2137" s="144"/>
      <c r="G2137" s="144"/>
    </row>
    <row r="2138" spans="1:7" x14ac:dyDescent="0.25">
      <c r="A2138" s="148"/>
      <c r="C2138" s="153" t="s">
        <v>621</v>
      </c>
      <c r="D2138" s="152"/>
      <c r="E2138" s="151"/>
      <c r="F2138" s="150">
        <f>F2105</f>
        <v>0</v>
      </c>
      <c r="G2138" s="150">
        <f>G2105</f>
        <v>0</v>
      </c>
    </row>
    <row r="2139" spans="1:7" x14ac:dyDescent="0.25">
      <c r="A2139" s="148"/>
      <c r="C2139" s="153" t="s">
        <v>582</v>
      </c>
      <c r="D2139" s="152"/>
      <c r="E2139" s="151"/>
      <c r="F2139" s="150">
        <f>F2138+F2136</f>
        <v>0</v>
      </c>
      <c r="G2139" s="150">
        <f>G2138+G2136</f>
        <v>0</v>
      </c>
    </row>
    <row r="2140" spans="1:7" ht="15.75" thickBot="1" x14ac:dyDescent="0.3">
      <c r="A2140" s="148"/>
      <c r="C2140" s="145"/>
      <c r="D2140" s="149"/>
      <c r="E2140" s="145"/>
      <c r="F2140" s="144"/>
      <c r="G2140" s="144"/>
    </row>
    <row r="2141" spans="1:7" ht="15.75" thickBot="1" x14ac:dyDescent="0.3">
      <c r="A2141" s="148"/>
      <c r="C2141" s="147" t="s">
        <v>620</v>
      </c>
      <c r="D2141" s="146">
        <f>F2139-G2139</f>
        <v>0</v>
      </c>
      <c r="E2141" s="145"/>
      <c r="F2141" s="144"/>
      <c r="G2141" s="144"/>
    </row>
    <row r="2142" spans="1:7" ht="15.75" thickBot="1" x14ac:dyDescent="0.3"/>
    <row r="2143" spans="1:7" ht="30.75" thickBot="1" x14ac:dyDescent="0.3">
      <c r="A2143" s="232" t="s">
        <v>626</v>
      </c>
      <c r="B2143" s="231" t="s">
        <v>606</v>
      </c>
      <c r="C2143" s="230" t="s">
        <v>634</v>
      </c>
      <c r="D2143" s="229" t="s">
        <v>601</v>
      </c>
      <c r="E2143" s="228" t="s">
        <v>287</v>
      </c>
      <c r="F2143" s="227" t="s">
        <v>624</v>
      </c>
      <c r="G2143" s="227" t="s">
        <v>596</v>
      </c>
    </row>
    <row r="2144" spans="1:7" x14ac:dyDescent="0.25">
      <c r="A2144" s="169" t="str">
        <f>E2144&amp;COUNTIFS($E$2:E2144,E2144)</f>
        <v>0</v>
      </c>
      <c r="B2144" s="172"/>
      <c r="C2144" s="174"/>
      <c r="D2144" s="173"/>
      <c r="E2144" s="172"/>
      <c r="F2144" s="171"/>
      <c r="G2144" s="170"/>
    </row>
    <row r="2145" spans="1:7" x14ac:dyDescent="0.25">
      <c r="A2145" s="169" t="str">
        <f>E2145&amp;COUNTIFS($E$2:E2145,E2145)</f>
        <v>0</v>
      </c>
      <c r="B2145" s="166"/>
      <c r="C2145" s="168"/>
      <c r="D2145" s="167"/>
      <c r="E2145" s="166"/>
      <c r="F2145" s="165"/>
      <c r="G2145" s="164"/>
    </row>
    <row r="2146" spans="1:7" x14ac:dyDescent="0.25">
      <c r="A2146" s="169" t="str">
        <f>E2146&amp;COUNTIFS($E$2:E2146,E2146)</f>
        <v>0</v>
      </c>
      <c r="B2146" s="166"/>
      <c r="C2146" s="168"/>
      <c r="D2146" s="167"/>
      <c r="E2146" s="166"/>
      <c r="F2146" s="165"/>
      <c r="G2146" s="164"/>
    </row>
    <row r="2147" spans="1:7" x14ac:dyDescent="0.25">
      <c r="A2147" s="169" t="str">
        <f>E2147&amp;COUNTIFS($E$2:E2147,E2147)</f>
        <v>0</v>
      </c>
      <c r="B2147" s="166"/>
      <c r="C2147" s="168"/>
      <c r="D2147" s="167"/>
      <c r="E2147" s="166"/>
      <c r="F2147" s="165"/>
      <c r="G2147" s="164"/>
    </row>
    <row r="2148" spans="1:7" x14ac:dyDescent="0.25">
      <c r="A2148" s="169" t="str">
        <f>E2148&amp;COUNTIFS($E$2:E2148,E2148)</f>
        <v>0</v>
      </c>
      <c r="B2148" s="166"/>
      <c r="C2148" s="168"/>
      <c r="D2148" s="167"/>
      <c r="E2148" s="166"/>
      <c r="F2148" s="165"/>
      <c r="G2148" s="164"/>
    </row>
    <row r="2149" spans="1:7" x14ac:dyDescent="0.25">
      <c r="A2149" s="169" t="str">
        <f>E2149&amp;COUNTIFS($E$2:E2149,E2149)</f>
        <v>0</v>
      </c>
      <c r="B2149" s="166"/>
      <c r="C2149" s="168"/>
      <c r="D2149" s="167"/>
      <c r="E2149" s="166"/>
      <c r="F2149" s="165"/>
      <c r="G2149" s="164"/>
    </row>
    <row r="2150" spans="1:7" x14ac:dyDescent="0.25">
      <c r="A2150" s="169" t="str">
        <f>E2150&amp;COUNTIFS($E$2:E2150,E2150)</f>
        <v>0</v>
      </c>
      <c r="B2150" s="166"/>
      <c r="C2150" s="168"/>
      <c r="D2150" s="167"/>
      <c r="E2150" s="166"/>
      <c r="F2150" s="165"/>
      <c r="G2150" s="164"/>
    </row>
    <row r="2151" spans="1:7" x14ac:dyDescent="0.25">
      <c r="A2151" s="169" t="str">
        <f>E2151&amp;COUNTIFS($E$2:E2151,E2151)</f>
        <v>0</v>
      </c>
      <c r="B2151" s="166"/>
      <c r="C2151" s="168"/>
      <c r="D2151" s="167"/>
      <c r="E2151" s="166"/>
      <c r="F2151" s="165"/>
      <c r="G2151" s="164"/>
    </row>
    <row r="2152" spans="1:7" x14ac:dyDescent="0.25">
      <c r="A2152" s="169" t="str">
        <f>E2152&amp;COUNTIFS($E$2:E2152,E2152)</f>
        <v>0</v>
      </c>
      <c r="B2152" s="166"/>
      <c r="C2152" s="168"/>
      <c r="D2152" s="167"/>
      <c r="E2152" s="166"/>
      <c r="F2152" s="165"/>
      <c r="G2152" s="164"/>
    </row>
    <row r="2153" spans="1:7" x14ac:dyDescent="0.25">
      <c r="A2153" s="169" t="str">
        <f>E2153&amp;COUNTIFS($E$2:E2153,E2153)</f>
        <v>0</v>
      </c>
      <c r="B2153" s="166"/>
      <c r="C2153" s="168"/>
      <c r="D2153" s="167"/>
      <c r="E2153" s="166"/>
      <c r="F2153" s="165"/>
      <c r="G2153" s="164"/>
    </row>
    <row r="2154" spans="1:7" x14ac:dyDescent="0.25">
      <c r="A2154" s="169" t="str">
        <f>E2154&amp;COUNTIFS($E$2:E2154,E2154)</f>
        <v>0</v>
      </c>
      <c r="B2154" s="166"/>
      <c r="C2154" s="168"/>
      <c r="D2154" s="167"/>
      <c r="E2154" s="166"/>
      <c r="F2154" s="165"/>
      <c r="G2154" s="164"/>
    </row>
    <row r="2155" spans="1:7" x14ac:dyDescent="0.25">
      <c r="A2155" s="169" t="str">
        <f>E2155&amp;COUNTIFS($E$2:E2155,E2155)</f>
        <v>0</v>
      </c>
      <c r="B2155" s="166"/>
      <c r="C2155" s="168"/>
      <c r="D2155" s="167"/>
      <c r="E2155" s="166"/>
      <c r="F2155" s="165"/>
      <c r="G2155" s="164"/>
    </row>
    <row r="2156" spans="1:7" x14ac:dyDescent="0.25">
      <c r="A2156" s="169" t="str">
        <f>E2156&amp;COUNTIFS($E$2:E2156,E2156)</f>
        <v>0</v>
      </c>
      <c r="B2156" s="166"/>
      <c r="C2156" s="168"/>
      <c r="D2156" s="167"/>
      <c r="E2156" s="166"/>
      <c r="F2156" s="165"/>
      <c r="G2156" s="164"/>
    </row>
    <row r="2157" spans="1:7" x14ac:dyDescent="0.25">
      <c r="A2157" s="169" t="str">
        <f>E2157&amp;COUNTIFS($E$2:E2157,E2157)</f>
        <v>0</v>
      </c>
      <c r="B2157" s="166"/>
      <c r="C2157" s="168"/>
      <c r="D2157" s="167"/>
      <c r="E2157" s="166"/>
      <c r="F2157" s="165"/>
      <c r="G2157" s="164"/>
    </row>
    <row r="2158" spans="1:7" x14ac:dyDescent="0.25">
      <c r="A2158" s="169" t="str">
        <f>E2158&amp;COUNTIFS($E$2:E2158,E2158)</f>
        <v>0</v>
      </c>
      <c r="B2158" s="166"/>
      <c r="C2158" s="168"/>
      <c r="D2158" s="167"/>
      <c r="E2158" s="166"/>
      <c r="F2158" s="165"/>
      <c r="G2158" s="164"/>
    </row>
    <row r="2159" spans="1:7" x14ac:dyDescent="0.25">
      <c r="A2159" s="169" t="str">
        <f>E2159&amp;COUNTIFS($E$2:E2159,E2159)</f>
        <v>0</v>
      </c>
      <c r="B2159" s="166"/>
      <c r="C2159" s="168"/>
      <c r="D2159" s="167"/>
      <c r="E2159" s="166"/>
      <c r="F2159" s="165"/>
      <c r="G2159" s="164"/>
    </row>
    <row r="2160" spans="1:7" x14ac:dyDescent="0.25">
      <c r="A2160" s="169" t="str">
        <f>E2160&amp;COUNTIFS($E$2:E2160,E2160)</f>
        <v>0</v>
      </c>
      <c r="B2160" s="166"/>
      <c r="C2160" s="168"/>
      <c r="D2160" s="167"/>
      <c r="E2160" s="166"/>
      <c r="F2160" s="165"/>
      <c r="G2160" s="164"/>
    </row>
    <row r="2161" spans="1:7" x14ac:dyDescent="0.25">
      <c r="A2161" s="169" t="str">
        <f>E2161&amp;COUNTIFS($E$2:E2161,E2161)</f>
        <v>0</v>
      </c>
      <c r="B2161" s="166"/>
      <c r="C2161" s="168"/>
      <c r="D2161" s="167"/>
      <c r="E2161" s="166"/>
      <c r="F2161" s="165"/>
      <c r="G2161" s="164"/>
    </row>
    <row r="2162" spans="1:7" x14ac:dyDescent="0.25">
      <c r="A2162" s="169" t="str">
        <f>E2162&amp;COUNTIFS($E$2:E2162,E2162)</f>
        <v>0</v>
      </c>
      <c r="B2162" s="166"/>
      <c r="C2162" s="168"/>
      <c r="D2162" s="167"/>
      <c r="E2162" s="166"/>
      <c r="F2162" s="165"/>
      <c r="G2162" s="164"/>
    </row>
    <row r="2163" spans="1:7" x14ac:dyDescent="0.25">
      <c r="A2163" s="169" t="str">
        <f>E2163&amp;COUNTIFS($E$2:E2163,E2163)</f>
        <v>0</v>
      </c>
      <c r="B2163" s="166"/>
      <c r="C2163" s="168"/>
      <c r="D2163" s="167"/>
      <c r="E2163" s="166"/>
      <c r="F2163" s="165"/>
      <c r="G2163" s="164"/>
    </row>
    <row r="2164" spans="1:7" x14ac:dyDescent="0.25">
      <c r="A2164" s="169" t="str">
        <f>E2164&amp;COUNTIFS($E$2:E2164,E2164)</f>
        <v>0</v>
      </c>
      <c r="B2164" s="166"/>
      <c r="C2164" s="168"/>
      <c r="D2164" s="167"/>
      <c r="E2164" s="166"/>
      <c r="F2164" s="165"/>
      <c r="G2164" s="164"/>
    </row>
    <row r="2165" spans="1:7" x14ac:dyDescent="0.25">
      <c r="A2165" s="169" t="str">
        <f>E2165&amp;COUNTIFS($E$2:E2165,E2165)</f>
        <v>0</v>
      </c>
      <c r="B2165" s="166"/>
      <c r="C2165" s="168"/>
      <c r="D2165" s="167"/>
      <c r="E2165" s="166"/>
      <c r="F2165" s="165"/>
      <c r="G2165" s="164"/>
    </row>
    <row r="2166" spans="1:7" x14ac:dyDescent="0.25">
      <c r="A2166" s="169" t="str">
        <f>E2166&amp;COUNTIFS($E$2:E2166,E2166)</f>
        <v>0</v>
      </c>
      <c r="B2166" s="166"/>
      <c r="C2166" s="168"/>
      <c r="D2166" s="167"/>
      <c r="E2166" s="166"/>
      <c r="F2166" s="165"/>
      <c r="G2166" s="164"/>
    </row>
    <row r="2167" spans="1:7" x14ac:dyDescent="0.25">
      <c r="A2167" s="169" t="str">
        <f>E2167&amp;COUNTIFS($E$2:E2167,E2167)</f>
        <v>0</v>
      </c>
      <c r="B2167" s="166"/>
      <c r="C2167" s="168"/>
      <c r="D2167" s="167"/>
      <c r="E2167" s="166"/>
      <c r="F2167" s="165"/>
      <c r="G2167" s="164"/>
    </row>
    <row r="2168" spans="1:7" ht="15.75" thickBot="1" x14ac:dyDescent="0.3">
      <c r="A2168" s="163" t="str">
        <f>E2168&amp;COUNTIFS($E$2:E2168,E2168)</f>
        <v>0</v>
      </c>
      <c r="B2168" s="166"/>
      <c r="C2168" s="162"/>
      <c r="D2168" s="161"/>
      <c r="E2168" s="160"/>
      <c r="F2168" s="159"/>
      <c r="G2168" s="158"/>
    </row>
    <row r="2169" spans="1:7" x14ac:dyDescent="0.25">
      <c r="A2169" s="148"/>
      <c r="C2169" s="143"/>
      <c r="D2169" s="157"/>
      <c r="E2169" s="143"/>
      <c r="F2169" s="156"/>
      <c r="G2169" s="156"/>
    </row>
    <row r="2170" spans="1:7" x14ac:dyDescent="0.25">
      <c r="A2170" s="148"/>
      <c r="C2170" s="153" t="s">
        <v>623</v>
      </c>
      <c r="D2170" s="152"/>
      <c r="E2170" s="151"/>
      <c r="F2170" s="150">
        <f>SUM(F2144:F2168)</f>
        <v>0</v>
      </c>
      <c r="G2170" s="155">
        <f>SUM(G2144:G2168)</f>
        <v>0</v>
      </c>
    </row>
    <row r="2171" spans="1:7" x14ac:dyDescent="0.25">
      <c r="A2171" s="148"/>
      <c r="C2171" s="145" t="s">
        <v>622</v>
      </c>
      <c r="D2171" s="154"/>
      <c r="E2171" s="145"/>
      <c r="F2171" s="144"/>
      <c r="G2171" s="144"/>
    </row>
    <row r="2172" spans="1:7" x14ac:dyDescent="0.25">
      <c r="A2172" s="148"/>
      <c r="C2172" s="153" t="s">
        <v>621</v>
      </c>
      <c r="D2172" s="152"/>
      <c r="E2172" s="151"/>
      <c r="F2172" s="150">
        <f>F2139</f>
        <v>0</v>
      </c>
      <c r="G2172" s="150">
        <f>G2139</f>
        <v>0</v>
      </c>
    </row>
    <row r="2173" spans="1:7" x14ac:dyDescent="0.25">
      <c r="A2173" s="148"/>
      <c r="C2173" s="153" t="s">
        <v>582</v>
      </c>
      <c r="D2173" s="152"/>
      <c r="E2173" s="151"/>
      <c r="F2173" s="150">
        <f>F2172+F2170</f>
        <v>0</v>
      </c>
      <c r="G2173" s="150">
        <f>G2172+G2170</f>
        <v>0</v>
      </c>
    </row>
    <row r="2174" spans="1:7" ht="15.75" thickBot="1" x14ac:dyDescent="0.3">
      <c r="A2174" s="148"/>
      <c r="C2174" s="145"/>
      <c r="D2174" s="149"/>
      <c r="E2174" s="145"/>
      <c r="F2174" s="144"/>
      <c r="G2174" s="144"/>
    </row>
    <row r="2175" spans="1:7" ht="15.75" thickBot="1" x14ac:dyDescent="0.3">
      <c r="A2175" s="148"/>
      <c r="C2175" s="147" t="s">
        <v>620</v>
      </c>
      <c r="D2175" s="146">
        <f>F2173-G2173</f>
        <v>0</v>
      </c>
      <c r="E2175" s="145"/>
      <c r="F2175" s="144"/>
      <c r="G2175" s="144"/>
    </row>
    <row r="2176" spans="1:7" ht="15.75" thickBot="1" x14ac:dyDescent="0.3"/>
    <row r="2177" spans="1:7" ht="30.75" thickBot="1" x14ac:dyDescent="0.3">
      <c r="A2177" s="232" t="s">
        <v>626</v>
      </c>
      <c r="B2177" s="231" t="s">
        <v>606</v>
      </c>
      <c r="C2177" s="230" t="s">
        <v>634</v>
      </c>
      <c r="D2177" s="229" t="s">
        <v>601</v>
      </c>
      <c r="E2177" s="228" t="s">
        <v>287</v>
      </c>
      <c r="F2177" s="227" t="s">
        <v>624</v>
      </c>
      <c r="G2177" s="227" t="s">
        <v>596</v>
      </c>
    </row>
    <row r="2178" spans="1:7" x14ac:dyDescent="0.25">
      <c r="A2178" s="169" t="str">
        <f>E2178&amp;COUNTIFS($E$2:E2178,E2178)</f>
        <v>0</v>
      </c>
      <c r="B2178" s="172"/>
      <c r="C2178" s="174"/>
      <c r="D2178" s="173"/>
      <c r="E2178" s="172"/>
      <c r="F2178" s="171"/>
      <c r="G2178" s="170"/>
    </row>
    <row r="2179" spans="1:7" x14ac:dyDescent="0.25">
      <c r="A2179" s="169" t="str">
        <f>E2179&amp;COUNTIFS($E$2:E2179,E2179)</f>
        <v>0</v>
      </c>
      <c r="B2179" s="166"/>
      <c r="C2179" s="168"/>
      <c r="D2179" s="167"/>
      <c r="E2179" s="166"/>
      <c r="F2179" s="165"/>
      <c r="G2179" s="164"/>
    </row>
    <row r="2180" spans="1:7" x14ac:dyDescent="0.25">
      <c r="A2180" s="169" t="str">
        <f>E2180&amp;COUNTIFS($E$2:E2180,E2180)</f>
        <v>0</v>
      </c>
      <c r="B2180" s="166"/>
      <c r="C2180" s="168"/>
      <c r="D2180" s="167"/>
      <c r="E2180" s="166"/>
      <c r="F2180" s="165"/>
      <c r="G2180" s="164"/>
    </row>
    <row r="2181" spans="1:7" x14ac:dyDescent="0.25">
      <c r="A2181" s="169" t="str">
        <f>E2181&amp;COUNTIFS($E$2:E2181,E2181)</f>
        <v>0</v>
      </c>
      <c r="B2181" s="166"/>
      <c r="C2181" s="168"/>
      <c r="D2181" s="167"/>
      <c r="E2181" s="166"/>
      <c r="F2181" s="165"/>
      <c r="G2181" s="164"/>
    </row>
    <row r="2182" spans="1:7" x14ac:dyDescent="0.25">
      <c r="A2182" s="169" t="str">
        <f>E2182&amp;COUNTIFS($E$2:E2182,E2182)</f>
        <v>0</v>
      </c>
      <c r="B2182" s="166"/>
      <c r="C2182" s="168"/>
      <c r="D2182" s="167"/>
      <c r="E2182" s="166"/>
      <c r="F2182" s="165"/>
      <c r="G2182" s="164"/>
    </row>
    <row r="2183" spans="1:7" x14ac:dyDescent="0.25">
      <c r="A2183" s="169" t="str">
        <f>E2183&amp;COUNTIFS($E$2:E2183,E2183)</f>
        <v>0</v>
      </c>
      <c r="B2183" s="166"/>
      <c r="C2183" s="168"/>
      <c r="D2183" s="167"/>
      <c r="E2183" s="166"/>
      <c r="F2183" s="165"/>
      <c r="G2183" s="164"/>
    </row>
    <row r="2184" spans="1:7" x14ac:dyDescent="0.25">
      <c r="A2184" s="169" t="str">
        <f>E2184&amp;COUNTIFS($E$2:E2184,E2184)</f>
        <v>0</v>
      </c>
      <c r="B2184" s="166"/>
      <c r="C2184" s="168"/>
      <c r="D2184" s="167"/>
      <c r="E2184" s="166"/>
      <c r="F2184" s="165"/>
      <c r="G2184" s="164"/>
    </row>
    <row r="2185" spans="1:7" x14ac:dyDescent="0.25">
      <c r="A2185" s="169" t="str">
        <f>E2185&amp;COUNTIFS($E$2:E2185,E2185)</f>
        <v>0</v>
      </c>
      <c r="B2185" s="166"/>
      <c r="C2185" s="168"/>
      <c r="D2185" s="167"/>
      <c r="E2185" s="166"/>
      <c r="F2185" s="165"/>
      <c r="G2185" s="164"/>
    </row>
    <row r="2186" spans="1:7" x14ac:dyDescent="0.25">
      <c r="A2186" s="169" t="str">
        <f>E2186&amp;COUNTIFS($E$2:E2186,E2186)</f>
        <v>0</v>
      </c>
      <c r="B2186" s="166"/>
      <c r="C2186" s="168"/>
      <c r="D2186" s="167"/>
      <c r="E2186" s="166"/>
      <c r="F2186" s="165"/>
      <c r="G2186" s="164"/>
    </row>
    <row r="2187" spans="1:7" x14ac:dyDescent="0.25">
      <c r="A2187" s="169" t="str">
        <f>E2187&amp;COUNTIFS($E$2:E2187,E2187)</f>
        <v>0</v>
      </c>
      <c r="B2187" s="166"/>
      <c r="C2187" s="168"/>
      <c r="D2187" s="167"/>
      <c r="E2187" s="166"/>
      <c r="F2187" s="165"/>
      <c r="G2187" s="164"/>
    </row>
    <row r="2188" spans="1:7" x14ac:dyDescent="0.25">
      <c r="A2188" s="169" t="str">
        <f>E2188&amp;COUNTIFS($E$2:E2188,E2188)</f>
        <v>0</v>
      </c>
      <c r="B2188" s="166"/>
      <c r="C2188" s="168"/>
      <c r="D2188" s="167"/>
      <c r="E2188" s="166"/>
      <c r="F2188" s="165"/>
      <c r="G2188" s="164"/>
    </row>
    <row r="2189" spans="1:7" x14ac:dyDescent="0.25">
      <c r="A2189" s="169" t="str">
        <f>E2189&amp;COUNTIFS($E$2:E2189,E2189)</f>
        <v>0</v>
      </c>
      <c r="B2189" s="166"/>
      <c r="C2189" s="168"/>
      <c r="D2189" s="167"/>
      <c r="E2189" s="166"/>
      <c r="F2189" s="165"/>
      <c r="G2189" s="164"/>
    </row>
    <row r="2190" spans="1:7" x14ac:dyDescent="0.25">
      <c r="A2190" s="169" t="str">
        <f>E2190&amp;COUNTIFS($E$2:E2190,E2190)</f>
        <v>0</v>
      </c>
      <c r="B2190" s="166"/>
      <c r="C2190" s="168"/>
      <c r="D2190" s="167"/>
      <c r="E2190" s="166"/>
      <c r="F2190" s="165"/>
      <c r="G2190" s="164"/>
    </row>
    <row r="2191" spans="1:7" x14ac:dyDescent="0.25">
      <c r="A2191" s="169" t="str">
        <f>E2191&amp;COUNTIFS($E$2:E2191,E2191)</f>
        <v>0</v>
      </c>
      <c r="B2191" s="166"/>
      <c r="C2191" s="168"/>
      <c r="D2191" s="167"/>
      <c r="E2191" s="166"/>
      <c r="F2191" s="165"/>
      <c r="G2191" s="164"/>
    </row>
    <row r="2192" spans="1:7" x14ac:dyDescent="0.25">
      <c r="A2192" s="169" t="str">
        <f>E2192&amp;COUNTIFS($E$2:E2192,E2192)</f>
        <v>0</v>
      </c>
      <c r="B2192" s="166"/>
      <c r="C2192" s="168"/>
      <c r="D2192" s="167"/>
      <c r="E2192" s="166"/>
      <c r="F2192" s="165"/>
      <c r="G2192" s="164"/>
    </row>
    <row r="2193" spans="1:7" x14ac:dyDescent="0.25">
      <c r="A2193" s="169" t="str">
        <f>E2193&amp;COUNTIFS($E$2:E2193,E2193)</f>
        <v>0</v>
      </c>
      <c r="B2193" s="166"/>
      <c r="C2193" s="168"/>
      <c r="D2193" s="167"/>
      <c r="E2193" s="166"/>
      <c r="F2193" s="165"/>
      <c r="G2193" s="164"/>
    </row>
    <row r="2194" spans="1:7" x14ac:dyDescent="0.25">
      <c r="A2194" s="169" t="str">
        <f>E2194&amp;COUNTIFS($E$2:E2194,E2194)</f>
        <v>0</v>
      </c>
      <c r="B2194" s="166"/>
      <c r="C2194" s="168"/>
      <c r="D2194" s="167"/>
      <c r="E2194" s="166"/>
      <c r="F2194" s="165"/>
      <c r="G2194" s="164"/>
    </row>
    <row r="2195" spans="1:7" x14ac:dyDescent="0.25">
      <c r="A2195" s="169" t="str">
        <f>E2195&amp;COUNTIFS($E$2:E2195,E2195)</f>
        <v>0</v>
      </c>
      <c r="B2195" s="166"/>
      <c r="C2195" s="168"/>
      <c r="D2195" s="167"/>
      <c r="E2195" s="166"/>
      <c r="F2195" s="165"/>
      <c r="G2195" s="164"/>
    </row>
    <row r="2196" spans="1:7" x14ac:dyDescent="0.25">
      <c r="A2196" s="169" t="str">
        <f>E2196&amp;COUNTIFS($E$2:E2196,E2196)</f>
        <v>0</v>
      </c>
      <c r="B2196" s="166"/>
      <c r="C2196" s="168"/>
      <c r="D2196" s="167"/>
      <c r="E2196" s="166"/>
      <c r="F2196" s="165"/>
      <c r="G2196" s="164"/>
    </row>
    <row r="2197" spans="1:7" x14ac:dyDescent="0.25">
      <c r="A2197" s="169" t="str">
        <f>E2197&amp;COUNTIFS($E$2:E2197,E2197)</f>
        <v>0</v>
      </c>
      <c r="B2197" s="166"/>
      <c r="C2197" s="168"/>
      <c r="D2197" s="167"/>
      <c r="E2197" s="166"/>
      <c r="F2197" s="165"/>
      <c r="G2197" s="164"/>
    </row>
    <row r="2198" spans="1:7" x14ac:dyDescent="0.25">
      <c r="A2198" s="169" t="str">
        <f>E2198&amp;COUNTIFS($E$2:E2198,E2198)</f>
        <v>0</v>
      </c>
      <c r="B2198" s="166"/>
      <c r="C2198" s="168"/>
      <c r="D2198" s="167"/>
      <c r="E2198" s="166"/>
      <c r="F2198" s="165"/>
      <c r="G2198" s="164"/>
    </row>
    <row r="2199" spans="1:7" x14ac:dyDescent="0.25">
      <c r="A2199" s="169" t="str">
        <f>E2199&amp;COUNTIFS($E$2:E2199,E2199)</f>
        <v>0</v>
      </c>
      <c r="B2199" s="166"/>
      <c r="C2199" s="168"/>
      <c r="D2199" s="167"/>
      <c r="E2199" s="166"/>
      <c r="F2199" s="165"/>
      <c r="G2199" s="164"/>
    </row>
    <row r="2200" spans="1:7" x14ac:dyDescent="0.25">
      <c r="A2200" s="169" t="str">
        <f>E2200&amp;COUNTIFS($E$2:E2200,E2200)</f>
        <v>0</v>
      </c>
      <c r="B2200" s="166"/>
      <c r="C2200" s="168"/>
      <c r="D2200" s="167"/>
      <c r="E2200" s="166"/>
      <c r="F2200" s="165"/>
      <c r="G2200" s="164"/>
    </row>
    <row r="2201" spans="1:7" x14ac:dyDescent="0.25">
      <c r="A2201" s="169" t="str">
        <f>E2201&amp;COUNTIFS($E$2:E2201,E2201)</f>
        <v>0</v>
      </c>
      <c r="B2201" s="166"/>
      <c r="C2201" s="168"/>
      <c r="D2201" s="167"/>
      <c r="E2201" s="166"/>
      <c r="F2201" s="165"/>
      <c r="G2201" s="164"/>
    </row>
    <row r="2202" spans="1:7" ht="15.75" thickBot="1" x14ac:dyDescent="0.3">
      <c r="A2202" s="163" t="str">
        <f>E2202&amp;COUNTIFS($E$2:E2202,E2202)</f>
        <v>0</v>
      </c>
      <c r="B2202" s="166"/>
      <c r="C2202" s="162"/>
      <c r="D2202" s="161"/>
      <c r="E2202" s="160"/>
      <c r="F2202" s="159"/>
      <c r="G2202" s="158"/>
    </row>
    <row r="2203" spans="1:7" x14ac:dyDescent="0.25">
      <c r="A2203" s="148"/>
      <c r="C2203" s="143"/>
      <c r="D2203" s="157"/>
      <c r="E2203" s="143"/>
      <c r="F2203" s="156"/>
      <c r="G2203" s="156"/>
    </row>
    <row r="2204" spans="1:7" x14ac:dyDescent="0.25">
      <c r="A2204" s="148"/>
      <c r="C2204" s="153" t="s">
        <v>623</v>
      </c>
      <c r="D2204" s="152"/>
      <c r="E2204" s="151"/>
      <c r="F2204" s="150">
        <f>SUM(F2178:F2202)</f>
        <v>0</v>
      </c>
      <c r="G2204" s="155">
        <f>SUM(G2178:G2202)</f>
        <v>0</v>
      </c>
    </row>
    <row r="2205" spans="1:7" x14ac:dyDescent="0.25">
      <c r="A2205" s="148"/>
      <c r="C2205" s="145" t="s">
        <v>622</v>
      </c>
      <c r="D2205" s="154"/>
      <c r="E2205" s="145"/>
      <c r="F2205" s="144"/>
      <c r="G2205" s="144"/>
    </row>
    <row r="2206" spans="1:7" x14ac:dyDescent="0.25">
      <c r="A2206" s="148"/>
      <c r="C2206" s="153" t="s">
        <v>621</v>
      </c>
      <c r="D2206" s="152"/>
      <c r="E2206" s="151"/>
      <c r="F2206" s="150">
        <f>F2173</f>
        <v>0</v>
      </c>
      <c r="G2206" s="150">
        <f>G2173</f>
        <v>0</v>
      </c>
    </row>
    <row r="2207" spans="1:7" x14ac:dyDescent="0.25">
      <c r="A2207" s="148"/>
      <c r="C2207" s="153" t="s">
        <v>582</v>
      </c>
      <c r="D2207" s="152"/>
      <c r="E2207" s="151"/>
      <c r="F2207" s="150">
        <f>F2206+F2204</f>
        <v>0</v>
      </c>
      <c r="G2207" s="150">
        <f>G2206+G2204</f>
        <v>0</v>
      </c>
    </row>
    <row r="2208" spans="1:7" ht="15.75" thickBot="1" x14ac:dyDescent="0.3">
      <c r="A2208" s="148"/>
      <c r="C2208" s="145"/>
      <c r="D2208" s="149"/>
      <c r="E2208" s="145"/>
      <c r="F2208" s="144"/>
      <c r="G2208" s="144"/>
    </row>
    <row r="2209" spans="1:7" ht="15.75" thickBot="1" x14ac:dyDescent="0.3">
      <c r="A2209" s="148"/>
      <c r="C2209" s="147" t="s">
        <v>620</v>
      </c>
      <c r="D2209" s="146">
        <f>F2207-G2207</f>
        <v>0</v>
      </c>
      <c r="E2209" s="145"/>
      <c r="F2209" s="144"/>
      <c r="G2209" s="144"/>
    </row>
    <row r="2210" spans="1:7" ht="15.75" thickBot="1" x14ac:dyDescent="0.3"/>
    <row r="2211" spans="1:7" ht="30.75" thickBot="1" x14ac:dyDescent="0.3">
      <c r="A2211" s="254" t="s">
        <v>626</v>
      </c>
      <c r="B2211" s="253" t="s">
        <v>606</v>
      </c>
      <c r="C2211" s="252" t="s">
        <v>633</v>
      </c>
      <c r="D2211" s="251" t="s">
        <v>601</v>
      </c>
      <c r="E2211" s="250" t="s">
        <v>287</v>
      </c>
      <c r="F2211" s="249" t="s">
        <v>624</v>
      </c>
      <c r="G2211" s="249" t="s">
        <v>596</v>
      </c>
    </row>
    <row r="2212" spans="1:7" x14ac:dyDescent="0.25">
      <c r="A2212" s="169" t="str">
        <f>E2212&amp;COUNTIFS($E$2:E2212,E2212)</f>
        <v>0</v>
      </c>
      <c r="B2212" s="172"/>
      <c r="C2212" s="174"/>
      <c r="D2212" s="173"/>
      <c r="E2212" s="172"/>
      <c r="F2212" s="171"/>
      <c r="G2212" s="170"/>
    </row>
    <row r="2213" spans="1:7" x14ac:dyDescent="0.25">
      <c r="A2213" s="169" t="str">
        <f>E2213&amp;COUNTIFS($E$2:E2213,E2213)</f>
        <v>0</v>
      </c>
      <c r="B2213" s="166"/>
      <c r="C2213" s="168"/>
      <c r="D2213" s="167"/>
      <c r="E2213" s="166"/>
      <c r="F2213" s="165"/>
      <c r="G2213" s="164"/>
    </row>
    <row r="2214" spans="1:7" x14ac:dyDescent="0.25">
      <c r="A2214" s="169" t="str">
        <f>E2214&amp;COUNTIFS($E$2:E2214,E2214)</f>
        <v>0</v>
      </c>
      <c r="B2214" s="166"/>
      <c r="C2214" s="168"/>
      <c r="D2214" s="167"/>
      <c r="E2214" s="166"/>
      <c r="F2214" s="165"/>
      <c r="G2214" s="164"/>
    </row>
    <row r="2215" spans="1:7" x14ac:dyDescent="0.25">
      <c r="A2215" s="169" t="str">
        <f>E2215&amp;COUNTIFS($E$2:E2215,E2215)</f>
        <v>0</v>
      </c>
      <c r="B2215" s="166"/>
      <c r="C2215" s="168"/>
      <c r="D2215" s="167"/>
      <c r="E2215" s="166"/>
      <c r="F2215" s="165"/>
      <c r="G2215" s="164"/>
    </row>
    <row r="2216" spans="1:7" x14ac:dyDescent="0.25">
      <c r="A2216" s="169" t="str">
        <f>E2216&amp;COUNTIFS($E$2:E2216,E2216)</f>
        <v>0</v>
      </c>
      <c r="B2216" s="166"/>
      <c r="C2216" s="168"/>
      <c r="D2216" s="167"/>
      <c r="E2216" s="166"/>
      <c r="F2216" s="165"/>
      <c r="G2216" s="164"/>
    </row>
    <row r="2217" spans="1:7" x14ac:dyDescent="0.25">
      <c r="A2217" s="169" t="str">
        <f>E2217&amp;COUNTIFS($E$2:E2217,E2217)</f>
        <v>0</v>
      </c>
      <c r="B2217" s="166"/>
      <c r="C2217" s="168"/>
      <c r="D2217" s="167"/>
      <c r="E2217" s="166"/>
      <c r="F2217" s="165"/>
      <c r="G2217" s="164"/>
    </row>
    <row r="2218" spans="1:7" x14ac:dyDescent="0.25">
      <c r="A2218" s="169" t="str">
        <f>E2218&amp;COUNTIFS($E$2:E2218,E2218)</f>
        <v>0</v>
      </c>
      <c r="B2218" s="166"/>
      <c r="C2218" s="168"/>
      <c r="D2218" s="167"/>
      <c r="E2218" s="166"/>
      <c r="F2218" s="165"/>
      <c r="G2218" s="164"/>
    </row>
    <row r="2219" spans="1:7" x14ac:dyDescent="0.25">
      <c r="A2219" s="169" t="str">
        <f>E2219&amp;COUNTIFS($E$2:E2219,E2219)</f>
        <v>0</v>
      </c>
      <c r="B2219" s="166"/>
      <c r="C2219" s="168"/>
      <c r="D2219" s="167"/>
      <c r="E2219" s="166"/>
      <c r="F2219" s="165"/>
      <c r="G2219" s="164"/>
    </row>
    <row r="2220" spans="1:7" x14ac:dyDescent="0.25">
      <c r="A2220" s="169" t="str">
        <f>E2220&amp;COUNTIFS($E$2:E2220,E2220)</f>
        <v>0</v>
      </c>
      <c r="B2220" s="166"/>
      <c r="C2220" s="168"/>
      <c r="D2220" s="167"/>
      <c r="E2220" s="166"/>
      <c r="F2220" s="165"/>
      <c r="G2220" s="164"/>
    </row>
    <row r="2221" spans="1:7" x14ac:dyDescent="0.25">
      <c r="A2221" s="169" t="str">
        <f>E2221&amp;COUNTIFS($E$2:E2221,E2221)</f>
        <v>0</v>
      </c>
      <c r="B2221" s="166"/>
      <c r="C2221" s="168"/>
      <c r="D2221" s="167"/>
      <c r="E2221" s="166"/>
      <c r="F2221" s="165"/>
      <c r="G2221" s="164"/>
    </row>
    <row r="2222" spans="1:7" x14ac:dyDescent="0.25">
      <c r="A2222" s="169" t="str">
        <f>E2222&amp;COUNTIFS($E$2:E2222,E2222)</f>
        <v>0</v>
      </c>
      <c r="B2222" s="166"/>
      <c r="C2222" s="168"/>
      <c r="D2222" s="167"/>
      <c r="E2222" s="166"/>
      <c r="F2222" s="165"/>
      <c r="G2222" s="164"/>
    </row>
    <row r="2223" spans="1:7" x14ac:dyDescent="0.25">
      <c r="A2223" s="169" t="str">
        <f>E2223&amp;COUNTIFS($E$2:E2223,E2223)</f>
        <v>0</v>
      </c>
      <c r="B2223" s="166"/>
      <c r="C2223" s="168"/>
      <c r="D2223" s="167"/>
      <c r="E2223" s="166"/>
      <c r="F2223" s="165"/>
      <c r="G2223" s="164"/>
    </row>
    <row r="2224" spans="1:7" x14ac:dyDescent="0.25">
      <c r="A2224" s="169" t="str">
        <f>E2224&amp;COUNTIFS($E$2:E2224,E2224)</f>
        <v>0</v>
      </c>
      <c r="B2224" s="166"/>
      <c r="C2224" s="168"/>
      <c r="D2224" s="167"/>
      <c r="E2224" s="166"/>
      <c r="F2224" s="165"/>
      <c r="G2224" s="164"/>
    </row>
    <row r="2225" spans="1:9" x14ac:dyDescent="0.25">
      <c r="A2225" s="169" t="str">
        <f>E2225&amp;COUNTIFS($E$2:E2225,E2225)</f>
        <v>0</v>
      </c>
      <c r="B2225" s="166"/>
      <c r="C2225" s="168"/>
      <c r="D2225" s="167"/>
      <c r="E2225" s="166"/>
      <c r="F2225" s="165"/>
      <c r="G2225" s="164"/>
    </row>
    <row r="2226" spans="1:9" x14ac:dyDescent="0.25">
      <c r="A2226" s="169" t="str">
        <f>E2226&amp;COUNTIFS($E$2:E2226,E2226)</f>
        <v>0</v>
      </c>
      <c r="B2226" s="166"/>
      <c r="C2226" s="168"/>
      <c r="D2226" s="167"/>
      <c r="E2226" s="166"/>
      <c r="F2226" s="165"/>
      <c r="G2226" s="164"/>
    </row>
    <row r="2227" spans="1:9" x14ac:dyDescent="0.25">
      <c r="A2227" s="169" t="str">
        <f>E2227&amp;COUNTIFS($E$2:E2227,E2227)</f>
        <v>0</v>
      </c>
      <c r="B2227" s="166"/>
      <c r="C2227" s="168"/>
      <c r="D2227" s="167"/>
      <c r="E2227" s="166"/>
      <c r="F2227" s="165"/>
      <c r="G2227" s="164"/>
    </row>
    <row r="2228" spans="1:9" x14ac:dyDescent="0.25">
      <c r="A2228" s="169" t="str">
        <f>E2228&amp;COUNTIFS($E$2:E2228,E2228)</f>
        <v>0</v>
      </c>
      <c r="B2228" s="166"/>
      <c r="C2228" s="168"/>
      <c r="D2228" s="167"/>
      <c r="E2228" s="166"/>
      <c r="F2228" s="165"/>
      <c r="G2228" s="164"/>
    </row>
    <row r="2229" spans="1:9" x14ac:dyDescent="0.25">
      <c r="A2229" s="169" t="str">
        <f>E2229&amp;COUNTIFS($E$2:E2229,E2229)</f>
        <v>0</v>
      </c>
      <c r="B2229" s="166"/>
      <c r="C2229" s="168"/>
      <c r="D2229" s="167"/>
      <c r="E2229" s="166"/>
      <c r="F2229" s="165"/>
      <c r="G2229" s="164"/>
    </row>
    <row r="2230" spans="1:9" x14ac:dyDescent="0.25">
      <c r="A2230" s="169" t="str">
        <f>E2230&amp;COUNTIFS($E$2:E2230,E2230)</f>
        <v>0</v>
      </c>
      <c r="B2230" s="166"/>
      <c r="C2230" s="168"/>
      <c r="D2230" s="167"/>
      <c r="E2230" s="166"/>
      <c r="F2230" s="165"/>
      <c r="G2230" s="164"/>
    </row>
    <row r="2231" spans="1:9" x14ac:dyDescent="0.25">
      <c r="A2231" s="169" t="str">
        <f>E2231&amp;COUNTIFS($E$2:E2231,E2231)</f>
        <v>0</v>
      </c>
      <c r="B2231" s="166"/>
      <c r="C2231" s="168"/>
      <c r="D2231" s="167"/>
      <c r="E2231" s="166"/>
      <c r="F2231" s="165"/>
      <c r="G2231" s="164"/>
    </row>
    <row r="2232" spans="1:9" x14ac:dyDescent="0.25">
      <c r="A2232" s="169" t="str">
        <f>E2232&amp;COUNTIFS($E$2:E2232,E2232)</f>
        <v>0</v>
      </c>
      <c r="B2232" s="166"/>
      <c r="C2232" s="168"/>
      <c r="D2232" s="167"/>
      <c r="E2232" s="166"/>
      <c r="F2232" s="165"/>
      <c r="G2232" s="164"/>
    </row>
    <row r="2233" spans="1:9" x14ac:dyDescent="0.25">
      <c r="A2233" s="169" t="str">
        <f>E2233&amp;COUNTIFS($E$2:E2233,E2233)</f>
        <v>0</v>
      </c>
      <c r="B2233" s="166"/>
      <c r="C2233" s="168"/>
      <c r="D2233" s="167"/>
      <c r="E2233" s="166"/>
      <c r="F2233" s="165"/>
      <c r="G2233" s="164"/>
    </row>
    <row r="2234" spans="1:9" x14ac:dyDescent="0.25">
      <c r="A2234" s="169" t="str">
        <f>E2234&amp;COUNTIFS($E$2:E2234,E2234)</f>
        <v>0</v>
      </c>
      <c r="B2234" s="166"/>
      <c r="C2234" s="168"/>
      <c r="D2234" s="167"/>
      <c r="E2234" s="166"/>
      <c r="F2234" s="165"/>
      <c r="G2234" s="164"/>
    </row>
    <row r="2235" spans="1:9" x14ac:dyDescent="0.25">
      <c r="A2235" s="169" t="str">
        <f>E2235&amp;COUNTIFS($E$2:E2235,E2235)</f>
        <v>0</v>
      </c>
      <c r="B2235" s="166"/>
      <c r="C2235" s="168"/>
      <c r="D2235" s="167"/>
      <c r="E2235" s="166"/>
      <c r="F2235" s="165"/>
      <c r="G2235" s="164"/>
    </row>
    <row r="2236" spans="1:9" ht="15.75" thickBot="1" x14ac:dyDescent="0.3">
      <c r="A2236" s="163" t="str">
        <f>E2236&amp;COUNTIFS($E$2:E2236,E2236)</f>
        <v>0</v>
      </c>
      <c r="B2236" s="166"/>
      <c r="C2236" s="162"/>
      <c r="D2236" s="161"/>
      <c r="E2236" s="160"/>
      <c r="F2236" s="159"/>
      <c r="G2236" s="158"/>
    </row>
    <row r="2237" spans="1:9" x14ac:dyDescent="0.25">
      <c r="A2237" s="148"/>
      <c r="C2237" s="143"/>
      <c r="D2237" s="157"/>
      <c r="E2237" s="143"/>
      <c r="F2237" s="156"/>
      <c r="G2237" s="156"/>
    </row>
    <row r="2238" spans="1:9" x14ac:dyDescent="0.25">
      <c r="A2238" s="148"/>
      <c r="C2238" s="153" t="s">
        <v>623</v>
      </c>
      <c r="D2238" s="152"/>
      <c r="E2238" s="151"/>
      <c r="F2238" s="150">
        <f>SUM(F2212:F2236)</f>
        <v>0</v>
      </c>
      <c r="G2238" s="155">
        <f>SUM(G2212:G2236)</f>
        <v>0</v>
      </c>
      <c r="I2238" s="182"/>
    </row>
    <row r="2239" spans="1:9" x14ac:dyDescent="0.25">
      <c r="A2239" s="148"/>
      <c r="C2239" s="145" t="s">
        <v>622</v>
      </c>
      <c r="D2239" s="154"/>
      <c r="E2239" s="145"/>
      <c r="F2239" s="144"/>
      <c r="G2239" s="144"/>
      <c r="I2239" s="182"/>
    </row>
    <row r="2240" spans="1:9" x14ac:dyDescent="0.25">
      <c r="A2240" s="148"/>
      <c r="C2240" s="153" t="s">
        <v>621</v>
      </c>
      <c r="D2240" s="152"/>
      <c r="E2240" s="151"/>
      <c r="F2240" s="150">
        <f>F2207</f>
        <v>0</v>
      </c>
      <c r="G2240" s="150">
        <f>G2207</f>
        <v>0</v>
      </c>
    </row>
    <row r="2241" spans="1:7" x14ac:dyDescent="0.25">
      <c r="A2241" s="148"/>
      <c r="C2241" s="153" t="s">
        <v>582</v>
      </c>
      <c r="D2241" s="152"/>
      <c r="E2241" s="151"/>
      <c r="F2241" s="150">
        <f>F2240+F2238</f>
        <v>0</v>
      </c>
      <c r="G2241" s="150">
        <f>G2240+G2238</f>
        <v>0</v>
      </c>
    </row>
    <row r="2242" spans="1:7" ht="15.75" thickBot="1" x14ac:dyDescent="0.3">
      <c r="A2242" s="148"/>
      <c r="C2242" s="145"/>
      <c r="D2242" s="149"/>
      <c r="E2242" s="145"/>
      <c r="F2242" s="144"/>
      <c r="G2242" s="144"/>
    </row>
    <row r="2243" spans="1:7" ht="15.75" thickBot="1" x14ac:dyDescent="0.3">
      <c r="A2243" s="148"/>
      <c r="C2243" s="147" t="s">
        <v>620</v>
      </c>
      <c r="D2243" s="146">
        <f>F2241-G2241</f>
        <v>0</v>
      </c>
      <c r="E2243" s="145"/>
      <c r="F2243" s="144"/>
      <c r="G2243" s="144"/>
    </row>
    <row r="2244" spans="1:7" ht="15.75" thickBot="1" x14ac:dyDescent="0.3"/>
    <row r="2245" spans="1:7" ht="30.75" thickBot="1" x14ac:dyDescent="0.3">
      <c r="A2245" s="254" t="s">
        <v>626</v>
      </c>
      <c r="B2245" s="253" t="s">
        <v>606</v>
      </c>
      <c r="C2245" s="252" t="s">
        <v>633</v>
      </c>
      <c r="D2245" s="251" t="s">
        <v>601</v>
      </c>
      <c r="E2245" s="250" t="s">
        <v>287</v>
      </c>
      <c r="F2245" s="249" t="s">
        <v>624</v>
      </c>
      <c r="G2245" s="249" t="s">
        <v>596</v>
      </c>
    </row>
    <row r="2246" spans="1:7" x14ac:dyDescent="0.25">
      <c r="A2246" s="169" t="str">
        <f>E2246&amp;COUNTIFS($E$2:E2246,E2246)</f>
        <v>0</v>
      </c>
      <c r="B2246" s="172"/>
      <c r="C2246" s="174"/>
      <c r="D2246" s="173"/>
      <c r="E2246" s="172"/>
      <c r="F2246" s="171"/>
      <c r="G2246" s="170"/>
    </row>
    <row r="2247" spans="1:7" x14ac:dyDescent="0.25">
      <c r="A2247" s="169" t="str">
        <f>E2247&amp;COUNTIFS($E$2:E2247,E2247)</f>
        <v>0</v>
      </c>
      <c r="B2247" s="166"/>
      <c r="C2247" s="168"/>
      <c r="D2247" s="167"/>
      <c r="E2247" s="166"/>
      <c r="F2247" s="165"/>
      <c r="G2247" s="164"/>
    </row>
    <row r="2248" spans="1:7" x14ac:dyDescent="0.25">
      <c r="A2248" s="169" t="str">
        <f>E2248&amp;COUNTIFS($E$2:E2248,E2248)</f>
        <v>0</v>
      </c>
      <c r="B2248" s="166"/>
      <c r="C2248" s="168"/>
      <c r="D2248" s="167"/>
      <c r="E2248" s="166"/>
      <c r="F2248" s="165"/>
      <c r="G2248" s="164"/>
    </row>
    <row r="2249" spans="1:7" x14ac:dyDescent="0.25">
      <c r="A2249" s="169" t="str">
        <f>E2249&amp;COUNTIFS($E$2:E2249,E2249)</f>
        <v>0</v>
      </c>
      <c r="B2249" s="166"/>
      <c r="C2249" s="168"/>
      <c r="D2249" s="167"/>
      <c r="E2249" s="166"/>
      <c r="F2249" s="165"/>
      <c r="G2249" s="164"/>
    </row>
    <row r="2250" spans="1:7" x14ac:dyDescent="0.25">
      <c r="A2250" s="169" t="str">
        <f>E2250&amp;COUNTIFS($E$2:E2250,E2250)</f>
        <v>0</v>
      </c>
      <c r="B2250" s="166"/>
      <c r="C2250" s="168"/>
      <c r="D2250" s="167"/>
      <c r="E2250" s="166"/>
      <c r="F2250" s="165"/>
      <c r="G2250" s="164"/>
    </row>
    <row r="2251" spans="1:7" x14ac:dyDescent="0.25">
      <c r="A2251" s="169" t="str">
        <f>E2251&amp;COUNTIFS($E$2:E2251,E2251)</f>
        <v>0</v>
      </c>
      <c r="B2251" s="166"/>
      <c r="C2251" s="168"/>
      <c r="D2251" s="167"/>
      <c r="E2251" s="166"/>
      <c r="F2251" s="165"/>
      <c r="G2251" s="164"/>
    </row>
    <row r="2252" spans="1:7" x14ac:dyDescent="0.25">
      <c r="A2252" s="169" t="str">
        <f>E2252&amp;COUNTIFS($E$2:E2252,E2252)</f>
        <v>0</v>
      </c>
      <c r="B2252" s="166"/>
      <c r="C2252" s="168"/>
      <c r="D2252" s="167"/>
      <c r="E2252" s="166"/>
      <c r="F2252" s="165"/>
      <c r="G2252" s="164"/>
    </row>
    <row r="2253" spans="1:7" x14ac:dyDescent="0.25">
      <c r="A2253" s="169" t="str">
        <f>E2253&amp;COUNTIFS($E$2:E2253,E2253)</f>
        <v>0</v>
      </c>
      <c r="B2253" s="166"/>
      <c r="C2253" s="168"/>
      <c r="D2253" s="167"/>
      <c r="E2253" s="166"/>
      <c r="F2253" s="165"/>
      <c r="G2253" s="164"/>
    </row>
    <row r="2254" spans="1:7" x14ac:dyDescent="0.25">
      <c r="A2254" s="169" t="str">
        <f>E2254&amp;COUNTIFS($E$2:E2254,E2254)</f>
        <v>0</v>
      </c>
      <c r="B2254" s="166"/>
      <c r="C2254" s="168"/>
      <c r="D2254" s="167"/>
      <c r="E2254" s="166"/>
      <c r="F2254" s="165"/>
      <c r="G2254" s="164"/>
    </row>
    <row r="2255" spans="1:7" x14ac:dyDescent="0.25">
      <c r="A2255" s="169" t="str">
        <f>E2255&amp;COUNTIFS($E$2:E2255,E2255)</f>
        <v>0</v>
      </c>
      <c r="B2255" s="166"/>
      <c r="C2255" s="168"/>
      <c r="D2255" s="167"/>
      <c r="E2255" s="166"/>
      <c r="F2255" s="165"/>
      <c r="G2255" s="164"/>
    </row>
    <row r="2256" spans="1:7" x14ac:dyDescent="0.25">
      <c r="A2256" s="169" t="str">
        <f>E2256&amp;COUNTIFS($E$2:E2256,E2256)</f>
        <v>0</v>
      </c>
      <c r="B2256" s="166"/>
      <c r="C2256" s="168"/>
      <c r="D2256" s="167"/>
      <c r="E2256" s="166"/>
      <c r="F2256" s="165"/>
      <c r="G2256" s="164"/>
    </row>
    <row r="2257" spans="1:7" x14ac:dyDescent="0.25">
      <c r="A2257" s="169" t="str">
        <f>E2257&amp;COUNTIFS($E$2:E2257,E2257)</f>
        <v>0</v>
      </c>
      <c r="B2257" s="166"/>
      <c r="C2257" s="168"/>
      <c r="D2257" s="167"/>
      <c r="E2257" s="166"/>
      <c r="F2257" s="165"/>
      <c r="G2257" s="164"/>
    </row>
    <row r="2258" spans="1:7" x14ac:dyDescent="0.25">
      <c r="A2258" s="169" t="str">
        <f>E2258&amp;COUNTIFS($E$2:E2258,E2258)</f>
        <v>0</v>
      </c>
      <c r="B2258" s="166"/>
      <c r="C2258" s="168"/>
      <c r="D2258" s="167"/>
      <c r="E2258" s="166"/>
      <c r="F2258" s="165"/>
      <c r="G2258" s="164"/>
    </row>
    <row r="2259" spans="1:7" x14ac:dyDescent="0.25">
      <c r="A2259" s="169" t="str">
        <f>E2259&amp;COUNTIFS($E$2:E2259,E2259)</f>
        <v>0</v>
      </c>
      <c r="B2259" s="166"/>
      <c r="C2259" s="168"/>
      <c r="D2259" s="167"/>
      <c r="E2259" s="166"/>
      <c r="F2259" s="165"/>
      <c r="G2259" s="164"/>
    </row>
    <row r="2260" spans="1:7" x14ac:dyDescent="0.25">
      <c r="A2260" s="169" t="str">
        <f>E2260&amp;COUNTIFS($E$2:E2260,E2260)</f>
        <v>0</v>
      </c>
      <c r="B2260" s="166"/>
      <c r="C2260" s="168"/>
      <c r="D2260" s="167"/>
      <c r="E2260" s="166"/>
      <c r="F2260" s="165"/>
      <c r="G2260" s="164"/>
    </row>
    <row r="2261" spans="1:7" x14ac:dyDescent="0.25">
      <c r="A2261" s="169" t="str">
        <f>E2261&amp;COUNTIFS($E$2:E2261,E2261)</f>
        <v>0</v>
      </c>
      <c r="B2261" s="166"/>
      <c r="C2261" s="168"/>
      <c r="D2261" s="167"/>
      <c r="E2261" s="166"/>
      <c r="F2261" s="165"/>
      <c r="G2261" s="164"/>
    </row>
    <row r="2262" spans="1:7" x14ac:dyDescent="0.25">
      <c r="A2262" s="169" t="str">
        <f>E2262&amp;COUNTIFS($E$2:E2262,E2262)</f>
        <v>0</v>
      </c>
      <c r="B2262" s="166"/>
      <c r="C2262" s="168"/>
      <c r="D2262" s="167"/>
      <c r="E2262" s="166"/>
      <c r="F2262" s="165"/>
      <c r="G2262" s="164"/>
    </row>
    <row r="2263" spans="1:7" x14ac:dyDescent="0.25">
      <c r="A2263" s="169" t="str">
        <f>E2263&amp;COUNTIFS($E$2:E2263,E2263)</f>
        <v>0</v>
      </c>
      <c r="B2263" s="166"/>
      <c r="C2263" s="168"/>
      <c r="D2263" s="167"/>
      <c r="E2263" s="166"/>
      <c r="F2263" s="165"/>
      <c r="G2263" s="164"/>
    </row>
    <row r="2264" spans="1:7" x14ac:dyDescent="0.25">
      <c r="A2264" s="169" t="str">
        <f>E2264&amp;COUNTIFS($E$2:E2264,E2264)</f>
        <v>0</v>
      </c>
      <c r="B2264" s="166"/>
      <c r="C2264" s="168"/>
      <c r="D2264" s="167"/>
      <c r="E2264" s="166"/>
      <c r="F2264" s="165"/>
      <c r="G2264" s="164"/>
    </row>
    <row r="2265" spans="1:7" x14ac:dyDescent="0.25">
      <c r="A2265" s="169" t="str">
        <f>E2265&amp;COUNTIFS($E$2:E2265,E2265)</f>
        <v>0</v>
      </c>
      <c r="B2265" s="166"/>
      <c r="C2265" s="168"/>
      <c r="D2265" s="167"/>
      <c r="E2265" s="166"/>
      <c r="F2265" s="165"/>
      <c r="G2265" s="164"/>
    </row>
    <row r="2266" spans="1:7" x14ac:dyDescent="0.25">
      <c r="A2266" s="169" t="str">
        <f>E2266&amp;COUNTIFS($E$2:E2266,E2266)</f>
        <v>0</v>
      </c>
      <c r="B2266" s="166"/>
      <c r="C2266" s="168"/>
      <c r="D2266" s="167"/>
      <c r="E2266" s="166"/>
      <c r="F2266" s="165"/>
      <c r="G2266" s="164"/>
    </row>
    <row r="2267" spans="1:7" x14ac:dyDescent="0.25">
      <c r="A2267" s="169" t="str">
        <f>E2267&amp;COUNTIFS($E$2:E2267,E2267)</f>
        <v>0</v>
      </c>
      <c r="B2267" s="166"/>
      <c r="C2267" s="168"/>
      <c r="D2267" s="167"/>
      <c r="E2267" s="166"/>
      <c r="F2267" s="165"/>
      <c r="G2267" s="164"/>
    </row>
    <row r="2268" spans="1:7" x14ac:dyDescent="0.25">
      <c r="A2268" s="169" t="str">
        <f>E2268&amp;COUNTIFS($E$2:E2268,E2268)</f>
        <v>0</v>
      </c>
      <c r="B2268" s="166"/>
      <c r="C2268" s="168"/>
      <c r="D2268" s="167"/>
      <c r="E2268" s="166"/>
      <c r="F2268" s="165"/>
      <c r="G2268" s="164"/>
    </row>
    <row r="2269" spans="1:7" x14ac:dyDescent="0.25">
      <c r="A2269" s="169" t="str">
        <f>E2269&amp;COUNTIFS($E$2:E2269,E2269)</f>
        <v>0</v>
      </c>
      <c r="B2269" s="166"/>
      <c r="C2269" s="168"/>
      <c r="D2269" s="167"/>
      <c r="E2269" s="166"/>
      <c r="F2269" s="165"/>
      <c r="G2269" s="164"/>
    </row>
    <row r="2270" spans="1:7" ht="15.75" thickBot="1" x14ac:dyDescent="0.3">
      <c r="A2270" s="163" t="str">
        <f>E2270&amp;COUNTIFS($E$2:E2270,E2270)</f>
        <v>0</v>
      </c>
      <c r="B2270" s="166"/>
      <c r="C2270" s="162"/>
      <c r="D2270" s="161"/>
      <c r="E2270" s="160"/>
      <c r="F2270" s="159"/>
      <c r="G2270" s="158"/>
    </row>
    <row r="2271" spans="1:7" x14ac:dyDescent="0.25">
      <c r="A2271" s="148"/>
      <c r="C2271" s="143"/>
      <c r="D2271" s="157"/>
      <c r="E2271" s="143"/>
      <c r="F2271" s="156"/>
      <c r="G2271" s="156"/>
    </row>
    <row r="2272" spans="1:7" x14ac:dyDescent="0.25">
      <c r="A2272" s="148"/>
      <c r="C2272" s="153" t="s">
        <v>623</v>
      </c>
      <c r="D2272" s="152"/>
      <c r="E2272" s="151"/>
      <c r="F2272" s="150">
        <f>SUM(F2246:F2270)</f>
        <v>0</v>
      </c>
      <c r="G2272" s="155">
        <f>SUM(G2246:G2270)</f>
        <v>0</v>
      </c>
    </row>
    <row r="2273" spans="1:7" x14ac:dyDescent="0.25">
      <c r="A2273" s="148"/>
      <c r="C2273" s="145" t="s">
        <v>622</v>
      </c>
      <c r="D2273" s="154"/>
      <c r="E2273" s="145"/>
      <c r="F2273" s="144"/>
      <c r="G2273" s="144"/>
    </row>
    <row r="2274" spans="1:7" x14ac:dyDescent="0.25">
      <c r="A2274" s="148"/>
      <c r="C2274" s="153" t="s">
        <v>621</v>
      </c>
      <c r="D2274" s="152"/>
      <c r="E2274" s="151"/>
      <c r="F2274" s="150">
        <f>F2241</f>
        <v>0</v>
      </c>
      <c r="G2274" s="150">
        <f>G2241</f>
        <v>0</v>
      </c>
    </row>
    <row r="2275" spans="1:7" x14ac:dyDescent="0.25">
      <c r="A2275" s="148"/>
      <c r="C2275" s="153" t="s">
        <v>582</v>
      </c>
      <c r="D2275" s="152"/>
      <c r="E2275" s="151"/>
      <c r="F2275" s="150">
        <f>F2274+F2272</f>
        <v>0</v>
      </c>
      <c r="G2275" s="150">
        <f>G2274+G2272</f>
        <v>0</v>
      </c>
    </row>
    <row r="2276" spans="1:7" ht="15.75" thickBot="1" x14ac:dyDescent="0.3">
      <c r="A2276" s="148"/>
      <c r="C2276" s="145"/>
      <c r="D2276" s="149"/>
      <c r="E2276" s="145"/>
      <c r="F2276" s="144"/>
      <c r="G2276" s="144"/>
    </row>
    <row r="2277" spans="1:7" ht="15.75" thickBot="1" x14ac:dyDescent="0.3">
      <c r="A2277" s="148"/>
      <c r="C2277" s="147" t="s">
        <v>620</v>
      </c>
      <c r="D2277" s="146">
        <f>F2275-G2275</f>
        <v>0</v>
      </c>
      <c r="E2277" s="145"/>
      <c r="F2277" s="144"/>
      <c r="G2277" s="144"/>
    </row>
    <row r="2278" spans="1:7" ht="15.75" thickBot="1" x14ac:dyDescent="0.3"/>
    <row r="2279" spans="1:7" ht="30.75" thickBot="1" x14ac:dyDescent="0.3">
      <c r="A2279" s="254" t="s">
        <v>626</v>
      </c>
      <c r="B2279" s="253" t="s">
        <v>606</v>
      </c>
      <c r="C2279" s="252" t="s">
        <v>633</v>
      </c>
      <c r="D2279" s="251" t="s">
        <v>601</v>
      </c>
      <c r="E2279" s="250" t="s">
        <v>287</v>
      </c>
      <c r="F2279" s="249" t="s">
        <v>624</v>
      </c>
      <c r="G2279" s="249" t="s">
        <v>596</v>
      </c>
    </row>
    <row r="2280" spans="1:7" x14ac:dyDescent="0.25">
      <c r="A2280" s="169" t="str">
        <f>E2280&amp;COUNTIFS($E$2:E2280,E2280)</f>
        <v>0</v>
      </c>
      <c r="B2280" s="172"/>
      <c r="C2280" s="174"/>
      <c r="D2280" s="173"/>
      <c r="E2280" s="172"/>
      <c r="F2280" s="171"/>
      <c r="G2280" s="170"/>
    </row>
    <row r="2281" spans="1:7" x14ac:dyDescent="0.25">
      <c r="A2281" s="169" t="str">
        <f>E2281&amp;COUNTIFS($E$2:E2281,E2281)</f>
        <v>0</v>
      </c>
      <c r="B2281" s="166"/>
      <c r="C2281" s="168"/>
      <c r="D2281" s="167"/>
      <c r="E2281" s="166"/>
      <c r="F2281" s="165"/>
      <c r="G2281" s="164"/>
    </row>
    <row r="2282" spans="1:7" x14ac:dyDescent="0.25">
      <c r="A2282" s="169" t="str">
        <f>E2282&amp;COUNTIFS($E$2:E2282,E2282)</f>
        <v>0</v>
      </c>
      <c r="B2282" s="166"/>
      <c r="C2282" s="168"/>
      <c r="D2282" s="167"/>
      <c r="E2282" s="166"/>
      <c r="F2282" s="165"/>
      <c r="G2282" s="164"/>
    </row>
    <row r="2283" spans="1:7" x14ac:dyDescent="0.25">
      <c r="A2283" s="169" t="str">
        <f>E2283&amp;COUNTIFS($E$2:E2283,E2283)</f>
        <v>0</v>
      </c>
      <c r="B2283" s="166"/>
      <c r="C2283" s="168"/>
      <c r="D2283" s="167"/>
      <c r="E2283" s="166"/>
      <c r="F2283" s="165"/>
      <c r="G2283" s="164"/>
    </row>
    <row r="2284" spans="1:7" x14ac:dyDescent="0.25">
      <c r="A2284" s="169" t="str">
        <f>E2284&amp;COUNTIFS($E$2:E2284,E2284)</f>
        <v>0</v>
      </c>
      <c r="B2284" s="166"/>
      <c r="C2284" s="168"/>
      <c r="D2284" s="167"/>
      <c r="E2284" s="166"/>
      <c r="F2284" s="165"/>
      <c r="G2284" s="164"/>
    </row>
    <row r="2285" spans="1:7" x14ac:dyDescent="0.25">
      <c r="A2285" s="169" t="str">
        <f>E2285&amp;COUNTIFS($E$2:E2285,E2285)</f>
        <v>0</v>
      </c>
      <c r="B2285" s="166"/>
      <c r="C2285" s="168"/>
      <c r="D2285" s="167"/>
      <c r="E2285" s="166"/>
      <c r="F2285" s="165"/>
      <c r="G2285" s="164"/>
    </row>
    <row r="2286" spans="1:7" x14ac:dyDescent="0.25">
      <c r="A2286" s="169" t="str">
        <f>E2286&amp;COUNTIFS($E$2:E2286,E2286)</f>
        <v>0</v>
      </c>
      <c r="B2286" s="166"/>
      <c r="C2286" s="168"/>
      <c r="D2286" s="167"/>
      <c r="E2286" s="166"/>
      <c r="F2286" s="165"/>
      <c r="G2286" s="164"/>
    </row>
    <row r="2287" spans="1:7" x14ac:dyDescent="0.25">
      <c r="A2287" s="169" t="str">
        <f>E2287&amp;COUNTIFS($E$2:E2287,E2287)</f>
        <v>0</v>
      </c>
      <c r="B2287" s="166"/>
      <c r="C2287" s="168"/>
      <c r="D2287" s="167"/>
      <c r="E2287" s="166"/>
      <c r="F2287" s="165"/>
      <c r="G2287" s="164"/>
    </row>
    <row r="2288" spans="1:7" x14ac:dyDescent="0.25">
      <c r="A2288" s="169" t="str">
        <f>E2288&amp;COUNTIFS($E$2:E2288,E2288)</f>
        <v>0</v>
      </c>
      <c r="B2288" s="166"/>
      <c r="C2288" s="168"/>
      <c r="D2288" s="167"/>
      <c r="E2288" s="166"/>
      <c r="F2288" s="165"/>
      <c r="G2288" s="164"/>
    </row>
    <row r="2289" spans="1:7" x14ac:dyDescent="0.25">
      <c r="A2289" s="169" t="str">
        <f>E2289&amp;COUNTIFS($E$2:E2289,E2289)</f>
        <v>0</v>
      </c>
      <c r="B2289" s="166"/>
      <c r="C2289" s="168"/>
      <c r="D2289" s="167"/>
      <c r="E2289" s="166"/>
      <c r="F2289" s="165"/>
      <c r="G2289" s="164"/>
    </row>
    <row r="2290" spans="1:7" x14ac:dyDescent="0.25">
      <c r="A2290" s="169" t="str">
        <f>E2290&amp;COUNTIFS($E$2:E2290,E2290)</f>
        <v>0</v>
      </c>
      <c r="B2290" s="166"/>
      <c r="C2290" s="168"/>
      <c r="D2290" s="167"/>
      <c r="E2290" s="166"/>
      <c r="F2290" s="165"/>
      <c r="G2290" s="164"/>
    </row>
    <row r="2291" spans="1:7" x14ac:dyDescent="0.25">
      <c r="A2291" s="169" t="str">
        <f>E2291&amp;COUNTIFS($E$2:E2291,E2291)</f>
        <v>0</v>
      </c>
      <c r="B2291" s="166"/>
      <c r="C2291" s="168"/>
      <c r="D2291" s="167"/>
      <c r="E2291" s="166"/>
      <c r="F2291" s="165"/>
      <c r="G2291" s="164"/>
    </row>
    <row r="2292" spans="1:7" x14ac:dyDescent="0.25">
      <c r="A2292" s="169" t="str">
        <f>E2292&amp;COUNTIFS($E$2:E2292,E2292)</f>
        <v>0</v>
      </c>
      <c r="B2292" s="166"/>
      <c r="C2292" s="168"/>
      <c r="D2292" s="167"/>
      <c r="E2292" s="166"/>
      <c r="F2292" s="165"/>
      <c r="G2292" s="164"/>
    </row>
    <row r="2293" spans="1:7" x14ac:dyDescent="0.25">
      <c r="A2293" s="169" t="str">
        <f>E2293&amp;COUNTIFS($E$2:E2293,E2293)</f>
        <v>0</v>
      </c>
      <c r="B2293" s="166"/>
      <c r="C2293" s="168"/>
      <c r="D2293" s="167"/>
      <c r="E2293" s="166"/>
      <c r="F2293" s="165"/>
      <c r="G2293" s="164"/>
    </row>
    <row r="2294" spans="1:7" x14ac:dyDescent="0.25">
      <c r="A2294" s="169" t="str">
        <f>E2294&amp;COUNTIFS($E$2:E2294,E2294)</f>
        <v>0</v>
      </c>
      <c r="B2294" s="166"/>
      <c r="C2294" s="168"/>
      <c r="D2294" s="167"/>
      <c r="E2294" s="166"/>
      <c r="F2294" s="165"/>
      <c r="G2294" s="164"/>
    </row>
    <row r="2295" spans="1:7" x14ac:dyDescent="0.25">
      <c r="A2295" s="169" t="str">
        <f>E2295&amp;COUNTIFS($E$2:E2295,E2295)</f>
        <v>0</v>
      </c>
      <c r="B2295" s="166"/>
      <c r="C2295" s="168"/>
      <c r="D2295" s="167"/>
      <c r="E2295" s="166"/>
      <c r="F2295" s="165"/>
      <c r="G2295" s="164"/>
    </row>
    <row r="2296" spans="1:7" x14ac:dyDescent="0.25">
      <c r="A2296" s="169" t="str">
        <f>E2296&amp;COUNTIFS($E$2:E2296,E2296)</f>
        <v>0</v>
      </c>
      <c r="B2296" s="166"/>
      <c r="C2296" s="168"/>
      <c r="D2296" s="167"/>
      <c r="E2296" s="166"/>
      <c r="F2296" s="165"/>
      <c r="G2296" s="164"/>
    </row>
    <row r="2297" spans="1:7" x14ac:dyDescent="0.25">
      <c r="A2297" s="169" t="str">
        <f>E2297&amp;COUNTIFS($E$2:E2297,E2297)</f>
        <v>0</v>
      </c>
      <c r="B2297" s="166"/>
      <c r="C2297" s="168"/>
      <c r="D2297" s="167"/>
      <c r="E2297" s="166"/>
      <c r="F2297" s="165"/>
      <c r="G2297" s="164"/>
    </row>
    <row r="2298" spans="1:7" x14ac:dyDescent="0.25">
      <c r="A2298" s="169" t="str">
        <f>E2298&amp;COUNTIFS($E$2:E2298,E2298)</f>
        <v>0</v>
      </c>
      <c r="B2298" s="166"/>
      <c r="C2298" s="168"/>
      <c r="D2298" s="167"/>
      <c r="E2298" s="166"/>
      <c r="F2298" s="165"/>
      <c r="G2298" s="164"/>
    </row>
    <row r="2299" spans="1:7" x14ac:dyDescent="0.25">
      <c r="A2299" s="169" t="str">
        <f>E2299&amp;COUNTIFS($E$2:E2299,E2299)</f>
        <v>0</v>
      </c>
      <c r="B2299" s="166"/>
      <c r="C2299" s="168"/>
      <c r="D2299" s="167"/>
      <c r="E2299" s="166"/>
      <c r="F2299" s="165"/>
      <c r="G2299" s="164"/>
    </row>
    <row r="2300" spans="1:7" x14ac:dyDescent="0.25">
      <c r="A2300" s="169" t="str">
        <f>E2300&amp;COUNTIFS($E$2:E2300,E2300)</f>
        <v>0</v>
      </c>
      <c r="B2300" s="166"/>
      <c r="C2300" s="168"/>
      <c r="D2300" s="167"/>
      <c r="E2300" s="166"/>
      <c r="F2300" s="165"/>
      <c r="G2300" s="164"/>
    </row>
    <row r="2301" spans="1:7" x14ac:dyDescent="0.25">
      <c r="A2301" s="169" t="str">
        <f>E2301&amp;COUNTIFS($E$2:E2301,E2301)</f>
        <v>0</v>
      </c>
      <c r="B2301" s="166"/>
      <c r="C2301" s="168"/>
      <c r="D2301" s="167"/>
      <c r="E2301" s="166"/>
      <c r="F2301" s="165"/>
      <c r="G2301" s="164"/>
    </row>
    <row r="2302" spans="1:7" x14ac:dyDescent="0.25">
      <c r="A2302" s="169" t="str">
        <f>E2302&amp;COUNTIFS($E$2:E2302,E2302)</f>
        <v>0</v>
      </c>
      <c r="B2302" s="166"/>
      <c r="C2302" s="168"/>
      <c r="D2302" s="167"/>
      <c r="E2302" s="166"/>
      <c r="F2302" s="165"/>
      <c r="G2302" s="164"/>
    </row>
    <row r="2303" spans="1:7" x14ac:dyDescent="0.25">
      <c r="A2303" s="169" t="str">
        <f>E2303&amp;COUNTIFS($E$2:E2303,E2303)</f>
        <v>0</v>
      </c>
      <c r="B2303" s="166"/>
      <c r="C2303" s="168"/>
      <c r="D2303" s="167"/>
      <c r="E2303" s="166"/>
      <c r="F2303" s="165"/>
      <c r="G2303" s="164"/>
    </row>
    <row r="2304" spans="1:7" ht="15.75" thickBot="1" x14ac:dyDescent="0.3">
      <c r="A2304" s="163" t="str">
        <f>E2304&amp;COUNTIFS($E$2:E2304,E2304)</f>
        <v>0</v>
      </c>
      <c r="B2304" s="166"/>
      <c r="C2304" s="162"/>
      <c r="D2304" s="161"/>
      <c r="E2304" s="160"/>
      <c r="F2304" s="159"/>
      <c r="G2304" s="158"/>
    </row>
    <row r="2305" spans="1:7" x14ac:dyDescent="0.25">
      <c r="A2305" s="148"/>
      <c r="C2305" s="143"/>
      <c r="D2305" s="157"/>
      <c r="E2305" s="143"/>
      <c r="F2305" s="156"/>
      <c r="G2305" s="156"/>
    </row>
    <row r="2306" spans="1:7" x14ac:dyDescent="0.25">
      <c r="A2306" s="148"/>
      <c r="C2306" s="153" t="s">
        <v>623</v>
      </c>
      <c r="D2306" s="152"/>
      <c r="E2306" s="151"/>
      <c r="F2306" s="150">
        <f>SUM(F2280:F2304)</f>
        <v>0</v>
      </c>
      <c r="G2306" s="155">
        <f>SUM(G2280:G2304)</f>
        <v>0</v>
      </c>
    </row>
    <row r="2307" spans="1:7" x14ac:dyDescent="0.25">
      <c r="A2307" s="148"/>
      <c r="C2307" s="145" t="s">
        <v>622</v>
      </c>
      <c r="D2307" s="154"/>
      <c r="E2307" s="145"/>
      <c r="F2307" s="144"/>
      <c r="G2307" s="144"/>
    </row>
    <row r="2308" spans="1:7" x14ac:dyDescent="0.25">
      <c r="A2308" s="148"/>
      <c r="C2308" s="153" t="s">
        <v>621</v>
      </c>
      <c r="D2308" s="152"/>
      <c r="E2308" s="151"/>
      <c r="F2308" s="150">
        <f>F2275</f>
        <v>0</v>
      </c>
      <c r="G2308" s="150">
        <f>G2275</f>
        <v>0</v>
      </c>
    </row>
    <row r="2309" spans="1:7" x14ac:dyDescent="0.25">
      <c r="A2309" s="148"/>
      <c r="C2309" s="153" t="s">
        <v>582</v>
      </c>
      <c r="D2309" s="152"/>
      <c r="E2309" s="151"/>
      <c r="F2309" s="150">
        <f>F2308+F2306</f>
        <v>0</v>
      </c>
      <c r="G2309" s="150">
        <f>G2308+G2306</f>
        <v>0</v>
      </c>
    </row>
    <row r="2310" spans="1:7" ht="15.75" thickBot="1" x14ac:dyDescent="0.3">
      <c r="A2310" s="148"/>
      <c r="C2310" s="145"/>
      <c r="D2310" s="149"/>
      <c r="E2310" s="145"/>
      <c r="F2310" s="144"/>
      <c r="G2310" s="144"/>
    </row>
    <row r="2311" spans="1:7" ht="15.75" thickBot="1" x14ac:dyDescent="0.3">
      <c r="A2311" s="148"/>
      <c r="C2311" s="147" t="s">
        <v>620</v>
      </c>
      <c r="D2311" s="146">
        <f>F2309-G2309</f>
        <v>0</v>
      </c>
      <c r="E2311" s="145"/>
      <c r="F2311" s="144"/>
      <c r="G2311" s="144"/>
    </row>
    <row r="2312" spans="1:7" ht="15.75" thickBot="1" x14ac:dyDescent="0.3"/>
    <row r="2313" spans="1:7" ht="30.75" thickBot="1" x14ac:dyDescent="0.3">
      <c r="A2313" s="254" t="s">
        <v>626</v>
      </c>
      <c r="B2313" s="253" t="s">
        <v>606</v>
      </c>
      <c r="C2313" s="252" t="s">
        <v>633</v>
      </c>
      <c r="D2313" s="251" t="s">
        <v>601</v>
      </c>
      <c r="E2313" s="250" t="s">
        <v>287</v>
      </c>
      <c r="F2313" s="249" t="s">
        <v>624</v>
      </c>
      <c r="G2313" s="249" t="s">
        <v>596</v>
      </c>
    </row>
    <row r="2314" spans="1:7" x14ac:dyDescent="0.25">
      <c r="A2314" s="169" t="str">
        <f>E2314&amp;COUNTIFS($E$2:E2314,E2314)</f>
        <v>0</v>
      </c>
      <c r="B2314" s="172"/>
      <c r="C2314" s="174"/>
      <c r="D2314" s="173"/>
      <c r="E2314" s="172"/>
      <c r="F2314" s="171"/>
      <c r="G2314" s="170"/>
    </row>
    <row r="2315" spans="1:7" x14ac:dyDescent="0.25">
      <c r="A2315" s="169" t="str">
        <f>E2315&amp;COUNTIFS($E$2:E2315,E2315)</f>
        <v>0</v>
      </c>
      <c r="B2315" s="166"/>
      <c r="C2315" s="168"/>
      <c r="D2315" s="167"/>
      <c r="E2315" s="166"/>
      <c r="F2315" s="165"/>
      <c r="G2315" s="164"/>
    </row>
    <row r="2316" spans="1:7" x14ac:dyDescent="0.25">
      <c r="A2316" s="169" t="str">
        <f>E2316&amp;COUNTIFS($E$2:E2316,E2316)</f>
        <v>0</v>
      </c>
      <c r="B2316" s="166"/>
      <c r="C2316" s="168"/>
      <c r="D2316" s="167"/>
      <c r="E2316" s="166"/>
      <c r="F2316" s="165"/>
      <c r="G2316" s="164"/>
    </row>
    <row r="2317" spans="1:7" x14ac:dyDescent="0.25">
      <c r="A2317" s="169" t="str">
        <f>E2317&amp;COUNTIFS($E$2:E2317,E2317)</f>
        <v>0</v>
      </c>
      <c r="B2317" s="166"/>
      <c r="C2317" s="168"/>
      <c r="D2317" s="167"/>
      <c r="E2317" s="166"/>
      <c r="F2317" s="165"/>
      <c r="G2317" s="164"/>
    </row>
    <row r="2318" spans="1:7" x14ac:dyDescent="0.25">
      <c r="A2318" s="169" t="str">
        <f>E2318&amp;COUNTIFS($E$2:E2318,E2318)</f>
        <v>0</v>
      </c>
      <c r="B2318" s="166"/>
      <c r="C2318" s="168"/>
      <c r="D2318" s="167"/>
      <c r="E2318" s="166"/>
      <c r="F2318" s="165"/>
      <c r="G2318" s="164"/>
    </row>
    <row r="2319" spans="1:7" x14ac:dyDescent="0.25">
      <c r="A2319" s="169" t="str">
        <f>E2319&amp;COUNTIFS($E$2:E2319,E2319)</f>
        <v>0</v>
      </c>
      <c r="B2319" s="166"/>
      <c r="C2319" s="168"/>
      <c r="D2319" s="167"/>
      <c r="E2319" s="166"/>
      <c r="F2319" s="165"/>
      <c r="G2319" s="164"/>
    </row>
    <row r="2320" spans="1:7" x14ac:dyDescent="0.25">
      <c r="A2320" s="169" t="str">
        <f>E2320&amp;COUNTIFS($E$2:E2320,E2320)</f>
        <v>0</v>
      </c>
      <c r="B2320" s="166"/>
      <c r="C2320" s="168"/>
      <c r="D2320" s="167"/>
      <c r="E2320" s="166"/>
      <c r="F2320" s="165"/>
      <c r="G2320" s="164"/>
    </row>
    <row r="2321" spans="1:7" x14ac:dyDescent="0.25">
      <c r="A2321" s="169" t="str">
        <f>E2321&amp;COUNTIFS($E$2:E2321,E2321)</f>
        <v>0</v>
      </c>
      <c r="B2321" s="166"/>
      <c r="C2321" s="168"/>
      <c r="D2321" s="167"/>
      <c r="E2321" s="166"/>
      <c r="F2321" s="165"/>
      <c r="G2321" s="164"/>
    </row>
    <row r="2322" spans="1:7" x14ac:dyDescent="0.25">
      <c r="A2322" s="169" t="str">
        <f>E2322&amp;COUNTIFS($E$2:E2322,E2322)</f>
        <v>0</v>
      </c>
      <c r="B2322" s="166"/>
      <c r="C2322" s="168"/>
      <c r="D2322" s="167"/>
      <c r="E2322" s="166"/>
      <c r="F2322" s="165"/>
      <c r="G2322" s="164"/>
    </row>
    <row r="2323" spans="1:7" x14ac:dyDescent="0.25">
      <c r="A2323" s="169" t="str">
        <f>E2323&amp;COUNTIFS($E$2:E2323,E2323)</f>
        <v>0</v>
      </c>
      <c r="B2323" s="166"/>
      <c r="C2323" s="168"/>
      <c r="D2323" s="167"/>
      <c r="E2323" s="166"/>
      <c r="F2323" s="165"/>
      <c r="G2323" s="164"/>
    </row>
    <row r="2324" spans="1:7" x14ac:dyDescent="0.25">
      <c r="A2324" s="169" t="str">
        <f>E2324&amp;COUNTIFS($E$2:E2324,E2324)</f>
        <v>0</v>
      </c>
      <c r="B2324" s="166"/>
      <c r="C2324" s="168"/>
      <c r="D2324" s="167"/>
      <c r="E2324" s="166"/>
      <c r="F2324" s="165"/>
      <c r="G2324" s="164"/>
    </row>
    <row r="2325" spans="1:7" x14ac:dyDescent="0.25">
      <c r="A2325" s="169" t="str">
        <f>E2325&amp;COUNTIFS($E$2:E2325,E2325)</f>
        <v>0</v>
      </c>
      <c r="B2325" s="166"/>
      <c r="C2325" s="168"/>
      <c r="D2325" s="167"/>
      <c r="E2325" s="166"/>
      <c r="F2325" s="165"/>
      <c r="G2325" s="164"/>
    </row>
    <row r="2326" spans="1:7" x14ac:dyDescent="0.25">
      <c r="A2326" s="169" t="str">
        <f>E2326&amp;COUNTIFS($E$2:E2326,E2326)</f>
        <v>0</v>
      </c>
      <c r="B2326" s="166"/>
      <c r="C2326" s="168"/>
      <c r="D2326" s="167"/>
      <c r="E2326" s="166"/>
      <c r="F2326" s="165"/>
      <c r="G2326" s="164"/>
    </row>
    <row r="2327" spans="1:7" x14ac:dyDescent="0.25">
      <c r="A2327" s="169" t="str">
        <f>E2327&amp;COUNTIFS($E$2:E2327,E2327)</f>
        <v>0</v>
      </c>
      <c r="B2327" s="166"/>
      <c r="C2327" s="168"/>
      <c r="D2327" s="167"/>
      <c r="E2327" s="166"/>
      <c r="F2327" s="165"/>
      <c r="G2327" s="164"/>
    </row>
    <row r="2328" spans="1:7" x14ac:dyDescent="0.25">
      <c r="A2328" s="169" t="str">
        <f>E2328&amp;COUNTIFS($E$2:E2328,E2328)</f>
        <v>0</v>
      </c>
      <c r="B2328" s="166"/>
      <c r="C2328" s="168"/>
      <c r="D2328" s="167"/>
      <c r="E2328" s="166"/>
      <c r="F2328" s="165"/>
      <c r="G2328" s="164"/>
    </row>
    <row r="2329" spans="1:7" x14ac:dyDescent="0.25">
      <c r="A2329" s="169" t="str">
        <f>E2329&amp;COUNTIFS($E$2:E2329,E2329)</f>
        <v>0</v>
      </c>
      <c r="B2329" s="166"/>
      <c r="C2329" s="168"/>
      <c r="D2329" s="167"/>
      <c r="E2329" s="166"/>
      <c r="F2329" s="165"/>
      <c r="G2329" s="164"/>
    </row>
    <row r="2330" spans="1:7" x14ac:dyDescent="0.25">
      <c r="A2330" s="169" t="str">
        <f>E2330&amp;COUNTIFS($E$2:E2330,E2330)</f>
        <v>0</v>
      </c>
      <c r="B2330" s="166"/>
      <c r="C2330" s="168"/>
      <c r="D2330" s="167"/>
      <c r="E2330" s="166"/>
      <c r="F2330" s="165"/>
      <c r="G2330" s="164"/>
    </row>
    <row r="2331" spans="1:7" x14ac:dyDescent="0.25">
      <c r="A2331" s="169" t="str">
        <f>E2331&amp;COUNTIFS($E$2:E2331,E2331)</f>
        <v>0</v>
      </c>
      <c r="B2331" s="166"/>
      <c r="C2331" s="168"/>
      <c r="D2331" s="167"/>
      <c r="E2331" s="166"/>
      <c r="F2331" s="165"/>
      <c r="G2331" s="164"/>
    </row>
    <row r="2332" spans="1:7" x14ac:dyDescent="0.25">
      <c r="A2332" s="169" t="str">
        <f>E2332&amp;COUNTIFS($E$2:E2332,E2332)</f>
        <v>0</v>
      </c>
      <c r="B2332" s="166"/>
      <c r="C2332" s="168"/>
      <c r="D2332" s="167"/>
      <c r="E2332" s="166"/>
      <c r="F2332" s="165"/>
      <c r="G2332" s="164"/>
    </row>
    <row r="2333" spans="1:7" x14ac:dyDescent="0.25">
      <c r="A2333" s="169" t="str">
        <f>E2333&amp;COUNTIFS($E$2:E2333,E2333)</f>
        <v>0</v>
      </c>
      <c r="B2333" s="166"/>
      <c r="C2333" s="168"/>
      <c r="D2333" s="167"/>
      <c r="E2333" s="166"/>
      <c r="F2333" s="165"/>
      <c r="G2333" s="164"/>
    </row>
    <row r="2334" spans="1:7" x14ac:dyDescent="0.25">
      <c r="A2334" s="169" t="str">
        <f>E2334&amp;COUNTIFS($E$2:E2334,E2334)</f>
        <v>0</v>
      </c>
      <c r="B2334" s="166"/>
      <c r="C2334" s="168"/>
      <c r="D2334" s="167"/>
      <c r="E2334" s="166"/>
      <c r="F2334" s="165"/>
      <c r="G2334" s="164"/>
    </row>
    <row r="2335" spans="1:7" x14ac:dyDescent="0.25">
      <c r="A2335" s="169" t="str">
        <f>E2335&amp;COUNTIFS($E$2:E2335,E2335)</f>
        <v>0</v>
      </c>
      <c r="B2335" s="166"/>
      <c r="C2335" s="168"/>
      <c r="D2335" s="167"/>
      <c r="E2335" s="166"/>
      <c r="F2335" s="165"/>
      <c r="G2335" s="164"/>
    </row>
    <row r="2336" spans="1:7" x14ac:dyDescent="0.25">
      <c r="A2336" s="169" t="str">
        <f>E2336&amp;COUNTIFS($E$2:E2336,E2336)</f>
        <v>0</v>
      </c>
      <c r="B2336" s="166"/>
      <c r="C2336" s="168"/>
      <c r="D2336" s="167"/>
      <c r="E2336" s="166"/>
      <c r="F2336" s="165"/>
      <c r="G2336" s="164"/>
    </row>
    <row r="2337" spans="1:7" x14ac:dyDescent="0.25">
      <c r="A2337" s="169" t="str">
        <f>E2337&amp;COUNTIFS($E$2:E2337,E2337)</f>
        <v>0</v>
      </c>
      <c r="B2337" s="166"/>
      <c r="C2337" s="168"/>
      <c r="D2337" s="167"/>
      <c r="E2337" s="166"/>
      <c r="F2337" s="165"/>
      <c r="G2337" s="164"/>
    </row>
    <row r="2338" spans="1:7" ht="15.75" thickBot="1" x14ac:dyDescent="0.3">
      <c r="A2338" s="163" t="str">
        <f>E2338&amp;COUNTIFS($E$2:E2338,E2338)</f>
        <v>0</v>
      </c>
      <c r="B2338" s="166"/>
      <c r="C2338" s="162"/>
      <c r="D2338" s="161"/>
      <c r="E2338" s="160"/>
      <c r="F2338" s="159"/>
      <c r="G2338" s="158"/>
    </row>
    <row r="2339" spans="1:7" x14ac:dyDescent="0.25">
      <c r="A2339" s="148"/>
      <c r="C2339" s="143"/>
      <c r="D2339" s="157"/>
      <c r="E2339" s="143"/>
      <c r="F2339" s="156"/>
      <c r="G2339" s="156"/>
    </row>
    <row r="2340" spans="1:7" x14ac:dyDescent="0.25">
      <c r="A2340" s="148"/>
      <c r="C2340" s="153" t="s">
        <v>623</v>
      </c>
      <c r="D2340" s="152"/>
      <c r="E2340" s="151"/>
      <c r="F2340" s="150">
        <f>SUM(F2314:F2338)</f>
        <v>0</v>
      </c>
      <c r="G2340" s="155">
        <f>SUM(G2314:G2338)</f>
        <v>0</v>
      </c>
    </row>
    <row r="2341" spans="1:7" x14ac:dyDescent="0.25">
      <c r="A2341" s="148"/>
      <c r="C2341" s="145" t="s">
        <v>622</v>
      </c>
      <c r="D2341" s="154"/>
      <c r="E2341" s="145"/>
      <c r="F2341" s="144"/>
      <c r="G2341" s="144"/>
    </row>
    <row r="2342" spans="1:7" x14ac:dyDescent="0.25">
      <c r="A2342" s="148"/>
      <c r="C2342" s="153" t="s">
        <v>621</v>
      </c>
      <c r="D2342" s="152"/>
      <c r="E2342" s="151"/>
      <c r="F2342" s="150">
        <f>F2309</f>
        <v>0</v>
      </c>
      <c r="G2342" s="150">
        <f>G2309</f>
        <v>0</v>
      </c>
    </row>
    <row r="2343" spans="1:7" x14ac:dyDescent="0.25">
      <c r="A2343" s="148"/>
      <c r="C2343" s="153" t="s">
        <v>582</v>
      </c>
      <c r="D2343" s="152"/>
      <c r="E2343" s="151"/>
      <c r="F2343" s="150">
        <f>F2342+F2340</f>
        <v>0</v>
      </c>
      <c r="G2343" s="150">
        <f>G2342+G2340</f>
        <v>0</v>
      </c>
    </row>
    <row r="2344" spans="1:7" ht="15.75" thickBot="1" x14ac:dyDescent="0.3">
      <c r="A2344" s="148"/>
      <c r="C2344" s="145"/>
      <c r="D2344" s="149"/>
      <c r="E2344" s="145"/>
      <c r="F2344" s="144"/>
      <c r="G2344" s="144"/>
    </row>
    <row r="2345" spans="1:7" ht="15.75" thickBot="1" x14ac:dyDescent="0.3">
      <c r="A2345" s="148"/>
      <c r="C2345" s="147" t="s">
        <v>620</v>
      </c>
      <c r="D2345" s="146">
        <f>F2343-G2343</f>
        <v>0</v>
      </c>
      <c r="E2345" s="145"/>
      <c r="F2345" s="144"/>
      <c r="G2345" s="144"/>
    </row>
    <row r="2346" spans="1:7" ht="15.75" thickBot="1" x14ac:dyDescent="0.3"/>
    <row r="2347" spans="1:7" ht="30.75" thickBot="1" x14ac:dyDescent="0.3">
      <c r="A2347" s="254" t="s">
        <v>626</v>
      </c>
      <c r="B2347" s="253" t="s">
        <v>606</v>
      </c>
      <c r="C2347" s="252" t="s">
        <v>633</v>
      </c>
      <c r="D2347" s="251" t="s">
        <v>601</v>
      </c>
      <c r="E2347" s="250" t="s">
        <v>287</v>
      </c>
      <c r="F2347" s="249" t="s">
        <v>624</v>
      </c>
      <c r="G2347" s="249" t="s">
        <v>596</v>
      </c>
    </row>
    <row r="2348" spans="1:7" x14ac:dyDescent="0.25">
      <c r="A2348" s="169" t="str">
        <f>E2348&amp;COUNTIFS($E$2:E2348,E2348)</f>
        <v>0</v>
      </c>
      <c r="B2348" s="172"/>
      <c r="C2348" s="174"/>
      <c r="D2348" s="173"/>
      <c r="E2348" s="172"/>
      <c r="F2348" s="171"/>
      <c r="G2348" s="170"/>
    </row>
    <row r="2349" spans="1:7" x14ac:dyDescent="0.25">
      <c r="A2349" s="169" t="str">
        <f>E2349&amp;COUNTIFS($E$2:E2349,E2349)</f>
        <v>0</v>
      </c>
      <c r="B2349" s="166"/>
      <c r="C2349" s="168"/>
      <c r="D2349" s="167"/>
      <c r="E2349" s="166"/>
      <c r="F2349" s="165"/>
      <c r="G2349" s="164"/>
    </row>
    <row r="2350" spans="1:7" x14ac:dyDescent="0.25">
      <c r="A2350" s="169" t="str">
        <f>E2350&amp;COUNTIFS($E$2:E2350,E2350)</f>
        <v>0</v>
      </c>
      <c r="B2350" s="166"/>
      <c r="C2350" s="168"/>
      <c r="D2350" s="167"/>
      <c r="E2350" s="166"/>
      <c r="F2350" s="165"/>
      <c r="G2350" s="164"/>
    </row>
    <row r="2351" spans="1:7" x14ac:dyDescent="0.25">
      <c r="A2351" s="169" t="str">
        <f>E2351&amp;COUNTIFS($E$2:E2351,E2351)</f>
        <v>0</v>
      </c>
      <c r="B2351" s="166"/>
      <c r="C2351" s="168"/>
      <c r="D2351" s="167"/>
      <c r="E2351" s="166"/>
      <c r="F2351" s="165"/>
      <c r="G2351" s="164"/>
    </row>
    <row r="2352" spans="1:7" x14ac:dyDescent="0.25">
      <c r="A2352" s="169" t="str">
        <f>E2352&amp;COUNTIFS($E$2:E2352,E2352)</f>
        <v>0</v>
      </c>
      <c r="B2352" s="166"/>
      <c r="C2352" s="168"/>
      <c r="D2352" s="167"/>
      <c r="E2352" s="166"/>
      <c r="F2352" s="165"/>
      <c r="G2352" s="164"/>
    </row>
    <row r="2353" spans="1:7" x14ac:dyDescent="0.25">
      <c r="A2353" s="169" t="str">
        <f>E2353&amp;COUNTIFS($E$2:E2353,E2353)</f>
        <v>0</v>
      </c>
      <c r="B2353" s="166"/>
      <c r="C2353" s="168"/>
      <c r="D2353" s="167"/>
      <c r="E2353" s="166"/>
      <c r="F2353" s="165"/>
      <c r="G2353" s="164"/>
    </row>
    <row r="2354" spans="1:7" x14ac:dyDescent="0.25">
      <c r="A2354" s="169" t="str">
        <f>E2354&amp;COUNTIFS($E$2:E2354,E2354)</f>
        <v>0</v>
      </c>
      <c r="B2354" s="166"/>
      <c r="C2354" s="168"/>
      <c r="D2354" s="167"/>
      <c r="E2354" s="166"/>
      <c r="F2354" s="165"/>
      <c r="G2354" s="164"/>
    </row>
    <row r="2355" spans="1:7" x14ac:dyDescent="0.25">
      <c r="A2355" s="169" t="str">
        <f>E2355&amp;COUNTIFS($E$2:E2355,E2355)</f>
        <v>0</v>
      </c>
      <c r="B2355" s="166"/>
      <c r="C2355" s="168"/>
      <c r="D2355" s="167"/>
      <c r="E2355" s="166"/>
      <c r="F2355" s="165"/>
      <c r="G2355" s="164"/>
    </row>
    <row r="2356" spans="1:7" x14ac:dyDescent="0.25">
      <c r="A2356" s="169" t="str">
        <f>E2356&amp;COUNTIFS($E$2:E2356,E2356)</f>
        <v>0</v>
      </c>
      <c r="B2356" s="166"/>
      <c r="C2356" s="168"/>
      <c r="D2356" s="167"/>
      <c r="E2356" s="166"/>
      <c r="F2356" s="165"/>
      <c r="G2356" s="164"/>
    </row>
    <row r="2357" spans="1:7" x14ac:dyDescent="0.25">
      <c r="A2357" s="169" t="str">
        <f>E2357&amp;COUNTIFS($E$2:E2357,E2357)</f>
        <v>0</v>
      </c>
      <c r="B2357" s="166"/>
      <c r="C2357" s="168"/>
      <c r="D2357" s="167"/>
      <c r="E2357" s="166"/>
      <c r="F2357" s="165"/>
      <c r="G2357" s="164"/>
    </row>
    <row r="2358" spans="1:7" x14ac:dyDescent="0.25">
      <c r="A2358" s="169" t="str">
        <f>E2358&amp;COUNTIFS($E$2:E2358,E2358)</f>
        <v>0</v>
      </c>
      <c r="B2358" s="166"/>
      <c r="C2358" s="168"/>
      <c r="D2358" s="167"/>
      <c r="E2358" s="166"/>
      <c r="F2358" s="165"/>
      <c r="G2358" s="164"/>
    </row>
    <row r="2359" spans="1:7" x14ac:dyDescent="0.25">
      <c r="A2359" s="169" t="str">
        <f>E2359&amp;COUNTIFS($E$2:E2359,E2359)</f>
        <v>0</v>
      </c>
      <c r="B2359" s="166"/>
      <c r="C2359" s="168"/>
      <c r="D2359" s="167"/>
      <c r="E2359" s="166"/>
      <c r="F2359" s="165"/>
      <c r="G2359" s="164"/>
    </row>
    <row r="2360" spans="1:7" x14ac:dyDescent="0.25">
      <c r="A2360" s="169" t="str">
        <f>E2360&amp;COUNTIFS($E$2:E2360,E2360)</f>
        <v>0</v>
      </c>
      <c r="B2360" s="166"/>
      <c r="C2360" s="168"/>
      <c r="D2360" s="167"/>
      <c r="E2360" s="166"/>
      <c r="F2360" s="165"/>
      <c r="G2360" s="164"/>
    </row>
    <row r="2361" spans="1:7" x14ac:dyDescent="0.25">
      <c r="A2361" s="169" t="str">
        <f>E2361&amp;COUNTIFS($E$2:E2361,E2361)</f>
        <v>0</v>
      </c>
      <c r="B2361" s="166"/>
      <c r="C2361" s="168"/>
      <c r="D2361" s="167"/>
      <c r="E2361" s="166"/>
      <c r="F2361" s="165"/>
      <c r="G2361" s="164"/>
    </row>
    <row r="2362" spans="1:7" x14ac:dyDescent="0.25">
      <c r="A2362" s="169" t="str">
        <f>E2362&amp;COUNTIFS($E$2:E2362,E2362)</f>
        <v>0</v>
      </c>
      <c r="B2362" s="166"/>
      <c r="C2362" s="168"/>
      <c r="D2362" s="167"/>
      <c r="E2362" s="166"/>
      <c r="F2362" s="165"/>
      <c r="G2362" s="164"/>
    </row>
    <row r="2363" spans="1:7" x14ac:dyDescent="0.25">
      <c r="A2363" s="169" t="str">
        <f>E2363&amp;COUNTIFS($E$2:E2363,E2363)</f>
        <v>0</v>
      </c>
      <c r="B2363" s="166"/>
      <c r="C2363" s="168"/>
      <c r="D2363" s="167"/>
      <c r="E2363" s="166"/>
      <c r="F2363" s="165"/>
      <c r="G2363" s="164"/>
    </row>
    <row r="2364" spans="1:7" x14ac:dyDescent="0.25">
      <c r="A2364" s="169" t="str">
        <f>E2364&amp;COUNTIFS($E$2:E2364,E2364)</f>
        <v>0</v>
      </c>
      <c r="B2364" s="166"/>
      <c r="C2364" s="168"/>
      <c r="D2364" s="167"/>
      <c r="E2364" s="166"/>
      <c r="F2364" s="165"/>
      <c r="G2364" s="164"/>
    </row>
    <row r="2365" spans="1:7" x14ac:dyDescent="0.25">
      <c r="A2365" s="169" t="str">
        <f>E2365&amp;COUNTIFS($E$2:E2365,E2365)</f>
        <v>0</v>
      </c>
      <c r="B2365" s="166"/>
      <c r="C2365" s="168"/>
      <c r="D2365" s="167"/>
      <c r="E2365" s="166"/>
      <c r="F2365" s="165"/>
      <c r="G2365" s="164"/>
    </row>
    <row r="2366" spans="1:7" x14ac:dyDescent="0.25">
      <c r="A2366" s="169" t="str">
        <f>E2366&amp;COUNTIFS($E$2:E2366,E2366)</f>
        <v>0</v>
      </c>
      <c r="B2366" s="166"/>
      <c r="C2366" s="168"/>
      <c r="D2366" s="167"/>
      <c r="E2366" s="166"/>
      <c r="F2366" s="165"/>
      <c r="G2366" s="164"/>
    </row>
    <row r="2367" spans="1:7" x14ac:dyDescent="0.25">
      <c r="A2367" s="169" t="str">
        <f>E2367&amp;COUNTIFS($E$2:E2367,E2367)</f>
        <v>0</v>
      </c>
      <c r="B2367" s="166"/>
      <c r="C2367" s="168"/>
      <c r="D2367" s="167"/>
      <c r="E2367" s="166"/>
      <c r="F2367" s="165"/>
      <c r="G2367" s="164"/>
    </row>
    <row r="2368" spans="1:7" x14ac:dyDescent="0.25">
      <c r="A2368" s="169" t="str">
        <f>E2368&amp;COUNTIFS($E$2:E2368,E2368)</f>
        <v>0</v>
      </c>
      <c r="B2368" s="166"/>
      <c r="C2368" s="168"/>
      <c r="D2368" s="167"/>
      <c r="E2368" s="166"/>
      <c r="F2368" s="165"/>
      <c r="G2368" s="164"/>
    </row>
    <row r="2369" spans="1:7" x14ac:dyDescent="0.25">
      <c r="A2369" s="169" t="str">
        <f>E2369&amp;COUNTIFS($E$2:E2369,E2369)</f>
        <v>0</v>
      </c>
      <c r="B2369" s="166"/>
      <c r="C2369" s="168"/>
      <c r="D2369" s="167"/>
      <c r="E2369" s="166"/>
      <c r="F2369" s="165"/>
      <c r="G2369" s="164"/>
    </row>
    <row r="2370" spans="1:7" x14ac:dyDescent="0.25">
      <c r="A2370" s="169" t="str">
        <f>E2370&amp;COUNTIFS($E$2:E2370,E2370)</f>
        <v>0</v>
      </c>
      <c r="B2370" s="166"/>
      <c r="C2370" s="168"/>
      <c r="D2370" s="167"/>
      <c r="E2370" s="166"/>
      <c r="F2370" s="165"/>
      <c r="G2370" s="164"/>
    </row>
    <row r="2371" spans="1:7" x14ac:dyDescent="0.25">
      <c r="A2371" s="169" t="str">
        <f>E2371&amp;COUNTIFS($E$2:E2371,E2371)</f>
        <v>0</v>
      </c>
      <c r="B2371" s="166"/>
      <c r="C2371" s="168"/>
      <c r="D2371" s="167"/>
      <c r="E2371" s="166"/>
      <c r="F2371" s="165"/>
      <c r="G2371" s="164"/>
    </row>
    <row r="2372" spans="1:7" ht="15.75" thickBot="1" x14ac:dyDescent="0.3">
      <c r="A2372" s="163" t="str">
        <f>E2372&amp;COUNTIFS($E$2:E2372,E2372)</f>
        <v>0</v>
      </c>
      <c r="B2372" s="166"/>
      <c r="C2372" s="162"/>
      <c r="D2372" s="161"/>
      <c r="E2372" s="160"/>
      <c r="F2372" s="159"/>
      <c r="G2372" s="158"/>
    </row>
    <row r="2373" spans="1:7" x14ac:dyDescent="0.25">
      <c r="A2373" s="148"/>
      <c r="C2373" s="143"/>
      <c r="D2373" s="157"/>
      <c r="E2373" s="143"/>
      <c r="F2373" s="156"/>
      <c r="G2373" s="156"/>
    </row>
    <row r="2374" spans="1:7" x14ac:dyDescent="0.25">
      <c r="A2374" s="148"/>
      <c r="C2374" s="153" t="s">
        <v>623</v>
      </c>
      <c r="D2374" s="152"/>
      <c r="E2374" s="151"/>
      <c r="F2374" s="150">
        <f>SUM(F2348:F2372)</f>
        <v>0</v>
      </c>
      <c r="G2374" s="155">
        <f>SUM(G2348:G2372)</f>
        <v>0</v>
      </c>
    </row>
    <row r="2375" spans="1:7" x14ac:dyDescent="0.25">
      <c r="A2375" s="148"/>
      <c r="C2375" s="145" t="s">
        <v>622</v>
      </c>
      <c r="D2375" s="154"/>
      <c r="E2375" s="145"/>
      <c r="F2375" s="144"/>
      <c r="G2375" s="144"/>
    </row>
    <row r="2376" spans="1:7" x14ac:dyDescent="0.25">
      <c r="A2376" s="148"/>
      <c r="C2376" s="153" t="s">
        <v>621</v>
      </c>
      <c r="D2376" s="152"/>
      <c r="E2376" s="151"/>
      <c r="F2376" s="150">
        <f>F2343</f>
        <v>0</v>
      </c>
      <c r="G2376" s="150">
        <f>G2343</f>
        <v>0</v>
      </c>
    </row>
    <row r="2377" spans="1:7" x14ac:dyDescent="0.25">
      <c r="A2377" s="148"/>
      <c r="C2377" s="153" t="s">
        <v>582</v>
      </c>
      <c r="D2377" s="152"/>
      <c r="E2377" s="151"/>
      <c r="F2377" s="150">
        <f>F2376+F2374</f>
        <v>0</v>
      </c>
      <c r="G2377" s="150">
        <f>G2376+G2374</f>
        <v>0</v>
      </c>
    </row>
    <row r="2378" spans="1:7" ht="15.75" thickBot="1" x14ac:dyDescent="0.3">
      <c r="A2378" s="148"/>
      <c r="C2378" s="145"/>
      <c r="D2378" s="149"/>
      <c r="E2378" s="145"/>
      <c r="F2378" s="144"/>
      <c r="G2378" s="144"/>
    </row>
    <row r="2379" spans="1:7" ht="15.75" thickBot="1" x14ac:dyDescent="0.3">
      <c r="A2379" s="148"/>
      <c r="C2379" s="147" t="s">
        <v>620</v>
      </c>
      <c r="D2379" s="146">
        <f>F2377-G2377</f>
        <v>0</v>
      </c>
      <c r="E2379" s="145"/>
      <c r="F2379" s="144"/>
      <c r="G2379" s="144"/>
    </row>
    <row r="2380" spans="1:7" ht="15.75" thickBot="1" x14ac:dyDescent="0.3"/>
    <row r="2381" spans="1:7" ht="30.75" thickBot="1" x14ac:dyDescent="0.3">
      <c r="A2381" s="254" t="s">
        <v>626</v>
      </c>
      <c r="B2381" s="253" t="s">
        <v>606</v>
      </c>
      <c r="C2381" s="252" t="s">
        <v>633</v>
      </c>
      <c r="D2381" s="251" t="s">
        <v>601</v>
      </c>
      <c r="E2381" s="250" t="s">
        <v>287</v>
      </c>
      <c r="F2381" s="249" t="s">
        <v>624</v>
      </c>
      <c r="G2381" s="249" t="s">
        <v>596</v>
      </c>
    </row>
    <row r="2382" spans="1:7" x14ac:dyDescent="0.25">
      <c r="A2382" s="169" t="str">
        <f>E2382&amp;COUNTIFS($E$2:E2382,E2382)</f>
        <v>0</v>
      </c>
      <c r="B2382" s="172"/>
      <c r="C2382" s="174"/>
      <c r="D2382" s="173"/>
      <c r="E2382" s="172"/>
      <c r="F2382" s="171"/>
      <c r="G2382" s="170"/>
    </row>
    <row r="2383" spans="1:7" x14ac:dyDescent="0.25">
      <c r="A2383" s="169" t="str">
        <f>E2383&amp;COUNTIFS($E$2:E2383,E2383)</f>
        <v>0</v>
      </c>
      <c r="B2383" s="166"/>
      <c r="C2383" s="168"/>
      <c r="D2383" s="167"/>
      <c r="E2383" s="166"/>
      <c r="F2383" s="165"/>
      <c r="G2383" s="164"/>
    </row>
    <row r="2384" spans="1:7" x14ac:dyDescent="0.25">
      <c r="A2384" s="169" t="str">
        <f>E2384&amp;COUNTIFS($E$2:E2384,E2384)</f>
        <v>0</v>
      </c>
      <c r="B2384" s="166"/>
      <c r="C2384" s="168"/>
      <c r="D2384" s="167"/>
      <c r="E2384" s="166"/>
      <c r="F2384" s="165"/>
      <c r="G2384" s="164"/>
    </row>
    <row r="2385" spans="1:7" x14ac:dyDescent="0.25">
      <c r="A2385" s="169" t="str">
        <f>E2385&amp;COUNTIFS($E$2:E2385,E2385)</f>
        <v>0</v>
      </c>
      <c r="B2385" s="166"/>
      <c r="C2385" s="168"/>
      <c r="D2385" s="167"/>
      <c r="E2385" s="166"/>
      <c r="F2385" s="165"/>
      <c r="G2385" s="164"/>
    </row>
    <row r="2386" spans="1:7" x14ac:dyDescent="0.25">
      <c r="A2386" s="169" t="str">
        <f>E2386&amp;COUNTIFS($E$2:E2386,E2386)</f>
        <v>0</v>
      </c>
      <c r="B2386" s="166"/>
      <c r="C2386" s="168"/>
      <c r="D2386" s="167"/>
      <c r="E2386" s="166"/>
      <c r="F2386" s="165"/>
      <c r="G2386" s="164"/>
    </row>
    <row r="2387" spans="1:7" x14ac:dyDescent="0.25">
      <c r="A2387" s="169" t="str">
        <f>E2387&amp;COUNTIFS($E$2:E2387,E2387)</f>
        <v>0</v>
      </c>
      <c r="B2387" s="166"/>
      <c r="C2387" s="168"/>
      <c r="D2387" s="167"/>
      <c r="E2387" s="166"/>
      <c r="F2387" s="165"/>
      <c r="G2387" s="164"/>
    </row>
    <row r="2388" spans="1:7" x14ac:dyDescent="0.25">
      <c r="A2388" s="169" t="str">
        <f>E2388&amp;COUNTIFS($E$2:E2388,E2388)</f>
        <v>0</v>
      </c>
      <c r="B2388" s="166"/>
      <c r="C2388" s="168"/>
      <c r="D2388" s="167"/>
      <c r="E2388" s="166"/>
      <c r="F2388" s="165"/>
      <c r="G2388" s="164"/>
    </row>
    <row r="2389" spans="1:7" x14ac:dyDescent="0.25">
      <c r="A2389" s="169" t="str">
        <f>E2389&amp;COUNTIFS($E$2:E2389,E2389)</f>
        <v>0</v>
      </c>
      <c r="B2389" s="166"/>
      <c r="C2389" s="168"/>
      <c r="D2389" s="167"/>
      <c r="E2389" s="166"/>
      <c r="F2389" s="165"/>
      <c r="G2389" s="164"/>
    </row>
    <row r="2390" spans="1:7" x14ac:dyDescent="0.25">
      <c r="A2390" s="169" t="str">
        <f>E2390&amp;COUNTIFS($E$2:E2390,E2390)</f>
        <v>0</v>
      </c>
      <c r="B2390" s="166"/>
      <c r="C2390" s="168"/>
      <c r="D2390" s="167"/>
      <c r="E2390" s="166"/>
      <c r="F2390" s="165"/>
      <c r="G2390" s="164"/>
    </row>
    <row r="2391" spans="1:7" x14ac:dyDescent="0.25">
      <c r="A2391" s="169" t="str">
        <f>E2391&amp;COUNTIFS($E$2:E2391,E2391)</f>
        <v>0</v>
      </c>
      <c r="B2391" s="166"/>
      <c r="C2391" s="168"/>
      <c r="D2391" s="167"/>
      <c r="E2391" s="166"/>
      <c r="F2391" s="165"/>
      <c r="G2391" s="164"/>
    </row>
    <row r="2392" spans="1:7" x14ac:dyDescent="0.25">
      <c r="A2392" s="169" t="str">
        <f>E2392&amp;COUNTIFS($E$2:E2392,E2392)</f>
        <v>0</v>
      </c>
      <c r="B2392" s="166"/>
      <c r="C2392" s="168"/>
      <c r="D2392" s="167"/>
      <c r="E2392" s="166"/>
      <c r="F2392" s="165"/>
      <c r="G2392" s="164"/>
    </row>
    <row r="2393" spans="1:7" x14ac:dyDescent="0.25">
      <c r="A2393" s="169" t="str">
        <f>E2393&amp;COUNTIFS($E$2:E2393,E2393)</f>
        <v>0</v>
      </c>
      <c r="B2393" s="166"/>
      <c r="C2393" s="168"/>
      <c r="D2393" s="167"/>
      <c r="E2393" s="166"/>
      <c r="F2393" s="165"/>
      <c r="G2393" s="164"/>
    </row>
    <row r="2394" spans="1:7" x14ac:dyDescent="0.25">
      <c r="A2394" s="169" t="str">
        <f>E2394&amp;COUNTIFS($E$2:E2394,E2394)</f>
        <v>0</v>
      </c>
      <c r="B2394" s="166"/>
      <c r="C2394" s="168"/>
      <c r="D2394" s="167"/>
      <c r="E2394" s="166"/>
      <c r="F2394" s="165"/>
      <c r="G2394" s="164"/>
    </row>
    <row r="2395" spans="1:7" x14ac:dyDescent="0.25">
      <c r="A2395" s="169" t="str">
        <f>E2395&amp;COUNTIFS($E$2:E2395,E2395)</f>
        <v>0</v>
      </c>
      <c r="B2395" s="166"/>
      <c r="C2395" s="168"/>
      <c r="D2395" s="167"/>
      <c r="E2395" s="166"/>
      <c r="F2395" s="165"/>
      <c r="G2395" s="164"/>
    </row>
    <row r="2396" spans="1:7" x14ac:dyDescent="0.25">
      <c r="A2396" s="169" t="str">
        <f>E2396&amp;COUNTIFS($E$2:E2396,E2396)</f>
        <v>0</v>
      </c>
      <c r="B2396" s="166"/>
      <c r="C2396" s="168"/>
      <c r="D2396" s="167"/>
      <c r="E2396" s="166"/>
      <c r="F2396" s="165"/>
      <c r="G2396" s="164"/>
    </row>
    <row r="2397" spans="1:7" x14ac:dyDescent="0.25">
      <c r="A2397" s="169" t="str">
        <f>E2397&amp;COUNTIFS($E$2:E2397,E2397)</f>
        <v>0</v>
      </c>
      <c r="B2397" s="166"/>
      <c r="C2397" s="168"/>
      <c r="D2397" s="167"/>
      <c r="E2397" s="166"/>
      <c r="F2397" s="165"/>
      <c r="G2397" s="164"/>
    </row>
    <row r="2398" spans="1:7" x14ac:dyDescent="0.25">
      <c r="A2398" s="169" t="str">
        <f>E2398&amp;COUNTIFS($E$2:E2398,E2398)</f>
        <v>0</v>
      </c>
      <c r="B2398" s="166"/>
      <c r="C2398" s="168"/>
      <c r="D2398" s="167"/>
      <c r="E2398" s="166"/>
      <c r="F2398" s="165"/>
      <c r="G2398" s="164"/>
    </row>
    <row r="2399" spans="1:7" x14ac:dyDescent="0.25">
      <c r="A2399" s="169" t="str">
        <f>E2399&amp;COUNTIFS($E$2:E2399,E2399)</f>
        <v>0</v>
      </c>
      <c r="B2399" s="166"/>
      <c r="C2399" s="168"/>
      <c r="D2399" s="167"/>
      <c r="E2399" s="166"/>
      <c r="F2399" s="165"/>
      <c r="G2399" s="164"/>
    </row>
    <row r="2400" spans="1:7" x14ac:dyDescent="0.25">
      <c r="A2400" s="169" t="str">
        <f>E2400&amp;COUNTIFS($E$2:E2400,E2400)</f>
        <v>0</v>
      </c>
      <c r="B2400" s="166"/>
      <c r="C2400" s="168"/>
      <c r="D2400" s="167"/>
      <c r="E2400" s="166"/>
      <c r="F2400" s="165"/>
      <c r="G2400" s="164"/>
    </row>
    <row r="2401" spans="1:7" x14ac:dyDescent="0.25">
      <c r="A2401" s="169" t="str">
        <f>E2401&amp;COUNTIFS($E$2:E2401,E2401)</f>
        <v>0</v>
      </c>
      <c r="B2401" s="166"/>
      <c r="C2401" s="168"/>
      <c r="D2401" s="167"/>
      <c r="E2401" s="166"/>
      <c r="F2401" s="165"/>
      <c r="G2401" s="164"/>
    </row>
    <row r="2402" spans="1:7" x14ac:dyDescent="0.25">
      <c r="A2402" s="169" t="str">
        <f>E2402&amp;COUNTIFS($E$2:E2402,E2402)</f>
        <v>0</v>
      </c>
      <c r="B2402" s="166"/>
      <c r="C2402" s="168"/>
      <c r="D2402" s="167"/>
      <c r="E2402" s="166"/>
      <c r="F2402" s="165"/>
      <c r="G2402" s="164"/>
    </row>
    <row r="2403" spans="1:7" x14ac:dyDescent="0.25">
      <c r="A2403" s="169" t="str">
        <f>E2403&amp;COUNTIFS($E$2:E2403,E2403)</f>
        <v>0</v>
      </c>
      <c r="B2403" s="166"/>
      <c r="C2403" s="168"/>
      <c r="D2403" s="167"/>
      <c r="E2403" s="166"/>
      <c r="F2403" s="165"/>
      <c r="G2403" s="164"/>
    </row>
    <row r="2404" spans="1:7" x14ac:dyDescent="0.25">
      <c r="A2404" s="169" t="str">
        <f>E2404&amp;COUNTIFS($E$2:E2404,E2404)</f>
        <v>0</v>
      </c>
      <c r="B2404" s="166"/>
      <c r="C2404" s="168"/>
      <c r="D2404" s="167"/>
      <c r="E2404" s="166"/>
      <c r="F2404" s="165"/>
      <c r="G2404" s="164"/>
    </row>
    <row r="2405" spans="1:7" x14ac:dyDescent="0.25">
      <c r="A2405" s="169" t="str">
        <f>E2405&amp;COUNTIFS($E$2:E2405,E2405)</f>
        <v>0</v>
      </c>
      <c r="B2405" s="166"/>
      <c r="C2405" s="168"/>
      <c r="D2405" s="167"/>
      <c r="E2405" s="166"/>
      <c r="F2405" s="165"/>
      <c r="G2405" s="164"/>
    </row>
    <row r="2406" spans="1:7" ht="15.75" thickBot="1" x14ac:dyDescent="0.3">
      <c r="A2406" s="163" t="str">
        <f>E2406&amp;COUNTIFS($E$2:E2406,E2406)</f>
        <v>0</v>
      </c>
      <c r="B2406" s="166"/>
      <c r="C2406" s="162"/>
      <c r="D2406" s="161"/>
      <c r="E2406" s="160"/>
      <c r="F2406" s="159"/>
      <c r="G2406" s="158"/>
    </row>
    <row r="2407" spans="1:7" x14ac:dyDescent="0.25">
      <c r="A2407" s="148"/>
      <c r="C2407" s="143"/>
      <c r="D2407" s="157"/>
      <c r="E2407" s="143"/>
      <c r="F2407" s="156"/>
      <c r="G2407" s="156"/>
    </row>
    <row r="2408" spans="1:7" x14ac:dyDescent="0.25">
      <c r="A2408" s="148"/>
      <c r="C2408" s="153" t="s">
        <v>623</v>
      </c>
      <c r="D2408" s="152"/>
      <c r="E2408" s="151"/>
      <c r="F2408" s="150">
        <f>SUM(F2382:F2406)</f>
        <v>0</v>
      </c>
      <c r="G2408" s="155">
        <f>SUM(G2382:G2406)</f>
        <v>0</v>
      </c>
    </row>
    <row r="2409" spans="1:7" x14ac:dyDescent="0.25">
      <c r="A2409" s="148"/>
      <c r="C2409" s="145" t="s">
        <v>622</v>
      </c>
      <c r="D2409" s="154"/>
      <c r="E2409" s="145"/>
      <c r="F2409" s="144"/>
      <c r="G2409" s="144"/>
    </row>
    <row r="2410" spans="1:7" x14ac:dyDescent="0.25">
      <c r="A2410" s="148"/>
      <c r="C2410" s="153" t="s">
        <v>621</v>
      </c>
      <c r="D2410" s="152"/>
      <c r="E2410" s="151"/>
      <c r="F2410" s="150">
        <f>F2377</f>
        <v>0</v>
      </c>
      <c r="G2410" s="150">
        <f>G2377</f>
        <v>0</v>
      </c>
    </row>
    <row r="2411" spans="1:7" x14ac:dyDescent="0.25">
      <c r="A2411" s="148"/>
      <c r="C2411" s="153" t="s">
        <v>582</v>
      </c>
      <c r="D2411" s="152"/>
      <c r="E2411" s="151"/>
      <c r="F2411" s="150">
        <f>F2410+F2408</f>
        <v>0</v>
      </c>
      <c r="G2411" s="150">
        <f>G2410+G2408</f>
        <v>0</v>
      </c>
    </row>
    <row r="2412" spans="1:7" ht="15.75" thickBot="1" x14ac:dyDescent="0.3">
      <c r="A2412" s="148"/>
      <c r="C2412" s="145"/>
      <c r="D2412" s="149"/>
      <c r="E2412" s="145"/>
      <c r="F2412" s="144"/>
      <c r="G2412" s="144"/>
    </row>
    <row r="2413" spans="1:7" ht="15.75" thickBot="1" x14ac:dyDescent="0.3">
      <c r="A2413" s="148"/>
      <c r="C2413" s="147" t="s">
        <v>620</v>
      </c>
      <c r="D2413" s="146">
        <f>F2411-G2411</f>
        <v>0</v>
      </c>
      <c r="E2413" s="145"/>
      <c r="F2413" s="144"/>
      <c r="G2413" s="144"/>
    </row>
    <row r="2414" spans="1:7" ht="15.75" thickBot="1" x14ac:dyDescent="0.3"/>
    <row r="2415" spans="1:7" ht="30.75" thickBot="1" x14ac:dyDescent="0.3">
      <c r="A2415" s="254" t="s">
        <v>626</v>
      </c>
      <c r="B2415" s="253" t="s">
        <v>606</v>
      </c>
      <c r="C2415" s="252" t="s">
        <v>633</v>
      </c>
      <c r="D2415" s="251" t="s">
        <v>601</v>
      </c>
      <c r="E2415" s="250" t="s">
        <v>287</v>
      </c>
      <c r="F2415" s="249" t="s">
        <v>624</v>
      </c>
      <c r="G2415" s="249" t="s">
        <v>596</v>
      </c>
    </row>
    <row r="2416" spans="1:7" x14ac:dyDescent="0.25">
      <c r="A2416" s="169" t="str">
        <f>E2416&amp;COUNTIFS($E$2:E2416,E2416)</f>
        <v>0</v>
      </c>
      <c r="B2416" s="172"/>
      <c r="C2416" s="174"/>
      <c r="D2416" s="173"/>
      <c r="E2416" s="172"/>
      <c r="F2416" s="171"/>
      <c r="G2416" s="170"/>
    </row>
    <row r="2417" spans="1:7" x14ac:dyDescent="0.25">
      <c r="A2417" s="169" t="str">
        <f>E2417&amp;COUNTIFS($E$2:E2417,E2417)</f>
        <v>0</v>
      </c>
      <c r="B2417" s="166"/>
      <c r="C2417" s="168"/>
      <c r="D2417" s="167"/>
      <c r="E2417" s="166"/>
      <c r="F2417" s="165"/>
      <c r="G2417" s="164"/>
    </row>
    <row r="2418" spans="1:7" x14ac:dyDescent="0.25">
      <c r="A2418" s="169" t="str">
        <f>E2418&amp;COUNTIFS($E$2:E2418,E2418)</f>
        <v>0</v>
      </c>
      <c r="B2418" s="166"/>
      <c r="C2418" s="168"/>
      <c r="D2418" s="167"/>
      <c r="E2418" s="166"/>
      <c r="F2418" s="165"/>
      <c r="G2418" s="164"/>
    </row>
    <row r="2419" spans="1:7" x14ac:dyDescent="0.25">
      <c r="A2419" s="169" t="str">
        <f>E2419&amp;COUNTIFS($E$2:E2419,E2419)</f>
        <v>0</v>
      </c>
      <c r="B2419" s="166"/>
      <c r="C2419" s="168"/>
      <c r="D2419" s="167"/>
      <c r="E2419" s="166"/>
      <c r="F2419" s="165"/>
      <c r="G2419" s="164"/>
    </row>
    <row r="2420" spans="1:7" x14ac:dyDescent="0.25">
      <c r="A2420" s="169" t="str">
        <f>E2420&amp;COUNTIFS($E$2:E2420,E2420)</f>
        <v>0</v>
      </c>
      <c r="B2420" s="166"/>
      <c r="C2420" s="168"/>
      <c r="D2420" s="167"/>
      <c r="E2420" s="166"/>
      <c r="F2420" s="165"/>
      <c r="G2420" s="164"/>
    </row>
    <row r="2421" spans="1:7" x14ac:dyDescent="0.25">
      <c r="A2421" s="169" t="str">
        <f>E2421&amp;COUNTIFS($E$2:E2421,E2421)</f>
        <v>0</v>
      </c>
      <c r="B2421" s="166"/>
      <c r="C2421" s="168"/>
      <c r="D2421" s="167"/>
      <c r="E2421" s="166"/>
      <c r="F2421" s="165"/>
      <c r="G2421" s="164"/>
    </row>
    <row r="2422" spans="1:7" x14ac:dyDescent="0.25">
      <c r="A2422" s="169" t="str">
        <f>E2422&amp;COUNTIFS($E$2:E2422,E2422)</f>
        <v>0</v>
      </c>
      <c r="B2422" s="166"/>
      <c r="C2422" s="168"/>
      <c r="D2422" s="167"/>
      <c r="E2422" s="166"/>
      <c r="F2422" s="165"/>
      <c r="G2422" s="164"/>
    </row>
    <row r="2423" spans="1:7" x14ac:dyDescent="0.25">
      <c r="A2423" s="169" t="str">
        <f>E2423&amp;COUNTIFS($E$2:E2423,E2423)</f>
        <v>0</v>
      </c>
      <c r="B2423" s="166"/>
      <c r="C2423" s="168"/>
      <c r="D2423" s="167"/>
      <c r="E2423" s="166"/>
      <c r="F2423" s="165"/>
      <c r="G2423" s="164"/>
    </row>
    <row r="2424" spans="1:7" x14ac:dyDescent="0.25">
      <c r="A2424" s="169" t="str">
        <f>E2424&amp;COUNTIFS($E$2:E2424,E2424)</f>
        <v>0</v>
      </c>
      <c r="B2424" s="166"/>
      <c r="C2424" s="168"/>
      <c r="D2424" s="167"/>
      <c r="E2424" s="166"/>
      <c r="F2424" s="165"/>
      <c r="G2424" s="164"/>
    </row>
    <row r="2425" spans="1:7" x14ac:dyDescent="0.25">
      <c r="A2425" s="169" t="str">
        <f>E2425&amp;COUNTIFS($E$2:E2425,E2425)</f>
        <v>0</v>
      </c>
      <c r="B2425" s="166"/>
      <c r="C2425" s="168"/>
      <c r="D2425" s="167"/>
      <c r="E2425" s="166"/>
      <c r="F2425" s="165"/>
      <c r="G2425" s="164"/>
    </row>
    <row r="2426" spans="1:7" x14ac:dyDescent="0.25">
      <c r="A2426" s="169" t="str">
        <f>E2426&amp;COUNTIFS($E$2:E2426,E2426)</f>
        <v>0</v>
      </c>
      <c r="B2426" s="166"/>
      <c r="C2426" s="168"/>
      <c r="D2426" s="167"/>
      <c r="E2426" s="166"/>
      <c r="F2426" s="165"/>
      <c r="G2426" s="164"/>
    </row>
    <row r="2427" spans="1:7" x14ac:dyDescent="0.25">
      <c r="A2427" s="169" t="str">
        <f>E2427&amp;COUNTIFS($E$2:E2427,E2427)</f>
        <v>0</v>
      </c>
      <c r="B2427" s="166"/>
      <c r="C2427" s="168"/>
      <c r="D2427" s="167"/>
      <c r="E2427" s="166"/>
      <c r="F2427" s="165"/>
      <c r="G2427" s="164"/>
    </row>
    <row r="2428" spans="1:7" x14ac:dyDescent="0.25">
      <c r="A2428" s="169" t="str">
        <f>E2428&amp;COUNTIFS($E$2:E2428,E2428)</f>
        <v>0</v>
      </c>
      <c r="B2428" s="166"/>
      <c r="C2428" s="168"/>
      <c r="D2428" s="167"/>
      <c r="E2428" s="166"/>
      <c r="F2428" s="165"/>
      <c r="G2428" s="164"/>
    </row>
    <row r="2429" spans="1:7" x14ac:dyDescent="0.25">
      <c r="A2429" s="169" t="str">
        <f>E2429&amp;COUNTIFS($E$2:E2429,E2429)</f>
        <v>0</v>
      </c>
      <c r="B2429" s="166"/>
      <c r="C2429" s="168"/>
      <c r="D2429" s="167"/>
      <c r="E2429" s="166"/>
      <c r="F2429" s="165"/>
      <c r="G2429" s="164"/>
    </row>
    <row r="2430" spans="1:7" x14ac:dyDescent="0.25">
      <c r="A2430" s="169" t="str">
        <f>E2430&amp;COUNTIFS($E$2:E2430,E2430)</f>
        <v>0</v>
      </c>
      <c r="B2430" s="166"/>
      <c r="C2430" s="168"/>
      <c r="D2430" s="167"/>
      <c r="E2430" s="166"/>
      <c r="F2430" s="165"/>
      <c r="G2430" s="164"/>
    </row>
    <row r="2431" spans="1:7" x14ac:dyDescent="0.25">
      <c r="A2431" s="169" t="str">
        <f>E2431&amp;COUNTIFS($E$2:E2431,E2431)</f>
        <v>0</v>
      </c>
      <c r="B2431" s="166"/>
      <c r="C2431" s="168"/>
      <c r="D2431" s="167"/>
      <c r="E2431" s="166"/>
      <c r="F2431" s="165"/>
      <c r="G2431" s="164"/>
    </row>
    <row r="2432" spans="1:7" x14ac:dyDescent="0.25">
      <c r="A2432" s="169" t="str">
        <f>E2432&amp;COUNTIFS($E$2:E2432,E2432)</f>
        <v>0</v>
      </c>
      <c r="B2432" s="166"/>
      <c r="C2432" s="168"/>
      <c r="D2432" s="167"/>
      <c r="E2432" s="166"/>
      <c r="F2432" s="165"/>
      <c r="G2432" s="164"/>
    </row>
    <row r="2433" spans="1:7" x14ac:dyDescent="0.25">
      <c r="A2433" s="169" t="str">
        <f>E2433&amp;COUNTIFS($E$2:E2433,E2433)</f>
        <v>0</v>
      </c>
      <c r="B2433" s="166"/>
      <c r="C2433" s="168"/>
      <c r="D2433" s="167"/>
      <c r="E2433" s="166"/>
      <c r="F2433" s="165"/>
      <c r="G2433" s="164"/>
    </row>
    <row r="2434" spans="1:7" x14ac:dyDescent="0.25">
      <c r="A2434" s="169" t="str">
        <f>E2434&amp;COUNTIFS($E$2:E2434,E2434)</f>
        <v>0</v>
      </c>
      <c r="B2434" s="166"/>
      <c r="C2434" s="168"/>
      <c r="D2434" s="167"/>
      <c r="E2434" s="166"/>
      <c r="F2434" s="165"/>
      <c r="G2434" s="164"/>
    </row>
    <row r="2435" spans="1:7" x14ac:dyDescent="0.25">
      <c r="A2435" s="169" t="str">
        <f>E2435&amp;COUNTIFS($E$2:E2435,E2435)</f>
        <v>0</v>
      </c>
      <c r="B2435" s="166"/>
      <c r="C2435" s="168"/>
      <c r="D2435" s="167"/>
      <c r="E2435" s="166"/>
      <c r="F2435" s="165"/>
      <c r="G2435" s="164"/>
    </row>
    <row r="2436" spans="1:7" x14ac:dyDescent="0.25">
      <c r="A2436" s="169" t="str">
        <f>E2436&amp;COUNTIFS($E$2:E2436,E2436)</f>
        <v>0</v>
      </c>
      <c r="B2436" s="166"/>
      <c r="C2436" s="168"/>
      <c r="D2436" s="167"/>
      <c r="E2436" s="166"/>
      <c r="F2436" s="165"/>
      <c r="G2436" s="164"/>
    </row>
    <row r="2437" spans="1:7" x14ac:dyDescent="0.25">
      <c r="A2437" s="169" t="str">
        <f>E2437&amp;COUNTIFS($E$2:E2437,E2437)</f>
        <v>0</v>
      </c>
      <c r="B2437" s="166"/>
      <c r="C2437" s="168"/>
      <c r="D2437" s="167"/>
      <c r="E2437" s="166"/>
      <c r="F2437" s="165"/>
      <c r="G2437" s="164"/>
    </row>
    <row r="2438" spans="1:7" x14ac:dyDescent="0.25">
      <c r="A2438" s="169" t="str">
        <f>E2438&amp;COUNTIFS($E$2:E2438,E2438)</f>
        <v>0</v>
      </c>
      <c r="B2438" s="166"/>
      <c r="C2438" s="168"/>
      <c r="D2438" s="167"/>
      <c r="E2438" s="166"/>
      <c r="F2438" s="165"/>
      <c r="G2438" s="164"/>
    </row>
    <row r="2439" spans="1:7" x14ac:dyDescent="0.25">
      <c r="A2439" s="169" t="str">
        <f>E2439&amp;COUNTIFS($E$2:E2439,E2439)</f>
        <v>0</v>
      </c>
      <c r="B2439" s="166"/>
      <c r="C2439" s="168"/>
      <c r="D2439" s="167"/>
      <c r="E2439" s="166"/>
      <c r="F2439" s="165"/>
      <c r="G2439" s="164"/>
    </row>
    <row r="2440" spans="1:7" ht="15.75" thickBot="1" x14ac:dyDescent="0.3">
      <c r="A2440" s="163" t="str">
        <f>E2440&amp;COUNTIFS($E$2:E2440,E2440)</f>
        <v>0</v>
      </c>
      <c r="B2440" s="166"/>
      <c r="C2440" s="162"/>
      <c r="D2440" s="161"/>
      <c r="E2440" s="160"/>
      <c r="F2440" s="159"/>
      <c r="G2440" s="158"/>
    </row>
    <row r="2441" spans="1:7" x14ac:dyDescent="0.25">
      <c r="A2441" s="148"/>
      <c r="C2441" s="143"/>
      <c r="D2441" s="157"/>
      <c r="E2441" s="143"/>
      <c r="F2441" s="156"/>
      <c r="G2441" s="156"/>
    </row>
    <row r="2442" spans="1:7" x14ac:dyDescent="0.25">
      <c r="A2442" s="148"/>
      <c r="C2442" s="153" t="s">
        <v>623</v>
      </c>
      <c r="D2442" s="152"/>
      <c r="E2442" s="151"/>
      <c r="F2442" s="150">
        <f>SUM(F2416:F2440)</f>
        <v>0</v>
      </c>
      <c r="G2442" s="155">
        <f>SUM(G2416:G2440)</f>
        <v>0</v>
      </c>
    </row>
    <row r="2443" spans="1:7" x14ac:dyDescent="0.25">
      <c r="A2443" s="148"/>
      <c r="C2443" s="145" t="s">
        <v>622</v>
      </c>
      <c r="D2443" s="154"/>
      <c r="E2443" s="145"/>
      <c r="F2443" s="144"/>
      <c r="G2443" s="144"/>
    </row>
    <row r="2444" spans="1:7" x14ac:dyDescent="0.25">
      <c r="A2444" s="148"/>
      <c r="C2444" s="153" t="s">
        <v>621</v>
      </c>
      <c r="D2444" s="152"/>
      <c r="E2444" s="151"/>
      <c r="F2444" s="150">
        <f>F2411</f>
        <v>0</v>
      </c>
      <c r="G2444" s="150">
        <f>G2411</f>
        <v>0</v>
      </c>
    </row>
    <row r="2445" spans="1:7" x14ac:dyDescent="0.25">
      <c r="A2445" s="148"/>
      <c r="C2445" s="153" t="s">
        <v>582</v>
      </c>
      <c r="D2445" s="152"/>
      <c r="E2445" s="151"/>
      <c r="F2445" s="150">
        <f>F2444+F2442</f>
        <v>0</v>
      </c>
      <c r="G2445" s="150">
        <f>G2444+G2442</f>
        <v>0</v>
      </c>
    </row>
    <row r="2446" spans="1:7" ht="15.75" thickBot="1" x14ac:dyDescent="0.3">
      <c r="A2446" s="148"/>
      <c r="C2446" s="145"/>
      <c r="D2446" s="149"/>
      <c r="E2446" s="145"/>
      <c r="F2446" s="144"/>
      <c r="G2446" s="144"/>
    </row>
    <row r="2447" spans="1:7" ht="15.75" thickBot="1" x14ac:dyDescent="0.3">
      <c r="A2447" s="148"/>
      <c r="C2447" s="147" t="s">
        <v>620</v>
      </c>
      <c r="D2447" s="146">
        <f>F2445-G2445</f>
        <v>0</v>
      </c>
      <c r="E2447" s="145"/>
      <c r="F2447" s="144"/>
      <c r="G2447" s="144"/>
    </row>
    <row r="2448" spans="1:7" ht="15.75" thickBot="1" x14ac:dyDescent="0.3"/>
    <row r="2449" spans="1:7" ht="30.75" thickBot="1" x14ac:dyDescent="0.3">
      <c r="A2449" s="254" t="s">
        <v>626</v>
      </c>
      <c r="B2449" s="253" t="s">
        <v>606</v>
      </c>
      <c r="C2449" s="252" t="s">
        <v>633</v>
      </c>
      <c r="D2449" s="251" t="s">
        <v>601</v>
      </c>
      <c r="E2449" s="250" t="s">
        <v>287</v>
      </c>
      <c r="F2449" s="249" t="s">
        <v>624</v>
      </c>
      <c r="G2449" s="249" t="s">
        <v>596</v>
      </c>
    </row>
    <row r="2450" spans="1:7" x14ac:dyDescent="0.25">
      <c r="A2450" s="169" t="str">
        <f>E2450&amp;COUNTIFS($E$2:E2450,E2450)</f>
        <v>0</v>
      </c>
      <c r="B2450" s="172"/>
      <c r="C2450" s="174"/>
      <c r="D2450" s="173"/>
      <c r="E2450" s="172"/>
      <c r="F2450" s="171"/>
      <c r="G2450" s="170"/>
    </row>
    <row r="2451" spans="1:7" x14ac:dyDescent="0.25">
      <c r="A2451" s="169" t="str">
        <f>E2451&amp;COUNTIFS($E$2:E2451,E2451)</f>
        <v>0</v>
      </c>
      <c r="B2451" s="166"/>
      <c r="C2451" s="168"/>
      <c r="D2451" s="167"/>
      <c r="E2451" s="166"/>
      <c r="F2451" s="165"/>
      <c r="G2451" s="164"/>
    </row>
    <row r="2452" spans="1:7" x14ac:dyDescent="0.25">
      <c r="A2452" s="169" t="str">
        <f>E2452&amp;COUNTIFS($E$2:E2452,E2452)</f>
        <v>0</v>
      </c>
      <c r="B2452" s="166"/>
      <c r="C2452" s="168"/>
      <c r="D2452" s="167"/>
      <c r="E2452" s="166"/>
      <c r="F2452" s="165"/>
      <c r="G2452" s="164"/>
    </row>
    <row r="2453" spans="1:7" x14ac:dyDescent="0.25">
      <c r="A2453" s="169" t="str">
        <f>E2453&amp;COUNTIFS($E$2:E2453,E2453)</f>
        <v>0</v>
      </c>
      <c r="B2453" s="166"/>
      <c r="C2453" s="168"/>
      <c r="D2453" s="167"/>
      <c r="E2453" s="166"/>
      <c r="F2453" s="165"/>
      <c r="G2453" s="164"/>
    </row>
    <row r="2454" spans="1:7" x14ac:dyDescent="0.25">
      <c r="A2454" s="169" t="str">
        <f>E2454&amp;COUNTIFS($E$2:E2454,E2454)</f>
        <v>0</v>
      </c>
      <c r="B2454" s="166"/>
      <c r="C2454" s="168"/>
      <c r="D2454" s="167"/>
      <c r="E2454" s="166"/>
      <c r="F2454" s="165"/>
      <c r="G2454" s="164"/>
    </row>
    <row r="2455" spans="1:7" x14ac:dyDescent="0.25">
      <c r="A2455" s="169" t="str">
        <f>E2455&amp;COUNTIFS($E$2:E2455,E2455)</f>
        <v>0</v>
      </c>
      <c r="B2455" s="166"/>
      <c r="C2455" s="168"/>
      <c r="D2455" s="167"/>
      <c r="E2455" s="166"/>
      <c r="F2455" s="165"/>
      <c r="G2455" s="164"/>
    </row>
    <row r="2456" spans="1:7" x14ac:dyDescent="0.25">
      <c r="A2456" s="169" t="str">
        <f>E2456&amp;COUNTIFS($E$2:E2456,E2456)</f>
        <v>0</v>
      </c>
      <c r="B2456" s="166"/>
      <c r="C2456" s="168"/>
      <c r="D2456" s="167"/>
      <c r="E2456" s="166"/>
      <c r="F2456" s="165"/>
      <c r="G2456" s="164"/>
    </row>
    <row r="2457" spans="1:7" x14ac:dyDescent="0.25">
      <c r="A2457" s="169" t="str">
        <f>E2457&amp;COUNTIFS($E$2:E2457,E2457)</f>
        <v>0</v>
      </c>
      <c r="B2457" s="166"/>
      <c r="C2457" s="168"/>
      <c r="D2457" s="167"/>
      <c r="E2457" s="166"/>
      <c r="F2457" s="165"/>
      <c r="G2457" s="164"/>
    </row>
    <row r="2458" spans="1:7" x14ac:dyDescent="0.25">
      <c r="A2458" s="169" t="str">
        <f>E2458&amp;COUNTIFS($E$2:E2458,E2458)</f>
        <v>0</v>
      </c>
      <c r="B2458" s="166"/>
      <c r="C2458" s="168"/>
      <c r="D2458" s="167"/>
      <c r="E2458" s="166"/>
      <c r="F2458" s="165"/>
      <c r="G2458" s="164"/>
    </row>
    <row r="2459" spans="1:7" x14ac:dyDescent="0.25">
      <c r="A2459" s="169" t="str">
        <f>E2459&amp;COUNTIFS($E$2:E2459,E2459)</f>
        <v>0</v>
      </c>
      <c r="B2459" s="166"/>
      <c r="C2459" s="168"/>
      <c r="D2459" s="167"/>
      <c r="E2459" s="166"/>
      <c r="F2459" s="165"/>
      <c r="G2459" s="164"/>
    </row>
    <row r="2460" spans="1:7" x14ac:dyDescent="0.25">
      <c r="A2460" s="169" t="str">
        <f>E2460&amp;COUNTIFS($E$2:E2460,E2460)</f>
        <v>0</v>
      </c>
      <c r="B2460" s="166"/>
      <c r="C2460" s="168"/>
      <c r="D2460" s="167"/>
      <c r="E2460" s="166"/>
      <c r="F2460" s="165"/>
      <c r="G2460" s="164"/>
    </row>
    <row r="2461" spans="1:7" x14ac:dyDescent="0.25">
      <c r="A2461" s="169" t="str">
        <f>E2461&amp;COUNTIFS($E$2:E2461,E2461)</f>
        <v>0</v>
      </c>
      <c r="B2461" s="166"/>
      <c r="C2461" s="168"/>
      <c r="D2461" s="167"/>
      <c r="E2461" s="166"/>
      <c r="F2461" s="165"/>
      <c r="G2461" s="164"/>
    </row>
    <row r="2462" spans="1:7" x14ac:dyDescent="0.25">
      <c r="A2462" s="169" t="str">
        <f>E2462&amp;COUNTIFS($E$2:E2462,E2462)</f>
        <v>0</v>
      </c>
      <c r="B2462" s="166"/>
      <c r="C2462" s="168"/>
      <c r="D2462" s="167"/>
      <c r="E2462" s="166"/>
      <c r="F2462" s="165"/>
      <c r="G2462" s="164"/>
    </row>
    <row r="2463" spans="1:7" x14ac:dyDescent="0.25">
      <c r="A2463" s="169" t="str">
        <f>E2463&amp;COUNTIFS($E$2:E2463,E2463)</f>
        <v>0</v>
      </c>
      <c r="B2463" s="166"/>
      <c r="C2463" s="168"/>
      <c r="D2463" s="167"/>
      <c r="E2463" s="166"/>
      <c r="F2463" s="165"/>
      <c r="G2463" s="164"/>
    </row>
    <row r="2464" spans="1:7" x14ac:dyDescent="0.25">
      <c r="A2464" s="169" t="str">
        <f>E2464&amp;COUNTIFS($E$2:E2464,E2464)</f>
        <v>0</v>
      </c>
      <c r="B2464" s="166"/>
      <c r="C2464" s="168"/>
      <c r="D2464" s="167"/>
      <c r="E2464" s="166"/>
      <c r="F2464" s="165"/>
      <c r="G2464" s="164"/>
    </row>
    <row r="2465" spans="1:7" x14ac:dyDescent="0.25">
      <c r="A2465" s="169" t="str">
        <f>E2465&amp;COUNTIFS($E$2:E2465,E2465)</f>
        <v>0</v>
      </c>
      <c r="B2465" s="166"/>
      <c r="C2465" s="168"/>
      <c r="D2465" s="167"/>
      <c r="E2465" s="166"/>
      <c r="F2465" s="165"/>
      <c r="G2465" s="164"/>
    </row>
    <row r="2466" spans="1:7" x14ac:dyDescent="0.25">
      <c r="A2466" s="169" t="str">
        <f>E2466&amp;COUNTIFS($E$2:E2466,E2466)</f>
        <v>0</v>
      </c>
      <c r="B2466" s="166"/>
      <c r="C2466" s="168"/>
      <c r="D2466" s="167"/>
      <c r="E2466" s="166"/>
      <c r="F2466" s="165"/>
      <c r="G2466" s="164"/>
    </row>
    <row r="2467" spans="1:7" x14ac:dyDescent="0.25">
      <c r="A2467" s="169" t="str">
        <f>E2467&amp;COUNTIFS($E$2:E2467,E2467)</f>
        <v>0</v>
      </c>
      <c r="B2467" s="166"/>
      <c r="C2467" s="168"/>
      <c r="D2467" s="167"/>
      <c r="E2467" s="166"/>
      <c r="F2467" s="165"/>
      <c r="G2467" s="164"/>
    </row>
    <row r="2468" spans="1:7" x14ac:dyDescent="0.25">
      <c r="A2468" s="169" t="str">
        <f>E2468&amp;COUNTIFS($E$2:E2468,E2468)</f>
        <v>0</v>
      </c>
      <c r="B2468" s="166"/>
      <c r="C2468" s="168"/>
      <c r="D2468" s="167"/>
      <c r="E2468" s="166"/>
      <c r="F2468" s="165"/>
      <c r="G2468" s="164"/>
    </row>
    <row r="2469" spans="1:7" x14ac:dyDescent="0.25">
      <c r="A2469" s="169" t="str">
        <f>E2469&amp;COUNTIFS($E$2:E2469,E2469)</f>
        <v>0</v>
      </c>
      <c r="B2469" s="166"/>
      <c r="C2469" s="168"/>
      <c r="D2469" s="167"/>
      <c r="E2469" s="166"/>
      <c r="F2469" s="165"/>
      <c r="G2469" s="164"/>
    </row>
    <row r="2470" spans="1:7" x14ac:dyDescent="0.25">
      <c r="A2470" s="169" t="str">
        <f>E2470&amp;COUNTIFS($E$2:E2470,E2470)</f>
        <v>0</v>
      </c>
      <c r="B2470" s="166"/>
      <c r="C2470" s="168"/>
      <c r="D2470" s="167"/>
      <c r="E2470" s="166"/>
      <c r="F2470" s="165"/>
      <c r="G2470" s="164"/>
    </row>
    <row r="2471" spans="1:7" x14ac:dyDescent="0.25">
      <c r="A2471" s="169" t="str">
        <f>E2471&amp;COUNTIFS($E$2:E2471,E2471)</f>
        <v>0</v>
      </c>
      <c r="B2471" s="166"/>
      <c r="C2471" s="168"/>
      <c r="D2471" s="167"/>
      <c r="E2471" s="166"/>
      <c r="F2471" s="165"/>
      <c r="G2471" s="164"/>
    </row>
    <row r="2472" spans="1:7" x14ac:dyDescent="0.25">
      <c r="A2472" s="169" t="str">
        <f>E2472&amp;COUNTIFS($E$2:E2472,E2472)</f>
        <v>0</v>
      </c>
      <c r="B2472" s="166"/>
      <c r="C2472" s="168"/>
      <c r="D2472" s="167"/>
      <c r="E2472" s="166"/>
      <c r="F2472" s="165"/>
      <c r="G2472" s="164"/>
    </row>
    <row r="2473" spans="1:7" x14ac:dyDescent="0.25">
      <c r="A2473" s="169" t="str">
        <f>E2473&amp;COUNTIFS($E$2:E2473,E2473)</f>
        <v>0</v>
      </c>
      <c r="B2473" s="166"/>
      <c r="C2473" s="168"/>
      <c r="D2473" s="167"/>
      <c r="E2473" s="166"/>
      <c r="F2473" s="165"/>
      <c r="G2473" s="164"/>
    </row>
    <row r="2474" spans="1:7" ht="15.75" thickBot="1" x14ac:dyDescent="0.3">
      <c r="A2474" s="163" t="str">
        <f>E2474&amp;COUNTIFS($E$2:E2474,E2474)</f>
        <v>0</v>
      </c>
      <c r="B2474" s="166"/>
      <c r="C2474" s="162"/>
      <c r="D2474" s="161"/>
      <c r="E2474" s="160"/>
      <c r="F2474" s="159"/>
      <c r="G2474" s="158"/>
    </row>
    <row r="2475" spans="1:7" x14ac:dyDescent="0.25">
      <c r="A2475" s="148"/>
      <c r="C2475" s="143"/>
      <c r="D2475" s="157"/>
      <c r="E2475" s="143"/>
      <c r="F2475" s="156"/>
      <c r="G2475" s="156"/>
    </row>
    <row r="2476" spans="1:7" x14ac:dyDescent="0.25">
      <c r="A2476" s="148"/>
      <c r="C2476" s="153" t="s">
        <v>623</v>
      </c>
      <c r="D2476" s="152"/>
      <c r="E2476" s="151"/>
      <c r="F2476" s="150">
        <f>SUM(F2450:F2474)</f>
        <v>0</v>
      </c>
      <c r="G2476" s="155">
        <f>SUM(G2450:G2474)</f>
        <v>0</v>
      </c>
    </row>
    <row r="2477" spans="1:7" x14ac:dyDescent="0.25">
      <c r="A2477" s="148"/>
      <c r="C2477" s="145" t="s">
        <v>622</v>
      </c>
      <c r="D2477" s="154"/>
      <c r="E2477" s="145"/>
      <c r="F2477" s="144"/>
      <c r="G2477" s="144"/>
    </row>
    <row r="2478" spans="1:7" x14ac:dyDescent="0.25">
      <c r="A2478" s="148"/>
      <c r="C2478" s="153" t="s">
        <v>621</v>
      </c>
      <c r="D2478" s="152"/>
      <c r="E2478" s="151"/>
      <c r="F2478" s="150">
        <f>F2445</f>
        <v>0</v>
      </c>
      <c r="G2478" s="150">
        <f>G2445</f>
        <v>0</v>
      </c>
    </row>
    <row r="2479" spans="1:7" x14ac:dyDescent="0.25">
      <c r="A2479" s="148"/>
      <c r="C2479" s="153" t="s">
        <v>582</v>
      </c>
      <c r="D2479" s="152"/>
      <c r="E2479" s="151"/>
      <c r="F2479" s="150">
        <f>F2478+F2476</f>
        <v>0</v>
      </c>
      <c r="G2479" s="150">
        <f>G2478+G2476</f>
        <v>0</v>
      </c>
    </row>
    <row r="2480" spans="1:7" ht="15.75" thickBot="1" x14ac:dyDescent="0.3">
      <c r="A2480" s="148"/>
      <c r="C2480" s="145"/>
      <c r="D2480" s="149"/>
      <c r="E2480" s="145"/>
      <c r="F2480" s="144"/>
      <c r="G2480" s="144"/>
    </row>
    <row r="2481" spans="1:7" ht="15.75" thickBot="1" x14ac:dyDescent="0.3">
      <c r="A2481" s="148"/>
      <c r="C2481" s="147" t="s">
        <v>620</v>
      </c>
      <c r="D2481" s="146">
        <f>F2479-G2479</f>
        <v>0</v>
      </c>
      <c r="E2481" s="145"/>
      <c r="F2481" s="144"/>
      <c r="G2481" s="144"/>
    </row>
    <row r="2482" spans="1:7" ht="15.75" thickBot="1" x14ac:dyDescent="0.3"/>
    <row r="2483" spans="1:7" ht="30.75" thickBot="1" x14ac:dyDescent="0.3">
      <c r="A2483" s="254" t="s">
        <v>626</v>
      </c>
      <c r="B2483" s="253" t="s">
        <v>606</v>
      </c>
      <c r="C2483" s="252" t="s">
        <v>633</v>
      </c>
      <c r="D2483" s="251" t="s">
        <v>601</v>
      </c>
      <c r="E2483" s="250" t="s">
        <v>287</v>
      </c>
      <c r="F2483" s="249" t="s">
        <v>624</v>
      </c>
      <c r="G2483" s="249" t="s">
        <v>596</v>
      </c>
    </row>
    <row r="2484" spans="1:7" x14ac:dyDescent="0.25">
      <c r="A2484" s="169" t="str">
        <f>E2484&amp;COUNTIFS($E$2:E2484,E2484)</f>
        <v>0</v>
      </c>
      <c r="B2484" s="172"/>
      <c r="C2484" s="174"/>
      <c r="D2484" s="173"/>
      <c r="E2484" s="172"/>
      <c r="F2484" s="171"/>
      <c r="G2484" s="170"/>
    </row>
    <row r="2485" spans="1:7" x14ac:dyDescent="0.25">
      <c r="A2485" s="169" t="str">
        <f>E2485&amp;COUNTIFS($E$2:E2485,E2485)</f>
        <v>0</v>
      </c>
      <c r="B2485" s="166"/>
      <c r="C2485" s="168"/>
      <c r="D2485" s="167"/>
      <c r="E2485" s="166"/>
      <c r="F2485" s="165"/>
      <c r="G2485" s="164"/>
    </row>
    <row r="2486" spans="1:7" x14ac:dyDescent="0.25">
      <c r="A2486" s="169" t="str">
        <f>E2486&amp;COUNTIFS($E$2:E2486,E2486)</f>
        <v>0</v>
      </c>
      <c r="B2486" s="166"/>
      <c r="C2486" s="168"/>
      <c r="D2486" s="167"/>
      <c r="E2486" s="166"/>
      <c r="F2486" s="165"/>
      <c r="G2486" s="164"/>
    </row>
    <row r="2487" spans="1:7" x14ac:dyDescent="0.25">
      <c r="A2487" s="169" t="str">
        <f>E2487&amp;COUNTIFS($E$2:E2487,E2487)</f>
        <v>0</v>
      </c>
      <c r="B2487" s="166"/>
      <c r="C2487" s="168"/>
      <c r="D2487" s="167"/>
      <c r="E2487" s="166"/>
      <c r="F2487" s="165"/>
      <c r="G2487" s="164"/>
    </row>
    <row r="2488" spans="1:7" x14ac:dyDescent="0.25">
      <c r="A2488" s="169" t="str">
        <f>E2488&amp;COUNTIFS($E$2:E2488,E2488)</f>
        <v>0</v>
      </c>
      <c r="B2488" s="166"/>
      <c r="C2488" s="168"/>
      <c r="D2488" s="167"/>
      <c r="E2488" s="166"/>
      <c r="F2488" s="165"/>
      <c r="G2488" s="164"/>
    </row>
    <row r="2489" spans="1:7" x14ac:dyDescent="0.25">
      <c r="A2489" s="169" t="str">
        <f>E2489&amp;COUNTIFS($E$2:E2489,E2489)</f>
        <v>0</v>
      </c>
      <c r="B2489" s="166"/>
      <c r="C2489" s="168"/>
      <c r="D2489" s="167"/>
      <c r="E2489" s="166"/>
      <c r="F2489" s="165"/>
      <c r="G2489" s="164"/>
    </row>
    <row r="2490" spans="1:7" x14ac:dyDescent="0.25">
      <c r="A2490" s="169" t="str">
        <f>E2490&amp;COUNTIFS($E$2:E2490,E2490)</f>
        <v>0</v>
      </c>
      <c r="B2490" s="166"/>
      <c r="C2490" s="168"/>
      <c r="D2490" s="167"/>
      <c r="E2490" s="166"/>
      <c r="F2490" s="165"/>
      <c r="G2490" s="164"/>
    </row>
    <row r="2491" spans="1:7" x14ac:dyDescent="0.25">
      <c r="A2491" s="169" t="str">
        <f>E2491&amp;COUNTIFS($E$2:E2491,E2491)</f>
        <v>0</v>
      </c>
      <c r="B2491" s="166"/>
      <c r="C2491" s="168"/>
      <c r="D2491" s="167"/>
      <c r="E2491" s="166"/>
      <c r="F2491" s="165"/>
      <c r="G2491" s="164"/>
    </row>
    <row r="2492" spans="1:7" x14ac:dyDescent="0.25">
      <c r="A2492" s="169" t="str">
        <f>E2492&amp;COUNTIFS($E$2:E2492,E2492)</f>
        <v>0</v>
      </c>
      <c r="B2492" s="166"/>
      <c r="C2492" s="168"/>
      <c r="D2492" s="167"/>
      <c r="E2492" s="166"/>
      <c r="F2492" s="165"/>
      <c r="G2492" s="164"/>
    </row>
    <row r="2493" spans="1:7" x14ac:dyDescent="0.25">
      <c r="A2493" s="169" t="str">
        <f>E2493&amp;COUNTIFS($E$2:E2493,E2493)</f>
        <v>0</v>
      </c>
      <c r="B2493" s="166"/>
      <c r="C2493" s="168"/>
      <c r="D2493" s="167"/>
      <c r="E2493" s="166"/>
      <c r="F2493" s="165"/>
      <c r="G2493" s="164"/>
    </row>
    <row r="2494" spans="1:7" x14ac:dyDescent="0.25">
      <c r="A2494" s="169" t="str">
        <f>E2494&amp;COUNTIFS($E$2:E2494,E2494)</f>
        <v>0</v>
      </c>
      <c r="B2494" s="166"/>
      <c r="C2494" s="168"/>
      <c r="D2494" s="167"/>
      <c r="E2494" s="166"/>
      <c r="F2494" s="165"/>
      <c r="G2494" s="164"/>
    </row>
    <row r="2495" spans="1:7" x14ac:dyDescent="0.25">
      <c r="A2495" s="169" t="str">
        <f>E2495&amp;COUNTIFS($E$2:E2495,E2495)</f>
        <v>0</v>
      </c>
      <c r="B2495" s="166"/>
      <c r="C2495" s="168"/>
      <c r="D2495" s="167"/>
      <c r="E2495" s="166"/>
      <c r="F2495" s="165"/>
      <c r="G2495" s="164"/>
    </row>
    <row r="2496" spans="1:7" x14ac:dyDescent="0.25">
      <c r="A2496" s="169" t="str">
        <f>E2496&amp;COUNTIFS($E$2:E2496,E2496)</f>
        <v>0</v>
      </c>
      <c r="B2496" s="166"/>
      <c r="C2496" s="168"/>
      <c r="D2496" s="167"/>
      <c r="E2496" s="166"/>
      <c r="F2496" s="165"/>
      <c r="G2496" s="164"/>
    </row>
    <row r="2497" spans="1:7" x14ac:dyDescent="0.25">
      <c r="A2497" s="169" t="str">
        <f>E2497&amp;COUNTIFS($E$2:E2497,E2497)</f>
        <v>0</v>
      </c>
      <c r="B2497" s="166"/>
      <c r="C2497" s="168"/>
      <c r="D2497" s="167"/>
      <c r="E2497" s="166"/>
      <c r="F2497" s="165"/>
      <c r="G2497" s="164"/>
    </row>
    <row r="2498" spans="1:7" x14ac:dyDescent="0.25">
      <c r="A2498" s="169" t="str">
        <f>E2498&amp;COUNTIFS($E$2:E2498,E2498)</f>
        <v>0</v>
      </c>
      <c r="B2498" s="166"/>
      <c r="C2498" s="168"/>
      <c r="D2498" s="167"/>
      <c r="E2498" s="166"/>
      <c r="F2498" s="165"/>
      <c r="G2498" s="164"/>
    </row>
    <row r="2499" spans="1:7" x14ac:dyDescent="0.25">
      <c r="A2499" s="169" t="str">
        <f>E2499&amp;COUNTIFS($E$2:E2499,E2499)</f>
        <v>0</v>
      </c>
      <c r="B2499" s="166"/>
      <c r="C2499" s="168"/>
      <c r="D2499" s="167"/>
      <c r="E2499" s="166"/>
      <c r="F2499" s="165"/>
      <c r="G2499" s="164"/>
    </row>
    <row r="2500" spans="1:7" x14ac:dyDescent="0.25">
      <c r="A2500" s="169" t="str">
        <f>E2500&amp;COUNTIFS($E$2:E2500,E2500)</f>
        <v>0</v>
      </c>
      <c r="B2500" s="166"/>
      <c r="C2500" s="168"/>
      <c r="D2500" s="167"/>
      <c r="E2500" s="166"/>
      <c r="F2500" s="165"/>
      <c r="G2500" s="164"/>
    </row>
    <row r="2501" spans="1:7" x14ac:dyDescent="0.25">
      <c r="A2501" s="169" t="str">
        <f>E2501&amp;COUNTIFS($E$2:E2501,E2501)</f>
        <v>0</v>
      </c>
      <c r="B2501" s="166"/>
      <c r="C2501" s="168"/>
      <c r="D2501" s="167"/>
      <c r="E2501" s="166"/>
      <c r="F2501" s="165"/>
      <c r="G2501" s="164"/>
    </row>
    <row r="2502" spans="1:7" x14ac:dyDescent="0.25">
      <c r="A2502" s="169" t="str">
        <f>E2502&amp;COUNTIFS($E$2:E2502,E2502)</f>
        <v>0</v>
      </c>
      <c r="B2502" s="166"/>
      <c r="C2502" s="168"/>
      <c r="D2502" s="167"/>
      <c r="E2502" s="166"/>
      <c r="F2502" s="165"/>
      <c r="G2502" s="164"/>
    </row>
    <row r="2503" spans="1:7" x14ac:dyDescent="0.25">
      <c r="A2503" s="169" t="str">
        <f>E2503&amp;COUNTIFS($E$2:E2503,E2503)</f>
        <v>0</v>
      </c>
      <c r="B2503" s="166"/>
      <c r="C2503" s="168"/>
      <c r="D2503" s="167"/>
      <c r="E2503" s="166"/>
      <c r="F2503" s="165"/>
      <c r="G2503" s="164"/>
    </row>
    <row r="2504" spans="1:7" x14ac:dyDescent="0.25">
      <c r="A2504" s="169" t="str">
        <f>E2504&amp;COUNTIFS($E$2:E2504,E2504)</f>
        <v>0</v>
      </c>
      <c r="B2504" s="166"/>
      <c r="C2504" s="168"/>
      <c r="D2504" s="167"/>
      <c r="E2504" s="166"/>
      <c r="F2504" s="165"/>
      <c r="G2504" s="164"/>
    </row>
    <row r="2505" spans="1:7" x14ac:dyDescent="0.25">
      <c r="A2505" s="169" t="str">
        <f>E2505&amp;COUNTIFS($E$2:E2505,E2505)</f>
        <v>0</v>
      </c>
      <c r="B2505" s="166"/>
      <c r="C2505" s="168"/>
      <c r="D2505" s="167"/>
      <c r="E2505" s="166"/>
      <c r="F2505" s="165"/>
      <c r="G2505" s="164"/>
    </row>
    <row r="2506" spans="1:7" x14ac:dyDescent="0.25">
      <c r="A2506" s="169" t="str">
        <f>E2506&amp;COUNTIFS($E$2:E2506,E2506)</f>
        <v>0</v>
      </c>
      <c r="B2506" s="166"/>
      <c r="C2506" s="168"/>
      <c r="D2506" s="167"/>
      <c r="E2506" s="166"/>
      <c r="F2506" s="165"/>
      <c r="G2506" s="164"/>
    </row>
    <row r="2507" spans="1:7" x14ac:dyDescent="0.25">
      <c r="A2507" s="169" t="str">
        <f>E2507&amp;COUNTIFS($E$2:E2507,E2507)</f>
        <v>0</v>
      </c>
      <c r="B2507" s="166"/>
      <c r="C2507" s="168"/>
      <c r="D2507" s="167"/>
      <c r="E2507" s="166"/>
      <c r="F2507" s="165"/>
      <c r="G2507" s="164"/>
    </row>
    <row r="2508" spans="1:7" ht="15.75" thickBot="1" x14ac:dyDescent="0.3">
      <c r="A2508" s="163" t="str">
        <f>E2508&amp;COUNTIFS($E$2:E2508,E2508)</f>
        <v>0</v>
      </c>
      <c r="B2508" s="166"/>
      <c r="C2508" s="162"/>
      <c r="D2508" s="161"/>
      <c r="E2508" s="160"/>
      <c r="F2508" s="159"/>
      <c r="G2508" s="158"/>
    </row>
    <row r="2509" spans="1:7" x14ac:dyDescent="0.25">
      <c r="A2509" s="148"/>
      <c r="C2509" s="143"/>
      <c r="D2509" s="157"/>
      <c r="E2509" s="143"/>
      <c r="F2509" s="156"/>
      <c r="G2509" s="156"/>
    </row>
    <row r="2510" spans="1:7" x14ac:dyDescent="0.25">
      <c r="A2510" s="148"/>
      <c r="C2510" s="153" t="s">
        <v>623</v>
      </c>
      <c r="D2510" s="152"/>
      <c r="E2510" s="151"/>
      <c r="F2510" s="150">
        <f>SUM(F2484:F2508)</f>
        <v>0</v>
      </c>
      <c r="G2510" s="155">
        <f>SUM(G2484:G2508)</f>
        <v>0</v>
      </c>
    </row>
    <row r="2511" spans="1:7" x14ac:dyDescent="0.25">
      <c r="A2511" s="148"/>
      <c r="C2511" s="145" t="s">
        <v>622</v>
      </c>
      <c r="D2511" s="154"/>
      <c r="E2511" s="145"/>
      <c r="F2511" s="144"/>
      <c r="G2511" s="144"/>
    </row>
    <row r="2512" spans="1:7" x14ac:dyDescent="0.25">
      <c r="A2512" s="148"/>
      <c r="C2512" s="153" t="s">
        <v>621</v>
      </c>
      <c r="D2512" s="152"/>
      <c r="E2512" s="151"/>
      <c r="F2512" s="150">
        <f>F2479</f>
        <v>0</v>
      </c>
      <c r="G2512" s="150">
        <f>G2479</f>
        <v>0</v>
      </c>
    </row>
    <row r="2513" spans="1:7" x14ac:dyDescent="0.25">
      <c r="A2513" s="148"/>
      <c r="C2513" s="153" t="s">
        <v>582</v>
      </c>
      <c r="D2513" s="152"/>
      <c r="E2513" s="151"/>
      <c r="F2513" s="150">
        <f>F2512+F2510</f>
        <v>0</v>
      </c>
      <c r="G2513" s="150">
        <f>G2512+G2510</f>
        <v>0</v>
      </c>
    </row>
    <row r="2514" spans="1:7" ht="15.75" thickBot="1" x14ac:dyDescent="0.3">
      <c r="A2514" s="148"/>
      <c r="C2514" s="145"/>
      <c r="D2514" s="149"/>
      <c r="E2514" s="145"/>
      <c r="F2514" s="144"/>
      <c r="G2514" s="144"/>
    </row>
    <row r="2515" spans="1:7" ht="15.75" thickBot="1" x14ac:dyDescent="0.3">
      <c r="A2515" s="148"/>
      <c r="C2515" s="147" t="s">
        <v>620</v>
      </c>
      <c r="D2515" s="146">
        <f>F2513-G2513</f>
        <v>0</v>
      </c>
      <c r="E2515" s="145"/>
      <c r="F2515" s="144"/>
      <c r="G2515" s="144"/>
    </row>
    <row r="2516" spans="1:7" ht="15.75" thickBot="1" x14ac:dyDescent="0.3"/>
    <row r="2517" spans="1:7" ht="30.75" thickBot="1" x14ac:dyDescent="0.3">
      <c r="A2517" s="254" t="s">
        <v>626</v>
      </c>
      <c r="B2517" s="253" t="s">
        <v>606</v>
      </c>
      <c r="C2517" s="252" t="s">
        <v>633</v>
      </c>
      <c r="D2517" s="251" t="s">
        <v>601</v>
      </c>
      <c r="E2517" s="250" t="s">
        <v>287</v>
      </c>
      <c r="F2517" s="249" t="s">
        <v>624</v>
      </c>
      <c r="G2517" s="249" t="s">
        <v>596</v>
      </c>
    </row>
    <row r="2518" spans="1:7" x14ac:dyDescent="0.25">
      <c r="A2518" s="169" t="str">
        <f>E2518&amp;COUNTIFS($E$2:E2518,E2518)</f>
        <v>0</v>
      </c>
      <c r="B2518" s="172"/>
      <c r="C2518" s="174"/>
      <c r="D2518" s="173"/>
      <c r="E2518" s="172"/>
      <c r="F2518" s="171"/>
      <c r="G2518" s="170"/>
    </row>
    <row r="2519" spans="1:7" x14ac:dyDescent="0.25">
      <c r="A2519" s="169" t="str">
        <f>E2519&amp;COUNTIFS($E$2:E2519,E2519)</f>
        <v>0</v>
      </c>
      <c r="B2519" s="166"/>
      <c r="C2519" s="168"/>
      <c r="D2519" s="167"/>
      <c r="E2519" s="166"/>
      <c r="F2519" s="165"/>
      <c r="G2519" s="164"/>
    </row>
    <row r="2520" spans="1:7" x14ac:dyDescent="0.25">
      <c r="A2520" s="169" t="str">
        <f>E2520&amp;COUNTIFS($E$2:E2520,E2520)</f>
        <v>0</v>
      </c>
      <c r="B2520" s="166"/>
      <c r="C2520" s="168"/>
      <c r="D2520" s="167"/>
      <c r="E2520" s="166"/>
      <c r="F2520" s="165"/>
      <c r="G2520" s="164"/>
    </row>
    <row r="2521" spans="1:7" x14ac:dyDescent="0.25">
      <c r="A2521" s="169" t="str">
        <f>E2521&amp;COUNTIFS($E$2:E2521,E2521)</f>
        <v>0</v>
      </c>
      <c r="B2521" s="166"/>
      <c r="C2521" s="168"/>
      <c r="D2521" s="167"/>
      <c r="E2521" s="166"/>
      <c r="F2521" s="165"/>
      <c r="G2521" s="164"/>
    </row>
    <row r="2522" spans="1:7" x14ac:dyDescent="0.25">
      <c r="A2522" s="169" t="str">
        <f>E2522&amp;COUNTIFS($E$2:E2522,E2522)</f>
        <v>0</v>
      </c>
      <c r="B2522" s="166"/>
      <c r="C2522" s="168"/>
      <c r="D2522" s="167"/>
      <c r="E2522" s="166"/>
      <c r="F2522" s="165"/>
      <c r="G2522" s="164"/>
    </row>
    <row r="2523" spans="1:7" x14ac:dyDescent="0.25">
      <c r="A2523" s="169" t="str">
        <f>E2523&amp;COUNTIFS($E$2:E2523,E2523)</f>
        <v>0</v>
      </c>
      <c r="B2523" s="166"/>
      <c r="C2523" s="168"/>
      <c r="D2523" s="167"/>
      <c r="E2523" s="166"/>
      <c r="F2523" s="165"/>
      <c r="G2523" s="164"/>
    </row>
    <row r="2524" spans="1:7" x14ac:dyDescent="0.25">
      <c r="A2524" s="169" t="str">
        <f>E2524&amp;COUNTIFS($E$2:E2524,E2524)</f>
        <v>0</v>
      </c>
      <c r="B2524" s="166"/>
      <c r="C2524" s="168"/>
      <c r="D2524" s="167"/>
      <c r="E2524" s="166"/>
      <c r="F2524" s="165"/>
      <c r="G2524" s="164"/>
    </row>
    <row r="2525" spans="1:7" x14ac:dyDescent="0.25">
      <c r="A2525" s="169" t="str">
        <f>E2525&amp;COUNTIFS($E$2:E2525,E2525)</f>
        <v>0</v>
      </c>
      <c r="B2525" s="166"/>
      <c r="C2525" s="168"/>
      <c r="D2525" s="167"/>
      <c r="E2525" s="166"/>
      <c r="F2525" s="165"/>
      <c r="G2525" s="164"/>
    </row>
    <row r="2526" spans="1:7" x14ac:dyDescent="0.25">
      <c r="A2526" s="169" t="str">
        <f>E2526&amp;COUNTIFS($E$2:E2526,E2526)</f>
        <v>0</v>
      </c>
      <c r="B2526" s="166"/>
      <c r="C2526" s="168"/>
      <c r="D2526" s="167"/>
      <c r="E2526" s="166"/>
      <c r="F2526" s="165"/>
      <c r="G2526" s="164"/>
    </row>
    <row r="2527" spans="1:7" x14ac:dyDescent="0.25">
      <c r="A2527" s="169" t="str">
        <f>E2527&amp;COUNTIFS($E$2:E2527,E2527)</f>
        <v>0</v>
      </c>
      <c r="B2527" s="166"/>
      <c r="C2527" s="168"/>
      <c r="D2527" s="167"/>
      <c r="E2527" s="166"/>
      <c r="F2527" s="165"/>
      <c r="G2527" s="164"/>
    </row>
    <row r="2528" spans="1:7" x14ac:dyDescent="0.25">
      <c r="A2528" s="169" t="str">
        <f>E2528&amp;COUNTIFS($E$2:E2528,E2528)</f>
        <v>0</v>
      </c>
      <c r="B2528" s="166"/>
      <c r="C2528" s="168"/>
      <c r="D2528" s="167"/>
      <c r="E2528" s="166"/>
      <c r="F2528" s="165"/>
      <c r="G2528" s="164"/>
    </row>
    <row r="2529" spans="1:7" x14ac:dyDescent="0.25">
      <c r="A2529" s="169" t="str">
        <f>E2529&amp;COUNTIFS($E$2:E2529,E2529)</f>
        <v>0</v>
      </c>
      <c r="B2529" s="166"/>
      <c r="C2529" s="168"/>
      <c r="D2529" s="167"/>
      <c r="E2529" s="166"/>
      <c r="F2529" s="165"/>
      <c r="G2529" s="164"/>
    </row>
    <row r="2530" spans="1:7" x14ac:dyDescent="0.25">
      <c r="A2530" s="169" t="str">
        <f>E2530&amp;COUNTIFS($E$2:E2530,E2530)</f>
        <v>0</v>
      </c>
      <c r="B2530" s="166"/>
      <c r="C2530" s="168"/>
      <c r="D2530" s="167"/>
      <c r="E2530" s="166"/>
      <c r="F2530" s="165"/>
      <c r="G2530" s="164"/>
    </row>
    <row r="2531" spans="1:7" x14ac:dyDescent="0.25">
      <c r="A2531" s="169" t="str">
        <f>E2531&amp;COUNTIFS($E$2:E2531,E2531)</f>
        <v>0</v>
      </c>
      <c r="B2531" s="166"/>
      <c r="C2531" s="168"/>
      <c r="D2531" s="167"/>
      <c r="E2531" s="166"/>
      <c r="F2531" s="165"/>
      <c r="G2531" s="164"/>
    </row>
    <row r="2532" spans="1:7" x14ac:dyDescent="0.25">
      <c r="A2532" s="169" t="str">
        <f>E2532&amp;COUNTIFS($E$2:E2532,E2532)</f>
        <v>0</v>
      </c>
      <c r="B2532" s="166"/>
      <c r="C2532" s="168"/>
      <c r="D2532" s="167"/>
      <c r="E2532" s="166"/>
      <c r="F2532" s="165"/>
      <c r="G2532" s="164"/>
    </row>
    <row r="2533" spans="1:7" x14ac:dyDescent="0.25">
      <c r="A2533" s="169" t="str">
        <f>E2533&amp;COUNTIFS($E$2:E2533,E2533)</f>
        <v>0</v>
      </c>
      <c r="B2533" s="166"/>
      <c r="C2533" s="168"/>
      <c r="D2533" s="167"/>
      <c r="E2533" s="166"/>
      <c r="F2533" s="165"/>
      <c r="G2533" s="164"/>
    </row>
    <row r="2534" spans="1:7" x14ac:dyDescent="0.25">
      <c r="A2534" s="169" t="str">
        <f>E2534&amp;COUNTIFS($E$2:E2534,E2534)</f>
        <v>0</v>
      </c>
      <c r="B2534" s="166"/>
      <c r="C2534" s="168"/>
      <c r="D2534" s="167"/>
      <c r="E2534" s="166"/>
      <c r="F2534" s="165"/>
      <c r="G2534" s="164"/>
    </row>
    <row r="2535" spans="1:7" x14ac:dyDescent="0.25">
      <c r="A2535" s="169" t="str">
        <f>E2535&amp;COUNTIFS($E$2:E2535,E2535)</f>
        <v>0</v>
      </c>
      <c r="B2535" s="166"/>
      <c r="C2535" s="168"/>
      <c r="D2535" s="167"/>
      <c r="E2535" s="166"/>
      <c r="F2535" s="165"/>
      <c r="G2535" s="164"/>
    </row>
    <row r="2536" spans="1:7" x14ac:dyDescent="0.25">
      <c r="A2536" s="169" t="str">
        <f>E2536&amp;COUNTIFS($E$2:E2536,E2536)</f>
        <v>0</v>
      </c>
      <c r="B2536" s="166"/>
      <c r="C2536" s="168"/>
      <c r="D2536" s="167"/>
      <c r="E2536" s="166"/>
      <c r="F2536" s="165"/>
      <c r="G2536" s="164"/>
    </row>
    <row r="2537" spans="1:7" x14ac:dyDescent="0.25">
      <c r="A2537" s="169" t="str">
        <f>E2537&amp;COUNTIFS($E$2:E2537,E2537)</f>
        <v>0</v>
      </c>
      <c r="B2537" s="166"/>
      <c r="C2537" s="168"/>
      <c r="D2537" s="167"/>
      <c r="E2537" s="166"/>
      <c r="F2537" s="165"/>
      <c r="G2537" s="164"/>
    </row>
    <row r="2538" spans="1:7" x14ac:dyDescent="0.25">
      <c r="A2538" s="169" t="str">
        <f>E2538&amp;COUNTIFS($E$2:E2538,E2538)</f>
        <v>0</v>
      </c>
      <c r="B2538" s="166"/>
      <c r="C2538" s="168"/>
      <c r="D2538" s="167"/>
      <c r="E2538" s="166"/>
      <c r="F2538" s="165"/>
      <c r="G2538" s="164"/>
    </row>
    <row r="2539" spans="1:7" x14ac:dyDescent="0.25">
      <c r="A2539" s="169" t="str">
        <f>E2539&amp;COUNTIFS($E$2:E2539,E2539)</f>
        <v>0</v>
      </c>
      <c r="B2539" s="166"/>
      <c r="C2539" s="168"/>
      <c r="D2539" s="167"/>
      <c r="E2539" s="166"/>
      <c r="F2539" s="165"/>
      <c r="G2539" s="164"/>
    </row>
    <row r="2540" spans="1:7" x14ac:dyDescent="0.25">
      <c r="A2540" s="169" t="str">
        <f>E2540&amp;COUNTIFS($E$2:E2540,E2540)</f>
        <v>0</v>
      </c>
      <c r="B2540" s="166"/>
      <c r="C2540" s="168"/>
      <c r="D2540" s="167"/>
      <c r="E2540" s="166"/>
      <c r="F2540" s="165"/>
      <c r="G2540" s="164"/>
    </row>
    <row r="2541" spans="1:7" x14ac:dyDescent="0.25">
      <c r="A2541" s="169" t="str">
        <f>E2541&amp;COUNTIFS($E$2:E2541,E2541)</f>
        <v>0</v>
      </c>
      <c r="B2541" s="166"/>
      <c r="C2541" s="168"/>
      <c r="D2541" s="167"/>
      <c r="E2541" s="166"/>
      <c r="F2541" s="165"/>
      <c r="G2541" s="164"/>
    </row>
    <row r="2542" spans="1:7" ht="15.75" thickBot="1" x14ac:dyDescent="0.3">
      <c r="A2542" s="163" t="str">
        <f>E2542&amp;COUNTIFS($E$2:E2542,E2542)</f>
        <v>0</v>
      </c>
      <c r="B2542" s="166"/>
      <c r="C2542" s="162"/>
      <c r="D2542" s="161"/>
      <c r="E2542" s="160"/>
      <c r="F2542" s="159"/>
      <c r="G2542" s="158"/>
    </row>
    <row r="2543" spans="1:7" x14ac:dyDescent="0.25">
      <c r="A2543" s="148"/>
      <c r="C2543" s="143"/>
      <c r="D2543" s="157"/>
      <c r="E2543" s="143"/>
      <c r="F2543" s="156"/>
      <c r="G2543" s="156"/>
    </row>
    <row r="2544" spans="1:7" x14ac:dyDescent="0.25">
      <c r="A2544" s="148"/>
      <c r="C2544" s="153" t="s">
        <v>623</v>
      </c>
      <c r="D2544" s="152"/>
      <c r="E2544" s="151"/>
      <c r="F2544" s="150">
        <f>SUM(F2518:F2542)</f>
        <v>0</v>
      </c>
      <c r="G2544" s="155">
        <f>SUM(G2518:G2542)</f>
        <v>0</v>
      </c>
    </row>
    <row r="2545" spans="1:7" x14ac:dyDescent="0.25">
      <c r="A2545" s="148"/>
      <c r="C2545" s="145" t="s">
        <v>622</v>
      </c>
      <c r="D2545" s="154"/>
      <c r="E2545" s="145"/>
      <c r="F2545" s="144"/>
      <c r="G2545" s="144"/>
    </row>
    <row r="2546" spans="1:7" x14ac:dyDescent="0.25">
      <c r="A2546" s="148"/>
      <c r="C2546" s="153" t="s">
        <v>621</v>
      </c>
      <c r="D2546" s="152"/>
      <c r="E2546" s="151"/>
      <c r="F2546" s="150">
        <f>F2513</f>
        <v>0</v>
      </c>
      <c r="G2546" s="150">
        <f>G2513</f>
        <v>0</v>
      </c>
    </row>
    <row r="2547" spans="1:7" x14ac:dyDescent="0.25">
      <c r="A2547" s="148"/>
      <c r="C2547" s="153" t="s">
        <v>582</v>
      </c>
      <c r="D2547" s="152"/>
      <c r="E2547" s="151"/>
      <c r="F2547" s="150">
        <f>F2546+F2544</f>
        <v>0</v>
      </c>
      <c r="G2547" s="150">
        <f>G2546+G2544</f>
        <v>0</v>
      </c>
    </row>
    <row r="2548" spans="1:7" ht="15.75" thickBot="1" x14ac:dyDescent="0.3">
      <c r="A2548" s="148"/>
      <c r="C2548" s="145"/>
      <c r="D2548" s="149"/>
      <c r="E2548" s="145"/>
      <c r="F2548" s="144"/>
      <c r="G2548" s="144"/>
    </row>
    <row r="2549" spans="1:7" ht="15.75" thickBot="1" x14ac:dyDescent="0.3">
      <c r="A2549" s="148"/>
      <c r="C2549" s="147" t="s">
        <v>620</v>
      </c>
      <c r="D2549" s="146">
        <f>F2547-G2547</f>
        <v>0</v>
      </c>
      <c r="E2549" s="145"/>
      <c r="F2549" s="144"/>
      <c r="G2549" s="144"/>
    </row>
    <row r="2550" spans="1:7" ht="15.75" thickBot="1" x14ac:dyDescent="0.3"/>
    <row r="2551" spans="1:7" ht="30.75" thickBot="1" x14ac:dyDescent="0.3">
      <c r="A2551" s="254" t="s">
        <v>626</v>
      </c>
      <c r="B2551" s="253" t="s">
        <v>606</v>
      </c>
      <c r="C2551" s="252" t="s">
        <v>633</v>
      </c>
      <c r="D2551" s="251" t="s">
        <v>601</v>
      </c>
      <c r="E2551" s="250" t="s">
        <v>287</v>
      </c>
      <c r="F2551" s="249" t="s">
        <v>624</v>
      </c>
      <c r="G2551" s="249" t="s">
        <v>596</v>
      </c>
    </row>
    <row r="2552" spans="1:7" x14ac:dyDescent="0.25">
      <c r="A2552" s="169" t="str">
        <f>E2552&amp;COUNTIFS($E$2:E2552,E2552)</f>
        <v>0</v>
      </c>
      <c r="B2552" s="172"/>
      <c r="C2552" s="174"/>
      <c r="D2552" s="173"/>
      <c r="E2552" s="172"/>
      <c r="F2552" s="171"/>
      <c r="G2552" s="170"/>
    </row>
    <row r="2553" spans="1:7" x14ac:dyDescent="0.25">
      <c r="A2553" s="169" t="str">
        <f>E2553&amp;COUNTIFS($E$2:E2553,E2553)</f>
        <v>0</v>
      </c>
      <c r="B2553" s="166"/>
      <c r="C2553" s="168"/>
      <c r="D2553" s="167"/>
      <c r="E2553" s="166"/>
      <c r="F2553" s="165"/>
      <c r="G2553" s="164"/>
    </row>
    <row r="2554" spans="1:7" x14ac:dyDescent="0.25">
      <c r="A2554" s="169" t="str">
        <f>E2554&amp;COUNTIFS($E$2:E2554,E2554)</f>
        <v>0</v>
      </c>
      <c r="B2554" s="166"/>
      <c r="C2554" s="168"/>
      <c r="D2554" s="167"/>
      <c r="E2554" s="166"/>
      <c r="F2554" s="165"/>
      <c r="G2554" s="164"/>
    </row>
    <row r="2555" spans="1:7" x14ac:dyDescent="0.25">
      <c r="A2555" s="169" t="str">
        <f>E2555&amp;COUNTIFS($E$2:E2555,E2555)</f>
        <v>0</v>
      </c>
      <c r="B2555" s="166"/>
      <c r="C2555" s="168"/>
      <c r="D2555" s="167"/>
      <c r="E2555" s="166"/>
      <c r="F2555" s="165"/>
      <c r="G2555" s="164"/>
    </row>
    <row r="2556" spans="1:7" x14ac:dyDescent="0.25">
      <c r="A2556" s="169" t="str">
        <f>E2556&amp;COUNTIFS($E$2:E2556,E2556)</f>
        <v>0</v>
      </c>
      <c r="B2556" s="166"/>
      <c r="C2556" s="168"/>
      <c r="D2556" s="167"/>
      <c r="E2556" s="166"/>
      <c r="F2556" s="165"/>
      <c r="G2556" s="164"/>
    </row>
    <row r="2557" spans="1:7" x14ac:dyDescent="0.25">
      <c r="A2557" s="169" t="str">
        <f>E2557&amp;COUNTIFS($E$2:E2557,E2557)</f>
        <v>0</v>
      </c>
      <c r="B2557" s="166"/>
      <c r="C2557" s="168"/>
      <c r="D2557" s="167"/>
      <c r="E2557" s="166"/>
      <c r="F2557" s="165"/>
      <c r="G2557" s="164"/>
    </row>
    <row r="2558" spans="1:7" x14ac:dyDescent="0.25">
      <c r="A2558" s="169" t="str">
        <f>E2558&amp;COUNTIFS($E$2:E2558,E2558)</f>
        <v>0</v>
      </c>
      <c r="B2558" s="166"/>
      <c r="C2558" s="168"/>
      <c r="D2558" s="167"/>
      <c r="E2558" s="166"/>
      <c r="F2558" s="165"/>
      <c r="G2558" s="164"/>
    </row>
    <row r="2559" spans="1:7" x14ac:dyDescent="0.25">
      <c r="A2559" s="169" t="str">
        <f>E2559&amp;COUNTIFS($E$2:E2559,E2559)</f>
        <v>0</v>
      </c>
      <c r="B2559" s="166"/>
      <c r="C2559" s="168"/>
      <c r="D2559" s="167"/>
      <c r="E2559" s="166"/>
      <c r="F2559" s="165"/>
      <c r="G2559" s="164"/>
    </row>
    <row r="2560" spans="1:7" x14ac:dyDescent="0.25">
      <c r="A2560" s="169" t="str">
        <f>E2560&amp;COUNTIFS($E$2:E2560,E2560)</f>
        <v>0</v>
      </c>
      <c r="B2560" s="166"/>
      <c r="C2560" s="168"/>
      <c r="D2560" s="167"/>
      <c r="E2560" s="166"/>
      <c r="F2560" s="165"/>
      <c r="G2560" s="164"/>
    </row>
    <row r="2561" spans="1:7" x14ac:dyDescent="0.25">
      <c r="A2561" s="169" t="str">
        <f>E2561&amp;COUNTIFS($E$2:E2561,E2561)</f>
        <v>0</v>
      </c>
      <c r="B2561" s="166"/>
      <c r="C2561" s="168"/>
      <c r="D2561" s="167"/>
      <c r="E2561" s="166"/>
      <c r="F2561" s="165"/>
      <c r="G2561" s="164"/>
    </row>
    <row r="2562" spans="1:7" x14ac:dyDescent="0.25">
      <c r="A2562" s="169" t="str">
        <f>E2562&amp;COUNTIFS($E$2:E2562,E2562)</f>
        <v>0</v>
      </c>
      <c r="B2562" s="166"/>
      <c r="C2562" s="168"/>
      <c r="D2562" s="167"/>
      <c r="E2562" s="166"/>
      <c r="F2562" s="165"/>
      <c r="G2562" s="164"/>
    </row>
    <row r="2563" spans="1:7" x14ac:dyDescent="0.25">
      <c r="A2563" s="169" t="str">
        <f>E2563&amp;COUNTIFS($E$2:E2563,E2563)</f>
        <v>0</v>
      </c>
      <c r="B2563" s="166"/>
      <c r="C2563" s="168"/>
      <c r="D2563" s="167"/>
      <c r="E2563" s="166"/>
      <c r="F2563" s="165"/>
      <c r="G2563" s="164"/>
    </row>
    <row r="2564" spans="1:7" x14ac:dyDescent="0.25">
      <c r="A2564" s="169" t="str">
        <f>E2564&amp;COUNTIFS($E$2:E2564,E2564)</f>
        <v>0</v>
      </c>
      <c r="B2564" s="166"/>
      <c r="C2564" s="168"/>
      <c r="D2564" s="167"/>
      <c r="E2564" s="166"/>
      <c r="F2564" s="165"/>
      <c r="G2564" s="164"/>
    </row>
    <row r="2565" spans="1:7" x14ac:dyDescent="0.25">
      <c r="A2565" s="169" t="str">
        <f>E2565&amp;COUNTIFS($E$2:E2565,E2565)</f>
        <v>0</v>
      </c>
      <c r="B2565" s="166"/>
      <c r="C2565" s="168"/>
      <c r="D2565" s="167"/>
      <c r="E2565" s="166"/>
      <c r="F2565" s="165"/>
      <c r="G2565" s="164"/>
    </row>
    <row r="2566" spans="1:7" x14ac:dyDescent="0.25">
      <c r="A2566" s="169" t="str">
        <f>E2566&amp;COUNTIFS($E$2:E2566,E2566)</f>
        <v>0</v>
      </c>
      <c r="B2566" s="166"/>
      <c r="C2566" s="168"/>
      <c r="D2566" s="167"/>
      <c r="E2566" s="166"/>
      <c r="F2566" s="165"/>
      <c r="G2566" s="164"/>
    </row>
    <row r="2567" spans="1:7" x14ac:dyDescent="0.25">
      <c r="A2567" s="169" t="str">
        <f>E2567&amp;COUNTIFS($E$2:E2567,E2567)</f>
        <v>0</v>
      </c>
      <c r="B2567" s="166"/>
      <c r="C2567" s="168"/>
      <c r="D2567" s="167"/>
      <c r="E2567" s="166"/>
      <c r="F2567" s="165"/>
      <c r="G2567" s="164"/>
    </row>
    <row r="2568" spans="1:7" x14ac:dyDescent="0.25">
      <c r="A2568" s="169" t="str">
        <f>E2568&amp;COUNTIFS($E$2:E2568,E2568)</f>
        <v>0</v>
      </c>
      <c r="B2568" s="166"/>
      <c r="C2568" s="168"/>
      <c r="D2568" s="167"/>
      <c r="E2568" s="166"/>
      <c r="F2568" s="165"/>
      <c r="G2568" s="164"/>
    </row>
    <row r="2569" spans="1:7" x14ac:dyDescent="0.25">
      <c r="A2569" s="169" t="str">
        <f>E2569&amp;COUNTIFS($E$2:E2569,E2569)</f>
        <v>0</v>
      </c>
      <c r="B2569" s="166"/>
      <c r="C2569" s="168"/>
      <c r="D2569" s="167"/>
      <c r="E2569" s="166"/>
      <c r="F2569" s="165"/>
      <c r="G2569" s="164"/>
    </row>
    <row r="2570" spans="1:7" x14ac:dyDescent="0.25">
      <c r="A2570" s="169" t="str">
        <f>E2570&amp;COUNTIFS($E$2:E2570,E2570)</f>
        <v>0</v>
      </c>
      <c r="B2570" s="166"/>
      <c r="C2570" s="168"/>
      <c r="D2570" s="167"/>
      <c r="E2570" s="166"/>
      <c r="F2570" s="165"/>
      <c r="G2570" s="164"/>
    </row>
    <row r="2571" spans="1:7" x14ac:dyDescent="0.25">
      <c r="A2571" s="169" t="str">
        <f>E2571&amp;COUNTIFS($E$2:E2571,E2571)</f>
        <v>0</v>
      </c>
      <c r="B2571" s="166"/>
      <c r="C2571" s="168"/>
      <c r="D2571" s="167"/>
      <c r="E2571" s="166"/>
      <c r="F2571" s="165"/>
      <c r="G2571" s="164"/>
    </row>
    <row r="2572" spans="1:7" x14ac:dyDescent="0.25">
      <c r="A2572" s="169" t="str">
        <f>E2572&amp;COUNTIFS($E$2:E2572,E2572)</f>
        <v>0</v>
      </c>
      <c r="B2572" s="166"/>
      <c r="C2572" s="168"/>
      <c r="D2572" s="167"/>
      <c r="E2572" s="166"/>
      <c r="F2572" s="165"/>
      <c r="G2572" s="164"/>
    </row>
    <row r="2573" spans="1:7" x14ac:dyDescent="0.25">
      <c r="A2573" s="169" t="str">
        <f>E2573&amp;COUNTIFS($E$2:E2573,E2573)</f>
        <v>0</v>
      </c>
      <c r="B2573" s="166"/>
      <c r="C2573" s="168"/>
      <c r="D2573" s="167"/>
      <c r="E2573" s="166"/>
      <c r="F2573" s="165"/>
      <c r="G2573" s="164"/>
    </row>
    <row r="2574" spans="1:7" x14ac:dyDescent="0.25">
      <c r="A2574" s="169" t="str">
        <f>E2574&amp;COUNTIFS($E$2:E2574,E2574)</f>
        <v>0</v>
      </c>
      <c r="B2574" s="166"/>
      <c r="C2574" s="168"/>
      <c r="D2574" s="167"/>
      <c r="E2574" s="166"/>
      <c r="F2574" s="165"/>
      <c r="G2574" s="164"/>
    </row>
    <row r="2575" spans="1:7" x14ac:dyDescent="0.25">
      <c r="A2575" s="169" t="str">
        <f>E2575&amp;COUNTIFS($E$2:E2575,E2575)</f>
        <v>0</v>
      </c>
      <c r="B2575" s="166"/>
      <c r="C2575" s="168"/>
      <c r="D2575" s="167"/>
      <c r="E2575" s="166"/>
      <c r="F2575" s="165"/>
      <c r="G2575" s="164"/>
    </row>
    <row r="2576" spans="1:7" ht="15.75" thickBot="1" x14ac:dyDescent="0.3">
      <c r="A2576" s="163" t="str">
        <f>E2576&amp;COUNTIFS($E$2:E2576,E2576)</f>
        <v>0</v>
      </c>
      <c r="B2576" s="166"/>
      <c r="C2576" s="162"/>
      <c r="D2576" s="161"/>
      <c r="E2576" s="160"/>
      <c r="F2576" s="159"/>
      <c r="G2576" s="158"/>
    </row>
    <row r="2577" spans="1:7" x14ac:dyDescent="0.25">
      <c r="A2577" s="148"/>
      <c r="C2577" s="143"/>
      <c r="D2577" s="157"/>
      <c r="E2577" s="143"/>
      <c r="F2577" s="156"/>
      <c r="G2577" s="156"/>
    </row>
    <row r="2578" spans="1:7" x14ac:dyDescent="0.25">
      <c r="A2578" s="148"/>
      <c r="C2578" s="153" t="s">
        <v>623</v>
      </c>
      <c r="D2578" s="152"/>
      <c r="E2578" s="151"/>
      <c r="F2578" s="150">
        <f>SUM(F2552:F2576)</f>
        <v>0</v>
      </c>
      <c r="G2578" s="155">
        <f>SUM(G2552:G2576)</f>
        <v>0</v>
      </c>
    </row>
    <row r="2579" spans="1:7" x14ac:dyDescent="0.25">
      <c r="A2579" s="148"/>
      <c r="C2579" s="145" t="s">
        <v>622</v>
      </c>
      <c r="D2579" s="154"/>
      <c r="E2579" s="145"/>
      <c r="F2579" s="144"/>
      <c r="G2579" s="144"/>
    </row>
    <row r="2580" spans="1:7" x14ac:dyDescent="0.25">
      <c r="A2580" s="148"/>
      <c r="C2580" s="153" t="s">
        <v>621</v>
      </c>
      <c r="D2580" s="152"/>
      <c r="E2580" s="151"/>
      <c r="F2580" s="150">
        <f>F2547</f>
        <v>0</v>
      </c>
      <c r="G2580" s="150">
        <f>G2547</f>
        <v>0</v>
      </c>
    </row>
    <row r="2581" spans="1:7" x14ac:dyDescent="0.25">
      <c r="A2581" s="148"/>
      <c r="C2581" s="153" t="s">
        <v>582</v>
      </c>
      <c r="D2581" s="152"/>
      <c r="E2581" s="151"/>
      <c r="F2581" s="150">
        <f>F2580+F2578</f>
        <v>0</v>
      </c>
      <c r="G2581" s="150">
        <f>G2580+G2578</f>
        <v>0</v>
      </c>
    </row>
    <row r="2582" spans="1:7" ht="15.75" thickBot="1" x14ac:dyDescent="0.3">
      <c r="A2582" s="148"/>
      <c r="C2582" s="145"/>
      <c r="D2582" s="149"/>
      <c r="E2582" s="145"/>
      <c r="F2582" s="144"/>
      <c r="G2582" s="144"/>
    </row>
    <row r="2583" spans="1:7" ht="15.75" thickBot="1" x14ac:dyDescent="0.3">
      <c r="A2583" s="148"/>
      <c r="C2583" s="147" t="s">
        <v>620</v>
      </c>
      <c r="D2583" s="146">
        <f>F2581-G2581</f>
        <v>0</v>
      </c>
      <c r="E2583" s="145"/>
      <c r="F2583" s="144"/>
      <c r="G2583" s="144"/>
    </row>
    <row r="2584" spans="1:7" ht="15.75" thickBot="1" x14ac:dyDescent="0.3"/>
    <row r="2585" spans="1:7" ht="30.75" thickBot="1" x14ac:dyDescent="0.3">
      <c r="A2585" s="254" t="s">
        <v>626</v>
      </c>
      <c r="B2585" s="253" t="s">
        <v>606</v>
      </c>
      <c r="C2585" s="252" t="s">
        <v>633</v>
      </c>
      <c r="D2585" s="251" t="s">
        <v>601</v>
      </c>
      <c r="E2585" s="250" t="s">
        <v>287</v>
      </c>
      <c r="F2585" s="249" t="s">
        <v>624</v>
      </c>
      <c r="G2585" s="249" t="s">
        <v>596</v>
      </c>
    </row>
    <row r="2586" spans="1:7" x14ac:dyDescent="0.25">
      <c r="A2586" s="169" t="str">
        <f>E2586&amp;COUNTIFS($E$2:E2586,E2586)</f>
        <v>0</v>
      </c>
      <c r="B2586" s="172"/>
      <c r="C2586" s="174"/>
      <c r="D2586" s="173"/>
      <c r="E2586" s="172"/>
      <c r="F2586" s="171"/>
      <c r="G2586" s="170"/>
    </row>
    <row r="2587" spans="1:7" x14ac:dyDescent="0.25">
      <c r="A2587" s="169" t="str">
        <f>E2587&amp;COUNTIFS($E$2:E2587,E2587)</f>
        <v>0</v>
      </c>
      <c r="B2587" s="166"/>
      <c r="C2587" s="168"/>
      <c r="D2587" s="167"/>
      <c r="E2587" s="166"/>
      <c r="F2587" s="165"/>
      <c r="G2587" s="164"/>
    </row>
    <row r="2588" spans="1:7" x14ac:dyDescent="0.25">
      <c r="A2588" s="169" t="str">
        <f>E2588&amp;COUNTIFS($E$2:E2588,E2588)</f>
        <v>0</v>
      </c>
      <c r="B2588" s="166"/>
      <c r="C2588" s="168"/>
      <c r="D2588" s="167"/>
      <c r="E2588" s="166"/>
      <c r="F2588" s="165"/>
      <c r="G2588" s="164"/>
    </row>
    <row r="2589" spans="1:7" x14ac:dyDescent="0.25">
      <c r="A2589" s="169" t="str">
        <f>E2589&amp;COUNTIFS($E$2:E2589,E2589)</f>
        <v>0</v>
      </c>
      <c r="B2589" s="166"/>
      <c r="C2589" s="168"/>
      <c r="D2589" s="167"/>
      <c r="E2589" s="166"/>
      <c r="F2589" s="165"/>
      <c r="G2589" s="164"/>
    </row>
    <row r="2590" spans="1:7" x14ac:dyDescent="0.25">
      <c r="A2590" s="169" t="str">
        <f>E2590&amp;COUNTIFS($E$2:E2590,E2590)</f>
        <v>0</v>
      </c>
      <c r="B2590" s="166"/>
      <c r="C2590" s="168"/>
      <c r="D2590" s="167"/>
      <c r="E2590" s="166"/>
      <c r="F2590" s="165"/>
      <c r="G2590" s="164"/>
    </row>
    <row r="2591" spans="1:7" x14ac:dyDescent="0.25">
      <c r="A2591" s="169" t="str">
        <f>E2591&amp;COUNTIFS($E$2:E2591,E2591)</f>
        <v>0</v>
      </c>
      <c r="B2591" s="166"/>
      <c r="C2591" s="168"/>
      <c r="D2591" s="167"/>
      <c r="E2591" s="166"/>
      <c r="F2591" s="165"/>
      <c r="G2591" s="164"/>
    </row>
    <row r="2592" spans="1:7" x14ac:dyDescent="0.25">
      <c r="A2592" s="169" t="str">
        <f>E2592&amp;COUNTIFS($E$2:E2592,E2592)</f>
        <v>0</v>
      </c>
      <c r="B2592" s="166"/>
      <c r="C2592" s="168"/>
      <c r="D2592" s="167"/>
      <c r="E2592" s="166"/>
      <c r="F2592" s="165"/>
      <c r="G2592" s="164"/>
    </row>
    <row r="2593" spans="1:7" x14ac:dyDescent="0.25">
      <c r="A2593" s="169" t="str">
        <f>E2593&amp;COUNTIFS($E$2:E2593,E2593)</f>
        <v>0</v>
      </c>
      <c r="B2593" s="166"/>
      <c r="C2593" s="168"/>
      <c r="D2593" s="167"/>
      <c r="E2593" s="166"/>
      <c r="F2593" s="165"/>
      <c r="G2593" s="164"/>
    </row>
    <row r="2594" spans="1:7" x14ac:dyDescent="0.25">
      <c r="A2594" s="169" t="str">
        <f>E2594&amp;COUNTIFS($E$2:E2594,E2594)</f>
        <v>0</v>
      </c>
      <c r="B2594" s="166"/>
      <c r="C2594" s="168"/>
      <c r="D2594" s="167"/>
      <c r="E2594" s="166"/>
      <c r="F2594" s="165"/>
      <c r="G2594" s="164"/>
    </row>
    <row r="2595" spans="1:7" x14ac:dyDescent="0.25">
      <c r="A2595" s="169" t="str">
        <f>E2595&amp;COUNTIFS($E$2:E2595,E2595)</f>
        <v>0</v>
      </c>
      <c r="B2595" s="166"/>
      <c r="C2595" s="168"/>
      <c r="D2595" s="167"/>
      <c r="E2595" s="166"/>
      <c r="F2595" s="165"/>
      <c r="G2595" s="164"/>
    </row>
    <row r="2596" spans="1:7" x14ac:dyDescent="0.25">
      <c r="A2596" s="169" t="str">
        <f>E2596&amp;COUNTIFS($E$2:E2596,E2596)</f>
        <v>0</v>
      </c>
      <c r="B2596" s="166"/>
      <c r="C2596" s="168"/>
      <c r="D2596" s="167"/>
      <c r="E2596" s="166"/>
      <c r="F2596" s="165"/>
      <c r="G2596" s="164"/>
    </row>
    <row r="2597" spans="1:7" x14ac:dyDescent="0.25">
      <c r="A2597" s="169" t="str">
        <f>E2597&amp;COUNTIFS($E$2:E2597,E2597)</f>
        <v>0</v>
      </c>
      <c r="B2597" s="166"/>
      <c r="C2597" s="168"/>
      <c r="D2597" s="167"/>
      <c r="E2597" s="166"/>
      <c r="F2597" s="165"/>
      <c r="G2597" s="164"/>
    </row>
    <row r="2598" spans="1:7" x14ac:dyDescent="0.25">
      <c r="A2598" s="169" t="str">
        <f>E2598&amp;COUNTIFS($E$2:E2598,E2598)</f>
        <v>0</v>
      </c>
      <c r="B2598" s="166"/>
      <c r="C2598" s="168"/>
      <c r="D2598" s="167"/>
      <c r="E2598" s="166"/>
      <c r="F2598" s="165"/>
      <c r="G2598" s="164"/>
    </row>
    <row r="2599" spans="1:7" x14ac:dyDescent="0.25">
      <c r="A2599" s="169" t="str">
        <f>E2599&amp;COUNTIFS($E$2:E2599,E2599)</f>
        <v>0</v>
      </c>
      <c r="B2599" s="166"/>
      <c r="C2599" s="168"/>
      <c r="D2599" s="167"/>
      <c r="E2599" s="166"/>
      <c r="F2599" s="165"/>
      <c r="G2599" s="164"/>
    </row>
    <row r="2600" spans="1:7" x14ac:dyDescent="0.25">
      <c r="A2600" s="169" t="str">
        <f>E2600&amp;COUNTIFS($E$2:E2600,E2600)</f>
        <v>0</v>
      </c>
      <c r="B2600" s="166"/>
      <c r="C2600" s="168"/>
      <c r="D2600" s="167"/>
      <c r="E2600" s="166"/>
      <c r="F2600" s="165"/>
      <c r="G2600" s="164"/>
    </row>
    <row r="2601" spans="1:7" x14ac:dyDescent="0.25">
      <c r="A2601" s="169" t="str">
        <f>E2601&amp;COUNTIFS($E$2:E2601,E2601)</f>
        <v>0</v>
      </c>
      <c r="B2601" s="166"/>
      <c r="C2601" s="168"/>
      <c r="D2601" s="167"/>
      <c r="E2601" s="166"/>
      <c r="F2601" s="165"/>
      <c r="G2601" s="164"/>
    </row>
    <row r="2602" spans="1:7" x14ac:dyDescent="0.25">
      <c r="A2602" s="169" t="str">
        <f>E2602&amp;COUNTIFS($E$2:E2602,E2602)</f>
        <v>0</v>
      </c>
      <c r="B2602" s="166"/>
      <c r="C2602" s="168"/>
      <c r="D2602" s="167"/>
      <c r="E2602" s="166"/>
      <c r="F2602" s="165"/>
      <c r="G2602" s="164"/>
    </row>
    <row r="2603" spans="1:7" x14ac:dyDescent="0.25">
      <c r="A2603" s="169" t="str">
        <f>E2603&amp;COUNTIFS($E$2:E2603,E2603)</f>
        <v>0</v>
      </c>
      <c r="B2603" s="166"/>
      <c r="C2603" s="168"/>
      <c r="D2603" s="167"/>
      <c r="E2603" s="166"/>
      <c r="F2603" s="165"/>
      <c r="G2603" s="164"/>
    </row>
    <row r="2604" spans="1:7" x14ac:dyDescent="0.25">
      <c r="A2604" s="169" t="str">
        <f>E2604&amp;COUNTIFS($E$2:E2604,E2604)</f>
        <v>0</v>
      </c>
      <c r="B2604" s="166"/>
      <c r="C2604" s="168"/>
      <c r="D2604" s="167"/>
      <c r="E2604" s="166"/>
      <c r="F2604" s="165"/>
      <c r="G2604" s="164"/>
    </row>
    <row r="2605" spans="1:7" x14ac:dyDescent="0.25">
      <c r="A2605" s="169" t="str">
        <f>E2605&amp;COUNTIFS($E$2:E2605,E2605)</f>
        <v>0</v>
      </c>
      <c r="B2605" s="166"/>
      <c r="C2605" s="168"/>
      <c r="D2605" s="167"/>
      <c r="E2605" s="166"/>
      <c r="F2605" s="165"/>
      <c r="G2605" s="164"/>
    </row>
    <row r="2606" spans="1:7" x14ac:dyDescent="0.25">
      <c r="A2606" s="169" t="str">
        <f>E2606&amp;COUNTIFS($E$2:E2606,E2606)</f>
        <v>0</v>
      </c>
      <c r="B2606" s="166"/>
      <c r="C2606" s="168"/>
      <c r="D2606" s="167"/>
      <c r="E2606" s="166"/>
      <c r="F2606" s="165"/>
      <c r="G2606" s="164"/>
    </row>
    <row r="2607" spans="1:7" x14ac:dyDescent="0.25">
      <c r="A2607" s="169" t="str">
        <f>E2607&amp;COUNTIFS($E$2:E2607,E2607)</f>
        <v>0</v>
      </c>
      <c r="B2607" s="166"/>
      <c r="C2607" s="168"/>
      <c r="D2607" s="167"/>
      <c r="E2607" s="166"/>
      <c r="F2607" s="165"/>
      <c r="G2607" s="164"/>
    </row>
    <row r="2608" spans="1:7" x14ac:dyDescent="0.25">
      <c r="A2608" s="169" t="str">
        <f>E2608&amp;COUNTIFS($E$2:E2608,E2608)</f>
        <v>0</v>
      </c>
      <c r="B2608" s="166"/>
      <c r="C2608" s="168"/>
      <c r="D2608" s="167"/>
      <c r="E2608" s="166"/>
      <c r="F2608" s="165"/>
      <c r="G2608" s="164"/>
    </row>
    <row r="2609" spans="1:7" x14ac:dyDescent="0.25">
      <c r="A2609" s="169" t="str">
        <f>E2609&amp;COUNTIFS($E$2:E2609,E2609)</f>
        <v>0</v>
      </c>
      <c r="B2609" s="166"/>
      <c r="C2609" s="168"/>
      <c r="D2609" s="167"/>
      <c r="E2609" s="166"/>
      <c r="F2609" s="165"/>
      <c r="G2609" s="164"/>
    </row>
    <row r="2610" spans="1:7" ht="15.75" thickBot="1" x14ac:dyDescent="0.3">
      <c r="A2610" s="163" t="str">
        <f>E2610&amp;COUNTIFS($E$2:E2610,E2610)</f>
        <v>0</v>
      </c>
      <c r="B2610" s="166"/>
      <c r="C2610" s="162"/>
      <c r="D2610" s="161"/>
      <c r="E2610" s="160"/>
      <c r="F2610" s="159"/>
      <c r="G2610" s="158"/>
    </row>
    <row r="2611" spans="1:7" x14ac:dyDescent="0.25">
      <c r="A2611" s="148"/>
      <c r="C2611" s="143"/>
      <c r="D2611" s="157"/>
      <c r="E2611" s="143"/>
      <c r="F2611" s="156"/>
      <c r="G2611" s="156"/>
    </row>
    <row r="2612" spans="1:7" x14ac:dyDescent="0.25">
      <c r="A2612" s="148"/>
      <c r="C2612" s="153" t="s">
        <v>623</v>
      </c>
      <c r="D2612" s="152"/>
      <c r="E2612" s="151"/>
      <c r="F2612" s="150">
        <f>SUM(F2586:F2610)</f>
        <v>0</v>
      </c>
      <c r="G2612" s="155">
        <f>SUM(G2586:G2610)</f>
        <v>0</v>
      </c>
    </row>
    <row r="2613" spans="1:7" x14ac:dyDescent="0.25">
      <c r="A2613" s="148"/>
      <c r="C2613" s="145" t="s">
        <v>622</v>
      </c>
      <c r="D2613" s="154"/>
      <c r="E2613" s="145"/>
      <c r="F2613" s="144"/>
      <c r="G2613" s="144"/>
    </row>
    <row r="2614" spans="1:7" x14ac:dyDescent="0.25">
      <c r="A2614" s="148"/>
      <c r="C2614" s="153" t="s">
        <v>621</v>
      </c>
      <c r="D2614" s="152"/>
      <c r="E2614" s="151"/>
      <c r="F2614" s="150">
        <f>F2581</f>
        <v>0</v>
      </c>
      <c r="G2614" s="150">
        <f>G2581</f>
        <v>0</v>
      </c>
    </row>
    <row r="2615" spans="1:7" x14ac:dyDescent="0.25">
      <c r="A2615" s="148"/>
      <c r="C2615" s="153" t="s">
        <v>582</v>
      </c>
      <c r="D2615" s="152"/>
      <c r="E2615" s="151"/>
      <c r="F2615" s="150">
        <f>F2614+F2612</f>
        <v>0</v>
      </c>
      <c r="G2615" s="150">
        <f>G2614+G2612</f>
        <v>0</v>
      </c>
    </row>
    <row r="2616" spans="1:7" ht="15.75" thickBot="1" x14ac:dyDescent="0.3">
      <c r="A2616" s="148"/>
      <c r="C2616" s="145"/>
      <c r="D2616" s="149"/>
      <c r="E2616" s="145"/>
      <c r="F2616" s="144"/>
      <c r="G2616" s="144"/>
    </row>
    <row r="2617" spans="1:7" ht="15.75" thickBot="1" x14ac:dyDescent="0.3">
      <c r="A2617" s="148"/>
      <c r="C2617" s="147" t="s">
        <v>620</v>
      </c>
      <c r="D2617" s="146">
        <f>F2615-G2615</f>
        <v>0</v>
      </c>
      <c r="E2617" s="145"/>
      <c r="F2617" s="144"/>
      <c r="G2617" s="144"/>
    </row>
    <row r="2618" spans="1:7" ht="15.75" thickBot="1" x14ac:dyDescent="0.3"/>
    <row r="2619" spans="1:7" ht="30.75" thickBot="1" x14ac:dyDescent="0.3">
      <c r="A2619" s="254" t="s">
        <v>626</v>
      </c>
      <c r="B2619" s="253" t="s">
        <v>606</v>
      </c>
      <c r="C2619" s="252" t="s">
        <v>633</v>
      </c>
      <c r="D2619" s="251" t="s">
        <v>601</v>
      </c>
      <c r="E2619" s="250" t="s">
        <v>287</v>
      </c>
      <c r="F2619" s="249" t="s">
        <v>624</v>
      </c>
      <c r="G2619" s="249" t="s">
        <v>596</v>
      </c>
    </row>
    <row r="2620" spans="1:7" x14ac:dyDescent="0.25">
      <c r="A2620" s="169" t="str">
        <f>E2620&amp;COUNTIFS($E$2:E2620,E2620)</f>
        <v>0</v>
      </c>
      <c r="B2620" s="172"/>
      <c r="C2620" s="174"/>
      <c r="D2620" s="173"/>
      <c r="E2620" s="172"/>
      <c r="F2620" s="171"/>
      <c r="G2620" s="170"/>
    </row>
    <row r="2621" spans="1:7" x14ac:dyDescent="0.25">
      <c r="A2621" s="169" t="str">
        <f>E2621&amp;COUNTIFS($E$2:E2621,E2621)</f>
        <v>0</v>
      </c>
      <c r="B2621" s="166"/>
      <c r="C2621" s="168"/>
      <c r="D2621" s="167"/>
      <c r="E2621" s="166"/>
      <c r="F2621" s="165"/>
      <c r="G2621" s="164"/>
    </row>
    <row r="2622" spans="1:7" x14ac:dyDescent="0.25">
      <c r="A2622" s="169" t="str">
        <f>E2622&amp;COUNTIFS($E$2:E2622,E2622)</f>
        <v>0</v>
      </c>
      <c r="B2622" s="166"/>
      <c r="C2622" s="168"/>
      <c r="D2622" s="167"/>
      <c r="E2622" s="166"/>
      <c r="F2622" s="165"/>
      <c r="G2622" s="164"/>
    </row>
    <row r="2623" spans="1:7" x14ac:dyDescent="0.25">
      <c r="A2623" s="169" t="str">
        <f>E2623&amp;COUNTIFS($E$2:E2623,E2623)</f>
        <v>0</v>
      </c>
      <c r="B2623" s="166"/>
      <c r="C2623" s="168"/>
      <c r="D2623" s="167"/>
      <c r="E2623" s="166"/>
      <c r="F2623" s="165"/>
      <c r="G2623" s="164"/>
    </row>
    <row r="2624" spans="1:7" x14ac:dyDescent="0.25">
      <c r="A2624" s="169" t="str">
        <f>E2624&amp;COUNTIFS($E$2:E2624,E2624)</f>
        <v>0</v>
      </c>
      <c r="B2624" s="166"/>
      <c r="C2624" s="168"/>
      <c r="D2624" s="167"/>
      <c r="E2624" s="166"/>
      <c r="F2624" s="165"/>
      <c r="G2624" s="164"/>
    </row>
    <row r="2625" spans="1:7" x14ac:dyDescent="0.25">
      <c r="A2625" s="169" t="str">
        <f>E2625&amp;COUNTIFS($E$2:E2625,E2625)</f>
        <v>0</v>
      </c>
      <c r="B2625" s="166"/>
      <c r="C2625" s="168"/>
      <c r="D2625" s="167"/>
      <c r="E2625" s="166"/>
      <c r="F2625" s="165"/>
      <c r="G2625" s="164"/>
    </row>
    <row r="2626" spans="1:7" x14ac:dyDescent="0.25">
      <c r="A2626" s="169" t="str">
        <f>E2626&amp;COUNTIFS($E$2:E2626,E2626)</f>
        <v>0</v>
      </c>
      <c r="B2626" s="166"/>
      <c r="C2626" s="168"/>
      <c r="D2626" s="167"/>
      <c r="E2626" s="166"/>
      <c r="F2626" s="165"/>
      <c r="G2626" s="164"/>
    </row>
    <row r="2627" spans="1:7" x14ac:dyDescent="0.25">
      <c r="A2627" s="169" t="str">
        <f>E2627&amp;COUNTIFS($E$2:E2627,E2627)</f>
        <v>0</v>
      </c>
      <c r="B2627" s="166"/>
      <c r="C2627" s="168"/>
      <c r="D2627" s="167"/>
      <c r="E2627" s="166"/>
      <c r="F2627" s="165"/>
      <c r="G2627" s="164"/>
    </row>
    <row r="2628" spans="1:7" x14ac:dyDescent="0.25">
      <c r="A2628" s="169" t="str">
        <f>E2628&amp;COUNTIFS($E$2:E2628,E2628)</f>
        <v>0</v>
      </c>
      <c r="B2628" s="166"/>
      <c r="C2628" s="168"/>
      <c r="D2628" s="167"/>
      <c r="E2628" s="166"/>
      <c r="F2628" s="165"/>
      <c r="G2628" s="164"/>
    </row>
    <row r="2629" spans="1:7" x14ac:dyDescent="0.25">
      <c r="A2629" s="169" t="str">
        <f>E2629&amp;COUNTIFS($E$2:E2629,E2629)</f>
        <v>0</v>
      </c>
      <c r="B2629" s="166"/>
      <c r="C2629" s="168"/>
      <c r="D2629" s="167"/>
      <c r="E2629" s="166"/>
      <c r="F2629" s="165"/>
      <c r="G2629" s="164"/>
    </row>
    <row r="2630" spans="1:7" x14ac:dyDescent="0.25">
      <c r="A2630" s="169" t="str">
        <f>E2630&amp;COUNTIFS($E$2:E2630,E2630)</f>
        <v>0</v>
      </c>
      <c r="B2630" s="166"/>
      <c r="C2630" s="168"/>
      <c r="D2630" s="167"/>
      <c r="E2630" s="166"/>
      <c r="F2630" s="165"/>
      <c r="G2630" s="164"/>
    </row>
    <row r="2631" spans="1:7" x14ac:dyDescent="0.25">
      <c r="A2631" s="169" t="str">
        <f>E2631&amp;COUNTIFS($E$2:E2631,E2631)</f>
        <v>0</v>
      </c>
      <c r="B2631" s="166"/>
      <c r="C2631" s="168"/>
      <c r="D2631" s="167"/>
      <c r="E2631" s="166"/>
      <c r="F2631" s="165"/>
      <c r="G2631" s="164"/>
    </row>
    <row r="2632" spans="1:7" x14ac:dyDescent="0.25">
      <c r="A2632" s="169" t="str">
        <f>E2632&amp;COUNTIFS($E$2:E2632,E2632)</f>
        <v>0</v>
      </c>
      <c r="B2632" s="166"/>
      <c r="C2632" s="168"/>
      <c r="D2632" s="167"/>
      <c r="E2632" s="166"/>
      <c r="F2632" s="165"/>
      <c r="G2632" s="164"/>
    </row>
    <row r="2633" spans="1:7" x14ac:dyDescent="0.25">
      <c r="A2633" s="169" t="str">
        <f>E2633&amp;COUNTIFS($E$2:E2633,E2633)</f>
        <v>0</v>
      </c>
      <c r="B2633" s="166"/>
      <c r="C2633" s="168"/>
      <c r="D2633" s="167"/>
      <c r="E2633" s="166"/>
      <c r="F2633" s="165"/>
      <c r="G2633" s="164"/>
    </row>
    <row r="2634" spans="1:7" x14ac:dyDescent="0.25">
      <c r="A2634" s="169" t="str">
        <f>E2634&amp;COUNTIFS($E$2:E2634,E2634)</f>
        <v>0</v>
      </c>
      <c r="B2634" s="166"/>
      <c r="C2634" s="168"/>
      <c r="D2634" s="167"/>
      <c r="E2634" s="166"/>
      <c r="F2634" s="165"/>
      <c r="G2634" s="164"/>
    </row>
    <row r="2635" spans="1:7" x14ac:dyDescent="0.25">
      <c r="A2635" s="169" t="str">
        <f>E2635&amp;COUNTIFS($E$2:E2635,E2635)</f>
        <v>0</v>
      </c>
      <c r="B2635" s="166"/>
      <c r="C2635" s="168"/>
      <c r="D2635" s="167"/>
      <c r="E2635" s="166"/>
      <c r="F2635" s="165"/>
      <c r="G2635" s="164"/>
    </row>
    <row r="2636" spans="1:7" x14ac:dyDescent="0.25">
      <c r="A2636" s="169" t="str">
        <f>E2636&amp;COUNTIFS($E$2:E2636,E2636)</f>
        <v>0</v>
      </c>
      <c r="B2636" s="166"/>
      <c r="C2636" s="168"/>
      <c r="D2636" s="167"/>
      <c r="E2636" s="166"/>
      <c r="F2636" s="165"/>
      <c r="G2636" s="164"/>
    </row>
    <row r="2637" spans="1:7" x14ac:dyDescent="0.25">
      <c r="A2637" s="169" t="str">
        <f>E2637&amp;COUNTIFS($E$2:E2637,E2637)</f>
        <v>0</v>
      </c>
      <c r="B2637" s="166"/>
      <c r="C2637" s="168"/>
      <c r="D2637" s="167"/>
      <c r="E2637" s="166"/>
      <c r="F2637" s="165"/>
      <c r="G2637" s="164"/>
    </row>
    <row r="2638" spans="1:7" x14ac:dyDescent="0.25">
      <c r="A2638" s="169" t="str">
        <f>E2638&amp;COUNTIFS($E$2:E2638,E2638)</f>
        <v>0</v>
      </c>
      <c r="B2638" s="166"/>
      <c r="C2638" s="168"/>
      <c r="D2638" s="167"/>
      <c r="E2638" s="166"/>
      <c r="F2638" s="165"/>
      <c r="G2638" s="164"/>
    </row>
    <row r="2639" spans="1:7" x14ac:dyDescent="0.25">
      <c r="A2639" s="169" t="str">
        <f>E2639&amp;COUNTIFS($E$2:E2639,E2639)</f>
        <v>0</v>
      </c>
      <c r="B2639" s="166"/>
      <c r="C2639" s="168"/>
      <c r="D2639" s="167"/>
      <c r="E2639" s="166"/>
      <c r="F2639" s="165"/>
      <c r="G2639" s="164"/>
    </row>
    <row r="2640" spans="1:7" x14ac:dyDescent="0.25">
      <c r="A2640" s="169" t="str">
        <f>E2640&amp;COUNTIFS($E$2:E2640,E2640)</f>
        <v>0</v>
      </c>
      <c r="B2640" s="166"/>
      <c r="C2640" s="168"/>
      <c r="D2640" s="167"/>
      <c r="E2640" s="166"/>
      <c r="F2640" s="165"/>
      <c r="G2640" s="164"/>
    </row>
    <row r="2641" spans="1:7" x14ac:dyDescent="0.25">
      <c r="A2641" s="169" t="str">
        <f>E2641&amp;COUNTIFS($E$2:E2641,E2641)</f>
        <v>0</v>
      </c>
      <c r="B2641" s="166"/>
      <c r="C2641" s="168"/>
      <c r="D2641" s="167"/>
      <c r="E2641" s="166"/>
      <c r="F2641" s="165"/>
      <c r="G2641" s="164"/>
    </row>
    <row r="2642" spans="1:7" x14ac:dyDescent="0.25">
      <c r="A2642" s="169" t="str">
        <f>E2642&amp;COUNTIFS($E$2:E2642,E2642)</f>
        <v>0</v>
      </c>
      <c r="B2642" s="166"/>
      <c r="C2642" s="168"/>
      <c r="D2642" s="167"/>
      <c r="E2642" s="166"/>
      <c r="F2642" s="165"/>
      <c r="G2642" s="164"/>
    </row>
    <row r="2643" spans="1:7" x14ac:dyDescent="0.25">
      <c r="A2643" s="169" t="str">
        <f>E2643&amp;COUNTIFS($E$2:E2643,E2643)</f>
        <v>0</v>
      </c>
      <c r="B2643" s="166"/>
      <c r="C2643" s="168"/>
      <c r="D2643" s="167"/>
      <c r="E2643" s="166"/>
      <c r="F2643" s="165"/>
      <c r="G2643" s="164"/>
    </row>
    <row r="2644" spans="1:7" ht="15.75" thickBot="1" x14ac:dyDescent="0.3">
      <c r="A2644" s="163" t="str">
        <f>E2644&amp;COUNTIFS($E$2:E2644,E2644)</f>
        <v>0</v>
      </c>
      <c r="B2644" s="166"/>
      <c r="C2644" s="162"/>
      <c r="D2644" s="161"/>
      <c r="E2644" s="160"/>
      <c r="F2644" s="159"/>
      <c r="G2644" s="158"/>
    </row>
    <row r="2645" spans="1:7" x14ac:dyDescent="0.25">
      <c r="A2645" s="148"/>
      <c r="C2645" s="143"/>
      <c r="D2645" s="157"/>
      <c r="E2645" s="143"/>
      <c r="F2645" s="156"/>
      <c r="G2645" s="156"/>
    </row>
    <row r="2646" spans="1:7" x14ac:dyDescent="0.25">
      <c r="A2646" s="148"/>
      <c r="C2646" s="153" t="s">
        <v>623</v>
      </c>
      <c r="D2646" s="152"/>
      <c r="E2646" s="151"/>
      <c r="F2646" s="150">
        <f>SUM(F2620:F2644)</f>
        <v>0</v>
      </c>
      <c r="G2646" s="155">
        <f>SUM(G2620:G2644)</f>
        <v>0</v>
      </c>
    </row>
    <row r="2647" spans="1:7" x14ac:dyDescent="0.25">
      <c r="A2647" s="148"/>
      <c r="C2647" s="145" t="s">
        <v>622</v>
      </c>
      <c r="D2647" s="154"/>
      <c r="E2647" s="145"/>
      <c r="F2647" s="144"/>
      <c r="G2647" s="144"/>
    </row>
    <row r="2648" spans="1:7" x14ac:dyDescent="0.25">
      <c r="A2648" s="148"/>
      <c r="C2648" s="153" t="s">
        <v>621</v>
      </c>
      <c r="D2648" s="152"/>
      <c r="E2648" s="151"/>
      <c r="F2648" s="150">
        <f>F2615</f>
        <v>0</v>
      </c>
      <c r="G2648" s="150">
        <f>G2615</f>
        <v>0</v>
      </c>
    </row>
    <row r="2649" spans="1:7" x14ac:dyDescent="0.25">
      <c r="A2649" s="148"/>
      <c r="C2649" s="153" t="s">
        <v>582</v>
      </c>
      <c r="D2649" s="152"/>
      <c r="E2649" s="151"/>
      <c r="F2649" s="150">
        <f>F2648+F2646</f>
        <v>0</v>
      </c>
      <c r="G2649" s="150">
        <f>G2648+G2646</f>
        <v>0</v>
      </c>
    </row>
    <row r="2650" spans="1:7" ht="15.75" thickBot="1" x14ac:dyDescent="0.3">
      <c r="A2650" s="148"/>
      <c r="C2650" s="145"/>
      <c r="D2650" s="149"/>
      <c r="E2650" s="145"/>
      <c r="F2650" s="144"/>
      <c r="G2650" s="144"/>
    </row>
    <row r="2651" spans="1:7" ht="15.75" thickBot="1" x14ac:dyDescent="0.3">
      <c r="A2651" s="148"/>
      <c r="C2651" s="147" t="s">
        <v>620</v>
      </c>
      <c r="D2651" s="146">
        <f>F2649-G2649</f>
        <v>0</v>
      </c>
      <c r="E2651" s="145"/>
      <c r="F2651" s="144"/>
      <c r="G2651" s="144"/>
    </row>
    <row r="2652" spans="1:7" ht="15.75" thickBot="1" x14ac:dyDescent="0.3"/>
    <row r="2653" spans="1:7" ht="30.75" thickBot="1" x14ac:dyDescent="0.3">
      <c r="A2653" s="254" t="s">
        <v>626</v>
      </c>
      <c r="B2653" s="253" t="s">
        <v>606</v>
      </c>
      <c r="C2653" s="252" t="s">
        <v>633</v>
      </c>
      <c r="D2653" s="251" t="s">
        <v>601</v>
      </c>
      <c r="E2653" s="250" t="s">
        <v>287</v>
      </c>
      <c r="F2653" s="249" t="s">
        <v>624</v>
      </c>
      <c r="G2653" s="249" t="s">
        <v>596</v>
      </c>
    </row>
    <row r="2654" spans="1:7" x14ac:dyDescent="0.25">
      <c r="A2654" s="169" t="str">
        <f>E2654&amp;COUNTIFS($E$2:E2654,E2654)</f>
        <v>0</v>
      </c>
      <c r="B2654" s="172"/>
      <c r="C2654" s="174"/>
      <c r="D2654" s="173"/>
      <c r="E2654" s="172"/>
      <c r="F2654" s="171"/>
      <c r="G2654" s="170"/>
    </row>
    <row r="2655" spans="1:7" x14ac:dyDescent="0.25">
      <c r="A2655" s="169" t="str">
        <f>E2655&amp;COUNTIFS($E$2:E2655,E2655)</f>
        <v>0</v>
      </c>
      <c r="B2655" s="166"/>
      <c r="C2655" s="168"/>
      <c r="D2655" s="167"/>
      <c r="E2655" s="166"/>
      <c r="F2655" s="165"/>
      <c r="G2655" s="164"/>
    </row>
    <row r="2656" spans="1:7" x14ac:dyDescent="0.25">
      <c r="A2656" s="169" t="str">
        <f>E2656&amp;COUNTIFS($E$2:E2656,E2656)</f>
        <v>0</v>
      </c>
      <c r="B2656" s="166"/>
      <c r="C2656" s="168"/>
      <c r="D2656" s="167"/>
      <c r="E2656" s="166"/>
      <c r="F2656" s="165"/>
      <c r="G2656" s="164"/>
    </row>
    <row r="2657" spans="1:7" x14ac:dyDescent="0.25">
      <c r="A2657" s="169" t="str">
        <f>E2657&amp;COUNTIFS($E$2:E2657,E2657)</f>
        <v>0</v>
      </c>
      <c r="B2657" s="166"/>
      <c r="C2657" s="168"/>
      <c r="D2657" s="167"/>
      <c r="E2657" s="166"/>
      <c r="F2657" s="165"/>
      <c r="G2657" s="164"/>
    </row>
    <row r="2658" spans="1:7" x14ac:dyDescent="0.25">
      <c r="A2658" s="169" t="str">
        <f>E2658&amp;COUNTIFS($E$2:E2658,E2658)</f>
        <v>0</v>
      </c>
      <c r="B2658" s="166"/>
      <c r="C2658" s="168"/>
      <c r="D2658" s="167"/>
      <c r="E2658" s="166"/>
      <c r="F2658" s="165"/>
      <c r="G2658" s="164"/>
    </row>
    <row r="2659" spans="1:7" x14ac:dyDescent="0.25">
      <c r="A2659" s="169" t="str">
        <f>E2659&amp;COUNTIFS($E$2:E2659,E2659)</f>
        <v>0</v>
      </c>
      <c r="B2659" s="166"/>
      <c r="C2659" s="168"/>
      <c r="D2659" s="167"/>
      <c r="E2659" s="166"/>
      <c r="F2659" s="165"/>
      <c r="G2659" s="164"/>
    </row>
    <row r="2660" spans="1:7" x14ac:dyDescent="0.25">
      <c r="A2660" s="169" t="str">
        <f>E2660&amp;COUNTIFS($E$2:E2660,E2660)</f>
        <v>0</v>
      </c>
      <c r="B2660" s="166"/>
      <c r="C2660" s="168"/>
      <c r="D2660" s="167"/>
      <c r="E2660" s="166"/>
      <c r="F2660" s="165"/>
      <c r="G2660" s="164"/>
    </row>
    <row r="2661" spans="1:7" x14ac:dyDescent="0.25">
      <c r="A2661" s="169" t="str">
        <f>E2661&amp;COUNTIFS($E$2:E2661,E2661)</f>
        <v>0</v>
      </c>
      <c r="B2661" s="166"/>
      <c r="C2661" s="168"/>
      <c r="D2661" s="167"/>
      <c r="E2661" s="166"/>
      <c r="F2661" s="165"/>
      <c r="G2661" s="164"/>
    </row>
    <row r="2662" spans="1:7" x14ac:dyDescent="0.25">
      <c r="A2662" s="169" t="str">
        <f>E2662&amp;COUNTIFS($E$2:E2662,E2662)</f>
        <v>0</v>
      </c>
      <c r="B2662" s="166"/>
      <c r="C2662" s="168"/>
      <c r="D2662" s="167"/>
      <c r="E2662" s="166"/>
      <c r="F2662" s="165"/>
      <c r="G2662" s="164"/>
    </row>
    <row r="2663" spans="1:7" x14ac:dyDescent="0.25">
      <c r="A2663" s="169" t="str">
        <f>E2663&amp;COUNTIFS($E$2:E2663,E2663)</f>
        <v>0</v>
      </c>
      <c r="B2663" s="166"/>
      <c r="C2663" s="168"/>
      <c r="D2663" s="167"/>
      <c r="E2663" s="166"/>
      <c r="F2663" s="165"/>
      <c r="G2663" s="164"/>
    </row>
    <row r="2664" spans="1:7" x14ac:dyDescent="0.25">
      <c r="A2664" s="169" t="str">
        <f>E2664&amp;COUNTIFS($E$2:E2664,E2664)</f>
        <v>0</v>
      </c>
      <c r="B2664" s="166"/>
      <c r="C2664" s="168"/>
      <c r="D2664" s="167"/>
      <c r="E2664" s="166"/>
      <c r="F2664" s="165"/>
      <c r="G2664" s="164"/>
    </row>
    <row r="2665" spans="1:7" x14ac:dyDescent="0.25">
      <c r="A2665" s="169" t="str">
        <f>E2665&amp;COUNTIFS($E$2:E2665,E2665)</f>
        <v>0</v>
      </c>
      <c r="B2665" s="166"/>
      <c r="C2665" s="168"/>
      <c r="D2665" s="167"/>
      <c r="E2665" s="166"/>
      <c r="F2665" s="165"/>
      <c r="G2665" s="164"/>
    </row>
    <row r="2666" spans="1:7" x14ac:dyDescent="0.25">
      <c r="A2666" s="169" t="str">
        <f>E2666&amp;COUNTIFS($E$2:E2666,E2666)</f>
        <v>0</v>
      </c>
      <c r="B2666" s="166"/>
      <c r="C2666" s="168"/>
      <c r="D2666" s="167"/>
      <c r="E2666" s="166"/>
      <c r="F2666" s="165"/>
      <c r="G2666" s="164"/>
    </row>
    <row r="2667" spans="1:7" x14ac:dyDescent="0.25">
      <c r="A2667" s="169" t="str">
        <f>E2667&amp;COUNTIFS($E$2:E2667,E2667)</f>
        <v>0</v>
      </c>
      <c r="B2667" s="166"/>
      <c r="C2667" s="168"/>
      <c r="D2667" s="167"/>
      <c r="E2667" s="166"/>
      <c r="F2667" s="165"/>
      <c r="G2667" s="164"/>
    </row>
    <row r="2668" spans="1:7" x14ac:dyDescent="0.25">
      <c r="A2668" s="169" t="str">
        <f>E2668&amp;COUNTIFS($E$2:E2668,E2668)</f>
        <v>0</v>
      </c>
      <c r="B2668" s="166"/>
      <c r="C2668" s="168"/>
      <c r="D2668" s="167"/>
      <c r="E2668" s="166"/>
      <c r="F2668" s="165"/>
      <c r="G2668" s="164"/>
    </row>
    <row r="2669" spans="1:7" x14ac:dyDescent="0.25">
      <c r="A2669" s="169" t="str">
        <f>E2669&amp;COUNTIFS($E$2:E2669,E2669)</f>
        <v>0</v>
      </c>
      <c r="B2669" s="166"/>
      <c r="C2669" s="168"/>
      <c r="D2669" s="167"/>
      <c r="E2669" s="166"/>
      <c r="F2669" s="165"/>
      <c r="G2669" s="164"/>
    </row>
    <row r="2670" spans="1:7" x14ac:dyDescent="0.25">
      <c r="A2670" s="169" t="str">
        <f>E2670&amp;COUNTIFS($E$2:E2670,E2670)</f>
        <v>0</v>
      </c>
      <c r="B2670" s="166"/>
      <c r="C2670" s="168"/>
      <c r="D2670" s="167"/>
      <c r="E2670" s="166"/>
      <c r="F2670" s="165"/>
      <c r="G2670" s="164"/>
    </row>
    <row r="2671" spans="1:7" x14ac:dyDescent="0.25">
      <c r="A2671" s="169" t="str">
        <f>E2671&amp;COUNTIFS($E$2:E2671,E2671)</f>
        <v>0</v>
      </c>
      <c r="B2671" s="166"/>
      <c r="C2671" s="168"/>
      <c r="D2671" s="167"/>
      <c r="E2671" s="166"/>
      <c r="F2671" s="165"/>
      <c r="G2671" s="164"/>
    </row>
    <row r="2672" spans="1:7" x14ac:dyDescent="0.25">
      <c r="A2672" s="169" t="str">
        <f>E2672&amp;COUNTIFS($E$2:E2672,E2672)</f>
        <v>0</v>
      </c>
      <c r="B2672" s="166"/>
      <c r="C2672" s="168"/>
      <c r="D2672" s="167"/>
      <c r="E2672" s="166"/>
      <c r="F2672" s="165"/>
      <c r="G2672" s="164"/>
    </row>
    <row r="2673" spans="1:7" x14ac:dyDescent="0.25">
      <c r="A2673" s="169" t="str">
        <f>E2673&amp;COUNTIFS($E$2:E2673,E2673)</f>
        <v>0</v>
      </c>
      <c r="B2673" s="166"/>
      <c r="C2673" s="168"/>
      <c r="D2673" s="167"/>
      <c r="E2673" s="166"/>
      <c r="F2673" s="165"/>
      <c r="G2673" s="164"/>
    </row>
    <row r="2674" spans="1:7" x14ac:dyDescent="0.25">
      <c r="A2674" s="169" t="str">
        <f>E2674&amp;COUNTIFS($E$2:E2674,E2674)</f>
        <v>0</v>
      </c>
      <c r="B2674" s="166"/>
      <c r="C2674" s="168"/>
      <c r="D2674" s="167"/>
      <c r="E2674" s="166"/>
      <c r="F2674" s="165"/>
      <c r="G2674" s="164"/>
    </row>
    <row r="2675" spans="1:7" x14ac:dyDescent="0.25">
      <c r="A2675" s="169" t="str">
        <f>E2675&amp;COUNTIFS($E$2:E2675,E2675)</f>
        <v>0</v>
      </c>
      <c r="B2675" s="166"/>
      <c r="C2675" s="168"/>
      <c r="D2675" s="167"/>
      <c r="E2675" s="166"/>
      <c r="F2675" s="165"/>
      <c r="G2675" s="164"/>
    </row>
    <row r="2676" spans="1:7" x14ac:dyDescent="0.25">
      <c r="A2676" s="169" t="str">
        <f>E2676&amp;COUNTIFS($E$2:E2676,E2676)</f>
        <v>0</v>
      </c>
      <c r="B2676" s="166"/>
      <c r="C2676" s="168"/>
      <c r="D2676" s="167"/>
      <c r="E2676" s="166"/>
      <c r="F2676" s="165"/>
      <c r="G2676" s="164"/>
    </row>
    <row r="2677" spans="1:7" x14ac:dyDescent="0.25">
      <c r="A2677" s="169" t="str">
        <f>E2677&amp;COUNTIFS($E$2:E2677,E2677)</f>
        <v>0</v>
      </c>
      <c r="B2677" s="166"/>
      <c r="C2677" s="168"/>
      <c r="D2677" s="167"/>
      <c r="E2677" s="166"/>
      <c r="F2677" s="165"/>
      <c r="G2677" s="164"/>
    </row>
    <row r="2678" spans="1:7" ht="15.75" thickBot="1" x14ac:dyDescent="0.3">
      <c r="A2678" s="163" t="str">
        <f>E2678&amp;COUNTIFS($E$2:E2678,E2678)</f>
        <v>0</v>
      </c>
      <c r="B2678" s="166"/>
      <c r="C2678" s="162"/>
      <c r="D2678" s="161"/>
      <c r="E2678" s="160"/>
      <c r="F2678" s="159"/>
      <c r="G2678" s="158"/>
    </row>
    <row r="2679" spans="1:7" x14ac:dyDescent="0.25">
      <c r="A2679" s="148"/>
      <c r="C2679" s="143"/>
      <c r="D2679" s="157"/>
      <c r="E2679" s="143"/>
      <c r="F2679" s="156"/>
      <c r="G2679" s="156"/>
    </row>
    <row r="2680" spans="1:7" x14ac:dyDescent="0.25">
      <c r="A2680" s="148"/>
      <c r="C2680" s="153" t="s">
        <v>623</v>
      </c>
      <c r="D2680" s="152"/>
      <c r="E2680" s="151"/>
      <c r="F2680" s="150">
        <f>SUM(F2654:F2678)</f>
        <v>0</v>
      </c>
      <c r="G2680" s="155">
        <f>SUM(G2654:G2678)</f>
        <v>0</v>
      </c>
    </row>
    <row r="2681" spans="1:7" x14ac:dyDescent="0.25">
      <c r="A2681" s="148"/>
      <c r="C2681" s="145" t="s">
        <v>622</v>
      </c>
      <c r="D2681" s="154"/>
      <c r="E2681" s="145"/>
      <c r="F2681" s="144"/>
      <c r="G2681" s="144"/>
    </row>
    <row r="2682" spans="1:7" x14ac:dyDescent="0.25">
      <c r="A2682" s="148"/>
      <c r="C2682" s="153" t="s">
        <v>621</v>
      </c>
      <c r="D2682" s="152"/>
      <c r="E2682" s="151"/>
      <c r="F2682" s="150">
        <f>F2649</f>
        <v>0</v>
      </c>
      <c r="G2682" s="150">
        <f>G2649</f>
        <v>0</v>
      </c>
    </row>
    <row r="2683" spans="1:7" x14ac:dyDescent="0.25">
      <c r="A2683" s="148"/>
      <c r="C2683" s="153" t="s">
        <v>582</v>
      </c>
      <c r="D2683" s="152"/>
      <c r="E2683" s="151"/>
      <c r="F2683" s="150">
        <f>F2682+F2680</f>
        <v>0</v>
      </c>
      <c r="G2683" s="150">
        <f>G2682+G2680</f>
        <v>0</v>
      </c>
    </row>
    <row r="2684" spans="1:7" ht="15.75" thickBot="1" x14ac:dyDescent="0.3">
      <c r="A2684" s="148"/>
      <c r="C2684" s="145"/>
      <c r="D2684" s="149"/>
      <c r="E2684" s="145"/>
      <c r="F2684" s="144"/>
      <c r="G2684" s="144"/>
    </row>
    <row r="2685" spans="1:7" ht="15.75" thickBot="1" x14ac:dyDescent="0.3">
      <c r="A2685" s="148"/>
      <c r="C2685" s="147" t="s">
        <v>620</v>
      </c>
      <c r="D2685" s="146">
        <f>F2683-G2683</f>
        <v>0</v>
      </c>
      <c r="E2685" s="145"/>
      <c r="F2685" s="144"/>
      <c r="G2685" s="144"/>
    </row>
    <row r="2686" spans="1:7" ht="15.75" thickBot="1" x14ac:dyDescent="0.3"/>
    <row r="2687" spans="1:7" ht="30.75" thickBot="1" x14ac:dyDescent="0.3">
      <c r="A2687" s="254" t="s">
        <v>626</v>
      </c>
      <c r="B2687" s="253" t="s">
        <v>606</v>
      </c>
      <c r="C2687" s="252" t="s">
        <v>633</v>
      </c>
      <c r="D2687" s="251" t="s">
        <v>601</v>
      </c>
      <c r="E2687" s="250" t="s">
        <v>287</v>
      </c>
      <c r="F2687" s="249" t="s">
        <v>624</v>
      </c>
      <c r="G2687" s="249" t="s">
        <v>596</v>
      </c>
    </row>
    <row r="2688" spans="1:7" x14ac:dyDescent="0.25">
      <c r="A2688" s="169" t="str">
        <f>E2688&amp;COUNTIFS($E$2:E2688,E2688)</f>
        <v>0</v>
      </c>
      <c r="B2688" s="172"/>
      <c r="C2688" s="174"/>
      <c r="D2688" s="173"/>
      <c r="E2688" s="172"/>
      <c r="F2688" s="171"/>
      <c r="G2688" s="170"/>
    </row>
    <row r="2689" spans="1:7" x14ac:dyDescent="0.25">
      <c r="A2689" s="169" t="str">
        <f>E2689&amp;COUNTIFS($E$2:E2689,E2689)</f>
        <v>0</v>
      </c>
      <c r="B2689" s="166"/>
      <c r="C2689" s="168"/>
      <c r="D2689" s="167"/>
      <c r="E2689" s="166"/>
      <c r="F2689" s="165"/>
      <c r="G2689" s="164"/>
    </row>
    <row r="2690" spans="1:7" x14ac:dyDescent="0.25">
      <c r="A2690" s="169" t="str">
        <f>E2690&amp;COUNTIFS($E$2:E2690,E2690)</f>
        <v>0</v>
      </c>
      <c r="B2690" s="166"/>
      <c r="C2690" s="168"/>
      <c r="D2690" s="167"/>
      <c r="E2690" s="166"/>
      <c r="F2690" s="165"/>
      <c r="G2690" s="164"/>
    </row>
    <row r="2691" spans="1:7" x14ac:dyDescent="0.25">
      <c r="A2691" s="169" t="str">
        <f>E2691&amp;COUNTIFS($E$2:E2691,E2691)</f>
        <v>0</v>
      </c>
      <c r="B2691" s="166"/>
      <c r="C2691" s="168"/>
      <c r="D2691" s="167"/>
      <c r="E2691" s="166"/>
      <c r="F2691" s="165"/>
      <c r="G2691" s="164"/>
    </row>
    <row r="2692" spans="1:7" x14ac:dyDescent="0.25">
      <c r="A2692" s="169" t="str">
        <f>E2692&amp;COUNTIFS($E$2:E2692,E2692)</f>
        <v>0</v>
      </c>
      <c r="B2692" s="166"/>
      <c r="C2692" s="168"/>
      <c r="D2692" s="167"/>
      <c r="E2692" s="166"/>
      <c r="F2692" s="165"/>
      <c r="G2692" s="164"/>
    </row>
    <row r="2693" spans="1:7" x14ac:dyDescent="0.25">
      <c r="A2693" s="169" t="str">
        <f>E2693&amp;COUNTIFS($E$2:E2693,E2693)</f>
        <v>0</v>
      </c>
      <c r="B2693" s="166"/>
      <c r="C2693" s="168"/>
      <c r="D2693" s="167"/>
      <c r="E2693" s="166"/>
      <c r="F2693" s="165"/>
      <c r="G2693" s="164"/>
    </row>
    <row r="2694" spans="1:7" x14ac:dyDescent="0.25">
      <c r="A2694" s="169" t="str">
        <f>E2694&amp;COUNTIFS($E$2:E2694,E2694)</f>
        <v>0</v>
      </c>
      <c r="B2694" s="166"/>
      <c r="C2694" s="168"/>
      <c r="D2694" s="167"/>
      <c r="E2694" s="166"/>
      <c r="F2694" s="165"/>
      <c r="G2694" s="164"/>
    </row>
    <row r="2695" spans="1:7" x14ac:dyDescent="0.25">
      <c r="A2695" s="169" t="str">
        <f>E2695&amp;COUNTIFS($E$2:E2695,E2695)</f>
        <v>0</v>
      </c>
      <c r="B2695" s="166"/>
      <c r="C2695" s="168"/>
      <c r="D2695" s="167"/>
      <c r="E2695" s="166"/>
      <c r="F2695" s="165"/>
      <c r="G2695" s="164"/>
    </row>
    <row r="2696" spans="1:7" x14ac:dyDescent="0.25">
      <c r="A2696" s="169" t="str">
        <f>E2696&amp;COUNTIFS($E$2:E2696,E2696)</f>
        <v>0</v>
      </c>
      <c r="B2696" s="166"/>
      <c r="C2696" s="168"/>
      <c r="D2696" s="167"/>
      <c r="E2696" s="166"/>
      <c r="F2696" s="165"/>
      <c r="G2696" s="164"/>
    </row>
    <row r="2697" spans="1:7" x14ac:dyDescent="0.25">
      <c r="A2697" s="169" t="str">
        <f>E2697&amp;COUNTIFS($E$2:E2697,E2697)</f>
        <v>0</v>
      </c>
      <c r="B2697" s="166"/>
      <c r="C2697" s="168"/>
      <c r="D2697" s="167"/>
      <c r="E2697" s="166"/>
      <c r="F2697" s="165"/>
      <c r="G2697" s="164"/>
    </row>
    <row r="2698" spans="1:7" x14ac:dyDescent="0.25">
      <c r="A2698" s="169" t="str">
        <f>E2698&amp;COUNTIFS($E$2:E2698,E2698)</f>
        <v>0</v>
      </c>
      <c r="B2698" s="166"/>
      <c r="C2698" s="168"/>
      <c r="D2698" s="167"/>
      <c r="E2698" s="166"/>
      <c r="F2698" s="165"/>
      <c r="G2698" s="164"/>
    </row>
    <row r="2699" spans="1:7" x14ac:dyDescent="0.25">
      <c r="A2699" s="169" t="str">
        <f>E2699&amp;COUNTIFS($E$2:E2699,E2699)</f>
        <v>0</v>
      </c>
      <c r="B2699" s="166"/>
      <c r="C2699" s="168"/>
      <c r="D2699" s="167"/>
      <c r="E2699" s="166"/>
      <c r="F2699" s="165"/>
      <c r="G2699" s="164"/>
    </row>
    <row r="2700" spans="1:7" x14ac:dyDescent="0.25">
      <c r="A2700" s="169" t="str">
        <f>E2700&amp;COUNTIFS($E$2:E2700,E2700)</f>
        <v>0</v>
      </c>
      <c r="B2700" s="166"/>
      <c r="C2700" s="168"/>
      <c r="D2700" s="167"/>
      <c r="E2700" s="166"/>
      <c r="F2700" s="165"/>
      <c r="G2700" s="164"/>
    </row>
    <row r="2701" spans="1:7" x14ac:dyDescent="0.25">
      <c r="A2701" s="169" t="str">
        <f>E2701&amp;COUNTIFS($E$2:E2701,E2701)</f>
        <v>0</v>
      </c>
      <c r="B2701" s="166"/>
      <c r="C2701" s="168"/>
      <c r="D2701" s="167"/>
      <c r="E2701" s="166"/>
      <c r="F2701" s="165"/>
      <c r="G2701" s="164"/>
    </row>
    <row r="2702" spans="1:7" x14ac:dyDescent="0.25">
      <c r="A2702" s="169" t="str">
        <f>E2702&amp;COUNTIFS($E$2:E2702,E2702)</f>
        <v>0</v>
      </c>
      <c r="B2702" s="166"/>
      <c r="C2702" s="168"/>
      <c r="D2702" s="167"/>
      <c r="E2702" s="166"/>
      <c r="F2702" s="165"/>
      <c r="G2702" s="164"/>
    </row>
    <row r="2703" spans="1:7" x14ac:dyDescent="0.25">
      <c r="A2703" s="169" t="str">
        <f>E2703&amp;COUNTIFS($E$2:E2703,E2703)</f>
        <v>0</v>
      </c>
      <c r="B2703" s="166"/>
      <c r="C2703" s="168"/>
      <c r="D2703" s="167"/>
      <c r="E2703" s="166"/>
      <c r="F2703" s="165"/>
      <c r="G2703" s="164"/>
    </row>
    <row r="2704" spans="1:7" x14ac:dyDescent="0.25">
      <c r="A2704" s="169" t="str">
        <f>E2704&amp;COUNTIFS($E$2:E2704,E2704)</f>
        <v>0</v>
      </c>
      <c r="B2704" s="166"/>
      <c r="C2704" s="168"/>
      <c r="D2704" s="167"/>
      <c r="E2704" s="166"/>
      <c r="F2704" s="165"/>
      <c r="G2704" s="164"/>
    </row>
    <row r="2705" spans="1:7" x14ac:dyDescent="0.25">
      <c r="A2705" s="169" t="str">
        <f>E2705&amp;COUNTIFS($E$2:E2705,E2705)</f>
        <v>0</v>
      </c>
      <c r="B2705" s="166"/>
      <c r="C2705" s="168"/>
      <c r="D2705" s="167"/>
      <c r="E2705" s="166"/>
      <c r="F2705" s="165"/>
      <c r="G2705" s="164"/>
    </row>
    <row r="2706" spans="1:7" x14ac:dyDescent="0.25">
      <c r="A2706" s="169" t="str">
        <f>E2706&amp;COUNTIFS($E$2:E2706,E2706)</f>
        <v>0</v>
      </c>
      <c r="B2706" s="166"/>
      <c r="C2706" s="168"/>
      <c r="D2706" s="167"/>
      <c r="E2706" s="166"/>
      <c r="F2706" s="165"/>
      <c r="G2706" s="164"/>
    </row>
    <row r="2707" spans="1:7" x14ac:dyDescent="0.25">
      <c r="A2707" s="169" t="str">
        <f>E2707&amp;COUNTIFS($E$2:E2707,E2707)</f>
        <v>0</v>
      </c>
      <c r="B2707" s="166"/>
      <c r="C2707" s="168"/>
      <c r="D2707" s="167"/>
      <c r="E2707" s="166"/>
      <c r="F2707" s="165"/>
      <c r="G2707" s="164"/>
    </row>
    <row r="2708" spans="1:7" x14ac:dyDescent="0.25">
      <c r="A2708" s="169" t="str">
        <f>E2708&amp;COUNTIFS($E$2:E2708,E2708)</f>
        <v>0</v>
      </c>
      <c r="B2708" s="166"/>
      <c r="C2708" s="168"/>
      <c r="D2708" s="167"/>
      <c r="E2708" s="166"/>
      <c r="F2708" s="165"/>
      <c r="G2708" s="164"/>
    </row>
    <row r="2709" spans="1:7" x14ac:dyDescent="0.25">
      <c r="A2709" s="169" t="str">
        <f>E2709&amp;COUNTIFS($E$2:E2709,E2709)</f>
        <v>0</v>
      </c>
      <c r="B2709" s="166"/>
      <c r="C2709" s="168"/>
      <c r="D2709" s="167"/>
      <c r="E2709" s="166"/>
      <c r="F2709" s="165"/>
      <c r="G2709" s="164"/>
    </row>
    <row r="2710" spans="1:7" x14ac:dyDescent="0.25">
      <c r="A2710" s="169" t="str">
        <f>E2710&amp;COUNTIFS($E$2:E2710,E2710)</f>
        <v>0</v>
      </c>
      <c r="B2710" s="166"/>
      <c r="C2710" s="168"/>
      <c r="D2710" s="167"/>
      <c r="E2710" s="166"/>
      <c r="F2710" s="165"/>
      <c r="G2710" s="164"/>
    </row>
    <row r="2711" spans="1:7" x14ac:dyDescent="0.25">
      <c r="A2711" s="169" t="str">
        <f>E2711&amp;COUNTIFS($E$2:E2711,E2711)</f>
        <v>0</v>
      </c>
      <c r="B2711" s="166"/>
      <c r="C2711" s="168"/>
      <c r="D2711" s="167"/>
      <c r="E2711" s="166"/>
      <c r="F2711" s="165"/>
      <c r="G2711" s="164"/>
    </row>
    <row r="2712" spans="1:7" ht="15.75" thickBot="1" x14ac:dyDescent="0.3">
      <c r="A2712" s="163" t="str">
        <f>E2712&amp;COUNTIFS($E$2:E2712,E2712)</f>
        <v>0</v>
      </c>
      <c r="B2712" s="166"/>
      <c r="C2712" s="162"/>
      <c r="D2712" s="161"/>
      <c r="E2712" s="160"/>
      <c r="F2712" s="159"/>
      <c r="G2712" s="158"/>
    </row>
    <row r="2713" spans="1:7" x14ac:dyDescent="0.25">
      <c r="A2713" s="148"/>
      <c r="C2713" s="143"/>
      <c r="D2713" s="157"/>
      <c r="E2713" s="143"/>
      <c r="F2713" s="156"/>
      <c r="G2713" s="156"/>
    </row>
    <row r="2714" spans="1:7" x14ac:dyDescent="0.25">
      <c r="A2714" s="148"/>
      <c r="C2714" s="153" t="s">
        <v>623</v>
      </c>
      <c r="D2714" s="152"/>
      <c r="E2714" s="151"/>
      <c r="F2714" s="150">
        <f>SUM(F2688:F2712)</f>
        <v>0</v>
      </c>
      <c r="G2714" s="155">
        <f>SUM(G2688:G2712)</f>
        <v>0</v>
      </c>
    </row>
    <row r="2715" spans="1:7" x14ac:dyDescent="0.25">
      <c r="A2715" s="148"/>
      <c r="C2715" s="145" t="s">
        <v>622</v>
      </c>
      <c r="D2715" s="154"/>
      <c r="E2715" s="145"/>
      <c r="F2715" s="144"/>
      <c r="G2715" s="144"/>
    </row>
    <row r="2716" spans="1:7" x14ac:dyDescent="0.25">
      <c r="A2716" s="148"/>
      <c r="C2716" s="153" t="s">
        <v>621</v>
      </c>
      <c r="D2716" s="152"/>
      <c r="E2716" s="151"/>
      <c r="F2716" s="150">
        <f>F2683</f>
        <v>0</v>
      </c>
      <c r="G2716" s="150">
        <f>G2683</f>
        <v>0</v>
      </c>
    </row>
    <row r="2717" spans="1:7" x14ac:dyDescent="0.25">
      <c r="A2717" s="148"/>
      <c r="C2717" s="153" t="s">
        <v>582</v>
      </c>
      <c r="D2717" s="152"/>
      <c r="E2717" s="151"/>
      <c r="F2717" s="150">
        <f>F2716+F2714</f>
        <v>0</v>
      </c>
      <c r="G2717" s="150">
        <f>G2716+G2714</f>
        <v>0</v>
      </c>
    </row>
    <row r="2718" spans="1:7" ht="15.75" thickBot="1" x14ac:dyDescent="0.3">
      <c r="A2718" s="148"/>
      <c r="C2718" s="145"/>
      <c r="D2718" s="149"/>
      <c r="E2718" s="145"/>
      <c r="F2718" s="144"/>
      <c r="G2718" s="144"/>
    </row>
    <row r="2719" spans="1:7" ht="15.75" thickBot="1" x14ac:dyDescent="0.3">
      <c r="A2719" s="148"/>
      <c r="C2719" s="147" t="s">
        <v>620</v>
      </c>
      <c r="D2719" s="146">
        <f>F2717-G2717</f>
        <v>0</v>
      </c>
      <c r="E2719" s="145"/>
      <c r="F2719" s="144"/>
      <c r="G2719" s="144"/>
    </row>
    <row r="2720" spans="1:7" ht="15.75" thickBot="1" x14ac:dyDescent="0.3">
      <c r="A2720" s="148"/>
      <c r="C2720" s="145"/>
      <c r="D2720" s="144"/>
      <c r="E2720" s="145"/>
      <c r="F2720" s="144"/>
      <c r="G2720" s="144"/>
    </row>
    <row r="2721" spans="1:7" ht="30.75" thickBot="1" x14ac:dyDescent="0.3">
      <c r="A2721" s="254" t="s">
        <v>626</v>
      </c>
      <c r="B2721" s="253" t="s">
        <v>606</v>
      </c>
      <c r="C2721" s="252" t="s">
        <v>633</v>
      </c>
      <c r="D2721" s="251" t="s">
        <v>601</v>
      </c>
      <c r="E2721" s="250" t="s">
        <v>287</v>
      </c>
      <c r="F2721" s="249" t="s">
        <v>624</v>
      </c>
      <c r="G2721" s="249" t="s">
        <v>596</v>
      </c>
    </row>
    <row r="2722" spans="1:7" x14ac:dyDescent="0.25">
      <c r="A2722" s="169" t="str">
        <f>E2722&amp;COUNTIFS($E$2:E2722,E2722)</f>
        <v>0</v>
      </c>
      <c r="B2722" s="172"/>
      <c r="C2722" s="174"/>
      <c r="D2722" s="173"/>
      <c r="E2722" s="172"/>
      <c r="F2722" s="171"/>
      <c r="G2722" s="170"/>
    </row>
    <row r="2723" spans="1:7" x14ac:dyDescent="0.25">
      <c r="A2723" s="169" t="str">
        <f>E2723&amp;COUNTIFS($E$2:E2723,E2723)</f>
        <v>0</v>
      </c>
      <c r="B2723" s="166"/>
      <c r="C2723" s="168"/>
      <c r="D2723" s="167"/>
      <c r="E2723" s="166"/>
      <c r="F2723" s="165"/>
      <c r="G2723" s="164"/>
    </row>
    <row r="2724" spans="1:7" x14ac:dyDescent="0.25">
      <c r="A2724" s="169" t="str">
        <f>E2724&amp;COUNTIFS($E$2:E2724,E2724)</f>
        <v>0</v>
      </c>
      <c r="B2724" s="166"/>
      <c r="C2724" s="168"/>
      <c r="D2724" s="167"/>
      <c r="E2724" s="166"/>
      <c r="F2724" s="165"/>
      <c r="G2724" s="164"/>
    </row>
    <row r="2725" spans="1:7" x14ac:dyDescent="0.25">
      <c r="A2725" s="169" t="str">
        <f>E2725&amp;COUNTIFS($E$2:E2725,E2725)</f>
        <v>0</v>
      </c>
      <c r="B2725" s="166"/>
      <c r="C2725" s="168"/>
      <c r="D2725" s="167"/>
      <c r="E2725" s="166"/>
      <c r="F2725" s="165"/>
      <c r="G2725" s="164"/>
    </row>
    <row r="2726" spans="1:7" x14ac:dyDescent="0.25">
      <c r="A2726" s="169" t="str">
        <f>E2726&amp;COUNTIFS($E$2:E2726,E2726)</f>
        <v>0</v>
      </c>
      <c r="B2726" s="166"/>
      <c r="C2726" s="168"/>
      <c r="D2726" s="167"/>
      <c r="E2726" s="166"/>
      <c r="F2726" s="165"/>
      <c r="G2726" s="164"/>
    </row>
    <row r="2727" spans="1:7" x14ac:dyDescent="0.25">
      <c r="A2727" s="169" t="str">
        <f>E2727&amp;COUNTIFS($E$2:E2727,E2727)</f>
        <v>0</v>
      </c>
      <c r="B2727" s="166"/>
      <c r="C2727" s="168"/>
      <c r="D2727" s="167"/>
      <c r="E2727" s="166"/>
      <c r="F2727" s="165"/>
      <c r="G2727" s="164"/>
    </row>
    <row r="2728" spans="1:7" x14ac:dyDescent="0.25">
      <c r="A2728" s="169" t="str">
        <f>E2728&amp;COUNTIFS($E$2:E2728,E2728)</f>
        <v>0</v>
      </c>
      <c r="B2728" s="166"/>
      <c r="C2728" s="168"/>
      <c r="D2728" s="167"/>
      <c r="E2728" s="166"/>
      <c r="F2728" s="165"/>
      <c r="G2728" s="164"/>
    </row>
    <row r="2729" spans="1:7" x14ac:dyDescent="0.25">
      <c r="A2729" s="169" t="str">
        <f>E2729&amp;COUNTIFS($E$2:E2729,E2729)</f>
        <v>0</v>
      </c>
      <c r="B2729" s="166"/>
      <c r="C2729" s="168"/>
      <c r="D2729" s="167"/>
      <c r="E2729" s="166"/>
      <c r="F2729" s="165"/>
      <c r="G2729" s="164"/>
    </row>
    <row r="2730" spans="1:7" x14ac:dyDescent="0.25">
      <c r="A2730" s="169" t="str">
        <f>E2730&amp;COUNTIFS($E$2:E2730,E2730)</f>
        <v>0</v>
      </c>
      <c r="B2730" s="166"/>
      <c r="C2730" s="168"/>
      <c r="D2730" s="167"/>
      <c r="E2730" s="166"/>
      <c r="F2730" s="165"/>
      <c r="G2730" s="164"/>
    </row>
    <row r="2731" spans="1:7" x14ac:dyDescent="0.25">
      <c r="A2731" s="169" t="str">
        <f>E2731&amp;COUNTIFS($E$2:E2731,E2731)</f>
        <v>0</v>
      </c>
      <c r="B2731" s="166"/>
      <c r="C2731" s="168"/>
      <c r="D2731" s="167"/>
      <c r="E2731" s="166"/>
      <c r="F2731" s="165"/>
      <c r="G2731" s="164"/>
    </row>
    <row r="2732" spans="1:7" x14ac:dyDescent="0.25">
      <c r="A2732" s="169" t="str">
        <f>E2732&amp;COUNTIFS($E$2:E2732,E2732)</f>
        <v>0</v>
      </c>
      <c r="B2732" s="166"/>
      <c r="C2732" s="168"/>
      <c r="D2732" s="167"/>
      <c r="E2732" s="166"/>
      <c r="F2732" s="165"/>
      <c r="G2732" s="164"/>
    </row>
    <row r="2733" spans="1:7" x14ac:dyDescent="0.25">
      <c r="A2733" s="169" t="str">
        <f>E2733&amp;COUNTIFS($E$2:E2733,E2733)</f>
        <v>0</v>
      </c>
      <c r="B2733" s="166"/>
      <c r="C2733" s="168"/>
      <c r="D2733" s="167"/>
      <c r="E2733" s="166"/>
      <c r="F2733" s="165"/>
      <c r="G2733" s="164"/>
    </row>
    <row r="2734" spans="1:7" x14ac:dyDescent="0.25">
      <c r="A2734" s="169" t="str">
        <f>E2734&amp;COUNTIFS($E$2:E2734,E2734)</f>
        <v>0</v>
      </c>
      <c r="B2734" s="166"/>
      <c r="C2734" s="168"/>
      <c r="D2734" s="167"/>
      <c r="E2734" s="166"/>
      <c r="F2734" s="165"/>
      <c r="G2734" s="164"/>
    </row>
    <row r="2735" spans="1:7" x14ac:dyDescent="0.25">
      <c r="A2735" s="169" t="str">
        <f>E2735&amp;COUNTIFS($E$2:E2735,E2735)</f>
        <v>0</v>
      </c>
      <c r="B2735" s="166"/>
      <c r="C2735" s="168"/>
      <c r="D2735" s="167"/>
      <c r="E2735" s="166"/>
      <c r="F2735" s="165"/>
      <c r="G2735" s="164"/>
    </row>
    <row r="2736" spans="1:7" x14ac:dyDescent="0.25">
      <c r="A2736" s="169" t="str">
        <f>E2736&amp;COUNTIFS($E$2:E2736,E2736)</f>
        <v>0</v>
      </c>
      <c r="B2736" s="166"/>
      <c r="C2736" s="168"/>
      <c r="D2736" s="167"/>
      <c r="E2736" s="166"/>
      <c r="F2736" s="165"/>
      <c r="G2736" s="164"/>
    </row>
    <row r="2737" spans="1:7" x14ac:dyDescent="0.25">
      <c r="A2737" s="169" t="str">
        <f>E2737&amp;COUNTIFS($E$2:E2737,E2737)</f>
        <v>0</v>
      </c>
      <c r="B2737" s="166"/>
      <c r="C2737" s="168"/>
      <c r="D2737" s="167"/>
      <c r="E2737" s="166"/>
      <c r="F2737" s="165"/>
      <c r="G2737" s="164"/>
    </row>
    <row r="2738" spans="1:7" x14ac:dyDescent="0.25">
      <c r="A2738" s="169" t="str">
        <f>E2738&amp;COUNTIFS($E$2:E2738,E2738)</f>
        <v>0</v>
      </c>
      <c r="B2738" s="166"/>
      <c r="C2738" s="168"/>
      <c r="D2738" s="167"/>
      <c r="E2738" s="166"/>
      <c r="F2738" s="165"/>
      <c r="G2738" s="164"/>
    </row>
    <row r="2739" spans="1:7" x14ac:dyDescent="0.25">
      <c r="A2739" s="169" t="str">
        <f>E2739&amp;COUNTIFS($E$2:E2739,E2739)</f>
        <v>0</v>
      </c>
      <c r="B2739" s="166"/>
      <c r="C2739" s="168"/>
      <c r="D2739" s="167"/>
      <c r="E2739" s="166"/>
      <c r="F2739" s="165"/>
      <c r="G2739" s="164"/>
    </row>
    <row r="2740" spans="1:7" x14ac:dyDescent="0.25">
      <c r="A2740" s="169" t="str">
        <f>E2740&amp;COUNTIFS($E$2:E2740,E2740)</f>
        <v>0</v>
      </c>
      <c r="B2740" s="166"/>
      <c r="C2740" s="168"/>
      <c r="D2740" s="167"/>
      <c r="E2740" s="166"/>
      <c r="F2740" s="165"/>
      <c r="G2740" s="164"/>
    </row>
    <row r="2741" spans="1:7" x14ac:dyDescent="0.25">
      <c r="A2741" s="169" t="str">
        <f>E2741&amp;COUNTIFS($E$2:E2741,E2741)</f>
        <v>0</v>
      </c>
      <c r="B2741" s="166"/>
      <c r="C2741" s="168"/>
      <c r="D2741" s="167"/>
      <c r="E2741" s="166"/>
      <c r="F2741" s="165"/>
      <c r="G2741" s="164"/>
    </row>
    <row r="2742" spans="1:7" x14ac:dyDescent="0.25">
      <c r="A2742" s="169" t="str">
        <f>E2742&amp;COUNTIFS($E$2:E2742,E2742)</f>
        <v>0</v>
      </c>
      <c r="B2742" s="166"/>
      <c r="C2742" s="168"/>
      <c r="D2742" s="167"/>
      <c r="E2742" s="166"/>
      <c r="F2742" s="165"/>
      <c r="G2742" s="164"/>
    </row>
    <row r="2743" spans="1:7" x14ac:dyDescent="0.25">
      <c r="A2743" s="169" t="str">
        <f>E2743&amp;COUNTIFS($E$2:E2743,E2743)</f>
        <v>0</v>
      </c>
      <c r="B2743" s="166"/>
      <c r="C2743" s="168"/>
      <c r="D2743" s="167"/>
      <c r="E2743" s="166"/>
      <c r="F2743" s="165"/>
      <c r="G2743" s="164"/>
    </row>
    <row r="2744" spans="1:7" x14ac:dyDescent="0.25">
      <c r="A2744" s="169" t="str">
        <f>E2744&amp;COUNTIFS($E$2:E2744,E2744)</f>
        <v>0</v>
      </c>
      <c r="B2744" s="166"/>
      <c r="C2744" s="168"/>
      <c r="D2744" s="167"/>
      <c r="E2744" s="166"/>
      <c r="F2744" s="165"/>
      <c r="G2744" s="164"/>
    </row>
    <row r="2745" spans="1:7" x14ac:dyDescent="0.25">
      <c r="A2745" s="169" t="str">
        <f>E2745&amp;COUNTIFS($E$2:E2745,E2745)</f>
        <v>0</v>
      </c>
      <c r="B2745" s="166"/>
      <c r="C2745" s="168"/>
      <c r="D2745" s="167"/>
      <c r="E2745" s="166"/>
      <c r="F2745" s="165"/>
      <c r="G2745" s="164"/>
    </row>
    <row r="2746" spans="1:7" ht="15.75" thickBot="1" x14ac:dyDescent="0.3">
      <c r="A2746" s="163" t="str">
        <f>E2746&amp;COUNTIFS($E$2:E2746,E2746)</f>
        <v>0</v>
      </c>
      <c r="B2746" s="166"/>
      <c r="C2746" s="162"/>
      <c r="D2746" s="161"/>
      <c r="E2746" s="160"/>
      <c r="F2746" s="159"/>
      <c r="G2746" s="158"/>
    </row>
    <row r="2747" spans="1:7" x14ac:dyDescent="0.25">
      <c r="A2747" s="148"/>
      <c r="C2747" s="143"/>
      <c r="D2747" s="157"/>
      <c r="E2747" s="143"/>
      <c r="F2747" s="156"/>
      <c r="G2747" s="156"/>
    </row>
    <row r="2748" spans="1:7" x14ac:dyDescent="0.25">
      <c r="A2748" s="148"/>
      <c r="C2748" s="153" t="s">
        <v>623</v>
      </c>
      <c r="D2748" s="152"/>
      <c r="E2748" s="151"/>
      <c r="F2748" s="150">
        <f>SUM(F2722:F2746)</f>
        <v>0</v>
      </c>
      <c r="G2748" s="155">
        <f>SUM(G2722:G2746)</f>
        <v>0</v>
      </c>
    </row>
    <row r="2749" spans="1:7" x14ac:dyDescent="0.25">
      <c r="A2749" s="148"/>
      <c r="C2749" s="145" t="s">
        <v>622</v>
      </c>
      <c r="D2749" s="154"/>
      <c r="E2749" s="145"/>
      <c r="F2749" s="144"/>
      <c r="G2749" s="144"/>
    </row>
    <row r="2750" spans="1:7" x14ac:dyDescent="0.25">
      <c r="A2750" s="148"/>
      <c r="C2750" s="153" t="s">
        <v>621</v>
      </c>
      <c r="D2750" s="152"/>
      <c r="E2750" s="151"/>
      <c r="F2750" s="150">
        <f>F2717</f>
        <v>0</v>
      </c>
      <c r="G2750" s="150">
        <f>G2717</f>
        <v>0</v>
      </c>
    </row>
    <row r="2751" spans="1:7" x14ac:dyDescent="0.25">
      <c r="A2751" s="148"/>
      <c r="C2751" s="153" t="s">
        <v>582</v>
      </c>
      <c r="D2751" s="152"/>
      <c r="E2751" s="151"/>
      <c r="F2751" s="150">
        <f>F2750+F2748</f>
        <v>0</v>
      </c>
      <c r="G2751" s="150">
        <f>G2750+G2748</f>
        <v>0</v>
      </c>
    </row>
    <row r="2752" spans="1:7" ht="15.75" thickBot="1" x14ac:dyDescent="0.3">
      <c r="A2752" s="148"/>
      <c r="C2752" s="145"/>
      <c r="D2752" s="149"/>
      <c r="E2752" s="145"/>
      <c r="F2752" s="144"/>
      <c r="G2752" s="144"/>
    </row>
    <row r="2753" spans="1:7" ht="15.75" thickBot="1" x14ac:dyDescent="0.3">
      <c r="A2753" s="148"/>
      <c r="C2753" s="147" t="s">
        <v>620</v>
      </c>
      <c r="D2753" s="146">
        <f>F2751-G2751</f>
        <v>0</v>
      </c>
      <c r="E2753" s="145"/>
      <c r="F2753" s="144"/>
      <c r="G2753" s="144"/>
    </row>
    <row r="2754" spans="1:7" ht="15.75" thickBot="1" x14ac:dyDescent="0.3">
      <c r="A2754" s="148"/>
      <c r="C2754" s="145"/>
      <c r="D2754" s="144"/>
      <c r="E2754" s="145"/>
      <c r="F2754" s="144"/>
      <c r="G2754" s="144"/>
    </row>
    <row r="2755" spans="1:7" ht="30.75" thickBot="1" x14ac:dyDescent="0.3">
      <c r="A2755" s="254" t="s">
        <v>626</v>
      </c>
      <c r="B2755" s="253" t="s">
        <v>606</v>
      </c>
      <c r="C2755" s="252" t="s">
        <v>633</v>
      </c>
      <c r="D2755" s="251" t="s">
        <v>601</v>
      </c>
      <c r="E2755" s="250" t="s">
        <v>287</v>
      </c>
      <c r="F2755" s="249" t="s">
        <v>624</v>
      </c>
      <c r="G2755" s="249" t="s">
        <v>596</v>
      </c>
    </row>
    <row r="2756" spans="1:7" x14ac:dyDescent="0.25">
      <c r="A2756" s="169" t="str">
        <f>E2756&amp;COUNTIFS($E$2:E2756,E2756)</f>
        <v>0</v>
      </c>
      <c r="B2756" s="172"/>
      <c r="C2756" s="174"/>
      <c r="D2756" s="173"/>
      <c r="E2756" s="172"/>
      <c r="F2756" s="171"/>
      <c r="G2756" s="170"/>
    </row>
    <row r="2757" spans="1:7" x14ac:dyDescent="0.25">
      <c r="A2757" s="169" t="str">
        <f>E2757&amp;COUNTIFS($E$2:E2757,E2757)</f>
        <v>0</v>
      </c>
      <c r="B2757" s="166"/>
      <c r="C2757" s="168"/>
      <c r="D2757" s="167"/>
      <c r="E2757" s="166"/>
      <c r="F2757" s="165"/>
      <c r="G2757" s="164"/>
    </row>
    <row r="2758" spans="1:7" x14ac:dyDescent="0.25">
      <c r="A2758" s="169" t="str">
        <f>E2758&amp;COUNTIFS($E$2:E2758,E2758)</f>
        <v>0</v>
      </c>
      <c r="B2758" s="166"/>
      <c r="C2758" s="168"/>
      <c r="D2758" s="167"/>
      <c r="E2758" s="166"/>
      <c r="F2758" s="165"/>
      <c r="G2758" s="164"/>
    </row>
    <row r="2759" spans="1:7" x14ac:dyDescent="0.25">
      <c r="A2759" s="169" t="str">
        <f>E2759&amp;COUNTIFS($E$2:E2759,E2759)</f>
        <v>0</v>
      </c>
      <c r="B2759" s="166"/>
      <c r="C2759" s="168"/>
      <c r="D2759" s="167"/>
      <c r="E2759" s="166"/>
      <c r="F2759" s="165"/>
      <c r="G2759" s="164"/>
    </row>
    <row r="2760" spans="1:7" x14ac:dyDescent="0.25">
      <c r="A2760" s="169" t="str">
        <f>E2760&amp;COUNTIFS($E$2:E2760,E2760)</f>
        <v>0</v>
      </c>
      <c r="B2760" s="166"/>
      <c r="C2760" s="168"/>
      <c r="D2760" s="167"/>
      <c r="E2760" s="166"/>
      <c r="F2760" s="165"/>
      <c r="G2760" s="164"/>
    </row>
    <row r="2761" spans="1:7" x14ac:dyDescent="0.25">
      <c r="A2761" s="169" t="str">
        <f>E2761&amp;COUNTIFS($E$2:E2761,E2761)</f>
        <v>0</v>
      </c>
      <c r="B2761" s="166"/>
      <c r="C2761" s="168"/>
      <c r="D2761" s="167"/>
      <c r="E2761" s="166"/>
      <c r="F2761" s="165"/>
      <c r="G2761" s="164"/>
    </row>
    <row r="2762" spans="1:7" x14ac:dyDescent="0.25">
      <c r="A2762" s="169" t="str">
        <f>E2762&amp;COUNTIFS($E$2:E2762,E2762)</f>
        <v>0</v>
      </c>
      <c r="B2762" s="166"/>
      <c r="C2762" s="168"/>
      <c r="D2762" s="167"/>
      <c r="E2762" s="166"/>
      <c r="F2762" s="165"/>
      <c r="G2762" s="164"/>
    </row>
    <row r="2763" spans="1:7" x14ac:dyDescent="0.25">
      <c r="A2763" s="169" t="str">
        <f>E2763&amp;COUNTIFS($E$2:E2763,E2763)</f>
        <v>0</v>
      </c>
      <c r="B2763" s="166"/>
      <c r="C2763" s="168"/>
      <c r="D2763" s="167"/>
      <c r="E2763" s="166"/>
      <c r="F2763" s="165"/>
      <c r="G2763" s="164"/>
    </row>
    <row r="2764" spans="1:7" x14ac:dyDescent="0.25">
      <c r="A2764" s="169" t="str">
        <f>E2764&amp;COUNTIFS($E$2:E2764,E2764)</f>
        <v>0</v>
      </c>
      <c r="B2764" s="166"/>
      <c r="C2764" s="168"/>
      <c r="D2764" s="167"/>
      <c r="E2764" s="166"/>
      <c r="F2764" s="165"/>
      <c r="G2764" s="164"/>
    </row>
    <row r="2765" spans="1:7" x14ac:dyDescent="0.25">
      <c r="A2765" s="169" t="str">
        <f>E2765&amp;COUNTIFS($E$2:E2765,E2765)</f>
        <v>0</v>
      </c>
      <c r="B2765" s="166"/>
      <c r="C2765" s="168"/>
      <c r="D2765" s="167"/>
      <c r="E2765" s="166"/>
      <c r="F2765" s="165"/>
      <c r="G2765" s="164"/>
    </row>
    <row r="2766" spans="1:7" x14ac:dyDescent="0.25">
      <c r="A2766" s="169" t="str">
        <f>E2766&amp;COUNTIFS($E$2:E2766,E2766)</f>
        <v>0</v>
      </c>
      <c r="B2766" s="166"/>
      <c r="C2766" s="168"/>
      <c r="D2766" s="167"/>
      <c r="E2766" s="166"/>
      <c r="F2766" s="165"/>
      <c r="G2766" s="164"/>
    </row>
    <row r="2767" spans="1:7" x14ac:dyDescent="0.25">
      <c r="A2767" s="169" t="str">
        <f>E2767&amp;COUNTIFS($E$2:E2767,E2767)</f>
        <v>0</v>
      </c>
      <c r="B2767" s="166"/>
      <c r="C2767" s="168"/>
      <c r="D2767" s="167"/>
      <c r="E2767" s="166"/>
      <c r="F2767" s="165"/>
      <c r="G2767" s="164"/>
    </row>
    <row r="2768" spans="1:7" x14ac:dyDescent="0.25">
      <c r="A2768" s="169" t="str">
        <f>E2768&amp;COUNTIFS($E$2:E2768,E2768)</f>
        <v>0</v>
      </c>
      <c r="B2768" s="166"/>
      <c r="C2768" s="168"/>
      <c r="D2768" s="167"/>
      <c r="E2768" s="166"/>
      <c r="F2768" s="165"/>
      <c r="G2768" s="164"/>
    </row>
    <row r="2769" spans="1:7" x14ac:dyDescent="0.25">
      <c r="A2769" s="169" t="str">
        <f>E2769&amp;COUNTIFS($E$2:E2769,E2769)</f>
        <v>0</v>
      </c>
      <c r="B2769" s="166"/>
      <c r="C2769" s="168"/>
      <c r="D2769" s="167"/>
      <c r="E2769" s="166"/>
      <c r="F2769" s="165"/>
      <c r="G2769" s="164"/>
    </row>
    <row r="2770" spans="1:7" x14ac:dyDescent="0.25">
      <c r="A2770" s="169" t="str">
        <f>E2770&amp;COUNTIFS($E$2:E2770,E2770)</f>
        <v>0</v>
      </c>
      <c r="B2770" s="166"/>
      <c r="C2770" s="168"/>
      <c r="D2770" s="167"/>
      <c r="E2770" s="166"/>
      <c r="F2770" s="165"/>
      <c r="G2770" s="164"/>
    </row>
    <row r="2771" spans="1:7" x14ac:dyDescent="0.25">
      <c r="A2771" s="169" t="str">
        <f>E2771&amp;COUNTIFS($E$2:E2771,E2771)</f>
        <v>0</v>
      </c>
      <c r="B2771" s="166"/>
      <c r="C2771" s="168"/>
      <c r="D2771" s="167"/>
      <c r="E2771" s="166"/>
      <c r="F2771" s="165"/>
      <c r="G2771" s="164"/>
    </row>
    <row r="2772" spans="1:7" x14ac:dyDescent="0.25">
      <c r="A2772" s="169" t="str">
        <f>E2772&amp;COUNTIFS($E$2:E2772,E2772)</f>
        <v>0</v>
      </c>
      <c r="B2772" s="166"/>
      <c r="C2772" s="168"/>
      <c r="D2772" s="167"/>
      <c r="E2772" s="166"/>
      <c r="F2772" s="165"/>
      <c r="G2772" s="164"/>
    </row>
    <row r="2773" spans="1:7" x14ac:dyDescent="0.25">
      <c r="A2773" s="169" t="str">
        <f>E2773&amp;COUNTIFS($E$2:E2773,E2773)</f>
        <v>0</v>
      </c>
      <c r="B2773" s="166"/>
      <c r="C2773" s="168"/>
      <c r="D2773" s="167"/>
      <c r="E2773" s="166"/>
      <c r="F2773" s="165"/>
      <c r="G2773" s="164"/>
    </row>
    <row r="2774" spans="1:7" x14ac:dyDescent="0.25">
      <c r="A2774" s="169" t="str">
        <f>E2774&amp;COUNTIFS($E$2:E2774,E2774)</f>
        <v>0</v>
      </c>
      <c r="B2774" s="166"/>
      <c r="C2774" s="168"/>
      <c r="D2774" s="167"/>
      <c r="E2774" s="166"/>
      <c r="F2774" s="165"/>
      <c r="G2774" s="164"/>
    </row>
    <row r="2775" spans="1:7" x14ac:dyDescent="0.25">
      <c r="A2775" s="169" t="str">
        <f>E2775&amp;COUNTIFS($E$2:E2775,E2775)</f>
        <v>0</v>
      </c>
      <c r="B2775" s="166"/>
      <c r="C2775" s="168"/>
      <c r="D2775" s="167"/>
      <c r="E2775" s="166"/>
      <c r="F2775" s="165"/>
      <c r="G2775" s="164"/>
    </row>
    <row r="2776" spans="1:7" x14ac:dyDescent="0.25">
      <c r="A2776" s="169" t="str">
        <f>E2776&amp;COUNTIFS($E$2:E2776,E2776)</f>
        <v>0</v>
      </c>
      <c r="B2776" s="166"/>
      <c r="C2776" s="168"/>
      <c r="D2776" s="167"/>
      <c r="E2776" s="166"/>
      <c r="F2776" s="165"/>
      <c r="G2776" s="164"/>
    </row>
    <row r="2777" spans="1:7" x14ac:dyDescent="0.25">
      <c r="A2777" s="169" t="str">
        <f>E2777&amp;COUNTIFS($E$2:E2777,E2777)</f>
        <v>0</v>
      </c>
      <c r="B2777" s="166"/>
      <c r="C2777" s="168"/>
      <c r="D2777" s="167"/>
      <c r="E2777" s="166"/>
      <c r="F2777" s="165"/>
      <c r="G2777" s="164"/>
    </row>
    <row r="2778" spans="1:7" x14ac:dyDescent="0.25">
      <c r="A2778" s="169" t="str">
        <f>E2778&amp;COUNTIFS($E$2:E2778,E2778)</f>
        <v>0</v>
      </c>
      <c r="B2778" s="166"/>
      <c r="C2778" s="168"/>
      <c r="D2778" s="167"/>
      <c r="E2778" s="166"/>
      <c r="F2778" s="165"/>
      <c r="G2778" s="164"/>
    </row>
    <row r="2779" spans="1:7" x14ac:dyDescent="0.25">
      <c r="A2779" s="169" t="str">
        <f>E2779&amp;COUNTIFS($E$2:E2779,E2779)</f>
        <v>0</v>
      </c>
      <c r="B2779" s="166"/>
      <c r="C2779" s="168"/>
      <c r="D2779" s="167"/>
      <c r="E2779" s="166"/>
      <c r="F2779" s="165"/>
      <c r="G2779" s="164"/>
    </row>
    <row r="2780" spans="1:7" ht="15.75" thickBot="1" x14ac:dyDescent="0.3">
      <c r="A2780" s="163" t="str">
        <f>E2780&amp;COUNTIFS($E$2:E2780,E2780)</f>
        <v>0</v>
      </c>
      <c r="B2780" s="166"/>
      <c r="C2780" s="162"/>
      <c r="D2780" s="161"/>
      <c r="E2780" s="160"/>
      <c r="F2780" s="159"/>
      <c r="G2780" s="158"/>
    </row>
    <row r="2781" spans="1:7" x14ac:dyDescent="0.25">
      <c r="A2781" s="148"/>
      <c r="C2781" s="143"/>
      <c r="D2781" s="157"/>
      <c r="E2781" s="143"/>
      <c r="F2781" s="156"/>
      <c r="G2781" s="156"/>
    </row>
    <row r="2782" spans="1:7" x14ac:dyDescent="0.25">
      <c r="A2782" s="148"/>
      <c r="C2782" s="153" t="s">
        <v>623</v>
      </c>
      <c r="D2782" s="152"/>
      <c r="E2782" s="151"/>
      <c r="F2782" s="150">
        <f>SUM(F2756:F2780)</f>
        <v>0</v>
      </c>
      <c r="G2782" s="155">
        <f>SUM(G2756:G2780)</f>
        <v>0</v>
      </c>
    </row>
    <row r="2783" spans="1:7" x14ac:dyDescent="0.25">
      <c r="A2783" s="148"/>
      <c r="C2783" s="145" t="s">
        <v>622</v>
      </c>
      <c r="D2783" s="154"/>
      <c r="E2783" s="145"/>
      <c r="F2783" s="144"/>
      <c r="G2783" s="144"/>
    </row>
    <row r="2784" spans="1:7" x14ac:dyDescent="0.25">
      <c r="A2784" s="148"/>
      <c r="C2784" s="153" t="s">
        <v>621</v>
      </c>
      <c r="D2784" s="152"/>
      <c r="E2784" s="151"/>
      <c r="F2784" s="150">
        <f>F2751</f>
        <v>0</v>
      </c>
      <c r="G2784" s="150">
        <f>G2751</f>
        <v>0</v>
      </c>
    </row>
    <row r="2785" spans="1:7" x14ac:dyDescent="0.25">
      <c r="A2785" s="148"/>
      <c r="C2785" s="153" t="s">
        <v>582</v>
      </c>
      <c r="D2785" s="152"/>
      <c r="E2785" s="151"/>
      <c r="F2785" s="150">
        <f>F2784+F2782</f>
        <v>0</v>
      </c>
      <c r="G2785" s="150">
        <f>G2784+G2782</f>
        <v>0</v>
      </c>
    </row>
    <row r="2786" spans="1:7" ht="15.75" thickBot="1" x14ac:dyDescent="0.3">
      <c r="A2786" s="148"/>
      <c r="C2786" s="145"/>
      <c r="D2786" s="149"/>
      <c r="E2786" s="145"/>
      <c r="F2786" s="144"/>
      <c r="G2786" s="144"/>
    </row>
    <row r="2787" spans="1:7" ht="15.75" thickBot="1" x14ac:dyDescent="0.3">
      <c r="A2787" s="148"/>
      <c r="C2787" s="147" t="s">
        <v>620</v>
      </c>
      <c r="D2787" s="146">
        <f>F2785-G2785</f>
        <v>0</v>
      </c>
      <c r="E2787" s="145"/>
      <c r="F2787" s="144"/>
      <c r="G2787" s="144"/>
    </row>
    <row r="2788" spans="1:7" ht="15.75" thickBot="1" x14ac:dyDescent="0.3">
      <c r="A2788" s="148"/>
      <c r="C2788" s="145"/>
      <c r="D2788" s="144"/>
      <c r="E2788" s="145"/>
      <c r="F2788" s="144"/>
      <c r="G2788" s="144"/>
    </row>
    <row r="2789" spans="1:7" ht="30.75" thickBot="1" x14ac:dyDescent="0.3">
      <c r="A2789" s="248" t="s">
        <v>626</v>
      </c>
      <c r="B2789" s="247" t="s">
        <v>606</v>
      </c>
      <c r="C2789" s="246" t="s">
        <v>632</v>
      </c>
      <c r="D2789" s="245" t="s">
        <v>601</v>
      </c>
      <c r="E2789" s="244" t="s">
        <v>287</v>
      </c>
      <c r="F2789" s="243" t="s">
        <v>624</v>
      </c>
      <c r="G2789" s="243" t="s">
        <v>596</v>
      </c>
    </row>
    <row r="2790" spans="1:7" x14ac:dyDescent="0.25">
      <c r="A2790" s="169" t="str">
        <f>E2790&amp;COUNTIFS($E$2:E2790,E2790)</f>
        <v>0</v>
      </c>
      <c r="B2790" s="172"/>
      <c r="C2790" s="174"/>
      <c r="D2790" s="173"/>
      <c r="E2790" s="172"/>
      <c r="F2790" s="171"/>
      <c r="G2790" s="170"/>
    </row>
    <row r="2791" spans="1:7" x14ac:dyDescent="0.25">
      <c r="A2791" s="169" t="str">
        <f>E2791&amp;COUNTIFS($E$2:E2791,E2791)</f>
        <v>0</v>
      </c>
      <c r="B2791" s="166"/>
      <c r="C2791" s="168"/>
      <c r="D2791" s="167"/>
      <c r="E2791" s="166"/>
      <c r="F2791" s="165"/>
      <c r="G2791" s="164"/>
    </row>
    <row r="2792" spans="1:7" x14ac:dyDescent="0.25">
      <c r="A2792" s="169" t="str">
        <f>E2792&amp;COUNTIFS($E$2:E2792,E2792)</f>
        <v>0</v>
      </c>
      <c r="B2792" s="166"/>
      <c r="C2792" s="168"/>
      <c r="D2792" s="167"/>
      <c r="E2792" s="166"/>
      <c r="F2792" s="165"/>
      <c r="G2792" s="164"/>
    </row>
    <row r="2793" spans="1:7" x14ac:dyDescent="0.25">
      <c r="A2793" s="169" t="str">
        <f>E2793&amp;COUNTIFS($E$2:E2793,E2793)</f>
        <v>0</v>
      </c>
      <c r="B2793" s="166"/>
      <c r="C2793" s="168"/>
      <c r="D2793" s="167"/>
      <c r="E2793" s="166"/>
      <c r="F2793" s="165"/>
      <c r="G2793" s="164"/>
    </row>
    <row r="2794" spans="1:7" x14ac:dyDescent="0.25">
      <c r="A2794" s="169" t="str">
        <f>E2794&amp;COUNTIFS($E$2:E2794,E2794)</f>
        <v>0</v>
      </c>
      <c r="B2794" s="166"/>
      <c r="C2794" s="168"/>
      <c r="D2794" s="167"/>
      <c r="E2794" s="166"/>
      <c r="F2794" s="165"/>
      <c r="G2794" s="164"/>
    </row>
    <row r="2795" spans="1:7" x14ac:dyDescent="0.25">
      <c r="A2795" s="169" t="str">
        <f>E2795&amp;COUNTIFS($E$2:E2795,E2795)</f>
        <v>0</v>
      </c>
      <c r="B2795" s="166"/>
      <c r="C2795" s="168"/>
      <c r="D2795" s="167"/>
      <c r="E2795" s="166"/>
      <c r="F2795" s="165"/>
      <c r="G2795" s="164"/>
    </row>
    <row r="2796" spans="1:7" x14ac:dyDescent="0.25">
      <c r="A2796" s="169" t="str">
        <f>E2796&amp;COUNTIFS($E$2:E2796,E2796)</f>
        <v>0</v>
      </c>
      <c r="B2796" s="166"/>
      <c r="C2796" s="168"/>
      <c r="D2796" s="167"/>
      <c r="E2796" s="166"/>
      <c r="F2796" s="165"/>
      <c r="G2796" s="164"/>
    </row>
    <row r="2797" spans="1:7" x14ac:dyDescent="0.25">
      <c r="A2797" s="169" t="str">
        <f>E2797&amp;COUNTIFS($E$2:E2797,E2797)</f>
        <v>0</v>
      </c>
      <c r="B2797" s="166"/>
      <c r="C2797" s="168"/>
      <c r="D2797" s="167"/>
      <c r="E2797" s="166"/>
      <c r="F2797" s="165"/>
      <c r="G2797" s="164"/>
    </row>
    <row r="2798" spans="1:7" x14ac:dyDescent="0.25">
      <c r="A2798" s="169" t="str">
        <f>E2798&amp;COUNTIFS($E$2:E2798,E2798)</f>
        <v>0</v>
      </c>
      <c r="B2798" s="166"/>
      <c r="C2798" s="168"/>
      <c r="D2798" s="167"/>
      <c r="E2798" s="166"/>
      <c r="F2798" s="165"/>
      <c r="G2798" s="164"/>
    </row>
    <row r="2799" spans="1:7" x14ac:dyDescent="0.25">
      <c r="A2799" s="169" t="str">
        <f>E2799&amp;COUNTIFS($E$2:E2799,E2799)</f>
        <v>0</v>
      </c>
      <c r="B2799" s="166"/>
      <c r="C2799" s="168"/>
      <c r="D2799" s="167"/>
      <c r="E2799" s="166"/>
      <c r="F2799" s="165"/>
      <c r="G2799" s="164"/>
    </row>
    <row r="2800" spans="1:7" x14ac:dyDescent="0.25">
      <c r="A2800" s="169" t="str">
        <f>E2800&amp;COUNTIFS($E$2:E2800,E2800)</f>
        <v>0</v>
      </c>
      <c r="B2800" s="166"/>
      <c r="C2800" s="168"/>
      <c r="D2800" s="167"/>
      <c r="E2800" s="166"/>
      <c r="F2800" s="165"/>
      <c r="G2800" s="164"/>
    </row>
    <row r="2801" spans="1:9" x14ac:dyDescent="0.25">
      <c r="A2801" s="169" t="str">
        <f>E2801&amp;COUNTIFS($E$2:E2801,E2801)</f>
        <v>0</v>
      </c>
      <c r="B2801" s="166"/>
      <c r="C2801" s="168"/>
      <c r="D2801" s="167"/>
      <c r="E2801" s="166"/>
      <c r="F2801" s="165"/>
      <c r="G2801" s="164"/>
    </row>
    <row r="2802" spans="1:9" x14ac:dyDescent="0.25">
      <c r="A2802" s="169" t="str">
        <f>E2802&amp;COUNTIFS($E$2:E2802,E2802)</f>
        <v>0</v>
      </c>
      <c r="B2802" s="166"/>
      <c r="C2802" s="168"/>
      <c r="D2802" s="167"/>
      <c r="E2802" s="166"/>
      <c r="F2802" s="165"/>
      <c r="G2802" s="164"/>
    </row>
    <row r="2803" spans="1:9" x14ac:dyDescent="0.25">
      <c r="A2803" s="169" t="str">
        <f>E2803&amp;COUNTIFS($E$2:E2803,E2803)</f>
        <v>0</v>
      </c>
      <c r="B2803" s="166"/>
      <c r="C2803" s="168"/>
      <c r="D2803" s="167"/>
      <c r="E2803" s="166"/>
      <c r="F2803" s="165"/>
      <c r="G2803" s="164"/>
    </row>
    <row r="2804" spans="1:9" x14ac:dyDescent="0.25">
      <c r="A2804" s="169" t="str">
        <f>E2804&amp;COUNTIFS($E$2:E2804,E2804)</f>
        <v>0</v>
      </c>
      <c r="B2804" s="166"/>
      <c r="C2804" s="168"/>
      <c r="D2804" s="167"/>
      <c r="E2804" s="166"/>
      <c r="F2804" s="165"/>
      <c r="G2804" s="164"/>
    </row>
    <row r="2805" spans="1:9" x14ac:dyDescent="0.25">
      <c r="A2805" s="169" t="str">
        <f>E2805&amp;COUNTIFS($E$2:E2805,E2805)</f>
        <v>0</v>
      </c>
      <c r="B2805" s="166"/>
      <c r="C2805" s="168"/>
      <c r="D2805" s="167"/>
      <c r="E2805" s="166"/>
      <c r="F2805" s="165"/>
      <c r="G2805" s="164"/>
    </row>
    <row r="2806" spans="1:9" x14ac:dyDescent="0.25">
      <c r="A2806" s="169" t="str">
        <f>E2806&amp;COUNTIFS($E$2:E2806,E2806)</f>
        <v>0</v>
      </c>
      <c r="B2806" s="166"/>
      <c r="C2806" s="168"/>
      <c r="D2806" s="167"/>
      <c r="E2806" s="166"/>
      <c r="F2806" s="165"/>
      <c r="G2806" s="164"/>
    </row>
    <row r="2807" spans="1:9" x14ac:dyDescent="0.25">
      <c r="A2807" s="169" t="str">
        <f>E2807&amp;COUNTIFS($E$2:E2807,E2807)</f>
        <v>0</v>
      </c>
      <c r="B2807" s="166"/>
      <c r="C2807" s="168"/>
      <c r="D2807" s="167"/>
      <c r="E2807" s="166"/>
      <c r="F2807" s="165"/>
      <c r="G2807" s="164"/>
    </row>
    <row r="2808" spans="1:9" x14ac:dyDescent="0.25">
      <c r="A2808" s="169" t="str">
        <f>E2808&amp;COUNTIFS($E$2:E2808,E2808)</f>
        <v>0</v>
      </c>
      <c r="B2808" s="166"/>
      <c r="C2808" s="168"/>
      <c r="D2808" s="167"/>
      <c r="E2808" s="166"/>
      <c r="F2808" s="165"/>
      <c r="G2808" s="164"/>
    </row>
    <row r="2809" spans="1:9" x14ac:dyDescent="0.25">
      <c r="A2809" s="169" t="str">
        <f>E2809&amp;COUNTIFS($E$2:E2809,E2809)</f>
        <v>0</v>
      </c>
      <c r="B2809" s="166"/>
      <c r="C2809" s="168"/>
      <c r="D2809" s="167"/>
      <c r="E2809" s="166"/>
      <c r="F2809" s="165"/>
      <c r="G2809" s="164"/>
    </row>
    <row r="2810" spans="1:9" x14ac:dyDescent="0.25">
      <c r="A2810" s="169" t="str">
        <f>E2810&amp;COUNTIFS($E$2:E2810,E2810)</f>
        <v>0</v>
      </c>
      <c r="B2810" s="166"/>
      <c r="C2810" s="168"/>
      <c r="D2810" s="167"/>
      <c r="E2810" s="166"/>
      <c r="F2810" s="165"/>
      <c r="G2810" s="164"/>
    </row>
    <row r="2811" spans="1:9" x14ac:dyDescent="0.25">
      <c r="A2811" s="169" t="str">
        <f>E2811&amp;COUNTIFS($E$2:E2811,E2811)</f>
        <v>0</v>
      </c>
      <c r="B2811" s="166"/>
      <c r="C2811" s="168"/>
      <c r="D2811" s="167"/>
      <c r="E2811" s="166"/>
      <c r="F2811" s="165"/>
      <c r="G2811" s="164"/>
    </row>
    <row r="2812" spans="1:9" x14ac:dyDescent="0.25">
      <c r="A2812" s="169" t="str">
        <f>E2812&amp;COUNTIFS($E$2:E2812,E2812)</f>
        <v>0</v>
      </c>
      <c r="B2812" s="166"/>
      <c r="C2812" s="168"/>
      <c r="D2812" s="167"/>
      <c r="E2812" s="166"/>
      <c r="F2812" s="165"/>
      <c r="G2812" s="164"/>
    </row>
    <row r="2813" spans="1:9" x14ac:dyDescent="0.25">
      <c r="A2813" s="169" t="str">
        <f>E2813&amp;COUNTIFS($E$2:E2813,E2813)</f>
        <v>0</v>
      </c>
      <c r="B2813" s="166"/>
      <c r="C2813" s="168"/>
      <c r="D2813" s="167"/>
      <c r="E2813" s="166"/>
      <c r="F2813" s="165"/>
      <c r="G2813" s="164"/>
    </row>
    <row r="2814" spans="1:9" ht="15.75" thickBot="1" x14ac:dyDescent="0.3">
      <c r="A2814" s="163" t="str">
        <f>E2814&amp;COUNTIFS($E$2:E2814,E2814)</f>
        <v>0</v>
      </c>
      <c r="B2814" s="166"/>
      <c r="C2814" s="162"/>
      <c r="D2814" s="161"/>
      <c r="E2814" s="160"/>
      <c r="F2814" s="159"/>
      <c r="G2814" s="158"/>
    </row>
    <row r="2815" spans="1:9" x14ac:dyDescent="0.25">
      <c r="A2815" s="148"/>
      <c r="C2815" s="143"/>
      <c r="D2815" s="157"/>
      <c r="E2815" s="143"/>
      <c r="F2815" s="156"/>
      <c r="G2815" s="156"/>
    </row>
    <row r="2816" spans="1:9" x14ac:dyDescent="0.25">
      <c r="A2816" s="148"/>
      <c r="C2816" s="153" t="s">
        <v>623</v>
      </c>
      <c r="D2816" s="152"/>
      <c r="E2816" s="151"/>
      <c r="F2816" s="150">
        <f>SUM(F2790:F2814)</f>
        <v>0</v>
      </c>
      <c r="G2816" s="155">
        <f>SUM(G2790:G2814)</f>
        <v>0</v>
      </c>
      <c r="I2816" s="182"/>
    </row>
    <row r="2817" spans="1:7" x14ac:dyDescent="0.25">
      <c r="A2817" s="148"/>
      <c r="C2817" s="145" t="s">
        <v>622</v>
      </c>
      <c r="D2817" s="154"/>
      <c r="E2817" s="145"/>
      <c r="F2817" s="144"/>
      <c r="G2817" s="144"/>
    </row>
    <row r="2818" spans="1:7" x14ac:dyDescent="0.25">
      <c r="A2818" s="148"/>
      <c r="C2818" s="153" t="s">
        <v>621</v>
      </c>
      <c r="D2818" s="152"/>
      <c r="E2818" s="151"/>
      <c r="F2818" s="150">
        <f>F2785</f>
        <v>0</v>
      </c>
      <c r="G2818" s="150">
        <f>G2785</f>
        <v>0</v>
      </c>
    </row>
    <row r="2819" spans="1:7" x14ac:dyDescent="0.25">
      <c r="A2819" s="148"/>
      <c r="C2819" s="153" t="s">
        <v>582</v>
      </c>
      <c r="D2819" s="152"/>
      <c r="E2819" s="151"/>
      <c r="F2819" s="150">
        <f>F2818+F2816</f>
        <v>0</v>
      </c>
      <c r="G2819" s="150">
        <f>G2818+G2816</f>
        <v>0</v>
      </c>
    </row>
    <row r="2820" spans="1:7" ht="15.75" thickBot="1" x14ac:dyDescent="0.3">
      <c r="A2820" s="148"/>
      <c r="C2820" s="145"/>
      <c r="D2820" s="149"/>
      <c r="E2820" s="145"/>
      <c r="F2820" s="144"/>
      <c r="G2820" s="144"/>
    </row>
    <row r="2821" spans="1:7" ht="15.75" thickBot="1" x14ac:dyDescent="0.3">
      <c r="A2821" s="148"/>
      <c r="C2821" s="147" t="s">
        <v>620</v>
      </c>
      <c r="D2821" s="146">
        <f>F2819-G2819</f>
        <v>0</v>
      </c>
      <c r="E2821" s="145"/>
      <c r="F2821" s="144"/>
      <c r="G2821" s="144"/>
    </row>
    <row r="2822" spans="1:7" ht="15.75" thickBot="1" x14ac:dyDescent="0.3"/>
    <row r="2823" spans="1:7" ht="30.75" thickBot="1" x14ac:dyDescent="0.3">
      <c r="A2823" s="181" t="s">
        <v>626</v>
      </c>
      <c r="B2823" s="180" t="s">
        <v>606</v>
      </c>
      <c r="C2823" s="179" t="s">
        <v>632</v>
      </c>
      <c r="D2823" s="178" t="s">
        <v>601</v>
      </c>
      <c r="E2823" s="177" t="s">
        <v>287</v>
      </c>
      <c r="F2823" s="176" t="s">
        <v>624</v>
      </c>
      <c r="G2823" s="176" t="s">
        <v>596</v>
      </c>
    </row>
    <row r="2824" spans="1:7" x14ac:dyDescent="0.25">
      <c r="A2824" s="169" t="str">
        <f>E2824&amp;COUNTIFS($E$2:E2824,E2824)</f>
        <v>0</v>
      </c>
      <c r="B2824" s="172"/>
      <c r="C2824" s="174"/>
      <c r="D2824" s="173"/>
      <c r="E2824" s="172"/>
      <c r="F2824" s="171"/>
      <c r="G2824" s="170"/>
    </row>
    <row r="2825" spans="1:7" x14ac:dyDescent="0.25">
      <c r="A2825" s="169" t="str">
        <f>E2825&amp;COUNTIFS($E$2:E2825,E2825)</f>
        <v>0</v>
      </c>
      <c r="B2825" s="166"/>
      <c r="C2825" s="168"/>
      <c r="D2825" s="167"/>
      <c r="E2825" s="166"/>
      <c r="F2825" s="165"/>
      <c r="G2825" s="164"/>
    </row>
    <row r="2826" spans="1:7" x14ac:dyDescent="0.25">
      <c r="A2826" s="169" t="str">
        <f>E2826&amp;COUNTIFS($E$2:E2826,E2826)</f>
        <v>0</v>
      </c>
      <c r="B2826" s="166"/>
      <c r="C2826" s="168"/>
      <c r="D2826" s="167"/>
      <c r="E2826" s="166"/>
      <c r="F2826" s="165"/>
      <c r="G2826" s="164"/>
    </row>
    <row r="2827" spans="1:7" x14ac:dyDescent="0.25">
      <c r="A2827" s="169" t="str">
        <f>E2827&amp;COUNTIFS($E$2:E2827,E2827)</f>
        <v>0</v>
      </c>
      <c r="B2827" s="166"/>
      <c r="C2827" s="168"/>
      <c r="D2827" s="167"/>
      <c r="E2827" s="166"/>
      <c r="F2827" s="165"/>
      <c r="G2827" s="164"/>
    </row>
    <row r="2828" spans="1:7" x14ac:dyDescent="0.25">
      <c r="A2828" s="169" t="str">
        <f>E2828&amp;COUNTIFS($E$2:E2828,E2828)</f>
        <v>0</v>
      </c>
      <c r="B2828" s="166"/>
      <c r="C2828" s="168"/>
      <c r="D2828" s="167"/>
      <c r="E2828" s="166"/>
      <c r="F2828" s="165"/>
      <c r="G2828" s="164"/>
    </row>
    <row r="2829" spans="1:7" x14ac:dyDescent="0.25">
      <c r="A2829" s="169" t="str">
        <f>E2829&amp;COUNTIFS($E$2:E2829,E2829)</f>
        <v>0</v>
      </c>
      <c r="B2829" s="166"/>
      <c r="C2829" s="168"/>
      <c r="D2829" s="167"/>
      <c r="E2829" s="166"/>
      <c r="F2829" s="165"/>
      <c r="G2829" s="164"/>
    </row>
    <row r="2830" spans="1:7" x14ac:dyDescent="0.25">
      <c r="A2830" s="169" t="str">
        <f>E2830&amp;COUNTIFS($E$2:E2830,E2830)</f>
        <v>0</v>
      </c>
      <c r="B2830" s="166"/>
      <c r="C2830" s="168"/>
      <c r="D2830" s="167"/>
      <c r="E2830" s="166"/>
      <c r="F2830" s="165"/>
      <c r="G2830" s="164"/>
    </row>
    <row r="2831" spans="1:7" x14ac:dyDescent="0.25">
      <c r="A2831" s="169" t="str">
        <f>E2831&amp;COUNTIFS($E$2:E2831,E2831)</f>
        <v>0</v>
      </c>
      <c r="B2831" s="166"/>
      <c r="C2831" s="168"/>
      <c r="D2831" s="167"/>
      <c r="E2831" s="166"/>
      <c r="F2831" s="165"/>
      <c r="G2831" s="164"/>
    </row>
    <row r="2832" spans="1:7" x14ac:dyDescent="0.25">
      <c r="A2832" s="169" t="str">
        <f>E2832&amp;COUNTIFS($E$2:E2832,E2832)</f>
        <v>0</v>
      </c>
      <c r="B2832" s="166"/>
      <c r="C2832" s="168"/>
      <c r="D2832" s="167"/>
      <c r="E2832" s="166"/>
      <c r="F2832" s="165"/>
      <c r="G2832" s="164"/>
    </row>
    <row r="2833" spans="1:7" x14ac:dyDescent="0.25">
      <c r="A2833" s="169" t="str">
        <f>E2833&amp;COUNTIFS($E$2:E2833,E2833)</f>
        <v>0</v>
      </c>
      <c r="B2833" s="166"/>
      <c r="C2833" s="168"/>
      <c r="D2833" s="167"/>
      <c r="E2833" s="166"/>
      <c r="F2833" s="165"/>
      <c r="G2833" s="164"/>
    </row>
    <row r="2834" spans="1:7" x14ac:dyDescent="0.25">
      <c r="A2834" s="169" t="str">
        <f>E2834&amp;COUNTIFS($E$2:E2834,E2834)</f>
        <v>0</v>
      </c>
      <c r="B2834" s="166"/>
      <c r="C2834" s="168"/>
      <c r="D2834" s="167"/>
      <c r="E2834" s="166"/>
      <c r="F2834" s="165"/>
      <c r="G2834" s="164"/>
    </row>
    <row r="2835" spans="1:7" x14ac:dyDescent="0.25">
      <c r="A2835" s="169" t="str">
        <f>E2835&amp;COUNTIFS($E$2:E2835,E2835)</f>
        <v>0</v>
      </c>
      <c r="B2835" s="166"/>
      <c r="C2835" s="168"/>
      <c r="D2835" s="167"/>
      <c r="E2835" s="166"/>
      <c r="F2835" s="165"/>
      <c r="G2835" s="164"/>
    </row>
    <row r="2836" spans="1:7" x14ac:dyDescent="0.25">
      <c r="A2836" s="169" t="str">
        <f>E2836&amp;COUNTIFS($E$2:E2836,E2836)</f>
        <v>0</v>
      </c>
      <c r="B2836" s="166"/>
      <c r="C2836" s="168"/>
      <c r="D2836" s="167"/>
      <c r="E2836" s="166"/>
      <c r="F2836" s="165"/>
      <c r="G2836" s="164"/>
    </row>
    <row r="2837" spans="1:7" x14ac:dyDescent="0.25">
      <c r="A2837" s="169" t="str">
        <f>E2837&amp;COUNTIFS($E$2:E2837,E2837)</f>
        <v>0</v>
      </c>
      <c r="B2837" s="166"/>
      <c r="C2837" s="168"/>
      <c r="D2837" s="167"/>
      <c r="E2837" s="166"/>
      <c r="F2837" s="165"/>
      <c r="G2837" s="164"/>
    </row>
    <row r="2838" spans="1:7" x14ac:dyDescent="0.25">
      <c r="A2838" s="169" t="str">
        <f>E2838&amp;COUNTIFS($E$2:E2838,E2838)</f>
        <v>0</v>
      </c>
      <c r="B2838" s="166"/>
      <c r="C2838" s="168"/>
      <c r="D2838" s="167"/>
      <c r="E2838" s="166"/>
      <c r="F2838" s="165"/>
      <c r="G2838" s="164"/>
    </row>
    <row r="2839" spans="1:7" x14ac:dyDescent="0.25">
      <c r="A2839" s="169" t="str">
        <f>E2839&amp;COUNTIFS($E$2:E2839,E2839)</f>
        <v>0</v>
      </c>
      <c r="B2839" s="166"/>
      <c r="C2839" s="168"/>
      <c r="D2839" s="167"/>
      <c r="E2839" s="166"/>
      <c r="F2839" s="165"/>
      <c r="G2839" s="164"/>
    </row>
    <row r="2840" spans="1:7" x14ac:dyDescent="0.25">
      <c r="A2840" s="169" t="str">
        <f>E2840&amp;COUNTIFS($E$2:E2840,E2840)</f>
        <v>0</v>
      </c>
      <c r="B2840" s="166"/>
      <c r="C2840" s="168"/>
      <c r="D2840" s="167"/>
      <c r="E2840" s="166"/>
      <c r="F2840" s="165"/>
      <c r="G2840" s="164"/>
    </row>
    <row r="2841" spans="1:7" x14ac:dyDescent="0.25">
      <c r="A2841" s="169" t="str">
        <f>E2841&amp;COUNTIFS($E$2:E2841,E2841)</f>
        <v>0</v>
      </c>
      <c r="B2841" s="166"/>
      <c r="C2841" s="168"/>
      <c r="D2841" s="167"/>
      <c r="E2841" s="166"/>
      <c r="F2841" s="165"/>
      <c r="G2841" s="164"/>
    </row>
    <row r="2842" spans="1:7" x14ac:dyDescent="0.25">
      <c r="A2842" s="169" t="str">
        <f>E2842&amp;COUNTIFS($E$2:E2842,E2842)</f>
        <v>0</v>
      </c>
      <c r="B2842" s="166"/>
      <c r="C2842" s="168"/>
      <c r="D2842" s="167"/>
      <c r="E2842" s="166"/>
      <c r="F2842" s="165"/>
      <c r="G2842" s="164"/>
    </row>
    <row r="2843" spans="1:7" x14ac:dyDescent="0.25">
      <c r="A2843" s="169" t="str">
        <f>E2843&amp;COUNTIFS($E$2:E2843,E2843)</f>
        <v>0</v>
      </c>
      <c r="B2843" s="166"/>
      <c r="C2843" s="168"/>
      <c r="D2843" s="167"/>
      <c r="E2843" s="166"/>
      <c r="F2843" s="165"/>
      <c r="G2843" s="164"/>
    </row>
    <row r="2844" spans="1:7" x14ac:dyDescent="0.25">
      <c r="A2844" s="169" t="str">
        <f>E2844&amp;COUNTIFS($E$2:E2844,E2844)</f>
        <v>0</v>
      </c>
      <c r="B2844" s="166"/>
      <c r="C2844" s="168"/>
      <c r="D2844" s="167"/>
      <c r="E2844" s="166"/>
      <c r="F2844" s="165"/>
      <c r="G2844" s="164"/>
    </row>
    <row r="2845" spans="1:7" x14ac:dyDescent="0.25">
      <c r="A2845" s="169" t="str">
        <f>E2845&amp;COUNTIFS($E$2:E2845,E2845)</f>
        <v>0</v>
      </c>
      <c r="B2845" s="166"/>
      <c r="C2845" s="168"/>
      <c r="D2845" s="167"/>
      <c r="E2845" s="166"/>
      <c r="F2845" s="165"/>
      <c r="G2845" s="164"/>
    </row>
    <row r="2846" spans="1:7" x14ac:dyDescent="0.25">
      <c r="A2846" s="169" t="str">
        <f>E2846&amp;COUNTIFS($E$2:E2846,E2846)</f>
        <v>0</v>
      </c>
      <c r="B2846" s="166"/>
      <c r="C2846" s="168"/>
      <c r="D2846" s="167"/>
      <c r="E2846" s="166"/>
      <c r="F2846" s="165"/>
      <c r="G2846" s="164"/>
    </row>
    <row r="2847" spans="1:7" x14ac:dyDescent="0.25">
      <c r="A2847" s="169" t="str">
        <f>E2847&amp;COUNTIFS($E$2:E2847,E2847)</f>
        <v>0</v>
      </c>
      <c r="B2847" s="166"/>
      <c r="C2847" s="168"/>
      <c r="D2847" s="167"/>
      <c r="E2847" s="166"/>
      <c r="F2847" s="165"/>
      <c r="G2847" s="164"/>
    </row>
    <row r="2848" spans="1:7" ht="15.75" thickBot="1" x14ac:dyDescent="0.3">
      <c r="A2848" s="163" t="str">
        <f>E2848&amp;COUNTIFS($E$2:E2848,E2848)</f>
        <v>0</v>
      </c>
      <c r="B2848" s="166"/>
      <c r="C2848" s="162"/>
      <c r="D2848" s="161"/>
      <c r="E2848" s="160"/>
      <c r="F2848" s="159"/>
      <c r="G2848" s="158"/>
    </row>
    <row r="2849" spans="1:7" x14ac:dyDescent="0.25">
      <c r="A2849" s="148"/>
      <c r="C2849" s="143"/>
      <c r="D2849" s="157"/>
      <c r="E2849" s="143"/>
      <c r="F2849" s="156"/>
      <c r="G2849" s="156"/>
    </row>
    <row r="2850" spans="1:7" x14ac:dyDescent="0.25">
      <c r="A2850" s="148"/>
      <c r="C2850" s="153" t="s">
        <v>623</v>
      </c>
      <c r="D2850" s="152"/>
      <c r="E2850" s="151"/>
      <c r="F2850" s="150">
        <f>SUM(F2824:F2848)</f>
        <v>0</v>
      </c>
      <c r="G2850" s="155">
        <f>SUM(G2824:G2848)</f>
        <v>0</v>
      </c>
    </row>
    <row r="2851" spans="1:7" x14ac:dyDescent="0.25">
      <c r="A2851" s="148"/>
      <c r="C2851" s="145" t="s">
        <v>622</v>
      </c>
      <c r="D2851" s="154"/>
      <c r="E2851" s="145"/>
      <c r="F2851" s="144"/>
      <c r="G2851" s="144"/>
    </row>
    <row r="2852" spans="1:7" x14ac:dyDescent="0.25">
      <c r="A2852" s="148"/>
      <c r="C2852" s="153" t="s">
        <v>621</v>
      </c>
      <c r="D2852" s="152"/>
      <c r="E2852" s="151"/>
      <c r="F2852" s="150">
        <f>F2819</f>
        <v>0</v>
      </c>
      <c r="G2852" s="150">
        <f>G2819</f>
        <v>0</v>
      </c>
    </row>
    <row r="2853" spans="1:7" x14ac:dyDescent="0.25">
      <c r="A2853" s="148"/>
      <c r="C2853" s="153" t="s">
        <v>582</v>
      </c>
      <c r="D2853" s="152"/>
      <c r="E2853" s="151"/>
      <c r="F2853" s="150">
        <f>F2852+F2850</f>
        <v>0</v>
      </c>
      <c r="G2853" s="150">
        <f>G2852+G2850</f>
        <v>0</v>
      </c>
    </row>
    <row r="2854" spans="1:7" ht="15.75" thickBot="1" x14ac:dyDescent="0.3">
      <c r="A2854" s="148"/>
      <c r="C2854" s="145"/>
      <c r="D2854" s="149"/>
      <c r="E2854" s="145"/>
      <c r="F2854" s="144"/>
      <c r="G2854" s="144"/>
    </row>
    <row r="2855" spans="1:7" ht="15.75" thickBot="1" x14ac:dyDescent="0.3">
      <c r="A2855" s="148"/>
      <c r="C2855" s="147" t="s">
        <v>620</v>
      </c>
      <c r="D2855" s="146">
        <f>F2853-G2853</f>
        <v>0</v>
      </c>
      <c r="E2855" s="145"/>
      <c r="F2855" s="144"/>
      <c r="G2855" s="144"/>
    </row>
    <row r="2856" spans="1:7" ht="15.75" thickBot="1" x14ac:dyDescent="0.3"/>
    <row r="2857" spans="1:7" ht="30.75" thickBot="1" x14ac:dyDescent="0.3">
      <c r="A2857" s="181" t="s">
        <v>626</v>
      </c>
      <c r="B2857" s="180" t="s">
        <v>606</v>
      </c>
      <c r="C2857" s="179" t="s">
        <v>632</v>
      </c>
      <c r="D2857" s="178" t="s">
        <v>601</v>
      </c>
      <c r="E2857" s="177" t="s">
        <v>287</v>
      </c>
      <c r="F2857" s="176" t="s">
        <v>624</v>
      </c>
      <c r="G2857" s="176" t="s">
        <v>596</v>
      </c>
    </row>
    <row r="2858" spans="1:7" x14ac:dyDescent="0.25">
      <c r="A2858" s="169" t="str">
        <f>E2858&amp;COUNTIFS($E$2:E2858,E2858)</f>
        <v>0</v>
      </c>
      <c r="B2858" s="172"/>
      <c r="C2858" s="174"/>
      <c r="D2858" s="173"/>
      <c r="E2858" s="172"/>
      <c r="F2858" s="171"/>
      <c r="G2858" s="170"/>
    </row>
    <row r="2859" spans="1:7" x14ac:dyDescent="0.25">
      <c r="A2859" s="169" t="str">
        <f>E2859&amp;COUNTIFS($E$2:E2859,E2859)</f>
        <v>0</v>
      </c>
      <c r="B2859" s="166"/>
      <c r="C2859" s="168"/>
      <c r="D2859" s="167"/>
      <c r="E2859" s="166"/>
      <c r="F2859" s="165"/>
      <c r="G2859" s="164"/>
    </row>
    <row r="2860" spans="1:7" x14ac:dyDescent="0.25">
      <c r="A2860" s="169" t="str">
        <f>E2860&amp;COUNTIFS($E$2:E2860,E2860)</f>
        <v>0</v>
      </c>
      <c r="B2860" s="166"/>
      <c r="C2860" s="168"/>
      <c r="D2860" s="167"/>
      <c r="E2860" s="166"/>
      <c r="F2860" s="165"/>
      <c r="G2860" s="164"/>
    </row>
    <row r="2861" spans="1:7" x14ac:dyDescent="0.25">
      <c r="A2861" s="169" t="str">
        <f>E2861&amp;COUNTIFS($E$2:E2861,E2861)</f>
        <v>0</v>
      </c>
      <c r="B2861" s="166"/>
      <c r="C2861" s="168"/>
      <c r="D2861" s="167"/>
      <c r="E2861" s="166"/>
      <c r="F2861" s="165"/>
      <c r="G2861" s="164"/>
    </row>
    <row r="2862" spans="1:7" x14ac:dyDescent="0.25">
      <c r="A2862" s="169" t="str">
        <f>E2862&amp;COUNTIFS($E$2:E2862,E2862)</f>
        <v>0</v>
      </c>
      <c r="B2862" s="166"/>
      <c r="C2862" s="168"/>
      <c r="D2862" s="167"/>
      <c r="E2862" s="166"/>
      <c r="F2862" s="165"/>
      <c r="G2862" s="164"/>
    </row>
    <row r="2863" spans="1:7" x14ac:dyDescent="0.25">
      <c r="A2863" s="169" t="str">
        <f>E2863&amp;COUNTIFS($E$2:E2863,E2863)</f>
        <v>0</v>
      </c>
      <c r="B2863" s="166"/>
      <c r="C2863" s="168"/>
      <c r="D2863" s="167"/>
      <c r="E2863" s="166"/>
      <c r="F2863" s="165"/>
      <c r="G2863" s="164"/>
    </row>
    <row r="2864" spans="1:7" x14ac:dyDescent="0.25">
      <c r="A2864" s="169" t="str">
        <f>E2864&amp;COUNTIFS($E$2:E2864,E2864)</f>
        <v>0</v>
      </c>
      <c r="B2864" s="166"/>
      <c r="C2864" s="168"/>
      <c r="D2864" s="167"/>
      <c r="E2864" s="166"/>
      <c r="F2864" s="165"/>
      <c r="G2864" s="164"/>
    </row>
    <row r="2865" spans="1:7" x14ac:dyDescent="0.25">
      <c r="A2865" s="169" t="str">
        <f>E2865&amp;COUNTIFS($E$2:E2865,E2865)</f>
        <v>0</v>
      </c>
      <c r="B2865" s="166"/>
      <c r="C2865" s="168"/>
      <c r="D2865" s="167"/>
      <c r="E2865" s="166"/>
      <c r="F2865" s="165"/>
      <c r="G2865" s="164"/>
    </row>
    <row r="2866" spans="1:7" x14ac:dyDescent="0.25">
      <c r="A2866" s="169" t="str">
        <f>E2866&amp;COUNTIFS($E$2:E2866,E2866)</f>
        <v>0</v>
      </c>
      <c r="B2866" s="166"/>
      <c r="C2866" s="168"/>
      <c r="D2866" s="167"/>
      <c r="E2866" s="166"/>
      <c r="F2866" s="165"/>
      <c r="G2866" s="164"/>
    </row>
    <row r="2867" spans="1:7" x14ac:dyDescent="0.25">
      <c r="A2867" s="169" t="str">
        <f>E2867&amp;COUNTIFS($E$2:E2867,E2867)</f>
        <v>0</v>
      </c>
      <c r="B2867" s="166"/>
      <c r="C2867" s="168"/>
      <c r="D2867" s="167"/>
      <c r="E2867" s="166"/>
      <c r="F2867" s="165"/>
      <c r="G2867" s="164"/>
    </row>
    <row r="2868" spans="1:7" x14ac:dyDescent="0.25">
      <c r="A2868" s="169" t="str">
        <f>E2868&amp;COUNTIFS($E$2:E2868,E2868)</f>
        <v>0</v>
      </c>
      <c r="B2868" s="166"/>
      <c r="C2868" s="168"/>
      <c r="D2868" s="167"/>
      <c r="E2868" s="166"/>
      <c r="F2868" s="165"/>
      <c r="G2868" s="164"/>
    </row>
    <row r="2869" spans="1:7" x14ac:dyDescent="0.25">
      <c r="A2869" s="169" t="str">
        <f>E2869&amp;COUNTIFS($E$2:E2869,E2869)</f>
        <v>0</v>
      </c>
      <c r="B2869" s="166"/>
      <c r="C2869" s="168"/>
      <c r="D2869" s="167"/>
      <c r="E2869" s="166"/>
      <c r="F2869" s="165"/>
      <c r="G2869" s="164"/>
    </row>
    <row r="2870" spans="1:7" x14ac:dyDescent="0.25">
      <c r="A2870" s="169" t="str">
        <f>E2870&amp;COUNTIFS($E$2:E2870,E2870)</f>
        <v>0</v>
      </c>
      <c r="B2870" s="166"/>
      <c r="C2870" s="168"/>
      <c r="D2870" s="167"/>
      <c r="E2870" s="166"/>
      <c r="F2870" s="165"/>
      <c r="G2870" s="164"/>
    </row>
    <row r="2871" spans="1:7" x14ac:dyDescent="0.25">
      <c r="A2871" s="169" t="str">
        <f>E2871&amp;COUNTIFS($E$2:E2871,E2871)</f>
        <v>0</v>
      </c>
      <c r="B2871" s="166"/>
      <c r="C2871" s="168"/>
      <c r="D2871" s="167"/>
      <c r="E2871" s="166"/>
      <c r="F2871" s="165"/>
      <c r="G2871" s="164"/>
    </row>
    <row r="2872" spans="1:7" x14ac:dyDescent="0.25">
      <c r="A2872" s="169" t="str">
        <f>E2872&amp;COUNTIFS($E$2:E2872,E2872)</f>
        <v>0</v>
      </c>
      <c r="B2872" s="166"/>
      <c r="C2872" s="168"/>
      <c r="D2872" s="167"/>
      <c r="E2872" s="166"/>
      <c r="F2872" s="165"/>
      <c r="G2872" s="164"/>
    </row>
    <row r="2873" spans="1:7" x14ac:dyDescent="0.25">
      <c r="A2873" s="169" t="str">
        <f>E2873&amp;COUNTIFS($E$2:E2873,E2873)</f>
        <v>0</v>
      </c>
      <c r="B2873" s="166"/>
      <c r="C2873" s="168"/>
      <c r="D2873" s="167"/>
      <c r="E2873" s="166"/>
      <c r="F2873" s="165"/>
      <c r="G2873" s="164"/>
    </row>
    <row r="2874" spans="1:7" x14ac:dyDescent="0.25">
      <c r="A2874" s="169" t="str">
        <f>E2874&amp;COUNTIFS($E$2:E2874,E2874)</f>
        <v>0</v>
      </c>
      <c r="B2874" s="166"/>
      <c r="C2874" s="168"/>
      <c r="D2874" s="167"/>
      <c r="E2874" s="166"/>
      <c r="F2874" s="165"/>
      <c r="G2874" s="164"/>
    </row>
    <row r="2875" spans="1:7" x14ac:dyDescent="0.25">
      <c r="A2875" s="169" t="str">
        <f>E2875&amp;COUNTIFS($E$2:E2875,E2875)</f>
        <v>0</v>
      </c>
      <c r="B2875" s="166"/>
      <c r="C2875" s="168"/>
      <c r="D2875" s="167"/>
      <c r="E2875" s="166"/>
      <c r="F2875" s="165"/>
      <c r="G2875" s="164"/>
    </row>
    <row r="2876" spans="1:7" x14ac:dyDescent="0.25">
      <c r="A2876" s="169" t="str">
        <f>E2876&amp;COUNTIFS($E$2:E2876,E2876)</f>
        <v>0</v>
      </c>
      <c r="B2876" s="166"/>
      <c r="C2876" s="168"/>
      <c r="D2876" s="167"/>
      <c r="E2876" s="166"/>
      <c r="F2876" s="165"/>
      <c r="G2876" s="164"/>
    </row>
    <row r="2877" spans="1:7" x14ac:dyDescent="0.25">
      <c r="A2877" s="169" t="str">
        <f>E2877&amp;COUNTIFS($E$2:E2877,E2877)</f>
        <v>0</v>
      </c>
      <c r="B2877" s="166"/>
      <c r="C2877" s="168"/>
      <c r="D2877" s="167"/>
      <c r="E2877" s="166"/>
      <c r="F2877" s="165"/>
      <c r="G2877" s="164"/>
    </row>
    <row r="2878" spans="1:7" x14ac:dyDescent="0.25">
      <c r="A2878" s="169" t="str">
        <f>E2878&amp;COUNTIFS($E$2:E2878,E2878)</f>
        <v>0</v>
      </c>
      <c r="B2878" s="166"/>
      <c r="C2878" s="168"/>
      <c r="D2878" s="167"/>
      <c r="E2878" s="166"/>
      <c r="F2878" s="165"/>
      <c r="G2878" s="164"/>
    </row>
    <row r="2879" spans="1:7" x14ac:dyDescent="0.25">
      <c r="A2879" s="169" t="str">
        <f>E2879&amp;COUNTIFS($E$2:E2879,E2879)</f>
        <v>0</v>
      </c>
      <c r="B2879" s="166"/>
      <c r="C2879" s="168"/>
      <c r="D2879" s="167"/>
      <c r="E2879" s="166"/>
      <c r="F2879" s="165"/>
      <c r="G2879" s="164"/>
    </row>
    <row r="2880" spans="1:7" x14ac:dyDescent="0.25">
      <c r="A2880" s="169" t="str">
        <f>E2880&amp;COUNTIFS($E$2:E2880,E2880)</f>
        <v>0</v>
      </c>
      <c r="B2880" s="166"/>
      <c r="C2880" s="168"/>
      <c r="D2880" s="167"/>
      <c r="E2880" s="166"/>
      <c r="F2880" s="165"/>
      <c r="G2880" s="164"/>
    </row>
    <row r="2881" spans="1:7" x14ac:dyDescent="0.25">
      <c r="A2881" s="169" t="str">
        <f>E2881&amp;COUNTIFS($E$2:E2881,E2881)</f>
        <v>0</v>
      </c>
      <c r="B2881" s="166"/>
      <c r="C2881" s="168"/>
      <c r="D2881" s="167"/>
      <c r="E2881" s="166"/>
      <c r="F2881" s="165"/>
      <c r="G2881" s="164"/>
    </row>
    <row r="2882" spans="1:7" ht="15.75" thickBot="1" x14ac:dyDescent="0.3">
      <c r="A2882" s="163" t="str">
        <f>E2882&amp;COUNTIFS($E$2:E2882,E2882)</f>
        <v>0</v>
      </c>
      <c r="B2882" s="166"/>
      <c r="C2882" s="162"/>
      <c r="D2882" s="161"/>
      <c r="E2882" s="160"/>
      <c r="F2882" s="159"/>
      <c r="G2882" s="158"/>
    </row>
    <row r="2883" spans="1:7" x14ac:dyDescent="0.25">
      <c r="A2883" s="148"/>
      <c r="C2883" s="143"/>
      <c r="D2883" s="157"/>
      <c r="E2883" s="143"/>
      <c r="F2883" s="156"/>
      <c r="G2883" s="156"/>
    </row>
    <row r="2884" spans="1:7" x14ac:dyDescent="0.25">
      <c r="A2884" s="148"/>
      <c r="C2884" s="153" t="s">
        <v>623</v>
      </c>
      <c r="D2884" s="152"/>
      <c r="E2884" s="151"/>
      <c r="F2884" s="150">
        <f>SUM(F2858:F2882)</f>
        <v>0</v>
      </c>
      <c r="G2884" s="155">
        <f>SUM(G2858:G2882)</f>
        <v>0</v>
      </c>
    </row>
    <row r="2885" spans="1:7" x14ac:dyDescent="0.25">
      <c r="A2885" s="148"/>
      <c r="C2885" s="145" t="s">
        <v>622</v>
      </c>
      <c r="D2885" s="154"/>
      <c r="E2885" s="145"/>
      <c r="F2885" s="144"/>
      <c r="G2885" s="144"/>
    </row>
    <row r="2886" spans="1:7" x14ac:dyDescent="0.25">
      <c r="A2886" s="148"/>
      <c r="C2886" s="153" t="s">
        <v>621</v>
      </c>
      <c r="D2886" s="152"/>
      <c r="E2886" s="151"/>
      <c r="F2886" s="150">
        <f>F2853</f>
        <v>0</v>
      </c>
      <c r="G2886" s="150">
        <f>G2853</f>
        <v>0</v>
      </c>
    </row>
    <row r="2887" spans="1:7" x14ac:dyDescent="0.25">
      <c r="A2887" s="148"/>
      <c r="C2887" s="153" t="s">
        <v>582</v>
      </c>
      <c r="D2887" s="152"/>
      <c r="E2887" s="151"/>
      <c r="F2887" s="150">
        <f>F2886+F2884</f>
        <v>0</v>
      </c>
      <c r="G2887" s="150">
        <f>G2886+G2884</f>
        <v>0</v>
      </c>
    </row>
    <row r="2888" spans="1:7" ht="15.75" thickBot="1" x14ac:dyDescent="0.3">
      <c r="A2888" s="148"/>
      <c r="C2888" s="145"/>
      <c r="D2888" s="149"/>
      <c r="E2888" s="145"/>
      <c r="F2888" s="144"/>
      <c r="G2888" s="144"/>
    </row>
    <row r="2889" spans="1:7" ht="15.75" thickBot="1" x14ac:dyDescent="0.3">
      <c r="A2889" s="148"/>
      <c r="C2889" s="147" t="s">
        <v>620</v>
      </c>
      <c r="D2889" s="146">
        <f>F2887-G2887</f>
        <v>0</v>
      </c>
      <c r="E2889" s="145"/>
      <c r="F2889" s="144"/>
      <c r="G2889" s="144"/>
    </row>
    <row r="2890" spans="1:7" ht="15.75" thickBot="1" x14ac:dyDescent="0.3"/>
    <row r="2891" spans="1:7" ht="30.75" thickBot="1" x14ac:dyDescent="0.3">
      <c r="A2891" s="181" t="s">
        <v>626</v>
      </c>
      <c r="B2891" s="180" t="s">
        <v>606</v>
      </c>
      <c r="C2891" s="179" t="s">
        <v>632</v>
      </c>
      <c r="D2891" s="178" t="s">
        <v>601</v>
      </c>
      <c r="E2891" s="177" t="s">
        <v>287</v>
      </c>
      <c r="F2891" s="176" t="s">
        <v>624</v>
      </c>
      <c r="G2891" s="176" t="s">
        <v>596</v>
      </c>
    </row>
    <row r="2892" spans="1:7" x14ac:dyDescent="0.25">
      <c r="A2892" s="169" t="str">
        <f>E2892&amp;COUNTIFS($E$2:E2892,E2892)</f>
        <v>0</v>
      </c>
      <c r="B2892" s="172"/>
      <c r="C2892" s="174"/>
      <c r="D2892" s="173"/>
      <c r="E2892" s="172"/>
      <c r="F2892" s="171"/>
      <c r="G2892" s="170"/>
    </row>
    <row r="2893" spans="1:7" x14ac:dyDescent="0.25">
      <c r="A2893" s="169" t="str">
        <f>E2893&amp;COUNTIFS($E$2:E2893,E2893)</f>
        <v>0</v>
      </c>
      <c r="B2893" s="166"/>
      <c r="C2893" s="168"/>
      <c r="D2893" s="167"/>
      <c r="E2893" s="166"/>
      <c r="F2893" s="165"/>
      <c r="G2893" s="164"/>
    </row>
    <row r="2894" spans="1:7" x14ac:dyDescent="0.25">
      <c r="A2894" s="169" t="str">
        <f>E2894&amp;COUNTIFS($E$2:E2894,E2894)</f>
        <v>0</v>
      </c>
      <c r="B2894" s="166"/>
      <c r="C2894" s="168"/>
      <c r="D2894" s="167"/>
      <c r="E2894" s="166"/>
      <c r="F2894" s="165"/>
      <c r="G2894" s="164"/>
    </row>
    <row r="2895" spans="1:7" x14ac:dyDescent="0.25">
      <c r="A2895" s="169" t="str">
        <f>E2895&amp;COUNTIFS($E$2:E2895,E2895)</f>
        <v>0</v>
      </c>
      <c r="B2895" s="166"/>
      <c r="C2895" s="168"/>
      <c r="D2895" s="167"/>
      <c r="E2895" s="166"/>
      <c r="F2895" s="165"/>
      <c r="G2895" s="164"/>
    </row>
    <row r="2896" spans="1:7" x14ac:dyDescent="0.25">
      <c r="A2896" s="169" t="str">
        <f>E2896&amp;COUNTIFS($E$2:E2896,E2896)</f>
        <v>0</v>
      </c>
      <c r="B2896" s="166"/>
      <c r="C2896" s="168"/>
      <c r="D2896" s="167"/>
      <c r="E2896" s="166"/>
      <c r="F2896" s="165"/>
      <c r="G2896" s="164"/>
    </row>
    <row r="2897" spans="1:7" x14ac:dyDescent="0.25">
      <c r="A2897" s="169" t="str">
        <f>E2897&amp;COUNTIFS($E$2:E2897,E2897)</f>
        <v>0</v>
      </c>
      <c r="B2897" s="166"/>
      <c r="C2897" s="168"/>
      <c r="D2897" s="167"/>
      <c r="E2897" s="166"/>
      <c r="F2897" s="165"/>
      <c r="G2897" s="164"/>
    </row>
    <row r="2898" spans="1:7" x14ac:dyDescent="0.25">
      <c r="A2898" s="169" t="str">
        <f>E2898&amp;COUNTIFS($E$2:E2898,E2898)</f>
        <v>0</v>
      </c>
      <c r="B2898" s="166"/>
      <c r="C2898" s="168"/>
      <c r="D2898" s="167"/>
      <c r="E2898" s="166"/>
      <c r="F2898" s="165"/>
      <c r="G2898" s="164"/>
    </row>
    <row r="2899" spans="1:7" x14ac:dyDescent="0.25">
      <c r="A2899" s="169" t="str">
        <f>E2899&amp;COUNTIFS($E$2:E2899,E2899)</f>
        <v>0</v>
      </c>
      <c r="B2899" s="166"/>
      <c r="C2899" s="168"/>
      <c r="D2899" s="167"/>
      <c r="E2899" s="166"/>
      <c r="F2899" s="165"/>
      <c r="G2899" s="164"/>
    </row>
    <row r="2900" spans="1:7" x14ac:dyDescent="0.25">
      <c r="A2900" s="169" t="str">
        <f>E2900&amp;COUNTIFS($E$2:E2900,E2900)</f>
        <v>0</v>
      </c>
      <c r="B2900" s="166"/>
      <c r="C2900" s="168"/>
      <c r="D2900" s="167"/>
      <c r="E2900" s="166"/>
      <c r="F2900" s="165"/>
      <c r="G2900" s="164"/>
    </row>
    <row r="2901" spans="1:7" x14ac:dyDescent="0.25">
      <c r="A2901" s="169" t="str">
        <f>E2901&amp;COUNTIFS($E$2:E2901,E2901)</f>
        <v>0</v>
      </c>
      <c r="B2901" s="166"/>
      <c r="C2901" s="168"/>
      <c r="D2901" s="167"/>
      <c r="E2901" s="166"/>
      <c r="F2901" s="165"/>
      <c r="G2901" s="164"/>
    </row>
    <row r="2902" spans="1:7" x14ac:dyDescent="0.25">
      <c r="A2902" s="169" t="str">
        <f>E2902&amp;COUNTIFS($E$2:E2902,E2902)</f>
        <v>0</v>
      </c>
      <c r="B2902" s="166"/>
      <c r="C2902" s="168"/>
      <c r="D2902" s="167"/>
      <c r="E2902" s="166"/>
      <c r="F2902" s="165"/>
      <c r="G2902" s="164"/>
    </row>
    <row r="2903" spans="1:7" x14ac:dyDescent="0.25">
      <c r="A2903" s="169" t="str">
        <f>E2903&amp;COUNTIFS($E$2:E2903,E2903)</f>
        <v>0</v>
      </c>
      <c r="B2903" s="166"/>
      <c r="C2903" s="168"/>
      <c r="D2903" s="167"/>
      <c r="E2903" s="166"/>
      <c r="F2903" s="165"/>
      <c r="G2903" s="164"/>
    </row>
    <row r="2904" spans="1:7" x14ac:dyDescent="0.25">
      <c r="A2904" s="169" t="str">
        <f>E2904&amp;COUNTIFS($E$2:E2904,E2904)</f>
        <v>0</v>
      </c>
      <c r="B2904" s="166"/>
      <c r="C2904" s="168"/>
      <c r="D2904" s="167"/>
      <c r="E2904" s="166"/>
      <c r="F2904" s="165"/>
      <c r="G2904" s="164"/>
    </row>
    <row r="2905" spans="1:7" x14ac:dyDescent="0.25">
      <c r="A2905" s="169" t="str">
        <f>E2905&amp;COUNTIFS($E$2:E2905,E2905)</f>
        <v>0</v>
      </c>
      <c r="B2905" s="166"/>
      <c r="C2905" s="168"/>
      <c r="D2905" s="167"/>
      <c r="E2905" s="166"/>
      <c r="F2905" s="165"/>
      <c r="G2905" s="164"/>
    </row>
    <row r="2906" spans="1:7" x14ac:dyDescent="0.25">
      <c r="A2906" s="169" t="str">
        <f>E2906&amp;COUNTIFS($E$2:E2906,E2906)</f>
        <v>0</v>
      </c>
      <c r="B2906" s="166"/>
      <c r="C2906" s="168"/>
      <c r="D2906" s="167"/>
      <c r="E2906" s="166"/>
      <c r="F2906" s="165"/>
      <c r="G2906" s="164"/>
    </row>
    <row r="2907" spans="1:7" x14ac:dyDescent="0.25">
      <c r="A2907" s="169" t="str">
        <f>E2907&amp;COUNTIFS($E$2:E2907,E2907)</f>
        <v>0</v>
      </c>
      <c r="B2907" s="166"/>
      <c r="C2907" s="168"/>
      <c r="D2907" s="167"/>
      <c r="E2907" s="166"/>
      <c r="F2907" s="165"/>
      <c r="G2907" s="164"/>
    </row>
    <row r="2908" spans="1:7" x14ac:dyDescent="0.25">
      <c r="A2908" s="169" t="str">
        <f>E2908&amp;COUNTIFS($E$2:E2908,E2908)</f>
        <v>0</v>
      </c>
      <c r="B2908" s="166"/>
      <c r="C2908" s="168"/>
      <c r="D2908" s="167"/>
      <c r="E2908" s="166"/>
      <c r="F2908" s="165"/>
      <c r="G2908" s="164"/>
    </row>
    <row r="2909" spans="1:7" x14ac:dyDescent="0.25">
      <c r="A2909" s="169" t="str">
        <f>E2909&amp;COUNTIFS($E$2:E2909,E2909)</f>
        <v>0</v>
      </c>
      <c r="B2909" s="166"/>
      <c r="C2909" s="168"/>
      <c r="D2909" s="167"/>
      <c r="E2909" s="166"/>
      <c r="F2909" s="165"/>
      <c r="G2909" s="164"/>
    </row>
    <row r="2910" spans="1:7" x14ac:dyDescent="0.25">
      <c r="A2910" s="169" t="str">
        <f>E2910&amp;COUNTIFS($E$2:E2910,E2910)</f>
        <v>0</v>
      </c>
      <c r="B2910" s="166"/>
      <c r="C2910" s="168"/>
      <c r="D2910" s="167"/>
      <c r="E2910" s="166"/>
      <c r="F2910" s="165"/>
      <c r="G2910" s="164"/>
    </row>
    <row r="2911" spans="1:7" x14ac:dyDescent="0.25">
      <c r="A2911" s="169" t="str">
        <f>E2911&amp;COUNTIFS($E$2:E2911,E2911)</f>
        <v>0</v>
      </c>
      <c r="B2911" s="166"/>
      <c r="C2911" s="168"/>
      <c r="D2911" s="167"/>
      <c r="E2911" s="166"/>
      <c r="F2911" s="165"/>
      <c r="G2911" s="164"/>
    </row>
    <row r="2912" spans="1:7" x14ac:dyDescent="0.25">
      <c r="A2912" s="169" t="str">
        <f>E2912&amp;COUNTIFS($E$2:E2912,E2912)</f>
        <v>0</v>
      </c>
      <c r="B2912" s="166"/>
      <c r="C2912" s="168"/>
      <c r="D2912" s="167"/>
      <c r="E2912" s="166"/>
      <c r="F2912" s="165"/>
      <c r="G2912" s="164"/>
    </row>
    <row r="2913" spans="1:7" x14ac:dyDescent="0.25">
      <c r="A2913" s="169" t="str">
        <f>E2913&amp;COUNTIFS($E$2:E2913,E2913)</f>
        <v>0</v>
      </c>
      <c r="B2913" s="166"/>
      <c r="C2913" s="168"/>
      <c r="D2913" s="167"/>
      <c r="E2913" s="166"/>
      <c r="F2913" s="165"/>
      <c r="G2913" s="164"/>
    </row>
    <row r="2914" spans="1:7" x14ac:dyDescent="0.25">
      <c r="A2914" s="169" t="str">
        <f>E2914&amp;COUNTIFS($E$2:E2914,E2914)</f>
        <v>0</v>
      </c>
      <c r="B2914" s="166"/>
      <c r="C2914" s="168"/>
      <c r="D2914" s="167"/>
      <c r="E2914" s="166"/>
      <c r="F2914" s="165"/>
      <c r="G2914" s="164"/>
    </row>
    <row r="2915" spans="1:7" x14ac:dyDescent="0.25">
      <c r="A2915" s="169" t="str">
        <f>E2915&amp;COUNTIFS($E$2:E2915,E2915)</f>
        <v>0</v>
      </c>
      <c r="B2915" s="166"/>
      <c r="C2915" s="168"/>
      <c r="D2915" s="167"/>
      <c r="E2915" s="166"/>
      <c r="F2915" s="165"/>
      <c r="G2915" s="164"/>
    </row>
    <row r="2916" spans="1:7" ht="15.75" thickBot="1" x14ac:dyDescent="0.3">
      <c r="A2916" s="163" t="str">
        <f>E2916&amp;COUNTIFS($E$2:E2916,E2916)</f>
        <v>0</v>
      </c>
      <c r="B2916" s="166"/>
      <c r="C2916" s="162"/>
      <c r="D2916" s="161"/>
      <c r="E2916" s="160"/>
      <c r="F2916" s="159"/>
      <c r="G2916" s="158"/>
    </row>
    <row r="2917" spans="1:7" x14ac:dyDescent="0.25">
      <c r="A2917" s="148"/>
      <c r="C2917" s="143"/>
      <c r="D2917" s="157"/>
      <c r="E2917" s="143"/>
      <c r="F2917" s="156"/>
      <c r="G2917" s="156"/>
    </row>
    <row r="2918" spans="1:7" x14ac:dyDescent="0.25">
      <c r="A2918" s="148"/>
      <c r="C2918" s="153" t="s">
        <v>623</v>
      </c>
      <c r="D2918" s="152"/>
      <c r="E2918" s="151"/>
      <c r="F2918" s="150">
        <f>SUM(F2892:F2916)</f>
        <v>0</v>
      </c>
      <c r="G2918" s="155">
        <f>SUM(G2892:G2916)</f>
        <v>0</v>
      </c>
    </row>
    <row r="2919" spans="1:7" x14ac:dyDescent="0.25">
      <c r="A2919" s="148"/>
      <c r="C2919" s="145" t="s">
        <v>622</v>
      </c>
      <c r="D2919" s="154"/>
      <c r="E2919" s="145"/>
      <c r="F2919" s="144"/>
      <c r="G2919" s="144"/>
    </row>
    <row r="2920" spans="1:7" x14ac:dyDescent="0.25">
      <c r="A2920" s="148"/>
      <c r="C2920" s="153" t="s">
        <v>621</v>
      </c>
      <c r="D2920" s="152"/>
      <c r="E2920" s="151"/>
      <c r="F2920" s="150">
        <f>F2887</f>
        <v>0</v>
      </c>
      <c r="G2920" s="150">
        <f>G2887</f>
        <v>0</v>
      </c>
    </row>
    <row r="2921" spans="1:7" x14ac:dyDescent="0.25">
      <c r="A2921" s="148"/>
      <c r="C2921" s="153" t="s">
        <v>582</v>
      </c>
      <c r="D2921" s="152"/>
      <c r="E2921" s="151"/>
      <c r="F2921" s="150">
        <f>F2920+F2918</f>
        <v>0</v>
      </c>
      <c r="G2921" s="150">
        <f>G2920+G2918</f>
        <v>0</v>
      </c>
    </row>
    <row r="2922" spans="1:7" ht="15.75" thickBot="1" x14ac:dyDescent="0.3">
      <c r="A2922" s="148"/>
      <c r="C2922" s="145"/>
      <c r="D2922" s="149"/>
      <c r="E2922" s="145"/>
      <c r="F2922" s="144"/>
      <c r="G2922" s="144"/>
    </row>
    <row r="2923" spans="1:7" ht="15.75" thickBot="1" x14ac:dyDescent="0.3">
      <c r="A2923" s="148"/>
      <c r="C2923" s="147" t="s">
        <v>620</v>
      </c>
      <c r="D2923" s="146">
        <f>F2921-G2921</f>
        <v>0</v>
      </c>
      <c r="E2923" s="145"/>
      <c r="F2923" s="144"/>
      <c r="G2923" s="144"/>
    </row>
    <row r="2924" spans="1:7" ht="15.75" thickBot="1" x14ac:dyDescent="0.3"/>
    <row r="2925" spans="1:7" ht="30.75" thickBot="1" x14ac:dyDescent="0.3">
      <c r="A2925" s="181" t="s">
        <v>626</v>
      </c>
      <c r="B2925" s="180" t="s">
        <v>606</v>
      </c>
      <c r="C2925" s="179" t="s">
        <v>632</v>
      </c>
      <c r="D2925" s="178" t="s">
        <v>601</v>
      </c>
      <c r="E2925" s="177" t="s">
        <v>287</v>
      </c>
      <c r="F2925" s="176" t="s">
        <v>624</v>
      </c>
      <c r="G2925" s="176" t="s">
        <v>596</v>
      </c>
    </row>
    <row r="2926" spans="1:7" x14ac:dyDescent="0.25">
      <c r="A2926" s="169" t="str">
        <f>E2926&amp;COUNTIFS($E$2:E2926,E2926)</f>
        <v>0</v>
      </c>
      <c r="B2926" s="172"/>
      <c r="C2926" s="174"/>
      <c r="D2926" s="173"/>
      <c r="E2926" s="172"/>
      <c r="F2926" s="171"/>
      <c r="G2926" s="170"/>
    </row>
    <row r="2927" spans="1:7" x14ac:dyDescent="0.25">
      <c r="A2927" s="169" t="str">
        <f>E2927&amp;COUNTIFS($E$2:E2927,E2927)</f>
        <v>0</v>
      </c>
      <c r="B2927" s="166"/>
      <c r="C2927" s="168"/>
      <c r="D2927" s="167"/>
      <c r="E2927" s="166"/>
      <c r="F2927" s="165"/>
      <c r="G2927" s="164"/>
    </row>
    <row r="2928" spans="1:7" x14ac:dyDescent="0.25">
      <c r="A2928" s="169" t="str">
        <f>E2928&amp;COUNTIFS($E$2:E2928,E2928)</f>
        <v>0</v>
      </c>
      <c r="B2928" s="166"/>
      <c r="C2928" s="168"/>
      <c r="D2928" s="167"/>
      <c r="E2928" s="166"/>
      <c r="F2928" s="165"/>
      <c r="G2928" s="164"/>
    </row>
    <row r="2929" spans="1:7" x14ac:dyDescent="0.25">
      <c r="A2929" s="169" t="str">
        <f>E2929&amp;COUNTIFS($E$2:E2929,E2929)</f>
        <v>0</v>
      </c>
      <c r="B2929" s="166"/>
      <c r="C2929" s="168"/>
      <c r="D2929" s="167"/>
      <c r="E2929" s="166"/>
      <c r="F2929" s="165"/>
      <c r="G2929" s="164"/>
    </row>
    <row r="2930" spans="1:7" x14ac:dyDescent="0.25">
      <c r="A2930" s="169" t="str">
        <f>E2930&amp;COUNTIFS($E$2:E2930,E2930)</f>
        <v>0</v>
      </c>
      <c r="B2930" s="166"/>
      <c r="C2930" s="168"/>
      <c r="D2930" s="167"/>
      <c r="E2930" s="166"/>
      <c r="F2930" s="165"/>
      <c r="G2930" s="164"/>
    </row>
    <row r="2931" spans="1:7" x14ac:dyDescent="0.25">
      <c r="A2931" s="169" t="str">
        <f>E2931&amp;COUNTIFS($E$2:E2931,E2931)</f>
        <v>0</v>
      </c>
      <c r="B2931" s="166"/>
      <c r="C2931" s="168"/>
      <c r="D2931" s="167"/>
      <c r="E2931" s="166"/>
      <c r="F2931" s="165"/>
      <c r="G2931" s="164"/>
    </row>
    <row r="2932" spans="1:7" x14ac:dyDescent="0.25">
      <c r="A2932" s="169" t="str">
        <f>E2932&amp;COUNTIFS($E$2:E2932,E2932)</f>
        <v>0</v>
      </c>
      <c r="B2932" s="166"/>
      <c r="C2932" s="168"/>
      <c r="D2932" s="167"/>
      <c r="E2932" s="166"/>
      <c r="F2932" s="165"/>
      <c r="G2932" s="164"/>
    </row>
    <row r="2933" spans="1:7" x14ac:dyDescent="0.25">
      <c r="A2933" s="169" t="str">
        <f>E2933&amp;COUNTIFS($E$2:E2933,E2933)</f>
        <v>0</v>
      </c>
      <c r="B2933" s="166"/>
      <c r="C2933" s="168"/>
      <c r="D2933" s="167"/>
      <c r="E2933" s="166"/>
      <c r="F2933" s="165"/>
      <c r="G2933" s="164"/>
    </row>
    <row r="2934" spans="1:7" x14ac:dyDescent="0.25">
      <c r="A2934" s="169" t="str">
        <f>E2934&amp;COUNTIFS($E$2:E2934,E2934)</f>
        <v>0</v>
      </c>
      <c r="B2934" s="166"/>
      <c r="C2934" s="168"/>
      <c r="D2934" s="167"/>
      <c r="E2934" s="166"/>
      <c r="F2934" s="165"/>
      <c r="G2934" s="164"/>
    </row>
    <row r="2935" spans="1:7" x14ac:dyDescent="0.25">
      <c r="A2935" s="169" t="str">
        <f>E2935&amp;COUNTIFS($E$2:E2935,E2935)</f>
        <v>0</v>
      </c>
      <c r="B2935" s="166"/>
      <c r="C2935" s="168"/>
      <c r="D2935" s="167"/>
      <c r="E2935" s="166"/>
      <c r="F2935" s="165"/>
      <c r="G2935" s="164"/>
    </row>
    <row r="2936" spans="1:7" x14ac:dyDescent="0.25">
      <c r="A2936" s="169" t="str">
        <f>E2936&amp;COUNTIFS($E$2:E2936,E2936)</f>
        <v>0</v>
      </c>
      <c r="B2936" s="166"/>
      <c r="C2936" s="168"/>
      <c r="D2936" s="167"/>
      <c r="E2936" s="166"/>
      <c r="F2936" s="165"/>
      <c r="G2936" s="164"/>
    </row>
    <row r="2937" spans="1:7" x14ac:dyDescent="0.25">
      <c r="A2937" s="169" t="str">
        <f>E2937&amp;COUNTIFS($E$2:E2937,E2937)</f>
        <v>0</v>
      </c>
      <c r="B2937" s="166"/>
      <c r="C2937" s="168"/>
      <c r="D2937" s="167"/>
      <c r="E2937" s="166"/>
      <c r="F2937" s="165"/>
      <c r="G2937" s="164"/>
    </row>
    <row r="2938" spans="1:7" x14ac:dyDescent="0.25">
      <c r="A2938" s="169" t="str">
        <f>E2938&amp;COUNTIFS($E$2:E2938,E2938)</f>
        <v>0</v>
      </c>
      <c r="B2938" s="166"/>
      <c r="C2938" s="168"/>
      <c r="D2938" s="167"/>
      <c r="E2938" s="166"/>
      <c r="F2938" s="165"/>
      <c r="G2938" s="164"/>
    </row>
    <row r="2939" spans="1:7" x14ac:dyDescent="0.25">
      <c r="A2939" s="169" t="str">
        <f>E2939&amp;COUNTIFS($E$2:E2939,E2939)</f>
        <v>0</v>
      </c>
      <c r="B2939" s="166"/>
      <c r="C2939" s="168"/>
      <c r="D2939" s="167"/>
      <c r="E2939" s="166"/>
      <c r="F2939" s="165"/>
      <c r="G2939" s="164"/>
    </row>
    <row r="2940" spans="1:7" x14ac:dyDescent="0.25">
      <c r="A2940" s="169" t="str">
        <f>E2940&amp;COUNTIFS($E$2:E2940,E2940)</f>
        <v>0</v>
      </c>
      <c r="B2940" s="166"/>
      <c r="C2940" s="168"/>
      <c r="D2940" s="167"/>
      <c r="E2940" s="166"/>
      <c r="F2940" s="165"/>
      <c r="G2940" s="164"/>
    </row>
    <row r="2941" spans="1:7" x14ac:dyDescent="0.25">
      <c r="A2941" s="169" t="str">
        <f>E2941&amp;COUNTIFS($E$2:E2941,E2941)</f>
        <v>0</v>
      </c>
      <c r="B2941" s="166"/>
      <c r="C2941" s="168"/>
      <c r="D2941" s="167"/>
      <c r="E2941" s="166"/>
      <c r="F2941" s="165"/>
      <c r="G2941" s="164"/>
    </row>
    <row r="2942" spans="1:7" x14ac:dyDescent="0.25">
      <c r="A2942" s="169" t="str">
        <f>E2942&amp;COUNTIFS($E$2:E2942,E2942)</f>
        <v>0</v>
      </c>
      <c r="B2942" s="166"/>
      <c r="C2942" s="168"/>
      <c r="D2942" s="167"/>
      <c r="E2942" s="166"/>
      <c r="F2942" s="165"/>
      <c r="G2942" s="164"/>
    </row>
    <row r="2943" spans="1:7" x14ac:dyDescent="0.25">
      <c r="A2943" s="169" t="str">
        <f>E2943&amp;COUNTIFS($E$2:E2943,E2943)</f>
        <v>0</v>
      </c>
      <c r="B2943" s="166"/>
      <c r="C2943" s="168"/>
      <c r="D2943" s="167"/>
      <c r="E2943" s="166"/>
      <c r="F2943" s="165"/>
      <c r="G2943" s="164"/>
    </row>
    <row r="2944" spans="1:7" x14ac:dyDescent="0.25">
      <c r="A2944" s="169" t="str">
        <f>E2944&amp;COUNTIFS($E$2:E2944,E2944)</f>
        <v>0</v>
      </c>
      <c r="B2944" s="166"/>
      <c r="C2944" s="168"/>
      <c r="D2944" s="167"/>
      <c r="E2944" s="166"/>
      <c r="F2944" s="165"/>
      <c r="G2944" s="164"/>
    </row>
    <row r="2945" spans="1:7" x14ac:dyDescent="0.25">
      <c r="A2945" s="169" t="str">
        <f>E2945&amp;COUNTIFS($E$2:E2945,E2945)</f>
        <v>0</v>
      </c>
      <c r="B2945" s="166"/>
      <c r="C2945" s="168"/>
      <c r="D2945" s="167"/>
      <c r="E2945" s="166"/>
      <c r="F2945" s="165"/>
      <c r="G2945" s="164"/>
    </row>
    <row r="2946" spans="1:7" x14ac:dyDescent="0.25">
      <c r="A2946" s="169" t="str">
        <f>E2946&amp;COUNTIFS($E$2:E2946,E2946)</f>
        <v>0</v>
      </c>
      <c r="B2946" s="166"/>
      <c r="C2946" s="168"/>
      <c r="D2946" s="167"/>
      <c r="E2946" s="166"/>
      <c r="F2946" s="165"/>
      <c r="G2946" s="164"/>
    </row>
    <row r="2947" spans="1:7" x14ac:dyDescent="0.25">
      <c r="A2947" s="169" t="str">
        <f>E2947&amp;COUNTIFS($E$2:E2947,E2947)</f>
        <v>0</v>
      </c>
      <c r="B2947" s="166"/>
      <c r="C2947" s="168"/>
      <c r="D2947" s="167"/>
      <c r="E2947" s="166"/>
      <c r="F2947" s="165"/>
      <c r="G2947" s="164"/>
    </row>
    <row r="2948" spans="1:7" x14ac:dyDescent="0.25">
      <c r="A2948" s="169" t="str">
        <f>E2948&amp;COUNTIFS($E$2:E2948,E2948)</f>
        <v>0</v>
      </c>
      <c r="B2948" s="166"/>
      <c r="C2948" s="168"/>
      <c r="D2948" s="167"/>
      <c r="E2948" s="166"/>
      <c r="F2948" s="165"/>
      <c r="G2948" s="164"/>
    </row>
    <row r="2949" spans="1:7" x14ac:dyDescent="0.25">
      <c r="A2949" s="169" t="str">
        <f>E2949&amp;COUNTIFS($E$2:E2949,E2949)</f>
        <v>0</v>
      </c>
      <c r="B2949" s="166"/>
      <c r="C2949" s="168"/>
      <c r="D2949" s="167"/>
      <c r="E2949" s="166"/>
      <c r="F2949" s="165"/>
      <c r="G2949" s="164"/>
    </row>
    <row r="2950" spans="1:7" ht="15.75" thickBot="1" x14ac:dyDescent="0.3">
      <c r="A2950" s="163" t="str">
        <f>E2950&amp;COUNTIFS($E$2:E2950,E2950)</f>
        <v>0</v>
      </c>
      <c r="B2950" s="166"/>
      <c r="C2950" s="162"/>
      <c r="D2950" s="161"/>
      <c r="E2950" s="160"/>
      <c r="F2950" s="159"/>
      <c r="G2950" s="158"/>
    </row>
    <row r="2951" spans="1:7" x14ac:dyDescent="0.25">
      <c r="A2951" s="148"/>
      <c r="C2951" s="143"/>
      <c r="D2951" s="157"/>
      <c r="E2951" s="143"/>
      <c r="F2951" s="156"/>
      <c r="G2951" s="156"/>
    </row>
    <row r="2952" spans="1:7" x14ac:dyDescent="0.25">
      <c r="A2952" s="148"/>
      <c r="C2952" s="153" t="s">
        <v>623</v>
      </c>
      <c r="D2952" s="152"/>
      <c r="E2952" s="151"/>
      <c r="F2952" s="150">
        <f>SUM(F2926:F2950)</f>
        <v>0</v>
      </c>
      <c r="G2952" s="155">
        <f>SUM(G2926:G2950)</f>
        <v>0</v>
      </c>
    </row>
    <row r="2953" spans="1:7" x14ac:dyDescent="0.25">
      <c r="A2953" s="148"/>
      <c r="C2953" s="145" t="s">
        <v>622</v>
      </c>
      <c r="D2953" s="154"/>
      <c r="E2953" s="145"/>
      <c r="F2953" s="144"/>
      <c r="G2953" s="144"/>
    </row>
    <row r="2954" spans="1:7" x14ac:dyDescent="0.25">
      <c r="A2954" s="148"/>
      <c r="C2954" s="153" t="s">
        <v>621</v>
      </c>
      <c r="D2954" s="152"/>
      <c r="E2954" s="151"/>
      <c r="F2954" s="150">
        <f>F2921</f>
        <v>0</v>
      </c>
      <c r="G2954" s="150">
        <f>G2921</f>
        <v>0</v>
      </c>
    </row>
    <row r="2955" spans="1:7" x14ac:dyDescent="0.25">
      <c r="A2955" s="148"/>
      <c r="C2955" s="153" t="s">
        <v>582</v>
      </c>
      <c r="D2955" s="152"/>
      <c r="E2955" s="151"/>
      <c r="F2955" s="150">
        <f>F2954+F2952</f>
        <v>0</v>
      </c>
      <c r="G2955" s="150">
        <f>G2954+G2952</f>
        <v>0</v>
      </c>
    </row>
    <row r="2956" spans="1:7" ht="15.75" thickBot="1" x14ac:dyDescent="0.3">
      <c r="A2956" s="148"/>
      <c r="C2956" s="145"/>
      <c r="D2956" s="149"/>
      <c r="E2956" s="145"/>
      <c r="F2956" s="144"/>
      <c r="G2956" s="144"/>
    </row>
    <row r="2957" spans="1:7" ht="15.75" thickBot="1" x14ac:dyDescent="0.3">
      <c r="A2957" s="148"/>
      <c r="C2957" s="147" t="s">
        <v>620</v>
      </c>
      <c r="D2957" s="146">
        <f>F2955-G2955</f>
        <v>0</v>
      </c>
      <c r="E2957" s="145"/>
      <c r="F2957" s="144"/>
      <c r="G2957" s="144"/>
    </row>
    <row r="2958" spans="1:7" ht="15.75" thickBot="1" x14ac:dyDescent="0.3"/>
    <row r="2959" spans="1:7" ht="30.75" thickBot="1" x14ac:dyDescent="0.3">
      <c r="A2959" s="181" t="s">
        <v>626</v>
      </c>
      <c r="B2959" s="180" t="s">
        <v>606</v>
      </c>
      <c r="C2959" s="179" t="s">
        <v>632</v>
      </c>
      <c r="D2959" s="178" t="s">
        <v>601</v>
      </c>
      <c r="E2959" s="177" t="s">
        <v>287</v>
      </c>
      <c r="F2959" s="176" t="s">
        <v>624</v>
      </c>
      <c r="G2959" s="176" t="s">
        <v>596</v>
      </c>
    </row>
    <row r="2960" spans="1:7" x14ac:dyDescent="0.25">
      <c r="A2960" s="169" t="str">
        <f>E2960&amp;COUNTIFS($E$2:E2960,E2960)</f>
        <v>0</v>
      </c>
      <c r="B2960" s="172"/>
      <c r="C2960" s="174"/>
      <c r="D2960" s="173"/>
      <c r="E2960" s="172"/>
      <c r="F2960" s="171"/>
      <c r="G2960" s="170"/>
    </row>
    <row r="2961" spans="1:7" x14ac:dyDescent="0.25">
      <c r="A2961" s="169" t="str">
        <f>E2961&amp;COUNTIFS($E$2:E2961,E2961)</f>
        <v>0</v>
      </c>
      <c r="B2961" s="166"/>
      <c r="C2961" s="168"/>
      <c r="D2961" s="167"/>
      <c r="E2961" s="166"/>
      <c r="F2961" s="165"/>
      <c r="G2961" s="164"/>
    </row>
    <row r="2962" spans="1:7" x14ac:dyDescent="0.25">
      <c r="A2962" s="169" t="str">
        <f>E2962&amp;COUNTIFS($E$2:E2962,E2962)</f>
        <v>0</v>
      </c>
      <c r="B2962" s="166"/>
      <c r="C2962" s="168"/>
      <c r="D2962" s="167"/>
      <c r="E2962" s="166"/>
      <c r="F2962" s="165"/>
      <c r="G2962" s="164"/>
    </row>
    <row r="2963" spans="1:7" x14ac:dyDescent="0.25">
      <c r="A2963" s="169" t="str">
        <f>E2963&amp;COUNTIFS($E$2:E2963,E2963)</f>
        <v>0</v>
      </c>
      <c r="B2963" s="166"/>
      <c r="C2963" s="168"/>
      <c r="D2963" s="167"/>
      <c r="E2963" s="166"/>
      <c r="F2963" s="165"/>
      <c r="G2963" s="164"/>
    </row>
    <row r="2964" spans="1:7" x14ac:dyDescent="0.25">
      <c r="A2964" s="169" t="str">
        <f>E2964&amp;COUNTIFS($E$2:E2964,E2964)</f>
        <v>0</v>
      </c>
      <c r="B2964" s="166"/>
      <c r="C2964" s="168"/>
      <c r="D2964" s="167"/>
      <c r="E2964" s="166"/>
      <c r="F2964" s="165"/>
      <c r="G2964" s="164"/>
    </row>
    <row r="2965" spans="1:7" x14ac:dyDescent="0.25">
      <c r="A2965" s="169" t="str">
        <f>E2965&amp;COUNTIFS($E$2:E2965,E2965)</f>
        <v>0</v>
      </c>
      <c r="B2965" s="166"/>
      <c r="C2965" s="168"/>
      <c r="D2965" s="167"/>
      <c r="E2965" s="166"/>
      <c r="F2965" s="165"/>
      <c r="G2965" s="164"/>
    </row>
    <row r="2966" spans="1:7" x14ac:dyDescent="0.25">
      <c r="A2966" s="169" t="str">
        <f>E2966&amp;COUNTIFS($E$2:E2966,E2966)</f>
        <v>0</v>
      </c>
      <c r="B2966" s="166"/>
      <c r="C2966" s="168"/>
      <c r="D2966" s="167"/>
      <c r="E2966" s="166"/>
      <c r="F2966" s="165"/>
      <c r="G2966" s="164"/>
    </row>
    <row r="2967" spans="1:7" x14ac:dyDescent="0.25">
      <c r="A2967" s="169" t="str">
        <f>E2967&amp;COUNTIFS($E$2:E2967,E2967)</f>
        <v>0</v>
      </c>
      <c r="B2967" s="166"/>
      <c r="C2967" s="168"/>
      <c r="D2967" s="167"/>
      <c r="E2967" s="166"/>
      <c r="F2967" s="165"/>
      <c r="G2967" s="164"/>
    </row>
    <row r="2968" spans="1:7" x14ac:dyDescent="0.25">
      <c r="A2968" s="169" t="str">
        <f>E2968&amp;COUNTIFS($E$2:E2968,E2968)</f>
        <v>0</v>
      </c>
      <c r="B2968" s="166"/>
      <c r="C2968" s="168"/>
      <c r="D2968" s="167"/>
      <c r="E2968" s="166"/>
      <c r="F2968" s="165"/>
      <c r="G2968" s="164"/>
    </row>
    <row r="2969" spans="1:7" x14ac:dyDescent="0.25">
      <c r="A2969" s="169" t="str">
        <f>E2969&amp;COUNTIFS($E$2:E2969,E2969)</f>
        <v>0</v>
      </c>
      <c r="B2969" s="166"/>
      <c r="C2969" s="168"/>
      <c r="D2969" s="167"/>
      <c r="E2969" s="166"/>
      <c r="F2969" s="165"/>
      <c r="G2969" s="164"/>
    </row>
    <row r="2970" spans="1:7" x14ac:dyDescent="0.25">
      <c r="A2970" s="169" t="str">
        <f>E2970&amp;COUNTIFS($E$2:E2970,E2970)</f>
        <v>0</v>
      </c>
      <c r="B2970" s="166"/>
      <c r="C2970" s="168"/>
      <c r="D2970" s="167"/>
      <c r="E2970" s="166"/>
      <c r="F2970" s="165"/>
      <c r="G2970" s="164"/>
    </row>
    <row r="2971" spans="1:7" x14ac:dyDescent="0.25">
      <c r="A2971" s="169" t="str">
        <f>E2971&amp;COUNTIFS($E$2:E2971,E2971)</f>
        <v>0</v>
      </c>
      <c r="B2971" s="166"/>
      <c r="C2971" s="168"/>
      <c r="D2971" s="167"/>
      <c r="E2971" s="166"/>
      <c r="F2971" s="165"/>
      <c r="G2971" s="164"/>
    </row>
    <row r="2972" spans="1:7" x14ac:dyDescent="0.25">
      <c r="A2972" s="169" t="str">
        <f>E2972&amp;COUNTIFS($E$2:E2972,E2972)</f>
        <v>0</v>
      </c>
      <c r="B2972" s="166"/>
      <c r="C2972" s="168"/>
      <c r="D2972" s="167"/>
      <c r="E2972" s="166"/>
      <c r="F2972" s="165"/>
      <c r="G2972" s="164"/>
    </row>
    <row r="2973" spans="1:7" x14ac:dyDescent="0.25">
      <c r="A2973" s="169" t="str">
        <f>E2973&amp;COUNTIFS($E$2:E2973,E2973)</f>
        <v>0</v>
      </c>
      <c r="B2973" s="166"/>
      <c r="C2973" s="168"/>
      <c r="D2973" s="167"/>
      <c r="E2973" s="166"/>
      <c r="F2973" s="165"/>
      <c r="G2973" s="164"/>
    </row>
    <row r="2974" spans="1:7" x14ac:dyDescent="0.25">
      <c r="A2974" s="169" t="str">
        <f>E2974&amp;COUNTIFS($E$2:E2974,E2974)</f>
        <v>0</v>
      </c>
      <c r="B2974" s="166"/>
      <c r="C2974" s="168"/>
      <c r="D2974" s="167"/>
      <c r="E2974" s="166"/>
      <c r="F2974" s="165"/>
      <c r="G2974" s="164"/>
    </row>
    <row r="2975" spans="1:7" x14ac:dyDescent="0.25">
      <c r="A2975" s="169" t="str">
        <f>E2975&amp;COUNTIFS($E$2:E2975,E2975)</f>
        <v>0</v>
      </c>
      <c r="B2975" s="166"/>
      <c r="C2975" s="168"/>
      <c r="D2975" s="167"/>
      <c r="E2975" s="166"/>
      <c r="F2975" s="165"/>
      <c r="G2975" s="164"/>
    </row>
    <row r="2976" spans="1:7" x14ac:dyDescent="0.25">
      <c r="A2976" s="169" t="str">
        <f>E2976&amp;COUNTIFS($E$2:E2976,E2976)</f>
        <v>0</v>
      </c>
      <c r="B2976" s="166"/>
      <c r="C2976" s="168"/>
      <c r="D2976" s="167"/>
      <c r="E2976" s="166"/>
      <c r="F2976" s="165"/>
      <c r="G2976" s="164"/>
    </row>
    <row r="2977" spans="1:7" x14ac:dyDescent="0.25">
      <c r="A2977" s="169" t="str">
        <f>E2977&amp;COUNTIFS($E$2:E2977,E2977)</f>
        <v>0</v>
      </c>
      <c r="B2977" s="166"/>
      <c r="C2977" s="168"/>
      <c r="D2977" s="167"/>
      <c r="E2977" s="166"/>
      <c r="F2977" s="165"/>
      <c r="G2977" s="164"/>
    </row>
    <row r="2978" spans="1:7" x14ac:dyDescent="0.25">
      <c r="A2978" s="169" t="str">
        <f>E2978&amp;COUNTIFS($E$2:E2978,E2978)</f>
        <v>0</v>
      </c>
      <c r="B2978" s="166"/>
      <c r="C2978" s="168"/>
      <c r="D2978" s="167"/>
      <c r="E2978" s="166"/>
      <c r="F2978" s="165"/>
      <c r="G2978" s="164"/>
    </row>
    <row r="2979" spans="1:7" x14ac:dyDescent="0.25">
      <c r="A2979" s="169" t="str">
        <f>E2979&amp;COUNTIFS($E$2:E2979,E2979)</f>
        <v>0</v>
      </c>
      <c r="B2979" s="166"/>
      <c r="C2979" s="168"/>
      <c r="D2979" s="167"/>
      <c r="E2979" s="166"/>
      <c r="F2979" s="165"/>
      <c r="G2979" s="164"/>
    </row>
    <row r="2980" spans="1:7" x14ac:dyDescent="0.25">
      <c r="A2980" s="169" t="str">
        <f>E2980&amp;COUNTIFS($E$2:E2980,E2980)</f>
        <v>0</v>
      </c>
      <c r="B2980" s="166"/>
      <c r="C2980" s="168"/>
      <c r="D2980" s="167"/>
      <c r="E2980" s="166"/>
      <c r="F2980" s="165"/>
      <c r="G2980" s="164"/>
    </row>
    <row r="2981" spans="1:7" x14ac:dyDescent="0.25">
      <c r="A2981" s="169" t="str">
        <f>E2981&amp;COUNTIFS($E$2:E2981,E2981)</f>
        <v>0</v>
      </c>
      <c r="B2981" s="166"/>
      <c r="C2981" s="168"/>
      <c r="D2981" s="167"/>
      <c r="E2981" s="166"/>
      <c r="F2981" s="165"/>
      <c r="G2981" s="164"/>
    </row>
    <row r="2982" spans="1:7" x14ac:dyDescent="0.25">
      <c r="A2982" s="169" t="str">
        <f>E2982&amp;COUNTIFS($E$2:E2982,E2982)</f>
        <v>0</v>
      </c>
      <c r="B2982" s="166"/>
      <c r="C2982" s="168"/>
      <c r="D2982" s="167"/>
      <c r="E2982" s="166"/>
      <c r="F2982" s="165"/>
      <c r="G2982" s="164"/>
    </row>
    <row r="2983" spans="1:7" x14ac:dyDescent="0.25">
      <c r="A2983" s="169" t="str">
        <f>E2983&amp;COUNTIFS($E$2:E2983,E2983)</f>
        <v>0</v>
      </c>
      <c r="B2983" s="166"/>
      <c r="C2983" s="168"/>
      <c r="D2983" s="167"/>
      <c r="E2983" s="166"/>
      <c r="F2983" s="165"/>
      <c r="G2983" s="164"/>
    </row>
    <row r="2984" spans="1:7" ht="15.75" thickBot="1" x14ac:dyDescent="0.3">
      <c r="A2984" s="163" t="str">
        <f>E2984&amp;COUNTIFS($E$2:E2984,E2984)</f>
        <v>0</v>
      </c>
      <c r="B2984" s="166"/>
      <c r="C2984" s="162"/>
      <c r="D2984" s="161"/>
      <c r="E2984" s="160"/>
      <c r="F2984" s="159"/>
      <c r="G2984" s="158"/>
    </row>
    <row r="2985" spans="1:7" x14ac:dyDescent="0.25">
      <c r="A2985" s="148"/>
      <c r="C2985" s="143"/>
      <c r="D2985" s="157"/>
      <c r="E2985" s="143"/>
      <c r="F2985" s="156"/>
      <c r="G2985" s="156"/>
    </row>
    <row r="2986" spans="1:7" x14ac:dyDescent="0.25">
      <c r="A2986" s="148"/>
      <c r="C2986" s="153" t="s">
        <v>623</v>
      </c>
      <c r="D2986" s="152"/>
      <c r="E2986" s="151"/>
      <c r="F2986" s="150">
        <f>SUM(F2960:F2984)</f>
        <v>0</v>
      </c>
      <c r="G2986" s="155">
        <f>SUM(G2960:G2984)</f>
        <v>0</v>
      </c>
    </row>
    <row r="2987" spans="1:7" x14ac:dyDescent="0.25">
      <c r="A2987" s="148"/>
      <c r="C2987" s="145" t="s">
        <v>622</v>
      </c>
      <c r="D2987" s="154"/>
      <c r="E2987" s="145"/>
      <c r="F2987" s="144"/>
      <c r="G2987" s="144"/>
    </row>
    <row r="2988" spans="1:7" x14ac:dyDescent="0.25">
      <c r="A2988" s="148"/>
      <c r="C2988" s="153" t="s">
        <v>621</v>
      </c>
      <c r="D2988" s="152"/>
      <c r="E2988" s="151"/>
      <c r="F2988" s="150">
        <f>F2955</f>
        <v>0</v>
      </c>
      <c r="G2988" s="150">
        <f>G2955</f>
        <v>0</v>
      </c>
    </row>
    <row r="2989" spans="1:7" x14ac:dyDescent="0.25">
      <c r="A2989" s="148"/>
      <c r="C2989" s="153" t="s">
        <v>582</v>
      </c>
      <c r="D2989" s="152"/>
      <c r="E2989" s="151"/>
      <c r="F2989" s="150">
        <f>F2988+F2986</f>
        <v>0</v>
      </c>
      <c r="G2989" s="150">
        <f>G2988+G2986</f>
        <v>0</v>
      </c>
    </row>
    <row r="2990" spans="1:7" ht="15.75" thickBot="1" x14ac:dyDescent="0.3">
      <c r="A2990" s="148"/>
      <c r="C2990" s="145"/>
      <c r="D2990" s="149"/>
      <c r="E2990" s="145"/>
      <c r="F2990" s="144"/>
      <c r="G2990" s="144"/>
    </row>
    <row r="2991" spans="1:7" ht="15.75" thickBot="1" x14ac:dyDescent="0.3">
      <c r="A2991" s="148"/>
      <c r="C2991" s="147" t="s">
        <v>620</v>
      </c>
      <c r="D2991" s="146">
        <f>F2989-G2989</f>
        <v>0</v>
      </c>
      <c r="E2991" s="145"/>
      <c r="F2991" s="144"/>
      <c r="G2991" s="144"/>
    </row>
    <row r="2992" spans="1:7" ht="15.75" thickBot="1" x14ac:dyDescent="0.3"/>
    <row r="2993" spans="1:7" ht="30.75" thickBot="1" x14ac:dyDescent="0.3">
      <c r="A2993" s="181" t="s">
        <v>626</v>
      </c>
      <c r="B2993" s="180" t="s">
        <v>606</v>
      </c>
      <c r="C2993" s="179" t="s">
        <v>632</v>
      </c>
      <c r="D2993" s="178" t="s">
        <v>601</v>
      </c>
      <c r="E2993" s="177" t="s">
        <v>287</v>
      </c>
      <c r="F2993" s="176" t="s">
        <v>624</v>
      </c>
      <c r="G2993" s="176" t="s">
        <v>596</v>
      </c>
    </row>
    <row r="2994" spans="1:7" x14ac:dyDescent="0.25">
      <c r="A2994" s="169" t="str">
        <f>E2994&amp;COUNTIFS($E$2:E2994,E2994)</f>
        <v>0</v>
      </c>
      <c r="B2994" s="172"/>
      <c r="C2994" s="174"/>
      <c r="D2994" s="173"/>
      <c r="E2994" s="172"/>
      <c r="F2994" s="171"/>
      <c r="G2994" s="170"/>
    </row>
    <row r="2995" spans="1:7" x14ac:dyDescent="0.25">
      <c r="A2995" s="169" t="str">
        <f>E2995&amp;COUNTIFS($E$2:E2995,E2995)</f>
        <v>0</v>
      </c>
      <c r="B2995" s="166"/>
      <c r="C2995" s="168"/>
      <c r="D2995" s="167"/>
      <c r="E2995" s="166"/>
      <c r="F2995" s="165"/>
      <c r="G2995" s="164"/>
    </row>
    <row r="2996" spans="1:7" x14ac:dyDescent="0.25">
      <c r="A2996" s="169" t="str">
        <f>E2996&amp;COUNTIFS($E$2:E2996,E2996)</f>
        <v>0</v>
      </c>
      <c r="B2996" s="166"/>
      <c r="C2996" s="168"/>
      <c r="D2996" s="167"/>
      <c r="E2996" s="166"/>
      <c r="F2996" s="165"/>
      <c r="G2996" s="164"/>
    </row>
    <row r="2997" spans="1:7" x14ac:dyDescent="0.25">
      <c r="A2997" s="169" t="str">
        <f>E2997&amp;COUNTIFS($E$2:E2997,E2997)</f>
        <v>0</v>
      </c>
      <c r="B2997" s="166"/>
      <c r="C2997" s="168"/>
      <c r="D2997" s="167"/>
      <c r="E2997" s="166"/>
      <c r="F2997" s="165"/>
      <c r="G2997" s="164"/>
    </row>
    <row r="2998" spans="1:7" x14ac:dyDescent="0.25">
      <c r="A2998" s="169" t="str">
        <f>E2998&amp;COUNTIFS($E$2:E2998,E2998)</f>
        <v>0</v>
      </c>
      <c r="B2998" s="166"/>
      <c r="C2998" s="168"/>
      <c r="D2998" s="167"/>
      <c r="E2998" s="166"/>
      <c r="F2998" s="165"/>
      <c r="G2998" s="164"/>
    </row>
    <row r="2999" spans="1:7" x14ac:dyDescent="0.25">
      <c r="A2999" s="169" t="str">
        <f>E2999&amp;COUNTIFS($E$2:E2999,E2999)</f>
        <v>0</v>
      </c>
      <c r="B2999" s="166"/>
      <c r="C2999" s="168"/>
      <c r="D2999" s="167"/>
      <c r="E2999" s="166"/>
      <c r="F2999" s="165"/>
      <c r="G2999" s="164"/>
    </row>
    <row r="3000" spans="1:7" x14ac:dyDescent="0.25">
      <c r="A3000" s="169" t="str">
        <f>E3000&amp;COUNTIFS($E$2:E3000,E3000)</f>
        <v>0</v>
      </c>
      <c r="B3000" s="166"/>
      <c r="C3000" s="168"/>
      <c r="D3000" s="167"/>
      <c r="E3000" s="166"/>
      <c r="F3000" s="165"/>
      <c r="G3000" s="164"/>
    </row>
    <row r="3001" spans="1:7" x14ac:dyDescent="0.25">
      <c r="A3001" s="169" t="str">
        <f>E3001&amp;COUNTIFS($E$2:E3001,E3001)</f>
        <v>0</v>
      </c>
      <c r="B3001" s="166"/>
      <c r="C3001" s="168"/>
      <c r="D3001" s="167"/>
      <c r="E3001" s="166"/>
      <c r="F3001" s="165"/>
      <c r="G3001" s="164"/>
    </row>
    <row r="3002" spans="1:7" x14ac:dyDescent="0.25">
      <c r="A3002" s="169" t="str">
        <f>E3002&amp;COUNTIFS($E$2:E3002,E3002)</f>
        <v>0</v>
      </c>
      <c r="B3002" s="166"/>
      <c r="C3002" s="168"/>
      <c r="D3002" s="167"/>
      <c r="E3002" s="166"/>
      <c r="F3002" s="165"/>
      <c r="G3002" s="164"/>
    </row>
    <row r="3003" spans="1:7" x14ac:dyDescent="0.25">
      <c r="A3003" s="169" t="str">
        <f>E3003&amp;COUNTIFS($E$2:E3003,E3003)</f>
        <v>0</v>
      </c>
      <c r="B3003" s="166"/>
      <c r="C3003" s="168"/>
      <c r="D3003" s="167"/>
      <c r="E3003" s="166"/>
      <c r="F3003" s="165"/>
      <c r="G3003" s="164"/>
    </row>
    <row r="3004" spans="1:7" x14ac:dyDescent="0.25">
      <c r="A3004" s="169" t="str">
        <f>E3004&amp;COUNTIFS($E$2:E3004,E3004)</f>
        <v>0</v>
      </c>
      <c r="B3004" s="166"/>
      <c r="C3004" s="168"/>
      <c r="D3004" s="167"/>
      <c r="E3004" s="166"/>
      <c r="F3004" s="165"/>
      <c r="G3004" s="164"/>
    </row>
    <row r="3005" spans="1:7" x14ac:dyDescent="0.25">
      <c r="A3005" s="169" t="str">
        <f>E3005&amp;COUNTIFS($E$2:E3005,E3005)</f>
        <v>0</v>
      </c>
      <c r="B3005" s="166"/>
      <c r="C3005" s="168"/>
      <c r="D3005" s="167"/>
      <c r="E3005" s="166"/>
      <c r="F3005" s="165"/>
      <c r="G3005" s="164"/>
    </row>
    <row r="3006" spans="1:7" x14ac:dyDescent="0.25">
      <c r="A3006" s="169" t="str">
        <f>E3006&amp;COUNTIFS($E$2:E3006,E3006)</f>
        <v>0</v>
      </c>
      <c r="B3006" s="166"/>
      <c r="C3006" s="168"/>
      <c r="D3006" s="167"/>
      <c r="E3006" s="166"/>
      <c r="F3006" s="165"/>
      <c r="G3006" s="164"/>
    </row>
    <row r="3007" spans="1:7" x14ac:dyDescent="0.25">
      <c r="A3007" s="169" t="str">
        <f>E3007&amp;COUNTIFS($E$2:E3007,E3007)</f>
        <v>0</v>
      </c>
      <c r="B3007" s="166"/>
      <c r="C3007" s="168"/>
      <c r="D3007" s="167"/>
      <c r="E3007" s="166"/>
      <c r="F3007" s="165"/>
      <c r="G3007" s="164"/>
    </row>
    <row r="3008" spans="1:7" x14ac:dyDescent="0.25">
      <c r="A3008" s="169" t="str">
        <f>E3008&amp;COUNTIFS($E$2:E3008,E3008)</f>
        <v>0</v>
      </c>
      <c r="B3008" s="166"/>
      <c r="C3008" s="168"/>
      <c r="D3008" s="167"/>
      <c r="E3008" s="166"/>
      <c r="F3008" s="165"/>
      <c r="G3008" s="164"/>
    </row>
    <row r="3009" spans="1:7" x14ac:dyDescent="0.25">
      <c r="A3009" s="169" t="str">
        <f>E3009&amp;COUNTIFS($E$2:E3009,E3009)</f>
        <v>0</v>
      </c>
      <c r="B3009" s="166"/>
      <c r="C3009" s="168"/>
      <c r="D3009" s="167"/>
      <c r="E3009" s="166"/>
      <c r="F3009" s="165"/>
      <c r="G3009" s="164"/>
    </row>
    <row r="3010" spans="1:7" x14ac:dyDescent="0.25">
      <c r="A3010" s="169" t="str">
        <f>E3010&amp;COUNTIFS($E$2:E3010,E3010)</f>
        <v>0</v>
      </c>
      <c r="B3010" s="166"/>
      <c r="C3010" s="168"/>
      <c r="D3010" s="167"/>
      <c r="E3010" s="166"/>
      <c r="F3010" s="165"/>
      <c r="G3010" s="164"/>
    </row>
    <row r="3011" spans="1:7" x14ac:dyDescent="0.25">
      <c r="A3011" s="169" t="str">
        <f>E3011&amp;COUNTIFS($E$2:E3011,E3011)</f>
        <v>0</v>
      </c>
      <c r="B3011" s="166"/>
      <c r="C3011" s="168"/>
      <c r="D3011" s="167"/>
      <c r="E3011" s="166"/>
      <c r="F3011" s="165"/>
      <c r="G3011" s="164"/>
    </row>
    <row r="3012" spans="1:7" x14ac:dyDescent="0.25">
      <c r="A3012" s="169" t="str">
        <f>E3012&amp;COUNTIFS($E$2:E3012,E3012)</f>
        <v>0</v>
      </c>
      <c r="B3012" s="166"/>
      <c r="C3012" s="168"/>
      <c r="D3012" s="167"/>
      <c r="E3012" s="166"/>
      <c r="F3012" s="165"/>
      <c r="G3012" s="164"/>
    </row>
    <row r="3013" spans="1:7" x14ac:dyDescent="0.25">
      <c r="A3013" s="169" t="str">
        <f>E3013&amp;COUNTIFS($E$2:E3013,E3013)</f>
        <v>0</v>
      </c>
      <c r="B3013" s="166"/>
      <c r="C3013" s="168"/>
      <c r="D3013" s="167"/>
      <c r="E3013" s="166"/>
      <c r="F3013" s="165"/>
      <c r="G3013" s="164"/>
    </row>
    <row r="3014" spans="1:7" x14ac:dyDescent="0.25">
      <c r="A3014" s="169" t="str">
        <f>E3014&amp;COUNTIFS($E$2:E3014,E3014)</f>
        <v>0</v>
      </c>
      <c r="B3014" s="166"/>
      <c r="C3014" s="168"/>
      <c r="D3014" s="167"/>
      <c r="E3014" s="166"/>
      <c r="F3014" s="165"/>
      <c r="G3014" s="164"/>
    </row>
    <row r="3015" spans="1:7" x14ac:dyDescent="0.25">
      <c r="A3015" s="169" t="str">
        <f>E3015&amp;COUNTIFS($E$2:E3015,E3015)</f>
        <v>0</v>
      </c>
      <c r="B3015" s="166"/>
      <c r="C3015" s="168"/>
      <c r="D3015" s="167"/>
      <c r="E3015" s="166"/>
      <c r="F3015" s="165"/>
      <c r="G3015" s="164"/>
    </row>
    <row r="3016" spans="1:7" x14ac:dyDescent="0.25">
      <c r="A3016" s="169" t="str">
        <f>E3016&amp;COUNTIFS($E$2:E3016,E3016)</f>
        <v>0</v>
      </c>
      <c r="B3016" s="166"/>
      <c r="C3016" s="168"/>
      <c r="D3016" s="167"/>
      <c r="E3016" s="166"/>
      <c r="F3016" s="165"/>
      <c r="G3016" s="164"/>
    </row>
    <row r="3017" spans="1:7" x14ac:dyDescent="0.25">
      <c r="A3017" s="169" t="str">
        <f>E3017&amp;COUNTIFS($E$2:E3017,E3017)</f>
        <v>0</v>
      </c>
      <c r="B3017" s="166"/>
      <c r="C3017" s="168"/>
      <c r="D3017" s="167"/>
      <c r="E3017" s="166"/>
      <c r="F3017" s="165"/>
      <c r="G3017" s="164"/>
    </row>
    <row r="3018" spans="1:7" ht="15.75" thickBot="1" x14ac:dyDescent="0.3">
      <c r="A3018" s="163" t="str">
        <f>E3018&amp;COUNTIFS($E$2:E3018,E3018)</f>
        <v>0</v>
      </c>
      <c r="B3018" s="166"/>
      <c r="C3018" s="162"/>
      <c r="D3018" s="161"/>
      <c r="E3018" s="160"/>
      <c r="F3018" s="159"/>
      <c r="G3018" s="158"/>
    </row>
    <row r="3019" spans="1:7" x14ac:dyDescent="0.25">
      <c r="A3019" s="148"/>
      <c r="C3019" s="143"/>
      <c r="D3019" s="157"/>
      <c r="E3019" s="143"/>
      <c r="F3019" s="156"/>
      <c r="G3019" s="156"/>
    </row>
    <row r="3020" spans="1:7" x14ac:dyDescent="0.25">
      <c r="A3020" s="148"/>
      <c r="C3020" s="153" t="s">
        <v>623</v>
      </c>
      <c r="D3020" s="152"/>
      <c r="E3020" s="151"/>
      <c r="F3020" s="150">
        <f>SUM(F2994:F3018)</f>
        <v>0</v>
      </c>
      <c r="G3020" s="155">
        <f>SUM(G2994:G3018)</f>
        <v>0</v>
      </c>
    </row>
    <row r="3021" spans="1:7" x14ac:dyDescent="0.25">
      <c r="A3021" s="148"/>
      <c r="C3021" s="145" t="s">
        <v>622</v>
      </c>
      <c r="D3021" s="154"/>
      <c r="E3021" s="145"/>
      <c r="F3021" s="144"/>
      <c r="G3021" s="144"/>
    </row>
    <row r="3022" spans="1:7" x14ac:dyDescent="0.25">
      <c r="A3022" s="148"/>
      <c r="C3022" s="153" t="s">
        <v>621</v>
      </c>
      <c r="D3022" s="152"/>
      <c r="E3022" s="151"/>
      <c r="F3022" s="150">
        <f>F2989</f>
        <v>0</v>
      </c>
      <c r="G3022" s="150">
        <f>G2989</f>
        <v>0</v>
      </c>
    </row>
    <row r="3023" spans="1:7" x14ac:dyDescent="0.25">
      <c r="A3023" s="148"/>
      <c r="C3023" s="153" t="s">
        <v>582</v>
      </c>
      <c r="D3023" s="152"/>
      <c r="E3023" s="151"/>
      <c r="F3023" s="150">
        <f>F3022+F3020</f>
        <v>0</v>
      </c>
      <c r="G3023" s="150">
        <f>G3022+G3020</f>
        <v>0</v>
      </c>
    </row>
    <row r="3024" spans="1:7" ht="15.75" thickBot="1" x14ac:dyDescent="0.3">
      <c r="A3024" s="148"/>
      <c r="C3024" s="145"/>
      <c r="D3024" s="149"/>
      <c r="E3024" s="145"/>
      <c r="F3024" s="144"/>
      <c r="G3024" s="144"/>
    </row>
    <row r="3025" spans="1:7" ht="15.75" thickBot="1" x14ac:dyDescent="0.3">
      <c r="A3025" s="148"/>
      <c r="C3025" s="147" t="s">
        <v>620</v>
      </c>
      <c r="D3025" s="146">
        <f>F3023-G3023</f>
        <v>0</v>
      </c>
      <c r="E3025" s="145"/>
      <c r="F3025" s="144"/>
      <c r="G3025" s="144"/>
    </row>
    <row r="3026" spans="1:7" ht="15.75" thickBot="1" x14ac:dyDescent="0.3"/>
    <row r="3027" spans="1:7" ht="30.75" thickBot="1" x14ac:dyDescent="0.3">
      <c r="A3027" s="181" t="s">
        <v>626</v>
      </c>
      <c r="B3027" s="180" t="s">
        <v>606</v>
      </c>
      <c r="C3027" s="179" t="s">
        <v>632</v>
      </c>
      <c r="D3027" s="178" t="s">
        <v>601</v>
      </c>
      <c r="E3027" s="177" t="s">
        <v>287</v>
      </c>
      <c r="F3027" s="176" t="s">
        <v>624</v>
      </c>
      <c r="G3027" s="176" t="s">
        <v>596</v>
      </c>
    </row>
    <row r="3028" spans="1:7" x14ac:dyDescent="0.25">
      <c r="A3028" s="169" t="str">
        <f>E3028&amp;COUNTIFS($E$2:E3028,E3028)</f>
        <v>0</v>
      </c>
      <c r="B3028" s="172"/>
      <c r="C3028" s="174"/>
      <c r="D3028" s="173"/>
      <c r="E3028" s="172"/>
      <c r="F3028" s="171"/>
      <c r="G3028" s="170"/>
    </row>
    <row r="3029" spans="1:7" x14ac:dyDescent="0.25">
      <c r="A3029" s="169" t="str">
        <f>E3029&amp;COUNTIFS($E$2:E3029,E3029)</f>
        <v>0</v>
      </c>
      <c r="B3029" s="166"/>
      <c r="C3029" s="168"/>
      <c r="D3029" s="167"/>
      <c r="E3029" s="166"/>
      <c r="F3029" s="165"/>
      <c r="G3029" s="164"/>
    </row>
    <row r="3030" spans="1:7" x14ac:dyDescent="0.25">
      <c r="A3030" s="169" t="str">
        <f>E3030&amp;COUNTIFS($E$2:E3030,E3030)</f>
        <v>0</v>
      </c>
      <c r="B3030" s="166"/>
      <c r="C3030" s="168"/>
      <c r="D3030" s="167"/>
      <c r="E3030" s="166"/>
      <c r="F3030" s="165"/>
      <c r="G3030" s="164"/>
    </row>
    <row r="3031" spans="1:7" x14ac:dyDescent="0.25">
      <c r="A3031" s="169" t="str">
        <f>E3031&amp;COUNTIFS($E$2:E3031,E3031)</f>
        <v>0</v>
      </c>
      <c r="B3031" s="166"/>
      <c r="C3031" s="168"/>
      <c r="D3031" s="167"/>
      <c r="E3031" s="166"/>
      <c r="F3031" s="165"/>
      <c r="G3031" s="164"/>
    </row>
    <row r="3032" spans="1:7" x14ac:dyDescent="0.25">
      <c r="A3032" s="169" t="str">
        <f>E3032&amp;COUNTIFS($E$2:E3032,E3032)</f>
        <v>0</v>
      </c>
      <c r="B3032" s="166"/>
      <c r="C3032" s="168"/>
      <c r="D3032" s="167"/>
      <c r="E3032" s="166"/>
      <c r="F3032" s="165"/>
      <c r="G3032" s="164"/>
    </row>
    <row r="3033" spans="1:7" x14ac:dyDescent="0.25">
      <c r="A3033" s="169" t="str">
        <f>E3033&amp;COUNTIFS($E$2:E3033,E3033)</f>
        <v>0</v>
      </c>
      <c r="B3033" s="166"/>
      <c r="C3033" s="168"/>
      <c r="D3033" s="167"/>
      <c r="E3033" s="166"/>
      <c r="F3033" s="165"/>
      <c r="G3033" s="164"/>
    </row>
    <row r="3034" spans="1:7" x14ac:dyDescent="0.25">
      <c r="A3034" s="169" t="str">
        <f>E3034&amp;COUNTIFS($E$2:E3034,E3034)</f>
        <v>0</v>
      </c>
      <c r="B3034" s="166"/>
      <c r="C3034" s="168"/>
      <c r="D3034" s="167"/>
      <c r="E3034" s="166"/>
      <c r="F3034" s="165"/>
      <c r="G3034" s="164"/>
    </row>
    <row r="3035" spans="1:7" x14ac:dyDescent="0.25">
      <c r="A3035" s="169" t="str">
        <f>E3035&amp;COUNTIFS($E$2:E3035,E3035)</f>
        <v>0</v>
      </c>
      <c r="B3035" s="166"/>
      <c r="C3035" s="168"/>
      <c r="D3035" s="167"/>
      <c r="E3035" s="166"/>
      <c r="F3035" s="165"/>
      <c r="G3035" s="164"/>
    </row>
    <row r="3036" spans="1:7" x14ac:dyDescent="0.25">
      <c r="A3036" s="169" t="str">
        <f>E3036&amp;COUNTIFS($E$2:E3036,E3036)</f>
        <v>0</v>
      </c>
      <c r="B3036" s="166"/>
      <c r="C3036" s="168"/>
      <c r="D3036" s="167"/>
      <c r="E3036" s="166"/>
      <c r="F3036" s="165"/>
      <c r="G3036" s="164"/>
    </row>
    <row r="3037" spans="1:7" x14ac:dyDescent="0.25">
      <c r="A3037" s="169" t="str">
        <f>E3037&amp;COUNTIFS($E$2:E3037,E3037)</f>
        <v>0</v>
      </c>
      <c r="B3037" s="166"/>
      <c r="C3037" s="168"/>
      <c r="D3037" s="167"/>
      <c r="E3037" s="166"/>
      <c r="F3037" s="165"/>
      <c r="G3037" s="164"/>
    </row>
    <row r="3038" spans="1:7" x14ac:dyDescent="0.25">
      <c r="A3038" s="169" t="str">
        <f>E3038&amp;COUNTIFS($E$2:E3038,E3038)</f>
        <v>0</v>
      </c>
      <c r="B3038" s="166"/>
      <c r="C3038" s="168"/>
      <c r="D3038" s="167"/>
      <c r="E3038" s="166"/>
      <c r="F3038" s="165"/>
      <c r="G3038" s="164"/>
    </row>
    <row r="3039" spans="1:7" x14ac:dyDescent="0.25">
      <c r="A3039" s="169" t="str">
        <f>E3039&amp;COUNTIFS($E$2:E3039,E3039)</f>
        <v>0</v>
      </c>
      <c r="B3039" s="166"/>
      <c r="C3039" s="168"/>
      <c r="D3039" s="167"/>
      <c r="E3039" s="166"/>
      <c r="F3039" s="165"/>
      <c r="G3039" s="164"/>
    </row>
    <row r="3040" spans="1:7" x14ac:dyDescent="0.25">
      <c r="A3040" s="169" t="str">
        <f>E3040&amp;COUNTIFS($E$2:E3040,E3040)</f>
        <v>0</v>
      </c>
      <c r="B3040" s="166"/>
      <c r="C3040" s="168"/>
      <c r="D3040" s="167"/>
      <c r="E3040" s="166"/>
      <c r="F3040" s="165"/>
      <c r="G3040" s="164"/>
    </row>
    <row r="3041" spans="1:7" x14ac:dyDescent="0.25">
      <c r="A3041" s="169" t="str">
        <f>E3041&amp;COUNTIFS($E$2:E3041,E3041)</f>
        <v>0</v>
      </c>
      <c r="B3041" s="166"/>
      <c r="C3041" s="168"/>
      <c r="D3041" s="167"/>
      <c r="E3041" s="166"/>
      <c r="F3041" s="165"/>
      <c r="G3041" s="164"/>
    </row>
    <row r="3042" spans="1:7" x14ac:dyDescent="0.25">
      <c r="A3042" s="169" t="str">
        <f>E3042&amp;COUNTIFS($E$2:E3042,E3042)</f>
        <v>0</v>
      </c>
      <c r="B3042" s="166"/>
      <c r="C3042" s="168"/>
      <c r="D3042" s="167"/>
      <c r="E3042" s="166"/>
      <c r="F3042" s="165"/>
      <c r="G3042" s="164"/>
    </row>
    <row r="3043" spans="1:7" x14ac:dyDescent="0.25">
      <c r="A3043" s="169" t="str">
        <f>E3043&amp;COUNTIFS($E$2:E3043,E3043)</f>
        <v>0</v>
      </c>
      <c r="B3043" s="166"/>
      <c r="C3043" s="168"/>
      <c r="D3043" s="167"/>
      <c r="E3043" s="166"/>
      <c r="F3043" s="165"/>
      <c r="G3043" s="164"/>
    </row>
    <row r="3044" spans="1:7" x14ac:dyDescent="0.25">
      <c r="A3044" s="169" t="str">
        <f>E3044&amp;COUNTIFS($E$2:E3044,E3044)</f>
        <v>0</v>
      </c>
      <c r="B3044" s="166"/>
      <c r="C3044" s="168"/>
      <c r="D3044" s="167"/>
      <c r="E3044" s="166"/>
      <c r="F3044" s="165"/>
      <c r="G3044" s="164"/>
    </row>
    <row r="3045" spans="1:7" x14ac:dyDescent="0.25">
      <c r="A3045" s="169" t="str">
        <f>E3045&amp;COUNTIFS($E$2:E3045,E3045)</f>
        <v>0</v>
      </c>
      <c r="B3045" s="166"/>
      <c r="C3045" s="168"/>
      <c r="D3045" s="167"/>
      <c r="E3045" s="166"/>
      <c r="F3045" s="165"/>
      <c r="G3045" s="164"/>
    </row>
    <row r="3046" spans="1:7" x14ac:dyDescent="0.25">
      <c r="A3046" s="169" t="str">
        <f>E3046&amp;COUNTIFS($E$2:E3046,E3046)</f>
        <v>0</v>
      </c>
      <c r="B3046" s="166"/>
      <c r="C3046" s="168"/>
      <c r="D3046" s="167"/>
      <c r="E3046" s="166"/>
      <c r="F3046" s="165"/>
      <c r="G3046" s="164"/>
    </row>
    <row r="3047" spans="1:7" x14ac:dyDescent="0.25">
      <c r="A3047" s="169" t="str">
        <f>E3047&amp;COUNTIFS($E$2:E3047,E3047)</f>
        <v>0</v>
      </c>
      <c r="B3047" s="166"/>
      <c r="C3047" s="168"/>
      <c r="D3047" s="167"/>
      <c r="E3047" s="166"/>
      <c r="F3047" s="165"/>
      <c r="G3047" s="164"/>
    </row>
    <row r="3048" spans="1:7" x14ac:dyDescent="0.25">
      <c r="A3048" s="169" t="str">
        <f>E3048&amp;COUNTIFS($E$2:E3048,E3048)</f>
        <v>0</v>
      </c>
      <c r="B3048" s="166"/>
      <c r="C3048" s="168"/>
      <c r="D3048" s="167"/>
      <c r="E3048" s="166"/>
      <c r="F3048" s="165"/>
      <c r="G3048" s="164"/>
    </row>
    <row r="3049" spans="1:7" x14ac:dyDescent="0.25">
      <c r="A3049" s="169" t="str">
        <f>E3049&amp;COUNTIFS($E$2:E3049,E3049)</f>
        <v>0</v>
      </c>
      <c r="B3049" s="166"/>
      <c r="C3049" s="168"/>
      <c r="D3049" s="167"/>
      <c r="E3049" s="166"/>
      <c r="F3049" s="165"/>
      <c r="G3049" s="164"/>
    </row>
    <row r="3050" spans="1:7" x14ac:dyDescent="0.25">
      <c r="A3050" s="169" t="str">
        <f>E3050&amp;COUNTIFS($E$2:E3050,E3050)</f>
        <v>0</v>
      </c>
      <c r="B3050" s="166"/>
      <c r="C3050" s="168"/>
      <c r="D3050" s="167"/>
      <c r="E3050" s="166"/>
      <c r="F3050" s="165"/>
      <c r="G3050" s="164"/>
    </row>
    <row r="3051" spans="1:7" x14ac:dyDescent="0.25">
      <c r="A3051" s="169" t="str">
        <f>E3051&amp;COUNTIFS($E$2:E3051,E3051)</f>
        <v>0</v>
      </c>
      <c r="B3051" s="166"/>
      <c r="C3051" s="168"/>
      <c r="D3051" s="167"/>
      <c r="E3051" s="166"/>
      <c r="F3051" s="165"/>
      <c r="G3051" s="164"/>
    </row>
    <row r="3052" spans="1:7" ht="15.75" thickBot="1" x14ac:dyDescent="0.3">
      <c r="A3052" s="163" t="str">
        <f>E3052&amp;COUNTIFS($E$2:E3052,E3052)</f>
        <v>0</v>
      </c>
      <c r="B3052" s="166"/>
      <c r="C3052" s="162"/>
      <c r="D3052" s="161"/>
      <c r="E3052" s="160"/>
      <c r="F3052" s="159"/>
      <c r="G3052" s="158"/>
    </row>
    <row r="3053" spans="1:7" x14ac:dyDescent="0.25">
      <c r="A3053" s="148"/>
      <c r="C3053" s="143"/>
      <c r="D3053" s="157"/>
      <c r="E3053" s="143"/>
      <c r="F3053" s="156"/>
      <c r="G3053" s="156"/>
    </row>
    <row r="3054" spans="1:7" x14ac:dyDescent="0.25">
      <c r="A3054" s="148"/>
      <c r="C3054" s="153" t="s">
        <v>623</v>
      </c>
      <c r="D3054" s="152"/>
      <c r="E3054" s="151"/>
      <c r="F3054" s="150">
        <f>SUM(F3028:F3052)</f>
        <v>0</v>
      </c>
      <c r="G3054" s="155">
        <f>SUM(G3028:G3052)</f>
        <v>0</v>
      </c>
    </row>
    <row r="3055" spans="1:7" x14ac:dyDescent="0.25">
      <c r="A3055" s="148"/>
      <c r="C3055" s="145" t="s">
        <v>622</v>
      </c>
      <c r="D3055" s="154"/>
      <c r="E3055" s="145"/>
      <c r="F3055" s="144"/>
      <c r="G3055" s="144"/>
    </row>
    <row r="3056" spans="1:7" x14ac:dyDescent="0.25">
      <c r="A3056" s="148"/>
      <c r="C3056" s="153" t="s">
        <v>621</v>
      </c>
      <c r="D3056" s="152"/>
      <c r="E3056" s="151"/>
      <c r="F3056" s="150">
        <f>F3023</f>
        <v>0</v>
      </c>
      <c r="G3056" s="150">
        <f>G3023</f>
        <v>0</v>
      </c>
    </row>
    <row r="3057" spans="1:7" x14ac:dyDescent="0.25">
      <c r="A3057" s="148"/>
      <c r="C3057" s="153" t="s">
        <v>582</v>
      </c>
      <c r="D3057" s="152"/>
      <c r="E3057" s="151"/>
      <c r="F3057" s="150">
        <f>F3056+F3054</f>
        <v>0</v>
      </c>
      <c r="G3057" s="150">
        <f>G3056+G3054</f>
        <v>0</v>
      </c>
    </row>
    <row r="3058" spans="1:7" ht="15.75" thickBot="1" x14ac:dyDescent="0.3">
      <c r="A3058" s="148"/>
      <c r="C3058" s="145"/>
      <c r="D3058" s="149"/>
      <c r="E3058" s="145"/>
      <c r="F3058" s="144"/>
      <c r="G3058" s="144"/>
    </row>
    <row r="3059" spans="1:7" ht="15.75" thickBot="1" x14ac:dyDescent="0.3">
      <c r="A3059" s="148"/>
      <c r="C3059" s="147" t="s">
        <v>620</v>
      </c>
      <c r="D3059" s="146">
        <f>F3057-G3057</f>
        <v>0</v>
      </c>
      <c r="E3059" s="145"/>
      <c r="F3059" s="144"/>
      <c r="G3059" s="144"/>
    </row>
    <row r="3060" spans="1:7" ht="15.75" thickBot="1" x14ac:dyDescent="0.3"/>
    <row r="3061" spans="1:7" ht="30.75" thickBot="1" x14ac:dyDescent="0.3">
      <c r="A3061" s="181" t="s">
        <v>626</v>
      </c>
      <c r="B3061" s="180" t="s">
        <v>606</v>
      </c>
      <c r="C3061" s="179" t="s">
        <v>632</v>
      </c>
      <c r="D3061" s="178" t="s">
        <v>601</v>
      </c>
      <c r="E3061" s="177" t="s">
        <v>287</v>
      </c>
      <c r="F3061" s="176" t="s">
        <v>624</v>
      </c>
      <c r="G3061" s="176" t="s">
        <v>596</v>
      </c>
    </row>
    <row r="3062" spans="1:7" x14ac:dyDescent="0.25">
      <c r="A3062" s="169" t="str">
        <f>E3062&amp;COUNTIFS($E$2:E3062,E3062)</f>
        <v>0</v>
      </c>
      <c r="B3062" s="172"/>
      <c r="C3062" s="174"/>
      <c r="D3062" s="173"/>
      <c r="E3062" s="172"/>
      <c r="F3062" s="171"/>
      <c r="G3062" s="170"/>
    </row>
    <row r="3063" spans="1:7" x14ac:dyDescent="0.25">
      <c r="A3063" s="169" t="str">
        <f>E3063&amp;COUNTIFS($E$2:E3063,E3063)</f>
        <v>0</v>
      </c>
      <c r="B3063" s="166"/>
      <c r="C3063" s="168"/>
      <c r="D3063" s="167"/>
      <c r="E3063" s="166"/>
      <c r="F3063" s="165"/>
      <c r="G3063" s="164"/>
    </row>
    <row r="3064" spans="1:7" x14ac:dyDescent="0.25">
      <c r="A3064" s="169" t="str">
        <f>E3064&amp;COUNTIFS($E$2:E3064,E3064)</f>
        <v>0</v>
      </c>
      <c r="B3064" s="166"/>
      <c r="C3064" s="168"/>
      <c r="D3064" s="167"/>
      <c r="E3064" s="166"/>
      <c r="F3064" s="165"/>
      <c r="G3064" s="164"/>
    </row>
    <row r="3065" spans="1:7" x14ac:dyDescent="0.25">
      <c r="A3065" s="169" t="str">
        <f>E3065&amp;COUNTIFS($E$2:E3065,E3065)</f>
        <v>0</v>
      </c>
      <c r="B3065" s="166"/>
      <c r="C3065" s="168"/>
      <c r="D3065" s="167"/>
      <c r="E3065" s="166"/>
      <c r="F3065" s="165"/>
      <c r="G3065" s="164"/>
    </row>
    <row r="3066" spans="1:7" x14ac:dyDescent="0.25">
      <c r="A3066" s="169" t="str">
        <f>E3066&amp;COUNTIFS($E$2:E3066,E3066)</f>
        <v>0</v>
      </c>
      <c r="B3066" s="166"/>
      <c r="C3066" s="168"/>
      <c r="D3066" s="167"/>
      <c r="E3066" s="166"/>
      <c r="F3066" s="165"/>
      <c r="G3066" s="164"/>
    </row>
    <row r="3067" spans="1:7" x14ac:dyDescent="0.25">
      <c r="A3067" s="169" t="str">
        <f>E3067&amp;COUNTIFS($E$2:E3067,E3067)</f>
        <v>0</v>
      </c>
      <c r="B3067" s="166"/>
      <c r="C3067" s="168"/>
      <c r="D3067" s="167"/>
      <c r="E3067" s="166"/>
      <c r="F3067" s="165"/>
      <c r="G3067" s="164"/>
    </row>
    <row r="3068" spans="1:7" x14ac:dyDescent="0.25">
      <c r="A3068" s="169" t="str">
        <f>E3068&amp;COUNTIFS($E$2:E3068,E3068)</f>
        <v>0</v>
      </c>
      <c r="B3068" s="166"/>
      <c r="C3068" s="168"/>
      <c r="D3068" s="167"/>
      <c r="E3068" s="166"/>
      <c r="F3068" s="165"/>
      <c r="G3068" s="164"/>
    </row>
    <row r="3069" spans="1:7" x14ac:dyDescent="0.25">
      <c r="A3069" s="169" t="str">
        <f>E3069&amp;COUNTIFS($E$2:E3069,E3069)</f>
        <v>0</v>
      </c>
      <c r="B3069" s="166"/>
      <c r="C3069" s="168"/>
      <c r="D3069" s="167"/>
      <c r="E3069" s="166"/>
      <c r="F3069" s="165"/>
      <c r="G3069" s="164"/>
    </row>
    <row r="3070" spans="1:7" x14ac:dyDescent="0.25">
      <c r="A3070" s="169" t="str">
        <f>E3070&amp;COUNTIFS($E$2:E3070,E3070)</f>
        <v>0</v>
      </c>
      <c r="B3070" s="166"/>
      <c r="C3070" s="168"/>
      <c r="D3070" s="167"/>
      <c r="E3070" s="166"/>
      <c r="F3070" s="165"/>
      <c r="G3070" s="164"/>
    </row>
    <row r="3071" spans="1:7" x14ac:dyDescent="0.25">
      <c r="A3071" s="169" t="str">
        <f>E3071&amp;COUNTIFS($E$2:E3071,E3071)</f>
        <v>0</v>
      </c>
      <c r="B3071" s="166"/>
      <c r="C3071" s="168"/>
      <c r="D3071" s="167"/>
      <c r="E3071" s="166"/>
      <c r="F3071" s="165"/>
      <c r="G3071" s="164"/>
    </row>
    <row r="3072" spans="1:7" x14ac:dyDescent="0.25">
      <c r="A3072" s="169" t="str">
        <f>E3072&amp;COUNTIFS($E$2:E3072,E3072)</f>
        <v>0</v>
      </c>
      <c r="B3072" s="166"/>
      <c r="C3072" s="168"/>
      <c r="D3072" s="167"/>
      <c r="E3072" s="166"/>
      <c r="F3072" s="165"/>
      <c r="G3072" s="164"/>
    </row>
    <row r="3073" spans="1:7" x14ac:dyDescent="0.25">
      <c r="A3073" s="169" t="str">
        <f>E3073&amp;COUNTIFS($E$2:E3073,E3073)</f>
        <v>0</v>
      </c>
      <c r="B3073" s="166"/>
      <c r="C3073" s="168"/>
      <c r="D3073" s="167"/>
      <c r="E3073" s="166"/>
      <c r="F3073" s="165"/>
      <c r="G3073" s="164"/>
    </row>
    <row r="3074" spans="1:7" x14ac:dyDescent="0.25">
      <c r="A3074" s="169" t="str">
        <f>E3074&amp;COUNTIFS($E$2:E3074,E3074)</f>
        <v>0</v>
      </c>
      <c r="B3074" s="166"/>
      <c r="C3074" s="168"/>
      <c r="D3074" s="167"/>
      <c r="E3074" s="166"/>
      <c r="F3074" s="165"/>
      <c r="G3074" s="164"/>
    </row>
    <row r="3075" spans="1:7" x14ac:dyDescent="0.25">
      <c r="A3075" s="169" t="str">
        <f>E3075&amp;COUNTIFS($E$2:E3075,E3075)</f>
        <v>0</v>
      </c>
      <c r="B3075" s="166"/>
      <c r="C3075" s="168"/>
      <c r="D3075" s="167"/>
      <c r="E3075" s="166"/>
      <c r="F3075" s="165"/>
      <c r="G3075" s="164"/>
    </row>
    <row r="3076" spans="1:7" x14ac:dyDescent="0.25">
      <c r="A3076" s="169" t="str">
        <f>E3076&amp;COUNTIFS($E$2:E3076,E3076)</f>
        <v>0</v>
      </c>
      <c r="B3076" s="166"/>
      <c r="C3076" s="168"/>
      <c r="D3076" s="167"/>
      <c r="E3076" s="166"/>
      <c r="F3076" s="165"/>
      <c r="G3076" s="164"/>
    </row>
    <row r="3077" spans="1:7" x14ac:dyDescent="0.25">
      <c r="A3077" s="169" t="str">
        <f>E3077&amp;COUNTIFS($E$2:E3077,E3077)</f>
        <v>0</v>
      </c>
      <c r="B3077" s="166"/>
      <c r="C3077" s="168"/>
      <c r="D3077" s="167"/>
      <c r="E3077" s="166"/>
      <c r="F3077" s="165"/>
      <c r="G3077" s="164"/>
    </row>
    <row r="3078" spans="1:7" x14ac:dyDescent="0.25">
      <c r="A3078" s="169" t="str">
        <f>E3078&amp;COUNTIFS($E$2:E3078,E3078)</f>
        <v>0</v>
      </c>
      <c r="B3078" s="166"/>
      <c r="C3078" s="168"/>
      <c r="D3078" s="167"/>
      <c r="E3078" s="166"/>
      <c r="F3078" s="165"/>
      <c r="G3078" s="164"/>
    </row>
    <row r="3079" spans="1:7" x14ac:dyDescent="0.25">
      <c r="A3079" s="169" t="str">
        <f>E3079&amp;COUNTIFS($E$2:E3079,E3079)</f>
        <v>0</v>
      </c>
      <c r="B3079" s="166"/>
      <c r="C3079" s="168"/>
      <c r="D3079" s="167"/>
      <c r="E3079" s="166"/>
      <c r="F3079" s="165"/>
      <c r="G3079" s="164"/>
    </row>
    <row r="3080" spans="1:7" x14ac:dyDescent="0.25">
      <c r="A3080" s="169" t="str">
        <f>E3080&amp;COUNTIFS($E$2:E3080,E3080)</f>
        <v>0</v>
      </c>
      <c r="B3080" s="166"/>
      <c r="C3080" s="168"/>
      <c r="D3080" s="167"/>
      <c r="E3080" s="166"/>
      <c r="F3080" s="165"/>
      <c r="G3080" s="164"/>
    </row>
    <row r="3081" spans="1:7" x14ac:dyDescent="0.25">
      <c r="A3081" s="169" t="str">
        <f>E3081&amp;COUNTIFS($E$2:E3081,E3081)</f>
        <v>0</v>
      </c>
      <c r="B3081" s="166"/>
      <c r="C3081" s="168"/>
      <c r="D3081" s="167"/>
      <c r="E3081" s="166"/>
      <c r="F3081" s="165"/>
      <c r="G3081" s="164"/>
    </row>
    <row r="3082" spans="1:7" x14ac:dyDescent="0.25">
      <c r="A3082" s="169" t="str">
        <f>E3082&amp;COUNTIFS($E$2:E3082,E3082)</f>
        <v>0</v>
      </c>
      <c r="B3082" s="166"/>
      <c r="C3082" s="168"/>
      <c r="D3082" s="167"/>
      <c r="E3082" s="166"/>
      <c r="F3082" s="165"/>
      <c r="G3082" s="164"/>
    </row>
    <row r="3083" spans="1:7" x14ac:dyDescent="0.25">
      <c r="A3083" s="169" t="str">
        <f>E3083&amp;COUNTIFS($E$2:E3083,E3083)</f>
        <v>0</v>
      </c>
      <c r="B3083" s="166"/>
      <c r="C3083" s="168"/>
      <c r="D3083" s="167"/>
      <c r="E3083" s="166"/>
      <c r="F3083" s="165"/>
      <c r="G3083" s="164"/>
    </row>
    <row r="3084" spans="1:7" x14ac:dyDescent="0.25">
      <c r="A3084" s="169" t="str">
        <f>E3084&amp;COUNTIFS($E$2:E3084,E3084)</f>
        <v>0</v>
      </c>
      <c r="B3084" s="166"/>
      <c r="C3084" s="168"/>
      <c r="D3084" s="167"/>
      <c r="E3084" s="166"/>
      <c r="F3084" s="165"/>
      <c r="G3084" s="164"/>
    </row>
    <row r="3085" spans="1:7" x14ac:dyDescent="0.25">
      <c r="A3085" s="169" t="str">
        <f>E3085&amp;COUNTIFS($E$2:E3085,E3085)</f>
        <v>0</v>
      </c>
      <c r="B3085" s="166"/>
      <c r="C3085" s="168"/>
      <c r="D3085" s="167"/>
      <c r="E3085" s="166"/>
      <c r="F3085" s="165"/>
      <c r="G3085" s="164"/>
    </row>
    <row r="3086" spans="1:7" ht="15.75" thickBot="1" x14ac:dyDescent="0.3">
      <c r="A3086" s="163" t="str">
        <f>E3086&amp;COUNTIFS($E$2:E3086,E3086)</f>
        <v>0</v>
      </c>
      <c r="B3086" s="166"/>
      <c r="C3086" s="162"/>
      <c r="D3086" s="161"/>
      <c r="E3086" s="160"/>
      <c r="F3086" s="159"/>
      <c r="G3086" s="158"/>
    </row>
    <row r="3087" spans="1:7" x14ac:dyDescent="0.25">
      <c r="A3087" s="148"/>
      <c r="C3087" s="143"/>
      <c r="D3087" s="157"/>
      <c r="E3087" s="143"/>
      <c r="F3087" s="156"/>
      <c r="G3087" s="156"/>
    </row>
    <row r="3088" spans="1:7" x14ac:dyDescent="0.25">
      <c r="A3088" s="148"/>
      <c r="C3088" s="153" t="s">
        <v>623</v>
      </c>
      <c r="D3088" s="152"/>
      <c r="E3088" s="151"/>
      <c r="F3088" s="150">
        <f>SUM(F3062:F3086)</f>
        <v>0</v>
      </c>
      <c r="G3088" s="155">
        <f>SUM(G3062:G3086)</f>
        <v>0</v>
      </c>
    </row>
    <row r="3089" spans="1:7" x14ac:dyDescent="0.25">
      <c r="A3089" s="148"/>
      <c r="C3089" s="145" t="s">
        <v>622</v>
      </c>
      <c r="D3089" s="154"/>
      <c r="E3089" s="145"/>
      <c r="F3089" s="144"/>
      <c r="G3089" s="144"/>
    </row>
    <row r="3090" spans="1:7" x14ac:dyDescent="0.25">
      <c r="A3090" s="148"/>
      <c r="C3090" s="153" t="s">
        <v>621</v>
      </c>
      <c r="D3090" s="152"/>
      <c r="E3090" s="151"/>
      <c r="F3090" s="150">
        <f>F3057</f>
        <v>0</v>
      </c>
      <c r="G3090" s="150">
        <f>G3057</f>
        <v>0</v>
      </c>
    </row>
    <row r="3091" spans="1:7" x14ac:dyDescent="0.25">
      <c r="A3091" s="148"/>
      <c r="C3091" s="153" t="s">
        <v>582</v>
      </c>
      <c r="D3091" s="152"/>
      <c r="E3091" s="151"/>
      <c r="F3091" s="150">
        <f>F3090+F3088</f>
        <v>0</v>
      </c>
      <c r="G3091" s="150">
        <f>G3090+G3088</f>
        <v>0</v>
      </c>
    </row>
    <row r="3092" spans="1:7" ht="15.75" thickBot="1" x14ac:dyDescent="0.3">
      <c r="A3092" s="148"/>
      <c r="C3092" s="145"/>
      <c r="D3092" s="149"/>
      <c r="E3092" s="145"/>
      <c r="F3092" s="144"/>
      <c r="G3092" s="144"/>
    </row>
    <row r="3093" spans="1:7" ht="15.75" thickBot="1" x14ac:dyDescent="0.3">
      <c r="A3093" s="148"/>
      <c r="C3093" s="147" t="s">
        <v>620</v>
      </c>
      <c r="D3093" s="146">
        <f>F3091-G3091</f>
        <v>0</v>
      </c>
      <c r="E3093" s="145"/>
      <c r="F3093" s="144"/>
      <c r="G3093" s="144"/>
    </row>
    <row r="3094" spans="1:7" ht="15.75" thickBot="1" x14ac:dyDescent="0.3"/>
    <row r="3095" spans="1:7" ht="30.75" thickBot="1" x14ac:dyDescent="0.3">
      <c r="A3095" s="181" t="s">
        <v>626</v>
      </c>
      <c r="B3095" s="180" t="s">
        <v>606</v>
      </c>
      <c r="C3095" s="179" t="s">
        <v>632</v>
      </c>
      <c r="D3095" s="178" t="s">
        <v>601</v>
      </c>
      <c r="E3095" s="177" t="s">
        <v>287</v>
      </c>
      <c r="F3095" s="176" t="s">
        <v>624</v>
      </c>
      <c r="G3095" s="176" t="s">
        <v>596</v>
      </c>
    </row>
    <row r="3096" spans="1:7" x14ac:dyDescent="0.25">
      <c r="A3096" s="169" t="str">
        <f>E3096&amp;COUNTIFS($E$2:E3096,E3096)</f>
        <v>0</v>
      </c>
      <c r="B3096" s="172"/>
      <c r="C3096" s="174"/>
      <c r="D3096" s="173"/>
      <c r="E3096" s="172"/>
      <c r="F3096" s="171"/>
      <c r="G3096" s="170"/>
    </row>
    <row r="3097" spans="1:7" x14ac:dyDescent="0.25">
      <c r="A3097" s="169" t="str">
        <f>E3097&amp;COUNTIFS($E$2:E3097,E3097)</f>
        <v>0</v>
      </c>
      <c r="B3097" s="166"/>
      <c r="C3097" s="168"/>
      <c r="D3097" s="167"/>
      <c r="E3097" s="166"/>
      <c r="F3097" s="165"/>
      <c r="G3097" s="164"/>
    </row>
    <row r="3098" spans="1:7" x14ac:dyDescent="0.25">
      <c r="A3098" s="169" t="str">
        <f>E3098&amp;COUNTIFS($E$2:E3098,E3098)</f>
        <v>0</v>
      </c>
      <c r="B3098" s="166"/>
      <c r="C3098" s="168"/>
      <c r="D3098" s="167"/>
      <c r="E3098" s="166"/>
      <c r="F3098" s="165"/>
      <c r="G3098" s="164"/>
    </row>
    <row r="3099" spans="1:7" x14ac:dyDescent="0.25">
      <c r="A3099" s="169" t="str">
        <f>E3099&amp;COUNTIFS($E$2:E3099,E3099)</f>
        <v>0</v>
      </c>
      <c r="B3099" s="166"/>
      <c r="C3099" s="168"/>
      <c r="D3099" s="167"/>
      <c r="E3099" s="166"/>
      <c r="F3099" s="165"/>
      <c r="G3099" s="164"/>
    </row>
    <row r="3100" spans="1:7" x14ac:dyDescent="0.25">
      <c r="A3100" s="169" t="str">
        <f>E3100&amp;COUNTIFS($E$2:E3100,E3100)</f>
        <v>0</v>
      </c>
      <c r="B3100" s="166"/>
      <c r="C3100" s="168"/>
      <c r="D3100" s="167"/>
      <c r="E3100" s="166"/>
      <c r="F3100" s="165"/>
      <c r="G3100" s="164"/>
    </row>
    <row r="3101" spans="1:7" x14ac:dyDescent="0.25">
      <c r="A3101" s="169" t="str">
        <f>E3101&amp;COUNTIFS($E$2:E3101,E3101)</f>
        <v>0</v>
      </c>
      <c r="B3101" s="166"/>
      <c r="C3101" s="168"/>
      <c r="D3101" s="167"/>
      <c r="E3101" s="166"/>
      <c r="F3101" s="165"/>
      <c r="G3101" s="164"/>
    </row>
    <row r="3102" spans="1:7" x14ac:dyDescent="0.25">
      <c r="A3102" s="169" t="str">
        <f>E3102&amp;COUNTIFS($E$2:E3102,E3102)</f>
        <v>0</v>
      </c>
      <c r="B3102" s="166"/>
      <c r="C3102" s="168"/>
      <c r="D3102" s="167"/>
      <c r="E3102" s="166"/>
      <c r="F3102" s="165"/>
      <c r="G3102" s="164"/>
    </row>
    <row r="3103" spans="1:7" x14ac:dyDescent="0.25">
      <c r="A3103" s="169" t="str">
        <f>E3103&amp;COUNTIFS($E$2:E3103,E3103)</f>
        <v>0</v>
      </c>
      <c r="B3103" s="166"/>
      <c r="C3103" s="168"/>
      <c r="D3103" s="167"/>
      <c r="E3103" s="166"/>
      <c r="F3103" s="165"/>
      <c r="G3103" s="164"/>
    </row>
    <row r="3104" spans="1:7" x14ac:dyDescent="0.25">
      <c r="A3104" s="169" t="str">
        <f>E3104&amp;COUNTIFS($E$2:E3104,E3104)</f>
        <v>0</v>
      </c>
      <c r="B3104" s="166"/>
      <c r="C3104" s="168"/>
      <c r="D3104" s="167"/>
      <c r="E3104" s="166"/>
      <c r="F3104" s="165"/>
      <c r="G3104" s="164"/>
    </row>
    <row r="3105" spans="1:7" x14ac:dyDescent="0.25">
      <c r="A3105" s="169" t="str">
        <f>E3105&amp;COUNTIFS($E$2:E3105,E3105)</f>
        <v>0</v>
      </c>
      <c r="B3105" s="166"/>
      <c r="C3105" s="168"/>
      <c r="D3105" s="167"/>
      <c r="E3105" s="166"/>
      <c r="F3105" s="165"/>
      <c r="G3105" s="164"/>
    </row>
    <row r="3106" spans="1:7" x14ac:dyDescent="0.25">
      <c r="A3106" s="169" t="str">
        <f>E3106&amp;COUNTIFS($E$2:E3106,E3106)</f>
        <v>0</v>
      </c>
      <c r="B3106" s="166"/>
      <c r="C3106" s="168"/>
      <c r="D3106" s="167"/>
      <c r="E3106" s="166"/>
      <c r="F3106" s="165"/>
      <c r="G3106" s="164"/>
    </row>
    <row r="3107" spans="1:7" x14ac:dyDescent="0.25">
      <c r="A3107" s="169" t="str">
        <f>E3107&amp;COUNTIFS($E$2:E3107,E3107)</f>
        <v>0</v>
      </c>
      <c r="B3107" s="166"/>
      <c r="C3107" s="168"/>
      <c r="D3107" s="167"/>
      <c r="E3107" s="166"/>
      <c r="F3107" s="165"/>
      <c r="G3107" s="164"/>
    </row>
    <row r="3108" spans="1:7" x14ac:dyDescent="0.25">
      <c r="A3108" s="169" t="str">
        <f>E3108&amp;COUNTIFS($E$2:E3108,E3108)</f>
        <v>0</v>
      </c>
      <c r="B3108" s="166"/>
      <c r="C3108" s="168"/>
      <c r="D3108" s="167"/>
      <c r="E3108" s="166"/>
      <c r="F3108" s="165"/>
      <c r="G3108" s="164"/>
    </row>
    <row r="3109" spans="1:7" x14ac:dyDescent="0.25">
      <c r="A3109" s="169" t="str">
        <f>E3109&amp;COUNTIFS($E$2:E3109,E3109)</f>
        <v>0</v>
      </c>
      <c r="B3109" s="166"/>
      <c r="C3109" s="168"/>
      <c r="D3109" s="167"/>
      <c r="E3109" s="166"/>
      <c r="F3109" s="165"/>
      <c r="G3109" s="164"/>
    </row>
    <row r="3110" spans="1:7" x14ac:dyDescent="0.25">
      <c r="A3110" s="169" t="str">
        <f>E3110&amp;COUNTIFS($E$2:E3110,E3110)</f>
        <v>0</v>
      </c>
      <c r="B3110" s="166"/>
      <c r="C3110" s="168"/>
      <c r="D3110" s="167"/>
      <c r="E3110" s="166"/>
      <c r="F3110" s="165"/>
      <c r="G3110" s="164"/>
    </row>
    <row r="3111" spans="1:7" x14ac:dyDescent="0.25">
      <c r="A3111" s="169" t="str">
        <f>E3111&amp;COUNTIFS($E$2:E3111,E3111)</f>
        <v>0</v>
      </c>
      <c r="B3111" s="166"/>
      <c r="C3111" s="168"/>
      <c r="D3111" s="167"/>
      <c r="E3111" s="166"/>
      <c r="F3111" s="165"/>
      <c r="G3111" s="164"/>
    </row>
    <row r="3112" spans="1:7" x14ac:dyDescent="0.25">
      <c r="A3112" s="169" t="str">
        <f>E3112&amp;COUNTIFS($E$2:E3112,E3112)</f>
        <v>0</v>
      </c>
      <c r="B3112" s="166"/>
      <c r="C3112" s="168"/>
      <c r="D3112" s="167"/>
      <c r="E3112" s="166"/>
      <c r="F3112" s="165"/>
      <c r="G3112" s="164"/>
    </row>
    <row r="3113" spans="1:7" x14ac:dyDescent="0.25">
      <c r="A3113" s="169" t="str">
        <f>E3113&amp;COUNTIFS($E$2:E3113,E3113)</f>
        <v>0</v>
      </c>
      <c r="B3113" s="166"/>
      <c r="C3113" s="168"/>
      <c r="D3113" s="167"/>
      <c r="E3113" s="166"/>
      <c r="F3113" s="165"/>
      <c r="G3113" s="164"/>
    </row>
    <row r="3114" spans="1:7" x14ac:dyDescent="0.25">
      <c r="A3114" s="169" t="str">
        <f>E3114&amp;COUNTIFS($E$2:E3114,E3114)</f>
        <v>0</v>
      </c>
      <c r="B3114" s="166"/>
      <c r="C3114" s="168"/>
      <c r="D3114" s="167"/>
      <c r="E3114" s="166"/>
      <c r="F3114" s="165"/>
      <c r="G3114" s="164"/>
    </row>
    <row r="3115" spans="1:7" x14ac:dyDescent="0.25">
      <c r="A3115" s="169" t="str">
        <f>E3115&amp;COUNTIFS($E$2:E3115,E3115)</f>
        <v>0</v>
      </c>
      <c r="B3115" s="166"/>
      <c r="C3115" s="168"/>
      <c r="D3115" s="167"/>
      <c r="E3115" s="166"/>
      <c r="F3115" s="165"/>
      <c r="G3115" s="164"/>
    </row>
    <row r="3116" spans="1:7" x14ac:dyDescent="0.25">
      <c r="A3116" s="169" t="str">
        <f>E3116&amp;COUNTIFS($E$2:E3116,E3116)</f>
        <v>0</v>
      </c>
      <c r="B3116" s="166"/>
      <c r="C3116" s="168"/>
      <c r="D3116" s="167"/>
      <c r="E3116" s="166"/>
      <c r="F3116" s="165"/>
      <c r="G3116" s="164"/>
    </row>
    <row r="3117" spans="1:7" x14ac:dyDescent="0.25">
      <c r="A3117" s="169" t="str">
        <f>E3117&amp;COUNTIFS($E$2:E3117,E3117)</f>
        <v>0</v>
      </c>
      <c r="B3117" s="166"/>
      <c r="C3117" s="168"/>
      <c r="D3117" s="167"/>
      <c r="E3117" s="166"/>
      <c r="F3117" s="165"/>
      <c r="G3117" s="164"/>
    </row>
    <row r="3118" spans="1:7" x14ac:dyDescent="0.25">
      <c r="A3118" s="169" t="str">
        <f>E3118&amp;COUNTIFS($E$2:E3118,E3118)</f>
        <v>0</v>
      </c>
      <c r="B3118" s="166"/>
      <c r="C3118" s="168"/>
      <c r="D3118" s="167"/>
      <c r="E3118" s="166"/>
      <c r="F3118" s="165"/>
      <c r="G3118" s="164"/>
    </row>
    <row r="3119" spans="1:7" x14ac:dyDescent="0.25">
      <c r="A3119" s="169" t="str">
        <f>E3119&amp;COUNTIFS($E$2:E3119,E3119)</f>
        <v>0</v>
      </c>
      <c r="B3119" s="166"/>
      <c r="C3119" s="168"/>
      <c r="D3119" s="167"/>
      <c r="E3119" s="166"/>
      <c r="F3119" s="165"/>
      <c r="G3119" s="164"/>
    </row>
    <row r="3120" spans="1:7" ht="15.75" thickBot="1" x14ac:dyDescent="0.3">
      <c r="A3120" s="163" t="str">
        <f>E3120&amp;COUNTIFS($E$2:E3120,E3120)</f>
        <v>0</v>
      </c>
      <c r="B3120" s="166"/>
      <c r="C3120" s="162"/>
      <c r="D3120" s="161"/>
      <c r="E3120" s="160"/>
      <c r="F3120" s="159"/>
      <c r="G3120" s="158"/>
    </row>
    <row r="3121" spans="1:7" x14ac:dyDescent="0.25">
      <c r="A3121" s="148"/>
      <c r="C3121" s="143"/>
      <c r="D3121" s="157"/>
      <c r="E3121" s="143"/>
      <c r="F3121" s="156"/>
      <c r="G3121" s="156"/>
    </row>
    <row r="3122" spans="1:7" x14ac:dyDescent="0.25">
      <c r="A3122" s="148"/>
      <c r="C3122" s="153" t="s">
        <v>623</v>
      </c>
      <c r="D3122" s="152"/>
      <c r="E3122" s="151"/>
      <c r="F3122" s="150">
        <f>SUM(F3096:F3120)</f>
        <v>0</v>
      </c>
      <c r="G3122" s="155">
        <f>SUM(G3096:G3120)</f>
        <v>0</v>
      </c>
    </row>
    <row r="3123" spans="1:7" x14ac:dyDescent="0.25">
      <c r="A3123" s="148"/>
      <c r="C3123" s="145" t="s">
        <v>622</v>
      </c>
      <c r="D3123" s="154"/>
      <c r="E3123" s="145"/>
      <c r="F3123" s="144"/>
      <c r="G3123" s="144"/>
    </row>
    <row r="3124" spans="1:7" x14ac:dyDescent="0.25">
      <c r="A3124" s="148"/>
      <c r="C3124" s="153" t="s">
        <v>621</v>
      </c>
      <c r="D3124" s="152"/>
      <c r="E3124" s="151"/>
      <c r="F3124" s="150">
        <f>F3091</f>
        <v>0</v>
      </c>
      <c r="G3124" s="150">
        <f>G3091</f>
        <v>0</v>
      </c>
    </row>
    <row r="3125" spans="1:7" x14ac:dyDescent="0.25">
      <c r="A3125" s="148"/>
      <c r="C3125" s="153" t="s">
        <v>582</v>
      </c>
      <c r="D3125" s="152"/>
      <c r="E3125" s="151"/>
      <c r="F3125" s="150">
        <f>F3124+F3122</f>
        <v>0</v>
      </c>
      <c r="G3125" s="150">
        <f>G3124+G3122</f>
        <v>0</v>
      </c>
    </row>
    <row r="3126" spans="1:7" ht="15.75" thickBot="1" x14ac:dyDescent="0.3">
      <c r="A3126" s="148"/>
      <c r="C3126" s="145"/>
      <c r="D3126" s="149"/>
      <c r="E3126" s="145"/>
      <c r="F3126" s="144"/>
      <c r="G3126" s="144"/>
    </row>
    <row r="3127" spans="1:7" ht="15.75" thickBot="1" x14ac:dyDescent="0.3">
      <c r="A3127" s="148"/>
      <c r="C3127" s="147" t="s">
        <v>620</v>
      </c>
      <c r="D3127" s="146">
        <f>F3125-G3125</f>
        <v>0</v>
      </c>
      <c r="E3127" s="145"/>
      <c r="F3127" s="144"/>
      <c r="G3127" s="144"/>
    </row>
    <row r="3128" spans="1:7" ht="15.75" thickBot="1" x14ac:dyDescent="0.3"/>
    <row r="3129" spans="1:7" ht="30.75" thickBot="1" x14ac:dyDescent="0.3">
      <c r="A3129" s="181" t="s">
        <v>626</v>
      </c>
      <c r="B3129" s="180" t="s">
        <v>606</v>
      </c>
      <c r="C3129" s="179" t="s">
        <v>632</v>
      </c>
      <c r="D3129" s="178" t="s">
        <v>601</v>
      </c>
      <c r="E3129" s="177" t="s">
        <v>287</v>
      </c>
      <c r="F3129" s="176" t="s">
        <v>624</v>
      </c>
      <c r="G3129" s="176" t="s">
        <v>596</v>
      </c>
    </row>
    <row r="3130" spans="1:7" x14ac:dyDescent="0.25">
      <c r="A3130" s="169" t="str">
        <f>E3130&amp;COUNTIFS($E$2:E3130,E3130)</f>
        <v>0</v>
      </c>
      <c r="B3130" s="172"/>
      <c r="C3130" s="174"/>
      <c r="D3130" s="173"/>
      <c r="E3130" s="172"/>
      <c r="F3130" s="171"/>
      <c r="G3130" s="170"/>
    </row>
    <row r="3131" spans="1:7" x14ac:dyDescent="0.25">
      <c r="A3131" s="169" t="str">
        <f>E3131&amp;COUNTIFS($E$2:E3131,E3131)</f>
        <v>0</v>
      </c>
      <c r="B3131" s="166"/>
      <c r="C3131" s="168"/>
      <c r="D3131" s="167"/>
      <c r="E3131" s="166"/>
      <c r="F3131" s="165"/>
      <c r="G3131" s="164"/>
    </row>
    <row r="3132" spans="1:7" x14ac:dyDescent="0.25">
      <c r="A3132" s="169" t="str">
        <f>E3132&amp;COUNTIFS($E$2:E3132,E3132)</f>
        <v>0</v>
      </c>
      <c r="B3132" s="166"/>
      <c r="C3132" s="168"/>
      <c r="D3132" s="167"/>
      <c r="E3132" s="166"/>
      <c r="F3132" s="165"/>
      <c r="G3132" s="164"/>
    </row>
    <row r="3133" spans="1:7" x14ac:dyDescent="0.25">
      <c r="A3133" s="169" t="str">
        <f>E3133&amp;COUNTIFS($E$2:E3133,E3133)</f>
        <v>0</v>
      </c>
      <c r="B3133" s="166"/>
      <c r="C3133" s="168"/>
      <c r="D3133" s="167"/>
      <c r="E3133" s="166"/>
      <c r="F3133" s="165"/>
      <c r="G3133" s="164"/>
    </row>
    <row r="3134" spans="1:7" x14ac:dyDescent="0.25">
      <c r="A3134" s="169" t="str">
        <f>E3134&amp;COUNTIFS($E$2:E3134,E3134)</f>
        <v>0</v>
      </c>
      <c r="B3134" s="166"/>
      <c r="C3134" s="168"/>
      <c r="D3134" s="167"/>
      <c r="E3134" s="166"/>
      <c r="F3134" s="165"/>
      <c r="G3134" s="164"/>
    </row>
    <row r="3135" spans="1:7" x14ac:dyDescent="0.25">
      <c r="A3135" s="169" t="str">
        <f>E3135&amp;COUNTIFS($E$2:E3135,E3135)</f>
        <v>0</v>
      </c>
      <c r="B3135" s="166"/>
      <c r="C3135" s="168"/>
      <c r="D3135" s="167"/>
      <c r="E3135" s="166"/>
      <c r="F3135" s="165"/>
      <c r="G3135" s="164"/>
    </row>
    <row r="3136" spans="1:7" x14ac:dyDescent="0.25">
      <c r="A3136" s="169" t="str">
        <f>E3136&amp;COUNTIFS($E$2:E3136,E3136)</f>
        <v>0</v>
      </c>
      <c r="B3136" s="166"/>
      <c r="C3136" s="168"/>
      <c r="D3136" s="167"/>
      <c r="E3136" s="166"/>
      <c r="F3136" s="165"/>
      <c r="G3136" s="164"/>
    </row>
    <row r="3137" spans="1:7" x14ac:dyDescent="0.25">
      <c r="A3137" s="169" t="str">
        <f>E3137&amp;COUNTIFS($E$2:E3137,E3137)</f>
        <v>0</v>
      </c>
      <c r="B3137" s="166"/>
      <c r="C3137" s="168"/>
      <c r="D3137" s="167"/>
      <c r="E3137" s="166"/>
      <c r="F3137" s="165"/>
      <c r="G3137" s="164"/>
    </row>
    <row r="3138" spans="1:7" x14ac:dyDescent="0.25">
      <c r="A3138" s="169" t="str">
        <f>E3138&amp;COUNTIFS($E$2:E3138,E3138)</f>
        <v>0</v>
      </c>
      <c r="B3138" s="166"/>
      <c r="C3138" s="168"/>
      <c r="D3138" s="167"/>
      <c r="E3138" s="166"/>
      <c r="F3138" s="165"/>
      <c r="G3138" s="164"/>
    </row>
    <row r="3139" spans="1:7" x14ac:dyDescent="0.25">
      <c r="A3139" s="169" t="str">
        <f>E3139&amp;COUNTIFS($E$2:E3139,E3139)</f>
        <v>0</v>
      </c>
      <c r="B3139" s="166"/>
      <c r="C3139" s="168"/>
      <c r="D3139" s="167"/>
      <c r="E3139" s="166"/>
      <c r="F3139" s="165"/>
      <c r="G3139" s="164"/>
    </row>
    <row r="3140" spans="1:7" x14ac:dyDescent="0.25">
      <c r="A3140" s="169" t="str">
        <f>E3140&amp;COUNTIFS($E$2:E3140,E3140)</f>
        <v>0</v>
      </c>
      <c r="B3140" s="166"/>
      <c r="C3140" s="168"/>
      <c r="D3140" s="167"/>
      <c r="E3140" s="166"/>
      <c r="F3140" s="165"/>
      <c r="G3140" s="164"/>
    </row>
    <row r="3141" spans="1:7" x14ac:dyDescent="0.25">
      <c r="A3141" s="169" t="str">
        <f>E3141&amp;COUNTIFS($E$2:E3141,E3141)</f>
        <v>0</v>
      </c>
      <c r="B3141" s="166"/>
      <c r="C3141" s="168"/>
      <c r="D3141" s="167"/>
      <c r="E3141" s="166"/>
      <c r="F3141" s="165"/>
      <c r="G3141" s="164"/>
    </row>
    <row r="3142" spans="1:7" x14ac:dyDescent="0.25">
      <c r="A3142" s="169" t="str">
        <f>E3142&amp;COUNTIFS($E$2:E3142,E3142)</f>
        <v>0</v>
      </c>
      <c r="B3142" s="166"/>
      <c r="C3142" s="168"/>
      <c r="D3142" s="167"/>
      <c r="E3142" s="166"/>
      <c r="F3142" s="165"/>
      <c r="G3142" s="164"/>
    </row>
    <row r="3143" spans="1:7" x14ac:dyDescent="0.25">
      <c r="A3143" s="169" t="str">
        <f>E3143&amp;COUNTIFS($E$2:E3143,E3143)</f>
        <v>0</v>
      </c>
      <c r="B3143" s="166"/>
      <c r="C3143" s="168"/>
      <c r="D3143" s="167"/>
      <c r="E3143" s="166"/>
      <c r="F3143" s="165"/>
      <c r="G3143" s="164"/>
    </row>
    <row r="3144" spans="1:7" x14ac:dyDescent="0.25">
      <c r="A3144" s="169" t="str">
        <f>E3144&amp;COUNTIFS($E$2:E3144,E3144)</f>
        <v>0</v>
      </c>
      <c r="B3144" s="166"/>
      <c r="C3144" s="168"/>
      <c r="D3144" s="167"/>
      <c r="E3144" s="166"/>
      <c r="F3144" s="165"/>
      <c r="G3144" s="164"/>
    </row>
    <row r="3145" spans="1:7" x14ac:dyDescent="0.25">
      <c r="A3145" s="169" t="str">
        <f>E3145&amp;COUNTIFS($E$2:E3145,E3145)</f>
        <v>0</v>
      </c>
      <c r="B3145" s="166"/>
      <c r="C3145" s="168"/>
      <c r="D3145" s="167"/>
      <c r="E3145" s="166"/>
      <c r="F3145" s="165"/>
      <c r="G3145" s="164"/>
    </row>
    <row r="3146" spans="1:7" x14ac:dyDescent="0.25">
      <c r="A3146" s="169" t="str">
        <f>E3146&amp;COUNTIFS($E$2:E3146,E3146)</f>
        <v>0</v>
      </c>
      <c r="B3146" s="166"/>
      <c r="C3146" s="168"/>
      <c r="D3146" s="167"/>
      <c r="E3146" s="166"/>
      <c r="F3146" s="165"/>
      <c r="G3146" s="164"/>
    </row>
    <row r="3147" spans="1:7" x14ac:dyDescent="0.25">
      <c r="A3147" s="169" t="str">
        <f>E3147&amp;COUNTIFS($E$2:E3147,E3147)</f>
        <v>0</v>
      </c>
      <c r="B3147" s="166"/>
      <c r="C3147" s="168"/>
      <c r="D3147" s="167"/>
      <c r="E3147" s="166"/>
      <c r="F3147" s="165"/>
      <c r="G3147" s="164"/>
    </row>
    <row r="3148" spans="1:7" x14ac:dyDescent="0.25">
      <c r="A3148" s="169" t="str">
        <f>E3148&amp;COUNTIFS($E$2:E3148,E3148)</f>
        <v>0</v>
      </c>
      <c r="B3148" s="166"/>
      <c r="C3148" s="168"/>
      <c r="D3148" s="167"/>
      <c r="E3148" s="166"/>
      <c r="F3148" s="165"/>
      <c r="G3148" s="164"/>
    </row>
    <row r="3149" spans="1:7" x14ac:dyDescent="0.25">
      <c r="A3149" s="169" t="str">
        <f>E3149&amp;COUNTIFS($E$2:E3149,E3149)</f>
        <v>0</v>
      </c>
      <c r="B3149" s="166"/>
      <c r="C3149" s="168"/>
      <c r="D3149" s="167"/>
      <c r="E3149" s="166"/>
      <c r="F3149" s="165"/>
      <c r="G3149" s="164"/>
    </row>
    <row r="3150" spans="1:7" x14ac:dyDescent="0.25">
      <c r="A3150" s="169" t="str">
        <f>E3150&amp;COUNTIFS($E$2:E3150,E3150)</f>
        <v>0</v>
      </c>
      <c r="B3150" s="166"/>
      <c r="C3150" s="168"/>
      <c r="D3150" s="167"/>
      <c r="E3150" s="166"/>
      <c r="F3150" s="165"/>
      <c r="G3150" s="164"/>
    </row>
    <row r="3151" spans="1:7" x14ac:dyDescent="0.25">
      <c r="A3151" s="169" t="str">
        <f>E3151&amp;COUNTIFS($E$2:E3151,E3151)</f>
        <v>0</v>
      </c>
      <c r="B3151" s="166"/>
      <c r="C3151" s="168"/>
      <c r="D3151" s="167"/>
      <c r="E3151" s="166"/>
      <c r="F3151" s="165"/>
      <c r="G3151" s="164"/>
    </row>
    <row r="3152" spans="1:7" x14ac:dyDescent="0.25">
      <c r="A3152" s="169" t="str">
        <f>E3152&amp;COUNTIFS($E$2:E3152,E3152)</f>
        <v>0</v>
      </c>
      <c r="B3152" s="166"/>
      <c r="C3152" s="168"/>
      <c r="D3152" s="167"/>
      <c r="E3152" s="166"/>
      <c r="F3152" s="165"/>
      <c r="G3152" s="164"/>
    </row>
    <row r="3153" spans="1:7" x14ac:dyDescent="0.25">
      <c r="A3153" s="169" t="str">
        <f>E3153&amp;COUNTIFS($E$2:E3153,E3153)</f>
        <v>0</v>
      </c>
      <c r="B3153" s="166"/>
      <c r="C3153" s="168"/>
      <c r="D3153" s="167"/>
      <c r="E3153" s="166"/>
      <c r="F3153" s="165"/>
      <c r="G3153" s="164"/>
    </row>
    <row r="3154" spans="1:7" ht="15.75" thickBot="1" x14ac:dyDescent="0.3">
      <c r="A3154" s="163" t="str">
        <f>E3154&amp;COUNTIFS($E$2:E3154,E3154)</f>
        <v>0</v>
      </c>
      <c r="B3154" s="166"/>
      <c r="C3154" s="162"/>
      <c r="D3154" s="161"/>
      <c r="E3154" s="160"/>
      <c r="F3154" s="159"/>
      <c r="G3154" s="158"/>
    </row>
    <row r="3155" spans="1:7" x14ac:dyDescent="0.25">
      <c r="A3155" s="148"/>
      <c r="C3155" s="143"/>
      <c r="D3155" s="157"/>
      <c r="E3155" s="143"/>
      <c r="F3155" s="156"/>
      <c r="G3155" s="156"/>
    </row>
    <row r="3156" spans="1:7" x14ac:dyDescent="0.25">
      <c r="A3156" s="148"/>
      <c r="C3156" s="153" t="s">
        <v>623</v>
      </c>
      <c r="D3156" s="152"/>
      <c r="E3156" s="151"/>
      <c r="F3156" s="150">
        <f>SUM(F3130:F3154)</f>
        <v>0</v>
      </c>
      <c r="G3156" s="155">
        <f>SUM(G3130:G3154)</f>
        <v>0</v>
      </c>
    </row>
    <row r="3157" spans="1:7" x14ac:dyDescent="0.25">
      <c r="A3157" s="148"/>
      <c r="C3157" s="145" t="s">
        <v>622</v>
      </c>
      <c r="D3157" s="154"/>
      <c r="E3157" s="145"/>
      <c r="F3157" s="144"/>
      <c r="G3157" s="144"/>
    </row>
    <row r="3158" spans="1:7" x14ac:dyDescent="0.25">
      <c r="A3158" s="148"/>
      <c r="C3158" s="153" t="s">
        <v>621</v>
      </c>
      <c r="D3158" s="152"/>
      <c r="E3158" s="151"/>
      <c r="F3158" s="150">
        <f>F3125</f>
        <v>0</v>
      </c>
      <c r="G3158" s="150">
        <f>G3125</f>
        <v>0</v>
      </c>
    </row>
    <row r="3159" spans="1:7" x14ac:dyDescent="0.25">
      <c r="A3159" s="148"/>
      <c r="C3159" s="153" t="s">
        <v>582</v>
      </c>
      <c r="D3159" s="152"/>
      <c r="E3159" s="151"/>
      <c r="F3159" s="150">
        <f>F3158+F3156</f>
        <v>0</v>
      </c>
      <c r="G3159" s="150">
        <f>G3158+G3156</f>
        <v>0</v>
      </c>
    </row>
    <row r="3160" spans="1:7" ht="15.75" thickBot="1" x14ac:dyDescent="0.3">
      <c r="A3160" s="148"/>
      <c r="C3160" s="145"/>
      <c r="D3160" s="149"/>
      <c r="E3160" s="145"/>
      <c r="F3160" s="144"/>
      <c r="G3160" s="144"/>
    </row>
    <row r="3161" spans="1:7" ht="15.75" thickBot="1" x14ac:dyDescent="0.3">
      <c r="A3161" s="148"/>
      <c r="C3161" s="147" t="s">
        <v>620</v>
      </c>
      <c r="D3161" s="146">
        <f>F3159-G3159</f>
        <v>0</v>
      </c>
      <c r="E3161" s="145"/>
      <c r="F3161" s="144"/>
      <c r="G3161" s="144"/>
    </row>
    <row r="3162" spans="1:7" ht="15.75" thickBot="1" x14ac:dyDescent="0.3"/>
    <row r="3163" spans="1:7" ht="30.75" thickBot="1" x14ac:dyDescent="0.3">
      <c r="A3163" s="181" t="s">
        <v>626</v>
      </c>
      <c r="B3163" s="180" t="s">
        <v>606</v>
      </c>
      <c r="C3163" s="179" t="s">
        <v>632</v>
      </c>
      <c r="D3163" s="178" t="s">
        <v>601</v>
      </c>
      <c r="E3163" s="177" t="s">
        <v>287</v>
      </c>
      <c r="F3163" s="176" t="s">
        <v>624</v>
      </c>
      <c r="G3163" s="176" t="s">
        <v>596</v>
      </c>
    </row>
    <row r="3164" spans="1:7" x14ac:dyDescent="0.25">
      <c r="A3164" s="169" t="str">
        <f>E3164&amp;COUNTIFS($E$2:E3164,E3164)</f>
        <v>0</v>
      </c>
      <c r="B3164" s="172"/>
      <c r="C3164" s="174"/>
      <c r="D3164" s="173"/>
      <c r="E3164" s="172"/>
      <c r="F3164" s="171"/>
      <c r="G3164" s="170"/>
    </row>
    <row r="3165" spans="1:7" x14ac:dyDescent="0.25">
      <c r="A3165" s="169" t="str">
        <f>E3165&amp;COUNTIFS($E$2:E3165,E3165)</f>
        <v>0</v>
      </c>
      <c r="B3165" s="166"/>
      <c r="C3165" s="168"/>
      <c r="D3165" s="167"/>
      <c r="E3165" s="166"/>
      <c r="F3165" s="165"/>
      <c r="G3165" s="164"/>
    </row>
    <row r="3166" spans="1:7" x14ac:dyDescent="0.25">
      <c r="A3166" s="169" t="str">
        <f>E3166&amp;COUNTIFS($E$2:E3166,E3166)</f>
        <v>0</v>
      </c>
      <c r="B3166" s="166"/>
      <c r="C3166" s="168"/>
      <c r="D3166" s="167"/>
      <c r="E3166" s="166"/>
      <c r="F3166" s="165"/>
      <c r="G3166" s="164"/>
    </row>
    <row r="3167" spans="1:7" x14ac:dyDescent="0.25">
      <c r="A3167" s="169" t="str">
        <f>E3167&amp;COUNTIFS($E$2:E3167,E3167)</f>
        <v>0</v>
      </c>
      <c r="B3167" s="166"/>
      <c r="C3167" s="168"/>
      <c r="D3167" s="167"/>
      <c r="E3167" s="166"/>
      <c r="F3167" s="165"/>
      <c r="G3167" s="164"/>
    </row>
    <row r="3168" spans="1:7" x14ac:dyDescent="0.25">
      <c r="A3168" s="169" t="str">
        <f>E3168&amp;COUNTIFS($E$2:E3168,E3168)</f>
        <v>0</v>
      </c>
      <c r="B3168" s="166"/>
      <c r="C3168" s="168"/>
      <c r="D3168" s="167"/>
      <c r="E3168" s="166"/>
      <c r="F3168" s="165"/>
      <c r="G3168" s="164"/>
    </row>
    <row r="3169" spans="1:7" x14ac:dyDescent="0.25">
      <c r="A3169" s="169" t="str">
        <f>E3169&amp;COUNTIFS($E$2:E3169,E3169)</f>
        <v>0</v>
      </c>
      <c r="B3169" s="166"/>
      <c r="C3169" s="168"/>
      <c r="D3169" s="167"/>
      <c r="E3169" s="166"/>
      <c r="F3169" s="165"/>
      <c r="G3169" s="164"/>
    </row>
    <row r="3170" spans="1:7" x14ac:dyDescent="0.25">
      <c r="A3170" s="169" t="str">
        <f>E3170&amp;COUNTIFS($E$2:E3170,E3170)</f>
        <v>0</v>
      </c>
      <c r="B3170" s="166"/>
      <c r="C3170" s="168"/>
      <c r="D3170" s="167"/>
      <c r="E3170" s="166"/>
      <c r="F3170" s="165"/>
      <c r="G3170" s="164"/>
    </row>
    <row r="3171" spans="1:7" x14ac:dyDescent="0.25">
      <c r="A3171" s="169" t="str">
        <f>E3171&amp;COUNTIFS($E$2:E3171,E3171)</f>
        <v>0</v>
      </c>
      <c r="B3171" s="166"/>
      <c r="C3171" s="168"/>
      <c r="D3171" s="167"/>
      <c r="E3171" s="166"/>
      <c r="F3171" s="165"/>
      <c r="G3171" s="164"/>
    </row>
    <row r="3172" spans="1:7" x14ac:dyDescent="0.25">
      <c r="A3172" s="169" t="str">
        <f>E3172&amp;COUNTIFS($E$2:E3172,E3172)</f>
        <v>0</v>
      </c>
      <c r="B3172" s="166"/>
      <c r="C3172" s="168"/>
      <c r="D3172" s="167"/>
      <c r="E3172" s="166"/>
      <c r="F3172" s="165"/>
      <c r="G3172" s="164"/>
    </row>
    <row r="3173" spans="1:7" x14ac:dyDescent="0.25">
      <c r="A3173" s="169" t="str">
        <f>E3173&amp;COUNTIFS($E$2:E3173,E3173)</f>
        <v>0</v>
      </c>
      <c r="B3173" s="166"/>
      <c r="C3173" s="168"/>
      <c r="D3173" s="167"/>
      <c r="E3173" s="166"/>
      <c r="F3173" s="165"/>
      <c r="G3173" s="164"/>
    </row>
    <row r="3174" spans="1:7" x14ac:dyDescent="0.25">
      <c r="A3174" s="169" t="str">
        <f>E3174&amp;COUNTIFS($E$2:E3174,E3174)</f>
        <v>0</v>
      </c>
      <c r="B3174" s="166"/>
      <c r="C3174" s="168"/>
      <c r="D3174" s="167"/>
      <c r="E3174" s="166"/>
      <c r="F3174" s="165"/>
      <c r="G3174" s="164"/>
    </row>
    <row r="3175" spans="1:7" x14ac:dyDescent="0.25">
      <c r="A3175" s="169" t="str">
        <f>E3175&amp;COUNTIFS($E$2:E3175,E3175)</f>
        <v>0</v>
      </c>
      <c r="B3175" s="166"/>
      <c r="C3175" s="168"/>
      <c r="D3175" s="167"/>
      <c r="E3175" s="166"/>
      <c r="F3175" s="165"/>
      <c r="G3175" s="164"/>
    </row>
    <row r="3176" spans="1:7" x14ac:dyDescent="0.25">
      <c r="A3176" s="169" t="str">
        <f>E3176&amp;COUNTIFS($E$2:E3176,E3176)</f>
        <v>0</v>
      </c>
      <c r="B3176" s="166"/>
      <c r="C3176" s="168"/>
      <c r="D3176" s="167"/>
      <c r="E3176" s="166"/>
      <c r="F3176" s="165"/>
      <c r="G3176" s="164"/>
    </row>
    <row r="3177" spans="1:7" x14ac:dyDescent="0.25">
      <c r="A3177" s="169" t="str">
        <f>E3177&amp;COUNTIFS($E$2:E3177,E3177)</f>
        <v>0</v>
      </c>
      <c r="B3177" s="166"/>
      <c r="C3177" s="168"/>
      <c r="D3177" s="167"/>
      <c r="E3177" s="166"/>
      <c r="F3177" s="165"/>
      <c r="G3177" s="164"/>
    </row>
    <row r="3178" spans="1:7" x14ac:dyDescent="0.25">
      <c r="A3178" s="169" t="str">
        <f>E3178&amp;COUNTIFS($E$2:E3178,E3178)</f>
        <v>0</v>
      </c>
      <c r="B3178" s="166"/>
      <c r="C3178" s="168"/>
      <c r="D3178" s="167"/>
      <c r="E3178" s="166"/>
      <c r="F3178" s="165"/>
      <c r="G3178" s="164"/>
    </row>
    <row r="3179" spans="1:7" x14ac:dyDescent="0.25">
      <c r="A3179" s="169" t="str">
        <f>E3179&amp;COUNTIFS($E$2:E3179,E3179)</f>
        <v>0</v>
      </c>
      <c r="B3179" s="166"/>
      <c r="C3179" s="168"/>
      <c r="D3179" s="167"/>
      <c r="E3179" s="166"/>
      <c r="F3179" s="165"/>
      <c r="G3179" s="164"/>
    </row>
    <row r="3180" spans="1:7" x14ac:dyDescent="0.25">
      <c r="A3180" s="169" t="str">
        <f>E3180&amp;COUNTIFS($E$2:E3180,E3180)</f>
        <v>0</v>
      </c>
      <c r="B3180" s="166"/>
      <c r="C3180" s="168"/>
      <c r="D3180" s="167"/>
      <c r="E3180" s="166"/>
      <c r="F3180" s="165"/>
      <c r="G3180" s="164"/>
    </row>
    <row r="3181" spans="1:7" x14ac:dyDescent="0.25">
      <c r="A3181" s="169" t="str">
        <f>E3181&amp;COUNTIFS($E$2:E3181,E3181)</f>
        <v>0</v>
      </c>
      <c r="B3181" s="166"/>
      <c r="C3181" s="168"/>
      <c r="D3181" s="167"/>
      <c r="E3181" s="166"/>
      <c r="F3181" s="165"/>
      <c r="G3181" s="164"/>
    </row>
    <row r="3182" spans="1:7" x14ac:dyDescent="0.25">
      <c r="A3182" s="169" t="str">
        <f>E3182&amp;COUNTIFS($E$2:E3182,E3182)</f>
        <v>0</v>
      </c>
      <c r="B3182" s="166"/>
      <c r="C3182" s="168"/>
      <c r="D3182" s="167"/>
      <c r="E3182" s="166"/>
      <c r="F3182" s="165"/>
      <c r="G3182" s="164"/>
    </row>
    <row r="3183" spans="1:7" x14ac:dyDescent="0.25">
      <c r="A3183" s="169" t="str">
        <f>E3183&amp;COUNTIFS($E$2:E3183,E3183)</f>
        <v>0</v>
      </c>
      <c r="B3183" s="166"/>
      <c r="C3183" s="168"/>
      <c r="D3183" s="167"/>
      <c r="E3183" s="166"/>
      <c r="F3183" s="165"/>
      <c r="G3183" s="164"/>
    </row>
    <row r="3184" spans="1:7" x14ac:dyDescent="0.25">
      <c r="A3184" s="169" t="str">
        <f>E3184&amp;COUNTIFS($E$2:E3184,E3184)</f>
        <v>0</v>
      </c>
      <c r="B3184" s="166"/>
      <c r="C3184" s="168"/>
      <c r="D3184" s="167"/>
      <c r="E3184" s="166"/>
      <c r="F3184" s="165"/>
      <c r="G3184" s="164"/>
    </row>
    <row r="3185" spans="1:7" x14ac:dyDescent="0.25">
      <c r="A3185" s="169" t="str">
        <f>E3185&amp;COUNTIFS($E$2:E3185,E3185)</f>
        <v>0</v>
      </c>
      <c r="B3185" s="166"/>
      <c r="C3185" s="168"/>
      <c r="D3185" s="167"/>
      <c r="E3185" s="166"/>
      <c r="F3185" s="165"/>
      <c r="G3185" s="164"/>
    </row>
    <row r="3186" spans="1:7" x14ac:dyDescent="0.25">
      <c r="A3186" s="169" t="str">
        <f>E3186&amp;COUNTIFS($E$2:E3186,E3186)</f>
        <v>0</v>
      </c>
      <c r="B3186" s="166"/>
      <c r="C3186" s="168"/>
      <c r="D3186" s="167"/>
      <c r="E3186" s="166"/>
      <c r="F3186" s="165"/>
      <c r="G3186" s="164"/>
    </row>
    <row r="3187" spans="1:7" x14ac:dyDescent="0.25">
      <c r="A3187" s="169" t="str">
        <f>E3187&amp;COUNTIFS($E$2:E3187,E3187)</f>
        <v>0</v>
      </c>
      <c r="B3187" s="166"/>
      <c r="C3187" s="168"/>
      <c r="D3187" s="167"/>
      <c r="E3187" s="166"/>
      <c r="F3187" s="165"/>
      <c r="G3187" s="164"/>
    </row>
    <row r="3188" spans="1:7" ht="15.75" thickBot="1" x14ac:dyDescent="0.3">
      <c r="A3188" s="163" t="str">
        <f>E3188&amp;COUNTIFS($E$2:E3188,E3188)</f>
        <v>0</v>
      </c>
      <c r="B3188" s="166"/>
      <c r="C3188" s="162"/>
      <c r="D3188" s="161"/>
      <c r="E3188" s="160"/>
      <c r="F3188" s="159"/>
      <c r="G3188" s="158"/>
    </row>
    <row r="3189" spans="1:7" x14ac:dyDescent="0.25">
      <c r="A3189" s="148"/>
      <c r="C3189" s="143"/>
      <c r="D3189" s="157"/>
      <c r="E3189" s="143"/>
      <c r="F3189" s="156"/>
      <c r="G3189" s="156"/>
    </row>
    <row r="3190" spans="1:7" x14ac:dyDescent="0.25">
      <c r="A3190" s="148"/>
      <c r="C3190" s="153" t="s">
        <v>623</v>
      </c>
      <c r="D3190" s="152"/>
      <c r="E3190" s="151"/>
      <c r="F3190" s="150">
        <f>SUM(F3164:F3188)</f>
        <v>0</v>
      </c>
      <c r="G3190" s="155">
        <f>SUM(G3164:G3188)</f>
        <v>0</v>
      </c>
    </row>
    <row r="3191" spans="1:7" x14ac:dyDescent="0.25">
      <c r="A3191" s="148"/>
      <c r="C3191" s="145" t="s">
        <v>622</v>
      </c>
      <c r="D3191" s="154"/>
      <c r="E3191" s="145"/>
      <c r="F3191" s="144"/>
      <c r="G3191" s="144"/>
    </row>
    <row r="3192" spans="1:7" x14ac:dyDescent="0.25">
      <c r="A3192" s="148"/>
      <c r="C3192" s="153" t="s">
        <v>621</v>
      </c>
      <c r="D3192" s="152"/>
      <c r="E3192" s="151"/>
      <c r="F3192" s="150">
        <f>F3159</f>
        <v>0</v>
      </c>
      <c r="G3192" s="150">
        <f>G3159</f>
        <v>0</v>
      </c>
    </row>
    <row r="3193" spans="1:7" x14ac:dyDescent="0.25">
      <c r="A3193" s="148"/>
      <c r="C3193" s="153" t="s">
        <v>582</v>
      </c>
      <c r="D3193" s="152"/>
      <c r="E3193" s="151"/>
      <c r="F3193" s="150">
        <f>F3192+F3190</f>
        <v>0</v>
      </c>
      <c r="G3193" s="150">
        <f>G3192+G3190</f>
        <v>0</v>
      </c>
    </row>
    <row r="3194" spans="1:7" ht="15.75" thickBot="1" x14ac:dyDescent="0.3">
      <c r="A3194" s="148"/>
      <c r="C3194" s="145"/>
      <c r="D3194" s="149"/>
      <c r="E3194" s="145"/>
      <c r="F3194" s="144"/>
      <c r="G3194" s="144"/>
    </row>
    <row r="3195" spans="1:7" ht="15.75" thickBot="1" x14ac:dyDescent="0.3">
      <c r="A3195" s="148"/>
      <c r="C3195" s="147" t="s">
        <v>620</v>
      </c>
      <c r="D3195" s="146">
        <f>F3193-G3193</f>
        <v>0</v>
      </c>
      <c r="E3195" s="145"/>
      <c r="F3195" s="144"/>
      <c r="G3195" s="144"/>
    </row>
    <row r="3196" spans="1:7" ht="15.75" thickBot="1" x14ac:dyDescent="0.3"/>
    <row r="3197" spans="1:7" ht="30.75" thickBot="1" x14ac:dyDescent="0.3">
      <c r="A3197" s="181" t="s">
        <v>626</v>
      </c>
      <c r="B3197" s="180" t="s">
        <v>606</v>
      </c>
      <c r="C3197" s="179" t="s">
        <v>632</v>
      </c>
      <c r="D3197" s="178" t="s">
        <v>601</v>
      </c>
      <c r="E3197" s="177" t="s">
        <v>287</v>
      </c>
      <c r="F3197" s="176" t="s">
        <v>624</v>
      </c>
      <c r="G3197" s="176" t="s">
        <v>596</v>
      </c>
    </row>
    <row r="3198" spans="1:7" x14ac:dyDescent="0.25">
      <c r="A3198" s="169" t="str">
        <f>E3198&amp;COUNTIFS($E$2:E3198,E3198)</f>
        <v>0</v>
      </c>
      <c r="B3198" s="172"/>
      <c r="C3198" s="174"/>
      <c r="D3198" s="173"/>
      <c r="E3198" s="172"/>
      <c r="F3198" s="171"/>
      <c r="G3198" s="170"/>
    </row>
    <row r="3199" spans="1:7" x14ac:dyDescent="0.25">
      <c r="A3199" s="169" t="str">
        <f>E3199&amp;COUNTIFS($E$2:E3199,E3199)</f>
        <v>0</v>
      </c>
      <c r="B3199" s="166"/>
      <c r="C3199" s="168"/>
      <c r="D3199" s="167"/>
      <c r="E3199" s="166"/>
      <c r="F3199" s="165"/>
      <c r="G3199" s="164"/>
    </row>
    <row r="3200" spans="1:7" x14ac:dyDescent="0.25">
      <c r="A3200" s="169" t="str">
        <f>E3200&amp;COUNTIFS($E$2:E3200,E3200)</f>
        <v>0</v>
      </c>
      <c r="B3200" s="166"/>
      <c r="C3200" s="168"/>
      <c r="D3200" s="167"/>
      <c r="E3200" s="166"/>
      <c r="F3200" s="165"/>
      <c r="G3200" s="164"/>
    </row>
    <row r="3201" spans="1:7" x14ac:dyDescent="0.25">
      <c r="A3201" s="169" t="str">
        <f>E3201&amp;COUNTIFS($E$2:E3201,E3201)</f>
        <v>0</v>
      </c>
      <c r="B3201" s="166"/>
      <c r="C3201" s="168"/>
      <c r="D3201" s="167"/>
      <c r="E3201" s="166"/>
      <c r="F3201" s="165"/>
      <c r="G3201" s="164"/>
    </row>
    <row r="3202" spans="1:7" x14ac:dyDescent="0.25">
      <c r="A3202" s="169" t="str">
        <f>E3202&amp;COUNTIFS($E$2:E3202,E3202)</f>
        <v>0</v>
      </c>
      <c r="B3202" s="166"/>
      <c r="C3202" s="168"/>
      <c r="D3202" s="167"/>
      <c r="E3202" s="166"/>
      <c r="F3202" s="165"/>
      <c r="G3202" s="164"/>
    </row>
    <row r="3203" spans="1:7" x14ac:dyDescent="0.25">
      <c r="A3203" s="169" t="str">
        <f>E3203&amp;COUNTIFS($E$2:E3203,E3203)</f>
        <v>0</v>
      </c>
      <c r="B3203" s="166"/>
      <c r="C3203" s="168"/>
      <c r="D3203" s="167"/>
      <c r="E3203" s="166"/>
      <c r="F3203" s="165"/>
      <c r="G3203" s="164"/>
    </row>
    <row r="3204" spans="1:7" x14ac:dyDescent="0.25">
      <c r="A3204" s="169" t="str">
        <f>E3204&amp;COUNTIFS($E$2:E3204,E3204)</f>
        <v>0</v>
      </c>
      <c r="B3204" s="166"/>
      <c r="C3204" s="168"/>
      <c r="D3204" s="167"/>
      <c r="E3204" s="166"/>
      <c r="F3204" s="165"/>
      <c r="G3204" s="164"/>
    </row>
    <row r="3205" spans="1:7" x14ac:dyDescent="0.25">
      <c r="A3205" s="169" t="str">
        <f>E3205&amp;COUNTIFS($E$2:E3205,E3205)</f>
        <v>0</v>
      </c>
      <c r="B3205" s="166"/>
      <c r="C3205" s="168"/>
      <c r="D3205" s="167"/>
      <c r="E3205" s="166"/>
      <c r="F3205" s="165"/>
      <c r="G3205" s="164"/>
    </row>
    <row r="3206" spans="1:7" x14ac:dyDescent="0.25">
      <c r="A3206" s="169" t="str">
        <f>E3206&amp;COUNTIFS($E$2:E3206,E3206)</f>
        <v>0</v>
      </c>
      <c r="B3206" s="166"/>
      <c r="C3206" s="168"/>
      <c r="D3206" s="167"/>
      <c r="E3206" s="166"/>
      <c r="F3206" s="165"/>
      <c r="G3206" s="164"/>
    </row>
    <row r="3207" spans="1:7" x14ac:dyDescent="0.25">
      <c r="A3207" s="169" t="str">
        <f>E3207&amp;COUNTIFS($E$2:E3207,E3207)</f>
        <v>0</v>
      </c>
      <c r="B3207" s="166"/>
      <c r="C3207" s="168"/>
      <c r="D3207" s="167"/>
      <c r="E3207" s="166"/>
      <c r="F3207" s="165"/>
      <c r="G3207" s="164"/>
    </row>
    <row r="3208" spans="1:7" x14ac:dyDescent="0.25">
      <c r="A3208" s="169" t="str">
        <f>E3208&amp;COUNTIFS($E$2:E3208,E3208)</f>
        <v>0</v>
      </c>
      <c r="B3208" s="166"/>
      <c r="C3208" s="168"/>
      <c r="D3208" s="167"/>
      <c r="E3208" s="166"/>
      <c r="F3208" s="165"/>
      <c r="G3208" s="164"/>
    </row>
    <row r="3209" spans="1:7" x14ac:dyDescent="0.25">
      <c r="A3209" s="169" t="str">
        <f>E3209&amp;COUNTIFS($E$2:E3209,E3209)</f>
        <v>0</v>
      </c>
      <c r="B3209" s="166"/>
      <c r="C3209" s="168"/>
      <c r="D3209" s="167"/>
      <c r="E3209" s="166"/>
      <c r="F3209" s="165"/>
      <c r="G3209" s="164"/>
    </row>
    <row r="3210" spans="1:7" x14ac:dyDescent="0.25">
      <c r="A3210" s="169" t="str">
        <f>E3210&amp;COUNTIFS($E$2:E3210,E3210)</f>
        <v>0</v>
      </c>
      <c r="B3210" s="166"/>
      <c r="C3210" s="168"/>
      <c r="D3210" s="167"/>
      <c r="E3210" s="166"/>
      <c r="F3210" s="165"/>
      <c r="G3210" s="164"/>
    </row>
    <row r="3211" spans="1:7" x14ac:dyDescent="0.25">
      <c r="A3211" s="169" t="str">
        <f>E3211&amp;COUNTIFS($E$2:E3211,E3211)</f>
        <v>0</v>
      </c>
      <c r="B3211" s="166"/>
      <c r="C3211" s="168"/>
      <c r="D3211" s="167"/>
      <c r="E3211" s="166"/>
      <c r="F3211" s="165"/>
      <c r="G3211" s="164"/>
    </row>
    <row r="3212" spans="1:7" x14ac:dyDescent="0.25">
      <c r="A3212" s="169" t="str">
        <f>E3212&amp;COUNTIFS($E$2:E3212,E3212)</f>
        <v>0</v>
      </c>
      <c r="B3212" s="166"/>
      <c r="C3212" s="168"/>
      <c r="D3212" s="167"/>
      <c r="E3212" s="166"/>
      <c r="F3212" s="165"/>
      <c r="G3212" s="164"/>
    </row>
    <row r="3213" spans="1:7" x14ac:dyDescent="0.25">
      <c r="A3213" s="169" t="str">
        <f>E3213&amp;COUNTIFS($E$2:E3213,E3213)</f>
        <v>0</v>
      </c>
      <c r="B3213" s="166"/>
      <c r="C3213" s="168"/>
      <c r="D3213" s="167"/>
      <c r="E3213" s="166"/>
      <c r="F3213" s="165"/>
      <c r="G3213" s="164"/>
    </row>
    <row r="3214" spans="1:7" x14ac:dyDescent="0.25">
      <c r="A3214" s="169" t="str">
        <f>E3214&amp;COUNTIFS($E$2:E3214,E3214)</f>
        <v>0</v>
      </c>
      <c r="B3214" s="166"/>
      <c r="C3214" s="168"/>
      <c r="D3214" s="167"/>
      <c r="E3214" s="166"/>
      <c r="F3214" s="165"/>
      <c r="G3214" s="164"/>
    </row>
    <row r="3215" spans="1:7" x14ac:dyDescent="0.25">
      <c r="A3215" s="169" t="str">
        <f>E3215&amp;COUNTIFS($E$2:E3215,E3215)</f>
        <v>0</v>
      </c>
      <c r="B3215" s="166"/>
      <c r="C3215" s="168"/>
      <c r="D3215" s="167"/>
      <c r="E3215" s="166"/>
      <c r="F3215" s="165"/>
      <c r="G3215" s="164"/>
    </row>
    <row r="3216" spans="1:7" x14ac:dyDescent="0.25">
      <c r="A3216" s="169" t="str">
        <f>E3216&amp;COUNTIFS($E$2:E3216,E3216)</f>
        <v>0</v>
      </c>
      <c r="B3216" s="166"/>
      <c r="C3216" s="168"/>
      <c r="D3216" s="167"/>
      <c r="E3216" s="166"/>
      <c r="F3216" s="165"/>
      <c r="G3216" s="164"/>
    </row>
    <row r="3217" spans="1:7" x14ac:dyDescent="0.25">
      <c r="A3217" s="169" t="str">
        <f>E3217&amp;COUNTIFS($E$2:E3217,E3217)</f>
        <v>0</v>
      </c>
      <c r="B3217" s="166"/>
      <c r="C3217" s="168"/>
      <c r="D3217" s="167"/>
      <c r="E3217" s="166"/>
      <c r="F3217" s="165"/>
      <c r="G3217" s="164"/>
    </row>
    <row r="3218" spans="1:7" x14ac:dyDescent="0.25">
      <c r="A3218" s="169" t="str">
        <f>E3218&amp;COUNTIFS($E$2:E3218,E3218)</f>
        <v>0</v>
      </c>
      <c r="B3218" s="166"/>
      <c r="C3218" s="168"/>
      <c r="D3218" s="167"/>
      <c r="E3218" s="166"/>
      <c r="F3218" s="165"/>
      <c r="G3218" s="164"/>
    </row>
    <row r="3219" spans="1:7" x14ac:dyDescent="0.25">
      <c r="A3219" s="169" t="str">
        <f>E3219&amp;COUNTIFS($E$2:E3219,E3219)</f>
        <v>0</v>
      </c>
      <c r="B3219" s="166"/>
      <c r="C3219" s="168"/>
      <c r="D3219" s="167"/>
      <c r="E3219" s="166"/>
      <c r="F3219" s="165"/>
      <c r="G3219" s="164"/>
    </row>
    <row r="3220" spans="1:7" x14ac:dyDescent="0.25">
      <c r="A3220" s="169" t="str">
        <f>E3220&amp;COUNTIFS($E$2:E3220,E3220)</f>
        <v>0</v>
      </c>
      <c r="B3220" s="166"/>
      <c r="C3220" s="168"/>
      <c r="D3220" s="167"/>
      <c r="E3220" s="166"/>
      <c r="F3220" s="165"/>
      <c r="G3220" s="164"/>
    </row>
    <row r="3221" spans="1:7" x14ac:dyDescent="0.25">
      <c r="A3221" s="169" t="str">
        <f>E3221&amp;COUNTIFS($E$2:E3221,E3221)</f>
        <v>0</v>
      </c>
      <c r="B3221" s="166"/>
      <c r="C3221" s="168"/>
      <c r="D3221" s="167"/>
      <c r="E3221" s="166"/>
      <c r="F3221" s="165"/>
      <c r="G3221" s="164"/>
    </row>
    <row r="3222" spans="1:7" ht="15.75" thickBot="1" x14ac:dyDescent="0.3">
      <c r="A3222" s="163" t="str">
        <f>E3222&amp;COUNTIFS($E$2:E3222,E3222)</f>
        <v>0</v>
      </c>
      <c r="B3222" s="166"/>
      <c r="C3222" s="162"/>
      <c r="D3222" s="161"/>
      <c r="E3222" s="160"/>
      <c r="F3222" s="159"/>
      <c r="G3222" s="158"/>
    </row>
    <row r="3223" spans="1:7" x14ac:dyDescent="0.25">
      <c r="A3223" s="148"/>
      <c r="C3223" s="143"/>
      <c r="D3223" s="157"/>
      <c r="E3223" s="143"/>
      <c r="F3223" s="156"/>
      <c r="G3223" s="156"/>
    </row>
    <row r="3224" spans="1:7" x14ac:dyDescent="0.25">
      <c r="A3224" s="148"/>
      <c r="C3224" s="153" t="s">
        <v>623</v>
      </c>
      <c r="D3224" s="152"/>
      <c r="E3224" s="151"/>
      <c r="F3224" s="150">
        <f>SUM(F3198:F3222)</f>
        <v>0</v>
      </c>
      <c r="G3224" s="155">
        <f>SUM(G3198:G3222)</f>
        <v>0</v>
      </c>
    </row>
    <row r="3225" spans="1:7" x14ac:dyDescent="0.25">
      <c r="A3225" s="148"/>
      <c r="C3225" s="145" t="s">
        <v>622</v>
      </c>
      <c r="D3225" s="154"/>
      <c r="E3225" s="145"/>
      <c r="F3225" s="144"/>
      <c r="G3225" s="144"/>
    </row>
    <row r="3226" spans="1:7" x14ac:dyDescent="0.25">
      <c r="A3226" s="148"/>
      <c r="C3226" s="153" t="s">
        <v>621</v>
      </c>
      <c r="D3226" s="152"/>
      <c r="E3226" s="151"/>
      <c r="F3226" s="150">
        <f>F3193</f>
        <v>0</v>
      </c>
      <c r="G3226" s="150">
        <f>G3193</f>
        <v>0</v>
      </c>
    </row>
    <row r="3227" spans="1:7" x14ac:dyDescent="0.25">
      <c r="A3227" s="148"/>
      <c r="C3227" s="153" t="s">
        <v>582</v>
      </c>
      <c r="D3227" s="152"/>
      <c r="E3227" s="151"/>
      <c r="F3227" s="150">
        <f>F3226+F3224</f>
        <v>0</v>
      </c>
      <c r="G3227" s="150">
        <f>G3226+G3224</f>
        <v>0</v>
      </c>
    </row>
    <row r="3228" spans="1:7" ht="15.75" thickBot="1" x14ac:dyDescent="0.3">
      <c r="A3228" s="148"/>
      <c r="C3228" s="145"/>
      <c r="D3228" s="149"/>
      <c r="E3228" s="145"/>
      <c r="F3228" s="144"/>
      <c r="G3228" s="144"/>
    </row>
    <row r="3229" spans="1:7" ht="15.75" thickBot="1" x14ac:dyDescent="0.3">
      <c r="A3229" s="148"/>
      <c r="C3229" s="147" t="s">
        <v>620</v>
      </c>
      <c r="D3229" s="146">
        <f>F3227-G3227</f>
        <v>0</v>
      </c>
      <c r="E3229" s="145"/>
      <c r="F3229" s="144"/>
      <c r="G3229" s="144"/>
    </row>
    <row r="3230" spans="1:7" ht="15.75" thickBot="1" x14ac:dyDescent="0.3"/>
    <row r="3231" spans="1:7" ht="30.75" thickBot="1" x14ac:dyDescent="0.3">
      <c r="A3231" s="181" t="s">
        <v>626</v>
      </c>
      <c r="B3231" s="180" t="s">
        <v>606</v>
      </c>
      <c r="C3231" s="179" t="s">
        <v>632</v>
      </c>
      <c r="D3231" s="178" t="s">
        <v>601</v>
      </c>
      <c r="E3231" s="177" t="s">
        <v>287</v>
      </c>
      <c r="F3231" s="176" t="s">
        <v>624</v>
      </c>
      <c r="G3231" s="176" t="s">
        <v>596</v>
      </c>
    </row>
    <row r="3232" spans="1:7" x14ac:dyDescent="0.25">
      <c r="A3232" s="169" t="str">
        <f>E3232&amp;COUNTIFS($E$2:E3232,E3232)</f>
        <v>0</v>
      </c>
      <c r="B3232" s="172"/>
      <c r="C3232" s="174"/>
      <c r="D3232" s="173"/>
      <c r="E3232" s="172"/>
      <c r="F3232" s="171"/>
      <c r="G3232" s="170"/>
    </row>
    <row r="3233" spans="1:7" x14ac:dyDescent="0.25">
      <c r="A3233" s="169" t="str">
        <f>E3233&amp;COUNTIFS($E$2:E3233,E3233)</f>
        <v>0</v>
      </c>
      <c r="B3233" s="166"/>
      <c r="C3233" s="168"/>
      <c r="D3233" s="167"/>
      <c r="E3233" s="166"/>
      <c r="F3233" s="165"/>
      <c r="G3233" s="164"/>
    </row>
    <row r="3234" spans="1:7" x14ac:dyDescent="0.25">
      <c r="A3234" s="169" t="str">
        <f>E3234&amp;COUNTIFS($E$2:E3234,E3234)</f>
        <v>0</v>
      </c>
      <c r="B3234" s="166"/>
      <c r="C3234" s="168"/>
      <c r="D3234" s="167"/>
      <c r="E3234" s="166"/>
      <c r="F3234" s="165"/>
      <c r="G3234" s="164"/>
    </row>
    <row r="3235" spans="1:7" x14ac:dyDescent="0.25">
      <c r="A3235" s="169" t="str">
        <f>E3235&amp;COUNTIFS($E$2:E3235,E3235)</f>
        <v>0</v>
      </c>
      <c r="B3235" s="166"/>
      <c r="C3235" s="168"/>
      <c r="D3235" s="167"/>
      <c r="E3235" s="166"/>
      <c r="F3235" s="165"/>
      <c r="G3235" s="164"/>
    </row>
    <row r="3236" spans="1:7" x14ac:dyDescent="0.25">
      <c r="A3236" s="169" t="str">
        <f>E3236&amp;COUNTIFS($E$2:E3236,E3236)</f>
        <v>0</v>
      </c>
      <c r="B3236" s="166"/>
      <c r="C3236" s="168"/>
      <c r="D3236" s="167"/>
      <c r="E3236" s="166"/>
      <c r="F3236" s="165"/>
      <c r="G3236" s="164"/>
    </row>
    <row r="3237" spans="1:7" x14ac:dyDescent="0.25">
      <c r="A3237" s="169" t="str">
        <f>E3237&amp;COUNTIFS($E$2:E3237,E3237)</f>
        <v>0</v>
      </c>
      <c r="B3237" s="166"/>
      <c r="C3237" s="168"/>
      <c r="D3237" s="167"/>
      <c r="E3237" s="166"/>
      <c r="F3237" s="165"/>
      <c r="G3237" s="164"/>
    </row>
    <row r="3238" spans="1:7" x14ac:dyDescent="0.25">
      <c r="A3238" s="169" t="str">
        <f>E3238&amp;COUNTIFS($E$2:E3238,E3238)</f>
        <v>0</v>
      </c>
      <c r="B3238" s="166"/>
      <c r="C3238" s="168"/>
      <c r="D3238" s="167"/>
      <c r="E3238" s="166"/>
      <c r="F3238" s="165"/>
      <c r="G3238" s="164"/>
    </row>
    <row r="3239" spans="1:7" x14ac:dyDescent="0.25">
      <c r="A3239" s="169" t="str">
        <f>E3239&amp;COUNTIFS($E$2:E3239,E3239)</f>
        <v>0</v>
      </c>
      <c r="B3239" s="166"/>
      <c r="C3239" s="168"/>
      <c r="D3239" s="167"/>
      <c r="E3239" s="166"/>
      <c r="F3239" s="165"/>
      <c r="G3239" s="164"/>
    </row>
    <row r="3240" spans="1:7" x14ac:dyDescent="0.25">
      <c r="A3240" s="169" t="str">
        <f>E3240&amp;COUNTIFS($E$2:E3240,E3240)</f>
        <v>0</v>
      </c>
      <c r="B3240" s="166"/>
      <c r="C3240" s="168"/>
      <c r="D3240" s="167"/>
      <c r="E3240" s="166"/>
      <c r="F3240" s="165"/>
      <c r="G3240" s="164"/>
    </row>
    <row r="3241" spans="1:7" x14ac:dyDescent="0.25">
      <c r="A3241" s="169" t="str">
        <f>E3241&amp;COUNTIFS($E$2:E3241,E3241)</f>
        <v>0</v>
      </c>
      <c r="B3241" s="166"/>
      <c r="C3241" s="168"/>
      <c r="D3241" s="167"/>
      <c r="E3241" s="166"/>
      <c r="F3241" s="165"/>
      <c r="G3241" s="164"/>
    </row>
    <row r="3242" spans="1:7" x14ac:dyDescent="0.25">
      <c r="A3242" s="169" t="str">
        <f>E3242&amp;COUNTIFS($E$2:E3242,E3242)</f>
        <v>0</v>
      </c>
      <c r="B3242" s="166"/>
      <c r="C3242" s="168"/>
      <c r="D3242" s="167"/>
      <c r="E3242" s="166"/>
      <c r="F3242" s="165"/>
      <c r="G3242" s="164"/>
    </row>
    <row r="3243" spans="1:7" x14ac:dyDescent="0.25">
      <c r="A3243" s="169" t="str">
        <f>E3243&amp;COUNTIFS($E$2:E3243,E3243)</f>
        <v>0</v>
      </c>
      <c r="B3243" s="166"/>
      <c r="C3243" s="168"/>
      <c r="D3243" s="167"/>
      <c r="E3243" s="166"/>
      <c r="F3243" s="165"/>
      <c r="G3243" s="164"/>
    </row>
    <row r="3244" spans="1:7" x14ac:dyDescent="0.25">
      <c r="A3244" s="169" t="str">
        <f>E3244&amp;COUNTIFS($E$2:E3244,E3244)</f>
        <v>0</v>
      </c>
      <c r="B3244" s="166"/>
      <c r="C3244" s="168"/>
      <c r="D3244" s="167"/>
      <c r="E3244" s="166"/>
      <c r="F3244" s="165"/>
      <c r="G3244" s="164"/>
    </row>
    <row r="3245" spans="1:7" x14ac:dyDescent="0.25">
      <c r="A3245" s="169" t="str">
        <f>E3245&amp;COUNTIFS($E$2:E3245,E3245)</f>
        <v>0</v>
      </c>
      <c r="B3245" s="166"/>
      <c r="C3245" s="168"/>
      <c r="D3245" s="167"/>
      <c r="E3245" s="166"/>
      <c r="F3245" s="165"/>
      <c r="G3245" s="164"/>
    </row>
    <row r="3246" spans="1:7" x14ac:dyDescent="0.25">
      <c r="A3246" s="169" t="str">
        <f>E3246&amp;COUNTIFS($E$2:E3246,E3246)</f>
        <v>0</v>
      </c>
      <c r="B3246" s="166"/>
      <c r="C3246" s="168"/>
      <c r="D3246" s="167"/>
      <c r="E3246" s="166"/>
      <c r="F3246" s="165"/>
      <c r="G3246" s="164"/>
    </row>
    <row r="3247" spans="1:7" x14ac:dyDescent="0.25">
      <c r="A3247" s="169" t="str">
        <f>E3247&amp;COUNTIFS($E$2:E3247,E3247)</f>
        <v>0</v>
      </c>
      <c r="B3247" s="166"/>
      <c r="C3247" s="168"/>
      <c r="D3247" s="167"/>
      <c r="E3247" s="166"/>
      <c r="F3247" s="165"/>
      <c r="G3247" s="164"/>
    </row>
    <row r="3248" spans="1:7" x14ac:dyDescent="0.25">
      <c r="A3248" s="169" t="str">
        <f>E3248&amp;COUNTIFS($E$2:E3248,E3248)</f>
        <v>0</v>
      </c>
      <c r="B3248" s="166"/>
      <c r="C3248" s="168"/>
      <c r="D3248" s="167"/>
      <c r="E3248" s="166"/>
      <c r="F3248" s="165"/>
      <c r="G3248" s="164"/>
    </row>
    <row r="3249" spans="1:7" x14ac:dyDescent="0.25">
      <c r="A3249" s="169" t="str">
        <f>E3249&amp;COUNTIFS($E$2:E3249,E3249)</f>
        <v>0</v>
      </c>
      <c r="B3249" s="166"/>
      <c r="C3249" s="168"/>
      <c r="D3249" s="167"/>
      <c r="E3249" s="166"/>
      <c r="F3249" s="165"/>
      <c r="G3249" s="164"/>
    </row>
    <row r="3250" spans="1:7" x14ac:dyDescent="0.25">
      <c r="A3250" s="169" t="str">
        <f>E3250&amp;COUNTIFS($E$2:E3250,E3250)</f>
        <v>0</v>
      </c>
      <c r="B3250" s="166"/>
      <c r="C3250" s="168"/>
      <c r="D3250" s="167"/>
      <c r="E3250" s="166"/>
      <c r="F3250" s="165"/>
      <c r="G3250" s="164"/>
    </row>
    <row r="3251" spans="1:7" x14ac:dyDescent="0.25">
      <c r="A3251" s="169" t="str">
        <f>E3251&amp;COUNTIFS($E$2:E3251,E3251)</f>
        <v>0</v>
      </c>
      <c r="B3251" s="166"/>
      <c r="C3251" s="168"/>
      <c r="D3251" s="167"/>
      <c r="E3251" s="166"/>
      <c r="F3251" s="165"/>
      <c r="G3251" s="164"/>
    </row>
    <row r="3252" spans="1:7" x14ac:dyDescent="0.25">
      <c r="A3252" s="169" t="str">
        <f>E3252&amp;COUNTIFS($E$2:E3252,E3252)</f>
        <v>0</v>
      </c>
      <c r="B3252" s="166"/>
      <c r="C3252" s="168"/>
      <c r="D3252" s="167"/>
      <c r="E3252" s="166"/>
      <c r="F3252" s="165"/>
      <c r="G3252" s="164"/>
    </row>
    <row r="3253" spans="1:7" x14ac:dyDescent="0.25">
      <c r="A3253" s="169" t="str">
        <f>E3253&amp;COUNTIFS($E$2:E3253,E3253)</f>
        <v>0</v>
      </c>
      <c r="B3253" s="166"/>
      <c r="C3253" s="168"/>
      <c r="D3253" s="167"/>
      <c r="E3253" s="166"/>
      <c r="F3253" s="165"/>
      <c r="G3253" s="164"/>
    </row>
    <row r="3254" spans="1:7" x14ac:dyDescent="0.25">
      <c r="A3254" s="169" t="str">
        <f>E3254&amp;COUNTIFS($E$2:E3254,E3254)</f>
        <v>0</v>
      </c>
      <c r="B3254" s="166"/>
      <c r="C3254" s="168"/>
      <c r="D3254" s="167"/>
      <c r="E3254" s="166"/>
      <c r="F3254" s="165"/>
      <c r="G3254" s="164"/>
    </row>
    <row r="3255" spans="1:7" x14ac:dyDescent="0.25">
      <c r="A3255" s="169" t="str">
        <f>E3255&amp;COUNTIFS($E$2:E3255,E3255)</f>
        <v>0</v>
      </c>
      <c r="B3255" s="166"/>
      <c r="C3255" s="168"/>
      <c r="D3255" s="167"/>
      <c r="E3255" s="166"/>
      <c r="F3255" s="165"/>
      <c r="G3255" s="164"/>
    </row>
    <row r="3256" spans="1:7" ht="15.75" thickBot="1" x14ac:dyDescent="0.3">
      <c r="A3256" s="163" t="str">
        <f>E3256&amp;COUNTIFS($E$2:E3256,E3256)</f>
        <v>0</v>
      </c>
      <c r="B3256" s="166"/>
      <c r="C3256" s="162"/>
      <c r="D3256" s="161"/>
      <c r="E3256" s="160"/>
      <c r="F3256" s="159"/>
      <c r="G3256" s="158"/>
    </row>
    <row r="3257" spans="1:7" x14ac:dyDescent="0.25">
      <c r="A3257" s="148"/>
      <c r="C3257" s="143"/>
      <c r="D3257" s="157"/>
      <c r="E3257" s="143"/>
      <c r="F3257" s="156"/>
      <c r="G3257" s="156"/>
    </row>
    <row r="3258" spans="1:7" x14ac:dyDescent="0.25">
      <c r="A3258" s="148"/>
      <c r="C3258" s="153" t="s">
        <v>623</v>
      </c>
      <c r="D3258" s="152"/>
      <c r="E3258" s="151"/>
      <c r="F3258" s="150">
        <f>SUM(F3232:F3256)</f>
        <v>0</v>
      </c>
      <c r="G3258" s="155">
        <f>SUM(G3232:G3256)</f>
        <v>0</v>
      </c>
    </row>
    <row r="3259" spans="1:7" x14ac:dyDescent="0.25">
      <c r="A3259" s="148"/>
      <c r="C3259" s="145" t="s">
        <v>622</v>
      </c>
      <c r="D3259" s="154"/>
      <c r="E3259" s="145"/>
      <c r="F3259" s="144"/>
      <c r="G3259" s="144"/>
    </row>
    <row r="3260" spans="1:7" x14ac:dyDescent="0.25">
      <c r="A3260" s="148"/>
      <c r="C3260" s="153" t="s">
        <v>621</v>
      </c>
      <c r="D3260" s="152"/>
      <c r="E3260" s="151"/>
      <c r="F3260" s="150">
        <f>F3227</f>
        <v>0</v>
      </c>
      <c r="G3260" s="150">
        <f>G3227</f>
        <v>0</v>
      </c>
    </row>
    <row r="3261" spans="1:7" x14ac:dyDescent="0.25">
      <c r="A3261" s="148"/>
      <c r="C3261" s="153" t="s">
        <v>582</v>
      </c>
      <c r="D3261" s="152"/>
      <c r="E3261" s="151"/>
      <c r="F3261" s="150">
        <f>F3260+F3258</f>
        <v>0</v>
      </c>
      <c r="G3261" s="150">
        <f>G3260+G3258</f>
        <v>0</v>
      </c>
    </row>
    <row r="3262" spans="1:7" ht="15.75" thickBot="1" x14ac:dyDescent="0.3">
      <c r="A3262" s="148"/>
      <c r="C3262" s="145"/>
      <c r="D3262" s="149"/>
      <c r="E3262" s="145"/>
      <c r="F3262" s="144"/>
      <c r="G3262" s="144"/>
    </row>
    <row r="3263" spans="1:7" ht="15.75" thickBot="1" x14ac:dyDescent="0.3">
      <c r="A3263" s="148"/>
      <c r="C3263" s="147" t="s">
        <v>620</v>
      </c>
      <c r="D3263" s="146">
        <f>F3261-G3261</f>
        <v>0</v>
      </c>
      <c r="E3263" s="145"/>
      <c r="F3263" s="144"/>
      <c r="G3263" s="144"/>
    </row>
    <row r="3264" spans="1:7" ht="15.75" thickBot="1" x14ac:dyDescent="0.3"/>
    <row r="3265" spans="1:7" ht="30.75" thickBot="1" x14ac:dyDescent="0.3">
      <c r="A3265" s="181" t="s">
        <v>626</v>
      </c>
      <c r="B3265" s="180" t="s">
        <v>606</v>
      </c>
      <c r="C3265" s="179" t="s">
        <v>632</v>
      </c>
      <c r="D3265" s="178" t="s">
        <v>601</v>
      </c>
      <c r="E3265" s="177" t="s">
        <v>287</v>
      </c>
      <c r="F3265" s="176" t="s">
        <v>624</v>
      </c>
      <c r="G3265" s="176" t="s">
        <v>596</v>
      </c>
    </row>
    <row r="3266" spans="1:7" x14ac:dyDescent="0.25">
      <c r="A3266" s="169" t="str">
        <f>E3266&amp;COUNTIFS($E$2:E3266,E3266)</f>
        <v>0</v>
      </c>
      <c r="B3266" s="172"/>
      <c r="C3266" s="174"/>
      <c r="D3266" s="173"/>
      <c r="E3266" s="172"/>
      <c r="F3266" s="171"/>
      <c r="G3266" s="170"/>
    </row>
    <row r="3267" spans="1:7" x14ac:dyDescent="0.25">
      <c r="A3267" s="169" t="str">
        <f>E3267&amp;COUNTIFS($E$2:E3267,E3267)</f>
        <v>0</v>
      </c>
      <c r="B3267" s="166"/>
      <c r="C3267" s="168"/>
      <c r="D3267" s="167"/>
      <c r="E3267" s="166"/>
      <c r="F3267" s="165"/>
      <c r="G3267" s="164"/>
    </row>
    <row r="3268" spans="1:7" x14ac:dyDescent="0.25">
      <c r="A3268" s="169" t="str">
        <f>E3268&amp;COUNTIFS($E$2:E3268,E3268)</f>
        <v>0</v>
      </c>
      <c r="B3268" s="166"/>
      <c r="C3268" s="168"/>
      <c r="D3268" s="167"/>
      <c r="E3268" s="166"/>
      <c r="F3268" s="165"/>
      <c r="G3268" s="164"/>
    </row>
    <row r="3269" spans="1:7" x14ac:dyDescent="0.25">
      <c r="A3269" s="169" t="str">
        <f>E3269&amp;COUNTIFS($E$2:E3269,E3269)</f>
        <v>0</v>
      </c>
      <c r="B3269" s="166"/>
      <c r="C3269" s="168"/>
      <c r="D3269" s="167"/>
      <c r="E3269" s="166"/>
      <c r="F3269" s="165"/>
      <c r="G3269" s="164"/>
    </row>
    <row r="3270" spans="1:7" x14ac:dyDescent="0.25">
      <c r="A3270" s="169" t="str">
        <f>E3270&amp;COUNTIFS($E$2:E3270,E3270)</f>
        <v>0</v>
      </c>
      <c r="B3270" s="166"/>
      <c r="C3270" s="168"/>
      <c r="D3270" s="167"/>
      <c r="E3270" s="166"/>
      <c r="F3270" s="165"/>
      <c r="G3270" s="164"/>
    </row>
    <row r="3271" spans="1:7" x14ac:dyDescent="0.25">
      <c r="A3271" s="169" t="str">
        <f>E3271&amp;COUNTIFS($E$2:E3271,E3271)</f>
        <v>0</v>
      </c>
      <c r="B3271" s="166"/>
      <c r="C3271" s="168"/>
      <c r="D3271" s="167"/>
      <c r="E3271" s="166"/>
      <c r="F3271" s="165"/>
      <c r="G3271" s="164"/>
    </row>
    <row r="3272" spans="1:7" x14ac:dyDescent="0.25">
      <c r="A3272" s="169" t="str">
        <f>E3272&amp;COUNTIFS($E$2:E3272,E3272)</f>
        <v>0</v>
      </c>
      <c r="B3272" s="166"/>
      <c r="C3272" s="168"/>
      <c r="D3272" s="167"/>
      <c r="E3272" s="166"/>
      <c r="F3272" s="165"/>
      <c r="G3272" s="164"/>
    </row>
    <row r="3273" spans="1:7" x14ac:dyDescent="0.25">
      <c r="A3273" s="169" t="str">
        <f>E3273&amp;COUNTIFS($E$2:E3273,E3273)</f>
        <v>0</v>
      </c>
      <c r="B3273" s="166"/>
      <c r="C3273" s="168"/>
      <c r="D3273" s="167"/>
      <c r="E3273" s="166"/>
      <c r="F3273" s="165"/>
      <c r="G3273" s="164"/>
    </row>
    <row r="3274" spans="1:7" x14ac:dyDescent="0.25">
      <c r="A3274" s="169" t="str">
        <f>E3274&amp;COUNTIFS($E$2:E3274,E3274)</f>
        <v>0</v>
      </c>
      <c r="B3274" s="166"/>
      <c r="C3274" s="168"/>
      <c r="D3274" s="167"/>
      <c r="E3274" s="166"/>
      <c r="F3274" s="165"/>
      <c r="G3274" s="164"/>
    </row>
    <row r="3275" spans="1:7" x14ac:dyDescent="0.25">
      <c r="A3275" s="169" t="str">
        <f>E3275&amp;COUNTIFS($E$2:E3275,E3275)</f>
        <v>0</v>
      </c>
      <c r="B3275" s="166"/>
      <c r="C3275" s="168"/>
      <c r="D3275" s="167"/>
      <c r="E3275" s="166"/>
      <c r="F3275" s="165"/>
      <c r="G3275" s="164"/>
    </row>
    <row r="3276" spans="1:7" x14ac:dyDescent="0.25">
      <c r="A3276" s="169" t="str">
        <f>E3276&amp;COUNTIFS($E$2:E3276,E3276)</f>
        <v>0</v>
      </c>
      <c r="B3276" s="166"/>
      <c r="C3276" s="168"/>
      <c r="D3276" s="167"/>
      <c r="E3276" s="166"/>
      <c r="F3276" s="165"/>
      <c r="G3276" s="164"/>
    </row>
    <row r="3277" spans="1:7" x14ac:dyDescent="0.25">
      <c r="A3277" s="169" t="str">
        <f>E3277&amp;COUNTIFS($E$2:E3277,E3277)</f>
        <v>0</v>
      </c>
      <c r="B3277" s="166"/>
      <c r="C3277" s="168"/>
      <c r="D3277" s="167"/>
      <c r="E3277" s="166"/>
      <c r="F3277" s="165"/>
      <c r="G3277" s="164"/>
    </row>
    <row r="3278" spans="1:7" x14ac:dyDescent="0.25">
      <c r="A3278" s="169" t="str">
        <f>E3278&amp;COUNTIFS($E$2:E3278,E3278)</f>
        <v>0</v>
      </c>
      <c r="B3278" s="166"/>
      <c r="C3278" s="168"/>
      <c r="D3278" s="167"/>
      <c r="E3278" s="166"/>
      <c r="F3278" s="165"/>
      <c r="G3278" s="164"/>
    </row>
    <row r="3279" spans="1:7" x14ac:dyDescent="0.25">
      <c r="A3279" s="169" t="str">
        <f>E3279&amp;COUNTIFS($E$2:E3279,E3279)</f>
        <v>0</v>
      </c>
      <c r="B3279" s="166"/>
      <c r="C3279" s="168"/>
      <c r="D3279" s="167"/>
      <c r="E3279" s="166"/>
      <c r="F3279" s="165"/>
      <c r="G3279" s="164"/>
    </row>
    <row r="3280" spans="1:7" x14ac:dyDescent="0.25">
      <c r="A3280" s="169" t="str">
        <f>E3280&amp;COUNTIFS($E$2:E3280,E3280)</f>
        <v>0</v>
      </c>
      <c r="B3280" s="166"/>
      <c r="C3280" s="168"/>
      <c r="D3280" s="167"/>
      <c r="E3280" s="166"/>
      <c r="F3280" s="165"/>
      <c r="G3280" s="164"/>
    </row>
    <row r="3281" spans="1:7" x14ac:dyDescent="0.25">
      <c r="A3281" s="169" t="str">
        <f>E3281&amp;COUNTIFS($E$2:E3281,E3281)</f>
        <v>0</v>
      </c>
      <c r="B3281" s="166"/>
      <c r="C3281" s="168"/>
      <c r="D3281" s="167"/>
      <c r="E3281" s="166"/>
      <c r="F3281" s="165"/>
      <c r="G3281" s="164"/>
    </row>
    <row r="3282" spans="1:7" x14ac:dyDescent="0.25">
      <c r="A3282" s="169" t="str">
        <f>E3282&amp;COUNTIFS($E$2:E3282,E3282)</f>
        <v>0</v>
      </c>
      <c r="B3282" s="166"/>
      <c r="C3282" s="168"/>
      <c r="D3282" s="167"/>
      <c r="E3282" s="166"/>
      <c r="F3282" s="165"/>
      <c r="G3282" s="164"/>
    </row>
    <row r="3283" spans="1:7" x14ac:dyDescent="0.25">
      <c r="A3283" s="169" t="str">
        <f>E3283&amp;COUNTIFS($E$2:E3283,E3283)</f>
        <v>0</v>
      </c>
      <c r="B3283" s="166"/>
      <c r="C3283" s="168"/>
      <c r="D3283" s="167"/>
      <c r="E3283" s="166"/>
      <c r="F3283" s="165"/>
      <c r="G3283" s="164"/>
    </row>
    <row r="3284" spans="1:7" x14ac:dyDescent="0.25">
      <c r="A3284" s="169" t="str">
        <f>E3284&amp;COUNTIFS($E$2:E3284,E3284)</f>
        <v>0</v>
      </c>
      <c r="B3284" s="166"/>
      <c r="C3284" s="168"/>
      <c r="D3284" s="167"/>
      <c r="E3284" s="166"/>
      <c r="F3284" s="165"/>
      <c r="G3284" s="164"/>
    </row>
    <row r="3285" spans="1:7" x14ac:dyDescent="0.25">
      <c r="A3285" s="169" t="str">
        <f>E3285&amp;COUNTIFS($E$2:E3285,E3285)</f>
        <v>0</v>
      </c>
      <c r="B3285" s="166"/>
      <c r="C3285" s="168"/>
      <c r="D3285" s="167"/>
      <c r="E3285" s="166"/>
      <c r="F3285" s="165"/>
      <c r="G3285" s="164"/>
    </row>
    <row r="3286" spans="1:7" x14ac:dyDescent="0.25">
      <c r="A3286" s="169" t="str">
        <f>E3286&amp;COUNTIFS($E$2:E3286,E3286)</f>
        <v>0</v>
      </c>
      <c r="B3286" s="166"/>
      <c r="C3286" s="168"/>
      <c r="D3286" s="167"/>
      <c r="E3286" s="166"/>
      <c r="F3286" s="165"/>
      <c r="G3286" s="164"/>
    </row>
    <row r="3287" spans="1:7" x14ac:dyDescent="0.25">
      <c r="A3287" s="169" t="str">
        <f>E3287&amp;COUNTIFS($E$2:E3287,E3287)</f>
        <v>0</v>
      </c>
      <c r="B3287" s="166"/>
      <c r="C3287" s="168"/>
      <c r="D3287" s="167"/>
      <c r="E3287" s="166"/>
      <c r="F3287" s="165"/>
      <c r="G3287" s="164"/>
    </row>
    <row r="3288" spans="1:7" x14ac:dyDescent="0.25">
      <c r="A3288" s="169" t="str">
        <f>E3288&amp;COUNTIFS($E$2:E3288,E3288)</f>
        <v>0</v>
      </c>
      <c r="B3288" s="166"/>
      <c r="C3288" s="168"/>
      <c r="D3288" s="167"/>
      <c r="E3288" s="166"/>
      <c r="F3288" s="165"/>
      <c r="G3288" s="164"/>
    </row>
    <row r="3289" spans="1:7" x14ac:dyDescent="0.25">
      <c r="A3289" s="169" t="str">
        <f>E3289&amp;COUNTIFS($E$2:E3289,E3289)</f>
        <v>0</v>
      </c>
      <c r="B3289" s="166"/>
      <c r="C3289" s="168"/>
      <c r="D3289" s="167"/>
      <c r="E3289" s="166"/>
      <c r="F3289" s="165"/>
      <c r="G3289" s="164"/>
    </row>
    <row r="3290" spans="1:7" ht="15.75" thickBot="1" x14ac:dyDescent="0.3">
      <c r="A3290" s="163" t="str">
        <f>E3290&amp;COUNTIFS($E$2:E3290,E3290)</f>
        <v>0</v>
      </c>
      <c r="B3290" s="166"/>
      <c r="C3290" s="162"/>
      <c r="D3290" s="161"/>
      <c r="E3290" s="160"/>
      <c r="F3290" s="159"/>
      <c r="G3290" s="158"/>
    </row>
    <row r="3291" spans="1:7" x14ac:dyDescent="0.25">
      <c r="A3291" s="148"/>
      <c r="C3291" s="143"/>
      <c r="D3291" s="157"/>
      <c r="E3291" s="143"/>
      <c r="F3291" s="156"/>
      <c r="G3291" s="156"/>
    </row>
    <row r="3292" spans="1:7" x14ac:dyDescent="0.25">
      <c r="A3292" s="148"/>
      <c r="C3292" s="153" t="s">
        <v>623</v>
      </c>
      <c r="D3292" s="152"/>
      <c r="E3292" s="151"/>
      <c r="F3292" s="150">
        <f>SUM(F3266:F3290)</f>
        <v>0</v>
      </c>
      <c r="G3292" s="155">
        <f>SUM(G3266:G3290)</f>
        <v>0</v>
      </c>
    </row>
    <row r="3293" spans="1:7" x14ac:dyDescent="0.25">
      <c r="A3293" s="148"/>
      <c r="C3293" s="145" t="s">
        <v>622</v>
      </c>
      <c r="D3293" s="154"/>
      <c r="E3293" s="145"/>
      <c r="F3293" s="144"/>
      <c r="G3293" s="144"/>
    </row>
    <row r="3294" spans="1:7" x14ac:dyDescent="0.25">
      <c r="A3294" s="148"/>
      <c r="C3294" s="153" t="s">
        <v>621</v>
      </c>
      <c r="D3294" s="152"/>
      <c r="E3294" s="151"/>
      <c r="F3294" s="150">
        <f>F3261</f>
        <v>0</v>
      </c>
      <c r="G3294" s="150">
        <f>G3261</f>
        <v>0</v>
      </c>
    </row>
    <row r="3295" spans="1:7" x14ac:dyDescent="0.25">
      <c r="A3295" s="148"/>
      <c r="C3295" s="153" t="s">
        <v>582</v>
      </c>
      <c r="D3295" s="152"/>
      <c r="E3295" s="151"/>
      <c r="F3295" s="150">
        <f>F3294+F3292</f>
        <v>0</v>
      </c>
      <c r="G3295" s="150">
        <f>G3294+G3292</f>
        <v>0</v>
      </c>
    </row>
    <row r="3296" spans="1:7" ht="15.75" thickBot="1" x14ac:dyDescent="0.3">
      <c r="A3296" s="148"/>
      <c r="C3296" s="145"/>
      <c r="D3296" s="149"/>
      <c r="E3296" s="145"/>
      <c r="F3296" s="144"/>
      <c r="G3296" s="144"/>
    </row>
    <row r="3297" spans="1:7" ht="15.75" thickBot="1" x14ac:dyDescent="0.3">
      <c r="A3297" s="148"/>
      <c r="C3297" s="147" t="s">
        <v>620</v>
      </c>
      <c r="D3297" s="146">
        <f>F3295-G3295</f>
        <v>0</v>
      </c>
      <c r="E3297" s="145"/>
      <c r="F3297" s="144"/>
      <c r="G3297" s="144"/>
    </row>
    <row r="3298" spans="1:7" ht="15.75" thickBot="1" x14ac:dyDescent="0.3"/>
    <row r="3299" spans="1:7" ht="30.75" thickBot="1" x14ac:dyDescent="0.3">
      <c r="A3299" s="239" t="s">
        <v>626</v>
      </c>
      <c r="B3299" s="237" t="s">
        <v>606</v>
      </c>
      <c r="C3299" s="236" t="s">
        <v>631</v>
      </c>
      <c r="D3299" s="235" t="s">
        <v>601</v>
      </c>
      <c r="E3299" s="234" t="s">
        <v>287</v>
      </c>
      <c r="F3299" s="233" t="s">
        <v>624</v>
      </c>
      <c r="G3299" s="233" t="s">
        <v>596</v>
      </c>
    </row>
    <row r="3300" spans="1:7" x14ac:dyDescent="0.25">
      <c r="A3300" s="222" t="str">
        <f>E3300&amp;COUNTIFS($E$2:E3300,E3300)</f>
        <v>0</v>
      </c>
      <c r="B3300" s="223"/>
      <c r="C3300" s="174"/>
      <c r="D3300" s="173"/>
      <c r="E3300" s="172"/>
      <c r="F3300" s="171"/>
      <c r="G3300" s="170"/>
    </row>
    <row r="3301" spans="1:7" x14ac:dyDescent="0.25">
      <c r="A3301" s="222" t="str">
        <f>E3301&amp;COUNTIFS($E$2:E3301,E3301)</f>
        <v>0</v>
      </c>
      <c r="B3301" s="221"/>
      <c r="C3301" s="168"/>
      <c r="D3301" s="167"/>
      <c r="E3301" s="166"/>
      <c r="F3301" s="165"/>
      <c r="G3301" s="164"/>
    </row>
    <row r="3302" spans="1:7" x14ac:dyDescent="0.25">
      <c r="A3302" s="222" t="str">
        <f>E3302&amp;COUNTIFS($E$2:E3302,E3302)</f>
        <v>0</v>
      </c>
      <c r="B3302" s="221"/>
      <c r="C3302" s="168"/>
      <c r="D3302" s="167"/>
      <c r="E3302" s="166"/>
      <c r="F3302" s="165"/>
      <c r="G3302" s="164"/>
    </row>
    <row r="3303" spans="1:7" x14ac:dyDescent="0.25">
      <c r="A3303" s="222" t="str">
        <f>E3303&amp;COUNTIFS($E$2:E3303,E3303)</f>
        <v>0</v>
      </c>
      <c r="B3303" s="221"/>
      <c r="C3303" s="168"/>
      <c r="D3303" s="167"/>
      <c r="E3303" s="166"/>
      <c r="F3303" s="165"/>
      <c r="G3303" s="164"/>
    </row>
    <row r="3304" spans="1:7" x14ac:dyDescent="0.25">
      <c r="A3304" s="222" t="str">
        <f>E3304&amp;COUNTIFS($E$2:E3304,E3304)</f>
        <v>0</v>
      </c>
      <c r="B3304" s="221"/>
      <c r="C3304" s="168"/>
      <c r="D3304" s="167"/>
      <c r="E3304" s="166"/>
      <c r="F3304" s="165"/>
      <c r="G3304" s="164"/>
    </row>
    <row r="3305" spans="1:7" x14ac:dyDescent="0.25">
      <c r="A3305" s="222" t="str">
        <f>E3305&amp;COUNTIFS($E$2:E3305,E3305)</f>
        <v>0</v>
      </c>
      <c r="B3305" s="221"/>
      <c r="C3305" s="168"/>
      <c r="D3305" s="167"/>
      <c r="E3305" s="166"/>
      <c r="F3305" s="165"/>
      <c r="G3305" s="164"/>
    </row>
    <row r="3306" spans="1:7" x14ac:dyDescent="0.25">
      <c r="A3306" s="222" t="str">
        <f>E3306&amp;COUNTIFS($E$2:E3306,E3306)</f>
        <v>0</v>
      </c>
      <c r="B3306" s="221"/>
      <c r="C3306" s="168"/>
      <c r="D3306" s="167"/>
      <c r="E3306" s="166"/>
      <c r="F3306" s="165"/>
      <c r="G3306" s="164"/>
    </row>
    <row r="3307" spans="1:7" x14ac:dyDescent="0.25">
      <c r="A3307" s="222" t="str">
        <f>E3307&amp;COUNTIFS($E$2:E3307,E3307)</f>
        <v>0</v>
      </c>
      <c r="B3307" s="221"/>
      <c r="C3307" s="168"/>
      <c r="D3307" s="167"/>
      <c r="E3307" s="166"/>
      <c r="F3307" s="165"/>
      <c r="G3307" s="164"/>
    </row>
    <row r="3308" spans="1:7" x14ac:dyDescent="0.25">
      <c r="A3308" s="222" t="str">
        <f>E3308&amp;COUNTIFS($E$2:E3308,E3308)</f>
        <v>0</v>
      </c>
      <c r="B3308" s="221"/>
      <c r="C3308" s="168"/>
      <c r="D3308" s="167"/>
      <c r="E3308" s="166"/>
      <c r="F3308" s="165"/>
      <c r="G3308" s="164"/>
    </row>
    <row r="3309" spans="1:7" x14ac:dyDescent="0.25">
      <c r="A3309" s="222" t="str">
        <f>E3309&amp;COUNTIFS($E$2:E3309,E3309)</f>
        <v>0</v>
      </c>
      <c r="B3309" s="221"/>
      <c r="C3309" s="168"/>
      <c r="D3309" s="167"/>
      <c r="E3309" s="166"/>
      <c r="F3309" s="165"/>
      <c r="G3309" s="164"/>
    </row>
    <row r="3310" spans="1:7" x14ac:dyDescent="0.25">
      <c r="A3310" s="222" t="str">
        <f>E3310&amp;COUNTIFS($E$2:E3310,E3310)</f>
        <v>0</v>
      </c>
      <c r="B3310" s="221"/>
      <c r="C3310" s="168"/>
      <c r="D3310" s="167"/>
      <c r="E3310" s="166"/>
      <c r="F3310" s="165"/>
      <c r="G3310" s="164"/>
    </row>
    <row r="3311" spans="1:7" x14ac:dyDescent="0.25">
      <c r="A3311" s="222" t="str">
        <f>E3311&amp;COUNTIFS($E$2:E3311,E3311)</f>
        <v>0</v>
      </c>
      <c r="B3311" s="221"/>
      <c r="C3311" s="168"/>
      <c r="D3311" s="167"/>
      <c r="E3311" s="166"/>
      <c r="F3311" s="165"/>
      <c r="G3311" s="164"/>
    </row>
    <row r="3312" spans="1:7" x14ac:dyDescent="0.25">
      <c r="A3312" s="222" t="str">
        <f>E3312&amp;COUNTIFS($E$2:E3312,E3312)</f>
        <v>0</v>
      </c>
      <c r="B3312" s="221"/>
      <c r="C3312" s="168"/>
      <c r="D3312" s="167"/>
      <c r="E3312" s="166"/>
      <c r="F3312" s="165"/>
      <c r="G3312" s="164"/>
    </row>
    <row r="3313" spans="1:7" x14ac:dyDescent="0.25">
      <c r="A3313" s="222" t="str">
        <f>E3313&amp;COUNTIFS($E$2:E3313,E3313)</f>
        <v>0</v>
      </c>
      <c r="B3313" s="221"/>
      <c r="C3313" s="168"/>
      <c r="D3313" s="167"/>
      <c r="E3313" s="166"/>
      <c r="F3313" s="165"/>
      <c r="G3313" s="164"/>
    </row>
    <row r="3314" spans="1:7" x14ac:dyDescent="0.25">
      <c r="A3314" s="222" t="str">
        <f>E3314&amp;COUNTIFS($E$2:E3314,E3314)</f>
        <v>0</v>
      </c>
      <c r="B3314" s="221"/>
      <c r="C3314" s="168"/>
      <c r="D3314" s="167"/>
      <c r="E3314" s="166"/>
      <c r="F3314" s="165"/>
      <c r="G3314" s="164"/>
    </row>
    <row r="3315" spans="1:7" x14ac:dyDescent="0.25">
      <c r="A3315" s="222" t="str">
        <f>E3315&amp;COUNTIFS($E$2:E3315,E3315)</f>
        <v>0</v>
      </c>
      <c r="B3315" s="221"/>
      <c r="C3315" s="168"/>
      <c r="D3315" s="167"/>
      <c r="E3315" s="166"/>
      <c r="F3315" s="165"/>
      <c r="G3315" s="164"/>
    </row>
    <row r="3316" spans="1:7" x14ac:dyDescent="0.25">
      <c r="A3316" s="222" t="str">
        <f>E3316&amp;COUNTIFS($E$2:E3316,E3316)</f>
        <v>0</v>
      </c>
      <c r="B3316" s="221"/>
      <c r="C3316" s="168"/>
      <c r="D3316" s="167"/>
      <c r="E3316" s="166"/>
      <c r="F3316" s="165"/>
      <c r="G3316" s="164"/>
    </row>
    <row r="3317" spans="1:7" x14ac:dyDescent="0.25">
      <c r="A3317" s="222" t="str">
        <f>E3317&amp;COUNTIFS($E$2:E3317,E3317)</f>
        <v>0</v>
      </c>
      <c r="B3317" s="221"/>
      <c r="C3317" s="168"/>
      <c r="D3317" s="167"/>
      <c r="E3317" s="166"/>
      <c r="F3317" s="165"/>
      <c r="G3317" s="164"/>
    </row>
    <row r="3318" spans="1:7" x14ac:dyDescent="0.25">
      <c r="A3318" s="222" t="str">
        <f>E3318&amp;COUNTIFS($E$2:E3318,E3318)</f>
        <v>0</v>
      </c>
      <c r="B3318" s="221"/>
      <c r="C3318" s="168"/>
      <c r="D3318" s="167"/>
      <c r="E3318" s="166"/>
      <c r="F3318" s="165"/>
      <c r="G3318" s="164"/>
    </row>
    <row r="3319" spans="1:7" x14ac:dyDescent="0.25">
      <c r="A3319" s="222" t="str">
        <f>E3319&amp;COUNTIFS($E$2:E3319,E3319)</f>
        <v>0</v>
      </c>
      <c r="B3319" s="221"/>
      <c r="C3319" s="168"/>
      <c r="D3319" s="167"/>
      <c r="E3319" s="166"/>
      <c r="F3319" s="165"/>
      <c r="G3319" s="164"/>
    </row>
    <row r="3320" spans="1:7" x14ac:dyDescent="0.25">
      <c r="A3320" s="222" t="str">
        <f>E3320&amp;COUNTIFS($E$2:E3320,E3320)</f>
        <v>0</v>
      </c>
      <c r="B3320" s="221"/>
      <c r="C3320" s="168"/>
      <c r="D3320" s="167"/>
      <c r="E3320" s="166"/>
      <c r="F3320" s="165"/>
      <c r="G3320" s="164"/>
    </row>
    <row r="3321" spans="1:7" x14ac:dyDescent="0.25">
      <c r="A3321" s="222" t="str">
        <f>E3321&amp;COUNTIFS($E$2:E3321,E3321)</f>
        <v>0</v>
      </c>
      <c r="B3321" s="221"/>
      <c r="C3321" s="168"/>
      <c r="D3321" s="167"/>
      <c r="E3321" s="166"/>
      <c r="F3321" s="165"/>
      <c r="G3321" s="164"/>
    </row>
    <row r="3322" spans="1:7" x14ac:dyDescent="0.25">
      <c r="A3322" s="222" t="str">
        <f>E3322&amp;COUNTIFS($E$2:E3322,E3322)</f>
        <v>0</v>
      </c>
      <c r="B3322" s="221"/>
      <c r="C3322" s="168"/>
      <c r="D3322" s="167"/>
      <c r="E3322" s="166"/>
      <c r="F3322" s="165"/>
      <c r="G3322" s="164"/>
    </row>
    <row r="3323" spans="1:7" x14ac:dyDescent="0.25">
      <c r="A3323" s="222" t="str">
        <f>E3323&amp;COUNTIFS($E$2:E3323,E3323)</f>
        <v>0</v>
      </c>
      <c r="B3323" s="221"/>
      <c r="C3323" s="168"/>
      <c r="D3323" s="167"/>
      <c r="E3323" s="166"/>
      <c r="F3323" s="165"/>
      <c r="G3323" s="164"/>
    </row>
    <row r="3324" spans="1:7" ht="15.75" thickBot="1" x14ac:dyDescent="0.3">
      <c r="A3324" s="220" t="str">
        <f>E3324&amp;COUNTIFS($E$2:E3324,E3324)</f>
        <v>0</v>
      </c>
      <c r="B3324" s="219"/>
      <c r="C3324" s="162"/>
      <c r="D3324" s="161"/>
      <c r="E3324" s="160"/>
      <c r="F3324" s="159"/>
      <c r="G3324" s="158"/>
    </row>
    <row r="3325" spans="1:7" ht="15.75" thickBot="1" x14ac:dyDescent="0.3">
      <c r="A3325" s="148"/>
      <c r="B3325" s="215"/>
      <c r="C3325" s="143"/>
      <c r="D3325" s="157"/>
      <c r="E3325" s="143"/>
      <c r="F3325" s="156"/>
      <c r="G3325" s="218"/>
    </row>
    <row r="3326" spans="1:7" ht="22.5" customHeight="1" thickBot="1" x14ac:dyDescent="0.3">
      <c r="A3326" s="148"/>
      <c r="B3326" s="215"/>
      <c r="C3326" s="242" t="s">
        <v>623</v>
      </c>
      <c r="D3326" s="241"/>
      <c r="E3326" s="241"/>
      <c r="F3326" s="240">
        <f>SUM(F3300:F3324)</f>
        <v>0</v>
      </c>
      <c r="G3326" s="240">
        <f>SUM(G3300:G3324)</f>
        <v>0</v>
      </c>
    </row>
    <row r="3327" spans="1:7" ht="15.75" thickBot="1" x14ac:dyDescent="0.3">
      <c r="A3327" s="148"/>
      <c r="B3327" s="215"/>
      <c r="C3327" s="145" t="s">
        <v>622</v>
      </c>
      <c r="D3327" s="154"/>
      <c r="E3327" s="145"/>
      <c r="F3327" s="144"/>
      <c r="G3327" s="214"/>
    </row>
    <row r="3328" spans="1:7" ht="21.75" customHeight="1" thickBot="1" x14ac:dyDescent="0.3">
      <c r="A3328" s="148"/>
      <c r="B3328" s="215"/>
      <c r="C3328" s="242" t="s">
        <v>621</v>
      </c>
      <c r="D3328" s="241"/>
      <c r="E3328" s="241"/>
      <c r="F3328" s="240">
        <f>F3295</f>
        <v>0</v>
      </c>
      <c r="G3328" s="240">
        <f>G3295</f>
        <v>0</v>
      </c>
    </row>
    <row r="3329" spans="1:7" ht="22.5" customHeight="1" thickBot="1" x14ac:dyDescent="0.3">
      <c r="A3329" s="148"/>
      <c r="B3329" s="215"/>
      <c r="C3329" s="242" t="s">
        <v>582</v>
      </c>
      <c r="D3329" s="241"/>
      <c r="E3329" s="241"/>
      <c r="F3329" s="240">
        <f>F3328+F3326</f>
        <v>0</v>
      </c>
      <c r="G3329" s="240">
        <f>G3328+G3326</f>
        <v>0</v>
      </c>
    </row>
    <row r="3330" spans="1:7" ht="15.75" thickBot="1" x14ac:dyDescent="0.3">
      <c r="A3330" s="148"/>
      <c r="B3330" s="215"/>
      <c r="C3330" s="145"/>
      <c r="D3330" s="149"/>
      <c r="E3330" s="145"/>
      <c r="F3330" s="144"/>
      <c r="G3330" s="214"/>
    </row>
    <row r="3331" spans="1:7" ht="21.75" customHeight="1" thickBot="1" x14ac:dyDescent="0.3">
      <c r="A3331" s="148"/>
      <c r="B3331" s="213"/>
      <c r="C3331" s="147" t="s">
        <v>620</v>
      </c>
      <c r="D3331" s="146">
        <f>F3329-G3329</f>
        <v>0</v>
      </c>
      <c r="E3331" s="212"/>
      <c r="F3331" s="211"/>
      <c r="G3331" s="210"/>
    </row>
    <row r="3332" spans="1:7" ht="15.75" thickBot="1" x14ac:dyDescent="0.3"/>
    <row r="3333" spans="1:7" ht="30.75" thickBot="1" x14ac:dyDescent="0.3">
      <c r="A3333" s="239" t="s">
        <v>626</v>
      </c>
      <c r="B3333" s="237" t="s">
        <v>606</v>
      </c>
      <c r="C3333" s="236" t="s">
        <v>631</v>
      </c>
      <c r="D3333" s="235" t="s">
        <v>601</v>
      </c>
      <c r="E3333" s="234" t="s">
        <v>287</v>
      </c>
      <c r="F3333" s="233" t="s">
        <v>624</v>
      </c>
      <c r="G3333" s="233" t="s">
        <v>596</v>
      </c>
    </row>
    <row r="3334" spans="1:7" x14ac:dyDescent="0.25">
      <c r="A3334" s="222" t="str">
        <f>E3334&amp;COUNTIFS($E$2:E3334,E3334)</f>
        <v>0</v>
      </c>
      <c r="B3334" s="223"/>
      <c r="C3334" s="174"/>
      <c r="D3334" s="173"/>
      <c r="E3334" s="172"/>
      <c r="F3334" s="171"/>
      <c r="G3334" s="170"/>
    </row>
    <row r="3335" spans="1:7" x14ac:dyDescent="0.25">
      <c r="A3335" s="222" t="str">
        <f>E3335&amp;COUNTIFS($E$2:E3335,E3335)</f>
        <v>0</v>
      </c>
      <c r="B3335" s="221"/>
      <c r="C3335" s="168"/>
      <c r="D3335" s="167"/>
      <c r="E3335" s="166"/>
      <c r="F3335" s="165"/>
      <c r="G3335" s="164"/>
    </row>
    <row r="3336" spans="1:7" x14ac:dyDescent="0.25">
      <c r="A3336" s="222" t="str">
        <f>E3336&amp;COUNTIFS($E$2:E3336,E3336)</f>
        <v>0</v>
      </c>
      <c r="B3336" s="221"/>
      <c r="C3336" s="168"/>
      <c r="D3336" s="167"/>
      <c r="E3336" s="166"/>
      <c r="F3336" s="165"/>
      <c r="G3336" s="164"/>
    </row>
    <row r="3337" spans="1:7" x14ac:dyDescent="0.25">
      <c r="A3337" s="222" t="str">
        <f>E3337&amp;COUNTIFS($E$2:E3337,E3337)</f>
        <v>0</v>
      </c>
      <c r="B3337" s="221"/>
      <c r="C3337" s="168"/>
      <c r="D3337" s="167"/>
      <c r="E3337" s="166"/>
      <c r="F3337" s="165"/>
      <c r="G3337" s="164"/>
    </row>
    <row r="3338" spans="1:7" x14ac:dyDescent="0.25">
      <c r="A3338" s="222" t="str">
        <f>E3338&amp;COUNTIFS($E$2:E3338,E3338)</f>
        <v>0</v>
      </c>
      <c r="B3338" s="221"/>
      <c r="C3338" s="168"/>
      <c r="D3338" s="167"/>
      <c r="E3338" s="166"/>
      <c r="F3338" s="165"/>
      <c r="G3338" s="164"/>
    </row>
    <row r="3339" spans="1:7" x14ac:dyDescent="0.25">
      <c r="A3339" s="222" t="str">
        <f>E3339&amp;COUNTIFS($E$2:E3339,E3339)</f>
        <v>0</v>
      </c>
      <c r="B3339" s="221"/>
      <c r="C3339" s="168"/>
      <c r="D3339" s="167"/>
      <c r="E3339" s="166"/>
      <c r="F3339" s="165"/>
      <c r="G3339" s="164"/>
    </row>
    <row r="3340" spans="1:7" x14ac:dyDescent="0.25">
      <c r="A3340" s="222" t="str">
        <f>E3340&amp;COUNTIFS($E$2:E3340,E3340)</f>
        <v>0</v>
      </c>
      <c r="B3340" s="221"/>
      <c r="C3340" s="168"/>
      <c r="D3340" s="167"/>
      <c r="E3340" s="166"/>
      <c r="F3340" s="165"/>
      <c r="G3340" s="164"/>
    </row>
    <row r="3341" spans="1:7" x14ac:dyDescent="0.25">
      <c r="A3341" s="222" t="str">
        <f>E3341&amp;COUNTIFS($E$2:E3341,E3341)</f>
        <v>0</v>
      </c>
      <c r="B3341" s="221"/>
      <c r="C3341" s="168"/>
      <c r="D3341" s="167"/>
      <c r="E3341" s="166"/>
      <c r="F3341" s="165"/>
      <c r="G3341" s="164"/>
    </row>
    <row r="3342" spans="1:7" x14ac:dyDescent="0.25">
      <c r="A3342" s="222" t="str">
        <f>E3342&amp;COUNTIFS($E$2:E3342,E3342)</f>
        <v>0</v>
      </c>
      <c r="B3342" s="221"/>
      <c r="C3342" s="168"/>
      <c r="D3342" s="167"/>
      <c r="E3342" s="166"/>
      <c r="F3342" s="165"/>
      <c r="G3342" s="164"/>
    </row>
    <row r="3343" spans="1:7" x14ac:dyDescent="0.25">
      <c r="A3343" s="222" t="str">
        <f>E3343&amp;COUNTIFS($E$2:E3343,E3343)</f>
        <v>0</v>
      </c>
      <c r="B3343" s="221"/>
      <c r="C3343" s="168"/>
      <c r="D3343" s="167"/>
      <c r="E3343" s="166"/>
      <c r="F3343" s="165"/>
      <c r="G3343" s="164"/>
    </row>
    <row r="3344" spans="1:7" x14ac:dyDescent="0.25">
      <c r="A3344" s="222" t="str">
        <f>E3344&amp;COUNTIFS($E$2:E3344,E3344)</f>
        <v>0</v>
      </c>
      <c r="B3344" s="221"/>
      <c r="C3344" s="168"/>
      <c r="D3344" s="167"/>
      <c r="E3344" s="166"/>
      <c r="F3344" s="165"/>
      <c r="G3344" s="164"/>
    </row>
    <row r="3345" spans="1:7" x14ac:dyDescent="0.25">
      <c r="A3345" s="222" t="str">
        <f>E3345&amp;COUNTIFS($E$2:E3345,E3345)</f>
        <v>0</v>
      </c>
      <c r="B3345" s="221"/>
      <c r="C3345" s="168"/>
      <c r="D3345" s="167"/>
      <c r="E3345" s="166"/>
      <c r="F3345" s="165"/>
      <c r="G3345" s="164"/>
    </row>
    <row r="3346" spans="1:7" x14ac:dyDescent="0.25">
      <c r="A3346" s="222" t="str">
        <f>E3346&amp;COUNTIFS($E$2:E3346,E3346)</f>
        <v>0</v>
      </c>
      <c r="B3346" s="221"/>
      <c r="C3346" s="168"/>
      <c r="D3346" s="167"/>
      <c r="E3346" s="166"/>
      <c r="F3346" s="165"/>
      <c r="G3346" s="164"/>
    </row>
    <row r="3347" spans="1:7" x14ac:dyDescent="0.25">
      <c r="A3347" s="222" t="str">
        <f>E3347&amp;COUNTIFS($E$2:E3347,E3347)</f>
        <v>0</v>
      </c>
      <c r="B3347" s="221"/>
      <c r="C3347" s="168"/>
      <c r="D3347" s="167"/>
      <c r="E3347" s="166"/>
      <c r="F3347" s="165"/>
      <c r="G3347" s="164"/>
    </row>
    <row r="3348" spans="1:7" x14ac:dyDescent="0.25">
      <c r="A3348" s="222" t="str">
        <f>E3348&amp;COUNTIFS($E$2:E3348,E3348)</f>
        <v>0</v>
      </c>
      <c r="B3348" s="221"/>
      <c r="C3348" s="168"/>
      <c r="D3348" s="167"/>
      <c r="E3348" s="166"/>
      <c r="F3348" s="165"/>
      <c r="G3348" s="164"/>
    </row>
    <row r="3349" spans="1:7" x14ac:dyDescent="0.25">
      <c r="A3349" s="222" t="str">
        <f>E3349&amp;COUNTIFS($E$2:E3349,E3349)</f>
        <v>0</v>
      </c>
      <c r="B3349" s="221"/>
      <c r="C3349" s="168"/>
      <c r="D3349" s="167"/>
      <c r="E3349" s="166"/>
      <c r="F3349" s="165"/>
      <c r="G3349" s="164"/>
    </row>
    <row r="3350" spans="1:7" x14ac:dyDescent="0.25">
      <c r="A3350" s="222" t="str">
        <f>E3350&amp;COUNTIFS($E$2:E3350,E3350)</f>
        <v>0</v>
      </c>
      <c r="B3350" s="221"/>
      <c r="C3350" s="168"/>
      <c r="D3350" s="167"/>
      <c r="E3350" s="166"/>
      <c r="F3350" s="165"/>
      <c r="G3350" s="164"/>
    </row>
    <row r="3351" spans="1:7" x14ac:dyDescent="0.25">
      <c r="A3351" s="222" t="str">
        <f>E3351&amp;COUNTIFS($E$2:E3351,E3351)</f>
        <v>0</v>
      </c>
      <c r="B3351" s="221"/>
      <c r="C3351" s="168"/>
      <c r="D3351" s="167"/>
      <c r="E3351" s="166"/>
      <c r="F3351" s="165"/>
      <c r="G3351" s="164"/>
    </row>
    <row r="3352" spans="1:7" x14ac:dyDescent="0.25">
      <c r="A3352" s="222" t="str">
        <f>E3352&amp;COUNTIFS($E$2:E3352,E3352)</f>
        <v>0</v>
      </c>
      <c r="B3352" s="221"/>
      <c r="C3352" s="168"/>
      <c r="D3352" s="167"/>
      <c r="E3352" s="166"/>
      <c r="F3352" s="165"/>
      <c r="G3352" s="164"/>
    </row>
    <row r="3353" spans="1:7" x14ac:dyDescent="0.25">
      <c r="A3353" s="222" t="str">
        <f>E3353&amp;COUNTIFS($E$2:E3353,E3353)</f>
        <v>0</v>
      </c>
      <c r="B3353" s="221"/>
      <c r="C3353" s="168"/>
      <c r="D3353" s="167"/>
      <c r="E3353" s="166"/>
      <c r="F3353" s="165"/>
      <c r="G3353" s="164"/>
    </row>
    <row r="3354" spans="1:7" x14ac:dyDescent="0.25">
      <c r="A3354" s="222" t="str">
        <f>E3354&amp;COUNTIFS($E$2:E3354,E3354)</f>
        <v>0</v>
      </c>
      <c r="B3354" s="221"/>
      <c r="C3354" s="168"/>
      <c r="D3354" s="167"/>
      <c r="E3354" s="166"/>
      <c r="F3354" s="165"/>
      <c r="G3354" s="164"/>
    </row>
    <row r="3355" spans="1:7" x14ac:dyDescent="0.25">
      <c r="A3355" s="222" t="str">
        <f>E3355&amp;COUNTIFS($E$2:E3355,E3355)</f>
        <v>0</v>
      </c>
      <c r="B3355" s="221"/>
      <c r="C3355" s="168"/>
      <c r="D3355" s="167"/>
      <c r="E3355" s="166"/>
      <c r="F3355" s="165"/>
      <c r="G3355" s="164"/>
    </row>
    <row r="3356" spans="1:7" x14ac:dyDescent="0.25">
      <c r="A3356" s="222" t="str">
        <f>E3356&amp;COUNTIFS($E$2:E3356,E3356)</f>
        <v>0</v>
      </c>
      <c r="B3356" s="221"/>
      <c r="C3356" s="168"/>
      <c r="D3356" s="167"/>
      <c r="E3356" s="166"/>
      <c r="F3356" s="165"/>
      <c r="G3356" s="164"/>
    </row>
    <row r="3357" spans="1:7" x14ac:dyDescent="0.25">
      <c r="A3357" s="222" t="str">
        <f>E3357&amp;COUNTIFS($E$2:E3357,E3357)</f>
        <v>0</v>
      </c>
      <c r="B3357" s="221"/>
      <c r="C3357" s="168"/>
      <c r="D3357" s="167"/>
      <c r="E3357" s="166"/>
      <c r="F3357" s="165"/>
      <c r="G3357" s="164"/>
    </row>
    <row r="3358" spans="1:7" ht="15.75" thickBot="1" x14ac:dyDescent="0.3">
      <c r="A3358" s="220" t="str">
        <f>E3358&amp;COUNTIFS($E$2:E3358,E3358)</f>
        <v>0</v>
      </c>
      <c r="B3358" s="219"/>
      <c r="C3358" s="162"/>
      <c r="D3358" s="161"/>
      <c r="E3358" s="160"/>
      <c r="F3358" s="159"/>
      <c r="G3358" s="158"/>
    </row>
    <row r="3359" spans="1:7" x14ac:dyDescent="0.25">
      <c r="A3359" s="148"/>
      <c r="B3359" s="215"/>
      <c r="C3359" s="143"/>
      <c r="D3359" s="157"/>
      <c r="E3359" s="143"/>
      <c r="F3359" s="156"/>
      <c r="G3359" s="218"/>
    </row>
    <row r="3360" spans="1:7" x14ac:dyDescent="0.25">
      <c r="A3360" s="148"/>
      <c r="B3360" s="215"/>
      <c r="C3360" s="153" t="s">
        <v>623</v>
      </c>
      <c r="D3360" s="152"/>
      <c r="E3360" s="151"/>
      <c r="F3360" s="150">
        <f>SUM(F3334:F3358)</f>
        <v>0</v>
      </c>
      <c r="G3360" s="217">
        <f>SUM(G3334:G3358)</f>
        <v>0</v>
      </c>
    </row>
    <row r="3361" spans="1:7" x14ac:dyDescent="0.25">
      <c r="A3361" s="148"/>
      <c r="B3361" s="215"/>
      <c r="C3361" s="145" t="s">
        <v>622</v>
      </c>
      <c r="D3361" s="154"/>
      <c r="E3361" s="145"/>
      <c r="F3361" s="144"/>
      <c r="G3361" s="214"/>
    </row>
    <row r="3362" spans="1:7" x14ac:dyDescent="0.25">
      <c r="A3362" s="148"/>
      <c r="B3362" s="215"/>
      <c r="C3362" s="153" t="s">
        <v>621</v>
      </c>
      <c r="D3362" s="152"/>
      <c r="E3362" s="151"/>
      <c r="F3362" s="150">
        <f>F3329</f>
        <v>0</v>
      </c>
      <c r="G3362" s="216">
        <f>G3329</f>
        <v>0</v>
      </c>
    </row>
    <row r="3363" spans="1:7" x14ac:dyDescent="0.25">
      <c r="A3363" s="148"/>
      <c r="B3363" s="215"/>
      <c r="C3363" s="153" t="s">
        <v>582</v>
      </c>
      <c r="D3363" s="152"/>
      <c r="E3363" s="151"/>
      <c r="F3363" s="150">
        <f>F3362+F3360</f>
        <v>0</v>
      </c>
      <c r="G3363" s="216">
        <f>G3362+G3360</f>
        <v>0</v>
      </c>
    </row>
    <row r="3364" spans="1:7" ht="15.75" thickBot="1" x14ac:dyDescent="0.3">
      <c r="A3364" s="148"/>
      <c r="B3364" s="215"/>
      <c r="C3364" s="145"/>
      <c r="D3364" s="149"/>
      <c r="E3364" s="145"/>
      <c r="F3364" s="144"/>
      <c r="G3364" s="214"/>
    </row>
    <row r="3365" spans="1:7" ht="15.75" thickBot="1" x14ac:dyDescent="0.3">
      <c r="A3365" s="148"/>
      <c r="B3365" s="213"/>
      <c r="C3365" s="147" t="s">
        <v>620</v>
      </c>
      <c r="D3365" s="146">
        <f>F3363-G3363</f>
        <v>0</v>
      </c>
      <c r="E3365" s="212"/>
      <c r="F3365" s="211"/>
      <c r="G3365" s="210"/>
    </row>
    <row r="3366" spans="1:7" ht="15.75" thickBot="1" x14ac:dyDescent="0.3"/>
    <row r="3367" spans="1:7" ht="30.75" thickBot="1" x14ac:dyDescent="0.3">
      <c r="A3367" s="238" t="s">
        <v>626</v>
      </c>
      <c r="B3367" s="237" t="s">
        <v>606</v>
      </c>
      <c r="C3367" s="236" t="s">
        <v>631</v>
      </c>
      <c r="D3367" s="235" t="s">
        <v>601</v>
      </c>
      <c r="E3367" s="234" t="s">
        <v>287</v>
      </c>
      <c r="F3367" s="233" t="s">
        <v>624</v>
      </c>
      <c r="G3367" s="233" t="s">
        <v>596</v>
      </c>
    </row>
    <row r="3368" spans="1:7" x14ac:dyDescent="0.25">
      <c r="A3368" s="169" t="str">
        <f>E3368&amp;COUNTIFS($E$2:E3368,E3368)</f>
        <v>0</v>
      </c>
      <c r="B3368" s="172"/>
      <c r="C3368" s="174"/>
      <c r="D3368" s="173"/>
      <c r="E3368" s="172"/>
      <c r="F3368" s="171"/>
      <c r="G3368" s="170"/>
    </row>
    <row r="3369" spans="1:7" x14ac:dyDescent="0.25">
      <c r="A3369" s="169" t="str">
        <f>E3369&amp;COUNTIFS($E$2:E3369,E3369)</f>
        <v>0</v>
      </c>
      <c r="B3369" s="166"/>
      <c r="C3369" s="168"/>
      <c r="D3369" s="167"/>
      <c r="E3369" s="166"/>
      <c r="F3369" s="165"/>
      <c r="G3369" s="164"/>
    </row>
    <row r="3370" spans="1:7" x14ac:dyDescent="0.25">
      <c r="A3370" s="169" t="str">
        <f>E3370&amp;COUNTIFS($E$2:E3370,E3370)</f>
        <v>0</v>
      </c>
      <c r="B3370" s="166"/>
      <c r="C3370" s="168"/>
      <c r="D3370" s="167"/>
      <c r="E3370" s="166"/>
      <c r="F3370" s="165"/>
      <c r="G3370" s="164"/>
    </row>
    <row r="3371" spans="1:7" x14ac:dyDescent="0.25">
      <c r="A3371" s="169" t="str">
        <f>E3371&amp;COUNTIFS($E$2:E3371,E3371)</f>
        <v>0</v>
      </c>
      <c r="B3371" s="166"/>
      <c r="C3371" s="168"/>
      <c r="D3371" s="167"/>
      <c r="E3371" s="166"/>
      <c r="F3371" s="165"/>
      <c r="G3371" s="164"/>
    </row>
    <row r="3372" spans="1:7" x14ac:dyDescent="0.25">
      <c r="A3372" s="169" t="str">
        <f>E3372&amp;COUNTIFS($E$2:E3372,E3372)</f>
        <v>0</v>
      </c>
      <c r="B3372" s="166"/>
      <c r="C3372" s="168"/>
      <c r="D3372" s="167"/>
      <c r="E3372" s="166"/>
      <c r="F3372" s="165"/>
      <c r="G3372" s="164"/>
    </row>
    <row r="3373" spans="1:7" x14ac:dyDescent="0.25">
      <c r="A3373" s="169" t="str">
        <f>E3373&amp;COUNTIFS($E$2:E3373,E3373)</f>
        <v>0</v>
      </c>
      <c r="B3373" s="166"/>
      <c r="C3373" s="168"/>
      <c r="D3373" s="167"/>
      <c r="E3373" s="166"/>
      <c r="F3373" s="165"/>
      <c r="G3373" s="164"/>
    </row>
    <row r="3374" spans="1:7" x14ac:dyDescent="0.25">
      <c r="A3374" s="169" t="str">
        <f>E3374&amp;COUNTIFS($E$2:E3374,E3374)</f>
        <v>0</v>
      </c>
      <c r="B3374" s="166"/>
      <c r="C3374" s="168"/>
      <c r="D3374" s="167"/>
      <c r="E3374" s="166"/>
      <c r="F3374" s="165"/>
      <c r="G3374" s="164"/>
    </row>
    <row r="3375" spans="1:7" x14ac:dyDescent="0.25">
      <c r="A3375" s="169" t="str">
        <f>E3375&amp;COUNTIFS($E$2:E3375,E3375)</f>
        <v>0</v>
      </c>
      <c r="B3375" s="166"/>
      <c r="C3375" s="168"/>
      <c r="D3375" s="167"/>
      <c r="E3375" s="166"/>
      <c r="F3375" s="165"/>
      <c r="G3375" s="164"/>
    </row>
    <row r="3376" spans="1:7" x14ac:dyDescent="0.25">
      <c r="A3376" s="169" t="str">
        <f>E3376&amp;COUNTIFS($E$2:E3376,E3376)</f>
        <v>0</v>
      </c>
      <c r="B3376" s="166"/>
      <c r="C3376" s="168"/>
      <c r="D3376" s="167"/>
      <c r="E3376" s="166"/>
      <c r="F3376" s="165"/>
      <c r="G3376" s="164"/>
    </row>
    <row r="3377" spans="1:7" x14ac:dyDescent="0.25">
      <c r="A3377" s="169" t="str">
        <f>E3377&amp;COUNTIFS($E$2:E3377,E3377)</f>
        <v>0</v>
      </c>
      <c r="B3377" s="166"/>
      <c r="C3377" s="168"/>
      <c r="D3377" s="167"/>
      <c r="E3377" s="166"/>
      <c r="F3377" s="165"/>
      <c r="G3377" s="164"/>
    </row>
    <row r="3378" spans="1:7" x14ac:dyDescent="0.25">
      <c r="A3378" s="169" t="str">
        <f>E3378&amp;COUNTIFS($E$2:E3378,E3378)</f>
        <v>0</v>
      </c>
      <c r="B3378" s="166"/>
      <c r="C3378" s="168"/>
      <c r="D3378" s="167"/>
      <c r="E3378" s="166"/>
      <c r="F3378" s="165"/>
      <c r="G3378" s="164"/>
    </row>
    <row r="3379" spans="1:7" x14ac:dyDescent="0.25">
      <c r="A3379" s="169" t="str">
        <f>E3379&amp;COUNTIFS($E$2:E3379,E3379)</f>
        <v>0</v>
      </c>
      <c r="B3379" s="166"/>
      <c r="C3379" s="168"/>
      <c r="D3379" s="167"/>
      <c r="E3379" s="166"/>
      <c r="F3379" s="165"/>
      <c r="G3379" s="164"/>
    </row>
    <row r="3380" spans="1:7" x14ac:dyDescent="0.25">
      <c r="A3380" s="169" t="str">
        <f>E3380&amp;COUNTIFS($E$2:E3380,E3380)</f>
        <v>0</v>
      </c>
      <c r="B3380" s="166"/>
      <c r="C3380" s="168"/>
      <c r="D3380" s="167"/>
      <c r="E3380" s="166"/>
      <c r="F3380" s="165"/>
      <c r="G3380" s="164"/>
    </row>
    <row r="3381" spans="1:7" x14ac:dyDescent="0.25">
      <c r="A3381" s="169" t="str">
        <f>E3381&amp;COUNTIFS($E$2:E3381,E3381)</f>
        <v>0</v>
      </c>
      <c r="B3381" s="166"/>
      <c r="C3381" s="168"/>
      <c r="D3381" s="167"/>
      <c r="E3381" s="166"/>
      <c r="F3381" s="165"/>
      <c r="G3381" s="164"/>
    </row>
    <row r="3382" spans="1:7" x14ac:dyDescent="0.25">
      <c r="A3382" s="169" t="str">
        <f>E3382&amp;COUNTIFS($E$2:E3382,E3382)</f>
        <v>0</v>
      </c>
      <c r="B3382" s="166"/>
      <c r="C3382" s="168"/>
      <c r="D3382" s="167"/>
      <c r="E3382" s="166"/>
      <c r="F3382" s="165"/>
      <c r="G3382" s="164"/>
    </row>
    <row r="3383" spans="1:7" x14ac:dyDescent="0.25">
      <c r="A3383" s="169" t="str">
        <f>E3383&amp;COUNTIFS($E$2:E3383,E3383)</f>
        <v>0</v>
      </c>
      <c r="B3383" s="166"/>
      <c r="C3383" s="168"/>
      <c r="D3383" s="167"/>
      <c r="E3383" s="166"/>
      <c r="F3383" s="165"/>
      <c r="G3383" s="164"/>
    </row>
    <row r="3384" spans="1:7" x14ac:dyDescent="0.25">
      <c r="A3384" s="169" t="str">
        <f>E3384&amp;COUNTIFS($E$2:E3384,E3384)</f>
        <v>0</v>
      </c>
      <c r="B3384" s="166"/>
      <c r="C3384" s="168"/>
      <c r="D3384" s="167"/>
      <c r="E3384" s="166"/>
      <c r="F3384" s="165"/>
      <c r="G3384" s="164"/>
    </row>
    <row r="3385" spans="1:7" x14ac:dyDescent="0.25">
      <c r="A3385" s="169" t="str">
        <f>E3385&amp;COUNTIFS($E$2:E3385,E3385)</f>
        <v>0</v>
      </c>
      <c r="B3385" s="166"/>
      <c r="C3385" s="168"/>
      <c r="D3385" s="167"/>
      <c r="E3385" s="166"/>
      <c r="F3385" s="165"/>
      <c r="G3385" s="164"/>
    </row>
    <row r="3386" spans="1:7" x14ac:dyDescent="0.25">
      <c r="A3386" s="169" t="str">
        <f>E3386&amp;COUNTIFS($E$2:E3386,E3386)</f>
        <v>0</v>
      </c>
      <c r="B3386" s="166"/>
      <c r="C3386" s="168"/>
      <c r="D3386" s="167"/>
      <c r="E3386" s="166"/>
      <c r="F3386" s="165"/>
      <c r="G3386" s="164"/>
    </row>
    <row r="3387" spans="1:7" x14ac:dyDescent="0.25">
      <c r="A3387" s="169" t="str">
        <f>E3387&amp;COUNTIFS($E$2:E3387,E3387)</f>
        <v>0</v>
      </c>
      <c r="B3387" s="166"/>
      <c r="C3387" s="168"/>
      <c r="D3387" s="167"/>
      <c r="E3387" s="166"/>
      <c r="F3387" s="165"/>
      <c r="G3387" s="164"/>
    </row>
    <row r="3388" spans="1:7" x14ac:dyDescent="0.25">
      <c r="A3388" s="169" t="str">
        <f>E3388&amp;COUNTIFS($E$2:E3388,E3388)</f>
        <v>0</v>
      </c>
      <c r="B3388" s="166"/>
      <c r="C3388" s="168"/>
      <c r="D3388" s="167"/>
      <c r="E3388" s="166"/>
      <c r="F3388" s="165"/>
      <c r="G3388" s="164"/>
    </row>
    <row r="3389" spans="1:7" x14ac:dyDescent="0.25">
      <c r="A3389" s="169" t="str">
        <f>E3389&amp;COUNTIFS($E$2:E3389,E3389)</f>
        <v>0</v>
      </c>
      <c r="B3389" s="166"/>
      <c r="C3389" s="168"/>
      <c r="D3389" s="167"/>
      <c r="E3389" s="166"/>
      <c r="F3389" s="165"/>
      <c r="G3389" s="164"/>
    </row>
    <row r="3390" spans="1:7" x14ac:dyDescent="0.25">
      <c r="A3390" s="169" t="str">
        <f>E3390&amp;COUNTIFS($E$2:E3390,E3390)</f>
        <v>0</v>
      </c>
      <c r="B3390" s="166"/>
      <c r="C3390" s="168"/>
      <c r="D3390" s="167"/>
      <c r="E3390" s="166"/>
      <c r="F3390" s="165"/>
      <c r="G3390" s="164"/>
    </row>
    <row r="3391" spans="1:7" x14ac:dyDescent="0.25">
      <c r="A3391" s="169" t="str">
        <f>E3391&amp;COUNTIFS($E$2:E3391,E3391)</f>
        <v>0</v>
      </c>
      <c r="B3391" s="166"/>
      <c r="C3391" s="168"/>
      <c r="D3391" s="167"/>
      <c r="E3391" s="166"/>
      <c r="F3391" s="165"/>
      <c r="G3391" s="164"/>
    </row>
    <row r="3392" spans="1:7" ht="15.75" thickBot="1" x14ac:dyDescent="0.3">
      <c r="A3392" s="163" t="str">
        <f>E3392&amp;COUNTIFS($E$2:E3392,E3392)</f>
        <v>0</v>
      </c>
      <c r="B3392" s="166"/>
      <c r="C3392" s="162"/>
      <c r="D3392" s="161"/>
      <c r="E3392" s="160"/>
      <c r="F3392" s="159"/>
      <c r="G3392" s="158"/>
    </row>
    <row r="3393" spans="1:7" x14ac:dyDescent="0.25">
      <c r="A3393" s="148"/>
      <c r="C3393" s="143"/>
      <c r="D3393" s="157"/>
      <c r="E3393" s="143"/>
      <c r="F3393" s="156"/>
      <c r="G3393" s="156"/>
    </row>
    <row r="3394" spans="1:7" x14ac:dyDescent="0.25">
      <c r="A3394" s="148"/>
      <c r="C3394" s="153" t="s">
        <v>623</v>
      </c>
      <c r="D3394" s="152"/>
      <c r="E3394" s="151"/>
      <c r="F3394" s="150">
        <f>SUM(F3368:F3392)</f>
        <v>0</v>
      </c>
      <c r="G3394" s="155">
        <f>SUM(G3368:G3392)</f>
        <v>0</v>
      </c>
    </row>
    <row r="3395" spans="1:7" x14ac:dyDescent="0.25">
      <c r="A3395" s="148"/>
      <c r="C3395" s="145" t="s">
        <v>622</v>
      </c>
      <c r="D3395" s="154"/>
      <c r="E3395" s="145"/>
      <c r="F3395" s="144"/>
      <c r="G3395" s="144"/>
    </row>
    <row r="3396" spans="1:7" x14ac:dyDescent="0.25">
      <c r="A3396" s="148"/>
      <c r="C3396" s="153" t="s">
        <v>621</v>
      </c>
      <c r="D3396" s="152"/>
      <c r="E3396" s="151"/>
      <c r="F3396" s="150">
        <f>F3363</f>
        <v>0</v>
      </c>
      <c r="G3396" s="150">
        <f>G3363</f>
        <v>0</v>
      </c>
    </row>
    <row r="3397" spans="1:7" x14ac:dyDescent="0.25">
      <c r="A3397" s="148"/>
      <c r="C3397" s="153" t="s">
        <v>582</v>
      </c>
      <c r="D3397" s="152"/>
      <c r="E3397" s="151"/>
      <c r="F3397" s="150">
        <f>F3396+F3394</f>
        <v>0</v>
      </c>
      <c r="G3397" s="150">
        <f>G3396+G3394</f>
        <v>0</v>
      </c>
    </row>
    <row r="3398" spans="1:7" ht="15.75" thickBot="1" x14ac:dyDescent="0.3">
      <c r="A3398" s="148"/>
      <c r="C3398" s="145"/>
      <c r="D3398" s="149"/>
      <c r="E3398" s="145"/>
      <c r="F3398" s="144"/>
      <c r="G3398" s="144"/>
    </row>
    <row r="3399" spans="1:7" ht="15.75" thickBot="1" x14ac:dyDescent="0.3">
      <c r="A3399" s="148"/>
      <c r="C3399" s="147" t="s">
        <v>620</v>
      </c>
      <c r="D3399" s="146">
        <f>F3397-G3397</f>
        <v>0</v>
      </c>
      <c r="E3399" s="145"/>
      <c r="F3399" s="144"/>
      <c r="G3399" s="144"/>
    </row>
    <row r="3400" spans="1:7" ht="15.75" thickBot="1" x14ac:dyDescent="0.3"/>
    <row r="3401" spans="1:7" ht="30.75" thickBot="1" x14ac:dyDescent="0.3">
      <c r="A3401" s="238" t="s">
        <v>626</v>
      </c>
      <c r="B3401" s="237" t="s">
        <v>606</v>
      </c>
      <c r="C3401" s="236" t="s">
        <v>631</v>
      </c>
      <c r="D3401" s="235" t="s">
        <v>601</v>
      </c>
      <c r="E3401" s="234" t="s">
        <v>287</v>
      </c>
      <c r="F3401" s="233" t="s">
        <v>624</v>
      </c>
      <c r="G3401" s="233" t="s">
        <v>596</v>
      </c>
    </row>
    <row r="3402" spans="1:7" x14ac:dyDescent="0.25">
      <c r="A3402" s="169" t="str">
        <f>E3402&amp;COUNTIFS($E$2:E3402,E3402)</f>
        <v>0</v>
      </c>
      <c r="B3402" s="172"/>
      <c r="C3402" s="174"/>
      <c r="D3402" s="173"/>
      <c r="E3402" s="172"/>
      <c r="F3402" s="171"/>
      <c r="G3402" s="170"/>
    </row>
    <row r="3403" spans="1:7" x14ac:dyDescent="0.25">
      <c r="A3403" s="169" t="str">
        <f>E3403&amp;COUNTIFS($E$2:E3403,E3403)</f>
        <v>0</v>
      </c>
      <c r="B3403" s="166"/>
      <c r="C3403" s="168"/>
      <c r="D3403" s="167"/>
      <c r="E3403" s="166"/>
      <c r="F3403" s="165"/>
      <c r="G3403" s="164"/>
    </row>
    <row r="3404" spans="1:7" x14ac:dyDescent="0.25">
      <c r="A3404" s="169" t="str">
        <f>E3404&amp;COUNTIFS($E$2:E3404,E3404)</f>
        <v>0</v>
      </c>
      <c r="B3404" s="166"/>
      <c r="C3404" s="168"/>
      <c r="D3404" s="167"/>
      <c r="E3404" s="166"/>
      <c r="F3404" s="165"/>
      <c r="G3404" s="164"/>
    </row>
    <row r="3405" spans="1:7" x14ac:dyDescent="0.25">
      <c r="A3405" s="169" t="str">
        <f>E3405&amp;COUNTIFS($E$2:E3405,E3405)</f>
        <v>0</v>
      </c>
      <c r="B3405" s="166"/>
      <c r="C3405" s="168"/>
      <c r="D3405" s="167"/>
      <c r="E3405" s="166"/>
      <c r="F3405" s="165"/>
      <c r="G3405" s="164"/>
    </row>
    <row r="3406" spans="1:7" x14ac:dyDescent="0.25">
      <c r="A3406" s="169" t="str">
        <f>E3406&amp;COUNTIFS($E$2:E3406,E3406)</f>
        <v>0</v>
      </c>
      <c r="B3406" s="166"/>
      <c r="C3406" s="168"/>
      <c r="D3406" s="167"/>
      <c r="E3406" s="166"/>
      <c r="F3406" s="165"/>
      <c r="G3406" s="164"/>
    </row>
    <row r="3407" spans="1:7" x14ac:dyDescent="0.25">
      <c r="A3407" s="169" t="str">
        <f>E3407&amp;COUNTIFS($E$2:E3407,E3407)</f>
        <v>0</v>
      </c>
      <c r="B3407" s="166"/>
      <c r="C3407" s="168"/>
      <c r="D3407" s="167"/>
      <c r="E3407" s="166"/>
      <c r="F3407" s="165"/>
      <c r="G3407" s="164"/>
    </row>
    <row r="3408" spans="1:7" x14ac:dyDescent="0.25">
      <c r="A3408" s="169" t="str">
        <f>E3408&amp;COUNTIFS($E$2:E3408,E3408)</f>
        <v>0</v>
      </c>
      <c r="B3408" s="166"/>
      <c r="C3408" s="168"/>
      <c r="D3408" s="167"/>
      <c r="E3408" s="166"/>
      <c r="F3408" s="165"/>
      <c r="G3408" s="164"/>
    </row>
    <row r="3409" spans="1:7" x14ac:dyDescent="0.25">
      <c r="A3409" s="169" t="str">
        <f>E3409&amp;COUNTIFS($E$2:E3409,E3409)</f>
        <v>0</v>
      </c>
      <c r="B3409" s="166"/>
      <c r="C3409" s="168"/>
      <c r="D3409" s="167"/>
      <c r="E3409" s="166"/>
      <c r="F3409" s="165"/>
      <c r="G3409" s="164"/>
    </row>
    <row r="3410" spans="1:7" x14ac:dyDescent="0.25">
      <c r="A3410" s="169" t="str">
        <f>E3410&amp;COUNTIFS($E$2:E3410,E3410)</f>
        <v>0</v>
      </c>
      <c r="B3410" s="166"/>
      <c r="C3410" s="168"/>
      <c r="D3410" s="167"/>
      <c r="E3410" s="166"/>
      <c r="F3410" s="165"/>
      <c r="G3410" s="164"/>
    </row>
    <row r="3411" spans="1:7" x14ac:dyDescent="0.25">
      <c r="A3411" s="169" t="str">
        <f>E3411&amp;COUNTIFS($E$2:E3411,E3411)</f>
        <v>0</v>
      </c>
      <c r="B3411" s="166"/>
      <c r="C3411" s="168"/>
      <c r="D3411" s="167"/>
      <c r="E3411" s="166"/>
      <c r="F3411" s="165"/>
      <c r="G3411" s="164"/>
    </row>
    <row r="3412" spans="1:7" x14ac:dyDescent="0.25">
      <c r="A3412" s="169" t="str">
        <f>E3412&amp;COUNTIFS($E$2:E3412,E3412)</f>
        <v>0</v>
      </c>
      <c r="B3412" s="166"/>
      <c r="C3412" s="168"/>
      <c r="D3412" s="167"/>
      <c r="E3412" s="166"/>
      <c r="F3412" s="165"/>
      <c r="G3412" s="164"/>
    </row>
    <row r="3413" spans="1:7" x14ac:dyDescent="0.25">
      <c r="A3413" s="169" t="str">
        <f>E3413&amp;COUNTIFS($E$2:E3413,E3413)</f>
        <v>0</v>
      </c>
      <c r="B3413" s="166"/>
      <c r="C3413" s="168"/>
      <c r="D3413" s="167"/>
      <c r="E3413" s="166"/>
      <c r="F3413" s="165"/>
      <c r="G3413" s="164"/>
    </row>
    <row r="3414" spans="1:7" x14ac:dyDescent="0.25">
      <c r="A3414" s="169" t="str">
        <f>E3414&amp;COUNTIFS($E$2:E3414,E3414)</f>
        <v>0</v>
      </c>
      <c r="B3414" s="166"/>
      <c r="C3414" s="168"/>
      <c r="D3414" s="167"/>
      <c r="E3414" s="166"/>
      <c r="F3414" s="165"/>
      <c r="G3414" s="164"/>
    </row>
    <row r="3415" spans="1:7" x14ac:dyDescent="0.25">
      <c r="A3415" s="169" t="str">
        <f>E3415&amp;COUNTIFS($E$2:E3415,E3415)</f>
        <v>0</v>
      </c>
      <c r="B3415" s="166"/>
      <c r="C3415" s="168"/>
      <c r="D3415" s="167"/>
      <c r="E3415" s="166"/>
      <c r="F3415" s="165"/>
      <c r="G3415" s="164"/>
    </row>
    <row r="3416" spans="1:7" x14ac:dyDescent="0.25">
      <c r="A3416" s="169" t="str">
        <f>E3416&amp;COUNTIFS($E$2:E3416,E3416)</f>
        <v>0</v>
      </c>
      <c r="B3416" s="166"/>
      <c r="C3416" s="203"/>
      <c r="D3416" s="167"/>
      <c r="E3416" s="166"/>
      <c r="F3416" s="165"/>
      <c r="G3416" s="164"/>
    </row>
    <row r="3417" spans="1:7" x14ac:dyDescent="0.25">
      <c r="A3417" s="169" t="str">
        <f>E3417&amp;COUNTIFS($E$2:E3417,E3417)</f>
        <v>0</v>
      </c>
      <c r="B3417" s="166"/>
      <c r="C3417" s="168"/>
      <c r="D3417" s="167"/>
      <c r="E3417" s="166"/>
      <c r="F3417" s="165"/>
      <c r="G3417" s="164"/>
    </row>
    <row r="3418" spans="1:7" x14ac:dyDescent="0.25">
      <c r="A3418" s="169" t="str">
        <f>E3418&amp;COUNTIFS($E$2:E3418,E3418)</f>
        <v>0</v>
      </c>
      <c r="B3418" s="166"/>
      <c r="C3418" s="168"/>
      <c r="D3418" s="167"/>
      <c r="E3418" s="166"/>
      <c r="F3418" s="165"/>
      <c r="G3418" s="164"/>
    </row>
    <row r="3419" spans="1:7" x14ac:dyDescent="0.25">
      <c r="A3419" s="169" t="str">
        <f>E3419&amp;COUNTIFS($E$2:E3419,E3419)</f>
        <v>0</v>
      </c>
      <c r="B3419" s="166"/>
      <c r="C3419" s="168"/>
      <c r="D3419" s="167"/>
      <c r="E3419" s="166"/>
      <c r="F3419" s="165"/>
      <c r="G3419" s="164"/>
    </row>
    <row r="3420" spans="1:7" x14ac:dyDescent="0.25">
      <c r="A3420" s="169" t="str">
        <f>E3420&amp;COUNTIFS($E$2:E3420,E3420)</f>
        <v>0</v>
      </c>
      <c r="B3420" s="166"/>
      <c r="C3420" s="168"/>
      <c r="D3420" s="167"/>
      <c r="E3420" s="166"/>
      <c r="F3420" s="165"/>
      <c r="G3420" s="164"/>
    </row>
    <row r="3421" spans="1:7" x14ac:dyDescent="0.25">
      <c r="A3421" s="169" t="str">
        <f>E3421&amp;COUNTIFS($E$2:E3421,E3421)</f>
        <v>0</v>
      </c>
      <c r="B3421" s="166"/>
      <c r="C3421" s="168"/>
      <c r="D3421" s="167"/>
      <c r="E3421" s="166"/>
      <c r="F3421" s="165"/>
      <c r="G3421" s="164"/>
    </row>
    <row r="3422" spans="1:7" x14ac:dyDescent="0.25">
      <c r="A3422" s="169" t="str">
        <f>E3422&amp;COUNTIFS($E$2:E3422,E3422)</f>
        <v>0</v>
      </c>
      <c r="B3422" s="166"/>
      <c r="C3422" s="168"/>
      <c r="D3422" s="167"/>
      <c r="E3422" s="166"/>
      <c r="F3422" s="165"/>
      <c r="G3422" s="164"/>
    </row>
    <row r="3423" spans="1:7" x14ac:dyDescent="0.25">
      <c r="A3423" s="169" t="str">
        <f>E3423&amp;COUNTIFS($E$2:E3423,E3423)</f>
        <v>0</v>
      </c>
      <c r="B3423" s="166"/>
      <c r="C3423" s="168"/>
      <c r="D3423" s="167"/>
      <c r="E3423" s="166"/>
      <c r="F3423" s="165"/>
      <c r="G3423" s="164"/>
    </row>
    <row r="3424" spans="1:7" x14ac:dyDescent="0.25">
      <c r="A3424" s="169" t="str">
        <f>E3424&amp;COUNTIFS($E$2:E3424,E3424)</f>
        <v>0</v>
      </c>
      <c r="B3424" s="166"/>
      <c r="C3424" s="168"/>
      <c r="D3424" s="167"/>
      <c r="E3424" s="166"/>
      <c r="F3424" s="165"/>
      <c r="G3424" s="164"/>
    </row>
    <row r="3425" spans="1:7" x14ac:dyDescent="0.25">
      <c r="A3425" s="169" t="str">
        <f>E3425&amp;COUNTIFS($E$2:E3425,E3425)</f>
        <v>0</v>
      </c>
      <c r="B3425" s="166"/>
      <c r="C3425" s="168"/>
      <c r="D3425" s="167"/>
      <c r="E3425" s="166"/>
      <c r="F3425" s="165"/>
      <c r="G3425" s="164"/>
    </row>
    <row r="3426" spans="1:7" ht="15.75" thickBot="1" x14ac:dyDescent="0.3">
      <c r="A3426" s="163" t="str">
        <f>E3426&amp;COUNTIFS($E$2:E3426,E3426)</f>
        <v>0</v>
      </c>
      <c r="B3426" s="166"/>
      <c r="C3426" s="162"/>
      <c r="D3426" s="161"/>
      <c r="E3426" s="160"/>
      <c r="F3426" s="159"/>
      <c r="G3426" s="158"/>
    </row>
    <row r="3427" spans="1:7" x14ac:dyDescent="0.25">
      <c r="A3427" s="148"/>
      <c r="C3427" s="143"/>
      <c r="D3427" s="157"/>
      <c r="E3427" s="143"/>
      <c r="F3427" s="156"/>
      <c r="G3427" s="156"/>
    </row>
    <row r="3428" spans="1:7" x14ac:dyDescent="0.25">
      <c r="A3428" s="148"/>
      <c r="C3428" s="153" t="s">
        <v>623</v>
      </c>
      <c r="D3428" s="152"/>
      <c r="E3428" s="151"/>
      <c r="F3428" s="150">
        <f>SUM(F3402:F3426)</f>
        <v>0</v>
      </c>
      <c r="G3428" s="155">
        <f>SUM(G3402:G3426)</f>
        <v>0</v>
      </c>
    </row>
    <row r="3429" spans="1:7" x14ac:dyDescent="0.25">
      <c r="A3429" s="148"/>
      <c r="C3429" s="145" t="s">
        <v>622</v>
      </c>
      <c r="D3429" s="154"/>
      <c r="E3429" s="145"/>
      <c r="F3429" s="144"/>
      <c r="G3429" s="144"/>
    </row>
    <row r="3430" spans="1:7" x14ac:dyDescent="0.25">
      <c r="A3430" s="148"/>
      <c r="C3430" s="153" t="s">
        <v>621</v>
      </c>
      <c r="D3430" s="152"/>
      <c r="E3430" s="151"/>
      <c r="F3430" s="150">
        <f>F3397</f>
        <v>0</v>
      </c>
      <c r="G3430" s="150">
        <f>G3397</f>
        <v>0</v>
      </c>
    </row>
    <row r="3431" spans="1:7" x14ac:dyDescent="0.25">
      <c r="A3431" s="148"/>
      <c r="C3431" s="153" t="s">
        <v>582</v>
      </c>
      <c r="D3431" s="152"/>
      <c r="E3431" s="151"/>
      <c r="F3431" s="150">
        <f>F3430+F3428</f>
        <v>0</v>
      </c>
      <c r="G3431" s="150">
        <f>G3430+G3428</f>
        <v>0</v>
      </c>
    </row>
    <row r="3432" spans="1:7" ht="15.75" thickBot="1" x14ac:dyDescent="0.3">
      <c r="A3432" s="148"/>
      <c r="C3432" s="145"/>
      <c r="D3432" s="149"/>
      <c r="E3432" s="145"/>
      <c r="F3432" s="144"/>
      <c r="G3432" s="144"/>
    </row>
    <row r="3433" spans="1:7" ht="15.75" thickBot="1" x14ac:dyDescent="0.3">
      <c r="A3433" s="148"/>
      <c r="C3433" s="147" t="s">
        <v>620</v>
      </c>
      <c r="D3433" s="146">
        <f>F3431-G3431</f>
        <v>0</v>
      </c>
      <c r="E3433" s="145"/>
      <c r="F3433" s="144"/>
      <c r="G3433" s="144"/>
    </row>
    <row r="3434" spans="1:7" ht="15.75" thickBot="1" x14ac:dyDescent="0.3"/>
    <row r="3435" spans="1:7" ht="30.75" thickBot="1" x14ac:dyDescent="0.3">
      <c r="A3435" s="238" t="s">
        <v>626</v>
      </c>
      <c r="B3435" s="237" t="s">
        <v>606</v>
      </c>
      <c r="C3435" s="236" t="s">
        <v>631</v>
      </c>
      <c r="D3435" s="235" t="s">
        <v>601</v>
      </c>
      <c r="E3435" s="234" t="s">
        <v>287</v>
      </c>
      <c r="F3435" s="233" t="s">
        <v>624</v>
      </c>
      <c r="G3435" s="233" t="s">
        <v>596</v>
      </c>
    </row>
    <row r="3436" spans="1:7" x14ac:dyDescent="0.25">
      <c r="A3436" s="175" t="str">
        <f>E3436&amp;COUNTIFS($E$2:E3436,E3436)</f>
        <v>0</v>
      </c>
      <c r="B3436" s="172"/>
      <c r="C3436" s="174"/>
      <c r="D3436" s="173"/>
      <c r="E3436" s="172"/>
      <c r="F3436" s="171"/>
      <c r="G3436" s="170"/>
    </row>
    <row r="3437" spans="1:7" x14ac:dyDescent="0.25">
      <c r="A3437" s="169" t="str">
        <f>E3437&amp;COUNTIFS($E$2:E3437,E3437)</f>
        <v>0</v>
      </c>
      <c r="B3437" s="166"/>
      <c r="C3437" s="168"/>
      <c r="D3437" s="167"/>
      <c r="E3437" s="166"/>
      <c r="F3437" s="165"/>
      <c r="G3437" s="164"/>
    </row>
    <row r="3438" spans="1:7" x14ac:dyDescent="0.25">
      <c r="A3438" s="169" t="str">
        <f>E3438&amp;COUNTIFS($E$2:E3438,E3438)</f>
        <v>0</v>
      </c>
      <c r="B3438" s="166"/>
      <c r="C3438" s="168"/>
      <c r="D3438" s="167"/>
      <c r="E3438" s="166"/>
      <c r="F3438" s="165"/>
      <c r="G3438" s="164"/>
    </row>
    <row r="3439" spans="1:7" x14ac:dyDescent="0.25">
      <c r="A3439" s="169" t="str">
        <f>E3439&amp;COUNTIFS($E$2:E3439,E3439)</f>
        <v>0</v>
      </c>
      <c r="B3439" s="166"/>
      <c r="C3439" s="168"/>
      <c r="D3439" s="167"/>
      <c r="E3439" s="166"/>
      <c r="F3439" s="165"/>
      <c r="G3439" s="164"/>
    </row>
    <row r="3440" spans="1:7" x14ac:dyDescent="0.25">
      <c r="A3440" s="169" t="str">
        <f>E3440&amp;COUNTIFS($E$2:E3440,E3440)</f>
        <v>0</v>
      </c>
      <c r="B3440" s="166"/>
      <c r="C3440" s="168"/>
      <c r="D3440" s="167"/>
      <c r="E3440" s="166"/>
      <c r="F3440" s="165"/>
      <c r="G3440" s="164"/>
    </row>
    <row r="3441" spans="1:7" x14ac:dyDescent="0.25">
      <c r="A3441" s="169" t="str">
        <f>E3441&amp;COUNTIFS($E$2:E3441,E3441)</f>
        <v>0</v>
      </c>
      <c r="B3441" s="166"/>
      <c r="C3441" s="168"/>
      <c r="D3441" s="167"/>
      <c r="E3441" s="166"/>
      <c r="F3441" s="165"/>
      <c r="G3441" s="164"/>
    </row>
    <row r="3442" spans="1:7" x14ac:dyDescent="0.25">
      <c r="A3442" s="169" t="str">
        <f>E3442&amp;COUNTIFS($E$2:E3442,E3442)</f>
        <v>0</v>
      </c>
      <c r="B3442" s="166"/>
      <c r="C3442" s="203"/>
      <c r="D3442" s="167"/>
      <c r="E3442" s="166"/>
      <c r="F3442" s="165"/>
      <c r="G3442" s="164"/>
    </row>
    <row r="3443" spans="1:7" x14ac:dyDescent="0.25">
      <c r="A3443" s="169" t="str">
        <f>E3443&amp;COUNTIFS($E$2:E3443,E3443)</f>
        <v>0</v>
      </c>
      <c r="B3443" s="166"/>
      <c r="C3443" s="168"/>
      <c r="D3443" s="167"/>
      <c r="E3443" s="166"/>
      <c r="F3443" s="165"/>
      <c r="G3443" s="164"/>
    </row>
    <row r="3444" spans="1:7" x14ac:dyDescent="0.25">
      <c r="A3444" s="169" t="str">
        <f>E3444&amp;COUNTIFS($E$2:E3444,E3444)</f>
        <v>0</v>
      </c>
      <c r="B3444" s="166"/>
      <c r="C3444" s="168"/>
      <c r="D3444" s="167"/>
      <c r="E3444" s="166"/>
      <c r="F3444" s="165"/>
      <c r="G3444" s="164"/>
    </row>
    <row r="3445" spans="1:7" x14ac:dyDescent="0.25">
      <c r="A3445" s="169" t="str">
        <f>E3445&amp;COUNTIFS($E$2:E3445,E3445)</f>
        <v>0</v>
      </c>
      <c r="B3445" s="166"/>
      <c r="C3445" s="168"/>
      <c r="D3445" s="167"/>
      <c r="E3445" s="166"/>
      <c r="F3445" s="165"/>
      <c r="G3445" s="164"/>
    </row>
    <row r="3446" spans="1:7" x14ac:dyDescent="0.25">
      <c r="A3446" s="169" t="str">
        <f>E3446&amp;COUNTIFS($E$2:E3446,E3446)</f>
        <v>0</v>
      </c>
      <c r="B3446" s="166"/>
      <c r="C3446" s="168"/>
      <c r="D3446" s="167"/>
      <c r="E3446" s="166"/>
      <c r="F3446" s="165"/>
      <c r="G3446" s="164"/>
    </row>
    <row r="3447" spans="1:7" x14ac:dyDescent="0.25">
      <c r="A3447" s="169" t="str">
        <f>E3447&amp;COUNTIFS($E$2:E3447,E3447)</f>
        <v>0</v>
      </c>
      <c r="B3447" s="166"/>
      <c r="C3447" s="168"/>
      <c r="D3447" s="167"/>
      <c r="E3447" s="166"/>
      <c r="F3447" s="165"/>
      <c r="G3447" s="164"/>
    </row>
    <row r="3448" spans="1:7" x14ac:dyDescent="0.25">
      <c r="A3448" s="169" t="str">
        <f>E3448&amp;COUNTIFS($E$2:E3448,E3448)</f>
        <v>0</v>
      </c>
      <c r="B3448" s="166"/>
      <c r="C3448" s="168"/>
      <c r="D3448" s="167"/>
      <c r="E3448" s="166"/>
      <c r="F3448" s="165"/>
      <c r="G3448" s="164"/>
    </row>
    <row r="3449" spans="1:7" x14ac:dyDescent="0.25">
      <c r="A3449" s="169" t="str">
        <f>E3449&amp;COUNTIFS($E$2:E3449,E3449)</f>
        <v>0</v>
      </c>
      <c r="B3449" s="166"/>
      <c r="C3449" s="168"/>
      <c r="D3449" s="167"/>
      <c r="E3449" s="166"/>
      <c r="F3449" s="165"/>
      <c r="G3449" s="164"/>
    </row>
    <row r="3450" spans="1:7" x14ac:dyDescent="0.25">
      <c r="A3450" s="169" t="str">
        <f>E3450&amp;COUNTIFS($E$2:E3450,E3450)</f>
        <v>0</v>
      </c>
      <c r="B3450" s="166"/>
      <c r="C3450" s="168"/>
      <c r="D3450" s="167"/>
      <c r="E3450" s="166"/>
      <c r="F3450" s="165"/>
      <c r="G3450" s="164"/>
    </row>
    <row r="3451" spans="1:7" x14ac:dyDescent="0.25">
      <c r="A3451" s="169" t="str">
        <f>E3451&amp;COUNTIFS($E$2:E3451,E3451)</f>
        <v>0</v>
      </c>
      <c r="B3451" s="166"/>
      <c r="C3451" s="168"/>
      <c r="D3451" s="167"/>
      <c r="E3451" s="166"/>
      <c r="F3451" s="165"/>
      <c r="G3451" s="164"/>
    </row>
    <row r="3452" spans="1:7" x14ac:dyDescent="0.25">
      <c r="A3452" s="169" t="str">
        <f>E3452&amp;COUNTIFS($E$2:E3452,E3452)</f>
        <v>0</v>
      </c>
      <c r="B3452" s="166"/>
      <c r="C3452" s="168"/>
      <c r="D3452" s="167"/>
      <c r="E3452" s="166"/>
      <c r="F3452" s="165"/>
      <c r="G3452" s="164"/>
    </row>
    <row r="3453" spans="1:7" x14ac:dyDescent="0.25">
      <c r="A3453" s="169" t="str">
        <f>E3453&amp;COUNTIFS($E$2:E3453,E3453)</f>
        <v>0</v>
      </c>
      <c r="B3453" s="166"/>
      <c r="C3453" s="168"/>
      <c r="D3453" s="167"/>
      <c r="E3453" s="166"/>
      <c r="F3453" s="165"/>
      <c r="G3453" s="164"/>
    </row>
    <row r="3454" spans="1:7" x14ac:dyDescent="0.25">
      <c r="A3454" s="169" t="str">
        <f>E3454&amp;COUNTIFS($E$2:E3454,E3454)</f>
        <v>0</v>
      </c>
      <c r="B3454" s="166"/>
      <c r="C3454" s="168"/>
      <c r="D3454" s="167"/>
      <c r="E3454" s="166"/>
      <c r="F3454" s="165"/>
      <c r="G3454" s="164"/>
    </row>
    <row r="3455" spans="1:7" x14ac:dyDescent="0.25">
      <c r="A3455" s="169" t="str">
        <f>E3455&amp;COUNTIFS($E$2:E3455,E3455)</f>
        <v>0</v>
      </c>
      <c r="B3455" s="166"/>
      <c r="C3455" s="168"/>
      <c r="D3455" s="167"/>
      <c r="E3455" s="166"/>
      <c r="F3455" s="165"/>
      <c r="G3455" s="164"/>
    </row>
    <row r="3456" spans="1:7" x14ac:dyDescent="0.25">
      <c r="A3456" s="169" t="str">
        <f>E3456&amp;COUNTIFS($E$2:E3456,E3456)</f>
        <v>0</v>
      </c>
      <c r="B3456" s="166"/>
      <c r="C3456" s="168"/>
      <c r="D3456" s="167"/>
      <c r="E3456" s="166"/>
      <c r="F3456" s="165"/>
      <c r="G3456" s="164"/>
    </row>
    <row r="3457" spans="1:7" x14ac:dyDescent="0.25">
      <c r="A3457" s="169" t="str">
        <f>E3457&amp;COUNTIFS($E$2:E3457,E3457)</f>
        <v>0</v>
      </c>
      <c r="B3457" s="166"/>
      <c r="C3457" s="168"/>
      <c r="D3457" s="167"/>
      <c r="E3457" s="166"/>
      <c r="F3457" s="165"/>
      <c r="G3457" s="164"/>
    </row>
    <row r="3458" spans="1:7" x14ac:dyDescent="0.25">
      <c r="A3458" s="169" t="str">
        <f>E3458&amp;COUNTIFS($E$2:E3458,E3458)</f>
        <v>0</v>
      </c>
      <c r="B3458" s="166"/>
      <c r="C3458" s="168"/>
      <c r="D3458" s="167"/>
      <c r="E3458" s="166"/>
      <c r="F3458" s="165"/>
      <c r="G3458" s="164"/>
    </row>
    <row r="3459" spans="1:7" x14ac:dyDescent="0.25">
      <c r="A3459" s="169" t="str">
        <f>E3459&amp;COUNTIFS($E$2:E3459,E3459)</f>
        <v>0</v>
      </c>
      <c r="B3459" s="166"/>
      <c r="C3459" s="168"/>
      <c r="D3459" s="167"/>
      <c r="E3459" s="166"/>
      <c r="F3459" s="165"/>
      <c r="G3459" s="164"/>
    </row>
    <row r="3460" spans="1:7" ht="15.75" thickBot="1" x14ac:dyDescent="0.3">
      <c r="A3460" s="163" t="str">
        <f>E3460&amp;COUNTIFS($E$2:E3460,E3460)</f>
        <v>0</v>
      </c>
      <c r="B3460" s="160"/>
      <c r="C3460" s="162"/>
      <c r="D3460" s="161"/>
      <c r="E3460" s="160"/>
      <c r="F3460" s="159"/>
      <c r="G3460" s="158"/>
    </row>
    <row r="3461" spans="1:7" x14ac:dyDescent="0.25">
      <c r="A3461" s="148"/>
      <c r="C3461" s="143"/>
      <c r="D3461" s="157"/>
      <c r="E3461" s="143"/>
      <c r="F3461" s="156"/>
      <c r="G3461" s="156"/>
    </row>
    <row r="3462" spans="1:7" x14ac:dyDescent="0.25">
      <c r="A3462" s="148"/>
      <c r="C3462" s="153" t="s">
        <v>623</v>
      </c>
      <c r="D3462" s="152"/>
      <c r="E3462" s="151"/>
      <c r="F3462" s="150">
        <f>SUM(F3436:F3460)</f>
        <v>0</v>
      </c>
      <c r="G3462" s="155">
        <f>SUM(G3436:G3460)</f>
        <v>0</v>
      </c>
    </row>
    <row r="3463" spans="1:7" x14ac:dyDescent="0.25">
      <c r="A3463" s="148"/>
      <c r="C3463" s="145" t="s">
        <v>622</v>
      </c>
      <c r="D3463" s="154"/>
      <c r="E3463" s="145"/>
      <c r="F3463" s="144"/>
      <c r="G3463" s="144"/>
    </row>
    <row r="3464" spans="1:7" x14ac:dyDescent="0.25">
      <c r="A3464" s="148"/>
      <c r="C3464" s="153" t="s">
        <v>621</v>
      </c>
      <c r="D3464" s="152"/>
      <c r="E3464" s="151"/>
      <c r="F3464" s="150">
        <f>F3431</f>
        <v>0</v>
      </c>
      <c r="G3464" s="150">
        <f>G3431</f>
        <v>0</v>
      </c>
    </row>
    <row r="3465" spans="1:7" x14ac:dyDescent="0.25">
      <c r="A3465" s="148"/>
      <c r="C3465" s="153" t="s">
        <v>582</v>
      </c>
      <c r="D3465" s="152"/>
      <c r="E3465" s="151"/>
      <c r="F3465" s="150">
        <f>F3464+F3462</f>
        <v>0</v>
      </c>
      <c r="G3465" s="150">
        <f>G3464+G3462</f>
        <v>0</v>
      </c>
    </row>
    <row r="3466" spans="1:7" ht="15.75" thickBot="1" x14ac:dyDescent="0.3">
      <c r="A3466" s="148"/>
      <c r="C3466" s="145"/>
      <c r="D3466" s="149"/>
      <c r="E3466" s="145"/>
      <c r="F3466" s="144"/>
      <c r="G3466" s="144"/>
    </row>
    <row r="3467" spans="1:7" ht="15.75" thickBot="1" x14ac:dyDescent="0.3">
      <c r="A3467" s="148"/>
      <c r="C3467" s="147" t="s">
        <v>620</v>
      </c>
      <c r="D3467" s="146">
        <f>F3465-G3465</f>
        <v>0</v>
      </c>
      <c r="E3467" s="145"/>
      <c r="F3467" s="144"/>
      <c r="G3467" s="144"/>
    </row>
    <row r="3468" spans="1:7" ht="15.75" thickBot="1" x14ac:dyDescent="0.3"/>
    <row r="3469" spans="1:7" ht="30.75" thickBot="1" x14ac:dyDescent="0.3">
      <c r="A3469" s="238" t="s">
        <v>626</v>
      </c>
      <c r="B3469" s="237" t="s">
        <v>606</v>
      </c>
      <c r="C3469" s="236" t="s">
        <v>631</v>
      </c>
      <c r="D3469" s="235" t="s">
        <v>601</v>
      </c>
      <c r="E3469" s="234" t="s">
        <v>287</v>
      </c>
      <c r="F3469" s="233" t="s">
        <v>624</v>
      </c>
      <c r="G3469" s="233" t="s">
        <v>596</v>
      </c>
    </row>
    <row r="3470" spans="1:7" x14ac:dyDescent="0.25">
      <c r="A3470" s="169" t="str">
        <f>E3470&amp;COUNTIFS($E$2:E3470,E3470)</f>
        <v>0</v>
      </c>
      <c r="B3470" s="172"/>
      <c r="C3470" s="174"/>
      <c r="D3470" s="173"/>
      <c r="E3470" s="172"/>
      <c r="F3470" s="171"/>
      <c r="G3470" s="170"/>
    </row>
    <row r="3471" spans="1:7" x14ac:dyDescent="0.25">
      <c r="A3471" s="169" t="str">
        <f>E3471&amp;COUNTIFS($E$2:E3471,E3471)</f>
        <v>0</v>
      </c>
      <c r="B3471" s="166"/>
      <c r="C3471" s="168"/>
      <c r="D3471" s="167"/>
      <c r="E3471" s="166"/>
      <c r="F3471" s="165"/>
      <c r="G3471" s="164"/>
    </row>
    <row r="3472" spans="1:7" x14ac:dyDescent="0.25">
      <c r="A3472" s="169" t="str">
        <f>E3472&amp;COUNTIFS($E$2:E3472,E3472)</f>
        <v>0</v>
      </c>
      <c r="B3472" s="166"/>
      <c r="C3472" s="168"/>
      <c r="D3472" s="167"/>
      <c r="E3472" s="166"/>
      <c r="F3472" s="165"/>
      <c r="G3472" s="164"/>
    </row>
    <row r="3473" spans="1:7" x14ac:dyDescent="0.25">
      <c r="A3473" s="169" t="str">
        <f>E3473&amp;COUNTIFS($E$2:E3473,E3473)</f>
        <v>0</v>
      </c>
      <c r="B3473" s="166"/>
      <c r="C3473" s="168"/>
      <c r="D3473" s="167"/>
      <c r="E3473" s="166"/>
      <c r="F3473" s="165"/>
      <c r="G3473" s="164"/>
    </row>
    <row r="3474" spans="1:7" x14ac:dyDescent="0.25">
      <c r="A3474" s="169" t="str">
        <f>E3474&amp;COUNTIFS($E$2:E3474,E3474)</f>
        <v>0</v>
      </c>
      <c r="B3474" s="166"/>
      <c r="C3474" s="168"/>
      <c r="D3474" s="167"/>
      <c r="E3474" s="166"/>
      <c r="F3474" s="165"/>
      <c r="G3474" s="164"/>
    </row>
    <row r="3475" spans="1:7" x14ac:dyDescent="0.25">
      <c r="A3475" s="169" t="str">
        <f>E3475&amp;COUNTIFS($E$2:E3475,E3475)</f>
        <v>0</v>
      </c>
      <c r="B3475" s="166"/>
      <c r="C3475" s="168"/>
      <c r="D3475" s="167"/>
      <c r="E3475" s="166"/>
      <c r="F3475" s="165"/>
      <c r="G3475" s="164"/>
    </row>
    <row r="3476" spans="1:7" x14ac:dyDescent="0.25">
      <c r="A3476" s="169" t="str">
        <f>E3476&amp;COUNTIFS($E$2:E3476,E3476)</f>
        <v>0</v>
      </c>
      <c r="B3476" s="166"/>
      <c r="C3476" s="168"/>
      <c r="D3476" s="167"/>
      <c r="E3476" s="166"/>
      <c r="F3476" s="165"/>
      <c r="G3476" s="164"/>
    </row>
    <row r="3477" spans="1:7" x14ac:dyDescent="0.25">
      <c r="A3477" s="169" t="str">
        <f>E3477&amp;COUNTIFS($E$2:E3477,E3477)</f>
        <v>0</v>
      </c>
      <c r="B3477" s="166"/>
      <c r="C3477" s="168"/>
      <c r="D3477" s="167"/>
      <c r="E3477" s="166"/>
      <c r="F3477" s="165"/>
      <c r="G3477" s="164"/>
    </row>
    <row r="3478" spans="1:7" x14ac:dyDescent="0.25">
      <c r="A3478" s="169" t="str">
        <f>E3478&amp;COUNTIFS($E$2:E3478,E3478)</f>
        <v>0</v>
      </c>
      <c r="B3478" s="166"/>
      <c r="C3478" s="168"/>
      <c r="D3478" s="167"/>
      <c r="E3478" s="166"/>
      <c r="F3478" s="165"/>
      <c r="G3478" s="164"/>
    </row>
    <row r="3479" spans="1:7" x14ac:dyDescent="0.25">
      <c r="A3479" s="169" t="str">
        <f>E3479&amp;COUNTIFS($E$2:E3479,E3479)</f>
        <v>0</v>
      </c>
      <c r="B3479" s="166"/>
      <c r="C3479" s="168"/>
      <c r="D3479" s="167"/>
      <c r="E3479" s="166"/>
      <c r="F3479" s="165"/>
      <c r="G3479" s="164"/>
    </row>
    <row r="3480" spans="1:7" x14ac:dyDescent="0.25">
      <c r="A3480" s="169" t="str">
        <f>E3480&amp;COUNTIFS($E$2:E3480,E3480)</f>
        <v>0</v>
      </c>
      <c r="B3480" s="166"/>
      <c r="C3480" s="168"/>
      <c r="D3480" s="167"/>
      <c r="E3480" s="166"/>
      <c r="F3480" s="165"/>
      <c r="G3480" s="164"/>
    </row>
    <row r="3481" spans="1:7" x14ac:dyDescent="0.25">
      <c r="A3481" s="169" t="str">
        <f>E3481&amp;COUNTIFS($E$2:E3481,E3481)</f>
        <v>0</v>
      </c>
      <c r="B3481" s="166"/>
      <c r="C3481" s="168"/>
      <c r="D3481" s="167"/>
      <c r="E3481" s="166"/>
      <c r="F3481" s="165"/>
      <c r="G3481" s="164"/>
    </row>
    <row r="3482" spans="1:7" x14ac:dyDescent="0.25">
      <c r="A3482" s="169" t="str">
        <f>E3482&amp;COUNTIFS($E$2:E3482,E3482)</f>
        <v>0</v>
      </c>
      <c r="B3482" s="166"/>
      <c r="C3482" s="168"/>
      <c r="D3482" s="167"/>
      <c r="E3482" s="166"/>
      <c r="F3482" s="165"/>
      <c r="G3482" s="164"/>
    </row>
    <row r="3483" spans="1:7" x14ac:dyDescent="0.25">
      <c r="A3483" s="169" t="str">
        <f>E3483&amp;COUNTIFS($E$2:E3483,E3483)</f>
        <v>0</v>
      </c>
      <c r="B3483" s="166"/>
      <c r="C3483" s="168"/>
      <c r="D3483" s="167"/>
      <c r="E3483" s="166"/>
      <c r="F3483" s="165"/>
      <c r="G3483" s="164"/>
    </row>
    <row r="3484" spans="1:7" x14ac:dyDescent="0.25">
      <c r="A3484" s="169" t="str">
        <f>E3484&amp;COUNTIFS($E$2:E3484,E3484)</f>
        <v>0</v>
      </c>
      <c r="B3484" s="166"/>
      <c r="C3484" s="168"/>
      <c r="D3484" s="167"/>
      <c r="E3484" s="166"/>
      <c r="F3484" s="165"/>
      <c r="G3484" s="164"/>
    </row>
    <row r="3485" spans="1:7" x14ac:dyDescent="0.25">
      <c r="A3485" s="169" t="str">
        <f>E3485&amp;COUNTIFS($E$2:E3485,E3485)</f>
        <v>0</v>
      </c>
      <c r="B3485" s="166"/>
      <c r="C3485" s="168"/>
      <c r="D3485" s="167"/>
      <c r="E3485" s="166"/>
      <c r="F3485" s="165"/>
      <c r="G3485" s="164"/>
    </row>
    <row r="3486" spans="1:7" x14ac:dyDescent="0.25">
      <c r="A3486" s="169" t="str">
        <f>E3486&amp;COUNTIFS($E$2:E3486,E3486)</f>
        <v>0</v>
      </c>
      <c r="B3486" s="166"/>
      <c r="C3486" s="168"/>
      <c r="D3486" s="167"/>
      <c r="E3486" s="166"/>
      <c r="F3486" s="165"/>
      <c r="G3486" s="164"/>
    </row>
    <row r="3487" spans="1:7" x14ac:dyDescent="0.25">
      <c r="A3487" s="169" t="str">
        <f>E3487&amp;COUNTIFS($E$2:E3487,E3487)</f>
        <v>0</v>
      </c>
      <c r="B3487" s="166"/>
      <c r="C3487" s="168"/>
      <c r="D3487" s="167"/>
      <c r="E3487" s="166"/>
      <c r="F3487" s="165"/>
      <c r="G3487" s="164"/>
    </row>
    <row r="3488" spans="1:7" x14ac:dyDescent="0.25">
      <c r="A3488" s="169" t="str">
        <f>E3488&amp;COUNTIFS($E$2:E3488,E3488)</f>
        <v>0</v>
      </c>
      <c r="B3488" s="166"/>
      <c r="C3488" s="168"/>
      <c r="D3488" s="167"/>
      <c r="E3488" s="166"/>
      <c r="F3488" s="165"/>
      <c r="G3488" s="164"/>
    </row>
    <row r="3489" spans="1:7" x14ac:dyDescent="0.25">
      <c r="A3489" s="169" t="str">
        <f>E3489&amp;COUNTIFS($E$2:E3489,E3489)</f>
        <v>0</v>
      </c>
      <c r="B3489" s="166"/>
      <c r="C3489" s="168"/>
      <c r="D3489" s="167"/>
      <c r="E3489" s="166"/>
      <c r="F3489" s="165"/>
      <c r="G3489" s="164"/>
    </row>
    <row r="3490" spans="1:7" x14ac:dyDescent="0.25">
      <c r="A3490" s="169" t="str">
        <f>E3490&amp;COUNTIFS($E$2:E3490,E3490)</f>
        <v>0</v>
      </c>
      <c r="B3490" s="166"/>
      <c r="C3490" s="168"/>
      <c r="D3490" s="167"/>
      <c r="E3490" s="166"/>
      <c r="F3490" s="165"/>
      <c r="G3490" s="164"/>
    </row>
    <row r="3491" spans="1:7" x14ac:dyDescent="0.25">
      <c r="A3491" s="169" t="str">
        <f>E3491&amp;COUNTIFS($E$2:E3491,E3491)</f>
        <v>0</v>
      </c>
      <c r="B3491" s="166"/>
      <c r="C3491" s="168"/>
      <c r="D3491" s="167"/>
      <c r="E3491" s="166"/>
      <c r="F3491" s="165"/>
      <c r="G3491" s="164"/>
    </row>
    <row r="3492" spans="1:7" x14ac:dyDescent="0.25">
      <c r="A3492" s="169" t="str">
        <f>E3492&amp;COUNTIFS($E$2:E3492,E3492)</f>
        <v>0</v>
      </c>
      <c r="B3492" s="166"/>
      <c r="C3492" s="168"/>
      <c r="D3492" s="167"/>
      <c r="E3492" s="166"/>
      <c r="F3492" s="165"/>
      <c r="G3492" s="164"/>
    </row>
    <row r="3493" spans="1:7" x14ac:dyDescent="0.25">
      <c r="A3493" s="169" t="str">
        <f>E3493&amp;COUNTIFS($E$2:E3493,E3493)</f>
        <v>0</v>
      </c>
      <c r="B3493" s="166"/>
      <c r="C3493" s="168"/>
      <c r="D3493" s="167"/>
      <c r="E3493" s="166"/>
      <c r="F3493" s="165"/>
      <c r="G3493" s="164"/>
    </row>
    <row r="3494" spans="1:7" ht="15.75" thickBot="1" x14ac:dyDescent="0.3">
      <c r="A3494" s="163" t="str">
        <f>E3494&amp;COUNTIFS($E$2:E3494,E3494)</f>
        <v>0</v>
      </c>
      <c r="B3494" s="166"/>
      <c r="C3494" s="162"/>
      <c r="D3494" s="161"/>
      <c r="E3494" s="160"/>
      <c r="F3494" s="159"/>
      <c r="G3494" s="158"/>
    </row>
    <row r="3495" spans="1:7" x14ac:dyDescent="0.25">
      <c r="A3495" s="148"/>
      <c r="C3495" s="143"/>
      <c r="D3495" s="157"/>
      <c r="E3495" s="143"/>
      <c r="F3495" s="156"/>
      <c r="G3495" s="156"/>
    </row>
    <row r="3496" spans="1:7" x14ac:dyDescent="0.25">
      <c r="A3496" s="148"/>
      <c r="C3496" s="153" t="s">
        <v>623</v>
      </c>
      <c r="D3496" s="152"/>
      <c r="E3496" s="151"/>
      <c r="F3496" s="150">
        <f>SUM(F3470:F3494)</f>
        <v>0</v>
      </c>
      <c r="G3496" s="155">
        <f>SUM(G3470:G3494)</f>
        <v>0</v>
      </c>
    </row>
    <row r="3497" spans="1:7" x14ac:dyDescent="0.25">
      <c r="A3497" s="148"/>
      <c r="C3497" s="145" t="s">
        <v>622</v>
      </c>
      <c r="D3497" s="154"/>
      <c r="E3497" s="145"/>
      <c r="F3497" s="144"/>
      <c r="G3497" s="144"/>
    </row>
    <row r="3498" spans="1:7" x14ac:dyDescent="0.25">
      <c r="A3498" s="148"/>
      <c r="C3498" s="153" t="s">
        <v>621</v>
      </c>
      <c r="D3498" s="152"/>
      <c r="E3498" s="151"/>
      <c r="F3498" s="150">
        <f>F3465</f>
        <v>0</v>
      </c>
      <c r="G3498" s="150">
        <f>G3465</f>
        <v>0</v>
      </c>
    </row>
    <row r="3499" spans="1:7" x14ac:dyDescent="0.25">
      <c r="A3499" s="148"/>
      <c r="C3499" s="153" t="s">
        <v>582</v>
      </c>
      <c r="D3499" s="152"/>
      <c r="E3499" s="151"/>
      <c r="F3499" s="150">
        <f>F3498+F3496</f>
        <v>0</v>
      </c>
      <c r="G3499" s="150">
        <f>G3498+G3496</f>
        <v>0</v>
      </c>
    </row>
    <row r="3500" spans="1:7" ht="15.75" thickBot="1" x14ac:dyDescent="0.3">
      <c r="A3500" s="148"/>
      <c r="C3500" s="145"/>
      <c r="D3500" s="149"/>
      <c r="E3500" s="145"/>
      <c r="F3500" s="144"/>
      <c r="G3500" s="144"/>
    </row>
    <row r="3501" spans="1:7" ht="15.75" thickBot="1" x14ac:dyDescent="0.3">
      <c r="A3501" s="148"/>
      <c r="C3501" s="147" t="s">
        <v>620</v>
      </c>
      <c r="D3501" s="146">
        <f>F3499-G3499</f>
        <v>0</v>
      </c>
      <c r="E3501" s="145"/>
      <c r="F3501" s="144"/>
      <c r="G3501" s="144"/>
    </row>
    <row r="3502" spans="1:7" ht="15.75" thickBot="1" x14ac:dyDescent="0.3"/>
    <row r="3503" spans="1:7" ht="30.75" thickBot="1" x14ac:dyDescent="0.3">
      <c r="A3503" s="238" t="s">
        <v>626</v>
      </c>
      <c r="B3503" s="237" t="s">
        <v>606</v>
      </c>
      <c r="C3503" s="236" t="s">
        <v>631</v>
      </c>
      <c r="D3503" s="235" t="s">
        <v>601</v>
      </c>
      <c r="E3503" s="234" t="s">
        <v>287</v>
      </c>
      <c r="F3503" s="233" t="s">
        <v>624</v>
      </c>
      <c r="G3503" s="233" t="s">
        <v>596</v>
      </c>
    </row>
    <row r="3504" spans="1:7" x14ac:dyDescent="0.25">
      <c r="A3504" s="169" t="str">
        <f>E3504&amp;COUNTIFS($E$2:E3504,E3504)</f>
        <v>0</v>
      </c>
      <c r="B3504" s="172"/>
      <c r="C3504" s="174"/>
      <c r="D3504" s="173"/>
      <c r="E3504" s="172"/>
      <c r="F3504" s="171"/>
      <c r="G3504" s="170"/>
    </row>
    <row r="3505" spans="1:7" x14ac:dyDescent="0.25">
      <c r="A3505" s="169" t="str">
        <f>E3505&amp;COUNTIFS($E$2:E3505,E3505)</f>
        <v>0</v>
      </c>
      <c r="B3505" s="166"/>
      <c r="C3505" s="168"/>
      <c r="D3505" s="167"/>
      <c r="E3505" s="166"/>
      <c r="F3505" s="165"/>
      <c r="G3505" s="164"/>
    </row>
    <row r="3506" spans="1:7" x14ac:dyDescent="0.25">
      <c r="A3506" s="169" t="str">
        <f>E3506&amp;COUNTIFS($E$2:E3506,E3506)</f>
        <v>0</v>
      </c>
      <c r="B3506" s="166"/>
      <c r="C3506" s="168"/>
      <c r="D3506" s="167"/>
      <c r="E3506" s="166"/>
      <c r="F3506" s="165"/>
      <c r="G3506" s="164"/>
    </row>
    <row r="3507" spans="1:7" x14ac:dyDescent="0.25">
      <c r="A3507" s="169" t="str">
        <f>E3507&amp;COUNTIFS($E$2:E3507,E3507)</f>
        <v>0</v>
      </c>
      <c r="B3507" s="166"/>
      <c r="C3507" s="168"/>
      <c r="D3507" s="167"/>
      <c r="E3507" s="166"/>
      <c r="F3507" s="165"/>
      <c r="G3507" s="164"/>
    </row>
    <row r="3508" spans="1:7" x14ac:dyDescent="0.25">
      <c r="A3508" s="169" t="str">
        <f>E3508&amp;COUNTIFS($E$2:E3508,E3508)</f>
        <v>0</v>
      </c>
      <c r="B3508" s="166"/>
      <c r="C3508" s="168"/>
      <c r="D3508" s="167"/>
      <c r="E3508" s="166"/>
      <c r="F3508" s="165"/>
      <c r="G3508" s="164"/>
    </row>
    <row r="3509" spans="1:7" x14ac:dyDescent="0.25">
      <c r="A3509" s="169" t="str">
        <f>E3509&amp;COUNTIFS($E$2:E3509,E3509)</f>
        <v>0</v>
      </c>
      <c r="B3509" s="166"/>
      <c r="C3509" s="168"/>
      <c r="D3509" s="167"/>
      <c r="E3509" s="166"/>
      <c r="F3509" s="165"/>
      <c r="G3509" s="164"/>
    </row>
    <row r="3510" spans="1:7" x14ac:dyDescent="0.25">
      <c r="A3510" s="169" t="str">
        <f>E3510&amp;COUNTIFS($E$2:E3510,E3510)</f>
        <v>0</v>
      </c>
      <c r="B3510" s="166"/>
      <c r="C3510" s="168"/>
      <c r="D3510" s="167"/>
      <c r="E3510" s="166"/>
      <c r="F3510" s="165"/>
      <c r="G3510" s="164"/>
    </row>
    <row r="3511" spans="1:7" x14ac:dyDescent="0.25">
      <c r="A3511" s="169" t="str">
        <f>E3511&amp;COUNTIFS($E$2:E3511,E3511)</f>
        <v>0</v>
      </c>
      <c r="B3511" s="166"/>
      <c r="C3511" s="168"/>
      <c r="D3511" s="167"/>
      <c r="E3511" s="166"/>
      <c r="F3511" s="165"/>
      <c r="G3511" s="164"/>
    </row>
    <row r="3512" spans="1:7" x14ac:dyDescent="0.25">
      <c r="A3512" s="169" t="str">
        <f>E3512&amp;COUNTIFS($E$2:E3512,E3512)</f>
        <v>0</v>
      </c>
      <c r="B3512" s="166"/>
      <c r="C3512" s="168"/>
      <c r="D3512" s="167"/>
      <c r="E3512" s="166"/>
      <c r="F3512" s="165"/>
      <c r="G3512" s="164"/>
    </row>
    <row r="3513" spans="1:7" x14ac:dyDescent="0.25">
      <c r="A3513" s="169" t="str">
        <f>E3513&amp;COUNTIFS($E$2:E3513,E3513)</f>
        <v>0</v>
      </c>
      <c r="B3513" s="166"/>
      <c r="C3513" s="168"/>
      <c r="D3513" s="167"/>
      <c r="E3513" s="166"/>
      <c r="F3513" s="165"/>
      <c r="G3513" s="164"/>
    </row>
    <row r="3514" spans="1:7" x14ac:dyDescent="0.25">
      <c r="A3514" s="169" t="str">
        <f>E3514&amp;COUNTIFS($E$2:E3514,E3514)</f>
        <v>0</v>
      </c>
      <c r="B3514" s="166"/>
      <c r="C3514" s="168"/>
      <c r="D3514" s="167"/>
      <c r="E3514" s="166"/>
      <c r="F3514" s="165"/>
      <c r="G3514" s="164"/>
    </row>
    <row r="3515" spans="1:7" x14ac:dyDescent="0.25">
      <c r="A3515" s="169" t="str">
        <f>E3515&amp;COUNTIFS($E$2:E3515,E3515)</f>
        <v>0</v>
      </c>
      <c r="B3515" s="166"/>
      <c r="C3515" s="168"/>
      <c r="D3515" s="167"/>
      <c r="E3515" s="166"/>
      <c r="F3515" s="165"/>
      <c r="G3515" s="164"/>
    </row>
    <row r="3516" spans="1:7" x14ac:dyDescent="0.25">
      <c r="A3516" s="169" t="str">
        <f>E3516&amp;COUNTIFS($E$2:E3516,E3516)</f>
        <v>0</v>
      </c>
      <c r="B3516" s="166"/>
      <c r="C3516" s="168"/>
      <c r="D3516" s="167"/>
      <c r="E3516" s="166"/>
      <c r="F3516" s="165"/>
      <c r="G3516" s="164"/>
    </row>
    <row r="3517" spans="1:7" x14ac:dyDescent="0.25">
      <c r="A3517" s="169" t="str">
        <f>E3517&amp;COUNTIFS($E$2:E3517,E3517)</f>
        <v>0</v>
      </c>
      <c r="B3517" s="166"/>
      <c r="C3517" s="168"/>
      <c r="D3517" s="167"/>
      <c r="E3517" s="166"/>
      <c r="F3517" s="165"/>
      <c r="G3517" s="164"/>
    </row>
    <row r="3518" spans="1:7" x14ac:dyDescent="0.25">
      <c r="A3518" s="169" t="str">
        <f>E3518&amp;COUNTIFS($E$2:E3518,E3518)</f>
        <v>0</v>
      </c>
      <c r="B3518" s="166"/>
      <c r="C3518" s="168"/>
      <c r="D3518" s="167"/>
      <c r="E3518" s="166"/>
      <c r="F3518" s="165"/>
      <c r="G3518" s="164"/>
    </row>
    <row r="3519" spans="1:7" x14ac:dyDescent="0.25">
      <c r="A3519" s="169" t="str">
        <f>E3519&amp;COUNTIFS($E$2:E3519,E3519)</f>
        <v>0</v>
      </c>
      <c r="B3519" s="166"/>
      <c r="C3519" s="168"/>
      <c r="D3519" s="167"/>
      <c r="E3519" s="166"/>
      <c r="F3519" s="165"/>
      <c r="G3519" s="164"/>
    </row>
    <row r="3520" spans="1:7" x14ac:dyDescent="0.25">
      <c r="A3520" s="169" t="str">
        <f>E3520&amp;COUNTIFS($E$2:E3520,E3520)</f>
        <v>0</v>
      </c>
      <c r="B3520" s="166"/>
      <c r="C3520" s="168"/>
      <c r="D3520" s="167"/>
      <c r="E3520" s="166"/>
      <c r="F3520" s="165"/>
      <c r="G3520" s="164"/>
    </row>
    <row r="3521" spans="1:7" x14ac:dyDescent="0.25">
      <c r="A3521" s="169" t="str">
        <f>E3521&amp;COUNTIFS($E$2:E3521,E3521)</f>
        <v>0</v>
      </c>
      <c r="B3521" s="166"/>
      <c r="C3521" s="168"/>
      <c r="D3521" s="167"/>
      <c r="E3521" s="166"/>
      <c r="F3521" s="165"/>
      <c r="G3521" s="164"/>
    </row>
    <row r="3522" spans="1:7" x14ac:dyDescent="0.25">
      <c r="A3522" s="169" t="str">
        <f>E3522&amp;COUNTIFS($E$2:E3522,E3522)</f>
        <v>0</v>
      </c>
      <c r="B3522" s="166"/>
      <c r="C3522" s="168"/>
      <c r="D3522" s="167"/>
      <c r="E3522" s="166"/>
      <c r="F3522" s="165"/>
      <c r="G3522" s="164"/>
    </row>
    <row r="3523" spans="1:7" x14ac:dyDescent="0.25">
      <c r="A3523" s="169" t="str">
        <f>E3523&amp;COUNTIFS($E$2:E3523,E3523)</f>
        <v>0</v>
      </c>
      <c r="B3523" s="166"/>
      <c r="C3523" s="168"/>
      <c r="D3523" s="167"/>
      <c r="E3523" s="166"/>
      <c r="F3523" s="165"/>
      <c r="G3523" s="164"/>
    </row>
    <row r="3524" spans="1:7" x14ac:dyDescent="0.25">
      <c r="A3524" s="169" t="str">
        <f>E3524&amp;COUNTIFS($E$2:E3524,E3524)</f>
        <v>0</v>
      </c>
      <c r="B3524" s="166"/>
      <c r="C3524" s="168"/>
      <c r="D3524" s="167"/>
      <c r="E3524" s="166"/>
      <c r="F3524" s="165"/>
      <c r="G3524" s="164"/>
    </row>
    <row r="3525" spans="1:7" x14ac:dyDescent="0.25">
      <c r="A3525" s="169" t="str">
        <f>E3525&amp;COUNTIFS($E$2:E3525,E3525)</f>
        <v>0</v>
      </c>
      <c r="B3525" s="166"/>
      <c r="C3525" s="168"/>
      <c r="D3525" s="167"/>
      <c r="E3525" s="166"/>
      <c r="F3525" s="165"/>
      <c r="G3525" s="164"/>
    </row>
    <row r="3526" spans="1:7" x14ac:dyDescent="0.25">
      <c r="A3526" s="169" t="str">
        <f>E3526&amp;COUNTIFS($E$2:E3526,E3526)</f>
        <v>0</v>
      </c>
      <c r="B3526" s="166"/>
      <c r="C3526" s="168"/>
      <c r="D3526" s="167"/>
      <c r="E3526" s="166"/>
      <c r="F3526" s="165"/>
      <c r="G3526" s="164"/>
    </row>
    <row r="3527" spans="1:7" x14ac:dyDescent="0.25">
      <c r="A3527" s="169" t="str">
        <f>E3527&amp;COUNTIFS($E$2:E3527,E3527)</f>
        <v>0</v>
      </c>
      <c r="B3527" s="166"/>
      <c r="C3527" s="168"/>
      <c r="D3527" s="167"/>
      <c r="E3527" s="166"/>
      <c r="F3527" s="165"/>
      <c r="G3527" s="164"/>
    </row>
    <row r="3528" spans="1:7" ht="15.75" thickBot="1" x14ac:dyDescent="0.3">
      <c r="A3528" s="163" t="str">
        <f>E3528&amp;COUNTIFS($E$2:E3528,E3528)</f>
        <v>0</v>
      </c>
      <c r="B3528" s="166"/>
      <c r="C3528" s="162"/>
      <c r="D3528" s="161"/>
      <c r="E3528" s="160"/>
      <c r="F3528" s="159"/>
      <c r="G3528" s="158"/>
    </row>
    <row r="3529" spans="1:7" x14ac:dyDescent="0.25">
      <c r="A3529" s="148"/>
      <c r="C3529" s="143"/>
      <c r="D3529" s="157"/>
      <c r="E3529" s="143"/>
      <c r="F3529" s="156"/>
      <c r="G3529" s="156"/>
    </row>
    <row r="3530" spans="1:7" x14ac:dyDescent="0.25">
      <c r="A3530" s="148"/>
      <c r="C3530" s="153" t="s">
        <v>623</v>
      </c>
      <c r="D3530" s="152"/>
      <c r="E3530" s="151"/>
      <c r="F3530" s="150">
        <f>SUM(F3504:F3528)</f>
        <v>0</v>
      </c>
      <c r="G3530" s="155">
        <f>SUM(G3504:G3528)</f>
        <v>0</v>
      </c>
    </row>
    <row r="3531" spans="1:7" x14ac:dyDescent="0.25">
      <c r="A3531" s="148"/>
      <c r="C3531" s="145" t="s">
        <v>622</v>
      </c>
      <c r="D3531" s="154"/>
      <c r="E3531" s="145"/>
      <c r="F3531" s="144"/>
      <c r="G3531" s="144"/>
    </row>
    <row r="3532" spans="1:7" x14ac:dyDescent="0.25">
      <c r="A3532" s="148"/>
      <c r="C3532" s="153" t="s">
        <v>621</v>
      </c>
      <c r="D3532" s="152"/>
      <c r="E3532" s="151"/>
      <c r="F3532" s="150">
        <f>F3499</f>
        <v>0</v>
      </c>
      <c r="G3532" s="150">
        <f>G3499</f>
        <v>0</v>
      </c>
    </row>
    <row r="3533" spans="1:7" x14ac:dyDescent="0.25">
      <c r="A3533" s="148"/>
      <c r="C3533" s="153" t="s">
        <v>582</v>
      </c>
      <c r="D3533" s="152"/>
      <c r="E3533" s="151"/>
      <c r="F3533" s="150">
        <f>F3532+F3530</f>
        <v>0</v>
      </c>
      <c r="G3533" s="150">
        <f>G3532+G3530</f>
        <v>0</v>
      </c>
    </row>
    <row r="3534" spans="1:7" ht="15.75" thickBot="1" x14ac:dyDescent="0.3">
      <c r="A3534" s="148"/>
      <c r="C3534" s="145"/>
      <c r="D3534" s="149"/>
      <c r="E3534" s="145"/>
      <c r="F3534" s="144"/>
      <c r="G3534" s="144"/>
    </row>
    <row r="3535" spans="1:7" ht="15.75" thickBot="1" x14ac:dyDescent="0.3">
      <c r="A3535" s="148"/>
      <c r="C3535" s="147" t="s">
        <v>620</v>
      </c>
      <c r="D3535" s="146">
        <f>F3533-G3533</f>
        <v>0</v>
      </c>
      <c r="E3535" s="145"/>
      <c r="F3535" s="144"/>
      <c r="G3535" s="144"/>
    </row>
    <row r="3536" spans="1:7" ht="15.75" thickBot="1" x14ac:dyDescent="0.3"/>
    <row r="3537" spans="1:7" ht="30.75" thickBot="1" x14ac:dyDescent="0.3">
      <c r="A3537" s="238" t="s">
        <v>626</v>
      </c>
      <c r="B3537" s="237" t="s">
        <v>606</v>
      </c>
      <c r="C3537" s="236" t="s">
        <v>631</v>
      </c>
      <c r="D3537" s="235" t="s">
        <v>601</v>
      </c>
      <c r="E3537" s="234" t="s">
        <v>287</v>
      </c>
      <c r="F3537" s="233" t="s">
        <v>624</v>
      </c>
      <c r="G3537" s="233" t="s">
        <v>596</v>
      </c>
    </row>
    <row r="3538" spans="1:7" x14ac:dyDescent="0.25">
      <c r="A3538" s="169" t="str">
        <f>E3538&amp;COUNTIFS($E$2:E3538,E3538)</f>
        <v>0</v>
      </c>
      <c r="B3538" s="172"/>
      <c r="C3538" s="174"/>
      <c r="D3538" s="173"/>
      <c r="E3538" s="172"/>
      <c r="F3538" s="171"/>
      <c r="G3538" s="170"/>
    </row>
    <row r="3539" spans="1:7" x14ac:dyDescent="0.25">
      <c r="A3539" s="169" t="str">
        <f>E3539&amp;COUNTIFS($E$2:E3539,E3539)</f>
        <v>0</v>
      </c>
      <c r="B3539" s="166"/>
      <c r="C3539" s="168"/>
      <c r="D3539" s="167"/>
      <c r="E3539" s="166"/>
      <c r="F3539" s="165"/>
      <c r="G3539" s="164"/>
    </row>
    <row r="3540" spans="1:7" x14ac:dyDescent="0.25">
      <c r="A3540" s="169" t="str">
        <f>E3540&amp;COUNTIFS($E$2:E3540,E3540)</f>
        <v>0</v>
      </c>
      <c r="B3540" s="166"/>
      <c r="C3540" s="168"/>
      <c r="D3540" s="167"/>
      <c r="E3540" s="166"/>
      <c r="F3540" s="165"/>
      <c r="G3540" s="164"/>
    </row>
    <row r="3541" spans="1:7" x14ac:dyDescent="0.25">
      <c r="A3541" s="169" t="str">
        <f>E3541&amp;COUNTIFS($E$2:E3541,E3541)</f>
        <v>0</v>
      </c>
      <c r="B3541" s="166"/>
      <c r="C3541" s="168"/>
      <c r="D3541" s="167"/>
      <c r="E3541" s="166"/>
      <c r="F3541" s="165"/>
      <c r="G3541" s="164"/>
    </row>
    <row r="3542" spans="1:7" x14ac:dyDescent="0.25">
      <c r="A3542" s="169" t="str">
        <f>E3542&amp;COUNTIFS($E$2:E3542,E3542)</f>
        <v>0</v>
      </c>
      <c r="B3542" s="166"/>
      <c r="C3542" s="168"/>
      <c r="D3542" s="167"/>
      <c r="E3542" s="166"/>
      <c r="F3542" s="165"/>
      <c r="G3542" s="164"/>
    </row>
    <row r="3543" spans="1:7" x14ac:dyDescent="0.25">
      <c r="A3543" s="169" t="str">
        <f>E3543&amp;COUNTIFS($E$2:E3543,E3543)</f>
        <v>0</v>
      </c>
      <c r="B3543" s="166"/>
      <c r="C3543" s="168"/>
      <c r="D3543" s="167"/>
      <c r="E3543" s="166"/>
      <c r="F3543" s="165"/>
      <c r="G3543" s="164"/>
    </row>
    <row r="3544" spans="1:7" x14ac:dyDescent="0.25">
      <c r="A3544" s="169" t="str">
        <f>E3544&amp;COUNTIFS($E$2:E3544,E3544)</f>
        <v>0</v>
      </c>
      <c r="B3544" s="166"/>
      <c r="C3544" s="168"/>
      <c r="D3544" s="167"/>
      <c r="E3544" s="166"/>
      <c r="F3544" s="165"/>
      <c r="G3544" s="164"/>
    </row>
    <row r="3545" spans="1:7" x14ac:dyDescent="0.25">
      <c r="A3545" s="169" t="str">
        <f>E3545&amp;COUNTIFS($E$2:E3545,E3545)</f>
        <v>0</v>
      </c>
      <c r="B3545" s="166"/>
      <c r="C3545" s="168"/>
      <c r="D3545" s="167"/>
      <c r="E3545" s="166"/>
      <c r="F3545" s="165"/>
      <c r="G3545" s="164"/>
    </row>
    <row r="3546" spans="1:7" x14ac:dyDescent="0.25">
      <c r="A3546" s="169" t="str">
        <f>E3546&amp;COUNTIFS($E$2:E3546,E3546)</f>
        <v>0</v>
      </c>
      <c r="B3546" s="166"/>
      <c r="C3546" s="168"/>
      <c r="D3546" s="167"/>
      <c r="E3546" s="166"/>
      <c r="F3546" s="165"/>
      <c r="G3546" s="164"/>
    </row>
    <row r="3547" spans="1:7" x14ac:dyDescent="0.25">
      <c r="A3547" s="169" t="str">
        <f>E3547&amp;COUNTIFS($E$2:E3547,E3547)</f>
        <v>0</v>
      </c>
      <c r="B3547" s="166"/>
      <c r="C3547" s="168"/>
      <c r="D3547" s="167"/>
      <c r="E3547" s="166"/>
      <c r="F3547" s="165"/>
      <c r="G3547" s="164"/>
    </row>
    <row r="3548" spans="1:7" x14ac:dyDescent="0.25">
      <c r="A3548" s="169" t="str">
        <f>E3548&amp;COUNTIFS($E$2:E3548,E3548)</f>
        <v>0</v>
      </c>
      <c r="B3548" s="166"/>
      <c r="C3548" s="168"/>
      <c r="D3548" s="167"/>
      <c r="E3548" s="166"/>
      <c r="F3548" s="165"/>
      <c r="G3548" s="164"/>
    </row>
    <row r="3549" spans="1:7" x14ac:dyDescent="0.25">
      <c r="A3549" s="169" t="str">
        <f>E3549&amp;COUNTIFS($E$2:E3549,E3549)</f>
        <v>0</v>
      </c>
      <c r="B3549" s="166"/>
      <c r="C3549" s="168"/>
      <c r="D3549" s="167"/>
      <c r="E3549" s="166"/>
      <c r="F3549" s="165"/>
      <c r="G3549" s="164"/>
    </row>
    <row r="3550" spans="1:7" x14ac:dyDescent="0.25">
      <c r="A3550" s="169" t="str">
        <f>E3550&amp;COUNTIFS($E$2:E3550,E3550)</f>
        <v>0</v>
      </c>
      <c r="B3550" s="166"/>
      <c r="C3550" s="168"/>
      <c r="D3550" s="167"/>
      <c r="E3550" s="166"/>
      <c r="F3550" s="165"/>
      <c r="G3550" s="164"/>
    </row>
    <row r="3551" spans="1:7" x14ac:dyDescent="0.25">
      <c r="A3551" s="169" t="str">
        <f>E3551&amp;COUNTIFS($E$2:E3551,E3551)</f>
        <v>0</v>
      </c>
      <c r="B3551" s="166"/>
      <c r="C3551" s="168"/>
      <c r="D3551" s="167"/>
      <c r="E3551" s="166"/>
      <c r="F3551" s="165"/>
      <c r="G3551" s="164"/>
    </row>
    <row r="3552" spans="1:7" x14ac:dyDescent="0.25">
      <c r="A3552" s="169" t="str">
        <f>E3552&amp;COUNTIFS($E$2:E3552,E3552)</f>
        <v>0</v>
      </c>
      <c r="B3552" s="166"/>
      <c r="C3552" s="168"/>
      <c r="D3552" s="167"/>
      <c r="E3552" s="166"/>
      <c r="F3552" s="165"/>
      <c r="G3552" s="164"/>
    </row>
    <row r="3553" spans="1:7" x14ac:dyDescent="0.25">
      <c r="A3553" s="169" t="str">
        <f>E3553&amp;COUNTIFS($E$2:E3553,E3553)</f>
        <v>0</v>
      </c>
      <c r="B3553" s="166"/>
      <c r="C3553" s="168"/>
      <c r="D3553" s="167"/>
      <c r="E3553" s="166"/>
      <c r="F3553" s="165"/>
      <c r="G3553" s="164"/>
    </row>
    <row r="3554" spans="1:7" x14ac:dyDescent="0.25">
      <c r="A3554" s="169" t="str">
        <f>E3554&amp;COUNTIFS($E$2:E3554,E3554)</f>
        <v>0</v>
      </c>
      <c r="B3554" s="166"/>
      <c r="C3554" s="168"/>
      <c r="D3554" s="167"/>
      <c r="E3554" s="166"/>
      <c r="F3554" s="165"/>
      <c r="G3554" s="164"/>
    </row>
    <row r="3555" spans="1:7" x14ac:dyDescent="0.25">
      <c r="A3555" s="169" t="str">
        <f>E3555&amp;COUNTIFS($E$2:E3555,E3555)</f>
        <v>0</v>
      </c>
      <c r="B3555" s="166"/>
      <c r="C3555" s="168"/>
      <c r="D3555" s="167"/>
      <c r="E3555" s="166"/>
      <c r="F3555" s="165"/>
      <c r="G3555" s="164"/>
    </row>
    <row r="3556" spans="1:7" x14ac:dyDescent="0.25">
      <c r="A3556" s="169" t="str">
        <f>E3556&amp;COUNTIFS($E$2:E3556,E3556)</f>
        <v>0</v>
      </c>
      <c r="B3556" s="166"/>
      <c r="C3556" s="168"/>
      <c r="D3556" s="167"/>
      <c r="E3556" s="166"/>
      <c r="F3556" s="165"/>
      <c r="G3556" s="164"/>
    </row>
    <row r="3557" spans="1:7" x14ac:dyDescent="0.25">
      <c r="A3557" s="169" t="str">
        <f>E3557&amp;COUNTIFS($E$2:E3557,E3557)</f>
        <v>0</v>
      </c>
      <c r="B3557" s="166"/>
      <c r="C3557" s="168"/>
      <c r="D3557" s="167"/>
      <c r="E3557" s="166"/>
      <c r="F3557" s="165"/>
      <c r="G3557" s="164"/>
    </row>
    <row r="3558" spans="1:7" x14ac:dyDescent="0.25">
      <c r="A3558" s="169" t="str">
        <f>E3558&amp;COUNTIFS($E$2:E3558,E3558)</f>
        <v>0</v>
      </c>
      <c r="B3558" s="166"/>
      <c r="C3558" s="168"/>
      <c r="D3558" s="167"/>
      <c r="E3558" s="166"/>
      <c r="F3558" s="165"/>
      <c r="G3558" s="164"/>
    </row>
    <row r="3559" spans="1:7" x14ac:dyDescent="0.25">
      <c r="A3559" s="169" t="str">
        <f>E3559&amp;COUNTIFS($E$2:E3559,E3559)</f>
        <v>0</v>
      </c>
      <c r="B3559" s="166"/>
      <c r="C3559" s="168"/>
      <c r="D3559" s="167"/>
      <c r="E3559" s="166"/>
      <c r="F3559" s="165"/>
      <c r="G3559" s="164"/>
    </row>
    <row r="3560" spans="1:7" x14ac:dyDescent="0.25">
      <c r="A3560" s="169" t="str">
        <f>E3560&amp;COUNTIFS($E$2:E3560,E3560)</f>
        <v>0</v>
      </c>
      <c r="B3560" s="166"/>
      <c r="C3560" s="168"/>
      <c r="D3560" s="167"/>
      <c r="E3560" s="166"/>
      <c r="F3560" s="165"/>
      <c r="G3560" s="164"/>
    </row>
    <row r="3561" spans="1:7" x14ac:dyDescent="0.25">
      <c r="A3561" s="169" t="str">
        <f>E3561&amp;COUNTIFS($E$2:E3561,E3561)</f>
        <v>0</v>
      </c>
      <c r="B3561" s="166"/>
      <c r="C3561" s="168"/>
      <c r="D3561" s="167"/>
      <c r="E3561" s="166"/>
      <c r="F3561" s="165"/>
      <c r="G3561" s="164"/>
    </row>
    <row r="3562" spans="1:7" ht="15.75" thickBot="1" x14ac:dyDescent="0.3">
      <c r="A3562" s="163" t="str">
        <f>E3562&amp;COUNTIFS($E$2:E3562,E3562)</f>
        <v>0</v>
      </c>
      <c r="B3562" s="166"/>
      <c r="C3562" s="162"/>
      <c r="D3562" s="161"/>
      <c r="E3562" s="160"/>
      <c r="F3562" s="159"/>
      <c r="G3562" s="158"/>
    </row>
    <row r="3563" spans="1:7" x14ac:dyDescent="0.25">
      <c r="A3563" s="148"/>
      <c r="C3563" s="143"/>
      <c r="D3563" s="157"/>
      <c r="E3563" s="143"/>
      <c r="F3563" s="156"/>
      <c r="G3563" s="156"/>
    </row>
    <row r="3564" spans="1:7" x14ac:dyDescent="0.25">
      <c r="A3564" s="148"/>
      <c r="C3564" s="153" t="s">
        <v>623</v>
      </c>
      <c r="D3564" s="152"/>
      <c r="E3564" s="151"/>
      <c r="F3564" s="150">
        <f>SUM(F3538:F3562)</f>
        <v>0</v>
      </c>
      <c r="G3564" s="155">
        <f>SUM(G3538:G3562)</f>
        <v>0</v>
      </c>
    </row>
    <row r="3565" spans="1:7" x14ac:dyDescent="0.25">
      <c r="A3565" s="148"/>
      <c r="C3565" s="145" t="s">
        <v>622</v>
      </c>
      <c r="D3565" s="154"/>
      <c r="E3565" s="145"/>
      <c r="F3565" s="144"/>
      <c r="G3565" s="144"/>
    </row>
    <row r="3566" spans="1:7" x14ac:dyDescent="0.25">
      <c r="A3566" s="148"/>
      <c r="C3566" s="153" t="s">
        <v>621</v>
      </c>
      <c r="D3566" s="152"/>
      <c r="E3566" s="151"/>
      <c r="F3566" s="150">
        <f>F3533</f>
        <v>0</v>
      </c>
      <c r="G3566" s="150">
        <f>G3533</f>
        <v>0</v>
      </c>
    </row>
    <row r="3567" spans="1:7" x14ac:dyDescent="0.25">
      <c r="A3567" s="148"/>
      <c r="C3567" s="153" t="s">
        <v>582</v>
      </c>
      <c r="D3567" s="152"/>
      <c r="E3567" s="151"/>
      <c r="F3567" s="150">
        <f>F3566+F3564</f>
        <v>0</v>
      </c>
      <c r="G3567" s="150">
        <f>G3566+G3564</f>
        <v>0</v>
      </c>
    </row>
    <row r="3568" spans="1:7" ht="15.75" thickBot="1" x14ac:dyDescent="0.3">
      <c r="A3568" s="148"/>
      <c r="C3568" s="145"/>
      <c r="D3568" s="149"/>
      <c r="E3568" s="145"/>
      <c r="F3568" s="144"/>
      <c r="G3568" s="144"/>
    </row>
    <row r="3569" spans="1:7" ht="15.75" thickBot="1" x14ac:dyDescent="0.3">
      <c r="A3569" s="148"/>
      <c r="C3569" s="147" t="s">
        <v>620</v>
      </c>
      <c r="D3569" s="146">
        <f>F3567-G3567</f>
        <v>0</v>
      </c>
      <c r="E3569" s="145"/>
      <c r="F3569" s="144"/>
      <c r="G3569" s="144"/>
    </row>
    <row r="3570" spans="1:7" ht="15.75" thickBot="1" x14ac:dyDescent="0.3">
      <c r="A3570" s="148"/>
      <c r="C3570" s="145"/>
      <c r="D3570" s="144"/>
      <c r="E3570" s="145"/>
      <c r="F3570" s="144"/>
      <c r="G3570" s="144"/>
    </row>
    <row r="3571" spans="1:7" ht="30.75" thickBot="1" x14ac:dyDescent="0.3">
      <c r="A3571" s="238" t="s">
        <v>626</v>
      </c>
      <c r="B3571" s="237" t="s">
        <v>606</v>
      </c>
      <c r="C3571" s="236" t="s">
        <v>631</v>
      </c>
      <c r="D3571" s="235" t="s">
        <v>601</v>
      </c>
      <c r="E3571" s="234" t="s">
        <v>287</v>
      </c>
      <c r="F3571" s="233" t="s">
        <v>624</v>
      </c>
      <c r="G3571" s="233" t="s">
        <v>596</v>
      </c>
    </row>
    <row r="3572" spans="1:7" x14ac:dyDescent="0.25">
      <c r="A3572" s="169" t="str">
        <f>E3572&amp;COUNTIFS($E$2:E3572,E3572)</f>
        <v>0</v>
      </c>
      <c r="B3572" s="172"/>
      <c r="C3572" s="174"/>
      <c r="D3572" s="173"/>
      <c r="E3572" s="172"/>
      <c r="F3572" s="171"/>
      <c r="G3572" s="170"/>
    </row>
    <row r="3573" spans="1:7" x14ac:dyDescent="0.25">
      <c r="A3573" s="169" t="str">
        <f>E3573&amp;COUNTIFS($E$2:E3573,E3573)</f>
        <v>0</v>
      </c>
      <c r="B3573" s="166"/>
      <c r="C3573" s="168"/>
      <c r="D3573" s="167"/>
      <c r="E3573" s="166"/>
      <c r="F3573" s="165"/>
      <c r="G3573" s="164"/>
    </row>
    <row r="3574" spans="1:7" x14ac:dyDescent="0.25">
      <c r="A3574" s="169" t="str">
        <f>E3574&amp;COUNTIFS($E$2:E3574,E3574)</f>
        <v>0</v>
      </c>
      <c r="B3574" s="166"/>
      <c r="C3574" s="168"/>
      <c r="D3574" s="167"/>
      <c r="E3574" s="166"/>
      <c r="F3574" s="165"/>
      <c r="G3574" s="164"/>
    </row>
    <row r="3575" spans="1:7" x14ac:dyDescent="0.25">
      <c r="A3575" s="169" t="str">
        <f>E3575&amp;COUNTIFS($E$2:E3575,E3575)</f>
        <v>0</v>
      </c>
      <c r="B3575" s="166"/>
      <c r="C3575" s="168"/>
      <c r="D3575" s="167"/>
      <c r="E3575" s="166"/>
      <c r="F3575" s="165"/>
      <c r="G3575" s="164"/>
    </row>
    <row r="3576" spans="1:7" x14ac:dyDescent="0.25">
      <c r="A3576" s="169" t="str">
        <f>E3576&amp;COUNTIFS($E$2:E3576,E3576)</f>
        <v>0</v>
      </c>
      <c r="B3576" s="166"/>
      <c r="C3576" s="168"/>
      <c r="D3576" s="167"/>
      <c r="E3576" s="166"/>
      <c r="F3576" s="165"/>
      <c r="G3576" s="164"/>
    </row>
    <row r="3577" spans="1:7" x14ac:dyDescent="0.25">
      <c r="A3577" s="169" t="str">
        <f>E3577&amp;COUNTIFS($E$2:E3577,E3577)</f>
        <v>0</v>
      </c>
      <c r="B3577" s="166"/>
      <c r="C3577" s="168"/>
      <c r="D3577" s="167"/>
      <c r="E3577" s="166"/>
      <c r="F3577" s="165"/>
      <c r="G3577" s="164"/>
    </row>
    <row r="3578" spans="1:7" x14ac:dyDescent="0.25">
      <c r="A3578" s="169" t="str">
        <f>E3578&amp;COUNTIFS($E$2:E3578,E3578)</f>
        <v>0</v>
      </c>
      <c r="B3578" s="166"/>
      <c r="C3578" s="168"/>
      <c r="D3578" s="167"/>
      <c r="E3578" s="166"/>
      <c r="F3578" s="165"/>
      <c r="G3578" s="164"/>
    </row>
    <row r="3579" spans="1:7" x14ac:dyDescent="0.25">
      <c r="A3579" s="169" t="str">
        <f>E3579&amp;COUNTIFS($E$2:E3579,E3579)</f>
        <v>0</v>
      </c>
      <c r="B3579" s="166"/>
      <c r="C3579" s="168"/>
      <c r="D3579" s="167"/>
      <c r="E3579" s="166"/>
      <c r="F3579" s="165"/>
      <c r="G3579" s="164"/>
    </row>
    <row r="3580" spans="1:7" x14ac:dyDescent="0.25">
      <c r="A3580" s="169" t="str">
        <f>E3580&amp;COUNTIFS($E$2:E3580,E3580)</f>
        <v>0</v>
      </c>
      <c r="B3580" s="166"/>
      <c r="C3580" s="168"/>
      <c r="D3580" s="167"/>
      <c r="E3580" s="166"/>
      <c r="F3580" s="165"/>
      <c r="G3580" s="164"/>
    </row>
    <row r="3581" spans="1:7" x14ac:dyDescent="0.25">
      <c r="A3581" s="169" t="str">
        <f>E3581&amp;COUNTIFS($E$2:E3581,E3581)</f>
        <v>0</v>
      </c>
      <c r="B3581" s="166"/>
      <c r="C3581" s="168"/>
      <c r="D3581" s="167"/>
      <c r="E3581" s="166"/>
      <c r="F3581" s="165"/>
      <c r="G3581" s="164"/>
    </row>
    <row r="3582" spans="1:7" x14ac:dyDescent="0.25">
      <c r="A3582" s="169" t="str">
        <f>E3582&amp;COUNTIFS($E$2:E3582,E3582)</f>
        <v>0</v>
      </c>
      <c r="B3582" s="166"/>
      <c r="C3582" s="168"/>
      <c r="D3582" s="167"/>
      <c r="E3582" s="166"/>
      <c r="F3582" s="165"/>
      <c r="G3582" s="164"/>
    </row>
    <row r="3583" spans="1:7" x14ac:dyDescent="0.25">
      <c r="A3583" s="169" t="str">
        <f>E3583&amp;COUNTIFS($E$2:E3583,E3583)</f>
        <v>0</v>
      </c>
      <c r="B3583" s="166"/>
      <c r="C3583" s="168"/>
      <c r="D3583" s="167"/>
      <c r="E3583" s="166"/>
      <c r="F3583" s="165"/>
      <c r="G3583" s="164"/>
    </row>
    <row r="3584" spans="1:7" x14ac:dyDescent="0.25">
      <c r="A3584" s="169" t="str">
        <f>E3584&amp;COUNTIFS($E$2:E3584,E3584)</f>
        <v>0</v>
      </c>
      <c r="B3584" s="166"/>
      <c r="C3584" s="168"/>
      <c r="D3584" s="167"/>
      <c r="E3584" s="166"/>
      <c r="F3584" s="165"/>
      <c r="G3584" s="164"/>
    </row>
    <row r="3585" spans="1:7" x14ac:dyDescent="0.25">
      <c r="A3585" s="169" t="str">
        <f>E3585&amp;COUNTIFS($E$2:E3585,E3585)</f>
        <v>0</v>
      </c>
      <c r="B3585" s="166"/>
      <c r="C3585" s="168"/>
      <c r="D3585" s="167"/>
      <c r="E3585" s="166"/>
      <c r="F3585" s="165"/>
      <c r="G3585" s="164"/>
    </row>
    <row r="3586" spans="1:7" x14ac:dyDescent="0.25">
      <c r="A3586" s="169" t="str">
        <f>E3586&amp;COUNTIFS($E$2:E3586,E3586)</f>
        <v>0</v>
      </c>
      <c r="B3586" s="166"/>
      <c r="C3586" s="168"/>
      <c r="D3586" s="167"/>
      <c r="E3586" s="166"/>
      <c r="F3586" s="165"/>
      <c r="G3586" s="164"/>
    </row>
    <row r="3587" spans="1:7" x14ac:dyDescent="0.25">
      <c r="A3587" s="169" t="str">
        <f>E3587&amp;COUNTIFS($E$2:E3587,E3587)</f>
        <v>0</v>
      </c>
      <c r="B3587" s="166"/>
      <c r="C3587" s="168"/>
      <c r="D3587" s="167"/>
      <c r="E3587" s="166"/>
      <c r="F3587" s="165"/>
      <c r="G3587" s="164"/>
    </row>
    <row r="3588" spans="1:7" x14ac:dyDescent="0.25">
      <c r="A3588" s="169" t="str">
        <f>E3588&amp;COUNTIFS($E$2:E3588,E3588)</f>
        <v>0</v>
      </c>
      <c r="B3588" s="166"/>
      <c r="C3588" s="168"/>
      <c r="D3588" s="167"/>
      <c r="E3588" s="166"/>
      <c r="F3588" s="165"/>
      <c r="G3588" s="164"/>
    </row>
    <row r="3589" spans="1:7" x14ac:dyDescent="0.25">
      <c r="A3589" s="169" t="str">
        <f>E3589&amp;COUNTIFS($E$2:E3589,E3589)</f>
        <v>0</v>
      </c>
      <c r="B3589" s="166"/>
      <c r="C3589" s="168"/>
      <c r="D3589" s="167"/>
      <c r="E3589" s="166"/>
      <c r="F3589" s="165"/>
      <c r="G3589" s="164"/>
    </row>
    <row r="3590" spans="1:7" x14ac:dyDescent="0.25">
      <c r="A3590" s="169" t="str">
        <f>E3590&amp;COUNTIFS($E$2:E3590,E3590)</f>
        <v>0</v>
      </c>
      <c r="B3590" s="166"/>
      <c r="C3590" s="168"/>
      <c r="D3590" s="167"/>
      <c r="E3590" s="166"/>
      <c r="F3590" s="165"/>
      <c r="G3590" s="164"/>
    </row>
    <row r="3591" spans="1:7" x14ac:dyDescent="0.25">
      <c r="A3591" s="169" t="str">
        <f>E3591&amp;COUNTIFS($E$2:E3591,E3591)</f>
        <v>0</v>
      </c>
      <c r="B3591" s="166"/>
      <c r="C3591" s="168"/>
      <c r="D3591" s="167"/>
      <c r="E3591" s="166"/>
      <c r="F3591" s="165"/>
      <c r="G3591" s="164"/>
    </row>
    <row r="3592" spans="1:7" x14ac:dyDescent="0.25">
      <c r="A3592" s="169" t="str">
        <f>E3592&amp;COUNTIFS($E$2:E3592,E3592)</f>
        <v>0</v>
      </c>
      <c r="B3592" s="166"/>
      <c r="C3592" s="168"/>
      <c r="D3592" s="167"/>
      <c r="E3592" s="166"/>
      <c r="F3592" s="165"/>
      <c r="G3592" s="164"/>
    </row>
    <row r="3593" spans="1:7" x14ac:dyDescent="0.25">
      <c r="A3593" s="169" t="str">
        <f>E3593&amp;COUNTIFS($E$2:E3593,E3593)</f>
        <v>0</v>
      </c>
      <c r="B3593" s="166"/>
      <c r="C3593" s="168"/>
      <c r="D3593" s="167"/>
      <c r="E3593" s="166"/>
      <c r="F3593" s="165"/>
      <c r="G3593" s="164"/>
    </row>
    <row r="3594" spans="1:7" x14ac:dyDescent="0.25">
      <c r="A3594" s="169" t="str">
        <f>E3594&amp;COUNTIFS($E$2:E3594,E3594)</f>
        <v>0</v>
      </c>
      <c r="B3594" s="166"/>
      <c r="C3594" s="168"/>
      <c r="D3594" s="167"/>
      <c r="E3594" s="166"/>
      <c r="F3594" s="165"/>
      <c r="G3594" s="164"/>
    </row>
    <row r="3595" spans="1:7" x14ac:dyDescent="0.25">
      <c r="A3595" s="169" t="str">
        <f>E3595&amp;COUNTIFS($E$2:E3595,E3595)</f>
        <v>0</v>
      </c>
      <c r="B3595" s="166"/>
      <c r="C3595" s="168"/>
      <c r="D3595" s="167"/>
      <c r="E3595" s="166"/>
      <c r="F3595" s="165"/>
      <c r="G3595" s="164"/>
    </row>
    <row r="3596" spans="1:7" ht="15.75" thickBot="1" x14ac:dyDescent="0.3">
      <c r="A3596" s="163" t="str">
        <f>E3596&amp;COUNTIFS($E$2:E3596,E3596)</f>
        <v>0</v>
      </c>
      <c r="B3596" s="166"/>
      <c r="C3596" s="162"/>
      <c r="D3596" s="161"/>
      <c r="E3596" s="160"/>
      <c r="F3596" s="159"/>
      <c r="G3596" s="158"/>
    </row>
    <row r="3597" spans="1:7" x14ac:dyDescent="0.25">
      <c r="A3597" s="148"/>
      <c r="C3597" s="143"/>
      <c r="D3597" s="157"/>
      <c r="E3597" s="143"/>
      <c r="F3597" s="156"/>
      <c r="G3597" s="156"/>
    </row>
    <row r="3598" spans="1:7" x14ac:dyDescent="0.25">
      <c r="A3598" s="148"/>
      <c r="C3598" s="153" t="s">
        <v>623</v>
      </c>
      <c r="D3598" s="152"/>
      <c r="E3598" s="151"/>
      <c r="F3598" s="150">
        <f>SUM(F3572:F3596)</f>
        <v>0</v>
      </c>
      <c r="G3598" s="155">
        <f>SUM(G3572:G3596)</f>
        <v>0</v>
      </c>
    </row>
    <row r="3599" spans="1:7" x14ac:dyDescent="0.25">
      <c r="A3599" s="148"/>
      <c r="C3599" s="145" t="s">
        <v>622</v>
      </c>
      <c r="D3599" s="154"/>
      <c r="E3599" s="145"/>
      <c r="F3599" s="144"/>
      <c r="G3599" s="144"/>
    </row>
    <row r="3600" spans="1:7" x14ac:dyDescent="0.25">
      <c r="A3600" s="148"/>
      <c r="C3600" s="153" t="s">
        <v>621</v>
      </c>
      <c r="D3600" s="152"/>
      <c r="E3600" s="151"/>
      <c r="F3600" s="150">
        <f>F3567</f>
        <v>0</v>
      </c>
      <c r="G3600" s="150">
        <f>G3567</f>
        <v>0</v>
      </c>
    </row>
    <row r="3601" spans="1:7" x14ac:dyDescent="0.25">
      <c r="A3601" s="148"/>
      <c r="C3601" s="153" t="s">
        <v>582</v>
      </c>
      <c r="D3601" s="152"/>
      <c r="E3601" s="151"/>
      <c r="F3601" s="150">
        <f>F3600+F3598</f>
        <v>0</v>
      </c>
      <c r="G3601" s="150">
        <f>G3600+G3598</f>
        <v>0</v>
      </c>
    </row>
    <row r="3602" spans="1:7" ht="15.75" thickBot="1" x14ac:dyDescent="0.3">
      <c r="A3602" s="148"/>
      <c r="C3602" s="145"/>
      <c r="D3602" s="149"/>
      <c r="E3602" s="145"/>
      <c r="F3602" s="144"/>
      <c r="G3602" s="144"/>
    </row>
    <row r="3603" spans="1:7" ht="15.75" thickBot="1" x14ac:dyDescent="0.3">
      <c r="A3603" s="148"/>
      <c r="C3603" s="147" t="s">
        <v>620</v>
      </c>
      <c r="D3603" s="146">
        <f>F3601-G3601</f>
        <v>0</v>
      </c>
      <c r="E3603" s="145"/>
      <c r="F3603" s="144"/>
      <c r="G3603" s="144"/>
    </row>
    <row r="3604" spans="1:7" ht="15.75" thickBot="1" x14ac:dyDescent="0.3">
      <c r="A3604" s="148"/>
      <c r="C3604" s="145"/>
      <c r="D3604" s="144"/>
      <c r="E3604" s="145"/>
      <c r="F3604" s="144"/>
      <c r="G3604" s="144"/>
    </row>
    <row r="3605" spans="1:7" ht="30.75" thickBot="1" x14ac:dyDescent="0.3">
      <c r="A3605" s="238" t="s">
        <v>626</v>
      </c>
      <c r="B3605" s="237" t="s">
        <v>606</v>
      </c>
      <c r="C3605" s="236" t="s">
        <v>631</v>
      </c>
      <c r="D3605" s="235" t="s">
        <v>601</v>
      </c>
      <c r="E3605" s="234" t="s">
        <v>287</v>
      </c>
      <c r="F3605" s="233" t="s">
        <v>624</v>
      </c>
      <c r="G3605" s="233" t="s">
        <v>596</v>
      </c>
    </row>
    <row r="3606" spans="1:7" x14ac:dyDescent="0.25">
      <c r="A3606" s="169" t="str">
        <f>E3606&amp;COUNTIFS($E$2:E3606,E3606)</f>
        <v>0</v>
      </c>
      <c r="B3606" s="172"/>
      <c r="C3606" s="174"/>
      <c r="D3606" s="173"/>
      <c r="E3606" s="172"/>
      <c r="F3606" s="171"/>
      <c r="G3606" s="170"/>
    </row>
    <row r="3607" spans="1:7" x14ac:dyDescent="0.25">
      <c r="A3607" s="169" t="str">
        <f>E3607&amp;COUNTIFS($E$2:E3607,E3607)</f>
        <v>0</v>
      </c>
      <c r="B3607" s="166"/>
      <c r="C3607" s="168"/>
      <c r="D3607" s="167"/>
      <c r="E3607" s="166"/>
      <c r="F3607" s="165"/>
      <c r="G3607" s="164"/>
    </row>
    <row r="3608" spans="1:7" x14ac:dyDescent="0.25">
      <c r="A3608" s="169" t="str">
        <f>E3608&amp;COUNTIFS($E$2:E3608,E3608)</f>
        <v>0</v>
      </c>
      <c r="B3608" s="166"/>
      <c r="C3608" s="168"/>
      <c r="D3608" s="167"/>
      <c r="E3608" s="166"/>
      <c r="F3608" s="165"/>
      <c r="G3608" s="164"/>
    </row>
    <row r="3609" spans="1:7" x14ac:dyDescent="0.25">
      <c r="A3609" s="169" t="str">
        <f>E3609&amp;COUNTIFS($E$2:E3609,E3609)</f>
        <v>0</v>
      </c>
      <c r="B3609" s="166"/>
      <c r="C3609" s="168"/>
      <c r="D3609" s="167"/>
      <c r="E3609" s="166"/>
      <c r="F3609" s="165"/>
      <c r="G3609" s="164"/>
    </row>
    <row r="3610" spans="1:7" x14ac:dyDescent="0.25">
      <c r="A3610" s="169" t="str">
        <f>E3610&amp;COUNTIFS($E$2:E3610,E3610)</f>
        <v>0</v>
      </c>
      <c r="B3610" s="166"/>
      <c r="C3610" s="168"/>
      <c r="D3610" s="167"/>
      <c r="E3610" s="166"/>
      <c r="F3610" s="165"/>
      <c r="G3610" s="164"/>
    </row>
    <row r="3611" spans="1:7" x14ac:dyDescent="0.25">
      <c r="A3611" s="169" t="str">
        <f>E3611&amp;COUNTIFS($E$2:E3611,E3611)</f>
        <v>0</v>
      </c>
      <c r="B3611" s="166"/>
      <c r="C3611" s="168"/>
      <c r="D3611" s="167"/>
      <c r="E3611" s="166"/>
      <c r="F3611" s="165"/>
      <c r="G3611" s="164"/>
    </row>
    <row r="3612" spans="1:7" x14ac:dyDescent="0.25">
      <c r="A3612" s="169" t="str">
        <f>E3612&amp;COUNTIFS($E$2:E3612,E3612)</f>
        <v>0</v>
      </c>
      <c r="B3612" s="166"/>
      <c r="C3612" s="168"/>
      <c r="D3612" s="167"/>
      <c r="E3612" s="166"/>
      <c r="F3612" s="165"/>
      <c r="G3612" s="164"/>
    </row>
    <row r="3613" spans="1:7" x14ac:dyDescent="0.25">
      <c r="A3613" s="169" t="str">
        <f>E3613&amp;COUNTIFS($E$2:E3613,E3613)</f>
        <v>0</v>
      </c>
      <c r="B3613" s="166"/>
      <c r="C3613" s="168"/>
      <c r="D3613" s="167"/>
      <c r="E3613" s="166"/>
      <c r="F3613" s="165"/>
      <c r="G3613" s="164"/>
    </row>
    <row r="3614" spans="1:7" x14ac:dyDescent="0.25">
      <c r="A3614" s="169" t="str">
        <f>E3614&amp;COUNTIFS($E$2:E3614,E3614)</f>
        <v>0</v>
      </c>
      <c r="B3614" s="166"/>
      <c r="C3614" s="168"/>
      <c r="D3614" s="167"/>
      <c r="E3614" s="166"/>
      <c r="F3614" s="165"/>
      <c r="G3614" s="164"/>
    </row>
    <row r="3615" spans="1:7" x14ac:dyDescent="0.25">
      <c r="A3615" s="169" t="str">
        <f>E3615&amp;COUNTIFS($E$2:E3615,E3615)</f>
        <v>0</v>
      </c>
      <c r="B3615" s="166"/>
      <c r="C3615" s="168"/>
      <c r="D3615" s="167"/>
      <c r="E3615" s="166"/>
      <c r="F3615" s="165"/>
      <c r="G3615" s="164"/>
    </row>
    <row r="3616" spans="1:7" x14ac:dyDescent="0.25">
      <c r="A3616" s="169" t="str">
        <f>E3616&amp;COUNTIFS($E$2:E3616,E3616)</f>
        <v>0</v>
      </c>
      <c r="B3616" s="166"/>
      <c r="C3616" s="168"/>
      <c r="D3616" s="167"/>
      <c r="E3616" s="166"/>
      <c r="F3616" s="165"/>
      <c r="G3616" s="164"/>
    </row>
    <row r="3617" spans="1:7" x14ac:dyDescent="0.25">
      <c r="A3617" s="169" t="str">
        <f>E3617&amp;COUNTIFS($E$2:E3617,E3617)</f>
        <v>0</v>
      </c>
      <c r="B3617" s="166"/>
      <c r="C3617" s="168"/>
      <c r="D3617" s="167"/>
      <c r="E3617" s="166"/>
      <c r="F3617" s="165"/>
      <c r="G3617" s="164"/>
    </row>
    <row r="3618" spans="1:7" x14ac:dyDescent="0.25">
      <c r="A3618" s="169" t="str">
        <f>E3618&amp;COUNTIFS($E$2:E3618,E3618)</f>
        <v>0</v>
      </c>
      <c r="B3618" s="166"/>
      <c r="C3618" s="168"/>
      <c r="D3618" s="167"/>
      <c r="E3618" s="166"/>
      <c r="F3618" s="165"/>
      <c r="G3618" s="164"/>
    </row>
    <row r="3619" spans="1:7" x14ac:dyDescent="0.25">
      <c r="A3619" s="169" t="str">
        <f>E3619&amp;COUNTIFS($E$2:E3619,E3619)</f>
        <v>0</v>
      </c>
      <c r="B3619" s="166"/>
      <c r="C3619" s="168"/>
      <c r="D3619" s="167"/>
      <c r="E3619" s="166"/>
      <c r="F3619" s="165"/>
      <c r="G3619" s="164"/>
    </row>
    <row r="3620" spans="1:7" x14ac:dyDescent="0.25">
      <c r="A3620" s="169" t="str">
        <f>E3620&amp;COUNTIFS($E$2:E3620,E3620)</f>
        <v>0</v>
      </c>
      <c r="B3620" s="166"/>
      <c r="C3620" s="168"/>
      <c r="D3620" s="167"/>
      <c r="E3620" s="166"/>
      <c r="F3620" s="165"/>
      <c r="G3620" s="164"/>
    </row>
    <row r="3621" spans="1:7" x14ac:dyDescent="0.25">
      <c r="A3621" s="169" t="str">
        <f>E3621&amp;COUNTIFS($E$2:E3621,E3621)</f>
        <v>0</v>
      </c>
      <c r="B3621" s="166"/>
      <c r="C3621" s="168"/>
      <c r="D3621" s="167"/>
      <c r="E3621" s="166"/>
      <c r="F3621" s="165"/>
      <c r="G3621" s="164"/>
    </row>
    <row r="3622" spans="1:7" x14ac:dyDescent="0.25">
      <c r="A3622" s="169" t="str">
        <f>E3622&amp;COUNTIFS($E$2:E3622,E3622)</f>
        <v>0</v>
      </c>
      <c r="B3622" s="166"/>
      <c r="C3622" s="168"/>
      <c r="D3622" s="167"/>
      <c r="E3622" s="166"/>
      <c r="F3622" s="165"/>
      <c r="G3622" s="164"/>
    </row>
    <row r="3623" spans="1:7" x14ac:dyDescent="0.25">
      <c r="A3623" s="169" t="str">
        <f>E3623&amp;COUNTIFS($E$2:E3623,E3623)</f>
        <v>0</v>
      </c>
      <c r="B3623" s="166"/>
      <c r="C3623" s="168"/>
      <c r="D3623" s="167"/>
      <c r="E3623" s="166"/>
      <c r="F3623" s="165"/>
      <c r="G3623" s="164"/>
    </row>
    <row r="3624" spans="1:7" x14ac:dyDescent="0.25">
      <c r="A3624" s="169" t="str">
        <f>E3624&amp;COUNTIFS($E$2:E3624,E3624)</f>
        <v>0</v>
      </c>
      <c r="B3624" s="166"/>
      <c r="C3624" s="168"/>
      <c r="D3624" s="167"/>
      <c r="E3624" s="166"/>
      <c r="F3624" s="165"/>
      <c r="G3624" s="164"/>
    </row>
    <row r="3625" spans="1:7" x14ac:dyDescent="0.25">
      <c r="A3625" s="169" t="str">
        <f>E3625&amp;COUNTIFS($E$2:E3625,E3625)</f>
        <v>0</v>
      </c>
      <c r="B3625" s="166"/>
      <c r="C3625" s="168"/>
      <c r="D3625" s="167"/>
      <c r="E3625" s="166"/>
      <c r="F3625" s="165"/>
      <c r="G3625" s="164"/>
    </row>
    <row r="3626" spans="1:7" x14ac:dyDescent="0.25">
      <c r="A3626" s="169" t="str">
        <f>E3626&amp;COUNTIFS($E$2:E3626,E3626)</f>
        <v>0</v>
      </c>
      <c r="B3626" s="166"/>
      <c r="C3626" s="168"/>
      <c r="D3626" s="167"/>
      <c r="E3626" s="166"/>
      <c r="F3626" s="165"/>
      <c r="G3626" s="164"/>
    </row>
    <row r="3627" spans="1:7" x14ac:dyDescent="0.25">
      <c r="A3627" s="169" t="str">
        <f>E3627&amp;COUNTIFS($E$2:E3627,E3627)</f>
        <v>0</v>
      </c>
      <c r="B3627" s="166"/>
      <c r="C3627" s="168"/>
      <c r="D3627" s="167"/>
      <c r="E3627" s="166"/>
      <c r="F3627" s="165"/>
      <c r="G3627" s="164"/>
    </row>
    <row r="3628" spans="1:7" x14ac:dyDescent="0.25">
      <c r="A3628" s="169" t="str">
        <f>E3628&amp;COUNTIFS($E$2:E3628,E3628)</f>
        <v>0</v>
      </c>
      <c r="B3628" s="166"/>
      <c r="C3628" s="168"/>
      <c r="D3628" s="167"/>
      <c r="E3628" s="166"/>
      <c r="F3628" s="165"/>
      <c r="G3628" s="164"/>
    </row>
    <row r="3629" spans="1:7" x14ac:dyDescent="0.25">
      <c r="A3629" s="169" t="str">
        <f>E3629&amp;COUNTIFS($E$2:E3629,E3629)</f>
        <v>0</v>
      </c>
      <c r="B3629" s="166"/>
      <c r="C3629" s="168"/>
      <c r="D3629" s="167"/>
      <c r="E3629" s="166"/>
      <c r="F3629" s="165"/>
      <c r="G3629" s="164"/>
    </row>
    <row r="3630" spans="1:7" ht="15.75" thickBot="1" x14ac:dyDescent="0.3">
      <c r="A3630" s="163" t="str">
        <f>E3630&amp;COUNTIFS($E$2:E3630,E3630)</f>
        <v>0</v>
      </c>
      <c r="B3630" s="166"/>
      <c r="C3630" s="162"/>
      <c r="D3630" s="161"/>
      <c r="E3630" s="160"/>
      <c r="F3630" s="159"/>
      <c r="G3630" s="158"/>
    </row>
    <row r="3631" spans="1:7" x14ac:dyDescent="0.25">
      <c r="A3631" s="148"/>
      <c r="C3631" s="143"/>
      <c r="D3631" s="157"/>
      <c r="E3631" s="143"/>
      <c r="F3631" s="156"/>
      <c r="G3631" s="156"/>
    </row>
    <row r="3632" spans="1:7" x14ac:dyDescent="0.25">
      <c r="A3632" s="148"/>
      <c r="C3632" s="153" t="s">
        <v>623</v>
      </c>
      <c r="D3632" s="152"/>
      <c r="E3632" s="151"/>
      <c r="F3632" s="150">
        <f>SUM(F3606:F3630)</f>
        <v>0</v>
      </c>
      <c r="G3632" s="155">
        <f>SUM(G3606:G3630)</f>
        <v>0</v>
      </c>
    </row>
    <row r="3633" spans="1:7" x14ac:dyDescent="0.25">
      <c r="A3633" s="148"/>
      <c r="C3633" s="145" t="s">
        <v>622</v>
      </c>
      <c r="D3633" s="154"/>
      <c r="E3633" s="145"/>
      <c r="F3633" s="144"/>
      <c r="G3633" s="144"/>
    </row>
    <row r="3634" spans="1:7" x14ac:dyDescent="0.25">
      <c r="A3634" s="148"/>
      <c r="C3634" s="153" t="s">
        <v>621</v>
      </c>
      <c r="D3634" s="152"/>
      <c r="E3634" s="151"/>
      <c r="F3634" s="150">
        <f>F3601</f>
        <v>0</v>
      </c>
      <c r="G3634" s="150">
        <f>G3601</f>
        <v>0</v>
      </c>
    </row>
    <row r="3635" spans="1:7" x14ac:dyDescent="0.25">
      <c r="A3635" s="148"/>
      <c r="C3635" s="153" t="s">
        <v>582</v>
      </c>
      <c r="D3635" s="152"/>
      <c r="E3635" s="151"/>
      <c r="F3635" s="150">
        <f>F3634+F3632</f>
        <v>0</v>
      </c>
      <c r="G3635" s="150">
        <f>G3634+G3632</f>
        <v>0</v>
      </c>
    </row>
    <row r="3636" spans="1:7" ht="15.75" thickBot="1" x14ac:dyDescent="0.3">
      <c r="A3636" s="148"/>
      <c r="C3636" s="145"/>
      <c r="D3636" s="149"/>
      <c r="E3636" s="145"/>
      <c r="F3636" s="144"/>
      <c r="G3636" s="144"/>
    </row>
    <row r="3637" spans="1:7" ht="15.75" thickBot="1" x14ac:dyDescent="0.3">
      <c r="A3637" s="148"/>
      <c r="C3637" s="147" t="s">
        <v>620</v>
      </c>
      <c r="D3637" s="146">
        <f>F3635-G3635</f>
        <v>0</v>
      </c>
      <c r="E3637" s="145"/>
      <c r="F3637" s="144"/>
      <c r="G3637" s="144"/>
    </row>
    <row r="3638" spans="1:7" ht="15.75" thickBot="1" x14ac:dyDescent="0.3"/>
    <row r="3639" spans="1:7" ht="30.75" thickBot="1" x14ac:dyDescent="0.3">
      <c r="A3639" s="238" t="s">
        <v>626</v>
      </c>
      <c r="B3639" s="237" t="s">
        <v>606</v>
      </c>
      <c r="C3639" s="236" t="s">
        <v>631</v>
      </c>
      <c r="D3639" s="235" t="s">
        <v>601</v>
      </c>
      <c r="E3639" s="234" t="s">
        <v>287</v>
      </c>
      <c r="F3639" s="233" t="s">
        <v>624</v>
      </c>
      <c r="G3639" s="233" t="s">
        <v>596</v>
      </c>
    </row>
    <row r="3640" spans="1:7" x14ac:dyDescent="0.25">
      <c r="A3640" s="169" t="str">
        <f>E3640&amp;COUNTIFS($E$2:E3640,E3640)</f>
        <v>0</v>
      </c>
      <c r="B3640" s="172"/>
      <c r="C3640" s="174"/>
      <c r="D3640" s="173"/>
      <c r="E3640" s="172"/>
      <c r="F3640" s="171"/>
      <c r="G3640" s="170"/>
    </row>
    <row r="3641" spans="1:7" x14ac:dyDescent="0.25">
      <c r="A3641" s="169" t="str">
        <f>E3641&amp;COUNTIFS($E$2:E3641,E3641)</f>
        <v>0</v>
      </c>
      <c r="B3641" s="166"/>
      <c r="C3641" s="168"/>
      <c r="D3641" s="167"/>
      <c r="E3641" s="166"/>
      <c r="F3641" s="165"/>
      <c r="G3641" s="164"/>
    </row>
    <row r="3642" spans="1:7" x14ac:dyDescent="0.25">
      <c r="A3642" s="169" t="str">
        <f>E3642&amp;COUNTIFS($E$2:E3642,E3642)</f>
        <v>0</v>
      </c>
      <c r="B3642" s="166"/>
      <c r="C3642" s="168"/>
      <c r="D3642" s="167"/>
      <c r="E3642" s="166"/>
      <c r="F3642" s="165"/>
      <c r="G3642" s="164"/>
    </row>
    <row r="3643" spans="1:7" x14ac:dyDescent="0.25">
      <c r="A3643" s="169" t="str">
        <f>E3643&amp;COUNTIFS($E$2:E3643,E3643)</f>
        <v>0</v>
      </c>
      <c r="B3643" s="166"/>
      <c r="C3643" s="168"/>
      <c r="D3643" s="167"/>
      <c r="E3643" s="166"/>
      <c r="F3643" s="165"/>
      <c r="G3643" s="164"/>
    </row>
    <row r="3644" spans="1:7" x14ac:dyDescent="0.25">
      <c r="A3644" s="169" t="str">
        <f>E3644&amp;COUNTIFS($E$2:E3644,E3644)</f>
        <v>0</v>
      </c>
      <c r="B3644" s="166"/>
      <c r="C3644" s="168"/>
      <c r="D3644" s="167"/>
      <c r="E3644" s="166"/>
      <c r="F3644" s="165"/>
      <c r="G3644" s="164"/>
    </row>
    <row r="3645" spans="1:7" x14ac:dyDescent="0.25">
      <c r="A3645" s="169" t="str">
        <f>E3645&amp;COUNTIFS($E$2:E3645,E3645)</f>
        <v>0</v>
      </c>
      <c r="B3645" s="166"/>
      <c r="C3645" s="168"/>
      <c r="D3645" s="167"/>
      <c r="E3645" s="166"/>
      <c r="F3645" s="165"/>
      <c r="G3645" s="164"/>
    </row>
    <row r="3646" spans="1:7" x14ac:dyDescent="0.25">
      <c r="A3646" s="169" t="str">
        <f>E3646&amp;COUNTIFS($E$2:E3646,E3646)</f>
        <v>0</v>
      </c>
      <c r="B3646" s="166"/>
      <c r="C3646" s="168"/>
      <c r="D3646" s="167"/>
      <c r="E3646" s="166"/>
      <c r="F3646" s="165"/>
      <c r="G3646" s="164"/>
    </row>
    <row r="3647" spans="1:7" x14ac:dyDescent="0.25">
      <c r="A3647" s="169" t="str">
        <f>E3647&amp;COUNTIFS($E$2:E3647,E3647)</f>
        <v>0</v>
      </c>
      <c r="B3647" s="166"/>
      <c r="C3647" s="168"/>
      <c r="D3647" s="167"/>
      <c r="E3647" s="166"/>
      <c r="F3647" s="165"/>
      <c r="G3647" s="164"/>
    </row>
    <row r="3648" spans="1:7" x14ac:dyDescent="0.25">
      <c r="A3648" s="169" t="str">
        <f>E3648&amp;COUNTIFS($E$2:E3648,E3648)</f>
        <v>0</v>
      </c>
      <c r="B3648" s="166"/>
      <c r="C3648" s="168"/>
      <c r="D3648" s="167"/>
      <c r="E3648" s="166"/>
      <c r="F3648" s="165"/>
      <c r="G3648" s="164"/>
    </row>
    <row r="3649" spans="1:7" x14ac:dyDescent="0.25">
      <c r="A3649" s="169" t="str">
        <f>E3649&amp;COUNTIFS($E$2:E3649,E3649)</f>
        <v>0</v>
      </c>
      <c r="B3649" s="166"/>
      <c r="C3649" s="168"/>
      <c r="D3649" s="167"/>
      <c r="E3649" s="166"/>
      <c r="F3649" s="165"/>
      <c r="G3649" s="164"/>
    </row>
    <row r="3650" spans="1:7" x14ac:dyDescent="0.25">
      <c r="A3650" s="169" t="str">
        <f>E3650&amp;COUNTIFS($E$2:E3650,E3650)</f>
        <v>0</v>
      </c>
      <c r="B3650" s="166"/>
      <c r="C3650" s="168"/>
      <c r="D3650" s="167"/>
      <c r="E3650" s="166"/>
      <c r="F3650" s="165"/>
      <c r="G3650" s="164"/>
    </row>
    <row r="3651" spans="1:7" x14ac:dyDescent="0.25">
      <c r="A3651" s="169" t="str">
        <f>E3651&amp;COUNTIFS($E$2:E3651,E3651)</f>
        <v>0</v>
      </c>
      <c r="B3651" s="166"/>
      <c r="C3651" s="168"/>
      <c r="D3651" s="167"/>
      <c r="E3651" s="166"/>
      <c r="F3651" s="165"/>
      <c r="G3651" s="164"/>
    </row>
    <row r="3652" spans="1:7" x14ac:dyDescent="0.25">
      <c r="A3652" s="169" t="str">
        <f>E3652&amp;COUNTIFS($E$2:E3652,E3652)</f>
        <v>0</v>
      </c>
      <c r="B3652" s="166"/>
      <c r="C3652" s="168"/>
      <c r="D3652" s="167"/>
      <c r="E3652" s="166"/>
      <c r="F3652" s="165"/>
      <c r="G3652" s="164"/>
    </row>
    <row r="3653" spans="1:7" x14ac:dyDescent="0.25">
      <c r="A3653" s="169" t="str">
        <f>E3653&amp;COUNTIFS($E$2:E3653,E3653)</f>
        <v>0</v>
      </c>
      <c r="B3653" s="166"/>
      <c r="C3653" s="168"/>
      <c r="D3653" s="167"/>
      <c r="E3653" s="166"/>
      <c r="F3653" s="165"/>
      <c r="G3653" s="164"/>
    </row>
    <row r="3654" spans="1:7" x14ac:dyDescent="0.25">
      <c r="A3654" s="169" t="str">
        <f>E3654&amp;COUNTIFS($E$2:E3654,E3654)</f>
        <v>0</v>
      </c>
      <c r="B3654" s="166"/>
      <c r="C3654" s="168"/>
      <c r="D3654" s="167"/>
      <c r="E3654" s="166"/>
      <c r="F3654" s="165"/>
      <c r="G3654" s="164"/>
    </row>
    <row r="3655" spans="1:7" x14ac:dyDescent="0.25">
      <c r="A3655" s="169" t="str">
        <f>E3655&amp;COUNTIFS($E$2:E3655,E3655)</f>
        <v>0</v>
      </c>
      <c r="B3655" s="166"/>
      <c r="C3655" s="168"/>
      <c r="D3655" s="167"/>
      <c r="E3655" s="166"/>
      <c r="F3655" s="165"/>
      <c r="G3655" s="164"/>
    </row>
    <row r="3656" spans="1:7" x14ac:dyDescent="0.25">
      <c r="A3656" s="169" t="str">
        <f>E3656&amp;COUNTIFS($E$2:E3656,E3656)</f>
        <v>0</v>
      </c>
      <c r="B3656" s="166"/>
      <c r="C3656" s="168"/>
      <c r="D3656" s="167"/>
      <c r="E3656" s="166"/>
      <c r="F3656" s="165"/>
      <c r="G3656" s="164"/>
    </row>
    <row r="3657" spans="1:7" x14ac:dyDescent="0.25">
      <c r="A3657" s="169" t="str">
        <f>E3657&amp;COUNTIFS($E$2:E3657,E3657)</f>
        <v>0</v>
      </c>
      <c r="B3657" s="166"/>
      <c r="C3657" s="168"/>
      <c r="D3657" s="167"/>
      <c r="E3657" s="166"/>
      <c r="F3657" s="165"/>
      <c r="G3657" s="164"/>
    </row>
    <row r="3658" spans="1:7" x14ac:dyDescent="0.25">
      <c r="A3658" s="169" t="str">
        <f>E3658&amp;COUNTIFS($E$2:E3658,E3658)</f>
        <v>0</v>
      </c>
      <c r="B3658" s="166"/>
      <c r="C3658" s="168"/>
      <c r="D3658" s="167"/>
      <c r="E3658" s="166"/>
      <c r="F3658" s="165"/>
      <c r="G3658" s="164"/>
    </row>
    <row r="3659" spans="1:7" x14ac:dyDescent="0.25">
      <c r="A3659" s="169" t="str">
        <f>E3659&amp;COUNTIFS($E$2:E3659,E3659)</f>
        <v>0</v>
      </c>
      <c r="B3659" s="166"/>
      <c r="C3659" s="168"/>
      <c r="D3659" s="167"/>
      <c r="E3659" s="166"/>
      <c r="F3659" s="165"/>
      <c r="G3659" s="164"/>
    </row>
    <row r="3660" spans="1:7" x14ac:dyDescent="0.25">
      <c r="A3660" s="169" t="str">
        <f>E3660&amp;COUNTIFS($E$2:E3660,E3660)</f>
        <v>0</v>
      </c>
      <c r="B3660" s="166"/>
      <c r="C3660" s="168"/>
      <c r="D3660" s="167"/>
      <c r="E3660" s="166"/>
      <c r="F3660" s="165"/>
      <c r="G3660" s="164"/>
    </row>
    <row r="3661" spans="1:7" x14ac:dyDescent="0.25">
      <c r="A3661" s="169" t="str">
        <f>E3661&amp;COUNTIFS($E$2:E3661,E3661)</f>
        <v>0</v>
      </c>
      <c r="B3661" s="166"/>
      <c r="C3661" s="168"/>
      <c r="D3661" s="167"/>
      <c r="E3661" s="166"/>
      <c r="F3661" s="165"/>
      <c r="G3661" s="164"/>
    </row>
    <row r="3662" spans="1:7" x14ac:dyDescent="0.25">
      <c r="A3662" s="169" t="str">
        <f>E3662&amp;COUNTIFS($E$2:E3662,E3662)</f>
        <v>0</v>
      </c>
      <c r="B3662" s="166"/>
      <c r="C3662" s="168"/>
      <c r="D3662" s="167"/>
      <c r="E3662" s="166"/>
      <c r="F3662" s="165"/>
      <c r="G3662" s="164"/>
    </row>
    <row r="3663" spans="1:7" x14ac:dyDescent="0.25">
      <c r="A3663" s="169" t="str">
        <f>E3663&amp;COUNTIFS($E$2:E3663,E3663)</f>
        <v>0</v>
      </c>
      <c r="B3663" s="166"/>
      <c r="C3663" s="168"/>
      <c r="D3663" s="167"/>
      <c r="E3663" s="166"/>
      <c r="F3663" s="165"/>
      <c r="G3663" s="164"/>
    </row>
    <row r="3664" spans="1:7" ht="15.75" thickBot="1" x14ac:dyDescent="0.3">
      <c r="A3664" s="163" t="str">
        <f>E3664&amp;COUNTIFS($E$2:E3664,E3664)</f>
        <v>0</v>
      </c>
      <c r="B3664" s="166"/>
      <c r="C3664" s="162"/>
      <c r="D3664" s="161"/>
      <c r="E3664" s="160"/>
      <c r="F3664" s="159"/>
      <c r="G3664" s="158"/>
    </row>
    <row r="3665" spans="1:7" x14ac:dyDescent="0.25">
      <c r="A3665" s="148"/>
      <c r="C3665" s="143"/>
      <c r="D3665" s="157"/>
      <c r="E3665" s="143"/>
      <c r="F3665" s="156"/>
      <c r="G3665" s="156"/>
    </row>
    <row r="3666" spans="1:7" x14ac:dyDescent="0.25">
      <c r="A3666" s="148"/>
      <c r="C3666" s="153" t="s">
        <v>623</v>
      </c>
      <c r="D3666" s="152"/>
      <c r="E3666" s="151"/>
      <c r="F3666" s="150">
        <f>SUM(F3640:F3664)</f>
        <v>0</v>
      </c>
      <c r="G3666" s="155">
        <f>SUM(G3640:G3664)</f>
        <v>0</v>
      </c>
    </row>
    <row r="3667" spans="1:7" x14ac:dyDescent="0.25">
      <c r="A3667" s="148"/>
      <c r="C3667" s="145" t="s">
        <v>622</v>
      </c>
      <c r="D3667" s="154"/>
      <c r="E3667" s="145"/>
      <c r="F3667" s="144"/>
      <c r="G3667" s="144"/>
    </row>
    <row r="3668" spans="1:7" x14ac:dyDescent="0.25">
      <c r="A3668" s="148"/>
      <c r="C3668" s="153" t="s">
        <v>621</v>
      </c>
      <c r="D3668" s="152"/>
      <c r="E3668" s="151"/>
      <c r="F3668" s="150">
        <f>F3635</f>
        <v>0</v>
      </c>
      <c r="G3668" s="150">
        <f>G3635</f>
        <v>0</v>
      </c>
    </row>
    <row r="3669" spans="1:7" x14ac:dyDescent="0.25">
      <c r="A3669" s="148"/>
      <c r="C3669" s="153" t="s">
        <v>582</v>
      </c>
      <c r="D3669" s="152"/>
      <c r="E3669" s="151"/>
      <c r="F3669" s="150">
        <f>F3668+F3666</f>
        <v>0</v>
      </c>
      <c r="G3669" s="150">
        <f>G3668+G3666</f>
        <v>0</v>
      </c>
    </row>
    <row r="3670" spans="1:7" ht="15.75" thickBot="1" x14ac:dyDescent="0.3">
      <c r="A3670" s="148"/>
      <c r="C3670" s="145"/>
      <c r="D3670" s="149"/>
      <c r="E3670" s="145"/>
      <c r="F3670" s="144"/>
      <c r="G3670" s="144"/>
    </row>
    <row r="3671" spans="1:7" ht="15.75" thickBot="1" x14ac:dyDescent="0.3">
      <c r="A3671" s="148"/>
      <c r="C3671" s="147" t="s">
        <v>620</v>
      </c>
      <c r="D3671" s="146">
        <f>F3669-G3669</f>
        <v>0</v>
      </c>
      <c r="E3671" s="145"/>
      <c r="F3671" s="144"/>
      <c r="G3671" s="144"/>
    </row>
    <row r="3672" spans="1:7" ht="15.75" thickBot="1" x14ac:dyDescent="0.3"/>
    <row r="3673" spans="1:7" ht="30.75" thickBot="1" x14ac:dyDescent="0.3">
      <c r="A3673" s="238" t="s">
        <v>626</v>
      </c>
      <c r="B3673" s="237" t="s">
        <v>606</v>
      </c>
      <c r="C3673" s="236" t="s">
        <v>631</v>
      </c>
      <c r="D3673" s="235" t="s">
        <v>601</v>
      </c>
      <c r="E3673" s="234" t="s">
        <v>287</v>
      </c>
      <c r="F3673" s="233" t="s">
        <v>624</v>
      </c>
      <c r="G3673" s="233" t="s">
        <v>596</v>
      </c>
    </row>
    <row r="3674" spans="1:7" x14ac:dyDescent="0.25">
      <c r="A3674" s="169" t="str">
        <f>E3674&amp;COUNTIFS($E$2:E3674,E3674)</f>
        <v>0</v>
      </c>
      <c r="B3674" s="172"/>
      <c r="C3674" s="174"/>
      <c r="D3674" s="173"/>
      <c r="E3674" s="172"/>
      <c r="F3674" s="171"/>
      <c r="G3674" s="170"/>
    </row>
    <row r="3675" spans="1:7" x14ac:dyDescent="0.25">
      <c r="A3675" s="169" t="str">
        <f>E3675&amp;COUNTIFS($E$2:E3675,E3675)</f>
        <v>0</v>
      </c>
      <c r="B3675" s="166"/>
      <c r="C3675" s="168"/>
      <c r="D3675" s="167"/>
      <c r="E3675" s="166"/>
      <c r="F3675" s="165"/>
      <c r="G3675" s="164"/>
    </row>
    <row r="3676" spans="1:7" x14ac:dyDescent="0.25">
      <c r="A3676" s="169" t="str">
        <f>E3676&amp;COUNTIFS($E$2:E3676,E3676)</f>
        <v>0</v>
      </c>
      <c r="B3676" s="166"/>
      <c r="C3676" s="168"/>
      <c r="D3676" s="167"/>
      <c r="E3676" s="166"/>
      <c r="F3676" s="165"/>
      <c r="G3676" s="164"/>
    </row>
    <row r="3677" spans="1:7" x14ac:dyDescent="0.25">
      <c r="A3677" s="169" t="str">
        <f>E3677&amp;COUNTIFS($E$2:E3677,E3677)</f>
        <v>0</v>
      </c>
      <c r="B3677" s="166"/>
      <c r="C3677" s="168"/>
      <c r="D3677" s="167"/>
      <c r="E3677" s="166"/>
      <c r="F3677" s="165"/>
      <c r="G3677" s="164"/>
    </row>
    <row r="3678" spans="1:7" x14ac:dyDescent="0.25">
      <c r="A3678" s="169" t="str">
        <f>E3678&amp;COUNTIFS($E$2:E3678,E3678)</f>
        <v>0</v>
      </c>
      <c r="B3678" s="166"/>
      <c r="C3678" s="168"/>
      <c r="D3678" s="167"/>
      <c r="E3678" s="166"/>
      <c r="F3678" s="165"/>
      <c r="G3678" s="164"/>
    </row>
    <row r="3679" spans="1:7" x14ac:dyDescent="0.25">
      <c r="A3679" s="169" t="str">
        <f>E3679&amp;COUNTIFS($E$2:E3679,E3679)</f>
        <v>0</v>
      </c>
      <c r="B3679" s="166"/>
      <c r="C3679" s="168"/>
      <c r="D3679" s="167"/>
      <c r="E3679" s="166"/>
      <c r="F3679" s="165"/>
      <c r="G3679" s="164"/>
    </row>
    <row r="3680" spans="1:7" x14ac:dyDescent="0.25">
      <c r="A3680" s="169" t="str">
        <f>E3680&amp;COUNTIFS($E$2:E3680,E3680)</f>
        <v>0</v>
      </c>
      <c r="B3680" s="166"/>
      <c r="C3680" s="168"/>
      <c r="D3680" s="167"/>
      <c r="E3680" s="166"/>
      <c r="F3680" s="165"/>
      <c r="G3680" s="164"/>
    </row>
    <row r="3681" spans="1:7" x14ac:dyDescent="0.25">
      <c r="A3681" s="169" t="str">
        <f>E3681&amp;COUNTIFS($E$2:E3681,E3681)</f>
        <v>0</v>
      </c>
      <c r="B3681" s="166"/>
      <c r="C3681" s="168"/>
      <c r="D3681" s="167"/>
      <c r="E3681" s="166"/>
      <c r="F3681" s="165"/>
      <c r="G3681" s="164"/>
    </row>
    <row r="3682" spans="1:7" x14ac:dyDescent="0.25">
      <c r="A3682" s="169" t="str">
        <f>E3682&amp;COUNTIFS($E$2:E3682,E3682)</f>
        <v>0</v>
      </c>
      <c r="B3682" s="166"/>
      <c r="C3682" s="168"/>
      <c r="D3682" s="167"/>
      <c r="E3682" s="166"/>
      <c r="F3682" s="165"/>
      <c r="G3682" s="164"/>
    </row>
    <row r="3683" spans="1:7" x14ac:dyDescent="0.25">
      <c r="A3683" s="169" t="str">
        <f>E3683&amp;COUNTIFS($E$2:E3683,E3683)</f>
        <v>0</v>
      </c>
      <c r="B3683" s="166"/>
      <c r="C3683" s="168"/>
      <c r="D3683" s="167"/>
      <c r="E3683" s="166"/>
      <c r="F3683" s="165"/>
      <c r="G3683" s="164"/>
    </row>
    <row r="3684" spans="1:7" x14ac:dyDescent="0.25">
      <c r="A3684" s="169" t="str">
        <f>E3684&amp;COUNTIFS($E$2:E3684,E3684)</f>
        <v>0</v>
      </c>
      <c r="B3684" s="166"/>
      <c r="C3684" s="168"/>
      <c r="D3684" s="167"/>
      <c r="E3684" s="166"/>
      <c r="F3684" s="165"/>
      <c r="G3684" s="164"/>
    </row>
    <row r="3685" spans="1:7" x14ac:dyDescent="0.25">
      <c r="A3685" s="169" t="str">
        <f>E3685&amp;COUNTIFS($E$2:E3685,E3685)</f>
        <v>0</v>
      </c>
      <c r="B3685" s="166"/>
      <c r="C3685" s="168"/>
      <c r="D3685" s="167"/>
      <c r="E3685" s="166"/>
      <c r="F3685" s="165"/>
      <c r="G3685" s="164"/>
    </row>
    <row r="3686" spans="1:7" x14ac:dyDescent="0.25">
      <c r="A3686" s="169" t="str">
        <f>E3686&amp;COUNTIFS($E$2:E3686,E3686)</f>
        <v>0</v>
      </c>
      <c r="B3686" s="166"/>
      <c r="C3686" s="168"/>
      <c r="D3686" s="167"/>
      <c r="E3686" s="166"/>
      <c r="F3686" s="165"/>
      <c r="G3686" s="164"/>
    </row>
    <row r="3687" spans="1:7" x14ac:dyDescent="0.25">
      <c r="A3687" s="169" t="str">
        <f>E3687&amp;COUNTIFS($E$2:E3687,E3687)</f>
        <v>0</v>
      </c>
      <c r="B3687" s="166"/>
      <c r="C3687" s="168"/>
      <c r="D3687" s="167"/>
      <c r="E3687" s="166"/>
      <c r="F3687" s="165"/>
      <c r="G3687" s="164"/>
    </row>
    <row r="3688" spans="1:7" x14ac:dyDescent="0.25">
      <c r="A3688" s="169" t="str">
        <f>E3688&amp;COUNTIFS($E$2:E3688,E3688)</f>
        <v>0</v>
      </c>
      <c r="B3688" s="166"/>
      <c r="C3688" s="168"/>
      <c r="D3688" s="167"/>
      <c r="E3688" s="166"/>
      <c r="F3688" s="165"/>
      <c r="G3688" s="164"/>
    </row>
    <row r="3689" spans="1:7" x14ac:dyDescent="0.25">
      <c r="A3689" s="169" t="str">
        <f>E3689&amp;COUNTIFS($E$2:E3689,E3689)</f>
        <v>0</v>
      </c>
      <c r="B3689" s="166"/>
      <c r="C3689" s="168"/>
      <c r="D3689" s="167"/>
      <c r="E3689" s="166"/>
      <c r="F3689" s="165"/>
      <c r="G3689" s="164"/>
    </row>
    <row r="3690" spans="1:7" x14ac:dyDescent="0.25">
      <c r="A3690" s="169" t="str">
        <f>E3690&amp;COUNTIFS($E$2:E3690,E3690)</f>
        <v>0</v>
      </c>
      <c r="B3690" s="166"/>
      <c r="C3690" s="168"/>
      <c r="D3690" s="167"/>
      <c r="E3690" s="166"/>
      <c r="F3690" s="165"/>
      <c r="G3690" s="164"/>
    </row>
    <row r="3691" spans="1:7" x14ac:dyDescent="0.25">
      <c r="A3691" s="169" t="str">
        <f>E3691&amp;COUNTIFS($E$2:E3691,E3691)</f>
        <v>0</v>
      </c>
      <c r="B3691" s="166"/>
      <c r="C3691" s="168"/>
      <c r="D3691" s="167"/>
      <c r="E3691" s="166"/>
      <c r="F3691" s="165"/>
      <c r="G3691" s="164"/>
    </row>
    <row r="3692" spans="1:7" x14ac:dyDescent="0.25">
      <c r="A3692" s="169" t="str">
        <f>E3692&amp;COUNTIFS($E$2:E3692,E3692)</f>
        <v>0</v>
      </c>
      <c r="B3692" s="166"/>
      <c r="C3692" s="168"/>
      <c r="D3692" s="167"/>
      <c r="E3692" s="166"/>
      <c r="F3692" s="165"/>
      <c r="G3692" s="164"/>
    </row>
    <row r="3693" spans="1:7" x14ac:dyDescent="0.25">
      <c r="A3693" s="169" t="str">
        <f>E3693&amp;COUNTIFS($E$2:E3693,E3693)</f>
        <v>0</v>
      </c>
      <c r="B3693" s="166"/>
      <c r="C3693" s="168"/>
      <c r="D3693" s="167"/>
      <c r="E3693" s="166"/>
      <c r="F3693" s="165"/>
      <c r="G3693" s="164"/>
    </row>
    <row r="3694" spans="1:7" x14ac:dyDescent="0.25">
      <c r="A3694" s="169" t="str">
        <f>E3694&amp;COUNTIFS($E$2:E3694,E3694)</f>
        <v>0</v>
      </c>
      <c r="B3694" s="166"/>
      <c r="C3694" s="168"/>
      <c r="D3694" s="167"/>
      <c r="E3694" s="166"/>
      <c r="F3694" s="165"/>
      <c r="G3694" s="164"/>
    </row>
    <row r="3695" spans="1:7" x14ac:dyDescent="0.25">
      <c r="A3695" s="169" t="str">
        <f>E3695&amp;COUNTIFS($E$2:E3695,E3695)</f>
        <v>0</v>
      </c>
      <c r="B3695" s="166"/>
      <c r="C3695" s="168"/>
      <c r="D3695" s="167"/>
      <c r="E3695" s="166"/>
      <c r="F3695" s="165"/>
      <c r="G3695" s="164"/>
    </row>
    <row r="3696" spans="1:7" x14ac:dyDescent="0.25">
      <c r="A3696" s="169" t="str">
        <f>E3696&amp;COUNTIFS($E$2:E3696,E3696)</f>
        <v>0</v>
      </c>
      <c r="B3696" s="166"/>
      <c r="C3696" s="168"/>
      <c r="D3696" s="167"/>
      <c r="E3696" s="166"/>
      <c r="F3696" s="165"/>
      <c r="G3696" s="164"/>
    </row>
    <row r="3697" spans="1:7" x14ac:dyDescent="0.25">
      <c r="A3697" s="169" t="str">
        <f>E3697&amp;COUNTIFS($E$2:E3697,E3697)</f>
        <v>0</v>
      </c>
      <c r="B3697" s="166"/>
      <c r="C3697" s="168"/>
      <c r="D3697" s="167"/>
      <c r="E3697" s="166"/>
      <c r="F3697" s="165"/>
      <c r="G3697" s="164"/>
    </row>
    <row r="3698" spans="1:7" ht="15.75" thickBot="1" x14ac:dyDescent="0.3">
      <c r="A3698" s="163" t="str">
        <f>E3698&amp;COUNTIFS($E$2:E3698,E3698)</f>
        <v>0</v>
      </c>
      <c r="B3698" s="166"/>
      <c r="C3698" s="162"/>
      <c r="D3698" s="161"/>
      <c r="E3698" s="160"/>
      <c r="F3698" s="159"/>
      <c r="G3698" s="158"/>
    </row>
    <row r="3699" spans="1:7" x14ac:dyDescent="0.25">
      <c r="A3699" s="148"/>
      <c r="C3699" s="143"/>
      <c r="D3699" s="157"/>
      <c r="E3699" s="143"/>
      <c r="F3699" s="156"/>
      <c r="G3699" s="156"/>
    </row>
    <row r="3700" spans="1:7" x14ac:dyDescent="0.25">
      <c r="A3700" s="148"/>
      <c r="C3700" s="153" t="s">
        <v>623</v>
      </c>
      <c r="D3700" s="152"/>
      <c r="E3700" s="151"/>
      <c r="F3700" s="150">
        <f>SUM(F3674:F3698)</f>
        <v>0</v>
      </c>
      <c r="G3700" s="155">
        <f>SUM(G3674:G3698)</f>
        <v>0</v>
      </c>
    </row>
    <row r="3701" spans="1:7" x14ac:dyDescent="0.25">
      <c r="A3701" s="148"/>
      <c r="C3701" s="145" t="s">
        <v>622</v>
      </c>
      <c r="D3701" s="154"/>
      <c r="E3701" s="145"/>
      <c r="F3701" s="144"/>
      <c r="G3701" s="144"/>
    </row>
    <row r="3702" spans="1:7" x14ac:dyDescent="0.25">
      <c r="A3702" s="148"/>
      <c r="C3702" s="153" t="s">
        <v>621</v>
      </c>
      <c r="D3702" s="152"/>
      <c r="E3702" s="151"/>
      <c r="F3702" s="150">
        <f>F3669</f>
        <v>0</v>
      </c>
      <c r="G3702" s="150">
        <f>G3669</f>
        <v>0</v>
      </c>
    </row>
    <row r="3703" spans="1:7" x14ac:dyDescent="0.25">
      <c r="A3703" s="148"/>
      <c r="C3703" s="153" t="s">
        <v>582</v>
      </c>
      <c r="D3703" s="152"/>
      <c r="E3703" s="151"/>
      <c r="F3703" s="150">
        <f>F3702+F3700</f>
        <v>0</v>
      </c>
      <c r="G3703" s="150">
        <f>G3702+G3700</f>
        <v>0</v>
      </c>
    </row>
    <row r="3704" spans="1:7" ht="15.75" thickBot="1" x14ac:dyDescent="0.3">
      <c r="A3704" s="148"/>
      <c r="C3704" s="145"/>
      <c r="D3704" s="149"/>
      <c r="E3704" s="145"/>
      <c r="F3704" s="144"/>
      <c r="G3704" s="144"/>
    </row>
    <row r="3705" spans="1:7" ht="15.75" thickBot="1" x14ac:dyDescent="0.3">
      <c r="A3705" s="148"/>
      <c r="C3705" s="147" t="s">
        <v>620</v>
      </c>
      <c r="D3705" s="146">
        <f>F3703-G3703</f>
        <v>0</v>
      </c>
      <c r="E3705" s="145"/>
      <c r="F3705" s="144"/>
      <c r="G3705" s="144"/>
    </row>
    <row r="3706" spans="1:7" ht="15.75" thickBot="1" x14ac:dyDescent="0.3"/>
    <row r="3707" spans="1:7" ht="30.75" thickBot="1" x14ac:dyDescent="0.3">
      <c r="A3707" s="238" t="s">
        <v>626</v>
      </c>
      <c r="B3707" s="237" t="s">
        <v>606</v>
      </c>
      <c r="C3707" s="236" t="s">
        <v>631</v>
      </c>
      <c r="D3707" s="235" t="s">
        <v>601</v>
      </c>
      <c r="E3707" s="234" t="s">
        <v>287</v>
      </c>
      <c r="F3707" s="233" t="s">
        <v>624</v>
      </c>
      <c r="G3707" s="233" t="s">
        <v>596</v>
      </c>
    </row>
    <row r="3708" spans="1:7" x14ac:dyDescent="0.25">
      <c r="A3708" s="169" t="str">
        <f>E3708&amp;COUNTIFS($E$2:E3708,E3708)</f>
        <v>0</v>
      </c>
      <c r="B3708" s="172"/>
      <c r="C3708" s="174"/>
      <c r="D3708" s="173"/>
      <c r="E3708" s="172"/>
      <c r="F3708" s="171"/>
      <c r="G3708" s="170"/>
    </row>
    <row r="3709" spans="1:7" x14ac:dyDescent="0.25">
      <c r="A3709" s="169" t="str">
        <f>E3709&amp;COUNTIFS($E$2:E3709,E3709)</f>
        <v>0</v>
      </c>
      <c r="B3709" s="166"/>
      <c r="C3709" s="168"/>
      <c r="D3709" s="167"/>
      <c r="E3709" s="166"/>
      <c r="F3709" s="165"/>
      <c r="G3709" s="164"/>
    </row>
    <row r="3710" spans="1:7" x14ac:dyDescent="0.25">
      <c r="A3710" s="169" t="str">
        <f>E3710&amp;COUNTIFS($E$2:E3710,E3710)</f>
        <v>0</v>
      </c>
      <c r="B3710" s="166"/>
      <c r="C3710" s="203"/>
      <c r="D3710" s="167"/>
      <c r="E3710" s="166"/>
      <c r="F3710" s="165"/>
      <c r="G3710" s="164"/>
    </row>
    <row r="3711" spans="1:7" x14ac:dyDescent="0.25">
      <c r="A3711" s="169" t="str">
        <f>E3711&amp;COUNTIFS($E$2:E3711,E3711)</f>
        <v>0</v>
      </c>
      <c r="B3711" s="166"/>
      <c r="C3711" s="168"/>
      <c r="D3711" s="167"/>
      <c r="E3711" s="166"/>
      <c r="F3711" s="165"/>
      <c r="G3711" s="164"/>
    </row>
    <row r="3712" spans="1:7" x14ac:dyDescent="0.25">
      <c r="A3712" s="169" t="str">
        <f>E3712&amp;COUNTIFS($E$2:E3712,E3712)</f>
        <v>0</v>
      </c>
      <c r="B3712" s="166"/>
      <c r="C3712" s="168"/>
      <c r="D3712" s="167"/>
      <c r="E3712" s="166"/>
      <c r="F3712" s="165"/>
      <c r="G3712" s="164"/>
    </row>
    <row r="3713" spans="1:7" x14ac:dyDescent="0.25">
      <c r="A3713" s="169" t="str">
        <f>E3713&amp;COUNTIFS($E$2:E3713,E3713)</f>
        <v>0</v>
      </c>
      <c r="B3713" s="166"/>
      <c r="C3713" s="168"/>
      <c r="D3713" s="167"/>
      <c r="E3713" s="166"/>
      <c r="F3713" s="165"/>
      <c r="G3713" s="164"/>
    </row>
    <row r="3714" spans="1:7" x14ac:dyDescent="0.25">
      <c r="A3714" s="169" t="str">
        <f>E3714&amp;COUNTIFS($E$2:E3714,E3714)</f>
        <v>0</v>
      </c>
      <c r="B3714" s="166"/>
      <c r="C3714" s="168"/>
      <c r="D3714" s="167"/>
      <c r="E3714" s="166"/>
      <c r="F3714" s="165"/>
      <c r="G3714" s="164"/>
    </row>
    <row r="3715" spans="1:7" x14ac:dyDescent="0.25">
      <c r="A3715" s="169" t="str">
        <f>E3715&amp;COUNTIFS($E$2:E3715,E3715)</f>
        <v>0</v>
      </c>
      <c r="B3715" s="166"/>
      <c r="C3715" s="168"/>
      <c r="D3715" s="167"/>
      <c r="E3715" s="166"/>
      <c r="F3715" s="165"/>
      <c r="G3715" s="164"/>
    </row>
    <row r="3716" spans="1:7" x14ac:dyDescent="0.25">
      <c r="A3716" s="169" t="str">
        <f>E3716&amp;COUNTIFS($E$2:E3716,E3716)</f>
        <v>0</v>
      </c>
      <c r="B3716" s="166"/>
      <c r="C3716" s="168"/>
      <c r="D3716" s="167"/>
      <c r="E3716" s="166"/>
      <c r="F3716" s="165"/>
      <c r="G3716" s="164"/>
    </row>
    <row r="3717" spans="1:7" x14ac:dyDescent="0.25">
      <c r="A3717" s="169" t="str">
        <f>E3717&amp;COUNTIFS($E$2:E3717,E3717)</f>
        <v>0</v>
      </c>
      <c r="B3717" s="166"/>
      <c r="C3717" s="168"/>
      <c r="D3717" s="167"/>
      <c r="E3717" s="166"/>
      <c r="F3717" s="165"/>
      <c r="G3717" s="164"/>
    </row>
    <row r="3718" spans="1:7" x14ac:dyDescent="0.25">
      <c r="A3718" s="169" t="str">
        <f>E3718&amp;COUNTIFS($E$2:E3718,E3718)</f>
        <v>0</v>
      </c>
      <c r="B3718" s="166"/>
      <c r="C3718" s="168"/>
      <c r="D3718" s="167"/>
      <c r="E3718" s="166"/>
      <c r="F3718" s="165"/>
      <c r="G3718" s="164"/>
    </row>
    <row r="3719" spans="1:7" x14ac:dyDescent="0.25">
      <c r="A3719" s="169" t="str">
        <f>E3719&amp;COUNTIFS($E$2:E3719,E3719)</f>
        <v>0</v>
      </c>
      <c r="B3719" s="166"/>
      <c r="C3719" s="168"/>
      <c r="D3719" s="167"/>
      <c r="E3719" s="166"/>
      <c r="F3719" s="165"/>
      <c r="G3719" s="164"/>
    </row>
    <row r="3720" spans="1:7" x14ac:dyDescent="0.25">
      <c r="A3720" s="169" t="str">
        <f>E3720&amp;COUNTIFS($E$2:E3720,E3720)</f>
        <v>0</v>
      </c>
      <c r="B3720" s="166"/>
      <c r="C3720" s="168"/>
      <c r="D3720" s="167"/>
      <c r="E3720" s="166"/>
      <c r="F3720" s="165"/>
      <c r="G3720" s="164"/>
    </row>
    <row r="3721" spans="1:7" x14ac:dyDescent="0.25">
      <c r="A3721" s="169" t="str">
        <f>E3721&amp;COUNTIFS($E$2:E3721,E3721)</f>
        <v>0</v>
      </c>
      <c r="B3721" s="166"/>
      <c r="C3721" s="168"/>
      <c r="D3721" s="167"/>
      <c r="E3721" s="166"/>
      <c r="F3721" s="165"/>
      <c r="G3721" s="164"/>
    </row>
    <row r="3722" spans="1:7" x14ac:dyDescent="0.25">
      <c r="A3722" s="169" t="str">
        <f>E3722&amp;COUNTIFS($E$2:E3722,E3722)</f>
        <v>0</v>
      </c>
      <c r="B3722" s="166"/>
      <c r="C3722" s="168"/>
      <c r="D3722" s="167"/>
      <c r="E3722" s="166"/>
      <c r="F3722" s="165"/>
      <c r="G3722" s="164"/>
    </row>
    <row r="3723" spans="1:7" x14ac:dyDescent="0.25">
      <c r="A3723" s="169" t="str">
        <f>E3723&amp;COUNTIFS($E$2:E3723,E3723)</f>
        <v>0</v>
      </c>
      <c r="B3723" s="166"/>
      <c r="C3723" s="168"/>
      <c r="D3723" s="167"/>
      <c r="E3723" s="166"/>
      <c r="F3723" s="165"/>
      <c r="G3723" s="164"/>
    </row>
    <row r="3724" spans="1:7" x14ac:dyDescent="0.25">
      <c r="A3724" s="169" t="str">
        <f>E3724&amp;COUNTIFS($E$2:E3724,E3724)</f>
        <v>0</v>
      </c>
      <c r="B3724" s="166"/>
      <c r="C3724" s="168"/>
      <c r="D3724" s="167"/>
      <c r="E3724" s="166"/>
      <c r="F3724" s="165"/>
      <c r="G3724" s="164"/>
    </row>
    <row r="3725" spans="1:7" x14ac:dyDescent="0.25">
      <c r="A3725" s="169" t="str">
        <f>E3725&amp;COUNTIFS($E$2:E3725,E3725)</f>
        <v>0</v>
      </c>
      <c r="B3725" s="166"/>
      <c r="C3725" s="168"/>
      <c r="D3725" s="167"/>
      <c r="E3725" s="166"/>
      <c r="F3725" s="165"/>
      <c r="G3725" s="164"/>
    </row>
    <row r="3726" spans="1:7" x14ac:dyDescent="0.25">
      <c r="A3726" s="169" t="str">
        <f>E3726&amp;COUNTIFS($E$2:E3726,E3726)</f>
        <v>0</v>
      </c>
      <c r="B3726" s="166"/>
      <c r="C3726" s="168"/>
      <c r="D3726" s="167"/>
      <c r="E3726" s="166"/>
      <c r="F3726" s="165"/>
      <c r="G3726" s="164"/>
    </row>
    <row r="3727" spans="1:7" x14ac:dyDescent="0.25">
      <c r="A3727" s="169" t="str">
        <f>E3727&amp;COUNTIFS($E$2:E3727,E3727)</f>
        <v>0</v>
      </c>
      <c r="B3727" s="166"/>
      <c r="C3727" s="168"/>
      <c r="D3727" s="167"/>
      <c r="E3727" s="166"/>
      <c r="F3727" s="165"/>
      <c r="G3727" s="164"/>
    </row>
    <row r="3728" spans="1:7" x14ac:dyDescent="0.25">
      <c r="A3728" s="169" t="str">
        <f>E3728&amp;COUNTIFS($E$2:E3728,E3728)</f>
        <v>0</v>
      </c>
      <c r="B3728" s="166"/>
      <c r="C3728" s="168"/>
      <c r="D3728" s="167"/>
      <c r="E3728" s="166"/>
      <c r="F3728" s="165"/>
      <c r="G3728" s="164"/>
    </row>
    <row r="3729" spans="1:7" x14ac:dyDescent="0.25">
      <c r="A3729" s="169" t="str">
        <f>E3729&amp;COUNTIFS($E$2:E3729,E3729)</f>
        <v>0</v>
      </c>
      <c r="B3729" s="166"/>
      <c r="C3729" s="168"/>
      <c r="D3729" s="167"/>
      <c r="E3729" s="166"/>
      <c r="F3729" s="165"/>
      <c r="G3729" s="164"/>
    </row>
    <row r="3730" spans="1:7" x14ac:dyDescent="0.25">
      <c r="A3730" s="169" t="str">
        <f>E3730&amp;COUNTIFS($E$2:E3730,E3730)</f>
        <v>0</v>
      </c>
      <c r="B3730" s="166"/>
      <c r="C3730" s="168"/>
      <c r="D3730" s="167"/>
      <c r="E3730" s="166"/>
      <c r="F3730" s="165"/>
      <c r="G3730" s="164"/>
    </row>
    <row r="3731" spans="1:7" x14ac:dyDescent="0.25">
      <c r="A3731" s="169" t="str">
        <f>E3731&amp;COUNTIFS($E$2:E3731,E3731)</f>
        <v>0</v>
      </c>
      <c r="B3731" s="166"/>
      <c r="C3731" s="168"/>
      <c r="D3731" s="167"/>
      <c r="E3731" s="166"/>
      <c r="F3731" s="165"/>
      <c r="G3731" s="164"/>
    </row>
    <row r="3732" spans="1:7" ht="15.75" thickBot="1" x14ac:dyDescent="0.3">
      <c r="A3732" s="163" t="str">
        <f>E3732&amp;COUNTIFS($E$2:E3732,E3732)</f>
        <v>0</v>
      </c>
      <c r="B3732" s="166"/>
      <c r="C3732" s="162"/>
      <c r="D3732" s="161"/>
      <c r="E3732" s="160"/>
      <c r="F3732" s="159"/>
      <c r="G3732" s="158"/>
    </row>
    <row r="3733" spans="1:7" x14ac:dyDescent="0.25">
      <c r="A3733" s="148"/>
      <c r="C3733" s="143"/>
      <c r="D3733" s="157"/>
      <c r="E3733" s="143"/>
      <c r="F3733" s="156"/>
      <c r="G3733" s="156"/>
    </row>
    <row r="3734" spans="1:7" x14ac:dyDescent="0.25">
      <c r="A3734" s="148"/>
      <c r="C3734" s="153" t="s">
        <v>623</v>
      </c>
      <c r="D3734" s="152"/>
      <c r="E3734" s="151"/>
      <c r="F3734" s="150">
        <f>SUM(F3708:F3732)</f>
        <v>0</v>
      </c>
      <c r="G3734" s="155">
        <f>SUM(G3708:G3732)</f>
        <v>0</v>
      </c>
    </row>
    <row r="3735" spans="1:7" x14ac:dyDescent="0.25">
      <c r="A3735" s="148"/>
      <c r="C3735" s="145" t="s">
        <v>622</v>
      </c>
      <c r="D3735" s="154"/>
      <c r="E3735" s="145"/>
      <c r="F3735" s="144"/>
      <c r="G3735" s="144"/>
    </row>
    <row r="3736" spans="1:7" x14ac:dyDescent="0.25">
      <c r="A3736" s="148"/>
      <c r="C3736" s="153" t="s">
        <v>621</v>
      </c>
      <c r="D3736" s="152"/>
      <c r="E3736" s="151"/>
      <c r="F3736" s="150">
        <f>F3703</f>
        <v>0</v>
      </c>
      <c r="G3736" s="150">
        <f>G3703</f>
        <v>0</v>
      </c>
    </row>
    <row r="3737" spans="1:7" x14ac:dyDescent="0.25">
      <c r="A3737" s="148"/>
      <c r="C3737" s="153" t="s">
        <v>582</v>
      </c>
      <c r="D3737" s="152"/>
      <c r="E3737" s="151"/>
      <c r="F3737" s="150">
        <f>F3736+F3734</f>
        <v>0</v>
      </c>
      <c r="G3737" s="150">
        <f>G3736+G3734</f>
        <v>0</v>
      </c>
    </row>
    <row r="3738" spans="1:7" ht="15.75" thickBot="1" x14ac:dyDescent="0.3">
      <c r="A3738" s="148"/>
      <c r="C3738" s="145"/>
      <c r="D3738" s="149"/>
      <c r="E3738" s="145"/>
      <c r="F3738" s="144"/>
      <c r="G3738" s="144"/>
    </row>
    <row r="3739" spans="1:7" ht="15.75" thickBot="1" x14ac:dyDescent="0.3">
      <c r="A3739" s="148"/>
      <c r="C3739" s="147" t="s">
        <v>620</v>
      </c>
      <c r="D3739" s="146">
        <f>F3737-G3737</f>
        <v>0</v>
      </c>
      <c r="E3739" s="145"/>
      <c r="F3739" s="144"/>
      <c r="G3739" s="144"/>
    </row>
    <row r="3740" spans="1:7" ht="15.75" thickBot="1" x14ac:dyDescent="0.3"/>
    <row r="3741" spans="1:7" ht="30.75" thickBot="1" x14ac:dyDescent="0.3">
      <c r="A3741" s="238" t="s">
        <v>626</v>
      </c>
      <c r="B3741" s="237" t="s">
        <v>606</v>
      </c>
      <c r="C3741" s="236" t="s">
        <v>631</v>
      </c>
      <c r="D3741" s="235" t="s">
        <v>601</v>
      </c>
      <c r="E3741" s="234" t="s">
        <v>287</v>
      </c>
      <c r="F3741" s="233" t="s">
        <v>624</v>
      </c>
      <c r="G3741" s="233" t="s">
        <v>596</v>
      </c>
    </row>
    <row r="3742" spans="1:7" x14ac:dyDescent="0.25">
      <c r="A3742" s="169" t="str">
        <f>E3742&amp;COUNTIFS($E$2:E3742,E3742)</f>
        <v>0</v>
      </c>
      <c r="B3742" s="172"/>
      <c r="C3742" s="174"/>
      <c r="D3742" s="173"/>
      <c r="E3742" s="172"/>
      <c r="F3742" s="171"/>
      <c r="G3742" s="170"/>
    </row>
    <row r="3743" spans="1:7" x14ac:dyDescent="0.25">
      <c r="A3743" s="169" t="str">
        <f>E3743&amp;COUNTIFS($E$2:E3743,E3743)</f>
        <v>0</v>
      </c>
      <c r="B3743" s="166"/>
      <c r="C3743" s="168"/>
      <c r="D3743" s="167"/>
      <c r="E3743" s="166"/>
      <c r="F3743" s="165"/>
      <c r="G3743" s="164"/>
    </row>
    <row r="3744" spans="1:7" x14ac:dyDescent="0.25">
      <c r="A3744" s="169" t="str">
        <f>E3744&amp;COUNTIFS($E$2:E3744,E3744)</f>
        <v>0</v>
      </c>
      <c r="B3744" s="166"/>
      <c r="C3744" s="168"/>
      <c r="D3744" s="167"/>
      <c r="E3744" s="166"/>
      <c r="F3744" s="165"/>
      <c r="G3744" s="164"/>
    </row>
    <row r="3745" spans="1:7" x14ac:dyDescent="0.25">
      <c r="A3745" s="169" t="str">
        <f>E3745&amp;COUNTIFS($E$2:E3745,E3745)</f>
        <v>0</v>
      </c>
      <c r="B3745" s="166"/>
      <c r="C3745" s="168"/>
      <c r="D3745" s="167"/>
      <c r="E3745" s="166"/>
      <c r="F3745" s="165"/>
      <c r="G3745" s="164"/>
    </row>
    <row r="3746" spans="1:7" x14ac:dyDescent="0.25">
      <c r="A3746" s="169" t="str">
        <f>E3746&amp;COUNTIFS($E$2:E3746,E3746)</f>
        <v>0</v>
      </c>
      <c r="B3746" s="166"/>
      <c r="C3746" s="168"/>
      <c r="D3746" s="167"/>
      <c r="E3746" s="166"/>
      <c r="F3746" s="165"/>
      <c r="G3746" s="164"/>
    </row>
    <row r="3747" spans="1:7" x14ac:dyDescent="0.25">
      <c r="A3747" s="169" t="str">
        <f>E3747&amp;COUNTIFS($E$2:E3747,E3747)</f>
        <v>0</v>
      </c>
      <c r="B3747" s="166"/>
      <c r="C3747" s="168"/>
      <c r="D3747" s="167"/>
      <c r="E3747" s="166"/>
      <c r="F3747" s="165"/>
      <c r="G3747" s="164"/>
    </row>
    <row r="3748" spans="1:7" x14ac:dyDescent="0.25">
      <c r="A3748" s="169" t="str">
        <f>E3748&amp;COUNTIFS($E$2:E3748,E3748)</f>
        <v>0</v>
      </c>
      <c r="B3748" s="166"/>
      <c r="C3748" s="168"/>
      <c r="D3748" s="167"/>
      <c r="E3748" s="166"/>
      <c r="F3748" s="165"/>
      <c r="G3748" s="164"/>
    </row>
    <row r="3749" spans="1:7" x14ac:dyDescent="0.25">
      <c r="A3749" s="169" t="str">
        <f>E3749&amp;COUNTIFS($E$2:E3749,E3749)</f>
        <v>0</v>
      </c>
      <c r="B3749" s="166"/>
      <c r="C3749" s="168"/>
      <c r="D3749" s="167"/>
      <c r="E3749" s="166"/>
      <c r="F3749" s="165"/>
      <c r="G3749" s="164"/>
    </row>
    <row r="3750" spans="1:7" x14ac:dyDescent="0.25">
      <c r="A3750" s="169" t="str">
        <f>E3750&amp;COUNTIFS($E$2:E3750,E3750)</f>
        <v>0</v>
      </c>
      <c r="B3750" s="166"/>
      <c r="C3750" s="168"/>
      <c r="D3750" s="167"/>
      <c r="E3750" s="166"/>
      <c r="F3750" s="165"/>
      <c r="G3750" s="164"/>
    </row>
    <row r="3751" spans="1:7" x14ac:dyDescent="0.25">
      <c r="A3751" s="169" t="str">
        <f>E3751&amp;COUNTIFS($E$2:E3751,E3751)</f>
        <v>0</v>
      </c>
      <c r="B3751" s="166"/>
      <c r="C3751" s="168"/>
      <c r="D3751" s="167"/>
      <c r="E3751" s="166"/>
      <c r="F3751" s="165"/>
      <c r="G3751" s="164"/>
    </row>
    <row r="3752" spans="1:7" x14ac:dyDescent="0.25">
      <c r="A3752" s="169" t="str">
        <f>E3752&amp;COUNTIFS($E$2:E3752,E3752)</f>
        <v>0</v>
      </c>
      <c r="B3752" s="166"/>
      <c r="C3752" s="168"/>
      <c r="D3752" s="167"/>
      <c r="E3752" s="166"/>
      <c r="F3752" s="165"/>
      <c r="G3752" s="164"/>
    </row>
    <row r="3753" spans="1:7" x14ac:dyDescent="0.25">
      <c r="A3753" s="169" t="str">
        <f>E3753&amp;COUNTIFS($E$2:E3753,E3753)</f>
        <v>0</v>
      </c>
      <c r="B3753" s="166"/>
      <c r="C3753" s="168"/>
      <c r="D3753" s="167"/>
      <c r="E3753" s="166"/>
      <c r="F3753" s="165"/>
      <c r="G3753" s="164"/>
    </row>
    <row r="3754" spans="1:7" x14ac:dyDescent="0.25">
      <c r="A3754" s="169" t="str">
        <f>E3754&amp;COUNTIFS($E$2:E3754,E3754)</f>
        <v>0</v>
      </c>
      <c r="B3754" s="166"/>
      <c r="C3754" s="168"/>
      <c r="D3754" s="167"/>
      <c r="E3754" s="166"/>
      <c r="F3754" s="165"/>
      <c r="G3754" s="164"/>
    </row>
    <row r="3755" spans="1:7" x14ac:dyDescent="0.25">
      <c r="A3755" s="169" t="str">
        <f>E3755&amp;COUNTIFS($E$2:E3755,E3755)</f>
        <v>0</v>
      </c>
      <c r="B3755" s="166"/>
      <c r="C3755" s="168"/>
      <c r="D3755" s="167"/>
      <c r="E3755" s="166"/>
      <c r="F3755" s="165"/>
      <c r="G3755" s="164"/>
    </row>
    <row r="3756" spans="1:7" x14ac:dyDescent="0.25">
      <c r="A3756" s="169" t="str">
        <f>E3756&amp;COUNTIFS($E$2:E3756,E3756)</f>
        <v>0</v>
      </c>
      <c r="B3756" s="166"/>
      <c r="C3756" s="168"/>
      <c r="D3756" s="167"/>
      <c r="E3756" s="166"/>
      <c r="F3756" s="165"/>
      <c r="G3756" s="164"/>
    </row>
    <row r="3757" spans="1:7" x14ac:dyDescent="0.25">
      <c r="A3757" s="169" t="str">
        <f>E3757&amp;COUNTIFS($E$2:E3757,E3757)</f>
        <v>0</v>
      </c>
      <c r="B3757" s="166"/>
      <c r="C3757" s="168"/>
      <c r="D3757" s="167"/>
      <c r="E3757" s="166"/>
      <c r="F3757" s="165"/>
      <c r="G3757" s="164"/>
    </row>
    <row r="3758" spans="1:7" x14ac:dyDescent="0.25">
      <c r="A3758" s="169" t="str">
        <f>E3758&amp;COUNTIFS($E$2:E3758,E3758)</f>
        <v>0</v>
      </c>
      <c r="B3758" s="166"/>
      <c r="C3758" s="168"/>
      <c r="D3758" s="167"/>
      <c r="E3758" s="166"/>
      <c r="F3758" s="165"/>
      <c r="G3758" s="164"/>
    </row>
    <row r="3759" spans="1:7" x14ac:dyDescent="0.25">
      <c r="A3759" s="169" t="str">
        <f>E3759&amp;COUNTIFS($E$2:E3759,E3759)</f>
        <v>0</v>
      </c>
      <c r="B3759" s="166"/>
      <c r="C3759" s="168"/>
      <c r="D3759" s="167"/>
      <c r="E3759" s="166"/>
      <c r="F3759" s="165"/>
      <c r="G3759" s="164"/>
    </row>
    <row r="3760" spans="1:7" x14ac:dyDescent="0.25">
      <c r="A3760" s="169" t="str">
        <f>E3760&amp;COUNTIFS($E$2:E3760,E3760)</f>
        <v>0</v>
      </c>
      <c r="B3760" s="166"/>
      <c r="C3760" s="168"/>
      <c r="D3760" s="167"/>
      <c r="E3760" s="166"/>
      <c r="F3760" s="165"/>
      <c r="G3760" s="164"/>
    </row>
    <row r="3761" spans="1:7" x14ac:dyDescent="0.25">
      <c r="A3761" s="169" t="str">
        <f>E3761&amp;COUNTIFS($E$2:E3761,E3761)</f>
        <v>0</v>
      </c>
      <c r="B3761" s="166"/>
      <c r="C3761" s="168"/>
      <c r="D3761" s="167"/>
      <c r="E3761" s="166"/>
      <c r="F3761" s="165"/>
      <c r="G3761" s="164"/>
    </row>
    <row r="3762" spans="1:7" x14ac:dyDescent="0.25">
      <c r="A3762" s="169" t="str">
        <f>E3762&amp;COUNTIFS($E$2:E3762,E3762)</f>
        <v>0</v>
      </c>
      <c r="B3762" s="166"/>
      <c r="C3762" s="168"/>
      <c r="D3762" s="167"/>
      <c r="E3762" s="166"/>
      <c r="F3762" s="165"/>
      <c r="G3762" s="164"/>
    </row>
    <row r="3763" spans="1:7" x14ac:dyDescent="0.25">
      <c r="A3763" s="169" t="str">
        <f>E3763&amp;COUNTIFS($E$2:E3763,E3763)</f>
        <v>0</v>
      </c>
      <c r="B3763" s="166"/>
      <c r="C3763" s="168"/>
      <c r="D3763" s="167"/>
      <c r="E3763" s="166"/>
      <c r="F3763" s="165"/>
      <c r="G3763" s="164"/>
    </row>
    <row r="3764" spans="1:7" x14ac:dyDescent="0.25">
      <c r="A3764" s="169" t="str">
        <f>E3764&amp;COUNTIFS($E$2:E3764,E3764)</f>
        <v>0</v>
      </c>
      <c r="B3764" s="166"/>
      <c r="C3764" s="168"/>
      <c r="D3764" s="167"/>
      <c r="E3764" s="166"/>
      <c r="F3764" s="165"/>
      <c r="G3764" s="164"/>
    </row>
    <row r="3765" spans="1:7" x14ac:dyDescent="0.25">
      <c r="A3765" s="169" t="str">
        <f>E3765&amp;COUNTIFS($E$2:E3765,E3765)</f>
        <v>0</v>
      </c>
      <c r="B3765" s="166"/>
      <c r="C3765" s="168"/>
      <c r="D3765" s="167"/>
      <c r="E3765" s="166"/>
      <c r="F3765" s="165"/>
      <c r="G3765" s="164"/>
    </row>
    <row r="3766" spans="1:7" ht="15.75" thickBot="1" x14ac:dyDescent="0.3">
      <c r="A3766" s="163" t="str">
        <f>E3766&amp;COUNTIFS($E$2:E3766,E3766)</f>
        <v>0</v>
      </c>
      <c r="B3766" s="166"/>
      <c r="C3766" s="162"/>
      <c r="D3766" s="161"/>
      <c r="E3766" s="160"/>
      <c r="F3766" s="159"/>
      <c r="G3766" s="158"/>
    </row>
    <row r="3767" spans="1:7" x14ac:dyDescent="0.25">
      <c r="A3767" s="148"/>
      <c r="C3767" s="143"/>
      <c r="D3767" s="157"/>
      <c r="E3767" s="143"/>
      <c r="F3767" s="156"/>
      <c r="G3767" s="156"/>
    </row>
    <row r="3768" spans="1:7" x14ac:dyDescent="0.25">
      <c r="A3768" s="148"/>
      <c r="C3768" s="153" t="s">
        <v>623</v>
      </c>
      <c r="D3768" s="152"/>
      <c r="E3768" s="151"/>
      <c r="F3768" s="150">
        <f>SUM(F3742:F3766)</f>
        <v>0</v>
      </c>
      <c r="G3768" s="155">
        <f>SUM(G3742:G3766)</f>
        <v>0</v>
      </c>
    </row>
    <row r="3769" spans="1:7" x14ac:dyDescent="0.25">
      <c r="A3769" s="148"/>
      <c r="C3769" s="145" t="s">
        <v>622</v>
      </c>
      <c r="D3769" s="154"/>
      <c r="E3769" s="145"/>
      <c r="F3769" s="144"/>
      <c r="G3769" s="144"/>
    </row>
    <row r="3770" spans="1:7" x14ac:dyDescent="0.25">
      <c r="A3770" s="148"/>
      <c r="C3770" s="153" t="s">
        <v>621</v>
      </c>
      <c r="D3770" s="152"/>
      <c r="E3770" s="151"/>
      <c r="F3770" s="150">
        <f>F3737</f>
        <v>0</v>
      </c>
      <c r="G3770" s="150">
        <f>G3737</f>
        <v>0</v>
      </c>
    </row>
    <row r="3771" spans="1:7" x14ac:dyDescent="0.25">
      <c r="A3771" s="148"/>
      <c r="C3771" s="153" t="s">
        <v>582</v>
      </c>
      <c r="D3771" s="152"/>
      <c r="E3771" s="151"/>
      <c r="F3771" s="150">
        <f>F3770+F3768</f>
        <v>0</v>
      </c>
      <c r="G3771" s="150">
        <f>G3770+G3768</f>
        <v>0</v>
      </c>
    </row>
    <row r="3772" spans="1:7" ht="15.75" thickBot="1" x14ac:dyDescent="0.3">
      <c r="A3772" s="148"/>
      <c r="C3772" s="145"/>
      <c r="D3772" s="149"/>
      <c r="E3772" s="145"/>
      <c r="F3772" s="144"/>
      <c r="G3772" s="144"/>
    </row>
    <row r="3773" spans="1:7" ht="15.75" thickBot="1" x14ac:dyDescent="0.3">
      <c r="A3773" s="148"/>
      <c r="C3773" s="147" t="s">
        <v>620</v>
      </c>
      <c r="D3773" s="146">
        <f>F3771-G3771</f>
        <v>0</v>
      </c>
      <c r="E3773" s="145"/>
      <c r="F3773" s="144"/>
      <c r="G3773" s="144"/>
    </row>
    <row r="3774" spans="1:7" ht="15.75" thickBot="1" x14ac:dyDescent="0.3"/>
    <row r="3775" spans="1:7" ht="30.75" thickBot="1" x14ac:dyDescent="0.3">
      <c r="A3775" s="238" t="s">
        <v>626</v>
      </c>
      <c r="B3775" s="237" t="s">
        <v>606</v>
      </c>
      <c r="C3775" s="236" t="s">
        <v>631</v>
      </c>
      <c r="D3775" s="235" t="s">
        <v>601</v>
      </c>
      <c r="E3775" s="234" t="s">
        <v>287</v>
      </c>
      <c r="F3775" s="233" t="s">
        <v>624</v>
      </c>
      <c r="G3775" s="233" t="s">
        <v>596</v>
      </c>
    </row>
    <row r="3776" spans="1:7" x14ac:dyDescent="0.25">
      <c r="A3776" s="169" t="str">
        <f>E3776&amp;COUNTIFS($E$2:E3776,E3776)</f>
        <v>0</v>
      </c>
      <c r="B3776" s="172"/>
      <c r="C3776" s="174"/>
      <c r="D3776" s="173"/>
      <c r="E3776" s="172"/>
      <c r="F3776" s="171"/>
      <c r="G3776" s="170"/>
    </row>
    <row r="3777" spans="1:7" x14ac:dyDescent="0.25">
      <c r="A3777" s="169" t="str">
        <f>E3777&amp;COUNTIFS($E$2:E3777,E3777)</f>
        <v>0</v>
      </c>
      <c r="B3777" s="166"/>
      <c r="C3777" s="168"/>
      <c r="D3777" s="167"/>
      <c r="E3777" s="166"/>
      <c r="F3777" s="165"/>
      <c r="G3777" s="164"/>
    </row>
    <row r="3778" spans="1:7" x14ac:dyDescent="0.25">
      <c r="A3778" s="169" t="str">
        <f>E3778&amp;COUNTIFS($E$2:E3778,E3778)</f>
        <v>0</v>
      </c>
      <c r="B3778" s="166"/>
      <c r="C3778" s="168"/>
      <c r="D3778" s="167"/>
      <c r="E3778" s="166"/>
      <c r="F3778" s="165"/>
      <c r="G3778" s="164"/>
    </row>
    <row r="3779" spans="1:7" x14ac:dyDescent="0.25">
      <c r="A3779" s="169" t="str">
        <f>E3779&amp;COUNTIFS($E$2:E3779,E3779)</f>
        <v>0</v>
      </c>
      <c r="B3779" s="166"/>
      <c r="C3779" s="168"/>
      <c r="D3779" s="167"/>
      <c r="E3779" s="166"/>
      <c r="F3779" s="165"/>
      <c r="G3779" s="164"/>
    </row>
    <row r="3780" spans="1:7" x14ac:dyDescent="0.25">
      <c r="A3780" s="169" t="str">
        <f>E3780&amp;COUNTIFS($E$2:E3780,E3780)</f>
        <v>0</v>
      </c>
      <c r="B3780" s="166"/>
      <c r="C3780" s="168"/>
      <c r="D3780" s="167"/>
      <c r="E3780" s="166"/>
      <c r="F3780" s="165"/>
      <c r="G3780" s="164"/>
    </row>
    <row r="3781" spans="1:7" x14ac:dyDescent="0.25">
      <c r="A3781" s="169" t="str">
        <f>E3781&amp;COUNTIFS($E$2:E3781,E3781)</f>
        <v>0</v>
      </c>
      <c r="B3781" s="166"/>
      <c r="C3781" s="168"/>
      <c r="D3781" s="167"/>
      <c r="E3781" s="166"/>
      <c r="F3781" s="165"/>
      <c r="G3781" s="164"/>
    </row>
    <row r="3782" spans="1:7" x14ac:dyDescent="0.25">
      <c r="A3782" s="169" t="str">
        <f>E3782&amp;COUNTIFS($E$2:E3782,E3782)</f>
        <v>0</v>
      </c>
      <c r="B3782" s="166"/>
      <c r="C3782" s="168"/>
      <c r="D3782" s="167"/>
      <c r="E3782" s="166"/>
      <c r="F3782" s="165"/>
      <c r="G3782" s="164"/>
    </row>
    <row r="3783" spans="1:7" x14ac:dyDescent="0.25">
      <c r="A3783" s="169" t="str">
        <f>E3783&amp;COUNTIFS($E$2:E3783,E3783)</f>
        <v>0</v>
      </c>
      <c r="B3783" s="166"/>
      <c r="C3783" s="168"/>
      <c r="D3783" s="167"/>
      <c r="E3783" s="166"/>
      <c r="F3783" s="165"/>
      <c r="G3783" s="164"/>
    </row>
    <row r="3784" spans="1:7" x14ac:dyDescent="0.25">
      <c r="A3784" s="169" t="str">
        <f>E3784&amp;COUNTIFS($E$2:E3784,E3784)</f>
        <v>0</v>
      </c>
      <c r="B3784" s="166"/>
      <c r="C3784" s="168"/>
      <c r="D3784" s="167"/>
      <c r="E3784" s="166"/>
      <c r="F3784" s="165"/>
      <c r="G3784" s="164"/>
    </row>
    <row r="3785" spans="1:7" x14ac:dyDescent="0.25">
      <c r="A3785" s="169" t="str">
        <f>E3785&amp;COUNTIFS($E$2:E3785,E3785)</f>
        <v>0</v>
      </c>
      <c r="B3785" s="166"/>
      <c r="C3785" s="168"/>
      <c r="D3785" s="167"/>
      <c r="E3785" s="166"/>
      <c r="F3785" s="165"/>
      <c r="G3785" s="164"/>
    </row>
    <row r="3786" spans="1:7" x14ac:dyDescent="0.25">
      <c r="A3786" s="169" t="str">
        <f>E3786&amp;COUNTIFS($E$2:E3786,E3786)</f>
        <v>0</v>
      </c>
      <c r="B3786" s="166"/>
      <c r="C3786" s="168"/>
      <c r="D3786" s="167"/>
      <c r="E3786" s="166"/>
      <c r="F3786" s="165"/>
      <c r="G3786" s="164"/>
    </row>
    <row r="3787" spans="1:7" x14ac:dyDescent="0.25">
      <c r="A3787" s="169" t="str">
        <f>E3787&amp;COUNTIFS($E$2:E3787,E3787)</f>
        <v>0</v>
      </c>
      <c r="B3787" s="166"/>
      <c r="C3787" s="168"/>
      <c r="D3787" s="167"/>
      <c r="E3787" s="166"/>
      <c r="F3787" s="165"/>
      <c r="G3787" s="164"/>
    </row>
    <row r="3788" spans="1:7" x14ac:dyDescent="0.25">
      <c r="A3788" s="169" t="str">
        <f>E3788&amp;COUNTIFS($E$2:E3788,E3788)</f>
        <v>0</v>
      </c>
      <c r="B3788" s="166"/>
      <c r="C3788" s="168"/>
      <c r="D3788" s="167"/>
      <c r="E3788" s="166"/>
      <c r="F3788" s="165"/>
      <c r="G3788" s="164"/>
    </row>
    <row r="3789" spans="1:7" x14ac:dyDescent="0.25">
      <c r="A3789" s="169" t="str">
        <f>E3789&amp;COUNTIFS($E$2:E3789,E3789)</f>
        <v>0</v>
      </c>
      <c r="B3789" s="166"/>
      <c r="C3789" s="168"/>
      <c r="D3789" s="167"/>
      <c r="E3789" s="166"/>
      <c r="F3789" s="165"/>
      <c r="G3789" s="164"/>
    </row>
    <row r="3790" spans="1:7" x14ac:dyDescent="0.25">
      <c r="A3790" s="169" t="str">
        <f>E3790&amp;COUNTIFS($E$2:E3790,E3790)</f>
        <v>0</v>
      </c>
      <c r="B3790" s="166"/>
      <c r="C3790" s="168"/>
      <c r="D3790" s="167"/>
      <c r="E3790" s="166"/>
      <c r="F3790" s="165"/>
      <c r="G3790" s="164"/>
    </row>
    <row r="3791" spans="1:7" x14ac:dyDescent="0.25">
      <c r="A3791" s="169" t="str">
        <f>E3791&amp;COUNTIFS($E$2:E3791,E3791)</f>
        <v>0</v>
      </c>
      <c r="B3791" s="166"/>
      <c r="C3791" s="168"/>
      <c r="D3791" s="167"/>
      <c r="E3791" s="166"/>
      <c r="F3791" s="165"/>
      <c r="G3791" s="164"/>
    </row>
    <row r="3792" spans="1:7" x14ac:dyDescent="0.25">
      <c r="A3792" s="169" t="str">
        <f>E3792&amp;COUNTIFS($E$2:E3792,E3792)</f>
        <v>0</v>
      </c>
      <c r="B3792" s="166"/>
      <c r="C3792" s="168"/>
      <c r="D3792" s="167"/>
      <c r="E3792" s="166"/>
      <c r="F3792" s="165"/>
      <c r="G3792" s="164"/>
    </row>
    <row r="3793" spans="1:7" x14ac:dyDescent="0.25">
      <c r="A3793" s="169" t="str">
        <f>E3793&amp;COUNTIFS($E$2:E3793,E3793)</f>
        <v>0</v>
      </c>
      <c r="B3793" s="166"/>
      <c r="C3793" s="168"/>
      <c r="D3793" s="167"/>
      <c r="E3793" s="166"/>
      <c r="F3793" s="165"/>
      <c r="G3793" s="164"/>
    </row>
    <row r="3794" spans="1:7" x14ac:dyDescent="0.25">
      <c r="A3794" s="169" t="str">
        <f>E3794&amp;COUNTIFS($E$2:E3794,E3794)</f>
        <v>0</v>
      </c>
      <c r="B3794" s="166"/>
      <c r="C3794" s="168"/>
      <c r="D3794" s="167"/>
      <c r="E3794" s="166"/>
      <c r="F3794" s="165"/>
      <c r="G3794" s="164"/>
    </row>
    <row r="3795" spans="1:7" x14ac:dyDescent="0.25">
      <c r="A3795" s="169" t="str">
        <f>E3795&amp;COUNTIFS($E$2:E3795,E3795)</f>
        <v>0</v>
      </c>
      <c r="B3795" s="166"/>
      <c r="C3795" s="168"/>
      <c r="D3795" s="167"/>
      <c r="E3795" s="166"/>
      <c r="F3795" s="165"/>
      <c r="G3795" s="164"/>
    </row>
    <row r="3796" spans="1:7" x14ac:dyDescent="0.25">
      <c r="A3796" s="169" t="str">
        <f>E3796&amp;COUNTIFS($E$2:E3796,E3796)</f>
        <v>0</v>
      </c>
      <c r="B3796" s="166"/>
      <c r="C3796" s="168"/>
      <c r="D3796" s="167"/>
      <c r="E3796" s="166"/>
      <c r="F3796" s="165"/>
      <c r="G3796" s="164"/>
    </row>
    <row r="3797" spans="1:7" x14ac:dyDescent="0.25">
      <c r="A3797" s="169" t="str">
        <f>E3797&amp;COUNTIFS($E$2:E3797,E3797)</f>
        <v>0</v>
      </c>
      <c r="B3797" s="166"/>
      <c r="C3797" s="168"/>
      <c r="D3797" s="167"/>
      <c r="E3797" s="166"/>
      <c r="F3797" s="165"/>
      <c r="G3797" s="164"/>
    </row>
    <row r="3798" spans="1:7" x14ac:dyDescent="0.25">
      <c r="A3798" s="169" t="str">
        <f>E3798&amp;COUNTIFS($E$2:E3798,E3798)</f>
        <v>0</v>
      </c>
      <c r="B3798" s="166"/>
      <c r="C3798" s="168"/>
      <c r="D3798" s="167"/>
      <c r="E3798" s="166"/>
      <c r="F3798" s="165"/>
      <c r="G3798" s="164"/>
    </row>
    <row r="3799" spans="1:7" x14ac:dyDescent="0.25">
      <c r="A3799" s="169" t="str">
        <f>E3799&amp;COUNTIFS($E$2:E3799,E3799)</f>
        <v>0</v>
      </c>
      <c r="B3799" s="166"/>
      <c r="C3799" s="168"/>
      <c r="D3799" s="167"/>
      <c r="E3799" s="166"/>
      <c r="F3799" s="165"/>
      <c r="G3799" s="164"/>
    </row>
    <row r="3800" spans="1:7" ht="15.75" thickBot="1" x14ac:dyDescent="0.3">
      <c r="A3800" s="163" t="str">
        <f>E3800&amp;COUNTIFS($E$2:E3800,E3800)</f>
        <v>0</v>
      </c>
      <c r="B3800" s="160"/>
      <c r="C3800" s="162"/>
      <c r="D3800" s="161"/>
      <c r="E3800" s="160"/>
      <c r="F3800" s="159"/>
      <c r="G3800" s="158"/>
    </row>
    <row r="3801" spans="1:7" x14ac:dyDescent="0.25">
      <c r="A3801" s="148"/>
      <c r="C3801" s="143"/>
      <c r="D3801" s="157"/>
      <c r="E3801" s="143"/>
      <c r="F3801" s="156"/>
      <c r="G3801" s="156"/>
    </row>
    <row r="3802" spans="1:7" x14ac:dyDescent="0.25">
      <c r="A3802" s="148"/>
      <c r="C3802" s="153" t="s">
        <v>623</v>
      </c>
      <c r="D3802" s="152"/>
      <c r="E3802" s="151"/>
      <c r="F3802" s="150">
        <f>SUM(F3776:F3800)</f>
        <v>0</v>
      </c>
      <c r="G3802" s="155">
        <f>SUM(G3776:G3800)</f>
        <v>0</v>
      </c>
    </row>
    <row r="3803" spans="1:7" x14ac:dyDescent="0.25">
      <c r="A3803" s="148"/>
      <c r="C3803" s="145" t="s">
        <v>622</v>
      </c>
      <c r="D3803" s="154"/>
      <c r="E3803" s="145"/>
      <c r="F3803" s="144"/>
      <c r="G3803" s="144"/>
    </row>
    <row r="3804" spans="1:7" x14ac:dyDescent="0.25">
      <c r="A3804" s="148"/>
      <c r="C3804" s="153" t="s">
        <v>621</v>
      </c>
      <c r="D3804" s="152"/>
      <c r="E3804" s="151"/>
      <c r="F3804" s="150">
        <f>F3771</f>
        <v>0</v>
      </c>
      <c r="G3804" s="150">
        <f>G3771</f>
        <v>0</v>
      </c>
    </row>
    <row r="3805" spans="1:7" x14ac:dyDescent="0.25">
      <c r="A3805" s="148"/>
      <c r="C3805" s="153" t="s">
        <v>582</v>
      </c>
      <c r="D3805" s="152"/>
      <c r="E3805" s="151"/>
      <c r="F3805" s="150">
        <f>F3804+F3802</f>
        <v>0</v>
      </c>
      <c r="G3805" s="150">
        <f>G3804+G3802</f>
        <v>0</v>
      </c>
    </row>
    <row r="3806" spans="1:7" ht="15.75" thickBot="1" x14ac:dyDescent="0.3">
      <c r="A3806" s="148"/>
      <c r="C3806" s="145"/>
      <c r="D3806" s="149"/>
      <c r="E3806" s="145"/>
      <c r="F3806" s="144"/>
      <c r="G3806" s="144"/>
    </row>
    <row r="3807" spans="1:7" ht="15.75" thickBot="1" x14ac:dyDescent="0.3">
      <c r="A3807" s="148"/>
      <c r="C3807" s="147" t="s">
        <v>620</v>
      </c>
      <c r="D3807" s="146">
        <f>F3805-G3805</f>
        <v>0</v>
      </c>
      <c r="E3807" s="145"/>
      <c r="F3807" s="144"/>
      <c r="G3807" s="144"/>
    </row>
    <row r="3808" spans="1:7" ht="15.75" thickBot="1" x14ac:dyDescent="0.3">
      <c r="A3808" s="148"/>
      <c r="C3808" s="145"/>
      <c r="D3808" s="144"/>
      <c r="E3808" s="145"/>
      <c r="F3808" s="144"/>
      <c r="G3808" s="144"/>
    </row>
    <row r="3809" spans="1:7" ht="30.75" thickBot="1" x14ac:dyDescent="0.3">
      <c r="A3809" s="238" t="s">
        <v>626</v>
      </c>
      <c r="B3809" s="237" t="s">
        <v>606</v>
      </c>
      <c r="C3809" s="236" t="s">
        <v>631</v>
      </c>
      <c r="D3809" s="235" t="s">
        <v>601</v>
      </c>
      <c r="E3809" s="234" t="s">
        <v>287</v>
      </c>
      <c r="F3809" s="233" t="s">
        <v>624</v>
      </c>
      <c r="G3809" s="233" t="s">
        <v>596</v>
      </c>
    </row>
    <row r="3810" spans="1:7" x14ac:dyDescent="0.25">
      <c r="A3810" s="169" t="str">
        <f>E3810&amp;COUNTIFS($E$2:E3810,E3810)</f>
        <v>0</v>
      </c>
      <c r="B3810" s="172"/>
      <c r="C3810" s="174"/>
      <c r="D3810" s="173"/>
      <c r="E3810" s="172"/>
      <c r="F3810" s="171"/>
      <c r="G3810" s="170"/>
    </row>
    <row r="3811" spans="1:7" x14ac:dyDescent="0.25">
      <c r="A3811" s="169" t="str">
        <f>E3811&amp;COUNTIFS($E$2:E3811,E3811)</f>
        <v>0</v>
      </c>
      <c r="B3811" s="166"/>
      <c r="C3811" s="168"/>
      <c r="D3811" s="167"/>
      <c r="E3811" s="166"/>
      <c r="F3811" s="165"/>
      <c r="G3811" s="164"/>
    </row>
    <row r="3812" spans="1:7" x14ac:dyDescent="0.25">
      <c r="A3812" s="169" t="str">
        <f>E3812&amp;COUNTIFS($E$2:E3812,E3812)</f>
        <v>0</v>
      </c>
      <c r="B3812" s="166"/>
      <c r="C3812" s="168"/>
      <c r="D3812" s="167"/>
      <c r="E3812" s="166"/>
      <c r="F3812" s="165"/>
      <c r="G3812" s="164"/>
    </row>
    <row r="3813" spans="1:7" x14ac:dyDescent="0.25">
      <c r="A3813" s="169" t="str">
        <f>E3813&amp;COUNTIFS($E$2:E3813,E3813)</f>
        <v>0</v>
      </c>
      <c r="B3813" s="166"/>
      <c r="C3813" s="168"/>
      <c r="D3813" s="167"/>
      <c r="E3813" s="166"/>
      <c r="F3813" s="165"/>
      <c r="G3813" s="164"/>
    </row>
    <row r="3814" spans="1:7" x14ac:dyDescent="0.25">
      <c r="A3814" s="169" t="str">
        <f>E3814&amp;COUNTIFS($E$2:E3814,E3814)</f>
        <v>0</v>
      </c>
      <c r="B3814" s="166"/>
      <c r="C3814" s="168"/>
      <c r="D3814" s="167"/>
      <c r="E3814" s="166"/>
      <c r="F3814" s="165"/>
      <c r="G3814" s="164"/>
    </row>
    <row r="3815" spans="1:7" x14ac:dyDescent="0.25">
      <c r="A3815" s="169" t="str">
        <f>E3815&amp;COUNTIFS($E$2:E3815,E3815)</f>
        <v>0</v>
      </c>
      <c r="B3815" s="166"/>
      <c r="C3815" s="168"/>
      <c r="D3815" s="167"/>
      <c r="E3815" s="166"/>
      <c r="F3815" s="165"/>
      <c r="G3815" s="164"/>
    </row>
    <row r="3816" spans="1:7" x14ac:dyDescent="0.25">
      <c r="A3816" s="169" t="str">
        <f>E3816&amp;COUNTIFS($E$2:E3816,E3816)</f>
        <v>0</v>
      </c>
      <c r="B3816" s="166"/>
      <c r="C3816" s="168"/>
      <c r="D3816" s="167"/>
      <c r="E3816" s="166"/>
      <c r="F3816" s="165"/>
      <c r="G3816" s="164"/>
    </row>
    <row r="3817" spans="1:7" x14ac:dyDescent="0.25">
      <c r="A3817" s="169" t="str">
        <f>E3817&amp;COUNTIFS($E$2:E3817,E3817)</f>
        <v>0</v>
      </c>
      <c r="B3817" s="166"/>
      <c r="C3817" s="168"/>
      <c r="D3817" s="167"/>
      <c r="E3817" s="166"/>
      <c r="F3817" s="165"/>
      <c r="G3817" s="164"/>
    </row>
    <row r="3818" spans="1:7" x14ac:dyDescent="0.25">
      <c r="A3818" s="169" t="str">
        <f>E3818&amp;COUNTIFS($E$2:E3818,E3818)</f>
        <v>0</v>
      </c>
      <c r="B3818" s="166"/>
      <c r="C3818" s="168"/>
      <c r="D3818" s="167"/>
      <c r="E3818" s="166"/>
      <c r="F3818" s="165"/>
      <c r="G3818" s="164"/>
    </row>
    <row r="3819" spans="1:7" x14ac:dyDescent="0.25">
      <c r="A3819" s="169" t="str">
        <f>E3819&amp;COUNTIFS($E$2:E3819,E3819)</f>
        <v>0</v>
      </c>
      <c r="B3819" s="166"/>
      <c r="C3819" s="168"/>
      <c r="D3819" s="167"/>
      <c r="E3819" s="166"/>
      <c r="F3819" s="165"/>
      <c r="G3819" s="164"/>
    </row>
    <row r="3820" spans="1:7" x14ac:dyDescent="0.25">
      <c r="A3820" s="169" t="str">
        <f>E3820&amp;COUNTIFS($E$2:E3820,E3820)</f>
        <v>0</v>
      </c>
      <c r="B3820" s="166"/>
      <c r="C3820" s="168"/>
      <c r="D3820" s="167"/>
      <c r="E3820" s="166"/>
      <c r="F3820" s="165"/>
      <c r="G3820" s="164"/>
    </row>
    <row r="3821" spans="1:7" x14ac:dyDescent="0.25">
      <c r="A3821" s="169" t="str">
        <f>E3821&amp;COUNTIFS($E$2:E3821,E3821)</f>
        <v>0</v>
      </c>
      <c r="B3821" s="166"/>
      <c r="C3821" s="168"/>
      <c r="D3821" s="167"/>
      <c r="E3821" s="166"/>
      <c r="F3821" s="165"/>
      <c r="G3821" s="164"/>
    </row>
    <row r="3822" spans="1:7" x14ac:dyDescent="0.25">
      <c r="A3822" s="169" t="str">
        <f>E3822&amp;COUNTIFS($E$2:E3822,E3822)</f>
        <v>0</v>
      </c>
      <c r="B3822" s="166"/>
      <c r="C3822" s="168"/>
      <c r="D3822" s="167"/>
      <c r="E3822" s="166"/>
      <c r="F3822" s="165"/>
      <c r="G3822" s="164"/>
    </row>
    <row r="3823" spans="1:7" x14ac:dyDescent="0.25">
      <c r="A3823" s="169" t="str">
        <f>E3823&amp;COUNTIFS($E$2:E3823,E3823)</f>
        <v>0</v>
      </c>
      <c r="B3823" s="166"/>
      <c r="C3823" s="168"/>
      <c r="D3823" s="167"/>
      <c r="E3823" s="166"/>
      <c r="F3823" s="165"/>
      <c r="G3823" s="164"/>
    </row>
    <row r="3824" spans="1:7" x14ac:dyDescent="0.25">
      <c r="A3824" s="169" t="str">
        <f>E3824&amp;COUNTIFS($E$2:E3824,E3824)</f>
        <v>0</v>
      </c>
      <c r="B3824" s="166"/>
      <c r="C3824" s="168"/>
      <c r="D3824" s="167"/>
      <c r="E3824" s="166"/>
      <c r="F3824" s="165"/>
      <c r="G3824" s="164"/>
    </row>
    <row r="3825" spans="1:7" x14ac:dyDescent="0.25">
      <c r="A3825" s="169" t="str">
        <f>E3825&amp;COUNTIFS($E$2:E3825,E3825)</f>
        <v>0</v>
      </c>
      <c r="B3825" s="166"/>
      <c r="C3825" s="168"/>
      <c r="D3825" s="167"/>
      <c r="E3825" s="166"/>
      <c r="F3825" s="165"/>
      <c r="G3825" s="164"/>
    </row>
    <row r="3826" spans="1:7" x14ac:dyDescent="0.25">
      <c r="A3826" s="169" t="str">
        <f>E3826&amp;COUNTIFS($E$2:E3826,E3826)</f>
        <v>0</v>
      </c>
      <c r="B3826" s="166"/>
      <c r="C3826" s="168"/>
      <c r="D3826" s="167"/>
      <c r="E3826" s="166"/>
      <c r="F3826" s="165"/>
      <c r="G3826" s="164"/>
    </row>
    <row r="3827" spans="1:7" x14ac:dyDescent="0.25">
      <c r="A3827" s="169" t="str">
        <f>E3827&amp;COUNTIFS($E$2:E3827,E3827)</f>
        <v>0</v>
      </c>
      <c r="B3827" s="166"/>
      <c r="C3827" s="168"/>
      <c r="D3827" s="167"/>
      <c r="E3827" s="166"/>
      <c r="F3827" s="165"/>
      <c r="G3827" s="164"/>
    </row>
    <row r="3828" spans="1:7" x14ac:dyDescent="0.25">
      <c r="A3828" s="169" t="str">
        <f>E3828&amp;COUNTIFS($E$2:E3828,E3828)</f>
        <v>0</v>
      </c>
      <c r="B3828" s="166"/>
      <c r="C3828" s="168"/>
      <c r="D3828" s="167"/>
      <c r="E3828" s="166"/>
      <c r="F3828" s="165"/>
      <c r="G3828" s="164"/>
    </row>
    <row r="3829" spans="1:7" x14ac:dyDescent="0.25">
      <c r="A3829" s="169" t="str">
        <f>E3829&amp;COUNTIFS($E$2:E3829,E3829)</f>
        <v>0</v>
      </c>
      <c r="B3829" s="166"/>
      <c r="C3829" s="168"/>
      <c r="D3829" s="167"/>
      <c r="E3829" s="166"/>
      <c r="F3829" s="165"/>
      <c r="G3829" s="164"/>
    </row>
    <row r="3830" spans="1:7" x14ac:dyDescent="0.25">
      <c r="A3830" s="169" t="str">
        <f>E3830&amp;COUNTIFS($E$2:E3830,E3830)</f>
        <v>0</v>
      </c>
      <c r="B3830" s="166"/>
      <c r="C3830" s="168"/>
      <c r="D3830" s="167"/>
      <c r="E3830" s="166"/>
      <c r="F3830" s="165"/>
      <c r="G3830" s="164"/>
    </row>
    <row r="3831" spans="1:7" x14ac:dyDescent="0.25">
      <c r="A3831" s="169" t="str">
        <f>E3831&amp;COUNTIFS($E$2:E3831,E3831)</f>
        <v>0</v>
      </c>
      <c r="B3831" s="166"/>
      <c r="C3831" s="168"/>
      <c r="D3831" s="167"/>
      <c r="E3831" s="166"/>
      <c r="F3831" s="165"/>
      <c r="G3831" s="164"/>
    </row>
    <row r="3832" spans="1:7" x14ac:dyDescent="0.25">
      <c r="A3832" s="169" t="str">
        <f>E3832&amp;COUNTIFS($E$2:E3832,E3832)</f>
        <v>0</v>
      </c>
      <c r="B3832" s="166"/>
      <c r="C3832" s="168"/>
      <c r="D3832" s="167"/>
      <c r="E3832" s="166"/>
      <c r="F3832" s="165"/>
      <c r="G3832" s="164"/>
    </row>
    <row r="3833" spans="1:7" x14ac:dyDescent="0.25">
      <c r="A3833" s="169" t="str">
        <f>E3833&amp;COUNTIFS($E$2:E3833,E3833)</f>
        <v>0</v>
      </c>
      <c r="B3833" s="166"/>
      <c r="C3833" s="168"/>
      <c r="D3833" s="167"/>
      <c r="E3833" s="166"/>
      <c r="F3833" s="165"/>
      <c r="G3833" s="164"/>
    </row>
    <row r="3834" spans="1:7" ht="15.75" thickBot="1" x14ac:dyDescent="0.3">
      <c r="A3834" s="163" t="str">
        <f>E3834&amp;COUNTIFS($E$2:E3834,E3834)</f>
        <v>0</v>
      </c>
      <c r="B3834" s="160"/>
      <c r="C3834" s="162"/>
      <c r="D3834" s="161"/>
      <c r="E3834" s="160"/>
      <c r="F3834" s="159"/>
      <c r="G3834" s="158"/>
    </row>
    <row r="3835" spans="1:7" x14ac:dyDescent="0.25">
      <c r="A3835" s="148"/>
      <c r="C3835" s="143"/>
      <c r="D3835" s="157"/>
      <c r="E3835" s="143"/>
      <c r="F3835" s="156"/>
      <c r="G3835" s="156"/>
    </row>
    <row r="3836" spans="1:7" x14ac:dyDescent="0.25">
      <c r="A3836" s="148"/>
      <c r="C3836" s="153" t="s">
        <v>623</v>
      </c>
      <c r="D3836" s="152"/>
      <c r="E3836" s="151"/>
      <c r="F3836" s="150">
        <f>SUM(F3810:F3834)</f>
        <v>0</v>
      </c>
      <c r="G3836" s="155">
        <f>SUM(G3810:G3834)</f>
        <v>0</v>
      </c>
    </row>
    <row r="3837" spans="1:7" x14ac:dyDescent="0.25">
      <c r="A3837" s="148"/>
      <c r="C3837" s="145" t="s">
        <v>622</v>
      </c>
      <c r="D3837" s="154"/>
      <c r="E3837" s="145"/>
      <c r="F3837" s="144"/>
      <c r="G3837" s="144"/>
    </row>
    <row r="3838" spans="1:7" x14ac:dyDescent="0.25">
      <c r="A3838" s="148"/>
      <c r="C3838" s="153" t="s">
        <v>621</v>
      </c>
      <c r="D3838" s="152"/>
      <c r="E3838" s="151"/>
      <c r="F3838" s="150">
        <f>F3805</f>
        <v>0</v>
      </c>
      <c r="G3838" s="150">
        <f>G3805</f>
        <v>0</v>
      </c>
    </row>
    <row r="3839" spans="1:7" x14ac:dyDescent="0.25">
      <c r="A3839" s="148"/>
      <c r="C3839" s="153" t="s">
        <v>582</v>
      </c>
      <c r="D3839" s="152"/>
      <c r="E3839" s="151"/>
      <c r="F3839" s="150">
        <f>F3838+F3836</f>
        <v>0</v>
      </c>
      <c r="G3839" s="150">
        <f>G3838+G3836</f>
        <v>0</v>
      </c>
    </row>
    <row r="3840" spans="1:7" ht="15.75" thickBot="1" x14ac:dyDescent="0.3">
      <c r="A3840" s="148"/>
      <c r="C3840" s="145"/>
      <c r="D3840" s="149"/>
      <c r="E3840" s="145"/>
      <c r="F3840" s="144"/>
      <c r="G3840" s="144"/>
    </row>
    <row r="3841" spans="1:7" ht="15.75" thickBot="1" x14ac:dyDescent="0.3">
      <c r="A3841" s="148"/>
      <c r="C3841" s="147" t="s">
        <v>620</v>
      </c>
      <c r="D3841" s="146">
        <f>F3839-G3839</f>
        <v>0</v>
      </c>
      <c r="E3841" s="145"/>
      <c r="F3841" s="144"/>
      <c r="G3841" s="144"/>
    </row>
    <row r="3842" spans="1:7" ht="15.75" thickBot="1" x14ac:dyDescent="0.3">
      <c r="A3842" s="148"/>
      <c r="C3842" s="145"/>
      <c r="D3842" s="144"/>
      <c r="E3842" s="145"/>
      <c r="F3842" s="144"/>
      <c r="G3842" s="144"/>
    </row>
    <row r="3843" spans="1:7" ht="30.75" thickBot="1" x14ac:dyDescent="0.3">
      <c r="A3843" s="232" t="s">
        <v>626</v>
      </c>
      <c r="B3843" s="231" t="s">
        <v>606</v>
      </c>
      <c r="C3843" s="230" t="s">
        <v>630</v>
      </c>
      <c r="D3843" s="229" t="s">
        <v>601</v>
      </c>
      <c r="E3843" s="228" t="s">
        <v>287</v>
      </c>
      <c r="F3843" s="227" t="s">
        <v>624</v>
      </c>
      <c r="G3843" s="227" t="s">
        <v>596</v>
      </c>
    </row>
    <row r="3844" spans="1:7" x14ac:dyDescent="0.25">
      <c r="A3844" s="169" t="str">
        <f>E3844&amp;COUNTIFS($E$2:E3844,E3844)</f>
        <v>0</v>
      </c>
      <c r="B3844" s="172"/>
      <c r="C3844" s="174"/>
      <c r="D3844" s="173"/>
      <c r="E3844" s="172"/>
      <c r="F3844" s="171"/>
      <c r="G3844" s="170"/>
    </row>
    <row r="3845" spans="1:7" x14ac:dyDescent="0.25">
      <c r="A3845" s="169" t="str">
        <f>E3845&amp;COUNTIFS($E$2:E3845,E3845)</f>
        <v>0</v>
      </c>
      <c r="B3845" s="166"/>
      <c r="C3845" s="168"/>
      <c r="D3845" s="167"/>
      <c r="E3845" s="166"/>
      <c r="F3845" s="165"/>
      <c r="G3845" s="164"/>
    </row>
    <row r="3846" spans="1:7" x14ac:dyDescent="0.25">
      <c r="A3846" s="169" t="str">
        <f>E3846&amp;COUNTIFS($E$2:E3846,E3846)</f>
        <v>0</v>
      </c>
      <c r="B3846" s="166"/>
      <c r="C3846" s="168"/>
      <c r="D3846" s="167"/>
      <c r="E3846" s="166"/>
      <c r="F3846" s="165"/>
      <c r="G3846" s="164"/>
    </row>
    <row r="3847" spans="1:7" x14ac:dyDescent="0.25">
      <c r="A3847" s="169" t="str">
        <f>E3847&amp;COUNTIFS($E$2:E3847,E3847)</f>
        <v>0</v>
      </c>
      <c r="B3847" s="166"/>
      <c r="C3847" s="168"/>
      <c r="D3847" s="167"/>
      <c r="E3847" s="166"/>
      <c r="F3847" s="165"/>
      <c r="G3847" s="164"/>
    </row>
    <row r="3848" spans="1:7" x14ac:dyDescent="0.25">
      <c r="A3848" s="169" t="str">
        <f>E3848&amp;COUNTIFS($E$2:E3848,E3848)</f>
        <v>0</v>
      </c>
      <c r="B3848" s="166"/>
      <c r="C3848" s="168"/>
      <c r="D3848" s="167"/>
      <c r="E3848" s="166"/>
      <c r="F3848" s="165"/>
      <c r="G3848" s="164"/>
    </row>
    <row r="3849" spans="1:7" x14ac:dyDescent="0.25">
      <c r="A3849" s="169" t="str">
        <f>E3849&amp;COUNTIFS($E$2:E3849,E3849)</f>
        <v>0</v>
      </c>
      <c r="B3849" s="166"/>
      <c r="C3849" s="168"/>
      <c r="D3849" s="167"/>
      <c r="E3849" s="166"/>
      <c r="F3849" s="165"/>
      <c r="G3849" s="164"/>
    </row>
    <row r="3850" spans="1:7" x14ac:dyDescent="0.25">
      <c r="A3850" s="169" t="str">
        <f>E3850&amp;COUNTIFS($E$2:E3850,E3850)</f>
        <v>0</v>
      </c>
      <c r="B3850" s="166"/>
      <c r="C3850" s="168"/>
      <c r="D3850" s="167"/>
      <c r="E3850" s="166"/>
      <c r="F3850" s="165"/>
      <c r="G3850" s="164"/>
    </row>
    <row r="3851" spans="1:7" x14ac:dyDescent="0.25">
      <c r="A3851" s="169" t="str">
        <f>E3851&amp;COUNTIFS($E$2:E3851,E3851)</f>
        <v>0</v>
      </c>
      <c r="B3851" s="166"/>
      <c r="C3851" s="168"/>
      <c r="D3851" s="167"/>
      <c r="E3851" s="166"/>
      <c r="F3851" s="165"/>
      <c r="G3851" s="164"/>
    </row>
    <row r="3852" spans="1:7" x14ac:dyDescent="0.25">
      <c r="A3852" s="169" t="str">
        <f>E3852&amp;COUNTIFS($E$2:E3852,E3852)</f>
        <v>0</v>
      </c>
      <c r="B3852" s="166"/>
      <c r="C3852" s="168"/>
      <c r="D3852" s="167"/>
      <c r="E3852" s="166"/>
      <c r="F3852" s="165"/>
      <c r="G3852" s="164"/>
    </row>
    <row r="3853" spans="1:7" x14ac:dyDescent="0.25">
      <c r="A3853" s="169" t="str">
        <f>E3853&amp;COUNTIFS($E$2:E3853,E3853)</f>
        <v>0</v>
      </c>
      <c r="B3853" s="166"/>
      <c r="C3853" s="168"/>
      <c r="D3853" s="167"/>
      <c r="E3853" s="166"/>
      <c r="F3853" s="165"/>
      <c r="G3853" s="164"/>
    </row>
    <row r="3854" spans="1:7" x14ac:dyDescent="0.25">
      <c r="A3854" s="169" t="str">
        <f>E3854&amp;COUNTIFS($E$2:E3854,E3854)</f>
        <v>0</v>
      </c>
      <c r="B3854" s="166"/>
      <c r="C3854" s="168"/>
      <c r="D3854" s="167"/>
      <c r="E3854" s="166"/>
      <c r="F3854" s="165"/>
      <c r="G3854" s="164"/>
    </row>
    <row r="3855" spans="1:7" x14ac:dyDescent="0.25">
      <c r="A3855" s="169" t="str">
        <f>E3855&amp;COUNTIFS($E$2:E3855,E3855)</f>
        <v>0</v>
      </c>
      <c r="B3855" s="166"/>
      <c r="C3855" s="168"/>
      <c r="D3855" s="167"/>
      <c r="E3855" s="166"/>
      <c r="F3855" s="165"/>
      <c r="G3855" s="164"/>
    </row>
    <row r="3856" spans="1:7" x14ac:dyDescent="0.25">
      <c r="A3856" s="169" t="str">
        <f>E3856&amp;COUNTIFS($E$2:E3856,E3856)</f>
        <v>0</v>
      </c>
      <c r="B3856" s="166"/>
      <c r="C3856" s="168"/>
      <c r="D3856" s="167"/>
      <c r="E3856" s="166"/>
      <c r="F3856" s="165"/>
      <c r="G3856" s="164"/>
    </row>
    <row r="3857" spans="1:7" x14ac:dyDescent="0.25">
      <c r="A3857" s="169" t="str">
        <f>E3857&amp;COUNTIFS($E$2:E3857,E3857)</f>
        <v>0</v>
      </c>
      <c r="B3857" s="166"/>
      <c r="C3857" s="168"/>
      <c r="D3857" s="167"/>
      <c r="E3857" s="166"/>
      <c r="F3857" s="165"/>
      <c r="G3857" s="164"/>
    </row>
    <row r="3858" spans="1:7" x14ac:dyDescent="0.25">
      <c r="A3858" s="169" t="str">
        <f>E3858&amp;COUNTIFS($E$2:E3858,E3858)</f>
        <v>0</v>
      </c>
      <c r="B3858" s="166"/>
      <c r="C3858" s="168"/>
      <c r="D3858" s="167"/>
      <c r="E3858" s="166"/>
      <c r="F3858" s="165"/>
      <c r="G3858" s="164"/>
    </row>
    <row r="3859" spans="1:7" x14ac:dyDescent="0.25">
      <c r="A3859" s="169" t="str">
        <f>E3859&amp;COUNTIFS($E$2:E3859,E3859)</f>
        <v>0</v>
      </c>
      <c r="B3859" s="166"/>
      <c r="C3859" s="168"/>
      <c r="D3859" s="167"/>
      <c r="E3859" s="166"/>
      <c r="F3859" s="165"/>
      <c r="G3859" s="164"/>
    </row>
    <row r="3860" spans="1:7" x14ac:dyDescent="0.25">
      <c r="A3860" s="169" t="str">
        <f>E3860&amp;COUNTIFS($E$2:E3860,E3860)</f>
        <v>0</v>
      </c>
      <c r="B3860" s="166"/>
      <c r="C3860" s="168"/>
      <c r="D3860" s="167"/>
      <c r="E3860" s="166"/>
      <c r="F3860" s="165"/>
      <c r="G3860" s="164"/>
    </row>
    <row r="3861" spans="1:7" x14ac:dyDescent="0.25">
      <c r="A3861" s="169" t="str">
        <f>E3861&amp;COUNTIFS($E$2:E3861,E3861)</f>
        <v>0</v>
      </c>
      <c r="B3861" s="166"/>
      <c r="C3861" s="168"/>
      <c r="D3861" s="167"/>
      <c r="E3861" s="166"/>
      <c r="F3861" s="165"/>
      <c r="G3861" s="164"/>
    </row>
    <row r="3862" spans="1:7" x14ac:dyDescent="0.25">
      <c r="A3862" s="169" t="str">
        <f>E3862&amp;COUNTIFS($E$2:E3862,E3862)</f>
        <v>0</v>
      </c>
      <c r="B3862" s="166"/>
      <c r="C3862" s="168"/>
      <c r="D3862" s="167"/>
      <c r="E3862" s="166"/>
      <c r="F3862" s="165"/>
      <c r="G3862" s="164"/>
    </row>
    <row r="3863" spans="1:7" x14ac:dyDescent="0.25">
      <c r="A3863" s="169" t="str">
        <f>E3863&amp;COUNTIFS($E$2:E3863,E3863)</f>
        <v>0</v>
      </c>
      <c r="B3863" s="166"/>
      <c r="C3863" s="168"/>
      <c r="D3863" s="167"/>
      <c r="E3863" s="166"/>
      <c r="F3863" s="165"/>
      <c r="G3863" s="164"/>
    </row>
    <row r="3864" spans="1:7" x14ac:dyDescent="0.25">
      <c r="A3864" s="169" t="str">
        <f>E3864&amp;COUNTIFS($E$2:E3864,E3864)</f>
        <v>0</v>
      </c>
      <c r="B3864" s="166"/>
      <c r="C3864" s="168"/>
      <c r="D3864" s="167"/>
      <c r="E3864" s="166"/>
      <c r="F3864" s="165"/>
      <c r="G3864" s="164"/>
    </row>
    <row r="3865" spans="1:7" x14ac:dyDescent="0.25">
      <c r="A3865" s="169" t="str">
        <f>E3865&amp;COUNTIFS($E$2:E3865,E3865)</f>
        <v>0</v>
      </c>
      <c r="B3865" s="166"/>
      <c r="C3865" s="168"/>
      <c r="D3865" s="167"/>
      <c r="E3865" s="166"/>
      <c r="F3865" s="165"/>
      <c r="G3865" s="164"/>
    </row>
    <row r="3866" spans="1:7" x14ac:dyDescent="0.25">
      <c r="A3866" s="169" t="str">
        <f>E3866&amp;COUNTIFS($E$2:E3866,E3866)</f>
        <v>0</v>
      </c>
      <c r="B3866" s="166"/>
      <c r="C3866" s="168"/>
      <c r="D3866" s="167"/>
      <c r="E3866" s="166"/>
      <c r="F3866" s="165"/>
      <c r="G3866" s="164"/>
    </row>
    <row r="3867" spans="1:7" x14ac:dyDescent="0.25">
      <c r="A3867" s="169" t="str">
        <f>E3867&amp;COUNTIFS($E$2:E3867,E3867)</f>
        <v>0</v>
      </c>
      <c r="B3867" s="166"/>
      <c r="C3867" s="168"/>
      <c r="D3867" s="167"/>
      <c r="E3867" s="166"/>
      <c r="F3867" s="165"/>
      <c r="G3867" s="164"/>
    </row>
    <row r="3868" spans="1:7" ht="15.75" thickBot="1" x14ac:dyDescent="0.3">
      <c r="A3868" s="163" t="str">
        <f>E3868&amp;COUNTIFS($E$2:E3868,E3868)</f>
        <v>0</v>
      </c>
      <c r="B3868" s="166"/>
      <c r="C3868" s="162"/>
      <c r="D3868" s="161"/>
      <c r="E3868" s="160"/>
      <c r="F3868" s="159"/>
      <c r="G3868" s="158"/>
    </row>
    <row r="3869" spans="1:7" x14ac:dyDescent="0.25">
      <c r="A3869" s="148"/>
      <c r="C3869" s="143"/>
      <c r="D3869" s="157"/>
      <c r="E3869" s="143"/>
      <c r="F3869" s="156"/>
      <c r="G3869" s="156"/>
    </row>
    <row r="3870" spans="1:7" x14ac:dyDescent="0.25">
      <c r="A3870" s="148"/>
      <c r="C3870" s="153" t="s">
        <v>623</v>
      </c>
      <c r="D3870" s="152"/>
      <c r="E3870" s="151"/>
      <c r="F3870" s="150">
        <f>SUM(F3844:F3868)</f>
        <v>0</v>
      </c>
      <c r="G3870" s="155">
        <f>SUM(G3844:G3868)</f>
        <v>0</v>
      </c>
    </row>
    <row r="3871" spans="1:7" x14ac:dyDescent="0.25">
      <c r="A3871" s="148"/>
      <c r="C3871" s="145" t="s">
        <v>622</v>
      </c>
      <c r="D3871" s="154"/>
      <c r="E3871" s="145"/>
      <c r="F3871" s="144"/>
      <c r="G3871" s="144"/>
    </row>
    <row r="3872" spans="1:7" x14ac:dyDescent="0.25">
      <c r="A3872" s="148"/>
      <c r="C3872" s="153" t="s">
        <v>621</v>
      </c>
      <c r="D3872" s="152"/>
      <c r="E3872" s="151"/>
      <c r="F3872" s="150">
        <f>F3805</f>
        <v>0</v>
      </c>
      <c r="G3872" s="150">
        <f>G3805</f>
        <v>0</v>
      </c>
    </row>
    <row r="3873" spans="1:7" x14ac:dyDescent="0.25">
      <c r="A3873" s="148"/>
      <c r="C3873" s="153" t="s">
        <v>582</v>
      </c>
      <c r="D3873" s="152"/>
      <c r="E3873" s="151"/>
      <c r="F3873" s="150">
        <f>F3872+F3870</f>
        <v>0</v>
      </c>
      <c r="G3873" s="150">
        <f>G3872+G3870</f>
        <v>0</v>
      </c>
    </row>
    <row r="3874" spans="1:7" ht="15.75" thickBot="1" x14ac:dyDescent="0.3">
      <c r="A3874" s="148"/>
      <c r="C3874" s="145"/>
      <c r="D3874" s="149"/>
      <c r="E3874" s="145"/>
      <c r="F3874" s="144"/>
      <c r="G3874" s="144"/>
    </row>
    <row r="3875" spans="1:7" ht="15.75" thickBot="1" x14ac:dyDescent="0.3">
      <c r="A3875" s="148"/>
      <c r="C3875" s="147" t="s">
        <v>620</v>
      </c>
      <c r="D3875" s="146">
        <f>F3873-G3873</f>
        <v>0</v>
      </c>
      <c r="E3875" s="145"/>
      <c r="F3875" s="144"/>
      <c r="G3875" s="144"/>
    </row>
    <row r="3876" spans="1:7" ht="15.75" thickBot="1" x14ac:dyDescent="0.3"/>
    <row r="3877" spans="1:7" ht="30.75" thickBot="1" x14ac:dyDescent="0.3">
      <c r="A3877" s="232" t="s">
        <v>626</v>
      </c>
      <c r="B3877" s="231" t="s">
        <v>606</v>
      </c>
      <c r="C3877" s="230" t="s">
        <v>630</v>
      </c>
      <c r="D3877" s="229" t="s">
        <v>601</v>
      </c>
      <c r="E3877" s="228" t="s">
        <v>287</v>
      </c>
      <c r="F3877" s="227" t="s">
        <v>624</v>
      </c>
      <c r="G3877" s="227" t="s">
        <v>596</v>
      </c>
    </row>
    <row r="3878" spans="1:7" x14ac:dyDescent="0.25">
      <c r="A3878" s="169" t="str">
        <f>E3878&amp;COUNTIFS($E$2:E3878,E3878)</f>
        <v>0</v>
      </c>
      <c r="B3878" s="172"/>
      <c r="C3878" s="174"/>
      <c r="D3878" s="173"/>
      <c r="E3878" s="172"/>
      <c r="F3878" s="171"/>
      <c r="G3878" s="170"/>
    </row>
    <row r="3879" spans="1:7" x14ac:dyDescent="0.25">
      <c r="A3879" s="169" t="str">
        <f>E3879&amp;COUNTIFS($E$2:E3879,E3879)</f>
        <v>0</v>
      </c>
      <c r="B3879" s="166"/>
      <c r="C3879" s="168"/>
      <c r="D3879" s="167"/>
      <c r="E3879" s="166"/>
      <c r="F3879" s="165"/>
      <c r="G3879" s="164"/>
    </row>
    <row r="3880" spans="1:7" x14ac:dyDescent="0.25">
      <c r="A3880" s="169" t="str">
        <f>E3880&amp;COUNTIFS($E$2:E3880,E3880)</f>
        <v>0</v>
      </c>
      <c r="B3880" s="166"/>
      <c r="C3880" s="168"/>
      <c r="D3880" s="167"/>
      <c r="E3880" s="166"/>
      <c r="F3880" s="165"/>
      <c r="G3880" s="164"/>
    </row>
    <row r="3881" spans="1:7" x14ac:dyDescent="0.25">
      <c r="A3881" s="169" t="str">
        <f>E3881&amp;COUNTIFS($E$2:E3881,E3881)</f>
        <v>0</v>
      </c>
      <c r="B3881" s="166"/>
      <c r="C3881" s="168"/>
      <c r="D3881" s="167"/>
      <c r="E3881" s="166"/>
      <c r="F3881" s="165"/>
      <c r="G3881" s="164"/>
    </row>
    <row r="3882" spans="1:7" x14ac:dyDescent="0.25">
      <c r="A3882" s="169" t="str">
        <f>E3882&amp;COUNTIFS($E$2:E3882,E3882)</f>
        <v>0</v>
      </c>
      <c r="B3882" s="166"/>
      <c r="C3882" s="168"/>
      <c r="D3882" s="167"/>
      <c r="E3882" s="166"/>
      <c r="F3882" s="165"/>
      <c r="G3882" s="164"/>
    </row>
    <row r="3883" spans="1:7" x14ac:dyDescent="0.25">
      <c r="A3883" s="169" t="str">
        <f>E3883&amp;COUNTIFS($E$2:E3883,E3883)</f>
        <v>0</v>
      </c>
      <c r="B3883" s="166"/>
      <c r="C3883" s="168"/>
      <c r="D3883" s="167"/>
      <c r="E3883" s="166"/>
      <c r="F3883" s="165"/>
      <c r="G3883" s="164"/>
    </row>
    <row r="3884" spans="1:7" x14ac:dyDescent="0.25">
      <c r="A3884" s="169" t="str">
        <f>E3884&amp;COUNTIFS($E$2:E3884,E3884)</f>
        <v>0</v>
      </c>
      <c r="B3884" s="166"/>
      <c r="C3884" s="168"/>
      <c r="D3884" s="167"/>
      <c r="E3884" s="166"/>
      <c r="F3884" s="165"/>
      <c r="G3884" s="164"/>
    </row>
    <row r="3885" spans="1:7" x14ac:dyDescent="0.25">
      <c r="A3885" s="169" t="str">
        <f>E3885&amp;COUNTIFS($E$2:E3885,E3885)</f>
        <v>0</v>
      </c>
      <c r="B3885" s="166"/>
      <c r="C3885" s="168"/>
      <c r="D3885" s="167"/>
      <c r="E3885" s="166"/>
      <c r="F3885" s="165"/>
      <c r="G3885" s="164"/>
    </row>
    <row r="3886" spans="1:7" x14ac:dyDescent="0.25">
      <c r="A3886" s="169" t="str">
        <f>E3886&amp;COUNTIFS($E$2:E3886,E3886)</f>
        <v>0</v>
      </c>
      <c r="B3886" s="166"/>
      <c r="C3886" s="168"/>
      <c r="D3886" s="167"/>
      <c r="E3886" s="166"/>
      <c r="F3886" s="165"/>
      <c r="G3886" s="164"/>
    </row>
    <row r="3887" spans="1:7" x14ac:dyDescent="0.25">
      <c r="A3887" s="169" t="str">
        <f>E3887&amp;COUNTIFS($E$2:E3887,E3887)</f>
        <v>0</v>
      </c>
      <c r="B3887" s="166"/>
      <c r="C3887" s="168"/>
      <c r="D3887" s="167"/>
      <c r="E3887" s="166"/>
      <c r="F3887" s="165"/>
      <c r="G3887" s="164"/>
    </row>
    <row r="3888" spans="1:7" x14ac:dyDescent="0.25">
      <c r="A3888" s="169" t="str">
        <f>E3888&amp;COUNTIFS($E$2:E3888,E3888)</f>
        <v>0</v>
      </c>
      <c r="B3888" s="166"/>
      <c r="C3888" s="168"/>
      <c r="D3888" s="167"/>
      <c r="E3888" s="166"/>
      <c r="F3888" s="165"/>
      <c r="G3888" s="164"/>
    </row>
    <row r="3889" spans="1:7" x14ac:dyDescent="0.25">
      <c r="A3889" s="169" t="str">
        <f>E3889&amp;COUNTIFS($E$2:E3889,E3889)</f>
        <v>0</v>
      </c>
      <c r="B3889" s="166"/>
      <c r="C3889" s="168"/>
      <c r="D3889" s="167"/>
      <c r="E3889" s="166"/>
      <c r="F3889" s="165"/>
      <c r="G3889" s="164"/>
    </row>
    <row r="3890" spans="1:7" x14ac:dyDescent="0.25">
      <c r="A3890" s="169" t="str">
        <f>E3890&amp;COUNTIFS($E$2:E3890,E3890)</f>
        <v>0</v>
      </c>
      <c r="B3890" s="166"/>
      <c r="C3890" s="168"/>
      <c r="D3890" s="167"/>
      <c r="E3890" s="166"/>
      <c r="F3890" s="165"/>
      <c r="G3890" s="164"/>
    </row>
    <row r="3891" spans="1:7" x14ac:dyDescent="0.25">
      <c r="A3891" s="169" t="str">
        <f>E3891&amp;COUNTIFS($E$2:E3891,E3891)</f>
        <v>0</v>
      </c>
      <c r="B3891" s="166"/>
      <c r="C3891" s="168"/>
      <c r="D3891" s="167"/>
      <c r="E3891" s="166"/>
      <c r="F3891" s="165"/>
      <c r="G3891" s="164"/>
    </row>
    <row r="3892" spans="1:7" x14ac:dyDescent="0.25">
      <c r="A3892" s="169" t="str">
        <f>E3892&amp;COUNTIFS($E$2:E3892,E3892)</f>
        <v>0</v>
      </c>
      <c r="B3892" s="166"/>
      <c r="C3892" s="168"/>
      <c r="D3892" s="167"/>
      <c r="E3892" s="166"/>
      <c r="F3892" s="165"/>
      <c r="G3892" s="164"/>
    </row>
    <row r="3893" spans="1:7" x14ac:dyDescent="0.25">
      <c r="A3893" s="169" t="str">
        <f>E3893&amp;COUNTIFS($E$2:E3893,E3893)</f>
        <v>0</v>
      </c>
      <c r="B3893" s="166"/>
      <c r="C3893" s="168"/>
      <c r="D3893" s="167"/>
      <c r="E3893" s="166"/>
      <c r="F3893" s="165"/>
      <c r="G3893" s="164"/>
    </row>
    <row r="3894" spans="1:7" x14ac:dyDescent="0.25">
      <c r="A3894" s="169" t="str">
        <f>E3894&amp;COUNTIFS($E$2:E3894,E3894)</f>
        <v>0</v>
      </c>
      <c r="B3894" s="166"/>
      <c r="C3894" s="168"/>
      <c r="D3894" s="167"/>
      <c r="E3894" s="166"/>
      <c r="F3894" s="165"/>
      <c r="G3894" s="164"/>
    </row>
    <row r="3895" spans="1:7" x14ac:dyDescent="0.25">
      <c r="A3895" s="169" t="str">
        <f>E3895&amp;COUNTIFS($E$2:E3895,E3895)</f>
        <v>0</v>
      </c>
      <c r="B3895" s="166"/>
      <c r="C3895" s="168"/>
      <c r="D3895" s="167"/>
      <c r="E3895" s="166"/>
      <c r="F3895" s="165"/>
      <c r="G3895" s="164"/>
    </row>
    <row r="3896" spans="1:7" x14ac:dyDescent="0.25">
      <c r="A3896" s="169" t="str">
        <f>E3896&amp;COUNTIFS($E$2:E3896,E3896)</f>
        <v>0</v>
      </c>
      <c r="B3896" s="166"/>
      <c r="C3896" s="168"/>
      <c r="D3896" s="167"/>
      <c r="E3896" s="166"/>
      <c r="F3896" s="165"/>
      <c r="G3896" s="164"/>
    </row>
    <row r="3897" spans="1:7" x14ac:dyDescent="0.25">
      <c r="A3897" s="169" t="str">
        <f>E3897&amp;COUNTIFS($E$2:E3897,E3897)</f>
        <v>0</v>
      </c>
      <c r="B3897" s="166"/>
      <c r="C3897" s="168"/>
      <c r="D3897" s="167"/>
      <c r="E3897" s="166"/>
      <c r="F3897" s="165"/>
      <c r="G3897" s="164"/>
    </row>
    <row r="3898" spans="1:7" x14ac:dyDescent="0.25">
      <c r="A3898" s="169" t="str">
        <f>E3898&amp;COUNTIFS($E$2:E3898,E3898)</f>
        <v>0</v>
      </c>
      <c r="B3898" s="166"/>
      <c r="C3898" s="168"/>
      <c r="D3898" s="167"/>
      <c r="E3898" s="166"/>
      <c r="F3898" s="165"/>
      <c r="G3898" s="164"/>
    </row>
    <row r="3899" spans="1:7" x14ac:dyDescent="0.25">
      <c r="A3899" s="169" t="str">
        <f>E3899&amp;COUNTIFS($E$2:E3899,E3899)</f>
        <v>0</v>
      </c>
      <c r="B3899" s="166"/>
      <c r="C3899" s="168"/>
      <c r="D3899" s="167"/>
      <c r="E3899" s="166"/>
      <c r="F3899" s="165"/>
      <c r="G3899" s="164"/>
    </row>
    <row r="3900" spans="1:7" x14ac:dyDescent="0.25">
      <c r="A3900" s="169" t="str">
        <f>E3900&amp;COUNTIFS($E$2:E3900,E3900)</f>
        <v>0</v>
      </c>
      <c r="B3900" s="166"/>
      <c r="C3900" s="168"/>
      <c r="D3900" s="167"/>
      <c r="E3900" s="166"/>
      <c r="F3900" s="165"/>
      <c r="G3900" s="164"/>
    </row>
    <row r="3901" spans="1:7" x14ac:dyDescent="0.25">
      <c r="A3901" s="169" t="str">
        <f>E3901&amp;COUNTIFS($E$2:E3901,E3901)</f>
        <v>0</v>
      </c>
      <c r="B3901" s="166"/>
      <c r="C3901" s="168"/>
      <c r="D3901" s="167"/>
      <c r="E3901" s="166"/>
      <c r="F3901" s="165"/>
      <c r="G3901" s="164"/>
    </row>
    <row r="3902" spans="1:7" ht="15.75" thickBot="1" x14ac:dyDescent="0.3">
      <c r="A3902" s="163" t="str">
        <f>E3902&amp;COUNTIFS($E$2:E3902,E3902)</f>
        <v>0</v>
      </c>
      <c r="B3902" s="166"/>
      <c r="C3902" s="162"/>
      <c r="D3902" s="161"/>
      <c r="E3902" s="160"/>
      <c r="F3902" s="159"/>
      <c r="G3902" s="158"/>
    </row>
    <row r="3903" spans="1:7" x14ac:dyDescent="0.25">
      <c r="A3903" s="148"/>
      <c r="C3903" s="143"/>
      <c r="D3903" s="157"/>
      <c r="E3903" s="143"/>
      <c r="F3903" s="156"/>
      <c r="G3903" s="156"/>
    </row>
    <row r="3904" spans="1:7" x14ac:dyDescent="0.25">
      <c r="A3904" s="148"/>
      <c r="C3904" s="153" t="s">
        <v>623</v>
      </c>
      <c r="D3904" s="152"/>
      <c r="E3904" s="151"/>
      <c r="F3904" s="150">
        <f>SUM(F3878:F3902)</f>
        <v>0</v>
      </c>
      <c r="G3904" s="155">
        <f>SUM(G3878:G3902)</f>
        <v>0</v>
      </c>
    </row>
    <row r="3905" spans="1:7" x14ac:dyDescent="0.25">
      <c r="A3905" s="148"/>
      <c r="C3905" s="145" t="s">
        <v>622</v>
      </c>
      <c r="D3905" s="154"/>
      <c r="E3905" s="145"/>
      <c r="F3905" s="144"/>
      <c r="G3905" s="144"/>
    </row>
    <row r="3906" spans="1:7" x14ac:dyDescent="0.25">
      <c r="A3906" s="148"/>
      <c r="C3906" s="153" t="s">
        <v>621</v>
      </c>
      <c r="D3906" s="152"/>
      <c r="E3906" s="151"/>
      <c r="F3906" s="150">
        <f>F3873</f>
        <v>0</v>
      </c>
      <c r="G3906" s="150">
        <f>G3873</f>
        <v>0</v>
      </c>
    </row>
    <row r="3907" spans="1:7" x14ac:dyDescent="0.25">
      <c r="A3907" s="148"/>
      <c r="C3907" s="153" t="s">
        <v>582</v>
      </c>
      <c r="D3907" s="152"/>
      <c r="E3907" s="151"/>
      <c r="F3907" s="150">
        <f>F3906+F3904</f>
        <v>0</v>
      </c>
      <c r="G3907" s="150">
        <f>G3906+G3904</f>
        <v>0</v>
      </c>
    </row>
    <row r="3908" spans="1:7" ht="15.75" thickBot="1" x14ac:dyDescent="0.3">
      <c r="A3908" s="148"/>
      <c r="C3908" s="145"/>
      <c r="D3908" s="149"/>
      <c r="E3908" s="145"/>
      <c r="F3908" s="144"/>
      <c r="G3908" s="144"/>
    </row>
    <row r="3909" spans="1:7" ht="15.75" thickBot="1" x14ac:dyDescent="0.3">
      <c r="A3909" s="148"/>
      <c r="C3909" s="147" t="s">
        <v>620</v>
      </c>
      <c r="D3909" s="146">
        <f>F3907-G3907</f>
        <v>0</v>
      </c>
      <c r="E3909" s="145"/>
      <c r="F3909" s="144"/>
      <c r="G3909" s="144"/>
    </row>
    <row r="3910" spans="1:7" ht="15.75" thickBot="1" x14ac:dyDescent="0.3"/>
    <row r="3911" spans="1:7" ht="30.75" thickBot="1" x14ac:dyDescent="0.3">
      <c r="A3911" s="232" t="s">
        <v>626</v>
      </c>
      <c r="B3911" s="231" t="s">
        <v>606</v>
      </c>
      <c r="C3911" s="230" t="s">
        <v>630</v>
      </c>
      <c r="D3911" s="229" t="s">
        <v>601</v>
      </c>
      <c r="E3911" s="228" t="s">
        <v>287</v>
      </c>
      <c r="F3911" s="227" t="s">
        <v>624</v>
      </c>
      <c r="G3911" s="227" t="s">
        <v>596</v>
      </c>
    </row>
    <row r="3912" spans="1:7" x14ac:dyDescent="0.25">
      <c r="A3912" s="169" t="str">
        <f>E3912&amp;COUNTIFS($E$2:E3912,E3912)</f>
        <v>0</v>
      </c>
      <c r="B3912" s="172"/>
      <c r="C3912" s="174"/>
      <c r="D3912" s="173"/>
      <c r="E3912" s="172"/>
      <c r="F3912" s="171"/>
      <c r="G3912" s="170"/>
    </row>
    <row r="3913" spans="1:7" x14ac:dyDescent="0.25">
      <c r="A3913" s="169" t="str">
        <f>E3913&amp;COUNTIFS($E$2:E3913,E3913)</f>
        <v>0</v>
      </c>
      <c r="B3913" s="166"/>
      <c r="C3913" s="168"/>
      <c r="D3913" s="167"/>
      <c r="E3913" s="166"/>
      <c r="F3913" s="165"/>
      <c r="G3913" s="164"/>
    </row>
    <row r="3914" spans="1:7" x14ac:dyDescent="0.25">
      <c r="A3914" s="169" t="str">
        <f>E3914&amp;COUNTIFS($E$2:E3914,E3914)</f>
        <v>0</v>
      </c>
      <c r="B3914" s="166"/>
      <c r="C3914" s="168"/>
      <c r="D3914" s="167"/>
      <c r="E3914" s="166"/>
      <c r="F3914" s="165"/>
      <c r="G3914" s="164"/>
    </row>
    <row r="3915" spans="1:7" x14ac:dyDescent="0.25">
      <c r="A3915" s="169" t="str">
        <f>E3915&amp;COUNTIFS($E$2:E3915,E3915)</f>
        <v>0</v>
      </c>
      <c r="B3915" s="166"/>
      <c r="C3915" s="168"/>
      <c r="D3915" s="167"/>
      <c r="E3915" s="166"/>
      <c r="F3915" s="165"/>
      <c r="G3915" s="164"/>
    </row>
    <row r="3916" spans="1:7" x14ac:dyDescent="0.25">
      <c r="A3916" s="169" t="str">
        <f>E3916&amp;COUNTIFS($E$2:E3916,E3916)</f>
        <v>0</v>
      </c>
      <c r="B3916" s="166"/>
      <c r="C3916" s="168"/>
      <c r="D3916" s="167"/>
      <c r="E3916" s="166"/>
      <c r="F3916" s="165"/>
      <c r="G3916" s="164"/>
    </row>
    <row r="3917" spans="1:7" x14ac:dyDescent="0.25">
      <c r="A3917" s="169" t="str">
        <f>E3917&amp;COUNTIFS($E$2:E3917,E3917)</f>
        <v>0</v>
      </c>
      <c r="B3917" s="166"/>
      <c r="C3917" s="168"/>
      <c r="D3917" s="167"/>
      <c r="E3917" s="166"/>
      <c r="F3917" s="165"/>
      <c r="G3917" s="164"/>
    </row>
    <row r="3918" spans="1:7" x14ac:dyDescent="0.25">
      <c r="A3918" s="169" t="str">
        <f>E3918&amp;COUNTIFS($E$2:E3918,E3918)</f>
        <v>0</v>
      </c>
      <c r="B3918" s="166"/>
      <c r="C3918" s="168"/>
      <c r="D3918" s="167"/>
      <c r="E3918" s="166"/>
      <c r="F3918" s="165"/>
      <c r="G3918" s="164"/>
    </row>
    <row r="3919" spans="1:7" x14ac:dyDescent="0.25">
      <c r="A3919" s="169" t="str">
        <f>E3919&amp;COUNTIFS($E$2:E3919,E3919)</f>
        <v>0</v>
      </c>
      <c r="B3919" s="166"/>
      <c r="C3919" s="168"/>
      <c r="D3919" s="167"/>
      <c r="E3919" s="166"/>
      <c r="F3919" s="165"/>
      <c r="G3919" s="164"/>
    </row>
    <row r="3920" spans="1:7" x14ac:dyDescent="0.25">
      <c r="A3920" s="169" t="str">
        <f>E3920&amp;COUNTIFS($E$2:E3920,E3920)</f>
        <v>0</v>
      </c>
      <c r="B3920" s="166"/>
      <c r="C3920" s="168"/>
      <c r="D3920" s="167"/>
      <c r="E3920" s="166"/>
      <c r="F3920" s="165"/>
      <c r="G3920" s="164"/>
    </row>
    <row r="3921" spans="1:7" x14ac:dyDescent="0.25">
      <c r="A3921" s="169" t="str">
        <f>E3921&amp;COUNTIFS($E$2:E3921,E3921)</f>
        <v>0</v>
      </c>
      <c r="B3921" s="166"/>
      <c r="C3921" s="168"/>
      <c r="D3921" s="167"/>
      <c r="E3921" s="166"/>
      <c r="F3921" s="165"/>
      <c r="G3921" s="164"/>
    </row>
    <row r="3922" spans="1:7" x14ac:dyDescent="0.25">
      <c r="A3922" s="169" t="str">
        <f>E3922&amp;COUNTIFS($E$2:E3922,E3922)</f>
        <v>0</v>
      </c>
      <c r="B3922" s="166"/>
      <c r="C3922" s="168"/>
      <c r="D3922" s="167"/>
      <c r="E3922" s="166"/>
      <c r="F3922" s="165"/>
      <c r="G3922" s="164"/>
    </row>
    <row r="3923" spans="1:7" x14ac:dyDescent="0.25">
      <c r="A3923" s="169" t="str">
        <f>E3923&amp;COUNTIFS($E$2:E3923,E3923)</f>
        <v>0</v>
      </c>
      <c r="B3923" s="166"/>
      <c r="C3923" s="168"/>
      <c r="D3923" s="167"/>
      <c r="E3923" s="166"/>
      <c r="F3923" s="165"/>
      <c r="G3923" s="164"/>
    </row>
    <row r="3924" spans="1:7" x14ac:dyDescent="0.25">
      <c r="A3924" s="169" t="str">
        <f>E3924&amp;COUNTIFS($E$2:E3924,E3924)</f>
        <v>0</v>
      </c>
      <c r="B3924" s="166"/>
      <c r="C3924" s="168"/>
      <c r="D3924" s="167"/>
      <c r="E3924" s="166"/>
      <c r="F3924" s="165"/>
      <c r="G3924" s="164"/>
    </row>
    <row r="3925" spans="1:7" x14ac:dyDescent="0.25">
      <c r="A3925" s="169" t="str">
        <f>E3925&amp;COUNTIFS($E$2:E3925,E3925)</f>
        <v>0</v>
      </c>
      <c r="B3925" s="166"/>
      <c r="C3925" s="168"/>
      <c r="D3925" s="167"/>
      <c r="E3925" s="166"/>
      <c r="F3925" s="165"/>
      <c r="G3925" s="164"/>
    </row>
    <row r="3926" spans="1:7" x14ac:dyDescent="0.25">
      <c r="A3926" s="169" t="str">
        <f>E3926&amp;COUNTIFS($E$2:E3926,E3926)</f>
        <v>0</v>
      </c>
      <c r="B3926" s="166"/>
      <c r="C3926" s="168"/>
      <c r="D3926" s="167"/>
      <c r="E3926" s="166"/>
      <c r="F3926" s="165"/>
      <c r="G3926" s="164"/>
    </row>
    <row r="3927" spans="1:7" x14ac:dyDescent="0.25">
      <c r="A3927" s="169" t="str">
        <f>E3927&amp;COUNTIFS($E$2:E3927,E3927)</f>
        <v>0</v>
      </c>
      <c r="B3927" s="166"/>
      <c r="C3927" s="168"/>
      <c r="D3927" s="167"/>
      <c r="E3927" s="166"/>
      <c r="F3927" s="165"/>
      <c r="G3927" s="164"/>
    </row>
    <row r="3928" spans="1:7" x14ac:dyDescent="0.25">
      <c r="A3928" s="169" t="str">
        <f>E3928&amp;COUNTIFS($E$2:E3928,E3928)</f>
        <v>0</v>
      </c>
      <c r="B3928" s="166"/>
      <c r="C3928" s="168"/>
      <c r="D3928" s="167"/>
      <c r="E3928" s="166"/>
      <c r="F3928" s="165"/>
      <c r="G3928" s="164"/>
    </row>
    <row r="3929" spans="1:7" x14ac:dyDescent="0.25">
      <c r="A3929" s="169" t="str">
        <f>E3929&amp;COUNTIFS($E$2:E3929,E3929)</f>
        <v>0</v>
      </c>
      <c r="B3929" s="166"/>
      <c r="C3929" s="168"/>
      <c r="D3929" s="167"/>
      <c r="E3929" s="166"/>
      <c r="F3929" s="165"/>
      <c r="G3929" s="164"/>
    </row>
    <row r="3930" spans="1:7" x14ac:dyDescent="0.25">
      <c r="A3930" s="169" t="str">
        <f>E3930&amp;COUNTIFS($E$2:E3930,E3930)</f>
        <v>0</v>
      </c>
      <c r="B3930" s="166"/>
      <c r="C3930" s="168"/>
      <c r="D3930" s="167"/>
      <c r="E3930" s="166"/>
      <c r="F3930" s="165"/>
      <c r="G3930" s="164"/>
    </row>
    <row r="3931" spans="1:7" x14ac:dyDescent="0.25">
      <c r="A3931" s="169" t="str">
        <f>E3931&amp;COUNTIFS($E$2:E3931,E3931)</f>
        <v>0</v>
      </c>
      <c r="B3931" s="166"/>
      <c r="C3931" s="168"/>
      <c r="D3931" s="167"/>
      <c r="E3931" s="166"/>
      <c r="F3931" s="165"/>
      <c r="G3931" s="164"/>
    </row>
    <row r="3932" spans="1:7" x14ac:dyDescent="0.25">
      <c r="A3932" s="169" t="str">
        <f>E3932&amp;COUNTIFS($E$2:E3932,E3932)</f>
        <v>0</v>
      </c>
      <c r="B3932" s="166"/>
      <c r="C3932" s="168"/>
      <c r="D3932" s="167"/>
      <c r="E3932" s="166"/>
      <c r="F3932" s="165"/>
      <c r="G3932" s="164"/>
    </row>
    <row r="3933" spans="1:7" x14ac:dyDescent="0.25">
      <c r="A3933" s="169" t="str">
        <f>E3933&amp;COUNTIFS($E$2:E3933,E3933)</f>
        <v>0</v>
      </c>
      <c r="B3933" s="166"/>
      <c r="C3933" s="168"/>
      <c r="D3933" s="167"/>
      <c r="E3933" s="166"/>
      <c r="F3933" s="165"/>
      <c r="G3933" s="164"/>
    </row>
    <row r="3934" spans="1:7" x14ac:dyDescent="0.25">
      <c r="A3934" s="169" t="str">
        <f>E3934&amp;COUNTIFS($E$2:E3934,E3934)</f>
        <v>0</v>
      </c>
      <c r="B3934" s="166"/>
      <c r="C3934" s="168"/>
      <c r="D3934" s="167"/>
      <c r="E3934" s="166"/>
      <c r="F3934" s="165"/>
      <c r="G3934" s="164"/>
    </row>
    <row r="3935" spans="1:7" x14ac:dyDescent="0.25">
      <c r="A3935" s="169" t="str">
        <f>E3935&amp;COUNTIFS($E$2:E3935,E3935)</f>
        <v>0</v>
      </c>
      <c r="B3935" s="166"/>
      <c r="C3935" s="168"/>
      <c r="D3935" s="167"/>
      <c r="E3935" s="166"/>
      <c r="F3935" s="165"/>
      <c r="G3935" s="164"/>
    </row>
    <row r="3936" spans="1:7" ht="15.75" thickBot="1" x14ac:dyDescent="0.3">
      <c r="A3936" s="163" t="str">
        <f>E3936&amp;COUNTIFS($E$2:E3936,E3936)</f>
        <v>0</v>
      </c>
      <c r="B3936" s="166"/>
      <c r="C3936" s="162"/>
      <c r="D3936" s="161"/>
      <c r="E3936" s="160"/>
      <c r="F3936" s="159"/>
      <c r="G3936" s="158"/>
    </row>
    <row r="3937" spans="1:7" x14ac:dyDescent="0.25">
      <c r="A3937" s="148"/>
      <c r="C3937" s="143"/>
      <c r="D3937" s="157"/>
      <c r="E3937" s="143"/>
      <c r="F3937" s="156"/>
      <c r="G3937" s="156"/>
    </row>
    <row r="3938" spans="1:7" x14ac:dyDescent="0.25">
      <c r="A3938" s="148"/>
      <c r="C3938" s="153" t="s">
        <v>623</v>
      </c>
      <c r="D3938" s="152"/>
      <c r="E3938" s="151"/>
      <c r="F3938" s="150">
        <f>SUM(F3912:F3936)</f>
        <v>0</v>
      </c>
      <c r="G3938" s="155">
        <f>SUM(G3912:G3936)</f>
        <v>0</v>
      </c>
    </row>
    <row r="3939" spans="1:7" x14ac:dyDescent="0.25">
      <c r="A3939" s="148"/>
      <c r="C3939" s="145" t="s">
        <v>622</v>
      </c>
      <c r="D3939" s="154"/>
      <c r="E3939" s="145"/>
      <c r="F3939" s="144"/>
      <c r="G3939" s="144"/>
    </row>
    <row r="3940" spans="1:7" x14ac:dyDescent="0.25">
      <c r="A3940" s="148"/>
      <c r="C3940" s="153" t="s">
        <v>621</v>
      </c>
      <c r="D3940" s="152"/>
      <c r="E3940" s="151"/>
      <c r="F3940" s="150">
        <f>F3907</f>
        <v>0</v>
      </c>
      <c r="G3940" s="150">
        <f>G3907</f>
        <v>0</v>
      </c>
    </row>
    <row r="3941" spans="1:7" x14ac:dyDescent="0.25">
      <c r="A3941" s="148"/>
      <c r="C3941" s="153" t="s">
        <v>582</v>
      </c>
      <c r="D3941" s="152"/>
      <c r="E3941" s="151"/>
      <c r="F3941" s="150">
        <f>F3940+F3938</f>
        <v>0</v>
      </c>
      <c r="G3941" s="150">
        <f>G3940+G3938</f>
        <v>0</v>
      </c>
    </row>
    <row r="3942" spans="1:7" ht="15.75" thickBot="1" x14ac:dyDescent="0.3">
      <c r="A3942" s="148"/>
      <c r="C3942" s="145"/>
      <c r="D3942" s="149"/>
      <c r="E3942" s="145"/>
      <c r="F3942" s="144"/>
      <c r="G3942" s="144"/>
    </row>
    <row r="3943" spans="1:7" ht="15.75" thickBot="1" x14ac:dyDescent="0.3">
      <c r="A3943" s="148"/>
      <c r="C3943" s="147" t="s">
        <v>620</v>
      </c>
      <c r="D3943" s="146">
        <f>F3941-G3941</f>
        <v>0</v>
      </c>
      <c r="E3943" s="145"/>
      <c r="F3943" s="144"/>
      <c r="G3943" s="144"/>
    </row>
    <row r="3944" spans="1:7" ht="15.75" thickBot="1" x14ac:dyDescent="0.3"/>
    <row r="3945" spans="1:7" ht="30.75" thickBot="1" x14ac:dyDescent="0.3">
      <c r="A3945" s="232" t="s">
        <v>626</v>
      </c>
      <c r="B3945" s="231" t="s">
        <v>606</v>
      </c>
      <c r="C3945" s="230" t="s">
        <v>630</v>
      </c>
      <c r="D3945" s="229" t="s">
        <v>601</v>
      </c>
      <c r="E3945" s="228" t="s">
        <v>287</v>
      </c>
      <c r="F3945" s="227" t="s">
        <v>624</v>
      </c>
      <c r="G3945" s="227" t="s">
        <v>596</v>
      </c>
    </row>
    <row r="3946" spans="1:7" x14ac:dyDescent="0.25">
      <c r="A3946" s="169" t="str">
        <f>E3946&amp;COUNTIFS($E$2:E3946,E3946)</f>
        <v>0</v>
      </c>
      <c r="B3946" s="172"/>
      <c r="C3946" s="174"/>
      <c r="D3946" s="173"/>
      <c r="E3946" s="172"/>
      <c r="F3946" s="171"/>
      <c r="G3946" s="170"/>
    </row>
    <row r="3947" spans="1:7" x14ac:dyDescent="0.25">
      <c r="A3947" s="169" t="str">
        <f>E3947&amp;COUNTIFS($E$2:E3947,E3947)</f>
        <v>0</v>
      </c>
      <c r="B3947" s="166"/>
      <c r="C3947" s="168"/>
      <c r="D3947" s="167"/>
      <c r="E3947" s="166"/>
      <c r="F3947" s="165"/>
      <c r="G3947" s="164"/>
    </row>
    <row r="3948" spans="1:7" x14ac:dyDescent="0.25">
      <c r="A3948" s="169" t="str">
        <f>E3948&amp;COUNTIFS($E$2:E3948,E3948)</f>
        <v>0</v>
      </c>
      <c r="B3948" s="166"/>
      <c r="C3948" s="168"/>
      <c r="D3948" s="167"/>
      <c r="E3948" s="166"/>
      <c r="F3948" s="165"/>
      <c r="G3948" s="164"/>
    </row>
    <row r="3949" spans="1:7" x14ac:dyDescent="0.25">
      <c r="A3949" s="169" t="str">
        <f>E3949&amp;COUNTIFS($E$2:E3949,E3949)</f>
        <v>0</v>
      </c>
      <c r="B3949" s="166"/>
      <c r="C3949" s="168"/>
      <c r="D3949" s="167"/>
      <c r="E3949" s="166"/>
      <c r="F3949" s="165"/>
      <c r="G3949" s="164"/>
    </row>
    <row r="3950" spans="1:7" x14ac:dyDescent="0.25">
      <c r="A3950" s="169" t="str">
        <f>E3950&amp;COUNTIFS($E$2:E3950,E3950)</f>
        <v>0</v>
      </c>
      <c r="B3950" s="166"/>
      <c r="C3950" s="168"/>
      <c r="D3950" s="167"/>
      <c r="E3950" s="166"/>
      <c r="F3950" s="165"/>
      <c r="G3950" s="164"/>
    </row>
    <row r="3951" spans="1:7" x14ac:dyDescent="0.25">
      <c r="A3951" s="169" t="str">
        <f>E3951&amp;COUNTIFS($E$2:E3951,E3951)</f>
        <v>0</v>
      </c>
      <c r="B3951" s="166"/>
      <c r="C3951" s="168"/>
      <c r="D3951" s="167"/>
      <c r="E3951" s="166"/>
      <c r="F3951" s="165"/>
      <c r="G3951" s="164"/>
    </row>
    <row r="3952" spans="1:7" x14ac:dyDescent="0.25">
      <c r="A3952" s="169" t="str">
        <f>E3952&amp;COUNTIFS($E$2:E3952,E3952)</f>
        <v>0</v>
      </c>
      <c r="B3952" s="166"/>
      <c r="C3952" s="168"/>
      <c r="D3952" s="167"/>
      <c r="E3952" s="166"/>
      <c r="F3952" s="165"/>
      <c r="G3952" s="164"/>
    </row>
    <row r="3953" spans="1:7" x14ac:dyDescent="0.25">
      <c r="A3953" s="169" t="str">
        <f>E3953&amp;COUNTIFS($E$2:E3953,E3953)</f>
        <v>0</v>
      </c>
      <c r="B3953" s="166"/>
      <c r="C3953" s="168"/>
      <c r="D3953" s="167"/>
      <c r="E3953" s="166"/>
      <c r="F3953" s="165"/>
      <c r="G3953" s="164"/>
    </row>
    <row r="3954" spans="1:7" x14ac:dyDescent="0.25">
      <c r="A3954" s="169" t="str">
        <f>E3954&amp;COUNTIFS($E$2:E3954,E3954)</f>
        <v>0</v>
      </c>
      <c r="B3954" s="166"/>
      <c r="C3954" s="168"/>
      <c r="D3954" s="184"/>
      <c r="E3954" s="183"/>
      <c r="F3954" s="165"/>
      <c r="G3954" s="164"/>
    </row>
    <row r="3955" spans="1:7" x14ac:dyDescent="0.25">
      <c r="A3955" s="169" t="str">
        <f>E3955&amp;COUNTIFS($E$2:E3955,E3955)</f>
        <v>0</v>
      </c>
      <c r="B3955" s="166"/>
      <c r="C3955" s="168"/>
      <c r="D3955" s="167"/>
      <c r="E3955" s="166"/>
      <c r="F3955" s="165"/>
      <c r="G3955" s="164"/>
    </row>
    <row r="3956" spans="1:7" x14ac:dyDescent="0.25">
      <c r="A3956" s="169" t="str">
        <f>E3956&amp;COUNTIFS($E$2:E3956,E3956)</f>
        <v>0</v>
      </c>
      <c r="B3956" s="166"/>
      <c r="C3956" s="168"/>
      <c r="D3956" s="167"/>
      <c r="E3956" s="166"/>
      <c r="F3956" s="165"/>
      <c r="G3956" s="164"/>
    </row>
    <row r="3957" spans="1:7" x14ac:dyDescent="0.25">
      <c r="A3957" s="169" t="str">
        <f>E3957&amp;COUNTIFS($E$2:E3957,E3957)</f>
        <v>0</v>
      </c>
      <c r="B3957" s="166"/>
      <c r="C3957" s="168"/>
      <c r="D3957" s="167"/>
      <c r="E3957" s="166"/>
      <c r="F3957" s="165"/>
      <c r="G3957" s="164"/>
    </row>
    <row r="3958" spans="1:7" x14ac:dyDescent="0.25">
      <c r="A3958" s="169" t="str">
        <f>E3958&amp;COUNTIFS($E$2:E3958,E3958)</f>
        <v>0</v>
      </c>
      <c r="B3958" s="166"/>
      <c r="C3958" s="168"/>
      <c r="D3958" s="167"/>
      <c r="E3958" s="166"/>
      <c r="F3958" s="165"/>
      <c r="G3958" s="164"/>
    </row>
    <row r="3959" spans="1:7" x14ac:dyDescent="0.25">
      <c r="A3959" s="169" t="str">
        <f>E3959&amp;COUNTIFS($E$2:E3959,E3959)</f>
        <v>0</v>
      </c>
      <c r="B3959" s="166"/>
      <c r="C3959" s="168"/>
      <c r="D3959" s="167"/>
      <c r="E3959" s="166"/>
      <c r="F3959" s="165"/>
      <c r="G3959" s="164"/>
    </row>
    <row r="3960" spans="1:7" x14ac:dyDescent="0.25">
      <c r="A3960" s="169" t="str">
        <f>E3960&amp;COUNTIFS($E$2:E3960,E3960)</f>
        <v>0</v>
      </c>
      <c r="B3960" s="166"/>
      <c r="C3960" s="168"/>
      <c r="D3960" s="167"/>
      <c r="E3960" s="166"/>
      <c r="F3960" s="165"/>
      <c r="G3960" s="164"/>
    </row>
    <row r="3961" spans="1:7" x14ac:dyDescent="0.25">
      <c r="A3961" s="169" t="str">
        <f>E3961&amp;COUNTIFS($E$2:E3961,E3961)</f>
        <v>0</v>
      </c>
      <c r="B3961" s="166"/>
      <c r="C3961" s="168"/>
      <c r="D3961" s="167"/>
      <c r="E3961" s="166"/>
      <c r="F3961" s="165"/>
      <c r="G3961" s="164"/>
    </row>
    <row r="3962" spans="1:7" x14ac:dyDescent="0.25">
      <c r="A3962" s="169" t="str">
        <f>E3962&amp;COUNTIFS($E$2:E3962,E3962)</f>
        <v>0</v>
      </c>
      <c r="B3962" s="166"/>
      <c r="C3962" s="168"/>
      <c r="D3962" s="167"/>
      <c r="E3962" s="166"/>
      <c r="F3962" s="165"/>
      <c r="G3962" s="164"/>
    </row>
    <row r="3963" spans="1:7" x14ac:dyDescent="0.25">
      <c r="A3963" s="169" t="str">
        <f>E3963&amp;COUNTIFS($E$2:E3963,E3963)</f>
        <v>0</v>
      </c>
      <c r="B3963" s="166"/>
      <c r="C3963" s="168"/>
      <c r="D3963" s="167"/>
      <c r="E3963" s="166"/>
      <c r="F3963" s="165"/>
      <c r="G3963" s="164"/>
    </row>
    <row r="3964" spans="1:7" x14ac:dyDescent="0.25">
      <c r="A3964" s="169" t="str">
        <f>E3964&amp;COUNTIFS($E$2:E3964,E3964)</f>
        <v>0</v>
      </c>
      <c r="B3964" s="166"/>
      <c r="C3964" s="168"/>
      <c r="D3964" s="167"/>
      <c r="E3964" s="166"/>
      <c r="F3964" s="165"/>
      <c r="G3964" s="164"/>
    </row>
    <row r="3965" spans="1:7" x14ac:dyDescent="0.25">
      <c r="A3965" s="169" t="str">
        <f>E3965&amp;COUNTIFS($E$2:E3965,E3965)</f>
        <v>0</v>
      </c>
      <c r="B3965" s="166"/>
      <c r="C3965" s="168"/>
      <c r="D3965" s="167"/>
      <c r="E3965" s="166"/>
      <c r="F3965" s="165"/>
      <c r="G3965" s="164"/>
    </row>
    <row r="3966" spans="1:7" x14ac:dyDescent="0.25">
      <c r="A3966" s="169" t="str">
        <f>E3966&amp;COUNTIFS($E$2:E3966,E3966)</f>
        <v>0</v>
      </c>
      <c r="B3966" s="166"/>
      <c r="C3966" s="168"/>
      <c r="D3966" s="167"/>
      <c r="E3966" s="166"/>
      <c r="F3966" s="165"/>
      <c r="G3966" s="164"/>
    </row>
    <row r="3967" spans="1:7" x14ac:dyDescent="0.25">
      <c r="A3967" s="169" t="str">
        <f>E3967&amp;COUNTIFS($E$2:E3967,E3967)</f>
        <v>0</v>
      </c>
      <c r="B3967" s="166"/>
      <c r="C3967" s="168"/>
      <c r="D3967" s="167"/>
      <c r="E3967" s="166"/>
      <c r="F3967" s="165"/>
      <c r="G3967" s="164"/>
    </row>
    <row r="3968" spans="1:7" x14ac:dyDescent="0.25">
      <c r="A3968" s="169" t="str">
        <f>E3968&amp;COUNTIFS($E$2:E3968,E3968)</f>
        <v>0</v>
      </c>
      <c r="B3968" s="166"/>
      <c r="C3968" s="168"/>
      <c r="D3968" s="167"/>
      <c r="E3968" s="166"/>
      <c r="F3968" s="165"/>
      <c r="G3968" s="164"/>
    </row>
    <row r="3969" spans="1:7" x14ac:dyDescent="0.25">
      <c r="A3969" s="169" t="str">
        <f>E3969&amp;COUNTIFS($E$2:E3969,E3969)</f>
        <v>0</v>
      </c>
      <c r="B3969" s="166"/>
      <c r="C3969" s="168"/>
      <c r="D3969" s="167"/>
      <c r="E3969" s="166"/>
      <c r="F3969" s="165"/>
      <c r="G3969" s="164"/>
    </row>
    <row r="3970" spans="1:7" ht="15.75" thickBot="1" x14ac:dyDescent="0.3">
      <c r="A3970" s="163" t="str">
        <f>E3970&amp;COUNTIFS($E$2:E3970,E3970)</f>
        <v>0</v>
      </c>
      <c r="B3970" s="166"/>
      <c r="C3970" s="162"/>
      <c r="D3970" s="161"/>
      <c r="E3970" s="160"/>
      <c r="F3970" s="159"/>
      <c r="G3970" s="158"/>
    </row>
    <row r="3971" spans="1:7" x14ac:dyDescent="0.25">
      <c r="A3971" s="148"/>
      <c r="C3971" s="143"/>
      <c r="D3971" s="157"/>
      <c r="E3971" s="143"/>
      <c r="F3971" s="156"/>
      <c r="G3971" s="156"/>
    </row>
    <row r="3972" spans="1:7" x14ac:dyDescent="0.25">
      <c r="A3972" s="148"/>
      <c r="C3972" s="153" t="s">
        <v>623</v>
      </c>
      <c r="D3972" s="152"/>
      <c r="E3972" s="151"/>
      <c r="F3972" s="150">
        <f>SUM(F3946:F3970)</f>
        <v>0</v>
      </c>
      <c r="G3972" s="155">
        <f>SUM(G3946:G3970)</f>
        <v>0</v>
      </c>
    </row>
    <row r="3973" spans="1:7" x14ac:dyDescent="0.25">
      <c r="A3973" s="148"/>
      <c r="C3973" s="145" t="s">
        <v>622</v>
      </c>
      <c r="D3973" s="154"/>
      <c r="E3973" s="145"/>
      <c r="F3973" s="144"/>
      <c r="G3973" s="144"/>
    </row>
    <row r="3974" spans="1:7" x14ac:dyDescent="0.25">
      <c r="A3974" s="148"/>
      <c r="C3974" s="153" t="s">
        <v>621</v>
      </c>
      <c r="D3974" s="152"/>
      <c r="E3974" s="151"/>
      <c r="F3974" s="150">
        <f>F3941</f>
        <v>0</v>
      </c>
      <c r="G3974" s="150">
        <f>G3941</f>
        <v>0</v>
      </c>
    </row>
    <row r="3975" spans="1:7" x14ac:dyDescent="0.25">
      <c r="A3975" s="148"/>
      <c r="C3975" s="153" t="s">
        <v>582</v>
      </c>
      <c r="D3975" s="152"/>
      <c r="E3975" s="151"/>
      <c r="F3975" s="150">
        <f>F3974+F3972</f>
        <v>0</v>
      </c>
      <c r="G3975" s="150">
        <f>G3974+G3972</f>
        <v>0</v>
      </c>
    </row>
    <row r="3976" spans="1:7" ht="15.75" thickBot="1" x14ac:dyDescent="0.3">
      <c r="A3976" s="148"/>
      <c r="C3976" s="145"/>
      <c r="D3976" s="149"/>
      <c r="E3976" s="145"/>
      <c r="F3976" s="144"/>
      <c r="G3976" s="144"/>
    </row>
    <row r="3977" spans="1:7" ht="15.75" thickBot="1" x14ac:dyDescent="0.3">
      <c r="A3977" s="148"/>
      <c r="C3977" s="147" t="s">
        <v>620</v>
      </c>
      <c r="D3977" s="146">
        <f>F3975-G3975</f>
        <v>0</v>
      </c>
      <c r="E3977" s="145"/>
      <c r="F3977" s="144"/>
      <c r="G3977" s="144"/>
    </row>
    <row r="3978" spans="1:7" ht="15.75" thickBot="1" x14ac:dyDescent="0.3"/>
    <row r="3979" spans="1:7" ht="30.75" thickBot="1" x14ac:dyDescent="0.3">
      <c r="A3979" s="232" t="s">
        <v>626</v>
      </c>
      <c r="B3979" s="231" t="s">
        <v>606</v>
      </c>
      <c r="C3979" s="230" t="s">
        <v>630</v>
      </c>
      <c r="D3979" s="229" t="s">
        <v>601</v>
      </c>
      <c r="E3979" s="228" t="s">
        <v>287</v>
      </c>
      <c r="F3979" s="227" t="s">
        <v>624</v>
      </c>
      <c r="G3979" s="227" t="s">
        <v>596</v>
      </c>
    </row>
    <row r="3980" spans="1:7" x14ac:dyDescent="0.25">
      <c r="A3980" s="169" t="str">
        <f>E3980&amp;COUNTIFS($E$2:E3980,E3980)</f>
        <v>0</v>
      </c>
      <c r="B3980" s="172"/>
      <c r="C3980" s="174"/>
      <c r="D3980" s="173"/>
      <c r="E3980" s="172"/>
      <c r="F3980" s="171"/>
      <c r="G3980" s="170"/>
    </row>
    <row r="3981" spans="1:7" x14ac:dyDescent="0.25">
      <c r="A3981" s="169" t="str">
        <f>E3981&amp;COUNTIFS($E$2:E3981,E3981)</f>
        <v>0</v>
      </c>
      <c r="B3981" s="166"/>
      <c r="C3981" s="168"/>
      <c r="D3981" s="167"/>
      <c r="E3981" s="166"/>
      <c r="F3981" s="165"/>
      <c r="G3981" s="164"/>
    </row>
    <row r="3982" spans="1:7" x14ac:dyDescent="0.25">
      <c r="A3982" s="169" t="str">
        <f>E3982&amp;COUNTIFS($E$2:E3982,E3982)</f>
        <v>0</v>
      </c>
      <c r="B3982" s="166"/>
      <c r="C3982" s="168"/>
      <c r="D3982" s="167"/>
      <c r="E3982" s="166"/>
      <c r="F3982" s="165"/>
      <c r="G3982" s="164"/>
    </row>
    <row r="3983" spans="1:7" x14ac:dyDescent="0.25">
      <c r="A3983" s="169" t="str">
        <f>E3983&amp;COUNTIFS($E$2:E3983,E3983)</f>
        <v>0</v>
      </c>
      <c r="B3983" s="166"/>
      <c r="C3983" s="168"/>
      <c r="D3983" s="167"/>
      <c r="E3983" s="166"/>
      <c r="F3983" s="165"/>
      <c r="G3983" s="164"/>
    </row>
    <row r="3984" spans="1:7" x14ac:dyDescent="0.25">
      <c r="A3984" s="169" t="str">
        <f>E3984&amp;COUNTIFS($E$2:E3984,E3984)</f>
        <v>0</v>
      </c>
      <c r="B3984" s="166"/>
      <c r="C3984" s="168"/>
      <c r="D3984" s="167"/>
      <c r="E3984" s="166"/>
      <c r="F3984" s="165"/>
      <c r="G3984" s="164"/>
    </row>
    <row r="3985" spans="1:7" x14ac:dyDescent="0.25">
      <c r="A3985" s="169" t="str">
        <f>E3985&amp;COUNTIFS($E$2:E3985,E3985)</f>
        <v>0</v>
      </c>
      <c r="B3985" s="166"/>
      <c r="C3985" s="168"/>
      <c r="D3985" s="167"/>
      <c r="E3985" s="166"/>
      <c r="F3985" s="165"/>
      <c r="G3985" s="164"/>
    </row>
    <row r="3986" spans="1:7" x14ac:dyDescent="0.25">
      <c r="A3986" s="169" t="str">
        <f>E3986&amp;COUNTIFS($E$2:E3986,E3986)</f>
        <v>0</v>
      </c>
      <c r="B3986" s="166"/>
      <c r="C3986" s="168"/>
      <c r="D3986" s="167"/>
      <c r="E3986" s="166"/>
      <c r="F3986" s="165"/>
      <c r="G3986" s="164"/>
    </row>
    <row r="3987" spans="1:7" x14ac:dyDescent="0.25">
      <c r="A3987" s="169" t="str">
        <f>E3987&amp;COUNTIFS($E$2:E3987,E3987)</f>
        <v>0</v>
      </c>
      <c r="B3987" s="166"/>
      <c r="C3987" s="168"/>
      <c r="D3987" s="167"/>
      <c r="E3987" s="166"/>
      <c r="F3987" s="165"/>
      <c r="G3987" s="164"/>
    </row>
    <row r="3988" spans="1:7" x14ac:dyDescent="0.25">
      <c r="A3988" s="169" t="str">
        <f>E3988&amp;COUNTIFS($E$2:E3988,E3988)</f>
        <v>0</v>
      </c>
      <c r="B3988" s="166"/>
      <c r="C3988" s="168"/>
      <c r="D3988" s="167"/>
      <c r="E3988" s="166"/>
      <c r="F3988" s="165"/>
      <c r="G3988" s="164"/>
    </row>
    <row r="3989" spans="1:7" x14ac:dyDescent="0.25">
      <c r="A3989" s="169" t="str">
        <f>E3989&amp;COUNTIFS($E$2:E3989,E3989)</f>
        <v>0</v>
      </c>
      <c r="B3989" s="166"/>
      <c r="C3989" s="168"/>
      <c r="D3989" s="167"/>
      <c r="E3989" s="166"/>
      <c r="F3989" s="165"/>
      <c r="G3989" s="164"/>
    </row>
    <row r="3990" spans="1:7" x14ac:dyDescent="0.25">
      <c r="A3990" s="169" t="str">
        <f>E3990&amp;COUNTIFS($E$2:E3990,E3990)</f>
        <v>0</v>
      </c>
      <c r="B3990" s="166"/>
      <c r="C3990" s="168"/>
      <c r="D3990" s="167"/>
      <c r="E3990" s="166"/>
      <c r="F3990" s="165"/>
      <c r="G3990" s="164"/>
    </row>
    <row r="3991" spans="1:7" x14ac:dyDescent="0.25">
      <c r="A3991" s="169" t="str">
        <f>E3991&amp;COUNTIFS($E$2:E3991,E3991)</f>
        <v>0</v>
      </c>
      <c r="B3991" s="166"/>
      <c r="C3991" s="168"/>
      <c r="D3991" s="167"/>
      <c r="E3991" s="166"/>
      <c r="F3991" s="165"/>
      <c r="G3991" s="164"/>
    </row>
    <row r="3992" spans="1:7" x14ac:dyDescent="0.25">
      <c r="A3992" s="169" t="str">
        <f>E3992&amp;COUNTIFS($E$2:E3992,E3992)</f>
        <v>0</v>
      </c>
      <c r="B3992" s="166"/>
      <c r="C3992" s="168"/>
      <c r="D3992" s="167"/>
      <c r="E3992" s="166"/>
      <c r="F3992" s="165"/>
      <c r="G3992" s="164"/>
    </row>
    <row r="3993" spans="1:7" x14ac:dyDescent="0.25">
      <c r="A3993" s="169" t="str">
        <f>E3993&amp;COUNTIFS($E$2:E3993,E3993)</f>
        <v>0</v>
      </c>
      <c r="B3993" s="166"/>
      <c r="C3993" s="168"/>
      <c r="D3993" s="167"/>
      <c r="E3993" s="166"/>
      <c r="F3993" s="165"/>
      <c r="G3993" s="164"/>
    </row>
    <row r="3994" spans="1:7" x14ac:dyDescent="0.25">
      <c r="A3994" s="169" t="str">
        <f>E3994&amp;COUNTIFS($E$2:E3994,E3994)</f>
        <v>0</v>
      </c>
      <c r="B3994" s="166"/>
      <c r="C3994" s="168"/>
      <c r="D3994" s="167"/>
      <c r="E3994" s="166"/>
      <c r="F3994" s="165"/>
      <c r="G3994" s="164"/>
    </row>
    <row r="3995" spans="1:7" x14ac:dyDescent="0.25">
      <c r="A3995" s="169" t="str">
        <f>E3995&amp;COUNTIFS($E$2:E3995,E3995)</f>
        <v>0</v>
      </c>
      <c r="B3995" s="166"/>
      <c r="C3995" s="168"/>
      <c r="D3995" s="167"/>
      <c r="E3995" s="166"/>
      <c r="F3995" s="165"/>
      <c r="G3995" s="164"/>
    </row>
    <row r="3996" spans="1:7" x14ac:dyDescent="0.25">
      <c r="A3996" s="169" t="str">
        <f>E3996&amp;COUNTIFS($E$2:E3996,E3996)</f>
        <v>0</v>
      </c>
      <c r="B3996" s="166"/>
      <c r="C3996" s="168"/>
      <c r="D3996" s="167"/>
      <c r="E3996" s="166"/>
      <c r="F3996" s="165"/>
      <c r="G3996" s="164"/>
    </row>
    <row r="3997" spans="1:7" x14ac:dyDescent="0.25">
      <c r="A3997" s="169" t="str">
        <f>E3997&amp;COUNTIFS($E$2:E3997,E3997)</f>
        <v>0</v>
      </c>
      <c r="B3997" s="166"/>
      <c r="C3997" s="168"/>
      <c r="D3997" s="167"/>
      <c r="E3997" s="166"/>
      <c r="F3997" s="165"/>
      <c r="G3997" s="164"/>
    </row>
    <row r="3998" spans="1:7" x14ac:dyDescent="0.25">
      <c r="A3998" s="169" t="str">
        <f>E3998&amp;COUNTIFS($E$2:E3998,E3998)</f>
        <v>0</v>
      </c>
      <c r="B3998" s="166"/>
      <c r="C3998" s="168"/>
      <c r="D3998" s="167"/>
      <c r="E3998" s="166"/>
      <c r="F3998" s="165"/>
      <c r="G3998" s="164"/>
    </row>
    <row r="3999" spans="1:7" x14ac:dyDescent="0.25">
      <c r="A3999" s="169" t="str">
        <f>E3999&amp;COUNTIFS($E$2:E3999,E3999)</f>
        <v>0</v>
      </c>
      <c r="B3999" s="166"/>
      <c r="C3999" s="168"/>
      <c r="D3999" s="167"/>
      <c r="E3999" s="166"/>
      <c r="F3999" s="165"/>
      <c r="G3999" s="164"/>
    </row>
    <row r="4000" spans="1:7" x14ac:dyDescent="0.25">
      <c r="A4000" s="169" t="str">
        <f>E4000&amp;COUNTIFS($E$2:E4000,E4000)</f>
        <v>0</v>
      </c>
      <c r="B4000" s="166"/>
      <c r="C4000" s="168"/>
      <c r="D4000" s="167"/>
      <c r="E4000" s="166"/>
      <c r="F4000" s="165"/>
      <c r="G4000" s="164"/>
    </row>
    <row r="4001" spans="1:7" x14ac:dyDescent="0.25">
      <c r="A4001" s="169" t="str">
        <f>E4001&amp;COUNTIFS($E$2:E4001,E4001)</f>
        <v>0</v>
      </c>
      <c r="B4001" s="166"/>
      <c r="C4001" s="168"/>
      <c r="D4001" s="167"/>
      <c r="E4001" s="166"/>
      <c r="F4001" s="165"/>
      <c r="G4001" s="164"/>
    </row>
    <row r="4002" spans="1:7" x14ac:dyDescent="0.25">
      <c r="A4002" s="169" t="str">
        <f>E4002&amp;COUNTIFS($E$2:E4002,E4002)</f>
        <v>0</v>
      </c>
      <c r="B4002" s="166"/>
      <c r="C4002" s="168"/>
      <c r="D4002" s="167"/>
      <c r="E4002" s="166"/>
      <c r="F4002" s="165"/>
      <c r="G4002" s="164"/>
    </row>
    <row r="4003" spans="1:7" x14ac:dyDescent="0.25">
      <c r="A4003" s="169" t="str">
        <f>E4003&amp;COUNTIFS($E$2:E4003,E4003)</f>
        <v>0</v>
      </c>
      <c r="B4003" s="166"/>
      <c r="C4003" s="168"/>
      <c r="D4003" s="167"/>
      <c r="E4003" s="166"/>
      <c r="F4003" s="165"/>
      <c r="G4003" s="164"/>
    </row>
    <row r="4004" spans="1:7" ht="15.75" thickBot="1" x14ac:dyDescent="0.3">
      <c r="A4004" s="163" t="str">
        <f>E4004&amp;COUNTIFS($E$2:E4004,E4004)</f>
        <v>0</v>
      </c>
      <c r="B4004" s="166"/>
      <c r="C4004" s="162"/>
      <c r="D4004" s="161"/>
      <c r="E4004" s="160"/>
      <c r="F4004" s="159"/>
      <c r="G4004" s="158"/>
    </row>
    <row r="4005" spans="1:7" x14ac:dyDescent="0.25">
      <c r="A4005" s="148"/>
      <c r="C4005" s="143"/>
      <c r="D4005" s="157"/>
      <c r="E4005" s="143"/>
      <c r="F4005" s="156"/>
      <c r="G4005" s="156"/>
    </row>
    <row r="4006" spans="1:7" x14ac:dyDescent="0.25">
      <c r="A4006" s="148"/>
      <c r="C4006" s="153" t="s">
        <v>623</v>
      </c>
      <c r="D4006" s="152"/>
      <c r="E4006" s="151"/>
      <c r="F4006" s="150">
        <f>SUM(F3980:F4004)</f>
        <v>0</v>
      </c>
      <c r="G4006" s="155">
        <f>SUM(G3980:G4004)</f>
        <v>0</v>
      </c>
    </row>
    <row r="4007" spans="1:7" x14ac:dyDescent="0.25">
      <c r="A4007" s="148"/>
      <c r="C4007" s="145" t="s">
        <v>622</v>
      </c>
      <c r="D4007" s="154"/>
      <c r="E4007" s="145"/>
      <c r="F4007" s="144"/>
      <c r="G4007" s="144"/>
    </row>
    <row r="4008" spans="1:7" x14ac:dyDescent="0.25">
      <c r="A4008" s="148"/>
      <c r="C4008" s="153" t="s">
        <v>621</v>
      </c>
      <c r="D4008" s="152"/>
      <c r="E4008" s="151"/>
      <c r="F4008" s="150">
        <f>F3975</f>
        <v>0</v>
      </c>
      <c r="G4008" s="150">
        <f>G3975</f>
        <v>0</v>
      </c>
    </row>
    <row r="4009" spans="1:7" x14ac:dyDescent="0.25">
      <c r="A4009" s="148"/>
      <c r="C4009" s="153" t="s">
        <v>582</v>
      </c>
      <c r="D4009" s="152"/>
      <c r="E4009" s="151"/>
      <c r="F4009" s="150">
        <f>F4008+F4006</f>
        <v>0</v>
      </c>
      <c r="G4009" s="150">
        <f>G4008+G4006</f>
        <v>0</v>
      </c>
    </row>
    <row r="4010" spans="1:7" ht="15.75" thickBot="1" x14ac:dyDescent="0.3">
      <c r="A4010" s="148"/>
      <c r="C4010" s="145"/>
      <c r="D4010" s="149"/>
      <c r="E4010" s="145"/>
      <c r="F4010" s="144"/>
      <c r="G4010" s="144"/>
    </row>
    <row r="4011" spans="1:7" ht="15.75" thickBot="1" x14ac:dyDescent="0.3">
      <c r="A4011" s="148"/>
      <c r="C4011" s="147" t="s">
        <v>620</v>
      </c>
      <c r="D4011" s="146">
        <f>F4009-G4009</f>
        <v>0</v>
      </c>
      <c r="E4011" s="145"/>
      <c r="F4011" s="144"/>
      <c r="G4011" s="144"/>
    </row>
    <row r="4012" spans="1:7" ht="15.75" thickBot="1" x14ac:dyDescent="0.3"/>
    <row r="4013" spans="1:7" ht="30.75" thickBot="1" x14ac:dyDescent="0.3">
      <c r="A4013" s="232" t="s">
        <v>626</v>
      </c>
      <c r="B4013" s="231" t="s">
        <v>606</v>
      </c>
      <c r="C4013" s="230" t="s">
        <v>630</v>
      </c>
      <c r="D4013" s="229" t="s">
        <v>601</v>
      </c>
      <c r="E4013" s="228" t="s">
        <v>287</v>
      </c>
      <c r="F4013" s="227" t="s">
        <v>624</v>
      </c>
      <c r="G4013" s="227" t="s">
        <v>596</v>
      </c>
    </row>
    <row r="4014" spans="1:7" x14ac:dyDescent="0.25">
      <c r="A4014" s="169" t="str">
        <f>E4014&amp;COUNTIFS($E$2:E4014,E4014)</f>
        <v>0</v>
      </c>
      <c r="B4014" s="172"/>
      <c r="C4014" s="174"/>
      <c r="D4014" s="173"/>
      <c r="E4014" s="172"/>
      <c r="F4014" s="171"/>
      <c r="G4014" s="170"/>
    </row>
    <row r="4015" spans="1:7" x14ac:dyDescent="0.25">
      <c r="A4015" s="169" t="str">
        <f>E4015&amp;COUNTIFS($E$2:E4015,E4015)</f>
        <v>0</v>
      </c>
      <c r="B4015" s="166"/>
      <c r="C4015" s="168"/>
      <c r="D4015" s="167"/>
      <c r="E4015" s="166"/>
      <c r="F4015" s="165"/>
      <c r="G4015" s="164"/>
    </row>
    <row r="4016" spans="1:7" x14ac:dyDescent="0.25">
      <c r="A4016" s="169" t="str">
        <f>E4016&amp;COUNTIFS($E$2:E4016,E4016)</f>
        <v>0</v>
      </c>
      <c r="B4016" s="166"/>
      <c r="C4016" s="168"/>
      <c r="D4016" s="167"/>
      <c r="E4016" s="166"/>
      <c r="F4016" s="165"/>
      <c r="G4016" s="164"/>
    </row>
    <row r="4017" spans="1:7" x14ac:dyDescent="0.25">
      <c r="A4017" s="169" t="str">
        <f>E4017&amp;COUNTIFS($E$2:E4017,E4017)</f>
        <v>0</v>
      </c>
      <c r="B4017" s="166"/>
      <c r="C4017" s="168"/>
      <c r="D4017" s="167"/>
      <c r="E4017" s="166"/>
      <c r="F4017" s="165"/>
      <c r="G4017" s="164"/>
    </row>
    <row r="4018" spans="1:7" x14ac:dyDescent="0.25">
      <c r="A4018" s="169" t="str">
        <f>E4018&amp;COUNTIFS($E$2:E4018,E4018)</f>
        <v>0</v>
      </c>
      <c r="B4018" s="166"/>
      <c r="C4018" s="168"/>
      <c r="D4018" s="167"/>
      <c r="E4018" s="166"/>
      <c r="F4018" s="165"/>
      <c r="G4018" s="164"/>
    </row>
    <row r="4019" spans="1:7" x14ac:dyDescent="0.25">
      <c r="A4019" s="169" t="str">
        <f>E4019&amp;COUNTIFS($E$2:E4019,E4019)</f>
        <v>0</v>
      </c>
      <c r="B4019" s="166"/>
      <c r="C4019" s="168"/>
      <c r="D4019" s="167"/>
      <c r="E4019" s="166"/>
      <c r="F4019" s="165"/>
      <c r="G4019" s="164"/>
    </row>
    <row r="4020" spans="1:7" x14ac:dyDescent="0.25">
      <c r="A4020" s="169" t="str">
        <f>E4020&amp;COUNTIFS($E$2:E4020,E4020)</f>
        <v>0</v>
      </c>
      <c r="B4020" s="166"/>
      <c r="C4020" s="168"/>
      <c r="D4020" s="167"/>
      <c r="E4020" s="166"/>
      <c r="F4020" s="165"/>
      <c r="G4020" s="164"/>
    </row>
    <row r="4021" spans="1:7" x14ac:dyDescent="0.25">
      <c r="A4021" s="169" t="str">
        <f>E4021&amp;COUNTIFS($E$2:E4021,E4021)</f>
        <v>0</v>
      </c>
      <c r="B4021" s="166"/>
      <c r="C4021" s="168"/>
      <c r="D4021" s="167"/>
      <c r="E4021" s="166"/>
      <c r="F4021" s="165"/>
      <c r="G4021" s="164"/>
    </row>
    <row r="4022" spans="1:7" x14ac:dyDescent="0.25">
      <c r="A4022" s="169" t="str">
        <f>E4022&amp;COUNTIFS($E$2:E4022,E4022)</f>
        <v>0</v>
      </c>
      <c r="B4022" s="166"/>
      <c r="C4022" s="168"/>
      <c r="D4022" s="167"/>
      <c r="E4022" s="166"/>
      <c r="F4022" s="165"/>
      <c r="G4022" s="164"/>
    </row>
    <row r="4023" spans="1:7" x14ac:dyDescent="0.25">
      <c r="A4023" s="169" t="str">
        <f>E4023&amp;COUNTIFS($E$2:E4023,E4023)</f>
        <v>0</v>
      </c>
      <c r="B4023" s="166"/>
      <c r="C4023" s="168"/>
      <c r="D4023" s="167"/>
      <c r="E4023" s="166"/>
      <c r="F4023" s="165"/>
      <c r="G4023" s="164"/>
    </row>
    <row r="4024" spans="1:7" x14ac:dyDescent="0.25">
      <c r="A4024" s="169" t="str">
        <f>E4024&amp;COUNTIFS($E$2:E4024,E4024)</f>
        <v>0</v>
      </c>
      <c r="B4024" s="166"/>
      <c r="C4024" s="168"/>
      <c r="D4024" s="167"/>
      <c r="E4024" s="166"/>
      <c r="F4024" s="165"/>
      <c r="G4024" s="164"/>
    </row>
    <row r="4025" spans="1:7" x14ac:dyDescent="0.25">
      <c r="A4025" s="169" t="str">
        <f>E4025&amp;COUNTIFS($E$2:E4025,E4025)</f>
        <v>0</v>
      </c>
      <c r="B4025" s="166"/>
      <c r="C4025" s="168"/>
      <c r="D4025" s="167"/>
      <c r="E4025" s="166"/>
      <c r="F4025" s="165"/>
      <c r="G4025" s="164"/>
    </row>
    <row r="4026" spans="1:7" x14ac:dyDescent="0.25">
      <c r="A4026" s="169" t="str">
        <f>E4026&amp;COUNTIFS($E$2:E4026,E4026)</f>
        <v>0</v>
      </c>
      <c r="B4026" s="166"/>
      <c r="C4026" s="168"/>
      <c r="D4026" s="167"/>
      <c r="E4026" s="166"/>
      <c r="F4026" s="165"/>
      <c r="G4026" s="164"/>
    </row>
    <row r="4027" spans="1:7" x14ac:dyDescent="0.25">
      <c r="A4027" s="169" t="str">
        <f>E4027&amp;COUNTIFS($E$2:E4027,E4027)</f>
        <v>0</v>
      </c>
      <c r="B4027" s="166"/>
      <c r="C4027" s="168"/>
      <c r="D4027" s="167"/>
      <c r="E4027" s="166"/>
      <c r="F4027" s="165"/>
      <c r="G4027" s="164"/>
    </row>
    <row r="4028" spans="1:7" x14ac:dyDescent="0.25">
      <c r="A4028" s="169" t="str">
        <f>E4028&amp;COUNTIFS($E$2:E4028,E4028)</f>
        <v>0</v>
      </c>
      <c r="B4028" s="166"/>
      <c r="C4028" s="168"/>
      <c r="D4028" s="167"/>
      <c r="E4028" s="166"/>
      <c r="F4028" s="165"/>
      <c r="G4028" s="164"/>
    </row>
    <row r="4029" spans="1:7" x14ac:dyDescent="0.25">
      <c r="A4029" s="169" t="str">
        <f>E4029&amp;COUNTIFS($E$2:E4029,E4029)</f>
        <v>0</v>
      </c>
      <c r="B4029" s="166"/>
      <c r="C4029" s="168"/>
      <c r="D4029" s="167"/>
      <c r="E4029" s="166"/>
      <c r="F4029" s="165"/>
      <c r="G4029" s="164"/>
    </row>
    <row r="4030" spans="1:7" x14ac:dyDescent="0.25">
      <c r="A4030" s="169" t="str">
        <f>E4030&amp;COUNTIFS($E$2:E4030,E4030)</f>
        <v>0</v>
      </c>
      <c r="B4030" s="166"/>
      <c r="C4030" s="168"/>
      <c r="D4030" s="167"/>
      <c r="E4030" s="166"/>
      <c r="F4030" s="165"/>
      <c r="G4030" s="164"/>
    </row>
    <row r="4031" spans="1:7" x14ac:dyDescent="0.25">
      <c r="A4031" s="169" t="str">
        <f>E4031&amp;COUNTIFS($E$2:E4031,E4031)</f>
        <v>0</v>
      </c>
      <c r="B4031" s="166"/>
      <c r="C4031" s="168"/>
      <c r="D4031" s="167"/>
      <c r="E4031" s="166"/>
      <c r="F4031" s="165"/>
      <c r="G4031" s="164"/>
    </row>
    <row r="4032" spans="1:7" x14ac:dyDescent="0.25">
      <c r="A4032" s="169" t="str">
        <f>E4032&amp;COUNTIFS($E$2:E4032,E4032)</f>
        <v>0</v>
      </c>
      <c r="B4032" s="166"/>
      <c r="C4032" s="168"/>
      <c r="D4032" s="167"/>
      <c r="E4032" s="166"/>
      <c r="F4032" s="165"/>
      <c r="G4032" s="164"/>
    </row>
    <row r="4033" spans="1:7" x14ac:dyDescent="0.25">
      <c r="A4033" s="169" t="str">
        <f>E4033&amp;COUNTIFS($E$2:E4033,E4033)</f>
        <v>0</v>
      </c>
      <c r="B4033" s="166"/>
      <c r="C4033" s="168"/>
      <c r="D4033" s="167"/>
      <c r="E4033" s="166"/>
      <c r="F4033" s="165"/>
      <c r="G4033" s="164"/>
    </row>
    <row r="4034" spans="1:7" x14ac:dyDescent="0.25">
      <c r="A4034" s="169" t="str">
        <f>E4034&amp;COUNTIFS($E$2:E4034,E4034)</f>
        <v>0</v>
      </c>
      <c r="B4034" s="166"/>
      <c r="C4034" s="168"/>
      <c r="D4034" s="167"/>
      <c r="E4034" s="166"/>
      <c r="F4034" s="165"/>
      <c r="G4034" s="164"/>
    </row>
    <row r="4035" spans="1:7" x14ac:dyDescent="0.25">
      <c r="A4035" s="169" t="str">
        <f>E4035&amp;COUNTIFS($E$2:E4035,E4035)</f>
        <v>0</v>
      </c>
      <c r="B4035" s="166"/>
      <c r="C4035" s="168"/>
      <c r="D4035" s="167"/>
      <c r="E4035" s="166"/>
      <c r="F4035" s="165"/>
      <c r="G4035" s="164"/>
    </row>
    <row r="4036" spans="1:7" x14ac:dyDescent="0.25">
      <c r="A4036" s="169" t="str">
        <f>E4036&amp;COUNTIFS($E$2:E4036,E4036)</f>
        <v>0</v>
      </c>
      <c r="B4036" s="166"/>
      <c r="C4036" s="168"/>
      <c r="D4036" s="167"/>
      <c r="E4036" s="166"/>
      <c r="F4036" s="165"/>
      <c r="G4036" s="164"/>
    </row>
    <row r="4037" spans="1:7" x14ac:dyDescent="0.25">
      <c r="A4037" s="169" t="str">
        <f>E4037&amp;COUNTIFS($E$2:E4037,E4037)</f>
        <v>0</v>
      </c>
      <c r="B4037" s="166"/>
      <c r="C4037" s="168"/>
      <c r="D4037" s="167"/>
      <c r="E4037" s="166"/>
      <c r="F4037" s="165"/>
      <c r="G4037" s="164"/>
    </row>
    <row r="4038" spans="1:7" ht="15.75" thickBot="1" x14ac:dyDescent="0.3">
      <c r="A4038" s="163" t="str">
        <f>E4038&amp;COUNTIFS($E$2:E4038,E4038)</f>
        <v>0</v>
      </c>
      <c r="B4038" s="166"/>
      <c r="C4038" s="162"/>
      <c r="D4038" s="161"/>
      <c r="E4038" s="160"/>
      <c r="F4038" s="159"/>
      <c r="G4038" s="158"/>
    </row>
    <row r="4039" spans="1:7" x14ac:dyDescent="0.25">
      <c r="A4039" s="148"/>
      <c r="C4039" s="143"/>
      <c r="D4039" s="157"/>
      <c r="E4039" s="143"/>
      <c r="F4039" s="156"/>
      <c r="G4039" s="156"/>
    </row>
    <row r="4040" spans="1:7" x14ac:dyDescent="0.25">
      <c r="A4040" s="148"/>
      <c r="C4040" s="153" t="s">
        <v>623</v>
      </c>
      <c r="D4040" s="152"/>
      <c r="E4040" s="151"/>
      <c r="F4040" s="150">
        <f>SUM(F4014:F4038)</f>
        <v>0</v>
      </c>
      <c r="G4040" s="155">
        <f>SUM(G4014:G4038)</f>
        <v>0</v>
      </c>
    </row>
    <row r="4041" spans="1:7" x14ac:dyDescent="0.25">
      <c r="A4041" s="148"/>
      <c r="C4041" s="145" t="s">
        <v>622</v>
      </c>
      <c r="D4041" s="154"/>
      <c r="E4041" s="145"/>
      <c r="F4041" s="144"/>
      <c r="G4041" s="144"/>
    </row>
    <row r="4042" spans="1:7" x14ac:dyDescent="0.25">
      <c r="A4042" s="148"/>
      <c r="C4042" s="153" t="s">
        <v>621</v>
      </c>
      <c r="D4042" s="152"/>
      <c r="E4042" s="151"/>
      <c r="F4042" s="150">
        <f>F4009</f>
        <v>0</v>
      </c>
      <c r="G4042" s="150">
        <f>G4009</f>
        <v>0</v>
      </c>
    </row>
    <row r="4043" spans="1:7" x14ac:dyDescent="0.25">
      <c r="A4043" s="148"/>
      <c r="C4043" s="153" t="s">
        <v>582</v>
      </c>
      <c r="D4043" s="152"/>
      <c r="E4043" s="151"/>
      <c r="F4043" s="150">
        <f>F4042+F4040</f>
        <v>0</v>
      </c>
      <c r="G4043" s="150">
        <f>G4042+G4040</f>
        <v>0</v>
      </c>
    </row>
    <row r="4044" spans="1:7" ht="15.75" thickBot="1" x14ac:dyDescent="0.3">
      <c r="A4044" s="148"/>
      <c r="C4044" s="145"/>
      <c r="D4044" s="149"/>
      <c r="E4044" s="145"/>
      <c r="F4044" s="144"/>
      <c r="G4044" s="144"/>
    </row>
    <row r="4045" spans="1:7" ht="15.75" thickBot="1" x14ac:dyDescent="0.3">
      <c r="A4045" s="148"/>
      <c r="C4045" s="147" t="s">
        <v>620</v>
      </c>
      <c r="D4045" s="146">
        <f>F4043-G4043</f>
        <v>0</v>
      </c>
      <c r="E4045" s="145"/>
      <c r="F4045" s="144"/>
      <c r="G4045" s="144"/>
    </row>
    <row r="4046" spans="1:7" ht="15.75" thickBot="1" x14ac:dyDescent="0.3"/>
    <row r="4047" spans="1:7" ht="30.75" thickBot="1" x14ac:dyDescent="0.3">
      <c r="A4047" s="232" t="s">
        <v>626</v>
      </c>
      <c r="B4047" s="231" t="s">
        <v>606</v>
      </c>
      <c r="C4047" s="230" t="s">
        <v>630</v>
      </c>
      <c r="D4047" s="229" t="s">
        <v>601</v>
      </c>
      <c r="E4047" s="228" t="s">
        <v>287</v>
      </c>
      <c r="F4047" s="227" t="s">
        <v>624</v>
      </c>
      <c r="G4047" s="227" t="s">
        <v>596</v>
      </c>
    </row>
    <row r="4048" spans="1:7" x14ac:dyDescent="0.25">
      <c r="A4048" s="169" t="str">
        <f>E4048&amp;COUNTIFS($E$2:E4048,E4048)</f>
        <v>0</v>
      </c>
      <c r="B4048" s="172"/>
      <c r="C4048" s="174"/>
      <c r="D4048" s="173"/>
      <c r="E4048" s="172"/>
      <c r="F4048" s="171"/>
      <c r="G4048" s="170"/>
    </row>
    <row r="4049" spans="1:7" x14ac:dyDescent="0.25">
      <c r="A4049" s="169" t="str">
        <f>E4049&amp;COUNTIFS($E$2:E4049,E4049)</f>
        <v>0</v>
      </c>
      <c r="B4049" s="166"/>
      <c r="C4049" s="168"/>
      <c r="D4049" s="167"/>
      <c r="E4049" s="166"/>
      <c r="F4049" s="165"/>
      <c r="G4049" s="164"/>
    </row>
    <row r="4050" spans="1:7" x14ac:dyDescent="0.25">
      <c r="A4050" s="169" t="str">
        <f>E4050&amp;COUNTIFS($E$2:E4050,E4050)</f>
        <v>0</v>
      </c>
      <c r="B4050" s="166"/>
      <c r="C4050" s="168"/>
      <c r="D4050" s="167"/>
      <c r="E4050" s="166"/>
      <c r="F4050" s="165"/>
      <c r="G4050" s="164"/>
    </row>
    <row r="4051" spans="1:7" x14ac:dyDescent="0.25">
      <c r="A4051" s="169" t="str">
        <f>E4051&amp;COUNTIFS($E$2:E4051,E4051)</f>
        <v>0</v>
      </c>
      <c r="B4051" s="166"/>
      <c r="C4051" s="168"/>
      <c r="D4051" s="167"/>
      <c r="E4051" s="166"/>
      <c r="F4051" s="165"/>
      <c r="G4051" s="164"/>
    </row>
    <row r="4052" spans="1:7" x14ac:dyDescent="0.25">
      <c r="A4052" s="169" t="str">
        <f>E4052&amp;COUNTIFS($E$2:E4052,E4052)</f>
        <v>0</v>
      </c>
      <c r="B4052" s="166"/>
      <c r="C4052" s="168"/>
      <c r="D4052" s="167"/>
      <c r="E4052" s="166"/>
      <c r="F4052" s="165"/>
      <c r="G4052" s="164"/>
    </row>
    <row r="4053" spans="1:7" x14ac:dyDescent="0.25">
      <c r="A4053" s="169" t="str">
        <f>E4053&amp;COUNTIFS($E$2:E4053,E4053)</f>
        <v>0</v>
      </c>
      <c r="B4053" s="166"/>
      <c r="C4053" s="168"/>
      <c r="D4053" s="167"/>
      <c r="E4053" s="166"/>
      <c r="F4053" s="165"/>
      <c r="G4053" s="164"/>
    </row>
    <row r="4054" spans="1:7" x14ac:dyDescent="0.25">
      <c r="A4054" s="169" t="str">
        <f>E4054&amp;COUNTIFS($E$2:E4054,E4054)</f>
        <v>0</v>
      </c>
      <c r="B4054" s="166"/>
      <c r="C4054" s="168"/>
      <c r="D4054" s="167"/>
      <c r="E4054" s="166"/>
      <c r="F4054" s="165"/>
      <c r="G4054" s="164"/>
    </row>
    <row r="4055" spans="1:7" x14ac:dyDescent="0.25">
      <c r="A4055" s="169" t="str">
        <f>E4055&amp;COUNTIFS($E$2:E4055,E4055)</f>
        <v>0</v>
      </c>
      <c r="B4055" s="166"/>
      <c r="C4055" s="168"/>
      <c r="D4055" s="167"/>
      <c r="E4055" s="166"/>
      <c r="F4055" s="165"/>
      <c r="G4055" s="164"/>
    </row>
    <row r="4056" spans="1:7" x14ac:dyDescent="0.25">
      <c r="A4056" s="169" t="str">
        <f>E4056&amp;COUNTIFS($E$2:E4056,E4056)</f>
        <v>0</v>
      </c>
      <c r="B4056" s="166"/>
      <c r="C4056" s="168"/>
      <c r="D4056" s="167"/>
      <c r="E4056" s="166"/>
      <c r="F4056" s="165"/>
      <c r="G4056" s="164"/>
    </row>
    <row r="4057" spans="1:7" x14ac:dyDescent="0.25">
      <c r="A4057" s="169" t="str">
        <f>E4057&amp;COUNTIFS($E$2:E4057,E4057)</f>
        <v>0</v>
      </c>
      <c r="B4057" s="166"/>
      <c r="C4057" s="168"/>
      <c r="D4057" s="167"/>
      <c r="E4057" s="166"/>
      <c r="F4057" s="165"/>
      <c r="G4057" s="164"/>
    </row>
    <row r="4058" spans="1:7" x14ac:dyDescent="0.25">
      <c r="A4058" s="169" t="str">
        <f>E4058&amp;COUNTIFS($E$2:E4058,E4058)</f>
        <v>0</v>
      </c>
      <c r="B4058" s="166"/>
      <c r="C4058" s="168"/>
      <c r="D4058" s="167"/>
      <c r="E4058" s="166"/>
      <c r="F4058" s="165"/>
      <c r="G4058" s="164"/>
    </row>
    <row r="4059" spans="1:7" x14ac:dyDescent="0.25">
      <c r="A4059" s="169" t="str">
        <f>E4059&amp;COUNTIFS($E$2:E4059,E4059)</f>
        <v>0</v>
      </c>
      <c r="B4059" s="166"/>
      <c r="C4059" s="168"/>
      <c r="D4059" s="167"/>
      <c r="E4059" s="166"/>
      <c r="F4059" s="165"/>
      <c r="G4059" s="164"/>
    </row>
    <row r="4060" spans="1:7" x14ac:dyDescent="0.25">
      <c r="A4060" s="169" t="str">
        <f>E4060&amp;COUNTIFS($E$2:E4060,E4060)</f>
        <v>0</v>
      </c>
      <c r="B4060" s="166"/>
      <c r="C4060" s="168"/>
      <c r="D4060" s="167"/>
      <c r="E4060" s="166"/>
      <c r="F4060" s="165"/>
      <c r="G4060" s="164"/>
    </row>
    <row r="4061" spans="1:7" x14ac:dyDescent="0.25">
      <c r="A4061" s="169" t="str">
        <f>E4061&amp;COUNTIFS($E$2:E4061,E4061)</f>
        <v>0</v>
      </c>
      <c r="B4061" s="166"/>
      <c r="C4061" s="168"/>
      <c r="D4061" s="167"/>
      <c r="E4061" s="166"/>
      <c r="F4061" s="165"/>
      <c r="G4061" s="164"/>
    </row>
    <row r="4062" spans="1:7" x14ac:dyDescent="0.25">
      <c r="A4062" s="169" t="str">
        <f>E4062&amp;COUNTIFS($E$2:E4062,E4062)</f>
        <v>0</v>
      </c>
      <c r="B4062" s="166"/>
      <c r="C4062" s="168"/>
      <c r="D4062" s="167"/>
      <c r="E4062" s="166"/>
      <c r="F4062" s="165"/>
      <c r="G4062" s="164"/>
    </row>
    <row r="4063" spans="1:7" x14ac:dyDescent="0.25">
      <c r="A4063" s="169" t="str">
        <f>E4063&amp;COUNTIFS($E$2:E4063,E4063)</f>
        <v>0</v>
      </c>
      <c r="B4063" s="166"/>
      <c r="C4063" s="168"/>
      <c r="D4063" s="167"/>
      <c r="E4063" s="166"/>
      <c r="F4063" s="165"/>
      <c r="G4063" s="164"/>
    </row>
    <row r="4064" spans="1:7" x14ac:dyDescent="0.25">
      <c r="A4064" s="169" t="str">
        <f>E4064&amp;COUNTIFS($E$2:E4064,E4064)</f>
        <v>0</v>
      </c>
      <c r="B4064" s="166"/>
      <c r="C4064" s="168"/>
      <c r="D4064" s="167"/>
      <c r="E4064" s="166"/>
      <c r="F4064" s="165"/>
      <c r="G4064" s="164"/>
    </row>
    <row r="4065" spans="1:7" x14ac:dyDescent="0.25">
      <c r="A4065" s="169" t="str">
        <f>E4065&amp;COUNTIFS($E$2:E4065,E4065)</f>
        <v>0</v>
      </c>
      <c r="B4065" s="166"/>
      <c r="C4065" s="168"/>
      <c r="D4065" s="167"/>
      <c r="E4065" s="166"/>
      <c r="F4065" s="165"/>
      <c r="G4065" s="164"/>
    </row>
    <row r="4066" spans="1:7" x14ac:dyDescent="0.25">
      <c r="A4066" s="169" t="str">
        <f>E4066&amp;COUNTIFS($E$2:E4066,E4066)</f>
        <v>0</v>
      </c>
      <c r="B4066" s="166"/>
      <c r="C4066" s="168"/>
      <c r="D4066" s="167"/>
      <c r="E4066" s="166"/>
      <c r="F4066" s="165"/>
      <c r="G4066" s="164"/>
    </row>
    <row r="4067" spans="1:7" x14ac:dyDescent="0.25">
      <c r="A4067" s="169" t="str">
        <f>E4067&amp;COUNTIFS($E$2:E4067,E4067)</f>
        <v>0</v>
      </c>
      <c r="B4067" s="166"/>
      <c r="C4067" s="168"/>
      <c r="D4067" s="167"/>
      <c r="E4067" s="166"/>
      <c r="F4067" s="165"/>
      <c r="G4067" s="164"/>
    </row>
    <row r="4068" spans="1:7" x14ac:dyDescent="0.25">
      <c r="A4068" s="169" t="str">
        <f>E4068&amp;COUNTIFS($E$2:E4068,E4068)</f>
        <v>0</v>
      </c>
      <c r="B4068" s="166"/>
      <c r="C4068" s="168"/>
      <c r="D4068" s="167"/>
      <c r="E4068" s="166"/>
      <c r="F4068" s="165"/>
      <c r="G4068" s="164"/>
    </row>
    <row r="4069" spans="1:7" x14ac:dyDescent="0.25">
      <c r="A4069" s="169" t="str">
        <f>E4069&amp;COUNTIFS($E$2:E4069,E4069)</f>
        <v>0</v>
      </c>
      <c r="B4069" s="166"/>
      <c r="C4069" s="168"/>
      <c r="D4069" s="167"/>
      <c r="E4069" s="166"/>
      <c r="F4069" s="165"/>
      <c r="G4069" s="164"/>
    </row>
    <row r="4070" spans="1:7" x14ac:dyDescent="0.25">
      <c r="A4070" s="169" t="str">
        <f>E4070&amp;COUNTIFS($E$2:E4070,E4070)</f>
        <v>0</v>
      </c>
      <c r="B4070" s="166"/>
      <c r="C4070" s="168"/>
      <c r="D4070" s="167"/>
      <c r="E4070" s="166"/>
      <c r="F4070" s="165"/>
      <c r="G4070" s="164"/>
    </row>
    <row r="4071" spans="1:7" x14ac:dyDescent="0.25">
      <c r="A4071" s="169" t="str">
        <f>E4071&amp;COUNTIFS($E$2:E4071,E4071)</f>
        <v>0</v>
      </c>
      <c r="B4071" s="166"/>
      <c r="C4071" s="168"/>
      <c r="D4071" s="167"/>
      <c r="E4071" s="166"/>
      <c r="F4071" s="165"/>
      <c r="G4071" s="164"/>
    </row>
    <row r="4072" spans="1:7" ht="15.75" thickBot="1" x14ac:dyDescent="0.3">
      <c r="A4072" s="163" t="str">
        <f>E4072&amp;COUNTIFS($E$2:E4072,E4072)</f>
        <v>0</v>
      </c>
      <c r="B4072" s="166"/>
      <c r="C4072" s="162"/>
      <c r="D4072" s="161"/>
      <c r="E4072" s="160"/>
      <c r="F4072" s="159"/>
      <c r="G4072" s="158"/>
    </row>
    <row r="4073" spans="1:7" x14ac:dyDescent="0.25">
      <c r="A4073" s="148"/>
      <c r="C4073" s="143"/>
      <c r="D4073" s="157"/>
      <c r="E4073" s="143"/>
      <c r="F4073" s="156"/>
      <c r="G4073" s="156"/>
    </row>
    <row r="4074" spans="1:7" x14ac:dyDescent="0.25">
      <c r="A4074" s="148"/>
      <c r="C4074" s="153" t="s">
        <v>623</v>
      </c>
      <c r="D4074" s="152"/>
      <c r="E4074" s="151"/>
      <c r="F4074" s="150">
        <f>SUM(F4048:F4072)</f>
        <v>0</v>
      </c>
      <c r="G4074" s="155">
        <f>SUM(G4048:G4072)</f>
        <v>0</v>
      </c>
    </row>
    <row r="4075" spans="1:7" x14ac:dyDescent="0.25">
      <c r="A4075" s="148"/>
      <c r="C4075" s="145" t="s">
        <v>622</v>
      </c>
      <c r="D4075" s="154"/>
      <c r="E4075" s="145"/>
      <c r="F4075" s="144"/>
      <c r="G4075" s="144"/>
    </row>
    <row r="4076" spans="1:7" x14ac:dyDescent="0.25">
      <c r="A4076" s="148"/>
      <c r="C4076" s="153" t="s">
        <v>621</v>
      </c>
      <c r="D4076" s="152"/>
      <c r="E4076" s="151"/>
      <c r="F4076" s="150">
        <f>F4043</f>
        <v>0</v>
      </c>
      <c r="G4076" s="150">
        <f>G4043</f>
        <v>0</v>
      </c>
    </row>
    <row r="4077" spans="1:7" x14ac:dyDescent="0.25">
      <c r="A4077" s="148"/>
      <c r="C4077" s="153" t="s">
        <v>582</v>
      </c>
      <c r="D4077" s="152"/>
      <c r="E4077" s="151"/>
      <c r="F4077" s="150">
        <f>F4076+F4074</f>
        <v>0</v>
      </c>
      <c r="G4077" s="150">
        <f>G4076+G4074</f>
        <v>0</v>
      </c>
    </row>
    <row r="4078" spans="1:7" ht="15.75" thickBot="1" x14ac:dyDescent="0.3">
      <c r="A4078" s="148"/>
      <c r="C4078" s="145"/>
      <c r="D4078" s="149"/>
      <c r="E4078" s="145"/>
      <c r="F4078" s="144"/>
      <c r="G4078" s="144"/>
    </row>
    <row r="4079" spans="1:7" ht="15.75" thickBot="1" x14ac:dyDescent="0.3">
      <c r="A4079" s="148"/>
      <c r="C4079" s="147" t="s">
        <v>620</v>
      </c>
      <c r="D4079" s="146">
        <f>F4077-G4077</f>
        <v>0</v>
      </c>
      <c r="E4079" s="145"/>
      <c r="F4079" s="144"/>
      <c r="G4079" s="144"/>
    </row>
    <row r="4080" spans="1:7" ht="15.75" thickBot="1" x14ac:dyDescent="0.3"/>
    <row r="4081" spans="1:7" ht="30.75" thickBot="1" x14ac:dyDescent="0.3">
      <c r="A4081" s="232" t="s">
        <v>626</v>
      </c>
      <c r="B4081" s="231" t="s">
        <v>606</v>
      </c>
      <c r="C4081" s="230" t="s">
        <v>630</v>
      </c>
      <c r="D4081" s="229" t="s">
        <v>601</v>
      </c>
      <c r="E4081" s="228" t="s">
        <v>287</v>
      </c>
      <c r="F4081" s="227" t="s">
        <v>624</v>
      </c>
      <c r="G4081" s="227" t="s">
        <v>596</v>
      </c>
    </row>
    <row r="4082" spans="1:7" x14ac:dyDescent="0.25">
      <c r="A4082" s="169" t="str">
        <f>E4082&amp;COUNTIFS($E$2:E4082,E4082)</f>
        <v>0</v>
      </c>
      <c r="B4082" s="172"/>
      <c r="C4082" s="174"/>
      <c r="D4082" s="173"/>
      <c r="E4082" s="172"/>
      <c r="F4082" s="171"/>
      <c r="G4082" s="170"/>
    </row>
    <row r="4083" spans="1:7" x14ac:dyDescent="0.25">
      <c r="A4083" s="169" t="str">
        <f>E4083&amp;COUNTIFS($E$2:E4083,E4083)</f>
        <v>0</v>
      </c>
      <c r="B4083" s="166"/>
      <c r="C4083" s="168"/>
      <c r="D4083" s="167"/>
      <c r="E4083" s="166"/>
      <c r="F4083" s="165"/>
      <c r="G4083" s="164"/>
    </row>
    <row r="4084" spans="1:7" x14ac:dyDescent="0.25">
      <c r="A4084" s="169" t="str">
        <f>E4084&amp;COUNTIFS($E$2:E4084,E4084)</f>
        <v>0</v>
      </c>
      <c r="B4084" s="166"/>
      <c r="C4084" s="168"/>
      <c r="D4084" s="167"/>
      <c r="E4084" s="166"/>
      <c r="F4084" s="165"/>
      <c r="G4084" s="164"/>
    </row>
    <row r="4085" spans="1:7" x14ac:dyDescent="0.25">
      <c r="A4085" s="169" t="str">
        <f>E4085&amp;COUNTIFS($E$2:E4085,E4085)</f>
        <v>0</v>
      </c>
      <c r="B4085" s="166"/>
      <c r="C4085" s="168"/>
      <c r="D4085" s="167"/>
      <c r="E4085" s="166"/>
      <c r="F4085" s="165"/>
      <c r="G4085" s="164"/>
    </row>
    <row r="4086" spans="1:7" x14ac:dyDescent="0.25">
      <c r="A4086" s="169" t="str">
        <f>E4086&amp;COUNTIFS($E$2:E4086,E4086)</f>
        <v>0</v>
      </c>
      <c r="B4086" s="166"/>
      <c r="C4086" s="168"/>
      <c r="D4086" s="167"/>
      <c r="E4086" s="166"/>
      <c r="F4086" s="165"/>
      <c r="G4086" s="164"/>
    </row>
    <row r="4087" spans="1:7" x14ac:dyDescent="0.25">
      <c r="A4087" s="169" t="str">
        <f>E4087&amp;COUNTIFS($E$2:E4087,E4087)</f>
        <v>0</v>
      </c>
      <c r="B4087" s="166"/>
      <c r="C4087" s="168"/>
      <c r="D4087" s="167"/>
      <c r="E4087" s="166"/>
      <c r="F4087" s="165"/>
      <c r="G4087" s="164"/>
    </row>
    <row r="4088" spans="1:7" x14ac:dyDescent="0.25">
      <c r="A4088" s="169" t="str">
        <f>E4088&amp;COUNTIFS($E$2:E4088,E4088)</f>
        <v>0</v>
      </c>
      <c r="B4088" s="166"/>
      <c r="C4088" s="168"/>
      <c r="D4088" s="167"/>
      <c r="E4088" s="166"/>
      <c r="F4088" s="165"/>
      <c r="G4088" s="164"/>
    </row>
    <row r="4089" spans="1:7" x14ac:dyDescent="0.25">
      <c r="A4089" s="169" t="str">
        <f>E4089&amp;COUNTIFS($E$2:E4089,E4089)</f>
        <v>0</v>
      </c>
      <c r="B4089" s="166"/>
      <c r="C4089" s="168"/>
      <c r="D4089" s="167"/>
      <c r="E4089" s="166"/>
      <c r="F4089" s="165"/>
      <c r="G4089" s="164"/>
    </row>
    <row r="4090" spans="1:7" x14ac:dyDescent="0.25">
      <c r="A4090" s="169" t="str">
        <f>E4090&amp;COUNTIFS($E$2:E4090,E4090)</f>
        <v>0</v>
      </c>
      <c r="B4090" s="166"/>
      <c r="C4090" s="168"/>
      <c r="D4090" s="167"/>
      <c r="E4090" s="166"/>
      <c r="F4090" s="165"/>
      <c r="G4090" s="164"/>
    </row>
    <row r="4091" spans="1:7" x14ac:dyDescent="0.25">
      <c r="A4091" s="169" t="str">
        <f>E4091&amp;COUNTIFS($E$2:E4091,E4091)</f>
        <v>0</v>
      </c>
      <c r="B4091" s="166"/>
      <c r="C4091" s="168"/>
      <c r="D4091" s="167"/>
      <c r="E4091" s="166"/>
      <c r="F4091" s="165"/>
      <c r="G4091" s="164"/>
    </row>
    <row r="4092" spans="1:7" x14ac:dyDescent="0.25">
      <c r="A4092" s="169" t="str">
        <f>E4092&amp;COUNTIFS($E$2:E4092,E4092)</f>
        <v>0</v>
      </c>
      <c r="B4092" s="166"/>
      <c r="C4092" s="168"/>
      <c r="D4092" s="167"/>
      <c r="E4092" s="166"/>
      <c r="F4092" s="165"/>
      <c r="G4092" s="164"/>
    </row>
    <row r="4093" spans="1:7" x14ac:dyDescent="0.25">
      <c r="A4093" s="169" t="str">
        <f>E4093&amp;COUNTIFS($E$2:E4093,E4093)</f>
        <v>0</v>
      </c>
      <c r="B4093" s="166"/>
      <c r="C4093" s="168"/>
      <c r="D4093" s="167"/>
      <c r="E4093" s="166"/>
      <c r="F4093" s="165"/>
      <c r="G4093" s="164"/>
    </row>
    <row r="4094" spans="1:7" x14ac:dyDescent="0.25">
      <c r="A4094" s="169" t="str">
        <f>E4094&amp;COUNTIFS($E$2:E4094,E4094)</f>
        <v>0</v>
      </c>
      <c r="B4094" s="166"/>
      <c r="C4094" s="168"/>
      <c r="D4094" s="167"/>
      <c r="E4094" s="166"/>
      <c r="F4094" s="165"/>
      <c r="G4094" s="164"/>
    </row>
    <row r="4095" spans="1:7" x14ac:dyDescent="0.25">
      <c r="A4095" s="169" t="str">
        <f>E4095&amp;COUNTIFS($E$2:E4095,E4095)</f>
        <v>0</v>
      </c>
      <c r="B4095" s="166"/>
      <c r="C4095" s="168"/>
      <c r="D4095" s="167"/>
      <c r="E4095" s="166"/>
      <c r="F4095" s="165"/>
      <c r="G4095" s="164"/>
    </row>
    <row r="4096" spans="1:7" x14ac:dyDescent="0.25">
      <c r="A4096" s="169" t="str">
        <f>E4096&amp;COUNTIFS($E$2:E4096,E4096)</f>
        <v>0</v>
      </c>
      <c r="B4096" s="166"/>
      <c r="C4096" s="168"/>
      <c r="D4096" s="167"/>
      <c r="E4096" s="166"/>
      <c r="F4096" s="165"/>
      <c r="G4096" s="164"/>
    </row>
    <row r="4097" spans="1:7" x14ac:dyDescent="0.25">
      <c r="A4097" s="169" t="str">
        <f>E4097&amp;COUNTIFS($E$2:E4097,E4097)</f>
        <v>0</v>
      </c>
      <c r="B4097" s="166"/>
      <c r="C4097" s="168"/>
      <c r="D4097" s="167"/>
      <c r="E4097" s="166"/>
      <c r="F4097" s="165"/>
      <c r="G4097" s="164"/>
    </row>
    <row r="4098" spans="1:7" x14ac:dyDescent="0.25">
      <c r="A4098" s="169" t="str">
        <f>E4098&amp;COUNTIFS($E$2:E4098,E4098)</f>
        <v>0</v>
      </c>
      <c r="B4098" s="166"/>
      <c r="C4098" s="168"/>
      <c r="D4098" s="167"/>
      <c r="E4098" s="166"/>
      <c r="F4098" s="165"/>
      <c r="G4098" s="164"/>
    </row>
    <row r="4099" spans="1:7" x14ac:dyDescent="0.25">
      <c r="A4099" s="169" t="str">
        <f>E4099&amp;COUNTIFS($E$2:E4099,E4099)</f>
        <v>0</v>
      </c>
      <c r="B4099" s="166"/>
      <c r="C4099" s="168"/>
      <c r="D4099" s="167"/>
      <c r="E4099" s="166"/>
      <c r="F4099" s="165"/>
      <c r="G4099" s="164"/>
    </row>
    <row r="4100" spans="1:7" x14ac:dyDescent="0.25">
      <c r="A4100" s="169" t="str">
        <f>E4100&amp;COUNTIFS($E$2:E4100,E4100)</f>
        <v>0</v>
      </c>
      <c r="B4100" s="166"/>
      <c r="C4100" s="168"/>
      <c r="D4100" s="167"/>
      <c r="E4100" s="166"/>
      <c r="F4100" s="165"/>
      <c r="G4100" s="164"/>
    </row>
    <row r="4101" spans="1:7" x14ac:dyDescent="0.25">
      <c r="A4101" s="169" t="str">
        <f>E4101&amp;COUNTIFS($E$2:E4101,E4101)</f>
        <v>0</v>
      </c>
      <c r="B4101" s="166"/>
      <c r="C4101" s="168"/>
      <c r="D4101" s="167"/>
      <c r="E4101" s="166"/>
      <c r="F4101" s="165"/>
      <c r="G4101" s="164"/>
    </row>
    <row r="4102" spans="1:7" x14ac:dyDescent="0.25">
      <c r="A4102" s="169" t="str">
        <f>E4102&amp;COUNTIFS($E$2:E4102,E4102)</f>
        <v>0</v>
      </c>
      <c r="B4102" s="166"/>
      <c r="C4102" s="168"/>
      <c r="D4102" s="167"/>
      <c r="E4102" s="166"/>
      <c r="F4102" s="165"/>
      <c r="G4102" s="164"/>
    </row>
    <row r="4103" spans="1:7" x14ac:dyDescent="0.25">
      <c r="A4103" s="169" t="str">
        <f>E4103&amp;COUNTIFS($E$2:E4103,E4103)</f>
        <v>0</v>
      </c>
      <c r="B4103" s="166"/>
      <c r="C4103" s="168"/>
      <c r="D4103" s="167"/>
      <c r="E4103" s="166"/>
      <c r="F4103" s="165"/>
      <c r="G4103" s="164"/>
    </row>
    <row r="4104" spans="1:7" x14ac:dyDescent="0.25">
      <c r="A4104" s="169" t="str">
        <f>E4104&amp;COUNTIFS($E$2:E4104,E4104)</f>
        <v>0</v>
      </c>
      <c r="B4104" s="166"/>
      <c r="C4104" s="168"/>
      <c r="D4104" s="167"/>
      <c r="E4104" s="166"/>
      <c r="F4104" s="165"/>
      <c r="G4104" s="164"/>
    </row>
    <row r="4105" spans="1:7" x14ac:dyDescent="0.25">
      <c r="A4105" s="169" t="str">
        <f>E4105&amp;COUNTIFS($E$2:E4105,E4105)</f>
        <v>0</v>
      </c>
      <c r="B4105" s="166"/>
      <c r="C4105" s="168"/>
      <c r="D4105" s="167"/>
      <c r="E4105" s="166"/>
      <c r="F4105" s="165"/>
      <c r="G4105" s="164"/>
    </row>
    <row r="4106" spans="1:7" ht="15.75" thickBot="1" x14ac:dyDescent="0.3">
      <c r="A4106" s="163" t="str">
        <f>E4106&amp;COUNTIFS($E$2:E4106,E4106)</f>
        <v>0</v>
      </c>
      <c r="B4106" s="166"/>
      <c r="C4106" s="162"/>
      <c r="D4106" s="161"/>
      <c r="E4106" s="160"/>
      <c r="F4106" s="159"/>
      <c r="G4106" s="158"/>
    </row>
    <row r="4107" spans="1:7" x14ac:dyDescent="0.25">
      <c r="A4107" s="148"/>
      <c r="C4107" s="143"/>
      <c r="D4107" s="157"/>
      <c r="E4107" s="143"/>
      <c r="F4107" s="156"/>
      <c r="G4107" s="156"/>
    </row>
    <row r="4108" spans="1:7" x14ac:dyDescent="0.25">
      <c r="A4108" s="148"/>
      <c r="C4108" s="153" t="s">
        <v>623</v>
      </c>
      <c r="D4108" s="152"/>
      <c r="E4108" s="151"/>
      <c r="F4108" s="150">
        <f>SUM(F4082:F4106)</f>
        <v>0</v>
      </c>
      <c r="G4108" s="155">
        <f>SUM(G4082:G4106)</f>
        <v>0</v>
      </c>
    </row>
    <row r="4109" spans="1:7" x14ac:dyDescent="0.25">
      <c r="A4109" s="148"/>
      <c r="C4109" s="145" t="s">
        <v>622</v>
      </c>
      <c r="D4109" s="154"/>
      <c r="E4109" s="145"/>
      <c r="F4109" s="144"/>
      <c r="G4109" s="144"/>
    </row>
    <row r="4110" spans="1:7" x14ac:dyDescent="0.25">
      <c r="A4110" s="148"/>
      <c r="C4110" s="153" t="s">
        <v>621</v>
      </c>
      <c r="D4110" s="152"/>
      <c r="E4110" s="151"/>
      <c r="F4110" s="150">
        <f>F4077</f>
        <v>0</v>
      </c>
      <c r="G4110" s="150">
        <f>G4077</f>
        <v>0</v>
      </c>
    </row>
    <row r="4111" spans="1:7" x14ac:dyDescent="0.25">
      <c r="A4111" s="148"/>
      <c r="C4111" s="153" t="s">
        <v>582</v>
      </c>
      <c r="D4111" s="152"/>
      <c r="E4111" s="151"/>
      <c r="F4111" s="150">
        <f>F4110+F4108</f>
        <v>0</v>
      </c>
      <c r="G4111" s="150">
        <f>G4110+G4108</f>
        <v>0</v>
      </c>
    </row>
    <row r="4112" spans="1:7" ht="15.75" thickBot="1" x14ac:dyDescent="0.3">
      <c r="A4112" s="148"/>
      <c r="C4112" s="145"/>
      <c r="D4112" s="149"/>
      <c r="E4112" s="145"/>
      <c r="F4112" s="144"/>
      <c r="G4112" s="144"/>
    </row>
    <row r="4113" spans="1:7" ht="15.75" thickBot="1" x14ac:dyDescent="0.3">
      <c r="A4113" s="148"/>
      <c r="C4113" s="147" t="s">
        <v>620</v>
      </c>
      <c r="D4113" s="146">
        <f>F4111-G4111</f>
        <v>0</v>
      </c>
      <c r="E4113" s="145"/>
      <c r="F4113" s="144"/>
      <c r="G4113" s="144"/>
    </row>
    <row r="4114" spans="1:7" ht="15.75" thickBot="1" x14ac:dyDescent="0.3"/>
    <row r="4115" spans="1:7" ht="30.75" thickBot="1" x14ac:dyDescent="0.3">
      <c r="A4115" s="232" t="s">
        <v>626</v>
      </c>
      <c r="B4115" s="231" t="s">
        <v>606</v>
      </c>
      <c r="C4115" s="230" t="s">
        <v>630</v>
      </c>
      <c r="D4115" s="229" t="s">
        <v>601</v>
      </c>
      <c r="E4115" s="228" t="s">
        <v>287</v>
      </c>
      <c r="F4115" s="227" t="s">
        <v>624</v>
      </c>
      <c r="G4115" s="227" t="s">
        <v>596</v>
      </c>
    </row>
    <row r="4116" spans="1:7" x14ac:dyDescent="0.25">
      <c r="A4116" s="169" t="str">
        <f>E4116&amp;COUNTIFS($E$2:E4116,E4116)</f>
        <v>0</v>
      </c>
      <c r="B4116" s="172"/>
      <c r="C4116" s="174"/>
      <c r="D4116" s="173"/>
      <c r="E4116" s="172"/>
      <c r="F4116" s="171"/>
      <c r="G4116" s="170"/>
    </row>
    <row r="4117" spans="1:7" x14ac:dyDescent="0.25">
      <c r="A4117" s="169" t="str">
        <f>E4117&amp;COUNTIFS($E$2:E4117,E4117)</f>
        <v>0</v>
      </c>
      <c r="B4117" s="166"/>
      <c r="C4117" s="168"/>
      <c r="D4117" s="167"/>
      <c r="E4117" s="166"/>
      <c r="F4117" s="165"/>
      <c r="G4117" s="164"/>
    </row>
    <row r="4118" spans="1:7" x14ac:dyDescent="0.25">
      <c r="A4118" s="169" t="str">
        <f>E4118&amp;COUNTIFS($E$2:E4118,E4118)</f>
        <v>0</v>
      </c>
      <c r="B4118" s="166"/>
      <c r="C4118" s="168"/>
      <c r="D4118" s="167"/>
      <c r="E4118" s="166"/>
      <c r="F4118" s="165"/>
      <c r="G4118" s="164"/>
    </row>
    <row r="4119" spans="1:7" x14ac:dyDescent="0.25">
      <c r="A4119" s="169" t="str">
        <f>E4119&amp;COUNTIFS($E$2:E4119,E4119)</f>
        <v>0</v>
      </c>
      <c r="B4119" s="166"/>
      <c r="C4119" s="168"/>
      <c r="D4119" s="167"/>
      <c r="E4119" s="166"/>
      <c r="F4119" s="165"/>
      <c r="G4119" s="164"/>
    </row>
    <row r="4120" spans="1:7" x14ac:dyDescent="0.25">
      <c r="A4120" s="169" t="str">
        <f>E4120&amp;COUNTIFS($E$2:E4120,E4120)</f>
        <v>0</v>
      </c>
      <c r="B4120" s="166"/>
      <c r="C4120" s="168"/>
      <c r="D4120" s="167"/>
      <c r="E4120" s="166"/>
      <c r="F4120" s="165"/>
      <c r="G4120" s="164"/>
    </row>
    <row r="4121" spans="1:7" x14ac:dyDescent="0.25">
      <c r="A4121" s="169" t="str">
        <f>E4121&amp;COUNTIFS($E$2:E4121,E4121)</f>
        <v>0</v>
      </c>
      <c r="B4121" s="166"/>
      <c r="C4121" s="168"/>
      <c r="D4121" s="167"/>
      <c r="E4121" s="166"/>
      <c r="F4121" s="165"/>
      <c r="G4121" s="164"/>
    </row>
    <row r="4122" spans="1:7" x14ac:dyDescent="0.25">
      <c r="A4122" s="169" t="str">
        <f>E4122&amp;COUNTIFS($E$2:E4122,E4122)</f>
        <v>0</v>
      </c>
      <c r="B4122" s="166"/>
      <c r="C4122" s="168"/>
      <c r="D4122" s="167"/>
      <c r="E4122" s="166"/>
      <c r="F4122" s="165"/>
      <c r="G4122" s="164"/>
    </row>
    <row r="4123" spans="1:7" x14ac:dyDescent="0.25">
      <c r="A4123" s="169" t="str">
        <f>E4123&amp;COUNTIFS($E$2:E4123,E4123)</f>
        <v>0</v>
      </c>
      <c r="B4123" s="166"/>
      <c r="C4123" s="168"/>
      <c r="D4123" s="167"/>
      <c r="E4123" s="166"/>
      <c r="F4123" s="165"/>
      <c r="G4123" s="164"/>
    </row>
    <row r="4124" spans="1:7" x14ac:dyDescent="0.25">
      <c r="A4124" s="169" t="str">
        <f>E4124&amp;COUNTIFS($E$2:E4124,E4124)</f>
        <v>0</v>
      </c>
      <c r="B4124" s="166"/>
      <c r="C4124" s="168"/>
      <c r="D4124" s="167"/>
      <c r="E4124" s="166"/>
      <c r="F4124" s="165"/>
      <c r="G4124" s="164"/>
    </row>
    <row r="4125" spans="1:7" x14ac:dyDescent="0.25">
      <c r="A4125" s="169" t="str">
        <f>E4125&amp;COUNTIFS($E$2:E4125,E4125)</f>
        <v>0</v>
      </c>
      <c r="B4125" s="166"/>
      <c r="C4125" s="168"/>
      <c r="D4125" s="167"/>
      <c r="E4125" s="166"/>
      <c r="F4125" s="165"/>
      <c r="G4125" s="164"/>
    </row>
    <row r="4126" spans="1:7" x14ac:dyDescent="0.25">
      <c r="A4126" s="169" t="str">
        <f>E4126&amp;COUNTIFS($E$2:E4126,E4126)</f>
        <v>0</v>
      </c>
      <c r="B4126" s="166"/>
      <c r="C4126" s="168"/>
      <c r="D4126" s="167"/>
      <c r="E4126" s="166"/>
      <c r="F4126" s="165"/>
      <c r="G4126" s="164"/>
    </row>
    <row r="4127" spans="1:7" x14ac:dyDescent="0.25">
      <c r="A4127" s="169" t="str">
        <f>E4127&amp;COUNTIFS($E$2:E4127,E4127)</f>
        <v>0</v>
      </c>
      <c r="B4127" s="166"/>
      <c r="C4127" s="168"/>
      <c r="D4127" s="167"/>
      <c r="E4127" s="166"/>
      <c r="F4127" s="165"/>
      <c r="G4127" s="164"/>
    </row>
    <row r="4128" spans="1:7" x14ac:dyDescent="0.25">
      <c r="A4128" s="169" t="str">
        <f>E4128&amp;COUNTIFS($E$2:E4128,E4128)</f>
        <v>0</v>
      </c>
      <c r="B4128" s="166"/>
      <c r="C4128" s="168"/>
      <c r="D4128" s="167"/>
      <c r="E4128" s="166"/>
      <c r="F4128" s="165"/>
      <c r="G4128" s="164"/>
    </row>
    <row r="4129" spans="1:7" x14ac:dyDescent="0.25">
      <c r="A4129" s="169" t="str">
        <f>E4129&amp;COUNTIFS($E$2:E4129,E4129)</f>
        <v>0</v>
      </c>
      <c r="B4129" s="166"/>
      <c r="C4129" s="168"/>
      <c r="D4129" s="167"/>
      <c r="E4129" s="166"/>
      <c r="F4129" s="165"/>
      <c r="G4129" s="164"/>
    </row>
    <row r="4130" spans="1:7" x14ac:dyDescent="0.25">
      <c r="A4130" s="169" t="str">
        <f>E4130&amp;COUNTIFS($E$2:E4130,E4130)</f>
        <v>0</v>
      </c>
      <c r="B4130" s="166"/>
      <c r="C4130" s="168"/>
      <c r="D4130" s="167"/>
      <c r="E4130" s="166"/>
      <c r="F4130" s="165"/>
      <c r="G4130" s="164"/>
    </row>
    <row r="4131" spans="1:7" x14ac:dyDescent="0.25">
      <c r="A4131" s="169" t="str">
        <f>E4131&amp;COUNTIFS($E$2:E4131,E4131)</f>
        <v>0</v>
      </c>
      <c r="B4131" s="166"/>
      <c r="C4131" s="168"/>
      <c r="D4131" s="167"/>
      <c r="E4131" s="166"/>
      <c r="F4131" s="165"/>
      <c r="G4131" s="164"/>
    </row>
    <row r="4132" spans="1:7" x14ac:dyDescent="0.25">
      <c r="A4132" s="169" t="str">
        <f>E4132&amp;COUNTIFS($E$2:E4132,E4132)</f>
        <v>0</v>
      </c>
      <c r="B4132" s="166"/>
      <c r="C4132" s="168"/>
      <c r="D4132" s="167"/>
      <c r="E4132" s="166"/>
      <c r="F4132" s="165"/>
      <c r="G4132" s="164"/>
    </row>
    <row r="4133" spans="1:7" x14ac:dyDescent="0.25">
      <c r="A4133" s="169" t="str">
        <f>E4133&amp;COUNTIFS($E$2:E4133,E4133)</f>
        <v>0</v>
      </c>
      <c r="B4133" s="166"/>
      <c r="C4133" s="168"/>
      <c r="D4133" s="167"/>
      <c r="E4133" s="166"/>
      <c r="F4133" s="165"/>
      <c r="G4133" s="164"/>
    </row>
    <row r="4134" spans="1:7" x14ac:dyDescent="0.25">
      <c r="A4134" s="169" t="str">
        <f>E4134&amp;COUNTIFS($E$2:E4134,E4134)</f>
        <v>0</v>
      </c>
      <c r="B4134" s="166"/>
      <c r="C4134" s="168"/>
      <c r="D4134" s="167"/>
      <c r="E4134" s="166"/>
      <c r="F4134" s="165"/>
      <c r="G4134" s="164"/>
    </row>
    <row r="4135" spans="1:7" x14ac:dyDescent="0.25">
      <c r="A4135" s="169" t="str">
        <f>E4135&amp;COUNTIFS($E$2:E4135,E4135)</f>
        <v>0</v>
      </c>
      <c r="B4135" s="166"/>
      <c r="C4135" s="168"/>
      <c r="D4135" s="167"/>
      <c r="E4135" s="166"/>
      <c r="F4135" s="165"/>
      <c r="G4135" s="164"/>
    </row>
    <row r="4136" spans="1:7" x14ac:dyDescent="0.25">
      <c r="A4136" s="169" t="str">
        <f>E4136&amp;COUNTIFS($E$2:E4136,E4136)</f>
        <v>0</v>
      </c>
      <c r="B4136" s="166"/>
      <c r="C4136" s="168"/>
      <c r="D4136" s="167"/>
      <c r="E4136" s="166"/>
      <c r="F4136" s="165"/>
      <c r="G4136" s="164"/>
    </row>
    <row r="4137" spans="1:7" x14ac:dyDescent="0.25">
      <c r="A4137" s="169" t="str">
        <f>E4137&amp;COUNTIFS($E$2:E4137,E4137)</f>
        <v>0</v>
      </c>
      <c r="B4137" s="166"/>
      <c r="C4137" s="168"/>
      <c r="D4137" s="167"/>
      <c r="E4137" s="166"/>
      <c r="F4137" s="165"/>
      <c r="G4137" s="164"/>
    </row>
    <row r="4138" spans="1:7" x14ac:dyDescent="0.25">
      <c r="A4138" s="169" t="str">
        <f>E4138&amp;COUNTIFS($E$2:E4138,E4138)</f>
        <v>0</v>
      </c>
      <c r="B4138" s="166"/>
      <c r="C4138" s="168"/>
      <c r="D4138" s="167"/>
      <c r="E4138" s="166"/>
      <c r="F4138" s="165"/>
      <c r="G4138" s="164"/>
    </row>
    <row r="4139" spans="1:7" x14ac:dyDescent="0.25">
      <c r="A4139" s="169" t="str">
        <f>E4139&amp;COUNTIFS($E$2:E4139,E4139)</f>
        <v>0</v>
      </c>
      <c r="B4139" s="166"/>
      <c r="C4139" s="168"/>
      <c r="D4139" s="167"/>
      <c r="E4139" s="166"/>
      <c r="F4139" s="165"/>
      <c r="G4139" s="164"/>
    </row>
    <row r="4140" spans="1:7" ht="15.75" thickBot="1" x14ac:dyDescent="0.3">
      <c r="A4140" s="163" t="str">
        <f>E4140&amp;COUNTIFS($E$2:E4140,E4140)</f>
        <v>0</v>
      </c>
      <c r="B4140" s="166"/>
      <c r="C4140" s="162"/>
      <c r="D4140" s="161"/>
      <c r="E4140" s="160"/>
      <c r="F4140" s="159"/>
      <c r="G4140" s="158"/>
    </row>
    <row r="4141" spans="1:7" x14ac:dyDescent="0.25">
      <c r="A4141" s="148"/>
      <c r="C4141" s="143"/>
      <c r="D4141" s="157"/>
      <c r="E4141" s="143"/>
      <c r="F4141" s="156"/>
      <c r="G4141" s="156"/>
    </row>
    <row r="4142" spans="1:7" x14ac:dyDescent="0.25">
      <c r="A4142" s="148"/>
      <c r="C4142" s="153" t="s">
        <v>623</v>
      </c>
      <c r="D4142" s="152"/>
      <c r="E4142" s="151"/>
      <c r="F4142" s="150">
        <f>SUM(F4116:F4140)</f>
        <v>0</v>
      </c>
      <c r="G4142" s="155">
        <f>SUM(G4116:G4140)</f>
        <v>0</v>
      </c>
    </row>
    <row r="4143" spans="1:7" x14ac:dyDescent="0.25">
      <c r="A4143" s="148"/>
      <c r="C4143" s="145" t="s">
        <v>622</v>
      </c>
      <c r="D4143" s="154"/>
      <c r="E4143" s="145"/>
      <c r="F4143" s="144"/>
      <c r="G4143" s="144"/>
    </row>
    <row r="4144" spans="1:7" x14ac:dyDescent="0.25">
      <c r="A4144" s="148"/>
      <c r="C4144" s="153" t="s">
        <v>621</v>
      </c>
      <c r="D4144" s="152"/>
      <c r="E4144" s="151"/>
      <c r="F4144" s="150">
        <f>F4111</f>
        <v>0</v>
      </c>
      <c r="G4144" s="150">
        <f>G4111</f>
        <v>0</v>
      </c>
    </row>
    <row r="4145" spans="1:7" x14ac:dyDescent="0.25">
      <c r="A4145" s="148"/>
      <c r="C4145" s="153" t="s">
        <v>582</v>
      </c>
      <c r="D4145" s="152"/>
      <c r="E4145" s="151"/>
      <c r="F4145" s="150">
        <f>F4144+F4142</f>
        <v>0</v>
      </c>
      <c r="G4145" s="150">
        <f>G4144+G4142</f>
        <v>0</v>
      </c>
    </row>
    <row r="4146" spans="1:7" ht="15.75" thickBot="1" x14ac:dyDescent="0.3">
      <c r="A4146" s="148"/>
      <c r="C4146" s="145"/>
      <c r="D4146" s="149"/>
      <c r="E4146" s="145"/>
      <c r="F4146" s="144"/>
      <c r="G4146" s="144"/>
    </row>
    <row r="4147" spans="1:7" ht="15.75" thickBot="1" x14ac:dyDescent="0.3">
      <c r="A4147" s="148"/>
      <c r="C4147" s="147" t="s">
        <v>620</v>
      </c>
      <c r="D4147" s="146">
        <f>F4145-G4145</f>
        <v>0</v>
      </c>
      <c r="E4147" s="145"/>
      <c r="F4147" s="144"/>
      <c r="G4147" s="144"/>
    </row>
    <row r="4148" spans="1:7" ht="15.75" thickBot="1" x14ac:dyDescent="0.3"/>
    <row r="4149" spans="1:7" ht="30.75" thickBot="1" x14ac:dyDescent="0.3">
      <c r="A4149" s="232" t="s">
        <v>626</v>
      </c>
      <c r="B4149" s="231" t="s">
        <v>606</v>
      </c>
      <c r="C4149" s="230" t="s">
        <v>630</v>
      </c>
      <c r="D4149" s="229" t="s">
        <v>601</v>
      </c>
      <c r="E4149" s="228" t="s">
        <v>287</v>
      </c>
      <c r="F4149" s="227" t="s">
        <v>624</v>
      </c>
      <c r="G4149" s="227" t="s">
        <v>596</v>
      </c>
    </row>
    <row r="4150" spans="1:7" x14ac:dyDescent="0.25">
      <c r="A4150" s="169" t="str">
        <f>E4150&amp;COUNTIFS($E$2:E4150,E4150)</f>
        <v>0</v>
      </c>
      <c r="B4150" s="172"/>
      <c r="C4150" s="174"/>
      <c r="D4150" s="173"/>
      <c r="E4150" s="172"/>
      <c r="F4150" s="171"/>
      <c r="G4150" s="170"/>
    </row>
    <row r="4151" spans="1:7" x14ac:dyDescent="0.25">
      <c r="A4151" s="169" t="str">
        <f>E4151&amp;COUNTIFS($E$2:E4151,E4151)</f>
        <v>0</v>
      </c>
      <c r="B4151" s="166"/>
      <c r="C4151" s="168"/>
      <c r="D4151" s="167"/>
      <c r="E4151" s="166"/>
      <c r="F4151" s="165"/>
      <c r="G4151" s="164"/>
    </row>
    <row r="4152" spans="1:7" x14ac:dyDescent="0.25">
      <c r="A4152" s="169" t="str">
        <f>E4152&amp;COUNTIFS($E$2:E4152,E4152)</f>
        <v>0</v>
      </c>
      <c r="B4152" s="166"/>
      <c r="C4152" s="168"/>
      <c r="D4152" s="167"/>
      <c r="E4152" s="166"/>
      <c r="F4152" s="165"/>
      <c r="G4152" s="164"/>
    </row>
    <row r="4153" spans="1:7" x14ac:dyDescent="0.25">
      <c r="A4153" s="169" t="str">
        <f>E4153&amp;COUNTIFS($E$2:E4153,E4153)</f>
        <v>0</v>
      </c>
      <c r="B4153" s="166"/>
      <c r="C4153" s="168"/>
      <c r="D4153" s="167"/>
      <c r="E4153" s="166"/>
      <c r="F4153" s="165"/>
      <c r="G4153" s="164"/>
    </row>
    <row r="4154" spans="1:7" x14ac:dyDescent="0.25">
      <c r="A4154" s="169" t="str">
        <f>E4154&amp;COUNTIFS($E$2:E4154,E4154)</f>
        <v>0</v>
      </c>
      <c r="B4154" s="166"/>
      <c r="C4154" s="168"/>
      <c r="D4154" s="167"/>
      <c r="E4154" s="166"/>
      <c r="F4154" s="165"/>
      <c r="G4154" s="164"/>
    </row>
    <row r="4155" spans="1:7" x14ac:dyDescent="0.25">
      <c r="A4155" s="169" t="str">
        <f>E4155&amp;COUNTIFS($E$2:E4155,E4155)</f>
        <v>0</v>
      </c>
      <c r="B4155" s="166"/>
      <c r="C4155" s="168"/>
      <c r="D4155" s="167"/>
      <c r="E4155" s="166"/>
      <c r="F4155" s="165"/>
      <c r="G4155" s="164"/>
    </row>
    <row r="4156" spans="1:7" x14ac:dyDescent="0.25">
      <c r="A4156" s="169" t="str">
        <f>E4156&amp;COUNTIFS($E$2:E4156,E4156)</f>
        <v>0</v>
      </c>
      <c r="B4156" s="166"/>
      <c r="C4156" s="168"/>
      <c r="D4156" s="167"/>
      <c r="E4156" s="166"/>
      <c r="F4156" s="165"/>
      <c r="G4156" s="164"/>
    </row>
    <row r="4157" spans="1:7" x14ac:dyDescent="0.25">
      <c r="A4157" s="169" t="str">
        <f>E4157&amp;COUNTIFS($E$2:E4157,E4157)</f>
        <v>0</v>
      </c>
      <c r="B4157" s="166"/>
      <c r="C4157" s="168"/>
      <c r="D4157" s="167"/>
      <c r="E4157" s="166"/>
      <c r="F4157" s="165"/>
      <c r="G4157" s="164"/>
    </row>
    <row r="4158" spans="1:7" x14ac:dyDescent="0.25">
      <c r="A4158" s="169" t="str">
        <f>E4158&amp;COUNTIFS($E$2:E4158,E4158)</f>
        <v>0</v>
      </c>
      <c r="B4158" s="166"/>
      <c r="C4158" s="168"/>
      <c r="D4158" s="167"/>
      <c r="E4158" s="166"/>
      <c r="F4158" s="165"/>
      <c r="G4158" s="164"/>
    </row>
    <row r="4159" spans="1:7" x14ac:dyDescent="0.25">
      <c r="A4159" s="169" t="str">
        <f>E4159&amp;COUNTIFS($E$2:E4159,E4159)</f>
        <v>0</v>
      </c>
      <c r="B4159" s="166"/>
      <c r="C4159" s="168"/>
      <c r="D4159" s="167"/>
      <c r="E4159" s="166"/>
      <c r="F4159" s="165"/>
      <c r="G4159" s="164"/>
    </row>
    <row r="4160" spans="1:7" x14ac:dyDescent="0.25">
      <c r="A4160" s="169" t="str">
        <f>E4160&amp;COUNTIFS($E$2:E4160,E4160)</f>
        <v>0</v>
      </c>
      <c r="B4160" s="166"/>
      <c r="C4160" s="168"/>
      <c r="D4160" s="167"/>
      <c r="E4160" s="166"/>
      <c r="F4160" s="165"/>
      <c r="G4160" s="164"/>
    </row>
    <row r="4161" spans="1:7" x14ac:dyDescent="0.25">
      <c r="A4161" s="169" t="str">
        <f>E4161&amp;COUNTIFS($E$2:E4161,E4161)</f>
        <v>0</v>
      </c>
      <c r="B4161" s="166"/>
      <c r="C4161" s="168"/>
      <c r="D4161" s="167"/>
      <c r="E4161" s="166"/>
      <c r="F4161" s="165"/>
      <c r="G4161" s="164"/>
    </row>
    <row r="4162" spans="1:7" x14ac:dyDescent="0.25">
      <c r="A4162" s="169" t="str">
        <f>E4162&amp;COUNTIFS($E$2:E4162,E4162)</f>
        <v>0</v>
      </c>
      <c r="B4162" s="166"/>
      <c r="C4162" s="168"/>
      <c r="D4162" s="167"/>
      <c r="E4162" s="166"/>
      <c r="F4162" s="165"/>
      <c r="G4162" s="164"/>
    </row>
    <row r="4163" spans="1:7" x14ac:dyDescent="0.25">
      <c r="A4163" s="169" t="str">
        <f>E4163&amp;COUNTIFS($E$2:E4163,E4163)</f>
        <v>0</v>
      </c>
      <c r="B4163" s="166"/>
      <c r="C4163" s="168"/>
      <c r="D4163" s="167"/>
      <c r="E4163" s="166"/>
      <c r="F4163" s="165"/>
      <c r="G4163" s="164"/>
    </row>
    <row r="4164" spans="1:7" x14ac:dyDescent="0.25">
      <c r="A4164" s="169" t="str">
        <f>E4164&amp;COUNTIFS($E$2:E4164,E4164)</f>
        <v>0</v>
      </c>
      <c r="B4164" s="166"/>
      <c r="C4164" s="168"/>
      <c r="D4164" s="167"/>
      <c r="E4164" s="166"/>
      <c r="F4164" s="165"/>
      <c r="G4164" s="164"/>
    </row>
    <row r="4165" spans="1:7" x14ac:dyDescent="0.25">
      <c r="A4165" s="169" t="str">
        <f>E4165&amp;COUNTIFS($E$2:E4165,E4165)</f>
        <v>0</v>
      </c>
      <c r="B4165" s="166"/>
      <c r="C4165" s="168"/>
      <c r="D4165" s="167"/>
      <c r="E4165" s="166"/>
      <c r="F4165" s="165"/>
      <c r="G4165" s="164"/>
    </row>
    <row r="4166" spans="1:7" x14ac:dyDescent="0.25">
      <c r="A4166" s="169" t="str">
        <f>E4166&amp;COUNTIFS($E$2:E4166,E4166)</f>
        <v>0</v>
      </c>
      <c r="B4166" s="166"/>
      <c r="C4166" s="168"/>
      <c r="D4166" s="167"/>
      <c r="E4166" s="166"/>
      <c r="F4166" s="165"/>
      <c r="G4166" s="164"/>
    </row>
    <row r="4167" spans="1:7" x14ac:dyDescent="0.25">
      <c r="A4167" s="169" t="str">
        <f>E4167&amp;COUNTIFS($E$2:E4167,E4167)</f>
        <v>0</v>
      </c>
      <c r="B4167" s="166"/>
      <c r="C4167" s="168"/>
      <c r="D4167" s="167"/>
      <c r="E4167" s="166"/>
      <c r="F4167" s="165"/>
      <c r="G4167" s="164"/>
    </row>
    <row r="4168" spans="1:7" x14ac:dyDescent="0.25">
      <c r="A4168" s="169" t="str">
        <f>E4168&amp;COUNTIFS($E$2:E4168,E4168)</f>
        <v>0</v>
      </c>
      <c r="B4168" s="166"/>
      <c r="C4168" s="168"/>
      <c r="D4168" s="167"/>
      <c r="E4168" s="166"/>
      <c r="F4168" s="165"/>
      <c r="G4168" s="164"/>
    </row>
    <row r="4169" spans="1:7" x14ac:dyDescent="0.25">
      <c r="A4169" s="169" t="str">
        <f>E4169&amp;COUNTIFS($E$2:E4169,E4169)</f>
        <v>0</v>
      </c>
      <c r="B4169" s="166"/>
      <c r="C4169" s="168"/>
      <c r="D4169" s="167"/>
      <c r="E4169" s="166"/>
      <c r="F4169" s="165"/>
      <c r="G4169" s="164"/>
    </row>
    <row r="4170" spans="1:7" x14ac:dyDescent="0.25">
      <c r="A4170" s="169" t="str">
        <f>E4170&amp;COUNTIFS($E$2:E4170,E4170)</f>
        <v>0</v>
      </c>
      <c r="B4170" s="166"/>
      <c r="C4170" s="168"/>
      <c r="D4170" s="167"/>
      <c r="E4170" s="166"/>
      <c r="F4170" s="165"/>
      <c r="G4170" s="164"/>
    </row>
    <row r="4171" spans="1:7" x14ac:dyDescent="0.25">
      <c r="A4171" s="169" t="str">
        <f>E4171&amp;COUNTIFS($E$2:E4171,E4171)</f>
        <v>0</v>
      </c>
      <c r="B4171" s="166"/>
      <c r="C4171" s="168"/>
      <c r="D4171" s="167"/>
      <c r="E4171" s="166"/>
      <c r="F4171" s="165"/>
      <c r="G4171" s="164"/>
    </row>
    <row r="4172" spans="1:7" x14ac:dyDescent="0.25">
      <c r="A4172" s="169" t="str">
        <f>E4172&amp;COUNTIFS($E$2:E4172,E4172)</f>
        <v>0</v>
      </c>
      <c r="B4172" s="166"/>
      <c r="C4172" s="168"/>
      <c r="D4172" s="167"/>
      <c r="E4172" s="166"/>
      <c r="F4172" s="165"/>
      <c r="G4172" s="164"/>
    </row>
    <row r="4173" spans="1:7" x14ac:dyDescent="0.25">
      <c r="A4173" s="169" t="str">
        <f>E4173&amp;COUNTIFS($E$2:E4173,E4173)</f>
        <v>0</v>
      </c>
      <c r="B4173" s="166"/>
      <c r="C4173" s="168"/>
      <c r="D4173" s="167"/>
      <c r="E4173" s="166"/>
      <c r="F4173" s="165"/>
      <c r="G4173" s="164"/>
    </row>
    <row r="4174" spans="1:7" ht="15.75" thickBot="1" x14ac:dyDescent="0.3">
      <c r="A4174" s="163" t="str">
        <f>E4174&amp;COUNTIFS($E$2:E4174,E4174)</f>
        <v>0</v>
      </c>
      <c r="B4174" s="166"/>
      <c r="C4174" s="162"/>
      <c r="D4174" s="161"/>
      <c r="E4174" s="160"/>
      <c r="F4174" s="159"/>
      <c r="G4174" s="158"/>
    </row>
    <row r="4175" spans="1:7" x14ac:dyDescent="0.25">
      <c r="A4175" s="148"/>
      <c r="C4175" s="143"/>
      <c r="D4175" s="157"/>
      <c r="E4175" s="143"/>
      <c r="F4175" s="156"/>
      <c r="G4175" s="156"/>
    </row>
    <row r="4176" spans="1:7" x14ac:dyDescent="0.25">
      <c r="A4176" s="148"/>
      <c r="C4176" s="153" t="s">
        <v>623</v>
      </c>
      <c r="D4176" s="152"/>
      <c r="E4176" s="151"/>
      <c r="F4176" s="150">
        <f>SUM(F4150:F4174)</f>
        <v>0</v>
      </c>
      <c r="G4176" s="155">
        <f>SUM(G4150:G4174)</f>
        <v>0</v>
      </c>
    </row>
    <row r="4177" spans="1:7" x14ac:dyDescent="0.25">
      <c r="A4177" s="148"/>
      <c r="C4177" s="145" t="s">
        <v>622</v>
      </c>
      <c r="D4177" s="154"/>
      <c r="E4177" s="145"/>
      <c r="F4177" s="144"/>
      <c r="G4177" s="144"/>
    </row>
    <row r="4178" spans="1:7" x14ac:dyDescent="0.25">
      <c r="A4178" s="148"/>
      <c r="C4178" s="153" t="s">
        <v>621</v>
      </c>
      <c r="D4178" s="152"/>
      <c r="E4178" s="151"/>
      <c r="F4178" s="150">
        <f>F4145</f>
        <v>0</v>
      </c>
      <c r="G4178" s="150">
        <f>G4145</f>
        <v>0</v>
      </c>
    </row>
    <row r="4179" spans="1:7" x14ac:dyDescent="0.25">
      <c r="A4179" s="148"/>
      <c r="C4179" s="153" t="s">
        <v>582</v>
      </c>
      <c r="D4179" s="152"/>
      <c r="E4179" s="151"/>
      <c r="F4179" s="150">
        <f>F4178+F4176</f>
        <v>0</v>
      </c>
      <c r="G4179" s="150">
        <f>G4178+G4176</f>
        <v>0</v>
      </c>
    </row>
    <row r="4180" spans="1:7" ht="15.75" thickBot="1" x14ac:dyDescent="0.3">
      <c r="A4180" s="148"/>
      <c r="C4180" s="145"/>
      <c r="D4180" s="149"/>
      <c r="E4180" s="145"/>
      <c r="F4180" s="144"/>
      <c r="G4180" s="144"/>
    </row>
    <row r="4181" spans="1:7" ht="15.75" thickBot="1" x14ac:dyDescent="0.3">
      <c r="A4181" s="148"/>
      <c r="C4181" s="147" t="s">
        <v>620</v>
      </c>
      <c r="D4181" s="146">
        <f>F4179-G4179</f>
        <v>0</v>
      </c>
      <c r="E4181" s="145"/>
      <c r="F4181" s="144"/>
      <c r="G4181" s="144"/>
    </row>
    <row r="4182" spans="1:7" ht="15.75" thickBot="1" x14ac:dyDescent="0.3"/>
    <row r="4183" spans="1:7" ht="30.75" thickBot="1" x14ac:dyDescent="0.3">
      <c r="A4183" s="232" t="s">
        <v>626</v>
      </c>
      <c r="B4183" s="231" t="s">
        <v>606</v>
      </c>
      <c r="C4183" s="230" t="s">
        <v>630</v>
      </c>
      <c r="D4183" s="229" t="s">
        <v>601</v>
      </c>
      <c r="E4183" s="228" t="s">
        <v>287</v>
      </c>
      <c r="F4183" s="227" t="s">
        <v>624</v>
      </c>
      <c r="G4183" s="227" t="s">
        <v>596</v>
      </c>
    </row>
    <row r="4184" spans="1:7" x14ac:dyDescent="0.25">
      <c r="A4184" s="169" t="str">
        <f>E4184&amp;COUNTIFS($E$2:E4184,E4184)</f>
        <v>0</v>
      </c>
      <c r="B4184" s="172"/>
      <c r="C4184" s="174"/>
      <c r="D4184" s="173"/>
      <c r="E4184" s="172"/>
      <c r="F4184" s="171"/>
      <c r="G4184" s="170"/>
    </row>
    <row r="4185" spans="1:7" x14ac:dyDescent="0.25">
      <c r="A4185" s="169" t="str">
        <f>E4185&amp;COUNTIFS($E$2:E4185,E4185)</f>
        <v>0</v>
      </c>
      <c r="B4185" s="166"/>
      <c r="C4185" s="168"/>
      <c r="D4185" s="167"/>
      <c r="E4185" s="166"/>
      <c r="F4185" s="165"/>
      <c r="G4185" s="164"/>
    </row>
    <row r="4186" spans="1:7" x14ac:dyDescent="0.25">
      <c r="A4186" s="169" t="str">
        <f>E4186&amp;COUNTIFS($E$2:E4186,E4186)</f>
        <v>0</v>
      </c>
      <c r="B4186" s="166"/>
      <c r="C4186" s="168"/>
      <c r="D4186" s="167"/>
      <c r="E4186" s="166"/>
      <c r="F4186" s="165"/>
      <c r="G4186" s="164"/>
    </row>
    <row r="4187" spans="1:7" x14ac:dyDescent="0.25">
      <c r="A4187" s="169" t="str">
        <f>E4187&amp;COUNTIFS($E$2:E4187,E4187)</f>
        <v>0</v>
      </c>
      <c r="B4187" s="166"/>
      <c r="C4187" s="168"/>
      <c r="D4187" s="167"/>
      <c r="E4187" s="166"/>
      <c r="F4187" s="165"/>
      <c r="G4187" s="164"/>
    </row>
    <row r="4188" spans="1:7" x14ac:dyDescent="0.25">
      <c r="A4188" s="169" t="str">
        <f>E4188&amp;COUNTIFS($E$2:E4188,E4188)</f>
        <v>0</v>
      </c>
      <c r="B4188" s="166"/>
      <c r="C4188" s="168"/>
      <c r="D4188" s="167"/>
      <c r="E4188" s="166"/>
      <c r="F4188" s="165"/>
      <c r="G4188" s="164"/>
    </row>
    <row r="4189" spans="1:7" x14ac:dyDescent="0.25">
      <c r="A4189" s="169" t="str">
        <f>E4189&amp;COUNTIFS($E$2:E4189,E4189)</f>
        <v>0</v>
      </c>
      <c r="B4189" s="166"/>
      <c r="C4189" s="168"/>
      <c r="D4189" s="167"/>
      <c r="E4189" s="166"/>
      <c r="F4189" s="165"/>
      <c r="G4189" s="164"/>
    </row>
    <row r="4190" spans="1:7" x14ac:dyDescent="0.25">
      <c r="A4190" s="169" t="str">
        <f>E4190&amp;COUNTIFS($E$2:E4190,E4190)</f>
        <v>0</v>
      </c>
      <c r="B4190" s="166"/>
      <c r="C4190" s="168"/>
      <c r="D4190" s="167"/>
      <c r="E4190" s="166"/>
      <c r="F4190" s="165"/>
      <c r="G4190" s="164"/>
    </row>
    <row r="4191" spans="1:7" x14ac:dyDescent="0.25">
      <c r="A4191" s="169" t="str">
        <f>E4191&amp;COUNTIFS($E$2:E4191,E4191)</f>
        <v>0</v>
      </c>
      <c r="B4191" s="166"/>
      <c r="C4191" s="168"/>
      <c r="D4191" s="167"/>
      <c r="E4191" s="166"/>
      <c r="F4191" s="165"/>
      <c r="G4191" s="164"/>
    </row>
    <row r="4192" spans="1:7" x14ac:dyDescent="0.25">
      <c r="A4192" s="169" t="str">
        <f>E4192&amp;COUNTIFS($E$2:E4192,E4192)</f>
        <v>0</v>
      </c>
      <c r="B4192" s="166"/>
      <c r="C4192" s="168"/>
      <c r="D4192" s="167"/>
      <c r="E4192" s="166"/>
      <c r="F4192" s="165"/>
      <c r="G4192" s="164"/>
    </row>
    <row r="4193" spans="1:7" x14ac:dyDescent="0.25">
      <c r="A4193" s="169" t="str">
        <f>E4193&amp;COUNTIFS($E$2:E4193,E4193)</f>
        <v>0</v>
      </c>
      <c r="B4193" s="166"/>
      <c r="C4193" s="168"/>
      <c r="D4193" s="167"/>
      <c r="E4193" s="166"/>
      <c r="F4193" s="165"/>
      <c r="G4193" s="164"/>
    </row>
    <row r="4194" spans="1:7" x14ac:dyDescent="0.25">
      <c r="A4194" s="169" t="str">
        <f>E4194&amp;COUNTIFS($E$2:E4194,E4194)</f>
        <v>0</v>
      </c>
      <c r="B4194" s="166"/>
      <c r="C4194" s="168"/>
      <c r="D4194" s="167"/>
      <c r="E4194" s="166"/>
      <c r="F4194" s="165"/>
      <c r="G4194" s="164"/>
    </row>
    <row r="4195" spans="1:7" x14ac:dyDescent="0.25">
      <c r="A4195" s="169" t="str">
        <f>E4195&amp;COUNTIFS($E$2:E4195,E4195)</f>
        <v>0</v>
      </c>
      <c r="B4195" s="166"/>
      <c r="C4195" s="168"/>
      <c r="D4195" s="167"/>
      <c r="E4195" s="166"/>
      <c r="F4195" s="165"/>
      <c r="G4195" s="164"/>
    </row>
    <row r="4196" spans="1:7" x14ac:dyDescent="0.25">
      <c r="A4196" s="169" t="str">
        <f>E4196&amp;COUNTIFS($E$2:E4196,E4196)</f>
        <v>0</v>
      </c>
      <c r="B4196" s="166"/>
      <c r="C4196" s="168"/>
      <c r="D4196" s="167"/>
      <c r="E4196" s="166"/>
      <c r="F4196" s="165"/>
      <c r="G4196" s="164"/>
    </row>
    <row r="4197" spans="1:7" x14ac:dyDescent="0.25">
      <c r="A4197" s="169" t="str">
        <f>E4197&amp;COUNTIFS($E$2:E4197,E4197)</f>
        <v>0</v>
      </c>
      <c r="B4197" s="166"/>
      <c r="C4197" s="168"/>
      <c r="D4197" s="167"/>
      <c r="E4197" s="166"/>
      <c r="F4197" s="165"/>
      <c r="G4197" s="164"/>
    </row>
    <row r="4198" spans="1:7" x14ac:dyDescent="0.25">
      <c r="A4198" s="169" t="str">
        <f>E4198&amp;COUNTIFS($E$2:E4198,E4198)</f>
        <v>0</v>
      </c>
      <c r="B4198" s="166"/>
      <c r="C4198" s="168"/>
      <c r="D4198" s="167"/>
      <c r="E4198" s="166"/>
      <c r="F4198" s="165"/>
      <c r="G4198" s="164"/>
    </row>
    <row r="4199" spans="1:7" x14ac:dyDescent="0.25">
      <c r="A4199" s="169" t="str">
        <f>E4199&amp;COUNTIFS($E$2:E4199,E4199)</f>
        <v>0</v>
      </c>
      <c r="B4199" s="166"/>
      <c r="C4199" s="168"/>
      <c r="D4199" s="167"/>
      <c r="E4199" s="166"/>
      <c r="F4199" s="165"/>
      <c r="G4199" s="164"/>
    </row>
    <row r="4200" spans="1:7" x14ac:dyDescent="0.25">
      <c r="A4200" s="169" t="str">
        <f>E4200&amp;COUNTIFS($E$2:E4200,E4200)</f>
        <v>0</v>
      </c>
      <c r="B4200" s="166"/>
      <c r="C4200" s="168"/>
      <c r="D4200" s="167"/>
      <c r="E4200" s="166"/>
      <c r="F4200" s="165"/>
      <c r="G4200" s="164"/>
    </row>
    <row r="4201" spans="1:7" x14ac:dyDescent="0.25">
      <c r="A4201" s="169" t="str">
        <f>E4201&amp;COUNTIFS($E$2:E4201,E4201)</f>
        <v>0</v>
      </c>
      <c r="B4201" s="166"/>
      <c r="C4201" s="168"/>
      <c r="D4201" s="167"/>
      <c r="E4201" s="166"/>
      <c r="F4201" s="165"/>
      <c r="G4201" s="164"/>
    </row>
    <row r="4202" spans="1:7" x14ac:dyDescent="0.25">
      <c r="A4202" s="169" t="str">
        <f>E4202&amp;COUNTIFS($E$2:E4202,E4202)</f>
        <v>0</v>
      </c>
      <c r="B4202" s="166"/>
      <c r="C4202" s="168"/>
      <c r="D4202" s="167"/>
      <c r="E4202" s="166"/>
      <c r="F4202" s="165"/>
      <c r="G4202" s="164"/>
    </row>
    <row r="4203" spans="1:7" x14ac:dyDescent="0.25">
      <c r="A4203" s="169" t="str">
        <f>E4203&amp;COUNTIFS($E$2:E4203,E4203)</f>
        <v>0</v>
      </c>
      <c r="B4203" s="166"/>
      <c r="C4203" s="168"/>
      <c r="D4203" s="167"/>
      <c r="E4203" s="166"/>
      <c r="F4203" s="165"/>
      <c r="G4203" s="164"/>
    </row>
    <row r="4204" spans="1:7" x14ac:dyDescent="0.25">
      <c r="A4204" s="169" t="str">
        <f>E4204&amp;COUNTIFS($E$2:E4204,E4204)</f>
        <v>0</v>
      </c>
      <c r="B4204" s="166"/>
      <c r="C4204" s="168"/>
      <c r="D4204" s="167"/>
      <c r="E4204" s="166"/>
      <c r="F4204" s="165"/>
      <c r="G4204" s="164"/>
    </row>
    <row r="4205" spans="1:7" x14ac:dyDescent="0.25">
      <c r="A4205" s="169" t="str">
        <f>E4205&amp;COUNTIFS($E$2:E4205,E4205)</f>
        <v>0</v>
      </c>
      <c r="B4205" s="166"/>
      <c r="C4205" s="168"/>
      <c r="D4205" s="167"/>
      <c r="E4205" s="166"/>
      <c r="F4205" s="165"/>
      <c r="G4205" s="164"/>
    </row>
    <row r="4206" spans="1:7" x14ac:dyDescent="0.25">
      <c r="A4206" s="169" t="str">
        <f>E4206&amp;COUNTIFS($E$2:E4206,E4206)</f>
        <v>0</v>
      </c>
      <c r="B4206" s="166"/>
      <c r="C4206" s="168"/>
      <c r="D4206" s="167"/>
      <c r="E4206" s="166"/>
      <c r="F4206" s="165"/>
      <c r="G4206" s="164"/>
    </row>
    <row r="4207" spans="1:7" x14ac:dyDescent="0.25">
      <c r="A4207" s="169" t="str">
        <f>E4207&amp;COUNTIFS($E$2:E4207,E4207)</f>
        <v>0</v>
      </c>
      <c r="B4207" s="166"/>
      <c r="C4207" s="168"/>
      <c r="D4207" s="167"/>
      <c r="E4207" s="166"/>
      <c r="F4207" s="165"/>
      <c r="G4207" s="164"/>
    </row>
    <row r="4208" spans="1:7" ht="15.75" thickBot="1" x14ac:dyDescent="0.3">
      <c r="A4208" s="163" t="str">
        <f>E4208&amp;COUNTIFS($E$2:E4208,E4208)</f>
        <v>0</v>
      </c>
      <c r="B4208" s="166"/>
      <c r="C4208" s="162"/>
      <c r="D4208" s="161"/>
      <c r="E4208" s="160"/>
      <c r="F4208" s="159"/>
      <c r="G4208" s="158"/>
    </row>
    <row r="4209" spans="1:7" x14ac:dyDescent="0.25">
      <c r="A4209" s="148"/>
      <c r="C4209" s="143"/>
      <c r="D4209" s="157"/>
      <c r="E4209" s="143"/>
      <c r="F4209" s="156"/>
      <c r="G4209" s="156"/>
    </row>
    <row r="4210" spans="1:7" x14ac:dyDescent="0.25">
      <c r="A4210" s="148"/>
      <c r="C4210" s="153" t="s">
        <v>623</v>
      </c>
      <c r="D4210" s="152"/>
      <c r="E4210" s="151"/>
      <c r="F4210" s="150">
        <f>SUM(F4184:F4208)</f>
        <v>0</v>
      </c>
      <c r="G4210" s="155">
        <f>SUM(G4184:G4208)</f>
        <v>0</v>
      </c>
    </row>
    <row r="4211" spans="1:7" x14ac:dyDescent="0.25">
      <c r="A4211" s="148"/>
      <c r="C4211" s="145" t="s">
        <v>622</v>
      </c>
      <c r="D4211" s="154"/>
      <c r="E4211" s="145"/>
      <c r="F4211" s="144"/>
      <c r="G4211" s="144"/>
    </row>
    <row r="4212" spans="1:7" x14ac:dyDescent="0.25">
      <c r="A4212" s="148"/>
      <c r="C4212" s="153" t="s">
        <v>621</v>
      </c>
      <c r="D4212" s="152"/>
      <c r="E4212" s="151"/>
      <c r="F4212" s="150">
        <f>F4179</f>
        <v>0</v>
      </c>
      <c r="G4212" s="150">
        <f>G4179</f>
        <v>0</v>
      </c>
    </row>
    <row r="4213" spans="1:7" x14ac:dyDescent="0.25">
      <c r="A4213" s="148"/>
      <c r="C4213" s="153" t="s">
        <v>582</v>
      </c>
      <c r="D4213" s="152"/>
      <c r="E4213" s="151"/>
      <c r="F4213" s="150">
        <f>F4212+F4210</f>
        <v>0</v>
      </c>
      <c r="G4213" s="150">
        <f>G4212+G4210</f>
        <v>0</v>
      </c>
    </row>
    <row r="4214" spans="1:7" ht="15.75" thickBot="1" x14ac:dyDescent="0.3">
      <c r="A4214" s="148"/>
      <c r="C4214" s="145"/>
      <c r="D4214" s="149"/>
      <c r="E4214" s="145"/>
      <c r="F4214" s="144"/>
      <c r="G4214" s="144"/>
    </row>
    <row r="4215" spans="1:7" ht="15.75" thickBot="1" x14ac:dyDescent="0.3">
      <c r="A4215" s="148"/>
      <c r="C4215" s="147" t="s">
        <v>620</v>
      </c>
      <c r="D4215" s="146">
        <f>F4213-G4213</f>
        <v>0</v>
      </c>
      <c r="E4215" s="145"/>
      <c r="F4215" s="144"/>
      <c r="G4215" s="144"/>
    </row>
    <row r="4216" spans="1:7" ht="15.75" thickBot="1" x14ac:dyDescent="0.3"/>
    <row r="4217" spans="1:7" ht="30.75" thickBot="1" x14ac:dyDescent="0.3">
      <c r="A4217" s="232" t="s">
        <v>626</v>
      </c>
      <c r="B4217" s="231" t="s">
        <v>606</v>
      </c>
      <c r="C4217" s="230" t="s">
        <v>630</v>
      </c>
      <c r="D4217" s="229" t="s">
        <v>601</v>
      </c>
      <c r="E4217" s="228" t="s">
        <v>287</v>
      </c>
      <c r="F4217" s="227" t="s">
        <v>624</v>
      </c>
      <c r="G4217" s="227" t="s">
        <v>596</v>
      </c>
    </row>
    <row r="4218" spans="1:7" x14ac:dyDescent="0.25">
      <c r="A4218" s="169" t="str">
        <f>E4218&amp;COUNTIFS($E$2:E4218,E4218)</f>
        <v>0</v>
      </c>
      <c r="B4218" s="172"/>
      <c r="C4218" s="174"/>
      <c r="D4218" s="173"/>
      <c r="E4218" s="172"/>
      <c r="F4218" s="171"/>
      <c r="G4218" s="170"/>
    </row>
    <row r="4219" spans="1:7" x14ac:dyDescent="0.25">
      <c r="A4219" s="169" t="str">
        <f>E4219&amp;COUNTIFS($E$2:E4219,E4219)</f>
        <v>0</v>
      </c>
      <c r="B4219" s="166"/>
      <c r="C4219" s="168"/>
      <c r="D4219" s="167"/>
      <c r="E4219" s="166"/>
      <c r="F4219" s="165"/>
      <c r="G4219" s="164"/>
    </row>
    <row r="4220" spans="1:7" x14ac:dyDescent="0.25">
      <c r="A4220" s="169" t="str">
        <f>E4220&amp;COUNTIFS($E$2:E4220,E4220)</f>
        <v>0</v>
      </c>
      <c r="B4220" s="166"/>
      <c r="C4220" s="168"/>
      <c r="D4220" s="167"/>
      <c r="E4220" s="166"/>
      <c r="F4220" s="165"/>
      <c r="G4220" s="164"/>
    </row>
    <row r="4221" spans="1:7" x14ac:dyDescent="0.25">
      <c r="A4221" s="169" t="str">
        <f>E4221&amp;COUNTIFS($E$2:E4221,E4221)</f>
        <v>0</v>
      </c>
      <c r="B4221" s="166"/>
      <c r="C4221" s="168"/>
      <c r="D4221" s="167"/>
      <c r="E4221" s="166"/>
      <c r="F4221" s="165"/>
      <c r="G4221" s="164"/>
    </row>
    <row r="4222" spans="1:7" x14ac:dyDescent="0.25">
      <c r="A4222" s="169" t="str">
        <f>E4222&amp;COUNTIFS($E$2:E4222,E4222)</f>
        <v>0</v>
      </c>
      <c r="B4222" s="166"/>
      <c r="C4222" s="168"/>
      <c r="D4222" s="167"/>
      <c r="E4222" s="166"/>
      <c r="F4222" s="165"/>
      <c r="G4222" s="164"/>
    </row>
    <row r="4223" spans="1:7" x14ac:dyDescent="0.25">
      <c r="A4223" s="169" t="str">
        <f>E4223&amp;COUNTIFS($E$2:E4223,E4223)</f>
        <v>0</v>
      </c>
      <c r="B4223" s="166"/>
      <c r="C4223" s="168"/>
      <c r="D4223" s="167"/>
      <c r="E4223" s="166"/>
      <c r="F4223" s="165"/>
      <c r="G4223" s="164"/>
    </row>
    <row r="4224" spans="1:7" x14ac:dyDescent="0.25">
      <c r="A4224" s="169" t="str">
        <f>E4224&amp;COUNTIFS($E$2:E4224,E4224)</f>
        <v>0</v>
      </c>
      <c r="B4224" s="166"/>
      <c r="C4224" s="168"/>
      <c r="D4224" s="167"/>
      <c r="E4224" s="166"/>
      <c r="F4224" s="165"/>
      <c r="G4224" s="164"/>
    </row>
    <row r="4225" spans="1:7" x14ac:dyDescent="0.25">
      <c r="A4225" s="169" t="str">
        <f>E4225&amp;COUNTIFS($E$2:E4225,E4225)</f>
        <v>0</v>
      </c>
      <c r="B4225" s="166"/>
      <c r="C4225" s="168"/>
      <c r="D4225" s="167"/>
      <c r="E4225" s="166"/>
      <c r="F4225" s="165"/>
      <c r="G4225" s="164"/>
    </row>
    <row r="4226" spans="1:7" x14ac:dyDescent="0.25">
      <c r="A4226" s="169" t="str">
        <f>E4226&amp;COUNTIFS($E$2:E4226,E4226)</f>
        <v>0</v>
      </c>
      <c r="B4226" s="166"/>
      <c r="C4226" s="168"/>
      <c r="D4226" s="167"/>
      <c r="E4226" s="166"/>
      <c r="F4226" s="165"/>
      <c r="G4226" s="164"/>
    </row>
    <row r="4227" spans="1:7" x14ac:dyDescent="0.25">
      <c r="A4227" s="169" t="str">
        <f>E4227&amp;COUNTIFS($E$2:E4227,E4227)</f>
        <v>0</v>
      </c>
      <c r="B4227" s="166"/>
      <c r="C4227" s="168"/>
      <c r="D4227" s="167"/>
      <c r="E4227" s="166"/>
      <c r="F4227" s="165"/>
      <c r="G4227" s="164"/>
    </row>
    <row r="4228" spans="1:7" x14ac:dyDescent="0.25">
      <c r="A4228" s="169" t="str">
        <f>E4228&amp;COUNTIFS($E$2:E4228,E4228)</f>
        <v>0</v>
      </c>
      <c r="B4228" s="166"/>
      <c r="C4228" s="168"/>
      <c r="D4228" s="167"/>
      <c r="E4228" s="166"/>
      <c r="F4228" s="165"/>
      <c r="G4228" s="164"/>
    </row>
    <row r="4229" spans="1:7" x14ac:dyDescent="0.25">
      <c r="A4229" s="169" t="str">
        <f>E4229&amp;COUNTIFS($E$2:E4229,E4229)</f>
        <v>0</v>
      </c>
      <c r="B4229" s="166"/>
      <c r="C4229" s="168"/>
      <c r="D4229" s="167"/>
      <c r="E4229" s="166"/>
      <c r="F4229" s="165"/>
      <c r="G4229" s="164"/>
    </row>
    <row r="4230" spans="1:7" x14ac:dyDescent="0.25">
      <c r="A4230" s="169" t="str">
        <f>E4230&amp;COUNTIFS($E$2:E4230,E4230)</f>
        <v>0</v>
      </c>
      <c r="B4230" s="166"/>
      <c r="C4230" s="168"/>
      <c r="D4230" s="167"/>
      <c r="E4230" s="166"/>
      <c r="F4230" s="165"/>
      <c r="G4230" s="164"/>
    </row>
    <row r="4231" spans="1:7" x14ac:dyDescent="0.25">
      <c r="A4231" s="169" t="str">
        <f>E4231&amp;COUNTIFS($E$2:E4231,E4231)</f>
        <v>0</v>
      </c>
      <c r="B4231" s="166"/>
      <c r="C4231" s="168"/>
      <c r="D4231" s="167"/>
      <c r="E4231" s="166"/>
      <c r="F4231" s="165"/>
      <c r="G4231" s="164"/>
    </row>
    <row r="4232" spans="1:7" x14ac:dyDescent="0.25">
      <c r="A4232" s="169" t="str">
        <f>E4232&amp;COUNTIFS($E$2:E4232,E4232)</f>
        <v>0</v>
      </c>
      <c r="B4232" s="166"/>
      <c r="C4232" s="168"/>
      <c r="D4232" s="167"/>
      <c r="E4232" s="166"/>
      <c r="F4232" s="165"/>
      <c r="G4232" s="164"/>
    </row>
    <row r="4233" spans="1:7" x14ac:dyDescent="0.25">
      <c r="A4233" s="169" t="str">
        <f>E4233&amp;COUNTIFS($E$2:E4233,E4233)</f>
        <v>0</v>
      </c>
      <c r="B4233" s="166"/>
      <c r="C4233" s="168"/>
      <c r="D4233" s="167"/>
      <c r="E4233" s="166"/>
      <c r="F4233" s="165"/>
      <c r="G4233" s="164"/>
    </row>
    <row r="4234" spans="1:7" x14ac:dyDescent="0.25">
      <c r="A4234" s="169" t="str">
        <f>E4234&amp;COUNTIFS($E$2:E4234,E4234)</f>
        <v>0</v>
      </c>
      <c r="B4234" s="166"/>
      <c r="C4234" s="168"/>
      <c r="D4234" s="167"/>
      <c r="E4234" s="166"/>
      <c r="F4234" s="165"/>
      <c r="G4234" s="164"/>
    </row>
    <row r="4235" spans="1:7" x14ac:dyDescent="0.25">
      <c r="A4235" s="169" t="str">
        <f>E4235&amp;COUNTIFS($E$2:E4235,E4235)</f>
        <v>0</v>
      </c>
      <c r="B4235" s="166"/>
      <c r="C4235" s="168"/>
      <c r="D4235" s="167"/>
      <c r="E4235" s="166"/>
      <c r="F4235" s="165"/>
      <c r="G4235" s="164"/>
    </row>
    <row r="4236" spans="1:7" x14ac:dyDescent="0.25">
      <c r="A4236" s="169" t="str">
        <f>E4236&amp;COUNTIFS($E$2:E4236,E4236)</f>
        <v>0</v>
      </c>
      <c r="B4236" s="166"/>
      <c r="C4236" s="168"/>
      <c r="D4236" s="167"/>
      <c r="E4236" s="166"/>
      <c r="F4236" s="165"/>
      <c r="G4236" s="164"/>
    </row>
    <row r="4237" spans="1:7" x14ac:dyDescent="0.25">
      <c r="A4237" s="169" t="str">
        <f>E4237&amp;COUNTIFS($E$2:E4237,E4237)</f>
        <v>0</v>
      </c>
      <c r="B4237" s="166"/>
      <c r="C4237" s="168"/>
      <c r="D4237" s="167"/>
      <c r="E4237" s="166"/>
      <c r="F4237" s="165"/>
      <c r="G4237" s="164"/>
    </row>
    <row r="4238" spans="1:7" x14ac:dyDescent="0.25">
      <c r="A4238" s="169" t="str">
        <f>E4238&amp;COUNTIFS($E$2:E4238,E4238)</f>
        <v>0</v>
      </c>
      <c r="B4238" s="166"/>
      <c r="C4238" s="168"/>
      <c r="D4238" s="167"/>
      <c r="E4238" s="166"/>
      <c r="F4238" s="165"/>
      <c r="G4238" s="164"/>
    </row>
    <row r="4239" spans="1:7" x14ac:dyDescent="0.25">
      <c r="A4239" s="169" t="str">
        <f>E4239&amp;COUNTIFS($E$2:E4239,E4239)</f>
        <v>0</v>
      </c>
      <c r="B4239" s="166"/>
      <c r="C4239" s="168"/>
      <c r="D4239" s="167"/>
      <c r="E4239" s="166"/>
      <c r="F4239" s="165"/>
      <c r="G4239" s="164"/>
    </row>
    <row r="4240" spans="1:7" x14ac:dyDescent="0.25">
      <c r="A4240" s="169" t="str">
        <f>E4240&amp;COUNTIFS($E$2:E4240,E4240)</f>
        <v>0</v>
      </c>
      <c r="B4240" s="166"/>
      <c r="C4240" s="168"/>
      <c r="D4240" s="167"/>
      <c r="E4240" s="166"/>
      <c r="F4240" s="165"/>
      <c r="G4240" s="164"/>
    </row>
    <row r="4241" spans="1:7" x14ac:dyDescent="0.25">
      <c r="A4241" s="169" t="str">
        <f>E4241&amp;COUNTIFS($E$2:E4241,E4241)</f>
        <v>0</v>
      </c>
      <c r="B4241" s="166"/>
      <c r="C4241" s="168"/>
      <c r="D4241" s="167"/>
      <c r="E4241" s="166"/>
      <c r="F4241" s="165"/>
      <c r="G4241" s="164"/>
    </row>
    <row r="4242" spans="1:7" ht="15.75" thickBot="1" x14ac:dyDescent="0.3">
      <c r="A4242" s="163" t="str">
        <f>E4242&amp;COUNTIFS($E$2:E4242,E4242)</f>
        <v>0</v>
      </c>
      <c r="B4242" s="166"/>
      <c r="C4242" s="162"/>
      <c r="D4242" s="161"/>
      <c r="E4242" s="160"/>
      <c r="F4242" s="159"/>
      <c r="G4242" s="158"/>
    </row>
    <row r="4243" spans="1:7" x14ac:dyDescent="0.25">
      <c r="A4243" s="148"/>
      <c r="C4243" s="143"/>
      <c r="D4243" s="157"/>
      <c r="E4243" s="143"/>
      <c r="F4243" s="156"/>
      <c r="G4243" s="156"/>
    </row>
    <row r="4244" spans="1:7" x14ac:dyDescent="0.25">
      <c r="A4244" s="148"/>
      <c r="C4244" s="153" t="s">
        <v>623</v>
      </c>
      <c r="D4244" s="152"/>
      <c r="E4244" s="151"/>
      <c r="F4244" s="150">
        <f>SUM(F4218:F4242)</f>
        <v>0</v>
      </c>
      <c r="G4244" s="155">
        <f>SUM(G4218:G4242)</f>
        <v>0</v>
      </c>
    </row>
    <row r="4245" spans="1:7" x14ac:dyDescent="0.25">
      <c r="A4245" s="148"/>
      <c r="C4245" s="145" t="s">
        <v>622</v>
      </c>
      <c r="D4245" s="154"/>
      <c r="E4245" s="145"/>
      <c r="F4245" s="144"/>
      <c r="G4245" s="144"/>
    </row>
    <row r="4246" spans="1:7" x14ac:dyDescent="0.25">
      <c r="A4246" s="148"/>
      <c r="C4246" s="153" t="s">
        <v>621</v>
      </c>
      <c r="D4246" s="152"/>
      <c r="E4246" s="151"/>
      <c r="F4246" s="150">
        <f>F4213</f>
        <v>0</v>
      </c>
      <c r="G4246" s="150">
        <f>G4213</f>
        <v>0</v>
      </c>
    </row>
    <row r="4247" spans="1:7" x14ac:dyDescent="0.25">
      <c r="A4247" s="148"/>
      <c r="C4247" s="153" t="s">
        <v>582</v>
      </c>
      <c r="D4247" s="152"/>
      <c r="E4247" s="151"/>
      <c r="F4247" s="150">
        <f>F4246+F4244</f>
        <v>0</v>
      </c>
      <c r="G4247" s="150">
        <f>G4246+G4244</f>
        <v>0</v>
      </c>
    </row>
    <row r="4248" spans="1:7" ht="15.75" thickBot="1" x14ac:dyDescent="0.3">
      <c r="A4248" s="148"/>
      <c r="C4248" s="145"/>
      <c r="D4248" s="149"/>
      <c r="E4248" s="145"/>
      <c r="F4248" s="144"/>
      <c r="G4248" s="144"/>
    </row>
    <row r="4249" spans="1:7" ht="15.75" thickBot="1" x14ac:dyDescent="0.3">
      <c r="A4249" s="148"/>
      <c r="C4249" s="147" t="s">
        <v>620</v>
      </c>
      <c r="D4249" s="146">
        <f>F4247-G4247</f>
        <v>0</v>
      </c>
      <c r="E4249" s="145"/>
      <c r="F4249" s="144"/>
      <c r="G4249" s="144"/>
    </row>
    <row r="4250" spans="1:7" ht="15.75" thickBot="1" x14ac:dyDescent="0.3"/>
    <row r="4251" spans="1:7" ht="30.75" thickBot="1" x14ac:dyDescent="0.3">
      <c r="A4251" s="232" t="s">
        <v>626</v>
      </c>
      <c r="B4251" s="231" t="s">
        <v>606</v>
      </c>
      <c r="C4251" s="230" t="s">
        <v>630</v>
      </c>
      <c r="D4251" s="229" t="s">
        <v>601</v>
      </c>
      <c r="E4251" s="228" t="s">
        <v>287</v>
      </c>
      <c r="F4251" s="227" t="s">
        <v>624</v>
      </c>
      <c r="G4251" s="227" t="s">
        <v>596</v>
      </c>
    </row>
    <row r="4252" spans="1:7" x14ac:dyDescent="0.25">
      <c r="A4252" s="169" t="str">
        <f>E4252&amp;COUNTIFS($E$2:E4252,E4252)</f>
        <v>0</v>
      </c>
      <c r="B4252" s="172"/>
      <c r="C4252" s="174"/>
      <c r="D4252" s="173"/>
      <c r="E4252" s="172"/>
      <c r="F4252" s="171"/>
      <c r="G4252" s="170"/>
    </row>
    <row r="4253" spans="1:7" x14ac:dyDescent="0.25">
      <c r="A4253" s="169" t="str">
        <f>E4253&amp;COUNTIFS($E$2:E4253,E4253)</f>
        <v>0</v>
      </c>
      <c r="B4253" s="166"/>
      <c r="C4253" s="168"/>
      <c r="D4253" s="167"/>
      <c r="E4253" s="166"/>
      <c r="F4253" s="165"/>
      <c r="G4253" s="164"/>
    </row>
    <row r="4254" spans="1:7" x14ac:dyDescent="0.25">
      <c r="A4254" s="169" t="str">
        <f>E4254&amp;COUNTIFS($E$2:E4254,E4254)</f>
        <v>0</v>
      </c>
      <c r="B4254" s="166"/>
      <c r="C4254" s="168"/>
      <c r="D4254" s="167"/>
      <c r="E4254" s="166"/>
      <c r="F4254" s="165"/>
      <c r="G4254" s="164"/>
    </row>
    <row r="4255" spans="1:7" x14ac:dyDescent="0.25">
      <c r="A4255" s="169" t="str">
        <f>E4255&amp;COUNTIFS($E$2:E4255,E4255)</f>
        <v>0</v>
      </c>
      <c r="B4255" s="166"/>
      <c r="C4255" s="168"/>
      <c r="D4255" s="167"/>
      <c r="E4255" s="166"/>
      <c r="F4255" s="165"/>
      <c r="G4255" s="164"/>
    </row>
    <row r="4256" spans="1:7" x14ac:dyDescent="0.25">
      <c r="A4256" s="169" t="str">
        <f>E4256&amp;COUNTIFS($E$2:E4256,E4256)</f>
        <v>0</v>
      </c>
      <c r="B4256" s="166"/>
      <c r="C4256" s="168"/>
      <c r="D4256" s="167"/>
      <c r="E4256" s="166"/>
      <c r="F4256" s="165"/>
      <c r="G4256" s="164"/>
    </row>
    <row r="4257" spans="1:7" x14ac:dyDescent="0.25">
      <c r="A4257" s="169" t="str">
        <f>E4257&amp;COUNTIFS($E$2:E4257,E4257)</f>
        <v>0</v>
      </c>
      <c r="B4257" s="166"/>
      <c r="C4257" s="168"/>
      <c r="D4257" s="167"/>
      <c r="E4257" s="166"/>
      <c r="F4257" s="165"/>
      <c r="G4257" s="164"/>
    </row>
    <row r="4258" spans="1:7" x14ac:dyDescent="0.25">
      <c r="A4258" s="169" t="str">
        <f>E4258&amp;COUNTIFS($E$2:E4258,E4258)</f>
        <v>0</v>
      </c>
      <c r="B4258" s="166"/>
      <c r="C4258" s="168"/>
      <c r="D4258" s="167"/>
      <c r="E4258" s="166"/>
      <c r="F4258" s="165"/>
      <c r="G4258" s="164"/>
    </row>
    <row r="4259" spans="1:7" x14ac:dyDescent="0.25">
      <c r="A4259" s="169" t="str">
        <f>E4259&amp;COUNTIFS($E$2:E4259,E4259)</f>
        <v>0</v>
      </c>
      <c r="B4259" s="166"/>
      <c r="C4259" s="168"/>
      <c r="D4259" s="167"/>
      <c r="E4259" s="166"/>
      <c r="F4259" s="165"/>
      <c r="G4259" s="164"/>
    </row>
    <row r="4260" spans="1:7" x14ac:dyDescent="0.25">
      <c r="A4260" s="169" t="str">
        <f>E4260&amp;COUNTIFS($E$2:E4260,E4260)</f>
        <v>0</v>
      </c>
      <c r="B4260" s="166"/>
      <c r="C4260" s="168"/>
      <c r="D4260" s="167"/>
      <c r="E4260" s="166"/>
      <c r="F4260" s="165"/>
      <c r="G4260" s="164"/>
    </row>
    <row r="4261" spans="1:7" x14ac:dyDescent="0.25">
      <c r="A4261" s="169" t="str">
        <f>E4261&amp;COUNTIFS($E$2:E4261,E4261)</f>
        <v>0</v>
      </c>
      <c r="B4261" s="166"/>
      <c r="C4261" s="168"/>
      <c r="D4261" s="167"/>
      <c r="E4261" s="166"/>
      <c r="F4261" s="165"/>
      <c r="G4261" s="164"/>
    </row>
    <row r="4262" spans="1:7" x14ac:dyDescent="0.25">
      <c r="A4262" s="169" t="str">
        <f>E4262&amp;COUNTIFS($E$2:E4262,E4262)</f>
        <v>0</v>
      </c>
      <c r="B4262" s="166"/>
      <c r="C4262" s="168"/>
      <c r="D4262" s="167"/>
      <c r="E4262" s="166"/>
      <c r="F4262" s="165"/>
      <c r="G4262" s="164"/>
    </row>
    <row r="4263" spans="1:7" x14ac:dyDescent="0.25">
      <c r="A4263" s="169" t="str">
        <f>E4263&amp;COUNTIFS($E$2:E4263,E4263)</f>
        <v>0</v>
      </c>
      <c r="B4263" s="166"/>
      <c r="C4263" s="168"/>
      <c r="D4263" s="167"/>
      <c r="E4263" s="166"/>
      <c r="F4263" s="165"/>
      <c r="G4263" s="164"/>
    </row>
    <row r="4264" spans="1:7" x14ac:dyDescent="0.25">
      <c r="A4264" s="169" t="str">
        <f>E4264&amp;COUNTIFS($E$2:E4264,E4264)</f>
        <v>0</v>
      </c>
      <c r="B4264" s="166"/>
      <c r="C4264" s="168"/>
      <c r="D4264" s="167"/>
      <c r="E4264" s="166"/>
      <c r="F4264" s="165"/>
      <c r="G4264" s="164"/>
    </row>
    <row r="4265" spans="1:7" x14ac:dyDescent="0.25">
      <c r="A4265" s="169" t="str">
        <f>E4265&amp;COUNTIFS($E$2:E4265,E4265)</f>
        <v>0</v>
      </c>
      <c r="B4265" s="166"/>
      <c r="C4265" s="168"/>
      <c r="D4265" s="167"/>
      <c r="E4265" s="166"/>
      <c r="F4265" s="165"/>
      <c r="G4265" s="164"/>
    </row>
    <row r="4266" spans="1:7" x14ac:dyDescent="0.25">
      <c r="A4266" s="169" t="str">
        <f>E4266&amp;COUNTIFS($E$2:E4266,E4266)</f>
        <v>0</v>
      </c>
      <c r="B4266" s="166"/>
      <c r="C4266" s="168"/>
      <c r="D4266" s="167"/>
      <c r="E4266" s="166"/>
      <c r="F4266" s="165"/>
      <c r="G4266" s="164"/>
    </row>
    <row r="4267" spans="1:7" x14ac:dyDescent="0.25">
      <c r="A4267" s="169" t="str">
        <f>E4267&amp;COUNTIFS($E$2:E4267,E4267)</f>
        <v>0</v>
      </c>
      <c r="B4267" s="166"/>
      <c r="C4267" s="168"/>
      <c r="D4267" s="167"/>
      <c r="E4267" s="166"/>
      <c r="F4267" s="165"/>
      <c r="G4267" s="164"/>
    </row>
    <row r="4268" spans="1:7" x14ac:dyDescent="0.25">
      <c r="A4268" s="169" t="str">
        <f>E4268&amp;COUNTIFS($E$2:E4268,E4268)</f>
        <v>0</v>
      </c>
      <c r="B4268" s="166"/>
      <c r="C4268" s="168"/>
      <c r="D4268" s="167"/>
      <c r="E4268" s="166"/>
      <c r="F4268" s="165"/>
      <c r="G4268" s="164"/>
    </row>
    <row r="4269" spans="1:7" x14ac:dyDescent="0.25">
      <c r="A4269" s="169" t="str">
        <f>E4269&amp;COUNTIFS($E$2:E4269,E4269)</f>
        <v>0</v>
      </c>
      <c r="B4269" s="166"/>
      <c r="C4269" s="168"/>
      <c r="D4269" s="167"/>
      <c r="E4269" s="166"/>
      <c r="F4269" s="165"/>
      <c r="G4269" s="164"/>
    </row>
    <row r="4270" spans="1:7" x14ac:dyDescent="0.25">
      <c r="A4270" s="169" t="str">
        <f>E4270&amp;COUNTIFS($E$2:E4270,E4270)</f>
        <v>0</v>
      </c>
      <c r="B4270" s="166"/>
      <c r="C4270" s="168"/>
      <c r="D4270" s="167"/>
      <c r="E4270" s="166"/>
      <c r="F4270" s="165"/>
      <c r="G4270" s="164"/>
    </row>
    <row r="4271" spans="1:7" x14ac:dyDescent="0.25">
      <c r="A4271" s="169" t="str">
        <f>E4271&amp;COUNTIFS($E$2:E4271,E4271)</f>
        <v>0</v>
      </c>
      <c r="B4271" s="166"/>
      <c r="C4271" s="168"/>
      <c r="D4271" s="167"/>
      <c r="E4271" s="166"/>
      <c r="F4271" s="165"/>
      <c r="G4271" s="164"/>
    </row>
    <row r="4272" spans="1:7" x14ac:dyDescent="0.25">
      <c r="A4272" s="169" t="str">
        <f>E4272&amp;COUNTIFS($E$2:E4272,E4272)</f>
        <v>0</v>
      </c>
      <c r="B4272" s="166"/>
      <c r="C4272" s="168"/>
      <c r="D4272" s="167"/>
      <c r="E4272" s="166"/>
      <c r="F4272" s="165"/>
      <c r="G4272" s="164"/>
    </row>
    <row r="4273" spans="1:7" x14ac:dyDescent="0.25">
      <c r="A4273" s="169" t="str">
        <f>E4273&amp;COUNTIFS($E$2:E4273,E4273)</f>
        <v>0</v>
      </c>
      <c r="B4273" s="166"/>
      <c r="C4273" s="168"/>
      <c r="D4273" s="167"/>
      <c r="E4273" s="166"/>
      <c r="F4273" s="165"/>
      <c r="G4273" s="164"/>
    </row>
    <row r="4274" spans="1:7" x14ac:dyDescent="0.25">
      <c r="A4274" s="169" t="str">
        <f>E4274&amp;COUNTIFS($E$2:E4274,E4274)</f>
        <v>0</v>
      </c>
      <c r="B4274" s="166"/>
      <c r="C4274" s="168"/>
      <c r="D4274" s="167"/>
      <c r="E4274" s="166"/>
      <c r="F4274" s="165"/>
      <c r="G4274" s="164"/>
    </row>
    <row r="4275" spans="1:7" x14ac:dyDescent="0.25">
      <c r="A4275" s="169" t="str">
        <f>E4275&amp;COUNTIFS($E$2:E4275,E4275)</f>
        <v>0</v>
      </c>
      <c r="B4275" s="166"/>
      <c r="C4275" s="168"/>
      <c r="D4275" s="167"/>
      <c r="E4275" s="166"/>
      <c r="F4275" s="165"/>
      <c r="G4275" s="164"/>
    </row>
    <row r="4276" spans="1:7" ht="15.75" thickBot="1" x14ac:dyDescent="0.3">
      <c r="A4276" s="163" t="str">
        <f>E4276&amp;COUNTIFS($E$2:E4276,E4276)</f>
        <v>0</v>
      </c>
      <c r="B4276" s="166"/>
      <c r="C4276" s="162"/>
      <c r="D4276" s="161"/>
      <c r="E4276" s="160"/>
      <c r="F4276" s="159"/>
      <c r="G4276" s="158"/>
    </row>
    <row r="4277" spans="1:7" x14ac:dyDescent="0.25">
      <c r="A4277" s="148"/>
      <c r="C4277" s="143"/>
      <c r="D4277" s="157"/>
      <c r="E4277" s="143"/>
      <c r="F4277" s="156"/>
      <c r="G4277" s="156"/>
    </row>
    <row r="4278" spans="1:7" x14ac:dyDescent="0.25">
      <c r="A4278" s="148"/>
      <c r="C4278" s="153" t="s">
        <v>623</v>
      </c>
      <c r="D4278" s="152"/>
      <c r="E4278" s="151"/>
      <c r="F4278" s="150">
        <f>SUM(F4252:F4276)</f>
        <v>0</v>
      </c>
      <c r="G4278" s="155">
        <f>SUM(G4252:G4276)</f>
        <v>0</v>
      </c>
    </row>
    <row r="4279" spans="1:7" x14ac:dyDescent="0.25">
      <c r="A4279" s="148"/>
      <c r="C4279" s="145" t="s">
        <v>622</v>
      </c>
      <c r="D4279" s="154"/>
      <c r="E4279" s="145"/>
      <c r="F4279" s="144"/>
      <c r="G4279" s="144"/>
    </row>
    <row r="4280" spans="1:7" x14ac:dyDescent="0.25">
      <c r="A4280" s="148"/>
      <c r="C4280" s="153" t="s">
        <v>621</v>
      </c>
      <c r="D4280" s="152"/>
      <c r="E4280" s="151"/>
      <c r="F4280" s="150">
        <f>F4247</f>
        <v>0</v>
      </c>
      <c r="G4280" s="150">
        <f>G4247</f>
        <v>0</v>
      </c>
    </row>
    <row r="4281" spans="1:7" x14ac:dyDescent="0.25">
      <c r="A4281" s="148"/>
      <c r="C4281" s="153" t="s">
        <v>582</v>
      </c>
      <c r="D4281" s="152"/>
      <c r="E4281" s="151"/>
      <c r="F4281" s="150">
        <f>F4280+F4278</f>
        <v>0</v>
      </c>
      <c r="G4281" s="150">
        <f>G4280+G4278</f>
        <v>0</v>
      </c>
    </row>
    <row r="4282" spans="1:7" ht="15.75" thickBot="1" x14ac:dyDescent="0.3">
      <c r="A4282" s="148"/>
      <c r="C4282" s="145"/>
      <c r="D4282" s="149"/>
      <c r="E4282" s="145"/>
      <c r="F4282" s="144"/>
      <c r="G4282" s="144"/>
    </row>
    <row r="4283" spans="1:7" ht="15.75" thickBot="1" x14ac:dyDescent="0.3">
      <c r="A4283" s="148"/>
      <c r="C4283" s="147" t="s">
        <v>620</v>
      </c>
      <c r="D4283" s="146">
        <f>F4281-G4281</f>
        <v>0</v>
      </c>
      <c r="E4283" s="145"/>
      <c r="F4283" s="144"/>
      <c r="G4283" s="144"/>
    </row>
    <row r="4284" spans="1:7" ht="15.75" thickBot="1" x14ac:dyDescent="0.3"/>
    <row r="4285" spans="1:7" ht="30.75" thickBot="1" x14ac:dyDescent="0.3">
      <c r="A4285" s="232" t="s">
        <v>626</v>
      </c>
      <c r="B4285" s="231" t="s">
        <v>606</v>
      </c>
      <c r="C4285" s="230" t="s">
        <v>630</v>
      </c>
      <c r="D4285" s="229" t="s">
        <v>601</v>
      </c>
      <c r="E4285" s="228" t="s">
        <v>287</v>
      </c>
      <c r="F4285" s="227" t="s">
        <v>624</v>
      </c>
      <c r="G4285" s="227" t="s">
        <v>596</v>
      </c>
    </row>
    <row r="4286" spans="1:7" x14ac:dyDescent="0.25">
      <c r="A4286" s="169" t="str">
        <f>E4286&amp;COUNTIFS($E$2:E4286,E4286)</f>
        <v>0</v>
      </c>
      <c r="B4286" s="172"/>
      <c r="C4286" s="174"/>
      <c r="D4286" s="173"/>
      <c r="E4286" s="172"/>
      <c r="F4286" s="171"/>
      <c r="G4286" s="170"/>
    </row>
    <row r="4287" spans="1:7" x14ac:dyDescent="0.25">
      <c r="A4287" s="169" t="str">
        <f>E4287&amp;COUNTIFS($E$2:E4287,E4287)</f>
        <v>0</v>
      </c>
      <c r="B4287" s="166"/>
      <c r="C4287" s="168"/>
      <c r="D4287" s="167"/>
      <c r="E4287" s="166"/>
      <c r="F4287" s="165"/>
      <c r="G4287" s="164"/>
    </row>
    <row r="4288" spans="1:7" x14ac:dyDescent="0.25">
      <c r="A4288" s="169" t="str">
        <f>E4288&amp;COUNTIFS($E$2:E4288,E4288)</f>
        <v>0</v>
      </c>
      <c r="B4288" s="166"/>
      <c r="C4288" s="168"/>
      <c r="D4288" s="167"/>
      <c r="E4288" s="166"/>
      <c r="F4288" s="165"/>
      <c r="G4288" s="164"/>
    </row>
    <row r="4289" spans="1:7" x14ac:dyDescent="0.25">
      <c r="A4289" s="169" t="str">
        <f>E4289&amp;COUNTIFS($E$2:E4289,E4289)</f>
        <v>0</v>
      </c>
      <c r="B4289" s="166"/>
      <c r="C4289" s="168"/>
      <c r="D4289" s="167"/>
      <c r="E4289" s="166"/>
      <c r="F4289" s="165"/>
      <c r="G4289" s="164"/>
    </row>
    <row r="4290" spans="1:7" x14ac:dyDescent="0.25">
      <c r="A4290" s="169" t="str">
        <f>E4290&amp;COUNTIFS($E$2:E4290,E4290)</f>
        <v>0</v>
      </c>
      <c r="B4290" s="166"/>
      <c r="C4290" s="168"/>
      <c r="D4290" s="167"/>
      <c r="E4290" s="166"/>
      <c r="F4290" s="165"/>
      <c r="G4290" s="164"/>
    </row>
    <row r="4291" spans="1:7" x14ac:dyDescent="0.25">
      <c r="A4291" s="169" t="str">
        <f>E4291&amp;COUNTIFS($E$2:E4291,E4291)</f>
        <v>0</v>
      </c>
      <c r="B4291" s="166"/>
      <c r="C4291" s="168"/>
      <c r="D4291" s="167"/>
      <c r="E4291" s="166"/>
      <c r="F4291" s="165"/>
      <c r="G4291" s="164"/>
    </row>
    <row r="4292" spans="1:7" x14ac:dyDescent="0.25">
      <c r="A4292" s="169" t="str">
        <f>E4292&amp;COUNTIFS($E$2:E4292,E4292)</f>
        <v>0</v>
      </c>
      <c r="B4292" s="166"/>
      <c r="C4292" s="168"/>
      <c r="D4292" s="167"/>
      <c r="E4292" s="166"/>
      <c r="F4292" s="165"/>
      <c r="G4292" s="164"/>
    </row>
    <row r="4293" spans="1:7" x14ac:dyDescent="0.25">
      <c r="A4293" s="169" t="str">
        <f>E4293&amp;COUNTIFS($E$2:E4293,E4293)</f>
        <v>0</v>
      </c>
      <c r="B4293" s="166"/>
      <c r="C4293" s="168"/>
      <c r="D4293" s="167"/>
      <c r="E4293" s="166"/>
      <c r="F4293" s="165"/>
      <c r="G4293" s="164"/>
    </row>
    <row r="4294" spans="1:7" x14ac:dyDescent="0.25">
      <c r="A4294" s="169" t="str">
        <f>E4294&amp;COUNTIFS($E$2:E4294,E4294)</f>
        <v>0</v>
      </c>
      <c r="B4294" s="166"/>
      <c r="C4294" s="168"/>
      <c r="D4294" s="167"/>
      <c r="E4294" s="166"/>
      <c r="F4294" s="165"/>
      <c r="G4294" s="164"/>
    </row>
    <row r="4295" spans="1:7" x14ac:dyDescent="0.25">
      <c r="A4295" s="169" t="str">
        <f>E4295&amp;COUNTIFS($E$2:E4295,E4295)</f>
        <v>0</v>
      </c>
      <c r="B4295" s="166"/>
      <c r="C4295" s="168"/>
      <c r="D4295" s="167"/>
      <c r="E4295" s="166"/>
      <c r="F4295" s="165"/>
      <c r="G4295" s="164"/>
    </row>
    <row r="4296" spans="1:7" x14ac:dyDescent="0.25">
      <c r="A4296" s="169" t="str">
        <f>E4296&amp;COUNTIFS($E$2:E4296,E4296)</f>
        <v>0</v>
      </c>
      <c r="B4296" s="166"/>
      <c r="C4296" s="168"/>
      <c r="D4296" s="167"/>
      <c r="E4296" s="166"/>
      <c r="F4296" s="165"/>
      <c r="G4296" s="164"/>
    </row>
    <row r="4297" spans="1:7" x14ac:dyDescent="0.25">
      <c r="A4297" s="169" t="str">
        <f>E4297&amp;COUNTIFS($E$2:E4297,E4297)</f>
        <v>0</v>
      </c>
      <c r="B4297" s="166"/>
      <c r="C4297" s="168"/>
      <c r="D4297" s="167"/>
      <c r="E4297" s="166"/>
      <c r="F4297" s="165"/>
      <c r="G4297" s="164"/>
    </row>
    <row r="4298" spans="1:7" x14ac:dyDescent="0.25">
      <c r="A4298" s="169" t="str">
        <f>E4298&amp;COUNTIFS($E$2:E4298,E4298)</f>
        <v>0</v>
      </c>
      <c r="B4298" s="166"/>
      <c r="C4298" s="168"/>
      <c r="D4298" s="167"/>
      <c r="E4298" s="166"/>
      <c r="F4298" s="165"/>
      <c r="G4298" s="164"/>
    </row>
    <row r="4299" spans="1:7" x14ac:dyDescent="0.25">
      <c r="A4299" s="169" t="str">
        <f>E4299&amp;COUNTIFS($E$2:E4299,E4299)</f>
        <v>0</v>
      </c>
      <c r="B4299" s="166"/>
      <c r="C4299" s="168"/>
      <c r="D4299" s="167"/>
      <c r="E4299" s="166"/>
      <c r="F4299" s="165"/>
      <c r="G4299" s="164"/>
    </row>
    <row r="4300" spans="1:7" x14ac:dyDescent="0.25">
      <c r="A4300" s="169" t="str">
        <f>E4300&amp;COUNTIFS($E$2:E4300,E4300)</f>
        <v>0</v>
      </c>
      <c r="B4300" s="166"/>
      <c r="C4300" s="168"/>
      <c r="D4300" s="167"/>
      <c r="E4300" s="166"/>
      <c r="F4300" s="165"/>
      <c r="G4300" s="164"/>
    </row>
    <row r="4301" spans="1:7" x14ac:dyDescent="0.25">
      <c r="A4301" s="169" t="str">
        <f>E4301&amp;COUNTIFS($E$2:E4301,E4301)</f>
        <v>0</v>
      </c>
      <c r="B4301" s="166"/>
      <c r="C4301" s="168"/>
      <c r="D4301" s="167"/>
      <c r="E4301" s="166"/>
      <c r="F4301" s="165"/>
      <c r="G4301" s="164"/>
    </row>
    <row r="4302" spans="1:7" x14ac:dyDescent="0.25">
      <c r="A4302" s="169" t="str">
        <f>E4302&amp;COUNTIFS($E$2:E4302,E4302)</f>
        <v>0</v>
      </c>
      <c r="B4302" s="166"/>
      <c r="C4302" s="168"/>
      <c r="D4302" s="167"/>
      <c r="E4302" s="166"/>
      <c r="F4302" s="165"/>
      <c r="G4302" s="164"/>
    </row>
    <row r="4303" spans="1:7" x14ac:dyDescent="0.25">
      <c r="A4303" s="169" t="str">
        <f>E4303&amp;COUNTIFS($E$2:E4303,E4303)</f>
        <v>0</v>
      </c>
      <c r="B4303" s="166"/>
      <c r="C4303" s="168"/>
      <c r="D4303" s="167"/>
      <c r="E4303" s="166"/>
      <c r="F4303" s="165"/>
      <c r="G4303" s="164"/>
    </row>
    <row r="4304" spans="1:7" x14ac:dyDescent="0.25">
      <c r="A4304" s="169" t="str">
        <f>E4304&amp;COUNTIFS($E$2:E4304,E4304)</f>
        <v>0</v>
      </c>
      <c r="B4304" s="166"/>
      <c r="C4304" s="168"/>
      <c r="D4304" s="167"/>
      <c r="E4304" s="166"/>
      <c r="F4304" s="165"/>
      <c r="G4304" s="164"/>
    </row>
    <row r="4305" spans="1:7" x14ac:dyDescent="0.25">
      <c r="A4305" s="169" t="str">
        <f>E4305&amp;COUNTIFS($E$2:E4305,E4305)</f>
        <v>0</v>
      </c>
      <c r="B4305" s="166"/>
      <c r="C4305" s="168"/>
      <c r="D4305" s="167"/>
      <c r="E4305" s="166"/>
      <c r="F4305" s="165"/>
      <c r="G4305" s="164"/>
    </row>
    <row r="4306" spans="1:7" x14ac:dyDescent="0.25">
      <c r="A4306" s="169" t="str">
        <f>E4306&amp;COUNTIFS($E$2:E4306,E4306)</f>
        <v>0</v>
      </c>
      <c r="B4306" s="166"/>
      <c r="C4306" s="168"/>
      <c r="D4306" s="167"/>
      <c r="E4306" s="166"/>
      <c r="F4306" s="165"/>
      <c r="G4306" s="164"/>
    </row>
    <row r="4307" spans="1:7" x14ac:dyDescent="0.25">
      <c r="A4307" s="169" t="str">
        <f>E4307&amp;COUNTIFS($E$2:E4307,E4307)</f>
        <v>0</v>
      </c>
      <c r="B4307" s="166"/>
      <c r="C4307" s="168"/>
      <c r="D4307" s="167"/>
      <c r="E4307" s="166"/>
      <c r="F4307" s="165"/>
      <c r="G4307" s="164"/>
    </row>
    <row r="4308" spans="1:7" x14ac:dyDescent="0.25">
      <c r="A4308" s="169" t="str">
        <f>E4308&amp;COUNTIFS($E$2:E4308,E4308)</f>
        <v>0</v>
      </c>
      <c r="B4308" s="166"/>
      <c r="C4308" s="168"/>
      <c r="D4308" s="167"/>
      <c r="E4308" s="166"/>
      <c r="F4308" s="165"/>
      <c r="G4308" s="164"/>
    </row>
    <row r="4309" spans="1:7" x14ac:dyDescent="0.25">
      <c r="A4309" s="169" t="str">
        <f>E4309&amp;COUNTIFS($E$2:E4309,E4309)</f>
        <v>0</v>
      </c>
      <c r="B4309" s="166"/>
      <c r="C4309" s="168"/>
      <c r="D4309" s="167"/>
      <c r="E4309" s="166"/>
      <c r="F4309" s="165"/>
      <c r="G4309" s="164"/>
    </row>
    <row r="4310" spans="1:7" ht="15.75" thickBot="1" x14ac:dyDescent="0.3">
      <c r="A4310" s="163" t="str">
        <f>E4310&amp;COUNTIFS($E$2:E4310,E4310)</f>
        <v>0</v>
      </c>
      <c r="B4310" s="166"/>
      <c r="C4310" s="162"/>
      <c r="D4310" s="161"/>
      <c r="E4310" s="160"/>
      <c r="F4310" s="159"/>
      <c r="G4310" s="158"/>
    </row>
    <row r="4311" spans="1:7" x14ac:dyDescent="0.25">
      <c r="A4311" s="148"/>
      <c r="C4311" s="143"/>
      <c r="D4311" s="157"/>
      <c r="E4311" s="143"/>
      <c r="F4311" s="156"/>
      <c r="G4311" s="156"/>
    </row>
    <row r="4312" spans="1:7" x14ac:dyDescent="0.25">
      <c r="A4312" s="148"/>
      <c r="C4312" s="153" t="s">
        <v>623</v>
      </c>
      <c r="D4312" s="152"/>
      <c r="E4312" s="151"/>
      <c r="F4312" s="150">
        <f>SUM(F4286:F4310)</f>
        <v>0</v>
      </c>
      <c r="G4312" s="155">
        <f>SUM(G4286:G4310)</f>
        <v>0</v>
      </c>
    </row>
    <row r="4313" spans="1:7" x14ac:dyDescent="0.25">
      <c r="A4313" s="148"/>
      <c r="C4313" s="145" t="s">
        <v>622</v>
      </c>
      <c r="D4313" s="154"/>
      <c r="E4313" s="145"/>
      <c r="F4313" s="144"/>
      <c r="G4313" s="144"/>
    </row>
    <row r="4314" spans="1:7" x14ac:dyDescent="0.25">
      <c r="A4314" s="148"/>
      <c r="C4314" s="153" t="s">
        <v>621</v>
      </c>
      <c r="D4314" s="152"/>
      <c r="E4314" s="151"/>
      <c r="F4314" s="150">
        <f>F4281</f>
        <v>0</v>
      </c>
      <c r="G4314" s="150">
        <f>G4281</f>
        <v>0</v>
      </c>
    </row>
    <row r="4315" spans="1:7" x14ac:dyDescent="0.25">
      <c r="A4315" s="148"/>
      <c r="C4315" s="153" t="s">
        <v>582</v>
      </c>
      <c r="D4315" s="152"/>
      <c r="E4315" s="151"/>
      <c r="F4315" s="150">
        <f>F4314+F4312</f>
        <v>0</v>
      </c>
      <c r="G4315" s="150">
        <f>G4314+G4312</f>
        <v>0</v>
      </c>
    </row>
    <row r="4316" spans="1:7" ht="15.75" thickBot="1" x14ac:dyDescent="0.3">
      <c r="A4316" s="148"/>
      <c r="C4316" s="145"/>
      <c r="D4316" s="149"/>
      <c r="E4316" s="145"/>
      <c r="F4316" s="144"/>
      <c r="G4316" s="144"/>
    </row>
    <row r="4317" spans="1:7" ht="15.75" thickBot="1" x14ac:dyDescent="0.3">
      <c r="A4317" s="148"/>
      <c r="C4317" s="147" t="s">
        <v>620</v>
      </c>
      <c r="D4317" s="146">
        <f>F4315-G4315</f>
        <v>0</v>
      </c>
      <c r="E4317" s="145"/>
      <c r="F4317" s="144"/>
      <c r="G4317" s="144"/>
    </row>
    <row r="4318" spans="1:7" ht="15.75" thickBot="1" x14ac:dyDescent="0.3"/>
    <row r="4319" spans="1:7" ht="30.75" thickBot="1" x14ac:dyDescent="0.3">
      <c r="A4319" s="232" t="s">
        <v>626</v>
      </c>
      <c r="B4319" s="231" t="s">
        <v>606</v>
      </c>
      <c r="C4319" s="230" t="s">
        <v>630</v>
      </c>
      <c r="D4319" s="229" t="s">
        <v>601</v>
      </c>
      <c r="E4319" s="228" t="s">
        <v>287</v>
      </c>
      <c r="F4319" s="227" t="s">
        <v>624</v>
      </c>
      <c r="G4319" s="227" t="s">
        <v>596</v>
      </c>
    </row>
    <row r="4320" spans="1:7" x14ac:dyDescent="0.25">
      <c r="A4320" s="169" t="str">
        <f>E4320&amp;COUNTIFS($E$2:E4320,E4320)</f>
        <v>0</v>
      </c>
      <c r="B4320" s="172"/>
      <c r="C4320" s="174"/>
      <c r="D4320" s="173"/>
      <c r="E4320" s="172"/>
      <c r="F4320" s="171"/>
      <c r="G4320" s="170"/>
    </row>
    <row r="4321" spans="1:7" x14ac:dyDescent="0.25">
      <c r="A4321" s="169" t="str">
        <f>E4321&amp;COUNTIFS($E$2:E4321,E4321)</f>
        <v>0</v>
      </c>
      <c r="B4321" s="166"/>
      <c r="C4321" s="168"/>
      <c r="D4321" s="167"/>
      <c r="E4321" s="166"/>
      <c r="F4321" s="165"/>
      <c r="G4321" s="164"/>
    </row>
    <row r="4322" spans="1:7" x14ac:dyDescent="0.25">
      <c r="A4322" s="169" t="str">
        <f>E4322&amp;COUNTIFS($E$2:E4322,E4322)</f>
        <v>0</v>
      </c>
      <c r="B4322" s="166"/>
      <c r="C4322" s="168"/>
      <c r="D4322" s="167"/>
      <c r="E4322" s="166"/>
      <c r="F4322" s="165"/>
      <c r="G4322" s="164"/>
    </row>
    <row r="4323" spans="1:7" x14ac:dyDescent="0.25">
      <c r="A4323" s="169" t="str">
        <f>E4323&amp;COUNTIFS($E$2:E4323,E4323)</f>
        <v>0</v>
      </c>
      <c r="B4323" s="166"/>
      <c r="C4323" s="168"/>
      <c r="D4323" s="167"/>
      <c r="E4323" s="166"/>
      <c r="F4323" s="165"/>
      <c r="G4323" s="164"/>
    </row>
    <row r="4324" spans="1:7" x14ac:dyDescent="0.25">
      <c r="A4324" s="169" t="str">
        <f>E4324&amp;COUNTIFS($E$2:E4324,E4324)</f>
        <v>0</v>
      </c>
      <c r="B4324" s="166"/>
      <c r="C4324" s="168"/>
      <c r="D4324" s="167"/>
      <c r="E4324" s="166"/>
      <c r="F4324" s="165"/>
      <c r="G4324" s="164"/>
    </row>
    <row r="4325" spans="1:7" x14ac:dyDescent="0.25">
      <c r="A4325" s="169" t="str">
        <f>E4325&amp;COUNTIFS($E$2:E4325,E4325)</f>
        <v>0</v>
      </c>
      <c r="B4325" s="166"/>
      <c r="C4325" s="168"/>
      <c r="D4325" s="167"/>
      <c r="E4325" s="166"/>
      <c r="F4325" s="165"/>
      <c r="G4325" s="164"/>
    </row>
    <row r="4326" spans="1:7" x14ac:dyDescent="0.25">
      <c r="A4326" s="169" t="str">
        <f>E4326&amp;COUNTIFS($E$2:E4326,E4326)</f>
        <v>0</v>
      </c>
      <c r="B4326" s="166"/>
      <c r="C4326" s="168"/>
      <c r="D4326" s="167"/>
      <c r="E4326" s="166"/>
      <c r="F4326" s="165"/>
      <c r="G4326" s="164"/>
    </row>
    <row r="4327" spans="1:7" x14ac:dyDescent="0.25">
      <c r="A4327" s="169" t="str">
        <f>E4327&amp;COUNTIFS($E$2:E4327,E4327)</f>
        <v>0</v>
      </c>
      <c r="B4327" s="166"/>
      <c r="C4327" s="168"/>
      <c r="D4327" s="167"/>
      <c r="E4327" s="166"/>
      <c r="F4327" s="165"/>
      <c r="G4327" s="164"/>
    </row>
    <row r="4328" spans="1:7" x14ac:dyDescent="0.25">
      <c r="A4328" s="169" t="str">
        <f>E4328&amp;COUNTIFS($E$2:E4328,E4328)</f>
        <v>0</v>
      </c>
      <c r="B4328" s="166"/>
      <c r="C4328" s="168"/>
      <c r="D4328" s="167"/>
      <c r="E4328" s="166"/>
      <c r="F4328" s="165"/>
      <c r="G4328" s="164"/>
    </row>
    <row r="4329" spans="1:7" x14ac:dyDescent="0.25">
      <c r="A4329" s="169" t="str">
        <f>E4329&amp;COUNTIFS($E$2:E4329,E4329)</f>
        <v>0</v>
      </c>
      <c r="B4329" s="166"/>
      <c r="C4329" s="168"/>
      <c r="D4329" s="167"/>
      <c r="E4329" s="166"/>
      <c r="F4329" s="165"/>
      <c r="G4329" s="164"/>
    </row>
    <row r="4330" spans="1:7" x14ac:dyDescent="0.25">
      <c r="A4330" s="169" t="str">
        <f>E4330&amp;COUNTIFS($E$2:E4330,E4330)</f>
        <v>0</v>
      </c>
      <c r="B4330" s="166"/>
      <c r="C4330" s="168"/>
      <c r="D4330" s="167"/>
      <c r="E4330" s="166"/>
      <c r="F4330" s="165"/>
      <c r="G4330" s="164"/>
    </row>
    <row r="4331" spans="1:7" x14ac:dyDescent="0.25">
      <c r="A4331" s="169" t="str">
        <f>E4331&amp;COUNTIFS($E$2:E4331,E4331)</f>
        <v>0</v>
      </c>
      <c r="B4331" s="166"/>
      <c r="C4331" s="168"/>
      <c r="D4331" s="167"/>
      <c r="E4331" s="166"/>
      <c r="F4331" s="165"/>
      <c r="G4331" s="164"/>
    </row>
    <row r="4332" spans="1:7" x14ac:dyDescent="0.25">
      <c r="A4332" s="169" t="str">
        <f>E4332&amp;COUNTIFS($E$2:E4332,E4332)</f>
        <v>0</v>
      </c>
      <c r="B4332" s="166"/>
      <c r="C4332" s="168"/>
      <c r="D4332" s="167"/>
      <c r="E4332" s="166"/>
      <c r="F4332" s="165"/>
      <c r="G4332" s="164"/>
    </row>
    <row r="4333" spans="1:7" x14ac:dyDescent="0.25">
      <c r="A4333" s="169" t="str">
        <f>E4333&amp;COUNTIFS($E$2:E4333,E4333)</f>
        <v>0</v>
      </c>
      <c r="B4333" s="166"/>
      <c r="C4333" s="168"/>
      <c r="D4333" s="167"/>
      <c r="E4333" s="166"/>
      <c r="F4333" s="165"/>
      <c r="G4333" s="164"/>
    </row>
    <row r="4334" spans="1:7" x14ac:dyDescent="0.25">
      <c r="A4334" s="169" t="str">
        <f>E4334&amp;COUNTIFS($E$2:E4334,E4334)</f>
        <v>0</v>
      </c>
      <c r="B4334" s="166"/>
      <c r="C4334" s="168"/>
      <c r="D4334" s="167"/>
      <c r="E4334" s="166"/>
      <c r="F4334" s="165"/>
      <c r="G4334" s="164"/>
    </row>
    <row r="4335" spans="1:7" x14ac:dyDescent="0.25">
      <c r="A4335" s="169" t="str">
        <f>E4335&amp;COUNTIFS($E$2:E4335,E4335)</f>
        <v>0</v>
      </c>
      <c r="B4335" s="166"/>
      <c r="C4335" s="168"/>
      <c r="D4335" s="167"/>
      <c r="E4335" s="166"/>
      <c r="F4335" s="165"/>
      <c r="G4335" s="164"/>
    </row>
    <row r="4336" spans="1:7" x14ac:dyDescent="0.25">
      <c r="A4336" s="169" t="str">
        <f>E4336&amp;COUNTIFS($E$2:E4336,E4336)</f>
        <v>0</v>
      </c>
      <c r="B4336" s="166"/>
      <c r="C4336" s="168"/>
      <c r="D4336" s="167"/>
      <c r="E4336" s="166"/>
      <c r="F4336" s="165"/>
      <c r="G4336" s="164"/>
    </row>
    <row r="4337" spans="1:7" x14ac:dyDescent="0.25">
      <c r="A4337" s="169" t="str">
        <f>E4337&amp;COUNTIFS($E$2:E4337,E4337)</f>
        <v>0</v>
      </c>
      <c r="B4337" s="166"/>
      <c r="C4337" s="168"/>
      <c r="D4337" s="167"/>
      <c r="E4337" s="166"/>
      <c r="F4337" s="165"/>
      <c r="G4337" s="164"/>
    </row>
    <row r="4338" spans="1:7" x14ac:dyDescent="0.25">
      <c r="A4338" s="169" t="str">
        <f>E4338&amp;COUNTIFS($E$2:E4338,E4338)</f>
        <v>0</v>
      </c>
      <c r="B4338" s="166"/>
      <c r="C4338" s="168"/>
      <c r="D4338" s="167"/>
      <c r="E4338" s="166"/>
      <c r="F4338" s="165"/>
      <c r="G4338" s="164"/>
    </row>
    <row r="4339" spans="1:7" x14ac:dyDescent="0.25">
      <c r="A4339" s="169" t="str">
        <f>E4339&amp;COUNTIFS($E$2:E4339,E4339)</f>
        <v>0</v>
      </c>
      <c r="B4339" s="166"/>
      <c r="C4339" s="168"/>
      <c r="D4339" s="167"/>
      <c r="E4339" s="166"/>
      <c r="F4339" s="165"/>
      <c r="G4339" s="164"/>
    </row>
    <row r="4340" spans="1:7" x14ac:dyDescent="0.25">
      <c r="A4340" s="169" t="str">
        <f>E4340&amp;COUNTIFS($E$2:E4340,E4340)</f>
        <v>0</v>
      </c>
      <c r="B4340" s="166"/>
      <c r="C4340" s="168"/>
      <c r="D4340" s="167"/>
      <c r="E4340" s="166"/>
      <c r="F4340" s="165"/>
      <c r="G4340" s="164"/>
    </row>
    <row r="4341" spans="1:7" x14ac:dyDescent="0.25">
      <c r="A4341" s="169" t="str">
        <f>E4341&amp;COUNTIFS($E$2:E4341,E4341)</f>
        <v>0</v>
      </c>
      <c r="B4341" s="166"/>
      <c r="C4341" s="168"/>
      <c r="D4341" s="167"/>
      <c r="E4341" s="166"/>
      <c r="F4341" s="165"/>
      <c r="G4341" s="164"/>
    </row>
    <row r="4342" spans="1:7" x14ac:dyDescent="0.25">
      <c r="A4342" s="169" t="str">
        <f>E4342&amp;COUNTIFS($E$2:E4342,E4342)</f>
        <v>0</v>
      </c>
      <c r="B4342" s="166"/>
      <c r="C4342" s="168"/>
      <c r="D4342" s="167"/>
      <c r="E4342" s="166"/>
      <c r="F4342" s="165"/>
      <c r="G4342" s="164"/>
    </row>
    <row r="4343" spans="1:7" x14ac:dyDescent="0.25">
      <c r="A4343" s="169" t="str">
        <f>E4343&amp;COUNTIFS($E$2:E4343,E4343)</f>
        <v>0</v>
      </c>
      <c r="B4343" s="166"/>
      <c r="C4343" s="168"/>
      <c r="D4343" s="167"/>
      <c r="E4343" s="166"/>
      <c r="F4343" s="165"/>
      <c r="G4343" s="164"/>
    </row>
    <row r="4344" spans="1:7" ht="15.75" thickBot="1" x14ac:dyDescent="0.3">
      <c r="A4344" s="163" t="str">
        <f>E4344&amp;COUNTIFS($E$2:E4344,E4344)</f>
        <v>0</v>
      </c>
      <c r="B4344" s="166"/>
      <c r="C4344" s="162"/>
      <c r="D4344" s="161"/>
      <c r="E4344" s="160"/>
      <c r="F4344" s="159"/>
      <c r="G4344" s="158"/>
    </row>
    <row r="4345" spans="1:7" x14ac:dyDescent="0.25">
      <c r="A4345" s="148"/>
      <c r="C4345" s="143"/>
      <c r="D4345" s="157"/>
      <c r="E4345" s="143"/>
      <c r="F4345" s="156"/>
      <c r="G4345" s="156"/>
    </row>
    <row r="4346" spans="1:7" x14ac:dyDescent="0.25">
      <c r="A4346" s="148"/>
      <c r="C4346" s="153" t="s">
        <v>623</v>
      </c>
      <c r="D4346" s="152"/>
      <c r="E4346" s="151"/>
      <c r="F4346" s="150">
        <f>SUM(F4320:F4344)</f>
        <v>0</v>
      </c>
      <c r="G4346" s="155">
        <f>SUM(G4320:G4344)</f>
        <v>0</v>
      </c>
    </row>
    <row r="4347" spans="1:7" x14ac:dyDescent="0.25">
      <c r="A4347" s="148"/>
      <c r="C4347" s="145" t="s">
        <v>622</v>
      </c>
      <c r="D4347" s="154"/>
      <c r="E4347" s="145"/>
      <c r="F4347" s="144"/>
      <c r="G4347" s="144"/>
    </row>
    <row r="4348" spans="1:7" x14ac:dyDescent="0.25">
      <c r="A4348" s="148"/>
      <c r="C4348" s="153" t="s">
        <v>621</v>
      </c>
      <c r="D4348" s="152"/>
      <c r="E4348" s="151"/>
      <c r="F4348" s="150">
        <f>F4315</f>
        <v>0</v>
      </c>
      <c r="G4348" s="150">
        <f>G4315</f>
        <v>0</v>
      </c>
    </row>
    <row r="4349" spans="1:7" x14ac:dyDescent="0.25">
      <c r="A4349" s="148"/>
      <c r="C4349" s="153" t="s">
        <v>582</v>
      </c>
      <c r="D4349" s="152"/>
      <c r="E4349" s="151"/>
      <c r="F4349" s="150">
        <f>F4348+F4346</f>
        <v>0</v>
      </c>
      <c r="G4349" s="150">
        <f>G4348+G4346</f>
        <v>0</v>
      </c>
    </row>
    <row r="4350" spans="1:7" ht="15.75" thickBot="1" x14ac:dyDescent="0.3">
      <c r="A4350" s="148"/>
      <c r="C4350" s="145"/>
      <c r="D4350" s="149"/>
      <c r="E4350" s="145"/>
      <c r="F4350" s="144"/>
      <c r="G4350" s="144"/>
    </row>
    <row r="4351" spans="1:7" ht="15.75" thickBot="1" x14ac:dyDescent="0.3">
      <c r="A4351" s="148"/>
      <c r="C4351" s="147" t="s">
        <v>620</v>
      </c>
      <c r="D4351" s="146">
        <f>F4349-G4349</f>
        <v>0</v>
      </c>
      <c r="E4351" s="145"/>
      <c r="F4351" s="144"/>
      <c r="G4351" s="144"/>
    </row>
    <row r="4352" spans="1:7" ht="15.75" thickBot="1" x14ac:dyDescent="0.3">
      <c r="A4352" s="148"/>
      <c r="C4352" s="145"/>
      <c r="D4352" s="144"/>
      <c r="E4352" s="145"/>
      <c r="F4352" s="144"/>
      <c r="G4352" s="144"/>
    </row>
    <row r="4353" spans="1:7" ht="30.75" thickBot="1" x14ac:dyDescent="0.3">
      <c r="A4353" s="232" t="s">
        <v>626</v>
      </c>
      <c r="B4353" s="231" t="s">
        <v>606</v>
      </c>
      <c r="C4353" s="230" t="s">
        <v>630</v>
      </c>
      <c r="D4353" s="229" t="s">
        <v>601</v>
      </c>
      <c r="E4353" s="228" t="s">
        <v>287</v>
      </c>
      <c r="F4353" s="227" t="s">
        <v>624</v>
      </c>
      <c r="G4353" s="227" t="s">
        <v>596</v>
      </c>
    </row>
    <row r="4354" spans="1:7" x14ac:dyDescent="0.25">
      <c r="A4354" s="169" t="str">
        <f>E4354&amp;COUNTIFS($E$2:E4354,E4354)</f>
        <v>0</v>
      </c>
      <c r="B4354" s="172"/>
      <c r="C4354" s="174"/>
      <c r="D4354" s="173"/>
      <c r="E4354" s="172"/>
      <c r="F4354" s="171"/>
      <c r="G4354" s="170"/>
    </row>
    <row r="4355" spans="1:7" x14ac:dyDescent="0.25">
      <c r="A4355" s="169" t="str">
        <f>E4355&amp;COUNTIFS($E$2:E4355,E4355)</f>
        <v>0</v>
      </c>
      <c r="B4355" s="166"/>
      <c r="C4355" s="168"/>
      <c r="D4355" s="167"/>
      <c r="E4355" s="166"/>
      <c r="F4355" s="165"/>
      <c r="G4355" s="164"/>
    </row>
    <row r="4356" spans="1:7" x14ac:dyDescent="0.25">
      <c r="A4356" s="169" t="str">
        <f>E4356&amp;COUNTIFS($E$2:E4356,E4356)</f>
        <v>0</v>
      </c>
      <c r="B4356" s="166"/>
      <c r="C4356" s="168"/>
      <c r="D4356" s="167"/>
      <c r="E4356" s="166"/>
      <c r="F4356" s="165"/>
      <c r="G4356" s="164"/>
    </row>
    <row r="4357" spans="1:7" x14ac:dyDescent="0.25">
      <c r="A4357" s="169" t="str">
        <f>E4357&amp;COUNTIFS($E$2:E4357,E4357)</f>
        <v>0</v>
      </c>
      <c r="B4357" s="166"/>
      <c r="C4357" s="168"/>
      <c r="D4357" s="167"/>
      <c r="E4357" s="166"/>
      <c r="F4357" s="165"/>
      <c r="G4357" s="164"/>
    </row>
    <row r="4358" spans="1:7" x14ac:dyDescent="0.25">
      <c r="A4358" s="169" t="str">
        <f>E4358&amp;COUNTIFS($E$2:E4358,E4358)</f>
        <v>0</v>
      </c>
      <c r="B4358" s="166"/>
      <c r="C4358" s="168"/>
      <c r="D4358" s="167"/>
      <c r="E4358" s="166"/>
      <c r="F4358" s="165"/>
      <c r="G4358" s="164"/>
    </row>
    <row r="4359" spans="1:7" x14ac:dyDescent="0.25">
      <c r="A4359" s="169" t="str">
        <f>E4359&amp;COUNTIFS($E$2:E4359,E4359)</f>
        <v>0</v>
      </c>
      <c r="B4359" s="166"/>
      <c r="C4359" s="168"/>
      <c r="D4359" s="167"/>
      <c r="E4359" s="166"/>
      <c r="F4359" s="165"/>
      <c r="G4359" s="164"/>
    </row>
    <row r="4360" spans="1:7" x14ac:dyDescent="0.25">
      <c r="A4360" s="169" t="str">
        <f>E4360&amp;COUNTIFS($E$2:E4360,E4360)</f>
        <v>0</v>
      </c>
      <c r="B4360" s="166"/>
      <c r="C4360" s="168"/>
      <c r="D4360" s="167"/>
      <c r="E4360" s="166"/>
      <c r="F4360" s="165"/>
      <c r="G4360" s="164"/>
    </row>
    <row r="4361" spans="1:7" x14ac:dyDescent="0.25">
      <c r="A4361" s="169" t="str">
        <f>E4361&amp;COUNTIFS($E$2:E4361,E4361)</f>
        <v>0</v>
      </c>
      <c r="B4361" s="166"/>
      <c r="C4361" s="168"/>
      <c r="D4361" s="167"/>
      <c r="E4361" s="166"/>
      <c r="F4361" s="165"/>
      <c r="G4361" s="164"/>
    </row>
    <row r="4362" spans="1:7" x14ac:dyDescent="0.25">
      <c r="A4362" s="169" t="str">
        <f>E4362&amp;COUNTIFS($E$2:E4362,E4362)</f>
        <v>0</v>
      </c>
      <c r="B4362" s="166"/>
      <c r="C4362" s="168"/>
      <c r="D4362" s="167"/>
      <c r="E4362" s="166"/>
      <c r="F4362" s="165"/>
      <c r="G4362" s="164"/>
    </row>
    <row r="4363" spans="1:7" x14ac:dyDescent="0.25">
      <c r="A4363" s="169" t="str">
        <f>E4363&amp;COUNTIFS($E$2:E4363,E4363)</f>
        <v>0</v>
      </c>
      <c r="B4363" s="166"/>
      <c r="C4363" s="168"/>
      <c r="D4363" s="167"/>
      <c r="E4363" s="166"/>
      <c r="F4363" s="165"/>
      <c r="G4363" s="164"/>
    </row>
    <row r="4364" spans="1:7" x14ac:dyDescent="0.25">
      <c r="A4364" s="169" t="str">
        <f>E4364&amp;COUNTIFS($E$2:E4364,E4364)</f>
        <v>0</v>
      </c>
      <c r="B4364" s="166"/>
      <c r="C4364" s="168"/>
      <c r="D4364" s="167"/>
      <c r="E4364" s="166"/>
      <c r="F4364" s="165"/>
      <c r="G4364" s="164"/>
    </row>
    <row r="4365" spans="1:7" x14ac:dyDescent="0.25">
      <c r="A4365" s="169" t="str">
        <f>E4365&amp;COUNTIFS($E$2:E4365,E4365)</f>
        <v>0</v>
      </c>
      <c r="B4365" s="166"/>
      <c r="C4365" s="168"/>
      <c r="D4365" s="167"/>
      <c r="E4365" s="166"/>
      <c r="F4365" s="165"/>
      <c r="G4365" s="164"/>
    </row>
    <row r="4366" spans="1:7" x14ac:dyDescent="0.25">
      <c r="A4366" s="169" t="str">
        <f>E4366&amp;COUNTIFS($E$2:E4366,E4366)</f>
        <v>0</v>
      </c>
      <c r="B4366" s="166"/>
      <c r="C4366" s="168"/>
      <c r="D4366" s="167"/>
      <c r="E4366" s="166"/>
      <c r="F4366" s="165"/>
      <c r="G4366" s="164"/>
    </row>
    <row r="4367" spans="1:7" x14ac:dyDescent="0.25">
      <c r="A4367" s="169" t="str">
        <f>E4367&amp;COUNTIFS($E$2:E4367,E4367)</f>
        <v>0</v>
      </c>
      <c r="B4367" s="166"/>
      <c r="C4367" s="168"/>
      <c r="D4367" s="167"/>
      <c r="E4367" s="166"/>
      <c r="F4367" s="165"/>
      <c r="G4367" s="164"/>
    </row>
    <row r="4368" spans="1:7" x14ac:dyDescent="0.25">
      <c r="A4368" s="169" t="str">
        <f>E4368&amp;COUNTIFS($E$2:E4368,E4368)</f>
        <v>0</v>
      </c>
      <c r="B4368" s="166"/>
      <c r="C4368" s="168"/>
      <c r="D4368" s="167"/>
      <c r="E4368" s="166"/>
      <c r="F4368" s="165"/>
      <c r="G4368" s="164"/>
    </row>
    <row r="4369" spans="1:7" x14ac:dyDescent="0.25">
      <c r="A4369" s="169" t="str">
        <f>E4369&amp;COUNTIFS($E$2:E4369,E4369)</f>
        <v>0</v>
      </c>
      <c r="B4369" s="166"/>
      <c r="C4369" s="168"/>
      <c r="D4369" s="167"/>
      <c r="E4369" s="166"/>
      <c r="F4369" s="165"/>
      <c r="G4369" s="164"/>
    </row>
    <row r="4370" spans="1:7" x14ac:dyDescent="0.25">
      <c r="A4370" s="169" t="str">
        <f>E4370&amp;COUNTIFS($E$2:E4370,E4370)</f>
        <v>0</v>
      </c>
      <c r="B4370" s="166"/>
      <c r="C4370" s="168"/>
      <c r="D4370" s="167"/>
      <c r="E4370" s="166"/>
      <c r="F4370" s="165"/>
      <c r="G4370" s="164"/>
    </row>
    <row r="4371" spans="1:7" x14ac:dyDescent="0.25">
      <c r="A4371" s="169" t="str">
        <f>E4371&amp;COUNTIFS($E$2:E4371,E4371)</f>
        <v>0</v>
      </c>
      <c r="B4371" s="166"/>
      <c r="C4371" s="168"/>
      <c r="D4371" s="167"/>
      <c r="E4371" s="166"/>
      <c r="F4371" s="165"/>
      <c r="G4371" s="164"/>
    </row>
    <row r="4372" spans="1:7" x14ac:dyDescent="0.25">
      <c r="A4372" s="169" t="str">
        <f>E4372&amp;COUNTIFS($E$2:E4372,E4372)</f>
        <v>0</v>
      </c>
      <c r="B4372" s="166"/>
      <c r="C4372" s="168"/>
      <c r="D4372" s="167"/>
      <c r="E4372" s="166"/>
      <c r="F4372" s="165"/>
      <c r="G4372" s="164"/>
    </row>
    <row r="4373" spans="1:7" x14ac:dyDescent="0.25">
      <c r="A4373" s="169" t="str">
        <f>E4373&amp;COUNTIFS($E$2:E4373,E4373)</f>
        <v>0</v>
      </c>
      <c r="B4373" s="166"/>
      <c r="C4373" s="168"/>
      <c r="D4373" s="167"/>
      <c r="E4373" s="166"/>
      <c r="F4373" s="165"/>
      <c r="G4373" s="164"/>
    </row>
    <row r="4374" spans="1:7" x14ac:dyDescent="0.25">
      <c r="A4374" s="169" t="str">
        <f>E4374&amp;COUNTIFS($E$2:E4374,E4374)</f>
        <v>0</v>
      </c>
      <c r="B4374" s="166"/>
      <c r="C4374" s="168"/>
      <c r="D4374" s="167"/>
      <c r="E4374" s="166"/>
      <c r="F4374" s="165"/>
      <c r="G4374" s="164"/>
    </row>
    <row r="4375" spans="1:7" x14ac:dyDescent="0.25">
      <c r="A4375" s="169" t="str">
        <f>E4375&amp;COUNTIFS($E$2:E4375,E4375)</f>
        <v>0</v>
      </c>
      <c r="B4375" s="166"/>
      <c r="C4375" s="168"/>
      <c r="D4375" s="167"/>
      <c r="E4375" s="166"/>
      <c r="F4375" s="165"/>
      <c r="G4375" s="164"/>
    </row>
    <row r="4376" spans="1:7" x14ac:dyDescent="0.25">
      <c r="A4376" s="169" t="str">
        <f>E4376&amp;COUNTIFS($E$2:E4376,E4376)</f>
        <v>0</v>
      </c>
      <c r="B4376" s="166"/>
      <c r="C4376" s="168"/>
      <c r="D4376" s="167"/>
      <c r="E4376" s="166"/>
      <c r="F4376" s="165"/>
      <c r="G4376" s="164"/>
    </row>
    <row r="4377" spans="1:7" x14ac:dyDescent="0.25">
      <c r="A4377" s="169" t="str">
        <f>E4377&amp;COUNTIFS($E$2:E4377,E4377)</f>
        <v>0</v>
      </c>
      <c r="B4377" s="166"/>
      <c r="C4377" s="168"/>
      <c r="D4377" s="167"/>
      <c r="E4377" s="166"/>
      <c r="F4377" s="165"/>
      <c r="G4377" s="164"/>
    </row>
    <row r="4378" spans="1:7" ht="15.75" thickBot="1" x14ac:dyDescent="0.3">
      <c r="A4378" s="163" t="str">
        <f>E4378&amp;COUNTIFS($E$2:E4378,E4378)</f>
        <v>0</v>
      </c>
      <c r="B4378" s="166"/>
      <c r="C4378" s="162"/>
      <c r="D4378" s="161"/>
      <c r="E4378" s="160"/>
      <c r="F4378" s="159"/>
      <c r="G4378" s="158"/>
    </row>
    <row r="4379" spans="1:7" x14ac:dyDescent="0.25">
      <c r="A4379" s="148"/>
      <c r="C4379" s="143"/>
      <c r="D4379" s="157"/>
      <c r="E4379" s="143"/>
      <c r="F4379" s="156"/>
      <c r="G4379" s="156"/>
    </row>
    <row r="4380" spans="1:7" x14ac:dyDescent="0.25">
      <c r="A4380" s="148"/>
      <c r="C4380" s="153" t="s">
        <v>623</v>
      </c>
      <c r="D4380" s="152"/>
      <c r="E4380" s="151"/>
      <c r="F4380" s="150">
        <f>SUM(F4354:F4378)</f>
        <v>0</v>
      </c>
      <c r="G4380" s="155">
        <f>SUM(G4354:G4378)</f>
        <v>0</v>
      </c>
    </row>
    <row r="4381" spans="1:7" x14ac:dyDescent="0.25">
      <c r="A4381" s="148"/>
      <c r="C4381" s="145" t="s">
        <v>622</v>
      </c>
      <c r="D4381" s="154"/>
      <c r="E4381" s="145"/>
      <c r="F4381" s="144"/>
      <c r="G4381" s="144"/>
    </row>
    <row r="4382" spans="1:7" x14ac:dyDescent="0.25">
      <c r="A4382" s="148"/>
      <c r="C4382" s="153" t="s">
        <v>621</v>
      </c>
      <c r="D4382" s="152"/>
      <c r="E4382" s="151"/>
      <c r="F4382" s="150">
        <f>F4349</f>
        <v>0</v>
      </c>
      <c r="G4382" s="150">
        <f>G4349</f>
        <v>0</v>
      </c>
    </row>
    <row r="4383" spans="1:7" x14ac:dyDescent="0.25">
      <c r="A4383" s="148"/>
      <c r="C4383" s="153" t="s">
        <v>582</v>
      </c>
      <c r="D4383" s="152"/>
      <c r="E4383" s="151"/>
      <c r="F4383" s="150">
        <f>F4382+F4380</f>
        <v>0</v>
      </c>
      <c r="G4383" s="150">
        <f>G4382+G4380</f>
        <v>0</v>
      </c>
    </row>
    <row r="4384" spans="1:7" ht="15.75" thickBot="1" x14ac:dyDescent="0.3">
      <c r="A4384" s="148"/>
      <c r="C4384" s="145"/>
      <c r="D4384" s="149"/>
      <c r="E4384" s="145"/>
      <c r="F4384" s="144"/>
      <c r="G4384" s="144"/>
    </row>
    <row r="4385" spans="1:7" ht="15.75" thickBot="1" x14ac:dyDescent="0.3">
      <c r="A4385" s="148"/>
      <c r="C4385" s="147" t="s">
        <v>620</v>
      </c>
      <c r="D4385" s="146">
        <f>F4383-G4383</f>
        <v>0</v>
      </c>
      <c r="E4385" s="145"/>
      <c r="F4385" s="144"/>
      <c r="G4385" s="144"/>
    </row>
    <row r="4386" spans="1:7" ht="15.75" thickBot="1" x14ac:dyDescent="0.3">
      <c r="A4386" s="148"/>
      <c r="C4386" s="145"/>
      <c r="D4386" s="144"/>
      <c r="E4386" s="145"/>
      <c r="F4386" s="144"/>
      <c r="G4386" s="144"/>
    </row>
    <row r="4387" spans="1:7" ht="30.75" thickBot="1" x14ac:dyDescent="0.3">
      <c r="A4387" s="232" t="s">
        <v>626</v>
      </c>
      <c r="B4387" s="231" t="s">
        <v>606</v>
      </c>
      <c r="C4387" s="230" t="s">
        <v>630</v>
      </c>
      <c r="D4387" s="229" t="s">
        <v>601</v>
      </c>
      <c r="E4387" s="228" t="s">
        <v>287</v>
      </c>
      <c r="F4387" s="227" t="s">
        <v>624</v>
      </c>
      <c r="G4387" s="227" t="s">
        <v>596</v>
      </c>
    </row>
    <row r="4388" spans="1:7" x14ac:dyDescent="0.25">
      <c r="A4388" s="169" t="str">
        <f>E4388&amp;COUNTIFS($E$2:E4388,E4388)</f>
        <v>0</v>
      </c>
      <c r="B4388" s="172"/>
      <c r="C4388" s="174"/>
      <c r="D4388" s="173"/>
      <c r="E4388" s="172"/>
      <c r="F4388" s="171"/>
      <c r="G4388" s="170"/>
    </row>
    <row r="4389" spans="1:7" x14ac:dyDescent="0.25">
      <c r="A4389" s="169" t="str">
        <f>E4389&amp;COUNTIFS($E$2:E4389,E4389)</f>
        <v>0</v>
      </c>
      <c r="B4389" s="166"/>
      <c r="C4389" s="168"/>
      <c r="D4389" s="167"/>
      <c r="E4389" s="166"/>
      <c r="F4389" s="165"/>
      <c r="G4389" s="164"/>
    </row>
    <row r="4390" spans="1:7" x14ac:dyDescent="0.25">
      <c r="A4390" s="169" t="str">
        <f>E4390&amp;COUNTIFS($E$2:E4390,E4390)</f>
        <v>0</v>
      </c>
      <c r="B4390" s="166"/>
      <c r="C4390" s="168"/>
      <c r="D4390" s="167"/>
      <c r="E4390" s="166"/>
      <c r="F4390" s="165"/>
      <c r="G4390" s="164"/>
    </row>
    <row r="4391" spans="1:7" x14ac:dyDescent="0.25">
      <c r="A4391" s="169" t="str">
        <f>E4391&amp;COUNTIFS($E$2:E4391,E4391)</f>
        <v>0</v>
      </c>
      <c r="B4391" s="166"/>
      <c r="C4391" s="168"/>
      <c r="D4391" s="167"/>
      <c r="E4391" s="166"/>
      <c r="F4391" s="165"/>
      <c r="G4391" s="164"/>
    </row>
    <row r="4392" spans="1:7" x14ac:dyDescent="0.25">
      <c r="A4392" s="169" t="str">
        <f>E4392&amp;COUNTIFS($E$2:E4392,E4392)</f>
        <v>0</v>
      </c>
      <c r="B4392" s="166"/>
      <c r="C4392" s="168"/>
      <c r="D4392" s="167"/>
      <c r="E4392" s="166"/>
      <c r="F4392" s="165"/>
      <c r="G4392" s="164"/>
    </row>
    <row r="4393" spans="1:7" x14ac:dyDescent="0.25">
      <c r="A4393" s="169" t="str">
        <f>E4393&amp;COUNTIFS($E$2:E4393,E4393)</f>
        <v>0</v>
      </c>
      <c r="B4393" s="166"/>
      <c r="C4393" s="168"/>
      <c r="D4393" s="167"/>
      <c r="E4393" s="166"/>
      <c r="F4393" s="165"/>
      <c r="G4393" s="164"/>
    </row>
    <row r="4394" spans="1:7" x14ac:dyDescent="0.25">
      <c r="A4394" s="169" t="str">
        <f>E4394&amp;COUNTIFS($E$2:E4394,E4394)</f>
        <v>0</v>
      </c>
      <c r="B4394" s="166"/>
      <c r="C4394" s="168"/>
      <c r="D4394" s="167"/>
      <c r="E4394" s="166"/>
      <c r="F4394" s="165"/>
      <c r="G4394" s="164"/>
    </row>
    <row r="4395" spans="1:7" x14ac:dyDescent="0.25">
      <c r="A4395" s="169" t="str">
        <f>E4395&amp;COUNTIFS($E$2:E4395,E4395)</f>
        <v>0</v>
      </c>
      <c r="B4395" s="166"/>
      <c r="C4395" s="168"/>
      <c r="D4395" s="167"/>
      <c r="E4395" s="166"/>
      <c r="F4395" s="165"/>
      <c r="G4395" s="164"/>
    </row>
    <row r="4396" spans="1:7" x14ac:dyDescent="0.25">
      <c r="A4396" s="169" t="str">
        <f>E4396&amp;COUNTIFS($E$2:E4396,E4396)</f>
        <v>0</v>
      </c>
      <c r="B4396" s="166"/>
      <c r="C4396" s="168"/>
      <c r="D4396" s="167"/>
      <c r="E4396" s="166"/>
      <c r="F4396" s="165"/>
      <c r="G4396" s="164"/>
    </row>
    <row r="4397" spans="1:7" x14ac:dyDescent="0.25">
      <c r="A4397" s="169" t="str">
        <f>E4397&amp;COUNTIFS($E$2:E4397,E4397)</f>
        <v>0</v>
      </c>
      <c r="B4397" s="166"/>
      <c r="C4397" s="168"/>
      <c r="D4397" s="167"/>
      <c r="E4397" s="166"/>
      <c r="F4397" s="165"/>
      <c r="G4397" s="164"/>
    </row>
    <row r="4398" spans="1:7" x14ac:dyDescent="0.25">
      <c r="A4398" s="169" t="str">
        <f>E4398&amp;COUNTIFS($E$2:E4398,E4398)</f>
        <v>0</v>
      </c>
      <c r="B4398" s="166"/>
      <c r="C4398" s="168"/>
      <c r="D4398" s="167"/>
      <c r="E4398" s="166"/>
      <c r="F4398" s="165"/>
      <c r="G4398" s="164"/>
    </row>
    <row r="4399" spans="1:7" x14ac:dyDescent="0.25">
      <c r="A4399" s="169" t="str">
        <f>E4399&amp;COUNTIFS($E$2:E4399,E4399)</f>
        <v>0</v>
      </c>
      <c r="B4399" s="166"/>
      <c r="C4399" s="168"/>
      <c r="D4399" s="167"/>
      <c r="E4399" s="166"/>
      <c r="F4399" s="165"/>
      <c r="G4399" s="164"/>
    </row>
    <row r="4400" spans="1:7" x14ac:dyDescent="0.25">
      <c r="A4400" s="169" t="str">
        <f>E4400&amp;COUNTIFS($E$2:E4400,E4400)</f>
        <v>0</v>
      </c>
      <c r="B4400" s="166"/>
      <c r="C4400" s="168"/>
      <c r="D4400" s="167"/>
      <c r="E4400" s="166"/>
      <c r="F4400" s="165"/>
      <c r="G4400" s="164"/>
    </row>
    <row r="4401" spans="1:7" x14ac:dyDescent="0.25">
      <c r="A4401" s="169" t="str">
        <f>E4401&amp;COUNTIFS($E$2:E4401,E4401)</f>
        <v>0</v>
      </c>
      <c r="B4401" s="166"/>
      <c r="C4401" s="168"/>
      <c r="D4401" s="167"/>
      <c r="E4401" s="166"/>
      <c r="F4401" s="165"/>
      <c r="G4401" s="164"/>
    </row>
    <row r="4402" spans="1:7" x14ac:dyDescent="0.25">
      <c r="A4402" s="169" t="str">
        <f>E4402&amp;COUNTIFS($E$2:E4402,E4402)</f>
        <v>0</v>
      </c>
      <c r="B4402" s="166"/>
      <c r="C4402" s="168"/>
      <c r="D4402" s="167"/>
      <c r="E4402" s="166"/>
      <c r="F4402" s="165"/>
      <c r="G4402" s="164"/>
    </row>
    <row r="4403" spans="1:7" x14ac:dyDescent="0.25">
      <c r="A4403" s="169" t="str">
        <f>E4403&amp;COUNTIFS($E$2:E4403,E4403)</f>
        <v>0</v>
      </c>
      <c r="B4403" s="166"/>
      <c r="C4403" s="168"/>
      <c r="D4403" s="167"/>
      <c r="E4403" s="166"/>
      <c r="F4403" s="165"/>
      <c r="G4403" s="164"/>
    </row>
    <row r="4404" spans="1:7" x14ac:dyDescent="0.25">
      <c r="A4404" s="169" t="str">
        <f>E4404&amp;COUNTIFS($E$2:E4404,E4404)</f>
        <v>0</v>
      </c>
      <c r="B4404" s="166"/>
      <c r="C4404" s="168"/>
      <c r="D4404" s="167"/>
      <c r="E4404" s="166"/>
      <c r="F4404" s="165"/>
      <c r="G4404" s="164"/>
    </row>
    <row r="4405" spans="1:7" x14ac:dyDescent="0.25">
      <c r="A4405" s="169" t="str">
        <f>E4405&amp;COUNTIFS($E$2:E4405,E4405)</f>
        <v>0</v>
      </c>
      <c r="B4405" s="166"/>
      <c r="C4405" s="168"/>
      <c r="D4405" s="167"/>
      <c r="E4405" s="166"/>
      <c r="F4405" s="165"/>
      <c r="G4405" s="164"/>
    </row>
    <row r="4406" spans="1:7" x14ac:dyDescent="0.25">
      <c r="A4406" s="169" t="str">
        <f>E4406&amp;COUNTIFS($E$2:E4406,E4406)</f>
        <v>0</v>
      </c>
      <c r="B4406" s="166"/>
      <c r="C4406" s="168"/>
      <c r="D4406" s="167"/>
      <c r="E4406" s="166"/>
      <c r="F4406" s="165"/>
      <c r="G4406" s="164"/>
    </row>
    <row r="4407" spans="1:7" x14ac:dyDescent="0.25">
      <c r="A4407" s="169" t="str">
        <f>E4407&amp;COUNTIFS($E$2:E4407,E4407)</f>
        <v>0</v>
      </c>
      <c r="B4407" s="166"/>
      <c r="C4407" s="168"/>
      <c r="D4407" s="167"/>
      <c r="E4407" s="166"/>
      <c r="F4407" s="165"/>
      <c r="G4407" s="164"/>
    </row>
    <row r="4408" spans="1:7" x14ac:dyDescent="0.25">
      <c r="A4408" s="169" t="str">
        <f>E4408&amp;COUNTIFS($E$2:E4408,E4408)</f>
        <v>0</v>
      </c>
      <c r="B4408" s="166"/>
      <c r="C4408" s="168"/>
      <c r="D4408" s="167"/>
      <c r="E4408" s="166"/>
      <c r="F4408" s="165"/>
      <c r="G4408" s="164"/>
    </row>
    <row r="4409" spans="1:7" x14ac:dyDescent="0.25">
      <c r="A4409" s="169" t="str">
        <f>E4409&amp;COUNTIFS($E$2:E4409,E4409)</f>
        <v>0</v>
      </c>
      <c r="B4409" s="166"/>
      <c r="C4409" s="168"/>
      <c r="D4409" s="167"/>
      <c r="E4409" s="166"/>
      <c r="F4409" s="165"/>
      <c r="G4409" s="164"/>
    </row>
    <row r="4410" spans="1:7" x14ac:dyDescent="0.25">
      <c r="A4410" s="169" t="str">
        <f>E4410&amp;COUNTIFS($E$2:E4410,E4410)</f>
        <v>0</v>
      </c>
      <c r="B4410" s="166"/>
      <c r="C4410" s="168"/>
      <c r="D4410" s="167"/>
      <c r="E4410" s="166"/>
      <c r="F4410" s="165"/>
      <c r="G4410" s="164"/>
    </row>
    <row r="4411" spans="1:7" x14ac:dyDescent="0.25">
      <c r="A4411" s="169" t="str">
        <f>E4411&amp;COUNTIFS($E$2:E4411,E4411)</f>
        <v>0</v>
      </c>
      <c r="B4411" s="166"/>
      <c r="C4411" s="168"/>
      <c r="D4411" s="167"/>
      <c r="E4411" s="166"/>
      <c r="F4411" s="165"/>
      <c r="G4411" s="164"/>
    </row>
    <row r="4412" spans="1:7" ht="15.75" thickBot="1" x14ac:dyDescent="0.3">
      <c r="A4412" s="163" t="str">
        <f>E4412&amp;COUNTIFS($E$2:E4412,E4412)</f>
        <v>0</v>
      </c>
      <c r="B4412" s="166"/>
      <c r="C4412" s="162"/>
      <c r="D4412" s="161"/>
      <c r="E4412" s="160"/>
      <c r="F4412" s="159"/>
      <c r="G4412" s="158"/>
    </row>
    <row r="4413" spans="1:7" x14ac:dyDescent="0.25">
      <c r="A4413" s="148"/>
      <c r="C4413" s="143"/>
      <c r="D4413" s="157"/>
      <c r="E4413" s="143"/>
      <c r="F4413" s="156"/>
      <c r="G4413" s="156"/>
    </row>
    <row r="4414" spans="1:7" x14ac:dyDescent="0.25">
      <c r="A4414" s="148"/>
      <c r="C4414" s="153" t="s">
        <v>623</v>
      </c>
      <c r="D4414" s="152"/>
      <c r="E4414" s="151"/>
      <c r="F4414" s="150">
        <f>SUM(F4388:F4412)</f>
        <v>0</v>
      </c>
      <c r="G4414" s="155">
        <f>SUM(G4388:G4412)</f>
        <v>0</v>
      </c>
    </row>
    <row r="4415" spans="1:7" x14ac:dyDescent="0.25">
      <c r="A4415" s="148"/>
      <c r="C4415" s="145" t="s">
        <v>622</v>
      </c>
      <c r="D4415" s="154"/>
      <c r="E4415" s="145"/>
      <c r="F4415" s="144"/>
      <c r="G4415" s="144"/>
    </row>
    <row r="4416" spans="1:7" x14ac:dyDescent="0.25">
      <c r="A4416" s="148"/>
      <c r="C4416" s="153" t="s">
        <v>621</v>
      </c>
      <c r="D4416" s="152"/>
      <c r="E4416" s="151"/>
      <c r="F4416" s="150">
        <f>F4383</f>
        <v>0</v>
      </c>
      <c r="G4416" s="150">
        <f>G4383</f>
        <v>0</v>
      </c>
    </row>
    <row r="4417" spans="1:9" x14ac:dyDescent="0.25">
      <c r="A4417" s="148"/>
      <c r="C4417" s="153" t="s">
        <v>582</v>
      </c>
      <c r="D4417" s="152"/>
      <c r="E4417" s="151"/>
      <c r="F4417" s="150">
        <f>F4416+F4414</f>
        <v>0</v>
      </c>
      <c r="G4417" s="150">
        <f>G4416+G4414</f>
        <v>0</v>
      </c>
      <c r="I4417" s="182">
        <f>F4417-'[1]PENDAPATAN PERBULAN'!Q183</f>
        <v>-514639652</v>
      </c>
    </row>
    <row r="4418" spans="1:9" ht="15.75" thickBot="1" x14ac:dyDescent="0.3">
      <c r="A4418" s="148"/>
      <c r="C4418" s="145"/>
      <c r="D4418" s="149"/>
      <c r="E4418" s="145"/>
      <c r="F4418" s="144"/>
      <c r="G4418" s="144"/>
    </row>
    <row r="4419" spans="1:9" ht="15.75" thickBot="1" x14ac:dyDescent="0.3">
      <c r="A4419" s="148"/>
      <c r="C4419" s="147" t="s">
        <v>620</v>
      </c>
      <c r="D4419" s="146">
        <f>F4417-G4417</f>
        <v>0</v>
      </c>
      <c r="E4419" s="145"/>
      <c r="F4419" s="144"/>
      <c r="G4419" s="144"/>
    </row>
    <row r="4420" spans="1:9" ht="15.75" thickBot="1" x14ac:dyDescent="0.3">
      <c r="A4420" s="148"/>
      <c r="C4420" s="145"/>
      <c r="D4420" s="144"/>
      <c r="E4420" s="145"/>
      <c r="F4420" s="144"/>
      <c r="G4420" s="144"/>
    </row>
    <row r="4421" spans="1:9" ht="30.75" thickBot="1" x14ac:dyDescent="0.3">
      <c r="A4421" s="232" t="s">
        <v>626</v>
      </c>
      <c r="B4421" s="231" t="s">
        <v>606</v>
      </c>
      <c r="C4421" s="230" t="s">
        <v>630</v>
      </c>
      <c r="D4421" s="229" t="s">
        <v>601</v>
      </c>
      <c r="E4421" s="228" t="s">
        <v>287</v>
      </c>
      <c r="F4421" s="227" t="s">
        <v>624</v>
      </c>
      <c r="G4421" s="227" t="s">
        <v>596</v>
      </c>
    </row>
    <row r="4422" spans="1:9" x14ac:dyDescent="0.25">
      <c r="A4422" s="169" t="str">
        <f>E4422&amp;COUNTIFS($E$2:E4422,E4422)</f>
        <v>0</v>
      </c>
      <c r="B4422" s="172"/>
      <c r="C4422" s="174"/>
      <c r="D4422" s="173"/>
      <c r="E4422" s="172"/>
      <c r="F4422" s="171"/>
      <c r="G4422" s="170"/>
    </row>
    <row r="4423" spans="1:9" x14ac:dyDescent="0.25">
      <c r="A4423" s="169" t="str">
        <f>E4423&amp;COUNTIFS($E$2:E4423,E4423)</f>
        <v>0</v>
      </c>
      <c r="B4423" s="166"/>
      <c r="C4423" s="168"/>
      <c r="D4423" s="167"/>
      <c r="E4423" s="166"/>
      <c r="F4423" s="165"/>
      <c r="G4423" s="164"/>
    </row>
    <row r="4424" spans="1:9" x14ac:dyDescent="0.25">
      <c r="A4424" s="169" t="str">
        <f>E4424&amp;COUNTIFS($E$2:E4424,E4424)</f>
        <v>0</v>
      </c>
      <c r="B4424" s="166"/>
      <c r="C4424" s="168"/>
      <c r="D4424" s="167"/>
      <c r="E4424" s="166"/>
      <c r="F4424" s="165"/>
      <c r="G4424" s="164"/>
    </row>
    <row r="4425" spans="1:9" x14ac:dyDescent="0.25">
      <c r="A4425" s="169" t="str">
        <f>E4425&amp;COUNTIFS($E$2:E4425,E4425)</f>
        <v>0</v>
      </c>
      <c r="B4425" s="166"/>
      <c r="C4425" s="168"/>
      <c r="D4425" s="167"/>
      <c r="E4425" s="166"/>
      <c r="F4425" s="165"/>
      <c r="G4425" s="164"/>
    </row>
    <row r="4426" spans="1:9" x14ac:dyDescent="0.25">
      <c r="A4426" s="169" t="str">
        <f>E4426&amp;COUNTIFS($E$2:E4426,E4426)</f>
        <v>0</v>
      </c>
      <c r="B4426" s="166"/>
      <c r="C4426" s="168"/>
      <c r="D4426" s="167"/>
      <c r="E4426" s="166"/>
      <c r="F4426" s="165"/>
      <c r="G4426" s="164"/>
    </row>
    <row r="4427" spans="1:9" x14ac:dyDescent="0.25">
      <c r="A4427" s="169" t="str">
        <f>E4427&amp;COUNTIFS($E$2:E4427,E4427)</f>
        <v>0</v>
      </c>
      <c r="B4427" s="166"/>
      <c r="C4427" s="168"/>
      <c r="D4427" s="167"/>
      <c r="E4427" s="166"/>
      <c r="F4427" s="165"/>
      <c r="G4427" s="164"/>
    </row>
    <row r="4428" spans="1:9" x14ac:dyDescent="0.25">
      <c r="A4428" s="169" t="str">
        <f>E4428&amp;COUNTIFS($E$2:E4428,E4428)</f>
        <v>0</v>
      </c>
      <c r="B4428" s="166"/>
      <c r="C4428" s="168"/>
      <c r="D4428" s="167"/>
      <c r="E4428" s="166"/>
      <c r="F4428" s="165"/>
      <c r="G4428" s="164"/>
    </row>
    <row r="4429" spans="1:9" x14ac:dyDescent="0.25">
      <c r="A4429" s="169" t="str">
        <f>E4429&amp;COUNTIFS($E$2:E4429,E4429)</f>
        <v>0</v>
      </c>
      <c r="B4429" s="166"/>
      <c r="C4429" s="168"/>
      <c r="D4429" s="167"/>
      <c r="E4429" s="166"/>
      <c r="F4429" s="165"/>
      <c r="G4429" s="164"/>
    </row>
    <row r="4430" spans="1:9" x14ac:dyDescent="0.25">
      <c r="A4430" s="169" t="str">
        <f>E4430&amp;COUNTIFS($E$2:E4430,E4430)</f>
        <v>0</v>
      </c>
      <c r="B4430" s="166"/>
      <c r="C4430" s="168"/>
      <c r="D4430" s="167"/>
      <c r="E4430" s="166"/>
      <c r="F4430" s="165"/>
      <c r="G4430" s="164"/>
    </row>
    <row r="4431" spans="1:9" x14ac:dyDescent="0.25">
      <c r="A4431" s="169" t="str">
        <f>E4431&amp;COUNTIFS($E$2:E4431,E4431)</f>
        <v>0</v>
      </c>
      <c r="B4431" s="166"/>
      <c r="C4431" s="168"/>
      <c r="D4431" s="167"/>
      <c r="E4431" s="166"/>
      <c r="F4431" s="165"/>
      <c r="G4431" s="164"/>
    </row>
    <row r="4432" spans="1:9" x14ac:dyDescent="0.25">
      <c r="A4432" s="169" t="str">
        <f>E4432&amp;COUNTIFS($E$2:E4432,E4432)</f>
        <v>0</v>
      </c>
      <c r="B4432" s="166"/>
      <c r="C4432" s="168"/>
      <c r="D4432" s="167"/>
      <c r="E4432" s="166"/>
      <c r="F4432" s="165"/>
      <c r="G4432" s="164"/>
    </row>
    <row r="4433" spans="1:7" x14ac:dyDescent="0.25">
      <c r="A4433" s="169" t="str">
        <f>E4433&amp;COUNTIFS($E$2:E4433,E4433)</f>
        <v>0</v>
      </c>
      <c r="B4433" s="166"/>
      <c r="C4433" s="168"/>
      <c r="D4433" s="167"/>
      <c r="E4433" s="166"/>
      <c r="F4433" s="165"/>
      <c r="G4433" s="164"/>
    </row>
    <row r="4434" spans="1:7" x14ac:dyDescent="0.25">
      <c r="A4434" s="169" t="str">
        <f>E4434&amp;COUNTIFS($E$2:E4434,E4434)</f>
        <v>0</v>
      </c>
      <c r="B4434" s="166"/>
      <c r="C4434" s="168"/>
      <c r="D4434" s="167"/>
      <c r="E4434" s="166"/>
      <c r="F4434" s="165"/>
      <c r="G4434" s="164"/>
    </row>
    <row r="4435" spans="1:7" x14ac:dyDescent="0.25">
      <c r="A4435" s="169" t="str">
        <f>E4435&amp;COUNTIFS($E$2:E4435,E4435)</f>
        <v>0</v>
      </c>
      <c r="B4435" s="166"/>
      <c r="C4435" s="168"/>
      <c r="D4435" s="167"/>
      <c r="E4435" s="166"/>
      <c r="F4435" s="165"/>
      <c r="G4435" s="164"/>
    </row>
    <row r="4436" spans="1:7" x14ac:dyDescent="0.25">
      <c r="A4436" s="169" t="str">
        <f>E4436&amp;COUNTIFS($E$2:E4436,E4436)</f>
        <v>0</v>
      </c>
      <c r="B4436" s="166"/>
      <c r="C4436" s="168"/>
      <c r="D4436" s="167"/>
      <c r="E4436" s="166"/>
      <c r="F4436" s="165"/>
      <c r="G4436" s="164"/>
    </row>
    <row r="4437" spans="1:7" x14ac:dyDescent="0.25">
      <c r="A4437" s="169" t="str">
        <f>E4437&amp;COUNTIFS($E$2:E4437,E4437)</f>
        <v>0</v>
      </c>
      <c r="B4437" s="166"/>
      <c r="C4437" s="168"/>
      <c r="D4437" s="167"/>
      <c r="E4437" s="166"/>
      <c r="F4437" s="165"/>
      <c r="G4437" s="164"/>
    </row>
    <row r="4438" spans="1:7" x14ac:dyDescent="0.25">
      <c r="A4438" s="169" t="str">
        <f>E4438&amp;COUNTIFS($E$2:E4438,E4438)</f>
        <v>0</v>
      </c>
      <c r="B4438" s="166"/>
      <c r="C4438" s="168"/>
      <c r="D4438" s="167"/>
      <c r="E4438" s="166"/>
      <c r="F4438" s="165"/>
      <c r="G4438" s="164"/>
    </row>
    <row r="4439" spans="1:7" x14ac:dyDescent="0.25">
      <c r="A4439" s="169" t="str">
        <f>E4439&amp;COUNTIFS($E$2:E4439,E4439)</f>
        <v>0</v>
      </c>
      <c r="B4439" s="166"/>
      <c r="C4439" s="168"/>
      <c r="D4439" s="167"/>
      <c r="E4439" s="166"/>
      <c r="F4439" s="165"/>
      <c r="G4439" s="164"/>
    </row>
    <row r="4440" spans="1:7" x14ac:dyDescent="0.25">
      <c r="A4440" s="169" t="str">
        <f>E4440&amp;COUNTIFS($E$2:E4440,E4440)</f>
        <v>0</v>
      </c>
      <c r="B4440" s="166"/>
      <c r="C4440" s="168"/>
      <c r="D4440" s="167"/>
      <c r="E4440" s="166"/>
      <c r="F4440" s="165"/>
      <c r="G4440" s="164"/>
    </row>
    <row r="4441" spans="1:7" x14ac:dyDescent="0.25">
      <c r="A4441" s="169" t="str">
        <f>E4441&amp;COUNTIFS($E$2:E4441,E4441)</f>
        <v>0</v>
      </c>
      <c r="B4441" s="166"/>
      <c r="C4441" s="168"/>
      <c r="D4441" s="167"/>
      <c r="E4441" s="166"/>
      <c r="F4441" s="165"/>
      <c r="G4441" s="164"/>
    </row>
    <row r="4442" spans="1:7" x14ac:dyDescent="0.25">
      <c r="A4442" s="169" t="str">
        <f>E4442&amp;COUNTIFS($E$2:E4442,E4442)</f>
        <v>0</v>
      </c>
      <c r="B4442" s="166"/>
      <c r="C4442" s="168"/>
      <c r="D4442" s="167"/>
      <c r="E4442" s="166"/>
      <c r="F4442" s="165"/>
      <c r="G4442" s="164"/>
    </row>
    <row r="4443" spans="1:7" x14ac:dyDescent="0.25">
      <c r="A4443" s="169" t="str">
        <f>E4443&amp;COUNTIFS($E$2:E4443,E4443)</f>
        <v>0</v>
      </c>
      <c r="B4443" s="166"/>
      <c r="C4443" s="168"/>
      <c r="D4443" s="167"/>
      <c r="E4443" s="166"/>
      <c r="F4443" s="165"/>
      <c r="G4443" s="164"/>
    </row>
    <row r="4444" spans="1:7" x14ac:dyDescent="0.25">
      <c r="A4444" s="169" t="str">
        <f>E4444&amp;COUNTIFS($E$2:E4444,E4444)</f>
        <v>0</v>
      </c>
      <c r="B4444" s="166"/>
      <c r="C4444" s="168"/>
      <c r="D4444" s="167"/>
      <c r="E4444" s="166"/>
      <c r="F4444" s="165"/>
      <c r="G4444" s="164"/>
    </row>
    <row r="4445" spans="1:7" x14ac:dyDescent="0.25">
      <c r="A4445" s="169" t="str">
        <f>E4445&amp;COUNTIFS($E$2:E4445,E4445)</f>
        <v>0</v>
      </c>
      <c r="B4445" s="166"/>
      <c r="C4445" s="168"/>
      <c r="D4445" s="167"/>
      <c r="E4445" s="166"/>
      <c r="F4445" s="165"/>
      <c r="G4445" s="164"/>
    </row>
    <row r="4446" spans="1:7" ht="15.75" thickBot="1" x14ac:dyDescent="0.3">
      <c r="A4446" s="163" t="str">
        <f>E4446&amp;COUNTIFS($E$2:E4446,E4446)</f>
        <v>0</v>
      </c>
      <c r="B4446" s="166"/>
      <c r="C4446" s="162"/>
      <c r="D4446" s="161"/>
      <c r="E4446" s="160"/>
      <c r="F4446" s="159"/>
      <c r="G4446" s="158"/>
    </row>
    <row r="4447" spans="1:7" x14ac:dyDescent="0.25">
      <c r="A4447" s="148"/>
      <c r="C4447" s="143"/>
      <c r="D4447" s="157"/>
      <c r="E4447" s="143"/>
      <c r="F4447" s="156"/>
      <c r="G4447" s="156"/>
    </row>
    <row r="4448" spans="1:7" x14ac:dyDescent="0.25">
      <c r="A4448" s="148"/>
      <c r="C4448" s="153" t="s">
        <v>623</v>
      </c>
      <c r="D4448" s="152"/>
      <c r="E4448" s="151"/>
      <c r="F4448" s="150">
        <f>SUM(F4422:F4446)</f>
        <v>0</v>
      </c>
      <c r="G4448" s="155">
        <f>SUM(G4422:G4446)</f>
        <v>0</v>
      </c>
    </row>
    <row r="4449" spans="1:7" x14ac:dyDescent="0.25">
      <c r="A4449" s="148"/>
      <c r="C4449" s="145" t="s">
        <v>622</v>
      </c>
      <c r="D4449" s="154"/>
      <c r="E4449" s="145"/>
      <c r="F4449" s="144"/>
      <c r="G4449" s="144"/>
    </row>
    <row r="4450" spans="1:7" x14ac:dyDescent="0.25">
      <c r="A4450" s="148"/>
      <c r="C4450" s="153" t="s">
        <v>621</v>
      </c>
      <c r="D4450" s="152"/>
      <c r="E4450" s="151"/>
      <c r="F4450" s="150">
        <f>F4417</f>
        <v>0</v>
      </c>
      <c r="G4450" s="150">
        <f>G4417</f>
        <v>0</v>
      </c>
    </row>
    <row r="4451" spans="1:7" x14ac:dyDescent="0.25">
      <c r="A4451" s="148"/>
      <c r="C4451" s="153" t="s">
        <v>582</v>
      </c>
      <c r="D4451" s="152"/>
      <c r="E4451" s="151"/>
      <c r="F4451" s="150">
        <f>F4450+F4448</f>
        <v>0</v>
      </c>
      <c r="G4451" s="150">
        <f>G4450+G4448</f>
        <v>0</v>
      </c>
    </row>
    <row r="4452" spans="1:7" ht="15.75" thickBot="1" x14ac:dyDescent="0.3">
      <c r="A4452" s="148"/>
      <c r="C4452" s="145"/>
      <c r="D4452" s="149"/>
      <c r="E4452" s="145"/>
      <c r="F4452" s="144"/>
      <c r="G4452" s="144"/>
    </row>
    <row r="4453" spans="1:7" ht="15.75" thickBot="1" x14ac:dyDescent="0.3">
      <c r="A4453" s="148"/>
      <c r="C4453" s="147" t="s">
        <v>620</v>
      </c>
      <c r="D4453" s="146">
        <f>F4451-G4451</f>
        <v>0</v>
      </c>
      <c r="E4453" s="145"/>
      <c r="F4453" s="144"/>
      <c r="G4453" s="144"/>
    </row>
    <row r="4454" spans="1:7" ht="15.75" thickBot="1" x14ac:dyDescent="0.3">
      <c r="A4454" s="148"/>
      <c r="C4454" s="145"/>
      <c r="D4454" s="144"/>
      <c r="E4454" s="145"/>
      <c r="F4454" s="144"/>
      <c r="G4454" s="144"/>
    </row>
    <row r="4455" spans="1:7" ht="30.75" thickBot="1" x14ac:dyDescent="0.3">
      <c r="A4455" s="209" t="s">
        <v>626</v>
      </c>
      <c r="B4455" s="208" t="s">
        <v>606</v>
      </c>
      <c r="C4455" s="207" t="s">
        <v>629</v>
      </c>
      <c r="D4455" s="206" t="s">
        <v>601</v>
      </c>
      <c r="E4455" s="205" t="s">
        <v>287</v>
      </c>
      <c r="F4455" s="204" t="s">
        <v>624</v>
      </c>
      <c r="G4455" s="204" t="s">
        <v>596</v>
      </c>
    </row>
    <row r="4456" spans="1:7" x14ac:dyDescent="0.25">
      <c r="A4456" s="169" t="str">
        <f>E4456&amp;COUNTIFS($E$2:E4456,E4456)</f>
        <v>0</v>
      </c>
      <c r="B4456" s="172"/>
      <c r="C4456" s="174"/>
      <c r="D4456" s="173"/>
      <c r="E4456" s="172"/>
      <c r="F4456" s="171"/>
      <c r="G4456" s="170"/>
    </row>
    <row r="4457" spans="1:7" x14ac:dyDescent="0.25">
      <c r="A4457" s="169" t="str">
        <f>E4457&amp;COUNTIFS($E$2:E4457,E4457)</f>
        <v>0</v>
      </c>
      <c r="B4457" s="166"/>
      <c r="C4457" s="168"/>
      <c r="D4457" s="167"/>
      <c r="E4457" s="166"/>
      <c r="F4457" s="165"/>
      <c r="G4457" s="164"/>
    </row>
    <row r="4458" spans="1:7" x14ac:dyDescent="0.25">
      <c r="A4458" s="169" t="str">
        <f>E4458&amp;COUNTIFS($E$2:E4458,E4458)</f>
        <v>0</v>
      </c>
      <c r="B4458" s="166"/>
      <c r="C4458" s="168"/>
      <c r="D4458" s="167"/>
      <c r="E4458" s="166"/>
      <c r="F4458" s="165"/>
      <c r="G4458" s="164"/>
    </row>
    <row r="4459" spans="1:7" x14ac:dyDescent="0.25">
      <c r="A4459" s="169" t="str">
        <f>E4459&amp;COUNTIFS($E$2:E4459,E4459)</f>
        <v>0</v>
      </c>
      <c r="B4459" s="166"/>
      <c r="C4459" s="168"/>
      <c r="D4459" s="167"/>
      <c r="E4459" s="166"/>
      <c r="F4459" s="165"/>
      <c r="G4459" s="164"/>
    </row>
    <row r="4460" spans="1:7" x14ac:dyDescent="0.25">
      <c r="A4460" s="169" t="str">
        <f>E4460&amp;COUNTIFS($E$2:E4460,E4460)</f>
        <v>0</v>
      </c>
      <c r="B4460" s="166"/>
      <c r="C4460" s="168"/>
      <c r="D4460" s="167"/>
      <c r="E4460" s="166"/>
      <c r="F4460" s="165"/>
      <c r="G4460" s="164"/>
    </row>
    <row r="4461" spans="1:7" x14ac:dyDescent="0.25">
      <c r="A4461" s="169" t="str">
        <f>E4461&amp;COUNTIFS($E$2:E4461,E4461)</f>
        <v>0</v>
      </c>
      <c r="B4461" s="166"/>
      <c r="C4461" s="168"/>
      <c r="D4461" s="167"/>
      <c r="E4461" s="166"/>
      <c r="F4461" s="165"/>
      <c r="G4461" s="164"/>
    </row>
    <row r="4462" spans="1:7" x14ac:dyDescent="0.25">
      <c r="A4462" s="169" t="str">
        <f>E4462&amp;COUNTIFS($E$2:E4462,E4462)</f>
        <v>0</v>
      </c>
      <c r="B4462" s="166"/>
      <c r="C4462" s="168"/>
      <c r="D4462" s="167"/>
      <c r="E4462" s="166"/>
      <c r="F4462" s="165"/>
      <c r="G4462" s="164"/>
    </row>
    <row r="4463" spans="1:7" x14ac:dyDescent="0.25">
      <c r="A4463" s="169" t="str">
        <f>E4463&amp;COUNTIFS($E$2:E4463,E4463)</f>
        <v>0</v>
      </c>
      <c r="B4463" s="166"/>
      <c r="C4463" s="168"/>
      <c r="D4463" s="167"/>
      <c r="E4463" s="166"/>
      <c r="F4463" s="165"/>
      <c r="G4463" s="164"/>
    </row>
    <row r="4464" spans="1:7" x14ac:dyDescent="0.25">
      <c r="A4464" s="169" t="str">
        <f>E4464&amp;COUNTIFS($E$2:E4464,E4464)</f>
        <v>0</v>
      </c>
      <c r="B4464" s="166"/>
      <c r="C4464" s="168"/>
      <c r="D4464" s="167"/>
      <c r="E4464" s="166"/>
      <c r="F4464" s="165"/>
      <c r="G4464" s="164"/>
    </row>
    <row r="4465" spans="1:7" x14ac:dyDescent="0.25">
      <c r="A4465" s="169" t="str">
        <f>E4465&amp;COUNTIFS($E$2:E4465,E4465)</f>
        <v>0</v>
      </c>
      <c r="B4465" s="166"/>
      <c r="C4465" s="168"/>
      <c r="D4465" s="167"/>
      <c r="E4465" s="166"/>
      <c r="F4465" s="165"/>
      <c r="G4465" s="164"/>
    </row>
    <row r="4466" spans="1:7" x14ac:dyDescent="0.25">
      <c r="A4466" s="169" t="str">
        <f>E4466&amp;COUNTIFS($E$2:E4466,E4466)</f>
        <v>0</v>
      </c>
      <c r="B4466" s="166"/>
      <c r="C4466" s="168"/>
      <c r="D4466" s="167"/>
      <c r="E4466" s="166"/>
      <c r="F4466" s="165"/>
      <c r="G4466" s="164"/>
    </row>
    <row r="4467" spans="1:7" x14ac:dyDescent="0.25">
      <c r="A4467" s="169" t="str">
        <f>E4467&amp;COUNTIFS($E$2:E4467,E4467)</f>
        <v>0</v>
      </c>
      <c r="B4467" s="166"/>
      <c r="C4467" s="168"/>
      <c r="D4467" s="167"/>
      <c r="E4467" s="166"/>
      <c r="F4467" s="165"/>
      <c r="G4467" s="164"/>
    </row>
    <row r="4468" spans="1:7" x14ac:dyDescent="0.25">
      <c r="A4468" s="169" t="str">
        <f>E4468&amp;COUNTIFS($E$2:E4468,E4468)</f>
        <v>0</v>
      </c>
      <c r="B4468" s="166"/>
      <c r="C4468" s="168"/>
      <c r="D4468" s="167"/>
      <c r="E4468" s="166"/>
      <c r="F4468" s="165"/>
      <c r="G4468" s="164"/>
    </row>
    <row r="4469" spans="1:7" x14ac:dyDescent="0.25">
      <c r="A4469" s="169" t="str">
        <f>E4469&amp;COUNTIFS($E$2:E4469,E4469)</f>
        <v>0</v>
      </c>
      <c r="B4469" s="166"/>
      <c r="C4469" s="168"/>
      <c r="D4469" s="167"/>
      <c r="E4469" s="166"/>
      <c r="F4469" s="165"/>
      <c r="G4469" s="164"/>
    </row>
    <row r="4470" spans="1:7" x14ac:dyDescent="0.25">
      <c r="A4470" s="169" t="str">
        <f>E4470&amp;COUNTIFS($E$2:E4470,E4470)</f>
        <v>0</v>
      </c>
      <c r="B4470" s="166"/>
      <c r="C4470" s="168"/>
      <c r="D4470" s="167"/>
      <c r="E4470" s="166"/>
      <c r="F4470" s="165"/>
      <c r="G4470" s="164"/>
    </row>
    <row r="4471" spans="1:7" x14ac:dyDescent="0.25">
      <c r="A4471" s="169" t="str">
        <f>E4471&amp;COUNTIFS($E$2:E4471,E4471)</f>
        <v>0</v>
      </c>
      <c r="B4471" s="166"/>
      <c r="C4471" s="168"/>
      <c r="D4471" s="167"/>
      <c r="E4471" s="166"/>
      <c r="F4471" s="165"/>
      <c r="G4471" s="164"/>
    </row>
    <row r="4472" spans="1:7" x14ac:dyDescent="0.25">
      <c r="A4472" s="169" t="str">
        <f>E4472&amp;COUNTIFS($E$2:E4472,E4472)</f>
        <v>0</v>
      </c>
      <c r="B4472" s="166"/>
      <c r="C4472" s="168"/>
      <c r="D4472" s="167"/>
      <c r="E4472" s="166"/>
      <c r="F4472" s="165"/>
      <c r="G4472" s="164"/>
    </row>
    <row r="4473" spans="1:7" x14ac:dyDescent="0.25">
      <c r="A4473" s="169" t="str">
        <f>E4473&amp;COUNTIFS($E$2:E4473,E4473)</f>
        <v>0</v>
      </c>
      <c r="B4473" s="166"/>
      <c r="C4473" s="168"/>
      <c r="D4473" s="167"/>
      <c r="E4473" s="166"/>
      <c r="F4473" s="165"/>
      <c r="G4473" s="164"/>
    </row>
    <row r="4474" spans="1:7" x14ac:dyDescent="0.25">
      <c r="A4474" s="169" t="str">
        <f>E4474&amp;COUNTIFS($E$2:E4474,E4474)</f>
        <v>0</v>
      </c>
      <c r="B4474" s="166"/>
      <c r="C4474" s="168"/>
      <c r="D4474" s="167"/>
      <c r="E4474" s="166"/>
      <c r="F4474" s="165"/>
      <c r="G4474" s="164"/>
    </row>
    <row r="4475" spans="1:7" x14ac:dyDescent="0.25">
      <c r="A4475" s="169" t="str">
        <f>E4475&amp;COUNTIFS($E$2:E4475,E4475)</f>
        <v>0</v>
      </c>
      <c r="B4475" s="166"/>
      <c r="C4475" s="168"/>
      <c r="D4475" s="167"/>
      <c r="E4475" s="166"/>
      <c r="F4475" s="165"/>
      <c r="G4475" s="164"/>
    </row>
    <row r="4476" spans="1:7" x14ac:dyDescent="0.25">
      <c r="A4476" s="169" t="str">
        <f>E4476&amp;COUNTIFS($E$2:E4476,E4476)</f>
        <v>0</v>
      </c>
      <c r="B4476" s="166"/>
      <c r="C4476" s="168"/>
      <c r="D4476" s="167"/>
      <c r="E4476" s="166"/>
      <c r="F4476" s="165"/>
      <c r="G4476" s="164"/>
    </row>
    <row r="4477" spans="1:7" x14ac:dyDescent="0.25">
      <c r="A4477" s="169" t="str">
        <f>E4477&amp;COUNTIFS($E$2:E4477,E4477)</f>
        <v>0</v>
      </c>
      <c r="B4477" s="166"/>
      <c r="C4477" s="168"/>
      <c r="D4477" s="167"/>
      <c r="E4477" s="166"/>
      <c r="F4477" s="165"/>
      <c r="G4477" s="164"/>
    </row>
    <row r="4478" spans="1:7" x14ac:dyDescent="0.25">
      <c r="A4478" s="169" t="str">
        <f>E4478&amp;COUNTIFS($E$2:E4478,E4478)</f>
        <v>0</v>
      </c>
      <c r="B4478" s="166"/>
      <c r="C4478" s="168"/>
      <c r="D4478" s="167"/>
      <c r="E4478" s="166"/>
      <c r="F4478" s="165"/>
      <c r="G4478" s="164"/>
    </row>
    <row r="4479" spans="1:7" x14ac:dyDescent="0.25">
      <c r="A4479" s="169" t="str">
        <f>E4479&amp;COUNTIFS($E$2:E4479,E4479)</f>
        <v>0</v>
      </c>
      <c r="B4479" s="166"/>
      <c r="C4479" s="168"/>
      <c r="D4479" s="167"/>
      <c r="E4479" s="166"/>
      <c r="F4479" s="165"/>
      <c r="G4479" s="164"/>
    </row>
    <row r="4480" spans="1:7" ht="15.75" thickBot="1" x14ac:dyDescent="0.3">
      <c r="A4480" s="163" t="str">
        <f>E4480&amp;COUNTIFS($E$2:E4480,E4480)</f>
        <v>0</v>
      </c>
      <c r="B4480" s="166"/>
      <c r="C4480" s="162"/>
      <c r="D4480" s="161"/>
      <c r="E4480" s="160"/>
      <c r="F4480" s="159"/>
      <c r="G4480" s="158"/>
    </row>
    <row r="4481" spans="1:7" x14ac:dyDescent="0.25">
      <c r="A4481" s="148"/>
      <c r="C4481" s="143"/>
      <c r="D4481" s="157"/>
      <c r="E4481" s="143"/>
      <c r="F4481" s="156"/>
      <c r="G4481" s="156"/>
    </row>
    <row r="4482" spans="1:7" x14ac:dyDescent="0.25">
      <c r="A4482" s="148"/>
      <c r="C4482" s="153" t="s">
        <v>623</v>
      </c>
      <c r="D4482" s="152"/>
      <c r="E4482" s="151"/>
      <c r="F4482" s="150">
        <f>SUM(F4456:F4480)</f>
        <v>0</v>
      </c>
      <c r="G4482" s="155">
        <f>SUM(G4456:G4480)</f>
        <v>0</v>
      </c>
    </row>
    <row r="4483" spans="1:7" x14ac:dyDescent="0.25">
      <c r="A4483" s="148"/>
      <c r="C4483" s="145" t="s">
        <v>622</v>
      </c>
      <c r="D4483" s="154"/>
      <c r="E4483" s="145"/>
      <c r="F4483" s="144"/>
      <c r="G4483" s="144"/>
    </row>
    <row r="4484" spans="1:7" x14ac:dyDescent="0.25">
      <c r="A4484" s="148"/>
      <c r="C4484" s="153" t="s">
        <v>621</v>
      </c>
      <c r="D4484" s="152"/>
      <c r="E4484" s="151"/>
      <c r="F4484" s="150">
        <f>F4417</f>
        <v>0</v>
      </c>
      <c r="G4484" s="150">
        <f>G4417</f>
        <v>0</v>
      </c>
    </row>
    <row r="4485" spans="1:7" x14ac:dyDescent="0.25">
      <c r="A4485" s="148"/>
      <c r="C4485" s="153" t="s">
        <v>582</v>
      </c>
      <c r="D4485" s="152"/>
      <c r="E4485" s="151"/>
      <c r="F4485" s="150">
        <f>F4484+F4482</f>
        <v>0</v>
      </c>
      <c r="G4485" s="150">
        <f>G4484+G4482</f>
        <v>0</v>
      </c>
    </row>
    <row r="4486" spans="1:7" ht="15.75" thickBot="1" x14ac:dyDescent="0.3">
      <c r="A4486" s="148"/>
      <c r="C4486" s="145"/>
      <c r="D4486" s="149"/>
      <c r="E4486" s="145"/>
      <c r="F4486" s="144"/>
      <c r="G4486" s="144"/>
    </row>
    <row r="4487" spans="1:7" ht="15.75" thickBot="1" x14ac:dyDescent="0.3">
      <c r="A4487" s="148"/>
      <c r="C4487" s="147" t="s">
        <v>620</v>
      </c>
      <c r="D4487" s="146">
        <f>F4485-G4485</f>
        <v>0</v>
      </c>
      <c r="E4487" s="145"/>
      <c r="F4487" s="144"/>
      <c r="G4487" s="144"/>
    </row>
    <row r="4488" spans="1:7" ht="15.75" thickBot="1" x14ac:dyDescent="0.3"/>
    <row r="4489" spans="1:7" ht="30.75" thickBot="1" x14ac:dyDescent="0.3">
      <c r="A4489" s="209" t="s">
        <v>626</v>
      </c>
      <c r="B4489" s="208" t="s">
        <v>606</v>
      </c>
      <c r="C4489" s="207" t="s">
        <v>629</v>
      </c>
      <c r="D4489" s="206" t="s">
        <v>601</v>
      </c>
      <c r="E4489" s="205" t="s">
        <v>287</v>
      </c>
      <c r="F4489" s="204" t="s">
        <v>624</v>
      </c>
      <c r="G4489" s="204" t="s">
        <v>596</v>
      </c>
    </row>
    <row r="4490" spans="1:7" x14ac:dyDescent="0.25">
      <c r="A4490" s="169" t="str">
        <f>E4490&amp;COUNTIFS($E$2:E4490,E4490)</f>
        <v>0</v>
      </c>
      <c r="B4490" s="172"/>
      <c r="C4490" s="174"/>
      <c r="D4490" s="173"/>
      <c r="E4490" s="172"/>
      <c r="F4490" s="171"/>
      <c r="G4490" s="170"/>
    </row>
    <row r="4491" spans="1:7" x14ac:dyDescent="0.25">
      <c r="A4491" s="169" t="str">
        <f>E4491&amp;COUNTIFS($E$2:E4491,E4491)</f>
        <v>0</v>
      </c>
      <c r="B4491" s="166"/>
      <c r="C4491" s="168"/>
      <c r="D4491" s="167"/>
      <c r="E4491" s="166"/>
      <c r="F4491" s="165"/>
      <c r="G4491" s="164"/>
    </row>
    <row r="4492" spans="1:7" x14ac:dyDescent="0.25">
      <c r="A4492" s="169" t="str">
        <f>E4492&amp;COUNTIFS($E$2:E4492,E4492)</f>
        <v>0</v>
      </c>
      <c r="B4492" s="166"/>
      <c r="C4492" s="168"/>
      <c r="D4492" s="167"/>
      <c r="E4492" s="166"/>
      <c r="F4492" s="165"/>
      <c r="G4492" s="164"/>
    </row>
    <row r="4493" spans="1:7" x14ac:dyDescent="0.25">
      <c r="A4493" s="169" t="str">
        <f>E4493&amp;COUNTIFS($E$2:E4493,E4493)</f>
        <v>0</v>
      </c>
      <c r="B4493" s="166"/>
      <c r="C4493" s="168"/>
      <c r="D4493" s="167"/>
      <c r="E4493" s="166"/>
      <c r="F4493" s="165"/>
      <c r="G4493" s="164"/>
    </row>
    <row r="4494" spans="1:7" x14ac:dyDescent="0.25">
      <c r="A4494" s="169" t="str">
        <f>E4494&amp;COUNTIFS($E$2:E4494,E4494)</f>
        <v>0</v>
      </c>
      <c r="B4494" s="166"/>
      <c r="C4494" s="168"/>
      <c r="D4494" s="167"/>
      <c r="E4494" s="166"/>
      <c r="F4494" s="165"/>
      <c r="G4494" s="164"/>
    </row>
    <row r="4495" spans="1:7" x14ac:dyDescent="0.25">
      <c r="A4495" s="169" t="str">
        <f>E4495&amp;COUNTIFS($E$2:E4495,E4495)</f>
        <v>0</v>
      </c>
      <c r="B4495" s="166"/>
      <c r="C4495" s="168"/>
      <c r="D4495" s="167"/>
      <c r="E4495" s="166"/>
      <c r="F4495" s="165"/>
      <c r="G4495" s="164"/>
    </row>
    <row r="4496" spans="1:7" x14ac:dyDescent="0.25">
      <c r="A4496" s="169" t="str">
        <f>E4496&amp;COUNTIFS($E$2:E4496,E4496)</f>
        <v>0</v>
      </c>
      <c r="B4496" s="166"/>
      <c r="C4496" s="168"/>
      <c r="D4496" s="167"/>
      <c r="E4496" s="166"/>
      <c r="F4496" s="165"/>
      <c r="G4496" s="164"/>
    </row>
    <row r="4497" spans="1:7" x14ac:dyDescent="0.25">
      <c r="A4497" s="169" t="str">
        <f>E4497&amp;COUNTIFS($E$2:E4497,E4497)</f>
        <v>0</v>
      </c>
      <c r="B4497" s="166"/>
      <c r="C4497" s="168"/>
      <c r="D4497" s="167"/>
      <c r="E4497" s="166"/>
      <c r="F4497" s="165"/>
      <c r="G4497" s="164"/>
    </row>
    <row r="4498" spans="1:7" x14ac:dyDescent="0.25">
      <c r="A4498" s="169" t="str">
        <f>E4498&amp;COUNTIFS($E$2:E4498,E4498)</f>
        <v>0</v>
      </c>
      <c r="B4498" s="166"/>
      <c r="C4498" s="168"/>
      <c r="D4498" s="167"/>
      <c r="E4498" s="166"/>
      <c r="F4498" s="165"/>
      <c r="G4498" s="164"/>
    </row>
    <row r="4499" spans="1:7" x14ac:dyDescent="0.25">
      <c r="A4499" s="169" t="str">
        <f>E4499&amp;COUNTIFS($E$2:E4499,E4499)</f>
        <v>0</v>
      </c>
      <c r="B4499" s="166"/>
      <c r="C4499" s="168"/>
      <c r="D4499" s="167"/>
      <c r="E4499" s="166"/>
      <c r="F4499" s="165"/>
      <c r="G4499" s="164"/>
    </row>
    <row r="4500" spans="1:7" x14ac:dyDescent="0.25">
      <c r="A4500" s="169" t="str">
        <f>E4500&amp;COUNTIFS($E$2:E4500,E4500)</f>
        <v>0</v>
      </c>
      <c r="B4500" s="166"/>
      <c r="C4500" s="168"/>
      <c r="D4500" s="167"/>
      <c r="E4500" s="166"/>
      <c r="F4500" s="165"/>
      <c r="G4500" s="164"/>
    </row>
    <row r="4501" spans="1:7" x14ac:dyDescent="0.25">
      <c r="A4501" s="169" t="str">
        <f>E4501&amp;COUNTIFS($E$2:E4501,E4501)</f>
        <v>0</v>
      </c>
      <c r="B4501" s="166"/>
      <c r="C4501" s="168"/>
      <c r="D4501" s="167"/>
      <c r="E4501" s="166"/>
      <c r="F4501" s="165"/>
      <c r="G4501" s="164"/>
    </row>
    <row r="4502" spans="1:7" x14ac:dyDescent="0.25">
      <c r="A4502" s="169" t="str">
        <f>E4502&amp;COUNTIFS($E$2:E4502,E4502)</f>
        <v>0</v>
      </c>
      <c r="B4502" s="166"/>
      <c r="C4502" s="168"/>
      <c r="D4502" s="167"/>
      <c r="E4502" s="166"/>
      <c r="F4502" s="165"/>
      <c r="G4502" s="164"/>
    </row>
    <row r="4503" spans="1:7" x14ac:dyDescent="0.25">
      <c r="A4503" s="169" t="str">
        <f>E4503&amp;COUNTIFS($E$2:E4503,E4503)</f>
        <v>0</v>
      </c>
      <c r="B4503" s="166"/>
      <c r="C4503" s="168"/>
      <c r="D4503" s="167"/>
      <c r="E4503" s="166"/>
      <c r="F4503" s="165"/>
      <c r="G4503" s="164"/>
    </row>
    <row r="4504" spans="1:7" x14ac:dyDescent="0.25">
      <c r="A4504" s="169" t="str">
        <f>E4504&amp;COUNTIFS($E$2:E4504,E4504)</f>
        <v>0</v>
      </c>
      <c r="B4504" s="166"/>
      <c r="C4504" s="168"/>
      <c r="D4504" s="167"/>
      <c r="E4504" s="166"/>
      <c r="F4504" s="165"/>
      <c r="G4504" s="164"/>
    </row>
    <row r="4505" spans="1:7" x14ac:dyDescent="0.25">
      <c r="A4505" s="169" t="str">
        <f>E4505&amp;COUNTIFS($E$2:E4505,E4505)</f>
        <v>0</v>
      </c>
      <c r="B4505" s="166"/>
      <c r="C4505" s="168"/>
      <c r="D4505" s="167"/>
      <c r="E4505" s="166"/>
      <c r="F4505" s="165"/>
      <c r="G4505" s="164"/>
    </row>
    <row r="4506" spans="1:7" x14ac:dyDescent="0.25">
      <c r="A4506" s="169" t="str">
        <f>E4506&amp;COUNTIFS($E$2:E4506,E4506)</f>
        <v>0</v>
      </c>
      <c r="B4506" s="166"/>
      <c r="C4506" s="168"/>
      <c r="D4506" s="167"/>
      <c r="E4506" s="166"/>
      <c r="F4506" s="165"/>
      <c r="G4506" s="164"/>
    </row>
    <row r="4507" spans="1:7" x14ac:dyDescent="0.25">
      <c r="A4507" s="169" t="str">
        <f>E4507&amp;COUNTIFS($E$2:E4507,E4507)</f>
        <v>0</v>
      </c>
      <c r="B4507" s="166"/>
      <c r="C4507" s="168"/>
      <c r="D4507" s="167"/>
      <c r="E4507" s="166"/>
      <c r="F4507" s="165"/>
      <c r="G4507" s="164"/>
    </row>
    <row r="4508" spans="1:7" x14ac:dyDescent="0.25">
      <c r="A4508" s="169" t="str">
        <f>E4508&amp;COUNTIFS($E$2:E4508,E4508)</f>
        <v>0</v>
      </c>
      <c r="B4508" s="166"/>
      <c r="C4508" s="168"/>
      <c r="D4508" s="167"/>
      <c r="E4508" s="166"/>
      <c r="F4508" s="165"/>
      <c r="G4508" s="164"/>
    </row>
    <row r="4509" spans="1:7" x14ac:dyDescent="0.25">
      <c r="A4509" s="169" t="str">
        <f>E4509&amp;COUNTIFS($E$2:E4509,E4509)</f>
        <v>0</v>
      </c>
      <c r="B4509" s="166"/>
      <c r="C4509" s="168"/>
      <c r="D4509" s="167"/>
      <c r="E4509" s="166"/>
      <c r="F4509" s="165"/>
      <c r="G4509" s="164"/>
    </row>
    <row r="4510" spans="1:7" x14ac:dyDescent="0.25">
      <c r="A4510" s="169" t="str">
        <f>E4510&amp;COUNTIFS($E$2:E4510,E4510)</f>
        <v>0</v>
      </c>
      <c r="B4510" s="166"/>
      <c r="C4510" s="168"/>
      <c r="D4510" s="167"/>
      <c r="E4510" s="166"/>
      <c r="F4510" s="165"/>
      <c r="G4510" s="164"/>
    </row>
    <row r="4511" spans="1:7" x14ac:dyDescent="0.25">
      <c r="A4511" s="169" t="str">
        <f>E4511&amp;COUNTIFS($E$2:E4511,E4511)</f>
        <v>0</v>
      </c>
      <c r="B4511" s="166"/>
      <c r="C4511" s="168"/>
      <c r="D4511" s="167"/>
      <c r="E4511" s="166"/>
      <c r="F4511" s="165"/>
      <c r="G4511" s="164"/>
    </row>
    <row r="4512" spans="1:7" x14ac:dyDescent="0.25">
      <c r="A4512" s="169" t="str">
        <f>E4512&amp;COUNTIFS($E$2:E4512,E4512)</f>
        <v>0</v>
      </c>
      <c r="B4512" s="166"/>
      <c r="C4512" s="168"/>
      <c r="D4512" s="167"/>
      <c r="E4512" s="166"/>
      <c r="F4512" s="165"/>
      <c r="G4512" s="164"/>
    </row>
    <row r="4513" spans="1:7" x14ac:dyDescent="0.25">
      <c r="A4513" s="169" t="str">
        <f>E4513&amp;COUNTIFS($E$2:E4513,E4513)</f>
        <v>0</v>
      </c>
      <c r="B4513" s="166"/>
      <c r="C4513" s="168"/>
      <c r="D4513" s="167"/>
      <c r="E4513" s="166"/>
      <c r="F4513" s="165"/>
      <c r="G4513" s="164"/>
    </row>
    <row r="4514" spans="1:7" ht="15.75" thickBot="1" x14ac:dyDescent="0.3">
      <c r="A4514" s="163" t="str">
        <f>E4514&amp;COUNTIFS($E$2:E4514,E4514)</f>
        <v>0</v>
      </c>
      <c r="B4514" s="166"/>
      <c r="C4514" s="162"/>
      <c r="D4514" s="161"/>
      <c r="E4514" s="160"/>
      <c r="F4514" s="159"/>
      <c r="G4514" s="158"/>
    </row>
    <row r="4515" spans="1:7" x14ac:dyDescent="0.25">
      <c r="A4515" s="148"/>
      <c r="C4515" s="143"/>
      <c r="D4515" s="157"/>
      <c r="E4515" s="143"/>
      <c r="F4515" s="156"/>
      <c r="G4515" s="156"/>
    </row>
    <row r="4516" spans="1:7" x14ac:dyDescent="0.25">
      <c r="A4516" s="148"/>
      <c r="C4516" s="153" t="s">
        <v>623</v>
      </c>
      <c r="D4516" s="152"/>
      <c r="E4516" s="151"/>
      <c r="F4516" s="150">
        <f>SUM(F4490:F4514)</f>
        <v>0</v>
      </c>
      <c r="G4516" s="155">
        <f>SUM(G4490:G4514)</f>
        <v>0</v>
      </c>
    </row>
    <row r="4517" spans="1:7" x14ac:dyDescent="0.25">
      <c r="A4517" s="148"/>
      <c r="C4517" s="145" t="s">
        <v>622</v>
      </c>
      <c r="D4517" s="154"/>
      <c r="E4517" s="145"/>
      <c r="F4517" s="144"/>
      <c r="G4517" s="144"/>
    </row>
    <row r="4518" spans="1:7" x14ac:dyDescent="0.25">
      <c r="A4518" s="148"/>
      <c r="C4518" s="153" t="s">
        <v>621</v>
      </c>
      <c r="D4518" s="152"/>
      <c r="E4518" s="151"/>
      <c r="F4518" s="150">
        <f>F4485</f>
        <v>0</v>
      </c>
      <c r="G4518" s="150">
        <f>G4485</f>
        <v>0</v>
      </c>
    </row>
    <row r="4519" spans="1:7" x14ac:dyDescent="0.25">
      <c r="A4519" s="148"/>
      <c r="C4519" s="153" t="s">
        <v>582</v>
      </c>
      <c r="D4519" s="152"/>
      <c r="E4519" s="151"/>
      <c r="F4519" s="150">
        <f>F4518+F4516</f>
        <v>0</v>
      </c>
      <c r="G4519" s="150">
        <f>G4518+G4516</f>
        <v>0</v>
      </c>
    </row>
    <row r="4520" spans="1:7" ht="15.75" thickBot="1" x14ac:dyDescent="0.3">
      <c r="A4520" s="148"/>
      <c r="C4520" s="145"/>
      <c r="D4520" s="149"/>
      <c r="E4520" s="145"/>
      <c r="F4520" s="144"/>
      <c r="G4520" s="144"/>
    </row>
    <row r="4521" spans="1:7" ht="15.75" thickBot="1" x14ac:dyDescent="0.3">
      <c r="A4521" s="148"/>
      <c r="C4521" s="147" t="s">
        <v>620</v>
      </c>
      <c r="D4521" s="146">
        <f>F4519-G4519</f>
        <v>0</v>
      </c>
      <c r="E4521" s="145"/>
      <c r="F4521" s="144"/>
      <c r="G4521" s="144"/>
    </row>
    <row r="4522" spans="1:7" ht="15.75" thickBot="1" x14ac:dyDescent="0.3"/>
    <row r="4523" spans="1:7" ht="30.75" thickBot="1" x14ac:dyDescent="0.3">
      <c r="A4523" s="209" t="s">
        <v>626</v>
      </c>
      <c r="B4523" s="208" t="s">
        <v>606</v>
      </c>
      <c r="C4523" s="207" t="s">
        <v>629</v>
      </c>
      <c r="D4523" s="206" t="s">
        <v>601</v>
      </c>
      <c r="E4523" s="205" t="s">
        <v>287</v>
      </c>
      <c r="F4523" s="204" t="s">
        <v>624</v>
      </c>
      <c r="G4523" s="204" t="s">
        <v>596</v>
      </c>
    </row>
    <row r="4524" spans="1:7" x14ac:dyDescent="0.25">
      <c r="A4524" s="169" t="str">
        <f>E4524&amp;COUNTIFS($E$2:E4524,E4524)</f>
        <v>0</v>
      </c>
      <c r="B4524" s="172"/>
      <c r="C4524" s="174"/>
      <c r="D4524" s="173"/>
      <c r="E4524" s="172"/>
      <c r="F4524" s="171"/>
      <c r="G4524" s="170"/>
    </row>
    <row r="4525" spans="1:7" x14ac:dyDescent="0.25">
      <c r="A4525" s="169" t="str">
        <f>E4525&amp;COUNTIFS($E$2:E4525,E4525)</f>
        <v>0</v>
      </c>
      <c r="B4525" s="166"/>
      <c r="C4525" s="168"/>
      <c r="D4525" s="167"/>
      <c r="E4525" s="166"/>
      <c r="F4525" s="165"/>
      <c r="G4525" s="164"/>
    </row>
    <row r="4526" spans="1:7" x14ac:dyDescent="0.25">
      <c r="A4526" s="169" t="str">
        <f>E4526&amp;COUNTIFS($E$2:E4526,E4526)</f>
        <v>0</v>
      </c>
      <c r="B4526" s="166"/>
      <c r="C4526" s="168"/>
      <c r="D4526" s="167"/>
      <c r="E4526" s="166"/>
      <c r="F4526" s="165"/>
      <c r="G4526" s="164"/>
    </row>
    <row r="4527" spans="1:7" x14ac:dyDescent="0.25">
      <c r="A4527" s="169" t="str">
        <f>E4527&amp;COUNTIFS($E$2:E4527,E4527)</f>
        <v>0</v>
      </c>
      <c r="B4527" s="166"/>
      <c r="C4527" s="168"/>
      <c r="D4527" s="167"/>
      <c r="E4527" s="166"/>
      <c r="F4527" s="165"/>
      <c r="G4527" s="164"/>
    </row>
    <row r="4528" spans="1:7" x14ac:dyDescent="0.25">
      <c r="A4528" s="169" t="str">
        <f>E4528&amp;COUNTIFS($E$2:E4528,E4528)</f>
        <v>0</v>
      </c>
      <c r="B4528" s="166"/>
      <c r="C4528" s="168"/>
      <c r="D4528" s="167"/>
      <c r="E4528" s="166"/>
      <c r="F4528" s="165"/>
      <c r="G4528" s="164"/>
    </row>
    <row r="4529" spans="1:7" x14ac:dyDescent="0.25">
      <c r="A4529" s="169" t="str">
        <f>E4529&amp;COUNTIFS($E$2:E4529,E4529)</f>
        <v>0</v>
      </c>
      <c r="B4529" s="166"/>
      <c r="C4529" s="168"/>
      <c r="D4529" s="167"/>
      <c r="E4529" s="166"/>
      <c r="F4529" s="165"/>
      <c r="G4529" s="164"/>
    </row>
    <row r="4530" spans="1:7" x14ac:dyDescent="0.25">
      <c r="A4530" s="169" t="str">
        <f>E4530&amp;COUNTIFS($E$2:E4530,E4530)</f>
        <v>0</v>
      </c>
      <c r="B4530" s="166"/>
      <c r="C4530" s="168"/>
      <c r="D4530" s="167"/>
      <c r="E4530" s="166"/>
      <c r="F4530" s="165"/>
      <c r="G4530" s="164"/>
    </row>
    <row r="4531" spans="1:7" x14ac:dyDescent="0.25">
      <c r="A4531" s="169" t="str">
        <f>E4531&amp;COUNTIFS($E$2:E4531,E4531)</f>
        <v>0</v>
      </c>
      <c r="B4531" s="166"/>
      <c r="C4531" s="168"/>
      <c r="D4531" s="167"/>
      <c r="E4531" s="166"/>
      <c r="F4531" s="165"/>
      <c r="G4531" s="164"/>
    </row>
    <row r="4532" spans="1:7" x14ac:dyDescent="0.25">
      <c r="A4532" s="169" t="str">
        <f>E4532&amp;COUNTIFS($E$2:E4532,E4532)</f>
        <v>0</v>
      </c>
      <c r="B4532" s="166"/>
      <c r="C4532" s="168"/>
      <c r="D4532" s="167"/>
      <c r="E4532" s="166"/>
      <c r="F4532" s="165"/>
      <c r="G4532" s="164"/>
    </row>
    <row r="4533" spans="1:7" x14ac:dyDescent="0.25">
      <c r="A4533" s="169" t="str">
        <f>E4533&amp;COUNTIFS($E$2:E4533,E4533)</f>
        <v>0</v>
      </c>
      <c r="B4533" s="166"/>
      <c r="C4533" s="168"/>
      <c r="D4533" s="167"/>
      <c r="E4533" s="166"/>
      <c r="F4533" s="165"/>
      <c r="G4533" s="164"/>
    </row>
    <row r="4534" spans="1:7" x14ac:dyDescent="0.25">
      <c r="A4534" s="169" t="str">
        <f>E4534&amp;COUNTIFS($E$2:E4534,E4534)</f>
        <v>0</v>
      </c>
      <c r="B4534" s="166"/>
      <c r="C4534" s="168"/>
      <c r="D4534" s="167"/>
      <c r="E4534" s="166"/>
      <c r="F4534" s="165"/>
      <c r="G4534" s="164"/>
    </row>
    <row r="4535" spans="1:7" x14ac:dyDescent="0.25">
      <c r="A4535" s="169" t="str">
        <f>E4535&amp;COUNTIFS($E$2:E4535,E4535)</f>
        <v>0</v>
      </c>
      <c r="B4535" s="166"/>
      <c r="C4535" s="168"/>
      <c r="D4535" s="167"/>
      <c r="E4535" s="166"/>
      <c r="F4535" s="165"/>
      <c r="G4535" s="164"/>
    </row>
    <row r="4536" spans="1:7" x14ac:dyDescent="0.25">
      <c r="A4536" s="169" t="str">
        <f>E4536&amp;COUNTIFS($E$2:E4536,E4536)</f>
        <v>0</v>
      </c>
      <c r="B4536" s="166"/>
      <c r="C4536" s="168"/>
      <c r="D4536" s="167"/>
      <c r="E4536" s="166"/>
      <c r="F4536" s="165"/>
      <c r="G4536" s="164"/>
    </row>
    <row r="4537" spans="1:7" x14ac:dyDescent="0.25">
      <c r="A4537" s="169" t="str">
        <f>E4537&amp;COUNTIFS($E$2:E4537,E4537)</f>
        <v>0</v>
      </c>
      <c r="B4537" s="166"/>
      <c r="C4537" s="168"/>
      <c r="D4537" s="167"/>
      <c r="E4537" s="166"/>
      <c r="F4537" s="165"/>
      <c r="G4537" s="164"/>
    </row>
    <row r="4538" spans="1:7" x14ac:dyDescent="0.25">
      <c r="A4538" s="169" t="str">
        <f>E4538&amp;COUNTIFS($E$2:E4538,E4538)</f>
        <v>0</v>
      </c>
      <c r="B4538" s="166"/>
      <c r="C4538" s="168"/>
      <c r="D4538" s="167"/>
      <c r="E4538" s="166"/>
      <c r="F4538" s="165"/>
      <c r="G4538" s="164"/>
    </row>
    <row r="4539" spans="1:7" x14ac:dyDescent="0.25">
      <c r="A4539" s="169" t="str">
        <f>E4539&amp;COUNTIFS($E$2:E4539,E4539)</f>
        <v>0</v>
      </c>
      <c r="B4539" s="166"/>
      <c r="C4539" s="168"/>
      <c r="D4539" s="167"/>
      <c r="E4539" s="166"/>
      <c r="F4539" s="165"/>
      <c r="G4539" s="164"/>
    </row>
    <row r="4540" spans="1:7" x14ac:dyDescent="0.25">
      <c r="A4540" s="169" t="str">
        <f>E4540&amp;COUNTIFS($E$2:E4540,E4540)</f>
        <v>0</v>
      </c>
      <c r="B4540" s="166"/>
      <c r="C4540" s="168"/>
      <c r="D4540" s="167"/>
      <c r="E4540" s="166"/>
      <c r="F4540" s="165"/>
      <c r="G4540" s="164"/>
    </row>
    <row r="4541" spans="1:7" x14ac:dyDescent="0.25">
      <c r="A4541" s="169" t="str">
        <f>E4541&amp;COUNTIFS($E$2:E4541,E4541)</f>
        <v>0</v>
      </c>
      <c r="B4541" s="166"/>
      <c r="C4541" s="168"/>
      <c r="D4541" s="167"/>
      <c r="E4541" s="166"/>
      <c r="F4541" s="165"/>
      <c r="G4541" s="164"/>
    </row>
    <row r="4542" spans="1:7" x14ac:dyDescent="0.25">
      <c r="A4542" s="169" t="str">
        <f>E4542&amp;COUNTIFS($E$2:E4542,E4542)</f>
        <v>0</v>
      </c>
      <c r="B4542" s="166"/>
      <c r="C4542" s="168"/>
      <c r="D4542" s="167"/>
      <c r="E4542" s="166"/>
      <c r="F4542" s="165"/>
      <c r="G4542" s="164"/>
    </row>
    <row r="4543" spans="1:7" x14ac:dyDescent="0.25">
      <c r="A4543" s="169" t="str">
        <f>E4543&amp;COUNTIFS($E$2:E4543,E4543)</f>
        <v>0</v>
      </c>
      <c r="B4543" s="166"/>
      <c r="C4543" s="168"/>
      <c r="D4543" s="167"/>
      <c r="E4543" s="166"/>
      <c r="F4543" s="165"/>
      <c r="G4543" s="164"/>
    </row>
    <row r="4544" spans="1:7" x14ac:dyDescent="0.25">
      <c r="A4544" s="169" t="str">
        <f>E4544&amp;COUNTIFS($E$2:E4544,E4544)</f>
        <v>0</v>
      </c>
      <c r="B4544" s="166"/>
      <c r="C4544" s="168"/>
      <c r="D4544" s="167"/>
      <c r="E4544" s="166"/>
      <c r="F4544" s="165"/>
      <c r="G4544" s="164"/>
    </row>
    <row r="4545" spans="1:7" x14ac:dyDescent="0.25">
      <c r="A4545" s="169" t="str">
        <f>E4545&amp;COUNTIFS($E$2:E4545,E4545)</f>
        <v>0</v>
      </c>
      <c r="B4545" s="166"/>
      <c r="C4545" s="168"/>
      <c r="D4545" s="167"/>
      <c r="E4545" s="166"/>
      <c r="F4545" s="165"/>
      <c r="G4545" s="164"/>
    </row>
    <row r="4546" spans="1:7" x14ac:dyDescent="0.25">
      <c r="A4546" s="169" t="str">
        <f>E4546&amp;COUNTIFS($E$2:E4546,E4546)</f>
        <v>0</v>
      </c>
      <c r="B4546" s="166"/>
      <c r="C4546" s="168"/>
      <c r="D4546" s="167"/>
      <c r="E4546" s="166"/>
      <c r="F4546" s="165"/>
      <c r="G4546" s="164"/>
    </row>
    <row r="4547" spans="1:7" x14ac:dyDescent="0.25">
      <c r="A4547" s="169" t="str">
        <f>E4547&amp;COUNTIFS($E$2:E4547,E4547)</f>
        <v>0</v>
      </c>
      <c r="B4547" s="166"/>
      <c r="C4547" s="168"/>
      <c r="D4547" s="167"/>
      <c r="E4547" s="166"/>
      <c r="F4547" s="165"/>
      <c r="G4547" s="164"/>
    </row>
    <row r="4548" spans="1:7" ht="15.75" thickBot="1" x14ac:dyDescent="0.3">
      <c r="A4548" s="163" t="str">
        <f>E4548&amp;COUNTIFS($E$2:E4548,E4548)</f>
        <v>0</v>
      </c>
      <c r="B4548" s="166"/>
      <c r="C4548" s="162"/>
      <c r="D4548" s="161"/>
      <c r="E4548" s="160"/>
      <c r="F4548" s="159"/>
      <c r="G4548" s="158"/>
    </row>
    <row r="4549" spans="1:7" x14ac:dyDescent="0.25">
      <c r="A4549" s="148"/>
      <c r="C4549" s="143"/>
      <c r="D4549" s="157"/>
      <c r="E4549" s="143"/>
      <c r="F4549" s="156"/>
      <c r="G4549" s="156"/>
    </row>
    <row r="4550" spans="1:7" x14ac:dyDescent="0.25">
      <c r="A4550" s="148"/>
      <c r="C4550" s="153" t="s">
        <v>623</v>
      </c>
      <c r="D4550" s="152"/>
      <c r="E4550" s="151"/>
      <c r="F4550" s="150">
        <f>SUM(F4524:F4548)</f>
        <v>0</v>
      </c>
      <c r="G4550" s="155">
        <f>SUM(G4524:G4548)</f>
        <v>0</v>
      </c>
    </row>
    <row r="4551" spans="1:7" x14ac:dyDescent="0.25">
      <c r="A4551" s="148"/>
      <c r="C4551" s="145" t="s">
        <v>622</v>
      </c>
      <c r="D4551" s="154"/>
      <c r="E4551" s="145"/>
      <c r="F4551" s="144"/>
      <c r="G4551" s="144"/>
    </row>
    <row r="4552" spans="1:7" x14ac:dyDescent="0.25">
      <c r="A4552" s="148"/>
      <c r="C4552" s="153" t="s">
        <v>621</v>
      </c>
      <c r="D4552" s="152"/>
      <c r="E4552" s="151"/>
      <c r="F4552" s="150">
        <f>F4519</f>
        <v>0</v>
      </c>
      <c r="G4552" s="150">
        <f>G4519</f>
        <v>0</v>
      </c>
    </row>
    <row r="4553" spans="1:7" x14ac:dyDescent="0.25">
      <c r="A4553" s="148"/>
      <c r="C4553" s="153" t="s">
        <v>582</v>
      </c>
      <c r="D4553" s="152"/>
      <c r="E4553" s="151"/>
      <c r="F4553" s="150">
        <f>F4552+F4550</f>
        <v>0</v>
      </c>
      <c r="G4553" s="150">
        <f>G4552+G4550</f>
        <v>0</v>
      </c>
    </row>
    <row r="4554" spans="1:7" ht="15.75" thickBot="1" x14ac:dyDescent="0.3">
      <c r="A4554" s="148"/>
      <c r="C4554" s="145"/>
      <c r="D4554" s="149"/>
      <c r="E4554" s="145"/>
      <c r="F4554" s="144"/>
      <c r="G4554" s="144"/>
    </row>
    <row r="4555" spans="1:7" ht="15.75" thickBot="1" x14ac:dyDescent="0.3">
      <c r="A4555" s="148"/>
      <c r="C4555" s="147" t="s">
        <v>620</v>
      </c>
      <c r="D4555" s="146">
        <f>F4553-G4553</f>
        <v>0</v>
      </c>
      <c r="E4555" s="145"/>
      <c r="F4555" s="144"/>
      <c r="G4555" s="144"/>
    </row>
    <row r="4556" spans="1:7" ht="15.75" thickBot="1" x14ac:dyDescent="0.3"/>
    <row r="4557" spans="1:7" ht="30.75" thickBot="1" x14ac:dyDescent="0.3">
      <c r="A4557" s="209" t="s">
        <v>626</v>
      </c>
      <c r="B4557" s="208" t="s">
        <v>606</v>
      </c>
      <c r="C4557" s="207" t="s">
        <v>629</v>
      </c>
      <c r="D4557" s="206" t="s">
        <v>601</v>
      </c>
      <c r="E4557" s="205" t="s">
        <v>287</v>
      </c>
      <c r="F4557" s="204" t="s">
        <v>624</v>
      </c>
      <c r="G4557" s="204" t="s">
        <v>596</v>
      </c>
    </row>
    <row r="4558" spans="1:7" x14ac:dyDescent="0.25">
      <c r="A4558" s="175" t="str">
        <f>E4558&amp;COUNTIFS($E$2:E4558,E4558)</f>
        <v>0</v>
      </c>
      <c r="B4558" s="172"/>
      <c r="C4558" s="174"/>
      <c r="D4558" s="173"/>
      <c r="E4558" s="172"/>
      <c r="F4558" s="171"/>
      <c r="G4558" s="170"/>
    </row>
    <row r="4559" spans="1:7" x14ac:dyDescent="0.25">
      <c r="A4559" s="169" t="str">
        <f>E4559&amp;COUNTIFS($E$2:E4559,E4559)</f>
        <v>0</v>
      </c>
      <c r="B4559" s="166"/>
      <c r="C4559" s="168"/>
      <c r="D4559" s="167"/>
      <c r="E4559" s="166"/>
      <c r="F4559" s="165"/>
      <c r="G4559" s="164"/>
    </row>
    <row r="4560" spans="1:7" x14ac:dyDescent="0.25">
      <c r="A4560" s="169" t="str">
        <f>E4560&amp;COUNTIFS($E$2:E4560,E4560)</f>
        <v>0</v>
      </c>
      <c r="B4560" s="166"/>
      <c r="C4560" s="168"/>
      <c r="D4560" s="167"/>
      <c r="E4560" s="166"/>
      <c r="F4560" s="165"/>
      <c r="G4560" s="164"/>
    </row>
    <row r="4561" spans="1:7" x14ac:dyDescent="0.25">
      <c r="A4561" s="169" t="str">
        <f>E4561&amp;COUNTIFS($E$2:E4561,E4561)</f>
        <v>0</v>
      </c>
      <c r="B4561" s="166"/>
      <c r="C4561" s="168"/>
      <c r="D4561" s="226"/>
      <c r="E4561" s="166"/>
      <c r="F4561" s="165"/>
      <c r="G4561" s="164"/>
    </row>
    <row r="4562" spans="1:7" x14ac:dyDescent="0.25">
      <c r="A4562" s="169" t="str">
        <f>E4562&amp;COUNTIFS($E$2:E4562,E4562)</f>
        <v>0</v>
      </c>
      <c r="B4562" s="166"/>
      <c r="C4562" s="168"/>
      <c r="D4562" s="167"/>
      <c r="E4562" s="166"/>
      <c r="F4562" s="165"/>
      <c r="G4562" s="164"/>
    </row>
    <row r="4563" spans="1:7" x14ac:dyDescent="0.25">
      <c r="A4563" s="169" t="str">
        <f>E4563&amp;COUNTIFS($E$2:E4563,E4563)</f>
        <v>0</v>
      </c>
      <c r="B4563" s="166"/>
      <c r="C4563" s="168"/>
      <c r="D4563" s="167"/>
      <c r="E4563" s="166"/>
      <c r="F4563" s="165"/>
      <c r="G4563" s="164"/>
    </row>
    <row r="4564" spans="1:7" x14ac:dyDescent="0.25">
      <c r="A4564" s="169" t="str">
        <f>E4564&amp;COUNTIFS($E$2:E4564,E4564)</f>
        <v>0</v>
      </c>
      <c r="B4564" s="166"/>
      <c r="C4564" s="168"/>
      <c r="D4564" s="167"/>
      <c r="E4564" s="166"/>
      <c r="F4564" s="165"/>
      <c r="G4564" s="164"/>
    </row>
    <row r="4565" spans="1:7" x14ac:dyDescent="0.25">
      <c r="A4565" s="169" t="str">
        <f>E4565&amp;COUNTIFS($E$2:E4565,E4565)</f>
        <v>0</v>
      </c>
      <c r="B4565" s="166"/>
      <c r="C4565" s="168"/>
      <c r="D4565" s="167"/>
      <c r="E4565" s="166"/>
      <c r="F4565" s="165"/>
      <c r="G4565" s="164"/>
    </row>
    <row r="4566" spans="1:7" x14ac:dyDescent="0.25">
      <c r="A4566" s="169" t="str">
        <f>E4566&amp;COUNTIFS($E$2:E4566,E4566)</f>
        <v>0</v>
      </c>
      <c r="B4566" s="166"/>
      <c r="C4566" s="168"/>
      <c r="D4566" s="167"/>
      <c r="E4566" s="166"/>
      <c r="F4566" s="165"/>
      <c r="G4566" s="164"/>
    </row>
    <row r="4567" spans="1:7" x14ac:dyDescent="0.25">
      <c r="A4567" s="169" t="str">
        <f>E4567&amp;COUNTIFS($E$2:E4567,E4567)</f>
        <v>0</v>
      </c>
      <c r="B4567" s="166"/>
      <c r="C4567" s="168"/>
      <c r="D4567" s="167"/>
      <c r="E4567" s="166"/>
      <c r="F4567" s="165"/>
      <c r="G4567" s="164"/>
    </row>
    <row r="4568" spans="1:7" x14ac:dyDescent="0.25">
      <c r="A4568" s="169" t="str">
        <f>E4568&amp;COUNTIFS($E$2:E4568,E4568)</f>
        <v>0</v>
      </c>
      <c r="B4568" s="166"/>
      <c r="C4568" s="168"/>
      <c r="D4568" s="167"/>
      <c r="E4568" s="166"/>
      <c r="F4568" s="165"/>
      <c r="G4568" s="164"/>
    </row>
    <row r="4569" spans="1:7" x14ac:dyDescent="0.25">
      <c r="A4569" s="169" t="str">
        <f>E4569&amp;COUNTIFS($E$2:E4569,E4569)</f>
        <v>0</v>
      </c>
      <c r="B4569" s="166"/>
      <c r="C4569" s="168"/>
      <c r="D4569" s="167"/>
      <c r="E4569" s="166"/>
      <c r="F4569" s="165"/>
      <c r="G4569" s="164"/>
    </row>
    <row r="4570" spans="1:7" x14ac:dyDescent="0.25">
      <c r="A4570" s="169" t="str">
        <f>E4570&amp;COUNTIFS($E$2:E4570,E4570)</f>
        <v>0</v>
      </c>
      <c r="B4570" s="166"/>
      <c r="C4570" s="168"/>
      <c r="D4570" s="167"/>
      <c r="E4570" s="166"/>
      <c r="F4570" s="165"/>
      <c r="G4570" s="164"/>
    </row>
    <row r="4571" spans="1:7" x14ac:dyDescent="0.25">
      <c r="A4571" s="169" t="str">
        <f>E4571&amp;COUNTIFS($E$2:E4571,E4571)</f>
        <v>0</v>
      </c>
      <c r="B4571" s="166"/>
      <c r="C4571" s="168"/>
      <c r="D4571" s="167"/>
      <c r="E4571" s="166"/>
      <c r="F4571" s="165"/>
      <c r="G4571" s="164"/>
    </row>
    <row r="4572" spans="1:7" x14ac:dyDescent="0.25">
      <c r="A4572" s="169" t="str">
        <f>E4572&amp;COUNTIFS($E$2:E4572,E4572)</f>
        <v>0</v>
      </c>
      <c r="B4572" s="166"/>
      <c r="C4572" s="168"/>
      <c r="D4572" s="167"/>
      <c r="E4572" s="166"/>
      <c r="F4572" s="165"/>
      <c r="G4572" s="164"/>
    </row>
    <row r="4573" spans="1:7" x14ac:dyDescent="0.25">
      <c r="A4573" s="169" t="str">
        <f>E4573&amp;COUNTIFS($E$2:E4573,E4573)</f>
        <v>0</v>
      </c>
      <c r="B4573" s="166"/>
      <c r="C4573" s="168"/>
      <c r="D4573" s="167"/>
      <c r="E4573" s="166"/>
      <c r="F4573" s="165"/>
      <c r="G4573" s="164"/>
    </row>
    <row r="4574" spans="1:7" x14ac:dyDescent="0.25">
      <c r="A4574" s="169" t="str">
        <f>E4574&amp;COUNTIFS($E$2:E4574,E4574)</f>
        <v>0</v>
      </c>
      <c r="B4574" s="166"/>
      <c r="C4574" s="168"/>
      <c r="D4574" s="167"/>
      <c r="E4574" s="166"/>
      <c r="F4574" s="165"/>
      <c r="G4574" s="164"/>
    </row>
    <row r="4575" spans="1:7" x14ac:dyDescent="0.25">
      <c r="A4575" s="169" t="str">
        <f>E4575&amp;COUNTIFS($E$2:E4575,E4575)</f>
        <v>0</v>
      </c>
      <c r="B4575" s="166"/>
      <c r="C4575" s="168"/>
      <c r="D4575" s="167"/>
      <c r="E4575" s="166"/>
      <c r="F4575" s="165"/>
      <c r="G4575" s="164"/>
    </row>
    <row r="4576" spans="1:7" x14ac:dyDescent="0.25">
      <c r="A4576" s="169" t="str">
        <f>E4576&amp;COUNTIFS($E$2:E4576,E4576)</f>
        <v>0</v>
      </c>
      <c r="B4576" s="166"/>
      <c r="C4576" s="168"/>
      <c r="D4576" s="167"/>
      <c r="E4576" s="166"/>
      <c r="F4576" s="165"/>
      <c r="G4576" s="164"/>
    </row>
    <row r="4577" spans="1:7" x14ac:dyDescent="0.25">
      <c r="A4577" s="169" t="str">
        <f>E4577&amp;COUNTIFS($E$2:E4577,E4577)</f>
        <v>0</v>
      </c>
      <c r="B4577" s="166"/>
      <c r="C4577" s="168"/>
      <c r="D4577" s="167"/>
      <c r="E4577" s="166"/>
      <c r="F4577" s="165"/>
      <c r="G4577" s="164"/>
    </row>
    <row r="4578" spans="1:7" x14ac:dyDescent="0.25">
      <c r="A4578" s="169" t="str">
        <f>E4578&amp;COUNTIFS($E$2:E4578,E4578)</f>
        <v>0</v>
      </c>
      <c r="B4578" s="166"/>
      <c r="C4578" s="168"/>
      <c r="D4578" s="167"/>
      <c r="E4578" s="166"/>
      <c r="F4578" s="165"/>
      <c r="G4578" s="164"/>
    </row>
    <row r="4579" spans="1:7" x14ac:dyDescent="0.25">
      <c r="A4579" s="169" t="str">
        <f>E4579&amp;COUNTIFS($E$2:E4579,E4579)</f>
        <v>0</v>
      </c>
      <c r="B4579" s="166"/>
      <c r="C4579" s="168"/>
      <c r="D4579" s="167"/>
      <c r="E4579" s="166"/>
      <c r="F4579" s="165"/>
      <c r="G4579" s="164"/>
    </row>
    <row r="4580" spans="1:7" x14ac:dyDescent="0.25">
      <c r="A4580" s="169" t="str">
        <f>E4580&amp;COUNTIFS($E$2:E4580,E4580)</f>
        <v>0</v>
      </c>
      <c r="B4580" s="166"/>
      <c r="C4580" s="168"/>
      <c r="D4580" s="167"/>
      <c r="E4580" s="166"/>
      <c r="F4580" s="165"/>
      <c r="G4580" s="164"/>
    </row>
    <row r="4581" spans="1:7" x14ac:dyDescent="0.25">
      <c r="A4581" s="169" t="str">
        <f>E4581&amp;COUNTIFS($E$2:E4581,E4581)</f>
        <v>0</v>
      </c>
      <c r="B4581" s="166"/>
      <c r="C4581" s="168"/>
      <c r="D4581" s="167"/>
      <c r="E4581" s="166"/>
      <c r="F4581" s="165"/>
      <c r="G4581" s="164"/>
    </row>
    <row r="4582" spans="1:7" ht="15.75" thickBot="1" x14ac:dyDescent="0.3">
      <c r="A4582" s="163" t="str">
        <f>E4582&amp;COUNTIFS($E$2:E4582,E4582)</f>
        <v>0</v>
      </c>
      <c r="B4582" s="160"/>
      <c r="C4582" s="162"/>
      <c r="D4582" s="161"/>
      <c r="E4582" s="160"/>
      <c r="F4582" s="159"/>
      <c r="G4582" s="158"/>
    </row>
    <row r="4583" spans="1:7" x14ac:dyDescent="0.25">
      <c r="A4583" s="148"/>
      <c r="C4583" s="143"/>
      <c r="D4583" s="157"/>
      <c r="E4583" s="143"/>
      <c r="F4583" s="156"/>
      <c r="G4583" s="156"/>
    </row>
    <row r="4584" spans="1:7" x14ac:dyDescent="0.25">
      <c r="A4584" s="148"/>
      <c r="C4584" s="153" t="s">
        <v>623</v>
      </c>
      <c r="D4584" s="152"/>
      <c r="E4584" s="151"/>
      <c r="F4584" s="150">
        <f>SUM(F4558:F4582)</f>
        <v>0</v>
      </c>
      <c r="G4584" s="155">
        <f>SUM(G4558:G4582)</f>
        <v>0</v>
      </c>
    </row>
    <row r="4585" spans="1:7" x14ac:dyDescent="0.25">
      <c r="A4585" s="148"/>
      <c r="C4585" s="145" t="s">
        <v>622</v>
      </c>
      <c r="D4585" s="154"/>
      <c r="E4585" s="145"/>
      <c r="F4585" s="144"/>
      <c r="G4585" s="144"/>
    </row>
    <row r="4586" spans="1:7" x14ac:dyDescent="0.25">
      <c r="A4586" s="148"/>
      <c r="C4586" s="153" t="s">
        <v>621</v>
      </c>
      <c r="D4586" s="152"/>
      <c r="E4586" s="151"/>
      <c r="F4586" s="150">
        <f>F4553</f>
        <v>0</v>
      </c>
      <c r="G4586" s="150">
        <f>G4553</f>
        <v>0</v>
      </c>
    </row>
    <row r="4587" spans="1:7" x14ac:dyDescent="0.25">
      <c r="A4587" s="148"/>
      <c r="C4587" s="153" t="s">
        <v>582</v>
      </c>
      <c r="D4587" s="152"/>
      <c r="E4587" s="151"/>
      <c r="F4587" s="150">
        <f>F4586+F4584</f>
        <v>0</v>
      </c>
      <c r="G4587" s="150">
        <f>G4586+G4584</f>
        <v>0</v>
      </c>
    </row>
    <row r="4588" spans="1:7" ht="15.75" thickBot="1" x14ac:dyDescent="0.3">
      <c r="A4588" s="148"/>
      <c r="C4588" s="145"/>
      <c r="D4588" s="149"/>
      <c r="E4588" s="145"/>
      <c r="F4588" s="144"/>
      <c r="G4588" s="144"/>
    </row>
    <row r="4589" spans="1:7" ht="15.75" thickBot="1" x14ac:dyDescent="0.3">
      <c r="A4589" s="148"/>
      <c r="C4589" s="147" t="s">
        <v>620</v>
      </c>
      <c r="D4589" s="146">
        <f>F4587-G4587</f>
        <v>0</v>
      </c>
      <c r="E4589" s="145"/>
      <c r="F4589" s="144"/>
      <c r="G4589" s="144"/>
    </row>
    <row r="4590" spans="1:7" ht="15.75" thickBot="1" x14ac:dyDescent="0.3"/>
    <row r="4591" spans="1:7" ht="30.75" thickBot="1" x14ac:dyDescent="0.3">
      <c r="A4591" s="209" t="s">
        <v>626</v>
      </c>
      <c r="B4591" s="208" t="s">
        <v>606</v>
      </c>
      <c r="C4591" s="207" t="s">
        <v>629</v>
      </c>
      <c r="D4591" s="206" t="s">
        <v>601</v>
      </c>
      <c r="E4591" s="205" t="s">
        <v>287</v>
      </c>
      <c r="F4591" s="204" t="s">
        <v>624</v>
      </c>
      <c r="G4591" s="204" t="s">
        <v>596</v>
      </c>
    </row>
    <row r="4592" spans="1:7" x14ac:dyDescent="0.25">
      <c r="A4592" s="175" t="str">
        <f>E4592&amp;COUNTIFS($E$2:E4592,E4592)</f>
        <v>0</v>
      </c>
      <c r="B4592" s="172"/>
      <c r="C4592" s="174"/>
      <c r="D4592" s="173"/>
      <c r="E4592" s="172"/>
      <c r="F4592" s="171"/>
      <c r="G4592" s="170"/>
    </row>
    <row r="4593" spans="1:7" x14ac:dyDescent="0.25">
      <c r="A4593" s="169" t="str">
        <f>E4593&amp;COUNTIFS($E$2:E4593,E4593)</f>
        <v>0</v>
      </c>
      <c r="B4593" s="166"/>
      <c r="C4593" s="168"/>
      <c r="D4593" s="167"/>
      <c r="E4593" s="166"/>
      <c r="F4593" s="165"/>
      <c r="G4593" s="164"/>
    </row>
    <row r="4594" spans="1:7" x14ac:dyDescent="0.25">
      <c r="A4594" s="169" t="str">
        <f>E4594&amp;COUNTIFS($E$2:E4594,E4594)</f>
        <v>0</v>
      </c>
      <c r="B4594" s="166"/>
      <c r="C4594" s="168"/>
      <c r="D4594" s="167"/>
      <c r="E4594" s="166"/>
      <c r="F4594" s="165"/>
      <c r="G4594" s="164"/>
    </row>
    <row r="4595" spans="1:7" x14ac:dyDescent="0.25">
      <c r="A4595" s="169" t="str">
        <f>E4595&amp;COUNTIFS($E$2:E4595,E4595)</f>
        <v>0</v>
      </c>
      <c r="B4595" s="166"/>
      <c r="C4595" s="168"/>
      <c r="D4595" s="167"/>
      <c r="E4595" s="166"/>
      <c r="F4595" s="165"/>
      <c r="G4595" s="164"/>
    </row>
    <row r="4596" spans="1:7" x14ac:dyDescent="0.25">
      <c r="A4596" s="169" t="str">
        <f>E4596&amp;COUNTIFS($E$2:E4596,E4596)</f>
        <v>0</v>
      </c>
      <c r="B4596" s="166"/>
      <c r="C4596" s="168"/>
      <c r="D4596" s="167"/>
      <c r="E4596" s="166"/>
      <c r="F4596" s="165"/>
      <c r="G4596" s="164"/>
    </row>
    <row r="4597" spans="1:7" x14ac:dyDescent="0.25">
      <c r="A4597" s="169" t="str">
        <f>E4597&amp;COUNTIFS($E$2:E4597,E4597)</f>
        <v>0</v>
      </c>
      <c r="B4597" s="166"/>
      <c r="C4597" s="168"/>
      <c r="D4597" s="167"/>
      <c r="E4597" s="166"/>
      <c r="F4597" s="165"/>
      <c r="G4597" s="164"/>
    </row>
    <row r="4598" spans="1:7" x14ac:dyDescent="0.25">
      <c r="A4598" s="169" t="str">
        <f>E4598&amp;COUNTIFS($E$2:E4598,E4598)</f>
        <v>0</v>
      </c>
      <c r="B4598" s="166"/>
      <c r="C4598" s="168"/>
      <c r="D4598" s="167"/>
      <c r="E4598" s="166"/>
      <c r="F4598" s="165"/>
      <c r="G4598" s="164"/>
    </row>
    <row r="4599" spans="1:7" x14ac:dyDescent="0.25">
      <c r="A4599" s="169" t="str">
        <f>E4599&amp;COUNTIFS($E$2:E4599,E4599)</f>
        <v>0</v>
      </c>
      <c r="B4599" s="166"/>
      <c r="C4599" s="168"/>
      <c r="D4599" s="167"/>
      <c r="E4599" s="166"/>
      <c r="F4599" s="165"/>
      <c r="G4599" s="164"/>
    </row>
    <row r="4600" spans="1:7" x14ac:dyDescent="0.25">
      <c r="A4600" s="169" t="str">
        <f>E4600&amp;COUNTIFS($E$2:E4600,E4600)</f>
        <v>0</v>
      </c>
      <c r="B4600" s="166"/>
      <c r="C4600" s="168"/>
      <c r="D4600" s="167"/>
      <c r="E4600" s="166"/>
      <c r="F4600" s="165"/>
      <c r="G4600" s="164"/>
    </row>
    <row r="4601" spans="1:7" x14ac:dyDescent="0.25">
      <c r="A4601" s="169" t="str">
        <f>E4601&amp;COUNTIFS($E$2:E4601,E4601)</f>
        <v>0</v>
      </c>
      <c r="B4601" s="166"/>
      <c r="C4601" s="168"/>
      <c r="D4601" s="167"/>
      <c r="E4601" s="166"/>
      <c r="F4601" s="165"/>
      <c r="G4601" s="164"/>
    </row>
    <row r="4602" spans="1:7" x14ac:dyDescent="0.25">
      <c r="A4602" s="169" t="str">
        <f>E4602&amp;COUNTIFS($E$2:E4602,E4602)</f>
        <v>0</v>
      </c>
      <c r="B4602" s="166"/>
      <c r="C4602" s="168"/>
      <c r="D4602" s="167"/>
      <c r="E4602" s="166"/>
      <c r="F4602" s="165"/>
      <c r="G4602" s="164"/>
    </row>
    <row r="4603" spans="1:7" x14ac:dyDescent="0.25">
      <c r="A4603" s="169" t="str">
        <f>E4603&amp;COUNTIFS($E$2:E4603,E4603)</f>
        <v>0</v>
      </c>
      <c r="B4603" s="166"/>
      <c r="C4603" s="168"/>
      <c r="D4603" s="167"/>
      <c r="E4603" s="166"/>
      <c r="F4603" s="165"/>
      <c r="G4603" s="164"/>
    </row>
    <row r="4604" spans="1:7" x14ac:dyDescent="0.25">
      <c r="A4604" s="169" t="str">
        <f>E4604&amp;COUNTIFS($E$2:E4604,E4604)</f>
        <v>0</v>
      </c>
      <c r="B4604" s="166"/>
      <c r="C4604" s="168"/>
      <c r="D4604" s="167"/>
      <c r="E4604" s="166"/>
      <c r="F4604" s="165"/>
      <c r="G4604" s="164"/>
    </row>
    <row r="4605" spans="1:7" x14ac:dyDescent="0.25">
      <c r="A4605" s="169" t="str">
        <f>E4605&amp;COUNTIFS($E$2:E4605,E4605)</f>
        <v>0</v>
      </c>
      <c r="B4605" s="166"/>
      <c r="C4605" s="168"/>
      <c r="D4605" s="167"/>
      <c r="E4605" s="166"/>
      <c r="F4605" s="165"/>
      <c r="G4605" s="164"/>
    </row>
    <row r="4606" spans="1:7" x14ac:dyDescent="0.25">
      <c r="A4606" s="169" t="str">
        <f>E4606&amp;COUNTIFS($E$2:E4606,E4606)</f>
        <v>0</v>
      </c>
      <c r="B4606" s="166"/>
      <c r="C4606" s="168"/>
      <c r="D4606" s="167"/>
      <c r="E4606" s="166"/>
      <c r="F4606" s="165"/>
      <c r="G4606" s="164"/>
    </row>
    <row r="4607" spans="1:7" x14ac:dyDescent="0.25">
      <c r="A4607" s="169" t="str">
        <f>E4607&amp;COUNTIFS($E$2:E4607,E4607)</f>
        <v>0</v>
      </c>
      <c r="B4607" s="166"/>
      <c r="C4607" s="168"/>
      <c r="D4607" s="167"/>
      <c r="E4607" s="166"/>
      <c r="F4607" s="165"/>
      <c r="G4607" s="164"/>
    </row>
    <row r="4608" spans="1:7" x14ac:dyDescent="0.25">
      <c r="A4608" s="169" t="str">
        <f>E4608&amp;COUNTIFS($E$2:E4608,E4608)</f>
        <v>0</v>
      </c>
      <c r="B4608" s="166"/>
      <c r="C4608" s="168"/>
      <c r="D4608" s="167"/>
      <c r="E4608" s="166"/>
      <c r="F4608" s="165"/>
      <c r="G4608" s="164"/>
    </row>
    <row r="4609" spans="1:7" x14ac:dyDescent="0.25">
      <c r="A4609" s="169" t="str">
        <f>E4609&amp;COUNTIFS($E$2:E4609,E4609)</f>
        <v>0</v>
      </c>
      <c r="B4609" s="166"/>
      <c r="C4609" s="168"/>
      <c r="D4609" s="167"/>
      <c r="E4609" s="166"/>
      <c r="F4609" s="165"/>
      <c r="G4609" s="164"/>
    </row>
    <row r="4610" spans="1:7" x14ac:dyDescent="0.25">
      <c r="A4610" s="169" t="str">
        <f>E4610&amp;COUNTIFS($E$2:E4610,E4610)</f>
        <v>0</v>
      </c>
      <c r="B4610" s="166"/>
      <c r="C4610" s="168"/>
      <c r="D4610" s="167"/>
      <c r="E4610" s="166"/>
      <c r="F4610" s="165"/>
      <c r="G4610" s="164"/>
    </row>
    <row r="4611" spans="1:7" x14ac:dyDescent="0.25">
      <c r="A4611" s="169" t="str">
        <f>E4611&amp;COUNTIFS($E$2:E4611,E4611)</f>
        <v>0</v>
      </c>
      <c r="B4611" s="166"/>
      <c r="C4611" s="168"/>
      <c r="D4611" s="167"/>
      <c r="E4611" s="166"/>
      <c r="F4611" s="165"/>
      <c r="G4611" s="164"/>
    </row>
    <row r="4612" spans="1:7" x14ac:dyDescent="0.25">
      <c r="A4612" s="169" t="str">
        <f>E4612&amp;COUNTIFS($E$2:E4612,E4612)</f>
        <v>0</v>
      </c>
      <c r="B4612" s="166"/>
      <c r="C4612" s="168"/>
      <c r="D4612" s="167"/>
      <c r="E4612" s="166"/>
      <c r="F4612" s="165"/>
      <c r="G4612" s="164"/>
    </row>
    <row r="4613" spans="1:7" x14ac:dyDescent="0.25">
      <c r="A4613" s="169" t="str">
        <f>E4613&amp;COUNTIFS($E$2:E4613,E4613)</f>
        <v>0</v>
      </c>
      <c r="B4613" s="166"/>
      <c r="C4613" s="168"/>
      <c r="D4613" s="167"/>
      <c r="E4613" s="166"/>
      <c r="F4613" s="165"/>
      <c r="G4613" s="164"/>
    </row>
    <row r="4614" spans="1:7" x14ac:dyDescent="0.25">
      <c r="A4614" s="169" t="str">
        <f>E4614&amp;COUNTIFS($E$2:E4614,E4614)</f>
        <v>0</v>
      </c>
      <c r="B4614" s="166"/>
      <c r="C4614" s="168"/>
      <c r="D4614" s="167"/>
      <c r="E4614" s="166"/>
      <c r="F4614" s="165"/>
      <c r="G4614" s="164"/>
    </row>
    <row r="4615" spans="1:7" x14ac:dyDescent="0.25">
      <c r="A4615" s="169" t="str">
        <f>E4615&amp;COUNTIFS($E$2:E4615,E4615)</f>
        <v>0</v>
      </c>
      <c r="B4615" s="166"/>
      <c r="C4615" s="168"/>
      <c r="D4615" s="167"/>
      <c r="E4615" s="166"/>
      <c r="F4615" s="165"/>
      <c r="G4615" s="164"/>
    </row>
    <row r="4616" spans="1:7" ht="15.75" thickBot="1" x14ac:dyDescent="0.3">
      <c r="A4616" s="163" t="str">
        <f>E4616&amp;COUNTIFS($E$2:E4616,E4616)</f>
        <v>0</v>
      </c>
      <c r="B4616" s="160"/>
      <c r="C4616" s="162"/>
      <c r="D4616" s="161"/>
      <c r="E4616" s="160"/>
      <c r="F4616" s="159"/>
      <c r="G4616" s="158"/>
    </row>
    <row r="4617" spans="1:7" x14ac:dyDescent="0.25">
      <c r="A4617" s="148"/>
      <c r="C4617" s="143"/>
      <c r="D4617" s="157"/>
      <c r="E4617" s="143"/>
      <c r="F4617" s="156"/>
      <c r="G4617" s="156"/>
    </row>
    <row r="4618" spans="1:7" x14ac:dyDescent="0.25">
      <c r="A4618" s="148"/>
      <c r="C4618" s="153" t="s">
        <v>623</v>
      </c>
      <c r="D4618" s="152"/>
      <c r="E4618" s="151"/>
      <c r="F4618" s="150">
        <f>SUM(F4592:F4616)</f>
        <v>0</v>
      </c>
      <c r="G4618" s="155">
        <f>SUM(G4592:G4616)</f>
        <v>0</v>
      </c>
    </row>
    <row r="4619" spans="1:7" x14ac:dyDescent="0.25">
      <c r="A4619" s="148"/>
      <c r="C4619" s="145" t="s">
        <v>622</v>
      </c>
      <c r="D4619" s="154"/>
      <c r="E4619" s="145"/>
      <c r="F4619" s="144"/>
      <c r="G4619" s="144"/>
    </row>
    <row r="4620" spans="1:7" x14ac:dyDescent="0.25">
      <c r="A4620" s="148"/>
      <c r="C4620" s="153" t="s">
        <v>621</v>
      </c>
      <c r="D4620" s="152"/>
      <c r="E4620" s="151"/>
      <c r="F4620" s="150">
        <f>F4587</f>
        <v>0</v>
      </c>
      <c r="G4620" s="150">
        <f>G4587</f>
        <v>0</v>
      </c>
    </row>
    <row r="4621" spans="1:7" x14ac:dyDescent="0.25">
      <c r="A4621" s="148"/>
      <c r="C4621" s="153" t="s">
        <v>582</v>
      </c>
      <c r="D4621" s="152"/>
      <c r="E4621" s="151"/>
      <c r="F4621" s="150">
        <f>F4620+F4618</f>
        <v>0</v>
      </c>
      <c r="G4621" s="150">
        <f>G4620+G4618</f>
        <v>0</v>
      </c>
    </row>
    <row r="4622" spans="1:7" ht="15.75" thickBot="1" x14ac:dyDescent="0.3">
      <c r="A4622" s="148"/>
      <c r="C4622" s="145"/>
      <c r="D4622" s="149"/>
      <c r="E4622" s="145"/>
      <c r="F4622" s="144"/>
      <c r="G4622" s="144"/>
    </row>
    <row r="4623" spans="1:7" ht="15.75" thickBot="1" x14ac:dyDescent="0.3">
      <c r="A4623" s="148"/>
      <c r="C4623" s="147" t="s">
        <v>620</v>
      </c>
      <c r="D4623" s="146">
        <f>F4621-G4621</f>
        <v>0</v>
      </c>
      <c r="E4623" s="145"/>
      <c r="F4623" s="144"/>
      <c r="G4623" s="144"/>
    </row>
    <row r="4624" spans="1:7" ht="15.75" thickBot="1" x14ac:dyDescent="0.3"/>
    <row r="4625" spans="1:7" ht="30.75" thickBot="1" x14ac:dyDescent="0.3">
      <c r="A4625" s="209" t="s">
        <v>626</v>
      </c>
      <c r="B4625" s="208" t="s">
        <v>606</v>
      </c>
      <c r="C4625" s="207" t="s">
        <v>629</v>
      </c>
      <c r="D4625" s="206" t="s">
        <v>601</v>
      </c>
      <c r="E4625" s="205" t="s">
        <v>287</v>
      </c>
      <c r="F4625" s="204" t="s">
        <v>624</v>
      </c>
      <c r="G4625" s="204" t="s">
        <v>596</v>
      </c>
    </row>
    <row r="4626" spans="1:7" x14ac:dyDescent="0.25">
      <c r="A4626" s="175" t="str">
        <f>E4626&amp;COUNTIFS($E$2:E4626,E4626)</f>
        <v>0</v>
      </c>
      <c r="B4626" s="172"/>
      <c r="C4626" s="174"/>
      <c r="D4626" s="173"/>
      <c r="E4626" s="172"/>
      <c r="F4626" s="171"/>
      <c r="G4626" s="170"/>
    </row>
    <row r="4627" spans="1:7" x14ac:dyDescent="0.25">
      <c r="A4627" s="169" t="str">
        <f>E4627&amp;COUNTIFS($E$2:E4627,E4627)</f>
        <v>0</v>
      </c>
      <c r="B4627" s="166"/>
      <c r="C4627" s="168"/>
      <c r="D4627" s="167"/>
      <c r="E4627" s="166"/>
      <c r="F4627" s="165"/>
      <c r="G4627" s="164"/>
    </row>
    <row r="4628" spans="1:7" x14ac:dyDescent="0.25">
      <c r="A4628" s="169" t="str">
        <f>E4628&amp;COUNTIFS($E$2:E4628,E4628)</f>
        <v>0</v>
      </c>
      <c r="B4628" s="166"/>
      <c r="C4628" s="168"/>
      <c r="D4628" s="167"/>
      <c r="E4628" s="166"/>
      <c r="F4628" s="165"/>
      <c r="G4628" s="164"/>
    </row>
    <row r="4629" spans="1:7" x14ac:dyDescent="0.25">
      <c r="A4629" s="169" t="str">
        <f>E4629&amp;COUNTIFS($E$2:E4629,E4629)</f>
        <v>0</v>
      </c>
      <c r="B4629" s="166"/>
      <c r="C4629" s="168"/>
      <c r="D4629" s="167"/>
      <c r="E4629" s="166"/>
      <c r="F4629" s="165"/>
      <c r="G4629" s="164"/>
    </row>
    <row r="4630" spans="1:7" x14ac:dyDescent="0.25">
      <c r="A4630" s="169" t="str">
        <f>E4630&amp;COUNTIFS($E$2:E4630,E4630)</f>
        <v>0</v>
      </c>
      <c r="B4630" s="166"/>
      <c r="C4630" s="168"/>
      <c r="D4630" s="167"/>
      <c r="E4630" s="166"/>
      <c r="F4630" s="165"/>
      <c r="G4630" s="164"/>
    </row>
    <row r="4631" spans="1:7" x14ac:dyDescent="0.25">
      <c r="A4631" s="169" t="str">
        <f>E4631&amp;COUNTIFS($E$2:E4631,E4631)</f>
        <v>0</v>
      </c>
      <c r="B4631" s="166"/>
      <c r="C4631" s="168"/>
      <c r="D4631" s="167"/>
      <c r="E4631" s="166"/>
      <c r="F4631" s="165"/>
      <c r="G4631" s="164"/>
    </row>
    <row r="4632" spans="1:7" x14ac:dyDescent="0.25">
      <c r="A4632" s="169" t="str">
        <f>E4632&amp;COUNTIFS($E$2:E4632,E4632)</f>
        <v>0</v>
      </c>
      <c r="B4632" s="166"/>
      <c r="C4632" s="168"/>
      <c r="D4632" s="167"/>
      <c r="E4632" s="166"/>
      <c r="F4632" s="165"/>
      <c r="G4632" s="164"/>
    </row>
    <row r="4633" spans="1:7" x14ac:dyDescent="0.25">
      <c r="A4633" s="169" t="str">
        <f>E4633&amp;COUNTIFS($E$2:E4633,E4633)</f>
        <v>0</v>
      </c>
      <c r="B4633" s="166"/>
      <c r="C4633" s="168"/>
      <c r="D4633" s="167"/>
      <c r="E4633" s="166"/>
      <c r="F4633" s="165"/>
      <c r="G4633" s="164"/>
    </row>
    <row r="4634" spans="1:7" x14ac:dyDescent="0.25">
      <c r="A4634" s="169" t="str">
        <f>E4634&amp;COUNTIFS($E$2:E4634,E4634)</f>
        <v>0</v>
      </c>
      <c r="B4634" s="166"/>
      <c r="C4634" s="168"/>
      <c r="D4634" s="167"/>
      <c r="E4634" s="166"/>
      <c r="F4634" s="165"/>
      <c r="G4634" s="164"/>
    </row>
    <row r="4635" spans="1:7" x14ac:dyDescent="0.25">
      <c r="A4635" s="169" t="str">
        <f>E4635&amp;COUNTIFS($E$2:E4635,E4635)</f>
        <v>0</v>
      </c>
      <c r="B4635" s="166"/>
      <c r="C4635" s="168"/>
      <c r="D4635" s="167"/>
      <c r="E4635" s="166"/>
      <c r="F4635" s="165"/>
      <c r="G4635" s="164"/>
    </row>
    <row r="4636" spans="1:7" x14ac:dyDescent="0.25">
      <c r="A4636" s="169" t="str">
        <f>E4636&amp;COUNTIFS($E$2:E4636,E4636)</f>
        <v>0</v>
      </c>
      <c r="B4636" s="166"/>
      <c r="C4636" s="168"/>
      <c r="D4636" s="167"/>
      <c r="E4636" s="166"/>
      <c r="F4636" s="165"/>
      <c r="G4636" s="164"/>
    </row>
    <row r="4637" spans="1:7" x14ac:dyDescent="0.25">
      <c r="A4637" s="169" t="str">
        <f>E4637&amp;COUNTIFS($E$2:E4637,E4637)</f>
        <v>0</v>
      </c>
      <c r="B4637" s="166"/>
      <c r="C4637" s="168"/>
      <c r="D4637" s="167"/>
      <c r="E4637" s="166"/>
      <c r="F4637" s="165"/>
      <c r="G4637" s="164"/>
    </row>
    <row r="4638" spans="1:7" x14ac:dyDescent="0.25">
      <c r="A4638" s="169" t="str">
        <f>E4638&amp;COUNTIFS($E$2:E4638,E4638)</f>
        <v>0</v>
      </c>
      <c r="B4638" s="166"/>
      <c r="C4638" s="168"/>
      <c r="D4638" s="167"/>
      <c r="E4638" s="166"/>
      <c r="F4638" s="165"/>
      <c r="G4638" s="164"/>
    </row>
    <row r="4639" spans="1:7" x14ac:dyDescent="0.25">
      <c r="A4639" s="169" t="str">
        <f>E4639&amp;COUNTIFS($E$2:E4639,E4639)</f>
        <v>0</v>
      </c>
      <c r="B4639" s="166"/>
      <c r="C4639" s="168"/>
      <c r="D4639" s="167"/>
      <c r="E4639" s="166"/>
      <c r="F4639" s="165"/>
      <c r="G4639" s="164"/>
    </row>
    <row r="4640" spans="1:7" x14ac:dyDescent="0.25">
      <c r="A4640" s="169" t="str">
        <f>E4640&amp;COUNTIFS($E$2:E4640,E4640)</f>
        <v>0</v>
      </c>
      <c r="B4640" s="166"/>
      <c r="C4640" s="168"/>
      <c r="D4640" s="167"/>
      <c r="E4640" s="166"/>
      <c r="F4640" s="165"/>
      <c r="G4640" s="164"/>
    </row>
    <row r="4641" spans="1:7" x14ac:dyDescent="0.25">
      <c r="A4641" s="169" t="str">
        <f>E4641&amp;COUNTIFS($E$2:E4641,E4641)</f>
        <v>0</v>
      </c>
      <c r="B4641" s="166"/>
      <c r="C4641" s="168"/>
      <c r="D4641" s="167"/>
      <c r="E4641" s="166"/>
      <c r="F4641" s="165"/>
      <c r="G4641" s="164"/>
    </row>
    <row r="4642" spans="1:7" x14ac:dyDescent="0.25">
      <c r="A4642" s="169" t="str">
        <f>E4642&amp;COUNTIFS($E$2:E4642,E4642)</f>
        <v>0</v>
      </c>
      <c r="B4642" s="166"/>
      <c r="C4642" s="168"/>
      <c r="D4642" s="167"/>
      <c r="E4642" s="166"/>
      <c r="F4642" s="165"/>
      <c r="G4642" s="164"/>
    </row>
    <row r="4643" spans="1:7" x14ac:dyDescent="0.25">
      <c r="A4643" s="169" t="str">
        <f>E4643&amp;COUNTIFS($E$2:E4643,E4643)</f>
        <v>0</v>
      </c>
      <c r="B4643" s="166"/>
      <c r="C4643" s="168"/>
      <c r="D4643" s="167"/>
      <c r="E4643" s="166"/>
      <c r="F4643" s="165"/>
      <c r="G4643" s="164"/>
    </row>
    <row r="4644" spans="1:7" x14ac:dyDescent="0.25">
      <c r="A4644" s="169" t="str">
        <f>E4644&amp;COUNTIFS($E$2:E4644,E4644)</f>
        <v>0</v>
      </c>
      <c r="B4644" s="166"/>
      <c r="C4644" s="168"/>
      <c r="D4644" s="167"/>
      <c r="E4644" s="166"/>
      <c r="F4644" s="165"/>
      <c r="G4644" s="164"/>
    </row>
    <row r="4645" spans="1:7" x14ac:dyDescent="0.25">
      <c r="A4645" s="169" t="str">
        <f>E4645&amp;COUNTIFS($E$2:E4645,E4645)</f>
        <v>0</v>
      </c>
      <c r="B4645" s="166"/>
      <c r="C4645" s="168"/>
      <c r="D4645" s="167"/>
      <c r="E4645" s="166"/>
      <c r="F4645" s="165"/>
      <c r="G4645" s="164"/>
    </row>
    <row r="4646" spans="1:7" x14ac:dyDescent="0.25">
      <c r="A4646" s="169" t="str">
        <f>E4646&amp;COUNTIFS($E$2:E4646,E4646)</f>
        <v>0</v>
      </c>
      <c r="B4646" s="166"/>
      <c r="C4646" s="168"/>
      <c r="D4646" s="167"/>
      <c r="E4646" s="166"/>
      <c r="F4646" s="165"/>
      <c r="G4646" s="164"/>
    </row>
    <row r="4647" spans="1:7" x14ac:dyDescent="0.25">
      <c r="A4647" s="169" t="str">
        <f>E4647&amp;COUNTIFS($E$2:E4647,E4647)</f>
        <v>0</v>
      </c>
      <c r="B4647" s="166"/>
      <c r="C4647" s="168"/>
      <c r="D4647" s="167"/>
      <c r="E4647" s="166"/>
      <c r="F4647" s="165"/>
      <c r="G4647" s="164"/>
    </row>
    <row r="4648" spans="1:7" x14ac:dyDescent="0.25">
      <c r="A4648" s="169" t="str">
        <f>E4648&amp;COUNTIFS($E$2:E4648,E4648)</f>
        <v>0</v>
      </c>
      <c r="B4648" s="166"/>
      <c r="C4648" s="168"/>
      <c r="D4648" s="167"/>
      <c r="E4648" s="166"/>
      <c r="F4648" s="165"/>
      <c r="G4648" s="164"/>
    </row>
    <row r="4649" spans="1:7" x14ac:dyDescent="0.25">
      <c r="A4649" s="169" t="str">
        <f>E4649&amp;COUNTIFS($E$2:E4649,E4649)</f>
        <v>0</v>
      </c>
      <c r="B4649" s="166"/>
      <c r="C4649" s="168"/>
      <c r="D4649" s="167"/>
      <c r="E4649" s="166"/>
      <c r="F4649" s="165"/>
      <c r="G4649" s="164"/>
    </row>
    <row r="4650" spans="1:7" ht="15.75" thickBot="1" x14ac:dyDescent="0.3">
      <c r="A4650" s="163" t="str">
        <f>E4650&amp;COUNTIFS($E$2:E4650,E4650)</f>
        <v>0</v>
      </c>
      <c r="B4650" s="160"/>
      <c r="C4650" s="162"/>
      <c r="D4650" s="161"/>
      <c r="E4650" s="160"/>
      <c r="F4650" s="159"/>
      <c r="G4650" s="158"/>
    </row>
    <row r="4651" spans="1:7" x14ac:dyDescent="0.25">
      <c r="A4651" s="148"/>
      <c r="C4651" s="143"/>
      <c r="D4651" s="157"/>
      <c r="E4651" s="143"/>
      <c r="F4651" s="156"/>
      <c r="G4651" s="156"/>
    </row>
    <row r="4652" spans="1:7" x14ac:dyDescent="0.25">
      <c r="A4652" s="148"/>
      <c r="C4652" s="153" t="s">
        <v>623</v>
      </c>
      <c r="D4652" s="152"/>
      <c r="E4652" s="151"/>
      <c r="F4652" s="150">
        <f>SUM(F4626:F4650)</f>
        <v>0</v>
      </c>
      <c r="G4652" s="155">
        <f>SUM(G4626:G4650)</f>
        <v>0</v>
      </c>
    </row>
    <row r="4653" spans="1:7" x14ac:dyDescent="0.25">
      <c r="A4653" s="148"/>
      <c r="C4653" s="145" t="s">
        <v>622</v>
      </c>
      <c r="D4653" s="154"/>
      <c r="E4653" s="145"/>
      <c r="F4653" s="144"/>
      <c r="G4653" s="144"/>
    </row>
    <row r="4654" spans="1:7" x14ac:dyDescent="0.25">
      <c r="A4654" s="148"/>
      <c r="C4654" s="153" t="s">
        <v>621</v>
      </c>
      <c r="D4654" s="152"/>
      <c r="E4654" s="151"/>
      <c r="F4654" s="150">
        <f>F4621</f>
        <v>0</v>
      </c>
      <c r="G4654" s="150">
        <f>G4621</f>
        <v>0</v>
      </c>
    </row>
    <row r="4655" spans="1:7" x14ac:dyDescent="0.25">
      <c r="A4655" s="148"/>
      <c r="C4655" s="153" t="s">
        <v>582</v>
      </c>
      <c r="D4655" s="152"/>
      <c r="E4655" s="151"/>
      <c r="F4655" s="150">
        <f>F4654+F4652</f>
        <v>0</v>
      </c>
      <c r="G4655" s="150">
        <f>G4654+G4652</f>
        <v>0</v>
      </c>
    </row>
    <row r="4656" spans="1:7" ht="15.75" thickBot="1" x14ac:dyDescent="0.3">
      <c r="A4656" s="148"/>
      <c r="C4656" s="145"/>
      <c r="D4656" s="149"/>
      <c r="E4656" s="145"/>
      <c r="F4656" s="144"/>
      <c r="G4656" s="144"/>
    </row>
    <row r="4657" spans="1:7" ht="15.75" thickBot="1" x14ac:dyDescent="0.3">
      <c r="A4657" s="148"/>
      <c r="C4657" s="147" t="s">
        <v>620</v>
      </c>
      <c r="D4657" s="146">
        <f>F4655-G4655</f>
        <v>0</v>
      </c>
      <c r="E4657" s="145"/>
      <c r="F4657" s="144"/>
      <c r="G4657" s="144"/>
    </row>
    <row r="4658" spans="1:7" ht="15.75" thickBot="1" x14ac:dyDescent="0.3"/>
    <row r="4659" spans="1:7" ht="30.75" thickBot="1" x14ac:dyDescent="0.3">
      <c r="A4659" s="209" t="s">
        <v>626</v>
      </c>
      <c r="B4659" s="208" t="s">
        <v>606</v>
      </c>
      <c r="C4659" s="207" t="s">
        <v>629</v>
      </c>
      <c r="D4659" s="206" t="s">
        <v>601</v>
      </c>
      <c r="E4659" s="205" t="s">
        <v>287</v>
      </c>
      <c r="F4659" s="204" t="s">
        <v>624</v>
      </c>
      <c r="G4659" s="204" t="s">
        <v>596</v>
      </c>
    </row>
    <row r="4660" spans="1:7" x14ac:dyDescent="0.25">
      <c r="A4660" s="175" t="str">
        <f>E4660&amp;COUNTIFS($E$2:E4660,E4660)</f>
        <v>0</v>
      </c>
      <c r="B4660" s="172"/>
      <c r="C4660" s="174"/>
      <c r="D4660" s="173"/>
      <c r="E4660" s="172"/>
      <c r="F4660" s="171"/>
      <c r="G4660" s="170"/>
    </row>
    <row r="4661" spans="1:7" x14ac:dyDescent="0.25">
      <c r="A4661" s="169" t="str">
        <f>E4661&amp;COUNTIFS($E$2:E4661,E4661)</f>
        <v>0</v>
      </c>
      <c r="B4661" s="166"/>
      <c r="C4661" s="168"/>
      <c r="D4661" s="167"/>
      <c r="E4661" s="166"/>
      <c r="F4661" s="165"/>
      <c r="G4661" s="164"/>
    </row>
    <row r="4662" spans="1:7" x14ac:dyDescent="0.25">
      <c r="A4662" s="169" t="str">
        <f>E4662&amp;COUNTIFS($E$2:E4662,E4662)</f>
        <v>0</v>
      </c>
      <c r="B4662" s="166"/>
      <c r="C4662" s="168"/>
      <c r="D4662" s="167"/>
      <c r="E4662" s="166"/>
      <c r="F4662" s="165"/>
      <c r="G4662" s="164"/>
    </row>
    <row r="4663" spans="1:7" x14ac:dyDescent="0.25">
      <c r="A4663" s="169" t="str">
        <f>E4663&amp;COUNTIFS($E$2:E4663,E4663)</f>
        <v>0</v>
      </c>
      <c r="B4663" s="166"/>
      <c r="C4663" s="168"/>
      <c r="D4663" s="167"/>
      <c r="E4663" s="166"/>
      <c r="F4663" s="165"/>
      <c r="G4663" s="164"/>
    </row>
    <row r="4664" spans="1:7" x14ac:dyDescent="0.25">
      <c r="A4664" s="169" t="str">
        <f>E4664&amp;COUNTIFS($E$2:E4664,E4664)</f>
        <v>0</v>
      </c>
      <c r="B4664" s="166"/>
      <c r="C4664" s="168"/>
      <c r="D4664" s="167"/>
      <c r="E4664" s="166"/>
      <c r="F4664" s="165"/>
      <c r="G4664" s="164"/>
    </row>
    <row r="4665" spans="1:7" x14ac:dyDescent="0.25">
      <c r="A4665" s="169" t="str">
        <f>E4665&amp;COUNTIFS($E$2:E4665,E4665)</f>
        <v>0</v>
      </c>
      <c r="B4665" s="166"/>
      <c r="C4665" s="168"/>
      <c r="D4665" s="167"/>
      <c r="E4665" s="166"/>
      <c r="F4665" s="165"/>
      <c r="G4665" s="164"/>
    </row>
    <row r="4666" spans="1:7" x14ac:dyDescent="0.25">
      <c r="A4666" s="169" t="str">
        <f>E4666&amp;COUNTIFS($E$2:E4666,E4666)</f>
        <v>0</v>
      </c>
      <c r="B4666" s="166"/>
      <c r="C4666" s="168"/>
      <c r="D4666" s="167"/>
      <c r="E4666" s="166"/>
      <c r="F4666" s="165"/>
      <c r="G4666" s="164"/>
    </row>
    <row r="4667" spans="1:7" x14ac:dyDescent="0.25">
      <c r="A4667" s="169" t="str">
        <f>E4667&amp;COUNTIFS($E$2:E4667,E4667)</f>
        <v>0</v>
      </c>
      <c r="B4667" s="166"/>
      <c r="C4667" s="168"/>
      <c r="D4667" s="167"/>
      <c r="E4667" s="166"/>
      <c r="F4667" s="165"/>
      <c r="G4667" s="164"/>
    </row>
    <row r="4668" spans="1:7" x14ac:dyDescent="0.25">
      <c r="A4668" s="169" t="str">
        <f>E4668&amp;COUNTIFS($E$2:E4668,E4668)</f>
        <v>0</v>
      </c>
      <c r="B4668" s="166"/>
      <c r="C4668" s="168"/>
      <c r="D4668" s="167"/>
      <c r="E4668" s="166"/>
      <c r="F4668" s="165"/>
      <c r="G4668" s="164"/>
    </row>
    <row r="4669" spans="1:7" x14ac:dyDescent="0.25">
      <c r="A4669" s="169" t="str">
        <f>E4669&amp;COUNTIFS($E$2:E4669,E4669)</f>
        <v>0</v>
      </c>
      <c r="B4669" s="166"/>
      <c r="C4669" s="168"/>
      <c r="D4669" s="167"/>
      <c r="E4669" s="166"/>
      <c r="F4669" s="165"/>
      <c r="G4669" s="164"/>
    </row>
    <row r="4670" spans="1:7" x14ac:dyDescent="0.25">
      <c r="A4670" s="169" t="str">
        <f>E4670&amp;COUNTIFS($E$2:E4670,E4670)</f>
        <v>0</v>
      </c>
      <c r="B4670" s="166"/>
      <c r="C4670" s="168"/>
      <c r="D4670" s="167"/>
      <c r="E4670" s="166"/>
      <c r="F4670" s="165"/>
      <c r="G4670" s="164"/>
    </row>
    <row r="4671" spans="1:7" x14ac:dyDescent="0.25">
      <c r="A4671" s="169" t="str">
        <f>E4671&amp;COUNTIFS($E$2:E4671,E4671)</f>
        <v>0</v>
      </c>
      <c r="B4671" s="166"/>
      <c r="C4671" s="168"/>
      <c r="D4671" s="167"/>
      <c r="E4671" s="166"/>
      <c r="F4671" s="165"/>
      <c r="G4671" s="164"/>
    </row>
    <row r="4672" spans="1:7" x14ac:dyDescent="0.25">
      <c r="A4672" s="169" t="str">
        <f>E4672&amp;COUNTIFS($E$2:E4672,E4672)</f>
        <v>0</v>
      </c>
      <c r="B4672" s="166"/>
      <c r="C4672" s="168"/>
      <c r="D4672" s="167"/>
      <c r="E4672" s="166"/>
      <c r="F4672" s="165"/>
      <c r="G4672" s="164"/>
    </row>
    <row r="4673" spans="1:7" x14ac:dyDescent="0.25">
      <c r="A4673" s="169" t="str">
        <f>E4673&amp;COUNTIFS($E$2:E4673,E4673)</f>
        <v>0</v>
      </c>
      <c r="B4673" s="166"/>
      <c r="C4673" s="168"/>
      <c r="D4673" s="167"/>
      <c r="E4673" s="166"/>
      <c r="F4673" s="165"/>
      <c r="G4673" s="164"/>
    </row>
    <row r="4674" spans="1:7" x14ac:dyDescent="0.25">
      <c r="A4674" s="169" t="str">
        <f>E4674&amp;COUNTIFS($E$2:E4674,E4674)</f>
        <v>0</v>
      </c>
      <c r="B4674" s="166"/>
      <c r="C4674" s="168"/>
      <c r="D4674" s="167"/>
      <c r="E4674" s="166"/>
      <c r="F4674" s="165"/>
      <c r="G4674" s="164"/>
    </row>
    <row r="4675" spans="1:7" x14ac:dyDescent="0.25">
      <c r="A4675" s="169" t="str">
        <f>E4675&amp;COUNTIFS($E$2:E4675,E4675)</f>
        <v>0</v>
      </c>
      <c r="B4675" s="166"/>
      <c r="C4675" s="168"/>
      <c r="D4675" s="167"/>
      <c r="E4675" s="166"/>
      <c r="F4675" s="165"/>
      <c r="G4675" s="164"/>
    </row>
    <row r="4676" spans="1:7" x14ac:dyDescent="0.25">
      <c r="A4676" s="169" t="str">
        <f>E4676&amp;COUNTIFS($E$2:E4676,E4676)</f>
        <v>0</v>
      </c>
      <c r="B4676" s="166"/>
      <c r="C4676" s="168"/>
      <c r="D4676" s="167"/>
      <c r="E4676" s="166"/>
      <c r="F4676" s="165"/>
      <c r="G4676" s="164"/>
    </row>
    <row r="4677" spans="1:7" x14ac:dyDescent="0.25">
      <c r="A4677" s="169" t="str">
        <f>E4677&amp;COUNTIFS($E$2:E4677,E4677)</f>
        <v>0</v>
      </c>
      <c r="B4677" s="166"/>
      <c r="C4677" s="168"/>
      <c r="D4677" s="167"/>
      <c r="E4677" s="166"/>
      <c r="F4677" s="165"/>
      <c r="G4677" s="164"/>
    </row>
    <row r="4678" spans="1:7" x14ac:dyDescent="0.25">
      <c r="A4678" s="169" t="str">
        <f>E4678&amp;COUNTIFS($E$2:E4678,E4678)</f>
        <v>0</v>
      </c>
      <c r="B4678" s="166"/>
      <c r="C4678" s="168"/>
      <c r="D4678" s="167"/>
      <c r="E4678" s="166"/>
      <c r="F4678" s="165"/>
      <c r="G4678" s="164"/>
    </row>
    <row r="4679" spans="1:7" x14ac:dyDescent="0.25">
      <c r="A4679" s="169" t="str">
        <f>E4679&amp;COUNTIFS($E$2:E4679,E4679)</f>
        <v>0</v>
      </c>
      <c r="B4679" s="166"/>
      <c r="C4679" s="168"/>
      <c r="D4679" s="167"/>
      <c r="E4679" s="166"/>
      <c r="F4679" s="165"/>
      <c r="G4679" s="164"/>
    </row>
    <row r="4680" spans="1:7" x14ac:dyDescent="0.25">
      <c r="A4680" s="169" t="str">
        <f>E4680&amp;COUNTIFS($E$2:E4680,E4680)</f>
        <v>0</v>
      </c>
      <c r="B4680" s="166"/>
      <c r="C4680" s="168"/>
      <c r="D4680" s="167"/>
      <c r="E4680" s="166"/>
      <c r="F4680" s="165"/>
      <c r="G4680" s="164"/>
    </row>
    <row r="4681" spans="1:7" x14ac:dyDescent="0.25">
      <c r="A4681" s="169" t="str">
        <f>E4681&amp;COUNTIFS($E$2:E4681,E4681)</f>
        <v>0</v>
      </c>
      <c r="B4681" s="166"/>
      <c r="C4681" s="168"/>
      <c r="D4681" s="167"/>
      <c r="E4681" s="166"/>
      <c r="F4681" s="165"/>
      <c r="G4681" s="164"/>
    </row>
    <row r="4682" spans="1:7" x14ac:dyDescent="0.25">
      <c r="A4682" s="169" t="str">
        <f>E4682&amp;COUNTIFS($E$2:E4682,E4682)</f>
        <v>0</v>
      </c>
      <c r="B4682" s="166"/>
      <c r="C4682" s="168"/>
      <c r="D4682" s="167"/>
      <c r="E4682" s="166"/>
      <c r="F4682" s="165"/>
      <c r="G4682" s="164"/>
    </row>
    <row r="4683" spans="1:7" x14ac:dyDescent="0.25">
      <c r="A4683" s="169" t="str">
        <f>E4683&amp;COUNTIFS($E$2:E4683,E4683)</f>
        <v>0</v>
      </c>
      <c r="B4683" s="166"/>
      <c r="C4683" s="168"/>
      <c r="D4683" s="167"/>
      <c r="E4683" s="166"/>
      <c r="F4683" s="165"/>
      <c r="G4683" s="164"/>
    </row>
    <row r="4684" spans="1:7" ht="15.75" thickBot="1" x14ac:dyDescent="0.3">
      <c r="A4684" s="163" t="str">
        <f>E4684&amp;COUNTIFS($E$2:E4684,E4684)</f>
        <v>0</v>
      </c>
      <c r="B4684" s="160"/>
      <c r="C4684" s="162"/>
      <c r="D4684" s="161"/>
      <c r="E4684" s="160"/>
      <c r="F4684" s="159"/>
      <c r="G4684" s="158"/>
    </row>
    <row r="4685" spans="1:7" x14ac:dyDescent="0.25">
      <c r="A4685" s="148"/>
      <c r="C4685" s="143"/>
      <c r="D4685" s="157"/>
      <c r="E4685" s="143"/>
      <c r="F4685" s="156"/>
      <c r="G4685" s="156"/>
    </row>
    <row r="4686" spans="1:7" x14ac:dyDescent="0.25">
      <c r="A4686" s="148"/>
      <c r="C4686" s="153" t="s">
        <v>623</v>
      </c>
      <c r="D4686" s="152"/>
      <c r="E4686" s="151"/>
      <c r="F4686" s="150">
        <f>SUM(F4660:F4684)</f>
        <v>0</v>
      </c>
      <c r="G4686" s="155">
        <f>SUM(G4660:G4684)</f>
        <v>0</v>
      </c>
    </row>
    <row r="4687" spans="1:7" x14ac:dyDescent="0.25">
      <c r="A4687" s="148"/>
      <c r="C4687" s="145" t="s">
        <v>622</v>
      </c>
      <c r="D4687" s="154"/>
      <c r="E4687" s="145"/>
      <c r="F4687" s="144"/>
      <c r="G4687" s="144"/>
    </row>
    <row r="4688" spans="1:7" x14ac:dyDescent="0.25">
      <c r="A4688" s="148"/>
      <c r="C4688" s="153" t="s">
        <v>621</v>
      </c>
      <c r="D4688" s="152"/>
      <c r="E4688" s="151"/>
      <c r="F4688" s="150">
        <f>F4655</f>
        <v>0</v>
      </c>
      <c r="G4688" s="150">
        <f>G4655</f>
        <v>0</v>
      </c>
    </row>
    <row r="4689" spans="1:7" x14ac:dyDescent="0.25">
      <c r="A4689" s="148"/>
      <c r="C4689" s="153" t="s">
        <v>582</v>
      </c>
      <c r="D4689" s="152"/>
      <c r="E4689" s="151"/>
      <c r="F4689" s="150">
        <f>F4688+F4686</f>
        <v>0</v>
      </c>
      <c r="G4689" s="150">
        <f>G4688+G4686</f>
        <v>0</v>
      </c>
    </row>
    <row r="4690" spans="1:7" ht="15.75" thickBot="1" x14ac:dyDescent="0.3">
      <c r="A4690" s="148"/>
      <c r="C4690" s="145"/>
      <c r="D4690" s="149"/>
      <c r="E4690" s="145"/>
      <c r="F4690" s="144"/>
      <c r="G4690" s="144"/>
    </row>
    <row r="4691" spans="1:7" ht="15.75" thickBot="1" x14ac:dyDescent="0.3">
      <c r="A4691" s="148"/>
      <c r="C4691" s="147" t="s">
        <v>620</v>
      </c>
      <c r="D4691" s="146">
        <f>F4689-G4689</f>
        <v>0</v>
      </c>
      <c r="E4691" s="145"/>
      <c r="F4691" s="144"/>
      <c r="G4691" s="144"/>
    </row>
    <row r="4692" spans="1:7" ht="15.75" thickBot="1" x14ac:dyDescent="0.3"/>
    <row r="4693" spans="1:7" ht="30.75" thickBot="1" x14ac:dyDescent="0.3">
      <c r="A4693" s="209" t="s">
        <v>626</v>
      </c>
      <c r="B4693" s="208" t="s">
        <v>606</v>
      </c>
      <c r="C4693" s="207" t="s">
        <v>629</v>
      </c>
      <c r="D4693" s="206" t="s">
        <v>601</v>
      </c>
      <c r="E4693" s="205" t="s">
        <v>287</v>
      </c>
      <c r="F4693" s="204" t="s">
        <v>624</v>
      </c>
      <c r="G4693" s="204" t="s">
        <v>596</v>
      </c>
    </row>
    <row r="4694" spans="1:7" x14ac:dyDescent="0.25">
      <c r="A4694" s="175" t="str">
        <f>E4694&amp;COUNTIFS($E$2:E4694,E4694)</f>
        <v>0</v>
      </c>
      <c r="B4694" s="172"/>
      <c r="C4694" s="174"/>
      <c r="D4694" s="173"/>
      <c r="E4694" s="172"/>
      <c r="F4694" s="171"/>
      <c r="G4694" s="170"/>
    </row>
    <row r="4695" spans="1:7" x14ac:dyDescent="0.25">
      <c r="A4695" s="169" t="str">
        <f>E4695&amp;COUNTIFS($E$2:E4695,E4695)</f>
        <v>0</v>
      </c>
      <c r="B4695" s="166"/>
      <c r="C4695" s="168"/>
      <c r="D4695" s="167"/>
      <c r="E4695" s="166"/>
      <c r="F4695" s="165"/>
      <c r="G4695" s="164"/>
    </row>
    <row r="4696" spans="1:7" x14ac:dyDescent="0.25">
      <c r="A4696" s="169" t="str">
        <f>E4696&amp;COUNTIFS($E$2:E4696,E4696)</f>
        <v>0</v>
      </c>
      <c r="B4696" s="166"/>
      <c r="C4696" s="168"/>
      <c r="D4696" s="167"/>
      <c r="E4696" s="166"/>
      <c r="F4696" s="165"/>
      <c r="G4696" s="164"/>
    </row>
    <row r="4697" spans="1:7" x14ac:dyDescent="0.25">
      <c r="A4697" s="169" t="str">
        <f>E4697&amp;COUNTIFS($E$2:E4697,E4697)</f>
        <v>0</v>
      </c>
      <c r="B4697" s="166"/>
      <c r="C4697" s="168"/>
      <c r="D4697" s="167"/>
      <c r="E4697" s="166"/>
      <c r="F4697" s="165"/>
      <c r="G4697" s="164"/>
    </row>
    <row r="4698" spans="1:7" x14ac:dyDescent="0.25">
      <c r="A4698" s="169" t="str">
        <f>E4698&amp;COUNTIFS($E$2:E4698,E4698)</f>
        <v>0</v>
      </c>
      <c r="B4698" s="166"/>
      <c r="C4698" s="168"/>
      <c r="D4698" s="167"/>
      <c r="E4698" s="166"/>
      <c r="F4698" s="165"/>
      <c r="G4698" s="164"/>
    </row>
    <row r="4699" spans="1:7" x14ac:dyDescent="0.25">
      <c r="A4699" s="169" t="str">
        <f>E4699&amp;COUNTIFS($E$2:E4699,E4699)</f>
        <v>0</v>
      </c>
      <c r="B4699" s="166"/>
      <c r="C4699" s="168"/>
      <c r="D4699" s="167"/>
      <c r="E4699" s="166"/>
      <c r="F4699" s="165"/>
      <c r="G4699" s="164"/>
    </row>
    <row r="4700" spans="1:7" x14ac:dyDescent="0.25">
      <c r="A4700" s="169" t="str">
        <f>E4700&amp;COUNTIFS($E$2:E4700,E4700)</f>
        <v>0</v>
      </c>
      <c r="B4700" s="166"/>
      <c r="C4700" s="168"/>
      <c r="D4700" s="167"/>
      <c r="E4700" s="166"/>
      <c r="F4700" s="165"/>
      <c r="G4700" s="164"/>
    </row>
    <row r="4701" spans="1:7" x14ac:dyDescent="0.25">
      <c r="A4701" s="169" t="str">
        <f>E4701&amp;COUNTIFS($E$2:E4701,E4701)</f>
        <v>0</v>
      </c>
      <c r="B4701" s="166"/>
      <c r="C4701" s="168"/>
      <c r="D4701" s="167"/>
      <c r="E4701" s="166"/>
      <c r="F4701" s="165"/>
      <c r="G4701" s="164"/>
    </row>
    <row r="4702" spans="1:7" x14ac:dyDescent="0.25">
      <c r="A4702" s="169" t="str">
        <f>E4702&amp;COUNTIFS($E$2:E4702,E4702)</f>
        <v>0</v>
      </c>
      <c r="B4702" s="166"/>
      <c r="C4702" s="168"/>
      <c r="D4702" s="167"/>
      <c r="E4702" s="166"/>
      <c r="F4702" s="165"/>
      <c r="G4702" s="164"/>
    </row>
    <row r="4703" spans="1:7" x14ac:dyDescent="0.25">
      <c r="A4703" s="169" t="str">
        <f>E4703&amp;COUNTIFS($E$2:E4703,E4703)</f>
        <v>0</v>
      </c>
      <c r="B4703" s="166"/>
      <c r="C4703" s="168"/>
      <c r="D4703" s="167"/>
      <c r="E4703" s="166"/>
      <c r="F4703" s="165"/>
      <c r="G4703" s="164"/>
    </row>
    <row r="4704" spans="1:7" x14ac:dyDescent="0.25">
      <c r="A4704" s="169" t="str">
        <f>E4704&amp;COUNTIFS($E$2:E4704,E4704)</f>
        <v>0</v>
      </c>
      <c r="B4704" s="166"/>
      <c r="C4704" s="168"/>
      <c r="D4704" s="167"/>
      <c r="E4704" s="166"/>
      <c r="F4704" s="165"/>
      <c r="G4704" s="164"/>
    </row>
    <row r="4705" spans="1:7" x14ac:dyDescent="0.25">
      <c r="A4705" s="169" t="str">
        <f>E4705&amp;COUNTIFS($E$2:E4705,E4705)</f>
        <v>0</v>
      </c>
      <c r="B4705" s="166"/>
      <c r="C4705" s="168"/>
      <c r="D4705" s="167"/>
      <c r="E4705" s="166"/>
      <c r="F4705" s="165"/>
      <c r="G4705" s="164"/>
    </row>
    <row r="4706" spans="1:7" x14ac:dyDescent="0.25">
      <c r="A4706" s="169" t="str">
        <f>E4706&amp;COUNTIFS($E$2:E4706,E4706)</f>
        <v>0</v>
      </c>
      <c r="B4706" s="166"/>
      <c r="C4706" s="168"/>
      <c r="D4706" s="167"/>
      <c r="E4706" s="166"/>
      <c r="F4706" s="165"/>
      <c r="G4706" s="164"/>
    </row>
    <row r="4707" spans="1:7" x14ac:dyDescent="0.25">
      <c r="A4707" s="169" t="str">
        <f>E4707&amp;COUNTIFS($E$2:E4707,E4707)</f>
        <v>0</v>
      </c>
      <c r="B4707" s="166"/>
      <c r="C4707" s="168"/>
      <c r="D4707" s="167"/>
      <c r="E4707" s="166"/>
      <c r="F4707" s="165"/>
      <c r="G4707" s="164"/>
    </row>
    <row r="4708" spans="1:7" x14ac:dyDescent="0.25">
      <c r="A4708" s="169" t="str">
        <f>E4708&amp;COUNTIFS($E$2:E4708,E4708)</f>
        <v>0</v>
      </c>
      <c r="B4708" s="166"/>
      <c r="C4708" s="168"/>
      <c r="D4708" s="167"/>
      <c r="E4708" s="166"/>
      <c r="F4708" s="165"/>
      <c r="G4708" s="164"/>
    </row>
    <row r="4709" spans="1:7" x14ac:dyDescent="0.25">
      <c r="A4709" s="169" t="str">
        <f>E4709&amp;COUNTIFS($E$2:E4709,E4709)</f>
        <v>0</v>
      </c>
      <c r="B4709" s="166"/>
      <c r="C4709" s="168"/>
      <c r="D4709" s="167"/>
      <c r="E4709" s="166"/>
      <c r="F4709" s="165"/>
      <c r="G4709" s="164"/>
    </row>
    <row r="4710" spans="1:7" x14ac:dyDescent="0.25">
      <c r="A4710" s="169" t="str">
        <f>E4710&amp;COUNTIFS($E$2:E4710,E4710)</f>
        <v>0</v>
      </c>
      <c r="B4710" s="166"/>
      <c r="C4710" s="168"/>
      <c r="D4710" s="167"/>
      <c r="E4710" s="166"/>
      <c r="F4710" s="165"/>
      <c r="G4710" s="164"/>
    </row>
    <row r="4711" spans="1:7" x14ac:dyDescent="0.25">
      <c r="A4711" s="169" t="str">
        <f>E4711&amp;COUNTIFS($E$2:E4711,E4711)</f>
        <v>0</v>
      </c>
      <c r="B4711" s="166"/>
      <c r="C4711" s="168"/>
      <c r="D4711" s="167"/>
      <c r="E4711" s="166"/>
      <c r="F4711" s="165"/>
      <c r="G4711" s="164"/>
    </row>
    <row r="4712" spans="1:7" x14ac:dyDescent="0.25">
      <c r="A4712" s="169" t="str">
        <f>E4712&amp;COUNTIFS($E$2:E4712,E4712)</f>
        <v>0</v>
      </c>
      <c r="B4712" s="166"/>
      <c r="C4712" s="168"/>
      <c r="D4712" s="167"/>
      <c r="E4712" s="166"/>
      <c r="F4712" s="165"/>
      <c r="G4712" s="164"/>
    </row>
    <row r="4713" spans="1:7" x14ac:dyDescent="0.25">
      <c r="A4713" s="169" t="str">
        <f>E4713&amp;COUNTIFS($E$2:E4713,E4713)</f>
        <v>0</v>
      </c>
      <c r="B4713" s="166"/>
      <c r="C4713" s="168"/>
      <c r="D4713" s="167"/>
      <c r="E4713" s="166"/>
      <c r="F4713" s="165"/>
      <c r="G4713" s="164"/>
    </row>
    <row r="4714" spans="1:7" x14ac:dyDescent="0.25">
      <c r="A4714" s="169" t="str">
        <f>E4714&amp;COUNTIFS($E$2:E4714,E4714)</f>
        <v>0</v>
      </c>
      <c r="B4714" s="166"/>
      <c r="C4714" s="168"/>
      <c r="D4714" s="167"/>
      <c r="E4714" s="166"/>
      <c r="F4714" s="165"/>
      <c r="G4714" s="164"/>
    </row>
    <row r="4715" spans="1:7" x14ac:dyDescent="0.25">
      <c r="A4715" s="169" t="str">
        <f>E4715&amp;COUNTIFS($E$2:E4715,E4715)</f>
        <v>0</v>
      </c>
      <c r="B4715" s="166"/>
      <c r="C4715" s="168"/>
      <c r="D4715" s="167"/>
      <c r="E4715" s="166"/>
      <c r="F4715" s="165"/>
      <c r="G4715" s="164"/>
    </row>
    <row r="4716" spans="1:7" x14ac:dyDescent="0.25">
      <c r="A4716" s="169" t="str">
        <f>E4716&amp;COUNTIFS($E$2:E4716,E4716)</f>
        <v>0</v>
      </c>
      <c r="B4716" s="166"/>
      <c r="C4716" s="168"/>
      <c r="D4716" s="167"/>
      <c r="E4716" s="166"/>
      <c r="F4716" s="165"/>
      <c r="G4716" s="164"/>
    </row>
    <row r="4717" spans="1:7" x14ac:dyDescent="0.25">
      <c r="A4717" s="169" t="str">
        <f>E4717&amp;COUNTIFS($E$2:E4717,E4717)</f>
        <v>0</v>
      </c>
      <c r="B4717" s="166"/>
      <c r="C4717" s="168"/>
      <c r="D4717" s="167"/>
      <c r="E4717" s="166"/>
      <c r="F4717" s="165"/>
      <c r="G4717" s="164"/>
    </row>
    <row r="4718" spans="1:7" ht="15.75" thickBot="1" x14ac:dyDescent="0.3">
      <c r="A4718" s="163" t="str">
        <f>E4718&amp;COUNTIFS($E$2:E4718,E4718)</f>
        <v>0</v>
      </c>
      <c r="B4718" s="160"/>
      <c r="C4718" s="162"/>
      <c r="D4718" s="161"/>
      <c r="E4718" s="160"/>
      <c r="F4718" s="159"/>
      <c r="G4718" s="158"/>
    </row>
    <row r="4719" spans="1:7" x14ac:dyDescent="0.25">
      <c r="A4719" s="148"/>
      <c r="C4719" s="143"/>
      <c r="D4719" s="157"/>
      <c r="E4719" s="143"/>
      <c r="F4719" s="156"/>
      <c r="G4719" s="156"/>
    </row>
    <row r="4720" spans="1:7" x14ac:dyDescent="0.25">
      <c r="A4720" s="148"/>
      <c r="C4720" s="153" t="s">
        <v>623</v>
      </c>
      <c r="D4720" s="152"/>
      <c r="E4720" s="151"/>
      <c r="F4720" s="150">
        <f>SUM(F4694:F4718)</f>
        <v>0</v>
      </c>
      <c r="G4720" s="155">
        <f>SUM(G4694:G4718)</f>
        <v>0</v>
      </c>
    </row>
    <row r="4721" spans="1:7" x14ac:dyDescent="0.25">
      <c r="A4721" s="148"/>
      <c r="C4721" s="145" t="s">
        <v>622</v>
      </c>
      <c r="D4721" s="154"/>
      <c r="E4721" s="145"/>
      <c r="F4721" s="144"/>
      <c r="G4721" s="144"/>
    </row>
    <row r="4722" spans="1:7" x14ac:dyDescent="0.25">
      <c r="A4722" s="148"/>
      <c r="C4722" s="153" t="s">
        <v>621</v>
      </c>
      <c r="D4722" s="152"/>
      <c r="E4722" s="151"/>
      <c r="F4722" s="150">
        <f>F4689</f>
        <v>0</v>
      </c>
      <c r="G4722" s="150">
        <f>G4689</f>
        <v>0</v>
      </c>
    </row>
    <row r="4723" spans="1:7" x14ac:dyDescent="0.25">
      <c r="A4723" s="148"/>
      <c r="C4723" s="153" t="s">
        <v>582</v>
      </c>
      <c r="D4723" s="152"/>
      <c r="E4723" s="151"/>
      <c r="F4723" s="150">
        <f>F4722+F4720</f>
        <v>0</v>
      </c>
      <c r="G4723" s="150">
        <f>G4722+G4720</f>
        <v>0</v>
      </c>
    </row>
    <row r="4724" spans="1:7" ht="15.75" thickBot="1" x14ac:dyDescent="0.3">
      <c r="A4724" s="148"/>
      <c r="C4724" s="145"/>
      <c r="D4724" s="149"/>
      <c r="E4724" s="145"/>
      <c r="F4724" s="144"/>
      <c r="G4724" s="144"/>
    </row>
    <row r="4725" spans="1:7" ht="15.75" thickBot="1" x14ac:dyDescent="0.3">
      <c r="A4725" s="148"/>
      <c r="C4725" s="147" t="s">
        <v>620</v>
      </c>
      <c r="D4725" s="146">
        <f>F4723-G4723</f>
        <v>0</v>
      </c>
      <c r="E4725" s="145"/>
      <c r="F4725" s="144"/>
      <c r="G4725" s="144"/>
    </row>
    <row r="4726" spans="1:7" ht="15.75" thickBot="1" x14ac:dyDescent="0.3"/>
    <row r="4727" spans="1:7" ht="30.75" thickBot="1" x14ac:dyDescent="0.3">
      <c r="A4727" s="209" t="s">
        <v>626</v>
      </c>
      <c r="B4727" s="208" t="s">
        <v>606</v>
      </c>
      <c r="C4727" s="207" t="s">
        <v>629</v>
      </c>
      <c r="D4727" s="206" t="s">
        <v>601</v>
      </c>
      <c r="E4727" s="205" t="s">
        <v>287</v>
      </c>
      <c r="F4727" s="204" t="s">
        <v>624</v>
      </c>
      <c r="G4727" s="204" t="s">
        <v>596</v>
      </c>
    </row>
    <row r="4728" spans="1:7" x14ac:dyDescent="0.25">
      <c r="A4728" s="175" t="str">
        <f>E4728&amp;COUNTIFS($E$2:E4728,E4728)</f>
        <v>0</v>
      </c>
      <c r="B4728" s="172"/>
      <c r="C4728" s="174"/>
      <c r="D4728" s="173"/>
      <c r="E4728" s="172"/>
      <c r="F4728" s="171"/>
      <c r="G4728" s="170"/>
    </row>
    <row r="4729" spans="1:7" x14ac:dyDescent="0.25">
      <c r="A4729" s="169" t="str">
        <f>E4729&amp;COUNTIFS($E$2:E4729,E4729)</f>
        <v>0</v>
      </c>
      <c r="B4729" s="166"/>
      <c r="C4729" s="168"/>
      <c r="D4729" s="167"/>
      <c r="E4729" s="166"/>
      <c r="F4729" s="165"/>
      <c r="G4729" s="164"/>
    </row>
    <row r="4730" spans="1:7" x14ac:dyDescent="0.25">
      <c r="A4730" s="169" t="str">
        <f>E4730&amp;COUNTIFS($E$2:E4730,E4730)</f>
        <v>0</v>
      </c>
      <c r="B4730" s="166"/>
      <c r="C4730" s="168"/>
      <c r="D4730" s="167"/>
      <c r="E4730" s="166"/>
      <c r="F4730" s="165"/>
      <c r="G4730" s="164"/>
    </row>
    <row r="4731" spans="1:7" x14ac:dyDescent="0.25">
      <c r="A4731" s="169" t="str">
        <f>E4731&amp;COUNTIFS($E$2:E4731,E4731)</f>
        <v>0</v>
      </c>
      <c r="B4731" s="166"/>
      <c r="C4731" s="168"/>
      <c r="D4731" s="167"/>
      <c r="E4731" s="166"/>
      <c r="F4731" s="165"/>
      <c r="G4731" s="164"/>
    </row>
    <row r="4732" spans="1:7" x14ac:dyDescent="0.25">
      <c r="A4732" s="169" t="str">
        <f>E4732&amp;COUNTIFS($E$2:E4732,E4732)</f>
        <v>0</v>
      </c>
      <c r="B4732" s="166"/>
      <c r="C4732" s="168"/>
      <c r="D4732" s="167"/>
      <c r="E4732" s="166"/>
      <c r="F4732" s="165"/>
      <c r="G4732" s="164"/>
    </row>
    <row r="4733" spans="1:7" x14ac:dyDescent="0.25">
      <c r="A4733" s="169" t="str">
        <f>E4733&amp;COUNTIFS($E$2:E4733,E4733)</f>
        <v>0</v>
      </c>
      <c r="B4733" s="166"/>
      <c r="C4733" s="168"/>
      <c r="D4733" s="167"/>
      <c r="E4733" s="166"/>
      <c r="F4733" s="165"/>
      <c r="G4733" s="164"/>
    </row>
    <row r="4734" spans="1:7" x14ac:dyDescent="0.25">
      <c r="A4734" s="169" t="str">
        <f>E4734&amp;COUNTIFS($E$2:E4734,E4734)</f>
        <v>0</v>
      </c>
      <c r="B4734" s="166"/>
      <c r="C4734" s="168"/>
      <c r="D4734" s="167"/>
      <c r="E4734" s="166"/>
      <c r="F4734" s="165"/>
      <c r="G4734" s="164"/>
    </row>
    <row r="4735" spans="1:7" x14ac:dyDescent="0.25">
      <c r="A4735" s="169" t="str">
        <f>E4735&amp;COUNTIFS($E$2:E4735,E4735)</f>
        <v>0</v>
      </c>
      <c r="B4735" s="166"/>
      <c r="C4735" s="168"/>
      <c r="D4735" s="167"/>
      <c r="E4735" s="166"/>
      <c r="F4735" s="165"/>
      <c r="G4735" s="164"/>
    </row>
    <row r="4736" spans="1:7" x14ac:dyDescent="0.25">
      <c r="A4736" s="169" t="str">
        <f>E4736&amp;COUNTIFS($E$2:E4736,E4736)</f>
        <v>0</v>
      </c>
      <c r="B4736" s="166"/>
      <c r="C4736" s="168"/>
      <c r="D4736" s="167"/>
      <c r="E4736" s="166"/>
      <c r="F4736" s="165"/>
      <c r="G4736" s="164"/>
    </row>
    <row r="4737" spans="1:7" x14ac:dyDescent="0.25">
      <c r="A4737" s="169" t="str">
        <f>E4737&amp;COUNTIFS($E$2:E4737,E4737)</f>
        <v>0</v>
      </c>
      <c r="B4737" s="166"/>
      <c r="C4737" s="168"/>
      <c r="D4737" s="167"/>
      <c r="E4737" s="166"/>
      <c r="F4737" s="165"/>
      <c r="G4737" s="164"/>
    </row>
    <row r="4738" spans="1:7" x14ac:dyDescent="0.25">
      <c r="A4738" s="169" t="str">
        <f>E4738&amp;COUNTIFS($E$2:E4738,E4738)</f>
        <v>0</v>
      </c>
      <c r="B4738" s="166"/>
      <c r="C4738" s="168"/>
      <c r="D4738" s="167"/>
      <c r="E4738" s="166"/>
      <c r="F4738" s="165"/>
      <c r="G4738" s="164"/>
    </row>
    <row r="4739" spans="1:7" x14ac:dyDescent="0.25">
      <c r="A4739" s="169" t="str">
        <f>E4739&amp;COUNTIFS($E$2:E4739,E4739)</f>
        <v>0</v>
      </c>
      <c r="B4739" s="166"/>
      <c r="C4739" s="168"/>
      <c r="D4739" s="167"/>
      <c r="E4739" s="166"/>
      <c r="F4739" s="165"/>
      <c r="G4739" s="164"/>
    </row>
    <row r="4740" spans="1:7" x14ac:dyDescent="0.25">
      <c r="A4740" s="169" t="str">
        <f>E4740&amp;COUNTIFS($E$2:E4740,E4740)</f>
        <v>0</v>
      </c>
      <c r="B4740" s="166"/>
      <c r="C4740" s="168"/>
      <c r="D4740" s="167"/>
      <c r="E4740" s="166"/>
      <c r="F4740" s="165"/>
      <c r="G4740" s="164"/>
    </row>
    <row r="4741" spans="1:7" x14ac:dyDescent="0.25">
      <c r="A4741" s="169" t="str">
        <f>E4741&amp;COUNTIFS($E$2:E4741,E4741)</f>
        <v>0</v>
      </c>
      <c r="B4741" s="166"/>
      <c r="C4741" s="168"/>
      <c r="D4741" s="167"/>
      <c r="E4741" s="166"/>
      <c r="F4741" s="165"/>
      <c r="G4741" s="164"/>
    </row>
    <row r="4742" spans="1:7" x14ac:dyDescent="0.25">
      <c r="A4742" s="169" t="str">
        <f>E4742&amp;COUNTIFS($E$2:E4742,E4742)</f>
        <v>0</v>
      </c>
      <c r="B4742" s="166"/>
      <c r="C4742" s="168"/>
      <c r="D4742" s="167"/>
      <c r="E4742" s="166"/>
      <c r="F4742" s="165"/>
      <c r="G4742" s="164"/>
    </row>
    <row r="4743" spans="1:7" x14ac:dyDescent="0.25">
      <c r="A4743" s="169" t="str">
        <f>E4743&amp;COUNTIFS($E$2:E4743,E4743)</f>
        <v>0</v>
      </c>
      <c r="B4743" s="166"/>
      <c r="C4743" s="168"/>
      <c r="D4743" s="167"/>
      <c r="E4743" s="166"/>
      <c r="F4743" s="165"/>
      <c r="G4743" s="164"/>
    </row>
    <row r="4744" spans="1:7" x14ac:dyDescent="0.25">
      <c r="A4744" s="169" t="str">
        <f>E4744&amp;COUNTIFS($E$2:E4744,E4744)</f>
        <v>0</v>
      </c>
      <c r="B4744" s="166"/>
      <c r="C4744" s="168"/>
      <c r="D4744" s="167"/>
      <c r="E4744" s="166"/>
      <c r="F4744" s="165"/>
      <c r="G4744" s="164"/>
    </row>
    <row r="4745" spans="1:7" x14ac:dyDescent="0.25">
      <c r="A4745" s="169" t="str">
        <f>E4745&amp;COUNTIFS($E$2:E4745,E4745)</f>
        <v>0</v>
      </c>
      <c r="B4745" s="166"/>
      <c r="C4745" s="168"/>
      <c r="D4745" s="167"/>
      <c r="E4745" s="166"/>
      <c r="F4745" s="165"/>
      <c r="G4745" s="164"/>
    </row>
    <row r="4746" spans="1:7" x14ac:dyDescent="0.25">
      <c r="A4746" s="169" t="str">
        <f>E4746&amp;COUNTIFS($E$2:E4746,E4746)</f>
        <v>0</v>
      </c>
      <c r="B4746" s="166"/>
      <c r="C4746" s="168"/>
      <c r="D4746" s="167"/>
      <c r="E4746" s="166"/>
      <c r="F4746" s="165"/>
      <c r="G4746" s="164"/>
    </row>
    <row r="4747" spans="1:7" x14ac:dyDescent="0.25">
      <c r="A4747" s="169" t="str">
        <f>E4747&amp;COUNTIFS($E$2:E4747,E4747)</f>
        <v>0</v>
      </c>
      <c r="B4747" s="166"/>
      <c r="C4747" s="168"/>
      <c r="D4747" s="167"/>
      <c r="E4747" s="166"/>
      <c r="F4747" s="165"/>
      <c r="G4747" s="164"/>
    </row>
    <row r="4748" spans="1:7" x14ac:dyDescent="0.25">
      <c r="A4748" s="169" t="str">
        <f>E4748&amp;COUNTIFS($E$2:E4748,E4748)</f>
        <v>0</v>
      </c>
      <c r="B4748" s="166"/>
      <c r="C4748" s="168"/>
      <c r="D4748" s="167"/>
      <c r="E4748" s="166"/>
      <c r="F4748" s="165"/>
      <c r="G4748" s="164"/>
    </row>
    <row r="4749" spans="1:7" x14ac:dyDescent="0.25">
      <c r="A4749" s="169" t="str">
        <f>E4749&amp;COUNTIFS($E$2:E4749,E4749)</f>
        <v>0</v>
      </c>
      <c r="B4749" s="166"/>
      <c r="C4749" s="168"/>
      <c r="D4749" s="167"/>
      <c r="E4749" s="166"/>
      <c r="F4749" s="165"/>
      <c r="G4749" s="164"/>
    </row>
    <row r="4750" spans="1:7" x14ac:dyDescent="0.25">
      <c r="A4750" s="169" t="str">
        <f>E4750&amp;COUNTIFS($E$2:E4750,E4750)</f>
        <v>0</v>
      </c>
      <c r="B4750" s="166"/>
      <c r="C4750" s="168"/>
      <c r="D4750" s="167"/>
      <c r="E4750" s="166"/>
      <c r="F4750" s="165"/>
      <c r="G4750" s="164"/>
    </row>
    <row r="4751" spans="1:7" x14ac:dyDescent="0.25">
      <c r="A4751" s="169" t="str">
        <f>E4751&amp;COUNTIFS($E$2:E4751,E4751)</f>
        <v>0</v>
      </c>
      <c r="B4751" s="166"/>
      <c r="C4751" s="168"/>
      <c r="D4751" s="167"/>
      <c r="E4751" s="166"/>
      <c r="F4751" s="165"/>
      <c r="G4751" s="164"/>
    </row>
    <row r="4752" spans="1:7" ht="15.75" thickBot="1" x14ac:dyDescent="0.3">
      <c r="A4752" s="163" t="str">
        <f>E4752&amp;COUNTIFS($E$2:E4752,E4752)</f>
        <v>0</v>
      </c>
      <c r="B4752" s="160"/>
      <c r="C4752" s="162"/>
      <c r="D4752" s="161"/>
      <c r="E4752" s="160"/>
      <c r="F4752" s="159"/>
      <c r="G4752" s="158"/>
    </row>
    <row r="4753" spans="1:7" x14ac:dyDescent="0.25">
      <c r="A4753" s="148"/>
      <c r="C4753" s="143"/>
      <c r="D4753" s="157"/>
      <c r="E4753" s="143"/>
      <c r="F4753" s="156"/>
      <c r="G4753" s="156"/>
    </row>
    <row r="4754" spans="1:7" x14ac:dyDescent="0.25">
      <c r="A4754" s="148"/>
      <c r="C4754" s="153" t="s">
        <v>623</v>
      </c>
      <c r="D4754" s="152"/>
      <c r="E4754" s="151"/>
      <c r="F4754" s="150">
        <f>SUM(F4728:F4752)</f>
        <v>0</v>
      </c>
      <c r="G4754" s="155">
        <f>SUM(G4728:G4752)</f>
        <v>0</v>
      </c>
    </row>
    <row r="4755" spans="1:7" x14ac:dyDescent="0.25">
      <c r="A4755" s="148"/>
      <c r="C4755" s="145" t="s">
        <v>622</v>
      </c>
      <c r="D4755" s="154"/>
      <c r="E4755" s="145"/>
      <c r="F4755" s="144"/>
      <c r="G4755" s="144"/>
    </row>
    <row r="4756" spans="1:7" x14ac:dyDescent="0.25">
      <c r="A4756" s="148"/>
      <c r="C4756" s="153" t="s">
        <v>621</v>
      </c>
      <c r="D4756" s="152"/>
      <c r="E4756" s="151"/>
      <c r="F4756" s="150">
        <f>F4723</f>
        <v>0</v>
      </c>
      <c r="G4756" s="150">
        <f>G4723</f>
        <v>0</v>
      </c>
    </row>
    <row r="4757" spans="1:7" x14ac:dyDescent="0.25">
      <c r="A4757" s="148"/>
      <c r="C4757" s="153" t="s">
        <v>582</v>
      </c>
      <c r="D4757" s="152"/>
      <c r="E4757" s="151"/>
      <c r="F4757" s="150">
        <f>F4756+F4754</f>
        <v>0</v>
      </c>
      <c r="G4757" s="150">
        <f>G4756+G4754</f>
        <v>0</v>
      </c>
    </row>
    <row r="4758" spans="1:7" ht="15.75" thickBot="1" x14ac:dyDescent="0.3">
      <c r="A4758" s="148"/>
      <c r="C4758" s="145"/>
      <c r="D4758" s="149"/>
      <c r="E4758" s="145"/>
      <c r="F4758" s="144"/>
      <c r="G4758" s="144"/>
    </row>
    <row r="4759" spans="1:7" ht="15.75" thickBot="1" x14ac:dyDescent="0.3">
      <c r="A4759" s="148"/>
      <c r="C4759" s="147" t="s">
        <v>620</v>
      </c>
      <c r="D4759" s="146">
        <f>F4757-G4757</f>
        <v>0</v>
      </c>
      <c r="E4759" s="145"/>
      <c r="F4759" s="144"/>
      <c r="G4759" s="144"/>
    </row>
    <row r="4760" spans="1:7" ht="15.75" thickBot="1" x14ac:dyDescent="0.3"/>
    <row r="4761" spans="1:7" ht="30.75" thickBot="1" x14ac:dyDescent="0.3">
      <c r="A4761" s="209" t="s">
        <v>626</v>
      </c>
      <c r="B4761" s="208" t="s">
        <v>606</v>
      </c>
      <c r="C4761" s="207" t="s">
        <v>629</v>
      </c>
      <c r="D4761" s="206" t="s">
        <v>601</v>
      </c>
      <c r="E4761" s="205" t="s">
        <v>287</v>
      </c>
      <c r="F4761" s="204" t="s">
        <v>624</v>
      </c>
      <c r="G4761" s="204" t="s">
        <v>596</v>
      </c>
    </row>
    <row r="4762" spans="1:7" x14ac:dyDescent="0.25">
      <c r="A4762" s="175" t="str">
        <f>E4762&amp;COUNTIFS($E$2:E4762,E4762)</f>
        <v>0</v>
      </c>
      <c r="B4762" s="172"/>
      <c r="C4762" s="174"/>
      <c r="D4762" s="173"/>
      <c r="E4762" s="172"/>
      <c r="F4762" s="171"/>
      <c r="G4762" s="170"/>
    </row>
    <row r="4763" spans="1:7" x14ac:dyDescent="0.25">
      <c r="A4763" s="169" t="str">
        <f>E4763&amp;COUNTIFS($E$2:E4763,E4763)</f>
        <v>0</v>
      </c>
      <c r="B4763" s="166"/>
      <c r="C4763" s="203"/>
      <c r="D4763" s="167"/>
      <c r="E4763" s="166"/>
      <c r="F4763" s="165"/>
      <c r="G4763" s="164"/>
    </row>
    <row r="4764" spans="1:7" x14ac:dyDescent="0.25">
      <c r="A4764" s="169" t="str">
        <f>E4764&amp;COUNTIFS($E$2:E4764,E4764)</f>
        <v>0</v>
      </c>
      <c r="B4764" s="166"/>
      <c r="C4764" s="168"/>
      <c r="D4764" s="167"/>
      <c r="E4764" s="166"/>
      <c r="F4764" s="165"/>
      <c r="G4764" s="164"/>
    </row>
    <row r="4765" spans="1:7" x14ac:dyDescent="0.25">
      <c r="A4765" s="169" t="str">
        <f>E4765&amp;COUNTIFS($E$2:E4765,E4765)</f>
        <v>0</v>
      </c>
      <c r="B4765" s="166"/>
      <c r="C4765" s="203"/>
      <c r="D4765" s="167"/>
      <c r="E4765" s="166"/>
      <c r="F4765" s="165"/>
      <c r="G4765" s="164"/>
    </row>
    <row r="4766" spans="1:7" x14ac:dyDescent="0.25">
      <c r="A4766" s="169" t="str">
        <f>E4766&amp;COUNTIFS($E$2:E4766,E4766)</f>
        <v>0</v>
      </c>
      <c r="B4766" s="166"/>
      <c r="C4766" s="168"/>
      <c r="D4766" s="167"/>
      <c r="E4766" s="166"/>
      <c r="F4766" s="165"/>
      <c r="G4766" s="164"/>
    </row>
    <row r="4767" spans="1:7" x14ac:dyDescent="0.25">
      <c r="A4767" s="169" t="str">
        <f>E4767&amp;COUNTIFS($E$2:E4767,E4767)</f>
        <v>0</v>
      </c>
      <c r="B4767" s="166"/>
      <c r="C4767" s="203"/>
      <c r="D4767" s="167"/>
      <c r="E4767" s="166"/>
      <c r="F4767" s="165"/>
      <c r="G4767" s="164"/>
    </row>
    <row r="4768" spans="1:7" x14ac:dyDescent="0.25">
      <c r="A4768" s="169" t="str">
        <f>E4768&amp;COUNTIFS($E$2:E4768,E4768)</f>
        <v>0</v>
      </c>
      <c r="B4768" s="166"/>
      <c r="C4768" s="168"/>
      <c r="D4768" s="167"/>
      <c r="E4768" s="166"/>
      <c r="F4768" s="165"/>
      <c r="G4768" s="164"/>
    </row>
    <row r="4769" spans="1:7" x14ac:dyDescent="0.25">
      <c r="A4769" s="169" t="str">
        <f>E4769&amp;COUNTIFS($E$2:E4769,E4769)</f>
        <v>0</v>
      </c>
      <c r="B4769" s="166"/>
      <c r="C4769" s="203"/>
      <c r="D4769" s="167"/>
      <c r="E4769" s="166"/>
      <c r="F4769" s="165"/>
      <c r="G4769" s="164"/>
    </row>
    <row r="4770" spans="1:7" x14ac:dyDescent="0.25">
      <c r="A4770" s="169" t="str">
        <f>E4770&amp;COUNTIFS($E$2:E4770,E4770)</f>
        <v>0</v>
      </c>
      <c r="B4770" s="166"/>
      <c r="C4770" s="168"/>
      <c r="D4770" s="167"/>
      <c r="E4770" s="166"/>
      <c r="F4770" s="165"/>
      <c r="G4770" s="164"/>
    </row>
    <row r="4771" spans="1:7" x14ac:dyDescent="0.25">
      <c r="A4771" s="169" t="str">
        <f>E4771&amp;COUNTIFS($E$2:E4771,E4771)</f>
        <v>0</v>
      </c>
      <c r="B4771" s="166"/>
      <c r="C4771" s="203"/>
      <c r="D4771" s="167"/>
      <c r="E4771" s="166"/>
      <c r="F4771" s="165"/>
      <c r="G4771" s="164"/>
    </row>
    <row r="4772" spans="1:7" x14ac:dyDescent="0.25">
      <c r="A4772" s="169" t="str">
        <f>E4772&amp;COUNTIFS($E$2:E4772,E4772)</f>
        <v>0</v>
      </c>
      <c r="B4772" s="166"/>
      <c r="C4772" s="168"/>
      <c r="D4772" s="167"/>
      <c r="E4772" s="166"/>
      <c r="F4772" s="165"/>
      <c r="G4772" s="164"/>
    </row>
    <row r="4773" spans="1:7" x14ac:dyDescent="0.25">
      <c r="A4773" s="169" t="str">
        <f>E4773&amp;COUNTIFS($E$2:E4773,E4773)</f>
        <v>0</v>
      </c>
      <c r="B4773" s="166"/>
      <c r="C4773" s="203"/>
      <c r="D4773" s="167"/>
      <c r="E4773" s="166"/>
      <c r="F4773" s="165"/>
      <c r="G4773" s="164"/>
    </row>
    <row r="4774" spans="1:7" x14ac:dyDescent="0.25">
      <c r="A4774" s="169" t="str">
        <f>E4774&amp;COUNTIFS($E$2:E4774,E4774)</f>
        <v>0</v>
      </c>
      <c r="B4774" s="166"/>
      <c r="C4774" s="168"/>
      <c r="D4774" s="167"/>
      <c r="E4774" s="166"/>
      <c r="F4774" s="165"/>
      <c r="G4774" s="164"/>
    </row>
    <row r="4775" spans="1:7" x14ac:dyDescent="0.25">
      <c r="A4775" s="169" t="str">
        <f>E4775&amp;COUNTIFS($E$2:E4775,E4775)</f>
        <v>0</v>
      </c>
      <c r="B4775" s="166"/>
      <c r="C4775" s="203"/>
      <c r="D4775" s="167"/>
      <c r="E4775" s="166"/>
      <c r="F4775" s="165"/>
      <c r="G4775" s="164"/>
    </row>
    <row r="4776" spans="1:7" x14ac:dyDescent="0.25">
      <c r="A4776" s="169" t="str">
        <f>E4776&amp;COUNTIFS($E$2:E4776,E4776)</f>
        <v>0</v>
      </c>
      <c r="B4776" s="166"/>
      <c r="C4776" s="168"/>
      <c r="D4776" s="167"/>
      <c r="E4776" s="166"/>
      <c r="F4776" s="165"/>
      <c r="G4776" s="164"/>
    </row>
    <row r="4777" spans="1:7" x14ac:dyDescent="0.25">
      <c r="A4777" s="169" t="str">
        <f>E4777&amp;COUNTIFS($E$2:E4777,E4777)</f>
        <v>0</v>
      </c>
      <c r="B4777" s="166"/>
      <c r="C4777" s="203"/>
      <c r="D4777" s="167"/>
      <c r="E4777" s="166"/>
      <c r="F4777" s="165"/>
      <c r="G4777" s="164"/>
    </row>
    <row r="4778" spans="1:7" x14ac:dyDescent="0.25">
      <c r="A4778" s="169" t="str">
        <f>E4778&amp;COUNTIFS($E$2:E4778,E4778)</f>
        <v>0</v>
      </c>
      <c r="B4778" s="166"/>
      <c r="C4778" s="168"/>
      <c r="D4778" s="167"/>
      <c r="E4778" s="166"/>
      <c r="F4778" s="165"/>
      <c r="G4778" s="164"/>
    </row>
    <row r="4779" spans="1:7" x14ac:dyDescent="0.25">
      <c r="A4779" s="169" t="str">
        <f>E4779&amp;COUNTIFS($E$2:E4779,E4779)</f>
        <v>0</v>
      </c>
      <c r="B4779" s="166"/>
      <c r="C4779" s="203"/>
      <c r="D4779" s="167"/>
      <c r="E4779" s="166"/>
      <c r="F4779" s="165"/>
      <c r="G4779" s="164"/>
    </row>
    <row r="4780" spans="1:7" x14ac:dyDescent="0.25">
      <c r="A4780" s="169" t="str">
        <f>E4780&amp;COUNTIFS($E$2:E4780,E4780)</f>
        <v>0</v>
      </c>
      <c r="B4780" s="166"/>
      <c r="C4780" s="168"/>
      <c r="D4780" s="167"/>
      <c r="E4780" s="166"/>
      <c r="F4780" s="165"/>
      <c r="G4780" s="164"/>
    </row>
    <row r="4781" spans="1:7" x14ac:dyDescent="0.25">
      <c r="A4781" s="169" t="str">
        <f>E4781&amp;COUNTIFS($E$2:E4781,E4781)</f>
        <v>0</v>
      </c>
      <c r="B4781" s="166"/>
      <c r="C4781" s="168"/>
      <c r="D4781" s="167"/>
      <c r="E4781" s="166"/>
      <c r="F4781" s="165"/>
      <c r="G4781" s="164"/>
    </row>
    <row r="4782" spans="1:7" x14ac:dyDescent="0.25">
      <c r="A4782" s="169" t="str">
        <f>E4782&amp;COUNTIFS($E$2:E4782,E4782)</f>
        <v>0</v>
      </c>
      <c r="B4782" s="166"/>
      <c r="C4782" s="168"/>
      <c r="D4782" s="167"/>
      <c r="E4782" s="166"/>
      <c r="F4782" s="165"/>
      <c r="G4782" s="164"/>
    </row>
    <row r="4783" spans="1:7" x14ac:dyDescent="0.25">
      <c r="A4783" s="169" t="str">
        <f>E4783&amp;COUNTIFS($E$2:E4783,E4783)</f>
        <v>0</v>
      </c>
      <c r="B4783" s="166"/>
      <c r="C4783" s="168"/>
      <c r="D4783" s="167"/>
      <c r="E4783" s="166"/>
      <c r="F4783" s="165"/>
      <c r="G4783" s="164"/>
    </row>
    <row r="4784" spans="1:7" x14ac:dyDescent="0.25">
      <c r="A4784" s="169" t="str">
        <f>E4784&amp;COUNTIFS($E$2:E4784,E4784)</f>
        <v>0</v>
      </c>
      <c r="B4784" s="166"/>
      <c r="C4784" s="168"/>
      <c r="D4784" s="167"/>
      <c r="E4784" s="166"/>
      <c r="F4784" s="165"/>
      <c r="G4784" s="164"/>
    </row>
    <row r="4785" spans="1:7" x14ac:dyDescent="0.25">
      <c r="A4785" s="169" t="str">
        <f>E4785&amp;COUNTIFS($E$2:E4785,E4785)</f>
        <v>0</v>
      </c>
      <c r="B4785" s="166"/>
      <c r="C4785" s="168"/>
      <c r="D4785" s="167"/>
      <c r="E4785" s="166"/>
      <c r="F4785" s="165"/>
      <c r="G4785" s="164"/>
    </row>
    <row r="4786" spans="1:7" ht="15.75" thickBot="1" x14ac:dyDescent="0.3">
      <c r="A4786" s="163" t="str">
        <f>E4786&amp;COUNTIFS($E$2:E4786,E4786)</f>
        <v>0</v>
      </c>
      <c r="B4786" s="160"/>
      <c r="C4786" s="162"/>
      <c r="D4786" s="161"/>
      <c r="E4786" s="160"/>
      <c r="F4786" s="159"/>
      <c r="G4786" s="158"/>
    </row>
    <row r="4787" spans="1:7" x14ac:dyDescent="0.25">
      <c r="A4787" s="148"/>
      <c r="C4787" s="143"/>
      <c r="D4787" s="157"/>
      <c r="E4787" s="143"/>
      <c r="F4787" s="156"/>
      <c r="G4787" s="156"/>
    </row>
    <row r="4788" spans="1:7" x14ac:dyDescent="0.25">
      <c r="A4788" s="148"/>
      <c r="C4788" s="153" t="s">
        <v>623</v>
      </c>
      <c r="D4788" s="152"/>
      <c r="E4788" s="151"/>
      <c r="F4788" s="150">
        <f>SUM(F4762:F4786)</f>
        <v>0</v>
      </c>
      <c r="G4788" s="155">
        <f>SUM(G4762:G4786)</f>
        <v>0</v>
      </c>
    </row>
    <row r="4789" spans="1:7" x14ac:dyDescent="0.25">
      <c r="A4789" s="148"/>
      <c r="C4789" s="145" t="s">
        <v>622</v>
      </c>
      <c r="D4789" s="154"/>
      <c r="E4789" s="145"/>
      <c r="F4789" s="144"/>
      <c r="G4789" s="144"/>
    </row>
    <row r="4790" spans="1:7" x14ac:dyDescent="0.25">
      <c r="A4790" s="148"/>
      <c r="C4790" s="153" t="s">
        <v>621</v>
      </c>
      <c r="D4790" s="152"/>
      <c r="E4790" s="151"/>
      <c r="F4790" s="150">
        <f>F4757</f>
        <v>0</v>
      </c>
      <c r="G4790" s="150">
        <f>G4757</f>
        <v>0</v>
      </c>
    </row>
    <row r="4791" spans="1:7" x14ac:dyDescent="0.25">
      <c r="A4791" s="148"/>
      <c r="C4791" s="153" t="s">
        <v>582</v>
      </c>
      <c r="D4791" s="152"/>
      <c r="E4791" s="151"/>
      <c r="F4791" s="150">
        <f>F4790+F4788</f>
        <v>0</v>
      </c>
      <c r="G4791" s="150">
        <f>G4790+G4788</f>
        <v>0</v>
      </c>
    </row>
    <row r="4792" spans="1:7" ht="15.75" thickBot="1" x14ac:dyDescent="0.3">
      <c r="A4792" s="148"/>
      <c r="C4792" s="145"/>
      <c r="D4792" s="149"/>
      <c r="E4792" s="145"/>
      <c r="F4792" s="144"/>
      <c r="G4792" s="144"/>
    </row>
    <row r="4793" spans="1:7" ht="15.75" thickBot="1" x14ac:dyDescent="0.3">
      <c r="A4793" s="148"/>
      <c r="C4793" s="147" t="s">
        <v>620</v>
      </c>
      <c r="D4793" s="146">
        <f>F4791-G4791</f>
        <v>0</v>
      </c>
      <c r="E4793" s="145"/>
      <c r="F4793" s="144"/>
      <c r="G4793" s="144"/>
    </row>
    <row r="4794" spans="1:7" ht="15.75" thickBot="1" x14ac:dyDescent="0.3"/>
    <row r="4795" spans="1:7" ht="30.75" thickBot="1" x14ac:dyDescent="0.3">
      <c r="A4795" s="209" t="s">
        <v>626</v>
      </c>
      <c r="B4795" s="208" t="s">
        <v>606</v>
      </c>
      <c r="C4795" s="207" t="s">
        <v>629</v>
      </c>
      <c r="D4795" s="206" t="s">
        <v>601</v>
      </c>
      <c r="E4795" s="205" t="s">
        <v>287</v>
      </c>
      <c r="F4795" s="204" t="s">
        <v>624</v>
      </c>
      <c r="G4795" s="204" t="s">
        <v>596</v>
      </c>
    </row>
    <row r="4796" spans="1:7" x14ac:dyDescent="0.25">
      <c r="A4796" s="175" t="str">
        <f>E4796&amp;COUNTIFS($E$2:E4796,E4796)</f>
        <v>0</v>
      </c>
      <c r="B4796" s="172"/>
      <c r="C4796" s="174"/>
      <c r="D4796" s="173"/>
      <c r="E4796" s="172"/>
      <c r="F4796" s="171"/>
      <c r="G4796" s="170"/>
    </row>
    <row r="4797" spans="1:7" x14ac:dyDescent="0.25">
      <c r="A4797" s="169" t="str">
        <f>E4797&amp;COUNTIFS($E$2:E4797,E4797)</f>
        <v>0</v>
      </c>
      <c r="B4797" s="166"/>
      <c r="C4797" s="168"/>
      <c r="D4797" s="167"/>
      <c r="E4797" s="166"/>
      <c r="F4797" s="165"/>
      <c r="G4797" s="164"/>
    </row>
    <row r="4798" spans="1:7" x14ac:dyDescent="0.25">
      <c r="A4798" s="169" t="str">
        <f>E4798&amp;COUNTIFS($E$2:E4798,E4798)</f>
        <v>0</v>
      </c>
      <c r="B4798" s="166"/>
      <c r="C4798" s="168"/>
      <c r="D4798" s="167"/>
      <c r="E4798" s="166"/>
      <c r="F4798" s="165"/>
      <c r="G4798" s="164"/>
    </row>
    <row r="4799" spans="1:7" x14ac:dyDescent="0.25">
      <c r="A4799" s="169" t="str">
        <f>E4799&amp;COUNTIFS($E$2:E4799,E4799)</f>
        <v>0</v>
      </c>
      <c r="B4799" s="166"/>
      <c r="C4799" s="168"/>
      <c r="D4799" s="167"/>
      <c r="E4799" s="166"/>
      <c r="F4799" s="165"/>
      <c r="G4799" s="164"/>
    </row>
    <row r="4800" spans="1:7" x14ac:dyDescent="0.25">
      <c r="A4800" s="169" t="str">
        <f>E4800&amp;COUNTIFS($E$2:E4800,E4800)</f>
        <v>0</v>
      </c>
      <c r="B4800" s="166"/>
      <c r="C4800" s="168"/>
      <c r="D4800" s="167"/>
      <c r="E4800" s="166"/>
      <c r="F4800" s="165"/>
      <c r="G4800" s="164"/>
    </row>
    <row r="4801" spans="1:7" x14ac:dyDescent="0.25">
      <c r="A4801" s="169" t="str">
        <f>E4801&amp;COUNTIFS($E$2:E4801,E4801)</f>
        <v>0</v>
      </c>
      <c r="B4801" s="166"/>
      <c r="C4801" s="168"/>
      <c r="D4801" s="167"/>
      <c r="E4801" s="166"/>
      <c r="F4801" s="165"/>
      <c r="G4801" s="164"/>
    </row>
    <row r="4802" spans="1:7" x14ac:dyDescent="0.25">
      <c r="A4802" s="169" t="str">
        <f>E4802&amp;COUNTIFS($E$2:E4802,E4802)</f>
        <v>0</v>
      </c>
      <c r="B4802" s="166"/>
      <c r="C4802" s="168"/>
      <c r="D4802" s="167"/>
      <c r="E4802" s="166"/>
      <c r="F4802" s="165"/>
      <c r="G4802" s="164"/>
    </row>
    <row r="4803" spans="1:7" x14ac:dyDescent="0.25">
      <c r="A4803" s="169" t="str">
        <f>E4803&amp;COUNTIFS($E$2:E4803,E4803)</f>
        <v>0</v>
      </c>
      <c r="B4803" s="166"/>
      <c r="C4803" s="168"/>
      <c r="D4803" s="167"/>
      <c r="E4803" s="166"/>
      <c r="F4803" s="165"/>
      <c r="G4803" s="164"/>
    </row>
    <row r="4804" spans="1:7" x14ac:dyDescent="0.25">
      <c r="A4804" s="169" t="str">
        <f>E4804&amp;COUNTIFS($E$2:E4804,E4804)</f>
        <v>0</v>
      </c>
      <c r="B4804" s="166"/>
      <c r="C4804" s="168"/>
      <c r="D4804" s="167"/>
      <c r="E4804" s="166"/>
      <c r="F4804" s="165"/>
      <c r="G4804" s="164"/>
    </row>
    <row r="4805" spans="1:7" x14ac:dyDescent="0.25">
      <c r="A4805" s="169" t="str">
        <f>E4805&amp;COUNTIFS($E$2:E4805,E4805)</f>
        <v>0</v>
      </c>
      <c r="B4805" s="166"/>
      <c r="C4805" s="168"/>
      <c r="D4805" s="167"/>
      <c r="E4805" s="166"/>
      <c r="F4805" s="165"/>
      <c r="G4805" s="164"/>
    </row>
    <row r="4806" spans="1:7" x14ac:dyDescent="0.25">
      <c r="A4806" s="169" t="str">
        <f>E4806&amp;COUNTIFS($E$2:E4806,E4806)</f>
        <v>0</v>
      </c>
      <c r="B4806" s="166"/>
      <c r="C4806" s="168"/>
      <c r="D4806" s="167"/>
      <c r="E4806" s="166"/>
      <c r="F4806" s="165"/>
      <c r="G4806" s="164"/>
    </row>
    <row r="4807" spans="1:7" x14ac:dyDescent="0.25">
      <c r="A4807" s="169" t="str">
        <f>E4807&amp;COUNTIFS($E$2:E4807,E4807)</f>
        <v>0</v>
      </c>
      <c r="B4807" s="166"/>
      <c r="C4807" s="168"/>
      <c r="D4807" s="167"/>
      <c r="E4807" s="166"/>
      <c r="F4807" s="165"/>
      <c r="G4807" s="164"/>
    </row>
    <row r="4808" spans="1:7" x14ac:dyDescent="0.25">
      <c r="A4808" s="169" t="str">
        <f>E4808&amp;COUNTIFS($E$2:E4808,E4808)</f>
        <v>0</v>
      </c>
      <c r="B4808" s="166"/>
      <c r="C4808" s="168"/>
      <c r="D4808" s="167"/>
      <c r="E4808" s="166"/>
      <c r="F4808" s="165"/>
      <c r="G4808" s="164"/>
    </row>
    <row r="4809" spans="1:7" x14ac:dyDescent="0.25">
      <c r="A4809" s="169" t="str">
        <f>E4809&amp;COUNTIFS($E$2:E4809,E4809)</f>
        <v>0</v>
      </c>
      <c r="B4809" s="166"/>
      <c r="C4809" s="168"/>
      <c r="D4809" s="167"/>
      <c r="E4809" s="166"/>
      <c r="F4809" s="165"/>
      <c r="G4809" s="164"/>
    </row>
    <row r="4810" spans="1:7" x14ac:dyDescent="0.25">
      <c r="A4810" s="169" t="str">
        <f>E4810&amp;COUNTIFS($E$2:E4810,E4810)</f>
        <v>0</v>
      </c>
      <c r="B4810" s="166"/>
      <c r="C4810" s="168"/>
      <c r="D4810" s="167"/>
      <c r="E4810" s="166"/>
      <c r="F4810" s="165"/>
      <c r="G4810" s="164"/>
    </row>
    <row r="4811" spans="1:7" x14ac:dyDescent="0.25">
      <c r="A4811" s="169" t="str">
        <f>E4811&amp;COUNTIFS($E$2:E4811,E4811)</f>
        <v>0</v>
      </c>
      <c r="B4811" s="166"/>
      <c r="C4811" s="168"/>
      <c r="D4811" s="167"/>
      <c r="E4811" s="166"/>
      <c r="F4811" s="165"/>
      <c r="G4811" s="164"/>
    </row>
    <row r="4812" spans="1:7" x14ac:dyDescent="0.25">
      <c r="A4812" s="169" t="str">
        <f>E4812&amp;COUNTIFS($E$2:E4812,E4812)</f>
        <v>0</v>
      </c>
      <c r="B4812" s="166"/>
      <c r="C4812" s="168"/>
      <c r="D4812" s="167"/>
      <c r="E4812" s="166"/>
      <c r="F4812" s="165"/>
      <c r="G4812" s="164"/>
    </row>
    <row r="4813" spans="1:7" x14ac:dyDescent="0.25">
      <c r="A4813" s="169" t="str">
        <f>E4813&amp;COUNTIFS($E$2:E4813,E4813)</f>
        <v>0</v>
      </c>
      <c r="B4813" s="166"/>
      <c r="C4813" s="168"/>
      <c r="D4813" s="167"/>
      <c r="E4813" s="166"/>
      <c r="F4813" s="165"/>
      <c r="G4813" s="164"/>
    </row>
    <row r="4814" spans="1:7" x14ac:dyDescent="0.25">
      <c r="A4814" s="169" t="str">
        <f>E4814&amp;COUNTIFS($E$2:E4814,E4814)</f>
        <v>0</v>
      </c>
      <c r="B4814" s="166"/>
      <c r="C4814" s="168"/>
      <c r="D4814" s="167"/>
      <c r="E4814" s="166"/>
      <c r="F4814" s="165"/>
      <c r="G4814" s="164"/>
    </row>
    <row r="4815" spans="1:7" x14ac:dyDescent="0.25">
      <c r="A4815" s="169" t="str">
        <f>E4815&amp;COUNTIFS($E$2:E4815,E4815)</f>
        <v>0</v>
      </c>
      <c r="B4815" s="166"/>
      <c r="C4815" s="168"/>
      <c r="D4815" s="167"/>
      <c r="E4815" s="166"/>
      <c r="F4815" s="165"/>
      <c r="G4815" s="164"/>
    </row>
    <row r="4816" spans="1:7" x14ac:dyDescent="0.25">
      <c r="A4816" s="169" t="str">
        <f>E4816&amp;COUNTIFS($E$2:E4816,E4816)</f>
        <v>0</v>
      </c>
      <c r="B4816" s="166"/>
      <c r="C4816" s="168"/>
      <c r="D4816" s="167"/>
      <c r="E4816" s="166"/>
      <c r="F4816" s="165"/>
      <c r="G4816" s="164"/>
    </row>
    <row r="4817" spans="1:7" x14ac:dyDescent="0.25">
      <c r="A4817" s="169" t="str">
        <f>E4817&amp;COUNTIFS($E$2:E4817,E4817)</f>
        <v>0</v>
      </c>
      <c r="B4817" s="166"/>
      <c r="C4817" s="168"/>
      <c r="D4817" s="167"/>
      <c r="E4817" s="166"/>
      <c r="F4817" s="165"/>
      <c r="G4817" s="164"/>
    </row>
    <row r="4818" spans="1:7" x14ac:dyDescent="0.25">
      <c r="A4818" s="169" t="str">
        <f>E4818&amp;COUNTIFS($E$2:E4818,E4818)</f>
        <v>0</v>
      </c>
      <c r="B4818" s="166"/>
      <c r="C4818" s="168"/>
      <c r="D4818" s="167"/>
      <c r="E4818" s="166"/>
      <c r="F4818" s="165"/>
      <c r="G4818" s="164"/>
    </row>
    <row r="4819" spans="1:7" x14ac:dyDescent="0.25">
      <c r="A4819" s="169" t="str">
        <f>E4819&amp;COUNTIFS($E$2:E4819,E4819)</f>
        <v>0</v>
      </c>
      <c r="B4819" s="166"/>
      <c r="C4819" s="168"/>
      <c r="D4819" s="167"/>
      <c r="E4819" s="166"/>
      <c r="F4819" s="165"/>
      <c r="G4819" s="164"/>
    </row>
    <row r="4820" spans="1:7" ht="15.75" thickBot="1" x14ac:dyDescent="0.3">
      <c r="A4820" s="163" t="str">
        <f>E4820&amp;COUNTIFS($E$2:E4820,E4820)</f>
        <v>0</v>
      </c>
      <c r="B4820" s="160"/>
      <c r="C4820" s="162"/>
      <c r="D4820" s="161"/>
      <c r="E4820" s="160"/>
      <c r="F4820" s="159"/>
      <c r="G4820" s="158"/>
    </row>
    <row r="4821" spans="1:7" x14ac:dyDescent="0.25">
      <c r="A4821" s="148"/>
      <c r="C4821" s="143"/>
      <c r="D4821" s="157"/>
      <c r="E4821" s="143"/>
      <c r="F4821" s="156"/>
      <c r="G4821" s="156"/>
    </row>
    <row r="4822" spans="1:7" x14ac:dyDescent="0.25">
      <c r="A4822" s="148"/>
      <c r="C4822" s="153" t="s">
        <v>623</v>
      </c>
      <c r="D4822" s="152"/>
      <c r="E4822" s="151"/>
      <c r="F4822" s="150">
        <f>SUM(F4796:F4820)</f>
        <v>0</v>
      </c>
      <c r="G4822" s="155">
        <f>SUM(G4796:G4820)</f>
        <v>0</v>
      </c>
    </row>
    <row r="4823" spans="1:7" x14ac:dyDescent="0.25">
      <c r="A4823" s="148"/>
      <c r="C4823" s="145" t="s">
        <v>622</v>
      </c>
      <c r="D4823" s="154"/>
      <c r="E4823" s="145"/>
      <c r="F4823" s="144"/>
      <c r="G4823" s="144"/>
    </row>
    <row r="4824" spans="1:7" x14ac:dyDescent="0.25">
      <c r="A4824" s="148"/>
      <c r="C4824" s="153" t="s">
        <v>621</v>
      </c>
      <c r="D4824" s="152"/>
      <c r="E4824" s="151"/>
      <c r="F4824" s="150">
        <f>F4791</f>
        <v>0</v>
      </c>
      <c r="G4824" s="150">
        <f>G4791</f>
        <v>0</v>
      </c>
    </row>
    <row r="4825" spans="1:7" x14ac:dyDescent="0.25">
      <c r="A4825" s="148"/>
      <c r="C4825" s="153" t="s">
        <v>582</v>
      </c>
      <c r="D4825" s="152"/>
      <c r="E4825" s="151"/>
      <c r="F4825" s="150">
        <f>F4824+F4822</f>
        <v>0</v>
      </c>
      <c r="G4825" s="150">
        <f>G4824+G4822</f>
        <v>0</v>
      </c>
    </row>
    <row r="4826" spans="1:7" ht="15.75" thickBot="1" x14ac:dyDescent="0.3">
      <c r="A4826" s="148"/>
      <c r="C4826" s="145"/>
      <c r="D4826" s="149"/>
      <c r="E4826" s="145"/>
      <c r="F4826" s="144"/>
      <c r="G4826" s="144"/>
    </row>
    <row r="4827" spans="1:7" ht="15.75" thickBot="1" x14ac:dyDescent="0.3">
      <c r="A4827" s="148"/>
      <c r="C4827" s="147" t="s">
        <v>620</v>
      </c>
      <c r="D4827" s="146">
        <f>F4825-G4825</f>
        <v>0</v>
      </c>
      <c r="E4827" s="145"/>
      <c r="F4827" s="144"/>
      <c r="G4827" s="144"/>
    </row>
    <row r="4828" spans="1:7" ht="15.75" thickBot="1" x14ac:dyDescent="0.3"/>
    <row r="4829" spans="1:7" ht="30.75" thickBot="1" x14ac:dyDescent="0.3">
      <c r="A4829" s="209" t="s">
        <v>626</v>
      </c>
      <c r="B4829" s="208" t="s">
        <v>606</v>
      </c>
      <c r="C4829" s="207" t="s">
        <v>629</v>
      </c>
      <c r="D4829" s="206" t="s">
        <v>601</v>
      </c>
      <c r="E4829" s="205" t="s">
        <v>287</v>
      </c>
      <c r="F4829" s="204" t="s">
        <v>624</v>
      </c>
      <c r="G4829" s="204" t="s">
        <v>596</v>
      </c>
    </row>
    <row r="4830" spans="1:7" x14ac:dyDescent="0.25">
      <c r="A4830" s="175" t="str">
        <f>E4830&amp;COUNTIFS($E$2:E4830,E4830)</f>
        <v>0</v>
      </c>
      <c r="B4830" s="172"/>
      <c r="C4830" s="174"/>
      <c r="D4830" s="173"/>
      <c r="E4830" s="172"/>
      <c r="F4830" s="171"/>
      <c r="G4830" s="170"/>
    </row>
    <row r="4831" spans="1:7" x14ac:dyDescent="0.25">
      <c r="A4831" s="169" t="str">
        <f>E4831&amp;COUNTIFS($E$2:E4831,E4831)</f>
        <v>0</v>
      </c>
      <c r="B4831" s="166"/>
      <c r="C4831" s="168"/>
      <c r="D4831" s="167"/>
      <c r="E4831" s="166"/>
      <c r="F4831" s="165"/>
      <c r="G4831" s="164"/>
    </row>
    <row r="4832" spans="1:7" x14ac:dyDescent="0.25">
      <c r="A4832" s="169" t="str">
        <f>E4832&amp;COUNTIFS($E$2:E4832,E4832)</f>
        <v>0</v>
      </c>
      <c r="B4832" s="166"/>
      <c r="C4832" s="168"/>
      <c r="D4832" s="167"/>
      <c r="E4832" s="166"/>
      <c r="F4832" s="165"/>
      <c r="G4832" s="164"/>
    </row>
    <row r="4833" spans="1:7" x14ac:dyDescent="0.25">
      <c r="A4833" s="169" t="str">
        <f>E4833&amp;COUNTIFS($E$2:E4833,E4833)</f>
        <v>0</v>
      </c>
      <c r="B4833" s="166"/>
      <c r="C4833" s="168"/>
      <c r="D4833" s="167"/>
      <c r="E4833" s="166"/>
      <c r="F4833" s="165"/>
      <c r="G4833" s="164"/>
    </row>
    <row r="4834" spans="1:7" x14ac:dyDescent="0.25">
      <c r="A4834" s="169" t="str">
        <f>E4834&amp;COUNTIFS($E$2:E4834,E4834)</f>
        <v>0</v>
      </c>
      <c r="B4834" s="166"/>
      <c r="C4834" s="168"/>
      <c r="D4834" s="167"/>
      <c r="E4834" s="166"/>
      <c r="F4834" s="165"/>
      <c r="G4834" s="164"/>
    </row>
    <row r="4835" spans="1:7" x14ac:dyDescent="0.25">
      <c r="A4835" s="169" t="str">
        <f>E4835&amp;COUNTIFS($E$2:E4835,E4835)</f>
        <v>0</v>
      </c>
      <c r="B4835" s="166"/>
      <c r="C4835" s="168"/>
      <c r="D4835" s="167"/>
      <c r="E4835" s="166"/>
      <c r="F4835" s="165"/>
      <c r="G4835" s="164"/>
    </row>
    <row r="4836" spans="1:7" x14ac:dyDescent="0.25">
      <c r="A4836" s="169" t="str">
        <f>E4836&amp;COUNTIFS($E$2:E4836,E4836)</f>
        <v>0</v>
      </c>
      <c r="B4836" s="166"/>
      <c r="C4836" s="168"/>
      <c r="D4836" s="167"/>
      <c r="E4836" s="166"/>
      <c r="F4836" s="165"/>
      <c r="G4836" s="164"/>
    </row>
    <row r="4837" spans="1:7" x14ac:dyDescent="0.25">
      <c r="A4837" s="169" t="str">
        <f>E4837&amp;COUNTIFS($E$2:E4837,E4837)</f>
        <v>0</v>
      </c>
      <c r="B4837" s="166"/>
      <c r="C4837" s="168"/>
      <c r="D4837" s="167"/>
      <c r="E4837" s="166"/>
      <c r="F4837" s="165"/>
      <c r="G4837" s="164"/>
    </row>
    <row r="4838" spans="1:7" x14ac:dyDescent="0.25">
      <c r="A4838" s="169" t="str">
        <f>E4838&amp;COUNTIFS($E$2:E4838,E4838)</f>
        <v>0</v>
      </c>
      <c r="B4838" s="166"/>
      <c r="C4838" s="168"/>
      <c r="D4838" s="167"/>
      <c r="E4838" s="166"/>
      <c r="F4838" s="165"/>
      <c r="G4838" s="164"/>
    </row>
    <row r="4839" spans="1:7" x14ac:dyDescent="0.25">
      <c r="A4839" s="169" t="str">
        <f>E4839&amp;COUNTIFS($E$2:E4839,E4839)</f>
        <v>0</v>
      </c>
      <c r="B4839" s="166"/>
      <c r="C4839" s="168"/>
      <c r="D4839" s="167"/>
      <c r="E4839" s="166"/>
      <c r="F4839" s="165"/>
      <c r="G4839" s="164"/>
    </row>
    <row r="4840" spans="1:7" x14ac:dyDescent="0.25">
      <c r="A4840" s="169" t="str">
        <f>E4840&amp;COUNTIFS($E$2:E4840,E4840)</f>
        <v>0</v>
      </c>
      <c r="B4840" s="166"/>
      <c r="C4840" s="168"/>
      <c r="D4840" s="167"/>
      <c r="E4840" s="166"/>
      <c r="F4840" s="165"/>
      <c r="G4840" s="164"/>
    </row>
    <row r="4841" spans="1:7" x14ac:dyDescent="0.25">
      <c r="A4841" s="169" t="str">
        <f>E4841&amp;COUNTIFS($E$2:E4841,E4841)</f>
        <v>0</v>
      </c>
      <c r="B4841" s="166"/>
      <c r="C4841" s="168"/>
      <c r="D4841" s="167"/>
      <c r="E4841" s="166"/>
      <c r="F4841" s="165"/>
      <c r="G4841" s="164"/>
    </row>
    <row r="4842" spans="1:7" x14ac:dyDescent="0.25">
      <c r="A4842" s="169" t="str">
        <f>E4842&amp;COUNTIFS($E$2:E4842,E4842)</f>
        <v>0</v>
      </c>
      <c r="B4842" s="166"/>
      <c r="C4842" s="168"/>
      <c r="D4842" s="167"/>
      <c r="E4842" s="166"/>
      <c r="F4842" s="165"/>
      <c r="G4842" s="164"/>
    </row>
    <row r="4843" spans="1:7" x14ac:dyDescent="0.25">
      <c r="A4843" s="169" t="str">
        <f>E4843&amp;COUNTIFS($E$2:E4843,E4843)</f>
        <v>0</v>
      </c>
      <c r="B4843" s="166"/>
      <c r="C4843" s="168"/>
      <c r="D4843" s="167"/>
      <c r="E4843" s="166"/>
      <c r="F4843" s="165"/>
      <c r="G4843" s="164"/>
    </row>
    <row r="4844" spans="1:7" x14ac:dyDescent="0.25">
      <c r="A4844" s="169" t="str">
        <f>E4844&amp;COUNTIFS($E$2:E4844,E4844)</f>
        <v>0</v>
      </c>
      <c r="B4844" s="166"/>
      <c r="C4844" s="168"/>
      <c r="D4844" s="167"/>
      <c r="E4844" s="166"/>
      <c r="F4844" s="165"/>
      <c r="G4844" s="164"/>
    </row>
    <row r="4845" spans="1:7" x14ac:dyDescent="0.25">
      <c r="A4845" s="169" t="str">
        <f>E4845&amp;COUNTIFS($E$2:E4845,E4845)</f>
        <v>0</v>
      </c>
      <c r="B4845" s="166"/>
      <c r="C4845" s="168"/>
      <c r="D4845" s="167"/>
      <c r="E4845" s="166"/>
      <c r="F4845" s="165"/>
      <c r="G4845" s="164"/>
    </row>
    <row r="4846" spans="1:7" x14ac:dyDescent="0.25">
      <c r="A4846" s="169" t="str">
        <f>E4846&amp;COUNTIFS($E$2:E4846,E4846)</f>
        <v>0</v>
      </c>
      <c r="B4846" s="166"/>
      <c r="C4846" s="168"/>
      <c r="D4846" s="167"/>
      <c r="E4846" s="166"/>
      <c r="F4846" s="165"/>
      <c r="G4846" s="164"/>
    </row>
    <row r="4847" spans="1:7" x14ac:dyDescent="0.25">
      <c r="A4847" s="169" t="str">
        <f>E4847&amp;COUNTIFS($E$2:E4847,E4847)</f>
        <v>0</v>
      </c>
      <c r="B4847" s="166"/>
      <c r="C4847" s="168"/>
      <c r="D4847" s="167"/>
      <c r="E4847" s="166"/>
      <c r="F4847" s="165"/>
      <c r="G4847" s="164"/>
    </row>
    <row r="4848" spans="1:7" x14ac:dyDescent="0.25">
      <c r="A4848" s="169" t="str">
        <f>E4848&amp;COUNTIFS($E$2:E4848,E4848)</f>
        <v>0</v>
      </c>
      <c r="B4848" s="166"/>
      <c r="C4848" s="168"/>
      <c r="D4848" s="167"/>
      <c r="E4848" s="166"/>
      <c r="F4848" s="165"/>
      <c r="G4848" s="164"/>
    </row>
    <row r="4849" spans="1:7" x14ac:dyDescent="0.25">
      <c r="A4849" s="169" t="str">
        <f>E4849&amp;COUNTIFS($E$2:E4849,E4849)</f>
        <v>0</v>
      </c>
      <c r="B4849" s="166"/>
      <c r="C4849" s="168"/>
      <c r="D4849" s="167"/>
      <c r="E4849" s="166"/>
      <c r="F4849" s="165"/>
      <c r="G4849" s="164"/>
    </row>
    <row r="4850" spans="1:7" x14ac:dyDescent="0.25">
      <c r="A4850" s="169" t="str">
        <f>E4850&amp;COUNTIFS($E$2:E4850,E4850)</f>
        <v>0</v>
      </c>
      <c r="B4850" s="166"/>
      <c r="C4850" s="168"/>
      <c r="D4850" s="167"/>
      <c r="E4850" s="166"/>
      <c r="F4850" s="165"/>
      <c r="G4850" s="164"/>
    </row>
    <row r="4851" spans="1:7" x14ac:dyDescent="0.25">
      <c r="A4851" s="169" t="str">
        <f>E4851&amp;COUNTIFS($E$2:E4851,E4851)</f>
        <v>0</v>
      </c>
      <c r="B4851" s="166"/>
      <c r="C4851" s="168"/>
      <c r="D4851" s="167"/>
      <c r="E4851" s="166"/>
      <c r="F4851" s="165"/>
      <c r="G4851" s="164"/>
    </row>
    <row r="4852" spans="1:7" x14ac:dyDescent="0.25">
      <c r="A4852" s="169" t="str">
        <f>E4852&amp;COUNTIFS($E$2:E4852,E4852)</f>
        <v>0</v>
      </c>
      <c r="B4852" s="166"/>
      <c r="C4852" s="168"/>
      <c r="D4852" s="167"/>
      <c r="E4852" s="166"/>
      <c r="F4852" s="165"/>
      <c r="G4852" s="164"/>
    </row>
    <row r="4853" spans="1:7" x14ac:dyDescent="0.25">
      <c r="A4853" s="169" t="str">
        <f>E4853&amp;COUNTIFS($E$2:E4853,E4853)</f>
        <v>0</v>
      </c>
      <c r="B4853" s="166"/>
      <c r="C4853" s="168"/>
      <c r="D4853" s="167"/>
      <c r="E4853" s="166"/>
      <c r="F4853" s="165"/>
      <c r="G4853" s="164"/>
    </row>
    <row r="4854" spans="1:7" ht="15.75" thickBot="1" x14ac:dyDescent="0.3">
      <c r="A4854" s="163" t="str">
        <f>E4854&amp;COUNTIFS($E$2:E4854,E4854)</f>
        <v>0</v>
      </c>
      <c r="B4854" s="160"/>
      <c r="C4854" s="162"/>
      <c r="D4854" s="161"/>
      <c r="E4854" s="160"/>
      <c r="F4854" s="159"/>
      <c r="G4854" s="158"/>
    </row>
    <row r="4855" spans="1:7" x14ac:dyDescent="0.25">
      <c r="A4855" s="148"/>
      <c r="C4855" s="143"/>
      <c r="D4855" s="157"/>
      <c r="E4855" s="143"/>
      <c r="F4855" s="156"/>
      <c r="G4855" s="156"/>
    </row>
    <row r="4856" spans="1:7" x14ac:dyDescent="0.25">
      <c r="A4856" s="148"/>
      <c r="C4856" s="153" t="s">
        <v>623</v>
      </c>
      <c r="D4856" s="152"/>
      <c r="E4856" s="151"/>
      <c r="F4856" s="150">
        <f>SUM(F4830:F4854)</f>
        <v>0</v>
      </c>
      <c r="G4856" s="155">
        <f>SUM(G4830:G4854)</f>
        <v>0</v>
      </c>
    </row>
    <row r="4857" spans="1:7" x14ac:dyDescent="0.25">
      <c r="A4857" s="148"/>
      <c r="C4857" s="145" t="s">
        <v>622</v>
      </c>
      <c r="D4857" s="154"/>
      <c r="E4857" s="145"/>
      <c r="F4857" s="144"/>
      <c r="G4857" s="144"/>
    </row>
    <row r="4858" spans="1:7" x14ac:dyDescent="0.25">
      <c r="A4858" s="148"/>
      <c r="C4858" s="153" t="s">
        <v>621</v>
      </c>
      <c r="D4858" s="152"/>
      <c r="E4858" s="151"/>
      <c r="F4858" s="150">
        <f>F4825</f>
        <v>0</v>
      </c>
      <c r="G4858" s="150">
        <f>G4825</f>
        <v>0</v>
      </c>
    </row>
    <row r="4859" spans="1:7" x14ac:dyDescent="0.25">
      <c r="A4859" s="148"/>
      <c r="C4859" s="153" t="s">
        <v>582</v>
      </c>
      <c r="D4859" s="152"/>
      <c r="E4859" s="151"/>
      <c r="F4859" s="150">
        <f>F4858+F4856</f>
        <v>0</v>
      </c>
      <c r="G4859" s="150">
        <f>G4858+G4856</f>
        <v>0</v>
      </c>
    </row>
    <row r="4860" spans="1:7" ht="15.75" thickBot="1" x14ac:dyDescent="0.3">
      <c r="A4860" s="148"/>
      <c r="C4860" s="145"/>
      <c r="D4860" s="149"/>
      <c r="E4860" s="145"/>
      <c r="F4860" s="144"/>
      <c r="G4860" s="144"/>
    </row>
    <row r="4861" spans="1:7" ht="21.75" customHeight="1" thickBot="1" x14ac:dyDescent="0.3">
      <c r="A4861" s="148"/>
      <c r="C4861" s="147" t="s">
        <v>620</v>
      </c>
      <c r="D4861" s="146">
        <f>F4859-G4859</f>
        <v>0</v>
      </c>
      <c r="E4861" s="145"/>
      <c r="F4861" s="144"/>
      <c r="G4861" s="144"/>
    </row>
    <row r="4862" spans="1:7" ht="15.75" thickBot="1" x14ac:dyDescent="0.3"/>
    <row r="4863" spans="1:7" ht="30.75" thickBot="1" x14ac:dyDescent="0.3">
      <c r="A4863" s="225" t="s">
        <v>626</v>
      </c>
      <c r="B4863" s="208" t="s">
        <v>606</v>
      </c>
      <c r="C4863" s="207" t="s">
        <v>629</v>
      </c>
      <c r="D4863" s="206" t="s">
        <v>601</v>
      </c>
      <c r="E4863" s="205" t="s">
        <v>287</v>
      </c>
      <c r="F4863" s="204" t="s">
        <v>624</v>
      </c>
      <c r="G4863" s="204" t="s">
        <v>596</v>
      </c>
    </row>
    <row r="4864" spans="1:7" x14ac:dyDescent="0.25">
      <c r="A4864" s="224" t="str">
        <f>E4864&amp;COUNTIFS($E$2:E4864,E4864)</f>
        <v>0</v>
      </c>
      <c r="B4864" s="223"/>
      <c r="C4864" s="174"/>
      <c r="D4864" s="173"/>
      <c r="E4864" s="172"/>
      <c r="F4864" s="171"/>
      <c r="G4864" s="170"/>
    </row>
    <row r="4865" spans="1:7" x14ac:dyDescent="0.25">
      <c r="A4865" s="222" t="str">
        <f>E4865&amp;COUNTIFS($E$2:E4865,E4865)</f>
        <v>0</v>
      </c>
      <c r="B4865" s="221"/>
      <c r="C4865" s="168"/>
      <c r="D4865" s="167"/>
      <c r="E4865" s="166"/>
      <c r="F4865" s="165"/>
      <c r="G4865" s="164"/>
    </row>
    <row r="4866" spans="1:7" x14ac:dyDescent="0.25">
      <c r="A4866" s="222" t="str">
        <f>E4866&amp;COUNTIFS($E$2:E4866,E4866)</f>
        <v>0</v>
      </c>
      <c r="B4866" s="221"/>
      <c r="C4866" s="168"/>
      <c r="D4866" s="167"/>
      <c r="E4866" s="166"/>
      <c r="F4866" s="165"/>
      <c r="G4866" s="164"/>
    </row>
    <row r="4867" spans="1:7" x14ac:dyDescent="0.25">
      <c r="A4867" s="222" t="str">
        <f>E4867&amp;COUNTIFS($E$2:E4867,E4867)</f>
        <v>0</v>
      </c>
      <c r="B4867" s="221"/>
      <c r="C4867" s="168"/>
      <c r="D4867" s="167"/>
      <c r="E4867" s="166"/>
      <c r="F4867" s="165"/>
      <c r="G4867" s="164"/>
    </row>
    <row r="4868" spans="1:7" x14ac:dyDescent="0.25">
      <c r="A4868" s="222" t="str">
        <f>E4868&amp;COUNTIFS($E$2:E4868,E4868)</f>
        <v>0</v>
      </c>
      <c r="B4868" s="221"/>
      <c r="C4868" s="168"/>
      <c r="D4868" s="167"/>
      <c r="E4868" s="166"/>
      <c r="F4868" s="165"/>
      <c r="G4868" s="164"/>
    </row>
    <row r="4869" spans="1:7" x14ac:dyDescent="0.25">
      <c r="A4869" s="222" t="str">
        <f>E4869&amp;COUNTIFS($E$2:E4869,E4869)</f>
        <v>0</v>
      </c>
      <c r="B4869" s="221"/>
      <c r="C4869" s="168"/>
      <c r="D4869" s="167"/>
      <c r="E4869" s="166"/>
      <c r="F4869" s="165"/>
      <c r="G4869" s="164"/>
    </row>
    <row r="4870" spans="1:7" x14ac:dyDescent="0.25">
      <c r="A4870" s="222" t="str">
        <f>E4870&amp;COUNTIFS($E$2:E4870,E4870)</f>
        <v>0</v>
      </c>
      <c r="B4870" s="221"/>
      <c r="C4870" s="168"/>
      <c r="D4870" s="167"/>
      <c r="E4870" s="166"/>
      <c r="F4870" s="165"/>
      <c r="G4870" s="164"/>
    </row>
    <row r="4871" spans="1:7" x14ac:dyDescent="0.25">
      <c r="A4871" s="222" t="str">
        <f>E4871&amp;COUNTIFS($E$2:E4871,E4871)</f>
        <v>0</v>
      </c>
      <c r="B4871" s="221"/>
      <c r="C4871" s="168"/>
      <c r="D4871" s="167"/>
      <c r="E4871" s="166"/>
      <c r="F4871" s="165"/>
      <c r="G4871" s="164"/>
    </row>
    <row r="4872" spans="1:7" x14ac:dyDescent="0.25">
      <c r="A4872" s="222" t="str">
        <f>E4872&amp;COUNTIFS($E$2:E4872,E4872)</f>
        <v>0</v>
      </c>
      <c r="B4872" s="221"/>
      <c r="C4872" s="168"/>
      <c r="D4872" s="167"/>
      <c r="E4872" s="166"/>
      <c r="F4872" s="165"/>
      <c r="G4872" s="164"/>
    </row>
    <row r="4873" spans="1:7" x14ac:dyDescent="0.25">
      <c r="A4873" s="222" t="str">
        <f>E4873&amp;COUNTIFS($E$2:E4873,E4873)</f>
        <v>0</v>
      </c>
      <c r="B4873" s="221"/>
      <c r="C4873" s="168"/>
      <c r="D4873" s="167"/>
      <c r="E4873" s="166"/>
      <c r="F4873" s="165"/>
      <c r="G4873" s="164"/>
    </row>
    <row r="4874" spans="1:7" x14ac:dyDescent="0.25">
      <c r="A4874" s="222" t="str">
        <f>E4874&amp;COUNTIFS($E$2:E4874,E4874)</f>
        <v>0</v>
      </c>
      <c r="B4874" s="221"/>
      <c r="C4874" s="168"/>
      <c r="D4874" s="167"/>
      <c r="E4874" s="166"/>
      <c r="F4874" s="165"/>
      <c r="G4874" s="164"/>
    </row>
    <row r="4875" spans="1:7" x14ac:dyDescent="0.25">
      <c r="A4875" s="222" t="str">
        <f>E4875&amp;COUNTIFS($E$2:E4875,E4875)</f>
        <v>0</v>
      </c>
      <c r="B4875" s="221"/>
      <c r="C4875" s="168"/>
      <c r="D4875" s="167"/>
      <c r="E4875" s="166"/>
      <c r="F4875" s="165"/>
      <c r="G4875" s="164"/>
    </row>
    <row r="4876" spans="1:7" x14ac:dyDescent="0.25">
      <c r="A4876" s="222" t="str">
        <f>E4876&amp;COUNTIFS($E$2:E4876,E4876)</f>
        <v>0</v>
      </c>
      <c r="B4876" s="221"/>
      <c r="C4876" s="168"/>
      <c r="D4876" s="167"/>
      <c r="E4876" s="166"/>
      <c r="F4876" s="165"/>
      <c r="G4876" s="164"/>
    </row>
    <row r="4877" spans="1:7" x14ac:dyDescent="0.25">
      <c r="A4877" s="222" t="str">
        <f>E4877&amp;COUNTIFS($E$2:E4877,E4877)</f>
        <v>0</v>
      </c>
      <c r="B4877" s="221"/>
      <c r="C4877" s="168"/>
      <c r="D4877" s="167"/>
      <c r="E4877" s="166"/>
      <c r="F4877" s="165"/>
      <c r="G4877" s="164"/>
    </row>
    <row r="4878" spans="1:7" x14ac:dyDescent="0.25">
      <c r="A4878" s="222" t="str">
        <f>E4878&amp;COUNTIFS($E$2:E4878,E4878)</f>
        <v>0</v>
      </c>
      <c r="B4878" s="221"/>
      <c r="C4878" s="168"/>
      <c r="D4878" s="167"/>
      <c r="E4878" s="166"/>
      <c r="F4878" s="165"/>
      <c r="G4878" s="164"/>
    </row>
    <row r="4879" spans="1:7" x14ac:dyDescent="0.25">
      <c r="A4879" s="222" t="str">
        <f>E4879&amp;COUNTIFS($E$2:E4879,E4879)</f>
        <v>0</v>
      </c>
      <c r="B4879" s="221"/>
      <c r="C4879" s="168"/>
      <c r="D4879" s="167"/>
      <c r="E4879" s="166"/>
      <c r="F4879" s="165"/>
      <c r="G4879" s="164"/>
    </row>
    <row r="4880" spans="1:7" x14ac:dyDescent="0.25">
      <c r="A4880" s="222" t="str">
        <f>E4880&amp;COUNTIFS($E$2:E4880,E4880)</f>
        <v>0</v>
      </c>
      <c r="B4880" s="221"/>
      <c r="C4880" s="168"/>
      <c r="D4880" s="167"/>
      <c r="E4880" s="166"/>
      <c r="F4880" s="165"/>
      <c r="G4880" s="164"/>
    </row>
    <row r="4881" spans="1:9" x14ac:dyDescent="0.25">
      <c r="A4881" s="222" t="str">
        <f>E4881&amp;COUNTIFS($E$2:E4881,E4881)</f>
        <v>0</v>
      </c>
      <c r="B4881" s="221"/>
      <c r="C4881" s="168"/>
      <c r="D4881" s="167"/>
      <c r="E4881" s="166"/>
      <c r="F4881" s="165"/>
      <c r="G4881" s="164"/>
    </row>
    <row r="4882" spans="1:9" x14ac:dyDescent="0.25">
      <c r="A4882" s="222" t="str">
        <f>E4882&amp;COUNTIFS($E$2:E4882,E4882)</f>
        <v>0</v>
      </c>
      <c r="B4882" s="221"/>
      <c r="C4882" s="168"/>
      <c r="D4882" s="167"/>
      <c r="E4882" s="166"/>
      <c r="F4882" s="165"/>
      <c r="G4882" s="164"/>
    </row>
    <row r="4883" spans="1:9" x14ac:dyDescent="0.25">
      <c r="A4883" s="222" t="str">
        <f>E4883&amp;COUNTIFS($E$2:E4883,E4883)</f>
        <v>0</v>
      </c>
      <c r="B4883" s="221"/>
      <c r="C4883" s="168"/>
      <c r="D4883" s="167"/>
      <c r="E4883" s="166"/>
      <c r="F4883" s="165"/>
      <c r="G4883" s="164"/>
    </row>
    <row r="4884" spans="1:9" x14ac:dyDescent="0.25">
      <c r="A4884" s="222" t="str">
        <f>E4884&amp;COUNTIFS($E$2:E4884,E4884)</f>
        <v>0</v>
      </c>
      <c r="B4884" s="221"/>
      <c r="C4884" s="168"/>
      <c r="D4884" s="167"/>
      <c r="E4884" s="166"/>
      <c r="F4884" s="165"/>
      <c r="G4884" s="164"/>
    </row>
    <row r="4885" spans="1:9" x14ac:dyDescent="0.25">
      <c r="A4885" s="222" t="str">
        <f>E4885&amp;COUNTIFS($E$2:E4885,E4885)</f>
        <v>0</v>
      </c>
      <c r="B4885" s="221"/>
      <c r="C4885" s="168"/>
      <c r="D4885" s="167"/>
      <c r="E4885" s="166"/>
      <c r="F4885" s="165"/>
      <c r="G4885" s="164"/>
    </row>
    <row r="4886" spans="1:9" x14ac:dyDescent="0.25">
      <c r="A4886" s="222" t="str">
        <f>E4886&amp;COUNTIFS($E$2:E4886,E4886)</f>
        <v>0</v>
      </c>
      <c r="B4886" s="221"/>
      <c r="C4886" s="168"/>
      <c r="D4886" s="167"/>
      <c r="E4886" s="166"/>
      <c r="F4886" s="165"/>
      <c r="G4886" s="164"/>
    </row>
    <row r="4887" spans="1:9" x14ac:dyDescent="0.25">
      <c r="A4887" s="222" t="str">
        <f>E4887&amp;COUNTIFS($E$2:E4887,E4887)</f>
        <v>0</v>
      </c>
      <c r="B4887" s="221"/>
      <c r="C4887" s="168"/>
      <c r="D4887" s="167"/>
      <c r="E4887" s="166"/>
      <c r="F4887" s="165"/>
      <c r="G4887" s="164"/>
    </row>
    <row r="4888" spans="1:9" ht="15.75" thickBot="1" x14ac:dyDescent="0.3">
      <c r="A4888" s="220" t="str">
        <f>E4888&amp;COUNTIFS($E$2:E4888,E4888)</f>
        <v>0</v>
      </c>
      <c r="B4888" s="219"/>
      <c r="C4888" s="162"/>
      <c r="D4888" s="161"/>
      <c r="E4888" s="160"/>
      <c r="F4888" s="159"/>
      <c r="G4888" s="158"/>
    </row>
    <row r="4889" spans="1:9" x14ac:dyDescent="0.25">
      <c r="A4889" s="148"/>
      <c r="B4889" s="215"/>
      <c r="C4889" s="143"/>
      <c r="D4889" s="157"/>
      <c r="E4889" s="143"/>
      <c r="F4889" s="156"/>
      <c r="G4889" s="218"/>
    </row>
    <row r="4890" spans="1:9" x14ac:dyDescent="0.25">
      <c r="A4890" s="148"/>
      <c r="B4890" s="215"/>
      <c r="C4890" s="153" t="s">
        <v>623</v>
      </c>
      <c r="D4890" s="152"/>
      <c r="E4890" s="151"/>
      <c r="F4890" s="150">
        <f>SUM(F4864:F4888)</f>
        <v>0</v>
      </c>
      <c r="G4890" s="217">
        <f>SUM(G4864:G4888)</f>
        <v>0</v>
      </c>
    </row>
    <row r="4891" spans="1:9" x14ac:dyDescent="0.25">
      <c r="A4891" s="148"/>
      <c r="B4891" s="215"/>
      <c r="C4891" s="145" t="s">
        <v>622</v>
      </c>
      <c r="D4891" s="154"/>
      <c r="E4891" s="145"/>
      <c r="F4891" s="144"/>
      <c r="G4891" s="214"/>
    </row>
    <row r="4892" spans="1:9" x14ac:dyDescent="0.25">
      <c r="A4892" s="148"/>
      <c r="B4892" s="215"/>
      <c r="C4892" s="153" t="s">
        <v>621</v>
      </c>
      <c r="D4892" s="152"/>
      <c r="E4892" s="151"/>
      <c r="F4892" s="150">
        <f>F4859</f>
        <v>0</v>
      </c>
      <c r="G4892" s="216">
        <f>G4859</f>
        <v>0</v>
      </c>
    </row>
    <row r="4893" spans="1:9" x14ac:dyDescent="0.25">
      <c r="A4893" s="148"/>
      <c r="B4893" s="215"/>
      <c r="C4893" s="153" t="s">
        <v>582</v>
      </c>
      <c r="D4893" s="152"/>
      <c r="E4893" s="151"/>
      <c r="F4893" s="150">
        <f>F4892+F4890</f>
        <v>0</v>
      </c>
      <c r="G4893" s="216">
        <f>G4892+G4890</f>
        <v>0</v>
      </c>
      <c r="I4893" s="182">
        <f>'[1]BELANJA PERBULAN'!Q158-DOORSCRIEFT!G4893</f>
        <v>490780936</v>
      </c>
    </row>
    <row r="4894" spans="1:9" ht="15.75" thickBot="1" x14ac:dyDescent="0.3">
      <c r="A4894" s="148"/>
      <c r="B4894" s="215"/>
      <c r="C4894" s="145"/>
      <c r="D4894" s="149"/>
      <c r="E4894" s="145"/>
      <c r="F4894" s="144"/>
      <c r="G4894" s="214"/>
    </row>
    <row r="4895" spans="1:9" ht="21" customHeight="1" thickBot="1" x14ac:dyDescent="0.3">
      <c r="A4895" s="148"/>
      <c r="B4895" s="213"/>
      <c r="C4895" s="147" t="s">
        <v>620</v>
      </c>
      <c r="D4895" s="146">
        <f>F4893-G4893</f>
        <v>0</v>
      </c>
      <c r="E4895" s="212"/>
      <c r="F4895" s="211"/>
      <c r="G4895" s="210"/>
    </row>
    <row r="4896" spans="1:9" ht="15.75" thickBot="1" x14ac:dyDescent="0.3"/>
    <row r="4897" spans="1:7" ht="30.75" thickBot="1" x14ac:dyDescent="0.3">
      <c r="A4897" s="209" t="s">
        <v>626</v>
      </c>
      <c r="B4897" s="208" t="s">
        <v>606</v>
      </c>
      <c r="C4897" s="207" t="s">
        <v>629</v>
      </c>
      <c r="D4897" s="206" t="s">
        <v>601</v>
      </c>
      <c r="E4897" s="205" t="s">
        <v>287</v>
      </c>
      <c r="F4897" s="204" t="s">
        <v>624</v>
      </c>
      <c r="G4897" s="204" t="s">
        <v>596</v>
      </c>
    </row>
    <row r="4898" spans="1:7" x14ac:dyDescent="0.25">
      <c r="A4898" s="175" t="str">
        <f>E4898&amp;COUNTIFS($E$2:E4898,E4898)</f>
        <v>0</v>
      </c>
      <c r="B4898" s="172"/>
      <c r="C4898" s="174"/>
      <c r="D4898" s="173"/>
      <c r="E4898" s="172"/>
      <c r="F4898" s="171"/>
      <c r="G4898" s="170"/>
    </row>
    <row r="4899" spans="1:7" x14ac:dyDescent="0.25">
      <c r="A4899" s="169" t="str">
        <f>E4899&amp;COUNTIFS($E$2:E4899,E4899)</f>
        <v>0</v>
      </c>
      <c r="B4899" s="166"/>
      <c r="C4899" s="168"/>
      <c r="D4899" s="167"/>
      <c r="E4899" s="166"/>
      <c r="F4899" s="165"/>
      <c r="G4899" s="164"/>
    </row>
    <row r="4900" spans="1:7" x14ac:dyDescent="0.25">
      <c r="A4900" s="169" t="str">
        <f>E4900&amp;COUNTIFS($E$2:E4900,E4900)</f>
        <v>0</v>
      </c>
      <c r="B4900" s="166"/>
      <c r="C4900" s="168"/>
      <c r="D4900" s="167"/>
      <c r="E4900" s="166"/>
      <c r="F4900" s="165"/>
      <c r="G4900" s="164"/>
    </row>
    <row r="4901" spans="1:7" x14ac:dyDescent="0.25">
      <c r="A4901" s="169" t="str">
        <f>E4901&amp;COUNTIFS($E$2:E4901,E4901)</f>
        <v>0</v>
      </c>
      <c r="B4901" s="166"/>
      <c r="C4901" s="168"/>
      <c r="D4901" s="167"/>
      <c r="E4901" s="166"/>
      <c r="F4901" s="165"/>
      <c r="G4901" s="164"/>
    </row>
    <row r="4902" spans="1:7" x14ac:dyDescent="0.25">
      <c r="A4902" s="169" t="str">
        <f>E4902&amp;COUNTIFS($E$2:E4902,E4902)</f>
        <v>0</v>
      </c>
      <c r="B4902" s="166"/>
      <c r="C4902" s="168"/>
      <c r="D4902" s="167"/>
      <c r="E4902" s="166"/>
      <c r="F4902" s="165"/>
      <c r="G4902" s="164"/>
    </row>
    <row r="4903" spans="1:7" x14ac:dyDescent="0.25">
      <c r="A4903" s="169" t="str">
        <f>E4903&amp;COUNTIFS($E$2:E4903,E4903)</f>
        <v>0</v>
      </c>
      <c r="B4903" s="166"/>
      <c r="C4903" s="168"/>
      <c r="D4903" s="167"/>
      <c r="E4903" s="166"/>
      <c r="F4903" s="165"/>
      <c r="G4903" s="164"/>
    </row>
    <row r="4904" spans="1:7" x14ac:dyDescent="0.25">
      <c r="A4904" s="169" t="str">
        <f>E4904&amp;COUNTIFS($E$2:E4904,E4904)</f>
        <v>0</v>
      </c>
      <c r="B4904" s="166"/>
      <c r="C4904" s="168"/>
      <c r="D4904" s="167"/>
      <c r="E4904" s="166"/>
      <c r="F4904" s="165"/>
      <c r="G4904" s="164"/>
    </row>
    <row r="4905" spans="1:7" x14ac:dyDescent="0.25">
      <c r="A4905" s="169" t="str">
        <f>E4905&amp;COUNTIFS($E$2:E4905,E4905)</f>
        <v>0</v>
      </c>
      <c r="B4905" s="166"/>
      <c r="C4905" s="168"/>
      <c r="D4905" s="167"/>
      <c r="E4905" s="166"/>
      <c r="F4905" s="165"/>
      <c r="G4905" s="164"/>
    </row>
    <row r="4906" spans="1:7" x14ac:dyDescent="0.25">
      <c r="A4906" s="169" t="str">
        <f>E4906&amp;COUNTIFS($E$2:E4906,E4906)</f>
        <v>0</v>
      </c>
      <c r="B4906" s="166"/>
      <c r="C4906" s="168"/>
      <c r="D4906" s="167"/>
      <c r="E4906" s="166"/>
      <c r="F4906" s="165"/>
      <c r="G4906" s="164"/>
    </row>
    <row r="4907" spans="1:7" x14ac:dyDescent="0.25">
      <c r="A4907" s="169" t="str">
        <f>E4907&amp;COUNTIFS($E$2:E4907,E4907)</f>
        <v>0</v>
      </c>
      <c r="B4907" s="166"/>
      <c r="C4907" s="168"/>
      <c r="D4907" s="167"/>
      <c r="E4907" s="166"/>
      <c r="F4907" s="165"/>
      <c r="G4907" s="164"/>
    </row>
    <row r="4908" spans="1:7" x14ac:dyDescent="0.25">
      <c r="A4908" s="169" t="str">
        <f>E4908&amp;COUNTIFS($E$2:E4908,E4908)</f>
        <v>0</v>
      </c>
      <c r="B4908" s="166"/>
      <c r="C4908" s="168"/>
      <c r="D4908" s="167"/>
      <c r="E4908" s="166"/>
      <c r="F4908" s="165"/>
      <c r="G4908" s="164"/>
    </row>
    <row r="4909" spans="1:7" x14ac:dyDescent="0.25">
      <c r="A4909" s="169" t="str">
        <f>E4909&amp;COUNTIFS($E$2:E4909,E4909)</f>
        <v>0</v>
      </c>
      <c r="B4909" s="166"/>
      <c r="C4909" s="168"/>
      <c r="D4909" s="167"/>
      <c r="E4909" s="166"/>
      <c r="F4909" s="165"/>
      <c r="G4909" s="164"/>
    </row>
    <row r="4910" spans="1:7" x14ac:dyDescent="0.25">
      <c r="A4910" s="169" t="str">
        <f>E4910&amp;COUNTIFS($E$2:E4910,E4910)</f>
        <v>0</v>
      </c>
      <c r="B4910" s="166"/>
      <c r="C4910" s="168"/>
      <c r="D4910" s="167"/>
      <c r="E4910" s="166"/>
      <c r="F4910" s="165"/>
      <c r="G4910" s="164"/>
    </row>
    <row r="4911" spans="1:7" x14ac:dyDescent="0.25">
      <c r="A4911" s="169" t="str">
        <f>E4911&amp;COUNTIFS($E$2:E4911,E4911)</f>
        <v>0</v>
      </c>
      <c r="B4911" s="166"/>
      <c r="C4911" s="168"/>
      <c r="D4911" s="167"/>
      <c r="E4911" s="166"/>
      <c r="F4911" s="165"/>
      <c r="G4911" s="164"/>
    </row>
    <row r="4912" spans="1:7" x14ac:dyDescent="0.25">
      <c r="A4912" s="169" t="str">
        <f>E4912&amp;COUNTIFS($E$2:E4912,E4912)</f>
        <v>0</v>
      </c>
      <c r="B4912" s="166"/>
      <c r="C4912" s="168"/>
      <c r="D4912" s="167"/>
      <c r="E4912" s="166"/>
      <c r="F4912" s="165"/>
      <c r="G4912" s="164"/>
    </row>
    <row r="4913" spans="1:7" x14ac:dyDescent="0.25">
      <c r="A4913" s="169" t="str">
        <f>E4913&amp;COUNTIFS($E$2:E4913,E4913)</f>
        <v>0</v>
      </c>
      <c r="B4913" s="166"/>
      <c r="C4913" s="168"/>
      <c r="D4913" s="167"/>
      <c r="E4913" s="166"/>
      <c r="F4913" s="165"/>
      <c r="G4913" s="164"/>
    </row>
    <row r="4914" spans="1:7" x14ac:dyDescent="0.25">
      <c r="A4914" s="169" t="str">
        <f>E4914&amp;COUNTIFS($E$2:E4914,E4914)</f>
        <v>0</v>
      </c>
      <c r="B4914" s="166"/>
      <c r="C4914" s="168"/>
      <c r="D4914" s="167"/>
      <c r="E4914" s="166"/>
      <c r="F4914" s="165"/>
      <c r="G4914" s="164"/>
    </row>
    <row r="4915" spans="1:7" x14ac:dyDescent="0.25">
      <c r="A4915" s="169" t="str">
        <f>E4915&amp;COUNTIFS($E$2:E4915,E4915)</f>
        <v>0</v>
      </c>
      <c r="B4915" s="166"/>
      <c r="C4915" s="168"/>
      <c r="D4915" s="167"/>
      <c r="E4915" s="166"/>
      <c r="F4915" s="165"/>
      <c r="G4915" s="164"/>
    </row>
    <row r="4916" spans="1:7" x14ac:dyDescent="0.25">
      <c r="A4916" s="169" t="str">
        <f>E4916&amp;COUNTIFS($E$2:E4916,E4916)</f>
        <v>0</v>
      </c>
      <c r="B4916" s="166"/>
      <c r="C4916" s="168"/>
      <c r="D4916" s="167"/>
      <c r="E4916" s="166"/>
      <c r="F4916" s="165"/>
      <c r="G4916" s="164"/>
    </row>
    <row r="4917" spans="1:7" x14ac:dyDescent="0.25">
      <c r="A4917" s="169" t="str">
        <f>E4917&amp;COUNTIFS($E$2:E4917,E4917)</f>
        <v>0</v>
      </c>
      <c r="B4917" s="166"/>
      <c r="C4917" s="168"/>
      <c r="D4917" s="167"/>
      <c r="E4917" s="166"/>
      <c r="F4917" s="165"/>
      <c r="G4917" s="164"/>
    </row>
    <row r="4918" spans="1:7" x14ac:dyDescent="0.25">
      <c r="A4918" s="169" t="str">
        <f>E4918&amp;COUNTIFS($E$2:E4918,E4918)</f>
        <v>0</v>
      </c>
      <c r="B4918" s="166"/>
      <c r="C4918" s="168"/>
      <c r="D4918" s="167"/>
      <c r="E4918" s="166"/>
      <c r="F4918" s="165"/>
      <c r="G4918" s="164"/>
    </row>
    <row r="4919" spans="1:7" x14ac:dyDescent="0.25">
      <c r="A4919" s="169" t="str">
        <f>E4919&amp;COUNTIFS($E$2:E4919,E4919)</f>
        <v>0</v>
      </c>
      <c r="B4919" s="166"/>
      <c r="C4919" s="168"/>
      <c r="D4919" s="167"/>
      <c r="E4919" s="166"/>
      <c r="F4919" s="165"/>
      <c r="G4919" s="164"/>
    </row>
    <row r="4920" spans="1:7" x14ac:dyDescent="0.25">
      <c r="A4920" s="169" t="str">
        <f>E4920&amp;COUNTIFS($E$2:E4920,E4920)</f>
        <v>0</v>
      </c>
      <c r="B4920" s="166"/>
      <c r="C4920" s="168"/>
      <c r="D4920" s="167"/>
      <c r="E4920" s="166"/>
      <c r="F4920" s="165"/>
      <c r="G4920" s="164"/>
    </row>
    <row r="4921" spans="1:7" x14ac:dyDescent="0.25">
      <c r="A4921" s="169" t="str">
        <f>E4921&amp;COUNTIFS($E$2:E4921,E4921)</f>
        <v>0</v>
      </c>
      <c r="B4921" s="166"/>
      <c r="C4921" s="168"/>
      <c r="D4921" s="167"/>
      <c r="E4921" s="166"/>
      <c r="F4921" s="165"/>
      <c r="G4921" s="164"/>
    </row>
    <row r="4922" spans="1:7" ht="15.75" thickBot="1" x14ac:dyDescent="0.3">
      <c r="A4922" s="163" t="str">
        <f>E4922&amp;COUNTIFS($E$2:E4922,E4922)</f>
        <v>0</v>
      </c>
      <c r="B4922" s="160"/>
      <c r="C4922" s="162"/>
      <c r="D4922" s="161"/>
      <c r="E4922" s="160"/>
      <c r="F4922" s="159"/>
      <c r="G4922" s="158"/>
    </row>
    <row r="4923" spans="1:7" x14ac:dyDescent="0.25">
      <c r="A4923" s="148"/>
      <c r="C4923" s="143"/>
      <c r="D4923" s="157"/>
      <c r="E4923" s="143"/>
      <c r="F4923" s="156"/>
      <c r="G4923" s="156"/>
    </row>
    <row r="4924" spans="1:7" x14ac:dyDescent="0.25">
      <c r="A4924" s="148"/>
      <c r="C4924" s="153" t="s">
        <v>623</v>
      </c>
      <c r="D4924" s="152"/>
      <c r="E4924" s="151"/>
      <c r="F4924" s="150">
        <f>SUM(F4898:F4922)</f>
        <v>0</v>
      </c>
      <c r="G4924" s="155">
        <f>SUM(G4898:G4922)</f>
        <v>0</v>
      </c>
    </row>
    <row r="4925" spans="1:7" x14ac:dyDescent="0.25">
      <c r="A4925" s="148"/>
      <c r="C4925" s="145" t="s">
        <v>622</v>
      </c>
      <c r="D4925" s="154"/>
      <c r="E4925" s="145"/>
      <c r="F4925" s="144"/>
      <c r="G4925" s="144"/>
    </row>
    <row r="4926" spans="1:7" x14ac:dyDescent="0.25">
      <c r="A4926" s="148"/>
      <c r="C4926" s="153" t="s">
        <v>621</v>
      </c>
      <c r="D4926" s="152"/>
      <c r="E4926" s="151"/>
      <c r="F4926" s="150">
        <f>F4893</f>
        <v>0</v>
      </c>
      <c r="G4926" s="150">
        <f>G4893</f>
        <v>0</v>
      </c>
    </row>
    <row r="4927" spans="1:7" x14ac:dyDescent="0.25">
      <c r="A4927" s="148"/>
      <c r="C4927" s="153" t="s">
        <v>582</v>
      </c>
      <c r="D4927" s="152"/>
      <c r="E4927" s="151"/>
      <c r="F4927" s="150">
        <f>F4926+F4924</f>
        <v>0</v>
      </c>
      <c r="G4927" s="150">
        <f>G4926+G4924</f>
        <v>0</v>
      </c>
    </row>
    <row r="4928" spans="1:7" ht="15.75" thickBot="1" x14ac:dyDescent="0.3">
      <c r="A4928" s="148"/>
      <c r="C4928" s="145"/>
      <c r="D4928" s="149"/>
      <c r="E4928" s="145"/>
      <c r="F4928" s="144"/>
      <c r="G4928" s="144"/>
    </row>
    <row r="4929" spans="1:7" ht="15.75" thickBot="1" x14ac:dyDescent="0.3">
      <c r="A4929" s="148"/>
      <c r="C4929" s="147" t="s">
        <v>620</v>
      </c>
      <c r="D4929" s="146">
        <f>F4927-G4927</f>
        <v>0</v>
      </c>
      <c r="E4929" s="145"/>
      <c r="F4929" s="144"/>
      <c r="G4929" s="144"/>
    </row>
    <row r="4930" spans="1:7" ht="15.75" thickBot="1" x14ac:dyDescent="0.3"/>
    <row r="4931" spans="1:7" ht="30.75" thickBot="1" x14ac:dyDescent="0.3">
      <c r="A4931" s="209" t="s">
        <v>626</v>
      </c>
      <c r="B4931" s="208" t="s">
        <v>606</v>
      </c>
      <c r="C4931" s="207" t="s">
        <v>629</v>
      </c>
      <c r="D4931" s="206" t="s">
        <v>601</v>
      </c>
      <c r="E4931" s="205" t="s">
        <v>287</v>
      </c>
      <c r="F4931" s="204" t="s">
        <v>624</v>
      </c>
      <c r="G4931" s="204" t="s">
        <v>596</v>
      </c>
    </row>
    <row r="4932" spans="1:7" x14ac:dyDescent="0.25">
      <c r="A4932" s="175" t="str">
        <f>E4932&amp;COUNTIFS($E$2:E4932,E4932)</f>
        <v>0</v>
      </c>
      <c r="B4932" s="172"/>
      <c r="C4932" s="174"/>
      <c r="D4932" s="173"/>
      <c r="E4932" s="172"/>
      <c r="F4932" s="171"/>
      <c r="G4932" s="170"/>
    </row>
    <row r="4933" spans="1:7" x14ac:dyDescent="0.25">
      <c r="A4933" s="169" t="str">
        <f>E4933&amp;COUNTIFS($E$2:E4933,E4933)</f>
        <v>0</v>
      </c>
      <c r="B4933" s="166"/>
      <c r="C4933" s="168"/>
      <c r="D4933" s="167"/>
      <c r="E4933" s="166"/>
      <c r="F4933" s="165"/>
      <c r="G4933" s="164"/>
    </row>
    <row r="4934" spans="1:7" x14ac:dyDescent="0.25">
      <c r="A4934" s="169" t="str">
        <f>E4934&amp;COUNTIFS($E$2:E4934,E4934)</f>
        <v>0</v>
      </c>
      <c r="B4934" s="166"/>
      <c r="C4934" s="168"/>
      <c r="D4934" s="167"/>
      <c r="E4934" s="166"/>
      <c r="F4934" s="165"/>
      <c r="G4934" s="164"/>
    </row>
    <row r="4935" spans="1:7" x14ac:dyDescent="0.25">
      <c r="A4935" s="169" t="str">
        <f>E4935&amp;COUNTIFS($E$2:E4935,E4935)</f>
        <v>0</v>
      </c>
      <c r="B4935" s="166"/>
      <c r="C4935" s="168"/>
      <c r="D4935" s="167"/>
      <c r="E4935" s="166"/>
      <c r="F4935" s="165"/>
      <c r="G4935" s="164"/>
    </row>
    <row r="4936" spans="1:7" x14ac:dyDescent="0.25">
      <c r="A4936" s="169" t="str">
        <f>E4936&amp;COUNTIFS($E$2:E4936,E4936)</f>
        <v>0</v>
      </c>
      <c r="B4936" s="166"/>
      <c r="C4936" s="168"/>
      <c r="D4936" s="167"/>
      <c r="E4936" s="166"/>
      <c r="F4936" s="165"/>
      <c r="G4936" s="164"/>
    </row>
    <row r="4937" spans="1:7" x14ac:dyDescent="0.25">
      <c r="A4937" s="169" t="str">
        <f>E4937&amp;COUNTIFS($E$2:E4937,E4937)</f>
        <v>0</v>
      </c>
      <c r="B4937" s="166"/>
      <c r="C4937" s="168"/>
      <c r="D4937" s="167"/>
      <c r="E4937" s="166"/>
      <c r="F4937" s="165"/>
      <c r="G4937" s="164"/>
    </row>
    <row r="4938" spans="1:7" x14ac:dyDescent="0.25">
      <c r="A4938" s="169" t="str">
        <f>E4938&amp;COUNTIFS($E$2:E4938,E4938)</f>
        <v>0</v>
      </c>
      <c r="B4938" s="166"/>
      <c r="C4938" s="168"/>
      <c r="D4938" s="167"/>
      <c r="E4938" s="166"/>
      <c r="F4938" s="165"/>
      <c r="G4938" s="164"/>
    </row>
    <row r="4939" spans="1:7" x14ac:dyDescent="0.25">
      <c r="A4939" s="169" t="str">
        <f>E4939&amp;COUNTIFS($E$2:E4939,E4939)</f>
        <v>0</v>
      </c>
      <c r="B4939" s="166"/>
      <c r="C4939" s="168"/>
      <c r="D4939" s="167"/>
      <c r="E4939" s="166"/>
      <c r="F4939" s="165"/>
      <c r="G4939" s="164"/>
    </row>
    <row r="4940" spans="1:7" x14ac:dyDescent="0.25">
      <c r="A4940" s="169" t="str">
        <f>E4940&amp;COUNTIFS($E$2:E4940,E4940)</f>
        <v>0</v>
      </c>
      <c r="B4940" s="166"/>
      <c r="C4940" s="168"/>
      <c r="D4940" s="167"/>
      <c r="E4940" s="166"/>
      <c r="F4940" s="165"/>
      <c r="G4940" s="164"/>
    </row>
    <row r="4941" spans="1:7" x14ac:dyDescent="0.25">
      <c r="A4941" s="169" t="str">
        <f>E4941&amp;COUNTIFS($E$2:E4941,E4941)</f>
        <v>0</v>
      </c>
      <c r="B4941" s="166"/>
      <c r="C4941" s="168"/>
      <c r="D4941" s="167"/>
      <c r="E4941" s="166"/>
      <c r="F4941" s="165"/>
      <c r="G4941" s="164"/>
    </row>
    <row r="4942" spans="1:7" x14ac:dyDescent="0.25">
      <c r="A4942" s="169" t="str">
        <f>E4942&amp;COUNTIFS($E$2:E4942,E4942)</f>
        <v>0</v>
      </c>
      <c r="B4942" s="166"/>
      <c r="C4942" s="168"/>
      <c r="D4942" s="167"/>
      <c r="E4942" s="166"/>
      <c r="F4942" s="165"/>
      <c r="G4942" s="164"/>
    </row>
    <row r="4943" spans="1:7" x14ac:dyDescent="0.25">
      <c r="A4943" s="169" t="str">
        <f>E4943&amp;COUNTIFS($E$2:E4943,E4943)</f>
        <v>0</v>
      </c>
      <c r="B4943" s="166"/>
      <c r="C4943" s="168"/>
      <c r="D4943" s="167"/>
      <c r="E4943" s="166"/>
      <c r="F4943" s="165"/>
      <c r="G4943" s="164"/>
    </row>
    <row r="4944" spans="1:7" x14ac:dyDescent="0.25">
      <c r="A4944" s="169" t="str">
        <f>E4944&amp;COUNTIFS($E$2:E4944,E4944)</f>
        <v>0</v>
      </c>
      <c r="B4944" s="166"/>
      <c r="C4944" s="168"/>
      <c r="D4944" s="167"/>
      <c r="E4944" s="166"/>
      <c r="F4944" s="165"/>
      <c r="G4944" s="164"/>
    </row>
    <row r="4945" spans="1:7" x14ac:dyDescent="0.25">
      <c r="A4945" s="169" t="str">
        <f>E4945&amp;COUNTIFS($E$2:E4945,E4945)</f>
        <v>0</v>
      </c>
      <c r="B4945" s="166"/>
      <c r="C4945" s="168"/>
      <c r="D4945" s="167"/>
      <c r="E4945" s="166"/>
      <c r="F4945" s="165"/>
      <c r="G4945" s="164"/>
    </row>
    <row r="4946" spans="1:7" x14ac:dyDescent="0.25">
      <c r="A4946" s="169" t="str">
        <f>E4946&amp;COUNTIFS($E$2:E4946,E4946)</f>
        <v>0</v>
      </c>
      <c r="B4946" s="166"/>
      <c r="C4946" s="168"/>
      <c r="D4946" s="167"/>
      <c r="E4946" s="166"/>
      <c r="F4946" s="165"/>
      <c r="G4946" s="164"/>
    </row>
    <row r="4947" spans="1:7" x14ac:dyDescent="0.25">
      <c r="A4947" s="169" t="str">
        <f>E4947&amp;COUNTIFS($E$2:E4947,E4947)</f>
        <v>0</v>
      </c>
      <c r="B4947" s="166"/>
      <c r="C4947" s="168"/>
      <c r="D4947" s="167"/>
      <c r="E4947" s="166"/>
      <c r="F4947" s="165"/>
      <c r="G4947" s="164"/>
    </row>
    <row r="4948" spans="1:7" x14ac:dyDescent="0.25">
      <c r="A4948" s="169" t="str">
        <f>E4948&amp;COUNTIFS($E$2:E4948,E4948)</f>
        <v>0</v>
      </c>
      <c r="B4948" s="166"/>
      <c r="C4948" s="168"/>
      <c r="D4948" s="167"/>
      <c r="E4948" s="166"/>
      <c r="F4948" s="165"/>
      <c r="G4948" s="164"/>
    </row>
    <row r="4949" spans="1:7" x14ac:dyDescent="0.25">
      <c r="A4949" s="169" t="str">
        <f>E4949&amp;COUNTIFS($E$2:E4949,E4949)</f>
        <v>0</v>
      </c>
      <c r="B4949" s="166"/>
      <c r="C4949" s="168"/>
      <c r="D4949" s="167"/>
      <c r="E4949" s="166"/>
      <c r="F4949" s="165"/>
      <c r="G4949" s="164"/>
    </row>
    <row r="4950" spans="1:7" x14ac:dyDescent="0.25">
      <c r="A4950" s="169" t="str">
        <f>E4950&amp;COUNTIFS($E$2:E4950,E4950)</f>
        <v>0</v>
      </c>
      <c r="B4950" s="166"/>
      <c r="C4950" s="168"/>
      <c r="D4950" s="167"/>
      <c r="E4950" s="166"/>
      <c r="F4950" s="165"/>
      <c r="G4950" s="164"/>
    </row>
    <row r="4951" spans="1:7" x14ac:dyDescent="0.25">
      <c r="A4951" s="169" t="str">
        <f>E4951&amp;COUNTIFS($E$2:E4951,E4951)</f>
        <v>0</v>
      </c>
      <c r="B4951" s="166"/>
      <c r="C4951" s="168"/>
      <c r="D4951" s="167"/>
      <c r="E4951" s="166"/>
      <c r="F4951" s="165"/>
      <c r="G4951" s="164"/>
    </row>
    <row r="4952" spans="1:7" x14ac:dyDescent="0.25">
      <c r="A4952" s="169" t="str">
        <f>E4952&amp;COUNTIFS($E$2:E4952,E4952)</f>
        <v>0</v>
      </c>
      <c r="B4952" s="166"/>
      <c r="C4952" s="168"/>
      <c r="D4952" s="167"/>
      <c r="E4952" s="166"/>
      <c r="F4952" s="165"/>
      <c r="G4952" s="164"/>
    </row>
    <row r="4953" spans="1:7" x14ac:dyDescent="0.25">
      <c r="A4953" s="169" t="str">
        <f>E4953&amp;COUNTIFS($E$2:E4953,E4953)</f>
        <v>0</v>
      </c>
      <c r="B4953" s="166"/>
      <c r="C4953" s="168"/>
      <c r="D4953" s="167"/>
      <c r="E4953" s="166"/>
      <c r="F4953" s="165"/>
      <c r="G4953" s="164"/>
    </row>
    <row r="4954" spans="1:7" x14ac:dyDescent="0.25">
      <c r="A4954" s="169" t="str">
        <f>E4954&amp;COUNTIFS($E$2:E4954,E4954)</f>
        <v>0</v>
      </c>
      <c r="B4954" s="166"/>
      <c r="C4954" s="168"/>
      <c r="D4954" s="167"/>
      <c r="E4954" s="166"/>
      <c r="F4954" s="165"/>
      <c r="G4954" s="164"/>
    </row>
    <row r="4955" spans="1:7" x14ac:dyDescent="0.25">
      <c r="A4955" s="169" t="str">
        <f>E4955&amp;COUNTIFS($E$2:E4955,E4955)</f>
        <v>0</v>
      </c>
      <c r="B4955" s="166"/>
      <c r="C4955" s="168"/>
      <c r="D4955" s="167"/>
      <c r="E4955" s="166"/>
      <c r="F4955" s="165"/>
      <c r="G4955" s="164"/>
    </row>
    <row r="4956" spans="1:7" ht="15.75" thickBot="1" x14ac:dyDescent="0.3">
      <c r="A4956" s="163" t="str">
        <f>E4956&amp;COUNTIFS($E$2:E4956,E4956)</f>
        <v>0</v>
      </c>
      <c r="B4956" s="160"/>
      <c r="C4956" s="162"/>
      <c r="D4956" s="161"/>
      <c r="E4956" s="160"/>
      <c r="F4956" s="159"/>
      <c r="G4956" s="158"/>
    </row>
    <row r="4957" spans="1:7" x14ac:dyDescent="0.25">
      <c r="A4957" s="148"/>
      <c r="C4957" s="143"/>
      <c r="D4957" s="157"/>
      <c r="E4957" s="143"/>
      <c r="F4957" s="156"/>
      <c r="G4957" s="156"/>
    </row>
    <row r="4958" spans="1:7" x14ac:dyDescent="0.25">
      <c r="A4958" s="148"/>
      <c r="C4958" s="153" t="s">
        <v>623</v>
      </c>
      <c r="D4958" s="152"/>
      <c r="E4958" s="151"/>
      <c r="F4958" s="150">
        <f>SUM(F4932:F4956)</f>
        <v>0</v>
      </c>
      <c r="G4958" s="155">
        <f>SUM(G4932:G4956)</f>
        <v>0</v>
      </c>
    </row>
    <row r="4959" spans="1:7" x14ac:dyDescent="0.25">
      <c r="A4959" s="148"/>
      <c r="C4959" s="145" t="s">
        <v>622</v>
      </c>
      <c r="D4959" s="154"/>
      <c r="E4959" s="145"/>
      <c r="F4959" s="144"/>
      <c r="G4959" s="144"/>
    </row>
    <row r="4960" spans="1:7" x14ac:dyDescent="0.25">
      <c r="A4960" s="148"/>
      <c r="C4960" s="153" t="s">
        <v>621</v>
      </c>
      <c r="D4960" s="152"/>
      <c r="E4960" s="151"/>
      <c r="F4960" s="150">
        <f>F4927</f>
        <v>0</v>
      </c>
      <c r="G4960" s="150">
        <f>G4927</f>
        <v>0</v>
      </c>
    </row>
    <row r="4961" spans="1:7" x14ac:dyDescent="0.25">
      <c r="A4961" s="148"/>
      <c r="C4961" s="153" t="s">
        <v>582</v>
      </c>
      <c r="D4961" s="152"/>
      <c r="E4961" s="151"/>
      <c r="F4961" s="150">
        <f>F4960+F4958</f>
        <v>0</v>
      </c>
      <c r="G4961" s="150">
        <f>G4960+G4958</f>
        <v>0</v>
      </c>
    </row>
    <row r="4962" spans="1:7" ht="15.75" thickBot="1" x14ac:dyDescent="0.3">
      <c r="A4962" s="148"/>
      <c r="C4962" s="145"/>
      <c r="D4962" s="149"/>
      <c r="E4962" s="145"/>
      <c r="F4962" s="144"/>
      <c r="G4962" s="144"/>
    </row>
    <row r="4963" spans="1:7" ht="15.75" thickBot="1" x14ac:dyDescent="0.3">
      <c r="A4963" s="148"/>
      <c r="C4963" s="147" t="s">
        <v>620</v>
      </c>
      <c r="D4963" s="146">
        <f>F4961-G4961</f>
        <v>0</v>
      </c>
      <c r="E4963" s="145"/>
      <c r="F4963" s="144"/>
      <c r="G4963" s="144"/>
    </row>
    <row r="4964" spans="1:7" ht="15.75" thickBot="1" x14ac:dyDescent="0.3"/>
    <row r="4965" spans="1:7" ht="30.75" thickBot="1" x14ac:dyDescent="0.3">
      <c r="A4965" s="196" t="s">
        <v>626</v>
      </c>
      <c r="B4965" s="195" t="s">
        <v>606</v>
      </c>
      <c r="C4965" s="194" t="s">
        <v>628</v>
      </c>
      <c r="D4965" s="193" t="s">
        <v>601</v>
      </c>
      <c r="E4965" s="192" t="s">
        <v>287</v>
      </c>
      <c r="F4965" s="191" t="s">
        <v>624</v>
      </c>
      <c r="G4965" s="191" t="s">
        <v>596</v>
      </c>
    </row>
    <row r="4966" spans="1:7" x14ac:dyDescent="0.25">
      <c r="A4966" s="175" t="str">
        <f>E4966&amp;COUNTIFS($E$2:E4966,E4966)</f>
        <v>0</v>
      </c>
      <c r="B4966" s="172"/>
      <c r="C4966" s="174"/>
      <c r="D4966" s="173"/>
      <c r="E4966" s="172"/>
      <c r="F4966" s="171"/>
      <c r="G4966" s="170"/>
    </row>
    <row r="4967" spans="1:7" x14ac:dyDescent="0.25">
      <c r="A4967" s="169" t="str">
        <f>E4967&amp;COUNTIFS($E$2:E4967,E4967)</f>
        <v>0</v>
      </c>
      <c r="B4967" s="166"/>
      <c r="C4967" s="168"/>
      <c r="D4967" s="167"/>
      <c r="E4967" s="166"/>
      <c r="F4967" s="165"/>
      <c r="G4967" s="164"/>
    </row>
    <row r="4968" spans="1:7" x14ac:dyDescent="0.25">
      <c r="A4968" s="169" t="str">
        <f>E4968&amp;COUNTIFS($E$2:E4968,E4968)</f>
        <v>0</v>
      </c>
      <c r="B4968" s="166"/>
      <c r="C4968" s="168"/>
      <c r="D4968" s="167"/>
      <c r="E4968" s="166"/>
      <c r="F4968" s="165"/>
      <c r="G4968" s="164"/>
    </row>
    <row r="4969" spans="1:7" x14ac:dyDescent="0.25">
      <c r="A4969" s="169" t="str">
        <f>E4969&amp;COUNTIFS($E$2:E4969,E4969)</f>
        <v>0</v>
      </c>
      <c r="B4969" s="166"/>
      <c r="C4969" s="168"/>
      <c r="D4969" s="167"/>
      <c r="E4969" s="166"/>
      <c r="F4969" s="165"/>
      <c r="G4969" s="164"/>
    </row>
    <row r="4970" spans="1:7" x14ac:dyDescent="0.25">
      <c r="A4970" s="169" t="str">
        <f>E4970&amp;COUNTIFS($E$2:E4970,E4970)</f>
        <v>0</v>
      </c>
      <c r="B4970" s="166"/>
      <c r="C4970" s="168"/>
      <c r="D4970" s="167"/>
      <c r="E4970" s="166"/>
      <c r="F4970" s="165"/>
      <c r="G4970" s="164"/>
    </row>
    <row r="4971" spans="1:7" x14ac:dyDescent="0.25">
      <c r="A4971" s="169" t="str">
        <f>E4971&amp;COUNTIFS($E$2:E4971,E4971)</f>
        <v>0</v>
      </c>
      <c r="B4971" s="166"/>
      <c r="C4971" s="168"/>
      <c r="D4971" s="167"/>
      <c r="E4971" s="166"/>
      <c r="F4971" s="165"/>
      <c r="G4971" s="164"/>
    </row>
    <row r="4972" spans="1:7" x14ac:dyDescent="0.25">
      <c r="A4972" s="169" t="str">
        <f>E4972&amp;COUNTIFS($E$2:E4972,E4972)</f>
        <v>0</v>
      </c>
      <c r="B4972" s="166"/>
      <c r="C4972" s="168"/>
      <c r="D4972" s="167"/>
      <c r="E4972" s="166"/>
      <c r="F4972" s="165"/>
      <c r="G4972" s="164"/>
    </row>
    <row r="4973" spans="1:7" x14ac:dyDescent="0.25">
      <c r="A4973" s="169" t="str">
        <f>E4973&amp;COUNTIFS($E$2:E4973,E4973)</f>
        <v>0</v>
      </c>
      <c r="B4973" s="166"/>
      <c r="C4973" s="168"/>
      <c r="D4973" s="167"/>
      <c r="E4973" s="166"/>
      <c r="F4973" s="165"/>
      <c r="G4973" s="164"/>
    </row>
    <row r="4974" spans="1:7" x14ac:dyDescent="0.25">
      <c r="A4974" s="169" t="str">
        <f>E4974&amp;COUNTIFS($E$2:E4974,E4974)</f>
        <v>0</v>
      </c>
      <c r="B4974" s="166"/>
      <c r="C4974" s="168"/>
      <c r="D4974" s="167"/>
      <c r="E4974" s="166"/>
      <c r="F4974" s="165"/>
      <c r="G4974" s="164"/>
    </row>
    <row r="4975" spans="1:7" x14ac:dyDescent="0.25">
      <c r="A4975" s="169" t="str">
        <f>E4975&amp;COUNTIFS($E$2:E4975,E4975)</f>
        <v>0</v>
      </c>
      <c r="B4975" s="166"/>
      <c r="C4975" s="168"/>
      <c r="D4975" s="167"/>
      <c r="E4975" s="166"/>
      <c r="F4975" s="165"/>
      <c r="G4975" s="164"/>
    </row>
    <row r="4976" spans="1:7" x14ac:dyDescent="0.25">
      <c r="A4976" s="169" t="str">
        <f>E4976&amp;COUNTIFS($E$2:E4976,E4976)</f>
        <v>0</v>
      </c>
      <c r="B4976" s="166"/>
      <c r="C4976" s="168"/>
      <c r="D4976" s="167"/>
      <c r="E4976" s="166"/>
      <c r="F4976" s="165"/>
      <c r="G4976" s="164"/>
    </row>
    <row r="4977" spans="1:7" x14ac:dyDescent="0.25">
      <c r="A4977" s="169" t="str">
        <f>E4977&amp;COUNTIFS($E$2:E4977,E4977)</f>
        <v>0</v>
      </c>
      <c r="B4977" s="166"/>
      <c r="C4977" s="168"/>
      <c r="D4977" s="167"/>
      <c r="E4977" s="166"/>
      <c r="F4977" s="165"/>
      <c r="G4977" s="164"/>
    </row>
    <row r="4978" spans="1:7" x14ac:dyDescent="0.25">
      <c r="A4978" s="169" t="str">
        <f>E4978&amp;COUNTIFS($E$2:E4978,E4978)</f>
        <v>0</v>
      </c>
      <c r="B4978" s="166"/>
      <c r="C4978" s="168"/>
      <c r="D4978" s="167"/>
      <c r="E4978" s="166"/>
      <c r="F4978" s="165"/>
      <c r="G4978" s="164"/>
    </row>
    <row r="4979" spans="1:7" x14ac:dyDescent="0.25">
      <c r="A4979" s="169" t="str">
        <f>E4979&amp;COUNTIFS($E$2:E4979,E4979)</f>
        <v>0</v>
      </c>
      <c r="B4979" s="166"/>
      <c r="C4979" s="168"/>
      <c r="D4979" s="167"/>
      <c r="E4979" s="166"/>
      <c r="F4979" s="165"/>
      <c r="G4979" s="164"/>
    </row>
    <row r="4980" spans="1:7" x14ac:dyDescent="0.25">
      <c r="A4980" s="169" t="str">
        <f>E4980&amp;COUNTIFS($E$2:E4980,E4980)</f>
        <v>0</v>
      </c>
      <c r="B4980" s="166"/>
      <c r="C4980" s="168"/>
      <c r="D4980" s="167"/>
      <c r="E4980" s="166"/>
      <c r="F4980" s="165"/>
      <c r="G4980" s="164"/>
    </row>
    <row r="4981" spans="1:7" x14ac:dyDescent="0.25">
      <c r="A4981" s="169" t="str">
        <f>E4981&amp;COUNTIFS($E$2:E4981,E4981)</f>
        <v>0</v>
      </c>
      <c r="B4981" s="166"/>
      <c r="C4981" s="168"/>
      <c r="D4981" s="167"/>
      <c r="E4981" s="166"/>
      <c r="F4981" s="165"/>
      <c r="G4981" s="164"/>
    </row>
    <row r="4982" spans="1:7" x14ac:dyDescent="0.25">
      <c r="A4982" s="169" t="str">
        <f>E4982&amp;COUNTIFS($E$2:E4982,E4982)</f>
        <v>0</v>
      </c>
      <c r="B4982" s="166"/>
      <c r="C4982" s="168"/>
      <c r="D4982" s="167"/>
      <c r="E4982" s="166"/>
      <c r="F4982" s="165"/>
      <c r="G4982" s="164"/>
    </row>
    <row r="4983" spans="1:7" x14ac:dyDescent="0.25">
      <c r="A4983" s="169" t="str">
        <f>E4983&amp;COUNTIFS($E$2:E4983,E4983)</f>
        <v>0</v>
      </c>
      <c r="B4983" s="166"/>
      <c r="C4983" s="168"/>
      <c r="D4983" s="167"/>
      <c r="E4983" s="166"/>
      <c r="F4983" s="165"/>
      <c r="G4983" s="164"/>
    </row>
    <row r="4984" spans="1:7" x14ac:dyDescent="0.25">
      <c r="A4984" s="169" t="str">
        <f>E4984&amp;COUNTIFS($E$2:E4984,E4984)</f>
        <v>0</v>
      </c>
      <c r="B4984" s="166"/>
      <c r="C4984" s="168"/>
      <c r="D4984" s="167"/>
      <c r="E4984" s="166"/>
      <c r="F4984" s="165"/>
      <c r="G4984" s="164"/>
    </row>
    <row r="4985" spans="1:7" x14ac:dyDescent="0.25">
      <c r="A4985" s="169" t="str">
        <f>E4985&amp;COUNTIFS($E$2:E4985,E4985)</f>
        <v>0</v>
      </c>
      <c r="B4985" s="166"/>
      <c r="C4985" s="168"/>
      <c r="D4985" s="167"/>
      <c r="E4985" s="166"/>
      <c r="F4985" s="165"/>
      <c r="G4985" s="164"/>
    </row>
    <row r="4986" spans="1:7" x14ac:dyDescent="0.25">
      <c r="A4986" s="169" t="str">
        <f>E4986&amp;COUNTIFS($E$2:E4986,E4986)</f>
        <v>0</v>
      </c>
      <c r="B4986" s="166"/>
      <c r="C4986" s="168"/>
      <c r="D4986" s="167"/>
      <c r="E4986" s="166"/>
      <c r="F4986" s="165"/>
      <c r="G4986" s="164"/>
    </row>
    <row r="4987" spans="1:7" x14ac:dyDescent="0.25">
      <c r="A4987" s="169" t="str">
        <f>E4987&amp;COUNTIFS($E$2:E4987,E4987)</f>
        <v>0</v>
      </c>
      <c r="B4987" s="166"/>
      <c r="C4987" s="168"/>
      <c r="D4987" s="167"/>
      <c r="E4987" s="166"/>
      <c r="F4987" s="165"/>
      <c r="G4987" s="164"/>
    </row>
    <row r="4988" spans="1:7" x14ac:dyDescent="0.25">
      <c r="A4988" s="169" t="str">
        <f>E4988&amp;COUNTIFS($E$2:E4988,E4988)</f>
        <v>0</v>
      </c>
      <c r="B4988" s="166"/>
      <c r="C4988" s="168"/>
      <c r="D4988" s="167"/>
      <c r="E4988" s="166"/>
      <c r="F4988" s="165"/>
      <c r="G4988" s="164"/>
    </row>
    <row r="4989" spans="1:7" x14ac:dyDescent="0.25">
      <c r="A4989" s="169" t="str">
        <f>E4989&amp;COUNTIFS($E$2:E4989,E4989)</f>
        <v>0</v>
      </c>
      <c r="B4989" s="166"/>
      <c r="C4989" s="168"/>
      <c r="D4989" s="167"/>
      <c r="E4989" s="166"/>
      <c r="F4989" s="165"/>
      <c r="G4989" s="164"/>
    </row>
    <row r="4990" spans="1:7" ht="15.75" thickBot="1" x14ac:dyDescent="0.3">
      <c r="A4990" s="163" t="str">
        <f>E4990&amp;COUNTIFS($E$2:E4990,E4990)</f>
        <v>0</v>
      </c>
      <c r="B4990" s="160"/>
      <c r="C4990" s="162"/>
      <c r="D4990" s="161"/>
      <c r="E4990" s="160"/>
      <c r="F4990" s="159"/>
      <c r="G4990" s="158"/>
    </row>
    <row r="4991" spans="1:7" x14ac:dyDescent="0.25">
      <c r="A4991" s="148"/>
      <c r="C4991" s="143"/>
      <c r="D4991" s="157"/>
      <c r="E4991" s="143"/>
      <c r="F4991" s="156"/>
      <c r="G4991" s="156"/>
    </row>
    <row r="4992" spans="1:7" x14ac:dyDescent="0.25">
      <c r="A4992" s="148"/>
      <c r="C4992" s="153" t="s">
        <v>623</v>
      </c>
      <c r="D4992" s="152"/>
      <c r="E4992" s="151"/>
      <c r="F4992" s="150">
        <f>SUM(F4966:F4990)</f>
        <v>0</v>
      </c>
      <c r="G4992" s="155">
        <f>SUM(G4966:G4990)</f>
        <v>0</v>
      </c>
    </row>
    <row r="4993" spans="1:7" x14ac:dyDescent="0.25">
      <c r="A4993" s="148"/>
      <c r="C4993" s="145" t="s">
        <v>622</v>
      </c>
      <c r="D4993" s="154"/>
      <c r="E4993" s="145"/>
      <c r="F4993" s="144"/>
      <c r="G4993" s="144"/>
    </row>
    <row r="4994" spans="1:7" x14ac:dyDescent="0.25">
      <c r="A4994" s="148"/>
      <c r="C4994" s="153" t="s">
        <v>621</v>
      </c>
      <c r="D4994" s="152"/>
      <c r="E4994" s="151"/>
      <c r="F4994" s="150">
        <f>F4961</f>
        <v>0</v>
      </c>
      <c r="G4994" s="150">
        <f>G4961</f>
        <v>0</v>
      </c>
    </row>
    <row r="4995" spans="1:7" x14ac:dyDescent="0.25">
      <c r="A4995" s="148"/>
      <c r="C4995" s="153" t="s">
        <v>582</v>
      </c>
      <c r="D4995" s="152"/>
      <c r="E4995" s="151"/>
      <c r="F4995" s="150">
        <f>F4994+F4992</f>
        <v>0</v>
      </c>
      <c r="G4995" s="150">
        <f>G4994+G4992</f>
        <v>0</v>
      </c>
    </row>
    <row r="4996" spans="1:7" ht="15.75" thickBot="1" x14ac:dyDescent="0.3">
      <c r="A4996" s="148"/>
      <c r="C4996" s="145"/>
      <c r="D4996" s="149"/>
      <c r="E4996" s="145"/>
      <c r="F4996" s="144"/>
      <c r="G4996" s="144"/>
    </row>
    <row r="4997" spans="1:7" ht="15.75" thickBot="1" x14ac:dyDescent="0.3">
      <c r="A4997" s="148"/>
      <c r="C4997" s="147" t="s">
        <v>620</v>
      </c>
      <c r="D4997" s="146">
        <f>F4995-G4995</f>
        <v>0</v>
      </c>
      <c r="E4997" s="145"/>
      <c r="F4997" s="144"/>
      <c r="G4997" s="144"/>
    </row>
    <row r="4998" spans="1:7" ht="15.75" thickBot="1" x14ac:dyDescent="0.3"/>
    <row r="4999" spans="1:7" ht="30.75" thickBot="1" x14ac:dyDescent="0.3">
      <c r="A4999" s="196" t="s">
        <v>626</v>
      </c>
      <c r="B4999" s="195" t="s">
        <v>606</v>
      </c>
      <c r="C4999" s="194" t="s">
        <v>628</v>
      </c>
      <c r="D4999" s="193" t="s">
        <v>601</v>
      </c>
      <c r="E4999" s="192" t="s">
        <v>287</v>
      </c>
      <c r="F4999" s="191" t="s">
        <v>624</v>
      </c>
      <c r="G4999" s="191" t="s">
        <v>596</v>
      </c>
    </row>
    <row r="5000" spans="1:7" x14ac:dyDescent="0.25">
      <c r="A5000" s="175" t="str">
        <f>E5000&amp;COUNTIFS($E$2:E5000,E5000)</f>
        <v>0</v>
      </c>
      <c r="B5000" s="172"/>
      <c r="C5000" s="174"/>
      <c r="D5000" s="173"/>
      <c r="E5000" s="172"/>
      <c r="F5000" s="171"/>
      <c r="G5000" s="170"/>
    </row>
    <row r="5001" spans="1:7" x14ac:dyDescent="0.25">
      <c r="A5001" s="169" t="str">
        <f>E5001&amp;COUNTIFS($E$2:E5001,E5001)</f>
        <v>0</v>
      </c>
      <c r="B5001" s="166"/>
      <c r="C5001" s="168"/>
      <c r="D5001" s="167"/>
      <c r="E5001" s="166"/>
      <c r="F5001" s="165"/>
      <c r="G5001" s="164"/>
    </row>
    <row r="5002" spans="1:7" x14ac:dyDescent="0.25">
      <c r="A5002" s="169" t="str">
        <f>E5002&amp;COUNTIFS($E$2:E5002,E5002)</f>
        <v>0</v>
      </c>
      <c r="B5002" s="166"/>
      <c r="C5002" s="168"/>
      <c r="D5002" s="167"/>
      <c r="E5002" s="166"/>
      <c r="F5002" s="165"/>
      <c r="G5002" s="164"/>
    </row>
    <row r="5003" spans="1:7" x14ac:dyDescent="0.25">
      <c r="A5003" s="169" t="str">
        <f>E5003&amp;COUNTIFS($E$2:E5003,E5003)</f>
        <v>0</v>
      </c>
      <c r="B5003" s="166"/>
      <c r="C5003" s="168"/>
      <c r="D5003" s="167"/>
      <c r="E5003" s="166"/>
      <c r="F5003" s="165"/>
      <c r="G5003" s="164"/>
    </row>
    <row r="5004" spans="1:7" x14ac:dyDescent="0.25">
      <c r="A5004" s="169" t="str">
        <f>E5004&amp;COUNTIFS($E$2:E5004,E5004)</f>
        <v>0</v>
      </c>
      <c r="B5004" s="166"/>
      <c r="C5004" s="168"/>
      <c r="D5004" s="167"/>
      <c r="E5004" s="166"/>
      <c r="F5004" s="165"/>
      <c r="G5004" s="164"/>
    </row>
    <row r="5005" spans="1:7" x14ac:dyDescent="0.25">
      <c r="A5005" s="169" t="str">
        <f>E5005&amp;COUNTIFS($E$2:E5005,E5005)</f>
        <v>0</v>
      </c>
      <c r="B5005" s="166"/>
      <c r="C5005" s="168"/>
      <c r="D5005" s="167"/>
      <c r="E5005" s="166"/>
      <c r="F5005" s="165"/>
      <c r="G5005" s="164"/>
    </row>
    <row r="5006" spans="1:7" x14ac:dyDescent="0.25">
      <c r="A5006" s="169" t="str">
        <f>E5006&amp;COUNTIFS($E$2:E5006,E5006)</f>
        <v>0</v>
      </c>
      <c r="B5006" s="166"/>
      <c r="C5006" s="168"/>
      <c r="D5006" s="167"/>
      <c r="E5006" s="166"/>
      <c r="F5006" s="165"/>
      <c r="G5006" s="164"/>
    </row>
    <row r="5007" spans="1:7" x14ac:dyDescent="0.25">
      <c r="A5007" s="169" t="str">
        <f>E5007&amp;COUNTIFS($E$2:E5007,E5007)</f>
        <v>0</v>
      </c>
      <c r="B5007" s="166"/>
      <c r="C5007" s="168"/>
      <c r="D5007" s="167"/>
      <c r="E5007" s="166"/>
      <c r="F5007" s="165"/>
      <c r="G5007" s="164"/>
    </row>
    <row r="5008" spans="1:7" x14ac:dyDescent="0.25">
      <c r="A5008" s="169" t="str">
        <f>E5008&amp;COUNTIFS($E$2:E5008,E5008)</f>
        <v>0</v>
      </c>
      <c r="B5008" s="166"/>
      <c r="C5008" s="168"/>
      <c r="D5008" s="167"/>
      <c r="E5008" s="166"/>
      <c r="F5008" s="165"/>
      <c r="G5008" s="164"/>
    </row>
    <row r="5009" spans="1:7" x14ac:dyDescent="0.25">
      <c r="A5009" s="169" t="str">
        <f>E5009&amp;COUNTIFS($E$2:E5009,E5009)</f>
        <v>0</v>
      </c>
      <c r="B5009" s="166"/>
      <c r="C5009" s="168"/>
      <c r="D5009" s="167"/>
      <c r="E5009" s="166"/>
      <c r="F5009" s="165"/>
      <c r="G5009" s="164"/>
    </row>
    <row r="5010" spans="1:7" x14ac:dyDescent="0.25">
      <c r="A5010" s="169" t="str">
        <f>E5010&amp;COUNTIFS($E$2:E5010,E5010)</f>
        <v>0</v>
      </c>
      <c r="B5010" s="166"/>
      <c r="C5010" s="168"/>
      <c r="D5010" s="167"/>
      <c r="E5010" s="166"/>
      <c r="F5010" s="165"/>
      <c r="G5010" s="164"/>
    </row>
    <row r="5011" spans="1:7" x14ac:dyDescent="0.25">
      <c r="A5011" s="169" t="str">
        <f>E5011&amp;COUNTIFS($E$2:E5011,E5011)</f>
        <v>0</v>
      </c>
      <c r="B5011" s="166"/>
      <c r="C5011" s="168"/>
      <c r="D5011" s="167"/>
      <c r="E5011" s="166"/>
      <c r="F5011" s="165"/>
      <c r="G5011" s="164"/>
    </row>
    <row r="5012" spans="1:7" x14ac:dyDescent="0.25">
      <c r="A5012" s="169" t="str">
        <f>E5012&amp;COUNTIFS($E$2:E5012,E5012)</f>
        <v>0</v>
      </c>
      <c r="B5012" s="166"/>
      <c r="C5012" s="168"/>
      <c r="D5012" s="167"/>
      <c r="E5012" s="166"/>
      <c r="F5012" s="165"/>
      <c r="G5012" s="164"/>
    </row>
    <row r="5013" spans="1:7" x14ac:dyDescent="0.25">
      <c r="A5013" s="169" t="str">
        <f>E5013&amp;COUNTIFS($E$2:E5013,E5013)</f>
        <v>0</v>
      </c>
      <c r="B5013" s="166"/>
      <c r="C5013" s="168"/>
      <c r="D5013" s="167"/>
      <c r="E5013" s="166"/>
      <c r="F5013" s="165"/>
      <c r="G5013" s="164"/>
    </row>
    <row r="5014" spans="1:7" x14ac:dyDescent="0.25">
      <c r="A5014" s="169" t="str">
        <f>E5014&amp;COUNTIFS($E$2:E5014,E5014)</f>
        <v>0</v>
      </c>
      <c r="B5014" s="166"/>
      <c r="C5014" s="168"/>
      <c r="D5014" s="167"/>
      <c r="E5014" s="166"/>
      <c r="F5014" s="165"/>
      <c r="G5014" s="164"/>
    </row>
    <row r="5015" spans="1:7" x14ac:dyDescent="0.25">
      <c r="A5015" s="169" t="str">
        <f>E5015&amp;COUNTIFS($E$2:E5015,E5015)</f>
        <v>0</v>
      </c>
      <c r="B5015" s="166"/>
      <c r="C5015" s="168"/>
      <c r="D5015" s="167"/>
      <c r="E5015" s="166"/>
      <c r="F5015" s="165"/>
      <c r="G5015" s="164"/>
    </row>
    <row r="5016" spans="1:7" x14ac:dyDescent="0.25">
      <c r="A5016" s="169" t="str">
        <f>E5016&amp;COUNTIFS($E$2:E5016,E5016)</f>
        <v>0</v>
      </c>
      <c r="B5016" s="166"/>
      <c r="C5016" s="168"/>
      <c r="D5016" s="167"/>
      <c r="E5016" s="166"/>
      <c r="F5016" s="165"/>
      <c r="G5016" s="164"/>
    </row>
    <row r="5017" spans="1:7" x14ac:dyDescent="0.25">
      <c r="A5017" s="169" t="str">
        <f>E5017&amp;COUNTIFS($E$2:E5017,E5017)</f>
        <v>0</v>
      </c>
      <c r="B5017" s="166"/>
      <c r="C5017" s="168"/>
      <c r="D5017" s="167"/>
      <c r="E5017" s="166"/>
      <c r="F5017" s="165"/>
      <c r="G5017" s="164"/>
    </row>
    <row r="5018" spans="1:7" x14ac:dyDescent="0.25">
      <c r="A5018" s="169" t="str">
        <f>E5018&amp;COUNTIFS($E$2:E5018,E5018)</f>
        <v>0</v>
      </c>
      <c r="B5018" s="166"/>
      <c r="C5018" s="168"/>
      <c r="D5018" s="167"/>
      <c r="E5018" s="166"/>
      <c r="F5018" s="165"/>
      <c r="G5018" s="164"/>
    </row>
    <row r="5019" spans="1:7" x14ac:dyDescent="0.25">
      <c r="A5019" s="169" t="str">
        <f>E5019&amp;COUNTIFS($E$2:E5019,E5019)</f>
        <v>0</v>
      </c>
      <c r="B5019" s="166"/>
      <c r="C5019" s="168"/>
      <c r="D5019" s="167"/>
      <c r="E5019" s="166"/>
      <c r="F5019" s="165"/>
      <c r="G5019" s="164"/>
    </row>
    <row r="5020" spans="1:7" x14ac:dyDescent="0.25">
      <c r="A5020" s="169" t="str">
        <f>E5020&amp;COUNTIFS($E$2:E5020,E5020)</f>
        <v>0</v>
      </c>
      <c r="B5020" s="166"/>
      <c r="C5020" s="168"/>
      <c r="D5020" s="167"/>
      <c r="E5020" s="166"/>
      <c r="F5020" s="165"/>
      <c r="G5020" s="164"/>
    </row>
    <row r="5021" spans="1:7" x14ac:dyDescent="0.25">
      <c r="A5021" s="169" t="str">
        <f>E5021&amp;COUNTIFS($E$2:E5021,E5021)</f>
        <v>0</v>
      </c>
      <c r="B5021" s="166"/>
      <c r="C5021" s="168"/>
      <c r="D5021" s="167"/>
      <c r="E5021" s="166"/>
      <c r="F5021" s="165"/>
      <c r="G5021" s="164"/>
    </row>
    <row r="5022" spans="1:7" x14ac:dyDescent="0.25">
      <c r="A5022" s="169" t="str">
        <f>E5022&amp;COUNTIFS($E$2:E5022,E5022)</f>
        <v>0</v>
      </c>
      <c r="B5022" s="166"/>
      <c r="C5022" s="168"/>
      <c r="D5022" s="167"/>
      <c r="E5022" s="166"/>
      <c r="F5022" s="165"/>
      <c r="G5022" s="164"/>
    </row>
    <row r="5023" spans="1:7" x14ac:dyDescent="0.25">
      <c r="A5023" s="169" t="str">
        <f>E5023&amp;COUNTIFS($E$2:E5023,E5023)</f>
        <v>0</v>
      </c>
      <c r="B5023" s="166"/>
      <c r="C5023" s="168"/>
      <c r="D5023" s="167"/>
      <c r="E5023" s="166"/>
      <c r="F5023" s="165"/>
      <c r="G5023" s="164"/>
    </row>
    <row r="5024" spans="1:7" ht="15.75" thickBot="1" x14ac:dyDescent="0.3">
      <c r="A5024" s="163" t="str">
        <f>E5024&amp;COUNTIFS($E$2:E5024,E5024)</f>
        <v>0</v>
      </c>
      <c r="B5024" s="160"/>
      <c r="C5024" s="162"/>
      <c r="D5024" s="161"/>
      <c r="E5024" s="160"/>
      <c r="F5024" s="159"/>
      <c r="G5024" s="158"/>
    </row>
    <row r="5025" spans="1:7" x14ac:dyDescent="0.25">
      <c r="A5025" s="148"/>
      <c r="C5025" s="143"/>
      <c r="D5025" s="157"/>
      <c r="E5025" s="143"/>
      <c r="F5025" s="156"/>
      <c r="G5025" s="156"/>
    </row>
    <row r="5026" spans="1:7" x14ac:dyDescent="0.25">
      <c r="A5026" s="148"/>
      <c r="C5026" s="153" t="s">
        <v>623</v>
      </c>
      <c r="D5026" s="152"/>
      <c r="E5026" s="151"/>
      <c r="F5026" s="150">
        <f>SUM(F5000:F5024)</f>
        <v>0</v>
      </c>
      <c r="G5026" s="155">
        <f>SUM(G5000:G5024)</f>
        <v>0</v>
      </c>
    </row>
    <row r="5027" spans="1:7" x14ac:dyDescent="0.25">
      <c r="A5027" s="148"/>
      <c r="C5027" s="145" t="s">
        <v>622</v>
      </c>
      <c r="D5027" s="154"/>
      <c r="E5027" s="145"/>
      <c r="F5027" s="144"/>
      <c r="G5027" s="144"/>
    </row>
    <row r="5028" spans="1:7" x14ac:dyDescent="0.25">
      <c r="A5028" s="148"/>
      <c r="C5028" s="153" t="s">
        <v>621</v>
      </c>
      <c r="D5028" s="152"/>
      <c r="E5028" s="151"/>
      <c r="F5028" s="150">
        <f>F4995</f>
        <v>0</v>
      </c>
      <c r="G5028" s="150">
        <f>G4995</f>
        <v>0</v>
      </c>
    </row>
    <row r="5029" spans="1:7" x14ac:dyDescent="0.25">
      <c r="A5029" s="148"/>
      <c r="C5029" s="153" t="s">
        <v>582</v>
      </c>
      <c r="D5029" s="152"/>
      <c r="E5029" s="151"/>
      <c r="F5029" s="150">
        <f>F5028+F5026</f>
        <v>0</v>
      </c>
      <c r="G5029" s="150">
        <f>G5028+G5026</f>
        <v>0</v>
      </c>
    </row>
    <row r="5030" spans="1:7" ht="15.75" thickBot="1" x14ac:dyDescent="0.3">
      <c r="A5030" s="148"/>
      <c r="C5030" s="145"/>
      <c r="D5030" s="149"/>
      <c r="E5030" s="145"/>
      <c r="F5030" s="144"/>
      <c r="G5030" s="144"/>
    </row>
    <row r="5031" spans="1:7" ht="15.75" thickBot="1" x14ac:dyDescent="0.3">
      <c r="A5031" s="148"/>
      <c r="C5031" s="147" t="s">
        <v>620</v>
      </c>
      <c r="D5031" s="146">
        <f>F5029-G5029</f>
        <v>0</v>
      </c>
      <c r="E5031" s="145"/>
      <c r="F5031" s="144"/>
      <c r="G5031" s="144"/>
    </row>
    <row r="5032" spans="1:7" ht="15.75" thickBot="1" x14ac:dyDescent="0.3"/>
    <row r="5033" spans="1:7" ht="30.75" thickBot="1" x14ac:dyDescent="0.3">
      <c r="A5033" s="196" t="s">
        <v>626</v>
      </c>
      <c r="B5033" s="195" t="s">
        <v>606</v>
      </c>
      <c r="C5033" s="194" t="s">
        <v>628</v>
      </c>
      <c r="D5033" s="193" t="s">
        <v>601</v>
      </c>
      <c r="E5033" s="192" t="s">
        <v>287</v>
      </c>
      <c r="F5033" s="191" t="s">
        <v>624</v>
      </c>
      <c r="G5033" s="191" t="s">
        <v>596</v>
      </c>
    </row>
    <row r="5034" spans="1:7" x14ac:dyDescent="0.25">
      <c r="A5034" s="175" t="str">
        <f>E5034&amp;COUNTIFS($E$2:E5034,E5034)</f>
        <v>0</v>
      </c>
      <c r="B5034" s="172"/>
      <c r="C5034" s="174"/>
      <c r="D5034" s="173"/>
      <c r="E5034" s="172"/>
      <c r="F5034" s="171"/>
      <c r="G5034" s="170"/>
    </row>
    <row r="5035" spans="1:7" x14ac:dyDescent="0.25">
      <c r="A5035" s="169" t="str">
        <f>E5035&amp;COUNTIFS($E$2:E5035,E5035)</f>
        <v>0</v>
      </c>
      <c r="B5035" s="166"/>
      <c r="C5035" s="168"/>
      <c r="D5035" s="167"/>
      <c r="E5035" s="166"/>
      <c r="F5035" s="165"/>
      <c r="G5035" s="164"/>
    </row>
    <row r="5036" spans="1:7" x14ac:dyDescent="0.25">
      <c r="A5036" s="169" t="str">
        <f>E5036&amp;COUNTIFS($E$2:E5036,E5036)</f>
        <v>0</v>
      </c>
      <c r="B5036" s="166"/>
      <c r="C5036" s="168"/>
      <c r="D5036" s="167"/>
      <c r="E5036" s="166"/>
      <c r="F5036" s="165"/>
      <c r="G5036" s="164"/>
    </row>
    <row r="5037" spans="1:7" x14ac:dyDescent="0.25">
      <c r="A5037" s="169" t="str">
        <f>E5037&amp;COUNTIFS($E$2:E5037,E5037)</f>
        <v>0</v>
      </c>
      <c r="B5037" s="166"/>
      <c r="C5037" s="168"/>
      <c r="D5037" s="167"/>
      <c r="E5037" s="166"/>
      <c r="F5037" s="165"/>
      <c r="G5037" s="164"/>
    </row>
    <row r="5038" spans="1:7" x14ac:dyDescent="0.25">
      <c r="A5038" s="169" t="str">
        <f>E5038&amp;COUNTIFS($E$2:E5038,E5038)</f>
        <v>0</v>
      </c>
      <c r="B5038" s="166"/>
      <c r="C5038" s="168"/>
      <c r="D5038" s="167"/>
      <c r="E5038" s="166"/>
      <c r="F5038" s="165"/>
      <c r="G5038" s="164"/>
    </row>
    <row r="5039" spans="1:7" x14ac:dyDescent="0.25">
      <c r="A5039" s="169" t="str">
        <f>E5039&amp;COUNTIFS($E$2:E5039,E5039)</f>
        <v>0</v>
      </c>
      <c r="B5039" s="166"/>
      <c r="C5039" s="168"/>
      <c r="D5039" s="167"/>
      <c r="E5039" s="166"/>
      <c r="F5039" s="165"/>
      <c r="G5039" s="164"/>
    </row>
    <row r="5040" spans="1:7" x14ac:dyDescent="0.25">
      <c r="A5040" s="169" t="str">
        <f>E5040&amp;COUNTIFS($E$2:E5040,E5040)</f>
        <v>0</v>
      </c>
      <c r="B5040" s="166"/>
      <c r="C5040" s="168"/>
      <c r="D5040" s="167"/>
      <c r="E5040" s="166"/>
      <c r="F5040" s="165"/>
      <c r="G5040" s="164"/>
    </row>
    <row r="5041" spans="1:7" x14ac:dyDescent="0.25">
      <c r="A5041" s="169" t="str">
        <f>E5041&amp;COUNTIFS($E$2:E5041,E5041)</f>
        <v>0</v>
      </c>
      <c r="B5041" s="166"/>
      <c r="C5041" s="168"/>
      <c r="D5041" s="167"/>
      <c r="E5041" s="166"/>
      <c r="F5041" s="165"/>
      <c r="G5041" s="164"/>
    </row>
    <row r="5042" spans="1:7" x14ac:dyDescent="0.25">
      <c r="A5042" s="169" t="str">
        <f>E5042&amp;COUNTIFS($E$2:E5042,E5042)</f>
        <v>0</v>
      </c>
      <c r="B5042" s="166"/>
      <c r="C5042" s="168"/>
      <c r="D5042" s="167"/>
      <c r="E5042" s="166"/>
      <c r="F5042" s="165"/>
      <c r="G5042" s="164"/>
    </row>
    <row r="5043" spans="1:7" x14ac:dyDescent="0.25">
      <c r="A5043" s="169" t="str">
        <f>E5043&amp;COUNTIFS($E$2:E5043,E5043)</f>
        <v>0</v>
      </c>
      <c r="B5043" s="166"/>
      <c r="C5043" s="168"/>
      <c r="D5043" s="167"/>
      <c r="E5043" s="166"/>
      <c r="F5043" s="165"/>
      <c r="G5043" s="164"/>
    </row>
    <row r="5044" spans="1:7" x14ac:dyDescent="0.25">
      <c r="A5044" s="169" t="str">
        <f>E5044&amp;COUNTIFS($E$2:E5044,E5044)</f>
        <v>0</v>
      </c>
      <c r="B5044" s="166"/>
      <c r="C5044" s="168"/>
      <c r="D5044" s="167"/>
      <c r="E5044" s="166"/>
      <c r="F5044" s="165"/>
      <c r="G5044" s="164"/>
    </row>
    <row r="5045" spans="1:7" x14ac:dyDescent="0.25">
      <c r="A5045" s="169" t="str">
        <f>E5045&amp;COUNTIFS($E$2:E5045,E5045)</f>
        <v>0</v>
      </c>
      <c r="B5045" s="166"/>
      <c r="C5045" s="168"/>
      <c r="D5045" s="167"/>
      <c r="E5045" s="166"/>
      <c r="F5045" s="165"/>
      <c r="G5045" s="164"/>
    </row>
    <row r="5046" spans="1:7" x14ac:dyDescent="0.25">
      <c r="A5046" s="169" t="str">
        <f>E5046&amp;COUNTIFS($E$2:E5046,E5046)</f>
        <v>0</v>
      </c>
      <c r="B5046" s="166"/>
      <c r="C5046" s="168"/>
      <c r="D5046" s="167"/>
      <c r="E5046" s="166"/>
      <c r="F5046" s="165"/>
      <c r="G5046" s="164"/>
    </row>
    <row r="5047" spans="1:7" x14ac:dyDescent="0.25">
      <c r="A5047" s="169" t="str">
        <f>E5047&amp;COUNTIFS($E$2:E5047,E5047)</f>
        <v>0</v>
      </c>
      <c r="B5047" s="166"/>
      <c r="C5047" s="168"/>
      <c r="D5047" s="167"/>
      <c r="E5047" s="166"/>
      <c r="F5047" s="165"/>
      <c r="G5047" s="164"/>
    </row>
    <row r="5048" spans="1:7" x14ac:dyDescent="0.25">
      <c r="A5048" s="169" t="str">
        <f>E5048&amp;COUNTIFS($E$2:E5048,E5048)</f>
        <v>0</v>
      </c>
      <c r="B5048" s="166"/>
      <c r="C5048" s="168"/>
      <c r="D5048" s="167"/>
      <c r="E5048" s="166"/>
      <c r="F5048" s="165"/>
      <c r="G5048" s="164"/>
    </row>
    <row r="5049" spans="1:7" x14ac:dyDescent="0.25">
      <c r="A5049" s="169" t="str">
        <f>E5049&amp;COUNTIFS($E$2:E5049,E5049)</f>
        <v>0</v>
      </c>
      <c r="B5049" s="166"/>
      <c r="C5049" s="168"/>
      <c r="D5049" s="167"/>
      <c r="E5049" s="166"/>
      <c r="F5049" s="165"/>
      <c r="G5049" s="164"/>
    </row>
    <row r="5050" spans="1:7" x14ac:dyDescent="0.25">
      <c r="A5050" s="169" t="str">
        <f>E5050&amp;COUNTIFS($E$2:E5050,E5050)</f>
        <v>0</v>
      </c>
      <c r="B5050" s="166"/>
      <c r="C5050" s="168"/>
      <c r="D5050" s="167"/>
      <c r="E5050" s="166"/>
      <c r="F5050" s="165"/>
      <c r="G5050" s="164"/>
    </row>
    <row r="5051" spans="1:7" x14ac:dyDescent="0.25">
      <c r="A5051" s="169" t="str">
        <f>E5051&amp;COUNTIFS($E$2:E5051,E5051)</f>
        <v>0</v>
      </c>
      <c r="B5051" s="166"/>
      <c r="C5051" s="168"/>
      <c r="D5051" s="167"/>
      <c r="E5051" s="166"/>
      <c r="F5051" s="165"/>
      <c r="G5051" s="164"/>
    </row>
    <row r="5052" spans="1:7" x14ac:dyDescent="0.25">
      <c r="A5052" s="169" t="str">
        <f>E5052&amp;COUNTIFS($E$2:E5052,E5052)</f>
        <v>0</v>
      </c>
      <c r="B5052" s="166"/>
      <c r="C5052" s="168"/>
      <c r="D5052" s="167"/>
      <c r="E5052" s="166"/>
      <c r="F5052" s="165"/>
      <c r="G5052" s="164"/>
    </row>
    <row r="5053" spans="1:7" x14ac:dyDescent="0.25">
      <c r="A5053" s="169" t="str">
        <f>E5053&amp;COUNTIFS($E$2:E5053,E5053)</f>
        <v>0</v>
      </c>
      <c r="B5053" s="166"/>
      <c r="C5053" s="168"/>
      <c r="D5053" s="167"/>
      <c r="E5053" s="166"/>
      <c r="F5053" s="165"/>
      <c r="G5053" s="164"/>
    </row>
    <row r="5054" spans="1:7" x14ac:dyDescent="0.25">
      <c r="A5054" s="169" t="str">
        <f>E5054&amp;COUNTIFS($E$2:E5054,E5054)</f>
        <v>0</v>
      </c>
      <c r="B5054" s="166"/>
      <c r="C5054" s="168"/>
      <c r="D5054" s="167"/>
      <c r="E5054" s="166"/>
      <c r="F5054" s="165"/>
      <c r="G5054" s="164"/>
    </row>
    <row r="5055" spans="1:7" x14ac:dyDescent="0.25">
      <c r="A5055" s="169" t="str">
        <f>E5055&amp;COUNTIFS($E$2:E5055,E5055)</f>
        <v>0</v>
      </c>
      <c r="B5055" s="166"/>
      <c r="C5055" s="168"/>
      <c r="D5055" s="167"/>
      <c r="E5055" s="166"/>
      <c r="F5055" s="165"/>
      <c r="G5055" s="164"/>
    </row>
    <row r="5056" spans="1:7" x14ac:dyDescent="0.25">
      <c r="A5056" s="169" t="str">
        <f>E5056&amp;COUNTIFS($E$2:E5056,E5056)</f>
        <v>0</v>
      </c>
      <c r="B5056" s="166"/>
      <c r="C5056" s="168"/>
      <c r="D5056" s="167"/>
      <c r="E5056" s="166"/>
      <c r="F5056" s="165"/>
      <c r="G5056" s="164"/>
    </row>
    <row r="5057" spans="1:7" x14ac:dyDescent="0.25">
      <c r="A5057" s="169" t="str">
        <f>E5057&amp;COUNTIFS($E$2:E5057,E5057)</f>
        <v>0</v>
      </c>
      <c r="B5057" s="166"/>
      <c r="C5057" s="168"/>
      <c r="D5057" s="167"/>
      <c r="E5057" s="166"/>
      <c r="F5057" s="165"/>
      <c r="G5057" s="164"/>
    </row>
    <row r="5058" spans="1:7" ht="15.75" thickBot="1" x14ac:dyDescent="0.3">
      <c r="A5058" s="163" t="str">
        <f>E5058&amp;COUNTIFS($E$2:E5058,E5058)</f>
        <v>0</v>
      </c>
      <c r="B5058" s="160"/>
      <c r="C5058" s="162"/>
      <c r="D5058" s="161"/>
      <c r="E5058" s="160"/>
      <c r="F5058" s="159"/>
      <c r="G5058" s="158"/>
    </row>
    <row r="5059" spans="1:7" x14ac:dyDescent="0.25">
      <c r="A5059" s="148"/>
      <c r="C5059" s="143"/>
      <c r="D5059" s="157"/>
      <c r="E5059" s="143"/>
      <c r="F5059" s="156"/>
      <c r="G5059" s="156"/>
    </row>
    <row r="5060" spans="1:7" x14ac:dyDescent="0.25">
      <c r="A5060" s="148"/>
      <c r="C5060" s="153" t="s">
        <v>623</v>
      </c>
      <c r="D5060" s="152"/>
      <c r="E5060" s="151"/>
      <c r="F5060" s="150">
        <f>SUM(F5034:F5058)</f>
        <v>0</v>
      </c>
      <c r="G5060" s="155">
        <f>SUM(G5034:G5058)</f>
        <v>0</v>
      </c>
    </row>
    <row r="5061" spans="1:7" x14ac:dyDescent="0.25">
      <c r="A5061" s="148"/>
      <c r="C5061" s="145" t="s">
        <v>622</v>
      </c>
      <c r="D5061" s="154"/>
      <c r="E5061" s="145"/>
      <c r="F5061" s="144"/>
      <c r="G5061" s="144"/>
    </row>
    <row r="5062" spans="1:7" x14ac:dyDescent="0.25">
      <c r="A5062" s="148"/>
      <c r="C5062" s="153" t="s">
        <v>621</v>
      </c>
      <c r="D5062" s="152"/>
      <c r="E5062" s="151"/>
      <c r="F5062" s="150">
        <f>F5029</f>
        <v>0</v>
      </c>
      <c r="G5062" s="150">
        <f>G5029</f>
        <v>0</v>
      </c>
    </row>
    <row r="5063" spans="1:7" x14ac:dyDescent="0.25">
      <c r="A5063" s="148"/>
      <c r="C5063" s="153" t="s">
        <v>582</v>
      </c>
      <c r="D5063" s="152"/>
      <c r="E5063" s="151"/>
      <c r="F5063" s="150">
        <f>F5062+F5060</f>
        <v>0</v>
      </c>
      <c r="G5063" s="150">
        <f>G5062+G5060</f>
        <v>0</v>
      </c>
    </row>
    <row r="5064" spans="1:7" ht="15.75" thickBot="1" x14ac:dyDescent="0.3">
      <c r="A5064" s="148"/>
      <c r="C5064" s="145"/>
      <c r="D5064" s="149"/>
      <c r="E5064" s="145"/>
      <c r="F5064" s="144"/>
      <c r="G5064" s="144"/>
    </row>
    <row r="5065" spans="1:7" ht="15.75" thickBot="1" x14ac:dyDescent="0.3">
      <c r="A5065" s="148"/>
      <c r="C5065" s="147" t="s">
        <v>620</v>
      </c>
      <c r="D5065" s="146">
        <f>F5063-G5063</f>
        <v>0</v>
      </c>
      <c r="E5065" s="145"/>
      <c r="F5065" s="144"/>
      <c r="G5065" s="144"/>
    </row>
    <row r="5066" spans="1:7" ht="15.75" thickBot="1" x14ac:dyDescent="0.3"/>
    <row r="5067" spans="1:7" ht="30.75" thickBot="1" x14ac:dyDescent="0.3">
      <c r="A5067" s="196" t="s">
        <v>626</v>
      </c>
      <c r="B5067" s="195" t="s">
        <v>606</v>
      </c>
      <c r="C5067" s="194" t="s">
        <v>628</v>
      </c>
      <c r="D5067" s="193" t="s">
        <v>601</v>
      </c>
      <c r="E5067" s="192" t="s">
        <v>287</v>
      </c>
      <c r="F5067" s="191" t="s">
        <v>624</v>
      </c>
      <c r="G5067" s="191" t="s">
        <v>596</v>
      </c>
    </row>
    <row r="5068" spans="1:7" x14ac:dyDescent="0.25">
      <c r="A5068" s="175" t="str">
        <f>E5068&amp;COUNTIFS($E$2:E5068,E5068)</f>
        <v>0</v>
      </c>
      <c r="B5068" s="172"/>
      <c r="C5068" s="174"/>
      <c r="D5068" s="173"/>
      <c r="E5068" s="172"/>
      <c r="F5068" s="171"/>
      <c r="G5068" s="170"/>
    </row>
    <row r="5069" spans="1:7" x14ac:dyDescent="0.25">
      <c r="A5069" s="169" t="str">
        <f>E5069&amp;COUNTIFS($E$2:E5069,E5069)</f>
        <v>0</v>
      </c>
      <c r="B5069" s="166"/>
      <c r="C5069" s="168"/>
      <c r="D5069" s="167"/>
      <c r="E5069" s="166"/>
      <c r="F5069" s="165"/>
      <c r="G5069" s="164"/>
    </row>
    <row r="5070" spans="1:7" x14ac:dyDescent="0.25">
      <c r="A5070" s="169" t="str">
        <f>E5070&amp;COUNTIFS($E$2:E5070,E5070)</f>
        <v>0</v>
      </c>
      <c r="B5070" s="166"/>
      <c r="C5070" s="168"/>
      <c r="D5070" s="167"/>
      <c r="E5070" s="166"/>
      <c r="F5070" s="165"/>
      <c r="G5070" s="164"/>
    </row>
    <row r="5071" spans="1:7" x14ac:dyDescent="0.25">
      <c r="A5071" s="169" t="str">
        <f>E5071&amp;COUNTIFS($E$2:E5071,E5071)</f>
        <v>0</v>
      </c>
      <c r="B5071" s="166"/>
      <c r="C5071" s="168"/>
      <c r="D5071" s="167"/>
      <c r="E5071" s="166"/>
      <c r="F5071" s="165"/>
      <c r="G5071" s="164"/>
    </row>
    <row r="5072" spans="1:7" x14ac:dyDescent="0.25">
      <c r="A5072" s="169" t="str">
        <f>E5072&amp;COUNTIFS($E$2:E5072,E5072)</f>
        <v>0</v>
      </c>
      <c r="B5072" s="166"/>
      <c r="C5072" s="203"/>
      <c r="D5072" s="167"/>
      <c r="E5072" s="166"/>
      <c r="F5072" s="165"/>
      <c r="G5072" s="164"/>
    </row>
    <row r="5073" spans="1:7" x14ac:dyDescent="0.25">
      <c r="A5073" s="169" t="str">
        <f>E5073&amp;COUNTIFS($E$2:E5073,E5073)</f>
        <v>0</v>
      </c>
      <c r="B5073" s="166"/>
      <c r="C5073" s="168"/>
      <c r="D5073" s="167"/>
      <c r="E5073" s="166"/>
      <c r="F5073" s="165"/>
      <c r="G5073" s="164"/>
    </row>
    <row r="5074" spans="1:7" x14ac:dyDescent="0.25">
      <c r="A5074" s="169" t="str">
        <f>E5074&amp;COUNTIFS($E$2:E5074,E5074)</f>
        <v>0</v>
      </c>
      <c r="B5074" s="166"/>
      <c r="C5074" s="168"/>
      <c r="D5074" s="167"/>
      <c r="E5074" s="166"/>
      <c r="F5074" s="165"/>
      <c r="G5074" s="164"/>
    </row>
    <row r="5075" spans="1:7" x14ac:dyDescent="0.25">
      <c r="A5075" s="169" t="str">
        <f>E5075&amp;COUNTIFS($E$2:E5075,E5075)</f>
        <v>0</v>
      </c>
      <c r="B5075" s="166"/>
      <c r="C5075" s="168"/>
      <c r="D5075" s="167"/>
      <c r="E5075" s="166"/>
      <c r="F5075" s="165"/>
      <c r="G5075" s="164"/>
    </row>
    <row r="5076" spans="1:7" x14ac:dyDescent="0.25">
      <c r="A5076" s="169" t="str">
        <f>E5076&amp;COUNTIFS($E$2:E5076,E5076)</f>
        <v>0</v>
      </c>
      <c r="B5076" s="166"/>
      <c r="C5076" s="168"/>
      <c r="D5076" s="167"/>
      <c r="E5076" s="166"/>
      <c r="F5076" s="165"/>
      <c r="G5076" s="164"/>
    </row>
    <row r="5077" spans="1:7" x14ac:dyDescent="0.25">
      <c r="A5077" s="169" t="str">
        <f>E5077&amp;COUNTIFS($E$2:E5077,E5077)</f>
        <v>0</v>
      </c>
      <c r="B5077" s="166"/>
      <c r="C5077" s="168"/>
      <c r="D5077" s="167"/>
      <c r="E5077" s="166"/>
      <c r="F5077" s="165"/>
      <c r="G5077" s="164"/>
    </row>
    <row r="5078" spans="1:7" x14ac:dyDescent="0.25">
      <c r="A5078" s="169" t="str">
        <f>E5078&amp;COUNTIFS($E$2:E5078,E5078)</f>
        <v>0</v>
      </c>
      <c r="B5078" s="166"/>
      <c r="C5078" s="168"/>
      <c r="D5078" s="167"/>
      <c r="E5078" s="166"/>
      <c r="F5078" s="165"/>
      <c r="G5078" s="164"/>
    </row>
    <row r="5079" spans="1:7" x14ac:dyDescent="0.25">
      <c r="A5079" s="169" t="str">
        <f>E5079&amp;COUNTIFS($E$2:E5079,E5079)</f>
        <v>0</v>
      </c>
      <c r="B5079" s="166"/>
      <c r="C5079" s="168"/>
      <c r="D5079" s="167"/>
      <c r="E5079" s="166"/>
      <c r="F5079" s="165"/>
      <c r="G5079" s="164"/>
    </row>
    <row r="5080" spans="1:7" x14ac:dyDescent="0.25">
      <c r="A5080" s="169" t="str">
        <f>E5080&amp;COUNTIFS($E$2:E5080,E5080)</f>
        <v>0</v>
      </c>
      <c r="B5080" s="166"/>
      <c r="C5080" s="168"/>
      <c r="D5080" s="167"/>
      <c r="E5080" s="166"/>
      <c r="F5080" s="165"/>
      <c r="G5080" s="164"/>
    </row>
    <row r="5081" spans="1:7" x14ac:dyDescent="0.25">
      <c r="A5081" s="169" t="str">
        <f>E5081&amp;COUNTIFS($E$2:E5081,E5081)</f>
        <v>0</v>
      </c>
      <c r="B5081" s="166"/>
      <c r="C5081" s="168"/>
      <c r="D5081" s="167"/>
      <c r="E5081" s="166"/>
      <c r="F5081" s="165"/>
      <c r="G5081" s="164"/>
    </row>
    <row r="5082" spans="1:7" x14ac:dyDescent="0.25">
      <c r="A5082" s="169" t="str">
        <f>E5082&amp;COUNTIFS($E$2:E5082,E5082)</f>
        <v>0</v>
      </c>
      <c r="B5082" s="166"/>
      <c r="C5082" s="168"/>
      <c r="D5082" s="167"/>
      <c r="E5082" s="166"/>
      <c r="F5082" s="165"/>
      <c r="G5082" s="164"/>
    </row>
    <row r="5083" spans="1:7" x14ac:dyDescent="0.25">
      <c r="A5083" s="169" t="str">
        <f>E5083&amp;COUNTIFS($E$2:E5083,E5083)</f>
        <v>0</v>
      </c>
      <c r="B5083" s="166"/>
      <c r="C5083" s="168"/>
      <c r="D5083" s="167"/>
      <c r="E5083" s="166"/>
      <c r="F5083" s="165"/>
      <c r="G5083" s="164"/>
    </row>
    <row r="5084" spans="1:7" x14ac:dyDescent="0.25">
      <c r="A5084" s="169" t="str">
        <f>E5084&amp;COUNTIFS($E$2:E5084,E5084)</f>
        <v>0</v>
      </c>
      <c r="B5084" s="166"/>
      <c r="C5084" s="168"/>
      <c r="D5084" s="167"/>
      <c r="E5084" s="166"/>
      <c r="F5084" s="165"/>
      <c r="G5084" s="164"/>
    </row>
    <row r="5085" spans="1:7" x14ac:dyDescent="0.25">
      <c r="A5085" s="169" t="str">
        <f>E5085&amp;COUNTIFS($E$2:E5085,E5085)</f>
        <v>0</v>
      </c>
      <c r="B5085" s="166"/>
      <c r="C5085" s="168"/>
      <c r="D5085" s="167"/>
      <c r="E5085" s="166"/>
      <c r="F5085" s="165"/>
      <c r="G5085" s="164"/>
    </row>
    <row r="5086" spans="1:7" x14ac:dyDescent="0.25">
      <c r="A5086" s="169" t="str">
        <f>E5086&amp;COUNTIFS($E$2:E5086,E5086)</f>
        <v>0</v>
      </c>
      <c r="B5086" s="166"/>
      <c r="C5086" s="168"/>
      <c r="D5086" s="167"/>
      <c r="E5086" s="166"/>
      <c r="F5086" s="165"/>
      <c r="G5086" s="164"/>
    </row>
    <row r="5087" spans="1:7" x14ac:dyDescent="0.25">
      <c r="A5087" s="169" t="str">
        <f>E5087&amp;COUNTIFS($E$2:E5087,E5087)</f>
        <v>0</v>
      </c>
      <c r="B5087" s="166"/>
      <c r="C5087" s="168"/>
      <c r="D5087" s="167"/>
      <c r="E5087" s="166"/>
      <c r="F5087" s="165"/>
      <c r="G5087" s="164"/>
    </row>
    <row r="5088" spans="1:7" x14ac:dyDescent="0.25">
      <c r="A5088" s="169" t="str">
        <f>E5088&amp;COUNTIFS($E$2:E5088,E5088)</f>
        <v>0</v>
      </c>
      <c r="B5088" s="166"/>
      <c r="C5088" s="168"/>
      <c r="D5088" s="167"/>
      <c r="E5088" s="166"/>
      <c r="F5088" s="165"/>
      <c r="G5088" s="164"/>
    </row>
    <row r="5089" spans="1:7" x14ac:dyDescent="0.25">
      <c r="A5089" s="169" t="str">
        <f>E5089&amp;COUNTIFS($E$2:E5089,E5089)</f>
        <v>0</v>
      </c>
      <c r="B5089" s="166"/>
      <c r="C5089" s="168"/>
      <c r="D5089" s="167"/>
      <c r="E5089" s="166"/>
      <c r="F5089" s="165"/>
      <c r="G5089" s="164"/>
    </row>
    <row r="5090" spans="1:7" x14ac:dyDescent="0.25">
      <c r="A5090" s="169" t="str">
        <f>E5090&amp;COUNTIFS($E$2:E5090,E5090)</f>
        <v>0</v>
      </c>
      <c r="B5090" s="166"/>
      <c r="C5090" s="168"/>
      <c r="D5090" s="167"/>
      <c r="E5090" s="166"/>
      <c r="F5090" s="165"/>
      <c r="G5090" s="164"/>
    </row>
    <row r="5091" spans="1:7" x14ac:dyDescent="0.25">
      <c r="A5091" s="169" t="str">
        <f>E5091&amp;COUNTIFS($E$2:E5091,E5091)</f>
        <v>0</v>
      </c>
      <c r="B5091" s="166"/>
      <c r="C5091" s="168"/>
      <c r="D5091" s="167"/>
      <c r="E5091" s="166"/>
      <c r="F5091" s="165"/>
      <c r="G5091" s="164"/>
    </row>
    <row r="5092" spans="1:7" ht="15.75" thickBot="1" x14ac:dyDescent="0.3">
      <c r="A5092" s="163" t="str">
        <f>E5092&amp;COUNTIFS($E$2:E5092,E5092)</f>
        <v>0</v>
      </c>
      <c r="B5092" s="160"/>
      <c r="C5092" s="162"/>
      <c r="D5092" s="161"/>
      <c r="E5092" s="160"/>
      <c r="F5092" s="159"/>
      <c r="G5092" s="158"/>
    </row>
    <row r="5093" spans="1:7" x14ac:dyDescent="0.25">
      <c r="A5093" s="148"/>
      <c r="C5093" s="143"/>
      <c r="D5093" s="157"/>
      <c r="E5093" s="143"/>
      <c r="F5093" s="156"/>
      <c r="G5093" s="156"/>
    </row>
    <row r="5094" spans="1:7" x14ac:dyDescent="0.25">
      <c r="A5094" s="148"/>
      <c r="C5094" s="153" t="s">
        <v>623</v>
      </c>
      <c r="D5094" s="152"/>
      <c r="E5094" s="151"/>
      <c r="F5094" s="150">
        <f>SUM(F5068:F5092)</f>
        <v>0</v>
      </c>
      <c r="G5094" s="155">
        <f>SUM(G5068:G5092)</f>
        <v>0</v>
      </c>
    </row>
    <row r="5095" spans="1:7" x14ac:dyDescent="0.25">
      <c r="A5095" s="148"/>
      <c r="C5095" s="145" t="s">
        <v>622</v>
      </c>
      <c r="D5095" s="154"/>
      <c r="E5095" s="145"/>
      <c r="F5095" s="144"/>
      <c r="G5095" s="144"/>
    </row>
    <row r="5096" spans="1:7" x14ac:dyDescent="0.25">
      <c r="A5096" s="148"/>
      <c r="C5096" s="153" t="s">
        <v>621</v>
      </c>
      <c r="D5096" s="152"/>
      <c r="E5096" s="151"/>
      <c r="F5096" s="150">
        <f>F5063</f>
        <v>0</v>
      </c>
      <c r="G5096" s="150">
        <f>G5063</f>
        <v>0</v>
      </c>
    </row>
    <row r="5097" spans="1:7" x14ac:dyDescent="0.25">
      <c r="A5097" s="148"/>
      <c r="C5097" s="153" t="s">
        <v>582</v>
      </c>
      <c r="D5097" s="152"/>
      <c r="E5097" s="151"/>
      <c r="F5097" s="150">
        <f>F5096+F5094</f>
        <v>0</v>
      </c>
      <c r="G5097" s="150">
        <f>G5096+G5094</f>
        <v>0</v>
      </c>
    </row>
    <row r="5098" spans="1:7" ht="15.75" thickBot="1" x14ac:dyDescent="0.3">
      <c r="A5098" s="148"/>
      <c r="C5098" s="145"/>
      <c r="D5098" s="149"/>
      <c r="E5098" s="145"/>
      <c r="F5098" s="144"/>
      <c r="G5098" s="144"/>
    </row>
    <row r="5099" spans="1:7" ht="15.75" thickBot="1" x14ac:dyDescent="0.3">
      <c r="A5099" s="148"/>
      <c r="C5099" s="147" t="s">
        <v>620</v>
      </c>
      <c r="D5099" s="146">
        <f>F5097-G5097</f>
        <v>0</v>
      </c>
      <c r="E5099" s="145"/>
      <c r="F5099" s="144"/>
      <c r="G5099" s="144"/>
    </row>
    <row r="5100" spans="1:7" ht="15.75" thickBot="1" x14ac:dyDescent="0.3"/>
    <row r="5101" spans="1:7" ht="30.75" thickBot="1" x14ac:dyDescent="0.3">
      <c r="A5101" s="196" t="s">
        <v>626</v>
      </c>
      <c r="B5101" s="195" t="s">
        <v>606</v>
      </c>
      <c r="C5101" s="194" t="s">
        <v>628</v>
      </c>
      <c r="D5101" s="193" t="s">
        <v>601</v>
      </c>
      <c r="E5101" s="192" t="s">
        <v>287</v>
      </c>
      <c r="F5101" s="191" t="s">
        <v>624</v>
      </c>
      <c r="G5101" s="191" t="s">
        <v>596</v>
      </c>
    </row>
    <row r="5102" spans="1:7" x14ac:dyDescent="0.25">
      <c r="A5102" s="175" t="str">
        <f>E5102&amp;COUNTIFS($E$2:E5102,E5102)</f>
        <v>0</v>
      </c>
      <c r="B5102" s="172"/>
      <c r="C5102" s="174"/>
      <c r="D5102" s="173"/>
      <c r="E5102" s="172"/>
      <c r="F5102" s="171"/>
      <c r="G5102" s="170"/>
    </row>
    <row r="5103" spans="1:7" x14ac:dyDescent="0.25">
      <c r="A5103" s="169" t="str">
        <f>E5103&amp;COUNTIFS($E$2:E5103,E5103)</f>
        <v>0</v>
      </c>
      <c r="B5103" s="166"/>
      <c r="C5103" s="168"/>
      <c r="D5103" s="167"/>
      <c r="E5103" s="166"/>
      <c r="F5103" s="165"/>
      <c r="G5103" s="164"/>
    </row>
    <row r="5104" spans="1:7" x14ac:dyDescent="0.25">
      <c r="A5104" s="169" t="str">
        <f>E5104&amp;COUNTIFS($E$2:E5104,E5104)</f>
        <v>0</v>
      </c>
      <c r="B5104" s="166"/>
      <c r="C5104" s="168"/>
      <c r="D5104" s="167"/>
      <c r="E5104" s="166"/>
      <c r="F5104" s="165"/>
      <c r="G5104" s="164"/>
    </row>
    <row r="5105" spans="1:7" x14ac:dyDescent="0.25">
      <c r="A5105" s="169" t="str">
        <f>E5105&amp;COUNTIFS($E$2:E5105,E5105)</f>
        <v>0</v>
      </c>
      <c r="B5105" s="166"/>
      <c r="C5105" s="168"/>
      <c r="D5105" s="167"/>
      <c r="E5105" s="166"/>
      <c r="F5105" s="165"/>
      <c r="G5105" s="164"/>
    </row>
    <row r="5106" spans="1:7" x14ac:dyDescent="0.25">
      <c r="A5106" s="169" t="str">
        <f>E5106&amp;COUNTIFS($E$2:E5106,E5106)</f>
        <v>0</v>
      </c>
      <c r="B5106" s="166"/>
      <c r="C5106" s="168"/>
      <c r="D5106" s="167"/>
      <c r="E5106" s="166"/>
      <c r="F5106" s="165"/>
      <c r="G5106" s="164"/>
    </row>
    <row r="5107" spans="1:7" x14ac:dyDescent="0.25">
      <c r="A5107" s="169" t="str">
        <f>E5107&amp;COUNTIFS($E$2:E5107,E5107)</f>
        <v>0</v>
      </c>
      <c r="B5107" s="166"/>
      <c r="C5107" s="168"/>
      <c r="D5107" s="167"/>
      <c r="E5107" s="166"/>
      <c r="F5107" s="165"/>
      <c r="G5107" s="164"/>
    </row>
    <row r="5108" spans="1:7" x14ac:dyDescent="0.25">
      <c r="A5108" s="169" t="str">
        <f>E5108&amp;COUNTIFS($E$2:E5108,E5108)</f>
        <v>0</v>
      </c>
      <c r="B5108" s="166"/>
      <c r="C5108" s="168"/>
      <c r="D5108" s="167"/>
      <c r="E5108" s="166"/>
      <c r="F5108" s="165"/>
      <c r="G5108" s="164"/>
    </row>
    <row r="5109" spans="1:7" x14ac:dyDescent="0.25">
      <c r="A5109" s="169" t="str">
        <f>E5109&amp;COUNTIFS($E$2:E5109,E5109)</f>
        <v>0</v>
      </c>
      <c r="B5109" s="166"/>
      <c r="C5109" s="168"/>
      <c r="D5109" s="167"/>
      <c r="E5109" s="166"/>
      <c r="F5109" s="165"/>
      <c r="G5109" s="164"/>
    </row>
    <row r="5110" spans="1:7" x14ac:dyDescent="0.25">
      <c r="A5110" s="169" t="str">
        <f>E5110&amp;COUNTIFS($E$2:E5110,E5110)</f>
        <v>0</v>
      </c>
      <c r="B5110" s="166"/>
      <c r="C5110" s="168"/>
      <c r="D5110" s="167"/>
      <c r="E5110" s="166"/>
      <c r="F5110" s="165"/>
      <c r="G5110" s="164"/>
    </row>
    <row r="5111" spans="1:7" x14ac:dyDescent="0.25">
      <c r="A5111" s="169" t="str">
        <f>E5111&amp;COUNTIFS($E$2:E5111,E5111)</f>
        <v>0</v>
      </c>
      <c r="B5111" s="166"/>
      <c r="C5111" s="168"/>
      <c r="D5111" s="167"/>
      <c r="E5111" s="166"/>
      <c r="F5111" s="165"/>
      <c r="G5111" s="164"/>
    </row>
    <row r="5112" spans="1:7" x14ac:dyDescent="0.25">
      <c r="A5112" s="169" t="str">
        <f>E5112&amp;COUNTIFS($E$2:E5112,E5112)</f>
        <v>0</v>
      </c>
      <c r="B5112" s="166"/>
      <c r="C5112" s="168"/>
      <c r="D5112" s="167"/>
      <c r="E5112" s="166"/>
      <c r="F5112" s="165"/>
      <c r="G5112" s="164"/>
    </row>
    <row r="5113" spans="1:7" x14ac:dyDescent="0.25">
      <c r="A5113" s="169" t="str">
        <f>E5113&amp;COUNTIFS($E$2:E5113,E5113)</f>
        <v>0</v>
      </c>
      <c r="B5113" s="166"/>
      <c r="C5113" s="168"/>
      <c r="D5113" s="167"/>
      <c r="E5113" s="166"/>
      <c r="F5113" s="165"/>
      <c r="G5113" s="164"/>
    </row>
    <row r="5114" spans="1:7" x14ac:dyDescent="0.25">
      <c r="A5114" s="169" t="str">
        <f>E5114&amp;COUNTIFS($E$2:E5114,E5114)</f>
        <v>0</v>
      </c>
      <c r="B5114" s="166"/>
      <c r="C5114" s="168"/>
      <c r="D5114" s="167"/>
      <c r="E5114" s="166"/>
      <c r="F5114" s="165"/>
      <c r="G5114" s="164"/>
    </row>
    <row r="5115" spans="1:7" x14ac:dyDescent="0.25">
      <c r="A5115" s="169" t="str">
        <f>E5115&amp;COUNTIFS($E$2:E5115,E5115)</f>
        <v>0</v>
      </c>
      <c r="B5115" s="166"/>
      <c r="C5115" s="168"/>
      <c r="D5115" s="167"/>
      <c r="E5115" s="166"/>
      <c r="F5115" s="165"/>
      <c r="G5115" s="164"/>
    </row>
    <row r="5116" spans="1:7" x14ac:dyDescent="0.25">
      <c r="A5116" s="169" t="str">
        <f>E5116&amp;COUNTIFS($E$2:E5116,E5116)</f>
        <v>0</v>
      </c>
      <c r="B5116" s="166"/>
      <c r="C5116" s="168"/>
      <c r="D5116" s="167"/>
      <c r="E5116" s="166"/>
      <c r="F5116" s="165"/>
      <c r="G5116" s="164"/>
    </row>
    <row r="5117" spans="1:7" x14ac:dyDescent="0.25">
      <c r="A5117" s="169" t="str">
        <f>E5117&amp;COUNTIFS($E$2:E5117,E5117)</f>
        <v>0</v>
      </c>
      <c r="B5117" s="166"/>
      <c r="C5117" s="168"/>
      <c r="D5117" s="167"/>
      <c r="E5117" s="166"/>
      <c r="F5117" s="165"/>
      <c r="G5117" s="164"/>
    </row>
    <row r="5118" spans="1:7" x14ac:dyDescent="0.25">
      <c r="A5118" s="169" t="str">
        <f>E5118&amp;COUNTIFS($E$2:E5118,E5118)</f>
        <v>0</v>
      </c>
      <c r="B5118" s="166"/>
      <c r="C5118" s="168"/>
      <c r="D5118" s="167"/>
      <c r="E5118" s="166"/>
      <c r="F5118" s="165"/>
      <c r="G5118" s="164"/>
    </row>
    <row r="5119" spans="1:7" x14ac:dyDescent="0.25">
      <c r="A5119" s="169" t="str">
        <f>E5119&amp;COUNTIFS($E$2:E5119,E5119)</f>
        <v>0</v>
      </c>
      <c r="B5119" s="166"/>
      <c r="C5119" s="168"/>
      <c r="D5119" s="167"/>
      <c r="E5119" s="166"/>
      <c r="F5119" s="165"/>
      <c r="G5119" s="164"/>
    </row>
    <row r="5120" spans="1:7" x14ac:dyDescent="0.25">
      <c r="A5120" s="169" t="str">
        <f>E5120&amp;COUNTIFS($E$2:E5120,E5120)</f>
        <v>0</v>
      </c>
      <c r="B5120" s="166"/>
      <c r="C5120" s="168"/>
      <c r="D5120" s="167"/>
      <c r="E5120" s="166"/>
      <c r="F5120" s="165"/>
      <c r="G5120" s="164"/>
    </row>
    <row r="5121" spans="1:7" x14ac:dyDescent="0.25">
      <c r="A5121" s="169" t="str">
        <f>E5121&amp;COUNTIFS($E$2:E5121,E5121)</f>
        <v>0</v>
      </c>
      <c r="B5121" s="166"/>
      <c r="C5121" s="168"/>
      <c r="D5121" s="167"/>
      <c r="E5121" s="166"/>
      <c r="F5121" s="165"/>
      <c r="G5121" s="164"/>
    </row>
    <row r="5122" spans="1:7" x14ac:dyDescent="0.25">
      <c r="A5122" s="169" t="str">
        <f>E5122&amp;COUNTIFS($E$2:E5122,E5122)</f>
        <v>0</v>
      </c>
      <c r="B5122" s="166"/>
      <c r="C5122" s="168"/>
      <c r="D5122" s="167"/>
      <c r="E5122" s="166"/>
      <c r="F5122" s="165"/>
      <c r="G5122" s="164"/>
    </row>
    <row r="5123" spans="1:7" x14ac:dyDescent="0.25">
      <c r="A5123" s="169" t="str">
        <f>E5123&amp;COUNTIFS($E$2:E5123,E5123)</f>
        <v>0</v>
      </c>
      <c r="B5123" s="166"/>
      <c r="C5123" s="168"/>
      <c r="D5123" s="167"/>
      <c r="E5123" s="166"/>
      <c r="F5123" s="165"/>
      <c r="G5123" s="164"/>
    </row>
    <row r="5124" spans="1:7" x14ac:dyDescent="0.25">
      <c r="A5124" s="169" t="str">
        <f>E5124&amp;COUNTIFS($E$2:E5124,E5124)</f>
        <v>0</v>
      </c>
      <c r="B5124" s="166"/>
      <c r="C5124" s="168"/>
      <c r="D5124" s="167"/>
      <c r="E5124" s="166"/>
      <c r="F5124" s="165"/>
      <c r="G5124" s="164"/>
    </row>
    <row r="5125" spans="1:7" x14ac:dyDescent="0.25">
      <c r="A5125" s="169" t="str">
        <f>E5125&amp;COUNTIFS($E$2:E5125,E5125)</f>
        <v>0</v>
      </c>
      <c r="B5125" s="166"/>
      <c r="C5125" s="168"/>
      <c r="D5125" s="167"/>
      <c r="E5125" s="166"/>
      <c r="F5125" s="165"/>
      <c r="G5125" s="164"/>
    </row>
    <row r="5126" spans="1:7" ht="15.75" thickBot="1" x14ac:dyDescent="0.3">
      <c r="A5126" s="163" t="str">
        <f>E5126&amp;COUNTIFS($E$2:E5126,E5126)</f>
        <v>0</v>
      </c>
      <c r="B5126" s="160"/>
      <c r="C5126" s="162"/>
      <c r="D5126" s="161"/>
      <c r="E5126" s="160"/>
      <c r="F5126" s="159"/>
      <c r="G5126" s="158"/>
    </row>
    <row r="5127" spans="1:7" x14ac:dyDescent="0.25">
      <c r="A5127" s="148"/>
      <c r="C5127" s="143"/>
      <c r="D5127" s="157"/>
      <c r="E5127" s="143"/>
      <c r="F5127" s="156"/>
      <c r="G5127" s="156"/>
    </row>
    <row r="5128" spans="1:7" x14ac:dyDescent="0.25">
      <c r="A5128" s="148"/>
      <c r="C5128" s="153" t="s">
        <v>623</v>
      </c>
      <c r="D5128" s="152"/>
      <c r="E5128" s="151"/>
      <c r="F5128" s="150">
        <f>SUM(F5102:F5126)</f>
        <v>0</v>
      </c>
      <c r="G5128" s="155">
        <f>SUM(G5102:G5126)</f>
        <v>0</v>
      </c>
    </row>
    <row r="5129" spans="1:7" x14ac:dyDescent="0.25">
      <c r="A5129" s="148"/>
      <c r="C5129" s="145" t="s">
        <v>622</v>
      </c>
      <c r="D5129" s="154"/>
      <c r="E5129" s="145"/>
      <c r="F5129" s="144"/>
      <c r="G5129" s="144"/>
    </row>
    <row r="5130" spans="1:7" x14ac:dyDescent="0.25">
      <c r="A5130" s="148"/>
      <c r="C5130" s="153" t="s">
        <v>621</v>
      </c>
      <c r="D5130" s="152"/>
      <c r="E5130" s="151"/>
      <c r="F5130" s="150">
        <f>F5097</f>
        <v>0</v>
      </c>
      <c r="G5130" s="150">
        <f>G5097</f>
        <v>0</v>
      </c>
    </row>
    <row r="5131" spans="1:7" x14ac:dyDescent="0.25">
      <c r="A5131" s="148"/>
      <c r="C5131" s="153" t="s">
        <v>582</v>
      </c>
      <c r="D5131" s="152"/>
      <c r="E5131" s="151"/>
      <c r="F5131" s="150">
        <f>F5130+F5128</f>
        <v>0</v>
      </c>
      <c r="G5131" s="150">
        <f>G5130+G5128</f>
        <v>0</v>
      </c>
    </row>
    <row r="5132" spans="1:7" ht="15.75" thickBot="1" x14ac:dyDescent="0.3">
      <c r="A5132" s="148"/>
      <c r="C5132" s="145"/>
      <c r="D5132" s="149"/>
      <c r="E5132" s="145"/>
      <c r="F5132" s="144"/>
      <c r="G5132" s="144"/>
    </row>
    <row r="5133" spans="1:7" ht="15.75" thickBot="1" x14ac:dyDescent="0.3">
      <c r="A5133" s="148"/>
      <c r="C5133" s="147" t="s">
        <v>620</v>
      </c>
      <c r="D5133" s="146">
        <f>F5131-G5131</f>
        <v>0</v>
      </c>
      <c r="E5133" s="145"/>
      <c r="F5133" s="144"/>
      <c r="G5133" s="144"/>
    </row>
    <row r="5134" spans="1:7" ht="15.75" thickBot="1" x14ac:dyDescent="0.3"/>
    <row r="5135" spans="1:7" ht="30.75" thickBot="1" x14ac:dyDescent="0.3">
      <c r="A5135" s="196" t="s">
        <v>626</v>
      </c>
      <c r="B5135" s="195" t="s">
        <v>606</v>
      </c>
      <c r="C5135" s="194" t="s">
        <v>628</v>
      </c>
      <c r="D5135" s="193" t="s">
        <v>601</v>
      </c>
      <c r="E5135" s="192" t="s">
        <v>287</v>
      </c>
      <c r="F5135" s="191" t="s">
        <v>624</v>
      </c>
      <c r="G5135" s="191" t="s">
        <v>596</v>
      </c>
    </row>
    <row r="5136" spans="1:7" x14ac:dyDescent="0.25">
      <c r="A5136" s="175" t="str">
        <f>E5136&amp;COUNTIFS($E$2:E5136,E5136)</f>
        <v>0</v>
      </c>
      <c r="B5136" s="172"/>
      <c r="C5136" s="174"/>
      <c r="D5136" s="173"/>
      <c r="E5136" s="172"/>
      <c r="F5136" s="171"/>
      <c r="G5136" s="170"/>
    </row>
    <row r="5137" spans="1:7" x14ac:dyDescent="0.25">
      <c r="A5137" s="169" t="str">
        <f>E5137&amp;COUNTIFS($E$2:E5137,E5137)</f>
        <v>0</v>
      </c>
      <c r="B5137" s="166"/>
      <c r="C5137" s="168"/>
      <c r="D5137" s="167"/>
      <c r="E5137" s="166"/>
      <c r="F5137" s="165"/>
      <c r="G5137" s="164"/>
    </row>
    <row r="5138" spans="1:7" x14ac:dyDescent="0.25">
      <c r="A5138" s="169" t="str">
        <f>E5138&amp;COUNTIFS($E$2:E5138,E5138)</f>
        <v>0</v>
      </c>
      <c r="B5138" s="166"/>
      <c r="C5138" s="168"/>
      <c r="D5138" s="167"/>
      <c r="E5138" s="166"/>
      <c r="F5138" s="165"/>
      <c r="G5138" s="164"/>
    </row>
    <row r="5139" spans="1:7" x14ac:dyDescent="0.25">
      <c r="A5139" s="169" t="str">
        <f>E5139&amp;COUNTIFS($E$2:E5139,E5139)</f>
        <v>0</v>
      </c>
      <c r="B5139" s="166"/>
      <c r="C5139" s="168"/>
      <c r="D5139" s="167"/>
      <c r="E5139" s="166"/>
      <c r="F5139" s="165"/>
      <c r="G5139" s="164"/>
    </row>
    <row r="5140" spans="1:7" x14ac:dyDescent="0.25">
      <c r="A5140" s="169" t="str">
        <f>E5140&amp;COUNTIFS($E$2:E5140,E5140)</f>
        <v>0</v>
      </c>
      <c r="B5140" s="166"/>
      <c r="C5140" s="168"/>
      <c r="D5140" s="167"/>
      <c r="E5140" s="166"/>
      <c r="F5140" s="165"/>
      <c r="G5140" s="164"/>
    </row>
    <row r="5141" spans="1:7" x14ac:dyDescent="0.25">
      <c r="A5141" s="169" t="str">
        <f>E5141&amp;COUNTIFS($E$2:E5141,E5141)</f>
        <v>0</v>
      </c>
      <c r="B5141" s="166"/>
      <c r="C5141" s="168"/>
      <c r="D5141" s="167"/>
      <c r="E5141" s="166"/>
      <c r="F5141" s="165"/>
      <c r="G5141" s="164"/>
    </row>
    <row r="5142" spans="1:7" x14ac:dyDescent="0.25">
      <c r="A5142" s="169" t="str">
        <f>E5142&amp;COUNTIFS($E$2:E5142,E5142)</f>
        <v>0</v>
      </c>
      <c r="B5142" s="166"/>
      <c r="C5142" s="168"/>
      <c r="D5142" s="167"/>
      <c r="E5142" s="166"/>
      <c r="F5142" s="165"/>
      <c r="G5142" s="164"/>
    </row>
    <row r="5143" spans="1:7" x14ac:dyDescent="0.25">
      <c r="A5143" s="169" t="str">
        <f>E5143&amp;COUNTIFS($E$2:E5143,E5143)</f>
        <v>0</v>
      </c>
      <c r="B5143" s="166"/>
      <c r="C5143" s="168"/>
      <c r="D5143" s="167"/>
      <c r="E5143" s="166"/>
      <c r="F5143" s="165"/>
      <c r="G5143" s="164"/>
    </row>
    <row r="5144" spans="1:7" x14ac:dyDescent="0.25">
      <c r="A5144" s="169" t="str">
        <f>E5144&amp;COUNTIFS($E$2:E5144,E5144)</f>
        <v>0</v>
      </c>
      <c r="B5144" s="166"/>
      <c r="C5144" s="168"/>
      <c r="D5144" s="167"/>
      <c r="E5144" s="166"/>
      <c r="F5144" s="165"/>
      <c r="G5144" s="164"/>
    </row>
    <row r="5145" spans="1:7" x14ac:dyDescent="0.25">
      <c r="A5145" s="169" t="str">
        <f>E5145&amp;COUNTIFS($E$2:E5145,E5145)</f>
        <v>0</v>
      </c>
      <c r="B5145" s="166"/>
      <c r="C5145" s="168"/>
      <c r="D5145" s="167"/>
      <c r="E5145" s="166"/>
      <c r="F5145" s="165"/>
      <c r="G5145" s="164"/>
    </row>
    <row r="5146" spans="1:7" x14ac:dyDescent="0.25">
      <c r="A5146" s="169" t="str">
        <f>E5146&amp;COUNTIFS($E$2:E5146,E5146)</f>
        <v>0</v>
      </c>
      <c r="B5146" s="166"/>
      <c r="C5146" s="168"/>
      <c r="D5146" s="167"/>
      <c r="E5146" s="166"/>
      <c r="F5146" s="165"/>
      <c r="G5146" s="164"/>
    </row>
    <row r="5147" spans="1:7" x14ac:dyDescent="0.25">
      <c r="A5147" s="169" t="str">
        <f>E5147&amp;COUNTIFS($E$2:E5147,E5147)</f>
        <v>0</v>
      </c>
      <c r="B5147" s="166"/>
      <c r="C5147" s="168"/>
      <c r="D5147" s="167"/>
      <c r="E5147" s="166"/>
      <c r="F5147" s="165"/>
      <c r="G5147" s="164"/>
    </row>
    <row r="5148" spans="1:7" x14ac:dyDescent="0.25">
      <c r="A5148" s="169" t="str">
        <f>E5148&amp;COUNTIFS($E$2:E5148,E5148)</f>
        <v>0</v>
      </c>
      <c r="B5148" s="166"/>
      <c r="C5148" s="168"/>
      <c r="D5148" s="167"/>
      <c r="E5148" s="166"/>
      <c r="F5148" s="165"/>
      <c r="G5148" s="164"/>
    </row>
    <row r="5149" spans="1:7" x14ac:dyDescent="0.25">
      <c r="A5149" s="169" t="str">
        <f>E5149&amp;COUNTIFS($E$2:E5149,E5149)</f>
        <v>0</v>
      </c>
      <c r="B5149" s="166"/>
      <c r="C5149" s="168"/>
      <c r="D5149" s="167"/>
      <c r="E5149" s="166"/>
      <c r="F5149" s="165"/>
      <c r="G5149" s="164"/>
    </row>
    <row r="5150" spans="1:7" x14ac:dyDescent="0.25">
      <c r="A5150" s="169" t="str">
        <f>E5150&amp;COUNTIFS($E$2:E5150,E5150)</f>
        <v>0</v>
      </c>
      <c r="B5150" s="166"/>
      <c r="C5150" s="168"/>
      <c r="D5150" s="167"/>
      <c r="E5150" s="166"/>
      <c r="F5150" s="165"/>
      <c r="G5150" s="164"/>
    </row>
    <row r="5151" spans="1:7" x14ac:dyDescent="0.25">
      <c r="A5151" s="169" t="str">
        <f>E5151&amp;COUNTIFS($E$2:E5151,E5151)</f>
        <v>0</v>
      </c>
      <c r="B5151" s="166"/>
      <c r="C5151" s="168"/>
      <c r="D5151" s="167"/>
      <c r="E5151" s="166"/>
      <c r="F5151" s="165"/>
      <c r="G5151" s="164"/>
    </row>
    <row r="5152" spans="1:7" x14ac:dyDescent="0.25">
      <c r="A5152" s="169" t="str">
        <f>E5152&amp;COUNTIFS($E$2:E5152,E5152)</f>
        <v>0</v>
      </c>
      <c r="B5152" s="166"/>
      <c r="C5152" s="168"/>
      <c r="D5152" s="167"/>
      <c r="E5152" s="166"/>
      <c r="F5152" s="165"/>
      <c r="G5152" s="164"/>
    </row>
    <row r="5153" spans="1:7" x14ac:dyDescent="0.25">
      <c r="A5153" s="169" t="str">
        <f>E5153&amp;COUNTIFS($E$2:E5153,E5153)</f>
        <v>0</v>
      </c>
      <c r="B5153" s="166"/>
      <c r="C5153" s="168"/>
      <c r="D5153" s="167"/>
      <c r="E5153" s="166"/>
      <c r="F5153" s="165"/>
      <c r="G5153" s="164"/>
    </row>
    <row r="5154" spans="1:7" x14ac:dyDescent="0.25">
      <c r="A5154" s="169" t="str">
        <f>E5154&amp;COUNTIFS($E$2:E5154,E5154)</f>
        <v>0</v>
      </c>
      <c r="B5154" s="166"/>
      <c r="C5154" s="168"/>
      <c r="D5154" s="167"/>
      <c r="E5154" s="166"/>
      <c r="F5154" s="165"/>
      <c r="G5154" s="164"/>
    </row>
    <row r="5155" spans="1:7" x14ac:dyDescent="0.25">
      <c r="A5155" s="169" t="str">
        <f>E5155&amp;COUNTIFS($E$2:E5155,E5155)</f>
        <v>0</v>
      </c>
      <c r="B5155" s="166"/>
      <c r="C5155" s="168"/>
      <c r="D5155" s="167"/>
      <c r="E5155" s="166"/>
      <c r="F5155" s="165"/>
      <c r="G5155" s="164"/>
    </row>
    <row r="5156" spans="1:7" x14ac:dyDescent="0.25">
      <c r="A5156" s="169" t="str">
        <f>E5156&amp;COUNTIFS($E$2:E5156,E5156)</f>
        <v>0</v>
      </c>
      <c r="B5156" s="166"/>
      <c r="C5156" s="168"/>
      <c r="D5156" s="167"/>
      <c r="E5156" s="166"/>
      <c r="F5156" s="165"/>
      <c r="G5156" s="164"/>
    </row>
    <row r="5157" spans="1:7" x14ac:dyDescent="0.25">
      <c r="A5157" s="169" t="str">
        <f>E5157&amp;COUNTIFS($E$2:E5157,E5157)</f>
        <v>0</v>
      </c>
      <c r="B5157" s="166"/>
      <c r="C5157" s="168"/>
      <c r="D5157" s="167"/>
      <c r="E5157" s="166"/>
      <c r="F5157" s="165"/>
      <c r="G5157" s="164"/>
    </row>
    <row r="5158" spans="1:7" x14ac:dyDescent="0.25">
      <c r="A5158" s="169" t="str">
        <f>E5158&amp;COUNTIFS($E$2:E5158,E5158)</f>
        <v>0</v>
      </c>
      <c r="B5158" s="166"/>
      <c r="C5158" s="168"/>
      <c r="D5158" s="167"/>
      <c r="E5158" s="166"/>
      <c r="F5158" s="165"/>
      <c r="G5158" s="164"/>
    </row>
    <row r="5159" spans="1:7" x14ac:dyDescent="0.25">
      <c r="A5159" s="169" t="str">
        <f>E5159&amp;COUNTIFS($E$2:E5159,E5159)</f>
        <v>0</v>
      </c>
      <c r="B5159" s="166"/>
      <c r="C5159" s="168"/>
      <c r="D5159" s="167"/>
      <c r="E5159" s="166"/>
      <c r="F5159" s="165"/>
      <c r="G5159" s="164"/>
    </row>
    <row r="5160" spans="1:7" ht="15.75" thickBot="1" x14ac:dyDescent="0.3">
      <c r="A5160" s="163" t="str">
        <f>E5160&amp;COUNTIFS($E$2:E5160,E5160)</f>
        <v>0</v>
      </c>
      <c r="B5160" s="160"/>
      <c r="C5160" s="162"/>
      <c r="D5160" s="161"/>
      <c r="E5160" s="160"/>
      <c r="F5160" s="159"/>
      <c r="G5160" s="158"/>
    </row>
    <row r="5161" spans="1:7" x14ac:dyDescent="0.25">
      <c r="A5161" s="148"/>
      <c r="C5161" s="143"/>
      <c r="D5161" s="157"/>
      <c r="E5161" s="143"/>
      <c r="F5161" s="156"/>
      <c r="G5161" s="156"/>
    </row>
    <row r="5162" spans="1:7" x14ac:dyDescent="0.25">
      <c r="A5162" s="148"/>
      <c r="C5162" s="153" t="s">
        <v>623</v>
      </c>
      <c r="D5162" s="152"/>
      <c r="E5162" s="151"/>
      <c r="F5162" s="150">
        <f>SUM(F5136:F5160)</f>
        <v>0</v>
      </c>
      <c r="G5162" s="155">
        <f>SUM(G5136:G5160)</f>
        <v>0</v>
      </c>
    </row>
    <row r="5163" spans="1:7" x14ac:dyDescent="0.25">
      <c r="A5163" s="148"/>
      <c r="C5163" s="145" t="s">
        <v>622</v>
      </c>
      <c r="D5163" s="154"/>
      <c r="E5163" s="145"/>
      <c r="F5163" s="144"/>
      <c r="G5163" s="144"/>
    </row>
    <row r="5164" spans="1:7" x14ac:dyDescent="0.25">
      <c r="A5164" s="148"/>
      <c r="C5164" s="153" t="s">
        <v>621</v>
      </c>
      <c r="D5164" s="152"/>
      <c r="E5164" s="151"/>
      <c r="F5164" s="150">
        <f>F5131</f>
        <v>0</v>
      </c>
      <c r="G5164" s="150">
        <f>G5131</f>
        <v>0</v>
      </c>
    </row>
    <row r="5165" spans="1:7" x14ac:dyDescent="0.25">
      <c r="A5165" s="148"/>
      <c r="C5165" s="153" t="s">
        <v>582</v>
      </c>
      <c r="D5165" s="152"/>
      <c r="E5165" s="151"/>
      <c r="F5165" s="150">
        <f>F5164+F5162</f>
        <v>0</v>
      </c>
      <c r="G5165" s="150">
        <f>G5164+G5162</f>
        <v>0</v>
      </c>
    </row>
    <row r="5166" spans="1:7" ht="15.75" thickBot="1" x14ac:dyDescent="0.3">
      <c r="A5166" s="148"/>
      <c r="C5166" s="145"/>
      <c r="D5166" s="149"/>
      <c r="E5166" s="145"/>
      <c r="F5166" s="144"/>
      <c r="G5166" s="144"/>
    </row>
    <row r="5167" spans="1:7" ht="15.75" thickBot="1" x14ac:dyDescent="0.3">
      <c r="A5167" s="148"/>
      <c r="C5167" s="147" t="s">
        <v>620</v>
      </c>
      <c r="D5167" s="146">
        <f>F5165-G5165</f>
        <v>0</v>
      </c>
      <c r="E5167" s="145"/>
      <c r="F5167" s="144"/>
      <c r="G5167" s="144"/>
    </row>
    <row r="5168" spans="1:7" ht="15.75" thickBot="1" x14ac:dyDescent="0.3"/>
    <row r="5169" spans="1:7" ht="30.75" thickBot="1" x14ac:dyDescent="0.3">
      <c r="A5169" s="196" t="s">
        <v>626</v>
      </c>
      <c r="B5169" s="195" t="s">
        <v>606</v>
      </c>
      <c r="C5169" s="194" t="s">
        <v>628</v>
      </c>
      <c r="D5169" s="193" t="s">
        <v>601</v>
      </c>
      <c r="E5169" s="192" t="s">
        <v>287</v>
      </c>
      <c r="F5169" s="191" t="s">
        <v>624</v>
      </c>
      <c r="G5169" s="191" t="s">
        <v>596</v>
      </c>
    </row>
    <row r="5170" spans="1:7" x14ac:dyDescent="0.25">
      <c r="A5170" s="175" t="str">
        <f>E5170&amp;COUNTIFS($E$2:E5170,E5170)</f>
        <v>0</v>
      </c>
      <c r="B5170" s="172"/>
      <c r="C5170" s="174"/>
      <c r="D5170" s="173"/>
      <c r="E5170" s="172"/>
      <c r="F5170" s="171"/>
      <c r="G5170" s="170"/>
    </row>
    <row r="5171" spans="1:7" x14ac:dyDescent="0.25">
      <c r="A5171" s="169" t="str">
        <f>E5171&amp;COUNTIFS($E$2:E5171,E5171)</f>
        <v>0</v>
      </c>
      <c r="B5171" s="166"/>
      <c r="C5171" s="168"/>
      <c r="D5171" s="167"/>
      <c r="E5171" s="166"/>
      <c r="F5171" s="165"/>
      <c r="G5171" s="164"/>
    </row>
    <row r="5172" spans="1:7" x14ac:dyDescent="0.25">
      <c r="A5172" s="169" t="str">
        <f>E5172&amp;COUNTIFS($E$2:E5172,E5172)</f>
        <v>0</v>
      </c>
      <c r="B5172" s="166"/>
      <c r="C5172" s="168"/>
      <c r="D5172" s="167"/>
      <c r="E5172" s="166"/>
      <c r="F5172" s="165"/>
      <c r="G5172" s="164"/>
    </row>
    <row r="5173" spans="1:7" x14ac:dyDescent="0.25">
      <c r="A5173" s="169" t="str">
        <f>E5173&amp;COUNTIFS($E$2:E5173,E5173)</f>
        <v>0</v>
      </c>
      <c r="B5173" s="166"/>
      <c r="C5173" s="168"/>
      <c r="D5173" s="167"/>
      <c r="E5173" s="166"/>
      <c r="F5173" s="165"/>
      <c r="G5173" s="164"/>
    </row>
    <row r="5174" spans="1:7" x14ac:dyDescent="0.25">
      <c r="A5174" s="169" t="str">
        <f>E5174&amp;COUNTIFS($E$2:E5174,E5174)</f>
        <v>0</v>
      </c>
      <c r="B5174" s="166"/>
      <c r="C5174" s="168"/>
      <c r="D5174" s="167"/>
      <c r="E5174" s="166"/>
      <c r="F5174" s="165"/>
      <c r="G5174" s="164"/>
    </row>
    <row r="5175" spans="1:7" x14ac:dyDescent="0.25">
      <c r="A5175" s="169" t="str">
        <f>E5175&amp;COUNTIFS($E$2:E5175,E5175)</f>
        <v>0</v>
      </c>
      <c r="B5175" s="166"/>
      <c r="C5175" s="168"/>
      <c r="D5175" s="167"/>
      <c r="E5175" s="166"/>
      <c r="F5175" s="165"/>
      <c r="G5175" s="164"/>
    </row>
    <row r="5176" spans="1:7" x14ac:dyDescent="0.25">
      <c r="A5176" s="169" t="str">
        <f>E5176&amp;COUNTIFS($E$2:E5176,E5176)</f>
        <v>0</v>
      </c>
      <c r="B5176" s="166"/>
      <c r="C5176" s="168"/>
      <c r="D5176" s="167"/>
      <c r="E5176" s="166"/>
      <c r="F5176" s="165"/>
      <c r="G5176" s="164"/>
    </row>
    <row r="5177" spans="1:7" x14ac:dyDescent="0.25">
      <c r="A5177" s="169" t="str">
        <f>E5177&amp;COUNTIFS($E$2:E5177,E5177)</f>
        <v>0</v>
      </c>
      <c r="B5177" s="166"/>
      <c r="C5177" s="168"/>
      <c r="D5177" s="167"/>
      <c r="E5177" s="166"/>
      <c r="F5177" s="165"/>
      <c r="G5177" s="164"/>
    </row>
    <row r="5178" spans="1:7" x14ac:dyDescent="0.25">
      <c r="A5178" s="169" t="str">
        <f>E5178&amp;COUNTIFS($E$2:E5178,E5178)</f>
        <v>0</v>
      </c>
      <c r="B5178" s="166"/>
      <c r="C5178" s="168"/>
      <c r="D5178" s="167"/>
      <c r="E5178" s="166"/>
      <c r="F5178" s="165"/>
      <c r="G5178" s="164"/>
    </row>
    <row r="5179" spans="1:7" x14ac:dyDescent="0.25">
      <c r="A5179" s="169" t="str">
        <f>E5179&amp;COUNTIFS($E$2:E5179,E5179)</f>
        <v>0</v>
      </c>
      <c r="B5179" s="166"/>
      <c r="C5179" s="168"/>
      <c r="D5179" s="167"/>
      <c r="E5179" s="166"/>
      <c r="F5179" s="165"/>
      <c r="G5179" s="164"/>
    </row>
    <row r="5180" spans="1:7" x14ac:dyDescent="0.25">
      <c r="A5180" s="169" t="str">
        <f>E5180&amp;COUNTIFS($E$2:E5180,E5180)</f>
        <v>0</v>
      </c>
      <c r="B5180" s="166"/>
      <c r="C5180" s="168"/>
      <c r="D5180" s="167"/>
      <c r="E5180" s="166"/>
      <c r="F5180" s="165"/>
      <c r="G5180" s="164"/>
    </row>
    <row r="5181" spans="1:7" x14ac:dyDescent="0.25">
      <c r="A5181" s="169" t="str">
        <f>E5181&amp;COUNTIFS($E$2:E5181,E5181)</f>
        <v>0</v>
      </c>
      <c r="B5181" s="166"/>
      <c r="C5181" s="168"/>
      <c r="D5181" s="167"/>
      <c r="E5181" s="166"/>
      <c r="F5181" s="165"/>
      <c r="G5181" s="164"/>
    </row>
    <row r="5182" spans="1:7" x14ac:dyDescent="0.25">
      <c r="A5182" s="169" t="str">
        <f>E5182&amp;COUNTIFS($E$2:E5182,E5182)</f>
        <v>0</v>
      </c>
      <c r="B5182" s="166"/>
      <c r="C5182" s="168"/>
      <c r="D5182" s="167"/>
      <c r="E5182" s="166"/>
      <c r="F5182" s="165"/>
      <c r="G5182" s="164"/>
    </row>
    <row r="5183" spans="1:7" x14ac:dyDescent="0.25">
      <c r="A5183" s="169" t="str">
        <f>E5183&amp;COUNTIFS($E$2:E5183,E5183)</f>
        <v>0</v>
      </c>
      <c r="B5183" s="166"/>
      <c r="C5183" s="168"/>
      <c r="D5183" s="167"/>
      <c r="E5183" s="166"/>
      <c r="F5183" s="165"/>
      <c r="G5183" s="164"/>
    </row>
    <row r="5184" spans="1:7" x14ac:dyDescent="0.25">
      <c r="A5184" s="169" t="str">
        <f>E5184&amp;COUNTIFS($E$2:E5184,E5184)</f>
        <v>0</v>
      </c>
      <c r="B5184" s="166"/>
      <c r="C5184" s="168"/>
      <c r="D5184" s="167"/>
      <c r="E5184" s="166"/>
      <c r="F5184" s="165"/>
      <c r="G5184" s="164"/>
    </row>
    <row r="5185" spans="1:7" x14ac:dyDescent="0.25">
      <c r="A5185" s="169" t="str">
        <f>E5185&amp;COUNTIFS($E$2:E5185,E5185)</f>
        <v>0</v>
      </c>
      <c r="B5185" s="166"/>
      <c r="C5185" s="168"/>
      <c r="D5185" s="167"/>
      <c r="E5185" s="166"/>
      <c r="F5185" s="165"/>
      <c r="G5185" s="164"/>
    </row>
    <row r="5186" spans="1:7" x14ac:dyDescent="0.25">
      <c r="A5186" s="169" t="str">
        <f>E5186&amp;COUNTIFS($E$2:E5186,E5186)</f>
        <v>0</v>
      </c>
      <c r="B5186" s="166"/>
      <c r="C5186" s="168"/>
      <c r="D5186" s="167"/>
      <c r="E5186" s="166"/>
      <c r="F5186" s="165"/>
      <c r="G5186" s="164"/>
    </row>
    <row r="5187" spans="1:7" x14ac:dyDescent="0.25">
      <c r="A5187" s="169" t="str">
        <f>E5187&amp;COUNTIFS($E$2:E5187,E5187)</f>
        <v>0</v>
      </c>
      <c r="B5187" s="166"/>
      <c r="C5187" s="168"/>
      <c r="D5187" s="167"/>
      <c r="E5187" s="166"/>
      <c r="F5187" s="165"/>
      <c r="G5187" s="164"/>
    </row>
    <row r="5188" spans="1:7" x14ac:dyDescent="0.25">
      <c r="A5188" s="169" t="str">
        <f>E5188&amp;COUNTIFS($E$2:E5188,E5188)</f>
        <v>0</v>
      </c>
      <c r="B5188" s="166"/>
      <c r="C5188" s="168"/>
      <c r="D5188" s="167"/>
      <c r="E5188" s="166"/>
      <c r="F5188" s="165"/>
      <c r="G5188" s="164"/>
    </row>
    <row r="5189" spans="1:7" x14ac:dyDescent="0.25">
      <c r="A5189" s="169" t="str">
        <f>E5189&amp;COUNTIFS($E$2:E5189,E5189)</f>
        <v>0</v>
      </c>
      <c r="B5189" s="166"/>
      <c r="C5189" s="168"/>
      <c r="D5189" s="167"/>
      <c r="E5189" s="166"/>
      <c r="F5189" s="165"/>
      <c r="G5189" s="164"/>
    </row>
    <row r="5190" spans="1:7" x14ac:dyDescent="0.25">
      <c r="A5190" s="169" t="str">
        <f>E5190&amp;COUNTIFS($E$2:E5190,E5190)</f>
        <v>0</v>
      </c>
      <c r="B5190" s="166"/>
      <c r="C5190" s="168"/>
      <c r="D5190" s="167"/>
      <c r="E5190" s="166"/>
      <c r="F5190" s="165"/>
      <c r="G5190" s="164"/>
    </row>
    <row r="5191" spans="1:7" x14ac:dyDescent="0.25">
      <c r="A5191" s="169" t="str">
        <f>E5191&amp;COUNTIFS($E$2:E5191,E5191)</f>
        <v>0</v>
      </c>
      <c r="B5191" s="166"/>
      <c r="C5191" s="168"/>
      <c r="D5191" s="167"/>
      <c r="E5191" s="166"/>
      <c r="F5191" s="165"/>
      <c r="G5191" s="164"/>
    </row>
    <row r="5192" spans="1:7" x14ac:dyDescent="0.25">
      <c r="A5192" s="169" t="str">
        <f>E5192&amp;COUNTIFS($E$2:E5192,E5192)</f>
        <v>0</v>
      </c>
      <c r="B5192" s="166"/>
      <c r="C5192" s="168"/>
      <c r="D5192" s="167"/>
      <c r="E5192" s="166"/>
      <c r="F5192" s="165"/>
      <c r="G5192" s="164"/>
    </row>
    <row r="5193" spans="1:7" x14ac:dyDescent="0.25">
      <c r="A5193" s="169" t="str">
        <f>E5193&amp;COUNTIFS($E$2:E5193,E5193)</f>
        <v>0</v>
      </c>
      <c r="B5193" s="166"/>
      <c r="C5193" s="168"/>
      <c r="D5193" s="167"/>
      <c r="E5193" s="166"/>
      <c r="F5193" s="165"/>
      <c r="G5193" s="164"/>
    </row>
    <row r="5194" spans="1:7" ht="15.75" thickBot="1" x14ac:dyDescent="0.3">
      <c r="A5194" s="163" t="str">
        <f>E5194&amp;COUNTIFS($E$2:E5194,E5194)</f>
        <v>0</v>
      </c>
      <c r="B5194" s="160"/>
      <c r="C5194" s="162"/>
      <c r="D5194" s="161"/>
      <c r="E5194" s="160"/>
      <c r="F5194" s="159"/>
      <c r="G5194" s="158"/>
    </row>
    <row r="5195" spans="1:7" x14ac:dyDescent="0.25">
      <c r="A5195" s="148"/>
      <c r="C5195" s="143"/>
      <c r="D5195" s="157"/>
      <c r="E5195" s="143"/>
      <c r="F5195" s="156"/>
      <c r="G5195" s="156"/>
    </row>
    <row r="5196" spans="1:7" x14ac:dyDescent="0.25">
      <c r="A5196" s="148"/>
      <c r="C5196" s="153" t="s">
        <v>623</v>
      </c>
      <c r="D5196" s="152"/>
      <c r="E5196" s="151"/>
      <c r="F5196" s="150">
        <f>SUM(F5170:F5194)</f>
        <v>0</v>
      </c>
      <c r="G5196" s="155">
        <f>SUM(G5170:G5194)</f>
        <v>0</v>
      </c>
    </row>
    <row r="5197" spans="1:7" x14ac:dyDescent="0.25">
      <c r="A5197" s="148"/>
      <c r="C5197" s="145" t="s">
        <v>622</v>
      </c>
      <c r="D5197" s="154"/>
      <c r="E5197" s="145"/>
      <c r="F5197" s="144"/>
      <c r="G5197" s="144"/>
    </row>
    <row r="5198" spans="1:7" x14ac:dyDescent="0.25">
      <c r="A5198" s="148"/>
      <c r="C5198" s="153" t="s">
        <v>621</v>
      </c>
      <c r="D5198" s="152"/>
      <c r="E5198" s="151"/>
      <c r="F5198" s="150">
        <f>F5165</f>
        <v>0</v>
      </c>
      <c r="G5198" s="150">
        <f>G5165</f>
        <v>0</v>
      </c>
    </row>
    <row r="5199" spans="1:7" x14ac:dyDescent="0.25">
      <c r="A5199" s="148"/>
      <c r="C5199" s="153" t="s">
        <v>582</v>
      </c>
      <c r="D5199" s="152"/>
      <c r="E5199" s="151"/>
      <c r="F5199" s="150">
        <f>F5198+F5196</f>
        <v>0</v>
      </c>
      <c r="G5199" s="150">
        <f>G5198+G5196</f>
        <v>0</v>
      </c>
    </row>
    <row r="5200" spans="1:7" ht="15.75" thickBot="1" x14ac:dyDescent="0.3">
      <c r="A5200" s="148"/>
      <c r="C5200" s="145"/>
      <c r="D5200" s="149"/>
      <c r="E5200" s="145"/>
      <c r="F5200" s="144"/>
      <c r="G5200" s="144"/>
    </row>
    <row r="5201" spans="1:7" ht="15.75" thickBot="1" x14ac:dyDescent="0.3">
      <c r="A5201" s="148"/>
      <c r="C5201" s="147" t="s">
        <v>620</v>
      </c>
      <c r="D5201" s="146">
        <f>F5199-G5199</f>
        <v>0</v>
      </c>
      <c r="E5201" s="145"/>
      <c r="F5201" s="144"/>
      <c r="G5201" s="144"/>
    </row>
    <row r="5202" spans="1:7" ht="15.75" thickBot="1" x14ac:dyDescent="0.3">
      <c r="A5202" s="202"/>
      <c r="C5202" s="201"/>
      <c r="D5202" s="157"/>
      <c r="E5202" s="143"/>
      <c r="F5202" s="156"/>
      <c r="G5202" s="156"/>
    </row>
    <row r="5203" spans="1:7" ht="30.75" thickBot="1" x14ac:dyDescent="0.3">
      <c r="A5203" s="196" t="s">
        <v>626</v>
      </c>
      <c r="B5203" s="195" t="s">
        <v>606</v>
      </c>
      <c r="C5203" s="194" t="s">
        <v>628</v>
      </c>
      <c r="D5203" s="193" t="s">
        <v>601</v>
      </c>
      <c r="E5203" s="192" t="s">
        <v>287</v>
      </c>
      <c r="F5203" s="191" t="s">
        <v>624</v>
      </c>
      <c r="G5203" s="191" t="s">
        <v>596</v>
      </c>
    </row>
    <row r="5204" spans="1:7" x14ac:dyDescent="0.25">
      <c r="A5204" s="175" t="str">
        <f>E5204&amp;COUNTIFS($E$2:E5204,E5204)</f>
        <v>0</v>
      </c>
      <c r="B5204" s="172"/>
      <c r="C5204" s="174"/>
      <c r="D5204" s="173"/>
      <c r="E5204" s="172"/>
      <c r="F5204" s="171"/>
      <c r="G5204" s="170"/>
    </row>
    <row r="5205" spans="1:7" x14ac:dyDescent="0.25">
      <c r="A5205" s="169" t="str">
        <f>E5205&amp;COUNTIFS($E$2:E5205,E5205)</f>
        <v>0</v>
      </c>
      <c r="B5205" s="166"/>
      <c r="C5205" s="168"/>
      <c r="D5205" s="167"/>
      <c r="E5205" s="166"/>
      <c r="F5205" s="165"/>
      <c r="G5205" s="164"/>
    </row>
    <row r="5206" spans="1:7" x14ac:dyDescent="0.25">
      <c r="A5206" s="169" t="str">
        <f>E5206&amp;COUNTIFS($E$2:E5206,E5206)</f>
        <v>0</v>
      </c>
      <c r="B5206" s="166"/>
      <c r="C5206" s="168"/>
      <c r="D5206" s="167"/>
      <c r="E5206" s="166"/>
      <c r="F5206" s="165"/>
      <c r="G5206" s="164"/>
    </row>
    <row r="5207" spans="1:7" x14ac:dyDescent="0.25">
      <c r="A5207" s="169" t="str">
        <f>E5207&amp;COUNTIFS($E$2:E5207,E5207)</f>
        <v>0</v>
      </c>
      <c r="B5207" s="166"/>
      <c r="C5207" s="168"/>
      <c r="D5207" s="167"/>
      <c r="E5207" s="166"/>
      <c r="F5207" s="165"/>
      <c r="G5207" s="164"/>
    </row>
    <row r="5208" spans="1:7" x14ac:dyDescent="0.25">
      <c r="A5208" s="169" t="str">
        <f>E5208&amp;COUNTIFS($E$2:E5208,E5208)</f>
        <v>0</v>
      </c>
      <c r="B5208" s="166"/>
      <c r="C5208" s="168"/>
      <c r="D5208" s="167"/>
      <c r="E5208" s="166"/>
      <c r="F5208" s="165"/>
      <c r="G5208" s="164"/>
    </row>
    <row r="5209" spans="1:7" x14ac:dyDescent="0.25">
      <c r="A5209" s="169" t="str">
        <f>E5209&amp;COUNTIFS($E$2:E5209,E5209)</f>
        <v>0</v>
      </c>
      <c r="B5209" s="166"/>
      <c r="C5209" s="168"/>
      <c r="D5209" s="167"/>
      <c r="E5209" s="166"/>
      <c r="F5209" s="165"/>
      <c r="G5209" s="164"/>
    </row>
    <row r="5210" spans="1:7" x14ac:dyDescent="0.25">
      <c r="A5210" s="169" t="str">
        <f>E5210&amp;COUNTIFS($E$2:E5210,E5210)</f>
        <v>0</v>
      </c>
      <c r="B5210" s="166"/>
      <c r="C5210" s="168"/>
      <c r="D5210" s="167"/>
      <c r="E5210" s="166"/>
      <c r="F5210" s="165"/>
      <c r="G5210" s="164"/>
    </row>
    <row r="5211" spans="1:7" x14ac:dyDescent="0.25">
      <c r="A5211" s="169" t="str">
        <f>E5211&amp;COUNTIFS($E$2:E5211,E5211)</f>
        <v>0</v>
      </c>
      <c r="B5211" s="166"/>
      <c r="C5211" s="168"/>
      <c r="D5211" s="167"/>
      <c r="E5211" s="166"/>
      <c r="F5211" s="165"/>
      <c r="G5211" s="164"/>
    </row>
    <row r="5212" spans="1:7" x14ac:dyDescent="0.25">
      <c r="A5212" s="169" t="str">
        <f>E5212&amp;COUNTIFS($E$2:E5212,E5212)</f>
        <v>0</v>
      </c>
      <c r="B5212" s="166"/>
      <c r="C5212" s="168"/>
      <c r="D5212" s="167"/>
      <c r="E5212" s="166"/>
      <c r="F5212" s="165"/>
      <c r="G5212" s="164"/>
    </row>
    <row r="5213" spans="1:7" x14ac:dyDescent="0.25">
      <c r="A5213" s="169" t="str">
        <f>E5213&amp;COUNTIFS($E$2:E5213,E5213)</f>
        <v>0</v>
      </c>
      <c r="B5213" s="166"/>
      <c r="C5213" s="168"/>
      <c r="D5213" s="167"/>
      <c r="E5213" s="166"/>
      <c r="F5213" s="165"/>
      <c r="G5213" s="164"/>
    </row>
    <row r="5214" spans="1:7" x14ac:dyDescent="0.25">
      <c r="A5214" s="169" t="str">
        <f>E5214&amp;COUNTIFS($E$2:E5214,E5214)</f>
        <v>0</v>
      </c>
      <c r="B5214" s="166"/>
      <c r="C5214" s="168"/>
      <c r="D5214" s="167"/>
      <c r="E5214" s="166"/>
      <c r="F5214" s="165"/>
      <c r="G5214" s="164"/>
    </row>
    <row r="5215" spans="1:7" x14ac:dyDescent="0.25">
      <c r="A5215" s="169" t="str">
        <f>E5215&amp;COUNTIFS($E$2:E5215,E5215)</f>
        <v>0</v>
      </c>
      <c r="B5215" s="166"/>
      <c r="C5215" s="168"/>
      <c r="D5215" s="167"/>
      <c r="E5215" s="166"/>
      <c r="F5215" s="165"/>
      <c r="G5215" s="164"/>
    </row>
    <row r="5216" spans="1:7" x14ac:dyDescent="0.25">
      <c r="A5216" s="169" t="str">
        <f>E5216&amp;COUNTIFS($E$2:E5216,E5216)</f>
        <v>0</v>
      </c>
      <c r="B5216" s="166"/>
      <c r="C5216" s="168"/>
      <c r="D5216" s="167"/>
      <c r="E5216" s="166"/>
      <c r="F5216" s="165"/>
      <c r="G5216" s="164"/>
    </row>
    <row r="5217" spans="1:7" x14ac:dyDescent="0.25">
      <c r="A5217" s="169" t="str">
        <f>E5217&amp;COUNTIFS($E$2:E5217,E5217)</f>
        <v>0</v>
      </c>
      <c r="B5217" s="166"/>
      <c r="C5217" s="168"/>
      <c r="D5217" s="167"/>
      <c r="E5217" s="166"/>
      <c r="F5217" s="165"/>
      <c r="G5217" s="164"/>
    </row>
    <row r="5218" spans="1:7" x14ac:dyDescent="0.25">
      <c r="A5218" s="169" t="str">
        <f>E5218&amp;COUNTIFS($E$2:E5218,E5218)</f>
        <v>0</v>
      </c>
      <c r="B5218" s="166"/>
      <c r="C5218" s="168"/>
      <c r="D5218" s="167"/>
      <c r="E5218" s="166"/>
      <c r="F5218" s="165"/>
      <c r="G5218" s="164"/>
    </row>
    <row r="5219" spans="1:7" x14ac:dyDescent="0.25">
      <c r="A5219" s="169" t="str">
        <f>E5219&amp;COUNTIFS($E$2:E5219,E5219)</f>
        <v>0</v>
      </c>
      <c r="B5219" s="166"/>
      <c r="C5219" s="168"/>
      <c r="D5219" s="167"/>
      <c r="E5219" s="166"/>
      <c r="F5219" s="165"/>
      <c r="G5219" s="164"/>
    </row>
    <row r="5220" spans="1:7" x14ac:dyDescent="0.25">
      <c r="A5220" s="169" t="str">
        <f>E5220&amp;COUNTIFS($E$2:E5220,E5220)</f>
        <v>0</v>
      </c>
      <c r="B5220" s="166"/>
      <c r="C5220" s="168"/>
      <c r="D5220" s="167"/>
      <c r="E5220" s="166"/>
      <c r="F5220" s="165"/>
      <c r="G5220" s="164"/>
    </row>
    <row r="5221" spans="1:7" x14ac:dyDescent="0.25">
      <c r="A5221" s="169" t="str">
        <f>E5221&amp;COUNTIFS($E$2:E5221,E5221)</f>
        <v>0</v>
      </c>
      <c r="B5221" s="166"/>
      <c r="C5221" s="168"/>
      <c r="D5221" s="167"/>
      <c r="E5221" s="166"/>
      <c r="F5221" s="165"/>
      <c r="G5221" s="164"/>
    </row>
    <row r="5222" spans="1:7" x14ac:dyDescent="0.25">
      <c r="A5222" s="169" t="str">
        <f>E5222&amp;COUNTIFS($E$2:E5222,E5222)</f>
        <v>0</v>
      </c>
      <c r="B5222" s="166"/>
      <c r="C5222" s="168"/>
      <c r="D5222" s="167"/>
      <c r="E5222" s="166"/>
      <c r="F5222" s="165"/>
      <c r="G5222" s="164"/>
    </row>
    <row r="5223" spans="1:7" x14ac:dyDescent="0.25">
      <c r="A5223" s="169" t="str">
        <f>E5223&amp;COUNTIFS($E$2:E5223,E5223)</f>
        <v>0</v>
      </c>
      <c r="B5223" s="166"/>
      <c r="C5223" s="168"/>
      <c r="D5223" s="167"/>
      <c r="E5223" s="166"/>
      <c r="F5223" s="165"/>
      <c r="G5223" s="164"/>
    </row>
    <row r="5224" spans="1:7" x14ac:dyDescent="0.25">
      <c r="A5224" s="169" t="str">
        <f>E5224&amp;COUNTIFS($E$2:E5224,E5224)</f>
        <v>0</v>
      </c>
      <c r="B5224" s="166"/>
      <c r="C5224" s="168"/>
      <c r="D5224" s="167"/>
      <c r="E5224" s="166"/>
      <c r="F5224" s="165"/>
      <c r="G5224" s="164"/>
    </row>
    <row r="5225" spans="1:7" x14ac:dyDescent="0.25">
      <c r="A5225" s="169" t="str">
        <f>E5225&amp;COUNTIFS($E$2:E5225,E5225)</f>
        <v>0</v>
      </c>
      <c r="B5225" s="166"/>
      <c r="C5225" s="168"/>
      <c r="D5225" s="167"/>
      <c r="E5225" s="166"/>
      <c r="F5225" s="165"/>
      <c r="G5225" s="164"/>
    </row>
    <row r="5226" spans="1:7" x14ac:dyDescent="0.25">
      <c r="A5226" s="169" t="str">
        <f>E5226&amp;COUNTIFS($E$2:E5226,E5226)</f>
        <v>0</v>
      </c>
      <c r="B5226" s="166"/>
      <c r="C5226" s="168"/>
      <c r="D5226" s="167"/>
      <c r="E5226" s="166"/>
      <c r="F5226" s="165"/>
      <c r="G5226" s="164"/>
    </row>
    <row r="5227" spans="1:7" x14ac:dyDescent="0.25">
      <c r="A5227" s="169" t="str">
        <f>E5227&amp;COUNTIFS($E$2:E5227,E5227)</f>
        <v>0</v>
      </c>
      <c r="B5227" s="166"/>
      <c r="C5227" s="168"/>
      <c r="D5227" s="167"/>
      <c r="E5227" s="166"/>
      <c r="F5227" s="165"/>
      <c r="G5227" s="164"/>
    </row>
    <row r="5228" spans="1:7" ht="15.75" thickBot="1" x14ac:dyDescent="0.3">
      <c r="A5228" s="163" t="str">
        <f>E5228&amp;COUNTIFS($E$2:E5228,E5228)</f>
        <v>0</v>
      </c>
      <c r="B5228" s="160"/>
      <c r="C5228" s="162"/>
      <c r="D5228" s="161"/>
      <c r="E5228" s="160"/>
      <c r="F5228" s="159"/>
      <c r="G5228" s="158"/>
    </row>
    <row r="5229" spans="1:7" x14ac:dyDescent="0.25">
      <c r="A5229" s="148"/>
      <c r="C5229" s="143"/>
      <c r="D5229" s="157"/>
      <c r="E5229" s="143"/>
      <c r="F5229" s="156"/>
      <c r="G5229" s="156"/>
    </row>
    <row r="5230" spans="1:7" x14ac:dyDescent="0.25">
      <c r="A5230" s="148"/>
      <c r="C5230" s="153" t="s">
        <v>623</v>
      </c>
      <c r="D5230" s="152"/>
      <c r="E5230" s="151"/>
      <c r="F5230" s="150">
        <f>SUM(F5204:F5228)</f>
        <v>0</v>
      </c>
      <c r="G5230" s="155">
        <f>SUM(G5204:G5228)</f>
        <v>0</v>
      </c>
    </row>
    <row r="5231" spans="1:7" x14ac:dyDescent="0.25">
      <c r="A5231" s="148"/>
      <c r="C5231" s="145" t="s">
        <v>622</v>
      </c>
      <c r="D5231" s="154"/>
      <c r="E5231" s="145"/>
      <c r="F5231" s="144"/>
      <c r="G5231" s="144"/>
    </row>
    <row r="5232" spans="1:7" x14ac:dyDescent="0.25">
      <c r="A5232" s="148"/>
      <c r="C5232" s="153" t="s">
        <v>621</v>
      </c>
      <c r="D5232" s="152"/>
      <c r="E5232" s="151"/>
      <c r="F5232" s="150">
        <f>F5199</f>
        <v>0</v>
      </c>
      <c r="G5232" s="150">
        <f>G5199</f>
        <v>0</v>
      </c>
    </row>
    <row r="5233" spans="1:7" x14ac:dyDescent="0.25">
      <c r="A5233" s="148"/>
      <c r="C5233" s="153" t="s">
        <v>582</v>
      </c>
      <c r="D5233" s="152"/>
      <c r="E5233" s="151"/>
      <c r="F5233" s="150">
        <f>F5232+F5230</f>
        <v>0</v>
      </c>
      <c r="G5233" s="150">
        <f>G5232+G5230</f>
        <v>0</v>
      </c>
    </row>
    <row r="5234" spans="1:7" ht="15.75" thickBot="1" x14ac:dyDescent="0.3">
      <c r="A5234" s="148"/>
      <c r="C5234" s="145"/>
      <c r="D5234" s="149"/>
      <c r="E5234" s="145"/>
      <c r="F5234" s="144"/>
      <c r="G5234" s="144"/>
    </row>
    <row r="5235" spans="1:7" ht="15.75" thickBot="1" x14ac:dyDescent="0.3">
      <c r="A5235" s="148"/>
      <c r="C5235" s="147" t="s">
        <v>620</v>
      </c>
      <c r="D5235" s="146">
        <f>F5233-G5233</f>
        <v>0</v>
      </c>
      <c r="E5235" s="145"/>
      <c r="F5235" s="144"/>
      <c r="G5235" s="144"/>
    </row>
    <row r="5236" spans="1:7" ht="15.75" thickBot="1" x14ac:dyDescent="0.3"/>
    <row r="5237" spans="1:7" ht="30.75" thickBot="1" x14ac:dyDescent="0.3">
      <c r="A5237" s="196" t="s">
        <v>626</v>
      </c>
      <c r="B5237" s="195" t="s">
        <v>606</v>
      </c>
      <c r="C5237" s="194" t="s">
        <v>628</v>
      </c>
      <c r="D5237" s="193" t="s">
        <v>601</v>
      </c>
      <c r="E5237" s="192" t="s">
        <v>287</v>
      </c>
      <c r="F5237" s="191" t="s">
        <v>624</v>
      </c>
      <c r="G5237" s="191" t="s">
        <v>596</v>
      </c>
    </row>
    <row r="5238" spans="1:7" x14ac:dyDescent="0.25">
      <c r="A5238" s="175" t="str">
        <f>E5238&amp;COUNTIFS($E$2:E5238,E5238)</f>
        <v>0</v>
      </c>
      <c r="B5238" s="172"/>
      <c r="C5238" s="174"/>
      <c r="D5238" s="173"/>
      <c r="E5238" s="172"/>
      <c r="F5238" s="171"/>
      <c r="G5238" s="170"/>
    </row>
    <row r="5239" spans="1:7" x14ac:dyDescent="0.25">
      <c r="A5239" s="169" t="str">
        <f>E5239&amp;COUNTIFS($E$2:E5239,E5239)</f>
        <v>0</v>
      </c>
      <c r="B5239" s="166"/>
      <c r="C5239" s="168"/>
      <c r="D5239" s="167"/>
      <c r="E5239" s="166"/>
      <c r="F5239" s="165"/>
      <c r="G5239" s="164"/>
    </row>
    <row r="5240" spans="1:7" x14ac:dyDescent="0.25">
      <c r="A5240" s="169" t="str">
        <f>E5240&amp;COUNTIFS($E$2:E5240,E5240)</f>
        <v>0</v>
      </c>
      <c r="B5240" s="166"/>
      <c r="C5240" s="168"/>
      <c r="D5240" s="167"/>
      <c r="E5240" s="166"/>
      <c r="F5240" s="165"/>
      <c r="G5240" s="164"/>
    </row>
    <row r="5241" spans="1:7" x14ac:dyDescent="0.25">
      <c r="A5241" s="169" t="str">
        <f>E5241&amp;COUNTIFS($E$2:E5241,E5241)</f>
        <v>0</v>
      </c>
      <c r="B5241" s="166"/>
      <c r="C5241" s="168"/>
      <c r="D5241" s="167"/>
      <c r="E5241" s="166"/>
      <c r="F5241" s="165"/>
      <c r="G5241" s="164"/>
    </row>
    <row r="5242" spans="1:7" x14ac:dyDescent="0.25">
      <c r="A5242" s="169" t="str">
        <f>E5242&amp;COUNTIFS($E$2:E5242,E5242)</f>
        <v>0</v>
      </c>
      <c r="B5242" s="166"/>
      <c r="C5242" s="168"/>
      <c r="D5242" s="167"/>
      <c r="E5242" s="166"/>
      <c r="F5242" s="165"/>
      <c r="G5242" s="164"/>
    </row>
    <row r="5243" spans="1:7" x14ac:dyDescent="0.25">
      <c r="A5243" s="169" t="str">
        <f>E5243&amp;COUNTIFS($E$2:E5243,E5243)</f>
        <v>0</v>
      </c>
      <c r="B5243" s="166"/>
      <c r="C5243" s="168"/>
      <c r="D5243" s="167"/>
      <c r="E5243" s="166"/>
      <c r="F5243" s="165"/>
      <c r="G5243" s="164"/>
    </row>
    <row r="5244" spans="1:7" x14ac:dyDescent="0.25">
      <c r="A5244" s="169" t="str">
        <f>E5244&amp;COUNTIFS($E$2:E5244,E5244)</f>
        <v>0</v>
      </c>
      <c r="B5244" s="166"/>
      <c r="C5244" s="168"/>
      <c r="D5244" s="167"/>
      <c r="E5244" s="166"/>
      <c r="F5244" s="165"/>
      <c r="G5244" s="164"/>
    </row>
    <row r="5245" spans="1:7" x14ac:dyDescent="0.25">
      <c r="A5245" s="169" t="str">
        <f>E5245&amp;COUNTIFS($E$2:E5245,E5245)</f>
        <v>0</v>
      </c>
      <c r="B5245" s="166"/>
      <c r="C5245" s="168"/>
      <c r="D5245" s="167"/>
      <c r="E5245" s="166"/>
      <c r="F5245" s="165"/>
      <c r="G5245" s="164"/>
    </row>
    <row r="5246" spans="1:7" x14ac:dyDescent="0.25">
      <c r="A5246" s="169" t="str">
        <f>E5246&amp;COUNTIFS($E$2:E5246,E5246)</f>
        <v>0</v>
      </c>
      <c r="B5246" s="166"/>
      <c r="C5246" s="168"/>
      <c r="D5246" s="167"/>
      <c r="E5246" s="166"/>
      <c r="F5246" s="165"/>
      <c r="G5246" s="164"/>
    </row>
    <row r="5247" spans="1:7" x14ac:dyDescent="0.25">
      <c r="A5247" s="169" t="str">
        <f>E5247&amp;COUNTIFS($E$2:E5247,E5247)</f>
        <v>0</v>
      </c>
      <c r="B5247" s="166"/>
      <c r="C5247" s="168"/>
      <c r="D5247" s="167"/>
      <c r="E5247" s="166"/>
      <c r="F5247" s="165"/>
      <c r="G5247" s="164"/>
    </row>
    <row r="5248" spans="1:7" x14ac:dyDescent="0.25">
      <c r="A5248" s="169" t="str">
        <f>E5248&amp;COUNTIFS($E$2:E5248,E5248)</f>
        <v>0</v>
      </c>
      <c r="B5248" s="166"/>
      <c r="C5248" s="168"/>
      <c r="D5248" s="167"/>
      <c r="E5248" s="166"/>
      <c r="F5248" s="165"/>
      <c r="G5248" s="164"/>
    </row>
    <row r="5249" spans="1:7" x14ac:dyDescent="0.25">
      <c r="A5249" s="169" t="str">
        <f>E5249&amp;COUNTIFS($E$2:E5249,E5249)</f>
        <v>0</v>
      </c>
      <c r="B5249" s="166"/>
      <c r="C5249" s="168"/>
      <c r="D5249" s="167"/>
      <c r="E5249" s="166"/>
      <c r="F5249" s="165"/>
      <c r="G5249" s="164"/>
    </row>
    <row r="5250" spans="1:7" x14ac:dyDescent="0.25">
      <c r="A5250" s="169" t="str">
        <f>E5250&amp;COUNTIFS($E$2:E5250,E5250)</f>
        <v>0</v>
      </c>
      <c r="B5250" s="166"/>
      <c r="C5250" s="168"/>
      <c r="D5250" s="167"/>
      <c r="E5250" s="166"/>
      <c r="F5250" s="165"/>
      <c r="G5250" s="164"/>
    </row>
    <row r="5251" spans="1:7" x14ac:dyDescent="0.25">
      <c r="A5251" s="169" t="str">
        <f>E5251&amp;COUNTIFS($E$2:E5251,E5251)</f>
        <v>0</v>
      </c>
      <c r="B5251" s="166"/>
      <c r="C5251" s="168"/>
      <c r="D5251" s="167"/>
      <c r="E5251" s="166"/>
      <c r="F5251" s="165"/>
      <c r="G5251" s="164"/>
    </row>
    <row r="5252" spans="1:7" x14ac:dyDescent="0.25">
      <c r="A5252" s="169" t="str">
        <f>E5252&amp;COUNTIFS($E$2:E5252,E5252)</f>
        <v>0</v>
      </c>
      <c r="B5252" s="166"/>
      <c r="C5252" s="168"/>
      <c r="D5252" s="167"/>
      <c r="E5252" s="166"/>
      <c r="F5252" s="165"/>
      <c r="G5252" s="164"/>
    </row>
    <row r="5253" spans="1:7" x14ac:dyDescent="0.25">
      <c r="A5253" s="169" t="str">
        <f>E5253&amp;COUNTIFS($E$2:E5253,E5253)</f>
        <v>0</v>
      </c>
      <c r="B5253" s="166"/>
      <c r="C5253" s="168"/>
      <c r="D5253" s="167"/>
      <c r="E5253" s="166"/>
      <c r="F5253" s="165"/>
      <c r="G5253" s="164"/>
    </row>
    <row r="5254" spans="1:7" x14ac:dyDescent="0.25">
      <c r="A5254" s="169" t="str">
        <f>E5254&amp;COUNTIFS($E$2:E5254,E5254)</f>
        <v>0</v>
      </c>
      <c r="B5254" s="166"/>
      <c r="C5254" s="168"/>
      <c r="D5254" s="167"/>
      <c r="E5254" s="166"/>
      <c r="F5254" s="165"/>
      <c r="G5254" s="164"/>
    </row>
    <row r="5255" spans="1:7" x14ac:dyDescent="0.25">
      <c r="A5255" s="169" t="str">
        <f>E5255&amp;COUNTIFS($E$2:E5255,E5255)</f>
        <v>0</v>
      </c>
      <c r="B5255" s="166"/>
      <c r="C5255" s="168"/>
      <c r="D5255" s="167"/>
      <c r="E5255" s="166"/>
      <c r="F5255" s="165"/>
      <c r="G5255" s="164"/>
    </row>
    <row r="5256" spans="1:7" x14ac:dyDescent="0.25">
      <c r="A5256" s="169" t="str">
        <f>E5256&amp;COUNTIFS($E$2:E5256,E5256)</f>
        <v>0</v>
      </c>
      <c r="B5256" s="166"/>
      <c r="C5256" s="168"/>
      <c r="D5256" s="167"/>
      <c r="E5256" s="166"/>
      <c r="F5256" s="165"/>
      <c r="G5256" s="164"/>
    </row>
    <row r="5257" spans="1:7" x14ac:dyDescent="0.25">
      <c r="A5257" s="169" t="str">
        <f>E5257&amp;COUNTIFS($E$2:E5257,E5257)</f>
        <v>0</v>
      </c>
      <c r="B5257" s="166"/>
      <c r="C5257" s="168"/>
      <c r="D5257" s="167"/>
      <c r="E5257" s="166"/>
      <c r="F5257" s="165"/>
      <c r="G5257" s="164"/>
    </row>
    <row r="5258" spans="1:7" x14ac:dyDescent="0.25">
      <c r="A5258" s="169" t="str">
        <f>E5258&amp;COUNTIFS($E$2:E5258,E5258)</f>
        <v>0</v>
      </c>
      <c r="B5258" s="166"/>
      <c r="C5258" s="168"/>
      <c r="D5258" s="167"/>
      <c r="E5258" s="166"/>
      <c r="F5258" s="165"/>
      <c r="G5258" s="164"/>
    </row>
    <row r="5259" spans="1:7" x14ac:dyDescent="0.25">
      <c r="A5259" s="169" t="str">
        <f>E5259&amp;COUNTIFS($E$2:E5259,E5259)</f>
        <v>0</v>
      </c>
      <c r="B5259" s="166"/>
      <c r="C5259" s="168"/>
      <c r="D5259" s="167"/>
      <c r="E5259" s="166"/>
      <c r="F5259" s="165"/>
      <c r="G5259" s="164"/>
    </row>
    <row r="5260" spans="1:7" x14ac:dyDescent="0.25">
      <c r="A5260" s="169" t="str">
        <f>E5260&amp;COUNTIFS($E$2:E5260,E5260)</f>
        <v>0</v>
      </c>
      <c r="B5260" s="166"/>
      <c r="C5260" s="168"/>
      <c r="D5260" s="167"/>
      <c r="E5260" s="166"/>
      <c r="F5260" s="165"/>
      <c r="G5260" s="164"/>
    </row>
    <row r="5261" spans="1:7" x14ac:dyDescent="0.25">
      <c r="A5261" s="169" t="str">
        <f>E5261&amp;COUNTIFS($E$2:E5261,E5261)</f>
        <v>0</v>
      </c>
      <c r="B5261" s="166"/>
      <c r="C5261" s="168"/>
      <c r="D5261" s="167"/>
      <c r="E5261" s="166"/>
      <c r="F5261" s="165"/>
      <c r="G5261" s="164"/>
    </row>
    <row r="5262" spans="1:7" ht="15.75" thickBot="1" x14ac:dyDescent="0.3">
      <c r="A5262" s="163" t="str">
        <f>E5262&amp;COUNTIFS($E$2:E5262,E5262)</f>
        <v>0</v>
      </c>
      <c r="B5262" s="160"/>
      <c r="C5262" s="162"/>
      <c r="D5262" s="161"/>
      <c r="E5262" s="160"/>
      <c r="F5262" s="159"/>
      <c r="G5262" s="158"/>
    </row>
    <row r="5263" spans="1:7" x14ac:dyDescent="0.25">
      <c r="A5263" s="148"/>
      <c r="C5263" s="143"/>
      <c r="D5263" s="157"/>
      <c r="E5263" s="143"/>
      <c r="F5263" s="156"/>
      <c r="G5263" s="156"/>
    </row>
    <row r="5264" spans="1:7" x14ac:dyDescent="0.25">
      <c r="A5264" s="148"/>
      <c r="C5264" s="153" t="s">
        <v>623</v>
      </c>
      <c r="D5264" s="152"/>
      <c r="E5264" s="151"/>
      <c r="F5264" s="150">
        <f>SUM(F5238:F5262)</f>
        <v>0</v>
      </c>
      <c r="G5264" s="155">
        <f>SUM(G5238:G5262)</f>
        <v>0</v>
      </c>
    </row>
    <row r="5265" spans="1:7" x14ac:dyDescent="0.25">
      <c r="A5265" s="148"/>
      <c r="C5265" s="145" t="s">
        <v>622</v>
      </c>
      <c r="D5265" s="154"/>
      <c r="E5265" s="145"/>
      <c r="F5265" s="144"/>
      <c r="G5265" s="144"/>
    </row>
    <row r="5266" spans="1:7" x14ac:dyDescent="0.25">
      <c r="A5266" s="148"/>
      <c r="C5266" s="153" t="s">
        <v>621</v>
      </c>
      <c r="D5266" s="152"/>
      <c r="E5266" s="151"/>
      <c r="F5266" s="150">
        <f>F5233</f>
        <v>0</v>
      </c>
      <c r="G5266" s="150">
        <f>G5233</f>
        <v>0</v>
      </c>
    </row>
    <row r="5267" spans="1:7" x14ac:dyDescent="0.25">
      <c r="A5267" s="148"/>
      <c r="C5267" s="153" t="s">
        <v>582</v>
      </c>
      <c r="D5267" s="152"/>
      <c r="E5267" s="151"/>
      <c r="F5267" s="150">
        <f>F5266+F5264</f>
        <v>0</v>
      </c>
      <c r="G5267" s="150">
        <f>G5266+G5264</f>
        <v>0</v>
      </c>
    </row>
    <row r="5268" spans="1:7" ht="15.75" thickBot="1" x14ac:dyDescent="0.3">
      <c r="A5268" s="148"/>
      <c r="C5268" s="145"/>
      <c r="D5268" s="149"/>
      <c r="E5268" s="145"/>
      <c r="F5268" s="144"/>
      <c r="G5268" s="144"/>
    </row>
    <row r="5269" spans="1:7" ht="15.75" thickBot="1" x14ac:dyDescent="0.3">
      <c r="A5269" s="148"/>
      <c r="C5269" s="147" t="s">
        <v>620</v>
      </c>
      <c r="D5269" s="146">
        <f>F5267-G5267</f>
        <v>0</v>
      </c>
      <c r="E5269" s="145"/>
      <c r="F5269" s="144"/>
      <c r="G5269" s="144"/>
    </row>
    <row r="5270" spans="1:7" ht="15.75" thickBot="1" x14ac:dyDescent="0.3"/>
    <row r="5271" spans="1:7" ht="30.75" thickBot="1" x14ac:dyDescent="0.3">
      <c r="A5271" s="196" t="s">
        <v>626</v>
      </c>
      <c r="B5271" s="195" t="s">
        <v>606</v>
      </c>
      <c r="C5271" s="194" t="s">
        <v>628</v>
      </c>
      <c r="D5271" s="193" t="s">
        <v>601</v>
      </c>
      <c r="E5271" s="192" t="s">
        <v>287</v>
      </c>
      <c r="F5271" s="191" t="s">
        <v>624</v>
      </c>
      <c r="G5271" s="191" t="s">
        <v>596</v>
      </c>
    </row>
    <row r="5272" spans="1:7" x14ac:dyDescent="0.25">
      <c r="A5272" s="175" t="str">
        <f>E5272&amp;COUNTIFS($E$2:E5272,E5272)</f>
        <v>0</v>
      </c>
      <c r="B5272" s="172"/>
      <c r="C5272" s="174"/>
      <c r="D5272" s="173"/>
      <c r="E5272" s="172"/>
      <c r="F5272" s="171"/>
      <c r="G5272" s="170"/>
    </row>
    <row r="5273" spans="1:7" x14ac:dyDescent="0.25">
      <c r="A5273" s="169" t="str">
        <f>E5273&amp;COUNTIFS($E$2:E5273,E5273)</f>
        <v>0</v>
      </c>
      <c r="B5273" s="166"/>
      <c r="C5273" s="168"/>
      <c r="D5273" s="167"/>
      <c r="E5273" s="166"/>
      <c r="F5273" s="165"/>
      <c r="G5273" s="164"/>
    </row>
    <row r="5274" spans="1:7" x14ac:dyDescent="0.25">
      <c r="A5274" s="169" t="str">
        <f>E5274&amp;COUNTIFS($E$2:E5274,E5274)</f>
        <v>0</v>
      </c>
      <c r="B5274" s="166"/>
      <c r="C5274" s="168"/>
      <c r="D5274" s="167"/>
      <c r="E5274" s="166"/>
      <c r="F5274" s="165"/>
      <c r="G5274" s="164"/>
    </row>
    <row r="5275" spans="1:7" x14ac:dyDescent="0.25">
      <c r="A5275" s="169" t="str">
        <f>E5275&amp;COUNTIFS($E$2:E5275,E5275)</f>
        <v>0</v>
      </c>
      <c r="B5275" s="166"/>
      <c r="C5275" s="168"/>
      <c r="D5275" s="167"/>
      <c r="E5275" s="166"/>
      <c r="F5275" s="165"/>
      <c r="G5275" s="164"/>
    </row>
    <row r="5276" spans="1:7" x14ac:dyDescent="0.25">
      <c r="A5276" s="169" t="str">
        <f>E5276&amp;COUNTIFS($E$2:E5276,E5276)</f>
        <v>0</v>
      </c>
      <c r="B5276" s="166"/>
      <c r="C5276" s="168"/>
      <c r="D5276" s="167"/>
      <c r="E5276" s="166"/>
      <c r="F5276" s="165"/>
      <c r="G5276" s="164"/>
    </row>
    <row r="5277" spans="1:7" x14ac:dyDescent="0.25">
      <c r="A5277" s="169" t="str">
        <f>E5277&amp;COUNTIFS($E$2:E5277,E5277)</f>
        <v>0</v>
      </c>
      <c r="B5277" s="166"/>
      <c r="C5277" s="168"/>
      <c r="D5277" s="167"/>
      <c r="E5277" s="166"/>
      <c r="F5277" s="165"/>
      <c r="G5277" s="164"/>
    </row>
    <row r="5278" spans="1:7" x14ac:dyDescent="0.25">
      <c r="A5278" s="169" t="str">
        <f>E5278&amp;COUNTIFS($E$2:E5278,E5278)</f>
        <v>0</v>
      </c>
      <c r="B5278" s="166"/>
      <c r="C5278" s="168"/>
      <c r="D5278" s="167"/>
      <c r="E5278" s="166"/>
      <c r="F5278" s="165"/>
      <c r="G5278" s="164"/>
    </row>
    <row r="5279" spans="1:7" x14ac:dyDescent="0.25">
      <c r="A5279" s="169" t="str">
        <f>E5279&amp;COUNTIFS($E$2:E5279,E5279)</f>
        <v>0</v>
      </c>
      <c r="B5279" s="166"/>
      <c r="C5279" s="168"/>
      <c r="D5279" s="167"/>
      <c r="E5279" s="166"/>
      <c r="F5279" s="165"/>
      <c r="G5279" s="164"/>
    </row>
    <row r="5280" spans="1:7" x14ac:dyDescent="0.25">
      <c r="A5280" s="169" t="str">
        <f>E5280&amp;COUNTIFS($E$2:E5280,E5280)</f>
        <v>0</v>
      </c>
      <c r="B5280" s="166"/>
      <c r="C5280" s="168"/>
      <c r="D5280" s="167"/>
      <c r="E5280" s="166"/>
      <c r="F5280" s="165"/>
      <c r="G5280" s="164"/>
    </row>
    <row r="5281" spans="1:7" x14ac:dyDescent="0.25">
      <c r="A5281" s="169" t="str">
        <f>E5281&amp;COUNTIFS($E$2:E5281,E5281)</f>
        <v>0</v>
      </c>
      <c r="B5281" s="166"/>
      <c r="C5281" s="168"/>
      <c r="D5281" s="167"/>
      <c r="E5281" s="166"/>
      <c r="F5281" s="165"/>
      <c r="G5281" s="164"/>
    </row>
    <row r="5282" spans="1:7" x14ac:dyDescent="0.25">
      <c r="A5282" s="169" t="str">
        <f>E5282&amp;COUNTIFS($E$2:E5282,E5282)</f>
        <v>0</v>
      </c>
      <c r="B5282" s="166"/>
      <c r="C5282" s="168"/>
      <c r="D5282" s="167"/>
      <c r="E5282" s="166"/>
      <c r="F5282" s="165"/>
      <c r="G5282" s="164"/>
    </row>
    <row r="5283" spans="1:7" x14ac:dyDescent="0.25">
      <c r="A5283" s="169" t="str">
        <f>E5283&amp;COUNTIFS($E$2:E5283,E5283)</f>
        <v>0</v>
      </c>
      <c r="B5283" s="166"/>
      <c r="C5283" s="168"/>
      <c r="D5283" s="167"/>
      <c r="E5283" s="166"/>
      <c r="F5283" s="165"/>
      <c r="G5283" s="164"/>
    </row>
    <row r="5284" spans="1:7" x14ac:dyDescent="0.25">
      <c r="A5284" s="169" t="str">
        <f>E5284&amp;COUNTIFS($E$2:E5284,E5284)</f>
        <v>0</v>
      </c>
      <c r="B5284" s="166"/>
      <c r="C5284" s="168"/>
      <c r="D5284" s="167"/>
      <c r="E5284" s="166"/>
      <c r="F5284" s="165"/>
      <c r="G5284" s="164"/>
    </row>
    <row r="5285" spans="1:7" x14ac:dyDescent="0.25">
      <c r="A5285" s="169" t="str">
        <f>E5285&amp;COUNTIFS($E$2:E5285,E5285)</f>
        <v>0</v>
      </c>
      <c r="B5285" s="166"/>
      <c r="C5285" s="168"/>
      <c r="D5285" s="167"/>
      <c r="E5285" s="166"/>
      <c r="F5285" s="165"/>
      <c r="G5285" s="164"/>
    </row>
    <row r="5286" spans="1:7" x14ac:dyDescent="0.25">
      <c r="A5286" s="169" t="str">
        <f>E5286&amp;COUNTIFS($E$2:E5286,E5286)</f>
        <v>0</v>
      </c>
      <c r="B5286" s="166"/>
      <c r="C5286" s="168"/>
      <c r="D5286" s="167"/>
      <c r="E5286" s="166"/>
      <c r="F5286" s="165"/>
      <c r="G5286" s="164"/>
    </row>
    <row r="5287" spans="1:7" x14ac:dyDescent="0.25">
      <c r="A5287" s="169" t="str">
        <f>E5287&amp;COUNTIFS($E$2:E5287,E5287)</f>
        <v>0</v>
      </c>
      <c r="B5287" s="166"/>
      <c r="C5287" s="168"/>
      <c r="D5287" s="167"/>
      <c r="E5287" s="166"/>
      <c r="F5287" s="165"/>
      <c r="G5287" s="164"/>
    </row>
    <row r="5288" spans="1:7" x14ac:dyDescent="0.25">
      <c r="A5288" s="169" t="str">
        <f>E5288&amp;COUNTIFS($E$2:E5288,E5288)</f>
        <v>0</v>
      </c>
      <c r="B5288" s="166"/>
      <c r="C5288" s="168"/>
      <c r="D5288" s="167"/>
      <c r="E5288" s="166"/>
      <c r="F5288" s="165"/>
      <c r="G5288" s="164"/>
    </row>
    <row r="5289" spans="1:7" x14ac:dyDescent="0.25">
      <c r="A5289" s="169" t="str">
        <f>E5289&amp;COUNTIFS($E$2:E5289,E5289)</f>
        <v>0</v>
      </c>
      <c r="B5289" s="166"/>
      <c r="C5289" s="168"/>
      <c r="D5289" s="167"/>
      <c r="E5289" s="166"/>
      <c r="F5289" s="165"/>
      <c r="G5289" s="164"/>
    </row>
    <row r="5290" spans="1:7" x14ac:dyDescent="0.25">
      <c r="A5290" s="169" t="str">
        <f>E5290&amp;COUNTIFS($E$2:E5290,E5290)</f>
        <v>0</v>
      </c>
      <c r="B5290" s="166"/>
      <c r="C5290" s="168"/>
      <c r="D5290" s="167"/>
      <c r="E5290" s="166"/>
      <c r="F5290" s="165"/>
      <c r="G5290" s="164"/>
    </row>
    <row r="5291" spans="1:7" x14ac:dyDescent="0.25">
      <c r="A5291" s="169" t="str">
        <f>E5291&amp;COUNTIFS($E$2:E5291,E5291)</f>
        <v>0</v>
      </c>
      <c r="B5291" s="166"/>
      <c r="C5291" s="168"/>
      <c r="D5291" s="167"/>
      <c r="E5291" s="166"/>
      <c r="F5291" s="165"/>
      <c r="G5291" s="164"/>
    </row>
    <row r="5292" spans="1:7" x14ac:dyDescent="0.25">
      <c r="A5292" s="169" t="str">
        <f>E5292&amp;COUNTIFS($E$2:E5292,E5292)</f>
        <v>0</v>
      </c>
      <c r="B5292" s="166"/>
      <c r="C5292" s="168"/>
      <c r="D5292" s="167"/>
      <c r="E5292" s="166"/>
      <c r="F5292" s="165"/>
      <c r="G5292" s="164"/>
    </row>
    <row r="5293" spans="1:7" x14ac:dyDescent="0.25">
      <c r="A5293" s="169" t="str">
        <f>E5293&amp;COUNTIFS($E$2:E5293,E5293)</f>
        <v>0</v>
      </c>
      <c r="B5293" s="166"/>
      <c r="C5293" s="168"/>
      <c r="D5293" s="167"/>
      <c r="E5293" s="166"/>
      <c r="F5293" s="165"/>
      <c r="G5293" s="164"/>
    </row>
    <row r="5294" spans="1:7" x14ac:dyDescent="0.25">
      <c r="A5294" s="169" t="str">
        <f>E5294&amp;COUNTIFS($E$2:E5294,E5294)</f>
        <v>0</v>
      </c>
      <c r="B5294" s="166"/>
      <c r="C5294" s="168"/>
      <c r="D5294" s="167"/>
      <c r="E5294" s="166"/>
      <c r="F5294" s="165"/>
      <c r="G5294" s="164"/>
    </row>
    <row r="5295" spans="1:7" x14ac:dyDescent="0.25">
      <c r="A5295" s="169" t="str">
        <f>E5295&amp;COUNTIFS($E$2:E5295,E5295)</f>
        <v>0</v>
      </c>
      <c r="B5295" s="166"/>
      <c r="C5295" s="168"/>
      <c r="D5295" s="167"/>
      <c r="E5295" s="166"/>
      <c r="F5295" s="165"/>
      <c r="G5295" s="164"/>
    </row>
    <row r="5296" spans="1:7" ht="15.75" thickBot="1" x14ac:dyDescent="0.3">
      <c r="A5296" s="163" t="str">
        <f>E5296&amp;COUNTIFS($E$2:E5296,E5296)</f>
        <v>0</v>
      </c>
      <c r="B5296" s="160"/>
      <c r="C5296" s="162"/>
      <c r="D5296" s="161"/>
      <c r="E5296" s="160"/>
      <c r="F5296" s="159"/>
      <c r="G5296" s="158"/>
    </row>
    <row r="5297" spans="1:7" x14ac:dyDescent="0.25">
      <c r="A5297" s="148"/>
      <c r="C5297" s="143"/>
      <c r="D5297" s="157"/>
      <c r="E5297" s="143"/>
      <c r="F5297" s="156"/>
      <c r="G5297" s="156"/>
    </row>
    <row r="5298" spans="1:7" x14ac:dyDescent="0.25">
      <c r="A5298" s="148"/>
      <c r="C5298" s="153" t="s">
        <v>623</v>
      </c>
      <c r="D5298" s="152"/>
      <c r="E5298" s="151"/>
      <c r="F5298" s="150">
        <f>SUM(F5272:F5296)</f>
        <v>0</v>
      </c>
      <c r="G5298" s="155">
        <f>SUM(G5272:G5296)</f>
        <v>0</v>
      </c>
    </row>
    <row r="5299" spans="1:7" x14ac:dyDescent="0.25">
      <c r="A5299" s="148"/>
      <c r="C5299" s="145" t="s">
        <v>622</v>
      </c>
      <c r="D5299" s="154"/>
      <c r="E5299" s="145"/>
      <c r="F5299" s="144"/>
      <c r="G5299" s="144"/>
    </row>
    <row r="5300" spans="1:7" x14ac:dyDescent="0.25">
      <c r="A5300" s="148"/>
      <c r="C5300" s="153" t="s">
        <v>621</v>
      </c>
      <c r="D5300" s="152"/>
      <c r="E5300" s="151"/>
      <c r="F5300" s="150">
        <f>F5267</f>
        <v>0</v>
      </c>
      <c r="G5300" s="150">
        <f>G5267</f>
        <v>0</v>
      </c>
    </row>
    <row r="5301" spans="1:7" x14ac:dyDescent="0.25">
      <c r="A5301" s="148"/>
      <c r="C5301" s="153" t="s">
        <v>582</v>
      </c>
      <c r="D5301" s="152"/>
      <c r="E5301" s="151"/>
      <c r="F5301" s="150">
        <f>F5300+F5298</f>
        <v>0</v>
      </c>
      <c r="G5301" s="150">
        <f>G5300+G5298</f>
        <v>0</v>
      </c>
    </row>
    <row r="5302" spans="1:7" ht="15.75" thickBot="1" x14ac:dyDescent="0.3">
      <c r="A5302" s="148"/>
      <c r="C5302" s="145"/>
      <c r="D5302" s="149"/>
      <c r="E5302" s="145"/>
      <c r="F5302" s="144"/>
      <c r="G5302" s="144"/>
    </row>
    <row r="5303" spans="1:7" ht="15.75" thickBot="1" x14ac:dyDescent="0.3">
      <c r="A5303" s="148"/>
      <c r="C5303" s="147" t="s">
        <v>620</v>
      </c>
      <c r="D5303" s="146">
        <f>F5301-G5301</f>
        <v>0</v>
      </c>
      <c r="E5303" s="145"/>
      <c r="F5303" s="144"/>
      <c r="G5303" s="144"/>
    </row>
    <row r="5304" spans="1:7" ht="15.75" thickBot="1" x14ac:dyDescent="0.3"/>
    <row r="5305" spans="1:7" ht="30.75" thickBot="1" x14ac:dyDescent="0.3">
      <c r="A5305" s="196" t="s">
        <v>626</v>
      </c>
      <c r="B5305" s="195" t="s">
        <v>606</v>
      </c>
      <c r="C5305" s="194" t="s">
        <v>628</v>
      </c>
      <c r="D5305" s="193" t="s">
        <v>601</v>
      </c>
      <c r="E5305" s="192" t="s">
        <v>287</v>
      </c>
      <c r="F5305" s="191" t="s">
        <v>624</v>
      </c>
      <c r="G5305" s="191" t="s">
        <v>596</v>
      </c>
    </row>
    <row r="5306" spans="1:7" x14ac:dyDescent="0.25">
      <c r="A5306" s="175" t="str">
        <f>E5306&amp;COUNTIFS($E$2:E5306,E5306)</f>
        <v>0</v>
      </c>
      <c r="B5306" s="172"/>
      <c r="C5306" s="174"/>
      <c r="D5306" s="173"/>
      <c r="E5306" s="172"/>
      <c r="F5306" s="171"/>
      <c r="G5306" s="170"/>
    </row>
    <row r="5307" spans="1:7" x14ac:dyDescent="0.25">
      <c r="A5307" s="169" t="str">
        <f>E5307&amp;COUNTIFS($E$2:E5307,E5307)</f>
        <v>0</v>
      </c>
      <c r="B5307" s="166"/>
      <c r="C5307" s="168"/>
      <c r="D5307" s="167"/>
      <c r="E5307" s="166"/>
      <c r="F5307" s="165"/>
      <c r="G5307" s="164"/>
    </row>
    <row r="5308" spans="1:7" x14ac:dyDescent="0.25">
      <c r="A5308" s="169" t="str">
        <f>E5308&amp;COUNTIFS($E$2:E5308,E5308)</f>
        <v>0</v>
      </c>
      <c r="B5308" s="166"/>
      <c r="C5308" s="168"/>
      <c r="D5308" s="167"/>
      <c r="E5308" s="166"/>
      <c r="F5308" s="165"/>
      <c r="G5308" s="164"/>
    </row>
    <row r="5309" spans="1:7" x14ac:dyDescent="0.25">
      <c r="A5309" s="169" t="str">
        <f>E5309&amp;COUNTIFS($E$2:E5309,E5309)</f>
        <v>0</v>
      </c>
      <c r="B5309" s="166"/>
      <c r="C5309" s="168"/>
      <c r="D5309" s="167"/>
      <c r="E5309" s="166"/>
      <c r="F5309" s="165"/>
      <c r="G5309" s="164"/>
    </row>
    <row r="5310" spans="1:7" x14ac:dyDescent="0.25">
      <c r="A5310" s="169" t="str">
        <f>E5310&amp;COUNTIFS($E$2:E5310,E5310)</f>
        <v>0</v>
      </c>
      <c r="B5310" s="166"/>
      <c r="C5310" s="168"/>
      <c r="D5310" s="167"/>
      <c r="E5310" s="166"/>
      <c r="F5310" s="165"/>
      <c r="G5310" s="164"/>
    </row>
    <row r="5311" spans="1:7" x14ac:dyDescent="0.25">
      <c r="A5311" s="169" t="str">
        <f>E5311&amp;COUNTIFS($E$2:E5311,E5311)</f>
        <v>0</v>
      </c>
      <c r="B5311" s="166"/>
      <c r="C5311" s="168"/>
      <c r="D5311" s="167"/>
      <c r="E5311" s="166"/>
      <c r="F5311" s="165"/>
      <c r="G5311" s="164"/>
    </row>
    <row r="5312" spans="1:7" x14ac:dyDescent="0.25">
      <c r="A5312" s="169" t="str">
        <f>E5312&amp;COUNTIFS($E$2:E5312,E5312)</f>
        <v>0</v>
      </c>
      <c r="B5312" s="166"/>
      <c r="C5312" s="168"/>
      <c r="D5312" s="167"/>
      <c r="E5312" s="166"/>
      <c r="F5312" s="165"/>
      <c r="G5312" s="164"/>
    </row>
    <row r="5313" spans="1:7" x14ac:dyDescent="0.25">
      <c r="A5313" s="169" t="str">
        <f>E5313&amp;COUNTIFS($E$2:E5313,E5313)</f>
        <v>0</v>
      </c>
      <c r="B5313" s="166"/>
      <c r="C5313" s="168"/>
      <c r="D5313" s="167"/>
      <c r="E5313" s="166"/>
      <c r="F5313" s="165"/>
      <c r="G5313" s="164"/>
    </row>
    <row r="5314" spans="1:7" x14ac:dyDescent="0.25">
      <c r="A5314" s="169" t="str">
        <f>E5314&amp;COUNTIFS($E$2:E5314,E5314)</f>
        <v>0</v>
      </c>
      <c r="B5314" s="166"/>
      <c r="C5314" s="168"/>
      <c r="D5314" s="167"/>
      <c r="E5314" s="166"/>
      <c r="F5314" s="165"/>
      <c r="G5314" s="164"/>
    </row>
    <row r="5315" spans="1:7" x14ac:dyDescent="0.25">
      <c r="A5315" s="169" t="str">
        <f>E5315&amp;COUNTIFS($E$2:E5315,E5315)</f>
        <v>0</v>
      </c>
      <c r="B5315" s="166"/>
      <c r="C5315" s="168"/>
      <c r="D5315" s="167"/>
      <c r="E5315" s="166"/>
      <c r="F5315" s="166"/>
      <c r="G5315" s="164"/>
    </row>
    <row r="5316" spans="1:7" x14ac:dyDescent="0.25">
      <c r="A5316" s="169" t="str">
        <f>E5316&amp;COUNTIFS($E$2:E5316,E5316)</f>
        <v>0</v>
      </c>
      <c r="B5316" s="166"/>
      <c r="C5316" s="168"/>
      <c r="D5316" s="167"/>
      <c r="E5316" s="166"/>
      <c r="F5316" s="165"/>
      <c r="G5316" s="164"/>
    </row>
    <row r="5317" spans="1:7" x14ac:dyDescent="0.25">
      <c r="A5317" s="169" t="str">
        <f>E5317&amp;COUNTIFS($E$2:E5317,E5317)</f>
        <v>0</v>
      </c>
      <c r="B5317" s="166"/>
      <c r="C5317" s="168"/>
      <c r="D5317" s="167"/>
      <c r="E5317" s="166"/>
      <c r="F5317" s="165"/>
      <c r="G5317" s="164"/>
    </row>
    <row r="5318" spans="1:7" x14ac:dyDescent="0.25">
      <c r="A5318" s="169" t="str">
        <f>E5318&amp;COUNTIFS($E$2:E5318,E5318)</f>
        <v>0</v>
      </c>
      <c r="B5318" s="166"/>
      <c r="C5318" s="168"/>
      <c r="D5318" s="167"/>
      <c r="E5318" s="166"/>
      <c r="F5318" s="165"/>
      <c r="G5318" s="164"/>
    </row>
    <row r="5319" spans="1:7" x14ac:dyDescent="0.25">
      <c r="A5319" s="169" t="str">
        <f>E5319&amp;COUNTIFS($E$2:E5319,E5319)</f>
        <v>0</v>
      </c>
      <c r="B5319" s="166"/>
      <c r="C5319" s="168"/>
      <c r="D5319" s="167"/>
      <c r="E5319" s="166"/>
      <c r="F5319" s="165"/>
      <c r="G5319" s="164"/>
    </row>
    <row r="5320" spans="1:7" x14ac:dyDescent="0.25">
      <c r="A5320" s="169" t="str">
        <f>E5320&amp;COUNTIFS($E$2:E5320,E5320)</f>
        <v>0</v>
      </c>
      <c r="B5320" s="166"/>
      <c r="C5320" s="168"/>
      <c r="D5320" s="167"/>
      <c r="E5320" s="166"/>
      <c r="F5320" s="165"/>
      <c r="G5320" s="164"/>
    </row>
    <row r="5321" spans="1:7" x14ac:dyDescent="0.25">
      <c r="A5321" s="169" t="str">
        <f>E5321&amp;COUNTIFS($E$2:E5321,E5321)</f>
        <v>0</v>
      </c>
      <c r="B5321" s="166"/>
      <c r="C5321" s="168"/>
      <c r="D5321" s="167"/>
      <c r="E5321" s="166"/>
      <c r="F5321" s="165"/>
      <c r="G5321" s="164"/>
    </row>
    <row r="5322" spans="1:7" x14ac:dyDescent="0.25">
      <c r="A5322" s="169" t="str">
        <f>E5322&amp;COUNTIFS($E$2:E5322,E5322)</f>
        <v>0</v>
      </c>
      <c r="B5322" s="166"/>
      <c r="C5322" s="168"/>
      <c r="D5322" s="167"/>
      <c r="E5322" s="166"/>
      <c r="F5322" s="165"/>
      <c r="G5322" s="164"/>
    </row>
    <row r="5323" spans="1:7" x14ac:dyDescent="0.25">
      <c r="A5323" s="169" t="str">
        <f>E5323&amp;COUNTIFS($E$2:E5323,E5323)</f>
        <v>0</v>
      </c>
      <c r="B5323" s="166"/>
      <c r="C5323" s="168"/>
      <c r="D5323" s="167"/>
      <c r="E5323" s="166"/>
      <c r="F5323" s="165"/>
      <c r="G5323" s="164"/>
    </row>
    <row r="5324" spans="1:7" x14ac:dyDescent="0.25">
      <c r="A5324" s="169" t="str">
        <f>E5324&amp;COUNTIFS($E$2:E5324,E5324)</f>
        <v>0</v>
      </c>
      <c r="B5324" s="166"/>
      <c r="C5324" s="168"/>
      <c r="D5324" s="167"/>
      <c r="E5324" s="166"/>
      <c r="F5324" s="165"/>
      <c r="G5324" s="164"/>
    </row>
    <row r="5325" spans="1:7" x14ac:dyDescent="0.25">
      <c r="A5325" s="169" t="str">
        <f>E5325&amp;COUNTIFS($E$2:E5325,E5325)</f>
        <v>0</v>
      </c>
      <c r="B5325" s="166"/>
      <c r="C5325" s="168"/>
      <c r="D5325" s="167"/>
      <c r="E5325" s="166"/>
      <c r="F5325" s="165"/>
      <c r="G5325" s="164"/>
    </row>
    <row r="5326" spans="1:7" x14ac:dyDescent="0.25">
      <c r="A5326" s="169" t="str">
        <f>E5326&amp;COUNTIFS($E$2:E5326,E5326)</f>
        <v>0</v>
      </c>
      <c r="B5326" s="166"/>
      <c r="C5326" s="168"/>
      <c r="D5326" s="167"/>
      <c r="E5326" s="166"/>
      <c r="F5326" s="165"/>
      <c r="G5326" s="164"/>
    </row>
    <row r="5327" spans="1:7" x14ac:dyDescent="0.25">
      <c r="A5327" s="169" t="str">
        <f>E5327&amp;COUNTIFS($E$2:E5327,E5327)</f>
        <v>0</v>
      </c>
      <c r="B5327" s="166"/>
      <c r="C5327" s="168"/>
      <c r="D5327" s="167"/>
      <c r="E5327" s="166"/>
      <c r="F5327" s="165"/>
      <c r="G5327" s="164"/>
    </row>
    <row r="5328" spans="1:7" x14ac:dyDescent="0.25">
      <c r="A5328" s="169" t="str">
        <f>E5328&amp;COUNTIFS($E$2:E5328,E5328)</f>
        <v>0</v>
      </c>
      <c r="B5328" s="166"/>
      <c r="C5328" s="168"/>
      <c r="D5328" s="167"/>
      <c r="E5328" s="166"/>
      <c r="F5328" s="165"/>
      <c r="G5328" s="164"/>
    </row>
    <row r="5329" spans="1:7" x14ac:dyDescent="0.25">
      <c r="A5329" s="169" t="str">
        <f>E5329&amp;COUNTIFS($E$2:E5329,E5329)</f>
        <v>0</v>
      </c>
      <c r="B5329" s="166"/>
      <c r="C5329" s="168"/>
      <c r="D5329" s="167"/>
      <c r="E5329" s="166"/>
      <c r="F5329" s="165"/>
      <c r="G5329" s="164"/>
    </row>
    <row r="5330" spans="1:7" ht="15.75" thickBot="1" x14ac:dyDescent="0.3">
      <c r="A5330" s="163" t="str">
        <f>E5330&amp;COUNTIFS($E$2:E5330,E5330)</f>
        <v>0</v>
      </c>
      <c r="B5330" s="160"/>
      <c r="C5330" s="162"/>
      <c r="D5330" s="161"/>
      <c r="E5330" s="160"/>
      <c r="F5330" s="159"/>
      <c r="G5330" s="158"/>
    </row>
    <row r="5331" spans="1:7" x14ac:dyDescent="0.25">
      <c r="A5331" s="148"/>
      <c r="C5331" s="143"/>
      <c r="D5331" s="157"/>
      <c r="E5331" s="143"/>
      <c r="F5331" s="156"/>
      <c r="G5331" s="156"/>
    </row>
    <row r="5332" spans="1:7" x14ac:dyDescent="0.25">
      <c r="A5332" s="148"/>
      <c r="C5332" s="153" t="s">
        <v>623</v>
      </c>
      <c r="D5332" s="152"/>
      <c r="E5332" s="151"/>
      <c r="F5332" s="150">
        <f>SUM(F5306:F5330)</f>
        <v>0</v>
      </c>
      <c r="G5332" s="155">
        <f>SUM(G5306:G5330)</f>
        <v>0</v>
      </c>
    </row>
    <row r="5333" spans="1:7" x14ac:dyDescent="0.25">
      <c r="A5333" s="148"/>
      <c r="C5333" s="145" t="s">
        <v>622</v>
      </c>
      <c r="D5333" s="154"/>
      <c r="E5333" s="145"/>
      <c r="F5333" s="144"/>
      <c r="G5333" s="144"/>
    </row>
    <row r="5334" spans="1:7" x14ac:dyDescent="0.25">
      <c r="A5334" s="148"/>
      <c r="C5334" s="153" t="s">
        <v>621</v>
      </c>
      <c r="D5334" s="152"/>
      <c r="E5334" s="151"/>
      <c r="F5334" s="150">
        <f>F5301</f>
        <v>0</v>
      </c>
      <c r="G5334" s="150">
        <f>G5301</f>
        <v>0</v>
      </c>
    </row>
    <row r="5335" spans="1:7" x14ac:dyDescent="0.25">
      <c r="A5335" s="148"/>
      <c r="C5335" s="153" t="s">
        <v>582</v>
      </c>
      <c r="D5335" s="152"/>
      <c r="E5335" s="151"/>
      <c r="F5335" s="150">
        <f>F5334+F5332</f>
        <v>0</v>
      </c>
      <c r="G5335" s="150">
        <f>G5334+G5332</f>
        <v>0</v>
      </c>
    </row>
    <row r="5336" spans="1:7" ht="15.75" thickBot="1" x14ac:dyDescent="0.3">
      <c r="A5336" s="148"/>
      <c r="C5336" s="145"/>
      <c r="D5336" s="149"/>
      <c r="E5336" s="145"/>
      <c r="F5336" s="144"/>
      <c r="G5336" s="144"/>
    </row>
    <row r="5337" spans="1:7" ht="15.75" thickBot="1" x14ac:dyDescent="0.3">
      <c r="A5337" s="148"/>
      <c r="C5337" s="147" t="s">
        <v>620</v>
      </c>
      <c r="D5337" s="146">
        <f>F5335-G5335</f>
        <v>0</v>
      </c>
      <c r="E5337" s="145"/>
      <c r="F5337" s="144"/>
      <c r="G5337" s="144"/>
    </row>
    <row r="5338" spans="1:7" ht="15.75" thickBot="1" x14ac:dyDescent="0.3"/>
    <row r="5339" spans="1:7" ht="30.75" thickBot="1" x14ac:dyDescent="0.3">
      <c r="A5339" s="196" t="s">
        <v>626</v>
      </c>
      <c r="B5339" s="195" t="s">
        <v>606</v>
      </c>
      <c r="C5339" s="194" t="s">
        <v>628</v>
      </c>
      <c r="D5339" s="193" t="s">
        <v>601</v>
      </c>
      <c r="E5339" s="192" t="s">
        <v>287</v>
      </c>
      <c r="F5339" s="191" t="s">
        <v>624</v>
      </c>
      <c r="G5339" s="191" t="s">
        <v>596</v>
      </c>
    </row>
    <row r="5340" spans="1:7" x14ac:dyDescent="0.25">
      <c r="A5340" s="175" t="str">
        <f>E5340&amp;COUNTIFS($E$2:E5340,E5340)</f>
        <v>0</v>
      </c>
      <c r="B5340" s="172"/>
      <c r="C5340" s="174"/>
      <c r="D5340" s="173"/>
      <c r="E5340" s="172"/>
      <c r="F5340" s="171"/>
      <c r="G5340" s="170"/>
    </row>
    <row r="5341" spans="1:7" x14ac:dyDescent="0.25">
      <c r="A5341" s="169" t="str">
        <f>E5341&amp;COUNTIFS($E$2:E5341,E5341)</f>
        <v>0</v>
      </c>
      <c r="B5341" s="166"/>
      <c r="C5341" s="168"/>
      <c r="D5341" s="167"/>
      <c r="E5341" s="166"/>
      <c r="F5341" s="165"/>
      <c r="G5341" s="164"/>
    </row>
    <row r="5342" spans="1:7" x14ac:dyDescent="0.25">
      <c r="A5342" s="169" t="str">
        <f>E5342&amp;COUNTIFS($E$2:E5342,E5342)</f>
        <v>0</v>
      </c>
      <c r="B5342" s="166"/>
      <c r="C5342" s="168"/>
      <c r="D5342" s="167"/>
      <c r="E5342" s="166"/>
      <c r="F5342" s="165"/>
      <c r="G5342" s="164"/>
    </row>
    <row r="5343" spans="1:7" x14ac:dyDescent="0.25">
      <c r="A5343" s="169" t="str">
        <f>E5343&amp;COUNTIFS($E$2:E5343,E5343)</f>
        <v>0</v>
      </c>
      <c r="B5343" s="166"/>
      <c r="C5343" s="168"/>
      <c r="D5343" s="167"/>
      <c r="E5343" s="166"/>
      <c r="F5343" s="165"/>
      <c r="G5343" s="164"/>
    </row>
    <row r="5344" spans="1:7" x14ac:dyDescent="0.25">
      <c r="A5344" s="169" t="str">
        <f>E5344&amp;COUNTIFS($E$2:E5344,E5344)</f>
        <v>0</v>
      </c>
      <c r="B5344" s="166"/>
      <c r="C5344" s="168"/>
      <c r="D5344" s="167"/>
      <c r="E5344" s="166"/>
      <c r="F5344" s="165"/>
      <c r="G5344" s="164"/>
    </row>
    <row r="5345" spans="1:7" x14ac:dyDescent="0.25">
      <c r="A5345" s="169" t="str">
        <f>E5345&amp;COUNTIFS($E$2:E5345,E5345)</f>
        <v>0</v>
      </c>
      <c r="B5345" s="166"/>
      <c r="C5345" s="168"/>
      <c r="D5345" s="167"/>
      <c r="E5345" s="166"/>
      <c r="F5345" s="165"/>
      <c r="G5345" s="164"/>
    </row>
    <row r="5346" spans="1:7" x14ac:dyDescent="0.25">
      <c r="A5346" s="169" t="str">
        <f>E5346&amp;COUNTIFS($E$2:E5346,E5346)</f>
        <v>0</v>
      </c>
      <c r="B5346" s="166"/>
      <c r="C5346" s="168"/>
      <c r="D5346" s="167"/>
      <c r="E5346" s="166"/>
      <c r="F5346" s="165"/>
      <c r="G5346" s="164"/>
    </row>
    <row r="5347" spans="1:7" x14ac:dyDescent="0.25">
      <c r="A5347" s="169" t="str">
        <f>E5347&amp;COUNTIFS($E$2:E5347,E5347)</f>
        <v>0</v>
      </c>
      <c r="B5347" s="166"/>
      <c r="C5347" s="168"/>
      <c r="D5347" s="167"/>
      <c r="E5347" s="166"/>
      <c r="F5347" s="165"/>
      <c r="G5347" s="164"/>
    </row>
    <row r="5348" spans="1:7" x14ac:dyDescent="0.25">
      <c r="A5348" s="169" t="str">
        <f>E5348&amp;COUNTIFS($E$2:E5348,E5348)</f>
        <v>0</v>
      </c>
      <c r="B5348" s="166"/>
      <c r="C5348" s="168"/>
      <c r="D5348" s="167"/>
      <c r="E5348" s="166"/>
      <c r="F5348" s="165"/>
      <c r="G5348" s="164"/>
    </row>
    <row r="5349" spans="1:7" x14ac:dyDescent="0.25">
      <c r="A5349" s="169" t="str">
        <f>E5349&amp;COUNTIFS($E$2:E5349,E5349)</f>
        <v>0</v>
      </c>
      <c r="B5349" s="166"/>
      <c r="C5349" s="168"/>
      <c r="D5349" s="167"/>
      <c r="E5349" s="166"/>
      <c r="F5349" s="165"/>
      <c r="G5349" s="164"/>
    </row>
    <row r="5350" spans="1:7" x14ac:dyDescent="0.25">
      <c r="A5350" s="169" t="str">
        <f>E5350&amp;COUNTIFS($E$2:E5350,E5350)</f>
        <v>0</v>
      </c>
      <c r="B5350" s="166"/>
      <c r="C5350" s="168"/>
      <c r="D5350" s="167"/>
      <c r="E5350" s="166"/>
      <c r="F5350" s="165"/>
      <c r="G5350" s="164"/>
    </row>
    <row r="5351" spans="1:7" x14ac:dyDescent="0.25">
      <c r="A5351" s="169" t="str">
        <f>E5351&amp;COUNTIFS($E$2:E5351,E5351)</f>
        <v>0</v>
      </c>
      <c r="B5351" s="166"/>
      <c r="C5351" s="168"/>
      <c r="D5351" s="167"/>
      <c r="E5351" s="166"/>
      <c r="F5351" s="165"/>
      <c r="G5351" s="164"/>
    </row>
    <row r="5352" spans="1:7" x14ac:dyDescent="0.25">
      <c r="A5352" s="169" t="str">
        <f>E5352&amp;COUNTIFS($E$2:E5352,E5352)</f>
        <v>0</v>
      </c>
      <c r="B5352" s="166"/>
      <c r="C5352" s="168"/>
      <c r="D5352" s="167"/>
      <c r="E5352" s="166"/>
      <c r="F5352" s="165"/>
      <c r="G5352" s="164"/>
    </row>
    <row r="5353" spans="1:7" x14ac:dyDescent="0.25">
      <c r="A5353" s="169" t="str">
        <f>E5353&amp;COUNTIFS($E$2:E5353,E5353)</f>
        <v>0</v>
      </c>
      <c r="B5353" s="166"/>
      <c r="C5353" s="168"/>
      <c r="D5353" s="167"/>
      <c r="E5353" s="166"/>
      <c r="F5353" s="165"/>
      <c r="G5353" s="164"/>
    </row>
    <row r="5354" spans="1:7" x14ac:dyDescent="0.25">
      <c r="A5354" s="169" t="str">
        <f>E5354&amp;COUNTIFS($E$2:E5354,E5354)</f>
        <v>0</v>
      </c>
      <c r="B5354" s="166"/>
      <c r="C5354" s="168"/>
      <c r="D5354" s="167"/>
      <c r="E5354" s="166"/>
      <c r="F5354" s="165"/>
      <c r="G5354" s="164"/>
    </row>
    <row r="5355" spans="1:7" x14ac:dyDescent="0.25">
      <c r="A5355" s="169" t="str">
        <f>E5355&amp;COUNTIFS($E$2:E5355,E5355)</f>
        <v>0</v>
      </c>
      <c r="B5355" s="166"/>
      <c r="C5355" s="168"/>
      <c r="D5355" s="167"/>
      <c r="E5355" s="166"/>
      <c r="F5355" s="165"/>
      <c r="G5355" s="164"/>
    </row>
    <row r="5356" spans="1:7" x14ac:dyDescent="0.25">
      <c r="A5356" s="169" t="str">
        <f>E5356&amp;COUNTIFS($E$2:E5356,E5356)</f>
        <v>0</v>
      </c>
      <c r="B5356" s="166"/>
      <c r="C5356" s="168"/>
      <c r="D5356" s="167"/>
      <c r="E5356" s="166"/>
      <c r="F5356" s="165"/>
      <c r="G5356" s="164"/>
    </row>
    <row r="5357" spans="1:7" x14ac:dyDescent="0.25">
      <c r="A5357" s="169" t="str">
        <f>E5357&amp;COUNTIFS($E$2:E5357,E5357)</f>
        <v>0</v>
      </c>
      <c r="B5357" s="166"/>
      <c r="C5357" s="168"/>
      <c r="D5357" s="167"/>
      <c r="E5357" s="166"/>
      <c r="F5357" s="165"/>
      <c r="G5357" s="164"/>
    </row>
    <row r="5358" spans="1:7" x14ac:dyDescent="0.25">
      <c r="A5358" s="169" t="str">
        <f>E5358&amp;COUNTIFS($E$2:E5358,E5358)</f>
        <v>0</v>
      </c>
      <c r="B5358" s="166"/>
      <c r="C5358" s="168"/>
      <c r="D5358" s="167"/>
      <c r="E5358" s="166"/>
      <c r="F5358" s="165"/>
      <c r="G5358" s="164"/>
    </row>
    <row r="5359" spans="1:7" x14ac:dyDescent="0.25">
      <c r="A5359" s="169" t="str">
        <f>E5359&amp;COUNTIFS($E$2:E5359,E5359)</f>
        <v>0</v>
      </c>
      <c r="B5359" s="166"/>
      <c r="C5359" s="168"/>
      <c r="D5359" s="167"/>
      <c r="E5359" s="166"/>
      <c r="F5359" s="165"/>
      <c r="G5359" s="164"/>
    </row>
    <row r="5360" spans="1:7" x14ac:dyDescent="0.25">
      <c r="A5360" s="169" t="str">
        <f>E5360&amp;COUNTIFS($E$2:E5360,E5360)</f>
        <v>0</v>
      </c>
      <c r="B5360" s="166"/>
      <c r="C5360" s="168"/>
      <c r="D5360" s="167"/>
      <c r="E5360" s="166"/>
      <c r="F5360" s="165"/>
      <c r="G5360" s="164"/>
    </row>
    <row r="5361" spans="1:7" x14ac:dyDescent="0.25">
      <c r="A5361" s="169" t="str">
        <f>E5361&amp;COUNTIFS($E$2:E5361,E5361)</f>
        <v>0</v>
      </c>
      <c r="B5361" s="166"/>
      <c r="C5361" s="168"/>
      <c r="D5361" s="167"/>
      <c r="E5361" s="166"/>
      <c r="F5361" s="165"/>
      <c r="G5361" s="164"/>
    </row>
    <row r="5362" spans="1:7" x14ac:dyDescent="0.25">
      <c r="A5362" s="169" t="str">
        <f>E5362&amp;COUNTIFS($E$2:E5362,E5362)</f>
        <v>0</v>
      </c>
      <c r="B5362" s="166"/>
      <c r="C5362" s="168"/>
      <c r="D5362" s="167"/>
      <c r="E5362" s="166"/>
      <c r="F5362" s="165"/>
      <c r="G5362" s="164"/>
    </row>
    <row r="5363" spans="1:7" x14ac:dyDescent="0.25">
      <c r="A5363" s="169" t="str">
        <f>E5363&amp;COUNTIFS($E$2:E5363,E5363)</f>
        <v>0</v>
      </c>
      <c r="B5363" s="166"/>
      <c r="C5363" s="168"/>
      <c r="D5363" s="167"/>
      <c r="E5363" s="166"/>
      <c r="F5363" s="165"/>
      <c r="G5363" s="164"/>
    </row>
    <row r="5364" spans="1:7" ht="15.75" thickBot="1" x14ac:dyDescent="0.3">
      <c r="A5364" s="163" t="str">
        <f>E5364&amp;COUNTIFS($E$2:E5364,E5364)</f>
        <v>0</v>
      </c>
      <c r="B5364" s="160"/>
      <c r="C5364" s="162"/>
      <c r="D5364" s="161"/>
      <c r="E5364" s="160"/>
      <c r="F5364" s="159"/>
      <c r="G5364" s="158"/>
    </row>
    <row r="5365" spans="1:7" x14ac:dyDescent="0.25">
      <c r="A5365" s="148"/>
      <c r="C5365" s="143"/>
      <c r="D5365" s="157"/>
      <c r="E5365" s="143"/>
      <c r="F5365" s="156"/>
      <c r="G5365" s="156"/>
    </row>
    <row r="5366" spans="1:7" x14ac:dyDescent="0.25">
      <c r="A5366" s="148"/>
      <c r="C5366" s="153" t="s">
        <v>623</v>
      </c>
      <c r="D5366" s="152"/>
      <c r="E5366" s="151"/>
      <c r="F5366" s="150">
        <f>SUM(F5340:F5364)</f>
        <v>0</v>
      </c>
      <c r="G5366" s="155">
        <f>SUM(G5340:G5364)</f>
        <v>0</v>
      </c>
    </row>
    <row r="5367" spans="1:7" x14ac:dyDescent="0.25">
      <c r="A5367" s="148"/>
      <c r="C5367" s="145" t="s">
        <v>622</v>
      </c>
      <c r="D5367" s="154"/>
      <c r="E5367" s="145"/>
      <c r="F5367" s="144"/>
      <c r="G5367" s="144"/>
    </row>
    <row r="5368" spans="1:7" x14ac:dyDescent="0.25">
      <c r="A5368" s="148"/>
      <c r="C5368" s="153" t="s">
        <v>621</v>
      </c>
      <c r="D5368" s="152"/>
      <c r="E5368" s="151"/>
      <c r="F5368" s="150">
        <f>F5335</f>
        <v>0</v>
      </c>
      <c r="G5368" s="150">
        <f>G5335</f>
        <v>0</v>
      </c>
    </row>
    <row r="5369" spans="1:7" x14ac:dyDescent="0.25">
      <c r="A5369" s="148"/>
      <c r="C5369" s="153" t="s">
        <v>582</v>
      </c>
      <c r="D5369" s="152"/>
      <c r="E5369" s="151"/>
      <c r="F5369" s="150">
        <f>F5368+F5366</f>
        <v>0</v>
      </c>
      <c r="G5369" s="150">
        <f>G5368+G5366</f>
        <v>0</v>
      </c>
    </row>
    <row r="5370" spans="1:7" ht="15.75" thickBot="1" x14ac:dyDescent="0.3">
      <c r="A5370" s="148"/>
      <c r="C5370" s="145"/>
      <c r="D5370" s="149"/>
      <c r="E5370" s="145"/>
      <c r="F5370" s="144"/>
      <c r="G5370" s="144"/>
    </row>
    <row r="5371" spans="1:7" ht="15.75" thickBot="1" x14ac:dyDescent="0.3">
      <c r="A5371" s="148"/>
      <c r="C5371" s="147" t="s">
        <v>620</v>
      </c>
      <c r="D5371" s="146">
        <f>F5369-G5369</f>
        <v>0</v>
      </c>
      <c r="E5371" s="145"/>
      <c r="F5371" s="144"/>
      <c r="G5371" s="144"/>
    </row>
    <row r="5372" spans="1:7" ht="15.75" thickBot="1" x14ac:dyDescent="0.3"/>
    <row r="5373" spans="1:7" ht="30.75" thickBot="1" x14ac:dyDescent="0.3">
      <c r="A5373" s="196" t="s">
        <v>626</v>
      </c>
      <c r="B5373" s="195" t="s">
        <v>606</v>
      </c>
      <c r="C5373" s="194" t="s">
        <v>628</v>
      </c>
      <c r="D5373" s="193" t="s">
        <v>601</v>
      </c>
      <c r="E5373" s="192" t="s">
        <v>287</v>
      </c>
      <c r="F5373" s="191" t="s">
        <v>624</v>
      </c>
      <c r="G5373" s="191" t="s">
        <v>596</v>
      </c>
    </row>
    <row r="5374" spans="1:7" x14ac:dyDescent="0.25">
      <c r="A5374" s="175" t="str">
        <f>E5374&amp;COUNTIFS($E$2:E5374,E5374)</f>
        <v>0</v>
      </c>
      <c r="B5374" s="172"/>
      <c r="C5374" s="174"/>
      <c r="D5374" s="173"/>
      <c r="E5374" s="172"/>
      <c r="F5374" s="171"/>
      <c r="G5374" s="170"/>
    </row>
    <row r="5375" spans="1:7" x14ac:dyDescent="0.25">
      <c r="A5375" s="169" t="str">
        <f>E5375&amp;COUNTIFS($E$2:E5375,E5375)</f>
        <v>0</v>
      </c>
      <c r="B5375" s="166"/>
      <c r="C5375" s="168"/>
      <c r="D5375" s="167"/>
      <c r="E5375" s="166"/>
      <c r="F5375" s="165"/>
      <c r="G5375" s="164"/>
    </row>
    <row r="5376" spans="1:7" x14ac:dyDescent="0.25">
      <c r="A5376" s="169" t="str">
        <f>E5376&amp;COUNTIFS($E$2:E5376,E5376)</f>
        <v>0</v>
      </c>
      <c r="B5376" s="166"/>
      <c r="C5376" s="168"/>
      <c r="D5376" s="167"/>
      <c r="E5376" s="166"/>
      <c r="F5376" s="165"/>
      <c r="G5376" s="164"/>
    </row>
    <row r="5377" spans="1:7" x14ac:dyDescent="0.25">
      <c r="A5377" s="169" t="str">
        <f>E5377&amp;COUNTIFS($E$2:E5377,E5377)</f>
        <v>0</v>
      </c>
      <c r="B5377" s="166"/>
      <c r="C5377" s="168"/>
      <c r="D5377" s="167"/>
      <c r="E5377" s="166"/>
      <c r="F5377" s="165"/>
      <c r="G5377" s="164"/>
    </row>
    <row r="5378" spans="1:7" x14ac:dyDescent="0.25">
      <c r="A5378" s="169" t="str">
        <f>E5378&amp;COUNTIFS($E$2:E5378,E5378)</f>
        <v>0</v>
      </c>
      <c r="B5378" s="166"/>
      <c r="C5378" s="168"/>
      <c r="D5378" s="167"/>
      <c r="E5378" s="166"/>
      <c r="F5378" s="165"/>
      <c r="G5378" s="164"/>
    </row>
    <row r="5379" spans="1:7" x14ac:dyDescent="0.25">
      <c r="A5379" s="169" t="str">
        <f>E5379&amp;COUNTIFS($E$2:E5379,E5379)</f>
        <v>0</v>
      </c>
      <c r="B5379" s="166"/>
      <c r="C5379" s="168"/>
      <c r="D5379" s="167"/>
      <c r="E5379" s="166"/>
      <c r="F5379" s="165"/>
      <c r="G5379" s="164"/>
    </row>
    <row r="5380" spans="1:7" x14ac:dyDescent="0.25">
      <c r="A5380" s="169" t="str">
        <f>E5380&amp;COUNTIFS($E$2:E5380,E5380)</f>
        <v>0</v>
      </c>
      <c r="B5380" s="166"/>
      <c r="C5380" s="168"/>
      <c r="D5380" s="167"/>
      <c r="E5380" s="166"/>
      <c r="F5380" s="165"/>
      <c r="G5380" s="164"/>
    </row>
    <row r="5381" spans="1:7" x14ac:dyDescent="0.25">
      <c r="A5381" s="169" t="str">
        <f>E5381&amp;COUNTIFS($E$2:E5381,E5381)</f>
        <v>0</v>
      </c>
      <c r="B5381" s="166"/>
      <c r="C5381" s="168"/>
      <c r="D5381" s="167"/>
      <c r="E5381" s="166"/>
      <c r="F5381" s="165"/>
      <c r="G5381" s="164"/>
    </row>
    <row r="5382" spans="1:7" x14ac:dyDescent="0.25">
      <c r="A5382" s="169" t="str">
        <f>E5382&amp;COUNTIFS($E$2:E5382,E5382)</f>
        <v>0</v>
      </c>
      <c r="B5382" s="166"/>
      <c r="C5382" s="168"/>
      <c r="D5382" s="167"/>
      <c r="E5382" s="166"/>
      <c r="F5382" s="165"/>
      <c r="G5382" s="164"/>
    </row>
    <row r="5383" spans="1:7" x14ac:dyDescent="0.25">
      <c r="A5383" s="169" t="str">
        <f>E5383&amp;COUNTIFS($E$2:E5383,E5383)</f>
        <v>0</v>
      </c>
      <c r="B5383" s="166"/>
      <c r="C5383" s="168"/>
      <c r="D5383" s="167"/>
      <c r="E5383" s="166"/>
      <c r="F5383" s="165"/>
      <c r="G5383" s="164"/>
    </row>
    <row r="5384" spans="1:7" x14ac:dyDescent="0.25">
      <c r="A5384" s="169" t="str">
        <f>E5384&amp;COUNTIFS($E$2:E5384,E5384)</f>
        <v>0</v>
      </c>
      <c r="B5384" s="166"/>
      <c r="C5384" s="168"/>
      <c r="D5384" s="167"/>
      <c r="E5384" s="166"/>
      <c r="F5384" s="165"/>
      <c r="G5384" s="164"/>
    </row>
    <row r="5385" spans="1:7" x14ac:dyDescent="0.25">
      <c r="A5385" s="169" t="str">
        <f>E5385&amp;COUNTIFS($E$2:E5385,E5385)</f>
        <v>0</v>
      </c>
      <c r="B5385" s="166"/>
      <c r="C5385" s="168"/>
      <c r="D5385" s="167"/>
      <c r="E5385" s="166"/>
      <c r="F5385" s="165"/>
      <c r="G5385" s="164"/>
    </row>
    <row r="5386" spans="1:7" x14ac:dyDescent="0.25">
      <c r="A5386" s="169" t="str">
        <f>E5386&amp;COUNTIFS($E$2:E5386,E5386)</f>
        <v>0</v>
      </c>
      <c r="B5386" s="166"/>
      <c r="C5386" s="168"/>
      <c r="D5386" s="167"/>
      <c r="E5386" s="166"/>
      <c r="F5386" s="165"/>
      <c r="G5386" s="164"/>
    </row>
    <row r="5387" spans="1:7" x14ac:dyDescent="0.25">
      <c r="A5387" s="169" t="str">
        <f>E5387&amp;COUNTIFS($E$2:E5387,E5387)</f>
        <v>0</v>
      </c>
      <c r="B5387" s="166"/>
      <c r="C5387" s="168"/>
      <c r="D5387" s="167"/>
      <c r="E5387" s="166"/>
      <c r="F5387" s="165"/>
      <c r="G5387" s="164"/>
    </row>
    <row r="5388" spans="1:7" x14ac:dyDescent="0.25">
      <c r="A5388" s="169" t="str">
        <f>E5388&amp;COUNTIFS($E$2:E5388,E5388)</f>
        <v>0</v>
      </c>
      <c r="B5388" s="166"/>
      <c r="C5388" s="168"/>
      <c r="D5388" s="167"/>
      <c r="E5388" s="166"/>
      <c r="F5388" s="165"/>
      <c r="G5388" s="164"/>
    </row>
    <row r="5389" spans="1:7" x14ac:dyDescent="0.25">
      <c r="A5389" s="169" t="str">
        <f>E5389&amp;COUNTIFS($E$2:E5389,E5389)</f>
        <v>0</v>
      </c>
      <c r="B5389" s="166"/>
      <c r="C5389" s="168"/>
      <c r="D5389" s="167"/>
      <c r="E5389" s="166"/>
      <c r="F5389" s="165"/>
      <c r="G5389" s="164"/>
    </row>
    <row r="5390" spans="1:7" x14ac:dyDescent="0.25">
      <c r="A5390" s="169" t="str">
        <f>E5390&amp;COUNTIFS($E$2:E5390,E5390)</f>
        <v>0</v>
      </c>
      <c r="B5390" s="166"/>
      <c r="C5390" s="168"/>
      <c r="D5390" s="167"/>
      <c r="E5390" s="166"/>
      <c r="F5390" s="165"/>
      <c r="G5390" s="164"/>
    </row>
    <row r="5391" spans="1:7" x14ac:dyDescent="0.25">
      <c r="A5391" s="169" t="str">
        <f>E5391&amp;COUNTIFS($E$2:E5391,E5391)</f>
        <v>0</v>
      </c>
      <c r="B5391" s="166"/>
      <c r="C5391" s="168"/>
      <c r="D5391" s="167"/>
      <c r="E5391" s="166"/>
      <c r="F5391" s="165"/>
      <c r="G5391" s="164"/>
    </row>
    <row r="5392" spans="1:7" x14ac:dyDescent="0.25">
      <c r="A5392" s="169" t="str">
        <f>E5392&amp;COUNTIFS($E$2:E5392,E5392)</f>
        <v>0</v>
      </c>
      <c r="B5392" s="166"/>
      <c r="C5392" s="168"/>
      <c r="D5392" s="167"/>
      <c r="E5392" s="166"/>
      <c r="F5392" s="165"/>
      <c r="G5392" s="164"/>
    </row>
    <row r="5393" spans="1:7" x14ac:dyDescent="0.25">
      <c r="A5393" s="169" t="str">
        <f>E5393&amp;COUNTIFS($E$2:E5393,E5393)</f>
        <v>0</v>
      </c>
      <c r="B5393" s="166"/>
      <c r="C5393" s="168"/>
      <c r="D5393" s="167"/>
      <c r="E5393" s="166"/>
      <c r="F5393" s="165"/>
      <c r="G5393" s="164"/>
    </row>
    <row r="5394" spans="1:7" x14ac:dyDescent="0.25">
      <c r="A5394" s="169" t="str">
        <f>E5394&amp;COUNTIFS($E$2:E5394,E5394)</f>
        <v>0</v>
      </c>
      <c r="B5394" s="166"/>
      <c r="C5394" s="168"/>
      <c r="D5394" s="167"/>
      <c r="E5394" s="166"/>
      <c r="F5394" s="165"/>
      <c r="G5394" s="164"/>
    </row>
    <row r="5395" spans="1:7" x14ac:dyDescent="0.25">
      <c r="A5395" s="169" t="str">
        <f>E5395&amp;COUNTIFS($E$2:E5395,E5395)</f>
        <v>0</v>
      </c>
      <c r="B5395" s="166"/>
      <c r="C5395" s="168"/>
      <c r="D5395" s="167"/>
      <c r="E5395" s="166"/>
      <c r="F5395" s="165"/>
      <c r="G5395" s="164"/>
    </row>
    <row r="5396" spans="1:7" x14ac:dyDescent="0.25">
      <c r="A5396" s="169" t="str">
        <f>E5396&amp;COUNTIFS($E$2:E5396,E5396)</f>
        <v>0</v>
      </c>
      <c r="B5396" s="166"/>
      <c r="C5396" s="168"/>
      <c r="D5396" s="167"/>
      <c r="E5396" s="166"/>
      <c r="F5396" s="165"/>
      <c r="G5396" s="164"/>
    </row>
    <row r="5397" spans="1:7" x14ac:dyDescent="0.25">
      <c r="A5397" s="169" t="str">
        <f>E5397&amp;COUNTIFS($E$2:E5397,E5397)</f>
        <v>0</v>
      </c>
      <c r="B5397" s="166"/>
      <c r="C5397" s="168"/>
      <c r="D5397" s="167"/>
      <c r="E5397" s="166"/>
      <c r="F5397" s="165"/>
      <c r="G5397" s="164"/>
    </row>
    <row r="5398" spans="1:7" ht="15.75" thickBot="1" x14ac:dyDescent="0.3">
      <c r="A5398" s="163" t="str">
        <f>E5398&amp;COUNTIFS($E$2:E5398,E5398)</f>
        <v>0</v>
      </c>
      <c r="B5398" s="160"/>
      <c r="C5398" s="162"/>
      <c r="D5398" s="161"/>
      <c r="E5398" s="160"/>
      <c r="F5398" s="159"/>
      <c r="G5398" s="158"/>
    </row>
    <row r="5399" spans="1:7" x14ac:dyDescent="0.25">
      <c r="A5399" s="148"/>
      <c r="C5399" s="143"/>
      <c r="D5399" s="157"/>
      <c r="E5399" s="143"/>
      <c r="F5399" s="156"/>
      <c r="G5399" s="156"/>
    </row>
    <row r="5400" spans="1:7" x14ac:dyDescent="0.25">
      <c r="A5400" s="148"/>
      <c r="C5400" s="153" t="s">
        <v>623</v>
      </c>
      <c r="D5400" s="152"/>
      <c r="E5400" s="151"/>
      <c r="F5400" s="150">
        <f>SUM(F5374:F5398)</f>
        <v>0</v>
      </c>
      <c r="G5400" s="155">
        <f>SUM(G5374:G5398)</f>
        <v>0</v>
      </c>
    </row>
    <row r="5401" spans="1:7" x14ac:dyDescent="0.25">
      <c r="A5401" s="148"/>
      <c r="C5401" s="145" t="s">
        <v>622</v>
      </c>
      <c r="D5401" s="154"/>
      <c r="E5401" s="145"/>
      <c r="F5401" s="144"/>
      <c r="G5401" s="144"/>
    </row>
    <row r="5402" spans="1:7" x14ac:dyDescent="0.25">
      <c r="A5402" s="148"/>
      <c r="C5402" s="153" t="s">
        <v>621</v>
      </c>
      <c r="D5402" s="152"/>
      <c r="E5402" s="151"/>
      <c r="F5402" s="150">
        <f>F5369</f>
        <v>0</v>
      </c>
      <c r="G5402" s="150">
        <f>G5369</f>
        <v>0</v>
      </c>
    </row>
    <row r="5403" spans="1:7" x14ac:dyDescent="0.25">
      <c r="A5403" s="148"/>
      <c r="C5403" s="153" t="s">
        <v>582</v>
      </c>
      <c r="D5403" s="152"/>
      <c r="E5403" s="151"/>
      <c r="F5403" s="150">
        <f>F5402+F5400</f>
        <v>0</v>
      </c>
      <c r="G5403" s="150">
        <f>G5402+G5400</f>
        <v>0</v>
      </c>
    </row>
    <row r="5404" spans="1:7" ht="15.75" thickBot="1" x14ac:dyDescent="0.3">
      <c r="A5404" s="148"/>
      <c r="C5404" s="145"/>
      <c r="D5404" s="149"/>
      <c r="E5404" s="145"/>
      <c r="F5404" s="144"/>
      <c r="G5404" s="144"/>
    </row>
    <row r="5405" spans="1:7" ht="15.75" thickBot="1" x14ac:dyDescent="0.3">
      <c r="A5405" s="148"/>
      <c r="C5405" s="147" t="s">
        <v>620</v>
      </c>
      <c r="D5405" s="146">
        <f>F5403-G5403</f>
        <v>0</v>
      </c>
      <c r="E5405" s="145"/>
      <c r="F5405" s="144"/>
      <c r="G5405" s="144"/>
    </row>
    <row r="5406" spans="1:7" ht="15.75" thickBot="1" x14ac:dyDescent="0.3"/>
    <row r="5407" spans="1:7" ht="30.75" thickBot="1" x14ac:dyDescent="0.3">
      <c r="A5407" s="196" t="s">
        <v>626</v>
      </c>
      <c r="B5407" s="195" t="s">
        <v>606</v>
      </c>
      <c r="C5407" s="194" t="s">
        <v>628</v>
      </c>
      <c r="D5407" s="193" t="s">
        <v>601</v>
      </c>
      <c r="E5407" s="192" t="s">
        <v>287</v>
      </c>
      <c r="F5407" s="191" t="s">
        <v>624</v>
      </c>
      <c r="G5407" s="191" t="s">
        <v>596</v>
      </c>
    </row>
    <row r="5408" spans="1:7" x14ac:dyDescent="0.25">
      <c r="A5408" s="175" t="str">
        <f>E5408&amp;COUNTIFS($E$2:E5408,E5408)</f>
        <v>0</v>
      </c>
      <c r="B5408" s="172"/>
      <c r="C5408" s="174"/>
      <c r="D5408" s="173"/>
      <c r="E5408" s="172"/>
      <c r="F5408" s="171"/>
      <c r="G5408" s="170"/>
    </row>
    <row r="5409" spans="1:7" x14ac:dyDescent="0.25">
      <c r="A5409" s="169" t="str">
        <f>E5409&amp;COUNTIFS($E$2:E5409,E5409)</f>
        <v>0</v>
      </c>
      <c r="B5409" s="166"/>
      <c r="C5409" s="168"/>
      <c r="D5409" s="167"/>
      <c r="E5409" s="166"/>
      <c r="F5409" s="165"/>
      <c r="G5409" s="164"/>
    </row>
    <row r="5410" spans="1:7" x14ac:dyDescent="0.25">
      <c r="A5410" s="169" t="str">
        <f>E5410&amp;COUNTIFS($E$2:E5410,E5410)</f>
        <v>0</v>
      </c>
      <c r="B5410" s="166"/>
      <c r="C5410" s="168"/>
      <c r="D5410" s="167"/>
      <c r="E5410" s="166"/>
      <c r="F5410" s="165"/>
      <c r="G5410" s="164"/>
    </row>
    <row r="5411" spans="1:7" x14ac:dyDescent="0.25">
      <c r="A5411" s="169" t="str">
        <f>E5411&amp;COUNTIFS($E$2:E5411,E5411)</f>
        <v>0</v>
      </c>
      <c r="B5411" s="166"/>
      <c r="C5411" s="168"/>
      <c r="D5411" s="167"/>
      <c r="E5411" s="166"/>
      <c r="F5411" s="165"/>
      <c r="G5411" s="164"/>
    </row>
    <row r="5412" spans="1:7" x14ac:dyDescent="0.25">
      <c r="A5412" s="169" t="str">
        <f>E5412&amp;COUNTIFS($E$2:E5412,E5412)</f>
        <v>0</v>
      </c>
      <c r="B5412" s="166"/>
      <c r="C5412" s="168"/>
      <c r="D5412" s="167"/>
      <c r="E5412" s="166"/>
      <c r="F5412" s="165"/>
      <c r="G5412" s="164"/>
    </row>
    <row r="5413" spans="1:7" x14ac:dyDescent="0.25">
      <c r="A5413" s="169" t="str">
        <f>E5413&amp;COUNTIFS($E$2:E5413,E5413)</f>
        <v>0</v>
      </c>
      <c r="B5413" s="166"/>
      <c r="C5413" s="168"/>
      <c r="D5413" s="167"/>
      <c r="E5413" s="166"/>
      <c r="F5413" s="165"/>
      <c r="G5413" s="164"/>
    </row>
    <row r="5414" spans="1:7" x14ac:dyDescent="0.25">
      <c r="A5414" s="169" t="str">
        <f>E5414&amp;COUNTIFS($E$2:E5414,E5414)</f>
        <v>0</v>
      </c>
      <c r="B5414" s="166"/>
      <c r="C5414" s="168"/>
      <c r="D5414" s="167"/>
      <c r="E5414" s="166"/>
      <c r="F5414" s="165"/>
      <c r="G5414" s="164"/>
    </row>
    <row r="5415" spans="1:7" x14ac:dyDescent="0.25">
      <c r="A5415" s="169" t="str">
        <f>E5415&amp;COUNTIFS($E$2:E5415,E5415)</f>
        <v>0</v>
      </c>
      <c r="B5415" s="166"/>
      <c r="C5415" s="168"/>
      <c r="D5415" s="167"/>
      <c r="E5415" s="166"/>
      <c r="F5415" s="165"/>
      <c r="G5415" s="164"/>
    </row>
    <row r="5416" spans="1:7" x14ac:dyDescent="0.25">
      <c r="A5416" s="169" t="str">
        <f>E5416&amp;COUNTIFS($E$2:E5416,E5416)</f>
        <v>0</v>
      </c>
      <c r="B5416" s="166"/>
      <c r="C5416" s="168"/>
      <c r="D5416" s="167"/>
      <c r="E5416" s="166"/>
      <c r="F5416" s="165"/>
      <c r="G5416" s="164"/>
    </row>
    <row r="5417" spans="1:7" x14ac:dyDescent="0.25">
      <c r="A5417" s="169" t="str">
        <f>E5417&amp;COUNTIFS($E$2:E5417,E5417)</f>
        <v>0</v>
      </c>
      <c r="B5417" s="166"/>
      <c r="C5417" s="168"/>
      <c r="D5417" s="167"/>
      <c r="E5417" s="166"/>
      <c r="F5417" s="165"/>
      <c r="G5417" s="164"/>
    </row>
    <row r="5418" spans="1:7" x14ac:dyDescent="0.25">
      <c r="A5418" s="169" t="str">
        <f>E5418&amp;COUNTIFS($E$2:E5418,E5418)</f>
        <v>0</v>
      </c>
      <c r="B5418" s="166"/>
      <c r="C5418" s="168"/>
      <c r="D5418" s="167"/>
      <c r="E5418" s="166"/>
      <c r="F5418" s="165"/>
      <c r="G5418" s="164"/>
    </row>
    <row r="5419" spans="1:7" x14ac:dyDescent="0.25">
      <c r="A5419" s="169" t="str">
        <f>E5419&amp;COUNTIFS($E$2:E5419,E5419)</f>
        <v>0</v>
      </c>
      <c r="B5419" s="166"/>
      <c r="C5419" s="168"/>
      <c r="D5419" s="167"/>
      <c r="E5419" s="166"/>
      <c r="F5419" s="165"/>
      <c r="G5419" s="164"/>
    </row>
    <row r="5420" spans="1:7" x14ac:dyDescent="0.25">
      <c r="A5420" s="169" t="str">
        <f>E5420&amp;COUNTIFS($E$2:E5420,E5420)</f>
        <v>0</v>
      </c>
      <c r="B5420" s="166"/>
      <c r="C5420" s="168"/>
      <c r="D5420" s="167"/>
      <c r="E5420" s="166"/>
      <c r="F5420" s="165"/>
      <c r="G5420" s="164"/>
    </row>
    <row r="5421" spans="1:7" x14ac:dyDescent="0.25">
      <c r="A5421" s="169" t="str">
        <f>E5421&amp;COUNTIFS($E$2:E5421,E5421)</f>
        <v>0</v>
      </c>
      <c r="B5421" s="166"/>
      <c r="C5421" s="168"/>
      <c r="D5421" s="167"/>
      <c r="E5421" s="166"/>
      <c r="F5421" s="165"/>
      <c r="G5421" s="164"/>
    </row>
    <row r="5422" spans="1:7" x14ac:dyDescent="0.25">
      <c r="A5422" s="169" t="str">
        <f>E5422&amp;COUNTIFS($E$2:E5422,E5422)</f>
        <v>0</v>
      </c>
      <c r="B5422" s="166"/>
      <c r="C5422" s="168"/>
      <c r="D5422" s="167"/>
      <c r="E5422" s="166"/>
      <c r="F5422" s="165"/>
      <c r="G5422" s="164"/>
    </row>
    <row r="5423" spans="1:7" x14ac:dyDescent="0.25">
      <c r="A5423" s="169" t="str">
        <f>E5423&amp;COUNTIFS($E$2:E5423,E5423)</f>
        <v>0</v>
      </c>
      <c r="B5423" s="166"/>
      <c r="C5423" s="168"/>
      <c r="D5423" s="167"/>
      <c r="E5423" s="166"/>
      <c r="F5423" s="165"/>
      <c r="G5423" s="164"/>
    </row>
    <row r="5424" spans="1:7" x14ac:dyDescent="0.25">
      <c r="A5424" s="169" t="str">
        <f>E5424&amp;COUNTIFS($E$2:E5424,E5424)</f>
        <v>0</v>
      </c>
      <c r="B5424" s="166"/>
      <c r="C5424" s="168"/>
      <c r="D5424" s="167"/>
      <c r="E5424" s="166"/>
      <c r="F5424" s="165"/>
      <c r="G5424" s="164"/>
    </row>
    <row r="5425" spans="1:7" x14ac:dyDescent="0.25">
      <c r="A5425" s="169" t="str">
        <f>E5425&amp;COUNTIFS($E$2:E5425,E5425)</f>
        <v>0</v>
      </c>
      <c r="B5425" s="166"/>
      <c r="C5425" s="168"/>
      <c r="D5425" s="167"/>
      <c r="E5425" s="166"/>
      <c r="F5425" s="165"/>
      <c r="G5425" s="164"/>
    </row>
    <row r="5426" spans="1:7" x14ac:dyDescent="0.25">
      <c r="A5426" s="169" t="str">
        <f>E5426&amp;COUNTIFS($E$2:E5426,E5426)</f>
        <v>0</v>
      </c>
      <c r="B5426" s="166"/>
      <c r="C5426" s="168"/>
      <c r="D5426" s="167"/>
      <c r="E5426" s="166"/>
      <c r="F5426" s="165"/>
      <c r="G5426" s="164"/>
    </row>
    <row r="5427" spans="1:7" x14ac:dyDescent="0.25">
      <c r="A5427" s="169" t="str">
        <f>E5427&amp;COUNTIFS($E$2:E5427,E5427)</f>
        <v>0</v>
      </c>
      <c r="B5427" s="166"/>
      <c r="C5427" s="168"/>
      <c r="D5427" s="167"/>
      <c r="E5427" s="166"/>
      <c r="F5427" s="165"/>
      <c r="G5427" s="164"/>
    </row>
    <row r="5428" spans="1:7" x14ac:dyDescent="0.25">
      <c r="A5428" s="169" t="str">
        <f>E5428&amp;COUNTIFS($E$2:E5428,E5428)</f>
        <v>0</v>
      </c>
      <c r="B5428" s="166"/>
      <c r="C5428" s="168"/>
      <c r="D5428" s="167"/>
      <c r="E5428" s="166"/>
      <c r="F5428" s="165"/>
      <c r="G5428" s="164"/>
    </row>
    <row r="5429" spans="1:7" x14ac:dyDescent="0.25">
      <c r="A5429" s="169" t="str">
        <f>E5429&amp;COUNTIFS($E$2:E5429,E5429)</f>
        <v>0</v>
      </c>
      <c r="B5429" s="166"/>
      <c r="C5429" s="168"/>
      <c r="D5429" s="167"/>
      <c r="E5429" s="166"/>
      <c r="F5429" s="165"/>
      <c r="G5429" s="164"/>
    </row>
    <row r="5430" spans="1:7" x14ac:dyDescent="0.25">
      <c r="A5430" s="169" t="str">
        <f>E5430&amp;COUNTIFS($E$2:E5430,E5430)</f>
        <v>0</v>
      </c>
      <c r="B5430" s="166"/>
      <c r="C5430" s="168"/>
      <c r="D5430" s="167"/>
      <c r="E5430" s="166"/>
      <c r="F5430" s="165"/>
      <c r="G5430" s="164"/>
    </row>
    <row r="5431" spans="1:7" x14ac:dyDescent="0.25">
      <c r="A5431" s="169" t="str">
        <f>E5431&amp;COUNTIFS($E$2:E5431,E5431)</f>
        <v>0</v>
      </c>
      <c r="B5431" s="166"/>
      <c r="C5431" s="168"/>
      <c r="D5431" s="167"/>
      <c r="E5431" s="166"/>
      <c r="F5431" s="165"/>
      <c r="G5431" s="164"/>
    </row>
    <row r="5432" spans="1:7" ht="15.75" thickBot="1" x14ac:dyDescent="0.3">
      <c r="A5432" s="163" t="str">
        <f>E5432&amp;COUNTIFS($E$2:E5432,E5432)</f>
        <v>0</v>
      </c>
      <c r="B5432" s="160"/>
      <c r="C5432" s="162"/>
      <c r="D5432" s="161"/>
      <c r="E5432" s="160"/>
      <c r="F5432" s="159"/>
      <c r="G5432" s="158"/>
    </row>
    <row r="5433" spans="1:7" x14ac:dyDescent="0.25">
      <c r="A5433" s="148"/>
      <c r="C5433" s="143"/>
      <c r="D5433" s="157"/>
      <c r="E5433" s="143"/>
      <c r="F5433" s="156"/>
      <c r="G5433" s="156"/>
    </row>
    <row r="5434" spans="1:7" x14ac:dyDescent="0.25">
      <c r="A5434" s="148"/>
      <c r="C5434" s="153" t="s">
        <v>623</v>
      </c>
      <c r="D5434" s="152"/>
      <c r="E5434" s="151"/>
      <c r="F5434" s="150">
        <f>SUM(F5408:F5432)</f>
        <v>0</v>
      </c>
      <c r="G5434" s="155">
        <f>SUM(G5408:G5432)</f>
        <v>0</v>
      </c>
    </row>
    <row r="5435" spans="1:7" x14ac:dyDescent="0.25">
      <c r="A5435" s="148"/>
      <c r="C5435" s="145" t="s">
        <v>622</v>
      </c>
      <c r="D5435" s="154"/>
      <c r="E5435" s="145"/>
      <c r="F5435" s="144"/>
      <c r="G5435" s="144"/>
    </row>
    <row r="5436" spans="1:7" x14ac:dyDescent="0.25">
      <c r="A5436" s="148"/>
      <c r="C5436" s="153" t="s">
        <v>621</v>
      </c>
      <c r="D5436" s="152"/>
      <c r="E5436" s="151"/>
      <c r="F5436" s="150">
        <f>F5403</f>
        <v>0</v>
      </c>
      <c r="G5436" s="150">
        <f>G5403</f>
        <v>0</v>
      </c>
    </row>
    <row r="5437" spans="1:7" x14ac:dyDescent="0.25">
      <c r="A5437" s="148"/>
      <c r="C5437" s="153" t="s">
        <v>582</v>
      </c>
      <c r="D5437" s="152"/>
      <c r="E5437" s="151"/>
      <c r="F5437" s="150">
        <f>F5436+F5434</f>
        <v>0</v>
      </c>
      <c r="G5437" s="150">
        <f>G5436+G5434</f>
        <v>0</v>
      </c>
    </row>
    <row r="5438" spans="1:7" ht="15.75" thickBot="1" x14ac:dyDescent="0.3">
      <c r="A5438" s="148"/>
      <c r="C5438" s="145"/>
      <c r="D5438" s="149"/>
      <c r="E5438" s="145"/>
      <c r="F5438" s="144"/>
      <c r="G5438" s="144"/>
    </row>
    <row r="5439" spans="1:7" ht="15.75" thickBot="1" x14ac:dyDescent="0.3">
      <c r="A5439" s="148"/>
      <c r="C5439" s="147" t="s">
        <v>620</v>
      </c>
      <c r="D5439" s="146">
        <f>F5437-G5437</f>
        <v>0</v>
      </c>
      <c r="E5439" s="145"/>
      <c r="F5439" s="144"/>
      <c r="G5439" s="144"/>
    </row>
    <row r="5440" spans="1:7" ht="15.75" thickBot="1" x14ac:dyDescent="0.3"/>
    <row r="5441" spans="1:7" ht="30.75" thickBot="1" x14ac:dyDescent="0.3">
      <c r="A5441" s="196" t="s">
        <v>626</v>
      </c>
      <c r="B5441" s="195" t="s">
        <v>606</v>
      </c>
      <c r="C5441" s="200" t="s">
        <v>628</v>
      </c>
      <c r="D5441" s="199" t="s">
        <v>601</v>
      </c>
      <c r="E5441" s="198" t="s">
        <v>287</v>
      </c>
      <c r="F5441" s="191" t="s">
        <v>624</v>
      </c>
      <c r="G5441" s="191" t="s">
        <v>596</v>
      </c>
    </row>
    <row r="5442" spans="1:7" x14ac:dyDescent="0.25">
      <c r="A5442" s="175" t="str">
        <f>E5442&amp;COUNTIFS($E$2:E5442,E5442)</f>
        <v>0</v>
      </c>
      <c r="B5442" s="172"/>
      <c r="C5442" s="174"/>
      <c r="D5442" s="197"/>
      <c r="E5442" s="172"/>
      <c r="F5442" s="171"/>
      <c r="G5442" s="170"/>
    </row>
    <row r="5443" spans="1:7" x14ac:dyDescent="0.25">
      <c r="A5443" s="169" t="str">
        <f>E5443&amp;COUNTIFS($E$2:E5443,E5443)</f>
        <v>0</v>
      </c>
      <c r="B5443" s="166"/>
      <c r="C5443" s="168"/>
      <c r="D5443" s="167"/>
      <c r="E5443" s="166"/>
      <c r="F5443" s="165"/>
      <c r="G5443" s="164"/>
    </row>
    <row r="5444" spans="1:7" x14ac:dyDescent="0.25">
      <c r="A5444" s="169" t="str">
        <f>E5444&amp;COUNTIFS($E$2:E5444,E5444)</f>
        <v>0</v>
      </c>
      <c r="B5444" s="166"/>
      <c r="C5444" s="168"/>
      <c r="D5444" s="167"/>
      <c r="E5444" s="166"/>
      <c r="F5444" s="165"/>
      <c r="G5444" s="164"/>
    </row>
    <row r="5445" spans="1:7" x14ac:dyDescent="0.25">
      <c r="A5445" s="169" t="str">
        <f>E5445&amp;COUNTIFS($E$2:E5445,E5445)</f>
        <v>0</v>
      </c>
      <c r="B5445" s="166"/>
      <c r="C5445" s="168"/>
      <c r="D5445" s="167"/>
      <c r="E5445" s="166"/>
      <c r="F5445" s="165"/>
      <c r="G5445" s="164"/>
    </row>
    <row r="5446" spans="1:7" x14ac:dyDescent="0.25">
      <c r="A5446" s="169" t="str">
        <f>E5446&amp;COUNTIFS($E$2:E5446,E5446)</f>
        <v>0</v>
      </c>
      <c r="B5446" s="166"/>
      <c r="C5446" s="168"/>
      <c r="D5446" s="167"/>
      <c r="E5446" s="166"/>
      <c r="F5446" s="165"/>
      <c r="G5446" s="164"/>
    </row>
    <row r="5447" spans="1:7" x14ac:dyDescent="0.25">
      <c r="A5447" s="169" t="str">
        <f>E5447&amp;COUNTIFS($E$2:E5447,E5447)</f>
        <v>0</v>
      </c>
      <c r="B5447" s="166"/>
      <c r="C5447" s="168"/>
      <c r="D5447" s="167"/>
      <c r="E5447" s="166"/>
      <c r="F5447" s="165"/>
      <c r="G5447" s="164"/>
    </row>
    <row r="5448" spans="1:7" x14ac:dyDescent="0.25">
      <c r="A5448" s="169" t="str">
        <f>E5448&amp;COUNTIFS($E$2:E5448,E5448)</f>
        <v>0</v>
      </c>
      <c r="B5448" s="166"/>
      <c r="C5448" s="168"/>
      <c r="D5448" s="167"/>
      <c r="E5448" s="166"/>
      <c r="F5448" s="165"/>
      <c r="G5448" s="164"/>
    </row>
    <row r="5449" spans="1:7" x14ac:dyDescent="0.25">
      <c r="A5449" s="169" t="str">
        <f>E5449&amp;COUNTIFS($E$2:E5449,E5449)</f>
        <v>0</v>
      </c>
      <c r="B5449" s="166"/>
      <c r="C5449" s="168"/>
      <c r="D5449" s="167"/>
      <c r="E5449" s="166"/>
      <c r="F5449" s="165"/>
      <c r="G5449" s="164"/>
    </row>
    <row r="5450" spans="1:7" x14ac:dyDescent="0.25">
      <c r="A5450" s="169" t="str">
        <f>E5450&amp;COUNTIFS($E$2:E5450,E5450)</f>
        <v>0</v>
      </c>
      <c r="B5450" s="166"/>
      <c r="C5450" s="168"/>
      <c r="D5450" s="167"/>
      <c r="E5450" s="166"/>
      <c r="F5450" s="165"/>
      <c r="G5450" s="164"/>
    </row>
    <row r="5451" spans="1:7" x14ac:dyDescent="0.25">
      <c r="A5451" s="169" t="str">
        <f>E5451&amp;COUNTIFS($E$2:E5451,E5451)</f>
        <v>0</v>
      </c>
      <c r="B5451" s="166"/>
      <c r="C5451" s="168"/>
      <c r="D5451" s="167"/>
      <c r="E5451" s="166"/>
      <c r="F5451" s="165"/>
      <c r="G5451" s="164"/>
    </row>
    <row r="5452" spans="1:7" x14ac:dyDescent="0.25">
      <c r="A5452" s="169" t="str">
        <f>E5452&amp;COUNTIFS($E$2:E5452,E5452)</f>
        <v>0</v>
      </c>
      <c r="B5452" s="166"/>
      <c r="C5452" s="168"/>
      <c r="D5452" s="167"/>
      <c r="E5452" s="166"/>
      <c r="F5452" s="165"/>
      <c r="G5452" s="164"/>
    </row>
    <row r="5453" spans="1:7" x14ac:dyDescent="0.25">
      <c r="A5453" s="169" t="str">
        <f>E5453&amp;COUNTIFS($E$2:E5453,E5453)</f>
        <v>0</v>
      </c>
      <c r="B5453" s="166"/>
      <c r="C5453" s="168"/>
      <c r="D5453" s="167"/>
      <c r="E5453" s="166"/>
      <c r="F5453" s="165"/>
      <c r="G5453" s="164"/>
    </row>
    <row r="5454" spans="1:7" x14ac:dyDescent="0.25">
      <c r="A5454" s="169" t="str">
        <f>E5454&amp;COUNTIFS($E$2:E5454,E5454)</f>
        <v>0</v>
      </c>
      <c r="B5454" s="166"/>
      <c r="C5454" s="168"/>
      <c r="D5454" s="167"/>
      <c r="E5454" s="166"/>
      <c r="F5454" s="165"/>
      <c r="G5454" s="164"/>
    </row>
    <row r="5455" spans="1:7" x14ac:dyDescent="0.25">
      <c r="A5455" s="169" t="str">
        <f>E5455&amp;COUNTIFS($E$2:E5455,E5455)</f>
        <v>0</v>
      </c>
      <c r="B5455" s="166"/>
      <c r="C5455" s="168"/>
      <c r="D5455" s="167"/>
      <c r="E5455" s="166"/>
      <c r="F5455" s="165"/>
      <c r="G5455" s="164"/>
    </row>
    <row r="5456" spans="1:7" x14ac:dyDescent="0.25">
      <c r="A5456" s="169" t="str">
        <f>E5456&amp;COUNTIFS($E$2:E5456,E5456)</f>
        <v>0</v>
      </c>
      <c r="B5456" s="166"/>
      <c r="C5456" s="168"/>
      <c r="D5456" s="167"/>
      <c r="E5456" s="166"/>
      <c r="F5456" s="165"/>
      <c r="G5456" s="164"/>
    </row>
    <row r="5457" spans="1:7" x14ac:dyDescent="0.25">
      <c r="A5457" s="169" t="str">
        <f>E5457&amp;COUNTIFS($E$2:E5457,E5457)</f>
        <v>0</v>
      </c>
      <c r="B5457" s="166"/>
      <c r="C5457" s="168"/>
      <c r="D5457" s="167"/>
      <c r="E5457" s="166"/>
      <c r="F5457" s="165"/>
      <c r="G5457" s="164"/>
    </row>
    <row r="5458" spans="1:7" x14ac:dyDescent="0.25">
      <c r="A5458" s="169" t="str">
        <f>E5458&amp;COUNTIFS($E$2:E5458,E5458)</f>
        <v>0</v>
      </c>
      <c r="B5458" s="166"/>
      <c r="C5458" s="168"/>
      <c r="D5458" s="167"/>
      <c r="E5458" s="166"/>
      <c r="F5458" s="165"/>
      <c r="G5458" s="164"/>
    </row>
    <row r="5459" spans="1:7" x14ac:dyDescent="0.25">
      <c r="A5459" s="169" t="str">
        <f>E5459&amp;COUNTIFS($E$2:E5459,E5459)</f>
        <v>0</v>
      </c>
      <c r="B5459" s="166"/>
      <c r="C5459" s="168"/>
      <c r="D5459" s="167"/>
      <c r="E5459" s="166"/>
      <c r="F5459" s="165"/>
      <c r="G5459" s="164"/>
    </row>
    <row r="5460" spans="1:7" x14ac:dyDescent="0.25">
      <c r="A5460" s="169" t="str">
        <f>E5460&amp;COUNTIFS($E$2:E5460,E5460)</f>
        <v>0</v>
      </c>
      <c r="B5460" s="166"/>
      <c r="C5460" s="168"/>
      <c r="D5460" s="167"/>
      <c r="E5460" s="166"/>
      <c r="F5460" s="165"/>
      <c r="G5460" s="164"/>
    </row>
    <row r="5461" spans="1:7" x14ac:dyDescent="0.25">
      <c r="A5461" s="169" t="str">
        <f>E5461&amp;COUNTIFS($E$2:E5461,E5461)</f>
        <v>0</v>
      </c>
      <c r="B5461" s="166"/>
      <c r="C5461" s="168"/>
      <c r="D5461" s="167"/>
      <c r="E5461" s="166"/>
      <c r="F5461" s="165"/>
      <c r="G5461" s="164"/>
    </row>
    <row r="5462" spans="1:7" x14ac:dyDescent="0.25">
      <c r="A5462" s="169" t="str">
        <f>E5462&amp;COUNTIFS($E$2:E5462,E5462)</f>
        <v>0</v>
      </c>
      <c r="B5462" s="166"/>
      <c r="C5462" s="168"/>
      <c r="D5462" s="167"/>
      <c r="E5462" s="166"/>
      <c r="F5462" s="165"/>
      <c r="G5462" s="164"/>
    </row>
    <row r="5463" spans="1:7" x14ac:dyDescent="0.25">
      <c r="A5463" s="169" t="str">
        <f>E5463&amp;COUNTIFS($E$2:E5463,E5463)</f>
        <v>0</v>
      </c>
      <c r="B5463" s="166"/>
      <c r="C5463" s="168"/>
      <c r="D5463" s="167"/>
      <c r="E5463" s="166"/>
      <c r="F5463" s="165"/>
      <c r="G5463" s="164"/>
    </row>
    <row r="5464" spans="1:7" x14ac:dyDescent="0.25">
      <c r="A5464" s="169" t="str">
        <f>E5464&amp;COUNTIFS($E$2:E5464,E5464)</f>
        <v>0</v>
      </c>
      <c r="B5464" s="166"/>
      <c r="C5464" s="168"/>
      <c r="D5464" s="167"/>
      <c r="E5464" s="166"/>
      <c r="F5464" s="165"/>
      <c r="G5464" s="164"/>
    </row>
    <row r="5465" spans="1:7" x14ac:dyDescent="0.25">
      <c r="A5465" s="169" t="str">
        <f>E5465&amp;COUNTIFS($E$2:E5465,E5465)</f>
        <v>0</v>
      </c>
      <c r="B5465" s="166"/>
      <c r="C5465" s="168"/>
      <c r="D5465" s="167"/>
      <c r="E5465" s="166"/>
      <c r="F5465" s="165"/>
      <c r="G5465" s="164"/>
    </row>
    <row r="5466" spans="1:7" ht="15.75" thickBot="1" x14ac:dyDescent="0.3">
      <c r="A5466" s="163" t="str">
        <f>E5466&amp;COUNTIFS($E$2:E5466,E5466)</f>
        <v>0</v>
      </c>
      <c r="B5466" s="160"/>
      <c r="C5466" s="162"/>
      <c r="D5466" s="161"/>
      <c r="E5466" s="160"/>
      <c r="F5466" s="159"/>
      <c r="G5466" s="158"/>
    </row>
    <row r="5467" spans="1:7" x14ac:dyDescent="0.25">
      <c r="A5467" s="148"/>
      <c r="C5467" s="143"/>
      <c r="D5467" s="157"/>
      <c r="E5467" s="143"/>
      <c r="F5467" s="156"/>
      <c r="G5467" s="156"/>
    </row>
    <row r="5468" spans="1:7" x14ac:dyDescent="0.25">
      <c r="A5468" s="148"/>
      <c r="C5468" s="153" t="s">
        <v>623</v>
      </c>
      <c r="D5468" s="152"/>
      <c r="E5468" s="151"/>
      <c r="F5468" s="150">
        <f>SUM(F5442:F5466)</f>
        <v>0</v>
      </c>
      <c r="G5468" s="155">
        <f>SUM(G5442:G5466)</f>
        <v>0</v>
      </c>
    </row>
    <row r="5469" spans="1:7" x14ac:dyDescent="0.25">
      <c r="A5469" s="148"/>
      <c r="C5469" s="145" t="s">
        <v>622</v>
      </c>
      <c r="D5469" s="154"/>
      <c r="E5469" s="145"/>
      <c r="F5469" s="144"/>
      <c r="G5469" s="144"/>
    </row>
    <row r="5470" spans="1:7" x14ac:dyDescent="0.25">
      <c r="A5470" s="148"/>
      <c r="C5470" s="153" t="s">
        <v>621</v>
      </c>
      <c r="D5470" s="152"/>
      <c r="E5470" s="151"/>
      <c r="F5470" s="150">
        <f>F5437</f>
        <v>0</v>
      </c>
      <c r="G5470" s="150">
        <f>G5437</f>
        <v>0</v>
      </c>
    </row>
    <row r="5471" spans="1:7" x14ac:dyDescent="0.25">
      <c r="A5471" s="148"/>
      <c r="C5471" s="153" t="s">
        <v>582</v>
      </c>
      <c r="D5471" s="152"/>
      <c r="E5471" s="151"/>
      <c r="F5471" s="150">
        <f>F5470+F5468</f>
        <v>0</v>
      </c>
      <c r="G5471" s="150">
        <f>G5470+G5468</f>
        <v>0</v>
      </c>
    </row>
    <row r="5472" spans="1:7" ht="15.75" thickBot="1" x14ac:dyDescent="0.3">
      <c r="A5472" s="148"/>
      <c r="C5472" s="145"/>
      <c r="D5472" s="149"/>
      <c r="E5472" s="145"/>
      <c r="F5472" s="144"/>
      <c r="G5472" s="144"/>
    </row>
    <row r="5473" spans="1:7" ht="15.75" thickBot="1" x14ac:dyDescent="0.3">
      <c r="A5473" s="148"/>
      <c r="C5473" s="147" t="s">
        <v>620</v>
      </c>
      <c r="D5473" s="146">
        <f>F5471-G5471</f>
        <v>0</v>
      </c>
      <c r="E5473" s="145"/>
      <c r="F5473" s="144"/>
      <c r="G5473" s="144"/>
    </row>
    <row r="5474" spans="1:7" ht="15.75" thickBot="1" x14ac:dyDescent="0.3">
      <c r="A5474" s="148"/>
      <c r="C5474" s="145"/>
      <c r="D5474" s="144"/>
      <c r="E5474" s="145"/>
      <c r="F5474" s="144"/>
      <c r="G5474" s="144"/>
    </row>
    <row r="5475" spans="1:7" ht="30.75" thickBot="1" x14ac:dyDescent="0.3">
      <c r="A5475" s="196" t="s">
        <v>626</v>
      </c>
      <c r="B5475" s="195" t="s">
        <v>606</v>
      </c>
      <c r="C5475" s="194" t="s">
        <v>628</v>
      </c>
      <c r="D5475" s="193" t="s">
        <v>601</v>
      </c>
      <c r="E5475" s="192" t="s">
        <v>287</v>
      </c>
      <c r="F5475" s="191" t="s">
        <v>624</v>
      </c>
      <c r="G5475" s="191" t="s">
        <v>596</v>
      </c>
    </row>
    <row r="5476" spans="1:7" x14ac:dyDescent="0.25">
      <c r="A5476" s="175" t="str">
        <f>E5476&amp;COUNTIFS($E$2:E5476,E5476)</f>
        <v>0</v>
      </c>
      <c r="B5476" s="172"/>
      <c r="C5476" s="174"/>
      <c r="D5476" s="173"/>
      <c r="E5476" s="172"/>
      <c r="F5476" s="171"/>
      <c r="G5476" s="170"/>
    </row>
    <row r="5477" spans="1:7" x14ac:dyDescent="0.25">
      <c r="A5477" s="169" t="str">
        <f>E5477&amp;COUNTIFS($E$2:E5477,E5477)</f>
        <v>0</v>
      </c>
      <c r="B5477" s="166"/>
      <c r="C5477" s="168"/>
      <c r="D5477" s="167"/>
      <c r="E5477" s="166"/>
      <c r="F5477" s="165"/>
      <c r="G5477" s="164"/>
    </row>
    <row r="5478" spans="1:7" x14ac:dyDescent="0.25">
      <c r="A5478" s="169" t="str">
        <f>E5478&amp;COUNTIFS($E$2:E5478,E5478)</f>
        <v>0</v>
      </c>
      <c r="B5478" s="166"/>
      <c r="C5478" s="168"/>
      <c r="D5478" s="167"/>
      <c r="E5478" s="166"/>
      <c r="F5478" s="165"/>
      <c r="G5478" s="164"/>
    </row>
    <row r="5479" spans="1:7" x14ac:dyDescent="0.25">
      <c r="A5479" s="169" t="str">
        <f>E5479&amp;COUNTIFS($E$2:E5479,E5479)</f>
        <v>0</v>
      </c>
      <c r="B5479" s="166"/>
      <c r="C5479" s="168"/>
      <c r="D5479" s="167"/>
      <c r="E5479" s="166"/>
      <c r="F5479" s="165"/>
      <c r="G5479" s="164"/>
    </row>
    <row r="5480" spans="1:7" x14ac:dyDescent="0.25">
      <c r="A5480" s="169" t="str">
        <f>E5480&amp;COUNTIFS($E$2:E5480,E5480)</f>
        <v>0</v>
      </c>
      <c r="B5480" s="166"/>
      <c r="C5480" s="168"/>
      <c r="D5480" s="167"/>
      <c r="E5480" s="166"/>
      <c r="F5480" s="165"/>
      <c r="G5480" s="164"/>
    </row>
    <row r="5481" spans="1:7" x14ac:dyDescent="0.25">
      <c r="A5481" s="169" t="str">
        <f>E5481&amp;COUNTIFS($E$2:E5481,E5481)</f>
        <v>0</v>
      </c>
      <c r="B5481" s="166"/>
      <c r="C5481" s="168"/>
      <c r="D5481" s="167"/>
      <c r="E5481" s="166"/>
      <c r="F5481" s="165"/>
      <c r="G5481" s="164"/>
    </row>
    <row r="5482" spans="1:7" x14ac:dyDescent="0.25">
      <c r="A5482" s="169" t="str">
        <f>E5482&amp;COUNTIFS($E$2:E5482,E5482)</f>
        <v>0</v>
      </c>
      <c r="B5482" s="166"/>
      <c r="C5482" s="168"/>
      <c r="D5482" s="167"/>
      <c r="E5482" s="166"/>
      <c r="F5482" s="165"/>
      <c r="G5482" s="164"/>
    </row>
    <row r="5483" spans="1:7" x14ac:dyDescent="0.25">
      <c r="A5483" s="169" t="str">
        <f>E5483&amp;COUNTIFS($E$2:E5483,E5483)</f>
        <v>0</v>
      </c>
      <c r="B5483" s="166"/>
      <c r="C5483" s="168"/>
      <c r="D5483" s="167"/>
      <c r="E5483" s="166"/>
      <c r="F5483" s="165"/>
      <c r="G5483" s="164"/>
    </row>
    <row r="5484" spans="1:7" x14ac:dyDescent="0.25">
      <c r="A5484" s="169" t="str">
        <f>E5484&amp;COUNTIFS($E$2:E5484,E5484)</f>
        <v>0</v>
      </c>
      <c r="B5484" s="166"/>
      <c r="C5484" s="168"/>
      <c r="D5484" s="167"/>
      <c r="E5484" s="166"/>
      <c r="F5484" s="165"/>
      <c r="G5484" s="164"/>
    </row>
    <row r="5485" spans="1:7" x14ac:dyDescent="0.25">
      <c r="A5485" s="169" t="str">
        <f>E5485&amp;COUNTIFS($E$2:E5485,E5485)</f>
        <v>0</v>
      </c>
      <c r="B5485" s="166"/>
      <c r="C5485" s="168"/>
      <c r="D5485" s="167"/>
      <c r="E5485" s="166"/>
      <c r="F5485" s="165"/>
      <c r="G5485" s="164"/>
    </row>
    <row r="5486" spans="1:7" x14ac:dyDescent="0.25">
      <c r="A5486" s="169" t="str">
        <f>E5486&amp;COUNTIFS($E$2:E5486,E5486)</f>
        <v>0</v>
      </c>
      <c r="B5486" s="166"/>
      <c r="C5486" s="168"/>
      <c r="D5486" s="167"/>
      <c r="E5486" s="166"/>
      <c r="F5486" s="165"/>
      <c r="G5486" s="164"/>
    </row>
    <row r="5487" spans="1:7" x14ac:dyDescent="0.25">
      <c r="A5487" s="169" t="str">
        <f>E5487&amp;COUNTIFS($E$2:E5487,E5487)</f>
        <v>0</v>
      </c>
      <c r="B5487" s="166"/>
      <c r="C5487" s="168"/>
      <c r="D5487" s="167"/>
      <c r="E5487" s="166"/>
      <c r="F5487" s="165"/>
      <c r="G5487" s="164"/>
    </row>
    <row r="5488" spans="1:7" x14ac:dyDescent="0.25">
      <c r="A5488" s="169" t="str">
        <f>E5488&amp;COUNTIFS($E$2:E5488,E5488)</f>
        <v>0</v>
      </c>
      <c r="B5488" s="166"/>
      <c r="C5488" s="168"/>
      <c r="D5488" s="167"/>
      <c r="E5488" s="166"/>
      <c r="F5488" s="165"/>
      <c r="G5488" s="164"/>
    </row>
    <row r="5489" spans="1:7" x14ac:dyDescent="0.25">
      <c r="A5489" s="169" t="str">
        <f>E5489&amp;COUNTIFS($E$2:E5489,E5489)</f>
        <v>0</v>
      </c>
      <c r="B5489" s="166"/>
      <c r="C5489" s="168"/>
      <c r="D5489" s="167"/>
      <c r="E5489" s="166"/>
      <c r="F5489" s="165"/>
      <c r="G5489" s="164"/>
    </row>
    <row r="5490" spans="1:7" x14ac:dyDescent="0.25">
      <c r="A5490" s="169" t="str">
        <f>E5490&amp;COUNTIFS($E$2:E5490,E5490)</f>
        <v>0</v>
      </c>
      <c r="B5490" s="166"/>
      <c r="C5490" s="168"/>
      <c r="D5490" s="167"/>
      <c r="E5490" s="166"/>
      <c r="F5490" s="165"/>
      <c r="G5490" s="164"/>
    </row>
    <row r="5491" spans="1:7" x14ac:dyDescent="0.25">
      <c r="A5491" s="169" t="str">
        <f>E5491&amp;COUNTIFS($E$2:E5491,E5491)</f>
        <v>0</v>
      </c>
      <c r="B5491" s="166"/>
      <c r="C5491" s="168"/>
      <c r="D5491" s="167"/>
      <c r="E5491" s="166"/>
      <c r="F5491" s="165"/>
      <c r="G5491" s="164"/>
    </row>
    <row r="5492" spans="1:7" x14ac:dyDescent="0.25">
      <c r="A5492" s="169" t="str">
        <f>E5492&amp;COUNTIFS($E$2:E5492,E5492)</f>
        <v>0</v>
      </c>
      <c r="B5492" s="166"/>
      <c r="C5492" s="168"/>
      <c r="D5492" s="167"/>
      <c r="E5492" s="166"/>
      <c r="F5492" s="165"/>
      <c r="G5492" s="164"/>
    </row>
    <row r="5493" spans="1:7" x14ac:dyDescent="0.25">
      <c r="A5493" s="169" t="str">
        <f>E5493&amp;COUNTIFS($E$2:E5493,E5493)</f>
        <v>0</v>
      </c>
      <c r="B5493" s="166"/>
      <c r="C5493" s="168"/>
      <c r="D5493" s="167"/>
      <c r="E5493" s="166"/>
      <c r="F5493" s="165"/>
      <c r="G5493" s="164"/>
    </row>
    <row r="5494" spans="1:7" x14ac:dyDescent="0.25">
      <c r="A5494" s="169" t="str">
        <f>E5494&amp;COUNTIFS($E$2:E5494,E5494)</f>
        <v>0</v>
      </c>
      <c r="B5494" s="166"/>
      <c r="C5494" s="168"/>
      <c r="D5494" s="167"/>
      <c r="E5494" s="166"/>
      <c r="F5494" s="165"/>
      <c r="G5494" s="164"/>
    </row>
    <row r="5495" spans="1:7" x14ac:dyDescent="0.25">
      <c r="A5495" s="169" t="str">
        <f>E5495&amp;COUNTIFS($E$2:E5495,E5495)</f>
        <v>0</v>
      </c>
      <c r="B5495" s="166"/>
      <c r="C5495" s="168"/>
      <c r="D5495" s="167"/>
      <c r="E5495" s="166"/>
      <c r="F5495" s="165"/>
      <c r="G5495" s="164"/>
    </row>
    <row r="5496" spans="1:7" x14ac:dyDescent="0.25">
      <c r="A5496" s="169" t="str">
        <f>E5496&amp;COUNTIFS($E$2:E5496,E5496)</f>
        <v>0</v>
      </c>
      <c r="B5496" s="166"/>
      <c r="C5496" s="168"/>
      <c r="D5496" s="167"/>
      <c r="E5496" s="166"/>
      <c r="F5496" s="165"/>
      <c r="G5496" s="164"/>
    </row>
    <row r="5497" spans="1:7" x14ac:dyDescent="0.25">
      <c r="A5497" s="169" t="str">
        <f>E5497&amp;COUNTIFS($E$2:E5497,E5497)</f>
        <v>0</v>
      </c>
      <c r="B5497" s="166"/>
      <c r="C5497" s="168"/>
      <c r="D5497" s="167"/>
      <c r="E5497" s="166"/>
      <c r="F5497" s="165"/>
      <c r="G5497" s="164"/>
    </row>
    <row r="5498" spans="1:7" x14ac:dyDescent="0.25">
      <c r="A5498" s="169" t="str">
        <f>E5498&amp;COUNTIFS($E$2:E5498,E5498)</f>
        <v>0</v>
      </c>
      <c r="B5498" s="166"/>
      <c r="C5498" s="168"/>
      <c r="D5498" s="167"/>
      <c r="E5498" s="166"/>
      <c r="F5498" s="165"/>
      <c r="G5498" s="164"/>
    </row>
    <row r="5499" spans="1:7" x14ac:dyDescent="0.25">
      <c r="A5499" s="169" t="str">
        <f>E5499&amp;COUNTIFS($E$2:E5499,E5499)</f>
        <v>0</v>
      </c>
      <c r="B5499" s="166"/>
      <c r="C5499" s="168"/>
      <c r="D5499" s="167"/>
      <c r="E5499" s="166"/>
      <c r="F5499" s="165"/>
      <c r="G5499" s="164"/>
    </row>
    <row r="5500" spans="1:7" ht="15.75" thickBot="1" x14ac:dyDescent="0.3">
      <c r="A5500" s="163" t="str">
        <f>E5500&amp;COUNTIFS($E$2:E5500,E5500)</f>
        <v>0</v>
      </c>
      <c r="B5500" s="160"/>
      <c r="C5500" s="162"/>
      <c r="D5500" s="161"/>
      <c r="E5500" s="160"/>
      <c r="F5500" s="159"/>
      <c r="G5500" s="158"/>
    </row>
    <row r="5501" spans="1:7" x14ac:dyDescent="0.25">
      <c r="A5501" s="148"/>
      <c r="C5501" s="143"/>
      <c r="D5501" s="157"/>
      <c r="E5501" s="143"/>
      <c r="F5501" s="156"/>
      <c r="G5501" s="156"/>
    </row>
    <row r="5502" spans="1:7" x14ac:dyDescent="0.25">
      <c r="A5502" s="148"/>
      <c r="C5502" s="153" t="s">
        <v>623</v>
      </c>
      <c r="D5502" s="152"/>
      <c r="E5502" s="151"/>
      <c r="F5502" s="150">
        <f>SUM(F5476:F5500)</f>
        <v>0</v>
      </c>
      <c r="G5502" s="155">
        <f>SUM(G5476:G5500)</f>
        <v>0</v>
      </c>
    </row>
    <row r="5503" spans="1:7" x14ac:dyDescent="0.25">
      <c r="A5503" s="148"/>
      <c r="C5503" s="145" t="s">
        <v>622</v>
      </c>
      <c r="D5503" s="154"/>
      <c r="E5503" s="145"/>
      <c r="F5503" s="144"/>
      <c r="G5503" s="144"/>
    </row>
    <row r="5504" spans="1:7" x14ac:dyDescent="0.25">
      <c r="A5504" s="148"/>
      <c r="C5504" s="153" t="s">
        <v>621</v>
      </c>
      <c r="D5504" s="152"/>
      <c r="E5504" s="151"/>
      <c r="F5504" s="150">
        <f>F5471</f>
        <v>0</v>
      </c>
      <c r="G5504" s="150">
        <f>G5471</f>
        <v>0</v>
      </c>
    </row>
    <row r="5505" spans="1:7" x14ac:dyDescent="0.25">
      <c r="A5505" s="148"/>
      <c r="C5505" s="153" t="s">
        <v>582</v>
      </c>
      <c r="D5505" s="152"/>
      <c r="E5505" s="151"/>
      <c r="F5505" s="150">
        <f>F5504+F5502</f>
        <v>0</v>
      </c>
      <c r="G5505" s="150">
        <f>G5504+G5502</f>
        <v>0</v>
      </c>
    </row>
    <row r="5506" spans="1:7" ht="15.75" thickBot="1" x14ac:dyDescent="0.3">
      <c r="A5506" s="148"/>
      <c r="C5506" s="145"/>
      <c r="D5506" s="149"/>
      <c r="E5506" s="145"/>
      <c r="F5506" s="144"/>
      <c r="G5506" s="144"/>
    </row>
    <row r="5507" spans="1:7" ht="15.75" thickBot="1" x14ac:dyDescent="0.3">
      <c r="A5507" s="148"/>
      <c r="C5507" s="147" t="s">
        <v>620</v>
      </c>
      <c r="D5507" s="146">
        <f>F5505-G5505</f>
        <v>0</v>
      </c>
      <c r="E5507" s="145"/>
      <c r="F5507" s="144"/>
      <c r="G5507" s="144"/>
    </row>
    <row r="5508" spans="1:7" ht="15.75" thickBot="1" x14ac:dyDescent="0.3">
      <c r="A5508" s="148"/>
      <c r="C5508" s="145"/>
      <c r="D5508" s="144"/>
      <c r="E5508" s="145"/>
      <c r="F5508" s="144"/>
      <c r="G5508" s="144"/>
    </row>
    <row r="5509" spans="1:7" ht="30.75" thickBot="1" x14ac:dyDescent="0.3">
      <c r="A5509" s="196" t="s">
        <v>626</v>
      </c>
      <c r="B5509" s="195" t="s">
        <v>606</v>
      </c>
      <c r="C5509" s="194" t="s">
        <v>628</v>
      </c>
      <c r="D5509" s="193" t="s">
        <v>601</v>
      </c>
      <c r="E5509" s="192" t="s">
        <v>287</v>
      </c>
      <c r="F5509" s="191" t="s">
        <v>624</v>
      </c>
      <c r="G5509" s="191" t="s">
        <v>596</v>
      </c>
    </row>
    <row r="5510" spans="1:7" x14ac:dyDescent="0.25">
      <c r="A5510" s="175" t="str">
        <f>E5510&amp;COUNTIFS($E$2:E5510,E5510)</f>
        <v>0</v>
      </c>
      <c r="B5510" s="172"/>
      <c r="C5510" s="174"/>
      <c r="D5510" s="173"/>
      <c r="E5510" s="172"/>
      <c r="F5510" s="171"/>
      <c r="G5510" s="170"/>
    </row>
    <row r="5511" spans="1:7" x14ac:dyDescent="0.25">
      <c r="A5511" s="169" t="str">
        <f>E5511&amp;COUNTIFS($E$2:E5511,E5511)</f>
        <v>0</v>
      </c>
      <c r="B5511" s="166"/>
      <c r="C5511" s="168"/>
      <c r="D5511" s="167"/>
      <c r="E5511" s="166"/>
      <c r="F5511" s="165"/>
      <c r="G5511" s="164"/>
    </row>
    <row r="5512" spans="1:7" x14ac:dyDescent="0.25">
      <c r="A5512" s="169" t="str">
        <f>E5512&amp;COUNTIFS($E$2:E5512,E5512)</f>
        <v>0</v>
      </c>
      <c r="B5512" s="166"/>
      <c r="C5512" s="168"/>
      <c r="D5512" s="167"/>
      <c r="E5512" s="166"/>
      <c r="F5512" s="165"/>
      <c r="G5512" s="164"/>
    </row>
    <row r="5513" spans="1:7" x14ac:dyDescent="0.25">
      <c r="A5513" s="169" t="str">
        <f>E5513&amp;COUNTIFS($E$2:E5513,E5513)</f>
        <v>0</v>
      </c>
      <c r="B5513" s="166"/>
      <c r="C5513" s="168"/>
      <c r="D5513" s="167"/>
      <c r="E5513" s="166"/>
      <c r="F5513" s="165"/>
      <c r="G5513" s="164"/>
    </row>
    <row r="5514" spans="1:7" x14ac:dyDescent="0.25">
      <c r="A5514" s="169" t="str">
        <f>E5514&amp;COUNTIFS($E$2:E5514,E5514)</f>
        <v>0</v>
      </c>
      <c r="B5514" s="166"/>
      <c r="C5514" s="168"/>
      <c r="D5514" s="167"/>
      <c r="E5514" s="166"/>
      <c r="F5514" s="165"/>
      <c r="G5514" s="164"/>
    </row>
    <row r="5515" spans="1:7" x14ac:dyDescent="0.25">
      <c r="A5515" s="169" t="str">
        <f>E5515&amp;COUNTIFS($E$2:E5515,E5515)</f>
        <v>0</v>
      </c>
      <c r="B5515" s="166"/>
      <c r="C5515" s="168"/>
      <c r="D5515" s="167"/>
      <c r="E5515" s="166"/>
      <c r="F5515" s="165"/>
      <c r="G5515" s="164"/>
    </row>
    <row r="5516" spans="1:7" x14ac:dyDescent="0.25">
      <c r="A5516" s="169" t="str">
        <f>E5516&amp;COUNTIFS($E$2:E5516,E5516)</f>
        <v>0</v>
      </c>
      <c r="B5516" s="166"/>
      <c r="C5516" s="168"/>
      <c r="D5516" s="167"/>
      <c r="E5516" s="166"/>
      <c r="F5516" s="165"/>
      <c r="G5516" s="164"/>
    </row>
    <row r="5517" spans="1:7" x14ac:dyDescent="0.25">
      <c r="A5517" s="169" t="str">
        <f>E5517&amp;COUNTIFS($E$2:E5517,E5517)</f>
        <v>0</v>
      </c>
      <c r="B5517" s="166"/>
      <c r="C5517" s="168"/>
      <c r="D5517" s="167"/>
      <c r="E5517" s="166"/>
      <c r="F5517" s="165"/>
      <c r="G5517" s="164"/>
    </row>
    <row r="5518" spans="1:7" x14ac:dyDescent="0.25">
      <c r="A5518" s="169" t="str">
        <f>E5518&amp;COUNTIFS($E$2:E5518,E5518)</f>
        <v>0</v>
      </c>
      <c r="B5518" s="166"/>
      <c r="C5518" s="168"/>
      <c r="D5518" s="167"/>
      <c r="E5518" s="166"/>
      <c r="F5518" s="165"/>
      <c r="G5518" s="164"/>
    </row>
    <row r="5519" spans="1:7" x14ac:dyDescent="0.25">
      <c r="A5519" s="169" t="str">
        <f>E5519&amp;COUNTIFS($E$2:E5519,E5519)</f>
        <v>0</v>
      </c>
      <c r="B5519" s="166"/>
      <c r="C5519" s="168"/>
      <c r="D5519" s="167"/>
      <c r="E5519" s="166"/>
      <c r="F5519" s="165"/>
      <c r="G5519" s="164"/>
    </row>
    <row r="5520" spans="1:7" x14ac:dyDescent="0.25">
      <c r="A5520" s="169" t="str">
        <f>E5520&amp;COUNTIFS($E$2:E5520,E5520)</f>
        <v>0</v>
      </c>
      <c r="B5520" s="166"/>
      <c r="C5520" s="168"/>
      <c r="D5520" s="167"/>
      <c r="E5520" s="166"/>
      <c r="F5520" s="165"/>
      <c r="G5520" s="164"/>
    </row>
    <row r="5521" spans="1:7" x14ac:dyDescent="0.25">
      <c r="A5521" s="169" t="str">
        <f>E5521&amp;COUNTIFS($E$2:E5521,E5521)</f>
        <v>0</v>
      </c>
      <c r="B5521" s="166"/>
      <c r="C5521" s="168"/>
      <c r="D5521" s="167"/>
      <c r="E5521" s="166"/>
      <c r="F5521" s="165"/>
      <c r="G5521" s="164"/>
    </row>
    <row r="5522" spans="1:7" x14ac:dyDescent="0.25">
      <c r="A5522" s="169" t="str">
        <f>E5522&amp;COUNTIFS($E$2:E5522,E5522)</f>
        <v>0</v>
      </c>
      <c r="B5522" s="166"/>
      <c r="C5522" s="168"/>
      <c r="D5522" s="167"/>
      <c r="E5522" s="166"/>
      <c r="F5522" s="165"/>
      <c r="G5522" s="164"/>
    </row>
    <row r="5523" spans="1:7" x14ac:dyDescent="0.25">
      <c r="A5523" s="169" t="str">
        <f>E5523&amp;COUNTIFS($E$2:E5523,E5523)</f>
        <v>0</v>
      </c>
      <c r="B5523" s="166"/>
      <c r="C5523" s="168"/>
      <c r="D5523" s="167"/>
      <c r="E5523" s="166"/>
      <c r="F5523" s="165"/>
      <c r="G5523" s="164"/>
    </row>
    <row r="5524" spans="1:7" x14ac:dyDescent="0.25">
      <c r="A5524" s="169" t="str">
        <f>E5524&amp;COUNTIFS($E$2:E5524,E5524)</f>
        <v>0</v>
      </c>
      <c r="B5524" s="166"/>
      <c r="C5524" s="168"/>
      <c r="D5524" s="167"/>
      <c r="E5524" s="166"/>
      <c r="F5524" s="165"/>
      <c r="G5524" s="164"/>
    </row>
    <row r="5525" spans="1:7" x14ac:dyDescent="0.25">
      <c r="A5525" s="169" t="str">
        <f>E5525&amp;COUNTIFS($E$2:E5525,E5525)</f>
        <v>0</v>
      </c>
      <c r="B5525" s="166"/>
      <c r="C5525" s="168"/>
      <c r="D5525" s="167"/>
      <c r="E5525" s="166"/>
      <c r="F5525" s="165"/>
      <c r="G5525" s="164"/>
    </row>
    <row r="5526" spans="1:7" x14ac:dyDescent="0.25">
      <c r="A5526" s="169" t="str">
        <f>E5526&amp;COUNTIFS($E$2:E5526,E5526)</f>
        <v>0</v>
      </c>
      <c r="B5526" s="166"/>
      <c r="C5526" s="168"/>
      <c r="D5526" s="167"/>
      <c r="E5526" s="166"/>
      <c r="F5526" s="165"/>
      <c r="G5526" s="164"/>
    </row>
    <row r="5527" spans="1:7" x14ac:dyDescent="0.25">
      <c r="A5527" s="169" t="str">
        <f>E5527&amp;COUNTIFS($E$2:E5527,E5527)</f>
        <v>0</v>
      </c>
      <c r="B5527" s="166"/>
      <c r="C5527" s="168"/>
      <c r="D5527" s="167"/>
      <c r="E5527" s="166"/>
      <c r="F5527" s="165"/>
      <c r="G5527" s="164"/>
    </row>
    <row r="5528" spans="1:7" x14ac:dyDescent="0.25">
      <c r="A5528" s="169" t="str">
        <f>E5528&amp;COUNTIFS($E$2:E5528,E5528)</f>
        <v>0</v>
      </c>
      <c r="B5528" s="166"/>
      <c r="C5528" s="168"/>
      <c r="D5528" s="167"/>
      <c r="E5528" s="166"/>
      <c r="F5528" s="165"/>
      <c r="G5528" s="164"/>
    </row>
    <row r="5529" spans="1:7" x14ac:dyDescent="0.25">
      <c r="A5529" s="169" t="str">
        <f>E5529&amp;COUNTIFS($E$2:E5529,E5529)</f>
        <v>0</v>
      </c>
      <c r="B5529" s="166"/>
      <c r="C5529" s="168"/>
      <c r="D5529" s="167"/>
      <c r="E5529" s="166"/>
      <c r="F5529" s="165"/>
      <c r="G5529" s="164"/>
    </row>
    <row r="5530" spans="1:7" x14ac:dyDescent="0.25">
      <c r="A5530" s="169" t="str">
        <f>E5530&amp;COUNTIFS($E$2:E5530,E5530)</f>
        <v>0</v>
      </c>
      <c r="B5530" s="166"/>
      <c r="C5530" s="168"/>
      <c r="D5530" s="167"/>
      <c r="E5530" s="166"/>
      <c r="F5530" s="165"/>
      <c r="G5530" s="164"/>
    </row>
    <row r="5531" spans="1:7" x14ac:dyDescent="0.25">
      <c r="A5531" s="169" t="str">
        <f>E5531&amp;COUNTIFS($E$2:E5531,E5531)</f>
        <v>0</v>
      </c>
      <c r="B5531" s="166"/>
      <c r="C5531" s="168"/>
      <c r="D5531" s="167"/>
      <c r="E5531" s="166"/>
      <c r="F5531" s="165"/>
      <c r="G5531" s="164"/>
    </row>
    <row r="5532" spans="1:7" x14ac:dyDescent="0.25">
      <c r="A5532" s="169" t="str">
        <f>E5532&amp;COUNTIFS($E$2:E5532,E5532)</f>
        <v>0</v>
      </c>
      <c r="B5532" s="166"/>
      <c r="C5532" s="168"/>
      <c r="D5532" s="167"/>
      <c r="E5532" s="166"/>
      <c r="F5532" s="165"/>
      <c r="G5532" s="164"/>
    </row>
    <row r="5533" spans="1:7" x14ac:dyDescent="0.25">
      <c r="A5533" s="169" t="str">
        <f>E5533&amp;COUNTIFS($E$2:E5533,E5533)</f>
        <v>0</v>
      </c>
      <c r="B5533" s="166"/>
      <c r="C5533" s="168"/>
      <c r="D5533" s="167"/>
      <c r="E5533" s="166"/>
      <c r="F5533" s="165"/>
      <c r="G5533" s="164"/>
    </row>
    <row r="5534" spans="1:7" ht="15.75" thickBot="1" x14ac:dyDescent="0.3">
      <c r="A5534" s="163" t="str">
        <f>E5534&amp;COUNTIFS($E$2:E5534,E5534)</f>
        <v>0</v>
      </c>
      <c r="B5534" s="160"/>
      <c r="C5534" s="162"/>
      <c r="D5534" s="161"/>
      <c r="E5534" s="160"/>
      <c r="F5534" s="159"/>
      <c r="G5534" s="158"/>
    </row>
    <row r="5535" spans="1:7" x14ac:dyDescent="0.25">
      <c r="A5535" s="148"/>
      <c r="C5535" s="143"/>
      <c r="D5535" s="157"/>
      <c r="E5535" s="143"/>
      <c r="F5535" s="156"/>
      <c r="G5535" s="156"/>
    </row>
    <row r="5536" spans="1:7" x14ac:dyDescent="0.25">
      <c r="A5536" s="148"/>
      <c r="C5536" s="153" t="s">
        <v>623</v>
      </c>
      <c r="D5536" s="152"/>
      <c r="E5536" s="151"/>
      <c r="F5536" s="150">
        <f>SUM(F5510:F5534)</f>
        <v>0</v>
      </c>
      <c r="G5536" s="155">
        <f>SUM(G5510:G5534)</f>
        <v>0</v>
      </c>
    </row>
    <row r="5537" spans="1:7" x14ac:dyDescent="0.25">
      <c r="A5537" s="148"/>
      <c r="C5537" s="145" t="s">
        <v>622</v>
      </c>
      <c r="D5537" s="154"/>
      <c r="E5537" s="145"/>
      <c r="F5537" s="144"/>
      <c r="G5537" s="144"/>
    </row>
    <row r="5538" spans="1:7" x14ac:dyDescent="0.25">
      <c r="A5538" s="148"/>
      <c r="C5538" s="153" t="s">
        <v>621</v>
      </c>
      <c r="D5538" s="152"/>
      <c r="E5538" s="151"/>
      <c r="F5538" s="150">
        <f>F5505</f>
        <v>0</v>
      </c>
      <c r="G5538" s="150">
        <f>G5505</f>
        <v>0</v>
      </c>
    </row>
    <row r="5539" spans="1:7" x14ac:dyDescent="0.25">
      <c r="A5539" s="148"/>
      <c r="C5539" s="153" t="s">
        <v>582</v>
      </c>
      <c r="D5539" s="152"/>
      <c r="E5539" s="151"/>
      <c r="F5539" s="150">
        <f>F5538+F5536</f>
        <v>0</v>
      </c>
      <c r="G5539" s="150">
        <f>G5538+G5536</f>
        <v>0</v>
      </c>
    </row>
    <row r="5540" spans="1:7" ht="15.75" thickBot="1" x14ac:dyDescent="0.3">
      <c r="A5540" s="148"/>
      <c r="C5540" s="145"/>
      <c r="D5540" s="149"/>
      <c r="E5540" s="145"/>
      <c r="F5540" s="144"/>
      <c r="G5540" s="144"/>
    </row>
    <row r="5541" spans="1:7" ht="15.75" thickBot="1" x14ac:dyDescent="0.3">
      <c r="A5541" s="148"/>
      <c r="C5541" s="147" t="s">
        <v>620</v>
      </c>
      <c r="D5541" s="146">
        <f>F5539-G5539</f>
        <v>0</v>
      </c>
      <c r="E5541" s="145"/>
      <c r="F5541" s="144"/>
      <c r="G5541" s="144"/>
    </row>
    <row r="5542" spans="1:7" ht="15.75" thickBot="1" x14ac:dyDescent="0.3">
      <c r="A5542" s="148"/>
      <c r="C5542" s="145"/>
      <c r="D5542" s="144"/>
      <c r="E5542" s="145"/>
      <c r="F5542" s="144"/>
      <c r="G5542" s="144"/>
    </row>
    <row r="5543" spans="1:7" ht="30.75" thickBot="1" x14ac:dyDescent="0.3">
      <c r="A5543" s="196" t="s">
        <v>626</v>
      </c>
      <c r="B5543" s="195" t="s">
        <v>606</v>
      </c>
      <c r="C5543" s="194" t="s">
        <v>628</v>
      </c>
      <c r="D5543" s="193" t="s">
        <v>601</v>
      </c>
      <c r="E5543" s="192" t="s">
        <v>287</v>
      </c>
      <c r="F5543" s="191" t="s">
        <v>624</v>
      </c>
      <c r="G5543" s="191" t="s">
        <v>596</v>
      </c>
    </row>
    <row r="5544" spans="1:7" x14ac:dyDescent="0.25">
      <c r="A5544" s="175" t="str">
        <f>E5544&amp;COUNTIFS($E$2:E5544,E5544)</f>
        <v>0</v>
      </c>
      <c r="B5544" s="172"/>
      <c r="C5544" s="174"/>
      <c r="D5544" s="173"/>
      <c r="E5544" s="172"/>
      <c r="F5544" s="171"/>
      <c r="G5544" s="170"/>
    </row>
    <row r="5545" spans="1:7" x14ac:dyDescent="0.25">
      <c r="A5545" s="169" t="str">
        <f>E5545&amp;COUNTIFS($E$2:E5545,E5545)</f>
        <v>0</v>
      </c>
      <c r="B5545" s="166"/>
      <c r="C5545" s="168"/>
      <c r="D5545" s="167"/>
      <c r="E5545" s="166"/>
      <c r="F5545" s="165"/>
      <c r="G5545" s="164"/>
    </row>
    <row r="5546" spans="1:7" x14ac:dyDescent="0.25">
      <c r="A5546" s="169" t="str">
        <f>E5546&amp;COUNTIFS($E$2:E5546,E5546)</f>
        <v>0</v>
      </c>
      <c r="B5546" s="166"/>
      <c r="C5546" s="168"/>
      <c r="D5546" s="167"/>
      <c r="E5546" s="166"/>
      <c r="F5546" s="165"/>
      <c r="G5546" s="164"/>
    </row>
    <row r="5547" spans="1:7" x14ac:dyDescent="0.25">
      <c r="A5547" s="169" t="str">
        <f>E5547&amp;COUNTIFS($E$2:E5547,E5547)</f>
        <v>0</v>
      </c>
      <c r="B5547" s="166"/>
      <c r="C5547" s="168"/>
      <c r="D5547" s="167"/>
      <c r="E5547" s="166"/>
      <c r="F5547" s="165"/>
      <c r="G5547" s="164"/>
    </row>
    <row r="5548" spans="1:7" x14ac:dyDescent="0.25">
      <c r="A5548" s="169" t="str">
        <f>E5548&amp;COUNTIFS($E$2:E5548,E5548)</f>
        <v>0</v>
      </c>
      <c r="B5548" s="166"/>
      <c r="C5548" s="168"/>
      <c r="D5548" s="167"/>
      <c r="E5548" s="166"/>
      <c r="F5548" s="165"/>
      <c r="G5548" s="164"/>
    </row>
    <row r="5549" spans="1:7" x14ac:dyDescent="0.25">
      <c r="A5549" s="169" t="str">
        <f>E5549&amp;COUNTIFS($E$2:E5549,E5549)</f>
        <v>0</v>
      </c>
      <c r="B5549" s="166"/>
      <c r="C5549" s="168"/>
      <c r="D5549" s="167"/>
      <c r="E5549" s="166"/>
      <c r="F5549" s="165"/>
      <c r="G5549" s="164"/>
    </row>
    <row r="5550" spans="1:7" x14ac:dyDescent="0.25">
      <c r="A5550" s="169" t="str">
        <f>E5550&amp;COUNTIFS($E$2:E5550,E5550)</f>
        <v>0</v>
      </c>
      <c r="B5550" s="166"/>
      <c r="C5550" s="168"/>
      <c r="D5550" s="167"/>
      <c r="E5550" s="166"/>
      <c r="F5550" s="165"/>
      <c r="G5550" s="164"/>
    </row>
    <row r="5551" spans="1:7" x14ac:dyDescent="0.25">
      <c r="A5551" s="169" t="str">
        <f>E5551&amp;COUNTIFS($E$2:E5551,E5551)</f>
        <v>0</v>
      </c>
      <c r="B5551" s="166"/>
      <c r="C5551" s="168"/>
      <c r="D5551" s="167"/>
      <c r="E5551" s="166"/>
      <c r="F5551" s="165"/>
      <c r="G5551" s="164"/>
    </row>
    <row r="5552" spans="1:7" x14ac:dyDescent="0.25">
      <c r="A5552" s="169" t="str">
        <f>E5552&amp;COUNTIFS($E$2:E5552,E5552)</f>
        <v>0</v>
      </c>
      <c r="B5552" s="166"/>
      <c r="C5552" s="168"/>
      <c r="D5552" s="167"/>
      <c r="E5552" s="166"/>
      <c r="F5552" s="165"/>
      <c r="G5552" s="164"/>
    </row>
    <row r="5553" spans="1:7" x14ac:dyDescent="0.25">
      <c r="A5553" s="169" t="str">
        <f>E5553&amp;COUNTIFS($E$2:E5553,E5553)</f>
        <v>0</v>
      </c>
      <c r="B5553" s="166"/>
      <c r="C5553" s="168"/>
      <c r="D5553" s="167"/>
      <c r="E5553" s="166"/>
      <c r="F5553" s="165"/>
      <c r="G5553" s="164"/>
    </row>
    <row r="5554" spans="1:7" x14ac:dyDescent="0.25">
      <c r="A5554" s="169" t="str">
        <f>E5554&amp;COUNTIFS($E$2:E5554,E5554)</f>
        <v>0</v>
      </c>
      <c r="B5554" s="166"/>
      <c r="C5554" s="168"/>
      <c r="D5554" s="167"/>
      <c r="E5554" s="166"/>
      <c r="F5554" s="165"/>
      <c r="G5554" s="164"/>
    </row>
    <row r="5555" spans="1:7" x14ac:dyDescent="0.25">
      <c r="A5555" s="169" t="str">
        <f>E5555&amp;COUNTIFS($E$2:E5555,E5555)</f>
        <v>0</v>
      </c>
      <c r="B5555" s="166"/>
      <c r="C5555" s="168"/>
      <c r="D5555" s="167"/>
      <c r="E5555" s="166"/>
      <c r="F5555" s="165"/>
      <c r="G5555" s="164"/>
    </row>
    <row r="5556" spans="1:7" x14ac:dyDescent="0.25">
      <c r="A5556" s="169" t="str">
        <f>E5556&amp;COUNTIFS($E$2:E5556,E5556)</f>
        <v>0</v>
      </c>
      <c r="B5556" s="166"/>
      <c r="C5556" s="168"/>
      <c r="D5556" s="167"/>
      <c r="E5556" s="166"/>
      <c r="F5556" s="165"/>
      <c r="G5556" s="164"/>
    </row>
    <row r="5557" spans="1:7" x14ac:dyDescent="0.25">
      <c r="A5557" s="169" t="str">
        <f>E5557&amp;COUNTIFS($E$2:E5557,E5557)</f>
        <v>0</v>
      </c>
      <c r="B5557" s="166"/>
      <c r="C5557" s="168"/>
      <c r="D5557" s="167"/>
      <c r="E5557" s="166"/>
      <c r="F5557" s="165"/>
      <c r="G5557" s="164"/>
    </row>
    <row r="5558" spans="1:7" x14ac:dyDescent="0.25">
      <c r="A5558" s="169" t="str">
        <f>E5558&amp;COUNTIFS($E$2:E5558,E5558)</f>
        <v>0</v>
      </c>
      <c r="B5558" s="166"/>
      <c r="C5558" s="168"/>
      <c r="D5558" s="167"/>
      <c r="E5558" s="166"/>
      <c r="F5558" s="165"/>
      <c r="G5558" s="164"/>
    </row>
    <row r="5559" spans="1:7" x14ac:dyDescent="0.25">
      <c r="A5559" s="169" t="str">
        <f>E5559&amp;COUNTIFS($E$2:E5559,E5559)</f>
        <v>0</v>
      </c>
      <c r="B5559" s="166"/>
      <c r="C5559" s="168"/>
      <c r="D5559" s="167"/>
      <c r="E5559" s="166"/>
      <c r="F5559" s="165"/>
      <c r="G5559" s="164"/>
    </row>
    <row r="5560" spans="1:7" x14ac:dyDescent="0.25">
      <c r="A5560" s="169" t="str">
        <f>E5560&amp;COUNTIFS($E$2:E5560,E5560)</f>
        <v>0</v>
      </c>
      <c r="B5560" s="166"/>
      <c r="C5560" s="168"/>
      <c r="D5560" s="167"/>
      <c r="E5560" s="166"/>
      <c r="F5560" s="165"/>
      <c r="G5560" s="164"/>
    </row>
    <row r="5561" spans="1:7" x14ac:dyDescent="0.25">
      <c r="A5561" s="169" t="str">
        <f>E5561&amp;COUNTIFS($E$2:E5561,E5561)</f>
        <v>0</v>
      </c>
      <c r="B5561" s="166"/>
      <c r="C5561" s="168"/>
      <c r="D5561" s="167"/>
      <c r="E5561" s="166"/>
      <c r="F5561" s="165"/>
      <c r="G5561" s="164"/>
    </row>
    <row r="5562" spans="1:7" x14ac:dyDescent="0.25">
      <c r="A5562" s="169" t="str">
        <f>E5562&amp;COUNTIFS($E$2:E5562,E5562)</f>
        <v>0</v>
      </c>
      <c r="B5562" s="166"/>
      <c r="C5562" s="168"/>
      <c r="D5562" s="167"/>
      <c r="E5562" s="166"/>
      <c r="F5562" s="165"/>
      <c r="G5562" s="164"/>
    </row>
    <row r="5563" spans="1:7" x14ac:dyDescent="0.25">
      <c r="A5563" s="169" t="str">
        <f>E5563&amp;COUNTIFS($E$2:E5563,E5563)</f>
        <v>0</v>
      </c>
      <c r="B5563" s="166"/>
      <c r="C5563" s="168"/>
      <c r="D5563" s="167"/>
      <c r="E5563" s="166"/>
      <c r="F5563" s="165"/>
      <c r="G5563" s="164"/>
    </row>
    <row r="5564" spans="1:7" x14ac:dyDescent="0.25">
      <c r="A5564" s="169" t="str">
        <f>E5564&amp;COUNTIFS($E$2:E5564,E5564)</f>
        <v>0</v>
      </c>
      <c r="B5564" s="166"/>
      <c r="C5564" s="168"/>
      <c r="D5564" s="167"/>
      <c r="E5564" s="166"/>
      <c r="F5564" s="165"/>
      <c r="G5564" s="164"/>
    </row>
    <row r="5565" spans="1:7" x14ac:dyDescent="0.25">
      <c r="A5565" s="169" t="str">
        <f>E5565&amp;COUNTIFS($E$2:E5565,E5565)</f>
        <v>0</v>
      </c>
      <c r="B5565" s="166"/>
      <c r="C5565" s="168"/>
      <c r="D5565" s="167"/>
      <c r="E5565" s="166"/>
      <c r="F5565" s="165"/>
      <c r="G5565" s="164"/>
    </row>
    <row r="5566" spans="1:7" x14ac:dyDescent="0.25">
      <c r="A5566" s="169" t="str">
        <f>E5566&amp;COUNTIFS($E$2:E5566,E5566)</f>
        <v>0</v>
      </c>
      <c r="B5566" s="166"/>
      <c r="C5566" s="168"/>
      <c r="D5566" s="167"/>
      <c r="E5566" s="166"/>
      <c r="F5566" s="165"/>
      <c r="G5566" s="164"/>
    </row>
    <row r="5567" spans="1:7" x14ac:dyDescent="0.25">
      <c r="A5567" s="169" t="str">
        <f>E5567&amp;COUNTIFS($E$2:E5567,E5567)</f>
        <v>0</v>
      </c>
      <c r="B5567" s="166"/>
      <c r="C5567" s="168"/>
      <c r="D5567" s="167"/>
      <c r="E5567" s="166"/>
      <c r="F5567" s="165"/>
      <c r="G5567" s="164"/>
    </row>
    <row r="5568" spans="1:7" ht="15.75" thickBot="1" x14ac:dyDescent="0.3">
      <c r="A5568" s="163" t="str">
        <f>E5568&amp;COUNTIFS($E$2:E5568,E5568)</f>
        <v>0</v>
      </c>
      <c r="B5568" s="160"/>
      <c r="C5568" s="162"/>
      <c r="D5568" s="161"/>
      <c r="E5568" s="160"/>
      <c r="F5568" s="159"/>
      <c r="G5568" s="158"/>
    </row>
    <row r="5569" spans="1:7" x14ac:dyDescent="0.25">
      <c r="A5569" s="148"/>
      <c r="C5569" s="143"/>
      <c r="D5569" s="157"/>
      <c r="E5569" s="143"/>
      <c r="F5569" s="156"/>
      <c r="G5569" s="156"/>
    </row>
    <row r="5570" spans="1:7" x14ac:dyDescent="0.25">
      <c r="A5570" s="148"/>
      <c r="C5570" s="153" t="s">
        <v>623</v>
      </c>
      <c r="D5570" s="152"/>
      <c r="E5570" s="151"/>
      <c r="F5570" s="150">
        <f>SUM(F5544:F5568)</f>
        <v>0</v>
      </c>
      <c r="G5570" s="155">
        <f>SUM(G5544:G5568)</f>
        <v>0</v>
      </c>
    </row>
    <row r="5571" spans="1:7" x14ac:dyDescent="0.25">
      <c r="A5571" s="148"/>
      <c r="C5571" s="145" t="s">
        <v>622</v>
      </c>
      <c r="D5571" s="154"/>
      <c r="E5571" s="145"/>
      <c r="F5571" s="144"/>
      <c r="G5571" s="144"/>
    </row>
    <row r="5572" spans="1:7" x14ac:dyDescent="0.25">
      <c r="A5572" s="148"/>
      <c r="C5572" s="153" t="s">
        <v>621</v>
      </c>
      <c r="D5572" s="152"/>
      <c r="E5572" s="151"/>
      <c r="F5572" s="150">
        <f>F5539</f>
        <v>0</v>
      </c>
      <c r="G5572" s="150">
        <f>G5539</f>
        <v>0</v>
      </c>
    </row>
    <row r="5573" spans="1:7" x14ac:dyDescent="0.25">
      <c r="A5573" s="148"/>
      <c r="C5573" s="153" t="s">
        <v>582</v>
      </c>
      <c r="D5573" s="152"/>
      <c r="E5573" s="151"/>
      <c r="F5573" s="150">
        <f>F5572+F5570</f>
        <v>0</v>
      </c>
      <c r="G5573" s="150">
        <f>G5572+G5570</f>
        <v>0</v>
      </c>
    </row>
    <row r="5574" spans="1:7" ht="15.75" thickBot="1" x14ac:dyDescent="0.3">
      <c r="A5574" s="148"/>
      <c r="C5574" s="145"/>
      <c r="D5574" s="149"/>
      <c r="E5574" s="145"/>
      <c r="F5574" s="144"/>
      <c r="G5574" s="144"/>
    </row>
    <row r="5575" spans="1:7" ht="15.75" thickBot="1" x14ac:dyDescent="0.3">
      <c r="A5575" s="148"/>
      <c r="C5575" s="147" t="s">
        <v>620</v>
      </c>
      <c r="D5575" s="146">
        <f>F5573-G5573</f>
        <v>0</v>
      </c>
      <c r="E5575" s="145"/>
      <c r="F5575" s="144"/>
      <c r="G5575" s="144"/>
    </row>
    <row r="5576" spans="1:7" ht="15.75" thickBot="1" x14ac:dyDescent="0.3">
      <c r="A5576" s="148"/>
      <c r="C5576" s="145"/>
      <c r="D5576" s="144"/>
      <c r="E5576" s="145"/>
      <c r="F5576" s="144"/>
      <c r="G5576" s="144"/>
    </row>
    <row r="5577" spans="1:7" ht="30.75" thickBot="1" x14ac:dyDescent="0.3">
      <c r="A5577" s="196" t="s">
        <v>626</v>
      </c>
      <c r="B5577" s="195" t="s">
        <v>606</v>
      </c>
      <c r="C5577" s="194" t="s">
        <v>628</v>
      </c>
      <c r="D5577" s="193" t="s">
        <v>601</v>
      </c>
      <c r="E5577" s="192" t="s">
        <v>287</v>
      </c>
      <c r="F5577" s="191" t="s">
        <v>624</v>
      </c>
      <c r="G5577" s="191" t="s">
        <v>596</v>
      </c>
    </row>
    <row r="5578" spans="1:7" x14ac:dyDescent="0.25">
      <c r="A5578" s="175" t="str">
        <f>E5578&amp;COUNTIFS($E$2:E5578,E5578)</f>
        <v>0</v>
      </c>
      <c r="B5578" s="172"/>
      <c r="C5578" s="174"/>
      <c r="D5578" s="173"/>
      <c r="E5578" s="172"/>
      <c r="F5578" s="171"/>
      <c r="G5578" s="170"/>
    </row>
    <row r="5579" spans="1:7" x14ac:dyDescent="0.25">
      <c r="A5579" s="169" t="str">
        <f>E5579&amp;COUNTIFS($E$2:E5579,E5579)</f>
        <v>0</v>
      </c>
      <c r="B5579" s="166"/>
      <c r="C5579" s="168"/>
      <c r="D5579" s="167"/>
      <c r="E5579" s="166"/>
      <c r="F5579" s="165"/>
      <c r="G5579" s="164"/>
    </row>
    <row r="5580" spans="1:7" x14ac:dyDescent="0.25">
      <c r="A5580" s="169" t="str">
        <f>E5580&amp;COUNTIFS($E$2:E5580,E5580)</f>
        <v>0</v>
      </c>
      <c r="B5580" s="166"/>
      <c r="C5580" s="168"/>
      <c r="D5580" s="167"/>
      <c r="E5580" s="166"/>
      <c r="F5580" s="165"/>
      <c r="G5580" s="164"/>
    </row>
    <row r="5581" spans="1:7" x14ac:dyDescent="0.25">
      <c r="A5581" s="169" t="str">
        <f>E5581&amp;COUNTIFS($E$2:E5581,E5581)</f>
        <v>0</v>
      </c>
      <c r="B5581" s="166"/>
      <c r="C5581" s="168"/>
      <c r="D5581" s="167"/>
      <c r="E5581" s="166"/>
      <c r="F5581" s="165"/>
      <c r="G5581" s="164"/>
    </row>
    <row r="5582" spans="1:7" x14ac:dyDescent="0.25">
      <c r="A5582" s="169" t="str">
        <f>E5582&amp;COUNTIFS($E$2:E5582,E5582)</f>
        <v>0</v>
      </c>
      <c r="B5582" s="166"/>
      <c r="C5582" s="168"/>
      <c r="D5582" s="167"/>
      <c r="E5582" s="166"/>
      <c r="F5582" s="165"/>
      <c r="G5582" s="164"/>
    </row>
    <row r="5583" spans="1:7" x14ac:dyDescent="0.25">
      <c r="A5583" s="169" t="str">
        <f>E5583&amp;COUNTIFS($E$2:E5583,E5583)</f>
        <v>0</v>
      </c>
      <c r="B5583" s="166"/>
      <c r="C5583" s="168"/>
      <c r="D5583" s="167"/>
      <c r="E5583" s="166"/>
      <c r="F5583" s="165"/>
      <c r="G5583" s="164"/>
    </row>
    <row r="5584" spans="1:7" x14ac:dyDescent="0.25">
      <c r="A5584" s="169" t="str">
        <f>E5584&amp;COUNTIFS($E$2:E5584,E5584)</f>
        <v>0</v>
      </c>
      <c r="B5584" s="166"/>
      <c r="C5584" s="168"/>
      <c r="D5584" s="167"/>
      <c r="E5584" s="166"/>
      <c r="F5584" s="165"/>
      <c r="G5584" s="164"/>
    </row>
    <row r="5585" spans="1:7" x14ac:dyDescent="0.25">
      <c r="A5585" s="169" t="str">
        <f>E5585&amp;COUNTIFS($E$2:E5585,E5585)</f>
        <v>0</v>
      </c>
      <c r="B5585" s="166"/>
      <c r="C5585" s="168"/>
      <c r="D5585" s="167"/>
      <c r="E5585" s="166"/>
      <c r="F5585" s="165"/>
      <c r="G5585" s="164"/>
    </row>
    <row r="5586" spans="1:7" x14ac:dyDescent="0.25">
      <c r="A5586" s="169" t="str">
        <f>E5586&amp;COUNTIFS($E$2:E5586,E5586)</f>
        <v>0</v>
      </c>
      <c r="B5586" s="166"/>
      <c r="C5586" s="168"/>
      <c r="D5586" s="167"/>
      <c r="E5586" s="166"/>
      <c r="F5586" s="165"/>
      <c r="G5586" s="164"/>
    </row>
    <row r="5587" spans="1:7" x14ac:dyDescent="0.25">
      <c r="A5587" s="169" t="str">
        <f>E5587&amp;COUNTIFS($E$2:E5587,E5587)</f>
        <v>0</v>
      </c>
      <c r="B5587" s="166"/>
      <c r="C5587" s="168"/>
      <c r="D5587" s="167"/>
      <c r="E5587" s="166"/>
      <c r="F5587" s="165"/>
      <c r="G5587" s="164"/>
    </row>
    <row r="5588" spans="1:7" x14ac:dyDescent="0.25">
      <c r="A5588" s="169" t="str">
        <f>E5588&amp;COUNTIFS($E$2:E5588,E5588)</f>
        <v>0</v>
      </c>
      <c r="B5588" s="166"/>
      <c r="C5588" s="168"/>
      <c r="D5588" s="167"/>
      <c r="E5588" s="166"/>
      <c r="F5588" s="165"/>
      <c r="G5588" s="164"/>
    </row>
    <row r="5589" spans="1:7" x14ac:dyDescent="0.25">
      <c r="A5589" s="169" t="str">
        <f>E5589&amp;COUNTIFS($E$2:E5589,E5589)</f>
        <v>0</v>
      </c>
      <c r="B5589" s="166"/>
      <c r="C5589" s="168"/>
      <c r="D5589" s="167"/>
      <c r="E5589" s="166"/>
      <c r="F5589" s="165"/>
      <c r="G5589" s="164"/>
    </row>
    <row r="5590" spans="1:7" x14ac:dyDescent="0.25">
      <c r="A5590" s="169" t="str">
        <f>E5590&amp;COUNTIFS($E$2:E5590,E5590)</f>
        <v>0</v>
      </c>
      <c r="B5590" s="166"/>
      <c r="C5590" s="168"/>
      <c r="D5590" s="167"/>
      <c r="E5590" s="166"/>
      <c r="F5590" s="165"/>
      <c r="G5590" s="164"/>
    </row>
    <row r="5591" spans="1:7" x14ac:dyDescent="0.25">
      <c r="A5591" s="169" t="str">
        <f>E5591&amp;COUNTIFS($E$2:E5591,E5591)</f>
        <v>0</v>
      </c>
      <c r="B5591" s="166"/>
      <c r="C5591" s="168"/>
      <c r="D5591" s="167"/>
      <c r="E5591" s="166"/>
      <c r="F5591" s="165"/>
      <c r="G5591" s="164"/>
    </row>
    <row r="5592" spans="1:7" x14ac:dyDescent="0.25">
      <c r="A5592" s="169" t="str">
        <f>E5592&amp;COUNTIFS($E$2:E5592,E5592)</f>
        <v>0</v>
      </c>
      <c r="B5592" s="166"/>
      <c r="C5592" s="168"/>
      <c r="D5592" s="167"/>
      <c r="E5592" s="166"/>
      <c r="F5592" s="165"/>
      <c r="G5592" s="164"/>
    </row>
    <row r="5593" spans="1:7" x14ac:dyDescent="0.25">
      <c r="A5593" s="169" t="str">
        <f>E5593&amp;COUNTIFS($E$2:E5593,E5593)</f>
        <v>0</v>
      </c>
      <c r="B5593" s="166"/>
      <c r="C5593" s="168"/>
      <c r="D5593" s="167"/>
      <c r="E5593" s="166"/>
      <c r="F5593" s="165"/>
      <c r="G5593" s="164"/>
    </row>
    <row r="5594" spans="1:7" x14ac:dyDescent="0.25">
      <c r="A5594" s="169" t="str">
        <f>E5594&amp;COUNTIFS($E$2:E5594,E5594)</f>
        <v>0</v>
      </c>
      <c r="B5594" s="166"/>
      <c r="C5594" s="168"/>
      <c r="D5594" s="167"/>
      <c r="E5594" s="166"/>
      <c r="F5594" s="165"/>
      <c r="G5594" s="164"/>
    </row>
    <row r="5595" spans="1:7" x14ac:dyDescent="0.25">
      <c r="A5595" s="169" t="str">
        <f>E5595&amp;COUNTIFS($E$2:E5595,E5595)</f>
        <v>0</v>
      </c>
      <c r="B5595" s="166"/>
      <c r="C5595" s="168"/>
      <c r="D5595" s="167"/>
      <c r="E5595" s="166"/>
      <c r="F5595" s="165"/>
      <c r="G5595" s="164"/>
    </row>
    <row r="5596" spans="1:7" x14ac:dyDescent="0.25">
      <c r="A5596" s="169" t="str">
        <f>E5596&amp;COUNTIFS($E$2:E5596,E5596)</f>
        <v>0</v>
      </c>
      <c r="B5596" s="166"/>
      <c r="C5596" s="168"/>
      <c r="D5596" s="167"/>
      <c r="E5596" s="166"/>
      <c r="F5596" s="165"/>
      <c r="G5596" s="164"/>
    </row>
    <row r="5597" spans="1:7" x14ac:dyDescent="0.25">
      <c r="A5597" s="169" t="str">
        <f>E5597&amp;COUNTIFS($E$2:E5597,E5597)</f>
        <v>0</v>
      </c>
      <c r="B5597" s="166"/>
      <c r="C5597" s="168"/>
      <c r="D5597" s="167"/>
      <c r="E5597" s="166"/>
      <c r="F5597" s="165"/>
      <c r="G5597" s="164"/>
    </row>
    <row r="5598" spans="1:7" x14ac:dyDescent="0.25">
      <c r="A5598" s="169" t="str">
        <f>E5598&amp;COUNTIFS($E$2:E5598,E5598)</f>
        <v>0</v>
      </c>
      <c r="B5598" s="166"/>
      <c r="C5598" s="168"/>
      <c r="D5598" s="167"/>
      <c r="E5598" s="166"/>
      <c r="F5598" s="165"/>
      <c r="G5598" s="164"/>
    </row>
    <row r="5599" spans="1:7" x14ac:dyDescent="0.25">
      <c r="A5599" s="169" t="str">
        <f>E5599&amp;COUNTIFS($E$2:E5599,E5599)</f>
        <v>0</v>
      </c>
      <c r="B5599" s="166"/>
      <c r="C5599" s="168"/>
      <c r="D5599" s="167"/>
      <c r="E5599" s="166"/>
      <c r="F5599" s="165"/>
      <c r="G5599" s="164"/>
    </row>
    <row r="5600" spans="1:7" x14ac:dyDescent="0.25">
      <c r="A5600" s="169" t="str">
        <f>E5600&amp;COUNTIFS($E$2:E5600,E5600)</f>
        <v>0</v>
      </c>
      <c r="B5600" s="166"/>
      <c r="C5600" s="168"/>
      <c r="D5600" s="167"/>
      <c r="E5600" s="166"/>
      <c r="F5600" s="165"/>
      <c r="G5600" s="164"/>
    </row>
    <row r="5601" spans="1:7" x14ac:dyDescent="0.25">
      <c r="A5601" s="169" t="str">
        <f>E5601&amp;COUNTIFS($E$2:E5601,E5601)</f>
        <v>0</v>
      </c>
      <c r="B5601" s="166"/>
      <c r="C5601" s="168"/>
      <c r="D5601" s="167"/>
      <c r="E5601" s="166"/>
      <c r="F5601" s="165"/>
      <c r="G5601" s="164"/>
    </row>
    <row r="5602" spans="1:7" ht="15.75" thickBot="1" x14ac:dyDescent="0.3">
      <c r="A5602" s="163" t="str">
        <f>E5602&amp;COUNTIFS($E$2:E5602,E5602)</f>
        <v>0</v>
      </c>
      <c r="B5602" s="160"/>
      <c r="C5602" s="162"/>
      <c r="D5602" s="161"/>
      <c r="E5602" s="160"/>
      <c r="F5602" s="159"/>
      <c r="G5602" s="158"/>
    </row>
    <row r="5603" spans="1:7" x14ac:dyDescent="0.25">
      <c r="A5603" s="148"/>
      <c r="C5603" s="143"/>
      <c r="D5603" s="157"/>
      <c r="E5603" s="143"/>
      <c r="F5603" s="156"/>
      <c r="G5603" s="156"/>
    </row>
    <row r="5604" spans="1:7" x14ac:dyDescent="0.25">
      <c r="A5604" s="148"/>
      <c r="C5604" s="153" t="s">
        <v>623</v>
      </c>
      <c r="D5604" s="152"/>
      <c r="E5604" s="151"/>
      <c r="F5604" s="150">
        <f>SUM(F5578:F5602)</f>
        <v>0</v>
      </c>
      <c r="G5604" s="155">
        <f>SUM(G5578:G5602)</f>
        <v>0</v>
      </c>
    </row>
    <row r="5605" spans="1:7" x14ac:dyDescent="0.25">
      <c r="A5605" s="148"/>
      <c r="C5605" s="145" t="s">
        <v>622</v>
      </c>
      <c r="D5605" s="154"/>
      <c r="E5605" s="145"/>
      <c r="F5605" s="144"/>
      <c r="G5605" s="144"/>
    </row>
    <row r="5606" spans="1:7" x14ac:dyDescent="0.25">
      <c r="A5606" s="148"/>
      <c r="C5606" s="153" t="s">
        <v>621</v>
      </c>
      <c r="D5606" s="152"/>
      <c r="E5606" s="151"/>
      <c r="F5606" s="150">
        <f>F5573</f>
        <v>0</v>
      </c>
      <c r="G5606" s="150">
        <f>G5573</f>
        <v>0</v>
      </c>
    </row>
    <row r="5607" spans="1:7" x14ac:dyDescent="0.25">
      <c r="A5607" s="148"/>
      <c r="C5607" s="153" t="s">
        <v>582</v>
      </c>
      <c r="D5607" s="152"/>
      <c r="E5607" s="151"/>
      <c r="F5607" s="150">
        <f>F5606+F5604</f>
        <v>0</v>
      </c>
      <c r="G5607" s="150">
        <f>G5606+G5604</f>
        <v>0</v>
      </c>
    </row>
    <row r="5608" spans="1:7" ht="15.75" thickBot="1" x14ac:dyDescent="0.3">
      <c r="A5608" s="148"/>
      <c r="C5608" s="145"/>
      <c r="D5608" s="149"/>
      <c r="E5608" s="145"/>
      <c r="F5608" s="144"/>
      <c r="G5608" s="144"/>
    </row>
    <row r="5609" spans="1:7" ht="15.75" thickBot="1" x14ac:dyDescent="0.3">
      <c r="A5609" s="148"/>
      <c r="C5609" s="147" t="s">
        <v>620</v>
      </c>
      <c r="D5609" s="146">
        <f>F5607-G5607</f>
        <v>0</v>
      </c>
      <c r="E5609" s="145"/>
      <c r="F5609" s="144"/>
      <c r="G5609" s="144"/>
    </row>
    <row r="5610" spans="1:7" ht="15.75" thickBot="1" x14ac:dyDescent="0.3">
      <c r="A5610" s="148"/>
      <c r="C5610" s="145"/>
      <c r="D5610" s="144"/>
      <c r="E5610" s="145"/>
      <c r="F5610" s="144"/>
      <c r="G5610" s="144"/>
    </row>
    <row r="5611" spans="1:7" ht="30.75" thickBot="1" x14ac:dyDescent="0.3">
      <c r="A5611" s="196" t="s">
        <v>626</v>
      </c>
      <c r="B5611" s="195" t="s">
        <v>606</v>
      </c>
      <c r="C5611" s="194" t="s">
        <v>628</v>
      </c>
      <c r="D5611" s="193" t="s">
        <v>601</v>
      </c>
      <c r="E5611" s="192" t="s">
        <v>287</v>
      </c>
      <c r="F5611" s="191" t="s">
        <v>624</v>
      </c>
      <c r="G5611" s="191" t="s">
        <v>596</v>
      </c>
    </row>
    <row r="5612" spans="1:7" x14ac:dyDescent="0.25">
      <c r="A5612" s="175" t="str">
        <f>E5612&amp;COUNTIFS($E$2:E5612,E5612)</f>
        <v>0</v>
      </c>
      <c r="B5612" s="172"/>
      <c r="C5612" s="174"/>
      <c r="D5612" s="173"/>
      <c r="E5612" s="172"/>
      <c r="F5612" s="171"/>
      <c r="G5612" s="170"/>
    </row>
    <row r="5613" spans="1:7" x14ac:dyDescent="0.25">
      <c r="A5613" s="169" t="str">
        <f>E5613&amp;COUNTIFS($E$2:E5613,E5613)</f>
        <v>0</v>
      </c>
      <c r="B5613" s="166"/>
      <c r="C5613" s="168"/>
      <c r="D5613" s="167"/>
      <c r="E5613" s="166"/>
      <c r="F5613" s="165"/>
      <c r="G5613" s="164"/>
    </row>
    <row r="5614" spans="1:7" x14ac:dyDescent="0.25">
      <c r="A5614" s="169" t="str">
        <f>E5614&amp;COUNTIFS($E$2:E5614,E5614)</f>
        <v>0</v>
      </c>
      <c r="B5614" s="166"/>
      <c r="C5614" s="168"/>
      <c r="D5614" s="167"/>
      <c r="E5614" s="166"/>
      <c r="F5614" s="165"/>
      <c r="G5614" s="164"/>
    </row>
    <row r="5615" spans="1:7" x14ac:dyDescent="0.25">
      <c r="A5615" s="169" t="str">
        <f>E5615&amp;COUNTIFS($E$2:E5615,E5615)</f>
        <v>0</v>
      </c>
      <c r="B5615" s="166"/>
      <c r="C5615" s="168"/>
      <c r="D5615" s="167"/>
      <c r="E5615" s="166"/>
      <c r="F5615" s="165"/>
      <c r="G5615" s="164"/>
    </row>
    <row r="5616" spans="1:7" x14ac:dyDescent="0.25">
      <c r="A5616" s="169" t="str">
        <f>E5616&amp;COUNTIFS($E$2:E5616,E5616)</f>
        <v>0</v>
      </c>
      <c r="B5616" s="166"/>
      <c r="C5616" s="168"/>
      <c r="D5616" s="167"/>
      <c r="E5616" s="166"/>
      <c r="F5616" s="165"/>
      <c r="G5616" s="164"/>
    </row>
    <row r="5617" spans="1:7" x14ac:dyDescent="0.25">
      <c r="A5617" s="169" t="str">
        <f>E5617&amp;COUNTIFS($E$2:E5617,E5617)</f>
        <v>0</v>
      </c>
      <c r="B5617" s="166"/>
      <c r="C5617" s="168"/>
      <c r="D5617" s="167"/>
      <c r="E5617" s="166"/>
      <c r="F5617" s="165"/>
      <c r="G5617" s="164"/>
    </row>
    <row r="5618" spans="1:7" x14ac:dyDescent="0.25">
      <c r="A5618" s="169" t="str">
        <f>E5618&amp;COUNTIFS($E$2:E5618,E5618)</f>
        <v>0</v>
      </c>
      <c r="B5618" s="166"/>
      <c r="C5618" s="168"/>
      <c r="D5618" s="167"/>
      <c r="E5618" s="166"/>
      <c r="F5618" s="165"/>
      <c r="G5618" s="164"/>
    </row>
    <row r="5619" spans="1:7" x14ac:dyDescent="0.25">
      <c r="A5619" s="169" t="str">
        <f>E5619&amp;COUNTIFS($E$2:E5619,E5619)</f>
        <v>0</v>
      </c>
      <c r="B5619" s="166"/>
      <c r="C5619" s="168"/>
      <c r="D5619" s="167"/>
      <c r="E5619" s="166"/>
      <c r="F5619" s="165"/>
      <c r="G5619" s="164"/>
    </row>
    <row r="5620" spans="1:7" x14ac:dyDescent="0.25">
      <c r="A5620" s="169" t="str">
        <f>E5620&amp;COUNTIFS($E$2:E5620,E5620)</f>
        <v>0</v>
      </c>
      <c r="B5620" s="166"/>
      <c r="C5620" s="168"/>
      <c r="D5620" s="167"/>
      <c r="E5620" s="166"/>
      <c r="F5620" s="165"/>
      <c r="G5620" s="164"/>
    </row>
    <row r="5621" spans="1:7" x14ac:dyDescent="0.25">
      <c r="A5621" s="169" t="str">
        <f>E5621&amp;COUNTIFS($E$2:E5621,E5621)</f>
        <v>0</v>
      </c>
      <c r="B5621" s="166"/>
      <c r="C5621" s="168"/>
      <c r="D5621" s="167"/>
      <c r="E5621" s="166"/>
      <c r="F5621" s="165"/>
      <c r="G5621" s="164"/>
    </row>
    <row r="5622" spans="1:7" x14ac:dyDescent="0.25">
      <c r="A5622" s="169" t="str">
        <f>E5622&amp;COUNTIFS($E$2:E5622,E5622)</f>
        <v>0</v>
      </c>
      <c r="B5622" s="166"/>
      <c r="C5622" s="168"/>
      <c r="D5622" s="167"/>
      <c r="E5622" s="166"/>
      <c r="F5622" s="165"/>
      <c r="G5622" s="164"/>
    </row>
    <row r="5623" spans="1:7" x14ac:dyDescent="0.25">
      <c r="A5623" s="169" t="str">
        <f>E5623&amp;COUNTIFS($E$2:E5623,E5623)</f>
        <v>0</v>
      </c>
      <c r="B5623" s="166"/>
      <c r="C5623" s="168"/>
      <c r="D5623" s="167"/>
      <c r="E5623" s="166"/>
      <c r="F5623" s="165"/>
      <c r="G5623" s="164"/>
    </row>
    <row r="5624" spans="1:7" x14ac:dyDescent="0.25">
      <c r="A5624" s="169" t="str">
        <f>E5624&amp;COUNTIFS($E$2:E5624,E5624)</f>
        <v>0</v>
      </c>
      <c r="B5624" s="166"/>
      <c r="C5624" s="168"/>
      <c r="D5624" s="167"/>
      <c r="E5624" s="166"/>
      <c r="F5624" s="165"/>
      <c r="G5624" s="164"/>
    </row>
    <row r="5625" spans="1:7" x14ac:dyDescent="0.25">
      <c r="A5625" s="169" t="str">
        <f>E5625&amp;COUNTIFS($E$2:E5625,E5625)</f>
        <v>0</v>
      </c>
      <c r="B5625" s="166"/>
      <c r="C5625" s="168"/>
      <c r="D5625" s="167"/>
      <c r="E5625" s="166"/>
      <c r="F5625" s="165"/>
      <c r="G5625" s="164"/>
    </row>
    <row r="5626" spans="1:7" x14ac:dyDescent="0.25">
      <c r="A5626" s="169" t="str">
        <f>E5626&amp;COUNTIFS($E$2:E5626,E5626)</f>
        <v>0</v>
      </c>
      <c r="B5626" s="166"/>
      <c r="C5626" s="168"/>
      <c r="D5626" s="167"/>
      <c r="E5626" s="166"/>
      <c r="F5626" s="165"/>
      <c r="G5626" s="164"/>
    </row>
    <row r="5627" spans="1:7" x14ac:dyDescent="0.25">
      <c r="A5627" s="169" t="str">
        <f>E5627&amp;COUNTIFS($E$2:E5627,E5627)</f>
        <v>0</v>
      </c>
      <c r="B5627" s="166"/>
      <c r="C5627" s="168"/>
      <c r="D5627" s="167"/>
      <c r="E5627" s="166"/>
      <c r="F5627" s="165"/>
      <c r="G5627" s="164"/>
    </row>
    <row r="5628" spans="1:7" x14ac:dyDescent="0.25">
      <c r="A5628" s="169" t="str">
        <f>E5628&amp;COUNTIFS($E$2:E5628,E5628)</f>
        <v>0</v>
      </c>
      <c r="B5628" s="166"/>
      <c r="C5628" s="168"/>
      <c r="D5628" s="167"/>
      <c r="E5628" s="166"/>
      <c r="F5628" s="165"/>
      <c r="G5628" s="164"/>
    </row>
    <row r="5629" spans="1:7" x14ac:dyDescent="0.25">
      <c r="A5629" s="169" t="str">
        <f>E5629&amp;COUNTIFS($E$2:E5629,E5629)</f>
        <v>0</v>
      </c>
      <c r="B5629" s="166"/>
      <c r="C5629" s="168"/>
      <c r="D5629" s="167"/>
      <c r="E5629" s="166"/>
      <c r="F5629" s="165"/>
      <c r="G5629" s="164"/>
    </row>
    <row r="5630" spans="1:7" x14ac:dyDescent="0.25">
      <c r="A5630" s="169" t="str">
        <f>E5630&amp;COUNTIFS($E$2:E5630,E5630)</f>
        <v>0</v>
      </c>
      <c r="B5630" s="166"/>
      <c r="C5630" s="168"/>
      <c r="D5630" s="167"/>
      <c r="E5630" s="166"/>
      <c r="F5630" s="165"/>
      <c r="G5630" s="164"/>
    </row>
    <row r="5631" spans="1:7" x14ac:dyDescent="0.25">
      <c r="A5631" s="169" t="str">
        <f>E5631&amp;COUNTIFS($E$2:E5631,E5631)</f>
        <v>0</v>
      </c>
      <c r="B5631" s="166"/>
      <c r="C5631" s="168"/>
      <c r="D5631" s="167"/>
      <c r="E5631" s="166"/>
      <c r="F5631" s="165"/>
      <c r="G5631" s="164"/>
    </row>
    <row r="5632" spans="1:7" x14ac:dyDescent="0.25">
      <c r="A5632" s="169" t="str">
        <f>E5632&amp;COUNTIFS($E$2:E5632,E5632)</f>
        <v>0</v>
      </c>
      <c r="B5632" s="166"/>
      <c r="C5632" s="168"/>
      <c r="D5632" s="167"/>
      <c r="E5632" s="166"/>
      <c r="F5632" s="165"/>
      <c r="G5632" s="164"/>
    </row>
    <row r="5633" spans="1:7" x14ac:dyDescent="0.25">
      <c r="A5633" s="169" t="str">
        <f>E5633&amp;COUNTIFS($E$2:E5633,E5633)</f>
        <v>0</v>
      </c>
      <c r="B5633" s="166"/>
      <c r="C5633" s="168"/>
      <c r="D5633" s="167"/>
      <c r="E5633" s="166"/>
      <c r="F5633" s="165"/>
      <c r="G5633" s="164"/>
    </row>
    <row r="5634" spans="1:7" x14ac:dyDescent="0.25">
      <c r="A5634" s="169" t="str">
        <f>E5634&amp;COUNTIFS($E$2:E5634,E5634)</f>
        <v>0</v>
      </c>
      <c r="B5634" s="166"/>
      <c r="C5634" s="168"/>
      <c r="D5634" s="167"/>
      <c r="E5634" s="166"/>
      <c r="F5634" s="165"/>
      <c r="G5634" s="164"/>
    </row>
    <row r="5635" spans="1:7" x14ac:dyDescent="0.25">
      <c r="A5635" s="169" t="str">
        <f>E5635&amp;COUNTIFS($E$2:E5635,E5635)</f>
        <v>0</v>
      </c>
      <c r="B5635" s="166"/>
      <c r="C5635" s="168"/>
      <c r="D5635" s="167"/>
      <c r="E5635" s="166"/>
      <c r="F5635" s="165"/>
      <c r="G5635" s="164"/>
    </row>
    <row r="5636" spans="1:7" ht="15.75" thickBot="1" x14ac:dyDescent="0.3">
      <c r="A5636" s="163" t="str">
        <f>E5636&amp;COUNTIFS($E$2:E5636,E5636)</f>
        <v>0</v>
      </c>
      <c r="B5636" s="160"/>
      <c r="C5636" s="162"/>
      <c r="D5636" s="161"/>
      <c r="E5636" s="160"/>
      <c r="F5636" s="159"/>
      <c r="G5636" s="158"/>
    </row>
    <row r="5637" spans="1:7" x14ac:dyDescent="0.25">
      <c r="A5637" s="148"/>
      <c r="C5637" s="143"/>
      <c r="D5637" s="157"/>
      <c r="E5637" s="143"/>
      <c r="F5637" s="156"/>
      <c r="G5637" s="156"/>
    </row>
    <row r="5638" spans="1:7" x14ac:dyDescent="0.25">
      <c r="A5638" s="148"/>
      <c r="C5638" s="153" t="s">
        <v>623</v>
      </c>
      <c r="D5638" s="152"/>
      <c r="E5638" s="151"/>
      <c r="F5638" s="150">
        <f>SUM(F5612:F5636)</f>
        <v>0</v>
      </c>
      <c r="G5638" s="155">
        <f>SUM(G5612:G5636)</f>
        <v>0</v>
      </c>
    </row>
    <row r="5639" spans="1:7" x14ac:dyDescent="0.25">
      <c r="A5639" s="148"/>
      <c r="C5639" s="145" t="s">
        <v>622</v>
      </c>
      <c r="D5639" s="154"/>
      <c r="E5639" s="145"/>
      <c r="F5639" s="144"/>
      <c r="G5639" s="144"/>
    </row>
    <row r="5640" spans="1:7" x14ac:dyDescent="0.25">
      <c r="A5640" s="148"/>
      <c r="C5640" s="153" t="s">
        <v>621</v>
      </c>
      <c r="D5640" s="152"/>
      <c r="E5640" s="151"/>
      <c r="F5640" s="150">
        <f>F5607</f>
        <v>0</v>
      </c>
      <c r="G5640" s="150">
        <f>G5607</f>
        <v>0</v>
      </c>
    </row>
    <row r="5641" spans="1:7" x14ac:dyDescent="0.25">
      <c r="A5641" s="148"/>
      <c r="C5641" s="153" t="s">
        <v>582</v>
      </c>
      <c r="D5641" s="152"/>
      <c r="E5641" s="151"/>
      <c r="F5641" s="150">
        <f>F5640+F5638</f>
        <v>0</v>
      </c>
      <c r="G5641" s="150">
        <f>G5640+G5638</f>
        <v>0</v>
      </c>
    </row>
    <row r="5642" spans="1:7" ht="15.75" thickBot="1" x14ac:dyDescent="0.3">
      <c r="A5642" s="148"/>
      <c r="C5642" s="145"/>
      <c r="D5642" s="149"/>
      <c r="E5642" s="145"/>
      <c r="F5642" s="144"/>
      <c r="G5642" s="144"/>
    </row>
    <row r="5643" spans="1:7" ht="15.75" thickBot="1" x14ac:dyDescent="0.3">
      <c r="A5643" s="148"/>
      <c r="C5643" s="147" t="s">
        <v>620</v>
      </c>
      <c r="D5643" s="146">
        <f>F5641-G5641</f>
        <v>0</v>
      </c>
      <c r="E5643" s="145"/>
      <c r="F5643" s="144"/>
      <c r="G5643" s="144"/>
    </row>
    <row r="5644" spans="1:7" ht="15.75" thickBot="1" x14ac:dyDescent="0.3">
      <c r="A5644" s="148"/>
      <c r="C5644" s="145"/>
      <c r="D5644" s="144"/>
      <c r="E5644" s="145"/>
      <c r="F5644" s="144"/>
      <c r="G5644" s="144"/>
    </row>
    <row r="5645" spans="1:7" ht="30.75" thickBot="1" x14ac:dyDescent="0.3">
      <c r="A5645" s="196" t="s">
        <v>626</v>
      </c>
      <c r="B5645" s="195" t="s">
        <v>606</v>
      </c>
      <c r="C5645" s="194" t="s">
        <v>628</v>
      </c>
      <c r="D5645" s="193" t="s">
        <v>601</v>
      </c>
      <c r="E5645" s="192" t="s">
        <v>287</v>
      </c>
      <c r="F5645" s="191" t="s">
        <v>624</v>
      </c>
      <c r="G5645" s="191" t="s">
        <v>596</v>
      </c>
    </row>
    <row r="5646" spans="1:7" x14ac:dyDescent="0.25">
      <c r="A5646" s="175" t="str">
        <f>E5646&amp;COUNTIFS($E$2:E5646,E5646)</f>
        <v>0</v>
      </c>
      <c r="B5646" s="172"/>
      <c r="C5646" s="174"/>
      <c r="D5646" s="173"/>
      <c r="E5646" s="172"/>
      <c r="F5646" s="171"/>
      <c r="G5646" s="170"/>
    </row>
    <row r="5647" spans="1:7" x14ac:dyDescent="0.25">
      <c r="A5647" s="169" t="str">
        <f>E5647&amp;COUNTIFS($E$2:E5647,E5647)</f>
        <v>0</v>
      </c>
      <c r="B5647" s="166"/>
      <c r="C5647" s="168"/>
      <c r="D5647" s="167"/>
      <c r="E5647" s="166"/>
      <c r="F5647" s="165"/>
      <c r="G5647" s="164"/>
    </row>
    <row r="5648" spans="1:7" x14ac:dyDescent="0.25">
      <c r="A5648" s="169" t="str">
        <f>E5648&amp;COUNTIFS($E$2:E5648,E5648)</f>
        <v>0</v>
      </c>
      <c r="B5648" s="166"/>
      <c r="C5648" s="168"/>
      <c r="D5648" s="167"/>
      <c r="E5648" s="166"/>
      <c r="F5648" s="165"/>
      <c r="G5648" s="164"/>
    </row>
    <row r="5649" spans="1:7" x14ac:dyDescent="0.25">
      <c r="A5649" s="169" t="str">
        <f>E5649&amp;COUNTIFS($E$2:E5649,E5649)</f>
        <v>0</v>
      </c>
      <c r="B5649" s="166"/>
      <c r="C5649" s="168"/>
      <c r="D5649" s="167"/>
      <c r="E5649" s="166"/>
      <c r="F5649" s="165"/>
      <c r="G5649" s="164"/>
    </row>
    <row r="5650" spans="1:7" x14ac:dyDescent="0.25">
      <c r="A5650" s="169" t="str">
        <f>E5650&amp;COUNTIFS($E$2:E5650,E5650)</f>
        <v>0</v>
      </c>
      <c r="B5650" s="166"/>
      <c r="C5650" s="168"/>
      <c r="D5650" s="167"/>
      <c r="E5650" s="166"/>
      <c r="F5650" s="165"/>
      <c r="G5650" s="164"/>
    </row>
    <row r="5651" spans="1:7" x14ac:dyDescent="0.25">
      <c r="A5651" s="169" t="str">
        <f>E5651&amp;COUNTIFS($E$2:E5651,E5651)</f>
        <v>0</v>
      </c>
      <c r="B5651" s="166"/>
      <c r="C5651" s="168"/>
      <c r="D5651" s="167"/>
      <c r="E5651" s="166"/>
      <c r="F5651" s="165"/>
      <c r="G5651" s="164"/>
    </row>
    <row r="5652" spans="1:7" x14ac:dyDescent="0.25">
      <c r="A5652" s="169" t="str">
        <f>E5652&amp;COUNTIFS($E$2:E5652,E5652)</f>
        <v>0</v>
      </c>
      <c r="B5652" s="166"/>
      <c r="C5652" s="168"/>
      <c r="D5652" s="167"/>
      <c r="E5652" s="166"/>
      <c r="F5652" s="165"/>
      <c r="G5652" s="164"/>
    </row>
    <row r="5653" spans="1:7" x14ac:dyDescent="0.25">
      <c r="A5653" s="169" t="str">
        <f>E5653&amp;COUNTIFS($E$2:E5653,E5653)</f>
        <v>0</v>
      </c>
      <c r="B5653" s="166"/>
      <c r="C5653" s="168"/>
      <c r="D5653" s="167"/>
      <c r="E5653" s="166"/>
      <c r="F5653" s="165"/>
      <c r="G5653" s="164"/>
    </row>
    <row r="5654" spans="1:7" x14ac:dyDescent="0.25">
      <c r="A5654" s="169" t="str">
        <f>E5654&amp;COUNTIFS($E$2:E5654,E5654)</f>
        <v>0</v>
      </c>
      <c r="B5654" s="166"/>
      <c r="C5654" s="168"/>
      <c r="D5654" s="167"/>
      <c r="E5654" s="166"/>
      <c r="F5654" s="165"/>
      <c r="G5654" s="164"/>
    </row>
    <row r="5655" spans="1:7" x14ac:dyDescent="0.25">
      <c r="A5655" s="169" t="str">
        <f>E5655&amp;COUNTIFS($E$2:E5655,E5655)</f>
        <v>0</v>
      </c>
      <c r="B5655" s="166"/>
      <c r="C5655" s="168"/>
      <c r="D5655" s="167"/>
      <c r="E5655" s="166"/>
      <c r="F5655" s="165"/>
      <c r="G5655" s="164"/>
    </row>
    <row r="5656" spans="1:7" x14ac:dyDescent="0.25">
      <c r="A5656" s="169" t="str">
        <f>E5656&amp;COUNTIFS($E$2:E5656,E5656)</f>
        <v>0</v>
      </c>
      <c r="B5656" s="166"/>
      <c r="C5656" s="168"/>
      <c r="D5656" s="167"/>
      <c r="E5656" s="166"/>
      <c r="F5656" s="165"/>
      <c r="G5656" s="164"/>
    </row>
    <row r="5657" spans="1:7" x14ac:dyDescent="0.25">
      <c r="A5657" s="169" t="str">
        <f>E5657&amp;COUNTIFS($E$2:E5657,E5657)</f>
        <v>0</v>
      </c>
      <c r="B5657" s="166"/>
      <c r="C5657" s="168"/>
      <c r="D5657" s="167"/>
      <c r="E5657" s="166"/>
      <c r="F5657" s="165"/>
      <c r="G5657" s="164"/>
    </row>
    <row r="5658" spans="1:7" x14ac:dyDescent="0.25">
      <c r="A5658" s="169" t="str">
        <f>E5658&amp;COUNTIFS($E$2:E5658,E5658)</f>
        <v>0</v>
      </c>
      <c r="B5658" s="166"/>
      <c r="C5658" s="168"/>
      <c r="D5658" s="167"/>
      <c r="E5658" s="166"/>
      <c r="F5658" s="165"/>
      <c r="G5658" s="164"/>
    </row>
    <row r="5659" spans="1:7" x14ac:dyDescent="0.25">
      <c r="A5659" s="169" t="str">
        <f>E5659&amp;COUNTIFS($E$2:E5659,E5659)</f>
        <v>0</v>
      </c>
      <c r="B5659" s="166"/>
      <c r="C5659" s="168"/>
      <c r="D5659" s="167"/>
      <c r="E5659" s="166"/>
      <c r="F5659" s="165"/>
      <c r="G5659" s="164"/>
    </row>
    <row r="5660" spans="1:7" x14ac:dyDescent="0.25">
      <c r="A5660" s="169" t="str">
        <f>E5660&amp;COUNTIFS($E$2:E5660,E5660)</f>
        <v>0</v>
      </c>
      <c r="B5660" s="166"/>
      <c r="C5660" s="168"/>
      <c r="D5660" s="167"/>
      <c r="E5660" s="166"/>
      <c r="F5660" s="165"/>
      <c r="G5660" s="164"/>
    </row>
    <row r="5661" spans="1:7" x14ac:dyDescent="0.25">
      <c r="A5661" s="169" t="str">
        <f>E5661&amp;COUNTIFS($E$2:E5661,E5661)</f>
        <v>0</v>
      </c>
      <c r="B5661" s="166"/>
      <c r="C5661" s="168"/>
      <c r="D5661" s="167"/>
      <c r="E5661" s="166"/>
      <c r="F5661" s="165"/>
      <c r="G5661" s="164"/>
    </row>
    <row r="5662" spans="1:7" x14ac:dyDescent="0.25">
      <c r="A5662" s="169" t="str">
        <f>E5662&amp;COUNTIFS($E$2:E5662,E5662)</f>
        <v>0</v>
      </c>
      <c r="B5662" s="166"/>
      <c r="C5662" s="168"/>
      <c r="D5662" s="167"/>
      <c r="E5662" s="166"/>
      <c r="F5662" s="165"/>
      <c r="G5662" s="164"/>
    </row>
    <row r="5663" spans="1:7" x14ac:dyDescent="0.25">
      <c r="A5663" s="169" t="str">
        <f>E5663&amp;COUNTIFS($E$2:E5663,E5663)</f>
        <v>0</v>
      </c>
      <c r="B5663" s="166"/>
      <c r="C5663" s="168"/>
      <c r="D5663" s="167"/>
      <c r="E5663" s="166"/>
      <c r="F5663" s="165"/>
      <c r="G5663" s="164"/>
    </row>
    <row r="5664" spans="1:7" x14ac:dyDescent="0.25">
      <c r="A5664" s="169" t="str">
        <f>E5664&amp;COUNTIFS($E$2:E5664,E5664)</f>
        <v>0</v>
      </c>
      <c r="B5664" s="166"/>
      <c r="C5664" s="168"/>
      <c r="D5664" s="167"/>
      <c r="E5664" s="166"/>
      <c r="F5664" s="165"/>
      <c r="G5664" s="164"/>
    </row>
    <row r="5665" spans="1:7" x14ac:dyDescent="0.25">
      <c r="A5665" s="169" t="str">
        <f>E5665&amp;COUNTIFS($E$2:E5665,E5665)</f>
        <v>0</v>
      </c>
      <c r="B5665" s="166"/>
      <c r="C5665" s="168"/>
      <c r="D5665" s="167"/>
      <c r="E5665" s="166"/>
      <c r="F5665" s="165"/>
      <c r="G5665" s="164"/>
    </row>
    <row r="5666" spans="1:7" x14ac:dyDescent="0.25">
      <c r="A5666" s="169" t="str">
        <f>E5666&amp;COUNTIFS($E$2:E5666,E5666)</f>
        <v>0</v>
      </c>
      <c r="B5666" s="166"/>
      <c r="C5666" s="168"/>
      <c r="D5666" s="167"/>
      <c r="E5666" s="166"/>
      <c r="F5666" s="165"/>
      <c r="G5666" s="164"/>
    </row>
    <row r="5667" spans="1:7" x14ac:dyDescent="0.25">
      <c r="A5667" s="169" t="str">
        <f>E5667&amp;COUNTIFS($E$2:E5667,E5667)</f>
        <v>0</v>
      </c>
      <c r="B5667" s="166"/>
      <c r="C5667" s="168"/>
      <c r="D5667" s="167"/>
      <c r="E5667" s="166"/>
      <c r="F5667" s="165"/>
      <c r="G5667" s="164"/>
    </row>
    <row r="5668" spans="1:7" x14ac:dyDescent="0.25">
      <c r="A5668" s="169" t="str">
        <f>E5668&amp;COUNTIFS($E$2:E5668,E5668)</f>
        <v>0</v>
      </c>
      <c r="B5668" s="166"/>
      <c r="C5668" s="168"/>
      <c r="D5668" s="167"/>
      <c r="E5668" s="166"/>
      <c r="F5668" s="165"/>
      <c r="G5668" s="164"/>
    </row>
    <row r="5669" spans="1:7" x14ac:dyDescent="0.25">
      <c r="A5669" s="169" t="str">
        <f>E5669&amp;COUNTIFS($E$2:E5669,E5669)</f>
        <v>0</v>
      </c>
      <c r="B5669" s="166"/>
      <c r="C5669" s="168"/>
      <c r="D5669" s="167"/>
      <c r="E5669" s="166"/>
      <c r="F5669" s="165"/>
      <c r="G5669" s="164"/>
    </row>
    <row r="5670" spans="1:7" ht="15.75" thickBot="1" x14ac:dyDescent="0.3">
      <c r="A5670" s="163" t="str">
        <f>E5670&amp;COUNTIFS($E$2:E5670,E5670)</f>
        <v>0</v>
      </c>
      <c r="B5670" s="160"/>
      <c r="C5670" s="162"/>
      <c r="D5670" s="161"/>
      <c r="E5670" s="160"/>
      <c r="F5670" s="159"/>
      <c r="G5670" s="158"/>
    </row>
    <row r="5671" spans="1:7" x14ac:dyDescent="0.25">
      <c r="A5671" s="148"/>
      <c r="C5671" s="143"/>
      <c r="D5671" s="157"/>
      <c r="E5671" s="143"/>
      <c r="F5671" s="156"/>
      <c r="G5671" s="156"/>
    </row>
    <row r="5672" spans="1:7" x14ac:dyDescent="0.25">
      <c r="A5672" s="148"/>
      <c r="C5672" s="153" t="s">
        <v>623</v>
      </c>
      <c r="D5672" s="152"/>
      <c r="E5672" s="151"/>
      <c r="F5672" s="150">
        <f>SUM(F5646:F5670)</f>
        <v>0</v>
      </c>
      <c r="G5672" s="155">
        <f>SUM(G5646:G5670)</f>
        <v>0</v>
      </c>
    </row>
    <row r="5673" spans="1:7" x14ac:dyDescent="0.25">
      <c r="A5673" s="148"/>
      <c r="C5673" s="145" t="s">
        <v>622</v>
      </c>
      <c r="D5673" s="154"/>
      <c r="E5673" s="145"/>
      <c r="F5673" s="144"/>
      <c r="G5673" s="144"/>
    </row>
    <row r="5674" spans="1:7" x14ac:dyDescent="0.25">
      <c r="A5674" s="148"/>
      <c r="C5674" s="153" t="s">
        <v>621</v>
      </c>
      <c r="D5674" s="152"/>
      <c r="E5674" s="151"/>
      <c r="F5674" s="150">
        <f>F5641</f>
        <v>0</v>
      </c>
      <c r="G5674" s="150">
        <f>G5641</f>
        <v>0</v>
      </c>
    </row>
    <row r="5675" spans="1:7" x14ac:dyDescent="0.25">
      <c r="A5675" s="148"/>
      <c r="C5675" s="153" t="s">
        <v>582</v>
      </c>
      <c r="D5675" s="152"/>
      <c r="E5675" s="151"/>
      <c r="F5675" s="150">
        <f>F5674+F5672</f>
        <v>0</v>
      </c>
      <c r="G5675" s="150">
        <f>G5674+G5672</f>
        <v>0</v>
      </c>
    </row>
    <row r="5676" spans="1:7" ht="15.75" thickBot="1" x14ac:dyDescent="0.3">
      <c r="A5676" s="148"/>
      <c r="C5676" s="145"/>
      <c r="D5676" s="149"/>
      <c r="E5676" s="145"/>
      <c r="F5676" s="144"/>
      <c r="G5676" s="144"/>
    </row>
    <row r="5677" spans="1:7" ht="15.75" thickBot="1" x14ac:dyDescent="0.3">
      <c r="A5677" s="148"/>
      <c r="C5677" s="147" t="s">
        <v>620</v>
      </c>
      <c r="D5677" s="146">
        <f>F5675-G5675</f>
        <v>0</v>
      </c>
      <c r="E5677" s="145"/>
      <c r="F5677" s="144"/>
      <c r="G5677" s="144"/>
    </row>
    <row r="5678" spans="1:7" ht="15.75" thickBot="1" x14ac:dyDescent="0.3">
      <c r="A5678" s="148"/>
      <c r="C5678" s="145"/>
      <c r="D5678" s="144"/>
      <c r="E5678" s="145"/>
      <c r="F5678" s="144"/>
      <c r="G5678" s="144"/>
    </row>
    <row r="5679" spans="1:7" ht="30.75" thickBot="1" x14ac:dyDescent="0.3">
      <c r="A5679" s="196" t="s">
        <v>626</v>
      </c>
      <c r="B5679" s="195" t="s">
        <v>606</v>
      </c>
      <c r="C5679" s="194" t="s">
        <v>628</v>
      </c>
      <c r="D5679" s="193" t="s">
        <v>601</v>
      </c>
      <c r="E5679" s="192" t="s">
        <v>287</v>
      </c>
      <c r="F5679" s="191" t="s">
        <v>624</v>
      </c>
      <c r="G5679" s="191" t="s">
        <v>596</v>
      </c>
    </row>
    <row r="5680" spans="1:7" x14ac:dyDescent="0.25">
      <c r="A5680" s="175" t="str">
        <f>E5680&amp;COUNTIFS($E$2:E5680,E5680)</f>
        <v>0</v>
      </c>
      <c r="B5680" s="172"/>
      <c r="C5680" s="174"/>
      <c r="D5680" s="173"/>
      <c r="E5680" s="172"/>
      <c r="F5680" s="171"/>
      <c r="G5680" s="170"/>
    </row>
    <row r="5681" spans="1:7" x14ac:dyDescent="0.25">
      <c r="A5681" s="169" t="str">
        <f>E5681&amp;COUNTIFS($E$2:E5681,E5681)</f>
        <v>0</v>
      </c>
      <c r="B5681" s="166"/>
      <c r="C5681" s="168"/>
      <c r="D5681" s="167"/>
      <c r="E5681" s="166"/>
      <c r="F5681" s="165"/>
      <c r="G5681" s="164"/>
    </row>
    <row r="5682" spans="1:7" x14ac:dyDescent="0.25">
      <c r="A5682" s="169" t="str">
        <f>E5682&amp;COUNTIFS($E$2:E5682,E5682)</f>
        <v>0</v>
      </c>
      <c r="B5682" s="166"/>
      <c r="C5682" s="168"/>
      <c r="D5682" s="167"/>
      <c r="E5682" s="166"/>
      <c r="F5682" s="165"/>
      <c r="G5682" s="164"/>
    </row>
    <row r="5683" spans="1:7" x14ac:dyDescent="0.25">
      <c r="A5683" s="169" t="str">
        <f>E5683&amp;COUNTIFS($E$2:E5683,E5683)</f>
        <v>0</v>
      </c>
      <c r="B5683" s="166"/>
      <c r="C5683" s="168"/>
      <c r="D5683" s="167"/>
      <c r="E5683" s="166"/>
      <c r="F5683" s="165"/>
      <c r="G5683" s="164"/>
    </row>
    <row r="5684" spans="1:7" x14ac:dyDescent="0.25">
      <c r="A5684" s="169" t="str">
        <f>E5684&amp;COUNTIFS($E$2:E5684,E5684)</f>
        <v>0</v>
      </c>
      <c r="B5684" s="166"/>
      <c r="C5684" s="168"/>
      <c r="D5684" s="167"/>
      <c r="E5684" s="166"/>
      <c r="F5684" s="165"/>
      <c r="G5684" s="164"/>
    </row>
    <row r="5685" spans="1:7" x14ac:dyDescent="0.25">
      <c r="A5685" s="169" t="str">
        <f>E5685&amp;COUNTIFS($E$2:E5685,E5685)</f>
        <v>0</v>
      </c>
      <c r="B5685" s="166"/>
      <c r="C5685" s="168"/>
      <c r="D5685" s="167"/>
      <c r="E5685" s="166"/>
      <c r="F5685" s="165"/>
      <c r="G5685" s="164"/>
    </row>
    <row r="5686" spans="1:7" x14ac:dyDescent="0.25">
      <c r="A5686" s="169" t="str">
        <f>E5686&amp;COUNTIFS($E$2:E5686,E5686)</f>
        <v>0</v>
      </c>
      <c r="B5686" s="166"/>
      <c r="C5686" s="168"/>
      <c r="D5686" s="167"/>
      <c r="E5686" s="166"/>
      <c r="F5686" s="165"/>
      <c r="G5686" s="164"/>
    </row>
    <row r="5687" spans="1:7" x14ac:dyDescent="0.25">
      <c r="A5687" s="169" t="str">
        <f>E5687&amp;COUNTIFS($E$2:E5687,E5687)</f>
        <v>0</v>
      </c>
      <c r="B5687" s="166"/>
      <c r="C5687" s="168"/>
      <c r="D5687" s="167"/>
      <c r="E5687" s="166"/>
      <c r="F5687" s="165"/>
      <c r="G5687" s="164"/>
    </row>
    <row r="5688" spans="1:7" x14ac:dyDescent="0.25">
      <c r="A5688" s="169" t="str">
        <f>E5688&amp;COUNTIFS($E$2:E5688,E5688)</f>
        <v>0</v>
      </c>
      <c r="B5688" s="166"/>
      <c r="C5688" s="168"/>
      <c r="D5688" s="167"/>
      <c r="E5688" s="166"/>
      <c r="F5688" s="165"/>
      <c r="G5688" s="164"/>
    </row>
    <row r="5689" spans="1:7" x14ac:dyDescent="0.25">
      <c r="A5689" s="169" t="str">
        <f>E5689&amp;COUNTIFS($E$2:E5689,E5689)</f>
        <v>0</v>
      </c>
      <c r="B5689" s="166"/>
      <c r="C5689" s="168"/>
      <c r="D5689" s="167"/>
      <c r="E5689" s="166"/>
      <c r="F5689" s="165"/>
      <c r="G5689" s="164"/>
    </row>
    <row r="5690" spans="1:7" x14ac:dyDescent="0.25">
      <c r="A5690" s="169" t="str">
        <f>E5690&amp;COUNTIFS($E$2:E5690,E5690)</f>
        <v>0</v>
      </c>
      <c r="B5690" s="166"/>
      <c r="C5690" s="168"/>
      <c r="D5690" s="167"/>
      <c r="E5690" s="166"/>
      <c r="F5690" s="165"/>
      <c r="G5690" s="164"/>
    </row>
    <row r="5691" spans="1:7" x14ac:dyDescent="0.25">
      <c r="A5691" s="169" t="str">
        <f>E5691&amp;COUNTIFS($E$2:E5691,E5691)</f>
        <v>0</v>
      </c>
      <c r="B5691" s="166"/>
      <c r="C5691" s="168"/>
      <c r="D5691" s="167"/>
      <c r="E5691" s="166"/>
      <c r="F5691" s="165"/>
      <c r="G5691" s="164"/>
    </row>
    <row r="5692" spans="1:7" x14ac:dyDescent="0.25">
      <c r="A5692" s="169" t="str">
        <f>E5692&amp;COUNTIFS($E$2:E5692,E5692)</f>
        <v>0</v>
      </c>
      <c r="B5692" s="166"/>
      <c r="C5692" s="168"/>
      <c r="D5692" s="167"/>
      <c r="E5692" s="166"/>
      <c r="F5692" s="165"/>
      <c r="G5692" s="164"/>
    </row>
    <row r="5693" spans="1:7" x14ac:dyDescent="0.25">
      <c r="A5693" s="169" t="str">
        <f>E5693&amp;COUNTIFS($E$2:E5693,E5693)</f>
        <v>0</v>
      </c>
      <c r="B5693" s="166"/>
      <c r="C5693" s="168"/>
      <c r="D5693" s="167"/>
      <c r="E5693" s="166"/>
      <c r="F5693" s="165"/>
      <c r="G5693" s="164"/>
    </row>
    <row r="5694" spans="1:7" x14ac:dyDescent="0.25">
      <c r="A5694" s="169" t="str">
        <f>E5694&amp;COUNTIFS($E$2:E5694,E5694)</f>
        <v>0</v>
      </c>
      <c r="B5694" s="166"/>
      <c r="C5694" s="168"/>
      <c r="D5694" s="167"/>
      <c r="E5694" s="166"/>
      <c r="F5694" s="165"/>
      <c r="G5694" s="164"/>
    </row>
    <row r="5695" spans="1:7" x14ac:dyDescent="0.25">
      <c r="A5695" s="169" t="str">
        <f>E5695&amp;COUNTIFS($E$2:E5695,E5695)</f>
        <v>0</v>
      </c>
      <c r="B5695" s="166"/>
      <c r="C5695" s="168"/>
      <c r="D5695" s="167"/>
      <c r="E5695" s="166"/>
      <c r="F5695" s="165"/>
      <c r="G5695" s="164"/>
    </row>
    <row r="5696" spans="1:7" x14ac:dyDescent="0.25">
      <c r="A5696" s="169" t="str">
        <f>E5696&amp;COUNTIFS($E$2:E5696,E5696)</f>
        <v>0</v>
      </c>
      <c r="B5696" s="166"/>
      <c r="C5696" s="168"/>
      <c r="D5696" s="167"/>
      <c r="E5696" s="166"/>
      <c r="F5696" s="165"/>
      <c r="G5696" s="164"/>
    </row>
    <row r="5697" spans="1:7" x14ac:dyDescent="0.25">
      <c r="A5697" s="169" t="str">
        <f>E5697&amp;COUNTIFS($E$2:E5697,E5697)</f>
        <v>0</v>
      </c>
      <c r="B5697" s="166"/>
      <c r="C5697" s="168"/>
      <c r="D5697" s="167"/>
      <c r="E5697" s="166"/>
      <c r="F5697" s="165"/>
      <c r="G5697" s="164"/>
    </row>
    <row r="5698" spans="1:7" x14ac:dyDescent="0.25">
      <c r="A5698" s="169" t="str">
        <f>E5698&amp;COUNTIFS($E$2:E5698,E5698)</f>
        <v>0</v>
      </c>
      <c r="B5698" s="166"/>
      <c r="C5698" s="168"/>
      <c r="D5698" s="167"/>
      <c r="E5698" s="166"/>
      <c r="F5698" s="165"/>
      <c r="G5698" s="164"/>
    </row>
    <row r="5699" spans="1:7" x14ac:dyDescent="0.25">
      <c r="A5699" s="169" t="str">
        <f>E5699&amp;COUNTIFS($E$2:E5699,E5699)</f>
        <v>0</v>
      </c>
      <c r="B5699" s="166"/>
      <c r="C5699" s="168"/>
      <c r="D5699" s="167"/>
      <c r="E5699" s="166"/>
      <c r="F5699" s="165"/>
      <c r="G5699" s="164"/>
    </row>
    <row r="5700" spans="1:7" x14ac:dyDescent="0.25">
      <c r="A5700" s="169" t="str">
        <f>E5700&amp;COUNTIFS($E$2:E5700,E5700)</f>
        <v>0</v>
      </c>
      <c r="B5700" s="166"/>
      <c r="C5700" s="168"/>
      <c r="D5700" s="167"/>
      <c r="E5700" s="166"/>
      <c r="F5700" s="165"/>
      <c r="G5700" s="164"/>
    </row>
    <row r="5701" spans="1:7" x14ac:dyDescent="0.25">
      <c r="A5701" s="169" t="str">
        <f>E5701&amp;COUNTIFS($E$2:E5701,E5701)</f>
        <v>0</v>
      </c>
      <c r="B5701" s="166"/>
      <c r="C5701" s="168"/>
      <c r="D5701" s="167"/>
      <c r="E5701" s="166"/>
      <c r="F5701" s="165"/>
      <c r="G5701" s="164"/>
    </row>
    <row r="5702" spans="1:7" x14ac:dyDescent="0.25">
      <c r="A5702" s="169" t="str">
        <f>E5702&amp;COUNTIFS($E$2:E5702,E5702)</f>
        <v>0</v>
      </c>
      <c r="B5702" s="166"/>
      <c r="C5702" s="168"/>
      <c r="D5702" s="167"/>
      <c r="E5702" s="166"/>
      <c r="F5702" s="165"/>
      <c r="G5702" s="164"/>
    </row>
    <row r="5703" spans="1:7" x14ac:dyDescent="0.25">
      <c r="A5703" s="169" t="str">
        <f>E5703&amp;COUNTIFS($E$2:E5703,E5703)</f>
        <v>0</v>
      </c>
      <c r="B5703" s="166"/>
      <c r="C5703" s="168"/>
      <c r="D5703" s="167"/>
      <c r="E5703" s="166"/>
      <c r="F5703" s="165"/>
      <c r="G5703" s="164"/>
    </row>
    <row r="5704" spans="1:7" ht="15.75" thickBot="1" x14ac:dyDescent="0.3">
      <c r="A5704" s="163" t="str">
        <f>E5704&amp;COUNTIFS($E$2:E5704,E5704)</f>
        <v>0</v>
      </c>
      <c r="B5704" s="160"/>
      <c r="C5704" s="162"/>
      <c r="D5704" s="161"/>
      <c r="E5704" s="160"/>
      <c r="F5704" s="159"/>
      <c r="G5704" s="158"/>
    </row>
    <row r="5705" spans="1:7" x14ac:dyDescent="0.25">
      <c r="A5705" s="148"/>
      <c r="C5705" s="143"/>
      <c r="D5705" s="157"/>
      <c r="E5705" s="143"/>
      <c r="F5705" s="156"/>
      <c r="G5705" s="156"/>
    </row>
    <row r="5706" spans="1:7" x14ac:dyDescent="0.25">
      <c r="A5706" s="148"/>
      <c r="C5706" s="153" t="s">
        <v>623</v>
      </c>
      <c r="D5706" s="152"/>
      <c r="E5706" s="151"/>
      <c r="F5706" s="150">
        <f>SUM(F5680:F5704)</f>
        <v>0</v>
      </c>
      <c r="G5706" s="155">
        <f>SUM(G5680:G5704)</f>
        <v>0</v>
      </c>
    </row>
    <row r="5707" spans="1:7" x14ac:dyDescent="0.25">
      <c r="A5707" s="148"/>
      <c r="C5707" s="145" t="s">
        <v>622</v>
      </c>
      <c r="D5707" s="154"/>
      <c r="E5707" s="145"/>
      <c r="F5707" s="144"/>
      <c r="G5707" s="144"/>
    </row>
    <row r="5708" spans="1:7" x14ac:dyDescent="0.25">
      <c r="A5708" s="148"/>
      <c r="C5708" s="153" t="s">
        <v>621</v>
      </c>
      <c r="D5708" s="152"/>
      <c r="E5708" s="151"/>
      <c r="F5708" s="150">
        <f>F5675</f>
        <v>0</v>
      </c>
      <c r="G5708" s="150">
        <f>G5675</f>
        <v>0</v>
      </c>
    </row>
    <row r="5709" spans="1:7" x14ac:dyDescent="0.25">
      <c r="A5709" s="148"/>
      <c r="C5709" s="153" t="s">
        <v>582</v>
      </c>
      <c r="D5709" s="152"/>
      <c r="E5709" s="151"/>
      <c r="F5709" s="150">
        <f>F5708+F5706</f>
        <v>0</v>
      </c>
      <c r="G5709" s="150">
        <f>G5708+G5706</f>
        <v>0</v>
      </c>
    </row>
    <row r="5710" spans="1:7" ht="15.75" thickBot="1" x14ac:dyDescent="0.3">
      <c r="A5710" s="148"/>
      <c r="C5710" s="145"/>
      <c r="D5710" s="149"/>
      <c r="E5710" s="145"/>
      <c r="F5710" s="144"/>
      <c r="G5710" s="144"/>
    </row>
    <row r="5711" spans="1:7" ht="15.75" thickBot="1" x14ac:dyDescent="0.3">
      <c r="A5711" s="148"/>
      <c r="C5711" s="147" t="s">
        <v>620</v>
      </c>
      <c r="D5711" s="146">
        <f>F5709-G5709</f>
        <v>0</v>
      </c>
      <c r="E5711" s="145"/>
      <c r="F5711" s="144"/>
      <c r="G5711" s="144"/>
    </row>
    <row r="5712" spans="1:7" ht="15.75" thickBot="1" x14ac:dyDescent="0.3">
      <c r="A5712" s="148"/>
      <c r="C5712" s="145"/>
      <c r="D5712" s="144"/>
      <c r="E5712" s="145"/>
      <c r="F5712" s="144"/>
      <c r="G5712" s="144"/>
    </row>
    <row r="5713" spans="1:7" ht="30.75" thickBot="1" x14ac:dyDescent="0.3">
      <c r="A5713" s="196" t="s">
        <v>626</v>
      </c>
      <c r="B5713" s="195" t="s">
        <v>606</v>
      </c>
      <c r="C5713" s="194" t="s">
        <v>628</v>
      </c>
      <c r="D5713" s="193" t="s">
        <v>601</v>
      </c>
      <c r="E5713" s="192" t="s">
        <v>287</v>
      </c>
      <c r="F5713" s="191" t="s">
        <v>624</v>
      </c>
      <c r="G5713" s="191" t="s">
        <v>596</v>
      </c>
    </row>
    <row r="5714" spans="1:7" x14ac:dyDescent="0.25">
      <c r="A5714" s="175" t="str">
        <f>E5714&amp;COUNTIFS($E$2:E5714,E5714)</f>
        <v>0</v>
      </c>
      <c r="B5714" s="172"/>
      <c r="C5714" s="174"/>
      <c r="D5714" s="173"/>
      <c r="E5714" s="172"/>
      <c r="F5714" s="171"/>
      <c r="G5714" s="170"/>
    </row>
    <row r="5715" spans="1:7" x14ac:dyDescent="0.25">
      <c r="A5715" s="169" t="str">
        <f>E5715&amp;COUNTIFS($E$2:E5715,E5715)</f>
        <v>0</v>
      </c>
      <c r="B5715" s="166"/>
      <c r="C5715" s="168"/>
      <c r="D5715" s="167"/>
      <c r="E5715" s="166"/>
      <c r="F5715" s="165"/>
      <c r="G5715" s="164"/>
    </row>
    <row r="5716" spans="1:7" x14ac:dyDescent="0.25">
      <c r="A5716" s="169" t="str">
        <f>E5716&amp;COUNTIFS($E$2:E5716,E5716)</f>
        <v>0</v>
      </c>
      <c r="B5716" s="166"/>
      <c r="C5716" s="168"/>
      <c r="D5716" s="167"/>
      <c r="E5716" s="166"/>
      <c r="F5716" s="165"/>
      <c r="G5716" s="164"/>
    </row>
    <row r="5717" spans="1:7" x14ac:dyDescent="0.25">
      <c r="A5717" s="169" t="str">
        <f>E5717&amp;COUNTIFS($E$2:E5717,E5717)</f>
        <v>0</v>
      </c>
      <c r="B5717" s="166"/>
      <c r="C5717" s="168"/>
      <c r="D5717" s="167"/>
      <c r="E5717" s="166"/>
      <c r="F5717" s="165"/>
      <c r="G5717" s="164"/>
    </row>
    <row r="5718" spans="1:7" x14ac:dyDescent="0.25">
      <c r="A5718" s="169" t="str">
        <f>E5718&amp;COUNTIFS($E$2:E5718,E5718)</f>
        <v>0</v>
      </c>
      <c r="B5718" s="166"/>
      <c r="C5718" s="168"/>
      <c r="D5718" s="167"/>
      <c r="E5718" s="166"/>
      <c r="F5718" s="165"/>
      <c r="G5718" s="164"/>
    </row>
    <row r="5719" spans="1:7" x14ac:dyDescent="0.25">
      <c r="A5719" s="169" t="str">
        <f>E5719&amp;COUNTIFS($E$2:E5719,E5719)</f>
        <v>0</v>
      </c>
      <c r="B5719" s="166"/>
      <c r="C5719" s="168"/>
      <c r="D5719" s="167"/>
      <c r="E5719" s="166"/>
      <c r="F5719" s="165"/>
      <c r="G5719" s="164"/>
    </row>
    <row r="5720" spans="1:7" x14ac:dyDescent="0.25">
      <c r="A5720" s="169" t="str">
        <f>E5720&amp;COUNTIFS($E$2:E5720,E5720)</f>
        <v>0</v>
      </c>
      <c r="B5720" s="166"/>
      <c r="C5720" s="168"/>
      <c r="D5720" s="167"/>
      <c r="E5720" s="166"/>
      <c r="F5720" s="165"/>
      <c r="G5720" s="164"/>
    </row>
    <row r="5721" spans="1:7" x14ac:dyDescent="0.25">
      <c r="A5721" s="169" t="str">
        <f>E5721&amp;COUNTIFS($E$2:E5721,E5721)</f>
        <v>0</v>
      </c>
      <c r="B5721" s="166"/>
      <c r="C5721" s="168"/>
      <c r="D5721" s="167"/>
      <c r="E5721" s="166"/>
      <c r="F5721" s="165"/>
      <c r="G5721" s="164"/>
    </row>
    <row r="5722" spans="1:7" x14ac:dyDescent="0.25">
      <c r="A5722" s="169" t="str">
        <f>E5722&amp;COUNTIFS($E$2:E5722,E5722)</f>
        <v>0</v>
      </c>
      <c r="B5722" s="166"/>
      <c r="C5722" s="168"/>
      <c r="D5722" s="167"/>
      <c r="E5722" s="166"/>
      <c r="F5722" s="165"/>
      <c r="G5722" s="164"/>
    </row>
    <row r="5723" spans="1:7" x14ac:dyDescent="0.25">
      <c r="A5723" s="169" t="str">
        <f>E5723&amp;COUNTIFS($E$2:E5723,E5723)</f>
        <v>0</v>
      </c>
      <c r="B5723" s="166"/>
      <c r="C5723" s="168"/>
      <c r="D5723" s="167"/>
      <c r="E5723" s="166"/>
      <c r="F5723" s="165"/>
      <c r="G5723" s="164"/>
    </row>
    <row r="5724" spans="1:7" x14ac:dyDescent="0.25">
      <c r="A5724" s="169" t="str">
        <f>E5724&amp;COUNTIFS($E$2:E5724,E5724)</f>
        <v>0</v>
      </c>
      <c r="B5724" s="166"/>
      <c r="C5724" s="168"/>
      <c r="D5724" s="167"/>
      <c r="E5724" s="166"/>
      <c r="F5724" s="165"/>
      <c r="G5724" s="164"/>
    </row>
    <row r="5725" spans="1:7" x14ac:dyDescent="0.25">
      <c r="A5725" s="169" t="str">
        <f>E5725&amp;COUNTIFS($E$2:E5725,E5725)</f>
        <v>0</v>
      </c>
      <c r="B5725" s="166"/>
      <c r="C5725" s="168"/>
      <c r="D5725" s="167"/>
      <c r="E5725" s="166"/>
      <c r="F5725" s="165"/>
      <c r="G5725" s="164"/>
    </row>
    <row r="5726" spans="1:7" x14ac:dyDescent="0.25">
      <c r="A5726" s="169" t="str">
        <f>E5726&amp;COUNTIFS($E$2:E5726,E5726)</f>
        <v>0</v>
      </c>
      <c r="B5726" s="166"/>
      <c r="C5726" s="168"/>
      <c r="D5726" s="167"/>
      <c r="E5726" s="166"/>
      <c r="F5726" s="165"/>
      <c r="G5726" s="164"/>
    </row>
    <row r="5727" spans="1:7" x14ac:dyDescent="0.25">
      <c r="A5727" s="169" t="str">
        <f>E5727&amp;COUNTIFS($E$2:E5727,E5727)</f>
        <v>0</v>
      </c>
      <c r="B5727" s="166"/>
      <c r="C5727" s="168"/>
      <c r="D5727" s="167"/>
      <c r="E5727" s="166"/>
      <c r="F5727" s="165"/>
      <c r="G5727" s="164"/>
    </row>
    <row r="5728" spans="1:7" x14ac:dyDescent="0.25">
      <c r="A5728" s="169" t="str">
        <f>E5728&amp;COUNTIFS($E$2:E5728,E5728)</f>
        <v>0</v>
      </c>
      <c r="B5728" s="166"/>
      <c r="C5728" s="168"/>
      <c r="D5728" s="167"/>
      <c r="E5728" s="166"/>
      <c r="F5728" s="165"/>
      <c r="G5728" s="164"/>
    </row>
    <row r="5729" spans="1:7" x14ac:dyDescent="0.25">
      <c r="A5729" s="169" t="str">
        <f>E5729&amp;COUNTIFS($E$2:E5729,E5729)</f>
        <v>0</v>
      </c>
      <c r="B5729" s="166"/>
      <c r="C5729" s="168"/>
      <c r="D5729" s="167"/>
      <c r="E5729" s="166"/>
      <c r="F5729" s="165"/>
      <c r="G5729" s="164"/>
    </row>
    <row r="5730" spans="1:7" x14ac:dyDescent="0.25">
      <c r="A5730" s="169" t="str">
        <f>E5730&amp;COUNTIFS($E$2:E5730,E5730)</f>
        <v>0</v>
      </c>
      <c r="B5730" s="166"/>
      <c r="C5730" s="168"/>
      <c r="D5730" s="167"/>
      <c r="E5730" s="166"/>
      <c r="F5730" s="165"/>
      <c r="G5730" s="164"/>
    </row>
    <row r="5731" spans="1:7" x14ac:dyDescent="0.25">
      <c r="A5731" s="169" t="str">
        <f>E5731&amp;COUNTIFS($E$2:E5731,E5731)</f>
        <v>0</v>
      </c>
      <c r="B5731" s="166"/>
      <c r="C5731" s="168"/>
      <c r="D5731" s="167"/>
      <c r="E5731" s="166"/>
      <c r="F5731" s="165"/>
      <c r="G5731" s="164"/>
    </row>
    <row r="5732" spans="1:7" x14ac:dyDescent="0.25">
      <c r="A5732" s="169" t="str">
        <f>E5732&amp;COUNTIFS($E$2:E5732,E5732)</f>
        <v>0</v>
      </c>
      <c r="B5732" s="166"/>
      <c r="C5732" s="168"/>
      <c r="D5732" s="167"/>
      <c r="E5732" s="166"/>
      <c r="F5732" s="165"/>
      <c r="G5732" s="164"/>
    </row>
    <row r="5733" spans="1:7" x14ac:dyDescent="0.25">
      <c r="A5733" s="169" t="str">
        <f>E5733&amp;COUNTIFS($E$2:E5733,E5733)</f>
        <v>0</v>
      </c>
      <c r="B5733" s="166"/>
      <c r="C5733" s="168"/>
      <c r="D5733" s="167"/>
      <c r="E5733" s="166"/>
      <c r="F5733" s="165"/>
      <c r="G5733" s="164"/>
    </row>
    <row r="5734" spans="1:7" x14ac:dyDescent="0.25">
      <c r="A5734" s="169" t="str">
        <f>E5734&amp;COUNTIFS($E$2:E5734,E5734)</f>
        <v>0</v>
      </c>
      <c r="B5734" s="166"/>
      <c r="C5734" s="168"/>
      <c r="D5734" s="167"/>
      <c r="E5734" s="166"/>
      <c r="F5734" s="165"/>
      <c r="G5734" s="164"/>
    </row>
    <row r="5735" spans="1:7" x14ac:dyDescent="0.25">
      <c r="A5735" s="169" t="str">
        <f>E5735&amp;COUNTIFS($E$2:E5735,E5735)</f>
        <v>0</v>
      </c>
      <c r="B5735" s="166"/>
      <c r="C5735" s="168"/>
      <c r="D5735" s="167"/>
      <c r="E5735" s="166"/>
      <c r="F5735" s="165"/>
      <c r="G5735" s="164"/>
    </row>
    <row r="5736" spans="1:7" x14ac:dyDescent="0.25">
      <c r="A5736" s="169" t="str">
        <f>E5736&amp;COUNTIFS($E$2:E5736,E5736)</f>
        <v>0</v>
      </c>
      <c r="B5736" s="166"/>
      <c r="C5736" s="168"/>
      <c r="D5736" s="167"/>
      <c r="E5736" s="166"/>
      <c r="F5736" s="165"/>
      <c r="G5736" s="164"/>
    </row>
    <row r="5737" spans="1:7" x14ac:dyDescent="0.25">
      <c r="A5737" s="169" t="str">
        <f>E5737&amp;COUNTIFS($E$2:E5737,E5737)</f>
        <v>0</v>
      </c>
      <c r="B5737" s="166"/>
      <c r="C5737" s="168"/>
      <c r="D5737" s="167"/>
      <c r="E5737" s="166"/>
      <c r="F5737" s="165"/>
      <c r="G5737" s="164"/>
    </row>
    <row r="5738" spans="1:7" ht="15.75" thickBot="1" x14ac:dyDescent="0.3">
      <c r="A5738" s="163" t="str">
        <f>E5738&amp;COUNTIFS($E$2:E5738,E5738)</f>
        <v>0</v>
      </c>
      <c r="B5738" s="160"/>
      <c r="C5738" s="162"/>
      <c r="D5738" s="161"/>
      <c r="E5738" s="160"/>
      <c r="F5738" s="159"/>
      <c r="G5738" s="158"/>
    </row>
    <row r="5739" spans="1:7" x14ac:dyDescent="0.25">
      <c r="A5739" s="148"/>
      <c r="C5739" s="143"/>
      <c r="D5739" s="157"/>
      <c r="E5739" s="143"/>
      <c r="F5739" s="156"/>
      <c r="G5739" s="156"/>
    </row>
    <row r="5740" spans="1:7" x14ac:dyDescent="0.25">
      <c r="A5740" s="148"/>
      <c r="C5740" s="153" t="s">
        <v>623</v>
      </c>
      <c r="D5740" s="152"/>
      <c r="E5740" s="151"/>
      <c r="F5740" s="150">
        <f>SUM(F5714:F5738)</f>
        <v>0</v>
      </c>
      <c r="G5740" s="155">
        <f>SUM(G5714:G5738)</f>
        <v>0</v>
      </c>
    </row>
    <row r="5741" spans="1:7" x14ac:dyDescent="0.25">
      <c r="A5741" s="148"/>
      <c r="C5741" s="145" t="s">
        <v>622</v>
      </c>
      <c r="D5741" s="154"/>
      <c r="E5741" s="145"/>
      <c r="F5741" s="144"/>
      <c r="G5741" s="144"/>
    </row>
    <row r="5742" spans="1:7" x14ac:dyDescent="0.25">
      <c r="A5742" s="148"/>
      <c r="C5742" s="153" t="s">
        <v>621</v>
      </c>
      <c r="D5742" s="152"/>
      <c r="E5742" s="151"/>
      <c r="F5742" s="150">
        <f>F5709</f>
        <v>0</v>
      </c>
      <c r="G5742" s="150">
        <f>G5709</f>
        <v>0</v>
      </c>
    </row>
    <row r="5743" spans="1:7" x14ac:dyDescent="0.25">
      <c r="A5743" s="148"/>
      <c r="C5743" s="153" t="s">
        <v>582</v>
      </c>
      <c r="D5743" s="152"/>
      <c r="E5743" s="151"/>
      <c r="F5743" s="150">
        <f>F5742+F5740</f>
        <v>0</v>
      </c>
      <c r="G5743" s="150">
        <f>G5742+G5740</f>
        <v>0</v>
      </c>
    </row>
    <row r="5744" spans="1:7" ht="15.75" thickBot="1" x14ac:dyDescent="0.3">
      <c r="A5744" s="148"/>
      <c r="C5744" s="145"/>
      <c r="D5744" s="149"/>
      <c r="E5744" s="145"/>
      <c r="F5744" s="144"/>
      <c r="G5744" s="144"/>
    </row>
    <row r="5745" spans="1:7" ht="15.75" thickBot="1" x14ac:dyDescent="0.3">
      <c r="A5745" s="148"/>
      <c r="C5745" s="147" t="s">
        <v>620</v>
      </c>
      <c r="D5745" s="146">
        <f>F5743-G5743</f>
        <v>0</v>
      </c>
      <c r="E5745" s="145"/>
      <c r="F5745" s="144"/>
      <c r="G5745" s="144"/>
    </row>
    <row r="5746" spans="1:7" ht="15.75" thickBot="1" x14ac:dyDescent="0.3">
      <c r="A5746" s="148"/>
      <c r="C5746" s="145"/>
      <c r="D5746" s="144"/>
      <c r="E5746" s="145"/>
      <c r="F5746" s="144"/>
      <c r="G5746" s="144"/>
    </row>
    <row r="5747" spans="1:7" ht="30.75" thickBot="1" x14ac:dyDescent="0.3">
      <c r="A5747" s="196" t="s">
        <v>626</v>
      </c>
      <c r="B5747" s="195" t="s">
        <v>606</v>
      </c>
      <c r="C5747" s="194" t="s">
        <v>628</v>
      </c>
      <c r="D5747" s="193" t="s">
        <v>601</v>
      </c>
      <c r="E5747" s="192" t="s">
        <v>287</v>
      </c>
      <c r="F5747" s="191" t="s">
        <v>624</v>
      </c>
      <c r="G5747" s="191" t="s">
        <v>596</v>
      </c>
    </row>
    <row r="5748" spans="1:7" x14ac:dyDescent="0.25">
      <c r="A5748" s="175" t="str">
        <f>E5748&amp;COUNTIFS($E$2:E5748,E5748)</f>
        <v>0</v>
      </c>
      <c r="B5748" s="172"/>
      <c r="C5748" s="174"/>
      <c r="D5748" s="173"/>
      <c r="E5748" s="172"/>
      <c r="F5748" s="171"/>
      <c r="G5748" s="170"/>
    </row>
    <row r="5749" spans="1:7" x14ac:dyDescent="0.25">
      <c r="A5749" s="169" t="str">
        <f>E5749&amp;COUNTIFS($E$2:E5749,E5749)</f>
        <v>0</v>
      </c>
      <c r="B5749" s="166"/>
      <c r="C5749" s="168"/>
      <c r="D5749" s="167"/>
      <c r="E5749" s="166"/>
      <c r="F5749" s="165"/>
      <c r="G5749" s="164"/>
    </row>
    <row r="5750" spans="1:7" x14ac:dyDescent="0.25">
      <c r="A5750" s="169" t="str">
        <f>E5750&amp;COUNTIFS($E$2:E5750,E5750)</f>
        <v>0</v>
      </c>
      <c r="B5750" s="166"/>
      <c r="C5750" s="168"/>
      <c r="D5750" s="167"/>
      <c r="E5750" s="166"/>
      <c r="F5750" s="165"/>
      <c r="G5750" s="164"/>
    </row>
    <row r="5751" spans="1:7" x14ac:dyDescent="0.25">
      <c r="A5751" s="169" t="str">
        <f>E5751&amp;COUNTIFS($E$2:E5751,E5751)</f>
        <v>0</v>
      </c>
      <c r="B5751" s="166"/>
      <c r="C5751" s="168"/>
      <c r="D5751" s="167"/>
      <c r="E5751" s="166"/>
      <c r="F5751" s="165"/>
      <c r="G5751" s="164"/>
    </row>
    <row r="5752" spans="1:7" x14ac:dyDescent="0.25">
      <c r="A5752" s="169" t="str">
        <f>E5752&amp;COUNTIFS($E$2:E5752,E5752)</f>
        <v>0</v>
      </c>
      <c r="B5752" s="166"/>
      <c r="C5752" s="168"/>
      <c r="D5752" s="167"/>
      <c r="E5752" s="166"/>
      <c r="F5752" s="165"/>
      <c r="G5752" s="164"/>
    </row>
    <row r="5753" spans="1:7" x14ac:dyDescent="0.25">
      <c r="A5753" s="169" t="str">
        <f>E5753&amp;COUNTIFS($E$2:E5753,E5753)</f>
        <v>0</v>
      </c>
      <c r="B5753" s="166"/>
      <c r="C5753" s="168"/>
      <c r="D5753" s="167"/>
      <c r="E5753" s="166"/>
      <c r="F5753" s="165"/>
      <c r="G5753" s="164"/>
    </row>
    <row r="5754" spans="1:7" x14ac:dyDescent="0.25">
      <c r="A5754" s="169" t="str">
        <f>E5754&amp;COUNTIFS($E$2:E5754,E5754)</f>
        <v>0</v>
      </c>
      <c r="B5754" s="166"/>
      <c r="C5754" s="168"/>
      <c r="D5754" s="167"/>
      <c r="E5754" s="166"/>
      <c r="F5754" s="165"/>
      <c r="G5754" s="164"/>
    </row>
    <row r="5755" spans="1:7" x14ac:dyDescent="0.25">
      <c r="A5755" s="169" t="str">
        <f>E5755&amp;COUNTIFS($E$2:E5755,E5755)</f>
        <v>0</v>
      </c>
      <c r="B5755" s="166"/>
      <c r="C5755" s="168"/>
      <c r="D5755" s="167"/>
      <c r="E5755" s="166"/>
      <c r="F5755" s="165"/>
      <c r="G5755" s="164"/>
    </row>
    <row r="5756" spans="1:7" x14ac:dyDescent="0.25">
      <c r="A5756" s="169" t="str">
        <f>E5756&amp;COUNTIFS($E$2:E5756,E5756)</f>
        <v>0</v>
      </c>
      <c r="B5756" s="166"/>
      <c r="C5756" s="168"/>
      <c r="D5756" s="167"/>
      <c r="E5756" s="166"/>
      <c r="F5756" s="165"/>
      <c r="G5756" s="164"/>
    </row>
    <row r="5757" spans="1:7" x14ac:dyDescent="0.25">
      <c r="A5757" s="169" t="str">
        <f>E5757&amp;COUNTIFS($E$2:E5757,E5757)</f>
        <v>0</v>
      </c>
      <c r="B5757" s="166"/>
      <c r="C5757" s="168"/>
      <c r="D5757" s="167"/>
      <c r="E5757" s="166"/>
      <c r="F5757" s="165"/>
      <c r="G5757" s="164"/>
    </row>
    <row r="5758" spans="1:7" x14ac:dyDescent="0.25">
      <c r="A5758" s="169" t="str">
        <f>E5758&amp;COUNTIFS($E$2:E5758,E5758)</f>
        <v>0</v>
      </c>
      <c r="B5758" s="166"/>
      <c r="C5758" s="168"/>
      <c r="D5758" s="167"/>
      <c r="E5758" s="166"/>
      <c r="F5758" s="165"/>
      <c r="G5758" s="164"/>
    </row>
    <row r="5759" spans="1:7" x14ac:dyDescent="0.25">
      <c r="A5759" s="169" t="str">
        <f>E5759&amp;COUNTIFS($E$2:E5759,E5759)</f>
        <v>0</v>
      </c>
      <c r="B5759" s="166"/>
      <c r="C5759" s="168"/>
      <c r="D5759" s="167"/>
      <c r="E5759" s="166"/>
      <c r="F5759" s="165"/>
      <c r="G5759" s="164"/>
    </row>
    <row r="5760" spans="1:7" x14ac:dyDescent="0.25">
      <c r="A5760" s="169" t="str">
        <f>E5760&amp;COUNTIFS($E$2:E5760,E5760)</f>
        <v>0</v>
      </c>
      <c r="B5760" s="166"/>
      <c r="C5760" s="168"/>
      <c r="D5760" s="167"/>
      <c r="E5760" s="166"/>
      <c r="F5760" s="165"/>
      <c r="G5760" s="164"/>
    </row>
    <row r="5761" spans="1:7" x14ac:dyDescent="0.25">
      <c r="A5761" s="169" t="str">
        <f>E5761&amp;COUNTIFS($E$2:E5761,E5761)</f>
        <v>0</v>
      </c>
      <c r="B5761" s="166"/>
      <c r="C5761" s="168"/>
      <c r="D5761" s="167"/>
      <c r="E5761" s="166"/>
      <c r="F5761" s="165"/>
      <c r="G5761" s="164"/>
    </row>
    <row r="5762" spans="1:7" x14ac:dyDescent="0.25">
      <c r="A5762" s="169" t="str">
        <f>E5762&amp;COUNTIFS($E$2:E5762,E5762)</f>
        <v>0</v>
      </c>
      <c r="B5762" s="166"/>
      <c r="C5762" s="168"/>
      <c r="D5762" s="167"/>
      <c r="E5762" s="166"/>
      <c r="F5762" s="165"/>
      <c r="G5762" s="164"/>
    </row>
    <row r="5763" spans="1:7" x14ac:dyDescent="0.25">
      <c r="A5763" s="169" t="str">
        <f>E5763&amp;COUNTIFS($E$2:E5763,E5763)</f>
        <v>0</v>
      </c>
      <c r="B5763" s="166"/>
      <c r="C5763" s="168"/>
      <c r="D5763" s="167"/>
      <c r="E5763" s="166"/>
      <c r="F5763" s="165"/>
      <c r="G5763" s="164"/>
    </row>
    <row r="5764" spans="1:7" x14ac:dyDescent="0.25">
      <c r="A5764" s="169" t="str">
        <f>E5764&amp;COUNTIFS($E$2:E5764,E5764)</f>
        <v>0</v>
      </c>
      <c r="B5764" s="166"/>
      <c r="C5764" s="168"/>
      <c r="D5764" s="167"/>
      <c r="E5764" s="166"/>
      <c r="F5764" s="165"/>
      <c r="G5764" s="164"/>
    </row>
    <row r="5765" spans="1:7" x14ac:dyDescent="0.25">
      <c r="A5765" s="169" t="str">
        <f>E5765&amp;COUNTIFS($E$2:E5765,E5765)</f>
        <v>0</v>
      </c>
      <c r="B5765" s="166"/>
      <c r="C5765" s="168"/>
      <c r="D5765" s="167"/>
      <c r="E5765" s="166"/>
      <c r="F5765" s="165"/>
      <c r="G5765" s="164"/>
    </row>
    <row r="5766" spans="1:7" x14ac:dyDescent="0.25">
      <c r="A5766" s="169" t="str">
        <f>E5766&amp;COUNTIFS($E$2:E5766,E5766)</f>
        <v>0</v>
      </c>
      <c r="B5766" s="166"/>
      <c r="C5766" s="168"/>
      <c r="D5766" s="167"/>
      <c r="E5766" s="166"/>
      <c r="F5766" s="165"/>
      <c r="G5766" s="164"/>
    </row>
    <row r="5767" spans="1:7" x14ac:dyDescent="0.25">
      <c r="A5767" s="169" t="str">
        <f>E5767&amp;COUNTIFS($E$2:E5767,E5767)</f>
        <v>0</v>
      </c>
      <c r="B5767" s="166"/>
      <c r="C5767" s="168"/>
      <c r="D5767" s="167"/>
      <c r="E5767" s="166"/>
      <c r="F5767" s="165"/>
      <c r="G5767" s="164"/>
    </row>
    <row r="5768" spans="1:7" x14ac:dyDescent="0.25">
      <c r="A5768" s="169" t="str">
        <f>E5768&amp;COUNTIFS($E$2:E5768,E5768)</f>
        <v>0</v>
      </c>
      <c r="B5768" s="166"/>
      <c r="C5768" s="168"/>
      <c r="D5768" s="167"/>
      <c r="E5768" s="166"/>
      <c r="F5768" s="165"/>
      <c r="G5768" s="164"/>
    </row>
    <row r="5769" spans="1:7" x14ac:dyDescent="0.25">
      <c r="A5769" s="169" t="str">
        <f>E5769&amp;COUNTIFS($E$2:E5769,E5769)</f>
        <v>0</v>
      </c>
      <c r="B5769" s="166"/>
      <c r="C5769" s="168"/>
      <c r="D5769" s="167"/>
      <c r="E5769" s="166"/>
      <c r="F5769" s="165"/>
      <c r="G5769" s="164"/>
    </row>
    <row r="5770" spans="1:7" x14ac:dyDescent="0.25">
      <c r="A5770" s="169" t="str">
        <f>E5770&amp;COUNTIFS($E$2:E5770,E5770)</f>
        <v>0</v>
      </c>
      <c r="B5770" s="166"/>
      <c r="C5770" s="168"/>
      <c r="D5770" s="167"/>
      <c r="E5770" s="166"/>
      <c r="F5770" s="165"/>
      <c r="G5770" s="164"/>
    </row>
    <row r="5771" spans="1:7" x14ac:dyDescent="0.25">
      <c r="A5771" s="169" t="str">
        <f>E5771&amp;COUNTIFS($E$2:E5771,E5771)</f>
        <v>0</v>
      </c>
      <c r="B5771" s="166"/>
      <c r="C5771" s="168"/>
      <c r="D5771" s="167"/>
      <c r="E5771" s="166"/>
      <c r="F5771" s="165"/>
      <c r="G5771" s="164"/>
    </row>
    <row r="5772" spans="1:7" ht="15.75" thickBot="1" x14ac:dyDescent="0.3">
      <c r="A5772" s="163" t="str">
        <f>E5772&amp;COUNTIFS($E$2:E5772,E5772)</f>
        <v>0</v>
      </c>
      <c r="B5772" s="160"/>
      <c r="C5772" s="162"/>
      <c r="D5772" s="161"/>
      <c r="E5772" s="160"/>
      <c r="F5772" s="159"/>
      <c r="G5772" s="158"/>
    </row>
    <row r="5773" spans="1:7" x14ac:dyDescent="0.25">
      <c r="A5773" s="148"/>
      <c r="C5773" s="143"/>
      <c r="D5773" s="157"/>
      <c r="E5773" s="143"/>
      <c r="F5773" s="156"/>
      <c r="G5773" s="156"/>
    </row>
    <row r="5774" spans="1:7" x14ac:dyDescent="0.25">
      <c r="A5774" s="148"/>
      <c r="C5774" s="153" t="s">
        <v>623</v>
      </c>
      <c r="D5774" s="152"/>
      <c r="E5774" s="151"/>
      <c r="F5774" s="150">
        <f>SUM(F5748:F5772)</f>
        <v>0</v>
      </c>
      <c r="G5774" s="155">
        <f>SUM(G5748:G5772)</f>
        <v>0</v>
      </c>
    </row>
    <row r="5775" spans="1:7" x14ac:dyDescent="0.25">
      <c r="A5775" s="148"/>
      <c r="C5775" s="145" t="s">
        <v>622</v>
      </c>
      <c r="D5775" s="154"/>
      <c r="E5775" s="145"/>
      <c r="F5775" s="144"/>
      <c r="G5775" s="144"/>
    </row>
    <row r="5776" spans="1:7" x14ac:dyDescent="0.25">
      <c r="A5776" s="148"/>
      <c r="C5776" s="153" t="s">
        <v>621</v>
      </c>
      <c r="D5776" s="152"/>
      <c r="E5776" s="151"/>
      <c r="F5776" s="150">
        <f>F5743</f>
        <v>0</v>
      </c>
      <c r="G5776" s="150">
        <f>G5743</f>
        <v>0</v>
      </c>
    </row>
    <row r="5777" spans="1:7" x14ac:dyDescent="0.25">
      <c r="A5777" s="148"/>
      <c r="C5777" s="153" t="s">
        <v>582</v>
      </c>
      <c r="D5777" s="152"/>
      <c r="E5777" s="151"/>
      <c r="F5777" s="150">
        <f>F5776+F5774</f>
        <v>0</v>
      </c>
      <c r="G5777" s="150">
        <f>G5776+G5774</f>
        <v>0</v>
      </c>
    </row>
    <row r="5778" spans="1:7" ht="15.75" thickBot="1" x14ac:dyDescent="0.3">
      <c r="A5778" s="148"/>
      <c r="C5778" s="145"/>
      <c r="D5778" s="149"/>
      <c r="E5778" s="145"/>
      <c r="F5778" s="144"/>
      <c r="G5778" s="144"/>
    </row>
    <row r="5779" spans="1:7" ht="15.75" thickBot="1" x14ac:dyDescent="0.3">
      <c r="A5779" s="148"/>
      <c r="C5779" s="147" t="s">
        <v>620</v>
      </c>
      <c r="D5779" s="146">
        <f>F5777-G5777</f>
        <v>0</v>
      </c>
      <c r="E5779" s="145"/>
      <c r="F5779" s="144"/>
      <c r="G5779" s="144"/>
    </row>
    <row r="5780" spans="1:7" ht="15.75" thickBot="1" x14ac:dyDescent="0.3">
      <c r="A5780" s="148"/>
      <c r="C5780" s="145"/>
      <c r="D5780" s="144"/>
      <c r="E5780" s="145"/>
      <c r="F5780" s="144"/>
      <c r="G5780" s="144"/>
    </row>
    <row r="5781" spans="1:7" ht="30.75" thickBot="1" x14ac:dyDescent="0.3">
      <c r="A5781" s="196" t="s">
        <v>626</v>
      </c>
      <c r="B5781" s="195" t="s">
        <v>606</v>
      </c>
      <c r="C5781" s="194" t="s">
        <v>628</v>
      </c>
      <c r="D5781" s="193" t="s">
        <v>601</v>
      </c>
      <c r="E5781" s="192" t="s">
        <v>287</v>
      </c>
      <c r="F5781" s="191" t="s">
        <v>624</v>
      </c>
      <c r="G5781" s="191" t="s">
        <v>596</v>
      </c>
    </row>
    <row r="5782" spans="1:7" x14ac:dyDescent="0.25">
      <c r="A5782" s="175" t="str">
        <f>E5782&amp;COUNTIFS($E$2:E5782,E5782)</f>
        <v>0</v>
      </c>
      <c r="B5782" s="172"/>
      <c r="C5782" s="174"/>
      <c r="D5782" s="173"/>
      <c r="E5782" s="172"/>
      <c r="F5782" s="171"/>
      <c r="G5782" s="170"/>
    </row>
    <row r="5783" spans="1:7" x14ac:dyDescent="0.25">
      <c r="A5783" s="169" t="str">
        <f>E5783&amp;COUNTIFS($E$2:E5783,E5783)</f>
        <v>0</v>
      </c>
      <c r="B5783" s="166"/>
      <c r="C5783" s="168"/>
      <c r="D5783" s="167"/>
      <c r="E5783" s="166"/>
      <c r="F5783" s="165"/>
      <c r="G5783" s="164"/>
    </row>
    <row r="5784" spans="1:7" x14ac:dyDescent="0.25">
      <c r="A5784" s="169" t="str">
        <f>E5784&amp;COUNTIFS($E$2:E5784,E5784)</f>
        <v>0</v>
      </c>
      <c r="B5784" s="166"/>
      <c r="C5784" s="168"/>
      <c r="D5784" s="167"/>
      <c r="E5784" s="166"/>
      <c r="F5784" s="165"/>
      <c r="G5784" s="164"/>
    </row>
    <row r="5785" spans="1:7" x14ac:dyDescent="0.25">
      <c r="A5785" s="169" t="str">
        <f>E5785&amp;COUNTIFS($E$2:E5785,E5785)</f>
        <v>0</v>
      </c>
      <c r="B5785" s="166"/>
      <c r="C5785" s="168"/>
      <c r="D5785" s="167"/>
      <c r="E5785" s="166"/>
      <c r="F5785" s="165"/>
      <c r="G5785" s="164"/>
    </row>
    <row r="5786" spans="1:7" x14ac:dyDescent="0.25">
      <c r="A5786" s="169" t="str">
        <f>E5786&amp;COUNTIFS($E$2:E5786,E5786)</f>
        <v>0</v>
      </c>
      <c r="B5786" s="166"/>
      <c r="C5786" s="168"/>
      <c r="D5786" s="167"/>
      <c r="E5786" s="166"/>
      <c r="F5786" s="165"/>
      <c r="G5786" s="164"/>
    </row>
    <row r="5787" spans="1:7" x14ac:dyDescent="0.25">
      <c r="A5787" s="169" t="str">
        <f>E5787&amp;COUNTIFS($E$2:E5787,E5787)</f>
        <v>0</v>
      </c>
      <c r="B5787" s="166"/>
      <c r="C5787" s="168"/>
      <c r="D5787" s="167"/>
      <c r="E5787" s="166"/>
      <c r="F5787" s="165"/>
      <c r="G5787" s="164"/>
    </row>
    <row r="5788" spans="1:7" x14ac:dyDescent="0.25">
      <c r="A5788" s="169" t="str">
        <f>E5788&amp;COUNTIFS($E$2:E5788,E5788)</f>
        <v>0</v>
      </c>
      <c r="B5788" s="166"/>
      <c r="C5788" s="168"/>
      <c r="D5788" s="167"/>
      <c r="E5788" s="166"/>
      <c r="F5788" s="165"/>
      <c r="G5788" s="164"/>
    </row>
    <row r="5789" spans="1:7" x14ac:dyDescent="0.25">
      <c r="A5789" s="169" t="str">
        <f>E5789&amp;COUNTIFS($E$2:E5789,E5789)</f>
        <v>0</v>
      </c>
      <c r="B5789" s="166"/>
      <c r="C5789" s="168"/>
      <c r="D5789" s="167"/>
      <c r="E5789" s="166"/>
      <c r="F5789" s="165"/>
      <c r="G5789" s="164"/>
    </row>
    <row r="5790" spans="1:7" x14ac:dyDescent="0.25">
      <c r="A5790" s="169" t="str">
        <f>E5790&amp;COUNTIFS($E$2:E5790,E5790)</f>
        <v>0</v>
      </c>
      <c r="B5790" s="166"/>
      <c r="C5790" s="168"/>
      <c r="D5790" s="167"/>
      <c r="E5790" s="166"/>
      <c r="F5790" s="165"/>
      <c r="G5790" s="164"/>
    </row>
    <row r="5791" spans="1:7" x14ac:dyDescent="0.25">
      <c r="A5791" s="169" t="str">
        <f>E5791&amp;COUNTIFS($E$2:E5791,E5791)</f>
        <v>0</v>
      </c>
      <c r="B5791" s="166"/>
      <c r="C5791" s="168"/>
      <c r="D5791" s="167"/>
      <c r="E5791" s="166"/>
      <c r="F5791" s="165"/>
      <c r="G5791" s="164"/>
    </row>
    <row r="5792" spans="1:7" x14ac:dyDescent="0.25">
      <c r="A5792" s="169" t="str">
        <f>E5792&amp;COUNTIFS($E$2:E5792,E5792)</f>
        <v>0</v>
      </c>
      <c r="B5792" s="166"/>
      <c r="C5792" s="168"/>
      <c r="D5792" s="167"/>
      <c r="E5792" s="166"/>
      <c r="F5792" s="165"/>
      <c r="G5792" s="164"/>
    </row>
    <row r="5793" spans="1:7" x14ac:dyDescent="0.25">
      <c r="A5793" s="169" t="str">
        <f>E5793&amp;COUNTIFS($E$2:E5793,E5793)</f>
        <v>0</v>
      </c>
      <c r="B5793" s="166"/>
      <c r="C5793" s="168"/>
      <c r="D5793" s="167"/>
      <c r="E5793" s="166"/>
      <c r="F5793" s="165"/>
      <c r="G5793" s="164"/>
    </row>
    <row r="5794" spans="1:7" x14ac:dyDescent="0.25">
      <c r="A5794" s="169" t="str">
        <f>E5794&amp;COUNTIFS($E$2:E5794,E5794)</f>
        <v>0</v>
      </c>
      <c r="B5794" s="166"/>
      <c r="C5794" s="168"/>
      <c r="D5794" s="167"/>
      <c r="E5794" s="166"/>
      <c r="F5794" s="165"/>
      <c r="G5794" s="164"/>
    </row>
    <row r="5795" spans="1:7" x14ac:dyDescent="0.25">
      <c r="A5795" s="169" t="str">
        <f>E5795&amp;COUNTIFS($E$2:E5795,E5795)</f>
        <v>0</v>
      </c>
      <c r="B5795" s="166"/>
      <c r="C5795" s="168"/>
      <c r="D5795" s="167"/>
      <c r="E5795" s="166"/>
      <c r="F5795" s="165"/>
      <c r="G5795" s="164"/>
    </row>
    <row r="5796" spans="1:7" x14ac:dyDescent="0.25">
      <c r="A5796" s="169" t="str">
        <f>E5796&amp;COUNTIFS($E$2:E5796,E5796)</f>
        <v>0</v>
      </c>
      <c r="B5796" s="166"/>
      <c r="C5796" s="168"/>
      <c r="D5796" s="167"/>
      <c r="E5796" s="166"/>
      <c r="F5796" s="165"/>
      <c r="G5796" s="164"/>
    </row>
    <row r="5797" spans="1:7" x14ac:dyDescent="0.25">
      <c r="A5797" s="169" t="str">
        <f>E5797&amp;COUNTIFS($E$2:E5797,E5797)</f>
        <v>0</v>
      </c>
      <c r="B5797" s="166"/>
      <c r="C5797" s="168"/>
      <c r="D5797" s="167"/>
      <c r="E5797" s="166"/>
      <c r="F5797" s="165"/>
      <c r="G5797" s="164"/>
    </row>
    <row r="5798" spans="1:7" x14ac:dyDescent="0.25">
      <c r="A5798" s="169" t="str">
        <f>E5798&amp;COUNTIFS($E$2:E5798,E5798)</f>
        <v>0</v>
      </c>
      <c r="B5798" s="166"/>
      <c r="C5798" s="168"/>
      <c r="D5798" s="167"/>
      <c r="E5798" s="166"/>
      <c r="F5798" s="165"/>
      <c r="G5798" s="164"/>
    </row>
    <row r="5799" spans="1:7" x14ac:dyDescent="0.25">
      <c r="A5799" s="169" t="str">
        <f>E5799&amp;COUNTIFS($E$2:E5799,E5799)</f>
        <v>0</v>
      </c>
      <c r="B5799" s="166"/>
      <c r="C5799" s="168"/>
      <c r="D5799" s="167"/>
      <c r="E5799" s="166"/>
      <c r="F5799" s="165"/>
      <c r="G5799" s="164"/>
    </row>
    <row r="5800" spans="1:7" x14ac:dyDescent="0.25">
      <c r="A5800" s="169" t="str">
        <f>E5800&amp;COUNTIFS($E$2:E5800,E5800)</f>
        <v>0</v>
      </c>
      <c r="B5800" s="166"/>
      <c r="C5800" s="168"/>
      <c r="D5800" s="167"/>
      <c r="E5800" s="166"/>
      <c r="F5800" s="165"/>
      <c r="G5800" s="164"/>
    </row>
    <row r="5801" spans="1:7" x14ac:dyDescent="0.25">
      <c r="A5801" s="169" t="str">
        <f>E5801&amp;COUNTIFS($E$2:E5801,E5801)</f>
        <v>0</v>
      </c>
      <c r="B5801" s="166"/>
      <c r="C5801" s="168"/>
      <c r="D5801" s="167"/>
      <c r="E5801" s="166"/>
      <c r="F5801" s="165"/>
      <c r="G5801" s="164"/>
    </row>
    <row r="5802" spans="1:7" x14ac:dyDescent="0.25">
      <c r="A5802" s="169" t="str">
        <f>E5802&amp;COUNTIFS($E$2:E5802,E5802)</f>
        <v>0</v>
      </c>
      <c r="B5802" s="166"/>
      <c r="C5802" s="168"/>
      <c r="D5802" s="167"/>
      <c r="E5802" s="166"/>
      <c r="F5802" s="165"/>
      <c r="G5802" s="164"/>
    </row>
    <row r="5803" spans="1:7" x14ac:dyDescent="0.25">
      <c r="A5803" s="169" t="str">
        <f>E5803&amp;COUNTIFS($E$2:E5803,E5803)</f>
        <v>0</v>
      </c>
      <c r="B5803" s="166"/>
      <c r="C5803" s="168"/>
      <c r="D5803" s="167"/>
      <c r="E5803" s="166"/>
      <c r="F5803" s="165"/>
      <c r="G5803" s="164"/>
    </row>
    <row r="5804" spans="1:7" x14ac:dyDescent="0.25">
      <c r="A5804" s="169" t="str">
        <f>E5804&amp;COUNTIFS($E$2:E5804,E5804)</f>
        <v>0</v>
      </c>
      <c r="B5804" s="166"/>
      <c r="C5804" s="168"/>
      <c r="D5804" s="167"/>
      <c r="E5804" s="166"/>
      <c r="F5804" s="165"/>
      <c r="G5804" s="164"/>
    </row>
    <row r="5805" spans="1:7" x14ac:dyDescent="0.25">
      <c r="A5805" s="169" t="str">
        <f>E5805&amp;COUNTIFS($E$2:E5805,E5805)</f>
        <v>0</v>
      </c>
      <c r="B5805" s="166"/>
      <c r="C5805" s="168"/>
      <c r="D5805" s="167"/>
      <c r="E5805" s="166"/>
      <c r="F5805" s="165"/>
      <c r="G5805" s="164"/>
    </row>
    <row r="5806" spans="1:7" ht="15.75" thickBot="1" x14ac:dyDescent="0.3">
      <c r="A5806" s="163" t="str">
        <f>E5806&amp;COUNTIFS($E$2:E5806,E5806)</f>
        <v>0</v>
      </c>
      <c r="B5806" s="160"/>
      <c r="C5806" s="162"/>
      <c r="D5806" s="161"/>
      <c r="E5806" s="160"/>
      <c r="F5806" s="159"/>
      <c r="G5806" s="158"/>
    </row>
    <row r="5807" spans="1:7" x14ac:dyDescent="0.25">
      <c r="A5807" s="148"/>
      <c r="C5807" s="143"/>
      <c r="D5807" s="157"/>
      <c r="E5807" s="143"/>
      <c r="F5807" s="156"/>
      <c r="G5807" s="156"/>
    </row>
    <row r="5808" spans="1:7" x14ac:dyDescent="0.25">
      <c r="A5808" s="148"/>
      <c r="C5808" s="153" t="s">
        <v>623</v>
      </c>
      <c r="D5808" s="152"/>
      <c r="E5808" s="151"/>
      <c r="F5808" s="150">
        <f>SUM(F5782:F5806)</f>
        <v>0</v>
      </c>
      <c r="G5808" s="155">
        <f>SUM(G5782:G5806)</f>
        <v>0</v>
      </c>
    </row>
    <row r="5809" spans="1:9" x14ac:dyDescent="0.25">
      <c r="A5809" s="148"/>
      <c r="C5809" s="145" t="s">
        <v>622</v>
      </c>
      <c r="D5809" s="154"/>
      <c r="E5809" s="145"/>
      <c r="F5809" s="144"/>
      <c r="G5809" s="144"/>
    </row>
    <row r="5810" spans="1:9" x14ac:dyDescent="0.25">
      <c r="A5810" s="148"/>
      <c r="C5810" s="153" t="s">
        <v>621</v>
      </c>
      <c r="D5810" s="152"/>
      <c r="E5810" s="151"/>
      <c r="F5810" s="150">
        <f>F5777</f>
        <v>0</v>
      </c>
      <c r="G5810" s="150">
        <f>G5777</f>
        <v>0</v>
      </c>
    </row>
    <row r="5811" spans="1:9" x14ac:dyDescent="0.25">
      <c r="A5811" s="148"/>
      <c r="C5811" s="153" t="s">
        <v>582</v>
      </c>
      <c r="D5811" s="152"/>
      <c r="E5811" s="151"/>
      <c r="F5811" s="150">
        <f>F5810+F5808</f>
        <v>0</v>
      </c>
      <c r="G5811" s="150">
        <f>G5810+G5808</f>
        <v>0</v>
      </c>
    </row>
    <row r="5812" spans="1:9" ht="15.75" thickBot="1" x14ac:dyDescent="0.3">
      <c r="A5812" s="148"/>
      <c r="C5812" s="145"/>
      <c r="D5812" s="149"/>
      <c r="E5812" s="145"/>
      <c r="F5812" s="144"/>
      <c r="G5812" s="144"/>
    </row>
    <row r="5813" spans="1:9" ht="15.75" thickBot="1" x14ac:dyDescent="0.3">
      <c r="A5813" s="148"/>
      <c r="C5813" s="147" t="s">
        <v>620</v>
      </c>
      <c r="D5813" s="146">
        <f>F5811-G5811</f>
        <v>0</v>
      </c>
      <c r="E5813" s="145"/>
      <c r="F5813" s="144"/>
      <c r="G5813" s="144"/>
    </row>
    <row r="5814" spans="1:9" ht="15.75" thickBot="1" x14ac:dyDescent="0.3">
      <c r="A5814" s="148"/>
      <c r="C5814" s="145"/>
      <c r="D5814" s="144"/>
      <c r="E5814" s="145"/>
      <c r="F5814" s="144"/>
      <c r="G5814" s="144"/>
    </row>
    <row r="5815" spans="1:9" ht="30.75" thickBot="1" x14ac:dyDescent="0.3">
      <c r="A5815" s="190" t="s">
        <v>626</v>
      </c>
      <c r="B5815" s="189" t="s">
        <v>606</v>
      </c>
      <c r="C5815" s="188" t="s">
        <v>627</v>
      </c>
      <c r="D5815" s="187" t="s">
        <v>601</v>
      </c>
      <c r="E5815" s="186" t="s">
        <v>287</v>
      </c>
      <c r="F5815" s="185" t="s">
        <v>624</v>
      </c>
      <c r="G5815" s="185" t="s">
        <v>596</v>
      </c>
      <c r="I5815" s="182"/>
    </row>
    <row r="5816" spans="1:9" x14ac:dyDescent="0.25">
      <c r="A5816" s="175" t="str">
        <f>E5816&amp;COUNTIFS($E$2:E5816,E5816)</f>
        <v>0</v>
      </c>
      <c r="B5816" s="172"/>
      <c r="C5816" s="174"/>
      <c r="D5816" s="173"/>
      <c r="E5816" s="172"/>
      <c r="F5816" s="171"/>
      <c r="G5816" s="170"/>
      <c r="I5816" s="182">
        <f>D5813+F5842+F5876+F5910</f>
        <v>0</v>
      </c>
    </row>
    <row r="5817" spans="1:9" x14ac:dyDescent="0.25">
      <c r="A5817" s="169" t="str">
        <f>E5817&amp;COUNTIFS($E$2:E5817,E5817)</f>
        <v>0</v>
      </c>
      <c r="B5817" s="166"/>
      <c r="C5817" s="168"/>
      <c r="D5817" s="167"/>
      <c r="E5817" s="166"/>
      <c r="F5817" s="165"/>
      <c r="G5817" s="164"/>
      <c r="I5817" s="182">
        <f>I5816-G5842</f>
        <v>0</v>
      </c>
    </row>
    <row r="5818" spans="1:9" x14ac:dyDescent="0.25">
      <c r="A5818" s="169" t="str">
        <f>E5818&amp;COUNTIFS($E$2:E5818,E5818)</f>
        <v>0</v>
      </c>
      <c r="B5818" s="166"/>
      <c r="C5818" s="168"/>
      <c r="D5818" s="167"/>
      <c r="E5818" s="166"/>
      <c r="F5818" s="165"/>
      <c r="G5818" s="164"/>
    </row>
    <row r="5819" spans="1:9" x14ac:dyDescent="0.25">
      <c r="A5819" s="169" t="str">
        <f>E5819&amp;COUNTIFS($E$2:E5819,E5819)</f>
        <v>0</v>
      </c>
      <c r="B5819" s="166"/>
      <c r="C5819" s="168"/>
      <c r="D5819" s="167"/>
      <c r="E5819" s="166"/>
      <c r="F5819" s="165"/>
      <c r="G5819" s="164"/>
    </row>
    <row r="5820" spans="1:9" x14ac:dyDescent="0.25">
      <c r="A5820" s="169" t="str">
        <f>E5820&amp;COUNTIFS($E$2:E5820,E5820)</f>
        <v>0</v>
      </c>
      <c r="B5820" s="166"/>
      <c r="C5820" s="168"/>
      <c r="D5820" s="167"/>
      <c r="E5820" s="166"/>
      <c r="F5820" s="165"/>
      <c r="G5820" s="164"/>
    </row>
    <row r="5821" spans="1:9" x14ac:dyDescent="0.25">
      <c r="A5821" s="169" t="str">
        <f>E5821&amp;COUNTIFS($E$2:E5821,E5821)</f>
        <v>0</v>
      </c>
      <c r="B5821" s="166"/>
      <c r="C5821" s="168"/>
      <c r="D5821" s="167"/>
      <c r="E5821" s="166"/>
      <c r="F5821" s="165"/>
      <c r="G5821" s="164"/>
    </row>
    <row r="5822" spans="1:9" x14ac:dyDescent="0.25">
      <c r="A5822" s="169" t="str">
        <f>E5822&amp;COUNTIFS($E$2:E5822,E5822)</f>
        <v>0</v>
      </c>
      <c r="B5822" s="166"/>
      <c r="C5822" s="168"/>
      <c r="D5822" s="167"/>
      <c r="E5822" s="166"/>
      <c r="F5822" s="165"/>
      <c r="G5822" s="164"/>
    </row>
    <row r="5823" spans="1:9" x14ac:dyDescent="0.25">
      <c r="A5823" s="169" t="str">
        <f>E5823&amp;COUNTIFS($E$2:E5823,E5823)</f>
        <v>0</v>
      </c>
      <c r="B5823" s="166"/>
      <c r="C5823" s="168"/>
      <c r="D5823" s="167"/>
      <c r="E5823" s="166"/>
      <c r="F5823" s="165"/>
      <c r="G5823" s="164"/>
    </row>
    <row r="5824" spans="1:9" x14ac:dyDescent="0.25">
      <c r="A5824" s="169" t="str">
        <f>E5824&amp;COUNTIFS($E$2:E5824,E5824)</f>
        <v>0</v>
      </c>
      <c r="B5824" s="166"/>
      <c r="C5824" s="168"/>
      <c r="D5824" s="167"/>
      <c r="E5824" s="166"/>
      <c r="F5824" s="165"/>
      <c r="G5824" s="164"/>
    </row>
    <row r="5825" spans="1:7" x14ac:dyDescent="0.25">
      <c r="A5825" s="169" t="str">
        <f>E5825&amp;COUNTIFS($E$2:E5825,E5825)</f>
        <v>0</v>
      </c>
      <c r="B5825" s="166"/>
      <c r="C5825" s="168"/>
      <c r="D5825" s="167"/>
      <c r="E5825" s="166"/>
      <c r="F5825" s="165"/>
      <c r="G5825" s="164"/>
    </row>
    <row r="5826" spans="1:7" x14ac:dyDescent="0.25">
      <c r="A5826" s="169" t="str">
        <f>E5826&amp;COUNTIFS($E$2:E5826,E5826)</f>
        <v>0</v>
      </c>
      <c r="B5826" s="166"/>
      <c r="C5826" s="168"/>
      <c r="D5826" s="167"/>
      <c r="E5826" s="166"/>
      <c r="F5826" s="165"/>
      <c r="G5826" s="164"/>
    </row>
    <row r="5827" spans="1:7" x14ac:dyDescent="0.25">
      <c r="A5827" s="169" t="str">
        <f>E5827&amp;COUNTIFS($E$2:E5827,E5827)</f>
        <v>0</v>
      </c>
      <c r="B5827" s="166"/>
      <c r="C5827" s="168"/>
      <c r="D5827" s="167"/>
      <c r="E5827" s="166"/>
      <c r="F5827" s="165"/>
      <c r="G5827" s="164"/>
    </row>
    <row r="5828" spans="1:7" x14ac:dyDescent="0.25">
      <c r="A5828" s="169" t="str">
        <f>E5828&amp;COUNTIFS($E$2:E5828,E5828)</f>
        <v>0</v>
      </c>
      <c r="B5828" s="166"/>
      <c r="C5828" s="168"/>
      <c r="D5828" s="167"/>
      <c r="E5828" s="166"/>
      <c r="F5828" s="165"/>
      <c r="G5828" s="164"/>
    </row>
    <row r="5829" spans="1:7" x14ac:dyDescent="0.25">
      <c r="A5829" s="169" t="str">
        <f>E5829&amp;COUNTIFS($E$2:E5829,E5829)</f>
        <v>0</v>
      </c>
      <c r="B5829" s="166"/>
      <c r="C5829" s="168"/>
      <c r="D5829" s="167"/>
      <c r="E5829" s="166"/>
      <c r="F5829" s="165"/>
      <c r="G5829" s="164"/>
    </row>
    <row r="5830" spans="1:7" x14ac:dyDescent="0.25">
      <c r="A5830" s="169" t="str">
        <f>E5830&amp;COUNTIFS($E$2:E5830,E5830)</f>
        <v>0</v>
      </c>
      <c r="B5830" s="166"/>
      <c r="C5830" s="168"/>
      <c r="D5830" s="167"/>
      <c r="E5830" s="166"/>
      <c r="F5830" s="165"/>
      <c r="G5830" s="164"/>
    </row>
    <row r="5831" spans="1:7" x14ac:dyDescent="0.25">
      <c r="A5831" s="169" t="str">
        <f>E5831&amp;COUNTIFS($E$2:E5831,E5831)</f>
        <v>0</v>
      </c>
      <c r="B5831" s="166"/>
      <c r="C5831" s="168"/>
      <c r="D5831" s="167"/>
      <c r="E5831" s="166"/>
      <c r="F5831" s="165"/>
      <c r="G5831" s="164"/>
    </row>
    <row r="5832" spans="1:7" x14ac:dyDescent="0.25">
      <c r="A5832" s="169" t="str">
        <f>E5832&amp;COUNTIFS($E$2:E5832,E5832)</f>
        <v>0</v>
      </c>
      <c r="B5832" s="166"/>
      <c r="C5832" s="168"/>
      <c r="D5832" s="167"/>
      <c r="E5832" s="166"/>
      <c r="F5832" s="165"/>
      <c r="G5832" s="164"/>
    </row>
    <row r="5833" spans="1:7" x14ac:dyDescent="0.25">
      <c r="A5833" s="169" t="str">
        <f>E5833&amp;COUNTIFS($E$2:E5833,E5833)</f>
        <v>0</v>
      </c>
      <c r="B5833" s="166"/>
      <c r="C5833" s="168"/>
      <c r="D5833" s="167"/>
      <c r="E5833" s="166"/>
      <c r="F5833" s="165"/>
      <c r="G5833" s="164"/>
    </row>
    <row r="5834" spans="1:7" x14ac:dyDescent="0.25">
      <c r="A5834" s="169" t="str">
        <f>E5834&amp;COUNTIFS($E$2:E5834,E5834)</f>
        <v>0</v>
      </c>
      <c r="B5834" s="166"/>
      <c r="C5834" s="168"/>
      <c r="D5834" s="167"/>
      <c r="E5834" s="166"/>
      <c r="F5834" s="165"/>
      <c r="G5834" s="164"/>
    </row>
    <row r="5835" spans="1:7" x14ac:dyDescent="0.25">
      <c r="A5835" s="169" t="str">
        <f>E5835&amp;COUNTIFS($E$2:E5835,E5835)</f>
        <v>0</v>
      </c>
      <c r="B5835" s="166"/>
      <c r="C5835" s="168"/>
      <c r="D5835" s="167"/>
      <c r="E5835" s="166"/>
      <c r="F5835" s="165"/>
      <c r="G5835" s="164"/>
    </row>
    <row r="5836" spans="1:7" x14ac:dyDescent="0.25">
      <c r="A5836" s="169" t="str">
        <f>E5836&amp;COUNTIFS($E$2:E5836,E5836)</f>
        <v>0</v>
      </c>
      <c r="B5836" s="166"/>
      <c r="C5836" s="168"/>
      <c r="D5836" s="167"/>
      <c r="E5836" s="166"/>
      <c r="F5836" s="165"/>
      <c r="G5836" s="164"/>
    </row>
    <row r="5837" spans="1:7" x14ac:dyDescent="0.25">
      <c r="A5837" s="169" t="str">
        <f>E5837&amp;COUNTIFS($E$2:E5837,E5837)</f>
        <v>0</v>
      </c>
      <c r="B5837" s="166"/>
      <c r="C5837" s="168"/>
      <c r="D5837" s="167"/>
      <c r="E5837" s="166"/>
      <c r="F5837" s="165"/>
      <c r="G5837" s="164"/>
    </row>
    <row r="5838" spans="1:7" x14ac:dyDescent="0.25">
      <c r="A5838" s="169" t="str">
        <f>E5838&amp;COUNTIFS($E$2:E5838,E5838)</f>
        <v>0</v>
      </c>
      <c r="B5838" s="166"/>
      <c r="C5838" s="168"/>
      <c r="D5838" s="167"/>
      <c r="E5838" s="166"/>
      <c r="F5838" s="165"/>
      <c r="G5838" s="164"/>
    </row>
    <row r="5839" spans="1:7" x14ac:dyDescent="0.25">
      <c r="A5839" s="169" t="str">
        <f>E5839&amp;COUNTIFS($E$2:E5839,E5839)</f>
        <v>0</v>
      </c>
      <c r="B5839" s="166"/>
      <c r="C5839" s="168"/>
      <c r="D5839" s="167"/>
      <c r="E5839" s="166"/>
      <c r="F5839" s="165"/>
      <c r="G5839" s="164"/>
    </row>
    <row r="5840" spans="1:7" ht="15.75" thickBot="1" x14ac:dyDescent="0.3">
      <c r="A5840" s="163" t="str">
        <f>E5840&amp;COUNTIFS($E$2:E5840,E5840)</f>
        <v>0</v>
      </c>
      <c r="B5840" s="160"/>
      <c r="C5840" s="162"/>
      <c r="D5840" s="161"/>
      <c r="E5840" s="160"/>
      <c r="F5840" s="159"/>
      <c r="G5840" s="158"/>
    </row>
    <row r="5841" spans="1:7" x14ac:dyDescent="0.25">
      <c r="A5841" s="148"/>
      <c r="C5841" s="143"/>
      <c r="D5841" s="157"/>
      <c r="E5841" s="143"/>
      <c r="F5841" s="156"/>
      <c r="G5841" s="156"/>
    </row>
    <row r="5842" spans="1:7" x14ac:dyDescent="0.25">
      <c r="A5842" s="148"/>
      <c r="C5842" s="153" t="s">
        <v>623</v>
      </c>
      <c r="D5842" s="152"/>
      <c r="E5842" s="151"/>
      <c r="F5842" s="150">
        <f>SUM(F5816:F5840)</f>
        <v>0</v>
      </c>
      <c r="G5842" s="155">
        <f>SUM(G5816:G5840)</f>
        <v>0</v>
      </c>
    </row>
    <row r="5843" spans="1:7" x14ac:dyDescent="0.25">
      <c r="A5843" s="148"/>
      <c r="C5843" s="145" t="s">
        <v>622</v>
      </c>
      <c r="D5843" s="154"/>
      <c r="E5843" s="145"/>
      <c r="F5843" s="144"/>
      <c r="G5843" s="144"/>
    </row>
    <row r="5844" spans="1:7" x14ac:dyDescent="0.25">
      <c r="A5844" s="148"/>
      <c r="C5844" s="153" t="s">
        <v>621</v>
      </c>
      <c r="D5844" s="152"/>
      <c r="E5844" s="151"/>
      <c r="F5844" s="150">
        <f>F5811</f>
        <v>0</v>
      </c>
      <c r="G5844" s="150">
        <f>G5811</f>
        <v>0</v>
      </c>
    </row>
    <row r="5845" spans="1:7" x14ac:dyDescent="0.25">
      <c r="A5845" s="148"/>
      <c r="C5845" s="153" t="s">
        <v>582</v>
      </c>
      <c r="D5845" s="152"/>
      <c r="E5845" s="151"/>
      <c r="F5845" s="150">
        <f>F5844+F5842</f>
        <v>0</v>
      </c>
      <c r="G5845" s="150">
        <f>G5844+G5842</f>
        <v>0</v>
      </c>
    </row>
    <row r="5846" spans="1:7" ht="15.75" thickBot="1" x14ac:dyDescent="0.3">
      <c r="A5846" s="148"/>
      <c r="C5846" s="145"/>
      <c r="D5846" s="149"/>
      <c r="E5846" s="145"/>
      <c r="F5846" s="144"/>
      <c r="G5846" s="144"/>
    </row>
    <row r="5847" spans="1:7" ht="15.75" thickBot="1" x14ac:dyDescent="0.3">
      <c r="A5847" s="148"/>
      <c r="C5847" s="147" t="s">
        <v>620</v>
      </c>
      <c r="D5847" s="146">
        <f>F5845-G5845</f>
        <v>0</v>
      </c>
      <c r="E5847" s="145"/>
      <c r="F5847" s="144"/>
      <c r="G5847" s="144"/>
    </row>
    <row r="5848" spans="1:7" ht="15.75" thickBot="1" x14ac:dyDescent="0.3"/>
    <row r="5849" spans="1:7" ht="30.75" thickBot="1" x14ac:dyDescent="0.3">
      <c r="A5849" s="190" t="s">
        <v>626</v>
      </c>
      <c r="B5849" s="189" t="s">
        <v>606</v>
      </c>
      <c r="C5849" s="188" t="s">
        <v>627</v>
      </c>
      <c r="D5849" s="187" t="s">
        <v>601</v>
      </c>
      <c r="E5849" s="186" t="s">
        <v>287</v>
      </c>
      <c r="F5849" s="185" t="s">
        <v>624</v>
      </c>
      <c r="G5849" s="185" t="s">
        <v>596</v>
      </c>
    </row>
    <row r="5850" spans="1:7" x14ac:dyDescent="0.25">
      <c r="A5850" s="175" t="str">
        <f>E5850&amp;COUNTIFS($E$2:E5850,E5850)</f>
        <v>0</v>
      </c>
      <c r="B5850" s="172"/>
      <c r="C5850" s="174"/>
      <c r="D5850" s="173"/>
      <c r="E5850" s="172"/>
      <c r="F5850" s="171"/>
      <c r="G5850" s="170"/>
    </row>
    <row r="5851" spans="1:7" x14ac:dyDescent="0.25">
      <c r="A5851" s="169" t="str">
        <f>E5851&amp;COUNTIFS($E$2:E5851,E5851)</f>
        <v>0</v>
      </c>
      <c r="B5851" s="166"/>
      <c r="C5851" s="168"/>
      <c r="D5851" s="167"/>
      <c r="E5851" s="166"/>
      <c r="F5851" s="165"/>
      <c r="G5851" s="164"/>
    </row>
    <row r="5852" spans="1:7" x14ac:dyDescent="0.25">
      <c r="A5852" s="169" t="str">
        <f>E5852&amp;COUNTIFS($E$2:E5852,E5852)</f>
        <v>0</v>
      </c>
      <c r="B5852" s="166"/>
      <c r="C5852" s="168"/>
      <c r="D5852" s="167"/>
      <c r="E5852" s="166"/>
      <c r="F5852" s="165"/>
      <c r="G5852" s="164"/>
    </row>
    <row r="5853" spans="1:7" x14ac:dyDescent="0.25">
      <c r="A5853" s="169" t="str">
        <f>E5853&amp;COUNTIFS($E$2:E5853,E5853)</f>
        <v>0</v>
      </c>
      <c r="B5853" s="166"/>
      <c r="C5853" s="168"/>
      <c r="D5853" s="167"/>
      <c r="E5853" s="166"/>
      <c r="F5853" s="165"/>
      <c r="G5853" s="164"/>
    </row>
    <row r="5854" spans="1:7" x14ac:dyDescent="0.25">
      <c r="A5854" s="169" t="str">
        <f>E5854&amp;COUNTIFS($E$2:E5854,E5854)</f>
        <v>0</v>
      </c>
      <c r="B5854" s="166"/>
      <c r="C5854" s="168"/>
      <c r="D5854" s="167"/>
      <c r="E5854" s="166"/>
      <c r="F5854" s="165"/>
      <c r="G5854" s="164"/>
    </row>
    <row r="5855" spans="1:7" x14ac:dyDescent="0.25">
      <c r="A5855" s="169" t="str">
        <f>E5855&amp;COUNTIFS($E$2:E5855,E5855)</f>
        <v>0</v>
      </c>
      <c r="B5855" s="166"/>
      <c r="C5855" s="168"/>
      <c r="D5855" s="167"/>
      <c r="E5855" s="166"/>
      <c r="F5855" s="165"/>
      <c r="G5855" s="164"/>
    </row>
    <row r="5856" spans="1:7" x14ac:dyDescent="0.25">
      <c r="A5856" s="169" t="str">
        <f>E5856&amp;COUNTIFS($E$2:E5856,E5856)</f>
        <v>0</v>
      </c>
      <c r="B5856" s="166"/>
      <c r="C5856" s="168"/>
      <c r="D5856" s="167"/>
      <c r="E5856" s="166"/>
      <c r="F5856" s="165"/>
      <c r="G5856" s="164"/>
    </row>
    <row r="5857" spans="1:7" x14ac:dyDescent="0.25">
      <c r="A5857" s="169" t="str">
        <f>E5857&amp;COUNTIFS($E$2:E5857,E5857)</f>
        <v>0</v>
      </c>
      <c r="B5857" s="166"/>
      <c r="C5857" s="168"/>
      <c r="D5857" s="167"/>
      <c r="E5857" s="166"/>
      <c r="F5857" s="165"/>
      <c r="G5857" s="164"/>
    </row>
    <row r="5858" spans="1:7" x14ac:dyDescent="0.25">
      <c r="A5858" s="169" t="str">
        <f>E5858&amp;COUNTIFS($E$2:E5858,E5858)</f>
        <v>0</v>
      </c>
      <c r="B5858" s="166"/>
      <c r="C5858" s="168"/>
      <c r="D5858" s="167"/>
      <c r="E5858" s="166"/>
      <c r="F5858" s="165"/>
      <c r="G5858" s="164"/>
    </row>
    <row r="5859" spans="1:7" x14ac:dyDescent="0.25">
      <c r="A5859" s="169" t="str">
        <f>E5859&amp;COUNTIFS($E$2:E5859,E5859)</f>
        <v>0</v>
      </c>
      <c r="B5859" s="166"/>
      <c r="C5859" s="168"/>
      <c r="D5859" s="167"/>
      <c r="E5859" s="166"/>
      <c r="F5859" s="165"/>
      <c r="G5859" s="164"/>
    </row>
    <row r="5860" spans="1:7" x14ac:dyDescent="0.25">
      <c r="A5860" s="169" t="str">
        <f>E5860&amp;COUNTIFS($E$2:E5860,E5860)</f>
        <v>0</v>
      </c>
      <c r="B5860" s="166"/>
      <c r="C5860" s="168"/>
      <c r="D5860" s="167"/>
      <c r="E5860" s="166"/>
      <c r="F5860" s="165"/>
      <c r="G5860" s="164"/>
    </row>
    <row r="5861" spans="1:7" x14ac:dyDescent="0.25">
      <c r="A5861" s="169" t="str">
        <f>E5861&amp;COUNTIFS($E$2:E5861,E5861)</f>
        <v>0</v>
      </c>
      <c r="B5861" s="166"/>
      <c r="C5861" s="168"/>
      <c r="D5861" s="167"/>
      <c r="E5861" s="166"/>
      <c r="F5861" s="165"/>
      <c r="G5861" s="164"/>
    </row>
    <row r="5862" spans="1:7" x14ac:dyDescent="0.25">
      <c r="A5862" s="169" t="str">
        <f>E5862&amp;COUNTIFS($E$2:E5862,E5862)</f>
        <v>0</v>
      </c>
      <c r="B5862" s="166"/>
      <c r="C5862" s="168"/>
      <c r="D5862" s="167"/>
      <c r="E5862" s="166"/>
      <c r="F5862" s="165"/>
      <c r="G5862" s="164"/>
    </row>
    <row r="5863" spans="1:7" x14ac:dyDescent="0.25">
      <c r="A5863" s="169" t="str">
        <f>E5863&amp;COUNTIFS($E$2:E5863,E5863)</f>
        <v>0</v>
      </c>
      <c r="B5863" s="166"/>
      <c r="C5863" s="168"/>
      <c r="D5863" s="167"/>
      <c r="E5863" s="166"/>
      <c r="F5863" s="165"/>
      <c r="G5863" s="164"/>
    </row>
    <row r="5864" spans="1:7" x14ac:dyDescent="0.25">
      <c r="A5864" s="169" t="str">
        <f>E5864&amp;COUNTIFS($E$2:E5864,E5864)</f>
        <v>0</v>
      </c>
      <c r="B5864" s="166"/>
      <c r="C5864" s="168"/>
      <c r="D5864" s="167"/>
      <c r="E5864" s="166"/>
      <c r="F5864" s="165"/>
      <c r="G5864" s="164"/>
    </row>
    <row r="5865" spans="1:7" x14ac:dyDescent="0.25">
      <c r="A5865" s="169" t="str">
        <f>E5865&amp;COUNTIFS($E$2:E5865,E5865)</f>
        <v>0</v>
      </c>
      <c r="B5865" s="166"/>
      <c r="C5865" s="168"/>
      <c r="D5865" s="167"/>
      <c r="E5865" s="166"/>
      <c r="F5865" s="165"/>
      <c r="G5865" s="164"/>
    </row>
    <row r="5866" spans="1:7" x14ac:dyDescent="0.25">
      <c r="A5866" s="169" t="str">
        <f>E5866&amp;COUNTIFS($E$2:E5866,E5866)</f>
        <v>0</v>
      </c>
      <c r="B5866" s="166"/>
      <c r="C5866" s="168"/>
      <c r="D5866" s="167"/>
      <c r="E5866" s="166"/>
      <c r="F5866" s="165"/>
      <c r="G5866" s="164"/>
    </row>
    <row r="5867" spans="1:7" x14ac:dyDescent="0.25">
      <c r="A5867" s="169" t="str">
        <f>E5867&amp;COUNTIFS($E$2:E5867,E5867)</f>
        <v>0</v>
      </c>
      <c r="B5867" s="166"/>
      <c r="C5867" s="168"/>
      <c r="D5867" s="167"/>
      <c r="E5867" s="166"/>
      <c r="F5867" s="165"/>
      <c r="G5867" s="164"/>
    </row>
    <row r="5868" spans="1:7" x14ac:dyDescent="0.25">
      <c r="A5868" s="169" t="str">
        <f>E5868&amp;COUNTIFS($E$2:E5868,E5868)</f>
        <v>0</v>
      </c>
      <c r="B5868" s="166"/>
      <c r="C5868" s="168"/>
      <c r="D5868" s="167"/>
      <c r="E5868" s="166"/>
      <c r="F5868" s="165"/>
      <c r="G5868" s="164"/>
    </row>
    <row r="5869" spans="1:7" x14ac:dyDescent="0.25">
      <c r="A5869" s="169" t="str">
        <f>E5869&amp;COUNTIFS($E$2:E5869,E5869)</f>
        <v>0</v>
      </c>
      <c r="B5869" s="166"/>
      <c r="C5869" s="168"/>
      <c r="D5869" s="167"/>
      <c r="E5869" s="166"/>
      <c r="F5869" s="165"/>
      <c r="G5869" s="164"/>
    </row>
    <row r="5870" spans="1:7" x14ac:dyDescent="0.25">
      <c r="A5870" s="169" t="str">
        <f>E5870&amp;COUNTIFS($E$2:E5870,E5870)</f>
        <v>0</v>
      </c>
      <c r="B5870" s="166"/>
      <c r="C5870" s="168"/>
      <c r="D5870" s="167"/>
      <c r="E5870" s="166"/>
      <c r="F5870" s="165"/>
      <c r="G5870" s="164"/>
    </row>
    <row r="5871" spans="1:7" x14ac:dyDescent="0.25">
      <c r="A5871" s="169" t="str">
        <f>E5871&amp;COUNTIFS($E$2:E5871,E5871)</f>
        <v>0</v>
      </c>
      <c r="B5871" s="166"/>
      <c r="C5871" s="168"/>
      <c r="D5871" s="167"/>
      <c r="E5871" s="166"/>
      <c r="F5871" s="165"/>
      <c r="G5871" s="164"/>
    </row>
    <row r="5872" spans="1:7" x14ac:dyDescent="0.25">
      <c r="A5872" s="169" t="str">
        <f>E5872&amp;COUNTIFS($E$2:E5872,E5872)</f>
        <v>0</v>
      </c>
      <c r="B5872" s="166"/>
      <c r="C5872" s="168"/>
      <c r="D5872" s="167"/>
      <c r="E5872" s="166"/>
      <c r="F5872" s="165"/>
      <c r="G5872" s="164"/>
    </row>
    <row r="5873" spans="1:7" x14ac:dyDescent="0.25">
      <c r="A5873" s="169" t="str">
        <f>E5873&amp;COUNTIFS($E$2:E5873,E5873)</f>
        <v>0</v>
      </c>
      <c r="B5873" s="166"/>
      <c r="C5873" s="168"/>
      <c r="D5873" s="167"/>
      <c r="E5873" s="166"/>
      <c r="F5873" s="165"/>
      <c r="G5873" s="164"/>
    </row>
    <row r="5874" spans="1:7" ht="15.75" thickBot="1" x14ac:dyDescent="0.3">
      <c r="A5874" s="163" t="str">
        <f>E5874&amp;COUNTIFS($E$2:E5874,E5874)</f>
        <v>0</v>
      </c>
      <c r="B5874" s="160"/>
      <c r="C5874" s="162"/>
      <c r="D5874" s="161"/>
      <c r="E5874" s="160"/>
      <c r="F5874" s="159"/>
      <c r="G5874" s="158"/>
    </row>
    <row r="5875" spans="1:7" x14ac:dyDescent="0.25">
      <c r="A5875" s="148"/>
      <c r="C5875" s="143"/>
      <c r="D5875" s="157"/>
      <c r="E5875" s="143"/>
      <c r="F5875" s="156"/>
      <c r="G5875" s="156"/>
    </row>
    <row r="5876" spans="1:7" x14ac:dyDescent="0.25">
      <c r="A5876" s="148"/>
      <c r="C5876" s="153" t="s">
        <v>623</v>
      </c>
      <c r="D5876" s="152"/>
      <c r="E5876" s="151"/>
      <c r="F5876" s="150">
        <f>SUM(F5850:F5874)</f>
        <v>0</v>
      </c>
      <c r="G5876" s="155">
        <f>SUM(G5850:G5874)</f>
        <v>0</v>
      </c>
    </row>
    <row r="5877" spans="1:7" x14ac:dyDescent="0.25">
      <c r="A5877" s="148"/>
      <c r="C5877" s="145" t="s">
        <v>622</v>
      </c>
      <c r="D5877" s="154"/>
      <c r="E5877" s="145"/>
      <c r="F5877" s="144"/>
      <c r="G5877" s="144"/>
    </row>
    <row r="5878" spans="1:7" x14ac:dyDescent="0.25">
      <c r="A5878" s="148"/>
      <c r="C5878" s="153" t="s">
        <v>621</v>
      </c>
      <c r="D5878" s="152"/>
      <c r="E5878" s="151"/>
      <c r="F5878" s="150">
        <f>F5845</f>
        <v>0</v>
      </c>
      <c r="G5878" s="150">
        <f>G5845</f>
        <v>0</v>
      </c>
    </row>
    <row r="5879" spans="1:7" x14ac:dyDescent="0.25">
      <c r="A5879" s="148"/>
      <c r="C5879" s="153" t="s">
        <v>582</v>
      </c>
      <c r="D5879" s="152"/>
      <c r="E5879" s="151"/>
      <c r="F5879" s="150">
        <f>F5878+F5876</f>
        <v>0</v>
      </c>
      <c r="G5879" s="150">
        <f>G5878+G5876</f>
        <v>0</v>
      </c>
    </row>
    <row r="5880" spans="1:7" ht="15.75" thickBot="1" x14ac:dyDescent="0.3">
      <c r="A5880" s="148"/>
      <c r="C5880" s="145"/>
      <c r="D5880" s="149"/>
      <c r="E5880" s="145"/>
      <c r="F5880" s="144"/>
      <c r="G5880" s="144"/>
    </row>
    <row r="5881" spans="1:7" ht="15.75" thickBot="1" x14ac:dyDescent="0.3">
      <c r="A5881" s="148"/>
      <c r="C5881" s="147" t="s">
        <v>620</v>
      </c>
      <c r="D5881" s="146">
        <f>F5879-G5879</f>
        <v>0</v>
      </c>
      <c r="E5881" s="145"/>
      <c r="F5881" s="144"/>
      <c r="G5881" s="144"/>
    </row>
    <row r="5882" spans="1:7" ht="15.75" thickBot="1" x14ac:dyDescent="0.3"/>
    <row r="5883" spans="1:7" ht="30.75" thickBot="1" x14ac:dyDescent="0.3">
      <c r="A5883" s="190" t="s">
        <v>626</v>
      </c>
      <c r="B5883" s="189" t="s">
        <v>606</v>
      </c>
      <c r="C5883" s="188" t="s">
        <v>627</v>
      </c>
      <c r="D5883" s="187" t="s">
        <v>601</v>
      </c>
      <c r="E5883" s="186" t="s">
        <v>287</v>
      </c>
      <c r="F5883" s="185" t="s">
        <v>624</v>
      </c>
      <c r="G5883" s="185" t="s">
        <v>596</v>
      </c>
    </row>
    <row r="5884" spans="1:7" x14ac:dyDescent="0.25">
      <c r="A5884" s="175" t="str">
        <f>E5884&amp;COUNTIFS($E$2:E5884,E5884)</f>
        <v>0</v>
      </c>
      <c r="B5884" s="172"/>
      <c r="C5884" s="174"/>
      <c r="D5884" s="173"/>
      <c r="E5884" s="172"/>
      <c r="F5884" s="171"/>
      <c r="G5884" s="170"/>
    </row>
    <row r="5885" spans="1:7" x14ac:dyDescent="0.25">
      <c r="A5885" s="169" t="str">
        <f>E5885&amp;COUNTIFS($E$2:E5885,E5885)</f>
        <v>0</v>
      </c>
      <c r="B5885" s="166"/>
      <c r="C5885" s="168"/>
      <c r="D5885" s="167"/>
      <c r="E5885" s="166"/>
      <c r="F5885" s="165"/>
      <c r="G5885" s="164"/>
    </row>
    <row r="5886" spans="1:7" x14ac:dyDescent="0.25">
      <c r="A5886" s="169" t="str">
        <f>E5886&amp;COUNTIFS($E$2:E5886,E5886)</f>
        <v>0</v>
      </c>
      <c r="B5886" s="166"/>
      <c r="C5886" s="168"/>
      <c r="D5886" s="167"/>
      <c r="E5886" s="166"/>
      <c r="F5886" s="165"/>
      <c r="G5886" s="164"/>
    </row>
    <row r="5887" spans="1:7" x14ac:dyDescent="0.25">
      <c r="A5887" s="169" t="str">
        <f>E5887&amp;COUNTIFS($E$2:E5887,E5887)</f>
        <v>0</v>
      </c>
      <c r="B5887" s="166"/>
      <c r="C5887" s="168"/>
      <c r="D5887" s="167"/>
      <c r="E5887" s="166"/>
      <c r="F5887" s="165"/>
      <c r="G5887" s="164"/>
    </row>
    <row r="5888" spans="1:7" x14ac:dyDescent="0.25">
      <c r="A5888" s="169" t="str">
        <f>E5888&amp;COUNTIFS($E$2:E5888,E5888)</f>
        <v>0</v>
      </c>
      <c r="B5888" s="166"/>
      <c r="C5888" s="168"/>
      <c r="D5888" s="167"/>
      <c r="E5888" s="166"/>
      <c r="F5888" s="165"/>
      <c r="G5888" s="164"/>
    </row>
    <row r="5889" spans="1:7" x14ac:dyDescent="0.25">
      <c r="A5889" s="169" t="str">
        <f>E5889&amp;COUNTIFS($E$2:E5889,E5889)</f>
        <v>0</v>
      </c>
      <c r="B5889" s="166"/>
      <c r="C5889" s="168"/>
      <c r="D5889" s="167"/>
      <c r="E5889" s="166"/>
      <c r="F5889" s="165"/>
      <c r="G5889" s="164"/>
    </row>
    <row r="5890" spans="1:7" x14ac:dyDescent="0.25">
      <c r="A5890" s="169" t="str">
        <f>E5890&amp;COUNTIFS($E$2:E5890,E5890)</f>
        <v>0</v>
      </c>
      <c r="B5890" s="166"/>
      <c r="C5890" s="168"/>
      <c r="D5890" s="167"/>
      <c r="E5890" s="166"/>
      <c r="F5890" s="165"/>
      <c r="G5890" s="164"/>
    </row>
    <row r="5891" spans="1:7" x14ac:dyDescent="0.25">
      <c r="A5891" s="169" t="str">
        <f>E5891&amp;COUNTIFS($E$2:E5891,E5891)</f>
        <v>0</v>
      </c>
      <c r="B5891" s="166"/>
      <c r="C5891" s="168"/>
      <c r="D5891" s="167"/>
      <c r="E5891" s="166"/>
      <c r="F5891" s="165"/>
      <c r="G5891" s="164"/>
    </row>
    <row r="5892" spans="1:7" x14ac:dyDescent="0.25">
      <c r="A5892" s="169" t="str">
        <f>E5892&amp;COUNTIFS($E$2:E5892,E5892)</f>
        <v>0</v>
      </c>
      <c r="B5892" s="166"/>
      <c r="C5892" s="168"/>
      <c r="D5892" s="167"/>
      <c r="E5892" s="166"/>
      <c r="F5892" s="165"/>
      <c r="G5892" s="164"/>
    </row>
    <row r="5893" spans="1:7" x14ac:dyDescent="0.25">
      <c r="A5893" s="169" t="str">
        <f>E5893&amp;COUNTIFS($E$2:E5893,E5893)</f>
        <v>0</v>
      </c>
      <c r="B5893" s="166"/>
      <c r="C5893" s="168"/>
      <c r="D5893" s="167"/>
      <c r="E5893" s="166"/>
      <c r="F5893" s="165"/>
      <c r="G5893" s="164"/>
    </row>
    <row r="5894" spans="1:7" x14ac:dyDescent="0.25">
      <c r="A5894" s="169" t="str">
        <f>E5894&amp;COUNTIFS($E$2:E5894,E5894)</f>
        <v>0</v>
      </c>
      <c r="B5894" s="166"/>
      <c r="C5894" s="168"/>
      <c r="D5894" s="167"/>
      <c r="E5894" s="166"/>
      <c r="F5894" s="165"/>
      <c r="G5894" s="164"/>
    </row>
    <row r="5895" spans="1:7" x14ac:dyDescent="0.25">
      <c r="A5895" s="169" t="str">
        <f>E5895&amp;COUNTIFS($E$2:E5895,E5895)</f>
        <v>0</v>
      </c>
      <c r="B5895" s="166"/>
      <c r="C5895" s="168"/>
      <c r="D5895" s="167"/>
      <c r="E5895" s="166"/>
      <c r="F5895" s="165"/>
      <c r="G5895" s="164"/>
    </row>
    <row r="5896" spans="1:7" x14ac:dyDescent="0.25">
      <c r="A5896" s="169" t="str">
        <f>E5896&amp;COUNTIFS($E$2:E5896,E5896)</f>
        <v>0</v>
      </c>
      <c r="B5896" s="166"/>
      <c r="C5896" s="168"/>
      <c r="D5896" s="167"/>
      <c r="E5896" s="166"/>
      <c r="F5896" s="165"/>
      <c r="G5896" s="164"/>
    </row>
    <row r="5897" spans="1:7" x14ac:dyDescent="0.25">
      <c r="A5897" s="169" t="str">
        <f>E5897&amp;COUNTIFS($E$2:E5897,E5897)</f>
        <v>0</v>
      </c>
      <c r="B5897" s="166"/>
      <c r="C5897" s="168"/>
      <c r="D5897" s="167"/>
      <c r="E5897" s="166"/>
      <c r="F5897" s="165"/>
      <c r="G5897" s="164"/>
    </row>
    <row r="5898" spans="1:7" x14ac:dyDescent="0.25">
      <c r="A5898" s="169" t="str">
        <f>E5898&amp;COUNTIFS($E$2:E5898,E5898)</f>
        <v>0</v>
      </c>
      <c r="B5898" s="166"/>
      <c r="C5898" s="168"/>
      <c r="D5898" s="167"/>
      <c r="E5898" s="166"/>
      <c r="F5898" s="165"/>
      <c r="G5898" s="164"/>
    </row>
    <row r="5899" spans="1:7" x14ac:dyDescent="0.25">
      <c r="A5899" s="169" t="str">
        <f>E5899&amp;COUNTIFS($E$2:E5899,E5899)</f>
        <v>0</v>
      </c>
      <c r="B5899" s="166"/>
      <c r="C5899" s="168"/>
      <c r="D5899" s="167"/>
      <c r="E5899" s="166"/>
      <c r="F5899" s="165"/>
      <c r="G5899" s="164"/>
    </row>
    <row r="5900" spans="1:7" x14ac:dyDescent="0.25">
      <c r="A5900" s="169" t="str">
        <f>E5900&amp;COUNTIFS($E$2:E5900,E5900)</f>
        <v>0</v>
      </c>
      <c r="B5900" s="166"/>
      <c r="C5900" s="168"/>
      <c r="D5900" s="167"/>
      <c r="E5900" s="166"/>
      <c r="F5900" s="165"/>
      <c r="G5900" s="164"/>
    </row>
    <row r="5901" spans="1:7" x14ac:dyDescent="0.25">
      <c r="A5901" s="169" t="str">
        <f>E5901&amp;COUNTIFS($E$2:E5901,E5901)</f>
        <v>0</v>
      </c>
      <c r="B5901" s="166"/>
      <c r="C5901" s="168"/>
      <c r="D5901" s="167"/>
      <c r="E5901" s="166"/>
      <c r="F5901" s="165"/>
      <c r="G5901" s="164"/>
    </row>
    <row r="5902" spans="1:7" x14ac:dyDescent="0.25">
      <c r="A5902" s="169" t="str">
        <f>E5902&amp;COUNTIFS($E$2:E5902,E5902)</f>
        <v>0</v>
      </c>
      <c r="B5902" s="166"/>
      <c r="C5902" s="168"/>
      <c r="D5902" s="167"/>
      <c r="E5902" s="166"/>
      <c r="F5902" s="165"/>
      <c r="G5902" s="164"/>
    </row>
    <row r="5903" spans="1:7" x14ac:dyDescent="0.25">
      <c r="A5903" s="169" t="str">
        <f>E5903&amp;COUNTIFS($E$2:E5903,E5903)</f>
        <v>0</v>
      </c>
      <c r="B5903" s="166"/>
      <c r="C5903" s="168"/>
      <c r="D5903" s="167"/>
      <c r="E5903" s="166"/>
      <c r="F5903" s="165"/>
      <c r="G5903" s="164"/>
    </row>
    <row r="5904" spans="1:7" x14ac:dyDescent="0.25">
      <c r="A5904" s="169" t="str">
        <f>E5904&amp;COUNTIFS($E$2:E5904,E5904)</f>
        <v>0</v>
      </c>
      <c r="B5904" s="166"/>
      <c r="C5904" s="168"/>
      <c r="D5904" s="167"/>
      <c r="E5904" s="166"/>
      <c r="F5904" s="165"/>
      <c r="G5904" s="164"/>
    </row>
    <row r="5905" spans="1:7" x14ac:dyDescent="0.25">
      <c r="A5905" s="169" t="str">
        <f>E5905&amp;COUNTIFS($E$2:E5905,E5905)</f>
        <v>0</v>
      </c>
      <c r="B5905" s="166"/>
      <c r="C5905" s="168"/>
      <c r="D5905" s="167"/>
      <c r="E5905" s="166"/>
      <c r="F5905" s="165"/>
      <c r="G5905" s="164"/>
    </row>
    <row r="5906" spans="1:7" x14ac:dyDescent="0.25">
      <c r="A5906" s="169" t="str">
        <f>E5906&amp;COUNTIFS($E$2:E5906,E5906)</f>
        <v>0</v>
      </c>
      <c r="B5906" s="166"/>
      <c r="C5906" s="168"/>
      <c r="D5906" s="167"/>
      <c r="E5906" s="166"/>
      <c r="F5906" s="165"/>
      <c r="G5906" s="164"/>
    </row>
    <row r="5907" spans="1:7" x14ac:dyDescent="0.25">
      <c r="A5907" s="169" t="str">
        <f>E5907&amp;COUNTIFS($E$2:E5907,E5907)</f>
        <v>0</v>
      </c>
      <c r="B5907" s="166"/>
      <c r="C5907" s="168"/>
      <c r="D5907" s="167"/>
      <c r="E5907" s="166"/>
      <c r="F5907" s="165"/>
      <c r="G5907" s="164"/>
    </row>
    <row r="5908" spans="1:7" ht="15.75" thickBot="1" x14ac:dyDescent="0.3">
      <c r="A5908" s="163" t="str">
        <f>E5908&amp;COUNTIFS($E$2:E5908,E5908)</f>
        <v>0</v>
      </c>
      <c r="B5908" s="160"/>
      <c r="C5908" s="162"/>
      <c r="D5908" s="161"/>
      <c r="E5908" s="160"/>
      <c r="F5908" s="159"/>
      <c r="G5908" s="158"/>
    </row>
    <row r="5909" spans="1:7" x14ac:dyDescent="0.25">
      <c r="A5909" s="148"/>
      <c r="C5909" s="143"/>
      <c r="D5909" s="157"/>
      <c r="E5909" s="143"/>
      <c r="F5909" s="156"/>
      <c r="G5909" s="156"/>
    </row>
    <row r="5910" spans="1:7" x14ac:dyDescent="0.25">
      <c r="A5910" s="148"/>
      <c r="C5910" s="153" t="s">
        <v>623</v>
      </c>
      <c r="D5910" s="152"/>
      <c r="E5910" s="151"/>
      <c r="F5910" s="150">
        <f>SUM(F5884:F5908)</f>
        <v>0</v>
      </c>
      <c r="G5910" s="155">
        <f>SUM(G5884:G5908)</f>
        <v>0</v>
      </c>
    </row>
    <row r="5911" spans="1:7" x14ac:dyDescent="0.25">
      <c r="A5911" s="148"/>
      <c r="C5911" s="145" t="s">
        <v>622</v>
      </c>
      <c r="D5911" s="154"/>
      <c r="E5911" s="145"/>
      <c r="F5911" s="144"/>
      <c r="G5911" s="144"/>
    </row>
    <row r="5912" spans="1:7" x14ac:dyDescent="0.25">
      <c r="A5912" s="148"/>
      <c r="C5912" s="153" t="s">
        <v>621</v>
      </c>
      <c r="D5912" s="152"/>
      <c r="E5912" s="151"/>
      <c r="F5912" s="150">
        <f>F5879</f>
        <v>0</v>
      </c>
      <c r="G5912" s="150">
        <f>G5879</f>
        <v>0</v>
      </c>
    </row>
    <row r="5913" spans="1:7" x14ac:dyDescent="0.25">
      <c r="A5913" s="148"/>
      <c r="C5913" s="153" t="s">
        <v>582</v>
      </c>
      <c r="D5913" s="152"/>
      <c r="E5913" s="151"/>
      <c r="F5913" s="150">
        <f>F5912+F5910</f>
        <v>0</v>
      </c>
      <c r="G5913" s="150">
        <f>G5912+G5910</f>
        <v>0</v>
      </c>
    </row>
    <row r="5914" spans="1:7" ht="15.75" thickBot="1" x14ac:dyDescent="0.3">
      <c r="A5914" s="148"/>
      <c r="C5914" s="145"/>
      <c r="D5914" s="149"/>
      <c r="E5914" s="145"/>
      <c r="F5914" s="144"/>
      <c r="G5914" s="144"/>
    </row>
    <row r="5915" spans="1:7" ht="15.75" thickBot="1" x14ac:dyDescent="0.3">
      <c r="A5915" s="148"/>
      <c r="C5915" s="147" t="s">
        <v>620</v>
      </c>
      <c r="D5915" s="146">
        <f>F5913-G5913</f>
        <v>0</v>
      </c>
      <c r="E5915" s="145"/>
      <c r="F5915" s="144"/>
      <c r="G5915" s="144"/>
    </row>
    <row r="5916" spans="1:7" ht="15.75" thickBot="1" x14ac:dyDescent="0.3"/>
    <row r="5917" spans="1:7" ht="30.75" thickBot="1" x14ac:dyDescent="0.3">
      <c r="A5917" s="190" t="s">
        <v>626</v>
      </c>
      <c r="B5917" s="189" t="s">
        <v>606</v>
      </c>
      <c r="C5917" s="188" t="s">
        <v>627</v>
      </c>
      <c r="D5917" s="187" t="s">
        <v>601</v>
      </c>
      <c r="E5917" s="186" t="s">
        <v>287</v>
      </c>
      <c r="F5917" s="185" t="s">
        <v>624</v>
      </c>
      <c r="G5917" s="185" t="s">
        <v>596</v>
      </c>
    </row>
    <row r="5918" spans="1:7" x14ac:dyDescent="0.25">
      <c r="A5918" s="175" t="str">
        <f>E5918&amp;COUNTIFS($E$2:E5918,E5918)</f>
        <v>0</v>
      </c>
      <c r="B5918" s="172"/>
      <c r="C5918" s="174"/>
      <c r="D5918" s="173"/>
      <c r="E5918" s="172"/>
      <c r="F5918" s="171"/>
      <c r="G5918" s="170"/>
    </row>
    <row r="5919" spans="1:7" x14ac:dyDescent="0.25">
      <c r="A5919" s="169" t="str">
        <f>E5919&amp;COUNTIFS($E$2:E5919,E5919)</f>
        <v>0</v>
      </c>
      <c r="B5919" s="166"/>
      <c r="C5919" s="168"/>
      <c r="D5919" s="167"/>
      <c r="E5919" s="166"/>
      <c r="F5919" s="165"/>
      <c r="G5919" s="164"/>
    </row>
    <row r="5920" spans="1:7" x14ac:dyDescent="0.25">
      <c r="A5920" s="169" t="str">
        <f>E5920&amp;COUNTIFS($E$2:E5920,E5920)</f>
        <v>0</v>
      </c>
      <c r="B5920" s="166"/>
      <c r="C5920" s="168"/>
      <c r="D5920" s="167"/>
      <c r="E5920" s="166"/>
      <c r="F5920" s="165"/>
      <c r="G5920" s="164"/>
    </row>
    <row r="5921" spans="1:7" x14ac:dyDescent="0.25">
      <c r="A5921" s="169" t="str">
        <f>E5921&amp;COUNTIFS($E$2:E5921,E5921)</f>
        <v>0</v>
      </c>
      <c r="B5921" s="166"/>
      <c r="C5921" s="168"/>
      <c r="D5921" s="167"/>
      <c r="E5921" s="166"/>
      <c r="F5921" s="165"/>
      <c r="G5921" s="164"/>
    </row>
    <row r="5922" spans="1:7" x14ac:dyDescent="0.25">
      <c r="A5922" s="169" t="str">
        <f>E5922&amp;COUNTIFS($E$2:E5922,E5922)</f>
        <v>0</v>
      </c>
      <c r="B5922" s="166"/>
      <c r="C5922" s="168"/>
      <c r="D5922" s="167"/>
      <c r="E5922" s="166"/>
      <c r="F5922" s="165"/>
      <c r="G5922" s="164"/>
    </row>
    <row r="5923" spans="1:7" x14ac:dyDescent="0.25">
      <c r="A5923" s="169" t="str">
        <f>E5923&amp;COUNTIFS($E$2:E5923,E5923)</f>
        <v>0</v>
      </c>
      <c r="B5923" s="166"/>
      <c r="C5923" s="168"/>
      <c r="D5923" s="184"/>
      <c r="E5923" s="183"/>
      <c r="F5923" s="165"/>
      <c r="G5923" s="164"/>
    </row>
    <row r="5924" spans="1:7" x14ac:dyDescent="0.25">
      <c r="A5924" s="169" t="str">
        <f>E5924&amp;COUNTIFS($E$2:E5924,E5924)</f>
        <v>0</v>
      </c>
      <c r="B5924" s="166"/>
      <c r="C5924" s="168"/>
      <c r="D5924" s="167"/>
      <c r="E5924" s="166"/>
      <c r="F5924" s="165"/>
      <c r="G5924" s="164"/>
    </row>
    <row r="5925" spans="1:7" x14ac:dyDescent="0.25">
      <c r="A5925" s="169" t="str">
        <f>E5925&amp;COUNTIFS($E$2:E5925,E5925)</f>
        <v>0</v>
      </c>
      <c r="B5925" s="166"/>
      <c r="C5925" s="168"/>
      <c r="D5925" s="167"/>
      <c r="E5925" s="166"/>
      <c r="F5925" s="165"/>
      <c r="G5925" s="164"/>
    </row>
    <row r="5926" spans="1:7" x14ac:dyDescent="0.25">
      <c r="A5926" s="169" t="str">
        <f>E5926&amp;COUNTIFS($E$2:E5926,E5926)</f>
        <v>0</v>
      </c>
      <c r="B5926" s="166"/>
      <c r="C5926" s="168"/>
      <c r="D5926" s="167"/>
      <c r="E5926" s="166"/>
      <c r="F5926" s="165"/>
      <c r="G5926" s="164"/>
    </row>
    <row r="5927" spans="1:7" x14ac:dyDescent="0.25">
      <c r="A5927" s="169" t="str">
        <f>E5927&amp;COUNTIFS($E$2:E5927,E5927)</f>
        <v>0</v>
      </c>
      <c r="B5927" s="166"/>
      <c r="C5927" s="168"/>
      <c r="D5927" s="167"/>
      <c r="E5927" s="166"/>
      <c r="F5927" s="165"/>
      <c r="G5927" s="164"/>
    </row>
    <row r="5928" spans="1:7" x14ac:dyDescent="0.25">
      <c r="A5928" s="169" t="str">
        <f>E5928&amp;COUNTIFS($E$2:E5928,E5928)</f>
        <v>0</v>
      </c>
      <c r="B5928" s="166"/>
      <c r="C5928" s="168"/>
      <c r="D5928" s="167"/>
      <c r="E5928" s="166"/>
      <c r="F5928" s="165"/>
      <c r="G5928" s="164"/>
    </row>
    <row r="5929" spans="1:7" x14ac:dyDescent="0.25">
      <c r="A5929" s="169" t="str">
        <f>E5929&amp;COUNTIFS($E$2:E5929,E5929)</f>
        <v>0</v>
      </c>
      <c r="B5929" s="166"/>
      <c r="C5929" s="168"/>
      <c r="D5929" s="167"/>
      <c r="E5929" s="166"/>
      <c r="F5929" s="165"/>
      <c r="G5929" s="164"/>
    </row>
    <row r="5930" spans="1:7" x14ac:dyDescent="0.25">
      <c r="A5930" s="169" t="str">
        <f>E5930&amp;COUNTIFS($E$2:E5930,E5930)</f>
        <v>0</v>
      </c>
      <c r="B5930" s="166"/>
      <c r="C5930" s="168"/>
      <c r="D5930" s="167"/>
      <c r="E5930" s="166"/>
      <c r="F5930" s="165"/>
      <c r="G5930" s="164"/>
    </row>
    <row r="5931" spans="1:7" x14ac:dyDescent="0.25">
      <c r="A5931" s="169" t="str">
        <f>E5931&amp;COUNTIFS($E$2:E5931,E5931)</f>
        <v>0</v>
      </c>
      <c r="B5931" s="166"/>
      <c r="C5931" s="168"/>
      <c r="D5931" s="167"/>
      <c r="E5931" s="166"/>
      <c r="F5931" s="165"/>
      <c r="G5931" s="164"/>
    </row>
    <row r="5932" spans="1:7" x14ac:dyDescent="0.25">
      <c r="A5932" s="169" t="str">
        <f>E5932&amp;COUNTIFS($E$2:E5932,E5932)</f>
        <v>0</v>
      </c>
      <c r="B5932" s="166"/>
      <c r="C5932" s="168"/>
      <c r="D5932" s="167"/>
      <c r="E5932" s="166"/>
      <c r="F5932" s="165"/>
      <c r="G5932" s="164"/>
    </row>
    <row r="5933" spans="1:7" x14ac:dyDescent="0.25">
      <c r="A5933" s="169" t="str">
        <f>E5933&amp;COUNTIFS($E$2:E5933,E5933)</f>
        <v>0</v>
      </c>
      <c r="B5933" s="166"/>
      <c r="C5933" s="168"/>
      <c r="D5933" s="167"/>
      <c r="E5933" s="166"/>
      <c r="F5933" s="165"/>
      <c r="G5933" s="164"/>
    </row>
    <row r="5934" spans="1:7" x14ac:dyDescent="0.25">
      <c r="A5934" s="169" t="str">
        <f>E5934&amp;COUNTIFS($E$2:E5934,E5934)</f>
        <v>0</v>
      </c>
      <c r="B5934" s="166"/>
      <c r="C5934" s="168"/>
      <c r="D5934" s="167"/>
      <c r="E5934" s="166"/>
      <c r="F5934" s="165"/>
      <c r="G5934" s="164"/>
    </row>
    <row r="5935" spans="1:7" x14ac:dyDescent="0.25">
      <c r="A5935" s="169" t="str">
        <f>E5935&amp;COUNTIFS($E$2:E5935,E5935)</f>
        <v>0</v>
      </c>
      <c r="B5935" s="166"/>
      <c r="C5935" s="168"/>
      <c r="D5935" s="167"/>
      <c r="E5935" s="166"/>
      <c r="F5935" s="165"/>
      <c r="G5935" s="164"/>
    </row>
    <row r="5936" spans="1:7" x14ac:dyDescent="0.25">
      <c r="A5936" s="169" t="str">
        <f>E5936&amp;COUNTIFS($E$2:E5936,E5936)</f>
        <v>0</v>
      </c>
      <c r="B5936" s="166"/>
      <c r="C5936" s="168"/>
      <c r="D5936" s="167"/>
      <c r="E5936" s="166"/>
      <c r="F5936" s="165"/>
      <c r="G5936" s="164"/>
    </row>
    <row r="5937" spans="1:7" x14ac:dyDescent="0.25">
      <c r="A5937" s="169" t="str">
        <f>E5937&amp;COUNTIFS($E$2:E5937,E5937)</f>
        <v>0</v>
      </c>
      <c r="B5937" s="166"/>
      <c r="C5937" s="168"/>
      <c r="D5937" s="167"/>
      <c r="E5937" s="166"/>
      <c r="F5937" s="165"/>
      <c r="G5937" s="164"/>
    </row>
    <row r="5938" spans="1:7" x14ac:dyDescent="0.25">
      <c r="A5938" s="169" t="str">
        <f>E5938&amp;COUNTIFS($E$2:E5938,E5938)</f>
        <v>0</v>
      </c>
      <c r="B5938" s="166"/>
      <c r="C5938" s="168"/>
      <c r="D5938" s="167"/>
      <c r="E5938" s="166"/>
      <c r="F5938" s="165"/>
      <c r="G5938" s="164"/>
    </row>
    <row r="5939" spans="1:7" x14ac:dyDescent="0.25">
      <c r="A5939" s="169" t="str">
        <f>E5939&amp;COUNTIFS($E$2:E5939,E5939)</f>
        <v>0</v>
      </c>
      <c r="B5939" s="166"/>
      <c r="C5939" s="168"/>
      <c r="D5939" s="167"/>
      <c r="E5939" s="166"/>
      <c r="F5939" s="165"/>
      <c r="G5939" s="164"/>
    </row>
    <row r="5940" spans="1:7" x14ac:dyDescent="0.25">
      <c r="A5940" s="169" t="str">
        <f>E5940&amp;COUNTIFS($E$2:E5940,E5940)</f>
        <v>0</v>
      </c>
      <c r="B5940" s="166"/>
      <c r="C5940" s="168"/>
      <c r="D5940" s="167"/>
      <c r="E5940" s="166"/>
      <c r="F5940" s="165"/>
      <c r="G5940" s="164"/>
    </row>
    <row r="5941" spans="1:7" x14ac:dyDescent="0.25">
      <c r="A5941" s="169" t="str">
        <f>E5941&amp;COUNTIFS($E$2:E5941,E5941)</f>
        <v>0</v>
      </c>
      <c r="B5941" s="166"/>
      <c r="C5941" s="168"/>
      <c r="D5941" s="167"/>
      <c r="E5941" s="166"/>
      <c r="F5941" s="165"/>
      <c r="G5941" s="164"/>
    </row>
    <row r="5942" spans="1:7" ht="15.75" thickBot="1" x14ac:dyDescent="0.3">
      <c r="A5942" s="163" t="str">
        <f>E5942&amp;COUNTIFS($E$2:E5942,E5942)</f>
        <v>0</v>
      </c>
      <c r="B5942" s="160"/>
      <c r="C5942" s="162"/>
      <c r="D5942" s="161"/>
      <c r="E5942" s="160"/>
      <c r="F5942" s="159"/>
      <c r="G5942" s="158"/>
    </row>
    <row r="5943" spans="1:7" x14ac:dyDescent="0.25">
      <c r="A5943" s="148"/>
      <c r="C5943" s="143"/>
      <c r="D5943" s="157"/>
      <c r="E5943" s="143"/>
      <c r="F5943" s="156"/>
      <c r="G5943" s="156"/>
    </row>
    <row r="5944" spans="1:7" x14ac:dyDescent="0.25">
      <c r="A5944" s="148"/>
      <c r="C5944" s="153" t="s">
        <v>623</v>
      </c>
      <c r="D5944" s="152"/>
      <c r="E5944" s="151"/>
      <c r="F5944" s="150">
        <f>SUM(F5918:F5942)</f>
        <v>0</v>
      </c>
      <c r="G5944" s="155">
        <f>SUM(G5918:G5942)</f>
        <v>0</v>
      </c>
    </row>
    <row r="5945" spans="1:7" x14ac:dyDescent="0.25">
      <c r="A5945" s="148"/>
      <c r="C5945" s="145" t="s">
        <v>622</v>
      </c>
      <c r="D5945" s="154"/>
      <c r="E5945" s="145"/>
      <c r="F5945" s="144"/>
      <c r="G5945" s="144"/>
    </row>
    <row r="5946" spans="1:7" x14ac:dyDescent="0.25">
      <c r="A5946" s="148"/>
      <c r="C5946" s="153" t="s">
        <v>621</v>
      </c>
      <c r="D5946" s="152"/>
      <c r="E5946" s="151"/>
      <c r="F5946" s="150">
        <f>F5913</f>
        <v>0</v>
      </c>
      <c r="G5946" s="150">
        <f>G5913</f>
        <v>0</v>
      </c>
    </row>
    <row r="5947" spans="1:7" x14ac:dyDescent="0.25">
      <c r="A5947" s="148"/>
      <c r="C5947" s="153" t="s">
        <v>582</v>
      </c>
      <c r="D5947" s="152"/>
      <c r="E5947" s="151"/>
      <c r="F5947" s="150">
        <f>F5946+F5944</f>
        <v>0</v>
      </c>
      <c r="G5947" s="150">
        <f>G5946+G5944</f>
        <v>0</v>
      </c>
    </row>
    <row r="5948" spans="1:7" ht="15.75" thickBot="1" x14ac:dyDescent="0.3">
      <c r="A5948" s="148"/>
      <c r="C5948" s="145"/>
      <c r="D5948" s="149"/>
      <c r="E5948" s="145"/>
      <c r="F5948" s="144"/>
      <c r="G5948" s="144"/>
    </row>
    <row r="5949" spans="1:7" ht="15.75" thickBot="1" x14ac:dyDescent="0.3">
      <c r="A5949" s="148"/>
      <c r="C5949" s="147" t="s">
        <v>620</v>
      </c>
      <c r="D5949" s="146">
        <f>F5947-G5947</f>
        <v>0</v>
      </c>
      <c r="E5949" s="145"/>
      <c r="F5949" s="144"/>
      <c r="G5949" s="144"/>
    </row>
    <row r="5950" spans="1:7" ht="15.75" thickBot="1" x14ac:dyDescent="0.3"/>
    <row r="5951" spans="1:7" ht="30.75" thickBot="1" x14ac:dyDescent="0.3">
      <c r="A5951" s="190" t="s">
        <v>626</v>
      </c>
      <c r="B5951" s="189" t="s">
        <v>606</v>
      </c>
      <c r="C5951" s="188" t="s">
        <v>627</v>
      </c>
      <c r="D5951" s="187" t="s">
        <v>601</v>
      </c>
      <c r="E5951" s="186" t="s">
        <v>287</v>
      </c>
      <c r="F5951" s="185" t="s">
        <v>624</v>
      </c>
      <c r="G5951" s="185" t="s">
        <v>596</v>
      </c>
    </row>
    <row r="5952" spans="1:7" x14ac:dyDescent="0.25">
      <c r="A5952" s="175" t="str">
        <f>E5952&amp;COUNTIFS($E$2:E5952,E5952)</f>
        <v>0</v>
      </c>
      <c r="B5952" s="172"/>
      <c r="C5952" s="174"/>
      <c r="D5952" s="173"/>
      <c r="E5952" s="172"/>
      <c r="F5952" s="171"/>
      <c r="G5952" s="170"/>
    </row>
    <row r="5953" spans="1:7" x14ac:dyDescent="0.25">
      <c r="A5953" s="169" t="str">
        <f>E5953&amp;COUNTIFS($E$2:E5953,E5953)</f>
        <v>0</v>
      </c>
      <c r="B5953" s="166"/>
      <c r="C5953" s="168"/>
      <c r="D5953" s="184"/>
      <c r="E5953" s="183"/>
      <c r="F5953" s="165"/>
      <c r="G5953" s="164"/>
    </row>
    <row r="5954" spans="1:7" x14ac:dyDescent="0.25">
      <c r="A5954" s="169" t="str">
        <f>E5954&amp;COUNTIFS($E$2:E5954,E5954)</f>
        <v>0</v>
      </c>
      <c r="B5954" s="166"/>
      <c r="C5954" s="168"/>
      <c r="D5954" s="167"/>
      <c r="E5954" s="166"/>
      <c r="F5954" s="165"/>
      <c r="G5954" s="164"/>
    </row>
    <row r="5955" spans="1:7" x14ac:dyDescent="0.25">
      <c r="A5955" s="169" t="str">
        <f>E5955&amp;COUNTIFS($E$2:E5955,E5955)</f>
        <v>0</v>
      </c>
      <c r="B5955" s="166"/>
      <c r="C5955" s="168"/>
      <c r="D5955" s="167"/>
      <c r="E5955" s="166"/>
      <c r="F5955" s="165"/>
      <c r="G5955" s="164"/>
    </row>
    <row r="5956" spans="1:7" x14ac:dyDescent="0.25">
      <c r="A5956" s="169" t="str">
        <f>E5956&amp;COUNTIFS($E$2:E5956,E5956)</f>
        <v>0</v>
      </c>
      <c r="B5956" s="166"/>
      <c r="C5956" s="168"/>
      <c r="D5956" s="167"/>
      <c r="E5956" s="166"/>
      <c r="F5956" s="165"/>
      <c r="G5956" s="164"/>
    </row>
    <row r="5957" spans="1:7" x14ac:dyDescent="0.25">
      <c r="A5957" s="169" t="str">
        <f>E5957&amp;COUNTIFS($E$2:E5957,E5957)</f>
        <v>0</v>
      </c>
      <c r="B5957" s="166"/>
      <c r="C5957" s="168"/>
      <c r="D5957" s="167"/>
      <c r="E5957" s="166"/>
      <c r="F5957" s="165"/>
      <c r="G5957" s="164"/>
    </row>
    <row r="5958" spans="1:7" x14ac:dyDescent="0.25">
      <c r="A5958" s="169" t="str">
        <f>E5958&amp;COUNTIFS($E$2:E5958,E5958)</f>
        <v>0</v>
      </c>
      <c r="B5958" s="166"/>
      <c r="C5958" s="168"/>
      <c r="D5958" s="167"/>
      <c r="E5958" s="166"/>
      <c r="F5958" s="165"/>
      <c r="G5958" s="164"/>
    </row>
    <row r="5959" spans="1:7" x14ac:dyDescent="0.25">
      <c r="A5959" s="169" t="str">
        <f>E5959&amp;COUNTIFS($E$2:E5959,E5959)</f>
        <v>0</v>
      </c>
      <c r="B5959" s="166"/>
      <c r="C5959" s="168"/>
      <c r="D5959" s="167"/>
      <c r="E5959" s="166"/>
      <c r="F5959" s="165"/>
      <c r="G5959" s="164"/>
    </row>
    <row r="5960" spans="1:7" x14ac:dyDescent="0.25">
      <c r="A5960" s="169" t="str">
        <f>E5960&amp;COUNTIFS($E$2:E5960,E5960)</f>
        <v>0</v>
      </c>
      <c r="B5960" s="166"/>
      <c r="C5960" s="168"/>
      <c r="D5960" s="167"/>
      <c r="E5960" s="166"/>
      <c r="F5960" s="165"/>
      <c r="G5960" s="164"/>
    </row>
    <row r="5961" spans="1:7" x14ac:dyDescent="0.25">
      <c r="A5961" s="169" t="str">
        <f>E5961&amp;COUNTIFS($E$2:E5961,E5961)</f>
        <v>0</v>
      </c>
      <c r="B5961" s="166"/>
      <c r="C5961" s="168"/>
      <c r="D5961" s="167"/>
      <c r="E5961" s="166"/>
      <c r="F5961" s="165"/>
      <c r="G5961" s="164"/>
    </row>
    <row r="5962" spans="1:7" x14ac:dyDescent="0.25">
      <c r="A5962" s="169" t="str">
        <f>E5962&amp;COUNTIFS($E$2:E5962,E5962)</f>
        <v>0</v>
      </c>
      <c r="B5962" s="166"/>
      <c r="C5962" s="168"/>
      <c r="D5962" s="167"/>
      <c r="E5962" s="166"/>
      <c r="F5962" s="165"/>
      <c r="G5962" s="164"/>
    </row>
    <row r="5963" spans="1:7" x14ac:dyDescent="0.25">
      <c r="A5963" s="169" t="str">
        <f>E5963&amp;COUNTIFS($E$2:E5963,E5963)</f>
        <v>0</v>
      </c>
      <c r="B5963" s="166"/>
      <c r="C5963" s="168"/>
      <c r="D5963" s="167"/>
      <c r="E5963" s="166"/>
      <c r="F5963" s="165"/>
      <c r="G5963" s="164"/>
    </row>
    <row r="5964" spans="1:7" x14ac:dyDescent="0.25">
      <c r="A5964" s="169" t="str">
        <f>E5964&amp;COUNTIFS($E$2:E5964,E5964)</f>
        <v>0</v>
      </c>
      <c r="B5964" s="166"/>
      <c r="C5964" s="168"/>
      <c r="D5964" s="167"/>
      <c r="E5964" s="166"/>
      <c r="F5964" s="165"/>
      <c r="G5964" s="164"/>
    </row>
    <row r="5965" spans="1:7" x14ac:dyDescent="0.25">
      <c r="A5965" s="169" t="str">
        <f>E5965&amp;COUNTIFS($E$2:E5965,E5965)</f>
        <v>0</v>
      </c>
      <c r="B5965" s="166"/>
      <c r="C5965" s="168"/>
      <c r="D5965" s="167"/>
      <c r="E5965" s="166"/>
      <c r="F5965" s="165"/>
      <c r="G5965" s="164"/>
    </row>
    <row r="5966" spans="1:7" x14ac:dyDescent="0.25">
      <c r="A5966" s="169" t="str">
        <f>E5966&amp;COUNTIFS($E$2:E5966,E5966)</f>
        <v>0</v>
      </c>
      <c r="B5966" s="166"/>
      <c r="C5966" s="168"/>
      <c r="D5966" s="167"/>
      <c r="E5966" s="166"/>
      <c r="F5966" s="165"/>
      <c r="G5966" s="164"/>
    </row>
    <row r="5967" spans="1:7" x14ac:dyDescent="0.25">
      <c r="A5967" s="169" t="str">
        <f>E5967&amp;COUNTIFS($E$2:E5967,E5967)</f>
        <v>0</v>
      </c>
      <c r="B5967" s="166"/>
      <c r="C5967" s="168"/>
      <c r="D5967" s="167"/>
      <c r="E5967" s="166"/>
      <c r="F5967" s="165"/>
      <c r="G5967" s="164"/>
    </row>
    <row r="5968" spans="1:7" x14ac:dyDescent="0.25">
      <c r="A5968" s="169" t="str">
        <f>E5968&amp;COUNTIFS($E$2:E5968,E5968)</f>
        <v>0</v>
      </c>
      <c r="B5968" s="166"/>
      <c r="C5968" s="168"/>
      <c r="D5968" s="167"/>
      <c r="E5968" s="166"/>
      <c r="F5968" s="165"/>
      <c r="G5968" s="164"/>
    </row>
    <row r="5969" spans="1:7" x14ac:dyDescent="0.25">
      <c r="A5969" s="169" t="str">
        <f>E5969&amp;COUNTIFS($E$2:E5969,E5969)</f>
        <v>0</v>
      </c>
      <c r="B5969" s="166"/>
      <c r="C5969" s="168"/>
      <c r="D5969" s="167"/>
      <c r="E5969" s="166"/>
      <c r="F5969" s="165"/>
      <c r="G5969" s="164"/>
    </row>
    <row r="5970" spans="1:7" x14ac:dyDescent="0.25">
      <c r="A5970" s="169" t="str">
        <f>E5970&amp;COUNTIFS($E$2:E5970,E5970)</f>
        <v>0</v>
      </c>
      <c r="B5970" s="166"/>
      <c r="C5970" s="168"/>
      <c r="D5970" s="167"/>
      <c r="E5970" s="166"/>
      <c r="F5970" s="165"/>
      <c r="G5970" s="164"/>
    </row>
    <row r="5971" spans="1:7" x14ac:dyDescent="0.25">
      <c r="A5971" s="169" t="str">
        <f>E5971&amp;COUNTIFS($E$2:E5971,E5971)</f>
        <v>0</v>
      </c>
      <c r="B5971" s="166"/>
      <c r="C5971" s="168"/>
      <c r="D5971" s="167"/>
      <c r="E5971" s="166"/>
      <c r="F5971" s="165"/>
      <c r="G5971" s="164"/>
    </row>
    <row r="5972" spans="1:7" x14ac:dyDescent="0.25">
      <c r="A5972" s="169" t="str">
        <f>E5972&amp;COUNTIFS($E$2:E5972,E5972)</f>
        <v>0</v>
      </c>
      <c r="B5972" s="166"/>
      <c r="C5972" s="168"/>
      <c r="D5972" s="167"/>
      <c r="E5972" s="166"/>
      <c r="F5972" s="165"/>
      <c r="G5972" s="164"/>
    </row>
    <row r="5973" spans="1:7" x14ac:dyDescent="0.25">
      <c r="A5973" s="169" t="str">
        <f>E5973&amp;COUNTIFS($E$2:E5973,E5973)</f>
        <v>0</v>
      </c>
      <c r="B5973" s="166"/>
      <c r="C5973" s="168"/>
      <c r="D5973" s="167"/>
      <c r="E5973" s="166"/>
      <c r="F5973" s="165"/>
      <c r="G5973" s="164"/>
    </row>
    <row r="5974" spans="1:7" x14ac:dyDescent="0.25">
      <c r="A5974" s="169" t="str">
        <f>E5974&amp;COUNTIFS($E$2:E5974,E5974)</f>
        <v>0</v>
      </c>
      <c r="B5974" s="166"/>
      <c r="C5974" s="168"/>
      <c r="D5974" s="167"/>
      <c r="E5974" s="166"/>
      <c r="F5974" s="165"/>
      <c r="G5974" s="164"/>
    </row>
    <row r="5975" spans="1:7" x14ac:dyDescent="0.25">
      <c r="A5975" s="169" t="str">
        <f>E5975&amp;COUNTIFS($E$2:E5975,E5975)</f>
        <v>0</v>
      </c>
      <c r="B5975" s="166"/>
      <c r="C5975" s="168"/>
      <c r="D5975" s="167"/>
      <c r="E5975" s="166"/>
      <c r="F5975" s="165"/>
      <c r="G5975" s="164"/>
    </row>
    <row r="5976" spans="1:7" ht="15.75" thickBot="1" x14ac:dyDescent="0.3">
      <c r="A5976" s="163" t="str">
        <f>E5976&amp;COUNTIFS($E$2:E5976,E5976)</f>
        <v>0</v>
      </c>
      <c r="B5976" s="160"/>
      <c r="C5976" s="162"/>
      <c r="D5976" s="161"/>
      <c r="E5976" s="160"/>
      <c r="F5976" s="159"/>
      <c r="G5976" s="158"/>
    </row>
    <row r="5977" spans="1:7" x14ac:dyDescent="0.25">
      <c r="A5977" s="148"/>
      <c r="C5977" s="143"/>
      <c r="D5977" s="157"/>
      <c r="E5977" s="143"/>
      <c r="F5977" s="156"/>
      <c r="G5977" s="156"/>
    </row>
    <row r="5978" spans="1:7" x14ac:dyDescent="0.25">
      <c r="A5978" s="148"/>
      <c r="C5978" s="153" t="s">
        <v>623</v>
      </c>
      <c r="D5978" s="152"/>
      <c r="E5978" s="151"/>
      <c r="F5978" s="150">
        <f>SUM(F5952:F5976)</f>
        <v>0</v>
      </c>
      <c r="G5978" s="155">
        <f>SUM(G5952:G5976)</f>
        <v>0</v>
      </c>
    </row>
    <row r="5979" spans="1:7" x14ac:dyDescent="0.25">
      <c r="A5979" s="148"/>
      <c r="C5979" s="145" t="s">
        <v>622</v>
      </c>
      <c r="D5979" s="154"/>
      <c r="E5979" s="145"/>
      <c r="F5979" s="144"/>
      <c r="G5979" s="144"/>
    </row>
    <row r="5980" spans="1:7" x14ac:dyDescent="0.25">
      <c r="A5980" s="148"/>
      <c r="C5980" s="153" t="s">
        <v>621</v>
      </c>
      <c r="D5980" s="152"/>
      <c r="E5980" s="151"/>
      <c r="F5980" s="150">
        <f>F5947</f>
        <v>0</v>
      </c>
      <c r="G5980" s="150">
        <f>G5947</f>
        <v>0</v>
      </c>
    </row>
    <row r="5981" spans="1:7" x14ac:dyDescent="0.25">
      <c r="A5981" s="148"/>
      <c r="C5981" s="153" t="s">
        <v>582</v>
      </c>
      <c r="D5981" s="152"/>
      <c r="E5981" s="151"/>
      <c r="F5981" s="150">
        <f>F5980+F5978</f>
        <v>0</v>
      </c>
      <c r="G5981" s="150">
        <f>G5980+G5978</f>
        <v>0</v>
      </c>
    </row>
    <row r="5982" spans="1:7" ht="15.75" thickBot="1" x14ac:dyDescent="0.3">
      <c r="A5982" s="148"/>
      <c r="C5982" s="145"/>
      <c r="D5982" s="149"/>
      <c r="E5982" s="145"/>
      <c r="F5982" s="144"/>
      <c r="G5982" s="144"/>
    </row>
    <row r="5983" spans="1:7" ht="15.75" thickBot="1" x14ac:dyDescent="0.3">
      <c r="A5983" s="148"/>
      <c r="C5983" s="147" t="s">
        <v>620</v>
      </c>
      <c r="D5983" s="146">
        <f>F5981-G5981</f>
        <v>0</v>
      </c>
      <c r="E5983" s="145"/>
      <c r="F5983" s="144"/>
      <c r="G5983" s="144"/>
    </row>
    <row r="5984" spans="1:7" ht="15.75" thickBot="1" x14ac:dyDescent="0.3"/>
    <row r="5985" spans="1:7" ht="30.75" thickBot="1" x14ac:dyDescent="0.3">
      <c r="A5985" s="190" t="s">
        <v>626</v>
      </c>
      <c r="B5985" s="189" t="s">
        <v>606</v>
      </c>
      <c r="C5985" s="188" t="s">
        <v>627</v>
      </c>
      <c r="D5985" s="187" t="s">
        <v>601</v>
      </c>
      <c r="E5985" s="186" t="s">
        <v>287</v>
      </c>
      <c r="F5985" s="185" t="s">
        <v>624</v>
      </c>
      <c r="G5985" s="185" t="s">
        <v>596</v>
      </c>
    </row>
    <row r="5986" spans="1:7" x14ac:dyDescent="0.25">
      <c r="A5986" s="175" t="str">
        <f>E5986&amp;COUNTIFS($E$2:E5986,E5986)</f>
        <v>0</v>
      </c>
      <c r="B5986" s="172"/>
      <c r="C5986" s="174"/>
      <c r="D5986" s="173"/>
      <c r="E5986" s="172"/>
      <c r="F5986" s="171"/>
      <c r="G5986" s="170"/>
    </row>
    <row r="5987" spans="1:7" x14ac:dyDescent="0.25">
      <c r="A5987" s="169" t="str">
        <f>E5987&amp;COUNTIFS($E$2:E5987,E5987)</f>
        <v>0</v>
      </c>
      <c r="B5987" s="166"/>
      <c r="C5987" s="168"/>
      <c r="D5987" s="167"/>
      <c r="E5987" s="166"/>
      <c r="F5987" s="165"/>
      <c r="G5987" s="164"/>
    </row>
    <row r="5988" spans="1:7" x14ac:dyDescent="0.25">
      <c r="A5988" s="169" t="str">
        <f>E5988&amp;COUNTIFS($E$2:E5988,E5988)</f>
        <v>0</v>
      </c>
      <c r="B5988" s="166"/>
      <c r="C5988" s="168"/>
      <c r="D5988" s="167"/>
      <c r="E5988" s="166"/>
      <c r="F5988" s="165"/>
      <c r="G5988" s="164"/>
    </row>
    <row r="5989" spans="1:7" x14ac:dyDescent="0.25">
      <c r="A5989" s="169" t="str">
        <f>E5989&amp;COUNTIFS($E$2:E5989,E5989)</f>
        <v>0</v>
      </c>
      <c r="B5989" s="166"/>
      <c r="C5989" s="168"/>
      <c r="D5989" s="167"/>
      <c r="E5989" s="166"/>
      <c r="F5989" s="165"/>
      <c r="G5989" s="164"/>
    </row>
    <row r="5990" spans="1:7" x14ac:dyDescent="0.25">
      <c r="A5990" s="169" t="str">
        <f>E5990&amp;COUNTIFS($E$2:E5990,E5990)</f>
        <v>0</v>
      </c>
      <c r="B5990" s="166"/>
      <c r="C5990" s="168"/>
      <c r="D5990" s="167"/>
      <c r="E5990" s="166"/>
      <c r="F5990" s="165"/>
      <c r="G5990" s="164"/>
    </row>
    <row r="5991" spans="1:7" x14ac:dyDescent="0.25">
      <c r="A5991" s="169" t="str">
        <f>E5991&amp;COUNTIFS($E$2:E5991,E5991)</f>
        <v>0</v>
      </c>
      <c r="B5991" s="166"/>
      <c r="C5991" s="168"/>
      <c r="D5991" s="167"/>
      <c r="E5991" s="166"/>
      <c r="F5991" s="165"/>
      <c r="G5991" s="164"/>
    </row>
    <row r="5992" spans="1:7" x14ac:dyDescent="0.25">
      <c r="A5992" s="169" t="str">
        <f>E5992&amp;COUNTIFS($E$2:E5992,E5992)</f>
        <v>0</v>
      </c>
      <c r="B5992" s="166"/>
      <c r="C5992" s="168"/>
      <c r="D5992" s="167"/>
      <c r="E5992" s="166"/>
      <c r="F5992" s="165"/>
      <c r="G5992" s="164"/>
    </row>
    <row r="5993" spans="1:7" x14ac:dyDescent="0.25">
      <c r="A5993" s="169" t="str">
        <f>E5993&amp;COUNTIFS($E$2:E5993,E5993)</f>
        <v>0</v>
      </c>
      <c r="B5993" s="166"/>
      <c r="C5993" s="168"/>
      <c r="D5993" s="167"/>
      <c r="E5993" s="166"/>
      <c r="F5993" s="165"/>
      <c r="G5993" s="164"/>
    </row>
    <row r="5994" spans="1:7" x14ac:dyDescent="0.25">
      <c r="A5994" s="169" t="str">
        <f>E5994&amp;COUNTIFS($E$2:E5994,E5994)</f>
        <v>0</v>
      </c>
      <c r="B5994" s="166"/>
      <c r="C5994" s="168"/>
      <c r="D5994" s="167"/>
      <c r="E5994" s="166"/>
      <c r="F5994" s="165"/>
      <c r="G5994" s="164"/>
    </row>
    <row r="5995" spans="1:7" x14ac:dyDescent="0.25">
      <c r="A5995" s="169" t="str">
        <f>E5995&amp;COUNTIFS($E$2:E5995,E5995)</f>
        <v>0</v>
      </c>
      <c r="B5995" s="166"/>
      <c r="C5995" s="168"/>
      <c r="D5995" s="167"/>
      <c r="E5995" s="166"/>
      <c r="F5995" s="165"/>
      <c r="G5995" s="164"/>
    </row>
    <row r="5996" spans="1:7" x14ac:dyDescent="0.25">
      <c r="A5996" s="169" t="str">
        <f>E5996&amp;COUNTIFS($E$2:E5996,E5996)</f>
        <v>0</v>
      </c>
      <c r="B5996" s="166"/>
      <c r="C5996" s="168"/>
      <c r="D5996" s="167"/>
      <c r="E5996" s="166"/>
      <c r="F5996" s="165"/>
      <c r="G5996" s="164"/>
    </row>
    <row r="5997" spans="1:7" x14ac:dyDescent="0.25">
      <c r="A5997" s="169" t="str">
        <f>E5997&amp;COUNTIFS($E$2:E5997,E5997)</f>
        <v>0</v>
      </c>
      <c r="B5997" s="166"/>
      <c r="C5997" s="168"/>
      <c r="D5997" s="167"/>
      <c r="E5997" s="166"/>
      <c r="F5997" s="165"/>
      <c r="G5997" s="164"/>
    </row>
    <row r="5998" spans="1:7" x14ac:dyDescent="0.25">
      <c r="A5998" s="169" t="str">
        <f>E5998&amp;COUNTIFS($E$2:E5998,E5998)</f>
        <v>0</v>
      </c>
      <c r="B5998" s="166"/>
      <c r="C5998" s="168"/>
      <c r="D5998" s="167"/>
      <c r="E5998" s="166"/>
      <c r="F5998" s="165"/>
      <c r="G5998" s="164"/>
    </row>
    <row r="5999" spans="1:7" x14ac:dyDescent="0.25">
      <c r="A5999" s="169" t="str">
        <f>E5999&amp;COUNTIFS($E$2:E5999,E5999)</f>
        <v>0</v>
      </c>
      <c r="B5999" s="166"/>
      <c r="C5999" s="168"/>
      <c r="D5999" s="167"/>
      <c r="E5999" s="166"/>
      <c r="F5999" s="165"/>
      <c r="G5999" s="164"/>
    </row>
    <row r="6000" spans="1:7" x14ac:dyDescent="0.25">
      <c r="A6000" s="169" t="str">
        <f>E6000&amp;COUNTIFS($E$2:E6000,E6000)</f>
        <v>0</v>
      </c>
      <c r="B6000" s="166"/>
      <c r="C6000" s="168"/>
      <c r="D6000" s="167"/>
      <c r="E6000" s="166"/>
      <c r="F6000" s="165"/>
      <c r="G6000" s="164"/>
    </row>
    <row r="6001" spans="1:7" x14ac:dyDescent="0.25">
      <c r="A6001" s="169" t="str">
        <f>E6001&amp;COUNTIFS($E$2:E6001,E6001)</f>
        <v>0</v>
      </c>
      <c r="B6001" s="166"/>
      <c r="C6001" s="168"/>
      <c r="D6001" s="167"/>
      <c r="E6001" s="166"/>
      <c r="F6001" s="165"/>
      <c r="G6001" s="164"/>
    </row>
    <row r="6002" spans="1:7" x14ac:dyDescent="0.25">
      <c r="A6002" s="169" t="str">
        <f>E6002&amp;COUNTIFS($E$2:E6002,E6002)</f>
        <v>0</v>
      </c>
      <c r="B6002" s="166"/>
      <c r="C6002" s="168"/>
      <c r="D6002" s="167"/>
      <c r="E6002" s="166"/>
      <c r="F6002" s="165"/>
      <c r="G6002" s="164"/>
    </row>
    <row r="6003" spans="1:7" x14ac:dyDescent="0.25">
      <c r="A6003" s="169" t="str">
        <f>E6003&amp;COUNTIFS($E$2:E6003,E6003)</f>
        <v>0</v>
      </c>
      <c r="B6003" s="166"/>
      <c r="C6003" s="168"/>
      <c r="D6003" s="167"/>
      <c r="E6003" s="166"/>
      <c r="F6003" s="165"/>
      <c r="G6003" s="164"/>
    </row>
    <row r="6004" spans="1:7" x14ac:dyDescent="0.25">
      <c r="A6004" s="169" t="str">
        <f>E6004&amp;COUNTIFS($E$2:E6004,E6004)</f>
        <v>0</v>
      </c>
      <c r="B6004" s="166"/>
      <c r="C6004" s="168"/>
      <c r="D6004" s="167"/>
      <c r="E6004" s="166"/>
      <c r="F6004" s="165"/>
      <c r="G6004" s="164"/>
    </row>
    <row r="6005" spans="1:7" x14ac:dyDescent="0.25">
      <c r="A6005" s="169" t="str">
        <f>E6005&amp;COUNTIFS($E$2:E6005,E6005)</f>
        <v>0</v>
      </c>
      <c r="B6005" s="166"/>
      <c r="C6005" s="168"/>
      <c r="D6005" s="167"/>
      <c r="E6005" s="166"/>
      <c r="F6005" s="165"/>
      <c r="G6005" s="164"/>
    </row>
    <row r="6006" spans="1:7" x14ac:dyDescent="0.25">
      <c r="A6006" s="169" t="str">
        <f>E6006&amp;COUNTIFS($E$2:E6006,E6006)</f>
        <v>0</v>
      </c>
      <c r="B6006" s="166"/>
      <c r="C6006" s="168"/>
      <c r="D6006" s="167"/>
      <c r="E6006" s="166"/>
      <c r="F6006" s="165"/>
      <c r="G6006" s="164"/>
    </row>
    <row r="6007" spans="1:7" x14ac:dyDescent="0.25">
      <c r="A6007" s="169" t="str">
        <f>E6007&amp;COUNTIFS($E$2:E6007,E6007)</f>
        <v>0</v>
      </c>
      <c r="B6007" s="166"/>
      <c r="C6007" s="168"/>
      <c r="D6007" s="167"/>
      <c r="E6007" s="166"/>
      <c r="F6007" s="165"/>
      <c r="G6007" s="164"/>
    </row>
    <row r="6008" spans="1:7" x14ac:dyDescent="0.25">
      <c r="A6008" s="169" t="str">
        <f>E6008&amp;COUNTIFS($E$2:E6008,E6008)</f>
        <v>0</v>
      </c>
      <c r="B6008" s="166"/>
      <c r="C6008" s="168"/>
      <c r="D6008" s="167"/>
      <c r="E6008" s="166"/>
      <c r="F6008" s="165"/>
      <c r="G6008" s="164"/>
    </row>
    <row r="6009" spans="1:7" x14ac:dyDescent="0.25">
      <c r="A6009" s="169" t="str">
        <f>E6009&amp;COUNTIFS($E$2:E6009,E6009)</f>
        <v>0</v>
      </c>
      <c r="B6009" s="166"/>
      <c r="C6009" s="168"/>
      <c r="D6009" s="167"/>
      <c r="E6009" s="166"/>
      <c r="F6009" s="165"/>
      <c r="G6009" s="164"/>
    </row>
    <row r="6010" spans="1:7" ht="15.75" thickBot="1" x14ac:dyDescent="0.3">
      <c r="A6010" s="163" t="str">
        <f>E6010&amp;COUNTIFS($E$2:E6010,E6010)</f>
        <v>0</v>
      </c>
      <c r="B6010" s="160"/>
      <c r="C6010" s="162"/>
      <c r="D6010" s="161"/>
      <c r="E6010" s="160"/>
      <c r="F6010" s="159"/>
      <c r="G6010" s="158"/>
    </row>
    <row r="6011" spans="1:7" x14ac:dyDescent="0.25">
      <c r="A6011" s="148"/>
      <c r="C6011" s="143"/>
      <c r="D6011" s="157"/>
      <c r="E6011" s="143"/>
      <c r="F6011" s="156"/>
      <c r="G6011" s="156"/>
    </row>
    <row r="6012" spans="1:7" x14ac:dyDescent="0.25">
      <c r="A6012" s="148"/>
      <c r="C6012" s="153" t="s">
        <v>623</v>
      </c>
      <c r="D6012" s="152"/>
      <c r="E6012" s="151"/>
      <c r="F6012" s="150">
        <f>SUM(F5986:F6010)</f>
        <v>0</v>
      </c>
      <c r="G6012" s="155">
        <f>SUM(G5986:G6010)</f>
        <v>0</v>
      </c>
    </row>
    <row r="6013" spans="1:7" x14ac:dyDescent="0.25">
      <c r="A6013" s="148"/>
      <c r="C6013" s="145" t="s">
        <v>622</v>
      </c>
      <c r="D6013" s="154"/>
      <c r="E6013" s="145"/>
      <c r="F6013" s="144"/>
      <c r="G6013" s="144"/>
    </row>
    <row r="6014" spans="1:7" x14ac:dyDescent="0.25">
      <c r="A6014" s="148"/>
      <c r="C6014" s="153" t="s">
        <v>621</v>
      </c>
      <c r="D6014" s="152"/>
      <c r="E6014" s="151"/>
      <c r="F6014" s="150">
        <f>F5981</f>
        <v>0</v>
      </c>
      <c r="G6014" s="150">
        <f>G5981</f>
        <v>0</v>
      </c>
    </row>
    <row r="6015" spans="1:7" x14ac:dyDescent="0.25">
      <c r="A6015" s="148"/>
      <c r="C6015" s="153" t="s">
        <v>582</v>
      </c>
      <c r="D6015" s="152"/>
      <c r="E6015" s="151"/>
      <c r="F6015" s="150">
        <f>F6014+F6012</f>
        <v>0</v>
      </c>
      <c r="G6015" s="150">
        <f>G6014+G6012</f>
        <v>0</v>
      </c>
    </row>
    <row r="6016" spans="1:7" ht="15.75" thickBot="1" x14ac:dyDescent="0.3">
      <c r="A6016" s="148"/>
      <c r="C6016" s="145"/>
      <c r="D6016" s="149"/>
      <c r="E6016" s="145"/>
      <c r="F6016" s="144"/>
      <c r="G6016" s="144"/>
    </row>
    <row r="6017" spans="1:7" ht="15.75" thickBot="1" x14ac:dyDescent="0.3">
      <c r="A6017" s="148"/>
      <c r="C6017" s="147" t="s">
        <v>620</v>
      </c>
      <c r="D6017" s="146">
        <f>F6015-G6015</f>
        <v>0</v>
      </c>
      <c r="E6017" s="145"/>
      <c r="F6017" s="144"/>
      <c r="G6017" s="144"/>
    </row>
    <row r="6018" spans="1:7" ht="15.75" thickBot="1" x14ac:dyDescent="0.3"/>
    <row r="6019" spans="1:7" ht="30.75" thickBot="1" x14ac:dyDescent="0.3">
      <c r="A6019" s="190" t="s">
        <v>626</v>
      </c>
      <c r="B6019" s="189" t="s">
        <v>606</v>
      </c>
      <c r="C6019" s="188" t="s">
        <v>627</v>
      </c>
      <c r="D6019" s="187" t="s">
        <v>601</v>
      </c>
      <c r="E6019" s="186" t="s">
        <v>287</v>
      </c>
      <c r="F6019" s="185" t="s">
        <v>624</v>
      </c>
      <c r="G6019" s="185" t="s">
        <v>596</v>
      </c>
    </row>
    <row r="6020" spans="1:7" x14ac:dyDescent="0.25">
      <c r="A6020" s="175" t="str">
        <f>E6020&amp;COUNTIFS($E$2:E6020,E6020)</f>
        <v>0</v>
      </c>
      <c r="B6020" s="172"/>
      <c r="C6020" s="168"/>
      <c r="D6020" s="173"/>
      <c r="E6020" s="172"/>
      <c r="F6020" s="171"/>
      <c r="G6020" s="170"/>
    </row>
    <row r="6021" spans="1:7" x14ac:dyDescent="0.25">
      <c r="A6021" s="169" t="str">
        <f>E6021&amp;COUNTIFS($E$2:E6021,E6021)</f>
        <v>0</v>
      </c>
      <c r="B6021" s="166"/>
      <c r="C6021" s="168"/>
      <c r="D6021" s="167"/>
      <c r="E6021" s="166"/>
      <c r="F6021" s="165"/>
      <c r="G6021" s="164"/>
    </row>
    <row r="6022" spans="1:7" x14ac:dyDescent="0.25">
      <c r="A6022" s="169" t="str">
        <f>E6022&amp;COUNTIFS($E$2:E6022,E6022)</f>
        <v>0</v>
      </c>
      <c r="B6022" s="166"/>
      <c r="C6022" s="168"/>
      <c r="D6022" s="167"/>
      <c r="E6022" s="166"/>
      <c r="F6022" s="165"/>
      <c r="G6022" s="164"/>
    </row>
    <row r="6023" spans="1:7" x14ac:dyDescent="0.25">
      <c r="A6023" s="169" t="str">
        <f>E6023&amp;COUNTIFS($E$2:E6023,E6023)</f>
        <v>0</v>
      </c>
      <c r="B6023" s="166"/>
      <c r="C6023" s="168"/>
      <c r="D6023" s="167"/>
      <c r="E6023" s="166"/>
      <c r="F6023" s="165"/>
      <c r="G6023" s="164"/>
    </row>
    <row r="6024" spans="1:7" x14ac:dyDescent="0.25">
      <c r="A6024" s="169" t="str">
        <f>E6024&amp;COUNTIFS($E$2:E6024,E6024)</f>
        <v>0</v>
      </c>
      <c r="B6024" s="166"/>
      <c r="C6024" s="168"/>
      <c r="D6024" s="167"/>
      <c r="E6024" s="166"/>
      <c r="F6024" s="165"/>
      <c r="G6024" s="164"/>
    </row>
    <row r="6025" spans="1:7" x14ac:dyDescent="0.25">
      <c r="A6025" s="169" t="str">
        <f>E6025&amp;COUNTIFS($E$2:E6025,E6025)</f>
        <v>0</v>
      </c>
      <c r="B6025" s="166"/>
      <c r="C6025" s="168"/>
      <c r="D6025" s="167"/>
      <c r="E6025" s="166"/>
      <c r="F6025" s="165"/>
      <c r="G6025" s="164"/>
    </row>
    <row r="6026" spans="1:7" x14ac:dyDescent="0.25">
      <c r="A6026" s="169" t="str">
        <f>E6026&amp;COUNTIFS($E$2:E6026,E6026)</f>
        <v>0</v>
      </c>
      <c r="B6026" s="166"/>
      <c r="C6026" s="168"/>
      <c r="D6026" s="167"/>
      <c r="E6026" s="166"/>
      <c r="F6026" s="165"/>
      <c r="G6026" s="164"/>
    </row>
    <row r="6027" spans="1:7" x14ac:dyDescent="0.25">
      <c r="A6027" s="169" t="str">
        <f>E6027&amp;COUNTIFS($E$2:E6027,E6027)</f>
        <v>0</v>
      </c>
      <c r="B6027" s="166"/>
      <c r="C6027" s="168"/>
      <c r="D6027" s="167"/>
      <c r="E6027" s="166"/>
      <c r="F6027" s="165"/>
      <c r="G6027" s="164"/>
    </row>
    <row r="6028" spans="1:7" x14ac:dyDescent="0.25">
      <c r="A6028" s="169" t="str">
        <f>E6028&amp;COUNTIFS($E$2:E6028,E6028)</f>
        <v>0</v>
      </c>
      <c r="B6028" s="166"/>
      <c r="C6028" s="168"/>
      <c r="D6028" s="167"/>
      <c r="E6028" s="166"/>
      <c r="F6028" s="165"/>
      <c r="G6028" s="164"/>
    </row>
    <row r="6029" spans="1:7" x14ac:dyDescent="0.25">
      <c r="A6029" s="169" t="str">
        <f>E6029&amp;COUNTIFS($E$2:E6029,E6029)</f>
        <v>0</v>
      </c>
      <c r="B6029" s="166"/>
      <c r="C6029" s="168"/>
      <c r="D6029" s="167"/>
      <c r="E6029" s="166"/>
      <c r="F6029" s="165"/>
      <c r="G6029" s="164"/>
    </row>
    <row r="6030" spans="1:7" x14ac:dyDescent="0.25">
      <c r="A6030" s="169" t="str">
        <f>E6030&amp;COUNTIFS($E$2:E6030,E6030)</f>
        <v>0</v>
      </c>
      <c r="B6030" s="166"/>
      <c r="C6030" s="168"/>
      <c r="D6030" s="167"/>
      <c r="E6030" s="166"/>
      <c r="F6030" s="165"/>
      <c r="G6030" s="164"/>
    </row>
    <row r="6031" spans="1:7" x14ac:dyDescent="0.25">
      <c r="A6031" s="169" t="str">
        <f>E6031&amp;COUNTIFS($E$2:E6031,E6031)</f>
        <v>0</v>
      </c>
      <c r="B6031" s="166"/>
      <c r="C6031" s="168"/>
      <c r="D6031" s="167"/>
      <c r="E6031" s="166"/>
      <c r="F6031" s="165"/>
      <c r="G6031" s="164"/>
    </row>
    <row r="6032" spans="1:7" x14ac:dyDescent="0.25">
      <c r="A6032" s="169" t="str">
        <f>E6032&amp;COUNTIFS($E$2:E6032,E6032)</f>
        <v>0</v>
      </c>
      <c r="B6032" s="166"/>
      <c r="C6032" s="168"/>
      <c r="D6032" s="167"/>
      <c r="E6032" s="166"/>
      <c r="F6032" s="165"/>
      <c r="G6032" s="164"/>
    </row>
    <row r="6033" spans="1:7" x14ac:dyDescent="0.25">
      <c r="A6033" s="169" t="str">
        <f>E6033&amp;COUNTIFS($E$2:E6033,E6033)</f>
        <v>0</v>
      </c>
      <c r="B6033" s="166"/>
      <c r="C6033" s="168"/>
      <c r="D6033" s="167"/>
      <c r="E6033" s="166"/>
      <c r="F6033" s="165"/>
      <c r="G6033" s="164"/>
    </row>
    <row r="6034" spans="1:7" x14ac:dyDescent="0.25">
      <c r="A6034" s="169" t="str">
        <f>E6034&amp;COUNTIFS($E$2:E6034,E6034)</f>
        <v>0</v>
      </c>
      <c r="B6034" s="166"/>
      <c r="C6034" s="168"/>
      <c r="D6034" s="167"/>
      <c r="E6034" s="166"/>
      <c r="F6034" s="165"/>
      <c r="G6034" s="164"/>
    </row>
    <row r="6035" spans="1:7" x14ac:dyDescent="0.25">
      <c r="A6035" s="169" t="str">
        <f>E6035&amp;COUNTIFS($E$2:E6035,E6035)</f>
        <v>0</v>
      </c>
      <c r="B6035" s="166"/>
      <c r="C6035" s="168"/>
      <c r="D6035" s="167"/>
      <c r="E6035" s="166"/>
      <c r="F6035" s="165"/>
      <c r="G6035" s="164"/>
    </row>
    <row r="6036" spans="1:7" x14ac:dyDescent="0.25">
      <c r="A6036" s="169" t="str">
        <f>E6036&amp;COUNTIFS($E$2:E6036,E6036)</f>
        <v>0</v>
      </c>
      <c r="B6036" s="166"/>
      <c r="C6036" s="168"/>
      <c r="D6036" s="167"/>
      <c r="E6036" s="166"/>
      <c r="F6036" s="165"/>
      <c r="G6036" s="164"/>
    </row>
    <row r="6037" spans="1:7" x14ac:dyDescent="0.25">
      <c r="A6037" s="169" t="str">
        <f>E6037&amp;COUNTIFS($E$2:E6037,E6037)</f>
        <v>0</v>
      </c>
      <c r="B6037" s="166"/>
      <c r="C6037" s="168"/>
      <c r="D6037" s="167"/>
      <c r="E6037" s="166"/>
      <c r="F6037" s="165"/>
      <c r="G6037" s="164"/>
    </row>
    <row r="6038" spans="1:7" x14ac:dyDescent="0.25">
      <c r="A6038" s="169" t="str">
        <f>E6038&amp;COUNTIFS($E$2:E6038,E6038)</f>
        <v>0</v>
      </c>
      <c r="B6038" s="166"/>
      <c r="C6038" s="168"/>
      <c r="D6038" s="167"/>
      <c r="E6038" s="166"/>
      <c r="F6038" s="165"/>
      <c r="G6038" s="164"/>
    </row>
    <row r="6039" spans="1:7" x14ac:dyDescent="0.25">
      <c r="A6039" s="169" t="str">
        <f>E6039&amp;COUNTIFS($E$2:E6039,E6039)</f>
        <v>0</v>
      </c>
      <c r="B6039" s="166"/>
      <c r="C6039" s="168"/>
      <c r="D6039" s="167"/>
      <c r="E6039" s="166"/>
      <c r="F6039" s="165"/>
      <c r="G6039" s="164"/>
    </row>
    <row r="6040" spans="1:7" x14ac:dyDescent="0.25">
      <c r="A6040" s="169" t="str">
        <f>E6040&amp;COUNTIFS($E$2:E6040,E6040)</f>
        <v>0</v>
      </c>
      <c r="B6040" s="166"/>
      <c r="C6040" s="168"/>
      <c r="D6040" s="167"/>
      <c r="E6040" s="166"/>
      <c r="F6040" s="165"/>
      <c r="G6040" s="164"/>
    </row>
    <row r="6041" spans="1:7" x14ac:dyDescent="0.25">
      <c r="A6041" s="169" t="str">
        <f>E6041&amp;COUNTIFS($E$2:E6041,E6041)</f>
        <v>0</v>
      </c>
      <c r="B6041" s="166"/>
      <c r="C6041" s="168"/>
      <c r="D6041" s="167"/>
      <c r="E6041" s="166"/>
      <c r="F6041" s="165"/>
      <c r="G6041" s="164"/>
    </row>
    <row r="6042" spans="1:7" x14ac:dyDescent="0.25">
      <c r="A6042" s="169" t="str">
        <f>E6042&amp;COUNTIFS($E$2:E6042,E6042)</f>
        <v>0</v>
      </c>
      <c r="B6042" s="166"/>
      <c r="C6042" s="168"/>
      <c r="D6042" s="167"/>
      <c r="E6042" s="166"/>
      <c r="F6042" s="165"/>
      <c r="G6042" s="164"/>
    </row>
    <row r="6043" spans="1:7" x14ac:dyDescent="0.25">
      <c r="A6043" s="169" t="str">
        <f>E6043&amp;COUNTIFS($E$2:E6043,E6043)</f>
        <v>0</v>
      </c>
      <c r="B6043" s="166"/>
      <c r="C6043" s="168"/>
      <c r="D6043" s="167"/>
      <c r="E6043" s="166"/>
      <c r="F6043" s="165"/>
      <c r="G6043" s="164"/>
    </row>
    <row r="6044" spans="1:7" ht="15.75" thickBot="1" x14ac:dyDescent="0.3">
      <c r="A6044" s="163" t="str">
        <f>E6044&amp;COUNTIFS($E$2:E6044,E6044)</f>
        <v>0</v>
      </c>
      <c r="B6044" s="160"/>
      <c r="C6044" s="162"/>
      <c r="D6044" s="161"/>
      <c r="E6044" s="160"/>
      <c r="F6044" s="159"/>
      <c r="G6044" s="158"/>
    </row>
    <row r="6045" spans="1:7" x14ac:dyDescent="0.25">
      <c r="A6045" s="148"/>
      <c r="C6045" s="143"/>
      <c r="D6045" s="157"/>
      <c r="E6045" s="143"/>
      <c r="F6045" s="156"/>
      <c r="G6045" s="156"/>
    </row>
    <row r="6046" spans="1:7" x14ac:dyDescent="0.25">
      <c r="A6046" s="148"/>
      <c r="C6046" s="153" t="s">
        <v>623</v>
      </c>
      <c r="D6046" s="152"/>
      <c r="E6046" s="151"/>
      <c r="F6046" s="150">
        <f>SUM(F6020:F6044)</f>
        <v>0</v>
      </c>
      <c r="G6046" s="155">
        <f>SUM(G6020:G6044)</f>
        <v>0</v>
      </c>
    </row>
    <row r="6047" spans="1:7" x14ac:dyDescent="0.25">
      <c r="A6047" s="148"/>
      <c r="C6047" s="145" t="s">
        <v>622</v>
      </c>
      <c r="D6047" s="154"/>
      <c r="E6047" s="145"/>
      <c r="F6047" s="144"/>
      <c r="G6047" s="144"/>
    </row>
    <row r="6048" spans="1:7" x14ac:dyDescent="0.25">
      <c r="A6048" s="148"/>
      <c r="C6048" s="153" t="s">
        <v>621</v>
      </c>
      <c r="D6048" s="152"/>
      <c r="E6048" s="151"/>
      <c r="F6048" s="150">
        <f>F6015</f>
        <v>0</v>
      </c>
      <c r="G6048" s="150">
        <f>G6015</f>
        <v>0</v>
      </c>
    </row>
    <row r="6049" spans="1:7" x14ac:dyDescent="0.25">
      <c r="A6049" s="148"/>
      <c r="C6049" s="153" t="s">
        <v>582</v>
      </c>
      <c r="D6049" s="152"/>
      <c r="E6049" s="151"/>
      <c r="F6049" s="150">
        <f>F6048+F6046</f>
        <v>0</v>
      </c>
      <c r="G6049" s="150">
        <f>G6048+G6046</f>
        <v>0</v>
      </c>
    </row>
    <row r="6050" spans="1:7" ht="15.75" thickBot="1" x14ac:dyDescent="0.3">
      <c r="A6050" s="148"/>
      <c r="C6050" s="145"/>
      <c r="D6050" s="149"/>
      <c r="E6050" s="145"/>
      <c r="F6050" s="144"/>
      <c r="G6050" s="144"/>
    </row>
    <row r="6051" spans="1:7" ht="15.75" thickBot="1" x14ac:dyDescent="0.3">
      <c r="A6051" s="148"/>
      <c r="C6051" s="147" t="s">
        <v>620</v>
      </c>
      <c r="D6051" s="146">
        <f>F6049-G6049</f>
        <v>0</v>
      </c>
      <c r="E6051" s="145"/>
      <c r="F6051" s="144"/>
      <c r="G6051" s="144"/>
    </row>
    <row r="6052" spans="1:7" ht="15.75" thickBot="1" x14ac:dyDescent="0.3"/>
    <row r="6053" spans="1:7" ht="30.75" thickBot="1" x14ac:dyDescent="0.3">
      <c r="A6053" s="190" t="s">
        <v>626</v>
      </c>
      <c r="B6053" s="189" t="s">
        <v>606</v>
      </c>
      <c r="C6053" s="188" t="s">
        <v>627</v>
      </c>
      <c r="D6053" s="187" t="s">
        <v>601</v>
      </c>
      <c r="E6053" s="186" t="s">
        <v>287</v>
      </c>
      <c r="F6053" s="185" t="s">
        <v>624</v>
      </c>
      <c r="G6053" s="185" t="s">
        <v>596</v>
      </c>
    </row>
    <row r="6054" spans="1:7" x14ac:dyDescent="0.25">
      <c r="A6054" s="175" t="str">
        <f>E6054&amp;COUNTIFS($E$2:E6054,E6054)</f>
        <v>0</v>
      </c>
      <c r="B6054" s="172"/>
      <c r="C6054" s="174"/>
      <c r="D6054" s="173"/>
      <c r="E6054" s="172"/>
      <c r="F6054" s="171"/>
      <c r="G6054" s="170"/>
    </row>
    <row r="6055" spans="1:7" x14ac:dyDescent="0.25">
      <c r="A6055" s="169" t="str">
        <f>E6055&amp;COUNTIFS($E$2:E6055,E6055)</f>
        <v>0</v>
      </c>
      <c r="B6055" s="166"/>
      <c r="C6055" s="168"/>
      <c r="D6055" s="167"/>
      <c r="E6055" s="166"/>
      <c r="F6055" s="165"/>
      <c r="G6055" s="164"/>
    </row>
    <row r="6056" spans="1:7" x14ac:dyDescent="0.25">
      <c r="A6056" s="169" t="str">
        <f>E6056&amp;COUNTIFS($E$2:E6056,E6056)</f>
        <v>0</v>
      </c>
      <c r="B6056" s="166"/>
      <c r="C6056" s="168"/>
      <c r="D6056" s="167"/>
      <c r="E6056" s="166"/>
      <c r="F6056" s="165"/>
      <c r="G6056" s="164"/>
    </row>
    <row r="6057" spans="1:7" x14ac:dyDescent="0.25">
      <c r="A6057" s="169" t="str">
        <f>E6057&amp;COUNTIFS($E$2:E6057,E6057)</f>
        <v>0</v>
      </c>
      <c r="B6057" s="166"/>
      <c r="C6057" s="168"/>
      <c r="D6057" s="167"/>
      <c r="E6057" s="166"/>
      <c r="F6057" s="165"/>
      <c r="G6057" s="164"/>
    </row>
    <row r="6058" spans="1:7" x14ac:dyDescent="0.25">
      <c r="A6058" s="169" t="str">
        <f>E6058&amp;COUNTIFS($E$2:E6058,E6058)</f>
        <v>0</v>
      </c>
      <c r="B6058" s="166"/>
      <c r="C6058" s="168"/>
      <c r="D6058" s="167"/>
      <c r="E6058" s="166"/>
      <c r="F6058" s="165"/>
      <c r="G6058" s="164"/>
    </row>
    <row r="6059" spans="1:7" x14ac:dyDescent="0.25">
      <c r="A6059" s="169" t="str">
        <f>E6059&amp;COUNTIFS($E$2:E6059,E6059)</f>
        <v>0</v>
      </c>
      <c r="B6059" s="166"/>
      <c r="C6059" s="168"/>
      <c r="D6059" s="167"/>
      <c r="E6059" s="166"/>
      <c r="F6059" s="165"/>
      <c r="G6059" s="164"/>
    </row>
    <row r="6060" spans="1:7" x14ac:dyDescent="0.25">
      <c r="A6060" s="169" t="str">
        <f>E6060&amp;COUNTIFS($E$2:E6060,E6060)</f>
        <v>0</v>
      </c>
      <c r="B6060" s="166"/>
      <c r="C6060" s="168"/>
      <c r="D6060" s="167"/>
      <c r="E6060" s="166"/>
      <c r="F6060" s="165"/>
      <c r="G6060" s="164"/>
    </row>
    <row r="6061" spans="1:7" x14ac:dyDescent="0.25">
      <c r="A6061" s="169" t="str">
        <f>E6061&amp;COUNTIFS($E$2:E6061,E6061)</f>
        <v>0</v>
      </c>
      <c r="B6061" s="166"/>
      <c r="C6061" s="168"/>
      <c r="D6061" s="167"/>
      <c r="E6061" s="166"/>
      <c r="F6061" s="165"/>
      <c r="G6061" s="164"/>
    </row>
    <row r="6062" spans="1:7" x14ac:dyDescent="0.25">
      <c r="A6062" s="169" t="str">
        <f>E6062&amp;COUNTIFS($E$2:E6062,E6062)</f>
        <v>0</v>
      </c>
      <c r="B6062" s="166"/>
      <c r="C6062" s="168"/>
      <c r="D6062" s="167"/>
      <c r="E6062" s="166"/>
      <c r="F6062" s="165"/>
      <c r="G6062" s="164"/>
    </row>
    <row r="6063" spans="1:7" x14ac:dyDescent="0.25">
      <c r="A6063" s="169" t="str">
        <f>E6063&amp;COUNTIFS($E$2:E6063,E6063)</f>
        <v>0</v>
      </c>
      <c r="B6063" s="166"/>
      <c r="C6063" s="168"/>
      <c r="D6063" s="167"/>
      <c r="E6063" s="166"/>
      <c r="F6063" s="165"/>
      <c r="G6063" s="164"/>
    </row>
    <row r="6064" spans="1:7" x14ac:dyDescent="0.25">
      <c r="A6064" s="169" t="str">
        <f>E6064&amp;COUNTIFS($E$2:E6064,E6064)</f>
        <v>0</v>
      </c>
      <c r="B6064" s="166"/>
      <c r="C6064" s="168"/>
      <c r="D6064" s="167"/>
      <c r="E6064" s="166"/>
      <c r="F6064" s="165"/>
      <c r="G6064" s="164"/>
    </row>
    <row r="6065" spans="1:7" x14ac:dyDescent="0.25">
      <c r="A6065" s="169" t="str">
        <f>E6065&amp;COUNTIFS($E$2:E6065,E6065)</f>
        <v>0</v>
      </c>
      <c r="B6065" s="166"/>
      <c r="C6065" s="168"/>
      <c r="D6065" s="167"/>
      <c r="E6065" s="166"/>
      <c r="F6065" s="165"/>
      <c r="G6065" s="164"/>
    </row>
    <row r="6066" spans="1:7" x14ac:dyDescent="0.25">
      <c r="A6066" s="169" t="str">
        <f>E6066&amp;COUNTIFS($E$2:E6066,E6066)</f>
        <v>0</v>
      </c>
      <c r="B6066" s="166"/>
      <c r="C6066" s="168"/>
      <c r="D6066" s="167"/>
      <c r="E6066" s="166"/>
      <c r="F6066" s="165"/>
      <c r="G6066" s="164"/>
    </row>
    <row r="6067" spans="1:7" x14ac:dyDescent="0.25">
      <c r="A6067" s="169" t="str">
        <f>E6067&amp;COUNTIFS($E$2:E6067,E6067)</f>
        <v>0</v>
      </c>
      <c r="B6067" s="166"/>
      <c r="C6067" s="168"/>
      <c r="D6067" s="167"/>
      <c r="E6067" s="166"/>
      <c r="F6067" s="165"/>
      <c r="G6067" s="164"/>
    </row>
    <row r="6068" spans="1:7" x14ac:dyDescent="0.25">
      <c r="A6068" s="169" t="str">
        <f>E6068&amp;COUNTIFS($E$2:E6068,E6068)</f>
        <v>0</v>
      </c>
      <c r="B6068" s="166"/>
      <c r="C6068" s="168"/>
      <c r="D6068" s="167"/>
      <c r="E6068" s="166"/>
      <c r="F6068" s="165"/>
      <c r="G6068" s="164"/>
    </row>
    <row r="6069" spans="1:7" x14ac:dyDescent="0.25">
      <c r="A6069" s="169" t="str">
        <f>E6069&amp;COUNTIFS($E$2:E6069,E6069)</f>
        <v>0</v>
      </c>
      <c r="B6069" s="166"/>
      <c r="C6069" s="168"/>
      <c r="D6069" s="167"/>
      <c r="E6069" s="166"/>
      <c r="F6069" s="165"/>
      <c r="G6069" s="164"/>
    </row>
    <row r="6070" spans="1:7" x14ac:dyDescent="0.25">
      <c r="A6070" s="169" t="str">
        <f>E6070&amp;COUNTIFS($E$2:E6070,E6070)</f>
        <v>0</v>
      </c>
      <c r="B6070" s="166"/>
      <c r="C6070" s="168"/>
      <c r="D6070" s="167"/>
      <c r="E6070" s="166"/>
      <c r="F6070" s="165"/>
      <c r="G6070" s="164"/>
    </row>
    <row r="6071" spans="1:7" x14ac:dyDescent="0.25">
      <c r="A6071" s="169" t="str">
        <f>E6071&amp;COUNTIFS($E$2:E6071,E6071)</f>
        <v>0</v>
      </c>
      <c r="B6071" s="166"/>
      <c r="C6071" s="168"/>
      <c r="D6071" s="167"/>
      <c r="E6071" s="166"/>
      <c r="F6071" s="165"/>
      <c r="G6071" s="164"/>
    </row>
    <row r="6072" spans="1:7" x14ac:dyDescent="0.25">
      <c r="A6072" s="169" t="str">
        <f>E6072&amp;COUNTIFS($E$2:E6072,E6072)</f>
        <v>0</v>
      </c>
      <c r="B6072" s="166"/>
      <c r="C6072" s="168"/>
      <c r="D6072" s="167"/>
      <c r="E6072" s="166"/>
      <c r="F6072" s="165"/>
      <c r="G6072" s="164"/>
    </row>
    <row r="6073" spans="1:7" x14ac:dyDescent="0.25">
      <c r="A6073" s="169" t="str">
        <f>E6073&amp;COUNTIFS($E$2:E6073,E6073)</f>
        <v>0</v>
      </c>
      <c r="B6073" s="166"/>
      <c r="C6073" s="168"/>
      <c r="D6073" s="167"/>
      <c r="E6073" s="166"/>
      <c r="F6073" s="165"/>
      <c r="G6073" s="164"/>
    </row>
    <row r="6074" spans="1:7" x14ac:dyDescent="0.25">
      <c r="A6074" s="169" t="str">
        <f>E6074&amp;COUNTIFS($E$2:E6074,E6074)</f>
        <v>0</v>
      </c>
      <c r="B6074" s="166"/>
      <c r="C6074" s="168"/>
      <c r="D6074" s="167"/>
      <c r="E6074" s="166"/>
      <c r="F6074" s="165"/>
      <c r="G6074" s="164"/>
    </row>
    <row r="6075" spans="1:7" x14ac:dyDescent="0.25">
      <c r="A6075" s="169" t="str">
        <f>E6075&amp;COUNTIFS($E$2:E6075,E6075)</f>
        <v>0</v>
      </c>
      <c r="B6075" s="166"/>
      <c r="C6075" s="168"/>
      <c r="D6075" s="167"/>
      <c r="E6075" s="166"/>
      <c r="F6075" s="165"/>
      <c r="G6075" s="164"/>
    </row>
    <row r="6076" spans="1:7" x14ac:dyDescent="0.25">
      <c r="A6076" s="169" t="str">
        <f>E6076&amp;COUNTIFS($E$2:E6076,E6076)</f>
        <v>0</v>
      </c>
      <c r="B6076" s="166"/>
      <c r="C6076" s="168"/>
      <c r="D6076" s="167"/>
      <c r="E6076" s="166"/>
      <c r="F6076" s="165"/>
      <c r="G6076" s="164"/>
    </row>
    <row r="6077" spans="1:7" x14ac:dyDescent="0.25">
      <c r="A6077" s="169" t="str">
        <f>E6077&amp;COUNTIFS($E$2:E6077,E6077)</f>
        <v>0</v>
      </c>
      <c r="B6077" s="166"/>
      <c r="C6077" s="168"/>
      <c r="D6077" s="167"/>
      <c r="E6077" s="166"/>
      <c r="F6077" s="165"/>
      <c r="G6077" s="164"/>
    </row>
    <row r="6078" spans="1:7" ht="15.75" thickBot="1" x14ac:dyDescent="0.3">
      <c r="A6078" s="163" t="str">
        <f>E6078&amp;COUNTIFS($E$2:E6078,E6078)</f>
        <v>0</v>
      </c>
      <c r="B6078" s="160"/>
      <c r="C6078" s="162"/>
      <c r="D6078" s="161"/>
      <c r="E6078" s="160"/>
      <c r="F6078" s="159"/>
      <c r="G6078" s="158"/>
    </row>
    <row r="6079" spans="1:7" x14ac:dyDescent="0.25">
      <c r="A6079" s="148"/>
      <c r="C6079" s="143"/>
      <c r="D6079" s="157"/>
      <c r="E6079" s="143"/>
      <c r="F6079" s="156"/>
      <c r="G6079" s="156"/>
    </row>
    <row r="6080" spans="1:7" x14ac:dyDescent="0.25">
      <c r="A6080" s="148"/>
      <c r="C6080" s="153" t="s">
        <v>623</v>
      </c>
      <c r="D6080" s="152"/>
      <c r="E6080" s="151"/>
      <c r="F6080" s="150">
        <f>SUM(F6054:F6078)</f>
        <v>0</v>
      </c>
      <c r="G6080" s="155">
        <f>SUM(G6054:G6078)</f>
        <v>0</v>
      </c>
    </row>
    <row r="6081" spans="1:7" x14ac:dyDescent="0.25">
      <c r="A6081" s="148"/>
      <c r="C6081" s="145" t="s">
        <v>622</v>
      </c>
      <c r="D6081" s="154"/>
      <c r="E6081" s="145"/>
      <c r="F6081" s="144"/>
      <c r="G6081" s="144"/>
    </row>
    <row r="6082" spans="1:7" x14ac:dyDescent="0.25">
      <c r="A6082" s="148"/>
      <c r="C6082" s="153" t="s">
        <v>621</v>
      </c>
      <c r="D6082" s="152"/>
      <c r="E6082" s="151"/>
      <c r="F6082" s="150">
        <f>F6049</f>
        <v>0</v>
      </c>
      <c r="G6082" s="150">
        <f>G6049</f>
        <v>0</v>
      </c>
    </row>
    <row r="6083" spans="1:7" x14ac:dyDescent="0.25">
      <c r="A6083" s="148"/>
      <c r="C6083" s="153" t="s">
        <v>582</v>
      </c>
      <c r="D6083" s="152"/>
      <c r="E6083" s="151"/>
      <c r="F6083" s="150">
        <f>F6082+F6080</f>
        <v>0</v>
      </c>
      <c r="G6083" s="150">
        <f>G6082+G6080</f>
        <v>0</v>
      </c>
    </row>
    <row r="6084" spans="1:7" ht="15.75" thickBot="1" x14ac:dyDescent="0.3">
      <c r="A6084" s="148"/>
      <c r="C6084" s="145"/>
      <c r="D6084" s="149"/>
      <c r="E6084" s="145"/>
      <c r="F6084" s="144"/>
      <c r="G6084" s="144"/>
    </row>
    <row r="6085" spans="1:7" ht="15.75" thickBot="1" x14ac:dyDescent="0.3">
      <c r="A6085" s="148"/>
      <c r="C6085" s="147" t="s">
        <v>620</v>
      </c>
      <c r="D6085" s="146">
        <f>F6083-G6083</f>
        <v>0</v>
      </c>
      <c r="E6085" s="145"/>
      <c r="F6085" s="144"/>
      <c r="G6085" s="144"/>
    </row>
    <row r="6086" spans="1:7" ht="15.75" thickBot="1" x14ac:dyDescent="0.3"/>
    <row r="6087" spans="1:7" ht="30.75" thickBot="1" x14ac:dyDescent="0.3">
      <c r="A6087" s="190" t="s">
        <v>626</v>
      </c>
      <c r="B6087" s="189" t="s">
        <v>606</v>
      </c>
      <c r="C6087" s="188" t="s">
        <v>627</v>
      </c>
      <c r="D6087" s="187" t="s">
        <v>601</v>
      </c>
      <c r="E6087" s="186" t="s">
        <v>287</v>
      </c>
      <c r="F6087" s="185" t="s">
        <v>624</v>
      </c>
      <c r="G6087" s="185" t="s">
        <v>596</v>
      </c>
    </row>
    <row r="6088" spans="1:7" x14ac:dyDescent="0.25">
      <c r="A6088" s="175" t="str">
        <f>E6088&amp;COUNTIFS($E$2:E6088,E6088)</f>
        <v>0</v>
      </c>
      <c r="B6088" s="172"/>
      <c r="C6088" s="174"/>
      <c r="D6088" s="173"/>
      <c r="E6088" s="172"/>
      <c r="F6088" s="171"/>
      <c r="G6088" s="170"/>
    </row>
    <row r="6089" spans="1:7" x14ac:dyDescent="0.25">
      <c r="A6089" s="169" t="str">
        <f>E6089&amp;COUNTIFS($E$2:E6089,E6089)</f>
        <v>0</v>
      </c>
      <c r="B6089" s="166"/>
      <c r="C6089" s="168"/>
      <c r="D6089" s="167"/>
      <c r="E6089" s="166"/>
      <c r="F6089" s="165"/>
      <c r="G6089" s="164"/>
    </row>
    <row r="6090" spans="1:7" x14ac:dyDescent="0.25">
      <c r="A6090" s="169" t="str">
        <f>E6090&amp;COUNTIFS($E$2:E6090,E6090)</f>
        <v>0</v>
      </c>
      <c r="B6090" s="166"/>
      <c r="C6090" s="168"/>
      <c r="D6090" s="167"/>
      <c r="E6090" s="166"/>
      <c r="F6090" s="165"/>
      <c r="G6090" s="164"/>
    </row>
    <row r="6091" spans="1:7" x14ac:dyDescent="0.25">
      <c r="A6091" s="169" t="str">
        <f>E6091&amp;COUNTIFS($E$2:E6091,E6091)</f>
        <v>0</v>
      </c>
      <c r="B6091" s="166"/>
      <c r="C6091" s="168"/>
      <c r="D6091" s="167"/>
      <c r="E6091" s="166"/>
      <c r="F6091" s="165"/>
      <c r="G6091" s="164"/>
    </row>
    <row r="6092" spans="1:7" x14ac:dyDescent="0.25">
      <c r="A6092" s="169" t="str">
        <f>E6092&amp;COUNTIFS($E$2:E6092,E6092)</f>
        <v>0</v>
      </c>
      <c r="B6092" s="166"/>
      <c r="C6092" s="168"/>
      <c r="D6092" s="167"/>
      <c r="E6092" s="166"/>
      <c r="F6092" s="165"/>
      <c r="G6092" s="164"/>
    </row>
    <row r="6093" spans="1:7" x14ac:dyDescent="0.25">
      <c r="A6093" s="169" t="str">
        <f>E6093&amp;COUNTIFS($E$2:E6093,E6093)</f>
        <v>0</v>
      </c>
      <c r="B6093" s="166"/>
      <c r="C6093" s="168"/>
      <c r="D6093" s="167"/>
      <c r="E6093" s="166"/>
      <c r="F6093" s="165"/>
      <c r="G6093" s="164"/>
    </row>
    <row r="6094" spans="1:7" x14ac:dyDescent="0.25">
      <c r="A6094" s="169" t="str">
        <f>E6094&amp;COUNTIFS($E$2:E6094,E6094)</f>
        <v>0</v>
      </c>
      <c r="B6094" s="166"/>
      <c r="C6094" s="168"/>
      <c r="D6094" s="167"/>
      <c r="E6094" s="166"/>
      <c r="F6094" s="165"/>
      <c r="G6094" s="164"/>
    </row>
    <row r="6095" spans="1:7" x14ac:dyDescent="0.25">
      <c r="A6095" s="169" t="str">
        <f>E6095&amp;COUNTIFS($E$2:E6095,E6095)</f>
        <v>0</v>
      </c>
      <c r="B6095" s="166"/>
      <c r="C6095" s="168"/>
      <c r="D6095" s="167"/>
      <c r="E6095" s="166"/>
      <c r="F6095" s="165"/>
      <c r="G6095" s="164"/>
    </row>
    <row r="6096" spans="1:7" x14ac:dyDescent="0.25">
      <c r="A6096" s="169" t="str">
        <f>E6096&amp;COUNTIFS($E$2:E6096,E6096)</f>
        <v>0</v>
      </c>
      <c r="B6096" s="166"/>
      <c r="C6096" s="168"/>
      <c r="D6096" s="167"/>
      <c r="E6096" s="166"/>
      <c r="F6096" s="165"/>
      <c r="G6096" s="164"/>
    </row>
    <row r="6097" spans="1:7" x14ac:dyDescent="0.25">
      <c r="A6097" s="169" t="str">
        <f>E6097&amp;COUNTIFS($E$2:E6097,E6097)</f>
        <v>0</v>
      </c>
      <c r="B6097" s="166"/>
      <c r="C6097" s="168"/>
      <c r="D6097" s="167"/>
      <c r="E6097" s="166"/>
      <c r="F6097" s="165"/>
      <c r="G6097" s="164"/>
    </row>
    <row r="6098" spans="1:7" x14ac:dyDescent="0.25">
      <c r="A6098" s="169" t="str">
        <f>E6098&amp;COUNTIFS($E$2:E6098,E6098)</f>
        <v>0</v>
      </c>
      <c r="B6098" s="166"/>
      <c r="C6098" s="168"/>
      <c r="D6098" s="167"/>
      <c r="E6098" s="166"/>
      <c r="F6098" s="165"/>
      <c r="G6098" s="164"/>
    </row>
    <row r="6099" spans="1:7" x14ac:dyDescent="0.25">
      <c r="A6099" s="169" t="str">
        <f>E6099&amp;COUNTIFS($E$2:E6099,E6099)</f>
        <v>0</v>
      </c>
      <c r="B6099" s="166"/>
      <c r="C6099" s="168"/>
      <c r="D6099" s="167"/>
      <c r="E6099" s="166"/>
      <c r="F6099" s="165"/>
      <c r="G6099" s="164"/>
    </row>
    <row r="6100" spans="1:7" x14ac:dyDescent="0.25">
      <c r="A6100" s="169" t="str">
        <f>E6100&amp;COUNTIFS($E$2:E6100,E6100)</f>
        <v>0</v>
      </c>
      <c r="B6100" s="166"/>
      <c r="C6100" s="168"/>
      <c r="D6100" s="167"/>
      <c r="E6100" s="166"/>
      <c r="F6100" s="165"/>
      <c r="G6100" s="164"/>
    </row>
    <row r="6101" spans="1:7" x14ac:dyDescent="0.25">
      <c r="A6101" s="169" t="str">
        <f>E6101&amp;COUNTIFS($E$2:E6101,E6101)</f>
        <v>0</v>
      </c>
      <c r="B6101" s="166"/>
      <c r="C6101" s="168"/>
      <c r="D6101" s="167"/>
      <c r="E6101" s="166"/>
      <c r="F6101" s="165"/>
      <c r="G6101" s="164"/>
    </row>
    <row r="6102" spans="1:7" x14ac:dyDescent="0.25">
      <c r="A6102" s="169" t="str">
        <f>E6102&amp;COUNTIFS($E$2:E6102,E6102)</f>
        <v>0</v>
      </c>
      <c r="B6102" s="166"/>
      <c r="C6102" s="168"/>
      <c r="D6102" s="167"/>
      <c r="E6102" s="166"/>
      <c r="F6102" s="165"/>
      <c r="G6102" s="164"/>
    </row>
    <row r="6103" spans="1:7" x14ac:dyDescent="0.25">
      <c r="A6103" s="169" t="str">
        <f>E6103&amp;COUNTIFS($E$2:E6103,E6103)</f>
        <v>0</v>
      </c>
      <c r="B6103" s="166"/>
      <c r="C6103" s="168"/>
      <c r="D6103" s="167"/>
      <c r="E6103" s="166"/>
      <c r="F6103" s="165"/>
      <c r="G6103" s="164"/>
    </row>
    <row r="6104" spans="1:7" x14ac:dyDescent="0.25">
      <c r="A6104" s="169" t="str">
        <f>E6104&amp;COUNTIFS($E$2:E6104,E6104)</f>
        <v>0</v>
      </c>
      <c r="B6104" s="166"/>
      <c r="C6104" s="168"/>
      <c r="D6104" s="167"/>
      <c r="E6104" s="166"/>
      <c r="F6104" s="165"/>
      <c r="G6104" s="164"/>
    </row>
    <row r="6105" spans="1:7" x14ac:dyDescent="0.25">
      <c r="A6105" s="169" t="str">
        <f>E6105&amp;COUNTIFS($E$2:E6105,E6105)</f>
        <v>0</v>
      </c>
      <c r="B6105" s="166"/>
      <c r="C6105" s="168"/>
      <c r="D6105" s="167"/>
      <c r="E6105" s="166"/>
      <c r="F6105" s="165"/>
      <c r="G6105" s="164"/>
    </row>
    <row r="6106" spans="1:7" x14ac:dyDescent="0.25">
      <c r="A6106" s="169" t="str">
        <f>E6106&amp;COUNTIFS($E$2:E6106,E6106)</f>
        <v>0</v>
      </c>
      <c r="B6106" s="166"/>
      <c r="C6106" s="168"/>
      <c r="D6106" s="167"/>
      <c r="E6106" s="166"/>
      <c r="F6106" s="165"/>
      <c r="G6106" s="164"/>
    </row>
    <row r="6107" spans="1:7" x14ac:dyDescent="0.25">
      <c r="A6107" s="169" t="str">
        <f>E6107&amp;COUNTIFS($E$2:E6107,E6107)</f>
        <v>0</v>
      </c>
      <c r="B6107" s="166"/>
      <c r="C6107" s="168"/>
      <c r="D6107" s="167"/>
      <c r="E6107" s="166"/>
      <c r="F6107" s="165"/>
      <c r="G6107" s="164"/>
    </row>
    <row r="6108" spans="1:7" x14ac:dyDescent="0.25">
      <c r="A6108" s="169" t="str">
        <f>E6108&amp;COUNTIFS($E$2:E6108,E6108)</f>
        <v>0</v>
      </c>
      <c r="B6108" s="166"/>
      <c r="C6108" s="168"/>
      <c r="D6108" s="167"/>
      <c r="E6108" s="166"/>
      <c r="F6108" s="165"/>
      <c r="G6108" s="164"/>
    </row>
    <row r="6109" spans="1:7" x14ac:dyDescent="0.25">
      <c r="A6109" s="169" t="str">
        <f>E6109&amp;COUNTIFS($E$2:E6109,E6109)</f>
        <v>0</v>
      </c>
      <c r="B6109" s="166"/>
      <c r="C6109" s="168"/>
      <c r="D6109" s="167"/>
      <c r="E6109" s="166"/>
      <c r="F6109" s="165"/>
      <c r="G6109" s="164"/>
    </row>
    <row r="6110" spans="1:7" x14ac:dyDescent="0.25">
      <c r="A6110" s="169" t="str">
        <f>E6110&amp;COUNTIFS($E$2:E6110,E6110)</f>
        <v>0</v>
      </c>
      <c r="B6110" s="166"/>
      <c r="C6110" s="168"/>
      <c r="D6110" s="167"/>
      <c r="E6110" s="166"/>
      <c r="F6110" s="165"/>
      <c r="G6110" s="164"/>
    </row>
    <row r="6111" spans="1:7" x14ac:dyDescent="0.25">
      <c r="A6111" s="169" t="str">
        <f>E6111&amp;COUNTIFS($E$2:E6111,E6111)</f>
        <v>0</v>
      </c>
      <c r="B6111" s="166"/>
      <c r="C6111" s="168"/>
      <c r="D6111" s="167"/>
      <c r="E6111" s="166"/>
      <c r="F6111" s="165"/>
      <c r="G6111" s="164"/>
    </row>
    <row r="6112" spans="1:7" ht="15.75" thickBot="1" x14ac:dyDescent="0.3">
      <c r="A6112" s="163" t="str">
        <f>E6112&amp;COUNTIFS($E$2:E6112,E6112)</f>
        <v>0</v>
      </c>
      <c r="B6112" s="160"/>
      <c r="C6112" s="162"/>
      <c r="D6112" s="161"/>
      <c r="E6112" s="160"/>
      <c r="F6112" s="159"/>
      <c r="G6112" s="158"/>
    </row>
    <row r="6113" spans="1:7" x14ac:dyDescent="0.25">
      <c r="A6113" s="148"/>
      <c r="C6113" s="143"/>
      <c r="D6113" s="157"/>
      <c r="E6113" s="143"/>
      <c r="F6113" s="156"/>
      <c r="G6113" s="156"/>
    </row>
    <row r="6114" spans="1:7" x14ac:dyDescent="0.25">
      <c r="A6114" s="148"/>
      <c r="C6114" s="153" t="s">
        <v>623</v>
      </c>
      <c r="D6114" s="152"/>
      <c r="E6114" s="151"/>
      <c r="F6114" s="150">
        <f>SUM(F6088:F6112)</f>
        <v>0</v>
      </c>
      <c r="G6114" s="155">
        <f>SUM(G6088:G6112)</f>
        <v>0</v>
      </c>
    </row>
    <row r="6115" spans="1:7" x14ac:dyDescent="0.25">
      <c r="A6115" s="148"/>
      <c r="C6115" s="145" t="s">
        <v>622</v>
      </c>
      <c r="D6115" s="154"/>
      <c r="E6115" s="145"/>
      <c r="F6115" s="144"/>
      <c r="G6115" s="144"/>
    </row>
    <row r="6116" spans="1:7" x14ac:dyDescent="0.25">
      <c r="A6116" s="148"/>
      <c r="C6116" s="153" t="s">
        <v>621</v>
      </c>
      <c r="D6116" s="152"/>
      <c r="E6116" s="151"/>
      <c r="F6116" s="150">
        <f>F6083</f>
        <v>0</v>
      </c>
      <c r="G6116" s="150">
        <f>G6083</f>
        <v>0</v>
      </c>
    </row>
    <row r="6117" spans="1:7" x14ac:dyDescent="0.25">
      <c r="A6117" s="148"/>
      <c r="C6117" s="153" t="s">
        <v>582</v>
      </c>
      <c r="D6117" s="152"/>
      <c r="E6117" s="151"/>
      <c r="F6117" s="150">
        <f>F6116+F6114</f>
        <v>0</v>
      </c>
      <c r="G6117" s="150">
        <f>G6116+G6114</f>
        <v>0</v>
      </c>
    </row>
    <row r="6118" spans="1:7" ht="15.75" thickBot="1" x14ac:dyDescent="0.3">
      <c r="A6118" s="148"/>
      <c r="C6118" s="145"/>
      <c r="D6118" s="149"/>
      <c r="E6118" s="145"/>
      <c r="F6118" s="144"/>
      <c r="G6118" s="144"/>
    </row>
    <row r="6119" spans="1:7" ht="15.75" thickBot="1" x14ac:dyDescent="0.3">
      <c r="A6119" s="148"/>
      <c r="C6119" s="147" t="s">
        <v>620</v>
      </c>
      <c r="D6119" s="146">
        <f>F6117-G6117</f>
        <v>0</v>
      </c>
      <c r="E6119" s="145"/>
      <c r="F6119" s="144"/>
      <c r="G6119" s="144"/>
    </row>
    <row r="6120" spans="1:7" ht="15.75" thickBot="1" x14ac:dyDescent="0.3"/>
    <row r="6121" spans="1:7" ht="30.75" thickBot="1" x14ac:dyDescent="0.3">
      <c r="A6121" s="190" t="s">
        <v>626</v>
      </c>
      <c r="B6121" s="189" t="s">
        <v>606</v>
      </c>
      <c r="C6121" s="188" t="s">
        <v>627</v>
      </c>
      <c r="D6121" s="187" t="s">
        <v>601</v>
      </c>
      <c r="E6121" s="186" t="s">
        <v>287</v>
      </c>
      <c r="F6121" s="185" t="s">
        <v>624</v>
      </c>
      <c r="G6121" s="185" t="s">
        <v>596</v>
      </c>
    </row>
    <row r="6122" spans="1:7" x14ac:dyDescent="0.25">
      <c r="A6122" s="175" t="str">
        <f>E6122&amp;COUNTIFS($E$2:E6122,E6122)</f>
        <v>0</v>
      </c>
      <c r="B6122" s="172"/>
      <c r="C6122" s="174"/>
      <c r="D6122" s="173"/>
      <c r="E6122" s="172"/>
      <c r="F6122" s="171"/>
      <c r="G6122" s="170"/>
    </row>
    <row r="6123" spans="1:7" x14ac:dyDescent="0.25">
      <c r="A6123" s="169" t="str">
        <f>E6123&amp;COUNTIFS($E$2:E6123,E6123)</f>
        <v>0</v>
      </c>
      <c r="B6123" s="166"/>
      <c r="C6123" s="168"/>
      <c r="D6123" s="167"/>
      <c r="E6123" s="166"/>
      <c r="F6123" s="165"/>
      <c r="G6123" s="164"/>
    </row>
    <row r="6124" spans="1:7" x14ac:dyDescent="0.25">
      <c r="A6124" s="169" t="str">
        <f>E6124&amp;COUNTIFS($E$2:E6124,E6124)</f>
        <v>0</v>
      </c>
      <c r="B6124" s="166"/>
      <c r="C6124" s="168"/>
      <c r="D6124" s="167"/>
      <c r="E6124" s="166"/>
      <c r="F6124" s="165"/>
      <c r="G6124" s="164"/>
    </row>
    <row r="6125" spans="1:7" x14ac:dyDescent="0.25">
      <c r="A6125" s="169" t="str">
        <f>E6125&amp;COUNTIFS($E$2:E6125,E6125)</f>
        <v>0</v>
      </c>
      <c r="B6125" s="166"/>
      <c r="C6125" s="168"/>
      <c r="D6125" s="167"/>
      <c r="E6125" s="166"/>
      <c r="F6125" s="165"/>
      <c r="G6125" s="164"/>
    </row>
    <row r="6126" spans="1:7" x14ac:dyDescent="0.25">
      <c r="A6126" s="169" t="str">
        <f>E6126&amp;COUNTIFS($E$2:E6126,E6126)</f>
        <v>0</v>
      </c>
      <c r="B6126" s="166"/>
      <c r="C6126" s="168"/>
      <c r="D6126" s="167"/>
      <c r="E6126" s="166"/>
      <c r="F6126" s="165"/>
      <c r="G6126" s="164"/>
    </row>
    <row r="6127" spans="1:7" x14ac:dyDescent="0.25">
      <c r="A6127" s="169" t="str">
        <f>E6127&amp;COUNTIFS($E$2:E6127,E6127)</f>
        <v>0</v>
      </c>
      <c r="B6127" s="166"/>
      <c r="C6127" s="168"/>
      <c r="D6127" s="167"/>
      <c r="E6127" s="166"/>
      <c r="F6127" s="165"/>
      <c r="G6127" s="164"/>
    </row>
    <row r="6128" spans="1:7" x14ac:dyDescent="0.25">
      <c r="A6128" s="169" t="str">
        <f>E6128&amp;COUNTIFS($E$2:E6128,E6128)</f>
        <v>0</v>
      </c>
      <c r="B6128" s="166"/>
      <c r="C6128" s="168"/>
      <c r="D6128" s="167"/>
      <c r="E6128" s="166"/>
      <c r="F6128" s="165"/>
      <c r="G6128" s="164"/>
    </row>
    <row r="6129" spans="1:7" x14ac:dyDescent="0.25">
      <c r="A6129" s="169" t="str">
        <f>E6129&amp;COUNTIFS($E$2:E6129,E6129)</f>
        <v>0</v>
      </c>
      <c r="B6129" s="166"/>
      <c r="C6129" s="168"/>
      <c r="D6129" s="167"/>
      <c r="E6129" s="166"/>
      <c r="F6129" s="165"/>
      <c r="G6129" s="164"/>
    </row>
    <row r="6130" spans="1:7" x14ac:dyDescent="0.25">
      <c r="A6130" s="169" t="str">
        <f>E6130&amp;COUNTIFS($E$2:E6130,E6130)</f>
        <v>0</v>
      </c>
      <c r="B6130" s="166"/>
      <c r="C6130" s="168"/>
      <c r="D6130" s="167"/>
      <c r="E6130" s="166"/>
      <c r="F6130" s="165"/>
      <c r="G6130" s="164"/>
    </row>
    <row r="6131" spans="1:7" x14ac:dyDescent="0.25">
      <c r="A6131" s="169" t="str">
        <f>E6131&amp;COUNTIFS($E$2:E6131,E6131)</f>
        <v>0</v>
      </c>
      <c r="B6131" s="166"/>
      <c r="C6131" s="168"/>
      <c r="D6131" s="167"/>
      <c r="E6131" s="166"/>
      <c r="F6131" s="165"/>
      <c r="G6131" s="164"/>
    </row>
    <row r="6132" spans="1:7" x14ac:dyDescent="0.25">
      <c r="A6132" s="169" t="str">
        <f>E6132&amp;COUNTIFS($E$2:E6132,E6132)</f>
        <v>0</v>
      </c>
      <c r="B6132" s="166"/>
      <c r="C6132" s="168"/>
      <c r="D6132" s="167"/>
      <c r="E6132" s="166"/>
      <c r="F6132" s="165"/>
      <c r="G6132" s="164"/>
    </row>
    <row r="6133" spans="1:7" x14ac:dyDescent="0.25">
      <c r="A6133" s="169" t="str">
        <f>E6133&amp;COUNTIFS($E$2:E6133,E6133)</f>
        <v>0</v>
      </c>
      <c r="B6133" s="166"/>
      <c r="C6133" s="168"/>
      <c r="D6133" s="167"/>
      <c r="E6133" s="166"/>
      <c r="F6133" s="165"/>
      <c r="G6133" s="164"/>
    </row>
    <row r="6134" spans="1:7" x14ac:dyDescent="0.25">
      <c r="A6134" s="169" t="str">
        <f>E6134&amp;COUNTIFS($E$2:E6134,E6134)</f>
        <v>0</v>
      </c>
      <c r="B6134" s="166"/>
      <c r="C6134" s="168"/>
      <c r="D6134" s="167"/>
      <c r="E6134" s="166"/>
      <c r="F6134" s="165"/>
      <c r="G6134" s="164"/>
    </row>
    <row r="6135" spans="1:7" x14ac:dyDescent="0.25">
      <c r="A6135" s="169" t="str">
        <f>E6135&amp;COUNTIFS($E$2:E6135,E6135)</f>
        <v>0</v>
      </c>
      <c r="B6135" s="166"/>
      <c r="C6135" s="168"/>
      <c r="D6135" s="167"/>
      <c r="E6135" s="166"/>
      <c r="F6135" s="165"/>
      <c r="G6135" s="164"/>
    </row>
    <row r="6136" spans="1:7" x14ac:dyDescent="0.25">
      <c r="A6136" s="169" t="str">
        <f>E6136&amp;COUNTIFS($E$2:E6136,E6136)</f>
        <v>0</v>
      </c>
      <c r="B6136" s="166"/>
      <c r="C6136" s="168"/>
      <c r="D6136" s="167"/>
      <c r="E6136" s="166"/>
      <c r="F6136" s="165"/>
      <c r="G6136" s="164"/>
    </row>
    <row r="6137" spans="1:7" x14ac:dyDescent="0.25">
      <c r="A6137" s="169" t="str">
        <f>E6137&amp;COUNTIFS($E$2:E6137,E6137)</f>
        <v>0</v>
      </c>
      <c r="B6137" s="166"/>
      <c r="C6137" s="168"/>
      <c r="D6137" s="167"/>
      <c r="E6137" s="166"/>
      <c r="F6137" s="165"/>
      <c r="G6137" s="164"/>
    </row>
    <row r="6138" spans="1:7" x14ac:dyDescent="0.25">
      <c r="A6138" s="169" t="str">
        <f>E6138&amp;COUNTIFS($E$2:E6138,E6138)</f>
        <v>0</v>
      </c>
      <c r="B6138" s="166"/>
      <c r="C6138" s="168"/>
      <c r="D6138" s="167"/>
      <c r="E6138" s="166"/>
      <c r="F6138" s="165"/>
      <c r="G6138" s="164"/>
    </row>
    <row r="6139" spans="1:7" x14ac:dyDescent="0.25">
      <c r="A6139" s="169" t="str">
        <f>E6139&amp;COUNTIFS($E$2:E6139,E6139)</f>
        <v>0</v>
      </c>
      <c r="B6139" s="166"/>
      <c r="C6139" s="168"/>
      <c r="D6139" s="167"/>
      <c r="E6139" s="166"/>
      <c r="F6139" s="165"/>
      <c r="G6139" s="164"/>
    </row>
    <row r="6140" spans="1:7" x14ac:dyDescent="0.25">
      <c r="A6140" s="169" t="str">
        <f>E6140&amp;COUNTIFS($E$2:E6140,E6140)</f>
        <v>0</v>
      </c>
      <c r="B6140" s="166"/>
      <c r="C6140" s="168"/>
      <c r="D6140" s="167"/>
      <c r="E6140" s="166"/>
      <c r="F6140" s="165"/>
      <c r="G6140" s="164"/>
    </row>
    <row r="6141" spans="1:7" x14ac:dyDescent="0.25">
      <c r="A6141" s="169" t="str">
        <f>E6141&amp;COUNTIFS($E$2:E6141,E6141)</f>
        <v>0</v>
      </c>
      <c r="B6141" s="166"/>
      <c r="C6141" s="168"/>
      <c r="D6141" s="167"/>
      <c r="E6141" s="166"/>
      <c r="F6141" s="165"/>
      <c r="G6141" s="164"/>
    </row>
    <row r="6142" spans="1:7" x14ac:dyDescent="0.25">
      <c r="A6142" s="169" t="str">
        <f>E6142&amp;COUNTIFS($E$2:E6142,E6142)</f>
        <v>0</v>
      </c>
      <c r="B6142" s="166"/>
      <c r="C6142" s="168"/>
      <c r="D6142" s="167"/>
      <c r="E6142" s="166"/>
      <c r="F6142" s="165"/>
      <c r="G6142" s="164"/>
    </row>
    <row r="6143" spans="1:7" x14ac:dyDescent="0.25">
      <c r="A6143" s="169" t="str">
        <f>E6143&amp;COUNTIFS($E$2:E6143,E6143)</f>
        <v>0</v>
      </c>
      <c r="B6143" s="166"/>
      <c r="C6143" s="168"/>
      <c r="D6143" s="167"/>
      <c r="E6143" s="166"/>
      <c r="F6143" s="165"/>
      <c r="G6143" s="164"/>
    </row>
    <row r="6144" spans="1:7" x14ac:dyDescent="0.25">
      <c r="A6144" s="169" t="str">
        <f>E6144&amp;COUNTIFS($E$2:E6144,E6144)</f>
        <v>0</v>
      </c>
      <c r="B6144" s="166"/>
      <c r="C6144" s="168"/>
      <c r="D6144" s="167"/>
      <c r="E6144" s="166"/>
      <c r="F6144" s="165"/>
      <c r="G6144" s="164"/>
    </row>
    <row r="6145" spans="1:7" x14ac:dyDescent="0.25">
      <c r="A6145" s="169" t="str">
        <f>E6145&amp;COUNTIFS($E$2:E6145,E6145)</f>
        <v>0</v>
      </c>
      <c r="B6145" s="166"/>
      <c r="C6145" s="168"/>
      <c r="D6145" s="167"/>
      <c r="E6145" s="166"/>
      <c r="F6145" s="165"/>
      <c r="G6145" s="164"/>
    </row>
    <row r="6146" spans="1:7" ht="15.75" thickBot="1" x14ac:dyDescent="0.3">
      <c r="A6146" s="163" t="str">
        <f>E6146&amp;COUNTIFS($E$2:E6146,E6146)</f>
        <v>0</v>
      </c>
      <c r="B6146" s="160"/>
      <c r="C6146" s="162"/>
      <c r="D6146" s="161"/>
      <c r="E6146" s="160"/>
      <c r="F6146" s="159"/>
      <c r="G6146" s="158"/>
    </row>
    <row r="6147" spans="1:7" x14ac:dyDescent="0.25">
      <c r="A6147" s="148"/>
      <c r="C6147" s="143"/>
      <c r="D6147" s="157"/>
      <c r="E6147" s="143"/>
      <c r="F6147" s="156"/>
      <c r="G6147" s="156"/>
    </row>
    <row r="6148" spans="1:7" x14ac:dyDescent="0.25">
      <c r="A6148" s="148"/>
      <c r="C6148" s="153" t="s">
        <v>623</v>
      </c>
      <c r="D6148" s="152"/>
      <c r="E6148" s="151"/>
      <c r="F6148" s="150">
        <f>SUM(F6122:F6146)</f>
        <v>0</v>
      </c>
      <c r="G6148" s="155">
        <f>SUM(G6122:G6146)</f>
        <v>0</v>
      </c>
    </row>
    <row r="6149" spans="1:7" x14ac:dyDescent="0.25">
      <c r="A6149" s="148"/>
      <c r="C6149" s="145" t="s">
        <v>622</v>
      </c>
      <c r="D6149" s="154"/>
      <c r="E6149" s="145"/>
      <c r="F6149" s="144"/>
      <c r="G6149" s="144"/>
    </row>
    <row r="6150" spans="1:7" x14ac:dyDescent="0.25">
      <c r="A6150" s="148"/>
      <c r="C6150" s="153" t="s">
        <v>621</v>
      </c>
      <c r="D6150" s="152"/>
      <c r="E6150" s="151"/>
      <c r="F6150" s="150">
        <f>F6117</f>
        <v>0</v>
      </c>
      <c r="G6150" s="150">
        <f>G6117</f>
        <v>0</v>
      </c>
    </row>
    <row r="6151" spans="1:7" x14ac:dyDescent="0.25">
      <c r="A6151" s="148"/>
      <c r="C6151" s="153" t="s">
        <v>582</v>
      </c>
      <c r="D6151" s="152"/>
      <c r="E6151" s="151"/>
      <c r="F6151" s="150">
        <f>F6150+F6148</f>
        <v>0</v>
      </c>
      <c r="G6151" s="150">
        <f>G6150+G6148</f>
        <v>0</v>
      </c>
    </row>
    <row r="6152" spans="1:7" ht="15.75" thickBot="1" x14ac:dyDescent="0.3">
      <c r="A6152" s="148"/>
      <c r="C6152" s="145"/>
      <c r="D6152" s="149"/>
      <c r="E6152" s="145"/>
      <c r="F6152" s="144"/>
      <c r="G6152" s="144"/>
    </row>
    <row r="6153" spans="1:7" ht="15.75" thickBot="1" x14ac:dyDescent="0.3">
      <c r="A6153" s="148"/>
      <c r="C6153" s="147" t="s">
        <v>620</v>
      </c>
      <c r="D6153" s="146">
        <f>F6151-G6151</f>
        <v>0</v>
      </c>
      <c r="E6153" s="145"/>
      <c r="F6153" s="144"/>
      <c r="G6153" s="144"/>
    </row>
    <row r="6154" spans="1:7" ht="15.75" thickBot="1" x14ac:dyDescent="0.3"/>
    <row r="6155" spans="1:7" ht="30.75" thickBot="1" x14ac:dyDescent="0.3">
      <c r="A6155" s="190" t="s">
        <v>626</v>
      </c>
      <c r="B6155" s="189" t="s">
        <v>606</v>
      </c>
      <c r="C6155" s="188" t="s">
        <v>627</v>
      </c>
      <c r="D6155" s="187" t="s">
        <v>601</v>
      </c>
      <c r="E6155" s="186" t="s">
        <v>287</v>
      </c>
      <c r="F6155" s="185" t="s">
        <v>624</v>
      </c>
      <c r="G6155" s="185" t="s">
        <v>596</v>
      </c>
    </row>
    <row r="6156" spans="1:7" x14ac:dyDescent="0.25">
      <c r="A6156" s="175" t="str">
        <f>E6156&amp;COUNTIFS($E$2:E6156,E6156)</f>
        <v>0</v>
      </c>
      <c r="B6156" s="172"/>
      <c r="C6156" s="174"/>
      <c r="D6156" s="173"/>
      <c r="E6156" s="172"/>
      <c r="F6156" s="171"/>
      <c r="G6156" s="170"/>
    </row>
    <row r="6157" spans="1:7" x14ac:dyDescent="0.25">
      <c r="A6157" s="169" t="str">
        <f>E6157&amp;COUNTIFS($E$2:E6157,E6157)</f>
        <v>0</v>
      </c>
      <c r="B6157" s="166"/>
      <c r="C6157" s="168"/>
      <c r="D6157" s="167"/>
      <c r="E6157" s="166"/>
      <c r="F6157" s="165"/>
      <c r="G6157" s="164"/>
    </row>
    <row r="6158" spans="1:7" x14ac:dyDescent="0.25">
      <c r="A6158" s="169" t="str">
        <f>E6158&amp;COUNTIFS($E$2:E6158,E6158)</f>
        <v>0</v>
      </c>
      <c r="B6158" s="166"/>
      <c r="C6158" s="168"/>
      <c r="D6158" s="167"/>
      <c r="E6158" s="166"/>
      <c r="F6158" s="165"/>
      <c r="G6158" s="164"/>
    </row>
    <row r="6159" spans="1:7" x14ac:dyDescent="0.25">
      <c r="A6159" s="169" t="str">
        <f>E6159&amp;COUNTIFS($E$2:E6159,E6159)</f>
        <v>0</v>
      </c>
      <c r="B6159" s="166"/>
      <c r="C6159" s="168"/>
      <c r="D6159" s="167"/>
      <c r="E6159" s="166"/>
      <c r="F6159" s="165"/>
      <c r="G6159" s="164"/>
    </row>
    <row r="6160" spans="1:7" x14ac:dyDescent="0.25">
      <c r="A6160" s="169" t="str">
        <f>E6160&amp;COUNTIFS($E$2:E6160,E6160)</f>
        <v>0</v>
      </c>
      <c r="B6160" s="166"/>
      <c r="C6160" s="168"/>
      <c r="D6160" s="167"/>
      <c r="E6160" s="166"/>
      <c r="F6160" s="165"/>
      <c r="G6160" s="164"/>
    </row>
    <row r="6161" spans="1:7" x14ac:dyDescent="0.25">
      <c r="A6161" s="169" t="str">
        <f>E6161&amp;COUNTIFS($E$2:E6161,E6161)</f>
        <v>0</v>
      </c>
      <c r="B6161" s="166"/>
      <c r="C6161" s="168"/>
      <c r="D6161" s="167"/>
      <c r="E6161" s="166"/>
      <c r="F6161" s="165"/>
      <c r="G6161" s="164"/>
    </row>
    <row r="6162" spans="1:7" x14ac:dyDescent="0.25">
      <c r="A6162" s="169" t="str">
        <f>E6162&amp;COUNTIFS($E$2:E6162,E6162)</f>
        <v>0</v>
      </c>
      <c r="B6162" s="166"/>
      <c r="C6162" s="168"/>
      <c r="D6162" s="167"/>
      <c r="E6162" s="166"/>
      <c r="F6162" s="165"/>
      <c r="G6162" s="164"/>
    </row>
    <row r="6163" spans="1:7" x14ac:dyDescent="0.25">
      <c r="A6163" s="169" t="str">
        <f>E6163&amp;COUNTIFS($E$2:E6163,E6163)</f>
        <v>0</v>
      </c>
      <c r="B6163" s="166"/>
      <c r="C6163" s="168"/>
      <c r="D6163" s="167"/>
      <c r="E6163" s="166"/>
      <c r="F6163" s="165"/>
      <c r="G6163" s="164"/>
    </row>
    <row r="6164" spans="1:7" x14ac:dyDescent="0.25">
      <c r="A6164" s="169" t="str">
        <f>E6164&amp;COUNTIFS($E$2:E6164,E6164)</f>
        <v>0</v>
      </c>
      <c r="B6164" s="166"/>
      <c r="C6164" s="168"/>
      <c r="D6164" s="167"/>
      <c r="E6164" s="166"/>
      <c r="F6164" s="165"/>
      <c r="G6164" s="164"/>
    </row>
    <row r="6165" spans="1:7" x14ac:dyDescent="0.25">
      <c r="A6165" s="169" t="str">
        <f>E6165&amp;COUNTIFS($E$2:E6165,E6165)</f>
        <v>0</v>
      </c>
      <c r="B6165" s="166"/>
      <c r="C6165" s="168"/>
      <c r="D6165" s="167"/>
      <c r="E6165" s="166"/>
      <c r="F6165" s="165"/>
      <c r="G6165" s="164"/>
    </row>
    <row r="6166" spans="1:7" x14ac:dyDescent="0.25">
      <c r="A6166" s="169" t="str">
        <f>E6166&amp;COUNTIFS($E$2:E6166,E6166)</f>
        <v>0</v>
      </c>
      <c r="B6166" s="166"/>
      <c r="C6166" s="168"/>
      <c r="D6166" s="167"/>
      <c r="E6166" s="166"/>
      <c r="F6166" s="165"/>
      <c r="G6166" s="164"/>
    </row>
    <row r="6167" spans="1:7" x14ac:dyDescent="0.25">
      <c r="A6167" s="169" t="str">
        <f>E6167&amp;COUNTIFS($E$2:E6167,E6167)</f>
        <v>0</v>
      </c>
      <c r="B6167" s="166"/>
      <c r="C6167" s="168"/>
      <c r="D6167" s="167"/>
      <c r="E6167" s="166"/>
      <c r="F6167" s="165"/>
      <c r="G6167" s="164"/>
    </row>
    <row r="6168" spans="1:7" x14ac:dyDescent="0.25">
      <c r="A6168" s="169" t="str">
        <f>E6168&amp;COUNTIFS($E$2:E6168,E6168)</f>
        <v>0</v>
      </c>
      <c r="B6168" s="166"/>
      <c r="C6168" s="168"/>
      <c r="D6168" s="167"/>
      <c r="E6168" s="166"/>
      <c r="F6168" s="165"/>
      <c r="G6168" s="164"/>
    </row>
    <row r="6169" spans="1:7" x14ac:dyDescent="0.25">
      <c r="A6169" s="169" t="str">
        <f>E6169&amp;COUNTIFS($E$2:E6169,E6169)</f>
        <v>0</v>
      </c>
      <c r="B6169" s="166"/>
      <c r="C6169" s="168"/>
      <c r="D6169" s="167"/>
      <c r="E6169" s="166"/>
      <c r="F6169" s="165"/>
      <c r="G6169" s="164"/>
    </row>
    <row r="6170" spans="1:7" x14ac:dyDescent="0.25">
      <c r="A6170" s="169" t="str">
        <f>E6170&amp;COUNTIFS($E$2:E6170,E6170)</f>
        <v>0</v>
      </c>
      <c r="B6170" s="166"/>
      <c r="C6170" s="168"/>
      <c r="D6170" s="167"/>
      <c r="E6170" s="166"/>
      <c r="F6170" s="165"/>
      <c r="G6170" s="164"/>
    </row>
    <row r="6171" spans="1:7" x14ac:dyDescent="0.25">
      <c r="A6171" s="169" t="str">
        <f>E6171&amp;COUNTIFS($E$2:E6171,E6171)</f>
        <v>0</v>
      </c>
      <c r="B6171" s="166"/>
      <c r="C6171" s="168"/>
      <c r="D6171" s="167"/>
      <c r="E6171" s="166"/>
      <c r="F6171" s="165"/>
      <c r="G6171" s="164"/>
    </row>
    <row r="6172" spans="1:7" x14ac:dyDescent="0.25">
      <c r="A6172" s="169" t="str">
        <f>E6172&amp;COUNTIFS($E$2:E6172,E6172)</f>
        <v>0</v>
      </c>
      <c r="B6172" s="166"/>
      <c r="C6172" s="168"/>
      <c r="D6172" s="167"/>
      <c r="E6172" s="166"/>
      <c r="F6172" s="165"/>
      <c r="G6172" s="164"/>
    </row>
    <row r="6173" spans="1:7" x14ac:dyDescent="0.25">
      <c r="A6173" s="169" t="str">
        <f>E6173&amp;COUNTIFS($E$2:E6173,E6173)</f>
        <v>0</v>
      </c>
      <c r="B6173" s="166"/>
      <c r="C6173" s="168"/>
      <c r="D6173" s="167"/>
      <c r="E6173" s="166"/>
      <c r="F6173" s="165"/>
      <c r="G6173" s="164"/>
    </row>
    <row r="6174" spans="1:7" x14ac:dyDescent="0.25">
      <c r="A6174" s="169" t="str">
        <f>E6174&amp;COUNTIFS($E$2:E6174,E6174)</f>
        <v>0</v>
      </c>
      <c r="B6174" s="166"/>
      <c r="C6174" s="168"/>
      <c r="D6174" s="167"/>
      <c r="E6174" s="166"/>
      <c r="F6174" s="165"/>
      <c r="G6174" s="164"/>
    </row>
    <row r="6175" spans="1:7" x14ac:dyDescent="0.25">
      <c r="A6175" s="169" t="str">
        <f>E6175&amp;COUNTIFS($E$2:E6175,E6175)</f>
        <v>0</v>
      </c>
      <c r="B6175" s="166"/>
      <c r="C6175" s="168"/>
      <c r="D6175" s="167"/>
      <c r="E6175" s="166"/>
      <c r="F6175" s="165"/>
      <c r="G6175" s="164"/>
    </row>
    <row r="6176" spans="1:7" x14ac:dyDescent="0.25">
      <c r="A6176" s="169" t="str">
        <f>E6176&amp;COUNTIFS($E$2:E6176,E6176)</f>
        <v>0</v>
      </c>
      <c r="B6176" s="166"/>
      <c r="C6176" s="168"/>
      <c r="D6176" s="167"/>
      <c r="E6176" s="166"/>
      <c r="F6176" s="165"/>
      <c r="G6176" s="164"/>
    </row>
    <row r="6177" spans="1:7" x14ac:dyDescent="0.25">
      <c r="A6177" s="169" t="str">
        <f>E6177&amp;COUNTIFS($E$2:E6177,E6177)</f>
        <v>0</v>
      </c>
      <c r="B6177" s="166"/>
      <c r="C6177" s="168"/>
      <c r="D6177" s="167"/>
      <c r="E6177" s="166"/>
      <c r="F6177" s="165"/>
      <c r="G6177" s="164"/>
    </row>
    <row r="6178" spans="1:7" x14ac:dyDescent="0.25">
      <c r="A6178" s="169" t="str">
        <f>E6178&amp;COUNTIFS($E$2:E6178,E6178)</f>
        <v>0</v>
      </c>
      <c r="B6178" s="166"/>
      <c r="C6178" s="168"/>
      <c r="D6178" s="167"/>
      <c r="E6178" s="166"/>
      <c r="F6178" s="165"/>
      <c r="G6178" s="164"/>
    </row>
    <row r="6179" spans="1:7" x14ac:dyDescent="0.25">
      <c r="A6179" s="169" t="str">
        <f>E6179&amp;COUNTIFS($E$2:E6179,E6179)</f>
        <v>0</v>
      </c>
      <c r="B6179" s="166"/>
      <c r="C6179" s="168"/>
      <c r="D6179" s="167"/>
      <c r="E6179" s="166"/>
      <c r="F6179" s="165"/>
      <c r="G6179" s="164"/>
    </row>
    <row r="6180" spans="1:7" ht="15.75" thickBot="1" x14ac:dyDescent="0.3">
      <c r="A6180" s="163" t="str">
        <f>E6180&amp;COUNTIFS($E$2:E6180,E6180)</f>
        <v>0</v>
      </c>
      <c r="B6180" s="160"/>
      <c r="C6180" s="162"/>
      <c r="D6180" s="161"/>
      <c r="E6180" s="160"/>
      <c r="F6180" s="159"/>
      <c r="G6180" s="158"/>
    </row>
    <row r="6181" spans="1:7" x14ac:dyDescent="0.25">
      <c r="A6181" s="148"/>
      <c r="C6181" s="143"/>
      <c r="D6181" s="157"/>
      <c r="E6181" s="143"/>
      <c r="F6181" s="156"/>
      <c r="G6181" s="156"/>
    </row>
    <row r="6182" spans="1:7" x14ac:dyDescent="0.25">
      <c r="A6182" s="148"/>
      <c r="C6182" s="153" t="s">
        <v>623</v>
      </c>
      <c r="D6182" s="152"/>
      <c r="E6182" s="151"/>
      <c r="F6182" s="150">
        <f>SUM(F6156:F6180)</f>
        <v>0</v>
      </c>
      <c r="G6182" s="155">
        <f>SUM(G6156:G6180)</f>
        <v>0</v>
      </c>
    </row>
    <row r="6183" spans="1:7" x14ac:dyDescent="0.25">
      <c r="A6183" s="148"/>
      <c r="C6183" s="145" t="s">
        <v>622</v>
      </c>
      <c r="D6183" s="154"/>
      <c r="E6183" s="145"/>
      <c r="F6183" s="144"/>
      <c r="G6183" s="144"/>
    </row>
    <row r="6184" spans="1:7" x14ac:dyDescent="0.25">
      <c r="A6184" s="148"/>
      <c r="C6184" s="153" t="s">
        <v>621</v>
      </c>
      <c r="D6184" s="152"/>
      <c r="E6184" s="151"/>
      <c r="F6184" s="150">
        <f>F6151</f>
        <v>0</v>
      </c>
      <c r="G6184" s="150">
        <f>G6151</f>
        <v>0</v>
      </c>
    </row>
    <row r="6185" spans="1:7" x14ac:dyDescent="0.25">
      <c r="A6185" s="148"/>
      <c r="C6185" s="153" t="s">
        <v>582</v>
      </c>
      <c r="D6185" s="152"/>
      <c r="E6185" s="151"/>
      <c r="F6185" s="150">
        <f>F6184+F6182</f>
        <v>0</v>
      </c>
      <c r="G6185" s="150">
        <f>G6184+G6182</f>
        <v>0</v>
      </c>
    </row>
    <row r="6186" spans="1:7" ht="15.75" thickBot="1" x14ac:dyDescent="0.3">
      <c r="A6186" s="148"/>
      <c r="C6186" s="145"/>
      <c r="D6186" s="149"/>
      <c r="E6186" s="145"/>
      <c r="F6186" s="144"/>
      <c r="G6186" s="144"/>
    </row>
    <row r="6187" spans="1:7" ht="15.75" thickBot="1" x14ac:dyDescent="0.3">
      <c r="A6187" s="148"/>
      <c r="C6187" s="147" t="s">
        <v>620</v>
      </c>
      <c r="D6187" s="146">
        <f>F6185-G6185</f>
        <v>0</v>
      </c>
      <c r="E6187" s="145"/>
      <c r="F6187" s="144"/>
      <c r="G6187" s="144"/>
    </row>
    <row r="6188" spans="1:7" ht="15.75" thickBot="1" x14ac:dyDescent="0.3"/>
    <row r="6189" spans="1:7" ht="30.75" thickBot="1" x14ac:dyDescent="0.3">
      <c r="A6189" s="190" t="s">
        <v>626</v>
      </c>
      <c r="B6189" s="189" t="s">
        <v>606</v>
      </c>
      <c r="C6189" s="188" t="s">
        <v>627</v>
      </c>
      <c r="D6189" s="187" t="s">
        <v>601</v>
      </c>
      <c r="E6189" s="186" t="s">
        <v>287</v>
      </c>
      <c r="F6189" s="185" t="s">
        <v>624</v>
      </c>
      <c r="G6189" s="185" t="s">
        <v>596</v>
      </c>
    </row>
    <row r="6190" spans="1:7" x14ac:dyDescent="0.25">
      <c r="A6190" s="175" t="str">
        <f>E6190&amp;COUNTIFS($E$2:E6190,E6190)</f>
        <v>0</v>
      </c>
      <c r="B6190" s="172"/>
      <c r="C6190" s="174"/>
      <c r="D6190" s="173"/>
      <c r="E6190" s="172"/>
      <c r="F6190" s="171"/>
      <c r="G6190" s="170"/>
    </row>
    <row r="6191" spans="1:7" x14ac:dyDescent="0.25">
      <c r="A6191" s="169" t="str">
        <f>E6191&amp;COUNTIFS($E$2:E6191,E6191)</f>
        <v>0</v>
      </c>
      <c r="B6191" s="166"/>
      <c r="C6191" s="168"/>
      <c r="D6191" s="167"/>
      <c r="E6191" s="166"/>
      <c r="F6191" s="165"/>
      <c r="G6191" s="164"/>
    </row>
    <row r="6192" spans="1:7" x14ac:dyDescent="0.25">
      <c r="A6192" s="169" t="str">
        <f>E6192&amp;COUNTIFS($E$2:E6192,E6192)</f>
        <v>0</v>
      </c>
      <c r="B6192" s="166"/>
      <c r="C6192" s="168"/>
      <c r="D6192" s="167"/>
      <c r="E6192" s="166"/>
      <c r="F6192" s="165"/>
      <c r="G6192" s="164"/>
    </row>
    <row r="6193" spans="1:7" x14ac:dyDescent="0.25">
      <c r="A6193" s="169" t="str">
        <f>E6193&amp;COUNTIFS($E$2:E6193,E6193)</f>
        <v>0</v>
      </c>
      <c r="B6193" s="166"/>
      <c r="C6193" s="168"/>
      <c r="D6193" s="167"/>
      <c r="E6193" s="166"/>
      <c r="F6193" s="165"/>
      <c r="G6193" s="164"/>
    </row>
    <row r="6194" spans="1:7" x14ac:dyDescent="0.25">
      <c r="A6194" s="169" t="str">
        <f>E6194&amp;COUNTIFS($E$2:E6194,E6194)</f>
        <v>0</v>
      </c>
      <c r="B6194" s="166"/>
      <c r="C6194" s="168"/>
      <c r="D6194" s="167"/>
      <c r="E6194" s="166"/>
      <c r="F6194" s="165"/>
      <c r="G6194" s="164"/>
    </row>
    <row r="6195" spans="1:7" x14ac:dyDescent="0.25">
      <c r="A6195" s="169" t="str">
        <f>E6195&amp;COUNTIFS($E$2:E6195,E6195)</f>
        <v>0</v>
      </c>
      <c r="B6195" s="166"/>
      <c r="C6195" s="168"/>
      <c r="D6195" s="167"/>
      <c r="E6195" s="166"/>
      <c r="F6195" s="165"/>
      <c r="G6195" s="164"/>
    </row>
    <row r="6196" spans="1:7" x14ac:dyDescent="0.25">
      <c r="A6196" s="169" t="str">
        <f>E6196&amp;COUNTIFS($E$2:E6196,E6196)</f>
        <v>0</v>
      </c>
      <c r="B6196" s="166"/>
      <c r="C6196" s="168"/>
      <c r="D6196" s="167"/>
      <c r="E6196" s="166"/>
      <c r="F6196" s="165"/>
      <c r="G6196" s="164"/>
    </row>
    <row r="6197" spans="1:7" x14ac:dyDescent="0.25">
      <c r="A6197" s="169" t="str">
        <f>E6197&amp;COUNTIFS($E$2:E6197,E6197)</f>
        <v>0</v>
      </c>
      <c r="B6197" s="166"/>
      <c r="C6197" s="168"/>
      <c r="D6197" s="167"/>
      <c r="E6197" s="166"/>
      <c r="F6197" s="165"/>
      <c r="G6197" s="164"/>
    </row>
    <row r="6198" spans="1:7" x14ac:dyDescent="0.25">
      <c r="A6198" s="169" t="str">
        <f>E6198&amp;COUNTIFS($E$2:E6198,E6198)</f>
        <v>0</v>
      </c>
      <c r="B6198" s="166"/>
      <c r="C6198" s="168"/>
      <c r="D6198" s="167"/>
      <c r="E6198" s="166"/>
      <c r="F6198" s="165"/>
      <c r="G6198" s="164"/>
    </row>
    <row r="6199" spans="1:7" x14ac:dyDescent="0.25">
      <c r="A6199" s="169" t="str">
        <f>E6199&amp;COUNTIFS($E$2:E6199,E6199)</f>
        <v>0</v>
      </c>
      <c r="B6199" s="166"/>
      <c r="C6199" s="168"/>
      <c r="D6199" s="167"/>
      <c r="E6199" s="166"/>
      <c r="F6199" s="165"/>
      <c r="G6199" s="164"/>
    </row>
    <row r="6200" spans="1:7" x14ac:dyDescent="0.25">
      <c r="A6200" s="169" t="str">
        <f>E6200&amp;COUNTIFS($E$2:E6200,E6200)</f>
        <v>0</v>
      </c>
      <c r="B6200" s="166"/>
      <c r="C6200" s="168"/>
      <c r="D6200" s="167"/>
      <c r="E6200" s="166"/>
      <c r="F6200" s="165"/>
      <c r="G6200" s="164"/>
    </row>
    <row r="6201" spans="1:7" x14ac:dyDescent="0.25">
      <c r="A6201" s="169" t="str">
        <f>E6201&amp;COUNTIFS($E$2:E6201,E6201)</f>
        <v>0</v>
      </c>
      <c r="B6201" s="166"/>
      <c r="C6201" s="168"/>
      <c r="D6201" s="167"/>
      <c r="E6201" s="166"/>
      <c r="F6201" s="165"/>
      <c r="G6201" s="164"/>
    </row>
    <row r="6202" spans="1:7" x14ac:dyDescent="0.25">
      <c r="A6202" s="169" t="str">
        <f>E6202&amp;COUNTIFS($E$2:E6202,E6202)</f>
        <v>0</v>
      </c>
      <c r="B6202" s="166"/>
      <c r="C6202" s="168"/>
      <c r="D6202" s="167"/>
      <c r="E6202" s="166"/>
      <c r="F6202" s="165"/>
      <c r="G6202" s="164"/>
    </row>
    <row r="6203" spans="1:7" x14ac:dyDescent="0.25">
      <c r="A6203" s="169" t="str">
        <f>E6203&amp;COUNTIFS($E$2:E6203,E6203)</f>
        <v>0</v>
      </c>
      <c r="B6203" s="166"/>
      <c r="C6203" s="168"/>
      <c r="D6203" s="167"/>
      <c r="E6203" s="166"/>
      <c r="F6203" s="165"/>
      <c r="G6203" s="164"/>
    </row>
    <row r="6204" spans="1:7" x14ac:dyDescent="0.25">
      <c r="A6204" s="169" t="str">
        <f>E6204&amp;COUNTIFS($E$2:E6204,E6204)</f>
        <v>0</v>
      </c>
      <c r="B6204" s="166"/>
      <c r="C6204" s="168"/>
      <c r="D6204" s="167"/>
      <c r="E6204" s="166"/>
      <c r="F6204" s="165"/>
      <c r="G6204" s="164"/>
    </row>
    <row r="6205" spans="1:7" x14ac:dyDescent="0.25">
      <c r="A6205" s="169" t="str">
        <f>E6205&amp;COUNTIFS($E$2:E6205,E6205)</f>
        <v>0</v>
      </c>
      <c r="B6205" s="166"/>
      <c r="C6205" s="168"/>
      <c r="D6205" s="167"/>
      <c r="E6205" s="166"/>
      <c r="F6205" s="165"/>
      <c r="G6205" s="164"/>
    </row>
    <row r="6206" spans="1:7" x14ac:dyDescent="0.25">
      <c r="A6206" s="169" t="str">
        <f>E6206&amp;COUNTIFS($E$2:E6206,E6206)</f>
        <v>0</v>
      </c>
      <c r="B6206" s="166"/>
      <c r="C6206" s="168"/>
      <c r="D6206" s="167"/>
      <c r="E6206" s="166"/>
      <c r="F6206" s="165"/>
      <c r="G6206" s="164"/>
    </row>
    <row r="6207" spans="1:7" x14ac:dyDescent="0.25">
      <c r="A6207" s="169" t="str">
        <f>E6207&amp;COUNTIFS($E$2:E6207,E6207)</f>
        <v>0</v>
      </c>
      <c r="B6207" s="166"/>
      <c r="C6207" s="168"/>
      <c r="D6207" s="167"/>
      <c r="E6207" s="166"/>
      <c r="F6207" s="165"/>
      <c r="G6207" s="164"/>
    </row>
    <row r="6208" spans="1:7" x14ac:dyDescent="0.25">
      <c r="A6208" s="169" t="str">
        <f>E6208&amp;COUNTIFS($E$2:E6208,E6208)</f>
        <v>0</v>
      </c>
      <c r="B6208" s="166"/>
      <c r="C6208" s="168"/>
      <c r="D6208" s="167"/>
      <c r="E6208" s="166"/>
      <c r="F6208" s="165"/>
      <c r="G6208" s="164"/>
    </row>
    <row r="6209" spans="1:7" x14ac:dyDescent="0.25">
      <c r="A6209" s="169" t="str">
        <f>E6209&amp;COUNTIFS($E$2:E6209,E6209)</f>
        <v>0</v>
      </c>
      <c r="B6209" s="166"/>
      <c r="C6209" s="168"/>
      <c r="D6209" s="167"/>
      <c r="E6209" s="166"/>
      <c r="F6209" s="165"/>
      <c r="G6209" s="164"/>
    </row>
    <row r="6210" spans="1:7" x14ac:dyDescent="0.25">
      <c r="A6210" s="169" t="str">
        <f>E6210&amp;COUNTIFS($E$2:E6210,E6210)</f>
        <v>0</v>
      </c>
      <c r="B6210" s="166"/>
      <c r="C6210" s="168"/>
      <c r="D6210" s="167"/>
      <c r="E6210" s="166"/>
      <c r="F6210" s="165"/>
      <c r="G6210" s="164"/>
    </row>
    <row r="6211" spans="1:7" x14ac:dyDescent="0.25">
      <c r="A6211" s="169" t="str">
        <f>E6211&amp;COUNTIFS($E$2:E6211,E6211)</f>
        <v>0</v>
      </c>
      <c r="B6211" s="166"/>
      <c r="C6211" s="168"/>
      <c r="D6211" s="167"/>
      <c r="E6211" s="166"/>
      <c r="F6211" s="165"/>
      <c r="G6211" s="164"/>
    </row>
    <row r="6212" spans="1:7" x14ac:dyDescent="0.25">
      <c r="A6212" s="169" t="str">
        <f>E6212&amp;COUNTIFS($E$2:E6212,E6212)</f>
        <v>0</v>
      </c>
      <c r="B6212" s="166"/>
      <c r="C6212" s="168"/>
      <c r="D6212" s="167"/>
      <c r="E6212" s="166"/>
      <c r="F6212" s="165"/>
      <c r="G6212" s="164"/>
    </row>
    <row r="6213" spans="1:7" x14ac:dyDescent="0.25">
      <c r="A6213" s="169" t="str">
        <f>E6213&amp;COUNTIFS($E$2:E6213,E6213)</f>
        <v>0</v>
      </c>
      <c r="B6213" s="166"/>
      <c r="C6213" s="168"/>
      <c r="D6213" s="167"/>
      <c r="E6213" s="166"/>
      <c r="F6213" s="165"/>
      <c r="G6213" s="164"/>
    </row>
    <row r="6214" spans="1:7" ht="15.75" thickBot="1" x14ac:dyDescent="0.3">
      <c r="A6214" s="163" t="str">
        <f>E6214&amp;COUNTIFS($E$2:E6214,E6214)</f>
        <v>0</v>
      </c>
      <c r="B6214" s="160"/>
      <c r="C6214" s="162"/>
      <c r="D6214" s="161"/>
      <c r="E6214" s="160"/>
      <c r="F6214" s="159"/>
      <c r="G6214" s="158"/>
    </row>
    <row r="6215" spans="1:7" x14ac:dyDescent="0.25">
      <c r="A6215" s="148"/>
      <c r="C6215" s="143"/>
      <c r="D6215" s="157"/>
      <c r="E6215" s="143"/>
      <c r="F6215" s="156"/>
      <c r="G6215" s="156"/>
    </row>
    <row r="6216" spans="1:7" x14ac:dyDescent="0.25">
      <c r="A6216" s="148"/>
      <c r="C6216" s="153" t="s">
        <v>623</v>
      </c>
      <c r="D6216" s="152"/>
      <c r="E6216" s="151"/>
      <c r="F6216" s="150">
        <f>SUM(F6190:F6214)</f>
        <v>0</v>
      </c>
      <c r="G6216" s="155">
        <f>SUM(G6190:G6214)</f>
        <v>0</v>
      </c>
    </row>
    <row r="6217" spans="1:7" x14ac:dyDescent="0.25">
      <c r="A6217" s="148"/>
      <c r="C6217" s="145" t="s">
        <v>622</v>
      </c>
      <c r="D6217" s="154"/>
      <c r="E6217" s="145"/>
      <c r="F6217" s="144"/>
      <c r="G6217" s="144"/>
    </row>
    <row r="6218" spans="1:7" x14ac:dyDescent="0.25">
      <c r="A6218" s="148"/>
      <c r="C6218" s="153" t="s">
        <v>621</v>
      </c>
      <c r="D6218" s="152"/>
      <c r="E6218" s="151"/>
      <c r="F6218" s="150">
        <f>F6185</f>
        <v>0</v>
      </c>
      <c r="G6218" s="150">
        <f>G6185</f>
        <v>0</v>
      </c>
    </row>
    <row r="6219" spans="1:7" x14ac:dyDescent="0.25">
      <c r="A6219" s="148"/>
      <c r="C6219" s="153" t="s">
        <v>582</v>
      </c>
      <c r="D6219" s="152"/>
      <c r="E6219" s="151"/>
      <c r="F6219" s="150">
        <f>F6218+F6216</f>
        <v>0</v>
      </c>
      <c r="G6219" s="150">
        <f>G6218+G6216</f>
        <v>0</v>
      </c>
    </row>
    <row r="6220" spans="1:7" ht="15.75" thickBot="1" x14ac:dyDescent="0.3">
      <c r="A6220" s="148"/>
      <c r="C6220" s="145"/>
      <c r="D6220" s="149"/>
      <c r="E6220" s="145"/>
      <c r="F6220" s="144"/>
      <c r="G6220" s="144"/>
    </row>
    <row r="6221" spans="1:7" ht="15.75" thickBot="1" x14ac:dyDescent="0.3">
      <c r="A6221" s="148"/>
      <c r="C6221" s="147" t="s">
        <v>620</v>
      </c>
      <c r="D6221" s="146">
        <f>F6219-G6219</f>
        <v>0</v>
      </c>
      <c r="E6221" s="145"/>
      <c r="F6221" s="144"/>
      <c r="G6221" s="144"/>
    </row>
    <row r="6222" spans="1:7" ht="15.75" thickBot="1" x14ac:dyDescent="0.3"/>
    <row r="6223" spans="1:7" ht="30.75" thickBot="1" x14ac:dyDescent="0.3">
      <c r="A6223" s="190" t="s">
        <v>626</v>
      </c>
      <c r="B6223" s="189" t="s">
        <v>606</v>
      </c>
      <c r="C6223" s="188" t="s">
        <v>627</v>
      </c>
      <c r="D6223" s="187" t="s">
        <v>601</v>
      </c>
      <c r="E6223" s="186" t="s">
        <v>287</v>
      </c>
      <c r="F6223" s="185" t="s">
        <v>624</v>
      </c>
      <c r="G6223" s="185" t="s">
        <v>596</v>
      </c>
    </row>
    <row r="6224" spans="1:7" x14ac:dyDescent="0.25">
      <c r="A6224" s="175" t="str">
        <f>E6224&amp;COUNTIFS($E$2:E6224,E6224)</f>
        <v>0</v>
      </c>
      <c r="B6224" s="172"/>
      <c r="C6224" s="174"/>
      <c r="D6224" s="173"/>
      <c r="E6224" s="172"/>
      <c r="F6224" s="171"/>
      <c r="G6224" s="170"/>
    </row>
    <row r="6225" spans="1:7" x14ac:dyDescent="0.25">
      <c r="A6225" s="169" t="str">
        <f>E6225&amp;COUNTIFS($E$2:E6225,E6225)</f>
        <v>0</v>
      </c>
      <c r="B6225" s="166"/>
      <c r="C6225" s="168"/>
      <c r="D6225" s="167"/>
      <c r="E6225" s="166"/>
      <c r="F6225" s="165"/>
      <c r="G6225" s="164"/>
    </row>
    <row r="6226" spans="1:7" x14ac:dyDescent="0.25">
      <c r="A6226" s="169" t="str">
        <f>E6226&amp;COUNTIFS($E$2:E6226,E6226)</f>
        <v>0</v>
      </c>
      <c r="B6226" s="166"/>
      <c r="C6226" s="168"/>
      <c r="D6226" s="167"/>
      <c r="E6226" s="166"/>
      <c r="F6226" s="165"/>
      <c r="G6226" s="164"/>
    </row>
    <row r="6227" spans="1:7" x14ac:dyDescent="0.25">
      <c r="A6227" s="169" t="str">
        <f>E6227&amp;COUNTIFS($E$2:E6227,E6227)</f>
        <v>0</v>
      </c>
      <c r="B6227" s="166"/>
      <c r="C6227" s="168"/>
      <c r="D6227" s="167"/>
      <c r="E6227" s="166"/>
      <c r="F6227" s="165"/>
      <c r="G6227" s="164"/>
    </row>
    <row r="6228" spans="1:7" x14ac:dyDescent="0.25">
      <c r="A6228" s="169" t="str">
        <f>E6228&amp;COUNTIFS($E$2:E6228,E6228)</f>
        <v>0</v>
      </c>
      <c r="B6228" s="166"/>
      <c r="C6228" s="168"/>
      <c r="D6228" s="167"/>
      <c r="E6228" s="166"/>
      <c r="F6228" s="165"/>
      <c r="G6228" s="164"/>
    </row>
    <row r="6229" spans="1:7" x14ac:dyDescent="0.25">
      <c r="A6229" s="169" t="str">
        <f>E6229&amp;COUNTIFS($E$2:E6229,E6229)</f>
        <v>0</v>
      </c>
      <c r="B6229" s="166"/>
      <c r="C6229" s="168"/>
      <c r="D6229" s="167"/>
      <c r="E6229" s="166"/>
      <c r="F6229" s="165"/>
      <c r="G6229" s="164"/>
    </row>
    <row r="6230" spans="1:7" x14ac:dyDescent="0.25">
      <c r="A6230" s="169" t="str">
        <f>E6230&amp;COUNTIFS($E$2:E6230,E6230)</f>
        <v>0</v>
      </c>
      <c r="B6230" s="166"/>
      <c r="C6230" s="168"/>
      <c r="D6230" s="167"/>
      <c r="E6230" s="166"/>
      <c r="F6230" s="165"/>
      <c r="G6230" s="164"/>
    </row>
    <row r="6231" spans="1:7" x14ac:dyDescent="0.25">
      <c r="A6231" s="169" t="str">
        <f>E6231&amp;COUNTIFS($E$2:E6231,E6231)</f>
        <v>0</v>
      </c>
      <c r="B6231" s="166"/>
      <c r="C6231" s="168"/>
      <c r="D6231" s="167"/>
      <c r="E6231" s="166"/>
      <c r="F6231" s="165"/>
      <c r="G6231" s="164"/>
    </row>
    <row r="6232" spans="1:7" x14ac:dyDescent="0.25">
      <c r="A6232" s="169" t="str">
        <f>E6232&amp;COUNTIFS($E$2:E6232,E6232)</f>
        <v>0</v>
      </c>
      <c r="B6232" s="166"/>
      <c r="C6232" s="168"/>
      <c r="D6232" s="167"/>
      <c r="E6232" s="166"/>
      <c r="F6232" s="165"/>
      <c r="G6232" s="164"/>
    </row>
    <row r="6233" spans="1:7" x14ac:dyDescent="0.25">
      <c r="A6233" s="169" t="str">
        <f>E6233&amp;COUNTIFS($E$2:E6233,E6233)</f>
        <v>0</v>
      </c>
      <c r="B6233" s="166"/>
      <c r="C6233" s="168"/>
      <c r="D6233" s="167"/>
      <c r="E6233" s="166"/>
      <c r="F6233" s="165"/>
      <c r="G6233" s="164"/>
    </row>
    <row r="6234" spans="1:7" x14ac:dyDescent="0.25">
      <c r="A6234" s="169" t="str">
        <f>E6234&amp;COUNTIFS($E$2:E6234,E6234)</f>
        <v>0</v>
      </c>
      <c r="B6234" s="166"/>
      <c r="C6234" s="168"/>
      <c r="D6234" s="167"/>
      <c r="E6234" s="166"/>
      <c r="F6234" s="165"/>
      <c r="G6234" s="164"/>
    </row>
    <row r="6235" spans="1:7" x14ac:dyDescent="0.25">
      <c r="A6235" s="169" t="str">
        <f>E6235&amp;COUNTIFS($E$2:E6235,E6235)</f>
        <v>0</v>
      </c>
      <c r="B6235" s="166"/>
      <c r="C6235" s="168"/>
      <c r="D6235" s="167"/>
      <c r="E6235" s="166"/>
      <c r="F6235" s="165"/>
      <c r="G6235" s="164"/>
    </row>
    <row r="6236" spans="1:7" x14ac:dyDescent="0.25">
      <c r="A6236" s="169" t="str">
        <f>E6236&amp;COUNTIFS($E$2:E6236,E6236)</f>
        <v>0</v>
      </c>
      <c r="B6236" s="166"/>
      <c r="C6236" s="168"/>
      <c r="D6236" s="167"/>
      <c r="E6236" s="166"/>
      <c r="F6236" s="165"/>
      <c r="G6236" s="164"/>
    </row>
    <row r="6237" spans="1:7" x14ac:dyDescent="0.25">
      <c r="A6237" s="169" t="str">
        <f>E6237&amp;COUNTIFS($E$2:E6237,E6237)</f>
        <v>0</v>
      </c>
      <c r="B6237" s="166"/>
      <c r="C6237" s="168"/>
      <c r="D6237" s="167"/>
      <c r="E6237" s="166"/>
      <c r="F6237" s="165"/>
      <c r="G6237" s="164"/>
    </row>
    <row r="6238" spans="1:7" x14ac:dyDescent="0.25">
      <c r="A6238" s="169" t="str">
        <f>E6238&amp;COUNTIFS($E$2:E6238,E6238)</f>
        <v>0</v>
      </c>
      <c r="B6238" s="166"/>
      <c r="C6238" s="168"/>
      <c r="D6238" s="167"/>
      <c r="E6238" s="166"/>
      <c r="F6238" s="165"/>
      <c r="G6238" s="164"/>
    </row>
    <row r="6239" spans="1:7" x14ac:dyDescent="0.25">
      <c r="A6239" s="169" t="str">
        <f>E6239&amp;COUNTIFS($E$2:E6239,E6239)</f>
        <v>0</v>
      </c>
      <c r="B6239" s="166"/>
      <c r="C6239" s="168"/>
      <c r="D6239" s="167"/>
      <c r="E6239" s="166"/>
      <c r="F6239" s="165"/>
      <c r="G6239" s="164"/>
    </row>
    <row r="6240" spans="1:7" x14ac:dyDescent="0.25">
      <c r="A6240" s="169" t="str">
        <f>E6240&amp;COUNTIFS($E$2:E6240,E6240)</f>
        <v>0</v>
      </c>
      <c r="B6240" s="166"/>
      <c r="C6240" s="168"/>
      <c r="D6240" s="167"/>
      <c r="E6240" s="166"/>
      <c r="F6240" s="165"/>
      <c r="G6240" s="164"/>
    </row>
    <row r="6241" spans="1:7" x14ac:dyDescent="0.25">
      <c r="A6241" s="169" t="str">
        <f>E6241&amp;COUNTIFS($E$2:E6241,E6241)</f>
        <v>0</v>
      </c>
      <c r="B6241" s="166"/>
      <c r="C6241" s="168"/>
      <c r="D6241" s="167"/>
      <c r="E6241" s="166"/>
      <c r="F6241" s="165"/>
      <c r="G6241" s="164"/>
    </row>
    <row r="6242" spans="1:7" x14ac:dyDescent="0.25">
      <c r="A6242" s="169" t="str">
        <f>E6242&amp;COUNTIFS($E$2:E6242,E6242)</f>
        <v>0</v>
      </c>
      <c r="B6242" s="166"/>
      <c r="C6242" s="168"/>
      <c r="D6242" s="167"/>
      <c r="E6242" s="166"/>
      <c r="F6242" s="165"/>
      <c r="G6242" s="164"/>
    </row>
    <row r="6243" spans="1:7" x14ac:dyDescent="0.25">
      <c r="A6243" s="169" t="str">
        <f>E6243&amp;COUNTIFS($E$2:E6243,E6243)</f>
        <v>0</v>
      </c>
      <c r="B6243" s="166"/>
      <c r="C6243" s="168"/>
      <c r="D6243" s="167"/>
      <c r="E6243" s="166"/>
      <c r="F6243" s="165"/>
      <c r="G6243" s="164"/>
    </row>
    <row r="6244" spans="1:7" x14ac:dyDescent="0.25">
      <c r="A6244" s="169" t="str">
        <f>E6244&amp;COUNTIFS($E$2:E6244,E6244)</f>
        <v>0</v>
      </c>
      <c r="B6244" s="166"/>
      <c r="C6244" s="168"/>
      <c r="D6244" s="167"/>
      <c r="E6244" s="166"/>
      <c r="F6244" s="165"/>
      <c r="G6244" s="164"/>
    </row>
    <row r="6245" spans="1:7" x14ac:dyDescent="0.25">
      <c r="A6245" s="169" t="str">
        <f>E6245&amp;COUNTIFS($E$2:E6245,E6245)</f>
        <v>0</v>
      </c>
      <c r="B6245" s="166"/>
      <c r="C6245" s="168"/>
      <c r="D6245" s="167"/>
      <c r="E6245" s="166"/>
      <c r="F6245" s="165"/>
      <c r="G6245" s="164"/>
    </row>
    <row r="6246" spans="1:7" x14ac:dyDescent="0.25">
      <c r="A6246" s="169" t="str">
        <f>E6246&amp;COUNTIFS($E$2:E6246,E6246)</f>
        <v>0</v>
      </c>
      <c r="B6246" s="166"/>
      <c r="C6246" s="168"/>
      <c r="D6246" s="167"/>
      <c r="E6246" s="166"/>
      <c r="F6246" s="165"/>
      <c r="G6246" s="164"/>
    </row>
    <row r="6247" spans="1:7" x14ac:dyDescent="0.25">
      <c r="A6247" s="169" t="str">
        <f>E6247&amp;COUNTIFS($E$2:E6247,E6247)</f>
        <v>0</v>
      </c>
      <c r="B6247" s="166"/>
      <c r="C6247" s="168"/>
      <c r="D6247" s="167"/>
      <c r="E6247" s="166"/>
      <c r="F6247" s="165"/>
      <c r="G6247" s="164"/>
    </row>
    <row r="6248" spans="1:7" ht="15.75" thickBot="1" x14ac:dyDescent="0.3">
      <c r="A6248" s="163" t="str">
        <f>E6248&amp;COUNTIFS($E$2:E6248,E6248)</f>
        <v>0</v>
      </c>
      <c r="B6248" s="160"/>
      <c r="C6248" s="162"/>
      <c r="D6248" s="161"/>
      <c r="E6248" s="160"/>
      <c r="F6248" s="159"/>
      <c r="G6248" s="158"/>
    </row>
    <row r="6249" spans="1:7" x14ac:dyDescent="0.25">
      <c r="A6249" s="148"/>
      <c r="C6249" s="143"/>
      <c r="D6249" s="157"/>
      <c r="E6249" s="143"/>
      <c r="F6249" s="156"/>
      <c r="G6249" s="156"/>
    </row>
    <row r="6250" spans="1:7" x14ac:dyDescent="0.25">
      <c r="A6250" s="148"/>
      <c r="C6250" s="153" t="s">
        <v>623</v>
      </c>
      <c r="D6250" s="152"/>
      <c r="E6250" s="151"/>
      <c r="F6250" s="150">
        <f>SUM(F6224:F6248)</f>
        <v>0</v>
      </c>
      <c r="G6250" s="155">
        <f>SUM(G6224:G6248)</f>
        <v>0</v>
      </c>
    </row>
    <row r="6251" spans="1:7" x14ac:dyDescent="0.25">
      <c r="A6251" s="148"/>
      <c r="C6251" s="145" t="s">
        <v>622</v>
      </c>
      <c r="D6251" s="154"/>
      <c r="E6251" s="145"/>
      <c r="F6251" s="144"/>
      <c r="G6251" s="144"/>
    </row>
    <row r="6252" spans="1:7" x14ac:dyDescent="0.25">
      <c r="A6252" s="148"/>
      <c r="C6252" s="153" t="s">
        <v>621</v>
      </c>
      <c r="D6252" s="152"/>
      <c r="E6252" s="151"/>
      <c r="F6252" s="150">
        <f>F6219</f>
        <v>0</v>
      </c>
      <c r="G6252" s="150">
        <f>G6219</f>
        <v>0</v>
      </c>
    </row>
    <row r="6253" spans="1:7" x14ac:dyDescent="0.25">
      <c r="A6253" s="148"/>
      <c r="C6253" s="153" t="s">
        <v>582</v>
      </c>
      <c r="D6253" s="152"/>
      <c r="E6253" s="151"/>
      <c r="F6253" s="150">
        <f>F6252+F6250</f>
        <v>0</v>
      </c>
      <c r="G6253" s="150">
        <f>G6252+G6250</f>
        <v>0</v>
      </c>
    </row>
    <row r="6254" spans="1:7" ht="15.75" thickBot="1" x14ac:dyDescent="0.3">
      <c r="A6254" s="148"/>
      <c r="C6254" s="145"/>
      <c r="D6254" s="149"/>
      <c r="E6254" s="145"/>
      <c r="F6254" s="144"/>
      <c r="G6254" s="144"/>
    </row>
    <row r="6255" spans="1:7" ht="15.75" thickBot="1" x14ac:dyDescent="0.3">
      <c r="A6255" s="148"/>
      <c r="C6255" s="147" t="s">
        <v>620</v>
      </c>
      <c r="D6255" s="146">
        <f>F6253-G6253</f>
        <v>0</v>
      </c>
      <c r="E6255" s="145"/>
      <c r="F6255" s="144"/>
      <c r="G6255" s="144"/>
    </row>
    <row r="6256" spans="1:7" ht="15.75" thickBot="1" x14ac:dyDescent="0.3"/>
    <row r="6257" spans="1:7" ht="30.75" thickBot="1" x14ac:dyDescent="0.3">
      <c r="A6257" s="190" t="s">
        <v>626</v>
      </c>
      <c r="B6257" s="189" t="s">
        <v>606</v>
      </c>
      <c r="C6257" s="188" t="s">
        <v>627</v>
      </c>
      <c r="D6257" s="187" t="s">
        <v>601</v>
      </c>
      <c r="E6257" s="186" t="s">
        <v>287</v>
      </c>
      <c r="F6257" s="185" t="s">
        <v>624</v>
      </c>
      <c r="G6257" s="185" t="s">
        <v>596</v>
      </c>
    </row>
    <row r="6258" spans="1:7" x14ac:dyDescent="0.25">
      <c r="A6258" s="175" t="str">
        <f>E6258&amp;COUNTIFS($E$2:E6258,E6258)</f>
        <v>0</v>
      </c>
      <c r="B6258" s="172"/>
      <c r="C6258" s="174"/>
      <c r="D6258" s="173"/>
      <c r="E6258" s="172"/>
      <c r="F6258" s="171"/>
      <c r="G6258" s="170"/>
    </row>
    <row r="6259" spans="1:7" x14ac:dyDescent="0.25">
      <c r="A6259" s="169" t="str">
        <f>E6259&amp;COUNTIFS($E$2:E6259,E6259)</f>
        <v>0</v>
      </c>
      <c r="B6259" s="166"/>
      <c r="C6259" s="168"/>
      <c r="D6259" s="167"/>
      <c r="E6259" s="166"/>
      <c r="F6259" s="165"/>
      <c r="G6259" s="164"/>
    </row>
    <row r="6260" spans="1:7" x14ac:dyDescent="0.25">
      <c r="A6260" s="169" t="str">
        <f>E6260&amp;COUNTIFS($E$2:E6260,E6260)</f>
        <v>0</v>
      </c>
      <c r="B6260" s="166"/>
      <c r="C6260" s="168"/>
      <c r="D6260" s="167"/>
      <c r="E6260" s="166"/>
      <c r="F6260" s="165"/>
      <c r="G6260" s="164"/>
    </row>
    <row r="6261" spans="1:7" x14ac:dyDescent="0.25">
      <c r="A6261" s="169" t="str">
        <f>E6261&amp;COUNTIFS($E$2:E6261,E6261)</f>
        <v>0</v>
      </c>
      <c r="B6261" s="166"/>
      <c r="C6261" s="168"/>
      <c r="D6261" s="167"/>
      <c r="E6261" s="166"/>
      <c r="F6261" s="165"/>
      <c r="G6261" s="164"/>
    </row>
    <row r="6262" spans="1:7" x14ac:dyDescent="0.25">
      <c r="A6262" s="169" t="str">
        <f>E6262&amp;COUNTIFS($E$2:E6262,E6262)</f>
        <v>0</v>
      </c>
      <c r="B6262" s="166"/>
      <c r="C6262" s="168"/>
      <c r="D6262" s="167"/>
      <c r="E6262" s="166"/>
      <c r="F6262" s="165"/>
      <c r="G6262" s="164"/>
    </row>
    <row r="6263" spans="1:7" x14ac:dyDescent="0.25">
      <c r="A6263" s="169" t="str">
        <f>E6263&amp;COUNTIFS($E$2:E6263,E6263)</f>
        <v>0</v>
      </c>
      <c r="B6263" s="166"/>
      <c r="C6263" s="168"/>
      <c r="D6263" s="167"/>
      <c r="E6263" s="166"/>
      <c r="F6263" s="165"/>
      <c r="G6263" s="164"/>
    </row>
    <row r="6264" spans="1:7" x14ac:dyDescent="0.25">
      <c r="A6264" s="169" t="str">
        <f>E6264&amp;COUNTIFS($E$2:E6264,E6264)</f>
        <v>0</v>
      </c>
      <c r="B6264" s="166"/>
      <c r="C6264" s="168"/>
      <c r="D6264" s="167"/>
      <c r="E6264" s="166"/>
      <c r="F6264" s="165"/>
      <c r="G6264" s="164"/>
    </row>
    <row r="6265" spans="1:7" x14ac:dyDescent="0.25">
      <c r="A6265" s="169" t="str">
        <f>E6265&amp;COUNTIFS($E$2:E6265,E6265)</f>
        <v>0</v>
      </c>
      <c r="B6265" s="166"/>
      <c r="C6265" s="168"/>
      <c r="D6265" s="167"/>
      <c r="E6265" s="166"/>
      <c r="F6265" s="165"/>
      <c r="G6265" s="164"/>
    </row>
    <row r="6266" spans="1:7" x14ac:dyDescent="0.25">
      <c r="A6266" s="169" t="str">
        <f>E6266&amp;COUNTIFS($E$2:E6266,E6266)</f>
        <v>0</v>
      </c>
      <c r="B6266" s="166"/>
      <c r="C6266" s="168"/>
      <c r="D6266" s="167"/>
      <c r="E6266" s="166"/>
      <c r="F6266" s="165"/>
      <c r="G6266" s="164"/>
    </row>
    <row r="6267" spans="1:7" x14ac:dyDescent="0.25">
      <c r="A6267" s="169" t="str">
        <f>E6267&amp;COUNTIFS($E$2:E6267,E6267)</f>
        <v>0</v>
      </c>
      <c r="B6267" s="166"/>
      <c r="C6267" s="168"/>
      <c r="D6267" s="167"/>
      <c r="E6267" s="166"/>
      <c r="F6267" s="165"/>
      <c r="G6267" s="164"/>
    </row>
    <row r="6268" spans="1:7" x14ac:dyDescent="0.25">
      <c r="A6268" s="169" t="str">
        <f>E6268&amp;COUNTIFS($E$2:E6268,E6268)</f>
        <v>0</v>
      </c>
      <c r="B6268" s="166"/>
      <c r="C6268" s="168"/>
      <c r="D6268" s="167"/>
      <c r="E6268" s="166"/>
      <c r="F6268" s="165"/>
      <c r="G6268" s="164"/>
    </row>
    <row r="6269" spans="1:7" x14ac:dyDescent="0.25">
      <c r="A6269" s="169" t="str">
        <f>E6269&amp;COUNTIFS($E$2:E6269,E6269)</f>
        <v>0</v>
      </c>
      <c r="B6269" s="166"/>
      <c r="C6269" s="168"/>
      <c r="D6269" s="167"/>
      <c r="E6269" s="166"/>
      <c r="F6269" s="165"/>
      <c r="G6269" s="164"/>
    </row>
    <row r="6270" spans="1:7" x14ac:dyDescent="0.25">
      <c r="A6270" s="169" t="str">
        <f>E6270&amp;COUNTIFS($E$2:E6270,E6270)</f>
        <v>0</v>
      </c>
      <c r="B6270" s="166"/>
      <c r="C6270" s="168"/>
      <c r="D6270" s="167"/>
      <c r="E6270" s="166"/>
      <c r="F6270" s="165"/>
      <c r="G6270" s="164"/>
    </row>
    <row r="6271" spans="1:7" x14ac:dyDescent="0.25">
      <c r="A6271" s="169" t="str">
        <f>E6271&amp;COUNTIFS($E$2:E6271,E6271)</f>
        <v>0</v>
      </c>
      <c r="B6271" s="166"/>
      <c r="C6271" s="168"/>
      <c r="D6271" s="167"/>
      <c r="E6271" s="166"/>
      <c r="F6271" s="165"/>
      <c r="G6271" s="164"/>
    </row>
    <row r="6272" spans="1:7" x14ac:dyDescent="0.25">
      <c r="A6272" s="169" t="str">
        <f>E6272&amp;COUNTIFS($E$2:E6272,E6272)</f>
        <v>0</v>
      </c>
      <c r="B6272" s="166"/>
      <c r="C6272" s="168"/>
      <c r="D6272" s="167"/>
      <c r="E6272" s="166"/>
      <c r="F6272" s="165"/>
      <c r="G6272" s="164"/>
    </row>
    <row r="6273" spans="1:7" x14ac:dyDescent="0.25">
      <c r="A6273" s="169" t="str">
        <f>E6273&amp;COUNTIFS($E$2:E6273,E6273)</f>
        <v>0</v>
      </c>
      <c r="B6273" s="166"/>
      <c r="C6273" s="168"/>
      <c r="D6273" s="167"/>
      <c r="E6273" s="166"/>
      <c r="F6273" s="165"/>
      <c r="G6273" s="164"/>
    </row>
    <row r="6274" spans="1:7" x14ac:dyDescent="0.25">
      <c r="A6274" s="169" t="str">
        <f>E6274&amp;COUNTIFS($E$2:E6274,E6274)</f>
        <v>0</v>
      </c>
      <c r="B6274" s="166"/>
      <c r="C6274" s="168"/>
      <c r="D6274" s="167"/>
      <c r="E6274" s="166"/>
      <c r="F6274" s="165"/>
      <c r="G6274" s="164"/>
    </row>
    <row r="6275" spans="1:7" x14ac:dyDescent="0.25">
      <c r="A6275" s="169" t="str">
        <f>E6275&amp;COUNTIFS($E$2:E6275,E6275)</f>
        <v>0</v>
      </c>
      <c r="B6275" s="166"/>
      <c r="C6275" s="168"/>
      <c r="D6275" s="167"/>
      <c r="E6275" s="166"/>
      <c r="F6275" s="165"/>
      <c r="G6275" s="164"/>
    </row>
    <row r="6276" spans="1:7" x14ac:dyDescent="0.25">
      <c r="A6276" s="169" t="str">
        <f>E6276&amp;COUNTIFS($E$2:E6276,E6276)</f>
        <v>0</v>
      </c>
      <c r="B6276" s="166"/>
      <c r="C6276" s="168"/>
      <c r="D6276" s="167"/>
      <c r="E6276" s="166"/>
      <c r="F6276" s="165"/>
      <c r="G6276" s="164"/>
    </row>
    <row r="6277" spans="1:7" x14ac:dyDescent="0.25">
      <c r="A6277" s="169" t="str">
        <f>E6277&amp;COUNTIFS($E$2:E6277,E6277)</f>
        <v>0</v>
      </c>
      <c r="B6277" s="166"/>
      <c r="C6277" s="168"/>
      <c r="D6277" s="167"/>
      <c r="E6277" s="166"/>
      <c r="F6277" s="165"/>
      <c r="G6277" s="164"/>
    </row>
    <row r="6278" spans="1:7" x14ac:dyDescent="0.25">
      <c r="A6278" s="169" t="str">
        <f>E6278&amp;COUNTIFS($E$2:E6278,E6278)</f>
        <v>0</v>
      </c>
      <c r="B6278" s="166"/>
      <c r="C6278" s="168"/>
      <c r="D6278" s="167"/>
      <c r="E6278" s="166"/>
      <c r="F6278" s="165"/>
      <c r="G6278" s="164"/>
    </row>
    <row r="6279" spans="1:7" x14ac:dyDescent="0.25">
      <c r="A6279" s="169" t="str">
        <f>E6279&amp;COUNTIFS($E$2:E6279,E6279)</f>
        <v>0</v>
      </c>
      <c r="B6279" s="166"/>
      <c r="C6279" s="168"/>
      <c r="D6279" s="167"/>
      <c r="E6279" s="166"/>
      <c r="F6279" s="165"/>
      <c r="G6279" s="164"/>
    </row>
    <row r="6280" spans="1:7" x14ac:dyDescent="0.25">
      <c r="A6280" s="169" t="str">
        <f>E6280&amp;COUNTIFS($E$2:E6280,E6280)</f>
        <v>0</v>
      </c>
      <c r="B6280" s="166"/>
      <c r="C6280" s="168"/>
      <c r="D6280" s="167"/>
      <c r="E6280" s="166"/>
      <c r="F6280" s="165"/>
      <c r="G6280" s="164"/>
    </row>
    <row r="6281" spans="1:7" x14ac:dyDescent="0.25">
      <c r="A6281" s="169" t="str">
        <f>E6281&amp;COUNTIFS($E$2:E6281,E6281)</f>
        <v>0</v>
      </c>
      <c r="B6281" s="166"/>
      <c r="C6281" s="168"/>
      <c r="D6281" s="167"/>
      <c r="E6281" s="166"/>
      <c r="F6281" s="165"/>
      <c r="G6281" s="164"/>
    </row>
    <row r="6282" spans="1:7" ht="15.75" thickBot="1" x14ac:dyDescent="0.3">
      <c r="A6282" s="163" t="str">
        <f>E6282&amp;COUNTIFS($E$2:E6282,E6282)</f>
        <v>0</v>
      </c>
      <c r="B6282" s="160"/>
      <c r="C6282" s="162"/>
      <c r="D6282" s="161"/>
      <c r="E6282" s="160"/>
      <c r="F6282" s="159"/>
      <c r="G6282" s="158"/>
    </row>
    <row r="6283" spans="1:7" x14ac:dyDescent="0.25">
      <c r="A6283" s="148"/>
      <c r="C6283" s="143"/>
      <c r="D6283" s="157"/>
      <c r="E6283" s="143"/>
      <c r="F6283" s="156"/>
      <c r="G6283" s="156"/>
    </row>
    <row r="6284" spans="1:7" x14ac:dyDescent="0.25">
      <c r="A6284" s="148"/>
      <c r="C6284" s="153" t="s">
        <v>623</v>
      </c>
      <c r="D6284" s="152"/>
      <c r="E6284" s="151"/>
      <c r="F6284" s="150">
        <f>SUM(F6258:F6282)</f>
        <v>0</v>
      </c>
      <c r="G6284" s="155">
        <f>SUM(G6258:G6282)</f>
        <v>0</v>
      </c>
    </row>
    <row r="6285" spans="1:7" x14ac:dyDescent="0.25">
      <c r="A6285" s="148"/>
      <c r="C6285" s="145" t="s">
        <v>622</v>
      </c>
      <c r="D6285" s="154"/>
      <c r="E6285" s="145"/>
      <c r="F6285" s="144"/>
      <c r="G6285" s="144"/>
    </row>
    <row r="6286" spans="1:7" x14ac:dyDescent="0.25">
      <c r="A6286" s="148"/>
      <c r="C6286" s="153" t="s">
        <v>621</v>
      </c>
      <c r="D6286" s="152"/>
      <c r="E6286" s="151"/>
      <c r="F6286" s="150">
        <f>F6253</f>
        <v>0</v>
      </c>
      <c r="G6286" s="150">
        <f>G6253</f>
        <v>0</v>
      </c>
    </row>
    <row r="6287" spans="1:7" x14ac:dyDescent="0.25">
      <c r="A6287" s="148"/>
      <c r="C6287" s="153" t="s">
        <v>582</v>
      </c>
      <c r="D6287" s="152"/>
      <c r="E6287" s="151"/>
      <c r="F6287" s="150">
        <f>F6286+F6284</f>
        <v>0</v>
      </c>
      <c r="G6287" s="150">
        <f>G6286+G6284</f>
        <v>0</v>
      </c>
    </row>
    <row r="6288" spans="1:7" ht="15.75" thickBot="1" x14ac:dyDescent="0.3">
      <c r="A6288" s="148"/>
      <c r="C6288" s="145"/>
      <c r="D6288" s="149"/>
      <c r="E6288" s="145"/>
      <c r="F6288" s="144"/>
      <c r="G6288" s="144"/>
    </row>
    <row r="6289" spans="1:7" ht="15.75" thickBot="1" x14ac:dyDescent="0.3">
      <c r="A6289" s="148"/>
      <c r="C6289" s="147" t="s">
        <v>620</v>
      </c>
      <c r="D6289" s="146">
        <f>F6287-G6287</f>
        <v>0</v>
      </c>
      <c r="E6289" s="145"/>
      <c r="F6289" s="144"/>
      <c r="G6289" s="144"/>
    </row>
    <row r="6290" spans="1:7" ht="15.75" thickBot="1" x14ac:dyDescent="0.3"/>
    <row r="6291" spans="1:7" ht="30.75" thickBot="1" x14ac:dyDescent="0.3">
      <c r="A6291" s="190" t="s">
        <v>626</v>
      </c>
      <c r="B6291" s="189" t="s">
        <v>606</v>
      </c>
      <c r="C6291" s="188" t="s">
        <v>627</v>
      </c>
      <c r="D6291" s="187" t="s">
        <v>601</v>
      </c>
      <c r="E6291" s="186" t="s">
        <v>287</v>
      </c>
      <c r="F6291" s="185" t="s">
        <v>624</v>
      </c>
      <c r="G6291" s="185" t="s">
        <v>596</v>
      </c>
    </row>
    <row r="6292" spans="1:7" x14ac:dyDescent="0.25">
      <c r="A6292" s="175" t="str">
        <f>E6292&amp;COUNTIFS($E$2:E6292,E6292)</f>
        <v>0</v>
      </c>
      <c r="B6292" s="172"/>
      <c r="C6292" s="174"/>
      <c r="D6292" s="173"/>
      <c r="E6292" s="172"/>
      <c r="F6292" s="171"/>
      <c r="G6292" s="170"/>
    </row>
    <row r="6293" spans="1:7" x14ac:dyDescent="0.25">
      <c r="A6293" s="169" t="str">
        <f>E6293&amp;COUNTIFS($E$2:E6293,E6293)</f>
        <v>0</v>
      </c>
      <c r="B6293" s="166"/>
      <c r="C6293" s="168"/>
      <c r="D6293" s="167"/>
      <c r="E6293" s="166"/>
      <c r="F6293" s="165"/>
      <c r="G6293" s="164"/>
    </row>
    <row r="6294" spans="1:7" x14ac:dyDescent="0.25">
      <c r="A6294" s="169" t="str">
        <f>E6294&amp;COUNTIFS($E$2:E6294,E6294)</f>
        <v>0</v>
      </c>
      <c r="B6294" s="166"/>
      <c r="C6294" s="168"/>
      <c r="D6294" s="167"/>
      <c r="E6294" s="166"/>
      <c r="F6294" s="165"/>
      <c r="G6294" s="164"/>
    </row>
    <row r="6295" spans="1:7" x14ac:dyDescent="0.25">
      <c r="A6295" s="169" t="str">
        <f>E6295&amp;COUNTIFS($E$2:E6295,E6295)</f>
        <v>0</v>
      </c>
      <c r="B6295" s="166"/>
      <c r="C6295" s="168"/>
      <c r="D6295" s="167"/>
      <c r="E6295" s="166"/>
      <c r="F6295" s="165"/>
      <c r="G6295" s="164"/>
    </row>
    <row r="6296" spans="1:7" x14ac:dyDescent="0.25">
      <c r="A6296" s="169" t="str">
        <f>E6296&amp;COUNTIFS($E$2:E6296,E6296)</f>
        <v>0</v>
      </c>
      <c r="B6296" s="166"/>
      <c r="C6296" s="168"/>
      <c r="D6296" s="167"/>
      <c r="E6296" s="166"/>
      <c r="F6296" s="165"/>
      <c r="G6296" s="164"/>
    </row>
    <row r="6297" spans="1:7" x14ac:dyDescent="0.25">
      <c r="A6297" s="169" t="str">
        <f>E6297&amp;COUNTIFS($E$2:E6297,E6297)</f>
        <v>0</v>
      </c>
      <c r="B6297" s="166"/>
      <c r="C6297" s="168"/>
      <c r="D6297" s="167"/>
      <c r="E6297" s="166"/>
      <c r="F6297" s="165"/>
      <c r="G6297" s="164"/>
    </row>
    <row r="6298" spans="1:7" x14ac:dyDescent="0.25">
      <c r="A6298" s="169" t="str">
        <f>E6298&amp;COUNTIFS($E$2:E6298,E6298)</f>
        <v>0</v>
      </c>
      <c r="B6298" s="166"/>
      <c r="C6298" s="168"/>
      <c r="D6298" s="167"/>
      <c r="E6298" s="166"/>
      <c r="F6298" s="165"/>
      <c r="G6298" s="164"/>
    </row>
    <row r="6299" spans="1:7" x14ac:dyDescent="0.25">
      <c r="A6299" s="169" t="str">
        <f>E6299&amp;COUNTIFS($E$2:E6299,E6299)</f>
        <v>0</v>
      </c>
      <c r="B6299" s="166"/>
      <c r="C6299" s="168"/>
      <c r="D6299" s="167"/>
      <c r="E6299" s="166"/>
      <c r="F6299" s="165"/>
      <c r="G6299" s="164"/>
    </row>
    <row r="6300" spans="1:7" x14ac:dyDescent="0.25">
      <c r="A6300" s="169" t="str">
        <f>E6300&amp;COUNTIFS($E$2:E6300,E6300)</f>
        <v>0</v>
      </c>
      <c r="B6300" s="166"/>
      <c r="C6300" s="168"/>
      <c r="D6300" s="167"/>
      <c r="E6300" s="166"/>
      <c r="F6300" s="165"/>
      <c r="G6300" s="164"/>
    </row>
    <row r="6301" spans="1:7" x14ac:dyDescent="0.25">
      <c r="A6301" s="169" t="str">
        <f>E6301&amp;COUNTIFS($E$2:E6301,E6301)</f>
        <v>0</v>
      </c>
      <c r="B6301" s="166"/>
      <c r="C6301" s="168"/>
      <c r="D6301" s="167"/>
      <c r="E6301" s="166"/>
      <c r="F6301" s="165"/>
      <c r="G6301" s="164"/>
    </row>
    <row r="6302" spans="1:7" x14ac:dyDescent="0.25">
      <c r="A6302" s="169" t="str">
        <f>E6302&amp;COUNTIFS($E$2:E6302,E6302)</f>
        <v>0</v>
      </c>
      <c r="B6302" s="166"/>
      <c r="C6302" s="168"/>
      <c r="D6302" s="167"/>
      <c r="E6302" s="166"/>
      <c r="F6302" s="165"/>
      <c r="G6302" s="164"/>
    </row>
    <row r="6303" spans="1:7" x14ac:dyDescent="0.25">
      <c r="A6303" s="169" t="str">
        <f>E6303&amp;COUNTIFS($E$2:E6303,E6303)</f>
        <v>0</v>
      </c>
      <c r="B6303" s="166"/>
      <c r="C6303" s="168"/>
      <c r="D6303" s="167"/>
      <c r="E6303" s="166"/>
      <c r="F6303" s="165"/>
      <c r="G6303" s="164"/>
    </row>
    <row r="6304" spans="1:7" x14ac:dyDescent="0.25">
      <c r="A6304" s="169" t="str">
        <f>E6304&amp;COUNTIFS($E$2:E6304,E6304)</f>
        <v>0</v>
      </c>
      <c r="B6304" s="166"/>
      <c r="C6304" s="168"/>
      <c r="D6304" s="167"/>
      <c r="E6304" s="166"/>
      <c r="F6304" s="165"/>
      <c r="G6304" s="164"/>
    </row>
    <row r="6305" spans="1:7" x14ac:dyDescent="0.25">
      <c r="A6305" s="169" t="str">
        <f>E6305&amp;COUNTIFS($E$2:E6305,E6305)</f>
        <v>0</v>
      </c>
      <c r="B6305" s="166"/>
      <c r="C6305" s="168"/>
      <c r="D6305" s="167"/>
      <c r="E6305" s="166"/>
      <c r="F6305" s="165"/>
      <c r="G6305" s="164"/>
    </row>
    <row r="6306" spans="1:7" x14ac:dyDescent="0.25">
      <c r="A6306" s="169" t="str">
        <f>E6306&amp;COUNTIFS($E$2:E6306,E6306)</f>
        <v>0</v>
      </c>
      <c r="B6306" s="166"/>
      <c r="C6306" s="168"/>
      <c r="D6306" s="167"/>
      <c r="E6306" s="166"/>
      <c r="F6306" s="165"/>
      <c r="G6306" s="164"/>
    </row>
    <row r="6307" spans="1:7" x14ac:dyDescent="0.25">
      <c r="A6307" s="169" t="str">
        <f>E6307&amp;COUNTIFS($E$2:E6307,E6307)</f>
        <v>0</v>
      </c>
      <c r="B6307" s="166"/>
      <c r="C6307" s="168"/>
      <c r="D6307" s="167"/>
      <c r="E6307" s="166"/>
      <c r="F6307" s="165"/>
      <c r="G6307" s="164"/>
    </row>
    <row r="6308" spans="1:7" x14ac:dyDescent="0.25">
      <c r="A6308" s="169" t="str">
        <f>E6308&amp;COUNTIFS($E$2:E6308,E6308)</f>
        <v>0</v>
      </c>
      <c r="B6308" s="166"/>
      <c r="C6308" s="168"/>
      <c r="D6308" s="167"/>
      <c r="E6308" s="166"/>
      <c r="F6308" s="165"/>
      <c r="G6308" s="164"/>
    </row>
    <row r="6309" spans="1:7" x14ac:dyDescent="0.25">
      <c r="A6309" s="169" t="str">
        <f>E6309&amp;COUNTIFS($E$2:E6309,E6309)</f>
        <v>0</v>
      </c>
      <c r="B6309" s="166"/>
      <c r="C6309" s="168"/>
      <c r="D6309" s="167"/>
      <c r="E6309" s="166"/>
      <c r="F6309" s="165"/>
      <c r="G6309" s="164"/>
    </row>
    <row r="6310" spans="1:7" x14ac:dyDescent="0.25">
      <c r="A6310" s="169" t="str">
        <f>E6310&amp;COUNTIFS($E$2:E6310,E6310)</f>
        <v>0</v>
      </c>
      <c r="B6310" s="166"/>
      <c r="C6310" s="168"/>
      <c r="D6310" s="167"/>
      <c r="E6310" s="166"/>
      <c r="F6310" s="165"/>
      <c r="G6310" s="164"/>
    </row>
    <row r="6311" spans="1:7" x14ac:dyDescent="0.25">
      <c r="A6311" s="169" t="str">
        <f>E6311&amp;COUNTIFS($E$2:E6311,E6311)</f>
        <v>0</v>
      </c>
      <c r="B6311" s="166"/>
      <c r="C6311" s="168"/>
      <c r="D6311" s="167"/>
      <c r="E6311" s="166"/>
      <c r="F6311" s="165"/>
      <c r="G6311" s="164"/>
    </row>
    <row r="6312" spans="1:7" x14ac:dyDescent="0.25">
      <c r="A6312" s="169" t="str">
        <f>E6312&amp;COUNTIFS($E$2:E6312,E6312)</f>
        <v>0</v>
      </c>
      <c r="B6312" s="166"/>
      <c r="C6312" s="168"/>
      <c r="D6312" s="167"/>
      <c r="E6312" s="166"/>
      <c r="F6312" s="165"/>
      <c r="G6312" s="164"/>
    </row>
    <row r="6313" spans="1:7" x14ac:dyDescent="0.25">
      <c r="A6313" s="169" t="str">
        <f>E6313&amp;COUNTIFS($E$2:E6313,E6313)</f>
        <v>0</v>
      </c>
      <c r="B6313" s="166"/>
      <c r="C6313" s="168"/>
      <c r="D6313" s="167"/>
      <c r="E6313" s="166"/>
      <c r="F6313" s="165"/>
      <c r="G6313" s="164"/>
    </row>
    <row r="6314" spans="1:7" x14ac:dyDescent="0.25">
      <c r="A6314" s="169" t="str">
        <f>E6314&amp;COUNTIFS($E$2:E6314,E6314)</f>
        <v>0</v>
      </c>
      <c r="B6314" s="166"/>
      <c r="C6314" s="168"/>
      <c r="D6314" s="167"/>
      <c r="E6314" s="166"/>
      <c r="F6314" s="165"/>
      <c r="G6314" s="164"/>
    </row>
    <row r="6315" spans="1:7" x14ac:dyDescent="0.25">
      <c r="A6315" s="169" t="str">
        <f>E6315&amp;COUNTIFS($E$2:E6315,E6315)</f>
        <v>0</v>
      </c>
      <c r="B6315" s="166"/>
      <c r="C6315" s="168"/>
      <c r="D6315" s="167"/>
      <c r="E6315" s="166"/>
      <c r="F6315" s="165"/>
      <c r="G6315" s="164"/>
    </row>
    <row r="6316" spans="1:7" ht="15.75" thickBot="1" x14ac:dyDescent="0.3">
      <c r="A6316" s="163" t="str">
        <f>E6316&amp;COUNTIFS($E$2:E6316,E6316)</f>
        <v>0</v>
      </c>
      <c r="B6316" s="160"/>
      <c r="C6316" s="162"/>
      <c r="D6316" s="161"/>
      <c r="E6316" s="160"/>
      <c r="F6316" s="159"/>
      <c r="G6316" s="158"/>
    </row>
    <row r="6317" spans="1:7" x14ac:dyDescent="0.25">
      <c r="A6317" s="148"/>
      <c r="C6317" s="143"/>
      <c r="D6317" s="157"/>
      <c r="E6317" s="143"/>
      <c r="F6317" s="156"/>
      <c r="G6317" s="156"/>
    </row>
    <row r="6318" spans="1:7" x14ac:dyDescent="0.25">
      <c r="A6318" s="148"/>
      <c r="C6318" s="153" t="s">
        <v>623</v>
      </c>
      <c r="D6318" s="152"/>
      <c r="E6318" s="151"/>
      <c r="F6318" s="150">
        <f>SUM(F6292:F6316)</f>
        <v>0</v>
      </c>
      <c r="G6318" s="155">
        <f>SUM(G6292:G6316)</f>
        <v>0</v>
      </c>
    </row>
    <row r="6319" spans="1:7" x14ac:dyDescent="0.25">
      <c r="A6319" s="148"/>
      <c r="C6319" s="145" t="s">
        <v>622</v>
      </c>
      <c r="D6319" s="154"/>
      <c r="E6319" s="145"/>
      <c r="F6319" s="144"/>
      <c r="G6319" s="144"/>
    </row>
    <row r="6320" spans="1:7" x14ac:dyDescent="0.25">
      <c r="A6320" s="148"/>
      <c r="C6320" s="153" t="s">
        <v>621</v>
      </c>
      <c r="D6320" s="152"/>
      <c r="E6320" s="151"/>
      <c r="F6320" s="150">
        <f>F6287</f>
        <v>0</v>
      </c>
      <c r="G6320" s="150">
        <f>G6287</f>
        <v>0</v>
      </c>
    </row>
    <row r="6321" spans="1:9" x14ac:dyDescent="0.25">
      <c r="A6321" s="148"/>
      <c r="C6321" s="153" t="s">
        <v>582</v>
      </c>
      <c r="D6321" s="152"/>
      <c r="E6321" s="151"/>
      <c r="F6321" s="150">
        <f>F6320+F6318</f>
        <v>0</v>
      </c>
      <c r="G6321" s="150">
        <f>G6320+G6318</f>
        <v>0</v>
      </c>
      <c r="I6321" s="182">
        <f>'[1]PENDAPATAN PERBULAN'!Q183-F6321</f>
        <v>514639652</v>
      </c>
    </row>
    <row r="6322" spans="1:9" ht="15.75" thickBot="1" x14ac:dyDescent="0.3">
      <c r="A6322" s="148"/>
      <c r="C6322" s="145"/>
      <c r="D6322" s="149"/>
      <c r="E6322" s="145"/>
      <c r="F6322" s="144"/>
      <c r="G6322" s="144"/>
      <c r="I6322" s="182">
        <f>'[1]BELANJA PERBULAN'!Q158-G6321</f>
        <v>490780936</v>
      </c>
    </row>
    <row r="6323" spans="1:9" ht="15.75" thickBot="1" x14ac:dyDescent="0.3">
      <c r="A6323" s="148"/>
      <c r="C6323" s="147" t="s">
        <v>620</v>
      </c>
      <c r="D6323" s="146">
        <f>F6321-G6321</f>
        <v>0</v>
      </c>
      <c r="E6323" s="145"/>
      <c r="F6323" s="144"/>
      <c r="G6323" s="144"/>
      <c r="I6323" s="182">
        <f>D6323-'[1]BELANJA PERBULAN'!Q159</f>
        <v>-23858716</v>
      </c>
    </row>
    <row r="6324" spans="1:9" ht="15.75" thickBot="1" x14ac:dyDescent="0.3">
      <c r="I6324" s="182">
        <f>I6322-I6321</f>
        <v>-23858716</v>
      </c>
    </row>
    <row r="6325" spans="1:9" ht="30.75" thickBot="1" x14ac:dyDescent="0.3">
      <c r="A6325" s="190" t="s">
        <v>626</v>
      </c>
      <c r="B6325" s="189" t="s">
        <v>606</v>
      </c>
      <c r="C6325" s="188" t="s">
        <v>627</v>
      </c>
      <c r="D6325" s="187" t="s">
        <v>601</v>
      </c>
      <c r="E6325" s="186" t="s">
        <v>287</v>
      </c>
      <c r="F6325" s="185" t="s">
        <v>624</v>
      </c>
      <c r="G6325" s="185" t="s">
        <v>596</v>
      </c>
      <c r="I6325" s="182"/>
    </row>
    <row r="6326" spans="1:9" x14ac:dyDescent="0.25">
      <c r="A6326" s="175" t="str">
        <f>E6326&amp;COUNTIFS($E$2:E6326,E6326)</f>
        <v>0</v>
      </c>
      <c r="B6326" s="172"/>
      <c r="C6326" s="174"/>
      <c r="D6326" s="173"/>
      <c r="E6326" s="172"/>
      <c r="F6326" s="171"/>
      <c r="G6326" s="170"/>
    </row>
    <row r="6327" spans="1:9" x14ac:dyDescent="0.25">
      <c r="A6327" s="169" t="str">
        <f>E6327&amp;COUNTIFS($E$2:E6327,E6327)</f>
        <v>0</v>
      </c>
      <c r="B6327" s="166"/>
      <c r="C6327" s="168"/>
      <c r="D6327" s="167"/>
      <c r="E6327" s="166"/>
      <c r="F6327" s="165"/>
      <c r="G6327" s="164"/>
    </row>
    <row r="6328" spans="1:9" x14ac:dyDescent="0.25">
      <c r="A6328" s="169" t="str">
        <f>E6328&amp;COUNTIFS($E$2:E6328,E6328)</f>
        <v>0</v>
      </c>
      <c r="B6328" s="166"/>
      <c r="C6328" s="168"/>
      <c r="D6328" s="167"/>
      <c r="E6328" s="166"/>
      <c r="F6328" s="165"/>
      <c r="G6328" s="164"/>
    </row>
    <row r="6329" spans="1:9" x14ac:dyDescent="0.25">
      <c r="A6329" s="169" t="str">
        <f>E6329&amp;COUNTIFS($E$2:E6329,E6329)</f>
        <v>0</v>
      </c>
      <c r="B6329" s="166"/>
      <c r="C6329" s="168"/>
      <c r="D6329" s="167"/>
      <c r="E6329" s="166"/>
      <c r="F6329" s="165"/>
      <c r="G6329" s="164"/>
    </row>
    <row r="6330" spans="1:9" x14ac:dyDescent="0.25">
      <c r="A6330" s="169" t="str">
        <f>E6330&amp;COUNTIFS($E$2:E6330,E6330)</f>
        <v>0</v>
      </c>
      <c r="B6330" s="166"/>
      <c r="C6330" s="168"/>
      <c r="D6330" s="167"/>
      <c r="E6330" s="166"/>
      <c r="F6330" s="165"/>
      <c r="G6330" s="164"/>
    </row>
    <row r="6331" spans="1:9" x14ac:dyDescent="0.25">
      <c r="A6331" s="169" t="str">
        <f>E6331&amp;COUNTIFS($E$2:E6331,E6331)</f>
        <v>0</v>
      </c>
      <c r="B6331" s="166"/>
      <c r="C6331" s="168"/>
      <c r="D6331" s="167"/>
      <c r="E6331" s="166"/>
      <c r="F6331" s="165"/>
      <c r="G6331" s="164"/>
    </row>
    <row r="6332" spans="1:9" x14ac:dyDescent="0.25">
      <c r="A6332" s="169" t="str">
        <f>E6332&amp;COUNTIFS($E$2:E6332,E6332)</f>
        <v>0</v>
      </c>
      <c r="B6332" s="166"/>
      <c r="C6332" s="168"/>
      <c r="D6332" s="167"/>
      <c r="E6332" s="166"/>
      <c r="F6332" s="165"/>
      <c r="G6332" s="164"/>
    </row>
    <row r="6333" spans="1:9" x14ac:dyDescent="0.25">
      <c r="A6333" s="169" t="str">
        <f>E6333&amp;COUNTIFS($E$2:E6333,E6333)</f>
        <v>0</v>
      </c>
      <c r="B6333" s="166"/>
      <c r="C6333" s="168"/>
      <c r="D6333" s="167"/>
      <c r="E6333" s="166"/>
      <c r="F6333" s="165"/>
      <c r="G6333" s="164"/>
    </row>
    <row r="6334" spans="1:9" x14ac:dyDescent="0.25">
      <c r="A6334" s="169" t="str">
        <f>E6334&amp;COUNTIFS($E$2:E6334,E6334)</f>
        <v>0</v>
      </c>
      <c r="B6334" s="166"/>
      <c r="C6334" s="168"/>
      <c r="D6334" s="167"/>
      <c r="E6334" s="166"/>
      <c r="F6334" s="165"/>
      <c r="G6334" s="164"/>
    </row>
    <row r="6335" spans="1:9" x14ac:dyDescent="0.25">
      <c r="A6335" s="169" t="str">
        <f>E6335&amp;COUNTIFS($E$2:E6335,E6335)</f>
        <v>0</v>
      </c>
      <c r="B6335" s="166"/>
      <c r="C6335" s="168"/>
      <c r="D6335" s="167"/>
      <c r="E6335" s="166"/>
      <c r="F6335" s="165"/>
      <c r="G6335" s="164"/>
    </row>
    <row r="6336" spans="1:9" x14ac:dyDescent="0.25">
      <c r="A6336" s="169" t="str">
        <f>E6336&amp;COUNTIFS($E$2:E6336,E6336)</f>
        <v>0</v>
      </c>
      <c r="B6336" s="166"/>
      <c r="C6336" s="168"/>
      <c r="D6336" s="167"/>
      <c r="E6336" s="166"/>
      <c r="F6336" s="165"/>
      <c r="G6336" s="164"/>
    </row>
    <row r="6337" spans="1:7" x14ac:dyDescent="0.25">
      <c r="A6337" s="169" t="str">
        <f>E6337&amp;COUNTIFS($E$2:E6337,E6337)</f>
        <v>0</v>
      </c>
      <c r="B6337" s="166"/>
      <c r="C6337" s="168"/>
      <c r="D6337" s="167"/>
      <c r="E6337" s="166"/>
      <c r="F6337" s="165"/>
      <c r="G6337" s="164"/>
    </row>
    <row r="6338" spans="1:7" x14ac:dyDescent="0.25">
      <c r="A6338" s="169" t="str">
        <f>E6338&amp;COUNTIFS($E$2:E6338,E6338)</f>
        <v>0</v>
      </c>
      <c r="B6338" s="166"/>
      <c r="C6338" s="168"/>
      <c r="D6338" s="167"/>
      <c r="E6338" s="166"/>
      <c r="F6338" s="165"/>
      <c r="G6338" s="164"/>
    </row>
    <row r="6339" spans="1:7" x14ac:dyDescent="0.25">
      <c r="A6339" s="169" t="str">
        <f>E6339&amp;COUNTIFS($E$2:E6339,E6339)</f>
        <v>0</v>
      </c>
      <c r="B6339" s="166"/>
      <c r="C6339" s="168"/>
      <c r="D6339" s="167"/>
      <c r="E6339" s="166"/>
      <c r="F6339" s="165"/>
      <c r="G6339" s="164"/>
    </row>
    <row r="6340" spans="1:7" x14ac:dyDescent="0.25">
      <c r="A6340" s="169" t="str">
        <f>E6340&amp;COUNTIFS($E$2:E6340,E6340)</f>
        <v>0</v>
      </c>
      <c r="B6340" s="166"/>
      <c r="C6340" s="168"/>
      <c r="D6340" s="167"/>
      <c r="E6340" s="166"/>
      <c r="F6340" s="165"/>
      <c r="G6340" s="164"/>
    </row>
    <row r="6341" spans="1:7" x14ac:dyDescent="0.25">
      <c r="A6341" s="169" t="str">
        <f>E6341&amp;COUNTIFS($E$2:E6341,E6341)</f>
        <v>0</v>
      </c>
      <c r="B6341" s="166"/>
      <c r="C6341" s="168"/>
      <c r="D6341" s="167"/>
      <c r="E6341" s="166"/>
      <c r="F6341" s="165"/>
      <c r="G6341" s="164"/>
    </row>
    <row r="6342" spans="1:7" x14ac:dyDescent="0.25">
      <c r="A6342" s="169" t="str">
        <f>E6342&amp;COUNTIFS($E$2:E6342,E6342)</f>
        <v>0</v>
      </c>
      <c r="B6342" s="166"/>
      <c r="C6342" s="168"/>
      <c r="D6342" s="167"/>
      <c r="E6342" s="166"/>
      <c r="F6342" s="165"/>
      <c r="G6342" s="164"/>
    </row>
    <row r="6343" spans="1:7" x14ac:dyDescent="0.25">
      <c r="A6343" s="169" t="str">
        <f>E6343&amp;COUNTIFS($E$2:E6343,E6343)</f>
        <v>0</v>
      </c>
      <c r="B6343" s="166"/>
      <c r="C6343" s="168"/>
      <c r="D6343" s="167"/>
      <c r="E6343" s="166"/>
      <c r="F6343" s="165"/>
      <c r="G6343" s="164"/>
    </row>
    <row r="6344" spans="1:7" x14ac:dyDescent="0.25">
      <c r="A6344" s="169" t="str">
        <f>E6344&amp;COUNTIFS($E$2:E6344,E6344)</f>
        <v>0</v>
      </c>
      <c r="B6344" s="166"/>
      <c r="C6344" s="168"/>
      <c r="D6344" s="167"/>
      <c r="E6344" s="166"/>
      <c r="F6344" s="165"/>
      <c r="G6344" s="164"/>
    </row>
    <row r="6345" spans="1:7" x14ac:dyDescent="0.25">
      <c r="A6345" s="169" t="str">
        <f>E6345&amp;COUNTIFS($E$2:E6345,E6345)</f>
        <v>0</v>
      </c>
      <c r="B6345" s="166"/>
      <c r="C6345" s="168"/>
      <c r="D6345" s="167"/>
      <c r="E6345" s="166"/>
      <c r="F6345" s="165"/>
      <c r="G6345" s="164"/>
    </row>
    <row r="6346" spans="1:7" x14ac:dyDescent="0.25">
      <c r="A6346" s="169" t="str">
        <f>E6346&amp;COUNTIFS($E$2:E6346,E6346)</f>
        <v>0</v>
      </c>
      <c r="B6346" s="166"/>
      <c r="C6346" s="168"/>
      <c r="D6346" s="167"/>
      <c r="E6346" s="166"/>
      <c r="F6346" s="165"/>
      <c r="G6346" s="164"/>
    </row>
    <row r="6347" spans="1:7" x14ac:dyDescent="0.25">
      <c r="A6347" s="169" t="str">
        <f>E6347&amp;COUNTIFS($E$2:E6347,E6347)</f>
        <v>0</v>
      </c>
      <c r="B6347" s="166"/>
      <c r="C6347" s="168"/>
      <c r="D6347" s="167"/>
      <c r="E6347" s="166"/>
      <c r="F6347" s="165"/>
      <c r="G6347" s="164"/>
    </row>
    <row r="6348" spans="1:7" x14ac:dyDescent="0.25">
      <c r="A6348" s="169" t="str">
        <f>E6348&amp;COUNTIFS($E$2:E6348,E6348)</f>
        <v>0</v>
      </c>
      <c r="B6348" s="166"/>
      <c r="C6348" s="168"/>
      <c r="D6348" s="167"/>
      <c r="E6348" s="166"/>
      <c r="F6348" s="165"/>
      <c r="G6348" s="164"/>
    </row>
    <row r="6349" spans="1:7" x14ac:dyDescent="0.25">
      <c r="A6349" s="169" t="str">
        <f>E6349&amp;COUNTIFS($E$2:E6349,E6349)</f>
        <v>0</v>
      </c>
      <c r="B6349" s="166"/>
      <c r="C6349" s="168"/>
      <c r="D6349" s="167"/>
      <c r="E6349" s="166"/>
      <c r="F6349" s="165"/>
      <c r="G6349" s="164"/>
    </row>
    <row r="6350" spans="1:7" ht="15.75" thickBot="1" x14ac:dyDescent="0.3">
      <c r="A6350" s="163" t="str">
        <f>E6350&amp;COUNTIFS($E$2:E6350,E6350)</f>
        <v>0</v>
      </c>
      <c r="B6350" s="160"/>
      <c r="C6350" s="162"/>
      <c r="D6350" s="161"/>
      <c r="E6350" s="160"/>
      <c r="F6350" s="159"/>
      <c r="G6350" s="158"/>
    </row>
    <row r="6351" spans="1:7" x14ac:dyDescent="0.25">
      <c r="A6351" s="148"/>
      <c r="C6351" s="143"/>
      <c r="D6351" s="157"/>
      <c r="E6351" s="143"/>
      <c r="F6351" s="156"/>
      <c r="G6351" s="156"/>
    </row>
    <row r="6352" spans="1:7" x14ac:dyDescent="0.25">
      <c r="A6352" s="148"/>
      <c r="C6352" s="153" t="s">
        <v>623</v>
      </c>
      <c r="D6352" s="152"/>
      <c r="E6352" s="151"/>
      <c r="F6352" s="150">
        <f>SUM(F6326:F6350)</f>
        <v>0</v>
      </c>
      <c r="G6352" s="155">
        <f>SUM(G6326:G6350)</f>
        <v>0</v>
      </c>
    </row>
    <row r="6353" spans="1:7" x14ac:dyDescent="0.25">
      <c r="A6353" s="148"/>
      <c r="C6353" s="145" t="s">
        <v>622</v>
      </c>
      <c r="D6353" s="154"/>
      <c r="E6353" s="145"/>
      <c r="F6353" s="144"/>
      <c r="G6353" s="144"/>
    </row>
    <row r="6354" spans="1:7" x14ac:dyDescent="0.25">
      <c r="A6354" s="148"/>
      <c r="C6354" s="153" t="s">
        <v>621</v>
      </c>
      <c r="D6354" s="152"/>
      <c r="E6354" s="151"/>
      <c r="F6354" s="150">
        <f>F6321</f>
        <v>0</v>
      </c>
      <c r="G6354" s="150">
        <f>G6321</f>
        <v>0</v>
      </c>
    </row>
    <row r="6355" spans="1:7" x14ac:dyDescent="0.25">
      <c r="A6355" s="148"/>
      <c r="C6355" s="153" t="s">
        <v>582</v>
      </c>
      <c r="D6355" s="152"/>
      <c r="E6355" s="151"/>
      <c r="F6355" s="150">
        <f>F6354+F6352</f>
        <v>0</v>
      </c>
      <c r="G6355" s="150">
        <f>G6354+G6352</f>
        <v>0</v>
      </c>
    </row>
    <row r="6356" spans="1:7" ht="15.75" thickBot="1" x14ac:dyDescent="0.3">
      <c r="A6356" s="148"/>
      <c r="C6356" s="145"/>
      <c r="D6356" s="149"/>
      <c r="E6356" s="145"/>
      <c r="F6356" s="144"/>
      <c r="G6356" s="144"/>
    </row>
    <row r="6357" spans="1:7" ht="15.75" thickBot="1" x14ac:dyDescent="0.3">
      <c r="A6357" s="148"/>
      <c r="C6357" s="147" t="s">
        <v>620</v>
      </c>
      <c r="D6357" s="146">
        <f>F6355-G6355</f>
        <v>0</v>
      </c>
      <c r="E6357" s="145"/>
      <c r="F6357" s="144"/>
      <c r="G6357" s="144"/>
    </row>
    <row r="6358" spans="1:7" ht="15.75" thickBot="1" x14ac:dyDescent="0.3"/>
    <row r="6359" spans="1:7" ht="30.75" thickBot="1" x14ac:dyDescent="0.3">
      <c r="A6359" s="190" t="s">
        <v>626</v>
      </c>
      <c r="B6359" s="189" t="s">
        <v>606</v>
      </c>
      <c r="C6359" s="188" t="s">
        <v>627</v>
      </c>
      <c r="D6359" s="187" t="s">
        <v>601</v>
      </c>
      <c r="E6359" s="186" t="s">
        <v>287</v>
      </c>
      <c r="F6359" s="185" t="s">
        <v>624</v>
      </c>
      <c r="G6359" s="185" t="s">
        <v>596</v>
      </c>
    </row>
    <row r="6360" spans="1:7" x14ac:dyDescent="0.25">
      <c r="A6360" s="175" t="str">
        <f>E6360&amp;COUNTIFS($E$2:E6360,E6360)</f>
        <v>0</v>
      </c>
      <c r="B6360" s="172"/>
      <c r="C6360" s="174"/>
      <c r="D6360" s="173"/>
      <c r="E6360" s="172"/>
      <c r="F6360" s="171"/>
      <c r="G6360" s="170"/>
    </row>
    <row r="6361" spans="1:7" x14ac:dyDescent="0.25">
      <c r="A6361" s="169" t="str">
        <f>E6361&amp;COUNTIFS($E$2:E6361,E6361)</f>
        <v>0</v>
      </c>
      <c r="B6361" s="166"/>
      <c r="C6361" s="168"/>
      <c r="D6361" s="167"/>
      <c r="E6361" s="166"/>
      <c r="F6361" s="165"/>
      <c r="G6361" s="164"/>
    </row>
    <row r="6362" spans="1:7" x14ac:dyDescent="0.25">
      <c r="A6362" s="169" t="str">
        <f>E6362&amp;COUNTIFS($E$2:E6362,E6362)</f>
        <v>0</v>
      </c>
      <c r="B6362" s="166"/>
      <c r="C6362" s="168"/>
      <c r="D6362" s="167"/>
      <c r="E6362" s="166"/>
      <c r="F6362" s="165"/>
      <c r="G6362" s="164"/>
    </row>
    <row r="6363" spans="1:7" x14ac:dyDescent="0.25">
      <c r="A6363" s="169" t="str">
        <f>E6363&amp;COUNTIFS($E$2:E6363,E6363)</f>
        <v>0</v>
      </c>
      <c r="B6363" s="166"/>
      <c r="C6363" s="168"/>
      <c r="D6363" s="167"/>
      <c r="E6363" s="166"/>
      <c r="F6363" s="165"/>
      <c r="G6363" s="164"/>
    </row>
    <row r="6364" spans="1:7" x14ac:dyDescent="0.25">
      <c r="A6364" s="169" t="str">
        <f>E6364&amp;COUNTIFS($E$2:E6364,E6364)</f>
        <v>0</v>
      </c>
      <c r="B6364" s="166"/>
      <c r="C6364" s="168"/>
      <c r="D6364" s="167"/>
      <c r="E6364" s="166"/>
      <c r="F6364" s="165"/>
      <c r="G6364" s="164"/>
    </row>
    <row r="6365" spans="1:7" x14ac:dyDescent="0.25">
      <c r="A6365" s="169" t="str">
        <f>E6365&amp;COUNTIFS($E$2:E6365,E6365)</f>
        <v>0</v>
      </c>
      <c r="B6365" s="166"/>
      <c r="C6365" s="168"/>
      <c r="D6365" s="167"/>
      <c r="E6365" s="166"/>
      <c r="F6365" s="165"/>
      <c r="G6365" s="164"/>
    </row>
    <row r="6366" spans="1:7" x14ac:dyDescent="0.25">
      <c r="A6366" s="169" t="str">
        <f>E6366&amp;COUNTIFS($E$2:E6366,E6366)</f>
        <v>0</v>
      </c>
      <c r="B6366" s="166"/>
      <c r="C6366" s="168"/>
      <c r="D6366" s="167"/>
      <c r="E6366" s="166"/>
      <c r="F6366" s="165"/>
      <c r="G6366" s="164"/>
    </row>
    <row r="6367" spans="1:7" x14ac:dyDescent="0.25">
      <c r="A6367" s="169" t="str">
        <f>E6367&amp;COUNTIFS($E$2:E6367,E6367)</f>
        <v>0</v>
      </c>
      <c r="B6367" s="166"/>
      <c r="C6367" s="168"/>
      <c r="D6367" s="167"/>
      <c r="E6367" s="166"/>
      <c r="F6367" s="165"/>
      <c r="G6367" s="164"/>
    </row>
    <row r="6368" spans="1:7" x14ac:dyDescent="0.25">
      <c r="A6368" s="169" t="str">
        <f>E6368&amp;COUNTIFS($E$2:E6368,E6368)</f>
        <v>0</v>
      </c>
      <c r="B6368" s="166"/>
      <c r="C6368" s="168"/>
      <c r="D6368" s="167"/>
      <c r="E6368" s="166"/>
      <c r="F6368" s="165"/>
      <c r="G6368" s="164"/>
    </row>
    <row r="6369" spans="1:7" x14ac:dyDescent="0.25">
      <c r="A6369" s="169" t="str">
        <f>E6369&amp;COUNTIFS($E$2:E6369,E6369)</f>
        <v>0</v>
      </c>
      <c r="B6369" s="166"/>
      <c r="C6369" s="168"/>
      <c r="D6369" s="167"/>
      <c r="E6369" s="166"/>
      <c r="F6369" s="165"/>
      <c r="G6369" s="164"/>
    </row>
    <row r="6370" spans="1:7" x14ac:dyDescent="0.25">
      <c r="A6370" s="169" t="str">
        <f>E6370&amp;COUNTIFS($E$2:E6370,E6370)</f>
        <v>0</v>
      </c>
      <c r="B6370" s="166"/>
      <c r="C6370" s="168"/>
      <c r="D6370" s="167"/>
      <c r="E6370" s="166"/>
      <c r="F6370" s="165"/>
      <c r="G6370" s="164"/>
    </row>
    <row r="6371" spans="1:7" x14ac:dyDescent="0.25">
      <c r="A6371" s="169" t="str">
        <f>E6371&amp;COUNTIFS($E$2:E6371,E6371)</f>
        <v>0</v>
      </c>
      <c r="B6371" s="166"/>
      <c r="C6371" s="168"/>
      <c r="D6371" s="167"/>
      <c r="E6371" s="166"/>
      <c r="F6371" s="165"/>
      <c r="G6371" s="164"/>
    </row>
    <row r="6372" spans="1:7" x14ac:dyDescent="0.25">
      <c r="A6372" s="169" t="str">
        <f>E6372&amp;COUNTIFS($E$2:E6372,E6372)</f>
        <v>0</v>
      </c>
      <c r="B6372" s="166"/>
      <c r="C6372" s="168"/>
      <c r="D6372" s="167"/>
      <c r="E6372" s="166"/>
      <c r="F6372" s="165"/>
      <c r="G6372" s="164"/>
    </row>
    <row r="6373" spans="1:7" x14ac:dyDescent="0.25">
      <c r="A6373" s="169" t="str">
        <f>E6373&amp;COUNTIFS($E$2:E6373,E6373)</f>
        <v>0</v>
      </c>
      <c r="B6373" s="166"/>
      <c r="C6373" s="168"/>
      <c r="D6373" s="167"/>
      <c r="E6373" s="166"/>
      <c r="F6373" s="165"/>
      <c r="G6373" s="164"/>
    </row>
    <row r="6374" spans="1:7" x14ac:dyDescent="0.25">
      <c r="A6374" s="169" t="str">
        <f>E6374&amp;COUNTIFS($E$2:E6374,E6374)</f>
        <v>0</v>
      </c>
      <c r="B6374" s="166"/>
      <c r="C6374" s="168"/>
      <c r="D6374" s="167"/>
      <c r="E6374" s="166"/>
      <c r="F6374" s="165"/>
      <c r="G6374" s="164"/>
    </row>
    <row r="6375" spans="1:7" x14ac:dyDescent="0.25">
      <c r="A6375" s="169" t="str">
        <f>E6375&amp;COUNTIFS($E$2:E6375,E6375)</f>
        <v>0</v>
      </c>
      <c r="B6375" s="166"/>
      <c r="C6375" s="168"/>
      <c r="D6375" s="167"/>
      <c r="E6375" s="166"/>
      <c r="F6375" s="165"/>
      <c r="G6375" s="164"/>
    </row>
    <row r="6376" spans="1:7" x14ac:dyDescent="0.25">
      <c r="A6376" s="169" t="str">
        <f>E6376&amp;COUNTIFS($E$2:E6376,E6376)</f>
        <v>0</v>
      </c>
      <c r="B6376" s="166"/>
      <c r="C6376" s="168"/>
      <c r="D6376" s="167"/>
      <c r="E6376" s="166"/>
      <c r="F6376" s="165"/>
      <c r="G6376" s="164"/>
    </row>
    <row r="6377" spans="1:7" x14ac:dyDescent="0.25">
      <c r="A6377" s="169" t="str">
        <f>E6377&amp;COUNTIFS($E$2:E6377,E6377)</f>
        <v>0</v>
      </c>
      <c r="B6377" s="166"/>
      <c r="C6377" s="168"/>
      <c r="D6377" s="167"/>
      <c r="E6377" s="166"/>
      <c r="F6377" s="165"/>
      <c r="G6377" s="164"/>
    </row>
    <row r="6378" spans="1:7" x14ac:dyDescent="0.25">
      <c r="A6378" s="169" t="str">
        <f>E6378&amp;COUNTIFS($E$2:E6378,E6378)</f>
        <v>0</v>
      </c>
      <c r="B6378" s="166"/>
      <c r="C6378" s="168"/>
      <c r="D6378" s="167"/>
      <c r="E6378" s="166"/>
      <c r="F6378" s="165"/>
      <c r="G6378" s="164"/>
    </row>
    <row r="6379" spans="1:7" x14ac:dyDescent="0.25">
      <c r="A6379" s="169" t="str">
        <f>E6379&amp;COUNTIFS($E$2:E6379,E6379)</f>
        <v>0</v>
      </c>
      <c r="B6379" s="166"/>
      <c r="C6379" s="168"/>
      <c r="D6379" s="167"/>
      <c r="E6379" s="166"/>
      <c r="F6379" s="165"/>
      <c r="G6379" s="164"/>
    </row>
    <row r="6380" spans="1:7" x14ac:dyDescent="0.25">
      <c r="A6380" s="169" t="str">
        <f>E6380&amp;COUNTIFS($E$2:E6380,E6380)</f>
        <v>0</v>
      </c>
      <c r="B6380" s="166"/>
      <c r="C6380" s="168"/>
      <c r="D6380" s="167"/>
      <c r="E6380" s="166"/>
      <c r="F6380" s="165"/>
      <c r="G6380" s="164"/>
    </row>
    <row r="6381" spans="1:7" x14ac:dyDescent="0.25">
      <c r="A6381" s="169" t="str">
        <f>E6381&amp;COUNTIFS($E$2:E6381,E6381)</f>
        <v>0</v>
      </c>
      <c r="B6381" s="166"/>
      <c r="C6381" s="168"/>
      <c r="D6381" s="167"/>
      <c r="E6381" s="166"/>
      <c r="F6381" s="165"/>
      <c r="G6381" s="164"/>
    </row>
    <row r="6382" spans="1:7" x14ac:dyDescent="0.25">
      <c r="A6382" s="169" t="str">
        <f>E6382&amp;COUNTIFS($E$2:E6382,E6382)</f>
        <v>0</v>
      </c>
      <c r="B6382" s="166"/>
      <c r="C6382" s="168"/>
      <c r="D6382" s="167"/>
      <c r="E6382" s="166"/>
      <c r="F6382" s="165"/>
      <c r="G6382" s="164"/>
    </row>
    <row r="6383" spans="1:7" x14ac:dyDescent="0.25">
      <c r="A6383" s="169" t="str">
        <f>E6383&amp;COUNTIFS($E$2:E6383,E6383)</f>
        <v>0</v>
      </c>
      <c r="B6383" s="166"/>
      <c r="C6383" s="168"/>
      <c r="D6383" s="167"/>
      <c r="E6383" s="166"/>
      <c r="F6383" s="165"/>
      <c r="G6383" s="164"/>
    </row>
    <row r="6384" spans="1:7" ht="15.75" thickBot="1" x14ac:dyDescent="0.3">
      <c r="A6384" s="163" t="str">
        <f>E6384&amp;COUNTIFS($E$2:E6384,E6384)</f>
        <v>0</v>
      </c>
      <c r="B6384" s="160"/>
      <c r="C6384" s="162"/>
      <c r="D6384" s="161"/>
      <c r="E6384" s="160"/>
      <c r="F6384" s="159"/>
      <c r="G6384" s="158"/>
    </row>
    <row r="6385" spans="1:7" x14ac:dyDescent="0.25">
      <c r="A6385" s="148"/>
      <c r="C6385" s="143"/>
      <c r="D6385" s="157"/>
      <c r="E6385" s="143"/>
      <c r="F6385" s="156"/>
      <c r="G6385" s="156"/>
    </row>
    <row r="6386" spans="1:7" x14ac:dyDescent="0.25">
      <c r="A6386" s="148"/>
      <c r="C6386" s="153" t="s">
        <v>623</v>
      </c>
      <c r="D6386" s="152"/>
      <c r="E6386" s="151"/>
      <c r="F6386" s="150">
        <f>SUM(F6360:F6384)</f>
        <v>0</v>
      </c>
      <c r="G6386" s="155">
        <f>SUM(G6360:G6384)</f>
        <v>0</v>
      </c>
    </row>
    <row r="6387" spans="1:7" x14ac:dyDescent="0.25">
      <c r="A6387" s="148"/>
      <c r="C6387" s="145" t="s">
        <v>622</v>
      </c>
      <c r="D6387" s="154"/>
      <c r="E6387" s="145"/>
      <c r="F6387" s="144"/>
      <c r="G6387" s="144"/>
    </row>
    <row r="6388" spans="1:7" x14ac:dyDescent="0.25">
      <c r="A6388" s="148"/>
      <c r="C6388" s="153" t="s">
        <v>621</v>
      </c>
      <c r="D6388" s="152"/>
      <c r="E6388" s="151"/>
      <c r="F6388" s="150">
        <f>F6355</f>
        <v>0</v>
      </c>
      <c r="G6388" s="150">
        <f>G6355</f>
        <v>0</v>
      </c>
    </row>
    <row r="6389" spans="1:7" x14ac:dyDescent="0.25">
      <c r="A6389" s="148"/>
      <c r="C6389" s="153" t="s">
        <v>582</v>
      </c>
      <c r="D6389" s="152"/>
      <c r="E6389" s="151"/>
      <c r="F6389" s="150">
        <f>F6388+F6386</f>
        <v>0</v>
      </c>
      <c r="G6389" s="150">
        <f>G6388+G6386</f>
        <v>0</v>
      </c>
    </row>
    <row r="6390" spans="1:7" ht="15.75" thickBot="1" x14ac:dyDescent="0.3">
      <c r="A6390" s="148"/>
      <c r="C6390" s="145"/>
      <c r="D6390" s="149"/>
      <c r="E6390" s="145"/>
      <c r="F6390" s="144"/>
      <c r="G6390" s="144"/>
    </row>
    <row r="6391" spans="1:7" ht="15.75" thickBot="1" x14ac:dyDescent="0.3">
      <c r="A6391" s="148"/>
      <c r="C6391" s="147" t="s">
        <v>620</v>
      </c>
      <c r="D6391" s="146">
        <f>F6389-G6389</f>
        <v>0</v>
      </c>
      <c r="E6391" s="145"/>
      <c r="F6391" s="144"/>
      <c r="G6391" s="144"/>
    </row>
    <row r="6392" spans="1:7" ht="15.75" thickBot="1" x14ac:dyDescent="0.3"/>
    <row r="6393" spans="1:7" ht="30.75" thickBot="1" x14ac:dyDescent="0.3">
      <c r="A6393" s="190" t="s">
        <v>626</v>
      </c>
      <c r="B6393" s="189" t="s">
        <v>606</v>
      </c>
      <c r="C6393" s="188" t="s">
        <v>627</v>
      </c>
      <c r="D6393" s="187" t="s">
        <v>601</v>
      </c>
      <c r="E6393" s="186" t="s">
        <v>287</v>
      </c>
      <c r="F6393" s="185" t="s">
        <v>624</v>
      </c>
      <c r="G6393" s="185" t="s">
        <v>596</v>
      </c>
    </row>
    <row r="6394" spans="1:7" x14ac:dyDescent="0.25">
      <c r="A6394" s="175" t="str">
        <f>E6394&amp;COUNTIFS($E$2:E6394,E6394)</f>
        <v>0</v>
      </c>
      <c r="B6394" s="172"/>
      <c r="C6394" s="174"/>
      <c r="D6394" s="173"/>
      <c r="E6394" s="172"/>
      <c r="F6394" s="171"/>
      <c r="G6394" s="170"/>
    </row>
    <row r="6395" spans="1:7" x14ac:dyDescent="0.25">
      <c r="A6395" s="169" t="str">
        <f>E6395&amp;COUNTIFS($E$2:E6395,E6395)</f>
        <v>0</v>
      </c>
      <c r="B6395" s="166"/>
      <c r="C6395" s="168"/>
      <c r="D6395" s="167"/>
      <c r="E6395" s="166"/>
      <c r="F6395" s="165"/>
      <c r="G6395" s="164"/>
    </row>
    <row r="6396" spans="1:7" x14ac:dyDescent="0.25">
      <c r="A6396" s="169" t="str">
        <f>E6396&amp;COUNTIFS($E$2:E6396,E6396)</f>
        <v>0</v>
      </c>
      <c r="B6396" s="166"/>
      <c r="C6396" s="168"/>
      <c r="D6396" s="167"/>
      <c r="E6396" s="166"/>
      <c r="F6396" s="165"/>
      <c r="G6396" s="164"/>
    </row>
    <row r="6397" spans="1:7" x14ac:dyDescent="0.25">
      <c r="A6397" s="169" t="str">
        <f>E6397&amp;COUNTIFS($E$2:E6397,E6397)</f>
        <v>0</v>
      </c>
      <c r="B6397" s="166"/>
      <c r="C6397" s="168"/>
      <c r="D6397" s="167"/>
      <c r="E6397" s="166"/>
      <c r="F6397" s="165"/>
      <c r="G6397" s="164"/>
    </row>
    <row r="6398" spans="1:7" x14ac:dyDescent="0.25">
      <c r="A6398" s="169" t="str">
        <f>E6398&amp;COUNTIFS($E$2:E6398,E6398)</f>
        <v>0</v>
      </c>
      <c r="B6398" s="166"/>
      <c r="C6398" s="168"/>
      <c r="D6398" s="167"/>
      <c r="E6398" s="166"/>
      <c r="F6398" s="165"/>
      <c r="G6398" s="164"/>
    </row>
    <row r="6399" spans="1:7" x14ac:dyDescent="0.25">
      <c r="A6399" s="169" t="str">
        <f>E6399&amp;COUNTIFS($E$2:E6399,E6399)</f>
        <v>0</v>
      </c>
      <c r="B6399" s="166"/>
      <c r="C6399" s="168"/>
      <c r="D6399" s="167"/>
      <c r="E6399" s="166"/>
      <c r="F6399" s="165"/>
      <c r="G6399" s="164"/>
    </row>
    <row r="6400" spans="1:7" x14ac:dyDescent="0.25">
      <c r="A6400" s="169" t="str">
        <f>E6400&amp;COUNTIFS($E$2:E6400,E6400)</f>
        <v>0</v>
      </c>
      <c r="B6400" s="166"/>
      <c r="C6400" s="168"/>
      <c r="D6400" s="167"/>
      <c r="E6400" s="166"/>
      <c r="F6400" s="165"/>
      <c r="G6400" s="164"/>
    </row>
    <row r="6401" spans="1:7" x14ac:dyDescent="0.25">
      <c r="A6401" s="169" t="str">
        <f>E6401&amp;COUNTIFS($E$2:E6401,E6401)</f>
        <v>0</v>
      </c>
      <c r="B6401" s="166"/>
      <c r="C6401" s="168"/>
      <c r="D6401" s="167"/>
      <c r="E6401" s="166"/>
      <c r="F6401" s="165"/>
      <c r="G6401" s="164"/>
    </row>
    <row r="6402" spans="1:7" x14ac:dyDescent="0.25">
      <c r="A6402" s="169" t="str">
        <f>E6402&amp;COUNTIFS($E$2:E6402,E6402)</f>
        <v>0</v>
      </c>
      <c r="B6402" s="166"/>
      <c r="C6402" s="168"/>
      <c r="D6402" s="167"/>
      <c r="E6402" s="166"/>
      <c r="F6402" s="165"/>
      <c r="G6402" s="164"/>
    </row>
    <row r="6403" spans="1:7" x14ac:dyDescent="0.25">
      <c r="A6403" s="169" t="str">
        <f>E6403&amp;COUNTIFS($E$2:E6403,E6403)</f>
        <v>0</v>
      </c>
      <c r="B6403" s="166"/>
      <c r="C6403" s="168"/>
      <c r="D6403" s="167"/>
      <c r="E6403" s="166"/>
      <c r="F6403" s="165"/>
      <c r="G6403" s="164"/>
    </row>
    <row r="6404" spans="1:7" x14ac:dyDescent="0.25">
      <c r="A6404" s="169" t="str">
        <f>E6404&amp;COUNTIFS($E$2:E6404,E6404)</f>
        <v>0</v>
      </c>
      <c r="B6404" s="166"/>
      <c r="C6404" s="168"/>
      <c r="D6404" s="167"/>
      <c r="E6404" s="166"/>
      <c r="F6404" s="165"/>
      <c r="G6404" s="164"/>
    </row>
    <row r="6405" spans="1:7" x14ac:dyDescent="0.25">
      <c r="A6405" s="169" t="str">
        <f>E6405&amp;COUNTIFS($E$2:E6405,E6405)</f>
        <v>0</v>
      </c>
      <c r="B6405" s="166"/>
      <c r="C6405" s="168"/>
      <c r="D6405" s="167"/>
      <c r="E6405" s="166"/>
      <c r="F6405" s="165"/>
      <c r="G6405" s="164"/>
    </row>
    <row r="6406" spans="1:7" x14ac:dyDescent="0.25">
      <c r="A6406" s="169" t="str">
        <f>E6406&amp;COUNTIFS($E$2:E6406,E6406)</f>
        <v>0</v>
      </c>
      <c r="B6406" s="166"/>
      <c r="C6406" s="168"/>
      <c r="D6406" s="167"/>
      <c r="E6406" s="166"/>
      <c r="F6406" s="165"/>
      <c r="G6406" s="164"/>
    </row>
    <row r="6407" spans="1:7" x14ac:dyDescent="0.25">
      <c r="A6407" s="169" t="str">
        <f>E6407&amp;COUNTIFS($E$2:E6407,E6407)</f>
        <v>0</v>
      </c>
      <c r="B6407" s="166"/>
      <c r="C6407" s="168"/>
      <c r="D6407" s="167"/>
      <c r="E6407" s="166"/>
      <c r="F6407" s="165"/>
      <c r="G6407" s="164"/>
    </row>
    <row r="6408" spans="1:7" x14ac:dyDescent="0.25">
      <c r="A6408" s="169" t="str">
        <f>E6408&amp;COUNTIFS($E$2:E6408,E6408)</f>
        <v>0</v>
      </c>
      <c r="B6408" s="166"/>
      <c r="C6408" s="168"/>
      <c r="D6408" s="167"/>
      <c r="E6408" s="166"/>
      <c r="F6408" s="165"/>
      <c r="G6408" s="164"/>
    </row>
    <row r="6409" spans="1:7" x14ac:dyDescent="0.25">
      <c r="A6409" s="169" t="str">
        <f>E6409&amp;COUNTIFS($E$2:E6409,E6409)</f>
        <v>0</v>
      </c>
      <c r="B6409" s="166"/>
      <c r="C6409" s="168"/>
      <c r="D6409" s="167"/>
      <c r="E6409" s="166"/>
      <c r="F6409" s="165"/>
      <c r="G6409" s="164"/>
    </row>
    <row r="6410" spans="1:7" x14ac:dyDescent="0.25">
      <c r="A6410" s="169" t="str">
        <f>E6410&amp;COUNTIFS($E$2:E6410,E6410)</f>
        <v>0</v>
      </c>
      <c r="B6410" s="166"/>
      <c r="C6410" s="168"/>
      <c r="D6410" s="167"/>
      <c r="E6410" s="166"/>
      <c r="F6410" s="165"/>
      <c r="G6410" s="164"/>
    </row>
    <row r="6411" spans="1:7" x14ac:dyDescent="0.25">
      <c r="A6411" s="169" t="str">
        <f>E6411&amp;COUNTIFS($E$2:E6411,E6411)</f>
        <v>0</v>
      </c>
      <c r="B6411" s="166"/>
      <c r="C6411" s="168"/>
      <c r="D6411" s="167"/>
      <c r="E6411" s="166"/>
      <c r="F6411" s="165"/>
      <c r="G6411" s="164"/>
    </row>
    <row r="6412" spans="1:7" x14ac:dyDescent="0.25">
      <c r="A6412" s="169" t="str">
        <f>E6412&amp;COUNTIFS($E$2:E6412,E6412)</f>
        <v>0</v>
      </c>
      <c r="B6412" s="166"/>
      <c r="C6412" s="168"/>
      <c r="D6412" s="167"/>
      <c r="E6412" s="166"/>
      <c r="F6412" s="165"/>
      <c r="G6412" s="164"/>
    </row>
    <row r="6413" spans="1:7" x14ac:dyDescent="0.25">
      <c r="A6413" s="169" t="str">
        <f>E6413&amp;COUNTIFS($E$2:E6413,E6413)</f>
        <v>0</v>
      </c>
      <c r="B6413" s="166"/>
      <c r="C6413" s="168"/>
      <c r="D6413" s="167"/>
      <c r="E6413" s="166"/>
      <c r="F6413" s="165"/>
      <c r="G6413" s="164"/>
    </row>
    <row r="6414" spans="1:7" x14ac:dyDescent="0.25">
      <c r="A6414" s="169" t="str">
        <f>E6414&amp;COUNTIFS($E$2:E6414,E6414)</f>
        <v>0</v>
      </c>
      <c r="B6414" s="166"/>
      <c r="C6414" s="168"/>
      <c r="D6414" s="167"/>
      <c r="E6414" s="166"/>
      <c r="F6414" s="165"/>
      <c r="G6414" s="164"/>
    </row>
    <row r="6415" spans="1:7" x14ac:dyDescent="0.25">
      <c r="A6415" s="169" t="str">
        <f>E6415&amp;COUNTIFS($E$2:E6415,E6415)</f>
        <v>0</v>
      </c>
      <c r="B6415" s="166"/>
      <c r="C6415" s="168"/>
      <c r="D6415" s="167"/>
      <c r="E6415" s="166"/>
      <c r="F6415" s="165"/>
      <c r="G6415" s="164"/>
    </row>
    <row r="6416" spans="1:7" x14ac:dyDescent="0.25">
      <c r="A6416" s="169" t="str">
        <f>E6416&amp;COUNTIFS($E$2:E6416,E6416)</f>
        <v>0</v>
      </c>
      <c r="B6416" s="166"/>
      <c r="C6416" s="168"/>
      <c r="D6416" s="167"/>
      <c r="E6416" s="166"/>
      <c r="F6416" s="165"/>
      <c r="G6416" s="164"/>
    </row>
    <row r="6417" spans="1:7" x14ac:dyDescent="0.25">
      <c r="A6417" s="169" t="str">
        <f>E6417&amp;COUNTIFS($E$2:E6417,E6417)</f>
        <v>0</v>
      </c>
      <c r="B6417" s="166"/>
      <c r="C6417" s="168"/>
      <c r="D6417" s="167"/>
      <c r="E6417" s="166"/>
      <c r="F6417" s="165"/>
      <c r="G6417" s="164"/>
    </row>
    <row r="6418" spans="1:7" ht="15.75" thickBot="1" x14ac:dyDescent="0.3">
      <c r="A6418" s="163" t="str">
        <f>E6418&amp;COUNTIFS($E$2:E6418,E6418)</f>
        <v>0</v>
      </c>
      <c r="B6418" s="160"/>
      <c r="C6418" s="162"/>
      <c r="D6418" s="161"/>
      <c r="E6418" s="160"/>
      <c r="F6418" s="159"/>
      <c r="G6418" s="158"/>
    </row>
    <row r="6419" spans="1:7" x14ac:dyDescent="0.25">
      <c r="A6419" s="148"/>
      <c r="C6419" s="143"/>
      <c r="D6419" s="157"/>
      <c r="E6419" s="143"/>
      <c r="F6419" s="156"/>
      <c r="G6419" s="156"/>
    </row>
    <row r="6420" spans="1:7" x14ac:dyDescent="0.25">
      <c r="A6420" s="148"/>
      <c r="C6420" s="153" t="s">
        <v>623</v>
      </c>
      <c r="D6420" s="152"/>
      <c r="E6420" s="151"/>
      <c r="F6420" s="150">
        <f>SUM(F6394:F6418)</f>
        <v>0</v>
      </c>
      <c r="G6420" s="155">
        <f>SUM(G6394:G6418)</f>
        <v>0</v>
      </c>
    </row>
    <row r="6421" spans="1:7" x14ac:dyDescent="0.25">
      <c r="A6421" s="148"/>
      <c r="C6421" s="145" t="s">
        <v>622</v>
      </c>
      <c r="D6421" s="154"/>
      <c r="E6421" s="145"/>
      <c r="F6421" s="144"/>
      <c r="G6421" s="144"/>
    </row>
    <row r="6422" spans="1:7" x14ac:dyDescent="0.25">
      <c r="A6422" s="148"/>
      <c r="C6422" s="153" t="s">
        <v>621</v>
      </c>
      <c r="D6422" s="152"/>
      <c r="E6422" s="151"/>
      <c r="F6422" s="150">
        <f>F6389</f>
        <v>0</v>
      </c>
      <c r="G6422" s="150">
        <f>G6389</f>
        <v>0</v>
      </c>
    </row>
    <row r="6423" spans="1:7" x14ac:dyDescent="0.25">
      <c r="A6423" s="148"/>
      <c r="C6423" s="153" t="s">
        <v>582</v>
      </c>
      <c r="D6423" s="152"/>
      <c r="E6423" s="151"/>
      <c r="F6423" s="150">
        <f>F6422+F6420</f>
        <v>0</v>
      </c>
      <c r="G6423" s="150">
        <f>G6422+G6420</f>
        <v>0</v>
      </c>
    </row>
    <row r="6424" spans="1:7" ht="15.75" thickBot="1" x14ac:dyDescent="0.3">
      <c r="A6424" s="148"/>
      <c r="C6424" s="145"/>
      <c r="D6424" s="149"/>
      <c r="E6424" s="145"/>
      <c r="F6424" s="144"/>
      <c r="G6424" s="144"/>
    </row>
    <row r="6425" spans="1:7" ht="15.75" thickBot="1" x14ac:dyDescent="0.3">
      <c r="A6425" s="148"/>
      <c r="C6425" s="147" t="s">
        <v>620</v>
      </c>
      <c r="D6425" s="146">
        <f>F6423-G6423</f>
        <v>0</v>
      </c>
      <c r="E6425" s="145"/>
      <c r="F6425" s="144"/>
      <c r="G6425" s="144"/>
    </row>
    <row r="6426" spans="1:7" ht="15.75" thickBot="1" x14ac:dyDescent="0.3"/>
    <row r="6427" spans="1:7" ht="30.75" thickBot="1" x14ac:dyDescent="0.3">
      <c r="A6427" s="190" t="s">
        <v>626</v>
      </c>
      <c r="B6427" s="189" t="s">
        <v>606</v>
      </c>
      <c r="C6427" s="188" t="s">
        <v>627</v>
      </c>
      <c r="D6427" s="187" t="s">
        <v>601</v>
      </c>
      <c r="E6427" s="186" t="s">
        <v>287</v>
      </c>
      <c r="F6427" s="185" t="s">
        <v>624</v>
      </c>
      <c r="G6427" s="185" t="s">
        <v>596</v>
      </c>
    </row>
    <row r="6428" spans="1:7" x14ac:dyDescent="0.25">
      <c r="A6428" s="175" t="str">
        <f>E6428&amp;COUNTIFS($E$2:E6428,E6428)</f>
        <v>0</v>
      </c>
      <c r="B6428" s="172"/>
      <c r="C6428" s="174"/>
      <c r="D6428" s="173"/>
      <c r="E6428" s="172"/>
      <c r="F6428" s="171"/>
      <c r="G6428" s="170"/>
    </row>
    <row r="6429" spans="1:7" x14ac:dyDescent="0.25">
      <c r="A6429" s="169" t="str">
        <f>E6429&amp;COUNTIFS($E$2:E6429,E6429)</f>
        <v>0</v>
      </c>
      <c r="B6429" s="166"/>
      <c r="C6429" s="168"/>
      <c r="D6429" s="167"/>
      <c r="E6429" s="166"/>
      <c r="F6429" s="165"/>
      <c r="G6429" s="164"/>
    </row>
    <row r="6430" spans="1:7" x14ac:dyDescent="0.25">
      <c r="A6430" s="169" t="str">
        <f>E6430&amp;COUNTIFS($E$2:E6430,E6430)</f>
        <v>0</v>
      </c>
      <c r="B6430" s="166"/>
      <c r="C6430" s="168"/>
      <c r="D6430" s="167"/>
      <c r="E6430" s="166"/>
      <c r="F6430" s="165"/>
      <c r="G6430" s="164"/>
    </row>
    <row r="6431" spans="1:7" x14ac:dyDescent="0.25">
      <c r="A6431" s="169" t="str">
        <f>E6431&amp;COUNTIFS($E$2:E6431,E6431)</f>
        <v>0</v>
      </c>
      <c r="B6431" s="166"/>
      <c r="C6431" s="168"/>
      <c r="D6431" s="167"/>
      <c r="E6431" s="166"/>
      <c r="F6431" s="165"/>
      <c r="G6431" s="164"/>
    </row>
    <row r="6432" spans="1:7" x14ac:dyDescent="0.25">
      <c r="A6432" s="169" t="str">
        <f>E6432&amp;COUNTIFS($E$2:E6432,E6432)</f>
        <v>0</v>
      </c>
      <c r="B6432" s="166"/>
      <c r="C6432" s="168"/>
      <c r="D6432" s="167"/>
      <c r="E6432" s="166"/>
      <c r="F6432" s="165"/>
      <c r="G6432" s="164"/>
    </row>
    <row r="6433" spans="1:7" x14ac:dyDescent="0.25">
      <c r="A6433" s="169" t="str">
        <f>E6433&amp;COUNTIFS($E$2:E6433,E6433)</f>
        <v>0</v>
      </c>
      <c r="B6433" s="166"/>
      <c r="C6433" s="168"/>
      <c r="D6433" s="167"/>
      <c r="E6433" s="166"/>
      <c r="F6433" s="165"/>
      <c r="G6433" s="164"/>
    </row>
    <row r="6434" spans="1:7" x14ac:dyDescent="0.25">
      <c r="A6434" s="169" t="str">
        <f>E6434&amp;COUNTIFS($E$2:E6434,E6434)</f>
        <v>0</v>
      </c>
      <c r="B6434" s="166"/>
      <c r="C6434" s="168"/>
      <c r="D6434" s="167"/>
      <c r="E6434" s="166"/>
      <c r="F6434" s="165"/>
      <c r="G6434" s="164"/>
    </row>
    <row r="6435" spans="1:7" x14ac:dyDescent="0.25">
      <c r="A6435" s="169" t="str">
        <f>E6435&amp;COUNTIFS($E$2:E6435,E6435)</f>
        <v>0</v>
      </c>
      <c r="B6435" s="166"/>
      <c r="C6435" s="168"/>
      <c r="D6435" s="167"/>
      <c r="E6435" s="166"/>
      <c r="F6435" s="165"/>
      <c r="G6435" s="164"/>
    </row>
    <row r="6436" spans="1:7" x14ac:dyDescent="0.25">
      <c r="A6436" s="169" t="str">
        <f>E6436&amp;COUNTIFS($E$2:E6436,E6436)</f>
        <v>0</v>
      </c>
      <c r="B6436" s="166"/>
      <c r="C6436" s="168"/>
      <c r="D6436" s="167"/>
      <c r="E6436" s="166"/>
      <c r="F6436" s="165"/>
      <c r="G6436" s="164"/>
    </row>
    <row r="6437" spans="1:7" x14ac:dyDescent="0.25">
      <c r="A6437" s="169" t="str">
        <f>E6437&amp;COUNTIFS($E$2:E6437,E6437)</f>
        <v>0</v>
      </c>
      <c r="B6437" s="166"/>
      <c r="C6437" s="168"/>
      <c r="D6437" s="167"/>
      <c r="E6437" s="166"/>
      <c r="F6437" s="165"/>
      <c r="G6437" s="164"/>
    </row>
    <row r="6438" spans="1:7" x14ac:dyDescent="0.25">
      <c r="A6438" s="169" t="str">
        <f>E6438&amp;COUNTIFS($E$2:E6438,E6438)</f>
        <v>0</v>
      </c>
      <c r="B6438" s="166"/>
      <c r="C6438" s="168"/>
      <c r="D6438" s="167"/>
      <c r="E6438" s="166"/>
      <c r="F6438" s="165"/>
      <c r="G6438" s="164"/>
    </row>
    <row r="6439" spans="1:7" x14ac:dyDescent="0.25">
      <c r="A6439" s="169" t="str">
        <f>E6439&amp;COUNTIFS($E$2:E6439,E6439)</f>
        <v>0</v>
      </c>
      <c r="B6439" s="166"/>
      <c r="C6439" s="168"/>
      <c r="D6439" s="167"/>
      <c r="E6439" s="166"/>
      <c r="F6439" s="165"/>
      <c r="G6439" s="164"/>
    </row>
    <row r="6440" spans="1:7" x14ac:dyDescent="0.25">
      <c r="A6440" s="169" t="str">
        <f>E6440&amp;COUNTIFS($E$2:E6440,E6440)</f>
        <v>0</v>
      </c>
      <c r="B6440" s="166"/>
      <c r="C6440" s="168"/>
      <c r="D6440" s="167"/>
      <c r="E6440" s="166"/>
      <c r="F6440" s="165"/>
      <c r="G6440" s="164"/>
    </row>
    <row r="6441" spans="1:7" x14ac:dyDescent="0.25">
      <c r="A6441" s="169" t="str">
        <f>E6441&amp;COUNTIFS($E$2:E6441,E6441)</f>
        <v>0</v>
      </c>
      <c r="B6441" s="166"/>
      <c r="C6441" s="168"/>
      <c r="D6441" s="167"/>
      <c r="E6441" s="166"/>
      <c r="F6441" s="165"/>
      <c r="G6441" s="164"/>
    </row>
    <row r="6442" spans="1:7" x14ac:dyDescent="0.25">
      <c r="A6442" s="169" t="str">
        <f>E6442&amp;COUNTIFS($E$2:E6442,E6442)</f>
        <v>0</v>
      </c>
      <c r="B6442" s="166"/>
      <c r="C6442" s="168"/>
      <c r="D6442" s="167"/>
      <c r="E6442" s="166"/>
      <c r="F6442" s="165"/>
      <c r="G6442" s="164"/>
    </row>
    <row r="6443" spans="1:7" x14ac:dyDescent="0.25">
      <c r="A6443" s="169" t="str">
        <f>E6443&amp;COUNTIFS($E$2:E6443,E6443)</f>
        <v>0</v>
      </c>
      <c r="B6443" s="166"/>
      <c r="C6443" s="168"/>
      <c r="D6443" s="167"/>
      <c r="E6443" s="166"/>
      <c r="F6443" s="165"/>
      <c r="G6443" s="164"/>
    </row>
    <row r="6444" spans="1:7" x14ac:dyDescent="0.25">
      <c r="A6444" s="169" t="str">
        <f>E6444&amp;COUNTIFS($E$2:E6444,E6444)</f>
        <v>0</v>
      </c>
      <c r="B6444" s="166"/>
      <c r="C6444" s="168"/>
      <c r="D6444" s="167"/>
      <c r="E6444" s="166"/>
      <c r="F6444" s="165"/>
      <c r="G6444" s="164"/>
    </row>
    <row r="6445" spans="1:7" x14ac:dyDescent="0.25">
      <c r="A6445" s="169" t="str">
        <f>E6445&amp;COUNTIFS($E$2:E6445,E6445)</f>
        <v>0</v>
      </c>
      <c r="B6445" s="166"/>
      <c r="C6445" s="168"/>
      <c r="D6445" s="167"/>
      <c r="E6445" s="166"/>
      <c r="F6445" s="165"/>
      <c r="G6445" s="164"/>
    </row>
    <row r="6446" spans="1:7" x14ac:dyDescent="0.25">
      <c r="A6446" s="169" t="str">
        <f>E6446&amp;COUNTIFS($E$2:E6446,E6446)</f>
        <v>0</v>
      </c>
      <c r="B6446" s="166"/>
      <c r="C6446" s="168"/>
      <c r="D6446" s="167"/>
      <c r="E6446" s="166"/>
      <c r="F6446" s="165"/>
      <c r="G6446" s="164"/>
    </row>
    <row r="6447" spans="1:7" x14ac:dyDescent="0.25">
      <c r="A6447" s="169" t="str">
        <f>E6447&amp;COUNTIFS($E$2:E6447,E6447)</f>
        <v>0</v>
      </c>
      <c r="B6447" s="166"/>
      <c r="C6447" s="168"/>
      <c r="D6447" s="167"/>
      <c r="E6447" s="166"/>
      <c r="F6447" s="165"/>
      <c r="G6447" s="164"/>
    </row>
    <row r="6448" spans="1:7" x14ac:dyDescent="0.25">
      <c r="A6448" s="169" t="str">
        <f>E6448&amp;COUNTIFS($E$2:E6448,E6448)</f>
        <v>0</v>
      </c>
      <c r="B6448" s="166"/>
      <c r="C6448" s="168"/>
      <c r="D6448" s="167"/>
      <c r="E6448" s="166"/>
      <c r="F6448" s="165"/>
      <c r="G6448" s="164"/>
    </row>
    <row r="6449" spans="1:7" x14ac:dyDescent="0.25">
      <c r="A6449" s="169" t="str">
        <f>E6449&amp;COUNTIFS($E$2:E6449,E6449)</f>
        <v>0</v>
      </c>
      <c r="B6449" s="166"/>
      <c r="C6449" s="168"/>
      <c r="D6449" s="167"/>
      <c r="E6449" s="166"/>
      <c r="F6449" s="165"/>
      <c r="G6449" s="164"/>
    </row>
    <row r="6450" spans="1:7" x14ac:dyDescent="0.25">
      <c r="A6450" s="169" t="str">
        <f>E6450&amp;COUNTIFS($E$2:E6450,E6450)</f>
        <v>0</v>
      </c>
      <c r="B6450" s="166"/>
      <c r="C6450" s="168"/>
      <c r="D6450" s="167"/>
      <c r="E6450" s="166"/>
      <c r="F6450" s="165"/>
      <c r="G6450" s="164"/>
    </row>
    <row r="6451" spans="1:7" x14ac:dyDescent="0.25">
      <c r="A6451" s="169" t="str">
        <f>E6451&amp;COUNTIFS($E$2:E6451,E6451)</f>
        <v>0</v>
      </c>
      <c r="B6451" s="166"/>
      <c r="C6451" s="168"/>
      <c r="D6451" s="167"/>
      <c r="E6451" s="166"/>
      <c r="F6451" s="165"/>
      <c r="G6451" s="164"/>
    </row>
    <row r="6452" spans="1:7" ht="15.75" thickBot="1" x14ac:dyDescent="0.3">
      <c r="A6452" s="163" t="str">
        <f>E6452&amp;COUNTIFS($E$2:E6452,E6452)</f>
        <v>0</v>
      </c>
      <c r="B6452" s="160"/>
      <c r="C6452" s="162"/>
      <c r="D6452" s="161"/>
      <c r="E6452" s="160"/>
      <c r="F6452" s="159"/>
      <c r="G6452" s="158"/>
    </row>
    <row r="6453" spans="1:7" x14ac:dyDescent="0.25">
      <c r="A6453" s="148"/>
      <c r="C6453" s="143"/>
      <c r="D6453" s="157"/>
      <c r="E6453" s="143"/>
      <c r="F6453" s="156"/>
      <c r="G6453" s="156"/>
    </row>
    <row r="6454" spans="1:7" x14ac:dyDescent="0.25">
      <c r="A6454" s="148"/>
      <c r="C6454" s="153" t="s">
        <v>623</v>
      </c>
      <c r="D6454" s="152"/>
      <c r="E6454" s="151"/>
      <c r="F6454" s="150">
        <f>SUM(F6428:F6452)</f>
        <v>0</v>
      </c>
      <c r="G6454" s="155">
        <f>SUM(G6428:G6452)</f>
        <v>0</v>
      </c>
    </row>
    <row r="6455" spans="1:7" x14ac:dyDescent="0.25">
      <c r="A6455" s="148"/>
      <c r="C6455" s="145" t="s">
        <v>622</v>
      </c>
      <c r="D6455" s="154"/>
      <c r="E6455" s="145"/>
      <c r="F6455" s="144"/>
      <c r="G6455" s="144"/>
    </row>
    <row r="6456" spans="1:7" x14ac:dyDescent="0.25">
      <c r="A6456" s="148"/>
      <c r="C6456" s="153" t="s">
        <v>621</v>
      </c>
      <c r="D6456" s="152"/>
      <c r="E6456" s="151"/>
      <c r="F6456" s="150">
        <f>F6423</f>
        <v>0</v>
      </c>
      <c r="G6456" s="150">
        <f>G6423</f>
        <v>0</v>
      </c>
    </row>
    <row r="6457" spans="1:7" x14ac:dyDescent="0.25">
      <c r="A6457" s="148"/>
      <c r="C6457" s="153" t="s">
        <v>582</v>
      </c>
      <c r="D6457" s="152"/>
      <c r="E6457" s="151"/>
      <c r="F6457" s="150">
        <f>F6456+F6454</f>
        <v>0</v>
      </c>
      <c r="G6457" s="150">
        <f>G6456+G6454</f>
        <v>0</v>
      </c>
    </row>
    <row r="6458" spans="1:7" ht="15.75" thickBot="1" x14ac:dyDescent="0.3">
      <c r="A6458" s="148"/>
      <c r="C6458" s="145"/>
      <c r="D6458" s="149"/>
      <c r="E6458" s="145"/>
      <c r="F6458" s="144"/>
      <c r="G6458" s="144"/>
    </row>
    <row r="6459" spans="1:7" ht="15.75" thickBot="1" x14ac:dyDescent="0.3">
      <c r="A6459" s="148"/>
      <c r="C6459" s="147" t="s">
        <v>620</v>
      </c>
      <c r="D6459" s="146">
        <f>F6457-G6457</f>
        <v>0</v>
      </c>
      <c r="E6459" s="145"/>
      <c r="F6459" s="144"/>
      <c r="G6459" s="144"/>
    </row>
    <row r="6460" spans="1:7" ht="15.75" thickBot="1" x14ac:dyDescent="0.3"/>
    <row r="6461" spans="1:7" ht="30.75" thickBot="1" x14ac:dyDescent="0.3">
      <c r="A6461" s="190" t="s">
        <v>626</v>
      </c>
      <c r="B6461" s="189" t="s">
        <v>606</v>
      </c>
      <c r="C6461" s="188" t="s">
        <v>627</v>
      </c>
      <c r="D6461" s="187" t="s">
        <v>601</v>
      </c>
      <c r="E6461" s="186" t="s">
        <v>287</v>
      </c>
      <c r="F6461" s="185" t="s">
        <v>624</v>
      </c>
      <c r="G6461" s="185" t="s">
        <v>596</v>
      </c>
    </row>
    <row r="6462" spans="1:7" x14ac:dyDescent="0.25">
      <c r="A6462" s="175" t="str">
        <f>E6462&amp;COUNTIFS($E$2:E6462,E6462)</f>
        <v>0</v>
      </c>
      <c r="B6462" s="172"/>
      <c r="C6462" s="174"/>
      <c r="D6462" s="173"/>
      <c r="E6462" s="172"/>
      <c r="F6462" s="171"/>
      <c r="G6462" s="170"/>
    </row>
    <row r="6463" spans="1:7" x14ac:dyDescent="0.25">
      <c r="A6463" s="169" t="str">
        <f>E6463&amp;COUNTIFS($E$2:E6463,E6463)</f>
        <v>0</v>
      </c>
      <c r="B6463" s="166"/>
      <c r="C6463" s="168"/>
      <c r="D6463" s="167"/>
      <c r="E6463" s="166"/>
      <c r="F6463" s="165"/>
      <c r="G6463" s="164"/>
    </row>
    <row r="6464" spans="1:7" x14ac:dyDescent="0.25">
      <c r="A6464" s="169" t="str">
        <f>E6464&amp;COUNTIFS($E$2:E6464,E6464)</f>
        <v>0</v>
      </c>
      <c r="B6464" s="166"/>
      <c r="C6464" s="168"/>
      <c r="D6464" s="167"/>
      <c r="E6464" s="166"/>
      <c r="F6464" s="165"/>
      <c r="G6464" s="164"/>
    </row>
    <row r="6465" spans="1:7" x14ac:dyDescent="0.25">
      <c r="A6465" s="169" t="str">
        <f>E6465&amp;COUNTIFS($E$2:E6465,E6465)</f>
        <v>0</v>
      </c>
      <c r="B6465" s="166"/>
      <c r="C6465" s="168"/>
      <c r="D6465" s="167"/>
      <c r="E6465" s="166"/>
      <c r="F6465" s="165"/>
      <c r="G6465" s="164"/>
    </row>
    <row r="6466" spans="1:7" x14ac:dyDescent="0.25">
      <c r="A6466" s="169" t="str">
        <f>E6466&amp;COUNTIFS($E$2:E6466,E6466)</f>
        <v>0</v>
      </c>
      <c r="B6466" s="166"/>
      <c r="C6466" s="168"/>
      <c r="D6466" s="167"/>
      <c r="E6466" s="166"/>
      <c r="F6466" s="165"/>
      <c r="G6466" s="164"/>
    </row>
    <row r="6467" spans="1:7" x14ac:dyDescent="0.25">
      <c r="A6467" s="169" t="str">
        <f>E6467&amp;COUNTIFS($E$2:E6467,E6467)</f>
        <v>0</v>
      </c>
      <c r="B6467" s="166"/>
      <c r="C6467" s="168"/>
      <c r="D6467" s="167"/>
      <c r="E6467" s="166"/>
      <c r="F6467" s="165"/>
      <c r="G6467" s="164"/>
    </row>
    <row r="6468" spans="1:7" x14ac:dyDescent="0.25">
      <c r="A6468" s="169" t="str">
        <f>E6468&amp;COUNTIFS($E$2:E6468,E6468)</f>
        <v>0</v>
      </c>
      <c r="B6468" s="166"/>
      <c r="C6468" s="168"/>
      <c r="D6468" s="167"/>
      <c r="E6468" s="166"/>
      <c r="F6468" s="165"/>
      <c r="G6468" s="164"/>
    </row>
    <row r="6469" spans="1:7" x14ac:dyDescent="0.25">
      <c r="A6469" s="169" t="str">
        <f>E6469&amp;COUNTIFS($E$2:E6469,E6469)</f>
        <v>0</v>
      </c>
      <c r="B6469" s="166"/>
      <c r="C6469" s="168"/>
      <c r="D6469" s="167"/>
      <c r="E6469" s="166"/>
      <c r="F6469" s="165"/>
      <c r="G6469" s="164"/>
    </row>
    <row r="6470" spans="1:7" x14ac:dyDescent="0.25">
      <c r="A6470" s="169" t="str">
        <f>E6470&amp;COUNTIFS($E$2:E6470,E6470)</f>
        <v>0</v>
      </c>
      <c r="B6470" s="166"/>
      <c r="C6470" s="168"/>
      <c r="D6470" s="167"/>
      <c r="E6470" s="166"/>
      <c r="F6470" s="165"/>
      <c r="G6470" s="164"/>
    </row>
    <row r="6471" spans="1:7" x14ac:dyDescent="0.25">
      <c r="A6471" s="169" t="str">
        <f>E6471&amp;COUNTIFS($E$2:E6471,E6471)</f>
        <v>0</v>
      </c>
      <c r="B6471" s="166"/>
      <c r="C6471" s="168"/>
      <c r="D6471" s="167"/>
      <c r="E6471" s="166"/>
      <c r="F6471" s="165"/>
      <c r="G6471" s="164"/>
    </row>
    <row r="6472" spans="1:7" x14ac:dyDescent="0.25">
      <c r="A6472" s="169" t="str">
        <f>E6472&amp;COUNTIFS($E$2:E6472,E6472)</f>
        <v>0</v>
      </c>
      <c r="B6472" s="166"/>
      <c r="C6472" s="168"/>
      <c r="D6472" s="167"/>
      <c r="E6472" s="166"/>
      <c r="F6472" s="165"/>
      <c r="G6472" s="164"/>
    </row>
    <row r="6473" spans="1:7" x14ac:dyDescent="0.25">
      <c r="A6473" s="169" t="str">
        <f>E6473&amp;COUNTIFS($E$2:E6473,E6473)</f>
        <v>0</v>
      </c>
      <c r="B6473" s="166"/>
      <c r="C6473" s="168"/>
      <c r="D6473" s="167"/>
      <c r="E6473" s="166"/>
      <c r="F6473" s="165"/>
      <c r="G6473" s="164"/>
    </row>
    <row r="6474" spans="1:7" x14ac:dyDescent="0.25">
      <c r="A6474" s="169" t="str">
        <f>E6474&amp;COUNTIFS($E$2:E6474,E6474)</f>
        <v>0</v>
      </c>
      <c r="B6474" s="166"/>
      <c r="C6474" s="168"/>
      <c r="D6474" s="167"/>
      <c r="E6474" s="166"/>
      <c r="F6474" s="165"/>
      <c r="G6474" s="164"/>
    </row>
    <row r="6475" spans="1:7" x14ac:dyDescent="0.25">
      <c r="A6475" s="169" t="str">
        <f>E6475&amp;COUNTIFS($E$2:E6475,E6475)</f>
        <v>0</v>
      </c>
      <c r="B6475" s="166"/>
      <c r="C6475" s="168"/>
      <c r="D6475" s="167"/>
      <c r="E6475" s="166"/>
      <c r="F6475" s="165"/>
      <c r="G6475" s="164"/>
    </row>
    <row r="6476" spans="1:7" x14ac:dyDescent="0.25">
      <c r="A6476" s="169" t="str">
        <f>E6476&amp;COUNTIFS($E$2:E6476,E6476)</f>
        <v>0</v>
      </c>
      <c r="B6476" s="166"/>
      <c r="C6476" s="168"/>
      <c r="D6476" s="167"/>
      <c r="E6476" s="166"/>
      <c r="F6476" s="165"/>
      <c r="G6476" s="164"/>
    </row>
    <row r="6477" spans="1:7" x14ac:dyDescent="0.25">
      <c r="A6477" s="169" t="str">
        <f>E6477&amp;COUNTIFS($E$2:E6477,E6477)</f>
        <v>0</v>
      </c>
      <c r="B6477" s="166"/>
      <c r="C6477" s="168"/>
      <c r="D6477" s="167"/>
      <c r="E6477" s="166"/>
      <c r="F6477" s="165"/>
      <c r="G6477" s="164"/>
    </row>
    <row r="6478" spans="1:7" x14ac:dyDescent="0.25">
      <c r="A6478" s="169" t="str">
        <f>E6478&amp;COUNTIFS($E$2:E6478,E6478)</f>
        <v>0</v>
      </c>
      <c r="B6478" s="166"/>
      <c r="C6478" s="168"/>
      <c r="D6478" s="167"/>
      <c r="E6478" s="166"/>
      <c r="F6478" s="165"/>
      <c r="G6478" s="164"/>
    </row>
    <row r="6479" spans="1:7" x14ac:dyDescent="0.25">
      <c r="A6479" s="169" t="str">
        <f>E6479&amp;COUNTIFS($E$2:E6479,E6479)</f>
        <v>0</v>
      </c>
      <c r="B6479" s="166"/>
      <c r="C6479" s="168"/>
      <c r="D6479" s="167"/>
      <c r="E6479" s="166"/>
      <c r="F6479" s="165"/>
      <c r="G6479" s="164"/>
    </row>
    <row r="6480" spans="1:7" x14ac:dyDescent="0.25">
      <c r="A6480" s="169" t="str">
        <f>E6480&amp;COUNTIFS($E$2:E6480,E6480)</f>
        <v>0</v>
      </c>
      <c r="B6480" s="166"/>
      <c r="C6480" s="168"/>
      <c r="D6480" s="167"/>
      <c r="E6480" s="166"/>
      <c r="F6480" s="165"/>
      <c r="G6480" s="164"/>
    </row>
    <row r="6481" spans="1:7" x14ac:dyDescent="0.25">
      <c r="A6481" s="169" t="str">
        <f>E6481&amp;COUNTIFS($E$2:E6481,E6481)</f>
        <v>0</v>
      </c>
      <c r="B6481" s="166"/>
      <c r="C6481" s="168"/>
      <c r="D6481" s="167"/>
      <c r="E6481" s="166"/>
      <c r="F6481" s="165"/>
      <c r="G6481" s="164"/>
    </row>
    <row r="6482" spans="1:7" x14ac:dyDescent="0.25">
      <c r="A6482" s="169" t="str">
        <f>E6482&amp;COUNTIFS($E$2:E6482,E6482)</f>
        <v>0</v>
      </c>
      <c r="B6482" s="166"/>
      <c r="C6482" s="168"/>
      <c r="D6482" s="167"/>
      <c r="E6482" s="166"/>
      <c r="F6482" s="165"/>
      <c r="G6482" s="164"/>
    </row>
    <row r="6483" spans="1:7" x14ac:dyDescent="0.25">
      <c r="A6483" s="169" t="str">
        <f>E6483&amp;COUNTIFS($E$2:E6483,E6483)</f>
        <v>0</v>
      </c>
      <c r="B6483" s="166"/>
      <c r="C6483" s="168"/>
      <c r="D6483" s="167"/>
      <c r="E6483" s="166"/>
      <c r="F6483" s="165"/>
      <c r="G6483" s="164"/>
    </row>
    <row r="6484" spans="1:7" x14ac:dyDescent="0.25">
      <c r="A6484" s="169" t="str">
        <f>E6484&amp;COUNTIFS($E$2:E6484,E6484)</f>
        <v>0</v>
      </c>
      <c r="B6484" s="166"/>
      <c r="C6484" s="168"/>
      <c r="D6484" s="167"/>
      <c r="E6484" s="166"/>
      <c r="F6484" s="165"/>
      <c r="G6484" s="164"/>
    </row>
    <row r="6485" spans="1:7" x14ac:dyDescent="0.25">
      <c r="A6485" s="169" t="str">
        <f>E6485&amp;COUNTIFS($E$2:E6485,E6485)</f>
        <v>0</v>
      </c>
      <c r="B6485" s="166"/>
      <c r="C6485" s="168"/>
      <c r="D6485" s="167"/>
      <c r="E6485" s="166"/>
      <c r="F6485" s="165"/>
      <c r="G6485" s="164"/>
    </row>
    <row r="6486" spans="1:7" ht="15.75" thickBot="1" x14ac:dyDescent="0.3">
      <c r="A6486" s="163" t="str">
        <f>E6486&amp;COUNTIFS($E$2:E6486,E6486)</f>
        <v>0</v>
      </c>
      <c r="B6486" s="160"/>
      <c r="C6486" s="162"/>
      <c r="D6486" s="161"/>
      <c r="E6486" s="160"/>
      <c r="F6486" s="159"/>
      <c r="G6486" s="158"/>
    </row>
    <row r="6487" spans="1:7" x14ac:dyDescent="0.25">
      <c r="A6487" s="148"/>
      <c r="C6487" s="143"/>
      <c r="D6487" s="157"/>
      <c r="E6487" s="143"/>
      <c r="F6487" s="156"/>
      <c r="G6487" s="156"/>
    </row>
    <row r="6488" spans="1:7" x14ac:dyDescent="0.25">
      <c r="A6488" s="148"/>
      <c r="C6488" s="153" t="s">
        <v>623</v>
      </c>
      <c r="D6488" s="152"/>
      <c r="E6488" s="151"/>
      <c r="F6488" s="150">
        <f>SUM(F6462:F6486)</f>
        <v>0</v>
      </c>
      <c r="G6488" s="155">
        <f>SUM(G6462:G6486)</f>
        <v>0</v>
      </c>
    </row>
    <row r="6489" spans="1:7" x14ac:dyDescent="0.25">
      <c r="A6489" s="148"/>
      <c r="C6489" s="145" t="s">
        <v>622</v>
      </c>
      <c r="D6489" s="154"/>
      <c r="E6489" s="145"/>
      <c r="F6489" s="144"/>
      <c r="G6489" s="144"/>
    </row>
    <row r="6490" spans="1:7" x14ac:dyDescent="0.25">
      <c r="A6490" s="148"/>
      <c r="C6490" s="153" t="s">
        <v>621</v>
      </c>
      <c r="D6490" s="152"/>
      <c r="E6490" s="151"/>
      <c r="F6490" s="150">
        <f>F6457</f>
        <v>0</v>
      </c>
      <c r="G6490" s="150">
        <f>G6457</f>
        <v>0</v>
      </c>
    </row>
    <row r="6491" spans="1:7" x14ac:dyDescent="0.25">
      <c r="A6491" s="148"/>
      <c r="C6491" s="153" t="s">
        <v>582</v>
      </c>
      <c r="D6491" s="152"/>
      <c r="E6491" s="151"/>
      <c r="F6491" s="150">
        <f>F6490+F6488</f>
        <v>0</v>
      </c>
      <c r="G6491" s="150">
        <f>G6490+G6488</f>
        <v>0</v>
      </c>
    </row>
    <row r="6492" spans="1:7" ht="15.75" thickBot="1" x14ac:dyDescent="0.3">
      <c r="A6492" s="148"/>
      <c r="C6492" s="145"/>
      <c r="D6492" s="149"/>
      <c r="E6492" s="145"/>
      <c r="F6492" s="144"/>
      <c r="G6492" s="144"/>
    </row>
    <row r="6493" spans="1:7" ht="15.75" thickBot="1" x14ac:dyDescent="0.3">
      <c r="A6493" s="148"/>
      <c r="C6493" s="147" t="s">
        <v>620</v>
      </c>
      <c r="D6493" s="146">
        <f>F6491-G6491</f>
        <v>0</v>
      </c>
      <c r="E6493" s="145"/>
      <c r="F6493" s="144"/>
      <c r="G6493" s="144"/>
    </row>
    <row r="6494" spans="1:7" ht="15.75" thickBot="1" x14ac:dyDescent="0.3"/>
    <row r="6495" spans="1:7" ht="30.75" thickBot="1" x14ac:dyDescent="0.3">
      <c r="A6495" s="190" t="s">
        <v>626</v>
      </c>
      <c r="B6495" s="189" t="s">
        <v>606</v>
      </c>
      <c r="C6495" s="188" t="s">
        <v>627</v>
      </c>
      <c r="D6495" s="187" t="s">
        <v>601</v>
      </c>
      <c r="E6495" s="186" t="s">
        <v>287</v>
      </c>
      <c r="F6495" s="185" t="s">
        <v>624</v>
      </c>
      <c r="G6495" s="185" t="s">
        <v>596</v>
      </c>
    </row>
    <row r="6496" spans="1:7" x14ac:dyDescent="0.25">
      <c r="A6496" s="175" t="str">
        <f>E6496&amp;COUNTIFS($E$2:E6496,E6496)</f>
        <v>0</v>
      </c>
      <c r="B6496" s="172"/>
      <c r="C6496" s="174"/>
      <c r="D6496" s="173"/>
      <c r="E6496" s="172"/>
      <c r="F6496" s="171"/>
      <c r="G6496" s="170"/>
    </row>
    <row r="6497" spans="1:7" x14ac:dyDescent="0.25">
      <c r="A6497" s="169" t="str">
        <f>E6497&amp;COUNTIFS($E$2:E6497,E6497)</f>
        <v>0</v>
      </c>
      <c r="B6497" s="166"/>
      <c r="C6497" s="168"/>
      <c r="D6497" s="167"/>
      <c r="E6497" s="166"/>
      <c r="F6497" s="165"/>
      <c r="G6497" s="164"/>
    </row>
    <row r="6498" spans="1:7" x14ac:dyDescent="0.25">
      <c r="A6498" s="169" t="str">
        <f>E6498&amp;COUNTIFS($E$2:E6498,E6498)</f>
        <v>0</v>
      </c>
      <c r="B6498" s="166"/>
      <c r="C6498" s="168"/>
      <c r="D6498" s="167"/>
      <c r="E6498" s="166"/>
      <c r="F6498" s="165"/>
      <c r="G6498" s="164"/>
    </row>
    <row r="6499" spans="1:7" x14ac:dyDescent="0.25">
      <c r="A6499" s="169" t="str">
        <f>E6499&amp;COUNTIFS($E$2:E6499,E6499)</f>
        <v>0</v>
      </c>
      <c r="B6499" s="166"/>
      <c r="C6499" s="168"/>
      <c r="D6499" s="167"/>
      <c r="E6499" s="166"/>
      <c r="F6499" s="165"/>
      <c r="G6499" s="164"/>
    </row>
    <row r="6500" spans="1:7" x14ac:dyDescent="0.25">
      <c r="A6500" s="169" t="str">
        <f>E6500&amp;COUNTIFS($E$2:E6500,E6500)</f>
        <v>0</v>
      </c>
      <c r="B6500" s="166"/>
      <c r="C6500" s="168"/>
      <c r="D6500" s="167"/>
      <c r="E6500" s="166"/>
      <c r="F6500" s="165"/>
      <c r="G6500" s="164"/>
    </row>
    <row r="6501" spans="1:7" x14ac:dyDescent="0.25">
      <c r="A6501" s="169" t="str">
        <f>E6501&amp;COUNTIFS($E$2:E6501,E6501)</f>
        <v>0</v>
      </c>
      <c r="B6501" s="166"/>
      <c r="C6501" s="168"/>
      <c r="D6501" s="167"/>
      <c r="E6501" s="166"/>
      <c r="F6501" s="165"/>
      <c r="G6501" s="164"/>
    </row>
    <row r="6502" spans="1:7" x14ac:dyDescent="0.25">
      <c r="A6502" s="169" t="str">
        <f>E6502&amp;COUNTIFS($E$2:E6502,E6502)</f>
        <v>0</v>
      </c>
      <c r="B6502" s="166"/>
      <c r="C6502" s="168"/>
      <c r="D6502" s="167"/>
      <c r="E6502" s="166"/>
      <c r="F6502" s="165"/>
      <c r="G6502" s="164"/>
    </row>
    <row r="6503" spans="1:7" x14ac:dyDescent="0.25">
      <c r="A6503" s="169" t="str">
        <f>E6503&amp;COUNTIFS($E$2:E6503,E6503)</f>
        <v>0</v>
      </c>
      <c r="B6503" s="166"/>
      <c r="C6503" s="168"/>
      <c r="D6503" s="167"/>
      <c r="E6503" s="166"/>
      <c r="F6503" s="165"/>
      <c r="G6503" s="164"/>
    </row>
    <row r="6504" spans="1:7" x14ac:dyDescent="0.25">
      <c r="A6504" s="169" t="str">
        <f>E6504&amp;COUNTIFS($E$2:E6504,E6504)</f>
        <v>0</v>
      </c>
      <c r="B6504" s="166"/>
      <c r="C6504" s="168"/>
      <c r="D6504" s="167"/>
      <c r="E6504" s="166"/>
      <c r="F6504" s="165"/>
      <c r="G6504" s="164"/>
    </row>
    <row r="6505" spans="1:7" x14ac:dyDescent="0.25">
      <c r="A6505" s="169" t="str">
        <f>E6505&amp;COUNTIFS($E$2:E6505,E6505)</f>
        <v>0</v>
      </c>
      <c r="B6505" s="166"/>
      <c r="C6505" s="168"/>
      <c r="D6505" s="167"/>
      <c r="E6505" s="166"/>
      <c r="F6505" s="165"/>
      <c r="G6505" s="164"/>
    </row>
    <row r="6506" spans="1:7" x14ac:dyDescent="0.25">
      <c r="A6506" s="169" t="str">
        <f>E6506&amp;COUNTIFS($E$2:E6506,E6506)</f>
        <v>0</v>
      </c>
      <c r="B6506" s="166"/>
      <c r="C6506" s="168"/>
      <c r="D6506" s="167"/>
      <c r="E6506" s="166"/>
      <c r="F6506" s="165"/>
      <c r="G6506" s="164"/>
    </row>
    <row r="6507" spans="1:7" x14ac:dyDescent="0.25">
      <c r="A6507" s="169" t="str">
        <f>E6507&amp;COUNTIFS($E$2:E6507,E6507)</f>
        <v>0</v>
      </c>
      <c r="B6507" s="166"/>
      <c r="C6507" s="168"/>
      <c r="D6507" s="167"/>
      <c r="E6507" s="166"/>
      <c r="F6507" s="165"/>
      <c r="G6507" s="164"/>
    </row>
    <row r="6508" spans="1:7" x14ac:dyDescent="0.25">
      <c r="A6508" s="169" t="str">
        <f>E6508&amp;COUNTIFS($E$2:E6508,E6508)</f>
        <v>0</v>
      </c>
      <c r="B6508" s="166"/>
      <c r="C6508" s="168"/>
      <c r="D6508" s="167"/>
      <c r="E6508" s="166"/>
      <c r="F6508" s="165"/>
      <c r="G6508" s="164"/>
    </row>
    <row r="6509" spans="1:7" x14ac:dyDescent="0.25">
      <c r="A6509" s="169" t="str">
        <f>E6509&amp;COUNTIFS($E$2:E6509,E6509)</f>
        <v>0</v>
      </c>
      <c r="B6509" s="166"/>
      <c r="C6509" s="168"/>
      <c r="D6509" s="167"/>
      <c r="E6509" s="166"/>
      <c r="F6509" s="165"/>
      <c r="G6509" s="164"/>
    </row>
    <row r="6510" spans="1:7" x14ac:dyDescent="0.25">
      <c r="A6510" s="169" t="str">
        <f>E6510&amp;COUNTIFS($E$2:E6510,E6510)</f>
        <v>0</v>
      </c>
      <c r="B6510" s="166"/>
      <c r="C6510" s="168"/>
      <c r="D6510" s="167"/>
      <c r="E6510" s="166"/>
      <c r="F6510" s="165"/>
      <c r="G6510" s="164"/>
    </row>
    <row r="6511" spans="1:7" x14ac:dyDescent="0.25">
      <c r="A6511" s="169" t="str">
        <f>E6511&amp;COUNTIFS($E$2:E6511,E6511)</f>
        <v>0</v>
      </c>
      <c r="B6511" s="166"/>
      <c r="C6511" s="168"/>
      <c r="D6511" s="167"/>
      <c r="E6511" s="166"/>
      <c r="F6511" s="165"/>
      <c r="G6511" s="164"/>
    </row>
    <row r="6512" spans="1:7" x14ac:dyDescent="0.25">
      <c r="A6512" s="169" t="str">
        <f>E6512&amp;COUNTIFS($E$2:E6512,E6512)</f>
        <v>0</v>
      </c>
      <c r="B6512" s="166"/>
      <c r="C6512" s="168"/>
      <c r="D6512" s="167"/>
      <c r="E6512" s="166"/>
      <c r="F6512" s="165"/>
      <c r="G6512" s="164"/>
    </row>
    <row r="6513" spans="1:7" x14ac:dyDescent="0.25">
      <c r="A6513" s="169" t="str">
        <f>E6513&amp;COUNTIFS($E$2:E6513,E6513)</f>
        <v>0</v>
      </c>
      <c r="B6513" s="166"/>
      <c r="C6513" s="168"/>
      <c r="D6513" s="167"/>
      <c r="E6513" s="166"/>
      <c r="F6513" s="165"/>
      <c r="G6513" s="164"/>
    </row>
    <row r="6514" spans="1:7" x14ac:dyDescent="0.25">
      <c r="A6514" s="169" t="str">
        <f>E6514&amp;COUNTIFS($E$2:E6514,E6514)</f>
        <v>0</v>
      </c>
      <c r="B6514" s="166"/>
      <c r="C6514" s="168"/>
      <c r="D6514" s="167"/>
      <c r="E6514" s="166"/>
      <c r="F6514" s="165"/>
      <c r="G6514" s="164"/>
    </row>
    <row r="6515" spans="1:7" x14ac:dyDescent="0.25">
      <c r="A6515" s="169" t="str">
        <f>E6515&amp;COUNTIFS($E$2:E6515,E6515)</f>
        <v>0</v>
      </c>
      <c r="B6515" s="166"/>
      <c r="C6515" s="168"/>
      <c r="D6515" s="167"/>
      <c r="E6515" s="166"/>
      <c r="F6515" s="165"/>
      <c r="G6515" s="164"/>
    </row>
    <row r="6516" spans="1:7" x14ac:dyDescent="0.25">
      <c r="A6516" s="169" t="str">
        <f>E6516&amp;COUNTIFS($E$2:E6516,E6516)</f>
        <v>0</v>
      </c>
      <c r="B6516" s="166"/>
      <c r="C6516" s="168"/>
      <c r="D6516" s="167"/>
      <c r="E6516" s="166"/>
      <c r="F6516" s="165"/>
      <c r="G6516" s="164"/>
    </row>
    <row r="6517" spans="1:7" x14ac:dyDescent="0.25">
      <c r="A6517" s="169" t="str">
        <f>E6517&amp;COUNTIFS($E$2:E6517,E6517)</f>
        <v>0</v>
      </c>
      <c r="B6517" s="166"/>
      <c r="C6517" s="168"/>
      <c r="D6517" s="167"/>
      <c r="E6517" s="166"/>
      <c r="F6517" s="165"/>
      <c r="G6517" s="164"/>
    </row>
    <row r="6518" spans="1:7" x14ac:dyDescent="0.25">
      <c r="A6518" s="169" t="str">
        <f>E6518&amp;COUNTIFS($E$2:E6518,E6518)</f>
        <v>0</v>
      </c>
      <c r="B6518" s="166"/>
      <c r="C6518" s="168"/>
      <c r="D6518" s="167"/>
      <c r="E6518" s="166"/>
      <c r="F6518" s="165"/>
      <c r="G6518" s="164"/>
    </row>
    <row r="6519" spans="1:7" x14ac:dyDescent="0.25">
      <c r="A6519" s="169" t="str">
        <f>E6519&amp;COUNTIFS($E$2:E6519,E6519)</f>
        <v>0</v>
      </c>
      <c r="B6519" s="166"/>
      <c r="C6519" s="168"/>
      <c r="D6519" s="167"/>
      <c r="E6519" s="166"/>
      <c r="F6519" s="165"/>
      <c r="G6519" s="164"/>
    </row>
    <row r="6520" spans="1:7" ht="15.75" thickBot="1" x14ac:dyDescent="0.3">
      <c r="A6520" s="163" t="str">
        <f>E6520&amp;COUNTIFS($E$2:E6520,E6520)</f>
        <v>0</v>
      </c>
      <c r="B6520" s="160"/>
      <c r="C6520" s="162"/>
      <c r="D6520" s="161"/>
      <c r="E6520" s="160"/>
      <c r="F6520" s="159"/>
      <c r="G6520" s="158"/>
    </row>
    <row r="6521" spans="1:7" x14ac:dyDescent="0.25">
      <c r="A6521" s="148"/>
      <c r="C6521" s="143"/>
      <c r="D6521" s="157"/>
      <c r="E6521" s="143"/>
      <c r="F6521" s="156"/>
      <c r="G6521" s="156"/>
    </row>
    <row r="6522" spans="1:7" x14ac:dyDescent="0.25">
      <c r="A6522" s="148"/>
      <c r="C6522" s="153" t="s">
        <v>623</v>
      </c>
      <c r="D6522" s="152"/>
      <c r="E6522" s="151"/>
      <c r="F6522" s="150">
        <f>SUM(F6496:F6520)</f>
        <v>0</v>
      </c>
      <c r="G6522" s="155">
        <f>SUM(G6496:G6520)</f>
        <v>0</v>
      </c>
    </row>
    <row r="6523" spans="1:7" x14ac:dyDescent="0.25">
      <c r="A6523" s="148"/>
      <c r="C6523" s="145" t="s">
        <v>622</v>
      </c>
      <c r="D6523" s="154"/>
      <c r="E6523" s="145"/>
      <c r="F6523" s="144"/>
      <c r="G6523" s="144"/>
    </row>
    <row r="6524" spans="1:7" x14ac:dyDescent="0.25">
      <c r="A6524" s="148"/>
      <c r="C6524" s="153" t="s">
        <v>621</v>
      </c>
      <c r="D6524" s="152"/>
      <c r="E6524" s="151"/>
      <c r="F6524" s="150">
        <f>F6491</f>
        <v>0</v>
      </c>
      <c r="G6524" s="150">
        <f>G6491</f>
        <v>0</v>
      </c>
    </row>
    <row r="6525" spans="1:7" x14ac:dyDescent="0.25">
      <c r="A6525" s="148"/>
      <c r="C6525" s="153" t="s">
        <v>582</v>
      </c>
      <c r="D6525" s="152"/>
      <c r="E6525" s="151"/>
      <c r="F6525" s="150">
        <f>F6524+F6522</f>
        <v>0</v>
      </c>
      <c r="G6525" s="150">
        <f>G6524+G6522</f>
        <v>0</v>
      </c>
    </row>
    <row r="6526" spans="1:7" ht="15.75" thickBot="1" x14ac:dyDescent="0.3">
      <c r="A6526" s="148"/>
      <c r="C6526" s="145"/>
      <c r="D6526" s="149"/>
      <c r="E6526" s="145"/>
      <c r="F6526" s="144"/>
      <c r="G6526" s="144"/>
    </row>
    <row r="6527" spans="1:7" ht="15.75" thickBot="1" x14ac:dyDescent="0.3">
      <c r="A6527" s="148"/>
      <c r="C6527" s="147" t="s">
        <v>620</v>
      </c>
      <c r="D6527" s="146">
        <f>F6525-G6525</f>
        <v>0</v>
      </c>
      <c r="E6527" s="145"/>
      <c r="F6527" s="144"/>
      <c r="G6527" s="144"/>
    </row>
    <row r="6528" spans="1:7" ht="15.75" thickBot="1" x14ac:dyDescent="0.3"/>
    <row r="6529" spans="1:7" ht="30.75" thickBot="1" x14ac:dyDescent="0.3">
      <c r="A6529" s="190" t="s">
        <v>626</v>
      </c>
      <c r="B6529" s="189" t="s">
        <v>606</v>
      </c>
      <c r="C6529" s="188" t="s">
        <v>627</v>
      </c>
      <c r="D6529" s="187" t="s">
        <v>601</v>
      </c>
      <c r="E6529" s="186" t="s">
        <v>287</v>
      </c>
      <c r="F6529" s="185" t="s">
        <v>624</v>
      </c>
      <c r="G6529" s="185" t="s">
        <v>596</v>
      </c>
    </row>
    <row r="6530" spans="1:7" x14ac:dyDescent="0.25">
      <c r="A6530" s="175" t="str">
        <f>E6530&amp;COUNTIFS($E$2:E6530,E6530)</f>
        <v>0</v>
      </c>
      <c r="B6530" s="172"/>
      <c r="C6530" s="174"/>
      <c r="D6530" s="173"/>
      <c r="E6530" s="172"/>
      <c r="F6530" s="171"/>
      <c r="G6530" s="170"/>
    </row>
    <row r="6531" spans="1:7" x14ac:dyDescent="0.25">
      <c r="A6531" s="169" t="str">
        <f>E6531&amp;COUNTIFS($E$2:E6531,E6531)</f>
        <v>0</v>
      </c>
      <c r="B6531" s="166"/>
      <c r="C6531" s="168"/>
      <c r="D6531" s="167"/>
      <c r="E6531" s="166"/>
      <c r="F6531" s="165"/>
      <c r="G6531" s="164"/>
    </row>
    <row r="6532" spans="1:7" x14ac:dyDescent="0.25">
      <c r="A6532" s="169" t="str">
        <f>E6532&amp;COUNTIFS($E$2:E6532,E6532)</f>
        <v>0</v>
      </c>
      <c r="B6532" s="166"/>
      <c r="C6532" s="168"/>
      <c r="D6532" s="167"/>
      <c r="E6532" s="166"/>
      <c r="F6532" s="165"/>
      <c r="G6532" s="164"/>
    </row>
    <row r="6533" spans="1:7" x14ac:dyDescent="0.25">
      <c r="A6533" s="169" t="str">
        <f>E6533&amp;COUNTIFS($E$2:E6533,E6533)</f>
        <v>0</v>
      </c>
      <c r="B6533" s="166"/>
      <c r="C6533" s="168"/>
      <c r="D6533" s="167"/>
      <c r="E6533" s="166"/>
      <c r="F6533" s="165"/>
      <c r="G6533" s="164"/>
    </row>
    <row r="6534" spans="1:7" x14ac:dyDescent="0.25">
      <c r="A6534" s="169" t="str">
        <f>E6534&amp;COUNTIFS($E$2:E6534,E6534)</f>
        <v>0</v>
      </c>
      <c r="B6534" s="166"/>
      <c r="C6534" s="168"/>
      <c r="D6534" s="167"/>
      <c r="E6534" s="166"/>
      <c r="F6534" s="165"/>
      <c r="G6534" s="164"/>
    </row>
    <row r="6535" spans="1:7" x14ac:dyDescent="0.25">
      <c r="A6535" s="169" t="str">
        <f>E6535&amp;COUNTIFS($E$2:E6535,E6535)</f>
        <v>0</v>
      </c>
      <c r="B6535" s="166"/>
      <c r="C6535" s="168"/>
      <c r="D6535" s="167"/>
      <c r="E6535" s="166"/>
      <c r="F6535" s="165"/>
      <c r="G6535" s="164"/>
    </row>
    <row r="6536" spans="1:7" x14ac:dyDescent="0.25">
      <c r="A6536" s="169" t="str">
        <f>E6536&amp;COUNTIFS($E$2:E6536,E6536)</f>
        <v>0</v>
      </c>
      <c r="B6536" s="166"/>
      <c r="C6536" s="168"/>
      <c r="D6536" s="167"/>
      <c r="E6536" s="166"/>
      <c r="F6536" s="165"/>
      <c r="G6536" s="164"/>
    </row>
    <row r="6537" spans="1:7" x14ac:dyDescent="0.25">
      <c r="A6537" s="169" t="str">
        <f>E6537&amp;COUNTIFS($E$2:E6537,E6537)</f>
        <v>0</v>
      </c>
      <c r="B6537" s="166"/>
      <c r="C6537" s="168"/>
      <c r="D6537" s="167"/>
      <c r="E6537" s="166"/>
      <c r="F6537" s="165"/>
      <c r="G6537" s="164"/>
    </row>
    <row r="6538" spans="1:7" x14ac:dyDescent="0.25">
      <c r="A6538" s="169" t="str">
        <f>E6538&amp;COUNTIFS($E$2:E6538,E6538)</f>
        <v>0</v>
      </c>
      <c r="B6538" s="166"/>
      <c r="C6538" s="168"/>
      <c r="D6538" s="167"/>
      <c r="E6538" s="166"/>
      <c r="F6538" s="165"/>
      <c r="G6538" s="164"/>
    </row>
    <row r="6539" spans="1:7" x14ac:dyDescent="0.25">
      <c r="A6539" s="169" t="str">
        <f>E6539&amp;COUNTIFS($E$2:E6539,E6539)</f>
        <v>0</v>
      </c>
      <c r="B6539" s="166"/>
      <c r="C6539" s="168"/>
      <c r="D6539" s="167"/>
      <c r="E6539" s="166"/>
      <c r="F6539" s="165"/>
      <c r="G6539" s="164"/>
    </row>
    <row r="6540" spans="1:7" x14ac:dyDescent="0.25">
      <c r="A6540" s="169" t="str">
        <f>E6540&amp;COUNTIFS($E$2:E6540,E6540)</f>
        <v>0</v>
      </c>
      <c r="B6540" s="166"/>
      <c r="C6540" s="168"/>
      <c r="D6540" s="167"/>
      <c r="E6540" s="166"/>
      <c r="F6540" s="165"/>
      <c r="G6540" s="164"/>
    </row>
    <row r="6541" spans="1:7" x14ac:dyDescent="0.25">
      <c r="A6541" s="169" t="str">
        <f>E6541&amp;COUNTIFS($E$2:E6541,E6541)</f>
        <v>0</v>
      </c>
      <c r="B6541" s="166"/>
      <c r="C6541" s="168"/>
      <c r="D6541" s="167"/>
      <c r="E6541" s="166"/>
      <c r="F6541" s="165"/>
      <c r="G6541" s="164"/>
    </row>
    <row r="6542" spans="1:7" x14ac:dyDescent="0.25">
      <c r="A6542" s="169" t="str">
        <f>E6542&amp;COUNTIFS($E$2:E6542,E6542)</f>
        <v>0</v>
      </c>
      <c r="B6542" s="166"/>
      <c r="C6542" s="168"/>
      <c r="D6542" s="167"/>
      <c r="E6542" s="166"/>
      <c r="F6542" s="165"/>
      <c r="G6542" s="164"/>
    </row>
    <row r="6543" spans="1:7" x14ac:dyDescent="0.25">
      <c r="A6543" s="169" t="str">
        <f>E6543&amp;COUNTIFS($E$2:E6543,E6543)</f>
        <v>0</v>
      </c>
      <c r="B6543" s="166"/>
      <c r="C6543" s="168"/>
      <c r="D6543" s="167"/>
      <c r="E6543" s="166"/>
      <c r="F6543" s="165"/>
      <c r="G6543" s="164"/>
    </row>
    <row r="6544" spans="1:7" x14ac:dyDescent="0.25">
      <c r="A6544" s="169" t="str">
        <f>E6544&amp;COUNTIFS($E$2:E6544,E6544)</f>
        <v>0</v>
      </c>
      <c r="B6544" s="166"/>
      <c r="C6544" s="168"/>
      <c r="D6544" s="167"/>
      <c r="E6544" s="166"/>
      <c r="F6544" s="165"/>
      <c r="G6544" s="164"/>
    </row>
    <row r="6545" spans="1:7" x14ac:dyDescent="0.25">
      <c r="A6545" s="169" t="str">
        <f>E6545&amp;COUNTIFS($E$2:E6545,E6545)</f>
        <v>0</v>
      </c>
      <c r="B6545" s="166"/>
      <c r="C6545" s="168"/>
      <c r="D6545" s="167"/>
      <c r="E6545" s="166"/>
      <c r="F6545" s="165"/>
      <c r="G6545" s="164"/>
    </row>
    <row r="6546" spans="1:7" x14ac:dyDescent="0.25">
      <c r="A6546" s="169" t="str">
        <f>E6546&amp;COUNTIFS($E$2:E6546,E6546)</f>
        <v>0</v>
      </c>
      <c r="B6546" s="166"/>
      <c r="C6546" s="168"/>
      <c r="D6546" s="167"/>
      <c r="E6546" s="166"/>
      <c r="F6546" s="165"/>
      <c r="G6546" s="164"/>
    </row>
    <row r="6547" spans="1:7" x14ac:dyDescent="0.25">
      <c r="A6547" s="169" t="str">
        <f>E6547&amp;COUNTIFS($E$2:E6547,E6547)</f>
        <v>0</v>
      </c>
      <c r="B6547" s="166"/>
      <c r="C6547" s="168"/>
      <c r="D6547" s="167"/>
      <c r="E6547" s="166"/>
      <c r="F6547" s="165"/>
      <c r="G6547" s="164"/>
    </row>
    <row r="6548" spans="1:7" x14ac:dyDescent="0.25">
      <c r="A6548" s="169" t="str">
        <f>E6548&amp;COUNTIFS($E$2:E6548,E6548)</f>
        <v>0</v>
      </c>
      <c r="B6548" s="166"/>
      <c r="C6548" s="168"/>
      <c r="D6548" s="167"/>
      <c r="E6548" s="166"/>
      <c r="F6548" s="165"/>
      <c r="G6548" s="164"/>
    </row>
    <row r="6549" spans="1:7" x14ac:dyDescent="0.25">
      <c r="A6549" s="169" t="str">
        <f>E6549&amp;COUNTIFS($E$2:E6549,E6549)</f>
        <v>0</v>
      </c>
      <c r="B6549" s="166"/>
      <c r="C6549" s="168"/>
      <c r="D6549" s="167"/>
      <c r="E6549" s="166"/>
      <c r="F6549" s="165"/>
      <c r="G6549" s="164"/>
    </row>
    <row r="6550" spans="1:7" x14ac:dyDescent="0.25">
      <c r="A6550" s="169" t="str">
        <f>E6550&amp;COUNTIFS($E$2:E6550,E6550)</f>
        <v>0</v>
      </c>
      <c r="B6550" s="166"/>
      <c r="C6550" s="168"/>
      <c r="D6550" s="167"/>
      <c r="E6550" s="166"/>
      <c r="F6550" s="165"/>
      <c r="G6550" s="164"/>
    </row>
    <row r="6551" spans="1:7" x14ac:dyDescent="0.25">
      <c r="A6551" s="169" t="str">
        <f>E6551&amp;COUNTIFS($E$2:E6551,E6551)</f>
        <v>0</v>
      </c>
      <c r="B6551" s="166"/>
      <c r="C6551" s="168"/>
      <c r="D6551" s="167"/>
      <c r="E6551" s="166"/>
      <c r="F6551" s="165"/>
      <c r="G6551" s="164"/>
    </row>
    <row r="6552" spans="1:7" x14ac:dyDescent="0.25">
      <c r="A6552" s="169" t="str">
        <f>E6552&amp;COUNTIFS($E$2:E6552,E6552)</f>
        <v>0</v>
      </c>
      <c r="B6552" s="166"/>
      <c r="C6552" s="168"/>
      <c r="D6552" s="167"/>
      <c r="E6552" s="166"/>
      <c r="F6552" s="165"/>
      <c r="G6552" s="164"/>
    </row>
    <row r="6553" spans="1:7" x14ac:dyDescent="0.25">
      <c r="A6553" s="169" t="str">
        <f>E6553&amp;COUNTIFS($E$2:E6553,E6553)</f>
        <v>0</v>
      </c>
      <c r="B6553" s="166"/>
      <c r="C6553" s="168"/>
      <c r="D6553" s="167"/>
      <c r="E6553" s="166"/>
      <c r="F6553" s="165"/>
      <c r="G6553" s="164"/>
    </row>
    <row r="6554" spans="1:7" ht="15.75" thickBot="1" x14ac:dyDescent="0.3">
      <c r="A6554" s="163" t="str">
        <f>E6554&amp;COUNTIFS($E$2:E6554,E6554)</f>
        <v>0</v>
      </c>
      <c r="B6554" s="160"/>
      <c r="C6554" s="162"/>
      <c r="D6554" s="161"/>
      <c r="E6554" s="160"/>
      <c r="F6554" s="159"/>
      <c r="G6554" s="158"/>
    </row>
    <row r="6555" spans="1:7" x14ac:dyDescent="0.25">
      <c r="A6555" s="148"/>
      <c r="C6555" s="143"/>
      <c r="D6555" s="157"/>
      <c r="E6555" s="143"/>
      <c r="F6555" s="156"/>
      <c r="G6555" s="156"/>
    </row>
    <row r="6556" spans="1:7" x14ac:dyDescent="0.25">
      <c r="A6556" s="148"/>
      <c r="C6556" s="153" t="s">
        <v>623</v>
      </c>
      <c r="D6556" s="152"/>
      <c r="E6556" s="151"/>
      <c r="F6556" s="150">
        <f>SUM(F6530:F6554)</f>
        <v>0</v>
      </c>
      <c r="G6556" s="155">
        <f>SUM(G6530:G6554)</f>
        <v>0</v>
      </c>
    </row>
    <row r="6557" spans="1:7" x14ac:dyDescent="0.25">
      <c r="A6557" s="148"/>
      <c r="C6557" s="145" t="s">
        <v>622</v>
      </c>
      <c r="D6557" s="154"/>
      <c r="E6557" s="145"/>
      <c r="F6557" s="144"/>
      <c r="G6557" s="144"/>
    </row>
    <row r="6558" spans="1:7" x14ac:dyDescent="0.25">
      <c r="A6558" s="148"/>
      <c r="C6558" s="153" t="s">
        <v>621</v>
      </c>
      <c r="D6558" s="152"/>
      <c r="E6558" s="151"/>
      <c r="F6558" s="150">
        <f>F6525</f>
        <v>0</v>
      </c>
      <c r="G6558" s="150">
        <f>G6525</f>
        <v>0</v>
      </c>
    </row>
    <row r="6559" spans="1:7" x14ac:dyDescent="0.25">
      <c r="A6559" s="148"/>
      <c r="C6559" s="153" t="s">
        <v>582</v>
      </c>
      <c r="D6559" s="152"/>
      <c r="E6559" s="151"/>
      <c r="F6559" s="150">
        <f>F6558+F6556</f>
        <v>0</v>
      </c>
      <c r="G6559" s="150">
        <f>G6558+G6556</f>
        <v>0</v>
      </c>
    </row>
    <row r="6560" spans="1:7" ht="15.75" thickBot="1" x14ac:dyDescent="0.3">
      <c r="A6560" s="148"/>
      <c r="C6560" s="145"/>
      <c r="D6560" s="149"/>
      <c r="E6560" s="145"/>
      <c r="F6560" s="144"/>
      <c r="G6560" s="144"/>
    </row>
    <row r="6561" spans="1:7" ht="15.75" thickBot="1" x14ac:dyDescent="0.3">
      <c r="A6561" s="148"/>
      <c r="C6561" s="147" t="s">
        <v>620</v>
      </c>
      <c r="D6561" s="146">
        <f>F6559-G6559</f>
        <v>0</v>
      </c>
      <c r="E6561" s="145"/>
      <c r="F6561" s="144"/>
      <c r="G6561" s="144"/>
    </row>
    <row r="6562" spans="1:7" ht="15.75" thickBot="1" x14ac:dyDescent="0.3"/>
    <row r="6563" spans="1:7" ht="30.75" thickBot="1" x14ac:dyDescent="0.3">
      <c r="A6563" s="190" t="s">
        <v>626</v>
      </c>
      <c r="B6563" s="189" t="s">
        <v>606</v>
      </c>
      <c r="C6563" s="188" t="s">
        <v>627</v>
      </c>
      <c r="D6563" s="187" t="s">
        <v>601</v>
      </c>
      <c r="E6563" s="186" t="s">
        <v>287</v>
      </c>
      <c r="F6563" s="185" t="s">
        <v>624</v>
      </c>
      <c r="G6563" s="185" t="s">
        <v>596</v>
      </c>
    </row>
    <row r="6564" spans="1:7" x14ac:dyDescent="0.25">
      <c r="A6564" s="175" t="str">
        <f>E6564&amp;COUNTIFS($E$2:E6564,E6564)</f>
        <v>0</v>
      </c>
      <c r="B6564" s="172"/>
      <c r="C6564" s="174"/>
      <c r="D6564" s="173"/>
      <c r="E6564" s="172"/>
      <c r="F6564" s="171"/>
      <c r="G6564" s="170"/>
    </row>
    <row r="6565" spans="1:7" x14ac:dyDescent="0.25">
      <c r="A6565" s="169" t="str">
        <f>E6565&amp;COUNTIFS($E$2:E6565,E6565)</f>
        <v>0</v>
      </c>
      <c r="B6565" s="166"/>
      <c r="C6565" s="168"/>
      <c r="D6565" s="167"/>
      <c r="E6565" s="166"/>
      <c r="F6565" s="165"/>
      <c r="G6565" s="164"/>
    </row>
    <row r="6566" spans="1:7" x14ac:dyDescent="0.25">
      <c r="A6566" s="169" t="str">
        <f>E6566&amp;COUNTIFS($E$2:E6566,E6566)</f>
        <v>0</v>
      </c>
      <c r="B6566" s="166"/>
      <c r="C6566" s="168"/>
      <c r="D6566" s="167"/>
      <c r="E6566" s="166"/>
      <c r="F6566" s="165"/>
      <c r="G6566" s="164"/>
    </row>
    <row r="6567" spans="1:7" x14ac:dyDescent="0.25">
      <c r="A6567" s="169" t="str">
        <f>E6567&amp;COUNTIFS($E$2:E6567,E6567)</f>
        <v>0</v>
      </c>
      <c r="B6567" s="166"/>
      <c r="C6567" s="168"/>
      <c r="D6567" s="167"/>
      <c r="E6567" s="166"/>
      <c r="F6567" s="165"/>
      <c r="G6567" s="164"/>
    </row>
    <row r="6568" spans="1:7" x14ac:dyDescent="0.25">
      <c r="A6568" s="169" t="str">
        <f>E6568&amp;COUNTIFS($E$2:E6568,E6568)</f>
        <v>0</v>
      </c>
      <c r="B6568" s="166"/>
      <c r="C6568" s="168"/>
      <c r="D6568" s="167"/>
      <c r="E6568" s="166"/>
      <c r="F6568" s="165"/>
      <c r="G6568" s="164"/>
    </row>
    <row r="6569" spans="1:7" x14ac:dyDescent="0.25">
      <c r="A6569" s="169" t="str">
        <f>E6569&amp;COUNTIFS($E$2:E6569,E6569)</f>
        <v>0</v>
      </c>
      <c r="B6569" s="166"/>
      <c r="C6569" s="168"/>
      <c r="D6569" s="167"/>
      <c r="E6569" s="166"/>
      <c r="F6569" s="165"/>
      <c r="G6569" s="164"/>
    </row>
    <row r="6570" spans="1:7" x14ac:dyDescent="0.25">
      <c r="A6570" s="169" t="str">
        <f>E6570&amp;COUNTIFS($E$2:E6570,E6570)</f>
        <v>0</v>
      </c>
      <c r="B6570" s="166"/>
      <c r="C6570" s="168"/>
      <c r="D6570" s="167"/>
      <c r="E6570" s="166"/>
      <c r="F6570" s="165"/>
      <c r="G6570" s="164"/>
    </row>
    <row r="6571" spans="1:7" x14ac:dyDescent="0.25">
      <c r="A6571" s="169" t="str">
        <f>E6571&amp;COUNTIFS($E$2:E6571,E6571)</f>
        <v>0</v>
      </c>
      <c r="B6571" s="166"/>
      <c r="C6571" s="168"/>
      <c r="D6571" s="167"/>
      <c r="E6571" s="166"/>
      <c r="F6571" s="165"/>
      <c r="G6571" s="164"/>
    </row>
    <row r="6572" spans="1:7" x14ac:dyDescent="0.25">
      <c r="A6572" s="169" t="str">
        <f>E6572&amp;COUNTIFS($E$2:E6572,E6572)</f>
        <v>0</v>
      </c>
      <c r="B6572" s="166"/>
      <c r="C6572" s="168"/>
      <c r="D6572" s="167"/>
      <c r="E6572" s="166"/>
      <c r="F6572" s="165"/>
      <c r="G6572" s="164"/>
    </row>
    <row r="6573" spans="1:7" x14ac:dyDescent="0.25">
      <c r="A6573" s="169" t="str">
        <f>E6573&amp;COUNTIFS($E$2:E6573,E6573)</f>
        <v>0</v>
      </c>
      <c r="B6573" s="166"/>
      <c r="C6573" s="168"/>
      <c r="D6573" s="167"/>
      <c r="E6573" s="166"/>
      <c r="F6573" s="165"/>
      <c r="G6573" s="164"/>
    </row>
    <row r="6574" spans="1:7" x14ac:dyDescent="0.25">
      <c r="A6574" s="169" t="str">
        <f>E6574&amp;COUNTIFS($E$2:E6574,E6574)</f>
        <v>0</v>
      </c>
      <c r="B6574" s="166"/>
      <c r="C6574" s="168"/>
      <c r="D6574" s="167"/>
      <c r="E6574" s="166"/>
      <c r="F6574" s="165"/>
      <c r="G6574" s="164"/>
    </row>
    <row r="6575" spans="1:7" x14ac:dyDescent="0.25">
      <c r="A6575" s="169" t="str">
        <f>E6575&amp;COUNTIFS($E$2:E6575,E6575)</f>
        <v>0</v>
      </c>
      <c r="B6575" s="166"/>
      <c r="C6575" s="168"/>
      <c r="D6575" s="167"/>
      <c r="E6575" s="166"/>
      <c r="F6575" s="165"/>
      <c r="G6575" s="164"/>
    </row>
    <row r="6576" spans="1:7" x14ac:dyDescent="0.25">
      <c r="A6576" s="169" t="str">
        <f>E6576&amp;COUNTIFS($E$2:E6576,E6576)</f>
        <v>0</v>
      </c>
      <c r="B6576" s="166"/>
      <c r="C6576" s="168"/>
      <c r="D6576" s="167"/>
      <c r="E6576" s="166"/>
      <c r="F6576" s="165"/>
      <c r="G6576" s="164"/>
    </row>
    <row r="6577" spans="1:7" x14ac:dyDescent="0.25">
      <c r="A6577" s="169" t="str">
        <f>E6577&amp;COUNTIFS($E$2:E6577,E6577)</f>
        <v>0</v>
      </c>
      <c r="B6577" s="166"/>
      <c r="C6577" s="168"/>
      <c r="D6577" s="167"/>
      <c r="E6577" s="166"/>
      <c r="F6577" s="165"/>
      <c r="G6577" s="164"/>
    </row>
    <row r="6578" spans="1:7" x14ac:dyDescent="0.25">
      <c r="A6578" s="169" t="str">
        <f>E6578&amp;COUNTIFS($E$2:E6578,E6578)</f>
        <v>0</v>
      </c>
      <c r="B6578" s="166"/>
      <c r="C6578" s="168"/>
      <c r="D6578" s="167"/>
      <c r="E6578" s="166"/>
      <c r="F6578" s="165"/>
      <c r="G6578" s="164"/>
    </row>
    <row r="6579" spans="1:7" x14ac:dyDescent="0.25">
      <c r="A6579" s="169" t="str">
        <f>E6579&amp;COUNTIFS($E$2:E6579,E6579)</f>
        <v>0</v>
      </c>
      <c r="B6579" s="166"/>
      <c r="C6579" s="168"/>
      <c r="D6579" s="167"/>
      <c r="E6579" s="166"/>
      <c r="F6579" s="165"/>
      <c r="G6579" s="164"/>
    </row>
    <row r="6580" spans="1:7" x14ac:dyDescent="0.25">
      <c r="A6580" s="169" t="str">
        <f>E6580&amp;COUNTIFS($E$2:E6580,E6580)</f>
        <v>0</v>
      </c>
      <c r="B6580" s="166"/>
      <c r="C6580" s="168"/>
      <c r="D6580" s="167"/>
      <c r="E6580" s="166"/>
      <c r="F6580" s="165"/>
      <c r="G6580" s="164"/>
    </row>
    <row r="6581" spans="1:7" x14ac:dyDescent="0.25">
      <c r="A6581" s="169" t="str">
        <f>E6581&amp;COUNTIFS($E$2:E6581,E6581)</f>
        <v>0</v>
      </c>
      <c r="B6581" s="166"/>
      <c r="C6581" s="168"/>
      <c r="D6581" s="167"/>
      <c r="E6581" s="166"/>
      <c r="F6581" s="165"/>
      <c r="G6581" s="164"/>
    </row>
    <row r="6582" spans="1:7" x14ac:dyDescent="0.25">
      <c r="A6582" s="169" t="str">
        <f>E6582&amp;COUNTIFS($E$2:E6582,E6582)</f>
        <v>0</v>
      </c>
      <c r="B6582" s="166"/>
      <c r="C6582" s="168"/>
      <c r="D6582" s="167"/>
      <c r="E6582" s="166"/>
      <c r="F6582" s="165"/>
      <c r="G6582" s="164"/>
    </row>
    <row r="6583" spans="1:7" x14ac:dyDescent="0.25">
      <c r="A6583" s="169" t="str">
        <f>E6583&amp;COUNTIFS($E$2:E6583,E6583)</f>
        <v>0</v>
      </c>
      <c r="B6583" s="166"/>
      <c r="C6583" s="168"/>
      <c r="D6583" s="167"/>
      <c r="E6583" s="166"/>
      <c r="F6583" s="165"/>
      <c r="G6583" s="164"/>
    </row>
    <row r="6584" spans="1:7" x14ac:dyDescent="0.25">
      <c r="A6584" s="169" t="str">
        <f>E6584&amp;COUNTIFS($E$2:E6584,E6584)</f>
        <v>0</v>
      </c>
      <c r="B6584" s="166"/>
      <c r="C6584" s="168"/>
      <c r="D6584" s="167"/>
      <c r="E6584" s="166"/>
      <c r="F6584" s="165"/>
      <c r="G6584" s="164"/>
    </row>
    <row r="6585" spans="1:7" x14ac:dyDescent="0.25">
      <c r="A6585" s="169" t="str">
        <f>E6585&amp;COUNTIFS($E$2:E6585,E6585)</f>
        <v>0</v>
      </c>
      <c r="B6585" s="166"/>
      <c r="C6585" s="168"/>
      <c r="D6585" s="167"/>
      <c r="E6585" s="166"/>
      <c r="F6585" s="165"/>
      <c r="G6585" s="164"/>
    </row>
    <row r="6586" spans="1:7" x14ac:dyDescent="0.25">
      <c r="A6586" s="169" t="str">
        <f>E6586&amp;COUNTIFS($E$2:E6586,E6586)</f>
        <v>0</v>
      </c>
      <c r="B6586" s="166"/>
      <c r="C6586" s="168"/>
      <c r="D6586" s="167"/>
      <c r="E6586" s="166"/>
      <c r="F6586" s="165"/>
      <c r="G6586" s="164"/>
    </row>
    <row r="6587" spans="1:7" x14ac:dyDescent="0.25">
      <c r="A6587" s="169" t="str">
        <f>E6587&amp;COUNTIFS($E$2:E6587,E6587)</f>
        <v>0</v>
      </c>
      <c r="B6587" s="166"/>
      <c r="C6587" s="168"/>
      <c r="D6587" s="167"/>
      <c r="E6587" s="166"/>
      <c r="F6587" s="165"/>
      <c r="G6587" s="164"/>
    </row>
    <row r="6588" spans="1:7" ht="15.75" thickBot="1" x14ac:dyDescent="0.3">
      <c r="A6588" s="163" t="str">
        <f>E6588&amp;COUNTIFS($E$2:E6588,E6588)</f>
        <v>0</v>
      </c>
      <c r="B6588" s="160"/>
      <c r="C6588" s="162"/>
      <c r="D6588" s="161"/>
      <c r="E6588" s="160"/>
      <c r="F6588" s="159"/>
      <c r="G6588" s="158"/>
    </row>
    <row r="6589" spans="1:7" x14ac:dyDescent="0.25">
      <c r="A6589" s="148"/>
      <c r="C6589" s="143"/>
      <c r="D6589" s="157"/>
      <c r="E6589" s="143"/>
      <c r="F6589" s="156"/>
      <c r="G6589" s="156"/>
    </row>
    <row r="6590" spans="1:7" x14ac:dyDescent="0.25">
      <c r="A6590" s="148"/>
      <c r="C6590" s="153" t="s">
        <v>623</v>
      </c>
      <c r="D6590" s="152"/>
      <c r="E6590" s="151"/>
      <c r="F6590" s="150">
        <f>SUM(F6564:F6588)</f>
        <v>0</v>
      </c>
      <c r="G6590" s="155">
        <f>SUM(G6564:G6588)</f>
        <v>0</v>
      </c>
    </row>
    <row r="6591" spans="1:7" x14ac:dyDescent="0.25">
      <c r="A6591" s="148"/>
      <c r="C6591" s="145" t="s">
        <v>622</v>
      </c>
      <c r="D6591" s="154"/>
      <c r="E6591" s="145"/>
      <c r="F6591" s="144"/>
      <c r="G6591" s="144"/>
    </row>
    <row r="6592" spans="1:7" x14ac:dyDescent="0.25">
      <c r="A6592" s="148"/>
      <c r="C6592" s="153" t="s">
        <v>621</v>
      </c>
      <c r="D6592" s="152"/>
      <c r="E6592" s="151"/>
      <c r="F6592" s="150">
        <f>F6559</f>
        <v>0</v>
      </c>
      <c r="G6592" s="150">
        <f>G6559</f>
        <v>0</v>
      </c>
    </row>
    <row r="6593" spans="1:7" x14ac:dyDescent="0.25">
      <c r="A6593" s="148"/>
      <c r="C6593" s="153" t="s">
        <v>582</v>
      </c>
      <c r="D6593" s="152"/>
      <c r="E6593" s="151"/>
      <c r="F6593" s="150">
        <f>F6592+F6590</f>
        <v>0</v>
      </c>
      <c r="G6593" s="150">
        <f>G6592+G6590</f>
        <v>0</v>
      </c>
    </row>
    <row r="6594" spans="1:7" ht="15.75" thickBot="1" x14ac:dyDescent="0.3">
      <c r="A6594" s="148"/>
      <c r="C6594" s="145"/>
      <c r="D6594" s="149"/>
      <c r="E6594" s="145"/>
      <c r="F6594" s="144"/>
      <c r="G6594" s="144"/>
    </row>
    <row r="6595" spans="1:7" ht="15.75" thickBot="1" x14ac:dyDescent="0.3">
      <c r="A6595" s="148"/>
      <c r="C6595" s="147" t="s">
        <v>620</v>
      </c>
      <c r="D6595" s="146">
        <f>F6593-G6593</f>
        <v>0</v>
      </c>
      <c r="E6595" s="145"/>
      <c r="F6595" s="144"/>
      <c r="G6595" s="144"/>
    </row>
    <row r="6596" spans="1:7" ht="15.75" thickBot="1" x14ac:dyDescent="0.3"/>
    <row r="6597" spans="1:7" ht="30.75" thickBot="1" x14ac:dyDescent="0.3">
      <c r="A6597" s="190" t="s">
        <v>626</v>
      </c>
      <c r="B6597" s="189" t="s">
        <v>606</v>
      </c>
      <c r="C6597" s="188" t="s">
        <v>627</v>
      </c>
      <c r="D6597" s="187" t="s">
        <v>601</v>
      </c>
      <c r="E6597" s="186" t="s">
        <v>287</v>
      </c>
      <c r="F6597" s="185" t="s">
        <v>624</v>
      </c>
      <c r="G6597" s="185" t="s">
        <v>596</v>
      </c>
    </row>
    <row r="6598" spans="1:7" x14ac:dyDescent="0.25">
      <c r="A6598" s="175" t="str">
        <f>E6598&amp;COUNTIFS($E$2:E6598,E6598)</f>
        <v>0</v>
      </c>
      <c r="B6598" s="172"/>
      <c r="C6598" s="174"/>
      <c r="D6598" s="173"/>
      <c r="E6598" s="172"/>
      <c r="F6598" s="171"/>
      <c r="G6598" s="170"/>
    </row>
    <row r="6599" spans="1:7" x14ac:dyDescent="0.25">
      <c r="A6599" s="169" t="str">
        <f>E6599&amp;COUNTIFS($E$2:E6599,E6599)</f>
        <v>0</v>
      </c>
      <c r="B6599" s="166"/>
      <c r="C6599" s="168"/>
      <c r="D6599" s="167"/>
      <c r="E6599" s="166"/>
      <c r="F6599" s="165"/>
      <c r="G6599" s="164"/>
    </row>
    <row r="6600" spans="1:7" x14ac:dyDescent="0.25">
      <c r="A6600" s="169" t="str">
        <f>E6600&amp;COUNTIFS($E$2:E6600,E6600)</f>
        <v>0</v>
      </c>
      <c r="B6600" s="166"/>
      <c r="C6600" s="168"/>
      <c r="D6600" s="167"/>
      <c r="E6600" s="166"/>
      <c r="F6600" s="165"/>
      <c r="G6600" s="164"/>
    </row>
    <row r="6601" spans="1:7" x14ac:dyDescent="0.25">
      <c r="A6601" s="169" t="str">
        <f>E6601&amp;COUNTIFS($E$2:E6601,E6601)</f>
        <v>0</v>
      </c>
      <c r="B6601" s="166"/>
      <c r="C6601" s="168"/>
      <c r="D6601" s="167"/>
      <c r="E6601" s="166"/>
      <c r="F6601" s="165"/>
      <c r="G6601" s="164"/>
    </row>
    <row r="6602" spans="1:7" x14ac:dyDescent="0.25">
      <c r="A6602" s="169" t="str">
        <f>E6602&amp;COUNTIFS($E$2:E6602,E6602)</f>
        <v>0</v>
      </c>
      <c r="B6602" s="166"/>
      <c r="C6602" s="168"/>
      <c r="D6602" s="167"/>
      <c r="E6602" s="166"/>
      <c r="F6602" s="165"/>
      <c r="G6602" s="164"/>
    </row>
    <row r="6603" spans="1:7" x14ac:dyDescent="0.25">
      <c r="A6603" s="169" t="str">
        <f>E6603&amp;COUNTIFS($E$2:E6603,E6603)</f>
        <v>0</v>
      </c>
      <c r="B6603" s="166"/>
      <c r="C6603" s="168"/>
      <c r="D6603" s="167"/>
      <c r="E6603" s="166"/>
      <c r="F6603" s="165"/>
      <c r="G6603" s="164"/>
    </row>
    <row r="6604" spans="1:7" x14ac:dyDescent="0.25">
      <c r="A6604" s="169" t="str">
        <f>E6604&amp;COUNTIFS($E$2:E6604,E6604)</f>
        <v>0</v>
      </c>
      <c r="B6604" s="166"/>
      <c r="C6604" s="168"/>
      <c r="D6604" s="167"/>
      <c r="E6604" s="166"/>
      <c r="F6604" s="165"/>
      <c r="G6604" s="164"/>
    </row>
    <row r="6605" spans="1:7" x14ac:dyDescent="0.25">
      <c r="A6605" s="169" t="str">
        <f>E6605&amp;COUNTIFS($E$2:E6605,E6605)</f>
        <v>0</v>
      </c>
      <c r="B6605" s="166"/>
      <c r="C6605" s="168"/>
      <c r="D6605" s="167"/>
      <c r="E6605" s="166"/>
      <c r="F6605" s="165"/>
      <c r="G6605" s="164"/>
    </row>
    <row r="6606" spans="1:7" x14ac:dyDescent="0.25">
      <c r="A6606" s="169" t="str">
        <f>E6606&amp;COUNTIFS($E$2:E6606,E6606)</f>
        <v>0</v>
      </c>
      <c r="B6606" s="166"/>
      <c r="C6606" s="168"/>
      <c r="D6606" s="167"/>
      <c r="E6606" s="166"/>
      <c r="F6606" s="165"/>
      <c r="G6606" s="164"/>
    </row>
    <row r="6607" spans="1:7" x14ac:dyDescent="0.25">
      <c r="A6607" s="169" t="str">
        <f>E6607&amp;COUNTIFS($E$2:E6607,E6607)</f>
        <v>0</v>
      </c>
      <c r="B6607" s="166"/>
      <c r="C6607" s="168"/>
      <c r="D6607" s="167"/>
      <c r="E6607" s="166"/>
      <c r="F6607" s="165"/>
      <c r="G6607" s="164"/>
    </row>
    <row r="6608" spans="1:7" x14ac:dyDescent="0.25">
      <c r="A6608" s="169" t="str">
        <f>E6608&amp;COUNTIFS($E$2:E6608,E6608)</f>
        <v>0</v>
      </c>
      <c r="B6608" s="166"/>
      <c r="C6608" s="168"/>
      <c r="D6608" s="167"/>
      <c r="E6608" s="166"/>
      <c r="F6608" s="165"/>
      <c r="G6608" s="164"/>
    </row>
    <row r="6609" spans="1:7" x14ac:dyDescent="0.25">
      <c r="A6609" s="169" t="str">
        <f>E6609&amp;COUNTIFS($E$2:E6609,E6609)</f>
        <v>0</v>
      </c>
      <c r="B6609" s="166"/>
      <c r="C6609" s="168"/>
      <c r="D6609" s="167"/>
      <c r="E6609" s="166"/>
      <c r="F6609" s="165"/>
      <c r="G6609" s="164"/>
    </row>
    <row r="6610" spans="1:7" x14ac:dyDescent="0.25">
      <c r="A6610" s="169" t="str">
        <f>E6610&amp;COUNTIFS($E$2:E6610,E6610)</f>
        <v>0</v>
      </c>
      <c r="B6610" s="166"/>
      <c r="C6610" s="168"/>
      <c r="D6610" s="167"/>
      <c r="E6610" s="166"/>
      <c r="F6610" s="165"/>
      <c r="G6610" s="164"/>
    </row>
    <row r="6611" spans="1:7" x14ac:dyDescent="0.25">
      <c r="A6611" s="169" t="str">
        <f>E6611&amp;COUNTIFS($E$2:E6611,E6611)</f>
        <v>0</v>
      </c>
      <c r="B6611" s="166"/>
      <c r="C6611" s="168"/>
      <c r="D6611" s="167"/>
      <c r="E6611" s="166"/>
      <c r="F6611" s="165"/>
      <c r="G6611" s="164"/>
    </row>
    <row r="6612" spans="1:7" x14ac:dyDescent="0.25">
      <c r="A6612" s="169" t="str">
        <f>E6612&amp;COUNTIFS($E$2:E6612,E6612)</f>
        <v>0</v>
      </c>
      <c r="B6612" s="166"/>
      <c r="C6612" s="168"/>
      <c r="D6612" s="167"/>
      <c r="E6612" s="166"/>
      <c r="F6612" s="165"/>
      <c r="G6612" s="164"/>
    </row>
    <row r="6613" spans="1:7" x14ac:dyDescent="0.25">
      <c r="A6613" s="169" t="str">
        <f>E6613&amp;COUNTIFS($E$2:E6613,E6613)</f>
        <v>0</v>
      </c>
      <c r="B6613" s="166"/>
      <c r="C6613" s="168"/>
      <c r="D6613" s="167"/>
      <c r="E6613" s="166"/>
      <c r="F6613" s="165"/>
      <c r="G6613" s="164"/>
    </row>
    <row r="6614" spans="1:7" x14ac:dyDescent="0.25">
      <c r="A6614" s="169" t="str">
        <f>E6614&amp;COUNTIFS($E$2:E6614,E6614)</f>
        <v>0</v>
      </c>
      <c r="B6614" s="166"/>
      <c r="C6614" s="168"/>
      <c r="D6614" s="167"/>
      <c r="E6614" s="166"/>
      <c r="F6614" s="165"/>
      <c r="G6614" s="164"/>
    </row>
    <row r="6615" spans="1:7" x14ac:dyDescent="0.25">
      <c r="A6615" s="169" t="str">
        <f>E6615&amp;COUNTIFS($E$2:E6615,E6615)</f>
        <v>0</v>
      </c>
      <c r="B6615" s="166"/>
      <c r="C6615" s="168"/>
      <c r="D6615" s="167"/>
      <c r="E6615" s="166"/>
      <c r="F6615" s="165"/>
      <c r="G6615" s="164"/>
    </row>
    <row r="6616" spans="1:7" x14ac:dyDescent="0.25">
      <c r="A6616" s="169" t="str">
        <f>E6616&amp;COUNTIFS($E$2:E6616,E6616)</f>
        <v>0</v>
      </c>
      <c r="B6616" s="166"/>
      <c r="C6616" s="168"/>
      <c r="D6616" s="167"/>
      <c r="E6616" s="166"/>
      <c r="F6616" s="165"/>
      <c r="G6616" s="164"/>
    </row>
    <row r="6617" spans="1:7" x14ac:dyDescent="0.25">
      <c r="A6617" s="169" t="str">
        <f>E6617&amp;COUNTIFS($E$2:E6617,E6617)</f>
        <v>0</v>
      </c>
      <c r="B6617" s="166"/>
      <c r="C6617" s="168"/>
      <c r="D6617" s="167"/>
      <c r="E6617" s="166"/>
      <c r="F6617" s="165"/>
      <c r="G6617" s="164"/>
    </row>
    <row r="6618" spans="1:7" x14ac:dyDescent="0.25">
      <c r="A6618" s="169" t="str">
        <f>E6618&amp;COUNTIFS($E$2:E6618,E6618)</f>
        <v>0</v>
      </c>
      <c r="B6618" s="166"/>
      <c r="C6618" s="168"/>
      <c r="D6618" s="167"/>
      <c r="E6618" s="166"/>
      <c r="F6618" s="165"/>
      <c r="G6618" s="164"/>
    </row>
    <row r="6619" spans="1:7" x14ac:dyDescent="0.25">
      <c r="A6619" s="169" t="str">
        <f>E6619&amp;COUNTIFS($E$2:E6619,E6619)</f>
        <v>0</v>
      </c>
      <c r="B6619" s="166"/>
      <c r="C6619" s="168"/>
      <c r="D6619" s="167"/>
      <c r="E6619" s="166"/>
      <c r="F6619" s="165"/>
      <c r="G6619" s="164"/>
    </row>
    <row r="6620" spans="1:7" x14ac:dyDescent="0.25">
      <c r="A6620" s="169" t="str">
        <f>E6620&amp;COUNTIFS($E$2:E6620,E6620)</f>
        <v>0</v>
      </c>
      <c r="B6620" s="166"/>
      <c r="C6620" s="168"/>
      <c r="D6620" s="167"/>
      <c r="E6620" s="166"/>
      <c r="F6620" s="165"/>
      <c r="G6620" s="164"/>
    </row>
    <row r="6621" spans="1:7" x14ac:dyDescent="0.25">
      <c r="A6621" s="169" t="str">
        <f>E6621&amp;COUNTIFS($E$2:E6621,E6621)</f>
        <v>0</v>
      </c>
      <c r="B6621" s="166"/>
      <c r="C6621" s="168"/>
      <c r="D6621" s="167"/>
      <c r="E6621" s="166"/>
      <c r="F6621" s="165"/>
      <c r="G6621" s="164"/>
    </row>
    <row r="6622" spans="1:7" ht="15.75" thickBot="1" x14ac:dyDescent="0.3">
      <c r="A6622" s="163" t="str">
        <f>E6622&amp;COUNTIFS($E$2:E6622,E6622)</f>
        <v>0</v>
      </c>
      <c r="B6622" s="160"/>
      <c r="C6622" s="162"/>
      <c r="D6622" s="161"/>
      <c r="E6622" s="160"/>
      <c r="F6622" s="159"/>
      <c r="G6622" s="158"/>
    </row>
    <row r="6623" spans="1:7" x14ac:dyDescent="0.25">
      <c r="A6623" s="148"/>
      <c r="C6623" s="143"/>
      <c r="D6623" s="157"/>
      <c r="E6623" s="143"/>
      <c r="F6623" s="156"/>
      <c r="G6623" s="156"/>
    </row>
    <row r="6624" spans="1:7" x14ac:dyDescent="0.25">
      <c r="A6624" s="148"/>
      <c r="C6624" s="153" t="s">
        <v>623</v>
      </c>
      <c r="D6624" s="152"/>
      <c r="E6624" s="151"/>
      <c r="F6624" s="150">
        <f>SUM(F6598:F6622)</f>
        <v>0</v>
      </c>
      <c r="G6624" s="155">
        <f>SUM(G6598:G6622)</f>
        <v>0</v>
      </c>
    </row>
    <row r="6625" spans="1:7" x14ac:dyDescent="0.25">
      <c r="A6625" s="148"/>
      <c r="C6625" s="145" t="s">
        <v>622</v>
      </c>
      <c r="D6625" s="154"/>
      <c r="E6625" s="145"/>
      <c r="F6625" s="144"/>
      <c r="G6625" s="144"/>
    </row>
    <row r="6626" spans="1:7" x14ac:dyDescent="0.25">
      <c r="A6626" s="148"/>
      <c r="C6626" s="153" t="s">
        <v>621</v>
      </c>
      <c r="D6626" s="152"/>
      <c r="E6626" s="151"/>
      <c r="F6626" s="150">
        <f>F6593</f>
        <v>0</v>
      </c>
      <c r="G6626" s="150">
        <f>G6593</f>
        <v>0</v>
      </c>
    </row>
    <row r="6627" spans="1:7" x14ac:dyDescent="0.25">
      <c r="A6627" s="148"/>
      <c r="C6627" s="153" t="s">
        <v>582</v>
      </c>
      <c r="D6627" s="152"/>
      <c r="E6627" s="151"/>
      <c r="F6627" s="150">
        <f>F6626+F6624</f>
        <v>0</v>
      </c>
      <c r="G6627" s="150">
        <f>G6626+G6624</f>
        <v>0</v>
      </c>
    </row>
    <row r="6628" spans="1:7" ht="15.75" thickBot="1" x14ac:dyDescent="0.3">
      <c r="A6628" s="148"/>
      <c r="C6628" s="145"/>
      <c r="D6628" s="149"/>
      <c r="E6628" s="145"/>
      <c r="F6628" s="144"/>
      <c r="G6628" s="144"/>
    </row>
    <row r="6629" spans="1:7" ht="15.75" thickBot="1" x14ac:dyDescent="0.3">
      <c r="A6629" s="148"/>
      <c r="C6629" s="147" t="s">
        <v>620</v>
      </c>
      <c r="D6629" s="146">
        <f>F6627-G6627</f>
        <v>0</v>
      </c>
      <c r="E6629" s="145"/>
      <c r="F6629" s="144"/>
      <c r="G6629" s="144"/>
    </row>
    <row r="6630" spans="1:7" ht="15.75" thickBot="1" x14ac:dyDescent="0.3"/>
    <row r="6631" spans="1:7" ht="30.75" thickBot="1" x14ac:dyDescent="0.3">
      <c r="A6631" s="190" t="s">
        <v>626</v>
      </c>
      <c r="B6631" s="189" t="s">
        <v>606</v>
      </c>
      <c r="C6631" s="188" t="s">
        <v>627</v>
      </c>
      <c r="D6631" s="187" t="s">
        <v>601</v>
      </c>
      <c r="E6631" s="186" t="s">
        <v>287</v>
      </c>
      <c r="F6631" s="185" t="s">
        <v>624</v>
      </c>
      <c r="G6631" s="185" t="s">
        <v>596</v>
      </c>
    </row>
    <row r="6632" spans="1:7" x14ac:dyDescent="0.25">
      <c r="A6632" s="175" t="str">
        <f>E6632&amp;COUNTIFS($E$2:E6632,E6632)</f>
        <v>0</v>
      </c>
      <c r="B6632" s="172"/>
      <c r="C6632" s="174"/>
      <c r="D6632" s="173"/>
      <c r="E6632" s="172"/>
      <c r="F6632" s="171"/>
      <c r="G6632" s="170"/>
    </row>
    <row r="6633" spans="1:7" x14ac:dyDescent="0.25">
      <c r="A6633" s="169" t="str">
        <f>E6633&amp;COUNTIFS($E$2:E6633,E6633)</f>
        <v>0</v>
      </c>
      <c r="B6633" s="166"/>
      <c r="C6633" s="168"/>
      <c r="D6633" s="167"/>
      <c r="E6633" s="166"/>
      <c r="F6633" s="165"/>
      <c r="G6633" s="164"/>
    </row>
    <row r="6634" spans="1:7" x14ac:dyDescent="0.25">
      <c r="A6634" s="169" t="str">
        <f>E6634&amp;COUNTIFS($E$2:E6634,E6634)</f>
        <v>0</v>
      </c>
      <c r="B6634" s="166"/>
      <c r="C6634" s="168"/>
      <c r="D6634" s="167"/>
      <c r="E6634" s="166"/>
      <c r="F6634" s="165"/>
      <c r="G6634" s="164"/>
    </row>
    <row r="6635" spans="1:7" x14ac:dyDescent="0.25">
      <c r="A6635" s="169" t="str">
        <f>E6635&amp;COUNTIFS($E$2:E6635,E6635)</f>
        <v>0</v>
      </c>
      <c r="B6635" s="166"/>
      <c r="C6635" s="168"/>
      <c r="D6635" s="167"/>
      <c r="E6635" s="166"/>
      <c r="F6635" s="165"/>
      <c r="G6635" s="164"/>
    </row>
    <row r="6636" spans="1:7" x14ac:dyDescent="0.25">
      <c r="A6636" s="169" t="str">
        <f>E6636&amp;COUNTIFS($E$2:E6636,E6636)</f>
        <v>0</v>
      </c>
      <c r="B6636" s="166"/>
      <c r="C6636" s="168"/>
      <c r="D6636" s="167"/>
      <c r="E6636" s="166"/>
      <c r="F6636" s="165"/>
      <c r="G6636" s="164"/>
    </row>
    <row r="6637" spans="1:7" x14ac:dyDescent="0.25">
      <c r="A6637" s="169" t="str">
        <f>E6637&amp;COUNTIFS($E$2:E6637,E6637)</f>
        <v>0</v>
      </c>
      <c r="B6637" s="166"/>
      <c r="C6637" s="168"/>
      <c r="D6637" s="167"/>
      <c r="E6637" s="166"/>
      <c r="F6637" s="165"/>
      <c r="G6637" s="164"/>
    </row>
    <row r="6638" spans="1:7" x14ac:dyDescent="0.25">
      <c r="A6638" s="169" t="str">
        <f>E6638&amp;COUNTIFS($E$2:E6638,E6638)</f>
        <v>0</v>
      </c>
      <c r="B6638" s="166"/>
      <c r="C6638" s="168"/>
      <c r="D6638" s="167"/>
      <c r="E6638" s="166"/>
      <c r="F6638" s="165"/>
      <c r="G6638" s="164"/>
    </row>
    <row r="6639" spans="1:7" x14ac:dyDescent="0.25">
      <c r="A6639" s="169" t="str">
        <f>E6639&amp;COUNTIFS($E$2:E6639,E6639)</f>
        <v>0</v>
      </c>
      <c r="B6639" s="166"/>
      <c r="C6639" s="168"/>
      <c r="D6639" s="167"/>
      <c r="E6639" s="166"/>
      <c r="F6639" s="165"/>
      <c r="G6639" s="164"/>
    </row>
    <row r="6640" spans="1:7" x14ac:dyDescent="0.25">
      <c r="A6640" s="169" t="str">
        <f>E6640&amp;COUNTIFS($E$2:E6640,E6640)</f>
        <v>0</v>
      </c>
      <c r="B6640" s="166"/>
      <c r="C6640" s="168"/>
      <c r="D6640" s="167"/>
      <c r="E6640" s="166"/>
      <c r="F6640" s="165"/>
      <c r="G6640" s="164"/>
    </row>
    <row r="6641" spans="1:7" x14ac:dyDescent="0.25">
      <c r="A6641" s="169" t="str">
        <f>E6641&amp;COUNTIFS($E$2:E6641,E6641)</f>
        <v>0</v>
      </c>
      <c r="B6641" s="166"/>
      <c r="C6641" s="168"/>
      <c r="D6641" s="167"/>
      <c r="E6641" s="166"/>
      <c r="F6641" s="165"/>
      <c r="G6641" s="164"/>
    </row>
    <row r="6642" spans="1:7" x14ac:dyDescent="0.25">
      <c r="A6642" s="169" t="str">
        <f>E6642&amp;COUNTIFS($E$2:E6642,E6642)</f>
        <v>0</v>
      </c>
      <c r="B6642" s="166"/>
      <c r="C6642" s="168"/>
      <c r="D6642" s="167"/>
      <c r="E6642" s="166"/>
      <c r="F6642" s="165"/>
      <c r="G6642" s="164"/>
    </row>
    <row r="6643" spans="1:7" x14ac:dyDescent="0.25">
      <c r="A6643" s="169" t="str">
        <f>E6643&amp;COUNTIFS($E$2:E6643,E6643)</f>
        <v>0</v>
      </c>
      <c r="B6643" s="166"/>
      <c r="C6643" s="168"/>
      <c r="D6643" s="167"/>
      <c r="E6643" s="166"/>
      <c r="F6643" s="165"/>
      <c r="G6643" s="164"/>
    </row>
    <row r="6644" spans="1:7" x14ac:dyDescent="0.25">
      <c r="A6644" s="169" t="str">
        <f>E6644&amp;COUNTIFS($E$2:E6644,E6644)</f>
        <v>0</v>
      </c>
      <c r="B6644" s="166"/>
      <c r="C6644" s="168"/>
      <c r="D6644" s="167"/>
      <c r="E6644" s="166"/>
      <c r="F6644" s="165"/>
      <c r="G6644" s="164"/>
    </row>
    <row r="6645" spans="1:7" x14ac:dyDescent="0.25">
      <c r="A6645" s="169" t="str">
        <f>E6645&amp;COUNTIFS($E$2:E6645,E6645)</f>
        <v>0</v>
      </c>
      <c r="B6645" s="166"/>
      <c r="C6645" s="168"/>
      <c r="D6645" s="167"/>
      <c r="E6645" s="166"/>
      <c r="F6645" s="165"/>
      <c r="G6645" s="164"/>
    </row>
    <row r="6646" spans="1:7" x14ac:dyDescent="0.25">
      <c r="A6646" s="169" t="str">
        <f>E6646&amp;COUNTIFS($E$2:E6646,E6646)</f>
        <v>0</v>
      </c>
      <c r="B6646" s="166"/>
      <c r="C6646" s="168"/>
      <c r="D6646" s="167"/>
      <c r="E6646" s="166"/>
      <c r="F6646" s="165"/>
      <c r="G6646" s="164"/>
    </row>
    <row r="6647" spans="1:7" x14ac:dyDescent="0.25">
      <c r="A6647" s="169" t="str">
        <f>E6647&amp;COUNTIFS($E$2:E6647,E6647)</f>
        <v>0</v>
      </c>
      <c r="B6647" s="166"/>
      <c r="C6647" s="168"/>
      <c r="D6647" s="167"/>
      <c r="E6647" s="166"/>
      <c r="F6647" s="165"/>
      <c r="G6647" s="164"/>
    </row>
    <row r="6648" spans="1:7" x14ac:dyDescent="0.25">
      <c r="A6648" s="169" t="str">
        <f>E6648&amp;COUNTIFS($E$2:E6648,E6648)</f>
        <v>0</v>
      </c>
      <c r="B6648" s="166"/>
      <c r="C6648" s="168"/>
      <c r="D6648" s="167"/>
      <c r="E6648" s="166"/>
      <c r="F6648" s="165"/>
      <c r="G6648" s="164"/>
    </row>
    <row r="6649" spans="1:7" x14ac:dyDescent="0.25">
      <c r="A6649" s="169" t="str">
        <f>E6649&amp;COUNTIFS($E$2:E6649,E6649)</f>
        <v>0</v>
      </c>
      <c r="B6649" s="166"/>
      <c r="C6649" s="168"/>
      <c r="D6649" s="167"/>
      <c r="E6649" s="166"/>
      <c r="F6649" s="165"/>
      <c r="G6649" s="164"/>
    </row>
    <row r="6650" spans="1:7" x14ac:dyDescent="0.25">
      <c r="A6650" s="169" t="str">
        <f>E6650&amp;COUNTIFS($E$2:E6650,E6650)</f>
        <v>0</v>
      </c>
      <c r="B6650" s="166"/>
      <c r="C6650" s="168"/>
      <c r="D6650" s="167"/>
      <c r="E6650" s="166"/>
      <c r="F6650" s="165"/>
      <c r="G6650" s="164"/>
    </row>
    <row r="6651" spans="1:7" x14ac:dyDescent="0.25">
      <c r="A6651" s="169" t="str">
        <f>E6651&amp;COUNTIFS($E$2:E6651,E6651)</f>
        <v>0</v>
      </c>
      <c r="B6651" s="166"/>
      <c r="C6651" s="168"/>
      <c r="D6651" s="167"/>
      <c r="E6651" s="166"/>
      <c r="F6651" s="165"/>
      <c r="G6651" s="164"/>
    </row>
    <row r="6652" spans="1:7" x14ac:dyDescent="0.25">
      <c r="A6652" s="169" t="str">
        <f>E6652&amp;COUNTIFS($E$2:E6652,E6652)</f>
        <v>0</v>
      </c>
      <c r="B6652" s="166"/>
      <c r="C6652" s="168"/>
      <c r="D6652" s="167"/>
      <c r="E6652" s="166"/>
      <c r="F6652" s="165"/>
      <c r="G6652" s="164"/>
    </row>
    <row r="6653" spans="1:7" x14ac:dyDescent="0.25">
      <c r="A6653" s="169" t="str">
        <f>E6653&amp;COUNTIFS($E$2:E6653,E6653)</f>
        <v>0</v>
      </c>
      <c r="B6653" s="166"/>
      <c r="C6653" s="168"/>
      <c r="D6653" s="167"/>
      <c r="E6653" s="166"/>
      <c r="F6653" s="165"/>
      <c r="G6653" s="164"/>
    </row>
    <row r="6654" spans="1:7" x14ac:dyDescent="0.25">
      <c r="A6654" s="169" t="str">
        <f>E6654&amp;COUNTIFS($E$2:E6654,E6654)</f>
        <v>0</v>
      </c>
      <c r="B6654" s="166"/>
      <c r="C6654" s="168"/>
      <c r="D6654" s="167"/>
      <c r="E6654" s="166"/>
      <c r="F6654" s="165"/>
      <c r="G6654" s="164"/>
    </row>
    <row r="6655" spans="1:7" x14ac:dyDescent="0.25">
      <c r="A6655" s="169" t="str">
        <f>E6655&amp;COUNTIFS($E$2:E6655,E6655)</f>
        <v>0</v>
      </c>
      <c r="B6655" s="166"/>
      <c r="C6655" s="168"/>
      <c r="D6655" s="167"/>
      <c r="E6655" s="166"/>
      <c r="F6655" s="165"/>
      <c r="G6655" s="164"/>
    </row>
    <row r="6656" spans="1:7" ht="15.75" thickBot="1" x14ac:dyDescent="0.3">
      <c r="A6656" s="163" t="str">
        <f>E6656&amp;COUNTIFS($E$2:E6656,E6656)</f>
        <v>0</v>
      </c>
      <c r="B6656" s="160"/>
      <c r="C6656" s="162"/>
      <c r="D6656" s="161"/>
      <c r="E6656" s="160"/>
      <c r="F6656" s="159"/>
      <c r="G6656" s="158"/>
    </row>
    <row r="6657" spans="1:7" x14ac:dyDescent="0.25">
      <c r="A6657" s="148"/>
      <c r="C6657" s="143"/>
      <c r="D6657" s="157"/>
      <c r="E6657" s="143"/>
      <c r="F6657" s="156"/>
      <c r="G6657" s="156"/>
    </row>
    <row r="6658" spans="1:7" x14ac:dyDescent="0.25">
      <c r="A6658" s="148"/>
      <c r="C6658" s="153" t="s">
        <v>623</v>
      </c>
      <c r="D6658" s="152"/>
      <c r="E6658" s="151"/>
      <c r="F6658" s="150">
        <f>SUM(F6632:F6656)</f>
        <v>0</v>
      </c>
      <c r="G6658" s="155">
        <f>SUM(G6632:G6656)</f>
        <v>0</v>
      </c>
    </row>
    <row r="6659" spans="1:7" x14ac:dyDescent="0.25">
      <c r="A6659" s="148"/>
      <c r="C6659" s="145" t="s">
        <v>622</v>
      </c>
      <c r="D6659" s="154"/>
      <c r="E6659" s="145"/>
      <c r="F6659" s="144"/>
      <c r="G6659" s="144"/>
    </row>
    <row r="6660" spans="1:7" x14ac:dyDescent="0.25">
      <c r="A6660" s="148"/>
      <c r="C6660" s="153" t="s">
        <v>621</v>
      </c>
      <c r="D6660" s="152"/>
      <c r="E6660" s="151"/>
      <c r="F6660" s="150">
        <f>F6627</f>
        <v>0</v>
      </c>
      <c r="G6660" s="150">
        <f>G6627</f>
        <v>0</v>
      </c>
    </row>
    <row r="6661" spans="1:7" x14ac:dyDescent="0.25">
      <c r="A6661" s="148"/>
      <c r="C6661" s="153" t="s">
        <v>582</v>
      </c>
      <c r="D6661" s="152"/>
      <c r="E6661" s="151"/>
      <c r="F6661" s="150">
        <f>F6660+F6658</f>
        <v>0</v>
      </c>
      <c r="G6661" s="150">
        <f>G6660+G6658</f>
        <v>0</v>
      </c>
    </row>
    <row r="6662" spans="1:7" ht="15.75" thickBot="1" x14ac:dyDescent="0.3">
      <c r="A6662" s="148"/>
      <c r="C6662" s="145"/>
      <c r="D6662" s="149"/>
      <c r="E6662" s="145"/>
      <c r="F6662" s="144"/>
      <c r="G6662" s="144"/>
    </row>
    <row r="6663" spans="1:7" ht="15.75" thickBot="1" x14ac:dyDescent="0.3">
      <c r="A6663" s="148"/>
      <c r="C6663" s="147" t="s">
        <v>620</v>
      </c>
      <c r="D6663" s="146">
        <f>F6661-G6661</f>
        <v>0</v>
      </c>
      <c r="E6663" s="145"/>
      <c r="F6663" s="144"/>
      <c r="G6663" s="144"/>
    </row>
    <row r="6664" spans="1:7" ht="15.75" thickBot="1" x14ac:dyDescent="0.3"/>
    <row r="6665" spans="1:7" ht="30.75" thickBot="1" x14ac:dyDescent="0.3">
      <c r="A6665" s="181" t="s">
        <v>626</v>
      </c>
      <c r="B6665" s="180" t="s">
        <v>606</v>
      </c>
      <c r="C6665" s="179" t="s">
        <v>625</v>
      </c>
      <c r="D6665" s="178" t="s">
        <v>601</v>
      </c>
      <c r="E6665" s="177" t="s">
        <v>287</v>
      </c>
      <c r="F6665" s="176" t="s">
        <v>624</v>
      </c>
      <c r="G6665" s="176" t="s">
        <v>596</v>
      </c>
    </row>
    <row r="6666" spans="1:7" x14ac:dyDescent="0.25">
      <c r="A6666" s="175" t="str">
        <f>E6666&amp;COUNTIFS($E$2:E6666,E6666)</f>
        <v>0</v>
      </c>
      <c r="B6666" s="172"/>
      <c r="C6666" s="174"/>
      <c r="D6666" s="173"/>
      <c r="E6666" s="172"/>
      <c r="F6666" s="171"/>
      <c r="G6666" s="170"/>
    </row>
    <row r="6667" spans="1:7" x14ac:dyDescent="0.25">
      <c r="A6667" s="169" t="str">
        <f>E6667&amp;COUNTIFS($E$2:E6667,E6667)</f>
        <v>0</v>
      </c>
      <c r="B6667" s="166"/>
      <c r="C6667" s="168"/>
      <c r="D6667" s="167"/>
      <c r="E6667" s="166"/>
      <c r="F6667" s="165"/>
      <c r="G6667" s="164"/>
    </row>
    <row r="6668" spans="1:7" x14ac:dyDescent="0.25">
      <c r="A6668" s="169" t="str">
        <f>E6668&amp;COUNTIFS($E$2:E6668,E6668)</f>
        <v>0</v>
      </c>
      <c r="B6668" s="166"/>
      <c r="C6668" s="168"/>
      <c r="D6668" s="167"/>
      <c r="E6668" s="166"/>
      <c r="F6668" s="165"/>
      <c r="G6668" s="164"/>
    </row>
    <row r="6669" spans="1:7" x14ac:dyDescent="0.25">
      <c r="A6669" s="169" t="str">
        <f>E6669&amp;COUNTIFS($E$2:E6669,E6669)</f>
        <v>0</v>
      </c>
      <c r="B6669" s="166"/>
      <c r="C6669" s="168"/>
      <c r="D6669" s="167"/>
      <c r="E6669" s="166"/>
      <c r="F6669" s="165"/>
      <c r="G6669" s="164"/>
    </row>
    <row r="6670" spans="1:7" x14ac:dyDescent="0.25">
      <c r="A6670" s="169" t="str">
        <f>E6670&amp;COUNTIFS($E$2:E6670,E6670)</f>
        <v>0</v>
      </c>
      <c r="B6670" s="166"/>
      <c r="C6670" s="168"/>
      <c r="D6670" s="167"/>
      <c r="E6670" s="166"/>
      <c r="F6670" s="165"/>
      <c r="G6670" s="164"/>
    </row>
    <row r="6671" spans="1:7" x14ac:dyDescent="0.25">
      <c r="A6671" s="169" t="str">
        <f>E6671&amp;COUNTIFS($E$2:E6671,E6671)</f>
        <v>0</v>
      </c>
      <c r="B6671" s="166"/>
      <c r="C6671" s="168"/>
      <c r="D6671" s="167"/>
      <c r="E6671" s="166"/>
      <c r="F6671" s="165"/>
      <c r="G6671" s="164"/>
    </row>
    <row r="6672" spans="1:7" x14ac:dyDescent="0.25">
      <c r="A6672" s="169" t="str">
        <f>E6672&amp;COUNTIFS($E$2:E6672,E6672)</f>
        <v>0</v>
      </c>
      <c r="B6672" s="166"/>
      <c r="C6672" s="168"/>
      <c r="D6672" s="167"/>
      <c r="E6672" s="166"/>
      <c r="F6672" s="165"/>
      <c r="G6672" s="164"/>
    </row>
    <row r="6673" spans="1:7" x14ac:dyDescent="0.25">
      <c r="A6673" s="169" t="str">
        <f>E6673&amp;COUNTIFS($E$2:E6673,E6673)</f>
        <v>0</v>
      </c>
      <c r="B6673" s="166"/>
      <c r="C6673" s="168"/>
      <c r="D6673" s="167"/>
      <c r="E6673" s="166"/>
      <c r="F6673" s="165"/>
      <c r="G6673" s="164"/>
    </row>
    <row r="6674" spans="1:7" x14ac:dyDescent="0.25">
      <c r="A6674" s="169" t="str">
        <f>E6674&amp;COUNTIFS($E$2:E6674,E6674)</f>
        <v>0</v>
      </c>
      <c r="B6674" s="166"/>
      <c r="C6674" s="168"/>
      <c r="D6674" s="167"/>
      <c r="E6674" s="166"/>
      <c r="F6674" s="165"/>
      <c r="G6674" s="164"/>
    </row>
    <row r="6675" spans="1:7" x14ac:dyDescent="0.25">
      <c r="A6675" s="169" t="str">
        <f>E6675&amp;COUNTIFS($E$2:E6675,E6675)</f>
        <v>0</v>
      </c>
      <c r="B6675" s="166"/>
      <c r="C6675" s="168"/>
      <c r="D6675" s="167"/>
      <c r="E6675" s="166"/>
      <c r="F6675" s="165"/>
      <c r="G6675" s="164"/>
    </row>
    <row r="6676" spans="1:7" x14ac:dyDescent="0.25">
      <c r="A6676" s="169" t="str">
        <f>E6676&amp;COUNTIFS($E$2:E6676,E6676)</f>
        <v>0</v>
      </c>
      <c r="B6676" s="166"/>
      <c r="C6676" s="168"/>
      <c r="D6676" s="167"/>
      <c r="E6676" s="166"/>
      <c r="F6676" s="165"/>
      <c r="G6676" s="164"/>
    </row>
    <row r="6677" spans="1:7" x14ac:dyDescent="0.25">
      <c r="A6677" s="169" t="str">
        <f>E6677&amp;COUNTIFS($E$2:E6677,E6677)</f>
        <v>0</v>
      </c>
      <c r="B6677" s="166"/>
      <c r="C6677" s="168"/>
      <c r="D6677" s="167"/>
      <c r="E6677" s="166"/>
      <c r="F6677" s="165"/>
      <c r="G6677" s="164"/>
    </row>
    <row r="6678" spans="1:7" x14ac:dyDescent="0.25">
      <c r="A6678" s="169" t="str">
        <f>E6678&amp;COUNTIFS($E$2:E6678,E6678)</f>
        <v>0</v>
      </c>
      <c r="B6678" s="166"/>
      <c r="C6678" s="168"/>
      <c r="D6678" s="167"/>
      <c r="E6678" s="166"/>
      <c r="F6678" s="165"/>
      <c r="G6678" s="164"/>
    </row>
    <row r="6679" spans="1:7" x14ac:dyDescent="0.25">
      <c r="A6679" s="169" t="str">
        <f>E6679&amp;COUNTIFS($E$2:E6679,E6679)</f>
        <v>0</v>
      </c>
      <c r="B6679" s="166"/>
      <c r="C6679" s="168"/>
      <c r="D6679" s="167"/>
      <c r="E6679" s="166"/>
      <c r="F6679" s="165"/>
      <c r="G6679" s="164"/>
    </row>
    <row r="6680" spans="1:7" x14ac:dyDescent="0.25">
      <c r="A6680" s="169" t="str">
        <f>E6680&amp;COUNTIFS($E$2:E6680,E6680)</f>
        <v>0</v>
      </c>
      <c r="B6680" s="166"/>
      <c r="C6680" s="168"/>
      <c r="D6680" s="167"/>
      <c r="E6680" s="166"/>
      <c r="F6680" s="165"/>
      <c r="G6680" s="164"/>
    </row>
    <row r="6681" spans="1:7" x14ac:dyDescent="0.25">
      <c r="A6681" s="169" t="str">
        <f>E6681&amp;COUNTIFS($E$2:E6681,E6681)</f>
        <v>0</v>
      </c>
      <c r="B6681" s="166"/>
      <c r="C6681" s="168"/>
      <c r="D6681" s="167"/>
      <c r="E6681" s="166"/>
      <c r="F6681" s="165"/>
      <c r="G6681" s="164"/>
    </row>
    <row r="6682" spans="1:7" x14ac:dyDescent="0.25">
      <c r="A6682" s="169" t="str">
        <f>E6682&amp;COUNTIFS($E$2:E6682,E6682)</f>
        <v>0</v>
      </c>
      <c r="B6682" s="166"/>
      <c r="C6682" s="168"/>
      <c r="D6682" s="167"/>
      <c r="E6682" s="166"/>
      <c r="F6682" s="165"/>
      <c r="G6682" s="164"/>
    </row>
    <row r="6683" spans="1:7" x14ac:dyDescent="0.25">
      <c r="A6683" s="169" t="str">
        <f>E6683&amp;COUNTIFS($E$2:E6683,E6683)</f>
        <v>0</v>
      </c>
      <c r="B6683" s="166"/>
      <c r="C6683" s="168"/>
      <c r="D6683" s="167"/>
      <c r="E6683" s="166"/>
      <c r="F6683" s="165"/>
      <c r="G6683" s="164"/>
    </row>
    <row r="6684" spans="1:7" x14ac:dyDescent="0.25">
      <c r="A6684" s="169" t="str">
        <f>E6684&amp;COUNTIFS($E$2:E6684,E6684)</f>
        <v>0</v>
      </c>
      <c r="B6684" s="166"/>
      <c r="C6684" s="168"/>
      <c r="D6684" s="167"/>
      <c r="E6684" s="166"/>
      <c r="F6684" s="165"/>
      <c r="G6684" s="164"/>
    </row>
    <row r="6685" spans="1:7" x14ac:dyDescent="0.25">
      <c r="A6685" s="169" t="str">
        <f>E6685&amp;COUNTIFS($E$2:E6685,E6685)</f>
        <v>0</v>
      </c>
      <c r="B6685" s="166"/>
      <c r="C6685" s="168"/>
      <c r="D6685" s="167"/>
      <c r="E6685" s="166"/>
      <c r="F6685" s="165"/>
      <c r="G6685" s="164"/>
    </row>
    <row r="6686" spans="1:7" x14ac:dyDescent="0.25">
      <c r="A6686" s="169" t="str">
        <f>E6686&amp;COUNTIFS($E$2:E6686,E6686)</f>
        <v>0</v>
      </c>
      <c r="B6686" s="166"/>
      <c r="C6686" s="168"/>
      <c r="D6686" s="167"/>
      <c r="E6686" s="166"/>
      <c r="F6686" s="165"/>
      <c r="G6686" s="164"/>
    </row>
    <row r="6687" spans="1:7" x14ac:dyDescent="0.25">
      <c r="A6687" s="169" t="str">
        <f>E6687&amp;COUNTIFS($E$2:E6687,E6687)</f>
        <v>0</v>
      </c>
      <c r="B6687" s="166"/>
      <c r="C6687" s="168"/>
      <c r="D6687" s="167"/>
      <c r="E6687" s="166"/>
      <c r="F6687" s="165"/>
      <c r="G6687" s="164"/>
    </row>
    <row r="6688" spans="1:7" x14ac:dyDescent="0.25">
      <c r="A6688" s="169" t="str">
        <f>E6688&amp;COUNTIFS($E$2:E6688,E6688)</f>
        <v>0</v>
      </c>
      <c r="B6688" s="166"/>
      <c r="C6688" s="168"/>
      <c r="D6688" s="167"/>
      <c r="E6688" s="166"/>
      <c r="F6688" s="165"/>
      <c r="G6688" s="164"/>
    </row>
    <row r="6689" spans="1:7" x14ac:dyDescent="0.25">
      <c r="A6689" s="169" t="str">
        <f>E6689&amp;COUNTIFS($E$2:E6689,E6689)</f>
        <v>0</v>
      </c>
      <c r="B6689" s="166"/>
      <c r="C6689" s="168"/>
      <c r="D6689" s="167"/>
      <c r="E6689" s="166"/>
      <c r="F6689" s="165"/>
      <c r="G6689" s="164"/>
    </row>
    <row r="6690" spans="1:7" ht="15.75" thickBot="1" x14ac:dyDescent="0.3">
      <c r="A6690" s="163" t="str">
        <f>E6690&amp;COUNTIFS($E$2:E6690,E6690)</f>
        <v>0</v>
      </c>
      <c r="B6690" s="160"/>
      <c r="C6690" s="162"/>
      <c r="D6690" s="161"/>
      <c r="E6690" s="160"/>
      <c r="F6690" s="159"/>
      <c r="G6690" s="158"/>
    </row>
    <row r="6691" spans="1:7" x14ac:dyDescent="0.25">
      <c r="A6691" s="148"/>
      <c r="C6691" s="143"/>
      <c r="D6691" s="157"/>
      <c r="E6691" s="143"/>
      <c r="F6691" s="156"/>
      <c r="G6691" s="156"/>
    </row>
    <row r="6692" spans="1:7" x14ac:dyDescent="0.25">
      <c r="A6692" s="148"/>
      <c r="C6692" s="153" t="s">
        <v>623</v>
      </c>
      <c r="D6692" s="152"/>
      <c r="E6692" s="151"/>
      <c r="F6692" s="150">
        <f>SUM(F6666:F6690)</f>
        <v>0</v>
      </c>
      <c r="G6692" s="155">
        <f>SUM(G6666:G6690)</f>
        <v>0</v>
      </c>
    </row>
    <row r="6693" spans="1:7" x14ac:dyDescent="0.25">
      <c r="A6693" s="148"/>
      <c r="C6693" s="145" t="s">
        <v>622</v>
      </c>
      <c r="D6693" s="154"/>
      <c r="E6693" s="145"/>
      <c r="F6693" s="144"/>
      <c r="G6693" s="144"/>
    </row>
    <row r="6694" spans="1:7" x14ac:dyDescent="0.25">
      <c r="A6694" s="148"/>
      <c r="C6694" s="153" t="s">
        <v>621</v>
      </c>
      <c r="D6694" s="152"/>
      <c r="E6694" s="151"/>
      <c r="F6694" s="150">
        <f>F6661</f>
        <v>0</v>
      </c>
      <c r="G6694" s="150">
        <f>G6661</f>
        <v>0</v>
      </c>
    </row>
    <row r="6695" spans="1:7" x14ac:dyDescent="0.25">
      <c r="A6695" s="148"/>
      <c r="C6695" s="153" t="s">
        <v>582</v>
      </c>
      <c r="D6695" s="152"/>
      <c r="E6695" s="151"/>
      <c r="F6695" s="150">
        <f>F6694+F6692</f>
        <v>0</v>
      </c>
      <c r="G6695" s="150">
        <f>G6694+G6692</f>
        <v>0</v>
      </c>
    </row>
    <row r="6696" spans="1:7" ht="15.75" thickBot="1" x14ac:dyDescent="0.3">
      <c r="A6696" s="148"/>
      <c r="C6696" s="145"/>
      <c r="D6696" s="149"/>
      <c r="E6696" s="145"/>
      <c r="F6696" s="144"/>
      <c r="G6696" s="144"/>
    </row>
    <row r="6697" spans="1:7" ht="15.75" thickBot="1" x14ac:dyDescent="0.3">
      <c r="A6697" s="148"/>
      <c r="C6697" s="147" t="s">
        <v>620</v>
      </c>
      <c r="D6697" s="146">
        <f>F6695-G6695</f>
        <v>0</v>
      </c>
      <c r="E6697" s="145"/>
      <c r="F6697" s="144"/>
      <c r="G6697" s="144"/>
    </row>
    <row r="6698" spans="1:7" ht="15.75" thickBot="1" x14ac:dyDescent="0.3"/>
    <row r="6699" spans="1:7" ht="30.75" thickBot="1" x14ac:dyDescent="0.3">
      <c r="A6699" s="181" t="s">
        <v>626</v>
      </c>
      <c r="B6699" s="180" t="s">
        <v>606</v>
      </c>
      <c r="C6699" s="179" t="s">
        <v>625</v>
      </c>
      <c r="D6699" s="178" t="s">
        <v>601</v>
      </c>
      <c r="E6699" s="177" t="s">
        <v>287</v>
      </c>
      <c r="F6699" s="176" t="s">
        <v>624</v>
      </c>
      <c r="G6699" s="176" t="s">
        <v>596</v>
      </c>
    </row>
    <row r="6700" spans="1:7" x14ac:dyDescent="0.25">
      <c r="A6700" s="175" t="str">
        <f>E6700&amp;COUNTIFS($E$2:E6700,E6700)</f>
        <v>0</v>
      </c>
      <c r="B6700" s="172"/>
      <c r="C6700" s="174"/>
      <c r="D6700" s="173"/>
      <c r="E6700" s="172"/>
      <c r="F6700" s="171"/>
      <c r="G6700" s="170"/>
    </row>
    <row r="6701" spans="1:7" x14ac:dyDescent="0.25">
      <c r="A6701" s="169" t="str">
        <f>E6701&amp;COUNTIFS($E$2:E6701,E6701)</f>
        <v>0</v>
      </c>
      <c r="B6701" s="166"/>
      <c r="C6701" s="168"/>
      <c r="D6701" s="167"/>
      <c r="E6701" s="166"/>
      <c r="F6701" s="165"/>
      <c r="G6701" s="164"/>
    </row>
    <row r="6702" spans="1:7" x14ac:dyDescent="0.25">
      <c r="A6702" s="169" t="str">
        <f>E6702&amp;COUNTIFS($E$2:E6702,E6702)</f>
        <v>0</v>
      </c>
      <c r="B6702" s="166"/>
      <c r="C6702" s="168"/>
      <c r="D6702" s="167"/>
      <c r="E6702" s="166"/>
      <c r="F6702" s="165"/>
      <c r="G6702" s="164"/>
    </row>
    <row r="6703" spans="1:7" x14ac:dyDescent="0.25">
      <c r="A6703" s="169" t="str">
        <f>E6703&amp;COUNTIFS($E$2:E6703,E6703)</f>
        <v>0</v>
      </c>
      <c r="B6703" s="166"/>
      <c r="C6703" s="168"/>
      <c r="D6703" s="167"/>
      <c r="E6703" s="166"/>
      <c r="F6703" s="165"/>
      <c r="G6703" s="164"/>
    </row>
    <row r="6704" spans="1:7" x14ac:dyDescent="0.25">
      <c r="A6704" s="169" t="str">
        <f>E6704&amp;COUNTIFS($E$2:E6704,E6704)</f>
        <v>0</v>
      </c>
      <c r="B6704" s="166"/>
      <c r="C6704" s="168"/>
      <c r="D6704" s="167"/>
      <c r="E6704" s="166"/>
      <c r="F6704" s="165"/>
      <c r="G6704" s="164"/>
    </row>
    <row r="6705" spans="1:7" x14ac:dyDescent="0.25">
      <c r="A6705" s="169" t="str">
        <f>E6705&amp;COUNTIFS($E$2:E6705,E6705)</f>
        <v>0</v>
      </c>
      <c r="B6705" s="166"/>
      <c r="C6705" s="168"/>
      <c r="D6705" s="184"/>
      <c r="E6705" s="183"/>
      <c r="F6705" s="165"/>
      <c r="G6705" s="164"/>
    </row>
    <row r="6706" spans="1:7" x14ac:dyDescent="0.25">
      <c r="A6706" s="169" t="str">
        <f>E6706&amp;COUNTIFS($E$2:E6706,E6706)</f>
        <v>0</v>
      </c>
      <c r="B6706" s="166"/>
      <c r="C6706" s="168"/>
      <c r="D6706" s="167"/>
      <c r="E6706" s="166"/>
      <c r="F6706" s="165"/>
      <c r="G6706" s="164"/>
    </row>
    <row r="6707" spans="1:7" x14ac:dyDescent="0.25">
      <c r="A6707" s="169" t="str">
        <f>E6707&amp;COUNTIFS($E$2:E6707,E6707)</f>
        <v>0</v>
      </c>
      <c r="B6707" s="166"/>
      <c r="C6707" s="168"/>
      <c r="D6707" s="167"/>
      <c r="E6707" s="166"/>
      <c r="F6707" s="165"/>
      <c r="G6707" s="164"/>
    </row>
    <row r="6708" spans="1:7" x14ac:dyDescent="0.25">
      <c r="A6708" s="169" t="str">
        <f>E6708&amp;COUNTIFS($E$2:E6708,E6708)</f>
        <v>0</v>
      </c>
      <c r="B6708" s="166"/>
      <c r="C6708" s="168"/>
      <c r="D6708" s="167"/>
      <c r="E6708" s="166"/>
      <c r="F6708" s="165"/>
      <c r="G6708" s="164"/>
    </row>
    <row r="6709" spans="1:7" x14ac:dyDescent="0.25">
      <c r="A6709" s="169" t="str">
        <f>E6709&amp;COUNTIFS($E$2:E6709,E6709)</f>
        <v>0</v>
      </c>
      <c r="B6709" s="166"/>
      <c r="C6709" s="168"/>
      <c r="D6709" s="167"/>
      <c r="E6709" s="166"/>
      <c r="F6709" s="165"/>
      <c r="G6709" s="164"/>
    </row>
    <row r="6710" spans="1:7" x14ac:dyDescent="0.25">
      <c r="A6710" s="169" t="str">
        <f>E6710&amp;COUNTIFS($E$2:E6710,E6710)</f>
        <v>0</v>
      </c>
      <c r="B6710" s="166"/>
      <c r="C6710" s="168"/>
      <c r="D6710" s="167"/>
      <c r="E6710" s="166"/>
      <c r="F6710" s="165"/>
      <c r="G6710" s="164"/>
    </row>
    <row r="6711" spans="1:7" x14ac:dyDescent="0.25">
      <c r="A6711" s="169" t="str">
        <f>E6711&amp;COUNTIFS($E$2:E6711,E6711)</f>
        <v>0</v>
      </c>
      <c r="B6711" s="166"/>
      <c r="C6711" s="168"/>
      <c r="D6711" s="167"/>
      <c r="E6711" s="166"/>
      <c r="F6711" s="165"/>
      <c r="G6711" s="164"/>
    </row>
    <row r="6712" spans="1:7" x14ac:dyDescent="0.25">
      <c r="A6712" s="169" t="str">
        <f>E6712&amp;COUNTIFS($E$2:E6712,E6712)</f>
        <v>0</v>
      </c>
      <c r="B6712" s="166"/>
      <c r="C6712" s="168"/>
      <c r="D6712" s="167"/>
      <c r="E6712" s="166"/>
      <c r="F6712" s="165"/>
      <c r="G6712" s="164"/>
    </row>
    <row r="6713" spans="1:7" x14ac:dyDescent="0.25">
      <c r="A6713" s="169" t="str">
        <f>E6713&amp;COUNTIFS($E$2:E6713,E6713)</f>
        <v>0</v>
      </c>
      <c r="B6713" s="166"/>
      <c r="C6713" s="168"/>
      <c r="D6713" s="167"/>
      <c r="E6713" s="166"/>
      <c r="F6713" s="165"/>
      <c r="G6713" s="164"/>
    </row>
    <row r="6714" spans="1:7" x14ac:dyDescent="0.25">
      <c r="A6714" s="169" t="str">
        <f>E6714&amp;COUNTIFS($E$2:E6714,E6714)</f>
        <v>0</v>
      </c>
      <c r="B6714" s="166"/>
      <c r="C6714" s="168"/>
      <c r="D6714" s="167"/>
      <c r="E6714" s="166"/>
      <c r="F6714" s="165"/>
      <c r="G6714" s="164"/>
    </row>
    <row r="6715" spans="1:7" x14ac:dyDescent="0.25">
      <c r="A6715" s="169" t="str">
        <f>E6715&amp;COUNTIFS($E$2:E6715,E6715)</f>
        <v>0</v>
      </c>
      <c r="B6715" s="166"/>
      <c r="C6715" s="168"/>
      <c r="D6715" s="167"/>
      <c r="E6715" s="166"/>
      <c r="F6715" s="165"/>
      <c r="G6715" s="164"/>
    </row>
    <row r="6716" spans="1:7" x14ac:dyDescent="0.25">
      <c r="A6716" s="169" t="str">
        <f>E6716&amp;COUNTIFS($E$2:E6716,E6716)</f>
        <v>0</v>
      </c>
      <c r="B6716" s="166"/>
      <c r="C6716" s="168"/>
      <c r="D6716" s="167"/>
      <c r="E6716" s="166"/>
      <c r="F6716" s="165"/>
      <c r="G6716" s="164"/>
    </row>
    <row r="6717" spans="1:7" x14ac:dyDescent="0.25">
      <c r="A6717" s="169" t="str">
        <f>E6717&amp;COUNTIFS($E$2:E6717,E6717)</f>
        <v>0</v>
      </c>
      <c r="B6717" s="166"/>
      <c r="C6717" s="168"/>
      <c r="D6717" s="167"/>
      <c r="E6717" s="166"/>
      <c r="F6717" s="165"/>
      <c r="G6717" s="164"/>
    </row>
    <row r="6718" spans="1:7" x14ac:dyDescent="0.25">
      <c r="A6718" s="169" t="str">
        <f>E6718&amp;COUNTIFS($E$2:E6718,E6718)</f>
        <v>0</v>
      </c>
      <c r="B6718" s="166"/>
      <c r="C6718" s="168"/>
      <c r="D6718" s="167"/>
      <c r="E6718" s="166"/>
      <c r="F6718" s="165"/>
      <c r="G6718" s="164"/>
    </row>
    <row r="6719" spans="1:7" x14ac:dyDescent="0.25">
      <c r="A6719" s="169" t="str">
        <f>E6719&amp;COUNTIFS($E$2:E6719,E6719)</f>
        <v>0</v>
      </c>
      <c r="B6719" s="166"/>
      <c r="C6719" s="168"/>
      <c r="D6719" s="167"/>
      <c r="E6719" s="166"/>
      <c r="F6719" s="165"/>
      <c r="G6719" s="164"/>
    </row>
    <row r="6720" spans="1:7" x14ac:dyDescent="0.25">
      <c r="A6720" s="169" t="str">
        <f>E6720&amp;COUNTIFS($E$2:E6720,E6720)</f>
        <v>0</v>
      </c>
      <c r="B6720" s="166"/>
      <c r="C6720" s="168"/>
      <c r="D6720" s="167"/>
      <c r="E6720" s="166"/>
      <c r="F6720" s="165"/>
      <c r="G6720" s="164"/>
    </row>
    <row r="6721" spans="1:7" x14ac:dyDescent="0.25">
      <c r="A6721" s="169" t="str">
        <f>E6721&amp;COUNTIFS($E$2:E6721,E6721)</f>
        <v>0</v>
      </c>
      <c r="B6721" s="166"/>
      <c r="C6721" s="168"/>
      <c r="D6721" s="167"/>
      <c r="E6721" s="166"/>
      <c r="F6721" s="165"/>
      <c r="G6721" s="164"/>
    </row>
    <row r="6722" spans="1:7" x14ac:dyDescent="0.25">
      <c r="A6722" s="169" t="str">
        <f>E6722&amp;COUNTIFS($E$2:E6722,E6722)</f>
        <v>0</v>
      </c>
      <c r="B6722" s="166"/>
      <c r="C6722" s="168"/>
      <c r="D6722" s="167"/>
      <c r="E6722" s="166"/>
      <c r="F6722" s="165"/>
      <c r="G6722" s="164"/>
    </row>
    <row r="6723" spans="1:7" x14ac:dyDescent="0.25">
      <c r="A6723" s="169" t="str">
        <f>E6723&amp;COUNTIFS($E$2:E6723,E6723)</f>
        <v>0</v>
      </c>
      <c r="B6723" s="166"/>
      <c r="C6723" s="168"/>
      <c r="D6723" s="167"/>
      <c r="E6723" s="166"/>
      <c r="F6723" s="165"/>
      <c r="G6723" s="164"/>
    </row>
    <row r="6724" spans="1:7" ht="15.75" thickBot="1" x14ac:dyDescent="0.3">
      <c r="A6724" s="163" t="str">
        <f>E6724&amp;COUNTIFS($E$2:E6724,E6724)</f>
        <v>0</v>
      </c>
      <c r="B6724" s="160"/>
      <c r="C6724" s="162"/>
      <c r="D6724" s="161"/>
      <c r="E6724" s="160"/>
      <c r="F6724" s="159"/>
      <c r="G6724" s="158"/>
    </row>
    <row r="6725" spans="1:7" x14ac:dyDescent="0.25">
      <c r="A6725" s="148"/>
      <c r="C6725" s="143"/>
      <c r="D6725" s="157"/>
      <c r="E6725" s="143"/>
      <c r="F6725" s="156"/>
      <c r="G6725" s="156"/>
    </row>
    <row r="6726" spans="1:7" x14ac:dyDescent="0.25">
      <c r="A6726" s="148"/>
      <c r="C6726" s="153" t="s">
        <v>623</v>
      </c>
      <c r="D6726" s="152"/>
      <c r="E6726" s="151"/>
      <c r="F6726" s="150">
        <f>SUM(F6700:F6724)</f>
        <v>0</v>
      </c>
      <c r="G6726" s="155">
        <f>SUM(G6700:G6724)</f>
        <v>0</v>
      </c>
    </row>
    <row r="6727" spans="1:7" x14ac:dyDescent="0.25">
      <c r="A6727" s="148"/>
      <c r="C6727" s="145" t="s">
        <v>622</v>
      </c>
      <c r="D6727" s="154"/>
      <c r="E6727" s="145"/>
      <c r="F6727" s="144"/>
      <c r="G6727" s="144"/>
    </row>
    <row r="6728" spans="1:7" x14ac:dyDescent="0.25">
      <c r="A6728" s="148"/>
      <c r="C6728" s="153" t="s">
        <v>621</v>
      </c>
      <c r="D6728" s="152"/>
      <c r="E6728" s="151"/>
      <c r="F6728" s="150">
        <f>F6695</f>
        <v>0</v>
      </c>
      <c r="G6728" s="150">
        <f>G6695</f>
        <v>0</v>
      </c>
    </row>
    <row r="6729" spans="1:7" x14ac:dyDescent="0.25">
      <c r="A6729" s="148"/>
      <c r="C6729" s="153" t="s">
        <v>582</v>
      </c>
      <c r="D6729" s="152"/>
      <c r="E6729" s="151"/>
      <c r="F6729" s="150">
        <f>F6728+F6726</f>
        <v>0</v>
      </c>
      <c r="G6729" s="150">
        <f>G6728+G6726</f>
        <v>0</v>
      </c>
    </row>
    <row r="6730" spans="1:7" ht="15.75" thickBot="1" x14ac:dyDescent="0.3">
      <c r="A6730" s="148"/>
      <c r="C6730" s="145"/>
      <c r="D6730" s="149"/>
      <c r="E6730" s="145"/>
      <c r="F6730" s="144"/>
      <c r="G6730" s="144"/>
    </row>
    <row r="6731" spans="1:7" ht="15.75" thickBot="1" x14ac:dyDescent="0.3">
      <c r="A6731" s="148"/>
      <c r="C6731" s="147" t="s">
        <v>620</v>
      </c>
      <c r="D6731" s="146">
        <f>F6729-G6729</f>
        <v>0</v>
      </c>
      <c r="E6731" s="145"/>
      <c r="F6731" s="144"/>
      <c r="G6731" s="144"/>
    </row>
    <row r="6732" spans="1:7" ht="15.75" thickBot="1" x14ac:dyDescent="0.3"/>
    <row r="6733" spans="1:7" ht="30.75" thickBot="1" x14ac:dyDescent="0.3">
      <c r="A6733" s="181" t="s">
        <v>626</v>
      </c>
      <c r="B6733" s="180" t="s">
        <v>606</v>
      </c>
      <c r="C6733" s="179" t="s">
        <v>625</v>
      </c>
      <c r="D6733" s="178" t="s">
        <v>601</v>
      </c>
      <c r="E6733" s="177" t="s">
        <v>287</v>
      </c>
      <c r="F6733" s="176" t="s">
        <v>624</v>
      </c>
      <c r="G6733" s="176" t="s">
        <v>596</v>
      </c>
    </row>
    <row r="6734" spans="1:7" x14ac:dyDescent="0.25">
      <c r="A6734" s="175" t="str">
        <f>E6734&amp;COUNTIFS($E$2:E6734,E6734)</f>
        <v>0</v>
      </c>
      <c r="B6734" s="172"/>
      <c r="C6734" s="174"/>
      <c r="D6734" s="173"/>
      <c r="E6734" s="172"/>
      <c r="F6734" s="171"/>
      <c r="G6734" s="170"/>
    </row>
    <row r="6735" spans="1:7" x14ac:dyDescent="0.25">
      <c r="A6735" s="169" t="str">
        <f>E6735&amp;COUNTIFS($E$2:E6735,E6735)</f>
        <v>0</v>
      </c>
      <c r="B6735" s="166"/>
      <c r="C6735" s="168"/>
      <c r="D6735" s="167"/>
      <c r="E6735" s="166"/>
      <c r="F6735" s="165"/>
      <c r="G6735" s="164"/>
    </row>
    <row r="6736" spans="1:7" x14ac:dyDescent="0.25">
      <c r="A6736" s="169" t="str">
        <f>E6736&amp;COUNTIFS($E$2:E6736,E6736)</f>
        <v>0</v>
      </c>
      <c r="B6736" s="166"/>
      <c r="C6736" s="168"/>
      <c r="D6736" s="167"/>
      <c r="E6736" s="166"/>
      <c r="F6736" s="165"/>
      <c r="G6736" s="164"/>
    </row>
    <row r="6737" spans="1:7" x14ac:dyDescent="0.25">
      <c r="A6737" s="169" t="str">
        <f>E6737&amp;COUNTIFS($E$2:E6737,E6737)</f>
        <v>0</v>
      </c>
      <c r="B6737" s="166"/>
      <c r="C6737" s="168"/>
      <c r="D6737" s="167"/>
      <c r="E6737" s="166"/>
      <c r="F6737" s="165"/>
      <c r="G6737" s="164"/>
    </row>
    <row r="6738" spans="1:7" x14ac:dyDescent="0.25">
      <c r="A6738" s="169" t="str">
        <f>E6738&amp;COUNTIFS($E$2:E6738,E6738)</f>
        <v>0</v>
      </c>
      <c r="B6738" s="166"/>
      <c r="C6738" s="168"/>
      <c r="D6738" s="167"/>
      <c r="E6738" s="166"/>
      <c r="F6738" s="165"/>
      <c r="G6738" s="164"/>
    </row>
    <row r="6739" spans="1:7" x14ac:dyDescent="0.25">
      <c r="A6739" s="169" t="str">
        <f>E6739&amp;COUNTIFS($E$2:E6739,E6739)</f>
        <v>0</v>
      </c>
      <c r="B6739" s="166"/>
      <c r="C6739" s="168"/>
      <c r="D6739" s="167"/>
      <c r="E6739" s="166"/>
      <c r="F6739" s="165"/>
      <c r="G6739" s="164"/>
    </row>
    <row r="6740" spans="1:7" x14ac:dyDescent="0.25">
      <c r="A6740" s="169" t="str">
        <f>E6740&amp;COUNTIFS($E$2:E6740,E6740)</f>
        <v>0</v>
      </c>
      <c r="B6740" s="166"/>
      <c r="C6740" s="168"/>
      <c r="D6740" s="167"/>
      <c r="E6740" s="166"/>
      <c r="F6740" s="165"/>
      <c r="G6740" s="164"/>
    </row>
    <row r="6741" spans="1:7" x14ac:dyDescent="0.25">
      <c r="A6741" s="169" t="str">
        <f>E6741&amp;COUNTIFS($E$2:E6741,E6741)</f>
        <v>0</v>
      </c>
      <c r="B6741" s="166"/>
      <c r="C6741" s="168"/>
      <c r="D6741" s="167"/>
      <c r="E6741" s="166"/>
      <c r="F6741" s="165"/>
      <c r="G6741" s="164"/>
    </row>
    <row r="6742" spans="1:7" x14ac:dyDescent="0.25">
      <c r="A6742" s="169" t="str">
        <f>E6742&amp;COUNTIFS($E$2:E6742,E6742)</f>
        <v>0</v>
      </c>
      <c r="B6742" s="166"/>
      <c r="C6742" s="168"/>
      <c r="D6742" s="167"/>
      <c r="E6742" s="166"/>
      <c r="F6742" s="165"/>
      <c r="G6742" s="164"/>
    </row>
    <row r="6743" spans="1:7" x14ac:dyDescent="0.25">
      <c r="A6743" s="169" t="str">
        <f>E6743&amp;COUNTIFS($E$2:E6743,E6743)</f>
        <v>0</v>
      </c>
      <c r="B6743" s="166"/>
      <c r="C6743" s="168"/>
      <c r="D6743" s="167"/>
      <c r="E6743" s="166"/>
      <c r="F6743" s="165"/>
      <c r="G6743" s="164"/>
    </row>
    <row r="6744" spans="1:7" x14ac:dyDescent="0.25">
      <c r="A6744" s="169" t="str">
        <f>E6744&amp;COUNTIFS($E$2:E6744,E6744)</f>
        <v>0</v>
      </c>
      <c r="B6744" s="166"/>
      <c r="C6744" s="168"/>
      <c r="D6744" s="167"/>
      <c r="E6744" s="166"/>
      <c r="F6744" s="165"/>
      <c r="G6744" s="164"/>
    </row>
    <row r="6745" spans="1:7" x14ac:dyDescent="0.25">
      <c r="A6745" s="169" t="str">
        <f>E6745&amp;COUNTIFS($E$2:E6745,E6745)</f>
        <v>0</v>
      </c>
      <c r="B6745" s="166"/>
      <c r="C6745" s="168"/>
      <c r="D6745" s="167"/>
      <c r="E6745" s="166"/>
      <c r="F6745" s="165"/>
      <c r="G6745" s="164"/>
    </row>
    <row r="6746" spans="1:7" x14ac:dyDescent="0.25">
      <c r="A6746" s="169" t="str">
        <f>E6746&amp;COUNTIFS($E$2:E6746,E6746)</f>
        <v>0</v>
      </c>
      <c r="B6746" s="166"/>
      <c r="C6746" s="168"/>
      <c r="D6746" s="167"/>
      <c r="E6746" s="166"/>
      <c r="F6746" s="165"/>
      <c r="G6746" s="164"/>
    </row>
    <row r="6747" spans="1:7" x14ac:dyDescent="0.25">
      <c r="A6747" s="169" t="str">
        <f>E6747&amp;COUNTIFS($E$2:E6747,E6747)</f>
        <v>0</v>
      </c>
      <c r="B6747" s="166"/>
      <c r="C6747" s="168"/>
      <c r="D6747" s="167"/>
      <c r="E6747" s="166"/>
      <c r="F6747" s="165"/>
      <c r="G6747" s="164"/>
    </row>
    <row r="6748" spans="1:7" x14ac:dyDescent="0.25">
      <c r="A6748" s="169" t="str">
        <f>E6748&amp;COUNTIFS($E$2:E6748,E6748)</f>
        <v>0</v>
      </c>
      <c r="B6748" s="166"/>
      <c r="C6748" s="168"/>
      <c r="D6748" s="167"/>
      <c r="E6748" s="166"/>
      <c r="F6748" s="165"/>
      <c r="G6748" s="164"/>
    </row>
    <row r="6749" spans="1:7" x14ac:dyDescent="0.25">
      <c r="A6749" s="169" t="str">
        <f>E6749&amp;COUNTIFS($E$2:E6749,E6749)</f>
        <v>0</v>
      </c>
      <c r="B6749" s="166"/>
      <c r="C6749" s="168"/>
      <c r="D6749" s="167"/>
      <c r="E6749" s="166"/>
      <c r="F6749" s="165"/>
      <c r="G6749" s="164"/>
    </row>
    <row r="6750" spans="1:7" x14ac:dyDescent="0.25">
      <c r="A6750" s="169" t="str">
        <f>E6750&amp;COUNTIFS($E$2:E6750,E6750)</f>
        <v>0</v>
      </c>
      <c r="B6750" s="166"/>
      <c r="C6750" s="168"/>
      <c r="D6750" s="167"/>
      <c r="E6750" s="166"/>
      <c r="F6750" s="165"/>
      <c r="G6750" s="164"/>
    </row>
    <row r="6751" spans="1:7" x14ac:dyDescent="0.25">
      <c r="A6751" s="169" t="str">
        <f>E6751&amp;COUNTIFS($E$2:E6751,E6751)</f>
        <v>0</v>
      </c>
      <c r="B6751" s="166"/>
      <c r="C6751" s="168"/>
      <c r="D6751" s="167"/>
      <c r="E6751" s="166"/>
      <c r="F6751" s="165"/>
      <c r="G6751" s="164"/>
    </row>
    <row r="6752" spans="1:7" x14ac:dyDescent="0.25">
      <c r="A6752" s="169" t="str">
        <f>E6752&amp;COUNTIFS($E$2:E6752,E6752)</f>
        <v>0</v>
      </c>
      <c r="B6752" s="166"/>
      <c r="C6752" s="168"/>
      <c r="D6752" s="167"/>
      <c r="E6752" s="166"/>
      <c r="F6752" s="165"/>
      <c r="G6752" s="164"/>
    </row>
    <row r="6753" spans="1:7" x14ac:dyDescent="0.25">
      <c r="A6753" s="169" t="str">
        <f>E6753&amp;COUNTIFS($E$2:E6753,E6753)</f>
        <v>0</v>
      </c>
      <c r="B6753" s="166"/>
      <c r="C6753" s="168"/>
      <c r="D6753" s="167"/>
      <c r="E6753" s="166"/>
      <c r="F6753" s="165"/>
      <c r="G6753" s="164"/>
    </row>
    <row r="6754" spans="1:7" x14ac:dyDescent="0.25">
      <c r="A6754" s="169" t="str">
        <f>E6754&amp;COUNTIFS($E$2:E6754,E6754)</f>
        <v>0</v>
      </c>
      <c r="B6754" s="166"/>
      <c r="C6754" s="168"/>
      <c r="D6754" s="167"/>
      <c r="E6754" s="166"/>
      <c r="F6754" s="165"/>
      <c r="G6754" s="164"/>
    </row>
    <row r="6755" spans="1:7" x14ac:dyDescent="0.25">
      <c r="A6755" s="169" t="str">
        <f>E6755&amp;COUNTIFS($E$2:E6755,E6755)</f>
        <v>0</v>
      </c>
      <c r="B6755" s="166"/>
      <c r="C6755" s="168"/>
      <c r="D6755" s="167"/>
      <c r="E6755" s="166"/>
      <c r="F6755" s="165"/>
      <c r="G6755" s="164"/>
    </row>
    <row r="6756" spans="1:7" x14ac:dyDescent="0.25">
      <c r="A6756" s="169" t="str">
        <f>E6756&amp;COUNTIFS($E$2:E6756,E6756)</f>
        <v>0</v>
      </c>
      <c r="B6756" s="166"/>
      <c r="C6756" s="168"/>
      <c r="D6756" s="167"/>
      <c r="E6756" s="166"/>
      <c r="F6756" s="165"/>
      <c r="G6756" s="164"/>
    </row>
    <row r="6757" spans="1:7" x14ac:dyDescent="0.25">
      <c r="A6757" s="169" t="str">
        <f>E6757&amp;COUNTIFS($E$2:E6757,E6757)</f>
        <v>0</v>
      </c>
      <c r="B6757" s="166"/>
      <c r="C6757" s="168"/>
      <c r="D6757" s="167"/>
      <c r="E6757" s="166"/>
      <c r="F6757" s="165"/>
      <c r="G6757" s="164"/>
    </row>
    <row r="6758" spans="1:7" ht="15.75" thickBot="1" x14ac:dyDescent="0.3">
      <c r="A6758" s="163" t="str">
        <f>E6758&amp;COUNTIFS($E$2:E6758,E6758)</f>
        <v>0</v>
      </c>
      <c r="B6758" s="160"/>
      <c r="C6758" s="162"/>
      <c r="D6758" s="161"/>
      <c r="E6758" s="160"/>
      <c r="F6758" s="159"/>
      <c r="G6758" s="158"/>
    </row>
    <row r="6759" spans="1:7" x14ac:dyDescent="0.25">
      <c r="A6759" s="148"/>
      <c r="C6759" s="143"/>
      <c r="D6759" s="157"/>
      <c r="E6759" s="143"/>
      <c r="F6759" s="156"/>
      <c r="G6759" s="156"/>
    </row>
    <row r="6760" spans="1:7" x14ac:dyDescent="0.25">
      <c r="A6760" s="148"/>
      <c r="C6760" s="153" t="s">
        <v>623</v>
      </c>
      <c r="D6760" s="152"/>
      <c r="E6760" s="151"/>
      <c r="F6760" s="150">
        <f>SUM(F6734:F6758)</f>
        <v>0</v>
      </c>
      <c r="G6760" s="155">
        <f>SUM(G6734:G6758)</f>
        <v>0</v>
      </c>
    </row>
    <row r="6761" spans="1:7" x14ac:dyDescent="0.25">
      <c r="A6761" s="148"/>
      <c r="C6761" s="145" t="s">
        <v>622</v>
      </c>
      <c r="D6761" s="154"/>
      <c r="E6761" s="145"/>
      <c r="F6761" s="144"/>
      <c r="G6761" s="144"/>
    </row>
    <row r="6762" spans="1:7" x14ac:dyDescent="0.25">
      <c r="A6762" s="148"/>
      <c r="C6762" s="153" t="s">
        <v>621</v>
      </c>
      <c r="D6762" s="152"/>
      <c r="E6762" s="151"/>
      <c r="F6762" s="150">
        <f>F6729</f>
        <v>0</v>
      </c>
      <c r="G6762" s="150">
        <f>G6729</f>
        <v>0</v>
      </c>
    </row>
    <row r="6763" spans="1:7" x14ac:dyDescent="0.25">
      <c r="A6763" s="148"/>
      <c r="C6763" s="153" t="s">
        <v>582</v>
      </c>
      <c r="D6763" s="152"/>
      <c r="E6763" s="151"/>
      <c r="F6763" s="150">
        <f>F6762+F6760</f>
        <v>0</v>
      </c>
      <c r="G6763" s="150">
        <f>G6762+G6760</f>
        <v>0</v>
      </c>
    </row>
    <row r="6764" spans="1:7" ht="15.75" thickBot="1" x14ac:dyDescent="0.3">
      <c r="A6764" s="148"/>
      <c r="C6764" s="145"/>
      <c r="D6764" s="149"/>
      <c r="E6764" s="145"/>
      <c r="F6764" s="144"/>
      <c r="G6764" s="144"/>
    </row>
    <row r="6765" spans="1:7" ht="15.75" thickBot="1" x14ac:dyDescent="0.3">
      <c r="A6765" s="148"/>
      <c r="C6765" s="147" t="s">
        <v>620</v>
      </c>
      <c r="D6765" s="146">
        <f>F6763-G6763</f>
        <v>0</v>
      </c>
      <c r="E6765" s="145"/>
      <c r="F6765" s="144"/>
      <c r="G6765" s="144"/>
    </row>
    <row r="6766" spans="1:7" ht="15.75" thickBot="1" x14ac:dyDescent="0.3"/>
    <row r="6767" spans="1:7" ht="30.75" thickBot="1" x14ac:dyDescent="0.3">
      <c r="A6767" s="181" t="s">
        <v>626</v>
      </c>
      <c r="B6767" s="180" t="s">
        <v>606</v>
      </c>
      <c r="C6767" s="179" t="s">
        <v>625</v>
      </c>
      <c r="D6767" s="178" t="s">
        <v>601</v>
      </c>
      <c r="E6767" s="177" t="s">
        <v>287</v>
      </c>
      <c r="F6767" s="176" t="s">
        <v>624</v>
      </c>
      <c r="G6767" s="176" t="s">
        <v>596</v>
      </c>
    </row>
    <row r="6768" spans="1:7" x14ac:dyDescent="0.25">
      <c r="A6768" s="175" t="str">
        <f>E6768&amp;COUNTIFS($E$2:E6768,E6768)</f>
        <v>0</v>
      </c>
      <c r="B6768" s="172"/>
      <c r="C6768" s="174"/>
      <c r="D6768" s="173"/>
      <c r="E6768" s="172"/>
      <c r="F6768" s="171"/>
      <c r="G6768" s="170"/>
    </row>
    <row r="6769" spans="1:7" x14ac:dyDescent="0.25">
      <c r="A6769" s="169" t="str">
        <f>E6769&amp;COUNTIFS($E$2:E6769,E6769)</f>
        <v>0</v>
      </c>
      <c r="B6769" s="166"/>
      <c r="C6769" s="168"/>
      <c r="D6769" s="167"/>
      <c r="E6769" s="166"/>
      <c r="F6769" s="165"/>
      <c r="G6769" s="164"/>
    </row>
    <row r="6770" spans="1:7" x14ac:dyDescent="0.25">
      <c r="A6770" s="169" t="str">
        <f>E6770&amp;COUNTIFS($E$2:E6770,E6770)</f>
        <v>0</v>
      </c>
      <c r="B6770" s="166"/>
      <c r="C6770" s="168"/>
      <c r="D6770" s="167"/>
      <c r="E6770" s="166"/>
      <c r="F6770" s="165"/>
      <c r="G6770" s="164"/>
    </row>
    <row r="6771" spans="1:7" x14ac:dyDescent="0.25">
      <c r="A6771" s="169" t="str">
        <f>E6771&amp;COUNTIFS($E$2:E6771,E6771)</f>
        <v>0</v>
      </c>
      <c r="B6771" s="166"/>
      <c r="C6771" s="168"/>
      <c r="D6771" s="167"/>
      <c r="E6771" s="166"/>
      <c r="F6771" s="165"/>
      <c r="G6771" s="164"/>
    </row>
    <row r="6772" spans="1:7" x14ac:dyDescent="0.25">
      <c r="A6772" s="169" t="str">
        <f>E6772&amp;COUNTIFS($E$2:E6772,E6772)</f>
        <v>0</v>
      </c>
      <c r="B6772" s="166"/>
      <c r="C6772" s="168"/>
      <c r="D6772" s="167"/>
      <c r="E6772" s="166"/>
      <c r="F6772" s="165"/>
      <c r="G6772" s="164"/>
    </row>
    <row r="6773" spans="1:7" x14ac:dyDescent="0.25">
      <c r="A6773" s="169" t="str">
        <f>E6773&amp;COUNTIFS($E$2:E6773,E6773)</f>
        <v>0</v>
      </c>
      <c r="B6773" s="166"/>
      <c r="C6773" s="168"/>
      <c r="D6773" s="167"/>
      <c r="E6773" s="166"/>
      <c r="F6773" s="165"/>
      <c r="G6773" s="164"/>
    </row>
    <row r="6774" spans="1:7" x14ac:dyDescent="0.25">
      <c r="A6774" s="169" t="str">
        <f>E6774&amp;COUNTIFS($E$2:E6774,E6774)</f>
        <v>0</v>
      </c>
      <c r="B6774" s="166"/>
      <c r="C6774" s="168"/>
      <c r="D6774" s="167"/>
      <c r="E6774" s="166"/>
      <c r="F6774" s="165"/>
      <c r="G6774" s="164"/>
    </row>
    <row r="6775" spans="1:7" x14ac:dyDescent="0.25">
      <c r="A6775" s="169" t="str">
        <f>E6775&amp;COUNTIFS($E$2:E6775,E6775)</f>
        <v>0</v>
      </c>
      <c r="B6775" s="166"/>
      <c r="C6775" s="168"/>
      <c r="D6775" s="167"/>
      <c r="E6775" s="166"/>
      <c r="F6775" s="165"/>
      <c r="G6775" s="164"/>
    </row>
    <row r="6776" spans="1:7" x14ac:dyDescent="0.25">
      <c r="A6776" s="169" t="str">
        <f>E6776&amp;COUNTIFS($E$2:E6776,E6776)</f>
        <v>0</v>
      </c>
      <c r="B6776" s="166"/>
      <c r="C6776" s="168"/>
      <c r="D6776" s="167"/>
      <c r="E6776" s="166"/>
      <c r="F6776" s="165"/>
      <c r="G6776" s="164"/>
    </row>
    <row r="6777" spans="1:7" x14ac:dyDescent="0.25">
      <c r="A6777" s="169" t="str">
        <f>E6777&amp;COUNTIFS($E$2:E6777,E6777)</f>
        <v>0</v>
      </c>
      <c r="B6777" s="166"/>
      <c r="C6777" s="168"/>
      <c r="D6777" s="167"/>
      <c r="E6777" s="166"/>
      <c r="F6777" s="165"/>
      <c r="G6777" s="164"/>
    </row>
    <row r="6778" spans="1:7" x14ac:dyDescent="0.25">
      <c r="A6778" s="169" t="str">
        <f>E6778&amp;COUNTIFS($E$2:E6778,E6778)</f>
        <v>0</v>
      </c>
      <c r="B6778" s="166"/>
      <c r="C6778" s="168"/>
      <c r="D6778" s="167"/>
      <c r="E6778" s="166"/>
      <c r="F6778" s="165"/>
      <c r="G6778" s="164"/>
    </row>
    <row r="6779" spans="1:7" x14ac:dyDescent="0.25">
      <c r="A6779" s="169" t="str">
        <f>E6779&amp;COUNTIFS($E$2:E6779,E6779)</f>
        <v>0</v>
      </c>
      <c r="B6779" s="166"/>
      <c r="C6779" s="168"/>
      <c r="D6779" s="167"/>
      <c r="E6779" s="166"/>
      <c r="F6779" s="165"/>
      <c r="G6779" s="164"/>
    </row>
    <row r="6780" spans="1:7" x14ac:dyDescent="0.25">
      <c r="A6780" s="169" t="str">
        <f>E6780&amp;COUNTIFS($E$2:E6780,E6780)</f>
        <v>0</v>
      </c>
      <c r="B6780" s="166"/>
      <c r="C6780" s="168"/>
      <c r="D6780" s="167"/>
      <c r="E6780" s="166"/>
      <c r="F6780" s="165"/>
      <c r="G6780" s="164"/>
    </row>
    <row r="6781" spans="1:7" x14ac:dyDescent="0.25">
      <c r="A6781" s="169" t="str">
        <f>E6781&amp;COUNTIFS($E$2:E6781,E6781)</f>
        <v>0</v>
      </c>
      <c r="B6781" s="166"/>
      <c r="C6781" s="168"/>
      <c r="D6781" s="167"/>
      <c r="E6781" s="166"/>
      <c r="F6781" s="165"/>
      <c r="G6781" s="164"/>
    </row>
    <row r="6782" spans="1:7" x14ac:dyDescent="0.25">
      <c r="A6782" s="169" t="str">
        <f>E6782&amp;COUNTIFS($E$2:E6782,E6782)</f>
        <v>0</v>
      </c>
      <c r="B6782" s="166"/>
      <c r="C6782" s="168"/>
      <c r="D6782" s="167"/>
      <c r="E6782" s="166"/>
      <c r="F6782" s="165"/>
      <c r="G6782" s="164"/>
    </row>
    <row r="6783" spans="1:7" x14ac:dyDescent="0.25">
      <c r="A6783" s="169" t="str">
        <f>E6783&amp;COUNTIFS($E$2:E6783,E6783)</f>
        <v>0</v>
      </c>
      <c r="B6783" s="166"/>
      <c r="C6783" s="168"/>
      <c r="D6783" s="167"/>
      <c r="E6783" s="166"/>
      <c r="F6783" s="165"/>
      <c r="G6783" s="164"/>
    </row>
    <row r="6784" spans="1:7" x14ac:dyDescent="0.25">
      <c r="A6784" s="169" t="str">
        <f>E6784&amp;COUNTIFS($E$2:E6784,E6784)</f>
        <v>0</v>
      </c>
      <c r="B6784" s="166"/>
      <c r="C6784" s="168"/>
      <c r="D6784" s="167"/>
      <c r="E6784" s="166"/>
      <c r="F6784" s="165"/>
      <c r="G6784" s="164"/>
    </row>
    <row r="6785" spans="1:7" x14ac:dyDescent="0.25">
      <c r="A6785" s="169" t="str">
        <f>E6785&amp;COUNTIFS($E$2:E6785,E6785)</f>
        <v>0</v>
      </c>
      <c r="B6785" s="166"/>
      <c r="C6785" s="168"/>
      <c r="D6785" s="167"/>
      <c r="E6785" s="166"/>
      <c r="F6785" s="165"/>
      <c r="G6785" s="164"/>
    </row>
    <row r="6786" spans="1:7" x14ac:dyDescent="0.25">
      <c r="A6786" s="169" t="str">
        <f>E6786&amp;COUNTIFS($E$2:E6786,E6786)</f>
        <v>0</v>
      </c>
      <c r="B6786" s="166"/>
      <c r="C6786" s="168"/>
      <c r="D6786" s="167"/>
      <c r="E6786" s="166"/>
      <c r="F6786" s="165"/>
      <c r="G6786" s="164"/>
    </row>
    <row r="6787" spans="1:7" x14ac:dyDescent="0.25">
      <c r="A6787" s="169" t="str">
        <f>E6787&amp;COUNTIFS($E$2:E6787,E6787)</f>
        <v>0</v>
      </c>
      <c r="B6787" s="166"/>
      <c r="C6787" s="168"/>
      <c r="D6787" s="167"/>
      <c r="E6787" s="166"/>
      <c r="F6787" s="165"/>
      <c r="G6787" s="164"/>
    </row>
    <row r="6788" spans="1:7" x14ac:dyDescent="0.25">
      <c r="A6788" s="169" t="str">
        <f>E6788&amp;COUNTIFS($E$2:E6788,E6788)</f>
        <v>0</v>
      </c>
      <c r="B6788" s="166"/>
      <c r="C6788" s="168"/>
      <c r="D6788" s="167"/>
      <c r="E6788" s="166"/>
      <c r="F6788" s="165"/>
      <c r="G6788" s="164"/>
    </row>
    <row r="6789" spans="1:7" x14ac:dyDescent="0.25">
      <c r="A6789" s="169" t="str">
        <f>E6789&amp;COUNTIFS($E$2:E6789,E6789)</f>
        <v>0</v>
      </c>
      <c r="B6789" s="166"/>
      <c r="C6789" s="168"/>
      <c r="D6789" s="167"/>
      <c r="E6789" s="166"/>
      <c r="F6789" s="165"/>
      <c r="G6789" s="164"/>
    </row>
    <row r="6790" spans="1:7" x14ac:dyDescent="0.25">
      <c r="A6790" s="169" t="str">
        <f>E6790&amp;COUNTIFS($E$2:E6790,E6790)</f>
        <v>0</v>
      </c>
      <c r="B6790" s="166"/>
      <c r="C6790" s="168"/>
      <c r="D6790" s="167"/>
      <c r="E6790" s="166"/>
      <c r="F6790" s="165"/>
      <c r="G6790" s="164"/>
    </row>
    <row r="6791" spans="1:7" x14ac:dyDescent="0.25">
      <c r="A6791" s="169" t="str">
        <f>E6791&amp;COUNTIFS($E$2:E6791,E6791)</f>
        <v>0</v>
      </c>
      <c r="B6791" s="166"/>
      <c r="C6791" s="168"/>
      <c r="D6791" s="167"/>
      <c r="E6791" s="166"/>
      <c r="F6791" s="165"/>
      <c r="G6791" s="164"/>
    </row>
    <row r="6792" spans="1:7" ht="15.75" thickBot="1" x14ac:dyDescent="0.3">
      <c r="A6792" s="163" t="str">
        <f>E6792&amp;COUNTIFS($E$2:E6792,E6792)</f>
        <v>0</v>
      </c>
      <c r="B6792" s="160"/>
      <c r="C6792" s="162"/>
      <c r="D6792" s="161"/>
      <c r="E6792" s="160"/>
      <c r="F6792" s="159"/>
      <c r="G6792" s="158"/>
    </row>
    <row r="6793" spans="1:7" x14ac:dyDescent="0.25">
      <c r="A6793" s="148"/>
      <c r="C6793" s="143"/>
      <c r="D6793" s="157"/>
      <c r="E6793" s="143"/>
      <c r="F6793" s="156"/>
      <c r="G6793" s="156"/>
    </row>
    <row r="6794" spans="1:7" x14ac:dyDescent="0.25">
      <c r="A6794" s="148"/>
      <c r="C6794" s="153" t="s">
        <v>623</v>
      </c>
      <c r="D6794" s="152"/>
      <c r="E6794" s="151"/>
      <c r="F6794" s="150">
        <f>SUM(F6768:F6792)</f>
        <v>0</v>
      </c>
      <c r="G6794" s="155">
        <f>SUM(G6768:G6792)</f>
        <v>0</v>
      </c>
    </row>
    <row r="6795" spans="1:7" x14ac:dyDescent="0.25">
      <c r="A6795" s="148"/>
      <c r="C6795" s="145" t="s">
        <v>622</v>
      </c>
      <c r="D6795" s="154"/>
      <c r="E6795" s="145"/>
      <c r="F6795" s="144"/>
      <c r="G6795" s="144"/>
    </row>
    <row r="6796" spans="1:7" x14ac:dyDescent="0.25">
      <c r="A6796" s="148"/>
      <c r="C6796" s="153" t="s">
        <v>621</v>
      </c>
      <c r="D6796" s="152"/>
      <c r="E6796" s="151"/>
      <c r="F6796" s="150">
        <f>F6763</f>
        <v>0</v>
      </c>
      <c r="G6796" s="150">
        <f>G6763</f>
        <v>0</v>
      </c>
    </row>
    <row r="6797" spans="1:7" x14ac:dyDescent="0.25">
      <c r="A6797" s="148"/>
      <c r="C6797" s="153" t="s">
        <v>582</v>
      </c>
      <c r="D6797" s="152"/>
      <c r="E6797" s="151"/>
      <c r="F6797" s="150">
        <f>F6796+F6794</f>
        <v>0</v>
      </c>
      <c r="G6797" s="150">
        <f>G6796+G6794</f>
        <v>0</v>
      </c>
    </row>
    <row r="6798" spans="1:7" ht="15.75" thickBot="1" x14ac:dyDescent="0.3">
      <c r="A6798" s="148"/>
      <c r="C6798" s="145"/>
      <c r="D6798" s="149"/>
      <c r="E6798" s="145"/>
      <c r="F6798" s="144"/>
      <c r="G6798" s="144"/>
    </row>
    <row r="6799" spans="1:7" ht="15.75" thickBot="1" x14ac:dyDescent="0.3">
      <c r="A6799" s="148"/>
      <c r="C6799" s="147" t="s">
        <v>620</v>
      </c>
      <c r="D6799" s="146">
        <f>F6797-G6797</f>
        <v>0</v>
      </c>
      <c r="E6799" s="145"/>
      <c r="F6799" s="144"/>
      <c r="G6799" s="144"/>
    </row>
    <row r="6800" spans="1:7" ht="15.75" thickBot="1" x14ac:dyDescent="0.3"/>
    <row r="6801" spans="1:7" ht="30.75" thickBot="1" x14ac:dyDescent="0.3">
      <c r="A6801" s="181" t="s">
        <v>626</v>
      </c>
      <c r="B6801" s="180" t="s">
        <v>606</v>
      </c>
      <c r="C6801" s="179" t="s">
        <v>625</v>
      </c>
      <c r="D6801" s="178" t="s">
        <v>601</v>
      </c>
      <c r="E6801" s="177" t="s">
        <v>287</v>
      </c>
      <c r="F6801" s="176" t="s">
        <v>624</v>
      </c>
      <c r="G6801" s="176" t="s">
        <v>596</v>
      </c>
    </row>
    <row r="6802" spans="1:7" x14ac:dyDescent="0.25">
      <c r="A6802" s="175" t="str">
        <f>E6802&amp;COUNTIFS($E$2:E6802,E6802)</f>
        <v>0</v>
      </c>
      <c r="B6802" s="172"/>
      <c r="C6802" s="174"/>
      <c r="D6802" s="173"/>
      <c r="E6802" s="172"/>
      <c r="F6802" s="171"/>
      <c r="G6802" s="170"/>
    </row>
    <row r="6803" spans="1:7" x14ac:dyDescent="0.25">
      <c r="A6803" s="169" t="str">
        <f>E6803&amp;COUNTIFS($E$2:E6803,E6803)</f>
        <v>0</v>
      </c>
      <c r="B6803" s="166"/>
      <c r="C6803" s="168"/>
      <c r="D6803" s="167"/>
      <c r="E6803" s="166"/>
      <c r="F6803" s="165"/>
      <c r="G6803" s="164"/>
    </row>
    <row r="6804" spans="1:7" x14ac:dyDescent="0.25">
      <c r="A6804" s="169" t="str">
        <f>E6804&amp;COUNTIFS($E$2:E6804,E6804)</f>
        <v>0</v>
      </c>
      <c r="B6804" s="166"/>
      <c r="C6804" s="168"/>
      <c r="D6804" s="167"/>
      <c r="E6804" s="166"/>
      <c r="F6804" s="165"/>
      <c r="G6804" s="164"/>
    </row>
    <row r="6805" spans="1:7" x14ac:dyDescent="0.25">
      <c r="A6805" s="169" t="str">
        <f>E6805&amp;COUNTIFS($E$2:E6805,E6805)</f>
        <v>0</v>
      </c>
      <c r="B6805" s="166"/>
      <c r="C6805" s="168"/>
      <c r="D6805" s="167"/>
      <c r="E6805" s="166"/>
      <c r="F6805" s="165"/>
      <c r="G6805" s="164"/>
    </row>
    <row r="6806" spans="1:7" x14ac:dyDescent="0.25">
      <c r="A6806" s="169" t="str">
        <f>E6806&amp;COUNTIFS($E$2:E6806,E6806)</f>
        <v>0</v>
      </c>
      <c r="B6806" s="166"/>
      <c r="C6806" s="168"/>
      <c r="D6806" s="167"/>
      <c r="E6806" s="166"/>
      <c r="F6806" s="165"/>
      <c r="G6806" s="164"/>
    </row>
    <row r="6807" spans="1:7" x14ac:dyDescent="0.25">
      <c r="A6807" s="169" t="str">
        <f>E6807&amp;COUNTIFS($E$2:E6807,E6807)</f>
        <v>0</v>
      </c>
      <c r="B6807" s="166"/>
      <c r="C6807" s="168"/>
      <c r="D6807" s="167"/>
      <c r="E6807" s="166"/>
      <c r="F6807" s="165"/>
      <c r="G6807" s="164"/>
    </row>
    <row r="6808" spans="1:7" x14ac:dyDescent="0.25">
      <c r="A6808" s="169" t="str">
        <f>E6808&amp;COUNTIFS($E$2:E6808,E6808)</f>
        <v>0</v>
      </c>
      <c r="B6808" s="166"/>
      <c r="C6808" s="168"/>
      <c r="D6808" s="167"/>
      <c r="E6808" s="166"/>
      <c r="F6808" s="165"/>
      <c r="G6808" s="164"/>
    </row>
    <row r="6809" spans="1:7" x14ac:dyDescent="0.25">
      <c r="A6809" s="169" t="str">
        <f>E6809&amp;COUNTIFS($E$2:E6809,E6809)</f>
        <v>0</v>
      </c>
      <c r="B6809" s="166"/>
      <c r="C6809" s="168"/>
      <c r="D6809" s="167"/>
      <c r="E6809" s="166"/>
      <c r="F6809" s="165"/>
      <c r="G6809" s="164"/>
    </row>
    <row r="6810" spans="1:7" x14ac:dyDescent="0.25">
      <c r="A6810" s="169" t="str">
        <f>E6810&amp;COUNTIFS($E$2:E6810,E6810)</f>
        <v>0</v>
      </c>
      <c r="B6810" s="166"/>
      <c r="C6810" s="168"/>
      <c r="D6810" s="167"/>
      <c r="E6810" s="166"/>
      <c r="F6810" s="165"/>
      <c r="G6810" s="164"/>
    </row>
    <row r="6811" spans="1:7" x14ac:dyDescent="0.25">
      <c r="A6811" s="169" t="str">
        <f>E6811&amp;COUNTIFS($E$2:E6811,E6811)</f>
        <v>0</v>
      </c>
      <c r="B6811" s="166"/>
      <c r="C6811" s="168"/>
      <c r="D6811" s="167"/>
      <c r="E6811" s="166"/>
      <c r="F6811" s="165"/>
      <c r="G6811" s="164"/>
    </row>
    <row r="6812" spans="1:7" x14ac:dyDescent="0.25">
      <c r="A6812" s="169" t="str">
        <f>E6812&amp;COUNTIFS($E$2:E6812,E6812)</f>
        <v>0</v>
      </c>
      <c r="B6812" s="166"/>
      <c r="C6812" s="168"/>
      <c r="D6812" s="167"/>
      <c r="E6812" s="166"/>
      <c r="F6812" s="165"/>
      <c r="G6812" s="164"/>
    </row>
    <row r="6813" spans="1:7" x14ac:dyDescent="0.25">
      <c r="A6813" s="169" t="str">
        <f>E6813&amp;COUNTIFS($E$2:E6813,E6813)</f>
        <v>0</v>
      </c>
      <c r="B6813" s="166"/>
      <c r="C6813" s="168"/>
      <c r="D6813" s="167"/>
      <c r="E6813" s="166"/>
      <c r="F6813" s="165"/>
      <c r="G6813" s="164"/>
    </row>
    <row r="6814" spans="1:7" x14ac:dyDescent="0.25">
      <c r="A6814" s="169" t="str">
        <f>E6814&amp;COUNTIFS($E$2:E6814,E6814)</f>
        <v>0</v>
      </c>
      <c r="B6814" s="166"/>
      <c r="C6814" s="168"/>
      <c r="D6814" s="167"/>
      <c r="E6814" s="166"/>
      <c r="F6814" s="165"/>
      <c r="G6814" s="164"/>
    </row>
    <row r="6815" spans="1:7" x14ac:dyDescent="0.25">
      <c r="A6815" s="169" t="str">
        <f>E6815&amp;COUNTIFS($E$2:E6815,E6815)</f>
        <v>0</v>
      </c>
      <c r="B6815" s="166"/>
      <c r="C6815" s="168"/>
      <c r="D6815" s="167"/>
      <c r="E6815" s="166"/>
      <c r="F6815" s="165"/>
      <c r="G6815" s="164"/>
    </row>
    <row r="6816" spans="1:7" x14ac:dyDescent="0.25">
      <c r="A6816" s="169" t="str">
        <f>E6816&amp;COUNTIFS($E$2:E6816,E6816)</f>
        <v>0</v>
      </c>
      <c r="B6816" s="166"/>
      <c r="C6816" s="168"/>
      <c r="D6816" s="167"/>
      <c r="E6816" s="166"/>
      <c r="F6816" s="165"/>
      <c r="G6816" s="164"/>
    </row>
    <row r="6817" spans="1:7" x14ac:dyDescent="0.25">
      <c r="A6817" s="169" t="str">
        <f>E6817&amp;COUNTIFS($E$2:E6817,E6817)</f>
        <v>0</v>
      </c>
      <c r="B6817" s="166"/>
      <c r="C6817" s="168"/>
      <c r="D6817" s="167"/>
      <c r="E6817" s="166"/>
      <c r="F6817" s="165"/>
      <c r="G6817" s="164"/>
    </row>
    <row r="6818" spans="1:7" x14ac:dyDescent="0.25">
      <c r="A6818" s="169" t="str">
        <f>E6818&amp;COUNTIFS($E$2:E6818,E6818)</f>
        <v>0</v>
      </c>
      <c r="B6818" s="166"/>
      <c r="C6818" s="168"/>
      <c r="D6818" s="167"/>
      <c r="E6818" s="166"/>
      <c r="F6818" s="165"/>
      <c r="G6818" s="164"/>
    </row>
    <row r="6819" spans="1:7" x14ac:dyDescent="0.25">
      <c r="A6819" s="169" t="str">
        <f>E6819&amp;COUNTIFS($E$2:E6819,E6819)</f>
        <v>0</v>
      </c>
      <c r="B6819" s="166"/>
      <c r="C6819" s="168"/>
      <c r="D6819" s="167"/>
      <c r="E6819" s="166"/>
      <c r="F6819" s="165"/>
      <c r="G6819" s="164"/>
    </row>
    <row r="6820" spans="1:7" x14ac:dyDescent="0.25">
      <c r="A6820" s="169" t="str">
        <f>E6820&amp;COUNTIFS($E$2:E6820,E6820)</f>
        <v>0</v>
      </c>
      <c r="B6820" s="166"/>
      <c r="C6820" s="168"/>
      <c r="D6820" s="167"/>
      <c r="E6820" s="166"/>
      <c r="F6820" s="165"/>
      <c r="G6820" s="164"/>
    </row>
    <row r="6821" spans="1:7" x14ac:dyDescent="0.25">
      <c r="A6821" s="169" t="str">
        <f>E6821&amp;COUNTIFS($E$2:E6821,E6821)</f>
        <v>0</v>
      </c>
      <c r="B6821" s="166"/>
      <c r="C6821" s="168"/>
      <c r="D6821" s="167"/>
      <c r="E6821" s="166"/>
      <c r="F6821" s="165"/>
      <c r="G6821" s="164"/>
    </row>
    <row r="6822" spans="1:7" x14ac:dyDescent="0.25">
      <c r="A6822" s="169" t="str">
        <f>E6822&amp;COUNTIFS($E$2:E6822,E6822)</f>
        <v>0</v>
      </c>
      <c r="B6822" s="166"/>
      <c r="C6822" s="168"/>
      <c r="D6822" s="167"/>
      <c r="E6822" s="166"/>
      <c r="F6822" s="165"/>
      <c r="G6822" s="164"/>
    </row>
    <row r="6823" spans="1:7" x14ac:dyDescent="0.25">
      <c r="A6823" s="169" t="str">
        <f>E6823&amp;COUNTIFS($E$2:E6823,E6823)</f>
        <v>0</v>
      </c>
      <c r="B6823" s="166"/>
      <c r="C6823" s="168"/>
      <c r="D6823" s="167"/>
      <c r="E6823" s="166"/>
      <c r="F6823" s="165"/>
      <c r="G6823" s="164"/>
    </row>
    <row r="6824" spans="1:7" x14ac:dyDescent="0.25">
      <c r="A6824" s="169" t="str">
        <f>E6824&amp;COUNTIFS($E$2:E6824,E6824)</f>
        <v>0</v>
      </c>
      <c r="B6824" s="166"/>
      <c r="C6824" s="168"/>
      <c r="D6824" s="167"/>
      <c r="E6824" s="166"/>
      <c r="F6824" s="165"/>
      <c r="G6824" s="164"/>
    </row>
    <row r="6825" spans="1:7" x14ac:dyDescent="0.25">
      <c r="A6825" s="169" t="str">
        <f>E6825&amp;COUNTIFS($E$2:E6825,E6825)</f>
        <v>0</v>
      </c>
      <c r="B6825" s="166"/>
      <c r="C6825" s="168"/>
      <c r="D6825" s="167"/>
      <c r="E6825" s="166"/>
      <c r="F6825" s="165"/>
      <c r="G6825" s="164"/>
    </row>
    <row r="6826" spans="1:7" ht="15.75" thickBot="1" x14ac:dyDescent="0.3">
      <c r="A6826" s="163" t="str">
        <f>E6826&amp;COUNTIFS($E$2:E6826,E6826)</f>
        <v>0</v>
      </c>
      <c r="B6826" s="160"/>
      <c r="C6826" s="162"/>
      <c r="D6826" s="161"/>
      <c r="E6826" s="160"/>
      <c r="F6826" s="159"/>
      <c r="G6826" s="158"/>
    </row>
    <row r="6827" spans="1:7" x14ac:dyDescent="0.25">
      <c r="A6827" s="148"/>
      <c r="C6827" s="143"/>
      <c r="D6827" s="157"/>
      <c r="E6827" s="143"/>
      <c r="F6827" s="156"/>
      <c r="G6827" s="156"/>
    </row>
    <row r="6828" spans="1:7" x14ac:dyDescent="0.25">
      <c r="A6828" s="148"/>
      <c r="C6828" s="153" t="s">
        <v>623</v>
      </c>
      <c r="D6828" s="152"/>
      <c r="E6828" s="151"/>
      <c r="F6828" s="150">
        <f>SUM(F6802:F6826)</f>
        <v>0</v>
      </c>
      <c r="G6828" s="155">
        <f>SUM(G6802:G6826)</f>
        <v>0</v>
      </c>
    </row>
    <row r="6829" spans="1:7" x14ac:dyDescent="0.25">
      <c r="A6829" s="148"/>
      <c r="C6829" s="145" t="s">
        <v>622</v>
      </c>
      <c r="D6829" s="154"/>
      <c r="E6829" s="145"/>
      <c r="F6829" s="144"/>
      <c r="G6829" s="144"/>
    </row>
    <row r="6830" spans="1:7" x14ac:dyDescent="0.25">
      <c r="A6830" s="148"/>
      <c r="C6830" s="153" t="s">
        <v>621</v>
      </c>
      <c r="D6830" s="152"/>
      <c r="E6830" s="151"/>
      <c r="F6830" s="150">
        <f>F6797</f>
        <v>0</v>
      </c>
      <c r="G6830" s="150">
        <f>G6797</f>
        <v>0</v>
      </c>
    </row>
    <row r="6831" spans="1:7" x14ac:dyDescent="0.25">
      <c r="A6831" s="148"/>
      <c r="C6831" s="153" t="s">
        <v>582</v>
      </c>
      <c r="D6831" s="152"/>
      <c r="E6831" s="151"/>
      <c r="F6831" s="150">
        <f>F6830+F6828</f>
        <v>0</v>
      </c>
      <c r="G6831" s="150">
        <f>G6830+G6828</f>
        <v>0</v>
      </c>
    </row>
    <row r="6832" spans="1:7" ht="15.75" thickBot="1" x14ac:dyDescent="0.3">
      <c r="A6832" s="148"/>
      <c r="C6832" s="145"/>
      <c r="D6832" s="149"/>
      <c r="E6832" s="145"/>
      <c r="F6832" s="144"/>
      <c r="G6832" s="144"/>
    </row>
    <row r="6833" spans="1:7" ht="15.75" thickBot="1" x14ac:dyDescent="0.3">
      <c r="A6833" s="148"/>
      <c r="C6833" s="147" t="s">
        <v>620</v>
      </c>
      <c r="D6833" s="146">
        <f>F6831-G6831</f>
        <v>0</v>
      </c>
      <c r="E6833" s="145"/>
      <c r="F6833" s="144"/>
      <c r="G6833" s="144"/>
    </row>
    <row r="6834" spans="1:7" ht="15.75" thickBot="1" x14ac:dyDescent="0.3"/>
    <row r="6835" spans="1:7" ht="30.75" thickBot="1" x14ac:dyDescent="0.3">
      <c r="A6835" s="181" t="s">
        <v>626</v>
      </c>
      <c r="B6835" s="180" t="s">
        <v>606</v>
      </c>
      <c r="C6835" s="179" t="s">
        <v>625</v>
      </c>
      <c r="D6835" s="178" t="s">
        <v>601</v>
      </c>
      <c r="E6835" s="177" t="s">
        <v>287</v>
      </c>
      <c r="F6835" s="176" t="s">
        <v>624</v>
      </c>
      <c r="G6835" s="176" t="s">
        <v>596</v>
      </c>
    </row>
    <row r="6836" spans="1:7" x14ac:dyDescent="0.25">
      <c r="A6836" s="175" t="str">
        <f>E6836&amp;COUNTIFS($E$2:E6836,E6836)</f>
        <v>0</v>
      </c>
      <c r="B6836" s="172"/>
      <c r="C6836" s="174"/>
      <c r="D6836" s="173"/>
      <c r="E6836" s="172"/>
      <c r="F6836" s="171"/>
      <c r="G6836" s="170"/>
    </row>
    <row r="6837" spans="1:7" x14ac:dyDescent="0.25">
      <c r="A6837" s="169" t="str">
        <f>E6837&amp;COUNTIFS($E$2:E6837,E6837)</f>
        <v>0</v>
      </c>
      <c r="B6837" s="166"/>
      <c r="C6837" s="168"/>
      <c r="D6837" s="167"/>
      <c r="E6837" s="166"/>
      <c r="F6837" s="165"/>
      <c r="G6837" s="164"/>
    </row>
    <row r="6838" spans="1:7" x14ac:dyDescent="0.25">
      <c r="A6838" s="169" t="str">
        <f>E6838&amp;COUNTIFS($E$2:E6838,E6838)</f>
        <v>0</v>
      </c>
      <c r="B6838" s="166"/>
      <c r="C6838" s="168"/>
      <c r="D6838" s="167"/>
      <c r="E6838" s="166"/>
      <c r="F6838" s="165"/>
      <c r="G6838" s="164"/>
    </row>
    <row r="6839" spans="1:7" x14ac:dyDescent="0.25">
      <c r="A6839" s="169" t="str">
        <f>E6839&amp;COUNTIFS($E$2:E6839,E6839)</f>
        <v>0</v>
      </c>
      <c r="B6839" s="166"/>
      <c r="C6839" s="168"/>
      <c r="D6839" s="167"/>
      <c r="E6839" s="166"/>
      <c r="F6839" s="165"/>
      <c r="G6839" s="164"/>
    </row>
    <row r="6840" spans="1:7" x14ac:dyDescent="0.25">
      <c r="A6840" s="169" t="str">
        <f>E6840&amp;COUNTIFS($E$2:E6840,E6840)</f>
        <v>0</v>
      </c>
      <c r="B6840" s="166"/>
      <c r="C6840" s="168"/>
      <c r="D6840" s="167"/>
      <c r="E6840" s="166"/>
      <c r="F6840" s="165"/>
      <c r="G6840" s="164"/>
    </row>
    <row r="6841" spans="1:7" x14ac:dyDescent="0.25">
      <c r="A6841" s="169" t="str">
        <f>E6841&amp;COUNTIFS($E$2:E6841,E6841)</f>
        <v>0</v>
      </c>
      <c r="B6841" s="166"/>
      <c r="C6841" s="168"/>
      <c r="D6841" s="167"/>
      <c r="E6841" s="166"/>
      <c r="F6841" s="165"/>
      <c r="G6841" s="164"/>
    </row>
    <row r="6842" spans="1:7" x14ac:dyDescent="0.25">
      <c r="A6842" s="169" t="str">
        <f>E6842&amp;COUNTIFS($E$2:E6842,E6842)</f>
        <v>0</v>
      </c>
      <c r="B6842" s="166"/>
      <c r="C6842" s="168"/>
      <c r="D6842" s="167"/>
      <c r="E6842" s="166"/>
      <c r="F6842" s="165"/>
      <c r="G6842" s="164"/>
    </row>
    <row r="6843" spans="1:7" x14ac:dyDescent="0.25">
      <c r="A6843" s="169" t="str">
        <f>E6843&amp;COUNTIFS($E$2:E6843,E6843)</f>
        <v>0</v>
      </c>
      <c r="B6843" s="166"/>
      <c r="C6843" s="168"/>
      <c r="D6843" s="167"/>
      <c r="E6843" s="166"/>
      <c r="F6843" s="165"/>
      <c r="G6843" s="164"/>
    </row>
    <row r="6844" spans="1:7" x14ac:dyDescent="0.25">
      <c r="A6844" s="169" t="str">
        <f>E6844&amp;COUNTIFS($E$2:E6844,E6844)</f>
        <v>0</v>
      </c>
      <c r="B6844" s="166"/>
      <c r="C6844" s="168"/>
      <c r="D6844" s="167"/>
      <c r="E6844" s="166"/>
      <c r="F6844" s="165"/>
      <c r="G6844" s="164"/>
    </row>
    <row r="6845" spans="1:7" x14ac:dyDescent="0.25">
      <c r="A6845" s="169" t="str">
        <f>E6845&amp;COUNTIFS($E$2:E6845,E6845)</f>
        <v>0</v>
      </c>
      <c r="B6845" s="166"/>
      <c r="C6845" s="168"/>
      <c r="D6845" s="167"/>
      <c r="E6845" s="166"/>
      <c r="F6845" s="165"/>
      <c r="G6845" s="164"/>
    </row>
    <row r="6846" spans="1:7" x14ac:dyDescent="0.25">
      <c r="A6846" s="169" t="str">
        <f>E6846&amp;COUNTIFS($E$2:E6846,E6846)</f>
        <v>0</v>
      </c>
      <c r="B6846" s="166"/>
      <c r="C6846" s="168"/>
      <c r="D6846" s="167"/>
      <c r="E6846" s="166"/>
      <c r="F6846" s="165"/>
      <c r="G6846" s="164"/>
    </row>
    <row r="6847" spans="1:7" x14ac:dyDescent="0.25">
      <c r="A6847" s="169" t="str">
        <f>E6847&amp;COUNTIFS($E$2:E6847,E6847)</f>
        <v>0</v>
      </c>
      <c r="B6847" s="166"/>
      <c r="C6847" s="168"/>
      <c r="D6847" s="167"/>
      <c r="E6847" s="166"/>
      <c r="F6847" s="165"/>
      <c r="G6847" s="164"/>
    </row>
    <row r="6848" spans="1:7" x14ac:dyDescent="0.25">
      <c r="A6848" s="169" t="str">
        <f>E6848&amp;COUNTIFS($E$2:E6848,E6848)</f>
        <v>0</v>
      </c>
      <c r="B6848" s="166"/>
      <c r="C6848" s="168"/>
      <c r="D6848" s="167"/>
      <c r="E6848" s="166"/>
      <c r="F6848" s="165"/>
      <c r="G6848" s="164"/>
    </row>
    <row r="6849" spans="1:7" x14ac:dyDescent="0.25">
      <c r="A6849" s="169" t="str">
        <f>E6849&amp;COUNTIFS($E$2:E6849,E6849)</f>
        <v>0</v>
      </c>
      <c r="B6849" s="166"/>
      <c r="C6849" s="168"/>
      <c r="D6849" s="167"/>
      <c r="E6849" s="166"/>
      <c r="F6849" s="165"/>
      <c r="G6849" s="164"/>
    </row>
    <row r="6850" spans="1:7" x14ac:dyDescent="0.25">
      <c r="A6850" s="169" t="str">
        <f>E6850&amp;COUNTIFS($E$2:E6850,E6850)</f>
        <v>0</v>
      </c>
      <c r="B6850" s="166"/>
      <c r="C6850" s="168"/>
      <c r="D6850" s="167"/>
      <c r="E6850" s="166"/>
      <c r="F6850" s="165"/>
      <c r="G6850" s="164"/>
    </row>
    <row r="6851" spans="1:7" x14ac:dyDescent="0.25">
      <c r="A6851" s="169" t="str">
        <f>E6851&amp;COUNTIFS($E$2:E6851,E6851)</f>
        <v>0</v>
      </c>
      <c r="B6851" s="166"/>
      <c r="C6851" s="168"/>
      <c r="D6851" s="167"/>
      <c r="E6851" s="166"/>
      <c r="F6851" s="165"/>
      <c r="G6851" s="164"/>
    </row>
    <row r="6852" spans="1:7" x14ac:dyDescent="0.25">
      <c r="A6852" s="169" t="str">
        <f>E6852&amp;COUNTIFS($E$2:E6852,E6852)</f>
        <v>0</v>
      </c>
      <c r="B6852" s="166"/>
      <c r="C6852" s="168"/>
      <c r="D6852" s="167"/>
      <c r="E6852" s="166"/>
      <c r="F6852" s="165"/>
      <c r="G6852" s="164"/>
    </row>
    <row r="6853" spans="1:7" x14ac:dyDescent="0.25">
      <c r="A6853" s="169" t="str">
        <f>E6853&amp;COUNTIFS($E$2:E6853,E6853)</f>
        <v>0</v>
      </c>
      <c r="B6853" s="166"/>
      <c r="C6853" s="168"/>
      <c r="D6853" s="167"/>
      <c r="E6853" s="166"/>
      <c r="F6853" s="165"/>
      <c r="G6853" s="164"/>
    </row>
    <row r="6854" spans="1:7" x14ac:dyDescent="0.25">
      <c r="A6854" s="169" t="str">
        <f>E6854&amp;COUNTIFS($E$2:E6854,E6854)</f>
        <v>0</v>
      </c>
      <c r="B6854" s="166"/>
      <c r="C6854" s="168"/>
      <c r="D6854" s="167"/>
      <c r="E6854" s="166"/>
      <c r="F6854" s="165"/>
      <c r="G6854" s="164"/>
    </row>
    <row r="6855" spans="1:7" x14ac:dyDescent="0.25">
      <c r="A6855" s="169" t="str">
        <f>E6855&amp;COUNTIFS($E$2:E6855,E6855)</f>
        <v>0</v>
      </c>
      <c r="B6855" s="166"/>
      <c r="C6855" s="168"/>
      <c r="D6855" s="167"/>
      <c r="E6855" s="166"/>
      <c r="F6855" s="165"/>
      <c r="G6855" s="164"/>
    </row>
    <row r="6856" spans="1:7" x14ac:dyDescent="0.25">
      <c r="A6856" s="169" t="str">
        <f>E6856&amp;COUNTIFS($E$2:E6856,E6856)</f>
        <v>0</v>
      </c>
      <c r="B6856" s="166"/>
      <c r="C6856" s="168"/>
      <c r="D6856" s="167"/>
      <c r="E6856" s="166"/>
      <c r="F6856" s="165"/>
      <c r="G6856" s="164"/>
    </row>
    <row r="6857" spans="1:7" x14ac:dyDescent="0.25">
      <c r="A6857" s="169" t="str">
        <f>E6857&amp;COUNTIFS($E$2:E6857,E6857)</f>
        <v>0</v>
      </c>
      <c r="B6857" s="166"/>
      <c r="C6857" s="168"/>
      <c r="D6857" s="167"/>
      <c r="E6857" s="166"/>
      <c r="F6857" s="165"/>
      <c r="G6857" s="164"/>
    </row>
    <row r="6858" spans="1:7" x14ac:dyDescent="0.25">
      <c r="A6858" s="169" t="str">
        <f>E6858&amp;COUNTIFS($E$2:E6858,E6858)</f>
        <v>0</v>
      </c>
      <c r="B6858" s="166"/>
      <c r="C6858" s="168"/>
      <c r="D6858" s="167"/>
      <c r="E6858" s="166"/>
      <c r="F6858" s="165"/>
      <c r="G6858" s="164"/>
    </row>
    <row r="6859" spans="1:7" x14ac:dyDescent="0.25">
      <c r="A6859" s="169" t="str">
        <f>E6859&amp;COUNTIFS($E$2:E6859,E6859)</f>
        <v>0</v>
      </c>
      <c r="B6859" s="166"/>
      <c r="C6859" s="168"/>
      <c r="D6859" s="167"/>
      <c r="E6859" s="166"/>
      <c r="F6859" s="165"/>
      <c r="G6859" s="164"/>
    </row>
    <row r="6860" spans="1:7" ht="15.75" thickBot="1" x14ac:dyDescent="0.3">
      <c r="A6860" s="163" t="str">
        <f>E6860&amp;COUNTIFS($E$2:E6860,E6860)</f>
        <v>0</v>
      </c>
      <c r="B6860" s="160"/>
      <c r="C6860" s="162"/>
      <c r="D6860" s="161"/>
      <c r="E6860" s="160"/>
      <c r="F6860" s="159"/>
      <c r="G6860" s="158"/>
    </row>
    <row r="6861" spans="1:7" x14ac:dyDescent="0.25">
      <c r="A6861" s="148"/>
      <c r="C6861" s="143"/>
      <c r="D6861" s="157"/>
      <c r="E6861" s="143"/>
      <c r="F6861" s="156"/>
      <c r="G6861" s="156"/>
    </row>
    <row r="6862" spans="1:7" x14ac:dyDescent="0.25">
      <c r="A6862" s="148"/>
      <c r="C6862" s="153" t="s">
        <v>623</v>
      </c>
      <c r="D6862" s="152"/>
      <c r="E6862" s="151"/>
      <c r="F6862" s="150">
        <f>SUM(F6836:F6860)</f>
        <v>0</v>
      </c>
      <c r="G6862" s="155">
        <f>SUM(G6836:G6860)</f>
        <v>0</v>
      </c>
    </row>
    <row r="6863" spans="1:7" x14ac:dyDescent="0.25">
      <c r="A6863" s="148"/>
      <c r="C6863" s="145" t="s">
        <v>622</v>
      </c>
      <c r="D6863" s="154"/>
      <c r="E6863" s="145"/>
      <c r="F6863" s="144"/>
      <c r="G6863" s="144"/>
    </row>
    <row r="6864" spans="1:7" x14ac:dyDescent="0.25">
      <c r="A6864" s="148"/>
      <c r="C6864" s="153" t="s">
        <v>621</v>
      </c>
      <c r="D6864" s="152"/>
      <c r="E6864" s="151"/>
      <c r="F6864" s="150">
        <f>F6831</f>
        <v>0</v>
      </c>
      <c r="G6864" s="150">
        <f>G6831</f>
        <v>0</v>
      </c>
    </row>
    <row r="6865" spans="1:7" x14ac:dyDescent="0.25">
      <c r="A6865" s="148"/>
      <c r="C6865" s="153" t="s">
        <v>582</v>
      </c>
      <c r="D6865" s="152"/>
      <c r="E6865" s="151"/>
      <c r="F6865" s="150">
        <f>F6864+F6862</f>
        <v>0</v>
      </c>
      <c r="G6865" s="150">
        <f>G6864+G6862</f>
        <v>0</v>
      </c>
    </row>
    <row r="6866" spans="1:7" ht="15.75" thickBot="1" x14ac:dyDescent="0.3">
      <c r="A6866" s="148"/>
      <c r="C6866" s="145"/>
      <c r="D6866" s="149"/>
      <c r="E6866" s="145"/>
      <c r="F6866" s="144"/>
      <c r="G6866" s="144"/>
    </row>
    <row r="6867" spans="1:7" ht="15.75" thickBot="1" x14ac:dyDescent="0.3">
      <c r="A6867" s="148"/>
      <c r="C6867" s="147" t="s">
        <v>620</v>
      </c>
      <c r="D6867" s="146">
        <f>F6865-G6865</f>
        <v>0</v>
      </c>
      <c r="E6867" s="145"/>
      <c r="F6867" s="144"/>
      <c r="G6867" s="144"/>
    </row>
    <row r="6868" spans="1:7" ht="15.75" thickBot="1" x14ac:dyDescent="0.3"/>
    <row r="6869" spans="1:7" ht="30.75" thickBot="1" x14ac:dyDescent="0.3">
      <c r="A6869" s="181" t="s">
        <v>626</v>
      </c>
      <c r="B6869" s="180" t="s">
        <v>606</v>
      </c>
      <c r="C6869" s="179" t="s">
        <v>625</v>
      </c>
      <c r="D6869" s="178" t="s">
        <v>601</v>
      </c>
      <c r="E6869" s="177" t="s">
        <v>287</v>
      </c>
      <c r="F6869" s="176" t="s">
        <v>624</v>
      </c>
      <c r="G6869" s="176" t="s">
        <v>596</v>
      </c>
    </row>
    <row r="6870" spans="1:7" x14ac:dyDescent="0.25">
      <c r="A6870" s="175" t="str">
        <f>E6870&amp;COUNTIFS($E$2:E6870,E6870)</f>
        <v>0</v>
      </c>
      <c r="B6870" s="172"/>
      <c r="C6870" s="174"/>
      <c r="D6870" s="173"/>
      <c r="E6870" s="172"/>
      <c r="F6870" s="171"/>
      <c r="G6870" s="170"/>
    </row>
    <row r="6871" spans="1:7" x14ac:dyDescent="0.25">
      <c r="A6871" s="169" t="str">
        <f>E6871&amp;COUNTIFS($E$2:E6871,E6871)</f>
        <v>0</v>
      </c>
      <c r="B6871" s="166"/>
      <c r="C6871" s="168"/>
      <c r="D6871" s="167"/>
      <c r="E6871" s="166"/>
      <c r="F6871" s="165"/>
      <c r="G6871" s="164"/>
    </row>
    <row r="6872" spans="1:7" x14ac:dyDescent="0.25">
      <c r="A6872" s="169" t="str">
        <f>E6872&amp;COUNTIFS($E$2:E6872,E6872)</f>
        <v>0</v>
      </c>
      <c r="B6872" s="166"/>
      <c r="C6872" s="168"/>
      <c r="D6872" s="167"/>
      <c r="E6872" s="166"/>
      <c r="F6872" s="165"/>
      <c r="G6872" s="164"/>
    </row>
    <row r="6873" spans="1:7" x14ac:dyDescent="0.25">
      <c r="A6873" s="169" t="str">
        <f>E6873&amp;COUNTIFS($E$2:E6873,E6873)</f>
        <v>0</v>
      </c>
      <c r="B6873" s="166"/>
      <c r="C6873" s="168"/>
      <c r="D6873" s="167"/>
      <c r="E6873" s="166"/>
      <c r="F6873" s="165"/>
      <c r="G6873" s="164"/>
    </row>
    <row r="6874" spans="1:7" x14ac:dyDescent="0.25">
      <c r="A6874" s="169" t="str">
        <f>E6874&amp;COUNTIFS($E$2:E6874,E6874)</f>
        <v>0</v>
      </c>
      <c r="B6874" s="166"/>
      <c r="C6874" s="168"/>
      <c r="D6874" s="167"/>
      <c r="E6874" s="166"/>
      <c r="F6874" s="165"/>
      <c r="G6874" s="164"/>
    </row>
    <row r="6875" spans="1:7" x14ac:dyDescent="0.25">
      <c r="A6875" s="169" t="str">
        <f>E6875&amp;COUNTIFS($E$2:E6875,E6875)</f>
        <v>0</v>
      </c>
      <c r="B6875" s="166"/>
      <c r="C6875" s="168"/>
      <c r="D6875" s="167"/>
      <c r="E6875" s="166"/>
      <c r="F6875" s="165"/>
      <c r="G6875" s="164"/>
    </row>
    <row r="6876" spans="1:7" x14ac:dyDescent="0.25">
      <c r="A6876" s="169" t="str">
        <f>E6876&amp;COUNTIFS($E$2:E6876,E6876)</f>
        <v>0</v>
      </c>
      <c r="B6876" s="166"/>
      <c r="C6876" s="168"/>
      <c r="D6876" s="167"/>
      <c r="E6876" s="166"/>
      <c r="F6876" s="165"/>
      <c r="G6876" s="164"/>
    </row>
    <row r="6877" spans="1:7" x14ac:dyDescent="0.25">
      <c r="A6877" s="169" t="str">
        <f>E6877&amp;COUNTIFS($E$2:E6877,E6877)</f>
        <v>0</v>
      </c>
      <c r="B6877" s="166"/>
      <c r="C6877" s="168"/>
      <c r="D6877" s="167"/>
      <c r="E6877" s="166"/>
      <c r="F6877" s="165"/>
      <c r="G6877" s="164"/>
    </row>
    <row r="6878" spans="1:7" x14ac:dyDescent="0.25">
      <c r="A6878" s="169" t="str">
        <f>E6878&amp;COUNTIFS($E$2:E6878,E6878)</f>
        <v>0</v>
      </c>
      <c r="B6878" s="166"/>
      <c r="C6878" s="168"/>
      <c r="D6878" s="167"/>
      <c r="E6878" s="166"/>
      <c r="F6878" s="165"/>
      <c r="G6878" s="164"/>
    </row>
    <row r="6879" spans="1:7" x14ac:dyDescent="0.25">
      <c r="A6879" s="169" t="str">
        <f>E6879&amp;COUNTIFS($E$2:E6879,E6879)</f>
        <v>0</v>
      </c>
      <c r="B6879" s="166"/>
      <c r="C6879" s="168"/>
      <c r="D6879" s="167"/>
      <c r="E6879" s="166"/>
      <c r="F6879" s="165"/>
      <c r="G6879" s="164"/>
    </row>
    <row r="6880" spans="1:7" x14ac:dyDescent="0.25">
      <c r="A6880" s="169" t="str">
        <f>E6880&amp;COUNTIFS($E$2:E6880,E6880)</f>
        <v>0</v>
      </c>
      <c r="B6880" s="166"/>
      <c r="C6880" s="168"/>
      <c r="D6880" s="167"/>
      <c r="E6880" s="166"/>
      <c r="F6880" s="165"/>
      <c r="G6880" s="164"/>
    </row>
    <row r="6881" spans="1:7" x14ac:dyDescent="0.25">
      <c r="A6881" s="169" t="str">
        <f>E6881&amp;COUNTIFS($E$2:E6881,E6881)</f>
        <v>0</v>
      </c>
      <c r="B6881" s="166"/>
      <c r="C6881" s="168"/>
      <c r="D6881" s="167"/>
      <c r="E6881" s="166"/>
      <c r="F6881" s="165"/>
      <c r="G6881" s="164"/>
    </row>
    <row r="6882" spans="1:7" x14ac:dyDescent="0.25">
      <c r="A6882" s="169" t="str">
        <f>E6882&amp;COUNTIFS($E$2:E6882,E6882)</f>
        <v>0</v>
      </c>
      <c r="B6882" s="166"/>
      <c r="C6882" s="168"/>
      <c r="D6882" s="167"/>
      <c r="E6882" s="166"/>
      <c r="F6882" s="165"/>
      <c r="G6882" s="164"/>
    </row>
    <row r="6883" spans="1:7" x14ac:dyDescent="0.25">
      <c r="A6883" s="169" t="str">
        <f>E6883&amp;COUNTIFS($E$2:E6883,E6883)</f>
        <v>0</v>
      </c>
      <c r="B6883" s="166"/>
      <c r="C6883" s="168"/>
      <c r="D6883" s="167"/>
      <c r="E6883" s="166"/>
      <c r="F6883" s="165"/>
      <c r="G6883" s="164"/>
    </row>
    <row r="6884" spans="1:7" x14ac:dyDescent="0.25">
      <c r="A6884" s="169" t="str">
        <f>E6884&amp;COUNTIFS($E$2:E6884,E6884)</f>
        <v>0</v>
      </c>
      <c r="B6884" s="166"/>
      <c r="C6884" s="168"/>
      <c r="D6884" s="167"/>
      <c r="E6884" s="166"/>
      <c r="F6884" s="165"/>
      <c r="G6884" s="164"/>
    </row>
    <row r="6885" spans="1:7" x14ac:dyDescent="0.25">
      <c r="A6885" s="169" t="str">
        <f>E6885&amp;COUNTIFS($E$2:E6885,E6885)</f>
        <v>0</v>
      </c>
      <c r="B6885" s="166"/>
      <c r="C6885" s="168"/>
      <c r="D6885" s="167"/>
      <c r="E6885" s="166"/>
      <c r="F6885" s="165"/>
      <c r="G6885" s="164"/>
    </row>
    <row r="6886" spans="1:7" x14ac:dyDescent="0.25">
      <c r="A6886" s="169" t="str">
        <f>E6886&amp;COUNTIFS($E$2:E6886,E6886)</f>
        <v>0</v>
      </c>
      <c r="B6886" s="166"/>
      <c r="C6886" s="168"/>
      <c r="D6886" s="167"/>
      <c r="E6886" s="166"/>
      <c r="F6886" s="165"/>
      <c r="G6886" s="164"/>
    </row>
    <row r="6887" spans="1:7" x14ac:dyDescent="0.25">
      <c r="A6887" s="169" t="str">
        <f>E6887&amp;COUNTIFS($E$2:E6887,E6887)</f>
        <v>0</v>
      </c>
      <c r="B6887" s="166"/>
      <c r="C6887" s="168"/>
      <c r="D6887" s="167"/>
      <c r="E6887" s="166"/>
      <c r="F6887" s="165"/>
      <c r="G6887" s="164"/>
    </row>
    <row r="6888" spans="1:7" x14ac:dyDescent="0.25">
      <c r="A6888" s="169" t="str">
        <f>E6888&amp;COUNTIFS($E$2:E6888,E6888)</f>
        <v>0</v>
      </c>
      <c r="B6888" s="166"/>
      <c r="C6888" s="168"/>
      <c r="D6888" s="167"/>
      <c r="E6888" s="166"/>
      <c r="F6888" s="165"/>
      <c r="G6888" s="164"/>
    </row>
    <row r="6889" spans="1:7" x14ac:dyDescent="0.25">
      <c r="A6889" s="169" t="str">
        <f>E6889&amp;COUNTIFS($E$2:E6889,E6889)</f>
        <v>0</v>
      </c>
      <c r="B6889" s="166"/>
      <c r="C6889" s="168"/>
      <c r="D6889" s="167"/>
      <c r="E6889" s="166"/>
      <c r="F6889" s="165"/>
      <c r="G6889" s="164"/>
    </row>
    <row r="6890" spans="1:7" x14ac:dyDescent="0.25">
      <c r="A6890" s="169" t="str">
        <f>E6890&amp;COUNTIFS($E$2:E6890,E6890)</f>
        <v>0</v>
      </c>
      <c r="B6890" s="166"/>
      <c r="C6890" s="168"/>
      <c r="D6890" s="167"/>
      <c r="E6890" s="166"/>
      <c r="F6890" s="165"/>
      <c r="G6890" s="164"/>
    </row>
    <row r="6891" spans="1:7" x14ac:dyDescent="0.25">
      <c r="A6891" s="169" t="str">
        <f>E6891&amp;COUNTIFS($E$2:E6891,E6891)</f>
        <v>0</v>
      </c>
      <c r="B6891" s="166"/>
      <c r="C6891" s="168"/>
      <c r="D6891" s="167"/>
      <c r="E6891" s="166"/>
      <c r="F6891" s="165"/>
      <c r="G6891" s="164"/>
    </row>
    <row r="6892" spans="1:7" x14ac:dyDescent="0.25">
      <c r="A6892" s="169" t="str">
        <f>E6892&amp;COUNTIFS($E$2:E6892,E6892)</f>
        <v>0</v>
      </c>
      <c r="B6892" s="166"/>
      <c r="C6892" s="168"/>
      <c r="D6892" s="167"/>
      <c r="E6892" s="166"/>
      <c r="F6892" s="165"/>
      <c r="G6892" s="164"/>
    </row>
    <row r="6893" spans="1:7" x14ac:dyDescent="0.25">
      <c r="A6893" s="169" t="str">
        <f>E6893&amp;COUNTIFS($E$2:E6893,E6893)</f>
        <v>0</v>
      </c>
      <c r="B6893" s="166"/>
      <c r="C6893" s="168"/>
      <c r="D6893" s="167"/>
      <c r="E6893" s="166"/>
      <c r="F6893" s="165"/>
      <c r="G6893" s="164"/>
    </row>
    <row r="6894" spans="1:7" ht="15.75" thickBot="1" x14ac:dyDescent="0.3">
      <c r="A6894" s="163" t="str">
        <f>E6894&amp;COUNTIFS($E$2:E6894,E6894)</f>
        <v>0</v>
      </c>
      <c r="B6894" s="160"/>
      <c r="C6894" s="162"/>
      <c r="D6894" s="161"/>
      <c r="E6894" s="160"/>
      <c r="F6894" s="159"/>
      <c r="G6894" s="158"/>
    </row>
    <row r="6895" spans="1:7" x14ac:dyDescent="0.25">
      <c r="A6895" s="148"/>
      <c r="C6895" s="143"/>
      <c r="D6895" s="157"/>
      <c r="E6895" s="143"/>
      <c r="F6895" s="156"/>
      <c r="G6895" s="156"/>
    </row>
    <row r="6896" spans="1:7" x14ac:dyDescent="0.25">
      <c r="A6896" s="148"/>
      <c r="C6896" s="153" t="s">
        <v>623</v>
      </c>
      <c r="D6896" s="152"/>
      <c r="E6896" s="151"/>
      <c r="F6896" s="150">
        <f>SUM(F6870:F6894)</f>
        <v>0</v>
      </c>
      <c r="G6896" s="155">
        <f>SUM(G6870:G6894)</f>
        <v>0</v>
      </c>
    </row>
    <row r="6897" spans="1:7" x14ac:dyDescent="0.25">
      <c r="A6897" s="148"/>
      <c r="C6897" s="145" t="s">
        <v>622</v>
      </c>
      <c r="D6897" s="154"/>
      <c r="E6897" s="145"/>
      <c r="F6897" s="144"/>
      <c r="G6897" s="144"/>
    </row>
    <row r="6898" spans="1:7" x14ac:dyDescent="0.25">
      <c r="A6898" s="148"/>
      <c r="C6898" s="153" t="s">
        <v>621</v>
      </c>
      <c r="D6898" s="152"/>
      <c r="E6898" s="151"/>
      <c r="F6898" s="150">
        <f>F6865</f>
        <v>0</v>
      </c>
      <c r="G6898" s="150">
        <f>G6865</f>
        <v>0</v>
      </c>
    </row>
    <row r="6899" spans="1:7" x14ac:dyDescent="0.25">
      <c r="A6899" s="148"/>
      <c r="C6899" s="153" t="s">
        <v>582</v>
      </c>
      <c r="D6899" s="152"/>
      <c r="E6899" s="151"/>
      <c r="F6899" s="150">
        <f>F6898+F6896</f>
        <v>0</v>
      </c>
      <c r="G6899" s="150">
        <f>G6898+G6896</f>
        <v>0</v>
      </c>
    </row>
    <row r="6900" spans="1:7" ht="15.75" thickBot="1" x14ac:dyDescent="0.3">
      <c r="A6900" s="148"/>
      <c r="C6900" s="145"/>
      <c r="D6900" s="149"/>
      <c r="E6900" s="145"/>
      <c r="F6900" s="144"/>
      <c r="G6900" s="144"/>
    </row>
    <row r="6901" spans="1:7" ht="15.75" thickBot="1" x14ac:dyDescent="0.3">
      <c r="A6901" s="148"/>
      <c r="C6901" s="147" t="s">
        <v>620</v>
      </c>
      <c r="D6901" s="146">
        <f>F6899-G6899</f>
        <v>0</v>
      </c>
      <c r="E6901" s="145"/>
      <c r="F6901" s="144"/>
      <c r="G6901" s="144"/>
    </row>
    <row r="6902" spans="1:7" ht="15.75" thickBot="1" x14ac:dyDescent="0.3"/>
    <row r="6903" spans="1:7" ht="30.75" thickBot="1" x14ac:dyDescent="0.3">
      <c r="A6903" s="181" t="s">
        <v>626</v>
      </c>
      <c r="B6903" s="180" t="s">
        <v>606</v>
      </c>
      <c r="C6903" s="179" t="s">
        <v>625</v>
      </c>
      <c r="D6903" s="178" t="s">
        <v>601</v>
      </c>
      <c r="E6903" s="177" t="s">
        <v>287</v>
      </c>
      <c r="F6903" s="176" t="s">
        <v>624</v>
      </c>
      <c r="G6903" s="176" t="s">
        <v>596</v>
      </c>
    </row>
    <row r="6904" spans="1:7" x14ac:dyDescent="0.25">
      <c r="A6904" s="175" t="str">
        <f>E6904&amp;COUNTIFS($E$2:E6904,E6904)</f>
        <v>0</v>
      </c>
      <c r="B6904" s="172"/>
      <c r="C6904" s="174"/>
      <c r="D6904" s="173"/>
      <c r="E6904" s="172"/>
      <c r="F6904" s="171"/>
      <c r="G6904" s="170"/>
    </row>
    <row r="6905" spans="1:7" x14ac:dyDescent="0.25">
      <c r="A6905" s="169" t="str">
        <f>E6905&amp;COUNTIFS($E$2:E6905,E6905)</f>
        <v>0</v>
      </c>
      <c r="B6905" s="166"/>
      <c r="C6905" s="168"/>
      <c r="D6905" s="167"/>
      <c r="E6905" s="166"/>
      <c r="F6905" s="165"/>
      <c r="G6905" s="164"/>
    </row>
    <row r="6906" spans="1:7" x14ac:dyDescent="0.25">
      <c r="A6906" s="169" t="str">
        <f>E6906&amp;COUNTIFS($E$2:E6906,E6906)</f>
        <v>0</v>
      </c>
      <c r="B6906" s="166"/>
      <c r="C6906" s="168"/>
      <c r="D6906" s="167"/>
      <c r="E6906" s="166"/>
      <c r="F6906" s="165"/>
      <c r="G6906" s="164"/>
    </row>
    <row r="6907" spans="1:7" x14ac:dyDescent="0.25">
      <c r="A6907" s="169" t="str">
        <f>E6907&amp;COUNTIFS($E$2:E6907,E6907)</f>
        <v>0</v>
      </c>
      <c r="B6907" s="166"/>
      <c r="C6907" s="168"/>
      <c r="D6907" s="167"/>
      <c r="E6907" s="166"/>
      <c r="F6907" s="165"/>
      <c r="G6907" s="164"/>
    </row>
    <row r="6908" spans="1:7" x14ac:dyDescent="0.25">
      <c r="A6908" s="169" t="str">
        <f>E6908&amp;COUNTIFS($E$2:E6908,E6908)</f>
        <v>0</v>
      </c>
      <c r="B6908" s="166"/>
      <c r="C6908" s="168"/>
      <c r="D6908" s="167"/>
      <c r="E6908" s="166"/>
      <c r="F6908" s="165"/>
      <c r="G6908" s="164"/>
    </row>
    <row r="6909" spans="1:7" x14ac:dyDescent="0.25">
      <c r="A6909" s="169" t="str">
        <f>E6909&amp;COUNTIFS($E$2:E6909,E6909)</f>
        <v>0</v>
      </c>
      <c r="B6909" s="166"/>
      <c r="C6909" s="168"/>
      <c r="D6909" s="167"/>
      <c r="E6909" s="166"/>
      <c r="F6909" s="165"/>
      <c r="G6909" s="164"/>
    </row>
    <row r="6910" spans="1:7" x14ac:dyDescent="0.25">
      <c r="A6910" s="169" t="str">
        <f>E6910&amp;COUNTIFS($E$2:E6910,E6910)</f>
        <v>0</v>
      </c>
      <c r="B6910" s="166"/>
      <c r="C6910" s="168"/>
      <c r="D6910" s="167"/>
      <c r="E6910" s="166"/>
      <c r="F6910" s="165"/>
      <c r="G6910" s="164"/>
    </row>
    <row r="6911" spans="1:7" x14ac:dyDescent="0.25">
      <c r="A6911" s="169" t="str">
        <f>E6911&amp;COUNTIFS($E$2:E6911,E6911)</f>
        <v>0</v>
      </c>
      <c r="B6911" s="166"/>
      <c r="C6911" s="168"/>
      <c r="D6911" s="167"/>
      <c r="E6911" s="166"/>
      <c r="F6911" s="165"/>
      <c r="G6911" s="164"/>
    </row>
    <row r="6912" spans="1:7" x14ac:dyDescent="0.25">
      <c r="A6912" s="169" t="str">
        <f>E6912&amp;COUNTIFS($E$2:E6912,E6912)</f>
        <v>0</v>
      </c>
      <c r="B6912" s="166"/>
      <c r="C6912" s="168"/>
      <c r="D6912" s="167"/>
      <c r="E6912" s="166"/>
      <c r="F6912" s="165"/>
      <c r="G6912" s="164"/>
    </row>
    <row r="6913" spans="1:7" x14ac:dyDescent="0.25">
      <c r="A6913" s="169" t="str">
        <f>E6913&amp;COUNTIFS($E$2:E6913,E6913)</f>
        <v>0</v>
      </c>
      <c r="B6913" s="166"/>
      <c r="C6913" s="168"/>
      <c r="D6913" s="167"/>
      <c r="E6913" s="166"/>
      <c r="F6913" s="165"/>
      <c r="G6913" s="164"/>
    </row>
    <row r="6914" spans="1:7" x14ac:dyDescent="0.25">
      <c r="A6914" s="169" t="str">
        <f>E6914&amp;COUNTIFS($E$2:E6914,E6914)</f>
        <v>0</v>
      </c>
      <c r="B6914" s="166"/>
      <c r="C6914" s="168"/>
      <c r="D6914" s="167"/>
      <c r="E6914" s="166"/>
      <c r="F6914" s="165"/>
      <c r="G6914" s="164"/>
    </row>
    <row r="6915" spans="1:7" x14ac:dyDescent="0.25">
      <c r="A6915" s="169" t="str">
        <f>E6915&amp;COUNTIFS($E$2:E6915,E6915)</f>
        <v>0</v>
      </c>
      <c r="B6915" s="166"/>
      <c r="C6915" s="168"/>
      <c r="D6915" s="167"/>
      <c r="E6915" s="166"/>
      <c r="F6915" s="165"/>
      <c r="G6915" s="164"/>
    </row>
    <row r="6916" spans="1:7" x14ac:dyDescent="0.25">
      <c r="A6916" s="169" t="str">
        <f>E6916&amp;COUNTIFS($E$2:E6916,E6916)</f>
        <v>0</v>
      </c>
      <c r="B6916" s="166"/>
      <c r="C6916" s="168"/>
      <c r="D6916" s="167"/>
      <c r="E6916" s="166"/>
      <c r="F6916" s="165"/>
      <c r="G6916" s="164"/>
    </row>
    <row r="6917" spans="1:7" x14ac:dyDescent="0.25">
      <c r="A6917" s="169" t="str">
        <f>E6917&amp;COUNTIFS($E$2:E6917,E6917)</f>
        <v>0</v>
      </c>
      <c r="B6917" s="166"/>
      <c r="C6917" s="168"/>
      <c r="D6917" s="167"/>
      <c r="E6917" s="166"/>
      <c r="F6917" s="165"/>
      <c r="G6917" s="164"/>
    </row>
    <row r="6918" spans="1:7" x14ac:dyDescent="0.25">
      <c r="A6918" s="169" t="str">
        <f>E6918&amp;COUNTIFS($E$2:E6918,E6918)</f>
        <v>0</v>
      </c>
      <c r="B6918" s="166"/>
      <c r="C6918" s="168"/>
      <c r="D6918" s="167"/>
      <c r="E6918" s="166"/>
      <c r="F6918" s="165"/>
      <c r="G6918" s="164"/>
    </row>
    <row r="6919" spans="1:7" x14ac:dyDescent="0.25">
      <c r="A6919" s="169" t="str">
        <f>E6919&amp;COUNTIFS($E$2:E6919,E6919)</f>
        <v>0</v>
      </c>
      <c r="B6919" s="166"/>
      <c r="C6919" s="168"/>
      <c r="D6919" s="167"/>
      <c r="E6919" s="166"/>
      <c r="F6919" s="165"/>
      <c r="G6919" s="164"/>
    </row>
    <row r="6920" spans="1:7" x14ac:dyDescent="0.25">
      <c r="A6920" s="169" t="str">
        <f>E6920&amp;COUNTIFS($E$2:E6920,E6920)</f>
        <v>0</v>
      </c>
      <c r="B6920" s="166"/>
      <c r="C6920" s="168"/>
      <c r="D6920" s="167"/>
      <c r="E6920" s="166"/>
      <c r="F6920" s="165"/>
      <c r="G6920" s="164"/>
    </row>
    <row r="6921" spans="1:7" x14ac:dyDescent="0.25">
      <c r="A6921" s="169" t="str">
        <f>E6921&amp;COUNTIFS($E$2:E6921,E6921)</f>
        <v>0</v>
      </c>
      <c r="B6921" s="166"/>
      <c r="C6921" s="168"/>
      <c r="D6921" s="167"/>
      <c r="E6921" s="166"/>
      <c r="F6921" s="165"/>
      <c r="G6921" s="164"/>
    </row>
    <row r="6922" spans="1:7" x14ac:dyDescent="0.25">
      <c r="A6922" s="169" t="str">
        <f>E6922&amp;COUNTIFS($E$2:E6922,E6922)</f>
        <v>0</v>
      </c>
      <c r="B6922" s="166"/>
      <c r="C6922" s="168"/>
      <c r="D6922" s="167"/>
      <c r="E6922" s="166"/>
      <c r="F6922" s="165"/>
      <c r="G6922" s="164"/>
    </row>
    <row r="6923" spans="1:7" x14ac:dyDescent="0.25">
      <c r="A6923" s="169" t="str">
        <f>E6923&amp;COUNTIFS($E$2:E6923,E6923)</f>
        <v>0</v>
      </c>
      <c r="B6923" s="166"/>
      <c r="C6923" s="168"/>
      <c r="D6923" s="167"/>
      <c r="E6923" s="166"/>
      <c r="F6923" s="165"/>
      <c r="G6923" s="164"/>
    </row>
    <row r="6924" spans="1:7" x14ac:dyDescent="0.25">
      <c r="A6924" s="169" t="str">
        <f>E6924&amp;COUNTIFS($E$2:E6924,E6924)</f>
        <v>0</v>
      </c>
      <c r="B6924" s="166"/>
      <c r="C6924" s="168"/>
      <c r="D6924" s="167"/>
      <c r="E6924" s="166"/>
      <c r="F6924" s="165"/>
      <c r="G6924" s="164"/>
    </row>
    <row r="6925" spans="1:7" x14ac:dyDescent="0.25">
      <c r="A6925" s="169" t="str">
        <f>E6925&amp;COUNTIFS($E$2:E6925,E6925)</f>
        <v>0</v>
      </c>
      <c r="B6925" s="166"/>
      <c r="C6925" s="168"/>
      <c r="D6925" s="167"/>
      <c r="E6925" s="166"/>
      <c r="F6925" s="165"/>
      <c r="G6925" s="164"/>
    </row>
    <row r="6926" spans="1:7" x14ac:dyDescent="0.25">
      <c r="A6926" s="169" t="str">
        <f>E6926&amp;COUNTIFS($E$2:E6926,E6926)</f>
        <v>0</v>
      </c>
      <c r="B6926" s="166"/>
      <c r="C6926" s="168"/>
      <c r="D6926" s="167"/>
      <c r="E6926" s="166"/>
      <c r="F6926" s="165"/>
      <c r="G6926" s="164"/>
    </row>
    <row r="6927" spans="1:7" x14ac:dyDescent="0.25">
      <c r="A6927" s="169" t="str">
        <f>E6927&amp;COUNTIFS($E$2:E6927,E6927)</f>
        <v>0</v>
      </c>
      <c r="B6927" s="166"/>
      <c r="C6927" s="168"/>
      <c r="D6927" s="167"/>
      <c r="E6927" s="166"/>
      <c r="F6927" s="165"/>
      <c r="G6927" s="164"/>
    </row>
    <row r="6928" spans="1:7" ht="15.75" thickBot="1" x14ac:dyDescent="0.3">
      <c r="A6928" s="163" t="str">
        <f>E6928&amp;COUNTIFS($E$2:E6928,E6928)</f>
        <v>0</v>
      </c>
      <c r="B6928" s="160"/>
      <c r="C6928" s="162"/>
      <c r="D6928" s="161"/>
      <c r="E6928" s="160"/>
      <c r="F6928" s="159"/>
      <c r="G6928" s="158"/>
    </row>
    <row r="6929" spans="1:7" x14ac:dyDescent="0.25">
      <c r="A6929" s="148"/>
      <c r="C6929" s="143"/>
      <c r="D6929" s="157"/>
      <c r="E6929" s="143"/>
      <c r="F6929" s="156"/>
      <c r="G6929" s="156"/>
    </row>
    <row r="6930" spans="1:7" x14ac:dyDescent="0.25">
      <c r="A6930" s="148"/>
      <c r="C6930" s="153" t="s">
        <v>623</v>
      </c>
      <c r="D6930" s="152"/>
      <c r="E6930" s="151"/>
      <c r="F6930" s="150">
        <f>SUM(F6904:F6928)</f>
        <v>0</v>
      </c>
      <c r="G6930" s="155">
        <f>SUM(G6904:G6928)</f>
        <v>0</v>
      </c>
    </row>
    <row r="6931" spans="1:7" x14ac:dyDescent="0.25">
      <c r="A6931" s="148"/>
      <c r="C6931" s="145" t="s">
        <v>622</v>
      </c>
      <c r="D6931" s="154"/>
      <c r="E6931" s="145"/>
      <c r="F6931" s="144"/>
      <c r="G6931" s="144"/>
    </row>
    <row r="6932" spans="1:7" x14ac:dyDescent="0.25">
      <c r="A6932" s="148"/>
      <c r="C6932" s="153" t="s">
        <v>621</v>
      </c>
      <c r="D6932" s="152"/>
      <c r="E6932" s="151"/>
      <c r="F6932" s="150">
        <f>F6899</f>
        <v>0</v>
      </c>
      <c r="G6932" s="150">
        <f>G6899</f>
        <v>0</v>
      </c>
    </row>
    <row r="6933" spans="1:7" x14ac:dyDescent="0.25">
      <c r="A6933" s="148"/>
      <c r="C6933" s="153" t="s">
        <v>582</v>
      </c>
      <c r="D6933" s="152"/>
      <c r="E6933" s="151"/>
      <c r="F6933" s="150">
        <f>F6932+F6930</f>
        <v>0</v>
      </c>
      <c r="G6933" s="150">
        <f>G6932+G6930</f>
        <v>0</v>
      </c>
    </row>
    <row r="6934" spans="1:7" ht="15.75" thickBot="1" x14ac:dyDescent="0.3">
      <c r="A6934" s="148"/>
      <c r="C6934" s="145"/>
      <c r="D6934" s="149"/>
      <c r="E6934" s="145"/>
      <c r="F6934" s="144"/>
      <c r="G6934" s="144"/>
    </row>
    <row r="6935" spans="1:7" ht="15.75" thickBot="1" x14ac:dyDescent="0.3">
      <c r="A6935" s="148"/>
      <c r="C6935" s="147" t="s">
        <v>620</v>
      </c>
      <c r="D6935" s="146">
        <f>F6933-G6933</f>
        <v>0</v>
      </c>
      <c r="E6935" s="145"/>
      <c r="F6935" s="144"/>
      <c r="G6935" s="144"/>
    </row>
    <row r="6936" spans="1:7" ht="15.75" thickBot="1" x14ac:dyDescent="0.3"/>
    <row r="6937" spans="1:7" ht="30.75" thickBot="1" x14ac:dyDescent="0.3">
      <c r="A6937" s="181" t="s">
        <v>626</v>
      </c>
      <c r="B6937" s="180" t="s">
        <v>606</v>
      </c>
      <c r="C6937" s="179" t="s">
        <v>625</v>
      </c>
      <c r="D6937" s="178" t="s">
        <v>601</v>
      </c>
      <c r="E6937" s="177" t="s">
        <v>287</v>
      </c>
      <c r="F6937" s="176" t="s">
        <v>624</v>
      </c>
      <c r="G6937" s="176" t="s">
        <v>596</v>
      </c>
    </row>
    <row r="6938" spans="1:7" x14ac:dyDescent="0.25">
      <c r="A6938" s="175" t="str">
        <f>E6938&amp;COUNTIFS($E$2:E6938,E6938)</f>
        <v>0</v>
      </c>
      <c r="B6938" s="172"/>
      <c r="C6938" s="174"/>
      <c r="D6938" s="173"/>
      <c r="E6938" s="172"/>
      <c r="F6938" s="171"/>
      <c r="G6938" s="170"/>
    </row>
    <row r="6939" spans="1:7" x14ac:dyDescent="0.25">
      <c r="A6939" s="169" t="str">
        <f>E6939&amp;COUNTIFS($E$2:E6939,E6939)</f>
        <v>0</v>
      </c>
      <c r="B6939" s="166"/>
      <c r="C6939" s="168"/>
      <c r="D6939" s="167"/>
      <c r="E6939" s="166"/>
      <c r="F6939" s="165"/>
      <c r="G6939" s="164"/>
    </row>
    <row r="6940" spans="1:7" x14ac:dyDescent="0.25">
      <c r="A6940" s="169" t="str">
        <f>E6940&amp;COUNTIFS($E$2:E6940,E6940)</f>
        <v>0</v>
      </c>
      <c r="B6940" s="166"/>
      <c r="C6940" s="168"/>
      <c r="D6940" s="167"/>
      <c r="E6940" s="166"/>
      <c r="F6940" s="165"/>
      <c r="G6940" s="164"/>
    </row>
    <row r="6941" spans="1:7" x14ac:dyDescent="0.25">
      <c r="A6941" s="169" t="str">
        <f>E6941&amp;COUNTIFS($E$2:E6941,E6941)</f>
        <v>0</v>
      </c>
      <c r="B6941" s="166"/>
      <c r="C6941" s="168"/>
      <c r="D6941" s="167"/>
      <c r="E6941" s="166"/>
      <c r="F6941" s="165"/>
      <c r="G6941" s="164"/>
    </row>
    <row r="6942" spans="1:7" x14ac:dyDescent="0.25">
      <c r="A6942" s="169" t="str">
        <f>E6942&amp;COUNTIFS($E$2:E6942,E6942)</f>
        <v>0</v>
      </c>
      <c r="B6942" s="166"/>
      <c r="C6942" s="168"/>
      <c r="D6942" s="167"/>
      <c r="E6942" s="166"/>
      <c r="F6942" s="165"/>
      <c r="G6942" s="164"/>
    </row>
    <row r="6943" spans="1:7" x14ac:dyDescent="0.25">
      <c r="A6943" s="169" t="str">
        <f>E6943&amp;COUNTIFS($E$2:E6943,E6943)</f>
        <v>0</v>
      </c>
      <c r="B6943" s="166"/>
      <c r="C6943" s="168"/>
      <c r="D6943" s="167"/>
      <c r="E6943" s="166"/>
      <c r="F6943" s="165"/>
      <c r="G6943" s="164"/>
    </row>
    <row r="6944" spans="1:7" x14ac:dyDescent="0.25">
      <c r="A6944" s="169" t="str">
        <f>E6944&amp;COUNTIFS($E$2:E6944,E6944)</f>
        <v>0</v>
      </c>
      <c r="B6944" s="166"/>
      <c r="C6944" s="168"/>
      <c r="D6944" s="167"/>
      <c r="E6944" s="166"/>
      <c r="F6944" s="165"/>
      <c r="G6944" s="164"/>
    </row>
    <row r="6945" spans="1:7" x14ac:dyDescent="0.25">
      <c r="A6945" s="169" t="str">
        <f>E6945&amp;COUNTIFS($E$2:E6945,E6945)</f>
        <v>0</v>
      </c>
      <c r="B6945" s="166"/>
      <c r="C6945" s="168"/>
      <c r="D6945" s="167"/>
      <c r="E6945" s="166"/>
      <c r="F6945" s="165"/>
      <c r="G6945" s="164"/>
    </row>
    <row r="6946" spans="1:7" x14ac:dyDescent="0.25">
      <c r="A6946" s="169" t="str">
        <f>E6946&amp;COUNTIFS($E$2:E6946,E6946)</f>
        <v>0</v>
      </c>
      <c r="B6946" s="166"/>
      <c r="C6946" s="168"/>
      <c r="D6946" s="167"/>
      <c r="E6946" s="166"/>
      <c r="F6946" s="165"/>
      <c r="G6946" s="164"/>
    </row>
    <row r="6947" spans="1:7" x14ac:dyDescent="0.25">
      <c r="A6947" s="169" t="str">
        <f>E6947&amp;COUNTIFS($E$2:E6947,E6947)</f>
        <v>0</v>
      </c>
      <c r="B6947" s="166"/>
      <c r="C6947" s="168"/>
      <c r="D6947" s="167"/>
      <c r="E6947" s="166"/>
      <c r="F6947" s="165"/>
      <c r="G6947" s="164"/>
    </row>
    <row r="6948" spans="1:7" x14ac:dyDescent="0.25">
      <c r="A6948" s="169" t="str">
        <f>E6948&amp;COUNTIFS($E$2:E6948,E6948)</f>
        <v>0</v>
      </c>
      <c r="B6948" s="166"/>
      <c r="C6948" s="168"/>
      <c r="D6948" s="167"/>
      <c r="E6948" s="166"/>
      <c r="F6948" s="165"/>
      <c r="G6948" s="164"/>
    </row>
    <row r="6949" spans="1:7" x14ac:dyDescent="0.25">
      <c r="A6949" s="169" t="str">
        <f>E6949&amp;COUNTIFS($E$2:E6949,E6949)</f>
        <v>0</v>
      </c>
      <c r="B6949" s="166"/>
      <c r="C6949" s="168"/>
      <c r="D6949" s="167"/>
      <c r="E6949" s="166"/>
      <c r="F6949" s="165"/>
      <c r="G6949" s="164"/>
    </row>
    <row r="6950" spans="1:7" x14ac:dyDescent="0.25">
      <c r="A6950" s="169" t="str">
        <f>E6950&amp;COUNTIFS($E$2:E6950,E6950)</f>
        <v>0</v>
      </c>
      <c r="B6950" s="166"/>
      <c r="C6950" s="168"/>
      <c r="D6950" s="167"/>
      <c r="E6950" s="166"/>
      <c r="F6950" s="165"/>
      <c r="G6950" s="164"/>
    </row>
    <row r="6951" spans="1:7" x14ac:dyDescent="0.25">
      <c r="A6951" s="169" t="str">
        <f>E6951&amp;COUNTIFS($E$2:E6951,E6951)</f>
        <v>0</v>
      </c>
      <c r="B6951" s="166"/>
      <c r="C6951" s="168"/>
      <c r="D6951" s="167"/>
      <c r="E6951" s="166"/>
      <c r="F6951" s="165"/>
      <c r="G6951" s="164"/>
    </row>
    <row r="6952" spans="1:7" x14ac:dyDescent="0.25">
      <c r="A6952" s="169" t="str">
        <f>E6952&amp;COUNTIFS($E$2:E6952,E6952)</f>
        <v>0</v>
      </c>
      <c r="B6952" s="166"/>
      <c r="C6952" s="168"/>
      <c r="D6952" s="167"/>
      <c r="E6952" s="166"/>
      <c r="F6952" s="165"/>
      <c r="G6952" s="164"/>
    </row>
    <row r="6953" spans="1:7" x14ac:dyDescent="0.25">
      <c r="A6953" s="169" t="str">
        <f>E6953&amp;COUNTIFS($E$2:E6953,E6953)</f>
        <v>0</v>
      </c>
      <c r="B6953" s="166"/>
      <c r="C6953" s="168"/>
      <c r="D6953" s="167"/>
      <c r="E6953" s="166"/>
      <c r="F6953" s="165"/>
      <c r="G6953" s="164"/>
    </row>
    <row r="6954" spans="1:7" x14ac:dyDescent="0.25">
      <c r="A6954" s="169" t="str">
        <f>E6954&amp;COUNTIFS($E$2:E6954,E6954)</f>
        <v>0</v>
      </c>
      <c r="B6954" s="166"/>
      <c r="C6954" s="168"/>
      <c r="D6954" s="167"/>
      <c r="E6954" s="166"/>
      <c r="F6954" s="165"/>
      <c r="G6954" s="164"/>
    </row>
    <row r="6955" spans="1:7" x14ac:dyDescent="0.25">
      <c r="A6955" s="169" t="str">
        <f>E6955&amp;COUNTIFS($E$2:E6955,E6955)</f>
        <v>0</v>
      </c>
      <c r="B6955" s="166"/>
      <c r="C6955" s="168"/>
      <c r="D6955" s="167"/>
      <c r="E6955" s="166"/>
      <c r="F6955" s="165"/>
      <c r="G6955" s="164"/>
    </row>
    <row r="6956" spans="1:7" x14ac:dyDescent="0.25">
      <c r="A6956" s="169" t="str">
        <f>E6956&amp;COUNTIFS($E$2:E6956,E6956)</f>
        <v>0</v>
      </c>
      <c r="B6956" s="166"/>
      <c r="C6956" s="168"/>
      <c r="D6956" s="167"/>
      <c r="E6956" s="166"/>
      <c r="F6956" s="165"/>
      <c r="G6956" s="164"/>
    </row>
    <row r="6957" spans="1:7" x14ac:dyDescent="0.25">
      <c r="A6957" s="169" t="str">
        <f>E6957&amp;COUNTIFS($E$2:E6957,E6957)</f>
        <v>0</v>
      </c>
      <c r="B6957" s="166"/>
      <c r="C6957" s="168"/>
      <c r="D6957" s="167"/>
      <c r="E6957" s="166"/>
      <c r="F6957" s="165"/>
      <c r="G6957" s="164"/>
    </row>
    <row r="6958" spans="1:7" x14ac:dyDescent="0.25">
      <c r="A6958" s="169" t="str">
        <f>E6958&amp;COUNTIFS($E$2:E6958,E6958)</f>
        <v>0</v>
      </c>
      <c r="B6958" s="166"/>
      <c r="C6958" s="168"/>
      <c r="D6958" s="167"/>
      <c r="E6958" s="166"/>
      <c r="F6958" s="165"/>
      <c r="G6958" s="164"/>
    </row>
    <row r="6959" spans="1:7" x14ac:dyDescent="0.25">
      <c r="A6959" s="169" t="str">
        <f>E6959&amp;COUNTIFS($E$2:E6959,E6959)</f>
        <v>0</v>
      </c>
      <c r="B6959" s="166"/>
      <c r="C6959" s="168"/>
      <c r="D6959" s="167"/>
      <c r="E6959" s="166"/>
      <c r="F6959" s="165"/>
      <c r="G6959" s="164"/>
    </row>
    <row r="6960" spans="1:7" x14ac:dyDescent="0.25">
      <c r="A6960" s="169" t="str">
        <f>E6960&amp;COUNTIFS($E$2:E6960,E6960)</f>
        <v>0</v>
      </c>
      <c r="B6960" s="166"/>
      <c r="C6960" s="168"/>
      <c r="D6960" s="167"/>
      <c r="E6960" s="166"/>
      <c r="F6960" s="165"/>
      <c r="G6960" s="164"/>
    </row>
    <row r="6961" spans="1:7" x14ac:dyDescent="0.25">
      <c r="A6961" s="169" t="str">
        <f>E6961&amp;COUNTIFS($E$2:E6961,E6961)</f>
        <v>0</v>
      </c>
      <c r="B6961" s="166"/>
      <c r="C6961" s="168"/>
      <c r="D6961" s="167"/>
      <c r="E6961" s="166"/>
      <c r="F6961" s="165"/>
      <c r="G6961" s="164"/>
    </row>
    <row r="6962" spans="1:7" ht="15.75" thickBot="1" x14ac:dyDescent="0.3">
      <c r="A6962" s="163" t="str">
        <f>E6962&amp;COUNTIFS($E$2:E6962,E6962)</f>
        <v>0</v>
      </c>
      <c r="B6962" s="160"/>
      <c r="C6962" s="162"/>
      <c r="D6962" s="161"/>
      <c r="E6962" s="160"/>
      <c r="F6962" s="159"/>
      <c r="G6962" s="158"/>
    </row>
    <row r="6963" spans="1:7" x14ac:dyDescent="0.25">
      <c r="A6963" s="148"/>
      <c r="C6963" s="143"/>
      <c r="D6963" s="157"/>
      <c r="E6963" s="143"/>
      <c r="F6963" s="156"/>
      <c r="G6963" s="156"/>
    </row>
    <row r="6964" spans="1:7" x14ac:dyDescent="0.25">
      <c r="A6964" s="148"/>
      <c r="C6964" s="153" t="s">
        <v>623</v>
      </c>
      <c r="D6964" s="152"/>
      <c r="E6964" s="151"/>
      <c r="F6964" s="150">
        <f>SUM(F6938:F6962)</f>
        <v>0</v>
      </c>
      <c r="G6964" s="155">
        <f>SUM(G6938:G6962)</f>
        <v>0</v>
      </c>
    </row>
    <row r="6965" spans="1:7" x14ac:dyDescent="0.25">
      <c r="A6965" s="148"/>
      <c r="C6965" s="145" t="s">
        <v>622</v>
      </c>
      <c r="D6965" s="154"/>
      <c r="E6965" s="145"/>
      <c r="F6965" s="144"/>
      <c r="G6965" s="144"/>
    </row>
    <row r="6966" spans="1:7" x14ac:dyDescent="0.25">
      <c r="A6966" s="148"/>
      <c r="C6966" s="153" t="s">
        <v>621</v>
      </c>
      <c r="D6966" s="152"/>
      <c r="E6966" s="151"/>
      <c r="F6966" s="150">
        <f>F6933</f>
        <v>0</v>
      </c>
      <c r="G6966" s="150">
        <f>G6933</f>
        <v>0</v>
      </c>
    </row>
    <row r="6967" spans="1:7" x14ac:dyDescent="0.25">
      <c r="A6967" s="148"/>
      <c r="C6967" s="153" t="s">
        <v>582</v>
      </c>
      <c r="D6967" s="152"/>
      <c r="E6967" s="151"/>
      <c r="F6967" s="150">
        <f>F6966+F6964</f>
        <v>0</v>
      </c>
      <c r="G6967" s="150">
        <f>G6966+G6964</f>
        <v>0</v>
      </c>
    </row>
    <row r="6968" spans="1:7" ht="15.75" thickBot="1" x14ac:dyDescent="0.3">
      <c r="A6968" s="148"/>
      <c r="C6968" s="145"/>
      <c r="D6968" s="149"/>
      <c r="E6968" s="145"/>
      <c r="F6968" s="144"/>
      <c r="G6968" s="144"/>
    </row>
    <row r="6969" spans="1:7" ht="15.75" thickBot="1" x14ac:dyDescent="0.3">
      <c r="A6969" s="148"/>
      <c r="C6969" s="147" t="s">
        <v>620</v>
      </c>
      <c r="D6969" s="146">
        <f>F6967-G6967</f>
        <v>0</v>
      </c>
      <c r="E6969" s="145"/>
      <c r="F6969" s="144"/>
      <c r="G6969" s="144"/>
    </row>
    <row r="6970" spans="1:7" ht="15.75" thickBot="1" x14ac:dyDescent="0.3"/>
    <row r="6971" spans="1:7" ht="30.75" thickBot="1" x14ac:dyDescent="0.3">
      <c r="A6971" s="181" t="s">
        <v>626</v>
      </c>
      <c r="B6971" s="180" t="s">
        <v>606</v>
      </c>
      <c r="C6971" s="179" t="s">
        <v>625</v>
      </c>
      <c r="D6971" s="178" t="s">
        <v>601</v>
      </c>
      <c r="E6971" s="177" t="s">
        <v>287</v>
      </c>
      <c r="F6971" s="176" t="s">
        <v>624</v>
      </c>
      <c r="G6971" s="176" t="s">
        <v>596</v>
      </c>
    </row>
    <row r="6972" spans="1:7" x14ac:dyDescent="0.25">
      <c r="A6972" s="175" t="str">
        <f>E6972&amp;COUNTIFS($E$2:E6972,E6972)</f>
        <v>0</v>
      </c>
      <c r="B6972" s="172"/>
      <c r="C6972" s="174"/>
      <c r="D6972" s="173"/>
      <c r="E6972" s="172"/>
      <c r="F6972" s="171"/>
      <c r="G6972" s="170"/>
    </row>
    <row r="6973" spans="1:7" x14ac:dyDescent="0.25">
      <c r="A6973" s="169" t="str">
        <f>E6973&amp;COUNTIFS($E$2:E6973,E6973)</f>
        <v>0</v>
      </c>
      <c r="B6973" s="166"/>
      <c r="C6973" s="168"/>
      <c r="D6973" s="167"/>
      <c r="E6973" s="166"/>
      <c r="F6973" s="165"/>
      <c r="G6973" s="164"/>
    </row>
    <row r="6974" spans="1:7" x14ac:dyDescent="0.25">
      <c r="A6974" s="169" t="str">
        <f>E6974&amp;COUNTIFS($E$2:E6974,E6974)</f>
        <v>0</v>
      </c>
      <c r="B6974" s="166"/>
      <c r="C6974" s="168"/>
      <c r="D6974" s="167"/>
      <c r="E6974" s="166"/>
      <c r="F6974" s="165"/>
      <c r="G6974" s="164"/>
    </row>
    <row r="6975" spans="1:7" x14ac:dyDescent="0.25">
      <c r="A6975" s="169" t="str">
        <f>E6975&amp;COUNTIFS($E$2:E6975,E6975)</f>
        <v>0</v>
      </c>
      <c r="B6975" s="166"/>
      <c r="C6975" s="168"/>
      <c r="D6975" s="167"/>
      <c r="E6975" s="166"/>
      <c r="F6975" s="165"/>
      <c r="G6975" s="164"/>
    </row>
    <row r="6976" spans="1:7" x14ac:dyDescent="0.25">
      <c r="A6976" s="169" t="str">
        <f>E6976&amp;COUNTIFS($E$2:E6976,E6976)</f>
        <v>0</v>
      </c>
      <c r="B6976" s="166"/>
      <c r="C6976" s="168"/>
      <c r="D6976" s="167"/>
      <c r="E6976" s="166"/>
      <c r="F6976" s="165"/>
      <c r="G6976" s="164"/>
    </row>
    <row r="6977" spans="1:7" x14ac:dyDescent="0.25">
      <c r="A6977" s="169" t="str">
        <f>E6977&amp;COUNTIFS($E$2:E6977,E6977)</f>
        <v>0</v>
      </c>
      <c r="B6977" s="166"/>
      <c r="C6977" s="168"/>
      <c r="D6977" s="167"/>
      <c r="E6977" s="166"/>
      <c r="F6977" s="165"/>
      <c r="G6977" s="164"/>
    </row>
    <row r="6978" spans="1:7" x14ac:dyDescent="0.25">
      <c r="A6978" s="169" t="str">
        <f>E6978&amp;COUNTIFS($E$2:E6978,E6978)</f>
        <v>0</v>
      </c>
      <c r="B6978" s="166"/>
      <c r="C6978" s="168"/>
      <c r="D6978" s="167"/>
      <c r="E6978" s="166"/>
      <c r="F6978" s="165"/>
    </row>
    <row r="6979" spans="1:7" x14ac:dyDescent="0.25">
      <c r="A6979" s="169" t="str">
        <f>E6979&amp;COUNTIFS($E$2:E6979,E6979)</f>
        <v>0</v>
      </c>
      <c r="B6979" s="166"/>
      <c r="C6979" s="168"/>
      <c r="D6979" s="167"/>
      <c r="E6979" s="166"/>
      <c r="F6979" s="165"/>
      <c r="G6979" s="164"/>
    </row>
    <row r="6980" spans="1:7" x14ac:dyDescent="0.25">
      <c r="A6980" s="169" t="str">
        <f>E6980&amp;COUNTIFS($E$2:E6980,E6980)</f>
        <v>0</v>
      </c>
      <c r="B6980" s="166"/>
      <c r="C6980" s="168"/>
      <c r="D6980" s="167"/>
      <c r="E6980" s="166"/>
      <c r="F6980" s="165"/>
      <c r="G6980" s="164"/>
    </row>
    <row r="6981" spans="1:7" x14ac:dyDescent="0.25">
      <c r="A6981" s="169" t="str">
        <f>E6981&amp;COUNTIFS($E$2:E6981,E6981)</f>
        <v>0</v>
      </c>
      <c r="B6981" s="166"/>
      <c r="C6981" s="168"/>
      <c r="D6981" s="167"/>
      <c r="E6981" s="166"/>
      <c r="F6981" s="165"/>
      <c r="G6981" s="164"/>
    </row>
    <row r="6982" spans="1:7" x14ac:dyDescent="0.25">
      <c r="A6982" s="169" t="str">
        <f>E6982&amp;COUNTIFS($E$2:E6982,E6982)</f>
        <v>0</v>
      </c>
      <c r="B6982" s="166"/>
      <c r="C6982" s="168"/>
      <c r="D6982" s="167"/>
      <c r="E6982" s="166"/>
      <c r="F6982" s="165"/>
      <c r="G6982" s="164"/>
    </row>
    <row r="6983" spans="1:7" x14ac:dyDescent="0.25">
      <c r="A6983" s="169" t="str">
        <f>E6983&amp;COUNTIFS($E$2:E6983,E6983)</f>
        <v>0</v>
      </c>
      <c r="B6983" s="166"/>
      <c r="C6983" s="168"/>
      <c r="D6983" s="167"/>
      <c r="E6983" s="166"/>
      <c r="F6983" s="165"/>
      <c r="G6983" s="164"/>
    </row>
    <row r="6984" spans="1:7" x14ac:dyDescent="0.25">
      <c r="A6984" s="169" t="str">
        <f>E6984&amp;COUNTIFS($E$2:E6984,E6984)</f>
        <v>0</v>
      </c>
      <c r="B6984" s="166"/>
      <c r="C6984" s="168"/>
      <c r="D6984" s="167"/>
      <c r="E6984" s="166"/>
      <c r="F6984" s="165"/>
      <c r="G6984" s="164"/>
    </row>
    <row r="6985" spans="1:7" x14ac:dyDescent="0.25">
      <c r="A6985" s="169" t="str">
        <f>E6985&amp;COUNTIFS($E$2:E6985,E6985)</f>
        <v>0</v>
      </c>
      <c r="B6985" s="166"/>
      <c r="C6985" s="168"/>
      <c r="D6985" s="167"/>
      <c r="E6985" s="166"/>
      <c r="F6985" s="165"/>
      <c r="G6985" s="164"/>
    </row>
    <row r="6986" spans="1:7" x14ac:dyDescent="0.25">
      <c r="A6986" s="169" t="str">
        <f>E6986&amp;COUNTIFS($E$2:E6986,E6986)</f>
        <v>0</v>
      </c>
      <c r="B6986" s="166"/>
      <c r="C6986" s="168"/>
      <c r="D6986" s="167"/>
      <c r="E6986" s="166"/>
      <c r="F6986" s="165"/>
      <c r="G6986" s="164"/>
    </row>
    <row r="6987" spans="1:7" x14ac:dyDescent="0.25">
      <c r="A6987" s="169" t="str">
        <f>E6987&amp;COUNTIFS($E$2:E6987,E6987)</f>
        <v>0</v>
      </c>
      <c r="B6987" s="166"/>
      <c r="C6987" s="168"/>
      <c r="D6987" s="167"/>
      <c r="E6987" s="166"/>
      <c r="F6987" s="165"/>
      <c r="G6987" s="164"/>
    </row>
    <row r="6988" spans="1:7" x14ac:dyDescent="0.25">
      <c r="A6988" s="169" t="str">
        <f>E6988&amp;COUNTIFS($E$2:E6988,E6988)</f>
        <v>0</v>
      </c>
      <c r="B6988" s="166"/>
      <c r="C6988" s="168"/>
      <c r="D6988" s="167"/>
      <c r="E6988" s="166"/>
      <c r="F6988" s="165"/>
      <c r="G6988" s="164"/>
    </row>
    <row r="6989" spans="1:7" x14ac:dyDescent="0.25">
      <c r="A6989" s="169" t="str">
        <f>E6989&amp;COUNTIFS($E$2:E6989,E6989)</f>
        <v>0</v>
      </c>
      <c r="B6989" s="166"/>
      <c r="C6989" s="168"/>
      <c r="D6989" s="167"/>
      <c r="E6989" s="166"/>
      <c r="F6989" s="165"/>
      <c r="G6989" s="164"/>
    </row>
    <row r="6990" spans="1:7" x14ac:dyDescent="0.25">
      <c r="A6990" s="169" t="str">
        <f>E6990&amp;COUNTIFS($E$2:E6990,E6990)</f>
        <v>0</v>
      </c>
      <c r="B6990" s="166"/>
      <c r="C6990" s="168"/>
      <c r="D6990" s="167"/>
      <c r="E6990" s="166"/>
      <c r="F6990" s="165"/>
      <c r="G6990" s="164"/>
    </row>
    <row r="6991" spans="1:7" x14ac:dyDescent="0.25">
      <c r="A6991" s="169" t="str">
        <f>E6991&amp;COUNTIFS($E$2:E6991,E6991)</f>
        <v>0</v>
      </c>
      <c r="B6991" s="166"/>
      <c r="C6991" s="168"/>
      <c r="D6991" s="167"/>
      <c r="E6991" s="166"/>
      <c r="F6991" s="165"/>
      <c r="G6991" s="164"/>
    </row>
    <row r="6992" spans="1:7" x14ac:dyDescent="0.25">
      <c r="A6992" s="169" t="str">
        <f>E6992&amp;COUNTIFS($E$2:E6992,E6992)</f>
        <v>0</v>
      </c>
      <c r="B6992" s="166"/>
      <c r="C6992" s="168"/>
      <c r="D6992" s="167"/>
      <c r="E6992" s="166"/>
      <c r="F6992" s="165"/>
      <c r="G6992" s="164"/>
    </row>
    <row r="6993" spans="1:7" x14ac:dyDescent="0.25">
      <c r="A6993" s="169" t="str">
        <f>E6993&amp;COUNTIFS($E$2:E6993,E6993)</f>
        <v>0</v>
      </c>
      <c r="B6993" s="166"/>
      <c r="C6993" s="168"/>
      <c r="D6993" s="167"/>
      <c r="E6993" s="166"/>
      <c r="F6993" s="165"/>
      <c r="G6993" s="164"/>
    </row>
    <row r="6994" spans="1:7" x14ac:dyDescent="0.25">
      <c r="A6994" s="169" t="str">
        <f>E6994&amp;COUNTIFS($E$2:E6994,E6994)</f>
        <v>0</v>
      </c>
      <c r="B6994" s="166"/>
      <c r="C6994" s="168"/>
      <c r="D6994" s="167"/>
      <c r="E6994" s="166"/>
      <c r="F6994" s="165"/>
      <c r="G6994" s="164"/>
    </row>
    <row r="6995" spans="1:7" x14ac:dyDescent="0.25">
      <c r="A6995" s="169" t="str">
        <f>E6995&amp;COUNTIFS($E$2:E6995,E6995)</f>
        <v>0</v>
      </c>
      <c r="B6995" s="166"/>
      <c r="C6995" s="168"/>
      <c r="D6995" s="167"/>
      <c r="E6995" s="166"/>
      <c r="F6995" s="165"/>
      <c r="G6995" s="164"/>
    </row>
    <row r="6996" spans="1:7" ht="15.75" thickBot="1" x14ac:dyDescent="0.3">
      <c r="A6996" s="163" t="str">
        <f>E6996&amp;COUNTIFS($E$2:E6996,E6996)</f>
        <v>0</v>
      </c>
      <c r="B6996" s="160"/>
      <c r="C6996" s="162"/>
      <c r="D6996" s="161"/>
      <c r="E6996" s="160"/>
      <c r="F6996" s="159"/>
      <c r="G6996" s="158"/>
    </row>
    <row r="6997" spans="1:7" x14ac:dyDescent="0.25">
      <c r="A6997" s="148"/>
      <c r="C6997" s="143"/>
      <c r="D6997" s="157"/>
      <c r="E6997" s="143"/>
      <c r="F6997" s="156"/>
      <c r="G6997" s="156"/>
    </row>
    <row r="6998" spans="1:7" x14ac:dyDescent="0.25">
      <c r="A6998" s="148"/>
      <c r="C6998" s="153" t="s">
        <v>623</v>
      </c>
      <c r="D6998" s="152"/>
      <c r="E6998" s="151"/>
      <c r="F6998" s="150">
        <f>SUM(F6972:F6996)</f>
        <v>0</v>
      </c>
      <c r="G6998" s="155">
        <f>SUM(G6972:G6996)</f>
        <v>0</v>
      </c>
    </row>
    <row r="6999" spans="1:7" x14ac:dyDescent="0.25">
      <c r="A6999" s="148"/>
      <c r="C6999" s="145" t="s">
        <v>622</v>
      </c>
      <c r="D6999" s="154"/>
      <c r="E6999" s="145"/>
      <c r="F6999" s="144"/>
      <c r="G6999" s="144"/>
    </row>
    <row r="7000" spans="1:7" x14ac:dyDescent="0.25">
      <c r="A7000" s="148"/>
      <c r="C7000" s="153" t="s">
        <v>621</v>
      </c>
      <c r="D7000" s="152"/>
      <c r="E7000" s="151"/>
      <c r="F7000" s="150">
        <f>F6967</f>
        <v>0</v>
      </c>
      <c r="G7000" s="150">
        <f>G6967</f>
        <v>0</v>
      </c>
    </row>
    <row r="7001" spans="1:7" x14ac:dyDescent="0.25">
      <c r="A7001" s="148"/>
      <c r="C7001" s="153" t="s">
        <v>582</v>
      </c>
      <c r="D7001" s="152"/>
      <c r="E7001" s="151"/>
      <c r="F7001" s="150">
        <f>F7000+F6998</f>
        <v>0</v>
      </c>
      <c r="G7001" s="150">
        <f>G7000+G6998</f>
        <v>0</v>
      </c>
    </row>
    <row r="7002" spans="1:7" ht="15.75" thickBot="1" x14ac:dyDescent="0.3">
      <c r="A7002" s="148"/>
      <c r="C7002" s="145"/>
      <c r="D7002" s="149"/>
      <c r="E7002" s="145"/>
      <c r="F7002" s="144"/>
      <c r="G7002" s="144"/>
    </row>
    <row r="7003" spans="1:7" ht="15.75" thickBot="1" x14ac:dyDescent="0.3">
      <c r="A7003" s="148"/>
      <c r="C7003" s="147" t="s">
        <v>620</v>
      </c>
      <c r="D7003" s="146">
        <f>F7001-G7001</f>
        <v>0</v>
      </c>
      <c r="E7003" s="145"/>
      <c r="F7003" s="144"/>
      <c r="G7003" s="144"/>
    </row>
    <row r="7004" spans="1:7" ht="15.75" thickBot="1" x14ac:dyDescent="0.3"/>
    <row r="7005" spans="1:7" ht="30.75" thickBot="1" x14ac:dyDescent="0.3">
      <c r="A7005" s="181" t="s">
        <v>626</v>
      </c>
      <c r="B7005" s="180" t="s">
        <v>606</v>
      </c>
      <c r="C7005" s="179" t="s">
        <v>625</v>
      </c>
      <c r="D7005" s="178" t="s">
        <v>601</v>
      </c>
      <c r="E7005" s="177" t="s">
        <v>287</v>
      </c>
      <c r="F7005" s="176" t="s">
        <v>624</v>
      </c>
      <c r="G7005" s="176" t="s">
        <v>596</v>
      </c>
    </row>
    <row r="7006" spans="1:7" x14ac:dyDescent="0.25">
      <c r="A7006" s="175" t="str">
        <f>E7006&amp;COUNTIFS($E$2:E7006,E7006)</f>
        <v>0</v>
      </c>
      <c r="B7006" s="172"/>
      <c r="C7006" s="174"/>
      <c r="D7006" s="173"/>
      <c r="E7006" s="172"/>
      <c r="F7006" s="171"/>
      <c r="G7006" s="170"/>
    </row>
    <row r="7007" spans="1:7" x14ac:dyDescent="0.25">
      <c r="A7007" s="169" t="str">
        <f>E7007&amp;COUNTIFS($E$2:E7007,E7007)</f>
        <v>0</v>
      </c>
      <c r="B7007" s="166"/>
      <c r="C7007" s="168"/>
      <c r="D7007" s="167"/>
      <c r="E7007" s="166"/>
      <c r="F7007" s="165"/>
      <c r="G7007" s="164"/>
    </row>
    <row r="7008" spans="1:7" x14ac:dyDescent="0.25">
      <c r="A7008" s="169" t="str">
        <f>E7008&amp;COUNTIFS($E$2:E7008,E7008)</f>
        <v>0</v>
      </c>
      <c r="B7008" s="166"/>
      <c r="C7008" s="168"/>
      <c r="D7008" s="167"/>
      <c r="E7008" s="166"/>
      <c r="F7008" s="165"/>
      <c r="G7008" s="164"/>
    </row>
    <row r="7009" spans="1:7" x14ac:dyDescent="0.25">
      <c r="A7009" s="169" t="str">
        <f>E7009&amp;COUNTIFS($E$2:E7009,E7009)</f>
        <v>0</v>
      </c>
      <c r="B7009" s="166"/>
      <c r="C7009" s="168"/>
      <c r="D7009" s="167"/>
      <c r="E7009" s="166"/>
      <c r="F7009" s="165"/>
      <c r="G7009" s="164"/>
    </row>
    <row r="7010" spans="1:7" x14ac:dyDescent="0.25">
      <c r="A7010" s="169" t="str">
        <f>E7010&amp;COUNTIFS($E$2:E7010,E7010)</f>
        <v>0</v>
      </c>
      <c r="B7010" s="166"/>
      <c r="C7010" s="168"/>
      <c r="D7010" s="167"/>
      <c r="E7010" s="166"/>
      <c r="F7010" s="165"/>
      <c r="G7010" s="164"/>
    </row>
    <row r="7011" spans="1:7" x14ac:dyDescent="0.25">
      <c r="A7011" s="169" t="str">
        <f>E7011&amp;COUNTIFS($E$2:E7011,E7011)</f>
        <v>0</v>
      </c>
      <c r="B7011" s="166"/>
      <c r="C7011" s="168"/>
      <c r="D7011" s="167"/>
      <c r="E7011" s="166"/>
      <c r="F7011" s="165"/>
      <c r="G7011" s="164"/>
    </row>
    <row r="7012" spans="1:7" x14ac:dyDescent="0.25">
      <c r="A7012" s="169" t="str">
        <f>E7012&amp;COUNTIFS($E$2:E7012,E7012)</f>
        <v>0</v>
      </c>
      <c r="B7012" s="166"/>
      <c r="C7012" s="168"/>
      <c r="D7012" s="167"/>
      <c r="E7012" s="166"/>
      <c r="F7012" s="165"/>
      <c r="G7012" s="164"/>
    </row>
    <row r="7013" spans="1:7" x14ac:dyDescent="0.25">
      <c r="A7013" s="169" t="str">
        <f>E7013&amp;COUNTIFS($E$2:E7013,E7013)</f>
        <v>0</v>
      </c>
      <c r="B7013" s="166"/>
      <c r="C7013" s="168"/>
      <c r="D7013" s="167"/>
      <c r="E7013" s="166"/>
      <c r="F7013" s="165"/>
      <c r="G7013" s="164"/>
    </row>
    <row r="7014" spans="1:7" x14ac:dyDescent="0.25">
      <c r="A7014" s="169" t="str">
        <f>E7014&amp;COUNTIFS($E$2:E7014,E7014)</f>
        <v>0</v>
      </c>
      <c r="B7014" s="166"/>
      <c r="C7014" s="168"/>
      <c r="D7014" s="167"/>
      <c r="E7014" s="166"/>
      <c r="F7014" s="165"/>
      <c r="G7014" s="164"/>
    </row>
    <row r="7015" spans="1:7" x14ac:dyDescent="0.25">
      <c r="A7015" s="169" t="str">
        <f>E7015&amp;COUNTIFS($E$2:E7015,E7015)</f>
        <v>0</v>
      </c>
      <c r="B7015" s="166"/>
      <c r="C7015" s="168"/>
      <c r="D7015" s="167"/>
      <c r="E7015" s="166"/>
      <c r="F7015" s="165"/>
      <c r="G7015" s="164"/>
    </row>
    <row r="7016" spans="1:7" x14ac:dyDescent="0.25">
      <c r="A7016" s="169" t="str">
        <f>E7016&amp;COUNTIFS($E$2:E7016,E7016)</f>
        <v>0</v>
      </c>
      <c r="B7016" s="166"/>
      <c r="C7016" s="168"/>
      <c r="D7016" s="167"/>
      <c r="E7016" s="166"/>
      <c r="F7016" s="165"/>
      <c r="G7016" s="164"/>
    </row>
    <row r="7017" spans="1:7" x14ac:dyDescent="0.25">
      <c r="A7017" s="169" t="str">
        <f>E7017&amp;COUNTIFS($E$2:E7017,E7017)</f>
        <v>0</v>
      </c>
      <c r="B7017" s="166"/>
      <c r="C7017" s="168"/>
      <c r="D7017" s="167"/>
      <c r="E7017" s="166"/>
      <c r="F7017" s="165"/>
      <c r="G7017" s="164"/>
    </row>
    <row r="7018" spans="1:7" x14ac:dyDescent="0.25">
      <c r="A7018" s="169" t="str">
        <f>E7018&amp;COUNTIFS($E$2:E7018,E7018)</f>
        <v>0</v>
      </c>
      <c r="B7018" s="166"/>
      <c r="C7018" s="168"/>
      <c r="D7018" s="167"/>
      <c r="E7018" s="166"/>
      <c r="F7018" s="165"/>
      <c r="G7018" s="164"/>
    </row>
    <row r="7019" spans="1:7" x14ac:dyDescent="0.25">
      <c r="A7019" s="169" t="str">
        <f>E7019&amp;COUNTIFS($E$2:E7019,E7019)</f>
        <v>0</v>
      </c>
      <c r="B7019" s="166"/>
      <c r="C7019" s="168"/>
      <c r="D7019" s="167"/>
      <c r="E7019" s="166"/>
      <c r="F7019" s="165"/>
      <c r="G7019" s="164"/>
    </row>
    <row r="7020" spans="1:7" x14ac:dyDescent="0.25">
      <c r="A7020" s="169" t="str">
        <f>E7020&amp;COUNTIFS($E$2:E7020,E7020)</f>
        <v>0</v>
      </c>
      <c r="B7020" s="166"/>
      <c r="C7020" s="168"/>
      <c r="D7020" s="167"/>
      <c r="E7020" s="166"/>
      <c r="F7020" s="165"/>
      <c r="G7020" s="164"/>
    </row>
    <row r="7021" spans="1:7" x14ac:dyDescent="0.25">
      <c r="A7021" s="169" t="str">
        <f>E7021&amp;COUNTIFS($E$2:E7021,E7021)</f>
        <v>0</v>
      </c>
      <c r="B7021" s="166"/>
      <c r="C7021" s="168"/>
      <c r="D7021" s="167"/>
      <c r="E7021" s="166"/>
      <c r="F7021" s="165"/>
      <c r="G7021" s="164"/>
    </row>
    <row r="7022" spans="1:7" x14ac:dyDescent="0.25">
      <c r="A7022" s="169" t="str">
        <f>E7022&amp;COUNTIFS($E$2:E7022,E7022)</f>
        <v>0</v>
      </c>
      <c r="B7022" s="166"/>
      <c r="C7022" s="168"/>
      <c r="D7022" s="167"/>
      <c r="E7022" s="166"/>
      <c r="F7022" s="165"/>
      <c r="G7022" s="164"/>
    </row>
    <row r="7023" spans="1:7" x14ac:dyDescent="0.25">
      <c r="A7023" s="169" t="str">
        <f>E7023&amp;COUNTIFS($E$2:E7023,E7023)</f>
        <v>0</v>
      </c>
      <c r="B7023" s="166"/>
      <c r="C7023" s="168"/>
      <c r="D7023" s="167"/>
      <c r="E7023" s="166"/>
      <c r="F7023" s="165"/>
      <c r="G7023" s="164"/>
    </row>
    <row r="7024" spans="1:7" x14ac:dyDescent="0.25">
      <c r="A7024" s="169" t="str">
        <f>E7024&amp;COUNTIFS($E$2:E7024,E7024)</f>
        <v>0</v>
      </c>
      <c r="B7024" s="166"/>
      <c r="C7024" s="168"/>
      <c r="D7024" s="167"/>
      <c r="E7024" s="166"/>
      <c r="F7024" s="165"/>
      <c r="G7024" s="164"/>
    </row>
    <row r="7025" spans="1:7" x14ac:dyDescent="0.25">
      <c r="A7025" s="169" t="str">
        <f>E7025&amp;COUNTIFS($E$2:E7025,E7025)</f>
        <v>0</v>
      </c>
      <c r="B7025" s="166"/>
      <c r="C7025" s="168"/>
      <c r="D7025" s="167"/>
      <c r="E7025" s="166"/>
      <c r="F7025" s="165"/>
      <c r="G7025" s="164"/>
    </row>
    <row r="7026" spans="1:7" x14ac:dyDescent="0.25">
      <c r="A7026" s="169" t="str">
        <f>E7026&amp;COUNTIFS($E$2:E7026,E7026)</f>
        <v>0</v>
      </c>
      <c r="B7026" s="166"/>
      <c r="C7026" s="168"/>
      <c r="D7026" s="167"/>
      <c r="E7026" s="166"/>
      <c r="F7026" s="165"/>
      <c r="G7026" s="164"/>
    </row>
    <row r="7027" spans="1:7" x14ac:dyDescent="0.25">
      <c r="A7027" s="169" t="str">
        <f>E7027&amp;COUNTIFS($E$2:E7027,E7027)</f>
        <v>0</v>
      </c>
      <c r="B7027" s="166"/>
      <c r="C7027" s="168"/>
      <c r="D7027" s="167"/>
      <c r="E7027" s="166"/>
      <c r="F7027" s="165"/>
      <c r="G7027" s="164"/>
    </row>
    <row r="7028" spans="1:7" x14ac:dyDescent="0.25">
      <c r="A7028" s="169" t="str">
        <f>E7028&amp;COUNTIFS($E$2:E7028,E7028)</f>
        <v>0</v>
      </c>
      <c r="B7028" s="166"/>
      <c r="C7028" s="168"/>
      <c r="D7028" s="167"/>
      <c r="E7028" s="166"/>
      <c r="F7028" s="165"/>
      <c r="G7028" s="164"/>
    </row>
    <row r="7029" spans="1:7" x14ac:dyDescent="0.25">
      <c r="A7029" s="169" t="str">
        <f>E7029&amp;COUNTIFS($E$2:E7029,E7029)</f>
        <v>0</v>
      </c>
      <c r="B7029" s="166"/>
      <c r="C7029" s="168"/>
      <c r="D7029" s="167"/>
      <c r="E7029" s="166"/>
      <c r="F7029" s="165"/>
      <c r="G7029" s="164"/>
    </row>
    <row r="7030" spans="1:7" ht="15.75" thickBot="1" x14ac:dyDescent="0.3">
      <c r="A7030" s="163" t="str">
        <f>E7030&amp;COUNTIFS($E$2:E7030,E7030)</f>
        <v>0</v>
      </c>
      <c r="B7030" s="160"/>
      <c r="C7030" s="162"/>
      <c r="D7030" s="161"/>
      <c r="E7030" s="160"/>
      <c r="F7030" s="159"/>
      <c r="G7030" s="158"/>
    </row>
    <row r="7031" spans="1:7" x14ac:dyDescent="0.25">
      <c r="A7031" s="148"/>
      <c r="C7031" s="143"/>
      <c r="D7031" s="157"/>
      <c r="E7031" s="143"/>
      <c r="F7031" s="156"/>
      <c r="G7031" s="156"/>
    </row>
    <row r="7032" spans="1:7" x14ac:dyDescent="0.25">
      <c r="A7032" s="148"/>
      <c r="C7032" s="153" t="s">
        <v>623</v>
      </c>
      <c r="D7032" s="152"/>
      <c r="E7032" s="151"/>
      <c r="F7032" s="150">
        <f>SUM(F7006:F7030)</f>
        <v>0</v>
      </c>
      <c r="G7032" s="155">
        <f>SUM(G7006:G7030)</f>
        <v>0</v>
      </c>
    </row>
    <row r="7033" spans="1:7" x14ac:dyDescent="0.25">
      <c r="A7033" s="148"/>
      <c r="C7033" s="145" t="s">
        <v>622</v>
      </c>
      <c r="D7033" s="154"/>
      <c r="E7033" s="145"/>
      <c r="F7033" s="144"/>
      <c r="G7033" s="144"/>
    </row>
    <row r="7034" spans="1:7" x14ac:dyDescent="0.25">
      <c r="A7034" s="148"/>
      <c r="C7034" s="153" t="s">
        <v>621</v>
      </c>
      <c r="D7034" s="152"/>
      <c r="E7034" s="151"/>
      <c r="F7034" s="150">
        <f>F7001</f>
        <v>0</v>
      </c>
      <c r="G7034" s="150">
        <f>G7001</f>
        <v>0</v>
      </c>
    </row>
    <row r="7035" spans="1:7" x14ac:dyDescent="0.25">
      <c r="A7035" s="148"/>
      <c r="C7035" s="153" t="s">
        <v>582</v>
      </c>
      <c r="D7035" s="152"/>
      <c r="E7035" s="151"/>
      <c r="F7035" s="150">
        <f>F7034+F7032</f>
        <v>0</v>
      </c>
      <c r="G7035" s="150">
        <f>G7034+G7032</f>
        <v>0</v>
      </c>
    </row>
    <row r="7036" spans="1:7" ht="15.75" thickBot="1" x14ac:dyDescent="0.3">
      <c r="A7036" s="148"/>
      <c r="C7036" s="145"/>
      <c r="D7036" s="149"/>
      <c r="E7036" s="145"/>
      <c r="F7036" s="144"/>
      <c r="G7036" s="144"/>
    </row>
    <row r="7037" spans="1:7" ht="15.75" thickBot="1" x14ac:dyDescent="0.3">
      <c r="A7037" s="148"/>
      <c r="C7037" s="147" t="s">
        <v>620</v>
      </c>
      <c r="D7037" s="146">
        <f>F7035-G7035</f>
        <v>0</v>
      </c>
      <c r="E7037" s="145"/>
      <c r="F7037" s="144"/>
      <c r="G7037" s="144"/>
    </row>
    <row r="7038" spans="1:7" ht="15.75" thickBot="1" x14ac:dyDescent="0.3"/>
    <row r="7039" spans="1:7" ht="30.75" thickBot="1" x14ac:dyDescent="0.3">
      <c r="A7039" s="181" t="s">
        <v>626</v>
      </c>
      <c r="B7039" s="180" t="s">
        <v>606</v>
      </c>
      <c r="C7039" s="179" t="s">
        <v>625</v>
      </c>
      <c r="D7039" s="178" t="s">
        <v>601</v>
      </c>
      <c r="E7039" s="177" t="s">
        <v>287</v>
      </c>
      <c r="F7039" s="176" t="s">
        <v>624</v>
      </c>
      <c r="G7039" s="176" t="s">
        <v>596</v>
      </c>
    </row>
    <row r="7040" spans="1:7" x14ac:dyDescent="0.25">
      <c r="A7040" s="175" t="str">
        <f>E7040&amp;COUNTIFS($E$2:E7040,E7040)</f>
        <v>0</v>
      </c>
      <c r="B7040" s="172"/>
      <c r="C7040" s="174"/>
      <c r="D7040" s="173"/>
      <c r="E7040" s="172"/>
      <c r="F7040" s="171"/>
      <c r="G7040" s="170"/>
    </row>
    <row r="7041" spans="1:7" x14ac:dyDescent="0.25">
      <c r="A7041" s="169" t="str">
        <f>E7041&amp;COUNTIFS($E$2:E7041,E7041)</f>
        <v>0</v>
      </c>
      <c r="B7041" s="166"/>
      <c r="C7041" s="168"/>
      <c r="D7041" s="167"/>
      <c r="E7041" s="166"/>
      <c r="F7041" s="165"/>
      <c r="G7041" s="164"/>
    </row>
    <row r="7042" spans="1:7" x14ac:dyDescent="0.25">
      <c r="A7042" s="169" t="str">
        <f>E7042&amp;COUNTIFS($E$2:E7042,E7042)</f>
        <v>0</v>
      </c>
      <c r="B7042" s="166"/>
      <c r="C7042" s="168"/>
      <c r="D7042" s="167"/>
      <c r="E7042" s="166"/>
      <c r="F7042" s="165"/>
      <c r="G7042" s="164"/>
    </row>
    <row r="7043" spans="1:7" x14ac:dyDescent="0.25">
      <c r="A7043" s="169" t="str">
        <f>E7043&amp;COUNTIFS($E$2:E7043,E7043)</f>
        <v>0</v>
      </c>
      <c r="B7043" s="166"/>
      <c r="C7043" s="168"/>
      <c r="D7043" s="167"/>
      <c r="E7043" s="166"/>
      <c r="F7043" s="165"/>
      <c r="G7043" s="164"/>
    </row>
    <row r="7044" spans="1:7" x14ac:dyDescent="0.25">
      <c r="A7044" s="169" t="str">
        <f>E7044&amp;COUNTIFS($E$2:E7044,E7044)</f>
        <v>0</v>
      </c>
      <c r="B7044" s="166"/>
      <c r="C7044" s="168"/>
      <c r="D7044" s="167"/>
      <c r="E7044" s="166"/>
      <c r="F7044" s="165"/>
      <c r="G7044" s="164"/>
    </row>
    <row r="7045" spans="1:7" x14ac:dyDescent="0.25">
      <c r="A7045" s="169" t="str">
        <f>E7045&amp;COUNTIFS($E$2:E7045,E7045)</f>
        <v>0</v>
      </c>
      <c r="B7045" s="166"/>
      <c r="C7045" s="168"/>
      <c r="D7045" s="167"/>
      <c r="E7045" s="166"/>
      <c r="F7045" s="165"/>
      <c r="G7045" s="164"/>
    </row>
    <row r="7046" spans="1:7" x14ac:dyDescent="0.25">
      <c r="A7046" s="169" t="str">
        <f>E7046&amp;COUNTIFS($E$2:E7046,E7046)</f>
        <v>0</v>
      </c>
      <c r="B7046" s="166"/>
      <c r="C7046" s="168"/>
      <c r="D7046" s="167"/>
      <c r="E7046" s="166"/>
      <c r="F7046" s="165"/>
      <c r="G7046" s="164"/>
    </row>
    <row r="7047" spans="1:7" x14ac:dyDescent="0.25">
      <c r="A7047" s="169" t="str">
        <f>E7047&amp;COUNTIFS($E$2:E7047,E7047)</f>
        <v>0</v>
      </c>
      <c r="B7047" s="166"/>
      <c r="C7047" s="168"/>
      <c r="D7047" s="167"/>
      <c r="E7047" s="166"/>
      <c r="F7047" s="165"/>
      <c r="G7047" s="164"/>
    </row>
    <row r="7048" spans="1:7" x14ac:dyDescent="0.25">
      <c r="A7048" s="169" t="str">
        <f>E7048&amp;COUNTIFS($E$2:E7048,E7048)</f>
        <v>0</v>
      </c>
      <c r="B7048" s="166"/>
      <c r="C7048" s="168"/>
      <c r="D7048" s="167"/>
      <c r="E7048" s="166"/>
      <c r="F7048" s="165"/>
      <c r="G7048" s="164"/>
    </row>
    <row r="7049" spans="1:7" x14ac:dyDescent="0.25">
      <c r="A7049" s="169" t="str">
        <f>E7049&amp;COUNTIFS($E$2:E7049,E7049)</f>
        <v>0</v>
      </c>
      <c r="B7049" s="166"/>
      <c r="C7049" s="168"/>
      <c r="D7049" s="167"/>
      <c r="E7049" s="166"/>
      <c r="F7049" s="165"/>
      <c r="G7049" s="164"/>
    </row>
    <row r="7050" spans="1:7" x14ac:dyDescent="0.25">
      <c r="A7050" s="169" t="str">
        <f>E7050&amp;COUNTIFS($E$2:E7050,E7050)</f>
        <v>0</v>
      </c>
      <c r="B7050" s="166"/>
      <c r="C7050" s="168"/>
      <c r="D7050" s="167"/>
      <c r="E7050" s="166"/>
      <c r="F7050" s="165"/>
      <c r="G7050" s="164"/>
    </row>
    <row r="7051" spans="1:7" x14ac:dyDescent="0.25">
      <c r="A7051" s="169" t="str">
        <f>E7051&amp;COUNTIFS($E$2:E7051,E7051)</f>
        <v>0</v>
      </c>
      <c r="B7051" s="166"/>
      <c r="C7051" s="168"/>
      <c r="D7051" s="167"/>
      <c r="E7051" s="166"/>
      <c r="F7051" s="165"/>
      <c r="G7051" s="164"/>
    </row>
    <row r="7052" spans="1:7" x14ac:dyDescent="0.25">
      <c r="A7052" s="169" t="str">
        <f>E7052&amp;COUNTIFS($E$2:E7052,E7052)</f>
        <v>0</v>
      </c>
      <c r="B7052" s="166"/>
      <c r="C7052" s="168"/>
      <c r="D7052" s="167"/>
      <c r="E7052" s="166"/>
      <c r="F7052" s="165"/>
      <c r="G7052" s="164"/>
    </row>
    <row r="7053" spans="1:7" x14ac:dyDescent="0.25">
      <c r="A7053" s="169" t="str">
        <f>E7053&amp;COUNTIFS($E$2:E7053,E7053)</f>
        <v>0</v>
      </c>
      <c r="B7053" s="166"/>
      <c r="C7053" s="168"/>
      <c r="D7053" s="167"/>
      <c r="E7053" s="166"/>
      <c r="F7053" s="165"/>
      <c r="G7053" s="164"/>
    </row>
    <row r="7054" spans="1:7" x14ac:dyDescent="0.25">
      <c r="A7054" s="169" t="str">
        <f>E7054&amp;COUNTIFS($E$2:E7054,E7054)</f>
        <v>0</v>
      </c>
      <c r="B7054" s="166"/>
      <c r="C7054" s="168"/>
      <c r="D7054" s="167"/>
      <c r="E7054" s="166"/>
      <c r="F7054" s="165"/>
      <c r="G7054" s="164"/>
    </row>
    <row r="7055" spans="1:7" x14ac:dyDescent="0.25">
      <c r="A7055" s="169" t="str">
        <f>E7055&amp;COUNTIFS($E$2:E7055,E7055)</f>
        <v>0</v>
      </c>
      <c r="B7055" s="166"/>
      <c r="C7055" s="168"/>
      <c r="D7055" s="167"/>
      <c r="E7055" s="166"/>
      <c r="F7055" s="165"/>
      <c r="G7055" s="164"/>
    </row>
    <row r="7056" spans="1:7" x14ac:dyDescent="0.25">
      <c r="A7056" s="169" t="str">
        <f>E7056&amp;COUNTIFS($E$2:E7056,E7056)</f>
        <v>0</v>
      </c>
      <c r="B7056" s="166"/>
      <c r="C7056" s="168"/>
      <c r="D7056" s="167"/>
      <c r="E7056" s="166"/>
      <c r="F7056" s="165"/>
      <c r="G7056" s="164"/>
    </row>
    <row r="7057" spans="1:9" x14ac:dyDescent="0.25">
      <c r="A7057" s="169" t="str">
        <f>E7057&amp;COUNTIFS($E$2:E7057,E7057)</f>
        <v>0</v>
      </c>
      <c r="B7057" s="166"/>
      <c r="C7057" s="168"/>
      <c r="D7057" s="167"/>
      <c r="E7057" s="166"/>
      <c r="F7057" s="165"/>
      <c r="G7057" s="164"/>
    </row>
    <row r="7058" spans="1:9" x14ac:dyDescent="0.25">
      <c r="A7058" s="169" t="str">
        <f>E7058&amp;COUNTIFS($E$2:E7058,E7058)</f>
        <v>0</v>
      </c>
      <c r="B7058" s="166"/>
      <c r="C7058" s="168"/>
      <c r="D7058" s="167"/>
      <c r="E7058" s="166"/>
      <c r="F7058" s="165"/>
      <c r="G7058" s="164"/>
    </row>
    <row r="7059" spans="1:9" x14ac:dyDescent="0.25">
      <c r="A7059" s="169" t="str">
        <f>E7059&amp;COUNTIFS($E$2:E7059,E7059)</f>
        <v>0</v>
      </c>
      <c r="B7059" s="166"/>
      <c r="C7059" s="168"/>
      <c r="D7059" s="167"/>
      <c r="E7059" s="166"/>
      <c r="F7059" s="165"/>
      <c r="G7059" s="164"/>
    </row>
    <row r="7060" spans="1:9" x14ac:dyDescent="0.25">
      <c r="A7060" s="169" t="str">
        <f>E7060&amp;COUNTIFS($E$2:E7060,E7060)</f>
        <v>0</v>
      </c>
      <c r="B7060" s="166"/>
      <c r="C7060" s="168"/>
      <c r="D7060" s="167"/>
      <c r="E7060" s="166"/>
      <c r="F7060" s="165"/>
      <c r="G7060" s="164"/>
    </row>
    <row r="7061" spans="1:9" x14ac:dyDescent="0.25">
      <c r="A7061" s="169" t="str">
        <f>E7061&amp;COUNTIFS($E$2:E7061,E7061)</f>
        <v>0</v>
      </c>
      <c r="B7061" s="166"/>
      <c r="C7061" s="168"/>
      <c r="D7061" s="167"/>
      <c r="E7061" s="166"/>
      <c r="F7061" s="165"/>
      <c r="G7061" s="164"/>
    </row>
    <row r="7062" spans="1:9" x14ac:dyDescent="0.25">
      <c r="A7062" s="169" t="str">
        <f>E7062&amp;COUNTIFS($E$2:E7062,E7062)</f>
        <v>0</v>
      </c>
      <c r="B7062" s="166"/>
      <c r="C7062" s="168"/>
      <c r="D7062" s="167"/>
      <c r="E7062" s="166"/>
      <c r="F7062" s="165"/>
      <c r="G7062" s="164"/>
    </row>
    <row r="7063" spans="1:9" x14ac:dyDescent="0.25">
      <c r="A7063" s="169" t="str">
        <f>E7063&amp;COUNTIFS($E$2:E7063,E7063)</f>
        <v>0</v>
      </c>
      <c r="B7063" s="166"/>
      <c r="C7063" s="168"/>
      <c r="D7063" s="167"/>
      <c r="E7063" s="166"/>
      <c r="F7063" s="165"/>
      <c r="G7063" s="164"/>
    </row>
    <row r="7064" spans="1:9" ht="15.75" thickBot="1" x14ac:dyDescent="0.3">
      <c r="A7064" s="163" t="str">
        <f>E7064&amp;COUNTIFS($E$2:E7064,E7064)</f>
        <v>0</v>
      </c>
      <c r="B7064" s="160"/>
      <c r="C7064" s="162"/>
      <c r="D7064" s="161"/>
      <c r="E7064" s="160"/>
      <c r="F7064" s="159"/>
      <c r="G7064" s="158"/>
    </row>
    <row r="7065" spans="1:9" x14ac:dyDescent="0.25">
      <c r="A7065" s="148"/>
      <c r="C7065" s="143"/>
      <c r="D7065" s="157"/>
      <c r="E7065" s="143"/>
      <c r="F7065" s="156"/>
      <c r="G7065" s="156"/>
    </row>
    <row r="7066" spans="1:9" x14ac:dyDescent="0.25">
      <c r="A7066" s="148"/>
      <c r="C7066" s="153" t="s">
        <v>623</v>
      </c>
      <c r="D7066" s="152"/>
      <c r="E7066" s="151"/>
      <c r="F7066" s="150">
        <f>SUM(F7040:F7064)</f>
        <v>0</v>
      </c>
      <c r="G7066" s="155">
        <f>SUM(G7040:G7064)</f>
        <v>0</v>
      </c>
    </row>
    <row r="7067" spans="1:9" x14ac:dyDescent="0.25">
      <c r="A7067" s="148"/>
      <c r="C7067" s="145" t="s">
        <v>622</v>
      </c>
      <c r="D7067" s="154"/>
      <c r="E7067" s="145"/>
      <c r="F7067" s="144"/>
      <c r="G7067" s="144"/>
    </row>
    <row r="7068" spans="1:9" x14ac:dyDescent="0.25">
      <c r="A7068" s="148"/>
      <c r="C7068" s="153" t="s">
        <v>621</v>
      </c>
      <c r="D7068" s="152"/>
      <c r="E7068" s="151"/>
      <c r="F7068" s="150">
        <f>F7035</f>
        <v>0</v>
      </c>
      <c r="G7068" s="150">
        <f>G7035</f>
        <v>0</v>
      </c>
    </row>
    <row r="7069" spans="1:9" x14ac:dyDescent="0.25">
      <c r="A7069" s="148"/>
      <c r="C7069" s="153" t="s">
        <v>582</v>
      </c>
      <c r="D7069" s="152"/>
      <c r="E7069" s="151"/>
      <c r="F7069" s="150">
        <f>F7068+F7066</f>
        <v>0</v>
      </c>
      <c r="G7069" s="150">
        <f>G7068+G7066</f>
        <v>0</v>
      </c>
      <c r="I7069" s="182">
        <f>F7069+I6321</f>
        <v>514639652</v>
      </c>
    </row>
    <row r="7070" spans="1:9" ht="15.75" thickBot="1" x14ac:dyDescent="0.3">
      <c r="A7070" s="148"/>
      <c r="C7070" s="145"/>
      <c r="D7070" s="149"/>
      <c r="E7070" s="145"/>
      <c r="F7070" s="144"/>
      <c r="G7070" s="144"/>
      <c r="I7070" s="182">
        <f>G7069+I6322</f>
        <v>490780936</v>
      </c>
    </row>
    <row r="7071" spans="1:9" ht="15.75" thickBot="1" x14ac:dyDescent="0.3">
      <c r="A7071" s="148"/>
      <c r="C7071" s="147" t="s">
        <v>620</v>
      </c>
      <c r="D7071" s="146">
        <f>F7069-G7069</f>
        <v>0</v>
      </c>
      <c r="E7071" s="145"/>
      <c r="F7071" s="144"/>
      <c r="G7071" s="144"/>
    </row>
    <row r="7072" spans="1:9" ht="15.75" thickBot="1" x14ac:dyDescent="0.3"/>
    <row r="7073" spans="1:7" ht="30.75" thickBot="1" x14ac:dyDescent="0.3">
      <c r="A7073" s="181" t="s">
        <v>626</v>
      </c>
      <c r="B7073" s="180" t="s">
        <v>606</v>
      </c>
      <c r="C7073" s="179" t="s">
        <v>625</v>
      </c>
      <c r="D7073" s="178" t="s">
        <v>601</v>
      </c>
      <c r="E7073" s="177" t="s">
        <v>287</v>
      </c>
      <c r="F7073" s="176" t="s">
        <v>624</v>
      </c>
      <c r="G7073" s="176" t="s">
        <v>596</v>
      </c>
    </row>
    <row r="7074" spans="1:7" x14ac:dyDescent="0.25">
      <c r="A7074" s="175" t="str">
        <f>E7074&amp;COUNTIFS($E$2:E7074,E7074)</f>
        <v>0</v>
      </c>
      <c r="B7074" s="172"/>
      <c r="C7074" s="174"/>
      <c r="D7074" s="173"/>
      <c r="E7074" s="172"/>
      <c r="F7074" s="171"/>
      <c r="G7074" s="170"/>
    </row>
    <row r="7075" spans="1:7" x14ac:dyDescent="0.25">
      <c r="A7075" s="169" t="str">
        <f>E7075&amp;COUNTIFS($E$2:E7075,E7075)</f>
        <v>0</v>
      </c>
      <c r="B7075" s="166"/>
      <c r="C7075" s="168"/>
      <c r="D7075" s="167"/>
      <c r="E7075" s="166"/>
      <c r="F7075" s="165"/>
      <c r="G7075" s="164"/>
    </row>
    <row r="7076" spans="1:7" x14ac:dyDescent="0.25">
      <c r="A7076" s="169" t="str">
        <f>E7076&amp;COUNTIFS($E$2:E7076,E7076)</f>
        <v>0</v>
      </c>
      <c r="B7076" s="166"/>
      <c r="C7076" s="168"/>
      <c r="D7076" s="167"/>
      <c r="E7076" s="166"/>
      <c r="F7076" s="165"/>
      <c r="G7076" s="164"/>
    </row>
    <row r="7077" spans="1:7" x14ac:dyDescent="0.25">
      <c r="A7077" s="169" t="str">
        <f>E7077&amp;COUNTIFS($E$2:E7077,E7077)</f>
        <v>0</v>
      </c>
      <c r="B7077" s="166"/>
      <c r="C7077" s="168"/>
      <c r="D7077" s="167"/>
      <c r="E7077" s="166"/>
      <c r="F7077" s="165"/>
      <c r="G7077" s="164"/>
    </row>
    <row r="7078" spans="1:7" x14ac:dyDescent="0.25">
      <c r="A7078" s="169" t="str">
        <f>E7078&amp;COUNTIFS($E$2:E7078,E7078)</f>
        <v>0</v>
      </c>
      <c r="B7078" s="166"/>
      <c r="C7078" s="168"/>
      <c r="D7078" s="167"/>
      <c r="E7078" s="166"/>
      <c r="F7078" s="165"/>
      <c r="G7078" s="164"/>
    </row>
    <row r="7079" spans="1:7" x14ac:dyDescent="0.25">
      <c r="A7079" s="169" t="str">
        <f>E7079&amp;COUNTIFS($E$2:E7079,E7079)</f>
        <v>0</v>
      </c>
      <c r="B7079" s="166"/>
      <c r="C7079" s="168"/>
      <c r="D7079" s="167"/>
      <c r="E7079" s="166"/>
      <c r="F7079" s="165"/>
      <c r="G7079" s="164"/>
    </row>
    <row r="7080" spans="1:7" x14ac:dyDescent="0.25">
      <c r="A7080" s="169" t="str">
        <f>E7080&amp;COUNTIFS($E$2:E7080,E7080)</f>
        <v>0</v>
      </c>
      <c r="B7080" s="166"/>
      <c r="C7080" s="168"/>
      <c r="D7080" s="167"/>
      <c r="E7080" s="166"/>
      <c r="F7080" s="165"/>
      <c r="G7080" s="164"/>
    </row>
    <row r="7081" spans="1:7" x14ac:dyDescent="0.25">
      <c r="A7081" s="169" t="str">
        <f>E7081&amp;COUNTIFS($E$2:E7081,E7081)</f>
        <v>0</v>
      </c>
      <c r="B7081" s="166"/>
      <c r="C7081" s="168"/>
      <c r="D7081" s="167"/>
      <c r="E7081" s="166"/>
      <c r="F7081" s="165"/>
      <c r="G7081" s="164"/>
    </row>
    <row r="7082" spans="1:7" x14ac:dyDescent="0.25">
      <c r="A7082" s="169" t="str">
        <f>E7082&amp;COUNTIFS($E$2:E7082,E7082)</f>
        <v>0</v>
      </c>
      <c r="B7082" s="166"/>
      <c r="C7082" s="168"/>
      <c r="D7082" s="167"/>
      <c r="E7082" s="166"/>
      <c r="F7082" s="165"/>
      <c r="G7082" s="164"/>
    </row>
    <row r="7083" spans="1:7" x14ac:dyDescent="0.25">
      <c r="A7083" s="169" t="str">
        <f>E7083&amp;COUNTIFS($E$2:E7083,E7083)</f>
        <v>0</v>
      </c>
      <c r="B7083" s="166"/>
      <c r="C7083" s="168"/>
      <c r="D7083" s="167"/>
      <c r="E7083" s="166"/>
      <c r="F7083" s="165"/>
      <c r="G7083" s="164"/>
    </row>
    <row r="7084" spans="1:7" x14ac:dyDescent="0.25">
      <c r="A7084" s="169" t="str">
        <f>E7084&amp;COUNTIFS($E$2:E7084,E7084)</f>
        <v>0</v>
      </c>
      <c r="B7084" s="166"/>
      <c r="C7084" s="168"/>
      <c r="D7084" s="167"/>
      <c r="E7084" s="166"/>
      <c r="F7084" s="165"/>
      <c r="G7084" s="164"/>
    </row>
    <row r="7085" spans="1:7" x14ac:dyDescent="0.25">
      <c r="A7085" s="169" t="str">
        <f>E7085&amp;COUNTIFS($E$2:E7085,E7085)</f>
        <v>0</v>
      </c>
      <c r="B7085" s="166"/>
      <c r="C7085" s="168"/>
      <c r="D7085" s="167"/>
      <c r="E7085" s="166"/>
      <c r="F7085" s="165"/>
      <c r="G7085" s="164"/>
    </row>
    <row r="7086" spans="1:7" x14ac:dyDescent="0.25">
      <c r="A7086" s="169" t="str">
        <f>E7086&amp;COUNTIFS($E$2:E7086,E7086)</f>
        <v>0</v>
      </c>
      <c r="B7086" s="166"/>
      <c r="C7086" s="168"/>
      <c r="D7086" s="167"/>
      <c r="E7086" s="166"/>
      <c r="F7086" s="165"/>
      <c r="G7086" s="164"/>
    </row>
    <row r="7087" spans="1:7" x14ac:dyDescent="0.25">
      <c r="A7087" s="169" t="str">
        <f>E7087&amp;COUNTIFS($E$2:E7087,E7087)</f>
        <v>0</v>
      </c>
      <c r="B7087" s="166"/>
      <c r="C7087" s="168"/>
      <c r="D7087" s="167"/>
      <c r="E7087" s="166"/>
      <c r="F7087" s="165"/>
      <c r="G7087" s="164"/>
    </row>
    <row r="7088" spans="1:7" x14ac:dyDescent="0.25">
      <c r="A7088" s="169" t="str">
        <f>E7088&amp;COUNTIFS($E$2:E7088,E7088)</f>
        <v>0</v>
      </c>
      <c r="B7088" s="166"/>
      <c r="C7088" s="168"/>
      <c r="D7088" s="167"/>
      <c r="E7088" s="166"/>
      <c r="F7088" s="165"/>
      <c r="G7088" s="164"/>
    </row>
    <row r="7089" spans="1:7" x14ac:dyDescent="0.25">
      <c r="A7089" s="169" t="str">
        <f>E7089&amp;COUNTIFS($E$2:E7089,E7089)</f>
        <v>0</v>
      </c>
      <c r="B7089" s="166"/>
      <c r="C7089" s="168"/>
      <c r="D7089" s="167"/>
      <c r="E7089" s="166"/>
      <c r="F7089" s="165"/>
      <c r="G7089" s="164"/>
    </row>
    <row r="7090" spans="1:7" x14ac:dyDescent="0.25">
      <c r="A7090" s="169" t="str">
        <f>E7090&amp;COUNTIFS($E$2:E7090,E7090)</f>
        <v>0</v>
      </c>
      <c r="B7090" s="166"/>
      <c r="C7090" s="168"/>
      <c r="D7090" s="167"/>
      <c r="E7090" s="166"/>
      <c r="F7090" s="165"/>
      <c r="G7090" s="164"/>
    </row>
    <row r="7091" spans="1:7" x14ac:dyDescent="0.25">
      <c r="A7091" s="169" t="str">
        <f>E7091&amp;COUNTIFS($E$2:E7091,E7091)</f>
        <v>0</v>
      </c>
      <c r="B7091" s="166"/>
      <c r="C7091" s="168"/>
      <c r="D7091" s="167"/>
      <c r="E7091" s="166"/>
      <c r="F7091" s="165"/>
      <c r="G7091" s="164"/>
    </row>
    <row r="7092" spans="1:7" x14ac:dyDescent="0.25">
      <c r="A7092" s="169" t="str">
        <f>E7092&amp;COUNTIFS($E$2:E7092,E7092)</f>
        <v>0</v>
      </c>
      <c r="B7092" s="166"/>
      <c r="C7092" s="168"/>
      <c r="D7092" s="167"/>
      <c r="E7092" s="166"/>
      <c r="F7092" s="165"/>
      <c r="G7092" s="164"/>
    </row>
    <row r="7093" spans="1:7" x14ac:dyDescent="0.25">
      <c r="A7093" s="169" t="str">
        <f>E7093&amp;COUNTIFS($E$2:E7093,E7093)</f>
        <v>0</v>
      </c>
      <c r="B7093" s="166"/>
      <c r="C7093" s="168"/>
      <c r="D7093" s="167"/>
      <c r="E7093" s="166"/>
      <c r="F7093" s="165"/>
      <c r="G7093" s="164"/>
    </row>
    <row r="7094" spans="1:7" x14ac:dyDescent="0.25">
      <c r="A7094" s="169" t="str">
        <f>E7094&amp;COUNTIFS($E$2:E7094,E7094)</f>
        <v>0</v>
      </c>
      <c r="B7094" s="166"/>
      <c r="C7094" s="168"/>
      <c r="D7094" s="167"/>
      <c r="E7094" s="166"/>
      <c r="F7094" s="165"/>
      <c r="G7094" s="164"/>
    </row>
    <row r="7095" spans="1:7" x14ac:dyDescent="0.25">
      <c r="A7095" s="169" t="str">
        <f>E7095&amp;COUNTIFS($E$2:E7095,E7095)</f>
        <v>0</v>
      </c>
      <c r="B7095" s="166"/>
      <c r="C7095" s="168"/>
      <c r="D7095" s="167"/>
      <c r="E7095" s="166"/>
      <c r="F7095" s="165"/>
      <c r="G7095" s="164"/>
    </row>
    <row r="7096" spans="1:7" x14ac:dyDescent="0.25">
      <c r="A7096" s="169" t="str">
        <f>E7096&amp;COUNTIFS($E$2:E7096,E7096)</f>
        <v>0</v>
      </c>
      <c r="B7096" s="166"/>
      <c r="C7096" s="168"/>
      <c r="D7096" s="167"/>
      <c r="E7096" s="166"/>
      <c r="F7096" s="165"/>
      <c r="G7096" s="164"/>
    </row>
    <row r="7097" spans="1:7" x14ac:dyDescent="0.25">
      <c r="A7097" s="169" t="str">
        <f>E7097&amp;COUNTIFS($E$2:E7097,E7097)</f>
        <v>0</v>
      </c>
      <c r="B7097" s="166"/>
      <c r="C7097" s="168"/>
      <c r="D7097" s="167"/>
      <c r="E7097" s="166"/>
      <c r="F7097" s="165"/>
      <c r="G7097" s="164"/>
    </row>
    <row r="7098" spans="1:7" ht="15.75" thickBot="1" x14ac:dyDescent="0.3">
      <c r="A7098" s="163" t="str">
        <f>E7098&amp;COUNTIFS($E$2:E7098,E7098)</f>
        <v>0</v>
      </c>
      <c r="B7098" s="160"/>
      <c r="C7098" s="162"/>
      <c r="D7098" s="161"/>
      <c r="E7098" s="160"/>
      <c r="F7098" s="159"/>
      <c r="G7098" s="158"/>
    </row>
    <row r="7099" spans="1:7" x14ac:dyDescent="0.25">
      <c r="A7099" s="148"/>
      <c r="C7099" s="143"/>
      <c r="D7099" s="157"/>
      <c r="E7099" s="143"/>
      <c r="F7099" s="156"/>
      <c r="G7099" s="156"/>
    </row>
    <row r="7100" spans="1:7" x14ac:dyDescent="0.25">
      <c r="A7100" s="148"/>
      <c r="C7100" s="153" t="s">
        <v>623</v>
      </c>
      <c r="D7100" s="152"/>
      <c r="E7100" s="151"/>
      <c r="F7100" s="150">
        <f>SUM(F7074:F7098)</f>
        <v>0</v>
      </c>
      <c r="G7100" s="155">
        <f>SUM(G7074:G7098)</f>
        <v>0</v>
      </c>
    </row>
    <row r="7101" spans="1:7" x14ac:dyDescent="0.25">
      <c r="A7101" s="148"/>
      <c r="C7101" s="145" t="s">
        <v>622</v>
      </c>
      <c r="D7101" s="154"/>
      <c r="E7101" s="145"/>
      <c r="F7101" s="144"/>
      <c r="G7101" s="144"/>
    </row>
    <row r="7102" spans="1:7" x14ac:dyDescent="0.25">
      <c r="A7102" s="148"/>
      <c r="C7102" s="153" t="s">
        <v>621</v>
      </c>
      <c r="D7102" s="152"/>
      <c r="E7102" s="151"/>
      <c r="F7102" s="150">
        <f>F7069</f>
        <v>0</v>
      </c>
      <c r="G7102" s="150">
        <f>G7069</f>
        <v>0</v>
      </c>
    </row>
    <row r="7103" spans="1:7" x14ac:dyDescent="0.25">
      <c r="A7103" s="148"/>
      <c r="C7103" s="153" t="s">
        <v>582</v>
      </c>
      <c r="D7103" s="152"/>
      <c r="E7103" s="151"/>
      <c r="F7103" s="150">
        <f>F7102+F7100</f>
        <v>0</v>
      </c>
      <c r="G7103" s="150">
        <f>G7102+G7100</f>
        <v>0</v>
      </c>
    </row>
    <row r="7104" spans="1:7" ht="15.75" thickBot="1" x14ac:dyDescent="0.3">
      <c r="A7104" s="148"/>
      <c r="C7104" s="145"/>
      <c r="D7104" s="149"/>
      <c r="E7104" s="145"/>
      <c r="F7104" s="144"/>
      <c r="G7104" s="144"/>
    </row>
    <row r="7105" spans="1:7" ht="15.75" thickBot="1" x14ac:dyDescent="0.3">
      <c r="A7105" s="148"/>
      <c r="C7105" s="147" t="s">
        <v>620</v>
      </c>
      <c r="D7105" s="146">
        <f>F7103-G7103</f>
        <v>0</v>
      </c>
      <c r="E7105" s="145"/>
      <c r="F7105" s="144"/>
      <c r="G7105" s="144"/>
    </row>
    <row r="7106" spans="1:7" ht="15.75" thickBot="1" x14ac:dyDescent="0.3"/>
    <row r="7107" spans="1:7" ht="30.75" thickBot="1" x14ac:dyDescent="0.3">
      <c r="A7107" s="181" t="s">
        <v>626</v>
      </c>
      <c r="B7107" s="180" t="s">
        <v>606</v>
      </c>
      <c r="C7107" s="179" t="s">
        <v>625</v>
      </c>
      <c r="D7107" s="178" t="s">
        <v>601</v>
      </c>
      <c r="E7107" s="177" t="s">
        <v>287</v>
      </c>
      <c r="F7107" s="176" t="s">
        <v>624</v>
      </c>
      <c r="G7107" s="176" t="s">
        <v>596</v>
      </c>
    </row>
    <row r="7108" spans="1:7" x14ac:dyDescent="0.25">
      <c r="A7108" s="175" t="str">
        <f>E7108&amp;COUNTIFS($E$2:E7108,E7108)</f>
        <v>0</v>
      </c>
      <c r="B7108" s="172"/>
      <c r="C7108" s="174"/>
      <c r="D7108" s="173"/>
      <c r="E7108" s="172"/>
      <c r="F7108" s="171"/>
      <c r="G7108" s="170"/>
    </row>
    <row r="7109" spans="1:7" x14ac:dyDescent="0.25">
      <c r="A7109" s="169" t="str">
        <f>E7109&amp;COUNTIFS($E$2:E7109,E7109)</f>
        <v>0</v>
      </c>
      <c r="B7109" s="166"/>
      <c r="C7109" s="168"/>
      <c r="D7109" s="167"/>
      <c r="E7109" s="166"/>
      <c r="F7109" s="165"/>
      <c r="G7109" s="164"/>
    </row>
    <row r="7110" spans="1:7" x14ac:dyDescent="0.25">
      <c r="A7110" s="169" t="str">
        <f>E7110&amp;COUNTIFS($E$2:E7110,E7110)</f>
        <v>0</v>
      </c>
      <c r="B7110" s="166"/>
      <c r="C7110" s="168"/>
      <c r="D7110" s="167"/>
      <c r="E7110" s="166"/>
      <c r="F7110" s="165"/>
      <c r="G7110" s="164"/>
    </row>
    <row r="7111" spans="1:7" x14ac:dyDescent="0.25">
      <c r="A7111" s="169" t="str">
        <f>E7111&amp;COUNTIFS($E$2:E7111,E7111)</f>
        <v>0</v>
      </c>
      <c r="B7111" s="166"/>
      <c r="C7111" s="168"/>
      <c r="D7111" s="167"/>
      <c r="E7111" s="166"/>
      <c r="F7111" s="165"/>
      <c r="G7111" s="164"/>
    </row>
    <row r="7112" spans="1:7" x14ac:dyDescent="0.25">
      <c r="A7112" s="169" t="str">
        <f>E7112&amp;COUNTIFS($E$2:E7112,E7112)</f>
        <v>0</v>
      </c>
      <c r="B7112" s="166"/>
      <c r="C7112" s="168"/>
      <c r="D7112" s="167"/>
      <c r="E7112" s="166"/>
      <c r="F7112" s="165"/>
      <c r="G7112" s="164"/>
    </row>
    <row r="7113" spans="1:7" x14ac:dyDescent="0.25">
      <c r="A7113" s="169" t="str">
        <f>E7113&amp;COUNTIFS($E$2:E7113,E7113)</f>
        <v>0</v>
      </c>
      <c r="B7113" s="166"/>
      <c r="C7113" s="168"/>
      <c r="D7113" s="167"/>
      <c r="E7113" s="166"/>
      <c r="F7113" s="165"/>
      <c r="G7113" s="164"/>
    </row>
    <row r="7114" spans="1:7" x14ac:dyDescent="0.25">
      <c r="A7114" s="169" t="str">
        <f>E7114&amp;COUNTIFS($E$2:E7114,E7114)</f>
        <v>0</v>
      </c>
      <c r="B7114" s="166"/>
      <c r="C7114" s="168"/>
      <c r="D7114" s="167"/>
      <c r="E7114" s="166"/>
      <c r="F7114" s="165"/>
      <c r="G7114" s="164"/>
    </row>
    <row r="7115" spans="1:7" x14ac:dyDescent="0.25">
      <c r="A7115" s="169" t="str">
        <f>E7115&amp;COUNTIFS($E$2:E7115,E7115)</f>
        <v>0</v>
      </c>
      <c r="B7115" s="166"/>
      <c r="C7115" s="168"/>
      <c r="D7115" s="167"/>
      <c r="E7115" s="166"/>
      <c r="F7115" s="165"/>
      <c r="G7115" s="164"/>
    </row>
    <row r="7116" spans="1:7" x14ac:dyDescent="0.25">
      <c r="A7116" s="169" t="str">
        <f>E7116&amp;COUNTIFS($E$2:E7116,E7116)</f>
        <v>0</v>
      </c>
      <c r="B7116" s="166"/>
      <c r="C7116" s="168"/>
      <c r="D7116" s="167"/>
      <c r="E7116" s="166"/>
      <c r="F7116" s="165"/>
      <c r="G7116" s="164"/>
    </row>
    <row r="7117" spans="1:7" x14ac:dyDescent="0.25">
      <c r="A7117" s="169" t="str">
        <f>E7117&amp;COUNTIFS($E$2:E7117,E7117)</f>
        <v>0</v>
      </c>
      <c r="B7117" s="166"/>
      <c r="C7117" s="168"/>
      <c r="D7117" s="167"/>
      <c r="E7117" s="166"/>
      <c r="F7117" s="165"/>
      <c r="G7117" s="164"/>
    </row>
    <row r="7118" spans="1:7" x14ac:dyDescent="0.25">
      <c r="A7118" s="169" t="str">
        <f>E7118&amp;COUNTIFS($E$2:E7118,E7118)</f>
        <v>0</v>
      </c>
      <c r="B7118" s="166"/>
      <c r="C7118" s="168"/>
      <c r="D7118" s="167"/>
      <c r="E7118" s="166"/>
      <c r="F7118" s="165"/>
      <c r="G7118" s="164"/>
    </row>
    <row r="7119" spans="1:7" x14ac:dyDescent="0.25">
      <c r="A7119" s="169" t="str">
        <f>E7119&amp;COUNTIFS($E$2:E7119,E7119)</f>
        <v>0</v>
      </c>
      <c r="B7119" s="166"/>
      <c r="C7119" s="168"/>
      <c r="D7119" s="167"/>
      <c r="E7119" s="166"/>
      <c r="F7119" s="165"/>
      <c r="G7119" s="164"/>
    </row>
    <row r="7120" spans="1:7" x14ac:dyDescent="0.25">
      <c r="A7120" s="169" t="str">
        <f>E7120&amp;COUNTIFS($E$2:E7120,E7120)</f>
        <v>0</v>
      </c>
      <c r="B7120" s="166"/>
      <c r="C7120" s="168"/>
      <c r="D7120" s="167"/>
      <c r="E7120" s="166"/>
      <c r="F7120" s="165"/>
      <c r="G7120" s="164"/>
    </row>
    <row r="7121" spans="1:9" x14ac:dyDescent="0.25">
      <c r="A7121" s="169" t="str">
        <f>E7121&amp;COUNTIFS($E$2:E7121,E7121)</f>
        <v>0</v>
      </c>
      <c r="B7121" s="166"/>
      <c r="C7121" s="168"/>
      <c r="D7121" s="167"/>
      <c r="E7121" s="166"/>
      <c r="F7121" s="165"/>
      <c r="G7121" s="164"/>
    </row>
    <row r="7122" spans="1:9" x14ac:dyDescent="0.25">
      <c r="A7122" s="169" t="str">
        <f>E7122&amp;COUNTIFS($E$2:E7122,E7122)</f>
        <v>0</v>
      </c>
      <c r="B7122" s="166"/>
      <c r="C7122" s="168"/>
      <c r="D7122" s="167"/>
      <c r="E7122" s="166"/>
      <c r="F7122" s="165"/>
      <c r="G7122" s="164"/>
    </row>
    <row r="7123" spans="1:9" x14ac:dyDescent="0.25">
      <c r="A7123" s="169" t="str">
        <f>E7123&amp;COUNTIFS($E$2:E7123,E7123)</f>
        <v>0</v>
      </c>
      <c r="B7123" s="166"/>
      <c r="C7123" s="168"/>
      <c r="D7123" s="167"/>
      <c r="E7123" s="166"/>
      <c r="F7123" s="165"/>
      <c r="G7123" s="164"/>
    </row>
    <row r="7124" spans="1:9" x14ac:dyDescent="0.25">
      <c r="A7124" s="169" t="str">
        <f>E7124&amp;COUNTIFS($E$2:E7124,E7124)</f>
        <v>0</v>
      </c>
      <c r="B7124" s="166"/>
      <c r="C7124" s="168"/>
      <c r="D7124" s="167"/>
      <c r="E7124" s="166"/>
      <c r="F7124" s="165"/>
      <c r="G7124" s="164"/>
    </row>
    <row r="7125" spans="1:9" x14ac:dyDescent="0.25">
      <c r="A7125" s="169" t="str">
        <f>E7125&amp;COUNTIFS($E$2:E7125,E7125)</f>
        <v>0</v>
      </c>
      <c r="B7125" s="166"/>
      <c r="C7125" s="168"/>
      <c r="D7125" s="167"/>
      <c r="E7125" s="166"/>
      <c r="F7125" s="165"/>
      <c r="G7125" s="164"/>
    </row>
    <row r="7126" spans="1:9" x14ac:dyDescent="0.25">
      <c r="A7126" s="169" t="str">
        <f>E7126&amp;COUNTIFS($E$2:E7126,E7126)</f>
        <v>0</v>
      </c>
      <c r="B7126" s="166"/>
      <c r="C7126" s="168"/>
      <c r="D7126" s="167"/>
      <c r="E7126" s="166"/>
      <c r="F7126" s="165"/>
      <c r="G7126" s="164"/>
    </row>
    <row r="7127" spans="1:9" x14ac:dyDescent="0.25">
      <c r="A7127" s="169" t="str">
        <f>E7127&amp;COUNTIFS($E$2:E7127,E7127)</f>
        <v>0</v>
      </c>
      <c r="B7127" s="166"/>
      <c r="C7127" s="168"/>
      <c r="D7127" s="167"/>
      <c r="E7127" s="166"/>
      <c r="F7127" s="165"/>
      <c r="G7127" s="164"/>
    </row>
    <row r="7128" spans="1:9" x14ac:dyDescent="0.25">
      <c r="A7128" s="169" t="str">
        <f>E7128&amp;COUNTIFS($E$2:E7128,E7128)</f>
        <v>0</v>
      </c>
      <c r="B7128" s="166"/>
      <c r="C7128" s="168"/>
      <c r="D7128" s="167"/>
      <c r="E7128" s="166"/>
      <c r="F7128" s="165"/>
      <c r="G7128" s="164"/>
    </row>
    <row r="7129" spans="1:9" x14ac:dyDescent="0.25">
      <c r="A7129" s="169" t="str">
        <f>E7129&amp;COUNTIFS($E$2:E7129,E7129)</f>
        <v>0</v>
      </c>
      <c r="B7129" s="166"/>
      <c r="C7129" s="168"/>
      <c r="D7129" s="167"/>
      <c r="E7129" s="166"/>
      <c r="F7129" s="165"/>
      <c r="G7129" s="164"/>
    </row>
    <row r="7130" spans="1:9" x14ac:dyDescent="0.25">
      <c r="A7130" s="169" t="str">
        <f>E7130&amp;COUNTIFS($E$2:E7130,E7130)</f>
        <v>0</v>
      </c>
      <c r="B7130" s="166"/>
      <c r="C7130" s="168"/>
      <c r="D7130" s="167"/>
      <c r="E7130" s="166"/>
      <c r="F7130" s="165"/>
      <c r="G7130" s="164"/>
    </row>
    <row r="7131" spans="1:9" x14ac:dyDescent="0.25">
      <c r="A7131" s="169" t="str">
        <f>E7131&amp;COUNTIFS($E$2:E7131,E7131)</f>
        <v>0</v>
      </c>
      <c r="B7131" s="166"/>
      <c r="C7131" s="168"/>
      <c r="D7131" s="167"/>
      <c r="E7131" s="166"/>
      <c r="F7131" s="165"/>
      <c r="G7131" s="164"/>
    </row>
    <row r="7132" spans="1:9" ht="15.75" thickBot="1" x14ac:dyDescent="0.3">
      <c r="A7132" s="163" t="str">
        <f>E7132&amp;COUNTIFS($E$2:E7132,E7132)</f>
        <v>0</v>
      </c>
      <c r="B7132" s="160"/>
      <c r="C7132" s="162"/>
      <c r="D7132" s="161"/>
      <c r="E7132" s="160"/>
      <c r="F7132" s="159"/>
      <c r="G7132" s="158"/>
    </row>
    <row r="7133" spans="1:9" x14ac:dyDescent="0.25">
      <c r="A7133" s="148"/>
      <c r="C7133" s="143"/>
      <c r="D7133" s="157"/>
      <c r="E7133" s="143"/>
      <c r="F7133" s="156"/>
      <c r="G7133" s="156"/>
    </row>
    <row r="7134" spans="1:9" x14ac:dyDescent="0.25">
      <c r="A7134" s="148"/>
      <c r="C7134" s="153" t="s">
        <v>623</v>
      </c>
      <c r="D7134" s="152"/>
      <c r="E7134" s="151"/>
      <c r="F7134" s="150">
        <f>SUM(F7108:F7132)</f>
        <v>0</v>
      </c>
      <c r="G7134" s="155">
        <f>SUM(G7108:G7132)</f>
        <v>0</v>
      </c>
      <c r="I7134" s="182">
        <f>F7066+F7100+F7134</f>
        <v>0</v>
      </c>
    </row>
    <row r="7135" spans="1:9" x14ac:dyDescent="0.25">
      <c r="A7135" s="148"/>
      <c r="C7135" s="145" t="s">
        <v>622</v>
      </c>
      <c r="D7135" s="154"/>
      <c r="E7135" s="145"/>
      <c r="F7135" s="144"/>
      <c r="G7135" s="144"/>
      <c r="I7135" s="182">
        <f>G7066+G7100+G7134</f>
        <v>0</v>
      </c>
    </row>
    <row r="7136" spans="1:9" x14ac:dyDescent="0.25">
      <c r="A7136" s="148"/>
      <c r="C7136" s="153" t="s">
        <v>621</v>
      </c>
      <c r="D7136" s="152"/>
      <c r="E7136" s="151"/>
      <c r="F7136" s="150">
        <f>F7103</f>
        <v>0</v>
      </c>
      <c r="G7136" s="150">
        <f>G7103</f>
        <v>0</v>
      </c>
    </row>
    <row r="7137" spans="1:7" x14ac:dyDescent="0.25">
      <c r="A7137" s="148"/>
      <c r="C7137" s="153" t="s">
        <v>582</v>
      </c>
      <c r="D7137" s="152"/>
      <c r="E7137" s="151"/>
      <c r="F7137" s="150">
        <f>F7136+F7134</f>
        <v>0</v>
      </c>
      <c r="G7137" s="150">
        <f>G7136+G7134</f>
        <v>0</v>
      </c>
    </row>
    <row r="7138" spans="1:7" ht="15.75" thickBot="1" x14ac:dyDescent="0.3">
      <c r="A7138" s="148"/>
      <c r="C7138" s="145"/>
      <c r="D7138" s="149"/>
      <c r="E7138" s="145"/>
      <c r="F7138" s="144"/>
      <c r="G7138" s="144"/>
    </row>
    <row r="7139" spans="1:7" ht="15.75" thickBot="1" x14ac:dyDescent="0.3">
      <c r="A7139" s="148"/>
      <c r="C7139" s="147" t="s">
        <v>620</v>
      </c>
      <c r="D7139" s="146">
        <f>F7137-G7137</f>
        <v>0</v>
      </c>
      <c r="E7139" s="145"/>
      <c r="F7139" s="144"/>
      <c r="G7139" s="144"/>
    </row>
    <row r="7140" spans="1:7" ht="15.75" thickBot="1" x14ac:dyDescent="0.3"/>
    <row r="7141" spans="1:7" ht="30.75" thickBot="1" x14ac:dyDescent="0.3">
      <c r="A7141" s="181" t="s">
        <v>626</v>
      </c>
      <c r="B7141" s="180" t="s">
        <v>606</v>
      </c>
      <c r="C7141" s="179" t="s">
        <v>625</v>
      </c>
      <c r="D7141" s="178" t="s">
        <v>601</v>
      </c>
      <c r="E7141" s="177" t="s">
        <v>287</v>
      </c>
      <c r="F7141" s="176" t="s">
        <v>624</v>
      </c>
      <c r="G7141" s="176" t="s">
        <v>596</v>
      </c>
    </row>
    <row r="7142" spans="1:7" x14ac:dyDescent="0.25">
      <c r="A7142" s="175" t="str">
        <f>E7142&amp;COUNTIFS($E$2:E7142,E7142)</f>
        <v>0</v>
      </c>
      <c r="B7142" s="172"/>
      <c r="C7142" s="174"/>
      <c r="D7142" s="173"/>
      <c r="E7142" s="172"/>
      <c r="F7142" s="171"/>
      <c r="G7142" s="170"/>
    </row>
    <row r="7143" spans="1:7" x14ac:dyDescent="0.25">
      <c r="A7143" s="169" t="str">
        <f>E7143&amp;COUNTIFS($E$2:E7143,E7143)</f>
        <v>0</v>
      </c>
      <c r="B7143" s="166"/>
      <c r="C7143" s="168"/>
      <c r="D7143" s="167"/>
      <c r="E7143" s="166"/>
      <c r="F7143" s="165"/>
      <c r="G7143" s="164"/>
    </row>
    <row r="7144" spans="1:7" x14ac:dyDescent="0.25">
      <c r="A7144" s="169" t="str">
        <f>E7144&amp;COUNTIFS($E$2:E7144,E7144)</f>
        <v>0</v>
      </c>
      <c r="B7144" s="166"/>
      <c r="C7144" s="168"/>
      <c r="D7144" s="167"/>
      <c r="E7144" s="166"/>
      <c r="F7144" s="165"/>
      <c r="G7144" s="164"/>
    </row>
    <row r="7145" spans="1:7" x14ac:dyDescent="0.25">
      <c r="A7145" s="169" t="str">
        <f>E7145&amp;COUNTIFS($E$2:E7145,E7145)</f>
        <v>0</v>
      </c>
      <c r="B7145" s="166"/>
      <c r="C7145" s="168"/>
      <c r="D7145" s="167"/>
      <c r="E7145" s="166"/>
      <c r="F7145" s="165"/>
      <c r="G7145" s="164"/>
    </row>
    <row r="7146" spans="1:7" x14ac:dyDescent="0.25">
      <c r="A7146" s="169" t="str">
        <f>E7146&amp;COUNTIFS($E$2:E7146,E7146)</f>
        <v>0</v>
      </c>
      <c r="B7146" s="166"/>
      <c r="C7146" s="168"/>
      <c r="D7146" s="167"/>
      <c r="E7146" s="166"/>
      <c r="F7146" s="165"/>
      <c r="G7146" s="164"/>
    </row>
    <row r="7147" spans="1:7" x14ac:dyDescent="0.25">
      <c r="A7147" s="169" t="str">
        <f>E7147&amp;COUNTIFS($E$2:E7147,E7147)</f>
        <v>0</v>
      </c>
      <c r="B7147" s="166"/>
      <c r="C7147" s="168"/>
      <c r="D7147" s="167"/>
      <c r="E7147" s="166"/>
      <c r="F7147" s="165"/>
      <c r="G7147" s="164"/>
    </row>
    <row r="7148" spans="1:7" x14ac:dyDescent="0.25">
      <c r="A7148" s="169" t="str">
        <f>E7148&amp;COUNTIFS($E$2:E7148,E7148)</f>
        <v>0</v>
      </c>
      <c r="B7148" s="166"/>
      <c r="C7148" s="168"/>
      <c r="D7148" s="167"/>
      <c r="E7148" s="166"/>
      <c r="F7148" s="165"/>
      <c r="G7148" s="164"/>
    </row>
    <row r="7149" spans="1:7" x14ac:dyDescent="0.25">
      <c r="A7149" s="169" t="str">
        <f>E7149&amp;COUNTIFS($E$2:E7149,E7149)</f>
        <v>0</v>
      </c>
      <c r="B7149" s="166"/>
      <c r="C7149" s="168"/>
      <c r="D7149" s="167"/>
      <c r="E7149" s="166"/>
      <c r="F7149" s="165"/>
      <c r="G7149" s="164"/>
    </row>
    <row r="7150" spans="1:7" x14ac:dyDescent="0.25">
      <c r="A7150" s="169" t="str">
        <f>E7150&amp;COUNTIFS($E$2:E7150,E7150)</f>
        <v>0</v>
      </c>
      <c r="B7150" s="166"/>
      <c r="C7150" s="168"/>
      <c r="D7150" s="167"/>
      <c r="E7150" s="166"/>
      <c r="F7150" s="165"/>
      <c r="G7150" s="164"/>
    </row>
    <row r="7151" spans="1:7" x14ac:dyDescent="0.25">
      <c r="A7151" s="169" t="str">
        <f>E7151&amp;COUNTIFS($E$2:E7151,E7151)</f>
        <v>0</v>
      </c>
      <c r="B7151" s="166"/>
      <c r="C7151" s="168"/>
      <c r="D7151" s="167"/>
      <c r="E7151" s="166"/>
      <c r="F7151" s="165"/>
      <c r="G7151" s="164"/>
    </row>
    <row r="7152" spans="1:7" x14ac:dyDescent="0.25">
      <c r="A7152" s="169" t="str">
        <f>E7152&amp;COUNTIFS($E$2:E7152,E7152)</f>
        <v>0</v>
      </c>
      <c r="B7152" s="166"/>
      <c r="C7152" s="168"/>
      <c r="D7152" s="167"/>
      <c r="E7152" s="166"/>
      <c r="F7152" s="165"/>
      <c r="G7152" s="164"/>
    </row>
    <row r="7153" spans="1:7" x14ac:dyDescent="0.25">
      <c r="A7153" s="169" t="str">
        <f>E7153&amp;COUNTIFS($E$2:E7153,E7153)</f>
        <v>0</v>
      </c>
      <c r="B7153" s="166"/>
      <c r="C7153" s="168"/>
      <c r="D7153" s="167"/>
      <c r="E7153" s="166"/>
      <c r="F7153" s="165"/>
      <c r="G7153" s="164"/>
    </row>
    <row r="7154" spans="1:7" x14ac:dyDescent="0.25">
      <c r="A7154" s="169" t="str">
        <f>E7154&amp;COUNTIFS($E$2:E7154,E7154)</f>
        <v>0</v>
      </c>
      <c r="B7154" s="166"/>
      <c r="C7154" s="168"/>
      <c r="D7154" s="167"/>
      <c r="E7154" s="166"/>
      <c r="F7154" s="165"/>
      <c r="G7154" s="164"/>
    </row>
    <row r="7155" spans="1:7" x14ac:dyDescent="0.25">
      <c r="A7155" s="169" t="str">
        <f>E7155&amp;COUNTIFS($E$2:E7155,E7155)</f>
        <v>0</v>
      </c>
      <c r="B7155" s="166"/>
      <c r="C7155" s="168"/>
      <c r="D7155" s="167"/>
      <c r="E7155" s="166"/>
      <c r="F7155" s="165"/>
      <c r="G7155" s="164"/>
    </row>
    <row r="7156" spans="1:7" x14ac:dyDescent="0.25">
      <c r="A7156" s="169" t="str">
        <f>E7156&amp;COUNTIFS($E$2:E7156,E7156)</f>
        <v>0</v>
      </c>
      <c r="B7156" s="166"/>
      <c r="C7156" s="168"/>
      <c r="D7156" s="167"/>
      <c r="E7156" s="166"/>
      <c r="F7156" s="165"/>
      <c r="G7156" s="164"/>
    </row>
    <row r="7157" spans="1:7" x14ac:dyDescent="0.25">
      <c r="A7157" s="169" t="str">
        <f>E7157&amp;COUNTIFS($E$2:E7157,E7157)</f>
        <v>0</v>
      </c>
      <c r="B7157" s="166"/>
      <c r="C7157" s="168"/>
      <c r="D7157" s="167"/>
      <c r="E7157" s="166"/>
      <c r="F7157" s="165"/>
      <c r="G7157" s="164"/>
    </row>
    <row r="7158" spans="1:7" x14ac:dyDescent="0.25">
      <c r="A7158" s="169" t="str">
        <f>E7158&amp;COUNTIFS($E$2:E7158,E7158)</f>
        <v>0</v>
      </c>
      <c r="B7158" s="166"/>
      <c r="C7158" s="168"/>
      <c r="D7158" s="167"/>
      <c r="E7158" s="166"/>
      <c r="F7158" s="165"/>
      <c r="G7158" s="164"/>
    </row>
    <row r="7159" spans="1:7" x14ac:dyDescent="0.25">
      <c r="A7159" s="169" t="str">
        <f>E7159&amp;COUNTIFS($E$2:E7159,E7159)</f>
        <v>0</v>
      </c>
      <c r="B7159" s="166"/>
      <c r="C7159" s="168"/>
      <c r="D7159" s="167"/>
      <c r="E7159" s="166"/>
      <c r="F7159" s="165"/>
      <c r="G7159" s="164"/>
    </row>
    <row r="7160" spans="1:7" x14ac:dyDescent="0.25">
      <c r="A7160" s="169" t="str">
        <f>E7160&amp;COUNTIFS($E$2:E7160,E7160)</f>
        <v>0</v>
      </c>
      <c r="B7160" s="166"/>
      <c r="C7160" s="168"/>
      <c r="D7160" s="167"/>
      <c r="E7160" s="166"/>
      <c r="F7160" s="165"/>
      <c r="G7160" s="164"/>
    </row>
    <row r="7161" spans="1:7" x14ac:dyDescent="0.25">
      <c r="A7161" s="169" t="str">
        <f>E7161&amp;COUNTIFS($E$2:E7161,E7161)</f>
        <v>0</v>
      </c>
      <c r="B7161" s="166"/>
      <c r="C7161" s="168"/>
      <c r="D7161" s="167"/>
      <c r="E7161" s="166"/>
      <c r="F7161" s="165"/>
      <c r="G7161" s="164"/>
    </row>
    <row r="7162" spans="1:7" x14ac:dyDescent="0.25">
      <c r="A7162" s="169" t="str">
        <f>E7162&amp;COUNTIFS($E$2:E7162,E7162)</f>
        <v>0</v>
      </c>
      <c r="B7162" s="166"/>
      <c r="C7162" s="168"/>
      <c r="D7162" s="167"/>
      <c r="E7162" s="166"/>
      <c r="F7162" s="165"/>
      <c r="G7162" s="164"/>
    </row>
    <row r="7163" spans="1:7" x14ac:dyDescent="0.25">
      <c r="A7163" s="169" t="str">
        <f>E7163&amp;COUNTIFS($E$2:E7163,E7163)</f>
        <v>0</v>
      </c>
      <c r="B7163" s="166"/>
      <c r="C7163" s="168"/>
      <c r="D7163" s="167"/>
      <c r="E7163" s="166"/>
      <c r="F7163" s="165"/>
      <c r="G7163" s="164"/>
    </row>
    <row r="7164" spans="1:7" x14ac:dyDescent="0.25">
      <c r="A7164" s="169" t="str">
        <f>E7164&amp;COUNTIFS($E$2:E7164,E7164)</f>
        <v>0</v>
      </c>
      <c r="B7164" s="166"/>
      <c r="C7164" s="168"/>
      <c r="D7164" s="167"/>
      <c r="E7164" s="166"/>
      <c r="F7164" s="165"/>
      <c r="G7164" s="164"/>
    </row>
    <row r="7165" spans="1:7" x14ac:dyDescent="0.25">
      <c r="A7165" s="169" t="str">
        <f>E7165&amp;COUNTIFS($E$2:E7165,E7165)</f>
        <v>0</v>
      </c>
      <c r="B7165" s="166"/>
      <c r="C7165" s="168"/>
      <c r="D7165" s="167"/>
      <c r="E7165" s="166"/>
      <c r="F7165" s="165"/>
      <c r="G7165" s="164"/>
    </row>
    <row r="7166" spans="1:7" ht="15.75" thickBot="1" x14ac:dyDescent="0.3">
      <c r="A7166" s="163" t="str">
        <f>E7166&amp;COUNTIFS($E$2:E7166,E7166)</f>
        <v>0</v>
      </c>
      <c r="B7166" s="160"/>
      <c r="C7166" s="162"/>
      <c r="D7166" s="161"/>
      <c r="E7166" s="160"/>
      <c r="F7166" s="159"/>
      <c r="G7166" s="158"/>
    </row>
    <row r="7167" spans="1:7" x14ac:dyDescent="0.25">
      <c r="A7167" s="148"/>
      <c r="C7167" s="143"/>
      <c r="D7167" s="157"/>
      <c r="E7167" s="143"/>
      <c r="F7167" s="156"/>
      <c r="G7167" s="156"/>
    </row>
    <row r="7168" spans="1:7" x14ac:dyDescent="0.25">
      <c r="A7168" s="148"/>
      <c r="C7168" s="153" t="s">
        <v>623</v>
      </c>
      <c r="D7168" s="152"/>
      <c r="E7168" s="151"/>
      <c r="F7168" s="150">
        <f>SUM(F7142:F7166)</f>
        <v>0</v>
      </c>
      <c r="G7168" s="155">
        <f>SUM(G7142:G7166)</f>
        <v>0</v>
      </c>
    </row>
    <row r="7169" spans="1:7" x14ac:dyDescent="0.25">
      <c r="A7169" s="148"/>
      <c r="C7169" s="145" t="s">
        <v>622</v>
      </c>
      <c r="D7169" s="154"/>
      <c r="E7169" s="145"/>
      <c r="F7169" s="144"/>
      <c r="G7169" s="144"/>
    </row>
    <row r="7170" spans="1:7" x14ac:dyDescent="0.25">
      <c r="A7170" s="148"/>
      <c r="C7170" s="153" t="s">
        <v>621</v>
      </c>
      <c r="D7170" s="152"/>
      <c r="E7170" s="151"/>
      <c r="F7170" s="150">
        <f>F7137</f>
        <v>0</v>
      </c>
      <c r="G7170" s="150">
        <f>G7137</f>
        <v>0</v>
      </c>
    </row>
    <row r="7171" spans="1:7" x14ac:dyDescent="0.25">
      <c r="A7171" s="148"/>
      <c r="C7171" s="153" t="s">
        <v>582</v>
      </c>
      <c r="D7171" s="152"/>
      <c r="E7171" s="151"/>
      <c r="F7171" s="150">
        <f>F7170+F7168</f>
        <v>0</v>
      </c>
      <c r="G7171" s="150">
        <f>G7170+G7168</f>
        <v>0</v>
      </c>
    </row>
    <row r="7172" spans="1:7" ht="15.75" thickBot="1" x14ac:dyDescent="0.3">
      <c r="A7172" s="148"/>
      <c r="C7172" s="145"/>
      <c r="D7172" s="149"/>
      <c r="E7172" s="145"/>
      <c r="F7172" s="144"/>
      <c r="G7172" s="144"/>
    </row>
    <row r="7173" spans="1:7" ht="15.75" thickBot="1" x14ac:dyDescent="0.3">
      <c r="A7173" s="148"/>
      <c r="C7173" s="147" t="s">
        <v>620</v>
      </c>
      <c r="D7173" s="146">
        <f>F7171-G7171</f>
        <v>0</v>
      </c>
      <c r="E7173" s="145"/>
      <c r="F7173" s="144"/>
      <c r="G7173" s="144"/>
    </row>
    <row r="7174" spans="1:7" ht="15.75" thickBot="1" x14ac:dyDescent="0.3"/>
    <row r="7175" spans="1:7" ht="30.75" thickBot="1" x14ac:dyDescent="0.3">
      <c r="A7175" s="181" t="s">
        <v>626</v>
      </c>
      <c r="B7175" s="180" t="s">
        <v>606</v>
      </c>
      <c r="C7175" s="179" t="s">
        <v>625</v>
      </c>
      <c r="D7175" s="178" t="s">
        <v>601</v>
      </c>
      <c r="E7175" s="177" t="s">
        <v>287</v>
      </c>
      <c r="F7175" s="176" t="s">
        <v>624</v>
      </c>
      <c r="G7175" s="176" t="s">
        <v>596</v>
      </c>
    </row>
    <row r="7176" spans="1:7" x14ac:dyDescent="0.25">
      <c r="A7176" s="175" t="str">
        <f>E7176&amp;COUNTIFS($E$2:E7176,E7176)</f>
        <v>0</v>
      </c>
      <c r="B7176" s="172"/>
      <c r="C7176" s="174"/>
      <c r="D7176" s="173"/>
      <c r="E7176" s="172"/>
      <c r="F7176" s="171"/>
      <c r="G7176" s="170"/>
    </row>
    <row r="7177" spans="1:7" x14ac:dyDescent="0.25">
      <c r="A7177" s="169" t="str">
        <f>E7177&amp;COUNTIFS($E$2:E7177,E7177)</f>
        <v>0</v>
      </c>
      <c r="B7177" s="166"/>
      <c r="C7177" s="168"/>
      <c r="D7177" s="167"/>
      <c r="E7177" s="166"/>
      <c r="F7177" s="165"/>
      <c r="G7177" s="164"/>
    </row>
    <row r="7178" spans="1:7" x14ac:dyDescent="0.25">
      <c r="A7178" s="169" t="str">
        <f>E7178&amp;COUNTIFS($E$2:E7178,E7178)</f>
        <v>0</v>
      </c>
      <c r="B7178" s="166"/>
      <c r="C7178" s="168"/>
      <c r="D7178" s="167"/>
      <c r="E7178" s="166"/>
      <c r="F7178" s="165"/>
      <c r="G7178" s="164"/>
    </row>
    <row r="7179" spans="1:7" x14ac:dyDescent="0.25">
      <c r="A7179" s="169" t="str">
        <f>E7179&amp;COUNTIFS($E$2:E7179,E7179)</f>
        <v>0</v>
      </c>
      <c r="B7179" s="166"/>
      <c r="C7179" s="168"/>
      <c r="D7179" s="167"/>
      <c r="E7179" s="166"/>
      <c r="F7179" s="165"/>
      <c r="G7179" s="164"/>
    </row>
    <row r="7180" spans="1:7" x14ac:dyDescent="0.25">
      <c r="A7180" s="169" t="str">
        <f>E7180&amp;COUNTIFS($E$2:E7180,E7180)</f>
        <v>0</v>
      </c>
      <c r="B7180" s="166"/>
      <c r="C7180" s="168"/>
      <c r="D7180" s="167"/>
      <c r="E7180" s="166"/>
      <c r="F7180" s="165"/>
      <c r="G7180" s="164"/>
    </row>
    <row r="7181" spans="1:7" x14ac:dyDescent="0.25">
      <c r="A7181" s="169" t="str">
        <f>E7181&amp;COUNTIFS($E$2:E7181,E7181)</f>
        <v>0</v>
      </c>
      <c r="B7181" s="166"/>
      <c r="C7181" s="168"/>
      <c r="D7181" s="167"/>
      <c r="E7181" s="166"/>
      <c r="F7181" s="165"/>
      <c r="G7181" s="164"/>
    </row>
    <row r="7182" spans="1:7" x14ac:dyDescent="0.25">
      <c r="A7182" s="169" t="str">
        <f>E7182&amp;COUNTIFS($E$2:E7182,E7182)</f>
        <v>0</v>
      </c>
      <c r="B7182" s="166"/>
      <c r="C7182" s="168"/>
      <c r="D7182" s="167"/>
      <c r="E7182" s="166"/>
      <c r="F7182" s="165"/>
      <c r="G7182" s="164"/>
    </row>
    <row r="7183" spans="1:7" x14ac:dyDescent="0.25">
      <c r="A7183" s="169" t="str">
        <f>E7183&amp;COUNTIFS($E$2:E7183,E7183)</f>
        <v>0</v>
      </c>
      <c r="B7183" s="166"/>
      <c r="C7183" s="168"/>
      <c r="D7183" s="167"/>
      <c r="E7183" s="166"/>
      <c r="F7183" s="165"/>
      <c r="G7183" s="164"/>
    </row>
    <row r="7184" spans="1:7" x14ac:dyDescent="0.25">
      <c r="A7184" s="169" t="str">
        <f>E7184&amp;COUNTIFS($E$2:E7184,E7184)</f>
        <v>0</v>
      </c>
      <c r="B7184" s="166"/>
      <c r="C7184" s="168"/>
      <c r="D7184" s="167"/>
      <c r="E7184" s="166"/>
      <c r="F7184" s="165"/>
      <c r="G7184" s="164"/>
    </row>
    <row r="7185" spans="1:7" x14ac:dyDescent="0.25">
      <c r="A7185" s="169" t="str">
        <f>E7185&amp;COUNTIFS($E$2:E7185,E7185)</f>
        <v>0</v>
      </c>
      <c r="B7185" s="166"/>
      <c r="C7185" s="168"/>
      <c r="D7185" s="167"/>
      <c r="E7185" s="166"/>
      <c r="F7185" s="165"/>
      <c r="G7185" s="164"/>
    </row>
    <row r="7186" spans="1:7" x14ac:dyDescent="0.25">
      <c r="A7186" s="169" t="str">
        <f>E7186&amp;COUNTIFS($E$2:E7186,E7186)</f>
        <v>0</v>
      </c>
      <c r="B7186" s="166"/>
      <c r="C7186" s="168"/>
      <c r="D7186" s="167"/>
      <c r="E7186" s="166"/>
      <c r="F7186" s="165"/>
      <c r="G7186" s="164"/>
    </row>
    <row r="7187" spans="1:7" x14ac:dyDescent="0.25">
      <c r="A7187" s="169" t="str">
        <f>E7187&amp;COUNTIFS($E$2:E7187,E7187)</f>
        <v>0</v>
      </c>
      <c r="B7187" s="166"/>
      <c r="C7187" s="168"/>
      <c r="D7187" s="167"/>
      <c r="E7187" s="166"/>
      <c r="F7187" s="165"/>
      <c r="G7187" s="164"/>
    </row>
    <row r="7188" spans="1:7" x14ac:dyDescent="0.25">
      <c r="A7188" s="169" t="str">
        <f>E7188&amp;COUNTIFS($E$2:E7188,E7188)</f>
        <v>0</v>
      </c>
      <c r="B7188" s="166"/>
      <c r="C7188" s="168"/>
      <c r="D7188" s="167"/>
      <c r="E7188" s="166"/>
      <c r="F7188" s="165"/>
      <c r="G7188" s="164"/>
    </row>
    <row r="7189" spans="1:7" x14ac:dyDescent="0.25">
      <c r="A7189" s="169" t="str">
        <f>E7189&amp;COUNTIFS($E$2:E7189,E7189)</f>
        <v>0</v>
      </c>
      <c r="B7189" s="166"/>
      <c r="C7189" s="168"/>
      <c r="D7189" s="167"/>
      <c r="E7189" s="166"/>
      <c r="F7189" s="165"/>
      <c r="G7189" s="164"/>
    </row>
    <row r="7190" spans="1:7" x14ac:dyDescent="0.25">
      <c r="A7190" s="169" t="str">
        <f>E7190&amp;COUNTIFS($E$2:E7190,E7190)</f>
        <v>0</v>
      </c>
      <c r="B7190" s="166"/>
      <c r="C7190" s="168"/>
      <c r="D7190" s="167"/>
      <c r="E7190" s="166"/>
      <c r="F7190" s="165"/>
      <c r="G7190" s="164"/>
    </row>
    <row r="7191" spans="1:7" x14ac:dyDescent="0.25">
      <c r="A7191" s="169" t="str">
        <f>E7191&amp;COUNTIFS($E$2:E7191,E7191)</f>
        <v>0</v>
      </c>
      <c r="B7191" s="166"/>
      <c r="C7191" s="168"/>
      <c r="D7191" s="167"/>
      <c r="E7191" s="166"/>
      <c r="F7191" s="165"/>
      <c r="G7191" s="164"/>
    </row>
    <row r="7192" spans="1:7" x14ac:dyDescent="0.25">
      <c r="A7192" s="169" t="str">
        <f>E7192&amp;COUNTIFS($E$2:E7192,E7192)</f>
        <v>0</v>
      </c>
      <c r="B7192" s="166"/>
      <c r="C7192" s="168"/>
      <c r="D7192" s="167"/>
      <c r="E7192" s="166"/>
      <c r="F7192" s="165"/>
      <c r="G7192" s="164"/>
    </row>
    <row r="7193" spans="1:7" x14ac:dyDescent="0.25">
      <c r="A7193" s="169" t="str">
        <f>E7193&amp;COUNTIFS($E$2:E7193,E7193)</f>
        <v>0</v>
      </c>
      <c r="B7193" s="166"/>
      <c r="C7193" s="168"/>
      <c r="D7193" s="167"/>
      <c r="E7193" s="166"/>
      <c r="F7193" s="165"/>
      <c r="G7193" s="164"/>
    </row>
    <row r="7194" spans="1:7" x14ac:dyDescent="0.25">
      <c r="A7194" s="169" t="str">
        <f>E7194&amp;COUNTIFS($E$2:E7194,E7194)</f>
        <v>0</v>
      </c>
      <c r="B7194" s="166"/>
      <c r="C7194" s="168"/>
      <c r="D7194" s="167"/>
      <c r="E7194" s="166"/>
      <c r="F7194" s="165"/>
      <c r="G7194" s="164"/>
    </row>
    <row r="7195" spans="1:7" x14ac:dyDescent="0.25">
      <c r="A7195" s="169" t="str">
        <f>E7195&amp;COUNTIFS($E$2:E7195,E7195)</f>
        <v>0</v>
      </c>
      <c r="B7195" s="166"/>
      <c r="C7195" s="168"/>
      <c r="D7195" s="167"/>
      <c r="E7195" s="166"/>
      <c r="F7195" s="165"/>
      <c r="G7195" s="164"/>
    </row>
    <row r="7196" spans="1:7" x14ac:dyDescent="0.25">
      <c r="A7196" s="169" t="str">
        <f>E7196&amp;COUNTIFS($E$2:E7196,E7196)</f>
        <v>0</v>
      </c>
      <c r="B7196" s="166"/>
      <c r="C7196" s="168"/>
      <c r="D7196" s="167"/>
      <c r="E7196" s="166"/>
      <c r="F7196" s="165"/>
      <c r="G7196" s="164"/>
    </row>
    <row r="7197" spans="1:7" x14ac:dyDescent="0.25">
      <c r="A7197" s="169" t="str">
        <f>E7197&amp;COUNTIFS($E$2:E7197,E7197)</f>
        <v>0</v>
      </c>
      <c r="B7197" s="166"/>
      <c r="C7197" s="168"/>
      <c r="D7197" s="167"/>
      <c r="E7197" s="166"/>
      <c r="F7197" s="165"/>
      <c r="G7197" s="164"/>
    </row>
    <row r="7198" spans="1:7" x14ac:dyDescent="0.25">
      <c r="A7198" s="169" t="str">
        <f>E7198&amp;COUNTIFS($E$2:E7198,E7198)</f>
        <v>0</v>
      </c>
      <c r="B7198" s="166"/>
      <c r="C7198" s="168"/>
      <c r="D7198" s="167"/>
      <c r="E7198" s="166"/>
      <c r="F7198" s="165"/>
      <c r="G7198" s="164"/>
    </row>
    <row r="7199" spans="1:7" x14ac:dyDescent="0.25">
      <c r="A7199" s="169" t="str">
        <f>E7199&amp;COUNTIFS($E$2:E7199,E7199)</f>
        <v>0</v>
      </c>
      <c r="B7199" s="166"/>
      <c r="C7199" s="168"/>
      <c r="D7199" s="167"/>
      <c r="E7199" s="166"/>
      <c r="F7199" s="165"/>
      <c r="G7199" s="164"/>
    </row>
    <row r="7200" spans="1:7" ht="15.75" thickBot="1" x14ac:dyDescent="0.3">
      <c r="A7200" s="163" t="str">
        <f>E7200&amp;COUNTIFS($E$2:E7200,E7200)</f>
        <v>0</v>
      </c>
      <c r="B7200" s="160"/>
      <c r="C7200" s="162"/>
      <c r="D7200" s="161"/>
      <c r="E7200" s="160"/>
      <c r="F7200" s="159"/>
      <c r="G7200" s="158"/>
    </row>
    <row r="7201" spans="1:7" x14ac:dyDescent="0.25">
      <c r="A7201" s="148"/>
      <c r="C7201" s="143"/>
      <c r="D7201" s="157"/>
      <c r="E7201" s="143"/>
      <c r="F7201" s="156"/>
      <c r="G7201" s="156"/>
    </row>
    <row r="7202" spans="1:7" x14ac:dyDescent="0.25">
      <c r="A7202" s="148"/>
      <c r="C7202" s="153" t="s">
        <v>623</v>
      </c>
      <c r="D7202" s="152"/>
      <c r="E7202" s="151"/>
      <c r="F7202" s="150">
        <f>SUM(F7176:F7200)</f>
        <v>0</v>
      </c>
      <c r="G7202" s="155">
        <f>SUM(G7176:G7200)</f>
        <v>0</v>
      </c>
    </row>
    <row r="7203" spans="1:7" x14ac:dyDescent="0.25">
      <c r="A7203" s="148"/>
      <c r="C7203" s="145" t="s">
        <v>622</v>
      </c>
      <c r="D7203" s="154"/>
      <c r="E7203" s="145"/>
      <c r="F7203" s="144"/>
      <c r="G7203" s="144"/>
    </row>
    <row r="7204" spans="1:7" x14ac:dyDescent="0.25">
      <c r="A7204" s="148"/>
      <c r="C7204" s="153" t="s">
        <v>621</v>
      </c>
      <c r="D7204" s="152"/>
      <c r="E7204" s="151"/>
      <c r="F7204" s="150">
        <f>F7171</f>
        <v>0</v>
      </c>
      <c r="G7204" s="150">
        <f>G7171</f>
        <v>0</v>
      </c>
    </row>
    <row r="7205" spans="1:7" x14ac:dyDescent="0.25">
      <c r="A7205" s="148"/>
      <c r="C7205" s="153" t="s">
        <v>582</v>
      </c>
      <c r="D7205" s="152"/>
      <c r="E7205" s="151"/>
      <c r="F7205" s="150">
        <f>F7204+F7202</f>
        <v>0</v>
      </c>
      <c r="G7205" s="150">
        <f>G7204+G7202</f>
        <v>0</v>
      </c>
    </row>
    <row r="7206" spans="1:7" ht="15.75" thickBot="1" x14ac:dyDescent="0.3">
      <c r="A7206" s="148"/>
      <c r="C7206" s="145"/>
      <c r="D7206" s="149"/>
      <c r="E7206" s="145"/>
      <c r="F7206" s="144"/>
      <c r="G7206" s="144"/>
    </row>
    <row r="7207" spans="1:7" ht="15.75" thickBot="1" x14ac:dyDescent="0.3">
      <c r="A7207" s="148"/>
      <c r="C7207" s="147" t="s">
        <v>620</v>
      </c>
      <c r="D7207" s="146">
        <f>F7205-G7205</f>
        <v>0</v>
      </c>
      <c r="E7207" s="145"/>
      <c r="F7207" s="144"/>
      <c r="G7207" s="144"/>
    </row>
    <row r="7208" spans="1:7" ht="15.75" thickBot="1" x14ac:dyDescent="0.3"/>
    <row r="7209" spans="1:7" ht="30.75" thickBot="1" x14ac:dyDescent="0.3">
      <c r="A7209" s="181" t="s">
        <v>626</v>
      </c>
      <c r="B7209" s="180" t="s">
        <v>606</v>
      </c>
      <c r="C7209" s="179" t="s">
        <v>625</v>
      </c>
      <c r="D7209" s="178" t="s">
        <v>601</v>
      </c>
      <c r="E7209" s="177" t="s">
        <v>287</v>
      </c>
      <c r="F7209" s="176" t="s">
        <v>624</v>
      </c>
      <c r="G7209" s="176" t="s">
        <v>596</v>
      </c>
    </row>
    <row r="7210" spans="1:7" x14ac:dyDescent="0.25">
      <c r="A7210" s="175" t="str">
        <f>E7210&amp;COUNTIFS($E$2:E7210,E7210)</f>
        <v>0</v>
      </c>
      <c r="B7210" s="172"/>
      <c r="C7210" s="174"/>
      <c r="D7210" s="173"/>
      <c r="E7210" s="172"/>
      <c r="F7210" s="171"/>
      <c r="G7210" s="170"/>
    </row>
    <row r="7211" spans="1:7" x14ac:dyDescent="0.25">
      <c r="A7211" s="169" t="str">
        <f>E7211&amp;COUNTIFS($E$2:E7211,E7211)</f>
        <v>0</v>
      </c>
      <c r="B7211" s="166"/>
      <c r="C7211" s="168"/>
      <c r="D7211" s="167"/>
      <c r="E7211" s="166"/>
      <c r="F7211" s="165"/>
      <c r="G7211" s="164"/>
    </row>
    <row r="7212" spans="1:7" x14ac:dyDescent="0.25">
      <c r="A7212" s="169" t="str">
        <f>E7212&amp;COUNTIFS($E$2:E7212,E7212)</f>
        <v>0</v>
      </c>
      <c r="B7212" s="166"/>
      <c r="C7212" s="168"/>
      <c r="D7212" s="167"/>
      <c r="E7212" s="166"/>
      <c r="F7212" s="165"/>
      <c r="G7212" s="164"/>
    </row>
    <row r="7213" spans="1:7" x14ac:dyDescent="0.25">
      <c r="A7213" s="169" t="str">
        <f>E7213&amp;COUNTIFS($E$2:E7213,E7213)</f>
        <v>0</v>
      </c>
      <c r="B7213" s="166"/>
      <c r="C7213" s="168"/>
      <c r="D7213" s="167"/>
      <c r="E7213" s="166"/>
      <c r="F7213" s="165"/>
      <c r="G7213" s="164"/>
    </row>
    <row r="7214" spans="1:7" x14ac:dyDescent="0.25">
      <c r="A7214" s="169" t="str">
        <f>E7214&amp;COUNTIFS($E$2:E7214,E7214)</f>
        <v>0</v>
      </c>
      <c r="B7214" s="166"/>
      <c r="C7214" s="168"/>
      <c r="D7214" s="167"/>
      <c r="E7214" s="166"/>
      <c r="F7214" s="165"/>
      <c r="G7214" s="164"/>
    </row>
    <row r="7215" spans="1:7" x14ac:dyDescent="0.25">
      <c r="A7215" s="169" t="str">
        <f>E7215&amp;COUNTIFS($E$2:E7215,E7215)</f>
        <v>0</v>
      </c>
      <c r="B7215" s="166"/>
      <c r="C7215" s="168"/>
      <c r="D7215" s="167"/>
      <c r="E7215" s="166"/>
      <c r="F7215" s="165"/>
      <c r="G7215" s="164"/>
    </row>
    <row r="7216" spans="1:7" x14ac:dyDescent="0.25">
      <c r="A7216" s="169" t="str">
        <f>E7216&amp;COUNTIFS($E$2:E7216,E7216)</f>
        <v>0</v>
      </c>
      <c r="B7216" s="166"/>
      <c r="C7216" s="168"/>
      <c r="D7216" s="167"/>
      <c r="E7216" s="166"/>
      <c r="F7216" s="165"/>
      <c r="G7216" s="164"/>
    </row>
    <row r="7217" spans="1:7" x14ac:dyDescent="0.25">
      <c r="A7217" s="169" t="str">
        <f>E7217&amp;COUNTIFS($E$2:E7217,E7217)</f>
        <v>0</v>
      </c>
      <c r="B7217" s="166"/>
      <c r="C7217" s="168"/>
      <c r="D7217" s="167"/>
      <c r="E7217" s="166"/>
      <c r="F7217" s="165"/>
      <c r="G7217" s="164"/>
    </row>
    <row r="7218" spans="1:7" x14ac:dyDescent="0.25">
      <c r="A7218" s="169" t="str">
        <f>E7218&amp;COUNTIFS($E$2:E7218,E7218)</f>
        <v>0</v>
      </c>
      <c r="B7218" s="166"/>
      <c r="C7218" s="168"/>
      <c r="D7218" s="167"/>
      <c r="E7218" s="166"/>
      <c r="F7218" s="165"/>
      <c r="G7218" s="164"/>
    </row>
    <row r="7219" spans="1:7" x14ac:dyDescent="0.25">
      <c r="A7219" s="169" t="str">
        <f>E7219&amp;COUNTIFS($E$2:E7219,E7219)</f>
        <v>0</v>
      </c>
      <c r="B7219" s="166"/>
      <c r="C7219" s="168"/>
      <c r="D7219" s="167"/>
      <c r="E7219" s="166"/>
      <c r="F7219" s="165"/>
      <c r="G7219" s="164"/>
    </row>
    <row r="7220" spans="1:7" x14ac:dyDescent="0.25">
      <c r="A7220" s="169" t="str">
        <f>E7220&amp;COUNTIFS($E$2:E7220,E7220)</f>
        <v>0</v>
      </c>
      <c r="B7220" s="166"/>
      <c r="C7220" s="168"/>
      <c r="D7220" s="167"/>
      <c r="E7220" s="166"/>
      <c r="F7220" s="165"/>
      <c r="G7220" s="164"/>
    </row>
    <row r="7221" spans="1:7" x14ac:dyDescent="0.25">
      <c r="A7221" s="169" t="str">
        <f>E7221&amp;COUNTIFS($E$2:E7221,E7221)</f>
        <v>0</v>
      </c>
      <c r="B7221" s="166"/>
      <c r="C7221" s="168"/>
      <c r="D7221" s="167"/>
      <c r="E7221" s="166"/>
      <c r="F7221" s="165"/>
      <c r="G7221" s="164"/>
    </row>
    <row r="7222" spans="1:7" x14ac:dyDescent="0.25">
      <c r="A7222" s="169" t="str">
        <f>E7222&amp;COUNTIFS($E$2:E7222,E7222)</f>
        <v>0</v>
      </c>
      <c r="B7222" s="166"/>
      <c r="C7222" s="168"/>
      <c r="D7222" s="167"/>
      <c r="E7222" s="166"/>
      <c r="F7222" s="165"/>
      <c r="G7222" s="164"/>
    </row>
    <row r="7223" spans="1:7" x14ac:dyDescent="0.25">
      <c r="A7223" s="169" t="str">
        <f>E7223&amp;COUNTIFS($E$2:E7223,E7223)</f>
        <v>0</v>
      </c>
      <c r="B7223" s="166"/>
      <c r="C7223" s="168"/>
      <c r="D7223" s="167"/>
      <c r="E7223" s="166"/>
      <c r="F7223" s="165"/>
      <c r="G7223" s="164"/>
    </row>
    <row r="7224" spans="1:7" x14ac:dyDescent="0.25">
      <c r="A7224" s="169" t="str">
        <f>E7224&amp;COUNTIFS($E$2:E7224,E7224)</f>
        <v>0</v>
      </c>
      <c r="B7224" s="166"/>
      <c r="C7224" s="168"/>
      <c r="D7224" s="167"/>
      <c r="E7224" s="166"/>
      <c r="F7224" s="165"/>
      <c r="G7224" s="164"/>
    </row>
    <row r="7225" spans="1:7" x14ac:dyDescent="0.25">
      <c r="A7225" s="169" t="str">
        <f>E7225&amp;COUNTIFS($E$2:E7225,E7225)</f>
        <v>0</v>
      </c>
      <c r="B7225" s="166"/>
      <c r="C7225" s="168"/>
      <c r="D7225" s="167"/>
      <c r="E7225" s="166"/>
      <c r="F7225" s="165"/>
      <c r="G7225" s="164"/>
    </row>
    <row r="7226" spans="1:7" x14ac:dyDescent="0.25">
      <c r="A7226" s="169" t="str">
        <f>E7226&amp;COUNTIFS($E$2:E7226,E7226)</f>
        <v>0</v>
      </c>
      <c r="B7226" s="166"/>
      <c r="C7226" s="168"/>
      <c r="D7226" s="167"/>
      <c r="E7226" s="166"/>
      <c r="F7226" s="165"/>
      <c r="G7226" s="164"/>
    </row>
    <row r="7227" spans="1:7" x14ac:dyDescent="0.25">
      <c r="A7227" s="169" t="str">
        <f>E7227&amp;COUNTIFS($E$2:E7227,E7227)</f>
        <v>0</v>
      </c>
      <c r="B7227" s="166"/>
      <c r="C7227" s="168"/>
      <c r="D7227" s="167"/>
      <c r="E7227" s="166"/>
      <c r="F7227" s="165"/>
      <c r="G7227" s="164"/>
    </row>
    <row r="7228" spans="1:7" x14ac:dyDescent="0.25">
      <c r="A7228" s="169" t="str">
        <f>E7228&amp;COUNTIFS($E$2:E7228,E7228)</f>
        <v>0</v>
      </c>
      <c r="B7228" s="166"/>
      <c r="C7228" s="168"/>
      <c r="D7228" s="167"/>
      <c r="E7228" s="166"/>
      <c r="F7228" s="165"/>
      <c r="G7228" s="164"/>
    </row>
    <row r="7229" spans="1:7" x14ac:dyDescent="0.25">
      <c r="A7229" s="169" t="str">
        <f>E7229&amp;COUNTIFS($E$2:E7229,E7229)</f>
        <v>0</v>
      </c>
      <c r="B7229" s="166"/>
      <c r="C7229" s="168"/>
      <c r="D7229" s="167"/>
      <c r="E7229" s="166"/>
      <c r="F7229" s="165"/>
      <c r="G7229" s="164"/>
    </row>
    <row r="7230" spans="1:7" x14ac:dyDescent="0.25">
      <c r="A7230" s="169" t="str">
        <f>E7230&amp;COUNTIFS($E$2:E7230,E7230)</f>
        <v>0</v>
      </c>
      <c r="B7230" s="166"/>
      <c r="C7230" s="168"/>
      <c r="D7230" s="167"/>
      <c r="E7230" s="166"/>
      <c r="F7230" s="165"/>
      <c r="G7230" s="164"/>
    </row>
    <row r="7231" spans="1:7" x14ac:dyDescent="0.25">
      <c r="A7231" s="169" t="str">
        <f>E7231&amp;COUNTIFS($E$2:E7231,E7231)</f>
        <v>0</v>
      </c>
      <c r="B7231" s="166"/>
      <c r="C7231" s="168"/>
      <c r="D7231" s="167"/>
      <c r="E7231" s="166"/>
      <c r="F7231" s="165"/>
      <c r="G7231" s="164"/>
    </row>
    <row r="7232" spans="1:7" x14ac:dyDescent="0.25">
      <c r="A7232" s="169" t="str">
        <f>E7232&amp;COUNTIFS($E$2:E7232,E7232)</f>
        <v>0</v>
      </c>
      <c r="B7232" s="166"/>
      <c r="C7232" s="168"/>
      <c r="D7232" s="167"/>
      <c r="E7232" s="166"/>
      <c r="F7232" s="165"/>
      <c r="G7232" s="164"/>
    </row>
    <row r="7233" spans="1:7" x14ac:dyDescent="0.25">
      <c r="A7233" s="169" t="str">
        <f>E7233&amp;COUNTIFS($E$2:E7233,E7233)</f>
        <v>0</v>
      </c>
      <c r="B7233" s="166"/>
      <c r="C7233" s="168"/>
      <c r="D7233" s="167"/>
      <c r="E7233" s="166"/>
      <c r="F7233" s="165"/>
      <c r="G7233" s="164"/>
    </row>
    <row r="7234" spans="1:7" ht="15.75" thickBot="1" x14ac:dyDescent="0.3">
      <c r="A7234" s="163" t="str">
        <f>E7234&amp;COUNTIFS($E$2:E7234,E7234)</f>
        <v>0</v>
      </c>
      <c r="B7234" s="160"/>
      <c r="C7234" s="162"/>
      <c r="D7234" s="161"/>
      <c r="E7234" s="160"/>
      <c r="F7234" s="159"/>
      <c r="G7234" s="158"/>
    </row>
    <row r="7235" spans="1:7" x14ac:dyDescent="0.25">
      <c r="A7235" s="148"/>
      <c r="C7235" s="143"/>
      <c r="D7235" s="157"/>
      <c r="E7235" s="143"/>
      <c r="F7235" s="156"/>
      <c r="G7235" s="156"/>
    </row>
    <row r="7236" spans="1:7" x14ac:dyDescent="0.25">
      <c r="A7236" s="148"/>
      <c r="C7236" s="153" t="s">
        <v>623</v>
      </c>
      <c r="D7236" s="152"/>
      <c r="E7236" s="151"/>
      <c r="F7236" s="150">
        <f>SUM(F7210:F7234)</f>
        <v>0</v>
      </c>
      <c r="G7236" s="155">
        <f>SUM(G7210:G7234)</f>
        <v>0</v>
      </c>
    </row>
    <row r="7237" spans="1:7" x14ac:dyDescent="0.25">
      <c r="A7237" s="148"/>
      <c r="C7237" s="145" t="s">
        <v>622</v>
      </c>
      <c r="D7237" s="154"/>
      <c r="E7237" s="145"/>
      <c r="F7237" s="144"/>
      <c r="G7237" s="144"/>
    </row>
    <row r="7238" spans="1:7" x14ac:dyDescent="0.25">
      <c r="A7238" s="148"/>
      <c r="C7238" s="153" t="s">
        <v>621</v>
      </c>
      <c r="D7238" s="152"/>
      <c r="E7238" s="151"/>
      <c r="F7238" s="150">
        <f>F7205</f>
        <v>0</v>
      </c>
      <c r="G7238" s="150">
        <f>G7205</f>
        <v>0</v>
      </c>
    </row>
    <row r="7239" spans="1:7" x14ac:dyDescent="0.25">
      <c r="A7239" s="148"/>
      <c r="C7239" s="153" t="s">
        <v>582</v>
      </c>
      <c r="D7239" s="152"/>
      <c r="E7239" s="151"/>
      <c r="F7239" s="150">
        <f>F7238+F7236</f>
        <v>0</v>
      </c>
      <c r="G7239" s="150">
        <f>G7238+G7236</f>
        <v>0</v>
      </c>
    </row>
    <row r="7240" spans="1:7" ht="15.75" thickBot="1" x14ac:dyDescent="0.3">
      <c r="A7240" s="148"/>
      <c r="C7240" s="145"/>
      <c r="D7240" s="149"/>
      <c r="E7240" s="145"/>
      <c r="F7240" s="144"/>
      <c r="G7240" s="144"/>
    </row>
    <row r="7241" spans="1:7" ht="15.75" thickBot="1" x14ac:dyDescent="0.3">
      <c r="A7241" s="148"/>
      <c r="C7241" s="147" t="s">
        <v>620</v>
      </c>
      <c r="D7241" s="146">
        <f>F7239-G7239</f>
        <v>0</v>
      </c>
      <c r="E7241" s="145"/>
      <c r="F7241" s="144"/>
      <c r="G7241" s="144"/>
    </row>
    <row r="7242" spans="1:7" ht="15.75" thickBot="1" x14ac:dyDescent="0.3"/>
    <row r="7243" spans="1:7" ht="30.75" thickBot="1" x14ac:dyDescent="0.3">
      <c r="A7243" s="181" t="s">
        <v>626</v>
      </c>
      <c r="B7243" s="180" t="s">
        <v>606</v>
      </c>
      <c r="C7243" s="179" t="s">
        <v>625</v>
      </c>
      <c r="D7243" s="178" t="s">
        <v>601</v>
      </c>
      <c r="E7243" s="177" t="s">
        <v>287</v>
      </c>
      <c r="F7243" s="176" t="s">
        <v>624</v>
      </c>
      <c r="G7243" s="176" t="s">
        <v>596</v>
      </c>
    </row>
    <row r="7244" spans="1:7" x14ac:dyDescent="0.25">
      <c r="A7244" s="175" t="str">
        <f>E7244&amp;COUNTIFS($E$2:E7244,E7244)</f>
        <v>0</v>
      </c>
      <c r="B7244" s="172"/>
      <c r="C7244" s="174"/>
      <c r="D7244" s="173"/>
      <c r="E7244" s="172"/>
      <c r="F7244" s="171"/>
      <c r="G7244" s="170"/>
    </row>
    <row r="7245" spans="1:7" x14ac:dyDescent="0.25">
      <c r="A7245" s="169" t="str">
        <f>E7245&amp;COUNTIFS($E$2:E7245,E7245)</f>
        <v>0</v>
      </c>
      <c r="B7245" s="166"/>
      <c r="C7245" s="168"/>
      <c r="D7245" s="167"/>
      <c r="E7245" s="166"/>
      <c r="F7245" s="165"/>
      <c r="G7245" s="164"/>
    </row>
    <row r="7246" spans="1:7" x14ac:dyDescent="0.25">
      <c r="A7246" s="169" t="str">
        <f>E7246&amp;COUNTIFS($E$2:E7246,E7246)</f>
        <v>0</v>
      </c>
      <c r="B7246" s="166"/>
      <c r="C7246" s="168"/>
      <c r="D7246" s="167"/>
      <c r="E7246" s="166"/>
      <c r="F7246" s="165"/>
      <c r="G7246" s="164"/>
    </row>
    <row r="7247" spans="1:7" x14ac:dyDescent="0.25">
      <c r="A7247" s="169" t="str">
        <f>E7247&amp;COUNTIFS($E$2:E7247,E7247)</f>
        <v>0</v>
      </c>
      <c r="B7247" s="166"/>
      <c r="C7247" s="168"/>
      <c r="D7247" s="167"/>
      <c r="E7247" s="166"/>
      <c r="F7247" s="165"/>
      <c r="G7247" s="164"/>
    </row>
    <row r="7248" spans="1:7" x14ac:dyDescent="0.25">
      <c r="A7248" s="169" t="str">
        <f>E7248&amp;COUNTIFS($E$2:E7248,E7248)</f>
        <v>0</v>
      </c>
      <c r="B7248" s="166"/>
      <c r="C7248" s="168"/>
      <c r="D7248" s="167"/>
      <c r="E7248" s="166"/>
      <c r="F7248" s="165"/>
      <c r="G7248" s="164"/>
    </row>
    <row r="7249" spans="1:7" x14ac:dyDescent="0.25">
      <c r="A7249" s="169" t="str">
        <f>E7249&amp;COUNTIFS($E$2:E7249,E7249)</f>
        <v>0</v>
      </c>
      <c r="B7249" s="166"/>
      <c r="C7249" s="168"/>
      <c r="D7249" s="167"/>
      <c r="E7249" s="166"/>
      <c r="F7249" s="165"/>
      <c r="G7249" s="164"/>
    </row>
    <row r="7250" spans="1:7" x14ac:dyDescent="0.25">
      <c r="A7250" s="169" t="str">
        <f>E7250&amp;COUNTIFS($E$2:E7250,E7250)</f>
        <v>0</v>
      </c>
      <c r="B7250" s="166"/>
      <c r="C7250" s="168"/>
      <c r="D7250" s="167"/>
      <c r="E7250" s="166"/>
      <c r="F7250" s="165"/>
      <c r="G7250" s="164"/>
    </row>
    <row r="7251" spans="1:7" x14ac:dyDescent="0.25">
      <c r="A7251" s="169" t="str">
        <f>E7251&amp;COUNTIFS($E$2:E7251,E7251)</f>
        <v>0</v>
      </c>
      <c r="B7251" s="166"/>
      <c r="C7251" s="168"/>
      <c r="D7251" s="167"/>
      <c r="E7251" s="166"/>
      <c r="F7251" s="165"/>
      <c r="G7251" s="164"/>
    </row>
    <row r="7252" spans="1:7" x14ac:dyDescent="0.25">
      <c r="A7252" s="169" t="str">
        <f>E7252&amp;COUNTIFS($E$2:E7252,E7252)</f>
        <v>0</v>
      </c>
      <c r="B7252" s="166"/>
      <c r="C7252" s="168"/>
      <c r="D7252" s="167"/>
      <c r="E7252" s="166"/>
      <c r="F7252" s="165"/>
      <c r="G7252" s="164"/>
    </row>
    <row r="7253" spans="1:7" x14ac:dyDescent="0.25">
      <c r="A7253" s="169" t="str">
        <f>E7253&amp;COUNTIFS($E$2:E7253,E7253)</f>
        <v>0</v>
      </c>
      <c r="B7253" s="166"/>
      <c r="C7253" s="168"/>
      <c r="D7253" s="167"/>
      <c r="E7253" s="166"/>
      <c r="F7253" s="165"/>
      <c r="G7253" s="164"/>
    </row>
    <row r="7254" spans="1:7" x14ac:dyDescent="0.25">
      <c r="A7254" s="169" t="str">
        <f>E7254&amp;COUNTIFS($E$2:E7254,E7254)</f>
        <v>0</v>
      </c>
      <c r="B7254" s="166"/>
      <c r="C7254" s="168"/>
      <c r="D7254" s="167"/>
      <c r="E7254" s="166"/>
      <c r="F7254" s="165"/>
      <c r="G7254" s="164"/>
    </row>
    <row r="7255" spans="1:7" x14ac:dyDescent="0.25">
      <c r="A7255" s="169" t="str">
        <f>E7255&amp;COUNTIFS($E$2:E7255,E7255)</f>
        <v>0</v>
      </c>
      <c r="B7255" s="166"/>
      <c r="C7255" s="168"/>
      <c r="D7255" s="167"/>
      <c r="E7255" s="166"/>
      <c r="F7255" s="165"/>
      <c r="G7255" s="164"/>
    </row>
    <row r="7256" spans="1:7" x14ac:dyDescent="0.25">
      <c r="A7256" s="169" t="str">
        <f>E7256&amp;COUNTIFS($E$2:E7256,E7256)</f>
        <v>0</v>
      </c>
      <c r="B7256" s="166"/>
      <c r="C7256" s="168"/>
      <c r="D7256" s="167"/>
      <c r="E7256" s="166"/>
      <c r="F7256" s="165"/>
      <c r="G7256" s="164"/>
    </row>
    <row r="7257" spans="1:7" x14ac:dyDescent="0.25">
      <c r="A7257" s="169" t="str">
        <f>E7257&amp;COUNTIFS($E$2:E7257,E7257)</f>
        <v>0</v>
      </c>
      <c r="B7257" s="166"/>
      <c r="C7257" s="168"/>
      <c r="D7257" s="167"/>
      <c r="E7257" s="166"/>
      <c r="F7257" s="165"/>
      <c r="G7257" s="164"/>
    </row>
    <row r="7258" spans="1:7" x14ac:dyDescent="0.25">
      <c r="A7258" s="169" t="str">
        <f>E7258&amp;COUNTIFS($E$2:E7258,E7258)</f>
        <v>0</v>
      </c>
      <c r="B7258" s="166"/>
      <c r="C7258" s="168"/>
      <c r="D7258" s="167"/>
      <c r="E7258" s="166"/>
      <c r="F7258" s="165"/>
      <c r="G7258" s="164"/>
    </row>
    <row r="7259" spans="1:7" x14ac:dyDescent="0.25">
      <c r="A7259" s="169" t="str">
        <f>E7259&amp;COUNTIFS($E$2:E7259,E7259)</f>
        <v>0</v>
      </c>
      <c r="B7259" s="166"/>
      <c r="C7259" s="168"/>
      <c r="D7259" s="167"/>
      <c r="E7259" s="166"/>
      <c r="F7259" s="165"/>
      <c r="G7259" s="164"/>
    </row>
    <row r="7260" spans="1:7" x14ac:dyDescent="0.25">
      <c r="A7260" s="169" t="str">
        <f>E7260&amp;COUNTIFS($E$2:E7260,E7260)</f>
        <v>0</v>
      </c>
      <c r="B7260" s="166"/>
      <c r="C7260" s="168"/>
      <c r="D7260" s="167"/>
      <c r="E7260" s="166"/>
      <c r="F7260" s="165"/>
      <c r="G7260" s="164"/>
    </row>
    <row r="7261" spans="1:7" x14ac:dyDescent="0.25">
      <c r="A7261" s="169" t="str">
        <f>E7261&amp;COUNTIFS($E$2:E7261,E7261)</f>
        <v>0</v>
      </c>
      <c r="B7261" s="166"/>
      <c r="C7261" s="168"/>
      <c r="D7261" s="167"/>
      <c r="E7261" s="166"/>
      <c r="F7261" s="165"/>
      <c r="G7261" s="164"/>
    </row>
    <row r="7262" spans="1:7" x14ac:dyDescent="0.25">
      <c r="A7262" s="169" t="str">
        <f>E7262&amp;COUNTIFS($E$2:E7262,E7262)</f>
        <v>0</v>
      </c>
      <c r="B7262" s="166"/>
      <c r="C7262" s="168"/>
      <c r="D7262" s="167"/>
      <c r="E7262" s="166"/>
      <c r="F7262" s="165"/>
      <c r="G7262" s="164"/>
    </row>
    <row r="7263" spans="1:7" x14ac:dyDescent="0.25">
      <c r="A7263" s="169" t="str">
        <f>E7263&amp;COUNTIFS($E$2:E7263,E7263)</f>
        <v>0</v>
      </c>
      <c r="B7263" s="166"/>
      <c r="C7263" s="168"/>
      <c r="D7263" s="167"/>
      <c r="E7263" s="166"/>
      <c r="F7263" s="165"/>
      <c r="G7263" s="164"/>
    </row>
    <row r="7264" spans="1:7" x14ac:dyDescent="0.25">
      <c r="A7264" s="169" t="str">
        <f>E7264&amp;COUNTIFS($E$2:E7264,E7264)</f>
        <v>0</v>
      </c>
      <c r="B7264" s="166"/>
      <c r="C7264" s="168"/>
      <c r="D7264" s="167"/>
      <c r="E7264" s="166"/>
      <c r="F7264" s="165"/>
      <c r="G7264" s="164"/>
    </row>
    <row r="7265" spans="1:7" x14ac:dyDescent="0.25">
      <c r="A7265" s="169" t="str">
        <f>E7265&amp;COUNTIFS($E$2:E7265,E7265)</f>
        <v>0</v>
      </c>
      <c r="B7265" s="166"/>
      <c r="C7265" s="168"/>
      <c r="D7265" s="167"/>
      <c r="E7265" s="166"/>
      <c r="F7265" s="165"/>
      <c r="G7265" s="164"/>
    </row>
    <row r="7266" spans="1:7" x14ac:dyDescent="0.25">
      <c r="A7266" s="169" t="str">
        <f>E7266&amp;COUNTIFS($E$2:E7266,E7266)</f>
        <v>0</v>
      </c>
      <c r="B7266" s="166"/>
      <c r="C7266" s="168"/>
      <c r="D7266" s="167"/>
      <c r="E7266" s="166"/>
      <c r="F7266" s="165"/>
      <c r="G7266" s="164"/>
    </row>
    <row r="7267" spans="1:7" x14ac:dyDescent="0.25">
      <c r="A7267" s="169" t="str">
        <f>E7267&amp;COUNTIFS($E$2:E7267,E7267)</f>
        <v>0</v>
      </c>
      <c r="B7267" s="166"/>
      <c r="C7267" s="168"/>
      <c r="D7267" s="167"/>
      <c r="E7267" s="166"/>
      <c r="F7267" s="165"/>
      <c r="G7267" s="164"/>
    </row>
    <row r="7268" spans="1:7" ht="15.75" thickBot="1" x14ac:dyDescent="0.3">
      <c r="A7268" s="163" t="str">
        <f>E7268&amp;COUNTIFS($E$2:E7268,E7268)</f>
        <v>0</v>
      </c>
      <c r="B7268" s="160"/>
      <c r="C7268" s="162"/>
      <c r="D7268" s="161"/>
      <c r="E7268" s="160"/>
      <c r="F7268" s="159"/>
      <c r="G7268" s="158"/>
    </row>
    <row r="7269" spans="1:7" x14ac:dyDescent="0.25">
      <c r="A7269" s="148"/>
      <c r="C7269" s="143"/>
      <c r="D7269" s="157"/>
      <c r="E7269" s="143"/>
      <c r="F7269" s="156"/>
      <c r="G7269" s="156"/>
    </row>
    <row r="7270" spans="1:7" x14ac:dyDescent="0.25">
      <c r="A7270" s="148"/>
      <c r="C7270" s="153" t="s">
        <v>623</v>
      </c>
      <c r="D7270" s="152"/>
      <c r="E7270" s="151"/>
      <c r="F7270" s="150">
        <f>SUM(F7244:F7268)</f>
        <v>0</v>
      </c>
      <c r="G7270" s="155">
        <f>SUM(G7244:G7268)</f>
        <v>0</v>
      </c>
    </row>
    <row r="7271" spans="1:7" x14ac:dyDescent="0.25">
      <c r="A7271" s="148"/>
      <c r="C7271" s="145" t="s">
        <v>622</v>
      </c>
      <c r="D7271" s="154"/>
      <c r="E7271" s="145"/>
      <c r="F7271" s="144"/>
      <c r="G7271" s="144"/>
    </row>
    <row r="7272" spans="1:7" x14ac:dyDescent="0.25">
      <c r="A7272" s="148"/>
      <c r="C7272" s="153" t="s">
        <v>621</v>
      </c>
      <c r="D7272" s="152"/>
      <c r="E7272" s="151"/>
      <c r="F7272" s="150">
        <f>F7239</f>
        <v>0</v>
      </c>
      <c r="G7272" s="150">
        <f>G7239</f>
        <v>0</v>
      </c>
    </row>
    <row r="7273" spans="1:7" x14ac:dyDescent="0.25">
      <c r="A7273" s="148"/>
      <c r="C7273" s="153" t="s">
        <v>582</v>
      </c>
      <c r="D7273" s="152"/>
      <c r="E7273" s="151"/>
      <c r="F7273" s="150">
        <f>F7272+F7270</f>
        <v>0</v>
      </c>
      <c r="G7273" s="150">
        <f>G7272+G7270</f>
        <v>0</v>
      </c>
    </row>
    <row r="7274" spans="1:7" ht="15.75" thickBot="1" x14ac:dyDescent="0.3">
      <c r="A7274" s="148"/>
      <c r="C7274" s="145"/>
      <c r="D7274" s="149"/>
      <c r="E7274" s="145"/>
      <c r="F7274" s="144"/>
      <c r="G7274" s="144"/>
    </row>
    <row r="7275" spans="1:7" ht="15.75" thickBot="1" x14ac:dyDescent="0.3">
      <c r="A7275" s="148"/>
      <c r="C7275" s="147" t="s">
        <v>620</v>
      </c>
      <c r="D7275" s="146">
        <f>F7273-G7273</f>
        <v>0</v>
      </c>
      <c r="E7275" s="145"/>
      <c r="F7275" s="144"/>
      <c r="G7275" s="144"/>
    </row>
    <row r="7276" spans="1:7" ht="15.75" thickBot="1" x14ac:dyDescent="0.3"/>
    <row r="7277" spans="1:7" ht="30.75" thickBot="1" x14ac:dyDescent="0.3">
      <c r="A7277" s="181" t="s">
        <v>626</v>
      </c>
      <c r="B7277" s="180" t="s">
        <v>606</v>
      </c>
      <c r="C7277" s="179" t="s">
        <v>625</v>
      </c>
      <c r="D7277" s="178" t="s">
        <v>601</v>
      </c>
      <c r="E7277" s="177" t="s">
        <v>287</v>
      </c>
      <c r="F7277" s="176" t="s">
        <v>624</v>
      </c>
      <c r="G7277" s="176" t="s">
        <v>596</v>
      </c>
    </row>
    <row r="7278" spans="1:7" x14ac:dyDescent="0.25">
      <c r="A7278" s="175" t="str">
        <f>E7278&amp;COUNTIFS($E$2:E7278,E7278)</f>
        <v>0</v>
      </c>
      <c r="B7278" s="172"/>
      <c r="C7278" s="174"/>
      <c r="D7278" s="173"/>
      <c r="E7278" s="172"/>
      <c r="F7278" s="171"/>
      <c r="G7278" s="170"/>
    </row>
    <row r="7279" spans="1:7" x14ac:dyDescent="0.25">
      <c r="A7279" s="169" t="str">
        <f>E7279&amp;COUNTIFS($E$2:E7279,E7279)</f>
        <v>0</v>
      </c>
      <c r="B7279" s="166"/>
      <c r="C7279" s="168"/>
      <c r="D7279" s="167"/>
      <c r="E7279" s="166"/>
      <c r="F7279" s="165"/>
      <c r="G7279" s="164"/>
    </row>
    <row r="7280" spans="1:7" x14ac:dyDescent="0.25">
      <c r="A7280" s="169" t="str">
        <f>E7280&amp;COUNTIFS($E$2:E7280,E7280)</f>
        <v>0</v>
      </c>
      <c r="B7280" s="166"/>
      <c r="C7280" s="168"/>
      <c r="D7280" s="167"/>
      <c r="E7280" s="166"/>
      <c r="F7280" s="165"/>
      <c r="G7280" s="164"/>
    </row>
    <row r="7281" spans="1:7" x14ac:dyDescent="0.25">
      <c r="A7281" s="169" t="str">
        <f>E7281&amp;COUNTIFS($E$2:E7281,E7281)</f>
        <v>0</v>
      </c>
      <c r="B7281" s="166"/>
      <c r="C7281" s="168"/>
      <c r="D7281" s="167"/>
      <c r="E7281" s="166"/>
      <c r="F7281" s="165"/>
      <c r="G7281" s="164"/>
    </row>
    <row r="7282" spans="1:7" x14ac:dyDescent="0.25">
      <c r="A7282" s="169" t="str">
        <f>E7282&amp;COUNTIFS($E$2:E7282,E7282)</f>
        <v>0</v>
      </c>
      <c r="B7282" s="166"/>
      <c r="C7282" s="168"/>
      <c r="D7282" s="167"/>
      <c r="E7282" s="166"/>
      <c r="F7282" s="165"/>
      <c r="G7282" s="164"/>
    </row>
    <row r="7283" spans="1:7" x14ac:dyDescent="0.25">
      <c r="A7283" s="169" t="str">
        <f>E7283&amp;COUNTIFS($E$2:E7283,E7283)</f>
        <v>0</v>
      </c>
      <c r="B7283" s="166"/>
      <c r="C7283" s="168"/>
      <c r="D7283" s="167"/>
      <c r="E7283" s="166"/>
      <c r="F7283" s="165"/>
      <c r="G7283" s="164"/>
    </row>
    <row r="7284" spans="1:7" x14ac:dyDescent="0.25">
      <c r="A7284" s="169" t="str">
        <f>E7284&amp;COUNTIFS($E$2:E7284,E7284)</f>
        <v>0</v>
      </c>
      <c r="B7284" s="166"/>
      <c r="C7284" s="168"/>
      <c r="D7284" s="167"/>
      <c r="E7284" s="166"/>
      <c r="F7284" s="165"/>
      <c r="G7284" s="164"/>
    </row>
    <row r="7285" spans="1:7" x14ac:dyDescent="0.25">
      <c r="A7285" s="169" t="str">
        <f>E7285&amp;COUNTIFS($E$2:E7285,E7285)</f>
        <v>0</v>
      </c>
      <c r="B7285" s="166"/>
      <c r="C7285" s="168"/>
      <c r="D7285" s="167"/>
      <c r="E7285" s="166"/>
      <c r="F7285" s="165"/>
      <c r="G7285" s="164"/>
    </row>
    <row r="7286" spans="1:7" x14ac:dyDescent="0.25">
      <c r="A7286" s="169" t="str">
        <f>E7286&amp;COUNTIFS($E$2:E7286,E7286)</f>
        <v>0</v>
      </c>
      <c r="B7286" s="166"/>
      <c r="C7286" s="168"/>
      <c r="D7286" s="167"/>
      <c r="E7286" s="166"/>
      <c r="F7286" s="165"/>
      <c r="G7286" s="164"/>
    </row>
    <row r="7287" spans="1:7" x14ac:dyDescent="0.25">
      <c r="A7287" s="169" t="str">
        <f>E7287&amp;COUNTIFS($E$2:E7287,E7287)</f>
        <v>0</v>
      </c>
      <c r="B7287" s="166"/>
      <c r="C7287" s="168"/>
      <c r="D7287" s="167"/>
      <c r="E7287" s="166"/>
      <c r="F7287" s="165"/>
      <c r="G7287" s="164"/>
    </row>
    <row r="7288" spans="1:7" x14ac:dyDescent="0.25">
      <c r="A7288" s="169" t="str">
        <f>E7288&amp;COUNTIFS($E$2:E7288,E7288)</f>
        <v>0</v>
      </c>
      <c r="B7288" s="166"/>
      <c r="C7288" s="168"/>
      <c r="D7288" s="167"/>
      <c r="E7288" s="166"/>
      <c r="F7288" s="165"/>
      <c r="G7288" s="164"/>
    </row>
    <row r="7289" spans="1:7" x14ac:dyDescent="0.25">
      <c r="A7289" s="169" t="str">
        <f>E7289&amp;COUNTIFS($E$2:E7289,E7289)</f>
        <v>0</v>
      </c>
      <c r="B7289" s="166"/>
      <c r="C7289" s="168"/>
      <c r="D7289" s="167"/>
      <c r="E7289" s="166"/>
      <c r="F7289" s="165"/>
      <c r="G7289" s="164"/>
    </row>
    <row r="7290" spans="1:7" x14ac:dyDescent="0.25">
      <c r="A7290" s="169" t="str">
        <f>E7290&amp;COUNTIFS($E$2:E7290,E7290)</f>
        <v>0</v>
      </c>
      <c r="B7290" s="166"/>
      <c r="C7290" s="168"/>
      <c r="D7290" s="167"/>
      <c r="E7290" s="166"/>
      <c r="F7290" s="165"/>
      <c r="G7290" s="164"/>
    </row>
    <row r="7291" spans="1:7" x14ac:dyDescent="0.25">
      <c r="A7291" s="169" t="str">
        <f>E7291&amp;COUNTIFS($E$2:E7291,E7291)</f>
        <v>0</v>
      </c>
      <c r="B7291" s="166"/>
      <c r="C7291" s="168"/>
      <c r="D7291" s="167"/>
      <c r="E7291" s="166"/>
      <c r="F7291" s="165"/>
      <c r="G7291" s="164"/>
    </row>
    <row r="7292" spans="1:7" x14ac:dyDescent="0.25">
      <c r="A7292" s="169" t="str">
        <f>E7292&amp;COUNTIFS($E$2:E7292,E7292)</f>
        <v>0</v>
      </c>
      <c r="B7292" s="166"/>
      <c r="C7292" s="168"/>
      <c r="D7292" s="167"/>
      <c r="E7292" s="166"/>
      <c r="F7292" s="165"/>
      <c r="G7292" s="164"/>
    </row>
    <row r="7293" spans="1:7" x14ac:dyDescent="0.25">
      <c r="A7293" s="169" t="str">
        <f>E7293&amp;COUNTIFS($E$2:E7293,E7293)</f>
        <v>0</v>
      </c>
      <c r="B7293" s="166"/>
      <c r="C7293" s="168"/>
      <c r="D7293" s="167"/>
      <c r="E7293" s="166"/>
      <c r="F7293" s="165"/>
      <c r="G7293" s="164"/>
    </row>
    <row r="7294" spans="1:7" x14ac:dyDescent="0.25">
      <c r="A7294" s="169" t="str">
        <f>E7294&amp;COUNTIFS($E$2:E7294,E7294)</f>
        <v>0</v>
      </c>
      <c r="B7294" s="166"/>
      <c r="C7294" s="168"/>
      <c r="D7294" s="167"/>
      <c r="E7294" s="166"/>
      <c r="F7294" s="165"/>
      <c r="G7294" s="164"/>
    </row>
    <row r="7295" spans="1:7" x14ac:dyDescent="0.25">
      <c r="A7295" s="169" t="str">
        <f>E7295&amp;COUNTIFS($E$2:E7295,E7295)</f>
        <v>0</v>
      </c>
      <c r="B7295" s="166"/>
      <c r="C7295" s="168"/>
      <c r="D7295" s="167"/>
      <c r="E7295" s="166"/>
      <c r="F7295" s="165"/>
      <c r="G7295" s="164"/>
    </row>
    <row r="7296" spans="1:7" x14ac:dyDescent="0.25">
      <c r="A7296" s="169" t="str">
        <f>E7296&amp;COUNTIFS($E$2:E7296,E7296)</f>
        <v>0</v>
      </c>
      <c r="B7296" s="166"/>
      <c r="C7296" s="168"/>
      <c r="D7296" s="167"/>
      <c r="E7296" s="166"/>
      <c r="F7296" s="165"/>
      <c r="G7296" s="164"/>
    </row>
    <row r="7297" spans="1:7" x14ac:dyDescent="0.25">
      <c r="A7297" s="169" t="str">
        <f>E7297&amp;COUNTIFS($E$2:E7297,E7297)</f>
        <v>0</v>
      </c>
      <c r="B7297" s="166"/>
      <c r="C7297" s="168"/>
      <c r="D7297" s="167"/>
      <c r="E7297" s="166"/>
      <c r="F7297" s="165"/>
      <c r="G7297" s="164"/>
    </row>
    <row r="7298" spans="1:7" x14ac:dyDescent="0.25">
      <c r="A7298" s="169" t="str">
        <f>E7298&amp;COUNTIFS($E$2:E7298,E7298)</f>
        <v>0</v>
      </c>
      <c r="B7298" s="166"/>
      <c r="C7298" s="168"/>
      <c r="D7298" s="167"/>
      <c r="E7298" s="166"/>
      <c r="F7298" s="165"/>
      <c r="G7298" s="164"/>
    </row>
    <row r="7299" spans="1:7" x14ac:dyDescent="0.25">
      <c r="A7299" s="169" t="str">
        <f>E7299&amp;COUNTIFS($E$2:E7299,E7299)</f>
        <v>0</v>
      </c>
      <c r="B7299" s="166"/>
      <c r="C7299" s="168"/>
      <c r="D7299" s="167"/>
      <c r="E7299" s="166"/>
      <c r="F7299" s="165"/>
      <c r="G7299" s="164"/>
    </row>
    <row r="7300" spans="1:7" x14ac:dyDescent="0.25">
      <c r="A7300" s="169" t="str">
        <f>E7300&amp;COUNTIFS($E$2:E7300,E7300)</f>
        <v>0</v>
      </c>
      <c r="B7300" s="166"/>
      <c r="C7300" s="168"/>
      <c r="D7300" s="167"/>
      <c r="E7300" s="166"/>
      <c r="F7300" s="165"/>
      <c r="G7300" s="164"/>
    </row>
    <row r="7301" spans="1:7" x14ac:dyDescent="0.25">
      <c r="A7301" s="169" t="str">
        <f>E7301&amp;COUNTIFS($E$2:E7301,E7301)</f>
        <v>0</v>
      </c>
      <c r="B7301" s="166"/>
      <c r="C7301" s="168"/>
      <c r="D7301" s="167"/>
      <c r="E7301" s="166"/>
      <c r="F7301" s="165"/>
      <c r="G7301" s="164"/>
    </row>
    <row r="7302" spans="1:7" ht="15.75" thickBot="1" x14ac:dyDescent="0.3">
      <c r="A7302" s="163" t="str">
        <f>E7302&amp;COUNTIFS($E$2:E7302,E7302)</f>
        <v>0</v>
      </c>
      <c r="B7302" s="160"/>
      <c r="C7302" s="162"/>
      <c r="D7302" s="161"/>
      <c r="E7302" s="160"/>
      <c r="F7302" s="159"/>
      <c r="G7302" s="158"/>
    </row>
    <row r="7303" spans="1:7" x14ac:dyDescent="0.25">
      <c r="A7303" s="148"/>
      <c r="C7303" s="143"/>
      <c r="D7303" s="157"/>
      <c r="E7303" s="143"/>
      <c r="F7303" s="156"/>
      <c r="G7303" s="156"/>
    </row>
    <row r="7304" spans="1:7" x14ac:dyDescent="0.25">
      <c r="A7304" s="148"/>
      <c r="C7304" s="153" t="s">
        <v>623</v>
      </c>
      <c r="D7304" s="152"/>
      <c r="E7304" s="151"/>
      <c r="F7304" s="150">
        <f>SUM(F7278:F7302)</f>
        <v>0</v>
      </c>
      <c r="G7304" s="155">
        <f>SUM(G7278:G7302)</f>
        <v>0</v>
      </c>
    </row>
    <row r="7305" spans="1:7" x14ac:dyDescent="0.25">
      <c r="A7305" s="148"/>
      <c r="C7305" s="145" t="s">
        <v>622</v>
      </c>
      <c r="D7305" s="154"/>
      <c r="E7305" s="145"/>
      <c r="F7305" s="144"/>
      <c r="G7305" s="144"/>
    </row>
    <row r="7306" spans="1:7" x14ac:dyDescent="0.25">
      <c r="A7306" s="148"/>
      <c r="C7306" s="153" t="s">
        <v>621</v>
      </c>
      <c r="D7306" s="152"/>
      <c r="E7306" s="151"/>
      <c r="F7306" s="150">
        <f>F7273</f>
        <v>0</v>
      </c>
      <c r="G7306" s="150">
        <f>G7273</f>
        <v>0</v>
      </c>
    </row>
    <row r="7307" spans="1:7" x14ac:dyDescent="0.25">
      <c r="A7307" s="148"/>
      <c r="C7307" s="153" t="s">
        <v>582</v>
      </c>
      <c r="D7307" s="152"/>
      <c r="E7307" s="151"/>
      <c r="F7307" s="150">
        <f>F7306+F7304</f>
        <v>0</v>
      </c>
      <c r="G7307" s="150">
        <f>G7306+G7304</f>
        <v>0</v>
      </c>
    </row>
    <row r="7308" spans="1:7" ht="15.75" thickBot="1" x14ac:dyDescent="0.3">
      <c r="A7308" s="148"/>
      <c r="C7308" s="145"/>
      <c r="D7308" s="149"/>
      <c r="E7308" s="145"/>
      <c r="F7308" s="144"/>
      <c r="G7308" s="144"/>
    </row>
    <row r="7309" spans="1:7" ht="15.75" thickBot="1" x14ac:dyDescent="0.3">
      <c r="A7309" s="148"/>
      <c r="C7309" s="147" t="s">
        <v>620</v>
      </c>
      <c r="D7309" s="146">
        <f>F7307-G7307</f>
        <v>0</v>
      </c>
      <c r="E7309" s="145"/>
      <c r="F7309" s="144"/>
      <c r="G7309" s="144"/>
    </row>
    <row r="7310" spans="1:7" ht="15.75" thickBot="1" x14ac:dyDescent="0.3"/>
    <row r="7311" spans="1:7" ht="30.75" thickBot="1" x14ac:dyDescent="0.3">
      <c r="A7311" s="181" t="s">
        <v>626</v>
      </c>
      <c r="B7311" s="180" t="s">
        <v>606</v>
      </c>
      <c r="C7311" s="179" t="s">
        <v>625</v>
      </c>
      <c r="D7311" s="178" t="s">
        <v>601</v>
      </c>
      <c r="E7311" s="177" t="s">
        <v>287</v>
      </c>
      <c r="F7311" s="176" t="s">
        <v>624</v>
      </c>
      <c r="G7311" s="176" t="s">
        <v>596</v>
      </c>
    </row>
    <row r="7312" spans="1:7" x14ac:dyDescent="0.25">
      <c r="A7312" s="175" t="str">
        <f>E7312&amp;COUNTIFS($E$2:E7312,E7312)</f>
        <v>0</v>
      </c>
      <c r="B7312" s="172"/>
      <c r="C7312" s="174"/>
      <c r="D7312" s="173"/>
      <c r="E7312" s="172"/>
      <c r="F7312" s="171"/>
      <c r="G7312" s="170"/>
    </row>
    <row r="7313" spans="1:7" x14ac:dyDescent="0.25">
      <c r="A7313" s="169" t="str">
        <f>E7313&amp;COUNTIFS($E$2:E7313,E7313)</f>
        <v>0</v>
      </c>
      <c r="B7313" s="166"/>
      <c r="C7313" s="168"/>
      <c r="D7313" s="167"/>
      <c r="E7313" s="166"/>
      <c r="F7313" s="165"/>
      <c r="G7313" s="164"/>
    </row>
    <row r="7314" spans="1:7" x14ac:dyDescent="0.25">
      <c r="A7314" s="169" t="str">
        <f>E7314&amp;COUNTIFS($E$2:E7314,E7314)</f>
        <v>0</v>
      </c>
      <c r="B7314" s="166"/>
      <c r="C7314" s="168"/>
      <c r="D7314" s="167"/>
      <c r="E7314" s="166"/>
      <c r="F7314" s="165"/>
      <c r="G7314" s="164"/>
    </row>
    <row r="7315" spans="1:7" x14ac:dyDescent="0.25">
      <c r="A7315" s="169" t="str">
        <f>E7315&amp;COUNTIFS($E$2:E7315,E7315)</f>
        <v>0</v>
      </c>
      <c r="B7315" s="166"/>
      <c r="C7315" s="168"/>
      <c r="D7315" s="167"/>
      <c r="E7315" s="166"/>
      <c r="F7315" s="165"/>
      <c r="G7315" s="164"/>
    </row>
    <row r="7316" spans="1:7" x14ac:dyDescent="0.25">
      <c r="A7316" s="169" t="str">
        <f>E7316&amp;COUNTIFS($E$2:E7316,E7316)</f>
        <v>0</v>
      </c>
      <c r="B7316" s="166"/>
      <c r="C7316" s="168"/>
      <c r="D7316" s="167"/>
      <c r="E7316" s="166"/>
      <c r="F7316" s="165"/>
      <c r="G7316" s="164"/>
    </row>
    <row r="7317" spans="1:7" x14ac:dyDescent="0.25">
      <c r="A7317" s="169" t="str">
        <f>E7317&amp;COUNTIFS($E$2:E7317,E7317)</f>
        <v>0</v>
      </c>
      <c r="B7317" s="166"/>
      <c r="C7317" s="168"/>
      <c r="D7317" s="167"/>
      <c r="E7317" s="166"/>
      <c r="F7317" s="165"/>
      <c r="G7317" s="164"/>
    </row>
    <row r="7318" spans="1:7" x14ac:dyDescent="0.25">
      <c r="A7318" s="169" t="str">
        <f>E7318&amp;COUNTIFS($E$2:E7318,E7318)</f>
        <v>0</v>
      </c>
      <c r="B7318" s="166"/>
      <c r="C7318" s="168"/>
      <c r="D7318" s="167"/>
      <c r="E7318" s="166"/>
      <c r="F7318" s="165"/>
      <c r="G7318" s="164"/>
    </row>
    <row r="7319" spans="1:7" x14ac:dyDescent="0.25">
      <c r="A7319" s="169" t="str">
        <f>E7319&amp;COUNTIFS($E$2:E7319,E7319)</f>
        <v>0</v>
      </c>
      <c r="B7319" s="166"/>
      <c r="C7319" s="168"/>
      <c r="D7319" s="167"/>
      <c r="E7319" s="166"/>
      <c r="F7319" s="165"/>
      <c r="G7319" s="164"/>
    </row>
    <row r="7320" spans="1:7" x14ac:dyDescent="0.25">
      <c r="A7320" s="169" t="str">
        <f>E7320&amp;COUNTIFS($E$2:E7320,E7320)</f>
        <v>0</v>
      </c>
      <c r="B7320" s="166"/>
      <c r="C7320" s="168"/>
      <c r="D7320" s="167"/>
      <c r="E7320" s="166"/>
      <c r="F7320" s="165"/>
      <c r="G7320" s="164"/>
    </row>
    <row r="7321" spans="1:7" x14ac:dyDescent="0.25">
      <c r="A7321" s="169" t="str">
        <f>E7321&amp;COUNTIFS($E$2:E7321,E7321)</f>
        <v>0</v>
      </c>
      <c r="B7321" s="166"/>
      <c r="C7321" s="168"/>
      <c r="D7321" s="167"/>
      <c r="E7321" s="166"/>
      <c r="F7321" s="165"/>
      <c r="G7321" s="164"/>
    </row>
    <row r="7322" spans="1:7" x14ac:dyDescent="0.25">
      <c r="A7322" s="169" t="str">
        <f>E7322&amp;COUNTIFS($E$2:E7322,E7322)</f>
        <v>0</v>
      </c>
      <c r="B7322" s="166"/>
      <c r="C7322" s="168"/>
      <c r="D7322" s="167"/>
      <c r="E7322" s="166"/>
      <c r="F7322" s="165"/>
      <c r="G7322" s="164"/>
    </row>
    <row r="7323" spans="1:7" x14ac:dyDescent="0.25">
      <c r="A7323" s="169" t="str">
        <f>E7323&amp;COUNTIFS($E$2:E7323,E7323)</f>
        <v>0</v>
      </c>
      <c r="B7323" s="166"/>
      <c r="C7323" s="168"/>
      <c r="D7323" s="167"/>
      <c r="E7323" s="166"/>
      <c r="F7323" s="165"/>
      <c r="G7323" s="164"/>
    </row>
    <row r="7324" spans="1:7" x14ac:dyDescent="0.25">
      <c r="A7324" s="169" t="str">
        <f>E7324&amp;COUNTIFS($E$2:E7324,E7324)</f>
        <v>0</v>
      </c>
      <c r="B7324" s="166"/>
      <c r="C7324" s="168"/>
      <c r="D7324" s="167"/>
      <c r="E7324" s="166"/>
      <c r="F7324" s="165"/>
      <c r="G7324" s="164"/>
    </row>
    <row r="7325" spans="1:7" x14ac:dyDescent="0.25">
      <c r="A7325" s="169" t="str">
        <f>E7325&amp;COUNTIFS($E$2:E7325,E7325)</f>
        <v>0</v>
      </c>
      <c r="B7325" s="166"/>
      <c r="C7325" s="168"/>
      <c r="D7325" s="167"/>
      <c r="E7325" s="166"/>
      <c r="F7325" s="165"/>
      <c r="G7325" s="164"/>
    </row>
    <row r="7326" spans="1:7" x14ac:dyDescent="0.25">
      <c r="A7326" s="169" t="str">
        <f>E7326&amp;COUNTIFS($E$2:E7326,E7326)</f>
        <v>0</v>
      </c>
      <c r="B7326" s="166"/>
      <c r="C7326" s="168"/>
      <c r="D7326" s="167"/>
      <c r="E7326" s="166"/>
      <c r="F7326" s="165"/>
      <c r="G7326" s="164"/>
    </row>
    <row r="7327" spans="1:7" x14ac:dyDescent="0.25">
      <c r="A7327" s="169" t="str">
        <f>E7327&amp;COUNTIFS($E$2:E7327,E7327)</f>
        <v>0</v>
      </c>
      <c r="B7327" s="166"/>
      <c r="C7327" s="168"/>
      <c r="D7327" s="167"/>
      <c r="E7327" s="166"/>
      <c r="F7327" s="165"/>
      <c r="G7327" s="164"/>
    </row>
    <row r="7328" spans="1:7" x14ac:dyDescent="0.25">
      <c r="A7328" s="169" t="str">
        <f>E7328&amp;COUNTIFS($E$2:E7328,E7328)</f>
        <v>0</v>
      </c>
      <c r="B7328" s="166"/>
      <c r="C7328" s="168"/>
      <c r="D7328" s="167"/>
      <c r="E7328" s="166"/>
      <c r="F7328" s="165"/>
      <c r="G7328" s="164"/>
    </row>
    <row r="7329" spans="1:7" x14ac:dyDescent="0.25">
      <c r="A7329" s="169" t="str">
        <f>E7329&amp;COUNTIFS($E$2:E7329,E7329)</f>
        <v>0</v>
      </c>
      <c r="B7329" s="166"/>
      <c r="C7329" s="168"/>
      <c r="D7329" s="167"/>
      <c r="E7329" s="166"/>
      <c r="F7329" s="165"/>
      <c r="G7329" s="164"/>
    </row>
    <row r="7330" spans="1:7" x14ac:dyDescent="0.25">
      <c r="A7330" s="169" t="str">
        <f>E7330&amp;COUNTIFS($E$2:E7330,E7330)</f>
        <v>0</v>
      </c>
      <c r="B7330" s="166"/>
      <c r="C7330" s="168"/>
      <c r="D7330" s="167"/>
      <c r="E7330" s="166"/>
      <c r="F7330" s="165"/>
      <c r="G7330" s="164"/>
    </row>
    <row r="7331" spans="1:7" x14ac:dyDescent="0.25">
      <c r="A7331" s="169" t="str">
        <f>E7331&amp;COUNTIFS($E$2:E7331,E7331)</f>
        <v>0</v>
      </c>
      <c r="B7331" s="166"/>
      <c r="C7331" s="168"/>
      <c r="D7331" s="167"/>
      <c r="E7331" s="166"/>
      <c r="F7331" s="165"/>
      <c r="G7331" s="164"/>
    </row>
    <row r="7332" spans="1:7" x14ac:dyDescent="0.25">
      <c r="A7332" s="169" t="str">
        <f>E7332&amp;COUNTIFS($E$2:E7332,E7332)</f>
        <v>0</v>
      </c>
      <c r="B7332" s="166"/>
      <c r="C7332" s="168"/>
      <c r="D7332" s="167"/>
      <c r="E7332" s="166"/>
      <c r="F7332" s="165"/>
      <c r="G7332" s="164"/>
    </row>
    <row r="7333" spans="1:7" x14ac:dyDescent="0.25">
      <c r="A7333" s="169" t="str">
        <f>E7333&amp;COUNTIFS($E$2:E7333,E7333)</f>
        <v>0</v>
      </c>
      <c r="B7333" s="166"/>
      <c r="C7333" s="168"/>
      <c r="D7333" s="167"/>
      <c r="E7333" s="166"/>
      <c r="F7333" s="165"/>
      <c r="G7333" s="164"/>
    </row>
    <row r="7334" spans="1:7" x14ac:dyDescent="0.25">
      <c r="A7334" s="169" t="str">
        <f>E7334&amp;COUNTIFS($E$2:E7334,E7334)</f>
        <v>0</v>
      </c>
      <c r="B7334" s="166"/>
      <c r="C7334" s="168"/>
      <c r="D7334" s="167"/>
      <c r="E7334" s="166"/>
      <c r="F7334" s="165"/>
      <c r="G7334" s="164"/>
    </row>
    <row r="7335" spans="1:7" x14ac:dyDescent="0.25">
      <c r="A7335" s="169" t="str">
        <f>E7335&amp;COUNTIFS($E$2:E7335,E7335)</f>
        <v>0</v>
      </c>
      <c r="B7335" s="166"/>
      <c r="C7335" s="168"/>
      <c r="D7335" s="167"/>
      <c r="E7335" s="166"/>
      <c r="F7335" s="165"/>
      <c r="G7335" s="164"/>
    </row>
    <row r="7336" spans="1:7" ht="15.75" thickBot="1" x14ac:dyDescent="0.3">
      <c r="A7336" s="163" t="str">
        <f>E7336&amp;COUNTIFS($E$2:E7336,E7336)</f>
        <v>0</v>
      </c>
      <c r="B7336" s="160"/>
      <c r="C7336" s="162"/>
      <c r="D7336" s="161"/>
      <c r="E7336" s="160"/>
      <c r="F7336" s="159"/>
      <c r="G7336" s="158"/>
    </row>
    <row r="7337" spans="1:7" x14ac:dyDescent="0.25">
      <c r="A7337" s="148"/>
      <c r="C7337" s="143"/>
      <c r="D7337" s="157"/>
      <c r="E7337" s="143"/>
      <c r="F7337" s="156"/>
      <c r="G7337" s="156"/>
    </row>
    <row r="7338" spans="1:7" x14ac:dyDescent="0.25">
      <c r="A7338" s="148"/>
      <c r="C7338" s="153" t="s">
        <v>623</v>
      </c>
      <c r="D7338" s="152"/>
      <c r="E7338" s="151"/>
      <c r="F7338" s="150">
        <f>SUM(F7312:F7336)</f>
        <v>0</v>
      </c>
      <c r="G7338" s="155">
        <f>SUM(G7312:G7336)</f>
        <v>0</v>
      </c>
    </row>
    <row r="7339" spans="1:7" x14ac:dyDescent="0.25">
      <c r="A7339" s="148"/>
      <c r="C7339" s="145" t="s">
        <v>622</v>
      </c>
      <c r="D7339" s="154"/>
      <c r="E7339" s="145"/>
      <c r="F7339" s="144"/>
      <c r="G7339" s="144"/>
    </row>
    <row r="7340" spans="1:7" x14ac:dyDescent="0.25">
      <c r="A7340" s="148"/>
      <c r="C7340" s="153" t="s">
        <v>621</v>
      </c>
      <c r="D7340" s="152"/>
      <c r="E7340" s="151"/>
      <c r="F7340" s="150">
        <f>F7307</f>
        <v>0</v>
      </c>
      <c r="G7340" s="150">
        <f>G7307</f>
        <v>0</v>
      </c>
    </row>
    <row r="7341" spans="1:7" x14ac:dyDescent="0.25">
      <c r="A7341" s="148"/>
      <c r="C7341" s="153" t="s">
        <v>582</v>
      </c>
      <c r="D7341" s="152"/>
      <c r="E7341" s="151"/>
      <c r="F7341" s="150">
        <f>F7340+F7338</f>
        <v>0</v>
      </c>
      <c r="G7341" s="150">
        <f>G7340+G7338</f>
        <v>0</v>
      </c>
    </row>
    <row r="7342" spans="1:7" ht="15.75" thickBot="1" x14ac:dyDescent="0.3">
      <c r="A7342" s="148"/>
      <c r="C7342" s="145"/>
      <c r="D7342" s="149"/>
      <c r="E7342" s="145"/>
      <c r="F7342" s="144"/>
      <c r="G7342" s="144"/>
    </row>
    <row r="7343" spans="1:7" ht="15.75" thickBot="1" x14ac:dyDescent="0.3">
      <c r="A7343" s="148"/>
      <c r="C7343" s="147" t="s">
        <v>620</v>
      </c>
      <c r="D7343" s="146">
        <f>F7341-G7341</f>
        <v>0</v>
      </c>
      <c r="E7343" s="145"/>
      <c r="F7343" s="144"/>
      <c r="G7343" s="144"/>
    </row>
    <row r="7344" spans="1:7" ht="15.75" thickBot="1" x14ac:dyDescent="0.3"/>
    <row r="7345" spans="1:7" ht="30.75" thickBot="1" x14ac:dyDescent="0.3">
      <c r="A7345" s="181" t="s">
        <v>626</v>
      </c>
      <c r="B7345" s="180" t="s">
        <v>606</v>
      </c>
      <c r="C7345" s="179" t="s">
        <v>625</v>
      </c>
      <c r="D7345" s="178" t="s">
        <v>601</v>
      </c>
      <c r="E7345" s="177" t="s">
        <v>287</v>
      </c>
      <c r="F7345" s="176" t="s">
        <v>624</v>
      </c>
      <c r="G7345" s="176" t="s">
        <v>596</v>
      </c>
    </row>
    <row r="7346" spans="1:7" x14ac:dyDescent="0.25">
      <c r="A7346" s="175" t="str">
        <f>E7346&amp;COUNTIFS($E$2:E7346,E7346)</f>
        <v>0</v>
      </c>
      <c r="B7346" s="172"/>
      <c r="C7346" s="174"/>
      <c r="D7346" s="173"/>
      <c r="E7346" s="172"/>
      <c r="F7346" s="171"/>
      <c r="G7346" s="170"/>
    </row>
    <row r="7347" spans="1:7" x14ac:dyDescent="0.25">
      <c r="A7347" s="169" t="str">
        <f>E7347&amp;COUNTIFS($E$2:E7347,E7347)</f>
        <v>0</v>
      </c>
      <c r="B7347" s="166"/>
      <c r="C7347" s="168"/>
      <c r="D7347" s="167"/>
      <c r="E7347" s="166"/>
      <c r="F7347" s="165"/>
      <c r="G7347" s="164"/>
    </row>
    <row r="7348" spans="1:7" x14ac:dyDescent="0.25">
      <c r="A7348" s="169" t="str">
        <f>E7348&amp;COUNTIFS($E$2:E7348,E7348)</f>
        <v>0</v>
      </c>
      <c r="B7348" s="166"/>
      <c r="C7348" s="168"/>
      <c r="D7348" s="167"/>
      <c r="E7348" s="166"/>
      <c r="F7348" s="165"/>
      <c r="G7348" s="164"/>
    </row>
    <row r="7349" spans="1:7" x14ac:dyDescent="0.25">
      <c r="A7349" s="169" t="str">
        <f>E7349&amp;COUNTIFS($E$2:E7349,E7349)</f>
        <v>0</v>
      </c>
      <c r="B7349" s="166"/>
      <c r="C7349" s="168"/>
      <c r="D7349" s="167"/>
      <c r="E7349" s="166"/>
      <c r="F7349" s="165"/>
      <c r="G7349" s="164"/>
    </row>
    <row r="7350" spans="1:7" x14ac:dyDescent="0.25">
      <c r="A7350" s="169" t="str">
        <f>E7350&amp;COUNTIFS($E$2:E7350,E7350)</f>
        <v>0</v>
      </c>
      <c r="B7350" s="166"/>
      <c r="C7350" s="168"/>
      <c r="D7350" s="167"/>
      <c r="E7350" s="166"/>
      <c r="F7350" s="165"/>
      <c r="G7350" s="164"/>
    </row>
    <row r="7351" spans="1:7" x14ac:dyDescent="0.25">
      <c r="A7351" s="169" t="str">
        <f>E7351&amp;COUNTIFS($E$2:E7351,E7351)</f>
        <v>0</v>
      </c>
      <c r="B7351" s="166"/>
      <c r="C7351" s="168"/>
      <c r="D7351" s="167"/>
      <c r="E7351" s="166"/>
      <c r="F7351" s="165"/>
      <c r="G7351" s="164"/>
    </row>
    <row r="7352" spans="1:7" x14ac:dyDescent="0.25">
      <c r="A7352" s="169" t="str">
        <f>E7352&amp;COUNTIFS($E$2:E7352,E7352)</f>
        <v>0</v>
      </c>
      <c r="B7352" s="166"/>
      <c r="C7352" s="168"/>
      <c r="D7352" s="167"/>
      <c r="E7352" s="166"/>
      <c r="F7352" s="165"/>
      <c r="G7352" s="164"/>
    </row>
    <row r="7353" spans="1:7" x14ac:dyDescent="0.25">
      <c r="A7353" s="169" t="str">
        <f>E7353&amp;COUNTIFS($E$2:E7353,E7353)</f>
        <v>0</v>
      </c>
      <c r="B7353" s="166"/>
      <c r="C7353" s="168"/>
      <c r="D7353" s="167"/>
      <c r="E7353" s="166"/>
      <c r="F7353" s="165"/>
      <c r="G7353" s="164"/>
    </row>
    <row r="7354" spans="1:7" x14ac:dyDescent="0.25">
      <c r="A7354" s="169" t="str">
        <f>E7354&amp;COUNTIFS($E$2:E7354,E7354)</f>
        <v>0</v>
      </c>
      <c r="B7354" s="166"/>
      <c r="C7354" s="168"/>
      <c r="D7354" s="167"/>
      <c r="E7354" s="166"/>
      <c r="F7354" s="165"/>
      <c r="G7354" s="164"/>
    </row>
    <row r="7355" spans="1:7" x14ac:dyDescent="0.25">
      <c r="A7355" s="169" t="str">
        <f>E7355&amp;COUNTIFS($E$2:E7355,E7355)</f>
        <v>0</v>
      </c>
      <c r="B7355" s="166"/>
      <c r="C7355" s="168"/>
      <c r="D7355" s="167"/>
      <c r="E7355" s="166"/>
      <c r="F7355" s="165"/>
      <c r="G7355" s="164"/>
    </row>
    <row r="7356" spans="1:7" x14ac:dyDescent="0.25">
      <c r="A7356" s="169" t="str">
        <f>E7356&amp;COUNTIFS($E$2:E7356,E7356)</f>
        <v>0</v>
      </c>
      <c r="B7356" s="166"/>
      <c r="C7356" s="168"/>
      <c r="D7356" s="167"/>
      <c r="E7356" s="166"/>
      <c r="F7356" s="165"/>
      <c r="G7356" s="164"/>
    </row>
    <row r="7357" spans="1:7" x14ac:dyDescent="0.25">
      <c r="A7357" s="169" t="str">
        <f>E7357&amp;COUNTIFS($E$2:E7357,E7357)</f>
        <v>0</v>
      </c>
      <c r="B7357" s="166"/>
      <c r="C7357" s="168"/>
      <c r="D7357" s="167"/>
      <c r="E7357" s="166"/>
      <c r="F7357" s="165"/>
      <c r="G7357" s="164"/>
    </row>
    <row r="7358" spans="1:7" x14ac:dyDescent="0.25">
      <c r="A7358" s="169" t="str">
        <f>E7358&amp;COUNTIFS($E$2:E7358,E7358)</f>
        <v>0</v>
      </c>
      <c r="B7358" s="166"/>
      <c r="C7358" s="168"/>
      <c r="D7358" s="167"/>
      <c r="E7358" s="166"/>
      <c r="F7358" s="165"/>
      <c r="G7358" s="164"/>
    </row>
    <row r="7359" spans="1:7" x14ac:dyDescent="0.25">
      <c r="A7359" s="169" t="str">
        <f>E7359&amp;COUNTIFS($E$2:E7359,E7359)</f>
        <v>0</v>
      </c>
      <c r="B7359" s="166"/>
      <c r="C7359" s="168"/>
      <c r="D7359" s="167"/>
      <c r="E7359" s="166"/>
      <c r="F7359" s="165"/>
      <c r="G7359" s="164"/>
    </row>
    <row r="7360" spans="1:7" x14ac:dyDescent="0.25">
      <c r="A7360" s="169" t="str">
        <f>E7360&amp;COUNTIFS($E$2:E7360,E7360)</f>
        <v>0</v>
      </c>
      <c r="B7360" s="166"/>
      <c r="C7360" s="168"/>
      <c r="D7360" s="167"/>
      <c r="E7360" s="166"/>
      <c r="F7360" s="165"/>
      <c r="G7360" s="164"/>
    </row>
    <row r="7361" spans="1:7" x14ac:dyDescent="0.25">
      <c r="A7361" s="169" t="str">
        <f>E7361&amp;COUNTIFS($E$2:E7361,E7361)</f>
        <v>0</v>
      </c>
      <c r="B7361" s="166"/>
      <c r="C7361" s="168"/>
      <c r="D7361" s="167"/>
      <c r="E7361" s="166"/>
      <c r="F7361" s="165"/>
      <c r="G7361" s="164"/>
    </row>
    <row r="7362" spans="1:7" x14ac:dyDescent="0.25">
      <c r="A7362" s="169" t="str">
        <f>E7362&amp;COUNTIFS($E$2:E7362,E7362)</f>
        <v>0</v>
      </c>
      <c r="B7362" s="166"/>
      <c r="C7362" s="168"/>
      <c r="D7362" s="167"/>
      <c r="E7362" s="166"/>
      <c r="F7362" s="165"/>
      <c r="G7362" s="164"/>
    </row>
    <row r="7363" spans="1:7" x14ac:dyDescent="0.25">
      <c r="A7363" s="169" t="str">
        <f>E7363&amp;COUNTIFS($E$2:E7363,E7363)</f>
        <v>0</v>
      </c>
      <c r="B7363" s="166"/>
      <c r="C7363" s="168"/>
      <c r="D7363" s="167"/>
      <c r="E7363" s="166"/>
      <c r="F7363" s="165"/>
      <c r="G7363" s="164"/>
    </row>
    <row r="7364" spans="1:7" x14ac:dyDescent="0.25">
      <c r="A7364" s="169" t="str">
        <f>E7364&amp;COUNTIFS($E$2:E7364,E7364)</f>
        <v>0</v>
      </c>
      <c r="B7364" s="166"/>
      <c r="C7364" s="168"/>
      <c r="D7364" s="167"/>
      <c r="E7364" s="166"/>
      <c r="F7364" s="165"/>
      <c r="G7364" s="164"/>
    </row>
    <row r="7365" spans="1:7" x14ac:dyDescent="0.25">
      <c r="A7365" s="169" t="str">
        <f>E7365&amp;COUNTIFS($E$2:E7365,E7365)</f>
        <v>0</v>
      </c>
      <c r="B7365" s="166"/>
      <c r="C7365" s="168"/>
      <c r="D7365" s="167"/>
      <c r="E7365" s="166"/>
      <c r="F7365" s="165"/>
      <c r="G7365" s="164"/>
    </row>
    <row r="7366" spans="1:7" x14ac:dyDescent="0.25">
      <c r="A7366" s="169" t="str">
        <f>E7366&amp;COUNTIFS($E$2:E7366,E7366)</f>
        <v>0</v>
      </c>
      <c r="B7366" s="166"/>
      <c r="C7366" s="168"/>
      <c r="D7366" s="167"/>
      <c r="E7366" s="166"/>
      <c r="F7366" s="165"/>
      <c r="G7366" s="164"/>
    </row>
    <row r="7367" spans="1:7" x14ac:dyDescent="0.25">
      <c r="A7367" s="169" t="str">
        <f>E7367&amp;COUNTIFS($E$2:E7367,E7367)</f>
        <v>0</v>
      </c>
      <c r="B7367" s="166"/>
      <c r="C7367" s="168"/>
      <c r="D7367" s="167"/>
      <c r="E7367" s="166"/>
      <c r="F7367" s="165"/>
      <c r="G7367" s="164"/>
    </row>
    <row r="7368" spans="1:7" x14ac:dyDescent="0.25">
      <c r="A7368" s="169" t="str">
        <f>E7368&amp;COUNTIFS($E$2:E7368,E7368)</f>
        <v>0</v>
      </c>
      <c r="B7368" s="166"/>
      <c r="C7368" s="168"/>
      <c r="D7368" s="167"/>
      <c r="E7368" s="166"/>
      <c r="F7368" s="165"/>
      <c r="G7368" s="164"/>
    </row>
    <row r="7369" spans="1:7" x14ac:dyDescent="0.25">
      <c r="A7369" s="169" t="str">
        <f>E7369&amp;COUNTIFS($E$2:E7369,E7369)</f>
        <v>0</v>
      </c>
      <c r="B7369" s="166"/>
      <c r="C7369" s="168"/>
      <c r="D7369" s="167"/>
      <c r="E7369" s="166"/>
      <c r="F7369" s="165"/>
      <c r="G7369" s="164"/>
    </row>
    <row r="7370" spans="1:7" ht="15.75" thickBot="1" x14ac:dyDescent="0.3">
      <c r="A7370" s="163" t="str">
        <f>E7370&amp;COUNTIFS($E$2:E7370,E7370)</f>
        <v>0</v>
      </c>
      <c r="B7370" s="160"/>
      <c r="C7370" s="162"/>
      <c r="D7370" s="161"/>
      <c r="E7370" s="160"/>
      <c r="F7370" s="159"/>
      <c r="G7370" s="158"/>
    </row>
    <row r="7371" spans="1:7" x14ac:dyDescent="0.25">
      <c r="A7371" s="148"/>
      <c r="C7371" s="143"/>
      <c r="D7371" s="157"/>
      <c r="E7371" s="143"/>
      <c r="F7371" s="156"/>
      <c r="G7371" s="156"/>
    </row>
    <row r="7372" spans="1:7" x14ac:dyDescent="0.25">
      <c r="A7372" s="148"/>
      <c r="C7372" s="153" t="s">
        <v>623</v>
      </c>
      <c r="D7372" s="152"/>
      <c r="E7372" s="151"/>
      <c r="F7372" s="150">
        <f>SUM(F7346:F7370)</f>
        <v>0</v>
      </c>
      <c r="G7372" s="155">
        <f>SUM(G7346:G7370)</f>
        <v>0</v>
      </c>
    </row>
    <row r="7373" spans="1:7" x14ac:dyDescent="0.25">
      <c r="A7373" s="148"/>
      <c r="C7373" s="145" t="s">
        <v>622</v>
      </c>
      <c r="D7373" s="154"/>
      <c r="E7373" s="145"/>
      <c r="F7373" s="144"/>
      <c r="G7373" s="144"/>
    </row>
    <row r="7374" spans="1:7" x14ac:dyDescent="0.25">
      <c r="A7374" s="148"/>
      <c r="C7374" s="153" t="s">
        <v>621</v>
      </c>
      <c r="D7374" s="152"/>
      <c r="E7374" s="151"/>
      <c r="F7374" s="150">
        <f>F7341</f>
        <v>0</v>
      </c>
      <c r="G7374" s="150">
        <f>G7341</f>
        <v>0</v>
      </c>
    </row>
    <row r="7375" spans="1:7" x14ac:dyDescent="0.25">
      <c r="A7375" s="148"/>
      <c r="C7375" s="153" t="s">
        <v>582</v>
      </c>
      <c r="D7375" s="152"/>
      <c r="E7375" s="151"/>
      <c r="F7375" s="150">
        <f>F7374+F7372</f>
        <v>0</v>
      </c>
      <c r="G7375" s="150">
        <f>G7374+G7372</f>
        <v>0</v>
      </c>
    </row>
    <row r="7376" spans="1:7" ht="15.75" thickBot="1" x14ac:dyDescent="0.3">
      <c r="A7376" s="148"/>
      <c r="C7376" s="145"/>
      <c r="D7376" s="149"/>
      <c r="E7376" s="145"/>
      <c r="F7376" s="144"/>
      <c r="G7376" s="144"/>
    </row>
    <row r="7377" spans="1:7" ht="15.75" thickBot="1" x14ac:dyDescent="0.3">
      <c r="A7377" s="148"/>
      <c r="C7377" s="147" t="s">
        <v>620</v>
      </c>
      <c r="D7377" s="146">
        <f>F7375-G7375</f>
        <v>0</v>
      </c>
      <c r="E7377" s="145"/>
      <c r="F7377" s="144"/>
      <c r="G7377" s="144"/>
    </row>
    <row r="7378" spans="1:7" ht="15.75" thickBot="1" x14ac:dyDescent="0.3"/>
    <row r="7379" spans="1:7" ht="30.75" thickBot="1" x14ac:dyDescent="0.3">
      <c r="A7379" s="181" t="s">
        <v>626</v>
      </c>
      <c r="B7379" s="180" t="s">
        <v>606</v>
      </c>
      <c r="C7379" s="179" t="s">
        <v>625</v>
      </c>
      <c r="D7379" s="178" t="s">
        <v>601</v>
      </c>
      <c r="E7379" s="177" t="s">
        <v>287</v>
      </c>
      <c r="F7379" s="176" t="s">
        <v>624</v>
      </c>
      <c r="G7379" s="176" t="s">
        <v>596</v>
      </c>
    </row>
    <row r="7380" spans="1:7" x14ac:dyDescent="0.25">
      <c r="A7380" s="175" t="str">
        <f>E7380&amp;COUNTIFS($E$2:E7380,E7380)</f>
        <v>0</v>
      </c>
      <c r="B7380" s="172"/>
      <c r="C7380" s="174"/>
      <c r="D7380" s="173"/>
      <c r="E7380" s="172"/>
      <c r="F7380" s="171"/>
      <c r="G7380" s="170"/>
    </row>
    <row r="7381" spans="1:7" x14ac:dyDescent="0.25">
      <c r="A7381" s="169" t="str">
        <f>E7381&amp;COUNTIFS($E$2:E7381,E7381)</f>
        <v>0</v>
      </c>
      <c r="B7381" s="166"/>
      <c r="C7381" s="168"/>
      <c r="D7381" s="167"/>
      <c r="E7381" s="166"/>
      <c r="F7381" s="165"/>
      <c r="G7381" s="164"/>
    </row>
    <row r="7382" spans="1:7" x14ac:dyDescent="0.25">
      <c r="A7382" s="169" t="str">
        <f>E7382&amp;COUNTIFS($E$2:E7382,E7382)</f>
        <v>0</v>
      </c>
      <c r="B7382" s="166"/>
      <c r="C7382" s="168"/>
      <c r="D7382" s="167"/>
      <c r="E7382" s="166"/>
      <c r="F7382" s="165"/>
      <c r="G7382" s="164"/>
    </row>
    <row r="7383" spans="1:7" x14ac:dyDescent="0.25">
      <c r="A7383" s="169" t="str">
        <f>E7383&amp;COUNTIFS($E$2:E7383,E7383)</f>
        <v>0</v>
      </c>
      <c r="B7383" s="166"/>
      <c r="C7383" s="168"/>
      <c r="D7383" s="167"/>
      <c r="E7383" s="166"/>
      <c r="F7383" s="165"/>
      <c r="G7383" s="164"/>
    </row>
    <row r="7384" spans="1:7" x14ac:dyDescent="0.25">
      <c r="A7384" s="169" t="str">
        <f>E7384&amp;COUNTIFS($E$2:E7384,E7384)</f>
        <v>0</v>
      </c>
      <c r="B7384" s="166"/>
      <c r="C7384" s="168"/>
      <c r="D7384" s="167"/>
      <c r="E7384" s="166"/>
      <c r="F7384" s="165"/>
      <c r="G7384" s="164"/>
    </row>
    <row r="7385" spans="1:7" x14ac:dyDescent="0.25">
      <c r="A7385" s="169" t="str">
        <f>E7385&amp;COUNTIFS($E$2:E7385,E7385)</f>
        <v>0</v>
      </c>
      <c r="B7385" s="166"/>
      <c r="C7385" s="168"/>
      <c r="D7385" s="167"/>
      <c r="E7385" s="166"/>
      <c r="F7385" s="165"/>
      <c r="G7385" s="164"/>
    </row>
    <row r="7386" spans="1:7" x14ac:dyDescent="0.25">
      <c r="A7386" s="169" t="str">
        <f>E7386&amp;COUNTIFS($E$2:E7386,E7386)</f>
        <v>0</v>
      </c>
      <c r="B7386" s="166"/>
      <c r="C7386" s="168"/>
      <c r="D7386" s="167"/>
      <c r="E7386" s="166"/>
      <c r="F7386" s="165"/>
      <c r="G7386" s="164"/>
    </row>
    <row r="7387" spans="1:7" x14ac:dyDescent="0.25">
      <c r="A7387" s="169" t="str">
        <f>E7387&amp;COUNTIFS($E$2:E7387,E7387)</f>
        <v>0</v>
      </c>
      <c r="B7387" s="166"/>
      <c r="C7387" s="168"/>
      <c r="D7387" s="167"/>
      <c r="E7387" s="166"/>
      <c r="F7387" s="165"/>
      <c r="G7387" s="164"/>
    </row>
    <row r="7388" spans="1:7" x14ac:dyDescent="0.25">
      <c r="A7388" s="169" t="str">
        <f>E7388&amp;COUNTIFS($E$2:E7388,E7388)</f>
        <v>0</v>
      </c>
      <c r="B7388" s="166"/>
      <c r="C7388" s="168"/>
      <c r="D7388" s="167"/>
      <c r="E7388" s="166"/>
      <c r="F7388" s="165"/>
      <c r="G7388" s="164"/>
    </row>
    <row r="7389" spans="1:7" x14ac:dyDescent="0.25">
      <c r="A7389" s="169" t="str">
        <f>E7389&amp;COUNTIFS($E$2:E7389,E7389)</f>
        <v>0</v>
      </c>
      <c r="B7389" s="166"/>
      <c r="C7389" s="168"/>
      <c r="D7389" s="167"/>
      <c r="E7389" s="166"/>
      <c r="F7389" s="165"/>
      <c r="G7389" s="164"/>
    </row>
    <row r="7390" spans="1:7" x14ac:dyDescent="0.25">
      <c r="A7390" s="169" t="str">
        <f>E7390&amp;COUNTIFS($E$2:E7390,E7390)</f>
        <v>0</v>
      </c>
      <c r="B7390" s="166"/>
      <c r="C7390" s="168"/>
      <c r="D7390" s="167"/>
      <c r="E7390" s="166"/>
      <c r="F7390" s="165"/>
      <c r="G7390" s="164"/>
    </row>
    <row r="7391" spans="1:7" x14ac:dyDescent="0.25">
      <c r="A7391" s="169" t="str">
        <f>E7391&amp;COUNTIFS($E$2:E7391,E7391)</f>
        <v>0</v>
      </c>
      <c r="B7391" s="166"/>
      <c r="C7391" s="168"/>
      <c r="D7391" s="167"/>
      <c r="E7391" s="166"/>
      <c r="F7391" s="165"/>
      <c r="G7391" s="164"/>
    </row>
    <row r="7392" spans="1:7" x14ac:dyDescent="0.25">
      <c r="A7392" s="169" t="str">
        <f>E7392&amp;COUNTIFS($E$2:E7392,E7392)</f>
        <v>0</v>
      </c>
      <c r="B7392" s="166"/>
      <c r="C7392" s="168"/>
      <c r="D7392" s="167"/>
      <c r="E7392" s="166"/>
      <c r="F7392" s="165"/>
      <c r="G7392" s="164"/>
    </row>
    <row r="7393" spans="1:7" x14ac:dyDescent="0.25">
      <c r="A7393" s="169" t="str">
        <f>E7393&amp;COUNTIFS($E$2:E7393,E7393)</f>
        <v>0</v>
      </c>
      <c r="B7393" s="166"/>
      <c r="C7393" s="168"/>
      <c r="D7393" s="167"/>
      <c r="E7393" s="166"/>
      <c r="F7393" s="165"/>
      <c r="G7393" s="164"/>
    </row>
    <row r="7394" spans="1:7" x14ac:dyDescent="0.25">
      <c r="A7394" s="169" t="str">
        <f>E7394&amp;COUNTIFS($E$2:E7394,E7394)</f>
        <v>0</v>
      </c>
      <c r="B7394" s="166"/>
      <c r="C7394" s="168"/>
      <c r="D7394" s="167"/>
      <c r="E7394" s="166"/>
      <c r="F7394" s="165"/>
      <c r="G7394" s="164"/>
    </row>
    <row r="7395" spans="1:7" x14ac:dyDescent="0.25">
      <c r="A7395" s="169" t="str">
        <f>E7395&amp;COUNTIFS($E$2:E7395,E7395)</f>
        <v>0</v>
      </c>
      <c r="B7395" s="166"/>
      <c r="C7395" s="168"/>
      <c r="D7395" s="167"/>
      <c r="E7395" s="166"/>
      <c r="F7395" s="165"/>
      <c r="G7395" s="164"/>
    </row>
    <row r="7396" spans="1:7" x14ac:dyDescent="0.25">
      <c r="A7396" s="169" t="str">
        <f>E7396&amp;COUNTIFS($E$2:E7396,E7396)</f>
        <v>0</v>
      </c>
      <c r="B7396" s="166"/>
      <c r="C7396" s="168"/>
      <c r="D7396" s="167"/>
      <c r="E7396" s="166"/>
      <c r="F7396" s="165"/>
      <c r="G7396" s="164"/>
    </row>
    <row r="7397" spans="1:7" x14ac:dyDescent="0.25">
      <c r="A7397" s="169" t="str">
        <f>E7397&amp;COUNTIFS($E$2:E7397,E7397)</f>
        <v>0</v>
      </c>
      <c r="B7397" s="166"/>
      <c r="C7397" s="168"/>
      <c r="D7397" s="167"/>
      <c r="E7397" s="166"/>
      <c r="F7397" s="165"/>
      <c r="G7397" s="164"/>
    </row>
    <row r="7398" spans="1:7" x14ac:dyDescent="0.25">
      <c r="A7398" s="169" t="str">
        <f>E7398&amp;COUNTIFS($E$2:E7398,E7398)</f>
        <v>0</v>
      </c>
      <c r="B7398" s="166"/>
      <c r="C7398" s="168"/>
      <c r="D7398" s="167"/>
      <c r="E7398" s="166"/>
      <c r="F7398" s="165"/>
      <c r="G7398" s="164"/>
    </row>
    <row r="7399" spans="1:7" x14ac:dyDescent="0.25">
      <c r="A7399" s="169" t="str">
        <f>E7399&amp;COUNTIFS($E$2:E7399,E7399)</f>
        <v>0</v>
      </c>
      <c r="B7399" s="166"/>
      <c r="C7399" s="168"/>
      <c r="D7399" s="167"/>
      <c r="E7399" s="166"/>
      <c r="F7399" s="165"/>
      <c r="G7399" s="164"/>
    </row>
    <row r="7400" spans="1:7" x14ac:dyDescent="0.25">
      <c r="A7400" s="169" t="str">
        <f>E7400&amp;COUNTIFS($E$2:E7400,E7400)</f>
        <v>0</v>
      </c>
      <c r="B7400" s="166"/>
      <c r="C7400" s="168"/>
      <c r="D7400" s="167"/>
      <c r="E7400" s="166"/>
      <c r="F7400" s="165"/>
      <c r="G7400" s="164"/>
    </row>
    <row r="7401" spans="1:7" x14ac:dyDescent="0.25">
      <c r="A7401" s="169" t="str">
        <f>E7401&amp;COUNTIFS($E$2:E7401,E7401)</f>
        <v>0</v>
      </c>
      <c r="B7401" s="166"/>
      <c r="C7401" s="168"/>
      <c r="D7401" s="167"/>
      <c r="E7401" s="166"/>
      <c r="F7401" s="165"/>
      <c r="G7401" s="164"/>
    </row>
    <row r="7402" spans="1:7" x14ac:dyDescent="0.25">
      <c r="A7402" s="169" t="str">
        <f>E7402&amp;COUNTIFS($E$2:E7402,E7402)</f>
        <v>0</v>
      </c>
      <c r="B7402" s="166"/>
      <c r="C7402" s="168"/>
      <c r="D7402" s="167"/>
      <c r="E7402" s="166"/>
      <c r="F7402" s="165"/>
      <c r="G7402" s="164"/>
    </row>
    <row r="7403" spans="1:7" x14ac:dyDescent="0.25">
      <c r="A7403" s="169" t="str">
        <f>E7403&amp;COUNTIFS($E$2:E7403,E7403)</f>
        <v>0</v>
      </c>
      <c r="B7403" s="166"/>
      <c r="C7403" s="168"/>
      <c r="D7403" s="167"/>
      <c r="E7403" s="166"/>
      <c r="F7403" s="165"/>
      <c r="G7403" s="164"/>
    </row>
    <row r="7404" spans="1:7" ht="15.75" thickBot="1" x14ac:dyDescent="0.3">
      <c r="A7404" s="163" t="str">
        <f>E7404&amp;COUNTIFS($E$2:E7404,E7404)</f>
        <v>0</v>
      </c>
      <c r="B7404" s="160"/>
      <c r="C7404" s="162"/>
      <c r="D7404" s="161"/>
      <c r="E7404" s="160"/>
      <c r="F7404" s="159"/>
      <c r="G7404" s="158"/>
    </row>
    <row r="7405" spans="1:7" x14ac:dyDescent="0.25">
      <c r="A7405" s="148"/>
      <c r="C7405" s="143"/>
      <c r="D7405" s="157"/>
      <c r="E7405" s="143"/>
      <c r="F7405" s="156"/>
      <c r="G7405" s="156"/>
    </row>
    <row r="7406" spans="1:7" x14ac:dyDescent="0.25">
      <c r="A7406" s="148"/>
      <c r="C7406" s="153" t="s">
        <v>623</v>
      </c>
      <c r="D7406" s="152"/>
      <c r="E7406" s="151"/>
      <c r="F7406" s="150">
        <f>SUM(F7380:F7404)</f>
        <v>0</v>
      </c>
      <c r="G7406" s="155">
        <f>SUM(G7380:G7404)</f>
        <v>0</v>
      </c>
    </row>
    <row r="7407" spans="1:7" x14ac:dyDescent="0.25">
      <c r="A7407" s="148"/>
      <c r="C7407" s="145" t="s">
        <v>622</v>
      </c>
      <c r="D7407" s="154"/>
      <c r="E7407" s="145"/>
      <c r="F7407" s="144"/>
      <c r="G7407" s="144"/>
    </row>
    <row r="7408" spans="1:7" x14ac:dyDescent="0.25">
      <c r="A7408" s="148"/>
      <c r="C7408" s="153" t="s">
        <v>621</v>
      </c>
      <c r="D7408" s="152"/>
      <c r="E7408" s="151"/>
      <c r="F7408" s="150">
        <f>F7375</f>
        <v>0</v>
      </c>
      <c r="G7408" s="150">
        <f>G7375</f>
        <v>0</v>
      </c>
    </row>
    <row r="7409" spans="1:7" x14ac:dyDescent="0.25">
      <c r="A7409" s="148"/>
      <c r="C7409" s="153" t="s">
        <v>582</v>
      </c>
      <c r="D7409" s="152"/>
      <c r="E7409" s="151"/>
      <c r="F7409" s="150">
        <f>F7408+F7406</f>
        <v>0</v>
      </c>
      <c r="G7409" s="150">
        <f>G7408+G7406</f>
        <v>0</v>
      </c>
    </row>
    <row r="7410" spans="1:7" ht="15.75" thickBot="1" x14ac:dyDescent="0.3">
      <c r="A7410" s="148"/>
      <c r="C7410" s="145"/>
      <c r="D7410" s="149"/>
      <c r="E7410" s="145"/>
      <c r="F7410" s="144"/>
      <c r="G7410" s="144"/>
    </row>
    <row r="7411" spans="1:7" ht="15.75" thickBot="1" x14ac:dyDescent="0.3">
      <c r="A7411" s="148"/>
      <c r="C7411" s="147" t="s">
        <v>620</v>
      </c>
      <c r="D7411" s="146">
        <f>F7409-G7409</f>
        <v>0</v>
      </c>
      <c r="E7411" s="145"/>
      <c r="F7411" s="144"/>
      <c r="G7411" s="144"/>
    </row>
    <row r="7412" spans="1:7" ht="15.75" thickBot="1" x14ac:dyDescent="0.3"/>
    <row r="7413" spans="1:7" ht="30.75" thickBot="1" x14ac:dyDescent="0.3">
      <c r="A7413" s="181" t="s">
        <v>626</v>
      </c>
      <c r="B7413" s="180" t="s">
        <v>606</v>
      </c>
      <c r="C7413" s="179" t="s">
        <v>625</v>
      </c>
      <c r="D7413" s="178" t="s">
        <v>601</v>
      </c>
      <c r="E7413" s="177" t="s">
        <v>287</v>
      </c>
      <c r="F7413" s="176" t="s">
        <v>624</v>
      </c>
      <c r="G7413" s="176" t="s">
        <v>596</v>
      </c>
    </row>
    <row r="7414" spans="1:7" x14ac:dyDescent="0.25">
      <c r="A7414" s="175" t="str">
        <f>E7414&amp;COUNTIFS($E$2:E7414,E7414)</f>
        <v>0</v>
      </c>
      <c r="B7414" s="172"/>
      <c r="C7414" s="174"/>
      <c r="D7414" s="173"/>
      <c r="E7414" s="172"/>
      <c r="F7414" s="171"/>
      <c r="G7414" s="170"/>
    </row>
    <row r="7415" spans="1:7" x14ac:dyDescent="0.25">
      <c r="A7415" s="169" t="str">
        <f>E7415&amp;COUNTIFS($E$2:E7415,E7415)</f>
        <v>0</v>
      </c>
      <c r="B7415" s="166"/>
      <c r="C7415" s="168"/>
      <c r="D7415" s="167"/>
      <c r="E7415" s="166"/>
      <c r="F7415" s="165"/>
      <c r="G7415" s="164"/>
    </row>
    <row r="7416" spans="1:7" x14ac:dyDescent="0.25">
      <c r="A7416" s="169" t="str">
        <f>E7416&amp;COUNTIFS($E$2:E7416,E7416)</f>
        <v>0</v>
      </c>
      <c r="B7416" s="166"/>
      <c r="C7416" s="168"/>
      <c r="D7416" s="167"/>
      <c r="E7416" s="166"/>
      <c r="F7416" s="165"/>
      <c r="G7416" s="164"/>
    </row>
    <row r="7417" spans="1:7" x14ac:dyDescent="0.25">
      <c r="A7417" s="169" t="str">
        <f>E7417&amp;COUNTIFS($E$2:E7417,E7417)</f>
        <v>0</v>
      </c>
      <c r="B7417" s="166"/>
      <c r="C7417" s="168"/>
      <c r="D7417" s="167"/>
      <c r="E7417" s="166"/>
      <c r="F7417" s="165"/>
      <c r="G7417" s="164"/>
    </row>
    <row r="7418" spans="1:7" x14ac:dyDescent="0.25">
      <c r="A7418" s="169" t="str">
        <f>E7418&amp;COUNTIFS($E$2:E7418,E7418)</f>
        <v>0</v>
      </c>
      <c r="B7418" s="166"/>
      <c r="C7418" s="168"/>
      <c r="D7418" s="167"/>
      <c r="E7418" s="166"/>
      <c r="F7418" s="165"/>
      <c r="G7418" s="164"/>
    </row>
    <row r="7419" spans="1:7" x14ac:dyDescent="0.25">
      <c r="A7419" s="169" t="str">
        <f>E7419&amp;COUNTIFS($E$2:E7419,E7419)</f>
        <v>0</v>
      </c>
      <c r="B7419" s="166"/>
      <c r="C7419" s="168"/>
      <c r="D7419" s="167"/>
      <c r="E7419" s="166"/>
      <c r="F7419" s="165"/>
      <c r="G7419" s="164"/>
    </row>
    <row r="7420" spans="1:7" x14ac:dyDescent="0.25">
      <c r="A7420" s="169" t="str">
        <f>E7420&amp;COUNTIFS($E$2:E7420,E7420)</f>
        <v>0</v>
      </c>
      <c r="B7420" s="166"/>
      <c r="C7420" s="168"/>
      <c r="D7420" s="167"/>
      <c r="E7420" s="166"/>
      <c r="F7420" s="165"/>
      <c r="G7420" s="164"/>
    </row>
    <row r="7421" spans="1:7" x14ac:dyDescent="0.25">
      <c r="A7421" s="169" t="str">
        <f>E7421&amp;COUNTIFS($E$2:E7421,E7421)</f>
        <v>0</v>
      </c>
      <c r="B7421" s="166"/>
      <c r="C7421" s="168"/>
      <c r="D7421" s="167"/>
      <c r="E7421" s="166"/>
      <c r="F7421" s="165"/>
      <c r="G7421" s="164"/>
    </row>
    <row r="7422" spans="1:7" x14ac:dyDescent="0.25">
      <c r="A7422" s="169" t="str">
        <f>E7422&amp;COUNTIFS($E$2:E7422,E7422)</f>
        <v>0</v>
      </c>
      <c r="B7422" s="166"/>
      <c r="C7422" s="168"/>
      <c r="D7422" s="167"/>
      <c r="E7422" s="166"/>
      <c r="F7422" s="165"/>
      <c r="G7422" s="164"/>
    </row>
    <row r="7423" spans="1:7" x14ac:dyDescent="0.25">
      <c r="A7423" s="169" t="str">
        <f>E7423&amp;COUNTIFS($E$2:E7423,E7423)</f>
        <v>0</v>
      </c>
      <c r="B7423" s="166"/>
      <c r="C7423" s="168"/>
      <c r="D7423" s="167"/>
      <c r="E7423" s="166"/>
      <c r="F7423" s="165"/>
      <c r="G7423" s="164"/>
    </row>
    <row r="7424" spans="1:7" x14ac:dyDescent="0.25">
      <c r="A7424" s="169" t="str">
        <f>E7424&amp;COUNTIFS($E$2:E7424,E7424)</f>
        <v>0</v>
      </c>
      <c r="B7424" s="166"/>
      <c r="C7424" s="168"/>
      <c r="D7424" s="167"/>
      <c r="E7424" s="166"/>
      <c r="F7424" s="165"/>
      <c r="G7424" s="164"/>
    </row>
    <row r="7425" spans="1:7" x14ac:dyDescent="0.25">
      <c r="A7425" s="169" t="str">
        <f>E7425&amp;COUNTIFS($E$2:E7425,E7425)</f>
        <v>0</v>
      </c>
      <c r="B7425" s="166"/>
      <c r="C7425" s="168"/>
      <c r="D7425" s="167"/>
      <c r="E7425" s="166"/>
      <c r="F7425" s="165"/>
      <c r="G7425" s="164"/>
    </row>
    <row r="7426" spans="1:7" x14ac:dyDescent="0.25">
      <c r="A7426" s="169" t="str">
        <f>E7426&amp;COUNTIFS($E$2:E7426,E7426)</f>
        <v>0</v>
      </c>
      <c r="B7426" s="166"/>
      <c r="C7426" s="168"/>
      <c r="D7426" s="167"/>
      <c r="E7426" s="166"/>
      <c r="F7426" s="165"/>
      <c r="G7426" s="164"/>
    </row>
    <row r="7427" spans="1:7" x14ac:dyDescent="0.25">
      <c r="A7427" s="169" t="str">
        <f>E7427&amp;COUNTIFS($E$2:E7427,E7427)</f>
        <v>0</v>
      </c>
      <c r="B7427" s="166"/>
      <c r="C7427" s="168"/>
      <c r="D7427" s="167"/>
      <c r="E7427" s="166"/>
      <c r="F7427" s="165"/>
      <c r="G7427" s="164"/>
    </row>
    <row r="7428" spans="1:7" x14ac:dyDescent="0.25">
      <c r="A7428" s="169" t="str">
        <f>E7428&amp;COUNTIFS($E$2:E7428,E7428)</f>
        <v>0</v>
      </c>
      <c r="B7428" s="166"/>
      <c r="C7428" s="168"/>
      <c r="D7428" s="167"/>
      <c r="E7428" s="166"/>
      <c r="F7428" s="165"/>
      <c r="G7428" s="164"/>
    </row>
    <row r="7429" spans="1:7" x14ac:dyDescent="0.25">
      <c r="A7429" s="169" t="str">
        <f>E7429&amp;COUNTIFS($E$2:E7429,E7429)</f>
        <v>0</v>
      </c>
      <c r="B7429" s="166"/>
      <c r="C7429" s="168"/>
      <c r="D7429" s="167"/>
      <c r="E7429" s="166"/>
      <c r="F7429" s="165"/>
      <c r="G7429" s="164"/>
    </row>
    <row r="7430" spans="1:7" x14ac:dyDescent="0.25">
      <c r="A7430" s="169" t="str">
        <f>E7430&amp;COUNTIFS($E$2:E7430,E7430)</f>
        <v>0</v>
      </c>
      <c r="B7430" s="166"/>
      <c r="C7430" s="168"/>
      <c r="D7430" s="167"/>
      <c r="E7430" s="166"/>
      <c r="F7430" s="165"/>
      <c r="G7430" s="164"/>
    </row>
    <row r="7431" spans="1:7" x14ac:dyDescent="0.25">
      <c r="A7431" s="169" t="str">
        <f>E7431&amp;COUNTIFS($E$2:E7431,E7431)</f>
        <v>0</v>
      </c>
      <c r="B7431" s="166"/>
      <c r="C7431" s="168"/>
      <c r="D7431" s="167"/>
      <c r="E7431" s="166"/>
      <c r="F7431" s="165"/>
      <c r="G7431" s="164"/>
    </row>
    <row r="7432" spans="1:7" x14ac:dyDescent="0.25">
      <c r="A7432" s="169" t="str">
        <f>E7432&amp;COUNTIFS($E$2:E7432,E7432)</f>
        <v>0</v>
      </c>
      <c r="B7432" s="166"/>
      <c r="C7432" s="168"/>
      <c r="D7432" s="167"/>
      <c r="E7432" s="166"/>
      <c r="F7432" s="165"/>
      <c r="G7432" s="164"/>
    </row>
    <row r="7433" spans="1:7" x14ac:dyDescent="0.25">
      <c r="A7433" s="169" t="str">
        <f>E7433&amp;COUNTIFS($E$2:E7433,E7433)</f>
        <v>0</v>
      </c>
      <c r="B7433" s="166"/>
      <c r="C7433" s="168"/>
      <c r="D7433" s="167"/>
      <c r="E7433" s="166"/>
      <c r="F7433" s="165"/>
      <c r="G7433" s="164"/>
    </row>
    <row r="7434" spans="1:7" x14ac:dyDescent="0.25">
      <c r="A7434" s="169" t="str">
        <f>E7434&amp;COUNTIFS($E$2:E7434,E7434)</f>
        <v>0</v>
      </c>
      <c r="B7434" s="166"/>
      <c r="C7434" s="168"/>
      <c r="D7434" s="167"/>
      <c r="E7434" s="166"/>
      <c r="F7434" s="165"/>
      <c r="G7434" s="164"/>
    </row>
    <row r="7435" spans="1:7" x14ac:dyDescent="0.25">
      <c r="A7435" s="169" t="str">
        <f>E7435&amp;COUNTIFS($E$2:E7435,E7435)</f>
        <v>0</v>
      </c>
      <c r="B7435" s="166"/>
      <c r="C7435" s="168"/>
      <c r="D7435" s="167"/>
      <c r="E7435" s="166"/>
      <c r="F7435" s="165"/>
      <c r="G7435" s="164"/>
    </row>
    <row r="7436" spans="1:7" x14ac:dyDescent="0.25">
      <c r="A7436" s="169" t="str">
        <f>E7436&amp;COUNTIFS($E$2:E7436,E7436)</f>
        <v>0</v>
      </c>
      <c r="B7436" s="166"/>
      <c r="C7436" s="168"/>
      <c r="D7436" s="167"/>
      <c r="E7436" s="166"/>
      <c r="F7436" s="165"/>
      <c r="G7436" s="164"/>
    </row>
    <row r="7437" spans="1:7" x14ac:dyDescent="0.25">
      <c r="A7437" s="169" t="str">
        <f>E7437&amp;COUNTIFS($E$2:E7437,E7437)</f>
        <v>0</v>
      </c>
      <c r="B7437" s="166"/>
      <c r="C7437" s="168"/>
      <c r="D7437" s="167"/>
      <c r="E7437" s="166"/>
      <c r="F7437" s="165"/>
      <c r="G7437" s="164"/>
    </row>
    <row r="7438" spans="1:7" ht="15.75" thickBot="1" x14ac:dyDescent="0.3">
      <c r="A7438" s="163" t="str">
        <f>E7438&amp;COUNTIFS($E$2:E7438,E7438)</f>
        <v>0</v>
      </c>
      <c r="B7438" s="160"/>
      <c r="C7438" s="162"/>
      <c r="D7438" s="161"/>
      <c r="E7438" s="160"/>
      <c r="F7438" s="159"/>
      <c r="G7438" s="158"/>
    </row>
    <row r="7439" spans="1:7" x14ac:dyDescent="0.25">
      <c r="A7439" s="148"/>
      <c r="C7439" s="143"/>
      <c r="D7439" s="157"/>
      <c r="E7439" s="143"/>
      <c r="F7439" s="156"/>
      <c r="G7439" s="156"/>
    </row>
    <row r="7440" spans="1:7" x14ac:dyDescent="0.25">
      <c r="A7440" s="148"/>
      <c r="C7440" s="153" t="s">
        <v>623</v>
      </c>
      <c r="D7440" s="152"/>
      <c r="E7440" s="151"/>
      <c r="F7440" s="150">
        <f>SUM(F7414:F7438)</f>
        <v>0</v>
      </c>
      <c r="G7440" s="155">
        <f>SUM(G7414:G7438)</f>
        <v>0</v>
      </c>
    </row>
    <row r="7441" spans="1:7" x14ac:dyDescent="0.25">
      <c r="A7441" s="148"/>
      <c r="C7441" s="145" t="s">
        <v>622</v>
      </c>
      <c r="D7441" s="154"/>
      <c r="E7441" s="145"/>
      <c r="F7441" s="144"/>
      <c r="G7441" s="144"/>
    </row>
    <row r="7442" spans="1:7" x14ac:dyDescent="0.25">
      <c r="A7442" s="148"/>
      <c r="C7442" s="153" t="s">
        <v>621</v>
      </c>
      <c r="D7442" s="152"/>
      <c r="E7442" s="151"/>
      <c r="F7442" s="150">
        <f>F7409</f>
        <v>0</v>
      </c>
      <c r="G7442" s="150">
        <f>G7409</f>
        <v>0</v>
      </c>
    </row>
    <row r="7443" spans="1:7" x14ac:dyDescent="0.25">
      <c r="A7443" s="148"/>
      <c r="C7443" s="153" t="s">
        <v>582</v>
      </c>
      <c r="D7443" s="152"/>
      <c r="E7443" s="151"/>
      <c r="F7443" s="150">
        <f>F7442+F7440</f>
        <v>0</v>
      </c>
      <c r="G7443" s="150">
        <f>G7442+G7440</f>
        <v>0</v>
      </c>
    </row>
    <row r="7444" spans="1:7" ht="15.75" thickBot="1" x14ac:dyDescent="0.3">
      <c r="A7444" s="148"/>
      <c r="C7444" s="145"/>
      <c r="D7444" s="149"/>
      <c r="E7444" s="145"/>
      <c r="F7444" s="144"/>
      <c r="G7444" s="144"/>
    </row>
    <row r="7445" spans="1:7" ht="15.75" thickBot="1" x14ac:dyDescent="0.3">
      <c r="A7445" s="148"/>
      <c r="C7445" s="147" t="s">
        <v>620</v>
      </c>
      <c r="D7445" s="146">
        <f>F7443-G7443</f>
        <v>0</v>
      </c>
      <c r="E7445" s="145"/>
      <c r="F7445" s="144"/>
      <c r="G7445" s="144"/>
    </row>
    <row r="7446" spans="1:7" ht="15.75" thickBot="1" x14ac:dyDescent="0.3"/>
    <row r="7447" spans="1:7" ht="30.75" thickBot="1" x14ac:dyDescent="0.3">
      <c r="A7447" s="181" t="s">
        <v>626</v>
      </c>
      <c r="B7447" s="180" t="s">
        <v>606</v>
      </c>
      <c r="C7447" s="179" t="s">
        <v>625</v>
      </c>
      <c r="D7447" s="178" t="s">
        <v>601</v>
      </c>
      <c r="E7447" s="177" t="s">
        <v>287</v>
      </c>
      <c r="F7447" s="176" t="s">
        <v>624</v>
      </c>
      <c r="G7447" s="176" t="s">
        <v>596</v>
      </c>
    </row>
    <row r="7448" spans="1:7" x14ac:dyDescent="0.25">
      <c r="A7448" s="175" t="str">
        <f>E7448&amp;COUNTIFS($E$2:E7448,E7448)</f>
        <v>0</v>
      </c>
      <c r="B7448" s="172"/>
      <c r="C7448" s="174"/>
      <c r="D7448" s="173"/>
      <c r="E7448" s="172"/>
      <c r="F7448" s="171"/>
      <c r="G7448" s="170"/>
    </row>
    <row r="7449" spans="1:7" x14ac:dyDescent="0.25">
      <c r="A7449" s="169" t="str">
        <f>E7449&amp;COUNTIFS($E$2:E7449,E7449)</f>
        <v>0</v>
      </c>
      <c r="B7449" s="166"/>
      <c r="C7449" s="168"/>
      <c r="D7449" s="167"/>
      <c r="E7449" s="166"/>
      <c r="F7449" s="165"/>
      <c r="G7449" s="164"/>
    </row>
    <row r="7450" spans="1:7" x14ac:dyDescent="0.25">
      <c r="A7450" s="169" t="str">
        <f>E7450&amp;COUNTIFS($E$2:E7450,E7450)</f>
        <v>0</v>
      </c>
      <c r="B7450" s="166"/>
      <c r="C7450" s="168"/>
      <c r="D7450" s="167"/>
      <c r="E7450" s="166"/>
      <c r="F7450" s="165"/>
      <c r="G7450" s="164"/>
    </row>
    <row r="7451" spans="1:7" x14ac:dyDescent="0.25">
      <c r="A7451" s="169" t="str">
        <f>E7451&amp;COUNTIFS($E$2:E7451,E7451)</f>
        <v>0</v>
      </c>
      <c r="B7451" s="166"/>
      <c r="C7451" s="168"/>
      <c r="D7451" s="167"/>
      <c r="E7451" s="166"/>
      <c r="F7451" s="165"/>
      <c r="G7451" s="164"/>
    </row>
    <row r="7452" spans="1:7" x14ac:dyDescent="0.25">
      <c r="A7452" s="169" t="str">
        <f>E7452&amp;COUNTIFS($E$2:E7452,E7452)</f>
        <v>0</v>
      </c>
      <c r="B7452" s="166"/>
      <c r="C7452" s="168"/>
      <c r="D7452" s="167"/>
      <c r="E7452" s="166"/>
      <c r="F7452" s="165"/>
      <c r="G7452" s="164"/>
    </row>
    <row r="7453" spans="1:7" x14ac:dyDescent="0.25">
      <c r="A7453" s="169" t="str">
        <f>E7453&amp;COUNTIFS($E$2:E7453,E7453)</f>
        <v>0</v>
      </c>
      <c r="B7453" s="166"/>
      <c r="C7453" s="168"/>
      <c r="D7453" s="167"/>
      <c r="E7453" s="166"/>
      <c r="F7453" s="165"/>
      <c r="G7453" s="164"/>
    </row>
    <row r="7454" spans="1:7" x14ac:dyDescent="0.25">
      <c r="A7454" s="169" t="str">
        <f>E7454&amp;COUNTIFS($E$2:E7454,E7454)</f>
        <v>0</v>
      </c>
      <c r="B7454" s="166"/>
      <c r="C7454" s="168"/>
      <c r="D7454" s="167"/>
      <c r="E7454" s="166"/>
      <c r="F7454" s="165"/>
      <c r="G7454" s="164"/>
    </row>
    <row r="7455" spans="1:7" x14ac:dyDescent="0.25">
      <c r="A7455" s="169" t="str">
        <f>E7455&amp;COUNTIFS($E$2:E7455,E7455)</f>
        <v>0</v>
      </c>
      <c r="B7455" s="166"/>
      <c r="C7455" s="168"/>
      <c r="D7455" s="167"/>
      <c r="E7455" s="166"/>
      <c r="F7455" s="165"/>
      <c r="G7455" s="164"/>
    </row>
    <row r="7456" spans="1:7" x14ac:dyDescent="0.25">
      <c r="A7456" s="169" t="str">
        <f>E7456&amp;COUNTIFS($E$2:E7456,E7456)</f>
        <v>0</v>
      </c>
      <c r="B7456" s="166"/>
      <c r="C7456" s="168"/>
      <c r="D7456" s="167"/>
      <c r="E7456" s="166"/>
      <c r="F7456" s="165"/>
      <c r="G7456" s="164"/>
    </row>
    <row r="7457" spans="1:7" x14ac:dyDescent="0.25">
      <c r="A7457" s="169" t="str">
        <f>E7457&amp;COUNTIFS($E$2:E7457,E7457)</f>
        <v>0</v>
      </c>
      <c r="B7457" s="166"/>
      <c r="C7457" s="168"/>
      <c r="D7457" s="167"/>
      <c r="E7457" s="166"/>
      <c r="F7457" s="165"/>
      <c r="G7457" s="164"/>
    </row>
    <row r="7458" spans="1:7" x14ac:dyDescent="0.25">
      <c r="A7458" s="169" t="str">
        <f>E7458&amp;COUNTIFS($E$2:E7458,E7458)</f>
        <v>0</v>
      </c>
      <c r="B7458" s="166"/>
      <c r="C7458" s="168"/>
      <c r="D7458" s="167"/>
      <c r="E7458" s="166"/>
      <c r="F7458" s="165"/>
      <c r="G7458" s="164"/>
    </row>
    <row r="7459" spans="1:7" x14ac:dyDescent="0.25">
      <c r="A7459" s="169" t="str">
        <f>E7459&amp;COUNTIFS($E$2:E7459,E7459)</f>
        <v>0</v>
      </c>
      <c r="B7459" s="166"/>
      <c r="C7459" s="168"/>
      <c r="D7459" s="167"/>
      <c r="E7459" s="166"/>
      <c r="F7459" s="165"/>
      <c r="G7459" s="164"/>
    </row>
    <row r="7460" spans="1:7" x14ac:dyDescent="0.25">
      <c r="A7460" s="169" t="str">
        <f>E7460&amp;COUNTIFS($E$2:E7460,E7460)</f>
        <v>0</v>
      </c>
      <c r="B7460" s="166"/>
      <c r="C7460" s="168"/>
      <c r="D7460" s="167"/>
      <c r="E7460" s="166"/>
      <c r="F7460" s="165"/>
      <c r="G7460" s="164"/>
    </row>
    <row r="7461" spans="1:7" x14ac:dyDescent="0.25">
      <c r="A7461" s="169" t="str">
        <f>E7461&amp;COUNTIFS($E$2:E7461,E7461)</f>
        <v>0</v>
      </c>
      <c r="B7461" s="166"/>
      <c r="C7461" s="168"/>
      <c r="D7461" s="167"/>
      <c r="E7461" s="166"/>
      <c r="F7461" s="165"/>
      <c r="G7461" s="164"/>
    </row>
    <row r="7462" spans="1:7" x14ac:dyDescent="0.25">
      <c r="A7462" s="169" t="str">
        <f>E7462&amp;COUNTIFS($E$2:E7462,E7462)</f>
        <v>0</v>
      </c>
      <c r="B7462" s="166"/>
      <c r="C7462" s="168"/>
      <c r="D7462" s="167"/>
      <c r="E7462" s="166"/>
      <c r="F7462" s="165"/>
      <c r="G7462" s="164"/>
    </row>
    <row r="7463" spans="1:7" x14ac:dyDescent="0.25">
      <c r="A7463" s="169" t="str">
        <f>E7463&amp;COUNTIFS($E$2:E7463,E7463)</f>
        <v>0</v>
      </c>
      <c r="B7463" s="166"/>
      <c r="C7463" s="168"/>
      <c r="D7463" s="167"/>
      <c r="E7463" s="166"/>
      <c r="F7463" s="165"/>
      <c r="G7463" s="164"/>
    </row>
    <row r="7464" spans="1:7" x14ac:dyDescent="0.25">
      <c r="A7464" s="169" t="str">
        <f>E7464&amp;COUNTIFS($E$2:E7464,E7464)</f>
        <v>0</v>
      </c>
      <c r="B7464" s="166"/>
      <c r="C7464" s="168"/>
      <c r="D7464" s="167"/>
      <c r="E7464" s="166"/>
      <c r="F7464" s="165"/>
      <c r="G7464" s="164"/>
    </row>
    <row r="7465" spans="1:7" x14ac:dyDescent="0.25">
      <c r="A7465" s="169" t="str">
        <f>E7465&amp;COUNTIFS($E$2:E7465,E7465)</f>
        <v>0</v>
      </c>
      <c r="B7465" s="166"/>
      <c r="C7465" s="168"/>
      <c r="D7465" s="167"/>
      <c r="E7465" s="166"/>
      <c r="F7465" s="165"/>
      <c r="G7465" s="164"/>
    </row>
    <row r="7466" spans="1:7" x14ac:dyDescent="0.25">
      <c r="A7466" s="169" t="str">
        <f>E7466&amp;COUNTIFS($E$2:E7466,E7466)</f>
        <v>0</v>
      </c>
      <c r="B7466" s="166"/>
      <c r="C7466" s="168"/>
      <c r="D7466" s="167"/>
      <c r="E7466" s="166"/>
      <c r="F7466" s="165"/>
      <c r="G7466" s="164"/>
    </row>
    <row r="7467" spans="1:7" x14ac:dyDescent="0.25">
      <c r="A7467" s="169" t="str">
        <f>E7467&amp;COUNTIFS($E$2:E7467,E7467)</f>
        <v>0</v>
      </c>
      <c r="B7467" s="166"/>
      <c r="C7467" s="168"/>
      <c r="D7467" s="167"/>
      <c r="E7467" s="166"/>
      <c r="F7467" s="165"/>
      <c r="G7467" s="164"/>
    </row>
    <row r="7468" spans="1:7" x14ac:dyDescent="0.25">
      <c r="A7468" s="169" t="str">
        <f>E7468&amp;COUNTIFS($E$2:E7468,E7468)</f>
        <v>0</v>
      </c>
      <c r="B7468" s="166"/>
      <c r="C7468" s="168"/>
      <c r="D7468" s="167"/>
      <c r="E7468" s="166"/>
      <c r="F7468" s="165"/>
      <c r="G7468" s="164"/>
    </row>
    <row r="7469" spans="1:7" x14ac:dyDescent="0.25">
      <c r="A7469" s="169" t="str">
        <f>E7469&amp;COUNTIFS($E$2:E7469,E7469)</f>
        <v>0</v>
      </c>
      <c r="B7469" s="166"/>
      <c r="C7469" s="168"/>
      <c r="D7469" s="167"/>
      <c r="E7469" s="166"/>
      <c r="F7469" s="165"/>
      <c r="G7469" s="164"/>
    </row>
    <row r="7470" spans="1:7" x14ac:dyDescent="0.25">
      <c r="A7470" s="169" t="str">
        <f>E7470&amp;COUNTIFS($E$2:E7470,E7470)</f>
        <v>0</v>
      </c>
      <c r="B7470" s="166"/>
      <c r="C7470" s="168"/>
      <c r="D7470" s="167"/>
      <c r="E7470" s="166"/>
      <c r="F7470" s="165"/>
      <c r="G7470" s="164"/>
    </row>
    <row r="7471" spans="1:7" x14ac:dyDescent="0.25">
      <c r="A7471" s="169" t="str">
        <f>E7471&amp;COUNTIFS($E$2:E7471,E7471)</f>
        <v>0</v>
      </c>
      <c r="B7471" s="166"/>
      <c r="C7471" s="168"/>
      <c r="D7471" s="167"/>
      <c r="E7471" s="166"/>
      <c r="F7471" s="165"/>
      <c r="G7471" s="164"/>
    </row>
    <row r="7472" spans="1:7" ht="15.75" thickBot="1" x14ac:dyDescent="0.3">
      <c r="A7472" s="163" t="str">
        <f>E7472&amp;COUNTIFS($E$2:E7472,E7472)</f>
        <v>0</v>
      </c>
      <c r="B7472" s="160"/>
      <c r="C7472" s="162"/>
      <c r="D7472" s="161"/>
      <c r="E7472" s="160"/>
      <c r="F7472" s="159"/>
      <c r="G7472" s="158"/>
    </row>
    <row r="7473" spans="1:7" x14ac:dyDescent="0.25">
      <c r="A7473" s="148"/>
      <c r="C7473" s="143"/>
      <c r="D7473" s="157"/>
      <c r="E7473" s="143"/>
      <c r="F7473" s="156"/>
      <c r="G7473" s="156"/>
    </row>
    <row r="7474" spans="1:7" x14ac:dyDescent="0.25">
      <c r="A7474" s="148"/>
      <c r="C7474" s="153" t="s">
        <v>623</v>
      </c>
      <c r="D7474" s="152"/>
      <c r="E7474" s="151"/>
      <c r="F7474" s="150">
        <f>SUM(F7448:F7472)</f>
        <v>0</v>
      </c>
      <c r="G7474" s="155">
        <f>SUM(G7448:G7472)</f>
        <v>0</v>
      </c>
    </row>
    <row r="7475" spans="1:7" x14ac:dyDescent="0.25">
      <c r="A7475" s="148"/>
      <c r="C7475" s="145" t="s">
        <v>622</v>
      </c>
      <c r="D7475" s="154"/>
      <c r="E7475" s="145"/>
      <c r="F7475" s="144"/>
      <c r="G7475" s="144"/>
    </row>
    <row r="7476" spans="1:7" x14ac:dyDescent="0.25">
      <c r="A7476" s="148"/>
      <c r="C7476" s="153" t="s">
        <v>621</v>
      </c>
      <c r="D7476" s="152"/>
      <c r="E7476" s="151"/>
      <c r="F7476" s="150">
        <f>F7443</f>
        <v>0</v>
      </c>
      <c r="G7476" s="150">
        <f>G7443</f>
        <v>0</v>
      </c>
    </row>
    <row r="7477" spans="1:7" x14ac:dyDescent="0.25">
      <c r="A7477" s="148"/>
      <c r="C7477" s="153" t="s">
        <v>582</v>
      </c>
      <c r="D7477" s="152"/>
      <c r="E7477" s="151"/>
      <c r="F7477" s="150">
        <f>F7476+F7474</f>
        <v>0</v>
      </c>
      <c r="G7477" s="150">
        <f>G7476+G7474</f>
        <v>0</v>
      </c>
    </row>
    <row r="7478" spans="1:7" ht="15.75" thickBot="1" x14ac:dyDescent="0.3">
      <c r="A7478" s="148"/>
      <c r="C7478" s="145"/>
      <c r="D7478" s="149"/>
      <c r="E7478" s="145"/>
      <c r="F7478" s="144"/>
      <c r="G7478" s="144"/>
    </row>
    <row r="7479" spans="1:7" ht="15.75" thickBot="1" x14ac:dyDescent="0.3">
      <c r="A7479" s="148"/>
      <c r="C7479" s="147" t="s">
        <v>620</v>
      </c>
      <c r="D7479" s="146">
        <f>F7477-G7477</f>
        <v>0</v>
      </c>
      <c r="E7479" s="145"/>
      <c r="F7479" s="144"/>
      <c r="G7479" s="144"/>
    </row>
    <row r="7480" spans="1:7" ht="15.75" thickBot="1" x14ac:dyDescent="0.3"/>
    <row r="7481" spans="1:7" ht="30.75" thickBot="1" x14ac:dyDescent="0.3">
      <c r="A7481" s="181" t="s">
        <v>626</v>
      </c>
      <c r="B7481" s="180" t="s">
        <v>606</v>
      </c>
      <c r="C7481" s="179" t="s">
        <v>625</v>
      </c>
      <c r="D7481" s="178" t="s">
        <v>601</v>
      </c>
      <c r="E7481" s="177" t="s">
        <v>287</v>
      </c>
      <c r="F7481" s="176" t="s">
        <v>624</v>
      </c>
      <c r="G7481" s="176" t="s">
        <v>596</v>
      </c>
    </row>
    <row r="7482" spans="1:7" x14ac:dyDescent="0.25">
      <c r="A7482" s="175" t="str">
        <f>E7482&amp;COUNTIFS($E$2:E7482,E7482)</f>
        <v>0</v>
      </c>
      <c r="B7482" s="172"/>
      <c r="C7482" s="174"/>
      <c r="D7482" s="173"/>
      <c r="E7482" s="172"/>
      <c r="F7482" s="171"/>
      <c r="G7482" s="170"/>
    </row>
    <row r="7483" spans="1:7" x14ac:dyDescent="0.25">
      <c r="A7483" s="169" t="str">
        <f>E7483&amp;COUNTIFS($E$2:E7483,E7483)</f>
        <v>0</v>
      </c>
      <c r="B7483" s="166"/>
      <c r="C7483" s="168"/>
      <c r="D7483" s="167"/>
      <c r="E7483" s="166"/>
      <c r="F7483" s="165"/>
      <c r="G7483" s="164"/>
    </row>
    <row r="7484" spans="1:7" x14ac:dyDescent="0.25">
      <c r="A7484" s="169" t="str">
        <f>E7484&amp;COUNTIFS($E$2:E7484,E7484)</f>
        <v>0</v>
      </c>
      <c r="B7484" s="166"/>
      <c r="C7484" s="168"/>
      <c r="D7484" s="167"/>
      <c r="E7484" s="166"/>
      <c r="F7484" s="165"/>
      <c r="G7484" s="164"/>
    </row>
    <row r="7485" spans="1:7" x14ac:dyDescent="0.25">
      <c r="A7485" s="169" t="str">
        <f>E7485&amp;COUNTIFS($E$2:E7485,E7485)</f>
        <v>0</v>
      </c>
      <c r="B7485" s="166"/>
      <c r="C7485" s="168"/>
      <c r="D7485" s="167"/>
      <c r="E7485" s="166"/>
      <c r="F7485" s="165"/>
      <c r="G7485" s="164"/>
    </row>
    <row r="7486" spans="1:7" x14ac:dyDescent="0.25">
      <c r="A7486" s="169" t="str">
        <f>E7486&amp;COUNTIFS($E$2:E7486,E7486)</f>
        <v>0</v>
      </c>
      <c r="B7486" s="166"/>
      <c r="C7486" s="168"/>
      <c r="D7486" s="167"/>
      <c r="E7486" s="166"/>
      <c r="F7486" s="165"/>
      <c r="G7486" s="164"/>
    </row>
    <row r="7487" spans="1:7" x14ac:dyDescent="0.25">
      <c r="A7487" s="169" t="str">
        <f>E7487&amp;COUNTIFS($E$2:E7487,E7487)</f>
        <v>0</v>
      </c>
      <c r="B7487" s="166"/>
      <c r="C7487" s="168"/>
      <c r="D7487" s="167"/>
      <c r="E7487" s="166"/>
      <c r="F7487" s="165"/>
      <c r="G7487" s="164"/>
    </row>
    <row r="7488" spans="1:7" x14ac:dyDescent="0.25">
      <c r="A7488" s="169" t="str">
        <f>E7488&amp;COUNTIFS($E$2:E7488,E7488)</f>
        <v>0</v>
      </c>
      <c r="B7488" s="166"/>
      <c r="C7488" s="168"/>
      <c r="D7488" s="167"/>
      <c r="E7488" s="166"/>
      <c r="F7488" s="165"/>
      <c r="G7488" s="164"/>
    </row>
    <row r="7489" spans="1:7" x14ac:dyDescent="0.25">
      <c r="A7489" s="169" t="str">
        <f>E7489&amp;COUNTIFS($E$2:E7489,E7489)</f>
        <v>0</v>
      </c>
      <c r="B7489" s="166"/>
      <c r="C7489" s="168"/>
      <c r="D7489" s="167"/>
      <c r="E7489" s="166"/>
      <c r="F7489" s="165"/>
      <c r="G7489" s="164"/>
    </row>
    <row r="7490" spans="1:7" x14ac:dyDescent="0.25">
      <c r="A7490" s="169" t="str">
        <f>E7490&amp;COUNTIFS($E$2:E7490,E7490)</f>
        <v>0</v>
      </c>
      <c r="B7490" s="166"/>
      <c r="C7490" s="168"/>
      <c r="D7490" s="167"/>
      <c r="E7490" s="166"/>
      <c r="F7490" s="165"/>
      <c r="G7490" s="164"/>
    </row>
    <row r="7491" spans="1:7" x14ac:dyDescent="0.25">
      <c r="A7491" s="169" t="str">
        <f>E7491&amp;COUNTIFS($E$2:E7491,E7491)</f>
        <v>0</v>
      </c>
      <c r="B7491" s="166"/>
      <c r="C7491" s="168"/>
      <c r="D7491" s="167"/>
      <c r="E7491" s="166"/>
      <c r="F7491" s="165"/>
      <c r="G7491" s="164"/>
    </row>
    <row r="7492" spans="1:7" x14ac:dyDescent="0.25">
      <c r="A7492" s="169" t="str">
        <f>E7492&amp;COUNTIFS($E$2:E7492,E7492)</f>
        <v>0</v>
      </c>
      <c r="B7492" s="166"/>
      <c r="C7492" s="168"/>
      <c r="D7492" s="167"/>
      <c r="E7492" s="166"/>
      <c r="F7492" s="165"/>
      <c r="G7492" s="164"/>
    </row>
    <row r="7493" spans="1:7" x14ac:dyDescent="0.25">
      <c r="A7493" s="169" t="str">
        <f>E7493&amp;COUNTIFS($E$2:E7493,E7493)</f>
        <v>0</v>
      </c>
      <c r="B7493" s="166"/>
      <c r="C7493" s="168"/>
      <c r="D7493" s="167"/>
      <c r="E7493" s="166"/>
      <c r="F7493" s="165"/>
      <c r="G7493" s="164"/>
    </row>
    <row r="7494" spans="1:7" x14ac:dyDescent="0.25">
      <c r="A7494" s="169" t="str">
        <f>E7494&amp;COUNTIFS($E$2:E7494,E7494)</f>
        <v>0</v>
      </c>
      <c r="B7494" s="166"/>
      <c r="C7494" s="168"/>
      <c r="D7494" s="167"/>
      <c r="E7494" s="166"/>
      <c r="F7494" s="165"/>
      <c r="G7494" s="164"/>
    </row>
    <row r="7495" spans="1:7" x14ac:dyDescent="0.25">
      <c r="A7495" s="169" t="str">
        <f>E7495&amp;COUNTIFS($E$2:E7495,E7495)</f>
        <v>0</v>
      </c>
      <c r="B7495" s="166"/>
      <c r="C7495" s="168"/>
      <c r="D7495" s="167"/>
      <c r="E7495" s="166"/>
      <c r="F7495" s="165"/>
      <c r="G7495" s="164"/>
    </row>
    <row r="7496" spans="1:7" x14ac:dyDescent="0.25">
      <c r="A7496" s="169" t="str">
        <f>E7496&amp;COUNTIFS($E$2:E7496,E7496)</f>
        <v>0</v>
      </c>
      <c r="B7496" s="166"/>
      <c r="C7496" s="168"/>
      <c r="D7496" s="167"/>
      <c r="E7496" s="166"/>
      <c r="F7496" s="165"/>
      <c r="G7496" s="164"/>
    </row>
    <row r="7497" spans="1:7" x14ac:dyDescent="0.25">
      <c r="A7497" s="169" t="str">
        <f>E7497&amp;COUNTIFS($E$2:E7497,E7497)</f>
        <v>0</v>
      </c>
      <c r="B7497" s="166"/>
      <c r="C7497" s="168"/>
      <c r="D7497" s="167"/>
      <c r="E7497" s="166"/>
      <c r="F7497" s="165"/>
      <c r="G7497" s="164"/>
    </row>
    <row r="7498" spans="1:7" x14ac:dyDescent="0.25">
      <c r="A7498" s="169" t="str">
        <f>E7498&amp;COUNTIFS($E$2:E7498,E7498)</f>
        <v>0</v>
      </c>
      <c r="B7498" s="166"/>
      <c r="C7498" s="168"/>
      <c r="D7498" s="167"/>
      <c r="E7498" s="166"/>
      <c r="F7498" s="165"/>
      <c r="G7498" s="164"/>
    </row>
    <row r="7499" spans="1:7" x14ac:dyDescent="0.25">
      <c r="A7499" s="169" t="str">
        <f>E7499&amp;COUNTIFS($E$2:E7499,E7499)</f>
        <v>0</v>
      </c>
      <c r="B7499" s="166"/>
      <c r="C7499" s="168"/>
      <c r="D7499" s="167"/>
      <c r="E7499" s="166"/>
      <c r="F7499" s="165"/>
      <c r="G7499" s="164"/>
    </row>
    <row r="7500" spans="1:7" x14ac:dyDescent="0.25">
      <c r="A7500" s="169" t="str">
        <f>E7500&amp;COUNTIFS($E$2:E7500,E7500)</f>
        <v>0</v>
      </c>
      <c r="B7500" s="166"/>
      <c r="C7500" s="168"/>
      <c r="D7500" s="167"/>
      <c r="E7500" s="166"/>
      <c r="F7500" s="165"/>
      <c r="G7500" s="164"/>
    </row>
    <row r="7501" spans="1:7" x14ac:dyDescent="0.25">
      <c r="A7501" s="169" t="str">
        <f>E7501&amp;COUNTIFS($E$2:E7501,E7501)</f>
        <v>0</v>
      </c>
      <c r="B7501" s="166"/>
      <c r="C7501" s="168"/>
      <c r="D7501" s="167"/>
      <c r="E7501" s="166"/>
      <c r="F7501" s="165"/>
      <c r="G7501" s="164"/>
    </row>
    <row r="7502" spans="1:7" x14ac:dyDescent="0.25">
      <c r="A7502" s="169" t="str">
        <f>E7502&amp;COUNTIFS($E$2:E7502,E7502)</f>
        <v>0</v>
      </c>
      <c r="B7502" s="166"/>
      <c r="C7502" s="168"/>
      <c r="D7502" s="167"/>
      <c r="E7502" s="166"/>
      <c r="F7502" s="165"/>
      <c r="G7502" s="164"/>
    </row>
    <row r="7503" spans="1:7" x14ac:dyDescent="0.25">
      <c r="A7503" s="169" t="str">
        <f>E7503&amp;COUNTIFS($E$2:E7503,E7503)</f>
        <v>0</v>
      </c>
      <c r="B7503" s="166"/>
      <c r="C7503" s="168"/>
      <c r="D7503" s="167"/>
      <c r="E7503" s="166"/>
      <c r="F7503" s="165"/>
      <c r="G7503" s="164"/>
    </row>
    <row r="7504" spans="1:7" x14ac:dyDescent="0.25">
      <c r="A7504" s="169" t="str">
        <f>E7504&amp;COUNTIFS($E$2:E7504,E7504)</f>
        <v>0</v>
      </c>
      <c r="B7504" s="166"/>
      <c r="C7504" s="168"/>
      <c r="D7504" s="167"/>
      <c r="E7504" s="166"/>
      <c r="F7504" s="165"/>
      <c r="G7504" s="164"/>
    </row>
    <row r="7505" spans="1:7" x14ac:dyDescent="0.25">
      <c r="A7505" s="169" t="str">
        <f>E7505&amp;COUNTIFS($E$2:E7505,E7505)</f>
        <v>0</v>
      </c>
      <c r="B7505" s="166"/>
      <c r="C7505" s="168"/>
      <c r="D7505" s="167"/>
      <c r="E7505" s="166"/>
      <c r="F7505" s="165"/>
      <c r="G7505" s="164"/>
    </row>
    <row r="7506" spans="1:7" ht="15.75" thickBot="1" x14ac:dyDescent="0.3">
      <c r="A7506" s="163" t="str">
        <f>E7506&amp;COUNTIFS($E$2:E7506,E7506)</f>
        <v>0</v>
      </c>
      <c r="B7506" s="160"/>
      <c r="C7506" s="162"/>
      <c r="D7506" s="161"/>
      <c r="E7506" s="160"/>
      <c r="F7506" s="159"/>
      <c r="G7506" s="158"/>
    </row>
    <row r="7507" spans="1:7" x14ac:dyDescent="0.25">
      <c r="A7507" s="148"/>
      <c r="C7507" s="143"/>
      <c r="D7507" s="157"/>
      <c r="E7507" s="143"/>
      <c r="F7507" s="156"/>
      <c r="G7507" s="156"/>
    </row>
    <row r="7508" spans="1:7" x14ac:dyDescent="0.25">
      <c r="A7508" s="148"/>
      <c r="C7508" s="153" t="s">
        <v>623</v>
      </c>
      <c r="D7508" s="152"/>
      <c r="E7508" s="151"/>
      <c r="F7508" s="150">
        <f>SUM(F7482:F7506)</f>
        <v>0</v>
      </c>
      <c r="G7508" s="155">
        <f>SUM(G7482:G7506)</f>
        <v>0</v>
      </c>
    </row>
    <row r="7509" spans="1:7" x14ac:dyDescent="0.25">
      <c r="A7509" s="148"/>
      <c r="C7509" s="145" t="s">
        <v>622</v>
      </c>
      <c r="D7509" s="154"/>
      <c r="E7509" s="145"/>
      <c r="F7509" s="144"/>
      <c r="G7509" s="144"/>
    </row>
    <row r="7510" spans="1:7" x14ac:dyDescent="0.25">
      <c r="A7510" s="148"/>
      <c r="C7510" s="153" t="s">
        <v>621</v>
      </c>
      <c r="D7510" s="152"/>
      <c r="E7510" s="151"/>
      <c r="F7510" s="150">
        <f>F7477</f>
        <v>0</v>
      </c>
      <c r="G7510" s="150">
        <f>G7477</f>
        <v>0</v>
      </c>
    </row>
    <row r="7511" spans="1:7" x14ac:dyDescent="0.25">
      <c r="A7511" s="148"/>
      <c r="C7511" s="153" t="s">
        <v>582</v>
      </c>
      <c r="D7511" s="152"/>
      <c r="E7511" s="151"/>
      <c r="F7511" s="150">
        <f>F7510+F7508</f>
        <v>0</v>
      </c>
      <c r="G7511" s="150">
        <f>G7510+G7508</f>
        <v>0</v>
      </c>
    </row>
    <row r="7512" spans="1:7" ht="15.75" thickBot="1" x14ac:dyDescent="0.3">
      <c r="A7512" s="148"/>
      <c r="C7512" s="145"/>
      <c r="D7512" s="149"/>
      <c r="E7512" s="145"/>
      <c r="F7512" s="144"/>
      <c r="G7512" s="144"/>
    </row>
    <row r="7513" spans="1:7" ht="15.75" thickBot="1" x14ac:dyDescent="0.3">
      <c r="A7513" s="148"/>
      <c r="C7513" s="147" t="s">
        <v>620</v>
      </c>
      <c r="D7513" s="146">
        <f>F7511-G7511</f>
        <v>0</v>
      </c>
      <c r="E7513" s="145"/>
      <c r="F7513" s="144"/>
      <c r="G7513" s="144"/>
    </row>
  </sheetData>
  <mergeCells count="1">
    <mergeCell ref="I1:I2"/>
  </mergeCells>
  <pageMargins left="0.23622047244094491" right="0.23622047244094491" top="0.74803149606299213" bottom="0.74803149606299213" header="0.31496062992125984" footer="0.31496062992125984"/>
  <pageSetup paperSize="256" scale="7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BBC0-A3FB-46F0-89C1-28F5004802F9}">
  <sheetPr>
    <tabColor rgb="FF00B050"/>
  </sheetPr>
  <dimension ref="A2:G5424"/>
  <sheetViews>
    <sheetView showGridLines="0" tabSelected="1" topLeftCell="A52" zoomScale="85" zoomScaleNormal="85" workbookViewId="0">
      <selection activeCell="C5139" sqref="C5139"/>
    </sheetView>
  </sheetViews>
  <sheetFormatPr defaultRowHeight="15" x14ac:dyDescent="0.25"/>
  <cols>
    <col min="1" max="1" width="21.5703125" style="307" customWidth="1"/>
    <col min="2" max="2" width="9.140625" style="307"/>
    <col min="3" max="3" width="19.7109375" style="307" customWidth="1"/>
    <col min="4" max="4" width="20.85546875" style="307" customWidth="1"/>
    <col min="5" max="5" width="83.5703125" style="308" bestFit="1" customWidth="1"/>
    <col min="6" max="6" width="25.5703125" style="307" bestFit="1" customWidth="1"/>
    <col min="7" max="7" width="25.5703125" style="307" customWidth="1"/>
    <col min="8" max="16384" width="9.140625" style="307"/>
  </cols>
  <sheetData>
    <row r="2" spans="1:7" ht="15.75" x14ac:dyDescent="0.25">
      <c r="C2" s="332" t="s">
        <v>662</v>
      </c>
      <c r="D2" s="333"/>
      <c r="E2" s="332"/>
      <c r="F2" s="327" t="s">
        <v>607</v>
      </c>
      <c r="G2" s="327" t="s">
        <v>569</v>
      </c>
    </row>
    <row r="3" spans="1:7" ht="15.75" x14ac:dyDescent="0.25">
      <c r="C3" s="332"/>
      <c r="D3" s="333"/>
      <c r="E3" s="332"/>
      <c r="F3" s="327" t="s">
        <v>601</v>
      </c>
      <c r="G3" s="327" t="s">
        <v>280</v>
      </c>
    </row>
    <row r="4" spans="1:7" x14ac:dyDescent="0.25">
      <c r="C4" s="328"/>
      <c r="D4" s="329"/>
      <c r="E4" s="328"/>
      <c r="F4" s="327" t="s">
        <v>651</v>
      </c>
      <c r="G4" s="331">
        <v>0</v>
      </c>
    </row>
    <row r="5" spans="1:7" ht="15.75" thickBot="1" x14ac:dyDescent="0.3">
      <c r="C5" s="328"/>
      <c r="D5" s="329"/>
      <c r="E5" s="328"/>
      <c r="F5" s="327" t="s">
        <v>650</v>
      </c>
      <c r="G5" s="326">
        <f>+F11-G4</f>
        <v>24986352</v>
      </c>
    </row>
    <row r="6" spans="1:7" x14ac:dyDescent="0.25">
      <c r="A6" s="571" t="s">
        <v>655</v>
      </c>
      <c r="B6" s="573" t="s">
        <v>606</v>
      </c>
      <c r="C6" s="575" t="s">
        <v>649</v>
      </c>
      <c r="D6" s="577" t="s">
        <v>648</v>
      </c>
      <c r="E6" s="577" t="s">
        <v>647</v>
      </c>
      <c r="F6" s="577" t="s">
        <v>646</v>
      </c>
      <c r="G6" s="580" t="s">
        <v>645</v>
      </c>
    </row>
    <row r="7" spans="1:7" ht="15.75" thickBot="1" x14ac:dyDescent="0.3">
      <c r="A7" s="572"/>
      <c r="B7" s="574"/>
      <c r="C7" s="576"/>
      <c r="D7" s="578"/>
      <c r="E7" s="578"/>
      <c r="F7" s="578"/>
      <c r="G7" s="581"/>
    </row>
    <row r="8" spans="1:7" ht="15.75" thickBot="1" x14ac:dyDescent="0.3">
      <c r="A8" s="425">
        <v>1</v>
      </c>
      <c r="B8" s="425">
        <v>2</v>
      </c>
      <c r="C8" s="425">
        <v>3</v>
      </c>
      <c r="D8" s="425">
        <v>4</v>
      </c>
      <c r="E8" s="425">
        <v>5</v>
      </c>
      <c r="F8" s="425">
        <v>6</v>
      </c>
      <c r="G8" s="425">
        <v>7</v>
      </c>
    </row>
    <row r="9" spans="1:7" x14ac:dyDescent="0.25">
      <c r="A9" s="339" t="str">
        <f>$G$2&amp;B9</f>
        <v>I.1.1.011</v>
      </c>
      <c r="B9" s="339">
        <v>1</v>
      </c>
      <c r="C9" s="467">
        <f>IFERROR(VLOOKUP(A9,[3]DOORSCRIEFT!$A$2:$G$8551,2,FALSE),"")</f>
        <v>0</v>
      </c>
      <c r="D9" s="470">
        <f>IFERROR(VLOOKUP(A9,[3]DOORSCRIEFT!$A$2:$G$24,3,FALSE),"")</f>
        <v>46023</v>
      </c>
      <c r="E9" s="392" t="str">
        <f>IFERROR(VLOOKUP(A9,[3]DOORSCRIEFT!$A$2:$G$24,4,FALSE),"")</f>
        <v>Sisa Belanja Tahun Anggaran 2025</v>
      </c>
      <c r="F9" s="405">
        <f>IFERROR(VLOOKUP(A9,[3]DOORSCRIEFT!$A$2:$G$24,6,FALSE),"")</f>
        <v>24986352</v>
      </c>
      <c r="G9" s="349"/>
    </row>
    <row r="10" spans="1:7" ht="15.75" thickBot="1" x14ac:dyDescent="0.3">
      <c r="A10" s="353" t="str">
        <f>$G$2&amp;B10</f>
        <v>I.1.1.012</v>
      </c>
      <c r="B10" s="345">
        <v>2</v>
      </c>
      <c r="C10" s="467" t="str">
        <f>IFERROR(VLOOKUP(A10,[3]DOORSCRIEFT!$A$2:$G$24,3,FALSE),"")</f>
        <v/>
      </c>
      <c r="D10" s="479" t="str">
        <f>IFERROR(VLOOKUP(A10,#REF!,3,FALSE),"")</f>
        <v/>
      </c>
      <c r="E10" s="392" t="str">
        <f>IFERROR(VLOOKUP(A10,[3]DOORSCRIEFT!$A$2:$G$24,4,FALSE),"")</f>
        <v/>
      </c>
      <c r="F10" s="405" t="str">
        <f>IFERROR(VLOOKUP(A10,[3]DOORSCRIEFT!$A$2:$G$24,6,FALSE),"")</f>
        <v/>
      </c>
      <c r="G10" s="349" t="str">
        <f>IFERROR(VLOOKUP(A10,#REF!,7,FALSE),"")</f>
        <v/>
      </c>
    </row>
    <row r="11" spans="1:7" ht="15.75" thickBot="1" x14ac:dyDescent="0.3">
      <c r="A11" s="478"/>
      <c r="B11" s="460"/>
      <c r="C11" s="477"/>
      <c r="D11" s="476"/>
      <c r="E11" s="311" t="s">
        <v>644</v>
      </c>
      <c r="F11" s="310">
        <f>SUM(F9:F10)</f>
        <v>24986352</v>
      </c>
      <c r="G11" s="309">
        <f>SUM(G9:G10)</f>
        <v>0</v>
      </c>
    </row>
    <row r="15" spans="1:7" ht="15.75" x14ac:dyDescent="0.25">
      <c r="C15" s="332"/>
      <c r="D15" s="333"/>
      <c r="E15" s="332"/>
      <c r="F15" s="327" t="s">
        <v>607</v>
      </c>
      <c r="G15" s="327" t="s">
        <v>562</v>
      </c>
    </row>
    <row r="16" spans="1:7" ht="15.75" x14ac:dyDescent="0.25">
      <c r="C16" s="332"/>
      <c r="D16" s="333"/>
      <c r="E16" s="332"/>
      <c r="F16" s="327" t="s">
        <v>601</v>
      </c>
      <c r="G16" s="327" t="s">
        <v>561</v>
      </c>
    </row>
    <row r="17" spans="1:7" x14ac:dyDescent="0.25">
      <c r="C17" s="328"/>
      <c r="D17" s="329"/>
      <c r="E17" s="328"/>
      <c r="F17" s="327" t="s">
        <v>651</v>
      </c>
      <c r="G17" s="331">
        <v>0</v>
      </c>
    </row>
    <row r="18" spans="1:7" ht="15.75" thickBot="1" x14ac:dyDescent="0.3">
      <c r="C18" s="328"/>
      <c r="D18" s="329"/>
      <c r="E18" s="328"/>
      <c r="F18" s="327" t="s">
        <v>650</v>
      </c>
      <c r="G18" s="326">
        <f>+F32-G17</f>
        <v>0</v>
      </c>
    </row>
    <row r="19" spans="1:7" x14ac:dyDescent="0.25">
      <c r="A19" s="582" t="s">
        <v>655</v>
      </c>
      <c r="B19" s="584" t="s">
        <v>606</v>
      </c>
      <c r="C19" s="575" t="s">
        <v>649</v>
      </c>
      <c r="D19" s="577" t="s">
        <v>648</v>
      </c>
      <c r="E19" s="577" t="s">
        <v>647</v>
      </c>
      <c r="F19" s="577" t="s">
        <v>646</v>
      </c>
      <c r="G19" s="580" t="s">
        <v>645</v>
      </c>
    </row>
    <row r="20" spans="1:7" ht="15.75" thickBot="1" x14ac:dyDescent="0.3">
      <c r="A20" s="583"/>
      <c r="B20" s="585"/>
      <c r="C20" s="576"/>
      <c r="D20" s="586"/>
      <c r="E20" s="586"/>
      <c r="F20" s="586"/>
      <c r="G20" s="587"/>
    </row>
    <row r="21" spans="1:7" ht="15.75" thickBot="1" x14ac:dyDescent="0.3">
      <c r="A21" s="325">
        <v>1</v>
      </c>
      <c r="B21" s="324">
        <v>2</v>
      </c>
      <c r="C21" s="323">
        <v>3</v>
      </c>
      <c r="D21" s="324">
        <v>4</v>
      </c>
      <c r="E21" s="324">
        <v>5</v>
      </c>
      <c r="F21" s="324">
        <v>6</v>
      </c>
      <c r="G21" s="323">
        <v>7</v>
      </c>
    </row>
    <row r="22" spans="1:7" x14ac:dyDescent="0.25">
      <c r="A22" s="475" t="str">
        <f t="shared" ref="A22:A31" si="0">$G$15&amp;B22</f>
        <v>I.2.1.011</v>
      </c>
      <c r="B22" s="320">
        <v>1</v>
      </c>
      <c r="C22" s="467" t="str">
        <f>IFERROR(VLOOKUP(A22,[3]DOORSCRIEFT!$A$2:$G$24,2,FALSE),"")</f>
        <v/>
      </c>
      <c r="D22" s="470" t="str">
        <f>IFERROR(VLOOKUP(A22,[3]DOORSCRIEFT!$A$2:$G$24,3,FALSE),"")</f>
        <v/>
      </c>
      <c r="E22" s="392" t="str">
        <f>IFERROR(VLOOKUP(A22,[3]DOORSCRIEFT!$A$2:$G$24,4,FALSE),"")</f>
        <v/>
      </c>
      <c r="F22" s="405" t="str">
        <f>IFERROR(VLOOKUP(A22,[3]DOORSCRIEFT!$A$2:$G$24,6,FALSE),"")</f>
        <v/>
      </c>
      <c r="G22" s="437"/>
    </row>
    <row r="23" spans="1:7" x14ac:dyDescent="0.25">
      <c r="A23" s="475" t="str">
        <f t="shared" si="0"/>
        <v>I.2.1.012</v>
      </c>
      <c r="B23" s="321">
        <v>2</v>
      </c>
      <c r="C23" s="467" t="str">
        <f>IFERROR(VLOOKUP(A23,[3]DOORSCRIEFT!$A$2:$G$24,2,FALSE),"")</f>
        <v/>
      </c>
      <c r="D23" s="470" t="str">
        <f>IFERROR(VLOOKUP(A23,[3]DOORSCRIEFT!$A$2:$G$24,3,FALSE),"")</f>
        <v/>
      </c>
      <c r="E23" s="392" t="str">
        <f>IFERROR(VLOOKUP(A23,[3]DOORSCRIEFT!$A$2:$G$24,4,FALSE),"")</f>
        <v/>
      </c>
      <c r="F23" s="405" t="str">
        <f>IFERROR(VLOOKUP(A23,[3]DOORSCRIEFT!$A$2:$G$24,6,FALSE),"")</f>
        <v/>
      </c>
      <c r="G23" s="446"/>
    </row>
    <row r="24" spans="1:7" x14ac:dyDescent="0.25">
      <c r="A24" s="475" t="str">
        <f t="shared" si="0"/>
        <v>I.2.1.013</v>
      </c>
      <c r="B24" s="320">
        <v>3</v>
      </c>
      <c r="C24" s="467" t="str">
        <f>IFERROR(VLOOKUP(A24,[3]DOORSCRIEFT!$A$2:$G$24,2,FALSE),"")</f>
        <v/>
      </c>
      <c r="D24" s="470" t="str">
        <f>IFERROR(VLOOKUP(A24,[3]DOORSCRIEFT!$A$2:$G$24,3,FALSE),"")</f>
        <v/>
      </c>
      <c r="E24" s="392" t="str">
        <f>IFERROR(VLOOKUP(A24,[3]DOORSCRIEFT!$A$2:$G$24,4,FALSE),"")</f>
        <v/>
      </c>
      <c r="F24" s="405" t="str">
        <f>IFERROR(VLOOKUP(A24,[3]DOORSCRIEFT!$A$2:$G$24,6,FALSE),"")</f>
        <v/>
      </c>
      <c r="G24" s="446"/>
    </row>
    <row r="25" spans="1:7" x14ac:dyDescent="0.25">
      <c r="A25" s="475" t="str">
        <f t="shared" si="0"/>
        <v>I.2.1.014</v>
      </c>
      <c r="B25" s="321">
        <v>4</v>
      </c>
      <c r="C25" s="467" t="str">
        <f>IFERROR(VLOOKUP(A25,[3]DOORSCRIEFT!$A$2:$G$24,2,FALSE),"")</f>
        <v/>
      </c>
      <c r="D25" s="470" t="str">
        <f>IFERROR(VLOOKUP(A25,[3]DOORSCRIEFT!$A$2:$G$24,3,FALSE),"")</f>
        <v/>
      </c>
      <c r="E25" s="392" t="str">
        <f>IFERROR(VLOOKUP(A25,[3]DOORSCRIEFT!$A$2:$G$24,4,FALSE),"")</f>
        <v/>
      </c>
      <c r="F25" s="405" t="str">
        <f>IFERROR(VLOOKUP(A25,[3]DOORSCRIEFT!$A$2:$G$24,6,FALSE),"")</f>
        <v/>
      </c>
      <c r="G25" s="446"/>
    </row>
    <row r="26" spans="1:7" x14ac:dyDescent="0.25">
      <c r="A26" s="475" t="str">
        <f t="shared" si="0"/>
        <v>I.2.1.015</v>
      </c>
      <c r="B26" s="320">
        <v>5</v>
      </c>
      <c r="C26" s="467" t="str">
        <f>IFERROR(VLOOKUP(A26,[3]DOORSCRIEFT!$A$2:$G$24,2,FALSE),"")</f>
        <v/>
      </c>
      <c r="D26" s="470" t="str">
        <f>IFERROR(VLOOKUP(A26,[3]DOORSCRIEFT!$A$2:$G$24,3,FALSE),"")</f>
        <v/>
      </c>
      <c r="E26" s="392" t="str">
        <f>IFERROR(VLOOKUP(A26,[3]DOORSCRIEFT!$A$2:$G$24,4,FALSE),"")</f>
        <v/>
      </c>
      <c r="F26" s="405" t="str">
        <f>IFERROR(VLOOKUP(A26,[3]DOORSCRIEFT!$A$2:$G$24,6,FALSE),"")</f>
        <v/>
      </c>
      <c r="G26" s="446"/>
    </row>
    <row r="27" spans="1:7" x14ac:dyDescent="0.25">
      <c r="A27" s="475" t="str">
        <f t="shared" si="0"/>
        <v>I.2.1.016</v>
      </c>
      <c r="B27" s="321">
        <v>6</v>
      </c>
      <c r="C27" s="467" t="str">
        <f>IFERROR(VLOOKUP(A27,[3]DOORSCRIEFT!$A$2:$G$24,2,FALSE),"")</f>
        <v/>
      </c>
      <c r="D27" s="470" t="str">
        <f>IFERROR(VLOOKUP(A27,[3]DOORSCRIEFT!$A$2:$G$24,3,FALSE),"")</f>
        <v/>
      </c>
      <c r="E27" s="392" t="str">
        <f>IFERROR(VLOOKUP(A27,[3]DOORSCRIEFT!$A$2:$G$24,4,FALSE),"")</f>
        <v/>
      </c>
      <c r="F27" s="405" t="str">
        <f>IFERROR(VLOOKUP(A27,[3]DOORSCRIEFT!$A$2:$G$24,6,FALSE),"")</f>
        <v/>
      </c>
      <c r="G27" s="446"/>
    </row>
    <row r="28" spans="1:7" x14ac:dyDescent="0.25">
      <c r="A28" s="475" t="str">
        <f t="shared" si="0"/>
        <v>I.2.1.017</v>
      </c>
      <c r="B28" s="320">
        <v>7</v>
      </c>
      <c r="C28" s="467" t="str">
        <f>IFERROR(VLOOKUP(A28,[3]DOORSCRIEFT!$A$2:$G$24,2,FALSE),"")</f>
        <v/>
      </c>
      <c r="D28" s="470" t="str">
        <f>IFERROR(VLOOKUP(A28,[3]DOORSCRIEFT!$A$2:$G$24,3,FALSE),"")</f>
        <v/>
      </c>
      <c r="E28" s="392" t="str">
        <f>IFERROR(VLOOKUP(A28,[3]DOORSCRIEFT!$A$2:$G$24,4,FALSE),"")</f>
        <v/>
      </c>
      <c r="F28" s="405" t="str">
        <f>IFERROR(VLOOKUP(A28,[3]DOORSCRIEFT!$A$2:$G$24,6,FALSE),"")</f>
        <v/>
      </c>
      <c r="G28" s="446"/>
    </row>
    <row r="29" spans="1:7" x14ac:dyDescent="0.25">
      <c r="A29" s="475" t="str">
        <f t="shared" si="0"/>
        <v>I.2.1.018</v>
      </c>
      <c r="B29" s="321">
        <v>8</v>
      </c>
      <c r="C29" s="467" t="str">
        <f>IFERROR(VLOOKUP(A29,[3]DOORSCRIEFT!$A$2:$G$24,2,FALSE),"")</f>
        <v/>
      </c>
      <c r="D29" s="470" t="str">
        <f>IFERROR(VLOOKUP(A29,[3]DOORSCRIEFT!$A$2:$G$24,3,FALSE),"")</f>
        <v/>
      </c>
      <c r="E29" s="392" t="str">
        <f>IFERROR(VLOOKUP(A29,[3]DOORSCRIEFT!$A$2:$G$24,4,FALSE),"")</f>
        <v/>
      </c>
      <c r="F29" s="405" t="str">
        <f>IFERROR(VLOOKUP(A29,[3]DOORSCRIEFT!$A$2:$G$24,6,FALSE),"")</f>
        <v/>
      </c>
      <c r="G29" s="446"/>
    </row>
    <row r="30" spans="1:7" x14ac:dyDescent="0.25">
      <c r="A30" s="475" t="str">
        <f t="shared" si="0"/>
        <v>I.2.1.019</v>
      </c>
      <c r="B30" s="320">
        <v>9</v>
      </c>
      <c r="C30" s="467" t="str">
        <f>IFERROR(VLOOKUP(A30,[3]DOORSCRIEFT!$A$2:$G$24,2,FALSE),"")</f>
        <v/>
      </c>
      <c r="D30" s="470" t="str">
        <f>IFERROR(VLOOKUP(A30,[3]DOORSCRIEFT!$A$2:$G$24,3,FALSE),"")</f>
        <v/>
      </c>
      <c r="E30" s="392" t="str">
        <f>IFERROR(VLOOKUP(A30,[3]DOORSCRIEFT!$A$2:$G$24,4,FALSE),"")</f>
        <v/>
      </c>
      <c r="F30" s="405" t="str">
        <f>IFERROR(VLOOKUP(A30,[3]DOORSCRIEFT!$A$2:$G$24,6,FALSE),"")</f>
        <v/>
      </c>
      <c r="G30" s="446"/>
    </row>
    <row r="31" spans="1:7" ht="15.75" thickBot="1" x14ac:dyDescent="0.3">
      <c r="A31" s="475" t="str">
        <f t="shared" si="0"/>
        <v>I.2.1.0110</v>
      </c>
      <c r="B31" s="321">
        <v>10</v>
      </c>
      <c r="C31" s="467" t="str">
        <f>IFERROR(VLOOKUP(A31,[3]DOORSCRIEFT!$A$2:$G$24,2,FALSE),"")</f>
        <v/>
      </c>
      <c r="D31" s="470" t="str">
        <f>IFERROR(VLOOKUP(A31,[3]DOORSCRIEFT!$A$2:$G$24,3,FALSE),"")</f>
        <v/>
      </c>
      <c r="E31" s="392" t="str">
        <f>IFERROR(VLOOKUP(A31,[3]DOORSCRIEFT!$A$2:$G$24,4,FALSE),"")</f>
        <v/>
      </c>
      <c r="F31" s="405" t="str">
        <f>IFERROR(VLOOKUP(A31,[3]DOORSCRIEFT!$A$2:$G$24,6,FALSE),"")</f>
        <v/>
      </c>
      <c r="G31" s="415"/>
    </row>
    <row r="32" spans="1:7" ht="15.75" thickBot="1" x14ac:dyDescent="0.3">
      <c r="A32" s="474"/>
      <c r="B32" s="358"/>
      <c r="C32" s="407"/>
      <c r="D32" s="312"/>
      <c r="E32" s="311" t="s">
        <v>644</v>
      </c>
      <c r="F32" s="436">
        <f>SUM(F22:F31)</f>
        <v>0</v>
      </c>
      <c r="G32" s="435">
        <f>SUM(G22:G31)</f>
        <v>0</v>
      </c>
    </row>
    <row r="36" spans="1:7" ht="15.75" x14ac:dyDescent="0.25">
      <c r="C36" s="332"/>
      <c r="D36" s="333"/>
      <c r="E36" s="332"/>
      <c r="F36" s="327" t="s">
        <v>607</v>
      </c>
      <c r="G36" s="327" t="s">
        <v>558</v>
      </c>
    </row>
    <row r="37" spans="1:7" ht="15.75" x14ac:dyDescent="0.25">
      <c r="C37" s="332"/>
      <c r="D37" s="333"/>
      <c r="E37" s="332"/>
      <c r="F37" s="327" t="s">
        <v>601</v>
      </c>
      <c r="G37" s="327" t="s">
        <v>557</v>
      </c>
    </row>
    <row r="38" spans="1:7" x14ac:dyDescent="0.25">
      <c r="C38" s="328"/>
      <c r="D38" s="329"/>
      <c r="E38" s="328"/>
      <c r="F38" s="327" t="s">
        <v>651</v>
      </c>
      <c r="G38" s="331">
        <v>0</v>
      </c>
    </row>
    <row r="39" spans="1:7" ht="15.75" thickBot="1" x14ac:dyDescent="0.3">
      <c r="C39" s="328"/>
      <c r="D39" s="329"/>
      <c r="E39" s="328"/>
      <c r="F39" s="327" t="s">
        <v>650</v>
      </c>
      <c r="G39" s="326">
        <f>+F45-G38</f>
        <v>0</v>
      </c>
    </row>
    <row r="40" spans="1:7" x14ac:dyDescent="0.25">
      <c r="A40" s="571" t="s">
        <v>655</v>
      </c>
      <c r="B40" s="573" t="s">
        <v>606</v>
      </c>
      <c r="C40" s="575" t="s">
        <v>649</v>
      </c>
      <c r="D40" s="577" t="s">
        <v>648</v>
      </c>
      <c r="E40" s="577" t="s">
        <v>647</v>
      </c>
      <c r="F40" s="577" t="s">
        <v>646</v>
      </c>
      <c r="G40" s="580" t="s">
        <v>645</v>
      </c>
    </row>
    <row r="41" spans="1:7" ht="15.75" thickBot="1" x14ac:dyDescent="0.3">
      <c r="A41" s="572"/>
      <c r="B41" s="574"/>
      <c r="C41" s="576"/>
      <c r="D41" s="578"/>
      <c r="E41" s="578"/>
      <c r="F41" s="578"/>
      <c r="G41" s="581"/>
    </row>
    <row r="42" spans="1:7" ht="15.75" thickBot="1" x14ac:dyDescent="0.3">
      <c r="A42" s="473">
        <v>1</v>
      </c>
      <c r="B42" s="472">
        <v>2</v>
      </c>
      <c r="C42" s="455">
        <v>3</v>
      </c>
      <c r="D42" s="434">
        <v>4</v>
      </c>
      <c r="E42" s="434">
        <v>5</v>
      </c>
      <c r="F42" s="434">
        <v>6</v>
      </c>
      <c r="G42" s="356">
        <v>7</v>
      </c>
    </row>
    <row r="43" spans="1:7" x14ac:dyDescent="0.25">
      <c r="A43" s="320" t="str">
        <f>$G$36&amp;B43</f>
        <v>I.2.1.02</v>
      </c>
      <c r="B43" s="471"/>
      <c r="C43" s="467" t="str">
        <f>IFERROR(VLOOKUP(A43,[3]DOORSCRIEFT!$A$2:$G$24,2,FALSE),"")</f>
        <v/>
      </c>
      <c r="D43" s="470" t="str">
        <f>IFERROR(VLOOKUP(A43,[3]DOORSCRIEFT!$A$2:$G$24,3,FALSE),"")</f>
        <v/>
      </c>
      <c r="E43" s="392" t="str">
        <f>IFERROR(VLOOKUP(A43,[3]DOORSCRIEFT!$A$2:$G$24,4,FALSE),"")</f>
        <v/>
      </c>
      <c r="F43" s="405" t="str">
        <f>IFERROR(VLOOKUP(A43,[3]DOORSCRIEFT!$A$2:$G$24,6,FALSE),"")</f>
        <v/>
      </c>
      <c r="G43" s="437"/>
    </row>
    <row r="44" spans="1:7" ht="15.75" thickBot="1" x14ac:dyDescent="0.3">
      <c r="A44" s="320" t="str">
        <f>$G$36&amp;B44</f>
        <v>I.2.1.02</v>
      </c>
      <c r="B44" s="450"/>
      <c r="C44" s="467" t="str">
        <f>IFERROR(VLOOKUP(A44,[3]DOORSCRIEFT!$A$2:$G$24,2,FALSE),"")</f>
        <v/>
      </c>
      <c r="D44" s="470" t="str">
        <f>IFERROR(VLOOKUP(A44,[3]DOORSCRIEFT!$A$2:$G$24,3,FALSE),"")</f>
        <v/>
      </c>
      <c r="E44" s="392" t="str">
        <f>IFERROR(VLOOKUP(A44,[3]DOORSCRIEFT!$A$2:$G$24,4,FALSE),"")</f>
        <v/>
      </c>
      <c r="F44" s="405" t="str">
        <f>IFERROR(VLOOKUP(A44,[3]DOORSCRIEFT!$A$2:$G$24,6,FALSE),"")</f>
        <v/>
      </c>
      <c r="G44" s="415"/>
    </row>
    <row r="45" spans="1:7" ht="15.75" thickBot="1" x14ac:dyDescent="0.3">
      <c r="A45" s="430"/>
      <c r="B45" s="429"/>
      <c r="C45" s="469"/>
      <c r="D45" s="464"/>
      <c r="E45" s="400" t="s">
        <v>644</v>
      </c>
      <c r="F45" s="427">
        <f>SUM(F43:F44)</f>
        <v>0</v>
      </c>
      <c r="G45" s="426">
        <f>SUM(G43:G44)</f>
        <v>0</v>
      </c>
    </row>
    <row r="49" spans="1:7" ht="15.75" x14ac:dyDescent="0.25">
      <c r="C49" s="332"/>
      <c r="D49" s="333"/>
      <c r="E49" s="332"/>
      <c r="F49" s="327" t="s">
        <v>607</v>
      </c>
      <c r="G49" s="327" t="s">
        <v>552</v>
      </c>
    </row>
    <row r="50" spans="1:7" ht="15.75" x14ac:dyDescent="0.25">
      <c r="C50" s="332"/>
      <c r="D50" s="333"/>
      <c r="E50" s="332"/>
      <c r="F50" s="327" t="s">
        <v>601</v>
      </c>
      <c r="G50" s="327" t="s">
        <v>551</v>
      </c>
    </row>
    <row r="51" spans="1:7" x14ac:dyDescent="0.25">
      <c r="C51" s="328"/>
      <c r="D51" s="329"/>
      <c r="E51" s="328"/>
      <c r="F51" s="327" t="s">
        <v>651</v>
      </c>
      <c r="G51" s="331">
        <f>[2]Sheet1!$D$23</f>
        <v>338000000</v>
      </c>
    </row>
    <row r="52" spans="1:7" ht="15.75" thickBot="1" x14ac:dyDescent="0.3">
      <c r="C52" s="328"/>
      <c r="D52" s="329"/>
      <c r="E52" s="328"/>
      <c r="F52" s="327" t="s">
        <v>650</v>
      </c>
      <c r="G52" s="326">
        <f>+F158-G51</f>
        <v>-237847000</v>
      </c>
    </row>
    <row r="53" spans="1:7" x14ac:dyDescent="0.25">
      <c r="A53" s="571" t="s">
        <v>626</v>
      </c>
      <c r="B53" s="571" t="s">
        <v>606</v>
      </c>
      <c r="C53" s="588" t="s">
        <v>661</v>
      </c>
      <c r="D53" s="577" t="s">
        <v>648</v>
      </c>
      <c r="E53" s="577" t="s">
        <v>647</v>
      </c>
      <c r="F53" s="577" t="s">
        <v>646</v>
      </c>
      <c r="G53" s="580" t="s">
        <v>645</v>
      </c>
    </row>
    <row r="54" spans="1:7" ht="15.75" thickBot="1" x14ac:dyDescent="0.3">
      <c r="A54" s="579"/>
      <c r="B54" s="579"/>
      <c r="C54" s="589"/>
      <c r="D54" s="578"/>
      <c r="E54" s="578"/>
      <c r="F54" s="578"/>
      <c r="G54" s="581"/>
    </row>
    <row r="55" spans="1:7" ht="15.75" thickBot="1" x14ac:dyDescent="0.3">
      <c r="A55" s="468">
        <v>1</v>
      </c>
      <c r="B55" s="468">
        <v>2</v>
      </c>
      <c r="C55" s="348">
        <v>3</v>
      </c>
      <c r="D55" s="347">
        <v>4</v>
      </c>
      <c r="E55" s="347">
        <v>5</v>
      </c>
      <c r="F55" s="347">
        <v>6</v>
      </c>
      <c r="G55" s="346">
        <v>7</v>
      </c>
    </row>
    <row r="56" spans="1:7" x14ac:dyDescent="0.25">
      <c r="A56" s="360" t="str">
        <f t="shared" ref="A56:A87" si="1">$G$49&amp;B56</f>
        <v>I.2.2.01.0011</v>
      </c>
      <c r="B56" s="394">
        <v>1</v>
      </c>
      <c r="C56" s="467">
        <f>IFERROR(VLOOKUP(A56,[3]DOORSCRIEFT!$A$2:$G$8551,2,FALSE),"")</f>
        <v>1</v>
      </c>
      <c r="D56" s="393">
        <f>IFERROR(VLOOKUP(A56,[3]DOORSCRIEFT!$A$2:$G$8551,3,FALSE),"")</f>
        <v>46023</v>
      </c>
      <c r="E56" s="392" t="str">
        <f>IFERROR(VLOOKUP(A56,[3]DOORSCRIEFT!$A$2:$G$8551,4,FALSE),"")</f>
        <v>Kolekta Kebaktian Minggu Gereja Baitrafa dan SK</v>
      </c>
      <c r="F56" s="405">
        <f>IFERROR(VLOOKUP(A56,[3]DOORSCRIEFT!$A$2:$G$8551,6,FALSE),"")</f>
        <v>8335000</v>
      </c>
      <c r="G56" s="405" t="str">
        <f>IFERROR(VLOOKUP(C56,[3]DOORSCRIEFT!$A$2:$G$24,7,FALSE),"")</f>
        <v/>
      </c>
    </row>
    <row r="57" spans="1:7" x14ac:dyDescent="0.25">
      <c r="A57" s="360" t="str">
        <f t="shared" si="1"/>
        <v>I.2.2.01.0012</v>
      </c>
      <c r="B57" s="394">
        <v>2</v>
      </c>
      <c r="C57" s="467">
        <f>IFERROR(VLOOKUP(A57,[3]DOORSCRIEFT!$A$2:$G$8551,2,FALSE),"")</f>
        <v>39</v>
      </c>
      <c r="D57" s="393">
        <f>IFERROR(VLOOKUP(A57,[3]DOORSCRIEFT!$A$2:$G$8551,3,FALSE),"")</f>
        <v>46033</v>
      </c>
      <c r="E57" s="392" t="str">
        <f>IFERROR(VLOOKUP(A57,[3]DOORSCRIEFT!$A$2:$G$8551,4,FALSE),"")</f>
        <v>Kolekta Kebaktan Minggu Gereja Baitrafa dan SK</v>
      </c>
      <c r="F57" s="405">
        <f>IFERROR(VLOOKUP(A57,[3]DOORSCRIEFT!$A$2:$G$8551,6,FALSE),"")</f>
        <v>7514000</v>
      </c>
      <c r="G57" s="405" t="str">
        <f>IFERROR(VLOOKUP(C57,[3]DOORSCRIEFT!$A$2:$G$24,7,FALSE),"")</f>
        <v/>
      </c>
    </row>
    <row r="58" spans="1:7" x14ac:dyDescent="0.25">
      <c r="A58" s="360" t="str">
        <f t="shared" si="1"/>
        <v>I.2.2.01.0013</v>
      </c>
      <c r="B58" s="394">
        <v>3</v>
      </c>
      <c r="C58" s="467">
        <f>IFERROR(VLOOKUP(A58,[3]DOORSCRIEFT!$A$2:$G$8551,2,FALSE),"")</f>
        <v>76</v>
      </c>
      <c r="D58" s="393">
        <f>IFERROR(VLOOKUP(A58,[3]DOORSCRIEFT!$A$2:$G$8551,3,FALSE),"")</f>
        <v>46040</v>
      </c>
      <c r="E58" s="392" t="str">
        <f>IFERROR(VLOOKUP(A58,[3]DOORSCRIEFT!$A$2:$G$8551,4,FALSE),"")</f>
        <v>Kolekta Kebaktian minggu Gereja Baitrafa dan SK</v>
      </c>
      <c r="F58" s="405">
        <f>IFERROR(VLOOKUP(A58,[3]DOORSCRIEFT!$A$2:$G$8551,6,FALSE),"")</f>
        <v>7297500</v>
      </c>
      <c r="G58" s="405" t="str">
        <f>IFERROR(VLOOKUP(C58,[3]DOORSCRIEFT!$A$2:$G$24,7,FALSE),"")</f>
        <v/>
      </c>
    </row>
    <row r="59" spans="1:7" x14ac:dyDescent="0.25">
      <c r="A59" s="360" t="str">
        <f t="shared" si="1"/>
        <v>I.2.2.01.0014</v>
      </c>
      <c r="B59" s="394">
        <v>4</v>
      </c>
      <c r="C59" s="467">
        <f>IFERROR(VLOOKUP(A59,[3]DOORSCRIEFT!$A$2:$G$8551,2,FALSE),"")</f>
        <v>107</v>
      </c>
      <c r="D59" s="393">
        <f>IFERROR(VLOOKUP(A59,[3]DOORSCRIEFT!$A$2:$G$8551,3,FALSE),"")</f>
        <v>46047</v>
      </c>
      <c r="E59" s="392" t="str">
        <f>IFERROR(VLOOKUP(A59,[3]DOORSCRIEFT!$A$2:$G$8551,4,FALSE),"")</f>
        <v>Kolekta Kebaktian Minggu gereja Baitrafa dan SK</v>
      </c>
      <c r="F59" s="405">
        <f>IFERROR(VLOOKUP(A59,[3]DOORSCRIEFT!$A$2:$G$8551,6,FALSE),"")</f>
        <v>6366000</v>
      </c>
      <c r="G59" s="405" t="str">
        <f>IFERROR(VLOOKUP(C59,[3]DOORSCRIEFT!$A$2:$G$24,7,FALSE),"")</f>
        <v/>
      </c>
    </row>
    <row r="60" spans="1:7" x14ac:dyDescent="0.25">
      <c r="A60" s="360" t="str">
        <f t="shared" si="1"/>
        <v>I.2.2.01.0015</v>
      </c>
      <c r="B60" s="394">
        <v>5</v>
      </c>
      <c r="C60" s="467">
        <f>IFERROR(VLOOKUP(A60,[3]DOORSCRIEFT!$A$2:$G$8551,2,FALSE),"")</f>
        <v>146</v>
      </c>
      <c r="D60" s="393">
        <f>IFERROR(VLOOKUP(A60,[3]DOORSCRIEFT!$A$2:$G$8551,3,FALSE),"")</f>
        <v>46054</v>
      </c>
      <c r="E60" s="392" t="str">
        <f>IFERROR(VLOOKUP(A60,[3]DOORSCRIEFT!$A$2:$G$8551,4,FALSE),"")</f>
        <v>Kolekta Kebaktian Minggu Gereja Baitrafa dan SK</v>
      </c>
      <c r="F60" s="405">
        <f>IFERROR(VLOOKUP(A60,[3]DOORSCRIEFT!$A$2:$G$8551,6,FALSE),"")</f>
        <v>7226000</v>
      </c>
      <c r="G60" s="405" t="str">
        <f>IFERROR(VLOOKUP(C60,[3]DOORSCRIEFT!$A$2:$G$24,7,FALSE),"")</f>
        <v/>
      </c>
    </row>
    <row r="61" spans="1:7" x14ac:dyDescent="0.25">
      <c r="A61" s="360" t="str">
        <f t="shared" si="1"/>
        <v>I.2.2.01.0016</v>
      </c>
      <c r="B61" s="394">
        <v>6</v>
      </c>
      <c r="C61" s="467">
        <f>IFERROR(VLOOKUP(A61,[3]DOORSCRIEFT!$A$2:$G$8551,2,FALSE),"")</f>
        <v>174</v>
      </c>
      <c r="D61" s="393">
        <f>IFERROR(VLOOKUP(A61,[3]DOORSCRIEFT!$A$2:$G$8551,3,FALSE),"")</f>
        <v>46061</v>
      </c>
      <c r="E61" s="392" t="str">
        <f>IFERROR(VLOOKUP(A61,[3]DOORSCRIEFT!$A$2:$G$8551,4,FALSE),"")</f>
        <v>Kolekta Kebaktian Minggu Gereja Baitrafa dan SK</v>
      </c>
      <c r="F61" s="405">
        <f>IFERROR(VLOOKUP(A61,[3]DOORSCRIEFT!$A$2:$G$8551,6,FALSE),"")</f>
        <v>8367000</v>
      </c>
      <c r="G61" s="405" t="str">
        <f>IFERROR(VLOOKUP(C61,[3]DOORSCRIEFT!$A$2:$G$24,7,FALSE),"")</f>
        <v/>
      </c>
    </row>
    <row r="62" spans="1:7" x14ac:dyDescent="0.25">
      <c r="A62" s="360" t="str">
        <f t="shared" si="1"/>
        <v>I.2.2.01.0017</v>
      </c>
      <c r="B62" s="394">
        <v>7</v>
      </c>
      <c r="C62" s="467">
        <f>IFERROR(VLOOKUP(A62,[3]DOORSCRIEFT!$A$2:$G$8551,2,FALSE),"")</f>
        <v>199</v>
      </c>
      <c r="D62" s="393">
        <f>IFERROR(VLOOKUP(A62,[3]DOORSCRIEFT!$A$2:$G$8551,3,FALSE),"")</f>
        <v>46068</v>
      </c>
      <c r="E62" s="392" t="str">
        <f>IFERROR(VLOOKUP(A62,[3]DOORSCRIEFT!$A$2:$G$8551,4,FALSE),"")</f>
        <v>Kolekta Kebaktian Minggu Gereja Baitrafa dan SK</v>
      </c>
      <c r="F62" s="405">
        <f>IFERROR(VLOOKUP(A62,[3]DOORSCRIEFT!$A$2:$G$8551,6,FALSE),"")</f>
        <v>5889000</v>
      </c>
      <c r="G62" s="405" t="str">
        <f>IFERROR(VLOOKUP(C62,[3]DOORSCRIEFT!$A$2:$G$24,7,FALSE),"")</f>
        <v/>
      </c>
    </row>
    <row r="63" spans="1:7" x14ac:dyDescent="0.25">
      <c r="A63" s="360" t="str">
        <f t="shared" si="1"/>
        <v>I.2.2.01.0018</v>
      </c>
      <c r="B63" s="394">
        <v>8</v>
      </c>
      <c r="C63" s="467">
        <f>IFERROR(VLOOKUP(A63,[3]DOORSCRIEFT!$A$2:$G$8551,2,FALSE),"")</f>
        <v>226</v>
      </c>
      <c r="D63" s="393">
        <f>IFERROR(VLOOKUP(A63,[3]DOORSCRIEFT!$A$2:$G$8551,3,FALSE),"")</f>
        <v>46075</v>
      </c>
      <c r="E63" s="392" t="str">
        <f>IFERROR(VLOOKUP(A63,[3]DOORSCRIEFT!$A$2:$G$8551,4,FALSE),"")</f>
        <v>Kolekta Kebaktian Minggu Gereja Baitrafa dan SK</v>
      </c>
      <c r="F63" s="405">
        <f>IFERROR(VLOOKUP(A63,[3]DOORSCRIEFT!$A$2:$G$8551,6,FALSE),"")</f>
        <v>6878000</v>
      </c>
      <c r="G63" s="405" t="str">
        <f>IFERROR(VLOOKUP(C63,[3]DOORSCRIEFT!$A$2:$G$24,7,FALSE),"")</f>
        <v/>
      </c>
    </row>
    <row r="64" spans="1:7" x14ac:dyDescent="0.25">
      <c r="A64" s="360" t="str">
        <f t="shared" si="1"/>
        <v>I.2.2.01.0019</v>
      </c>
      <c r="B64" s="394">
        <v>9</v>
      </c>
      <c r="C64" s="467">
        <f>IFERROR(VLOOKUP(A64,[3]DOORSCRIEFT!$A$2:$G$8551,2,FALSE),"")</f>
        <v>267</v>
      </c>
      <c r="D64" s="393">
        <f>IFERROR(VLOOKUP(A64,[3]DOORSCRIEFT!$A$2:$G$8551,3,FALSE),"")</f>
        <v>46082</v>
      </c>
      <c r="E64" s="392" t="str">
        <f>IFERROR(VLOOKUP(A64,[3]DOORSCRIEFT!$A$2:$G$8551,4,FALSE),"")</f>
        <v>Kolekta Kebaktian Minggu Gereja Baitrafa dan SK</v>
      </c>
      <c r="F64" s="405">
        <f>IFERROR(VLOOKUP(A64,[3]DOORSCRIEFT!$A$2:$G$8551,6,FALSE),"")</f>
        <v>6980000</v>
      </c>
      <c r="G64" s="405" t="str">
        <f>IFERROR(VLOOKUP(C64,[3]DOORSCRIEFT!$A$2:$G$24,7,FALSE),"")</f>
        <v/>
      </c>
    </row>
    <row r="65" spans="1:7" x14ac:dyDescent="0.25">
      <c r="A65" s="360" t="str">
        <f t="shared" si="1"/>
        <v>I.2.2.01.00110</v>
      </c>
      <c r="B65" s="394">
        <v>10</v>
      </c>
      <c r="C65" s="467">
        <f>IFERROR(VLOOKUP(A65,[3]DOORSCRIEFT!$A$2:$G$8551,2,FALSE),"")</f>
        <v>301</v>
      </c>
      <c r="D65" s="393">
        <f>IFERROR(VLOOKUP(A65,[3]DOORSCRIEFT!$A$2:$G$8551,3,FALSE),"")</f>
        <v>46089</v>
      </c>
      <c r="E65" s="392" t="str">
        <f>IFERROR(VLOOKUP(A65,[3]DOORSCRIEFT!$A$2:$G$8551,4,FALSE),"")</f>
        <v>Kolekta Kebaktian Minggu Gereja Baitrafa dan SK</v>
      </c>
      <c r="F65" s="405">
        <f>IFERROR(VLOOKUP(A65,[3]DOORSCRIEFT!$A$2:$G$8551,6,FALSE),"")</f>
        <v>5664500</v>
      </c>
      <c r="G65" s="405" t="str">
        <f>IFERROR(VLOOKUP(C65,[3]DOORSCRIEFT!$A$2:$G$24,7,FALSE),"")</f>
        <v/>
      </c>
    </row>
    <row r="66" spans="1:7" x14ac:dyDescent="0.25">
      <c r="A66" s="360" t="str">
        <f t="shared" si="1"/>
        <v>I.2.2.01.00111</v>
      </c>
      <c r="B66" s="394">
        <v>11</v>
      </c>
      <c r="C66" s="467">
        <f>IFERROR(VLOOKUP(A66,[3]DOORSCRIEFT!$A$2:$G$8551,2,FALSE),"")</f>
        <v>348</v>
      </c>
      <c r="D66" s="393">
        <f>IFERROR(VLOOKUP(A66,[3]DOORSCRIEFT!$A$2:$G$8551,3,FALSE),"")</f>
        <v>46096</v>
      </c>
      <c r="E66" s="392" t="str">
        <f>IFERROR(VLOOKUP(A66,[3]DOORSCRIEFT!$A$2:$G$8551,4,FALSE),"")</f>
        <v>Kolekta Kebaktian Minggu Gereja Baitrafa dan SK</v>
      </c>
      <c r="F66" s="405">
        <f>IFERROR(VLOOKUP(A66,[3]DOORSCRIEFT!$A$2:$G$8551,6,FALSE),"")</f>
        <v>8543000</v>
      </c>
      <c r="G66" s="405" t="str">
        <f>IFERROR(VLOOKUP(C66,[3]DOORSCRIEFT!$A$2:$G$24,7,FALSE),"")</f>
        <v/>
      </c>
    </row>
    <row r="67" spans="1:7" x14ac:dyDescent="0.25">
      <c r="A67" s="360" t="str">
        <f t="shared" si="1"/>
        <v>I.2.2.01.00112</v>
      </c>
      <c r="B67" s="394">
        <v>12</v>
      </c>
      <c r="C67" s="467">
        <f>IFERROR(VLOOKUP(A67,[3]DOORSCRIEFT!$A$2:$G$8551,2,FALSE),"")</f>
        <v>395</v>
      </c>
      <c r="D67" s="393">
        <f>IFERROR(VLOOKUP(A67,[3]DOORSCRIEFT!$A$2:$G$8551,3,FALSE),"")</f>
        <v>46103</v>
      </c>
      <c r="E67" s="392" t="str">
        <f>IFERROR(VLOOKUP(A67,[3]DOORSCRIEFT!$A$2:$G$8551,4,FALSE),"")</f>
        <v>Kolekta Kebaktian Minggu Gereja Baitrafa dan SK</v>
      </c>
      <c r="F67" s="405">
        <f>IFERROR(VLOOKUP(A67,[3]DOORSCRIEFT!$A$2:$G$8551,6,FALSE),"")</f>
        <v>8457000</v>
      </c>
      <c r="G67" s="405" t="str">
        <f>IFERROR(VLOOKUP(C67,[3]DOORSCRIEFT!$A$2:$G$24,7,FALSE),"")</f>
        <v/>
      </c>
    </row>
    <row r="68" spans="1:7" x14ac:dyDescent="0.25">
      <c r="A68" s="360" t="str">
        <f t="shared" si="1"/>
        <v>I.2.2.01.00113</v>
      </c>
      <c r="B68" s="394">
        <v>13</v>
      </c>
      <c r="C68" s="467">
        <f>IFERROR(VLOOKUP(A68,[3]DOORSCRIEFT!$A$2:$G$8551,2,FALSE),"")</f>
        <v>446</v>
      </c>
      <c r="D68" s="393">
        <f>IFERROR(VLOOKUP(A68,[3]DOORSCRIEFT!$A$2:$G$8551,3,FALSE),"")</f>
        <v>46110</v>
      </c>
      <c r="E68" s="392" t="str">
        <f>IFERROR(VLOOKUP(A68,[3]DOORSCRIEFT!$A$2:$G$8551,4,FALSE),"")</f>
        <v>Kolekta Kebaktian Minggu Gereja Baitrafa dan SK</v>
      </c>
      <c r="F68" s="405">
        <f>IFERROR(VLOOKUP(A68,[3]DOORSCRIEFT!$A$2:$G$8551,6,FALSE),"")</f>
        <v>12636000</v>
      </c>
      <c r="G68" s="405" t="str">
        <f>IFERROR(VLOOKUP(C68,[3]DOORSCRIEFT!$A$2:$G$24,7,FALSE),"")</f>
        <v/>
      </c>
    </row>
    <row r="69" spans="1:7" x14ac:dyDescent="0.25">
      <c r="A69" s="360" t="str">
        <f t="shared" si="1"/>
        <v>I.2.2.01.00114</v>
      </c>
      <c r="B69" s="394">
        <v>14</v>
      </c>
      <c r="C69" s="467" t="str">
        <f>IFERROR(VLOOKUP(A69,[3]DOORSCRIEFT!$A$2:$G$8551,2,FALSE),"")</f>
        <v/>
      </c>
      <c r="D69" s="393" t="str">
        <f>IFERROR(VLOOKUP(A69,[3]DOORSCRIEFT!$A$2:$G$8551,3,FALSE),"")</f>
        <v/>
      </c>
      <c r="E69" s="392" t="str">
        <f>IFERROR(VLOOKUP(A69,[3]DOORSCRIEFT!$A$2:$G$8551,4,FALSE),"")</f>
        <v/>
      </c>
      <c r="F69" s="405" t="str">
        <f>IFERROR(VLOOKUP(A69,[3]DOORSCRIEFT!$A$2:$G$8551,6,FALSE),"")</f>
        <v/>
      </c>
      <c r="G69" s="405" t="str">
        <f>IFERROR(VLOOKUP(C69,[3]DOORSCRIEFT!$A$2:$G$24,7,FALSE),"")</f>
        <v/>
      </c>
    </row>
    <row r="70" spans="1:7" x14ac:dyDescent="0.25">
      <c r="A70" s="360" t="str">
        <f t="shared" si="1"/>
        <v>I.2.2.01.00115</v>
      </c>
      <c r="B70" s="394">
        <v>15</v>
      </c>
      <c r="C70" s="467" t="str">
        <f>IFERROR(VLOOKUP(A70,[3]DOORSCRIEFT!$A$2:$G$8551,2,FALSE),"")</f>
        <v/>
      </c>
      <c r="D70" s="393" t="str">
        <f>IFERROR(VLOOKUP(A70,[3]DOORSCRIEFT!$A$2:$G$8551,3,FALSE),"")</f>
        <v/>
      </c>
      <c r="E70" s="392" t="str">
        <f>IFERROR(VLOOKUP(A70,[3]DOORSCRIEFT!$A$2:$G$8551,4,FALSE),"")</f>
        <v/>
      </c>
      <c r="F70" s="405" t="str">
        <f>IFERROR(VLOOKUP(A70,[3]DOORSCRIEFT!$A$2:$G$8551,6,FALSE),"")</f>
        <v/>
      </c>
      <c r="G70" s="405" t="str">
        <f>IFERROR(VLOOKUP(C70,[3]DOORSCRIEFT!$A$2:$G$24,7,FALSE),"")</f>
        <v/>
      </c>
    </row>
    <row r="71" spans="1:7" x14ac:dyDescent="0.25">
      <c r="A71" s="360" t="str">
        <f t="shared" si="1"/>
        <v>I.2.2.01.00116</v>
      </c>
      <c r="B71" s="394">
        <v>16</v>
      </c>
      <c r="C71" s="467" t="str">
        <f>IFERROR(VLOOKUP(A71,[3]DOORSCRIEFT!$A$2:$G$8551,2,FALSE),"")</f>
        <v/>
      </c>
      <c r="D71" s="393" t="str">
        <f>IFERROR(VLOOKUP(A71,[3]DOORSCRIEFT!$A$2:$G$8551,3,FALSE),"")</f>
        <v/>
      </c>
      <c r="E71" s="392" t="str">
        <f>IFERROR(VLOOKUP(A71,[3]DOORSCRIEFT!$A$2:$G$8551,4,FALSE),"")</f>
        <v/>
      </c>
      <c r="F71" s="405" t="str">
        <f>IFERROR(VLOOKUP(A71,[3]DOORSCRIEFT!$A$2:$G$8551,6,FALSE),"")</f>
        <v/>
      </c>
      <c r="G71" s="405" t="str">
        <f>IFERROR(VLOOKUP(C71,[3]DOORSCRIEFT!$A$2:$G$24,7,FALSE),"")</f>
        <v/>
      </c>
    </row>
    <row r="72" spans="1:7" x14ac:dyDescent="0.25">
      <c r="A72" s="360" t="str">
        <f t="shared" si="1"/>
        <v>I.2.2.01.00117</v>
      </c>
      <c r="B72" s="394">
        <v>17</v>
      </c>
      <c r="C72" s="467" t="str">
        <f>IFERROR(VLOOKUP(A72,[3]DOORSCRIEFT!$A$2:$G$8551,2,FALSE),"")</f>
        <v/>
      </c>
      <c r="D72" s="393" t="str">
        <f>IFERROR(VLOOKUP(A72,[3]DOORSCRIEFT!$A$2:$G$8551,3,FALSE),"")</f>
        <v/>
      </c>
      <c r="E72" s="392" t="str">
        <f>IFERROR(VLOOKUP(A72,[3]DOORSCRIEFT!$A$2:$G$8551,4,FALSE),"")</f>
        <v/>
      </c>
      <c r="F72" s="405" t="str">
        <f>IFERROR(VLOOKUP(A72,[3]DOORSCRIEFT!$A$2:$G$8551,6,FALSE),"")</f>
        <v/>
      </c>
      <c r="G72" s="405" t="str">
        <f>IFERROR(VLOOKUP(C72,[3]DOORSCRIEFT!$A$2:$G$24,7,FALSE),"")</f>
        <v/>
      </c>
    </row>
    <row r="73" spans="1:7" x14ac:dyDescent="0.25">
      <c r="A73" s="360" t="str">
        <f t="shared" si="1"/>
        <v>I.2.2.01.00118</v>
      </c>
      <c r="B73" s="394">
        <v>18</v>
      </c>
      <c r="C73" s="467" t="str">
        <f>IFERROR(VLOOKUP(A73,[3]DOORSCRIEFT!$A$2:$G$8551,2,FALSE),"")</f>
        <v/>
      </c>
      <c r="D73" s="393" t="str">
        <f>IFERROR(VLOOKUP(A73,[3]DOORSCRIEFT!$A$2:$G$8551,3,FALSE),"")</f>
        <v/>
      </c>
      <c r="E73" s="392" t="str">
        <f>IFERROR(VLOOKUP(A73,[3]DOORSCRIEFT!$A$2:$G$8551,4,FALSE),"")</f>
        <v/>
      </c>
      <c r="F73" s="405" t="str">
        <f>IFERROR(VLOOKUP(A73,[3]DOORSCRIEFT!$A$2:$G$8551,6,FALSE),"")</f>
        <v/>
      </c>
      <c r="G73" s="405" t="str">
        <f>IFERROR(VLOOKUP(C73,[3]DOORSCRIEFT!$A$2:$G$24,7,FALSE),"")</f>
        <v/>
      </c>
    </row>
    <row r="74" spans="1:7" x14ac:dyDescent="0.25">
      <c r="A74" s="360" t="str">
        <f t="shared" si="1"/>
        <v>I.2.2.01.00119</v>
      </c>
      <c r="B74" s="394">
        <v>19</v>
      </c>
      <c r="C74" s="467" t="str">
        <f>IFERROR(VLOOKUP(A74,[3]DOORSCRIEFT!$A$2:$G$8551,2,FALSE),"")</f>
        <v/>
      </c>
      <c r="D74" s="393" t="str">
        <f>IFERROR(VLOOKUP(A74,[3]DOORSCRIEFT!$A$2:$G$8551,3,FALSE),"")</f>
        <v/>
      </c>
      <c r="E74" s="392" t="str">
        <f>IFERROR(VLOOKUP(A74,[3]DOORSCRIEFT!$A$2:$G$8551,4,FALSE),"")</f>
        <v/>
      </c>
      <c r="F74" s="405" t="str">
        <f>IFERROR(VLOOKUP(A74,[3]DOORSCRIEFT!$A$2:$G$8551,6,FALSE),"")</f>
        <v/>
      </c>
      <c r="G74" s="405" t="str">
        <f>IFERROR(VLOOKUP(C74,[3]DOORSCRIEFT!$A$2:$G$24,7,FALSE),"")</f>
        <v/>
      </c>
    </row>
    <row r="75" spans="1:7" x14ac:dyDescent="0.25">
      <c r="A75" s="360" t="str">
        <f t="shared" si="1"/>
        <v>I.2.2.01.00120</v>
      </c>
      <c r="B75" s="394">
        <v>20</v>
      </c>
      <c r="C75" s="467" t="str">
        <f>IFERROR(VLOOKUP(A75,[3]DOORSCRIEFT!$A$2:$G$8551,2,FALSE),"")</f>
        <v/>
      </c>
      <c r="D75" s="393" t="str">
        <f>IFERROR(VLOOKUP(A75,[3]DOORSCRIEFT!$A$2:$G$8551,3,FALSE),"")</f>
        <v/>
      </c>
      <c r="E75" s="392" t="str">
        <f>IFERROR(VLOOKUP(A75,[3]DOORSCRIEFT!$A$2:$G$8551,4,FALSE),"")</f>
        <v/>
      </c>
      <c r="F75" s="405" t="str">
        <f>IFERROR(VLOOKUP(A75,[3]DOORSCRIEFT!$A$2:$G$8551,6,FALSE),"")</f>
        <v/>
      </c>
      <c r="G75" s="405" t="str">
        <f>IFERROR(VLOOKUP(C75,[3]DOORSCRIEFT!$A$2:$G$24,7,FALSE),"")</f>
        <v/>
      </c>
    </row>
    <row r="76" spans="1:7" x14ac:dyDescent="0.25">
      <c r="A76" s="360" t="str">
        <f t="shared" si="1"/>
        <v>I.2.2.01.00121</v>
      </c>
      <c r="B76" s="394">
        <v>21</v>
      </c>
      <c r="C76" s="467" t="str">
        <f>IFERROR(VLOOKUP(A76,[3]DOORSCRIEFT!$A$2:$G$8551,2,FALSE),"")</f>
        <v/>
      </c>
      <c r="D76" s="393" t="str">
        <f>IFERROR(VLOOKUP(A76,[3]DOORSCRIEFT!$A$2:$G$8551,3,FALSE),"")</f>
        <v/>
      </c>
      <c r="E76" s="392" t="str">
        <f>IFERROR(VLOOKUP(A76,[3]DOORSCRIEFT!$A$2:$G$8551,4,FALSE),"")</f>
        <v/>
      </c>
      <c r="F76" s="405" t="str">
        <f>IFERROR(VLOOKUP(A76,[3]DOORSCRIEFT!$A$2:$G$8551,6,FALSE),"")</f>
        <v/>
      </c>
      <c r="G76" s="405" t="str">
        <f>IFERROR(VLOOKUP(C76,[3]DOORSCRIEFT!$A$2:$G$24,7,FALSE),"")</f>
        <v/>
      </c>
    </row>
    <row r="77" spans="1:7" x14ac:dyDescent="0.25">
      <c r="A77" s="360" t="str">
        <f t="shared" si="1"/>
        <v>I.2.2.01.00122</v>
      </c>
      <c r="B77" s="394">
        <v>22</v>
      </c>
      <c r="C77" s="467" t="str">
        <f>IFERROR(VLOOKUP(A77,[3]DOORSCRIEFT!$A$2:$G$8551,2,FALSE),"")</f>
        <v/>
      </c>
      <c r="D77" s="393" t="str">
        <f>IFERROR(VLOOKUP(A77,[3]DOORSCRIEFT!$A$2:$G$8551,3,FALSE),"")</f>
        <v/>
      </c>
      <c r="E77" s="392" t="str">
        <f>IFERROR(VLOOKUP(A77,[3]DOORSCRIEFT!$A$2:$G$8551,4,FALSE),"")</f>
        <v/>
      </c>
      <c r="F77" s="405" t="str">
        <f>IFERROR(VLOOKUP(A77,[3]DOORSCRIEFT!$A$2:$G$8551,6,FALSE),"")</f>
        <v/>
      </c>
      <c r="G77" s="405" t="str">
        <f>IFERROR(VLOOKUP(C77,[3]DOORSCRIEFT!$A$2:$G$24,7,FALSE),"")</f>
        <v/>
      </c>
    </row>
    <row r="78" spans="1:7" x14ac:dyDescent="0.25">
      <c r="A78" s="360" t="str">
        <f t="shared" si="1"/>
        <v>I.2.2.01.00123</v>
      </c>
      <c r="B78" s="394">
        <v>23</v>
      </c>
      <c r="C78" s="467" t="str">
        <f>IFERROR(VLOOKUP(A78,[3]DOORSCRIEFT!$A$2:$G$8551,2,FALSE),"")</f>
        <v/>
      </c>
      <c r="D78" s="393" t="str">
        <f>IFERROR(VLOOKUP(A78,[3]DOORSCRIEFT!$A$2:$G$8551,3,FALSE),"")</f>
        <v/>
      </c>
      <c r="E78" s="392" t="str">
        <f>IFERROR(VLOOKUP(A78,[3]DOORSCRIEFT!$A$2:$G$8551,4,FALSE),"")</f>
        <v/>
      </c>
      <c r="F78" s="405" t="str">
        <f>IFERROR(VLOOKUP(A78,[3]DOORSCRIEFT!$A$2:$G$8551,6,FALSE),"")</f>
        <v/>
      </c>
      <c r="G78" s="405" t="str">
        <f>IFERROR(VLOOKUP(C78,[3]DOORSCRIEFT!$A$2:$G$24,7,FALSE),"")</f>
        <v/>
      </c>
    </row>
    <row r="79" spans="1:7" x14ac:dyDescent="0.25">
      <c r="A79" s="360" t="str">
        <f t="shared" si="1"/>
        <v>I.2.2.01.00124</v>
      </c>
      <c r="B79" s="394">
        <v>24</v>
      </c>
      <c r="C79" s="467" t="str">
        <f>IFERROR(VLOOKUP(A79,[3]DOORSCRIEFT!$A$2:$G$8551,2,FALSE),"")</f>
        <v/>
      </c>
      <c r="D79" s="393" t="str">
        <f>IFERROR(VLOOKUP(A79,[3]DOORSCRIEFT!$A$2:$G$8551,3,FALSE),"")</f>
        <v/>
      </c>
      <c r="E79" s="392" t="str">
        <f>IFERROR(VLOOKUP(A79,[3]DOORSCRIEFT!$A$2:$G$8551,4,FALSE),"")</f>
        <v/>
      </c>
      <c r="F79" s="405" t="str">
        <f>IFERROR(VLOOKUP(A79,[3]DOORSCRIEFT!$A$2:$G$8551,6,FALSE),"")</f>
        <v/>
      </c>
      <c r="G79" s="405" t="str">
        <f>IFERROR(VLOOKUP(C79,[3]DOORSCRIEFT!$A$2:$G$24,7,FALSE),"")</f>
        <v/>
      </c>
    </row>
    <row r="80" spans="1:7" x14ac:dyDescent="0.25">
      <c r="A80" s="360" t="str">
        <f t="shared" si="1"/>
        <v>I.2.2.01.00125</v>
      </c>
      <c r="B80" s="394">
        <v>25</v>
      </c>
      <c r="C80" s="467" t="str">
        <f>IFERROR(VLOOKUP(A80,[3]DOORSCRIEFT!$A$2:$G$8551,2,FALSE),"")</f>
        <v/>
      </c>
      <c r="D80" s="393" t="str">
        <f>IFERROR(VLOOKUP(A80,[3]DOORSCRIEFT!$A$2:$G$8551,3,FALSE),"")</f>
        <v/>
      </c>
      <c r="E80" s="392" t="str">
        <f>IFERROR(VLOOKUP(A80,[3]DOORSCRIEFT!$A$2:$G$8551,4,FALSE),"")</f>
        <v/>
      </c>
      <c r="F80" s="405" t="str">
        <f>IFERROR(VLOOKUP(A80,[3]DOORSCRIEFT!$A$2:$G$8551,6,FALSE),"")</f>
        <v/>
      </c>
      <c r="G80" s="405" t="str">
        <f>IFERROR(VLOOKUP(C80,[3]DOORSCRIEFT!$A$2:$G$24,7,FALSE),"")</f>
        <v/>
      </c>
    </row>
    <row r="81" spans="1:7" x14ac:dyDescent="0.25">
      <c r="A81" s="360" t="str">
        <f t="shared" si="1"/>
        <v>I.2.2.01.00126</v>
      </c>
      <c r="B81" s="394">
        <v>26</v>
      </c>
      <c r="C81" s="467" t="str">
        <f>IFERROR(VLOOKUP(A81,[3]DOORSCRIEFT!$A$2:$G$8551,2,FALSE),"")</f>
        <v/>
      </c>
      <c r="D81" s="393" t="str">
        <f>IFERROR(VLOOKUP(A81,[3]DOORSCRIEFT!$A$2:$G$8551,3,FALSE),"")</f>
        <v/>
      </c>
      <c r="E81" s="392" t="str">
        <f>IFERROR(VLOOKUP(A81,[3]DOORSCRIEFT!$A$2:$G$8551,4,FALSE),"")</f>
        <v/>
      </c>
      <c r="F81" s="405" t="str">
        <f>IFERROR(VLOOKUP(A81,[3]DOORSCRIEFT!$A$2:$G$8551,6,FALSE),"")</f>
        <v/>
      </c>
      <c r="G81" s="405" t="str">
        <f>IFERROR(VLOOKUP(C81,[3]DOORSCRIEFT!$A$2:$G$24,7,FALSE),"")</f>
        <v/>
      </c>
    </row>
    <row r="82" spans="1:7" x14ac:dyDescent="0.25">
      <c r="A82" s="360" t="str">
        <f t="shared" si="1"/>
        <v>I.2.2.01.00127</v>
      </c>
      <c r="B82" s="394">
        <v>27</v>
      </c>
      <c r="C82" s="467" t="str">
        <f>IFERROR(VLOOKUP(A82,[3]DOORSCRIEFT!$A$2:$G$8551,2,FALSE),"")</f>
        <v/>
      </c>
      <c r="D82" s="393" t="str">
        <f>IFERROR(VLOOKUP(A82,[3]DOORSCRIEFT!$A$2:$G$8551,3,FALSE),"")</f>
        <v/>
      </c>
      <c r="E82" s="392" t="str">
        <f>IFERROR(VLOOKUP(A82,[3]DOORSCRIEFT!$A$2:$G$8551,4,FALSE),"")</f>
        <v/>
      </c>
      <c r="F82" s="405" t="str">
        <f>IFERROR(VLOOKUP(A82,[3]DOORSCRIEFT!$A$2:$G$8551,6,FALSE),"")</f>
        <v/>
      </c>
      <c r="G82" s="405" t="str">
        <f>IFERROR(VLOOKUP(C82,[3]DOORSCRIEFT!$A$2:$G$24,7,FALSE),"")</f>
        <v/>
      </c>
    </row>
    <row r="83" spans="1:7" x14ac:dyDescent="0.25">
      <c r="A83" s="360" t="str">
        <f t="shared" si="1"/>
        <v>I.2.2.01.00128</v>
      </c>
      <c r="B83" s="394">
        <v>28</v>
      </c>
      <c r="C83" s="467" t="str">
        <f>IFERROR(VLOOKUP(A83,[3]DOORSCRIEFT!$A$2:$G$8551,2,FALSE),"")</f>
        <v/>
      </c>
      <c r="D83" s="393" t="str">
        <f>IFERROR(VLOOKUP(A83,[3]DOORSCRIEFT!$A$2:$G$8551,3,FALSE),"")</f>
        <v/>
      </c>
      <c r="E83" s="392" t="str">
        <f>IFERROR(VLOOKUP(A83,[3]DOORSCRIEFT!$A$2:$G$8551,4,FALSE),"")</f>
        <v/>
      </c>
      <c r="F83" s="405" t="str">
        <f>IFERROR(VLOOKUP(A83,[3]DOORSCRIEFT!$A$2:$G$8551,6,FALSE),"")</f>
        <v/>
      </c>
      <c r="G83" s="405" t="str">
        <f>IFERROR(VLOOKUP(C83,[3]DOORSCRIEFT!$A$2:$G$24,7,FALSE),"")</f>
        <v/>
      </c>
    </row>
    <row r="84" spans="1:7" x14ac:dyDescent="0.25">
      <c r="A84" s="360" t="str">
        <f t="shared" si="1"/>
        <v>I.2.2.01.00129</v>
      </c>
      <c r="B84" s="394">
        <v>29</v>
      </c>
      <c r="C84" s="467" t="str">
        <f>IFERROR(VLOOKUP(A84,[3]DOORSCRIEFT!$A$2:$G$8551,2,FALSE),"")</f>
        <v/>
      </c>
      <c r="D84" s="393" t="str">
        <f>IFERROR(VLOOKUP(A84,[3]DOORSCRIEFT!$A$2:$G$8551,3,FALSE),"")</f>
        <v/>
      </c>
      <c r="E84" s="392" t="str">
        <f>IFERROR(VLOOKUP(A84,[3]DOORSCRIEFT!$A$2:$G$8551,4,FALSE),"")</f>
        <v/>
      </c>
      <c r="F84" s="405" t="str">
        <f>IFERROR(VLOOKUP(A84,[3]DOORSCRIEFT!$A$2:$G$8551,6,FALSE),"")</f>
        <v/>
      </c>
      <c r="G84" s="405" t="str">
        <f>IFERROR(VLOOKUP(C84,[3]DOORSCRIEFT!$A$2:$G$24,7,FALSE),"")</f>
        <v/>
      </c>
    </row>
    <row r="85" spans="1:7" x14ac:dyDescent="0.25">
      <c r="A85" s="360" t="str">
        <f t="shared" si="1"/>
        <v>I.2.2.01.00130</v>
      </c>
      <c r="B85" s="394">
        <v>30</v>
      </c>
      <c r="C85" s="467" t="str">
        <f>IFERROR(VLOOKUP(A85,[3]DOORSCRIEFT!$A$2:$G$8551,2,FALSE),"")</f>
        <v/>
      </c>
      <c r="D85" s="393" t="str">
        <f>IFERROR(VLOOKUP(A85,[3]DOORSCRIEFT!$A$2:$G$8551,3,FALSE),"")</f>
        <v/>
      </c>
      <c r="E85" s="392" t="str">
        <f>IFERROR(VLOOKUP(A85,[3]DOORSCRIEFT!$A$2:$G$8551,4,FALSE),"")</f>
        <v/>
      </c>
      <c r="F85" s="405" t="str">
        <f>IFERROR(VLOOKUP(A85,[3]DOORSCRIEFT!$A$2:$G$8551,6,FALSE),"")</f>
        <v/>
      </c>
      <c r="G85" s="405" t="str">
        <f>IFERROR(VLOOKUP(C85,[3]DOORSCRIEFT!$A$2:$G$24,7,FALSE),"")</f>
        <v/>
      </c>
    </row>
    <row r="86" spans="1:7" x14ac:dyDescent="0.25">
      <c r="A86" s="360" t="str">
        <f t="shared" si="1"/>
        <v>I.2.2.01.00131</v>
      </c>
      <c r="B86" s="394">
        <v>31</v>
      </c>
      <c r="C86" s="467" t="str">
        <f>IFERROR(VLOOKUP(A86,[3]DOORSCRIEFT!$A$2:$G$8551,2,FALSE),"")</f>
        <v/>
      </c>
      <c r="D86" s="393" t="str">
        <f>IFERROR(VLOOKUP(A86,[3]DOORSCRIEFT!$A$2:$G$8551,3,FALSE),"")</f>
        <v/>
      </c>
      <c r="E86" s="392" t="str">
        <f>IFERROR(VLOOKUP(A86,[3]DOORSCRIEFT!$A$2:$G$8551,4,FALSE),"")</f>
        <v/>
      </c>
      <c r="F86" s="405" t="str">
        <f>IFERROR(VLOOKUP(A86,[3]DOORSCRIEFT!$A$2:$G$8551,6,FALSE),"")</f>
        <v/>
      </c>
      <c r="G86" s="405" t="str">
        <f>IFERROR(VLOOKUP(C86,[3]DOORSCRIEFT!$A$2:$G$24,7,FALSE),"")</f>
        <v/>
      </c>
    </row>
    <row r="87" spans="1:7" x14ac:dyDescent="0.25">
      <c r="A87" s="360" t="str">
        <f t="shared" si="1"/>
        <v>I.2.2.01.00132</v>
      </c>
      <c r="B87" s="394">
        <v>32</v>
      </c>
      <c r="C87" s="467" t="str">
        <f>IFERROR(VLOOKUP(A87,[3]DOORSCRIEFT!$A$2:$G$8551,2,FALSE),"")</f>
        <v/>
      </c>
      <c r="D87" s="393" t="str">
        <f>IFERROR(VLOOKUP(A87,[3]DOORSCRIEFT!$A$2:$G$8551,3,FALSE),"")</f>
        <v/>
      </c>
      <c r="E87" s="392" t="str">
        <f>IFERROR(VLOOKUP(A87,[3]DOORSCRIEFT!$A$2:$G$8551,4,FALSE),"")</f>
        <v/>
      </c>
      <c r="F87" s="405" t="str">
        <f>IFERROR(VLOOKUP(A87,[3]DOORSCRIEFT!$A$2:$G$8551,6,FALSE),"")</f>
        <v/>
      </c>
      <c r="G87" s="405" t="str">
        <f>IFERROR(VLOOKUP(C87,[3]DOORSCRIEFT!$A$2:$G$24,7,FALSE),"")</f>
        <v/>
      </c>
    </row>
    <row r="88" spans="1:7" x14ac:dyDescent="0.25">
      <c r="A88" s="360" t="str">
        <f t="shared" ref="A88:A119" si="2">$G$49&amp;B88</f>
        <v>I.2.2.01.00133</v>
      </c>
      <c r="B88" s="394">
        <v>33</v>
      </c>
      <c r="C88" s="467" t="str">
        <f>IFERROR(VLOOKUP(A88,[3]DOORSCRIEFT!$A$2:$G$8551,2,FALSE),"")</f>
        <v/>
      </c>
      <c r="D88" s="393" t="str">
        <f>IFERROR(VLOOKUP(A88,[3]DOORSCRIEFT!$A$2:$G$8551,3,FALSE),"")</f>
        <v/>
      </c>
      <c r="E88" s="392" t="str">
        <f>IFERROR(VLOOKUP(A88,[3]DOORSCRIEFT!$A$2:$G$8551,4,FALSE),"")</f>
        <v/>
      </c>
      <c r="F88" s="405" t="str">
        <f>IFERROR(VLOOKUP(A88,[3]DOORSCRIEFT!$A$2:$G$8551,6,FALSE),"")</f>
        <v/>
      </c>
      <c r="G88" s="405" t="str">
        <f>IFERROR(VLOOKUP(C88,[3]DOORSCRIEFT!$A$2:$G$24,7,FALSE),"")</f>
        <v/>
      </c>
    </row>
    <row r="89" spans="1:7" x14ac:dyDescent="0.25">
      <c r="A89" s="360" t="str">
        <f t="shared" si="2"/>
        <v>I.2.2.01.00134</v>
      </c>
      <c r="B89" s="394">
        <v>34</v>
      </c>
      <c r="C89" s="467" t="str">
        <f>IFERROR(VLOOKUP(A89,[3]DOORSCRIEFT!$A$2:$G$8551,2,FALSE),"")</f>
        <v/>
      </c>
      <c r="D89" s="393" t="str">
        <f>IFERROR(VLOOKUP(A89,[3]DOORSCRIEFT!$A$2:$G$8551,3,FALSE),"")</f>
        <v/>
      </c>
      <c r="E89" s="392" t="str">
        <f>IFERROR(VLOOKUP(A89,[3]DOORSCRIEFT!$A$2:$G$8551,4,FALSE),"")</f>
        <v/>
      </c>
      <c r="F89" s="405" t="str">
        <f>IFERROR(VLOOKUP(A89,[3]DOORSCRIEFT!$A$2:$G$8551,6,FALSE),"")</f>
        <v/>
      </c>
      <c r="G89" s="405" t="str">
        <f>IFERROR(VLOOKUP(C89,[3]DOORSCRIEFT!$A$2:$G$24,7,FALSE),"")</f>
        <v/>
      </c>
    </row>
    <row r="90" spans="1:7" x14ac:dyDescent="0.25">
      <c r="A90" s="360" t="str">
        <f t="shared" si="2"/>
        <v>I.2.2.01.00135</v>
      </c>
      <c r="B90" s="394">
        <v>35</v>
      </c>
      <c r="C90" s="467" t="str">
        <f>IFERROR(VLOOKUP(A90,[3]DOORSCRIEFT!$A$2:$G$8551,2,FALSE),"")</f>
        <v/>
      </c>
      <c r="D90" s="393" t="str">
        <f>IFERROR(VLOOKUP(A90,[3]DOORSCRIEFT!$A$2:$G$8551,3,FALSE),"")</f>
        <v/>
      </c>
      <c r="E90" s="392" t="str">
        <f>IFERROR(VLOOKUP(A90,[3]DOORSCRIEFT!$A$2:$G$8551,4,FALSE),"")</f>
        <v/>
      </c>
      <c r="F90" s="405" t="str">
        <f>IFERROR(VLOOKUP(A90,[3]DOORSCRIEFT!$A$2:$G$8551,6,FALSE),"")</f>
        <v/>
      </c>
      <c r="G90" s="405" t="str">
        <f>IFERROR(VLOOKUP(C90,[3]DOORSCRIEFT!$A$2:$G$24,7,FALSE),"")</f>
        <v/>
      </c>
    </row>
    <row r="91" spans="1:7" x14ac:dyDescent="0.25">
      <c r="A91" s="360" t="str">
        <f t="shared" si="2"/>
        <v>I.2.2.01.00136</v>
      </c>
      <c r="B91" s="394">
        <v>36</v>
      </c>
      <c r="C91" s="467" t="str">
        <f>IFERROR(VLOOKUP(A91,[3]DOORSCRIEFT!$A$2:$G$8551,2,FALSE),"")</f>
        <v/>
      </c>
      <c r="D91" s="393" t="str">
        <f>IFERROR(VLOOKUP(A91,[3]DOORSCRIEFT!$A$2:$G$8551,3,FALSE),"")</f>
        <v/>
      </c>
      <c r="E91" s="392" t="str">
        <f>IFERROR(VLOOKUP(A91,[3]DOORSCRIEFT!$A$2:$G$8551,4,FALSE),"")</f>
        <v/>
      </c>
      <c r="F91" s="405" t="str">
        <f>IFERROR(VLOOKUP(A91,[3]DOORSCRIEFT!$A$2:$G$8551,6,FALSE),"")</f>
        <v/>
      </c>
      <c r="G91" s="405" t="str">
        <f>IFERROR(VLOOKUP(C91,[3]DOORSCRIEFT!$A$2:$G$24,7,FALSE),"")</f>
        <v/>
      </c>
    </row>
    <row r="92" spans="1:7" x14ac:dyDescent="0.25">
      <c r="A92" s="360" t="str">
        <f t="shared" si="2"/>
        <v>I.2.2.01.00137</v>
      </c>
      <c r="B92" s="394">
        <v>37</v>
      </c>
      <c r="C92" s="467" t="str">
        <f>IFERROR(VLOOKUP(A92,[3]DOORSCRIEFT!$A$2:$G$8551,2,FALSE),"")</f>
        <v/>
      </c>
      <c r="D92" s="393" t="str">
        <f>IFERROR(VLOOKUP(A92,[3]DOORSCRIEFT!$A$2:$G$8551,3,FALSE),"")</f>
        <v/>
      </c>
      <c r="E92" s="392" t="str">
        <f>IFERROR(VLOOKUP(A92,[3]DOORSCRIEFT!$A$2:$G$8551,4,FALSE),"")</f>
        <v/>
      </c>
      <c r="F92" s="405" t="str">
        <f>IFERROR(VLOOKUP(A92,[3]DOORSCRIEFT!$A$2:$G$8551,6,FALSE),"")</f>
        <v/>
      </c>
      <c r="G92" s="405" t="str">
        <f>IFERROR(VLOOKUP(C92,[3]DOORSCRIEFT!$A$2:$G$24,7,FALSE),"")</f>
        <v/>
      </c>
    </row>
    <row r="93" spans="1:7" x14ac:dyDescent="0.25">
      <c r="A93" s="360" t="str">
        <f t="shared" si="2"/>
        <v>I.2.2.01.00138</v>
      </c>
      <c r="B93" s="394">
        <v>38</v>
      </c>
      <c r="C93" s="467" t="str">
        <f>IFERROR(VLOOKUP(A93,[3]DOORSCRIEFT!$A$2:$G$8551,2,FALSE),"")</f>
        <v/>
      </c>
      <c r="D93" s="393" t="str">
        <f>IFERROR(VLOOKUP(A93,[3]DOORSCRIEFT!$A$2:$G$8551,3,FALSE),"")</f>
        <v/>
      </c>
      <c r="E93" s="392" t="str">
        <f>IFERROR(VLOOKUP(A93,[3]DOORSCRIEFT!$A$2:$G$8551,4,FALSE),"")</f>
        <v/>
      </c>
      <c r="F93" s="405" t="str">
        <f>IFERROR(VLOOKUP(A93,[3]DOORSCRIEFT!$A$2:$G$8551,6,FALSE),"")</f>
        <v/>
      </c>
      <c r="G93" s="405" t="str">
        <f>IFERROR(VLOOKUP(C93,[3]DOORSCRIEFT!$A$2:$G$24,7,FALSE),"")</f>
        <v/>
      </c>
    </row>
    <row r="94" spans="1:7" x14ac:dyDescent="0.25">
      <c r="A94" s="360" t="str">
        <f t="shared" si="2"/>
        <v>I.2.2.01.00139</v>
      </c>
      <c r="B94" s="394">
        <v>39</v>
      </c>
      <c r="C94" s="467" t="str">
        <f>IFERROR(VLOOKUP(A94,[3]DOORSCRIEFT!$A$2:$G$8551,2,FALSE),"")</f>
        <v/>
      </c>
      <c r="D94" s="393" t="str">
        <f>IFERROR(VLOOKUP(A94,[3]DOORSCRIEFT!$A$2:$G$8551,3,FALSE),"")</f>
        <v/>
      </c>
      <c r="E94" s="392" t="str">
        <f>IFERROR(VLOOKUP(A94,[3]DOORSCRIEFT!$A$2:$G$8551,4,FALSE),"")</f>
        <v/>
      </c>
      <c r="F94" s="405" t="str">
        <f>IFERROR(VLOOKUP(A94,[3]DOORSCRIEFT!$A$2:$G$8551,6,FALSE),"")</f>
        <v/>
      </c>
      <c r="G94" s="405" t="str">
        <f>IFERROR(VLOOKUP(C94,[3]DOORSCRIEFT!$A$2:$G$24,7,FALSE),"")</f>
        <v/>
      </c>
    </row>
    <row r="95" spans="1:7" x14ac:dyDescent="0.25">
      <c r="A95" s="360" t="str">
        <f t="shared" si="2"/>
        <v>I.2.2.01.00140</v>
      </c>
      <c r="B95" s="394">
        <v>40</v>
      </c>
      <c r="C95" s="467" t="str">
        <f>IFERROR(VLOOKUP(A95,[3]DOORSCRIEFT!$A$2:$G$8551,2,FALSE),"")</f>
        <v/>
      </c>
      <c r="D95" s="393" t="str">
        <f>IFERROR(VLOOKUP(A95,[3]DOORSCRIEFT!$A$2:$G$8551,3,FALSE),"")</f>
        <v/>
      </c>
      <c r="E95" s="392" t="str">
        <f>IFERROR(VLOOKUP(A95,[3]DOORSCRIEFT!$A$2:$G$8551,4,FALSE),"")</f>
        <v/>
      </c>
      <c r="F95" s="405" t="str">
        <f>IFERROR(VLOOKUP(A95,[3]DOORSCRIEFT!$A$2:$G$8551,6,FALSE),"")</f>
        <v/>
      </c>
      <c r="G95" s="405" t="str">
        <f>IFERROR(VLOOKUP(C95,[3]DOORSCRIEFT!$A$2:$G$24,7,FALSE),"")</f>
        <v/>
      </c>
    </row>
    <row r="96" spans="1:7" x14ac:dyDescent="0.25">
      <c r="A96" s="360" t="str">
        <f t="shared" si="2"/>
        <v>I.2.2.01.00141</v>
      </c>
      <c r="B96" s="394">
        <v>41</v>
      </c>
      <c r="C96" s="467" t="str">
        <f>IFERROR(VLOOKUP(A96,[3]DOORSCRIEFT!$A$2:$G$8551,2,FALSE),"")</f>
        <v/>
      </c>
      <c r="D96" s="393" t="str">
        <f>IFERROR(VLOOKUP(A96,[3]DOORSCRIEFT!$A$2:$G$8551,3,FALSE),"")</f>
        <v/>
      </c>
      <c r="E96" s="392" t="str">
        <f>IFERROR(VLOOKUP(A96,[3]DOORSCRIEFT!$A$2:$G$8551,4,FALSE),"")</f>
        <v/>
      </c>
      <c r="F96" s="405" t="str">
        <f>IFERROR(VLOOKUP(A96,[3]DOORSCRIEFT!$A$2:$G$8551,6,FALSE),"")</f>
        <v/>
      </c>
      <c r="G96" s="405" t="str">
        <f>IFERROR(VLOOKUP(C96,[3]DOORSCRIEFT!$A$2:$G$24,7,FALSE),"")</f>
        <v/>
      </c>
    </row>
    <row r="97" spans="1:7" x14ac:dyDescent="0.25">
      <c r="A97" s="360" t="str">
        <f t="shared" si="2"/>
        <v>I.2.2.01.00142</v>
      </c>
      <c r="B97" s="394">
        <v>42</v>
      </c>
      <c r="C97" s="467" t="str">
        <f>IFERROR(VLOOKUP(A97,[3]DOORSCRIEFT!$A$2:$G$8551,2,FALSE),"")</f>
        <v/>
      </c>
      <c r="D97" s="393" t="str">
        <f>IFERROR(VLOOKUP(A97,[3]DOORSCRIEFT!$A$2:$G$8551,3,FALSE),"")</f>
        <v/>
      </c>
      <c r="E97" s="392" t="str">
        <f>IFERROR(VLOOKUP(A97,[3]DOORSCRIEFT!$A$2:$G$8551,4,FALSE),"")</f>
        <v/>
      </c>
      <c r="F97" s="405" t="str">
        <f>IFERROR(VLOOKUP(A97,[3]DOORSCRIEFT!$A$2:$G$8551,6,FALSE),"")</f>
        <v/>
      </c>
      <c r="G97" s="405" t="str">
        <f>IFERROR(VLOOKUP(C97,[3]DOORSCRIEFT!$A$2:$G$24,7,FALSE),"")</f>
        <v/>
      </c>
    </row>
    <row r="98" spans="1:7" x14ac:dyDescent="0.25">
      <c r="A98" s="360" t="str">
        <f t="shared" si="2"/>
        <v>I.2.2.01.00143</v>
      </c>
      <c r="B98" s="394">
        <v>43</v>
      </c>
      <c r="C98" s="467" t="str">
        <f>IFERROR(VLOOKUP(A98,[3]DOORSCRIEFT!$A$2:$G$8551,2,FALSE),"")</f>
        <v/>
      </c>
      <c r="D98" s="393" t="str">
        <f>IFERROR(VLOOKUP(A98,[3]DOORSCRIEFT!$A$2:$G$8551,3,FALSE),"")</f>
        <v/>
      </c>
      <c r="E98" s="392" t="str">
        <f>IFERROR(VLOOKUP(A98,[3]DOORSCRIEFT!$A$2:$G$8551,4,FALSE),"")</f>
        <v/>
      </c>
      <c r="F98" s="405" t="str">
        <f>IFERROR(VLOOKUP(A98,[3]DOORSCRIEFT!$A$2:$G$8551,6,FALSE),"")</f>
        <v/>
      </c>
      <c r="G98" s="405" t="str">
        <f>IFERROR(VLOOKUP(C98,[3]DOORSCRIEFT!$A$2:$G$24,7,FALSE),"")</f>
        <v/>
      </c>
    </row>
    <row r="99" spans="1:7" x14ac:dyDescent="0.25">
      <c r="A99" s="360" t="str">
        <f t="shared" si="2"/>
        <v>I.2.2.01.00144</v>
      </c>
      <c r="B99" s="394">
        <v>44</v>
      </c>
      <c r="C99" s="467" t="str">
        <f>IFERROR(VLOOKUP(A99,[3]DOORSCRIEFT!$A$2:$G$8551,2,FALSE),"")</f>
        <v/>
      </c>
      <c r="D99" s="393" t="str">
        <f>IFERROR(VLOOKUP(A99,[3]DOORSCRIEFT!$A$2:$G$8551,3,FALSE),"")</f>
        <v/>
      </c>
      <c r="E99" s="392" t="str">
        <f>IFERROR(VLOOKUP(A99,[3]DOORSCRIEFT!$A$2:$G$8551,4,FALSE),"")</f>
        <v/>
      </c>
      <c r="F99" s="405" t="str">
        <f>IFERROR(VLOOKUP(A99,[3]DOORSCRIEFT!$A$2:$G$8551,6,FALSE),"")</f>
        <v/>
      </c>
      <c r="G99" s="405" t="str">
        <f>IFERROR(VLOOKUP(C99,[3]DOORSCRIEFT!$A$2:$G$24,7,FALSE),"")</f>
        <v/>
      </c>
    </row>
    <row r="100" spans="1:7" x14ac:dyDescent="0.25">
      <c r="A100" s="360" t="str">
        <f t="shared" si="2"/>
        <v>I.2.2.01.00145</v>
      </c>
      <c r="B100" s="394">
        <v>45</v>
      </c>
      <c r="C100" s="467" t="str">
        <f>IFERROR(VLOOKUP(A100,[3]DOORSCRIEFT!$A$2:$G$8551,2,FALSE),"")</f>
        <v/>
      </c>
      <c r="D100" s="393" t="str">
        <f>IFERROR(VLOOKUP(A100,[3]DOORSCRIEFT!$A$2:$G$8551,3,FALSE),"")</f>
        <v/>
      </c>
      <c r="E100" s="392" t="str">
        <f>IFERROR(VLOOKUP(A100,[3]DOORSCRIEFT!$A$2:$G$8551,4,FALSE),"")</f>
        <v/>
      </c>
      <c r="F100" s="405" t="str">
        <f>IFERROR(VLOOKUP(A100,[3]DOORSCRIEFT!$A$2:$G$8551,6,FALSE),"")</f>
        <v/>
      </c>
      <c r="G100" s="405" t="str">
        <f>IFERROR(VLOOKUP(C100,[3]DOORSCRIEFT!$A$2:$G$24,7,FALSE),"")</f>
        <v/>
      </c>
    </row>
    <row r="101" spans="1:7" x14ac:dyDescent="0.25">
      <c r="A101" s="360" t="str">
        <f t="shared" si="2"/>
        <v>I.2.2.01.00146</v>
      </c>
      <c r="B101" s="394">
        <v>46</v>
      </c>
      <c r="C101" s="467" t="str">
        <f>IFERROR(VLOOKUP(A101,[3]DOORSCRIEFT!$A$2:$G$8551,2,FALSE),"")</f>
        <v/>
      </c>
      <c r="D101" s="393" t="str">
        <f>IFERROR(VLOOKUP(A101,[3]DOORSCRIEFT!$A$2:$G$8551,3,FALSE),"")</f>
        <v/>
      </c>
      <c r="E101" s="392" t="str">
        <f>IFERROR(VLOOKUP(A101,[3]DOORSCRIEFT!$A$2:$G$8551,4,FALSE),"")</f>
        <v/>
      </c>
      <c r="F101" s="405" t="str">
        <f>IFERROR(VLOOKUP(A101,[3]DOORSCRIEFT!$A$2:$G$8551,6,FALSE),"")</f>
        <v/>
      </c>
      <c r="G101" s="405" t="str">
        <f>IFERROR(VLOOKUP(C101,[3]DOORSCRIEFT!$A$2:$G$24,7,FALSE),"")</f>
        <v/>
      </c>
    </row>
    <row r="102" spans="1:7" x14ac:dyDescent="0.25">
      <c r="A102" s="360" t="str">
        <f t="shared" si="2"/>
        <v>I.2.2.01.00147</v>
      </c>
      <c r="B102" s="394">
        <v>47</v>
      </c>
      <c r="C102" s="467" t="str">
        <f>IFERROR(VLOOKUP(A102,[3]DOORSCRIEFT!$A$2:$G$8551,2,FALSE),"")</f>
        <v/>
      </c>
      <c r="D102" s="393" t="str">
        <f>IFERROR(VLOOKUP(A102,[3]DOORSCRIEFT!$A$2:$G$8551,3,FALSE),"")</f>
        <v/>
      </c>
      <c r="E102" s="392" t="str">
        <f>IFERROR(VLOOKUP(A102,[3]DOORSCRIEFT!$A$2:$G$8551,4,FALSE),"")</f>
        <v/>
      </c>
      <c r="F102" s="405" t="str">
        <f>IFERROR(VLOOKUP(A102,[3]DOORSCRIEFT!$A$2:$G$8551,6,FALSE),"")</f>
        <v/>
      </c>
      <c r="G102" s="405" t="str">
        <f>IFERROR(VLOOKUP(C102,[3]DOORSCRIEFT!$A$2:$G$24,7,FALSE),"")</f>
        <v/>
      </c>
    </row>
    <row r="103" spans="1:7" x14ac:dyDescent="0.25">
      <c r="A103" s="360" t="str">
        <f t="shared" si="2"/>
        <v>I.2.2.01.00148</v>
      </c>
      <c r="B103" s="394">
        <v>48</v>
      </c>
      <c r="C103" s="467" t="str">
        <f>IFERROR(VLOOKUP(A103,[3]DOORSCRIEFT!$A$2:$G$8551,2,FALSE),"")</f>
        <v/>
      </c>
      <c r="D103" s="393" t="str">
        <f>IFERROR(VLOOKUP(A103,[3]DOORSCRIEFT!$A$2:$G$8551,3,FALSE),"")</f>
        <v/>
      </c>
      <c r="E103" s="392" t="str">
        <f>IFERROR(VLOOKUP(A103,[3]DOORSCRIEFT!$A$2:$G$8551,4,FALSE),"")</f>
        <v/>
      </c>
      <c r="F103" s="405" t="str">
        <f>IFERROR(VLOOKUP(A103,[3]DOORSCRIEFT!$A$2:$G$8551,6,FALSE),"")</f>
        <v/>
      </c>
      <c r="G103" s="405" t="str">
        <f>IFERROR(VLOOKUP(C103,[3]DOORSCRIEFT!$A$2:$G$24,7,FALSE),"")</f>
        <v/>
      </c>
    </row>
    <row r="104" spans="1:7" x14ac:dyDescent="0.25">
      <c r="A104" s="360" t="str">
        <f t="shared" si="2"/>
        <v>I.2.2.01.00149</v>
      </c>
      <c r="B104" s="394">
        <v>49</v>
      </c>
      <c r="C104" s="467" t="str">
        <f>IFERROR(VLOOKUP(A104,[3]DOORSCRIEFT!$A$2:$G$8551,2,FALSE),"")</f>
        <v/>
      </c>
      <c r="D104" s="393" t="str">
        <f>IFERROR(VLOOKUP(A104,[3]DOORSCRIEFT!$A$2:$G$8551,3,FALSE),"")</f>
        <v/>
      </c>
      <c r="E104" s="392" t="str">
        <f>IFERROR(VLOOKUP(A104,[3]DOORSCRIEFT!$A$2:$G$8551,4,FALSE),"")</f>
        <v/>
      </c>
      <c r="F104" s="405" t="str">
        <f>IFERROR(VLOOKUP(A104,[3]DOORSCRIEFT!$A$2:$G$8551,6,FALSE),"")</f>
        <v/>
      </c>
      <c r="G104" s="405" t="str">
        <f>IFERROR(VLOOKUP(C104,[3]DOORSCRIEFT!$A$2:$G$24,7,FALSE),"")</f>
        <v/>
      </c>
    </row>
    <row r="105" spans="1:7" x14ac:dyDescent="0.25">
      <c r="A105" s="360" t="str">
        <f t="shared" si="2"/>
        <v>I.2.2.01.00150</v>
      </c>
      <c r="B105" s="394">
        <v>50</v>
      </c>
      <c r="C105" s="467" t="str">
        <f>IFERROR(VLOOKUP(A105,[3]DOORSCRIEFT!$A$2:$G$8551,2,FALSE),"")</f>
        <v/>
      </c>
      <c r="D105" s="393" t="str">
        <f>IFERROR(VLOOKUP(A105,[3]DOORSCRIEFT!$A$2:$G$8551,3,FALSE),"")</f>
        <v/>
      </c>
      <c r="E105" s="392" t="str">
        <f>IFERROR(VLOOKUP(A105,[3]DOORSCRIEFT!$A$2:$G$8551,4,FALSE),"")</f>
        <v/>
      </c>
      <c r="F105" s="405" t="str">
        <f>IFERROR(VLOOKUP(A105,[3]DOORSCRIEFT!$A$2:$G$8551,6,FALSE),"")</f>
        <v/>
      </c>
      <c r="G105" s="405" t="str">
        <f>IFERROR(VLOOKUP(C105,[3]DOORSCRIEFT!$A$2:$G$24,7,FALSE),"")</f>
        <v/>
      </c>
    </row>
    <row r="106" spans="1:7" x14ac:dyDescent="0.25">
      <c r="A106" s="360" t="str">
        <f t="shared" si="2"/>
        <v>I.2.2.01.00151</v>
      </c>
      <c r="B106" s="394">
        <v>51</v>
      </c>
      <c r="C106" s="467" t="str">
        <f>IFERROR(VLOOKUP(A106,[3]DOORSCRIEFT!$A$2:$G$8551,2,FALSE),"")</f>
        <v/>
      </c>
      <c r="D106" s="393" t="str">
        <f>IFERROR(VLOOKUP(A106,[3]DOORSCRIEFT!$A$2:$G$8551,3,FALSE),"")</f>
        <v/>
      </c>
      <c r="E106" s="392" t="str">
        <f>IFERROR(VLOOKUP(A106,[3]DOORSCRIEFT!$A$2:$G$8551,4,FALSE),"")</f>
        <v/>
      </c>
      <c r="F106" s="405" t="str">
        <f>IFERROR(VLOOKUP(A106,[3]DOORSCRIEFT!$A$2:$G$8551,6,FALSE),"")</f>
        <v/>
      </c>
      <c r="G106" s="405" t="str">
        <f>IFERROR(VLOOKUP(C106,[3]DOORSCRIEFT!$A$2:$G$24,7,FALSE),"")</f>
        <v/>
      </c>
    </row>
    <row r="107" spans="1:7" x14ac:dyDescent="0.25">
      <c r="A107" s="360" t="str">
        <f t="shared" si="2"/>
        <v>I.2.2.01.00152</v>
      </c>
      <c r="B107" s="394">
        <v>52</v>
      </c>
      <c r="C107" s="467" t="str">
        <f>IFERROR(VLOOKUP(A107,[3]DOORSCRIEFT!$A$2:$G$8551,2,FALSE),"")</f>
        <v/>
      </c>
      <c r="D107" s="393" t="str">
        <f>IFERROR(VLOOKUP(A107,[3]DOORSCRIEFT!$A$2:$G$8551,3,FALSE),"")</f>
        <v/>
      </c>
      <c r="E107" s="392" t="str">
        <f>IFERROR(VLOOKUP(A107,[3]DOORSCRIEFT!$A$2:$G$8551,4,FALSE),"")</f>
        <v/>
      </c>
      <c r="F107" s="405" t="str">
        <f>IFERROR(VLOOKUP(A107,[3]DOORSCRIEFT!$A$2:$G$8551,6,FALSE),"")</f>
        <v/>
      </c>
      <c r="G107" s="405" t="str">
        <f>IFERROR(VLOOKUP(C107,[3]DOORSCRIEFT!$A$2:$G$24,7,FALSE),"")</f>
        <v/>
      </c>
    </row>
    <row r="108" spans="1:7" x14ac:dyDescent="0.25">
      <c r="A108" s="360" t="str">
        <f t="shared" si="2"/>
        <v>I.2.2.01.00153</v>
      </c>
      <c r="B108" s="394">
        <v>53</v>
      </c>
      <c r="C108" s="467" t="str">
        <f>IFERROR(VLOOKUP(A108,[3]DOORSCRIEFT!$A$2:$G$8551,2,FALSE),"")</f>
        <v/>
      </c>
      <c r="D108" s="393" t="str">
        <f>IFERROR(VLOOKUP(A108,[3]DOORSCRIEFT!$A$2:$G$8551,3,FALSE),"")</f>
        <v/>
      </c>
      <c r="E108" s="392" t="str">
        <f>IFERROR(VLOOKUP(A108,[3]DOORSCRIEFT!$A$2:$G$8551,4,FALSE),"")</f>
        <v/>
      </c>
      <c r="F108" s="405" t="str">
        <f>IFERROR(VLOOKUP(A108,[3]DOORSCRIEFT!$A$2:$G$8551,6,FALSE),"")</f>
        <v/>
      </c>
      <c r="G108" s="405" t="str">
        <f>IFERROR(VLOOKUP(C108,[3]DOORSCRIEFT!$A$2:$G$24,7,FALSE),"")</f>
        <v/>
      </c>
    </row>
    <row r="109" spans="1:7" x14ac:dyDescent="0.25">
      <c r="A109" s="360" t="str">
        <f t="shared" si="2"/>
        <v>I.2.2.01.00154</v>
      </c>
      <c r="B109" s="394">
        <v>54</v>
      </c>
      <c r="C109" s="467" t="str">
        <f>IFERROR(VLOOKUP(A109,[3]DOORSCRIEFT!$A$2:$G$8551,2,FALSE),"")</f>
        <v/>
      </c>
      <c r="D109" s="393" t="str">
        <f>IFERROR(VLOOKUP(A109,[3]DOORSCRIEFT!$A$2:$G$8551,3,FALSE),"")</f>
        <v/>
      </c>
      <c r="E109" s="392" t="str">
        <f>IFERROR(VLOOKUP(A109,[3]DOORSCRIEFT!$A$2:$G$8551,4,FALSE),"")</f>
        <v/>
      </c>
      <c r="F109" s="405" t="str">
        <f>IFERROR(VLOOKUP(A109,[3]DOORSCRIEFT!$A$2:$G$8551,6,FALSE),"")</f>
        <v/>
      </c>
      <c r="G109" s="405" t="str">
        <f>IFERROR(VLOOKUP(C109,[3]DOORSCRIEFT!$A$2:$G$24,7,FALSE),"")</f>
        <v/>
      </c>
    </row>
    <row r="110" spans="1:7" x14ac:dyDescent="0.25">
      <c r="A110" s="360" t="str">
        <f t="shared" si="2"/>
        <v>I.2.2.01.00155</v>
      </c>
      <c r="B110" s="394">
        <v>55</v>
      </c>
      <c r="C110" s="467" t="str">
        <f>IFERROR(VLOOKUP(A110,[3]DOORSCRIEFT!$A$2:$G$8551,2,FALSE),"")</f>
        <v/>
      </c>
      <c r="D110" s="393" t="str">
        <f>IFERROR(VLOOKUP(A110,[3]DOORSCRIEFT!$A$2:$G$8551,3,FALSE),"")</f>
        <v/>
      </c>
      <c r="E110" s="392" t="str">
        <f>IFERROR(VLOOKUP(A110,[3]DOORSCRIEFT!$A$2:$G$8551,4,FALSE),"")</f>
        <v/>
      </c>
      <c r="F110" s="405" t="str">
        <f>IFERROR(VLOOKUP(A110,[3]DOORSCRIEFT!$A$2:$G$8551,6,FALSE),"")</f>
        <v/>
      </c>
      <c r="G110" s="405" t="str">
        <f>IFERROR(VLOOKUP(C110,[3]DOORSCRIEFT!$A$2:$G$24,7,FALSE),"")</f>
        <v/>
      </c>
    </row>
    <row r="111" spans="1:7" x14ac:dyDescent="0.25">
      <c r="A111" s="360" t="str">
        <f t="shared" si="2"/>
        <v>I.2.2.01.00156</v>
      </c>
      <c r="B111" s="394">
        <v>56</v>
      </c>
      <c r="C111" s="467" t="str">
        <f>IFERROR(VLOOKUP(A111,[3]DOORSCRIEFT!$A$2:$G$8551,2,FALSE),"")</f>
        <v/>
      </c>
      <c r="D111" s="393" t="str">
        <f>IFERROR(VLOOKUP(A111,[3]DOORSCRIEFT!$A$2:$G$8551,3,FALSE),"")</f>
        <v/>
      </c>
      <c r="E111" s="392" t="str">
        <f>IFERROR(VLOOKUP(A111,[3]DOORSCRIEFT!$A$2:$G$8551,4,FALSE),"")</f>
        <v/>
      </c>
      <c r="F111" s="405" t="str">
        <f>IFERROR(VLOOKUP(A111,[3]DOORSCRIEFT!$A$2:$G$8551,6,FALSE),"")</f>
        <v/>
      </c>
      <c r="G111" s="405" t="str">
        <f>IFERROR(VLOOKUP(C111,[3]DOORSCRIEFT!$A$2:$G$24,7,FALSE),"")</f>
        <v/>
      </c>
    </row>
    <row r="112" spans="1:7" x14ac:dyDescent="0.25">
      <c r="A112" s="360" t="str">
        <f t="shared" si="2"/>
        <v>I.2.2.01.00157</v>
      </c>
      <c r="B112" s="394">
        <v>57</v>
      </c>
      <c r="C112" s="467" t="str">
        <f>IFERROR(VLOOKUP(A112,[3]DOORSCRIEFT!$A$2:$G$8551,2,FALSE),"")</f>
        <v/>
      </c>
      <c r="D112" s="393" t="str">
        <f>IFERROR(VLOOKUP(A112,[3]DOORSCRIEFT!$A$2:$G$8551,3,FALSE),"")</f>
        <v/>
      </c>
      <c r="E112" s="392" t="str">
        <f>IFERROR(VLOOKUP(A112,[3]DOORSCRIEFT!$A$2:$G$8551,4,FALSE),"")</f>
        <v/>
      </c>
      <c r="F112" s="405" t="str">
        <f>IFERROR(VLOOKUP(A112,[3]DOORSCRIEFT!$A$2:$G$8551,6,FALSE),"")</f>
        <v/>
      </c>
      <c r="G112" s="405" t="str">
        <f>IFERROR(VLOOKUP(C112,[3]DOORSCRIEFT!$A$2:$G$24,7,FALSE),"")</f>
        <v/>
      </c>
    </row>
    <row r="113" spans="1:7" x14ac:dyDescent="0.25">
      <c r="A113" s="360" t="str">
        <f t="shared" si="2"/>
        <v>I.2.2.01.00158</v>
      </c>
      <c r="B113" s="394">
        <v>58</v>
      </c>
      <c r="C113" s="467" t="str">
        <f>IFERROR(VLOOKUP(A113,[3]DOORSCRIEFT!$A$2:$G$8551,2,FALSE),"")</f>
        <v/>
      </c>
      <c r="D113" s="393" t="str">
        <f>IFERROR(VLOOKUP(A113,[3]DOORSCRIEFT!$A$2:$G$8551,3,FALSE),"")</f>
        <v/>
      </c>
      <c r="E113" s="392" t="str">
        <f>IFERROR(VLOOKUP(A113,[3]DOORSCRIEFT!$A$2:$G$8551,4,FALSE),"")</f>
        <v/>
      </c>
      <c r="F113" s="405" t="str">
        <f>IFERROR(VLOOKUP(A113,[3]DOORSCRIEFT!$A$2:$G$8551,6,FALSE),"")</f>
        <v/>
      </c>
      <c r="G113" s="405" t="str">
        <f>IFERROR(VLOOKUP(C113,[3]DOORSCRIEFT!$A$2:$G$24,7,FALSE),"")</f>
        <v/>
      </c>
    </row>
    <row r="114" spans="1:7" x14ac:dyDescent="0.25">
      <c r="A114" s="360" t="str">
        <f t="shared" si="2"/>
        <v>I.2.2.01.00159</v>
      </c>
      <c r="B114" s="394">
        <v>59</v>
      </c>
      <c r="C114" s="467" t="str">
        <f>IFERROR(VLOOKUP(A114,[3]DOORSCRIEFT!$A$2:$G$8551,2,FALSE),"")</f>
        <v/>
      </c>
      <c r="D114" s="393" t="str">
        <f>IFERROR(VLOOKUP(A114,[3]DOORSCRIEFT!$A$2:$G$8551,3,FALSE),"")</f>
        <v/>
      </c>
      <c r="E114" s="392" t="str">
        <f>IFERROR(VLOOKUP(A114,[3]DOORSCRIEFT!$A$2:$G$8551,4,FALSE),"")</f>
        <v/>
      </c>
      <c r="F114" s="405" t="str">
        <f>IFERROR(VLOOKUP(A114,[3]DOORSCRIEFT!$A$2:$G$8551,6,FALSE),"")</f>
        <v/>
      </c>
      <c r="G114" s="405" t="str">
        <f>IFERROR(VLOOKUP(C114,[3]DOORSCRIEFT!$A$2:$G$24,7,FALSE),"")</f>
        <v/>
      </c>
    </row>
    <row r="115" spans="1:7" x14ac:dyDescent="0.25">
      <c r="A115" s="360" t="str">
        <f t="shared" si="2"/>
        <v>I.2.2.01.00160</v>
      </c>
      <c r="B115" s="394">
        <v>60</v>
      </c>
      <c r="C115" s="467" t="str">
        <f>IFERROR(VLOOKUP(A115,[3]DOORSCRIEFT!$A$2:$G$8551,2,FALSE),"")</f>
        <v/>
      </c>
      <c r="D115" s="393" t="str">
        <f>IFERROR(VLOOKUP(A115,[3]DOORSCRIEFT!$A$2:$G$8551,3,FALSE),"")</f>
        <v/>
      </c>
      <c r="E115" s="392" t="str">
        <f>IFERROR(VLOOKUP(A115,[3]DOORSCRIEFT!$A$2:$G$8551,4,FALSE),"")</f>
        <v/>
      </c>
      <c r="F115" s="405" t="str">
        <f>IFERROR(VLOOKUP(A115,[3]DOORSCRIEFT!$A$2:$G$8551,6,FALSE),"")</f>
        <v/>
      </c>
      <c r="G115" s="405" t="str">
        <f>IFERROR(VLOOKUP(C115,[3]DOORSCRIEFT!$A$2:$G$24,7,FALSE),"")</f>
        <v/>
      </c>
    </row>
    <row r="116" spans="1:7" x14ac:dyDescent="0.25">
      <c r="A116" s="360" t="str">
        <f t="shared" si="2"/>
        <v>I.2.2.01.00161</v>
      </c>
      <c r="B116" s="394">
        <v>61</v>
      </c>
      <c r="C116" s="467" t="str">
        <f>IFERROR(VLOOKUP(A116,[3]DOORSCRIEFT!$A$2:$G$8551,2,FALSE),"")</f>
        <v/>
      </c>
      <c r="D116" s="393" t="str">
        <f>IFERROR(VLOOKUP(A116,[3]DOORSCRIEFT!$A$2:$G$8551,3,FALSE),"")</f>
        <v/>
      </c>
      <c r="E116" s="392" t="str">
        <f>IFERROR(VLOOKUP(A116,[3]DOORSCRIEFT!$A$2:$G$8551,4,FALSE),"")</f>
        <v/>
      </c>
      <c r="F116" s="405" t="str">
        <f>IFERROR(VLOOKUP(A116,[3]DOORSCRIEFT!$A$2:$G$8551,6,FALSE),"")</f>
        <v/>
      </c>
      <c r="G116" s="405" t="str">
        <f>IFERROR(VLOOKUP(C116,[3]DOORSCRIEFT!$A$2:$G$24,7,FALSE),"")</f>
        <v/>
      </c>
    </row>
    <row r="117" spans="1:7" x14ac:dyDescent="0.25">
      <c r="A117" s="360" t="str">
        <f t="shared" si="2"/>
        <v>I.2.2.01.00162</v>
      </c>
      <c r="B117" s="394">
        <v>62</v>
      </c>
      <c r="C117" s="467" t="str">
        <f>IFERROR(VLOOKUP(A117,[3]DOORSCRIEFT!$A$2:$G$8551,2,FALSE),"")</f>
        <v/>
      </c>
      <c r="D117" s="393" t="str">
        <f>IFERROR(VLOOKUP(A117,[3]DOORSCRIEFT!$A$2:$G$8551,3,FALSE),"")</f>
        <v/>
      </c>
      <c r="E117" s="392" t="str">
        <f>IFERROR(VLOOKUP(A117,[3]DOORSCRIEFT!$A$2:$G$8551,4,FALSE),"")</f>
        <v/>
      </c>
      <c r="F117" s="405" t="str">
        <f>IFERROR(VLOOKUP(A117,[3]DOORSCRIEFT!$A$2:$G$8551,6,FALSE),"")</f>
        <v/>
      </c>
      <c r="G117" s="405" t="str">
        <f>IFERROR(VLOOKUP(C117,[3]DOORSCRIEFT!$A$2:$G$24,7,FALSE),"")</f>
        <v/>
      </c>
    </row>
    <row r="118" spans="1:7" x14ac:dyDescent="0.25">
      <c r="A118" s="360" t="str">
        <f t="shared" si="2"/>
        <v>I.2.2.01.00163</v>
      </c>
      <c r="B118" s="394">
        <v>63</v>
      </c>
      <c r="C118" s="467" t="str">
        <f>IFERROR(VLOOKUP(A118,[3]DOORSCRIEFT!$A$2:$G$8551,2,FALSE),"")</f>
        <v/>
      </c>
      <c r="D118" s="393" t="str">
        <f>IFERROR(VLOOKUP(A118,[3]DOORSCRIEFT!$A$2:$G$8551,3,FALSE),"")</f>
        <v/>
      </c>
      <c r="E118" s="392" t="str">
        <f>IFERROR(VLOOKUP(A118,[3]DOORSCRIEFT!$A$2:$G$8551,4,FALSE),"")</f>
        <v/>
      </c>
      <c r="F118" s="405" t="str">
        <f>IFERROR(VLOOKUP(A118,[3]DOORSCRIEFT!$A$2:$G$8551,6,FALSE),"")</f>
        <v/>
      </c>
      <c r="G118" s="405" t="str">
        <f>IFERROR(VLOOKUP(C118,[3]DOORSCRIEFT!$A$2:$G$24,7,FALSE),"")</f>
        <v/>
      </c>
    </row>
    <row r="119" spans="1:7" x14ac:dyDescent="0.25">
      <c r="A119" s="360" t="str">
        <f t="shared" si="2"/>
        <v>I.2.2.01.00164</v>
      </c>
      <c r="B119" s="394">
        <v>64</v>
      </c>
      <c r="C119" s="467" t="str">
        <f>IFERROR(VLOOKUP(A119,[3]DOORSCRIEFT!$A$2:$G$8551,2,FALSE),"")</f>
        <v/>
      </c>
      <c r="D119" s="393" t="str">
        <f>IFERROR(VLOOKUP(A119,[3]DOORSCRIEFT!$A$2:$G$8551,3,FALSE),"")</f>
        <v/>
      </c>
      <c r="E119" s="392" t="str">
        <f>IFERROR(VLOOKUP(A119,[3]DOORSCRIEFT!$A$2:$G$8551,4,FALSE),"")</f>
        <v/>
      </c>
      <c r="F119" s="405" t="str">
        <f>IFERROR(VLOOKUP(A119,[3]DOORSCRIEFT!$A$2:$G$8551,6,FALSE),"")</f>
        <v/>
      </c>
      <c r="G119" s="405" t="str">
        <f>IFERROR(VLOOKUP(C119,[3]DOORSCRIEFT!$A$2:$G$24,7,FALSE),"")</f>
        <v/>
      </c>
    </row>
    <row r="120" spans="1:7" x14ac:dyDescent="0.25">
      <c r="A120" s="359" t="str">
        <f t="shared" ref="A120:A151" si="3">$G$49&amp;B120</f>
        <v>I.2.2.01.00165</v>
      </c>
      <c r="B120" s="319">
        <v>65</v>
      </c>
      <c r="C120" s="467" t="str">
        <f>IFERROR(VLOOKUP(A120,[3]DOORSCRIEFT!$A$2:$G$8551,2,FALSE),"")</f>
        <v/>
      </c>
      <c r="D120" s="393" t="str">
        <f>IFERROR(VLOOKUP(A120,[3]DOORSCRIEFT!$A$2:$G$8551,3,FALSE),"")</f>
        <v/>
      </c>
      <c r="E120" s="392" t="str">
        <f>IFERROR(VLOOKUP(A120,[3]DOORSCRIEFT!$A$2:$G$8551,4,FALSE),"")</f>
        <v/>
      </c>
      <c r="F120" s="405" t="str">
        <f>IFERROR(VLOOKUP(A120,[3]DOORSCRIEFT!$A$2:$G$8551,6,FALSE),"")</f>
        <v/>
      </c>
      <c r="G120" s="405" t="str">
        <f>IFERROR(VLOOKUP(C120,[3]DOORSCRIEFT!$A$2:$G$24,7,FALSE),"")</f>
        <v/>
      </c>
    </row>
    <row r="121" spans="1:7" x14ac:dyDescent="0.25">
      <c r="A121" s="359" t="str">
        <f t="shared" si="3"/>
        <v>I.2.2.01.00166</v>
      </c>
      <c r="B121" s="319">
        <v>66</v>
      </c>
      <c r="C121" s="467" t="str">
        <f>IFERROR(VLOOKUP(A121,[3]DOORSCRIEFT!$A$2:$G$8551,2,FALSE),"")</f>
        <v/>
      </c>
      <c r="D121" s="393" t="str">
        <f>IFERROR(VLOOKUP(A121,[3]DOORSCRIEFT!$A$2:$G$8551,3,FALSE),"")</f>
        <v/>
      </c>
      <c r="E121" s="392" t="str">
        <f>IFERROR(VLOOKUP(A121,[3]DOORSCRIEFT!$A$2:$G$8551,4,FALSE),"")</f>
        <v/>
      </c>
      <c r="F121" s="405" t="str">
        <f>IFERROR(VLOOKUP(A121,[3]DOORSCRIEFT!$A$2:$G$8551,6,FALSE),"")</f>
        <v/>
      </c>
      <c r="G121" s="405" t="str">
        <f>IFERROR(VLOOKUP(C121,[3]DOORSCRIEFT!$A$2:$G$24,7,FALSE),"")</f>
        <v/>
      </c>
    </row>
    <row r="122" spans="1:7" x14ac:dyDescent="0.25">
      <c r="A122" s="359" t="str">
        <f t="shared" si="3"/>
        <v>I.2.2.01.00167</v>
      </c>
      <c r="B122" s="319">
        <v>67</v>
      </c>
      <c r="C122" s="467" t="str">
        <f>IFERROR(VLOOKUP(A122,[3]DOORSCRIEFT!$A$2:$G$8551,2,FALSE),"")</f>
        <v/>
      </c>
      <c r="D122" s="393" t="str">
        <f>IFERROR(VLOOKUP(A122,[3]DOORSCRIEFT!$A$2:$G$8551,3,FALSE),"")</f>
        <v/>
      </c>
      <c r="E122" s="392" t="str">
        <f>IFERROR(VLOOKUP(A122,[3]DOORSCRIEFT!$A$2:$G$8551,4,FALSE),"")</f>
        <v/>
      </c>
      <c r="F122" s="405" t="str">
        <f>IFERROR(VLOOKUP(A122,[3]DOORSCRIEFT!$A$2:$G$8551,6,FALSE),"")</f>
        <v/>
      </c>
      <c r="G122" s="405" t="str">
        <f>IFERROR(VLOOKUP(C122,[3]DOORSCRIEFT!$A$2:$G$24,7,FALSE),"")</f>
        <v/>
      </c>
    </row>
    <row r="123" spans="1:7" x14ac:dyDescent="0.25">
      <c r="A123" s="359" t="str">
        <f t="shared" si="3"/>
        <v>I.2.2.01.00168</v>
      </c>
      <c r="B123" s="319">
        <v>68</v>
      </c>
      <c r="C123" s="467" t="str">
        <f>IFERROR(VLOOKUP(A123,[3]DOORSCRIEFT!$A$2:$G$8551,2,FALSE),"")</f>
        <v/>
      </c>
      <c r="D123" s="393" t="str">
        <f>IFERROR(VLOOKUP(A123,[3]DOORSCRIEFT!$A$2:$G$8551,3,FALSE),"")</f>
        <v/>
      </c>
      <c r="E123" s="392" t="str">
        <f>IFERROR(VLOOKUP(A123,[3]DOORSCRIEFT!$A$2:$G$8551,4,FALSE),"")</f>
        <v/>
      </c>
      <c r="F123" s="405" t="str">
        <f>IFERROR(VLOOKUP(A123,[3]DOORSCRIEFT!$A$2:$G$8551,6,FALSE),"")</f>
        <v/>
      </c>
      <c r="G123" s="405" t="str">
        <f>IFERROR(VLOOKUP(C123,[3]DOORSCRIEFT!$A$2:$G$24,7,FALSE),"")</f>
        <v/>
      </c>
    </row>
    <row r="124" spans="1:7" x14ac:dyDescent="0.25">
      <c r="A124" s="359" t="str">
        <f t="shared" si="3"/>
        <v>I.2.2.01.00169</v>
      </c>
      <c r="B124" s="319">
        <v>69</v>
      </c>
      <c r="C124" s="467" t="str">
        <f>IFERROR(VLOOKUP(A124,[3]DOORSCRIEFT!$A$2:$G$8551,2,FALSE),"")</f>
        <v/>
      </c>
      <c r="D124" s="393" t="str">
        <f>IFERROR(VLOOKUP(A124,[3]DOORSCRIEFT!$A$2:$G$8551,3,FALSE),"")</f>
        <v/>
      </c>
      <c r="E124" s="392" t="str">
        <f>IFERROR(VLOOKUP(A124,[3]DOORSCRIEFT!$A$2:$G$8551,4,FALSE),"")</f>
        <v/>
      </c>
      <c r="F124" s="405" t="str">
        <f>IFERROR(VLOOKUP(A124,[3]DOORSCRIEFT!$A$2:$G$8551,6,FALSE),"")</f>
        <v/>
      </c>
      <c r="G124" s="405" t="str">
        <f>IFERROR(VLOOKUP(C124,[3]DOORSCRIEFT!$A$2:$G$24,7,FALSE),"")</f>
        <v/>
      </c>
    </row>
    <row r="125" spans="1:7" x14ac:dyDescent="0.25">
      <c r="A125" s="359" t="str">
        <f t="shared" si="3"/>
        <v>I.2.2.01.00170</v>
      </c>
      <c r="B125" s="319">
        <v>70</v>
      </c>
      <c r="C125" s="467" t="str">
        <f>IFERROR(VLOOKUP(A125,[3]DOORSCRIEFT!$A$2:$G$8551,2,FALSE),"")</f>
        <v/>
      </c>
      <c r="D125" s="393" t="str">
        <f>IFERROR(VLOOKUP(A125,[3]DOORSCRIEFT!$A$2:$G$8551,3,FALSE),"")</f>
        <v/>
      </c>
      <c r="E125" s="392" t="str">
        <f>IFERROR(VLOOKUP(A125,[3]DOORSCRIEFT!$A$2:$G$8551,4,FALSE),"")</f>
        <v/>
      </c>
      <c r="F125" s="405" t="str">
        <f>IFERROR(VLOOKUP(A125,[3]DOORSCRIEFT!$A$2:$G$8551,6,FALSE),"")</f>
        <v/>
      </c>
      <c r="G125" s="405" t="str">
        <f>IFERROR(VLOOKUP(C125,[3]DOORSCRIEFT!$A$2:$G$24,7,FALSE),"")</f>
        <v/>
      </c>
    </row>
    <row r="126" spans="1:7" x14ac:dyDescent="0.25">
      <c r="A126" s="359" t="str">
        <f t="shared" si="3"/>
        <v>I.2.2.01.00171</v>
      </c>
      <c r="B126" s="319">
        <v>71</v>
      </c>
      <c r="C126" s="467" t="str">
        <f>IFERROR(VLOOKUP(A126,[3]DOORSCRIEFT!$A$2:$G$8551,2,FALSE),"")</f>
        <v/>
      </c>
      <c r="D126" s="393" t="str">
        <f>IFERROR(VLOOKUP(A126,[3]DOORSCRIEFT!$A$2:$G$8551,3,FALSE),"")</f>
        <v/>
      </c>
      <c r="E126" s="392" t="str">
        <f>IFERROR(VLOOKUP(A126,[3]DOORSCRIEFT!$A$2:$G$8551,4,FALSE),"")</f>
        <v/>
      </c>
      <c r="F126" s="405" t="str">
        <f>IFERROR(VLOOKUP(A126,[3]DOORSCRIEFT!$A$2:$G$8551,6,FALSE),"")</f>
        <v/>
      </c>
      <c r="G126" s="405" t="str">
        <f>IFERROR(VLOOKUP(C126,[3]DOORSCRIEFT!$A$2:$G$24,7,FALSE),"")</f>
        <v/>
      </c>
    </row>
    <row r="127" spans="1:7" x14ac:dyDescent="0.25">
      <c r="A127" s="359" t="str">
        <f t="shared" si="3"/>
        <v>I.2.2.01.00172</v>
      </c>
      <c r="B127" s="319">
        <v>72</v>
      </c>
      <c r="C127" s="467" t="str">
        <f>IFERROR(VLOOKUP(A127,[3]DOORSCRIEFT!$A$2:$G$8551,2,FALSE),"")</f>
        <v/>
      </c>
      <c r="D127" s="393" t="str">
        <f>IFERROR(VLOOKUP(A127,[3]DOORSCRIEFT!$A$2:$G$8551,3,FALSE),"")</f>
        <v/>
      </c>
      <c r="E127" s="392" t="str">
        <f>IFERROR(VLOOKUP(A127,[3]DOORSCRIEFT!$A$2:$G$8551,4,FALSE),"")</f>
        <v/>
      </c>
      <c r="F127" s="405" t="str">
        <f>IFERROR(VLOOKUP(A127,[3]DOORSCRIEFT!$A$2:$G$8551,6,FALSE),"")</f>
        <v/>
      </c>
      <c r="G127" s="405" t="str">
        <f>IFERROR(VLOOKUP(C127,[3]DOORSCRIEFT!$A$2:$G$24,7,FALSE),"")</f>
        <v/>
      </c>
    </row>
    <row r="128" spans="1:7" x14ac:dyDescent="0.25">
      <c r="A128" s="359" t="str">
        <f t="shared" si="3"/>
        <v>I.2.2.01.00173</v>
      </c>
      <c r="B128" s="319">
        <v>73</v>
      </c>
      <c r="C128" s="467" t="str">
        <f>IFERROR(VLOOKUP(A128,[3]DOORSCRIEFT!$A$2:$G$8551,2,FALSE),"")</f>
        <v/>
      </c>
      <c r="D128" s="393" t="str">
        <f>IFERROR(VLOOKUP(A128,[3]DOORSCRIEFT!$A$2:$G$8551,3,FALSE),"")</f>
        <v/>
      </c>
      <c r="E128" s="392" t="str">
        <f>IFERROR(VLOOKUP(A128,[3]DOORSCRIEFT!$A$2:$G$8551,4,FALSE),"")</f>
        <v/>
      </c>
      <c r="F128" s="405" t="str">
        <f>IFERROR(VLOOKUP(A128,[3]DOORSCRIEFT!$A$2:$G$8551,6,FALSE),"")</f>
        <v/>
      </c>
      <c r="G128" s="405" t="str">
        <f>IFERROR(VLOOKUP(C128,[3]DOORSCRIEFT!$A$2:$G$24,7,FALSE),"")</f>
        <v/>
      </c>
    </row>
    <row r="129" spans="1:7" x14ac:dyDescent="0.25">
      <c r="A129" s="359" t="str">
        <f t="shared" si="3"/>
        <v>I.2.2.01.00174</v>
      </c>
      <c r="B129" s="319">
        <v>74</v>
      </c>
      <c r="C129" s="467" t="str">
        <f>IFERROR(VLOOKUP(A129,[3]DOORSCRIEFT!$A$2:$G$8551,2,FALSE),"")</f>
        <v/>
      </c>
      <c r="D129" s="393" t="str">
        <f>IFERROR(VLOOKUP(A129,[3]DOORSCRIEFT!$A$2:$G$8551,3,FALSE),"")</f>
        <v/>
      </c>
      <c r="E129" s="392" t="str">
        <f>IFERROR(VLOOKUP(A129,[3]DOORSCRIEFT!$A$2:$G$8551,4,FALSE),"")</f>
        <v/>
      </c>
      <c r="F129" s="405" t="str">
        <f>IFERROR(VLOOKUP(A129,[3]DOORSCRIEFT!$A$2:$G$8551,6,FALSE),"")</f>
        <v/>
      </c>
      <c r="G129" s="405" t="str">
        <f>IFERROR(VLOOKUP(C129,[3]DOORSCRIEFT!$A$2:$G$24,7,FALSE),"")</f>
        <v/>
      </c>
    </row>
    <row r="130" spans="1:7" x14ac:dyDescent="0.25">
      <c r="A130" s="359" t="str">
        <f t="shared" si="3"/>
        <v>I.2.2.01.00175</v>
      </c>
      <c r="B130" s="319">
        <v>75</v>
      </c>
      <c r="C130" s="467" t="str">
        <f>IFERROR(VLOOKUP(A130,[3]DOORSCRIEFT!$A$2:$G$8551,2,FALSE),"")</f>
        <v/>
      </c>
      <c r="D130" s="393" t="str">
        <f>IFERROR(VLOOKUP(A130,[3]DOORSCRIEFT!$A$2:$G$8551,3,FALSE),"")</f>
        <v/>
      </c>
      <c r="E130" s="392" t="str">
        <f>IFERROR(VLOOKUP(A130,[3]DOORSCRIEFT!$A$2:$G$8551,4,FALSE),"")</f>
        <v/>
      </c>
      <c r="F130" s="405" t="str">
        <f>IFERROR(VLOOKUP(A130,[3]DOORSCRIEFT!$A$2:$G$8551,6,FALSE),"")</f>
        <v/>
      </c>
      <c r="G130" s="405" t="str">
        <f>IFERROR(VLOOKUP(C130,[3]DOORSCRIEFT!$A$2:$G$24,7,FALSE),"")</f>
        <v/>
      </c>
    </row>
    <row r="131" spans="1:7" x14ac:dyDescent="0.25">
      <c r="A131" s="359" t="str">
        <f t="shared" si="3"/>
        <v>I.2.2.01.00176</v>
      </c>
      <c r="B131" s="319">
        <v>76</v>
      </c>
      <c r="C131" s="467" t="str">
        <f>IFERROR(VLOOKUP(A131,[3]DOORSCRIEFT!$A$2:$G$8551,2,FALSE),"")</f>
        <v/>
      </c>
      <c r="D131" s="393" t="str">
        <f>IFERROR(VLOOKUP(A131,[3]DOORSCRIEFT!$A$2:$G$8551,3,FALSE),"")</f>
        <v/>
      </c>
      <c r="E131" s="392" t="str">
        <f>IFERROR(VLOOKUP(A131,[3]DOORSCRIEFT!$A$2:$G$8551,4,FALSE),"")</f>
        <v/>
      </c>
      <c r="F131" s="405" t="str">
        <f>IFERROR(VLOOKUP(A131,[3]DOORSCRIEFT!$A$2:$G$8551,6,FALSE),"")</f>
        <v/>
      </c>
      <c r="G131" s="405" t="str">
        <f>IFERROR(VLOOKUP(C131,[3]DOORSCRIEFT!$A$2:$G$24,7,FALSE),"")</f>
        <v/>
      </c>
    </row>
    <row r="132" spans="1:7" x14ac:dyDescent="0.25">
      <c r="A132" s="359" t="str">
        <f t="shared" si="3"/>
        <v>I.2.2.01.00177</v>
      </c>
      <c r="B132" s="319">
        <v>77</v>
      </c>
      <c r="C132" s="467" t="str">
        <f>IFERROR(VLOOKUP(A132,[3]DOORSCRIEFT!$A$2:$G$8551,2,FALSE),"")</f>
        <v/>
      </c>
      <c r="D132" s="393" t="str">
        <f>IFERROR(VLOOKUP(A132,[3]DOORSCRIEFT!$A$2:$G$8551,3,FALSE),"")</f>
        <v/>
      </c>
      <c r="E132" s="392" t="str">
        <f>IFERROR(VLOOKUP(A132,[3]DOORSCRIEFT!$A$2:$G$8551,4,FALSE),"")</f>
        <v/>
      </c>
      <c r="F132" s="405" t="str">
        <f>IFERROR(VLOOKUP(A132,[3]DOORSCRIEFT!$A$2:$G$8551,6,FALSE),"")</f>
        <v/>
      </c>
      <c r="G132" s="405" t="str">
        <f>IFERROR(VLOOKUP(C132,[3]DOORSCRIEFT!$A$2:$G$24,7,FALSE),"")</f>
        <v/>
      </c>
    </row>
    <row r="133" spans="1:7" x14ac:dyDescent="0.25">
      <c r="A133" s="359" t="str">
        <f t="shared" si="3"/>
        <v>I.2.2.01.00178</v>
      </c>
      <c r="B133" s="319">
        <v>78</v>
      </c>
      <c r="C133" s="467" t="str">
        <f>IFERROR(VLOOKUP(A133,[3]DOORSCRIEFT!$A$2:$G$8551,2,FALSE),"")</f>
        <v/>
      </c>
      <c r="D133" s="393" t="str">
        <f>IFERROR(VLOOKUP(A133,[3]DOORSCRIEFT!$A$2:$G$8551,3,FALSE),"")</f>
        <v/>
      </c>
      <c r="E133" s="392" t="str">
        <f>IFERROR(VLOOKUP(A133,[3]DOORSCRIEFT!$A$2:$G$8551,4,FALSE),"")</f>
        <v/>
      </c>
      <c r="F133" s="405" t="str">
        <f>IFERROR(VLOOKUP(A133,[3]DOORSCRIEFT!$A$2:$G$8551,6,FALSE),"")</f>
        <v/>
      </c>
      <c r="G133" s="405" t="str">
        <f>IFERROR(VLOOKUP(C133,[3]DOORSCRIEFT!$A$2:$G$24,7,FALSE),"")</f>
        <v/>
      </c>
    </row>
    <row r="134" spans="1:7" x14ac:dyDescent="0.25">
      <c r="A134" s="359" t="str">
        <f t="shared" si="3"/>
        <v>I.2.2.01.00179</v>
      </c>
      <c r="B134" s="319">
        <v>79</v>
      </c>
      <c r="C134" s="467" t="str">
        <f>IFERROR(VLOOKUP(A134,[3]DOORSCRIEFT!$A$2:$G$8551,2,FALSE),"")</f>
        <v/>
      </c>
      <c r="D134" s="393" t="str">
        <f>IFERROR(VLOOKUP(A134,[3]DOORSCRIEFT!$A$2:$G$8551,3,FALSE),"")</f>
        <v/>
      </c>
      <c r="E134" s="392" t="str">
        <f>IFERROR(VLOOKUP(A134,[3]DOORSCRIEFT!$A$2:$G$8551,4,FALSE),"")</f>
        <v/>
      </c>
      <c r="F134" s="405" t="str">
        <f>IFERROR(VLOOKUP(A134,[3]DOORSCRIEFT!$A$2:$G$8551,6,FALSE),"")</f>
        <v/>
      </c>
      <c r="G134" s="405" t="str">
        <f>IFERROR(VLOOKUP(C134,[3]DOORSCRIEFT!$A$2:$G$24,7,FALSE),"")</f>
        <v/>
      </c>
    </row>
    <row r="135" spans="1:7" x14ac:dyDescent="0.25">
      <c r="A135" s="359" t="str">
        <f t="shared" si="3"/>
        <v>I.2.2.01.00180</v>
      </c>
      <c r="B135" s="319">
        <v>80</v>
      </c>
      <c r="C135" s="467" t="str">
        <f>IFERROR(VLOOKUP(A135,[3]DOORSCRIEFT!$A$2:$G$8551,2,FALSE),"")</f>
        <v/>
      </c>
      <c r="D135" s="393" t="str">
        <f>IFERROR(VLOOKUP(A135,[3]DOORSCRIEFT!$A$2:$G$8551,3,FALSE),"")</f>
        <v/>
      </c>
      <c r="E135" s="392" t="str">
        <f>IFERROR(VLOOKUP(A135,[3]DOORSCRIEFT!$A$2:$G$8551,4,FALSE),"")</f>
        <v/>
      </c>
      <c r="F135" s="405" t="str">
        <f>IFERROR(VLOOKUP(A135,[3]DOORSCRIEFT!$A$2:$G$8551,6,FALSE),"")</f>
        <v/>
      </c>
      <c r="G135" s="405" t="str">
        <f>IFERROR(VLOOKUP(C135,[3]DOORSCRIEFT!$A$2:$G$24,7,FALSE),"")</f>
        <v/>
      </c>
    </row>
    <row r="136" spans="1:7" x14ac:dyDescent="0.25">
      <c r="A136" s="359" t="str">
        <f t="shared" si="3"/>
        <v>I.2.2.01.00181</v>
      </c>
      <c r="B136" s="319">
        <v>81</v>
      </c>
      <c r="C136" s="467" t="str">
        <f>IFERROR(VLOOKUP(A136,[3]DOORSCRIEFT!$A$2:$G$8551,2,FALSE),"")</f>
        <v/>
      </c>
      <c r="D136" s="393" t="str">
        <f>IFERROR(VLOOKUP(A136,[3]DOORSCRIEFT!$A$2:$G$8551,3,FALSE),"")</f>
        <v/>
      </c>
      <c r="E136" s="392" t="str">
        <f>IFERROR(VLOOKUP(A136,[3]DOORSCRIEFT!$A$2:$G$8551,4,FALSE),"")</f>
        <v/>
      </c>
      <c r="F136" s="405" t="str">
        <f>IFERROR(VLOOKUP(A136,[3]DOORSCRIEFT!$A$2:$G$8551,6,FALSE),"")</f>
        <v/>
      </c>
      <c r="G136" s="405" t="str">
        <f>IFERROR(VLOOKUP(C136,[3]DOORSCRIEFT!$A$2:$G$24,7,FALSE),"")</f>
        <v/>
      </c>
    </row>
    <row r="137" spans="1:7" x14ac:dyDescent="0.25">
      <c r="A137" s="359" t="str">
        <f t="shared" si="3"/>
        <v>I.2.2.01.00182</v>
      </c>
      <c r="B137" s="319">
        <v>82</v>
      </c>
      <c r="C137" s="467" t="str">
        <f>IFERROR(VLOOKUP(A137,[3]DOORSCRIEFT!$A$2:$G$8551,2,FALSE),"")</f>
        <v/>
      </c>
      <c r="D137" s="393" t="str">
        <f>IFERROR(VLOOKUP(A137,[3]DOORSCRIEFT!$A$2:$G$8551,3,FALSE),"")</f>
        <v/>
      </c>
      <c r="E137" s="392" t="str">
        <f>IFERROR(VLOOKUP(A137,[3]DOORSCRIEFT!$A$2:$G$8551,4,FALSE),"")</f>
        <v/>
      </c>
      <c r="F137" s="405" t="str">
        <f>IFERROR(VLOOKUP(A137,[3]DOORSCRIEFT!$A$2:$G$8551,6,FALSE),"")</f>
        <v/>
      </c>
      <c r="G137" s="405" t="str">
        <f>IFERROR(VLOOKUP(C137,[3]DOORSCRIEFT!$A$2:$G$24,7,FALSE),"")</f>
        <v/>
      </c>
    </row>
    <row r="138" spans="1:7" x14ac:dyDescent="0.25">
      <c r="A138" s="359" t="str">
        <f t="shared" si="3"/>
        <v>I.2.2.01.00183</v>
      </c>
      <c r="B138" s="319">
        <v>83</v>
      </c>
      <c r="C138" s="467" t="str">
        <f>IFERROR(VLOOKUP(A138,[3]DOORSCRIEFT!$A$2:$G$8551,2,FALSE),"")</f>
        <v/>
      </c>
      <c r="D138" s="393" t="str">
        <f>IFERROR(VLOOKUP(A138,[3]DOORSCRIEFT!$A$2:$G$8551,3,FALSE),"")</f>
        <v/>
      </c>
      <c r="E138" s="392" t="str">
        <f>IFERROR(VLOOKUP(A138,[3]DOORSCRIEFT!$A$2:$G$8551,4,FALSE),"")</f>
        <v/>
      </c>
      <c r="F138" s="405" t="str">
        <f>IFERROR(VLOOKUP(A138,[3]DOORSCRIEFT!$A$2:$G$8551,6,FALSE),"")</f>
        <v/>
      </c>
      <c r="G138" s="405" t="str">
        <f>IFERROR(VLOOKUP(C138,[3]DOORSCRIEFT!$A$2:$G$24,7,FALSE),"")</f>
        <v/>
      </c>
    </row>
    <row r="139" spans="1:7" x14ac:dyDescent="0.25">
      <c r="A139" s="359" t="str">
        <f t="shared" si="3"/>
        <v>I.2.2.01.00184</v>
      </c>
      <c r="B139" s="319">
        <v>84</v>
      </c>
      <c r="C139" s="467" t="str">
        <f>IFERROR(VLOOKUP(A139,[3]DOORSCRIEFT!$A$2:$G$8551,2,FALSE),"")</f>
        <v/>
      </c>
      <c r="D139" s="393" t="str">
        <f>IFERROR(VLOOKUP(A139,[3]DOORSCRIEFT!$A$2:$G$8551,3,FALSE),"")</f>
        <v/>
      </c>
      <c r="E139" s="392" t="str">
        <f>IFERROR(VLOOKUP(A139,[3]DOORSCRIEFT!$A$2:$G$8551,4,FALSE),"")</f>
        <v/>
      </c>
      <c r="F139" s="405" t="str">
        <f>IFERROR(VLOOKUP(A139,[3]DOORSCRIEFT!$A$2:$G$8551,6,FALSE),"")</f>
        <v/>
      </c>
      <c r="G139" s="405" t="str">
        <f>IFERROR(VLOOKUP(C139,[3]DOORSCRIEFT!$A$2:$G$24,7,FALSE),"")</f>
        <v/>
      </c>
    </row>
    <row r="140" spans="1:7" x14ac:dyDescent="0.25">
      <c r="A140" s="359" t="str">
        <f t="shared" si="3"/>
        <v>I.2.2.01.00185</v>
      </c>
      <c r="B140" s="319">
        <v>85</v>
      </c>
      <c r="C140" s="467" t="str">
        <f>IFERROR(VLOOKUP(A140,[3]DOORSCRIEFT!$A$2:$G$8551,2,FALSE),"")</f>
        <v/>
      </c>
      <c r="D140" s="393" t="str">
        <f>IFERROR(VLOOKUP(A140,[3]DOORSCRIEFT!$A$2:$G$8551,3,FALSE),"")</f>
        <v/>
      </c>
      <c r="E140" s="392" t="str">
        <f>IFERROR(VLOOKUP(A140,[3]DOORSCRIEFT!$A$2:$G$8551,4,FALSE),"")</f>
        <v/>
      </c>
      <c r="F140" s="405" t="str">
        <f>IFERROR(VLOOKUP(A140,[3]DOORSCRIEFT!$A$2:$G$8551,6,FALSE),"")</f>
        <v/>
      </c>
      <c r="G140" s="405" t="str">
        <f>IFERROR(VLOOKUP(C140,[3]DOORSCRIEFT!$A$2:$G$24,7,FALSE),"")</f>
        <v/>
      </c>
    </row>
    <row r="141" spans="1:7" x14ac:dyDescent="0.25">
      <c r="A141" s="359" t="str">
        <f t="shared" si="3"/>
        <v>I.2.2.01.00186</v>
      </c>
      <c r="B141" s="319">
        <v>86</v>
      </c>
      <c r="C141" s="467" t="str">
        <f>IFERROR(VLOOKUP(A141,[3]DOORSCRIEFT!$A$2:$G$8551,2,FALSE),"")</f>
        <v/>
      </c>
      <c r="D141" s="393" t="str">
        <f>IFERROR(VLOOKUP(A141,[3]DOORSCRIEFT!$A$2:$G$8551,3,FALSE),"")</f>
        <v/>
      </c>
      <c r="E141" s="392" t="str">
        <f>IFERROR(VLOOKUP(A141,[3]DOORSCRIEFT!$A$2:$G$8551,4,FALSE),"")</f>
        <v/>
      </c>
      <c r="F141" s="405" t="str">
        <f>IFERROR(VLOOKUP(A141,[3]DOORSCRIEFT!$A$2:$G$8551,6,FALSE),"")</f>
        <v/>
      </c>
      <c r="G141" s="405" t="str">
        <f>IFERROR(VLOOKUP(C141,[3]DOORSCRIEFT!$A$2:$G$24,7,FALSE),"")</f>
        <v/>
      </c>
    </row>
    <row r="142" spans="1:7" x14ac:dyDescent="0.25">
      <c r="A142" s="359" t="str">
        <f t="shared" si="3"/>
        <v>I.2.2.01.00187</v>
      </c>
      <c r="B142" s="319">
        <v>87</v>
      </c>
      <c r="C142" s="467" t="str">
        <f>IFERROR(VLOOKUP(A142,[3]DOORSCRIEFT!$A$2:$G$8551,2,FALSE),"")</f>
        <v/>
      </c>
      <c r="D142" s="393" t="str">
        <f>IFERROR(VLOOKUP(A142,[3]DOORSCRIEFT!$A$2:$G$8551,3,FALSE),"")</f>
        <v/>
      </c>
      <c r="E142" s="392" t="str">
        <f>IFERROR(VLOOKUP(A142,[3]DOORSCRIEFT!$A$2:$G$8551,4,FALSE),"")</f>
        <v/>
      </c>
      <c r="F142" s="405" t="str">
        <f>IFERROR(VLOOKUP(A142,[3]DOORSCRIEFT!$A$2:$G$8551,6,FALSE),"")</f>
        <v/>
      </c>
      <c r="G142" s="405" t="str">
        <f>IFERROR(VLOOKUP(C142,[3]DOORSCRIEFT!$A$2:$G$24,7,FALSE),"")</f>
        <v/>
      </c>
    </row>
    <row r="143" spans="1:7" x14ac:dyDescent="0.25">
      <c r="A143" s="359" t="str">
        <f t="shared" si="3"/>
        <v>I.2.2.01.00188</v>
      </c>
      <c r="B143" s="319">
        <v>88</v>
      </c>
      <c r="C143" s="467" t="str">
        <f>IFERROR(VLOOKUP(A143,[3]DOORSCRIEFT!$A$2:$G$8551,2,FALSE),"")</f>
        <v/>
      </c>
      <c r="D143" s="393" t="str">
        <f>IFERROR(VLOOKUP(A143,[3]DOORSCRIEFT!$A$2:$G$8551,3,FALSE),"")</f>
        <v/>
      </c>
      <c r="E143" s="392" t="str">
        <f>IFERROR(VLOOKUP(A143,[3]DOORSCRIEFT!$A$2:$G$8551,4,FALSE),"")</f>
        <v/>
      </c>
      <c r="F143" s="405" t="str">
        <f>IFERROR(VLOOKUP(A143,[3]DOORSCRIEFT!$A$2:$G$8551,6,FALSE),"")</f>
        <v/>
      </c>
      <c r="G143" s="405" t="str">
        <f>IFERROR(VLOOKUP(C143,[3]DOORSCRIEFT!$A$2:$G$24,7,FALSE),"")</f>
        <v/>
      </c>
    </row>
    <row r="144" spans="1:7" x14ac:dyDescent="0.25">
      <c r="A144" s="359" t="str">
        <f t="shared" si="3"/>
        <v>I.2.2.01.00189</v>
      </c>
      <c r="B144" s="319">
        <v>89</v>
      </c>
      <c r="C144" s="467" t="str">
        <f>IFERROR(VLOOKUP(A144,[3]DOORSCRIEFT!$A$2:$G$8551,2,FALSE),"")</f>
        <v/>
      </c>
      <c r="D144" s="393" t="str">
        <f>IFERROR(VLOOKUP(A144,[3]DOORSCRIEFT!$A$2:$G$8551,3,FALSE),"")</f>
        <v/>
      </c>
      <c r="E144" s="392" t="str">
        <f>IFERROR(VLOOKUP(A144,[3]DOORSCRIEFT!$A$2:$G$8551,4,FALSE),"")</f>
        <v/>
      </c>
      <c r="F144" s="405" t="str">
        <f>IFERROR(VLOOKUP(A144,[3]DOORSCRIEFT!$A$2:$G$8551,6,FALSE),"")</f>
        <v/>
      </c>
      <c r="G144" s="405" t="str">
        <f>IFERROR(VLOOKUP(C144,[3]DOORSCRIEFT!$A$2:$G$24,7,FALSE),"")</f>
        <v/>
      </c>
    </row>
    <row r="145" spans="1:7" x14ac:dyDescent="0.25">
      <c r="A145" s="359" t="str">
        <f t="shared" si="3"/>
        <v>I.2.2.01.00190</v>
      </c>
      <c r="B145" s="319">
        <v>90</v>
      </c>
      <c r="C145" s="467" t="str">
        <f>IFERROR(VLOOKUP(A145,[3]DOORSCRIEFT!$A$2:$G$8551,2,FALSE),"")</f>
        <v/>
      </c>
      <c r="D145" s="393" t="str">
        <f>IFERROR(VLOOKUP(A145,[3]DOORSCRIEFT!$A$2:$G$8551,3,FALSE),"")</f>
        <v/>
      </c>
      <c r="E145" s="392" t="str">
        <f>IFERROR(VLOOKUP(A145,[3]DOORSCRIEFT!$A$2:$G$8551,4,FALSE),"")</f>
        <v/>
      </c>
      <c r="F145" s="405" t="str">
        <f>IFERROR(VLOOKUP(A145,[3]DOORSCRIEFT!$A$2:$G$8551,6,FALSE),"")</f>
        <v/>
      </c>
      <c r="G145" s="405" t="str">
        <f>IFERROR(VLOOKUP(C145,[3]DOORSCRIEFT!$A$2:$G$24,7,FALSE),"")</f>
        <v/>
      </c>
    </row>
    <row r="146" spans="1:7" x14ac:dyDescent="0.25">
      <c r="A146" s="359" t="str">
        <f t="shared" si="3"/>
        <v>I.2.2.01.00191</v>
      </c>
      <c r="B146" s="319">
        <v>91</v>
      </c>
      <c r="C146" s="467" t="str">
        <f>IFERROR(VLOOKUP(A146,[3]DOORSCRIEFT!$A$2:$G$8551,2,FALSE),"")</f>
        <v/>
      </c>
      <c r="D146" s="393" t="str">
        <f>IFERROR(VLOOKUP(A146,[3]DOORSCRIEFT!$A$2:$G$8551,3,FALSE),"")</f>
        <v/>
      </c>
      <c r="E146" s="392" t="str">
        <f>IFERROR(VLOOKUP(A146,[3]DOORSCRIEFT!$A$2:$G$8551,4,FALSE),"")</f>
        <v/>
      </c>
      <c r="F146" s="405" t="str">
        <f>IFERROR(VLOOKUP(A146,[3]DOORSCRIEFT!$A$2:$G$8551,6,FALSE),"")</f>
        <v/>
      </c>
      <c r="G146" s="405" t="str">
        <f>IFERROR(VLOOKUP(C146,[3]DOORSCRIEFT!$A$2:$G$24,7,FALSE),"")</f>
        <v/>
      </c>
    </row>
    <row r="147" spans="1:7" x14ac:dyDescent="0.25">
      <c r="A147" s="359" t="str">
        <f t="shared" si="3"/>
        <v>I.2.2.01.00192</v>
      </c>
      <c r="B147" s="319">
        <v>92</v>
      </c>
      <c r="C147" s="467" t="str">
        <f>IFERROR(VLOOKUP(A147,[3]DOORSCRIEFT!$A$2:$G$8551,2,FALSE),"")</f>
        <v/>
      </c>
      <c r="D147" s="393" t="str">
        <f>IFERROR(VLOOKUP(A147,[3]DOORSCRIEFT!$A$2:$G$8551,3,FALSE),"")</f>
        <v/>
      </c>
      <c r="E147" s="392" t="str">
        <f>IFERROR(VLOOKUP(A147,[3]DOORSCRIEFT!$A$2:$G$8551,4,FALSE),"")</f>
        <v/>
      </c>
      <c r="F147" s="405" t="str">
        <f>IFERROR(VLOOKUP(A147,[3]DOORSCRIEFT!$A$2:$G$8551,6,FALSE),"")</f>
        <v/>
      </c>
      <c r="G147" s="405" t="str">
        <f>IFERROR(VLOOKUP(C147,[3]DOORSCRIEFT!$A$2:$G$24,7,FALSE),"")</f>
        <v/>
      </c>
    </row>
    <row r="148" spans="1:7" x14ac:dyDescent="0.25">
      <c r="A148" s="359" t="str">
        <f t="shared" si="3"/>
        <v>I.2.2.01.00193</v>
      </c>
      <c r="B148" s="319">
        <v>93</v>
      </c>
      <c r="C148" s="467" t="str">
        <f>IFERROR(VLOOKUP(A148,[3]DOORSCRIEFT!$A$2:$G$8551,2,FALSE),"")</f>
        <v/>
      </c>
      <c r="D148" s="393" t="str">
        <f>IFERROR(VLOOKUP(A148,[3]DOORSCRIEFT!$A$2:$G$8551,3,FALSE),"")</f>
        <v/>
      </c>
      <c r="E148" s="392" t="str">
        <f>IFERROR(VLOOKUP(A148,[3]DOORSCRIEFT!$A$2:$G$8551,4,FALSE),"")</f>
        <v/>
      </c>
      <c r="F148" s="405" t="str">
        <f>IFERROR(VLOOKUP(A148,[3]DOORSCRIEFT!$A$2:$G$8551,6,FALSE),"")</f>
        <v/>
      </c>
      <c r="G148" s="405" t="str">
        <f>IFERROR(VLOOKUP(C148,[3]DOORSCRIEFT!$A$2:$G$24,7,FALSE),"")</f>
        <v/>
      </c>
    </row>
    <row r="149" spans="1:7" x14ac:dyDescent="0.25">
      <c r="A149" s="359" t="str">
        <f t="shared" si="3"/>
        <v>I.2.2.01.00194</v>
      </c>
      <c r="B149" s="319">
        <v>94</v>
      </c>
      <c r="C149" s="467" t="str">
        <f>IFERROR(VLOOKUP(A149,[3]DOORSCRIEFT!$A$2:$G$8551,2,FALSE),"")</f>
        <v/>
      </c>
      <c r="D149" s="393" t="str">
        <f>IFERROR(VLOOKUP(A149,[3]DOORSCRIEFT!$A$2:$G$8551,3,FALSE),"")</f>
        <v/>
      </c>
      <c r="E149" s="392" t="str">
        <f>IFERROR(VLOOKUP(A149,[3]DOORSCRIEFT!$A$2:$G$8551,4,FALSE),"")</f>
        <v/>
      </c>
      <c r="F149" s="405" t="str">
        <f>IFERROR(VLOOKUP(A149,[3]DOORSCRIEFT!$A$2:$G$8551,6,FALSE),"")</f>
        <v/>
      </c>
      <c r="G149" s="405" t="str">
        <f>IFERROR(VLOOKUP(C149,[3]DOORSCRIEFT!$A$2:$G$24,7,FALSE),"")</f>
        <v/>
      </c>
    </row>
    <row r="150" spans="1:7" x14ac:dyDescent="0.25">
      <c r="A150" s="359" t="str">
        <f t="shared" si="3"/>
        <v>I.2.2.01.00195</v>
      </c>
      <c r="B150" s="319">
        <v>95</v>
      </c>
      <c r="C150" s="467" t="str">
        <f>IFERROR(VLOOKUP(A150,[3]DOORSCRIEFT!$A$2:$G$8551,2,FALSE),"")</f>
        <v/>
      </c>
      <c r="D150" s="393" t="str">
        <f>IFERROR(VLOOKUP(A150,[3]DOORSCRIEFT!$A$2:$G$8551,3,FALSE),"")</f>
        <v/>
      </c>
      <c r="E150" s="392" t="str">
        <f>IFERROR(VLOOKUP(A150,[3]DOORSCRIEFT!$A$2:$G$8551,4,FALSE),"")</f>
        <v/>
      </c>
      <c r="F150" s="405" t="str">
        <f>IFERROR(VLOOKUP(A150,[3]DOORSCRIEFT!$A$2:$G$8551,6,FALSE),"")</f>
        <v/>
      </c>
      <c r="G150" s="405" t="str">
        <f>IFERROR(VLOOKUP(C150,[3]DOORSCRIEFT!$A$2:$G$24,7,FALSE),"")</f>
        <v/>
      </c>
    </row>
    <row r="151" spans="1:7" x14ac:dyDescent="0.25">
      <c r="A151" s="359" t="str">
        <f t="shared" si="3"/>
        <v>I.2.2.01.00196</v>
      </c>
      <c r="B151" s="319">
        <v>96</v>
      </c>
      <c r="C151" s="467" t="str">
        <f>IFERROR(VLOOKUP(A151,[3]DOORSCRIEFT!$A$2:$G$8551,2,FALSE),"")</f>
        <v/>
      </c>
      <c r="D151" s="393" t="str">
        <f>IFERROR(VLOOKUP(A151,[3]DOORSCRIEFT!$A$2:$G$8551,3,FALSE),"")</f>
        <v/>
      </c>
      <c r="E151" s="392" t="str">
        <f>IFERROR(VLOOKUP(A151,[3]DOORSCRIEFT!$A$2:$G$8551,4,FALSE),"")</f>
        <v/>
      </c>
      <c r="F151" s="405" t="str">
        <f>IFERROR(VLOOKUP(A151,[3]DOORSCRIEFT!$A$2:$G$8551,6,FALSE),"")</f>
        <v/>
      </c>
      <c r="G151" s="405" t="str">
        <f>IFERROR(VLOOKUP(C151,[3]DOORSCRIEFT!$A$2:$G$24,7,FALSE),"")</f>
        <v/>
      </c>
    </row>
    <row r="152" spans="1:7" x14ac:dyDescent="0.25">
      <c r="A152" s="359" t="str">
        <f t="shared" ref="A152:A183" si="4">$G$49&amp;B152</f>
        <v>I.2.2.01.00197</v>
      </c>
      <c r="B152" s="319">
        <v>97</v>
      </c>
      <c r="C152" s="467" t="str">
        <f>IFERROR(VLOOKUP(A152,[3]DOORSCRIEFT!$A$2:$G$8551,2,FALSE),"")</f>
        <v/>
      </c>
      <c r="D152" s="393" t="str">
        <f>IFERROR(VLOOKUP(A152,[3]DOORSCRIEFT!$A$2:$G$8551,3,FALSE),"")</f>
        <v/>
      </c>
      <c r="E152" s="392" t="str">
        <f>IFERROR(VLOOKUP(A152,[3]DOORSCRIEFT!$A$2:$G$8551,4,FALSE),"")</f>
        <v/>
      </c>
      <c r="F152" s="405" t="str">
        <f>IFERROR(VLOOKUP(A152,[3]DOORSCRIEFT!$A$2:$G$8551,6,FALSE),"")</f>
        <v/>
      </c>
      <c r="G152" s="405" t="str">
        <f>IFERROR(VLOOKUP(C152,[3]DOORSCRIEFT!$A$2:$G$24,7,FALSE),"")</f>
        <v/>
      </c>
    </row>
    <row r="153" spans="1:7" x14ac:dyDescent="0.25">
      <c r="A153" s="359" t="str">
        <f t="shared" si="4"/>
        <v>I.2.2.01.00198</v>
      </c>
      <c r="B153" s="319">
        <v>98</v>
      </c>
      <c r="C153" s="467" t="str">
        <f>IFERROR(VLOOKUP(A153,[3]DOORSCRIEFT!$A$2:$G$8551,2,FALSE),"")</f>
        <v/>
      </c>
      <c r="D153" s="393" t="str">
        <f>IFERROR(VLOOKUP(A153,[3]DOORSCRIEFT!$A$2:$G$8551,3,FALSE),"")</f>
        <v/>
      </c>
      <c r="E153" s="392" t="str">
        <f>IFERROR(VLOOKUP(A153,[3]DOORSCRIEFT!$A$2:$G$8551,4,FALSE),"")</f>
        <v/>
      </c>
      <c r="F153" s="405" t="str">
        <f>IFERROR(VLOOKUP(A153,[3]DOORSCRIEFT!$A$2:$G$8551,6,FALSE),"")</f>
        <v/>
      </c>
      <c r="G153" s="405" t="str">
        <f>IFERROR(VLOOKUP(C153,[3]DOORSCRIEFT!$A$2:$G$24,7,FALSE),"")</f>
        <v/>
      </c>
    </row>
    <row r="154" spans="1:7" x14ac:dyDescent="0.25">
      <c r="A154" s="359" t="str">
        <f t="shared" si="4"/>
        <v>I.2.2.01.00199</v>
      </c>
      <c r="B154" s="319">
        <v>99</v>
      </c>
      <c r="C154" s="467" t="str">
        <f>IFERROR(VLOOKUP(A154,[3]DOORSCRIEFT!$A$2:$G$8551,2,FALSE),"")</f>
        <v/>
      </c>
      <c r="D154" s="393" t="str">
        <f>IFERROR(VLOOKUP(A154,[3]DOORSCRIEFT!$A$2:$G$8551,3,FALSE),"")</f>
        <v/>
      </c>
      <c r="E154" s="392" t="str">
        <f>IFERROR(VLOOKUP(A154,[3]DOORSCRIEFT!$A$2:$G$8551,4,FALSE),"")</f>
        <v/>
      </c>
      <c r="F154" s="405" t="str">
        <f>IFERROR(VLOOKUP(A154,[3]DOORSCRIEFT!$A$2:$G$8551,6,FALSE),"")</f>
        <v/>
      </c>
      <c r="G154" s="405" t="str">
        <f>IFERROR(VLOOKUP(C154,[3]DOORSCRIEFT!$A$2:$G$24,7,FALSE),"")</f>
        <v/>
      </c>
    </row>
    <row r="155" spans="1:7" x14ac:dyDescent="0.25">
      <c r="A155" s="359" t="str">
        <f t="shared" si="4"/>
        <v>I.2.2.01.001100</v>
      </c>
      <c r="B155" s="319">
        <v>100</v>
      </c>
      <c r="C155" s="467" t="str">
        <f>IFERROR(VLOOKUP(A155,[3]DOORSCRIEFT!$A$2:$G$8551,2,FALSE),"")</f>
        <v/>
      </c>
      <c r="D155" s="393" t="str">
        <f>IFERROR(VLOOKUP(A155,[3]DOORSCRIEFT!$A$2:$G$8551,3,FALSE),"")</f>
        <v/>
      </c>
      <c r="E155" s="392" t="str">
        <f>IFERROR(VLOOKUP(A155,[3]DOORSCRIEFT!$A$2:$G$8551,4,FALSE),"")</f>
        <v/>
      </c>
      <c r="F155" s="405" t="str">
        <f>IFERROR(VLOOKUP(A155,[3]DOORSCRIEFT!$A$2:$G$8551,6,FALSE),"")</f>
        <v/>
      </c>
      <c r="G155" s="405" t="str">
        <f>IFERROR(VLOOKUP(C155,[3]DOORSCRIEFT!$A$2:$G$24,7,FALSE),"")</f>
        <v/>
      </c>
    </row>
    <row r="156" spans="1:7" x14ac:dyDescent="0.25">
      <c r="A156" s="359" t="str">
        <f t="shared" si="4"/>
        <v>I.2.2.01.001101</v>
      </c>
      <c r="B156" s="319">
        <v>101</v>
      </c>
      <c r="C156" s="467" t="str">
        <f>IFERROR(VLOOKUP(A156,[3]DOORSCRIEFT!$A$2:$G$8551,2,FALSE),"")</f>
        <v/>
      </c>
      <c r="D156" s="393" t="str">
        <f>IFERROR(VLOOKUP(A156,[3]DOORSCRIEFT!$A$2:$G$8551,3,FALSE),"")</f>
        <v/>
      </c>
      <c r="E156" s="392" t="str">
        <f>IFERROR(VLOOKUP(A156,[3]DOORSCRIEFT!$A$2:$G$8551,4,FALSE),"")</f>
        <v/>
      </c>
      <c r="F156" s="405" t="str">
        <f>IFERROR(VLOOKUP(A156,[3]DOORSCRIEFT!$A$2:$G$8551,6,FALSE),"")</f>
        <v/>
      </c>
      <c r="G156" s="405" t="str">
        <f>IFERROR(VLOOKUP(C156,[3]DOORSCRIEFT!$A$2:$G$24,7,FALSE),"")</f>
        <v/>
      </c>
    </row>
    <row r="157" spans="1:7" ht="15.75" thickBot="1" x14ac:dyDescent="0.3">
      <c r="A157" s="359" t="str">
        <f t="shared" si="4"/>
        <v>I.2.2.01.001102</v>
      </c>
      <c r="B157" s="319">
        <v>102</v>
      </c>
      <c r="C157" s="467" t="str">
        <f>IFERROR(VLOOKUP(A157,[3]DOORSCRIEFT!$A$2:$G$8551,2,FALSE),"")</f>
        <v/>
      </c>
      <c r="D157" s="393" t="str">
        <f>IFERROR(VLOOKUP(A157,[3]DOORSCRIEFT!$A$2:$G$8551,3,FALSE),"")</f>
        <v/>
      </c>
      <c r="E157" s="392" t="str">
        <f>IFERROR(VLOOKUP(A157,[3]DOORSCRIEFT!$A$2:$G$8551,4,FALSE),"")</f>
        <v/>
      </c>
      <c r="F157" s="405" t="str">
        <f>IFERROR(VLOOKUP(A157,[3]DOORSCRIEFT!$A$2:$G$8551,6,FALSE),"")</f>
        <v/>
      </c>
      <c r="G157" s="405" t="str">
        <f>IFERROR(VLOOKUP(C157,[3]DOORSCRIEFT!$A$2:$G$24,7,FALSE),"")</f>
        <v/>
      </c>
    </row>
    <row r="158" spans="1:7" ht="15.75" thickBot="1" x14ac:dyDescent="0.3">
      <c r="A158" s="344"/>
      <c r="B158" s="336"/>
      <c r="C158" s="313"/>
      <c r="D158" s="312"/>
      <c r="E158" s="311" t="s">
        <v>644</v>
      </c>
      <c r="F158" s="436">
        <f>SUM(F56:F157)</f>
        <v>100153000</v>
      </c>
      <c r="G158" s="435">
        <f>SUM(G56:G121)</f>
        <v>0</v>
      </c>
    </row>
    <row r="163" spans="1:7" ht="15.75" x14ac:dyDescent="0.25">
      <c r="C163" s="332"/>
      <c r="D163" s="333"/>
      <c r="E163" s="332"/>
      <c r="F163" s="327" t="s">
        <v>607</v>
      </c>
      <c r="G163" s="327" t="s">
        <v>550</v>
      </c>
    </row>
    <row r="164" spans="1:7" ht="15.75" x14ac:dyDescent="0.25">
      <c r="C164" s="332"/>
      <c r="D164" s="333"/>
      <c r="E164" s="332"/>
      <c r="F164" s="327" t="s">
        <v>601</v>
      </c>
      <c r="G164" s="327" t="s">
        <v>549</v>
      </c>
    </row>
    <row r="165" spans="1:7" x14ac:dyDescent="0.25">
      <c r="C165" s="328"/>
      <c r="D165" s="329"/>
      <c r="E165" s="328"/>
      <c r="F165" s="327" t="s">
        <v>651</v>
      </c>
      <c r="G165" s="331">
        <f>[2]Sheet1!$D$25</f>
        <v>66000000</v>
      </c>
    </row>
    <row r="166" spans="1:7" ht="15.75" thickBot="1" x14ac:dyDescent="0.3">
      <c r="C166" s="328"/>
      <c r="D166" s="329"/>
      <c r="E166" s="328"/>
      <c r="F166" s="327" t="s">
        <v>650</v>
      </c>
      <c r="G166" s="326">
        <f>+F210-G165</f>
        <v>-36966000</v>
      </c>
    </row>
    <row r="167" spans="1:7" x14ac:dyDescent="0.25">
      <c r="A167" s="573" t="s">
        <v>626</v>
      </c>
      <c r="B167" s="573" t="s">
        <v>606</v>
      </c>
      <c r="C167" s="588" t="s">
        <v>649</v>
      </c>
      <c r="D167" s="577" t="s">
        <v>648</v>
      </c>
      <c r="E167" s="577" t="s">
        <v>647</v>
      </c>
      <c r="F167" s="577" t="s">
        <v>646</v>
      </c>
      <c r="G167" s="580" t="s">
        <v>645</v>
      </c>
    </row>
    <row r="168" spans="1:7" ht="15.75" thickBot="1" x14ac:dyDescent="0.3">
      <c r="A168" s="574"/>
      <c r="B168" s="574"/>
      <c r="C168" s="589"/>
      <c r="D168" s="578"/>
      <c r="E168" s="578"/>
      <c r="F168" s="578"/>
      <c r="G168" s="581"/>
    </row>
    <row r="169" spans="1:7" ht="15.75" thickBot="1" x14ac:dyDescent="0.3">
      <c r="A169" s="425">
        <v>1</v>
      </c>
      <c r="B169" s="425">
        <v>2</v>
      </c>
      <c r="C169" s="425">
        <v>3</v>
      </c>
      <c r="D169" s="425">
        <v>4</v>
      </c>
      <c r="E169" s="425">
        <v>5</v>
      </c>
      <c r="F169" s="425">
        <v>6</v>
      </c>
      <c r="G169" s="425">
        <v>7</v>
      </c>
    </row>
    <row r="170" spans="1:7" x14ac:dyDescent="0.25">
      <c r="A170" s="339" t="str">
        <f t="shared" ref="A170:A209" si="5">$G$163&amp;B170</f>
        <v>I.2.2.01.0021</v>
      </c>
      <c r="B170" s="339">
        <v>1</v>
      </c>
      <c r="C170" s="467">
        <f>IFERROR(VLOOKUP(A170,[3]DOORSCRIEFT!$A$2:$G$8551,2,FALSE),"")</f>
        <v>12</v>
      </c>
      <c r="D170" s="393">
        <f>IFERROR(VLOOKUP(A170,[3]DOORSCRIEFT!$A$2:$G$8551,3,FALSE),"")</f>
        <v>46026</v>
      </c>
      <c r="E170" s="392" t="str">
        <f>IFERROR(VLOOKUP(A170,[3]DOORSCRIEFT!$A$2:$G$8551,4,FALSE),"")</f>
        <v>Kolekta Kebaktian Minggu Perjamuan Gereja Baitrafa dan SK</v>
      </c>
      <c r="F170" s="405">
        <f>IFERROR(VLOOKUP(A170,[3]DOORSCRIEFT!$A$2:$G$8551,6,FALSE),"")</f>
        <v>19538000</v>
      </c>
      <c r="G170" s="349"/>
    </row>
    <row r="171" spans="1:7" x14ac:dyDescent="0.25">
      <c r="A171" s="339" t="str">
        <f t="shared" si="5"/>
        <v>I.2.2.01.0022</v>
      </c>
      <c r="B171" s="319">
        <v>2</v>
      </c>
      <c r="C171" s="467">
        <f>IFERROR(VLOOKUP(A171,[3]DOORSCRIEFT!$A$2:$G$8551,2,FALSE),"")</f>
        <v>13</v>
      </c>
      <c r="D171" s="393">
        <f>IFERROR(VLOOKUP(A171,[3]DOORSCRIEFT!$A$2:$G$8551,3,FALSE),"")</f>
        <v>46026</v>
      </c>
      <c r="E171" s="392" t="str">
        <f>IFERROR(VLOOKUP(A171,[3]DOORSCRIEFT!$A$2:$G$8551,4,FALSE),"")</f>
        <v>Kolekta Perjamuan Rumah Sektor</v>
      </c>
      <c r="F171" s="405">
        <f>IFERROR(VLOOKUP(A171,[3]DOORSCRIEFT!$A$2:$G$8551,6,FALSE),"")</f>
        <v>2773000</v>
      </c>
      <c r="G171" s="315"/>
    </row>
    <row r="172" spans="1:7" x14ac:dyDescent="0.25">
      <c r="A172" s="339" t="str">
        <f t="shared" si="5"/>
        <v>I.2.2.01.0023</v>
      </c>
      <c r="B172" s="339">
        <v>3</v>
      </c>
      <c r="C172" s="467">
        <f>IFERROR(VLOOKUP(A172,[3]DOORSCRIEFT!$A$2:$G$8551,2,FALSE),"")</f>
        <v>15</v>
      </c>
      <c r="D172" s="393">
        <f>IFERROR(VLOOKUP(A172,[3]DOORSCRIEFT!$A$2:$G$8551,3,FALSE),"")</f>
        <v>46026</v>
      </c>
      <c r="E172" s="392" t="str">
        <f>IFERROR(VLOOKUP(A172,[3]DOORSCRIEFT!$A$2:$G$8551,4,FALSE),"")</f>
        <v>Kolekta Syukur Perjamuan Kudus Gereja Baitrafa dan SK</v>
      </c>
      <c r="F172" s="405">
        <f>IFERROR(VLOOKUP(A172,[3]DOORSCRIEFT!$A$2:$G$8551,6,FALSE),"")</f>
        <v>6723000</v>
      </c>
      <c r="G172" s="315"/>
    </row>
    <row r="173" spans="1:7" x14ac:dyDescent="0.25">
      <c r="A173" s="339" t="str">
        <f t="shared" si="5"/>
        <v>I.2.2.01.0024</v>
      </c>
      <c r="B173" s="319">
        <v>4</v>
      </c>
      <c r="C173" s="467" t="str">
        <f>IFERROR(VLOOKUP(A173,[3]DOORSCRIEFT!$A$2:$G$8551,2,FALSE),"")</f>
        <v/>
      </c>
      <c r="D173" s="393" t="str">
        <f>IFERROR(VLOOKUP(A173,[3]DOORSCRIEFT!$A$2:$G$8551,3,FALSE),"")</f>
        <v/>
      </c>
      <c r="E173" s="392" t="str">
        <f>IFERROR(VLOOKUP(A173,[3]DOORSCRIEFT!$A$2:$G$8551,4,FALSE),"")</f>
        <v/>
      </c>
      <c r="F173" s="405" t="str">
        <f>IFERROR(VLOOKUP(A173,[3]DOORSCRIEFT!$A$2:$G$8551,6,FALSE),"")</f>
        <v/>
      </c>
      <c r="G173" s="315"/>
    </row>
    <row r="174" spans="1:7" x14ac:dyDescent="0.25">
      <c r="A174" s="339" t="str">
        <f t="shared" si="5"/>
        <v>I.2.2.01.0025</v>
      </c>
      <c r="B174" s="339">
        <v>5</v>
      </c>
      <c r="C174" s="467" t="str">
        <f>IFERROR(VLOOKUP(A174,[3]DOORSCRIEFT!$A$2:$G$8551,2,FALSE),"")</f>
        <v/>
      </c>
      <c r="D174" s="393" t="str">
        <f>IFERROR(VLOOKUP(A174,[3]DOORSCRIEFT!$A$2:$G$8551,3,FALSE),"")</f>
        <v/>
      </c>
      <c r="E174" s="392" t="str">
        <f>IFERROR(VLOOKUP(A174,[3]DOORSCRIEFT!$A$2:$G$8551,4,FALSE),"")</f>
        <v/>
      </c>
      <c r="F174" s="405" t="str">
        <f>IFERROR(VLOOKUP(A174,[3]DOORSCRIEFT!$A$2:$G$8551,6,FALSE),"")</f>
        <v/>
      </c>
      <c r="G174" s="315"/>
    </row>
    <row r="175" spans="1:7" x14ac:dyDescent="0.25">
      <c r="A175" s="339" t="str">
        <f t="shared" si="5"/>
        <v>I.2.2.01.0026</v>
      </c>
      <c r="B175" s="319">
        <v>6</v>
      </c>
      <c r="C175" s="467" t="str">
        <f>IFERROR(VLOOKUP(A175,[3]DOORSCRIEFT!$A$2:$G$8551,2,FALSE),"")</f>
        <v/>
      </c>
      <c r="D175" s="393" t="str">
        <f>IFERROR(VLOOKUP(A175,[3]DOORSCRIEFT!$A$2:$G$8551,3,FALSE),"")</f>
        <v/>
      </c>
      <c r="E175" s="392" t="str">
        <f>IFERROR(VLOOKUP(A175,[3]DOORSCRIEFT!$A$2:$G$8551,4,FALSE),"")</f>
        <v/>
      </c>
      <c r="F175" s="405" t="str">
        <f>IFERROR(VLOOKUP(A175,[3]DOORSCRIEFT!$A$2:$G$8551,6,FALSE),"")</f>
        <v/>
      </c>
      <c r="G175" s="315"/>
    </row>
    <row r="176" spans="1:7" x14ac:dyDescent="0.25">
      <c r="A176" s="339" t="str">
        <f t="shared" si="5"/>
        <v>I.2.2.01.0027</v>
      </c>
      <c r="B176" s="339">
        <v>7</v>
      </c>
      <c r="C176" s="467" t="str">
        <f>IFERROR(VLOOKUP(A176,[3]DOORSCRIEFT!$A$2:$G$8551,2,FALSE),"")</f>
        <v/>
      </c>
      <c r="D176" s="393" t="str">
        <f>IFERROR(VLOOKUP(A176,[3]DOORSCRIEFT!$A$2:$G$8551,3,FALSE),"")</f>
        <v/>
      </c>
      <c r="E176" s="392" t="str">
        <f>IFERROR(VLOOKUP(A176,[3]DOORSCRIEFT!$A$2:$G$8551,4,FALSE),"")</f>
        <v/>
      </c>
      <c r="F176" s="405" t="str">
        <f>IFERROR(VLOOKUP(A176,[3]DOORSCRIEFT!$A$2:$G$8551,6,FALSE),"")</f>
        <v/>
      </c>
      <c r="G176" s="315"/>
    </row>
    <row r="177" spans="1:7" x14ac:dyDescent="0.25">
      <c r="A177" s="339" t="str">
        <f t="shared" si="5"/>
        <v>I.2.2.01.0028</v>
      </c>
      <c r="B177" s="319">
        <v>8</v>
      </c>
      <c r="C177" s="467" t="str">
        <f>IFERROR(VLOOKUP(A177,[3]DOORSCRIEFT!$A$2:$G$8551,2,FALSE),"")</f>
        <v/>
      </c>
      <c r="D177" s="393" t="str">
        <f>IFERROR(VLOOKUP(A177,[3]DOORSCRIEFT!$A$2:$G$8551,3,FALSE),"")</f>
        <v/>
      </c>
      <c r="E177" s="392" t="str">
        <f>IFERROR(VLOOKUP(A177,[3]DOORSCRIEFT!$A$2:$G$8551,4,FALSE),"")</f>
        <v/>
      </c>
      <c r="F177" s="405" t="str">
        <f>IFERROR(VLOOKUP(A177,[3]DOORSCRIEFT!$A$2:$G$8551,6,FALSE),"")</f>
        <v/>
      </c>
      <c r="G177" s="315"/>
    </row>
    <row r="178" spans="1:7" x14ac:dyDescent="0.25">
      <c r="A178" s="339" t="str">
        <f t="shared" si="5"/>
        <v>I.2.2.01.0029</v>
      </c>
      <c r="B178" s="339">
        <v>9</v>
      </c>
      <c r="C178" s="467" t="str">
        <f>IFERROR(VLOOKUP(A178,[3]DOORSCRIEFT!$A$2:$G$8551,2,FALSE),"")</f>
        <v/>
      </c>
      <c r="D178" s="393" t="str">
        <f>IFERROR(VLOOKUP(A178,[3]DOORSCRIEFT!$A$2:$G$8551,3,FALSE),"")</f>
        <v/>
      </c>
      <c r="E178" s="392" t="str">
        <f>IFERROR(VLOOKUP(A178,[3]DOORSCRIEFT!$A$2:$G$8551,4,FALSE),"")</f>
        <v/>
      </c>
      <c r="F178" s="405" t="str">
        <f>IFERROR(VLOOKUP(A178,[3]DOORSCRIEFT!$A$2:$G$8551,6,FALSE),"")</f>
        <v/>
      </c>
      <c r="G178" s="315"/>
    </row>
    <row r="179" spans="1:7" x14ac:dyDescent="0.25">
      <c r="A179" s="339" t="str">
        <f t="shared" si="5"/>
        <v>I.2.2.01.00210</v>
      </c>
      <c r="B179" s="319">
        <v>10</v>
      </c>
      <c r="C179" s="467" t="str">
        <f>IFERROR(VLOOKUP(A179,[3]DOORSCRIEFT!$A$2:$G$8551,2,FALSE),"")</f>
        <v/>
      </c>
      <c r="D179" s="393" t="str">
        <f>IFERROR(VLOOKUP(A179,[3]DOORSCRIEFT!$A$2:$G$8551,3,FALSE),"")</f>
        <v/>
      </c>
      <c r="E179" s="392" t="str">
        <f>IFERROR(VLOOKUP(A179,[3]DOORSCRIEFT!$A$2:$G$8551,4,FALSE),"")</f>
        <v/>
      </c>
      <c r="F179" s="405" t="str">
        <f>IFERROR(VLOOKUP(A179,[3]DOORSCRIEFT!$A$2:$G$8551,6,FALSE),"")</f>
        <v/>
      </c>
      <c r="G179" s="315"/>
    </row>
    <row r="180" spans="1:7" x14ac:dyDescent="0.25">
      <c r="A180" s="339" t="str">
        <f t="shared" si="5"/>
        <v>I.2.2.01.00211</v>
      </c>
      <c r="B180" s="339">
        <v>11</v>
      </c>
      <c r="C180" s="467" t="str">
        <f>IFERROR(VLOOKUP(A180,[3]DOORSCRIEFT!$A$2:$G$8551,2,FALSE),"")</f>
        <v/>
      </c>
      <c r="D180" s="393" t="str">
        <f>IFERROR(VLOOKUP(A180,[3]DOORSCRIEFT!$A$2:$G$8551,3,FALSE),"")</f>
        <v/>
      </c>
      <c r="E180" s="392" t="str">
        <f>IFERROR(VLOOKUP(A180,[3]DOORSCRIEFT!$A$2:$G$8551,4,FALSE),"")</f>
        <v/>
      </c>
      <c r="F180" s="405" t="str">
        <f>IFERROR(VLOOKUP(A180,[3]DOORSCRIEFT!$A$2:$G$8551,6,FALSE),"")</f>
        <v/>
      </c>
      <c r="G180" s="315"/>
    </row>
    <row r="181" spans="1:7" x14ac:dyDescent="0.25">
      <c r="A181" s="339" t="str">
        <f t="shared" si="5"/>
        <v>I.2.2.01.00212</v>
      </c>
      <c r="B181" s="319">
        <v>12</v>
      </c>
      <c r="C181" s="467" t="str">
        <f>IFERROR(VLOOKUP(A181,[3]DOORSCRIEFT!$A$2:$G$8551,2,FALSE),"")</f>
        <v/>
      </c>
      <c r="D181" s="393" t="str">
        <f>IFERROR(VLOOKUP(A181,[3]DOORSCRIEFT!$A$2:$G$8551,3,FALSE),"")</f>
        <v/>
      </c>
      <c r="E181" s="392" t="str">
        <f>IFERROR(VLOOKUP(A181,[3]DOORSCRIEFT!$A$2:$G$8551,4,FALSE),"")</f>
        <v/>
      </c>
      <c r="F181" s="405" t="str">
        <f>IFERROR(VLOOKUP(A181,[3]DOORSCRIEFT!$A$2:$G$8551,6,FALSE),"")</f>
        <v/>
      </c>
      <c r="G181" s="315"/>
    </row>
    <row r="182" spans="1:7" x14ac:dyDescent="0.25">
      <c r="A182" s="339" t="str">
        <f t="shared" si="5"/>
        <v>I.2.2.01.00213</v>
      </c>
      <c r="B182" s="339">
        <v>13</v>
      </c>
      <c r="C182" s="467" t="str">
        <f>IFERROR(VLOOKUP(A182,[3]DOORSCRIEFT!$A$2:$G$8551,2,FALSE),"")</f>
        <v/>
      </c>
      <c r="D182" s="393" t="str">
        <f>IFERROR(VLOOKUP(A182,[3]DOORSCRIEFT!$A$2:$G$8551,3,FALSE),"")</f>
        <v/>
      </c>
      <c r="E182" s="392" t="str">
        <f>IFERROR(VLOOKUP(A182,[3]DOORSCRIEFT!$A$2:$G$8551,4,FALSE),"")</f>
        <v/>
      </c>
      <c r="F182" s="405" t="str">
        <f>IFERROR(VLOOKUP(A182,[3]DOORSCRIEFT!$A$2:$G$8551,6,FALSE),"")</f>
        <v/>
      </c>
      <c r="G182" s="315"/>
    </row>
    <row r="183" spans="1:7" x14ac:dyDescent="0.25">
      <c r="A183" s="339" t="str">
        <f t="shared" si="5"/>
        <v>I.2.2.01.00214</v>
      </c>
      <c r="B183" s="319">
        <v>14</v>
      </c>
      <c r="C183" s="467" t="str">
        <f>IFERROR(VLOOKUP(A183,[3]DOORSCRIEFT!$A$2:$G$8551,2,FALSE),"")</f>
        <v/>
      </c>
      <c r="D183" s="393" t="str">
        <f>IFERROR(VLOOKUP(A183,[3]DOORSCRIEFT!$A$2:$G$8551,3,FALSE),"")</f>
        <v/>
      </c>
      <c r="E183" s="392" t="str">
        <f>IFERROR(VLOOKUP(A183,[3]DOORSCRIEFT!$A$2:$G$8551,4,FALSE),"")</f>
        <v/>
      </c>
      <c r="F183" s="405" t="str">
        <f>IFERROR(VLOOKUP(A183,[3]DOORSCRIEFT!$A$2:$G$8551,6,FALSE),"")</f>
        <v/>
      </c>
      <c r="G183" s="315"/>
    </row>
    <row r="184" spans="1:7" x14ac:dyDescent="0.25">
      <c r="A184" s="339" t="str">
        <f t="shared" si="5"/>
        <v>I.2.2.01.00215</v>
      </c>
      <c r="B184" s="339">
        <v>15</v>
      </c>
      <c r="C184" s="467" t="str">
        <f>IFERROR(VLOOKUP(A184,[3]DOORSCRIEFT!$A$2:$G$8551,2,FALSE),"")</f>
        <v/>
      </c>
      <c r="D184" s="393" t="str">
        <f>IFERROR(VLOOKUP(A184,[3]DOORSCRIEFT!$A$2:$G$8551,3,FALSE),"")</f>
        <v/>
      </c>
      <c r="E184" s="392" t="str">
        <f>IFERROR(VLOOKUP(A184,[3]DOORSCRIEFT!$A$2:$G$8551,4,FALSE),"")</f>
        <v/>
      </c>
      <c r="F184" s="405" t="str">
        <f>IFERROR(VLOOKUP(A184,[3]DOORSCRIEFT!$A$2:$G$8551,6,FALSE),"")</f>
        <v/>
      </c>
      <c r="G184" s="315"/>
    </row>
    <row r="185" spans="1:7" x14ac:dyDescent="0.25">
      <c r="A185" s="339" t="str">
        <f t="shared" si="5"/>
        <v>I.2.2.01.00216</v>
      </c>
      <c r="B185" s="319">
        <v>16</v>
      </c>
      <c r="C185" s="467" t="str">
        <f>IFERROR(VLOOKUP(A185,[3]DOORSCRIEFT!$A$2:$G$8551,2,FALSE),"")</f>
        <v/>
      </c>
      <c r="D185" s="393" t="str">
        <f>IFERROR(VLOOKUP(A185,[3]DOORSCRIEFT!$A$2:$G$8551,3,FALSE),"")</f>
        <v/>
      </c>
      <c r="E185" s="392" t="str">
        <f>IFERROR(VLOOKUP(A185,[3]DOORSCRIEFT!$A$2:$G$8551,4,FALSE),"")</f>
        <v/>
      </c>
      <c r="F185" s="405" t="str">
        <f>IFERROR(VLOOKUP(A185,[3]DOORSCRIEFT!$A$2:$G$8551,6,FALSE),"")</f>
        <v/>
      </c>
      <c r="G185" s="315"/>
    </row>
    <row r="186" spans="1:7" x14ac:dyDescent="0.25">
      <c r="A186" s="339" t="str">
        <f t="shared" si="5"/>
        <v>I.2.2.01.00217</v>
      </c>
      <c r="B186" s="339">
        <v>17</v>
      </c>
      <c r="C186" s="467" t="str">
        <f>IFERROR(VLOOKUP(A186,[3]DOORSCRIEFT!$A$2:$G$8551,2,FALSE),"")</f>
        <v/>
      </c>
      <c r="D186" s="393" t="str">
        <f>IFERROR(VLOOKUP(A186,[3]DOORSCRIEFT!$A$2:$G$8551,3,FALSE),"")</f>
        <v/>
      </c>
      <c r="E186" s="392" t="str">
        <f>IFERROR(VLOOKUP(A186,[3]DOORSCRIEFT!$A$2:$G$8551,4,FALSE),"")</f>
        <v/>
      </c>
      <c r="F186" s="405" t="str">
        <f>IFERROR(VLOOKUP(A186,[3]DOORSCRIEFT!$A$2:$G$8551,6,FALSE),"")</f>
        <v/>
      </c>
      <c r="G186" s="315"/>
    </row>
    <row r="187" spans="1:7" x14ac:dyDescent="0.25">
      <c r="A187" s="339" t="str">
        <f t="shared" si="5"/>
        <v>I.2.2.01.00218</v>
      </c>
      <c r="B187" s="319">
        <v>18</v>
      </c>
      <c r="C187" s="467" t="str">
        <f>IFERROR(VLOOKUP(A187,[3]DOORSCRIEFT!$A$2:$G$8551,2,FALSE),"")</f>
        <v/>
      </c>
      <c r="D187" s="393" t="str">
        <f>IFERROR(VLOOKUP(A187,[3]DOORSCRIEFT!$A$2:$G$8551,3,FALSE),"")</f>
        <v/>
      </c>
      <c r="E187" s="392" t="str">
        <f>IFERROR(VLOOKUP(A187,[3]DOORSCRIEFT!$A$2:$G$8551,4,FALSE),"")</f>
        <v/>
      </c>
      <c r="F187" s="405" t="str">
        <f>IFERROR(VLOOKUP(A187,[3]DOORSCRIEFT!$A$2:$G$8551,6,FALSE),"")</f>
        <v/>
      </c>
      <c r="G187" s="315"/>
    </row>
    <row r="188" spans="1:7" x14ac:dyDescent="0.25">
      <c r="A188" s="339" t="str">
        <f t="shared" si="5"/>
        <v>I.2.2.01.00219</v>
      </c>
      <c r="B188" s="339">
        <v>19</v>
      </c>
      <c r="C188" s="467" t="str">
        <f>IFERROR(VLOOKUP(A188,[3]DOORSCRIEFT!$A$2:$G$8551,2,FALSE),"")</f>
        <v/>
      </c>
      <c r="D188" s="393" t="str">
        <f>IFERROR(VLOOKUP(A188,[3]DOORSCRIEFT!$A$2:$G$8551,3,FALSE),"")</f>
        <v/>
      </c>
      <c r="E188" s="392" t="str">
        <f>IFERROR(VLOOKUP(A188,[3]DOORSCRIEFT!$A$2:$G$8551,4,FALSE),"")</f>
        <v/>
      </c>
      <c r="F188" s="405" t="str">
        <f>IFERROR(VLOOKUP(A188,[3]DOORSCRIEFT!$A$2:$G$8551,6,FALSE),"")</f>
        <v/>
      </c>
      <c r="G188" s="315"/>
    </row>
    <row r="189" spans="1:7" x14ac:dyDescent="0.25">
      <c r="A189" s="339" t="str">
        <f t="shared" si="5"/>
        <v>I.2.2.01.00220</v>
      </c>
      <c r="B189" s="319">
        <v>20</v>
      </c>
      <c r="C189" s="467" t="str">
        <f>IFERROR(VLOOKUP(A189,[3]DOORSCRIEFT!$A$2:$G$8551,2,FALSE),"")</f>
        <v/>
      </c>
      <c r="D189" s="393" t="str">
        <f>IFERROR(VLOOKUP(A189,[3]DOORSCRIEFT!$A$2:$G$8551,3,FALSE),"")</f>
        <v/>
      </c>
      <c r="E189" s="392" t="str">
        <f>IFERROR(VLOOKUP(A189,[3]DOORSCRIEFT!$A$2:$G$8551,4,FALSE),"")</f>
        <v/>
      </c>
      <c r="F189" s="405" t="str">
        <f>IFERROR(VLOOKUP(A189,[3]DOORSCRIEFT!$A$2:$G$8551,6,FALSE),"")</f>
        <v/>
      </c>
      <c r="G189" s="315"/>
    </row>
    <row r="190" spans="1:7" x14ac:dyDescent="0.25">
      <c r="A190" s="339" t="str">
        <f t="shared" si="5"/>
        <v>I.2.2.01.00221</v>
      </c>
      <c r="B190" s="339">
        <v>21</v>
      </c>
      <c r="C190" s="467" t="str">
        <f>IFERROR(VLOOKUP(A190,[3]DOORSCRIEFT!$A$2:$G$8551,2,FALSE),"")</f>
        <v/>
      </c>
      <c r="D190" s="393" t="str">
        <f>IFERROR(VLOOKUP(A190,[3]DOORSCRIEFT!$A$2:$G$8551,3,FALSE),"")</f>
        <v/>
      </c>
      <c r="E190" s="392" t="str">
        <f>IFERROR(VLOOKUP(A190,[3]DOORSCRIEFT!$A$2:$G$8551,4,FALSE),"")</f>
        <v/>
      </c>
      <c r="F190" s="405" t="str">
        <f>IFERROR(VLOOKUP(A190,[3]DOORSCRIEFT!$A$2:$G$8551,6,FALSE),"")</f>
        <v/>
      </c>
      <c r="G190" s="315"/>
    </row>
    <row r="191" spans="1:7" x14ac:dyDescent="0.25">
      <c r="A191" s="339" t="str">
        <f t="shared" si="5"/>
        <v>I.2.2.01.00222</v>
      </c>
      <c r="B191" s="319">
        <v>22</v>
      </c>
      <c r="C191" s="467" t="str">
        <f>IFERROR(VLOOKUP(A191,[3]DOORSCRIEFT!$A$2:$G$8551,2,FALSE),"")</f>
        <v/>
      </c>
      <c r="D191" s="393" t="str">
        <f>IFERROR(VLOOKUP(A191,[3]DOORSCRIEFT!$A$2:$G$8551,3,FALSE),"")</f>
        <v/>
      </c>
      <c r="E191" s="392" t="str">
        <f>IFERROR(VLOOKUP(A191,[3]DOORSCRIEFT!$A$2:$G$8551,4,FALSE),"")</f>
        <v/>
      </c>
      <c r="F191" s="405" t="str">
        <f>IFERROR(VLOOKUP(A191,[3]DOORSCRIEFT!$A$2:$G$8551,6,FALSE),"")</f>
        <v/>
      </c>
      <c r="G191" s="315"/>
    </row>
    <row r="192" spans="1:7" x14ac:dyDescent="0.25">
      <c r="A192" s="339" t="str">
        <f t="shared" si="5"/>
        <v>I.2.2.01.00223</v>
      </c>
      <c r="B192" s="339">
        <v>23</v>
      </c>
      <c r="C192" s="467" t="str">
        <f>IFERROR(VLOOKUP(A192,[3]DOORSCRIEFT!$A$2:$G$8551,2,FALSE),"")</f>
        <v/>
      </c>
      <c r="D192" s="393" t="str">
        <f>IFERROR(VLOOKUP(A192,[3]DOORSCRIEFT!$A$2:$G$8551,3,FALSE),"")</f>
        <v/>
      </c>
      <c r="E192" s="392" t="str">
        <f>IFERROR(VLOOKUP(A192,[3]DOORSCRIEFT!$A$2:$G$8551,4,FALSE),"")</f>
        <v/>
      </c>
      <c r="F192" s="405" t="str">
        <f>IFERROR(VLOOKUP(A192,[3]DOORSCRIEFT!$A$2:$G$8551,6,FALSE),"")</f>
        <v/>
      </c>
      <c r="G192" s="315"/>
    </row>
    <row r="193" spans="1:7" x14ac:dyDescent="0.25">
      <c r="A193" s="339" t="str">
        <f t="shared" si="5"/>
        <v>I.2.2.01.00224</v>
      </c>
      <c r="B193" s="319">
        <v>24</v>
      </c>
      <c r="C193" s="467" t="str">
        <f>IFERROR(VLOOKUP(A193,[3]DOORSCRIEFT!$A$2:$G$8551,2,FALSE),"")</f>
        <v/>
      </c>
      <c r="D193" s="393" t="str">
        <f>IFERROR(VLOOKUP(A193,[3]DOORSCRIEFT!$A$2:$G$8551,3,FALSE),"")</f>
        <v/>
      </c>
      <c r="E193" s="392" t="str">
        <f>IFERROR(VLOOKUP(A193,[3]DOORSCRIEFT!$A$2:$G$8551,4,FALSE),"")</f>
        <v/>
      </c>
      <c r="F193" s="405" t="str">
        <f>IFERROR(VLOOKUP(A193,[3]DOORSCRIEFT!$A$2:$G$8551,6,FALSE),"")</f>
        <v/>
      </c>
      <c r="G193" s="315"/>
    </row>
    <row r="194" spans="1:7" x14ac:dyDescent="0.25">
      <c r="A194" s="339" t="str">
        <f t="shared" si="5"/>
        <v>I.2.2.01.00225</v>
      </c>
      <c r="B194" s="339">
        <v>25</v>
      </c>
      <c r="C194" s="467" t="str">
        <f>IFERROR(VLOOKUP(A194,[3]DOORSCRIEFT!$A$2:$G$8551,2,FALSE),"")</f>
        <v/>
      </c>
      <c r="D194" s="393" t="str">
        <f>IFERROR(VLOOKUP(A194,[3]DOORSCRIEFT!$A$2:$G$8551,3,FALSE),"")</f>
        <v/>
      </c>
      <c r="E194" s="392" t="str">
        <f>IFERROR(VLOOKUP(A194,[3]DOORSCRIEFT!$A$2:$G$8551,4,FALSE),"")</f>
        <v/>
      </c>
      <c r="F194" s="405" t="str">
        <f>IFERROR(VLOOKUP(A194,[3]DOORSCRIEFT!$A$2:$G$8551,6,FALSE),"")</f>
        <v/>
      </c>
      <c r="G194" s="315"/>
    </row>
    <row r="195" spans="1:7" x14ac:dyDescent="0.25">
      <c r="A195" s="339" t="str">
        <f t="shared" si="5"/>
        <v>I.2.2.01.00226</v>
      </c>
      <c r="B195" s="319">
        <v>26</v>
      </c>
      <c r="C195" s="467" t="str">
        <f>IFERROR(VLOOKUP(A195,[3]DOORSCRIEFT!$A$2:$G$8551,2,FALSE),"")</f>
        <v/>
      </c>
      <c r="D195" s="393" t="str">
        <f>IFERROR(VLOOKUP(A195,[3]DOORSCRIEFT!$A$2:$G$8551,3,FALSE),"")</f>
        <v/>
      </c>
      <c r="E195" s="392" t="str">
        <f>IFERROR(VLOOKUP(A195,[3]DOORSCRIEFT!$A$2:$G$8551,4,FALSE),"")</f>
        <v/>
      </c>
      <c r="F195" s="405" t="str">
        <f>IFERROR(VLOOKUP(A195,[3]DOORSCRIEFT!$A$2:$G$8551,6,FALSE),"")</f>
        <v/>
      </c>
      <c r="G195" s="315"/>
    </row>
    <row r="196" spans="1:7" x14ac:dyDescent="0.25">
      <c r="A196" s="339" t="str">
        <f t="shared" si="5"/>
        <v>I.2.2.01.00227</v>
      </c>
      <c r="B196" s="339">
        <v>27</v>
      </c>
      <c r="C196" s="467" t="str">
        <f>IFERROR(VLOOKUP(A196,[3]DOORSCRIEFT!$A$2:$G$8551,2,FALSE),"")</f>
        <v/>
      </c>
      <c r="D196" s="393" t="str">
        <f>IFERROR(VLOOKUP(A196,[3]DOORSCRIEFT!$A$2:$G$8551,3,FALSE),"")</f>
        <v/>
      </c>
      <c r="E196" s="392" t="str">
        <f>IFERROR(VLOOKUP(A196,[3]DOORSCRIEFT!$A$2:$G$8551,4,FALSE),"")</f>
        <v/>
      </c>
      <c r="F196" s="405" t="str">
        <f>IFERROR(VLOOKUP(A196,[3]DOORSCRIEFT!$A$2:$G$8551,6,FALSE),"")</f>
        <v/>
      </c>
      <c r="G196" s="315"/>
    </row>
    <row r="197" spans="1:7" x14ac:dyDescent="0.25">
      <c r="A197" s="339" t="str">
        <f t="shared" si="5"/>
        <v>I.2.2.01.00228</v>
      </c>
      <c r="B197" s="319">
        <v>28</v>
      </c>
      <c r="C197" s="467" t="str">
        <f>IFERROR(VLOOKUP(A197,[3]DOORSCRIEFT!$A$2:$G$8551,2,FALSE),"")</f>
        <v/>
      </c>
      <c r="D197" s="393" t="str">
        <f>IFERROR(VLOOKUP(A197,[3]DOORSCRIEFT!$A$2:$G$8551,3,FALSE),"")</f>
        <v/>
      </c>
      <c r="E197" s="392" t="str">
        <f>IFERROR(VLOOKUP(A197,[3]DOORSCRIEFT!$A$2:$G$8551,4,FALSE),"")</f>
        <v/>
      </c>
      <c r="F197" s="405" t="str">
        <f>IFERROR(VLOOKUP(A197,[3]DOORSCRIEFT!$A$2:$G$8551,6,FALSE),"")</f>
        <v/>
      </c>
      <c r="G197" s="315"/>
    </row>
    <row r="198" spans="1:7" x14ac:dyDescent="0.25">
      <c r="A198" s="339" t="str">
        <f t="shared" si="5"/>
        <v>I.2.2.01.00229</v>
      </c>
      <c r="B198" s="339">
        <v>29</v>
      </c>
      <c r="C198" s="467" t="str">
        <f>IFERROR(VLOOKUP(A198,[3]DOORSCRIEFT!$A$2:$G$8551,2,FALSE),"")</f>
        <v/>
      </c>
      <c r="D198" s="393" t="str">
        <f>IFERROR(VLOOKUP(A198,[3]DOORSCRIEFT!$A$2:$G$8551,3,FALSE),"")</f>
        <v/>
      </c>
      <c r="E198" s="392" t="str">
        <f>IFERROR(VLOOKUP(A198,[3]DOORSCRIEFT!$A$2:$G$8551,4,FALSE),"")</f>
        <v/>
      </c>
      <c r="F198" s="405" t="str">
        <f>IFERROR(VLOOKUP(A198,[3]DOORSCRIEFT!$A$2:$G$8551,6,FALSE),"")</f>
        <v/>
      </c>
      <c r="G198" s="315"/>
    </row>
    <row r="199" spans="1:7" x14ac:dyDescent="0.25">
      <c r="A199" s="339" t="str">
        <f t="shared" si="5"/>
        <v>I.2.2.01.00230</v>
      </c>
      <c r="B199" s="319">
        <v>30</v>
      </c>
      <c r="C199" s="467" t="str">
        <f>IFERROR(VLOOKUP(A199,[3]DOORSCRIEFT!$A$2:$G$8551,2,FALSE),"")</f>
        <v/>
      </c>
      <c r="D199" s="393" t="str">
        <f>IFERROR(VLOOKUP(A199,[3]DOORSCRIEFT!$A$2:$G$8551,3,FALSE),"")</f>
        <v/>
      </c>
      <c r="E199" s="392" t="str">
        <f>IFERROR(VLOOKUP(A199,[3]DOORSCRIEFT!$A$2:$G$8551,4,FALSE),"")</f>
        <v/>
      </c>
      <c r="F199" s="405" t="str">
        <f>IFERROR(VLOOKUP(A199,[3]DOORSCRIEFT!$A$2:$G$8551,6,FALSE),"")</f>
        <v/>
      </c>
      <c r="G199" s="315"/>
    </row>
    <row r="200" spans="1:7" x14ac:dyDescent="0.25">
      <c r="A200" s="339" t="str">
        <f t="shared" si="5"/>
        <v>I.2.2.01.00231</v>
      </c>
      <c r="B200" s="339">
        <v>31</v>
      </c>
      <c r="C200" s="467" t="str">
        <f>IFERROR(VLOOKUP(A200,[3]DOORSCRIEFT!$A$2:$G$8551,2,FALSE),"")</f>
        <v/>
      </c>
      <c r="D200" s="393" t="str">
        <f>IFERROR(VLOOKUP(A200,[3]DOORSCRIEFT!$A$2:$G$8551,3,FALSE),"")</f>
        <v/>
      </c>
      <c r="E200" s="392" t="str">
        <f>IFERROR(VLOOKUP(A200,[3]DOORSCRIEFT!$A$2:$G$8551,4,FALSE),"")</f>
        <v/>
      </c>
      <c r="F200" s="405" t="str">
        <f>IFERROR(VLOOKUP(A200,[3]DOORSCRIEFT!$A$2:$G$8551,6,FALSE),"")</f>
        <v/>
      </c>
      <c r="G200" s="315"/>
    </row>
    <row r="201" spans="1:7" x14ac:dyDescent="0.25">
      <c r="A201" s="339" t="str">
        <f t="shared" si="5"/>
        <v>I.2.2.01.00232</v>
      </c>
      <c r="B201" s="319">
        <v>32</v>
      </c>
      <c r="C201" s="467" t="str">
        <f>IFERROR(VLOOKUP(A201,[3]DOORSCRIEFT!$A$2:$G$8551,2,FALSE),"")</f>
        <v/>
      </c>
      <c r="D201" s="393" t="str">
        <f>IFERROR(VLOOKUP(A201,[3]DOORSCRIEFT!$A$2:$G$8551,3,FALSE),"")</f>
        <v/>
      </c>
      <c r="E201" s="392" t="str">
        <f>IFERROR(VLOOKUP(A201,[3]DOORSCRIEFT!$A$2:$G$8551,4,FALSE),"")</f>
        <v/>
      </c>
      <c r="F201" s="405" t="str">
        <f>IFERROR(VLOOKUP(A201,[3]DOORSCRIEFT!$A$2:$G$8551,6,FALSE),"")</f>
        <v/>
      </c>
      <c r="G201" s="315"/>
    </row>
    <row r="202" spans="1:7" x14ac:dyDescent="0.25">
      <c r="A202" s="339" t="str">
        <f t="shared" si="5"/>
        <v>I.2.2.01.00233</v>
      </c>
      <c r="B202" s="339">
        <v>33</v>
      </c>
      <c r="C202" s="467" t="str">
        <f>IFERROR(VLOOKUP(A202,[3]DOORSCRIEFT!$A$2:$G$8551,2,FALSE),"")</f>
        <v/>
      </c>
      <c r="D202" s="393" t="str">
        <f>IFERROR(VLOOKUP(A202,[3]DOORSCRIEFT!$A$2:$G$8551,3,FALSE),"")</f>
        <v/>
      </c>
      <c r="E202" s="392" t="str">
        <f>IFERROR(VLOOKUP(A202,[3]DOORSCRIEFT!$A$2:$G$8551,4,FALSE),"")</f>
        <v/>
      </c>
      <c r="F202" s="405" t="str">
        <f>IFERROR(VLOOKUP(A202,[3]DOORSCRIEFT!$A$2:$G$8551,6,FALSE),"")</f>
        <v/>
      </c>
      <c r="G202" s="315"/>
    </row>
    <row r="203" spans="1:7" x14ac:dyDescent="0.25">
      <c r="A203" s="339" t="str">
        <f t="shared" si="5"/>
        <v>I.2.2.01.00234</v>
      </c>
      <c r="B203" s="319">
        <v>34</v>
      </c>
      <c r="C203" s="467" t="str">
        <f>IFERROR(VLOOKUP(A203,[3]DOORSCRIEFT!$A$2:$G$8551,2,FALSE),"")</f>
        <v/>
      </c>
      <c r="D203" s="393" t="str">
        <f>IFERROR(VLOOKUP(A203,[3]DOORSCRIEFT!$A$2:$G$8551,3,FALSE),"")</f>
        <v/>
      </c>
      <c r="E203" s="392" t="str">
        <f>IFERROR(VLOOKUP(A203,[3]DOORSCRIEFT!$A$2:$G$8551,4,FALSE),"")</f>
        <v/>
      </c>
      <c r="F203" s="405" t="str">
        <f>IFERROR(VLOOKUP(A203,[3]DOORSCRIEFT!$A$2:$G$8551,6,FALSE),"")</f>
        <v/>
      </c>
      <c r="G203" s="315"/>
    </row>
    <row r="204" spans="1:7" x14ac:dyDescent="0.25">
      <c r="A204" s="339" t="str">
        <f t="shared" si="5"/>
        <v>I.2.2.01.00235</v>
      </c>
      <c r="B204" s="339">
        <v>35</v>
      </c>
      <c r="C204" s="467" t="str">
        <f>IFERROR(VLOOKUP(A204,[3]DOORSCRIEFT!$A$2:$G$8551,2,FALSE),"")</f>
        <v/>
      </c>
      <c r="D204" s="393" t="str">
        <f>IFERROR(VLOOKUP(A204,[3]DOORSCRIEFT!$A$2:$G$8551,3,FALSE),"")</f>
        <v/>
      </c>
      <c r="E204" s="392" t="str">
        <f>IFERROR(VLOOKUP(A204,[3]DOORSCRIEFT!$A$2:$G$8551,4,FALSE),"")</f>
        <v/>
      </c>
      <c r="F204" s="405" t="str">
        <f>IFERROR(VLOOKUP(A204,[3]DOORSCRIEFT!$A$2:$G$8551,6,FALSE),"")</f>
        <v/>
      </c>
      <c r="G204" s="315"/>
    </row>
    <row r="205" spans="1:7" x14ac:dyDescent="0.25">
      <c r="A205" s="339" t="str">
        <f t="shared" si="5"/>
        <v>I.2.2.01.00236</v>
      </c>
      <c r="B205" s="319">
        <v>36</v>
      </c>
      <c r="C205" s="467" t="str">
        <f>IFERROR(VLOOKUP(A205,[3]DOORSCRIEFT!$A$2:$G$8551,2,FALSE),"")</f>
        <v/>
      </c>
      <c r="D205" s="393" t="str">
        <f>IFERROR(VLOOKUP(A205,[3]DOORSCRIEFT!$A$2:$G$8551,3,FALSE),"")</f>
        <v/>
      </c>
      <c r="E205" s="392" t="str">
        <f>IFERROR(VLOOKUP(A205,[3]DOORSCRIEFT!$A$2:$G$8551,4,FALSE),"")</f>
        <v/>
      </c>
      <c r="F205" s="405" t="str">
        <f>IFERROR(VLOOKUP(A205,[3]DOORSCRIEFT!$A$2:$G$8551,6,FALSE),"")</f>
        <v/>
      </c>
      <c r="G205" s="315"/>
    </row>
    <row r="206" spans="1:7" x14ac:dyDescent="0.25">
      <c r="A206" s="339" t="str">
        <f t="shared" si="5"/>
        <v>I.2.2.01.00237</v>
      </c>
      <c r="B206" s="339">
        <v>37</v>
      </c>
      <c r="C206" s="467" t="str">
        <f>IFERROR(VLOOKUP(A206,[3]DOORSCRIEFT!$A$2:$G$8551,2,FALSE),"")</f>
        <v/>
      </c>
      <c r="D206" s="393" t="str">
        <f>IFERROR(VLOOKUP(A206,[3]DOORSCRIEFT!$A$2:$G$8551,3,FALSE),"")</f>
        <v/>
      </c>
      <c r="E206" s="392" t="str">
        <f>IFERROR(VLOOKUP(A206,[3]DOORSCRIEFT!$A$2:$G$8551,4,FALSE),"")</f>
        <v/>
      </c>
      <c r="F206" s="405" t="str">
        <f>IFERROR(VLOOKUP(A206,[3]DOORSCRIEFT!$A$2:$G$8551,6,FALSE),"")</f>
        <v/>
      </c>
      <c r="G206" s="315"/>
    </row>
    <row r="207" spans="1:7" x14ac:dyDescent="0.25">
      <c r="A207" s="339" t="str">
        <f t="shared" si="5"/>
        <v>I.2.2.01.00238</v>
      </c>
      <c r="B207" s="319">
        <v>38</v>
      </c>
      <c r="C207" s="467" t="str">
        <f>IFERROR(VLOOKUP(A207,[3]DOORSCRIEFT!$A$2:$G$8551,2,FALSE),"")</f>
        <v/>
      </c>
      <c r="D207" s="393" t="str">
        <f>IFERROR(VLOOKUP(A207,[3]DOORSCRIEFT!$A$2:$G$8551,3,FALSE),"")</f>
        <v/>
      </c>
      <c r="E207" s="392" t="str">
        <f>IFERROR(VLOOKUP(A207,[3]DOORSCRIEFT!$A$2:$G$8551,4,FALSE),"")</f>
        <v/>
      </c>
      <c r="F207" s="405" t="str">
        <f>IFERROR(VLOOKUP(A207,[3]DOORSCRIEFT!$A$2:$G$8551,6,FALSE),"")</f>
        <v/>
      </c>
      <c r="G207" s="315"/>
    </row>
    <row r="208" spans="1:7" x14ac:dyDescent="0.25">
      <c r="A208" s="339" t="str">
        <f t="shared" si="5"/>
        <v>I.2.2.01.00239</v>
      </c>
      <c r="B208" s="339">
        <v>39</v>
      </c>
      <c r="C208" s="467" t="str">
        <f>IFERROR(VLOOKUP(A208,[3]DOORSCRIEFT!$A$2:$G$8551,2,FALSE),"")</f>
        <v/>
      </c>
      <c r="D208" s="393" t="str">
        <f>IFERROR(VLOOKUP(A208,[3]DOORSCRIEFT!$A$2:$G$8551,3,FALSE),"")</f>
        <v/>
      </c>
      <c r="E208" s="392" t="str">
        <f>IFERROR(VLOOKUP(A208,[3]DOORSCRIEFT!$A$2:$G$8551,4,FALSE),"")</f>
        <v/>
      </c>
      <c r="F208" s="405" t="str">
        <f>IFERROR(VLOOKUP(A208,[3]DOORSCRIEFT!$A$2:$G$8551,6,FALSE),"")</f>
        <v/>
      </c>
      <c r="G208" s="315"/>
    </row>
    <row r="209" spans="1:7" ht="15.75" thickBot="1" x14ac:dyDescent="0.3">
      <c r="A209" s="339" t="str">
        <f t="shared" si="5"/>
        <v>I.2.2.01.00240</v>
      </c>
      <c r="B209" s="319">
        <v>40</v>
      </c>
      <c r="C209" s="467" t="str">
        <f>IFERROR(VLOOKUP(A209,[3]DOORSCRIEFT!$A$2:$G$8551,2,FALSE),"")</f>
        <v/>
      </c>
      <c r="D209" s="393" t="str">
        <f>IFERROR(VLOOKUP(A209,[3]DOORSCRIEFT!$A$2:$G$8551,3,FALSE),"")</f>
        <v/>
      </c>
      <c r="E209" s="392" t="str">
        <f>IFERROR(VLOOKUP(A209,[3]DOORSCRIEFT!$A$2:$G$8551,4,FALSE),"")</f>
        <v/>
      </c>
      <c r="F209" s="405" t="str">
        <f>IFERROR(VLOOKUP(A209,[3]DOORSCRIEFT!$A$2:$G$8551,6,FALSE),"")</f>
        <v/>
      </c>
      <c r="G209" s="315"/>
    </row>
    <row r="210" spans="1:7" ht="15.75" thickBot="1" x14ac:dyDescent="0.3">
      <c r="A210" s="314"/>
      <c r="B210" s="312"/>
      <c r="C210" s="313"/>
      <c r="D210" s="312"/>
      <c r="E210" s="311" t="s">
        <v>652</v>
      </c>
      <c r="F210" s="310">
        <f>SUM(F170:F209)</f>
        <v>29034000</v>
      </c>
      <c r="G210" s="309"/>
    </row>
    <row r="216" spans="1:7" ht="15.75" x14ac:dyDescent="0.25">
      <c r="C216" s="332"/>
      <c r="D216" s="333"/>
      <c r="E216" s="332"/>
      <c r="F216" s="327" t="s">
        <v>607</v>
      </c>
      <c r="G216" s="327" t="s">
        <v>546</v>
      </c>
    </row>
    <row r="217" spans="1:7" ht="15.75" x14ac:dyDescent="0.25">
      <c r="C217" s="332"/>
      <c r="D217" s="333"/>
      <c r="E217" s="332"/>
      <c r="F217" s="327" t="s">
        <v>601</v>
      </c>
      <c r="G217" s="327" t="s">
        <v>545</v>
      </c>
    </row>
    <row r="218" spans="1:7" x14ac:dyDescent="0.25">
      <c r="C218" s="328"/>
      <c r="D218" s="329"/>
      <c r="E218" s="328"/>
      <c r="F218" s="327" t="s">
        <v>651</v>
      </c>
      <c r="G218" s="331">
        <f>[2]Sheet1!$D$27</f>
        <v>90000000</v>
      </c>
    </row>
    <row r="219" spans="1:7" ht="15.75" thickBot="1" x14ac:dyDescent="0.3">
      <c r="C219" s="328"/>
      <c r="D219" s="329"/>
      <c r="E219" s="328"/>
      <c r="F219" s="327" t="s">
        <v>650</v>
      </c>
      <c r="G219" s="326">
        <f>+F701-G218</f>
        <v>-67730000</v>
      </c>
    </row>
    <row r="220" spans="1:7" x14ac:dyDescent="0.25">
      <c r="A220" s="573" t="s">
        <v>626</v>
      </c>
      <c r="B220" s="573" t="s">
        <v>606</v>
      </c>
      <c r="C220" s="588" t="s">
        <v>649</v>
      </c>
      <c r="D220" s="577" t="s">
        <v>648</v>
      </c>
      <c r="E220" s="577" t="s">
        <v>647</v>
      </c>
      <c r="F220" s="577" t="s">
        <v>646</v>
      </c>
      <c r="G220" s="580" t="s">
        <v>645</v>
      </c>
    </row>
    <row r="221" spans="1:7" ht="15.75" thickBot="1" x14ac:dyDescent="0.3">
      <c r="A221" s="574"/>
      <c r="B221" s="574"/>
      <c r="C221" s="589"/>
      <c r="D221" s="578"/>
      <c r="E221" s="578"/>
      <c r="F221" s="578"/>
      <c r="G221" s="581"/>
    </row>
    <row r="222" spans="1:7" ht="15.75" thickBot="1" x14ac:dyDescent="0.3">
      <c r="A222" s="425">
        <v>1</v>
      </c>
      <c r="B222" s="425">
        <v>2</v>
      </c>
      <c r="C222" s="425">
        <v>3</v>
      </c>
      <c r="D222" s="425">
        <v>4</v>
      </c>
      <c r="E222" s="425">
        <v>5</v>
      </c>
      <c r="F222" s="425">
        <v>6</v>
      </c>
      <c r="G222" s="425">
        <v>7</v>
      </c>
    </row>
    <row r="223" spans="1:7" x14ac:dyDescent="0.25">
      <c r="A223" s="360" t="str">
        <f t="shared" ref="A223:A286" si="6">$G$216&amp;B223</f>
        <v>I.2.2.02.0011</v>
      </c>
      <c r="B223" s="339">
        <v>1</v>
      </c>
      <c r="C223" s="394">
        <f>IFERROR(VLOOKUP(A223,[3]DOORSCRIEFT!$A$2:$G$8551,2,FALSE),"")</f>
        <v>6</v>
      </c>
      <c r="D223" s="393">
        <f>IFERROR(VLOOKUP(A223,[3]DOORSCRIEFT!$A$2:$G$8551,3,FALSE),"")</f>
        <v>46023</v>
      </c>
      <c r="E223" s="466" t="str">
        <f>IFERROR(VLOOKUP(A223,[3]DOORSCRIEFT!$A$2:$G$8551,4,FALSE),"")</f>
        <v>Kolekta HUT Lahir</v>
      </c>
      <c r="F223" s="405">
        <f>IFERROR(VLOOKUP(A223,[3]DOORSCRIEFT!$A$2:$G$8551,6,FALSE),"")</f>
        <v>445000</v>
      </c>
      <c r="G223" s="349"/>
    </row>
    <row r="224" spans="1:7" x14ac:dyDescent="0.25">
      <c r="A224" s="360" t="str">
        <f t="shared" si="6"/>
        <v>I.2.2.02.0012</v>
      </c>
      <c r="B224" s="319">
        <v>2</v>
      </c>
      <c r="C224" s="394">
        <f>IFERROR(VLOOKUP(A224,[3]DOORSCRIEFT!$A$2:$G$8551,2,FALSE),"")</f>
        <v>31</v>
      </c>
      <c r="D224" s="393">
        <f>IFERROR(VLOOKUP(A224,[3]DOORSCRIEFT!$A$2:$G$8551,3,FALSE),"")</f>
        <v>46031</v>
      </c>
      <c r="E224" s="466" t="str">
        <f>IFERROR(VLOOKUP(A224,[3]DOORSCRIEFT!$A$2:$G$8551,4,FALSE),"")</f>
        <v>Kolekta Syukur HUT Lahir</v>
      </c>
      <c r="F224" s="405">
        <f>IFERROR(VLOOKUP(A224,[3]DOORSCRIEFT!$A$2:$G$8551,6,FALSE),"")</f>
        <v>2215000</v>
      </c>
      <c r="G224" s="315"/>
    </row>
    <row r="225" spans="1:7" x14ac:dyDescent="0.25">
      <c r="A225" s="360" t="str">
        <f t="shared" si="6"/>
        <v>I.2.2.02.0013</v>
      </c>
      <c r="B225" s="339">
        <v>3</v>
      </c>
      <c r="C225" s="394">
        <f>IFERROR(VLOOKUP(A225,[3]DOORSCRIEFT!$A$2:$G$8551,2,FALSE),"")</f>
        <v>74</v>
      </c>
      <c r="D225" s="393">
        <f>IFERROR(VLOOKUP(A225,[3]DOORSCRIEFT!$A$2:$G$8551,3,FALSE),"")</f>
        <v>46038</v>
      </c>
      <c r="E225" s="466" t="str">
        <f>IFERROR(VLOOKUP(A225,[3]DOORSCRIEFT!$A$2:$G$8551,4,FALSE),"")</f>
        <v>Kolekta Kebaktian Syukur HUT Lahir</v>
      </c>
      <c r="F225" s="405">
        <f>IFERROR(VLOOKUP(A225,[3]DOORSCRIEFT!$A$2:$G$8551,6,FALSE),"")</f>
        <v>2240000</v>
      </c>
      <c r="G225" s="315"/>
    </row>
    <row r="226" spans="1:7" x14ac:dyDescent="0.25">
      <c r="A226" s="360" t="str">
        <f t="shared" si="6"/>
        <v>I.2.2.02.0014</v>
      </c>
      <c r="B226" s="319">
        <v>4</v>
      </c>
      <c r="C226" s="394">
        <f>IFERROR(VLOOKUP(A226,[3]DOORSCRIEFT!$A$2:$G$8551,2,FALSE),"")</f>
        <v>91</v>
      </c>
      <c r="D226" s="393">
        <f>IFERROR(VLOOKUP(A226,[3]DOORSCRIEFT!$A$2:$G$8551,3,FALSE),"")</f>
        <v>46045</v>
      </c>
      <c r="E226" s="466" t="str">
        <f>IFERROR(VLOOKUP(A226,[3]DOORSCRIEFT!$A$2:$G$8551,4,FALSE),"")</f>
        <v>Kolekta Syukur HUT Lahir</v>
      </c>
      <c r="F226" s="405">
        <f>IFERROR(VLOOKUP(A226,[3]DOORSCRIEFT!$A$2:$G$8551,6,FALSE),"")</f>
        <v>1222000</v>
      </c>
      <c r="G226" s="315"/>
    </row>
    <row r="227" spans="1:7" x14ac:dyDescent="0.25">
      <c r="A227" s="360" t="str">
        <f t="shared" si="6"/>
        <v>I.2.2.02.0015</v>
      </c>
      <c r="B227" s="339">
        <v>5</v>
      </c>
      <c r="C227" s="394">
        <f>IFERROR(VLOOKUP(A227,[3]DOORSCRIEFT!$A$2:$G$8551,2,FALSE),"")</f>
        <v>136</v>
      </c>
      <c r="D227" s="393">
        <f>IFERROR(VLOOKUP(A227,[3]DOORSCRIEFT!$A$2:$G$8551,3,FALSE),"")</f>
        <v>46052</v>
      </c>
      <c r="E227" s="466" t="str">
        <f>IFERROR(VLOOKUP(A227,[3]DOORSCRIEFT!$A$2:$G$8551,4,FALSE),"")</f>
        <v>Kolekta syukur HUT Lahir</v>
      </c>
      <c r="F227" s="405">
        <f>IFERROR(VLOOKUP(A227,[3]DOORSCRIEFT!$A$2:$G$8551,6,FALSE),"")</f>
        <v>2371000</v>
      </c>
      <c r="G227" s="315"/>
    </row>
    <row r="228" spans="1:7" x14ac:dyDescent="0.25">
      <c r="A228" s="360" t="str">
        <f t="shared" si="6"/>
        <v>I.2.2.02.0016</v>
      </c>
      <c r="B228" s="319">
        <v>6</v>
      </c>
      <c r="C228" s="394">
        <f>IFERROR(VLOOKUP(A228,[3]DOORSCRIEFT!$A$2:$G$8551,2,FALSE),"")</f>
        <v>157</v>
      </c>
      <c r="D228" s="393">
        <f>IFERROR(VLOOKUP(A228,[3]DOORSCRIEFT!$A$2:$G$8551,3,FALSE),"")</f>
        <v>46059</v>
      </c>
      <c r="E228" s="466" t="str">
        <f>IFERROR(VLOOKUP(A228,[3]DOORSCRIEFT!$A$2:$G$8551,4,FALSE),"")</f>
        <v>Kolekta Kebaktian Syukur HUT Kelahiran</v>
      </c>
      <c r="F228" s="405">
        <f>IFERROR(VLOOKUP(A228,[3]DOORSCRIEFT!$A$2:$G$8551,6,FALSE),"")</f>
        <v>1365000</v>
      </c>
      <c r="G228" s="315"/>
    </row>
    <row r="229" spans="1:7" x14ac:dyDescent="0.25">
      <c r="A229" s="360" t="str">
        <f t="shared" si="6"/>
        <v>I.2.2.02.0017</v>
      </c>
      <c r="B229" s="339">
        <v>7</v>
      </c>
      <c r="C229" s="394">
        <f>IFERROR(VLOOKUP(A229,[3]DOORSCRIEFT!$A$2:$G$8551,2,FALSE),"")</f>
        <v>193</v>
      </c>
      <c r="D229" s="393">
        <f>IFERROR(VLOOKUP(A229,[3]DOORSCRIEFT!$A$2:$G$8551,3,FALSE),"")</f>
        <v>46066</v>
      </c>
      <c r="E229" s="466" t="str">
        <f>IFERROR(VLOOKUP(A229,[3]DOORSCRIEFT!$A$2:$G$8551,4,FALSE),"")</f>
        <v>Kolekta Kebaktian Syukur HUT Kelahiran</v>
      </c>
      <c r="F229" s="405">
        <f>IFERROR(VLOOKUP(A229,[3]DOORSCRIEFT!$A$2:$G$8551,6,FALSE),"")</f>
        <v>1360000</v>
      </c>
      <c r="G229" s="315"/>
    </row>
    <row r="230" spans="1:7" x14ac:dyDescent="0.25">
      <c r="A230" s="360" t="str">
        <f t="shared" si="6"/>
        <v>I.2.2.02.0018</v>
      </c>
      <c r="B230" s="319">
        <v>8</v>
      </c>
      <c r="C230" s="394">
        <f>IFERROR(VLOOKUP(A230,[3]DOORSCRIEFT!$A$2:$G$8551,2,FALSE),"")</f>
        <v>224</v>
      </c>
      <c r="D230" s="393">
        <f>IFERROR(VLOOKUP(A230,[3]DOORSCRIEFT!$A$2:$G$8551,3,FALSE),"")</f>
        <v>46073</v>
      </c>
      <c r="E230" s="466" t="str">
        <f>IFERROR(VLOOKUP(A230,[3]DOORSCRIEFT!$A$2:$G$8551,4,FALSE),"")</f>
        <v>Kolekta Kebaktian Syukur HUT Kelahiran</v>
      </c>
      <c r="F230" s="405">
        <f>IFERROR(VLOOKUP(A230,[3]DOORSCRIEFT!$A$2:$G$8551,6,FALSE),"")</f>
        <v>1590000</v>
      </c>
      <c r="G230" s="315"/>
    </row>
    <row r="231" spans="1:7" x14ac:dyDescent="0.25">
      <c r="A231" s="360" t="str">
        <f t="shared" si="6"/>
        <v>I.2.2.02.0019</v>
      </c>
      <c r="B231" s="339">
        <v>9</v>
      </c>
      <c r="C231" s="394">
        <f>IFERROR(VLOOKUP(A231,[3]DOORSCRIEFT!$A$2:$G$8551,2,FALSE),"")</f>
        <v>263</v>
      </c>
      <c r="D231" s="393">
        <f>IFERROR(VLOOKUP(A231,[3]DOORSCRIEFT!$A$2:$G$8551,3,FALSE),"")</f>
        <v>46080</v>
      </c>
      <c r="E231" s="466" t="str">
        <f>IFERROR(VLOOKUP(A231,[3]DOORSCRIEFT!$A$2:$G$8551,4,FALSE),"")</f>
        <v>Kolekta Kebaktian Syukur HUT Kelahiran</v>
      </c>
      <c r="F231" s="405">
        <f>IFERROR(VLOOKUP(A231,[3]DOORSCRIEFT!$A$2:$G$8551,6,FALSE),"")</f>
        <v>2009000</v>
      </c>
      <c r="G231" s="315"/>
    </row>
    <row r="232" spans="1:7" x14ac:dyDescent="0.25">
      <c r="A232" s="360" t="str">
        <f t="shared" si="6"/>
        <v>I.2.2.02.00110</v>
      </c>
      <c r="B232" s="319">
        <v>10</v>
      </c>
      <c r="C232" s="394">
        <f>IFERROR(VLOOKUP(A232,[3]DOORSCRIEFT!$A$2:$G$8551,2,FALSE),"")</f>
        <v>297</v>
      </c>
      <c r="D232" s="393">
        <f>IFERROR(VLOOKUP(A232,[3]DOORSCRIEFT!$A$2:$G$8551,3,FALSE),"")</f>
        <v>46087</v>
      </c>
      <c r="E232" s="466" t="str">
        <f>IFERROR(VLOOKUP(A232,[3]DOORSCRIEFT!$A$2:$G$8551,4,FALSE),"")</f>
        <v>Kolekta Kebaktian Syukur HUT Kelahiran</v>
      </c>
      <c r="F232" s="405">
        <f>IFERROR(VLOOKUP(A232,[3]DOORSCRIEFT!$A$2:$G$8551,6,FALSE),"")</f>
        <v>1350000</v>
      </c>
      <c r="G232" s="315"/>
    </row>
    <row r="233" spans="1:7" x14ac:dyDescent="0.25">
      <c r="A233" s="360" t="str">
        <f t="shared" si="6"/>
        <v>I.2.2.02.00111</v>
      </c>
      <c r="B233" s="339">
        <v>11</v>
      </c>
      <c r="C233" s="394">
        <f>IFERROR(VLOOKUP(A233,[3]DOORSCRIEFT!$A$2:$G$8551,2,FALSE),"")</f>
        <v>346</v>
      </c>
      <c r="D233" s="393">
        <f>IFERROR(VLOOKUP(A233,[3]DOORSCRIEFT!$A$2:$G$8551,3,FALSE),"")</f>
        <v>46094</v>
      </c>
      <c r="E233" s="466" t="str">
        <f>IFERROR(VLOOKUP(A233,[3]DOORSCRIEFT!$A$2:$G$8551,4,FALSE),"")</f>
        <v>Kolekta Kebaktian Syukur HUT Kelahiran</v>
      </c>
      <c r="F233" s="405">
        <f>IFERROR(VLOOKUP(A233,[3]DOORSCRIEFT!$A$2:$G$8551,6,FALSE),"")</f>
        <v>1666000</v>
      </c>
      <c r="G233" s="315"/>
    </row>
    <row r="234" spans="1:7" x14ac:dyDescent="0.25">
      <c r="A234" s="360" t="str">
        <f t="shared" si="6"/>
        <v>I.2.2.02.00112</v>
      </c>
      <c r="B234" s="319">
        <v>12</v>
      </c>
      <c r="C234" s="394">
        <f>IFERROR(VLOOKUP(A234,[3]DOORSCRIEFT!$A$2:$G$8551,2,FALSE),"")</f>
        <v>391</v>
      </c>
      <c r="D234" s="393">
        <f>IFERROR(VLOOKUP(A234,[3]DOORSCRIEFT!$A$2:$G$8551,3,FALSE),"")</f>
        <v>46101</v>
      </c>
      <c r="E234" s="466" t="str">
        <f>IFERROR(VLOOKUP(A234,[3]DOORSCRIEFT!$A$2:$G$8551,4,FALSE),"")</f>
        <v>Kolekta Kebaktian Syukur HUT Kelahiran</v>
      </c>
      <c r="F234" s="405">
        <f>IFERROR(VLOOKUP(A234,[3]DOORSCRIEFT!$A$2:$G$8551,6,FALSE),"")</f>
        <v>2027000</v>
      </c>
      <c r="G234" s="315"/>
    </row>
    <row r="235" spans="1:7" x14ac:dyDescent="0.25">
      <c r="A235" s="360" t="str">
        <f t="shared" si="6"/>
        <v>I.2.2.02.00113</v>
      </c>
      <c r="B235" s="339">
        <v>13</v>
      </c>
      <c r="C235" s="394">
        <f>IFERROR(VLOOKUP(A235,[3]DOORSCRIEFT!$A$2:$G$8551,2,FALSE),"")</f>
        <v>442</v>
      </c>
      <c r="D235" s="393">
        <f>IFERROR(VLOOKUP(A235,[3]DOORSCRIEFT!$A$2:$G$8551,3,FALSE),"")</f>
        <v>46108</v>
      </c>
      <c r="E235" s="466" t="str">
        <f>IFERROR(VLOOKUP(A235,[3]DOORSCRIEFT!$A$2:$G$8551,4,FALSE),"")</f>
        <v>Kolekta Kebaktian Syukur HUT Kelahiran</v>
      </c>
      <c r="F235" s="405">
        <f>IFERROR(VLOOKUP(A235,[3]DOORSCRIEFT!$A$2:$G$8551,6,FALSE),"")</f>
        <v>2410000</v>
      </c>
      <c r="G235" s="315"/>
    </row>
    <row r="236" spans="1:7" x14ac:dyDescent="0.25">
      <c r="A236" s="360" t="str">
        <f t="shared" si="6"/>
        <v>I.2.2.02.00114</v>
      </c>
      <c r="B236" s="319">
        <v>14</v>
      </c>
      <c r="C236" s="394" t="str">
        <f>IFERROR(VLOOKUP(A236,[3]DOORSCRIEFT!$A$2:$G$8551,2,FALSE),"")</f>
        <v/>
      </c>
      <c r="D236" s="393" t="str">
        <f>IFERROR(VLOOKUP(A236,[3]DOORSCRIEFT!$A$2:$G$8551,3,FALSE),"")</f>
        <v/>
      </c>
      <c r="E236" s="466" t="str">
        <f>IFERROR(VLOOKUP(A236,[3]DOORSCRIEFT!$A$2:$G$8551,4,FALSE),"")</f>
        <v/>
      </c>
      <c r="F236" s="405" t="str">
        <f>IFERROR(VLOOKUP(A236,[3]DOORSCRIEFT!$A$2:$G$8551,6,FALSE),"")</f>
        <v/>
      </c>
      <c r="G236" s="315"/>
    </row>
    <row r="237" spans="1:7" x14ac:dyDescent="0.25">
      <c r="A237" s="360" t="str">
        <f t="shared" si="6"/>
        <v>I.2.2.02.00115</v>
      </c>
      <c r="B237" s="339">
        <v>15</v>
      </c>
      <c r="C237" s="394" t="str">
        <f>IFERROR(VLOOKUP(A237,[3]DOORSCRIEFT!$A$2:$G$8551,2,FALSE),"")</f>
        <v/>
      </c>
      <c r="D237" s="393" t="str">
        <f>IFERROR(VLOOKUP(A237,[3]DOORSCRIEFT!$A$2:$G$8551,3,FALSE),"")</f>
        <v/>
      </c>
      <c r="E237" s="466" t="str">
        <f>IFERROR(VLOOKUP(A237,[3]DOORSCRIEFT!$A$2:$G$8551,4,FALSE),"")</f>
        <v/>
      </c>
      <c r="F237" s="405" t="str">
        <f>IFERROR(VLOOKUP(A237,[3]DOORSCRIEFT!$A$2:$G$8551,6,FALSE),"")</f>
        <v/>
      </c>
      <c r="G237" s="315"/>
    </row>
    <row r="238" spans="1:7" x14ac:dyDescent="0.25">
      <c r="A238" s="360" t="str">
        <f t="shared" si="6"/>
        <v>I.2.2.02.00116</v>
      </c>
      <c r="B238" s="319">
        <v>16</v>
      </c>
      <c r="C238" s="394" t="str">
        <f>IFERROR(VLOOKUP(A238,[3]DOORSCRIEFT!$A$2:$G$8551,2,FALSE),"")</f>
        <v/>
      </c>
      <c r="D238" s="393" t="str">
        <f>IFERROR(VLOOKUP(A238,[3]DOORSCRIEFT!$A$2:$G$8551,3,FALSE),"")</f>
        <v/>
      </c>
      <c r="E238" s="466" t="str">
        <f>IFERROR(VLOOKUP(A238,[3]DOORSCRIEFT!$A$2:$G$8551,4,FALSE),"")</f>
        <v/>
      </c>
      <c r="F238" s="405" t="str">
        <f>IFERROR(VLOOKUP(A238,[3]DOORSCRIEFT!$A$2:$G$8551,6,FALSE),"")</f>
        <v/>
      </c>
      <c r="G238" s="315"/>
    </row>
    <row r="239" spans="1:7" x14ac:dyDescent="0.25">
      <c r="A239" s="360" t="str">
        <f t="shared" si="6"/>
        <v>I.2.2.02.00117</v>
      </c>
      <c r="B239" s="339">
        <v>17</v>
      </c>
      <c r="C239" s="394" t="str">
        <f>IFERROR(VLOOKUP(A239,[3]DOORSCRIEFT!$A$2:$G$8551,2,FALSE),"")</f>
        <v/>
      </c>
      <c r="D239" s="393" t="str">
        <f>IFERROR(VLOOKUP(A239,[3]DOORSCRIEFT!$A$2:$G$8551,3,FALSE),"")</f>
        <v/>
      </c>
      <c r="E239" s="466" t="str">
        <f>IFERROR(VLOOKUP(A239,[3]DOORSCRIEFT!$A$2:$G$8551,4,FALSE),"")</f>
        <v/>
      </c>
      <c r="F239" s="405" t="str">
        <f>IFERROR(VLOOKUP(A239,[3]DOORSCRIEFT!$A$2:$G$8551,6,FALSE),"")</f>
        <v/>
      </c>
      <c r="G239" s="315"/>
    </row>
    <row r="240" spans="1:7" x14ac:dyDescent="0.25">
      <c r="A240" s="360" t="str">
        <f t="shared" si="6"/>
        <v>I.2.2.02.00118</v>
      </c>
      <c r="B240" s="319">
        <v>18</v>
      </c>
      <c r="C240" s="394" t="str">
        <f>IFERROR(VLOOKUP(A240,[3]DOORSCRIEFT!$A$2:$G$8551,2,FALSE),"")</f>
        <v/>
      </c>
      <c r="D240" s="393" t="str">
        <f>IFERROR(VLOOKUP(A240,[3]DOORSCRIEFT!$A$2:$G$8551,3,FALSE),"")</f>
        <v/>
      </c>
      <c r="E240" s="466" t="str">
        <f>IFERROR(VLOOKUP(A240,[3]DOORSCRIEFT!$A$2:$G$8551,4,FALSE),"")</f>
        <v/>
      </c>
      <c r="F240" s="405" t="str">
        <f>IFERROR(VLOOKUP(A240,[3]DOORSCRIEFT!$A$2:$G$8551,6,FALSE),"")</f>
        <v/>
      </c>
      <c r="G240" s="315"/>
    </row>
    <row r="241" spans="1:7" x14ac:dyDescent="0.25">
      <c r="A241" s="360" t="str">
        <f t="shared" si="6"/>
        <v>I.2.2.02.00119</v>
      </c>
      <c r="B241" s="339">
        <v>19</v>
      </c>
      <c r="C241" s="394" t="str">
        <f>IFERROR(VLOOKUP(A241,[3]DOORSCRIEFT!$A$2:$G$8551,2,FALSE),"")</f>
        <v/>
      </c>
      <c r="D241" s="393" t="str">
        <f>IFERROR(VLOOKUP(A241,[3]DOORSCRIEFT!$A$2:$G$8551,3,FALSE),"")</f>
        <v/>
      </c>
      <c r="E241" s="466" t="str">
        <f>IFERROR(VLOOKUP(A241,[3]DOORSCRIEFT!$A$2:$G$8551,4,FALSE),"")</f>
        <v/>
      </c>
      <c r="F241" s="405" t="str">
        <f>IFERROR(VLOOKUP(A241,[3]DOORSCRIEFT!$A$2:$G$8551,6,FALSE),"")</f>
        <v/>
      </c>
      <c r="G241" s="315"/>
    </row>
    <row r="242" spans="1:7" x14ac:dyDescent="0.25">
      <c r="A242" s="360" t="str">
        <f t="shared" si="6"/>
        <v>I.2.2.02.00120</v>
      </c>
      <c r="B242" s="319">
        <v>20</v>
      </c>
      <c r="C242" s="394" t="str">
        <f>IFERROR(VLOOKUP(A242,[3]DOORSCRIEFT!$A$2:$G$8551,2,FALSE),"")</f>
        <v/>
      </c>
      <c r="D242" s="393" t="str">
        <f>IFERROR(VLOOKUP(A242,[3]DOORSCRIEFT!$A$2:$G$8551,3,FALSE),"")</f>
        <v/>
      </c>
      <c r="E242" s="466" t="str">
        <f>IFERROR(VLOOKUP(A242,[3]DOORSCRIEFT!$A$2:$G$8551,4,FALSE),"")</f>
        <v/>
      </c>
      <c r="F242" s="405" t="str">
        <f>IFERROR(VLOOKUP(A242,[3]DOORSCRIEFT!$A$2:$G$8551,6,FALSE),"")</f>
        <v/>
      </c>
      <c r="G242" s="315"/>
    </row>
    <row r="243" spans="1:7" x14ac:dyDescent="0.25">
      <c r="A243" s="360" t="str">
        <f t="shared" si="6"/>
        <v>I.2.2.02.00121</v>
      </c>
      <c r="B243" s="339">
        <v>21</v>
      </c>
      <c r="C243" s="394" t="str">
        <f>IFERROR(VLOOKUP(A243,[3]DOORSCRIEFT!$A$2:$G$8551,2,FALSE),"")</f>
        <v/>
      </c>
      <c r="D243" s="393" t="str">
        <f>IFERROR(VLOOKUP(A243,[3]DOORSCRIEFT!$A$2:$G$8551,3,FALSE),"")</f>
        <v/>
      </c>
      <c r="E243" s="466" t="str">
        <f>IFERROR(VLOOKUP(A243,[3]DOORSCRIEFT!$A$2:$G$8551,4,FALSE),"")</f>
        <v/>
      </c>
      <c r="F243" s="405" t="str">
        <f>IFERROR(VLOOKUP(A243,[3]DOORSCRIEFT!$A$2:$G$8551,6,FALSE),"")</f>
        <v/>
      </c>
      <c r="G243" s="315"/>
    </row>
    <row r="244" spans="1:7" x14ac:dyDescent="0.25">
      <c r="A244" s="360" t="str">
        <f t="shared" si="6"/>
        <v>I.2.2.02.00122</v>
      </c>
      <c r="B244" s="319">
        <v>22</v>
      </c>
      <c r="C244" s="394" t="str">
        <f>IFERROR(VLOOKUP(A244,[3]DOORSCRIEFT!$A$2:$G$8551,2,FALSE),"")</f>
        <v/>
      </c>
      <c r="D244" s="393" t="str">
        <f>IFERROR(VLOOKUP(A244,[3]DOORSCRIEFT!$A$2:$G$8551,3,FALSE),"")</f>
        <v/>
      </c>
      <c r="E244" s="466" t="str">
        <f>IFERROR(VLOOKUP(A244,[3]DOORSCRIEFT!$A$2:$G$8551,4,FALSE),"")</f>
        <v/>
      </c>
      <c r="F244" s="405" t="str">
        <f>IFERROR(VLOOKUP(A244,[3]DOORSCRIEFT!$A$2:$G$8551,6,FALSE),"")</f>
        <v/>
      </c>
      <c r="G244" s="315"/>
    </row>
    <row r="245" spans="1:7" x14ac:dyDescent="0.25">
      <c r="A245" s="360" t="str">
        <f t="shared" si="6"/>
        <v>I.2.2.02.00123</v>
      </c>
      <c r="B245" s="339">
        <v>23</v>
      </c>
      <c r="C245" s="394" t="str">
        <f>IFERROR(VLOOKUP(A245,[3]DOORSCRIEFT!$A$2:$G$8551,2,FALSE),"")</f>
        <v/>
      </c>
      <c r="D245" s="393" t="str">
        <f>IFERROR(VLOOKUP(A245,[3]DOORSCRIEFT!$A$2:$G$8551,3,FALSE),"")</f>
        <v/>
      </c>
      <c r="E245" s="466" t="str">
        <f>IFERROR(VLOOKUP(A245,[3]DOORSCRIEFT!$A$2:$G$8551,4,FALSE),"")</f>
        <v/>
      </c>
      <c r="F245" s="405" t="str">
        <f>IFERROR(VLOOKUP(A245,[3]DOORSCRIEFT!$A$2:$G$8551,6,FALSE),"")</f>
        <v/>
      </c>
      <c r="G245" s="315"/>
    </row>
    <row r="246" spans="1:7" x14ac:dyDescent="0.25">
      <c r="A246" s="360" t="str">
        <f t="shared" si="6"/>
        <v>I.2.2.02.00124</v>
      </c>
      <c r="B246" s="319">
        <v>24</v>
      </c>
      <c r="C246" s="394" t="str">
        <f>IFERROR(VLOOKUP(A246,[3]DOORSCRIEFT!$A$2:$G$8551,2,FALSE),"")</f>
        <v/>
      </c>
      <c r="D246" s="393" t="str">
        <f>IFERROR(VLOOKUP(A246,[3]DOORSCRIEFT!$A$2:$G$8551,3,FALSE),"")</f>
        <v/>
      </c>
      <c r="E246" s="466" t="str">
        <f>IFERROR(VLOOKUP(A246,[3]DOORSCRIEFT!$A$2:$G$8551,4,FALSE),"")</f>
        <v/>
      </c>
      <c r="F246" s="405" t="str">
        <f>IFERROR(VLOOKUP(A246,[3]DOORSCRIEFT!$A$2:$G$8551,6,FALSE),"")</f>
        <v/>
      </c>
      <c r="G246" s="315"/>
    </row>
    <row r="247" spans="1:7" x14ac:dyDescent="0.25">
      <c r="A247" s="360" t="str">
        <f t="shared" si="6"/>
        <v>I.2.2.02.00125</v>
      </c>
      <c r="B247" s="339">
        <v>25</v>
      </c>
      <c r="C247" s="394" t="str">
        <f>IFERROR(VLOOKUP(A247,[3]DOORSCRIEFT!$A$2:$G$8551,2,FALSE),"")</f>
        <v/>
      </c>
      <c r="D247" s="393" t="str">
        <f>IFERROR(VLOOKUP(A247,[3]DOORSCRIEFT!$A$2:$G$8551,3,FALSE),"")</f>
        <v/>
      </c>
      <c r="E247" s="466" t="str">
        <f>IFERROR(VLOOKUP(A247,[3]DOORSCRIEFT!$A$2:$G$8551,4,FALSE),"")</f>
        <v/>
      </c>
      <c r="F247" s="405" t="str">
        <f>IFERROR(VLOOKUP(A247,[3]DOORSCRIEFT!$A$2:$G$8551,6,FALSE),"")</f>
        <v/>
      </c>
      <c r="G247" s="315"/>
    </row>
    <row r="248" spans="1:7" x14ac:dyDescent="0.25">
      <c r="A248" s="360" t="str">
        <f t="shared" si="6"/>
        <v>I.2.2.02.00126</v>
      </c>
      <c r="B248" s="319">
        <v>26</v>
      </c>
      <c r="C248" s="394" t="str">
        <f>IFERROR(VLOOKUP(A248,[3]DOORSCRIEFT!$A$2:$G$8551,2,FALSE),"")</f>
        <v/>
      </c>
      <c r="D248" s="393" t="str">
        <f>IFERROR(VLOOKUP(A248,[3]DOORSCRIEFT!$A$2:$G$8551,3,FALSE),"")</f>
        <v/>
      </c>
      <c r="E248" s="466" t="str">
        <f>IFERROR(VLOOKUP(A248,[3]DOORSCRIEFT!$A$2:$G$8551,4,FALSE),"")</f>
        <v/>
      </c>
      <c r="F248" s="405" t="str">
        <f>IFERROR(VLOOKUP(A248,[3]DOORSCRIEFT!$A$2:$G$8551,6,FALSE),"")</f>
        <v/>
      </c>
      <c r="G248" s="315"/>
    </row>
    <row r="249" spans="1:7" x14ac:dyDescent="0.25">
      <c r="A249" s="360" t="str">
        <f t="shared" si="6"/>
        <v>I.2.2.02.00127</v>
      </c>
      <c r="B249" s="339">
        <v>27</v>
      </c>
      <c r="C249" s="394" t="str">
        <f>IFERROR(VLOOKUP(A249,[3]DOORSCRIEFT!$A$2:$G$8551,2,FALSE),"")</f>
        <v/>
      </c>
      <c r="D249" s="393" t="str">
        <f>IFERROR(VLOOKUP(A249,[3]DOORSCRIEFT!$A$2:$G$8551,3,FALSE),"")</f>
        <v/>
      </c>
      <c r="E249" s="466" t="str">
        <f>IFERROR(VLOOKUP(A249,[3]DOORSCRIEFT!$A$2:$G$8551,4,FALSE),"")</f>
        <v/>
      </c>
      <c r="F249" s="405" t="str">
        <f>IFERROR(VLOOKUP(A249,[3]DOORSCRIEFT!$A$2:$G$8551,6,FALSE),"")</f>
        <v/>
      </c>
      <c r="G249" s="315"/>
    </row>
    <row r="250" spans="1:7" x14ac:dyDescent="0.25">
      <c r="A250" s="360" t="str">
        <f t="shared" si="6"/>
        <v>I.2.2.02.00128</v>
      </c>
      <c r="B250" s="319">
        <v>28</v>
      </c>
      <c r="C250" s="394" t="str">
        <f>IFERROR(VLOOKUP(A250,[3]DOORSCRIEFT!$A$2:$G$8551,2,FALSE),"")</f>
        <v/>
      </c>
      <c r="D250" s="393" t="str">
        <f>IFERROR(VLOOKUP(A250,[3]DOORSCRIEFT!$A$2:$G$8551,3,FALSE),"")</f>
        <v/>
      </c>
      <c r="E250" s="466" t="str">
        <f>IFERROR(VLOOKUP(A250,[3]DOORSCRIEFT!$A$2:$G$8551,4,FALSE),"")</f>
        <v/>
      </c>
      <c r="F250" s="405" t="str">
        <f>IFERROR(VLOOKUP(A250,[3]DOORSCRIEFT!$A$2:$G$8551,6,FALSE),"")</f>
        <v/>
      </c>
      <c r="G250" s="315"/>
    </row>
    <row r="251" spans="1:7" x14ac:dyDescent="0.25">
      <c r="A251" s="360" t="str">
        <f t="shared" si="6"/>
        <v>I.2.2.02.00129</v>
      </c>
      <c r="B251" s="339">
        <v>29</v>
      </c>
      <c r="C251" s="394" t="str">
        <f>IFERROR(VLOOKUP(A251,[3]DOORSCRIEFT!$A$2:$G$8551,2,FALSE),"")</f>
        <v/>
      </c>
      <c r="D251" s="393" t="str">
        <f>IFERROR(VLOOKUP(A251,[3]DOORSCRIEFT!$A$2:$G$8551,3,FALSE),"")</f>
        <v/>
      </c>
      <c r="E251" s="466" t="str">
        <f>IFERROR(VLOOKUP(A251,[3]DOORSCRIEFT!$A$2:$G$8551,4,FALSE),"")</f>
        <v/>
      </c>
      <c r="F251" s="405" t="str">
        <f>IFERROR(VLOOKUP(A251,[3]DOORSCRIEFT!$A$2:$G$8551,6,FALSE),"")</f>
        <v/>
      </c>
      <c r="G251" s="315"/>
    </row>
    <row r="252" spans="1:7" x14ac:dyDescent="0.25">
      <c r="A252" s="360" t="str">
        <f t="shared" si="6"/>
        <v>I.2.2.02.00130</v>
      </c>
      <c r="B252" s="319">
        <v>30</v>
      </c>
      <c r="C252" s="394" t="str">
        <f>IFERROR(VLOOKUP(A252,[3]DOORSCRIEFT!$A$2:$G$8551,2,FALSE),"")</f>
        <v/>
      </c>
      <c r="D252" s="393" t="str">
        <f>IFERROR(VLOOKUP(A252,[3]DOORSCRIEFT!$A$2:$G$8551,3,FALSE),"")</f>
        <v/>
      </c>
      <c r="E252" s="466" t="str">
        <f>IFERROR(VLOOKUP(A252,[3]DOORSCRIEFT!$A$2:$G$8551,4,FALSE),"")</f>
        <v/>
      </c>
      <c r="F252" s="405" t="str">
        <f>IFERROR(VLOOKUP(A252,[3]DOORSCRIEFT!$A$2:$G$8551,6,FALSE),"")</f>
        <v/>
      </c>
      <c r="G252" s="315"/>
    </row>
    <row r="253" spans="1:7" x14ac:dyDescent="0.25">
      <c r="A253" s="360" t="str">
        <f t="shared" si="6"/>
        <v>I.2.2.02.00131</v>
      </c>
      <c r="B253" s="339">
        <v>31</v>
      </c>
      <c r="C253" s="394" t="str">
        <f>IFERROR(VLOOKUP(A253,[3]DOORSCRIEFT!$A$2:$G$8551,2,FALSE),"")</f>
        <v/>
      </c>
      <c r="D253" s="393" t="str">
        <f>IFERROR(VLOOKUP(A253,[3]DOORSCRIEFT!$A$2:$G$8551,3,FALSE),"")</f>
        <v/>
      </c>
      <c r="E253" s="466" t="str">
        <f>IFERROR(VLOOKUP(A253,[3]DOORSCRIEFT!$A$2:$G$8551,4,FALSE),"")</f>
        <v/>
      </c>
      <c r="F253" s="405" t="str">
        <f>IFERROR(VLOOKUP(A253,[3]DOORSCRIEFT!$A$2:$G$8551,6,FALSE),"")</f>
        <v/>
      </c>
      <c r="G253" s="315"/>
    </row>
    <row r="254" spans="1:7" x14ac:dyDescent="0.25">
      <c r="A254" s="360" t="str">
        <f t="shared" si="6"/>
        <v>I.2.2.02.00132</v>
      </c>
      <c r="B254" s="319">
        <v>32</v>
      </c>
      <c r="C254" s="394" t="str">
        <f>IFERROR(VLOOKUP(A254,[3]DOORSCRIEFT!$A$2:$G$8551,2,FALSE),"")</f>
        <v/>
      </c>
      <c r="D254" s="393" t="str">
        <f>IFERROR(VLOOKUP(A254,[3]DOORSCRIEFT!$A$2:$G$8551,3,FALSE),"")</f>
        <v/>
      </c>
      <c r="E254" s="466" t="str">
        <f>IFERROR(VLOOKUP(A254,[3]DOORSCRIEFT!$A$2:$G$8551,4,FALSE),"")</f>
        <v/>
      </c>
      <c r="F254" s="405" t="str">
        <f>IFERROR(VLOOKUP(A254,[3]DOORSCRIEFT!$A$2:$G$8551,6,FALSE),"")</f>
        <v/>
      </c>
      <c r="G254" s="315"/>
    </row>
    <row r="255" spans="1:7" x14ac:dyDescent="0.25">
      <c r="A255" s="360" t="str">
        <f t="shared" si="6"/>
        <v>I.2.2.02.00133</v>
      </c>
      <c r="B255" s="339">
        <v>33</v>
      </c>
      <c r="C255" s="394" t="str">
        <f>IFERROR(VLOOKUP(A255,[3]DOORSCRIEFT!$A$2:$G$8551,2,FALSE),"")</f>
        <v/>
      </c>
      <c r="D255" s="393" t="str">
        <f>IFERROR(VLOOKUP(A255,[3]DOORSCRIEFT!$A$2:$G$8551,3,FALSE),"")</f>
        <v/>
      </c>
      <c r="E255" s="466" t="str">
        <f>IFERROR(VLOOKUP(A255,[3]DOORSCRIEFT!$A$2:$G$8551,4,FALSE),"")</f>
        <v/>
      </c>
      <c r="F255" s="405" t="str">
        <f>IFERROR(VLOOKUP(A255,[3]DOORSCRIEFT!$A$2:$G$8551,6,FALSE),"")</f>
        <v/>
      </c>
      <c r="G255" s="315"/>
    </row>
    <row r="256" spans="1:7" x14ac:dyDescent="0.25">
      <c r="A256" s="360" t="str">
        <f t="shared" si="6"/>
        <v>I.2.2.02.00134</v>
      </c>
      <c r="B256" s="319">
        <v>34</v>
      </c>
      <c r="C256" s="394" t="str">
        <f>IFERROR(VLOOKUP(A256,[3]DOORSCRIEFT!$A$2:$G$8551,2,FALSE),"")</f>
        <v/>
      </c>
      <c r="D256" s="393" t="str">
        <f>IFERROR(VLOOKUP(A256,[3]DOORSCRIEFT!$A$2:$G$8551,3,FALSE),"")</f>
        <v/>
      </c>
      <c r="E256" s="466" t="str">
        <f>IFERROR(VLOOKUP(A256,[3]DOORSCRIEFT!$A$2:$G$8551,4,FALSE),"")</f>
        <v/>
      </c>
      <c r="F256" s="405" t="str">
        <f>IFERROR(VLOOKUP(A256,[3]DOORSCRIEFT!$A$2:$G$8551,6,FALSE),"")</f>
        <v/>
      </c>
      <c r="G256" s="315"/>
    </row>
    <row r="257" spans="1:7" x14ac:dyDescent="0.25">
      <c r="A257" s="360" t="str">
        <f t="shared" si="6"/>
        <v>I.2.2.02.00135</v>
      </c>
      <c r="B257" s="339">
        <v>35</v>
      </c>
      <c r="C257" s="394" t="str">
        <f>IFERROR(VLOOKUP(A257,[3]DOORSCRIEFT!$A$2:$G$8551,2,FALSE),"")</f>
        <v/>
      </c>
      <c r="D257" s="393" t="str">
        <f>IFERROR(VLOOKUP(A257,[3]DOORSCRIEFT!$A$2:$G$8551,3,FALSE),"")</f>
        <v/>
      </c>
      <c r="E257" s="466" t="str">
        <f>IFERROR(VLOOKUP(A257,[3]DOORSCRIEFT!$A$2:$G$8551,4,FALSE),"")</f>
        <v/>
      </c>
      <c r="F257" s="405" t="str">
        <f>IFERROR(VLOOKUP(A257,[3]DOORSCRIEFT!$A$2:$G$8551,6,FALSE),"")</f>
        <v/>
      </c>
      <c r="G257" s="315"/>
    </row>
    <row r="258" spans="1:7" x14ac:dyDescent="0.25">
      <c r="A258" s="360" t="str">
        <f t="shared" si="6"/>
        <v>I.2.2.02.00136</v>
      </c>
      <c r="B258" s="319">
        <v>36</v>
      </c>
      <c r="C258" s="394" t="str">
        <f>IFERROR(VLOOKUP(A258,[3]DOORSCRIEFT!$A$2:$G$8551,2,FALSE),"")</f>
        <v/>
      </c>
      <c r="D258" s="393" t="str">
        <f>IFERROR(VLOOKUP(A258,[3]DOORSCRIEFT!$A$2:$G$8551,3,FALSE),"")</f>
        <v/>
      </c>
      <c r="E258" s="466" t="str">
        <f>IFERROR(VLOOKUP(A258,[3]DOORSCRIEFT!$A$2:$G$8551,4,FALSE),"")</f>
        <v/>
      </c>
      <c r="F258" s="405" t="str">
        <f>IFERROR(VLOOKUP(A258,[3]DOORSCRIEFT!$A$2:$G$8551,6,FALSE),"")</f>
        <v/>
      </c>
      <c r="G258" s="315"/>
    </row>
    <row r="259" spans="1:7" x14ac:dyDescent="0.25">
      <c r="A259" s="360" t="str">
        <f t="shared" si="6"/>
        <v>I.2.2.02.00137</v>
      </c>
      <c r="B259" s="339">
        <v>37</v>
      </c>
      <c r="C259" s="394" t="str">
        <f>IFERROR(VLOOKUP(A259,[3]DOORSCRIEFT!$A$2:$G$8551,2,FALSE),"")</f>
        <v/>
      </c>
      <c r="D259" s="393" t="str">
        <f>IFERROR(VLOOKUP(A259,[3]DOORSCRIEFT!$A$2:$G$8551,3,FALSE),"")</f>
        <v/>
      </c>
      <c r="E259" s="466" t="str">
        <f>IFERROR(VLOOKUP(A259,[3]DOORSCRIEFT!$A$2:$G$8551,4,FALSE),"")</f>
        <v/>
      </c>
      <c r="F259" s="405" t="str">
        <f>IFERROR(VLOOKUP(A259,[3]DOORSCRIEFT!$A$2:$G$8551,6,FALSE),"")</f>
        <v/>
      </c>
      <c r="G259" s="315"/>
    </row>
    <row r="260" spans="1:7" x14ac:dyDescent="0.25">
      <c r="A260" s="360" t="str">
        <f t="shared" si="6"/>
        <v>I.2.2.02.00138</v>
      </c>
      <c r="B260" s="319">
        <v>38</v>
      </c>
      <c r="C260" s="394" t="str">
        <f>IFERROR(VLOOKUP(A260,[3]DOORSCRIEFT!$A$2:$G$8551,2,FALSE),"")</f>
        <v/>
      </c>
      <c r="D260" s="393" t="str">
        <f>IFERROR(VLOOKUP(A260,[3]DOORSCRIEFT!$A$2:$G$8551,3,FALSE),"")</f>
        <v/>
      </c>
      <c r="E260" s="466" t="str">
        <f>IFERROR(VLOOKUP(A260,[3]DOORSCRIEFT!$A$2:$G$8551,4,FALSE),"")</f>
        <v/>
      </c>
      <c r="F260" s="405" t="str">
        <f>IFERROR(VLOOKUP(A260,[3]DOORSCRIEFT!$A$2:$G$8551,6,FALSE),"")</f>
        <v/>
      </c>
      <c r="G260" s="315"/>
    </row>
    <row r="261" spans="1:7" x14ac:dyDescent="0.25">
      <c r="A261" s="360" t="str">
        <f t="shared" si="6"/>
        <v>I.2.2.02.00139</v>
      </c>
      <c r="B261" s="339">
        <v>39</v>
      </c>
      <c r="C261" s="394" t="str">
        <f>IFERROR(VLOOKUP(A261,[3]DOORSCRIEFT!$A$2:$G$8551,2,FALSE),"")</f>
        <v/>
      </c>
      <c r="D261" s="393" t="str">
        <f>IFERROR(VLOOKUP(A261,[3]DOORSCRIEFT!$A$2:$G$8551,3,FALSE),"")</f>
        <v/>
      </c>
      <c r="E261" s="466" t="str">
        <f>IFERROR(VLOOKUP(A261,[3]DOORSCRIEFT!$A$2:$G$8551,4,FALSE),"")</f>
        <v/>
      </c>
      <c r="F261" s="405" t="str">
        <f>IFERROR(VLOOKUP(A261,[3]DOORSCRIEFT!$A$2:$G$8551,6,FALSE),"")</f>
        <v/>
      </c>
      <c r="G261" s="315"/>
    </row>
    <row r="262" spans="1:7" x14ac:dyDescent="0.25">
      <c r="A262" s="360" t="str">
        <f t="shared" si="6"/>
        <v>I.2.2.02.00140</v>
      </c>
      <c r="B262" s="319">
        <v>40</v>
      </c>
      <c r="C262" s="394" t="str">
        <f>IFERROR(VLOOKUP(A262,[3]DOORSCRIEFT!$A$2:$G$8551,2,FALSE),"")</f>
        <v/>
      </c>
      <c r="D262" s="393" t="str">
        <f>IFERROR(VLOOKUP(A262,[3]DOORSCRIEFT!$A$2:$G$8551,3,FALSE),"")</f>
        <v/>
      </c>
      <c r="E262" s="466" t="str">
        <f>IFERROR(VLOOKUP(A262,[3]DOORSCRIEFT!$A$2:$G$8551,4,FALSE),"")</f>
        <v/>
      </c>
      <c r="F262" s="405" t="str">
        <f>IFERROR(VLOOKUP(A262,[3]DOORSCRIEFT!$A$2:$G$8551,6,FALSE),"")</f>
        <v/>
      </c>
      <c r="G262" s="315"/>
    </row>
    <row r="263" spans="1:7" x14ac:dyDescent="0.25">
      <c r="A263" s="360" t="str">
        <f t="shared" si="6"/>
        <v>I.2.2.02.00141</v>
      </c>
      <c r="B263" s="339">
        <v>41</v>
      </c>
      <c r="C263" s="394" t="str">
        <f>IFERROR(VLOOKUP(A263,[3]DOORSCRIEFT!$A$2:$G$8551,2,FALSE),"")</f>
        <v/>
      </c>
      <c r="D263" s="393" t="str">
        <f>IFERROR(VLOOKUP(A263,[3]DOORSCRIEFT!$A$2:$G$8551,3,FALSE),"")</f>
        <v/>
      </c>
      <c r="E263" s="466" t="str">
        <f>IFERROR(VLOOKUP(A263,[3]DOORSCRIEFT!$A$2:$G$8551,4,FALSE),"")</f>
        <v/>
      </c>
      <c r="F263" s="405" t="str">
        <f>IFERROR(VLOOKUP(A263,[3]DOORSCRIEFT!$A$2:$G$8551,6,FALSE),"")</f>
        <v/>
      </c>
      <c r="G263" s="315"/>
    </row>
    <row r="264" spans="1:7" x14ac:dyDescent="0.25">
      <c r="A264" s="360" t="str">
        <f t="shared" si="6"/>
        <v>I.2.2.02.00142</v>
      </c>
      <c r="B264" s="319">
        <v>42</v>
      </c>
      <c r="C264" s="394" t="str">
        <f>IFERROR(VLOOKUP(A264,[3]DOORSCRIEFT!$A$2:$G$8551,2,FALSE),"")</f>
        <v/>
      </c>
      <c r="D264" s="393" t="str">
        <f>IFERROR(VLOOKUP(A264,[3]DOORSCRIEFT!$A$2:$G$8551,3,FALSE),"")</f>
        <v/>
      </c>
      <c r="E264" s="466" t="str">
        <f>IFERROR(VLOOKUP(A264,[3]DOORSCRIEFT!$A$2:$G$8551,4,FALSE),"")</f>
        <v/>
      </c>
      <c r="F264" s="405" t="str">
        <f>IFERROR(VLOOKUP(A264,[3]DOORSCRIEFT!$A$2:$G$8551,6,FALSE),"")</f>
        <v/>
      </c>
      <c r="G264" s="315"/>
    </row>
    <row r="265" spans="1:7" x14ac:dyDescent="0.25">
      <c r="A265" s="360" t="str">
        <f t="shared" si="6"/>
        <v>I.2.2.02.00143</v>
      </c>
      <c r="B265" s="339">
        <v>43</v>
      </c>
      <c r="C265" s="394" t="str">
        <f>IFERROR(VLOOKUP(A265,[3]DOORSCRIEFT!$A$2:$G$8551,2,FALSE),"")</f>
        <v/>
      </c>
      <c r="D265" s="393" t="str">
        <f>IFERROR(VLOOKUP(A265,[3]DOORSCRIEFT!$A$2:$G$8551,3,FALSE),"")</f>
        <v/>
      </c>
      <c r="E265" s="466" t="str">
        <f>IFERROR(VLOOKUP(A265,[3]DOORSCRIEFT!$A$2:$G$8551,4,FALSE),"")</f>
        <v/>
      </c>
      <c r="F265" s="405" t="str">
        <f>IFERROR(VLOOKUP(A265,[3]DOORSCRIEFT!$A$2:$G$8551,6,FALSE),"")</f>
        <v/>
      </c>
      <c r="G265" s="315"/>
    </row>
    <row r="266" spans="1:7" x14ac:dyDescent="0.25">
      <c r="A266" s="360" t="str">
        <f t="shared" si="6"/>
        <v>I.2.2.02.00144</v>
      </c>
      <c r="B266" s="319">
        <v>44</v>
      </c>
      <c r="C266" s="394" t="str">
        <f>IFERROR(VLOOKUP(A266,[3]DOORSCRIEFT!$A$2:$G$8551,2,FALSE),"")</f>
        <v/>
      </c>
      <c r="D266" s="393" t="str">
        <f>IFERROR(VLOOKUP(A266,[3]DOORSCRIEFT!$A$2:$G$8551,3,FALSE),"")</f>
        <v/>
      </c>
      <c r="E266" s="466" t="str">
        <f>IFERROR(VLOOKUP(A266,[3]DOORSCRIEFT!$A$2:$G$8551,4,FALSE),"")</f>
        <v/>
      </c>
      <c r="F266" s="405" t="str">
        <f>IFERROR(VLOOKUP(A266,[3]DOORSCRIEFT!$A$2:$G$8551,6,FALSE),"")</f>
        <v/>
      </c>
      <c r="G266" s="315"/>
    </row>
    <row r="267" spans="1:7" x14ac:dyDescent="0.25">
      <c r="A267" s="360" t="str">
        <f t="shared" si="6"/>
        <v>I.2.2.02.00145</v>
      </c>
      <c r="B267" s="339">
        <v>45</v>
      </c>
      <c r="C267" s="394" t="str">
        <f>IFERROR(VLOOKUP(A267,[3]DOORSCRIEFT!$A$2:$G$8551,2,FALSE),"")</f>
        <v/>
      </c>
      <c r="D267" s="393" t="str">
        <f>IFERROR(VLOOKUP(A267,[3]DOORSCRIEFT!$A$2:$G$8551,3,FALSE),"")</f>
        <v/>
      </c>
      <c r="E267" s="466" t="str">
        <f>IFERROR(VLOOKUP(A267,[3]DOORSCRIEFT!$A$2:$G$8551,4,FALSE),"")</f>
        <v/>
      </c>
      <c r="F267" s="405" t="str">
        <f>IFERROR(VLOOKUP(A267,[3]DOORSCRIEFT!$A$2:$G$8551,6,FALSE),"")</f>
        <v/>
      </c>
      <c r="G267" s="315"/>
    </row>
    <row r="268" spans="1:7" x14ac:dyDescent="0.25">
      <c r="A268" s="360" t="str">
        <f t="shared" si="6"/>
        <v>I.2.2.02.00146</v>
      </c>
      <c r="B268" s="319">
        <v>46</v>
      </c>
      <c r="C268" s="394" t="str">
        <f>IFERROR(VLOOKUP(A268,[3]DOORSCRIEFT!$A$2:$G$8551,2,FALSE),"")</f>
        <v/>
      </c>
      <c r="D268" s="393" t="str">
        <f>IFERROR(VLOOKUP(A268,[3]DOORSCRIEFT!$A$2:$G$8551,3,FALSE),"")</f>
        <v/>
      </c>
      <c r="E268" s="466" t="str">
        <f>IFERROR(VLOOKUP(A268,[3]DOORSCRIEFT!$A$2:$G$8551,4,FALSE),"")</f>
        <v/>
      </c>
      <c r="F268" s="405" t="str">
        <f>IFERROR(VLOOKUP(A268,[3]DOORSCRIEFT!$A$2:$G$8551,6,FALSE),"")</f>
        <v/>
      </c>
      <c r="G268" s="315"/>
    </row>
    <row r="269" spans="1:7" x14ac:dyDescent="0.25">
      <c r="A269" s="360" t="str">
        <f t="shared" si="6"/>
        <v>I.2.2.02.00147</v>
      </c>
      <c r="B269" s="339">
        <v>47</v>
      </c>
      <c r="C269" s="394" t="str">
        <f>IFERROR(VLOOKUP(A269,[3]DOORSCRIEFT!$A$2:$G$8551,2,FALSE),"")</f>
        <v/>
      </c>
      <c r="D269" s="393" t="str">
        <f>IFERROR(VLOOKUP(A269,[3]DOORSCRIEFT!$A$2:$G$8551,3,FALSE),"")</f>
        <v/>
      </c>
      <c r="E269" s="466" t="str">
        <f>IFERROR(VLOOKUP(A269,[3]DOORSCRIEFT!$A$2:$G$8551,4,FALSE),"")</f>
        <v/>
      </c>
      <c r="F269" s="405" t="str">
        <f>IFERROR(VLOOKUP(A269,[3]DOORSCRIEFT!$A$2:$G$8551,6,FALSE),"")</f>
        <v/>
      </c>
      <c r="G269" s="315"/>
    </row>
    <row r="270" spans="1:7" x14ac:dyDescent="0.25">
      <c r="A270" s="360" t="str">
        <f t="shared" si="6"/>
        <v>I.2.2.02.00148</v>
      </c>
      <c r="B270" s="319">
        <v>48</v>
      </c>
      <c r="C270" s="394" t="str">
        <f>IFERROR(VLOOKUP(A270,[3]DOORSCRIEFT!$A$2:$G$8551,2,FALSE),"")</f>
        <v/>
      </c>
      <c r="D270" s="393" t="str">
        <f>IFERROR(VLOOKUP(A270,[3]DOORSCRIEFT!$A$2:$G$8551,3,FALSE),"")</f>
        <v/>
      </c>
      <c r="E270" s="466" t="str">
        <f>IFERROR(VLOOKUP(A270,[3]DOORSCRIEFT!$A$2:$G$8551,4,FALSE),"")</f>
        <v/>
      </c>
      <c r="F270" s="405" t="str">
        <f>IFERROR(VLOOKUP(A270,[3]DOORSCRIEFT!$A$2:$G$8551,6,FALSE),"")</f>
        <v/>
      </c>
      <c r="G270" s="315"/>
    </row>
    <row r="271" spans="1:7" x14ac:dyDescent="0.25">
      <c r="A271" s="360" t="str">
        <f t="shared" si="6"/>
        <v>I.2.2.02.00149</v>
      </c>
      <c r="B271" s="339">
        <v>49</v>
      </c>
      <c r="C271" s="394" t="str">
        <f>IFERROR(VLOOKUP(A271,[3]DOORSCRIEFT!$A$2:$G$8551,2,FALSE),"")</f>
        <v/>
      </c>
      <c r="D271" s="393" t="str">
        <f>IFERROR(VLOOKUP(A271,[3]DOORSCRIEFT!$A$2:$G$8551,3,FALSE),"")</f>
        <v/>
      </c>
      <c r="E271" s="466" t="str">
        <f>IFERROR(VLOOKUP(A271,[3]DOORSCRIEFT!$A$2:$G$8551,4,FALSE),"")</f>
        <v/>
      </c>
      <c r="F271" s="405" t="str">
        <f>IFERROR(VLOOKUP(A271,[3]DOORSCRIEFT!$A$2:$G$8551,6,FALSE),"")</f>
        <v/>
      </c>
      <c r="G271" s="315"/>
    </row>
    <row r="272" spans="1:7" x14ac:dyDescent="0.25">
      <c r="A272" s="360" t="str">
        <f t="shared" si="6"/>
        <v>I.2.2.02.00150</v>
      </c>
      <c r="B272" s="319">
        <v>50</v>
      </c>
      <c r="C272" s="394" t="str">
        <f>IFERROR(VLOOKUP(A272,[3]DOORSCRIEFT!$A$2:$G$8551,2,FALSE),"")</f>
        <v/>
      </c>
      <c r="D272" s="393" t="str">
        <f>IFERROR(VLOOKUP(A272,[3]DOORSCRIEFT!$A$2:$G$8551,3,FALSE),"")</f>
        <v/>
      </c>
      <c r="E272" s="466" t="str">
        <f>IFERROR(VLOOKUP(A272,[3]DOORSCRIEFT!$A$2:$G$8551,4,FALSE),"")</f>
        <v/>
      </c>
      <c r="F272" s="405" t="str">
        <f>IFERROR(VLOOKUP(A272,[3]DOORSCRIEFT!$A$2:$G$8551,6,FALSE),"")</f>
        <v/>
      </c>
      <c r="G272" s="315"/>
    </row>
    <row r="273" spans="1:7" x14ac:dyDescent="0.25">
      <c r="A273" s="360" t="str">
        <f t="shared" si="6"/>
        <v>I.2.2.02.00151</v>
      </c>
      <c r="B273" s="339">
        <v>51</v>
      </c>
      <c r="C273" s="394" t="str">
        <f>IFERROR(VLOOKUP(A273,[3]DOORSCRIEFT!$A$2:$G$8551,2,FALSE),"")</f>
        <v/>
      </c>
      <c r="D273" s="393" t="str">
        <f>IFERROR(VLOOKUP(A273,[3]DOORSCRIEFT!$A$2:$G$8551,3,FALSE),"")</f>
        <v/>
      </c>
      <c r="E273" s="466" t="str">
        <f>IFERROR(VLOOKUP(A273,[3]DOORSCRIEFT!$A$2:$G$8551,4,FALSE),"")</f>
        <v/>
      </c>
      <c r="F273" s="405" t="str">
        <f>IFERROR(VLOOKUP(A273,[3]DOORSCRIEFT!$A$2:$G$8551,6,FALSE),"")</f>
        <v/>
      </c>
      <c r="G273" s="315"/>
    </row>
    <row r="274" spans="1:7" x14ac:dyDescent="0.25">
      <c r="A274" s="360" t="str">
        <f t="shared" si="6"/>
        <v>I.2.2.02.00152</v>
      </c>
      <c r="B274" s="319">
        <v>52</v>
      </c>
      <c r="C274" s="394" t="str">
        <f>IFERROR(VLOOKUP(A274,[3]DOORSCRIEFT!$A$2:$G$8551,2,FALSE),"")</f>
        <v/>
      </c>
      <c r="D274" s="393" t="str">
        <f>IFERROR(VLOOKUP(A274,[3]DOORSCRIEFT!$A$2:$G$8551,3,FALSE),"")</f>
        <v/>
      </c>
      <c r="E274" s="466" t="str">
        <f>IFERROR(VLOOKUP(A274,[3]DOORSCRIEFT!$A$2:$G$8551,4,FALSE),"")</f>
        <v/>
      </c>
      <c r="F274" s="405" t="str">
        <f>IFERROR(VLOOKUP(A274,[3]DOORSCRIEFT!$A$2:$G$8551,6,FALSE),"")</f>
        <v/>
      </c>
      <c r="G274" s="315"/>
    </row>
    <row r="275" spans="1:7" x14ac:dyDescent="0.25">
      <c r="A275" s="360" t="str">
        <f t="shared" si="6"/>
        <v>I.2.2.02.00153</v>
      </c>
      <c r="B275" s="339">
        <v>53</v>
      </c>
      <c r="C275" s="394" t="str">
        <f>IFERROR(VLOOKUP(A275,[3]DOORSCRIEFT!$A$2:$G$8551,2,FALSE),"")</f>
        <v/>
      </c>
      <c r="D275" s="393" t="str">
        <f>IFERROR(VLOOKUP(A275,[3]DOORSCRIEFT!$A$2:$G$8551,3,FALSE),"")</f>
        <v/>
      </c>
      <c r="E275" s="466" t="str">
        <f>IFERROR(VLOOKUP(A275,[3]DOORSCRIEFT!$A$2:$G$8551,4,FALSE),"")</f>
        <v/>
      </c>
      <c r="F275" s="405" t="str">
        <f>IFERROR(VLOOKUP(A275,[3]DOORSCRIEFT!$A$2:$G$8551,6,FALSE),"")</f>
        <v/>
      </c>
      <c r="G275" s="315"/>
    </row>
    <row r="276" spans="1:7" x14ac:dyDescent="0.25">
      <c r="A276" s="360" t="str">
        <f t="shared" si="6"/>
        <v>I.2.2.02.00154</v>
      </c>
      <c r="B276" s="319">
        <v>54</v>
      </c>
      <c r="C276" s="394" t="str">
        <f>IFERROR(VLOOKUP(A276,[3]DOORSCRIEFT!$A$2:$G$8551,2,FALSE),"")</f>
        <v/>
      </c>
      <c r="D276" s="393" t="str">
        <f>IFERROR(VLOOKUP(A276,[3]DOORSCRIEFT!$A$2:$G$8551,3,FALSE),"")</f>
        <v/>
      </c>
      <c r="E276" s="466" t="str">
        <f>IFERROR(VLOOKUP(A276,[3]DOORSCRIEFT!$A$2:$G$8551,4,FALSE),"")</f>
        <v/>
      </c>
      <c r="F276" s="405" t="str">
        <f>IFERROR(VLOOKUP(A276,[3]DOORSCRIEFT!$A$2:$G$8551,6,FALSE),"")</f>
        <v/>
      </c>
      <c r="G276" s="315"/>
    </row>
    <row r="277" spans="1:7" x14ac:dyDescent="0.25">
      <c r="A277" s="360" t="str">
        <f t="shared" si="6"/>
        <v>I.2.2.02.00155</v>
      </c>
      <c r="B277" s="339">
        <v>55</v>
      </c>
      <c r="C277" s="394" t="str">
        <f>IFERROR(VLOOKUP(A277,[3]DOORSCRIEFT!$A$2:$G$8551,2,FALSE),"")</f>
        <v/>
      </c>
      <c r="D277" s="393" t="str">
        <f>IFERROR(VLOOKUP(A277,[3]DOORSCRIEFT!$A$2:$G$8551,3,FALSE),"")</f>
        <v/>
      </c>
      <c r="E277" s="466" t="str">
        <f>IFERROR(VLOOKUP(A277,[3]DOORSCRIEFT!$A$2:$G$8551,4,FALSE),"")</f>
        <v/>
      </c>
      <c r="F277" s="405" t="str">
        <f>IFERROR(VLOOKUP(A277,[3]DOORSCRIEFT!$A$2:$G$8551,6,FALSE),"")</f>
        <v/>
      </c>
      <c r="G277" s="315"/>
    </row>
    <row r="278" spans="1:7" x14ac:dyDescent="0.25">
      <c r="A278" s="360" t="str">
        <f t="shared" si="6"/>
        <v>I.2.2.02.00156</v>
      </c>
      <c r="B278" s="319">
        <v>56</v>
      </c>
      <c r="C278" s="394" t="str">
        <f>IFERROR(VLOOKUP(A278,[3]DOORSCRIEFT!$A$2:$G$8551,2,FALSE),"")</f>
        <v/>
      </c>
      <c r="D278" s="393" t="str">
        <f>IFERROR(VLOOKUP(A278,[3]DOORSCRIEFT!$A$2:$G$8551,3,FALSE),"")</f>
        <v/>
      </c>
      <c r="E278" s="466" t="str">
        <f>IFERROR(VLOOKUP(A278,[3]DOORSCRIEFT!$A$2:$G$8551,4,FALSE),"")</f>
        <v/>
      </c>
      <c r="F278" s="405" t="str">
        <f>IFERROR(VLOOKUP(A278,[3]DOORSCRIEFT!$A$2:$G$8551,6,FALSE),"")</f>
        <v/>
      </c>
      <c r="G278" s="315"/>
    </row>
    <row r="279" spans="1:7" x14ac:dyDescent="0.25">
      <c r="A279" s="360" t="str">
        <f t="shared" si="6"/>
        <v>I.2.2.02.00157</v>
      </c>
      <c r="B279" s="339">
        <v>57</v>
      </c>
      <c r="C279" s="394" t="str">
        <f>IFERROR(VLOOKUP(A279,[3]DOORSCRIEFT!$A$2:$G$8551,2,FALSE),"")</f>
        <v/>
      </c>
      <c r="D279" s="393" t="str">
        <f>IFERROR(VLOOKUP(A279,[3]DOORSCRIEFT!$A$2:$G$8551,3,FALSE),"")</f>
        <v/>
      </c>
      <c r="E279" s="466" t="str">
        <f>IFERROR(VLOOKUP(A279,[3]DOORSCRIEFT!$A$2:$G$8551,4,FALSE),"")</f>
        <v/>
      </c>
      <c r="F279" s="405" t="str">
        <f>IFERROR(VLOOKUP(A279,[3]DOORSCRIEFT!$A$2:$G$8551,6,FALSE),"")</f>
        <v/>
      </c>
      <c r="G279" s="315"/>
    </row>
    <row r="280" spans="1:7" x14ac:dyDescent="0.25">
      <c r="A280" s="360" t="str">
        <f t="shared" si="6"/>
        <v>I.2.2.02.00158</v>
      </c>
      <c r="B280" s="319">
        <v>58</v>
      </c>
      <c r="C280" s="394" t="str">
        <f>IFERROR(VLOOKUP(A280,[3]DOORSCRIEFT!$A$2:$G$8551,2,FALSE),"")</f>
        <v/>
      </c>
      <c r="D280" s="393" t="str">
        <f>IFERROR(VLOOKUP(A280,[3]DOORSCRIEFT!$A$2:$G$8551,3,FALSE),"")</f>
        <v/>
      </c>
      <c r="E280" s="466" t="str">
        <f>IFERROR(VLOOKUP(A280,[3]DOORSCRIEFT!$A$2:$G$8551,4,FALSE),"")</f>
        <v/>
      </c>
      <c r="F280" s="405" t="str">
        <f>IFERROR(VLOOKUP(A280,[3]DOORSCRIEFT!$A$2:$G$8551,6,FALSE),"")</f>
        <v/>
      </c>
      <c r="G280" s="315"/>
    </row>
    <row r="281" spans="1:7" x14ac:dyDescent="0.25">
      <c r="A281" s="360" t="str">
        <f t="shared" si="6"/>
        <v>I.2.2.02.00159</v>
      </c>
      <c r="B281" s="339">
        <v>59</v>
      </c>
      <c r="C281" s="394" t="str">
        <f>IFERROR(VLOOKUP(A281,[3]DOORSCRIEFT!$A$2:$G$8551,2,FALSE),"")</f>
        <v/>
      </c>
      <c r="D281" s="393" t="str">
        <f>IFERROR(VLOOKUP(A281,[3]DOORSCRIEFT!$A$2:$G$8551,3,FALSE),"")</f>
        <v/>
      </c>
      <c r="E281" s="466" t="str">
        <f>IFERROR(VLOOKUP(A281,[3]DOORSCRIEFT!$A$2:$G$8551,4,FALSE),"")</f>
        <v/>
      </c>
      <c r="F281" s="405" t="str">
        <f>IFERROR(VLOOKUP(A281,[3]DOORSCRIEFT!$A$2:$G$8551,6,FALSE),"")</f>
        <v/>
      </c>
      <c r="G281" s="315"/>
    </row>
    <row r="282" spans="1:7" x14ac:dyDescent="0.25">
      <c r="A282" s="360" t="str">
        <f t="shared" si="6"/>
        <v>I.2.2.02.00160</v>
      </c>
      <c r="B282" s="319">
        <v>60</v>
      </c>
      <c r="C282" s="394" t="str">
        <f>IFERROR(VLOOKUP(A282,[3]DOORSCRIEFT!$A$2:$G$8551,2,FALSE),"")</f>
        <v/>
      </c>
      <c r="D282" s="393" t="str">
        <f>IFERROR(VLOOKUP(A282,[3]DOORSCRIEFT!$A$2:$G$8551,3,FALSE),"")</f>
        <v/>
      </c>
      <c r="E282" s="466" t="str">
        <f>IFERROR(VLOOKUP(A282,[3]DOORSCRIEFT!$A$2:$G$8551,4,FALSE),"")</f>
        <v/>
      </c>
      <c r="F282" s="405" t="str">
        <f>IFERROR(VLOOKUP(A282,[3]DOORSCRIEFT!$A$2:$G$8551,6,FALSE),"")</f>
        <v/>
      </c>
      <c r="G282" s="315"/>
    </row>
    <row r="283" spans="1:7" x14ac:dyDescent="0.25">
      <c r="A283" s="360" t="str">
        <f t="shared" si="6"/>
        <v>I.2.2.02.00161</v>
      </c>
      <c r="B283" s="339">
        <v>61</v>
      </c>
      <c r="C283" s="394" t="str">
        <f>IFERROR(VLOOKUP(A283,[3]DOORSCRIEFT!$A$2:$G$8551,2,FALSE),"")</f>
        <v/>
      </c>
      <c r="D283" s="393" t="str">
        <f>IFERROR(VLOOKUP(A283,[3]DOORSCRIEFT!$A$2:$G$8551,3,FALSE),"")</f>
        <v/>
      </c>
      <c r="E283" s="466" t="str">
        <f>IFERROR(VLOOKUP(A283,[3]DOORSCRIEFT!$A$2:$G$8551,4,FALSE),"")</f>
        <v/>
      </c>
      <c r="F283" s="405" t="str">
        <f>IFERROR(VLOOKUP(A283,[3]DOORSCRIEFT!$A$2:$G$8551,6,FALSE),"")</f>
        <v/>
      </c>
      <c r="G283" s="315"/>
    </row>
    <row r="284" spans="1:7" x14ac:dyDescent="0.25">
      <c r="A284" s="360" t="str">
        <f t="shared" si="6"/>
        <v>I.2.2.02.00162</v>
      </c>
      <c r="B284" s="319">
        <v>62</v>
      </c>
      <c r="C284" s="394" t="str">
        <f>IFERROR(VLOOKUP(A284,[3]DOORSCRIEFT!$A$2:$G$8551,2,FALSE),"")</f>
        <v/>
      </c>
      <c r="D284" s="393" t="str">
        <f>IFERROR(VLOOKUP(A284,[3]DOORSCRIEFT!$A$2:$G$8551,3,FALSE),"")</f>
        <v/>
      </c>
      <c r="E284" s="466" t="str">
        <f>IFERROR(VLOOKUP(A284,[3]DOORSCRIEFT!$A$2:$G$8551,4,FALSE),"")</f>
        <v/>
      </c>
      <c r="F284" s="405" t="str">
        <f>IFERROR(VLOOKUP(A284,[3]DOORSCRIEFT!$A$2:$G$8551,6,FALSE),"")</f>
        <v/>
      </c>
      <c r="G284" s="315"/>
    </row>
    <row r="285" spans="1:7" x14ac:dyDescent="0.25">
      <c r="A285" s="360" t="str">
        <f t="shared" si="6"/>
        <v>I.2.2.02.00163</v>
      </c>
      <c r="B285" s="339">
        <v>63</v>
      </c>
      <c r="C285" s="394" t="str">
        <f>IFERROR(VLOOKUP(A285,[3]DOORSCRIEFT!$A$2:$G$8551,2,FALSE),"")</f>
        <v/>
      </c>
      <c r="D285" s="393" t="str">
        <f>IFERROR(VLOOKUP(A285,[3]DOORSCRIEFT!$A$2:$G$8551,3,FALSE),"")</f>
        <v/>
      </c>
      <c r="E285" s="466" t="str">
        <f>IFERROR(VLOOKUP(A285,[3]DOORSCRIEFT!$A$2:$G$8551,4,FALSE),"")</f>
        <v/>
      </c>
      <c r="F285" s="405" t="str">
        <f>IFERROR(VLOOKUP(A285,[3]DOORSCRIEFT!$A$2:$G$8551,6,FALSE),"")</f>
        <v/>
      </c>
      <c r="G285" s="315"/>
    </row>
    <row r="286" spans="1:7" x14ac:dyDescent="0.25">
      <c r="A286" s="360" t="str">
        <f t="shared" si="6"/>
        <v>I.2.2.02.00164</v>
      </c>
      <c r="B286" s="319">
        <v>64</v>
      </c>
      <c r="C286" s="394" t="str">
        <f>IFERROR(VLOOKUP(A286,[3]DOORSCRIEFT!$A$2:$G$8551,2,FALSE),"")</f>
        <v/>
      </c>
      <c r="D286" s="393" t="str">
        <f>IFERROR(VLOOKUP(A286,[3]DOORSCRIEFT!$A$2:$G$8551,3,FALSE),"")</f>
        <v/>
      </c>
      <c r="E286" s="466" t="str">
        <f>IFERROR(VLOOKUP(A286,[3]DOORSCRIEFT!$A$2:$G$8551,4,FALSE),"")</f>
        <v/>
      </c>
      <c r="F286" s="405" t="str">
        <f>IFERROR(VLOOKUP(A286,[3]DOORSCRIEFT!$A$2:$G$8551,6,FALSE),"")</f>
        <v/>
      </c>
      <c r="G286" s="315"/>
    </row>
    <row r="287" spans="1:7" x14ac:dyDescent="0.25">
      <c r="A287" s="360" t="str">
        <f t="shared" ref="A287:A350" si="7">$G$216&amp;B287</f>
        <v>I.2.2.02.00165</v>
      </c>
      <c r="B287" s="339">
        <v>65</v>
      </c>
      <c r="C287" s="394" t="str">
        <f>IFERROR(VLOOKUP(A287,[3]DOORSCRIEFT!$A$2:$G$8551,2,FALSE),"")</f>
        <v/>
      </c>
      <c r="D287" s="393" t="str">
        <f>IFERROR(VLOOKUP(A287,[3]DOORSCRIEFT!$A$2:$G$8551,3,FALSE),"")</f>
        <v/>
      </c>
      <c r="E287" s="466" t="str">
        <f>IFERROR(VLOOKUP(A287,[3]DOORSCRIEFT!$A$2:$G$8551,4,FALSE),"")</f>
        <v/>
      </c>
      <c r="F287" s="405" t="str">
        <f>IFERROR(VLOOKUP(A287,[3]DOORSCRIEFT!$A$2:$G$8551,6,FALSE),"")</f>
        <v/>
      </c>
      <c r="G287" s="315"/>
    </row>
    <row r="288" spans="1:7" x14ac:dyDescent="0.25">
      <c r="A288" s="360" t="str">
        <f t="shared" si="7"/>
        <v>I.2.2.02.00166</v>
      </c>
      <c r="B288" s="319">
        <v>66</v>
      </c>
      <c r="C288" s="394" t="str">
        <f>IFERROR(VLOOKUP(A288,[3]DOORSCRIEFT!$A$2:$G$8551,2,FALSE),"")</f>
        <v/>
      </c>
      <c r="D288" s="393" t="str">
        <f>IFERROR(VLOOKUP(A288,[3]DOORSCRIEFT!$A$2:$G$8551,3,FALSE),"")</f>
        <v/>
      </c>
      <c r="E288" s="466" t="str">
        <f>IFERROR(VLOOKUP(A288,[3]DOORSCRIEFT!$A$2:$G$8551,4,FALSE),"")</f>
        <v/>
      </c>
      <c r="F288" s="405" t="str">
        <f>IFERROR(VLOOKUP(A288,[3]DOORSCRIEFT!$A$2:$G$8551,6,FALSE),"")</f>
        <v/>
      </c>
      <c r="G288" s="315"/>
    </row>
    <row r="289" spans="1:7" x14ac:dyDescent="0.25">
      <c r="A289" s="360" t="str">
        <f t="shared" si="7"/>
        <v>I.2.2.02.00167</v>
      </c>
      <c r="B289" s="339">
        <v>67</v>
      </c>
      <c r="C289" s="394" t="str">
        <f>IFERROR(VLOOKUP(A289,[3]DOORSCRIEFT!$A$2:$G$8551,2,FALSE),"")</f>
        <v/>
      </c>
      <c r="D289" s="393" t="str">
        <f>IFERROR(VLOOKUP(A289,[3]DOORSCRIEFT!$A$2:$G$8551,3,FALSE),"")</f>
        <v/>
      </c>
      <c r="E289" s="466" t="str">
        <f>IFERROR(VLOOKUP(A289,[3]DOORSCRIEFT!$A$2:$G$8551,4,FALSE),"")</f>
        <v/>
      </c>
      <c r="F289" s="405" t="str">
        <f>IFERROR(VLOOKUP(A289,[3]DOORSCRIEFT!$A$2:$G$8551,6,FALSE),"")</f>
        <v/>
      </c>
      <c r="G289" s="315"/>
    </row>
    <row r="290" spans="1:7" x14ac:dyDescent="0.25">
      <c r="A290" s="360" t="str">
        <f t="shared" si="7"/>
        <v>I.2.2.02.00168</v>
      </c>
      <c r="B290" s="319">
        <v>68</v>
      </c>
      <c r="C290" s="394" t="str">
        <f>IFERROR(VLOOKUP(A290,[3]DOORSCRIEFT!$A$2:$G$8551,2,FALSE),"")</f>
        <v/>
      </c>
      <c r="D290" s="393" t="str">
        <f>IFERROR(VLOOKUP(A290,[3]DOORSCRIEFT!$A$2:$G$8551,3,FALSE),"")</f>
        <v/>
      </c>
      <c r="E290" s="466" t="str">
        <f>IFERROR(VLOOKUP(A290,[3]DOORSCRIEFT!$A$2:$G$8551,4,FALSE),"")</f>
        <v/>
      </c>
      <c r="F290" s="405" t="str">
        <f>IFERROR(VLOOKUP(A290,[3]DOORSCRIEFT!$A$2:$G$8551,6,FALSE),"")</f>
        <v/>
      </c>
      <c r="G290" s="315"/>
    </row>
    <row r="291" spans="1:7" x14ac:dyDescent="0.25">
      <c r="A291" s="360" t="str">
        <f t="shared" si="7"/>
        <v>I.2.2.02.00169</v>
      </c>
      <c r="B291" s="339">
        <v>69</v>
      </c>
      <c r="C291" s="394" t="str">
        <f>IFERROR(VLOOKUP(A291,[3]DOORSCRIEFT!$A$2:$G$8551,2,FALSE),"")</f>
        <v/>
      </c>
      <c r="D291" s="393" t="str">
        <f>IFERROR(VLOOKUP(A291,[3]DOORSCRIEFT!$A$2:$G$8551,3,FALSE),"")</f>
        <v/>
      </c>
      <c r="E291" s="466" t="str">
        <f>IFERROR(VLOOKUP(A291,[3]DOORSCRIEFT!$A$2:$G$8551,4,FALSE),"")</f>
        <v/>
      </c>
      <c r="F291" s="405" t="str">
        <f>IFERROR(VLOOKUP(A291,[3]DOORSCRIEFT!$A$2:$G$8551,6,FALSE),"")</f>
        <v/>
      </c>
      <c r="G291" s="315"/>
    </row>
    <row r="292" spans="1:7" x14ac:dyDescent="0.25">
      <c r="A292" s="360" t="str">
        <f t="shared" si="7"/>
        <v>I.2.2.02.00170</v>
      </c>
      <c r="B292" s="319">
        <v>70</v>
      </c>
      <c r="C292" s="394" t="str">
        <f>IFERROR(VLOOKUP(A292,[3]DOORSCRIEFT!$A$2:$G$8551,2,FALSE),"")</f>
        <v/>
      </c>
      <c r="D292" s="393" t="str">
        <f>IFERROR(VLOOKUP(A292,[3]DOORSCRIEFT!$A$2:$G$8551,3,FALSE),"")</f>
        <v/>
      </c>
      <c r="E292" s="466" t="str">
        <f>IFERROR(VLOOKUP(A292,[3]DOORSCRIEFT!$A$2:$G$8551,4,FALSE),"")</f>
        <v/>
      </c>
      <c r="F292" s="405" t="str">
        <f>IFERROR(VLOOKUP(A292,[3]DOORSCRIEFT!$A$2:$G$8551,6,FALSE),"")</f>
        <v/>
      </c>
      <c r="G292" s="315"/>
    </row>
    <row r="293" spans="1:7" x14ac:dyDescent="0.25">
      <c r="A293" s="360" t="str">
        <f t="shared" si="7"/>
        <v>I.2.2.02.00171</v>
      </c>
      <c r="B293" s="339">
        <v>71</v>
      </c>
      <c r="C293" s="394" t="str">
        <f>IFERROR(VLOOKUP(A293,[3]DOORSCRIEFT!$A$2:$G$8551,2,FALSE),"")</f>
        <v/>
      </c>
      <c r="D293" s="393" t="str">
        <f>IFERROR(VLOOKUP(A293,[3]DOORSCRIEFT!$A$2:$G$8551,3,FALSE),"")</f>
        <v/>
      </c>
      <c r="E293" s="466" t="str">
        <f>IFERROR(VLOOKUP(A293,[3]DOORSCRIEFT!$A$2:$G$8551,4,FALSE),"")</f>
        <v/>
      </c>
      <c r="F293" s="405" t="str">
        <f>IFERROR(VLOOKUP(A293,[3]DOORSCRIEFT!$A$2:$G$8551,6,FALSE),"")</f>
        <v/>
      </c>
      <c r="G293" s="315"/>
    </row>
    <row r="294" spans="1:7" x14ac:dyDescent="0.25">
      <c r="A294" s="360" t="str">
        <f t="shared" si="7"/>
        <v>I.2.2.02.00172</v>
      </c>
      <c r="B294" s="319">
        <v>72</v>
      </c>
      <c r="C294" s="394" t="str">
        <f>IFERROR(VLOOKUP(A294,[3]DOORSCRIEFT!$A$2:$G$8551,2,FALSE),"")</f>
        <v/>
      </c>
      <c r="D294" s="393" t="str">
        <f>IFERROR(VLOOKUP(A294,[3]DOORSCRIEFT!$A$2:$G$8551,3,FALSE),"")</f>
        <v/>
      </c>
      <c r="E294" s="466" t="str">
        <f>IFERROR(VLOOKUP(A294,[3]DOORSCRIEFT!$A$2:$G$8551,4,FALSE),"")</f>
        <v/>
      </c>
      <c r="F294" s="405" t="str">
        <f>IFERROR(VLOOKUP(A294,[3]DOORSCRIEFT!$A$2:$G$8551,6,FALSE),"")</f>
        <v/>
      </c>
      <c r="G294" s="315"/>
    </row>
    <row r="295" spans="1:7" x14ac:dyDescent="0.25">
      <c r="A295" s="360" t="str">
        <f t="shared" si="7"/>
        <v>I.2.2.02.00173</v>
      </c>
      <c r="B295" s="339">
        <v>73</v>
      </c>
      <c r="C295" s="394" t="str">
        <f>IFERROR(VLOOKUP(A295,[3]DOORSCRIEFT!$A$2:$G$8551,2,FALSE),"")</f>
        <v/>
      </c>
      <c r="D295" s="393" t="str">
        <f>IFERROR(VLOOKUP(A295,[3]DOORSCRIEFT!$A$2:$G$8551,3,FALSE),"")</f>
        <v/>
      </c>
      <c r="E295" s="466" t="str">
        <f>IFERROR(VLOOKUP(A295,[3]DOORSCRIEFT!$A$2:$G$8551,4,FALSE),"")</f>
        <v/>
      </c>
      <c r="F295" s="405" t="str">
        <f>IFERROR(VLOOKUP(A295,[3]DOORSCRIEFT!$A$2:$G$8551,6,FALSE),"")</f>
        <v/>
      </c>
      <c r="G295" s="315"/>
    </row>
    <row r="296" spans="1:7" x14ac:dyDescent="0.25">
      <c r="A296" s="360" t="str">
        <f t="shared" si="7"/>
        <v>I.2.2.02.00174</v>
      </c>
      <c r="B296" s="319">
        <v>74</v>
      </c>
      <c r="C296" s="394" t="str">
        <f>IFERROR(VLOOKUP(A296,[3]DOORSCRIEFT!$A$2:$G$8551,2,FALSE),"")</f>
        <v/>
      </c>
      <c r="D296" s="393" t="str">
        <f>IFERROR(VLOOKUP(A296,[3]DOORSCRIEFT!$A$2:$G$8551,3,FALSE),"")</f>
        <v/>
      </c>
      <c r="E296" s="466" t="str">
        <f>IFERROR(VLOOKUP(A296,[3]DOORSCRIEFT!$A$2:$G$8551,4,FALSE),"")</f>
        <v/>
      </c>
      <c r="F296" s="405" t="str">
        <f>IFERROR(VLOOKUP(A296,[3]DOORSCRIEFT!$A$2:$G$8551,6,FALSE),"")</f>
        <v/>
      </c>
      <c r="G296" s="315"/>
    </row>
    <row r="297" spans="1:7" x14ac:dyDescent="0.25">
      <c r="A297" s="360" t="str">
        <f t="shared" si="7"/>
        <v>I.2.2.02.00175</v>
      </c>
      <c r="B297" s="339">
        <v>75</v>
      </c>
      <c r="C297" s="394" t="str">
        <f>IFERROR(VLOOKUP(A297,[3]DOORSCRIEFT!$A$2:$G$8551,2,FALSE),"")</f>
        <v/>
      </c>
      <c r="D297" s="393" t="str">
        <f>IFERROR(VLOOKUP(A297,[3]DOORSCRIEFT!$A$2:$G$8551,3,FALSE),"")</f>
        <v/>
      </c>
      <c r="E297" s="466" t="str">
        <f>IFERROR(VLOOKUP(A297,[3]DOORSCRIEFT!$A$2:$G$8551,4,FALSE),"")</f>
        <v/>
      </c>
      <c r="F297" s="405" t="str">
        <f>IFERROR(VLOOKUP(A297,[3]DOORSCRIEFT!$A$2:$G$8551,6,FALSE),"")</f>
        <v/>
      </c>
      <c r="G297" s="315"/>
    </row>
    <row r="298" spans="1:7" x14ac:dyDescent="0.25">
      <c r="A298" s="360" t="str">
        <f t="shared" si="7"/>
        <v>I.2.2.02.00176</v>
      </c>
      <c r="B298" s="319">
        <v>76</v>
      </c>
      <c r="C298" s="394" t="str">
        <f>IFERROR(VLOOKUP(A298,[3]DOORSCRIEFT!$A$2:$G$8551,2,FALSE),"")</f>
        <v/>
      </c>
      <c r="D298" s="393" t="str">
        <f>IFERROR(VLOOKUP(A298,[3]DOORSCRIEFT!$A$2:$G$8551,3,FALSE),"")</f>
        <v/>
      </c>
      <c r="E298" s="466" t="str">
        <f>IFERROR(VLOOKUP(A298,[3]DOORSCRIEFT!$A$2:$G$8551,4,FALSE),"")</f>
        <v/>
      </c>
      <c r="F298" s="405" t="str">
        <f>IFERROR(VLOOKUP(A298,[3]DOORSCRIEFT!$A$2:$G$8551,6,FALSE),"")</f>
        <v/>
      </c>
      <c r="G298" s="315"/>
    </row>
    <row r="299" spans="1:7" x14ac:dyDescent="0.25">
      <c r="A299" s="360" t="str">
        <f t="shared" si="7"/>
        <v>I.2.2.02.00177</v>
      </c>
      <c r="B299" s="339">
        <v>77</v>
      </c>
      <c r="C299" s="394" t="str">
        <f>IFERROR(VLOOKUP(A299,[3]DOORSCRIEFT!$A$2:$G$8551,2,FALSE),"")</f>
        <v/>
      </c>
      <c r="D299" s="393" t="str">
        <f>IFERROR(VLOOKUP(A299,[3]DOORSCRIEFT!$A$2:$G$8551,3,FALSE),"")</f>
        <v/>
      </c>
      <c r="E299" s="466" t="str">
        <f>IFERROR(VLOOKUP(A299,[3]DOORSCRIEFT!$A$2:$G$8551,4,FALSE),"")</f>
        <v/>
      </c>
      <c r="F299" s="405" t="str">
        <f>IFERROR(VLOOKUP(A299,[3]DOORSCRIEFT!$A$2:$G$8551,6,FALSE),"")</f>
        <v/>
      </c>
      <c r="G299" s="315"/>
    </row>
    <row r="300" spans="1:7" x14ac:dyDescent="0.25">
      <c r="A300" s="360" t="str">
        <f t="shared" si="7"/>
        <v>I.2.2.02.00178</v>
      </c>
      <c r="B300" s="319">
        <v>78</v>
      </c>
      <c r="C300" s="394" t="str">
        <f>IFERROR(VLOOKUP(A300,[3]DOORSCRIEFT!$A$2:$G$8551,2,FALSE),"")</f>
        <v/>
      </c>
      <c r="D300" s="393" t="str">
        <f>IFERROR(VLOOKUP(A300,[3]DOORSCRIEFT!$A$2:$G$8551,3,FALSE),"")</f>
        <v/>
      </c>
      <c r="E300" s="466" t="str">
        <f>IFERROR(VLOOKUP(A300,[3]DOORSCRIEFT!$A$2:$G$8551,4,FALSE),"")</f>
        <v/>
      </c>
      <c r="F300" s="405" t="str">
        <f>IFERROR(VLOOKUP(A300,[3]DOORSCRIEFT!$A$2:$G$8551,6,FALSE),"")</f>
        <v/>
      </c>
      <c r="G300" s="315"/>
    </row>
    <row r="301" spans="1:7" x14ac:dyDescent="0.25">
      <c r="A301" s="360" t="str">
        <f t="shared" si="7"/>
        <v>I.2.2.02.00179</v>
      </c>
      <c r="B301" s="339">
        <v>79</v>
      </c>
      <c r="C301" s="394" t="str">
        <f>IFERROR(VLOOKUP(A301,[3]DOORSCRIEFT!$A$2:$G$8551,2,FALSE),"")</f>
        <v/>
      </c>
      <c r="D301" s="393" t="str">
        <f>IFERROR(VLOOKUP(A301,[3]DOORSCRIEFT!$A$2:$G$8551,3,FALSE),"")</f>
        <v/>
      </c>
      <c r="E301" s="466" t="str">
        <f>IFERROR(VLOOKUP(A301,[3]DOORSCRIEFT!$A$2:$G$8551,4,FALSE),"")</f>
        <v/>
      </c>
      <c r="F301" s="405" t="str">
        <f>IFERROR(VLOOKUP(A301,[3]DOORSCRIEFT!$A$2:$G$8551,6,FALSE),"")</f>
        <v/>
      </c>
      <c r="G301" s="315"/>
    </row>
    <row r="302" spans="1:7" x14ac:dyDescent="0.25">
      <c r="A302" s="360" t="str">
        <f t="shared" si="7"/>
        <v>I.2.2.02.00180</v>
      </c>
      <c r="B302" s="319">
        <v>80</v>
      </c>
      <c r="C302" s="394" t="str">
        <f>IFERROR(VLOOKUP(A302,[3]DOORSCRIEFT!$A$2:$G$8551,2,FALSE),"")</f>
        <v/>
      </c>
      <c r="D302" s="393" t="str">
        <f>IFERROR(VLOOKUP(A302,[3]DOORSCRIEFT!$A$2:$G$8551,3,FALSE),"")</f>
        <v/>
      </c>
      <c r="E302" s="466" t="str">
        <f>IFERROR(VLOOKUP(A302,[3]DOORSCRIEFT!$A$2:$G$8551,4,FALSE),"")</f>
        <v/>
      </c>
      <c r="F302" s="405" t="str">
        <f>IFERROR(VLOOKUP(A302,[3]DOORSCRIEFT!$A$2:$G$8551,6,FALSE),"")</f>
        <v/>
      </c>
      <c r="G302" s="315"/>
    </row>
    <row r="303" spans="1:7" x14ac:dyDescent="0.25">
      <c r="A303" s="360" t="str">
        <f t="shared" si="7"/>
        <v>I.2.2.02.00181</v>
      </c>
      <c r="B303" s="339">
        <v>81</v>
      </c>
      <c r="C303" s="394" t="str">
        <f>IFERROR(VLOOKUP(A303,[3]DOORSCRIEFT!$A$2:$G$8551,2,FALSE),"")</f>
        <v/>
      </c>
      <c r="D303" s="393" t="str">
        <f>IFERROR(VLOOKUP(A303,[3]DOORSCRIEFT!$A$2:$G$8551,3,FALSE),"")</f>
        <v/>
      </c>
      <c r="E303" s="466" t="str">
        <f>IFERROR(VLOOKUP(A303,[3]DOORSCRIEFT!$A$2:$G$8551,4,FALSE),"")</f>
        <v/>
      </c>
      <c r="F303" s="405" t="str">
        <f>IFERROR(VLOOKUP(A303,[3]DOORSCRIEFT!$A$2:$G$8551,6,FALSE),"")</f>
        <v/>
      </c>
      <c r="G303" s="315"/>
    </row>
    <row r="304" spans="1:7" x14ac:dyDescent="0.25">
      <c r="A304" s="360" t="str">
        <f t="shared" si="7"/>
        <v>I.2.2.02.00182</v>
      </c>
      <c r="B304" s="319">
        <v>82</v>
      </c>
      <c r="C304" s="394" t="str">
        <f>IFERROR(VLOOKUP(A304,[3]DOORSCRIEFT!$A$2:$G$8551,2,FALSE),"")</f>
        <v/>
      </c>
      <c r="D304" s="393" t="str">
        <f>IFERROR(VLOOKUP(A304,[3]DOORSCRIEFT!$A$2:$G$8551,3,FALSE),"")</f>
        <v/>
      </c>
      <c r="E304" s="466" t="str">
        <f>IFERROR(VLOOKUP(A304,[3]DOORSCRIEFT!$A$2:$G$8551,4,FALSE),"")</f>
        <v/>
      </c>
      <c r="F304" s="405" t="str">
        <f>IFERROR(VLOOKUP(A304,[3]DOORSCRIEFT!$A$2:$G$8551,6,FALSE),"")</f>
        <v/>
      </c>
      <c r="G304" s="315"/>
    </row>
    <row r="305" spans="1:7" x14ac:dyDescent="0.25">
      <c r="A305" s="360" t="str">
        <f t="shared" si="7"/>
        <v>I.2.2.02.00183</v>
      </c>
      <c r="B305" s="339">
        <v>83</v>
      </c>
      <c r="C305" s="394" t="str">
        <f>IFERROR(VLOOKUP(A305,[3]DOORSCRIEFT!$A$2:$G$8551,2,FALSE),"")</f>
        <v/>
      </c>
      <c r="D305" s="393" t="str">
        <f>IFERROR(VLOOKUP(A305,[3]DOORSCRIEFT!$A$2:$G$8551,3,FALSE),"")</f>
        <v/>
      </c>
      <c r="E305" s="466" t="str">
        <f>IFERROR(VLOOKUP(A305,[3]DOORSCRIEFT!$A$2:$G$8551,4,FALSE),"")</f>
        <v/>
      </c>
      <c r="F305" s="405" t="str">
        <f>IFERROR(VLOOKUP(A305,[3]DOORSCRIEFT!$A$2:$G$8551,6,FALSE),"")</f>
        <v/>
      </c>
      <c r="G305" s="315"/>
    </row>
    <row r="306" spans="1:7" x14ac:dyDescent="0.25">
      <c r="A306" s="360" t="str">
        <f t="shared" si="7"/>
        <v>I.2.2.02.00184</v>
      </c>
      <c r="B306" s="319">
        <v>84</v>
      </c>
      <c r="C306" s="394" t="str">
        <f>IFERROR(VLOOKUP(A306,[3]DOORSCRIEFT!$A$2:$G$8551,2,FALSE),"")</f>
        <v/>
      </c>
      <c r="D306" s="393" t="str">
        <f>IFERROR(VLOOKUP(A306,[3]DOORSCRIEFT!$A$2:$G$8551,3,FALSE),"")</f>
        <v/>
      </c>
      <c r="E306" s="466" t="str">
        <f>IFERROR(VLOOKUP(A306,[3]DOORSCRIEFT!$A$2:$G$8551,4,FALSE),"")</f>
        <v/>
      </c>
      <c r="F306" s="405" t="str">
        <f>IFERROR(VLOOKUP(A306,[3]DOORSCRIEFT!$A$2:$G$8551,6,FALSE),"")</f>
        <v/>
      </c>
      <c r="G306" s="315"/>
    </row>
    <row r="307" spans="1:7" x14ac:dyDescent="0.25">
      <c r="A307" s="360" t="str">
        <f t="shared" si="7"/>
        <v>I.2.2.02.00185</v>
      </c>
      <c r="B307" s="339">
        <v>85</v>
      </c>
      <c r="C307" s="394" t="str">
        <f>IFERROR(VLOOKUP(A307,[3]DOORSCRIEFT!$A$2:$G$8551,2,FALSE),"")</f>
        <v/>
      </c>
      <c r="D307" s="393" t="str">
        <f>IFERROR(VLOOKUP(A307,[3]DOORSCRIEFT!$A$2:$G$8551,3,FALSE),"")</f>
        <v/>
      </c>
      <c r="E307" s="466" t="str">
        <f>IFERROR(VLOOKUP(A307,[3]DOORSCRIEFT!$A$2:$G$8551,4,FALSE),"")</f>
        <v/>
      </c>
      <c r="F307" s="405" t="str">
        <f>IFERROR(VLOOKUP(A307,[3]DOORSCRIEFT!$A$2:$G$8551,6,FALSE),"")</f>
        <v/>
      </c>
      <c r="G307" s="315"/>
    </row>
    <row r="308" spans="1:7" x14ac:dyDescent="0.25">
      <c r="A308" s="360" t="str">
        <f t="shared" si="7"/>
        <v>I.2.2.02.00186</v>
      </c>
      <c r="B308" s="319">
        <v>86</v>
      </c>
      <c r="C308" s="394" t="str">
        <f>IFERROR(VLOOKUP(A308,[3]DOORSCRIEFT!$A$2:$G$8551,2,FALSE),"")</f>
        <v/>
      </c>
      <c r="D308" s="393" t="str">
        <f>IFERROR(VLOOKUP(A308,[3]DOORSCRIEFT!$A$2:$G$8551,3,FALSE),"")</f>
        <v/>
      </c>
      <c r="E308" s="466" t="str">
        <f>IFERROR(VLOOKUP(A308,[3]DOORSCRIEFT!$A$2:$G$8551,4,FALSE),"")</f>
        <v/>
      </c>
      <c r="F308" s="405" t="str">
        <f>IFERROR(VLOOKUP(A308,[3]DOORSCRIEFT!$A$2:$G$8551,6,FALSE),"")</f>
        <v/>
      </c>
      <c r="G308" s="315"/>
    </row>
    <row r="309" spans="1:7" x14ac:dyDescent="0.25">
      <c r="A309" s="360" t="str">
        <f t="shared" si="7"/>
        <v>I.2.2.02.00187</v>
      </c>
      <c r="B309" s="339">
        <v>87</v>
      </c>
      <c r="C309" s="394" t="str">
        <f>IFERROR(VLOOKUP(A309,[3]DOORSCRIEFT!$A$2:$G$8551,2,FALSE),"")</f>
        <v/>
      </c>
      <c r="D309" s="393" t="str">
        <f>IFERROR(VLOOKUP(A309,[3]DOORSCRIEFT!$A$2:$G$8551,3,FALSE),"")</f>
        <v/>
      </c>
      <c r="E309" s="466" t="str">
        <f>IFERROR(VLOOKUP(A309,[3]DOORSCRIEFT!$A$2:$G$8551,4,FALSE),"")</f>
        <v/>
      </c>
      <c r="F309" s="405" t="str">
        <f>IFERROR(VLOOKUP(A309,[3]DOORSCRIEFT!$A$2:$G$8551,6,FALSE),"")</f>
        <v/>
      </c>
      <c r="G309" s="315"/>
    </row>
    <row r="310" spans="1:7" x14ac:dyDescent="0.25">
      <c r="A310" s="360" t="str">
        <f t="shared" si="7"/>
        <v>I.2.2.02.00188</v>
      </c>
      <c r="B310" s="319">
        <v>88</v>
      </c>
      <c r="C310" s="394" t="str">
        <f>IFERROR(VLOOKUP(A310,[3]DOORSCRIEFT!$A$2:$G$8551,2,FALSE),"")</f>
        <v/>
      </c>
      <c r="D310" s="393" t="str">
        <f>IFERROR(VLOOKUP(A310,[3]DOORSCRIEFT!$A$2:$G$8551,3,FALSE),"")</f>
        <v/>
      </c>
      <c r="E310" s="466" t="str">
        <f>IFERROR(VLOOKUP(A310,[3]DOORSCRIEFT!$A$2:$G$8551,4,FALSE),"")</f>
        <v/>
      </c>
      <c r="F310" s="405" t="str">
        <f>IFERROR(VLOOKUP(A310,[3]DOORSCRIEFT!$A$2:$G$8551,6,FALSE),"")</f>
        <v/>
      </c>
      <c r="G310" s="315"/>
    </row>
    <row r="311" spans="1:7" x14ac:dyDescent="0.25">
      <c r="A311" s="360" t="str">
        <f t="shared" si="7"/>
        <v>I.2.2.02.00189</v>
      </c>
      <c r="B311" s="339">
        <v>89</v>
      </c>
      <c r="C311" s="394" t="str">
        <f>IFERROR(VLOOKUP(A311,[3]DOORSCRIEFT!$A$2:$G$8551,2,FALSE),"")</f>
        <v/>
      </c>
      <c r="D311" s="393" t="str">
        <f>IFERROR(VLOOKUP(A311,[3]DOORSCRIEFT!$A$2:$G$8551,3,FALSE),"")</f>
        <v/>
      </c>
      <c r="E311" s="466" t="str">
        <f>IFERROR(VLOOKUP(A311,[3]DOORSCRIEFT!$A$2:$G$8551,4,FALSE),"")</f>
        <v/>
      </c>
      <c r="F311" s="405" t="str">
        <f>IFERROR(VLOOKUP(A311,[3]DOORSCRIEFT!$A$2:$G$8551,6,FALSE),"")</f>
        <v/>
      </c>
      <c r="G311" s="315"/>
    </row>
    <row r="312" spans="1:7" x14ac:dyDescent="0.25">
      <c r="A312" s="360" t="str">
        <f t="shared" si="7"/>
        <v>I.2.2.02.00190</v>
      </c>
      <c r="B312" s="319">
        <v>90</v>
      </c>
      <c r="C312" s="394" t="str">
        <f>IFERROR(VLOOKUP(A312,[3]DOORSCRIEFT!$A$2:$G$8551,2,FALSE),"")</f>
        <v/>
      </c>
      <c r="D312" s="393" t="str">
        <f>IFERROR(VLOOKUP(A312,[3]DOORSCRIEFT!$A$2:$G$8551,3,FALSE),"")</f>
        <v/>
      </c>
      <c r="E312" s="466" t="str">
        <f>IFERROR(VLOOKUP(A312,[3]DOORSCRIEFT!$A$2:$G$8551,4,FALSE),"")</f>
        <v/>
      </c>
      <c r="F312" s="405" t="str">
        <f>IFERROR(VLOOKUP(A312,[3]DOORSCRIEFT!$A$2:$G$8551,6,FALSE),"")</f>
        <v/>
      </c>
      <c r="G312" s="315"/>
    </row>
    <row r="313" spans="1:7" x14ac:dyDescent="0.25">
      <c r="A313" s="360" t="str">
        <f t="shared" si="7"/>
        <v>I.2.2.02.00191</v>
      </c>
      <c r="B313" s="339">
        <v>91</v>
      </c>
      <c r="C313" s="394" t="str">
        <f>IFERROR(VLOOKUP(A313,[3]DOORSCRIEFT!$A$2:$G$8551,2,FALSE),"")</f>
        <v/>
      </c>
      <c r="D313" s="393" t="str">
        <f>IFERROR(VLOOKUP(A313,[3]DOORSCRIEFT!$A$2:$G$8551,3,FALSE),"")</f>
        <v/>
      </c>
      <c r="E313" s="466" t="str">
        <f>IFERROR(VLOOKUP(A313,[3]DOORSCRIEFT!$A$2:$G$8551,4,FALSE),"")</f>
        <v/>
      </c>
      <c r="F313" s="405" t="str">
        <f>IFERROR(VLOOKUP(A313,[3]DOORSCRIEFT!$A$2:$G$8551,6,FALSE),"")</f>
        <v/>
      </c>
      <c r="G313" s="315"/>
    </row>
    <row r="314" spans="1:7" x14ac:dyDescent="0.25">
      <c r="A314" s="360" t="str">
        <f t="shared" si="7"/>
        <v>I.2.2.02.00192</v>
      </c>
      <c r="B314" s="319">
        <v>92</v>
      </c>
      <c r="C314" s="394" t="str">
        <f>IFERROR(VLOOKUP(A314,[3]DOORSCRIEFT!$A$2:$G$8551,2,FALSE),"")</f>
        <v/>
      </c>
      <c r="D314" s="393" t="str">
        <f>IFERROR(VLOOKUP(A314,[3]DOORSCRIEFT!$A$2:$G$8551,3,FALSE),"")</f>
        <v/>
      </c>
      <c r="E314" s="466" t="str">
        <f>IFERROR(VLOOKUP(A314,[3]DOORSCRIEFT!$A$2:$G$8551,4,FALSE),"")</f>
        <v/>
      </c>
      <c r="F314" s="405" t="str">
        <f>IFERROR(VLOOKUP(A314,[3]DOORSCRIEFT!$A$2:$G$8551,6,FALSE),"")</f>
        <v/>
      </c>
      <c r="G314" s="315"/>
    </row>
    <row r="315" spans="1:7" x14ac:dyDescent="0.25">
      <c r="A315" s="360" t="str">
        <f t="shared" si="7"/>
        <v>I.2.2.02.00193</v>
      </c>
      <c r="B315" s="339">
        <v>93</v>
      </c>
      <c r="C315" s="394" t="str">
        <f>IFERROR(VLOOKUP(A315,[3]DOORSCRIEFT!$A$2:$G$8551,2,FALSE),"")</f>
        <v/>
      </c>
      <c r="D315" s="393" t="str">
        <f>IFERROR(VLOOKUP(A315,[3]DOORSCRIEFT!$A$2:$G$8551,3,FALSE),"")</f>
        <v/>
      </c>
      <c r="E315" s="466" t="str">
        <f>IFERROR(VLOOKUP(A315,[3]DOORSCRIEFT!$A$2:$G$8551,4,FALSE),"")</f>
        <v/>
      </c>
      <c r="F315" s="405" t="str">
        <f>IFERROR(VLOOKUP(A315,[3]DOORSCRIEFT!$A$2:$G$8551,6,FALSE),"")</f>
        <v/>
      </c>
      <c r="G315" s="315"/>
    </row>
    <row r="316" spans="1:7" x14ac:dyDescent="0.25">
      <c r="A316" s="360" t="str">
        <f t="shared" si="7"/>
        <v>I.2.2.02.00194</v>
      </c>
      <c r="B316" s="319">
        <v>94</v>
      </c>
      <c r="C316" s="394" t="str">
        <f>IFERROR(VLOOKUP(A316,[3]DOORSCRIEFT!$A$2:$G$8551,2,FALSE),"")</f>
        <v/>
      </c>
      <c r="D316" s="393" t="str">
        <f>IFERROR(VLOOKUP(A316,[3]DOORSCRIEFT!$A$2:$G$8551,3,FALSE),"")</f>
        <v/>
      </c>
      <c r="E316" s="466" t="str">
        <f>IFERROR(VLOOKUP(A316,[3]DOORSCRIEFT!$A$2:$G$8551,4,FALSE),"")</f>
        <v/>
      </c>
      <c r="F316" s="405" t="str">
        <f>IFERROR(VLOOKUP(A316,[3]DOORSCRIEFT!$A$2:$G$8551,6,FALSE),"")</f>
        <v/>
      </c>
      <c r="G316" s="315"/>
    </row>
    <row r="317" spans="1:7" x14ac:dyDescent="0.25">
      <c r="A317" s="360" t="str">
        <f t="shared" si="7"/>
        <v>I.2.2.02.00195</v>
      </c>
      <c r="B317" s="339">
        <v>95</v>
      </c>
      <c r="C317" s="394" t="str">
        <f>IFERROR(VLOOKUP(A317,[3]DOORSCRIEFT!$A$2:$G$8551,2,FALSE),"")</f>
        <v/>
      </c>
      <c r="D317" s="393" t="str">
        <f>IFERROR(VLOOKUP(A317,[3]DOORSCRIEFT!$A$2:$G$8551,3,FALSE),"")</f>
        <v/>
      </c>
      <c r="E317" s="466" t="str">
        <f>IFERROR(VLOOKUP(A317,[3]DOORSCRIEFT!$A$2:$G$8551,4,FALSE),"")</f>
        <v/>
      </c>
      <c r="F317" s="405" t="str">
        <f>IFERROR(VLOOKUP(A317,[3]DOORSCRIEFT!$A$2:$G$8551,6,FALSE),"")</f>
        <v/>
      </c>
      <c r="G317" s="315"/>
    </row>
    <row r="318" spans="1:7" x14ac:dyDescent="0.25">
      <c r="A318" s="360" t="str">
        <f t="shared" si="7"/>
        <v>I.2.2.02.00196</v>
      </c>
      <c r="B318" s="319">
        <v>96</v>
      </c>
      <c r="C318" s="394" t="str">
        <f>IFERROR(VLOOKUP(A318,[3]DOORSCRIEFT!$A$2:$G$8551,2,FALSE),"")</f>
        <v/>
      </c>
      <c r="D318" s="393" t="str">
        <f>IFERROR(VLOOKUP(A318,[3]DOORSCRIEFT!$A$2:$G$8551,3,FALSE),"")</f>
        <v/>
      </c>
      <c r="E318" s="466" t="str">
        <f>IFERROR(VLOOKUP(A318,[3]DOORSCRIEFT!$A$2:$G$8551,4,FALSE),"")</f>
        <v/>
      </c>
      <c r="F318" s="405" t="str">
        <f>IFERROR(VLOOKUP(A318,[3]DOORSCRIEFT!$A$2:$G$8551,6,FALSE),"")</f>
        <v/>
      </c>
      <c r="G318" s="315"/>
    </row>
    <row r="319" spans="1:7" x14ac:dyDescent="0.25">
      <c r="A319" s="360" t="str">
        <f t="shared" si="7"/>
        <v>I.2.2.02.00197</v>
      </c>
      <c r="B319" s="339">
        <v>97</v>
      </c>
      <c r="C319" s="394" t="str">
        <f>IFERROR(VLOOKUP(A319,[3]DOORSCRIEFT!$A$2:$G$8551,2,FALSE),"")</f>
        <v/>
      </c>
      <c r="D319" s="393" t="str">
        <f>IFERROR(VLOOKUP(A319,[3]DOORSCRIEFT!$A$2:$G$8551,3,FALSE),"")</f>
        <v/>
      </c>
      <c r="E319" s="466" t="str">
        <f>IFERROR(VLOOKUP(A319,[3]DOORSCRIEFT!$A$2:$G$8551,4,FALSE),"")</f>
        <v/>
      </c>
      <c r="F319" s="405" t="str">
        <f>IFERROR(VLOOKUP(A319,[3]DOORSCRIEFT!$A$2:$G$8551,6,FALSE),"")</f>
        <v/>
      </c>
      <c r="G319" s="315"/>
    </row>
    <row r="320" spans="1:7" x14ac:dyDescent="0.25">
      <c r="A320" s="360" t="str">
        <f t="shared" si="7"/>
        <v>I.2.2.02.00198</v>
      </c>
      <c r="B320" s="319">
        <v>98</v>
      </c>
      <c r="C320" s="394" t="str">
        <f>IFERROR(VLOOKUP(A320,[3]DOORSCRIEFT!$A$2:$G$8551,2,FALSE),"")</f>
        <v/>
      </c>
      <c r="D320" s="393" t="str">
        <f>IFERROR(VLOOKUP(A320,[3]DOORSCRIEFT!$A$2:$G$8551,3,FALSE),"")</f>
        <v/>
      </c>
      <c r="E320" s="466" t="str">
        <f>IFERROR(VLOOKUP(A320,[3]DOORSCRIEFT!$A$2:$G$8551,4,FALSE),"")</f>
        <v/>
      </c>
      <c r="F320" s="405" t="str">
        <f>IFERROR(VLOOKUP(A320,[3]DOORSCRIEFT!$A$2:$G$8551,6,FALSE),"")</f>
        <v/>
      </c>
      <c r="G320" s="315"/>
    </row>
    <row r="321" spans="1:7" x14ac:dyDescent="0.25">
      <c r="A321" s="360" t="str">
        <f t="shared" si="7"/>
        <v>I.2.2.02.00199</v>
      </c>
      <c r="B321" s="339">
        <v>99</v>
      </c>
      <c r="C321" s="394" t="str">
        <f>IFERROR(VLOOKUP(A321,[3]DOORSCRIEFT!$A$2:$G$8551,2,FALSE),"")</f>
        <v/>
      </c>
      <c r="D321" s="393" t="str">
        <f>IFERROR(VLOOKUP(A321,[3]DOORSCRIEFT!$A$2:$G$8551,3,FALSE),"")</f>
        <v/>
      </c>
      <c r="E321" s="466" t="str">
        <f>IFERROR(VLOOKUP(A321,[3]DOORSCRIEFT!$A$2:$G$8551,4,FALSE),"")</f>
        <v/>
      </c>
      <c r="F321" s="405" t="str">
        <f>IFERROR(VLOOKUP(A321,[3]DOORSCRIEFT!$A$2:$G$8551,6,FALSE),"")</f>
        <v/>
      </c>
      <c r="G321" s="315"/>
    </row>
    <row r="322" spans="1:7" x14ac:dyDescent="0.25">
      <c r="A322" s="360" t="str">
        <f t="shared" si="7"/>
        <v>I.2.2.02.001100</v>
      </c>
      <c r="B322" s="319">
        <v>100</v>
      </c>
      <c r="C322" s="394" t="str">
        <f>IFERROR(VLOOKUP(A322,[3]DOORSCRIEFT!$A$2:$G$8551,2,FALSE),"")</f>
        <v/>
      </c>
      <c r="D322" s="393" t="str">
        <f>IFERROR(VLOOKUP(A322,[3]DOORSCRIEFT!$A$2:$G$8551,3,FALSE),"")</f>
        <v/>
      </c>
      <c r="E322" s="466" t="str">
        <f>IFERROR(VLOOKUP(A322,[3]DOORSCRIEFT!$A$2:$G$8551,4,FALSE),"")</f>
        <v/>
      </c>
      <c r="F322" s="405" t="str">
        <f>IFERROR(VLOOKUP(A322,[3]DOORSCRIEFT!$A$2:$G$8551,6,FALSE),"")</f>
        <v/>
      </c>
      <c r="G322" s="315"/>
    </row>
    <row r="323" spans="1:7" x14ac:dyDescent="0.25">
      <c r="A323" s="360" t="str">
        <f t="shared" si="7"/>
        <v>I.2.2.02.001101</v>
      </c>
      <c r="B323" s="339">
        <v>101</v>
      </c>
      <c r="C323" s="394" t="str">
        <f>IFERROR(VLOOKUP(A323,[3]DOORSCRIEFT!$A$2:$G$8551,2,FALSE),"")</f>
        <v/>
      </c>
      <c r="D323" s="393" t="str">
        <f>IFERROR(VLOOKUP(A323,[3]DOORSCRIEFT!$A$2:$G$8551,3,FALSE),"")</f>
        <v/>
      </c>
      <c r="E323" s="466" t="str">
        <f>IFERROR(VLOOKUP(A323,[3]DOORSCRIEFT!$A$2:$G$8551,4,FALSE),"")</f>
        <v/>
      </c>
      <c r="F323" s="405" t="str">
        <f>IFERROR(VLOOKUP(A323,[3]DOORSCRIEFT!$A$2:$G$8551,6,FALSE),"")</f>
        <v/>
      </c>
      <c r="G323" s="315"/>
    </row>
    <row r="324" spans="1:7" x14ac:dyDescent="0.25">
      <c r="A324" s="360" t="str">
        <f t="shared" si="7"/>
        <v>I.2.2.02.001102</v>
      </c>
      <c r="B324" s="319">
        <v>102</v>
      </c>
      <c r="C324" s="394" t="str">
        <f>IFERROR(VLOOKUP(A324,[3]DOORSCRIEFT!$A$2:$G$8551,2,FALSE),"")</f>
        <v/>
      </c>
      <c r="D324" s="393" t="str">
        <f>IFERROR(VLOOKUP(A324,[3]DOORSCRIEFT!$A$2:$G$8551,3,FALSE),"")</f>
        <v/>
      </c>
      <c r="E324" s="466" t="str">
        <f>IFERROR(VLOOKUP(A324,[3]DOORSCRIEFT!$A$2:$G$8551,4,FALSE),"")</f>
        <v/>
      </c>
      <c r="F324" s="405" t="str">
        <f>IFERROR(VLOOKUP(A324,[3]DOORSCRIEFT!$A$2:$G$8551,6,FALSE),"")</f>
        <v/>
      </c>
      <c r="G324" s="315"/>
    </row>
    <row r="325" spans="1:7" x14ac:dyDescent="0.25">
      <c r="A325" s="360" t="str">
        <f t="shared" si="7"/>
        <v>I.2.2.02.001103</v>
      </c>
      <c r="B325" s="339">
        <v>103</v>
      </c>
      <c r="C325" s="394" t="str">
        <f>IFERROR(VLOOKUP(A325,[3]DOORSCRIEFT!$A$2:$G$8551,2,FALSE),"")</f>
        <v/>
      </c>
      <c r="D325" s="393" t="str">
        <f>IFERROR(VLOOKUP(A325,[3]DOORSCRIEFT!$A$2:$G$8551,3,FALSE),"")</f>
        <v/>
      </c>
      <c r="E325" s="466" t="str">
        <f>IFERROR(VLOOKUP(A325,[3]DOORSCRIEFT!$A$2:$G$8551,4,FALSE),"")</f>
        <v/>
      </c>
      <c r="F325" s="405" t="str">
        <f>IFERROR(VLOOKUP(A325,[3]DOORSCRIEFT!$A$2:$G$8551,6,FALSE),"")</f>
        <v/>
      </c>
      <c r="G325" s="315"/>
    </row>
    <row r="326" spans="1:7" x14ac:dyDescent="0.25">
      <c r="A326" s="360" t="str">
        <f t="shared" si="7"/>
        <v>I.2.2.02.001104</v>
      </c>
      <c r="B326" s="319">
        <v>104</v>
      </c>
      <c r="C326" s="394" t="str">
        <f>IFERROR(VLOOKUP(A326,[3]DOORSCRIEFT!$A$2:$G$8551,2,FALSE),"")</f>
        <v/>
      </c>
      <c r="D326" s="393" t="str">
        <f>IFERROR(VLOOKUP(A326,[3]DOORSCRIEFT!$A$2:$G$8551,3,FALSE),"")</f>
        <v/>
      </c>
      <c r="E326" s="466" t="str">
        <f>IFERROR(VLOOKUP(A326,[3]DOORSCRIEFT!$A$2:$G$8551,4,FALSE),"")</f>
        <v/>
      </c>
      <c r="F326" s="405" t="str">
        <f>IFERROR(VLOOKUP(A326,[3]DOORSCRIEFT!$A$2:$G$8551,6,FALSE),"")</f>
        <v/>
      </c>
      <c r="G326" s="315"/>
    </row>
    <row r="327" spans="1:7" x14ac:dyDescent="0.25">
      <c r="A327" s="360" t="str">
        <f t="shared" si="7"/>
        <v>I.2.2.02.001105</v>
      </c>
      <c r="B327" s="339">
        <v>105</v>
      </c>
      <c r="C327" s="394" t="str">
        <f>IFERROR(VLOOKUP(A327,[3]DOORSCRIEFT!$A$2:$G$8551,2,FALSE),"")</f>
        <v/>
      </c>
      <c r="D327" s="393" t="str">
        <f>IFERROR(VLOOKUP(A327,[3]DOORSCRIEFT!$A$2:$G$8551,3,FALSE),"")</f>
        <v/>
      </c>
      <c r="E327" s="466" t="str">
        <f>IFERROR(VLOOKUP(A327,[3]DOORSCRIEFT!$A$2:$G$8551,4,FALSE),"")</f>
        <v/>
      </c>
      <c r="F327" s="405" t="str">
        <f>IFERROR(VLOOKUP(A327,[3]DOORSCRIEFT!$A$2:$G$8551,6,FALSE),"")</f>
        <v/>
      </c>
      <c r="G327" s="315"/>
    </row>
    <row r="328" spans="1:7" x14ac:dyDescent="0.25">
      <c r="A328" s="360" t="str">
        <f t="shared" si="7"/>
        <v>I.2.2.02.001106</v>
      </c>
      <c r="B328" s="319">
        <v>106</v>
      </c>
      <c r="C328" s="394" t="str">
        <f>IFERROR(VLOOKUP(A328,[3]DOORSCRIEFT!$A$2:$G$8551,2,FALSE),"")</f>
        <v/>
      </c>
      <c r="D328" s="393" t="str">
        <f>IFERROR(VLOOKUP(A328,[3]DOORSCRIEFT!$A$2:$G$8551,3,FALSE),"")</f>
        <v/>
      </c>
      <c r="E328" s="466" t="str">
        <f>IFERROR(VLOOKUP(A328,[3]DOORSCRIEFT!$A$2:$G$8551,4,FALSE),"")</f>
        <v/>
      </c>
      <c r="F328" s="405" t="str">
        <f>IFERROR(VLOOKUP(A328,[3]DOORSCRIEFT!$A$2:$G$8551,6,FALSE),"")</f>
        <v/>
      </c>
      <c r="G328" s="315"/>
    </row>
    <row r="329" spans="1:7" x14ac:dyDescent="0.25">
      <c r="A329" s="360" t="str">
        <f t="shared" si="7"/>
        <v>I.2.2.02.001107</v>
      </c>
      <c r="B329" s="339">
        <v>107</v>
      </c>
      <c r="C329" s="394" t="str">
        <f>IFERROR(VLOOKUP(A329,[3]DOORSCRIEFT!$A$2:$G$8551,2,FALSE),"")</f>
        <v/>
      </c>
      <c r="D329" s="393" t="str">
        <f>IFERROR(VLOOKUP(A329,[3]DOORSCRIEFT!$A$2:$G$8551,3,FALSE),"")</f>
        <v/>
      </c>
      <c r="E329" s="466" t="str">
        <f>IFERROR(VLOOKUP(A329,[3]DOORSCRIEFT!$A$2:$G$8551,4,FALSE),"")</f>
        <v/>
      </c>
      <c r="F329" s="405" t="str">
        <f>IFERROR(VLOOKUP(A329,[3]DOORSCRIEFT!$A$2:$G$8551,6,FALSE),"")</f>
        <v/>
      </c>
      <c r="G329" s="315"/>
    </row>
    <row r="330" spans="1:7" x14ac:dyDescent="0.25">
      <c r="A330" s="360" t="str">
        <f t="shared" si="7"/>
        <v>I.2.2.02.001108</v>
      </c>
      <c r="B330" s="319">
        <v>108</v>
      </c>
      <c r="C330" s="394" t="str">
        <f>IFERROR(VLOOKUP(A330,[3]DOORSCRIEFT!$A$2:$G$8551,2,FALSE),"")</f>
        <v/>
      </c>
      <c r="D330" s="393" t="str">
        <f>IFERROR(VLOOKUP(A330,[3]DOORSCRIEFT!$A$2:$G$8551,3,FALSE),"")</f>
        <v/>
      </c>
      <c r="E330" s="466" t="str">
        <f>IFERROR(VLOOKUP(A330,[3]DOORSCRIEFT!$A$2:$G$8551,4,FALSE),"")</f>
        <v/>
      </c>
      <c r="F330" s="405" t="str">
        <f>IFERROR(VLOOKUP(A330,[3]DOORSCRIEFT!$A$2:$G$8551,6,FALSE),"")</f>
        <v/>
      </c>
      <c r="G330" s="315"/>
    </row>
    <row r="331" spans="1:7" x14ac:dyDescent="0.25">
      <c r="A331" s="360" t="str">
        <f t="shared" si="7"/>
        <v>I.2.2.02.001109</v>
      </c>
      <c r="B331" s="339">
        <v>109</v>
      </c>
      <c r="C331" s="394" t="str">
        <f>IFERROR(VLOOKUP(A331,[3]DOORSCRIEFT!$A$2:$G$8551,2,FALSE),"")</f>
        <v/>
      </c>
      <c r="D331" s="393" t="str">
        <f>IFERROR(VLOOKUP(A331,[3]DOORSCRIEFT!$A$2:$G$8551,3,FALSE),"")</f>
        <v/>
      </c>
      <c r="E331" s="466" t="str">
        <f>IFERROR(VLOOKUP(A331,[3]DOORSCRIEFT!$A$2:$G$8551,4,FALSE),"")</f>
        <v/>
      </c>
      <c r="F331" s="405" t="str">
        <f>IFERROR(VLOOKUP(A331,[3]DOORSCRIEFT!$A$2:$G$8551,6,FALSE),"")</f>
        <v/>
      </c>
      <c r="G331" s="315"/>
    </row>
    <row r="332" spans="1:7" x14ac:dyDescent="0.25">
      <c r="A332" s="360" t="str">
        <f t="shared" si="7"/>
        <v>I.2.2.02.001110</v>
      </c>
      <c r="B332" s="319">
        <v>110</v>
      </c>
      <c r="C332" s="394" t="str">
        <f>IFERROR(VLOOKUP(A332,[3]DOORSCRIEFT!$A$2:$G$8551,2,FALSE),"")</f>
        <v/>
      </c>
      <c r="D332" s="393" t="str">
        <f>IFERROR(VLOOKUP(A332,[3]DOORSCRIEFT!$A$2:$G$8551,3,FALSE),"")</f>
        <v/>
      </c>
      <c r="E332" s="466" t="str">
        <f>IFERROR(VLOOKUP(A332,[3]DOORSCRIEFT!$A$2:$G$8551,4,FALSE),"")</f>
        <v/>
      </c>
      <c r="F332" s="405" t="str">
        <f>IFERROR(VLOOKUP(A332,[3]DOORSCRIEFT!$A$2:$G$8551,6,FALSE),"")</f>
        <v/>
      </c>
      <c r="G332" s="315"/>
    </row>
    <row r="333" spans="1:7" x14ac:dyDescent="0.25">
      <c r="A333" s="360" t="str">
        <f t="shared" si="7"/>
        <v>I.2.2.02.001111</v>
      </c>
      <c r="B333" s="339">
        <v>111</v>
      </c>
      <c r="C333" s="394" t="str">
        <f>IFERROR(VLOOKUP(A333,[3]DOORSCRIEFT!$A$2:$G$8551,2,FALSE),"")</f>
        <v/>
      </c>
      <c r="D333" s="393" t="str">
        <f>IFERROR(VLOOKUP(A333,[3]DOORSCRIEFT!$A$2:$G$8551,3,FALSE),"")</f>
        <v/>
      </c>
      <c r="E333" s="466" t="str">
        <f>IFERROR(VLOOKUP(A333,[3]DOORSCRIEFT!$A$2:$G$8551,4,FALSE),"")</f>
        <v/>
      </c>
      <c r="F333" s="405" t="str">
        <f>IFERROR(VLOOKUP(A333,[3]DOORSCRIEFT!$A$2:$G$8551,6,FALSE),"")</f>
        <v/>
      </c>
      <c r="G333" s="315"/>
    </row>
    <row r="334" spans="1:7" x14ac:dyDescent="0.25">
      <c r="A334" s="360" t="str">
        <f t="shared" si="7"/>
        <v>I.2.2.02.001112</v>
      </c>
      <c r="B334" s="319">
        <v>112</v>
      </c>
      <c r="C334" s="394" t="str">
        <f>IFERROR(VLOOKUP(A334,[3]DOORSCRIEFT!$A$2:$G$8551,2,FALSE),"")</f>
        <v/>
      </c>
      <c r="D334" s="393" t="str">
        <f>IFERROR(VLOOKUP(A334,[3]DOORSCRIEFT!$A$2:$G$8551,3,FALSE),"")</f>
        <v/>
      </c>
      <c r="E334" s="466" t="str">
        <f>IFERROR(VLOOKUP(A334,[3]DOORSCRIEFT!$A$2:$G$8551,4,FALSE),"")</f>
        <v/>
      </c>
      <c r="F334" s="405" t="str">
        <f>IFERROR(VLOOKUP(A334,[3]DOORSCRIEFT!$A$2:$G$8551,6,FALSE),"")</f>
        <v/>
      </c>
      <c r="G334" s="315"/>
    </row>
    <row r="335" spans="1:7" x14ac:dyDescent="0.25">
      <c r="A335" s="360" t="str">
        <f t="shared" si="7"/>
        <v>I.2.2.02.001113</v>
      </c>
      <c r="B335" s="339">
        <v>113</v>
      </c>
      <c r="C335" s="394" t="str">
        <f>IFERROR(VLOOKUP(A335,[3]DOORSCRIEFT!$A$2:$G$8551,2,FALSE),"")</f>
        <v/>
      </c>
      <c r="D335" s="393" t="str">
        <f>IFERROR(VLOOKUP(A335,[3]DOORSCRIEFT!$A$2:$G$8551,3,FALSE),"")</f>
        <v/>
      </c>
      <c r="E335" s="466" t="str">
        <f>IFERROR(VLOOKUP(A335,[3]DOORSCRIEFT!$A$2:$G$8551,4,FALSE),"")</f>
        <v/>
      </c>
      <c r="F335" s="405" t="str">
        <f>IFERROR(VLOOKUP(A335,[3]DOORSCRIEFT!$A$2:$G$8551,6,FALSE),"")</f>
        <v/>
      </c>
      <c r="G335" s="315"/>
    </row>
    <row r="336" spans="1:7" x14ac:dyDescent="0.25">
      <c r="A336" s="360" t="str">
        <f t="shared" si="7"/>
        <v>I.2.2.02.001114</v>
      </c>
      <c r="B336" s="319">
        <v>114</v>
      </c>
      <c r="C336" s="394" t="str">
        <f>IFERROR(VLOOKUP(A336,[3]DOORSCRIEFT!$A$2:$G$8551,2,FALSE),"")</f>
        <v/>
      </c>
      <c r="D336" s="393" t="str">
        <f>IFERROR(VLOOKUP(A336,[3]DOORSCRIEFT!$A$2:$G$8551,3,FALSE),"")</f>
        <v/>
      </c>
      <c r="E336" s="466" t="str">
        <f>IFERROR(VLOOKUP(A336,[3]DOORSCRIEFT!$A$2:$G$8551,4,FALSE),"")</f>
        <v/>
      </c>
      <c r="F336" s="405" t="str">
        <f>IFERROR(VLOOKUP(A336,[3]DOORSCRIEFT!$A$2:$G$8551,6,FALSE),"")</f>
        <v/>
      </c>
      <c r="G336" s="315"/>
    </row>
    <row r="337" spans="1:7" x14ac:dyDescent="0.25">
      <c r="A337" s="360" t="str">
        <f t="shared" si="7"/>
        <v>I.2.2.02.001115</v>
      </c>
      <c r="B337" s="339">
        <v>115</v>
      </c>
      <c r="C337" s="394" t="str">
        <f>IFERROR(VLOOKUP(A337,[3]DOORSCRIEFT!$A$2:$G$8551,2,FALSE),"")</f>
        <v/>
      </c>
      <c r="D337" s="393" t="str">
        <f>IFERROR(VLOOKUP(A337,[3]DOORSCRIEFT!$A$2:$G$8551,3,FALSE),"")</f>
        <v/>
      </c>
      <c r="E337" s="466" t="str">
        <f>IFERROR(VLOOKUP(A337,[3]DOORSCRIEFT!$A$2:$G$8551,4,FALSE),"")</f>
        <v/>
      </c>
      <c r="F337" s="405" t="str">
        <f>IFERROR(VLOOKUP(A337,[3]DOORSCRIEFT!$A$2:$G$8551,6,FALSE),"")</f>
        <v/>
      </c>
      <c r="G337" s="315"/>
    </row>
    <row r="338" spans="1:7" x14ac:dyDescent="0.25">
      <c r="A338" s="360" t="str">
        <f t="shared" si="7"/>
        <v>I.2.2.02.001116</v>
      </c>
      <c r="B338" s="319">
        <v>116</v>
      </c>
      <c r="C338" s="394" t="str">
        <f>IFERROR(VLOOKUP(A338,[3]DOORSCRIEFT!$A$2:$G$8551,2,FALSE),"")</f>
        <v/>
      </c>
      <c r="D338" s="393" t="str">
        <f>IFERROR(VLOOKUP(A338,[3]DOORSCRIEFT!$A$2:$G$8551,3,FALSE),"")</f>
        <v/>
      </c>
      <c r="E338" s="466" t="str">
        <f>IFERROR(VLOOKUP(A338,[3]DOORSCRIEFT!$A$2:$G$8551,4,FALSE),"")</f>
        <v/>
      </c>
      <c r="F338" s="405" t="str">
        <f>IFERROR(VLOOKUP(A338,[3]DOORSCRIEFT!$A$2:$G$8551,6,FALSE),"")</f>
        <v/>
      </c>
      <c r="G338" s="315"/>
    </row>
    <row r="339" spans="1:7" x14ac:dyDescent="0.25">
      <c r="A339" s="360" t="str">
        <f t="shared" si="7"/>
        <v>I.2.2.02.001117</v>
      </c>
      <c r="B339" s="339">
        <v>117</v>
      </c>
      <c r="C339" s="394" t="str">
        <f>IFERROR(VLOOKUP(A339,[3]DOORSCRIEFT!$A$2:$G$8551,2,FALSE),"")</f>
        <v/>
      </c>
      <c r="D339" s="393" t="str">
        <f>IFERROR(VLOOKUP(A339,[3]DOORSCRIEFT!$A$2:$G$8551,3,FALSE),"")</f>
        <v/>
      </c>
      <c r="E339" s="466" t="str">
        <f>IFERROR(VLOOKUP(A339,[3]DOORSCRIEFT!$A$2:$G$8551,4,FALSE),"")</f>
        <v/>
      </c>
      <c r="F339" s="405" t="str">
        <f>IFERROR(VLOOKUP(A339,[3]DOORSCRIEFT!$A$2:$G$8551,6,FALSE),"")</f>
        <v/>
      </c>
      <c r="G339" s="315"/>
    </row>
    <row r="340" spans="1:7" x14ac:dyDescent="0.25">
      <c r="A340" s="360" t="str">
        <f t="shared" si="7"/>
        <v>I.2.2.02.001118</v>
      </c>
      <c r="B340" s="319">
        <v>118</v>
      </c>
      <c r="C340" s="394" t="str">
        <f>IFERROR(VLOOKUP(A340,[3]DOORSCRIEFT!$A$2:$G$8551,2,FALSE),"")</f>
        <v/>
      </c>
      <c r="D340" s="393" t="str">
        <f>IFERROR(VLOOKUP(A340,[3]DOORSCRIEFT!$A$2:$G$8551,3,FALSE),"")</f>
        <v/>
      </c>
      <c r="E340" s="466" t="str">
        <f>IFERROR(VLOOKUP(A340,[3]DOORSCRIEFT!$A$2:$G$8551,4,FALSE),"")</f>
        <v/>
      </c>
      <c r="F340" s="405" t="str">
        <f>IFERROR(VLOOKUP(A340,[3]DOORSCRIEFT!$A$2:$G$8551,6,FALSE),"")</f>
        <v/>
      </c>
      <c r="G340" s="315"/>
    </row>
    <row r="341" spans="1:7" x14ac:dyDescent="0.25">
      <c r="A341" s="360" t="str">
        <f t="shared" si="7"/>
        <v>I.2.2.02.001119</v>
      </c>
      <c r="B341" s="339">
        <v>119</v>
      </c>
      <c r="C341" s="394" t="str">
        <f>IFERROR(VLOOKUP(A341,[3]DOORSCRIEFT!$A$2:$G$8551,2,FALSE),"")</f>
        <v/>
      </c>
      <c r="D341" s="393" t="str">
        <f>IFERROR(VLOOKUP(A341,[3]DOORSCRIEFT!$A$2:$G$8551,3,FALSE),"")</f>
        <v/>
      </c>
      <c r="E341" s="466" t="str">
        <f>IFERROR(VLOOKUP(A341,[3]DOORSCRIEFT!$A$2:$G$8551,4,FALSE),"")</f>
        <v/>
      </c>
      <c r="F341" s="405" t="str">
        <f>IFERROR(VLOOKUP(A341,[3]DOORSCRIEFT!$A$2:$G$8551,6,FALSE),"")</f>
        <v/>
      </c>
      <c r="G341" s="315"/>
    </row>
    <row r="342" spans="1:7" x14ac:dyDescent="0.25">
      <c r="A342" s="360" t="str">
        <f t="shared" si="7"/>
        <v>I.2.2.02.001120</v>
      </c>
      <c r="B342" s="319">
        <v>120</v>
      </c>
      <c r="C342" s="394" t="str">
        <f>IFERROR(VLOOKUP(A342,[3]DOORSCRIEFT!$A$2:$G$8551,2,FALSE),"")</f>
        <v/>
      </c>
      <c r="D342" s="393" t="str">
        <f>IFERROR(VLOOKUP(A342,[3]DOORSCRIEFT!$A$2:$G$8551,3,FALSE),"")</f>
        <v/>
      </c>
      <c r="E342" s="466" t="str">
        <f>IFERROR(VLOOKUP(A342,[3]DOORSCRIEFT!$A$2:$G$8551,4,FALSE),"")</f>
        <v/>
      </c>
      <c r="F342" s="405" t="str">
        <f>IFERROR(VLOOKUP(A342,[3]DOORSCRIEFT!$A$2:$G$8551,6,FALSE),"")</f>
        <v/>
      </c>
      <c r="G342" s="315"/>
    </row>
    <row r="343" spans="1:7" x14ac:dyDescent="0.25">
      <c r="A343" s="360" t="str">
        <f t="shared" si="7"/>
        <v>I.2.2.02.001121</v>
      </c>
      <c r="B343" s="339">
        <v>121</v>
      </c>
      <c r="C343" s="394" t="str">
        <f>IFERROR(VLOOKUP(A343,[3]DOORSCRIEFT!$A$2:$G$8551,2,FALSE),"")</f>
        <v/>
      </c>
      <c r="D343" s="393" t="str">
        <f>IFERROR(VLOOKUP(A343,[3]DOORSCRIEFT!$A$2:$G$8551,3,FALSE),"")</f>
        <v/>
      </c>
      <c r="E343" s="466" t="str">
        <f>IFERROR(VLOOKUP(A343,[3]DOORSCRIEFT!$A$2:$G$8551,4,FALSE),"")</f>
        <v/>
      </c>
      <c r="F343" s="405" t="str">
        <f>IFERROR(VLOOKUP(A343,[3]DOORSCRIEFT!$A$2:$G$8551,6,FALSE),"")</f>
        <v/>
      </c>
      <c r="G343" s="315"/>
    </row>
    <row r="344" spans="1:7" x14ac:dyDescent="0.25">
      <c r="A344" s="360" t="str">
        <f t="shared" si="7"/>
        <v>I.2.2.02.001122</v>
      </c>
      <c r="B344" s="319">
        <v>122</v>
      </c>
      <c r="C344" s="394" t="str">
        <f>IFERROR(VLOOKUP(A344,[3]DOORSCRIEFT!$A$2:$G$8551,2,FALSE),"")</f>
        <v/>
      </c>
      <c r="D344" s="393" t="str">
        <f>IFERROR(VLOOKUP(A344,[3]DOORSCRIEFT!$A$2:$G$8551,3,FALSE),"")</f>
        <v/>
      </c>
      <c r="E344" s="466" t="str">
        <f>IFERROR(VLOOKUP(A344,[3]DOORSCRIEFT!$A$2:$G$8551,4,FALSE),"")</f>
        <v/>
      </c>
      <c r="F344" s="405" t="str">
        <f>IFERROR(VLOOKUP(A344,[3]DOORSCRIEFT!$A$2:$G$8551,6,FALSE),"")</f>
        <v/>
      </c>
      <c r="G344" s="315"/>
    </row>
    <row r="345" spans="1:7" x14ac:dyDescent="0.25">
      <c r="A345" s="360" t="str">
        <f t="shared" si="7"/>
        <v>I.2.2.02.001123</v>
      </c>
      <c r="B345" s="339">
        <v>123</v>
      </c>
      <c r="C345" s="394" t="str">
        <f>IFERROR(VLOOKUP(A345,[3]DOORSCRIEFT!$A$2:$G$8551,2,FALSE),"")</f>
        <v/>
      </c>
      <c r="D345" s="393" t="str">
        <f>IFERROR(VLOOKUP(A345,[3]DOORSCRIEFT!$A$2:$G$8551,3,FALSE),"")</f>
        <v/>
      </c>
      <c r="E345" s="466" t="str">
        <f>IFERROR(VLOOKUP(A345,[3]DOORSCRIEFT!$A$2:$G$8551,4,FALSE),"")</f>
        <v/>
      </c>
      <c r="F345" s="405" t="str">
        <f>IFERROR(VLOOKUP(A345,[3]DOORSCRIEFT!$A$2:$G$8551,6,FALSE),"")</f>
        <v/>
      </c>
      <c r="G345" s="315"/>
    </row>
    <row r="346" spans="1:7" x14ac:dyDescent="0.25">
      <c r="A346" s="360" t="str">
        <f t="shared" si="7"/>
        <v>I.2.2.02.001124</v>
      </c>
      <c r="B346" s="319">
        <v>124</v>
      </c>
      <c r="C346" s="394" t="str">
        <f>IFERROR(VLOOKUP(A346,[3]DOORSCRIEFT!$A$2:$G$8551,2,FALSE),"")</f>
        <v/>
      </c>
      <c r="D346" s="393" t="str">
        <f>IFERROR(VLOOKUP(A346,[3]DOORSCRIEFT!$A$2:$G$8551,3,FALSE),"")</f>
        <v/>
      </c>
      <c r="E346" s="466" t="str">
        <f>IFERROR(VLOOKUP(A346,[3]DOORSCRIEFT!$A$2:$G$8551,4,FALSE),"")</f>
        <v/>
      </c>
      <c r="F346" s="405" t="str">
        <f>IFERROR(VLOOKUP(A346,[3]DOORSCRIEFT!$A$2:$G$8551,6,FALSE),"")</f>
        <v/>
      </c>
      <c r="G346" s="315"/>
    </row>
    <row r="347" spans="1:7" x14ac:dyDescent="0.25">
      <c r="A347" s="360" t="str">
        <f t="shared" si="7"/>
        <v>I.2.2.02.001125</v>
      </c>
      <c r="B347" s="339">
        <v>125</v>
      </c>
      <c r="C347" s="394" t="str">
        <f>IFERROR(VLOOKUP(A347,[3]DOORSCRIEFT!$A$2:$G$8551,2,FALSE),"")</f>
        <v/>
      </c>
      <c r="D347" s="393" t="str">
        <f>IFERROR(VLOOKUP(A347,[3]DOORSCRIEFT!$A$2:$G$8551,3,FALSE),"")</f>
        <v/>
      </c>
      <c r="E347" s="466" t="str">
        <f>IFERROR(VLOOKUP(A347,[3]DOORSCRIEFT!$A$2:$G$8551,4,FALSE),"")</f>
        <v/>
      </c>
      <c r="F347" s="405" t="str">
        <f>IFERROR(VLOOKUP(A347,[3]DOORSCRIEFT!$A$2:$G$8551,6,FALSE),"")</f>
        <v/>
      </c>
      <c r="G347" s="315"/>
    </row>
    <row r="348" spans="1:7" x14ac:dyDescent="0.25">
      <c r="A348" s="360" t="str">
        <f t="shared" si="7"/>
        <v>I.2.2.02.001126</v>
      </c>
      <c r="B348" s="319">
        <v>126</v>
      </c>
      <c r="C348" s="394" t="str">
        <f>IFERROR(VLOOKUP(A348,[3]DOORSCRIEFT!$A$2:$G$8551,2,FALSE),"")</f>
        <v/>
      </c>
      <c r="D348" s="393" t="str">
        <f>IFERROR(VLOOKUP(A348,[3]DOORSCRIEFT!$A$2:$G$8551,3,FALSE),"")</f>
        <v/>
      </c>
      <c r="E348" s="466" t="str">
        <f>IFERROR(VLOOKUP(A348,[3]DOORSCRIEFT!$A$2:$G$8551,4,FALSE),"")</f>
        <v/>
      </c>
      <c r="F348" s="405" t="str">
        <f>IFERROR(VLOOKUP(A348,[3]DOORSCRIEFT!$A$2:$G$8551,6,FALSE),"")</f>
        <v/>
      </c>
      <c r="G348" s="315"/>
    </row>
    <row r="349" spans="1:7" x14ac:dyDescent="0.25">
      <c r="A349" s="360" t="str">
        <f t="shared" si="7"/>
        <v>I.2.2.02.001127</v>
      </c>
      <c r="B349" s="339">
        <v>127</v>
      </c>
      <c r="C349" s="394" t="str">
        <f>IFERROR(VLOOKUP(A349,[3]DOORSCRIEFT!$A$2:$G$8551,2,FALSE),"")</f>
        <v/>
      </c>
      <c r="D349" s="393" t="str">
        <f>IFERROR(VLOOKUP(A349,[3]DOORSCRIEFT!$A$2:$G$8551,3,FALSE),"")</f>
        <v/>
      </c>
      <c r="E349" s="466" t="str">
        <f>IFERROR(VLOOKUP(A349,[3]DOORSCRIEFT!$A$2:$G$8551,4,FALSE),"")</f>
        <v/>
      </c>
      <c r="F349" s="405" t="str">
        <f>IFERROR(VLOOKUP(A349,[3]DOORSCRIEFT!$A$2:$G$8551,6,FALSE),"")</f>
        <v/>
      </c>
      <c r="G349" s="315"/>
    </row>
    <row r="350" spans="1:7" x14ac:dyDescent="0.25">
      <c r="A350" s="360" t="str">
        <f t="shared" si="7"/>
        <v>I.2.2.02.001128</v>
      </c>
      <c r="B350" s="319">
        <v>128</v>
      </c>
      <c r="C350" s="394" t="str">
        <f>IFERROR(VLOOKUP(A350,[3]DOORSCRIEFT!$A$2:$G$8551,2,FALSE),"")</f>
        <v/>
      </c>
      <c r="D350" s="393" t="str">
        <f>IFERROR(VLOOKUP(A350,[3]DOORSCRIEFT!$A$2:$G$8551,3,FALSE),"")</f>
        <v/>
      </c>
      <c r="E350" s="466" t="str">
        <f>IFERROR(VLOOKUP(A350,[3]DOORSCRIEFT!$A$2:$G$8551,4,FALSE),"")</f>
        <v/>
      </c>
      <c r="F350" s="405" t="str">
        <f>IFERROR(VLOOKUP(A350,[3]DOORSCRIEFT!$A$2:$G$8551,6,FALSE),"")</f>
        <v/>
      </c>
      <c r="G350" s="315"/>
    </row>
    <row r="351" spans="1:7" x14ac:dyDescent="0.25">
      <c r="A351" s="360" t="str">
        <f t="shared" ref="A351:A414" si="8">$G$216&amp;B351</f>
        <v>I.2.2.02.001129</v>
      </c>
      <c r="B351" s="339">
        <v>129</v>
      </c>
      <c r="C351" s="394" t="str">
        <f>IFERROR(VLOOKUP(A351,[3]DOORSCRIEFT!$A$2:$G$8551,2,FALSE),"")</f>
        <v/>
      </c>
      <c r="D351" s="393" t="str">
        <f>IFERROR(VLOOKUP(A351,[3]DOORSCRIEFT!$A$2:$G$8551,3,FALSE),"")</f>
        <v/>
      </c>
      <c r="E351" s="466" t="str">
        <f>IFERROR(VLOOKUP(A351,[3]DOORSCRIEFT!$A$2:$G$8551,4,FALSE),"")</f>
        <v/>
      </c>
      <c r="F351" s="405" t="str">
        <f>IFERROR(VLOOKUP(A351,[3]DOORSCRIEFT!$A$2:$G$8551,6,FALSE),"")</f>
        <v/>
      </c>
      <c r="G351" s="315"/>
    </row>
    <row r="352" spans="1:7" x14ac:dyDescent="0.25">
      <c r="A352" s="360" t="str">
        <f t="shared" si="8"/>
        <v>I.2.2.02.001130</v>
      </c>
      <c r="B352" s="319">
        <v>130</v>
      </c>
      <c r="C352" s="394" t="str">
        <f>IFERROR(VLOOKUP(A352,[3]DOORSCRIEFT!$A$2:$G$8551,2,FALSE),"")</f>
        <v/>
      </c>
      <c r="D352" s="393" t="str">
        <f>IFERROR(VLOOKUP(A352,[3]DOORSCRIEFT!$A$2:$G$8551,3,FALSE),"")</f>
        <v/>
      </c>
      <c r="E352" s="466" t="str">
        <f>IFERROR(VLOOKUP(A352,[3]DOORSCRIEFT!$A$2:$G$8551,4,FALSE),"")</f>
        <v/>
      </c>
      <c r="F352" s="405" t="str">
        <f>IFERROR(VLOOKUP(A352,[3]DOORSCRIEFT!$A$2:$G$8551,6,FALSE),"")</f>
        <v/>
      </c>
      <c r="G352" s="315"/>
    </row>
    <row r="353" spans="1:7" x14ac:dyDescent="0.25">
      <c r="A353" s="360" t="str">
        <f t="shared" si="8"/>
        <v>I.2.2.02.001131</v>
      </c>
      <c r="B353" s="339">
        <v>131</v>
      </c>
      <c r="C353" s="394" t="str">
        <f>IFERROR(VLOOKUP(A353,[3]DOORSCRIEFT!$A$2:$G$8551,2,FALSE),"")</f>
        <v/>
      </c>
      <c r="D353" s="393" t="str">
        <f>IFERROR(VLOOKUP(A353,[3]DOORSCRIEFT!$A$2:$G$8551,3,FALSE),"")</f>
        <v/>
      </c>
      <c r="E353" s="466" t="str">
        <f>IFERROR(VLOOKUP(A353,[3]DOORSCRIEFT!$A$2:$G$8551,4,FALSE),"")</f>
        <v/>
      </c>
      <c r="F353" s="405" t="str">
        <f>IFERROR(VLOOKUP(A353,[3]DOORSCRIEFT!$A$2:$G$8551,6,FALSE),"")</f>
        <v/>
      </c>
      <c r="G353" s="315"/>
    </row>
    <row r="354" spans="1:7" x14ac:dyDescent="0.25">
      <c r="A354" s="360" t="str">
        <f t="shared" si="8"/>
        <v>I.2.2.02.001132</v>
      </c>
      <c r="B354" s="319">
        <v>132</v>
      </c>
      <c r="C354" s="394" t="str">
        <f>IFERROR(VLOOKUP(A354,[3]DOORSCRIEFT!$A$2:$G$8551,2,FALSE),"")</f>
        <v/>
      </c>
      <c r="D354" s="393" t="str">
        <f>IFERROR(VLOOKUP(A354,[3]DOORSCRIEFT!$A$2:$G$8551,3,FALSE),"")</f>
        <v/>
      </c>
      <c r="E354" s="466" t="str">
        <f>IFERROR(VLOOKUP(A354,[3]DOORSCRIEFT!$A$2:$G$8551,4,FALSE),"")</f>
        <v/>
      </c>
      <c r="F354" s="405" t="str">
        <f>IFERROR(VLOOKUP(A354,[3]DOORSCRIEFT!$A$2:$G$8551,6,FALSE),"")</f>
        <v/>
      </c>
      <c r="G354" s="315"/>
    </row>
    <row r="355" spans="1:7" x14ac:dyDescent="0.25">
      <c r="A355" s="360" t="str">
        <f t="shared" si="8"/>
        <v>I.2.2.02.001133</v>
      </c>
      <c r="B355" s="339">
        <v>133</v>
      </c>
      <c r="C355" s="394" t="str">
        <f>IFERROR(VLOOKUP(A355,[3]DOORSCRIEFT!$A$2:$G$8551,2,FALSE),"")</f>
        <v/>
      </c>
      <c r="D355" s="393" t="str">
        <f>IFERROR(VLOOKUP(A355,[3]DOORSCRIEFT!$A$2:$G$8551,3,FALSE),"")</f>
        <v/>
      </c>
      <c r="E355" s="466" t="str">
        <f>IFERROR(VLOOKUP(A355,[3]DOORSCRIEFT!$A$2:$G$8551,4,FALSE),"")</f>
        <v/>
      </c>
      <c r="F355" s="405" t="str">
        <f>IFERROR(VLOOKUP(A355,[3]DOORSCRIEFT!$A$2:$G$8551,6,FALSE),"")</f>
        <v/>
      </c>
      <c r="G355" s="315"/>
    </row>
    <row r="356" spans="1:7" x14ac:dyDescent="0.25">
      <c r="A356" s="360" t="str">
        <f t="shared" si="8"/>
        <v>I.2.2.02.001134</v>
      </c>
      <c r="B356" s="319">
        <v>134</v>
      </c>
      <c r="C356" s="394" t="str">
        <f>IFERROR(VLOOKUP(A356,[3]DOORSCRIEFT!$A$2:$G$8551,2,FALSE),"")</f>
        <v/>
      </c>
      <c r="D356" s="393" t="str">
        <f>IFERROR(VLOOKUP(A356,[3]DOORSCRIEFT!$A$2:$G$8551,3,FALSE),"")</f>
        <v/>
      </c>
      <c r="E356" s="466" t="str">
        <f>IFERROR(VLOOKUP(A356,[3]DOORSCRIEFT!$A$2:$G$8551,4,FALSE),"")</f>
        <v/>
      </c>
      <c r="F356" s="405" t="str">
        <f>IFERROR(VLOOKUP(A356,[3]DOORSCRIEFT!$A$2:$G$8551,6,FALSE),"")</f>
        <v/>
      </c>
      <c r="G356" s="315"/>
    </row>
    <row r="357" spans="1:7" x14ac:dyDescent="0.25">
      <c r="A357" s="360" t="str">
        <f t="shared" si="8"/>
        <v>I.2.2.02.001135</v>
      </c>
      <c r="B357" s="339">
        <v>135</v>
      </c>
      <c r="C357" s="394" t="str">
        <f>IFERROR(VLOOKUP(A357,[3]DOORSCRIEFT!$A$2:$G$8551,2,FALSE),"")</f>
        <v/>
      </c>
      <c r="D357" s="393" t="str">
        <f>IFERROR(VLOOKUP(A357,[3]DOORSCRIEFT!$A$2:$G$8551,3,FALSE),"")</f>
        <v/>
      </c>
      <c r="E357" s="466" t="str">
        <f>IFERROR(VLOOKUP(A357,[3]DOORSCRIEFT!$A$2:$G$8551,4,FALSE),"")</f>
        <v/>
      </c>
      <c r="F357" s="405" t="str">
        <f>IFERROR(VLOOKUP(A357,[3]DOORSCRIEFT!$A$2:$G$8551,6,FALSE),"")</f>
        <v/>
      </c>
      <c r="G357" s="315"/>
    </row>
    <row r="358" spans="1:7" x14ac:dyDescent="0.25">
      <c r="A358" s="360" t="str">
        <f t="shared" si="8"/>
        <v>I.2.2.02.001136</v>
      </c>
      <c r="B358" s="319">
        <v>136</v>
      </c>
      <c r="C358" s="394" t="str">
        <f>IFERROR(VLOOKUP(A358,[3]DOORSCRIEFT!$A$2:$G$8551,2,FALSE),"")</f>
        <v/>
      </c>
      <c r="D358" s="393" t="str">
        <f>IFERROR(VLOOKUP(A358,[3]DOORSCRIEFT!$A$2:$G$8551,3,FALSE),"")</f>
        <v/>
      </c>
      <c r="E358" s="466" t="str">
        <f>IFERROR(VLOOKUP(A358,[3]DOORSCRIEFT!$A$2:$G$8551,4,FALSE),"")</f>
        <v/>
      </c>
      <c r="F358" s="405" t="str">
        <f>IFERROR(VLOOKUP(A358,[3]DOORSCRIEFT!$A$2:$G$8551,6,FALSE),"")</f>
        <v/>
      </c>
      <c r="G358" s="315"/>
    </row>
    <row r="359" spans="1:7" x14ac:dyDescent="0.25">
      <c r="A359" s="360" t="str">
        <f t="shared" si="8"/>
        <v>I.2.2.02.001137</v>
      </c>
      <c r="B359" s="339">
        <v>137</v>
      </c>
      <c r="C359" s="394" t="str">
        <f>IFERROR(VLOOKUP(A359,[3]DOORSCRIEFT!$A$2:$G$8551,2,FALSE),"")</f>
        <v/>
      </c>
      <c r="D359" s="393" t="str">
        <f>IFERROR(VLOOKUP(A359,[3]DOORSCRIEFT!$A$2:$G$8551,3,FALSE),"")</f>
        <v/>
      </c>
      <c r="E359" s="466" t="str">
        <f>IFERROR(VLOOKUP(A359,[3]DOORSCRIEFT!$A$2:$G$8551,4,FALSE),"")</f>
        <v/>
      </c>
      <c r="F359" s="405" t="str">
        <f>IFERROR(VLOOKUP(A359,[3]DOORSCRIEFT!$A$2:$G$8551,6,FALSE),"")</f>
        <v/>
      </c>
      <c r="G359" s="315"/>
    </row>
    <row r="360" spans="1:7" x14ac:dyDescent="0.25">
      <c r="A360" s="360" t="str">
        <f t="shared" si="8"/>
        <v>I.2.2.02.001138</v>
      </c>
      <c r="B360" s="319">
        <v>138</v>
      </c>
      <c r="C360" s="394" t="str">
        <f>IFERROR(VLOOKUP(A360,[3]DOORSCRIEFT!$A$2:$G$8551,2,FALSE),"")</f>
        <v/>
      </c>
      <c r="D360" s="393" t="str">
        <f>IFERROR(VLOOKUP(A360,[3]DOORSCRIEFT!$A$2:$G$8551,3,FALSE),"")</f>
        <v/>
      </c>
      <c r="E360" s="466" t="str">
        <f>IFERROR(VLOOKUP(A360,[3]DOORSCRIEFT!$A$2:$G$8551,4,FALSE),"")</f>
        <v/>
      </c>
      <c r="F360" s="405" t="str">
        <f>IFERROR(VLOOKUP(A360,[3]DOORSCRIEFT!$A$2:$G$8551,6,FALSE),"")</f>
        <v/>
      </c>
      <c r="G360" s="315"/>
    </row>
    <row r="361" spans="1:7" x14ac:dyDescent="0.25">
      <c r="A361" s="360" t="str">
        <f t="shared" si="8"/>
        <v>I.2.2.02.001139</v>
      </c>
      <c r="B361" s="339">
        <v>139</v>
      </c>
      <c r="C361" s="394" t="str">
        <f>IFERROR(VLOOKUP(A361,[3]DOORSCRIEFT!$A$2:$G$8551,2,FALSE),"")</f>
        <v/>
      </c>
      <c r="D361" s="393" t="str">
        <f>IFERROR(VLOOKUP(A361,[3]DOORSCRIEFT!$A$2:$G$8551,3,FALSE),"")</f>
        <v/>
      </c>
      <c r="E361" s="466" t="str">
        <f>IFERROR(VLOOKUP(A361,[3]DOORSCRIEFT!$A$2:$G$8551,4,FALSE),"")</f>
        <v/>
      </c>
      <c r="F361" s="405" t="str">
        <f>IFERROR(VLOOKUP(A361,[3]DOORSCRIEFT!$A$2:$G$8551,6,FALSE),"")</f>
        <v/>
      </c>
      <c r="G361" s="315"/>
    </row>
    <row r="362" spans="1:7" x14ac:dyDescent="0.25">
      <c r="A362" s="360" t="str">
        <f t="shared" si="8"/>
        <v>I.2.2.02.001140</v>
      </c>
      <c r="B362" s="319">
        <v>140</v>
      </c>
      <c r="C362" s="394" t="str">
        <f>IFERROR(VLOOKUP(A362,[3]DOORSCRIEFT!$A$2:$G$8551,2,FALSE),"")</f>
        <v/>
      </c>
      <c r="D362" s="393" t="str">
        <f>IFERROR(VLOOKUP(A362,[3]DOORSCRIEFT!$A$2:$G$8551,3,FALSE),"")</f>
        <v/>
      </c>
      <c r="E362" s="466" t="str">
        <f>IFERROR(VLOOKUP(A362,[3]DOORSCRIEFT!$A$2:$G$8551,4,FALSE),"")</f>
        <v/>
      </c>
      <c r="F362" s="405" t="str">
        <f>IFERROR(VLOOKUP(A362,[3]DOORSCRIEFT!$A$2:$G$8551,6,FALSE),"")</f>
        <v/>
      </c>
      <c r="G362" s="315"/>
    </row>
    <row r="363" spans="1:7" x14ac:dyDescent="0.25">
      <c r="A363" s="360" t="str">
        <f t="shared" si="8"/>
        <v>I.2.2.02.001141</v>
      </c>
      <c r="B363" s="339">
        <v>141</v>
      </c>
      <c r="C363" s="394" t="str">
        <f>IFERROR(VLOOKUP(A363,[3]DOORSCRIEFT!$A$2:$G$8551,2,FALSE),"")</f>
        <v/>
      </c>
      <c r="D363" s="393" t="str">
        <f>IFERROR(VLOOKUP(A363,[3]DOORSCRIEFT!$A$2:$G$8551,3,FALSE),"")</f>
        <v/>
      </c>
      <c r="E363" s="466" t="str">
        <f>IFERROR(VLOOKUP(A363,[3]DOORSCRIEFT!$A$2:$G$8551,4,FALSE),"")</f>
        <v/>
      </c>
      <c r="F363" s="405" t="str">
        <f>IFERROR(VLOOKUP(A363,[3]DOORSCRIEFT!$A$2:$G$8551,6,FALSE),"")</f>
        <v/>
      </c>
      <c r="G363" s="315"/>
    </row>
    <row r="364" spans="1:7" x14ac:dyDescent="0.25">
      <c r="A364" s="360" t="str">
        <f t="shared" si="8"/>
        <v>I.2.2.02.001142</v>
      </c>
      <c r="B364" s="319">
        <v>142</v>
      </c>
      <c r="C364" s="394" t="str">
        <f>IFERROR(VLOOKUP(A364,[3]DOORSCRIEFT!$A$2:$G$8551,2,FALSE),"")</f>
        <v/>
      </c>
      <c r="D364" s="393" t="str">
        <f>IFERROR(VLOOKUP(A364,[3]DOORSCRIEFT!$A$2:$G$8551,3,FALSE),"")</f>
        <v/>
      </c>
      <c r="E364" s="466" t="str">
        <f>IFERROR(VLOOKUP(A364,[3]DOORSCRIEFT!$A$2:$G$8551,4,FALSE),"")</f>
        <v/>
      </c>
      <c r="F364" s="405" t="str">
        <f>IFERROR(VLOOKUP(A364,[3]DOORSCRIEFT!$A$2:$G$8551,6,FALSE),"")</f>
        <v/>
      </c>
      <c r="G364" s="315"/>
    </row>
    <row r="365" spans="1:7" x14ac:dyDescent="0.25">
      <c r="A365" s="360" t="str">
        <f t="shared" si="8"/>
        <v>I.2.2.02.001143</v>
      </c>
      <c r="B365" s="339">
        <v>143</v>
      </c>
      <c r="C365" s="394" t="str">
        <f>IFERROR(VLOOKUP(A365,[3]DOORSCRIEFT!$A$2:$G$8551,2,FALSE),"")</f>
        <v/>
      </c>
      <c r="D365" s="393" t="str">
        <f>IFERROR(VLOOKUP(A365,[3]DOORSCRIEFT!$A$2:$G$8551,3,FALSE),"")</f>
        <v/>
      </c>
      <c r="E365" s="466" t="str">
        <f>IFERROR(VLOOKUP(A365,[3]DOORSCRIEFT!$A$2:$G$8551,4,FALSE),"")</f>
        <v/>
      </c>
      <c r="F365" s="405" t="str">
        <f>IFERROR(VLOOKUP(A365,[3]DOORSCRIEFT!$A$2:$G$8551,6,FALSE),"")</f>
        <v/>
      </c>
      <c r="G365" s="315"/>
    </row>
    <row r="366" spans="1:7" x14ac:dyDescent="0.25">
      <c r="A366" s="360" t="str">
        <f t="shared" si="8"/>
        <v>I.2.2.02.001144</v>
      </c>
      <c r="B366" s="319">
        <v>144</v>
      </c>
      <c r="C366" s="394" t="str">
        <f>IFERROR(VLOOKUP(A366,[3]DOORSCRIEFT!$A$2:$G$8551,2,FALSE),"")</f>
        <v/>
      </c>
      <c r="D366" s="393" t="str">
        <f>IFERROR(VLOOKUP(A366,[3]DOORSCRIEFT!$A$2:$G$8551,3,FALSE),"")</f>
        <v/>
      </c>
      <c r="E366" s="466" t="str">
        <f>IFERROR(VLOOKUP(A366,[3]DOORSCRIEFT!$A$2:$G$8551,4,FALSE),"")</f>
        <v/>
      </c>
      <c r="F366" s="405" t="str">
        <f>IFERROR(VLOOKUP(A366,[3]DOORSCRIEFT!$A$2:$G$8551,6,FALSE),"")</f>
        <v/>
      </c>
      <c r="G366" s="315"/>
    </row>
    <row r="367" spans="1:7" x14ac:dyDescent="0.25">
      <c r="A367" s="360" t="str">
        <f t="shared" si="8"/>
        <v>I.2.2.02.001145</v>
      </c>
      <c r="B367" s="339">
        <v>145</v>
      </c>
      <c r="C367" s="394" t="str">
        <f>IFERROR(VLOOKUP(A367,[3]DOORSCRIEFT!$A$2:$G$8551,2,FALSE),"")</f>
        <v/>
      </c>
      <c r="D367" s="393" t="str">
        <f>IFERROR(VLOOKUP(A367,[3]DOORSCRIEFT!$A$2:$G$8551,3,FALSE),"")</f>
        <v/>
      </c>
      <c r="E367" s="466" t="str">
        <f>IFERROR(VLOOKUP(A367,[3]DOORSCRIEFT!$A$2:$G$8551,4,FALSE),"")</f>
        <v/>
      </c>
      <c r="F367" s="405" t="str">
        <f>IFERROR(VLOOKUP(A367,[3]DOORSCRIEFT!$A$2:$G$8551,6,FALSE),"")</f>
        <v/>
      </c>
      <c r="G367" s="315"/>
    </row>
    <row r="368" spans="1:7" x14ac:dyDescent="0.25">
      <c r="A368" s="360" t="str">
        <f t="shared" si="8"/>
        <v>I.2.2.02.001146</v>
      </c>
      <c r="B368" s="319">
        <v>146</v>
      </c>
      <c r="C368" s="394" t="str">
        <f>IFERROR(VLOOKUP(A368,[3]DOORSCRIEFT!$A$2:$G$8551,2,FALSE),"")</f>
        <v/>
      </c>
      <c r="D368" s="393" t="str">
        <f>IFERROR(VLOOKUP(A368,[3]DOORSCRIEFT!$A$2:$G$8551,3,FALSE),"")</f>
        <v/>
      </c>
      <c r="E368" s="466" t="str">
        <f>IFERROR(VLOOKUP(A368,[3]DOORSCRIEFT!$A$2:$G$8551,4,FALSE),"")</f>
        <v/>
      </c>
      <c r="F368" s="405" t="str">
        <f>IFERROR(VLOOKUP(A368,[3]DOORSCRIEFT!$A$2:$G$8551,6,FALSE),"")</f>
        <v/>
      </c>
      <c r="G368" s="315"/>
    </row>
    <row r="369" spans="1:7" x14ac:dyDescent="0.25">
      <c r="A369" s="360" t="str">
        <f t="shared" si="8"/>
        <v>I.2.2.02.001147</v>
      </c>
      <c r="B369" s="339">
        <v>147</v>
      </c>
      <c r="C369" s="394" t="str">
        <f>IFERROR(VLOOKUP(A369,[3]DOORSCRIEFT!$A$2:$G$8551,2,FALSE),"")</f>
        <v/>
      </c>
      <c r="D369" s="393" t="str">
        <f>IFERROR(VLOOKUP(A369,[3]DOORSCRIEFT!$A$2:$G$8551,3,FALSE),"")</f>
        <v/>
      </c>
      <c r="E369" s="466" t="str">
        <f>IFERROR(VLOOKUP(A369,[3]DOORSCRIEFT!$A$2:$G$8551,4,FALSE),"")</f>
        <v/>
      </c>
      <c r="F369" s="405" t="str">
        <f>IFERROR(VLOOKUP(A369,[3]DOORSCRIEFT!$A$2:$G$8551,6,FALSE),"")</f>
        <v/>
      </c>
      <c r="G369" s="315"/>
    </row>
    <row r="370" spans="1:7" x14ac:dyDescent="0.25">
      <c r="A370" s="360" t="str">
        <f t="shared" si="8"/>
        <v>I.2.2.02.001148</v>
      </c>
      <c r="B370" s="319">
        <v>148</v>
      </c>
      <c r="C370" s="394" t="str">
        <f>IFERROR(VLOOKUP(A370,[3]DOORSCRIEFT!$A$2:$G$8551,2,FALSE),"")</f>
        <v/>
      </c>
      <c r="D370" s="393" t="str">
        <f>IFERROR(VLOOKUP(A370,[3]DOORSCRIEFT!$A$2:$G$8551,3,FALSE),"")</f>
        <v/>
      </c>
      <c r="E370" s="466" t="str">
        <f>IFERROR(VLOOKUP(A370,[3]DOORSCRIEFT!$A$2:$G$8551,4,FALSE),"")</f>
        <v/>
      </c>
      <c r="F370" s="405" t="str">
        <f>IFERROR(VLOOKUP(A370,[3]DOORSCRIEFT!$A$2:$G$8551,6,FALSE),"")</f>
        <v/>
      </c>
      <c r="G370" s="315"/>
    </row>
    <row r="371" spans="1:7" x14ac:dyDescent="0.25">
      <c r="A371" s="360" t="str">
        <f t="shared" si="8"/>
        <v>I.2.2.02.001149</v>
      </c>
      <c r="B371" s="339">
        <v>149</v>
      </c>
      <c r="C371" s="394" t="str">
        <f>IFERROR(VLOOKUP(A371,[3]DOORSCRIEFT!$A$2:$G$8551,2,FALSE),"")</f>
        <v/>
      </c>
      <c r="D371" s="393" t="str">
        <f>IFERROR(VLOOKUP(A371,[3]DOORSCRIEFT!$A$2:$G$8551,3,FALSE),"")</f>
        <v/>
      </c>
      <c r="E371" s="466" t="str">
        <f>IFERROR(VLOOKUP(A371,[3]DOORSCRIEFT!$A$2:$G$8551,4,FALSE),"")</f>
        <v/>
      </c>
      <c r="F371" s="405" t="str">
        <f>IFERROR(VLOOKUP(A371,[3]DOORSCRIEFT!$A$2:$G$8551,6,FALSE),"")</f>
        <v/>
      </c>
      <c r="G371" s="315"/>
    </row>
    <row r="372" spans="1:7" x14ac:dyDescent="0.25">
      <c r="A372" s="360" t="str">
        <f t="shared" si="8"/>
        <v>I.2.2.02.001150</v>
      </c>
      <c r="B372" s="319">
        <v>150</v>
      </c>
      <c r="C372" s="394" t="str">
        <f>IFERROR(VLOOKUP(A372,[3]DOORSCRIEFT!$A$2:$G$8551,2,FALSE),"")</f>
        <v/>
      </c>
      <c r="D372" s="393" t="str">
        <f>IFERROR(VLOOKUP(A372,[3]DOORSCRIEFT!$A$2:$G$8551,3,FALSE),"")</f>
        <v/>
      </c>
      <c r="E372" s="466" t="str">
        <f>IFERROR(VLOOKUP(A372,[3]DOORSCRIEFT!$A$2:$G$8551,4,FALSE),"")</f>
        <v/>
      </c>
      <c r="F372" s="405" t="str">
        <f>IFERROR(VLOOKUP(A372,[3]DOORSCRIEFT!$A$2:$G$8551,6,FALSE),"")</f>
        <v/>
      </c>
      <c r="G372" s="315"/>
    </row>
    <row r="373" spans="1:7" x14ac:dyDescent="0.25">
      <c r="A373" s="360" t="str">
        <f t="shared" si="8"/>
        <v>I.2.2.02.001151</v>
      </c>
      <c r="B373" s="339">
        <v>151</v>
      </c>
      <c r="C373" s="394" t="str">
        <f>IFERROR(VLOOKUP(A373,[3]DOORSCRIEFT!$A$2:$G$8551,2,FALSE),"")</f>
        <v/>
      </c>
      <c r="D373" s="393" t="str">
        <f>IFERROR(VLOOKUP(A373,[3]DOORSCRIEFT!$A$2:$G$8551,3,FALSE),"")</f>
        <v/>
      </c>
      <c r="E373" s="466" t="str">
        <f>IFERROR(VLOOKUP(A373,[3]DOORSCRIEFT!$A$2:$G$8551,4,FALSE),"")</f>
        <v/>
      </c>
      <c r="F373" s="405" t="str">
        <f>IFERROR(VLOOKUP(A373,[3]DOORSCRIEFT!$A$2:$G$8551,6,FALSE),"")</f>
        <v/>
      </c>
      <c r="G373" s="315"/>
    </row>
    <row r="374" spans="1:7" x14ac:dyDescent="0.25">
      <c r="A374" s="360" t="str">
        <f t="shared" si="8"/>
        <v>I.2.2.02.001152</v>
      </c>
      <c r="B374" s="319">
        <v>152</v>
      </c>
      <c r="C374" s="394" t="str">
        <f>IFERROR(VLOOKUP(A374,[3]DOORSCRIEFT!$A$2:$G$8551,2,FALSE),"")</f>
        <v/>
      </c>
      <c r="D374" s="393" t="str">
        <f>IFERROR(VLOOKUP(A374,[3]DOORSCRIEFT!$A$2:$G$8551,3,FALSE),"")</f>
        <v/>
      </c>
      <c r="E374" s="466" t="str">
        <f>IFERROR(VLOOKUP(A374,[3]DOORSCRIEFT!$A$2:$G$8551,4,FALSE),"")</f>
        <v/>
      </c>
      <c r="F374" s="405" t="str">
        <f>IFERROR(VLOOKUP(A374,[3]DOORSCRIEFT!$A$2:$G$8551,6,FALSE),"")</f>
        <v/>
      </c>
      <c r="G374" s="315"/>
    </row>
    <row r="375" spans="1:7" x14ac:dyDescent="0.25">
      <c r="A375" s="360" t="str">
        <f t="shared" si="8"/>
        <v>I.2.2.02.001153</v>
      </c>
      <c r="B375" s="339">
        <v>153</v>
      </c>
      <c r="C375" s="394" t="str">
        <f>IFERROR(VLOOKUP(A375,[3]DOORSCRIEFT!$A$2:$G$8551,2,FALSE),"")</f>
        <v/>
      </c>
      <c r="D375" s="393" t="str">
        <f>IFERROR(VLOOKUP(A375,[3]DOORSCRIEFT!$A$2:$G$8551,3,FALSE),"")</f>
        <v/>
      </c>
      <c r="E375" s="466" t="str">
        <f>IFERROR(VLOOKUP(A375,[3]DOORSCRIEFT!$A$2:$G$8551,4,FALSE),"")</f>
        <v/>
      </c>
      <c r="F375" s="405" t="str">
        <f>IFERROR(VLOOKUP(A375,[3]DOORSCRIEFT!$A$2:$G$8551,6,FALSE),"")</f>
        <v/>
      </c>
      <c r="G375" s="315"/>
    </row>
    <row r="376" spans="1:7" x14ac:dyDescent="0.25">
      <c r="A376" s="360" t="str">
        <f t="shared" si="8"/>
        <v>I.2.2.02.001154</v>
      </c>
      <c r="B376" s="319">
        <v>154</v>
      </c>
      <c r="C376" s="394" t="str">
        <f>IFERROR(VLOOKUP(A376,[3]DOORSCRIEFT!$A$2:$G$8551,2,FALSE),"")</f>
        <v/>
      </c>
      <c r="D376" s="393" t="str">
        <f>IFERROR(VLOOKUP(A376,[3]DOORSCRIEFT!$A$2:$G$8551,3,FALSE),"")</f>
        <v/>
      </c>
      <c r="E376" s="466" t="str">
        <f>IFERROR(VLOOKUP(A376,[3]DOORSCRIEFT!$A$2:$G$8551,4,FALSE),"")</f>
        <v/>
      </c>
      <c r="F376" s="405" t="str">
        <f>IFERROR(VLOOKUP(A376,[3]DOORSCRIEFT!$A$2:$G$8551,6,FALSE),"")</f>
        <v/>
      </c>
      <c r="G376" s="315"/>
    </row>
    <row r="377" spans="1:7" x14ac:dyDescent="0.25">
      <c r="A377" s="360" t="str">
        <f t="shared" si="8"/>
        <v>I.2.2.02.001155</v>
      </c>
      <c r="B377" s="339">
        <v>155</v>
      </c>
      <c r="C377" s="394" t="str">
        <f>IFERROR(VLOOKUP(A377,[3]DOORSCRIEFT!$A$2:$G$8551,2,FALSE),"")</f>
        <v/>
      </c>
      <c r="D377" s="393" t="str">
        <f>IFERROR(VLOOKUP(A377,[3]DOORSCRIEFT!$A$2:$G$8551,3,FALSE),"")</f>
        <v/>
      </c>
      <c r="E377" s="466" t="str">
        <f>IFERROR(VLOOKUP(A377,[3]DOORSCRIEFT!$A$2:$G$8551,4,FALSE),"")</f>
        <v/>
      </c>
      <c r="F377" s="405" t="str">
        <f>IFERROR(VLOOKUP(A377,[3]DOORSCRIEFT!$A$2:$G$8551,6,FALSE),"")</f>
        <v/>
      </c>
      <c r="G377" s="315"/>
    </row>
    <row r="378" spans="1:7" x14ac:dyDescent="0.25">
      <c r="A378" s="360" t="str">
        <f t="shared" si="8"/>
        <v>I.2.2.02.001156</v>
      </c>
      <c r="B378" s="319">
        <v>156</v>
      </c>
      <c r="C378" s="394" t="str">
        <f>IFERROR(VLOOKUP(A378,[3]DOORSCRIEFT!$A$2:$G$8551,2,FALSE),"")</f>
        <v/>
      </c>
      <c r="D378" s="393" t="str">
        <f>IFERROR(VLOOKUP(A378,[3]DOORSCRIEFT!$A$2:$G$8551,3,FALSE),"")</f>
        <v/>
      </c>
      <c r="E378" s="466" t="str">
        <f>IFERROR(VLOOKUP(A378,[3]DOORSCRIEFT!$A$2:$G$8551,4,FALSE),"")</f>
        <v/>
      </c>
      <c r="F378" s="405" t="str">
        <f>IFERROR(VLOOKUP(A378,[3]DOORSCRIEFT!$A$2:$G$8551,6,FALSE),"")</f>
        <v/>
      </c>
      <c r="G378" s="315"/>
    </row>
    <row r="379" spans="1:7" x14ac:dyDescent="0.25">
      <c r="A379" s="360" t="str">
        <f t="shared" si="8"/>
        <v>I.2.2.02.001157</v>
      </c>
      <c r="B379" s="339">
        <v>157</v>
      </c>
      <c r="C379" s="394" t="str">
        <f>IFERROR(VLOOKUP(A379,[3]DOORSCRIEFT!$A$2:$G$8551,2,FALSE),"")</f>
        <v/>
      </c>
      <c r="D379" s="393" t="str">
        <f>IFERROR(VLOOKUP(A379,[3]DOORSCRIEFT!$A$2:$G$8551,3,FALSE),"")</f>
        <v/>
      </c>
      <c r="E379" s="466" t="str">
        <f>IFERROR(VLOOKUP(A379,[3]DOORSCRIEFT!$A$2:$G$8551,4,FALSE),"")</f>
        <v/>
      </c>
      <c r="F379" s="405" t="str">
        <f>IFERROR(VLOOKUP(A379,[3]DOORSCRIEFT!$A$2:$G$8551,6,FALSE),"")</f>
        <v/>
      </c>
      <c r="G379" s="315"/>
    </row>
    <row r="380" spans="1:7" x14ac:dyDescent="0.25">
      <c r="A380" s="360" t="str">
        <f t="shared" si="8"/>
        <v>I.2.2.02.001158</v>
      </c>
      <c r="B380" s="319">
        <v>158</v>
      </c>
      <c r="C380" s="394" t="str">
        <f>IFERROR(VLOOKUP(A380,[3]DOORSCRIEFT!$A$2:$G$8551,2,FALSE),"")</f>
        <v/>
      </c>
      <c r="D380" s="393" t="str">
        <f>IFERROR(VLOOKUP(A380,[3]DOORSCRIEFT!$A$2:$G$8551,3,FALSE),"")</f>
        <v/>
      </c>
      <c r="E380" s="466" t="str">
        <f>IFERROR(VLOOKUP(A380,[3]DOORSCRIEFT!$A$2:$G$8551,4,FALSE),"")</f>
        <v/>
      </c>
      <c r="F380" s="405" t="str">
        <f>IFERROR(VLOOKUP(A380,[3]DOORSCRIEFT!$A$2:$G$8551,6,FALSE),"")</f>
        <v/>
      </c>
      <c r="G380" s="315"/>
    </row>
    <row r="381" spans="1:7" x14ac:dyDescent="0.25">
      <c r="A381" s="360" t="str">
        <f t="shared" si="8"/>
        <v>I.2.2.02.001159</v>
      </c>
      <c r="B381" s="339">
        <v>159</v>
      </c>
      <c r="C381" s="394" t="str">
        <f>IFERROR(VLOOKUP(A381,[3]DOORSCRIEFT!$A$2:$G$8551,2,FALSE),"")</f>
        <v/>
      </c>
      <c r="D381" s="393" t="str">
        <f>IFERROR(VLOOKUP(A381,[3]DOORSCRIEFT!$A$2:$G$8551,3,FALSE),"")</f>
        <v/>
      </c>
      <c r="E381" s="466" t="str">
        <f>IFERROR(VLOOKUP(A381,[3]DOORSCRIEFT!$A$2:$G$8551,4,FALSE),"")</f>
        <v/>
      </c>
      <c r="F381" s="405" t="str">
        <f>IFERROR(VLOOKUP(A381,[3]DOORSCRIEFT!$A$2:$G$8551,6,FALSE),"")</f>
        <v/>
      </c>
      <c r="G381" s="315"/>
    </row>
    <row r="382" spans="1:7" x14ac:dyDescent="0.25">
      <c r="A382" s="360" t="str">
        <f t="shared" si="8"/>
        <v>I.2.2.02.001160</v>
      </c>
      <c r="B382" s="319">
        <v>160</v>
      </c>
      <c r="C382" s="394" t="str">
        <f>IFERROR(VLOOKUP(A382,[3]DOORSCRIEFT!$A$2:$G$8551,2,FALSE),"")</f>
        <v/>
      </c>
      <c r="D382" s="393" t="str">
        <f>IFERROR(VLOOKUP(A382,[3]DOORSCRIEFT!$A$2:$G$8551,3,FALSE),"")</f>
        <v/>
      </c>
      <c r="E382" s="466" t="str">
        <f>IFERROR(VLOOKUP(A382,[3]DOORSCRIEFT!$A$2:$G$8551,4,FALSE),"")</f>
        <v/>
      </c>
      <c r="F382" s="405" t="str">
        <f>IFERROR(VLOOKUP(A382,[3]DOORSCRIEFT!$A$2:$G$8551,6,FALSE),"")</f>
        <v/>
      </c>
      <c r="G382" s="315"/>
    </row>
    <row r="383" spans="1:7" x14ac:dyDescent="0.25">
      <c r="A383" s="360" t="str">
        <f t="shared" si="8"/>
        <v>I.2.2.02.001161</v>
      </c>
      <c r="B383" s="339">
        <v>161</v>
      </c>
      <c r="C383" s="394" t="str">
        <f>IFERROR(VLOOKUP(A383,[3]DOORSCRIEFT!$A$2:$G$8551,2,FALSE),"")</f>
        <v/>
      </c>
      <c r="D383" s="393" t="str">
        <f>IFERROR(VLOOKUP(A383,[3]DOORSCRIEFT!$A$2:$G$8551,3,FALSE),"")</f>
        <v/>
      </c>
      <c r="E383" s="466" t="str">
        <f>IFERROR(VLOOKUP(A383,[3]DOORSCRIEFT!$A$2:$G$8551,4,FALSE),"")</f>
        <v/>
      </c>
      <c r="F383" s="405" t="str">
        <f>IFERROR(VLOOKUP(A383,[3]DOORSCRIEFT!$A$2:$G$8551,6,FALSE),"")</f>
        <v/>
      </c>
      <c r="G383" s="315"/>
    </row>
    <row r="384" spans="1:7" x14ac:dyDescent="0.25">
      <c r="A384" s="360" t="str">
        <f t="shared" si="8"/>
        <v>I.2.2.02.001162</v>
      </c>
      <c r="B384" s="319">
        <v>162</v>
      </c>
      <c r="C384" s="394" t="str">
        <f>IFERROR(VLOOKUP(A384,[3]DOORSCRIEFT!$A$2:$G$8551,2,FALSE),"")</f>
        <v/>
      </c>
      <c r="D384" s="393" t="str">
        <f>IFERROR(VLOOKUP(A384,[3]DOORSCRIEFT!$A$2:$G$8551,3,FALSE),"")</f>
        <v/>
      </c>
      <c r="E384" s="466" t="str">
        <f>IFERROR(VLOOKUP(A384,[3]DOORSCRIEFT!$A$2:$G$8551,4,FALSE),"")</f>
        <v/>
      </c>
      <c r="F384" s="405" t="str">
        <f>IFERROR(VLOOKUP(A384,[3]DOORSCRIEFT!$A$2:$G$8551,6,FALSE),"")</f>
        <v/>
      </c>
      <c r="G384" s="315"/>
    </row>
    <row r="385" spans="1:7" x14ac:dyDescent="0.25">
      <c r="A385" s="360" t="str">
        <f t="shared" si="8"/>
        <v>I.2.2.02.001163</v>
      </c>
      <c r="B385" s="339">
        <v>163</v>
      </c>
      <c r="C385" s="394" t="str">
        <f>IFERROR(VLOOKUP(A385,[3]DOORSCRIEFT!$A$2:$G$8551,2,FALSE),"")</f>
        <v/>
      </c>
      <c r="D385" s="393" t="str">
        <f>IFERROR(VLOOKUP(A385,[3]DOORSCRIEFT!$A$2:$G$8551,3,FALSE),"")</f>
        <v/>
      </c>
      <c r="E385" s="466" t="str">
        <f>IFERROR(VLOOKUP(A385,[3]DOORSCRIEFT!$A$2:$G$8551,4,FALSE),"")</f>
        <v/>
      </c>
      <c r="F385" s="405" t="str">
        <f>IFERROR(VLOOKUP(A385,[3]DOORSCRIEFT!$A$2:$G$8551,6,FALSE),"")</f>
        <v/>
      </c>
      <c r="G385" s="315"/>
    </row>
    <row r="386" spans="1:7" x14ac:dyDescent="0.25">
      <c r="A386" s="360" t="str">
        <f t="shared" si="8"/>
        <v>I.2.2.02.001164</v>
      </c>
      <c r="B386" s="319">
        <v>164</v>
      </c>
      <c r="C386" s="394" t="str">
        <f>IFERROR(VLOOKUP(A386,[3]DOORSCRIEFT!$A$2:$G$8551,2,FALSE),"")</f>
        <v/>
      </c>
      <c r="D386" s="393" t="str">
        <f>IFERROR(VLOOKUP(A386,[3]DOORSCRIEFT!$A$2:$G$8551,3,FALSE),"")</f>
        <v/>
      </c>
      <c r="E386" s="466" t="str">
        <f>IFERROR(VLOOKUP(A386,[3]DOORSCRIEFT!$A$2:$G$8551,4,FALSE),"")</f>
        <v/>
      </c>
      <c r="F386" s="405" t="str">
        <f>IFERROR(VLOOKUP(A386,[3]DOORSCRIEFT!$A$2:$G$8551,6,FALSE),"")</f>
        <v/>
      </c>
      <c r="G386" s="315"/>
    </row>
    <row r="387" spans="1:7" x14ac:dyDescent="0.25">
      <c r="A387" s="360" t="str">
        <f t="shared" si="8"/>
        <v>I.2.2.02.001165</v>
      </c>
      <c r="B387" s="339">
        <v>165</v>
      </c>
      <c r="C387" s="394" t="str">
        <f>IFERROR(VLOOKUP(A387,[3]DOORSCRIEFT!$A$2:$G$8551,2,FALSE),"")</f>
        <v/>
      </c>
      <c r="D387" s="393" t="str">
        <f>IFERROR(VLOOKUP(A387,[3]DOORSCRIEFT!$A$2:$G$8551,3,FALSE),"")</f>
        <v/>
      </c>
      <c r="E387" s="466" t="str">
        <f>IFERROR(VLOOKUP(A387,[3]DOORSCRIEFT!$A$2:$G$8551,4,FALSE),"")</f>
        <v/>
      </c>
      <c r="F387" s="405" t="str">
        <f>IFERROR(VLOOKUP(A387,[3]DOORSCRIEFT!$A$2:$G$8551,6,FALSE),"")</f>
        <v/>
      </c>
      <c r="G387" s="315"/>
    </row>
    <row r="388" spans="1:7" x14ac:dyDescent="0.25">
      <c r="A388" s="360" t="str">
        <f t="shared" si="8"/>
        <v>I.2.2.02.001166</v>
      </c>
      <c r="B388" s="319">
        <v>166</v>
      </c>
      <c r="C388" s="394" t="str">
        <f>IFERROR(VLOOKUP(A388,[3]DOORSCRIEFT!$A$2:$G$8551,2,FALSE),"")</f>
        <v/>
      </c>
      <c r="D388" s="393" t="str">
        <f>IFERROR(VLOOKUP(A388,[3]DOORSCRIEFT!$A$2:$G$8551,3,FALSE),"")</f>
        <v/>
      </c>
      <c r="E388" s="466" t="str">
        <f>IFERROR(VLOOKUP(A388,[3]DOORSCRIEFT!$A$2:$G$8551,4,FALSE),"")</f>
        <v/>
      </c>
      <c r="F388" s="405" t="str">
        <f>IFERROR(VLOOKUP(A388,[3]DOORSCRIEFT!$A$2:$G$8551,6,FALSE),"")</f>
        <v/>
      </c>
      <c r="G388" s="315"/>
    </row>
    <row r="389" spans="1:7" x14ac:dyDescent="0.25">
      <c r="A389" s="360" t="str">
        <f t="shared" si="8"/>
        <v>I.2.2.02.001167</v>
      </c>
      <c r="B389" s="339">
        <v>167</v>
      </c>
      <c r="C389" s="394" t="str">
        <f>IFERROR(VLOOKUP(A389,[3]DOORSCRIEFT!$A$2:$G$8551,2,FALSE),"")</f>
        <v/>
      </c>
      <c r="D389" s="393" t="str">
        <f>IFERROR(VLOOKUP(A389,[3]DOORSCRIEFT!$A$2:$G$8551,3,FALSE),"")</f>
        <v/>
      </c>
      <c r="E389" s="466" t="str">
        <f>IFERROR(VLOOKUP(A389,[3]DOORSCRIEFT!$A$2:$G$8551,4,FALSE),"")</f>
        <v/>
      </c>
      <c r="F389" s="405" t="str">
        <f>IFERROR(VLOOKUP(A389,[3]DOORSCRIEFT!$A$2:$G$8551,6,FALSE),"")</f>
        <v/>
      </c>
      <c r="G389" s="315"/>
    </row>
    <row r="390" spans="1:7" x14ac:dyDescent="0.25">
      <c r="A390" s="360" t="str">
        <f t="shared" si="8"/>
        <v>I.2.2.02.001168</v>
      </c>
      <c r="B390" s="319">
        <v>168</v>
      </c>
      <c r="C390" s="394" t="str">
        <f>IFERROR(VLOOKUP(A390,[3]DOORSCRIEFT!$A$2:$G$8551,2,FALSE),"")</f>
        <v/>
      </c>
      <c r="D390" s="393" t="str">
        <f>IFERROR(VLOOKUP(A390,[3]DOORSCRIEFT!$A$2:$G$8551,3,FALSE),"")</f>
        <v/>
      </c>
      <c r="E390" s="466" t="str">
        <f>IFERROR(VLOOKUP(A390,[3]DOORSCRIEFT!$A$2:$G$8551,4,FALSE),"")</f>
        <v/>
      </c>
      <c r="F390" s="405" t="str">
        <f>IFERROR(VLOOKUP(A390,[3]DOORSCRIEFT!$A$2:$G$8551,6,FALSE),"")</f>
        <v/>
      </c>
      <c r="G390" s="315"/>
    </row>
    <row r="391" spans="1:7" x14ac:dyDescent="0.25">
      <c r="A391" s="360" t="str">
        <f t="shared" si="8"/>
        <v>I.2.2.02.001169</v>
      </c>
      <c r="B391" s="339">
        <v>169</v>
      </c>
      <c r="C391" s="394" t="str">
        <f>IFERROR(VLOOKUP(A391,[3]DOORSCRIEFT!$A$2:$G$8551,2,FALSE),"")</f>
        <v/>
      </c>
      <c r="D391" s="393" t="str">
        <f>IFERROR(VLOOKUP(A391,[3]DOORSCRIEFT!$A$2:$G$8551,3,FALSE),"")</f>
        <v/>
      </c>
      <c r="E391" s="466" t="str">
        <f>IFERROR(VLOOKUP(A391,[3]DOORSCRIEFT!$A$2:$G$8551,4,FALSE),"")</f>
        <v/>
      </c>
      <c r="F391" s="405" t="str">
        <f>IFERROR(VLOOKUP(A391,[3]DOORSCRIEFT!$A$2:$G$8551,6,FALSE),"")</f>
        <v/>
      </c>
      <c r="G391" s="315"/>
    </row>
    <row r="392" spans="1:7" x14ac:dyDescent="0.25">
      <c r="A392" s="360" t="str">
        <f t="shared" si="8"/>
        <v>I.2.2.02.001170</v>
      </c>
      <c r="B392" s="319">
        <v>170</v>
      </c>
      <c r="C392" s="394" t="str">
        <f>IFERROR(VLOOKUP(A392,[3]DOORSCRIEFT!$A$2:$G$8551,2,FALSE),"")</f>
        <v/>
      </c>
      <c r="D392" s="393" t="str">
        <f>IFERROR(VLOOKUP(A392,[3]DOORSCRIEFT!$A$2:$G$8551,3,FALSE),"")</f>
        <v/>
      </c>
      <c r="E392" s="466" t="str">
        <f>IFERROR(VLOOKUP(A392,[3]DOORSCRIEFT!$A$2:$G$8551,4,FALSE),"")</f>
        <v/>
      </c>
      <c r="F392" s="405" t="str">
        <f>IFERROR(VLOOKUP(A392,[3]DOORSCRIEFT!$A$2:$G$8551,6,FALSE),"")</f>
        <v/>
      </c>
      <c r="G392" s="315"/>
    </row>
    <row r="393" spans="1:7" x14ac:dyDescent="0.25">
      <c r="A393" s="360" t="str">
        <f t="shared" si="8"/>
        <v>I.2.2.02.001171</v>
      </c>
      <c r="B393" s="339">
        <v>171</v>
      </c>
      <c r="C393" s="394" t="str">
        <f>IFERROR(VLOOKUP(A393,[3]DOORSCRIEFT!$A$2:$G$8551,2,FALSE),"")</f>
        <v/>
      </c>
      <c r="D393" s="393" t="str">
        <f>IFERROR(VLOOKUP(A393,[3]DOORSCRIEFT!$A$2:$G$8551,3,FALSE),"")</f>
        <v/>
      </c>
      <c r="E393" s="466" t="str">
        <f>IFERROR(VLOOKUP(A393,[3]DOORSCRIEFT!$A$2:$G$8551,4,FALSE),"")</f>
        <v/>
      </c>
      <c r="F393" s="405" t="str">
        <f>IFERROR(VLOOKUP(A393,[3]DOORSCRIEFT!$A$2:$G$8551,6,FALSE),"")</f>
        <v/>
      </c>
      <c r="G393" s="315"/>
    </row>
    <row r="394" spans="1:7" x14ac:dyDescent="0.25">
      <c r="A394" s="360" t="str">
        <f t="shared" si="8"/>
        <v>I.2.2.02.001172</v>
      </c>
      <c r="B394" s="319">
        <v>172</v>
      </c>
      <c r="C394" s="394" t="str">
        <f>IFERROR(VLOOKUP(A394,[3]DOORSCRIEFT!$A$2:$G$8551,2,FALSE),"")</f>
        <v/>
      </c>
      <c r="D394" s="393" t="str">
        <f>IFERROR(VLOOKUP(A394,[3]DOORSCRIEFT!$A$2:$G$8551,3,FALSE),"")</f>
        <v/>
      </c>
      <c r="E394" s="466" t="str">
        <f>IFERROR(VLOOKUP(A394,[3]DOORSCRIEFT!$A$2:$G$8551,4,FALSE),"")</f>
        <v/>
      </c>
      <c r="F394" s="405" t="str">
        <f>IFERROR(VLOOKUP(A394,[3]DOORSCRIEFT!$A$2:$G$8551,6,FALSE),"")</f>
        <v/>
      </c>
      <c r="G394" s="315"/>
    </row>
    <row r="395" spans="1:7" x14ac:dyDescent="0.25">
      <c r="A395" s="360" t="str">
        <f t="shared" si="8"/>
        <v>I.2.2.02.001173</v>
      </c>
      <c r="B395" s="339">
        <v>173</v>
      </c>
      <c r="C395" s="394" t="str">
        <f>IFERROR(VLOOKUP(A395,[3]DOORSCRIEFT!$A$2:$G$8551,2,FALSE),"")</f>
        <v/>
      </c>
      <c r="D395" s="393" t="str">
        <f>IFERROR(VLOOKUP(A395,[3]DOORSCRIEFT!$A$2:$G$8551,3,FALSE),"")</f>
        <v/>
      </c>
      <c r="E395" s="466" t="str">
        <f>IFERROR(VLOOKUP(A395,[3]DOORSCRIEFT!$A$2:$G$8551,4,FALSE),"")</f>
        <v/>
      </c>
      <c r="F395" s="405" t="str">
        <f>IFERROR(VLOOKUP(A395,[3]DOORSCRIEFT!$A$2:$G$8551,6,FALSE),"")</f>
        <v/>
      </c>
      <c r="G395" s="315"/>
    </row>
    <row r="396" spans="1:7" x14ac:dyDescent="0.25">
      <c r="A396" s="360" t="str">
        <f t="shared" si="8"/>
        <v>I.2.2.02.001174</v>
      </c>
      <c r="B396" s="319">
        <v>174</v>
      </c>
      <c r="C396" s="394" t="str">
        <f>IFERROR(VLOOKUP(A396,[3]DOORSCRIEFT!$A$2:$G$8551,2,FALSE),"")</f>
        <v/>
      </c>
      <c r="D396" s="393" t="str">
        <f>IFERROR(VLOOKUP(A396,[3]DOORSCRIEFT!$A$2:$G$8551,3,FALSE),"")</f>
        <v/>
      </c>
      <c r="E396" s="466" t="str">
        <f>IFERROR(VLOOKUP(A396,[3]DOORSCRIEFT!$A$2:$G$8551,4,FALSE),"")</f>
        <v/>
      </c>
      <c r="F396" s="405" t="str">
        <f>IFERROR(VLOOKUP(A396,[3]DOORSCRIEFT!$A$2:$G$8551,6,FALSE),"")</f>
        <v/>
      </c>
      <c r="G396" s="315"/>
    </row>
    <row r="397" spans="1:7" x14ac:dyDescent="0.25">
      <c r="A397" s="360" t="str">
        <f t="shared" si="8"/>
        <v>I.2.2.02.001175</v>
      </c>
      <c r="B397" s="339">
        <v>175</v>
      </c>
      <c r="C397" s="394" t="str">
        <f>IFERROR(VLOOKUP(A397,[3]DOORSCRIEFT!$A$2:$G$8551,2,FALSE),"")</f>
        <v/>
      </c>
      <c r="D397" s="393" t="str">
        <f>IFERROR(VLOOKUP(A397,[3]DOORSCRIEFT!$A$2:$G$8551,3,FALSE),"")</f>
        <v/>
      </c>
      <c r="E397" s="466" t="str">
        <f>IFERROR(VLOOKUP(A397,[3]DOORSCRIEFT!$A$2:$G$8551,4,FALSE),"")</f>
        <v/>
      </c>
      <c r="F397" s="405" t="str">
        <f>IFERROR(VLOOKUP(A397,[3]DOORSCRIEFT!$A$2:$G$8551,6,FALSE),"")</f>
        <v/>
      </c>
      <c r="G397" s="315"/>
    </row>
    <row r="398" spans="1:7" x14ac:dyDescent="0.25">
      <c r="A398" s="360" t="str">
        <f t="shared" si="8"/>
        <v>I.2.2.02.001176</v>
      </c>
      <c r="B398" s="319">
        <v>176</v>
      </c>
      <c r="C398" s="394" t="str">
        <f>IFERROR(VLOOKUP(A398,[3]DOORSCRIEFT!$A$2:$G$8551,2,FALSE),"")</f>
        <v/>
      </c>
      <c r="D398" s="393" t="str">
        <f>IFERROR(VLOOKUP(A398,[3]DOORSCRIEFT!$A$2:$G$8551,3,FALSE),"")</f>
        <v/>
      </c>
      <c r="E398" s="466" t="str">
        <f>IFERROR(VLOOKUP(A398,[3]DOORSCRIEFT!$A$2:$G$8551,4,FALSE),"")</f>
        <v/>
      </c>
      <c r="F398" s="405" t="str">
        <f>IFERROR(VLOOKUP(A398,[3]DOORSCRIEFT!$A$2:$G$8551,6,FALSE),"")</f>
        <v/>
      </c>
      <c r="G398" s="315"/>
    </row>
    <row r="399" spans="1:7" x14ac:dyDescent="0.25">
      <c r="A399" s="360" t="str">
        <f t="shared" si="8"/>
        <v>I.2.2.02.001177</v>
      </c>
      <c r="B399" s="339">
        <v>177</v>
      </c>
      <c r="C399" s="394" t="str">
        <f>IFERROR(VLOOKUP(A399,[3]DOORSCRIEFT!$A$2:$G$8551,2,FALSE),"")</f>
        <v/>
      </c>
      <c r="D399" s="393" t="str">
        <f>IFERROR(VLOOKUP(A399,[3]DOORSCRIEFT!$A$2:$G$8551,3,FALSE),"")</f>
        <v/>
      </c>
      <c r="E399" s="466" t="str">
        <f>IFERROR(VLOOKUP(A399,[3]DOORSCRIEFT!$A$2:$G$8551,4,FALSE),"")</f>
        <v/>
      </c>
      <c r="F399" s="405" t="str">
        <f>IFERROR(VLOOKUP(A399,[3]DOORSCRIEFT!$A$2:$G$8551,6,FALSE),"")</f>
        <v/>
      </c>
      <c r="G399" s="315"/>
    </row>
    <row r="400" spans="1:7" x14ac:dyDescent="0.25">
      <c r="A400" s="360" t="str">
        <f t="shared" si="8"/>
        <v>I.2.2.02.001178</v>
      </c>
      <c r="B400" s="319">
        <v>178</v>
      </c>
      <c r="C400" s="394" t="str">
        <f>IFERROR(VLOOKUP(A400,[3]DOORSCRIEFT!$A$2:$G$8551,2,FALSE),"")</f>
        <v/>
      </c>
      <c r="D400" s="393" t="str">
        <f>IFERROR(VLOOKUP(A400,[3]DOORSCRIEFT!$A$2:$G$8551,3,FALSE),"")</f>
        <v/>
      </c>
      <c r="E400" s="466" t="str">
        <f>IFERROR(VLOOKUP(A400,[3]DOORSCRIEFT!$A$2:$G$8551,4,FALSE),"")</f>
        <v/>
      </c>
      <c r="F400" s="405" t="str">
        <f>IFERROR(VLOOKUP(A400,[3]DOORSCRIEFT!$A$2:$G$8551,6,FALSE),"")</f>
        <v/>
      </c>
      <c r="G400" s="315"/>
    </row>
    <row r="401" spans="1:7" x14ac:dyDescent="0.25">
      <c r="A401" s="360" t="str">
        <f t="shared" si="8"/>
        <v>I.2.2.02.001179</v>
      </c>
      <c r="B401" s="339">
        <v>179</v>
      </c>
      <c r="C401" s="394" t="str">
        <f>IFERROR(VLOOKUP(A401,[3]DOORSCRIEFT!$A$2:$G$8551,2,FALSE),"")</f>
        <v/>
      </c>
      <c r="D401" s="393" t="str">
        <f>IFERROR(VLOOKUP(A401,[3]DOORSCRIEFT!$A$2:$G$8551,3,FALSE),"")</f>
        <v/>
      </c>
      <c r="E401" s="466" t="str">
        <f>IFERROR(VLOOKUP(A401,[3]DOORSCRIEFT!$A$2:$G$8551,4,FALSE),"")</f>
        <v/>
      </c>
      <c r="F401" s="405" t="str">
        <f>IFERROR(VLOOKUP(A401,[3]DOORSCRIEFT!$A$2:$G$8551,6,FALSE),"")</f>
        <v/>
      </c>
      <c r="G401" s="315"/>
    </row>
    <row r="402" spans="1:7" x14ac:dyDescent="0.25">
      <c r="A402" s="360" t="str">
        <f t="shared" si="8"/>
        <v>I.2.2.02.001180</v>
      </c>
      <c r="B402" s="319">
        <v>180</v>
      </c>
      <c r="C402" s="394" t="str">
        <f>IFERROR(VLOOKUP(A402,[3]DOORSCRIEFT!$A$2:$G$8551,2,FALSE),"")</f>
        <v/>
      </c>
      <c r="D402" s="393" t="str">
        <f>IFERROR(VLOOKUP(A402,[3]DOORSCRIEFT!$A$2:$G$8551,3,FALSE),"")</f>
        <v/>
      </c>
      <c r="E402" s="466" t="str">
        <f>IFERROR(VLOOKUP(A402,[3]DOORSCRIEFT!$A$2:$G$8551,4,FALSE),"")</f>
        <v/>
      </c>
      <c r="F402" s="405" t="str">
        <f>IFERROR(VLOOKUP(A402,[3]DOORSCRIEFT!$A$2:$G$8551,6,FALSE),"")</f>
        <v/>
      </c>
      <c r="G402" s="315"/>
    </row>
    <row r="403" spans="1:7" x14ac:dyDescent="0.25">
      <c r="A403" s="360" t="str">
        <f t="shared" si="8"/>
        <v>I.2.2.02.001181</v>
      </c>
      <c r="B403" s="339">
        <v>181</v>
      </c>
      <c r="C403" s="394" t="str">
        <f>IFERROR(VLOOKUP(A403,[3]DOORSCRIEFT!$A$2:$G$8551,2,FALSE),"")</f>
        <v/>
      </c>
      <c r="D403" s="393" t="str">
        <f>IFERROR(VLOOKUP(A403,[3]DOORSCRIEFT!$A$2:$G$8551,3,FALSE),"")</f>
        <v/>
      </c>
      <c r="E403" s="466" t="str">
        <f>IFERROR(VLOOKUP(A403,[3]DOORSCRIEFT!$A$2:$G$8551,4,FALSE),"")</f>
        <v/>
      </c>
      <c r="F403" s="405" t="str">
        <f>IFERROR(VLOOKUP(A403,[3]DOORSCRIEFT!$A$2:$G$8551,6,FALSE),"")</f>
        <v/>
      </c>
      <c r="G403" s="315"/>
    </row>
    <row r="404" spans="1:7" x14ac:dyDescent="0.25">
      <c r="A404" s="360" t="str">
        <f t="shared" si="8"/>
        <v>I.2.2.02.001182</v>
      </c>
      <c r="B404" s="319">
        <v>182</v>
      </c>
      <c r="C404" s="394" t="str">
        <f>IFERROR(VLOOKUP(A404,[3]DOORSCRIEFT!$A$2:$G$8551,2,FALSE),"")</f>
        <v/>
      </c>
      <c r="D404" s="393" t="str">
        <f>IFERROR(VLOOKUP(A404,[3]DOORSCRIEFT!$A$2:$G$8551,3,FALSE),"")</f>
        <v/>
      </c>
      <c r="E404" s="466" t="str">
        <f>IFERROR(VLOOKUP(A404,[3]DOORSCRIEFT!$A$2:$G$8551,4,FALSE),"")</f>
        <v/>
      </c>
      <c r="F404" s="405" t="str">
        <f>IFERROR(VLOOKUP(A404,[3]DOORSCRIEFT!$A$2:$G$8551,6,FALSE),"")</f>
        <v/>
      </c>
      <c r="G404" s="315"/>
    </row>
    <row r="405" spans="1:7" x14ac:dyDescent="0.25">
      <c r="A405" s="360" t="str">
        <f t="shared" si="8"/>
        <v>I.2.2.02.001183</v>
      </c>
      <c r="B405" s="339">
        <v>183</v>
      </c>
      <c r="C405" s="394" t="str">
        <f>IFERROR(VLOOKUP(A405,[3]DOORSCRIEFT!$A$2:$G$8551,2,FALSE),"")</f>
        <v/>
      </c>
      <c r="D405" s="393" t="str">
        <f>IFERROR(VLOOKUP(A405,[3]DOORSCRIEFT!$A$2:$G$8551,3,FALSE),"")</f>
        <v/>
      </c>
      <c r="E405" s="466" t="str">
        <f>IFERROR(VLOOKUP(A405,[3]DOORSCRIEFT!$A$2:$G$8551,4,FALSE),"")</f>
        <v/>
      </c>
      <c r="F405" s="405" t="str">
        <f>IFERROR(VLOOKUP(A405,[3]DOORSCRIEFT!$A$2:$G$8551,6,FALSE),"")</f>
        <v/>
      </c>
      <c r="G405" s="315"/>
    </row>
    <row r="406" spans="1:7" x14ac:dyDescent="0.25">
      <c r="A406" s="360" t="str">
        <f t="shared" si="8"/>
        <v>I.2.2.02.001184</v>
      </c>
      <c r="B406" s="319">
        <v>184</v>
      </c>
      <c r="C406" s="394" t="str">
        <f>IFERROR(VLOOKUP(A406,[3]DOORSCRIEFT!$A$2:$G$8551,2,FALSE),"")</f>
        <v/>
      </c>
      <c r="D406" s="393" t="str">
        <f>IFERROR(VLOOKUP(A406,[3]DOORSCRIEFT!$A$2:$G$8551,3,FALSE),"")</f>
        <v/>
      </c>
      <c r="E406" s="466" t="str">
        <f>IFERROR(VLOOKUP(A406,[3]DOORSCRIEFT!$A$2:$G$8551,4,FALSE),"")</f>
        <v/>
      </c>
      <c r="F406" s="405" t="str">
        <f>IFERROR(VLOOKUP(A406,[3]DOORSCRIEFT!$A$2:$G$8551,6,FALSE),"")</f>
        <v/>
      </c>
      <c r="G406" s="315"/>
    </row>
    <row r="407" spans="1:7" x14ac:dyDescent="0.25">
      <c r="A407" s="360" t="str">
        <f t="shared" si="8"/>
        <v>I.2.2.02.001185</v>
      </c>
      <c r="B407" s="339">
        <v>185</v>
      </c>
      <c r="C407" s="394" t="str">
        <f>IFERROR(VLOOKUP(A407,[3]DOORSCRIEFT!$A$2:$G$8551,2,FALSE),"")</f>
        <v/>
      </c>
      <c r="D407" s="393" t="str">
        <f>IFERROR(VLOOKUP(A407,[3]DOORSCRIEFT!$A$2:$G$8551,3,FALSE),"")</f>
        <v/>
      </c>
      <c r="E407" s="466" t="str">
        <f>IFERROR(VLOOKUP(A407,[3]DOORSCRIEFT!$A$2:$G$8551,4,FALSE),"")</f>
        <v/>
      </c>
      <c r="F407" s="405" t="str">
        <f>IFERROR(VLOOKUP(A407,[3]DOORSCRIEFT!$A$2:$G$8551,6,FALSE),"")</f>
        <v/>
      </c>
      <c r="G407" s="315"/>
    </row>
    <row r="408" spans="1:7" x14ac:dyDescent="0.25">
      <c r="A408" s="360" t="str">
        <f t="shared" si="8"/>
        <v>I.2.2.02.001186</v>
      </c>
      <c r="B408" s="319">
        <v>186</v>
      </c>
      <c r="C408" s="394" t="str">
        <f>IFERROR(VLOOKUP(A408,[3]DOORSCRIEFT!$A$2:$G$8551,2,FALSE),"")</f>
        <v/>
      </c>
      <c r="D408" s="393" t="str">
        <f>IFERROR(VLOOKUP(A408,[3]DOORSCRIEFT!$A$2:$G$8551,3,FALSE),"")</f>
        <v/>
      </c>
      <c r="E408" s="466" t="str">
        <f>IFERROR(VLOOKUP(A408,[3]DOORSCRIEFT!$A$2:$G$8551,4,FALSE),"")</f>
        <v/>
      </c>
      <c r="F408" s="405" t="str">
        <f>IFERROR(VLOOKUP(A408,[3]DOORSCRIEFT!$A$2:$G$8551,6,FALSE),"")</f>
        <v/>
      </c>
      <c r="G408" s="315"/>
    </row>
    <row r="409" spans="1:7" x14ac:dyDescent="0.25">
      <c r="A409" s="360" t="str">
        <f t="shared" si="8"/>
        <v>I.2.2.02.001187</v>
      </c>
      <c r="B409" s="339">
        <v>187</v>
      </c>
      <c r="C409" s="394" t="str">
        <f>IFERROR(VLOOKUP(A409,[3]DOORSCRIEFT!$A$2:$G$8551,2,FALSE),"")</f>
        <v/>
      </c>
      <c r="D409" s="393" t="str">
        <f>IFERROR(VLOOKUP(A409,[3]DOORSCRIEFT!$A$2:$G$8551,3,FALSE),"")</f>
        <v/>
      </c>
      <c r="E409" s="466" t="str">
        <f>IFERROR(VLOOKUP(A409,[3]DOORSCRIEFT!$A$2:$G$8551,4,FALSE),"")</f>
        <v/>
      </c>
      <c r="F409" s="405" t="str">
        <f>IFERROR(VLOOKUP(A409,[3]DOORSCRIEFT!$A$2:$G$8551,6,FALSE),"")</f>
        <v/>
      </c>
      <c r="G409" s="315"/>
    </row>
    <row r="410" spans="1:7" x14ac:dyDescent="0.25">
      <c r="A410" s="360" t="str">
        <f t="shared" si="8"/>
        <v>I.2.2.02.001188</v>
      </c>
      <c r="B410" s="319">
        <v>188</v>
      </c>
      <c r="C410" s="394" t="str">
        <f>IFERROR(VLOOKUP(A410,[3]DOORSCRIEFT!$A$2:$G$8551,2,FALSE),"")</f>
        <v/>
      </c>
      <c r="D410" s="393" t="str">
        <f>IFERROR(VLOOKUP(A410,[3]DOORSCRIEFT!$A$2:$G$8551,3,FALSE),"")</f>
        <v/>
      </c>
      <c r="E410" s="466" t="str">
        <f>IFERROR(VLOOKUP(A410,[3]DOORSCRIEFT!$A$2:$G$8551,4,FALSE),"")</f>
        <v/>
      </c>
      <c r="F410" s="405" t="str">
        <f>IFERROR(VLOOKUP(A410,[3]DOORSCRIEFT!$A$2:$G$8551,6,FALSE),"")</f>
        <v/>
      </c>
      <c r="G410" s="315"/>
    </row>
    <row r="411" spans="1:7" x14ac:dyDescent="0.25">
      <c r="A411" s="360" t="str">
        <f t="shared" si="8"/>
        <v>I.2.2.02.001189</v>
      </c>
      <c r="B411" s="339">
        <v>189</v>
      </c>
      <c r="C411" s="394" t="str">
        <f>IFERROR(VLOOKUP(A411,[3]DOORSCRIEFT!$A$2:$G$8551,2,FALSE),"")</f>
        <v/>
      </c>
      <c r="D411" s="393" t="str">
        <f>IFERROR(VLOOKUP(A411,[3]DOORSCRIEFT!$A$2:$G$8551,3,FALSE),"")</f>
        <v/>
      </c>
      <c r="E411" s="466" t="str">
        <f>IFERROR(VLOOKUP(A411,[3]DOORSCRIEFT!$A$2:$G$8551,4,FALSE),"")</f>
        <v/>
      </c>
      <c r="F411" s="405" t="str">
        <f>IFERROR(VLOOKUP(A411,[3]DOORSCRIEFT!$A$2:$G$8551,6,FALSE),"")</f>
        <v/>
      </c>
      <c r="G411" s="315"/>
    </row>
    <row r="412" spans="1:7" x14ac:dyDescent="0.25">
      <c r="A412" s="360" t="str">
        <f t="shared" si="8"/>
        <v>I.2.2.02.001190</v>
      </c>
      <c r="B412" s="319">
        <v>190</v>
      </c>
      <c r="C412" s="394" t="str">
        <f>IFERROR(VLOOKUP(A412,[3]DOORSCRIEFT!$A$2:$G$8551,2,FALSE),"")</f>
        <v/>
      </c>
      <c r="D412" s="393" t="str">
        <f>IFERROR(VLOOKUP(A412,[3]DOORSCRIEFT!$A$2:$G$8551,3,FALSE),"")</f>
        <v/>
      </c>
      <c r="E412" s="466" t="str">
        <f>IFERROR(VLOOKUP(A412,[3]DOORSCRIEFT!$A$2:$G$8551,4,FALSE),"")</f>
        <v/>
      </c>
      <c r="F412" s="405" t="str">
        <f>IFERROR(VLOOKUP(A412,[3]DOORSCRIEFT!$A$2:$G$8551,6,FALSE),"")</f>
        <v/>
      </c>
      <c r="G412" s="315"/>
    </row>
    <row r="413" spans="1:7" x14ac:dyDescent="0.25">
      <c r="A413" s="360" t="str">
        <f t="shared" si="8"/>
        <v>I.2.2.02.001191</v>
      </c>
      <c r="B413" s="339">
        <v>191</v>
      </c>
      <c r="C413" s="394" t="str">
        <f>IFERROR(VLOOKUP(A413,[3]DOORSCRIEFT!$A$2:$G$8551,2,FALSE),"")</f>
        <v/>
      </c>
      <c r="D413" s="393" t="str">
        <f>IFERROR(VLOOKUP(A413,[3]DOORSCRIEFT!$A$2:$G$8551,3,FALSE),"")</f>
        <v/>
      </c>
      <c r="E413" s="466" t="str">
        <f>IFERROR(VLOOKUP(A413,[3]DOORSCRIEFT!$A$2:$G$8551,4,FALSE),"")</f>
        <v/>
      </c>
      <c r="F413" s="405" t="str">
        <f>IFERROR(VLOOKUP(A413,[3]DOORSCRIEFT!$A$2:$G$8551,6,FALSE),"")</f>
        <v/>
      </c>
      <c r="G413" s="315"/>
    </row>
    <row r="414" spans="1:7" x14ac:dyDescent="0.25">
      <c r="A414" s="360" t="str">
        <f t="shared" si="8"/>
        <v>I.2.2.02.001192</v>
      </c>
      <c r="B414" s="319">
        <v>192</v>
      </c>
      <c r="C414" s="394" t="str">
        <f>IFERROR(VLOOKUP(A414,[3]DOORSCRIEFT!$A$2:$G$8551,2,FALSE),"")</f>
        <v/>
      </c>
      <c r="D414" s="393" t="str">
        <f>IFERROR(VLOOKUP(A414,[3]DOORSCRIEFT!$A$2:$G$8551,3,FALSE),"")</f>
        <v/>
      </c>
      <c r="E414" s="466" t="str">
        <f>IFERROR(VLOOKUP(A414,[3]DOORSCRIEFT!$A$2:$G$8551,4,FALSE),"")</f>
        <v/>
      </c>
      <c r="F414" s="405" t="str">
        <f>IFERROR(VLOOKUP(A414,[3]DOORSCRIEFT!$A$2:$G$8551,6,FALSE),"")</f>
        <v/>
      </c>
      <c r="G414" s="315"/>
    </row>
    <row r="415" spans="1:7" x14ac:dyDescent="0.25">
      <c r="A415" s="360" t="str">
        <f t="shared" ref="A415:A478" si="9">$G$216&amp;B415</f>
        <v>I.2.2.02.001193</v>
      </c>
      <c r="B415" s="339">
        <v>193</v>
      </c>
      <c r="C415" s="394" t="str">
        <f>IFERROR(VLOOKUP(A415,[3]DOORSCRIEFT!$A$2:$G$8551,2,FALSE),"")</f>
        <v/>
      </c>
      <c r="D415" s="393" t="str">
        <f>IFERROR(VLOOKUP(A415,[3]DOORSCRIEFT!$A$2:$G$8551,3,FALSE),"")</f>
        <v/>
      </c>
      <c r="E415" s="466" t="str">
        <f>IFERROR(VLOOKUP(A415,[3]DOORSCRIEFT!$A$2:$G$8551,4,FALSE),"")</f>
        <v/>
      </c>
      <c r="F415" s="405" t="str">
        <f>IFERROR(VLOOKUP(A415,[3]DOORSCRIEFT!$A$2:$G$8551,6,FALSE),"")</f>
        <v/>
      </c>
      <c r="G415" s="315"/>
    </row>
    <row r="416" spans="1:7" x14ac:dyDescent="0.25">
      <c r="A416" s="360" t="str">
        <f t="shared" si="9"/>
        <v>I.2.2.02.001194</v>
      </c>
      <c r="B416" s="319">
        <v>194</v>
      </c>
      <c r="C416" s="394" t="str">
        <f>IFERROR(VLOOKUP(A416,[3]DOORSCRIEFT!$A$2:$G$8551,2,FALSE),"")</f>
        <v/>
      </c>
      <c r="D416" s="393" t="str">
        <f>IFERROR(VLOOKUP(A416,[3]DOORSCRIEFT!$A$2:$G$8551,3,FALSE),"")</f>
        <v/>
      </c>
      <c r="E416" s="466" t="str">
        <f>IFERROR(VLOOKUP(A416,[3]DOORSCRIEFT!$A$2:$G$8551,4,FALSE),"")</f>
        <v/>
      </c>
      <c r="F416" s="405" t="str">
        <f>IFERROR(VLOOKUP(A416,[3]DOORSCRIEFT!$A$2:$G$8551,6,FALSE),"")</f>
        <v/>
      </c>
      <c r="G416" s="315"/>
    </row>
    <row r="417" spans="1:7" x14ac:dyDescent="0.25">
      <c r="A417" s="360" t="str">
        <f t="shared" si="9"/>
        <v>I.2.2.02.001195</v>
      </c>
      <c r="B417" s="339">
        <v>195</v>
      </c>
      <c r="C417" s="394" t="str">
        <f>IFERROR(VLOOKUP(A417,[3]DOORSCRIEFT!$A$2:$G$8551,2,FALSE),"")</f>
        <v/>
      </c>
      <c r="D417" s="393" t="str">
        <f>IFERROR(VLOOKUP(A417,[3]DOORSCRIEFT!$A$2:$G$8551,3,FALSE),"")</f>
        <v/>
      </c>
      <c r="E417" s="466" t="str">
        <f>IFERROR(VLOOKUP(A417,[3]DOORSCRIEFT!$A$2:$G$8551,4,FALSE),"")</f>
        <v/>
      </c>
      <c r="F417" s="405" t="str">
        <f>IFERROR(VLOOKUP(A417,[3]DOORSCRIEFT!$A$2:$G$8551,6,FALSE),"")</f>
        <v/>
      </c>
      <c r="G417" s="315"/>
    </row>
    <row r="418" spans="1:7" x14ac:dyDescent="0.25">
      <c r="A418" s="360" t="str">
        <f t="shared" si="9"/>
        <v>I.2.2.02.001196</v>
      </c>
      <c r="B418" s="319">
        <v>196</v>
      </c>
      <c r="C418" s="394" t="str">
        <f>IFERROR(VLOOKUP(A418,[3]DOORSCRIEFT!$A$2:$G$8551,2,FALSE),"")</f>
        <v/>
      </c>
      <c r="D418" s="393" t="str">
        <f>IFERROR(VLOOKUP(A418,[3]DOORSCRIEFT!$A$2:$G$8551,3,FALSE),"")</f>
        <v/>
      </c>
      <c r="E418" s="466" t="str">
        <f>IFERROR(VLOOKUP(A418,[3]DOORSCRIEFT!$A$2:$G$8551,4,FALSE),"")</f>
        <v/>
      </c>
      <c r="F418" s="405" t="str">
        <f>IFERROR(VLOOKUP(A418,[3]DOORSCRIEFT!$A$2:$G$8551,6,FALSE),"")</f>
        <v/>
      </c>
      <c r="G418" s="315"/>
    </row>
    <row r="419" spans="1:7" x14ac:dyDescent="0.25">
      <c r="A419" s="360" t="str">
        <f t="shared" si="9"/>
        <v>I.2.2.02.001197</v>
      </c>
      <c r="B419" s="339">
        <v>197</v>
      </c>
      <c r="C419" s="394" t="str">
        <f>IFERROR(VLOOKUP(A419,[3]DOORSCRIEFT!$A$2:$G$8551,2,FALSE),"")</f>
        <v/>
      </c>
      <c r="D419" s="393" t="str">
        <f>IFERROR(VLOOKUP(A419,[3]DOORSCRIEFT!$A$2:$G$8551,3,FALSE),"")</f>
        <v/>
      </c>
      <c r="E419" s="466" t="str">
        <f>IFERROR(VLOOKUP(A419,[3]DOORSCRIEFT!$A$2:$G$8551,4,FALSE),"")</f>
        <v/>
      </c>
      <c r="F419" s="405" t="str">
        <f>IFERROR(VLOOKUP(A419,[3]DOORSCRIEFT!$A$2:$G$8551,6,FALSE),"")</f>
        <v/>
      </c>
      <c r="G419" s="315"/>
    </row>
    <row r="420" spans="1:7" x14ac:dyDescent="0.25">
      <c r="A420" s="360" t="str">
        <f t="shared" si="9"/>
        <v>I.2.2.02.001198</v>
      </c>
      <c r="B420" s="319">
        <v>198</v>
      </c>
      <c r="C420" s="394" t="str">
        <f>IFERROR(VLOOKUP(A420,[3]DOORSCRIEFT!$A$2:$G$8551,2,FALSE),"")</f>
        <v/>
      </c>
      <c r="D420" s="393" t="str">
        <f>IFERROR(VLOOKUP(A420,[3]DOORSCRIEFT!$A$2:$G$8551,3,FALSE),"")</f>
        <v/>
      </c>
      <c r="E420" s="466" t="str">
        <f>IFERROR(VLOOKUP(A420,[3]DOORSCRIEFT!$A$2:$G$8551,4,FALSE),"")</f>
        <v/>
      </c>
      <c r="F420" s="405" t="str">
        <f>IFERROR(VLOOKUP(A420,[3]DOORSCRIEFT!$A$2:$G$8551,6,FALSE),"")</f>
        <v/>
      </c>
      <c r="G420" s="315"/>
    </row>
    <row r="421" spans="1:7" x14ac:dyDescent="0.25">
      <c r="A421" s="360" t="str">
        <f t="shared" si="9"/>
        <v>I.2.2.02.001199</v>
      </c>
      <c r="B421" s="339">
        <v>199</v>
      </c>
      <c r="C421" s="394" t="str">
        <f>IFERROR(VLOOKUP(A421,[3]DOORSCRIEFT!$A$2:$G$8551,2,FALSE),"")</f>
        <v/>
      </c>
      <c r="D421" s="393" t="str">
        <f>IFERROR(VLOOKUP(A421,[3]DOORSCRIEFT!$A$2:$G$8551,3,FALSE),"")</f>
        <v/>
      </c>
      <c r="E421" s="466" t="str">
        <f>IFERROR(VLOOKUP(A421,[3]DOORSCRIEFT!$A$2:$G$8551,4,FALSE),"")</f>
        <v/>
      </c>
      <c r="F421" s="405" t="str">
        <f>IFERROR(VLOOKUP(A421,[3]DOORSCRIEFT!$A$2:$G$8551,6,FALSE),"")</f>
        <v/>
      </c>
      <c r="G421" s="315"/>
    </row>
    <row r="422" spans="1:7" x14ac:dyDescent="0.25">
      <c r="A422" s="360" t="str">
        <f t="shared" si="9"/>
        <v>I.2.2.02.001200</v>
      </c>
      <c r="B422" s="319">
        <v>200</v>
      </c>
      <c r="C422" s="394" t="str">
        <f>IFERROR(VLOOKUP(A422,[3]DOORSCRIEFT!$A$2:$G$8551,2,FALSE),"")</f>
        <v/>
      </c>
      <c r="D422" s="393" t="str">
        <f>IFERROR(VLOOKUP(A422,[3]DOORSCRIEFT!$A$2:$G$8551,3,FALSE),"")</f>
        <v/>
      </c>
      <c r="E422" s="466" t="str">
        <f>IFERROR(VLOOKUP(A422,[3]DOORSCRIEFT!$A$2:$G$8551,4,FALSE),"")</f>
        <v/>
      </c>
      <c r="F422" s="405" t="str">
        <f>IFERROR(VLOOKUP(A422,[3]DOORSCRIEFT!$A$2:$G$8551,6,FALSE),"")</f>
        <v/>
      </c>
      <c r="G422" s="315"/>
    </row>
    <row r="423" spans="1:7" x14ac:dyDescent="0.25">
      <c r="A423" s="360" t="str">
        <f t="shared" si="9"/>
        <v>I.2.2.02.001201</v>
      </c>
      <c r="B423" s="339">
        <v>201</v>
      </c>
      <c r="C423" s="394" t="str">
        <f>IFERROR(VLOOKUP(A423,[3]DOORSCRIEFT!$A$2:$G$8551,2,FALSE),"")</f>
        <v/>
      </c>
      <c r="D423" s="393" t="str">
        <f>IFERROR(VLOOKUP(A423,[3]DOORSCRIEFT!$A$2:$G$8551,3,FALSE),"")</f>
        <v/>
      </c>
      <c r="E423" s="466" t="str">
        <f>IFERROR(VLOOKUP(A423,[3]DOORSCRIEFT!$A$2:$G$8551,4,FALSE),"")</f>
        <v/>
      </c>
      <c r="F423" s="405" t="str">
        <f>IFERROR(VLOOKUP(A423,[3]DOORSCRIEFT!$A$2:$G$8551,6,FALSE),"")</f>
        <v/>
      </c>
      <c r="G423" s="315"/>
    </row>
    <row r="424" spans="1:7" x14ac:dyDescent="0.25">
      <c r="A424" s="360" t="str">
        <f t="shared" si="9"/>
        <v>I.2.2.02.001202</v>
      </c>
      <c r="B424" s="319">
        <v>202</v>
      </c>
      <c r="C424" s="394" t="str">
        <f>IFERROR(VLOOKUP(A424,[3]DOORSCRIEFT!$A$2:$G$8551,2,FALSE),"")</f>
        <v/>
      </c>
      <c r="D424" s="393" t="str">
        <f>IFERROR(VLOOKUP(A424,[3]DOORSCRIEFT!$A$2:$G$8551,3,FALSE),"")</f>
        <v/>
      </c>
      <c r="E424" s="466" t="str">
        <f>IFERROR(VLOOKUP(A424,[3]DOORSCRIEFT!$A$2:$G$8551,4,FALSE),"")</f>
        <v/>
      </c>
      <c r="F424" s="405" t="str">
        <f>IFERROR(VLOOKUP(A424,[3]DOORSCRIEFT!$A$2:$G$8551,6,FALSE),"")</f>
        <v/>
      </c>
      <c r="G424" s="315"/>
    </row>
    <row r="425" spans="1:7" x14ac:dyDescent="0.25">
      <c r="A425" s="360" t="str">
        <f t="shared" si="9"/>
        <v>I.2.2.02.001203</v>
      </c>
      <c r="B425" s="339">
        <v>203</v>
      </c>
      <c r="C425" s="394" t="str">
        <f>IFERROR(VLOOKUP(A425,[3]DOORSCRIEFT!$A$2:$G$8551,2,FALSE),"")</f>
        <v/>
      </c>
      <c r="D425" s="393" t="str">
        <f>IFERROR(VLOOKUP(A425,[3]DOORSCRIEFT!$A$2:$G$8551,3,FALSE),"")</f>
        <v/>
      </c>
      <c r="E425" s="466" t="str">
        <f>IFERROR(VLOOKUP(A425,[3]DOORSCRIEFT!$A$2:$G$8551,4,FALSE),"")</f>
        <v/>
      </c>
      <c r="F425" s="405" t="str">
        <f>IFERROR(VLOOKUP(A425,[3]DOORSCRIEFT!$A$2:$G$8551,6,FALSE),"")</f>
        <v/>
      </c>
      <c r="G425" s="315"/>
    </row>
    <row r="426" spans="1:7" x14ac:dyDescent="0.25">
      <c r="A426" s="360" t="str">
        <f t="shared" si="9"/>
        <v>I.2.2.02.001204</v>
      </c>
      <c r="B426" s="319">
        <v>204</v>
      </c>
      <c r="C426" s="394" t="str">
        <f>IFERROR(VLOOKUP(A426,[3]DOORSCRIEFT!$A$2:$G$8551,2,FALSE),"")</f>
        <v/>
      </c>
      <c r="D426" s="393" t="str">
        <f>IFERROR(VLOOKUP(A426,[3]DOORSCRIEFT!$A$2:$G$8551,3,FALSE),"")</f>
        <v/>
      </c>
      <c r="E426" s="466" t="str">
        <f>IFERROR(VLOOKUP(A426,[3]DOORSCRIEFT!$A$2:$G$8551,4,FALSE),"")</f>
        <v/>
      </c>
      <c r="F426" s="405" t="str">
        <f>IFERROR(VLOOKUP(A426,[3]DOORSCRIEFT!$A$2:$G$8551,6,FALSE),"")</f>
        <v/>
      </c>
      <c r="G426" s="315"/>
    </row>
    <row r="427" spans="1:7" x14ac:dyDescent="0.25">
      <c r="A427" s="360" t="str">
        <f t="shared" si="9"/>
        <v>I.2.2.02.001205</v>
      </c>
      <c r="B427" s="339">
        <v>205</v>
      </c>
      <c r="C427" s="394" t="str">
        <f>IFERROR(VLOOKUP(A427,[3]DOORSCRIEFT!$A$2:$G$8551,2,FALSE),"")</f>
        <v/>
      </c>
      <c r="D427" s="393" t="str">
        <f>IFERROR(VLOOKUP(A427,[3]DOORSCRIEFT!$A$2:$G$8551,3,FALSE),"")</f>
        <v/>
      </c>
      <c r="E427" s="466" t="str">
        <f>IFERROR(VLOOKUP(A427,[3]DOORSCRIEFT!$A$2:$G$8551,4,FALSE),"")</f>
        <v/>
      </c>
      <c r="F427" s="405" t="str">
        <f>IFERROR(VLOOKUP(A427,[3]DOORSCRIEFT!$A$2:$G$8551,6,FALSE),"")</f>
        <v/>
      </c>
      <c r="G427" s="315"/>
    </row>
    <row r="428" spans="1:7" x14ac:dyDescent="0.25">
      <c r="A428" s="360" t="str">
        <f t="shared" si="9"/>
        <v>I.2.2.02.001206</v>
      </c>
      <c r="B428" s="319">
        <v>206</v>
      </c>
      <c r="C428" s="394" t="str">
        <f>IFERROR(VLOOKUP(A428,[3]DOORSCRIEFT!$A$2:$G$8551,2,FALSE),"")</f>
        <v/>
      </c>
      <c r="D428" s="393" t="str">
        <f>IFERROR(VLOOKUP(A428,[3]DOORSCRIEFT!$A$2:$G$8551,3,FALSE),"")</f>
        <v/>
      </c>
      <c r="E428" s="466" t="str">
        <f>IFERROR(VLOOKUP(A428,[3]DOORSCRIEFT!$A$2:$G$8551,4,FALSE),"")</f>
        <v/>
      </c>
      <c r="F428" s="405" t="str">
        <f>IFERROR(VLOOKUP(A428,[3]DOORSCRIEFT!$A$2:$G$8551,6,FALSE),"")</f>
        <v/>
      </c>
      <c r="G428" s="315"/>
    </row>
    <row r="429" spans="1:7" x14ac:dyDescent="0.25">
      <c r="A429" s="360" t="str">
        <f t="shared" si="9"/>
        <v>I.2.2.02.001207</v>
      </c>
      <c r="B429" s="339">
        <v>207</v>
      </c>
      <c r="C429" s="394" t="str">
        <f>IFERROR(VLOOKUP(A429,[3]DOORSCRIEFT!$A$2:$G$8551,2,FALSE),"")</f>
        <v/>
      </c>
      <c r="D429" s="393" t="str">
        <f>IFERROR(VLOOKUP(A429,[3]DOORSCRIEFT!$A$2:$G$8551,3,FALSE),"")</f>
        <v/>
      </c>
      <c r="E429" s="466" t="str">
        <f>IFERROR(VLOOKUP(A429,[3]DOORSCRIEFT!$A$2:$G$8551,4,FALSE),"")</f>
        <v/>
      </c>
      <c r="F429" s="405" t="str">
        <f>IFERROR(VLOOKUP(A429,[3]DOORSCRIEFT!$A$2:$G$8551,6,FALSE),"")</f>
        <v/>
      </c>
      <c r="G429" s="315"/>
    </row>
    <row r="430" spans="1:7" x14ac:dyDescent="0.25">
      <c r="A430" s="360" t="str">
        <f t="shared" si="9"/>
        <v>I.2.2.02.001208</v>
      </c>
      <c r="B430" s="319">
        <v>208</v>
      </c>
      <c r="C430" s="394" t="str">
        <f>IFERROR(VLOOKUP(A430,[3]DOORSCRIEFT!$A$2:$G$8551,2,FALSE),"")</f>
        <v/>
      </c>
      <c r="D430" s="393" t="str">
        <f>IFERROR(VLOOKUP(A430,[3]DOORSCRIEFT!$A$2:$G$8551,3,FALSE),"")</f>
        <v/>
      </c>
      <c r="E430" s="466" t="str">
        <f>IFERROR(VLOOKUP(A430,[3]DOORSCRIEFT!$A$2:$G$8551,4,FALSE),"")</f>
        <v/>
      </c>
      <c r="F430" s="405" t="str">
        <f>IFERROR(VLOOKUP(A430,[3]DOORSCRIEFT!$A$2:$G$8551,6,FALSE),"")</f>
        <v/>
      </c>
      <c r="G430" s="315"/>
    </row>
    <row r="431" spans="1:7" x14ac:dyDescent="0.25">
      <c r="A431" s="360" t="str">
        <f t="shared" si="9"/>
        <v>I.2.2.02.001209</v>
      </c>
      <c r="B431" s="339">
        <v>209</v>
      </c>
      <c r="C431" s="394" t="str">
        <f>IFERROR(VLOOKUP(A431,[3]DOORSCRIEFT!$A$2:$G$8551,2,FALSE),"")</f>
        <v/>
      </c>
      <c r="D431" s="393" t="str">
        <f>IFERROR(VLOOKUP(A431,[3]DOORSCRIEFT!$A$2:$G$8551,3,FALSE),"")</f>
        <v/>
      </c>
      <c r="E431" s="466" t="str">
        <f>IFERROR(VLOOKUP(A431,[3]DOORSCRIEFT!$A$2:$G$8551,4,FALSE),"")</f>
        <v/>
      </c>
      <c r="F431" s="405" t="str">
        <f>IFERROR(VLOOKUP(A431,[3]DOORSCRIEFT!$A$2:$G$8551,6,FALSE),"")</f>
        <v/>
      </c>
      <c r="G431" s="315"/>
    </row>
    <row r="432" spans="1:7" x14ac:dyDescent="0.25">
      <c r="A432" s="360" t="str">
        <f t="shared" si="9"/>
        <v>I.2.2.02.001210</v>
      </c>
      <c r="B432" s="319">
        <v>210</v>
      </c>
      <c r="C432" s="394" t="str">
        <f>IFERROR(VLOOKUP(A432,[3]DOORSCRIEFT!$A$2:$G$8551,2,FALSE),"")</f>
        <v/>
      </c>
      <c r="D432" s="393" t="str">
        <f>IFERROR(VLOOKUP(A432,[3]DOORSCRIEFT!$A$2:$G$8551,3,FALSE),"")</f>
        <v/>
      </c>
      <c r="E432" s="466" t="str">
        <f>IFERROR(VLOOKUP(A432,[3]DOORSCRIEFT!$A$2:$G$8551,4,FALSE),"")</f>
        <v/>
      </c>
      <c r="F432" s="405" t="str">
        <f>IFERROR(VLOOKUP(A432,[3]DOORSCRIEFT!$A$2:$G$8551,6,FALSE),"")</f>
        <v/>
      </c>
      <c r="G432" s="315"/>
    </row>
    <row r="433" spans="1:7" x14ac:dyDescent="0.25">
      <c r="A433" s="360" t="str">
        <f t="shared" si="9"/>
        <v>I.2.2.02.001211</v>
      </c>
      <c r="B433" s="339">
        <v>211</v>
      </c>
      <c r="C433" s="394" t="str">
        <f>IFERROR(VLOOKUP(A433,[3]DOORSCRIEFT!$A$2:$G$8551,2,FALSE),"")</f>
        <v/>
      </c>
      <c r="D433" s="393" t="str">
        <f>IFERROR(VLOOKUP(A433,[3]DOORSCRIEFT!$A$2:$G$8551,3,FALSE),"")</f>
        <v/>
      </c>
      <c r="E433" s="466" t="str">
        <f>IFERROR(VLOOKUP(A433,[3]DOORSCRIEFT!$A$2:$G$8551,4,FALSE),"")</f>
        <v/>
      </c>
      <c r="F433" s="405" t="str">
        <f>IFERROR(VLOOKUP(A433,[3]DOORSCRIEFT!$A$2:$G$8551,6,FALSE),"")</f>
        <v/>
      </c>
      <c r="G433" s="315"/>
    </row>
    <row r="434" spans="1:7" x14ac:dyDescent="0.25">
      <c r="A434" s="360" t="str">
        <f t="shared" si="9"/>
        <v>I.2.2.02.001212</v>
      </c>
      <c r="B434" s="319">
        <v>212</v>
      </c>
      <c r="C434" s="394" t="str">
        <f>IFERROR(VLOOKUP(A434,[3]DOORSCRIEFT!$A$2:$G$8551,2,FALSE),"")</f>
        <v/>
      </c>
      <c r="D434" s="393" t="str">
        <f>IFERROR(VLOOKUP(A434,[3]DOORSCRIEFT!$A$2:$G$8551,3,FALSE),"")</f>
        <v/>
      </c>
      <c r="E434" s="466" t="str">
        <f>IFERROR(VLOOKUP(A434,[3]DOORSCRIEFT!$A$2:$G$8551,4,FALSE),"")</f>
        <v/>
      </c>
      <c r="F434" s="405" t="str">
        <f>IFERROR(VLOOKUP(A434,[3]DOORSCRIEFT!$A$2:$G$8551,6,FALSE),"")</f>
        <v/>
      </c>
      <c r="G434" s="315"/>
    </row>
    <row r="435" spans="1:7" x14ac:dyDescent="0.25">
      <c r="A435" s="360" t="str">
        <f t="shared" si="9"/>
        <v>I.2.2.02.001213</v>
      </c>
      <c r="B435" s="339">
        <v>213</v>
      </c>
      <c r="C435" s="394" t="str">
        <f>IFERROR(VLOOKUP(A435,[3]DOORSCRIEFT!$A$2:$G$8551,2,FALSE),"")</f>
        <v/>
      </c>
      <c r="D435" s="393" t="str">
        <f>IFERROR(VLOOKUP(A435,[3]DOORSCRIEFT!$A$2:$G$8551,3,FALSE),"")</f>
        <v/>
      </c>
      <c r="E435" s="466" t="str">
        <f>IFERROR(VLOOKUP(A435,[3]DOORSCRIEFT!$A$2:$G$8551,4,FALSE),"")</f>
        <v/>
      </c>
      <c r="F435" s="405" t="str">
        <f>IFERROR(VLOOKUP(A435,[3]DOORSCRIEFT!$A$2:$G$8551,6,FALSE),"")</f>
        <v/>
      </c>
      <c r="G435" s="315"/>
    </row>
    <row r="436" spans="1:7" x14ac:dyDescent="0.25">
      <c r="A436" s="360" t="str">
        <f t="shared" si="9"/>
        <v>I.2.2.02.001214</v>
      </c>
      <c r="B436" s="319">
        <v>214</v>
      </c>
      <c r="C436" s="394" t="str">
        <f>IFERROR(VLOOKUP(A436,[3]DOORSCRIEFT!$A$2:$G$8551,2,FALSE),"")</f>
        <v/>
      </c>
      <c r="D436" s="393" t="str">
        <f>IFERROR(VLOOKUP(A436,[3]DOORSCRIEFT!$A$2:$G$8551,3,FALSE),"")</f>
        <v/>
      </c>
      <c r="E436" s="466" t="str">
        <f>IFERROR(VLOOKUP(A436,[3]DOORSCRIEFT!$A$2:$G$8551,4,FALSE),"")</f>
        <v/>
      </c>
      <c r="F436" s="405" t="str">
        <f>IFERROR(VLOOKUP(A436,[3]DOORSCRIEFT!$A$2:$G$8551,6,FALSE),"")</f>
        <v/>
      </c>
      <c r="G436" s="315"/>
    </row>
    <row r="437" spans="1:7" x14ac:dyDescent="0.25">
      <c r="A437" s="360" t="str">
        <f t="shared" si="9"/>
        <v>I.2.2.02.001215</v>
      </c>
      <c r="B437" s="339">
        <v>215</v>
      </c>
      <c r="C437" s="394" t="str">
        <f>IFERROR(VLOOKUP(A437,[3]DOORSCRIEFT!$A$2:$G$8551,2,FALSE),"")</f>
        <v/>
      </c>
      <c r="D437" s="393" t="str">
        <f>IFERROR(VLOOKUP(A437,[3]DOORSCRIEFT!$A$2:$G$8551,3,FALSE),"")</f>
        <v/>
      </c>
      <c r="E437" s="466" t="str">
        <f>IFERROR(VLOOKUP(A437,[3]DOORSCRIEFT!$A$2:$G$8551,4,FALSE),"")</f>
        <v/>
      </c>
      <c r="F437" s="405" t="str">
        <f>IFERROR(VLOOKUP(A437,[3]DOORSCRIEFT!$A$2:$G$8551,6,FALSE),"")</f>
        <v/>
      </c>
      <c r="G437" s="315"/>
    </row>
    <row r="438" spans="1:7" x14ac:dyDescent="0.25">
      <c r="A438" s="360" t="str">
        <f t="shared" si="9"/>
        <v>I.2.2.02.001216</v>
      </c>
      <c r="B438" s="319">
        <v>216</v>
      </c>
      <c r="C438" s="394" t="str">
        <f>IFERROR(VLOOKUP(A438,[3]DOORSCRIEFT!$A$2:$G$8551,2,FALSE),"")</f>
        <v/>
      </c>
      <c r="D438" s="393" t="str">
        <f>IFERROR(VLOOKUP(A438,[3]DOORSCRIEFT!$A$2:$G$8551,3,FALSE),"")</f>
        <v/>
      </c>
      <c r="E438" s="466" t="str">
        <f>IFERROR(VLOOKUP(A438,[3]DOORSCRIEFT!$A$2:$G$8551,4,FALSE),"")</f>
        <v/>
      </c>
      <c r="F438" s="405" t="str">
        <f>IFERROR(VLOOKUP(A438,[3]DOORSCRIEFT!$A$2:$G$8551,6,FALSE),"")</f>
        <v/>
      </c>
      <c r="G438" s="315"/>
    </row>
    <row r="439" spans="1:7" x14ac:dyDescent="0.25">
      <c r="A439" s="360" t="str">
        <f t="shared" si="9"/>
        <v>I.2.2.02.001217</v>
      </c>
      <c r="B439" s="339">
        <v>217</v>
      </c>
      <c r="C439" s="394" t="str">
        <f>IFERROR(VLOOKUP(A439,[3]DOORSCRIEFT!$A$2:$G$8551,2,FALSE),"")</f>
        <v/>
      </c>
      <c r="D439" s="393" t="str">
        <f>IFERROR(VLOOKUP(A439,[3]DOORSCRIEFT!$A$2:$G$8551,3,FALSE),"")</f>
        <v/>
      </c>
      <c r="E439" s="466" t="str">
        <f>IFERROR(VLOOKUP(A439,[3]DOORSCRIEFT!$A$2:$G$8551,4,FALSE),"")</f>
        <v/>
      </c>
      <c r="F439" s="405" t="str">
        <f>IFERROR(VLOOKUP(A439,[3]DOORSCRIEFT!$A$2:$G$8551,6,FALSE),"")</f>
        <v/>
      </c>
      <c r="G439" s="315"/>
    </row>
    <row r="440" spans="1:7" x14ac:dyDescent="0.25">
      <c r="A440" s="360" t="str">
        <f t="shared" si="9"/>
        <v>I.2.2.02.001218</v>
      </c>
      <c r="B440" s="319">
        <v>218</v>
      </c>
      <c r="C440" s="394" t="str">
        <f>IFERROR(VLOOKUP(A440,[3]DOORSCRIEFT!$A$2:$G$8551,2,FALSE),"")</f>
        <v/>
      </c>
      <c r="D440" s="393" t="str">
        <f>IFERROR(VLOOKUP(A440,[3]DOORSCRIEFT!$A$2:$G$8551,3,FALSE),"")</f>
        <v/>
      </c>
      <c r="E440" s="466" t="str">
        <f>IFERROR(VLOOKUP(A440,[3]DOORSCRIEFT!$A$2:$G$8551,4,FALSE),"")</f>
        <v/>
      </c>
      <c r="F440" s="405" t="str">
        <f>IFERROR(VLOOKUP(A440,[3]DOORSCRIEFT!$A$2:$G$8551,6,FALSE),"")</f>
        <v/>
      </c>
      <c r="G440" s="315"/>
    </row>
    <row r="441" spans="1:7" x14ac:dyDescent="0.25">
      <c r="A441" s="360" t="str">
        <f t="shared" si="9"/>
        <v>I.2.2.02.001219</v>
      </c>
      <c r="B441" s="339">
        <v>219</v>
      </c>
      <c r="C441" s="394" t="str">
        <f>IFERROR(VLOOKUP(A441,[3]DOORSCRIEFT!$A$2:$G$8551,2,FALSE),"")</f>
        <v/>
      </c>
      <c r="D441" s="393" t="str">
        <f>IFERROR(VLOOKUP(A441,[3]DOORSCRIEFT!$A$2:$G$8551,3,FALSE),"")</f>
        <v/>
      </c>
      <c r="E441" s="466" t="str">
        <f>IFERROR(VLOOKUP(A441,[3]DOORSCRIEFT!$A$2:$G$8551,4,FALSE),"")</f>
        <v/>
      </c>
      <c r="F441" s="405" t="str">
        <f>IFERROR(VLOOKUP(A441,[3]DOORSCRIEFT!$A$2:$G$8551,6,FALSE),"")</f>
        <v/>
      </c>
      <c r="G441" s="315"/>
    </row>
    <row r="442" spans="1:7" x14ac:dyDescent="0.25">
      <c r="A442" s="360" t="str">
        <f t="shared" si="9"/>
        <v>I.2.2.02.001220</v>
      </c>
      <c r="B442" s="319">
        <v>220</v>
      </c>
      <c r="C442" s="394" t="str">
        <f>IFERROR(VLOOKUP(A442,[3]DOORSCRIEFT!$A$2:$G$8551,2,FALSE),"")</f>
        <v/>
      </c>
      <c r="D442" s="393" t="str">
        <f>IFERROR(VLOOKUP(A442,[3]DOORSCRIEFT!$A$2:$G$8551,3,FALSE),"")</f>
        <v/>
      </c>
      <c r="E442" s="466" t="str">
        <f>IFERROR(VLOOKUP(A442,[3]DOORSCRIEFT!$A$2:$G$8551,4,FALSE),"")</f>
        <v/>
      </c>
      <c r="F442" s="405" t="str">
        <f>IFERROR(VLOOKUP(A442,[3]DOORSCRIEFT!$A$2:$G$8551,6,FALSE),"")</f>
        <v/>
      </c>
      <c r="G442" s="315"/>
    </row>
    <row r="443" spans="1:7" x14ac:dyDescent="0.25">
      <c r="A443" s="360" t="str">
        <f t="shared" si="9"/>
        <v>I.2.2.02.001221</v>
      </c>
      <c r="B443" s="339">
        <v>221</v>
      </c>
      <c r="C443" s="394" t="str">
        <f>IFERROR(VLOOKUP(A443,[3]DOORSCRIEFT!$A$2:$G$8551,2,FALSE),"")</f>
        <v/>
      </c>
      <c r="D443" s="393" t="str">
        <f>IFERROR(VLOOKUP(A443,[3]DOORSCRIEFT!$A$2:$G$8551,3,FALSE),"")</f>
        <v/>
      </c>
      <c r="E443" s="466" t="str">
        <f>IFERROR(VLOOKUP(A443,[3]DOORSCRIEFT!$A$2:$G$8551,4,FALSE),"")</f>
        <v/>
      </c>
      <c r="F443" s="405" t="str">
        <f>IFERROR(VLOOKUP(A443,[3]DOORSCRIEFT!$A$2:$G$8551,6,FALSE),"")</f>
        <v/>
      </c>
      <c r="G443" s="315"/>
    </row>
    <row r="444" spans="1:7" x14ac:dyDescent="0.25">
      <c r="A444" s="360" t="str">
        <f t="shared" si="9"/>
        <v>I.2.2.02.001222</v>
      </c>
      <c r="B444" s="319">
        <v>222</v>
      </c>
      <c r="C444" s="394" t="str">
        <f>IFERROR(VLOOKUP(A444,[3]DOORSCRIEFT!$A$2:$G$8551,2,FALSE),"")</f>
        <v/>
      </c>
      <c r="D444" s="393" t="str">
        <f>IFERROR(VLOOKUP(A444,[3]DOORSCRIEFT!$A$2:$G$8551,3,FALSE),"")</f>
        <v/>
      </c>
      <c r="E444" s="466" t="str">
        <f>IFERROR(VLOOKUP(A444,[3]DOORSCRIEFT!$A$2:$G$8551,4,FALSE),"")</f>
        <v/>
      </c>
      <c r="F444" s="405" t="str">
        <f>IFERROR(VLOOKUP(A444,[3]DOORSCRIEFT!$A$2:$G$8551,6,FALSE),"")</f>
        <v/>
      </c>
      <c r="G444" s="315"/>
    </row>
    <row r="445" spans="1:7" x14ac:dyDescent="0.25">
      <c r="A445" s="360" t="str">
        <f t="shared" si="9"/>
        <v>I.2.2.02.001223</v>
      </c>
      <c r="B445" s="339">
        <v>223</v>
      </c>
      <c r="C445" s="394" t="str">
        <f>IFERROR(VLOOKUP(A445,[3]DOORSCRIEFT!$A$2:$G$8551,2,FALSE),"")</f>
        <v/>
      </c>
      <c r="D445" s="393" t="str">
        <f>IFERROR(VLOOKUP(A445,[3]DOORSCRIEFT!$A$2:$G$8551,3,FALSE),"")</f>
        <v/>
      </c>
      <c r="E445" s="466" t="str">
        <f>IFERROR(VLOOKUP(A445,[3]DOORSCRIEFT!$A$2:$G$8551,4,FALSE),"")</f>
        <v/>
      </c>
      <c r="F445" s="405" t="str">
        <f>IFERROR(VLOOKUP(A445,[3]DOORSCRIEFT!$A$2:$G$8551,6,FALSE),"")</f>
        <v/>
      </c>
      <c r="G445" s="315"/>
    </row>
    <row r="446" spans="1:7" x14ac:dyDescent="0.25">
      <c r="A446" s="360" t="str">
        <f t="shared" si="9"/>
        <v>I.2.2.02.001224</v>
      </c>
      <c r="B446" s="319">
        <v>224</v>
      </c>
      <c r="C446" s="394" t="str">
        <f>IFERROR(VLOOKUP(A446,[3]DOORSCRIEFT!$A$2:$G$8551,2,FALSE),"")</f>
        <v/>
      </c>
      <c r="D446" s="393" t="str">
        <f>IFERROR(VLOOKUP(A446,[3]DOORSCRIEFT!$A$2:$G$8551,3,FALSE),"")</f>
        <v/>
      </c>
      <c r="E446" s="466" t="str">
        <f>IFERROR(VLOOKUP(A446,[3]DOORSCRIEFT!$A$2:$G$8551,4,FALSE),"")</f>
        <v/>
      </c>
      <c r="F446" s="405" t="str">
        <f>IFERROR(VLOOKUP(A446,[3]DOORSCRIEFT!$A$2:$G$8551,6,FALSE),"")</f>
        <v/>
      </c>
      <c r="G446" s="315"/>
    </row>
    <row r="447" spans="1:7" x14ac:dyDescent="0.25">
      <c r="A447" s="360" t="str">
        <f t="shared" si="9"/>
        <v>I.2.2.02.001225</v>
      </c>
      <c r="B447" s="339">
        <v>225</v>
      </c>
      <c r="C447" s="394" t="str">
        <f>IFERROR(VLOOKUP(A447,[3]DOORSCRIEFT!$A$2:$G$8551,2,FALSE),"")</f>
        <v/>
      </c>
      <c r="D447" s="393" t="str">
        <f>IFERROR(VLOOKUP(A447,[3]DOORSCRIEFT!$A$2:$G$8551,3,FALSE),"")</f>
        <v/>
      </c>
      <c r="E447" s="466" t="str">
        <f>IFERROR(VLOOKUP(A447,[3]DOORSCRIEFT!$A$2:$G$8551,4,FALSE),"")</f>
        <v/>
      </c>
      <c r="F447" s="405" t="str">
        <f>IFERROR(VLOOKUP(A447,[3]DOORSCRIEFT!$A$2:$G$8551,6,FALSE),"")</f>
        <v/>
      </c>
      <c r="G447" s="315"/>
    </row>
    <row r="448" spans="1:7" x14ac:dyDescent="0.25">
      <c r="A448" s="360" t="str">
        <f t="shared" si="9"/>
        <v>I.2.2.02.001226</v>
      </c>
      <c r="B448" s="319">
        <v>226</v>
      </c>
      <c r="C448" s="394" t="str">
        <f>IFERROR(VLOOKUP(A448,[3]DOORSCRIEFT!$A$2:$G$8551,2,FALSE),"")</f>
        <v/>
      </c>
      <c r="D448" s="393" t="str">
        <f>IFERROR(VLOOKUP(A448,[3]DOORSCRIEFT!$A$2:$G$8551,3,FALSE),"")</f>
        <v/>
      </c>
      <c r="E448" s="466" t="str">
        <f>IFERROR(VLOOKUP(A448,[3]DOORSCRIEFT!$A$2:$G$8551,4,FALSE),"")</f>
        <v/>
      </c>
      <c r="F448" s="405" t="str">
        <f>IFERROR(VLOOKUP(A448,[3]DOORSCRIEFT!$A$2:$G$8551,6,FALSE),"")</f>
        <v/>
      </c>
      <c r="G448" s="315"/>
    </row>
    <row r="449" spans="1:7" x14ac:dyDescent="0.25">
      <c r="A449" s="360" t="str">
        <f t="shared" si="9"/>
        <v>I.2.2.02.001227</v>
      </c>
      <c r="B449" s="339">
        <v>227</v>
      </c>
      <c r="C449" s="394" t="str">
        <f>IFERROR(VLOOKUP(A449,[3]DOORSCRIEFT!$A$2:$G$8551,2,FALSE),"")</f>
        <v/>
      </c>
      <c r="D449" s="393" t="str">
        <f>IFERROR(VLOOKUP(A449,[3]DOORSCRIEFT!$A$2:$G$8551,3,FALSE),"")</f>
        <v/>
      </c>
      <c r="E449" s="466" t="str">
        <f>IFERROR(VLOOKUP(A449,[3]DOORSCRIEFT!$A$2:$G$8551,4,FALSE),"")</f>
        <v/>
      </c>
      <c r="F449" s="405" t="str">
        <f>IFERROR(VLOOKUP(A449,[3]DOORSCRIEFT!$A$2:$G$8551,6,FALSE),"")</f>
        <v/>
      </c>
      <c r="G449" s="315"/>
    </row>
    <row r="450" spans="1:7" x14ac:dyDescent="0.25">
      <c r="A450" s="360" t="str">
        <f t="shared" si="9"/>
        <v>I.2.2.02.001228</v>
      </c>
      <c r="B450" s="319">
        <v>228</v>
      </c>
      <c r="C450" s="394" t="str">
        <f>IFERROR(VLOOKUP(A450,[3]DOORSCRIEFT!$A$2:$G$8551,2,FALSE),"")</f>
        <v/>
      </c>
      <c r="D450" s="393" t="str">
        <f>IFERROR(VLOOKUP(A450,[3]DOORSCRIEFT!$A$2:$G$8551,3,FALSE),"")</f>
        <v/>
      </c>
      <c r="E450" s="466" t="str">
        <f>IFERROR(VLOOKUP(A450,[3]DOORSCRIEFT!$A$2:$G$8551,4,FALSE),"")</f>
        <v/>
      </c>
      <c r="F450" s="405" t="str">
        <f>IFERROR(VLOOKUP(A450,[3]DOORSCRIEFT!$A$2:$G$8551,6,FALSE),"")</f>
        <v/>
      </c>
      <c r="G450" s="315"/>
    </row>
    <row r="451" spans="1:7" x14ac:dyDescent="0.25">
      <c r="A451" s="360" t="str">
        <f t="shared" si="9"/>
        <v>I.2.2.02.001229</v>
      </c>
      <c r="B451" s="339">
        <v>229</v>
      </c>
      <c r="C451" s="394" t="str">
        <f>IFERROR(VLOOKUP(A451,[3]DOORSCRIEFT!$A$2:$G$8551,2,FALSE),"")</f>
        <v/>
      </c>
      <c r="D451" s="393" t="str">
        <f>IFERROR(VLOOKUP(A451,[3]DOORSCRIEFT!$A$2:$G$8551,3,FALSE),"")</f>
        <v/>
      </c>
      <c r="E451" s="466" t="str">
        <f>IFERROR(VLOOKUP(A451,[3]DOORSCRIEFT!$A$2:$G$8551,4,FALSE),"")</f>
        <v/>
      </c>
      <c r="F451" s="405" t="str">
        <f>IFERROR(VLOOKUP(A451,[3]DOORSCRIEFT!$A$2:$G$8551,6,FALSE),"")</f>
        <v/>
      </c>
      <c r="G451" s="315"/>
    </row>
    <row r="452" spans="1:7" x14ac:dyDescent="0.25">
      <c r="A452" s="360" t="str">
        <f t="shared" si="9"/>
        <v>I.2.2.02.001230</v>
      </c>
      <c r="B452" s="319">
        <v>230</v>
      </c>
      <c r="C452" s="394" t="str">
        <f>IFERROR(VLOOKUP(A452,[3]DOORSCRIEFT!$A$2:$G$8551,2,FALSE),"")</f>
        <v/>
      </c>
      <c r="D452" s="393" t="str">
        <f>IFERROR(VLOOKUP(A452,[3]DOORSCRIEFT!$A$2:$G$8551,3,FALSE),"")</f>
        <v/>
      </c>
      <c r="E452" s="466" t="str">
        <f>IFERROR(VLOOKUP(A452,[3]DOORSCRIEFT!$A$2:$G$8551,4,FALSE),"")</f>
        <v/>
      </c>
      <c r="F452" s="405" t="str">
        <f>IFERROR(VLOOKUP(A452,[3]DOORSCRIEFT!$A$2:$G$8551,6,FALSE),"")</f>
        <v/>
      </c>
      <c r="G452" s="315"/>
    </row>
    <row r="453" spans="1:7" x14ac:dyDescent="0.25">
      <c r="A453" s="360" t="str">
        <f t="shared" si="9"/>
        <v>I.2.2.02.001231</v>
      </c>
      <c r="B453" s="339">
        <v>231</v>
      </c>
      <c r="C453" s="394" t="str">
        <f>IFERROR(VLOOKUP(A453,[3]DOORSCRIEFT!$A$2:$G$8551,2,FALSE),"")</f>
        <v/>
      </c>
      <c r="D453" s="393" t="str">
        <f>IFERROR(VLOOKUP(A453,[3]DOORSCRIEFT!$A$2:$G$8551,3,FALSE),"")</f>
        <v/>
      </c>
      <c r="E453" s="466" t="str">
        <f>IFERROR(VLOOKUP(A453,[3]DOORSCRIEFT!$A$2:$G$8551,4,FALSE),"")</f>
        <v/>
      </c>
      <c r="F453" s="405" t="str">
        <f>IFERROR(VLOOKUP(A453,[3]DOORSCRIEFT!$A$2:$G$8551,6,FALSE),"")</f>
        <v/>
      </c>
      <c r="G453" s="315"/>
    </row>
    <row r="454" spans="1:7" x14ac:dyDescent="0.25">
      <c r="A454" s="360" t="str">
        <f t="shared" si="9"/>
        <v>I.2.2.02.001232</v>
      </c>
      <c r="B454" s="319">
        <v>232</v>
      </c>
      <c r="C454" s="394" t="str">
        <f>IFERROR(VLOOKUP(A454,[3]DOORSCRIEFT!$A$2:$G$8551,2,FALSE),"")</f>
        <v/>
      </c>
      <c r="D454" s="393" t="str">
        <f>IFERROR(VLOOKUP(A454,[3]DOORSCRIEFT!$A$2:$G$8551,3,FALSE),"")</f>
        <v/>
      </c>
      <c r="E454" s="466" t="str">
        <f>IFERROR(VLOOKUP(A454,[3]DOORSCRIEFT!$A$2:$G$8551,4,FALSE),"")</f>
        <v/>
      </c>
      <c r="F454" s="405" t="str">
        <f>IFERROR(VLOOKUP(A454,[3]DOORSCRIEFT!$A$2:$G$8551,6,FALSE),"")</f>
        <v/>
      </c>
      <c r="G454" s="315"/>
    </row>
    <row r="455" spans="1:7" x14ac:dyDescent="0.25">
      <c r="A455" s="360" t="str">
        <f t="shared" si="9"/>
        <v>I.2.2.02.001233</v>
      </c>
      <c r="B455" s="339">
        <v>233</v>
      </c>
      <c r="C455" s="394" t="str">
        <f>IFERROR(VLOOKUP(A455,[3]DOORSCRIEFT!$A$2:$G$8551,2,FALSE),"")</f>
        <v/>
      </c>
      <c r="D455" s="393" t="str">
        <f>IFERROR(VLOOKUP(A455,[3]DOORSCRIEFT!$A$2:$G$8551,3,FALSE),"")</f>
        <v/>
      </c>
      <c r="E455" s="466" t="str">
        <f>IFERROR(VLOOKUP(A455,[3]DOORSCRIEFT!$A$2:$G$8551,4,FALSE),"")</f>
        <v/>
      </c>
      <c r="F455" s="405" t="str">
        <f>IFERROR(VLOOKUP(A455,[3]DOORSCRIEFT!$A$2:$G$8551,6,FALSE),"")</f>
        <v/>
      </c>
      <c r="G455" s="315"/>
    </row>
    <row r="456" spans="1:7" x14ac:dyDescent="0.25">
      <c r="A456" s="360" t="str">
        <f t="shared" si="9"/>
        <v>I.2.2.02.001234</v>
      </c>
      <c r="B456" s="319">
        <v>234</v>
      </c>
      <c r="C456" s="394" t="str">
        <f>IFERROR(VLOOKUP(A456,[3]DOORSCRIEFT!$A$2:$G$8551,2,FALSE),"")</f>
        <v/>
      </c>
      <c r="D456" s="393" t="str">
        <f>IFERROR(VLOOKUP(A456,[3]DOORSCRIEFT!$A$2:$G$8551,3,FALSE),"")</f>
        <v/>
      </c>
      <c r="E456" s="466" t="str">
        <f>IFERROR(VLOOKUP(A456,[3]DOORSCRIEFT!$A$2:$G$8551,4,FALSE),"")</f>
        <v/>
      </c>
      <c r="F456" s="405" t="str">
        <f>IFERROR(VLOOKUP(A456,[3]DOORSCRIEFT!$A$2:$G$8551,6,FALSE),"")</f>
        <v/>
      </c>
      <c r="G456" s="315"/>
    </row>
    <row r="457" spans="1:7" x14ac:dyDescent="0.25">
      <c r="A457" s="360" t="str">
        <f t="shared" si="9"/>
        <v>I.2.2.02.001235</v>
      </c>
      <c r="B457" s="339">
        <v>235</v>
      </c>
      <c r="C457" s="394" t="str">
        <f>IFERROR(VLOOKUP(A457,[3]DOORSCRIEFT!$A$2:$G$8551,2,FALSE),"")</f>
        <v/>
      </c>
      <c r="D457" s="393" t="str">
        <f>IFERROR(VLOOKUP(A457,[3]DOORSCRIEFT!$A$2:$G$8551,3,FALSE),"")</f>
        <v/>
      </c>
      <c r="E457" s="466" t="str">
        <f>IFERROR(VLOOKUP(A457,[3]DOORSCRIEFT!$A$2:$G$8551,4,FALSE),"")</f>
        <v/>
      </c>
      <c r="F457" s="405" t="str">
        <f>IFERROR(VLOOKUP(A457,[3]DOORSCRIEFT!$A$2:$G$8551,6,FALSE),"")</f>
        <v/>
      </c>
      <c r="G457" s="315"/>
    </row>
    <row r="458" spans="1:7" x14ac:dyDescent="0.25">
      <c r="A458" s="360" t="str">
        <f t="shared" si="9"/>
        <v>I.2.2.02.001236</v>
      </c>
      <c r="B458" s="319">
        <v>236</v>
      </c>
      <c r="C458" s="394" t="str">
        <f>IFERROR(VLOOKUP(A458,[3]DOORSCRIEFT!$A$2:$G$8551,2,FALSE),"")</f>
        <v/>
      </c>
      <c r="D458" s="393" t="str">
        <f>IFERROR(VLOOKUP(A458,[3]DOORSCRIEFT!$A$2:$G$8551,3,FALSE),"")</f>
        <v/>
      </c>
      <c r="E458" s="466" t="str">
        <f>IFERROR(VLOOKUP(A458,[3]DOORSCRIEFT!$A$2:$G$8551,4,FALSE),"")</f>
        <v/>
      </c>
      <c r="F458" s="405" t="str">
        <f>IFERROR(VLOOKUP(A458,[3]DOORSCRIEFT!$A$2:$G$8551,6,FALSE),"")</f>
        <v/>
      </c>
      <c r="G458" s="315"/>
    </row>
    <row r="459" spans="1:7" x14ac:dyDescent="0.25">
      <c r="A459" s="360" t="str">
        <f t="shared" si="9"/>
        <v>I.2.2.02.001237</v>
      </c>
      <c r="B459" s="339">
        <v>237</v>
      </c>
      <c r="C459" s="394" t="str">
        <f>IFERROR(VLOOKUP(A459,[3]DOORSCRIEFT!$A$2:$G$8551,2,FALSE),"")</f>
        <v/>
      </c>
      <c r="D459" s="393" t="str">
        <f>IFERROR(VLOOKUP(A459,[3]DOORSCRIEFT!$A$2:$G$8551,3,FALSE),"")</f>
        <v/>
      </c>
      <c r="E459" s="466" t="str">
        <f>IFERROR(VLOOKUP(A459,[3]DOORSCRIEFT!$A$2:$G$8551,4,FALSE),"")</f>
        <v/>
      </c>
      <c r="F459" s="405" t="str">
        <f>IFERROR(VLOOKUP(A459,[3]DOORSCRIEFT!$A$2:$G$8551,6,FALSE),"")</f>
        <v/>
      </c>
      <c r="G459" s="315"/>
    </row>
    <row r="460" spans="1:7" x14ac:dyDescent="0.25">
      <c r="A460" s="360" t="str">
        <f t="shared" si="9"/>
        <v>I.2.2.02.001238</v>
      </c>
      <c r="B460" s="319">
        <v>238</v>
      </c>
      <c r="C460" s="394" t="str">
        <f>IFERROR(VLOOKUP(A460,[3]DOORSCRIEFT!$A$2:$G$8551,2,FALSE),"")</f>
        <v/>
      </c>
      <c r="D460" s="393" t="str">
        <f>IFERROR(VLOOKUP(A460,[3]DOORSCRIEFT!$A$2:$G$8551,3,FALSE),"")</f>
        <v/>
      </c>
      <c r="E460" s="466" t="str">
        <f>IFERROR(VLOOKUP(A460,[3]DOORSCRIEFT!$A$2:$G$8551,4,FALSE),"")</f>
        <v/>
      </c>
      <c r="F460" s="405" t="str">
        <f>IFERROR(VLOOKUP(A460,[3]DOORSCRIEFT!$A$2:$G$8551,6,FALSE),"")</f>
        <v/>
      </c>
      <c r="G460" s="315"/>
    </row>
    <row r="461" spans="1:7" x14ac:dyDescent="0.25">
      <c r="A461" s="360" t="str">
        <f t="shared" si="9"/>
        <v>I.2.2.02.001239</v>
      </c>
      <c r="B461" s="339">
        <v>239</v>
      </c>
      <c r="C461" s="394" t="str">
        <f>IFERROR(VLOOKUP(A461,[3]DOORSCRIEFT!$A$2:$G$8551,2,FALSE),"")</f>
        <v/>
      </c>
      <c r="D461" s="393" t="str">
        <f>IFERROR(VLOOKUP(A461,[3]DOORSCRIEFT!$A$2:$G$8551,3,FALSE),"")</f>
        <v/>
      </c>
      <c r="E461" s="466" t="str">
        <f>IFERROR(VLOOKUP(A461,[3]DOORSCRIEFT!$A$2:$G$8551,4,FALSE),"")</f>
        <v/>
      </c>
      <c r="F461" s="405" t="str">
        <f>IFERROR(VLOOKUP(A461,[3]DOORSCRIEFT!$A$2:$G$8551,6,FALSE),"")</f>
        <v/>
      </c>
      <c r="G461" s="315"/>
    </row>
    <row r="462" spans="1:7" x14ac:dyDescent="0.25">
      <c r="A462" s="360" t="str">
        <f t="shared" si="9"/>
        <v>I.2.2.02.001240</v>
      </c>
      <c r="B462" s="319">
        <v>240</v>
      </c>
      <c r="C462" s="394" t="str">
        <f>IFERROR(VLOOKUP(A462,[3]DOORSCRIEFT!$A$2:$G$8551,2,FALSE),"")</f>
        <v/>
      </c>
      <c r="D462" s="393" t="str">
        <f>IFERROR(VLOOKUP(A462,[3]DOORSCRIEFT!$A$2:$G$8551,3,FALSE),"")</f>
        <v/>
      </c>
      <c r="E462" s="466" t="str">
        <f>IFERROR(VLOOKUP(A462,[3]DOORSCRIEFT!$A$2:$G$8551,4,FALSE),"")</f>
        <v/>
      </c>
      <c r="F462" s="405" t="str">
        <f>IFERROR(VLOOKUP(A462,[3]DOORSCRIEFT!$A$2:$G$8551,6,FALSE),"")</f>
        <v/>
      </c>
      <c r="G462" s="315"/>
    </row>
    <row r="463" spans="1:7" x14ac:dyDescent="0.25">
      <c r="A463" s="360" t="str">
        <f t="shared" si="9"/>
        <v>I.2.2.02.001241</v>
      </c>
      <c r="B463" s="339">
        <v>241</v>
      </c>
      <c r="C463" s="394" t="str">
        <f>IFERROR(VLOOKUP(A463,[3]DOORSCRIEFT!$A$2:$G$8551,2,FALSE),"")</f>
        <v/>
      </c>
      <c r="D463" s="393" t="str">
        <f>IFERROR(VLOOKUP(A463,[3]DOORSCRIEFT!$A$2:$G$8551,3,FALSE),"")</f>
        <v/>
      </c>
      <c r="E463" s="466" t="str">
        <f>IFERROR(VLOOKUP(A463,[3]DOORSCRIEFT!$A$2:$G$8551,4,FALSE),"")</f>
        <v/>
      </c>
      <c r="F463" s="405" t="str">
        <f>IFERROR(VLOOKUP(A463,[3]DOORSCRIEFT!$A$2:$G$8551,6,FALSE),"")</f>
        <v/>
      </c>
      <c r="G463" s="315"/>
    </row>
    <row r="464" spans="1:7" x14ac:dyDescent="0.25">
      <c r="A464" s="360" t="str">
        <f t="shared" si="9"/>
        <v>I.2.2.02.001242</v>
      </c>
      <c r="B464" s="319">
        <v>242</v>
      </c>
      <c r="C464" s="394" t="str">
        <f>IFERROR(VLOOKUP(A464,[3]DOORSCRIEFT!$A$2:$G$8551,2,FALSE),"")</f>
        <v/>
      </c>
      <c r="D464" s="393" t="str">
        <f>IFERROR(VLOOKUP(A464,[3]DOORSCRIEFT!$A$2:$G$8551,3,FALSE),"")</f>
        <v/>
      </c>
      <c r="E464" s="466" t="str">
        <f>IFERROR(VLOOKUP(A464,[3]DOORSCRIEFT!$A$2:$G$8551,4,FALSE),"")</f>
        <v/>
      </c>
      <c r="F464" s="405" t="str">
        <f>IFERROR(VLOOKUP(A464,[3]DOORSCRIEFT!$A$2:$G$8551,6,FALSE),"")</f>
        <v/>
      </c>
      <c r="G464" s="315"/>
    </row>
    <row r="465" spans="1:7" x14ac:dyDescent="0.25">
      <c r="A465" s="360" t="str">
        <f t="shared" si="9"/>
        <v>I.2.2.02.001243</v>
      </c>
      <c r="B465" s="339">
        <v>243</v>
      </c>
      <c r="C465" s="394" t="str">
        <f>IFERROR(VLOOKUP(A465,[3]DOORSCRIEFT!$A$2:$G$8551,2,FALSE),"")</f>
        <v/>
      </c>
      <c r="D465" s="393" t="str">
        <f>IFERROR(VLOOKUP(A465,[3]DOORSCRIEFT!$A$2:$G$8551,3,FALSE),"")</f>
        <v/>
      </c>
      <c r="E465" s="466" t="str">
        <f>IFERROR(VLOOKUP(A465,[3]DOORSCRIEFT!$A$2:$G$8551,4,FALSE),"")</f>
        <v/>
      </c>
      <c r="F465" s="405" t="str">
        <f>IFERROR(VLOOKUP(A465,[3]DOORSCRIEFT!$A$2:$G$8551,6,FALSE),"")</f>
        <v/>
      </c>
      <c r="G465" s="315"/>
    </row>
    <row r="466" spans="1:7" x14ac:dyDescent="0.25">
      <c r="A466" s="360" t="str">
        <f t="shared" si="9"/>
        <v>I.2.2.02.001244</v>
      </c>
      <c r="B466" s="319">
        <v>244</v>
      </c>
      <c r="C466" s="394" t="str">
        <f>IFERROR(VLOOKUP(A466,[3]DOORSCRIEFT!$A$2:$G$8551,2,FALSE),"")</f>
        <v/>
      </c>
      <c r="D466" s="393" t="str">
        <f>IFERROR(VLOOKUP(A466,[3]DOORSCRIEFT!$A$2:$G$8551,3,FALSE),"")</f>
        <v/>
      </c>
      <c r="E466" s="466" t="str">
        <f>IFERROR(VLOOKUP(A466,[3]DOORSCRIEFT!$A$2:$G$8551,4,FALSE),"")</f>
        <v/>
      </c>
      <c r="F466" s="405" t="str">
        <f>IFERROR(VLOOKUP(A466,[3]DOORSCRIEFT!$A$2:$G$8551,6,FALSE),"")</f>
        <v/>
      </c>
      <c r="G466" s="315"/>
    </row>
    <row r="467" spans="1:7" x14ac:dyDescent="0.25">
      <c r="A467" s="360" t="str">
        <f t="shared" si="9"/>
        <v>I.2.2.02.001245</v>
      </c>
      <c r="B467" s="339">
        <v>245</v>
      </c>
      <c r="C467" s="394" t="str">
        <f>IFERROR(VLOOKUP(A467,[3]DOORSCRIEFT!$A$2:$G$8551,2,FALSE),"")</f>
        <v/>
      </c>
      <c r="D467" s="393" t="str">
        <f>IFERROR(VLOOKUP(A467,[3]DOORSCRIEFT!$A$2:$G$8551,3,FALSE),"")</f>
        <v/>
      </c>
      <c r="E467" s="466" t="str">
        <f>IFERROR(VLOOKUP(A467,[3]DOORSCRIEFT!$A$2:$G$8551,4,FALSE),"")</f>
        <v/>
      </c>
      <c r="F467" s="405" t="str">
        <f>IFERROR(VLOOKUP(A467,[3]DOORSCRIEFT!$A$2:$G$8551,6,FALSE),"")</f>
        <v/>
      </c>
      <c r="G467" s="315"/>
    </row>
    <row r="468" spans="1:7" x14ac:dyDescent="0.25">
      <c r="A468" s="360" t="str">
        <f t="shared" si="9"/>
        <v>I.2.2.02.001246</v>
      </c>
      <c r="B468" s="319">
        <v>246</v>
      </c>
      <c r="C468" s="394" t="str">
        <f>IFERROR(VLOOKUP(A468,[3]DOORSCRIEFT!$A$2:$G$8551,2,FALSE),"")</f>
        <v/>
      </c>
      <c r="D468" s="393" t="str">
        <f>IFERROR(VLOOKUP(A468,[3]DOORSCRIEFT!$A$2:$G$8551,3,FALSE),"")</f>
        <v/>
      </c>
      <c r="E468" s="466" t="str">
        <f>IFERROR(VLOOKUP(A468,[3]DOORSCRIEFT!$A$2:$G$8551,4,FALSE),"")</f>
        <v/>
      </c>
      <c r="F468" s="405" t="str">
        <f>IFERROR(VLOOKUP(A468,[3]DOORSCRIEFT!$A$2:$G$8551,6,FALSE),"")</f>
        <v/>
      </c>
      <c r="G468" s="315"/>
    </row>
    <row r="469" spans="1:7" x14ac:dyDescent="0.25">
      <c r="A469" s="360" t="str">
        <f t="shared" si="9"/>
        <v>I.2.2.02.001247</v>
      </c>
      <c r="B469" s="339">
        <v>247</v>
      </c>
      <c r="C469" s="394" t="str">
        <f>IFERROR(VLOOKUP(A469,[3]DOORSCRIEFT!$A$2:$G$8551,2,FALSE),"")</f>
        <v/>
      </c>
      <c r="D469" s="393" t="str">
        <f>IFERROR(VLOOKUP(A469,[3]DOORSCRIEFT!$A$2:$G$8551,3,FALSE),"")</f>
        <v/>
      </c>
      <c r="E469" s="466" t="str">
        <f>IFERROR(VLOOKUP(A469,[3]DOORSCRIEFT!$A$2:$G$8551,4,FALSE),"")</f>
        <v/>
      </c>
      <c r="F469" s="405" t="str">
        <f>IFERROR(VLOOKUP(A469,[3]DOORSCRIEFT!$A$2:$G$8551,6,FALSE),"")</f>
        <v/>
      </c>
      <c r="G469" s="315"/>
    </row>
    <row r="470" spans="1:7" x14ac:dyDescent="0.25">
      <c r="A470" s="360" t="str">
        <f t="shared" si="9"/>
        <v>I.2.2.02.001248</v>
      </c>
      <c r="B470" s="319">
        <v>248</v>
      </c>
      <c r="C470" s="394" t="str">
        <f>IFERROR(VLOOKUP(A470,[3]DOORSCRIEFT!$A$2:$G$8551,2,FALSE),"")</f>
        <v/>
      </c>
      <c r="D470" s="393" t="str">
        <f>IFERROR(VLOOKUP(A470,[3]DOORSCRIEFT!$A$2:$G$8551,3,FALSE),"")</f>
        <v/>
      </c>
      <c r="E470" s="466" t="str">
        <f>IFERROR(VLOOKUP(A470,[3]DOORSCRIEFT!$A$2:$G$8551,4,FALSE),"")</f>
        <v/>
      </c>
      <c r="F470" s="405" t="str">
        <f>IFERROR(VLOOKUP(A470,[3]DOORSCRIEFT!$A$2:$G$8551,6,FALSE),"")</f>
        <v/>
      </c>
      <c r="G470" s="315"/>
    </row>
    <row r="471" spans="1:7" x14ac:dyDescent="0.25">
      <c r="A471" s="360" t="str">
        <f t="shared" si="9"/>
        <v>I.2.2.02.001249</v>
      </c>
      <c r="B471" s="339">
        <v>249</v>
      </c>
      <c r="C471" s="394" t="str">
        <f>IFERROR(VLOOKUP(A471,[3]DOORSCRIEFT!$A$2:$G$8551,2,FALSE),"")</f>
        <v/>
      </c>
      <c r="D471" s="393" t="str">
        <f>IFERROR(VLOOKUP(A471,[3]DOORSCRIEFT!$A$2:$G$8551,3,FALSE),"")</f>
        <v/>
      </c>
      <c r="E471" s="466" t="str">
        <f>IFERROR(VLOOKUP(A471,[3]DOORSCRIEFT!$A$2:$G$8551,4,FALSE),"")</f>
        <v/>
      </c>
      <c r="F471" s="405" t="str">
        <f>IFERROR(VLOOKUP(A471,[3]DOORSCRIEFT!$A$2:$G$8551,6,FALSE),"")</f>
        <v/>
      </c>
      <c r="G471" s="315"/>
    </row>
    <row r="472" spans="1:7" x14ac:dyDescent="0.25">
      <c r="A472" s="360" t="str">
        <f t="shared" si="9"/>
        <v>I.2.2.02.001250</v>
      </c>
      <c r="B472" s="319">
        <v>250</v>
      </c>
      <c r="C472" s="394" t="str">
        <f>IFERROR(VLOOKUP(A472,[3]DOORSCRIEFT!$A$2:$G$8551,2,FALSE),"")</f>
        <v/>
      </c>
      <c r="D472" s="393" t="str">
        <f>IFERROR(VLOOKUP(A472,[3]DOORSCRIEFT!$A$2:$G$8551,3,FALSE),"")</f>
        <v/>
      </c>
      <c r="E472" s="466" t="str">
        <f>IFERROR(VLOOKUP(A472,[3]DOORSCRIEFT!$A$2:$G$8551,4,FALSE),"")</f>
        <v/>
      </c>
      <c r="F472" s="405" t="str">
        <f>IFERROR(VLOOKUP(A472,[3]DOORSCRIEFT!$A$2:$G$8551,6,FALSE),"")</f>
        <v/>
      </c>
      <c r="G472" s="315"/>
    </row>
    <row r="473" spans="1:7" x14ac:dyDescent="0.25">
      <c r="A473" s="360" t="str">
        <f t="shared" si="9"/>
        <v>I.2.2.02.001251</v>
      </c>
      <c r="B473" s="339">
        <v>251</v>
      </c>
      <c r="C473" s="394" t="str">
        <f>IFERROR(VLOOKUP(A473,[3]DOORSCRIEFT!$A$2:$G$8551,2,FALSE),"")</f>
        <v/>
      </c>
      <c r="D473" s="393" t="str">
        <f>IFERROR(VLOOKUP(A473,[3]DOORSCRIEFT!$A$2:$G$8551,3,FALSE),"")</f>
        <v/>
      </c>
      <c r="E473" s="466" t="str">
        <f>IFERROR(VLOOKUP(A473,[3]DOORSCRIEFT!$A$2:$G$8551,4,FALSE),"")</f>
        <v/>
      </c>
      <c r="F473" s="405" t="str">
        <f>IFERROR(VLOOKUP(A473,[3]DOORSCRIEFT!$A$2:$G$8551,6,FALSE),"")</f>
        <v/>
      </c>
      <c r="G473" s="315"/>
    </row>
    <row r="474" spans="1:7" x14ac:dyDescent="0.25">
      <c r="A474" s="360" t="str">
        <f t="shared" si="9"/>
        <v>I.2.2.02.001252</v>
      </c>
      <c r="B474" s="319">
        <v>252</v>
      </c>
      <c r="C474" s="394" t="str">
        <f>IFERROR(VLOOKUP(A474,[3]DOORSCRIEFT!$A$2:$G$8551,2,FALSE),"")</f>
        <v/>
      </c>
      <c r="D474" s="393" t="str">
        <f>IFERROR(VLOOKUP(A474,[3]DOORSCRIEFT!$A$2:$G$8551,3,FALSE),"")</f>
        <v/>
      </c>
      <c r="E474" s="466" t="str">
        <f>IFERROR(VLOOKUP(A474,[3]DOORSCRIEFT!$A$2:$G$8551,4,FALSE),"")</f>
        <v/>
      </c>
      <c r="F474" s="405" t="str">
        <f>IFERROR(VLOOKUP(A474,[3]DOORSCRIEFT!$A$2:$G$8551,6,FALSE),"")</f>
        <v/>
      </c>
      <c r="G474" s="315"/>
    </row>
    <row r="475" spans="1:7" x14ac:dyDescent="0.25">
      <c r="A475" s="360" t="str">
        <f t="shared" si="9"/>
        <v>I.2.2.02.001253</v>
      </c>
      <c r="B475" s="339">
        <v>253</v>
      </c>
      <c r="C475" s="394" t="str">
        <f>IFERROR(VLOOKUP(A475,[3]DOORSCRIEFT!$A$2:$G$8551,2,FALSE),"")</f>
        <v/>
      </c>
      <c r="D475" s="393" t="str">
        <f>IFERROR(VLOOKUP(A475,[3]DOORSCRIEFT!$A$2:$G$8551,3,FALSE),"")</f>
        <v/>
      </c>
      <c r="E475" s="466" t="str">
        <f>IFERROR(VLOOKUP(A475,[3]DOORSCRIEFT!$A$2:$G$8551,4,FALSE),"")</f>
        <v/>
      </c>
      <c r="F475" s="405" t="str">
        <f>IFERROR(VLOOKUP(A475,[3]DOORSCRIEFT!$A$2:$G$8551,6,FALSE),"")</f>
        <v/>
      </c>
      <c r="G475" s="315"/>
    </row>
    <row r="476" spans="1:7" x14ac:dyDescent="0.25">
      <c r="A476" s="360" t="str">
        <f t="shared" si="9"/>
        <v>I.2.2.02.001254</v>
      </c>
      <c r="B476" s="319">
        <v>254</v>
      </c>
      <c r="C476" s="394" t="str">
        <f>IFERROR(VLOOKUP(A476,[3]DOORSCRIEFT!$A$2:$G$8551,2,FALSE),"")</f>
        <v/>
      </c>
      <c r="D476" s="393" t="str">
        <f>IFERROR(VLOOKUP(A476,[3]DOORSCRIEFT!$A$2:$G$8551,3,FALSE),"")</f>
        <v/>
      </c>
      <c r="E476" s="466" t="str">
        <f>IFERROR(VLOOKUP(A476,[3]DOORSCRIEFT!$A$2:$G$8551,4,FALSE),"")</f>
        <v/>
      </c>
      <c r="F476" s="405" t="str">
        <f>IFERROR(VLOOKUP(A476,[3]DOORSCRIEFT!$A$2:$G$8551,6,FALSE),"")</f>
        <v/>
      </c>
      <c r="G476" s="315"/>
    </row>
    <row r="477" spans="1:7" x14ac:dyDescent="0.25">
      <c r="A477" s="360" t="str">
        <f t="shared" si="9"/>
        <v>I.2.2.02.001255</v>
      </c>
      <c r="B477" s="339">
        <v>255</v>
      </c>
      <c r="C477" s="394" t="str">
        <f>IFERROR(VLOOKUP(A477,[3]DOORSCRIEFT!$A$2:$G$8551,2,FALSE),"")</f>
        <v/>
      </c>
      <c r="D477" s="393" t="str">
        <f>IFERROR(VLOOKUP(A477,[3]DOORSCRIEFT!$A$2:$G$8551,3,FALSE),"")</f>
        <v/>
      </c>
      <c r="E477" s="466" t="str">
        <f>IFERROR(VLOOKUP(A477,[3]DOORSCRIEFT!$A$2:$G$8551,4,FALSE),"")</f>
        <v/>
      </c>
      <c r="F477" s="405" t="str">
        <f>IFERROR(VLOOKUP(A477,[3]DOORSCRIEFT!$A$2:$G$8551,6,FALSE),"")</f>
        <v/>
      </c>
      <c r="G477" s="315"/>
    </row>
    <row r="478" spans="1:7" x14ac:dyDescent="0.25">
      <c r="A478" s="360" t="str">
        <f t="shared" si="9"/>
        <v>I.2.2.02.001256</v>
      </c>
      <c r="B478" s="319">
        <v>256</v>
      </c>
      <c r="C478" s="394" t="str">
        <f>IFERROR(VLOOKUP(A478,[3]DOORSCRIEFT!$A$2:$G$8551,2,FALSE),"")</f>
        <v/>
      </c>
      <c r="D478" s="393" t="str">
        <f>IFERROR(VLOOKUP(A478,[3]DOORSCRIEFT!$A$2:$G$8551,3,FALSE),"")</f>
        <v/>
      </c>
      <c r="E478" s="466" t="str">
        <f>IFERROR(VLOOKUP(A478,[3]DOORSCRIEFT!$A$2:$G$8551,4,FALSE),"")</f>
        <v/>
      </c>
      <c r="F478" s="405" t="str">
        <f>IFERROR(VLOOKUP(A478,[3]DOORSCRIEFT!$A$2:$G$8551,6,FALSE),"")</f>
        <v/>
      </c>
      <c r="G478" s="315"/>
    </row>
    <row r="479" spans="1:7" x14ac:dyDescent="0.25">
      <c r="A479" s="360" t="str">
        <f t="shared" ref="A479:A542" si="10">$G$216&amp;B479</f>
        <v>I.2.2.02.001257</v>
      </c>
      <c r="B479" s="339">
        <v>257</v>
      </c>
      <c r="C479" s="394" t="str">
        <f>IFERROR(VLOOKUP(A479,[3]DOORSCRIEFT!$A$2:$G$8551,2,FALSE),"")</f>
        <v/>
      </c>
      <c r="D479" s="393" t="str">
        <f>IFERROR(VLOOKUP(A479,[3]DOORSCRIEFT!$A$2:$G$8551,3,FALSE),"")</f>
        <v/>
      </c>
      <c r="E479" s="466" t="str">
        <f>IFERROR(VLOOKUP(A479,[3]DOORSCRIEFT!$A$2:$G$8551,4,FALSE),"")</f>
        <v/>
      </c>
      <c r="F479" s="405" t="str">
        <f>IFERROR(VLOOKUP(A479,[3]DOORSCRIEFT!$A$2:$G$8551,6,FALSE),"")</f>
        <v/>
      </c>
      <c r="G479" s="315"/>
    </row>
    <row r="480" spans="1:7" x14ac:dyDescent="0.25">
      <c r="A480" s="360" t="str">
        <f t="shared" si="10"/>
        <v>I.2.2.02.001258</v>
      </c>
      <c r="B480" s="319">
        <v>258</v>
      </c>
      <c r="C480" s="394" t="str">
        <f>IFERROR(VLOOKUP(A480,[3]DOORSCRIEFT!$A$2:$G$8551,2,FALSE),"")</f>
        <v/>
      </c>
      <c r="D480" s="393" t="str">
        <f>IFERROR(VLOOKUP(A480,[3]DOORSCRIEFT!$A$2:$G$8551,3,FALSE),"")</f>
        <v/>
      </c>
      <c r="E480" s="466" t="str">
        <f>IFERROR(VLOOKUP(A480,[3]DOORSCRIEFT!$A$2:$G$8551,4,FALSE),"")</f>
        <v/>
      </c>
      <c r="F480" s="405" t="str">
        <f>IFERROR(VLOOKUP(A480,[3]DOORSCRIEFT!$A$2:$G$8551,6,FALSE),"")</f>
        <v/>
      </c>
      <c r="G480" s="315"/>
    </row>
    <row r="481" spans="1:7" x14ac:dyDescent="0.25">
      <c r="A481" s="360" t="str">
        <f t="shared" si="10"/>
        <v>I.2.2.02.001259</v>
      </c>
      <c r="B481" s="339">
        <v>259</v>
      </c>
      <c r="C481" s="394" t="str">
        <f>IFERROR(VLOOKUP(A481,[3]DOORSCRIEFT!$A$2:$G$8551,2,FALSE),"")</f>
        <v/>
      </c>
      <c r="D481" s="393" t="str">
        <f>IFERROR(VLOOKUP(A481,[3]DOORSCRIEFT!$A$2:$G$8551,3,FALSE),"")</f>
        <v/>
      </c>
      <c r="E481" s="466" t="str">
        <f>IFERROR(VLOOKUP(A481,[3]DOORSCRIEFT!$A$2:$G$8551,4,FALSE),"")</f>
        <v/>
      </c>
      <c r="F481" s="405" t="str">
        <f>IFERROR(VLOOKUP(A481,[3]DOORSCRIEFT!$A$2:$G$8551,6,FALSE),"")</f>
        <v/>
      </c>
      <c r="G481" s="315"/>
    </row>
    <row r="482" spans="1:7" x14ac:dyDescent="0.25">
      <c r="A482" s="360" t="str">
        <f t="shared" si="10"/>
        <v>I.2.2.02.001260</v>
      </c>
      <c r="B482" s="319">
        <v>260</v>
      </c>
      <c r="C482" s="394" t="str">
        <f>IFERROR(VLOOKUP(A482,[3]DOORSCRIEFT!$A$2:$G$8551,2,FALSE),"")</f>
        <v/>
      </c>
      <c r="D482" s="393" t="str">
        <f>IFERROR(VLOOKUP(A482,[3]DOORSCRIEFT!$A$2:$G$8551,3,FALSE),"")</f>
        <v/>
      </c>
      <c r="E482" s="466" t="str">
        <f>IFERROR(VLOOKUP(A482,[3]DOORSCRIEFT!$A$2:$G$8551,4,FALSE),"")</f>
        <v/>
      </c>
      <c r="F482" s="405" t="str">
        <f>IFERROR(VLOOKUP(A482,[3]DOORSCRIEFT!$A$2:$G$8551,6,FALSE),"")</f>
        <v/>
      </c>
      <c r="G482" s="315"/>
    </row>
    <row r="483" spans="1:7" x14ac:dyDescent="0.25">
      <c r="A483" s="360" t="str">
        <f t="shared" si="10"/>
        <v>I.2.2.02.001261</v>
      </c>
      <c r="B483" s="339">
        <v>261</v>
      </c>
      <c r="C483" s="394" t="str">
        <f>IFERROR(VLOOKUP(A483,[3]DOORSCRIEFT!$A$2:$G$8551,2,FALSE),"")</f>
        <v/>
      </c>
      <c r="D483" s="393" t="str">
        <f>IFERROR(VLOOKUP(A483,[3]DOORSCRIEFT!$A$2:$G$8551,3,FALSE),"")</f>
        <v/>
      </c>
      <c r="E483" s="466" t="str">
        <f>IFERROR(VLOOKUP(A483,[3]DOORSCRIEFT!$A$2:$G$8551,4,FALSE),"")</f>
        <v/>
      </c>
      <c r="F483" s="405" t="str">
        <f>IFERROR(VLOOKUP(A483,[3]DOORSCRIEFT!$A$2:$G$8551,6,FALSE),"")</f>
        <v/>
      </c>
      <c r="G483" s="315"/>
    </row>
    <row r="484" spans="1:7" x14ac:dyDescent="0.25">
      <c r="A484" s="360" t="str">
        <f t="shared" si="10"/>
        <v>I.2.2.02.001262</v>
      </c>
      <c r="B484" s="319">
        <v>262</v>
      </c>
      <c r="C484" s="394" t="str">
        <f>IFERROR(VLOOKUP(A484,[3]DOORSCRIEFT!$A$2:$G$8551,2,FALSE),"")</f>
        <v/>
      </c>
      <c r="D484" s="393" t="str">
        <f>IFERROR(VLOOKUP(A484,[3]DOORSCRIEFT!$A$2:$G$8551,3,FALSE),"")</f>
        <v/>
      </c>
      <c r="E484" s="466" t="str">
        <f>IFERROR(VLOOKUP(A484,[3]DOORSCRIEFT!$A$2:$G$8551,4,FALSE),"")</f>
        <v/>
      </c>
      <c r="F484" s="405" t="str">
        <f>IFERROR(VLOOKUP(A484,[3]DOORSCRIEFT!$A$2:$G$8551,6,FALSE),"")</f>
        <v/>
      </c>
      <c r="G484" s="315"/>
    </row>
    <row r="485" spans="1:7" x14ac:dyDescent="0.25">
      <c r="A485" s="360" t="str">
        <f t="shared" si="10"/>
        <v>I.2.2.02.001263</v>
      </c>
      <c r="B485" s="339">
        <v>263</v>
      </c>
      <c r="C485" s="394" t="str">
        <f>IFERROR(VLOOKUP(A485,[3]DOORSCRIEFT!$A$2:$G$8551,2,FALSE),"")</f>
        <v/>
      </c>
      <c r="D485" s="393" t="str">
        <f>IFERROR(VLOOKUP(A485,[3]DOORSCRIEFT!$A$2:$G$8551,3,FALSE),"")</f>
        <v/>
      </c>
      <c r="E485" s="466" t="str">
        <f>IFERROR(VLOOKUP(A485,[3]DOORSCRIEFT!$A$2:$G$8551,4,FALSE),"")</f>
        <v/>
      </c>
      <c r="F485" s="405" t="str">
        <f>IFERROR(VLOOKUP(A485,[3]DOORSCRIEFT!$A$2:$G$8551,6,FALSE),"")</f>
        <v/>
      </c>
      <c r="G485" s="315"/>
    </row>
    <row r="486" spans="1:7" x14ac:dyDescent="0.25">
      <c r="A486" s="360" t="str">
        <f t="shared" si="10"/>
        <v>I.2.2.02.001264</v>
      </c>
      <c r="B486" s="319">
        <v>264</v>
      </c>
      <c r="C486" s="394" t="str">
        <f>IFERROR(VLOOKUP(A486,[3]DOORSCRIEFT!$A$2:$G$8551,2,FALSE),"")</f>
        <v/>
      </c>
      <c r="D486" s="393" t="str">
        <f>IFERROR(VLOOKUP(A486,[3]DOORSCRIEFT!$A$2:$G$8551,3,FALSE),"")</f>
        <v/>
      </c>
      <c r="E486" s="466" t="str">
        <f>IFERROR(VLOOKUP(A486,[3]DOORSCRIEFT!$A$2:$G$8551,4,FALSE),"")</f>
        <v/>
      </c>
      <c r="F486" s="405" t="str">
        <f>IFERROR(VLOOKUP(A486,[3]DOORSCRIEFT!$A$2:$G$8551,6,FALSE),"")</f>
        <v/>
      </c>
      <c r="G486" s="315"/>
    </row>
    <row r="487" spans="1:7" x14ac:dyDescent="0.25">
      <c r="A487" s="360" t="str">
        <f t="shared" si="10"/>
        <v>I.2.2.02.001265</v>
      </c>
      <c r="B487" s="339">
        <v>265</v>
      </c>
      <c r="C487" s="394" t="str">
        <f>IFERROR(VLOOKUP(A487,[3]DOORSCRIEFT!$A$2:$G$8551,2,FALSE),"")</f>
        <v/>
      </c>
      <c r="D487" s="393" t="str">
        <f>IFERROR(VLOOKUP(A487,[3]DOORSCRIEFT!$A$2:$G$8551,3,FALSE),"")</f>
        <v/>
      </c>
      <c r="E487" s="466" t="str">
        <f>IFERROR(VLOOKUP(A487,[3]DOORSCRIEFT!$A$2:$G$8551,4,FALSE),"")</f>
        <v/>
      </c>
      <c r="F487" s="405" t="str">
        <f>IFERROR(VLOOKUP(A487,[3]DOORSCRIEFT!$A$2:$G$8551,6,FALSE),"")</f>
        <v/>
      </c>
      <c r="G487" s="315"/>
    </row>
    <row r="488" spans="1:7" x14ac:dyDescent="0.25">
      <c r="A488" s="360" t="str">
        <f t="shared" si="10"/>
        <v>I.2.2.02.001266</v>
      </c>
      <c r="B488" s="319">
        <v>266</v>
      </c>
      <c r="C488" s="394" t="str">
        <f>IFERROR(VLOOKUP(A488,[3]DOORSCRIEFT!$A$2:$G$8551,2,FALSE),"")</f>
        <v/>
      </c>
      <c r="D488" s="393" t="str">
        <f>IFERROR(VLOOKUP(A488,[3]DOORSCRIEFT!$A$2:$G$8551,3,FALSE),"")</f>
        <v/>
      </c>
      <c r="E488" s="466" t="str">
        <f>IFERROR(VLOOKUP(A488,[3]DOORSCRIEFT!$A$2:$G$8551,4,FALSE),"")</f>
        <v/>
      </c>
      <c r="F488" s="405" t="str">
        <f>IFERROR(VLOOKUP(A488,[3]DOORSCRIEFT!$A$2:$G$8551,6,FALSE),"")</f>
        <v/>
      </c>
      <c r="G488" s="315"/>
    </row>
    <row r="489" spans="1:7" x14ac:dyDescent="0.25">
      <c r="A489" s="360" t="str">
        <f t="shared" si="10"/>
        <v>I.2.2.02.001267</v>
      </c>
      <c r="B489" s="339">
        <v>267</v>
      </c>
      <c r="C489" s="394" t="str">
        <f>IFERROR(VLOOKUP(A489,[3]DOORSCRIEFT!$A$2:$G$8551,2,FALSE),"")</f>
        <v/>
      </c>
      <c r="D489" s="393" t="str">
        <f>IFERROR(VLOOKUP(A489,[3]DOORSCRIEFT!$A$2:$G$8551,3,FALSE),"")</f>
        <v/>
      </c>
      <c r="E489" s="466" t="str">
        <f>IFERROR(VLOOKUP(A489,[3]DOORSCRIEFT!$A$2:$G$8551,4,FALSE),"")</f>
        <v/>
      </c>
      <c r="F489" s="405" t="str">
        <f>IFERROR(VLOOKUP(A489,[3]DOORSCRIEFT!$A$2:$G$8551,6,FALSE),"")</f>
        <v/>
      </c>
      <c r="G489" s="315"/>
    </row>
    <row r="490" spans="1:7" x14ac:dyDescent="0.25">
      <c r="A490" s="360" t="str">
        <f t="shared" si="10"/>
        <v>I.2.2.02.001268</v>
      </c>
      <c r="B490" s="319">
        <v>268</v>
      </c>
      <c r="C490" s="394" t="str">
        <f>IFERROR(VLOOKUP(A490,[3]DOORSCRIEFT!$A$2:$G$8551,2,FALSE),"")</f>
        <v/>
      </c>
      <c r="D490" s="393" t="str">
        <f>IFERROR(VLOOKUP(A490,[3]DOORSCRIEFT!$A$2:$G$8551,3,FALSE),"")</f>
        <v/>
      </c>
      <c r="E490" s="466" t="str">
        <f>IFERROR(VLOOKUP(A490,[3]DOORSCRIEFT!$A$2:$G$8551,4,FALSE),"")</f>
        <v/>
      </c>
      <c r="F490" s="405" t="str">
        <f>IFERROR(VLOOKUP(A490,[3]DOORSCRIEFT!$A$2:$G$8551,6,FALSE),"")</f>
        <v/>
      </c>
      <c r="G490" s="315"/>
    </row>
    <row r="491" spans="1:7" x14ac:dyDescent="0.25">
      <c r="A491" s="360" t="str">
        <f t="shared" si="10"/>
        <v>I.2.2.02.001269</v>
      </c>
      <c r="B491" s="339">
        <v>269</v>
      </c>
      <c r="C491" s="394" t="str">
        <f>IFERROR(VLOOKUP(A491,[3]DOORSCRIEFT!$A$2:$G$8551,2,FALSE),"")</f>
        <v/>
      </c>
      <c r="D491" s="393" t="str">
        <f>IFERROR(VLOOKUP(A491,[3]DOORSCRIEFT!$A$2:$G$8551,3,FALSE),"")</f>
        <v/>
      </c>
      <c r="E491" s="466" t="str">
        <f>IFERROR(VLOOKUP(A491,[3]DOORSCRIEFT!$A$2:$G$8551,4,FALSE),"")</f>
        <v/>
      </c>
      <c r="F491" s="405" t="str">
        <f>IFERROR(VLOOKUP(A491,[3]DOORSCRIEFT!$A$2:$G$8551,6,FALSE),"")</f>
        <v/>
      </c>
      <c r="G491" s="315"/>
    </row>
    <row r="492" spans="1:7" x14ac:dyDescent="0.25">
      <c r="A492" s="360" t="str">
        <f t="shared" si="10"/>
        <v>I.2.2.02.001270</v>
      </c>
      <c r="B492" s="319">
        <v>270</v>
      </c>
      <c r="C492" s="394" t="str">
        <f>IFERROR(VLOOKUP(A492,[3]DOORSCRIEFT!$A$2:$G$8551,2,FALSE),"")</f>
        <v/>
      </c>
      <c r="D492" s="393" t="str">
        <f>IFERROR(VLOOKUP(A492,[3]DOORSCRIEFT!$A$2:$G$8551,3,FALSE),"")</f>
        <v/>
      </c>
      <c r="E492" s="466" t="str">
        <f>IFERROR(VLOOKUP(A492,[3]DOORSCRIEFT!$A$2:$G$8551,4,FALSE),"")</f>
        <v/>
      </c>
      <c r="F492" s="405" t="str">
        <f>IFERROR(VLOOKUP(A492,[3]DOORSCRIEFT!$A$2:$G$8551,6,FALSE),"")</f>
        <v/>
      </c>
      <c r="G492" s="315"/>
    </row>
    <row r="493" spans="1:7" x14ac:dyDescent="0.25">
      <c r="A493" s="360" t="str">
        <f t="shared" si="10"/>
        <v>I.2.2.02.001271</v>
      </c>
      <c r="B493" s="339">
        <v>271</v>
      </c>
      <c r="C493" s="394" t="str">
        <f>IFERROR(VLOOKUP(A493,[3]DOORSCRIEFT!$A$2:$G$8551,2,FALSE),"")</f>
        <v/>
      </c>
      <c r="D493" s="393" t="str">
        <f>IFERROR(VLOOKUP(A493,[3]DOORSCRIEFT!$A$2:$G$8551,3,FALSE),"")</f>
        <v/>
      </c>
      <c r="E493" s="466" t="str">
        <f>IFERROR(VLOOKUP(A493,[3]DOORSCRIEFT!$A$2:$G$8551,4,FALSE),"")</f>
        <v/>
      </c>
      <c r="F493" s="405" t="str">
        <f>IFERROR(VLOOKUP(A493,[3]DOORSCRIEFT!$A$2:$G$8551,6,FALSE),"")</f>
        <v/>
      </c>
      <c r="G493" s="315"/>
    </row>
    <row r="494" spans="1:7" x14ac:dyDescent="0.25">
      <c r="A494" s="360" t="str">
        <f t="shared" si="10"/>
        <v>I.2.2.02.001272</v>
      </c>
      <c r="B494" s="319">
        <v>272</v>
      </c>
      <c r="C494" s="394" t="str">
        <f>IFERROR(VLOOKUP(A494,[3]DOORSCRIEFT!$A$2:$G$8551,2,FALSE),"")</f>
        <v/>
      </c>
      <c r="D494" s="393" t="str">
        <f>IFERROR(VLOOKUP(A494,[3]DOORSCRIEFT!$A$2:$G$8551,3,FALSE),"")</f>
        <v/>
      </c>
      <c r="E494" s="466" t="str">
        <f>IFERROR(VLOOKUP(A494,[3]DOORSCRIEFT!$A$2:$G$8551,4,FALSE),"")</f>
        <v/>
      </c>
      <c r="F494" s="405" t="str">
        <f>IFERROR(VLOOKUP(A494,[3]DOORSCRIEFT!$A$2:$G$8551,6,FALSE),"")</f>
        <v/>
      </c>
      <c r="G494" s="315"/>
    </row>
    <row r="495" spans="1:7" x14ac:dyDescent="0.25">
      <c r="A495" s="360" t="str">
        <f t="shared" si="10"/>
        <v>I.2.2.02.001273</v>
      </c>
      <c r="B495" s="339">
        <v>273</v>
      </c>
      <c r="C495" s="394" t="str">
        <f>IFERROR(VLOOKUP(A495,[3]DOORSCRIEFT!$A$2:$G$8551,2,FALSE),"")</f>
        <v/>
      </c>
      <c r="D495" s="393" t="str">
        <f>IFERROR(VLOOKUP(A495,[3]DOORSCRIEFT!$A$2:$G$8551,3,FALSE),"")</f>
        <v/>
      </c>
      <c r="E495" s="466" t="str">
        <f>IFERROR(VLOOKUP(A495,[3]DOORSCRIEFT!$A$2:$G$8551,4,FALSE),"")</f>
        <v/>
      </c>
      <c r="F495" s="405" t="str">
        <f>IFERROR(VLOOKUP(A495,[3]DOORSCRIEFT!$A$2:$G$8551,6,FALSE),"")</f>
        <v/>
      </c>
      <c r="G495" s="315"/>
    </row>
    <row r="496" spans="1:7" x14ac:dyDescent="0.25">
      <c r="A496" s="360" t="str">
        <f t="shared" si="10"/>
        <v>I.2.2.02.001274</v>
      </c>
      <c r="B496" s="319">
        <v>274</v>
      </c>
      <c r="C496" s="394" t="str">
        <f>IFERROR(VLOOKUP(A496,[3]DOORSCRIEFT!$A$2:$G$8551,2,FALSE),"")</f>
        <v/>
      </c>
      <c r="D496" s="393" t="str">
        <f>IFERROR(VLOOKUP(A496,[3]DOORSCRIEFT!$A$2:$G$8551,3,FALSE),"")</f>
        <v/>
      </c>
      <c r="E496" s="466" t="str">
        <f>IFERROR(VLOOKUP(A496,[3]DOORSCRIEFT!$A$2:$G$8551,4,FALSE),"")</f>
        <v/>
      </c>
      <c r="F496" s="405" t="str">
        <f>IFERROR(VLOOKUP(A496,[3]DOORSCRIEFT!$A$2:$G$8551,6,FALSE),"")</f>
        <v/>
      </c>
      <c r="G496" s="315"/>
    </row>
    <row r="497" spans="1:7" x14ac:dyDescent="0.25">
      <c r="A497" s="360" t="str">
        <f t="shared" si="10"/>
        <v>I.2.2.02.001275</v>
      </c>
      <c r="B497" s="339">
        <v>275</v>
      </c>
      <c r="C497" s="394" t="str">
        <f>IFERROR(VLOOKUP(A497,[3]DOORSCRIEFT!$A$2:$G$8551,2,FALSE),"")</f>
        <v/>
      </c>
      <c r="D497" s="393" t="str">
        <f>IFERROR(VLOOKUP(A497,[3]DOORSCRIEFT!$A$2:$G$8551,3,FALSE),"")</f>
        <v/>
      </c>
      <c r="E497" s="466" t="str">
        <f>IFERROR(VLOOKUP(A497,[3]DOORSCRIEFT!$A$2:$G$8551,4,FALSE),"")</f>
        <v/>
      </c>
      <c r="F497" s="405" t="str">
        <f>IFERROR(VLOOKUP(A497,[3]DOORSCRIEFT!$A$2:$G$8551,6,FALSE),"")</f>
        <v/>
      </c>
      <c r="G497" s="315"/>
    </row>
    <row r="498" spans="1:7" x14ac:dyDescent="0.25">
      <c r="A498" s="360" t="str">
        <f t="shared" si="10"/>
        <v>I.2.2.02.001276</v>
      </c>
      <c r="B498" s="319">
        <v>276</v>
      </c>
      <c r="C498" s="394" t="str">
        <f>IFERROR(VLOOKUP(A498,[3]DOORSCRIEFT!$A$2:$G$8551,2,FALSE),"")</f>
        <v/>
      </c>
      <c r="D498" s="393" t="str">
        <f>IFERROR(VLOOKUP(A498,[3]DOORSCRIEFT!$A$2:$G$8551,3,FALSE),"")</f>
        <v/>
      </c>
      <c r="E498" s="466" t="str">
        <f>IFERROR(VLOOKUP(A498,[3]DOORSCRIEFT!$A$2:$G$8551,4,FALSE),"")</f>
        <v/>
      </c>
      <c r="F498" s="405" t="str">
        <f>IFERROR(VLOOKUP(A498,[3]DOORSCRIEFT!$A$2:$G$8551,6,FALSE),"")</f>
        <v/>
      </c>
      <c r="G498" s="315"/>
    </row>
    <row r="499" spans="1:7" x14ac:dyDescent="0.25">
      <c r="A499" s="360" t="str">
        <f t="shared" si="10"/>
        <v>I.2.2.02.001277</v>
      </c>
      <c r="B499" s="339">
        <v>277</v>
      </c>
      <c r="C499" s="394" t="str">
        <f>IFERROR(VLOOKUP(A499,[3]DOORSCRIEFT!$A$2:$G$8551,2,FALSE),"")</f>
        <v/>
      </c>
      <c r="D499" s="393" t="str">
        <f>IFERROR(VLOOKUP(A499,[3]DOORSCRIEFT!$A$2:$G$8551,3,FALSE),"")</f>
        <v/>
      </c>
      <c r="E499" s="466" t="str">
        <f>IFERROR(VLOOKUP(A499,[3]DOORSCRIEFT!$A$2:$G$8551,4,FALSE),"")</f>
        <v/>
      </c>
      <c r="F499" s="405" t="str">
        <f>IFERROR(VLOOKUP(A499,[3]DOORSCRIEFT!$A$2:$G$8551,6,FALSE),"")</f>
        <v/>
      </c>
      <c r="G499" s="315"/>
    </row>
    <row r="500" spans="1:7" x14ac:dyDescent="0.25">
      <c r="A500" s="360" t="str">
        <f t="shared" si="10"/>
        <v>I.2.2.02.001278</v>
      </c>
      <c r="B500" s="319">
        <v>278</v>
      </c>
      <c r="C500" s="394" t="str">
        <f>IFERROR(VLOOKUP(A500,[3]DOORSCRIEFT!$A$2:$G$8551,2,FALSE),"")</f>
        <v/>
      </c>
      <c r="D500" s="393" t="str">
        <f>IFERROR(VLOOKUP(A500,[3]DOORSCRIEFT!$A$2:$G$8551,3,FALSE),"")</f>
        <v/>
      </c>
      <c r="E500" s="466" t="str">
        <f>IFERROR(VLOOKUP(A500,[3]DOORSCRIEFT!$A$2:$G$8551,4,FALSE),"")</f>
        <v/>
      </c>
      <c r="F500" s="405" t="str">
        <f>IFERROR(VLOOKUP(A500,[3]DOORSCRIEFT!$A$2:$G$8551,6,FALSE),"")</f>
        <v/>
      </c>
      <c r="G500" s="315"/>
    </row>
    <row r="501" spans="1:7" x14ac:dyDescent="0.25">
      <c r="A501" s="360" t="str">
        <f t="shared" si="10"/>
        <v>I.2.2.02.001279</v>
      </c>
      <c r="B501" s="339">
        <v>279</v>
      </c>
      <c r="C501" s="394" t="str">
        <f>IFERROR(VLOOKUP(A501,[3]DOORSCRIEFT!$A$2:$G$8551,2,FALSE),"")</f>
        <v/>
      </c>
      <c r="D501" s="393" t="str">
        <f>IFERROR(VLOOKUP(A501,[3]DOORSCRIEFT!$A$2:$G$8551,3,FALSE),"")</f>
        <v/>
      </c>
      <c r="E501" s="466" t="str">
        <f>IFERROR(VLOOKUP(A501,[3]DOORSCRIEFT!$A$2:$G$8551,4,FALSE),"")</f>
        <v/>
      </c>
      <c r="F501" s="405" t="str">
        <f>IFERROR(VLOOKUP(A501,[3]DOORSCRIEFT!$A$2:$G$8551,6,FALSE),"")</f>
        <v/>
      </c>
      <c r="G501" s="315"/>
    </row>
    <row r="502" spans="1:7" x14ac:dyDescent="0.25">
      <c r="A502" s="360" t="str">
        <f t="shared" si="10"/>
        <v>I.2.2.02.001280</v>
      </c>
      <c r="B502" s="319">
        <v>280</v>
      </c>
      <c r="C502" s="394" t="str">
        <f>IFERROR(VLOOKUP(A502,[3]DOORSCRIEFT!$A$2:$G$8551,2,FALSE),"")</f>
        <v/>
      </c>
      <c r="D502" s="393" t="str">
        <f>IFERROR(VLOOKUP(A502,[3]DOORSCRIEFT!$A$2:$G$8551,3,FALSE),"")</f>
        <v/>
      </c>
      <c r="E502" s="466" t="str">
        <f>IFERROR(VLOOKUP(A502,[3]DOORSCRIEFT!$A$2:$G$8551,4,FALSE),"")</f>
        <v/>
      </c>
      <c r="F502" s="405" t="str">
        <f>IFERROR(VLOOKUP(A502,[3]DOORSCRIEFT!$A$2:$G$8551,6,FALSE),"")</f>
        <v/>
      </c>
      <c r="G502" s="315"/>
    </row>
    <row r="503" spans="1:7" x14ac:dyDescent="0.25">
      <c r="A503" s="360" t="str">
        <f t="shared" si="10"/>
        <v>I.2.2.02.001281</v>
      </c>
      <c r="B503" s="339">
        <v>281</v>
      </c>
      <c r="C503" s="394" t="str">
        <f>IFERROR(VLOOKUP(A503,[3]DOORSCRIEFT!$A$2:$G$8551,2,FALSE),"")</f>
        <v/>
      </c>
      <c r="D503" s="393" t="str">
        <f>IFERROR(VLOOKUP(A503,[3]DOORSCRIEFT!$A$2:$G$8551,3,FALSE),"")</f>
        <v/>
      </c>
      <c r="E503" s="466" t="str">
        <f>IFERROR(VLOOKUP(A503,[3]DOORSCRIEFT!$A$2:$G$8551,4,FALSE),"")</f>
        <v/>
      </c>
      <c r="F503" s="405" t="str">
        <f>IFERROR(VLOOKUP(A503,[3]DOORSCRIEFT!$A$2:$G$8551,6,FALSE),"")</f>
        <v/>
      </c>
      <c r="G503" s="315"/>
    </row>
    <row r="504" spans="1:7" x14ac:dyDescent="0.25">
      <c r="A504" s="360" t="str">
        <f t="shared" si="10"/>
        <v>I.2.2.02.001282</v>
      </c>
      <c r="B504" s="319">
        <v>282</v>
      </c>
      <c r="C504" s="394" t="str">
        <f>IFERROR(VLOOKUP(A504,[3]DOORSCRIEFT!$A$2:$G$8551,2,FALSE),"")</f>
        <v/>
      </c>
      <c r="D504" s="393" t="str">
        <f>IFERROR(VLOOKUP(A504,[3]DOORSCRIEFT!$A$2:$G$8551,3,FALSE),"")</f>
        <v/>
      </c>
      <c r="E504" s="466" t="str">
        <f>IFERROR(VLOOKUP(A504,[3]DOORSCRIEFT!$A$2:$G$8551,4,FALSE),"")</f>
        <v/>
      </c>
      <c r="F504" s="405" t="str">
        <f>IFERROR(VLOOKUP(A504,[3]DOORSCRIEFT!$A$2:$G$8551,6,FALSE),"")</f>
        <v/>
      </c>
      <c r="G504" s="315"/>
    </row>
    <row r="505" spans="1:7" x14ac:dyDescent="0.25">
      <c r="A505" s="360" t="str">
        <f t="shared" si="10"/>
        <v>I.2.2.02.001283</v>
      </c>
      <c r="B505" s="339">
        <v>283</v>
      </c>
      <c r="C505" s="394" t="str">
        <f>IFERROR(VLOOKUP(A505,[3]DOORSCRIEFT!$A$2:$G$8551,2,FALSE),"")</f>
        <v/>
      </c>
      <c r="D505" s="393" t="str">
        <f>IFERROR(VLOOKUP(A505,[3]DOORSCRIEFT!$A$2:$G$8551,3,FALSE),"")</f>
        <v/>
      </c>
      <c r="E505" s="466" t="str">
        <f>IFERROR(VLOOKUP(A505,[3]DOORSCRIEFT!$A$2:$G$8551,4,FALSE),"")</f>
        <v/>
      </c>
      <c r="F505" s="405" t="str">
        <f>IFERROR(VLOOKUP(A505,[3]DOORSCRIEFT!$A$2:$G$8551,6,FALSE),"")</f>
        <v/>
      </c>
      <c r="G505" s="315"/>
    </row>
    <row r="506" spans="1:7" x14ac:dyDescent="0.25">
      <c r="A506" s="360" t="str">
        <f t="shared" si="10"/>
        <v>I.2.2.02.001284</v>
      </c>
      <c r="B506" s="319">
        <v>284</v>
      </c>
      <c r="C506" s="394" t="str">
        <f>IFERROR(VLOOKUP(A506,[3]DOORSCRIEFT!$A$2:$G$8551,2,FALSE),"")</f>
        <v/>
      </c>
      <c r="D506" s="393" t="str">
        <f>IFERROR(VLOOKUP(A506,[3]DOORSCRIEFT!$A$2:$G$8551,3,FALSE),"")</f>
        <v/>
      </c>
      <c r="E506" s="466" t="str">
        <f>IFERROR(VLOOKUP(A506,[3]DOORSCRIEFT!$A$2:$G$8551,4,FALSE),"")</f>
        <v/>
      </c>
      <c r="F506" s="405" t="str">
        <f>IFERROR(VLOOKUP(A506,[3]DOORSCRIEFT!$A$2:$G$8551,6,FALSE),"")</f>
        <v/>
      </c>
      <c r="G506" s="315"/>
    </row>
    <row r="507" spans="1:7" x14ac:dyDescent="0.25">
      <c r="A507" s="360" t="str">
        <f t="shared" si="10"/>
        <v>I.2.2.02.001285</v>
      </c>
      <c r="B507" s="339">
        <v>285</v>
      </c>
      <c r="C507" s="394" t="str">
        <f>IFERROR(VLOOKUP(A507,[3]DOORSCRIEFT!$A$2:$G$8551,2,FALSE),"")</f>
        <v/>
      </c>
      <c r="D507" s="393" t="str">
        <f>IFERROR(VLOOKUP(A507,[3]DOORSCRIEFT!$A$2:$G$8551,3,FALSE),"")</f>
        <v/>
      </c>
      <c r="E507" s="466" t="str">
        <f>IFERROR(VLOOKUP(A507,[3]DOORSCRIEFT!$A$2:$G$8551,4,FALSE),"")</f>
        <v/>
      </c>
      <c r="F507" s="405" t="str">
        <f>IFERROR(VLOOKUP(A507,[3]DOORSCRIEFT!$A$2:$G$8551,6,FALSE),"")</f>
        <v/>
      </c>
      <c r="G507" s="315"/>
    </row>
    <row r="508" spans="1:7" x14ac:dyDescent="0.25">
      <c r="A508" s="360" t="str">
        <f t="shared" si="10"/>
        <v>I.2.2.02.001286</v>
      </c>
      <c r="B508" s="319">
        <v>286</v>
      </c>
      <c r="C508" s="394" t="str">
        <f>IFERROR(VLOOKUP(A508,[3]DOORSCRIEFT!$A$2:$G$8551,2,FALSE),"")</f>
        <v/>
      </c>
      <c r="D508" s="393" t="str">
        <f>IFERROR(VLOOKUP(A508,[3]DOORSCRIEFT!$A$2:$G$8551,3,FALSE),"")</f>
        <v/>
      </c>
      <c r="E508" s="466" t="str">
        <f>IFERROR(VLOOKUP(A508,[3]DOORSCRIEFT!$A$2:$G$8551,4,FALSE),"")</f>
        <v/>
      </c>
      <c r="F508" s="405" t="str">
        <f>IFERROR(VLOOKUP(A508,[3]DOORSCRIEFT!$A$2:$G$8551,6,FALSE),"")</f>
        <v/>
      </c>
      <c r="G508" s="315"/>
    </row>
    <row r="509" spans="1:7" x14ac:dyDescent="0.25">
      <c r="A509" s="360" t="str">
        <f t="shared" si="10"/>
        <v>I.2.2.02.001287</v>
      </c>
      <c r="B509" s="339">
        <v>287</v>
      </c>
      <c r="C509" s="394" t="str">
        <f>IFERROR(VLOOKUP(A509,[3]DOORSCRIEFT!$A$2:$G$8551,2,FALSE),"")</f>
        <v/>
      </c>
      <c r="D509" s="393" t="str">
        <f>IFERROR(VLOOKUP(A509,[3]DOORSCRIEFT!$A$2:$G$8551,3,FALSE),"")</f>
        <v/>
      </c>
      <c r="E509" s="466" t="str">
        <f>IFERROR(VLOOKUP(A509,[3]DOORSCRIEFT!$A$2:$G$8551,4,FALSE),"")</f>
        <v/>
      </c>
      <c r="F509" s="405" t="str">
        <f>IFERROR(VLOOKUP(A509,[3]DOORSCRIEFT!$A$2:$G$8551,6,FALSE),"")</f>
        <v/>
      </c>
      <c r="G509" s="315"/>
    </row>
    <row r="510" spans="1:7" x14ac:dyDescent="0.25">
      <c r="A510" s="360" t="str">
        <f t="shared" si="10"/>
        <v>I.2.2.02.001288</v>
      </c>
      <c r="B510" s="319">
        <v>288</v>
      </c>
      <c r="C510" s="394" t="str">
        <f>IFERROR(VLOOKUP(A510,[3]DOORSCRIEFT!$A$2:$G$8551,2,FALSE),"")</f>
        <v/>
      </c>
      <c r="D510" s="393" t="str">
        <f>IFERROR(VLOOKUP(A510,[3]DOORSCRIEFT!$A$2:$G$8551,3,FALSE),"")</f>
        <v/>
      </c>
      <c r="E510" s="466" t="str">
        <f>IFERROR(VLOOKUP(A510,[3]DOORSCRIEFT!$A$2:$G$8551,4,FALSE),"")</f>
        <v/>
      </c>
      <c r="F510" s="405" t="str">
        <f>IFERROR(VLOOKUP(A510,[3]DOORSCRIEFT!$A$2:$G$8551,6,FALSE),"")</f>
        <v/>
      </c>
      <c r="G510" s="315"/>
    </row>
    <row r="511" spans="1:7" x14ac:dyDescent="0.25">
      <c r="A511" s="360" t="str">
        <f t="shared" si="10"/>
        <v>I.2.2.02.001289</v>
      </c>
      <c r="B511" s="339">
        <v>289</v>
      </c>
      <c r="C511" s="394" t="str">
        <f>IFERROR(VLOOKUP(A511,[3]DOORSCRIEFT!$A$2:$G$8551,2,FALSE),"")</f>
        <v/>
      </c>
      <c r="D511" s="393" t="str">
        <f>IFERROR(VLOOKUP(A511,[3]DOORSCRIEFT!$A$2:$G$8551,3,FALSE),"")</f>
        <v/>
      </c>
      <c r="E511" s="466" t="str">
        <f>IFERROR(VLOOKUP(A511,[3]DOORSCRIEFT!$A$2:$G$8551,4,FALSE),"")</f>
        <v/>
      </c>
      <c r="F511" s="405" t="str">
        <f>IFERROR(VLOOKUP(A511,[3]DOORSCRIEFT!$A$2:$G$8551,6,FALSE),"")</f>
        <v/>
      </c>
      <c r="G511" s="315"/>
    </row>
    <row r="512" spans="1:7" x14ac:dyDescent="0.25">
      <c r="A512" s="360" t="str">
        <f t="shared" si="10"/>
        <v>I.2.2.02.001290</v>
      </c>
      <c r="B512" s="319">
        <v>290</v>
      </c>
      <c r="C512" s="394" t="str">
        <f>IFERROR(VLOOKUP(A512,[3]DOORSCRIEFT!$A$2:$G$8551,2,FALSE),"")</f>
        <v/>
      </c>
      <c r="D512" s="393" t="str">
        <f>IFERROR(VLOOKUP(A512,[3]DOORSCRIEFT!$A$2:$G$8551,3,FALSE),"")</f>
        <v/>
      </c>
      <c r="E512" s="466" t="str">
        <f>IFERROR(VLOOKUP(A512,[3]DOORSCRIEFT!$A$2:$G$8551,4,FALSE),"")</f>
        <v/>
      </c>
      <c r="F512" s="405" t="str">
        <f>IFERROR(VLOOKUP(A512,[3]DOORSCRIEFT!$A$2:$G$8551,6,FALSE),"")</f>
        <v/>
      </c>
      <c r="G512" s="315"/>
    </row>
    <row r="513" spans="1:7" x14ac:dyDescent="0.25">
      <c r="A513" s="360" t="str">
        <f t="shared" si="10"/>
        <v>I.2.2.02.001291</v>
      </c>
      <c r="B513" s="339">
        <v>291</v>
      </c>
      <c r="C513" s="394" t="str">
        <f>IFERROR(VLOOKUP(A513,[3]DOORSCRIEFT!$A$2:$G$8551,2,FALSE),"")</f>
        <v/>
      </c>
      <c r="D513" s="393" t="str">
        <f>IFERROR(VLOOKUP(A513,[3]DOORSCRIEFT!$A$2:$G$8551,3,FALSE),"")</f>
        <v/>
      </c>
      <c r="E513" s="466" t="str">
        <f>IFERROR(VLOOKUP(A513,[3]DOORSCRIEFT!$A$2:$G$8551,4,FALSE),"")</f>
        <v/>
      </c>
      <c r="F513" s="405" t="str">
        <f>IFERROR(VLOOKUP(A513,[3]DOORSCRIEFT!$A$2:$G$8551,6,FALSE),"")</f>
        <v/>
      </c>
      <c r="G513" s="315"/>
    </row>
    <row r="514" spans="1:7" x14ac:dyDescent="0.25">
      <c r="A514" s="360" t="str">
        <f t="shared" si="10"/>
        <v>I.2.2.02.001292</v>
      </c>
      <c r="B514" s="319">
        <v>292</v>
      </c>
      <c r="C514" s="394" t="str">
        <f>IFERROR(VLOOKUP(A514,[3]DOORSCRIEFT!$A$2:$G$8551,2,FALSE),"")</f>
        <v/>
      </c>
      <c r="D514" s="393" t="str">
        <f>IFERROR(VLOOKUP(A514,[3]DOORSCRIEFT!$A$2:$G$8551,3,FALSE),"")</f>
        <v/>
      </c>
      <c r="E514" s="466" t="str">
        <f>IFERROR(VLOOKUP(A514,[3]DOORSCRIEFT!$A$2:$G$8551,4,FALSE),"")</f>
        <v/>
      </c>
      <c r="F514" s="405" t="str">
        <f>IFERROR(VLOOKUP(A514,[3]DOORSCRIEFT!$A$2:$G$8551,6,FALSE),"")</f>
        <v/>
      </c>
      <c r="G514" s="315"/>
    </row>
    <row r="515" spans="1:7" x14ac:dyDescent="0.25">
      <c r="A515" s="360" t="str">
        <f t="shared" si="10"/>
        <v>I.2.2.02.001293</v>
      </c>
      <c r="B515" s="339">
        <v>293</v>
      </c>
      <c r="C515" s="394" t="str">
        <f>IFERROR(VLOOKUP(A515,[3]DOORSCRIEFT!$A$2:$G$8551,2,FALSE),"")</f>
        <v/>
      </c>
      <c r="D515" s="393" t="str">
        <f>IFERROR(VLOOKUP(A515,[3]DOORSCRIEFT!$A$2:$G$8551,3,FALSE),"")</f>
        <v/>
      </c>
      <c r="E515" s="466" t="str">
        <f>IFERROR(VLOOKUP(A515,[3]DOORSCRIEFT!$A$2:$G$8551,4,FALSE),"")</f>
        <v/>
      </c>
      <c r="F515" s="405" t="str">
        <f>IFERROR(VLOOKUP(A515,[3]DOORSCRIEFT!$A$2:$G$8551,6,FALSE),"")</f>
        <v/>
      </c>
      <c r="G515" s="315"/>
    </row>
    <row r="516" spans="1:7" x14ac:dyDescent="0.25">
      <c r="A516" s="360" t="str">
        <f t="shared" si="10"/>
        <v>I.2.2.02.001294</v>
      </c>
      <c r="B516" s="319">
        <v>294</v>
      </c>
      <c r="C516" s="394" t="str">
        <f>IFERROR(VLOOKUP(A516,[3]DOORSCRIEFT!$A$2:$G$8551,2,FALSE),"")</f>
        <v/>
      </c>
      <c r="D516" s="393" t="str">
        <f>IFERROR(VLOOKUP(A516,[3]DOORSCRIEFT!$A$2:$G$8551,3,FALSE),"")</f>
        <v/>
      </c>
      <c r="E516" s="466" t="str">
        <f>IFERROR(VLOOKUP(A516,[3]DOORSCRIEFT!$A$2:$G$8551,4,FALSE),"")</f>
        <v/>
      </c>
      <c r="F516" s="405" t="str">
        <f>IFERROR(VLOOKUP(A516,[3]DOORSCRIEFT!$A$2:$G$8551,6,FALSE),"")</f>
        <v/>
      </c>
      <c r="G516" s="315"/>
    </row>
    <row r="517" spans="1:7" x14ac:dyDescent="0.25">
      <c r="A517" s="360" t="str">
        <f t="shared" si="10"/>
        <v>I.2.2.02.001295</v>
      </c>
      <c r="B517" s="339">
        <v>295</v>
      </c>
      <c r="C517" s="394" t="str">
        <f>IFERROR(VLOOKUP(A517,[3]DOORSCRIEFT!$A$2:$G$8551,2,FALSE),"")</f>
        <v/>
      </c>
      <c r="D517" s="393" t="str">
        <f>IFERROR(VLOOKUP(A517,[3]DOORSCRIEFT!$A$2:$G$8551,3,FALSE),"")</f>
        <v/>
      </c>
      <c r="E517" s="466" t="str">
        <f>IFERROR(VLOOKUP(A517,[3]DOORSCRIEFT!$A$2:$G$8551,4,FALSE),"")</f>
        <v/>
      </c>
      <c r="F517" s="405" t="str">
        <f>IFERROR(VLOOKUP(A517,[3]DOORSCRIEFT!$A$2:$G$8551,6,FALSE),"")</f>
        <v/>
      </c>
      <c r="G517" s="315"/>
    </row>
    <row r="518" spans="1:7" x14ac:dyDescent="0.25">
      <c r="A518" s="360" t="str">
        <f t="shared" si="10"/>
        <v>I.2.2.02.001296</v>
      </c>
      <c r="B518" s="319">
        <v>296</v>
      </c>
      <c r="C518" s="394" t="str">
        <f>IFERROR(VLOOKUP(A518,[3]DOORSCRIEFT!$A$2:$G$8551,2,FALSE),"")</f>
        <v/>
      </c>
      <c r="D518" s="393" t="str">
        <f>IFERROR(VLOOKUP(A518,[3]DOORSCRIEFT!$A$2:$G$8551,3,FALSE),"")</f>
        <v/>
      </c>
      <c r="E518" s="466" t="str">
        <f>IFERROR(VLOOKUP(A518,[3]DOORSCRIEFT!$A$2:$G$8551,4,FALSE),"")</f>
        <v/>
      </c>
      <c r="F518" s="405" t="str">
        <f>IFERROR(VLOOKUP(A518,[3]DOORSCRIEFT!$A$2:$G$8551,6,FALSE),"")</f>
        <v/>
      </c>
      <c r="G518" s="315"/>
    </row>
    <row r="519" spans="1:7" x14ac:dyDescent="0.25">
      <c r="A519" s="360" t="str">
        <f t="shared" si="10"/>
        <v>I.2.2.02.001297</v>
      </c>
      <c r="B519" s="339">
        <v>297</v>
      </c>
      <c r="C519" s="394" t="str">
        <f>IFERROR(VLOOKUP(A519,[3]DOORSCRIEFT!$A$2:$G$8551,2,FALSE),"")</f>
        <v/>
      </c>
      <c r="D519" s="393" t="str">
        <f>IFERROR(VLOOKUP(A519,[3]DOORSCRIEFT!$A$2:$G$8551,3,FALSE),"")</f>
        <v/>
      </c>
      <c r="E519" s="466" t="str">
        <f>IFERROR(VLOOKUP(A519,[3]DOORSCRIEFT!$A$2:$G$8551,4,FALSE),"")</f>
        <v/>
      </c>
      <c r="F519" s="405" t="str">
        <f>IFERROR(VLOOKUP(A519,[3]DOORSCRIEFT!$A$2:$G$8551,6,FALSE),"")</f>
        <v/>
      </c>
      <c r="G519" s="315"/>
    </row>
    <row r="520" spans="1:7" x14ac:dyDescent="0.25">
      <c r="A520" s="360" t="str">
        <f t="shared" si="10"/>
        <v>I.2.2.02.001298</v>
      </c>
      <c r="B520" s="319">
        <v>298</v>
      </c>
      <c r="C520" s="394" t="str">
        <f>IFERROR(VLOOKUP(A520,[3]DOORSCRIEFT!$A$2:$G$8551,2,FALSE),"")</f>
        <v/>
      </c>
      <c r="D520" s="393" t="str">
        <f>IFERROR(VLOOKUP(A520,[3]DOORSCRIEFT!$A$2:$G$8551,3,FALSE),"")</f>
        <v/>
      </c>
      <c r="E520" s="466" t="str">
        <f>IFERROR(VLOOKUP(A520,[3]DOORSCRIEFT!$A$2:$G$8551,4,FALSE),"")</f>
        <v/>
      </c>
      <c r="F520" s="405" t="str">
        <f>IFERROR(VLOOKUP(A520,[3]DOORSCRIEFT!$A$2:$G$8551,6,FALSE),"")</f>
        <v/>
      </c>
      <c r="G520" s="315"/>
    </row>
    <row r="521" spans="1:7" x14ac:dyDescent="0.25">
      <c r="A521" s="360" t="str">
        <f t="shared" si="10"/>
        <v>I.2.2.02.001299</v>
      </c>
      <c r="B521" s="339">
        <v>299</v>
      </c>
      <c r="C521" s="394" t="str">
        <f>IFERROR(VLOOKUP(A521,[3]DOORSCRIEFT!$A$2:$G$8551,2,FALSE),"")</f>
        <v/>
      </c>
      <c r="D521" s="393" t="str">
        <f>IFERROR(VLOOKUP(A521,[3]DOORSCRIEFT!$A$2:$G$8551,3,FALSE),"")</f>
        <v/>
      </c>
      <c r="E521" s="466" t="str">
        <f>IFERROR(VLOOKUP(A521,[3]DOORSCRIEFT!$A$2:$G$8551,4,FALSE),"")</f>
        <v/>
      </c>
      <c r="F521" s="405" t="str">
        <f>IFERROR(VLOOKUP(A521,[3]DOORSCRIEFT!$A$2:$G$8551,6,FALSE),"")</f>
        <v/>
      </c>
      <c r="G521" s="315"/>
    </row>
    <row r="522" spans="1:7" x14ac:dyDescent="0.25">
      <c r="A522" s="360" t="str">
        <f t="shared" si="10"/>
        <v>I.2.2.02.001300</v>
      </c>
      <c r="B522" s="319">
        <v>300</v>
      </c>
      <c r="C522" s="394" t="str">
        <f>IFERROR(VLOOKUP(A522,[3]DOORSCRIEFT!$A$2:$G$8551,2,FALSE),"")</f>
        <v/>
      </c>
      <c r="D522" s="393" t="str">
        <f>IFERROR(VLOOKUP(A522,[3]DOORSCRIEFT!$A$2:$G$8551,3,FALSE),"")</f>
        <v/>
      </c>
      <c r="E522" s="466" t="str">
        <f>IFERROR(VLOOKUP(A522,[3]DOORSCRIEFT!$A$2:$G$8551,4,FALSE),"")</f>
        <v/>
      </c>
      <c r="F522" s="405" t="str">
        <f>IFERROR(VLOOKUP(A522,[3]DOORSCRIEFT!$A$2:$G$8551,6,FALSE),"")</f>
        <v/>
      </c>
      <c r="G522" s="315"/>
    </row>
    <row r="523" spans="1:7" x14ac:dyDescent="0.25">
      <c r="A523" s="360" t="str">
        <f t="shared" si="10"/>
        <v>I.2.2.02.001301</v>
      </c>
      <c r="B523" s="339">
        <v>301</v>
      </c>
      <c r="C523" s="394" t="str">
        <f>IFERROR(VLOOKUP(A523,[3]DOORSCRIEFT!$A$2:$G$8551,2,FALSE),"")</f>
        <v/>
      </c>
      <c r="D523" s="393" t="str">
        <f>IFERROR(VLOOKUP(A523,[3]DOORSCRIEFT!$A$2:$G$8551,3,FALSE),"")</f>
        <v/>
      </c>
      <c r="E523" s="466" t="str">
        <f>IFERROR(VLOOKUP(A523,[3]DOORSCRIEFT!$A$2:$G$8551,4,FALSE),"")</f>
        <v/>
      </c>
      <c r="F523" s="405" t="str">
        <f>IFERROR(VLOOKUP(A523,[3]DOORSCRIEFT!$A$2:$G$8551,6,FALSE),"")</f>
        <v/>
      </c>
      <c r="G523" s="315"/>
    </row>
    <row r="524" spans="1:7" x14ac:dyDescent="0.25">
      <c r="A524" s="360" t="str">
        <f t="shared" si="10"/>
        <v>I.2.2.02.001302</v>
      </c>
      <c r="B524" s="319">
        <v>302</v>
      </c>
      <c r="C524" s="394" t="str">
        <f>IFERROR(VLOOKUP(A524,[3]DOORSCRIEFT!$A$2:$G$8551,2,FALSE),"")</f>
        <v/>
      </c>
      <c r="D524" s="393" t="str">
        <f>IFERROR(VLOOKUP(A524,[3]DOORSCRIEFT!$A$2:$G$8551,3,FALSE),"")</f>
        <v/>
      </c>
      <c r="E524" s="466" t="str">
        <f>IFERROR(VLOOKUP(A524,[3]DOORSCRIEFT!$A$2:$G$8551,4,FALSE),"")</f>
        <v/>
      </c>
      <c r="F524" s="405" t="str">
        <f>IFERROR(VLOOKUP(A524,[3]DOORSCRIEFT!$A$2:$G$8551,6,FALSE),"")</f>
        <v/>
      </c>
      <c r="G524" s="315"/>
    </row>
    <row r="525" spans="1:7" x14ac:dyDescent="0.25">
      <c r="A525" s="360" t="str">
        <f t="shared" si="10"/>
        <v>I.2.2.02.001303</v>
      </c>
      <c r="B525" s="339">
        <v>303</v>
      </c>
      <c r="C525" s="394" t="str">
        <f>IFERROR(VLOOKUP(A525,[3]DOORSCRIEFT!$A$2:$G$8551,2,FALSE),"")</f>
        <v/>
      </c>
      <c r="D525" s="393" t="str">
        <f>IFERROR(VLOOKUP(A525,[3]DOORSCRIEFT!$A$2:$G$8551,3,FALSE),"")</f>
        <v/>
      </c>
      <c r="E525" s="466" t="str">
        <f>IFERROR(VLOOKUP(A525,[3]DOORSCRIEFT!$A$2:$G$8551,4,FALSE),"")</f>
        <v/>
      </c>
      <c r="F525" s="405" t="str">
        <f>IFERROR(VLOOKUP(A525,[3]DOORSCRIEFT!$A$2:$G$8551,6,FALSE),"")</f>
        <v/>
      </c>
      <c r="G525" s="315"/>
    </row>
    <row r="526" spans="1:7" x14ac:dyDescent="0.25">
      <c r="A526" s="360" t="str">
        <f t="shared" si="10"/>
        <v>I.2.2.02.001304</v>
      </c>
      <c r="B526" s="319">
        <v>304</v>
      </c>
      <c r="C526" s="394" t="str">
        <f>IFERROR(VLOOKUP(A526,[3]DOORSCRIEFT!$A$2:$G$8551,2,FALSE),"")</f>
        <v/>
      </c>
      <c r="D526" s="393" t="str">
        <f>IFERROR(VLOOKUP(A526,[3]DOORSCRIEFT!$A$2:$G$8551,3,FALSE),"")</f>
        <v/>
      </c>
      <c r="E526" s="466" t="str">
        <f>IFERROR(VLOOKUP(A526,[3]DOORSCRIEFT!$A$2:$G$8551,4,FALSE),"")</f>
        <v/>
      </c>
      <c r="F526" s="405" t="str">
        <f>IFERROR(VLOOKUP(A526,[3]DOORSCRIEFT!$A$2:$G$8551,6,FALSE),"")</f>
        <v/>
      </c>
      <c r="G526" s="315"/>
    </row>
    <row r="527" spans="1:7" x14ac:dyDescent="0.25">
      <c r="A527" s="360" t="str">
        <f t="shared" si="10"/>
        <v>I.2.2.02.001305</v>
      </c>
      <c r="B527" s="339">
        <v>305</v>
      </c>
      <c r="C527" s="394" t="str">
        <f>IFERROR(VLOOKUP(A527,[3]DOORSCRIEFT!$A$2:$G$8551,2,FALSE),"")</f>
        <v/>
      </c>
      <c r="D527" s="393" t="str">
        <f>IFERROR(VLOOKUP(A527,[3]DOORSCRIEFT!$A$2:$G$8551,3,FALSE),"")</f>
        <v/>
      </c>
      <c r="E527" s="466" t="str">
        <f>IFERROR(VLOOKUP(A527,[3]DOORSCRIEFT!$A$2:$G$8551,4,FALSE),"")</f>
        <v/>
      </c>
      <c r="F527" s="405" t="str">
        <f>IFERROR(VLOOKUP(A527,[3]DOORSCRIEFT!$A$2:$G$8551,6,FALSE),"")</f>
        <v/>
      </c>
      <c r="G527" s="315"/>
    </row>
    <row r="528" spans="1:7" x14ac:dyDescent="0.25">
      <c r="A528" s="360" t="str">
        <f t="shared" si="10"/>
        <v>I.2.2.02.001306</v>
      </c>
      <c r="B528" s="319">
        <v>306</v>
      </c>
      <c r="C528" s="394" t="str">
        <f>IFERROR(VLOOKUP(A528,[3]DOORSCRIEFT!$A$2:$G$8551,2,FALSE),"")</f>
        <v/>
      </c>
      <c r="D528" s="393" t="str">
        <f>IFERROR(VLOOKUP(A528,[3]DOORSCRIEFT!$A$2:$G$8551,3,FALSE),"")</f>
        <v/>
      </c>
      <c r="E528" s="466" t="str">
        <f>IFERROR(VLOOKUP(A528,[3]DOORSCRIEFT!$A$2:$G$8551,4,FALSE),"")</f>
        <v/>
      </c>
      <c r="F528" s="405" t="str">
        <f>IFERROR(VLOOKUP(A528,[3]DOORSCRIEFT!$A$2:$G$8551,6,FALSE),"")</f>
        <v/>
      </c>
      <c r="G528" s="315"/>
    </row>
    <row r="529" spans="1:7" x14ac:dyDescent="0.25">
      <c r="A529" s="360" t="str">
        <f t="shared" si="10"/>
        <v>I.2.2.02.001307</v>
      </c>
      <c r="B529" s="339">
        <v>307</v>
      </c>
      <c r="C529" s="394" t="str">
        <f>IFERROR(VLOOKUP(A529,[3]DOORSCRIEFT!$A$2:$G$8551,2,FALSE),"")</f>
        <v/>
      </c>
      <c r="D529" s="393" t="str">
        <f>IFERROR(VLOOKUP(A529,[3]DOORSCRIEFT!$A$2:$G$8551,3,FALSE),"")</f>
        <v/>
      </c>
      <c r="E529" s="466" t="str">
        <f>IFERROR(VLOOKUP(A529,[3]DOORSCRIEFT!$A$2:$G$8551,4,FALSE),"")</f>
        <v/>
      </c>
      <c r="F529" s="405" t="str">
        <f>IFERROR(VLOOKUP(A529,[3]DOORSCRIEFT!$A$2:$G$8551,6,FALSE),"")</f>
        <v/>
      </c>
      <c r="G529" s="315"/>
    </row>
    <row r="530" spans="1:7" x14ac:dyDescent="0.25">
      <c r="A530" s="360" t="str">
        <f t="shared" si="10"/>
        <v>I.2.2.02.001308</v>
      </c>
      <c r="B530" s="319">
        <v>308</v>
      </c>
      <c r="C530" s="394" t="str">
        <f>IFERROR(VLOOKUP(A530,[3]DOORSCRIEFT!$A$2:$G$8551,2,FALSE),"")</f>
        <v/>
      </c>
      <c r="D530" s="393" t="str">
        <f>IFERROR(VLOOKUP(A530,[3]DOORSCRIEFT!$A$2:$G$8551,3,FALSE),"")</f>
        <v/>
      </c>
      <c r="E530" s="466" t="str">
        <f>IFERROR(VLOOKUP(A530,[3]DOORSCRIEFT!$A$2:$G$8551,4,FALSE),"")</f>
        <v/>
      </c>
      <c r="F530" s="405" t="str">
        <f>IFERROR(VLOOKUP(A530,[3]DOORSCRIEFT!$A$2:$G$8551,6,FALSE),"")</f>
        <v/>
      </c>
      <c r="G530" s="315"/>
    </row>
    <row r="531" spans="1:7" x14ac:dyDescent="0.25">
      <c r="A531" s="360" t="str">
        <f t="shared" si="10"/>
        <v>I.2.2.02.001309</v>
      </c>
      <c r="B531" s="339">
        <v>309</v>
      </c>
      <c r="C531" s="394" t="str">
        <f>IFERROR(VLOOKUP(A531,[3]DOORSCRIEFT!$A$2:$G$8551,2,FALSE),"")</f>
        <v/>
      </c>
      <c r="D531" s="393" t="str">
        <f>IFERROR(VLOOKUP(A531,[3]DOORSCRIEFT!$A$2:$G$8551,3,FALSE),"")</f>
        <v/>
      </c>
      <c r="E531" s="466" t="str">
        <f>IFERROR(VLOOKUP(A531,[3]DOORSCRIEFT!$A$2:$G$8551,4,FALSE),"")</f>
        <v/>
      </c>
      <c r="F531" s="405" t="str">
        <f>IFERROR(VLOOKUP(A531,[3]DOORSCRIEFT!$A$2:$G$8551,6,FALSE),"")</f>
        <v/>
      </c>
      <c r="G531" s="315"/>
    </row>
    <row r="532" spans="1:7" x14ac:dyDescent="0.25">
      <c r="A532" s="360" t="str">
        <f t="shared" si="10"/>
        <v>I.2.2.02.001310</v>
      </c>
      <c r="B532" s="319">
        <v>310</v>
      </c>
      <c r="C532" s="394" t="str">
        <f>IFERROR(VLOOKUP(A532,[3]DOORSCRIEFT!$A$2:$G$8551,2,FALSE),"")</f>
        <v/>
      </c>
      <c r="D532" s="393" t="str">
        <f>IFERROR(VLOOKUP(A532,[3]DOORSCRIEFT!$A$2:$G$8551,3,FALSE),"")</f>
        <v/>
      </c>
      <c r="E532" s="466" t="str">
        <f>IFERROR(VLOOKUP(A532,[3]DOORSCRIEFT!$A$2:$G$8551,4,FALSE),"")</f>
        <v/>
      </c>
      <c r="F532" s="405" t="str">
        <f>IFERROR(VLOOKUP(A532,[3]DOORSCRIEFT!$A$2:$G$8551,6,FALSE),"")</f>
        <v/>
      </c>
      <c r="G532" s="315"/>
    </row>
    <row r="533" spans="1:7" x14ac:dyDescent="0.25">
      <c r="A533" s="360" t="str">
        <f t="shared" si="10"/>
        <v>I.2.2.02.001311</v>
      </c>
      <c r="B533" s="339">
        <v>311</v>
      </c>
      <c r="C533" s="394" t="str">
        <f>IFERROR(VLOOKUP(A533,[3]DOORSCRIEFT!$A$2:$G$8551,2,FALSE),"")</f>
        <v/>
      </c>
      <c r="D533" s="393" t="str">
        <f>IFERROR(VLOOKUP(A533,[3]DOORSCRIEFT!$A$2:$G$8551,3,FALSE),"")</f>
        <v/>
      </c>
      <c r="E533" s="466" t="str">
        <f>IFERROR(VLOOKUP(A533,[3]DOORSCRIEFT!$A$2:$G$8551,4,FALSE),"")</f>
        <v/>
      </c>
      <c r="F533" s="405" t="str">
        <f>IFERROR(VLOOKUP(A533,[3]DOORSCRIEFT!$A$2:$G$8551,6,FALSE),"")</f>
        <v/>
      </c>
      <c r="G533" s="315"/>
    </row>
    <row r="534" spans="1:7" x14ac:dyDescent="0.25">
      <c r="A534" s="360" t="str">
        <f t="shared" si="10"/>
        <v>I.2.2.02.001312</v>
      </c>
      <c r="B534" s="319">
        <v>312</v>
      </c>
      <c r="C534" s="394" t="str">
        <f>IFERROR(VLOOKUP(A534,[3]DOORSCRIEFT!$A$2:$G$8551,2,FALSE),"")</f>
        <v/>
      </c>
      <c r="D534" s="393" t="str">
        <f>IFERROR(VLOOKUP(A534,[3]DOORSCRIEFT!$A$2:$G$8551,3,FALSE),"")</f>
        <v/>
      </c>
      <c r="E534" s="466" t="str">
        <f>IFERROR(VLOOKUP(A534,[3]DOORSCRIEFT!$A$2:$G$8551,4,FALSE),"")</f>
        <v/>
      </c>
      <c r="F534" s="405" t="str">
        <f>IFERROR(VLOOKUP(A534,[3]DOORSCRIEFT!$A$2:$G$8551,6,FALSE),"")</f>
        <v/>
      </c>
      <c r="G534" s="315"/>
    </row>
    <row r="535" spans="1:7" x14ac:dyDescent="0.25">
      <c r="A535" s="360" t="str">
        <f t="shared" si="10"/>
        <v>I.2.2.02.001313</v>
      </c>
      <c r="B535" s="339">
        <v>313</v>
      </c>
      <c r="C535" s="394" t="str">
        <f>IFERROR(VLOOKUP(A535,[3]DOORSCRIEFT!$A$2:$G$8551,2,FALSE),"")</f>
        <v/>
      </c>
      <c r="D535" s="393" t="str">
        <f>IFERROR(VLOOKUP(A535,[3]DOORSCRIEFT!$A$2:$G$8551,3,FALSE),"")</f>
        <v/>
      </c>
      <c r="E535" s="466" t="str">
        <f>IFERROR(VLOOKUP(A535,[3]DOORSCRIEFT!$A$2:$G$8551,4,FALSE),"")</f>
        <v/>
      </c>
      <c r="F535" s="405" t="str">
        <f>IFERROR(VLOOKUP(A535,[3]DOORSCRIEFT!$A$2:$G$8551,6,FALSE),"")</f>
        <v/>
      </c>
      <c r="G535" s="315"/>
    </row>
    <row r="536" spans="1:7" x14ac:dyDescent="0.25">
      <c r="A536" s="360" t="str">
        <f t="shared" si="10"/>
        <v>I.2.2.02.001314</v>
      </c>
      <c r="B536" s="319">
        <v>314</v>
      </c>
      <c r="C536" s="394" t="str">
        <f>IFERROR(VLOOKUP(A536,[3]DOORSCRIEFT!$A$2:$G$8551,2,FALSE),"")</f>
        <v/>
      </c>
      <c r="D536" s="393" t="str">
        <f>IFERROR(VLOOKUP(A536,[3]DOORSCRIEFT!$A$2:$G$8551,3,FALSE),"")</f>
        <v/>
      </c>
      <c r="E536" s="466" t="str">
        <f>IFERROR(VLOOKUP(A536,[3]DOORSCRIEFT!$A$2:$G$8551,4,FALSE),"")</f>
        <v/>
      </c>
      <c r="F536" s="405" t="str">
        <f>IFERROR(VLOOKUP(A536,[3]DOORSCRIEFT!$A$2:$G$8551,6,FALSE),"")</f>
        <v/>
      </c>
      <c r="G536" s="315"/>
    </row>
    <row r="537" spans="1:7" x14ac:dyDescent="0.25">
      <c r="A537" s="360" t="str">
        <f t="shared" si="10"/>
        <v>I.2.2.02.001315</v>
      </c>
      <c r="B537" s="339">
        <v>315</v>
      </c>
      <c r="C537" s="394" t="str">
        <f>IFERROR(VLOOKUP(A537,[3]DOORSCRIEFT!$A$2:$G$8551,2,FALSE),"")</f>
        <v/>
      </c>
      <c r="D537" s="393" t="str">
        <f>IFERROR(VLOOKUP(A537,[3]DOORSCRIEFT!$A$2:$G$8551,3,FALSE),"")</f>
        <v/>
      </c>
      <c r="E537" s="466" t="str">
        <f>IFERROR(VLOOKUP(A537,[3]DOORSCRIEFT!$A$2:$G$8551,4,FALSE),"")</f>
        <v/>
      </c>
      <c r="F537" s="405" t="str">
        <f>IFERROR(VLOOKUP(A537,[3]DOORSCRIEFT!$A$2:$G$8551,6,FALSE),"")</f>
        <v/>
      </c>
      <c r="G537" s="315"/>
    </row>
    <row r="538" spans="1:7" x14ac:dyDescent="0.25">
      <c r="A538" s="360" t="str">
        <f t="shared" si="10"/>
        <v>I.2.2.02.001316</v>
      </c>
      <c r="B538" s="319">
        <v>316</v>
      </c>
      <c r="C538" s="394" t="str">
        <f>IFERROR(VLOOKUP(A538,[3]DOORSCRIEFT!$A$2:$G$8551,2,FALSE),"")</f>
        <v/>
      </c>
      <c r="D538" s="393" t="str">
        <f>IFERROR(VLOOKUP(A538,[3]DOORSCRIEFT!$A$2:$G$8551,3,FALSE),"")</f>
        <v/>
      </c>
      <c r="E538" s="466" t="str">
        <f>IFERROR(VLOOKUP(A538,[3]DOORSCRIEFT!$A$2:$G$8551,4,FALSE),"")</f>
        <v/>
      </c>
      <c r="F538" s="405" t="str">
        <f>IFERROR(VLOOKUP(A538,[3]DOORSCRIEFT!$A$2:$G$8551,6,FALSE),"")</f>
        <v/>
      </c>
      <c r="G538" s="315"/>
    </row>
    <row r="539" spans="1:7" x14ac:dyDescent="0.25">
      <c r="A539" s="360" t="str">
        <f t="shared" si="10"/>
        <v>I.2.2.02.001317</v>
      </c>
      <c r="B539" s="339">
        <v>317</v>
      </c>
      <c r="C539" s="394" t="str">
        <f>IFERROR(VLOOKUP(A539,[3]DOORSCRIEFT!$A$2:$G$8551,2,FALSE),"")</f>
        <v/>
      </c>
      <c r="D539" s="393" t="str">
        <f>IFERROR(VLOOKUP(A539,[3]DOORSCRIEFT!$A$2:$G$8551,3,FALSE),"")</f>
        <v/>
      </c>
      <c r="E539" s="466" t="str">
        <f>IFERROR(VLOOKUP(A539,[3]DOORSCRIEFT!$A$2:$G$8551,4,FALSE),"")</f>
        <v/>
      </c>
      <c r="F539" s="405" t="str">
        <f>IFERROR(VLOOKUP(A539,[3]DOORSCRIEFT!$A$2:$G$8551,6,FALSE),"")</f>
        <v/>
      </c>
      <c r="G539" s="315"/>
    </row>
    <row r="540" spans="1:7" x14ac:dyDescent="0.25">
      <c r="A540" s="360" t="str">
        <f t="shared" si="10"/>
        <v>I.2.2.02.001318</v>
      </c>
      <c r="B540" s="319">
        <v>318</v>
      </c>
      <c r="C540" s="394" t="str">
        <f>IFERROR(VLOOKUP(A540,[3]DOORSCRIEFT!$A$2:$G$8551,2,FALSE),"")</f>
        <v/>
      </c>
      <c r="D540" s="393" t="str">
        <f>IFERROR(VLOOKUP(A540,[3]DOORSCRIEFT!$A$2:$G$8551,3,FALSE),"")</f>
        <v/>
      </c>
      <c r="E540" s="466" t="str">
        <f>IFERROR(VLOOKUP(A540,[3]DOORSCRIEFT!$A$2:$G$8551,4,FALSE),"")</f>
        <v/>
      </c>
      <c r="F540" s="405" t="str">
        <f>IFERROR(VLOOKUP(A540,[3]DOORSCRIEFT!$A$2:$G$8551,6,FALSE),"")</f>
        <v/>
      </c>
      <c r="G540" s="315"/>
    </row>
    <row r="541" spans="1:7" x14ac:dyDescent="0.25">
      <c r="A541" s="360" t="str">
        <f t="shared" si="10"/>
        <v>I.2.2.02.001319</v>
      </c>
      <c r="B541" s="339">
        <v>319</v>
      </c>
      <c r="C541" s="394" t="str">
        <f>IFERROR(VLOOKUP(A541,[3]DOORSCRIEFT!$A$2:$G$8551,2,FALSE),"")</f>
        <v/>
      </c>
      <c r="D541" s="393" t="str">
        <f>IFERROR(VLOOKUP(A541,[3]DOORSCRIEFT!$A$2:$G$8551,3,FALSE),"")</f>
        <v/>
      </c>
      <c r="E541" s="466" t="str">
        <f>IFERROR(VLOOKUP(A541,[3]DOORSCRIEFT!$A$2:$G$8551,4,FALSE),"")</f>
        <v/>
      </c>
      <c r="F541" s="405" t="str">
        <f>IFERROR(VLOOKUP(A541,[3]DOORSCRIEFT!$A$2:$G$8551,6,FALSE),"")</f>
        <v/>
      </c>
      <c r="G541" s="315"/>
    </row>
    <row r="542" spans="1:7" x14ac:dyDescent="0.25">
      <c r="A542" s="360" t="str">
        <f t="shared" si="10"/>
        <v>I.2.2.02.001320</v>
      </c>
      <c r="B542" s="319">
        <v>320</v>
      </c>
      <c r="C542" s="394" t="str">
        <f>IFERROR(VLOOKUP(A542,[3]DOORSCRIEFT!$A$2:$G$8551,2,FALSE),"")</f>
        <v/>
      </c>
      <c r="D542" s="393" t="str">
        <f>IFERROR(VLOOKUP(A542,[3]DOORSCRIEFT!$A$2:$G$8551,3,FALSE),"")</f>
        <v/>
      </c>
      <c r="E542" s="466" t="str">
        <f>IFERROR(VLOOKUP(A542,[3]DOORSCRIEFT!$A$2:$G$8551,4,FALSE),"")</f>
        <v/>
      </c>
      <c r="F542" s="405" t="str">
        <f>IFERROR(VLOOKUP(A542,[3]DOORSCRIEFT!$A$2:$G$8551,6,FALSE),"")</f>
        <v/>
      </c>
      <c r="G542" s="315"/>
    </row>
    <row r="543" spans="1:7" x14ac:dyDescent="0.25">
      <c r="A543" s="360" t="str">
        <f t="shared" ref="A543:A606" si="11">$G$216&amp;B543</f>
        <v>I.2.2.02.001321</v>
      </c>
      <c r="B543" s="339">
        <v>321</v>
      </c>
      <c r="C543" s="394" t="str">
        <f>IFERROR(VLOOKUP(A543,[3]DOORSCRIEFT!$A$2:$G$8551,2,FALSE),"")</f>
        <v/>
      </c>
      <c r="D543" s="393" t="str">
        <f>IFERROR(VLOOKUP(A543,[3]DOORSCRIEFT!$A$2:$G$8551,3,FALSE),"")</f>
        <v/>
      </c>
      <c r="E543" s="466" t="str">
        <f>IFERROR(VLOOKUP(A543,[3]DOORSCRIEFT!$A$2:$G$8551,4,FALSE),"")</f>
        <v/>
      </c>
      <c r="F543" s="405" t="str">
        <f>IFERROR(VLOOKUP(A543,[3]DOORSCRIEFT!$A$2:$G$8551,6,FALSE),"")</f>
        <v/>
      </c>
      <c r="G543" s="315"/>
    </row>
    <row r="544" spans="1:7" x14ac:dyDescent="0.25">
      <c r="A544" s="360" t="str">
        <f t="shared" si="11"/>
        <v>I.2.2.02.001322</v>
      </c>
      <c r="B544" s="319">
        <v>322</v>
      </c>
      <c r="C544" s="394" t="str">
        <f>IFERROR(VLOOKUP(A544,[3]DOORSCRIEFT!$A$2:$G$8551,2,FALSE),"")</f>
        <v/>
      </c>
      <c r="D544" s="393" t="str">
        <f>IFERROR(VLOOKUP(A544,[3]DOORSCRIEFT!$A$2:$G$8551,3,FALSE),"")</f>
        <v/>
      </c>
      <c r="E544" s="466" t="str">
        <f>IFERROR(VLOOKUP(A544,[3]DOORSCRIEFT!$A$2:$G$8551,4,FALSE),"")</f>
        <v/>
      </c>
      <c r="F544" s="405" t="str">
        <f>IFERROR(VLOOKUP(A544,[3]DOORSCRIEFT!$A$2:$G$8551,6,FALSE),"")</f>
        <v/>
      </c>
      <c r="G544" s="315"/>
    </row>
    <row r="545" spans="1:7" x14ac:dyDescent="0.25">
      <c r="A545" s="360" t="str">
        <f t="shared" si="11"/>
        <v>I.2.2.02.001323</v>
      </c>
      <c r="B545" s="339">
        <v>323</v>
      </c>
      <c r="C545" s="394" t="str">
        <f>IFERROR(VLOOKUP(A545,[3]DOORSCRIEFT!$A$2:$G$8551,2,FALSE),"")</f>
        <v/>
      </c>
      <c r="D545" s="393" t="str">
        <f>IFERROR(VLOOKUP(A545,[3]DOORSCRIEFT!$A$2:$G$8551,3,FALSE),"")</f>
        <v/>
      </c>
      <c r="E545" s="466" t="str">
        <f>IFERROR(VLOOKUP(A545,[3]DOORSCRIEFT!$A$2:$G$8551,4,FALSE),"")</f>
        <v/>
      </c>
      <c r="F545" s="405" t="str">
        <f>IFERROR(VLOOKUP(A545,[3]DOORSCRIEFT!$A$2:$G$8551,6,FALSE),"")</f>
        <v/>
      </c>
      <c r="G545" s="315"/>
    </row>
    <row r="546" spans="1:7" x14ac:dyDescent="0.25">
      <c r="A546" s="360" t="str">
        <f t="shared" si="11"/>
        <v>I.2.2.02.001324</v>
      </c>
      <c r="B546" s="319">
        <v>324</v>
      </c>
      <c r="C546" s="394" t="str">
        <f>IFERROR(VLOOKUP(A546,[3]DOORSCRIEFT!$A$2:$G$8551,2,FALSE),"")</f>
        <v/>
      </c>
      <c r="D546" s="393" t="str">
        <f>IFERROR(VLOOKUP(A546,[3]DOORSCRIEFT!$A$2:$G$8551,3,FALSE),"")</f>
        <v/>
      </c>
      <c r="E546" s="466" t="str">
        <f>IFERROR(VLOOKUP(A546,[3]DOORSCRIEFT!$A$2:$G$8551,4,FALSE),"")</f>
        <v/>
      </c>
      <c r="F546" s="405" t="str">
        <f>IFERROR(VLOOKUP(A546,[3]DOORSCRIEFT!$A$2:$G$8551,6,FALSE),"")</f>
        <v/>
      </c>
      <c r="G546" s="315"/>
    </row>
    <row r="547" spans="1:7" x14ac:dyDescent="0.25">
      <c r="A547" s="360" t="str">
        <f t="shared" si="11"/>
        <v>I.2.2.02.001325</v>
      </c>
      <c r="B547" s="339">
        <v>325</v>
      </c>
      <c r="C547" s="394" t="str">
        <f>IFERROR(VLOOKUP(A547,[3]DOORSCRIEFT!$A$2:$G$8551,2,FALSE),"")</f>
        <v/>
      </c>
      <c r="D547" s="393" t="str">
        <f>IFERROR(VLOOKUP(A547,[3]DOORSCRIEFT!$A$2:$G$8551,3,FALSE),"")</f>
        <v/>
      </c>
      <c r="E547" s="466" t="str">
        <f>IFERROR(VLOOKUP(A547,[3]DOORSCRIEFT!$A$2:$G$8551,4,FALSE),"")</f>
        <v/>
      </c>
      <c r="F547" s="405" t="str">
        <f>IFERROR(VLOOKUP(A547,[3]DOORSCRIEFT!$A$2:$G$8551,6,FALSE),"")</f>
        <v/>
      </c>
      <c r="G547" s="315"/>
    </row>
    <row r="548" spans="1:7" x14ac:dyDescent="0.25">
      <c r="A548" s="360" t="str">
        <f t="shared" si="11"/>
        <v>I.2.2.02.001326</v>
      </c>
      <c r="B548" s="319">
        <v>326</v>
      </c>
      <c r="C548" s="394" t="str">
        <f>IFERROR(VLOOKUP(A548,[3]DOORSCRIEFT!$A$2:$G$8551,2,FALSE),"")</f>
        <v/>
      </c>
      <c r="D548" s="393" t="str">
        <f>IFERROR(VLOOKUP(A548,[3]DOORSCRIEFT!$A$2:$G$8551,3,FALSE),"")</f>
        <v/>
      </c>
      <c r="E548" s="466" t="str">
        <f>IFERROR(VLOOKUP(A548,[3]DOORSCRIEFT!$A$2:$G$8551,4,FALSE),"")</f>
        <v/>
      </c>
      <c r="F548" s="405" t="str">
        <f>IFERROR(VLOOKUP(A548,[3]DOORSCRIEFT!$A$2:$G$8551,6,FALSE),"")</f>
        <v/>
      </c>
      <c r="G548" s="315"/>
    </row>
    <row r="549" spans="1:7" x14ac:dyDescent="0.25">
      <c r="A549" s="360" t="str">
        <f t="shared" si="11"/>
        <v>I.2.2.02.001327</v>
      </c>
      <c r="B549" s="339">
        <v>327</v>
      </c>
      <c r="C549" s="394" t="str">
        <f>IFERROR(VLOOKUP(A549,[3]DOORSCRIEFT!$A$2:$G$8551,2,FALSE),"")</f>
        <v/>
      </c>
      <c r="D549" s="393" t="str">
        <f>IFERROR(VLOOKUP(A549,[3]DOORSCRIEFT!$A$2:$G$8551,3,FALSE),"")</f>
        <v/>
      </c>
      <c r="E549" s="466" t="str">
        <f>IFERROR(VLOOKUP(A549,[3]DOORSCRIEFT!$A$2:$G$8551,4,FALSE),"")</f>
        <v/>
      </c>
      <c r="F549" s="405" t="str">
        <f>IFERROR(VLOOKUP(A549,[3]DOORSCRIEFT!$A$2:$G$8551,6,FALSE),"")</f>
        <v/>
      </c>
      <c r="G549" s="315"/>
    </row>
    <row r="550" spans="1:7" x14ac:dyDescent="0.25">
      <c r="A550" s="360" t="str">
        <f t="shared" si="11"/>
        <v>I.2.2.02.001328</v>
      </c>
      <c r="B550" s="319">
        <v>328</v>
      </c>
      <c r="C550" s="394" t="str">
        <f>IFERROR(VLOOKUP(A550,[3]DOORSCRIEFT!$A$2:$G$8551,2,FALSE),"")</f>
        <v/>
      </c>
      <c r="D550" s="393" t="str">
        <f>IFERROR(VLOOKUP(A550,[3]DOORSCRIEFT!$A$2:$G$8551,3,FALSE),"")</f>
        <v/>
      </c>
      <c r="E550" s="466" t="str">
        <f>IFERROR(VLOOKUP(A550,[3]DOORSCRIEFT!$A$2:$G$8551,4,FALSE),"")</f>
        <v/>
      </c>
      <c r="F550" s="405" t="str">
        <f>IFERROR(VLOOKUP(A550,[3]DOORSCRIEFT!$A$2:$G$8551,6,FALSE),"")</f>
        <v/>
      </c>
      <c r="G550" s="315"/>
    </row>
    <row r="551" spans="1:7" x14ac:dyDescent="0.25">
      <c r="A551" s="360" t="str">
        <f t="shared" si="11"/>
        <v>I.2.2.02.001329</v>
      </c>
      <c r="B551" s="339">
        <v>329</v>
      </c>
      <c r="C551" s="394" t="str">
        <f>IFERROR(VLOOKUP(A551,[3]DOORSCRIEFT!$A$2:$G$8551,2,FALSE),"")</f>
        <v/>
      </c>
      <c r="D551" s="393" t="str">
        <f>IFERROR(VLOOKUP(A551,[3]DOORSCRIEFT!$A$2:$G$8551,3,FALSE),"")</f>
        <v/>
      </c>
      <c r="E551" s="466" t="str">
        <f>IFERROR(VLOOKUP(A551,[3]DOORSCRIEFT!$A$2:$G$8551,4,FALSE),"")</f>
        <v/>
      </c>
      <c r="F551" s="405" t="str">
        <f>IFERROR(VLOOKUP(A551,[3]DOORSCRIEFT!$A$2:$G$8551,6,FALSE),"")</f>
        <v/>
      </c>
      <c r="G551" s="315"/>
    </row>
    <row r="552" spans="1:7" x14ac:dyDescent="0.25">
      <c r="A552" s="360" t="str">
        <f t="shared" si="11"/>
        <v>I.2.2.02.001330</v>
      </c>
      <c r="B552" s="319">
        <v>330</v>
      </c>
      <c r="C552" s="394" t="str">
        <f>IFERROR(VLOOKUP(A552,[3]DOORSCRIEFT!$A$2:$G$8551,2,FALSE),"")</f>
        <v/>
      </c>
      <c r="D552" s="393" t="str">
        <f>IFERROR(VLOOKUP(A552,[3]DOORSCRIEFT!$A$2:$G$8551,3,FALSE),"")</f>
        <v/>
      </c>
      <c r="E552" s="466" t="str">
        <f>IFERROR(VLOOKUP(A552,[3]DOORSCRIEFT!$A$2:$G$8551,4,FALSE),"")</f>
        <v/>
      </c>
      <c r="F552" s="405" t="str">
        <f>IFERROR(VLOOKUP(A552,[3]DOORSCRIEFT!$A$2:$G$8551,6,FALSE),"")</f>
        <v/>
      </c>
      <c r="G552" s="315"/>
    </row>
    <row r="553" spans="1:7" x14ac:dyDescent="0.25">
      <c r="A553" s="360" t="str">
        <f t="shared" si="11"/>
        <v>I.2.2.02.001331</v>
      </c>
      <c r="B553" s="339">
        <v>331</v>
      </c>
      <c r="C553" s="394" t="str">
        <f>IFERROR(VLOOKUP(A553,[3]DOORSCRIEFT!$A$2:$G$8551,2,FALSE),"")</f>
        <v/>
      </c>
      <c r="D553" s="393" t="str">
        <f>IFERROR(VLOOKUP(A553,[3]DOORSCRIEFT!$A$2:$G$8551,3,FALSE),"")</f>
        <v/>
      </c>
      <c r="E553" s="466" t="str">
        <f>IFERROR(VLOOKUP(A553,[3]DOORSCRIEFT!$A$2:$G$8551,4,FALSE),"")</f>
        <v/>
      </c>
      <c r="F553" s="405" t="str">
        <f>IFERROR(VLOOKUP(A553,[3]DOORSCRIEFT!$A$2:$G$8551,6,FALSE),"")</f>
        <v/>
      </c>
      <c r="G553" s="315"/>
    </row>
    <row r="554" spans="1:7" x14ac:dyDescent="0.25">
      <c r="A554" s="360" t="str">
        <f t="shared" si="11"/>
        <v>I.2.2.02.001332</v>
      </c>
      <c r="B554" s="319">
        <v>332</v>
      </c>
      <c r="C554" s="394" t="str">
        <f>IFERROR(VLOOKUP(A554,[3]DOORSCRIEFT!$A$2:$G$8551,2,FALSE),"")</f>
        <v/>
      </c>
      <c r="D554" s="393" t="str">
        <f>IFERROR(VLOOKUP(A554,[3]DOORSCRIEFT!$A$2:$G$8551,3,FALSE),"")</f>
        <v/>
      </c>
      <c r="E554" s="466" t="str">
        <f>IFERROR(VLOOKUP(A554,[3]DOORSCRIEFT!$A$2:$G$8551,4,FALSE),"")</f>
        <v/>
      </c>
      <c r="F554" s="405" t="str">
        <f>IFERROR(VLOOKUP(A554,[3]DOORSCRIEFT!$A$2:$G$8551,6,FALSE),"")</f>
        <v/>
      </c>
      <c r="G554" s="315"/>
    </row>
    <row r="555" spans="1:7" x14ac:dyDescent="0.25">
      <c r="A555" s="360" t="str">
        <f t="shared" si="11"/>
        <v>I.2.2.02.001333</v>
      </c>
      <c r="B555" s="339">
        <v>333</v>
      </c>
      <c r="C555" s="394" t="str">
        <f>IFERROR(VLOOKUP(A555,[3]DOORSCRIEFT!$A$2:$G$8551,2,FALSE),"")</f>
        <v/>
      </c>
      <c r="D555" s="393" t="str">
        <f>IFERROR(VLOOKUP(A555,[3]DOORSCRIEFT!$A$2:$G$8551,3,FALSE),"")</f>
        <v/>
      </c>
      <c r="E555" s="466" t="str">
        <f>IFERROR(VLOOKUP(A555,[3]DOORSCRIEFT!$A$2:$G$8551,4,FALSE),"")</f>
        <v/>
      </c>
      <c r="F555" s="405" t="str">
        <f>IFERROR(VLOOKUP(A555,[3]DOORSCRIEFT!$A$2:$G$8551,6,FALSE),"")</f>
        <v/>
      </c>
      <c r="G555" s="315"/>
    </row>
    <row r="556" spans="1:7" x14ac:dyDescent="0.25">
      <c r="A556" s="360" t="str">
        <f t="shared" si="11"/>
        <v>I.2.2.02.001334</v>
      </c>
      <c r="B556" s="319">
        <v>334</v>
      </c>
      <c r="C556" s="394" t="str">
        <f>IFERROR(VLOOKUP(A556,[3]DOORSCRIEFT!$A$2:$G$8551,2,FALSE),"")</f>
        <v/>
      </c>
      <c r="D556" s="393" t="str">
        <f>IFERROR(VLOOKUP(A556,[3]DOORSCRIEFT!$A$2:$G$8551,3,FALSE),"")</f>
        <v/>
      </c>
      <c r="E556" s="466" t="str">
        <f>IFERROR(VLOOKUP(A556,[3]DOORSCRIEFT!$A$2:$G$8551,4,FALSE),"")</f>
        <v/>
      </c>
      <c r="F556" s="405" t="str">
        <f>IFERROR(VLOOKUP(A556,[3]DOORSCRIEFT!$A$2:$G$8551,6,FALSE),"")</f>
        <v/>
      </c>
      <c r="G556" s="315"/>
    </row>
    <row r="557" spans="1:7" x14ac:dyDescent="0.25">
      <c r="A557" s="360" t="str">
        <f t="shared" si="11"/>
        <v>I.2.2.02.001335</v>
      </c>
      <c r="B557" s="339">
        <v>335</v>
      </c>
      <c r="C557" s="394" t="str">
        <f>IFERROR(VLOOKUP(A557,[3]DOORSCRIEFT!$A$2:$G$8551,2,FALSE),"")</f>
        <v/>
      </c>
      <c r="D557" s="393" t="str">
        <f>IFERROR(VLOOKUP(A557,[3]DOORSCRIEFT!$A$2:$G$8551,3,FALSE),"")</f>
        <v/>
      </c>
      <c r="E557" s="466" t="str">
        <f>IFERROR(VLOOKUP(A557,[3]DOORSCRIEFT!$A$2:$G$8551,4,FALSE),"")</f>
        <v/>
      </c>
      <c r="F557" s="405" t="str">
        <f>IFERROR(VLOOKUP(A557,[3]DOORSCRIEFT!$A$2:$G$8551,6,FALSE),"")</f>
        <v/>
      </c>
      <c r="G557" s="315"/>
    </row>
    <row r="558" spans="1:7" x14ac:dyDescent="0.25">
      <c r="A558" s="360" t="str">
        <f t="shared" si="11"/>
        <v>I.2.2.02.001336</v>
      </c>
      <c r="B558" s="319">
        <v>336</v>
      </c>
      <c r="C558" s="394" t="str">
        <f>IFERROR(VLOOKUP(A558,[3]DOORSCRIEFT!$A$2:$G$8551,2,FALSE),"")</f>
        <v/>
      </c>
      <c r="D558" s="393" t="str">
        <f>IFERROR(VLOOKUP(A558,[3]DOORSCRIEFT!$A$2:$G$8551,3,FALSE),"")</f>
        <v/>
      </c>
      <c r="E558" s="466" t="str">
        <f>IFERROR(VLOOKUP(A558,[3]DOORSCRIEFT!$A$2:$G$8551,4,FALSE),"")</f>
        <v/>
      </c>
      <c r="F558" s="405" t="str">
        <f>IFERROR(VLOOKUP(A558,[3]DOORSCRIEFT!$A$2:$G$8551,6,FALSE),"")</f>
        <v/>
      </c>
      <c r="G558" s="315"/>
    </row>
    <row r="559" spans="1:7" x14ac:dyDescent="0.25">
      <c r="A559" s="360" t="str">
        <f t="shared" si="11"/>
        <v>I.2.2.02.001337</v>
      </c>
      <c r="B559" s="339">
        <v>337</v>
      </c>
      <c r="C559" s="394" t="str">
        <f>IFERROR(VLOOKUP(A559,[3]DOORSCRIEFT!$A$2:$G$8551,2,FALSE),"")</f>
        <v/>
      </c>
      <c r="D559" s="393" t="str">
        <f>IFERROR(VLOOKUP(A559,[3]DOORSCRIEFT!$A$2:$G$8551,3,FALSE),"")</f>
        <v/>
      </c>
      <c r="E559" s="466" t="str">
        <f>IFERROR(VLOOKUP(A559,[3]DOORSCRIEFT!$A$2:$G$8551,4,FALSE),"")</f>
        <v/>
      </c>
      <c r="F559" s="405" t="str">
        <f>IFERROR(VLOOKUP(A559,[3]DOORSCRIEFT!$A$2:$G$8551,6,FALSE),"")</f>
        <v/>
      </c>
      <c r="G559" s="315"/>
    </row>
    <row r="560" spans="1:7" x14ac:dyDescent="0.25">
      <c r="A560" s="360" t="str">
        <f t="shared" si="11"/>
        <v>I.2.2.02.001338</v>
      </c>
      <c r="B560" s="319">
        <v>338</v>
      </c>
      <c r="C560" s="394" t="str">
        <f>IFERROR(VLOOKUP(A560,[3]DOORSCRIEFT!$A$2:$G$8551,2,FALSE),"")</f>
        <v/>
      </c>
      <c r="D560" s="393" t="str">
        <f>IFERROR(VLOOKUP(A560,[3]DOORSCRIEFT!$A$2:$G$8551,3,FALSE),"")</f>
        <v/>
      </c>
      <c r="E560" s="466" t="str">
        <f>IFERROR(VLOOKUP(A560,[3]DOORSCRIEFT!$A$2:$G$8551,4,FALSE),"")</f>
        <v/>
      </c>
      <c r="F560" s="405" t="str">
        <f>IFERROR(VLOOKUP(A560,[3]DOORSCRIEFT!$A$2:$G$8551,6,FALSE),"")</f>
        <v/>
      </c>
      <c r="G560" s="315"/>
    </row>
    <row r="561" spans="1:7" x14ac:dyDescent="0.25">
      <c r="A561" s="360" t="str">
        <f t="shared" si="11"/>
        <v>I.2.2.02.001339</v>
      </c>
      <c r="B561" s="339">
        <v>339</v>
      </c>
      <c r="C561" s="394" t="str">
        <f>IFERROR(VLOOKUP(A561,[3]DOORSCRIEFT!$A$2:$G$8551,2,FALSE),"")</f>
        <v/>
      </c>
      <c r="D561" s="393" t="str">
        <f>IFERROR(VLOOKUP(A561,[3]DOORSCRIEFT!$A$2:$G$8551,3,FALSE),"")</f>
        <v/>
      </c>
      <c r="E561" s="466" t="str">
        <f>IFERROR(VLOOKUP(A561,[3]DOORSCRIEFT!$A$2:$G$8551,4,FALSE),"")</f>
        <v/>
      </c>
      <c r="F561" s="405" t="str">
        <f>IFERROR(VLOOKUP(A561,[3]DOORSCRIEFT!$A$2:$G$8551,6,FALSE),"")</f>
        <v/>
      </c>
      <c r="G561" s="315"/>
    </row>
    <row r="562" spans="1:7" x14ac:dyDescent="0.25">
      <c r="A562" s="360" t="str">
        <f t="shared" si="11"/>
        <v>I.2.2.02.001340</v>
      </c>
      <c r="B562" s="319">
        <v>340</v>
      </c>
      <c r="C562" s="394" t="str">
        <f>IFERROR(VLOOKUP(A562,[3]DOORSCRIEFT!$A$2:$G$8551,2,FALSE),"")</f>
        <v/>
      </c>
      <c r="D562" s="393" t="str">
        <f>IFERROR(VLOOKUP(A562,[3]DOORSCRIEFT!$A$2:$G$8551,3,FALSE),"")</f>
        <v/>
      </c>
      <c r="E562" s="466" t="str">
        <f>IFERROR(VLOOKUP(A562,[3]DOORSCRIEFT!$A$2:$G$8551,4,FALSE),"")</f>
        <v/>
      </c>
      <c r="F562" s="405" t="str">
        <f>IFERROR(VLOOKUP(A562,[3]DOORSCRIEFT!$A$2:$G$8551,6,FALSE),"")</f>
        <v/>
      </c>
      <c r="G562" s="315"/>
    </row>
    <row r="563" spans="1:7" x14ac:dyDescent="0.25">
      <c r="A563" s="360" t="str">
        <f t="shared" si="11"/>
        <v>I.2.2.02.001341</v>
      </c>
      <c r="B563" s="339">
        <v>341</v>
      </c>
      <c r="C563" s="394" t="str">
        <f>IFERROR(VLOOKUP(A563,[3]DOORSCRIEFT!$A$2:$G$8551,2,FALSE),"")</f>
        <v/>
      </c>
      <c r="D563" s="393" t="str">
        <f>IFERROR(VLOOKUP(A563,[3]DOORSCRIEFT!$A$2:$G$8551,3,FALSE),"")</f>
        <v/>
      </c>
      <c r="E563" s="466" t="str">
        <f>IFERROR(VLOOKUP(A563,[3]DOORSCRIEFT!$A$2:$G$8551,4,FALSE),"")</f>
        <v/>
      </c>
      <c r="F563" s="405" t="str">
        <f>IFERROR(VLOOKUP(A563,[3]DOORSCRIEFT!$A$2:$G$8551,6,FALSE),"")</f>
        <v/>
      </c>
      <c r="G563" s="315"/>
    </row>
    <row r="564" spans="1:7" x14ac:dyDescent="0.25">
      <c r="A564" s="360" t="str">
        <f t="shared" si="11"/>
        <v>I.2.2.02.001342</v>
      </c>
      <c r="B564" s="319">
        <v>342</v>
      </c>
      <c r="C564" s="394" t="str">
        <f>IFERROR(VLOOKUP(A564,[3]DOORSCRIEFT!$A$2:$G$8551,2,FALSE),"")</f>
        <v/>
      </c>
      <c r="D564" s="393" t="str">
        <f>IFERROR(VLOOKUP(A564,[3]DOORSCRIEFT!$A$2:$G$8551,3,FALSE),"")</f>
        <v/>
      </c>
      <c r="E564" s="466" t="str">
        <f>IFERROR(VLOOKUP(A564,[3]DOORSCRIEFT!$A$2:$G$8551,4,FALSE),"")</f>
        <v/>
      </c>
      <c r="F564" s="405" t="str">
        <f>IFERROR(VLOOKUP(A564,[3]DOORSCRIEFT!$A$2:$G$8551,6,FALSE),"")</f>
        <v/>
      </c>
      <c r="G564" s="315"/>
    </row>
    <row r="565" spans="1:7" x14ac:dyDescent="0.25">
      <c r="A565" s="360" t="str">
        <f t="shared" si="11"/>
        <v>I.2.2.02.001343</v>
      </c>
      <c r="B565" s="339">
        <v>343</v>
      </c>
      <c r="C565" s="394" t="str">
        <f>IFERROR(VLOOKUP(A565,[3]DOORSCRIEFT!$A$2:$G$8551,2,FALSE),"")</f>
        <v/>
      </c>
      <c r="D565" s="393" t="str">
        <f>IFERROR(VLOOKUP(A565,[3]DOORSCRIEFT!$A$2:$G$8551,3,FALSE),"")</f>
        <v/>
      </c>
      <c r="E565" s="466" t="str">
        <f>IFERROR(VLOOKUP(A565,[3]DOORSCRIEFT!$A$2:$G$8551,4,FALSE),"")</f>
        <v/>
      </c>
      <c r="F565" s="405" t="str">
        <f>IFERROR(VLOOKUP(A565,[3]DOORSCRIEFT!$A$2:$G$8551,6,FALSE),"")</f>
        <v/>
      </c>
      <c r="G565" s="315"/>
    </row>
    <row r="566" spans="1:7" x14ac:dyDescent="0.25">
      <c r="A566" s="360" t="str">
        <f t="shared" si="11"/>
        <v>I.2.2.02.001344</v>
      </c>
      <c r="B566" s="319">
        <v>344</v>
      </c>
      <c r="C566" s="394" t="str">
        <f>IFERROR(VLOOKUP(A566,[3]DOORSCRIEFT!$A$2:$G$8551,2,FALSE),"")</f>
        <v/>
      </c>
      <c r="D566" s="393" t="str">
        <f>IFERROR(VLOOKUP(A566,[3]DOORSCRIEFT!$A$2:$G$8551,3,FALSE),"")</f>
        <v/>
      </c>
      <c r="E566" s="466" t="str">
        <f>IFERROR(VLOOKUP(A566,[3]DOORSCRIEFT!$A$2:$G$8551,4,FALSE),"")</f>
        <v/>
      </c>
      <c r="F566" s="405" t="str">
        <f>IFERROR(VLOOKUP(A566,[3]DOORSCRIEFT!$A$2:$G$8551,6,FALSE),"")</f>
        <v/>
      </c>
      <c r="G566" s="315"/>
    </row>
    <row r="567" spans="1:7" x14ac:dyDescent="0.25">
      <c r="A567" s="360" t="str">
        <f t="shared" si="11"/>
        <v>I.2.2.02.001345</v>
      </c>
      <c r="B567" s="339">
        <v>345</v>
      </c>
      <c r="C567" s="394" t="str">
        <f>IFERROR(VLOOKUP(A567,[3]DOORSCRIEFT!$A$2:$G$8551,2,FALSE),"")</f>
        <v/>
      </c>
      <c r="D567" s="393" t="str">
        <f>IFERROR(VLOOKUP(A567,[3]DOORSCRIEFT!$A$2:$G$8551,3,FALSE),"")</f>
        <v/>
      </c>
      <c r="E567" s="466" t="str">
        <f>IFERROR(VLOOKUP(A567,[3]DOORSCRIEFT!$A$2:$G$8551,4,FALSE),"")</f>
        <v/>
      </c>
      <c r="F567" s="405" t="str">
        <f>IFERROR(VLOOKUP(A567,[3]DOORSCRIEFT!$A$2:$G$8551,6,FALSE),"")</f>
        <v/>
      </c>
      <c r="G567" s="315"/>
    </row>
    <row r="568" spans="1:7" x14ac:dyDescent="0.25">
      <c r="A568" s="360" t="str">
        <f t="shared" si="11"/>
        <v>I.2.2.02.001346</v>
      </c>
      <c r="B568" s="319">
        <v>346</v>
      </c>
      <c r="C568" s="394" t="str">
        <f>IFERROR(VLOOKUP(A568,[3]DOORSCRIEFT!$A$2:$G$8551,2,FALSE),"")</f>
        <v/>
      </c>
      <c r="D568" s="393" t="str">
        <f>IFERROR(VLOOKUP(A568,[3]DOORSCRIEFT!$A$2:$G$8551,3,FALSE),"")</f>
        <v/>
      </c>
      <c r="E568" s="466" t="str">
        <f>IFERROR(VLOOKUP(A568,[3]DOORSCRIEFT!$A$2:$G$8551,4,FALSE),"")</f>
        <v/>
      </c>
      <c r="F568" s="405" t="str">
        <f>IFERROR(VLOOKUP(A568,[3]DOORSCRIEFT!$A$2:$G$8551,6,FALSE),"")</f>
        <v/>
      </c>
      <c r="G568" s="315"/>
    </row>
    <row r="569" spans="1:7" x14ac:dyDescent="0.25">
      <c r="A569" s="360" t="str">
        <f t="shared" si="11"/>
        <v>I.2.2.02.001347</v>
      </c>
      <c r="B569" s="339">
        <v>347</v>
      </c>
      <c r="C569" s="394" t="str">
        <f>IFERROR(VLOOKUP(A569,[3]DOORSCRIEFT!$A$2:$G$8551,2,FALSE),"")</f>
        <v/>
      </c>
      <c r="D569" s="393" t="str">
        <f>IFERROR(VLOOKUP(A569,[3]DOORSCRIEFT!$A$2:$G$8551,3,FALSE),"")</f>
        <v/>
      </c>
      <c r="E569" s="466" t="str">
        <f>IFERROR(VLOOKUP(A569,[3]DOORSCRIEFT!$A$2:$G$8551,4,FALSE),"")</f>
        <v/>
      </c>
      <c r="F569" s="405" t="str">
        <f>IFERROR(VLOOKUP(A569,[3]DOORSCRIEFT!$A$2:$G$8551,6,FALSE),"")</f>
        <v/>
      </c>
      <c r="G569" s="315"/>
    </row>
    <row r="570" spans="1:7" x14ac:dyDescent="0.25">
      <c r="A570" s="360" t="str">
        <f t="shared" si="11"/>
        <v>I.2.2.02.001348</v>
      </c>
      <c r="B570" s="319">
        <v>348</v>
      </c>
      <c r="C570" s="394" t="str">
        <f>IFERROR(VLOOKUP(A570,[3]DOORSCRIEFT!$A$2:$G$8551,2,FALSE),"")</f>
        <v/>
      </c>
      <c r="D570" s="393" t="str">
        <f>IFERROR(VLOOKUP(A570,[3]DOORSCRIEFT!$A$2:$G$8551,3,FALSE),"")</f>
        <v/>
      </c>
      <c r="E570" s="466" t="str">
        <f>IFERROR(VLOOKUP(A570,[3]DOORSCRIEFT!$A$2:$G$8551,4,FALSE),"")</f>
        <v/>
      </c>
      <c r="F570" s="405" t="str">
        <f>IFERROR(VLOOKUP(A570,[3]DOORSCRIEFT!$A$2:$G$8551,6,FALSE),"")</f>
        <v/>
      </c>
      <c r="G570" s="315"/>
    </row>
    <row r="571" spans="1:7" x14ac:dyDescent="0.25">
      <c r="A571" s="360" t="str">
        <f t="shared" si="11"/>
        <v>I.2.2.02.001349</v>
      </c>
      <c r="B571" s="339">
        <v>349</v>
      </c>
      <c r="C571" s="394" t="str">
        <f>IFERROR(VLOOKUP(A571,[3]DOORSCRIEFT!$A$2:$G$8551,2,FALSE),"")</f>
        <v/>
      </c>
      <c r="D571" s="393" t="str">
        <f>IFERROR(VLOOKUP(A571,[3]DOORSCRIEFT!$A$2:$G$8551,3,FALSE),"")</f>
        <v/>
      </c>
      <c r="E571" s="466" t="str">
        <f>IFERROR(VLOOKUP(A571,[3]DOORSCRIEFT!$A$2:$G$8551,4,FALSE),"")</f>
        <v/>
      </c>
      <c r="F571" s="405" t="str">
        <f>IFERROR(VLOOKUP(A571,[3]DOORSCRIEFT!$A$2:$G$8551,6,FALSE),"")</f>
        <v/>
      </c>
      <c r="G571" s="315"/>
    </row>
    <row r="572" spans="1:7" x14ac:dyDescent="0.25">
      <c r="A572" s="360" t="str">
        <f t="shared" si="11"/>
        <v>I.2.2.02.001350</v>
      </c>
      <c r="B572" s="319">
        <v>350</v>
      </c>
      <c r="C572" s="394" t="str">
        <f>IFERROR(VLOOKUP(A572,[3]DOORSCRIEFT!$A$2:$G$8551,2,FALSE),"")</f>
        <v/>
      </c>
      <c r="D572" s="393" t="str">
        <f>IFERROR(VLOOKUP(A572,[3]DOORSCRIEFT!$A$2:$G$8551,3,FALSE),"")</f>
        <v/>
      </c>
      <c r="E572" s="466" t="str">
        <f>IFERROR(VLOOKUP(A572,[3]DOORSCRIEFT!$A$2:$G$8551,4,FALSE),"")</f>
        <v/>
      </c>
      <c r="F572" s="405" t="str">
        <f>IFERROR(VLOOKUP(A572,[3]DOORSCRIEFT!$A$2:$G$8551,6,FALSE),"")</f>
        <v/>
      </c>
      <c r="G572" s="315"/>
    </row>
    <row r="573" spans="1:7" x14ac:dyDescent="0.25">
      <c r="A573" s="360" t="str">
        <f t="shared" si="11"/>
        <v>I.2.2.02.001351</v>
      </c>
      <c r="B573" s="339">
        <v>351</v>
      </c>
      <c r="C573" s="394" t="str">
        <f>IFERROR(VLOOKUP(A573,[3]DOORSCRIEFT!$A$2:$G$8551,2,FALSE),"")</f>
        <v/>
      </c>
      <c r="D573" s="393" t="str">
        <f>IFERROR(VLOOKUP(A573,[3]DOORSCRIEFT!$A$2:$G$8551,3,FALSE),"")</f>
        <v/>
      </c>
      <c r="E573" s="466" t="str">
        <f>IFERROR(VLOOKUP(A573,[3]DOORSCRIEFT!$A$2:$G$8551,4,FALSE),"")</f>
        <v/>
      </c>
      <c r="F573" s="405" t="str">
        <f>IFERROR(VLOOKUP(A573,[3]DOORSCRIEFT!$A$2:$G$8551,6,FALSE),"")</f>
        <v/>
      </c>
      <c r="G573" s="315"/>
    </row>
    <row r="574" spans="1:7" x14ac:dyDescent="0.25">
      <c r="A574" s="360" t="str">
        <f t="shared" si="11"/>
        <v>I.2.2.02.001352</v>
      </c>
      <c r="B574" s="319">
        <v>352</v>
      </c>
      <c r="C574" s="394" t="str">
        <f>IFERROR(VLOOKUP(A574,[3]DOORSCRIEFT!$A$2:$G$8551,2,FALSE),"")</f>
        <v/>
      </c>
      <c r="D574" s="393" t="str">
        <f>IFERROR(VLOOKUP(A574,[3]DOORSCRIEFT!$A$2:$G$8551,3,FALSE),"")</f>
        <v/>
      </c>
      <c r="E574" s="466" t="str">
        <f>IFERROR(VLOOKUP(A574,[3]DOORSCRIEFT!$A$2:$G$8551,4,FALSE),"")</f>
        <v/>
      </c>
      <c r="F574" s="405" t="str">
        <f>IFERROR(VLOOKUP(A574,[3]DOORSCRIEFT!$A$2:$G$8551,6,FALSE),"")</f>
        <v/>
      </c>
      <c r="G574" s="315"/>
    </row>
    <row r="575" spans="1:7" x14ac:dyDescent="0.25">
      <c r="A575" s="360" t="str">
        <f t="shared" si="11"/>
        <v>I.2.2.02.001353</v>
      </c>
      <c r="B575" s="339">
        <v>353</v>
      </c>
      <c r="C575" s="394" t="str">
        <f>IFERROR(VLOOKUP(A575,[3]DOORSCRIEFT!$A$2:$G$8551,2,FALSE),"")</f>
        <v/>
      </c>
      <c r="D575" s="393" t="str">
        <f>IFERROR(VLOOKUP(A575,[3]DOORSCRIEFT!$A$2:$G$8551,3,FALSE),"")</f>
        <v/>
      </c>
      <c r="E575" s="466" t="str">
        <f>IFERROR(VLOOKUP(A575,[3]DOORSCRIEFT!$A$2:$G$8551,4,FALSE),"")</f>
        <v/>
      </c>
      <c r="F575" s="405" t="str">
        <f>IFERROR(VLOOKUP(A575,[3]DOORSCRIEFT!$A$2:$G$8551,6,FALSE),"")</f>
        <v/>
      </c>
      <c r="G575" s="315"/>
    </row>
    <row r="576" spans="1:7" x14ac:dyDescent="0.25">
      <c r="A576" s="360" t="str">
        <f t="shared" si="11"/>
        <v>I.2.2.02.001354</v>
      </c>
      <c r="B576" s="319">
        <v>354</v>
      </c>
      <c r="C576" s="394" t="str">
        <f>IFERROR(VLOOKUP(A576,[3]DOORSCRIEFT!$A$2:$G$8551,2,FALSE),"")</f>
        <v/>
      </c>
      <c r="D576" s="393" t="str">
        <f>IFERROR(VLOOKUP(A576,[3]DOORSCRIEFT!$A$2:$G$8551,3,FALSE),"")</f>
        <v/>
      </c>
      <c r="E576" s="466" t="str">
        <f>IFERROR(VLOOKUP(A576,[3]DOORSCRIEFT!$A$2:$G$8551,4,FALSE),"")</f>
        <v/>
      </c>
      <c r="F576" s="405" t="str">
        <f>IFERROR(VLOOKUP(A576,[3]DOORSCRIEFT!$A$2:$G$8551,6,FALSE),"")</f>
        <v/>
      </c>
      <c r="G576" s="315"/>
    </row>
    <row r="577" spans="1:7" x14ac:dyDescent="0.25">
      <c r="A577" s="360" t="str">
        <f t="shared" si="11"/>
        <v>I.2.2.02.001355</v>
      </c>
      <c r="B577" s="339">
        <v>355</v>
      </c>
      <c r="C577" s="394" t="str">
        <f>IFERROR(VLOOKUP(A577,[3]DOORSCRIEFT!$A$2:$G$8551,2,FALSE),"")</f>
        <v/>
      </c>
      <c r="D577" s="393" t="str">
        <f>IFERROR(VLOOKUP(A577,[3]DOORSCRIEFT!$A$2:$G$8551,3,FALSE),"")</f>
        <v/>
      </c>
      <c r="E577" s="466" t="str">
        <f>IFERROR(VLOOKUP(A577,[3]DOORSCRIEFT!$A$2:$G$8551,4,FALSE),"")</f>
        <v/>
      </c>
      <c r="F577" s="405" t="str">
        <f>IFERROR(VLOOKUP(A577,[3]DOORSCRIEFT!$A$2:$G$8551,6,FALSE),"")</f>
        <v/>
      </c>
      <c r="G577" s="315"/>
    </row>
    <row r="578" spans="1:7" x14ac:dyDescent="0.25">
      <c r="A578" s="360" t="str">
        <f t="shared" si="11"/>
        <v>I.2.2.02.001356</v>
      </c>
      <c r="B578" s="319">
        <v>356</v>
      </c>
      <c r="C578" s="394" t="str">
        <f>IFERROR(VLOOKUP(A578,[3]DOORSCRIEFT!$A$2:$G$8551,2,FALSE),"")</f>
        <v/>
      </c>
      <c r="D578" s="393" t="str">
        <f>IFERROR(VLOOKUP(A578,[3]DOORSCRIEFT!$A$2:$G$8551,3,FALSE),"")</f>
        <v/>
      </c>
      <c r="E578" s="466" t="str">
        <f>IFERROR(VLOOKUP(A578,[3]DOORSCRIEFT!$A$2:$G$8551,4,FALSE),"")</f>
        <v/>
      </c>
      <c r="F578" s="405" t="str">
        <f>IFERROR(VLOOKUP(A578,[3]DOORSCRIEFT!$A$2:$G$8551,6,FALSE),"")</f>
        <v/>
      </c>
      <c r="G578" s="315"/>
    </row>
    <row r="579" spans="1:7" x14ac:dyDescent="0.25">
      <c r="A579" s="360" t="str">
        <f t="shared" si="11"/>
        <v>I.2.2.02.001357</v>
      </c>
      <c r="B579" s="339">
        <v>357</v>
      </c>
      <c r="C579" s="394" t="str">
        <f>IFERROR(VLOOKUP(A579,[3]DOORSCRIEFT!$A$2:$G$8551,2,FALSE),"")</f>
        <v/>
      </c>
      <c r="D579" s="393" t="str">
        <f>IFERROR(VLOOKUP(A579,[3]DOORSCRIEFT!$A$2:$G$8551,3,FALSE),"")</f>
        <v/>
      </c>
      <c r="E579" s="466" t="str">
        <f>IFERROR(VLOOKUP(A579,[3]DOORSCRIEFT!$A$2:$G$8551,4,FALSE),"")</f>
        <v/>
      </c>
      <c r="F579" s="405" t="str">
        <f>IFERROR(VLOOKUP(A579,[3]DOORSCRIEFT!$A$2:$G$8551,6,FALSE),"")</f>
        <v/>
      </c>
      <c r="G579" s="315"/>
    </row>
    <row r="580" spans="1:7" x14ac:dyDescent="0.25">
      <c r="A580" s="360" t="str">
        <f t="shared" si="11"/>
        <v>I.2.2.02.001358</v>
      </c>
      <c r="B580" s="319">
        <v>358</v>
      </c>
      <c r="C580" s="394" t="str">
        <f>IFERROR(VLOOKUP(A580,[3]DOORSCRIEFT!$A$2:$G$8551,2,FALSE),"")</f>
        <v/>
      </c>
      <c r="D580" s="393" t="str">
        <f>IFERROR(VLOOKUP(A580,[3]DOORSCRIEFT!$A$2:$G$8551,3,FALSE),"")</f>
        <v/>
      </c>
      <c r="E580" s="466" t="str">
        <f>IFERROR(VLOOKUP(A580,[3]DOORSCRIEFT!$A$2:$G$8551,4,FALSE),"")</f>
        <v/>
      </c>
      <c r="F580" s="405" t="str">
        <f>IFERROR(VLOOKUP(A580,[3]DOORSCRIEFT!$A$2:$G$8551,6,FALSE),"")</f>
        <v/>
      </c>
      <c r="G580" s="315"/>
    </row>
    <row r="581" spans="1:7" x14ac:dyDescent="0.25">
      <c r="A581" s="360" t="str">
        <f t="shared" si="11"/>
        <v>I.2.2.02.001359</v>
      </c>
      <c r="B581" s="339">
        <v>359</v>
      </c>
      <c r="C581" s="394" t="str">
        <f>IFERROR(VLOOKUP(A581,[3]DOORSCRIEFT!$A$2:$G$8551,2,FALSE),"")</f>
        <v/>
      </c>
      <c r="D581" s="393" t="str">
        <f>IFERROR(VLOOKUP(A581,[3]DOORSCRIEFT!$A$2:$G$8551,3,FALSE),"")</f>
        <v/>
      </c>
      <c r="E581" s="466" t="str">
        <f>IFERROR(VLOOKUP(A581,[3]DOORSCRIEFT!$A$2:$G$8551,4,FALSE),"")</f>
        <v/>
      </c>
      <c r="F581" s="405" t="str">
        <f>IFERROR(VLOOKUP(A581,[3]DOORSCRIEFT!$A$2:$G$8551,6,FALSE),"")</f>
        <v/>
      </c>
      <c r="G581" s="315"/>
    </row>
    <row r="582" spans="1:7" x14ac:dyDescent="0.25">
      <c r="A582" s="360" t="str">
        <f t="shared" si="11"/>
        <v>I.2.2.02.001360</v>
      </c>
      <c r="B582" s="319">
        <v>360</v>
      </c>
      <c r="C582" s="394" t="str">
        <f>IFERROR(VLOOKUP(A582,[3]DOORSCRIEFT!$A$2:$G$8551,2,FALSE),"")</f>
        <v/>
      </c>
      <c r="D582" s="393" t="str">
        <f>IFERROR(VLOOKUP(A582,[3]DOORSCRIEFT!$A$2:$G$8551,3,FALSE),"")</f>
        <v/>
      </c>
      <c r="E582" s="466" t="str">
        <f>IFERROR(VLOOKUP(A582,[3]DOORSCRIEFT!$A$2:$G$8551,4,FALSE),"")</f>
        <v/>
      </c>
      <c r="F582" s="405" t="str">
        <f>IFERROR(VLOOKUP(A582,[3]DOORSCRIEFT!$A$2:$G$8551,6,FALSE),"")</f>
        <v/>
      </c>
      <c r="G582" s="315"/>
    </row>
    <row r="583" spans="1:7" x14ac:dyDescent="0.25">
      <c r="A583" s="360" t="str">
        <f t="shared" si="11"/>
        <v>I.2.2.02.001361</v>
      </c>
      <c r="B583" s="339">
        <v>361</v>
      </c>
      <c r="C583" s="394" t="str">
        <f>IFERROR(VLOOKUP(A583,[3]DOORSCRIEFT!$A$2:$G$8551,2,FALSE),"")</f>
        <v/>
      </c>
      <c r="D583" s="393" t="str">
        <f>IFERROR(VLOOKUP(A583,[3]DOORSCRIEFT!$A$2:$G$8551,3,FALSE),"")</f>
        <v/>
      </c>
      <c r="E583" s="466" t="str">
        <f>IFERROR(VLOOKUP(A583,[3]DOORSCRIEFT!$A$2:$G$8551,4,FALSE),"")</f>
        <v/>
      </c>
      <c r="F583" s="405" t="str">
        <f>IFERROR(VLOOKUP(A583,[3]DOORSCRIEFT!$A$2:$G$8551,6,FALSE),"")</f>
        <v/>
      </c>
      <c r="G583" s="315"/>
    </row>
    <row r="584" spans="1:7" x14ac:dyDescent="0.25">
      <c r="A584" s="360" t="str">
        <f t="shared" si="11"/>
        <v>I.2.2.02.001362</v>
      </c>
      <c r="B584" s="319">
        <v>362</v>
      </c>
      <c r="C584" s="394" t="str">
        <f>IFERROR(VLOOKUP(A584,[3]DOORSCRIEFT!$A$2:$G$8551,2,FALSE),"")</f>
        <v/>
      </c>
      <c r="D584" s="393" t="str">
        <f>IFERROR(VLOOKUP(A584,[3]DOORSCRIEFT!$A$2:$G$8551,3,FALSE),"")</f>
        <v/>
      </c>
      <c r="E584" s="466" t="str">
        <f>IFERROR(VLOOKUP(A584,[3]DOORSCRIEFT!$A$2:$G$8551,4,FALSE),"")</f>
        <v/>
      </c>
      <c r="F584" s="405" t="str">
        <f>IFERROR(VLOOKUP(A584,[3]DOORSCRIEFT!$A$2:$G$8551,6,FALSE),"")</f>
        <v/>
      </c>
      <c r="G584" s="315"/>
    </row>
    <row r="585" spans="1:7" x14ac:dyDescent="0.25">
      <c r="A585" s="360" t="str">
        <f t="shared" si="11"/>
        <v>I.2.2.02.001363</v>
      </c>
      <c r="B585" s="339">
        <v>363</v>
      </c>
      <c r="C585" s="394" t="str">
        <f>IFERROR(VLOOKUP(A585,[3]DOORSCRIEFT!$A$2:$G$8551,2,FALSE),"")</f>
        <v/>
      </c>
      <c r="D585" s="393" t="str">
        <f>IFERROR(VLOOKUP(A585,[3]DOORSCRIEFT!$A$2:$G$8551,3,FALSE),"")</f>
        <v/>
      </c>
      <c r="E585" s="466" t="str">
        <f>IFERROR(VLOOKUP(A585,[3]DOORSCRIEFT!$A$2:$G$8551,4,FALSE),"")</f>
        <v/>
      </c>
      <c r="F585" s="405" t="str">
        <f>IFERROR(VLOOKUP(A585,[3]DOORSCRIEFT!$A$2:$G$8551,6,FALSE),"")</f>
        <v/>
      </c>
      <c r="G585" s="315"/>
    </row>
    <row r="586" spans="1:7" x14ac:dyDescent="0.25">
      <c r="A586" s="360" t="str">
        <f t="shared" si="11"/>
        <v>I.2.2.02.001364</v>
      </c>
      <c r="B586" s="319">
        <v>364</v>
      </c>
      <c r="C586" s="394" t="str">
        <f>IFERROR(VLOOKUP(A586,[3]DOORSCRIEFT!$A$2:$G$8551,2,FALSE),"")</f>
        <v/>
      </c>
      <c r="D586" s="393" t="str">
        <f>IFERROR(VLOOKUP(A586,[3]DOORSCRIEFT!$A$2:$G$8551,3,FALSE),"")</f>
        <v/>
      </c>
      <c r="E586" s="466" t="str">
        <f>IFERROR(VLOOKUP(A586,[3]DOORSCRIEFT!$A$2:$G$8551,4,FALSE),"")</f>
        <v/>
      </c>
      <c r="F586" s="405" t="str">
        <f>IFERROR(VLOOKUP(A586,[3]DOORSCRIEFT!$A$2:$G$8551,6,FALSE),"")</f>
        <v/>
      </c>
      <c r="G586" s="315"/>
    </row>
    <row r="587" spans="1:7" x14ac:dyDescent="0.25">
      <c r="A587" s="360" t="str">
        <f t="shared" si="11"/>
        <v>I.2.2.02.001365</v>
      </c>
      <c r="B587" s="339">
        <v>365</v>
      </c>
      <c r="C587" s="394" t="str">
        <f>IFERROR(VLOOKUP(A587,[3]DOORSCRIEFT!$A$2:$G$8551,2,FALSE),"")</f>
        <v/>
      </c>
      <c r="D587" s="393" t="str">
        <f>IFERROR(VLOOKUP(A587,[3]DOORSCRIEFT!$A$2:$G$8551,3,FALSE),"")</f>
        <v/>
      </c>
      <c r="E587" s="466" t="str">
        <f>IFERROR(VLOOKUP(A587,[3]DOORSCRIEFT!$A$2:$G$8551,4,FALSE),"")</f>
        <v/>
      </c>
      <c r="F587" s="405" t="str">
        <f>IFERROR(VLOOKUP(A587,[3]DOORSCRIEFT!$A$2:$G$8551,6,FALSE),"")</f>
        <v/>
      </c>
      <c r="G587" s="315"/>
    </row>
    <row r="588" spans="1:7" x14ac:dyDescent="0.25">
      <c r="A588" s="360" t="str">
        <f t="shared" si="11"/>
        <v>I.2.2.02.001366</v>
      </c>
      <c r="B588" s="319">
        <v>366</v>
      </c>
      <c r="C588" s="394" t="str">
        <f>IFERROR(VLOOKUP(A588,[3]DOORSCRIEFT!$A$2:$G$8551,2,FALSE),"")</f>
        <v/>
      </c>
      <c r="D588" s="393" t="str">
        <f>IFERROR(VLOOKUP(A588,[3]DOORSCRIEFT!$A$2:$G$8551,3,FALSE),"")</f>
        <v/>
      </c>
      <c r="E588" s="466" t="str">
        <f>IFERROR(VLOOKUP(A588,[3]DOORSCRIEFT!$A$2:$G$8551,4,FALSE),"")</f>
        <v/>
      </c>
      <c r="F588" s="405" t="str">
        <f>IFERROR(VLOOKUP(A588,[3]DOORSCRIEFT!$A$2:$G$8551,6,FALSE),"")</f>
        <v/>
      </c>
      <c r="G588" s="315"/>
    </row>
    <row r="589" spans="1:7" x14ac:dyDescent="0.25">
      <c r="A589" s="360" t="str">
        <f t="shared" si="11"/>
        <v>I.2.2.02.001367</v>
      </c>
      <c r="B589" s="339">
        <v>367</v>
      </c>
      <c r="C589" s="394" t="str">
        <f>IFERROR(VLOOKUP(A589,[3]DOORSCRIEFT!$A$2:$G$8551,2,FALSE),"")</f>
        <v/>
      </c>
      <c r="D589" s="393" t="str">
        <f>IFERROR(VLOOKUP(A589,[3]DOORSCRIEFT!$A$2:$G$8551,3,FALSE),"")</f>
        <v/>
      </c>
      <c r="E589" s="466" t="str">
        <f>IFERROR(VLOOKUP(A589,[3]DOORSCRIEFT!$A$2:$G$8551,4,FALSE),"")</f>
        <v/>
      </c>
      <c r="F589" s="405" t="str">
        <f>IFERROR(VLOOKUP(A589,[3]DOORSCRIEFT!$A$2:$G$8551,6,FALSE),"")</f>
        <v/>
      </c>
      <c r="G589" s="315"/>
    </row>
    <row r="590" spans="1:7" x14ac:dyDescent="0.25">
      <c r="A590" s="360" t="str">
        <f t="shared" si="11"/>
        <v>I.2.2.02.001368</v>
      </c>
      <c r="B590" s="319">
        <v>368</v>
      </c>
      <c r="C590" s="394" t="str">
        <f>IFERROR(VLOOKUP(A590,[3]DOORSCRIEFT!$A$2:$G$8551,2,FALSE),"")</f>
        <v/>
      </c>
      <c r="D590" s="393" t="str">
        <f>IFERROR(VLOOKUP(A590,[3]DOORSCRIEFT!$A$2:$G$8551,3,FALSE),"")</f>
        <v/>
      </c>
      <c r="E590" s="466" t="str">
        <f>IFERROR(VLOOKUP(A590,[3]DOORSCRIEFT!$A$2:$G$8551,4,FALSE),"")</f>
        <v/>
      </c>
      <c r="F590" s="405" t="str">
        <f>IFERROR(VLOOKUP(A590,[3]DOORSCRIEFT!$A$2:$G$8551,6,FALSE),"")</f>
        <v/>
      </c>
      <c r="G590" s="315"/>
    </row>
    <row r="591" spans="1:7" x14ac:dyDescent="0.25">
      <c r="A591" s="360" t="str">
        <f t="shared" si="11"/>
        <v>I.2.2.02.001369</v>
      </c>
      <c r="B591" s="339">
        <v>369</v>
      </c>
      <c r="C591" s="394" t="str">
        <f>IFERROR(VLOOKUP(A591,[3]DOORSCRIEFT!$A$2:$G$8551,2,FALSE),"")</f>
        <v/>
      </c>
      <c r="D591" s="393" t="str">
        <f>IFERROR(VLOOKUP(A591,[3]DOORSCRIEFT!$A$2:$G$8551,3,FALSE),"")</f>
        <v/>
      </c>
      <c r="E591" s="466" t="str">
        <f>IFERROR(VLOOKUP(A591,[3]DOORSCRIEFT!$A$2:$G$8551,4,FALSE),"")</f>
        <v/>
      </c>
      <c r="F591" s="405" t="str">
        <f>IFERROR(VLOOKUP(A591,[3]DOORSCRIEFT!$A$2:$G$8551,6,FALSE),"")</f>
        <v/>
      </c>
      <c r="G591" s="315"/>
    </row>
    <row r="592" spans="1:7" x14ac:dyDescent="0.25">
      <c r="A592" s="360" t="str">
        <f t="shared" si="11"/>
        <v>I.2.2.02.001370</v>
      </c>
      <c r="B592" s="319">
        <v>370</v>
      </c>
      <c r="C592" s="394" t="str">
        <f>IFERROR(VLOOKUP(A592,[3]DOORSCRIEFT!$A$2:$G$8551,2,FALSE),"")</f>
        <v/>
      </c>
      <c r="D592" s="393" t="str">
        <f>IFERROR(VLOOKUP(A592,[3]DOORSCRIEFT!$A$2:$G$8551,3,FALSE),"")</f>
        <v/>
      </c>
      <c r="E592" s="466" t="str">
        <f>IFERROR(VLOOKUP(A592,[3]DOORSCRIEFT!$A$2:$G$8551,4,FALSE),"")</f>
        <v/>
      </c>
      <c r="F592" s="405" t="str">
        <f>IFERROR(VLOOKUP(A592,[3]DOORSCRIEFT!$A$2:$G$8551,6,FALSE),"")</f>
        <v/>
      </c>
      <c r="G592" s="315"/>
    </row>
    <row r="593" spans="1:7" x14ac:dyDescent="0.25">
      <c r="A593" s="360" t="str">
        <f t="shared" si="11"/>
        <v>I.2.2.02.001371</v>
      </c>
      <c r="B593" s="339">
        <v>371</v>
      </c>
      <c r="C593" s="394" t="str">
        <f>IFERROR(VLOOKUP(A593,[3]DOORSCRIEFT!$A$2:$G$8551,2,FALSE),"")</f>
        <v/>
      </c>
      <c r="D593" s="393" t="str">
        <f>IFERROR(VLOOKUP(A593,[3]DOORSCRIEFT!$A$2:$G$8551,3,FALSE),"")</f>
        <v/>
      </c>
      <c r="E593" s="466" t="str">
        <f>IFERROR(VLOOKUP(A593,[3]DOORSCRIEFT!$A$2:$G$8551,4,FALSE),"")</f>
        <v/>
      </c>
      <c r="F593" s="405" t="str">
        <f>IFERROR(VLOOKUP(A593,[3]DOORSCRIEFT!$A$2:$G$8551,6,FALSE),"")</f>
        <v/>
      </c>
      <c r="G593" s="315"/>
    </row>
    <row r="594" spans="1:7" x14ac:dyDescent="0.25">
      <c r="A594" s="360" t="str">
        <f t="shared" si="11"/>
        <v>I.2.2.02.001372</v>
      </c>
      <c r="B594" s="319">
        <v>372</v>
      </c>
      <c r="C594" s="394" t="str">
        <f>IFERROR(VLOOKUP(A594,[3]DOORSCRIEFT!$A$2:$G$8551,2,FALSE),"")</f>
        <v/>
      </c>
      <c r="D594" s="393" t="str">
        <f>IFERROR(VLOOKUP(A594,[3]DOORSCRIEFT!$A$2:$G$8551,3,FALSE),"")</f>
        <v/>
      </c>
      <c r="E594" s="466" t="str">
        <f>IFERROR(VLOOKUP(A594,[3]DOORSCRIEFT!$A$2:$G$8551,4,FALSE),"")</f>
        <v/>
      </c>
      <c r="F594" s="405" t="str">
        <f>IFERROR(VLOOKUP(A594,[3]DOORSCRIEFT!$A$2:$G$8551,6,FALSE),"")</f>
        <v/>
      </c>
      <c r="G594" s="315"/>
    </row>
    <row r="595" spans="1:7" x14ac:dyDescent="0.25">
      <c r="A595" s="360" t="str">
        <f t="shared" si="11"/>
        <v>I.2.2.02.001373</v>
      </c>
      <c r="B595" s="339">
        <v>373</v>
      </c>
      <c r="C595" s="394" t="str">
        <f>IFERROR(VLOOKUP(A595,[3]DOORSCRIEFT!$A$2:$G$8551,2,FALSE),"")</f>
        <v/>
      </c>
      <c r="D595" s="393" t="str">
        <f>IFERROR(VLOOKUP(A595,[3]DOORSCRIEFT!$A$2:$G$8551,3,FALSE),"")</f>
        <v/>
      </c>
      <c r="E595" s="466" t="str">
        <f>IFERROR(VLOOKUP(A595,[3]DOORSCRIEFT!$A$2:$G$8551,4,FALSE),"")</f>
        <v/>
      </c>
      <c r="F595" s="405" t="str">
        <f>IFERROR(VLOOKUP(A595,[3]DOORSCRIEFT!$A$2:$G$8551,6,FALSE),"")</f>
        <v/>
      </c>
      <c r="G595" s="315"/>
    </row>
    <row r="596" spans="1:7" x14ac:dyDescent="0.25">
      <c r="A596" s="360" t="str">
        <f t="shared" si="11"/>
        <v>I.2.2.02.001374</v>
      </c>
      <c r="B596" s="319">
        <v>374</v>
      </c>
      <c r="C596" s="394" t="str">
        <f>IFERROR(VLOOKUP(A596,[3]DOORSCRIEFT!$A$2:$G$8551,2,FALSE),"")</f>
        <v/>
      </c>
      <c r="D596" s="393" t="str">
        <f>IFERROR(VLOOKUP(A596,[3]DOORSCRIEFT!$A$2:$G$8551,3,FALSE),"")</f>
        <v/>
      </c>
      <c r="E596" s="466" t="str">
        <f>IFERROR(VLOOKUP(A596,[3]DOORSCRIEFT!$A$2:$G$8551,4,FALSE),"")</f>
        <v/>
      </c>
      <c r="F596" s="405" t="str">
        <f>IFERROR(VLOOKUP(A596,[3]DOORSCRIEFT!$A$2:$G$8551,6,FALSE),"")</f>
        <v/>
      </c>
      <c r="G596" s="315"/>
    </row>
    <row r="597" spans="1:7" x14ac:dyDescent="0.25">
      <c r="A597" s="360" t="str">
        <f t="shared" si="11"/>
        <v>I.2.2.02.001375</v>
      </c>
      <c r="B597" s="339">
        <v>375</v>
      </c>
      <c r="C597" s="394" t="str">
        <f>IFERROR(VLOOKUP(A597,[3]DOORSCRIEFT!$A$2:$G$8551,2,FALSE),"")</f>
        <v/>
      </c>
      <c r="D597" s="393" t="str">
        <f>IFERROR(VLOOKUP(A597,[3]DOORSCRIEFT!$A$2:$G$8551,3,FALSE),"")</f>
        <v/>
      </c>
      <c r="E597" s="466" t="str">
        <f>IFERROR(VLOOKUP(A597,[3]DOORSCRIEFT!$A$2:$G$8551,4,FALSE),"")</f>
        <v/>
      </c>
      <c r="F597" s="405" t="str">
        <f>IFERROR(VLOOKUP(A597,[3]DOORSCRIEFT!$A$2:$G$8551,6,FALSE),"")</f>
        <v/>
      </c>
      <c r="G597" s="315"/>
    </row>
    <row r="598" spans="1:7" x14ac:dyDescent="0.25">
      <c r="A598" s="360" t="str">
        <f t="shared" si="11"/>
        <v>I.2.2.02.001376</v>
      </c>
      <c r="B598" s="319">
        <v>376</v>
      </c>
      <c r="C598" s="394" t="str">
        <f>IFERROR(VLOOKUP(A598,[3]DOORSCRIEFT!$A$2:$G$8551,2,FALSE),"")</f>
        <v/>
      </c>
      <c r="D598" s="393" t="str">
        <f>IFERROR(VLOOKUP(A598,[3]DOORSCRIEFT!$A$2:$G$8551,3,FALSE),"")</f>
        <v/>
      </c>
      <c r="E598" s="466" t="str">
        <f>IFERROR(VLOOKUP(A598,[3]DOORSCRIEFT!$A$2:$G$8551,4,FALSE),"")</f>
        <v/>
      </c>
      <c r="F598" s="405" t="str">
        <f>IFERROR(VLOOKUP(A598,[3]DOORSCRIEFT!$A$2:$G$8551,6,FALSE),"")</f>
        <v/>
      </c>
      <c r="G598" s="315"/>
    </row>
    <row r="599" spans="1:7" x14ac:dyDescent="0.25">
      <c r="A599" s="360" t="str">
        <f t="shared" si="11"/>
        <v>I.2.2.02.001377</v>
      </c>
      <c r="B599" s="339">
        <v>377</v>
      </c>
      <c r="C599" s="394" t="str">
        <f>IFERROR(VLOOKUP(A599,[3]DOORSCRIEFT!$A$2:$G$8551,2,FALSE),"")</f>
        <v/>
      </c>
      <c r="D599" s="393" t="str">
        <f>IFERROR(VLOOKUP(A599,[3]DOORSCRIEFT!$A$2:$G$8551,3,FALSE),"")</f>
        <v/>
      </c>
      <c r="E599" s="466" t="str">
        <f>IFERROR(VLOOKUP(A599,[3]DOORSCRIEFT!$A$2:$G$8551,4,FALSE),"")</f>
        <v/>
      </c>
      <c r="F599" s="405" t="str">
        <f>IFERROR(VLOOKUP(A599,[3]DOORSCRIEFT!$A$2:$G$8551,6,FALSE),"")</f>
        <v/>
      </c>
      <c r="G599" s="315"/>
    </row>
    <row r="600" spans="1:7" x14ac:dyDescent="0.25">
      <c r="A600" s="360" t="str">
        <f t="shared" si="11"/>
        <v>I.2.2.02.001378</v>
      </c>
      <c r="B600" s="319">
        <v>378</v>
      </c>
      <c r="C600" s="394" t="str">
        <f>IFERROR(VLOOKUP(A600,[3]DOORSCRIEFT!$A$2:$G$8551,2,FALSE),"")</f>
        <v/>
      </c>
      <c r="D600" s="393" t="str">
        <f>IFERROR(VLOOKUP(A600,[3]DOORSCRIEFT!$A$2:$G$8551,3,FALSE),"")</f>
        <v/>
      </c>
      <c r="E600" s="466" t="str">
        <f>IFERROR(VLOOKUP(A600,[3]DOORSCRIEFT!$A$2:$G$8551,4,FALSE),"")</f>
        <v/>
      </c>
      <c r="F600" s="405" t="str">
        <f>IFERROR(VLOOKUP(A600,[3]DOORSCRIEFT!$A$2:$G$8551,6,FALSE),"")</f>
        <v/>
      </c>
      <c r="G600" s="315"/>
    </row>
    <row r="601" spans="1:7" x14ac:dyDescent="0.25">
      <c r="A601" s="359" t="str">
        <f t="shared" si="11"/>
        <v>I.2.2.02.001379</v>
      </c>
      <c r="B601" s="319">
        <v>379</v>
      </c>
      <c r="C601" s="394" t="str">
        <f>IFERROR(VLOOKUP(A601,[3]DOORSCRIEFT!$A$2:$G$8551,2,FALSE),"")</f>
        <v/>
      </c>
      <c r="D601" s="393" t="str">
        <f>IFERROR(VLOOKUP(A601,[3]DOORSCRIEFT!$A$2:$G$8551,3,FALSE),"")</f>
        <v/>
      </c>
      <c r="E601" s="466" t="str">
        <f>IFERROR(VLOOKUP(A601,[3]DOORSCRIEFT!$A$2:$G$8551,4,FALSE),"")</f>
        <v/>
      </c>
      <c r="F601" s="405" t="str">
        <f>IFERROR(VLOOKUP(A601,[3]DOORSCRIEFT!$A$2:$G$8551,6,FALSE),"")</f>
        <v/>
      </c>
      <c r="G601" s="349"/>
    </row>
    <row r="602" spans="1:7" x14ac:dyDescent="0.25">
      <c r="A602" s="360" t="str">
        <f t="shared" si="11"/>
        <v>I.2.2.02.001380</v>
      </c>
      <c r="B602" s="319">
        <v>380</v>
      </c>
      <c r="C602" s="394" t="str">
        <f>IFERROR(VLOOKUP(A602,[3]DOORSCRIEFT!$A$2:$G$8551,2,FALSE),"")</f>
        <v/>
      </c>
      <c r="D602" s="393" t="str">
        <f>IFERROR(VLOOKUP(A602,[3]DOORSCRIEFT!$A$2:$G$8551,3,FALSE),"")</f>
        <v/>
      </c>
      <c r="E602" s="466" t="str">
        <f>IFERROR(VLOOKUP(A602,[3]DOORSCRIEFT!$A$2:$G$8551,4,FALSE),"")</f>
        <v/>
      </c>
      <c r="F602" s="405" t="str">
        <f>IFERROR(VLOOKUP(A602,[3]DOORSCRIEFT!$A$2:$G$8551,6,FALSE),"")</f>
        <v/>
      </c>
      <c r="G602" s="349"/>
    </row>
    <row r="603" spans="1:7" x14ac:dyDescent="0.25">
      <c r="A603" s="359" t="str">
        <f t="shared" si="11"/>
        <v>I.2.2.02.001381</v>
      </c>
      <c r="B603" s="319">
        <v>381</v>
      </c>
      <c r="C603" s="394" t="str">
        <f>IFERROR(VLOOKUP(A603,[3]DOORSCRIEFT!$A$2:$G$8551,2,FALSE),"")</f>
        <v/>
      </c>
      <c r="D603" s="393" t="str">
        <f>IFERROR(VLOOKUP(A603,[3]DOORSCRIEFT!$A$2:$G$8551,3,FALSE),"")</f>
        <v/>
      </c>
      <c r="E603" s="466" t="str">
        <f>IFERROR(VLOOKUP(A603,[3]DOORSCRIEFT!$A$2:$G$8551,4,FALSE),"")</f>
        <v/>
      </c>
      <c r="F603" s="405" t="str">
        <f>IFERROR(VLOOKUP(A603,[3]DOORSCRIEFT!$A$2:$G$8551,6,FALSE),"")</f>
        <v/>
      </c>
      <c r="G603" s="349"/>
    </row>
    <row r="604" spans="1:7" x14ac:dyDescent="0.25">
      <c r="A604" s="360" t="str">
        <f t="shared" si="11"/>
        <v>I.2.2.02.001382</v>
      </c>
      <c r="B604" s="319">
        <v>382</v>
      </c>
      <c r="C604" s="394" t="str">
        <f>IFERROR(VLOOKUP(A604,[3]DOORSCRIEFT!$A$2:$G$8551,2,FALSE),"")</f>
        <v/>
      </c>
      <c r="D604" s="393" t="str">
        <f>IFERROR(VLOOKUP(A604,[3]DOORSCRIEFT!$A$2:$G$8551,3,FALSE),"")</f>
        <v/>
      </c>
      <c r="E604" s="466" t="str">
        <f>IFERROR(VLOOKUP(A604,[3]DOORSCRIEFT!$A$2:$G$8551,4,FALSE),"")</f>
        <v/>
      </c>
      <c r="F604" s="405" t="str">
        <f>IFERROR(VLOOKUP(A604,[3]DOORSCRIEFT!$A$2:$G$8551,6,FALSE),"")</f>
        <v/>
      </c>
      <c r="G604" s="349"/>
    </row>
    <row r="605" spans="1:7" x14ac:dyDescent="0.25">
      <c r="A605" s="359" t="str">
        <f t="shared" si="11"/>
        <v>I.2.2.02.001383</v>
      </c>
      <c r="B605" s="319">
        <v>383</v>
      </c>
      <c r="C605" s="394" t="str">
        <f>IFERROR(VLOOKUP(A605,[3]DOORSCRIEFT!$A$2:$G$8551,2,FALSE),"")</f>
        <v/>
      </c>
      <c r="D605" s="393" t="str">
        <f>IFERROR(VLOOKUP(A605,[3]DOORSCRIEFT!$A$2:$G$8551,3,FALSE),"")</f>
        <v/>
      </c>
      <c r="E605" s="466" t="str">
        <f>IFERROR(VLOOKUP(A605,[3]DOORSCRIEFT!$A$2:$G$8551,4,FALSE),"")</f>
        <v/>
      </c>
      <c r="F605" s="405" t="str">
        <f>IFERROR(VLOOKUP(A605,[3]DOORSCRIEFT!$A$2:$G$8551,6,FALSE),"")</f>
        <v/>
      </c>
      <c r="G605" s="349"/>
    </row>
    <row r="606" spans="1:7" x14ac:dyDescent="0.25">
      <c r="A606" s="360" t="str">
        <f t="shared" si="11"/>
        <v>I.2.2.02.001384</v>
      </c>
      <c r="B606" s="319">
        <v>384</v>
      </c>
      <c r="C606" s="394" t="str">
        <f>IFERROR(VLOOKUP(A606,[3]DOORSCRIEFT!$A$2:$G$8551,2,FALSE),"")</f>
        <v/>
      </c>
      <c r="D606" s="393" t="str">
        <f>IFERROR(VLOOKUP(A606,[3]DOORSCRIEFT!$A$2:$G$8551,3,FALSE),"")</f>
        <v/>
      </c>
      <c r="E606" s="466" t="str">
        <f>IFERROR(VLOOKUP(A606,[3]DOORSCRIEFT!$A$2:$G$8551,4,FALSE),"")</f>
        <v/>
      </c>
      <c r="F606" s="405" t="str">
        <f>IFERROR(VLOOKUP(A606,[3]DOORSCRIEFT!$A$2:$G$8551,6,FALSE),"")</f>
        <v/>
      </c>
      <c r="G606" s="349"/>
    </row>
    <row r="607" spans="1:7" x14ac:dyDescent="0.25">
      <c r="A607" s="359" t="str">
        <f t="shared" ref="A607:A670" si="12">$G$216&amp;B607</f>
        <v>I.2.2.02.001385</v>
      </c>
      <c r="B607" s="319">
        <v>385</v>
      </c>
      <c r="C607" s="394" t="str">
        <f>IFERROR(VLOOKUP(A607,[3]DOORSCRIEFT!$A$2:$G$8551,2,FALSE),"")</f>
        <v/>
      </c>
      <c r="D607" s="393" t="str">
        <f>IFERROR(VLOOKUP(A607,[3]DOORSCRIEFT!$A$2:$G$8551,3,FALSE),"")</f>
        <v/>
      </c>
      <c r="E607" s="466" t="str">
        <f>IFERROR(VLOOKUP(A607,[3]DOORSCRIEFT!$A$2:$G$8551,4,FALSE),"")</f>
        <v/>
      </c>
      <c r="F607" s="405" t="str">
        <f>IFERROR(VLOOKUP(A607,[3]DOORSCRIEFT!$A$2:$G$8551,6,FALSE),"")</f>
        <v/>
      </c>
      <c r="G607" s="349"/>
    </row>
    <row r="608" spans="1:7" x14ac:dyDescent="0.25">
      <c r="A608" s="360" t="str">
        <f t="shared" si="12"/>
        <v>I.2.2.02.001386</v>
      </c>
      <c r="B608" s="319">
        <v>386</v>
      </c>
      <c r="C608" s="394" t="str">
        <f>IFERROR(VLOOKUP(A608,[3]DOORSCRIEFT!$A$2:$G$8551,2,FALSE),"")</f>
        <v/>
      </c>
      <c r="D608" s="393" t="str">
        <f>IFERROR(VLOOKUP(A608,[3]DOORSCRIEFT!$A$2:$G$8551,3,FALSE),"")</f>
        <v/>
      </c>
      <c r="E608" s="466" t="str">
        <f>IFERROR(VLOOKUP(A608,[3]DOORSCRIEFT!$A$2:$G$8551,4,FALSE),"")</f>
        <v/>
      </c>
      <c r="F608" s="405" t="str">
        <f>IFERROR(VLOOKUP(A608,[3]DOORSCRIEFT!$A$2:$G$8551,6,FALSE),"")</f>
        <v/>
      </c>
      <c r="G608" s="349"/>
    </row>
    <row r="609" spans="1:7" x14ac:dyDescent="0.25">
      <c r="A609" s="359" t="str">
        <f t="shared" si="12"/>
        <v>I.2.2.02.001387</v>
      </c>
      <c r="B609" s="319">
        <v>387</v>
      </c>
      <c r="C609" s="394" t="str">
        <f>IFERROR(VLOOKUP(A609,[3]DOORSCRIEFT!$A$2:$G$8551,2,FALSE),"")</f>
        <v/>
      </c>
      <c r="D609" s="393" t="str">
        <f>IFERROR(VLOOKUP(A609,[3]DOORSCRIEFT!$A$2:$G$8551,3,FALSE),"")</f>
        <v/>
      </c>
      <c r="E609" s="466" t="str">
        <f>IFERROR(VLOOKUP(A609,[3]DOORSCRIEFT!$A$2:$G$8551,4,FALSE),"")</f>
        <v/>
      </c>
      <c r="F609" s="405" t="str">
        <f>IFERROR(VLOOKUP(A609,[3]DOORSCRIEFT!$A$2:$G$8551,6,FALSE),"")</f>
        <v/>
      </c>
      <c r="G609" s="349"/>
    </row>
    <row r="610" spans="1:7" x14ac:dyDescent="0.25">
      <c r="A610" s="360" t="str">
        <f t="shared" si="12"/>
        <v>I.2.2.02.001388</v>
      </c>
      <c r="B610" s="319">
        <v>388</v>
      </c>
      <c r="C610" s="394" t="str">
        <f>IFERROR(VLOOKUP(A610,[3]DOORSCRIEFT!$A$2:$G$8551,2,FALSE),"")</f>
        <v/>
      </c>
      <c r="D610" s="393" t="str">
        <f>IFERROR(VLOOKUP(A610,[3]DOORSCRIEFT!$A$2:$G$8551,3,FALSE),"")</f>
        <v/>
      </c>
      <c r="E610" s="466" t="str">
        <f>IFERROR(VLOOKUP(A610,[3]DOORSCRIEFT!$A$2:$G$8551,4,FALSE),"")</f>
        <v/>
      </c>
      <c r="F610" s="405" t="str">
        <f>IFERROR(VLOOKUP(A610,[3]DOORSCRIEFT!$A$2:$G$8551,6,FALSE),"")</f>
        <v/>
      </c>
      <c r="G610" s="349"/>
    </row>
    <row r="611" spans="1:7" x14ac:dyDescent="0.25">
      <c r="A611" s="359" t="str">
        <f t="shared" si="12"/>
        <v>I.2.2.02.001389</v>
      </c>
      <c r="B611" s="319">
        <v>389</v>
      </c>
      <c r="C611" s="394" t="str">
        <f>IFERROR(VLOOKUP(A611,[3]DOORSCRIEFT!$A$2:$G$8551,2,FALSE),"")</f>
        <v/>
      </c>
      <c r="D611" s="393" t="str">
        <f>IFERROR(VLOOKUP(A611,[3]DOORSCRIEFT!$A$2:$G$8551,3,FALSE),"")</f>
        <v/>
      </c>
      <c r="E611" s="466" t="str">
        <f>IFERROR(VLOOKUP(A611,[3]DOORSCRIEFT!$A$2:$G$8551,4,FALSE),"")</f>
        <v/>
      </c>
      <c r="F611" s="405" t="str">
        <f>IFERROR(VLOOKUP(A611,[3]DOORSCRIEFT!$A$2:$G$8551,6,FALSE),"")</f>
        <v/>
      </c>
      <c r="G611" s="349"/>
    </row>
    <row r="612" spans="1:7" x14ac:dyDescent="0.25">
      <c r="A612" s="360" t="str">
        <f t="shared" si="12"/>
        <v>I.2.2.02.001390</v>
      </c>
      <c r="B612" s="319">
        <v>390</v>
      </c>
      <c r="C612" s="394" t="str">
        <f>IFERROR(VLOOKUP(A612,[3]DOORSCRIEFT!$A$2:$G$8551,2,FALSE),"")</f>
        <v/>
      </c>
      <c r="D612" s="393" t="str">
        <f>IFERROR(VLOOKUP(A612,[3]DOORSCRIEFT!$A$2:$G$8551,3,FALSE),"")</f>
        <v/>
      </c>
      <c r="E612" s="466" t="str">
        <f>IFERROR(VLOOKUP(A612,[3]DOORSCRIEFT!$A$2:$G$8551,4,FALSE),"")</f>
        <v/>
      </c>
      <c r="F612" s="405" t="str">
        <f>IFERROR(VLOOKUP(A612,[3]DOORSCRIEFT!$A$2:$G$8551,6,FALSE),"")</f>
        <v/>
      </c>
      <c r="G612" s="349"/>
    </row>
    <row r="613" spans="1:7" x14ac:dyDescent="0.25">
      <c r="A613" s="360" t="str">
        <f t="shared" si="12"/>
        <v>I.2.2.02.001391</v>
      </c>
      <c r="B613" s="319">
        <v>391</v>
      </c>
      <c r="C613" s="394" t="str">
        <f>IFERROR(VLOOKUP(A613,[3]DOORSCRIEFT!$A$2:$G$8551,2,FALSE),"")</f>
        <v/>
      </c>
      <c r="D613" s="393" t="str">
        <f>IFERROR(VLOOKUP(A613,[3]DOORSCRIEFT!$A$2:$G$8551,3,FALSE),"")</f>
        <v/>
      </c>
      <c r="E613" s="466" t="str">
        <f>IFERROR(VLOOKUP(A613,[3]DOORSCRIEFT!$A$2:$G$8551,4,FALSE),"")</f>
        <v/>
      </c>
      <c r="F613" s="405" t="str">
        <f>IFERROR(VLOOKUP(A613,[3]DOORSCRIEFT!$A$2:$G$8551,6,FALSE),"")</f>
        <v/>
      </c>
      <c r="G613" s="349"/>
    </row>
    <row r="614" spans="1:7" x14ac:dyDescent="0.25">
      <c r="A614" s="360" t="str">
        <f t="shared" si="12"/>
        <v>I.2.2.02.001392</v>
      </c>
      <c r="B614" s="319">
        <v>392</v>
      </c>
      <c r="C614" s="394" t="str">
        <f>IFERROR(VLOOKUP(A614,[3]DOORSCRIEFT!$A$2:$G$8551,2,FALSE),"")</f>
        <v/>
      </c>
      <c r="D614" s="393" t="str">
        <f>IFERROR(VLOOKUP(A614,[3]DOORSCRIEFT!$A$2:$G$8551,3,FALSE),"")</f>
        <v/>
      </c>
      <c r="E614" s="466" t="str">
        <f>IFERROR(VLOOKUP(A614,[3]DOORSCRIEFT!$A$2:$G$8551,4,FALSE),"")</f>
        <v/>
      </c>
      <c r="F614" s="405" t="str">
        <f>IFERROR(VLOOKUP(A614,[3]DOORSCRIEFT!$A$2:$G$8551,6,FALSE),"")</f>
        <v/>
      </c>
      <c r="G614" s="349"/>
    </row>
    <row r="615" spans="1:7" x14ac:dyDescent="0.25">
      <c r="A615" s="360" t="str">
        <f t="shared" si="12"/>
        <v>I.2.2.02.001393</v>
      </c>
      <c r="B615" s="319">
        <v>393</v>
      </c>
      <c r="C615" s="394" t="str">
        <f>IFERROR(VLOOKUP(A615,[3]DOORSCRIEFT!$A$2:$G$8551,2,FALSE),"")</f>
        <v/>
      </c>
      <c r="D615" s="393" t="str">
        <f>IFERROR(VLOOKUP(A615,[3]DOORSCRIEFT!$A$2:$G$8551,3,FALSE),"")</f>
        <v/>
      </c>
      <c r="E615" s="466" t="str">
        <f>IFERROR(VLOOKUP(A615,[3]DOORSCRIEFT!$A$2:$G$8551,4,FALSE),"")</f>
        <v/>
      </c>
      <c r="F615" s="405" t="str">
        <f>IFERROR(VLOOKUP(A615,[3]DOORSCRIEFT!$A$2:$G$8551,6,FALSE),"")</f>
        <v/>
      </c>
      <c r="G615" s="349"/>
    </row>
    <row r="616" spans="1:7" x14ac:dyDescent="0.25">
      <c r="A616" s="360" t="str">
        <f t="shared" si="12"/>
        <v>I.2.2.02.001394</v>
      </c>
      <c r="B616" s="319">
        <v>394</v>
      </c>
      <c r="C616" s="394" t="str">
        <f>IFERROR(VLOOKUP(A616,[3]DOORSCRIEFT!$A$2:$G$8551,2,FALSE),"")</f>
        <v/>
      </c>
      <c r="D616" s="393" t="str">
        <f>IFERROR(VLOOKUP(A616,[3]DOORSCRIEFT!$A$2:$G$8551,3,FALSE),"")</f>
        <v/>
      </c>
      <c r="E616" s="466" t="str">
        <f>IFERROR(VLOOKUP(A616,[3]DOORSCRIEFT!$A$2:$G$8551,4,FALSE),"")</f>
        <v/>
      </c>
      <c r="F616" s="405" t="str">
        <f>IFERROR(VLOOKUP(A616,[3]DOORSCRIEFT!$A$2:$G$8551,6,FALSE),"")</f>
        <v/>
      </c>
      <c r="G616" s="349"/>
    </row>
    <row r="617" spans="1:7" x14ac:dyDescent="0.25">
      <c r="A617" s="360" t="str">
        <f t="shared" si="12"/>
        <v>I.2.2.02.001395</v>
      </c>
      <c r="B617" s="319">
        <v>395</v>
      </c>
      <c r="C617" s="394" t="str">
        <f>IFERROR(VLOOKUP(A617,[3]DOORSCRIEFT!$A$2:$G$8551,2,FALSE),"")</f>
        <v/>
      </c>
      <c r="D617" s="393" t="str">
        <f>IFERROR(VLOOKUP(A617,[3]DOORSCRIEFT!$A$2:$G$8551,3,FALSE),"")</f>
        <v/>
      </c>
      <c r="E617" s="466" t="str">
        <f>IFERROR(VLOOKUP(A617,[3]DOORSCRIEFT!$A$2:$G$8551,4,FALSE),"")</f>
        <v/>
      </c>
      <c r="F617" s="405" t="str">
        <f>IFERROR(VLOOKUP(A617,[3]DOORSCRIEFT!$A$2:$G$8551,6,FALSE),"")</f>
        <v/>
      </c>
      <c r="G617" s="349"/>
    </row>
    <row r="618" spans="1:7" x14ac:dyDescent="0.25">
      <c r="A618" s="360" t="str">
        <f t="shared" si="12"/>
        <v>I.2.2.02.001396</v>
      </c>
      <c r="B618" s="319">
        <v>396</v>
      </c>
      <c r="C618" s="394" t="str">
        <f>IFERROR(VLOOKUP(A618,[3]DOORSCRIEFT!$A$2:$G$8551,2,FALSE),"")</f>
        <v/>
      </c>
      <c r="D618" s="393" t="str">
        <f>IFERROR(VLOOKUP(A618,[3]DOORSCRIEFT!$A$2:$G$8551,3,FALSE),"")</f>
        <v/>
      </c>
      <c r="E618" s="466" t="str">
        <f>IFERROR(VLOOKUP(A618,[3]DOORSCRIEFT!$A$2:$G$8551,4,FALSE),"")</f>
        <v/>
      </c>
      <c r="F618" s="405" t="str">
        <f>IFERROR(VLOOKUP(A618,[3]DOORSCRIEFT!$A$2:$G$8551,6,FALSE),"")</f>
        <v/>
      </c>
      <c r="G618" s="349"/>
    </row>
    <row r="619" spans="1:7" x14ac:dyDescent="0.25">
      <c r="A619" s="360" t="str">
        <f t="shared" si="12"/>
        <v>I.2.2.02.001397</v>
      </c>
      <c r="B619" s="319">
        <v>397</v>
      </c>
      <c r="C619" s="394" t="str">
        <f>IFERROR(VLOOKUP(A619,[3]DOORSCRIEFT!$A$2:$G$8551,2,FALSE),"")</f>
        <v/>
      </c>
      <c r="D619" s="393" t="str">
        <f>IFERROR(VLOOKUP(A619,[3]DOORSCRIEFT!$A$2:$G$8551,3,FALSE),"")</f>
        <v/>
      </c>
      <c r="E619" s="466" t="str">
        <f>IFERROR(VLOOKUP(A619,[3]DOORSCRIEFT!$A$2:$G$8551,4,FALSE),"")</f>
        <v/>
      </c>
      <c r="F619" s="405" t="str">
        <f>IFERROR(VLOOKUP(A619,[3]DOORSCRIEFT!$A$2:$G$8551,6,FALSE),"")</f>
        <v/>
      </c>
      <c r="G619" s="349"/>
    </row>
    <row r="620" spans="1:7" x14ac:dyDescent="0.25">
      <c r="A620" s="360" t="str">
        <f t="shared" si="12"/>
        <v>I.2.2.02.001398</v>
      </c>
      <c r="B620" s="319">
        <v>398</v>
      </c>
      <c r="C620" s="394" t="str">
        <f>IFERROR(VLOOKUP(A620,[3]DOORSCRIEFT!$A$2:$G$8551,2,FALSE),"")</f>
        <v/>
      </c>
      <c r="D620" s="393" t="str">
        <f>IFERROR(VLOOKUP(A620,[3]DOORSCRIEFT!$A$2:$G$8551,3,FALSE),"")</f>
        <v/>
      </c>
      <c r="E620" s="466" t="str">
        <f>IFERROR(VLOOKUP(A620,[3]DOORSCRIEFT!$A$2:$G$8551,4,FALSE),"")</f>
        <v/>
      </c>
      <c r="F620" s="405" t="str">
        <f>IFERROR(VLOOKUP(A620,[3]DOORSCRIEFT!$A$2:$G$8551,6,FALSE),"")</f>
        <v/>
      </c>
      <c r="G620" s="349"/>
    </row>
    <row r="621" spans="1:7" x14ac:dyDescent="0.25">
      <c r="A621" s="360" t="str">
        <f t="shared" si="12"/>
        <v>I.2.2.02.001399</v>
      </c>
      <c r="B621" s="319">
        <v>399</v>
      </c>
      <c r="C621" s="394" t="str">
        <f>IFERROR(VLOOKUP(A621,[3]DOORSCRIEFT!$A$2:$G$8551,2,FALSE),"")</f>
        <v/>
      </c>
      <c r="D621" s="393" t="str">
        <f>IFERROR(VLOOKUP(A621,[3]DOORSCRIEFT!$A$2:$G$8551,3,FALSE),"")</f>
        <v/>
      </c>
      <c r="E621" s="466" t="str">
        <f>IFERROR(VLOOKUP(A621,[3]DOORSCRIEFT!$A$2:$G$8551,4,FALSE),"")</f>
        <v/>
      </c>
      <c r="F621" s="405" t="str">
        <f>IFERROR(VLOOKUP(A621,[3]DOORSCRIEFT!$A$2:$G$8551,6,FALSE),"")</f>
        <v/>
      </c>
      <c r="G621" s="349"/>
    </row>
    <row r="622" spans="1:7" x14ac:dyDescent="0.25">
      <c r="A622" s="360" t="str">
        <f t="shared" si="12"/>
        <v>I.2.2.02.001400</v>
      </c>
      <c r="B622" s="319">
        <v>400</v>
      </c>
      <c r="C622" s="394" t="str">
        <f>IFERROR(VLOOKUP(A622,[3]DOORSCRIEFT!$A$2:$G$8551,2,FALSE),"")</f>
        <v/>
      </c>
      <c r="D622" s="393" t="str">
        <f>IFERROR(VLOOKUP(A622,[3]DOORSCRIEFT!$A$2:$G$8551,3,FALSE),"")</f>
        <v/>
      </c>
      <c r="E622" s="466" t="str">
        <f>IFERROR(VLOOKUP(A622,[3]DOORSCRIEFT!$A$2:$G$8551,4,FALSE),"")</f>
        <v/>
      </c>
      <c r="F622" s="405" t="str">
        <f>IFERROR(VLOOKUP(A622,[3]DOORSCRIEFT!$A$2:$G$8551,6,FALSE),"")</f>
        <v/>
      </c>
      <c r="G622" s="349"/>
    </row>
    <row r="623" spans="1:7" x14ac:dyDescent="0.25">
      <c r="A623" s="360" t="str">
        <f t="shared" si="12"/>
        <v>I.2.2.02.001401</v>
      </c>
      <c r="B623" s="319">
        <v>401</v>
      </c>
      <c r="C623" s="394" t="str">
        <f>IFERROR(VLOOKUP(A623,[3]DOORSCRIEFT!$A$2:$G$8551,2,FALSE),"")</f>
        <v/>
      </c>
      <c r="D623" s="393" t="str">
        <f>IFERROR(VLOOKUP(A623,[3]DOORSCRIEFT!$A$2:$G$8551,3,FALSE),"")</f>
        <v/>
      </c>
      <c r="E623" s="466" t="str">
        <f>IFERROR(VLOOKUP(A623,[3]DOORSCRIEFT!$A$2:$G$8551,4,FALSE),"")</f>
        <v/>
      </c>
      <c r="F623" s="405" t="str">
        <f>IFERROR(VLOOKUP(A623,[3]DOORSCRIEFT!$A$2:$G$8551,6,FALSE),"")</f>
        <v/>
      </c>
      <c r="G623" s="349"/>
    </row>
    <row r="624" spans="1:7" x14ac:dyDescent="0.25">
      <c r="A624" s="360" t="str">
        <f t="shared" si="12"/>
        <v>I.2.2.02.001402</v>
      </c>
      <c r="B624" s="319">
        <v>402</v>
      </c>
      <c r="C624" s="394" t="str">
        <f>IFERROR(VLOOKUP(A624,[3]DOORSCRIEFT!$A$2:$G$8551,2,FALSE),"")</f>
        <v/>
      </c>
      <c r="D624" s="393" t="str">
        <f>IFERROR(VLOOKUP(A624,[3]DOORSCRIEFT!$A$2:$G$8551,3,FALSE),"")</f>
        <v/>
      </c>
      <c r="E624" s="466" t="str">
        <f>IFERROR(VLOOKUP(A624,[3]DOORSCRIEFT!$A$2:$G$8551,4,FALSE),"")</f>
        <v/>
      </c>
      <c r="F624" s="405" t="str">
        <f>IFERROR(VLOOKUP(A624,[3]DOORSCRIEFT!$A$2:$G$8551,6,FALSE),"")</f>
        <v/>
      </c>
      <c r="G624" s="349"/>
    </row>
    <row r="625" spans="1:7" x14ac:dyDescent="0.25">
      <c r="A625" s="360" t="str">
        <f t="shared" si="12"/>
        <v>I.2.2.02.001403</v>
      </c>
      <c r="B625" s="319">
        <v>403</v>
      </c>
      <c r="C625" s="394" t="str">
        <f>IFERROR(VLOOKUP(A625,[3]DOORSCRIEFT!$A$2:$G$8551,2,FALSE),"")</f>
        <v/>
      </c>
      <c r="D625" s="393" t="str">
        <f>IFERROR(VLOOKUP(A625,[3]DOORSCRIEFT!$A$2:$G$8551,3,FALSE),"")</f>
        <v/>
      </c>
      <c r="E625" s="466" t="str">
        <f>IFERROR(VLOOKUP(A625,[3]DOORSCRIEFT!$A$2:$G$8551,4,FALSE),"")</f>
        <v/>
      </c>
      <c r="F625" s="405" t="str">
        <f>IFERROR(VLOOKUP(A625,[3]DOORSCRIEFT!$A$2:$G$8551,6,FALSE),"")</f>
        <v/>
      </c>
      <c r="G625" s="349"/>
    </row>
    <row r="626" spans="1:7" x14ac:dyDescent="0.25">
      <c r="A626" s="360" t="str">
        <f t="shared" si="12"/>
        <v>I.2.2.02.001404</v>
      </c>
      <c r="B626" s="319">
        <v>404</v>
      </c>
      <c r="C626" s="394" t="str">
        <f>IFERROR(VLOOKUP(A626,[3]DOORSCRIEFT!$A$2:$G$8551,2,FALSE),"")</f>
        <v/>
      </c>
      <c r="D626" s="393" t="str">
        <f>IFERROR(VLOOKUP(A626,[3]DOORSCRIEFT!$A$2:$G$8551,3,FALSE),"")</f>
        <v/>
      </c>
      <c r="E626" s="466" t="str">
        <f>IFERROR(VLOOKUP(A626,[3]DOORSCRIEFT!$A$2:$G$8551,4,FALSE),"")</f>
        <v/>
      </c>
      <c r="F626" s="405" t="str">
        <f>IFERROR(VLOOKUP(A626,[3]DOORSCRIEFT!$A$2:$G$8551,6,FALSE),"")</f>
        <v/>
      </c>
      <c r="G626" s="349"/>
    </row>
    <row r="627" spans="1:7" x14ac:dyDescent="0.25">
      <c r="A627" s="360" t="str">
        <f t="shared" si="12"/>
        <v>I.2.2.02.001405</v>
      </c>
      <c r="B627" s="319">
        <v>405</v>
      </c>
      <c r="C627" s="394" t="str">
        <f>IFERROR(VLOOKUP(A627,[3]DOORSCRIEFT!$A$2:$G$8551,2,FALSE),"")</f>
        <v/>
      </c>
      <c r="D627" s="393" t="str">
        <f>IFERROR(VLOOKUP(A627,[3]DOORSCRIEFT!$A$2:$G$8551,3,FALSE),"")</f>
        <v/>
      </c>
      <c r="E627" s="466" t="str">
        <f>IFERROR(VLOOKUP(A627,[3]DOORSCRIEFT!$A$2:$G$8551,4,FALSE),"")</f>
        <v/>
      </c>
      <c r="F627" s="405" t="str">
        <f>IFERROR(VLOOKUP(A627,[3]DOORSCRIEFT!$A$2:$G$8551,6,FALSE),"")</f>
        <v/>
      </c>
      <c r="G627" s="349"/>
    </row>
    <row r="628" spans="1:7" x14ac:dyDescent="0.25">
      <c r="A628" s="360" t="str">
        <f t="shared" si="12"/>
        <v>I.2.2.02.001406</v>
      </c>
      <c r="B628" s="319">
        <v>406</v>
      </c>
      <c r="C628" s="394" t="str">
        <f>IFERROR(VLOOKUP(A628,[3]DOORSCRIEFT!$A$2:$G$8551,2,FALSE),"")</f>
        <v/>
      </c>
      <c r="D628" s="393" t="str">
        <f>IFERROR(VLOOKUP(A628,[3]DOORSCRIEFT!$A$2:$G$8551,3,FALSE),"")</f>
        <v/>
      </c>
      <c r="E628" s="466" t="str">
        <f>IFERROR(VLOOKUP(A628,[3]DOORSCRIEFT!$A$2:$G$8551,4,FALSE),"")</f>
        <v/>
      </c>
      <c r="F628" s="405" t="str">
        <f>IFERROR(VLOOKUP(A628,[3]DOORSCRIEFT!$A$2:$G$8551,6,FALSE),"")</f>
        <v/>
      </c>
      <c r="G628" s="349"/>
    </row>
    <row r="629" spans="1:7" x14ac:dyDescent="0.25">
      <c r="A629" s="360" t="str">
        <f t="shared" si="12"/>
        <v>I.2.2.02.001407</v>
      </c>
      <c r="B629" s="319">
        <v>407</v>
      </c>
      <c r="C629" s="394" t="str">
        <f>IFERROR(VLOOKUP(A629,[3]DOORSCRIEFT!$A$2:$G$8551,2,FALSE),"")</f>
        <v/>
      </c>
      <c r="D629" s="393" t="str">
        <f>IFERROR(VLOOKUP(A629,[3]DOORSCRIEFT!$A$2:$G$8551,3,FALSE),"")</f>
        <v/>
      </c>
      <c r="E629" s="466" t="str">
        <f>IFERROR(VLOOKUP(A629,[3]DOORSCRIEFT!$A$2:$G$8551,4,FALSE),"")</f>
        <v/>
      </c>
      <c r="F629" s="405" t="str">
        <f>IFERROR(VLOOKUP(A629,[3]DOORSCRIEFT!$A$2:$G$8551,6,FALSE),"")</f>
        <v/>
      </c>
      <c r="G629" s="349"/>
    </row>
    <row r="630" spans="1:7" x14ac:dyDescent="0.25">
      <c r="A630" s="360" t="str">
        <f t="shared" si="12"/>
        <v>I.2.2.02.001408</v>
      </c>
      <c r="B630" s="319">
        <v>408</v>
      </c>
      <c r="C630" s="394" t="str">
        <f>IFERROR(VLOOKUP(A630,[3]DOORSCRIEFT!$A$2:$G$8551,2,FALSE),"")</f>
        <v/>
      </c>
      <c r="D630" s="393" t="str">
        <f>IFERROR(VLOOKUP(A630,[3]DOORSCRIEFT!$A$2:$G$8551,3,FALSE),"")</f>
        <v/>
      </c>
      <c r="E630" s="466" t="str">
        <f>IFERROR(VLOOKUP(A630,[3]DOORSCRIEFT!$A$2:$G$8551,4,FALSE),"")</f>
        <v/>
      </c>
      <c r="F630" s="405" t="str">
        <f>IFERROR(VLOOKUP(A630,[3]DOORSCRIEFT!$A$2:$G$8551,6,FALSE),"")</f>
        <v/>
      </c>
      <c r="G630" s="349"/>
    </row>
    <row r="631" spans="1:7" x14ac:dyDescent="0.25">
      <c r="A631" s="360" t="str">
        <f t="shared" si="12"/>
        <v>I.2.2.02.001409</v>
      </c>
      <c r="B631" s="319">
        <v>409</v>
      </c>
      <c r="C631" s="394" t="str">
        <f>IFERROR(VLOOKUP(A631,[3]DOORSCRIEFT!$A$2:$G$8551,2,FALSE),"")</f>
        <v/>
      </c>
      <c r="D631" s="393" t="str">
        <f>IFERROR(VLOOKUP(A631,[3]DOORSCRIEFT!$A$2:$G$8551,3,FALSE),"")</f>
        <v/>
      </c>
      <c r="E631" s="466" t="str">
        <f>IFERROR(VLOOKUP(A631,[3]DOORSCRIEFT!$A$2:$G$8551,4,FALSE),"")</f>
        <v/>
      </c>
      <c r="F631" s="405" t="str">
        <f>IFERROR(VLOOKUP(A631,[3]DOORSCRIEFT!$A$2:$G$8551,6,FALSE),"")</f>
        <v/>
      </c>
      <c r="G631" s="349"/>
    </row>
    <row r="632" spans="1:7" x14ac:dyDescent="0.25">
      <c r="A632" s="360" t="str">
        <f t="shared" si="12"/>
        <v>I.2.2.02.001410</v>
      </c>
      <c r="B632" s="319">
        <v>410</v>
      </c>
      <c r="C632" s="394" t="str">
        <f>IFERROR(VLOOKUP(A632,[3]DOORSCRIEFT!$A$2:$G$8551,2,FALSE),"")</f>
        <v/>
      </c>
      <c r="D632" s="393" t="str">
        <f>IFERROR(VLOOKUP(A632,[3]DOORSCRIEFT!$A$2:$G$8551,3,FALSE),"")</f>
        <v/>
      </c>
      <c r="E632" s="466" t="str">
        <f>IFERROR(VLOOKUP(A632,[3]DOORSCRIEFT!$A$2:$G$8551,4,FALSE),"")</f>
        <v/>
      </c>
      <c r="F632" s="405" t="str">
        <f>IFERROR(VLOOKUP(A632,[3]DOORSCRIEFT!$A$2:$G$8551,6,FALSE),"")</f>
        <v/>
      </c>
      <c r="G632" s="349"/>
    </row>
    <row r="633" spans="1:7" x14ac:dyDescent="0.25">
      <c r="A633" s="360" t="str">
        <f t="shared" si="12"/>
        <v>I.2.2.02.001411</v>
      </c>
      <c r="B633" s="319">
        <v>411</v>
      </c>
      <c r="C633" s="394" t="str">
        <f>IFERROR(VLOOKUP(A633,[3]DOORSCRIEFT!$A$2:$G$8551,2,FALSE),"")</f>
        <v/>
      </c>
      <c r="D633" s="393" t="str">
        <f>IFERROR(VLOOKUP(A633,[3]DOORSCRIEFT!$A$2:$G$8551,3,FALSE),"")</f>
        <v/>
      </c>
      <c r="E633" s="466" t="str">
        <f>IFERROR(VLOOKUP(A633,[3]DOORSCRIEFT!$A$2:$G$8551,4,FALSE),"")</f>
        <v/>
      </c>
      <c r="F633" s="405" t="str">
        <f>IFERROR(VLOOKUP(A633,[3]DOORSCRIEFT!$A$2:$G$8551,6,FALSE),"")</f>
        <v/>
      </c>
      <c r="G633" s="349"/>
    </row>
    <row r="634" spans="1:7" x14ac:dyDescent="0.25">
      <c r="A634" s="360" t="str">
        <f t="shared" si="12"/>
        <v>I.2.2.02.001412</v>
      </c>
      <c r="B634" s="319">
        <v>412</v>
      </c>
      <c r="C634" s="394" t="str">
        <f>IFERROR(VLOOKUP(A634,[3]DOORSCRIEFT!$A$2:$G$8551,2,FALSE),"")</f>
        <v/>
      </c>
      <c r="D634" s="393" t="str">
        <f>IFERROR(VLOOKUP(A634,[3]DOORSCRIEFT!$A$2:$G$8551,3,FALSE),"")</f>
        <v/>
      </c>
      <c r="E634" s="466" t="str">
        <f>IFERROR(VLOOKUP(A634,[3]DOORSCRIEFT!$A$2:$G$8551,4,FALSE),"")</f>
        <v/>
      </c>
      <c r="F634" s="405" t="str">
        <f>IFERROR(VLOOKUP(A634,[3]DOORSCRIEFT!$A$2:$G$8551,6,FALSE),"")</f>
        <v/>
      </c>
      <c r="G634" s="349"/>
    </row>
    <row r="635" spans="1:7" x14ac:dyDescent="0.25">
      <c r="A635" s="360" t="str">
        <f t="shared" si="12"/>
        <v>I.2.2.02.001413</v>
      </c>
      <c r="B635" s="319">
        <v>413</v>
      </c>
      <c r="C635" s="394" t="str">
        <f>IFERROR(VLOOKUP(A635,[3]DOORSCRIEFT!$A$2:$G$8551,2,FALSE),"")</f>
        <v/>
      </c>
      <c r="D635" s="393" t="str">
        <f>IFERROR(VLOOKUP(A635,[3]DOORSCRIEFT!$A$2:$G$8551,3,FALSE),"")</f>
        <v/>
      </c>
      <c r="E635" s="466" t="str">
        <f>IFERROR(VLOOKUP(A635,[3]DOORSCRIEFT!$A$2:$G$8551,4,FALSE),"")</f>
        <v/>
      </c>
      <c r="F635" s="405" t="str">
        <f>IFERROR(VLOOKUP(A635,[3]DOORSCRIEFT!$A$2:$G$8551,6,FALSE),"")</f>
        <v/>
      </c>
      <c r="G635" s="349"/>
    </row>
    <row r="636" spans="1:7" x14ac:dyDescent="0.25">
      <c r="A636" s="360" t="str">
        <f t="shared" si="12"/>
        <v>I.2.2.02.001414</v>
      </c>
      <c r="B636" s="319">
        <v>414</v>
      </c>
      <c r="C636" s="394" t="str">
        <f>IFERROR(VLOOKUP(A636,[3]DOORSCRIEFT!$A$2:$G$8551,2,FALSE),"")</f>
        <v/>
      </c>
      <c r="D636" s="393" t="str">
        <f>IFERROR(VLOOKUP(A636,[3]DOORSCRIEFT!$A$2:$G$8551,3,FALSE),"")</f>
        <v/>
      </c>
      <c r="E636" s="466" t="str">
        <f>IFERROR(VLOOKUP(A636,[3]DOORSCRIEFT!$A$2:$G$8551,4,FALSE),"")</f>
        <v/>
      </c>
      <c r="F636" s="405" t="str">
        <f>IFERROR(VLOOKUP(A636,[3]DOORSCRIEFT!$A$2:$G$8551,6,FALSE),"")</f>
        <v/>
      </c>
      <c r="G636" s="349"/>
    </row>
    <row r="637" spans="1:7" x14ac:dyDescent="0.25">
      <c r="A637" s="360" t="str">
        <f t="shared" si="12"/>
        <v>I.2.2.02.001415</v>
      </c>
      <c r="B637" s="319">
        <v>415</v>
      </c>
      <c r="C637" s="394" t="str">
        <f>IFERROR(VLOOKUP(A637,[3]DOORSCRIEFT!$A$2:$G$8551,2,FALSE),"")</f>
        <v/>
      </c>
      <c r="D637" s="393" t="str">
        <f>IFERROR(VLOOKUP(A637,[3]DOORSCRIEFT!$A$2:$G$8551,3,FALSE),"")</f>
        <v/>
      </c>
      <c r="E637" s="466" t="str">
        <f>IFERROR(VLOOKUP(A637,[3]DOORSCRIEFT!$A$2:$G$8551,4,FALSE),"")</f>
        <v/>
      </c>
      <c r="F637" s="405" t="str">
        <f>IFERROR(VLOOKUP(A637,[3]DOORSCRIEFT!$A$2:$G$8551,6,FALSE),"")</f>
        <v/>
      </c>
      <c r="G637" s="349"/>
    </row>
    <row r="638" spans="1:7" x14ac:dyDescent="0.25">
      <c r="A638" s="360" t="str">
        <f t="shared" si="12"/>
        <v>I.2.2.02.001416</v>
      </c>
      <c r="B638" s="319">
        <v>416</v>
      </c>
      <c r="C638" s="394" t="str">
        <f>IFERROR(VLOOKUP(A638,[3]DOORSCRIEFT!$A$2:$G$8551,2,FALSE),"")</f>
        <v/>
      </c>
      <c r="D638" s="393" t="str">
        <f>IFERROR(VLOOKUP(A638,[3]DOORSCRIEFT!$A$2:$G$8551,3,FALSE),"")</f>
        <v/>
      </c>
      <c r="E638" s="466" t="str">
        <f>IFERROR(VLOOKUP(A638,[3]DOORSCRIEFT!$A$2:$G$8551,4,FALSE),"")</f>
        <v/>
      </c>
      <c r="F638" s="405" t="str">
        <f>IFERROR(VLOOKUP(A638,[3]DOORSCRIEFT!$A$2:$G$8551,6,FALSE),"")</f>
        <v/>
      </c>
      <c r="G638" s="349"/>
    </row>
    <row r="639" spans="1:7" x14ac:dyDescent="0.25">
      <c r="A639" s="360" t="str">
        <f t="shared" si="12"/>
        <v>I.2.2.02.001417</v>
      </c>
      <c r="B639" s="319">
        <v>417</v>
      </c>
      <c r="C639" s="394" t="str">
        <f>IFERROR(VLOOKUP(A639,[3]DOORSCRIEFT!$A$2:$G$8551,2,FALSE),"")</f>
        <v/>
      </c>
      <c r="D639" s="393" t="str">
        <f>IFERROR(VLOOKUP(A639,[3]DOORSCRIEFT!$A$2:$G$8551,3,FALSE),"")</f>
        <v/>
      </c>
      <c r="E639" s="466" t="str">
        <f>IFERROR(VLOOKUP(A639,[3]DOORSCRIEFT!$A$2:$G$8551,4,FALSE),"")</f>
        <v/>
      </c>
      <c r="F639" s="405" t="str">
        <f>IFERROR(VLOOKUP(A639,[3]DOORSCRIEFT!$A$2:$G$8551,6,FALSE),"")</f>
        <v/>
      </c>
      <c r="G639" s="349"/>
    </row>
    <row r="640" spans="1:7" x14ac:dyDescent="0.25">
      <c r="A640" s="360" t="str">
        <f t="shared" si="12"/>
        <v>I.2.2.02.001418</v>
      </c>
      <c r="B640" s="319">
        <v>418</v>
      </c>
      <c r="C640" s="394" t="str">
        <f>IFERROR(VLOOKUP(A640,[3]DOORSCRIEFT!$A$2:$G$8551,2,FALSE),"")</f>
        <v/>
      </c>
      <c r="D640" s="393" t="str">
        <f>IFERROR(VLOOKUP(A640,[3]DOORSCRIEFT!$A$2:$G$8551,3,FALSE),"")</f>
        <v/>
      </c>
      <c r="E640" s="466" t="str">
        <f>IFERROR(VLOOKUP(A640,[3]DOORSCRIEFT!$A$2:$G$8551,4,FALSE),"")</f>
        <v/>
      </c>
      <c r="F640" s="405" t="str">
        <f>IFERROR(VLOOKUP(A640,[3]DOORSCRIEFT!$A$2:$G$8551,6,FALSE),"")</f>
        <v/>
      </c>
      <c r="G640" s="349"/>
    </row>
    <row r="641" spans="1:7" x14ac:dyDescent="0.25">
      <c r="A641" s="360" t="str">
        <f t="shared" si="12"/>
        <v>I.2.2.02.001419</v>
      </c>
      <c r="B641" s="319">
        <v>419</v>
      </c>
      <c r="C641" s="394" t="str">
        <f>IFERROR(VLOOKUP(A641,[3]DOORSCRIEFT!$A$2:$G$8551,2,FALSE),"")</f>
        <v/>
      </c>
      <c r="D641" s="393" t="str">
        <f>IFERROR(VLOOKUP(A641,[3]DOORSCRIEFT!$A$2:$G$8551,3,FALSE),"")</f>
        <v/>
      </c>
      <c r="E641" s="466" t="str">
        <f>IFERROR(VLOOKUP(A641,[3]DOORSCRIEFT!$A$2:$G$8551,4,FALSE),"")</f>
        <v/>
      </c>
      <c r="F641" s="405" t="str">
        <f>IFERROR(VLOOKUP(A641,[3]DOORSCRIEFT!$A$2:$G$8551,6,FALSE),"")</f>
        <v/>
      </c>
      <c r="G641" s="349"/>
    </row>
    <row r="642" spans="1:7" x14ac:dyDescent="0.25">
      <c r="A642" s="360" t="str">
        <f t="shared" si="12"/>
        <v>I.2.2.02.001420</v>
      </c>
      <c r="B642" s="319">
        <v>420</v>
      </c>
      <c r="C642" s="394" t="str">
        <f>IFERROR(VLOOKUP(A642,[3]DOORSCRIEFT!$A$2:$G$8551,2,FALSE),"")</f>
        <v/>
      </c>
      <c r="D642" s="393" t="str">
        <f>IFERROR(VLOOKUP(A642,[3]DOORSCRIEFT!$A$2:$G$8551,3,FALSE),"")</f>
        <v/>
      </c>
      <c r="E642" s="466" t="str">
        <f>IFERROR(VLOOKUP(A642,[3]DOORSCRIEFT!$A$2:$G$8551,4,FALSE),"")</f>
        <v/>
      </c>
      <c r="F642" s="405" t="str">
        <f>IFERROR(VLOOKUP(A642,[3]DOORSCRIEFT!$A$2:$G$8551,6,FALSE),"")</f>
        <v/>
      </c>
      <c r="G642" s="349"/>
    </row>
    <row r="643" spans="1:7" x14ac:dyDescent="0.25">
      <c r="A643" s="360" t="str">
        <f t="shared" si="12"/>
        <v>I.2.2.02.001421</v>
      </c>
      <c r="B643" s="319">
        <v>421</v>
      </c>
      <c r="C643" s="394" t="str">
        <f>IFERROR(VLOOKUP(A643,[3]DOORSCRIEFT!$A$2:$G$8551,2,FALSE),"")</f>
        <v/>
      </c>
      <c r="D643" s="393" t="str">
        <f>IFERROR(VLOOKUP(A643,[3]DOORSCRIEFT!$A$2:$G$8551,3,FALSE),"")</f>
        <v/>
      </c>
      <c r="E643" s="466" t="str">
        <f>IFERROR(VLOOKUP(A643,[3]DOORSCRIEFT!$A$2:$G$8551,4,FALSE),"")</f>
        <v/>
      </c>
      <c r="F643" s="405" t="str">
        <f>IFERROR(VLOOKUP(A643,[3]DOORSCRIEFT!$A$2:$G$8551,6,FALSE),"")</f>
        <v/>
      </c>
      <c r="G643" s="349"/>
    </row>
    <row r="644" spans="1:7" x14ac:dyDescent="0.25">
      <c r="A644" s="360" t="str">
        <f t="shared" si="12"/>
        <v>I.2.2.02.001422</v>
      </c>
      <c r="B644" s="319">
        <v>422</v>
      </c>
      <c r="C644" s="394" t="str">
        <f>IFERROR(VLOOKUP(A644,[3]DOORSCRIEFT!$A$2:$G$8551,2,FALSE),"")</f>
        <v/>
      </c>
      <c r="D644" s="393" t="str">
        <f>IFERROR(VLOOKUP(A644,[3]DOORSCRIEFT!$A$2:$G$8551,3,FALSE),"")</f>
        <v/>
      </c>
      <c r="E644" s="466" t="str">
        <f>IFERROR(VLOOKUP(A644,[3]DOORSCRIEFT!$A$2:$G$8551,4,FALSE),"")</f>
        <v/>
      </c>
      <c r="F644" s="405" t="str">
        <f>IFERROR(VLOOKUP(A644,[3]DOORSCRIEFT!$A$2:$G$8551,6,FALSE),"")</f>
        <v/>
      </c>
      <c r="G644" s="349"/>
    </row>
    <row r="645" spans="1:7" x14ac:dyDescent="0.25">
      <c r="A645" s="360" t="str">
        <f t="shared" si="12"/>
        <v>I.2.2.02.001423</v>
      </c>
      <c r="B645" s="319">
        <v>423</v>
      </c>
      <c r="C645" s="394" t="str">
        <f>IFERROR(VLOOKUP(A645,[3]DOORSCRIEFT!$A$2:$G$8551,2,FALSE),"")</f>
        <v/>
      </c>
      <c r="D645" s="393" t="str">
        <f>IFERROR(VLOOKUP(A645,[3]DOORSCRIEFT!$A$2:$G$8551,3,FALSE),"")</f>
        <v/>
      </c>
      <c r="E645" s="466" t="str">
        <f>IFERROR(VLOOKUP(A645,[3]DOORSCRIEFT!$A$2:$G$8551,4,FALSE),"")</f>
        <v/>
      </c>
      <c r="F645" s="405" t="str">
        <f>IFERROR(VLOOKUP(A645,[3]DOORSCRIEFT!$A$2:$G$8551,6,FALSE),"")</f>
        <v/>
      </c>
      <c r="G645" s="349"/>
    </row>
    <row r="646" spans="1:7" x14ac:dyDescent="0.25">
      <c r="A646" s="360" t="str">
        <f t="shared" si="12"/>
        <v>I.2.2.02.001424</v>
      </c>
      <c r="B646" s="319">
        <v>424</v>
      </c>
      <c r="C646" s="394" t="str">
        <f>IFERROR(VLOOKUP(A646,[3]DOORSCRIEFT!$A$2:$G$8551,2,FALSE),"")</f>
        <v/>
      </c>
      <c r="D646" s="393" t="str">
        <f>IFERROR(VLOOKUP(A646,[3]DOORSCRIEFT!$A$2:$G$8551,3,FALSE),"")</f>
        <v/>
      </c>
      <c r="E646" s="466" t="str">
        <f>IFERROR(VLOOKUP(A646,[3]DOORSCRIEFT!$A$2:$G$8551,4,FALSE),"")</f>
        <v/>
      </c>
      <c r="F646" s="405" t="str">
        <f>IFERROR(VLOOKUP(A646,[3]DOORSCRIEFT!$A$2:$G$8551,6,FALSE),"")</f>
        <v/>
      </c>
      <c r="G646" s="349"/>
    </row>
    <row r="647" spans="1:7" x14ac:dyDescent="0.25">
      <c r="A647" s="360" t="str">
        <f t="shared" si="12"/>
        <v>I.2.2.02.001425</v>
      </c>
      <c r="B647" s="319">
        <v>425</v>
      </c>
      <c r="C647" s="394" t="str">
        <f>IFERROR(VLOOKUP(A647,[3]DOORSCRIEFT!$A$2:$G$8551,2,FALSE),"")</f>
        <v/>
      </c>
      <c r="D647" s="393" t="str">
        <f>IFERROR(VLOOKUP(A647,[3]DOORSCRIEFT!$A$2:$G$8551,3,FALSE),"")</f>
        <v/>
      </c>
      <c r="E647" s="466" t="str">
        <f>IFERROR(VLOOKUP(A647,[3]DOORSCRIEFT!$A$2:$G$8551,4,FALSE),"")</f>
        <v/>
      </c>
      <c r="F647" s="405" t="str">
        <f>IFERROR(VLOOKUP(A647,[3]DOORSCRIEFT!$A$2:$G$8551,6,FALSE),"")</f>
        <v/>
      </c>
      <c r="G647" s="349"/>
    </row>
    <row r="648" spans="1:7" x14ac:dyDescent="0.25">
      <c r="A648" s="360" t="str">
        <f t="shared" si="12"/>
        <v>I.2.2.02.001426</v>
      </c>
      <c r="B648" s="319">
        <v>426</v>
      </c>
      <c r="C648" s="394" t="str">
        <f>IFERROR(VLOOKUP(A648,[3]DOORSCRIEFT!$A$2:$G$8551,2,FALSE),"")</f>
        <v/>
      </c>
      <c r="D648" s="393" t="str">
        <f>IFERROR(VLOOKUP(A648,[3]DOORSCRIEFT!$A$2:$G$8551,3,FALSE),"")</f>
        <v/>
      </c>
      <c r="E648" s="466" t="str">
        <f>IFERROR(VLOOKUP(A648,[3]DOORSCRIEFT!$A$2:$G$8551,4,FALSE),"")</f>
        <v/>
      </c>
      <c r="F648" s="405" t="str">
        <f>IFERROR(VLOOKUP(A648,[3]DOORSCRIEFT!$A$2:$G$8551,6,FALSE),"")</f>
        <v/>
      </c>
      <c r="G648" s="349"/>
    </row>
    <row r="649" spans="1:7" x14ac:dyDescent="0.25">
      <c r="A649" s="360" t="str">
        <f t="shared" si="12"/>
        <v>I.2.2.02.001427</v>
      </c>
      <c r="B649" s="319">
        <v>427</v>
      </c>
      <c r="C649" s="394" t="str">
        <f>IFERROR(VLOOKUP(A649,[3]DOORSCRIEFT!$A$2:$G$8551,2,FALSE),"")</f>
        <v/>
      </c>
      <c r="D649" s="393" t="str">
        <f>IFERROR(VLOOKUP(A649,[3]DOORSCRIEFT!$A$2:$G$8551,3,FALSE),"")</f>
        <v/>
      </c>
      <c r="E649" s="466" t="str">
        <f>IFERROR(VLOOKUP(A649,[3]DOORSCRIEFT!$A$2:$G$8551,4,FALSE),"")</f>
        <v/>
      </c>
      <c r="F649" s="405" t="str">
        <f>IFERROR(VLOOKUP(A649,[3]DOORSCRIEFT!$A$2:$G$8551,6,FALSE),"")</f>
        <v/>
      </c>
      <c r="G649" s="349"/>
    </row>
    <row r="650" spans="1:7" x14ac:dyDescent="0.25">
      <c r="A650" s="360" t="str">
        <f t="shared" si="12"/>
        <v>I.2.2.02.001428</v>
      </c>
      <c r="B650" s="319">
        <v>428</v>
      </c>
      <c r="C650" s="394" t="str">
        <f>IFERROR(VLOOKUP(A650,[3]DOORSCRIEFT!$A$2:$G$8551,2,FALSE),"")</f>
        <v/>
      </c>
      <c r="D650" s="393" t="str">
        <f>IFERROR(VLOOKUP(A650,[3]DOORSCRIEFT!$A$2:$G$8551,3,FALSE),"")</f>
        <v/>
      </c>
      <c r="E650" s="466" t="str">
        <f>IFERROR(VLOOKUP(A650,[3]DOORSCRIEFT!$A$2:$G$8551,4,FALSE),"")</f>
        <v/>
      </c>
      <c r="F650" s="405" t="str">
        <f>IFERROR(VLOOKUP(A650,[3]DOORSCRIEFT!$A$2:$G$8551,6,FALSE),"")</f>
        <v/>
      </c>
      <c r="G650" s="349"/>
    </row>
    <row r="651" spans="1:7" x14ac:dyDescent="0.25">
      <c r="A651" s="360" t="str">
        <f t="shared" si="12"/>
        <v>I.2.2.02.001429</v>
      </c>
      <c r="B651" s="319">
        <v>429</v>
      </c>
      <c r="C651" s="394" t="str">
        <f>IFERROR(VLOOKUP(A651,[3]DOORSCRIEFT!$A$2:$G$8551,2,FALSE),"")</f>
        <v/>
      </c>
      <c r="D651" s="393" t="str">
        <f>IFERROR(VLOOKUP(A651,[3]DOORSCRIEFT!$A$2:$G$8551,3,FALSE),"")</f>
        <v/>
      </c>
      <c r="E651" s="466" t="str">
        <f>IFERROR(VLOOKUP(A651,[3]DOORSCRIEFT!$A$2:$G$8551,4,FALSE),"")</f>
        <v/>
      </c>
      <c r="F651" s="405" t="str">
        <f>IFERROR(VLOOKUP(A651,[3]DOORSCRIEFT!$A$2:$G$8551,6,FALSE),"")</f>
        <v/>
      </c>
      <c r="G651" s="349"/>
    </row>
    <row r="652" spans="1:7" x14ac:dyDescent="0.25">
      <c r="A652" s="360" t="str">
        <f t="shared" si="12"/>
        <v>I.2.2.02.001430</v>
      </c>
      <c r="B652" s="319">
        <v>430</v>
      </c>
      <c r="C652" s="394" t="str">
        <f>IFERROR(VLOOKUP(A652,[3]DOORSCRIEFT!$A$2:$G$8551,2,FALSE),"")</f>
        <v/>
      </c>
      <c r="D652" s="393" t="str">
        <f>IFERROR(VLOOKUP(A652,[3]DOORSCRIEFT!$A$2:$G$8551,3,FALSE),"")</f>
        <v/>
      </c>
      <c r="E652" s="466" t="str">
        <f>IFERROR(VLOOKUP(A652,[3]DOORSCRIEFT!$A$2:$G$8551,4,FALSE),"")</f>
        <v/>
      </c>
      <c r="F652" s="405" t="str">
        <f>IFERROR(VLOOKUP(A652,[3]DOORSCRIEFT!$A$2:$G$8551,6,FALSE),"")</f>
        <v/>
      </c>
      <c r="G652" s="349"/>
    </row>
    <row r="653" spans="1:7" x14ac:dyDescent="0.25">
      <c r="A653" s="360" t="str">
        <f t="shared" si="12"/>
        <v>I.2.2.02.001431</v>
      </c>
      <c r="B653" s="319">
        <v>431</v>
      </c>
      <c r="C653" s="394" t="str">
        <f>IFERROR(VLOOKUP(A653,[3]DOORSCRIEFT!$A$2:$G$8551,2,FALSE),"")</f>
        <v/>
      </c>
      <c r="D653" s="393" t="str">
        <f>IFERROR(VLOOKUP(A653,[3]DOORSCRIEFT!$A$2:$G$8551,3,FALSE),"")</f>
        <v/>
      </c>
      <c r="E653" s="466" t="str">
        <f>IFERROR(VLOOKUP(A653,[3]DOORSCRIEFT!$A$2:$G$8551,4,FALSE),"")</f>
        <v/>
      </c>
      <c r="F653" s="405" t="str">
        <f>IFERROR(VLOOKUP(A653,[3]DOORSCRIEFT!$A$2:$G$8551,6,FALSE),"")</f>
        <v/>
      </c>
      <c r="G653" s="349"/>
    </row>
    <row r="654" spans="1:7" x14ac:dyDescent="0.25">
      <c r="A654" s="360" t="str">
        <f t="shared" si="12"/>
        <v>I.2.2.02.001432</v>
      </c>
      <c r="B654" s="319">
        <v>432</v>
      </c>
      <c r="C654" s="394" t="str">
        <f>IFERROR(VLOOKUP(A654,[3]DOORSCRIEFT!$A$2:$G$8551,2,FALSE),"")</f>
        <v/>
      </c>
      <c r="D654" s="393" t="str">
        <f>IFERROR(VLOOKUP(A654,[3]DOORSCRIEFT!$A$2:$G$8551,3,FALSE),"")</f>
        <v/>
      </c>
      <c r="E654" s="466" t="str">
        <f>IFERROR(VLOOKUP(A654,[3]DOORSCRIEFT!$A$2:$G$8551,4,FALSE),"")</f>
        <v/>
      </c>
      <c r="F654" s="405" t="str">
        <f>IFERROR(VLOOKUP(A654,[3]DOORSCRIEFT!$A$2:$G$8551,6,FALSE),"")</f>
        <v/>
      </c>
      <c r="G654" s="349"/>
    </row>
    <row r="655" spans="1:7" x14ac:dyDescent="0.25">
      <c r="A655" s="360" t="str">
        <f t="shared" si="12"/>
        <v>I.2.2.02.001433</v>
      </c>
      <c r="B655" s="319">
        <v>433</v>
      </c>
      <c r="C655" s="394" t="str">
        <f>IFERROR(VLOOKUP(A655,[3]DOORSCRIEFT!$A$2:$G$8551,2,FALSE),"")</f>
        <v/>
      </c>
      <c r="D655" s="393" t="str">
        <f>IFERROR(VLOOKUP(A655,[3]DOORSCRIEFT!$A$2:$G$8551,3,FALSE),"")</f>
        <v/>
      </c>
      <c r="E655" s="466" t="str">
        <f>IFERROR(VLOOKUP(A655,[3]DOORSCRIEFT!$A$2:$G$8551,4,FALSE),"")</f>
        <v/>
      </c>
      <c r="F655" s="405" t="str">
        <f>IFERROR(VLOOKUP(A655,[3]DOORSCRIEFT!$A$2:$G$8551,6,FALSE),"")</f>
        <v/>
      </c>
      <c r="G655" s="349"/>
    </row>
    <row r="656" spans="1:7" x14ac:dyDescent="0.25">
      <c r="A656" s="360" t="str">
        <f t="shared" si="12"/>
        <v>I.2.2.02.001434</v>
      </c>
      <c r="B656" s="319">
        <v>434</v>
      </c>
      <c r="C656" s="394" t="str">
        <f>IFERROR(VLOOKUP(A656,[3]DOORSCRIEFT!$A$2:$G$8551,2,FALSE),"")</f>
        <v/>
      </c>
      <c r="D656" s="393" t="str">
        <f>IFERROR(VLOOKUP(A656,[3]DOORSCRIEFT!$A$2:$G$8551,3,FALSE),"")</f>
        <v/>
      </c>
      <c r="E656" s="466" t="str">
        <f>IFERROR(VLOOKUP(A656,[3]DOORSCRIEFT!$A$2:$G$8551,4,FALSE),"")</f>
        <v/>
      </c>
      <c r="F656" s="405" t="str">
        <f>IFERROR(VLOOKUP(A656,[3]DOORSCRIEFT!$A$2:$G$8551,6,FALSE),"")</f>
        <v/>
      </c>
      <c r="G656" s="349"/>
    </row>
    <row r="657" spans="1:7" x14ac:dyDescent="0.25">
      <c r="A657" s="360" t="str">
        <f t="shared" si="12"/>
        <v>I.2.2.02.001435</v>
      </c>
      <c r="B657" s="319">
        <v>435</v>
      </c>
      <c r="C657" s="394" t="str">
        <f>IFERROR(VLOOKUP(A657,[3]DOORSCRIEFT!$A$2:$G$8551,2,FALSE),"")</f>
        <v/>
      </c>
      <c r="D657" s="393" t="str">
        <f>IFERROR(VLOOKUP(A657,[3]DOORSCRIEFT!$A$2:$G$8551,3,FALSE),"")</f>
        <v/>
      </c>
      <c r="E657" s="466" t="str">
        <f>IFERROR(VLOOKUP(A657,[3]DOORSCRIEFT!$A$2:$G$8551,4,FALSE),"")</f>
        <v/>
      </c>
      <c r="F657" s="405" t="str">
        <f>IFERROR(VLOOKUP(A657,[3]DOORSCRIEFT!$A$2:$G$8551,6,FALSE),"")</f>
        <v/>
      </c>
      <c r="G657" s="349"/>
    </row>
    <row r="658" spans="1:7" x14ac:dyDescent="0.25">
      <c r="A658" s="360" t="str">
        <f t="shared" si="12"/>
        <v>I.2.2.02.001436</v>
      </c>
      <c r="B658" s="319">
        <v>436</v>
      </c>
      <c r="C658" s="394" t="str">
        <f>IFERROR(VLOOKUP(A658,[3]DOORSCRIEFT!$A$2:$G$8551,2,FALSE),"")</f>
        <v/>
      </c>
      <c r="D658" s="393" t="str">
        <f>IFERROR(VLOOKUP(A658,[3]DOORSCRIEFT!$A$2:$G$8551,3,FALSE),"")</f>
        <v/>
      </c>
      <c r="E658" s="466" t="str">
        <f>IFERROR(VLOOKUP(A658,[3]DOORSCRIEFT!$A$2:$G$8551,4,FALSE),"")</f>
        <v/>
      </c>
      <c r="F658" s="405" t="str">
        <f>IFERROR(VLOOKUP(A658,[3]DOORSCRIEFT!$A$2:$G$8551,6,FALSE),"")</f>
        <v/>
      </c>
      <c r="G658" s="349"/>
    </row>
    <row r="659" spans="1:7" x14ac:dyDescent="0.25">
      <c r="A659" s="360" t="str">
        <f t="shared" si="12"/>
        <v>I.2.2.02.001437</v>
      </c>
      <c r="B659" s="319">
        <v>437</v>
      </c>
      <c r="C659" s="394" t="str">
        <f>IFERROR(VLOOKUP(A659,[3]DOORSCRIEFT!$A$2:$G$8551,2,FALSE),"")</f>
        <v/>
      </c>
      <c r="D659" s="393" t="str">
        <f>IFERROR(VLOOKUP(A659,[3]DOORSCRIEFT!$A$2:$G$8551,3,FALSE),"")</f>
        <v/>
      </c>
      <c r="E659" s="466" t="str">
        <f>IFERROR(VLOOKUP(A659,[3]DOORSCRIEFT!$A$2:$G$8551,4,FALSE),"")</f>
        <v/>
      </c>
      <c r="F659" s="405" t="str">
        <f>IFERROR(VLOOKUP(A659,[3]DOORSCRIEFT!$A$2:$G$8551,6,FALSE),"")</f>
        <v/>
      </c>
      <c r="G659" s="349"/>
    </row>
    <row r="660" spans="1:7" x14ac:dyDescent="0.25">
      <c r="A660" s="360" t="str">
        <f t="shared" si="12"/>
        <v>I.2.2.02.001438</v>
      </c>
      <c r="B660" s="319">
        <v>438</v>
      </c>
      <c r="C660" s="394" t="str">
        <f>IFERROR(VLOOKUP(A660,[3]DOORSCRIEFT!$A$2:$G$8551,2,FALSE),"")</f>
        <v/>
      </c>
      <c r="D660" s="393" t="str">
        <f>IFERROR(VLOOKUP(A660,[3]DOORSCRIEFT!$A$2:$G$8551,3,FALSE),"")</f>
        <v/>
      </c>
      <c r="E660" s="466" t="str">
        <f>IFERROR(VLOOKUP(A660,[3]DOORSCRIEFT!$A$2:$G$8551,4,FALSE),"")</f>
        <v/>
      </c>
      <c r="F660" s="405" t="str">
        <f>IFERROR(VLOOKUP(A660,[3]DOORSCRIEFT!$A$2:$G$8551,6,FALSE),"")</f>
        <v/>
      </c>
      <c r="G660" s="349"/>
    </row>
    <row r="661" spans="1:7" x14ac:dyDescent="0.25">
      <c r="A661" s="360" t="str">
        <f t="shared" si="12"/>
        <v>I.2.2.02.001439</v>
      </c>
      <c r="B661" s="319">
        <v>439</v>
      </c>
      <c r="C661" s="394" t="str">
        <f>IFERROR(VLOOKUP(A661,[3]DOORSCRIEFT!$A$2:$G$8551,2,FALSE),"")</f>
        <v/>
      </c>
      <c r="D661" s="393" t="str">
        <f>IFERROR(VLOOKUP(A661,[3]DOORSCRIEFT!$A$2:$G$8551,3,FALSE),"")</f>
        <v/>
      </c>
      <c r="E661" s="466" t="str">
        <f>IFERROR(VLOOKUP(A661,[3]DOORSCRIEFT!$A$2:$G$8551,4,FALSE),"")</f>
        <v/>
      </c>
      <c r="F661" s="405" t="str">
        <f>IFERROR(VLOOKUP(A661,[3]DOORSCRIEFT!$A$2:$G$8551,6,FALSE),"")</f>
        <v/>
      </c>
      <c r="G661" s="349"/>
    </row>
    <row r="662" spans="1:7" x14ac:dyDescent="0.25">
      <c r="A662" s="360" t="str">
        <f t="shared" si="12"/>
        <v>I.2.2.02.001440</v>
      </c>
      <c r="B662" s="319">
        <v>440</v>
      </c>
      <c r="C662" s="394" t="str">
        <f>IFERROR(VLOOKUP(A662,[3]DOORSCRIEFT!$A$2:$G$8551,2,FALSE),"")</f>
        <v/>
      </c>
      <c r="D662" s="393" t="str">
        <f>IFERROR(VLOOKUP(A662,[3]DOORSCRIEFT!$A$2:$G$8551,3,FALSE),"")</f>
        <v/>
      </c>
      <c r="E662" s="466" t="str">
        <f>IFERROR(VLOOKUP(A662,[3]DOORSCRIEFT!$A$2:$G$8551,4,FALSE),"")</f>
        <v/>
      </c>
      <c r="F662" s="405" t="str">
        <f>IFERROR(VLOOKUP(A662,[3]DOORSCRIEFT!$A$2:$G$8551,6,FALSE),"")</f>
        <v/>
      </c>
      <c r="G662" s="349"/>
    </row>
    <row r="663" spans="1:7" x14ac:dyDescent="0.25">
      <c r="A663" s="360" t="str">
        <f t="shared" si="12"/>
        <v>I.2.2.02.001441</v>
      </c>
      <c r="B663" s="319">
        <v>441</v>
      </c>
      <c r="C663" s="394" t="str">
        <f>IFERROR(VLOOKUP(A663,[3]DOORSCRIEFT!$A$2:$G$8551,2,FALSE),"")</f>
        <v/>
      </c>
      <c r="D663" s="393" t="str">
        <f>IFERROR(VLOOKUP(A663,[3]DOORSCRIEFT!$A$2:$G$8551,3,FALSE),"")</f>
        <v/>
      </c>
      <c r="E663" s="466" t="str">
        <f>IFERROR(VLOOKUP(A663,[3]DOORSCRIEFT!$A$2:$G$8551,4,FALSE),"")</f>
        <v/>
      </c>
      <c r="F663" s="405" t="str">
        <f>IFERROR(VLOOKUP(A663,[3]DOORSCRIEFT!$A$2:$G$8551,6,FALSE),"")</f>
        <v/>
      </c>
      <c r="G663" s="349"/>
    </row>
    <row r="664" spans="1:7" x14ac:dyDescent="0.25">
      <c r="A664" s="360" t="str">
        <f t="shared" si="12"/>
        <v>I.2.2.02.001442</v>
      </c>
      <c r="B664" s="319">
        <v>442</v>
      </c>
      <c r="C664" s="394" t="str">
        <f>IFERROR(VLOOKUP(A664,[3]DOORSCRIEFT!$A$2:$G$8551,2,FALSE),"")</f>
        <v/>
      </c>
      <c r="D664" s="393" t="str">
        <f>IFERROR(VLOOKUP(A664,[3]DOORSCRIEFT!$A$2:$G$8551,3,FALSE),"")</f>
        <v/>
      </c>
      <c r="E664" s="466" t="str">
        <f>IFERROR(VLOOKUP(A664,[3]DOORSCRIEFT!$A$2:$G$8551,4,FALSE),"")</f>
        <v/>
      </c>
      <c r="F664" s="405" t="str">
        <f>IFERROR(VLOOKUP(A664,[3]DOORSCRIEFT!$A$2:$G$8551,6,FALSE),"")</f>
        <v/>
      </c>
      <c r="G664" s="349"/>
    </row>
    <row r="665" spans="1:7" x14ac:dyDescent="0.25">
      <c r="A665" s="360" t="str">
        <f t="shared" si="12"/>
        <v>I.2.2.02.001443</v>
      </c>
      <c r="B665" s="319">
        <v>443</v>
      </c>
      <c r="C665" s="394" t="str">
        <f>IFERROR(VLOOKUP(A665,[3]DOORSCRIEFT!$A$2:$G$8551,2,FALSE),"")</f>
        <v/>
      </c>
      <c r="D665" s="393" t="str">
        <f>IFERROR(VLOOKUP(A665,[3]DOORSCRIEFT!$A$2:$G$8551,3,FALSE),"")</f>
        <v/>
      </c>
      <c r="E665" s="466" t="str">
        <f>IFERROR(VLOOKUP(A665,[3]DOORSCRIEFT!$A$2:$G$8551,4,FALSE),"")</f>
        <v/>
      </c>
      <c r="F665" s="405" t="str">
        <f>IFERROR(VLOOKUP(A665,[3]DOORSCRIEFT!$A$2:$G$8551,6,FALSE),"")</f>
        <v/>
      </c>
      <c r="G665" s="349"/>
    </row>
    <row r="666" spans="1:7" x14ac:dyDescent="0.25">
      <c r="A666" s="360" t="str">
        <f t="shared" si="12"/>
        <v>I.2.2.02.001444</v>
      </c>
      <c r="B666" s="319">
        <v>444</v>
      </c>
      <c r="C666" s="394" t="str">
        <f>IFERROR(VLOOKUP(A666,[3]DOORSCRIEFT!$A$2:$G$8551,2,FALSE),"")</f>
        <v/>
      </c>
      <c r="D666" s="393" t="str">
        <f>IFERROR(VLOOKUP(A666,[3]DOORSCRIEFT!$A$2:$G$8551,3,FALSE),"")</f>
        <v/>
      </c>
      <c r="E666" s="466" t="str">
        <f>IFERROR(VLOOKUP(A666,[3]DOORSCRIEFT!$A$2:$G$8551,4,FALSE),"")</f>
        <v/>
      </c>
      <c r="F666" s="405" t="str">
        <f>IFERROR(VLOOKUP(A666,[3]DOORSCRIEFT!$A$2:$G$8551,6,FALSE),"")</f>
        <v/>
      </c>
      <c r="G666" s="349"/>
    </row>
    <row r="667" spans="1:7" x14ac:dyDescent="0.25">
      <c r="A667" s="360" t="str">
        <f t="shared" si="12"/>
        <v>I.2.2.02.001445</v>
      </c>
      <c r="B667" s="319">
        <v>445</v>
      </c>
      <c r="C667" s="394" t="str">
        <f>IFERROR(VLOOKUP(A667,[3]DOORSCRIEFT!$A$2:$G$8551,2,FALSE),"")</f>
        <v/>
      </c>
      <c r="D667" s="393" t="str">
        <f>IFERROR(VLOOKUP(A667,[3]DOORSCRIEFT!$A$2:$G$8551,3,FALSE),"")</f>
        <v/>
      </c>
      <c r="E667" s="466" t="str">
        <f>IFERROR(VLOOKUP(A667,[3]DOORSCRIEFT!$A$2:$G$8551,4,FALSE),"")</f>
        <v/>
      </c>
      <c r="F667" s="405" t="str">
        <f>IFERROR(VLOOKUP(A667,[3]DOORSCRIEFT!$A$2:$G$8551,6,FALSE),"")</f>
        <v/>
      </c>
      <c r="G667" s="349"/>
    </row>
    <row r="668" spans="1:7" x14ac:dyDescent="0.25">
      <c r="A668" s="360" t="str">
        <f t="shared" si="12"/>
        <v>I.2.2.02.001446</v>
      </c>
      <c r="B668" s="319">
        <v>446</v>
      </c>
      <c r="C668" s="394" t="str">
        <f>IFERROR(VLOOKUP(A668,[3]DOORSCRIEFT!$A$2:$G$8551,2,FALSE),"")</f>
        <v/>
      </c>
      <c r="D668" s="393" t="str">
        <f>IFERROR(VLOOKUP(A668,[3]DOORSCRIEFT!$A$2:$G$8551,3,FALSE),"")</f>
        <v/>
      </c>
      <c r="E668" s="466" t="str">
        <f>IFERROR(VLOOKUP(A668,[3]DOORSCRIEFT!$A$2:$G$8551,4,FALSE),"")</f>
        <v/>
      </c>
      <c r="F668" s="405" t="str">
        <f>IFERROR(VLOOKUP(A668,[3]DOORSCRIEFT!$A$2:$G$8551,6,FALSE),"")</f>
        <v/>
      </c>
      <c r="G668" s="349"/>
    </row>
    <row r="669" spans="1:7" x14ac:dyDescent="0.25">
      <c r="A669" s="360" t="str">
        <f t="shared" si="12"/>
        <v>I.2.2.02.001447</v>
      </c>
      <c r="B669" s="319">
        <v>447</v>
      </c>
      <c r="C669" s="394" t="str">
        <f>IFERROR(VLOOKUP(A669,[3]DOORSCRIEFT!$A$2:$G$8551,2,FALSE),"")</f>
        <v/>
      </c>
      <c r="D669" s="393" t="str">
        <f>IFERROR(VLOOKUP(A669,[3]DOORSCRIEFT!$A$2:$G$8551,3,FALSE),"")</f>
        <v/>
      </c>
      <c r="E669" s="466" t="str">
        <f>IFERROR(VLOOKUP(A669,[3]DOORSCRIEFT!$A$2:$G$8551,4,FALSE),"")</f>
        <v/>
      </c>
      <c r="F669" s="405" t="str">
        <f>IFERROR(VLOOKUP(A669,[3]DOORSCRIEFT!$A$2:$G$8551,6,FALSE),"")</f>
        <v/>
      </c>
      <c r="G669" s="349"/>
    </row>
    <row r="670" spans="1:7" x14ac:dyDescent="0.25">
      <c r="A670" s="360" t="str">
        <f t="shared" si="12"/>
        <v>I.2.2.02.001448</v>
      </c>
      <c r="B670" s="319">
        <v>448</v>
      </c>
      <c r="C670" s="394" t="str">
        <f>IFERROR(VLOOKUP(A670,[3]DOORSCRIEFT!$A$2:$G$8551,2,FALSE),"")</f>
        <v/>
      </c>
      <c r="D670" s="393" t="str">
        <f>IFERROR(VLOOKUP(A670,[3]DOORSCRIEFT!$A$2:$G$8551,3,FALSE),"")</f>
        <v/>
      </c>
      <c r="E670" s="466" t="str">
        <f>IFERROR(VLOOKUP(A670,[3]DOORSCRIEFT!$A$2:$G$8551,4,FALSE),"")</f>
        <v/>
      </c>
      <c r="F670" s="405" t="str">
        <f>IFERROR(VLOOKUP(A670,[3]DOORSCRIEFT!$A$2:$G$8551,6,FALSE),"")</f>
        <v/>
      </c>
      <c r="G670" s="349"/>
    </row>
    <row r="671" spans="1:7" x14ac:dyDescent="0.25">
      <c r="A671" s="360" t="str">
        <f t="shared" ref="A671:A734" si="13">$G$216&amp;B671</f>
        <v>I.2.2.02.001449</v>
      </c>
      <c r="B671" s="319">
        <v>449</v>
      </c>
      <c r="C671" s="394" t="str">
        <f>IFERROR(VLOOKUP(A671,[3]DOORSCRIEFT!$A$2:$G$8551,2,FALSE),"")</f>
        <v/>
      </c>
      <c r="D671" s="393" t="str">
        <f>IFERROR(VLOOKUP(A671,[3]DOORSCRIEFT!$A$2:$G$8551,3,FALSE),"")</f>
        <v/>
      </c>
      <c r="E671" s="466" t="str">
        <f>IFERROR(VLOOKUP(A671,[3]DOORSCRIEFT!$A$2:$G$8551,4,FALSE),"")</f>
        <v/>
      </c>
      <c r="F671" s="405" t="str">
        <f>IFERROR(VLOOKUP(A671,[3]DOORSCRIEFT!$A$2:$G$8551,6,FALSE),"")</f>
        <v/>
      </c>
      <c r="G671" s="349"/>
    </row>
    <row r="672" spans="1:7" x14ac:dyDescent="0.25">
      <c r="A672" s="360" t="str">
        <f t="shared" si="13"/>
        <v>I.2.2.02.001450</v>
      </c>
      <c r="B672" s="319">
        <v>450</v>
      </c>
      <c r="C672" s="394" t="str">
        <f>IFERROR(VLOOKUP(A672,[3]DOORSCRIEFT!$A$2:$G$8551,2,FALSE),"")</f>
        <v/>
      </c>
      <c r="D672" s="393" t="str">
        <f>IFERROR(VLOOKUP(A672,[3]DOORSCRIEFT!$A$2:$G$8551,3,FALSE),"")</f>
        <v/>
      </c>
      <c r="E672" s="466" t="str">
        <f>IFERROR(VLOOKUP(A672,[3]DOORSCRIEFT!$A$2:$G$8551,4,FALSE),"")</f>
        <v/>
      </c>
      <c r="F672" s="405" t="str">
        <f>IFERROR(VLOOKUP(A672,[3]DOORSCRIEFT!$A$2:$G$8551,6,FALSE),"")</f>
        <v/>
      </c>
      <c r="G672" s="349"/>
    </row>
    <row r="673" spans="1:7" x14ac:dyDescent="0.25">
      <c r="A673" s="360" t="str">
        <f t="shared" si="13"/>
        <v>I.2.2.02.001451</v>
      </c>
      <c r="B673" s="319">
        <v>451</v>
      </c>
      <c r="C673" s="394" t="str">
        <f>IFERROR(VLOOKUP(A673,[3]DOORSCRIEFT!$A$2:$G$8551,2,FALSE),"")</f>
        <v/>
      </c>
      <c r="D673" s="393" t="str">
        <f>IFERROR(VLOOKUP(A673,[3]DOORSCRIEFT!$A$2:$G$8551,3,FALSE),"")</f>
        <v/>
      </c>
      <c r="E673" s="466" t="str">
        <f>IFERROR(VLOOKUP(A673,[3]DOORSCRIEFT!$A$2:$G$8551,4,FALSE),"")</f>
        <v/>
      </c>
      <c r="F673" s="405" t="str">
        <f>IFERROR(VLOOKUP(A673,[3]DOORSCRIEFT!$A$2:$G$8551,6,FALSE),"")</f>
        <v/>
      </c>
      <c r="G673" s="349"/>
    </row>
    <row r="674" spans="1:7" x14ac:dyDescent="0.25">
      <c r="A674" s="360" t="str">
        <f t="shared" si="13"/>
        <v>I.2.2.02.001452</v>
      </c>
      <c r="B674" s="319">
        <v>452</v>
      </c>
      <c r="C674" s="394" t="str">
        <f>IFERROR(VLOOKUP(A674,[3]DOORSCRIEFT!$A$2:$G$8551,2,FALSE),"")</f>
        <v/>
      </c>
      <c r="D674" s="393" t="str">
        <f>IFERROR(VLOOKUP(A674,[3]DOORSCRIEFT!$A$2:$G$8551,3,FALSE),"")</f>
        <v/>
      </c>
      <c r="E674" s="466" t="str">
        <f>IFERROR(VLOOKUP(A674,[3]DOORSCRIEFT!$A$2:$G$8551,4,FALSE),"")</f>
        <v/>
      </c>
      <c r="F674" s="405" t="str">
        <f>IFERROR(VLOOKUP(A674,[3]DOORSCRIEFT!$A$2:$G$8551,6,FALSE),"")</f>
        <v/>
      </c>
      <c r="G674" s="349"/>
    </row>
    <row r="675" spans="1:7" x14ac:dyDescent="0.25">
      <c r="A675" s="360" t="str">
        <f t="shared" si="13"/>
        <v>I.2.2.02.001453</v>
      </c>
      <c r="B675" s="319">
        <v>453</v>
      </c>
      <c r="C675" s="394" t="str">
        <f>IFERROR(VLOOKUP(A675,[3]DOORSCRIEFT!$A$2:$G$8551,2,FALSE),"")</f>
        <v/>
      </c>
      <c r="D675" s="393" t="str">
        <f>IFERROR(VLOOKUP(A675,[3]DOORSCRIEFT!$A$2:$G$8551,3,FALSE),"")</f>
        <v/>
      </c>
      <c r="E675" s="466" t="str">
        <f>IFERROR(VLOOKUP(A675,[3]DOORSCRIEFT!$A$2:$G$8551,4,FALSE),"")</f>
        <v/>
      </c>
      <c r="F675" s="405" t="str">
        <f>IFERROR(VLOOKUP(A675,[3]DOORSCRIEFT!$A$2:$G$8551,6,FALSE),"")</f>
        <v/>
      </c>
      <c r="G675" s="349"/>
    </row>
    <row r="676" spans="1:7" x14ac:dyDescent="0.25">
      <c r="A676" s="360" t="str">
        <f t="shared" si="13"/>
        <v>I.2.2.02.001454</v>
      </c>
      <c r="B676" s="319">
        <v>454</v>
      </c>
      <c r="C676" s="394" t="str">
        <f>IFERROR(VLOOKUP(A676,[3]DOORSCRIEFT!$A$2:$G$8551,2,FALSE),"")</f>
        <v/>
      </c>
      <c r="D676" s="393" t="str">
        <f>IFERROR(VLOOKUP(A676,[3]DOORSCRIEFT!$A$2:$G$8551,3,FALSE),"")</f>
        <v/>
      </c>
      <c r="E676" s="466" t="str">
        <f>IFERROR(VLOOKUP(A676,[3]DOORSCRIEFT!$A$2:$G$8551,4,FALSE),"")</f>
        <v/>
      </c>
      <c r="F676" s="405" t="str">
        <f>IFERROR(VLOOKUP(A676,[3]DOORSCRIEFT!$A$2:$G$8551,6,FALSE),"")</f>
        <v/>
      </c>
      <c r="G676" s="349"/>
    </row>
    <row r="677" spans="1:7" x14ac:dyDescent="0.25">
      <c r="A677" s="360" t="str">
        <f t="shared" si="13"/>
        <v>I.2.2.02.001455</v>
      </c>
      <c r="B677" s="319">
        <v>455</v>
      </c>
      <c r="C677" s="394" t="str">
        <f>IFERROR(VLOOKUP(A677,[3]DOORSCRIEFT!$A$2:$G$8551,2,FALSE),"")</f>
        <v/>
      </c>
      <c r="D677" s="393" t="str">
        <f>IFERROR(VLOOKUP(A677,[3]DOORSCRIEFT!$A$2:$G$8551,3,FALSE),"")</f>
        <v/>
      </c>
      <c r="E677" s="466" t="str">
        <f>IFERROR(VLOOKUP(A677,[3]DOORSCRIEFT!$A$2:$G$8551,4,FALSE),"")</f>
        <v/>
      </c>
      <c r="F677" s="405" t="str">
        <f>IFERROR(VLOOKUP(A677,[3]DOORSCRIEFT!$A$2:$G$8551,6,FALSE),"")</f>
        <v/>
      </c>
      <c r="G677" s="349"/>
    </row>
    <row r="678" spans="1:7" x14ac:dyDescent="0.25">
      <c r="A678" s="360" t="str">
        <f t="shared" si="13"/>
        <v>I.2.2.02.001456</v>
      </c>
      <c r="B678" s="319">
        <v>456</v>
      </c>
      <c r="C678" s="394" t="str">
        <f>IFERROR(VLOOKUP(A678,[3]DOORSCRIEFT!$A$2:$G$8551,2,FALSE),"")</f>
        <v/>
      </c>
      <c r="D678" s="393" t="str">
        <f>IFERROR(VLOOKUP(A678,[3]DOORSCRIEFT!$A$2:$G$8551,3,FALSE),"")</f>
        <v/>
      </c>
      <c r="E678" s="466" t="str">
        <f>IFERROR(VLOOKUP(A678,[3]DOORSCRIEFT!$A$2:$G$8551,4,FALSE),"")</f>
        <v/>
      </c>
      <c r="F678" s="405" t="str">
        <f>IFERROR(VLOOKUP(A678,[3]DOORSCRIEFT!$A$2:$G$8551,6,FALSE),"")</f>
        <v/>
      </c>
      <c r="G678" s="349"/>
    </row>
    <row r="679" spans="1:7" x14ac:dyDescent="0.25">
      <c r="A679" s="360" t="str">
        <f t="shared" si="13"/>
        <v>I.2.2.02.001457</v>
      </c>
      <c r="B679" s="319">
        <v>457</v>
      </c>
      <c r="C679" s="394" t="str">
        <f>IFERROR(VLOOKUP(A679,[3]DOORSCRIEFT!$A$2:$G$8551,2,FALSE),"")</f>
        <v/>
      </c>
      <c r="D679" s="393" t="str">
        <f>IFERROR(VLOOKUP(A679,[3]DOORSCRIEFT!$A$2:$G$8551,3,FALSE),"")</f>
        <v/>
      </c>
      <c r="E679" s="466" t="str">
        <f>IFERROR(VLOOKUP(A679,[3]DOORSCRIEFT!$A$2:$G$8551,4,FALSE),"")</f>
        <v/>
      </c>
      <c r="F679" s="405" t="str">
        <f>IFERROR(VLOOKUP(A679,[3]DOORSCRIEFT!$A$2:$G$8551,6,FALSE),"")</f>
        <v/>
      </c>
      <c r="G679" s="349"/>
    </row>
    <row r="680" spans="1:7" x14ac:dyDescent="0.25">
      <c r="A680" s="360" t="str">
        <f t="shared" si="13"/>
        <v>I.2.2.02.001458</v>
      </c>
      <c r="B680" s="319">
        <v>458</v>
      </c>
      <c r="C680" s="394" t="str">
        <f>IFERROR(VLOOKUP(A680,[3]DOORSCRIEFT!$A$2:$G$8551,2,FALSE),"")</f>
        <v/>
      </c>
      <c r="D680" s="393" t="str">
        <f>IFERROR(VLOOKUP(A680,[3]DOORSCRIEFT!$A$2:$G$8551,3,FALSE),"")</f>
        <v/>
      </c>
      <c r="E680" s="466" t="str">
        <f>IFERROR(VLOOKUP(A680,[3]DOORSCRIEFT!$A$2:$G$8551,4,FALSE),"")</f>
        <v/>
      </c>
      <c r="F680" s="405" t="str">
        <f>IFERROR(VLOOKUP(A680,[3]DOORSCRIEFT!$A$2:$G$8551,6,FALSE),"")</f>
        <v/>
      </c>
      <c r="G680" s="349"/>
    </row>
    <row r="681" spans="1:7" x14ac:dyDescent="0.25">
      <c r="A681" s="360" t="str">
        <f t="shared" si="13"/>
        <v>I.2.2.02.001459</v>
      </c>
      <c r="B681" s="319">
        <v>459</v>
      </c>
      <c r="C681" s="394" t="str">
        <f>IFERROR(VLOOKUP(A681,[3]DOORSCRIEFT!$A$2:$G$8551,2,FALSE),"")</f>
        <v/>
      </c>
      <c r="D681" s="393" t="str">
        <f>IFERROR(VLOOKUP(A681,[3]DOORSCRIEFT!$A$2:$G$8551,3,FALSE),"")</f>
        <v/>
      </c>
      <c r="E681" s="466" t="str">
        <f>IFERROR(VLOOKUP(A681,[3]DOORSCRIEFT!$A$2:$G$8551,4,FALSE),"")</f>
        <v/>
      </c>
      <c r="F681" s="405" t="str">
        <f>IFERROR(VLOOKUP(A681,[3]DOORSCRIEFT!$A$2:$G$8551,6,FALSE),"")</f>
        <v/>
      </c>
      <c r="G681" s="349"/>
    </row>
    <row r="682" spans="1:7" x14ac:dyDescent="0.25">
      <c r="A682" s="360" t="str">
        <f t="shared" si="13"/>
        <v>I.2.2.02.001460</v>
      </c>
      <c r="B682" s="319">
        <v>460</v>
      </c>
      <c r="C682" s="394" t="str">
        <f>IFERROR(VLOOKUP(A682,[3]DOORSCRIEFT!$A$2:$G$8551,2,FALSE),"")</f>
        <v/>
      </c>
      <c r="D682" s="393" t="str">
        <f>IFERROR(VLOOKUP(A682,[3]DOORSCRIEFT!$A$2:$G$8551,3,FALSE),"")</f>
        <v/>
      </c>
      <c r="E682" s="466" t="str">
        <f>IFERROR(VLOOKUP(A682,[3]DOORSCRIEFT!$A$2:$G$8551,4,FALSE),"")</f>
        <v/>
      </c>
      <c r="F682" s="405" t="str">
        <f>IFERROR(VLOOKUP(A682,[3]DOORSCRIEFT!$A$2:$G$8551,6,FALSE),"")</f>
        <v/>
      </c>
      <c r="G682" s="349"/>
    </row>
    <row r="683" spans="1:7" x14ac:dyDescent="0.25">
      <c r="A683" s="360" t="str">
        <f t="shared" si="13"/>
        <v>I.2.2.02.001461</v>
      </c>
      <c r="B683" s="319">
        <v>461</v>
      </c>
      <c r="C683" s="394" t="str">
        <f>IFERROR(VLOOKUP(A683,[3]DOORSCRIEFT!$A$2:$G$8551,2,FALSE),"")</f>
        <v/>
      </c>
      <c r="D683" s="393" t="str">
        <f>IFERROR(VLOOKUP(A683,[3]DOORSCRIEFT!$A$2:$G$8551,3,FALSE),"")</f>
        <v/>
      </c>
      <c r="E683" s="466" t="str">
        <f>IFERROR(VLOOKUP(A683,[3]DOORSCRIEFT!$A$2:$G$8551,4,FALSE),"")</f>
        <v/>
      </c>
      <c r="F683" s="405" t="str">
        <f>IFERROR(VLOOKUP(A683,[3]DOORSCRIEFT!$A$2:$G$8551,6,FALSE),"")</f>
        <v/>
      </c>
      <c r="G683" s="349"/>
    </row>
    <row r="684" spans="1:7" x14ac:dyDescent="0.25">
      <c r="A684" s="360" t="str">
        <f t="shared" si="13"/>
        <v>I.2.2.02.001462</v>
      </c>
      <c r="B684" s="319">
        <v>462</v>
      </c>
      <c r="C684" s="394" t="str">
        <f>IFERROR(VLOOKUP(A684,[3]DOORSCRIEFT!$A$2:$G$8551,2,FALSE),"")</f>
        <v/>
      </c>
      <c r="D684" s="393" t="str">
        <f>IFERROR(VLOOKUP(A684,[3]DOORSCRIEFT!$A$2:$G$8551,3,FALSE),"")</f>
        <v/>
      </c>
      <c r="E684" s="466" t="str">
        <f>IFERROR(VLOOKUP(A684,[3]DOORSCRIEFT!$A$2:$G$8551,4,FALSE),"")</f>
        <v/>
      </c>
      <c r="F684" s="405" t="str">
        <f>IFERROR(VLOOKUP(A684,[3]DOORSCRIEFT!$A$2:$G$8551,6,FALSE),"")</f>
        <v/>
      </c>
      <c r="G684" s="349"/>
    </row>
    <row r="685" spans="1:7" x14ac:dyDescent="0.25">
      <c r="A685" s="360" t="str">
        <f t="shared" si="13"/>
        <v>I.2.2.02.001463</v>
      </c>
      <c r="B685" s="319">
        <v>463</v>
      </c>
      <c r="C685" s="394" t="str">
        <f>IFERROR(VLOOKUP(A685,[3]DOORSCRIEFT!$A$2:$G$8551,2,FALSE),"")</f>
        <v/>
      </c>
      <c r="D685" s="393" t="str">
        <f>IFERROR(VLOOKUP(A685,[3]DOORSCRIEFT!$A$2:$G$8551,3,FALSE),"")</f>
        <v/>
      </c>
      <c r="E685" s="466" t="str">
        <f>IFERROR(VLOOKUP(A685,[3]DOORSCRIEFT!$A$2:$G$8551,4,FALSE),"")</f>
        <v/>
      </c>
      <c r="F685" s="405" t="str">
        <f>IFERROR(VLOOKUP(A685,[3]DOORSCRIEFT!$A$2:$G$8551,6,FALSE),"")</f>
        <v/>
      </c>
      <c r="G685" s="349"/>
    </row>
    <row r="686" spans="1:7" x14ac:dyDescent="0.25">
      <c r="A686" s="360" t="str">
        <f t="shared" si="13"/>
        <v>I.2.2.02.001464</v>
      </c>
      <c r="B686" s="319">
        <v>464</v>
      </c>
      <c r="C686" s="394" t="str">
        <f>IFERROR(VLOOKUP(A686,[3]DOORSCRIEFT!$A$2:$G$8551,2,FALSE),"")</f>
        <v/>
      </c>
      <c r="D686" s="393" t="str">
        <f>IFERROR(VLOOKUP(A686,[3]DOORSCRIEFT!$A$2:$G$8551,3,FALSE),"")</f>
        <v/>
      </c>
      <c r="E686" s="466" t="str">
        <f>IFERROR(VLOOKUP(A686,[3]DOORSCRIEFT!$A$2:$G$8551,4,FALSE),"")</f>
        <v/>
      </c>
      <c r="F686" s="405" t="str">
        <f>IFERROR(VLOOKUP(A686,[3]DOORSCRIEFT!$A$2:$G$8551,6,FALSE),"")</f>
        <v/>
      </c>
      <c r="G686" s="349"/>
    </row>
    <row r="687" spans="1:7" x14ac:dyDescent="0.25">
      <c r="A687" s="360" t="str">
        <f t="shared" si="13"/>
        <v>I.2.2.02.001465</v>
      </c>
      <c r="B687" s="319">
        <v>465</v>
      </c>
      <c r="C687" s="394" t="str">
        <f>IFERROR(VLOOKUP(A687,[3]DOORSCRIEFT!$A$2:$G$8551,2,FALSE),"")</f>
        <v/>
      </c>
      <c r="D687" s="393" t="str">
        <f>IFERROR(VLOOKUP(A687,[3]DOORSCRIEFT!$A$2:$G$8551,3,FALSE),"")</f>
        <v/>
      </c>
      <c r="E687" s="466" t="str">
        <f>IFERROR(VLOOKUP(A687,[3]DOORSCRIEFT!$A$2:$G$8551,4,FALSE),"")</f>
        <v/>
      </c>
      <c r="F687" s="405" t="str">
        <f>IFERROR(VLOOKUP(A687,[3]DOORSCRIEFT!$A$2:$G$8551,6,FALSE),"")</f>
        <v/>
      </c>
      <c r="G687" s="349"/>
    </row>
    <row r="688" spans="1:7" x14ac:dyDescent="0.25">
      <c r="A688" s="360" t="str">
        <f t="shared" si="13"/>
        <v>I.2.2.02.001466</v>
      </c>
      <c r="B688" s="319">
        <v>466</v>
      </c>
      <c r="C688" s="394" t="str">
        <f>IFERROR(VLOOKUP(A688,[3]DOORSCRIEFT!$A$2:$G$8551,2,FALSE),"")</f>
        <v/>
      </c>
      <c r="D688" s="393" t="str">
        <f>IFERROR(VLOOKUP(A688,[3]DOORSCRIEFT!$A$2:$G$8551,3,FALSE),"")</f>
        <v/>
      </c>
      <c r="E688" s="466" t="str">
        <f>IFERROR(VLOOKUP(A688,[3]DOORSCRIEFT!$A$2:$G$8551,4,FALSE),"")</f>
        <v/>
      </c>
      <c r="F688" s="405" t="str">
        <f>IFERROR(VLOOKUP(A688,[3]DOORSCRIEFT!$A$2:$G$8551,6,FALSE),"")</f>
        <v/>
      </c>
      <c r="G688" s="349"/>
    </row>
    <row r="689" spans="1:7" x14ac:dyDescent="0.25">
      <c r="A689" s="360" t="str">
        <f t="shared" si="13"/>
        <v>I.2.2.02.001467</v>
      </c>
      <c r="B689" s="319">
        <v>467</v>
      </c>
      <c r="C689" s="394" t="str">
        <f>IFERROR(VLOOKUP(A689,[3]DOORSCRIEFT!$A$2:$G$8551,2,FALSE),"")</f>
        <v/>
      </c>
      <c r="D689" s="393" t="str">
        <f>IFERROR(VLOOKUP(A689,[3]DOORSCRIEFT!$A$2:$G$8551,3,FALSE),"")</f>
        <v/>
      </c>
      <c r="E689" s="466" t="str">
        <f>IFERROR(VLOOKUP(A689,[3]DOORSCRIEFT!$A$2:$G$8551,4,FALSE),"")</f>
        <v/>
      </c>
      <c r="F689" s="405" t="str">
        <f>IFERROR(VLOOKUP(A689,[3]DOORSCRIEFT!$A$2:$G$8551,6,FALSE),"")</f>
        <v/>
      </c>
      <c r="G689" s="349"/>
    </row>
    <row r="690" spans="1:7" x14ac:dyDescent="0.25">
      <c r="A690" s="360" t="str">
        <f t="shared" si="13"/>
        <v>I.2.2.02.001468</v>
      </c>
      <c r="B690" s="319">
        <v>468</v>
      </c>
      <c r="C690" s="394" t="str">
        <f>IFERROR(VLOOKUP(A690,[3]DOORSCRIEFT!$A$2:$G$8551,2,FALSE),"")</f>
        <v/>
      </c>
      <c r="D690" s="393" t="str">
        <f>IFERROR(VLOOKUP(A690,[3]DOORSCRIEFT!$A$2:$G$8551,3,FALSE),"")</f>
        <v/>
      </c>
      <c r="E690" s="466" t="str">
        <f>IFERROR(VLOOKUP(A690,[3]DOORSCRIEFT!$A$2:$G$8551,4,FALSE),"")</f>
        <v/>
      </c>
      <c r="F690" s="405" t="str">
        <f>IFERROR(VLOOKUP(A690,[3]DOORSCRIEFT!$A$2:$G$8551,6,FALSE),"")</f>
        <v/>
      </c>
      <c r="G690" s="349"/>
    </row>
    <row r="691" spans="1:7" x14ac:dyDescent="0.25">
      <c r="A691" s="360" t="str">
        <f t="shared" si="13"/>
        <v>I.2.2.02.001469</v>
      </c>
      <c r="B691" s="319">
        <v>469</v>
      </c>
      <c r="C691" s="394" t="str">
        <f>IFERROR(VLOOKUP(A691,[3]DOORSCRIEFT!$A$2:$G$8551,2,FALSE),"")</f>
        <v/>
      </c>
      <c r="D691" s="393" t="str">
        <f>IFERROR(VLOOKUP(A691,[3]DOORSCRIEFT!$A$2:$G$8551,3,FALSE),"")</f>
        <v/>
      </c>
      <c r="E691" s="466" t="str">
        <f>IFERROR(VLOOKUP(A691,[3]DOORSCRIEFT!$A$2:$G$8551,4,FALSE),"")</f>
        <v/>
      </c>
      <c r="F691" s="405" t="str">
        <f>IFERROR(VLOOKUP(A691,[3]DOORSCRIEFT!$A$2:$G$8551,6,FALSE),"")</f>
        <v/>
      </c>
      <c r="G691" s="349"/>
    </row>
    <row r="692" spans="1:7" x14ac:dyDescent="0.25">
      <c r="A692" s="360" t="str">
        <f t="shared" si="13"/>
        <v>I.2.2.02.001470</v>
      </c>
      <c r="B692" s="319">
        <v>470</v>
      </c>
      <c r="C692" s="394" t="str">
        <f>IFERROR(VLOOKUP(A692,[3]DOORSCRIEFT!$A$2:$G$8551,2,FALSE),"")</f>
        <v/>
      </c>
      <c r="D692" s="393" t="str">
        <f>IFERROR(VLOOKUP(A692,[3]DOORSCRIEFT!$A$2:$G$8551,3,FALSE),"")</f>
        <v/>
      </c>
      <c r="E692" s="466" t="str">
        <f>IFERROR(VLOOKUP(A692,[3]DOORSCRIEFT!$A$2:$G$8551,4,FALSE),"")</f>
        <v/>
      </c>
      <c r="F692" s="405" t="str">
        <f>IFERROR(VLOOKUP(A692,[3]DOORSCRIEFT!$A$2:$G$8551,6,FALSE),"")</f>
        <v/>
      </c>
      <c r="G692" s="349"/>
    </row>
    <row r="693" spans="1:7" x14ac:dyDescent="0.25">
      <c r="A693" s="360" t="str">
        <f t="shared" si="13"/>
        <v>I.2.2.02.001471</v>
      </c>
      <c r="B693" s="319">
        <v>471</v>
      </c>
      <c r="C693" s="394" t="str">
        <f>IFERROR(VLOOKUP(A693,[3]DOORSCRIEFT!$A$2:$G$8551,2,FALSE),"")</f>
        <v/>
      </c>
      <c r="D693" s="393" t="str">
        <f>IFERROR(VLOOKUP(A693,[3]DOORSCRIEFT!$A$2:$G$8551,3,FALSE),"")</f>
        <v/>
      </c>
      <c r="E693" s="466" t="str">
        <f>IFERROR(VLOOKUP(A693,[3]DOORSCRIEFT!$A$2:$G$8551,4,FALSE),"")</f>
        <v/>
      </c>
      <c r="F693" s="405" t="str">
        <f>IFERROR(VLOOKUP(A693,[3]DOORSCRIEFT!$A$2:$G$8551,6,FALSE),"")</f>
        <v/>
      </c>
      <c r="G693" s="349"/>
    </row>
    <row r="694" spans="1:7" x14ac:dyDescent="0.25">
      <c r="A694" s="360" t="str">
        <f t="shared" si="13"/>
        <v>I.2.2.02.001472</v>
      </c>
      <c r="B694" s="319">
        <v>472</v>
      </c>
      <c r="C694" s="394" t="str">
        <f>IFERROR(VLOOKUP(A694,[3]DOORSCRIEFT!$A$2:$G$8551,2,FALSE),"")</f>
        <v/>
      </c>
      <c r="D694" s="393" t="str">
        <f>IFERROR(VLOOKUP(A694,[3]DOORSCRIEFT!$A$2:$G$8551,3,FALSE),"")</f>
        <v/>
      </c>
      <c r="E694" s="466" t="str">
        <f>IFERROR(VLOOKUP(A694,[3]DOORSCRIEFT!$A$2:$G$8551,4,FALSE),"")</f>
        <v/>
      </c>
      <c r="F694" s="405" t="str">
        <f>IFERROR(VLOOKUP(A694,[3]DOORSCRIEFT!$A$2:$G$8551,6,FALSE),"")</f>
        <v/>
      </c>
      <c r="G694" s="349"/>
    </row>
    <row r="695" spans="1:7" x14ac:dyDescent="0.25">
      <c r="A695" s="360" t="str">
        <f t="shared" si="13"/>
        <v>I.2.2.02.001473</v>
      </c>
      <c r="B695" s="319">
        <v>473</v>
      </c>
      <c r="C695" s="394" t="str">
        <f>IFERROR(VLOOKUP(A695,[3]DOORSCRIEFT!$A$2:$G$8551,2,FALSE),"")</f>
        <v/>
      </c>
      <c r="D695" s="393" t="str">
        <f>IFERROR(VLOOKUP(A695,[3]DOORSCRIEFT!$A$2:$G$8551,3,FALSE),"")</f>
        <v/>
      </c>
      <c r="E695" s="466" t="str">
        <f>IFERROR(VLOOKUP(A695,[3]DOORSCRIEFT!$A$2:$G$8551,4,FALSE),"")</f>
        <v/>
      </c>
      <c r="F695" s="405" t="str">
        <f>IFERROR(VLOOKUP(A695,[3]DOORSCRIEFT!$A$2:$G$8551,6,FALSE),"")</f>
        <v/>
      </c>
      <c r="G695" s="349"/>
    </row>
    <row r="696" spans="1:7" x14ac:dyDescent="0.25">
      <c r="A696" s="360" t="str">
        <f t="shared" si="13"/>
        <v>I.2.2.02.001474</v>
      </c>
      <c r="B696" s="319">
        <v>474</v>
      </c>
      <c r="C696" s="394" t="str">
        <f>IFERROR(VLOOKUP(A696,[3]DOORSCRIEFT!$A$2:$G$8551,2,FALSE),"")</f>
        <v/>
      </c>
      <c r="D696" s="393" t="str">
        <f>IFERROR(VLOOKUP(A696,[3]DOORSCRIEFT!$A$2:$G$8551,3,FALSE),"")</f>
        <v/>
      </c>
      <c r="E696" s="466" t="str">
        <f>IFERROR(VLOOKUP(A696,[3]DOORSCRIEFT!$A$2:$G$8551,4,FALSE),"")</f>
        <v/>
      </c>
      <c r="F696" s="405" t="str">
        <f>IFERROR(VLOOKUP(A696,[3]DOORSCRIEFT!$A$2:$G$8551,6,FALSE),"")</f>
        <v/>
      </c>
      <c r="G696" s="349"/>
    </row>
    <row r="697" spans="1:7" x14ac:dyDescent="0.25">
      <c r="A697" s="360" t="str">
        <f t="shared" si="13"/>
        <v>I.2.2.02.001475</v>
      </c>
      <c r="B697" s="319">
        <v>475</v>
      </c>
      <c r="C697" s="394" t="str">
        <f>IFERROR(VLOOKUP(A697,[3]DOORSCRIEFT!$A$2:$G$8551,2,FALSE),"")</f>
        <v/>
      </c>
      <c r="D697" s="393" t="str">
        <f>IFERROR(VLOOKUP(A697,[3]DOORSCRIEFT!$A$2:$G$8551,3,FALSE),"")</f>
        <v/>
      </c>
      <c r="E697" s="466" t="str">
        <f>IFERROR(VLOOKUP(A697,[3]DOORSCRIEFT!$A$2:$G$8551,4,FALSE),"")</f>
        <v/>
      </c>
      <c r="F697" s="405" t="str">
        <f>IFERROR(VLOOKUP(A697,[3]DOORSCRIEFT!$A$2:$G$8551,6,FALSE),"")</f>
        <v/>
      </c>
      <c r="G697" s="349"/>
    </row>
    <row r="698" spans="1:7" x14ac:dyDescent="0.25">
      <c r="A698" s="360" t="str">
        <f t="shared" si="13"/>
        <v>I.2.2.02.001476</v>
      </c>
      <c r="B698" s="319">
        <v>476</v>
      </c>
      <c r="C698" s="394" t="str">
        <f>IFERROR(VLOOKUP(A698,[3]DOORSCRIEFT!$A$2:$G$8551,2,FALSE),"")</f>
        <v/>
      </c>
      <c r="D698" s="393" t="str">
        <f>IFERROR(VLOOKUP(A698,[3]DOORSCRIEFT!$A$2:$G$8551,3,FALSE),"")</f>
        <v/>
      </c>
      <c r="E698" s="466" t="str">
        <f>IFERROR(VLOOKUP(A698,[3]DOORSCRIEFT!$A$2:$G$8551,4,FALSE),"")</f>
        <v/>
      </c>
      <c r="F698" s="405" t="str">
        <f>IFERROR(VLOOKUP(A698,[3]DOORSCRIEFT!$A$2:$G$8551,6,FALSE),"")</f>
        <v/>
      </c>
      <c r="G698" s="349"/>
    </row>
    <row r="699" spans="1:7" x14ac:dyDescent="0.25">
      <c r="A699" s="360" t="str">
        <f t="shared" si="13"/>
        <v>I.2.2.02.001477</v>
      </c>
      <c r="B699" s="319">
        <v>477</v>
      </c>
      <c r="C699" s="394" t="str">
        <f>IFERROR(VLOOKUP(A699,[3]DOORSCRIEFT!$A$2:$G$8551,2,FALSE),"")</f>
        <v/>
      </c>
      <c r="D699" s="393" t="str">
        <f>IFERROR(VLOOKUP(A699,[3]DOORSCRIEFT!$A$2:$G$8551,3,FALSE),"")</f>
        <v/>
      </c>
      <c r="E699" s="466" t="str">
        <f>IFERROR(VLOOKUP(A699,[3]DOORSCRIEFT!$A$2:$G$8551,4,FALSE),"")</f>
        <v/>
      </c>
      <c r="F699" s="405" t="str">
        <f>IFERROR(VLOOKUP(A699,[3]DOORSCRIEFT!$A$2:$G$8551,6,FALSE),"")</f>
        <v/>
      </c>
      <c r="G699" s="349"/>
    </row>
    <row r="700" spans="1:7" ht="15.75" thickBot="1" x14ac:dyDescent="0.3">
      <c r="A700" s="360" t="str">
        <f t="shared" si="13"/>
        <v>I.2.2.02.001478</v>
      </c>
      <c r="B700" s="319">
        <v>478</v>
      </c>
      <c r="C700" s="394" t="str">
        <f>IFERROR(VLOOKUP(A700,[3]DOORSCRIEFT!$A$2:$G$8551,2,FALSE),"")</f>
        <v/>
      </c>
      <c r="D700" s="393" t="str">
        <f>IFERROR(VLOOKUP(A700,[3]DOORSCRIEFT!$A$2:$G$8551,3,FALSE),"")</f>
        <v/>
      </c>
      <c r="E700" s="466" t="str">
        <f>IFERROR(VLOOKUP(A700,[3]DOORSCRIEFT!$A$2:$G$8551,4,FALSE),"")</f>
        <v/>
      </c>
      <c r="F700" s="405" t="str">
        <f>IFERROR(VLOOKUP(A700,[3]DOORSCRIEFT!$A$2:$G$8551,6,FALSE),"")</f>
        <v/>
      </c>
      <c r="G700" s="315"/>
    </row>
    <row r="701" spans="1:7" ht="15.75" thickBot="1" x14ac:dyDescent="0.3">
      <c r="A701" s="314"/>
      <c r="B701" s="312"/>
      <c r="C701" s="313"/>
      <c r="D701" s="312"/>
      <c r="E701" s="311" t="s">
        <v>644</v>
      </c>
      <c r="F701" s="436">
        <f>SUM(F223:F700)</f>
        <v>22270000</v>
      </c>
      <c r="G701" s="435">
        <f>SUM(G223:G601)</f>
        <v>0</v>
      </c>
    </row>
    <row r="707" spans="1:7" ht="15.75" x14ac:dyDescent="0.25">
      <c r="C707" s="332"/>
      <c r="D707" s="333"/>
      <c r="E707" s="332"/>
      <c r="F707" s="327" t="s">
        <v>607</v>
      </c>
      <c r="G707" s="327" t="s">
        <v>544</v>
      </c>
    </row>
    <row r="708" spans="1:7" ht="15.75" x14ac:dyDescent="0.25">
      <c r="C708" s="332"/>
      <c r="D708" s="333"/>
      <c r="E708" s="332"/>
      <c r="F708" s="327" t="s">
        <v>601</v>
      </c>
      <c r="G708" s="327" t="s">
        <v>543</v>
      </c>
    </row>
    <row r="709" spans="1:7" x14ac:dyDescent="0.25">
      <c r="C709" s="328"/>
      <c r="D709" s="329"/>
      <c r="E709" s="328"/>
      <c r="F709" s="327" t="s">
        <v>651</v>
      </c>
      <c r="G709" s="331">
        <f>[2]Sheet1!$D$28</f>
        <v>4000000</v>
      </c>
    </row>
    <row r="710" spans="1:7" ht="15.75" thickBot="1" x14ac:dyDescent="0.3">
      <c r="C710" s="328"/>
      <c r="D710" s="329"/>
      <c r="E710" s="328"/>
      <c r="F710" s="327" t="s">
        <v>650</v>
      </c>
      <c r="G710" s="326">
        <f>+F805-G709</f>
        <v>2894000</v>
      </c>
    </row>
    <row r="711" spans="1:7" x14ac:dyDescent="0.25">
      <c r="A711" s="590" t="s">
        <v>655</v>
      </c>
      <c r="B711" s="573" t="s">
        <v>606</v>
      </c>
      <c r="C711" s="588" t="s">
        <v>649</v>
      </c>
      <c r="D711" s="577" t="s">
        <v>648</v>
      </c>
      <c r="E711" s="577" t="s">
        <v>647</v>
      </c>
      <c r="F711" s="577" t="s">
        <v>646</v>
      </c>
      <c r="G711" s="580" t="s">
        <v>645</v>
      </c>
    </row>
    <row r="712" spans="1:7" ht="15.75" thickBot="1" x14ac:dyDescent="0.3">
      <c r="A712" s="591"/>
      <c r="B712" s="574"/>
      <c r="C712" s="589"/>
      <c r="D712" s="578"/>
      <c r="E712" s="578"/>
      <c r="F712" s="578"/>
      <c r="G712" s="581"/>
    </row>
    <row r="713" spans="1:7" ht="15.75" thickBot="1" x14ac:dyDescent="0.3">
      <c r="A713" s="425">
        <v>1</v>
      </c>
      <c r="B713" s="324">
        <v>2</v>
      </c>
      <c r="C713" s="425">
        <v>3</v>
      </c>
      <c r="D713" s="324">
        <v>4</v>
      </c>
      <c r="E713" s="425">
        <v>5</v>
      </c>
      <c r="F713" s="324">
        <v>6</v>
      </c>
      <c r="G713" s="425">
        <v>7</v>
      </c>
    </row>
    <row r="714" spans="1:7" x14ac:dyDescent="0.25">
      <c r="A714" s="360" t="str">
        <f t="shared" ref="A714:A745" si="14">$G$707&amp;B714</f>
        <v>I.2.2.02.0021</v>
      </c>
      <c r="B714" s="339">
        <v>1</v>
      </c>
      <c r="C714" s="394">
        <f>IFERROR(VLOOKUP(A714,[3]DOORSCRIEFT!$A$2:$G$8551,2,FALSE),"")</f>
        <v>7</v>
      </c>
      <c r="D714" s="393">
        <f>IFERROR(VLOOKUP(A714,[3]DOORSCRIEFT!$A$2:$G$8551,3,FALSE),"")</f>
        <v>46023</v>
      </c>
      <c r="E714" s="392" t="str">
        <f>IFERROR(VLOOKUP(A714,[3]DOORSCRIEFT!$A$2:$G$8551,4,FALSE),"")</f>
        <v>Kolekta HUT Nikah</v>
      </c>
      <c r="F714" s="405">
        <f>IFERROR(VLOOKUP(A714,[3]DOORSCRIEFT!$A$2:$G$8551,6,FALSE),"")</f>
        <v>384000</v>
      </c>
      <c r="G714" s="322"/>
    </row>
    <row r="715" spans="1:7" x14ac:dyDescent="0.25">
      <c r="A715" s="360" t="str">
        <f t="shared" si="14"/>
        <v>I.2.2.02.0022</v>
      </c>
      <c r="B715" s="319">
        <v>2</v>
      </c>
      <c r="C715" s="394">
        <f>IFERROR(VLOOKUP(A715,[3]DOORSCRIEFT!$A$2:$G$8551,2,FALSE),"")</f>
        <v>32</v>
      </c>
      <c r="D715" s="393">
        <f>IFERROR(VLOOKUP(A715,[3]DOORSCRIEFT!$A$2:$G$8551,3,FALSE),"")</f>
        <v>46031</v>
      </c>
      <c r="E715" s="392" t="str">
        <f>IFERROR(VLOOKUP(A715,[3]DOORSCRIEFT!$A$2:$G$8551,4,FALSE),"")</f>
        <v>Kolekta Syukur HUT Nikah</v>
      </c>
      <c r="F715" s="405">
        <f>IFERROR(VLOOKUP(A715,[3]DOORSCRIEFT!$A$2:$G$8551,6,FALSE),"")</f>
        <v>555000</v>
      </c>
      <c r="G715" s="315"/>
    </row>
    <row r="716" spans="1:7" x14ac:dyDescent="0.25">
      <c r="A716" s="360" t="str">
        <f t="shared" si="14"/>
        <v>I.2.2.02.0023</v>
      </c>
      <c r="B716" s="339">
        <v>3</v>
      </c>
      <c r="C716" s="394">
        <f>IFERROR(VLOOKUP(A716,[3]DOORSCRIEFT!$A$2:$G$8551,2,FALSE),"")</f>
        <v>72</v>
      </c>
      <c r="D716" s="393">
        <f>IFERROR(VLOOKUP(A716,[3]DOORSCRIEFT!$A$2:$G$8551,3,FALSE),"")</f>
        <v>46038</v>
      </c>
      <c r="E716" s="392" t="str">
        <f>IFERROR(VLOOKUP(A716,[3]DOORSCRIEFT!$A$2:$G$8551,4,FALSE),"")</f>
        <v>Kolekta Kebaktian Syukur HUT Nikah</v>
      </c>
      <c r="F716" s="405">
        <f>IFERROR(VLOOKUP(A716,[3]DOORSCRIEFT!$A$2:$G$8551,6,FALSE),"")</f>
        <v>350000</v>
      </c>
      <c r="G716" s="315"/>
    </row>
    <row r="717" spans="1:7" x14ac:dyDescent="0.25">
      <c r="A717" s="360" t="str">
        <f t="shared" si="14"/>
        <v>I.2.2.02.0024</v>
      </c>
      <c r="B717" s="319">
        <v>4</v>
      </c>
      <c r="C717" s="394">
        <f>IFERROR(VLOOKUP(A717,[3]DOORSCRIEFT!$A$2:$G$8551,2,FALSE),"")</f>
        <v>92</v>
      </c>
      <c r="D717" s="393">
        <f>IFERROR(VLOOKUP(A717,[3]DOORSCRIEFT!$A$2:$G$8551,3,FALSE),"")</f>
        <v>46045</v>
      </c>
      <c r="E717" s="392" t="str">
        <f>IFERROR(VLOOKUP(A717,[3]DOORSCRIEFT!$A$2:$G$8551,4,FALSE),"")</f>
        <v>Kolekta Syukur HUT Nikah</v>
      </c>
      <c r="F717" s="405">
        <f>IFERROR(VLOOKUP(A717,[3]DOORSCRIEFT!$A$2:$G$8551,6,FALSE),"")</f>
        <v>425000</v>
      </c>
      <c r="G717" s="315"/>
    </row>
    <row r="718" spans="1:7" x14ac:dyDescent="0.25">
      <c r="A718" s="360" t="str">
        <f t="shared" si="14"/>
        <v>I.2.2.02.0025</v>
      </c>
      <c r="B718" s="339">
        <v>5</v>
      </c>
      <c r="C718" s="394">
        <f>IFERROR(VLOOKUP(A718,[3]DOORSCRIEFT!$A$2:$G$8551,2,FALSE),"")</f>
        <v>137</v>
      </c>
      <c r="D718" s="393">
        <f>IFERROR(VLOOKUP(A718,[3]DOORSCRIEFT!$A$2:$G$8551,3,FALSE),"")</f>
        <v>46052</v>
      </c>
      <c r="E718" s="392" t="str">
        <f>IFERROR(VLOOKUP(A718,[3]DOORSCRIEFT!$A$2:$G$8551,4,FALSE),"")</f>
        <v>Kolekta syukur HUT Nikah</v>
      </c>
      <c r="F718" s="405">
        <f>IFERROR(VLOOKUP(A718,[3]DOORSCRIEFT!$A$2:$G$8551,6,FALSE),"")</f>
        <v>75000</v>
      </c>
      <c r="G718" s="315"/>
    </row>
    <row r="719" spans="1:7" x14ac:dyDescent="0.25">
      <c r="A719" s="360" t="str">
        <f t="shared" si="14"/>
        <v>I.2.2.02.0026</v>
      </c>
      <c r="B719" s="319">
        <v>6</v>
      </c>
      <c r="C719" s="394">
        <f>IFERROR(VLOOKUP(A719,[3]DOORSCRIEFT!$A$2:$G$8551,2,FALSE),"")</f>
        <v>158</v>
      </c>
      <c r="D719" s="393">
        <f>IFERROR(VLOOKUP(A719,[3]DOORSCRIEFT!$A$2:$G$8551,3,FALSE),"")</f>
        <v>46059</v>
      </c>
      <c r="E719" s="392" t="str">
        <f>IFERROR(VLOOKUP(A719,[3]DOORSCRIEFT!$A$2:$G$8551,4,FALSE),"")</f>
        <v>Kolekta Kebaktian Syukur HUT Perkawinan</v>
      </c>
      <c r="F719" s="405">
        <f>IFERROR(VLOOKUP(A719,[3]DOORSCRIEFT!$A$2:$G$8551,6,FALSE),"")</f>
        <v>450000</v>
      </c>
      <c r="G719" s="315"/>
    </row>
    <row r="720" spans="1:7" x14ac:dyDescent="0.25">
      <c r="A720" s="360" t="str">
        <f t="shared" si="14"/>
        <v>I.2.2.02.0027</v>
      </c>
      <c r="B720" s="339">
        <v>7</v>
      </c>
      <c r="C720" s="394">
        <f>IFERROR(VLOOKUP(A720,[3]DOORSCRIEFT!$A$2:$G$8551,2,FALSE),"")</f>
        <v>194</v>
      </c>
      <c r="D720" s="393">
        <f>IFERROR(VLOOKUP(A720,[3]DOORSCRIEFT!$A$2:$G$8551,3,FALSE),"")</f>
        <v>46066</v>
      </c>
      <c r="E720" s="392" t="str">
        <f>IFERROR(VLOOKUP(A720,[3]DOORSCRIEFT!$A$2:$G$8551,4,FALSE),"")</f>
        <v>Kolekta Kebaktian Syukur HUT Perkawinan</v>
      </c>
      <c r="F720" s="405">
        <f>IFERROR(VLOOKUP(A720,[3]DOORSCRIEFT!$A$2:$G$8551,6,FALSE),"")</f>
        <v>750000</v>
      </c>
      <c r="G720" s="315"/>
    </row>
    <row r="721" spans="1:7" x14ac:dyDescent="0.25">
      <c r="A721" s="360" t="str">
        <f t="shared" si="14"/>
        <v>I.2.2.02.0028</v>
      </c>
      <c r="B721" s="319">
        <v>8</v>
      </c>
      <c r="C721" s="394">
        <f>IFERROR(VLOOKUP(A721,[3]DOORSCRIEFT!$A$2:$G$8551,2,FALSE),"")</f>
        <v>225</v>
      </c>
      <c r="D721" s="393">
        <f>IFERROR(VLOOKUP(A721,[3]DOORSCRIEFT!$A$2:$G$8551,3,FALSE),"")</f>
        <v>46073</v>
      </c>
      <c r="E721" s="392" t="str">
        <f>IFERROR(VLOOKUP(A721,[3]DOORSCRIEFT!$A$2:$G$8551,4,FALSE),"")</f>
        <v>Kolekta Kebaktian Syukur HUT Perkawinan</v>
      </c>
      <c r="F721" s="405">
        <f>IFERROR(VLOOKUP(A721,[3]DOORSCRIEFT!$A$2:$G$8551,6,FALSE),"")</f>
        <v>605000</v>
      </c>
      <c r="G721" s="315"/>
    </row>
    <row r="722" spans="1:7" x14ac:dyDescent="0.25">
      <c r="A722" s="360" t="str">
        <f t="shared" si="14"/>
        <v>I.2.2.02.0029</v>
      </c>
      <c r="B722" s="339">
        <v>9</v>
      </c>
      <c r="C722" s="394">
        <f>IFERROR(VLOOKUP(A722,[3]DOORSCRIEFT!$A$2:$G$8551,2,FALSE),"")</f>
        <v>264</v>
      </c>
      <c r="D722" s="393">
        <f>IFERROR(VLOOKUP(A722,[3]DOORSCRIEFT!$A$2:$G$8551,3,FALSE),"")</f>
        <v>46080</v>
      </c>
      <c r="E722" s="392" t="str">
        <f>IFERROR(VLOOKUP(A722,[3]DOORSCRIEFT!$A$2:$G$8551,4,FALSE),"")</f>
        <v>Kolekta Kebaktian Syukur HUT Perkawinan</v>
      </c>
      <c r="F722" s="405">
        <f>IFERROR(VLOOKUP(A722,[3]DOORSCRIEFT!$A$2:$G$8551,6,FALSE),"")</f>
        <v>190000</v>
      </c>
      <c r="G722" s="315"/>
    </row>
    <row r="723" spans="1:7" x14ac:dyDescent="0.25">
      <c r="A723" s="360" t="str">
        <f t="shared" si="14"/>
        <v>I.2.2.02.00210</v>
      </c>
      <c r="B723" s="319">
        <v>10</v>
      </c>
      <c r="C723" s="394">
        <f>IFERROR(VLOOKUP(A723,[3]DOORSCRIEFT!$A$2:$G$8551,2,FALSE),"")</f>
        <v>294</v>
      </c>
      <c r="D723" s="393">
        <f>IFERROR(VLOOKUP(A723,[3]DOORSCRIEFT!$A$2:$G$8551,3,FALSE),"")</f>
        <v>46087</v>
      </c>
      <c r="E723" s="392" t="str">
        <f>IFERROR(VLOOKUP(A723,[3]DOORSCRIEFT!$A$2:$G$8551,4,FALSE),"")</f>
        <v>Kolekta kebaktian syukur HUT Nikah</v>
      </c>
      <c r="F723" s="405">
        <f>IFERROR(VLOOKUP(A723,[3]DOORSCRIEFT!$A$2:$G$8551,6,FALSE),"")</f>
        <v>500000</v>
      </c>
      <c r="G723" s="315"/>
    </row>
    <row r="724" spans="1:7" x14ac:dyDescent="0.25">
      <c r="A724" s="360" t="str">
        <f t="shared" si="14"/>
        <v>I.2.2.02.00211</v>
      </c>
      <c r="B724" s="339">
        <v>11</v>
      </c>
      <c r="C724" s="394">
        <f>IFERROR(VLOOKUP(A724,[3]DOORSCRIEFT!$A$2:$G$8551,2,FALSE),"")</f>
        <v>345</v>
      </c>
      <c r="D724" s="393">
        <f>IFERROR(VLOOKUP(A724,[3]DOORSCRIEFT!$A$2:$G$8551,3,FALSE),"")</f>
        <v>46094</v>
      </c>
      <c r="E724" s="392" t="str">
        <f>IFERROR(VLOOKUP(A724,[3]DOORSCRIEFT!$A$2:$G$8551,4,FALSE),"")</f>
        <v>Kolekta Kebaktian Syukur HUT Perkawinan</v>
      </c>
      <c r="F724" s="405">
        <f>IFERROR(VLOOKUP(A724,[3]DOORSCRIEFT!$A$2:$G$8551,6,FALSE),"")</f>
        <v>850000</v>
      </c>
      <c r="G724" s="315"/>
    </row>
    <row r="725" spans="1:7" x14ac:dyDescent="0.25">
      <c r="A725" s="360" t="str">
        <f t="shared" si="14"/>
        <v>I.2.2.02.00212</v>
      </c>
      <c r="B725" s="319">
        <v>12</v>
      </c>
      <c r="C725" s="394">
        <f>IFERROR(VLOOKUP(A725,[3]DOORSCRIEFT!$A$2:$G$8551,2,FALSE),"")</f>
        <v>392</v>
      </c>
      <c r="D725" s="393">
        <f>IFERROR(VLOOKUP(A725,[3]DOORSCRIEFT!$A$2:$G$8551,3,FALSE),"")</f>
        <v>46101</v>
      </c>
      <c r="E725" s="392" t="str">
        <f>IFERROR(VLOOKUP(A725,[3]DOORSCRIEFT!$A$2:$G$8551,4,FALSE),"")</f>
        <v>Kolekta Kebaktian Syukur HUT Perkawinan</v>
      </c>
      <c r="F725" s="405">
        <f>IFERROR(VLOOKUP(A725,[3]DOORSCRIEFT!$A$2:$G$8551,6,FALSE),"")</f>
        <v>975000</v>
      </c>
      <c r="G725" s="315"/>
    </row>
    <row r="726" spans="1:7" x14ac:dyDescent="0.25">
      <c r="A726" s="360" t="str">
        <f t="shared" si="14"/>
        <v>I.2.2.02.00213</v>
      </c>
      <c r="B726" s="339">
        <v>13</v>
      </c>
      <c r="C726" s="394">
        <f>IFERROR(VLOOKUP(A726,[3]DOORSCRIEFT!$A$2:$G$8551,2,FALSE),"")</f>
        <v>443</v>
      </c>
      <c r="D726" s="393">
        <f>IFERROR(VLOOKUP(A726,[3]DOORSCRIEFT!$A$2:$G$8551,3,FALSE),"")</f>
        <v>46108</v>
      </c>
      <c r="E726" s="392" t="str">
        <f>IFERROR(VLOOKUP(A726,[3]DOORSCRIEFT!$A$2:$G$8551,4,FALSE),"")</f>
        <v>Kolekta Kebaktian Syukur HUT Perkawinan</v>
      </c>
      <c r="F726" s="405">
        <f>IFERROR(VLOOKUP(A726,[3]DOORSCRIEFT!$A$2:$G$8551,6,FALSE),"")</f>
        <v>785000</v>
      </c>
      <c r="G726" s="315"/>
    </row>
    <row r="727" spans="1:7" x14ac:dyDescent="0.25">
      <c r="A727" s="360" t="str">
        <f t="shared" si="14"/>
        <v>I.2.2.02.00214</v>
      </c>
      <c r="B727" s="319">
        <v>14</v>
      </c>
      <c r="C727" s="394" t="str">
        <f>IFERROR(VLOOKUP(A727,[3]DOORSCRIEFT!$A$2:$G$8551,2,FALSE),"")</f>
        <v/>
      </c>
      <c r="D727" s="393" t="str">
        <f>IFERROR(VLOOKUP(A727,[3]DOORSCRIEFT!$A$2:$G$8551,3,FALSE),"")</f>
        <v/>
      </c>
      <c r="E727" s="392" t="str">
        <f>IFERROR(VLOOKUP(A727,[3]DOORSCRIEFT!$A$2:$G$8551,4,FALSE),"")</f>
        <v/>
      </c>
      <c r="F727" s="405" t="str">
        <f>IFERROR(VLOOKUP(A727,[3]DOORSCRIEFT!$A$2:$G$8551,6,FALSE),"")</f>
        <v/>
      </c>
      <c r="G727" s="315"/>
    </row>
    <row r="728" spans="1:7" x14ac:dyDescent="0.25">
      <c r="A728" s="360" t="str">
        <f t="shared" si="14"/>
        <v>I.2.2.02.00215</v>
      </c>
      <c r="B728" s="339">
        <v>15</v>
      </c>
      <c r="C728" s="394" t="str">
        <f>IFERROR(VLOOKUP(A728,[3]DOORSCRIEFT!$A$2:$G$8551,2,FALSE),"")</f>
        <v/>
      </c>
      <c r="D728" s="393" t="str">
        <f>IFERROR(VLOOKUP(A728,[3]DOORSCRIEFT!$A$2:$G$8551,3,FALSE),"")</f>
        <v/>
      </c>
      <c r="E728" s="392" t="str">
        <f>IFERROR(VLOOKUP(A728,[3]DOORSCRIEFT!$A$2:$G$8551,4,FALSE),"")</f>
        <v/>
      </c>
      <c r="F728" s="405" t="str">
        <f>IFERROR(VLOOKUP(A728,[3]DOORSCRIEFT!$A$2:$G$8551,6,FALSE),"")</f>
        <v/>
      </c>
      <c r="G728" s="315"/>
    </row>
    <row r="729" spans="1:7" x14ac:dyDescent="0.25">
      <c r="A729" s="360" t="str">
        <f t="shared" si="14"/>
        <v>I.2.2.02.00216</v>
      </c>
      <c r="B729" s="319">
        <v>16</v>
      </c>
      <c r="C729" s="394" t="str">
        <f>IFERROR(VLOOKUP(A729,[3]DOORSCRIEFT!$A$2:$G$8551,2,FALSE),"")</f>
        <v/>
      </c>
      <c r="D729" s="393" t="str">
        <f>IFERROR(VLOOKUP(A729,[3]DOORSCRIEFT!$A$2:$G$8551,3,FALSE),"")</f>
        <v/>
      </c>
      <c r="E729" s="392" t="str">
        <f>IFERROR(VLOOKUP(A729,[3]DOORSCRIEFT!$A$2:$G$8551,4,FALSE),"")</f>
        <v/>
      </c>
      <c r="F729" s="405" t="str">
        <f>IFERROR(VLOOKUP(A729,[3]DOORSCRIEFT!$A$2:$G$8551,6,FALSE),"")</f>
        <v/>
      </c>
      <c r="G729" s="315"/>
    </row>
    <row r="730" spans="1:7" x14ac:dyDescent="0.25">
      <c r="A730" s="360" t="str">
        <f t="shared" si="14"/>
        <v>I.2.2.02.00217</v>
      </c>
      <c r="B730" s="339">
        <v>17</v>
      </c>
      <c r="C730" s="394" t="str">
        <f>IFERROR(VLOOKUP(A730,[3]DOORSCRIEFT!$A$2:$G$8551,2,FALSE),"")</f>
        <v/>
      </c>
      <c r="D730" s="393" t="str">
        <f>IFERROR(VLOOKUP(A730,[3]DOORSCRIEFT!$A$2:$G$8551,3,FALSE),"")</f>
        <v/>
      </c>
      <c r="E730" s="392" t="str">
        <f>IFERROR(VLOOKUP(A730,[3]DOORSCRIEFT!$A$2:$G$8551,4,FALSE),"")</f>
        <v/>
      </c>
      <c r="F730" s="405" t="str">
        <f>IFERROR(VLOOKUP(A730,[3]DOORSCRIEFT!$A$2:$G$8551,6,FALSE),"")</f>
        <v/>
      </c>
      <c r="G730" s="315"/>
    </row>
    <row r="731" spans="1:7" x14ac:dyDescent="0.25">
      <c r="A731" s="360" t="str">
        <f t="shared" si="14"/>
        <v>I.2.2.02.00218</v>
      </c>
      <c r="B731" s="319">
        <v>18</v>
      </c>
      <c r="C731" s="394" t="str">
        <f>IFERROR(VLOOKUP(A731,[3]DOORSCRIEFT!$A$2:$G$8551,2,FALSE),"")</f>
        <v/>
      </c>
      <c r="D731" s="393" t="str">
        <f>IFERROR(VLOOKUP(A731,[3]DOORSCRIEFT!$A$2:$G$8551,3,FALSE),"")</f>
        <v/>
      </c>
      <c r="E731" s="392" t="str">
        <f>IFERROR(VLOOKUP(A731,[3]DOORSCRIEFT!$A$2:$G$8551,4,FALSE),"")</f>
        <v/>
      </c>
      <c r="F731" s="405" t="str">
        <f>IFERROR(VLOOKUP(A731,[3]DOORSCRIEFT!$A$2:$G$8551,6,FALSE),"")</f>
        <v/>
      </c>
      <c r="G731" s="315"/>
    </row>
    <row r="732" spans="1:7" x14ac:dyDescent="0.25">
      <c r="A732" s="360" t="str">
        <f t="shared" si="14"/>
        <v>I.2.2.02.00219</v>
      </c>
      <c r="B732" s="339">
        <v>19</v>
      </c>
      <c r="C732" s="394" t="str">
        <f>IFERROR(VLOOKUP(A732,[3]DOORSCRIEFT!$A$2:$G$8551,2,FALSE),"")</f>
        <v/>
      </c>
      <c r="D732" s="393" t="str">
        <f>IFERROR(VLOOKUP(A732,[3]DOORSCRIEFT!$A$2:$G$8551,3,FALSE),"")</f>
        <v/>
      </c>
      <c r="E732" s="392" t="str">
        <f>IFERROR(VLOOKUP(A732,[3]DOORSCRIEFT!$A$2:$G$8551,4,FALSE),"")</f>
        <v/>
      </c>
      <c r="F732" s="405" t="str">
        <f>IFERROR(VLOOKUP(A732,[3]DOORSCRIEFT!$A$2:$G$8551,6,FALSE),"")</f>
        <v/>
      </c>
      <c r="G732" s="315"/>
    </row>
    <row r="733" spans="1:7" x14ac:dyDescent="0.25">
      <c r="A733" s="360" t="str">
        <f t="shared" si="14"/>
        <v>I.2.2.02.00220</v>
      </c>
      <c r="B733" s="319">
        <v>20</v>
      </c>
      <c r="C733" s="394" t="str">
        <f>IFERROR(VLOOKUP(A733,[3]DOORSCRIEFT!$A$2:$G$8551,2,FALSE),"")</f>
        <v/>
      </c>
      <c r="D733" s="393" t="str">
        <f>IFERROR(VLOOKUP(A733,[3]DOORSCRIEFT!$A$2:$G$8551,3,FALSE),"")</f>
        <v/>
      </c>
      <c r="E733" s="392" t="str">
        <f>IFERROR(VLOOKUP(A733,[3]DOORSCRIEFT!$A$2:$G$8551,4,FALSE),"")</f>
        <v/>
      </c>
      <c r="F733" s="405" t="str">
        <f>IFERROR(VLOOKUP(A733,[3]DOORSCRIEFT!$A$2:$G$8551,6,FALSE),"")</f>
        <v/>
      </c>
      <c r="G733" s="315"/>
    </row>
    <row r="734" spans="1:7" x14ac:dyDescent="0.25">
      <c r="A734" s="360" t="str">
        <f t="shared" si="14"/>
        <v>I.2.2.02.00221</v>
      </c>
      <c r="B734" s="339">
        <v>21</v>
      </c>
      <c r="C734" s="394" t="str">
        <f>IFERROR(VLOOKUP(A734,[3]DOORSCRIEFT!$A$2:$G$8551,2,FALSE),"")</f>
        <v/>
      </c>
      <c r="D734" s="393" t="str">
        <f>IFERROR(VLOOKUP(A734,[3]DOORSCRIEFT!$A$2:$G$8551,3,FALSE),"")</f>
        <v/>
      </c>
      <c r="E734" s="392" t="str">
        <f>IFERROR(VLOOKUP(A734,[3]DOORSCRIEFT!$A$2:$G$8551,4,FALSE),"")</f>
        <v/>
      </c>
      <c r="F734" s="405" t="str">
        <f>IFERROR(VLOOKUP(A734,[3]DOORSCRIEFT!$A$2:$G$8551,6,FALSE),"")</f>
        <v/>
      </c>
      <c r="G734" s="315"/>
    </row>
    <row r="735" spans="1:7" x14ac:dyDescent="0.25">
      <c r="A735" s="360" t="str">
        <f t="shared" si="14"/>
        <v>I.2.2.02.00222</v>
      </c>
      <c r="B735" s="319">
        <v>22</v>
      </c>
      <c r="C735" s="394" t="str">
        <f>IFERROR(VLOOKUP(A735,[3]DOORSCRIEFT!$A$2:$G$8551,2,FALSE),"")</f>
        <v/>
      </c>
      <c r="D735" s="393" t="str">
        <f>IFERROR(VLOOKUP(A735,[3]DOORSCRIEFT!$A$2:$G$8551,3,FALSE),"")</f>
        <v/>
      </c>
      <c r="E735" s="392" t="str">
        <f>IFERROR(VLOOKUP(A735,[3]DOORSCRIEFT!$A$2:$G$8551,4,FALSE),"")</f>
        <v/>
      </c>
      <c r="F735" s="405" t="str">
        <f>IFERROR(VLOOKUP(A735,[3]DOORSCRIEFT!$A$2:$G$8551,6,FALSE),"")</f>
        <v/>
      </c>
      <c r="G735" s="315"/>
    </row>
    <row r="736" spans="1:7" x14ac:dyDescent="0.25">
      <c r="A736" s="360" t="str">
        <f t="shared" si="14"/>
        <v>I.2.2.02.00223</v>
      </c>
      <c r="B736" s="339">
        <v>23</v>
      </c>
      <c r="C736" s="394" t="str">
        <f>IFERROR(VLOOKUP(A736,[3]DOORSCRIEFT!$A$2:$G$8551,2,FALSE),"")</f>
        <v/>
      </c>
      <c r="D736" s="393" t="str">
        <f>IFERROR(VLOOKUP(A736,[3]DOORSCRIEFT!$A$2:$G$8551,3,FALSE),"")</f>
        <v/>
      </c>
      <c r="E736" s="392" t="str">
        <f>IFERROR(VLOOKUP(A736,[3]DOORSCRIEFT!$A$2:$G$8551,4,FALSE),"")</f>
        <v/>
      </c>
      <c r="F736" s="405" t="str">
        <f>IFERROR(VLOOKUP(A736,[3]DOORSCRIEFT!$A$2:$G$8551,6,FALSE),"")</f>
        <v/>
      </c>
      <c r="G736" s="315"/>
    </row>
    <row r="737" spans="1:7" x14ac:dyDescent="0.25">
      <c r="A737" s="360" t="str">
        <f t="shared" si="14"/>
        <v>I.2.2.02.00224</v>
      </c>
      <c r="B737" s="319">
        <v>24</v>
      </c>
      <c r="C737" s="394" t="str">
        <f>IFERROR(VLOOKUP(A737,[3]DOORSCRIEFT!$A$2:$G$8551,2,FALSE),"")</f>
        <v/>
      </c>
      <c r="D737" s="393" t="str">
        <f>IFERROR(VLOOKUP(A737,[3]DOORSCRIEFT!$A$2:$G$8551,3,FALSE),"")</f>
        <v/>
      </c>
      <c r="E737" s="392" t="str">
        <f>IFERROR(VLOOKUP(A737,[3]DOORSCRIEFT!$A$2:$G$8551,4,FALSE),"")</f>
        <v/>
      </c>
      <c r="F737" s="405" t="str">
        <f>IFERROR(VLOOKUP(A737,[3]DOORSCRIEFT!$A$2:$G$8551,6,FALSE),"")</f>
        <v/>
      </c>
      <c r="G737" s="315"/>
    </row>
    <row r="738" spans="1:7" x14ac:dyDescent="0.25">
      <c r="A738" s="360" t="str">
        <f t="shared" si="14"/>
        <v>I.2.2.02.00225</v>
      </c>
      <c r="B738" s="339">
        <v>25</v>
      </c>
      <c r="C738" s="394" t="str">
        <f>IFERROR(VLOOKUP(A738,[3]DOORSCRIEFT!$A$2:$G$8551,2,FALSE),"")</f>
        <v/>
      </c>
      <c r="D738" s="393" t="str">
        <f>IFERROR(VLOOKUP(A738,[3]DOORSCRIEFT!$A$2:$G$8551,3,FALSE),"")</f>
        <v/>
      </c>
      <c r="E738" s="392" t="str">
        <f>IFERROR(VLOOKUP(A738,[3]DOORSCRIEFT!$A$2:$G$8551,4,FALSE),"")</f>
        <v/>
      </c>
      <c r="F738" s="405" t="str">
        <f>IFERROR(VLOOKUP(A738,[3]DOORSCRIEFT!$A$2:$G$8551,6,FALSE),"")</f>
        <v/>
      </c>
      <c r="G738" s="315"/>
    </row>
    <row r="739" spans="1:7" x14ac:dyDescent="0.25">
      <c r="A739" s="360" t="str">
        <f t="shared" si="14"/>
        <v>I.2.2.02.00226</v>
      </c>
      <c r="B739" s="319">
        <v>26</v>
      </c>
      <c r="C739" s="394" t="str">
        <f>IFERROR(VLOOKUP(A739,[3]DOORSCRIEFT!$A$2:$G$8551,2,FALSE),"")</f>
        <v/>
      </c>
      <c r="D739" s="393" t="str">
        <f>IFERROR(VLOOKUP(A739,[3]DOORSCRIEFT!$A$2:$G$8551,3,FALSE),"")</f>
        <v/>
      </c>
      <c r="E739" s="392" t="str">
        <f>IFERROR(VLOOKUP(A739,[3]DOORSCRIEFT!$A$2:$G$8551,4,FALSE),"")</f>
        <v/>
      </c>
      <c r="F739" s="405" t="str">
        <f>IFERROR(VLOOKUP(A739,[3]DOORSCRIEFT!$A$2:$G$8551,6,FALSE),"")</f>
        <v/>
      </c>
      <c r="G739" s="315"/>
    </row>
    <row r="740" spans="1:7" x14ac:dyDescent="0.25">
      <c r="A740" s="360" t="str">
        <f t="shared" si="14"/>
        <v>I.2.2.02.00227</v>
      </c>
      <c r="B740" s="339">
        <v>27</v>
      </c>
      <c r="C740" s="394" t="str">
        <f>IFERROR(VLOOKUP(A740,[3]DOORSCRIEFT!$A$2:$G$8551,2,FALSE),"")</f>
        <v/>
      </c>
      <c r="D740" s="393" t="str">
        <f>IFERROR(VLOOKUP(A740,[3]DOORSCRIEFT!$A$2:$G$8551,3,FALSE),"")</f>
        <v/>
      </c>
      <c r="E740" s="392" t="str">
        <f>IFERROR(VLOOKUP(A740,[3]DOORSCRIEFT!$A$2:$G$8551,4,FALSE),"")</f>
        <v/>
      </c>
      <c r="F740" s="405" t="str">
        <f>IFERROR(VLOOKUP(A740,[3]DOORSCRIEFT!$A$2:$G$8551,6,FALSE),"")</f>
        <v/>
      </c>
      <c r="G740" s="315"/>
    </row>
    <row r="741" spans="1:7" x14ac:dyDescent="0.25">
      <c r="A741" s="360" t="str">
        <f t="shared" si="14"/>
        <v>I.2.2.02.00228</v>
      </c>
      <c r="B741" s="319">
        <v>28</v>
      </c>
      <c r="C741" s="394" t="str">
        <f>IFERROR(VLOOKUP(A741,[3]DOORSCRIEFT!$A$2:$G$8551,2,FALSE),"")</f>
        <v/>
      </c>
      <c r="D741" s="393" t="str">
        <f>IFERROR(VLOOKUP(A741,[3]DOORSCRIEFT!$A$2:$G$8551,3,FALSE),"")</f>
        <v/>
      </c>
      <c r="E741" s="392" t="str">
        <f>IFERROR(VLOOKUP(A741,[3]DOORSCRIEFT!$A$2:$G$8551,4,FALSE),"")</f>
        <v/>
      </c>
      <c r="F741" s="405" t="str">
        <f>IFERROR(VLOOKUP(A741,[3]DOORSCRIEFT!$A$2:$G$8551,6,FALSE),"")</f>
        <v/>
      </c>
      <c r="G741" s="315"/>
    </row>
    <row r="742" spans="1:7" x14ac:dyDescent="0.25">
      <c r="A742" s="360" t="str">
        <f t="shared" si="14"/>
        <v>I.2.2.02.00229</v>
      </c>
      <c r="B742" s="339">
        <v>29</v>
      </c>
      <c r="C742" s="394" t="str">
        <f>IFERROR(VLOOKUP(A742,[3]DOORSCRIEFT!$A$2:$G$8551,2,FALSE),"")</f>
        <v/>
      </c>
      <c r="D742" s="393" t="str">
        <f>IFERROR(VLOOKUP(A742,[3]DOORSCRIEFT!$A$2:$G$8551,3,FALSE),"")</f>
        <v/>
      </c>
      <c r="E742" s="392" t="str">
        <f>IFERROR(VLOOKUP(A742,[3]DOORSCRIEFT!$A$2:$G$8551,4,FALSE),"")</f>
        <v/>
      </c>
      <c r="F742" s="405" t="str">
        <f>IFERROR(VLOOKUP(A742,[3]DOORSCRIEFT!$A$2:$G$8551,6,FALSE),"")</f>
        <v/>
      </c>
      <c r="G742" s="315"/>
    </row>
    <row r="743" spans="1:7" x14ac:dyDescent="0.25">
      <c r="A743" s="360" t="str">
        <f t="shared" si="14"/>
        <v>I.2.2.02.00230</v>
      </c>
      <c r="B743" s="319">
        <v>30</v>
      </c>
      <c r="C743" s="394" t="str">
        <f>IFERROR(VLOOKUP(A743,[3]DOORSCRIEFT!$A$2:$G$8551,2,FALSE),"")</f>
        <v/>
      </c>
      <c r="D743" s="393" t="str">
        <f>IFERROR(VLOOKUP(A743,[3]DOORSCRIEFT!$A$2:$G$8551,3,FALSE),"")</f>
        <v/>
      </c>
      <c r="E743" s="392" t="str">
        <f>IFERROR(VLOOKUP(A743,[3]DOORSCRIEFT!$A$2:$G$8551,4,FALSE),"")</f>
        <v/>
      </c>
      <c r="F743" s="405" t="str">
        <f>IFERROR(VLOOKUP(A743,[3]DOORSCRIEFT!$A$2:$G$8551,6,FALSE),"")</f>
        <v/>
      </c>
      <c r="G743" s="315"/>
    </row>
    <row r="744" spans="1:7" x14ac:dyDescent="0.25">
      <c r="A744" s="360" t="str">
        <f t="shared" si="14"/>
        <v>I.2.2.02.00231</v>
      </c>
      <c r="B744" s="339">
        <v>31</v>
      </c>
      <c r="C744" s="394" t="str">
        <f>IFERROR(VLOOKUP(A744,[3]DOORSCRIEFT!$A$2:$G$8551,2,FALSE),"")</f>
        <v/>
      </c>
      <c r="D744" s="393" t="str">
        <f>IFERROR(VLOOKUP(A744,[3]DOORSCRIEFT!$A$2:$G$8551,3,FALSE),"")</f>
        <v/>
      </c>
      <c r="E744" s="392" t="str">
        <f>IFERROR(VLOOKUP(A744,[3]DOORSCRIEFT!$A$2:$G$8551,4,FALSE),"")</f>
        <v/>
      </c>
      <c r="F744" s="405" t="str">
        <f>IFERROR(VLOOKUP(A744,[3]DOORSCRIEFT!$A$2:$G$8551,6,FALSE),"")</f>
        <v/>
      </c>
      <c r="G744" s="315"/>
    </row>
    <row r="745" spans="1:7" x14ac:dyDescent="0.25">
      <c r="A745" s="360" t="str">
        <f t="shared" si="14"/>
        <v>I.2.2.02.00232</v>
      </c>
      <c r="B745" s="319">
        <v>32</v>
      </c>
      <c r="C745" s="394" t="str">
        <f>IFERROR(VLOOKUP(A745,[3]DOORSCRIEFT!$A$2:$G$8551,2,FALSE),"")</f>
        <v/>
      </c>
      <c r="D745" s="393" t="str">
        <f>IFERROR(VLOOKUP(A745,[3]DOORSCRIEFT!$A$2:$G$8551,3,FALSE),"")</f>
        <v/>
      </c>
      <c r="E745" s="392" t="str">
        <f>IFERROR(VLOOKUP(A745,[3]DOORSCRIEFT!$A$2:$G$8551,4,FALSE),"")</f>
        <v/>
      </c>
      <c r="F745" s="405" t="str">
        <f>IFERROR(VLOOKUP(A745,[3]DOORSCRIEFT!$A$2:$G$8551,6,FALSE),"")</f>
        <v/>
      </c>
      <c r="G745" s="315"/>
    </row>
    <row r="746" spans="1:7" x14ac:dyDescent="0.25">
      <c r="A746" s="360" t="str">
        <f t="shared" ref="A746:A777" si="15">$G$707&amp;B746</f>
        <v>I.2.2.02.00233</v>
      </c>
      <c r="B746" s="339">
        <v>33</v>
      </c>
      <c r="C746" s="394" t="str">
        <f>IFERROR(VLOOKUP(A746,[3]DOORSCRIEFT!$A$2:$G$8551,2,FALSE),"")</f>
        <v/>
      </c>
      <c r="D746" s="393" t="str">
        <f>IFERROR(VLOOKUP(A746,[3]DOORSCRIEFT!$A$2:$G$8551,3,FALSE),"")</f>
        <v/>
      </c>
      <c r="E746" s="392" t="str">
        <f>IFERROR(VLOOKUP(A746,[3]DOORSCRIEFT!$A$2:$G$8551,4,FALSE),"")</f>
        <v/>
      </c>
      <c r="F746" s="405" t="str">
        <f>IFERROR(VLOOKUP(A746,[3]DOORSCRIEFT!$A$2:$G$8551,6,FALSE),"")</f>
        <v/>
      </c>
      <c r="G746" s="315"/>
    </row>
    <row r="747" spans="1:7" x14ac:dyDescent="0.25">
      <c r="A747" s="360" t="str">
        <f t="shared" si="15"/>
        <v>I.2.2.02.00234</v>
      </c>
      <c r="B747" s="319">
        <v>34</v>
      </c>
      <c r="C747" s="394" t="str">
        <f>IFERROR(VLOOKUP(A747,[3]DOORSCRIEFT!$A$2:$G$8551,2,FALSE),"")</f>
        <v/>
      </c>
      <c r="D747" s="393" t="str">
        <f>IFERROR(VLOOKUP(A747,[3]DOORSCRIEFT!$A$2:$G$8551,3,FALSE),"")</f>
        <v/>
      </c>
      <c r="E747" s="392" t="str">
        <f>IFERROR(VLOOKUP(A747,[3]DOORSCRIEFT!$A$2:$G$8551,4,FALSE),"")</f>
        <v/>
      </c>
      <c r="F747" s="405" t="str">
        <f>IFERROR(VLOOKUP(A747,[3]DOORSCRIEFT!$A$2:$G$8551,6,FALSE),"")</f>
        <v/>
      </c>
      <c r="G747" s="315"/>
    </row>
    <row r="748" spans="1:7" x14ac:dyDescent="0.25">
      <c r="A748" s="360" t="str">
        <f t="shared" si="15"/>
        <v>I.2.2.02.00235</v>
      </c>
      <c r="B748" s="339">
        <v>35</v>
      </c>
      <c r="C748" s="394" t="str">
        <f>IFERROR(VLOOKUP(A748,[3]DOORSCRIEFT!$A$2:$G$8551,2,FALSE),"")</f>
        <v/>
      </c>
      <c r="D748" s="393" t="str">
        <f>IFERROR(VLOOKUP(A748,[3]DOORSCRIEFT!$A$2:$G$8551,3,FALSE),"")</f>
        <v/>
      </c>
      <c r="E748" s="392" t="str">
        <f>IFERROR(VLOOKUP(A748,[3]DOORSCRIEFT!$A$2:$G$8551,4,FALSE),"")</f>
        <v/>
      </c>
      <c r="F748" s="405" t="str">
        <f>IFERROR(VLOOKUP(A748,[3]DOORSCRIEFT!$A$2:$G$8551,6,FALSE),"")</f>
        <v/>
      </c>
      <c r="G748" s="315"/>
    </row>
    <row r="749" spans="1:7" x14ac:dyDescent="0.25">
      <c r="A749" s="360" t="str">
        <f t="shared" si="15"/>
        <v>I.2.2.02.00236</v>
      </c>
      <c r="B749" s="319">
        <v>36</v>
      </c>
      <c r="C749" s="394" t="str">
        <f>IFERROR(VLOOKUP(A749,[3]DOORSCRIEFT!$A$2:$G$8551,2,FALSE),"")</f>
        <v/>
      </c>
      <c r="D749" s="393" t="str">
        <f>IFERROR(VLOOKUP(A749,[3]DOORSCRIEFT!$A$2:$G$8551,3,FALSE),"")</f>
        <v/>
      </c>
      <c r="E749" s="392" t="str">
        <f>IFERROR(VLOOKUP(A749,[3]DOORSCRIEFT!$A$2:$G$8551,4,FALSE),"")</f>
        <v/>
      </c>
      <c r="F749" s="405" t="str">
        <f>IFERROR(VLOOKUP(A749,[3]DOORSCRIEFT!$A$2:$G$8551,6,FALSE),"")</f>
        <v/>
      </c>
      <c r="G749" s="315"/>
    </row>
    <row r="750" spans="1:7" x14ac:dyDescent="0.25">
      <c r="A750" s="360" t="str">
        <f t="shared" si="15"/>
        <v>I.2.2.02.00237</v>
      </c>
      <c r="B750" s="339">
        <v>37</v>
      </c>
      <c r="C750" s="394" t="str">
        <f>IFERROR(VLOOKUP(A750,[3]DOORSCRIEFT!$A$2:$G$8551,2,FALSE),"")</f>
        <v/>
      </c>
      <c r="D750" s="393" t="str">
        <f>IFERROR(VLOOKUP(A750,[3]DOORSCRIEFT!$A$2:$G$8551,3,FALSE),"")</f>
        <v/>
      </c>
      <c r="E750" s="392" t="str">
        <f>IFERROR(VLOOKUP(A750,[3]DOORSCRIEFT!$A$2:$G$8551,4,FALSE),"")</f>
        <v/>
      </c>
      <c r="F750" s="405" t="str">
        <f>IFERROR(VLOOKUP(A750,[3]DOORSCRIEFT!$A$2:$G$8551,6,FALSE),"")</f>
        <v/>
      </c>
      <c r="G750" s="315"/>
    </row>
    <row r="751" spans="1:7" x14ac:dyDescent="0.25">
      <c r="A751" s="360" t="str">
        <f t="shared" si="15"/>
        <v>I.2.2.02.00238</v>
      </c>
      <c r="B751" s="319">
        <v>38</v>
      </c>
      <c r="C751" s="394" t="str">
        <f>IFERROR(VLOOKUP(A751,[3]DOORSCRIEFT!$A$2:$G$8551,2,FALSE),"")</f>
        <v/>
      </c>
      <c r="D751" s="393" t="str">
        <f>IFERROR(VLOOKUP(A751,[3]DOORSCRIEFT!$A$2:$G$8551,3,FALSE),"")</f>
        <v/>
      </c>
      <c r="E751" s="392" t="str">
        <f>IFERROR(VLOOKUP(A751,[3]DOORSCRIEFT!$A$2:$G$8551,4,FALSE),"")</f>
        <v/>
      </c>
      <c r="F751" s="405" t="str">
        <f>IFERROR(VLOOKUP(A751,[3]DOORSCRIEFT!$A$2:$G$8551,6,FALSE),"")</f>
        <v/>
      </c>
      <c r="G751" s="315"/>
    </row>
    <row r="752" spans="1:7" x14ac:dyDescent="0.25">
      <c r="A752" s="360" t="str">
        <f t="shared" si="15"/>
        <v>I.2.2.02.00239</v>
      </c>
      <c r="B752" s="339">
        <v>39</v>
      </c>
      <c r="C752" s="394" t="str">
        <f>IFERROR(VLOOKUP(A752,[3]DOORSCRIEFT!$A$2:$G$8551,2,FALSE),"")</f>
        <v/>
      </c>
      <c r="D752" s="393" t="str">
        <f>IFERROR(VLOOKUP(A752,[3]DOORSCRIEFT!$A$2:$G$8551,3,FALSE),"")</f>
        <v/>
      </c>
      <c r="E752" s="392" t="str">
        <f>IFERROR(VLOOKUP(A752,[3]DOORSCRIEFT!$A$2:$G$8551,4,FALSE),"")</f>
        <v/>
      </c>
      <c r="F752" s="405" t="str">
        <f>IFERROR(VLOOKUP(A752,[3]DOORSCRIEFT!$A$2:$G$8551,6,FALSE),"")</f>
        <v/>
      </c>
      <c r="G752" s="315"/>
    </row>
    <row r="753" spans="1:7" x14ac:dyDescent="0.25">
      <c r="A753" s="360" t="str">
        <f t="shared" si="15"/>
        <v>I.2.2.02.00240</v>
      </c>
      <c r="B753" s="319">
        <v>40</v>
      </c>
      <c r="C753" s="394" t="str">
        <f>IFERROR(VLOOKUP(A753,[3]DOORSCRIEFT!$A$2:$G$8551,2,FALSE),"")</f>
        <v/>
      </c>
      <c r="D753" s="393" t="str">
        <f>IFERROR(VLOOKUP(A753,[3]DOORSCRIEFT!$A$2:$G$8551,3,FALSE),"")</f>
        <v/>
      </c>
      <c r="E753" s="392" t="str">
        <f>IFERROR(VLOOKUP(A753,[3]DOORSCRIEFT!$A$2:$G$8551,4,FALSE),"")</f>
        <v/>
      </c>
      <c r="F753" s="405" t="str">
        <f>IFERROR(VLOOKUP(A753,[3]DOORSCRIEFT!$A$2:$G$8551,6,FALSE),"")</f>
        <v/>
      </c>
      <c r="G753" s="315"/>
    </row>
    <row r="754" spans="1:7" x14ac:dyDescent="0.25">
      <c r="A754" s="360" t="str">
        <f t="shared" si="15"/>
        <v>I.2.2.02.00241</v>
      </c>
      <c r="B754" s="339">
        <v>41</v>
      </c>
      <c r="C754" s="394" t="str">
        <f>IFERROR(VLOOKUP(A754,[3]DOORSCRIEFT!$A$2:$G$8551,2,FALSE),"")</f>
        <v/>
      </c>
      <c r="D754" s="393" t="str">
        <f>IFERROR(VLOOKUP(A754,[3]DOORSCRIEFT!$A$2:$G$8551,3,FALSE),"")</f>
        <v/>
      </c>
      <c r="E754" s="392" t="str">
        <f>IFERROR(VLOOKUP(A754,[3]DOORSCRIEFT!$A$2:$G$8551,4,FALSE),"")</f>
        <v/>
      </c>
      <c r="F754" s="405" t="str">
        <f>IFERROR(VLOOKUP(A754,[3]DOORSCRIEFT!$A$2:$G$8551,6,FALSE),"")</f>
        <v/>
      </c>
      <c r="G754" s="315"/>
    </row>
    <row r="755" spans="1:7" x14ac:dyDescent="0.25">
      <c r="A755" s="360" t="str">
        <f t="shared" si="15"/>
        <v>I.2.2.02.00242</v>
      </c>
      <c r="B755" s="319">
        <v>42</v>
      </c>
      <c r="C755" s="394" t="str">
        <f>IFERROR(VLOOKUP(A755,[3]DOORSCRIEFT!$A$2:$G$8551,2,FALSE),"")</f>
        <v/>
      </c>
      <c r="D755" s="393" t="str">
        <f>IFERROR(VLOOKUP(A755,[3]DOORSCRIEFT!$A$2:$G$8551,3,FALSE),"")</f>
        <v/>
      </c>
      <c r="E755" s="392" t="str">
        <f>IFERROR(VLOOKUP(A755,[3]DOORSCRIEFT!$A$2:$G$8551,4,FALSE),"")</f>
        <v/>
      </c>
      <c r="F755" s="405" t="str">
        <f>IFERROR(VLOOKUP(A755,[3]DOORSCRIEFT!$A$2:$G$8551,6,FALSE),"")</f>
        <v/>
      </c>
      <c r="G755" s="315"/>
    </row>
    <row r="756" spans="1:7" x14ac:dyDescent="0.25">
      <c r="A756" s="360" t="str">
        <f t="shared" si="15"/>
        <v>I.2.2.02.00243</v>
      </c>
      <c r="B756" s="339">
        <v>43</v>
      </c>
      <c r="C756" s="394" t="str">
        <f>IFERROR(VLOOKUP(A756,[3]DOORSCRIEFT!$A$2:$G$8551,2,FALSE),"")</f>
        <v/>
      </c>
      <c r="D756" s="393" t="str">
        <f>IFERROR(VLOOKUP(A756,[3]DOORSCRIEFT!$A$2:$G$8551,3,FALSE),"")</f>
        <v/>
      </c>
      <c r="E756" s="392" t="str">
        <f>IFERROR(VLOOKUP(A756,[3]DOORSCRIEFT!$A$2:$G$8551,4,FALSE),"")</f>
        <v/>
      </c>
      <c r="F756" s="405" t="str">
        <f>IFERROR(VLOOKUP(A756,[3]DOORSCRIEFT!$A$2:$G$8551,6,FALSE),"")</f>
        <v/>
      </c>
      <c r="G756" s="315"/>
    </row>
    <row r="757" spans="1:7" x14ac:dyDescent="0.25">
      <c r="A757" s="360" t="str">
        <f t="shared" si="15"/>
        <v>I.2.2.02.00244</v>
      </c>
      <c r="B757" s="319">
        <v>44</v>
      </c>
      <c r="C757" s="394" t="str">
        <f>IFERROR(VLOOKUP(A757,[3]DOORSCRIEFT!$A$2:$G$8551,2,FALSE),"")</f>
        <v/>
      </c>
      <c r="D757" s="393" t="str">
        <f>IFERROR(VLOOKUP(A757,[3]DOORSCRIEFT!$A$2:$G$8551,3,FALSE),"")</f>
        <v/>
      </c>
      <c r="E757" s="392" t="str">
        <f>IFERROR(VLOOKUP(A757,[3]DOORSCRIEFT!$A$2:$G$8551,4,FALSE),"")</f>
        <v/>
      </c>
      <c r="F757" s="405" t="str">
        <f>IFERROR(VLOOKUP(A757,[3]DOORSCRIEFT!$A$2:$G$8551,6,FALSE),"")</f>
        <v/>
      </c>
      <c r="G757" s="315"/>
    </row>
    <row r="758" spans="1:7" x14ac:dyDescent="0.25">
      <c r="A758" s="360" t="str">
        <f t="shared" si="15"/>
        <v>I.2.2.02.00245</v>
      </c>
      <c r="B758" s="339">
        <v>45</v>
      </c>
      <c r="C758" s="394" t="str">
        <f>IFERROR(VLOOKUP(A758,[3]DOORSCRIEFT!$A$2:$G$8551,2,FALSE),"")</f>
        <v/>
      </c>
      <c r="D758" s="393" t="str">
        <f>IFERROR(VLOOKUP(A758,[3]DOORSCRIEFT!$A$2:$G$8551,3,FALSE),"")</f>
        <v/>
      </c>
      <c r="E758" s="392" t="str">
        <f>IFERROR(VLOOKUP(A758,[3]DOORSCRIEFT!$A$2:$G$8551,4,FALSE),"")</f>
        <v/>
      </c>
      <c r="F758" s="405" t="str">
        <f>IFERROR(VLOOKUP(A758,[3]DOORSCRIEFT!$A$2:$G$8551,6,FALSE),"")</f>
        <v/>
      </c>
      <c r="G758" s="315"/>
    </row>
    <row r="759" spans="1:7" x14ac:dyDescent="0.25">
      <c r="A759" s="360" t="str">
        <f t="shared" si="15"/>
        <v>I.2.2.02.00246</v>
      </c>
      <c r="B759" s="319">
        <v>46</v>
      </c>
      <c r="C759" s="394" t="str">
        <f>IFERROR(VLOOKUP(A759,[3]DOORSCRIEFT!$A$2:$G$8551,2,FALSE),"")</f>
        <v/>
      </c>
      <c r="D759" s="393" t="str">
        <f>IFERROR(VLOOKUP(A759,[3]DOORSCRIEFT!$A$2:$G$8551,3,FALSE),"")</f>
        <v/>
      </c>
      <c r="E759" s="392" t="str">
        <f>IFERROR(VLOOKUP(A759,[3]DOORSCRIEFT!$A$2:$G$8551,4,FALSE),"")</f>
        <v/>
      </c>
      <c r="F759" s="405" t="str">
        <f>IFERROR(VLOOKUP(A759,[3]DOORSCRIEFT!$A$2:$G$8551,6,FALSE),"")</f>
        <v/>
      </c>
      <c r="G759" s="315"/>
    </row>
    <row r="760" spans="1:7" x14ac:dyDescent="0.25">
      <c r="A760" s="319" t="str">
        <f t="shared" si="15"/>
        <v>I.2.2.02.00247</v>
      </c>
      <c r="B760" s="353">
        <v>47</v>
      </c>
      <c r="C760" s="394" t="str">
        <f>IFERROR(VLOOKUP(A760,[3]DOORSCRIEFT!$A$2:$G$8551,2,FALSE),"")</f>
        <v/>
      </c>
      <c r="D760" s="393" t="str">
        <f>IFERROR(VLOOKUP(A760,[3]DOORSCRIEFT!$A$2:$G$8551,3,FALSE),"")</f>
        <v/>
      </c>
      <c r="E760" s="392" t="str">
        <f>IFERROR(VLOOKUP(A760,[3]DOORSCRIEFT!$A$2:$G$8551,4,FALSE),"")</f>
        <v/>
      </c>
      <c r="F760" s="405" t="str">
        <f>IFERROR(VLOOKUP(A760,[3]DOORSCRIEFT!$A$2:$G$8551,6,FALSE),"")</f>
        <v/>
      </c>
      <c r="G760" s="315"/>
    </row>
    <row r="761" spans="1:7" x14ac:dyDescent="0.25">
      <c r="A761" s="319" t="str">
        <f t="shared" si="15"/>
        <v>I.2.2.02.00248</v>
      </c>
      <c r="B761" s="319">
        <v>48</v>
      </c>
      <c r="C761" s="394" t="str">
        <f>IFERROR(VLOOKUP(A761,[3]DOORSCRIEFT!$A$2:$G$8551,2,FALSE),"")</f>
        <v/>
      </c>
      <c r="D761" s="393" t="str">
        <f>IFERROR(VLOOKUP(A761,[3]DOORSCRIEFT!$A$2:$G$8551,3,FALSE),"")</f>
        <v/>
      </c>
      <c r="E761" s="392" t="str">
        <f>IFERROR(VLOOKUP(A761,[3]DOORSCRIEFT!$A$2:$G$8551,4,FALSE),"")</f>
        <v/>
      </c>
      <c r="F761" s="405" t="str">
        <f>IFERROR(VLOOKUP(A761,[3]DOORSCRIEFT!$A$2:$G$8551,6,FALSE),"")</f>
        <v/>
      </c>
      <c r="G761" s="349"/>
    </row>
    <row r="762" spans="1:7" x14ac:dyDescent="0.25">
      <c r="A762" s="319" t="str">
        <f t="shared" si="15"/>
        <v>I.2.2.02.00249</v>
      </c>
      <c r="B762" s="353">
        <v>49</v>
      </c>
      <c r="C762" s="394" t="str">
        <f>IFERROR(VLOOKUP(A762,[3]DOORSCRIEFT!$A$2:$G$8551,2,FALSE),"")</f>
        <v/>
      </c>
      <c r="D762" s="393" t="str">
        <f>IFERROR(VLOOKUP(A762,[3]DOORSCRIEFT!$A$2:$G$8551,3,FALSE),"")</f>
        <v/>
      </c>
      <c r="E762" s="392" t="str">
        <f>IFERROR(VLOOKUP(A762,[3]DOORSCRIEFT!$A$2:$G$8551,4,FALSE),"")</f>
        <v/>
      </c>
      <c r="F762" s="405" t="str">
        <f>IFERROR(VLOOKUP(A762,[3]DOORSCRIEFT!$A$2:$G$8551,6,FALSE),"")</f>
        <v/>
      </c>
      <c r="G762" s="349"/>
    </row>
    <row r="763" spans="1:7" x14ac:dyDescent="0.25">
      <c r="A763" s="319" t="str">
        <f t="shared" si="15"/>
        <v>I.2.2.02.00250</v>
      </c>
      <c r="B763" s="319">
        <v>50</v>
      </c>
      <c r="C763" s="394" t="str">
        <f>IFERROR(VLOOKUP(A763,[3]DOORSCRIEFT!$A$2:$G$8551,2,FALSE),"")</f>
        <v/>
      </c>
      <c r="D763" s="393" t="str">
        <f>IFERROR(VLOOKUP(A763,[3]DOORSCRIEFT!$A$2:$G$8551,3,FALSE),"")</f>
        <v/>
      </c>
      <c r="E763" s="392" t="str">
        <f>IFERROR(VLOOKUP(A763,[3]DOORSCRIEFT!$A$2:$G$8551,4,FALSE),"")</f>
        <v/>
      </c>
      <c r="F763" s="405" t="str">
        <f>IFERROR(VLOOKUP(A763,[3]DOORSCRIEFT!$A$2:$G$8551,6,FALSE),"")</f>
        <v/>
      </c>
      <c r="G763" s="349"/>
    </row>
    <row r="764" spans="1:7" x14ac:dyDescent="0.25">
      <c r="A764" s="319" t="str">
        <f t="shared" si="15"/>
        <v>I.2.2.02.00251</v>
      </c>
      <c r="B764" s="353">
        <v>51</v>
      </c>
      <c r="C764" s="394" t="str">
        <f>IFERROR(VLOOKUP(A764,[3]DOORSCRIEFT!$A$2:$G$8551,2,FALSE),"")</f>
        <v/>
      </c>
      <c r="D764" s="393" t="str">
        <f>IFERROR(VLOOKUP(A764,[3]DOORSCRIEFT!$A$2:$G$8551,3,FALSE),"")</f>
        <v/>
      </c>
      <c r="E764" s="392" t="str">
        <f>IFERROR(VLOOKUP(A764,[3]DOORSCRIEFT!$A$2:$G$8551,4,FALSE),"")</f>
        <v/>
      </c>
      <c r="F764" s="405" t="str">
        <f>IFERROR(VLOOKUP(A764,[3]DOORSCRIEFT!$A$2:$G$8551,6,FALSE),"")</f>
        <v/>
      </c>
      <c r="G764" s="349"/>
    </row>
    <row r="765" spans="1:7" x14ac:dyDescent="0.25">
      <c r="A765" s="319" t="str">
        <f t="shared" si="15"/>
        <v>I.2.2.02.00252</v>
      </c>
      <c r="B765" s="319">
        <v>52</v>
      </c>
      <c r="C765" s="394" t="str">
        <f>IFERROR(VLOOKUP(A765,[3]DOORSCRIEFT!$A$2:$G$8551,2,FALSE),"")</f>
        <v/>
      </c>
      <c r="D765" s="393" t="str">
        <f>IFERROR(VLOOKUP(A765,[3]DOORSCRIEFT!$A$2:$G$8551,3,FALSE),"")</f>
        <v/>
      </c>
      <c r="E765" s="392" t="str">
        <f>IFERROR(VLOOKUP(A765,[3]DOORSCRIEFT!$A$2:$G$8551,4,FALSE),"")</f>
        <v/>
      </c>
      <c r="F765" s="405" t="str">
        <f>IFERROR(VLOOKUP(A765,[3]DOORSCRIEFT!$A$2:$G$8551,6,FALSE),"")</f>
        <v/>
      </c>
      <c r="G765" s="349"/>
    </row>
    <row r="766" spans="1:7" x14ac:dyDescent="0.25">
      <c r="A766" s="319" t="str">
        <f t="shared" si="15"/>
        <v>I.2.2.02.00253</v>
      </c>
      <c r="B766" s="353">
        <v>53</v>
      </c>
      <c r="C766" s="394" t="str">
        <f>IFERROR(VLOOKUP(A766,[3]DOORSCRIEFT!$A$2:$G$8551,2,FALSE),"")</f>
        <v/>
      </c>
      <c r="D766" s="393" t="str">
        <f>IFERROR(VLOOKUP(A766,[3]DOORSCRIEFT!$A$2:$G$8551,3,FALSE),"")</f>
        <v/>
      </c>
      <c r="E766" s="392" t="str">
        <f>IFERROR(VLOOKUP(A766,[3]DOORSCRIEFT!$A$2:$G$8551,4,FALSE),"")</f>
        <v/>
      </c>
      <c r="F766" s="405" t="str">
        <f>IFERROR(VLOOKUP(A766,[3]DOORSCRIEFT!$A$2:$G$8551,6,FALSE),"")</f>
        <v/>
      </c>
      <c r="G766" s="349"/>
    </row>
    <row r="767" spans="1:7" x14ac:dyDescent="0.25">
      <c r="A767" s="319" t="str">
        <f t="shared" si="15"/>
        <v>I.2.2.02.00254</v>
      </c>
      <c r="B767" s="319">
        <v>54</v>
      </c>
      <c r="C767" s="394" t="str">
        <f>IFERROR(VLOOKUP(A767,[3]DOORSCRIEFT!$A$2:$G$8551,2,FALSE),"")</f>
        <v/>
      </c>
      <c r="D767" s="393" t="str">
        <f>IFERROR(VLOOKUP(A767,[3]DOORSCRIEFT!$A$2:$G$8551,3,FALSE),"")</f>
        <v/>
      </c>
      <c r="E767" s="392" t="str">
        <f>IFERROR(VLOOKUP(A767,[3]DOORSCRIEFT!$A$2:$G$8551,4,FALSE),"")</f>
        <v/>
      </c>
      <c r="F767" s="405" t="str">
        <f>IFERROR(VLOOKUP(A767,[3]DOORSCRIEFT!$A$2:$G$8551,6,FALSE),"")</f>
        <v/>
      </c>
      <c r="G767" s="349"/>
    </row>
    <row r="768" spans="1:7" x14ac:dyDescent="0.25">
      <c r="A768" s="319" t="str">
        <f t="shared" si="15"/>
        <v>I.2.2.02.00255</v>
      </c>
      <c r="B768" s="353">
        <v>55</v>
      </c>
      <c r="C768" s="394" t="str">
        <f>IFERROR(VLOOKUP(A768,[3]DOORSCRIEFT!$A$2:$G$8551,2,FALSE),"")</f>
        <v/>
      </c>
      <c r="D768" s="393" t="str">
        <f>IFERROR(VLOOKUP(A768,[3]DOORSCRIEFT!$A$2:$G$8551,3,FALSE),"")</f>
        <v/>
      </c>
      <c r="E768" s="392" t="str">
        <f>IFERROR(VLOOKUP(A768,[3]DOORSCRIEFT!$A$2:$G$8551,4,FALSE),"")</f>
        <v/>
      </c>
      <c r="F768" s="405" t="str">
        <f>IFERROR(VLOOKUP(A768,[3]DOORSCRIEFT!$A$2:$G$8551,6,FALSE),"")</f>
        <v/>
      </c>
      <c r="G768" s="349"/>
    </row>
    <row r="769" spans="1:7" x14ac:dyDescent="0.25">
      <c r="A769" s="319" t="str">
        <f t="shared" si="15"/>
        <v>I.2.2.02.00256</v>
      </c>
      <c r="B769" s="319">
        <v>56</v>
      </c>
      <c r="C769" s="394" t="str">
        <f>IFERROR(VLOOKUP(A769,[3]DOORSCRIEFT!$A$2:$G$8551,2,FALSE),"")</f>
        <v/>
      </c>
      <c r="D769" s="393" t="str">
        <f>IFERROR(VLOOKUP(A769,[3]DOORSCRIEFT!$A$2:$G$8551,3,FALSE),"")</f>
        <v/>
      </c>
      <c r="E769" s="392" t="str">
        <f>IFERROR(VLOOKUP(A769,[3]DOORSCRIEFT!$A$2:$G$8551,4,FALSE),"")</f>
        <v/>
      </c>
      <c r="F769" s="405" t="str">
        <f>IFERROR(VLOOKUP(A769,[3]DOORSCRIEFT!$A$2:$G$8551,6,FALSE),"")</f>
        <v/>
      </c>
      <c r="G769" s="349"/>
    </row>
    <row r="770" spans="1:7" x14ac:dyDescent="0.25">
      <c r="A770" s="319" t="str">
        <f t="shared" si="15"/>
        <v>I.2.2.02.00257</v>
      </c>
      <c r="B770" s="353">
        <v>57</v>
      </c>
      <c r="C770" s="394" t="str">
        <f>IFERROR(VLOOKUP(A770,[3]DOORSCRIEFT!$A$2:$G$8551,2,FALSE),"")</f>
        <v/>
      </c>
      <c r="D770" s="393" t="str">
        <f>IFERROR(VLOOKUP(A770,[3]DOORSCRIEFT!$A$2:$G$8551,3,FALSE),"")</f>
        <v/>
      </c>
      <c r="E770" s="392" t="str">
        <f>IFERROR(VLOOKUP(A770,[3]DOORSCRIEFT!$A$2:$G$8551,4,FALSE),"")</f>
        <v/>
      </c>
      <c r="F770" s="405" t="str">
        <f>IFERROR(VLOOKUP(A770,[3]DOORSCRIEFT!$A$2:$G$8551,6,FALSE),"")</f>
        <v/>
      </c>
      <c r="G770" s="349"/>
    </row>
    <row r="771" spans="1:7" x14ac:dyDescent="0.25">
      <c r="A771" s="319" t="str">
        <f t="shared" si="15"/>
        <v>I.2.2.02.00258</v>
      </c>
      <c r="B771" s="319">
        <v>58</v>
      </c>
      <c r="C771" s="394" t="str">
        <f>IFERROR(VLOOKUP(A771,[3]DOORSCRIEFT!$A$2:$G$8551,2,FALSE),"")</f>
        <v/>
      </c>
      <c r="D771" s="393" t="str">
        <f>IFERROR(VLOOKUP(A771,[3]DOORSCRIEFT!$A$2:$G$8551,3,FALSE),"")</f>
        <v/>
      </c>
      <c r="E771" s="392" t="str">
        <f>IFERROR(VLOOKUP(A771,[3]DOORSCRIEFT!$A$2:$G$8551,4,FALSE),"")</f>
        <v/>
      </c>
      <c r="F771" s="405" t="str">
        <f>IFERROR(VLOOKUP(A771,[3]DOORSCRIEFT!$A$2:$G$8551,6,FALSE),"")</f>
        <v/>
      </c>
      <c r="G771" s="349"/>
    </row>
    <row r="772" spans="1:7" x14ac:dyDescent="0.25">
      <c r="A772" s="319" t="str">
        <f t="shared" si="15"/>
        <v>I.2.2.02.00259</v>
      </c>
      <c r="B772" s="353">
        <v>59</v>
      </c>
      <c r="C772" s="394" t="str">
        <f>IFERROR(VLOOKUP(A772,[3]DOORSCRIEFT!$A$2:$G$8551,2,FALSE),"")</f>
        <v/>
      </c>
      <c r="D772" s="393" t="str">
        <f>IFERROR(VLOOKUP(A772,[3]DOORSCRIEFT!$A$2:$G$8551,3,FALSE),"")</f>
        <v/>
      </c>
      <c r="E772" s="392" t="str">
        <f>IFERROR(VLOOKUP(A772,[3]DOORSCRIEFT!$A$2:$G$8551,4,FALSE),"")</f>
        <v/>
      </c>
      <c r="F772" s="405" t="str">
        <f>IFERROR(VLOOKUP(A772,[3]DOORSCRIEFT!$A$2:$G$8551,6,FALSE),"")</f>
        <v/>
      </c>
      <c r="G772" s="349"/>
    </row>
    <row r="773" spans="1:7" x14ac:dyDescent="0.25">
      <c r="A773" s="319" t="str">
        <f t="shared" si="15"/>
        <v>I.2.2.02.00260</v>
      </c>
      <c r="B773" s="319">
        <v>60</v>
      </c>
      <c r="C773" s="394" t="str">
        <f>IFERROR(VLOOKUP(A773,[3]DOORSCRIEFT!$A$2:$G$8551,2,FALSE),"")</f>
        <v/>
      </c>
      <c r="D773" s="393" t="str">
        <f>IFERROR(VLOOKUP(A773,[3]DOORSCRIEFT!$A$2:$G$8551,3,FALSE),"")</f>
        <v/>
      </c>
      <c r="E773" s="392" t="str">
        <f>IFERROR(VLOOKUP(A773,[3]DOORSCRIEFT!$A$2:$G$8551,4,FALSE),"")</f>
        <v/>
      </c>
      <c r="F773" s="405" t="str">
        <f>IFERROR(VLOOKUP(A773,[3]DOORSCRIEFT!$A$2:$G$8551,6,FALSE),"")</f>
        <v/>
      </c>
      <c r="G773" s="349"/>
    </row>
    <row r="774" spans="1:7" x14ac:dyDescent="0.25">
      <c r="A774" s="319" t="str">
        <f t="shared" si="15"/>
        <v>I.2.2.02.00261</v>
      </c>
      <c r="B774" s="353">
        <v>61</v>
      </c>
      <c r="C774" s="394" t="str">
        <f>IFERROR(VLOOKUP(A774,[3]DOORSCRIEFT!$A$2:$G$8551,2,FALSE),"")</f>
        <v/>
      </c>
      <c r="D774" s="393" t="str">
        <f>IFERROR(VLOOKUP(A774,[3]DOORSCRIEFT!$A$2:$G$8551,3,FALSE),"")</f>
        <v/>
      </c>
      <c r="E774" s="392" t="str">
        <f>IFERROR(VLOOKUP(A774,[3]DOORSCRIEFT!$A$2:$G$8551,4,FALSE),"")</f>
        <v/>
      </c>
      <c r="F774" s="405" t="str">
        <f>IFERROR(VLOOKUP(A774,[3]DOORSCRIEFT!$A$2:$G$8551,6,FALSE),"")</f>
        <v/>
      </c>
      <c r="G774" s="349"/>
    </row>
    <row r="775" spans="1:7" x14ac:dyDescent="0.25">
      <c r="A775" s="319" t="str">
        <f t="shared" si="15"/>
        <v>I.2.2.02.00262</v>
      </c>
      <c r="B775" s="319">
        <v>62</v>
      </c>
      <c r="C775" s="394" t="str">
        <f>IFERROR(VLOOKUP(A775,[3]DOORSCRIEFT!$A$2:$G$8551,2,FALSE),"")</f>
        <v/>
      </c>
      <c r="D775" s="393" t="str">
        <f>IFERROR(VLOOKUP(A775,[3]DOORSCRIEFT!$A$2:$G$8551,3,FALSE),"")</f>
        <v/>
      </c>
      <c r="E775" s="392" t="str">
        <f>IFERROR(VLOOKUP(A775,[3]DOORSCRIEFT!$A$2:$G$8551,4,FALSE),"")</f>
        <v/>
      </c>
      <c r="F775" s="405" t="str">
        <f>IFERROR(VLOOKUP(A775,[3]DOORSCRIEFT!$A$2:$G$8551,6,FALSE),"")</f>
        <v/>
      </c>
      <c r="G775" s="349"/>
    </row>
    <row r="776" spans="1:7" x14ac:dyDescent="0.25">
      <c r="A776" s="319" t="str">
        <f t="shared" si="15"/>
        <v>I.2.2.02.00263</v>
      </c>
      <c r="B776" s="353">
        <v>63</v>
      </c>
      <c r="C776" s="394" t="str">
        <f>IFERROR(VLOOKUP(A776,[3]DOORSCRIEFT!$A$2:$G$8551,2,FALSE),"")</f>
        <v/>
      </c>
      <c r="D776" s="393" t="str">
        <f>IFERROR(VLOOKUP(A776,[3]DOORSCRIEFT!$A$2:$G$8551,3,FALSE),"")</f>
        <v/>
      </c>
      <c r="E776" s="392" t="str">
        <f>IFERROR(VLOOKUP(A776,[3]DOORSCRIEFT!$A$2:$G$8551,4,FALSE),"")</f>
        <v/>
      </c>
      <c r="F776" s="405" t="str">
        <f>IFERROR(VLOOKUP(A776,[3]DOORSCRIEFT!$A$2:$G$8551,6,FALSE),"")</f>
        <v/>
      </c>
      <c r="G776" s="349"/>
    </row>
    <row r="777" spans="1:7" x14ac:dyDescent="0.25">
      <c r="A777" s="319" t="str">
        <f t="shared" si="15"/>
        <v>I.2.2.02.00264</v>
      </c>
      <c r="B777" s="319">
        <v>64</v>
      </c>
      <c r="C777" s="394" t="str">
        <f>IFERROR(VLOOKUP(A777,[3]DOORSCRIEFT!$A$2:$G$8551,2,FALSE),"")</f>
        <v/>
      </c>
      <c r="D777" s="393" t="str">
        <f>IFERROR(VLOOKUP(A777,[3]DOORSCRIEFT!$A$2:$G$8551,3,FALSE),"")</f>
        <v/>
      </c>
      <c r="E777" s="392" t="str">
        <f>IFERROR(VLOOKUP(A777,[3]DOORSCRIEFT!$A$2:$G$8551,4,FALSE),"")</f>
        <v/>
      </c>
      <c r="F777" s="405" t="str">
        <f>IFERROR(VLOOKUP(A777,[3]DOORSCRIEFT!$A$2:$G$8551,6,FALSE),"")</f>
        <v/>
      </c>
      <c r="G777" s="349"/>
    </row>
    <row r="778" spans="1:7" x14ac:dyDescent="0.25">
      <c r="A778" s="319" t="str">
        <f t="shared" ref="A778:A809" si="16">$G$707&amp;B778</f>
        <v>I.2.2.02.00265</v>
      </c>
      <c r="B778" s="353">
        <v>65</v>
      </c>
      <c r="C778" s="394" t="str">
        <f>IFERROR(VLOOKUP(A778,[3]DOORSCRIEFT!$A$2:$G$8551,2,FALSE),"")</f>
        <v/>
      </c>
      <c r="D778" s="393" t="str">
        <f>IFERROR(VLOOKUP(A778,[3]DOORSCRIEFT!$A$2:$G$8551,3,FALSE),"")</f>
        <v/>
      </c>
      <c r="E778" s="392" t="str">
        <f>IFERROR(VLOOKUP(A778,[3]DOORSCRIEFT!$A$2:$G$8551,4,FALSE),"")</f>
        <v/>
      </c>
      <c r="F778" s="405" t="str">
        <f>IFERROR(VLOOKUP(A778,[3]DOORSCRIEFT!$A$2:$G$8551,6,FALSE),"")</f>
        <v/>
      </c>
      <c r="G778" s="349"/>
    </row>
    <row r="779" spans="1:7" x14ac:dyDescent="0.25">
      <c r="A779" s="319" t="str">
        <f t="shared" si="16"/>
        <v>I.2.2.02.00266</v>
      </c>
      <c r="B779" s="319">
        <v>66</v>
      </c>
      <c r="C779" s="394" t="str">
        <f>IFERROR(VLOOKUP(A779,[3]DOORSCRIEFT!$A$2:$G$8551,2,FALSE),"")</f>
        <v/>
      </c>
      <c r="D779" s="393" t="str">
        <f>IFERROR(VLOOKUP(A779,[3]DOORSCRIEFT!$A$2:$G$8551,3,FALSE),"")</f>
        <v/>
      </c>
      <c r="E779" s="392" t="str">
        <f>IFERROR(VLOOKUP(A779,[3]DOORSCRIEFT!$A$2:$G$8551,4,FALSE),"")</f>
        <v/>
      </c>
      <c r="F779" s="405" t="str">
        <f>IFERROR(VLOOKUP(A779,[3]DOORSCRIEFT!$A$2:$G$8551,6,FALSE),"")</f>
        <v/>
      </c>
      <c r="G779" s="349"/>
    </row>
    <row r="780" spans="1:7" x14ac:dyDescent="0.25">
      <c r="A780" s="319" t="str">
        <f t="shared" si="16"/>
        <v>I.2.2.02.00267</v>
      </c>
      <c r="B780" s="353">
        <v>67</v>
      </c>
      <c r="C780" s="394" t="str">
        <f>IFERROR(VLOOKUP(A780,[3]DOORSCRIEFT!$A$2:$G$8551,2,FALSE),"")</f>
        <v/>
      </c>
      <c r="D780" s="393" t="str">
        <f>IFERROR(VLOOKUP(A780,[3]DOORSCRIEFT!$A$2:$G$8551,3,FALSE),"")</f>
        <v/>
      </c>
      <c r="E780" s="392" t="str">
        <f>IFERROR(VLOOKUP(A780,[3]DOORSCRIEFT!$A$2:$G$8551,4,FALSE),"")</f>
        <v/>
      </c>
      <c r="F780" s="405" t="str">
        <f>IFERROR(VLOOKUP(A780,[3]DOORSCRIEFT!$A$2:$G$8551,6,FALSE),"")</f>
        <v/>
      </c>
      <c r="G780" s="349"/>
    </row>
    <row r="781" spans="1:7" x14ac:dyDescent="0.25">
      <c r="A781" s="319" t="str">
        <f t="shared" si="16"/>
        <v>I.2.2.02.00268</v>
      </c>
      <c r="B781" s="319">
        <v>68</v>
      </c>
      <c r="C781" s="394" t="str">
        <f>IFERROR(VLOOKUP(A781,[3]DOORSCRIEFT!$A$2:$G$8551,2,FALSE),"")</f>
        <v/>
      </c>
      <c r="D781" s="393" t="str">
        <f>IFERROR(VLOOKUP(A781,[3]DOORSCRIEFT!$A$2:$G$8551,3,FALSE),"")</f>
        <v/>
      </c>
      <c r="E781" s="392" t="str">
        <f>IFERROR(VLOOKUP(A781,[3]DOORSCRIEFT!$A$2:$G$8551,4,FALSE),"")</f>
        <v/>
      </c>
      <c r="F781" s="405" t="str">
        <f>IFERROR(VLOOKUP(A781,[3]DOORSCRIEFT!$A$2:$G$8551,6,FALSE),"")</f>
        <v/>
      </c>
      <c r="G781" s="349"/>
    </row>
    <row r="782" spans="1:7" x14ac:dyDescent="0.25">
      <c r="A782" s="319" t="str">
        <f t="shared" si="16"/>
        <v>I.2.2.02.00269</v>
      </c>
      <c r="B782" s="353">
        <v>69</v>
      </c>
      <c r="C782" s="394" t="str">
        <f>IFERROR(VLOOKUP(A782,[3]DOORSCRIEFT!$A$2:$G$8551,2,FALSE),"")</f>
        <v/>
      </c>
      <c r="D782" s="393" t="str">
        <f>IFERROR(VLOOKUP(A782,[3]DOORSCRIEFT!$A$2:$G$8551,3,FALSE),"")</f>
        <v/>
      </c>
      <c r="E782" s="392" t="str">
        <f>IFERROR(VLOOKUP(A782,[3]DOORSCRIEFT!$A$2:$G$8551,4,FALSE),"")</f>
        <v/>
      </c>
      <c r="F782" s="405" t="str">
        <f>IFERROR(VLOOKUP(A782,[3]DOORSCRIEFT!$A$2:$G$8551,6,FALSE),"")</f>
        <v/>
      </c>
      <c r="G782" s="349"/>
    </row>
    <row r="783" spans="1:7" x14ac:dyDescent="0.25">
      <c r="A783" s="319" t="str">
        <f t="shared" si="16"/>
        <v>I.2.2.02.00270</v>
      </c>
      <c r="B783" s="319">
        <v>70</v>
      </c>
      <c r="C783" s="394" t="str">
        <f>IFERROR(VLOOKUP(A783,[3]DOORSCRIEFT!$A$2:$G$8551,2,FALSE),"")</f>
        <v/>
      </c>
      <c r="D783" s="393" t="str">
        <f>IFERROR(VLOOKUP(A783,[3]DOORSCRIEFT!$A$2:$G$8551,3,FALSE),"")</f>
        <v/>
      </c>
      <c r="E783" s="392" t="str">
        <f>IFERROR(VLOOKUP(A783,[3]DOORSCRIEFT!$A$2:$G$8551,4,FALSE),"")</f>
        <v/>
      </c>
      <c r="F783" s="405" t="str">
        <f>IFERROR(VLOOKUP(A783,[3]DOORSCRIEFT!$A$2:$G$8551,6,FALSE),"")</f>
        <v/>
      </c>
      <c r="G783" s="349"/>
    </row>
    <row r="784" spans="1:7" x14ac:dyDescent="0.25">
      <c r="A784" s="319" t="str">
        <f t="shared" si="16"/>
        <v>I.2.2.02.00271</v>
      </c>
      <c r="B784" s="353">
        <v>71</v>
      </c>
      <c r="C784" s="394" t="str">
        <f>IFERROR(VLOOKUP(A784,[3]DOORSCRIEFT!$A$2:$G$8551,2,FALSE),"")</f>
        <v/>
      </c>
      <c r="D784" s="393" t="str">
        <f>IFERROR(VLOOKUP(A784,[3]DOORSCRIEFT!$A$2:$G$8551,3,FALSE),"")</f>
        <v/>
      </c>
      <c r="E784" s="392" t="str">
        <f>IFERROR(VLOOKUP(A784,[3]DOORSCRIEFT!$A$2:$G$8551,4,FALSE),"")</f>
        <v/>
      </c>
      <c r="F784" s="405" t="str">
        <f>IFERROR(VLOOKUP(A784,[3]DOORSCRIEFT!$A$2:$G$8551,6,FALSE),"")</f>
        <v/>
      </c>
      <c r="G784" s="349"/>
    </row>
    <row r="785" spans="1:7" x14ac:dyDescent="0.25">
      <c r="A785" s="319" t="str">
        <f t="shared" si="16"/>
        <v>I.2.2.02.00272</v>
      </c>
      <c r="B785" s="319">
        <v>72</v>
      </c>
      <c r="C785" s="394" t="str">
        <f>IFERROR(VLOOKUP(A785,[3]DOORSCRIEFT!$A$2:$G$8551,2,FALSE),"")</f>
        <v/>
      </c>
      <c r="D785" s="393" t="str">
        <f>IFERROR(VLOOKUP(A785,[3]DOORSCRIEFT!$A$2:$G$8551,3,FALSE),"")</f>
        <v/>
      </c>
      <c r="E785" s="392" t="str">
        <f>IFERROR(VLOOKUP(A785,[3]DOORSCRIEFT!$A$2:$G$8551,4,FALSE),"")</f>
        <v/>
      </c>
      <c r="F785" s="405" t="str">
        <f>IFERROR(VLOOKUP(A785,[3]DOORSCRIEFT!$A$2:$G$8551,6,FALSE),"")</f>
        <v/>
      </c>
      <c r="G785" s="349"/>
    </row>
    <row r="786" spans="1:7" x14ac:dyDescent="0.25">
      <c r="A786" s="319" t="str">
        <f t="shared" si="16"/>
        <v>I.2.2.02.00273</v>
      </c>
      <c r="B786" s="353">
        <v>73</v>
      </c>
      <c r="C786" s="394" t="str">
        <f>IFERROR(VLOOKUP(A786,[3]DOORSCRIEFT!$A$2:$G$8551,2,FALSE),"")</f>
        <v/>
      </c>
      <c r="D786" s="393" t="str">
        <f>IFERROR(VLOOKUP(A786,[3]DOORSCRIEFT!$A$2:$G$8551,3,FALSE),"")</f>
        <v/>
      </c>
      <c r="E786" s="392" t="str">
        <f>IFERROR(VLOOKUP(A786,[3]DOORSCRIEFT!$A$2:$G$8551,4,FALSE),"")</f>
        <v/>
      </c>
      <c r="F786" s="405" t="str">
        <f>IFERROR(VLOOKUP(A786,[3]DOORSCRIEFT!$A$2:$G$8551,6,FALSE),"")</f>
        <v/>
      </c>
      <c r="G786" s="349"/>
    </row>
    <row r="787" spans="1:7" x14ac:dyDescent="0.25">
      <c r="A787" s="319" t="str">
        <f t="shared" si="16"/>
        <v>I.2.2.02.00274</v>
      </c>
      <c r="B787" s="319">
        <v>74</v>
      </c>
      <c r="C787" s="394" t="str">
        <f>IFERROR(VLOOKUP(A787,[3]DOORSCRIEFT!$A$2:$G$8551,2,FALSE),"")</f>
        <v/>
      </c>
      <c r="D787" s="393" t="str">
        <f>IFERROR(VLOOKUP(A787,[3]DOORSCRIEFT!$A$2:$G$8551,3,FALSE),"")</f>
        <v/>
      </c>
      <c r="E787" s="392" t="str">
        <f>IFERROR(VLOOKUP(A787,[3]DOORSCRIEFT!$A$2:$G$8551,4,FALSE),"")</f>
        <v/>
      </c>
      <c r="F787" s="405" t="str">
        <f>IFERROR(VLOOKUP(A787,[3]DOORSCRIEFT!$A$2:$G$8551,6,FALSE),"")</f>
        <v/>
      </c>
      <c r="G787" s="349"/>
    </row>
    <row r="788" spans="1:7" x14ac:dyDescent="0.25">
      <c r="A788" s="319" t="str">
        <f t="shared" si="16"/>
        <v>I.2.2.02.00275</v>
      </c>
      <c r="B788" s="353">
        <v>75</v>
      </c>
      <c r="C788" s="394" t="str">
        <f>IFERROR(VLOOKUP(A788,[3]DOORSCRIEFT!$A$2:$G$8551,2,FALSE),"")</f>
        <v/>
      </c>
      <c r="D788" s="393" t="str">
        <f>IFERROR(VLOOKUP(A788,[3]DOORSCRIEFT!$A$2:$G$8551,3,FALSE),"")</f>
        <v/>
      </c>
      <c r="E788" s="392" t="str">
        <f>IFERROR(VLOOKUP(A788,[3]DOORSCRIEFT!$A$2:$G$8551,4,FALSE),"")</f>
        <v/>
      </c>
      <c r="F788" s="405" t="str">
        <f>IFERROR(VLOOKUP(A788,[3]DOORSCRIEFT!$A$2:$G$8551,6,FALSE),"")</f>
        <v/>
      </c>
      <c r="G788" s="349"/>
    </row>
    <row r="789" spans="1:7" x14ac:dyDescent="0.25">
      <c r="A789" s="319" t="str">
        <f t="shared" si="16"/>
        <v>I.2.2.02.00276</v>
      </c>
      <c r="B789" s="319">
        <v>76</v>
      </c>
      <c r="C789" s="394" t="str">
        <f>IFERROR(VLOOKUP(A789,[3]DOORSCRIEFT!$A$2:$G$8551,2,FALSE),"")</f>
        <v/>
      </c>
      <c r="D789" s="393" t="str">
        <f>IFERROR(VLOOKUP(A789,[3]DOORSCRIEFT!$A$2:$G$8551,3,FALSE),"")</f>
        <v/>
      </c>
      <c r="E789" s="392" t="str">
        <f>IFERROR(VLOOKUP(A789,[3]DOORSCRIEFT!$A$2:$G$8551,4,FALSE),"")</f>
        <v/>
      </c>
      <c r="F789" s="405" t="str">
        <f>IFERROR(VLOOKUP(A789,[3]DOORSCRIEFT!$A$2:$G$8551,6,FALSE),"")</f>
        <v/>
      </c>
      <c r="G789" s="349"/>
    </row>
    <row r="790" spans="1:7" x14ac:dyDescent="0.25">
      <c r="A790" s="319" t="str">
        <f t="shared" si="16"/>
        <v>I.2.2.02.00277</v>
      </c>
      <c r="B790" s="353">
        <v>77</v>
      </c>
      <c r="C790" s="394" t="str">
        <f>IFERROR(VLOOKUP(A790,[3]DOORSCRIEFT!$A$2:$G$8551,2,FALSE),"")</f>
        <v/>
      </c>
      <c r="D790" s="393" t="str">
        <f>IFERROR(VLOOKUP(A790,[3]DOORSCRIEFT!$A$2:$G$8551,3,FALSE),"")</f>
        <v/>
      </c>
      <c r="E790" s="392" t="str">
        <f>IFERROR(VLOOKUP(A790,[3]DOORSCRIEFT!$A$2:$G$8551,4,FALSE),"")</f>
        <v/>
      </c>
      <c r="F790" s="405" t="str">
        <f>IFERROR(VLOOKUP(A790,[3]DOORSCRIEFT!$A$2:$G$8551,6,FALSE),"")</f>
        <v/>
      </c>
      <c r="G790" s="349"/>
    </row>
    <row r="791" spans="1:7" x14ac:dyDescent="0.25">
      <c r="A791" s="319" t="str">
        <f t="shared" si="16"/>
        <v>I.2.2.02.00278</v>
      </c>
      <c r="B791" s="319">
        <v>78</v>
      </c>
      <c r="C791" s="394" t="str">
        <f>IFERROR(VLOOKUP(A791,[3]DOORSCRIEFT!$A$2:$G$8551,2,FALSE),"")</f>
        <v/>
      </c>
      <c r="D791" s="393" t="str">
        <f>IFERROR(VLOOKUP(A791,[3]DOORSCRIEFT!$A$2:$G$8551,3,FALSE),"")</f>
        <v/>
      </c>
      <c r="E791" s="392" t="str">
        <f>IFERROR(VLOOKUP(A791,[3]DOORSCRIEFT!$A$2:$G$8551,4,FALSE),"")</f>
        <v/>
      </c>
      <c r="F791" s="405" t="str">
        <f>IFERROR(VLOOKUP(A791,[3]DOORSCRIEFT!$A$2:$G$8551,6,FALSE),"")</f>
        <v/>
      </c>
      <c r="G791" s="349"/>
    </row>
    <row r="792" spans="1:7" x14ac:dyDescent="0.25">
      <c r="A792" s="319" t="str">
        <f t="shared" si="16"/>
        <v>I.2.2.02.00279</v>
      </c>
      <c r="B792" s="353">
        <v>79</v>
      </c>
      <c r="C792" s="394" t="str">
        <f>IFERROR(VLOOKUP(A792,[3]DOORSCRIEFT!$A$2:$G$8551,2,FALSE),"")</f>
        <v/>
      </c>
      <c r="D792" s="393" t="str">
        <f>IFERROR(VLOOKUP(A792,[3]DOORSCRIEFT!$A$2:$G$8551,3,FALSE),"")</f>
        <v/>
      </c>
      <c r="E792" s="392" t="str">
        <f>IFERROR(VLOOKUP(A792,[3]DOORSCRIEFT!$A$2:$G$8551,4,FALSE),"")</f>
        <v/>
      </c>
      <c r="F792" s="405" t="str">
        <f>IFERROR(VLOOKUP(A792,[3]DOORSCRIEFT!$A$2:$G$8551,6,FALSE),"")</f>
        <v/>
      </c>
      <c r="G792" s="349"/>
    </row>
    <row r="793" spans="1:7" x14ac:dyDescent="0.25">
      <c r="A793" s="319" t="str">
        <f t="shared" si="16"/>
        <v>I.2.2.02.00280</v>
      </c>
      <c r="B793" s="319">
        <v>80</v>
      </c>
      <c r="C793" s="394" t="str">
        <f>IFERROR(VLOOKUP(A793,[3]DOORSCRIEFT!$A$2:$G$8551,2,FALSE),"")</f>
        <v/>
      </c>
      <c r="D793" s="393" t="str">
        <f>IFERROR(VLOOKUP(A793,[3]DOORSCRIEFT!$A$2:$G$8551,3,FALSE),"")</f>
        <v/>
      </c>
      <c r="E793" s="392" t="str">
        <f>IFERROR(VLOOKUP(A793,[3]DOORSCRIEFT!$A$2:$G$8551,4,FALSE),"")</f>
        <v/>
      </c>
      <c r="F793" s="405" t="str">
        <f>IFERROR(VLOOKUP(A793,[3]DOORSCRIEFT!$A$2:$G$8551,6,FALSE),"")</f>
        <v/>
      </c>
      <c r="G793" s="349"/>
    </row>
    <row r="794" spans="1:7" x14ac:dyDescent="0.25">
      <c r="A794" s="319" t="str">
        <f t="shared" si="16"/>
        <v>I.2.2.02.00281</v>
      </c>
      <c r="B794" s="353">
        <v>81</v>
      </c>
      <c r="C794" s="394" t="str">
        <f>IFERROR(VLOOKUP(A794,[3]DOORSCRIEFT!$A$2:$G$8551,2,FALSE),"")</f>
        <v/>
      </c>
      <c r="D794" s="393" t="str">
        <f>IFERROR(VLOOKUP(A794,[3]DOORSCRIEFT!$A$2:$G$8551,3,FALSE),"")</f>
        <v/>
      </c>
      <c r="E794" s="392" t="str">
        <f>IFERROR(VLOOKUP(A794,[3]DOORSCRIEFT!$A$2:$G$8551,4,FALSE),"")</f>
        <v/>
      </c>
      <c r="F794" s="405" t="str">
        <f>IFERROR(VLOOKUP(A794,[3]DOORSCRIEFT!$A$2:$G$8551,6,FALSE),"")</f>
        <v/>
      </c>
      <c r="G794" s="349"/>
    </row>
    <row r="795" spans="1:7" x14ac:dyDescent="0.25">
      <c r="A795" s="319" t="str">
        <f t="shared" si="16"/>
        <v>I.2.2.02.00282</v>
      </c>
      <c r="B795" s="319">
        <v>82</v>
      </c>
      <c r="C795" s="394" t="str">
        <f>IFERROR(VLOOKUP(A795,[3]DOORSCRIEFT!$A$2:$G$8551,2,FALSE),"")</f>
        <v/>
      </c>
      <c r="D795" s="393" t="str">
        <f>IFERROR(VLOOKUP(A795,[3]DOORSCRIEFT!$A$2:$G$8551,3,FALSE),"")</f>
        <v/>
      </c>
      <c r="E795" s="392" t="str">
        <f>IFERROR(VLOOKUP(A795,[3]DOORSCRIEFT!$A$2:$G$8551,4,FALSE),"")</f>
        <v/>
      </c>
      <c r="F795" s="405" t="str">
        <f>IFERROR(VLOOKUP(A795,[3]DOORSCRIEFT!$A$2:$G$8551,6,FALSE),"")</f>
        <v/>
      </c>
      <c r="G795" s="349"/>
    </row>
    <row r="796" spans="1:7" x14ac:dyDescent="0.25">
      <c r="A796" s="319" t="str">
        <f t="shared" si="16"/>
        <v>I.2.2.02.00283</v>
      </c>
      <c r="B796" s="353">
        <v>83</v>
      </c>
      <c r="C796" s="394" t="str">
        <f>IFERROR(VLOOKUP(A796,[3]DOORSCRIEFT!$A$2:$G$8551,2,FALSE),"")</f>
        <v/>
      </c>
      <c r="D796" s="393" t="str">
        <f>IFERROR(VLOOKUP(A796,[3]DOORSCRIEFT!$A$2:$G$8551,3,FALSE),"")</f>
        <v/>
      </c>
      <c r="E796" s="392" t="str">
        <f>IFERROR(VLOOKUP(A796,[3]DOORSCRIEFT!$A$2:$G$8551,4,FALSE),"")</f>
        <v/>
      </c>
      <c r="F796" s="405" t="str">
        <f>IFERROR(VLOOKUP(A796,[3]DOORSCRIEFT!$A$2:$G$8551,6,FALSE),"")</f>
        <v/>
      </c>
      <c r="G796" s="349"/>
    </row>
    <row r="797" spans="1:7" x14ac:dyDescent="0.25">
      <c r="A797" s="319" t="str">
        <f t="shared" si="16"/>
        <v>I.2.2.02.00284</v>
      </c>
      <c r="B797" s="319">
        <v>84</v>
      </c>
      <c r="C797" s="394" t="str">
        <f>IFERROR(VLOOKUP(A797,[3]DOORSCRIEFT!$A$2:$G$8551,2,FALSE),"")</f>
        <v/>
      </c>
      <c r="D797" s="393" t="str">
        <f>IFERROR(VLOOKUP(A797,[3]DOORSCRIEFT!$A$2:$G$8551,3,FALSE),"")</f>
        <v/>
      </c>
      <c r="E797" s="392" t="str">
        <f>IFERROR(VLOOKUP(A797,[3]DOORSCRIEFT!$A$2:$G$8551,4,FALSE),"")</f>
        <v/>
      </c>
      <c r="F797" s="405" t="str">
        <f>IFERROR(VLOOKUP(A797,[3]DOORSCRIEFT!$A$2:$G$8551,6,FALSE),"")</f>
        <v/>
      </c>
      <c r="G797" s="349"/>
    </row>
    <row r="798" spans="1:7" x14ac:dyDescent="0.25">
      <c r="A798" s="319" t="str">
        <f t="shared" si="16"/>
        <v>I.2.2.02.00285</v>
      </c>
      <c r="B798" s="353">
        <v>85</v>
      </c>
      <c r="C798" s="394" t="str">
        <f>IFERROR(VLOOKUP(A798,[3]DOORSCRIEFT!$A$2:$G$8551,2,FALSE),"")</f>
        <v/>
      </c>
      <c r="D798" s="393" t="str">
        <f>IFERROR(VLOOKUP(A798,[3]DOORSCRIEFT!$A$2:$G$8551,3,FALSE),"")</f>
        <v/>
      </c>
      <c r="E798" s="392" t="str">
        <f>IFERROR(VLOOKUP(A798,[3]DOORSCRIEFT!$A$2:$G$8551,4,FALSE),"")</f>
        <v/>
      </c>
      <c r="F798" s="405" t="str">
        <f>IFERROR(VLOOKUP(A798,[3]DOORSCRIEFT!$A$2:$G$8551,6,FALSE),"")</f>
        <v/>
      </c>
      <c r="G798" s="349"/>
    </row>
    <row r="799" spans="1:7" x14ac:dyDescent="0.25">
      <c r="A799" s="319" t="str">
        <f t="shared" si="16"/>
        <v>I.2.2.02.00286</v>
      </c>
      <c r="B799" s="319">
        <v>86</v>
      </c>
      <c r="C799" s="394" t="str">
        <f>IFERROR(VLOOKUP(A799,[3]DOORSCRIEFT!$A$2:$G$8551,2,FALSE),"")</f>
        <v/>
      </c>
      <c r="D799" s="393" t="str">
        <f>IFERROR(VLOOKUP(A799,[3]DOORSCRIEFT!$A$2:$G$8551,3,FALSE),"")</f>
        <v/>
      </c>
      <c r="E799" s="392" t="str">
        <f>IFERROR(VLOOKUP(A799,[3]DOORSCRIEFT!$A$2:$G$8551,4,FALSE),"")</f>
        <v/>
      </c>
      <c r="F799" s="405" t="str">
        <f>IFERROR(VLOOKUP(A799,[3]DOORSCRIEFT!$A$2:$G$8551,6,FALSE),"")</f>
        <v/>
      </c>
      <c r="G799" s="349"/>
    </row>
    <row r="800" spans="1:7" x14ac:dyDescent="0.25">
      <c r="A800" s="319" t="str">
        <f t="shared" si="16"/>
        <v>I.2.2.02.00287</v>
      </c>
      <c r="B800" s="353">
        <v>87</v>
      </c>
      <c r="C800" s="394" t="str">
        <f>IFERROR(VLOOKUP(A800,[3]DOORSCRIEFT!$A$2:$G$8551,2,FALSE),"")</f>
        <v/>
      </c>
      <c r="D800" s="393" t="str">
        <f>IFERROR(VLOOKUP(A800,[3]DOORSCRIEFT!$A$2:$G$8551,3,FALSE),"")</f>
        <v/>
      </c>
      <c r="E800" s="392" t="str">
        <f>IFERROR(VLOOKUP(A800,[3]DOORSCRIEFT!$A$2:$G$8551,4,FALSE),"")</f>
        <v/>
      </c>
      <c r="F800" s="405" t="str">
        <f>IFERROR(VLOOKUP(A800,[3]DOORSCRIEFT!$A$2:$G$8551,6,FALSE),"")</f>
        <v/>
      </c>
      <c r="G800" s="349"/>
    </row>
    <row r="801" spans="1:7" x14ac:dyDescent="0.25">
      <c r="A801" s="319" t="str">
        <f t="shared" si="16"/>
        <v>I.2.2.02.00288</v>
      </c>
      <c r="B801" s="319">
        <v>88</v>
      </c>
      <c r="C801" s="394" t="str">
        <f>IFERROR(VLOOKUP(A801,[3]DOORSCRIEFT!$A$2:$G$8551,2,FALSE),"")</f>
        <v/>
      </c>
      <c r="D801" s="393" t="str">
        <f>IFERROR(VLOOKUP(A801,[3]DOORSCRIEFT!$A$2:$G$8551,3,FALSE),"")</f>
        <v/>
      </c>
      <c r="E801" s="392" t="str">
        <f>IFERROR(VLOOKUP(A801,[3]DOORSCRIEFT!$A$2:$G$8551,4,FALSE),"")</f>
        <v/>
      </c>
      <c r="F801" s="405" t="str">
        <f>IFERROR(VLOOKUP(A801,[3]DOORSCRIEFT!$A$2:$G$8551,6,FALSE),"")</f>
        <v/>
      </c>
      <c r="G801" s="349"/>
    </row>
    <row r="802" spans="1:7" x14ac:dyDescent="0.25">
      <c r="A802" s="319" t="str">
        <f t="shared" si="16"/>
        <v>I.2.2.02.00289</v>
      </c>
      <c r="B802" s="353">
        <v>89</v>
      </c>
      <c r="C802" s="394" t="str">
        <f>IFERROR(VLOOKUP(A802,[3]DOORSCRIEFT!$A$2:$G$8551,2,FALSE),"")</f>
        <v/>
      </c>
      <c r="D802" s="393" t="str">
        <f>IFERROR(VLOOKUP(A802,[3]DOORSCRIEFT!$A$2:$G$8551,3,FALSE),"")</f>
        <v/>
      </c>
      <c r="E802" s="392" t="str">
        <f>IFERROR(VLOOKUP(A802,[3]DOORSCRIEFT!$A$2:$G$8551,4,FALSE),"")</f>
        <v/>
      </c>
      <c r="F802" s="405" t="str">
        <f>IFERROR(VLOOKUP(A802,[3]DOORSCRIEFT!$A$2:$G$8551,6,FALSE),"")</f>
        <v/>
      </c>
      <c r="G802" s="349"/>
    </row>
    <row r="803" spans="1:7" x14ac:dyDescent="0.25">
      <c r="A803" s="319" t="str">
        <f t="shared" si="16"/>
        <v>I.2.2.02.00290</v>
      </c>
      <c r="B803" s="319">
        <v>90</v>
      </c>
      <c r="C803" s="394" t="str">
        <f>IFERROR(VLOOKUP(A803,[3]DOORSCRIEFT!$A$2:$G$8551,2,FALSE),"")</f>
        <v/>
      </c>
      <c r="D803" s="393" t="str">
        <f>IFERROR(VLOOKUP(A803,[3]DOORSCRIEFT!$A$2:$G$8551,3,FALSE),"")</f>
        <v/>
      </c>
      <c r="E803" s="392" t="str">
        <f>IFERROR(VLOOKUP(A803,[3]DOORSCRIEFT!$A$2:$G$8551,4,FALSE),"")</f>
        <v/>
      </c>
      <c r="F803" s="405" t="str">
        <f>IFERROR(VLOOKUP(A803,[3]DOORSCRIEFT!$A$2:$G$8551,6,FALSE),"")</f>
        <v/>
      </c>
      <c r="G803" s="349"/>
    </row>
    <row r="804" spans="1:7" ht="15.75" thickBot="1" x14ac:dyDescent="0.3">
      <c r="A804" s="345" t="str">
        <f t="shared" si="16"/>
        <v>I.2.2.02.00291</v>
      </c>
      <c r="B804" s="353">
        <v>91</v>
      </c>
      <c r="C804" s="394" t="str">
        <f>IFERROR(VLOOKUP(A804,[3]DOORSCRIEFT!$A$2:$G$8551,2,FALSE),"")</f>
        <v/>
      </c>
      <c r="D804" s="393" t="str">
        <f>IFERROR(VLOOKUP(A804,[3]DOORSCRIEFT!$A$2:$G$8551,3,FALSE),"")</f>
        <v/>
      </c>
      <c r="E804" s="392" t="str">
        <f>IFERROR(VLOOKUP(A804,[3]DOORSCRIEFT!$A$2:$G$8551,4,FALSE),"")</f>
        <v/>
      </c>
      <c r="F804" s="405" t="str">
        <f>IFERROR(VLOOKUP(A804,[3]DOORSCRIEFT!$A$2:$G$8551,6,FALSE),"")</f>
        <v/>
      </c>
      <c r="G804" s="315"/>
    </row>
    <row r="805" spans="1:7" ht="15.75" thickBot="1" x14ac:dyDescent="0.3">
      <c r="A805" s="465"/>
      <c r="B805" s="464"/>
      <c r="C805" s="453"/>
      <c r="D805" s="401"/>
      <c r="E805" s="400" t="s">
        <v>644</v>
      </c>
      <c r="F805" s="399">
        <f>SUM(F714:F804)</f>
        <v>6894000</v>
      </c>
      <c r="G805" s="398">
        <f>SUM(G714:G760)</f>
        <v>0</v>
      </c>
    </row>
    <row r="808" spans="1:7" ht="15.75" x14ac:dyDescent="0.25">
      <c r="C808" s="332"/>
      <c r="D808" s="333"/>
      <c r="E808" s="332"/>
      <c r="F808" s="327" t="s">
        <v>607</v>
      </c>
      <c r="G808" s="327" t="s">
        <v>542</v>
      </c>
    </row>
    <row r="809" spans="1:7" ht="15.75" x14ac:dyDescent="0.25">
      <c r="C809" s="332"/>
      <c r="D809" s="333"/>
      <c r="E809" s="332"/>
      <c r="F809" s="327" t="s">
        <v>601</v>
      </c>
      <c r="G809" s="327" t="s">
        <v>541</v>
      </c>
    </row>
    <row r="810" spans="1:7" x14ac:dyDescent="0.25">
      <c r="C810" s="328"/>
      <c r="D810" s="329"/>
      <c r="E810" s="328"/>
      <c r="F810" s="327" t="s">
        <v>651</v>
      </c>
      <c r="G810" s="331">
        <f>[2]Sheet1!$D$29</f>
        <v>0</v>
      </c>
    </row>
    <row r="811" spans="1:7" ht="15.75" thickBot="1" x14ac:dyDescent="0.3">
      <c r="C811" s="328"/>
      <c r="D811" s="329"/>
      <c r="E811" s="328"/>
      <c r="F811" s="327" t="s">
        <v>650</v>
      </c>
      <c r="G811" s="326">
        <f>+F821-G810</f>
        <v>0</v>
      </c>
    </row>
    <row r="812" spans="1:7" x14ac:dyDescent="0.25">
      <c r="A812" s="571" t="s">
        <v>655</v>
      </c>
      <c r="B812" s="573" t="s">
        <v>606</v>
      </c>
      <c r="C812" s="588" t="s">
        <v>649</v>
      </c>
      <c r="D812" s="577" t="s">
        <v>648</v>
      </c>
      <c r="E812" s="577" t="s">
        <v>647</v>
      </c>
      <c r="F812" s="577" t="s">
        <v>646</v>
      </c>
      <c r="G812" s="580" t="s">
        <v>645</v>
      </c>
    </row>
    <row r="813" spans="1:7" ht="15.75" thickBot="1" x14ac:dyDescent="0.3">
      <c r="A813" s="572"/>
      <c r="B813" s="574"/>
      <c r="C813" s="589"/>
      <c r="D813" s="578"/>
      <c r="E813" s="578"/>
      <c r="F813" s="578"/>
      <c r="G813" s="581"/>
    </row>
    <row r="814" spans="1:7" ht="15.75" thickBot="1" x14ac:dyDescent="0.3">
      <c r="A814" s="325">
        <v>1</v>
      </c>
      <c r="B814" s="346">
        <v>2</v>
      </c>
      <c r="C814" s="348">
        <v>3</v>
      </c>
      <c r="D814" s="347">
        <v>4</v>
      </c>
      <c r="E814" s="347">
        <v>5</v>
      </c>
      <c r="F814" s="347">
        <v>6</v>
      </c>
      <c r="G814" s="346">
        <v>7</v>
      </c>
    </row>
    <row r="815" spans="1:7" x14ac:dyDescent="0.25">
      <c r="A815" s="360" t="str">
        <f t="shared" ref="A815:A820" si="17">$G$808&amp;B815</f>
        <v>I.2.2.02.0031</v>
      </c>
      <c r="B815" s="339">
        <v>1</v>
      </c>
      <c r="C815" s="394" t="str">
        <f>IFERROR(VLOOKUP(A815,[3]DOORSCRIEFT!$A$2:$G$8551,2,FALSE),"")</f>
        <v/>
      </c>
      <c r="D815" s="393" t="str">
        <f>IFERROR(VLOOKUP(A815,[3]DOORSCRIEFT!$A$2:$G$8551,3,FALSE),"")</f>
        <v/>
      </c>
      <c r="E815" s="392" t="str">
        <f>IFERROR(VLOOKUP(A815,[3]DOORSCRIEFT!$A$2:$G$8551,4,FALSE),"")</f>
        <v/>
      </c>
      <c r="F815" s="405" t="str">
        <f>IFERROR(VLOOKUP(A815,[3]DOORSCRIEFT!$A$2:$G$8551,6,FALSE),"")</f>
        <v/>
      </c>
      <c r="G815" s="322"/>
    </row>
    <row r="816" spans="1:7" x14ac:dyDescent="0.25">
      <c r="A816" s="360" t="str">
        <f t="shared" si="17"/>
        <v>I.2.2.02.0032</v>
      </c>
      <c r="B816" s="319">
        <v>2</v>
      </c>
      <c r="C816" s="394" t="str">
        <f>IFERROR(VLOOKUP(A816,[3]DOORSCRIEFT!$A$2:$G$8551,2,FALSE),"")</f>
        <v/>
      </c>
      <c r="D816" s="393" t="str">
        <f>IFERROR(VLOOKUP(A816,[3]DOORSCRIEFT!$A$2:$G$8551,3,FALSE),"")</f>
        <v/>
      </c>
      <c r="E816" s="392" t="str">
        <f>IFERROR(VLOOKUP(A816,[3]DOORSCRIEFT!$A$2:$G$8551,4,FALSE),"")</f>
        <v/>
      </c>
      <c r="F816" s="405" t="str">
        <f>IFERROR(VLOOKUP(A816,[3]DOORSCRIEFT!$A$2:$G$8551,6,FALSE),"")</f>
        <v/>
      </c>
      <c r="G816" s="349"/>
    </row>
    <row r="817" spans="1:7" x14ac:dyDescent="0.25">
      <c r="A817" s="360" t="str">
        <f t="shared" si="17"/>
        <v>I.2.2.02.0033</v>
      </c>
      <c r="B817" s="339">
        <v>3</v>
      </c>
      <c r="C817" s="394" t="str">
        <f>IFERROR(VLOOKUP(A817,[3]DOORSCRIEFT!$A$2:$G$8551,2,FALSE),"")</f>
        <v/>
      </c>
      <c r="D817" s="393" t="str">
        <f>IFERROR(VLOOKUP(A817,[3]DOORSCRIEFT!$A$2:$G$8551,3,FALSE),"")</f>
        <v/>
      </c>
      <c r="E817" s="392" t="str">
        <f>IFERROR(VLOOKUP(A817,[3]DOORSCRIEFT!$A$2:$G$8551,4,FALSE),"")</f>
        <v/>
      </c>
      <c r="F817" s="405" t="str">
        <f>IFERROR(VLOOKUP(A817,[3]DOORSCRIEFT!$A$2:$G$8551,6,FALSE),"")</f>
        <v/>
      </c>
      <c r="G817" s="349"/>
    </row>
    <row r="818" spans="1:7" x14ac:dyDescent="0.25">
      <c r="A818" s="360" t="str">
        <f t="shared" si="17"/>
        <v>I.2.2.02.0034</v>
      </c>
      <c r="B818" s="319">
        <v>4</v>
      </c>
      <c r="C818" s="394" t="str">
        <f>IFERROR(VLOOKUP(A818,[3]DOORSCRIEFT!$A$2:$G$8551,2,FALSE),"")</f>
        <v/>
      </c>
      <c r="D818" s="393" t="str">
        <f>IFERROR(VLOOKUP(A818,[3]DOORSCRIEFT!$A$2:$G$8551,3,FALSE),"")</f>
        <v/>
      </c>
      <c r="E818" s="392" t="str">
        <f>IFERROR(VLOOKUP(A818,[3]DOORSCRIEFT!$A$2:$G$8551,4,FALSE),"")</f>
        <v/>
      </c>
      <c r="F818" s="405" t="str">
        <f>IFERROR(VLOOKUP(A818,[3]DOORSCRIEFT!$A$2:$G$8551,6,FALSE),"")</f>
        <v/>
      </c>
      <c r="G818" s="349"/>
    </row>
    <row r="819" spans="1:7" x14ac:dyDescent="0.25">
      <c r="A819" s="360" t="str">
        <f t="shared" si="17"/>
        <v>I.2.2.02.0035</v>
      </c>
      <c r="B819" s="339">
        <v>5</v>
      </c>
      <c r="C819" s="394" t="str">
        <f>IFERROR(VLOOKUP(A819,[3]DOORSCRIEFT!$A$2:$G$8551,2,FALSE),"")</f>
        <v/>
      </c>
      <c r="D819" s="393" t="str">
        <f>IFERROR(VLOOKUP(A819,[3]DOORSCRIEFT!$A$2:$G$8551,3,FALSE),"")</f>
        <v/>
      </c>
      <c r="E819" s="392" t="str">
        <f>IFERROR(VLOOKUP(A819,[3]DOORSCRIEFT!$A$2:$G$8551,4,FALSE),"")</f>
        <v/>
      </c>
      <c r="F819" s="405" t="str">
        <f>IFERROR(VLOOKUP(A819,[3]DOORSCRIEFT!$A$2:$G$8551,6,FALSE),"")</f>
        <v/>
      </c>
      <c r="G819" s="349"/>
    </row>
    <row r="820" spans="1:7" ht="15.75" thickBot="1" x14ac:dyDescent="0.3">
      <c r="A820" s="360" t="str">
        <f t="shared" si="17"/>
        <v>I.2.2.02.0036</v>
      </c>
      <c r="B820" s="319">
        <v>6</v>
      </c>
      <c r="C820" s="394" t="str">
        <f>IFERROR(VLOOKUP(A820,[3]DOORSCRIEFT!$A$2:$G$8551,2,FALSE),"")</f>
        <v/>
      </c>
      <c r="D820" s="393" t="str">
        <f>IFERROR(VLOOKUP(A820,[3]DOORSCRIEFT!$A$2:$G$8551,3,FALSE),"")</f>
        <v/>
      </c>
      <c r="E820" s="392" t="str">
        <f>IFERROR(VLOOKUP(A820,[3]DOORSCRIEFT!$A$2:$G$8551,4,FALSE),"")</f>
        <v/>
      </c>
      <c r="F820" s="405" t="str">
        <f>IFERROR(VLOOKUP(A820,[3]DOORSCRIEFT!$A$2:$G$8551,6,FALSE),"")</f>
        <v/>
      </c>
      <c r="G820" s="315"/>
    </row>
    <row r="821" spans="1:7" ht="15.75" thickBot="1" x14ac:dyDescent="0.3">
      <c r="A821" s="463"/>
      <c r="B821" s="462"/>
      <c r="C821" s="461"/>
      <c r="D821" s="460"/>
      <c r="E821" s="459" t="s">
        <v>644</v>
      </c>
      <c r="F821" s="458">
        <f>SUM(F815:F820)</f>
        <v>0</v>
      </c>
      <c r="G821" s="457">
        <f>SUM(G815:G820)</f>
        <v>0</v>
      </c>
    </row>
    <row r="824" spans="1:7" ht="15.75" x14ac:dyDescent="0.25">
      <c r="C824" s="332"/>
      <c r="D824" s="333"/>
      <c r="E824" s="332"/>
      <c r="F824" s="327" t="s">
        <v>607</v>
      </c>
      <c r="G824" s="327" t="s">
        <v>540</v>
      </c>
    </row>
    <row r="825" spans="1:7" ht="15.75" x14ac:dyDescent="0.25">
      <c r="C825" s="332"/>
      <c r="D825" s="333"/>
      <c r="E825" s="332"/>
      <c r="F825" s="327" t="s">
        <v>601</v>
      </c>
      <c r="G825" s="327" t="s">
        <v>539</v>
      </c>
    </row>
    <row r="826" spans="1:7" x14ac:dyDescent="0.25">
      <c r="C826" s="328"/>
      <c r="D826" s="329"/>
      <c r="E826" s="328"/>
      <c r="F826" s="327" t="s">
        <v>651</v>
      </c>
      <c r="G826" s="331">
        <f>[2]Sheet1!$D$30</f>
        <v>200000</v>
      </c>
    </row>
    <row r="827" spans="1:7" ht="15.75" thickBot="1" x14ac:dyDescent="0.3">
      <c r="C827" s="328"/>
      <c r="D827" s="329"/>
      <c r="E827" s="328"/>
      <c r="F827" s="327" t="s">
        <v>650</v>
      </c>
      <c r="G827" s="326">
        <f>+F858-G826</f>
        <v>3961000</v>
      </c>
    </row>
    <row r="828" spans="1:7" x14ac:dyDescent="0.25">
      <c r="A828" s="571" t="s">
        <v>655</v>
      </c>
      <c r="B828" s="573" t="s">
        <v>606</v>
      </c>
      <c r="C828" s="588" t="s">
        <v>649</v>
      </c>
      <c r="D828" s="577" t="s">
        <v>648</v>
      </c>
      <c r="E828" s="577" t="s">
        <v>647</v>
      </c>
      <c r="F828" s="577" t="s">
        <v>646</v>
      </c>
      <c r="G828" s="580" t="s">
        <v>645</v>
      </c>
    </row>
    <row r="829" spans="1:7" ht="15.75" thickBot="1" x14ac:dyDescent="0.3">
      <c r="A829" s="572"/>
      <c r="B829" s="574"/>
      <c r="C829" s="589"/>
      <c r="D829" s="586"/>
      <c r="E829" s="586"/>
      <c r="F829" s="586"/>
      <c r="G829" s="587"/>
    </row>
    <row r="830" spans="1:7" ht="15.75" thickBot="1" x14ac:dyDescent="0.3">
      <c r="A830" s="325">
        <v>1</v>
      </c>
      <c r="B830" s="324">
        <v>2</v>
      </c>
      <c r="C830" s="324">
        <v>3</v>
      </c>
      <c r="D830" s="324">
        <v>4</v>
      </c>
      <c r="E830" s="324">
        <v>5</v>
      </c>
      <c r="F830" s="324">
        <v>6</v>
      </c>
      <c r="G830" s="323">
        <v>7</v>
      </c>
    </row>
    <row r="831" spans="1:7" x14ac:dyDescent="0.25">
      <c r="A831" s="339" t="str">
        <f t="shared" ref="A831:A857" si="18">$G$824&amp;B831</f>
        <v>I.2.2.02.0041</v>
      </c>
      <c r="B831" s="339">
        <v>1</v>
      </c>
      <c r="C831" s="394">
        <f>IFERROR(VLOOKUP(A831,[3]DOORSCRIEFT!$A$2:$G$8551,2,FALSE),"")</f>
        <v>11</v>
      </c>
      <c r="D831" s="393">
        <f>IFERROR(VLOOKUP(A831,[3]DOORSCRIEFT!$A$2:$G$8551,3,FALSE),"")</f>
        <v>46023</v>
      </c>
      <c r="E831" s="392" t="str">
        <f>IFERROR(VLOOKUP(A831,[3]DOORSCRIEFT!$A$2:$G$8551,4,FALSE),"")</f>
        <v>Kolekta Syukur Duka Kel. Jemy Waisapy dan Kel. Lewakabessy</v>
      </c>
      <c r="F831" s="405">
        <f>IFERROR(VLOOKUP(A831,[3]DOORSCRIEFT!$A$2:$G$8551,6,FALSE),"")</f>
        <v>488000</v>
      </c>
      <c r="G831" s="322"/>
    </row>
    <row r="832" spans="1:7" x14ac:dyDescent="0.25">
      <c r="A832" s="339" t="str">
        <f t="shared" si="18"/>
        <v>I.2.2.02.0042</v>
      </c>
      <c r="B832" s="319">
        <v>2</v>
      </c>
      <c r="C832" s="394">
        <f>IFERROR(VLOOKUP(A832,[3]DOORSCRIEFT!$A$2:$G$8551,2,FALSE),"")</f>
        <v>102</v>
      </c>
      <c r="D832" s="393">
        <f>IFERROR(VLOOKUP(A832,[3]DOORSCRIEFT!$A$2:$G$8551,3,FALSE),"")</f>
        <v>46045</v>
      </c>
      <c r="E832" s="392" t="str">
        <f>IFERROR(VLOOKUP(A832,[3]DOORSCRIEFT!$A$2:$G$8551,4,FALSE),"")</f>
        <v>Kolekta Syukur Duka Kel. Salampessy Mantouw</v>
      </c>
      <c r="F832" s="405">
        <f>IFERROR(VLOOKUP(A832,[3]DOORSCRIEFT!$A$2:$G$8551,6,FALSE),"")</f>
        <v>238000</v>
      </c>
      <c r="G832" s="315"/>
    </row>
    <row r="833" spans="1:7" x14ac:dyDescent="0.25">
      <c r="A833" s="339" t="str">
        <f t="shared" si="18"/>
        <v>I.2.2.02.0043</v>
      </c>
      <c r="B833" s="339">
        <v>3</v>
      </c>
      <c r="C833" s="394">
        <f>IFERROR(VLOOKUP(A833,[3]DOORSCRIEFT!$A$2:$G$8551,2,FALSE),"")</f>
        <v>126</v>
      </c>
      <c r="D833" s="393">
        <f>IFERROR(VLOOKUP(A833,[3]DOORSCRIEFT!$A$2:$G$8551,3,FALSE),"")</f>
        <v>46052</v>
      </c>
      <c r="E833" s="392" t="str">
        <f>IFERROR(VLOOKUP(A833,[3]DOORSCRIEFT!$A$2:$G$8551,4,FALSE),"")</f>
        <v>Kolekta syukur duka Kel. Salampessy, Lainsamputty</v>
      </c>
      <c r="F833" s="405">
        <f>IFERROR(VLOOKUP(A833,[3]DOORSCRIEFT!$A$2:$G$8551,6,FALSE),"")</f>
        <v>412000</v>
      </c>
      <c r="G833" s="315"/>
    </row>
    <row r="834" spans="1:7" x14ac:dyDescent="0.25">
      <c r="A834" s="339" t="str">
        <f t="shared" si="18"/>
        <v>I.2.2.02.0044</v>
      </c>
      <c r="B834" s="319">
        <v>4</v>
      </c>
      <c r="C834" s="394">
        <f>IFERROR(VLOOKUP(A834,[3]DOORSCRIEFT!$A$2:$G$8551,2,FALSE),"")</f>
        <v>170</v>
      </c>
      <c r="D834" s="393">
        <f>IFERROR(VLOOKUP(A834,[3]DOORSCRIEFT!$A$2:$G$8551,3,FALSE),"")</f>
        <v>46059</v>
      </c>
      <c r="E834" s="392" t="str">
        <f>IFERROR(VLOOKUP(A834,[3]DOORSCRIEFT!$A$2:$G$8551,4,FALSE),"")</f>
        <v>Kolekta Kebaktian Syukur Duka Kel. Titarsole Letlora</v>
      </c>
      <c r="F834" s="405">
        <f>IFERROR(VLOOKUP(A834,[3]DOORSCRIEFT!$A$2:$G$8551,6,FALSE),"")</f>
        <v>270000</v>
      </c>
      <c r="G834" s="315"/>
    </row>
    <row r="835" spans="1:7" x14ac:dyDescent="0.25">
      <c r="A835" s="339" t="str">
        <f t="shared" si="18"/>
        <v>I.2.2.02.0045</v>
      </c>
      <c r="B835" s="339">
        <v>5</v>
      </c>
      <c r="C835" s="394">
        <f>IFERROR(VLOOKUP(A835,[3]DOORSCRIEFT!$A$2:$G$8551,2,FALSE),"")</f>
        <v>234</v>
      </c>
      <c r="D835" s="393">
        <f>IFERROR(VLOOKUP(A835,[3]DOORSCRIEFT!$A$2:$G$8551,3,FALSE),"")</f>
        <v>46075</v>
      </c>
      <c r="E835" s="392" t="str">
        <f>IFERROR(VLOOKUP(A835,[3]DOORSCRIEFT!$A$2:$G$8551,4,FALSE),"")</f>
        <v>Kolekta syukur 40 hari Alm. Oma Nel Rering</v>
      </c>
      <c r="F835" s="405">
        <f>IFERROR(VLOOKUP(A835,[3]DOORSCRIEFT!$A$2:$G$8551,6,FALSE),"")</f>
        <v>1000000</v>
      </c>
      <c r="G835" s="315"/>
    </row>
    <row r="836" spans="1:7" x14ac:dyDescent="0.25">
      <c r="A836" s="339" t="str">
        <f t="shared" si="18"/>
        <v>I.2.2.02.0046</v>
      </c>
      <c r="B836" s="319">
        <v>6</v>
      </c>
      <c r="C836" s="394">
        <f>IFERROR(VLOOKUP(A836,[3]DOORSCRIEFT!$A$2:$G$8551,2,FALSE),"")</f>
        <v>250</v>
      </c>
      <c r="D836" s="393">
        <f>IFERROR(VLOOKUP(A836,[3]DOORSCRIEFT!$A$2:$G$8551,3,FALSE),"")</f>
        <v>46075</v>
      </c>
      <c r="E836" s="392" t="str">
        <f>IFERROR(VLOOKUP(A836,[3]DOORSCRIEFT!$A$2:$G$8551,4,FALSE),"")</f>
        <v>Kolekta Kebaktian Syukur Duka Kel. Tapilaha</v>
      </c>
      <c r="F836" s="405">
        <f>IFERROR(VLOOKUP(A836,[3]DOORSCRIEFT!$A$2:$G$8551,6,FALSE),"")</f>
        <v>400000</v>
      </c>
      <c r="G836" s="315"/>
    </row>
    <row r="837" spans="1:7" x14ac:dyDescent="0.25">
      <c r="A837" s="339" t="str">
        <f t="shared" si="18"/>
        <v>I.2.2.02.0047</v>
      </c>
      <c r="B837" s="339">
        <v>7</v>
      </c>
      <c r="C837" s="394">
        <f>IFERROR(VLOOKUP(A837,[3]DOORSCRIEFT!$A$2:$G$8551,2,FALSE),"")</f>
        <v>286</v>
      </c>
      <c r="D837" s="393">
        <f>IFERROR(VLOOKUP(A837,[3]DOORSCRIEFT!$A$2:$G$8551,3,FALSE),"")</f>
        <v>46087</v>
      </c>
      <c r="E837" s="392" t="str">
        <f>IFERROR(VLOOKUP(A837,[3]DOORSCRIEFT!$A$2:$G$8551,4,FALSE),"")</f>
        <v>Kolekta kebaktan syukur Duka Kel. Manuputty Pattisina</v>
      </c>
      <c r="F837" s="405">
        <f>IFERROR(VLOOKUP(A837,[3]DOORSCRIEFT!$A$2:$G$8551,6,FALSE),"")</f>
        <v>147000</v>
      </c>
      <c r="G837" s="315"/>
    </row>
    <row r="838" spans="1:7" x14ac:dyDescent="0.25">
      <c r="A838" s="339" t="str">
        <f t="shared" si="18"/>
        <v>I.2.2.02.0048</v>
      </c>
      <c r="B838" s="319">
        <v>8</v>
      </c>
      <c r="C838" s="394">
        <f>IFERROR(VLOOKUP(A838,[3]DOORSCRIEFT!$A$2:$G$8551,2,FALSE),"")</f>
        <v>335</v>
      </c>
      <c r="D838" s="393">
        <f>IFERROR(VLOOKUP(A838,[3]DOORSCRIEFT!$A$2:$G$8551,3,FALSE),"")</f>
        <v>46089</v>
      </c>
      <c r="E838" s="392" t="str">
        <f>IFERROR(VLOOKUP(A838,[3]DOORSCRIEFT!$A$2:$G$8551,4,FALSE),"")</f>
        <v>Kolekta Kebaktian Syukur Duka Kel. Haliwela</v>
      </c>
      <c r="F838" s="405">
        <f>IFERROR(VLOOKUP(A838,[3]DOORSCRIEFT!$A$2:$G$8551,6,FALSE),"")</f>
        <v>655000</v>
      </c>
      <c r="G838" s="315"/>
    </row>
    <row r="839" spans="1:7" x14ac:dyDescent="0.25">
      <c r="A839" s="339" t="str">
        <f t="shared" si="18"/>
        <v>I.2.2.02.0049</v>
      </c>
      <c r="B839" s="339">
        <v>9</v>
      </c>
      <c r="C839" s="394">
        <f>IFERROR(VLOOKUP(A839,[3]DOORSCRIEFT!$A$2:$G$8551,2,FALSE),"")</f>
        <v>355</v>
      </c>
      <c r="D839" s="393">
        <f>IFERROR(VLOOKUP(A839,[3]DOORSCRIEFT!$A$2:$G$8551,3,FALSE),"")</f>
        <v>46096</v>
      </c>
      <c r="E839" s="392" t="str">
        <f>IFERROR(VLOOKUP(A839,[3]DOORSCRIEFT!$A$2:$G$8551,4,FALSE),"")</f>
        <v>Kolekta Kebaktian Syukur Duka Kel. Salampessy</v>
      </c>
      <c r="F839" s="405">
        <f>IFERROR(VLOOKUP(A839,[3]DOORSCRIEFT!$A$2:$G$8551,6,FALSE),"")</f>
        <v>251000</v>
      </c>
      <c r="G839" s="315"/>
    </row>
    <row r="840" spans="1:7" x14ac:dyDescent="0.25">
      <c r="A840" s="339" t="str">
        <f t="shared" si="18"/>
        <v>I.2.2.02.00410</v>
      </c>
      <c r="B840" s="319">
        <v>10</v>
      </c>
      <c r="C840" s="394">
        <f>IFERROR(VLOOKUP(A840,[3]DOORSCRIEFT!$A$2:$G$8551,2,FALSE),"")</f>
        <v>423</v>
      </c>
      <c r="D840" s="393">
        <f>IFERROR(VLOOKUP(A840,[3]DOORSCRIEFT!$A$2:$G$8551,3,FALSE),"")</f>
        <v>46103</v>
      </c>
      <c r="E840" s="392" t="str">
        <f>IFERROR(VLOOKUP(A840,[3]DOORSCRIEFT!$A$2:$G$8551,4,FALSE),"")</f>
        <v>Kolekta syukur duka Kel. Waisapy Salampessy</v>
      </c>
      <c r="F840" s="405">
        <f>IFERROR(VLOOKUP(A840,[3]DOORSCRIEFT!$A$2:$G$8551,6,FALSE),"")</f>
        <v>300000</v>
      </c>
      <c r="G840" s="315"/>
    </row>
    <row r="841" spans="1:7" x14ac:dyDescent="0.25">
      <c r="A841" s="339" t="str">
        <f t="shared" si="18"/>
        <v>I.2.2.02.00411</v>
      </c>
      <c r="B841" s="339">
        <v>11</v>
      </c>
      <c r="C841" s="394" t="str">
        <f>IFERROR(VLOOKUP(A841,[3]DOORSCRIEFT!$A$2:$G$8551,2,FALSE),"")</f>
        <v/>
      </c>
      <c r="D841" s="393" t="str">
        <f>IFERROR(VLOOKUP(A841,[3]DOORSCRIEFT!$A$2:$G$8551,3,FALSE),"")</f>
        <v/>
      </c>
      <c r="E841" s="392" t="str">
        <f>IFERROR(VLOOKUP(A841,[3]DOORSCRIEFT!$A$2:$G$8551,4,FALSE),"")</f>
        <v/>
      </c>
      <c r="F841" s="405" t="str">
        <f>IFERROR(VLOOKUP(A841,[3]DOORSCRIEFT!$A$2:$G$8551,6,FALSE),"")</f>
        <v/>
      </c>
      <c r="G841" s="315"/>
    </row>
    <row r="842" spans="1:7" x14ac:dyDescent="0.25">
      <c r="A842" s="339" t="str">
        <f t="shared" si="18"/>
        <v>I.2.2.02.00412</v>
      </c>
      <c r="B842" s="319">
        <v>12</v>
      </c>
      <c r="C842" s="394" t="str">
        <f>IFERROR(VLOOKUP(A842,[3]DOORSCRIEFT!$A$2:$G$8551,2,FALSE),"")</f>
        <v/>
      </c>
      <c r="D842" s="393" t="str">
        <f>IFERROR(VLOOKUP(A842,[3]DOORSCRIEFT!$A$2:$G$8551,3,FALSE),"")</f>
        <v/>
      </c>
      <c r="E842" s="392" t="str">
        <f>IFERROR(VLOOKUP(A842,[3]DOORSCRIEFT!$A$2:$G$8551,4,FALSE),"")</f>
        <v/>
      </c>
      <c r="F842" s="405" t="str">
        <f>IFERROR(VLOOKUP(A842,[3]DOORSCRIEFT!$A$2:$G$8551,6,FALSE),"")</f>
        <v/>
      </c>
      <c r="G842" s="315"/>
    </row>
    <row r="843" spans="1:7" x14ac:dyDescent="0.25">
      <c r="A843" s="339" t="str">
        <f t="shared" si="18"/>
        <v>I.2.2.02.00413</v>
      </c>
      <c r="B843" s="339">
        <v>13</v>
      </c>
      <c r="C843" s="394" t="str">
        <f>IFERROR(VLOOKUP(A843,[3]DOORSCRIEFT!$A$2:$G$8551,2,FALSE),"")</f>
        <v/>
      </c>
      <c r="D843" s="393" t="str">
        <f>IFERROR(VLOOKUP(A843,[3]DOORSCRIEFT!$A$2:$G$8551,3,FALSE),"")</f>
        <v/>
      </c>
      <c r="E843" s="392" t="str">
        <f>IFERROR(VLOOKUP(A843,[3]DOORSCRIEFT!$A$2:$G$8551,4,FALSE),"")</f>
        <v/>
      </c>
      <c r="F843" s="405" t="str">
        <f>IFERROR(VLOOKUP(A843,[3]DOORSCRIEFT!$A$2:$G$8551,6,FALSE),"")</f>
        <v/>
      </c>
      <c r="G843" s="315"/>
    </row>
    <row r="844" spans="1:7" x14ac:dyDescent="0.25">
      <c r="A844" s="339" t="str">
        <f t="shared" si="18"/>
        <v>I.2.2.02.00414</v>
      </c>
      <c r="B844" s="319">
        <v>14</v>
      </c>
      <c r="C844" s="394" t="str">
        <f>IFERROR(VLOOKUP(A844,[3]DOORSCRIEFT!$A$2:$G$8551,2,FALSE),"")</f>
        <v/>
      </c>
      <c r="D844" s="393" t="str">
        <f>IFERROR(VLOOKUP(A844,[3]DOORSCRIEFT!$A$2:$G$8551,3,FALSE),"")</f>
        <v/>
      </c>
      <c r="E844" s="392" t="str">
        <f>IFERROR(VLOOKUP(A844,[3]DOORSCRIEFT!$A$2:$G$8551,4,FALSE),"")</f>
        <v/>
      </c>
      <c r="F844" s="405" t="str">
        <f>IFERROR(VLOOKUP(A844,[3]DOORSCRIEFT!$A$2:$G$8551,6,FALSE),"")</f>
        <v/>
      </c>
      <c r="G844" s="315"/>
    </row>
    <row r="845" spans="1:7" x14ac:dyDescent="0.25">
      <c r="A845" s="339" t="str">
        <f t="shared" si="18"/>
        <v>I.2.2.02.00415</v>
      </c>
      <c r="B845" s="339">
        <v>15</v>
      </c>
      <c r="C845" s="394" t="str">
        <f>IFERROR(VLOOKUP(A845,[3]DOORSCRIEFT!$A$2:$G$8551,2,FALSE),"")</f>
        <v/>
      </c>
      <c r="D845" s="393" t="str">
        <f>IFERROR(VLOOKUP(A845,[3]DOORSCRIEFT!$A$2:$G$8551,3,FALSE),"")</f>
        <v/>
      </c>
      <c r="E845" s="392" t="str">
        <f>IFERROR(VLOOKUP(A845,[3]DOORSCRIEFT!$A$2:$G$8551,4,FALSE),"")</f>
        <v/>
      </c>
      <c r="F845" s="405" t="str">
        <f>IFERROR(VLOOKUP(A845,[3]DOORSCRIEFT!$A$2:$G$8551,6,FALSE),"")</f>
        <v/>
      </c>
      <c r="G845" s="315"/>
    </row>
    <row r="846" spans="1:7" x14ac:dyDescent="0.25">
      <c r="A846" s="339" t="str">
        <f t="shared" si="18"/>
        <v>I.2.2.02.00416</v>
      </c>
      <c r="B846" s="319">
        <v>16</v>
      </c>
      <c r="C846" s="394" t="str">
        <f>IFERROR(VLOOKUP(A846,[3]DOORSCRIEFT!$A$2:$G$8551,2,FALSE),"")</f>
        <v/>
      </c>
      <c r="D846" s="393" t="str">
        <f>IFERROR(VLOOKUP(A846,[3]DOORSCRIEFT!$A$2:$G$8551,3,FALSE),"")</f>
        <v/>
      </c>
      <c r="E846" s="392" t="str">
        <f>IFERROR(VLOOKUP(A846,[3]DOORSCRIEFT!$A$2:$G$8551,4,FALSE),"")</f>
        <v/>
      </c>
      <c r="F846" s="405" t="str">
        <f>IFERROR(VLOOKUP(A846,[3]DOORSCRIEFT!$A$2:$G$8551,6,FALSE),"")</f>
        <v/>
      </c>
      <c r="G846" s="315"/>
    </row>
    <row r="847" spans="1:7" x14ac:dyDescent="0.25">
      <c r="A847" s="339" t="str">
        <f t="shared" si="18"/>
        <v>I.2.2.02.00417</v>
      </c>
      <c r="B847" s="339">
        <v>17</v>
      </c>
      <c r="C847" s="394" t="str">
        <f>IFERROR(VLOOKUP(A847,[3]DOORSCRIEFT!$A$2:$G$8551,2,FALSE),"")</f>
        <v/>
      </c>
      <c r="D847" s="393" t="str">
        <f>IFERROR(VLOOKUP(A847,[3]DOORSCRIEFT!$A$2:$G$8551,3,FALSE),"")</f>
        <v/>
      </c>
      <c r="E847" s="392" t="str">
        <f>IFERROR(VLOOKUP(A847,[3]DOORSCRIEFT!$A$2:$G$8551,4,FALSE),"")</f>
        <v/>
      </c>
      <c r="F847" s="405" t="str">
        <f>IFERROR(VLOOKUP(A847,[3]DOORSCRIEFT!$A$2:$G$8551,6,FALSE),"")</f>
        <v/>
      </c>
      <c r="G847" s="315"/>
    </row>
    <row r="848" spans="1:7" x14ac:dyDescent="0.25">
      <c r="A848" s="339" t="str">
        <f t="shared" si="18"/>
        <v>I.2.2.02.00418</v>
      </c>
      <c r="B848" s="319">
        <v>18</v>
      </c>
      <c r="C848" s="394" t="str">
        <f>IFERROR(VLOOKUP(A848,[3]DOORSCRIEFT!$A$2:$G$8551,2,FALSE),"")</f>
        <v/>
      </c>
      <c r="D848" s="393" t="str">
        <f>IFERROR(VLOOKUP(A848,[3]DOORSCRIEFT!$A$2:$G$8551,3,FALSE),"")</f>
        <v/>
      </c>
      <c r="E848" s="392" t="str">
        <f>IFERROR(VLOOKUP(A848,[3]DOORSCRIEFT!$A$2:$G$8551,4,FALSE),"")</f>
        <v/>
      </c>
      <c r="F848" s="405" t="str">
        <f>IFERROR(VLOOKUP(A848,[3]DOORSCRIEFT!$A$2:$G$8551,6,FALSE),"")</f>
        <v/>
      </c>
      <c r="G848" s="315"/>
    </row>
    <row r="849" spans="1:7" x14ac:dyDescent="0.25">
      <c r="A849" s="339" t="str">
        <f t="shared" si="18"/>
        <v>I.2.2.02.00419</v>
      </c>
      <c r="B849" s="339">
        <v>19</v>
      </c>
      <c r="C849" s="394" t="str">
        <f>IFERROR(VLOOKUP(A849,[3]DOORSCRIEFT!$A$2:$G$8551,2,FALSE),"")</f>
        <v/>
      </c>
      <c r="D849" s="393" t="str">
        <f>IFERROR(VLOOKUP(A849,[3]DOORSCRIEFT!$A$2:$G$8551,3,FALSE),"")</f>
        <v/>
      </c>
      <c r="E849" s="392" t="str">
        <f>IFERROR(VLOOKUP(A849,[3]DOORSCRIEFT!$A$2:$G$8551,4,FALSE),"")</f>
        <v/>
      </c>
      <c r="F849" s="405" t="str">
        <f>IFERROR(VLOOKUP(A849,[3]DOORSCRIEFT!$A$2:$G$8551,6,FALSE),"")</f>
        <v/>
      </c>
      <c r="G849" s="315"/>
    </row>
    <row r="850" spans="1:7" x14ac:dyDescent="0.25">
      <c r="A850" s="339" t="str">
        <f t="shared" si="18"/>
        <v>I.2.2.02.00420</v>
      </c>
      <c r="B850" s="319">
        <v>20</v>
      </c>
      <c r="C850" s="394" t="str">
        <f>IFERROR(VLOOKUP(A850,[3]DOORSCRIEFT!$A$2:$G$8551,2,FALSE),"")</f>
        <v/>
      </c>
      <c r="D850" s="393" t="str">
        <f>IFERROR(VLOOKUP(A850,[3]DOORSCRIEFT!$A$2:$G$8551,3,FALSE),"")</f>
        <v/>
      </c>
      <c r="E850" s="392" t="str">
        <f>IFERROR(VLOOKUP(A850,[3]DOORSCRIEFT!$A$2:$G$8551,4,FALSE),"")</f>
        <v/>
      </c>
      <c r="F850" s="405" t="str">
        <f>IFERROR(VLOOKUP(A850,[3]DOORSCRIEFT!$A$2:$G$8551,6,FALSE),"")</f>
        <v/>
      </c>
      <c r="G850" s="315"/>
    </row>
    <row r="851" spans="1:7" x14ac:dyDescent="0.25">
      <c r="A851" s="339" t="str">
        <f t="shared" si="18"/>
        <v>I.2.2.02.00421</v>
      </c>
      <c r="B851" s="339">
        <v>21</v>
      </c>
      <c r="C851" s="394" t="str">
        <f>IFERROR(VLOOKUP(A851,[3]DOORSCRIEFT!$A$2:$G$8551,2,FALSE),"")</f>
        <v/>
      </c>
      <c r="D851" s="393" t="str">
        <f>IFERROR(VLOOKUP(A851,[3]DOORSCRIEFT!$A$2:$G$8551,3,FALSE),"")</f>
        <v/>
      </c>
      <c r="E851" s="392" t="str">
        <f>IFERROR(VLOOKUP(A851,[3]DOORSCRIEFT!$A$2:$G$8551,4,FALSE),"")</f>
        <v/>
      </c>
      <c r="F851" s="405" t="str">
        <f>IFERROR(VLOOKUP(A851,[3]DOORSCRIEFT!$A$2:$G$8551,6,FALSE),"")</f>
        <v/>
      </c>
      <c r="G851" s="315"/>
    </row>
    <row r="852" spans="1:7" x14ac:dyDescent="0.25">
      <c r="A852" s="339" t="str">
        <f t="shared" si="18"/>
        <v>I.2.2.02.00422</v>
      </c>
      <c r="B852" s="319">
        <v>22</v>
      </c>
      <c r="C852" s="394" t="str">
        <f>IFERROR(VLOOKUP(A852,[3]DOORSCRIEFT!$A$2:$G$8551,2,FALSE),"")</f>
        <v/>
      </c>
      <c r="D852" s="393" t="str">
        <f>IFERROR(VLOOKUP(A852,[3]DOORSCRIEFT!$A$2:$G$8551,3,FALSE),"")</f>
        <v/>
      </c>
      <c r="E852" s="392" t="str">
        <f>IFERROR(VLOOKUP(A852,[3]DOORSCRIEFT!$A$2:$G$8551,4,FALSE),"")</f>
        <v/>
      </c>
      <c r="F852" s="405" t="str">
        <f>IFERROR(VLOOKUP(A852,[3]DOORSCRIEFT!$A$2:$G$8551,6,FALSE),"")</f>
        <v/>
      </c>
      <c r="G852" s="315"/>
    </row>
    <row r="853" spans="1:7" x14ac:dyDescent="0.25">
      <c r="A853" s="339" t="str">
        <f t="shared" si="18"/>
        <v>I.2.2.02.00423</v>
      </c>
      <c r="B853" s="339">
        <v>23</v>
      </c>
      <c r="C853" s="394" t="str">
        <f>IFERROR(VLOOKUP(A853,[3]DOORSCRIEFT!$A$2:$G$8551,2,FALSE),"")</f>
        <v/>
      </c>
      <c r="D853" s="393" t="str">
        <f>IFERROR(VLOOKUP(A853,[3]DOORSCRIEFT!$A$2:$G$8551,3,FALSE),"")</f>
        <v/>
      </c>
      <c r="E853" s="392" t="str">
        <f>IFERROR(VLOOKUP(A853,[3]DOORSCRIEFT!$A$2:$G$8551,4,FALSE),"")</f>
        <v/>
      </c>
      <c r="F853" s="405" t="str">
        <f>IFERROR(VLOOKUP(A853,[3]DOORSCRIEFT!$A$2:$G$8551,6,FALSE),"")</f>
        <v/>
      </c>
      <c r="G853" s="315"/>
    </row>
    <row r="854" spans="1:7" x14ac:dyDescent="0.25">
      <c r="A854" s="339" t="str">
        <f t="shared" si="18"/>
        <v>I.2.2.02.00424</v>
      </c>
      <c r="B854" s="319">
        <v>24</v>
      </c>
      <c r="C854" s="394" t="str">
        <f>IFERROR(VLOOKUP(A854,[3]DOORSCRIEFT!$A$2:$G$8551,2,FALSE),"")</f>
        <v/>
      </c>
      <c r="D854" s="393" t="str">
        <f>IFERROR(VLOOKUP(A854,[3]DOORSCRIEFT!$A$2:$G$8551,3,FALSE),"")</f>
        <v/>
      </c>
      <c r="E854" s="392" t="str">
        <f>IFERROR(VLOOKUP(A854,[3]DOORSCRIEFT!$A$2:$G$8551,4,FALSE),"")</f>
        <v/>
      </c>
      <c r="F854" s="405" t="str">
        <f>IFERROR(VLOOKUP(A854,[3]DOORSCRIEFT!$A$2:$G$8551,6,FALSE),"")</f>
        <v/>
      </c>
      <c r="G854" s="315"/>
    </row>
    <row r="855" spans="1:7" x14ac:dyDescent="0.25">
      <c r="A855" s="339" t="str">
        <f t="shared" si="18"/>
        <v>I.2.2.02.00425</v>
      </c>
      <c r="B855" s="339">
        <v>25</v>
      </c>
      <c r="C855" s="394" t="str">
        <f>IFERROR(VLOOKUP(A855,[3]DOORSCRIEFT!$A$2:$G$8551,2,FALSE),"")</f>
        <v/>
      </c>
      <c r="D855" s="393" t="str">
        <f>IFERROR(VLOOKUP(A855,[3]DOORSCRIEFT!$A$2:$G$8551,3,FALSE),"")</f>
        <v/>
      </c>
      <c r="E855" s="392" t="str">
        <f>IFERROR(VLOOKUP(A855,[3]DOORSCRIEFT!$A$2:$G$8551,4,FALSE),"")</f>
        <v/>
      </c>
      <c r="F855" s="405" t="str">
        <f>IFERROR(VLOOKUP(A855,[3]DOORSCRIEFT!$A$2:$G$8551,6,FALSE),"")</f>
        <v/>
      </c>
      <c r="G855" s="315"/>
    </row>
    <row r="856" spans="1:7" x14ac:dyDescent="0.25">
      <c r="A856" s="339" t="str">
        <f t="shared" si="18"/>
        <v>I.2.2.02.00426</v>
      </c>
      <c r="B856" s="319">
        <v>26</v>
      </c>
      <c r="C856" s="394" t="str">
        <f>IFERROR(VLOOKUP(A856,[3]DOORSCRIEFT!$A$2:$G$8551,2,FALSE),"")</f>
        <v/>
      </c>
      <c r="D856" s="393" t="str">
        <f>IFERROR(VLOOKUP(A856,[3]DOORSCRIEFT!$A$2:$G$8551,3,FALSE),"")</f>
        <v/>
      </c>
      <c r="E856" s="392" t="str">
        <f>IFERROR(VLOOKUP(A856,[3]DOORSCRIEFT!$A$2:$G$8551,4,FALSE),"")</f>
        <v/>
      </c>
      <c r="F856" s="405" t="str">
        <f>IFERROR(VLOOKUP(A856,[3]DOORSCRIEFT!$A$2:$G$8551,6,FALSE),"")</f>
        <v/>
      </c>
      <c r="G856" s="315"/>
    </row>
    <row r="857" spans="1:7" ht="15.75" thickBot="1" x14ac:dyDescent="0.3">
      <c r="A857" s="353" t="str">
        <f t="shared" si="18"/>
        <v>I.2.2.02.00427</v>
      </c>
      <c r="B857" s="353">
        <v>27</v>
      </c>
      <c r="C857" s="394" t="str">
        <f>IFERROR(VLOOKUP(A857,[3]DOORSCRIEFT!$A$2:$G$8551,2,FALSE),"")</f>
        <v/>
      </c>
      <c r="D857" s="393" t="str">
        <f>IFERROR(VLOOKUP(A857,[3]DOORSCRIEFT!$A$2:$G$8551,3,FALSE),"")</f>
        <v/>
      </c>
      <c r="E857" s="392" t="str">
        <f>IFERROR(VLOOKUP(A857,[3]DOORSCRIEFT!$A$2:$G$8551,4,FALSE),"")</f>
        <v/>
      </c>
      <c r="F857" s="405" t="str">
        <f>IFERROR(VLOOKUP(A857,[3]DOORSCRIEFT!$A$2:$G$8551,6,FALSE),"")</f>
        <v/>
      </c>
      <c r="G857" s="315"/>
    </row>
    <row r="858" spans="1:7" ht="15.75" thickBot="1" x14ac:dyDescent="0.3">
      <c r="A858" s="358"/>
      <c r="B858" s="357"/>
      <c r="C858" s="407"/>
      <c r="D858" s="312"/>
      <c r="E858" s="311" t="s">
        <v>644</v>
      </c>
      <c r="F858" s="310">
        <f>SUM(F831:F857)</f>
        <v>4161000</v>
      </c>
      <c r="G858" s="309">
        <f>SUM(G831:G857)</f>
        <v>0</v>
      </c>
    </row>
    <row r="861" spans="1:7" ht="15.75" x14ac:dyDescent="0.25">
      <c r="C861" s="332"/>
      <c r="D861" s="333"/>
      <c r="E861" s="332"/>
      <c r="F861" s="327" t="s">
        <v>607</v>
      </c>
      <c r="G861" s="327" t="s">
        <v>538</v>
      </c>
    </row>
    <row r="862" spans="1:7" ht="15.75" x14ac:dyDescent="0.25">
      <c r="C862" s="332"/>
      <c r="D862" s="333"/>
      <c r="E862" s="332"/>
      <c r="F862" s="327" t="s">
        <v>601</v>
      </c>
      <c r="G862" s="327" t="s">
        <v>537</v>
      </c>
    </row>
    <row r="863" spans="1:7" x14ac:dyDescent="0.25">
      <c r="C863" s="328"/>
      <c r="D863" s="329"/>
      <c r="E863" s="328"/>
      <c r="F863" s="327" t="s">
        <v>651</v>
      </c>
      <c r="G863" s="331">
        <f>[2]Sheet1!$D$31</f>
        <v>100000</v>
      </c>
    </row>
    <row r="864" spans="1:7" ht="15.75" thickBot="1" x14ac:dyDescent="0.3">
      <c r="C864" s="328"/>
      <c r="D864" s="329"/>
      <c r="E864" s="328"/>
      <c r="F864" s="327" t="s">
        <v>650</v>
      </c>
      <c r="G864" s="326">
        <f>+F877-G863</f>
        <v>-18000</v>
      </c>
    </row>
    <row r="865" spans="1:7" x14ac:dyDescent="0.25">
      <c r="A865" s="571" t="s">
        <v>655</v>
      </c>
      <c r="B865" s="573" t="s">
        <v>606</v>
      </c>
      <c r="C865" s="588" t="s">
        <v>649</v>
      </c>
      <c r="D865" s="577" t="s">
        <v>648</v>
      </c>
      <c r="E865" s="577" t="s">
        <v>647</v>
      </c>
      <c r="F865" s="577" t="s">
        <v>646</v>
      </c>
      <c r="G865" s="580" t="s">
        <v>645</v>
      </c>
    </row>
    <row r="866" spans="1:7" ht="15.75" thickBot="1" x14ac:dyDescent="0.3">
      <c r="A866" s="579"/>
      <c r="B866" s="593"/>
      <c r="C866" s="592"/>
      <c r="D866" s="578"/>
      <c r="E866" s="578"/>
      <c r="F866" s="578"/>
      <c r="G866" s="581"/>
    </row>
    <row r="867" spans="1:7" ht="15.75" thickBot="1" x14ac:dyDescent="0.3">
      <c r="A867" s="425">
        <v>1</v>
      </c>
      <c r="B867" s="425">
        <v>2</v>
      </c>
      <c r="C867" s="324">
        <v>3</v>
      </c>
      <c r="D867" s="425">
        <v>4</v>
      </c>
      <c r="E867" s="324">
        <v>5</v>
      </c>
      <c r="F867" s="425">
        <v>6</v>
      </c>
      <c r="G867" s="323">
        <v>7</v>
      </c>
    </row>
    <row r="868" spans="1:7" x14ac:dyDescent="0.25">
      <c r="A868" s="339" t="str">
        <f t="shared" ref="A868:A876" si="19">$G$861&amp;B868</f>
        <v>I.2.2.02.0051</v>
      </c>
      <c r="B868" s="339">
        <v>1</v>
      </c>
      <c r="C868" s="394">
        <f>IFERROR(VLOOKUP(A868,[3]DOORSCRIEFT!$A$2:$G$8551,2,FALSE),"")</f>
        <v>217</v>
      </c>
      <c r="D868" s="393">
        <f>IFERROR(VLOOKUP(A868,[3]DOORSCRIEFT!$A$2:$G$8551,3,FALSE),"")</f>
        <v>46073</v>
      </c>
      <c r="E868" s="392" t="str">
        <f>IFERROR(VLOOKUP(A868,[3]DOORSCRIEFT!$A$2:$G$8551,4,FALSE),"")</f>
        <v>Kolekta Syukur Masuk rumah baru Kel. Hully, Oktosea</v>
      </c>
      <c r="F868" s="405">
        <f>IFERROR(VLOOKUP(A868,[3]DOORSCRIEFT!$A$2:$G$8551,6,FALSE),"")</f>
        <v>82000</v>
      </c>
      <c r="G868" s="322"/>
    </row>
    <row r="869" spans="1:7" x14ac:dyDescent="0.25">
      <c r="A869" s="339" t="str">
        <f t="shared" si="19"/>
        <v>I.2.2.02.0052</v>
      </c>
      <c r="B869" s="319">
        <v>2</v>
      </c>
      <c r="C869" s="394" t="str">
        <f>IFERROR(VLOOKUP(A869,[3]DOORSCRIEFT!$A$2:$G$8551,2,FALSE),"")</f>
        <v/>
      </c>
      <c r="D869" s="393" t="str">
        <f>IFERROR(VLOOKUP(A869,[3]DOORSCRIEFT!$A$2:$G$8551,3,FALSE),"")</f>
        <v/>
      </c>
      <c r="E869" s="392" t="str">
        <f>IFERROR(VLOOKUP(A869,[3]DOORSCRIEFT!$A$2:$G$8551,4,FALSE),"")</f>
        <v/>
      </c>
      <c r="F869" s="405" t="str">
        <f>IFERROR(VLOOKUP(A869,[3]DOORSCRIEFT!$A$2:$G$8551,6,FALSE),"")</f>
        <v/>
      </c>
      <c r="G869" s="322"/>
    </row>
    <row r="870" spans="1:7" x14ac:dyDescent="0.25">
      <c r="A870" s="339" t="str">
        <f t="shared" si="19"/>
        <v>I.2.2.02.0053</v>
      </c>
      <c r="B870" s="319">
        <v>3</v>
      </c>
      <c r="C870" s="394" t="str">
        <f>IFERROR(VLOOKUP(A870,[3]DOORSCRIEFT!$A$2:$G$8551,2,FALSE),"")</f>
        <v/>
      </c>
      <c r="D870" s="393" t="str">
        <f>IFERROR(VLOOKUP(A870,[3]DOORSCRIEFT!$A$2:$G$8551,3,FALSE),"")</f>
        <v/>
      </c>
      <c r="E870" s="392" t="str">
        <f>IFERROR(VLOOKUP(A870,[3]DOORSCRIEFT!$A$2:$G$8551,4,FALSE),"")</f>
        <v/>
      </c>
      <c r="F870" s="405" t="str">
        <f>IFERROR(VLOOKUP(A870,[3]DOORSCRIEFT!$A$2:$G$8551,6,FALSE),"")</f>
        <v/>
      </c>
      <c r="G870" s="322"/>
    </row>
    <row r="871" spans="1:7" x14ac:dyDescent="0.25">
      <c r="A871" s="339" t="str">
        <f t="shared" si="19"/>
        <v>I.2.2.02.0054</v>
      </c>
      <c r="B871" s="319">
        <v>4</v>
      </c>
      <c r="C871" s="394" t="str">
        <f>IFERROR(VLOOKUP(A871,[3]DOORSCRIEFT!$A$2:$G$8551,2,FALSE),"")</f>
        <v/>
      </c>
      <c r="D871" s="393" t="str">
        <f>IFERROR(VLOOKUP(A871,[3]DOORSCRIEFT!$A$2:$G$8551,3,FALSE),"")</f>
        <v/>
      </c>
      <c r="E871" s="392" t="str">
        <f>IFERROR(VLOOKUP(A871,[3]DOORSCRIEFT!$A$2:$G$8551,4,FALSE),"")</f>
        <v/>
      </c>
      <c r="F871" s="405" t="str">
        <f>IFERROR(VLOOKUP(A871,[3]DOORSCRIEFT!$A$2:$G$8551,6,FALSE),"")</f>
        <v/>
      </c>
      <c r="G871" s="322"/>
    </row>
    <row r="872" spans="1:7" x14ac:dyDescent="0.25">
      <c r="A872" s="339" t="str">
        <f t="shared" si="19"/>
        <v>I.2.2.02.0055</v>
      </c>
      <c r="B872" s="319">
        <v>5</v>
      </c>
      <c r="C872" s="394" t="str">
        <f>IFERROR(VLOOKUP(A872,[3]DOORSCRIEFT!$A$2:$G$8551,2,FALSE),"")</f>
        <v/>
      </c>
      <c r="D872" s="393" t="str">
        <f>IFERROR(VLOOKUP(A872,[3]DOORSCRIEFT!$A$2:$G$8551,3,FALSE),"")</f>
        <v/>
      </c>
      <c r="E872" s="392" t="str">
        <f>IFERROR(VLOOKUP(A872,[3]DOORSCRIEFT!$A$2:$G$8551,4,FALSE),"")</f>
        <v/>
      </c>
      <c r="F872" s="405" t="str">
        <f>IFERROR(VLOOKUP(A872,[3]DOORSCRIEFT!$A$2:$G$8551,6,FALSE),"")</f>
        <v/>
      </c>
      <c r="G872" s="322"/>
    </row>
    <row r="873" spans="1:7" x14ac:dyDescent="0.25">
      <c r="A873" s="339" t="str">
        <f t="shared" si="19"/>
        <v>I.2.2.02.0056</v>
      </c>
      <c r="B873" s="319">
        <v>6</v>
      </c>
      <c r="C873" s="394" t="str">
        <f>IFERROR(VLOOKUP(A873,[3]DOORSCRIEFT!$A$2:$G$8551,2,FALSE),"")</f>
        <v/>
      </c>
      <c r="D873" s="393" t="str">
        <f>IFERROR(VLOOKUP(A873,[3]DOORSCRIEFT!$A$2:$G$8551,3,FALSE),"")</f>
        <v/>
      </c>
      <c r="E873" s="392" t="str">
        <f>IFERROR(VLOOKUP(A873,[3]DOORSCRIEFT!$A$2:$G$8551,4,FALSE),"")</f>
        <v/>
      </c>
      <c r="F873" s="405" t="str">
        <f>IFERROR(VLOOKUP(A873,[3]DOORSCRIEFT!$A$2:$G$8551,6,FALSE),"")</f>
        <v/>
      </c>
      <c r="G873" s="322"/>
    </row>
    <row r="874" spans="1:7" x14ac:dyDescent="0.25">
      <c r="A874" s="339" t="str">
        <f t="shared" si="19"/>
        <v>I.2.2.02.0057</v>
      </c>
      <c r="B874" s="319">
        <v>7</v>
      </c>
      <c r="C874" s="394" t="str">
        <f>IFERROR(VLOOKUP(A874,[3]DOORSCRIEFT!$A$2:$G$8551,2,FALSE),"")</f>
        <v/>
      </c>
      <c r="D874" s="393" t="str">
        <f>IFERROR(VLOOKUP(A874,[3]DOORSCRIEFT!$A$2:$G$8551,3,FALSE),"")</f>
        <v/>
      </c>
      <c r="E874" s="392" t="str">
        <f>IFERROR(VLOOKUP(A874,[3]DOORSCRIEFT!$A$2:$G$8551,4,FALSE),"")</f>
        <v/>
      </c>
      <c r="F874" s="405" t="str">
        <f>IFERROR(VLOOKUP(A874,[3]DOORSCRIEFT!$A$2:$G$8551,6,FALSE),"")</f>
        <v/>
      </c>
      <c r="G874" s="322"/>
    </row>
    <row r="875" spans="1:7" x14ac:dyDescent="0.25">
      <c r="A875" s="339" t="str">
        <f t="shared" si="19"/>
        <v>I.2.2.02.0058</v>
      </c>
      <c r="B875" s="319">
        <v>8</v>
      </c>
      <c r="C875" s="394" t="str">
        <f>IFERROR(VLOOKUP(A875,[3]DOORSCRIEFT!$A$2:$G$8551,2,FALSE),"")</f>
        <v/>
      </c>
      <c r="D875" s="393" t="str">
        <f>IFERROR(VLOOKUP(A875,[3]DOORSCRIEFT!$A$2:$G$8551,3,FALSE),"")</f>
        <v/>
      </c>
      <c r="E875" s="392" t="str">
        <f>IFERROR(VLOOKUP(A875,[3]DOORSCRIEFT!$A$2:$G$8551,4,FALSE),"")</f>
        <v/>
      </c>
      <c r="F875" s="405" t="str">
        <f>IFERROR(VLOOKUP(A875,[3]DOORSCRIEFT!$A$2:$G$8551,6,FALSE),"")</f>
        <v/>
      </c>
      <c r="G875" s="322"/>
    </row>
    <row r="876" spans="1:7" ht="15.75" thickBot="1" x14ac:dyDescent="0.3">
      <c r="A876" s="339" t="str">
        <f t="shared" si="19"/>
        <v>I.2.2.02.0059</v>
      </c>
      <c r="B876" s="345">
        <v>9</v>
      </c>
      <c r="C876" s="394" t="str">
        <f>IFERROR(VLOOKUP(A876,[3]DOORSCRIEFT!$A$2:$G$8551,2,FALSE),"")</f>
        <v/>
      </c>
      <c r="D876" s="393" t="str">
        <f>IFERROR(VLOOKUP(A876,[3]DOORSCRIEFT!$A$2:$G$8551,3,FALSE),"")</f>
        <v/>
      </c>
      <c r="E876" s="392" t="str">
        <f>IFERROR(VLOOKUP(A876,[3]DOORSCRIEFT!$A$2:$G$8551,4,FALSE),"")</f>
        <v/>
      </c>
      <c r="F876" s="405" t="str">
        <f>IFERROR(VLOOKUP(A876,[3]DOORSCRIEFT!$A$2:$G$8551,6,FALSE),"")</f>
        <v/>
      </c>
      <c r="G876" s="322"/>
    </row>
    <row r="877" spans="1:7" ht="15.75" thickBot="1" x14ac:dyDescent="0.3">
      <c r="A877" s="430"/>
      <c r="B877" s="456"/>
      <c r="C877" s="428"/>
      <c r="D877" s="401"/>
      <c r="E877" s="400" t="s">
        <v>644</v>
      </c>
      <c r="F877" s="427">
        <f>SUM(F868:F876)</f>
        <v>82000</v>
      </c>
      <c r="G877" s="426">
        <f>SUM(G868:G876)</f>
        <v>0</v>
      </c>
    </row>
    <row r="880" spans="1:7" ht="15.75" x14ac:dyDescent="0.25">
      <c r="C880" s="332"/>
      <c r="D880" s="333"/>
      <c r="E880" s="332"/>
      <c r="F880" s="327" t="s">
        <v>607</v>
      </c>
      <c r="G880" s="327" t="s">
        <v>536</v>
      </c>
    </row>
    <row r="881" spans="1:7" ht="15.75" x14ac:dyDescent="0.25">
      <c r="C881" s="332"/>
      <c r="D881" s="333"/>
      <c r="E881" s="332"/>
      <c r="F881" s="327" t="s">
        <v>601</v>
      </c>
      <c r="G881" s="327" t="s">
        <v>535</v>
      </c>
    </row>
    <row r="882" spans="1:7" x14ac:dyDescent="0.25">
      <c r="C882" s="328"/>
      <c r="D882" s="329"/>
      <c r="E882" s="328"/>
      <c r="F882" s="327" t="s">
        <v>651</v>
      </c>
      <c r="G882" s="331">
        <f>[2]Sheet1!$D$32</f>
        <v>250000</v>
      </c>
    </row>
    <row r="883" spans="1:7" ht="15.75" thickBot="1" x14ac:dyDescent="0.3">
      <c r="C883" s="328"/>
      <c r="D883" s="329"/>
      <c r="E883" s="328"/>
      <c r="F883" s="327" t="s">
        <v>650</v>
      </c>
      <c r="G883" s="326">
        <f>+F896-G882</f>
        <v>-250000</v>
      </c>
    </row>
    <row r="884" spans="1:7" x14ac:dyDescent="0.25">
      <c r="A884" s="571" t="s">
        <v>655</v>
      </c>
      <c r="B884" s="571" t="s">
        <v>606</v>
      </c>
      <c r="C884" s="588" t="s">
        <v>649</v>
      </c>
      <c r="D884" s="577" t="s">
        <v>648</v>
      </c>
      <c r="E884" s="577" t="s">
        <v>647</v>
      </c>
      <c r="F884" s="577" t="s">
        <v>646</v>
      </c>
      <c r="G884" s="580" t="s">
        <v>645</v>
      </c>
    </row>
    <row r="885" spans="1:7" ht="15.75" thickBot="1" x14ac:dyDescent="0.3">
      <c r="A885" s="572"/>
      <c r="B885" s="572"/>
      <c r="C885" s="592"/>
      <c r="D885" s="578"/>
      <c r="E885" s="578"/>
      <c r="F885" s="578"/>
      <c r="G885" s="581"/>
    </row>
    <row r="886" spans="1:7" ht="15.75" thickBot="1" x14ac:dyDescent="0.3">
      <c r="A886" s="348">
        <v>1</v>
      </c>
      <c r="B886" s="347">
        <v>2</v>
      </c>
      <c r="C886" s="347">
        <v>3</v>
      </c>
      <c r="D886" s="347">
        <v>4</v>
      </c>
      <c r="E886" s="347">
        <v>5</v>
      </c>
      <c r="F886" s="347">
        <v>6</v>
      </c>
      <c r="G886" s="346">
        <v>7</v>
      </c>
    </row>
    <row r="887" spans="1:7" x14ac:dyDescent="0.25">
      <c r="A887" s="360" t="str">
        <f t="shared" ref="A887:A895" si="20">$G$880&amp;B887</f>
        <v>I.2.2.02.0061</v>
      </c>
      <c r="B887" s="339">
        <v>1</v>
      </c>
      <c r="C887" s="394" t="str">
        <f>IFERROR(VLOOKUP(A887,[3]DOORSCRIEFT!$A$2:$G$8551,2,FALSE),"")</f>
        <v/>
      </c>
      <c r="D887" s="393" t="str">
        <f>IFERROR(VLOOKUP(A887,[3]DOORSCRIEFT!$A$2:$G$8551,3,FALSE),"")</f>
        <v/>
      </c>
      <c r="E887" s="392" t="str">
        <f>IFERROR(VLOOKUP(A887,[3]DOORSCRIEFT!$A$2:$G$8551,4,FALSE),"")</f>
        <v/>
      </c>
      <c r="F887" s="405" t="str">
        <f>IFERROR(VLOOKUP(A887,[3]DOORSCRIEFT!$A$2:$G$8551,6,FALSE),"")</f>
        <v/>
      </c>
      <c r="G887" s="437"/>
    </row>
    <row r="888" spans="1:7" x14ac:dyDescent="0.25">
      <c r="A888" s="360" t="str">
        <f t="shared" si="20"/>
        <v>I.2.2.02.0062</v>
      </c>
      <c r="B888" s="319">
        <v>2</v>
      </c>
      <c r="C888" s="394" t="str">
        <f>IFERROR(VLOOKUP(A888,[3]DOORSCRIEFT!$A$2:$G$8551,2,FALSE),"")</f>
        <v/>
      </c>
      <c r="D888" s="393" t="str">
        <f>IFERROR(VLOOKUP(A888,[3]DOORSCRIEFT!$A$2:$G$8551,3,FALSE),"")</f>
        <v/>
      </c>
      <c r="E888" s="392" t="str">
        <f>IFERROR(VLOOKUP(A888,[3]DOORSCRIEFT!$A$2:$G$8551,4,FALSE),"")</f>
        <v/>
      </c>
      <c r="F888" s="405" t="str">
        <f>IFERROR(VLOOKUP(A888,[3]DOORSCRIEFT!$A$2:$G$8551,6,FALSE),"")</f>
        <v/>
      </c>
      <c r="G888" s="437"/>
    </row>
    <row r="889" spans="1:7" x14ac:dyDescent="0.25">
      <c r="A889" s="360" t="str">
        <f t="shared" si="20"/>
        <v>I.2.2.02.0063</v>
      </c>
      <c r="B889" s="339">
        <v>3</v>
      </c>
      <c r="C889" s="394" t="str">
        <f>IFERROR(VLOOKUP(A889,[3]DOORSCRIEFT!$A$2:$G$8551,2,FALSE),"")</f>
        <v/>
      </c>
      <c r="D889" s="393" t="str">
        <f>IFERROR(VLOOKUP(A889,[3]DOORSCRIEFT!$A$2:$G$8551,3,FALSE),"")</f>
        <v/>
      </c>
      <c r="E889" s="392" t="str">
        <f>IFERROR(VLOOKUP(A889,[3]DOORSCRIEFT!$A$2:$G$8551,4,FALSE),"")</f>
        <v/>
      </c>
      <c r="F889" s="405" t="str">
        <f>IFERROR(VLOOKUP(A889,[3]DOORSCRIEFT!$A$2:$G$8551,6,FALSE),"")</f>
        <v/>
      </c>
      <c r="G889" s="437"/>
    </row>
    <row r="890" spans="1:7" x14ac:dyDescent="0.25">
      <c r="A890" s="360" t="str">
        <f t="shared" si="20"/>
        <v>I.2.2.02.0064</v>
      </c>
      <c r="B890" s="319">
        <v>4</v>
      </c>
      <c r="C890" s="394" t="str">
        <f>IFERROR(VLOOKUP(A890,[3]DOORSCRIEFT!$A$2:$G$8551,2,FALSE),"")</f>
        <v/>
      </c>
      <c r="D890" s="393" t="str">
        <f>IFERROR(VLOOKUP(A890,[3]DOORSCRIEFT!$A$2:$G$8551,3,FALSE),"")</f>
        <v/>
      </c>
      <c r="E890" s="392" t="str">
        <f>IFERROR(VLOOKUP(A890,[3]DOORSCRIEFT!$A$2:$G$8551,4,FALSE),"")</f>
        <v/>
      </c>
      <c r="F890" s="405" t="str">
        <f>IFERROR(VLOOKUP(A890,[3]DOORSCRIEFT!$A$2:$G$8551,6,FALSE),"")</f>
        <v/>
      </c>
      <c r="G890" s="437"/>
    </row>
    <row r="891" spans="1:7" x14ac:dyDescent="0.25">
      <c r="A891" s="360" t="str">
        <f t="shared" si="20"/>
        <v>I.2.2.02.0065</v>
      </c>
      <c r="B891" s="339">
        <v>5</v>
      </c>
      <c r="C891" s="394" t="str">
        <f>IFERROR(VLOOKUP(A891,[3]DOORSCRIEFT!$A$2:$G$8551,2,FALSE),"")</f>
        <v/>
      </c>
      <c r="D891" s="393" t="str">
        <f>IFERROR(VLOOKUP(A891,[3]DOORSCRIEFT!$A$2:$G$8551,3,FALSE),"")</f>
        <v/>
      </c>
      <c r="E891" s="392" t="str">
        <f>IFERROR(VLOOKUP(A891,[3]DOORSCRIEFT!$A$2:$G$8551,4,FALSE),"")</f>
        <v/>
      </c>
      <c r="F891" s="405" t="str">
        <f>IFERROR(VLOOKUP(A891,[3]DOORSCRIEFT!$A$2:$G$8551,6,FALSE),"")</f>
        <v/>
      </c>
      <c r="G891" s="437"/>
    </row>
    <row r="892" spans="1:7" x14ac:dyDescent="0.25">
      <c r="A892" s="360" t="str">
        <f t="shared" si="20"/>
        <v>I.2.2.02.0066</v>
      </c>
      <c r="B892" s="319">
        <v>6</v>
      </c>
      <c r="C892" s="394" t="str">
        <f>IFERROR(VLOOKUP(A892,[3]DOORSCRIEFT!$A$2:$G$8551,2,FALSE),"")</f>
        <v/>
      </c>
      <c r="D892" s="393" t="str">
        <f>IFERROR(VLOOKUP(A892,[3]DOORSCRIEFT!$A$2:$G$8551,3,FALSE),"")</f>
        <v/>
      </c>
      <c r="E892" s="392" t="str">
        <f>IFERROR(VLOOKUP(A892,[3]DOORSCRIEFT!$A$2:$G$8551,4,FALSE),"")</f>
        <v/>
      </c>
      <c r="F892" s="405" t="str">
        <f>IFERROR(VLOOKUP(A892,[3]DOORSCRIEFT!$A$2:$G$8551,6,FALSE),"")</f>
        <v/>
      </c>
      <c r="G892" s="437"/>
    </row>
    <row r="893" spans="1:7" x14ac:dyDescent="0.25">
      <c r="A893" s="360" t="str">
        <f t="shared" si="20"/>
        <v>I.2.2.02.0067</v>
      </c>
      <c r="B893" s="339">
        <v>7</v>
      </c>
      <c r="C893" s="394" t="str">
        <f>IFERROR(VLOOKUP(A893,[3]DOORSCRIEFT!$A$2:$G$8551,2,FALSE),"")</f>
        <v/>
      </c>
      <c r="D893" s="393" t="str">
        <f>IFERROR(VLOOKUP(A893,[3]DOORSCRIEFT!$A$2:$G$8551,3,FALSE),"")</f>
        <v/>
      </c>
      <c r="E893" s="392" t="str">
        <f>IFERROR(VLOOKUP(A893,[3]DOORSCRIEFT!$A$2:$G$8551,4,FALSE),"")</f>
        <v/>
      </c>
      <c r="F893" s="405" t="str">
        <f>IFERROR(VLOOKUP(A893,[3]DOORSCRIEFT!$A$2:$G$8551,6,FALSE),"")</f>
        <v/>
      </c>
      <c r="G893" s="437"/>
    </row>
    <row r="894" spans="1:7" x14ac:dyDescent="0.25">
      <c r="A894" s="360" t="str">
        <f t="shared" si="20"/>
        <v>I.2.2.02.0068</v>
      </c>
      <c r="B894" s="319">
        <v>8</v>
      </c>
      <c r="C894" s="394" t="str">
        <f>IFERROR(VLOOKUP(A894,[3]DOORSCRIEFT!$A$2:$G$8551,2,FALSE),"")</f>
        <v/>
      </c>
      <c r="D894" s="393" t="str">
        <f>IFERROR(VLOOKUP(A894,[3]DOORSCRIEFT!$A$2:$G$8551,3,FALSE),"")</f>
        <v/>
      </c>
      <c r="E894" s="392" t="str">
        <f>IFERROR(VLOOKUP(A894,[3]DOORSCRIEFT!$A$2:$G$8551,4,FALSE),"")</f>
        <v/>
      </c>
      <c r="F894" s="405" t="str">
        <f>IFERROR(VLOOKUP(A894,[3]DOORSCRIEFT!$A$2:$G$8551,6,FALSE),"")</f>
        <v/>
      </c>
      <c r="G894" s="437"/>
    </row>
    <row r="895" spans="1:7" ht="15.75" thickBot="1" x14ac:dyDescent="0.3">
      <c r="A895" s="360" t="str">
        <f t="shared" si="20"/>
        <v>I.2.2.02.0069</v>
      </c>
      <c r="B895" s="339">
        <v>9</v>
      </c>
      <c r="C895" s="394" t="str">
        <f>IFERROR(VLOOKUP(A895,[3]DOORSCRIEFT!$A$2:$G$8551,2,FALSE),"")</f>
        <v/>
      </c>
      <c r="D895" s="393" t="str">
        <f>IFERROR(VLOOKUP(A895,[3]DOORSCRIEFT!$A$2:$G$8551,3,FALSE),"")</f>
        <v/>
      </c>
      <c r="E895" s="392" t="str">
        <f>IFERROR(VLOOKUP(A895,[3]DOORSCRIEFT!$A$2:$G$8551,4,FALSE),"")</f>
        <v/>
      </c>
      <c r="F895" s="405" t="str">
        <f>IFERROR(VLOOKUP(A895,[3]DOORSCRIEFT!$A$2:$G$8551,6,FALSE),"")</f>
        <v/>
      </c>
      <c r="G895" s="437"/>
    </row>
    <row r="896" spans="1:7" ht="15.75" thickBot="1" x14ac:dyDescent="0.3">
      <c r="A896" s="454"/>
      <c r="B896" s="401"/>
      <c r="C896" s="453"/>
      <c r="D896" s="401"/>
      <c r="E896" s="400" t="s">
        <v>644</v>
      </c>
      <c r="F896" s="427">
        <f>SUM(F887:F895)</f>
        <v>0</v>
      </c>
      <c r="G896" s="426">
        <f>SUM(G887:G895)</f>
        <v>0</v>
      </c>
    </row>
    <row r="899" spans="1:7" ht="15.75" x14ac:dyDescent="0.25">
      <c r="C899" s="332"/>
      <c r="D899" s="333"/>
      <c r="E899" s="332"/>
      <c r="F899" s="327" t="s">
        <v>607</v>
      </c>
      <c r="G899" s="327" t="s">
        <v>534</v>
      </c>
    </row>
    <row r="900" spans="1:7" ht="15.75" x14ac:dyDescent="0.25">
      <c r="C900" s="332"/>
      <c r="D900" s="333"/>
      <c r="E900" s="332"/>
      <c r="F900" s="327" t="s">
        <v>601</v>
      </c>
      <c r="G900" s="327" t="s">
        <v>533</v>
      </c>
    </row>
    <row r="901" spans="1:7" x14ac:dyDescent="0.25">
      <c r="C901" s="328"/>
      <c r="D901" s="329"/>
      <c r="E901" s="328"/>
      <c r="F901" s="327" t="s">
        <v>651</v>
      </c>
      <c r="G901" s="331">
        <f>[2]Sheet1!$D$33</f>
        <v>500000</v>
      </c>
    </row>
    <row r="902" spans="1:7" ht="15.75" thickBot="1" x14ac:dyDescent="0.3">
      <c r="C902" s="328"/>
      <c r="D902" s="329"/>
      <c r="E902" s="328"/>
      <c r="F902" s="327" t="s">
        <v>650</v>
      </c>
      <c r="G902" s="326">
        <f>+F914-G901</f>
        <v>-500000</v>
      </c>
    </row>
    <row r="903" spans="1:7" x14ac:dyDescent="0.25">
      <c r="A903" s="571" t="s">
        <v>655</v>
      </c>
      <c r="B903" s="573" t="s">
        <v>606</v>
      </c>
      <c r="C903" s="588" t="s">
        <v>649</v>
      </c>
      <c r="D903" s="577" t="s">
        <v>657</v>
      </c>
      <c r="E903" s="577" t="s">
        <v>647</v>
      </c>
      <c r="F903" s="577" t="s">
        <v>646</v>
      </c>
      <c r="G903" s="580" t="s">
        <v>645</v>
      </c>
    </row>
    <row r="904" spans="1:7" ht="15.75" thickBot="1" x14ac:dyDescent="0.3">
      <c r="A904" s="572"/>
      <c r="B904" s="574"/>
      <c r="C904" s="589"/>
      <c r="D904" s="586"/>
      <c r="E904" s="586"/>
      <c r="F904" s="586"/>
      <c r="G904" s="587"/>
    </row>
    <row r="905" spans="1:7" ht="15.75" thickBot="1" x14ac:dyDescent="0.3">
      <c r="A905" s="425">
        <v>1</v>
      </c>
      <c r="B905" s="425">
        <v>2</v>
      </c>
      <c r="C905" s="425">
        <v>3</v>
      </c>
      <c r="D905" s="324">
        <v>4</v>
      </c>
      <c r="E905" s="425">
        <v>5</v>
      </c>
      <c r="F905" s="324">
        <v>6</v>
      </c>
      <c r="G905" s="425">
        <v>7</v>
      </c>
    </row>
    <row r="906" spans="1:7" x14ac:dyDescent="0.25">
      <c r="A906" s="339" t="str">
        <f t="shared" ref="A906:A913" si="21">$G$899&amp;B906</f>
        <v>I.2.2.02.0071</v>
      </c>
      <c r="B906" s="339">
        <v>1</v>
      </c>
      <c r="C906" s="394" t="str">
        <f>IFERROR(VLOOKUP(A906,[3]DOORSCRIEFT!$A$2:$G$8551,2,FALSE),"")</f>
        <v/>
      </c>
      <c r="D906" s="393" t="str">
        <f>IFERROR(VLOOKUP(A906,[3]DOORSCRIEFT!$A$2:$G$8551,3,FALSE),"")</f>
        <v/>
      </c>
      <c r="E906" s="392" t="str">
        <f>IFERROR(VLOOKUP(A906,[3]DOORSCRIEFT!$A$2:$G$8551,4,FALSE),"")</f>
        <v/>
      </c>
      <c r="F906" s="405" t="str">
        <f>IFERROR(VLOOKUP(A906,[3]DOORSCRIEFT!$A$2:$G$8551,6,FALSE),"")</f>
        <v/>
      </c>
      <c r="G906" s="322"/>
    </row>
    <row r="907" spans="1:7" x14ac:dyDescent="0.25">
      <c r="A907" s="339" t="str">
        <f t="shared" si="21"/>
        <v>I.2.2.02.0072</v>
      </c>
      <c r="B907" s="319">
        <v>2</v>
      </c>
      <c r="C907" s="394" t="str">
        <f>IFERROR(VLOOKUP(A907,[3]DOORSCRIEFT!$A$2:$G$8551,2,FALSE),"")</f>
        <v/>
      </c>
      <c r="D907" s="393" t="str">
        <f>IFERROR(VLOOKUP(A907,[3]DOORSCRIEFT!$A$2:$G$8551,3,FALSE),"")</f>
        <v/>
      </c>
      <c r="E907" s="392" t="str">
        <f>IFERROR(VLOOKUP(A907,[3]DOORSCRIEFT!$A$2:$G$8551,4,FALSE),"")</f>
        <v/>
      </c>
      <c r="F907" s="405" t="str">
        <f>IFERROR(VLOOKUP(A907,[3]DOORSCRIEFT!$A$2:$G$8551,6,FALSE),"")</f>
        <v/>
      </c>
      <c r="G907" s="322"/>
    </row>
    <row r="908" spans="1:7" x14ac:dyDescent="0.25">
      <c r="A908" s="339" t="str">
        <f t="shared" si="21"/>
        <v>I.2.2.02.0073</v>
      </c>
      <c r="B908" s="339">
        <v>3</v>
      </c>
      <c r="C908" s="394" t="str">
        <f>IFERROR(VLOOKUP(A908,[3]DOORSCRIEFT!$A$2:$G$8551,2,FALSE),"")</f>
        <v/>
      </c>
      <c r="D908" s="393" t="str">
        <f>IFERROR(VLOOKUP(A908,[3]DOORSCRIEFT!$A$2:$G$8551,3,FALSE),"")</f>
        <v/>
      </c>
      <c r="E908" s="392" t="str">
        <f>IFERROR(VLOOKUP(A908,[3]DOORSCRIEFT!$A$2:$G$8551,4,FALSE),"")</f>
        <v/>
      </c>
      <c r="F908" s="405" t="str">
        <f>IFERROR(VLOOKUP(A908,[3]DOORSCRIEFT!$A$2:$G$8551,6,FALSE),"")</f>
        <v/>
      </c>
      <c r="G908" s="322"/>
    </row>
    <row r="909" spans="1:7" x14ac:dyDescent="0.25">
      <c r="A909" s="339" t="str">
        <f t="shared" si="21"/>
        <v>I.2.2.02.0074</v>
      </c>
      <c r="B909" s="319">
        <v>4</v>
      </c>
      <c r="C909" s="394" t="str">
        <f>IFERROR(VLOOKUP(A909,[3]DOORSCRIEFT!$A$2:$G$8551,2,FALSE),"")</f>
        <v/>
      </c>
      <c r="D909" s="393" t="str">
        <f>IFERROR(VLOOKUP(A909,[3]DOORSCRIEFT!$A$2:$G$8551,3,FALSE),"")</f>
        <v/>
      </c>
      <c r="E909" s="392" t="str">
        <f>IFERROR(VLOOKUP(A909,[3]DOORSCRIEFT!$A$2:$G$8551,4,FALSE),"")</f>
        <v/>
      </c>
      <c r="F909" s="405" t="str">
        <f>IFERROR(VLOOKUP(A909,[3]DOORSCRIEFT!$A$2:$G$8551,6,FALSE),"")</f>
        <v/>
      </c>
      <c r="G909" s="322"/>
    </row>
    <row r="910" spans="1:7" x14ac:dyDescent="0.25">
      <c r="A910" s="339" t="str">
        <f t="shared" si="21"/>
        <v>I.2.2.02.0075</v>
      </c>
      <c r="B910" s="339">
        <v>5</v>
      </c>
      <c r="C910" s="394" t="str">
        <f>IFERROR(VLOOKUP(A910,[3]DOORSCRIEFT!$A$2:$G$8551,2,FALSE),"")</f>
        <v/>
      </c>
      <c r="D910" s="393" t="str">
        <f>IFERROR(VLOOKUP(A910,[3]DOORSCRIEFT!$A$2:$G$8551,3,FALSE),"")</f>
        <v/>
      </c>
      <c r="E910" s="392" t="str">
        <f>IFERROR(VLOOKUP(A910,[3]DOORSCRIEFT!$A$2:$G$8551,4,FALSE),"")</f>
        <v/>
      </c>
      <c r="F910" s="405" t="str">
        <f>IFERROR(VLOOKUP(A910,[3]DOORSCRIEFT!$A$2:$G$8551,6,FALSE),"")</f>
        <v/>
      </c>
      <c r="G910" s="322"/>
    </row>
    <row r="911" spans="1:7" x14ac:dyDescent="0.25">
      <c r="A911" s="339" t="str">
        <f t="shared" si="21"/>
        <v>I.2.2.02.0076</v>
      </c>
      <c r="B911" s="319">
        <v>6</v>
      </c>
      <c r="C911" s="394" t="str">
        <f>IFERROR(VLOOKUP(A911,[3]DOORSCRIEFT!$A$2:$G$8551,2,FALSE),"")</f>
        <v/>
      </c>
      <c r="D911" s="393" t="str">
        <f>IFERROR(VLOOKUP(A911,[3]DOORSCRIEFT!$A$2:$G$8551,3,FALSE),"")</f>
        <v/>
      </c>
      <c r="E911" s="392" t="str">
        <f>IFERROR(VLOOKUP(A911,[3]DOORSCRIEFT!$A$2:$G$8551,4,FALSE),"")</f>
        <v/>
      </c>
      <c r="F911" s="405" t="str">
        <f>IFERROR(VLOOKUP(A911,[3]DOORSCRIEFT!$A$2:$G$8551,6,FALSE),"")</f>
        <v/>
      </c>
      <c r="G911" s="322"/>
    </row>
    <row r="912" spans="1:7" x14ac:dyDescent="0.25">
      <c r="A912" s="339" t="str">
        <f t="shared" si="21"/>
        <v>I.2.2.02.0077</v>
      </c>
      <c r="B912" s="339">
        <v>7</v>
      </c>
      <c r="C912" s="394" t="str">
        <f>IFERROR(VLOOKUP(A912,[3]DOORSCRIEFT!$A$2:$G$8551,2,FALSE),"")</f>
        <v/>
      </c>
      <c r="D912" s="393" t="str">
        <f>IFERROR(VLOOKUP(A912,[3]DOORSCRIEFT!$A$2:$G$8551,3,FALSE),"")</f>
        <v/>
      </c>
      <c r="E912" s="392" t="str">
        <f>IFERROR(VLOOKUP(A912,[3]DOORSCRIEFT!$A$2:$G$8551,4,FALSE),"")</f>
        <v/>
      </c>
      <c r="F912" s="405" t="str">
        <f>IFERROR(VLOOKUP(A912,[3]DOORSCRIEFT!$A$2:$G$8551,6,FALSE),"")</f>
        <v/>
      </c>
      <c r="G912" s="322"/>
    </row>
    <row r="913" spans="1:7" ht="15.75" thickBot="1" x14ac:dyDescent="0.3">
      <c r="A913" s="353" t="str">
        <f t="shared" si="21"/>
        <v>I.2.2.02.0078</v>
      </c>
      <c r="B913" s="345">
        <v>8</v>
      </c>
      <c r="C913" s="394" t="str">
        <f>IFERROR(VLOOKUP(A913,[3]DOORSCRIEFT!$A$2:$G$8551,2,FALSE),"")</f>
        <v/>
      </c>
      <c r="D913" s="393" t="str">
        <f>IFERROR(VLOOKUP(A913,[3]DOORSCRIEFT!$A$2:$G$8551,3,FALSE),"")</f>
        <v/>
      </c>
      <c r="E913" s="392" t="str">
        <f>IFERROR(VLOOKUP(A913,[3]DOORSCRIEFT!$A$2:$G$8551,4,FALSE),"")</f>
        <v/>
      </c>
      <c r="F913" s="405" t="str">
        <f>IFERROR(VLOOKUP(A913,[3]DOORSCRIEFT!$A$2:$G$8551,6,FALSE),"")</f>
        <v/>
      </c>
      <c r="G913" s="322"/>
    </row>
    <row r="914" spans="1:7" ht="15.75" thickBot="1" x14ac:dyDescent="0.3">
      <c r="A914" s="454"/>
      <c r="B914" s="401"/>
      <c r="C914" s="453"/>
      <c r="D914" s="401"/>
      <c r="E914" s="400" t="s">
        <v>644</v>
      </c>
      <c r="F914" s="399">
        <f>SUM(F906:F913)</f>
        <v>0</v>
      </c>
      <c r="G914" s="398">
        <f>SUM(G906:G913)</f>
        <v>0</v>
      </c>
    </row>
    <row r="917" spans="1:7" ht="15.75" x14ac:dyDescent="0.25">
      <c r="C917" s="332"/>
      <c r="D917" s="333"/>
      <c r="E917" s="332"/>
      <c r="F917" s="327" t="s">
        <v>607</v>
      </c>
      <c r="G917" s="327" t="s">
        <v>532</v>
      </c>
    </row>
    <row r="918" spans="1:7" ht="15.75" x14ac:dyDescent="0.25">
      <c r="C918" s="332"/>
      <c r="D918" s="333"/>
      <c r="E918" s="332"/>
      <c r="F918" s="327" t="s">
        <v>601</v>
      </c>
      <c r="G918" s="327" t="s">
        <v>531</v>
      </c>
    </row>
    <row r="919" spans="1:7" x14ac:dyDescent="0.25">
      <c r="C919" s="328"/>
      <c r="D919" s="329"/>
      <c r="E919" s="328"/>
      <c r="F919" s="327" t="s">
        <v>651</v>
      </c>
      <c r="G919" s="331">
        <f>[2]Sheet1!$D$34</f>
        <v>0</v>
      </c>
    </row>
    <row r="920" spans="1:7" ht="15.75" thickBot="1" x14ac:dyDescent="0.3">
      <c r="C920" s="328"/>
      <c r="D920" s="329"/>
      <c r="E920" s="328"/>
      <c r="F920" s="327" t="s">
        <v>650</v>
      </c>
      <c r="G920" s="326">
        <f>+F926-G919</f>
        <v>120000</v>
      </c>
    </row>
    <row r="921" spans="1:7" x14ac:dyDescent="0.25">
      <c r="A921" s="571" t="s">
        <v>655</v>
      </c>
      <c r="B921" s="573" t="s">
        <v>606</v>
      </c>
      <c r="C921" s="588" t="s">
        <v>648</v>
      </c>
      <c r="D921" s="577" t="s">
        <v>649</v>
      </c>
      <c r="E921" s="577" t="s">
        <v>647</v>
      </c>
      <c r="F921" s="577" t="s">
        <v>646</v>
      </c>
      <c r="G921" s="580" t="s">
        <v>645</v>
      </c>
    </row>
    <row r="922" spans="1:7" ht="15.75" thickBot="1" x14ac:dyDescent="0.3">
      <c r="A922" s="572"/>
      <c r="B922" s="574"/>
      <c r="C922" s="589"/>
      <c r="D922" s="578"/>
      <c r="E922" s="578"/>
      <c r="F922" s="578"/>
      <c r="G922" s="581"/>
    </row>
    <row r="923" spans="1:7" ht="15.75" thickBot="1" x14ac:dyDescent="0.3">
      <c r="A923" s="425">
        <v>1</v>
      </c>
      <c r="B923" s="425">
        <v>2</v>
      </c>
      <c r="C923" s="455">
        <v>3</v>
      </c>
      <c r="D923" s="434">
        <v>4</v>
      </c>
      <c r="E923" s="434">
        <v>5</v>
      </c>
      <c r="F923" s="434">
        <v>6</v>
      </c>
      <c r="G923" s="356">
        <v>7</v>
      </c>
    </row>
    <row r="924" spans="1:7" x14ac:dyDescent="0.25">
      <c r="A924" s="320" t="str">
        <f>$G$917&amp;B924</f>
        <v>I.2.2.02.0081</v>
      </c>
      <c r="B924" s="339">
        <v>1</v>
      </c>
      <c r="C924" s="394">
        <f>IFERROR(VLOOKUP(A924,[3]DOORSCRIEFT!$A$2:$G$8551,2,FALSE),"")</f>
        <v>168</v>
      </c>
      <c r="D924" s="393">
        <f>IFERROR(VLOOKUP(A924,[3]DOORSCRIEFT!$A$2:$G$8551,3,FALSE),"")</f>
        <v>46059</v>
      </c>
      <c r="E924" s="392" t="str">
        <f>IFERROR(VLOOKUP(A924,[3]DOORSCRIEFT!$A$2:$G$8551,4,FALSE),"")</f>
        <v>Kolekta kebaktian syukur selesai pendidikan Tamtama TNI AD Kel. Bpk Andi Talla</v>
      </c>
      <c r="F924" s="405">
        <f>IFERROR(VLOOKUP(A924,[3]DOORSCRIEFT!$A$2:$G$8551,6,FALSE),"")</f>
        <v>120000</v>
      </c>
      <c r="G924" s="437"/>
    </row>
    <row r="925" spans="1:7" ht="15.75" thickBot="1" x14ac:dyDescent="0.3">
      <c r="A925" s="320" t="str">
        <f>$G$917&amp;B925</f>
        <v>I.2.2.02.0082</v>
      </c>
      <c r="B925" s="345">
        <v>2</v>
      </c>
      <c r="C925" s="394" t="str">
        <f>IFERROR(VLOOKUP(A925,[3]DOORSCRIEFT!$A$2:$G$8551,2,FALSE),"")</f>
        <v/>
      </c>
      <c r="D925" s="393" t="str">
        <f>IFERROR(VLOOKUP(A925,[3]DOORSCRIEFT!$A$2:$G$8551,3,FALSE),"")</f>
        <v/>
      </c>
      <c r="E925" s="392" t="str">
        <f>IFERROR(VLOOKUP(A925,[3]DOORSCRIEFT!$A$2:$G$8551,4,FALSE),"")</f>
        <v/>
      </c>
      <c r="F925" s="405" t="str">
        <f>IFERROR(VLOOKUP(A925,[3]DOORSCRIEFT!$A$2:$G$8551,6,FALSE),"")</f>
        <v/>
      </c>
      <c r="G925" s="415"/>
    </row>
    <row r="926" spans="1:7" ht="15.75" thickBot="1" x14ac:dyDescent="0.3">
      <c r="A926" s="454"/>
      <c r="B926" s="401"/>
      <c r="C926" s="453"/>
      <c r="D926" s="401"/>
      <c r="E926" s="400" t="s">
        <v>644</v>
      </c>
      <c r="F926" s="427">
        <f>SUM(F924:F925)</f>
        <v>120000</v>
      </c>
      <c r="G926" s="426">
        <f>SUM(G924:G925)</f>
        <v>0</v>
      </c>
    </row>
    <row r="929" spans="1:7" ht="15.75" x14ac:dyDescent="0.25">
      <c r="C929" s="332"/>
      <c r="D929" s="333"/>
      <c r="E929" s="332"/>
      <c r="F929" s="327" t="s">
        <v>607</v>
      </c>
      <c r="G929" s="327" t="s">
        <v>530</v>
      </c>
    </row>
    <row r="930" spans="1:7" ht="15.75" x14ac:dyDescent="0.25">
      <c r="C930" s="332"/>
      <c r="D930" s="333"/>
      <c r="E930" s="332"/>
      <c r="F930" s="327" t="s">
        <v>601</v>
      </c>
      <c r="G930" s="327" t="s">
        <v>529</v>
      </c>
    </row>
    <row r="931" spans="1:7" x14ac:dyDescent="0.25">
      <c r="C931" s="328"/>
      <c r="D931" s="329"/>
      <c r="E931" s="328"/>
      <c r="F931" s="327" t="s">
        <v>651</v>
      </c>
      <c r="G931" s="331">
        <f>[2]Sheet1!$D$35</f>
        <v>500000</v>
      </c>
    </row>
    <row r="932" spans="1:7" ht="15.75" thickBot="1" x14ac:dyDescent="0.3">
      <c r="C932" s="328"/>
      <c r="D932" s="329"/>
      <c r="E932" s="328"/>
      <c r="F932" s="327" t="s">
        <v>650</v>
      </c>
      <c r="G932" s="326">
        <f>+F948-G931</f>
        <v>-376000</v>
      </c>
    </row>
    <row r="933" spans="1:7" x14ac:dyDescent="0.25">
      <c r="A933" s="571" t="s">
        <v>655</v>
      </c>
      <c r="B933" s="573" t="s">
        <v>606</v>
      </c>
      <c r="C933" s="588" t="s">
        <v>649</v>
      </c>
      <c r="D933" s="577" t="s">
        <v>648</v>
      </c>
      <c r="E933" s="577" t="s">
        <v>647</v>
      </c>
      <c r="F933" s="577" t="s">
        <v>646</v>
      </c>
      <c r="G933" s="580" t="s">
        <v>645</v>
      </c>
    </row>
    <row r="934" spans="1:7" ht="15.75" thickBot="1" x14ac:dyDescent="0.3">
      <c r="A934" s="572"/>
      <c r="B934" s="574"/>
      <c r="C934" s="589"/>
      <c r="D934" s="578"/>
      <c r="E934" s="578"/>
      <c r="F934" s="578"/>
      <c r="G934" s="581"/>
    </row>
    <row r="935" spans="1:7" ht="15.75" thickBot="1" x14ac:dyDescent="0.3">
      <c r="A935" s="425">
        <v>1</v>
      </c>
      <c r="B935" s="425">
        <v>2</v>
      </c>
      <c r="C935" s="455">
        <v>3</v>
      </c>
      <c r="D935" s="434">
        <v>4</v>
      </c>
      <c r="E935" s="434">
        <v>5</v>
      </c>
      <c r="F935" s="434">
        <v>6</v>
      </c>
      <c r="G935" s="356">
        <v>7</v>
      </c>
    </row>
    <row r="936" spans="1:7" x14ac:dyDescent="0.25">
      <c r="A936" s="360" t="str">
        <f t="shared" ref="A936:A947" si="22">$G$929&amp;B936</f>
        <v>I.2.2.02.0091</v>
      </c>
      <c r="B936" s="339">
        <v>1</v>
      </c>
      <c r="C936" s="394">
        <f>IFERROR(VLOOKUP(A936,[3]DOORSCRIEFT!$A$2:$G$8551,2,FALSE),"")</f>
        <v>128</v>
      </c>
      <c r="D936" s="393">
        <f>IFERROR(VLOOKUP(A936,[3]DOORSCRIEFT!$A$2:$G$8551,3,FALSE),"")</f>
        <v>46052</v>
      </c>
      <c r="E936" s="392" t="str">
        <f>IFERROR(VLOOKUP(A936,[3]DOORSCRIEFT!$A$2:$G$8551,4,FALSE),"")</f>
        <v>Kolekta syukur Wisuda Kel. Jerry Putinela</v>
      </c>
      <c r="F936" s="405">
        <f>IFERROR(VLOOKUP(A936,[3]DOORSCRIEFT!$A$2:$G$8551,6,FALSE),"")</f>
        <v>124000</v>
      </c>
      <c r="G936" s="437"/>
    </row>
    <row r="937" spans="1:7" x14ac:dyDescent="0.25">
      <c r="A937" s="360" t="str">
        <f t="shared" si="22"/>
        <v>I.2.2.02.0092</v>
      </c>
      <c r="B937" s="319">
        <v>2</v>
      </c>
      <c r="C937" s="394" t="str">
        <f>IFERROR(VLOOKUP(A937,[3]DOORSCRIEFT!$A$2:$G$8551,2,FALSE),"")</f>
        <v/>
      </c>
      <c r="D937" s="393" t="str">
        <f>IFERROR(VLOOKUP(A937,[3]DOORSCRIEFT!$A$2:$G$8551,3,FALSE),"")</f>
        <v/>
      </c>
      <c r="E937" s="392" t="str">
        <f>IFERROR(VLOOKUP(A937,[3]DOORSCRIEFT!$A$2:$G$8551,4,FALSE),"")</f>
        <v/>
      </c>
      <c r="F937" s="405" t="str">
        <f>IFERROR(VLOOKUP(A937,[3]DOORSCRIEFT!$A$2:$G$8551,6,FALSE),"")</f>
        <v/>
      </c>
      <c r="G937" s="437"/>
    </row>
    <row r="938" spans="1:7" x14ac:dyDescent="0.25">
      <c r="A938" s="360" t="str">
        <f t="shared" si="22"/>
        <v>I.2.2.02.0093</v>
      </c>
      <c r="B938" s="319">
        <v>3</v>
      </c>
      <c r="C938" s="394" t="str">
        <f>IFERROR(VLOOKUP(A938,[3]DOORSCRIEFT!$A$2:$G$8551,2,FALSE),"")</f>
        <v/>
      </c>
      <c r="D938" s="393" t="str">
        <f>IFERROR(VLOOKUP(A938,[3]DOORSCRIEFT!$A$2:$G$8551,3,FALSE),"")</f>
        <v/>
      </c>
      <c r="E938" s="392" t="str">
        <f>IFERROR(VLOOKUP(A938,[3]DOORSCRIEFT!$A$2:$G$8551,4,FALSE),"")</f>
        <v/>
      </c>
      <c r="F938" s="405" t="str">
        <f>IFERROR(VLOOKUP(A938,[3]DOORSCRIEFT!$A$2:$G$8551,6,FALSE),"")</f>
        <v/>
      </c>
      <c r="G938" s="437"/>
    </row>
    <row r="939" spans="1:7" x14ac:dyDescent="0.25">
      <c r="A939" s="360" t="str">
        <f t="shared" si="22"/>
        <v>I.2.2.02.0094</v>
      </c>
      <c r="B939" s="319">
        <v>4</v>
      </c>
      <c r="C939" s="394" t="str">
        <f>IFERROR(VLOOKUP(A939,[3]DOORSCRIEFT!$A$2:$G$8551,2,FALSE),"")</f>
        <v/>
      </c>
      <c r="D939" s="393" t="str">
        <f>IFERROR(VLOOKUP(A939,[3]DOORSCRIEFT!$A$2:$G$8551,3,FALSE),"")</f>
        <v/>
      </c>
      <c r="E939" s="392" t="str">
        <f>IFERROR(VLOOKUP(A939,[3]DOORSCRIEFT!$A$2:$G$8551,4,FALSE),"")</f>
        <v/>
      </c>
      <c r="F939" s="405" t="str">
        <f>IFERROR(VLOOKUP(A939,[3]DOORSCRIEFT!$A$2:$G$8551,6,FALSE),"")</f>
        <v/>
      </c>
      <c r="G939" s="437"/>
    </row>
    <row r="940" spans="1:7" x14ac:dyDescent="0.25">
      <c r="A940" s="360" t="str">
        <f t="shared" si="22"/>
        <v>I.2.2.02.0095</v>
      </c>
      <c r="B940" s="319">
        <v>5</v>
      </c>
      <c r="C940" s="394" t="str">
        <f>IFERROR(VLOOKUP(A940,[3]DOORSCRIEFT!$A$2:$G$8551,2,FALSE),"")</f>
        <v/>
      </c>
      <c r="D940" s="393" t="str">
        <f>IFERROR(VLOOKUP(A940,[3]DOORSCRIEFT!$A$2:$G$8551,3,FALSE),"")</f>
        <v/>
      </c>
      <c r="E940" s="392" t="str">
        <f>IFERROR(VLOOKUP(A940,[3]DOORSCRIEFT!$A$2:$G$8551,4,FALSE),"")</f>
        <v/>
      </c>
      <c r="F940" s="405" t="str">
        <f>IFERROR(VLOOKUP(A940,[3]DOORSCRIEFT!$A$2:$G$8551,6,FALSE),"")</f>
        <v/>
      </c>
      <c r="G940" s="437"/>
    </row>
    <row r="941" spans="1:7" x14ac:dyDescent="0.25">
      <c r="A941" s="360" t="str">
        <f t="shared" si="22"/>
        <v>I.2.2.02.0096</v>
      </c>
      <c r="B941" s="319">
        <v>6</v>
      </c>
      <c r="C941" s="394" t="str">
        <f>IFERROR(VLOOKUP(A941,[3]DOORSCRIEFT!$A$2:$G$8551,2,FALSE),"")</f>
        <v/>
      </c>
      <c r="D941" s="393" t="str">
        <f>IFERROR(VLOOKUP(A941,[3]DOORSCRIEFT!$A$2:$G$8551,3,FALSE),"")</f>
        <v/>
      </c>
      <c r="E941" s="392" t="str">
        <f>IFERROR(VLOOKUP(A941,[3]DOORSCRIEFT!$A$2:$G$8551,4,FALSE),"")</f>
        <v/>
      </c>
      <c r="F941" s="405" t="str">
        <f>IFERROR(VLOOKUP(A941,[3]DOORSCRIEFT!$A$2:$G$8551,6,FALSE),"")</f>
        <v/>
      </c>
      <c r="G941" s="437"/>
    </row>
    <row r="942" spans="1:7" x14ac:dyDescent="0.25">
      <c r="A942" s="360" t="str">
        <f t="shared" si="22"/>
        <v>I.2.2.02.0097</v>
      </c>
      <c r="B942" s="319">
        <v>7</v>
      </c>
      <c r="C942" s="394" t="str">
        <f>IFERROR(VLOOKUP(A942,[3]DOORSCRIEFT!$A$2:$G$8551,2,FALSE),"")</f>
        <v/>
      </c>
      <c r="D942" s="393" t="str">
        <f>IFERROR(VLOOKUP(A942,[3]DOORSCRIEFT!$A$2:$G$8551,3,FALSE),"")</f>
        <v/>
      </c>
      <c r="E942" s="392" t="str">
        <f>IFERROR(VLOOKUP(A942,[3]DOORSCRIEFT!$A$2:$G$8551,4,FALSE),"")</f>
        <v/>
      </c>
      <c r="F942" s="405" t="str">
        <f>IFERROR(VLOOKUP(A942,[3]DOORSCRIEFT!$A$2:$G$8551,6,FALSE),"")</f>
        <v/>
      </c>
      <c r="G942" s="437"/>
    </row>
    <row r="943" spans="1:7" x14ac:dyDescent="0.25">
      <c r="A943" s="360" t="str">
        <f t="shared" si="22"/>
        <v>I.2.2.02.0098</v>
      </c>
      <c r="B943" s="319">
        <v>8</v>
      </c>
      <c r="C943" s="394" t="str">
        <f>IFERROR(VLOOKUP(A943,[3]DOORSCRIEFT!$A$2:$G$8551,2,FALSE),"")</f>
        <v/>
      </c>
      <c r="D943" s="393" t="str">
        <f>IFERROR(VLOOKUP(A943,[3]DOORSCRIEFT!$A$2:$G$8551,3,FALSE),"")</f>
        <v/>
      </c>
      <c r="E943" s="392" t="str">
        <f>IFERROR(VLOOKUP(A943,[3]DOORSCRIEFT!$A$2:$G$8551,4,FALSE),"")</f>
        <v/>
      </c>
      <c r="F943" s="405" t="str">
        <f>IFERROR(VLOOKUP(A943,[3]DOORSCRIEFT!$A$2:$G$8551,6,FALSE),"")</f>
        <v/>
      </c>
      <c r="G943" s="437"/>
    </row>
    <row r="944" spans="1:7" x14ac:dyDescent="0.25">
      <c r="A944" s="360" t="str">
        <f t="shared" si="22"/>
        <v>I.2.2.02.0099</v>
      </c>
      <c r="B944" s="319">
        <v>9</v>
      </c>
      <c r="C944" s="394" t="str">
        <f>IFERROR(VLOOKUP(A944,[3]DOORSCRIEFT!$A$2:$G$8551,2,FALSE),"")</f>
        <v/>
      </c>
      <c r="D944" s="393" t="str">
        <f>IFERROR(VLOOKUP(A944,[3]DOORSCRIEFT!$A$2:$G$8551,3,FALSE),"")</f>
        <v/>
      </c>
      <c r="E944" s="392" t="str">
        <f>IFERROR(VLOOKUP(A944,[3]DOORSCRIEFT!$A$2:$G$8551,4,FALSE),"")</f>
        <v/>
      </c>
      <c r="F944" s="405" t="str">
        <f>IFERROR(VLOOKUP(A944,[3]DOORSCRIEFT!$A$2:$G$8551,6,FALSE),"")</f>
        <v/>
      </c>
      <c r="G944" s="437"/>
    </row>
    <row r="945" spans="1:7" x14ac:dyDescent="0.25">
      <c r="A945" s="360" t="str">
        <f t="shared" si="22"/>
        <v>I.2.2.02.00910</v>
      </c>
      <c r="B945" s="319">
        <v>10</v>
      </c>
      <c r="C945" s="394" t="str">
        <f>IFERROR(VLOOKUP(A945,[3]DOORSCRIEFT!$A$2:$G$8551,2,FALSE),"")</f>
        <v/>
      </c>
      <c r="D945" s="393" t="str">
        <f>IFERROR(VLOOKUP(A945,[3]DOORSCRIEFT!$A$2:$G$8551,3,FALSE),"")</f>
        <v/>
      </c>
      <c r="E945" s="392" t="str">
        <f>IFERROR(VLOOKUP(A945,[3]DOORSCRIEFT!$A$2:$G$8551,4,FALSE),"")</f>
        <v/>
      </c>
      <c r="F945" s="405" t="str">
        <f>IFERROR(VLOOKUP(A945,[3]DOORSCRIEFT!$A$2:$G$8551,6,FALSE),"")</f>
        <v/>
      </c>
      <c r="G945" s="437"/>
    </row>
    <row r="946" spans="1:7" x14ac:dyDescent="0.25">
      <c r="A946" s="360" t="str">
        <f t="shared" si="22"/>
        <v>I.2.2.02.00911</v>
      </c>
      <c r="B946" s="319">
        <v>11</v>
      </c>
      <c r="C946" s="394" t="str">
        <f>IFERROR(VLOOKUP(A946,[3]DOORSCRIEFT!$A$2:$G$8551,2,FALSE),"")</f>
        <v/>
      </c>
      <c r="D946" s="393" t="str">
        <f>IFERROR(VLOOKUP(A946,[3]DOORSCRIEFT!$A$2:$G$8551,3,FALSE),"")</f>
        <v/>
      </c>
      <c r="E946" s="392" t="str">
        <f>IFERROR(VLOOKUP(A946,[3]DOORSCRIEFT!$A$2:$G$8551,4,FALSE),"")</f>
        <v/>
      </c>
      <c r="F946" s="405" t="str">
        <f>IFERROR(VLOOKUP(A946,[3]DOORSCRIEFT!$A$2:$G$8551,6,FALSE),"")</f>
        <v/>
      </c>
      <c r="G946" s="437"/>
    </row>
    <row r="947" spans="1:7" ht="15.75" thickBot="1" x14ac:dyDescent="0.3">
      <c r="A947" s="360" t="str">
        <f t="shared" si="22"/>
        <v>I.2.2.02.00912</v>
      </c>
      <c r="B947" s="319">
        <v>12</v>
      </c>
      <c r="C947" s="394" t="str">
        <f>IFERROR(VLOOKUP(A947,[3]DOORSCRIEFT!$A$2:$G$8551,2,FALSE),"")</f>
        <v/>
      </c>
      <c r="D947" s="393" t="str">
        <f>IFERROR(VLOOKUP(A947,[3]DOORSCRIEFT!$A$2:$G$8551,3,FALSE),"")</f>
        <v/>
      </c>
      <c r="E947" s="392" t="str">
        <f>IFERROR(VLOOKUP(A947,[3]DOORSCRIEFT!$A$2:$G$8551,4,FALSE),"")</f>
        <v/>
      </c>
      <c r="F947" s="405" t="str">
        <f>IFERROR(VLOOKUP(A947,[3]DOORSCRIEFT!$A$2:$G$8551,6,FALSE),"")</f>
        <v/>
      </c>
      <c r="G947" s="437"/>
    </row>
    <row r="948" spans="1:7" ht="15.75" thickBot="1" x14ac:dyDescent="0.3">
      <c r="A948" s="454"/>
      <c r="B948" s="401"/>
      <c r="C948" s="453"/>
      <c r="D948" s="401"/>
      <c r="E948" s="400" t="s">
        <v>644</v>
      </c>
      <c r="F948" s="427">
        <f>SUM(F936:F947)</f>
        <v>124000</v>
      </c>
      <c r="G948" s="426">
        <f>SUM(G936:G947)</f>
        <v>0</v>
      </c>
    </row>
    <row r="951" spans="1:7" ht="15.75" x14ac:dyDescent="0.25">
      <c r="C951" s="332"/>
      <c r="D951" s="333"/>
      <c r="E951" s="332"/>
      <c r="F951" s="327" t="s">
        <v>607</v>
      </c>
      <c r="G951" s="327" t="s">
        <v>528</v>
      </c>
    </row>
    <row r="952" spans="1:7" ht="15.75" x14ac:dyDescent="0.25">
      <c r="C952" s="332"/>
      <c r="D952" s="333"/>
      <c r="E952" s="332"/>
      <c r="F952" s="327" t="s">
        <v>601</v>
      </c>
      <c r="G952" s="327" t="s">
        <v>527</v>
      </c>
    </row>
    <row r="953" spans="1:7" x14ac:dyDescent="0.25">
      <c r="C953" s="328"/>
      <c r="D953" s="329"/>
      <c r="E953" s="328"/>
      <c r="F953" s="327" t="s">
        <v>651</v>
      </c>
      <c r="G953" s="331">
        <f>[2]Sheet1!$D$36</f>
        <v>0</v>
      </c>
    </row>
    <row r="954" spans="1:7" ht="15.75" thickBot="1" x14ac:dyDescent="0.3">
      <c r="C954" s="328"/>
      <c r="D954" s="329"/>
      <c r="E954" s="328"/>
      <c r="F954" s="327" t="s">
        <v>650</v>
      </c>
      <c r="G954" s="326">
        <f>+F965-G953</f>
        <v>0</v>
      </c>
    </row>
    <row r="955" spans="1:7" x14ac:dyDescent="0.25">
      <c r="A955" s="571" t="s">
        <v>655</v>
      </c>
      <c r="B955" s="573" t="s">
        <v>606</v>
      </c>
      <c r="C955" s="588" t="s">
        <v>648</v>
      </c>
      <c r="D955" s="577" t="s">
        <v>649</v>
      </c>
      <c r="E955" s="577" t="s">
        <v>647</v>
      </c>
      <c r="F955" s="577" t="s">
        <v>646</v>
      </c>
      <c r="G955" s="580" t="s">
        <v>645</v>
      </c>
    </row>
    <row r="956" spans="1:7" ht="15.75" thickBot="1" x14ac:dyDescent="0.3">
      <c r="A956" s="572"/>
      <c r="B956" s="574"/>
      <c r="C956" s="589"/>
      <c r="D956" s="578"/>
      <c r="E956" s="578"/>
      <c r="F956" s="578"/>
      <c r="G956" s="581"/>
    </row>
    <row r="957" spans="1:7" ht="15.75" thickBot="1" x14ac:dyDescent="0.3">
      <c r="A957" s="425">
        <v>1</v>
      </c>
      <c r="B957" s="425">
        <v>2</v>
      </c>
      <c r="C957" s="455">
        <v>3</v>
      </c>
      <c r="D957" s="434">
        <v>4</v>
      </c>
      <c r="E957" s="434">
        <v>5</v>
      </c>
      <c r="F957" s="434">
        <v>6</v>
      </c>
      <c r="G957" s="356">
        <v>7</v>
      </c>
    </row>
    <row r="958" spans="1:7" x14ac:dyDescent="0.25">
      <c r="A958" s="360" t="str">
        <f t="shared" ref="A958:A964" si="23">$G$951&amp;B958</f>
        <v>I.2.2.02.0101</v>
      </c>
      <c r="B958" s="339">
        <v>1</v>
      </c>
      <c r="C958" s="394" t="str">
        <f>IFERROR(VLOOKUP(A958,[3]DOORSCRIEFT!$A$2:$G$8551,2,FALSE),"")</f>
        <v/>
      </c>
      <c r="D958" s="393" t="str">
        <f>IFERROR(VLOOKUP(A958,[3]DOORSCRIEFT!$A$2:$G$8551,3,FALSE),"")</f>
        <v/>
      </c>
      <c r="E958" s="392" t="str">
        <f>IFERROR(VLOOKUP(A958,[3]DOORSCRIEFT!$A$2:$G$8551,4,FALSE),"")</f>
        <v/>
      </c>
      <c r="F958" s="405" t="str">
        <f>IFERROR(VLOOKUP(A958,[3]DOORSCRIEFT!$A$2:$G$8551,6,FALSE),"")</f>
        <v/>
      </c>
      <c r="G958" s="437"/>
    </row>
    <row r="959" spans="1:7" x14ac:dyDescent="0.25">
      <c r="A959" s="360" t="str">
        <f t="shared" si="23"/>
        <v>I.2.2.02.0102</v>
      </c>
      <c r="B959" s="319">
        <v>2</v>
      </c>
      <c r="C959" s="394" t="str">
        <f>IFERROR(VLOOKUP(A959,[3]DOORSCRIEFT!$A$2:$G$8551,2,FALSE),"")</f>
        <v/>
      </c>
      <c r="D959" s="393" t="str">
        <f>IFERROR(VLOOKUP(A959,[3]DOORSCRIEFT!$A$2:$G$8551,3,FALSE),"")</f>
        <v/>
      </c>
      <c r="E959" s="392" t="str">
        <f>IFERROR(VLOOKUP(A959,[3]DOORSCRIEFT!$A$2:$G$8551,4,FALSE),"")</f>
        <v/>
      </c>
      <c r="F959" s="405" t="str">
        <f>IFERROR(VLOOKUP(A959,[3]DOORSCRIEFT!$A$2:$G$8551,6,FALSE),"")</f>
        <v/>
      </c>
      <c r="G959" s="416"/>
    </row>
    <row r="960" spans="1:7" x14ac:dyDescent="0.25">
      <c r="A960" s="360" t="str">
        <f t="shared" si="23"/>
        <v>I.2.2.02.0103</v>
      </c>
      <c r="B960" s="339">
        <v>3</v>
      </c>
      <c r="C960" s="394" t="str">
        <f>IFERROR(VLOOKUP(A960,[3]DOORSCRIEFT!$A$2:$G$8551,2,FALSE),"")</f>
        <v/>
      </c>
      <c r="D960" s="393" t="str">
        <f>IFERROR(VLOOKUP(A960,[3]DOORSCRIEFT!$A$2:$G$8551,3,FALSE),"")</f>
        <v/>
      </c>
      <c r="E960" s="392" t="str">
        <f>IFERROR(VLOOKUP(A960,[3]DOORSCRIEFT!$A$2:$G$8551,4,FALSE),"")</f>
        <v/>
      </c>
      <c r="F960" s="405" t="str">
        <f>IFERROR(VLOOKUP(A960,[3]DOORSCRIEFT!$A$2:$G$8551,6,FALSE),"")</f>
        <v/>
      </c>
      <c r="G960" s="416"/>
    </row>
    <row r="961" spans="1:7" x14ac:dyDescent="0.25">
      <c r="A961" s="360" t="str">
        <f t="shared" si="23"/>
        <v>I.2.2.02.0104</v>
      </c>
      <c r="B961" s="319">
        <v>4</v>
      </c>
      <c r="C961" s="394" t="str">
        <f>IFERROR(VLOOKUP(A961,[3]DOORSCRIEFT!$A$2:$G$8551,2,FALSE),"")</f>
        <v/>
      </c>
      <c r="D961" s="393" t="str">
        <f>IFERROR(VLOOKUP(A961,[3]DOORSCRIEFT!$A$2:$G$8551,3,FALSE),"")</f>
        <v/>
      </c>
      <c r="E961" s="392" t="str">
        <f>IFERROR(VLOOKUP(A961,[3]DOORSCRIEFT!$A$2:$G$8551,4,FALSE),"")</f>
        <v/>
      </c>
      <c r="F961" s="405" t="str">
        <f>IFERROR(VLOOKUP(A961,[3]DOORSCRIEFT!$A$2:$G$8551,6,FALSE),"")</f>
        <v/>
      </c>
      <c r="G961" s="416"/>
    </row>
    <row r="962" spans="1:7" x14ac:dyDescent="0.25">
      <c r="A962" s="360" t="str">
        <f t="shared" si="23"/>
        <v>I.2.2.02.0105</v>
      </c>
      <c r="B962" s="339">
        <v>5</v>
      </c>
      <c r="C962" s="394" t="str">
        <f>IFERROR(VLOOKUP(A962,[3]DOORSCRIEFT!$A$2:$G$8551,2,FALSE),"")</f>
        <v/>
      </c>
      <c r="D962" s="393" t="str">
        <f>IFERROR(VLOOKUP(A962,[3]DOORSCRIEFT!$A$2:$G$8551,3,FALSE),"")</f>
        <v/>
      </c>
      <c r="E962" s="392" t="str">
        <f>IFERROR(VLOOKUP(A962,[3]DOORSCRIEFT!$A$2:$G$8551,4,FALSE),"")</f>
        <v/>
      </c>
      <c r="F962" s="405" t="str">
        <f>IFERROR(VLOOKUP(A962,[3]DOORSCRIEFT!$A$2:$G$8551,6,FALSE),"")</f>
        <v/>
      </c>
      <c r="G962" s="416"/>
    </row>
    <row r="963" spans="1:7" x14ac:dyDescent="0.25">
      <c r="A963" s="360" t="str">
        <f t="shared" si="23"/>
        <v>I.2.2.02.0106</v>
      </c>
      <c r="B963" s="319">
        <v>6</v>
      </c>
      <c r="C963" s="394" t="str">
        <f>IFERROR(VLOOKUP(A963,[3]DOORSCRIEFT!$A$2:$G$8551,2,FALSE),"")</f>
        <v/>
      </c>
      <c r="D963" s="393" t="str">
        <f>IFERROR(VLOOKUP(A963,[3]DOORSCRIEFT!$A$2:$G$8551,3,FALSE),"")</f>
        <v/>
      </c>
      <c r="E963" s="392" t="str">
        <f>IFERROR(VLOOKUP(A963,[3]DOORSCRIEFT!$A$2:$G$8551,4,FALSE),"")</f>
        <v/>
      </c>
      <c r="F963" s="405" t="str">
        <f>IFERROR(VLOOKUP(A963,[3]DOORSCRIEFT!$A$2:$G$8551,6,FALSE),"")</f>
        <v/>
      </c>
      <c r="G963" s="416"/>
    </row>
    <row r="964" spans="1:7" ht="15.75" thickBot="1" x14ac:dyDescent="0.3">
      <c r="A964" s="360" t="str">
        <f t="shared" si="23"/>
        <v>I.2.2.02.0107</v>
      </c>
      <c r="B964" s="339">
        <v>7</v>
      </c>
      <c r="C964" s="394" t="str">
        <f>IFERROR(VLOOKUP(A964,[3]DOORSCRIEFT!$A$2:$G$8551,2,FALSE),"")</f>
        <v/>
      </c>
      <c r="D964" s="393" t="str">
        <f>IFERROR(VLOOKUP(A964,[3]DOORSCRIEFT!$A$2:$G$8551,3,FALSE),"")</f>
        <v/>
      </c>
      <c r="E964" s="392" t="str">
        <f>IFERROR(VLOOKUP(A964,[3]DOORSCRIEFT!$A$2:$G$8551,4,FALSE),"")</f>
        <v/>
      </c>
      <c r="F964" s="405" t="str">
        <f>IFERROR(VLOOKUP(A964,[3]DOORSCRIEFT!$A$2:$G$8551,6,FALSE),"")</f>
        <v/>
      </c>
      <c r="G964" s="415"/>
    </row>
    <row r="965" spans="1:7" ht="15.75" thickBot="1" x14ac:dyDescent="0.3">
      <c r="A965" s="314"/>
      <c r="B965" s="312"/>
      <c r="C965" s="313"/>
      <c r="D965" s="312"/>
      <c r="E965" s="311" t="s">
        <v>644</v>
      </c>
      <c r="F965" s="436">
        <f>SUM(F958:F964)</f>
        <v>0</v>
      </c>
      <c r="G965" s="435">
        <f>SUM(G958:G964)</f>
        <v>0</v>
      </c>
    </row>
    <row r="968" spans="1:7" ht="15.75" x14ac:dyDescent="0.25">
      <c r="C968" s="332"/>
      <c r="D968" s="333"/>
      <c r="E968" s="332"/>
      <c r="F968" s="327" t="s">
        <v>607</v>
      </c>
      <c r="G968" s="327" t="s">
        <v>526</v>
      </c>
    </row>
    <row r="969" spans="1:7" ht="15.75" x14ac:dyDescent="0.25">
      <c r="C969" s="332"/>
      <c r="D969" s="333"/>
      <c r="E969" s="332"/>
      <c r="F969" s="327" t="s">
        <v>601</v>
      </c>
      <c r="G969" s="327" t="s">
        <v>525</v>
      </c>
    </row>
    <row r="970" spans="1:7" x14ac:dyDescent="0.25">
      <c r="C970" s="328"/>
      <c r="D970" s="329"/>
      <c r="E970" s="328"/>
      <c r="F970" s="327" t="s">
        <v>651</v>
      </c>
      <c r="G970" s="331">
        <f>[2]Sheet1!$D$37</f>
        <v>0</v>
      </c>
    </row>
    <row r="971" spans="1:7" ht="15.75" thickBot="1" x14ac:dyDescent="0.3">
      <c r="C971" s="328"/>
      <c r="D971" s="329"/>
      <c r="E971" s="328"/>
      <c r="F971" s="327" t="s">
        <v>650</v>
      </c>
      <c r="G971" s="326">
        <f>+F983-G970</f>
        <v>0</v>
      </c>
    </row>
    <row r="972" spans="1:7" x14ac:dyDescent="0.25">
      <c r="A972" s="571" t="s">
        <v>655</v>
      </c>
      <c r="B972" s="573" t="s">
        <v>606</v>
      </c>
      <c r="C972" s="588" t="s">
        <v>649</v>
      </c>
      <c r="D972" s="577" t="s">
        <v>648</v>
      </c>
      <c r="E972" s="577" t="s">
        <v>647</v>
      </c>
      <c r="F972" s="577" t="s">
        <v>646</v>
      </c>
      <c r="G972" s="580" t="s">
        <v>645</v>
      </c>
    </row>
    <row r="973" spans="1:7" ht="15.75" thickBot="1" x14ac:dyDescent="0.3">
      <c r="A973" s="572"/>
      <c r="B973" s="574"/>
      <c r="C973" s="589"/>
      <c r="D973" s="578"/>
      <c r="E973" s="578"/>
      <c r="F973" s="578"/>
      <c r="G973" s="581"/>
    </row>
    <row r="974" spans="1:7" ht="15.75" thickBot="1" x14ac:dyDescent="0.3">
      <c r="A974" s="425">
        <v>1</v>
      </c>
      <c r="B974" s="425">
        <v>2</v>
      </c>
      <c r="C974" s="455">
        <v>3</v>
      </c>
      <c r="D974" s="434">
        <v>4</v>
      </c>
      <c r="E974" s="434">
        <v>5</v>
      </c>
      <c r="F974" s="434">
        <v>6</v>
      </c>
      <c r="G974" s="356">
        <v>7</v>
      </c>
    </row>
    <row r="975" spans="1:7" x14ac:dyDescent="0.25">
      <c r="A975" s="360" t="str">
        <f t="shared" ref="A975:A982" si="24">$G$968&amp;B975</f>
        <v>I.2.2.02.0111</v>
      </c>
      <c r="B975" s="339">
        <v>1</v>
      </c>
      <c r="C975" s="394" t="str">
        <f>IFERROR(VLOOKUP(A975,[3]DOORSCRIEFT!$A$2:$G$8551,2,FALSE),"")</f>
        <v/>
      </c>
      <c r="D975" s="393" t="str">
        <f>IFERROR(VLOOKUP(A975,[3]DOORSCRIEFT!$A$2:$G$8551,3,FALSE),"")</f>
        <v/>
      </c>
      <c r="E975" s="392" t="str">
        <f>IFERROR(VLOOKUP(A975,[3]DOORSCRIEFT!$A$2:$G$8551,4,FALSE),"")</f>
        <v/>
      </c>
      <c r="F975" s="405" t="str">
        <f>IFERROR(VLOOKUP(A975,[3]DOORSCRIEFT!$A$2:$G$8551,6,FALSE),"")</f>
        <v/>
      </c>
      <c r="G975" s="437"/>
    </row>
    <row r="976" spans="1:7" x14ac:dyDescent="0.25">
      <c r="A976" s="360" t="str">
        <f t="shared" si="24"/>
        <v>I.2.2.02.0112</v>
      </c>
      <c r="B976" s="319">
        <v>2</v>
      </c>
      <c r="C976" s="394" t="str">
        <f>IFERROR(VLOOKUP(A976,[3]DOORSCRIEFT!$A$2:$G$8551,2,FALSE),"")</f>
        <v/>
      </c>
      <c r="D976" s="393" t="str">
        <f>IFERROR(VLOOKUP(A976,[3]DOORSCRIEFT!$A$2:$G$8551,3,FALSE),"")</f>
        <v/>
      </c>
      <c r="E976" s="392" t="str">
        <f>IFERROR(VLOOKUP(A976,[3]DOORSCRIEFT!$A$2:$G$8551,4,FALSE),"")</f>
        <v/>
      </c>
      <c r="F976" s="405" t="str">
        <f>IFERROR(VLOOKUP(A976,[3]DOORSCRIEFT!$A$2:$G$8551,6,FALSE),"")</f>
        <v/>
      </c>
      <c r="G976" s="416"/>
    </row>
    <row r="977" spans="1:7" x14ac:dyDescent="0.25">
      <c r="A977" s="360" t="str">
        <f t="shared" si="24"/>
        <v>I.2.2.02.0113</v>
      </c>
      <c r="B977" s="339">
        <v>3</v>
      </c>
      <c r="C977" s="394" t="str">
        <f>IFERROR(VLOOKUP(A977,[3]DOORSCRIEFT!$A$2:$G$8551,2,FALSE),"")</f>
        <v/>
      </c>
      <c r="D977" s="393" t="str">
        <f>IFERROR(VLOOKUP(A977,[3]DOORSCRIEFT!$A$2:$G$8551,3,FALSE),"")</f>
        <v/>
      </c>
      <c r="E977" s="392" t="str">
        <f>IFERROR(VLOOKUP(A977,[3]DOORSCRIEFT!$A$2:$G$8551,4,FALSE),"")</f>
        <v/>
      </c>
      <c r="F977" s="405" t="str">
        <f>IFERROR(VLOOKUP(A977,[3]DOORSCRIEFT!$A$2:$G$8551,6,FALSE),"")</f>
        <v/>
      </c>
      <c r="G977" s="416"/>
    </row>
    <row r="978" spans="1:7" x14ac:dyDescent="0.25">
      <c r="A978" s="360" t="str">
        <f t="shared" si="24"/>
        <v>I.2.2.02.0114</v>
      </c>
      <c r="B978" s="319">
        <v>4</v>
      </c>
      <c r="C978" s="394" t="str">
        <f>IFERROR(VLOOKUP(A978,[3]DOORSCRIEFT!$A$2:$G$8551,2,FALSE),"")</f>
        <v/>
      </c>
      <c r="D978" s="393" t="str">
        <f>IFERROR(VLOOKUP(A978,[3]DOORSCRIEFT!$A$2:$G$8551,3,FALSE),"")</f>
        <v/>
      </c>
      <c r="E978" s="392" t="str">
        <f>IFERROR(VLOOKUP(A978,[3]DOORSCRIEFT!$A$2:$G$8551,4,FALSE),"")</f>
        <v/>
      </c>
      <c r="F978" s="405" t="str">
        <f>IFERROR(VLOOKUP(A978,[3]DOORSCRIEFT!$A$2:$G$8551,6,FALSE),"")</f>
        <v/>
      </c>
      <c r="G978" s="416"/>
    </row>
    <row r="979" spans="1:7" x14ac:dyDescent="0.25">
      <c r="A979" s="360" t="str">
        <f t="shared" si="24"/>
        <v>I.2.2.02.0115</v>
      </c>
      <c r="B979" s="339">
        <v>5</v>
      </c>
      <c r="C979" s="394" t="str">
        <f>IFERROR(VLOOKUP(A979,[3]DOORSCRIEFT!$A$2:$G$8551,2,FALSE),"")</f>
        <v/>
      </c>
      <c r="D979" s="393" t="str">
        <f>IFERROR(VLOOKUP(A979,[3]DOORSCRIEFT!$A$2:$G$8551,3,FALSE),"")</f>
        <v/>
      </c>
      <c r="E979" s="392" t="str">
        <f>IFERROR(VLOOKUP(A979,[3]DOORSCRIEFT!$A$2:$G$8551,4,FALSE),"")</f>
        <v/>
      </c>
      <c r="F979" s="405" t="str">
        <f>IFERROR(VLOOKUP(A979,[3]DOORSCRIEFT!$A$2:$G$8551,6,FALSE),"")</f>
        <v/>
      </c>
      <c r="G979" s="416"/>
    </row>
    <row r="980" spans="1:7" x14ac:dyDescent="0.25">
      <c r="A980" s="360" t="str">
        <f t="shared" si="24"/>
        <v>I.2.2.02.0116</v>
      </c>
      <c r="B980" s="319">
        <v>6</v>
      </c>
      <c r="C980" s="394" t="str">
        <f>IFERROR(VLOOKUP(A980,[3]DOORSCRIEFT!$A$2:$G$8551,2,FALSE),"")</f>
        <v/>
      </c>
      <c r="D980" s="393" t="str">
        <f>IFERROR(VLOOKUP(A980,[3]DOORSCRIEFT!$A$2:$G$8551,3,FALSE),"")</f>
        <v/>
      </c>
      <c r="E980" s="392" t="str">
        <f>IFERROR(VLOOKUP(A980,[3]DOORSCRIEFT!$A$2:$G$8551,4,FALSE),"")</f>
        <v/>
      </c>
      <c r="F980" s="405" t="str">
        <f>IFERROR(VLOOKUP(A980,[3]DOORSCRIEFT!$A$2:$G$8551,6,FALSE),"")</f>
        <v/>
      </c>
      <c r="G980" s="416"/>
    </row>
    <row r="981" spans="1:7" x14ac:dyDescent="0.25">
      <c r="A981" s="360" t="str">
        <f t="shared" si="24"/>
        <v>I.2.2.02.0117</v>
      </c>
      <c r="B981" s="339">
        <v>7</v>
      </c>
      <c r="C981" s="394" t="str">
        <f>IFERROR(VLOOKUP(A981,[3]DOORSCRIEFT!$A$2:$G$8551,2,FALSE),"")</f>
        <v/>
      </c>
      <c r="D981" s="393" t="str">
        <f>IFERROR(VLOOKUP(A981,[3]DOORSCRIEFT!$A$2:$G$8551,3,FALSE),"")</f>
        <v/>
      </c>
      <c r="E981" s="392" t="str">
        <f>IFERROR(VLOOKUP(A981,[3]DOORSCRIEFT!$A$2:$G$8551,4,FALSE),"")</f>
        <v/>
      </c>
      <c r="F981" s="405" t="str">
        <f>IFERROR(VLOOKUP(A981,[3]DOORSCRIEFT!$A$2:$G$8551,6,FALSE),"")</f>
        <v/>
      </c>
      <c r="G981" s="416"/>
    </row>
    <row r="982" spans="1:7" ht="15.75" thickBot="1" x14ac:dyDescent="0.3">
      <c r="A982" s="360" t="str">
        <f t="shared" si="24"/>
        <v>I.2.2.02.0118</v>
      </c>
      <c r="B982" s="319">
        <v>8</v>
      </c>
      <c r="C982" s="394" t="str">
        <f>IFERROR(VLOOKUP(A982,[3]DOORSCRIEFT!$A$2:$G$8551,2,FALSE),"")</f>
        <v/>
      </c>
      <c r="D982" s="393" t="str">
        <f>IFERROR(VLOOKUP(A982,[3]DOORSCRIEFT!$A$2:$G$8551,3,FALSE),"")</f>
        <v/>
      </c>
      <c r="E982" s="392" t="str">
        <f>IFERROR(VLOOKUP(A982,[3]DOORSCRIEFT!$A$2:$G$8551,4,FALSE),"")</f>
        <v/>
      </c>
      <c r="F982" s="405" t="str">
        <f>IFERROR(VLOOKUP(A982,[3]DOORSCRIEFT!$A$2:$G$8551,6,FALSE),"")</f>
        <v/>
      </c>
      <c r="G982" s="415"/>
    </row>
    <row r="983" spans="1:7" ht="15.75" thickBot="1" x14ac:dyDescent="0.3">
      <c r="A983" s="314"/>
      <c r="B983" s="312"/>
      <c r="C983" s="313"/>
      <c r="D983" s="312"/>
      <c r="E983" s="311" t="s">
        <v>644</v>
      </c>
      <c r="F983" s="436">
        <f>SUM(F975:F982)</f>
        <v>0</v>
      </c>
      <c r="G983" s="435">
        <f>SUM(G975:G982)</f>
        <v>0</v>
      </c>
    </row>
    <row r="986" spans="1:7" ht="15.75" x14ac:dyDescent="0.25">
      <c r="C986" s="332"/>
      <c r="D986" s="333"/>
      <c r="E986" s="332"/>
      <c r="F986" s="327" t="s">
        <v>607</v>
      </c>
      <c r="G986" s="327" t="s">
        <v>524</v>
      </c>
    </row>
    <row r="987" spans="1:7" ht="15.75" x14ac:dyDescent="0.25">
      <c r="C987" s="332"/>
      <c r="D987" s="333"/>
      <c r="E987" s="332"/>
      <c r="F987" s="327" t="s">
        <v>601</v>
      </c>
      <c r="G987" s="327" t="s">
        <v>660</v>
      </c>
    </row>
    <row r="988" spans="1:7" x14ac:dyDescent="0.25">
      <c r="C988" s="328"/>
      <c r="D988" s="329"/>
      <c r="E988" s="328"/>
      <c r="F988" s="327" t="s">
        <v>651</v>
      </c>
      <c r="G988" s="331">
        <f>[2]Sheet1!$D$38</f>
        <v>0</v>
      </c>
    </row>
    <row r="989" spans="1:7" ht="15.75" thickBot="1" x14ac:dyDescent="0.3">
      <c r="C989" s="328"/>
      <c r="D989" s="329"/>
      <c r="E989" s="328"/>
      <c r="F989" s="327" t="s">
        <v>650</v>
      </c>
      <c r="G989" s="326">
        <f>+F1001-G988</f>
        <v>50000</v>
      </c>
    </row>
    <row r="990" spans="1:7" x14ac:dyDescent="0.25">
      <c r="A990" s="571" t="s">
        <v>655</v>
      </c>
      <c r="B990" s="573" t="s">
        <v>606</v>
      </c>
      <c r="C990" s="588" t="s">
        <v>649</v>
      </c>
      <c r="D990" s="577" t="s">
        <v>649</v>
      </c>
      <c r="E990" s="577" t="s">
        <v>647</v>
      </c>
      <c r="F990" s="577" t="s">
        <v>646</v>
      </c>
      <c r="G990" s="580" t="s">
        <v>645</v>
      </c>
    </row>
    <row r="991" spans="1:7" ht="15.75" thickBot="1" x14ac:dyDescent="0.3">
      <c r="A991" s="572"/>
      <c r="B991" s="574"/>
      <c r="C991" s="589"/>
      <c r="D991" s="578"/>
      <c r="E991" s="578"/>
      <c r="F991" s="578"/>
      <c r="G991" s="581"/>
    </row>
    <row r="992" spans="1:7" ht="15.75" thickBot="1" x14ac:dyDescent="0.3">
      <c r="A992" s="425">
        <v>1</v>
      </c>
      <c r="B992" s="425">
        <v>2</v>
      </c>
      <c r="C992" s="455">
        <v>3</v>
      </c>
      <c r="D992" s="434">
        <v>4</v>
      </c>
      <c r="E992" s="434">
        <v>5</v>
      </c>
      <c r="F992" s="434">
        <v>6</v>
      </c>
      <c r="G992" s="356">
        <v>7</v>
      </c>
    </row>
    <row r="993" spans="1:7" x14ac:dyDescent="0.25">
      <c r="A993" s="360" t="str">
        <f t="shared" ref="A993:A1000" si="25">$G$986&amp;B993</f>
        <v>I.2.2.02.0121</v>
      </c>
      <c r="B993" s="345">
        <v>1</v>
      </c>
      <c r="C993" s="394">
        <f>IFERROR(VLOOKUP(A993,[3]DOORSCRIEFT!$A$2:$G$8551,2,FALSE),"")</f>
        <v>230</v>
      </c>
      <c r="D993" s="393">
        <f>IFERROR(VLOOKUP(A993,[3]DOORSCRIEFT!$A$2:$G$8551,3,FALSE),"")</f>
        <v>46075</v>
      </c>
      <c r="E993" s="392" t="str">
        <f>IFERROR(VLOOKUP(A993,[3]DOORSCRIEFT!$A$2:$G$8551,4,FALSE),"")</f>
        <v>Kolekta Syukur Mobil</v>
      </c>
      <c r="F993" s="405">
        <f>IFERROR(VLOOKUP(A993,[3]DOORSCRIEFT!$A$2:$G$8551,6,FALSE),"")</f>
        <v>50000</v>
      </c>
      <c r="G993" s="437"/>
    </row>
    <row r="994" spans="1:7" x14ac:dyDescent="0.25">
      <c r="A994" s="360" t="str">
        <f t="shared" si="25"/>
        <v>I.2.2.02.0122</v>
      </c>
      <c r="B994" s="345">
        <v>2</v>
      </c>
      <c r="C994" s="394" t="str">
        <f>IFERROR(VLOOKUP(A994,[3]DOORSCRIEFT!$A$2:$G$8551,2,FALSE),"")</f>
        <v/>
      </c>
      <c r="D994" s="393" t="str">
        <f>IFERROR(VLOOKUP(A994,[3]DOORSCRIEFT!$A$2:$G$8551,3,FALSE),"")</f>
        <v/>
      </c>
      <c r="E994" s="392" t="str">
        <f>IFERROR(VLOOKUP(A994,[3]DOORSCRIEFT!$A$2:$G$8551,4,FALSE),"")</f>
        <v/>
      </c>
      <c r="F994" s="405" t="str">
        <f>IFERROR(VLOOKUP(A994,[3]DOORSCRIEFT!$A$2:$G$8551,6,FALSE),"")</f>
        <v/>
      </c>
      <c r="G994" s="416"/>
    </row>
    <row r="995" spans="1:7" x14ac:dyDescent="0.25">
      <c r="A995" s="360" t="str">
        <f t="shared" si="25"/>
        <v>I.2.2.02.0123</v>
      </c>
      <c r="B995" s="345">
        <v>3</v>
      </c>
      <c r="C995" s="394" t="str">
        <f>IFERROR(VLOOKUP(A995,[3]DOORSCRIEFT!$A$2:$G$8551,2,FALSE),"")</f>
        <v/>
      </c>
      <c r="D995" s="393" t="str">
        <f>IFERROR(VLOOKUP(A995,[3]DOORSCRIEFT!$A$2:$G$8551,3,FALSE),"")</f>
        <v/>
      </c>
      <c r="E995" s="392" t="str">
        <f>IFERROR(VLOOKUP(A995,[3]DOORSCRIEFT!$A$2:$G$8551,4,FALSE),"")</f>
        <v/>
      </c>
      <c r="F995" s="405" t="str">
        <f>IFERROR(VLOOKUP(A995,[3]DOORSCRIEFT!$A$2:$G$8551,6,FALSE),"")</f>
        <v/>
      </c>
      <c r="G995" s="416"/>
    </row>
    <row r="996" spans="1:7" x14ac:dyDescent="0.25">
      <c r="A996" s="360" t="str">
        <f t="shared" si="25"/>
        <v>I.2.2.02.0124</v>
      </c>
      <c r="B996" s="345">
        <v>4</v>
      </c>
      <c r="C996" s="394" t="str">
        <f>IFERROR(VLOOKUP(A996,[3]DOORSCRIEFT!$A$2:$G$8551,2,FALSE),"")</f>
        <v/>
      </c>
      <c r="D996" s="393" t="str">
        <f>IFERROR(VLOOKUP(A996,[3]DOORSCRIEFT!$A$2:$G$8551,3,FALSE),"")</f>
        <v/>
      </c>
      <c r="E996" s="392" t="str">
        <f>IFERROR(VLOOKUP(A996,[3]DOORSCRIEFT!$A$2:$G$8551,4,FALSE),"")</f>
        <v/>
      </c>
      <c r="F996" s="405" t="str">
        <f>IFERROR(VLOOKUP(A996,[3]DOORSCRIEFT!$A$2:$G$8551,6,FALSE),"")</f>
        <v/>
      </c>
      <c r="G996" s="416"/>
    </row>
    <row r="997" spans="1:7" x14ac:dyDescent="0.25">
      <c r="A997" s="360" t="str">
        <f t="shared" si="25"/>
        <v>I.2.2.02.0125</v>
      </c>
      <c r="B997" s="345">
        <v>5</v>
      </c>
      <c r="C997" s="394" t="str">
        <f>IFERROR(VLOOKUP(A997,[3]DOORSCRIEFT!$A$2:$G$8551,2,FALSE),"")</f>
        <v/>
      </c>
      <c r="D997" s="393" t="str">
        <f>IFERROR(VLOOKUP(A997,[3]DOORSCRIEFT!$A$2:$G$8551,3,FALSE),"")</f>
        <v/>
      </c>
      <c r="E997" s="392" t="str">
        <f>IFERROR(VLOOKUP(A997,[3]DOORSCRIEFT!$A$2:$G$8551,4,FALSE),"")</f>
        <v/>
      </c>
      <c r="F997" s="405" t="str">
        <f>IFERROR(VLOOKUP(A997,[3]DOORSCRIEFT!$A$2:$G$8551,6,FALSE),"")</f>
        <v/>
      </c>
      <c r="G997" s="416"/>
    </row>
    <row r="998" spans="1:7" x14ac:dyDescent="0.25">
      <c r="A998" s="360" t="str">
        <f t="shared" si="25"/>
        <v>I.2.2.02.0126</v>
      </c>
      <c r="B998" s="345">
        <v>6</v>
      </c>
      <c r="C998" s="394" t="str">
        <f>IFERROR(VLOOKUP(A998,[3]DOORSCRIEFT!$A$2:$G$8551,2,FALSE),"")</f>
        <v/>
      </c>
      <c r="D998" s="393" t="str">
        <f>IFERROR(VLOOKUP(A998,[3]DOORSCRIEFT!$A$2:$G$8551,3,FALSE),"")</f>
        <v/>
      </c>
      <c r="E998" s="392" t="str">
        <f>IFERROR(VLOOKUP(A998,[3]DOORSCRIEFT!$A$2:$G$8551,4,FALSE),"")</f>
        <v/>
      </c>
      <c r="F998" s="405" t="str">
        <f>IFERROR(VLOOKUP(A998,[3]DOORSCRIEFT!$A$2:$G$8551,6,FALSE),"")</f>
        <v/>
      </c>
      <c r="G998" s="416"/>
    </row>
    <row r="999" spans="1:7" x14ac:dyDescent="0.25">
      <c r="A999" s="360" t="str">
        <f t="shared" si="25"/>
        <v>I.2.2.02.0127</v>
      </c>
      <c r="B999" s="345">
        <v>7</v>
      </c>
      <c r="C999" s="394" t="str">
        <f>IFERROR(VLOOKUP(A999,[3]DOORSCRIEFT!$A$2:$G$8551,2,FALSE),"")</f>
        <v/>
      </c>
      <c r="D999" s="393" t="str">
        <f>IFERROR(VLOOKUP(A999,[3]DOORSCRIEFT!$A$2:$G$8551,3,FALSE),"")</f>
        <v/>
      </c>
      <c r="E999" s="392" t="str">
        <f>IFERROR(VLOOKUP(A999,[3]DOORSCRIEFT!$A$2:$G$8551,4,FALSE),"")</f>
        <v/>
      </c>
      <c r="F999" s="405" t="str">
        <f>IFERROR(VLOOKUP(A999,[3]DOORSCRIEFT!$A$2:$G$8551,6,FALSE),"")</f>
        <v/>
      </c>
      <c r="G999" s="416"/>
    </row>
    <row r="1000" spans="1:7" ht="15.75" thickBot="1" x14ac:dyDescent="0.3">
      <c r="A1000" s="360" t="str">
        <f t="shared" si="25"/>
        <v>I.2.2.02.0128</v>
      </c>
      <c r="B1000" s="345">
        <v>8</v>
      </c>
      <c r="C1000" s="394" t="str">
        <f>IFERROR(VLOOKUP(A1000,[3]DOORSCRIEFT!$A$2:$G$8551,2,FALSE),"")</f>
        <v/>
      </c>
      <c r="D1000" s="393" t="str">
        <f>IFERROR(VLOOKUP(A1000,[3]DOORSCRIEFT!$A$2:$G$8551,3,FALSE),"")</f>
        <v/>
      </c>
      <c r="E1000" s="392" t="str">
        <f>IFERROR(VLOOKUP(A1000,[3]DOORSCRIEFT!$A$2:$G$8551,4,FALSE),"")</f>
        <v/>
      </c>
      <c r="F1000" s="405" t="str">
        <f>IFERROR(VLOOKUP(A1000,[3]DOORSCRIEFT!$A$2:$G$8551,6,FALSE),"")</f>
        <v/>
      </c>
      <c r="G1000" s="415"/>
    </row>
    <row r="1001" spans="1:7" ht="15.75" thickBot="1" x14ac:dyDescent="0.3">
      <c r="A1001" s="314"/>
      <c r="B1001" s="312"/>
      <c r="C1001" s="313"/>
      <c r="D1001" s="312"/>
      <c r="E1001" s="311" t="s">
        <v>644</v>
      </c>
      <c r="F1001" s="436">
        <f>SUM(F993:F1000)</f>
        <v>50000</v>
      </c>
      <c r="G1001" s="435">
        <f>SUM(G993:G1000)</f>
        <v>0</v>
      </c>
    </row>
    <row r="1004" spans="1:7" ht="15.75" x14ac:dyDescent="0.25">
      <c r="C1004" s="332"/>
      <c r="D1004" s="333"/>
      <c r="E1004" s="332"/>
      <c r="F1004" s="327" t="s">
        <v>607</v>
      </c>
      <c r="G1004" s="327" t="s">
        <v>522</v>
      </c>
    </row>
    <row r="1005" spans="1:7" ht="15.75" x14ac:dyDescent="0.25">
      <c r="C1005" s="332"/>
      <c r="D1005" s="333"/>
      <c r="E1005" s="332"/>
      <c r="F1005" s="327" t="s">
        <v>601</v>
      </c>
      <c r="G1005" s="327" t="s">
        <v>521</v>
      </c>
    </row>
    <row r="1006" spans="1:7" x14ac:dyDescent="0.25">
      <c r="C1006" s="328"/>
      <c r="D1006" s="329"/>
      <c r="E1006" s="328"/>
      <c r="F1006" s="327" t="s">
        <v>651</v>
      </c>
      <c r="G1006" s="331">
        <f>[2]Sheet1!$D$39</f>
        <v>200000</v>
      </c>
    </row>
    <row r="1007" spans="1:7" ht="15.75" thickBot="1" x14ac:dyDescent="0.3">
      <c r="C1007" s="328"/>
      <c r="D1007" s="329"/>
      <c r="E1007" s="328"/>
      <c r="F1007" s="327" t="s">
        <v>650</v>
      </c>
      <c r="G1007" s="326">
        <f>+F1018-G1006</f>
        <v>-200000</v>
      </c>
    </row>
    <row r="1008" spans="1:7" x14ac:dyDescent="0.25">
      <c r="A1008" s="571" t="s">
        <v>655</v>
      </c>
      <c r="B1008" s="573" t="s">
        <v>606</v>
      </c>
      <c r="C1008" s="588" t="s">
        <v>649</v>
      </c>
      <c r="D1008" s="577" t="s">
        <v>657</v>
      </c>
      <c r="E1008" s="577" t="s">
        <v>647</v>
      </c>
      <c r="F1008" s="577" t="s">
        <v>646</v>
      </c>
      <c r="G1008" s="580" t="s">
        <v>645</v>
      </c>
    </row>
    <row r="1009" spans="1:7" ht="15.75" thickBot="1" x14ac:dyDescent="0.3">
      <c r="A1009" s="572"/>
      <c r="B1009" s="574"/>
      <c r="C1009" s="589"/>
      <c r="D1009" s="586"/>
      <c r="E1009" s="586"/>
      <c r="F1009" s="586"/>
      <c r="G1009" s="587"/>
    </row>
    <row r="1010" spans="1:7" ht="15.75" thickBot="1" x14ac:dyDescent="0.3">
      <c r="A1010" s="425">
        <v>1</v>
      </c>
      <c r="B1010" s="425">
        <v>2</v>
      </c>
      <c r="C1010" s="425">
        <v>3</v>
      </c>
      <c r="D1010" s="324">
        <v>4</v>
      </c>
      <c r="E1010" s="425">
        <v>5</v>
      </c>
      <c r="F1010" s="324">
        <v>6</v>
      </c>
      <c r="G1010" s="425">
        <v>7</v>
      </c>
    </row>
    <row r="1011" spans="1:7" x14ac:dyDescent="0.25">
      <c r="A1011" s="339" t="str">
        <f t="shared" ref="A1011:A1017" si="26">$G$1004&amp;B1011</f>
        <v>I.2.2.02.0131</v>
      </c>
      <c r="B1011" s="319">
        <v>1</v>
      </c>
      <c r="C1011" s="394" t="str">
        <f>IFERROR(VLOOKUP(A1011,[3]DOORSCRIEFT!$A$2:$G$8551,2,FALSE),"")</f>
        <v/>
      </c>
      <c r="D1011" s="393" t="str">
        <f>IFERROR(VLOOKUP(A1011,[3]DOORSCRIEFT!$A$2:$G$8551,3,FALSE),"")</f>
        <v/>
      </c>
      <c r="E1011" s="392" t="str">
        <f>IFERROR(VLOOKUP(A1011,[3]DOORSCRIEFT!$A$2:$G$8551,4,FALSE),"")</f>
        <v/>
      </c>
      <c r="F1011" s="405" t="str">
        <f>IFERROR(VLOOKUP(A1011,[3]DOORSCRIEFT!$A$2:$G$8551,6,FALSE),"")</f>
        <v/>
      </c>
      <c r="G1011" s="446"/>
    </row>
    <row r="1012" spans="1:7" x14ac:dyDescent="0.25">
      <c r="A1012" s="339" t="str">
        <f t="shared" si="26"/>
        <v>I.2.2.02.0132</v>
      </c>
      <c r="B1012" s="319">
        <v>2</v>
      </c>
      <c r="C1012" s="394" t="str">
        <f>IFERROR(VLOOKUP(A1012,[3]DOORSCRIEFT!$A$2:$G$8551,2,FALSE),"")</f>
        <v/>
      </c>
      <c r="D1012" s="393" t="str">
        <f>IFERROR(VLOOKUP(A1012,[3]DOORSCRIEFT!$A$2:$G$8551,3,FALSE),"")</f>
        <v/>
      </c>
      <c r="E1012" s="392" t="str">
        <f>IFERROR(VLOOKUP(A1012,[3]DOORSCRIEFT!$A$2:$G$8551,4,FALSE),"")</f>
        <v/>
      </c>
      <c r="F1012" s="405" t="str">
        <f>IFERROR(VLOOKUP(A1012,[3]DOORSCRIEFT!$A$2:$G$8551,6,FALSE),"")</f>
        <v/>
      </c>
      <c r="G1012" s="416"/>
    </row>
    <row r="1013" spans="1:7" x14ac:dyDescent="0.25">
      <c r="A1013" s="339" t="str">
        <f t="shared" si="26"/>
        <v>I.2.2.02.0133</v>
      </c>
      <c r="B1013" s="319">
        <v>3</v>
      </c>
      <c r="C1013" s="394" t="str">
        <f>IFERROR(VLOOKUP(A1013,[3]DOORSCRIEFT!$A$2:$G$8551,2,FALSE),"")</f>
        <v/>
      </c>
      <c r="D1013" s="393" t="str">
        <f>IFERROR(VLOOKUP(A1013,[3]DOORSCRIEFT!$A$2:$G$8551,3,FALSE),"")</f>
        <v/>
      </c>
      <c r="E1013" s="392" t="str">
        <f>IFERROR(VLOOKUP(A1013,[3]DOORSCRIEFT!$A$2:$G$8551,4,FALSE),"")</f>
        <v/>
      </c>
      <c r="F1013" s="405" t="str">
        <f>IFERROR(VLOOKUP(A1013,[3]DOORSCRIEFT!$A$2:$G$8551,6,FALSE),"")</f>
        <v/>
      </c>
      <c r="G1013" s="416"/>
    </row>
    <row r="1014" spans="1:7" x14ac:dyDescent="0.25">
      <c r="A1014" s="339" t="str">
        <f t="shared" si="26"/>
        <v>I.2.2.02.0134</v>
      </c>
      <c r="B1014" s="319">
        <v>4</v>
      </c>
      <c r="C1014" s="394" t="str">
        <f>IFERROR(VLOOKUP(A1014,[3]DOORSCRIEFT!$A$2:$G$8551,2,FALSE),"")</f>
        <v/>
      </c>
      <c r="D1014" s="393" t="str">
        <f>IFERROR(VLOOKUP(A1014,[3]DOORSCRIEFT!$A$2:$G$8551,3,FALSE),"")</f>
        <v/>
      </c>
      <c r="E1014" s="392" t="str">
        <f>IFERROR(VLOOKUP(A1014,[3]DOORSCRIEFT!$A$2:$G$8551,4,FALSE),"")</f>
        <v/>
      </c>
      <c r="F1014" s="405" t="str">
        <f>IFERROR(VLOOKUP(A1014,[3]DOORSCRIEFT!$A$2:$G$8551,6,FALSE),"")</f>
        <v/>
      </c>
      <c r="G1014" s="416"/>
    </row>
    <row r="1015" spans="1:7" x14ac:dyDescent="0.25">
      <c r="A1015" s="339" t="str">
        <f t="shared" si="26"/>
        <v>I.2.2.02.0135</v>
      </c>
      <c r="B1015" s="319">
        <v>5</v>
      </c>
      <c r="C1015" s="394" t="str">
        <f>IFERROR(VLOOKUP(A1015,[3]DOORSCRIEFT!$A$2:$G$8551,2,FALSE),"")</f>
        <v/>
      </c>
      <c r="D1015" s="393" t="str">
        <f>IFERROR(VLOOKUP(A1015,[3]DOORSCRIEFT!$A$2:$G$8551,3,FALSE),"")</f>
        <v/>
      </c>
      <c r="E1015" s="392" t="str">
        <f>IFERROR(VLOOKUP(A1015,[3]DOORSCRIEFT!$A$2:$G$8551,4,FALSE),"")</f>
        <v/>
      </c>
      <c r="F1015" s="405" t="str">
        <f>IFERROR(VLOOKUP(A1015,[3]DOORSCRIEFT!$A$2:$G$8551,6,FALSE),"")</f>
        <v/>
      </c>
      <c r="G1015" s="416"/>
    </row>
    <row r="1016" spans="1:7" x14ac:dyDescent="0.25">
      <c r="A1016" s="339" t="str">
        <f t="shared" si="26"/>
        <v>I.2.2.02.0136</v>
      </c>
      <c r="B1016" s="319">
        <v>6</v>
      </c>
      <c r="C1016" s="394" t="str">
        <f>IFERROR(VLOOKUP(A1016,[3]DOORSCRIEFT!$A$2:$G$8551,2,FALSE),"")</f>
        <v/>
      </c>
      <c r="D1016" s="393" t="str">
        <f>IFERROR(VLOOKUP(A1016,[3]DOORSCRIEFT!$A$2:$G$8551,3,FALSE),"")</f>
        <v/>
      </c>
      <c r="E1016" s="392" t="str">
        <f>IFERROR(VLOOKUP(A1016,[3]DOORSCRIEFT!$A$2:$G$8551,4,FALSE),"")</f>
        <v/>
      </c>
      <c r="F1016" s="405" t="str">
        <f>IFERROR(VLOOKUP(A1016,[3]DOORSCRIEFT!$A$2:$G$8551,6,FALSE),"")</f>
        <v/>
      </c>
      <c r="G1016" s="416"/>
    </row>
    <row r="1017" spans="1:7" ht="15.75" thickBot="1" x14ac:dyDescent="0.3">
      <c r="A1017" s="339" t="str">
        <f t="shared" si="26"/>
        <v>I.2.2.02.0137</v>
      </c>
      <c r="B1017" s="319">
        <v>7</v>
      </c>
      <c r="C1017" s="394" t="str">
        <f>IFERROR(VLOOKUP(A1017,[3]DOORSCRIEFT!$A$2:$G$8551,2,FALSE),"")</f>
        <v/>
      </c>
      <c r="D1017" s="393" t="str">
        <f>IFERROR(VLOOKUP(A1017,[3]DOORSCRIEFT!$A$2:$G$8551,3,FALSE),"")</f>
        <v/>
      </c>
      <c r="E1017" s="392" t="str">
        <f>IFERROR(VLOOKUP(A1017,[3]DOORSCRIEFT!$A$2:$G$8551,4,FALSE),"")</f>
        <v/>
      </c>
      <c r="F1017" s="405" t="str">
        <f>IFERROR(VLOOKUP(A1017,[3]DOORSCRIEFT!$A$2:$G$8551,6,FALSE),"")</f>
        <v/>
      </c>
      <c r="G1017" s="415"/>
    </row>
    <row r="1018" spans="1:7" ht="15.75" thickBot="1" x14ac:dyDescent="0.3">
      <c r="A1018" s="454"/>
      <c r="B1018" s="401"/>
      <c r="C1018" s="453"/>
      <c r="D1018" s="401"/>
      <c r="E1018" s="400" t="s">
        <v>644</v>
      </c>
      <c r="F1018" s="427">
        <f>SUM(F1011:F1017)</f>
        <v>0</v>
      </c>
      <c r="G1018" s="426">
        <f>SUM(G1011:G1017)</f>
        <v>0</v>
      </c>
    </row>
    <row r="1021" spans="1:7" ht="15.75" x14ac:dyDescent="0.25">
      <c r="C1021" s="332"/>
      <c r="D1021" s="333"/>
      <c r="E1021" s="332"/>
      <c r="F1021" s="327" t="s">
        <v>607</v>
      </c>
      <c r="G1021" s="327" t="s">
        <v>520</v>
      </c>
    </row>
    <row r="1022" spans="1:7" ht="15.75" x14ac:dyDescent="0.25">
      <c r="C1022" s="332"/>
      <c r="D1022" s="333"/>
      <c r="E1022" s="332"/>
      <c r="F1022" s="327" t="s">
        <v>601</v>
      </c>
      <c r="G1022" s="327" t="s">
        <v>519</v>
      </c>
    </row>
    <row r="1023" spans="1:7" x14ac:dyDescent="0.25">
      <c r="C1023" s="328"/>
      <c r="D1023" s="329"/>
      <c r="E1023" s="328"/>
      <c r="F1023" s="327" t="s">
        <v>651</v>
      </c>
      <c r="G1023" s="331">
        <f>[2]Sheet1!$D$40</f>
        <v>0</v>
      </c>
    </row>
    <row r="1024" spans="1:7" ht="15.75" thickBot="1" x14ac:dyDescent="0.3">
      <c r="C1024" s="328"/>
      <c r="D1024" s="329"/>
      <c r="E1024" s="328"/>
      <c r="F1024" s="327" t="s">
        <v>650</v>
      </c>
      <c r="G1024" s="326">
        <f>+F1037-G1023</f>
        <v>0</v>
      </c>
    </row>
    <row r="1025" spans="1:7" x14ac:dyDescent="0.25">
      <c r="A1025" s="571" t="s">
        <v>655</v>
      </c>
      <c r="B1025" s="573" t="s">
        <v>606</v>
      </c>
      <c r="C1025" s="588" t="s">
        <v>649</v>
      </c>
      <c r="D1025" s="577" t="s">
        <v>657</v>
      </c>
      <c r="E1025" s="577" t="s">
        <v>647</v>
      </c>
      <c r="F1025" s="577" t="s">
        <v>646</v>
      </c>
      <c r="G1025" s="580" t="s">
        <v>645</v>
      </c>
    </row>
    <row r="1026" spans="1:7" ht="15.75" thickBot="1" x14ac:dyDescent="0.3">
      <c r="A1026" s="572"/>
      <c r="B1026" s="574"/>
      <c r="C1026" s="589"/>
      <c r="D1026" s="586"/>
      <c r="E1026" s="586"/>
      <c r="F1026" s="586"/>
      <c r="G1026" s="587"/>
    </row>
    <row r="1027" spans="1:7" ht="15.75" thickBot="1" x14ac:dyDescent="0.3">
      <c r="A1027" s="425">
        <v>1</v>
      </c>
      <c r="B1027" s="425">
        <v>2</v>
      </c>
      <c r="C1027" s="425">
        <v>3</v>
      </c>
      <c r="D1027" s="325">
        <v>4</v>
      </c>
      <c r="E1027" s="425">
        <v>5</v>
      </c>
      <c r="F1027" s="324">
        <v>6</v>
      </c>
      <c r="G1027" s="425">
        <v>7</v>
      </c>
    </row>
    <row r="1028" spans="1:7" x14ac:dyDescent="0.25">
      <c r="A1028" s="339" t="str">
        <f t="shared" ref="A1028:A1036" si="27">$G$1021&amp;B1028</f>
        <v>I.2.2.02.0141</v>
      </c>
      <c r="B1028" s="339">
        <v>1</v>
      </c>
      <c r="C1028" s="394" t="str">
        <f>IFERROR(VLOOKUP(A1028,[3]DOORSCRIEFT!$A$2:$G$8551,2,FALSE),"")</f>
        <v/>
      </c>
      <c r="D1028" s="393" t="str">
        <f>IFERROR(VLOOKUP(A1028,[3]DOORSCRIEFT!$A$2:$G$8551,3,FALSE),"")</f>
        <v/>
      </c>
      <c r="E1028" s="392" t="str">
        <f>IFERROR(VLOOKUP(A1028,[3]DOORSCRIEFT!$A$2:$G$8551,4,FALSE),"")</f>
        <v/>
      </c>
      <c r="F1028" s="405" t="str">
        <f>IFERROR(VLOOKUP(A1028,[3]DOORSCRIEFT!$A$2:$G$8551,6,FALSE),"")</f>
        <v/>
      </c>
      <c r="G1028" s="437"/>
    </row>
    <row r="1029" spans="1:7" x14ac:dyDescent="0.25">
      <c r="A1029" s="339" t="str">
        <f t="shared" si="27"/>
        <v>I.2.2.02.0142</v>
      </c>
      <c r="B1029" s="319">
        <v>2</v>
      </c>
      <c r="C1029" s="394" t="str">
        <f>IFERROR(VLOOKUP(A1029,[3]DOORSCRIEFT!$A$2:$G$8551,2,FALSE),"")</f>
        <v/>
      </c>
      <c r="D1029" s="393" t="str">
        <f>IFERROR(VLOOKUP(A1029,[3]DOORSCRIEFT!$A$2:$G$8551,3,FALSE),"")</f>
        <v/>
      </c>
      <c r="E1029" s="392" t="str">
        <f>IFERROR(VLOOKUP(A1029,[3]DOORSCRIEFT!$A$2:$G$8551,4,FALSE),"")</f>
        <v/>
      </c>
      <c r="F1029" s="405" t="str">
        <f>IFERROR(VLOOKUP(A1029,[3]DOORSCRIEFT!$A$2:$G$8551,6,FALSE),"")</f>
        <v/>
      </c>
      <c r="G1029" s="446"/>
    </row>
    <row r="1030" spans="1:7" x14ac:dyDescent="0.25">
      <c r="A1030" s="339" t="str">
        <f t="shared" si="27"/>
        <v>I.2.2.02.0143</v>
      </c>
      <c r="B1030" s="339">
        <v>3</v>
      </c>
      <c r="C1030" s="394" t="str">
        <f>IFERROR(VLOOKUP(A1030,[3]DOORSCRIEFT!$A$2:$G$8551,2,FALSE),"")</f>
        <v/>
      </c>
      <c r="D1030" s="393" t="str">
        <f>IFERROR(VLOOKUP(A1030,[3]DOORSCRIEFT!$A$2:$G$8551,3,FALSE),"")</f>
        <v/>
      </c>
      <c r="E1030" s="392" t="str">
        <f>IFERROR(VLOOKUP(A1030,[3]DOORSCRIEFT!$A$2:$G$8551,4,FALSE),"")</f>
        <v/>
      </c>
      <c r="F1030" s="405" t="str">
        <f>IFERROR(VLOOKUP(A1030,[3]DOORSCRIEFT!$A$2:$G$8551,6,FALSE),"")</f>
        <v/>
      </c>
      <c r="G1030" s="446"/>
    </row>
    <row r="1031" spans="1:7" x14ac:dyDescent="0.25">
      <c r="A1031" s="339" t="str">
        <f t="shared" si="27"/>
        <v>I.2.2.02.0144</v>
      </c>
      <c r="B1031" s="319">
        <v>4</v>
      </c>
      <c r="C1031" s="394" t="str">
        <f>IFERROR(VLOOKUP(A1031,[3]DOORSCRIEFT!$A$2:$G$8551,2,FALSE),"")</f>
        <v/>
      </c>
      <c r="D1031" s="393" t="str">
        <f>IFERROR(VLOOKUP(A1031,[3]DOORSCRIEFT!$A$2:$G$8551,3,FALSE),"")</f>
        <v/>
      </c>
      <c r="E1031" s="392" t="str">
        <f>IFERROR(VLOOKUP(A1031,[3]DOORSCRIEFT!$A$2:$G$8551,4,FALSE),"")</f>
        <v/>
      </c>
      <c r="F1031" s="405" t="str">
        <f>IFERROR(VLOOKUP(A1031,[3]DOORSCRIEFT!$A$2:$G$8551,6,FALSE),"")</f>
        <v/>
      </c>
      <c r="G1031" s="446"/>
    </row>
    <row r="1032" spans="1:7" x14ac:dyDescent="0.25">
      <c r="A1032" s="339" t="str">
        <f t="shared" si="27"/>
        <v>I.2.2.02.0145</v>
      </c>
      <c r="B1032" s="339">
        <v>5</v>
      </c>
      <c r="C1032" s="394" t="str">
        <f>IFERROR(VLOOKUP(A1032,[3]DOORSCRIEFT!$A$2:$G$8551,2,FALSE),"")</f>
        <v/>
      </c>
      <c r="D1032" s="393" t="str">
        <f>IFERROR(VLOOKUP(A1032,[3]DOORSCRIEFT!$A$2:$G$8551,3,FALSE),"")</f>
        <v/>
      </c>
      <c r="E1032" s="392" t="str">
        <f>IFERROR(VLOOKUP(A1032,[3]DOORSCRIEFT!$A$2:$G$8551,4,FALSE),"")</f>
        <v/>
      </c>
      <c r="F1032" s="405" t="str">
        <f>IFERROR(VLOOKUP(A1032,[3]DOORSCRIEFT!$A$2:$G$8551,6,FALSE),"")</f>
        <v/>
      </c>
      <c r="G1032" s="446"/>
    </row>
    <row r="1033" spans="1:7" x14ac:dyDescent="0.25">
      <c r="A1033" s="339" t="str">
        <f t="shared" si="27"/>
        <v>I.2.2.02.0146</v>
      </c>
      <c r="B1033" s="319">
        <v>6</v>
      </c>
      <c r="C1033" s="394" t="str">
        <f>IFERROR(VLOOKUP(A1033,[3]DOORSCRIEFT!$A$2:$G$8551,2,FALSE),"")</f>
        <v/>
      </c>
      <c r="D1033" s="393" t="str">
        <f>IFERROR(VLOOKUP(A1033,[3]DOORSCRIEFT!$A$2:$G$8551,3,FALSE),"")</f>
        <v/>
      </c>
      <c r="E1033" s="392" t="str">
        <f>IFERROR(VLOOKUP(A1033,[3]DOORSCRIEFT!$A$2:$G$8551,4,FALSE),"")</f>
        <v/>
      </c>
      <c r="F1033" s="405" t="str">
        <f>IFERROR(VLOOKUP(A1033,[3]DOORSCRIEFT!$A$2:$G$8551,6,FALSE),"")</f>
        <v/>
      </c>
      <c r="G1033" s="446"/>
    </row>
    <row r="1034" spans="1:7" x14ac:dyDescent="0.25">
      <c r="A1034" s="339" t="str">
        <f t="shared" si="27"/>
        <v>I.2.2.02.0147</v>
      </c>
      <c r="B1034" s="339">
        <v>7</v>
      </c>
      <c r="C1034" s="394" t="str">
        <f>IFERROR(VLOOKUP(A1034,[3]DOORSCRIEFT!$A$2:$G$8551,2,FALSE),"")</f>
        <v/>
      </c>
      <c r="D1034" s="393" t="str">
        <f>IFERROR(VLOOKUP(A1034,[3]DOORSCRIEFT!$A$2:$G$8551,3,FALSE),"")</f>
        <v/>
      </c>
      <c r="E1034" s="392" t="str">
        <f>IFERROR(VLOOKUP(A1034,[3]DOORSCRIEFT!$A$2:$G$8551,4,FALSE),"")</f>
        <v/>
      </c>
      <c r="F1034" s="405" t="str">
        <f>IFERROR(VLOOKUP(A1034,[3]DOORSCRIEFT!$A$2:$G$8551,6,FALSE),"")</f>
        <v/>
      </c>
      <c r="G1034" s="446"/>
    </row>
    <row r="1035" spans="1:7" x14ac:dyDescent="0.25">
      <c r="A1035" s="339" t="str">
        <f t="shared" si="27"/>
        <v>I.2.2.02.0148</v>
      </c>
      <c r="B1035" s="319">
        <v>8</v>
      </c>
      <c r="C1035" s="394" t="str">
        <f>IFERROR(VLOOKUP(A1035,[3]DOORSCRIEFT!$A$2:$G$8551,2,FALSE),"")</f>
        <v/>
      </c>
      <c r="D1035" s="393" t="str">
        <f>IFERROR(VLOOKUP(A1035,[3]DOORSCRIEFT!$A$2:$G$8551,3,FALSE),"")</f>
        <v/>
      </c>
      <c r="E1035" s="392" t="str">
        <f>IFERROR(VLOOKUP(A1035,[3]DOORSCRIEFT!$A$2:$G$8551,4,FALSE),"")</f>
        <v/>
      </c>
      <c r="F1035" s="405" t="str">
        <f>IFERROR(VLOOKUP(A1035,[3]DOORSCRIEFT!$A$2:$G$8551,6,FALSE),"")</f>
        <v/>
      </c>
      <c r="G1035" s="414"/>
    </row>
    <row r="1036" spans="1:7" ht="15.75" thickBot="1" x14ac:dyDescent="0.3">
      <c r="A1036" s="339" t="str">
        <f t="shared" si="27"/>
        <v>I.2.2.02.0149</v>
      </c>
      <c r="B1036" s="339">
        <v>9</v>
      </c>
      <c r="C1036" s="394" t="str">
        <f>IFERROR(VLOOKUP(A1036,[3]DOORSCRIEFT!$A$2:$G$8551,2,FALSE),"")</f>
        <v/>
      </c>
      <c r="D1036" s="393" t="str">
        <f>IFERROR(VLOOKUP(A1036,[3]DOORSCRIEFT!$A$2:$G$8551,3,FALSE),"")</f>
        <v/>
      </c>
      <c r="E1036" s="392" t="str">
        <f>IFERROR(VLOOKUP(A1036,[3]DOORSCRIEFT!$A$2:$G$8551,4,FALSE),"")</f>
        <v/>
      </c>
      <c r="F1036" s="405" t="str">
        <f>IFERROR(VLOOKUP(A1036,[3]DOORSCRIEFT!$A$2:$G$8551,6,FALSE),"")</f>
        <v/>
      </c>
      <c r="G1036" s="415"/>
    </row>
    <row r="1037" spans="1:7" ht="15.75" thickBot="1" x14ac:dyDescent="0.3">
      <c r="A1037" s="314"/>
      <c r="B1037" s="312"/>
      <c r="C1037" s="313"/>
      <c r="D1037" s="312"/>
      <c r="E1037" s="311" t="s">
        <v>644</v>
      </c>
      <c r="F1037" s="436">
        <f>SUM(F1028:F1035)</f>
        <v>0</v>
      </c>
      <c r="G1037" s="435">
        <f>SUM(G1028:G1035)</f>
        <v>0</v>
      </c>
    </row>
    <row r="1040" spans="1:7" ht="15.75" x14ac:dyDescent="0.25">
      <c r="C1040" s="332"/>
      <c r="D1040" s="333"/>
      <c r="E1040" s="332"/>
      <c r="F1040" s="327" t="s">
        <v>607</v>
      </c>
      <c r="G1040" s="327" t="s">
        <v>518</v>
      </c>
    </row>
    <row r="1041" spans="1:7" ht="15.75" x14ac:dyDescent="0.25">
      <c r="C1041" s="332"/>
      <c r="D1041" s="333"/>
      <c r="E1041" s="332"/>
      <c r="F1041" s="327" t="s">
        <v>601</v>
      </c>
      <c r="G1041" s="327" t="s">
        <v>517</v>
      </c>
    </row>
    <row r="1042" spans="1:7" x14ac:dyDescent="0.25">
      <c r="C1042" s="328"/>
      <c r="D1042" s="329"/>
      <c r="E1042" s="328"/>
      <c r="F1042" s="327" t="s">
        <v>651</v>
      </c>
      <c r="G1042" s="331">
        <f>[2]Sheet1!$D$41</f>
        <v>0</v>
      </c>
    </row>
    <row r="1043" spans="1:7" ht="15.75" thickBot="1" x14ac:dyDescent="0.3">
      <c r="C1043" s="328"/>
      <c r="D1043" s="329"/>
      <c r="E1043" s="328"/>
      <c r="F1043" s="327" t="s">
        <v>650</v>
      </c>
      <c r="G1043" s="326">
        <f>+F1056-G1042</f>
        <v>0</v>
      </c>
    </row>
    <row r="1044" spans="1:7" x14ac:dyDescent="0.25">
      <c r="A1044" s="571" t="s">
        <v>655</v>
      </c>
      <c r="B1044" s="573" t="s">
        <v>606</v>
      </c>
      <c r="C1044" s="588" t="s">
        <v>649</v>
      </c>
      <c r="D1044" s="577" t="s">
        <v>657</v>
      </c>
      <c r="E1044" s="577" t="s">
        <v>647</v>
      </c>
      <c r="F1044" s="577" t="s">
        <v>646</v>
      </c>
      <c r="G1044" s="580" t="s">
        <v>645</v>
      </c>
    </row>
    <row r="1045" spans="1:7" ht="15.75" thickBot="1" x14ac:dyDescent="0.3">
      <c r="A1045" s="572"/>
      <c r="B1045" s="574"/>
      <c r="C1045" s="589"/>
      <c r="D1045" s="586"/>
      <c r="E1045" s="586"/>
      <c r="F1045" s="586"/>
      <c r="G1045" s="587"/>
    </row>
    <row r="1046" spans="1:7" ht="15.75" thickBot="1" x14ac:dyDescent="0.3">
      <c r="A1046" s="425">
        <v>1</v>
      </c>
      <c r="B1046" s="425">
        <v>2</v>
      </c>
      <c r="C1046" s="425">
        <v>3</v>
      </c>
      <c r="D1046" s="324">
        <v>4</v>
      </c>
      <c r="E1046" s="425">
        <v>5</v>
      </c>
      <c r="F1046" s="324">
        <v>6</v>
      </c>
      <c r="G1046" s="425">
        <v>7</v>
      </c>
    </row>
    <row r="1047" spans="1:7" x14ac:dyDescent="0.25">
      <c r="A1047" s="339" t="str">
        <f t="shared" ref="A1047:A1055" si="28">$G$1040&amp;B1047</f>
        <v>I.2.2.02.0151</v>
      </c>
      <c r="B1047" s="339">
        <v>1</v>
      </c>
      <c r="C1047" s="394" t="str">
        <f>IFERROR(VLOOKUP(A1047,[3]DOORSCRIEFT!$A$2:$G$8551,2,FALSE),"")</f>
        <v/>
      </c>
      <c r="D1047" s="393" t="str">
        <f>IFERROR(VLOOKUP(A1047,[3]DOORSCRIEFT!$A$2:$G$8551,3,FALSE),"")</f>
        <v/>
      </c>
      <c r="E1047" s="392" t="str">
        <f>IFERROR(VLOOKUP(A1047,[3]DOORSCRIEFT!$A$2:$G$8551,4,FALSE),"")</f>
        <v/>
      </c>
      <c r="F1047" s="405" t="str">
        <f>IFERROR(VLOOKUP(A1047,[3]DOORSCRIEFT!$A$2:$G$8551,6,FALSE),"")</f>
        <v/>
      </c>
      <c r="G1047" s="452"/>
    </row>
    <row r="1048" spans="1:7" x14ac:dyDescent="0.25">
      <c r="A1048" s="339" t="str">
        <f t="shared" si="28"/>
        <v>I.2.2.02.0152</v>
      </c>
      <c r="B1048" s="321">
        <v>2</v>
      </c>
      <c r="C1048" s="394" t="str">
        <f>IFERROR(VLOOKUP(A1048,[3]DOORSCRIEFT!$A$2:$G$8551,2,FALSE),"")</f>
        <v/>
      </c>
      <c r="D1048" s="393" t="str">
        <f>IFERROR(VLOOKUP(A1048,[3]DOORSCRIEFT!$A$2:$G$8551,3,FALSE),"")</f>
        <v/>
      </c>
      <c r="E1048" s="392" t="str">
        <f>IFERROR(VLOOKUP(A1048,[3]DOORSCRIEFT!$A$2:$G$8551,4,FALSE),"")</f>
        <v/>
      </c>
      <c r="F1048" s="405" t="str">
        <f>IFERROR(VLOOKUP(A1048,[3]DOORSCRIEFT!$A$2:$G$8551,6,FALSE),"")</f>
        <v/>
      </c>
      <c r="G1048" s="451"/>
    </row>
    <row r="1049" spans="1:7" x14ac:dyDescent="0.25">
      <c r="A1049" s="339" t="str">
        <f t="shared" si="28"/>
        <v>I.2.2.02.0153</v>
      </c>
      <c r="B1049" s="339">
        <v>3</v>
      </c>
      <c r="C1049" s="394" t="str">
        <f>IFERROR(VLOOKUP(A1049,[3]DOORSCRIEFT!$A$2:$G$8551,2,FALSE),"")</f>
        <v/>
      </c>
      <c r="D1049" s="393" t="str">
        <f>IFERROR(VLOOKUP(A1049,[3]DOORSCRIEFT!$A$2:$G$8551,3,FALSE),"")</f>
        <v/>
      </c>
      <c r="E1049" s="392" t="str">
        <f>IFERROR(VLOOKUP(A1049,[3]DOORSCRIEFT!$A$2:$G$8551,4,FALSE),"")</f>
        <v/>
      </c>
      <c r="F1049" s="405" t="str">
        <f>IFERROR(VLOOKUP(A1049,[3]DOORSCRIEFT!$A$2:$G$8551,6,FALSE),"")</f>
        <v/>
      </c>
      <c r="G1049" s="451"/>
    </row>
    <row r="1050" spans="1:7" x14ac:dyDescent="0.25">
      <c r="A1050" s="339" t="str">
        <f t="shared" si="28"/>
        <v>I.2.2.02.0154</v>
      </c>
      <c r="B1050" s="321">
        <v>4</v>
      </c>
      <c r="C1050" s="394" t="str">
        <f>IFERROR(VLOOKUP(A1050,[3]DOORSCRIEFT!$A$2:$G$8551,2,FALSE),"")</f>
        <v/>
      </c>
      <c r="D1050" s="393" t="str">
        <f>IFERROR(VLOOKUP(A1050,[3]DOORSCRIEFT!$A$2:$G$8551,3,FALSE),"")</f>
        <v/>
      </c>
      <c r="E1050" s="392" t="str">
        <f>IFERROR(VLOOKUP(A1050,[3]DOORSCRIEFT!$A$2:$G$8551,4,FALSE),"")</f>
        <v/>
      </c>
      <c r="F1050" s="405" t="str">
        <f>IFERROR(VLOOKUP(A1050,[3]DOORSCRIEFT!$A$2:$G$8551,6,FALSE),"")</f>
        <v/>
      </c>
      <c r="G1050" s="451"/>
    </row>
    <row r="1051" spans="1:7" x14ac:dyDescent="0.25">
      <c r="A1051" s="339" t="str">
        <f t="shared" si="28"/>
        <v>I.2.2.02.0155</v>
      </c>
      <c r="B1051" s="339">
        <v>5</v>
      </c>
      <c r="C1051" s="394" t="str">
        <f>IFERROR(VLOOKUP(A1051,[3]DOORSCRIEFT!$A$2:$G$8551,2,FALSE),"")</f>
        <v/>
      </c>
      <c r="D1051" s="393" t="str">
        <f>IFERROR(VLOOKUP(A1051,[3]DOORSCRIEFT!$A$2:$G$8551,3,FALSE),"")</f>
        <v/>
      </c>
      <c r="E1051" s="392" t="str">
        <f>IFERROR(VLOOKUP(A1051,[3]DOORSCRIEFT!$A$2:$G$8551,4,FALSE),"")</f>
        <v/>
      </c>
      <c r="F1051" s="405" t="str">
        <f>IFERROR(VLOOKUP(A1051,[3]DOORSCRIEFT!$A$2:$G$8551,6,FALSE),"")</f>
        <v/>
      </c>
      <c r="G1051" s="451"/>
    </row>
    <row r="1052" spans="1:7" x14ac:dyDescent="0.25">
      <c r="A1052" s="339" t="str">
        <f t="shared" si="28"/>
        <v>I.2.2.02.0156</v>
      </c>
      <c r="B1052" s="321">
        <v>6</v>
      </c>
      <c r="C1052" s="394" t="str">
        <f>IFERROR(VLOOKUP(A1052,[3]DOORSCRIEFT!$A$2:$G$8551,2,FALSE),"")</f>
        <v/>
      </c>
      <c r="D1052" s="393" t="str">
        <f>IFERROR(VLOOKUP(A1052,[3]DOORSCRIEFT!$A$2:$G$8551,3,FALSE),"")</f>
        <v/>
      </c>
      <c r="E1052" s="392" t="str">
        <f>IFERROR(VLOOKUP(A1052,[3]DOORSCRIEFT!$A$2:$G$8551,4,FALSE),"")</f>
        <v/>
      </c>
      <c r="F1052" s="405" t="str">
        <f>IFERROR(VLOOKUP(A1052,[3]DOORSCRIEFT!$A$2:$G$8551,6,FALSE),"")</f>
        <v/>
      </c>
      <c r="G1052" s="451"/>
    </row>
    <row r="1053" spans="1:7" x14ac:dyDescent="0.25">
      <c r="A1053" s="339" t="str">
        <f t="shared" si="28"/>
        <v>I.2.2.02.0157</v>
      </c>
      <c r="B1053" s="339">
        <v>7</v>
      </c>
      <c r="C1053" s="394" t="str">
        <f>IFERROR(VLOOKUP(A1053,[3]DOORSCRIEFT!$A$2:$G$8551,2,FALSE),"")</f>
        <v/>
      </c>
      <c r="D1053" s="393" t="str">
        <f>IFERROR(VLOOKUP(A1053,[3]DOORSCRIEFT!$A$2:$G$8551,3,FALSE),"")</f>
        <v/>
      </c>
      <c r="E1053" s="392" t="str">
        <f>IFERROR(VLOOKUP(A1053,[3]DOORSCRIEFT!$A$2:$G$8551,4,FALSE),"")</f>
        <v/>
      </c>
      <c r="F1053" s="405" t="str">
        <f>IFERROR(VLOOKUP(A1053,[3]DOORSCRIEFT!$A$2:$G$8551,6,FALSE),"")</f>
        <v/>
      </c>
      <c r="G1053" s="451"/>
    </row>
    <row r="1054" spans="1:7" x14ac:dyDescent="0.25">
      <c r="A1054" s="339" t="str">
        <f t="shared" si="28"/>
        <v>I.2.2.02.0158</v>
      </c>
      <c r="B1054" s="321">
        <v>8</v>
      </c>
      <c r="C1054" s="394" t="str">
        <f>IFERROR(VLOOKUP(A1054,[3]DOORSCRIEFT!$A$2:$G$8551,2,FALSE),"")</f>
        <v/>
      </c>
      <c r="D1054" s="393" t="str">
        <f>IFERROR(VLOOKUP(A1054,[3]DOORSCRIEFT!$A$2:$G$8551,3,FALSE),"")</f>
        <v/>
      </c>
      <c r="E1054" s="392" t="str">
        <f>IFERROR(VLOOKUP(A1054,[3]DOORSCRIEFT!$A$2:$G$8551,4,FALSE),"")</f>
        <v/>
      </c>
      <c r="F1054" s="405" t="str">
        <f>IFERROR(VLOOKUP(A1054,[3]DOORSCRIEFT!$A$2:$G$8551,6,FALSE),"")</f>
        <v/>
      </c>
      <c r="G1054" s="451"/>
    </row>
    <row r="1055" spans="1:7" ht="15.75" thickBot="1" x14ac:dyDescent="0.3">
      <c r="A1055" s="339" t="str">
        <f t="shared" si="28"/>
        <v>I.2.2.02.0159</v>
      </c>
      <c r="B1055" s="339">
        <v>9</v>
      </c>
      <c r="C1055" s="394" t="str">
        <f>IFERROR(VLOOKUP(A1055,[3]DOORSCRIEFT!$A$2:$G$8551,2,FALSE),"")</f>
        <v/>
      </c>
      <c r="D1055" s="393" t="str">
        <f>IFERROR(VLOOKUP(A1055,[3]DOORSCRIEFT!$A$2:$G$8551,3,FALSE),"")</f>
        <v/>
      </c>
      <c r="E1055" s="392" t="str">
        <f>IFERROR(VLOOKUP(A1055,[3]DOORSCRIEFT!$A$2:$G$8551,4,FALSE),"")</f>
        <v/>
      </c>
      <c r="F1055" s="405" t="str">
        <f>IFERROR(VLOOKUP(A1055,[3]DOORSCRIEFT!$A$2:$G$8551,6,FALSE),"")</f>
        <v/>
      </c>
      <c r="G1055" s="450"/>
    </row>
    <row r="1056" spans="1:7" ht="15.75" thickBot="1" x14ac:dyDescent="0.3">
      <c r="A1056" s="314"/>
      <c r="B1056" s="312"/>
      <c r="C1056" s="311"/>
      <c r="D1056" s="312"/>
      <c r="E1056" s="311" t="s">
        <v>644</v>
      </c>
      <c r="F1056" s="436">
        <f>SUM(F1047:F1055)</f>
        <v>0</v>
      </c>
      <c r="G1056" s="435">
        <f>SUM(G1047:G1055)</f>
        <v>0</v>
      </c>
    </row>
    <row r="1059" spans="1:7" ht="15.75" x14ac:dyDescent="0.25">
      <c r="C1059" s="332"/>
      <c r="D1059" s="333"/>
      <c r="E1059" s="332"/>
      <c r="F1059" s="327" t="s">
        <v>607</v>
      </c>
      <c r="G1059" s="327" t="s">
        <v>516</v>
      </c>
    </row>
    <row r="1060" spans="1:7" ht="15.75" x14ac:dyDescent="0.25">
      <c r="C1060" s="332"/>
      <c r="D1060" s="333"/>
      <c r="E1060" s="332"/>
      <c r="F1060" s="327" t="s">
        <v>601</v>
      </c>
      <c r="G1060" s="327" t="s">
        <v>659</v>
      </c>
    </row>
    <row r="1061" spans="1:7" x14ac:dyDescent="0.25">
      <c r="C1061" s="328"/>
      <c r="D1061" s="329"/>
      <c r="E1061" s="328"/>
      <c r="F1061" s="327" t="s">
        <v>651</v>
      </c>
      <c r="G1061" s="331">
        <f>[2]Sheet1!$D$42</f>
        <v>0</v>
      </c>
    </row>
    <row r="1062" spans="1:7" ht="15.75" thickBot="1" x14ac:dyDescent="0.3">
      <c r="C1062" s="328"/>
      <c r="D1062" s="329"/>
      <c r="E1062" s="328"/>
      <c r="F1062" s="327" t="s">
        <v>650</v>
      </c>
      <c r="G1062" s="326">
        <f>+F1076-G1061</f>
        <v>0</v>
      </c>
    </row>
    <row r="1063" spans="1:7" x14ac:dyDescent="0.25">
      <c r="A1063" s="571" t="s">
        <v>655</v>
      </c>
      <c r="B1063" s="573" t="s">
        <v>606</v>
      </c>
      <c r="C1063" s="588" t="s">
        <v>649</v>
      </c>
      <c r="D1063" s="577" t="s">
        <v>657</v>
      </c>
      <c r="E1063" s="577" t="s">
        <v>647</v>
      </c>
      <c r="F1063" s="577" t="s">
        <v>646</v>
      </c>
      <c r="G1063" s="580" t="s">
        <v>645</v>
      </c>
    </row>
    <row r="1064" spans="1:7" ht="15.75" thickBot="1" x14ac:dyDescent="0.3">
      <c r="A1064" s="572"/>
      <c r="B1064" s="574"/>
      <c r="C1064" s="589"/>
      <c r="D1064" s="586"/>
      <c r="E1064" s="586"/>
      <c r="F1064" s="586"/>
      <c r="G1064" s="587"/>
    </row>
    <row r="1065" spans="1:7" ht="15.75" thickBot="1" x14ac:dyDescent="0.3">
      <c r="A1065" s="425">
        <v>1</v>
      </c>
      <c r="B1065" s="425">
        <v>2</v>
      </c>
      <c r="C1065" s="425">
        <v>3</v>
      </c>
      <c r="D1065" s="324">
        <v>4</v>
      </c>
      <c r="E1065" s="425">
        <v>5</v>
      </c>
      <c r="F1065" s="425">
        <v>6</v>
      </c>
      <c r="G1065" s="425">
        <v>7</v>
      </c>
    </row>
    <row r="1066" spans="1:7" x14ac:dyDescent="0.25">
      <c r="A1066" s="339" t="str">
        <f t="shared" ref="A1066:A1075" si="29">$G$1059&amp;B1066</f>
        <v>I.2.2.02.0161</v>
      </c>
      <c r="B1066" s="339">
        <v>1</v>
      </c>
      <c r="C1066" s="394" t="str">
        <f>IFERROR(VLOOKUP(A1066,[3]DOORSCRIEFT!$A$2:$G$8551,2,FALSE),"")</f>
        <v/>
      </c>
      <c r="D1066" s="393" t="str">
        <f>IFERROR(VLOOKUP(A1066,[3]DOORSCRIEFT!$A$2:$G$8551,3,FALSE),"")</f>
        <v/>
      </c>
      <c r="E1066" s="392" t="str">
        <f>IFERROR(VLOOKUP(A1066,[3]DOORSCRIEFT!$A$2:$G$8551,4,FALSE),"")</f>
        <v/>
      </c>
      <c r="F1066" s="405" t="str">
        <f>IFERROR(VLOOKUP(A1066,[3]DOORSCRIEFT!$A$2:$G$8551,6,FALSE),"")</f>
        <v/>
      </c>
      <c r="G1066" s="437"/>
    </row>
    <row r="1067" spans="1:7" x14ac:dyDescent="0.25">
      <c r="A1067" s="339" t="str">
        <f t="shared" si="29"/>
        <v>I.2.2.02.0162</v>
      </c>
      <c r="B1067" s="319">
        <v>2</v>
      </c>
      <c r="C1067" s="394" t="str">
        <f>IFERROR(VLOOKUP(A1067,[3]DOORSCRIEFT!$A$2:$G$8551,2,FALSE),"")</f>
        <v/>
      </c>
      <c r="D1067" s="393" t="str">
        <f>IFERROR(VLOOKUP(A1067,[3]DOORSCRIEFT!$A$2:$G$8551,3,FALSE),"")</f>
        <v/>
      </c>
      <c r="E1067" s="392" t="str">
        <f>IFERROR(VLOOKUP(A1067,[3]DOORSCRIEFT!$A$2:$G$8551,4,FALSE),"")</f>
        <v/>
      </c>
      <c r="F1067" s="405" t="str">
        <f>IFERROR(VLOOKUP(A1067,[3]DOORSCRIEFT!$A$2:$G$8551,6,FALSE),"")</f>
        <v/>
      </c>
      <c r="G1067" s="416"/>
    </row>
    <row r="1068" spans="1:7" x14ac:dyDescent="0.25">
      <c r="A1068" s="339" t="str">
        <f t="shared" si="29"/>
        <v>I.2.2.02.0163</v>
      </c>
      <c r="B1068" s="339">
        <v>3</v>
      </c>
      <c r="C1068" s="394" t="str">
        <f>IFERROR(VLOOKUP(A1068,[3]DOORSCRIEFT!$A$2:$G$8551,2,FALSE),"")</f>
        <v/>
      </c>
      <c r="D1068" s="393" t="str">
        <f>IFERROR(VLOOKUP(A1068,[3]DOORSCRIEFT!$A$2:$G$8551,3,FALSE),"")</f>
        <v/>
      </c>
      <c r="E1068" s="392" t="str">
        <f>IFERROR(VLOOKUP(A1068,[3]DOORSCRIEFT!$A$2:$G$8551,4,FALSE),"")</f>
        <v/>
      </c>
      <c r="F1068" s="405" t="str">
        <f>IFERROR(VLOOKUP(A1068,[3]DOORSCRIEFT!$A$2:$G$8551,6,FALSE),"")</f>
        <v/>
      </c>
      <c r="G1068" s="416"/>
    </row>
    <row r="1069" spans="1:7" x14ac:dyDescent="0.25">
      <c r="A1069" s="339" t="str">
        <f t="shared" si="29"/>
        <v>I.2.2.02.0164</v>
      </c>
      <c r="B1069" s="319">
        <v>4</v>
      </c>
      <c r="C1069" s="394" t="str">
        <f>IFERROR(VLOOKUP(A1069,[3]DOORSCRIEFT!$A$2:$G$8551,2,FALSE),"")</f>
        <v/>
      </c>
      <c r="D1069" s="393" t="str">
        <f>IFERROR(VLOOKUP(A1069,[3]DOORSCRIEFT!$A$2:$G$8551,3,FALSE),"")</f>
        <v/>
      </c>
      <c r="E1069" s="392" t="str">
        <f>IFERROR(VLOOKUP(A1069,[3]DOORSCRIEFT!$A$2:$G$8551,4,FALSE),"")</f>
        <v/>
      </c>
      <c r="F1069" s="405" t="str">
        <f>IFERROR(VLOOKUP(A1069,[3]DOORSCRIEFT!$A$2:$G$8551,6,FALSE),"")</f>
        <v/>
      </c>
      <c r="G1069" s="416"/>
    </row>
    <row r="1070" spans="1:7" x14ac:dyDescent="0.25">
      <c r="A1070" s="339" t="str">
        <f t="shared" si="29"/>
        <v>I.2.2.02.0165</v>
      </c>
      <c r="B1070" s="339">
        <v>5</v>
      </c>
      <c r="C1070" s="394" t="str">
        <f>IFERROR(VLOOKUP(A1070,[3]DOORSCRIEFT!$A$2:$G$8551,2,FALSE),"")</f>
        <v/>
      </c>
      <c r="D1070" s="393" t="str">
        <f>IFERROR(VLOOKUP(A1070,[3]DOORSCRIEFT!$A$2:$G$8551,3,FALSE),"")</f>
        <v/>
      </c>
      <c r="E1070" s="392" t="str">
        <f>IFERROR(VLOOKUP(A1070,[3]DOORSCRIEFT!$A$2:$G$8551,4,FALSE),"")</f>
        <v/>
      </c>
      <c r="F1070" s="405" t="str">
        <f>IFERROR(VLOOKUP(A1070,[3]DOORSCRIEFT!$A$2:$G$8551,6,FALSE),"")</f>
        <v/>
      </c>
      <c r="G1070" s="416"/>
    </row>
    <row r="1071" spans="1:7" x14ac:dyDescent="0.25">
      <c r="A1071" s="339" t="str">
        <f t="shared" si="29"/>
        <v>I.2.2.02.0166</v>
      </c>
      <c r="B1071" s="319">
        <v>6</v>
      </c>
      <c r="C1071" s="394" t="str">
        <f>IFERROR(VLOOKUP(A1071,[3]DOORSCRIEFT!$A$2:$G$8551,2,FALSE),"")</f>
        <v/>
      </c>
      <c r="D1071" s="393" t="str">
        <f>IFERROR(VLOOKUP(A1071,[3]DOORSCRIEFT!$A$2:$G$8551,3,FALSE),"")</f>
        <v/>
      </c>
      <c r="E1071" s="392" t="str">
        <f>IFERROR(VLOOKUP(A1071,[3]DOORSCRIEFT!$A$2:$G$8551,4,FALSE),"")</f>
        <v/>
      </c>
      <c r="F1071" s="405" t="str">
        <f>IFERROR(VLOOKUP(A1071,[3]DOORSCRIEFT!$A$2:$G$8551,6,FALSE),"")</f>
        <v/>
      </c>
      <c r="G1071" s="416"/>
    </row>
    <row r="1072" spans="1:7" x14ac:dyDescent="0.25">
      <c r="A1072" s="339" t="str">
        <f t="shared" si="29"/>
        <v>I.2.2.02.0167</v>
      </c>
      <c r="B1072" s="339">
        <v>7</v>
      </c>
      <c r="C1072" s="394" t="str">
        <f>IFERROR(VLOOKUP(A1072,[3]DOORSCRIEFT!$A$2:$G$8551,2,FALSE),"")</f>
        <v/>
      </c>
      <c r="D1072" s="393" t="str">
        <f>IFERROR(VLOOKUP(A1072,[3]DOORSCRIEFT!$A$2:$G$8551,3,FALSE),"")</f>
        <v/>
      </c>
      <c r="E1072" s="392" t="str">
        <f>IFERROR(VLOOKUP(A1072,[3]DOORSCRIEFT!$A$2:$G$8551,4,FALSE),"")</f>
        <v/>
      </c>
      <c r="F1072" s="405" t="str">
        <f>IFERROR(VLOOKUP(A1072,[3]DOORSCRIEFT!$A$2:$G$8551,6,FALSE),"")</f>
        <v/>
      </c>
      <c r="G1072" s="416"/>
    </row>
    <row r="1073" spans="1:7" x14ac:dyDescent="0.25">
      <c r="A1073" s="339" t="str">
        <f t="shared" si="29"/>
        <v>I.2.2.02.0168</v>
      </c>
      <c r="B1073" s="319">
        <v>8</v>
      </c>
      <c r="C1073" s="394" t="str">
        <f>IFERROR(VLOOKUP(A1073,[3]DOORSCRIEFT!$A$2:$G$8551,2,FALSE),"")</f>
        <v/>
      </c>
      <c r="D1073" s="393" t="str">
        <f>IFERROR(VLOOKUP(A1073,[3]DOORSCRIEFT!$A$2:$G$8551,3,FALSE),"")</f>
        <v/>
      </c>
      <c r="E1073" s="392" t="str">
        <f>IFERROR(VLOOKUP(A1073,[3]DOORSCRIEFT!$A$2:$G$8551,4,FALSE),"")</f>
        <v/>
      </c>
      <c r="F1073" s="405" t="str">
        <f>IFERROR(VLOOKUP(A1073,[3]DOORSCRIEFT!$A$2:$G$8551,6,FALSE),"")</f>
        <v/>
      </c>
      <c r="G1073" s="416"/>
    </row>
    <row r="1074" spans="1:7" x14ac:dyDescent="0.25">
      <c r="A1074" s="339" t="str">
        <f t="shared" si="29"/>
        <v>I.2.2.02.0169</v>
      </c>
      <c r="B1074" s="339">
        <v>9</v>
      </c>
      <c r="C1074" s="394" t="str">
        <f>IFERROR(VLOOKUP(A1074,[3]DOORSCRIEFT!$A$2:$G$8551,2,FALSE),"")</f>
        <v/>
      </c>
      <c r="D1074" s="393" t="str">
        <f>IFERROR(VLOOKUP(A1074,[3]DOORSCRIEFT!$A$2:$G$8551,3,FALSE),"")</f>
        <v/>
      </c>
      <c r="E1074" s="392" t="str">
        <f>IFERROR(VLOOKUP(A1074,[3]DOORSCRIEFT!$A$2:$G$8551,4,FALSE),"")</f>
        <v/>
      </c>
      <c r="F1074" s="405" t="str">
        <f>IFERROR(VLOOKUP(A1074,[3]DOORSCRIEFT!$A$2:$G$8551,6,FALSE),"")</f>
        <v/>
      </c>
      <c r="G1074" s="416"/>
    </row>
    <row r="1075" spans="1:7" ht="15.75" thickBot="1" x14ac:dyDescent="0.3">
      <c r="A1075" s="339" t="str">
        <f t="shared" si="29"/>
        <v>I.2.2.02.01610</v>
      </c>
      <c r="B1075" s="319">
        <v>10</v>
      </c>
      <c r="C1075" s="394" t="str">
        <f>IFERROR(VLOOKUP(A1075,[3]DOORSCRIEFT!$A$2:$G$8551,2,FALSE),"")</f>
        <v/>
      </c>
      <c r="D1075" s="393" t="str">
        <f>IFERROR(VLOOKUP(A1075,[3]DOORSCRIEFT!$A$2:$G$8551,3,FALSE),"")</f>
        <v/>
      </c>
      <c r="E1075" s="392" t="str">
        <f>IFERROR(VLOOKUP(A1075,[3]DOORSCRIEFT!$A$2:$G$8551,4,FALSE),"")</f>
        <v/>
      </c>
      <c r="F1075" s="405" t="str">
        <f>IFERROR(VLOOKUP(A1075,[3]DOORSCRIEFT!$A$2:$G$8551,6,FALSE),"")</f>
        <v/>
      </c>
      <c r="G1075" s="415"/>
    </row>
    <row r="1076" spans="1:7" ht="15.75" thickBot="1" x14ac:dyDescent="0.3">
      <c r="A1076" s="314"/>
      <c r="B1076" s="312"/>
      <c r="C1076" s="313"/>
      <c r="D1076" s="312"/>
      <c r="E1076" s="449" t="s">
        <v>644</v>
      </c>
      <c r="F1076" s="436">
        <f>SUM(F1066:F1075)</f>
        <v>0</v>
      </c>
      <c r="G1076" s="448">
        <f>SUM(G1066:G1075)</f>
        <v>0</v>
      </c>
    </row>
    <row r="1079" spans="1:7" ht="15.75" x14ac:dyDescent="0.25">
      <c r="C1079" s="332"/>
      <c r="D1079" s="333"/>
      <c r="E1079" s="332"/>
      <c r="F1079" s="327" t="s">
        <v>607</v>
      </c>
      <c r="G1079" s="327" t="s">
        <v>514</v>
      </c>
    </row>
    <row r="1080" spans="1:7" ht="15.75" x14ac:dyDescent="0.25">
      <c r="C1080" s="332"/>
      <c r="D1080" s="333"/>
      <c r="E1080" s="332"/>
      <c r="F1080" s="327" t="s">
        <v>601</v>
      </c>
      <c r="G1080" s="327" t="s">
        <v>658</v>
      </c>
    </row>
    <row r="1081" spans="1:7" x14ac:dyDescent="0.25">
      <c r="C1081" s="328"/>
      <c r="D1081" s="329"/>
      <c r="E1081" s="328"/>
      <c r="F1081" s="327" t="s">
        <v>651</v>
      </c>
      <c r="G1081" s="331">
        <f>[2]Sheet1!$D$43</f>
        <v>0</v>
      </c>
    </row>
    <row r="1082" spans="1:7" ht="15.75" thickBot="1" x14ac:dyDescent="0.3">
      <c r="C1082" s="328"/>
      <c r="D1082" s="329"/>
      <c r="E1082" s="328"/>
      <c r="F1082" s="327" t="s">
        <v>650</v>
      </c>
      <c r="G1082" s="326">
        <f>+F1096-G1081</f>
        <v>0</v>
      </c>
    </row>
    <row r="1083" spans="1:7" x14ac:dyDescent="0.25">
      <c r="A1083" s="571" t="s">
        <v>655</v>
      </c>
      <c r="B1083" s="573" t="s">
        <v>606</v>
      </c>
      <c r="C1083" s="588" t="s">
        <v>649</v>
      </c>
      <c r="D1083" s="577" t="s">
        <v>657</v>
      </c>
      <c r="E1083" s="577" t="s">
        <v>647</v>
      </c>
      <c r="F1083" s="577" t="s">
        <v>646</v>
      </c>
      <c r="G1083" s="580" t="s">
        <v>645</v>
      </c>
    </row>
    <row r="1084" spans="1:7" ht="15.75" thickBot="1" x14ac:dyDescent="0.3">
      <c r="A1084" s="572"/>
      <c r="B1084" s="574"/>
      <c r="C1084" s="589"/>
      <c r="D1084" s="586"/>
      <c r="E1084" s="586"/>
      <c r="F1084" s="586"/>
      <c r="G1084" s="587"/>
    </row>
    <row r="1085" spans="1:7" ht="15.75" thickBot="1" x14ac:dyDescent="0.3">
      <c r="A1085" s="425">
        <v>1</v>
      </c>
      <c r="B1085" s="425">
        <v>2</v>
      </c>
      <c r="C1085" s="425">
        <v>3</v>
      </c>
      <c r="D1085" s="324">
        <v>4</v>
      </c>
      <c r="E1085" s="425">
        <v>5</v>
      </c>
      <c r="F1085" s="324">
        <v>6</v>
      </c>
      <c r="G1085" s="425">
        <v>7</v>
      </c>
    </row>
    <row r="1086" spans="1:7" x14ac:dyDescent="0.25">
      <c r="A1086" s="339" t="str">
        <f t="shared" ref="A1086:A1095" si="30">$G$1079&amp;B1086</f>
        <v>I.2.2.02.0171</v>
      </c>
      <c r="B1086" s="319">
        <v>1</v>
      </c>
      <c r="C1086" s="394" t="str">
        <f>IFERROR(VLOOKUP(A1086,[3]DOORSCRIEFT!$A$2:$G$8551,2,FALSE),"")</f>
        <v/>
      </c>
      <c r="D1086" s="393" t="str">
        <f>IFERROR(VLOOKUP(A1086,[3]DOORSCRIEFT!$A$2:$G$8551,3,FALSE),"")</f>
        <v/>
      </c>
      <c r="E1086" s="392" t="str">
        <f>IFERROR(VLOOKUP(A1086,[3]DOORSCRIEFT!$A$2:$G$8551,4,FALSE),"")</f>
        <v/>
      </c>
      <c r="F1086" s="405" t="str">
        <f>IFERROR(VLOOKUP(A1086,[3]DOORSCRIEFT!$A$2:$G$8551,6,FALSE),"")</f>
        <v/>
      </c>
      <c r="G1086" s="437"/>
    </row>
    <row r="1087" spans="1:7" x14ac:dyDescent="0.25">
      <c r="A1087" s="339" t="str">
        <f t="shared" si="30"/>
        <v>I.2.2.02.0172</v>
      </c>
      <c r="B1087" s="321">
        <v>2</v>
      </c>
      <c r="C1087" s="394" t="str">
        <f>IFERROR(VLOOKUP(A1087,[3]DOORSCRIEFT!$A$2:$G$8551,2,FALSE),"")</f>
        <v/>
      </c>
      <c r="D1087" s="393" t="str">
        <f>IFERROR(VLOOKUP(A1087,[3]DOORSCRIEFT!$A$2:$G$8551,3,FALSE),"")</f>
        <v/>
      </c>
      <c r="E1087" s="392" t="str">
        <f>IFERROR(VLOOKUP(A1087,[3]DOORSCRIEFT!$A$2:$G$8551,4,FALSE),"")</f>
        <v/>
      </c>
      <c r="F1087" s="405" t="str">
        <f>IFERROR(VLOOKUP(A1087,[3]DOORSCRIEFT!$A$2:$G$8551,6,FALSE),"")</f>
        <v/>
      </c>
      <c r="G1087" s="416"/>
    </row>
    <row r="1088" spans="1:7" x14ac:dyDescent="0.25">
      <c r="A1088" s="339" t="str">
        <f t="shared" si="30"/>
        <v>I.2.2.02.0173</v>
      </c>
      <c r="B1088" s="319">
        <v>3</v>
      </c>
      <c r="C1088" s="394" t="str">
        <f>IFERROR(VLOOKUP(A1088,[3]DOORSCRIEFT!$A$2:$G$8551,2,FALSE),"")</f>
        <v/>
      </c>
      <c r="D1088" s="393" t="str">
        <f>IFERROR(VLOOKUP(A1088,[3]DOORSCRIEFT!$A$2:$G$8551,3,FALSE),"")</f>
        <v/>
      </c>
      <c r="E1088" s="392" t="str">
        <f>IFERROR(VLOOKUP(A1088,[3]DOORSCRIEFT!$A$2:$G$8551,4,FALSE),"")</f>
        <v/>
      </c>
      <c r="F1088" s="405" t="str">
        <f>IFERROR(VLOOKUP(A1088,[3]DOORSCRIEFT!$A$2:$G$8551,6,FALSE),"")</f>
        <v/>
      </c>
      <c r="G1088" s="416"/>
    </row>
    <row r="1089" spans="1:7" x14ac:dyDescent="0.25">
      <c r="A1089" s="339" t="str">
        <f t="shared" si="30"/>
        <v>I.2.2.02.0174</v>
      </c>
      <c r="B1089" s="321">
        <v>4</v>
      </c>
      <c r="C1089" s="394" t="str">
        <f>IFERROR(VLOOKUP(A1089,[3]DOORSCRIEFT!$A$2:$G$8551,2,FALSE),"")</f>
        <v/>
      </c>
      <c r="D1089" s="393" t="str">
        <f>IFERROR(VLOOKUP(A1089,[3]DOORSCRIEFT!$A$2:$G$8551,3,FALSE),"")</f>
        <v/>
      </c>
      <c r="E1089" s="392" t="str">
        <f>IFERROR(VLOOKUP(A1089,[3]DOORSCRIEFT!$A$2:$G$8551,4,FALSE),"")</f>
        <v/>
      </c>
      <c r="F1089" s="405" t="str">
        <f>IFERROR(VLOOKUP(A1089,[3]DOORSCRIEFT!$A$2:$G$8551,6,FALSE),"")</f>
        <v/>
      </c>
      <c r="G1089" s="416"/>
    </row>
    <row r="1090" spans="1:7" x14ac:dyDescent="0.25">
      <c r="A1090" s="339" t="str">
        <f t="shared" si="30"/>
        <v>I.2.2.02.0175</v>
      </c>
      <c r="B1090" s="319">
        <v>5</v>
      </c>
      <c r="C1090" s="394" t="str">
        <f>IFERROR(VLOOKUP(A1090,[3]DOORSCRIEFT!$A$2:$G$8551,2,FALSE),"")</f>
        <v/>
      </c>
      <c r="D1090" s="393" t="str">
        <f>IFERROR(VLOOKUP(A1090,[3]DOORSCRIEFT!$A$2:$G$8551,3,FALSE),"")</f>
        <v/>
      </c>
      <c r="E1090" s="392" t="str">
        <f>IFERROR(VLOOKUP(A1090,[3]DOORSCRIEFT!$A$2:$G$8551,4,FALSE),"")</f>
        <v/>
      </c>
      <c r="F1090" s="405" t="str">
        <f>IFERROR(VLOOKUP(A1090,[3]DOORSCRIEFT!$A$2:$G$8551,6,FALSE),"")</f>
        <v/>
      </c>
      <c r="G1090" s="416"/>
    </row>
    <row r="1091" spans="1:7" x14ac:dyDescent="0.25">
      <c r="A1091" s="339" t="str">
        <f t="shared" si="30"/>
        <v>I.2.2.02.0176</v>
      </c>
      <c r="B1091" s="321">
        <v>6</v>
      </c>
      <c r="C1091" s="394" t="str">
        <f>IFERROR(VLOOKUP(A1091,[3]DOORSCRIEFT!$A$2:$G$8551,2,FALSE),"")</f>
        <v/>
      </c>
      <c r="D1091" s="393" t="str">
        <f>IFERROR(VLOOKUP(A1091,[3]DOORSCRIEFT!$A$2:$G$8551,3,FALSE),"")</f>
        <v/>
      </c>
      <c r="E1091" s="392" t="str">
        <f>IFERROR(VLOOKUP(A1091,[3]DOORSCRIEFT!$A$2:$G$8551,4,FALSE),"")</f>
        <v/>
      </c>
      <c r="F1091" s="405" t="str">
        <f>IFERROR(VLOOKUP(A1091,[3]DOORSCRIEFT!$A$2:$G$8551,6,FALSE),"")</f>
        <v/>
      </c>
      <c r="G1091" s="416"/>
    </row>
    <row r="1092" spans="1:7" x14ac:dyDescent="0.25">
      <c r="A1092" s="339" t="str">
        <f t="shared" si="30"/>
        <v>I.2.2.02.0177</v>
      </c>
      <c r="B1092" s="319">
        <v>7</v>
      </c>
      <c r="C1092" s="394" t="str">
        <f>IFERROR(VLOOKUP(A1092,[3]DOORSCRIEFT!$A$2:$G$8551,2,FALSE),"")</f>
        <v/>
      </c>
      <c r="D1092" s="393" t="str">
        <f>IFERROR(VLOOKUP(A1092,[3]DOORSCRIEFT!$A$2:$G$8551,3,FALSE),"")</f>
        <v/>
      </c>
      <c r="E1092" s="392" t="str">
        <f>IFERROR(VLOOKUP(A1092,[3]DOORSCRIEFT!$A$2:$G$8551,4,FALSE),"")</f>
        <v/>
      </c>
      <c r="F1092" s="405" t="str">
        <f>IFERROR(VLOOKUP(A1092,[3]DOORSCRIEFT!$A$2:$G$8551,6,FALSE),"")</f>
        <v/>
      </c>
      <c r="G1092" s="416"/>
    </row>
    <row r="1093" spans="1:7" x14ac:dyDescent="0.25">
      <c r="A1093" s="339" t="str">
        <f t="shared" si="30"/>
        <v>I.2.2.02.0178</v>
      </c>
      <c r="B1093" s="321">
        <v>8</v>
      </c>
      <c r="C1093" s="394" t="str">
        <f>IFERROR(VLOOKUP(A1093,[3]DOORSCRIEFT!$A$2:$G$8551,2,FALSE),"")</f>
        <v/>
      </c>
      <c r="D1093" s="393" t="str">
        <f>IFERROR(VLOOKUP(A1093,[3]DOORSCRIEFT!$A$2:$G$8551,3,FALSE),"")</f>
        <v/>
      </c>
      <c r="E1093" s="392" t="str">
        <f>IFERROR(VLOOKUP(A1093,[3]DOORSCRIEFT!$A$2:$G$8551,4,FALSE),"")</f>
        <v/>
      </c>
      <c r="F1093" s="405" t="str">
        <f>IFERROR(VLOOKUP(A1093,[3]DOORSCRIEFT!$A$2:$G$8551,6,FALSE),"")</f>
        <v/>
      </c>
      <c r="G1093" s="416"/>
    </row>
    <row r="1094" spans="1:7" x14ac:dyDescent="0.25">
      <c r="A1094" s="339" t="str">
        <f t="shared" si="30"/>
        <v>I.2.2.02.0179</v>
      </c>
      <c r="B1094" s="319">
        <v>9</v>
      </c>
      <c r="C1094" s="394" t="str">
        <f>IFERROR(VLOOKUP(A1094,[3]DOORSCRIEFT!$A$2:$G$8551,2,FALSE),"")</f>
        <v/>
      </c>
      <c r="D1094" s="393" t="str">
        <f>IFERROR(VLOOKUP(A1094,[3]DOORSCRIEFT!$A$2:$G$8551,3,FALSE),"")</f>
        <v/>
      </c>
      <c r="E1094" s="392" t="str">
        <f>IFERROR(VLOOKUP(A1094,[3]DOORSCRIEFT!$A$2:$G$8551,4,FALSE),"")</f>
        <v/>
      </c>
      <c r="F1094" s="405" t="str">
        <f>IFERROR(VLOOKUP(A1094,[3]DOORSCRIEFT!$A$2:$G$8551,6,FALSE),"")</f>
        <v/>
      </c>
      <c r="G1094" s="416"/>
    </row>
    <row r="1095" spans="1:7" ht="15.75" thickBot="1" x14ac:dyDescent="0.3">
      <c r="A1095" s="339" t="str">
        <f t="shared" si="30"/>
        <v>I.2.2.02.01710</v>
      </c>
      <c r="B1095" s="321">
        <v>10</v>
      </c>
      <c r="C1095" s="394" t="str">
        <f>IFERROR(VLOOKUP(A1095,[3]DOORSCRIEFT!$A$2:$G$8551,2,FALSE),"")</f>
        <v/>
      </c>
      <c r="D1095" s="393" t="str">
        <f>IFERROR(VLOOKUP(A1095,[3]DOORSCRIEFT!$A$2:$G$8551,3,FALSE),"")</f>
        <v/>
      </c>
      <c r="E1095" s="392" t="str">
        <f>IFERROR(VLOOKUP(A1095,[3]DOORSCRIEFT!$A$2:$G$8551,4,FALSE),"")</f>
        <v/>
      </c>
      <c r="F1095" s="405" t="str">
        <f>IFERROR(VLOOKUP(A1095,[3]DOORSCRIEFT!$A$2:$G$8551,6,FALSE),"")</f>
        <v/>
      </c>
      <c r="G1095" s="415"/>
    </row>
    <row r="1096" spans="1:7" ht="15.75" thickBot="1" x14ac:dyDescent="0.3">
      <c r="A1096" s="314"/>
      <c r="B1096" s="312"/>
      <c r="C1096" s="313"/>
      <c r="D1096" s="312"/>
      <c r="E1096" s="311" t="s">
        <v>644</v>
      </c>
      <c r="F1096" s="436">
        <f>SUM(F1086:F1095)</f>
        <v>0</v>
      </c>
      <c r="G1096" s="435">
        <f>SUM(G1086:G1095)</f>
        <v>0</v>
      </c>
    </row>
    <row r="1099" spans="1:7" ht="15.75" x14ac:dyDescent="0.25">
      <c r="C1099" s="332"/>
      <c r="D1099" s="333"/>
      <c r="E1099" s="332"/>
      <c r="F1099" s="327" t="s">
        <v>607</v>
      </c>
      <c r="G1099" s="327" t="s">
        <v>512</v>
      </c>
    </row>
    <row r="1100" spans="1:7" ht="15.75" x14ac:dyDescent="0.25">
      <c r="C1100" s="332"/>
      <c r="D1100" s="333"/>
      <c r="E1100" s="332"/>
      <c r="F1100" s="327" t="s">
        <v>601</v>
      </c>
      <c r="G1100" s="327" t="s">
        <v>511</v>
      </c>
    </row>
    <row r="1101" spans="1:7" x14ac:dyDescent="0.25">
      <c r="C1101" s="328"/>
      <c r="D1101" s="329"/>
      <c r="E1101" s="328"/>
      <c r="F1101" s="327" t="s">
        <v>651</v>
      </c>
      <c r="G1101" s="331">
        <f>[2]Sheet1!$D$44</f>
        <v>40000000</v>
      </c>
    </row>
    <row r="1102" spans="1:7" ht="15.75" thickBot="1" x14ac:dyDescent="0.3">
      <c r="C1102" s="328"/>
      <c r="D1102" s="329"/>
      <c r="E1102" s="328"/>
      <c r="F1102" s="327" t="s">
        <v>650</v>
      </c>
      <c r="G1102" s="326">
        <f>+F1132-G1101</f>
        <v>-25383000</v>
      </c>
    </row>
    <row r="1103" spans="1:7" x14ac:dyDescent="0.25">
      <c r="A1103" s="571" t="s">
        <v>655</v>
      </c>
      <c r="B1103" s="573" t="s">
        <v>606</v>
      </c>
      <c r="C1103" s="588" t="s">
        <v>649</v>
      </c>
      <c r="D1103" s="577" t="s">
        <v>648</v>
      </c>
      <c r="E1103" s="577" t="s">
        <v>647</v>
      </c>
      <c r="F1103" s="577" t="s">
        <v>646</v>
      </c>
      <c r="G1103" s="580" t="s">
        <v>645</v>
      </c>
    </row>
    <row r="1104" spans="1:7" ht="15.75" thickBot="1" x14ac:dyDescent="0.3">
      <c r="A1104" s="579"/>
      <c r="B1104" s="593"/>
      <c r="C1104" s="592"/>
      <c r="D1104" s="578"/>
      <c r="E1104" s="578"/>
      <c r="F1104" s="578"/>
      <c r="G1104" s="581"/>
    </row>
    <row r="1105" spans="1:7" ht="15.75" thickBot="1" x14ac:dyDescent="0.3">
      <c r="A1105" s="348">
        <v>1</v>
      </c>
      <c r="B1105" s="346">
        <v>2</v>
      </c>
      <c r="C1105" s="447">
        <v>3</v>
      </c>
      <c r="D1105" s="434">
        <v>4</v>
      </c>
      <c r="E1105" s="434">
        <v>5</v>
      </c>
      <c r="F1105" s="434">
        <v>6</v>
      </c>
      <c r="G1105" s="356">
        <v>7</v>
      </c>
    </row>
    <row r="1106" spans="1:7" x14ac:dyDescent="0.25">
      <c r="A1106" s="339" t="str">
        <f t="shared" ref="A1106:A1131" si="31">$G$1099&amp;B1106</f>
        <v>I.2.2.02.0181</v>
      </c>
      <c r="B1106" s="339">
        <v>1</v>
      </c>
      <c r="C1106" s="394">
        <f>IFERROR(VLOOKUP(A1106,[3]DOORSCRIEFT!$A$2:$G$8551,2,FALSE),"")</f>
        <v>299</v>
      </c>
      <c r="D1106" s="393">
        <f>IFERROR(VLOOKUP(A1106,[3]DOORSCRIEFT!$A$2:$G$8551,3,FALSE),"")</f>
        <v>46087</v>
      </c>
      <c r="E1106" s="392" t="str">
        <f>IFERROR(VLOOKUP(A1106,[3]DOORSCRIEFT!$A$2:$G$8551,4,FALSE),"")</f>
        <v>Kolekta Kebaktian Perkunjungan Majelis Jemaat</v>
      </c>
      <c r="F1106" s="405">
        <f>IFERROR(VLOOKUP(A1106,[3]DOORSCRIEFT!$A$2:$G$8551,6,FALSE),"")</f>
        <v>7480000</v>
      </c>
      <c r="G1106" s="446"/>
    </row>
    <row r="1107" spans="1:7" x14ac:dyDescent="0.25">
      <c r="A1107" s="339" t="str">
        <f t="shared" si="31"/>
        <v>I.2.2.02.0182</v>
      </c>
      <c r="B1107" s="319">
        <v>2</v>
      </c>
      <c r="C1107" s="394">
        <f>IFERROR(VLOOKUP(A1107,[3]DOORSCRIEFT!$A$2:$G$8551,2,FALSE),"")</f>
        <v>300</v>
      </c>
      <c r="D1107" s="393">
        <f>IFERROR(VLOOKUP(A1107,[3]DOORSCRIEFT!$A$2:$G$8551,3,FALSE),"")</f>
        <v>46087</v>
      </c>
      <c r="E1107" s="392" t="str">
        <f>IFERROR(VLOOKUP(A1107,[3]DOORSCRIEFT!$A$2:$G$8551,4,FALSE),"")</f>
        <v>Kolekta Kekunjungan Majelis Jemaat</v>
      </c>
      <c r="F1107" s="405">
        <f>IFERROR(VLOOKUP(A1107,[3]DOORSCRIEFT!$A$2:$G$8551,6,FALSE),"")</f>
        <v>7137000</v>
      </c>
      <c r="G1107" s="416"/>
    </row>
    <row r="1108" spans="1:7" x14ac:dyDescent="0.25">
      <c r="A1108" s="339" t="str">
        <f t="shared" si="31"/>
        <v>I.2.2.02.0183</v>
      </c>
      <c r="B1108" s="339">
        <v>3</v>
      </c>
      <c r="C1108" s="394" t="str">
        <f>IFERROR(VLOOKUP(A1108,[3]DOORSCRIEFT!$A$2:$G$8551,2,FALSE),"")</f>
        <v/>
      </c>
      <c r="D1108" s="393" t="str">
        <f>IFERROR(VLOOKUP(A1108,[3]DOORSCRIEFT!$A$2:$G$8551,3,FALSE),"")</f>
        <v/>
      </c>
      <c r="E1108" s="392" t="str">
        <f>IFERROR(VLOOKUP(A1108,[3]DOORSCRIEFT!$A$2:$G$8551,4,FALSE),"")</f>
        <v/>
      </c>
      <c r="F1108" s="405" t="str">
        <f>IFERROR(VLOOKUP(A1108,[3]DOORSCRIEFT!$A$2:$G$8551,6,FALSE),"")</f>
        <v/>
      </c>
      <c r="G1108" s="416"/>
    </row>
    <row r="1109" spans="1:7" x14ac:dyDescent="0.25">
      <c r="A1109" s="339" t="str">
        <f t="shared" si="31"/>
        <v>I.2.2.02.0184</v>
      </c>
      <c r="B1109" s="319">
        <v>4</v>
      </c>
      <c r="C1109" s="394" t="str">
        <f>IFERROR(VLOOKUP(A1109,[3]DOORSCRIEFT!$A$2:$G$8551,2,FALSE),"")</f>
        <v/>
      </c>
      <c r="D1109" s="393" t="str">
        <f>IFERROR(VLOOKUP(A1109,[3]DOORSCRIEFT!$A$2:$G$8551,3,FALSE),"")</f>
        <v/>
      </c>
      <c r="E1109" s="392" t="str">
        <f>IFERROR(VLOOKUP(A1109,[3]DOORSCRIEFT!$A$2:$G$8551,4,FALSE),"")</f>
        <v/>
      </c>
      <c r="F1109" s="405" t="str">
        <f>IFERROR(VLOOKUP(A1109,[3]DOORSCRIEFT!$A$2:$G$8551,6,FALSE),"")</f>
        <v/>
      </c>
      <c r="G1109" s="416"/>
    </row>
    <row r="1110" spans="1:7" x14ac:dyDescent="0.25">
      <c r="A1110" s="339" t="str">
        <f t="shared" si="31"/>
        <v>I.2.2.02.0185</v>
      </c>
      <c r="B1110" s="339">
        <v>5</v>
      </c>
      <c r="C1110" s="394" t="str">
        <f>IFERROR(VLOOKUP(A1110,[3]DOORSCRIEFT!$A$2:$G$8551,2,FALSE),"")</f>
        <v/>
      </c>
      <c r="D1110" s="393" t="str">
        <f>IFERROR(VLOOKUP(A1110,[3]DOORSCRIEFT!$A$2:$G$8551,3,FALSE),"")</f>
        <v/>
      </c>
      <c r="E1110" s="392" t="str">
        <f>IFERROR(VLOOKUP(A1110,[3]DOORSCRIEFT!$A$2:$G$8551,4,FALSE),"")</f>
        <v/>
      </c>
      <c r="F1110" s="405" t="str">
        <f>IFERROR(VLOOKUP(A1110,[3]DOORSCRIEFT!$A$2:$G$8551,6,FALSE),"")</f>
        <v/>
      </c>
      <c r="G1110" s="416"/>
    </row>
    <row r="1111" spans="1:7" x14ac:dyDescent="0.25">
      <c r="A1111" s="339" t="str">
        <f t="shared" si="31"/>
        <v>I.2.2.02.0186</v>
      </c>
      <c r="B1111" s="319">
        <v>6</v>
      </c>
      <c r="C1111" s="394" t="str">
        <f>IFERROR(VLOOKUP(A1111,[3]DOORSCRIEFT!$A$2:$G$8551,2,FALSE),"")</f>
        <v/>
      </c>
      <c r="D1111" s="393" t="str">
        <f>IFERROR(VLOOKUP(A1111,[3]DOORSCRIEFT!$A$2:$G$8551,3,FALSE),"")</f>
        <v/>
      </c>
      <c r="E1111" s="392" t="str">
        <f>IFERROR(VLOOKUP(A1111,[3]DOORSCRIEFT!$A$2:$G$8551,4,FALSE),"")</f>
        <v/>
      </c>
      <c r="F1111" s="405" t="str">
        <f>IFERROR(VLOOKUP(A1111,[3]DOORSCRIEFT!$A$2:$G$8551,6,FALSE),"")</f>
        <v/>
      </c>
      <c r="G1111" s="416"/>
    </row>
    <row r="1112" spans="1:7" x14ac:dyDescent="0.25">
      <c r="A1112" s="339" t="str">
        <f t="shared" si="31"/>
        <v>I.2.2.02.0187</v>
      </c>
      <c r="B1112" s="339">
        <v>7</v>
      </c>
      <c r="C1112" s="394" t="str">
        <f>IFERROR(VLOOKUP(A1112,[3]DOORSCRIEFT!$A$2:$G$8551,2,FALSE),"")</f>
        <v/>
      </c>
      <c r="D1112" s="393" t="str">
        <f>IFERROR(VLOOKUP(A1112,[3]DOORSCRIEFT!$A$2:$G$8551,3,FALSE),"")</f>
        <v/>
      </c>
      <c r="E1112" s="392" t="str">
        <f>IFERROR(VLOOKUP(A1112,[3]DOORSCRIEFT!$A$2:$G$8551,4,FALSE),"")</f>
        <v/>
      </c>
      <c r="F1112" s="405" t="str">
        <f>IFERROR(VLOOKUP(A1112,[3]DOORSCRIEFT!$A$2:$G$8551,6,FALSE),"")</f>
        <v/>
      </c>
      <c r="G1112" s="416"/>
    </row>
    <row r="1113" spans="1:7" x14ac:dyDescent="0.25">
      <c r="A1113" s="339" t="str">
        <f t="shared" si="31"/>
        <v>I.2.2.02.0188</v>
      </c>
      <c r="B1113" s="319">
        <v>8</v>
      </c>
      <c r="C1113" s="394" t="str">
        <f>IFERROR(VLOOKUP(A1113,[3]DOORSCRIEFT!$A$2:$G$8551,2,FALSE),"")</f>
        <v/>
      </c>
      <c r="D1113" s="393" t="str">
        <f>IFERROR(VLOOKUP(A1113,[3]DOORSCRIEFT!$A$2:$G$8551,3,FALSE),"")</f>
        <v/>
      </c>
      <c r="E1113" s="392" t="str">
        <f>IFERROR(VLOOKUP(A1113,[3]DOORSCRIEFT!$A$2:$G$8551,4,FALSE),"")</f>
        <v/>
      </c>
      <c r="F1113" s="405" t="str">
        <f>IFERROR(VLOOKUP(A1113,[3]DOORSCRIEFT!$A$2:$G$8551,6,FALSE),"")</f>
        <v/>
      </c>
      <c r="G1113" s="416"/>
    </row>
    <row r="1114" spans="1:7" x14ac:dyDescent="0.25">
      <c r="A1114" s="339" t="str">
        <f t="shared" si="31"/>
        <v>I.2.2.02.0189</v>
      </c>
      <c r="B1114" s="339">
        <v>9</v>
      </c>
      <c r="C1114" s="394" t="str">
        <f>IFERROR(VLOOKUP(A1114,[3]DOORSCRIEFT!$A$2:$G$8551,2,FALSE),"")</f>
        <v/>
      </c>
      <c r="D1114" s="393" t="str">
        <f>IFERROR(VLOOKUP(A1114,[3]DOORSCRIEFT!$A$2:$G$8551,3,FALSE),"")</f>
        <v/>
      </c>
      <c r="E1114" s="392" t="str">
        <f>IFERROR(VLOOKUP(A1114,[3]DOORSCRIEFT!$A$2:$G$8551,4,FALSE),"")</f>
        <v/>
      </c>
      <c r="F1114" s="405" t="str">
        <f>IFERROR(VLOOKUP(A1114,[3]DOORSCRIEFT!$A$2:$G$8551,6,FALSE),"")</f>
        <v/>
      </c>
      <c r="G1114" s="416"/>
    </row>
    <row r="1115" spans="1:7" x14ac:dyDescent="0.25">
      <c r="A1115" s="339" t="str">
        <f t="shared" si="31"/>
        <v>I.2.2.02.01810</v>
      </c>
      <c r="B1115" s="319">
        <v>10</v>
      </c>
      <c r="C1115" s="394" t="str">
        <f>IFERROR(VLOOKUP(A1115,[3]DOORSCRIEFT!$A$2:$G$8551,2,FALSE),"")</f>
        <v/>
      </c>
      <c r="D1115" s="393" t="str">
        <f>IFERROR(VLOOKUP(A1115,[3]DOORSCRIEFT!$A$2:$G$8551,3,FALSE),"")</f>
        <v/>
      </c>
      <c r="E1115" s="392" t="str">
        <f>IFERROR(VLOOKUP(A1115,[3]DOORSCRIEFT!$A$2:$G$8551,4,FALSE),"")</f>
        <v/>
      </c>
      <c r="F1115" s="405" t="str">
        <f>IFERROR(VLOOKUP(A1115,[3]DOORSCRIEFT!$A$2:$G$8551,6,FALSE),"")</f>
        <v/>
      </c>
      <c r="G1115" s="416"/>
    </row>
    <row r="1116" spans="1:7" x14ac:dyDescent="0.25">
      <c r="A1116" s="339" t="str">
        <f t="shared" si="31"/>
        <v>I.2.2.02.01811</v>
      </c>
      <c r="B1116" s="339">
        <v>11</v>
      </c>
      <c r="C1116" s="394" t="str">
        <f>IFERROR(VLOOKUP(A1116,[3]DOORSCRIEFT!$A$2:$G$8551,2,FALSE),"")</f>
        <v/>
      </c>
      <c r="D1116" s="393" t="str">
        <f>IFERROR(VLOOKUP(A1116,[3]DOORSCRIEFT!$A$2:$G$8551,3,FALSE),"")</f>
        <v/>
      </c>
      <c r="E1116" s="392" t="str">
        <f>IFERROR(VLOOKUP(A1116,[3]DOORSCRIEFT!$A$2:$G$8551,4,FALSE),"")</f>
        <v/>
      </c>
      <c r="F1116" s="405" t="str">
        <f>IFERROR(VLOOKUP(A1116,[3]DOORSCRIEFT!$A$2:$G$8551,6,FALSE),"")</f>
        <v/>
      </c>
      <c r="G1116" s="416"/>
    </row>
    <row r="1117" spans="1:7" x14ac:dyDescent="0.25">
      <c r="A1117" s="339" t="str">
        <f t="shared" si="31"/>
        <v>I.2.2.02.01812</v>
      </c>
      <c r="B1117" s="319">
        <v>12</v>
      </c>
      <c r="C1117" s="394" t="str">
        <f>IFERROR(VLOOKUP(A1117,[3]DOORSCRIEFT!$A$2:$G$8551,2,FALSE),"")</f>
        <v/>
      </c>
      <c r="D1117" s="393" t="str">
        <f>IFERROR(VLOOKUP(A1117,[3]DOORSCRIEFT!$A$2:$G$8551,3,FALSE),"")</f>
        <v/>
      </c>
      <c r="E1117" s="392" t="str">
        <f>IFERROR(VLOOKUP(A1117,[3]DOORSCRIEFT!$A$2:$G$8551,4,FALSE),"")</f>
        <v/>
      </c>
      <c r="F1117" s="405" t="str">
        <f>IFERROR(VLOOKUP(A1117,[3]DOORSCRIEFT!$A$2:$G$8551,6,FALSE),"")</f>
        <v/>
      </c>
      <c r="G1117" s="416"/>
    </row>
    <row r="1118" spans="1:7" x14ac:dyDescent="0.25">
      <c r="A1118" s="339" t="str">
        <f t="shared" si="31"/>
        <v>I.2.2.02.01813</v>
      </c>
      <c r="B1118" s="339">
        <v>13</v>
      </c>
      <c r="C1118" s="394" t="str">
        <f>IFERROR(VLOOKUP(A1118,[3]DOORSCRIEFT!$A$2:$G$8551,2,FALSE),"")</f>
        <v/>
      </c>
      <c r="D1118" s="393" t="str">
        <f>IFERROR(VLOOKUP(A1118,[3]DOORSCRIEFT!$A$2:$G$8551,3,FALSE),"")</f>
        <v/>
      </c>
      <c r="E1118" s="392" t="str">
        <f>IFERROR(VLOOKUP(A1118,[3]DOORSCRIEFT!$A$2:$G$8551,4,FALSE),"")</f>
        <v/>
      </c>
      <c r="F1118" s="405" t="str">
        <f>IFERROR(VLOOKUP(A1118,[3]DOORSCRIEFT!$A$2:$G$8551,6,FALSE),"")</f>
        <v/>
      </c>
      <c r="G1118" s="416"/>
    </row>
    <row r="1119" spans="1:7" x14ac:dyDescent="0.25">
      <c r="A1119" s="339" t="str">
        <f t="shared" si="31"/>
        <v>I.2.2.02.01814</v>
      </c>
      <c r="B1119" s="319">
        <v>14</v>
      </c>
      <c r="C1119" s="394" t="str">
        <f>IFERROR(VLOOKUP(A1119,[3]DOORSCRIEFT!$A$2:$G$8551,2,FALSE),"")</f>
        <v/>
      </c>
      <c r="D1119" s="393" t="str">
        <f>IFERROR(VLOOKUP(A1119,[3]DOORSCRIEFT!$A$2:$G$8551,3,FALSE),"")</f>
        <v/>
      </c>
      <c r="E1119" s="392" t="str">
        <f>IFERROR(VLOOKUP(A1119,[3]DOORSCRIEFT!$A$2:$G$8551,4,FALSE),"")</f>
        <v/>
      </c>
      <c r="F1119" s="405" t="str">
        <f>IFERROR(VLOOKUP(A1119,[3]DOORSCRIEFT!$A$2:$G$8551,6,FALSE),"")</f>
        <v/>
      </c>
      <c r="G1119" s="416"/>
    </row>
    <row r="1120" spans="1:7" x14ac:dyDescent="0.25">
      <c r="A1120" s="339" t="str">
        <f t="shared" si="31"/>
        <v>I.2.2.02.01815</v>
      </c>
      <c r="B1120" s="339">
        <v>15</v>
      </c>
      <c r="C1120" s="394" t="str">
        <f>IFERROR(VLOOKUP(A1120,[3]DOORSCRIEFT!$A$2:$G$8551,2,FALSE),"")</f>
        <v/>
      </c>
      <c r="D1120" s="393" t="str">
        <f>IFERROR(VLOOKUP(A1120,[3]DOORSCRIEFT!$A$2:$G$8551,3,FALSE),"")</f>
        <v/>
      </c>
      <c r="E1120" s="392" t="str">
        <f>IFERROR(VLOOKUP(A1120,[3]DOORSCRIEFT!$A$2:$G$8551,4,FALSE),"")</f>
        <v/>
      </c>
      <c r="F1120" s="405" t="str">
        <f>IFERROR(VLOOKUP(A1120,[3]DOORSCRIEFT!$A$2:$G$8551,6,FALSE),"")</f>
        <v/>
      </c>
      <c r="G1120" s="416"/>
    </row>
    <row r="1121" spans="1:7" x14ac:dyDescent="0.25">
      <c r="A1121" s="339" t="str">
        <f t="shared" si="31"/>
        <v>I.2.2.02.01816</v>
      </c>
      <c r="B1121" s="319">
        <v>16</v>
      </c>
      <c r="C1121" s="394" t="str">
        <f>IFERROR(VLOOKUP(A1121,[3]DOORSCRIEFT!$A$2:$G$8551,2,FALSE),"")</f>
        <v/>
      </c>
      <c r="D1121" s="393" t="str">
        <f>IFERROR(VLOOKUP(A1121,[3]DOORSCRIEFT!$A$2:$G$8551,3,FALSE),"")</f>
        <v/>
      </c>
      <c r="E1121" s="392" t="str">
        <f>IFERROR(VLOOKUP(A1121,[3]DOORSCRIEFT!$A$2:$G$8551,4,FALSE),"")</f>
        <v/>
      </c>
      <c r="F1121" s="405" t="str">
        <f>IFERROR(VLOOKUP(A1121,[3]DOORSCRIEFT!$A$2:$G$8551,6,FALSE),"")</f>
        <v/>
      </c>
      <c r="G1121" s="416"/>
    </row>
    <row r="1122" spans="1:7" x14ac:dyDescent="0.25">
      <c r="A1122" s="339" t="str">
        <f t="shared" si="31"/>
        <v>I.2.2.02.01817</v>
      </c>
      <c r="B1122" s="339">
        <v>17</v>
      </c>
      <c r="C1122" s="394" t="str">
        <f>IFERROR(VLOOKUP(A1122,[3]DOORSCRIEFT!$A$2:$G$8551,2,FALSE),"")</f>
        <v/>
      </c>
      <c r="D1122" s="393" t="str">
        <f>IFERROR(VLOOKUP(A1122,[3]DOORSCRIEFT!$A$2:$G$8551,3,FALSE),"")</f>
        <v/>
      </c>
      <c r="E1122" s="392" t="str">
        <f>IFERROR(VLOOKUP(A1122,[3]DOORSCRIEFT!$A$2:$G$8551,4,FALSE),"")</f>
        <v/>
      </c>
      <c r="F1122" s="405" t="str">
        <f>IFERROR(VLOOKUP(A1122,[3]DOORSCRIEFT!$A$2:$G$8551,6,FALSE),"")</f>
        <v/>
      </c>
      <c r="G1122" s="416"/>
    </row>
    <row r="1123" spans="1:7" x14ac:dyDescent="0.25">
      <c r="A1123" s="339" t="str">
        <f t="shared" si="31"/>
        <v>I.2.2.02.01818</v>
      </c>
      <c r="B1123" s="319">
        <v>18</v>
      </c>
      <c r="C1123" s="394" t="str">
        <f>IFERROR(VLOOKUP(A1123,[3]DOORSCRIEFT!$A$2:$G$8551,2,FALSE),"")</f>
        <v/>
      </c>
      <c r="D1123" s="393" t="str">
        <f>IFERROR(VLOOKUP(A1123,[3]DOORSCRIEFT!$A$2:$G$8551,3,FALSE),"")</f>
        <v/>
      </c>
      <c r="E1123" s="392" t="str">
        <f>IFERROR(VLOOKUP(A1123,[3]DOORSCRIEFT!$A$2:$G$8551,4,FALSE),"")</f>
        <v/>
      </c>
      <c r="F1123" s="405" t="str">
        <f>IFERROR(VLOOKUP(A1123,[3]DOORSCRIEFT!$A$2:$G$8551,6,FALSE),"")</f>
        <v/>
      </c>
      <c r="G1123" s="416"/>
    </row>
    <row r="1124" spans="1:7" x14ac:dyDescent="0.25">
      <c r="A1124" s="339" t="str">
        <f t="shared" si="31"/>
        <v>I.2.2.02.01819</v>
      </c>
      <c r="B1124" s="339">
        <v>19</v>
      </c>
      <c r="C1124" s="394" t="str">
        <f>IFERROR(VLOOKUP(A1124,[3]DOORSCRIEFT!$A$2:$G$8551,2,FALSE),"")</f>
        <v/>
      </c>
      <c r="D1124" s="393" t="str">
        <f>IFERROR(VLOOKUP(A1124,[3]DOORSCRIEFT!$A$2:$G$8551,3,FALSE),"")</f>
        <v/>
      </c>
      <c r="E1124" s="392" t="str">
        <f>IFERROR(VLOOKUP(A1124,[3]DOORSCRIEFT!$A$2:$G$8551,4,FALSE),"")</f>
        <v/>
      </c>
      <c r="F1124" s="405" t="str">
        <f>IFERROR(VLOOKUP(A1124,[3]DOORSCRIEFT!$A$2:$G$8551,6,FALSE),"")</f>
        <v/>
      </c>
      <c r="G1124" s="416"/>
    </row>
    <row r="1125" spans="1:7" x14ac:dyDescent="0.25">
      <c r="A1125" s="339" t="str">
        <f t="shared" si="31"/>
        <v>I.2.2.02.01820</v>
      </c>
      <c r="B1125" s="319">
        <v>20</v>
      </c>
      <c r="C1125" s="394" t="str">
        <f>IFERROR(VLOOKUP(A1125,[3]DOORSCRIEFT!$A$2:$G$8551,2,FALSE),"")</f>
        <v/>
      </c>
      <c r="D1125" s="393" t="str">
        <f>IFERROR(VLOOKUP(A1125,[3]DOORSCRIEFT!$A$2:$G$8551,3,FALSE),"")</f>
        <v/>
      </c>
      <c r="E1125" s="392" t="str">
        <f>IFERROR(VLOOKUP(A1125,[3]DOORSCRIEFT!$A$2:$G$8551,4,FALSE),"")</f>
        <v/>
      </c>
      <c r="F1125" s="405" t="str">
        <f>IFERROR(VLOOKUP(A1125,[3]DOORSCRIEFT!$A$2:$G$8551,6,FALSE),"")</f>
        <v/>
      </c>
      <c r="G1125" s="416"/>
    </row>
    <row r="1126" spans="1:7" x14ac:dyDescent="0.25">
      <c r="A1126" s="339" t="str">
        <f t="shared" si="31"/>
        <v>I.2.2.02.01821</v>
      </c>
      <c r="B1126" s="339">
        <v>21</v>
      </c>
      <c r="C1126" s="394" t="str">
        <f>IFERROR(VLOOKUP(A1126,[3]DOORSCRIEFT!$A$2:$G$8551,2,FALSE),"")</f>
        <v/>
      </c>
      <c r="D1126" s="393" t="str">
        <f>IFERROR(VLOOKUP(A1126,[3]DOORSCRIEFT!$A$2:$G$8551,3,FALSE),"")</f>
        <v/>
      </c>
      <c r="E1126" s="392" t="str">
        <f>IFERROR(VLOOKUP(A1126,[3]DOORSCRIEFT!$A$2:$G$8551,4,FALSE),"")</f>
        <v/>
      </c>
      <c r="F1126" s="405" t="str">
        <f>IFERROR(VLOOKUP(A1126,[3]DOORSCRIEFT!$A$2:$G$8551,6,FALSE),"")</f>
        <v/>
      </c>
      <c r="G1126" s="416"/>
    </row>
    <row r="1127" spans="1:7" x14ac:dyDescent="0.25">
      <c r="A1127" s="339" t="str">
        <f t="shared" si="31"/>
        <v>I.2.2.02.01822</v>
      </c>
      <c r="B1127" s="319">
        <v>22</v>
      </c>
      <c r="C1127" s="394" t="str">
        <f>IFERROR(VLOOKUP(A1127,[3]DOORSCRIEFT!$A$2:$G$8551,2,FALSE),"")</f>
        <v/>
      </c>
      <c r="D1127" s="393" t="str">
        <f>IFERROR(VLOOKUP(A1127,[3]DOORSCRIEFT!$A$2:$G$8551,3,FALSE),"")</f>
        <v/>
      </c>
      <c r="E1127" s="392" t="str">
        <f>IFERROR(VLOOKUP(A1127,[3]DOORSCRIEFT!$A$2:$G$8551,4,FALSE),"")</f>
        <v/>
      </c>
      <c r="F1127" s="405" t="str">
        <f>IFERROR(VLOOKUP(A1127,[3]DOORSCRIEFT!$A$2:$G$8551,6,FALSE),"")</f>
        <v/>
      </c>
      <c r="G1127" s="416"/>
    </row>
    <row r="1128" spans="1:7" x14ac:dyDescent="0.25">
      <c r="A1128" s="339" t="str">
        <f t="shared" si="31"/>
        <v>I.2.2.02.01823</v>
      </c>
      <c r="B1128" s="339">
        <v>23</v>
      </c>
      <c r="C1128" s="394" t="str">
        <f>IFERROR(VLOOKUP(A1128,[3]DOORSCRIEFT!$A$2:$G$8551,2,FALSE),"")</f>
        <v/>
      </c>
      <c r="D1128" s="393" t="str">
        <f>IFERROR(VLOOKUP(A1128,[3]DOORSCRIEFT!$A$2:$G$8551,3,FALSE),"")</f>
        <v/>
      </c>
      <c r="E1128" s="392" t="str">
        <f>IFERROR(VLOOKUP(A1128,[3]DOORSCRIEFT!$A$2:$G$8551,4,FALSE),"")</f>
        <v/>
      </c>
      <c r="F1128" s="405" t="str">
        <f>IFERROR(VLOOKUP(A1128,[3]DOORSCRIEFT!$A$2:$G$8551,6,FALSE),"")</f>
        <v/>
      </c>
      <c r="G1128" s="416"/>
    </row>
    <row r="1129" spans="1:7" x14ac:dyDescent="0.25">
      <c r="A1129" s="339" t="str">
        <f t="shared" si="31"/>
        <v>I.2.2.02.01824</v>
      </c>
      <c r="B1129" s="319">
        <v>24</v>
      </c>
      <c r="C1129" s="394" t="str">
        <f>IFERROR(VLOOKUP(A1129,[3]DOORSCRIEFT!$A$2:$G$8551,2,FALSE),"")</f>
        <v/>
      </c>
      <c r="D1129" s="393" t="str">
        <f>IFERROR(VLOOKUP(A1129,[3]DOORSCRIEFT!$A$2:$G$8551,3,FALSE),"")</f>
        <v/>
      </c>
      <c r="E1129" s="392" t="str">
        <f>IFERROR(VLOOKUP(A1129,[3]DOORSCRIEFT!$A$2:$G$8551,4,FALSE),"")</f>
        <v/>
      </c>
      <c r="F1129" s="405" t="str">
        <f>IFERROR(VLOOKUP(A1129,[3]DOORSCRIEFT!$A$2:$G$8551,6,FALSE),"")</f>
        <v/>
      </c>
      <c r="G1129" s="416"/>
    </row>
    <row r="1130" spans="1:7" x14ac:dyDescent="0.25">
      <c r="A1130" s="339" t="str">
        <f t="shared" si="31"/>
        <v>I.2.2.02.01825</v>
      </c>
      <c r="B1130" s="339">
        <v>25</v>
      </c>
      <c r="C1130" s="394" t="str">
        <f>IFERROR(VLOOKUP(A1130,[3]DOORSCRIEFT!$A$2:$G$8551,2,FALSE),"")</f>
        <v/>
      </c>
      <c r="D1130" s="393" t="str">
        <f>IFERROR(VLOOKUP(A1130,[3]DOORSCRIEFT!$A$2:$G$8551,3,FALSE),"")</f>
        <v/>
      </c>
      <c r="E1130" s="392" t="str">
        <f>IFERROR(VLOOKUP(A1130,[3]DOORSCRIEFT!$A$2:$G$8551,4,FALSE),"")</f>
        <v/>
      </c>
      <c r="F1130" s="405" t="str">
        <f>IFERROR(VLOOKUP(A1130,[3]DOORSCRIEFT!$A$2:$G$8551,6,FALSE),"")</f>
        <v/>
      </c>
      <c r="G1130" s="416"/>
    </row>
    <row r="1131" spans="1:7" ht="15.75" thickBot="1" x14ac:dyDescent="0.3">
      <c r="A1131" s="339" t="str">
        <f t="shared" si="31"/>
        <v>I.2.2.02.01826</v>
      </c>
      <c r="B1131" s="319">
        <v>26</v>
      </c>
      <c r="C1131" s="394" t="str">
        <f>IFERROR(VLOOKUP(A1131,[3]DOORSCRIEFT!$A$2:$G$8551,2,FALSE),"")</f>
        <v/>
      </c>
      <c r="D1131" s="393" t="str">
        <f>IFERROR(VLOOKUP(A1131,[3]DOORSCRIEFT!$A$2:$G$8551,3,FALSE),"")</f>
        <v/>
      </c>
      <c r="E1131" s="392" t="str">
        <f>IFERROR(VLOOKUP(A1131,[3]DOORSCRIEFT!$A$2:$G$8551,4,FALSE),"")</f>
        <v/>
      </c>
      <c r="F1131" s="405" t="str">
        <f>IFERROR(VLOOKUP(A1131,[3]DOORSCRIEFT!$A$2:$G$8551,6,FALSE),"")</f>
        <v/>
      </c>
      <c r="G1131" s="415"/>
    </row>
    <row r="1132" spans="1:7" ht="15.75" thickBot="1" x14ac:dyDescent="0.3">
      <c r="A1132" s="314"/>
      <c r="B1132" s="312"/>
      <c r="C1132" s="313"/>
      <c r="D1132" s="312"/>
      <c r="E1132" s="311" t="s">
        <v>644</v>
      </c>
      <c r="F1132" s="436">
        <f>SUM(F1106:F1131)</f>
        <v>14617000</v>
      </c>
      <c r="G1132" s="435">
        <f>SUM(G1106:G1131)</f>
        <v>0</v>
      </c>
    </row>
    <row r="1135" spans="1:7" ht="15.75" x14ac:dyDescent="0.25">
      <c r="C1135" s="332"/>
      <c r="D1135" s="333"/>
      <c r="E1135" s="332"/>
      <c r="F1135" s="327" t="s">
        <v>607</v>
      </c>
      <c r="G1135" s="327" t="s">
        <v>510</v>
      </c>
    </row>
    <row r="1136" spans="1:7" ht="15.75" x14ac:dyDescent="0.25">
      <c r="C1136" s="332"/>
      <c r="D1136" s="333"/>
      <c r="E1136" s="332"/>
      <c r="F1136" s="327" t="s">
        <v>601</v>
      </c>
      <c r="G1136" s="327" t="s">
        <v>509</v>
      </c>
    </row>
    <row r="1137" spans="1:7" x14ac:dyDescent="0.25">
      <c r="C1137" s="328"/>
      <c r="D1137" s="329"/>
      <c r="E1137" s="328"/>
      <c r="F1137" s="327" t="s">
        <v>651</v>
      </c>
      <c r="G1137" s="331">
        <f>[2]Sheet1!$D$45</f>
        <v>10350000</v>
      </c>
    </row>
    <row r="1138" spans="1:7" ht="15.75" thickBot="1" x14ac:dyDescent="0.3">
      <c r="C1138" s="328"/>
      <c r="D1138" s="329"/>
      <c r="E1138" s="328"/>
      <c r="F1138" s="327" t="s">
        <v>650</v>
      </c>
      <c r="G1138" s="326">
        <f>+F1209-G1137</f>
        <v>-2168000</v>
      </c>
    </row>
    <row r="1139" spans="1:7" x14ac:dyDescent="0.25">
      <c r="A1139" s="571" t="s">
        <v>655</v>
      </c>
      <c r="B1139" s="573" t="s">
        <v>606</v>
      </c>
      <c r="C1139" s="588" t="s">
        <v>649</v>
      </c>
      <c r="D1139" s="577" t="s">
        <v>648</v>
      </c>
      <c r="E1139" s="577" t="s">
        <v>647</v>
      </c>
      <c r="F1139" s="577" t="s">
        <v>646</v>
      </c>
      <c r="G1139" s="580" t="s">
        <v>645</v>
      </c>
    </row>
    <row r="1140" spans="1:7" ht="15.75" thickBot="1" x14ac:dyDescent="0.3">
      <c r="A1140" s="579"/>
      <c r="B1140" s="593"/>
      <c r="C1140" s="592"/>
      <c r="D1140" s="578"/>
      <c r="E1140" s="578"/>
      <c r="F1140" s="578"/>
      <c r="G1140" s="581"/>
    </row>
    <row r="1141" spans="1:7" ht="15.75" thickBot="1" x14ac:dyDescent="0.3">
      <c r="A1141" s="348">
        <v>1</v>
      </c>
      <c r="B1141" s="347">
        <v>2</v>
      </c>
      <c r="C1141" s="347">
        <v>3</v>
      </c>
      <c r="D1141" s="347">
        <v>4</v>
      </c>
      <c r="E1141" s="347">
        <v>5</v>
      </c>
      <c r="F1141" s="347">
        <v>6</v>
      </c>
      <c r="G1141" s="346">
        <v>7</v>
      </c>
    </row>
    <row r="1142" spans="1:7" x14ac:dyDescent="0.25">
      <c r="A1142" s="339" t="str">
        <f t="shared" ref="A1142:A1173" si="32">$G$1135&amp;B1142</f>
        <v>I.2.2.02.0191</v>
      </c>
      <c r="B1142" s="339">
        <v>1</v>
      </c>
      <c r="C1142" s="394">
        <f>IFERROR(VLOOKUP(A1142,[3]DOORSCRIEFT!$A$2:$G$8551,2,FALSE),"")</f>
        <v>34</v>
      </c>
      <c r="D1142" s="393">
        <f>IFERROR(VLOOKUP(A1142,[3]DOORSCRIEFT!$A$2:$G$8551,3,FALSE),"")</f>
        <v>46031</v>
      </c>
      <c r="E1142" s="392" t="str">
        <f>IFERROR(VLOOKUP(A1142,[3]DOORSCRIEFT!$A$2:$G$8551,4,FALSE),"")</f>
        <v>Kolekta Kebaktian Sektor</v>
      </c>
      <c r="F1142" s="405">
        <f>IFERROR(VLOOKUP(A1142,[3]DOORSCRIEFT!$A$2:$G$8551,6,FALSE),"")</f>
        <v>2278000</v>
      </c>
      <c r="G1142" s="445"/>
    </row>
    <row r="1143" spans="1:7" x14ac:dyDescent="0.25">
      <c r="A1143" s="339" t="str">
        <f t="shared" si="32"/>
        <v>I.2.2.02.0192</v>
      </c>
      <c r="B1143" s="319">
        <v>2</v>
      </c>
      <c r="C1143" s="394">
        <f>IFERROR(VLOOKUP(A1143,[3]DOORSCRIEFT!$A$2:$G$8551,2,FALSE),"")</f>
        <v>145</v>
      </c>
      <c r="D1143" s="393">
        <f>IFERROR(VLOOKUP(A1143,[3]DOORSCRIEFT!$A$2:$G$8551,3,FALSE),"")</f>
        <v>46052</v>
      </c>
      <c r="E1143" s="392" t="str">
        <f>IFERROR(VLOOKUP(A1143,[3]DOORSCRIEFT!$A$2:$G$8551,4,FALSE),"")</f>
        <v>Kolekta Kebaktian koinonia antar Sektor</v>
      </c>
      <c r="F1143" s="405">
        <f>IFERROR(VLOOKUP(A1143,[3]DOORSCRIEFT!$A$2:$G$8551,6,FALSE),"")</f>
        <v>2151000</v>
      </c>
      <c r="G1143" s="438"/>
    </row>
    <row r="1144" spans="1:7" x14ac:dyDescent="0.25">
      <c r="A1144" s="339" t="str">
        <f t="shared" si="32"/>
        <v>I.2.2.02.0193</v>
      </c>
      <c r="B1144" s="339">
        <v>3</v>
      </c>
      <c r="C1144" s="394">
        <f>IFERROR(VLOOKUP(A1144,[3]DOORSCRIEFT!$A$2:$G$8551,2,FALSE),"")</f>
        <v>222</v>
      </c>
      <c r="D1144" s="393">
        <f>IFERROR(VLOOKUP(A1144,[3]DOORSCRIEFT!$A$2:$G$8551,3,FALSE),"")</f>
        <v>46073</v>
      </c>
      <c r="E1144" s="392" t="str">
        <f>IFERROR(VLOOKUP(A1144,[3]DOORSCRIEFT!$A$2:$G$8551,4,FALSE),"")</f>
        <v>Kolekta Kebaktian Sektor</v>
      </c>
      <c r="F1144" s="405">
        <f>IFERROR(VLOOKUP(A1144,[3]DOORSCRIEFT!$A$2:$G$8551,6,FALSE),"")</f>
        <v>1934000</v>
      </c>
      <c r="G1144" s="445"/>
    </row>
    <row r="1145" spans="1:7" x14ac:dyDescent="0.25">
      <c r="A1145" s="339" t="str">
        <f t="shared" si="32"/>
        <v>I.2.2.02.0194</v>
      </c>
      <c r="B1145" s="319">
        <v>4</v>
      </c>
      <c r="C1145" s="394">
        <f>IFERROR(VLOOKUP(A1145,[3]DOORSCRIEFT!$A$2:$G$8551,2,FALSE),"")</f>
        <v>265</v>
      </c>
      <c r="D1145" s="393">
        <f>IFERROR(VLOOKUP(A1145,[3]DOORSCRIEFT!$A$2:$G$8551,3,FALSE),"")</f>
        <v>46080</v>
      </c>
      <c r="E1145" s="392" t="str">
        <f>IFERROR(VLOOKUP(A1145,[3]DOORSCRIEFT!$A$2:$G$8551,4,FALSE),"")</f>
        <v>Kolekta Kebaktian Sektor Imanuel</v>
      </c>
      <c r="F1145" s="405">
        <f>IFERROR(VLOOKUP(A1145,[3]DOORSCRIEFT!$A$2:$G$8551,6,FALSE),"")</f>
        <v>121000</v>
      </c>
      <c r="G1145" s="445"/>
    </row>
    <row r="1146" spans="1:7" x14ac:dyDescent="0.25">
      <c r="A1146" s="339" t="str">
        <f t="shared" si="32"/>
        <v>I.2.2.02.0195</v>
      </c>
      <c r="B1146" s="339">
        <v>5</v>
      </c>
      <c r="C1146" s="394">
        <f>IFERROR(VLOOKUP(A1146,[3]DOORSCRIEFT!$A$2:$G$8551,2,FALSE),"")</f>
        <v>445</v>
      </c>
      <c r="D1146" s="393">
        <f>IFERROR(VLOOKUP(A1146,[3]DOORSCRIEFT!$A$2:$G$8551,3,FALSE),"")</f>
        <v>46108</v>
      </c>
      <c r="E1146" s="392" t="str">
        <f>IFERROR(VLOOKUP(A1146,[3]DOORSCRIEFT!$A$2:$G$8551,4,FALSE),"")</f>
        <v>Kolekta Kebaktian Sektor</v>
      </c>
      <c r="F1146" s="405">
        <f>IFERROR(VLOOKUP(A1146,[3]DOORSCRIEFT!$A$2:$G$8551,6,FALSE),"")</f>
        <v>1698000</v>
      </c>
      <c r="G1146" s="438"/>
    </row>
    <row r="1147" spans="1:7" x14ac:dyDescent="0.25">
      <c r="A1147" s="339" t="str">
        <f t="shared" si="32"/>
        <v>I.2.2.02.0196</v>
      </c>
      <c r="B1147" s="319">
        <v>6</v>
      </c>
      <c r="C1147" s="394" t="str">
        <f>IFERROR(VLOOKUP(A1147,[3]DOORSCRIEFT!$A$2:$G$8551,2,FALSE),"")</f>
        <v/>
      </c>
      <c r="D1147" s="393" t="str">
        <f>IFERROR(VLOOKUP(A1147,[3]DOORSCRIEFT!$A$2:$G$8551,3,FALSE),"")</f>
        <v/>
      </c>
      <c r="E1147" s="392" t="str">
        <f>IFERROR(VLOOKUP(A1147,[3]DOORSCRIEFT!$A$2:$G$8551,4,FALSE),"")</f>
        <v/>
      </c>
      <c r="F1147" s="405" t="str">
        <f>IFERROR(VLOOKUP(A1147,[3]DOORSCRIEFT!$A$2:$G$8551,6,FALSE),"")</f>
        <v/>
      </c>
      <c r="G1147" s="322"/>
    </row>
    <row r="1148" spans="1:7" x14ac:dyDescent="0.25">
      <c r="A1148" s="339" t="str">
        <f t="shared" si="32"/>
        <v>I.2.2.02.0197</v>
      </c>
      <c r="B1148" s="339">
        <v>7</v>
      </c>
      <c r="C1148" s="394" t="str">
        <f>IFERROR(VLOOKUP(A1148,[3]DOORSCRIEFT!$A$2:$G$8551,2,FALSE),"")</f>
        <v/>
      </c>
      <c r="D1148" s="393" t="str">
        <f>IFERROR(VLOOKUP(A1148,[3]DOORSCRIEFT!$A$2:$G$8551,3,FALSE),"")</f>
        <v/>
      </c>
      <c r="E1148" s="392" t="str">
        <f>IFERROR(VLOOKUP(A1148,[3]DOORSCRIEFT!$A$2:$G$8551,4,FALSE),"")</f>
        <v/>
      </c>
      <c r="F1148" s="405" t="str">
        <f>IFERROR(VLOOKUP(A1148,[3]DOORSCRIEFT!$A$2:$G$8551,6,FALSE),"")</f>
        <v/>
      </c>
      <c r="G1148" s="315"/>
    </row>
    <row r="1149" spans="1:7" x14ac:dyDescent="0.25">
      <c r="A1149" s="339" t="str">
        <f t="shared" si="32"/>
        <v>I.2.2.02.0198</v>
      </c>
      <c r="B1149" s="319">
        <v>8</v>
      </c>
      <c r="C1149" s="394" t="str">
        <f>IFERROR(VLOOKUP(A1149,[3]DOORSCRIEFT!$A$2:$G$8551,2,FALSE),"")</f>
        <v/>
      </c>
      <c r="D1149" s="393" t="str">
        <f>IFERROR(VLOOKUP(A1149,[3]DOORSCRIEFT!$A$2:$G$8551,3,FALSE),"")</f>
        <v/>
      </c>
      <c r="E1149" s="392" t="str">
        <f>IFERROR(VLOOKUP(A1149,[3]DOORSCRIEFT!$A$2:$G$8551,4,FALSE),"")</f>
        <v/>
      </c>
      <c r="F1149" s="405" t="str">
        <f>IFERROR(VLOOKUP(A1149,[3]DOORSCRIEFT!$A$2:$G$8551,6,FALSE),"")</f>
        <v/>
      </c>
      <c r="G1149" s="315"/>
    </row>
    <row r="1150" spans="1:7" x14ac:dyDescent="0.25">
      <c r="A1150" s="339" t="str">
        <f t="shared" si="32"/>
        <v>I.2.2.02.0199</v>
      </c>
      <c r="B1150" s="339">
        <v>9</v>
      </c>
      <c r="C1150" s="394" t="str">
        <f>IFERROR(VLOOKUP(A1150,[3]DOORSCRIEFT!$A$2:$G$8551,2,FALSE),"")</f>
        <v/>
      </c>
      <c r="D1150" s="393" t="str">
        <f>IFERROR(VLOOKUP(A1150,[3]DOORSCRIEFT!$A$2:$G$8551,3,FALSE),"")</f>
        <v/>
      </c>
      <c r="E1150" s="392" t="str">
        <f>IFERROR(VLOOKUP(A1150,[3]DOORSCRIEFT!$A$2:$G$8551,4,FALSE),"")</f>
        <v/>
      </c>
      <c r="F1150" s="405" t="str">
        <f>IFERROR(VLOOKUP(A1150,[3]DOORSCRIEFT!$A$2:$G$8551,6,FALSE),"")</f>
        <v/>
      </c>
      <c r="G1150" s="315"/>
    </row>
    <row r="1151" spans="1:7" x14ac:dyDescent="0.25">
      <c r="A1151" s="339" t="str">
        <f t="shared" si="32"/>
        <v>I.2.2.02.01910</v>
      </c>
      <c r="B1151" s="319">
        <v>10</v>
      </c>
      <c r="C1151" s="394" t="str">
        <f>IFERROR(VLOOKUP(A1151,[3]DOORSCRIEFT!$A$2:$G$8551,2,FALSE),"")</f>
        <v/>
      </c>
      <c r="D1151" s="393" t="str">
        <f>IFERROR(VLOOKUP(A1151,[3]DOORSCRIEFT!$A$2:$G$8551,3,FALSE),"")</f>
        <v/>
      </c>
      <c r="E1151" s="392" t="str">
        <f>IFERROR(VLOOKUP(A1151,[3]DOORSCRIEFT!$A$2:$G$8551,4,FALSE),"")</f>
        <v/>
      </c>
      <c r="F1151" s="405" t="str">
        <f>IFERROR(VLOOKUP(A1151,[3]DOORSCRIEFT!$A$2:$G$8551,6,FALSE),"")</f>
        <v/>
      </c>
      <c r="G1151" s="315"/>
    </row>
    <row r="1152" spans="1:7" x14ac:dyDescent="0.25">
      <c r="A1152" s="339" t="str">
        <f t="shared" si="32"/>
        <v>I.2.2.02.01911</v>
      </c>
      <c r="B1152" s="339">
        <v>11</v>
      </c>
      <c r="C1152" s="394" t="str">
        <f>IFERROR(VLOOKUP(A1152,[3]DOORSCRIEFT!$A$2:$G$8551,2,FALSE),"")</f>
        <v/>
      </c>
      <c r="D1152" s="393" t="str">
        <f>IFERROR(VLOOKUP(A1152,[3]DOORSCRIEFT!$A$2:$G$8551,3,FALSE),"")</f>
        <v/>
      </c>
      <c r="E1152" s="392" t="str">
        <f>IFERROR(VLOOKUP(A1152,[3]DOORSCRIEFT!$A$2:$G$8551,4,FALSE),"")</f>
        <v/>
      </c>
      <c r="F1152" s="405" t="str">
        <f>IFERROR(VLOOKUP(A1152,[3]DOORSCRIEFT!$A$2:$G$8551,6,FALSE),"")</f>
        <v/>
      </c>
      <c r="G1152" s="315"/>
    </row>
    <row r="1153" spans="1:7" x14ac:dyDescent="0.25">
      <c r="A1153" s="339" t="str">
        <f t="shared" si="32"/>
        <v>I.2.2.02.01912</v>
      </c>
      <c r="B1153" s="319">
        <v>12</v>
      </c>
      <c r="C1153" s="394" t="str">
        <f>IFERROR(VLOOKUP(A1153,[3]DOORSCRIEFT!$A$2:$G$8551,2,FALSE),"")</f>
        <v/>
      </c>
      <c r="D1153" s="393" t="str">
        <f>IFERROR(VLOOKUP(A1153,[3]DOORSCRIEFT!$A$2:$G$8551,3,FALSE),"")</f>
        <v/>
      </c>
      <c r="E1153" s="392" t="str">
        <f>IFERROR(VLOOKUP(A1153,[3]DOORSCRIEFT!$A$2:$G$8551,4,FALSE),"")</f>
        <v/>
      </c>
      <c r="F1153" s="405" t="str">
        <f>IFERROR(VLOOKUP(A1153,[3]DOORSCRIEFT!$A$2:$G$8551,6,FALSE),"")</f>
        <v/>
      </c>
      <c r="G1153" s="315"/>
    </row>
    <row r="1154" spans="1:7" x14ac:dyDescent="0.25">
      <c r="A1154" s="339" t="str">
        <f t="shared" si="32"/>
        <v>I.2.2.02.01913</v>
      </c>
      <c r="B1154" s="339">
        <v>13</v>
      </c>
      <c r="C1154" s="394" t="str">
        <f>IFERROR(VLOOKUP(A1154,[3]DOORSCRIEFT!$A$2:$G$8551,2,FALSE),"")</f>
        <v/>
      </c>
      <c r="D1154" s="393" t="str">
        <f>IFERROR(VLOOKUP(A1154,[3]DOORSCRIEFT!$A$2:$G$8551,3,FALSE),"")</f>
        <v/>
      </c>
      <c r="E1154" s="392" t="str">
        <f>IFERROR(VLOOKUP(A1154,[3]DOORSCRIEFT!$A$2:$G$8551,4,FALSE),"")</f>
        <v/>
      </c>
      <c r="F1154" s="405" t="str">
        <f>IFERROR(VLOOKUP(A1154,[3]DOORSCRIEFT!$A$2:$G$8551,6,FALSE),"")</f>
        <v/>
      </c>
      <c r="G1154" s="315"/>
    </row>
    <row r="1155" spans="1:7" x14ac:dyDescent="0.25">
      <c r="A1155" s="339" t="str">
        <f t="shared" si="32"/>
        <v>I.2.2.02.01914</v>
      </c>
      <c r="B1155" s="319">
        <v>14</v>
      </c>
      <c r="C1155" s="394" t="str">
        <f>IFERROR(VLOOKUP(A1155,[3]DOORSCRIEFT!$A$2:$G$8551,2,FALSE),"")</f>
        <v/>
      </c>
      <c r="D1155" s="393" t="str">
        <f>IFERROR(VLOOKUP(A1155,[3]DOORSCRIEFT!$A$2:$G$8551,3,FALSE),"")</f>
        <v/>
      </c>
      <c r="E1155" s="392" t="str">
        <f>IFERROR(VLOOKUP(A1155,[3]DOORSCRIEFT!$A$2:$G$8551,4,FALSE),"")</f>
        <v/>
      </c>
      <c r="F1155" s="405" t="str">
        <f>IFERROR(VLOOKUP(A1155,[3]DOORSCRIEFT!$A$2:$G$8551,6,FALSE),"")</f>
        <v/>
      </c>
      <c r="G1155" s="315"/>
    </row>
    <row r="1156" spans="1:7" x14ac:dyDescent="0.25">
      <c r="A1156" s="339" t="str">
        <f t="shared" si="32"/>
        <v>I.2.2.02.01915</v>
      </c>
      <c r="B1156" s="339">
        <v>15</v>
      </c>
      <c r="C1156" s="394" t="str">
        <f>IFERROR(VLOOKUP(A1156,[3]DOORSCRIEFT!$A$2:$G$8551,2,FALSE),"")</f>
        <v/>
      </c>
      <c r="D1156" s="393" t="str">
        <f>IFERROR(VLOOKUP(A1156,[3]DOORSCRIEFT!$A$2:$G$8551,3,FALSE),"")</f>
        <v/>
      </c>
      <c r="E1156" s="392" t="str">
        <f>IFERROR(VLOOKUP(A1156,[3]DOORSCRIEFT!$A$2:$G$8551,4,FALSE),"")</f>
        <v/>
      </c>
      <c r="F1156" s="405" t="str">
        <f>IFERROR(VLOOKUP(A1156,[3]DOORSCRIEFT!$A$2:$G$8551,6,FALSE),"")</f>
        <v/>
      </c>
      <c r="G1156" s="315"/>
    </row>
    <row r="1157" spans="1:7" x14ac:dyDescent="0.25">
      <c r="A1157" s="339" t="str">
        <f t="shared" si="32"/>
        <v>I.2.2.02.01916</v>
      </c>
      <c r="B1157" s="319">
        <v>16</v>
      </c>
      <c r="C1157" s="394" t="str">
        <f>IFERROR(VLOOKUP(A1157,[3]DOORSCRIEFT!$A$2:$G$8551,2,FALSE),"")</f>
        <v/>
      </c>
      <c r="D1157" s="393" t="str">
        <f>IFERROR(VLOOKUP(A1157,[3]DOORSCRIEFT!$A$2:$G$8551,3,FALSE),"")</f>
        <v/>
      </c>
      <c r="E1157" s="392" t="str">
        <f>IFERROR(VLOOKUP(A1157,[3]DOORSCRIEFT!$A$2:$G$8551,4,FALSE),"")</f>
        <v/>
      </c>
      <c r="F1157" s="405" t="str">
        <f>IFERROR(VLOOKUP(A1157,[3]DOORSCRIEFT!$A$2:$G$8551,6,FALSE),"")</f>
        <v/>
      </c>
      <c r="G1157" s="315"/>
    </row>
    <row r="1158" spans="1:7" x14ac:dyDescent="0.25">
      <c r="A1158" s="339" t="str">
        <f t="shared" si="32"/>
        <v>I.2.2.02.01917</v>
      </c>
      <c r="B1158" s="339">
        <v>17</v>
      </c>
      <c r="C1158" s="394" t="str">
        <f>IFERROR(VLOOKUP(A1158,[3]DOORSCRIEFT!$A$2:$G$8551,2,FALSE),"")</f>
        <v/>
      </c>
      <c r="D1158" s="393" t="str">
        <f>IFERROR(VLOOKUP(A1158,[3]DOORSCRIEFT!$A$2:$G$8551,3,FALSE),"")</f>
        <v/>
      </c>
      <c r="E1158" s="392" t="str">
        <f>IFERROR(VLOOKUP(A1158,[3]DOORSCRIEFT!$A$2:$G$8551,4,FALSE),"")</f>
        <v/>
      </c>
      <c r="F1158" s="405" t="str">
        <f>IFERROR(VLOOKUP(A1158,[3]DOORSCRIEFT!$A$2:$G$8551,6,FALSE),"")</f>
        <v/>
      </c>
      <c r="G1158" s="315"/>
    </row>
    <row r="1159" spans="1:7" x14ac:dyDescent="0.25">
      <c r="A1159" s="339" t="str">
        <f t="shared" si="32"/>
        <v>I.2.2.02.01918</v>
      </c>
      <c r="B1159" s="319">
        <v>18</v>
      </c>
      <c r="C1159" s="394" t="str">
        <f>IFERROR(VLOOKUP(A1159,[3]DOORSCRIEFT!$A$2:$G$8551,2,FALSE),"")</f>
        <v/>
      </c>
      <c r="D1159" s="393" t="str">
        <f>IFERROR(VLOOKUP(A1159,[3]DOORSCRIEFT!$A$2:$G$8551,3,FALSE),"")</f>
        <v/>
      </c>
      <c r="E1159" s="392" t="str">
        <f>IFERROR(VLOOKUP(A1159,[3]DOORSCRIEFT!$A$2:$G$8551,4,FALSE),"")</f>
        <v/>
      </c>
      <c r="F1159" s="405" t="str">
        <f>IFERROR(VLOOKUP(A1159,[3]DOORSCRIEFT!$A$2:$G$8551,6,FALSE),"")</f>
        <v/>
      </c>
      <c r="G1159" s="315"/>
    </row>
    <row r="1160" spans="1:7" x14ac:dyDescent="0.25">
      <c r="A1160" s="339" t="str">
        <f t="shared" si="32"/>
        <v>I.2.2.02.01919</v>
      </c>
      <c r="B1160" s="339">
        <v>19</v>
      </c>
      <c r="C1160" s="394" t="str">
        <f>IFERROR(VLOOKUP(A1160,[3]DOORSCRIEFT!$A$2:$G$8551,2,FALSE),"")</f>
        <v/>
      </c>
      <c r="D1160" s="393" t="str">
        <f>IFERROR(VLOOKUP(A1160,[3]DOORSCRIEFT!$A$2:$G$8551,3,FALSE),"")</f>
        <v/>
      </c>
      <c r="E1160" s="392" t="str">
        <f>IFERROR(VLOOKUP(A1160,[3]DOORSCRIEFT!$A$2:$G$8551,4,FALSE),"")</f>
        <v/>
      </c>
      <c r="F1160" s="405" t="str">
        <f>IFERROR(VLOOKUP(A1160,[3]DOORSCRIEFT!$A$2:$G$8551,6,FALSE),"")</f>
        <v/>
      </c>
      <c r="G1160" s="315"/>
    </row>
    <row r="1161" spans="1:7" x14ac:dyDescent="0.25">
      <c r="A1161" s="339" t="str">
        <f t="shared" si="32"/>
        <v>I.2.2.02.01920</v>
      </c>
      <c r="B1161" s="319">
        <v>20</v>
      </c>
      <c r="C1161" s="394" t="str">
        <f>IFERROR(VLOOKUP(A1161,[3]DOORSCRIEFT!$A$2:$G$8551,2,FALSE),"")</f>
        <v/>
      </c>
      <c r="D1161" s="393" t="str">
        <f>IFERROR(VLOOKUP(A1161,[3]DOORSCRIEFT!$A$2:$G$8551,3,FALSE),"")</f>
        <v/>
      </c>
      <c r="E1161" s="392" t="str">
        <f>IFERROR(VLOOKUP(A1161,[3]DOORSCRIEFT!$A$2:$G$8551,4,FALSE),"")</f>
        <v/>
      </c>
      <c r="F1161" s="405" t="str">
        <f>IFERROR(VLOOKUP(A1161,[3]DOORSCRIEFT!$A$2:$G$8551,6,FALSE),"")</f>
        <v/>
      </c>
      <c r="G1161" s="315"/>
    </row>
    <row r="1162" spans="1:7" x14ac:dyDescent="0.25">
      <c r="A1162" s="339" t="str">
        <f t="shared" si="32"/>
        <v>I.2.2.02.01921</v>
      </c>
      <c r="B1162" s="339">
        <v>21</v>
      </c>
      <c r="C1162" s="394" t="str">
        <f>IFERROR(VLOOKUP(A1162,[3]DOORSCRIEFT!$A$2:$G$8551,2,FALSE),"")</f>
        <v/>
      </c>
      <c r="D1162" s="393" t="str">
        <f>IFERROR(VLOOKUP(A1162,[3]DOORSCRIEFT!$A$2:$G$8551,3,FALSE),"")</f>
        <v/>
      </c>
      <c r="E1162" s="392" t="str">
        <f>IFERROR(VLOOKUP(A1162,[3]DOORSCRIEFT!$A$2:$G$8551,4,FALSE),"")</f>
        <v/>
      </c>
      <c r="F1162" s="405" t="str">
        <f>IFERROR(VLOOKUP(A1162,[3]DOORSCRIEFT!$A$2:$G$8551,6,FALSE),"")</f>
        <v/>
      </c>
      <c r="G1162" s="315"/>
    </row>
    <row r="1163" spans="1:7" x14ac:dyDescent="0.25">
      <c r="A1163" s="339" t="str">
        <f t="shared" si="32"/>
        <v>I.2.2.02.01922</v>
      </c>
      <c r="B1163" s="319">
        <v>22</v>
      </c>
      <c r="C1163" s="394" t="str">
        <f>IFERROR(VLOOKUP(A1163,[3]DOORSCRIEFT!$A$2:$G$8551,2,FALSE),"")</f>
        <v/>
      </c>
      <c r="D1163" s="393" t="str">
        <f>IFERROR(VLOOKUP(A1163,[3]DOORSCRIEFT!$A$2:$G$8551,3,FALSE),"")</f>
        <v/>
      </c>
      <c r="E1163" s="392" t="str">
        <f>IFERROR(VLOOKUP(A1163,[3]DOORSCRIEFT!$A$2:$G$8551,4,FALSE),"")</f>
        <v/>
      </c>
      <c r="F1163" s="405" t="str">
        <f>IFERROR(VLOOKUP(A1163,[3]DOORSCRIEFT!$A$2:$G$8551,6,FALSE),"")</f>
        <v/>
      </c>
      <c r="G1163" s="315"/>
    </row>
    <row r="1164" spans="1:7" x14ac:dyDescent="0.25">
      <c r="A1164" s="339" t="str">
        <f t="shared" si="32"/>
        <v>I.2.2.02.01923</v>
      </c>
      <c r="B1164" s="339">
        <v>23</v>
      </c>
      <c r="C1164" s="394" t="str">
        <f>IFERROR(VLOOKUP(A1164,[3]DOORSCRIEFT!$A$2:$G$8551,2,FALSE),"")</f>
        <v/>
      </c>
      <c r="D1164" s="393" t="str">
        <f>IFERROR(VLOOKUP(A1164,[3]DOORSCRIEFT!$A$2:$G$8551,3,FALSE),"")</f>
        <v/>
      </c>
      <c r="E1164" s="392" t="str">
        <f>IFERROR(VLOOKUP(A1164,[3]DOORSCRIEFT!$A$2:$G$8551,4,FALSE),"")</f>
        <v/>
      </c>
      <c r="F1164" s="405" t="str">
        <f>IFERROR(VLOOKUP(A1164,[3]DOORSCRIEFT!$A$2:$G$8551,6,FALSE),"")</f>
        <v/>
      </c>
      <c r="G1164" s="315"/>
    </row>
    <row r="1165" spans="1:7" x14ac:dyDescent="0.25">
      <c r="A1165" s="339" t="str">
        <f t="shared" si="32"/>
        <v>I.2.2.02.01924</v>
      </c>
      <c r="B1165" s="319">
        <v>24</v>
      </c>
      <c r="C1165" s="394" t="str">
        <f>IFERROR(VLOOKUP(A1165,[3]DOORSCRIEFT!$A$2:$G$8551,2,FALSE),"")</f>
        <v/>
      </c>
      <c r="D1165" s="393" t="str">
        <f>IFERROR(VLOOKUP(A1165,[3]DOORSCRIEFT!$A$2:$G$8551,3,FALSE),"")</f>
        <v/>
      </c>
      <c r="E1165" s="392" t="str">
        <f>IFERROR(VLOOKUP(A1165,[3]DOORSCRIEFT!$A$2:$G$8551,4,FALSE),"")</f>
        <v/>
      </c>
      <c r="F1165" s="405" t="str">
        <f>IFERROR(VLOOKUP(A1165,[3]DOORSCRIEFT!$A$2:$G$8551,6,FALSE),"")</f>
        <v/>
      </c>
      <c r="G1165" s="315"/>
    </row>
    <row r="1166" spans="1:7" x14ac:dyDescent="0.25">
      <c r="A1166" s="339" t="str">
        <f t="shared" si="32"/>
        <v>I.2.2.02.01925</v>
      </c>
      <c r="B1166" s="339">
        <v>25</v>
      </c>
      <c r="C1166" s="394" t="str">
        <f>IFERROR(VLOOKUP(A1166,[3]DOORSCRIEFT!$A$2:$G$8551,2,FALSE),"")</f>
        <v/>
      </c>
      <c r="D1166" s="393" t="str">
        <f>IFERROR(VLOOKUP(A1166,[3]DOORSCRIEFT!$A$2:$G$8551,3,FALSE),"")</f>
        <v/>
      </c>
      <c r="E1166" s="392" t="str">
        <f>IFERROR(VLOOKUP(A1166,[3]DOORSCRIEFT!$A$2:$G$8551,4,FALSE),"")</f>
        <v/>
      </c>
      <c r="F1166" s="405" t="str">
        <f>IFERROR(VLOOKUP(A1166,[3]DOORSCRIEFT!$A$2:$G$8551,6,FALSE),"")</f>
        <v/>
      </c>
      <c r="G1166" s="315"/>
    </row>
    <row r="1167" spans="1:7" x14ac:dyDescent="0.25">
      <c r="A1167" s="339" t="str">
        <f t="shared" si="32"/>
        <v>I.2.2.02.01926</v>
      </c>
      <c r="B1167" s="319">
        <v>26</v>
      </c>
      <c r="C1167" s="394" t="str">
        <f>IFERROR(VLOOKUP(A1167,[3]DOORSCRIEFT!$A$2:$G$8551,2,FALSE),"")</f>
        <v/>
      </c>
      <c r="D1167" s="393" t="str">
        <f>IFERROR(VLOOKUP(A1167,[3]DOORSCRIEFT!$A$2:$G$8551,3,FALSE),"")</f>
        <v/>
      </c>
      <c r="E1167" s="392" t="str">
        <f>IFERROR(VLOOKUP(A1167,[3]DOORSCRIEFT!$A$2:$G$8551,4,FALSE),"")</f>
        <v/>
      </c>
      <c r="F1167" s="405" t="str">
        <f>IFERROR(VLOOKUP(A1167,[3]DOORSCRIEFT!$A$2:$G$8551,6,FALSE),"")</f>
        <v/>
      </c>
      <c r="G1167" s="315"/>
    </row>
    <row r="1168" spans="1:7" x14ac:dyDescent="0.25">
      <c r="A1168" s="339" t="str">
        <f t="shared" si="32"/>
        <v>I.2.2.02.01927</v>
      </c>
      <c r="B1168" s="339">
        <v>27</v>
      </c>
      <c r="C1168" s="394" t="str">
        <f>IFERROR(VLOOKUP(A1168,[3]DOORSCRIEFT!$A$2:$G$8551,2,FALSE),"")</f>
        <v/>
      </c>
      <c r="D1168" s="393" t="str">
        <f>IFERROR(VLOOKUP(A1168,[3]DOORSCRIEFT!$A$2:$G$8551,3,FALSE),"")</f>
        <v/>
      </c>
      <c r="E1168" s="392" t="str">
        <f>IFERROR(VLOOKUP(A1168,[3]DOORSCRIEFT!$A$2:$G$8551,4,FALSE),"")</f>
        <v/>
      </c>
      <c r="F1168" s="405" t="str">
        <f>IFERROR(VLOOKUP(A1168,[3]DOORSCRIEFT!$A$2:$G$8551,6,FALSE),"")</f>
        <v/>
      </c>
      <c r="G1168" s="315"/>
    </row>
    <row r="1169" spans="1:7" x14ac:dyDescent="0.25">
      <c r="A1169" s="339" t="str">
        <f t="shared" si="32"/>
        <v>I.2.2.02.01928</v>
      </c>
      <c r="B1169" s="319">
        <v>28</v>
      </c>
      <c r="C1169" s="394" t="str">
        <f>IFERROR(VLOOKUP(A1169,[3]DOORSCRIEFT!$A$2:$G$8551,2,FALSE),"")</f>
        <v/>
      </c>
      <c r="D1169" s="393" t="str">
        <f>IFERROR(VLOOKUP(A1169,[3]DOORSCRIEFT!$A$2:$G$8551,3,FALSE),"")</f>
        <v/>
      </c>
      <c r="E1169" s="392" t="str">
        <f>IFERROR(VLOOKUP(A1169,[3]DOORSCRIEFT!$A$2:$G$8551,4,FALSE),"")</f>
        <v/>
      </c>
      <c r="F1169" s="405" t="str">
        <f>IFERROR(VLOOKUP(A1169,[3]DOORSCRIEFT!$A$2:$G$8551,6,FALSE),"")</f>
        <v/>
      </c>
      <c r="G1169" s="315"/>
    </row>
    <row r="1170" spans="1:7" x14ac:dyDescent="0.25">
      <c r="A1170" s="339" t="str">
        <f t="shared" si="32"/>
        <v>I.2.2.02.01929</v>
      </c>
      <c r="B1170" s="339">
        <v>29</v>
      </c>
      <c r="C1170" s="394" t="str">
        <f>IFERROR(VLOOKUP(A1170,[3]DOORSCRIEFT!$A$2:$G$8551,2,FALSE),"")</f>
        <v/>
      </c>
      <c r="D1170" s="393" t="str">
        <f>IFERROR(VLOOKUP(A1170,[3]DOORSCRIEFT!$A$2:$G$8551,3,FALSE),"")</f>
        <v/>
      </c>
      <c r="E1170" s="392" t="str">
        <f>IFERROR(VLOOKUP(A1170,[3]DOORSCRIEFT!$A$2:$G$8551,4,FALSE),"")</f>
        <v/>
      </c>
      <c r="F1170" s="405" t="str">
        <f>IFERROR(VLOOKUP(A1170,[3]DOORSCRIEFT!$A$2:$G$8551,6,FALSE),"")</f>
        <v/>
      </c>
      <c r="G1170" s="315"/>
    </row>
    <row r="1171" spans="1:7" x14ac:dyDescent="0.25">
      <c r="A1171" s="339" t="str">
        <f t="shared" si="32"/>
        <v>I.2.2.02.01930</v>
      </c>
      <c r="B1171" s="319">
        <v>30</v>
      </c>
      <c r="C1171" s="394" t="str">
        <f>IFERROR(VLOOKUP(A1171,[3]DOORSCRIEFT!$A$2:$G$8551,2,FALSE),"")</f>
        <v/>
      </c>
      <c r="D1171" s="393" t="str">
        <f>IFERROR(VLOOKUP(A1171,[3]DOORSCRIEFT!$A$2:$G$8551,3,FALSE),"")</f>
        <v/>
      </c>
      <c r="E1171" s="392" t="str">
        <f>IFERROR(VLOOKUP(A1171,[3]DOORSCRIEFT!$A$2:$G$8551,4,FALSE),"")</f>
        <v/>
      </c>
      <c r="F1171" s="405" t="str">
        <f>IFERROR(VLOOKUP(A1171,[3]DOORSCRIEFT!$A$2:$G$8551,6,FALSE),"")</f>
        <v/>
      </c>
      <c r="G1171" s="315"/>
    </row>
    <row r="1172" spans="1:7" x14ac:dyDescent="0.25">
      <c r="A1172" s="339" t="str">
        <f t="shared" si="32"/>
        <v>I.2.2.02.01931</v>
      </c>
      <c r="B1172" s="339">
        <v>31</v>
      </c>
      <c r="C1172" s="394" t="str">
        <f>IFERROR(VLOOKUP(A1172,[3]DOORSCRIEFT!$A$2:$G$8551,2,FALSE),"")</f>
        <v/>
      </c>
      <c r="D1172" s="393" t="str">
        <f>IFERROR(VLOOKUP(A1172,[3]DOORSCRIEFT!$A$2:$G$8551,3,FALSE),"")</f>
        <v/>
      </c>
      <c r="E1172" s="392" t="str">
        <f>IFERROR(VLOOKUP(A1172,[3]DOORSCRIEFT!$A$2:$G$8551,4,FALSE),"")</f>
        <v/>
      </c>
      <c r="F1172" s="405" t="str">
        <f>IFERROR(VLOOKUP(A1172,[3]DOORSCRIEFT!$A$2:$G$8551,6,FALSE),"")</f>
        <v/>
      </c>
      <c r="G1172" s="315"/>
    </row>
    <row r="1173" spans="1:7" x14ac:dyDescent="0.25">
      <c r="A1173" s="339" t="str">
        <f t="shared" si="32"/>
        <v>I.2.2.02.01932</v>
      </c>
      <c r="B1173" s="319">
        <v>32</v>
      </c>
      <c r="C1173" s="394" t="str">
        <f>IFERROR(VLOOKUP(A1173,[3]DOORSCRIEFT!$A$2:$G$8551,2,FALSE),"")</f>
        <v/>
      </c>
      <c r="D1173" s="393" t="str">
        <f>IFERROR(VLOOKUP(A1173,[3]DOORSCRIEFT!$A$2:$G$8551,3,FALSE),"")</f>
        <v/>
      </c>
      <c r="E1173" s="392" t="str">
        <f>IFERROR(VLOOKUP(A1173,[3]DOORSCRIEFT!$A$2:$G$8551,4,FALSE),"")</f>
        <v/>
      </c>
      <c r="F1173" s="405" t="str">
        <f>IFERROR(VLOOKUP(A1173,[3]DOORSCRIEFT!$A$2:$G$8551,6,FALSE),"")</f>
        <v/>
      </c>
      <c r="G1173" s="315"/>
    </row>
    <row r="1174" spans="1:7" x14ac:dyDescent="0.25">
      <c r="A1174" s="339" t="str">
        <f t="shared" ref="A1174:A1205" si="33">$G$1135&amp;B1174</f>
        <v>I.2.2.02.01933</v>
      </c>
      <c r="B1174" s="339">
        <v>33</v>
      </c>
      <c r="C1174" s="394" t="str">
        <f>IFERROR(VLOOKUP(A1174,[3]DOORSCRIEFT!$A$2:$G$8551,2,FALSE),"")</f>
        <v/>
      </c>
      <c r="D1174" s="393" t="str">
        <f>IFERROR(VLOOKUP(A1174,[3]DOORSCRIEFT!$A$2:$G$8551,3,FALSE),"")</f>
        <v/>
      </c>
      <c r="E1174" s="392" t="str">
        <f>IFERROR(VLOOKUP(A1174,[3]DOORSCRIEFT!$A$2:$G$8551,4,FALSE),"")</f>
        <v/>
      </c>
      <c r="F1174" s="405" t="str">
        <f>IFERROR(VLOOKUP(A1174,[3]DOORSCRIEFT!$A$2:$G$8551,6,FALSE),"")</f>
        <v/>
      </c>
      <c r="G1174" s="315"/>
    </row>
    <row r="1175" spans="1:7" x14ac:dyDescent="0.25">
      <c r="A1175" s="339" t="str">
        <f t="shared" si="33"/>
        <v>I.2.2.02.01934</v>
      </c>
      <c r="B1175" s="319">
        <v>34</v>
      </c>
      <c r="C1175" s="394" t="str">
        <f>IFERROR(VLOOKUP(A1175,[3]DOORSCRIEFT!$A$2:$G$8551,2,FALSE),"")</f>
        <v/>
      </c>
      <c r="D1175" s="393" t="str">
        <f>IFERROR(VLOOKUP(A1175,[3]DOORSCRIEFT!$A$2:$G$8551,3,FALSE),"")</f>
        <v/>
      </c>
      <c r="E1175" s="392" t="str">
        <f>IFERROR(VLOOKUP(A1175,[3]DOORSCRIEFT!$A$2:$G$8551,4,FALSE),"")</f>
        <v/>
      </c>
      <c r="F1175" s="405" t="str">
        <f>IFERROR(VLOOKUP(A1175,[3]DOORSCRIEFT!$A$2:$G$8551,6,FALSE),"")</f>
        <v/>
      </c>
      <c r="G1175" s="315"/>
    </row>
    <row r="1176" spans="1:7" x14ac:dyDescent="0.25">
      <c r="A1176" s="339" t="str">
        <f t="shared" si="33"/>
        <v>I.2.2.02.01935</v>
      </c>
      <c r="B1176" s="339">
        <v>35</v>
      </c>
      <c r="C1176" s="394" t="str">
        <f>IFERROR(VLOOKUP(A1176,[3]DOORSCRIEFT!$A$2:$G$8551,2,FALSE),"")</f>
        <v/>
      </c>
      <c r="D1176" s="393" t="str">
        <f>IFERROR(VLOOKUP(A1176,[3]DOORSCRIEFT!$A$2:$G$8551,3,FALSE),"")</f>
        <v/>
      </c>
      <c r="E1176" s="392" t="str">
        <f>IFERROR(VLOOKUP(A1176,[3]DOORSCRIEFT!$A$2:$G$8551,4,FALSE),"")</f>
        <v/>
      </c>
      <c r="F1176" s="405" t="str">
        <f>IFERROR(VLOOKUP(A1176,[3]DOORSCRIEFT!$A$2:$G$8551,6,FALSE),"")</f>
        <v/>
      </c>
      <c r="G1176" s="315"/>
    </row>
    <row r="1177" spans="1:7" x14ac:dyDescent="0.25">
      <c r="A1177" s="339" t="str">
        <f t="shared" si="33"/>
        <v>I.2.2.02.01936</v>
      </c>
      <c r="B1177" s="319">
        <v>36</v>
      </c>
      <c r="C1177" s="394" t="str">
        <f>IFERROR(VLOOKUP(A1177,[3]DOORSCRIEFT!$A$2:$G$8551,2,FALSE),"")</f>
        <v/>
      </c>
      <c r="D1177" s="393" t="str">
        <f>IFERROR(VLOOKUP(A1177,[3]DOORSCRIEFT!$A$2:$G$8551,3,FALSE),"")</f>
        <v/>
      </c>
      <c r="E1177" s="392" t="str">
        <f>IFERROR(VLOOKUP(A1177,[3]DOORSCRIEFT!$A$2:$G$8551,4,FALSE),"")</f>
        <v/>
      </c>
      <c r="F1177" s="405" t="str">
        <f>IFERROR(VLOOKUP(A1177,[3]DOORSCRIEFT!$A$2:$G$8551,6,FALSE),"")</f>
        <v/>
      </c>
      <c r="G1177" s="315"/>
    </row>
    <row r="1178" spans="1:7" x14ac:dyDescent="0.25">
      <c r="A1178" s="339" t="str">
        <f t="shared" si="33"/>
        <v>I.2.2.02.01937</v>
      </c>
      <c r="B1178" s="339">
        <v>37</v>
      </c>
      <c r="C1178" s="394" t="str">
        <f>IFERROR(VLOOKUP(A1178,[3]DOORSCRIEFT!$A$2:$G$8551,2,FALSE),"")</f>
        <v/>
      </c>
      <c r="D1178" s="393" t="str">
        <f>IFERROR(VLOOKUP(A1178,[3]DOORSCRIEFT!$A$2:$G$8551,3,FALSE),"")</f>
        <v/>
      </c>
      <c r="E1178" s="392" t="str">
        <f>IFERROR(VLOOKUP(A1178,[3]DOORSCRIEFT!$A$2:$G$8551,4,FALSE),"")</f>
        <v/>
      </c>
      <c r="F1178" s="405" t="str">
        <f>IFERROR(VLOOKUP(A1178,[3]DOORSCRIEFT!$A$2:$G$8551,6,FALSE),"")</f>
        <v/>
      </c>
      <c r="G1178" s="315"/>
    </row>
    <row r="1179" spans="1:7" x14ac:dyDescent="0.25">
      <c r="A1179" s="339" t="str">
        <f t="shared" si="33"/>
        <v>I.2.2.02.01938</v>
      </c>
      <c r="B1179" s="319">
        <v>38</v>
      </c>
      <c r="C1179" s="394" t="str">
        <f>IFERROR(VLOOKUP(A1179,[3]DOORSCRIEFT!$A$2:$G$8551,2,FALSE),"")</f>
        <v/>
      </c>
      <c r="D1179" s="393" t="str">
        <f>IFERROR(VLOOKUP(A1179,[3]DOORSCRIEFT!$A$2:$G$8551,3,FALSE),"")</f>
        <v/>
      </c>
      <c r="E1179" s="392" t="str">
        <f>IFERROR(VLOOKUP(A1179,[3]DOORSCRIEFT!$A$2:$G$8551,4,FALSE),"")</f>
        <v/>
      </c>
      <c r="F1179" s="405" t="str">
        <f>IFERROR(VLOOKUP(A1179,[3]DOORSCRIEFT!$A$2:$G$8551,6,FALSE),"")</f>
        <v/>
      </c>
      <c r="G1179" s="315"/>
    </row>
    <row r="1180" spans="1:7" x14ac:dyDescent="0.25">
      <c r="A1180" s="339" t="str">
        <f t="shared" si="33"/>
        <v>I.2.2.02.01939</v>
      </c>
      <c r="B1180" s="339">
        <v>39</v>
      </c>
      <c r="C1180" s="394" t="str">
        <f>IFERROR(VLOOKUP(A1180,[3]DOORSCRIEFT!$A$2:$G$8551,2,FALSE),"")</f>
        <v/>
      </c>
      <c r="D1180" s="393" t="str">
        <f>IFERROR(VLOOKUP(A1180,[3]DOORSCRIEFT!$A$2:$G$8551,3,FALSE),"")</f>
        <v/>
      </c>
      <c r="E1180" s="392" t="str">
        <f>IFERROR(VLOOKUP(A1180,[3]DOORSCRIEFT!$A$2:$G$8551,4,FALSE),"")</f>
        <v/>
      </c>
      <c r="F1180" s="405" t="str">
        <f>IFERROR(VLOOKUP(A1180,[3]DOORSCRIEFT!$A$2:$G$8551,6,FALSE),"")</f>
        <v/>
      </c>
      <c r="G1180" s="315"/>
    </row>
    <row r="1181" spans="1:7" x14ac:dyDescent="0.25">
      <c r="A1181" s="339" t="str">
        <f t="shared" si="33"/>
        <v>I.2.2.02.01940</v>
      </c>
      <c r="B1181" s="319">
        <v>40</v>
      </c>
      <c r="C1181" s="394" t="str">
        <f>IFERROR(VLOOKUP(A1181,[3]DOORSCRIEFT!$A$2:$G$8551,2,FALSE),"")</f>
        <v/>
      </c>
      <c r="D1181" s="393" t="str">
        <f>IFERROR(VLOOKUP(A1181,[3]DOORSCRIEFT!$A$2:$G$8551,3,FALSE),"")</f>
        <v/>
      </c>
      <c r="E1181" s="392" t="str">
        <f>IFERROR(VLOOKUP(A1181,[3]DOORSCRIEFT!$A$2:$G$8551,4,FALSE),"")</f>
        <v/>
      </c>
      <c r="F1181" s="405" t="str">
        <f>IFERROR(VLOOKUP(A1181,[3]DOORSCRIEFT!$A$2:$G$8551,6,FALSE),"")</f>
        <v/>
      </c>
      <c r="G1181" s="315"/>
    </row>
    <row r="1182" spans="1:7" x14ac:dyDescent="0.25">
      <c r="A1182" s="339" t="str">
        <f t="shared" si="33"/>
        <v>I.2.2.02.01941</v>
      </c>
      <c r="B1182" s="339">
        <v>41</v>
      </c>
      <c r="C1182" s="394" t="str">
        <f>IFERROR(VLOOKUP(A1182,[3]DOORSCRIEFT!$A$2:$G$8551,2,FALSE),"")</f>
        <v/>
      </c>
      <c r="D1182" s="393" t="str">
        <f>IFERROR(VLOOKUP(A1182,[3]DOORSCRIEFT!$A$2:$G$8551,3,FALSE),"")</f>
        <v/>
      </c>
      <c r="E1182" s="392" t="str">
        <f>IFERROR(VLOOKUP(A1182,[3]DOORSCRIEFT!$A$2:$G$8551,4,FALSE),"")</f>
        <v/>
      </c>
      <c r="F1182" s="405" t="str">
        <f>IFERROR(VLOOKUP(A1182,[3]DOORSCRIEFT!$A$2:$G$8551,6,FALSE),"")</f>
        <v/>
      </c>
      <c r="G1182" s="315"/>
    </row>
    <row r="1183" spans="1:7" x14ac:dyDescent="0.25">
      <c r="A1183" s="339" t="str">
        <f t="shared" si="33"/>
        <v>I.2.2.02.01942</v>
      </c>
      <c r="B1183" s="319">
        <v>42</v>
      </c>
      <c r="C1183" s="394" t="str">
        <f>IFERROR(VLOOKUP(A1183,[3]DOORSCRIEFT!$A$2:$G$8551,2,FALSE),"")</f>
        <v/>
      </c>
      <c r="D1183" s="393" t="str">
        <f>IFERROR(VLOOKUP(A1183,[3]DOORSCRIEFT!$A$2:$G$8551,3,FALSE),"")</f>
        <v/>
      </c>
      <c r="E1183" s="392" t="str">
        <f>IFERROR(VLOOKUP(A1183,[3]DOORSCRIEFT!$A$2:$G$8551,4,FALSE),"")</f>
        <v/>
      </c>
      <c r="F1183" s="405" t="str">
        <f>IFERROR(VLOOKUP(A1183,[3]DOORSCRIEFT!$A$2:$G$8551,6,FALSE),"")</f>
        <v/>
      </c>
      <c r="G1183" s="315"/>
    </row>
    <row r="1184" spans="1:7" x14ac:dyDescent="0.25">
      <c r="A1184" s="339" t="str">
        <f t="shared" si="33"/>
        <v>I.2.2.02.01943</v>
      </c>
      <c r="B1184" s="339">
        <v>43</v>
      </c>
      <c r="C1184" s="394" t="str">
        <f>IFERROR(VLOOKUP(A1184,[3]DOORSCRIEFT!$A$2:$G$8551,2,FALSE),"")</f>
        <v/>
      </c>
      <c r="D1184" s="393" t="str">
        <f>IFERROR(VLOOKUP(A1184,[3]DOORSCRIEFT!$A$2:$G$8551,3,FALSE),"")</f>
        <v/>
      </c>
      <c r="E1184" s="392" t="str">
        <f>IFERROR(VLOOKUP(A1184,[3]DOORSCRIEFT!$A$2:$G$8551,4,FALSE),"")</f>
        <v/>
      </c>
      <c r="F1184" s="405" t="str">
        <f>IFERROR(VLOOKUP(A1184,[3]DOORSCRIEFT!$A$2:$G$8551,6,FALSE),"")</f>
        <v/>
      </c>
      <c r="G1184" s="315"/>
    </row>
    <row r="1185" spans="1:7" x14ac:dyDescent="0.25">
      <c r="A1185" s="339" t="str">
        <f t="shared" si="33"/>
        <v>I.2.2.02.01944</v>
      </c>
      <c r="B1185" s="319">
        <v>44</v>
      </c>
      <c r="C1185" s="394" t="str">
        <f>IFERROR(VLOOKUP(A1185,[3]DOORSCRIEFT!$A$2:$G$8551,2,FALSE),"")</f>
        <v/>
      </c>
      <c r="D1185" s="393" t="str">
        <f>IFERROR(VLOOKUP(A1185,[3]DOORSCRIEFT!$A$2:$G$8551,3,FALSE),"")</f>
        <v/>
      </c>
      <c r="E1185" s="392" t="str">
        <f>IFERROR(VLOOKUP(A1185,[3]DOORSCRIEFT!$A$2:$G$8551,4,FALSE),"")</f>
        <v/>
      </c>
      <c r="F1185" s="405" t="str">
        <f>IFERROR(VLOOKUP(A1185,[3]DOORSCRIEFT!$A$2:$G$8551,6,FALSE),"")</f>
        <v/>
      </c>
      <c r="G1185" s="315"/>
    </row>
    <row r="1186" spans="1:7" x14ac:dyDescent="0.25">
      <c r="A1186" s="339" t="str">
        <f t="shared" si="33"/>
        <v>I.2.2.02.01945</v>
      </c>
      <c r="B1186" s="339">
        <v>45</v>
      </c>
      <c r="C1186" s="394" t="str">
        <f>IFERROR(VLOOKUP(A1186,[3]DOORSCRIEFT!$A$2:$G$8551,2,FALSE),"")</f>
        <v/>
      </c>
      <c r="D1186" s="393" t="str">
        <f>IFERROR(VLOOKUP(A1186,[3]DOORSCRIEFT!$A$2:$G$8551,3,FALSE),"")</f>
        <v/>
      </c>
      <c r="E1186" s="392" t="str">
        <f>IFERROR(VLOOKUP(A1186,[3]DOORSCRIEFT!$A$2:$G$8551,4,FALSE),"")</f>
        <v/>
      </c>
      <c r="F1186" s="405" t="str">
        <f>IFERROR(VLOOKUP(A1186,[3]DOORSCRIEFT!$A$2:$G$8551,6,FALSE),"")</f>
        <v/>
      </c>
      <c r="G1186" s="315"/>
    </row>
    <row r="1187" spans="1:7" x14ac:dyDescent="0.25">
      <c r="A1187" s="339" t="str">
        <f t="shared" si="33"/>
        <v>I.2.2.02.01946</v>
      </c>
      <c r="B1187" s="319">
        <v>46</v>
      </c>
      <c r="C1187" s="394" t="str">
        <f>IFERROR(VLOOKUP(A1187,[3]DOORSCRIEFT!$A$2:$G$8551,2,FALSE),"")</f>
        <v/>
      </c>
      <c r="D1187" s="393" t="str">
        <f>IFERROR(VLOOKUP(A1187,[3]DOORSCRIEFT!$A$2:$G$8551,3,FALSE),"")</f>
        <v/>
      </c>
      <c r="E1187" s="392" t="str">
        <f>IFERROR(VLOOKUP(A1187,[3]DOORSCRIEFT!$A$2:$G$8551,4,FALSE),"")</f>
        <v/>
      </c>
      <c r="F1187" s="405" t="str">
        <f>IFERROR(VLOOKUP(A1187,[3]DOORSCRIEFT!$A$2:$G$8551,6,FALSE),"")</f>
        <v/>
      </c>
      <c r="G1187" s="315"/>
    </row>
    <row r="1188" spans="1:7" x14ac:dyDescent="0.25">
      <c r="A1188" s="339" t="str">
        <f t="shared" si="33"/>
        <v>I.2.2.02.01947</v>
      </c>
      <c r="B1188" s="339">
        <v>47</v>
      </c>
      <c r="C1188" s="394" t="str">
        <f>IFERROR(VLOOKUP(A1188,[3]DOORSCRIEFT!$A$2:$G$8551,2,FALSE),"")</f>
        <v/>
      </c>
      <c r="D1188" s="393" t="str">
        <f>IFERROR(VLOOKUP(A1188,[3]DOORSCRIEFT!$A$2:$G$8551,3,FALSE),"")</f>
        <v/>
      </c>
      <c r="E1188" s="392" t="str">
        <f>IFERROR(VLOOKUP(A1188,[3]DOORSCRIEFT!$A$2:$G$8551,4,FALSE),"")</f>
        <v/>
      </c>
      <c r="F1188" s="405" t="str">
        <f>IFERROR(VLOOKUP(A1188,[3]DOORSCRIEFT!$A$2:$G$8551,6,FALSE),"")</f>
        <v/>
      </c>
      <c r="G1188" s="315"/>
    </row>
    <row r="1189" spans="1:7" x14ac:dyDescent="0.25">
      <c r="A1189" s="339" t="str">
        <f t="shared" si="33"/>
        <v>I.2.2.02.01948</v>
      </c>
      <c r="B1189" s="319">
        <v>48</v>
      </c>
      <c r="C1189" s="394" t="str">
        <f>IFERROR(VLOOKUP(A1189,[3]DOORSCRIEFT!$A$2:$G$8551,2,FALSE),"")</f>
        <v/>
      </c>
      <c r="D1189" s="393" t="str">
        <f>IFERROR(VLOOKUP(A1189,[3]DOORSCRIEFT!$A$2:$G$8551,3,FALSE),"")</f>
        <v/>
      </c>
      <c r="E1189" s="392" t="str">
        <f>IFERROR(VLOOKUP(A1189,[3]DOORSCRIEFT!$A$2:$G$8551,4,FALSE),"")</f>
        <v/>
      </c>
      <c r="F1189" s="405" t="str">
        <f>IFERROR(VLOOKUP(A1189,[3]DOORSCRIEFT!$A$2:$G$8551,6,FALSE),"")</f>
        <v/>
      </c>
      <c r="G1189" s="315"/>
    </row>
    <row r="1190" spans="1:7" x14ac:dyDescent="0.25">
      <c r="A1190" s="339" t="str">
        <f t="shared" si="33"/>
        <v>I.2.2.02.01949</v>
      </c>
      <c r="B1190" s="339">
        <v>49</v>
      </c>
      <c r="C1190" s="394" t="str">
        <f>IFERROR(VLOOKUP(A1190,[3]DOORSCRIEFT!$A$2:$G$8551,2,FALSE),"")</f>
        <v/>
      </c>
      <c r="D1190" s="393" t="str">
        <f>IFERROR(VLOOKUP(A1190,[3]DOORSCRIEFT!$A$2:$G$8551,3,FALSE),"")</f>
        <v/>
      </c>
      <c r="E1190" s="392" t="str">
        <f>IFERROR(VLOOKUP(A1190,[3]DOORSCRIEFT!$A$2:$G$8551,4,FALSE),"")</f>
        <v/>
      </c>
      <c r="F1190" s="405" t="str">
        <f>IFERROR(VLOOKUP(A1190,[3]DOORSCRIEFT!$A$2:$G$8551,6,FALSE),"")</f>
        <v/>
      </c>
      <c r="G1190" s="315"/>
    </row>
    <row r="1191" spans="1:7" x14ac:dyDescent="0.25">
      <c r="A1191" s="339" t="str">
        <f t="shared" si="33"/>
        <v>I.2.2.02.01950</v>
      </c>
      <c r="B1191" s="319">
        <v>50</v>
      </c>
      <c r="C1191" s="394" t="str">
        <f>IFERROR(VLOOKUP(A1191,[3]DOORSCRIEFT!$A$2:$G$8551,2,FALSE),"")</f>
        <v/>
      </c>
      <c r="D1191" s="393" t="str">
        <f>IFERROR(VLOOKUP(A1191,[3]DOORSCRIEFT!$A$2:$G$8551,3,FALSE),"")</f>
        <v/>
      </c>
      <c r="E1191" s="392" t="str">
        <f>IFERROR(VLOOKUP(A1191,[3]DOORSCRIEFT!$A$2:$G$8551,4,FALSE),"")</f>
        <v/>
      </c>
      <c r="F1191" s="405" t="str">
        <f>IFERROR(VLOOKUP(A1191,[3]DOORSCRIEFT!$A$2:$G$8551,6,FALSE),"")</f>
        <v/>
      </c>
      <c r="G1191" s="315"/>
    </row>
    <row r="1192" spans="1:7" x14ac:dyDescent="0.25">
      <c r="A1192" s="339" t="str">
        <f t="shared" si="33"/>
        <v>I.2.2.02.01951</v>
      </c>
      <c r="B1192" s="339">
        <v>51</v>
      </c>
      <c r="C1192" s="394" t="str">
        <f>IFERROR(VLOOKUP(A1192,[3]DOORSCRIEFT!$A$2:$G$8551,2,FALSE),"")</f>
        <v/>
      </c>
      <c r="D1192" s="393" t="str">
        <f>IFERROR(VLOOKUP(A1192,[3]DOORSCRIEFT!$A$2:$G$8551,3,FALSE),"")</f>
        <v/>
      </c>
      <c r="E1192" s="392" t="str">
        <f>IFERROR(VLOOKUP(A1192,[3]DOORSCRIEFT!$A$2:$G$8551,4,FALSE),"")</f>
        <v/>
      </c>
      <c r="F1192" s="405" t="str">
        <f>IFERROR(VLOOKUP(A1192,[3]DOORSCRIEFT!$A$2:$G$8551,6,FALSE),"")</f>
        <v/>
      </c>
      <c r="G1192" s="315"/>
    </row>
    <row r="1193" spans="1:7" x14ac:dyDescent="0.25">
      <c r="A1193" s="339" t="str">
        <f t="shared" si="33"/>
        <v>I.2.2.02.01952</v>
      </c>
      <c r="B1193" s="319">
        <v>52</v>
      </c>
      <c r="C1193" s="394" t="str">
        <f>IFERROR(VLOOKUP(A1193,[3]DOORSCRIEFT!$A$2:$G$8551,2,FALSE),"")</f>
        <v/>
      </c>
      <c r="D1193" s="393" t="str">
        <f>IFERROR(VLOOKUP(A1193,[3]DOORSCRIEFT!$A$2:$G$8551,3,FALSE),"")</f>
        <v/>
      </c>
      <c r="E1193" s="392" t="str">
        <f>IFERROR(VLOOKUP(A1193,[3]DOORSCRIEFT!$A$2:$G$8551,4,FALSE),"")</f>
        <v/>
      </c>
      <c r="F1193" s="405" t="str">
        <f>IFERROR(VLOOKUP(A1193,[3]DOORSCRIEFT!$A$2:$G$8551,6,FALSE),"")</f>
        <v/>
      </c>
      <c r="G1193" s="315"/>
    </row>
    <row r="1194" spans="1:7" x14ac:dyDescent="0.25">
      <c r="A1194" s="339" t="str">
        <f t="shared" si="33"/>
        <v>I.2.2.02.01953</v>
      </c>
      <c r="B1194" s="339">
        <v>53</v>
      </c>
      <c r="C1194" s="394" t="str">
        <f>IFERROR(VLOOKUP(A1194,[3]DOORSCRIEFT!$A$2:$G$8551,2,FALSE),"")</f>
        <v/>
      </c>
      <c r="D1194" s="393" t="str">
        <f>IFERROR(VLOOKUP(A1194,[3]DOORSCRIEFT!$A$2:$G$8551,3,FALSE),"")</f>
        <v/>
      </c>
      <c r="E1194" s="392" t="str">
        <f>IFERROR(VLOOKUP(A1194,[3]DOORSCRIEFT!$A$2:$G$8551,4,FALSE),"")</f>
        <v/>
      </c>
      <c r="F1194" s="405" t="str">
        <f>IFERROR(VLOOKUP(A1194,[3]DOORSCRIEFT!$A$2:$G$8551,6,FALSE),"")</f>
        <v/>
      </c>
      <c r="G1194" s="315"/>
    </row>
    <row r="1195" spans="1:7" x14ac:dyDescent="0.25">
      <c r="A1195" s="339" t="str">
        <f t="shared" si="33"/>
        <v>I.2.2.02.01954</v>
      </c>
      <c r="B1195" s="319">
        <v>54</v>
      </c>
      <c r="C1195" s="394" t="str">
        <f>IFERROR(VLOOKUP(A1195,[3]DOORSCRIEFT!$A$2:$G$8551,2,FALSE),"")</f>
        <v/>
      </c>
      <c r="D1195" s="393" t="str">
        <f>IFERROR(VLOOKUP(A1195,[3]DOORSCRIEFT!$A$2:$G$8551,3,FALSE),"")</f>
        <v/>
      </c>
      <c r="E1195" s="392" t="str">
        <f>IFERROR(VLOOKUP(A1195,[3]DOORSCRIEFT!$A$2:$G$8551,4,FALSE),"")</f>
        <v/>
      </c>
      <c r="F1195" s="405" t="str">
        <f>IFERROR(VLOOKUP(A1195,[3]DOORSCRIEFT!$A$2:$G$8551,6,FALSE),"")</f>
        <v/>
      </c>
      <c r="G1195" s="315"/>
    </row>
    <row r="1196" spans="1:7" x14ac:dyDescent="0.25">
      <c r="A1196" s="339" t="str">
        <f t="shared" si="33"/>
        <v>I.2.2.02.01955</v>
      </c>
      <c r="B1196" s="339">
        <v>55</v>
      </c>
      <c r="C1196" s="394" t="str">
        <f>IFERROR(VLOOKUP(A1196,[3]DOORSCRIEFT!$A$2:$G$8551,2,FALSE),"")</f>
        <v/>
      </c>
      <c r="D1196" s="393" t="str">
        <f>IFERROR(VLOOKUP(A1196,[3]DOORSCRIEFT!$A$2:$G$8551,3,FALSE),"")</f>
        <v/>
      </c>
      <c r="E1196" s="392" t="str">
        <f>IFERROR(VLOOKUP(A1196,[3]DOORSCRIEFT!$A$2:$G$8551,4,FALSE),"")</f>
        <v/>
      </c>
      <c r="F1196" s="405" t="str">
        <f>IFERROR(VLOOKUP(A1196,[3]DOORSCRIEFT!$A$2:$G$8551,6,FALSE),"")</f>
        <v/>
      </c>
      <c r="G1196" s="315"/>
    </row>
    <row r="1197" spans="1:7" x14ac:dyDescent="0.25">
      <c r="A1197" s="339" t="str">
        <f t="shared" si="33"/>
        <v>I.2.2.02.01956</v>
      </c>
      <c r="B1197" s="319">
        <v>56</v>
      </c>
      <c r="C1197" s="394" t="str">
        <f>IFERROR(VLOOKUP(A1197,[3]DOORSCRIEFT!$A$2:$G$8551,2,FALSE),"")</f>
        <v/>
      </c>
      <c r="D1197" s="393" t="str">
        <f>IFERROR(VLOOKUP(A1197,[3]DOORSCRIEFT!$A$2:$G$8551,3,FALSE),"")</f>
        <v/>
      </c>
      <c r="E1197" s="392" t="str">
        <f>IFERROR(VLOOKUP(A1197,[3]DOORSCRIEFT!$A$2:$G$8551,4,FALSE),"")</f>
        <v/>
      </c>
      <c r="F1197" s="405" t="str">
        <f>IFERROR(VLOOKUP(A1197,[3]DOORSCRIEFT!$A$2:$G$8551,6,FALSE),"")</f>
        <v/>
      </c>
      <c r="G1197" s="315"/>
    </row>
    <row r="1198" spans="1:7" x14ac:dyDescent="0.25">
      <c r="A1198" s="339" t="str">
        <f t="shared" si="33"/>
        <v>I.2.2.02.01957</v>
      </c>
      <c r="B1198" s="339">
        <v>57</v>
      </c>
      <c r="C1198" s="394" t="str">
        <f>IFERROR(VLOOKUP(A1198,[3]DOORSCRIEFT!$A$2:$G$8551,2,FALSE),"")</f>
        <v/>
      </c>
      <c r="D1198" s="393" t="str">
        <f>IFERROR(VLOOKUP(A1198,[3]DOORSCRIEFT!$A$2:$G$8551,3,FALSE),"")</f>
        <v/>
      </c>
      <c r="E1198" s="392" t="str">
        <f>IFERROR(VLOOKUP(A1198,[3]DOORSCRIEFT!$A$2:$G$8551,4,FALSE),"")</f>
        <v/>
      </c>
      <c r="F1198" s="405" t="str">
        <f>IFERROR(VLOOKUP(A1198,[3]DOORSCRIEFT!$A$2:$G$8551,6,FALSE),"")</f>
        <v/>
      </c>
      <c r="G1198" s="315"/>
    </row>
    <row r="1199" spans="1:7" x14ac:dyDescent="0.25">
      <c r="A1199" s="339" t="str">
        <f t="shared" si="33"/>
        <v>I.2.2.02.01958</v>
      </c>
      <c r="B1199" s="319">
        <v>58</v>
      </c>
      <c r="C1199" s="394" t="str">
        <f>IFERROR(VLOOKUP(A1199,[3]DOORSCRIEFT!$A$2:$G$8551,2,FALSE),"")</f>
        <v/>
      </c>
      <c r="D1199" s="393" t="str">
        <f>IFERROR(VLOOKUP(A1199,[3]DOORSCRIEFT!$A$2:$G$8551,3,FALSE),"")</f>
        <v/>
      </c>
      <c r="E1199" s="392" t="str">
        <f>IFERROR(VLOOKUP(A1199,[3]DOORSCRIEFT!$A$2:$G$8551,4,FALSE),"")</f>
        <v/>
      </c>
      <c r="F1199" s="405" t="str">
        <f>IFERROR(VLOOKUP(A1199,[3]DOORSCRIEFT!$A$2:$G$8551,6,FALSE),"")</f>
        <v/>
      </c>
      <c r="G1199" s="315"/>
    </row>
    <row r="1200" spans="1:7" x14ac:dyDescent="0.25">
      <c r="A1200" s="339" t="str">
        <f t="shared" si="33"/>
        <v>I.2.2.02.01959</v>
      </c>
      <c r="B1200" s="339">
        <v>59</v>
      </c>
      <c r="C1200" s="394" t="str">
        <f>IFERROR(VLOOKUP(A1200,[3]DOORSCRIEFT!$A$2:$G$8551,2,FALSE),"")</f>
        <v/>
      </c>
      <c r="D1200" s="393" t="str">
        <f>IFERROR(VLOOKUP(A1200,[3]DOORSCRIEFT!$A$2:$G$8551,3,FALSE),"")</f>
        <v/>
      </c>
      <c r="E1200" s="392" t="str">
        <f>IFERROR(VLOOKUP(A1200,[3]DOORSCRIEFT!$A$2:$G$8551,4,FALSE),"")</f>
        <v/>
      </c>
      <c r="F1200" s="405" t="str">
        <f>IFERROR(VLOOKUP(A1200,[3]DOORSCRIEFT!$A$2:$G$8551,6,FALSE),"")</f>
        <v/>
      </c>
      <c r="G1200" s="315"/>
    </row>
    <row r="1201" spans="1:7" x14ac:dyDescent="0.25">
      <c r="A1201" s="339" t="str">
        <f t="shared" si="33"/>
        <v>I.2.2.02.01960</v>
      </c>
      <c r="B1201" s="319">
        <v>60</v>
      </c>
      <c r="C1201" s="394" t="str">
        <f>IFERROR(VLOOKUP(A1201,[3]DOORSCRIEFT!$A$2:$G$8551,2,FALSE),"")</f>
        <v/>
      </c>
      <c r="D1201" s="393" t="str">
        <f>IFERROR(VLOOKUP(A1201,[3]DOORSCRIEFT!$A$2:$G$8551,3,FALSE),"")</f>
        <v/>
      </c>
      <c r="E1201" s="392" t="str">
        <f>IFERROR(VLOOKUP(A1201,[3]DOORSCRIEFT!$A$2:$G$8551,4,FALSE),"")</f>
        <v/>
      </c>
      <c r="F1201" s="405" t="str">
        <f>IFERROR(VLOOKUP(A1201,[3]DOORSCRIEFT!$A$2:$G$8551,6,FALSE),"")</f>
        <v/>
      </c>
      <c r="G1201" s="315"/>
    </row>
    <row r="1202" spans="1:7" x14ac:dyDescent="0.25">
      <c r="A1202" s="339" t="str">
        <f t="shared" si="33"/>
        <v>I.2.2.02.01961</v>
      </c>
      <c r="B1202" s="339">
        <v>61</v>
      </c>
      <c r="C1202" s="394" t="str">
        <f>IFERROR(VLOOKUP(A1202,[3]DOORSCRIEFT!$A$2:$G$8551,2,FALSE),"")</f>
        <v/>
      </c>
      <c r="D1202" s="393" t="str">
        <f>IFERROR(VLOOKUP(A1202,[3]DOORSCRIEFT!$A$2:$G$8551,3,FALSE),"")</f>
        <v/>
      </c>
      <c r="E1202" s="392" t="str">
        <f>IFERROR(VLOOKUP(A1202,[3]DOORSCRIEFT!$A$2:$G$8551,4,FALSE),"")</f>
        <v/>
      </c>
      <c r="F1202" s="405" t="str">
        <f>IFERROR(VLOOKUP(A1202,[3]DOORSCRIEFT!$A$2:$G$8551,6,FALSE),"")</f>
        <v/>
      </c>
      <c r="G1202" s="315"/>
    </row>
    <row r="1203" spans="1:7" x14ac:dyDescent="0.25">
      <c r="A1203" s="339" t="str">
        <f t="shared" si="33"/>
        <v>I.2.2.02.01962</v>
      </c>
      <c r="B1203" s="319">
        <v>62</v>
      </c>
      <c r="C1203" s="394" t="str">
        <f>IFERROR(VLOOKUP(A1203,[3]DOORSCRIEFT!$A$2:$G$8551,2,FALSE),"")</f>
        <v/>
      </c>
      <c r="D1203" s="393" t="str">
        <f>IFERROR(VLOOKUP(A1203,[3]DOORSCRIEFT!$A$2:$G$8551,3,FALSE),"")</f>
        <v/>
      </c>
      <c r="E1203" s="392" t="str">
        <f>IFERROR(VLOOKUP(A1203,[3]DOORSCRIEFT!$A$2:$G$8551,4,FALSE),"")</f>
        <v/>
      </c>
      <c r="F1203" s="405" t="str">
        <f>IFERROR(VLOOKUP(A1203,[3]DOORSCRIEFT!$A$2:$G$8551,6,FALSE),"")</f>
        <v/>
      </c>
      <c r="G1203" s="315"/>
    </row>
    <row r="1204" spans="1:7" x14ac:dyDescent="0.25">
      <c r="A1204" s="339" t="str">
        <f t="shared" si="33"/>
        <v>I.2.2.02.01963</v>
      </c>
      <c r="B1204" s="339">
        <v>63</v>
      </c>
      <c r="C1204" s="394" t="str">
        <f>IFERROR(VLOOKUP(A1204,[3]DOORSCRIEFT!$A$2:$G$8551,2,FALSE),"")</f>
        <v/>
      </c>
      <c r="D1204" s="393" t="str">
        <f>IFERROR(VLOOKUP(A1204,[3]DOORSCRIEFT!$A$2:$G$8551,3,FALSE),"")</f>
        <v/>
      </c>
      <c r="E1204" s="392" t="str">
        <f>IFERROR(VLOOKUP(A1204,[3]DOORSCRIEFT!$A$2:$G$8551,4,FALSE),"")</f>
        <v/>
      </c>
      <c r="F1204" s="405" t="str">
        <f>IFERROR(VLOOKUP(A1204,[3]DOORSCRIEFT!$A$2:$G$8551,6,FALSE),"")</f>
        <v/>
      </c>
      <c r="G1204" s="315"/>
    </row>
    <row r="1205" spans="1:7" x14ac:dyDescent="0.25">
      <c r="A1205" s="339" t="str">
        <f t="shared" si="33"/>
        <v>I.2.2.02.01964</v>
      </c>
      <c r="B1205" s="319">
        <v>64</v>
      </c>
      <c r="C1205" s="394" t="str">
        <f>IFERROR(VLOOKUP(A1205,[3]DOORSCRIEFT!$A$2:$G$8551,2,FALSE),"")</f>
        <v/>
      </c>
      <c r="D1205" s="393" t="str">
        <f>IFERROR(VLOOKUP(A1205,[3]DOORSCRIEFT!$A$2:$G$8551,3,FALSE),"")</f>
        <v/>
      </c>
      <c r="E1205" s="392" t="str">
        <f>IFERROR(VLOOKUP(A1205,[3]DOORSCRIEFT!$A$2:$G$8551,4,FALSE),"")</f>
        <v/>
      </c>
      <c r="F1205" s="405" t="str">
        <f>IFERROR(VLOOKUP(A1205,[3]DOORSCRIEFT!$A$2:$G$8551,6,FALSE),"")</f>
        <v/>
      </c>
      <c r="G1205" s="315"/>
    </row>
    <row r="1206" spans="1:7" x14ac:dyDescent="0.25">
      <c r="A1206" s="339" t="str">
        <f t="shared" ref="A1206:A1237" si="34">$G$1135&amp;B1206</f>
        <v>I.2.2.02.01965</v>
      </c>
      <c r="B1206" s="339">
        <v>65</v>
      </c>
      <c r="C1206" s="394" t="str">
        <f>IFERROR(VLOOKUP(A1206,[3]DOORSCRIEFT!$A$2:$G$8551,2,FALSE),"")</f>
        <v/>
      </c>
      <c r="D1206" s="393" t="str">
        <f>IFERROR(VLOOKUP(A1206,[3]DOORSCRIEFT!$A$2:$G$8551,3,FALSE),"")</f>
        <v/>
      </c>
      <c r="E1206" s="392" t="str">
        <f>IFERROR(VLOOKUP(A1206,[3]DOORSCRIEFT!$A$2:$G$8551,4,FALSE),"")</f>
        <v/>
      </c>
      <c r="F1206" s="405" t="str">
        <f>IFERROR(VLOOKUP(A1206,[3]DOORSCRIEFT!$A$2:$G$8551,6,FALSE),"")</f>
        <v/>
      </c>
      <c r="G1206" s="315"/>
    </row>
    <row r="1207" spans="1:7" x14ac:dyDescent="0.25">
      <c r="A1207" s="339" t="str">
        <f t="shared" si="34"/>
        <v>I.2.2.02.01966</v>
      </c>
      <c r="B1207" s="319">
        <v>66</v>
      </c>
      <c r="C1207" s="394" t="str">
        <f>IFERROR(VLOOKUP(A1207,[3]DOORSCRIEFT!$A$2:$G$8551,2,FALSE),"")</f>
        <v/>
      </c>
      <c r="D1207" s="393" t="str">
        <f>IFERROR(VLOOKUP(A1207,[3]DOORSCRIEFT!$A$2:$G$8551,3,FALSE),"")</f>
        <v/>
      </c>
      <c r="E1207" s="392" t="str">
        <f>IFERROR(VLOOKUP(A1207,[3]DOORSCRIEFT!$A$2:$G$8551,4,FALSE),"")</f>
        <v/>
      </c>
      <c r="F1207" s="405" t="str">
        <f>IFERROR(VLOOKUP(A1207,[3]DOORSCRIEFT!$A$2:$G$8551,6,FALSE),"")</f>
        <v/>
      </c>
      <c r="G1207" s="315"/>
    </row>
    <row r="1208" spans="1:7" ht="15.75" thickBot="1" x14ac:dyDescent="0.3">
      <c r="A1208" s="353" t="str">
        <f t="shared" si="34"/>
        <v>I.2.2.02.01967</v>
      </c>
      <c r="B1208" s="353">
        <v>67</v>
      </c>
      <c r="C1208" s="394" t="str">
        <f>IFERROR(VLOOKUP(A1208,[3]DOORSCRIEFT!$A$2:$G$8551,2,FALSE),"")</f>
        <v/>
      </c>
      <c r="D1208" s="393" t="str">
        <f>IFERROR(VLOOKUP(A1208,[3]DOORSCRIEFT!$A$2:$G$8551,3,FALSE),"")</f>
        <v/>
      </c>
      <c r="E1208" s="392" t="str">
        <f>IFERROR(VLOOKUP(A1208,[3]DOORSCRIEFT!$A$2:$G$8551,4,FALSE),"")</f>
        <v/>
      </c>
      <c r="F1208" s="405" t="str">
        <f>IFERROR(VLOOKUP(A1208,[3]DOORSCRIEFT!$A$2:$G$8551,6,FALSE),"")</f>
        <v/>
      </c>
      <c r="G1208" s="315"/>
    </row>
    <row r="1209" spans="1:7" ht="15.75" thickBot="1" x14ac:dyDescent="0.3">
      <c r="A1209" s="314"/>
      <c r="B1209" s="312"/>
      <c r="C1209" s="313"/>
      <c r="D1209" s="312"/>
      <c r="E1209" s="311" t="s">
        <v>644</v>
      </c>
      <c r="F1209" s="310">
        <f>SUM(F1142:F1208)</f>
        <v>8182000</v>
      </c>
      <c r="G1209" s="309">
        <f>SUM(G1147:G1208)</f>
        <v>0</v>
      </c>
    </row>
    <row r="1212" spans="1:7" ht="15.75" x14ac:dyDescent="0.25">
      <c r="C1212" s="332"/>
      <c r="D1212" s="333"/>
      <c r="E1212" s="332"/>
      <c r="F1212" s="327" t="s">
        <v>607</v>
      </c>
      <c r="G1212" s="327" t="s">
        <v>508</v>
      </c>
    </row>
    <row r="1213" spans="1:7" ht="15.75" x14ac:dyDescent="0.25">
      <c r="C1213" s="332"/>
      <c r="D1213" s="333"/>
      <c r="E1213" s="332"/>
      <c r="F1213" s="327" t="s">
        <v>601</v>
      </c>
      <c r="G1213" s="327" t="s">
        <v>507</v>
      </c>
    </row>
    <row r="1214" spans="1:7" x14ac:dyDescent="0.25">
      <c r="C1214" s="328"/>
      <c r="D1214" s="329"/>
      <c r="E1214" s="328"/>
      <c r="F1214" s="327" t="s">
        <v>651</v>
      </c>
      <c r="G1214" s="331">
        <f>[2]Sheet1!$D$46</f>
        <v>67584000</v>
      </c>
    </row>
    <row r="1215" spans="1:7" ht="15.75" thickBot="1" x14ac:dyDescent="0.3">
      <c r="C1215" s="328"/>
      <c r="D1215" s="329"/>
      <c r="E1215" s="328"/>
      <c r="F1215" s="327" t="s">
        <v>650</v>
      </c>
      <c r="G1215" s="326">
        <f>+F1268-G1214</f>
        <v>-56483000</v>
      </c>
    </row>
    <row r="1216" spans="1:7" x14ac:dyDescent="0.25">
      <c r="A1216" s="571" t="s">
        <v>655</v>
      </c>
      <c r="B1216" s="571" t="s">
        <v>606</v>
      </c>
      <c r="C1216" s="588" t="s">
        <v>649</v>
      </c>
      <c r="D1216" s="577" t="s">
        <v>648</v>
      </c>
      <c r="E1216" s="577" t="s">
        <v>647</v>
      </c>
      <c r="F1216" s="577" t="s">
        <v>646</v>
      </c>
      <c r="G1216" s="580" t="s">
        <v>645</v>
      </c>
    </row>
    <row r="1217" spans="1:7" ht="15.75" thickBot="1" x14ac:dyDescent="0.3">
      <c r="A1217" s="572"/>
      <c r="B1217" s="572"/>
      <c r="C1217" s="589"/>
      <c r="D1217" s="586"/>
      <c r="E1217" s="586"/>
      <c r="F1217" s="586"/>
      <c r="G1217" s="587"/>
    </row>
    <row r="1218" spans="1:7" ht="15.75" thickBot="1" x14ac:dyDescent="0.3">
      <c r="A1218" s="325">
        <v>1</v>
      </c>
      <c r="B1218" s="324">
        <v>2</v>
      </c>
      <c r="C1218" s="324">
        <v>3</v>
      </c>
      <c r="D1218" s="324">
        <v>4</v>
      </c>
      <c r="E1218" s="324">
        <v>5</v>
      </c>
      <c r="F1218" s="324">
        <v>6</v>
      </c>
      <c r="G1218" s="323">
        <v>7</v>
      </c>
    </row>
    <row r="1219" spans="1:7" x14ac:dyDescent="0.25">
      <c r="A1219" s="339" t="str">
        <f t="shared" ref="A1219:A1250" si="35">$G$1212&amp;B1219</f>
        <v>I.2.2.02.0201</v>
      </c>
      <c r="B1219" s="339">
        <v>1</v>
      </c>
      <c r="C1219" s="394">
        <f>IFERROR(VLOOKUP(A1219,[3]DOORSCRIEFT!$A$2:$G$8551,2,FALSE),"")</f>
        <v>73</v>
      </c>
      <c r="D1219" s="393">
        <f>IFERROR(VLOOKUP(A1219,[3]DOORSCRIEFT!$A$2:$G$8551,3,FALSE),"")</f>
        <v>46038</v>
      </c>
      <c r="E1219" s="392" t="str">
        <f>IFERROR(VLOOKUP(A1219,[3]DOORSCRIEFT!$A$2:$G$8551,4,FALSE),"")</f>
        <v>Kolekta Kebaktian Unit</v>
      </c>
      <c r="F1219" s="405">
        <f>IFERROR(VLOOKUP(A1219,[3]DOORSCRIEFT!$A$2:$G$8551,6,FALSE),"")</f>
        <v>2413000</v>
      </c>
      <c r="G1219" s="322"/>
    </row>
    <row r="1220" spans="1:7" x14ac:dyDescent="0.25">
      <c r="A1220" s="339" t="str">
        <f t="shared" si="35"/>
        <v>I.2.2.02.0202</v>
      </c>
      <c r="B1220" s="319">
        <v>2</v>
      </c>
      <c r="C1220" s="394">
        <f>IFERROR(VLOOKUP(A1220,[3]DOORSCRIEFT!$A$2:$G$8551,2,FALSE),"")</f>
        <v>90</v>
      </c>
      <c r="D1220" s="393">
        <f>IFERROR(VLOOKUP(A1220,[3]DOORSCRIEFT!$A$2:$G$8551,3,FALSE),"")</f>
        <v>46045</v>
      </c>
      <c r="E1220" s="392" t="str">
        <f>IFERROR(VLOOKUP(A1220,[3]DOORSCRIEFT!$A$2:$G$8551,4,FALSE),"")</f>
        <v>Kolekta Kebaktian Unit</v>
      </c>
      <c r="F1220" s="405">
        <f>IFERROR(VLOOKUP(A1220,[3]DOORSCRIEFT!$A$2:$G$8551,6,FALSE),"")</f>
        <v>137000</v>
      </c>
      <c r="G1220" s="315"/>
    </row>
    <row r="1221" spans="1:7" x14ac:dyDescent="0.25">
      <c r="A1221" s="339" t="str">
        <f t="shared" si="35"/>
        <v>I.2.2.02.0203</v>
      </c>
      <c r="B1221" s="339">
        <v>3</v>
      </c>
      <c r="C1221" s="394">
        <f>IFERROR(VLOOKUP(A1221,[3]DOORSCRIEFT!$A$2:$G$8551,2,FALSE),"")</f>
        <v>135</v>
      </c>
      <c r="D1221" s="393">
        <f>IFERROR(VLOOKUP(A1221,[3]DOORSCRIEFT!$A$2:$G$8551,3,FALSE),"")</f>
        <v>46052</v>
      </c>
      <c r="E1221" s="392" t="str">
        <f>IFERROR(VLOOKUP(A1221,[3]DOORSCRIEFT!$A$2:$G$8551,4,FALSE),"")</f>
        <v>Kolekta Kebaktian unit Petra</v>
      </c>
      <c r="F1221" s="405">
        <f>IFERROR(VLOOKUP(A1221,[3]DOORSCRIEFT!$A$2:$G$8551,6,FALSE),"")</f>
        <v>207000</v>
      </c>
      <c r="G1221" s="315"/>
    </row>
    <row r="1222" spans="1:7" x14ac:dyDescent="0.25">
      <c r="A1222" s="339" t="str">
        <f t="shared" si="35"/>
        <v>I.2.2.02.0204</v>
      </c>
      <c r="B1222" s="319">
        <v>4</v>
      </c>
      <c r="C1222" s="394">
        <f>IFERROR(VLOOKUP(A1222,[3]DOORSCRIEFT!$A$2:$G$8551,2,FALSE),"")</f>
        <v>262</v>
      </c>
      <c r="D1222" s="393">
        <f>IFERROR(VLOOKUP(A1222,[3]DOORSCRIEFT!$A$2:$G$8551,3,FALSE),"")</f>
        <v>46080</v>
      </c>
      <c r="E1222" s="392" t="str">
        <f>IFERROR(VLOOKUP(A1222,[3]DOORSCRIEFT!$A$2:$G$8551,4,FALSE),"")</f>
        <v>Kolekta Kebaktian Unit</v>
      </c>
      <c r="F1222" s="405">
        <f>IFERROR(VLOOKUP(A1222,[3]DOORSCRIEFT!$A$2:$G$8551,6,FALSE),"")</f>
        <v>2450000</v>
      </c>
      <c r="G1222" s="315"/>
    </row>
    <row r="1223" spans="1:7" x14ac:dyDescent="0.25">
      <c r="A1223" s="339" t="str">
        <f t="shared" si="35"/>
        <v>I.2.2.02.0205</v>
      </c>
      <c r="B1223" s="339">
        <v>5</v>
      </c>
      <c r="C1223" s="394">
        <f>IFERROR(VLOOKUP(A1223,[3]DOORSCRIEFT!$A$2:$G$8551,2,FALSE),"")</f>
        <v>296</v>
      </c>
      <c r="D1223" s="393">
        <f>IFERROR(VLOOKUP(A1223,[3]DOORSCRIEFT!$A$2:$G$8551,3,FALSE),"")</f>
        <v>46087</v>
      </c>
      <c r="E1223" s="392" t="str">
        <f>IFERROR(VLOOKUP(A1223,[3]DOORSCRIEFT!$A$2:$G$8551,4,FALSE),"")</f>
        <v>kKolekta Kebaktian Unit</v>
      </c>
      <c r="F1223" s="405">
        <f>IFERROR(VLOOKUP(A1223,[3]DOORSCRIEFT!$A$2:$G$8551,6,FALSE),"")</f>
        <v>2401000</v>
      </c>
      <c r="G1223" s="315"/>
    </row>
    <row r="1224" spans="1:7" x14ac:dyDescent="0.25">
      <c r="A1224" s="339" t="str">
        <f t="shared" si="35"/>
        <v>I.2.2.02.0206</v>
      </c>
      <c r="B1224" s="319">
        <v>6</v>
      </c>
      <c r="C1224" s="394">
        <f>IFERROR(VLOOKUP(A1224,[3]DOORSCRIEFT!$A$2:$G$8551,2,FALSE),"")</f>
        <v>344</v>
      </c>
      <c r="D1224" s="393">
        <f>IFERROR(VLOOKUP(A1224,[3]DOORSCRIEFT!$A$2:$G$8551,3,FALSE),"")</f>
        <v>46094</v>
      </c>
      <c r="E1224" s="392" t="str">
        <f>IFERROR(VLOOKUP(A1224,[3]DOORSCRIEFT!$A$2:$G$8551,4,FALSE),"")</f>
        <v>Kolekta Kebaktian Unit</v>
      </c>
      <c r="F1224" s="405">
        <f>IFERROR(VLOOKUP(A1224,[3]DOORSCRIEFT!$A$2:$G$8551,6,FALSE),"")</f>
        <v>2747000</v>
      </c>
      <c r="G1224" s="315"/>
    </row>
    <row r="1225" spans="1:7" x14ac:dyDescent="0.25">
      <c r="A1225" s="339" t="str">
        <f t="shared" si="35"/>
        <v>I.2.2.02.0207</v>
      </c>
      <c r="B1225" s="339">
        <v>7</v>
      </c>
      <c r="C1225" s="394">
        <f>IFERROR(VLOOKUP(A1225,[3]DOORSCRIEFT!$A$2:$G$8551,2,FALSE),"")</f>
        <v>347</v>
      </c>
      <c r="D1225" s="393">
        <f>IFERROR(VLOOKUP(A1225,[3]DOORSCRIEFT!$A$2:$G$8551,3,FALSE),"")</f>
        <v>46094</v>
      </c>
      <c r="E1225" s="392" t="str">
        <f>IFERROR(VLOOKUP(A1225,[3]DOORSCRIEFT!$A$2:$G$8551,4,FALSE),"")</f>
        <v>Kolekta Kebaktian Unit</v>
      </c>
      <c r="F1225" s="405">
        <f>IFERROR(VLOOKUP(A1225,[3]DOORSCRIEFT!$A$2:$G$8551,6,FALSE),"")</f>
        <v>267000</v>
      </c>
      <c r="G1225" s="315"/>
    </row>
    <row r="1226" spans="1:7" x14ac:dyDescent="0.25">
      <c r="A1226" s="339" t="str">
        <f t="shared" si="35"/>
        <v>I.2.2.02.0208</v>
      </c>
      <c r="B1226" s="319">
        <v>8</v>
      </c>
      <c r="C1226" s="394">
        <f>IFERROR(VLOOKUP(A1226,[3]DOORSCRIEFT!$A$2:$G$8551,2,FALSE),"")</f>
        <v>390</v>
      </c>
      <c r="D1226" s="393">
        <f>IFERROR(VLOOKUP(A1226,[3]DOORSCRIEFT!$A$2:$G$8551,3,FALSE),"")</f>
        <v>46101</v>
      </c>
      <c r="E1226" s="392" t="str">
        <f>IFERROR(VLOOKUP(A1226,[3]DOORSCRIEFT!$A$2:$G$8551,4,FALSE),"")</f>
        <v>Kolekta Kebaktian Unit Efrat 2 dan Galilea I</v>
      </c>
      <c r="F1226" s="405">
        <f>IFERROR(VLOOKUP(A1226,[3]DOORSCRIEFT!$A$2:$G$8551,6,FALSE),"")</f>
        <v>155000</v>
      </c>
      <c r="G1226" s="315"/>
    </row>
    <row r="1227" spans="1:7" x14ac:dyDescent="0.25">
      <c r="A1227" s="339" t="str">
        <f t="shared" si="35"/>
        <v>I.2.2.02.0209</v>
      </c>
      <c r="B1227" s="339">
        <v>9</v>
      </c>
      <c r="C1227" s="394">
        <f>IFERROR(VLOOKUP(A1227,[3]DOORSCRIEFT!$A$2:$G$8551,2,FALSE),"")</f>
        <v>394</v>
      </c>
      <c r="D1227" s="393">
        <f>IFERROR(VLOOKUP(A1227,[3]DOORSCRIEFT!$A$2:$G$8551,3,FALSE),"")</f>
        <v>46101</v>
      </c>
      <c r="E1227" s="392" t="str">
        <f>IFERROR(VLOOKUP(A1227,[3]DOORSCRIEFT!$A$2:$G$8551,4,FALSE),"")</f>
        <v>Kolekta Kebaktian Unit</v>
      </c>
      <c r="F1227" s="405">
        <f>IFERROR(VLOOKUP(A1227,[3]DOORSCRIEFT!$A$2:$G$8551,6,FALSE),"")</f>
        <v>190000</v>
      </c>
      <c r="G1227" s="315"/>
    </row>
    <row r="1228" spans="1:7" x14ac:dyDescent="0.25">
      <c r="A1228" s="339" t="str">
        <f t="shared" si="35"/>
        <v>I.2.2.02.02010</v>
      </c>
      <c r="B1228" s="319">
        <v>10</v>
      </c>
      <c r="C1228" s="394">
        <f>IFERROR(VLOOKUP(A1228,[3]DOORSCRIEFT!$A$2:$G$8551,2,FALSE),"")</f>
        <v>441</v>
      </c>
      <c r="D1228" s="393">
        <f>IFERROR(VLOOKUP(A1228,[3]DOORSCRIEFT!$A$2:$G$8551,3,FALSE),"")</f>
        <v>46108</v>
      </c>
      <c r="E1228" s="392" t="str">
        <f>IFERROR(VLOOKUP(A1228,[3]DOORSCRIEFT!$A$2:$G$8551,4,FALSE),"")</f>
        <v>Kolekta Kebaktian Unit Bethesda 3</v>
      </c>
      <c r="F1228" s="405">
        <f>IFERROR(VLOOKUP(A1228,[3]DOORSCRIEFT!$A$2:$G$8551,6,FALSE),"")</f>
        <v>134000</v>
      </c>
      <c r="G1228" s="315"/>
    </row>
    <row r="1229" spans="1:7" x14ac:dyDescent="0.25">
      <c r="A1229" s="339" t="str">
        <f t="shared" si="35"/>
        <v>I.2.2.02.02011</v>
      </c>
      <c r="B1229" s="339">
        <v>11</v>
      </c>
      <c r="C1229" s="394" t="str">
        <f>IFERROR(VLOOKUP(A1229,[3]DOORSCRIEFT!$A$2:$G$8551,2,FALSE),"")</f>
        <v/>
      </c>
      <c r="D1229" s="393" t="str">
        <f>IFERROR(VLOOKUP(A1229,[3]DOORSCRIEFT!$A$2:$G$8551,3,FALSE),"")</f>
        <v/>
      </c>
      <c r="E1229" s="392" t="str">
        <f>IFERROR(VLOOKUP(A1229,[3]DOORSCRIEFT!$A$2:$G$8551,4,FALSE),"")</f>
        <v/>
      </c>
      <c r="F1229" s="405" t="str">
        <f>IFERROR(VLOOKUP(A1229,[3]DOORSCRIEFT!$A$2:$G$8551,6,FALSE),"")</f>
        <v/>
      </c>
      <c r="G1229" s="315"/>
    </row>
    <row r="1230" spans="1:7" x14ac:dyDescent="0.25">
      <c r="A1230" s="339" t="str">
        <f t="shared" si="35"/>
        <v>I.2.2.02.02012</v>
      </c>
      <c r="B1230" s="319">
        <v>12</v>
      </c>
      <c r="C1230" s="394" t="str">
        <f>IFERROR(VLOOKUP(A1230,[3]DOORSCRIEFT!$A$2:$G$8551,2,FALSE),"")</f>
        <v/>
      </c>
      <c r="D1230" s="393" t="str">
        <f>IFERROR(VLOOKUP(A1230,[3]DOORSCRIEFT!$A$2:$G$8551,3,FALSE),"")</f>
        <v/>
      </c>
      <c r="E1230" s="392" t="str">
        <f>IFERROR(VLOOKUP(A1230,[3]DOORSCRIEFT!$A$2:$G$8551,4,FALSE),"")</f>
        <v/>
      </c>
      <c r="F1230" s="405" t="str">
        <f>IFERROR(VLOOKUP(A1230,[3]DOORSCRIEFT!$A$2:$G$8551,6,FALSE),"")</f>
        <v/>
      </c>
      <c r="G1230" s="315"/>
    </row>
    <row r="1231" spans="1:7" x14ac:dyDescent="0.25">
      <c r="A1231" s="339" t="str">
        <f t="shared" si="35"/>
        <v>I.2.2.02.02013</v>
      </c>
      <c r="B1231" s="339">
        <v>13</v>
      </c>
      <c r="C1231" s="394" t="str">
        <f>IFERROR(VLOOKUP(A1231,[3]DOORSCRIEFT!$A$2:$G$8551,2,FALSE),"")</f>
        <v/>
      </c>
      <c r="D1231" s="393" t="str">
        <f>IFERROR(VLOOKUP(A1231,[3]DOORSCRIEFT!$A$2:$G$8551,3,FALSE),"")</f>
        <v/>
      </c>
      <c r="E1231" s="392" t="str">
        <f>IFERROR(VLOOKUP(A1231,[3]DOORSCRIEFT!$A$2:$G$8551,4,FALSE),"")</f>
        <v/>
      </c>
      <c r="F1231" s="405" t="str">
        <f>IFERROR(VLOOKUP(A1231,[3]DOORSCRIEFT!$A$2:$G$8551,6,FALSE),"")</f>
        <v/>
      </c>
      <c r="G1231" s="315"/>
    </row>
    <row r="1232" spans="1:7" x14ac:dyDescent="0.25">
      <c r="A1232" s="339" t="str">
        <f t="shared" si="35"/>
        <v>I.2.2.02.02014</v>
      </c>
      <c r="B1232" s="319">
        <v>14</v>
      </c>
      <c r="C1232" s="394" t="str">
        <f>IFERROR(VLOOKUP(A1232,[3]DOORSCRIEFT!$A$2:$G$8551,2,FALSE),"")</f>
        <v/>
      </c>
      <c r="D1232" s="393" t="str">
        <f>IFERROR(VLOOKUP(A1232,[3]DOORSCRIEFT!$A$2:$G$8551,3,FALSE),"")</f>
        <v/>
      </c>
      <c r="E1232" s="392" t="str">
        <f>IFERROR(VLOOKUP(A1232,[3]DOORSCRIEFT!$A$2:$G$8551,4,FALSE),"")</f>
        <v/>
      </c>
      <c r="F1232" s="405" t="str">
        <f>IFERROR(VLOOKUP(A1232,[3]DOORSCRIEFT!$A$2:$G$8551,6,FALSE),"")</f>
        <v/>
      </c>
      <c r="G1232" s="315"/>
    </row>
    <row r="1233" spans="1:7" x14ac:dyDescent="0.25">
      <c r="A1233" s="339" t="str">
        <f t="shared" si="35"/>
        <v>I.2.2.02.02015</v>
      </c>
      <c r="B1233" s="339">
        <v>15</v>
      </c>
      <c r="C1233" s="394" t="str">
        <f>IFERROR(VLOOKUP(A1233,[3]DOORSCRIEFT!$A$2:$G$8551,2,FALSE),"")</f>
        <v/>
      </c>
      <c r="D1233" s="393" t="str">
        <f>IFERROR(VLOOKUP(A1233,[3]DOORSCRIEFT!$A$2:$G$8551,3,FALSE),"")</f>
        <v/>
      </c>
      <c r="E1233" s="392" t="str">
        <f>IFERROR(VLOOKUP(A1233,[3]DOORSCRIEFT!$A$2:$G$8551,4,FALSE),"")</f>
        <v/>
      </c>
      <c r="F1233" s="405" t="str">
        <f>IFERROR(VLOOKUP(A1233,[3]DOORSCRIEFT!$A$2:$G$8551,6,FALSE),"")</f>
        <v/>
      </c>
      <c r="G1233" s="315"/>
    </row>
    <row r="1234" spans="1:7" x14ac:dyDescent="0.25">
      <c r="A1234" s="339" t="str">
        <f t="shared" si="35"/>
        <v>I.2.2.02.02016</v>
      </c>
      <c r="B1234" s="319">
        <v>16</v>
      </c>
      <c r="C1234" s="394" t="str">
        <f>IFERROR(VLOOKUP(A1234,[3]DOORSCRIEFT!$A$2:$G$8551,2,FALSE),"")</f>
        <v/>
      </c>
      <c r="D1234" s="393" t="str">
        <f>IFERROR(VLOOKUP(A1234,[3]DOORSCRIEFT!$A$2:$G$8551,3,FALSE),"")</f>
        <v/>
      </c>
      <c r="E1234" s="392" t="str">
        <f>IFERROR(VLOOKUP(A1234,[3]DOORSCRIEFT!$A$2:$G$8551,4,FALSE),"")</f>
        <v/>
      </c>
      <c r="F1234" s="405" t="str">
        <f>IFERROR(VLOOKUP(A1234,[3]DOORSCRIEFT!$A$2:$G$8551,6,FALSE),"")</f>
        <v/>
      </c>
      <c r="G1234" s="315"/>
    </row>
    <row r="1235" spans="1:7" x14ac:dyDescent="0.25">
      <c r="A1235" s="339" t="str">
        <f t="shared" si="35"/>
        <v>I.2.2.02.02017</v>
      </c>
      <c r="B1235" s="339">
        <v>17</v>
      </c>
      <c r="C1235" s="394" t="str">
        <f>IFERROR(VLOOKUP(A1235,[3]DOORSCRIEFT!$A$2:$G$8551,2,FALSE),"")</f>
        <v/>
      </c>
      <c r="D1235" s="393" t="str">
        <f>IFERROR(VLOOKUP(A1235,[3]DOORSCRIEFT!$A$2:$G$8551,3,FALSE),"")</f>
        <v/>
      </c>
      <c r="E1235" s="392" t="str">
        <f>IFERROR(VLOOKUP(A1235,[3]DOORSCRIEFT!$A$2:$G$8551,4,FALSE),"")</f>
        <v/>
      </c>
      <c r="F1235" s="405" t="str">
        <f>IFERROR(VLOOKUP(A1235,[3]DOORSCRIEFT!$A$2:$G$8551,6,FALSE),"")</f>
        <v/>
      </c>
      <c r="G1235" s="315"/>
    </row>
    <row r="1236" spans="1:7" x14ac:dyDescent="0.25">
      <c r="A1236" s="339" t="str">
        <f t="shared" si="35"/>
        <v>I.2.2.02.02018</v>
      </c>
      <c r="B1236" s="319">
        <v>18</v>
      </c>
      <c r="C1236" s="394" t="str">
        <f>IFERROR(VLOOKUP(A1236,[3]DOORSCRIEFT!$A$2:$G$8551,2,FALSE),"")</f>
        <v/>
      </c>
      <c r="D1236" s="393" t="str">
        <f>IFERROR(VLOOKUP(A1236,[3]DOORSCRIEFT!$A$2:$G$8551,3,FALSE),"")</f>
        <v/>
      </c>
      <c r="E1236" s="392" t="str">
        <f>IFERROR(VLOOKUP(A1236,[3]DOORSCRIEFT!$A$2:$G$8551,4,FALSE),"")</f>
        <v/>
      </c>
      <c r="F1236" s="405" t="str">
        <f>IFERROR(VLOOKUP(A1236,[3]DOORSCRIEFT!$A$2:$G$8551,6,FALSE),"")</f>
        <v/>
      </c>
      <c r="G1236" s="315"/>
    </row>
    <row r="1237" spans="1:7" x14ac:dyDescent="0.25">
      <c r="A1237" s="339" t="str">
        <f t="shared" si="35"/>
        <v>I.2.2.02.02019</v>
      </c>
      <c r="B1237" s="339">
        <v>19</v>
      </c>
      <c r="C1237" s="394" t="str">
        <f>IFERROR(VLOOKUP(A1237,[3]DOORSCRIEFT!$A$2:$G$8551,2,FALSE),"")</f>
        <v/>
      </c>
      <c r="D1237" s="393" t="str">
        <f>IFERROR(VLOOKUP(A1237,[3]DOORSCRIEFT!$A$2:$G$8551,3,FALSE),"")</f>
        <v/>
      </c>
      <c r="E1237" s="392" t="str">
        <f>IFERROR(VLOOKUP(A1237,[3]DOORSCRIEFT!$A$2:$G$8551,4,FALSE),"")</f>
        <v/>
      </c>
      <c r="F1237" s="405" t="str">
        <f>IFERROR(VLOOKUP(A1237,[3]DOORSCRIEFT!$A$2:$G$8551,6,FALSE),"")</f>
        <v/>
      </c>
      <c r="G1237" s="315"/>
    </row>
    <row r="1238" spans="1:7" x14ac:dyDescent="0.25">
      <c r="A1238" s="339" t="str">
        <f t="shared" si="35"/>
        <v>I.2.2.02.02020</v>
      </c>
      <c r="B1238" s="319">
        <v>20</v>
      </c>
      <c r="C1238" s="394" t="str">
        <f>IFERROR(VLOOKUP(A1238,[3]DOORSCRIEFT!$A$2:$G$8551,2,FALSE),"")</f>
        <v/>
      </c>
      <c r="D1238" s="393" t="str">
        <f>IFERROR(VLOOKUP(A1238,[3]DOORSCRIEFT!$A$2:$G$8551,3,FALSE),"")</f>
        <v/>
      </c>
      <c r="E1238" s="392" t="str">
        <f>IFERROR(VLOOKUP(A1238,[3]DOORSCRIEFT!$A$2:$G$8551,4,FALSE),"")</f>
        <v/>
      </c>
      <c r="F1238" s="405" t="str">
        <f>IFERROR(VLOOKUP(A1238,[3]DOORSCRIEFT!$A$2:$G$8551,6,FALSE),"")</f>
        <v/>
      </c>
      <c r="G1238" s="315"/>
    </row>
    <row r="1239" spans="1:7" x14ac:dyDescent="0.25">
      <c r="A1239" s="339" t="str">
        <f t="shared" si="35"/>
        <v>I.2.2.02.02021</v>
      </c>
      <c r="B1239" s="339">
        <v>21</v>
      </c>
      <c r="C1239" s="394" t="str">
        <f>IFERROR(VLOOKUP(A1239,[3]DOORSCRIEFT!$A$2:$G$8551,2,FALSE),"")</f>
        <v/>
      </c>
      <c r="D1239" s="393" t="str">
        <f>IFERROR(VLOOKUP(A1239,[3]DOORSCRIEFT!$A$2:$G$8551,3,FALSE),"")</f>
        <v/>
      </c>
      <c r="E1239" s="392" t="str">
        <f>IFERROR(VLOOKUP(A1239,[3]DOORSCRIEFT!$A$2:$G$8551,4,FALSE),"")</f>
        <v/>
      </c>
      <c r="F1239" s="405" t="str">
        <f>IFERROR(VLOOKUP(A1239,[3]DOORSCRIEFT!$A$2:$G$8551,6,FALSE),"")</f>
        <v/>
      </c>
      <c r="G1239" s="315"/>
    </row>
    <row r="1240" spans="1:7" x14ac:dyDescent="0.25">
      <c r="A1240" s="339" t="str">
        <f t="shared" si="35"/>
        <v>I.2.2.02.02022</v>
      </c>
      <c r="B1240" s="319">
        <v>22</v>
      </c>
      <c r="C1240" s="394" t="str">
        <f>IFERROR(VLOOKUP(A1240,[3]DOORSCRIEFT!$A$2:$G$8551,2,FALSE),"")</f>
        <v/>
      </c>
      <c r="D1240" s="393" t="str">
        <f>IFERROR(VLOOKUP(A1240,[3]DOORSCRIEFT!$A$2:$G$8551,3,FALSE),"")</f>
        <v/>
      </c>
      <c r="E1240" s="392" t="str">
        <f>IFERROR(VLOOKUP(A1240,[3]DOORSCRIEFT!$A$2:$G$8551,4,FALSE),"")</f>
        <v/>
      </c>
      <c r="F1240" s="405" t="str">
        <f>IFERROR(VLOOKUP(A1240,[3]DOORSCRIEFT!$A$2:$G$8551,6,FALSE),"")</f>
        <v/>
      </c>
      <c r="G1240" s="315"/>
    </row>
    <row r="1241" spans="1:7" x14ac:dyDescent="0.25">
      <c r="A1241" s="339" t="str">
        <f t="shared" si="35"/>
        <v>I.2.2.02.02023</v>
      </c>
      <c r="B1241" s="339">
        <v>23</v>
      </c>
      <c r="C1241" s="394" t="str">
        <f>IFERROR(VLOOKUP(A1241,[3]DOORSCRIEFT!$A$2:$G$8551,2,FALSE),"")</f>
        <v/>
      </c>
      <c r="D1241" s="393" t="str">
        <f>IFERROR(VLOOKUP(A1241,[3]DOORSCRIEFT!$A$2:$G$8551,3,FALSE),"")</f>
        <v/>
      </c>
      <c r="E1241" s="392" t="str">
        <f>IFERROR(VLOOKUP(A1241,[3]DOORSCRIEFT!$A$2:$G$8551,4,FALSE),"")</f>
        <v/>
      </c>
      <c r="F1241" s="405" t="str">
        <f>IFERROR(VLOOKUP(A1241,[3]DOORSCRIEFT!$A$2:$G$8551,6,FALSE),"")</f>
        <v/>
      </c>
      <c r="G1241" s="315"/>
    </row>
    <row r="1242" spans="1:7" x14ac:dyDescent="0.25">
      <c r="A1242" s="339" t="str">
        <f t="shared" si="35"/>
        <v>I.2.2.02.02024</v>
      </c>
      <c r="B1242" s="319">
        <v>24</v>
      </c>
      <c r="C1242" s="394" t="str">
        <f>IFERROR(VLOOKUP(A1242,[3]DOORSCRIEFT!$A$2:$G$8551,2,FALSE),"")</f>
        <v/>
      </c>
      <c r="D1242" s="393" t="str">
        <f>IFERROR(VLOOKUP(A1242,[3]DOORSCRIEFT!$A$2:$G$8551,3,FALSE),"")</f>
        <v/>
      </c>
      <c r="E1242" s="392" t="str">
        <f>IFERROR(VLOOKUP(A1242,[3]DOORSCRIEFT!$A$2:$G$8551,4,FALSE),"")</f>
        <v/>
      </c>
      <c r="F1242" s="405" t="str">
        <f>IFERROR(VLOOKUP(A1242,[3]DOORSCRIEFT!$A$2:$G$8551,6,FALSE),"")</f>
        <v/>
      </c>
      <c r="G1242" s="315"/>
    </row>
    <row r="1243" spans="1:7" x14ac:dyDescent="0.25">
      <c r="A1243" s="339" t="str">
        <f t="shared" si="35"/>
        <v>I.2.2.02.02025</v>
      </c>
      <c r="B1243" s="339">
        <v>25</v>
      </c>
      <c r="C1243" s="394" t="str">
        <f>IFERROR(VLOOKUP(A1243,[3]DOORSCRIEFT!$A$2:$G$8551,2,FALSE),"")</f>
        <v/>
      </c>
      <c r="D1243" s="393" t="str">
        <f>IFERROR(VLOOKUP(A1243,[3]DOORSCRIEFT!$A$2:$G$8551,3,FALSE),"")</f>
        <v/>
      </c>
      <c r="E1243" s="392" t="str">
        <f>IFERROR(VLOOKUP(A1243,[3]DOORSCRIEFT!$A$2:$G$8551,4,FALSE),"")</f>
        <v/>
      </c>
      <c r="F1243" s="405" t="str">
        <f>IFERROR(VLOOKUP(A1243,[3]DOORSCRIEFT!$A$2:$G$8551,6,FALSE),"")</f>
        <v/>
      </c>
      <c r="G1243" s="315"/>
    </row>
    <row r="1244" spans="1:7" x14ac:dyDescent="0.25">
      <c r="A1244" s="339" t="str">
        <f t="shared" si="35"/>
        <v>I.2.2.02.02026</v>
      </c>
      <c r="B1244" s="319">
        <v>26</v>
      </c>
      <c r="C1244" s="394" t="str">
        <f>IFERROR(VLOOKUP(A1244,[3]DOORSCRIEFT!$A$2:$G$8551,2,FALSE),"")</f>
        <v/>
      </c>
      <c r="D1244" s="393" t="str">
        <f>IFERROR(VLOOKUP(A1244,[3]DOORSCRIEFT!$A$2:$G$8551,3,FALSE),"")</f>
        <v/>
      </c>
      <c r="E1244" s="392" t="str">
        <f>IFERROR(VLOOKUP(A1244,[3]DOORSCRIEFT!$A$2:$G$8551,4,FALSE),"")</f>
        <v/>
      </c>
      <c r="F1244" s="405" t="str">
        <f>IFERROR(VLOOKUP(A1244,[3]DOORSCRIEFT!$A$2:$G$8551,6,FALSE),"")</f>
        <v/>
      </c>
      <c r="G1244" s="315"/>
    </row>
    <row r="1245" spans="1:7" x14ac:dyDescent="0.25">
      <c r="A1245" s="339" t="str">
        <f t="shared" si="35"/>
        <v>I.2.2.02.02027</v>
      </c>
      <c r="B1245" s="339">
        <v>27</v>
      </c>
      <c r="C1245" s="394" t="str">
        <f>IFERROR(VLOOKUP(A1245,[3]DOORSCRIEFT!$A$2:$G$8551,2,FALSE),"")</f>
        <v/>
      </c>
      <c r="D1245" s="393" t="str">
        <f>IFERROR(VLOOKUP(A1245,[3]DOORSCRIEFT!$A$2:$G$8551,3,FALSE),"")</f>
        <v/>
      </c>
      <c r="E1245" s="392" t="str">
        <f>IFERROR(VLOOKUP(A1245,[3]DOORSCRIEFT!$A$2:$G$8551,4,FALSE),"")</f>
        <v/>
      </c>
      <c r="F1245" s="405" t="str">
        <f>IFERROR(VLOOKUP(A1245,[3]DOORSCRIEFT!$A$2:$G$8551,6,FALSE),"")</f>
        <v/>
      </c>
      <c r="G1245" s="315"/>
    </row>
    <row r="1246" spans="1:7" x14ac:dyDescent="0.25">
      <c r="A1246" s="339" t="str">
        <f t="shared" si="35"/>
        <v>I.2.2.02.02028</v>
      </c>
      <c r="B1246" s="319">
        <v>28</v>
      </c>
      <c r="C1246" s="394" t="str">
        <f>IFERROR(VLOOKUP(A1246,[3]DOORSCRIEFT!$A$2:$G$8551,2,FALSE),"")</f>
        <v/>
      </c>
      <c r="D1246" s="393" t="str">
        <f>IFERROR(VLOOKUP(A1246,[3]DOORSCRIEFT!$A$2:$G$8551,3,FALSE),"")</f>
        <v/>
      </c>
      <c r="E1246" s="392" t="str">
        <f>IFERROR(VLOOKUP(A1246,[3]DOORSCRIEFT!$A$2:$G$8551,4,FALSE),"")</f>
        <v/>
      </c>
      <c r="F1246" s="405" t="str">
        <f>IFERROR(VLOOKUP(A1246,[3]DOORSCRIEFT!$A$2:$G$8551,6,FALSE),"")</f>
        <v/>
      </c>
      <c r="G1246" s="315"/>
    </row>
    <row r="1247" spans="1:7" x14ac:dyDescent="0.25">
      <c r="A1247" s="339" t="str">
        <f t="shared" si="35"/>
        <v>I.2.2.02.02029</v>
      </c>
      <c r="B1247" s="339">
        <v>29</v>
      </c>
      <c r="C1247" s="394" t="str">
        <f>IFERROR(VLOOKUP(A1247,[3]DOORSCRIEFT!$A$2:$G$8551,2,FALSE),"")</f>
        <v/>
      </c>
      <c r="D1247" s="393" t="str">
        <f>IFERROR(VLOOKUP(A1247,[3]DOORSCRIEFT!$A$2:$G$8551,3,FALSE),"")</f>
        <v/>
      </c>
      <c r="E1247" s="392" t="str">
        <f>IFERROR(VLOOKUP(A1247,[3]DOORSCRIEFT!$A$2:$G$8551,4,FALSE),"")</f>
        <v/>
      </c>
      <c r="F1247" s="405" t="str">
        <f>IFERROR(VLOOKUP(A1247,[3]DOORSCRIEFT!$A$2:$G$8551,6,FALSE),"")</f>
        <v/>
      </c>
      <c r="G1247" s="315"/>
    </row>
    <row r="1248" spans="1:7" x14ac:dyDescent="0.25">
      <c r="A1248" s="339" t="str">
        <f t="shared" si="35"/>
        <v>I.2.2.02.02030</v>
      </c>
      <c r="B1248" s="319">
        <v>30</v>
      </c>
      <c r="C1248" s="394" t="str">
        <f>IFERROR(VLOOKUP(A1248,[3]DOORSCRIEFT!$A$2:$G$8551,2,FALSE),"")</f>
        <v/>
      </c>
      <c r="D1248" s="393" t="str">
        <f>IFERROR(VLOOKUP(A1248,[3]DOORSCRIEFT!$A$2:$G$8551,3,FALSE),"")</f>
        <v/>
      </c>
      <c r="E1248" s="392" t="str">
        <f>IFERROR(VLOOKUP(A1248,[3]DOORSCRIEFT!$A$2:$G$8551,4,FALSE),"")</f>
        <v/>
      </c>
      <c r="F1248" s="405" t="str">
        <f>IFERROR(VLOOKUP(A1248,[3]DOORSCRIEFT!$A$2:$G$8551,6,FALSE),"")</f>
        <v/>
      </c>
      <c r="G1248" s="315"/>
    </row>
    <row r="1249" spans="1:7" x14ac:dyDescent="0.25">
      <c r="A1249" s="339" t="str">
        <f t="shared" si="35"/>
        <v>I.2.2.02.02031</v>
      </c>
      <c r="B1249" s="339">
        <v>31</v>
      </c>
      <c r="C1249" s="394" t="str">
        <f>IFERROR(VLOOKUP(A1249,[3]DOORSCRIEFT!$A$2:$G$8551,2,FALSE),"")</f>
        <v/>
      </c>
      <c r="D1249" s="393" t="str">
        <f>IFERROR(VLOOKUP(A1249,[3]DOORSCRIEFT!$A$2:$G$8551,3,FALSE),"")</f>
        <v/>
      </c>
      <c r="E1249" s="392" t="str">
        <f>IFERROR(VLOOKUP(A1249,[3]DOORSCRIEFT!$A$2:$G$8551,4,FALSE),"")</f>
        <v/>
      </c>
      <c r="F1249" s="405" t="str">
        <f>IFERROR(VLOOKUP(A1249,[3]DOORSCRIEFT!$A$2:$G$8551,6,FALSE),"")</f>
        <v/>
      </c>
      <c r="G1249" s="315"/>
    </row>
    <row r="1250" spans="1:7" x14ac:dyDescent="0.25">
      <c r="A1250" s="339" t="str">
        <f t="shared" si="35"/>
        <v>I.2.2.02.02032</v>
      </c>
      <c r="B1250" s="319">
        <v>32</v>
      </c>
      <c r="C1250" s="394" t="str">
        <f>IFERROR(VLOOKUP(A1250,[3]DOORSCRIEFT!$A$2:$G$8551,2,FALSE),"")</f>
        <v/>
      </c>
      <c r="D1250" s="393" t="str">
        <f>IFERROR(VLOOKUP(A1250,[3]DOORSCRIEFT!$A$2:$G$8551,3,FALSE),"")</f>
        <v/>
      </c>
      <c r="E1250" s="392" t="str">
        <f>IFERROR(VLOOKUP(A1250,[3]DOORSCRIEFT!$A$2:$G$8551,4,FALSE),"")</f>
        <v/>
      </c>
      <c r="F1250" s="405" t="str">
        <f>IFERROR(VLOOKUP(A1250,[3]DOORSCRIEFT!$A$2:$G$8551,6,FALSE),"")</f>
        <v/>
      </c>
      <c r="G1250" s="315"/>
    </row>
    <row r="1251" spans="1:7" x14ac:dyDescent="0.25">
      <c r="A1251" s="339" t="str">
        <f t="shared" ref="A1251:A1282" si="36">$G$1212&amp;B1251</f>
        <v>I.2.2.02.02033</v>
      </c>
      <c r="B1251" s="339">
        <v>33</v>
      </c>
      <c r="C1251" s="394" t="str">
        <f>IFERROR(VLOOKUP(A1251,[3]DOORSCRIEFT!$A$2:$G$8551,2,FALSE),"")</f>
        <v/>
      </c>
      <c r="D1251" s="393" t="str">
        <f>IFERROR(VLOOKUP(A1251,[3]DOORSCRIEFT!$A$2:$G$8551,3,FALSE),"")</f>
        <v/>
      </c>
      <c r="E1251" s="392" t="str">
        <f>IFERROR(VLOOKUP(A1251,[3]DOORSCRIEFT!$A$2:$G$8551,4,FALSE),"")</f>
        <v/>
      </c>
      <c r="F1251" s="405" t="str">
        <f>IFERROR(VLOOKUP(A1251,[3]DOORSCRIEFT!$A$2:$G$8551,6,FALSE),"")</f>
        <v/>
      </c>
      <c r="G1251" s="315"/>
    </row>
    <row r="1252" spans="1:7" x14ac:dyDescent="0.25">
      <c r="A1252" s="339" t="str">
        <f t="shared" si="36"/>
        <v>I.2.2.02.02034</v>
      </c>
      <c r="B1252" s="319">
        <v>34</v>
      </c>
      <c r="C1252" s="394" t="str">
        <f>IFERROR(VLOOKUP(A1252,[3]DOORSCRIEFT!$A$2:$G$8551,2,FALSE),"")</f>
        <v/>
      </c>
      <c r="D1252" s="393" t="str">
        <f>IFERROR(VLOOKUP(A1252,[3]DOORSCRIEFT!$A$2:$G$8551,3,FALSE),"")</f>
        <v/>
      </c>
      <c r="E1252" s="392" t="str">
        <f>IFERROR(VLOOKUP(A1252,[3]DOORSCRIEFT!$A$2:$G$8551,4,FALSE),"")</f>
        <v/>
      </c>
      <c r="F1252" s="405" t="str">
        <f>IFERROR(VLOOKUP(A1252,[3]DOORSCRIEFT!$A$2:$G$8551,6,FALSE),"")</f>
        <v/>
      </c>
      <c r="G1252" s="315"/>
    </row>
    <row r="1253" spans="1:7" x14ac:dyDescent="0.25">
      <c r="A1253" s="339" t="str">
        <f t="shared" si="36"/>
        <v>I.2.2.02.02035</v>
      </c>
      <c r="B1253" s="339">
        <v>35</v>
      </c>
      <c r="C1253" s="394" t="str">
        <f>IFERROR(VLOOKUP(A1253,[3]DOORSCRIEFT!$A$2:$G$8551,2,FALSE),"")</f>
        <v/>
      </c>
      <c r="D1253" s="393" t="str">
        <f>IFERROR(VLOOKUP(A1253,[3]DOORSCRIEFT!$A$2:$G$8551,3,FALSE),"")</f>
        <v/>
      </c>
      <c r="E1253" s="392" t="str">
        <f>IFERROR(VLOOKUP(A1253,[3]DOORSCRIEFT!$A$2:$G$8551,4,FALSE),"")</f>
        <v/>
      </c>
      <c r="F1253" s="405" t="str">
        <f>IFERROR(VLOOKUP(A1253,[3]DOORSCRIEFT!$A$2:$G$8551,6,FALSE),"")</f>
        <v/>
      </c>
      <c r="G1253" s="315"/>
    </row>
    <row r="1254" spans="1:7" x14ac:dyDescent="0.25">
      <c r="A1254" s="339" t="str">
        <f t="shared" si="36"/>
        <v>I.2.2.02.02036</v>
      </c>
      <c r="B1254" s="319">
        <v>36</v>
      </c>
      <c r="C1254" s="394" t="str">
        <f>IFERROR(VLOOKUP(A1254,[3]DOORSCRIEFT!$A$2:$G$8551,2,FALSE),"")</f>
        <v/>
      </c>
      <c r="D1254" s="393" t="str">
        <f>IFERROR(VLOOKUP(A1254,[3]DOORSCRIEFT!$A$2:$G$8551,3,FALSE),"")</f>
        <v/>
      </c>
      <c r="E1254" s="392" t="str">
        <f>IFERROR(VLOOKUP(A1254,[3]DOORSCRIEFT!$A$2:$G$8551,4,FALSE),"")</f>
        <v/>
      </c>
      <c r="F1254" s="405" t="str">
        <f>IFERROR(VLOOKUP(A1254,[3]DOORSCRIEFT!$A$2:$G$8551,6,FALSE),"")</f>
        <v/>
      </c>
      <c r="G1254" s="315"/>
    </row>
    <row r="1255" spans="1:7" x14ac:dyDescent="0.25">
      <c r="A1255" s="339" t="str">
        <f t="shared" si="36"/>
        <v>I.2.2.02.02037</v>
      </c>
      <c r="B1255" s="339">
        <v>37</v>
      </c>
      <c r="C1255" s="394" t="str">
        <f>IFERROR(VLOOKUP(A1255,[3]DOORSCRIEFT!$A$2:$G$8551,2,FALSE),"")</f>
        <v/>
      </c>
      <c r="D1255" s="393" t="str">
        <f>IFERROR(VLOOKUP(A1255,[3]DOORSCRIEFT!$A$2:$G$8551,3,FALSE),"")</f>
        <v/>
      </c>
      <c r="E1255" s="392" t="str">
        <f>IFERROR(VLOOKUP(A1255,[3]DOORSCRIEFT!$A$2:$G$8551,4,FALSE),"")</f>
        <v/>
      </c>
      <c r="F1255" s="405" t="str">
        <f>IFERROR(VLOOKUP(A1255,[3]DOORSCRIEFT!$A$2:$G$8551,6,FALSE),"")</f>
        <v/>
      </c>
      <c r="G1255" s="315"/>
    </row>
    <row r="1256" spans="1:7" x14ac:dyDescent="0.25">
      <c r="A1256" s="339" t="str">
        <f t="shared" si="36"/>
        <v>I.2.2.02.02038</v>
      </c>
      <c r="B1256" s="319">
        <v>38</v>
      </c>
      <c r="C1256" s="394" t="str">
        <f>IFERROR(VLOOKUP(A1256,[3]DOORSCRIEFT!$A$2:$G$8551,2,FALSE),"")</f>
        <v/>
      </c>
      <c r="D1256" s="393" t="str">
        <f>IFERROR(VLOOKUP(A1256,[3]DOORSCRIEFT!$A$2:$G$8551,3,FALSE),"")</f>
        <v/>
      </c>
      <c r="E1256" s="392" t="str">
        <f>IFERROR(VLOOKUP(A1256,[3]DOORSCRIEFT!$A$2:$G$8551,4,FALSE),"")</f>
        <v/>
      </c>
      <c r="F1256" s="405" t="str">
        <f>IFERROR(VLOOKUP(A1256,[3]DOORSCRIEFT!$A$2:$G$8551,6,FALSE),"")</f>
        <v/>
      </c>
      <c r="G1256" s="315"/>
    </row>
    <row r="1257" spans="1:7" x14ac:dyDescent="0.25">
      <c r="A1257" s="339" t="str">
        <f t="shared" si="36"/>
        <v>I.2.2.02.02039</v>
      </c>
      <c r="B1257" s="339">
        <v>39</v>
      </c>
      <c r="C1257" s="394" t="str">
        <f>IFERROR(VLOOKUP(A1257,[3]DOORSCRIEFT!$A$2:$G$8551,2,FALSE),"")</f>
        <v/>
      </c>
      <c r="D1257" s="393" t="str">
        <f>IFERROR(VLOOKUP(A1257,[3]DOORSCRIEFT!$A$2:$G$8551,3,FALSE),"")</f>
        <v/>
      </c>
      <c r="E1257" s="392" t="str">
        <f>IFERROR(VLOOKUP(A1257,[3]DOORSCRIEFT!$A$2:$G$8551,4,FALSE),"")</f>
        <v/>
      </c>
      <c r="F1257" s="405" t="str">
        <f>IFERROR(VLOOKUP(A1257,[3]DOORSCRIEFT!$A$2:$G$8551,6,FALSE),"")</f>
        <v/>
      </c>
      <c r="G1257" s="315"/>
    </row>
    <row r="1258" spans="1:7" x14ac:dyDescent="0.25">
      <c r="A1258" s="339" t="str">
        <f t="shared" si="36"/>
        <v>I.2.2.02.02040</v>
      </c>
      <c r="B1258" s="319">
        <v>40</v>
      </c>
      <c r="C1258" s="394" t="str">
        <f>IFERROR(VLOOKUP(A1258,[3]DOORSCRIEFT!$A$2:$G$8551,2,FALSE),"")</f>
        <v/>
      </c>
      <c r="D1258" s="393" t="str">
        <f>IFERROR(VLOOKUP(A1258,[3]DOORSCRIEFT!$A$2:$G$8551,3,FALSE),"")</f>
        <v/>
      </c>
      <c r="E1258" s="392" t="str">
        <f>IFERROR(VLOOKUP(A1258,[3]DOORSCRIEFT!$A$2:$G$8551,4,FALSE),"")</f>
        <v/>
      </c>
      <c r="F1258" s="405" t="str">
        <f>IFERROR(VLOOKUP(A1258,[3]DOORSCRIEFT!$A$2:$G$8551,6,FALSE),"")</f>
        <v/>
      </c>
      <c r="G1258" s="315"/>
    </row>
    <row r="1259" spans="1:7" x14ac:dyDescent="0.25">
      <c r="A1259" s="339" t="str">
        <f t="shared" si="36"/>
        <v>I.2.2.02.02041</v>
      </c>
      <c r="B1259" s="339">
        <v>41</v>
      </c>
      <c r="C1259" s="394" t="str">
        <f>IFERROR(VLOOKUP(A1259,[3]DOORSCRIEFT!$A$2:$G$8551,2,FALSE),"")</f>
        <v/>
      </c>
      <c r="D1259" s="393" t="str">
        <f>IFERROR(VLOOKUP(A1259,[3]DOORSCRIEFT!$A$2:$G$8551,3,FALSE),"")</f>
        <v/>
      </c>
      <c r="E1259" s="392" t="str">
        <f>IFERROR(VLOOKUP(A1259,[3]DOORSCRIEFT!$A$2:$G$8551,4,FALSE),"")</f>
        <v/>
      </c>
      <c r="F1259" s="405" t="str">
        <f>IFERROR(VLOOKUP(A1259,[3]DOORSCRIEFT!$A$2:$G$8551,6,FALSE),"")</f>
        <v/>
      </c>
      <c r="G1259" s="315"/>
    </row>
    <row r="1260" spans="1:7" x14ac:dyDescent="0.25">
      <c r="A1260" s="339" t="str">
        <f t="shared" si="36"/>
        <v>I.2.2.02.02042</v>
      </c>
      <c r="B1260" s="319">
        <v>42</v>
      </c>
      <c r="C1260" s="394" t="str">
        <f>IFERROR(VLOOKUP(A1260,[3]DOORSCRIEFT!$A$2:$G$8551,2,FALSE),"")</f>
        <v/>
      </c>
      <c r="D1260" s="393" t="str">
        <f>IFERROR(VLOOKUP(A1260,[3]DOORSCRIEFT!$A$2:$G$8551,3,FALSE),"")</f>
        <v/>
      </c>
      <c r="E1260" s="392" t="str">
        <f>IFERROR(VLOOKUP(A1260,[3]DOORSCRIEFT!$A$2:$G$8551,4,FALSE),"")</f>
        <v/>
      </c>
      <c r="F1260" s="405" t="str">
        <f>IFERROR(VLOOKUP(A1260,[3]DOORSCRIEFT!$A$2:$G$8551,6,FALSE),"")</f>
        <v/>
      </c>
      <c r="G1260" s="315"/>
    </row>
    <row r="1261" spans="1:7" x14ac:dyDescent="0.25">
      <c r="A1261" s="339" t="str">
        <f t="shared" si="36"/>
        <v>I.2.2.02.02043</v>
      </c>
      <c r="B1261" s="339">
        <v>43</v>
      </c>
      <c r="C1261" s="394" t="str">
        <f>IFERROR(VLOOKUP(A1261,[3]DOORSCRIEFT!$A$2:$G$8551,2,FALSE),"")</f>
        <v/>
      </c>
      <c r="D1261" s="393" t="str">
        <f>IFERROR(VLOOKUP(A1261,[3]DOORSCRIEFT!$A$2:$G$8551,3,FALSE),"")</f>
        <v/>
      </c>
      <c r="E1261" s="392" t="str">
        <f>IFERROR(VLOOKUP(A1261,[3]DOORSCRIEFT!$A$2:$G$8551,4,FALSE),"")</f>
        <v/>
      </c>
      <c r="F1261" s="405" t="str">
        <f>IFERROR(VLOOKUP(A1261,[3]DOORSCRIEFT!$A$2:$G$8551,6,FALSE),"")</f>
        <v/>
      </c>
      <c r="G1261" s="315"/>
    </row>
    <row r="1262" spans="1:7" x14ac:dyDescent="0.25">
      <c r="A1262" s="339" t="str">
        <f t="shared" si="36"/>
        <v>I.2.2.02.02044</v>
      </c>
      <c r="B1262" s="319">
        <v>44</v>
      </c>
      <c r="C1262" s="394" t="str">
        <f>IFERROR(VLOOKUP(A1262,[3]DOORSCRIEFT!$A$2:$G$8551,2,FALSE),"")</f>
        <v/>
      </c>
      <c r="D1262" s="393" t="str">
        <f>IFERROR(VLOOKUP(A1262,[3]DOORSCRIEFT!$A$2:$G$8551,3,FALSE),"")</f>
        <v/>
      </c>
      <c r="E1262" s="392" t="str">
        <f>IFERROR(VLOOKUP(A1262,[3]DOORSCRIEFT!$A$2:$G$8551,4,FALSE),"")</f>
        <v/>
      </c>
      <c r="F1262" s="405" t="str">
        <f>IFERROR(VLOOKUP(A1262,[3]DOORSCRIEFT!$A$2:$G$8551,6,FALSE),"")</f>
        <v/>
      </c>
      <c r="G1262" s="315"/>
    </row>
    <row r="1263" spans="1:7" x14ac:dyDescent="0.25">
      <c r="A1263" s="339" t="str">
        <f t="shared" si="36"/>
        <v>I.2.2.02.02045</v>
      </c>
      <c r="B1263" s="339">
        <v>45</v>
      </c>
      <c r="C1263" s="394" t="str">
        <f>IFERROR(VLOOKUP(A1263,[3]DOORSCRIEFT!$A$2:$G$8551,2,FALSE),"")</f>
        <v/>
      </c>
      <c r="D1263" s="393" t="str">
        <f>IFERROR(VLOOKUP(A1263,[3]DOORSCRIEFT!$A$2:$G$8551,3,FALSE),"")</f>
        <v/>
      </c>
      <c r="E1263" s="392" t="str">
        <f>IFERROR(VLOOKUP(A1263,[3]DOORSCRIEFT!$A$2:$G$8551,4,FALSE),"")</f>
        <v/>
      </c>
      <c r="F1263" s="405" t="str">
        <f>IFERROR(VLOOKUP(A1263,[3]DOORSCRIEFT!$A$2:$G$8551,6,FALSE),"")</f>
        <v/>
      </c>
      <c r="G1263" s="315"/>
    </row>
    <row r="1264" spans="1:7" x14ac:dyDescent="0.25">
      <c r="A1264" s="339" t="str">
        <f t="shared" si="36"/>
        <v>I.2.2.02.02046</v>
      </c>
      <c r="B1264" s="319">
        <v>46</v>
      </c>
      <c r="C1264" s="394" t="str">
        <f>IFERROR(VLOOKUP(A1264,[3]DOORSCRIEFT!$A$2:$G$8551,2,FALSE),"")</f>
        <v/>
      </c>
      <c r="D1264" s="393" t="str">
        <f>IFERROR(VLOOKUP(A1264,[3]DOORSCRIEFT!$A$2:$G$8551,3,FALSE),"")</f>
        <v/>
      </c>
      <c r="E1264" s="392" t="str">
        <f>IFERROR(VLOOKUP(A1264,[3]DOORSCRIEFT!$A$2:$G$8551,4,FALSE),"")</f>
        <v/>
      </c>
      <c r="F1264" s="405" t="str">
        <f>IFERROR(VLOOKUP(A1264,[3]DOORSCRIEFT!$A$2:$G$8551,6,FALSE),"")</f>
        <v/>
      </c>
      <c r="G1264" s="315"/>
    </row>
    <row r="1265" spans="1:7" x14ac:dyDescent="0.25">
      <c r="A1265" s="339" t="str">
        <f t="shared" si="36"/>
        <v>I.2.2.02.02047</v>
      </c>
      <c r="B1265" s="339">
        <v>47</v>
      </c>
      <c r="C1265" s="394" t="str">
        <f>IFERROR(VLOOKUP(A1265,[3]DOORSCRIEFT!$A$2:$G$8551,2,FALSE),"")</f>
        <v/>
      </c>
      <c r="D1265" s="393" t="str">
        <f>IFERROR(VLOOKUP(A1265,[3]DOORSCRIEFT!$A$2:$G$8551,3,FALSE),"")</f>
        <v/>
      </c>
      <c r="E1265" s="392" t="str">
        <f>IFERROR(VLOOKUP(A1265,[3]DOORSCRIEFT!$A$2:$G$8551,4,FALSE),"")</f>
        <v/>
      </c>
      <c r="F1265" s="405" t="str">
        <f>IFERROR(VLOOKUP(A1265,[3]DOORSCRIEFT!$A$2:$G$8551,6,FALSE),"")</f>
        <v/>
      </c>
      <c r="G1265" s="315"/>
    </row>
    <row r="1266" spans="1:7" x14ac:dyDescent="0.25">
      <c r="A1266" s="339" t="str">
        <f t="shared" si="36"/>
        <v>I.2.2.02.02048</v>
      </c>
      <c r="B1266" s="319">
        <v>48</v>
      </c>
      <c r="C1266" s="394" t="str">
        <f>IFERROR(VLOOKUP(A1266,[3]DOORSCRIEFT!$A$2:$G$8551,2,FALSE),"")</f>
        <v/>
      </c>
      <c r="D1266" s="393" t="str">
        <f>IFERROR(VLOOKUP(A1266,[3]DOORSCRIEFT!$A$2:$G$8551,3,FALSE),"")</f>
        <v/>
      </c>
      <c r="E1266" s="392" t="str">
        <f>IFERROR(VLOOKUP(A1266,[3]DOORSCRIEFT!$A$2:$G$8551,4,FALSE),"")</f>
        <v/>
      </c>
      <c r="F1266" s="405" t="str">
        <f>IFERROR(VLOOKUP(A1266,[3]DOORSCRIEFT!$A$2:$G$8551,6,FALSE),"")</f>
        <v/>
      </c>
      <c r="G1266" s="315"/>
    </row>
    <row r="1267" spans="1:7" ht="15.75" thickBot="1" x14ac:dyDescent="0.3">
      <c r="A1267" s="353" t="str">
        <f t="shared" si="36"/>
        <v>I.2.2.02.02049</v>
      </c>
      <c r="B1267" s="353">
        <v>49</v>
      </c>
      <c r="C1267" s="394" t="str">
        <f>IFERROR(VLOOKUP(A1267,[3]DOORSCRIEFT!$A$2:$G$8551,2,FALSE),"")</f>
        <v/>
      </c>
      <c r="D1267" s="393" t="str">
        <f>IFERROR(VLOOKUP(A1267,[3]DOORSCRIEFT!$A$2:$G$8551,3,FALSE),"")</f>
        <v/>
      </c>
      <c r="E1267" s="392" t="str">
        <f>IFERROR(VLOOKUP(A1267,[3]DOORSCRIEFT!$A$2:$G$8551,4,FALSE),"")</f>
        <v/>
      </c>
      <c r="F1267" s="405" t="str">
        <f>IFERROR(VLOOKUP(A1267,[3]DOORSCRIEFT!$A$2:$G$8551,6,FALSE),"")</f>
        <v/>
      </c>
      <c r="G1267" s="315"/>
    </row>
    <row r="1268" spans="1:7" ht="15.75" thickBot="1" x14ac:dyDescent="0.3">
      <c r="A1268" s="314"/>
      <c r="B1268" s="312"/>
      <c r="C1268" s="313"/>
      <c r="D1268" s="312"/>
      <c r="E1268" s="311" t="s">
        <v>644</v>
      </c>
      <c r="F1268" s="310">
        <f>SUM(F1219:F1267)</f>
        <v>11101000</v>
      </c>
      <c r="G1268" s="309">
        <f>SUM(G1219:G1267)</f>
        <v>0</v>
      </c>
    </row>
    <row r="1271" spans="1:7" ht="15.75" x14ac:dyDescent="0.25">
      <c r="C1271" s="332"/>
      <c r="D1271" s="333"/>
      <c r="E1271" s="332"/>
      <c r="F1271" s="327" t="s">
        <v>607</v>
      </c>
      <c r="G1271" s="327" t="s">
        <v>506</v>
      </c>
    </row>
    <row r="1272" spans="1:7" ht="15.75" x14ac:dyDescent="0.25">
      <c r="C1272" s="332"/>
      <c r="D1272" s="333"/>
      <c r="E1272" s="332"/>
      <c r="F1272" s="327" t="s">
        <v>601</v>
      </c>
      <c r="G1272" s="327" t="s">
        <v>656</v>
      </c>
    </row>
    <row r="1273" spans="1:7" x14ac:dyDescent="0.25">
      <c r="C1273" s="328"/>
      <c r="D1273" s="329"/>
      <c r="E1273" s="328"/>
      <c r="F1273" s="327" t="s">
        <v>651</v>
      </c>
      <c r="G1273" s="331">
        <f>[2]Sheet1!$D$47</f>
        <v>12000000</v>
      </c>
    </row>
    <row r="1274" spans="1:7" ht="15.75" thickBot="1" x14ac:dyDescent="0.3">
      <c r="C1274" s="328"/>
      <c r="D1274" s="329"/>
      <c r="E1274" s="328"/>
      <c r="F1274" s="327" t="s">
        <v>650</v>
      </c>
      <c r="G1274" s="326">
        <f>+F1338-G1273</f>
        <v>-11990000</v>
      </c>
    </row>
    <row r="1275" spans="1:7" x14ac:dyDescent="0.25">
      <c r="A1275" s="571" t="s">
        <v>655</v>
      </c>
      <c r="B1275" s="573" t="s">
        <v>606</v>
      </c>
      <c r="C1275" s="588" t="s">
        <v>649</v>
      </c>
      <c r="D1275" s="577" t="s">
        <v>648</v>
      </c>
      <c r="E1275" s="577" t="s">
        <v>647</v>
      </c>
      <c r="F1275" s="577" t="s">
        <v>646</v>
      </c>
      <c r="G1275" s="580" t="s">
        <v>645</v>
      </c>
    </row>
    <row r="1276" spans="1:7" ht="15.75" thickBot="1" x14ac:dyDescent="0.3">
      <c r="A1276" s="579"/>
      <c r="B1276" s="593"/>
      <c r="C1276" s="592"/>
      <c r="D1276" s="578"/>
      <c r="E1276" s="578"/>
      <c r="F1276" s="578"/>
      <c r="G1276" s="581"/>
    </row>
    <row r="1277" spans="1:7" ht="15.75" thickBot="1" x14ac:dyDescent="0.3">
      <c r="A1277" s="348">
        <v>1</v>
      </c>
      <c r="B1277" s="347">
        <v>2</v>
      </c>
      <c r="C1277" s="347">
        <v>3</v>
      </c>
      <c r="D1277" s="347">
        <v>4</v>
      </c>
      <c r="E1277" s="347">
        <v>5</v>
      </c>
      <c r="F1277" s="347">
        <v>6</v>
      </c>
      <c r="G1277" s="346">
        <v>7</v>
      </c>
    </row>
    <row r="1278" spans="1:7" x14ac:dyDescent="0.25">
      <c r="A1278" s="339" t="str">
        <f t="shared" ref="A1278:A1309" si="37">$G$1271&amp;B1278</f>
        <v>I.2.2.02.0211</v>
      </c>
      <c r="B1278" s="339">
        <v>1</v>
      </c>
      <c r="C1278" s="394">
        <f>IFERROR(VLOOKUP(A1278,[3]DOORSCRIEFT!$A$2:$G$8551,2,FALSE),"")</f>
        <v>393</v>
      </c>
      <c r="D1278" s="393">
        <f>IFERROR(VLOOKUP(A1278,[3]DOORSCRIEFT!$A$2:$G$8551,3,FALSE),"")</f>
        <v>46101</v>
      </c>
      <c r="E1278" s="392" t="str">
        <f>IFERROR(VLOOKUP(A1278,[3]DOORSCRIEFT!$A$2:$G$8551,4,FALSE),"")</f>
        <v>Kolekta Kebaktian Binakel Bethesda 2</v>
      </c>
      <c r="F1278" s="405">
        <f>IFERROR(VLOOKUP(A1278,[3]DOORSCRIEFT!$A$2:$G$8551,6,FALSE),"")</f>
        <v>10000</v>
      </c>
      <c r="G1278" s="440"/>
    </row>
    <row r="1279" spans="1:7" x14ac:dyDescent="0.25">
      <c r="A1279" s="339" t="str">
        <f t="shared" si="37"/>
        <v>I.2.2.02.0212</v>
      </c>
      <c r="B1279" s="319">
        <v>2</v>
      </c>
      <c r="C1279" s="394" t="str">
        <f>IFERROR(VLOOKUP(A1279,[3]DOORSCRIEFT!$A$2:$G$8551,2,FALSE),"")</f>
        <v/>
      </c>
      <c r="D1279" s="393" t="str">
        <f>IFERROR(VLOOKUP(A1279,[3]DOORSCRIEFT!$A$2:$G$8551,3,FALSE),"")</f>
        <v/>
      </c>
      <c r="E1279" s="392" t="str">
        <f>IFERROR(VLOOKUP(A1279,[3]DOORSCRIEFT!$A$2:$G$8551,4,FALSE),"")</f>
        <v/>
      </c>
      <c r="F1279" s="405" t="str">
        <f>IFERROR(VLOOKUP(A1279,[3]DOORSCRIEFT!$A$2:$G$8551,6,FALSE),"")</f>
        <v/>
      </c>
      <c r="G1279" s="444"/>
    </row>
    <row r="1280" spans="1:7" x14ac:dyDescent="0.25">
      <c r="A1280" s="339" t="str">
        <f t="shared" si="37"/>
        <v>I.2.2.02.0213</v>
      </c>
      <c r="B1280" s="319">
        <v>3</v>
      </c>
      <c r="C1280" s="394" t="str">
        <f>IFERROR(VLOOKUP(A1280,[3]DOORSCRIEFT!$A$2:$G$8551,2,FALSE),"")</f>
        <v/>
      </c>
      <c r="D1280" s="393" t="str">
        <f>IFERROR(VLOOKUP(A1280,[3]DOORSCRIEFT!$A$2:$G$8551,3,FALSE),"")</f>
        <v/>
      </c>
      <c r="E1280" s="392" t="str">
        <f>IFERROR(VLOOKUP(A1280,[3]DOORSCRIEFT!$A$2:$G$8551,4,FALSE),"")</f>
        <v/>
      </c>
      <c r="F1280" s="405" t="str">
        <f>IFERROR(VLOOKUP(A1280,[3]DOORSCRIEFT!$A$2:$G$8551,6,FALSE),"")</f>
        <v/>
      </c>
      <c r="G1280" s="444"/>
    </row>
    <row r="1281" spans="1:7" x14ac:dyDescent="0.25">
      <c r="A1281" s="339" t="str">
        <f t="shared" si="37"/>
        <v>I.2.2.02.0214</v>
      </c>
      <c r="B1281" s="319">
        <v>4</v>
      </c>
      <c r="C1281" s="394" t="str">
        <f>IFERROR(VLOOKUP(A1281,[3]DOORSCRIEFT!$A$2:$G$8551,2,FALSE),"")</f>
        <v/>
      </c>
      <c r="D1281" s="393" t="str">
        <f>IFERROR(VLOOKUP(A1281,[3]DOORSCRIEFT!$A$2:$G$8551,3,FALSE),"")</f>
        <v/>
      </c>
      <c r="E1281" s="392" t="str">
        <f>IFERROR(VLOOKUP(A1281,[3]DOORSCRIEFT!$A$2:$G$8551,4,FALSE),"")</f>
        <v/>
      </c>
      <c r="F1281" s="405" t="str">
        <f>IFERROR(VLOOKUP(A1281,[3]DOORSCRIEFT!$A$2:$G$8551,6,FALSE),"")</f>
        <v/>
      </c>
      <c r="G1281" s="444"/>
    </row>
    <row r="1282" spans="1:7" x14ac:dyDescent="0.25">
      <c r="A1282" s="339" t="str">
        <f t="shared" si="37"/>
        <v>I.2.2.02.0215</v>
      </c>
      <c r="B1282" s="319">
        <v>5</v>
      </c>
      <c r="C1282" s="394" t="str">
        <f>IFERROR(VLOOKUP(A1282,[3]DOORSCRIEFT!$A$2:$G$8551,2,FALSE),"")</f>
        <v/>
      </c>
      <c r="D1282" s="393" t="str">
        <f>IFERROR(VLOOKUP(A1282,[3]DOORSCRIEFT!$A$2:$G$8551,3,FALSE),"")</f>
        <v/>
      </c>
      <c r="E1282" s="392" t="str">
        <f>IFERROR(VLOOKUP(A1282,[3]DOORSCRIEFT!$A$2:$G$8551,4,FALSE),"")</f>
        <v/>
      </c>
      <c r="F1282" s="405" t="str">
        <f>IFERROR(VLOOKUP(A1282,[3]DOORSCRIEFT!$A$2:$G$8551,6,FALSE),"")</f>
        <v/>
      </c>
      <c r="G1282" s="444"/>
    </row>
    <row r="1283" spans="1:7" x14ac:dyDescent="0.25">
      <c r="A1283" s="339" t="str">
        <f t="shared" si="37"/>
        <v>I.2.2.02.0216</v>
      </c>
      <c r="B1283" s="319">
        <v>6</v>
      </c>
      <c r="C1283" s="394" t="str">
        <f>IFERROR(VLOOKUP(A1283,[3]DOORSCRIEFT!$A$2:$G$8551,2,FALSE),"")</f>
        <v/>
      </c>
      <c r="D1283" s="393" t="str">
        <f>IFERROR(VLOOKUP(A1283,[3]DOORSCRIEFT!$A$2:$G$8551,3,FALSE),"")</f>
        <v/>
      </c>
      <c r="E1283" s="392" t="str">
        <f>IFERROR(VLOOKUP(A1283,[3]DOORSCRIEFT!$A$2:$G$8551,4,FALSE),"")</f>
        <v/>
      </c>
      <c r="F1283" s="405" t="str">
        <f>IFERROR(VLOOKUP(A1283,[3]DOORSCRIEFT!$A$2:$G$8551,6,FALSE),"")</f>
        <v/>
      </c>
      <c r="G1283" s="444"/>
    </row>
    <row r="1284" spans="1:7" x14ac:dyDescent="0.25">
      <c r="A1284" s="339" t="str">
        <f t="shared" si="37"/>
        <v>I.2.2.02.0217</v>
      </c>
      <c r="B1284" s="319">
        <v>7</v>
      </c>
      <c r="C1284" s="394" t="str">
        <f>IFERROR(VLOOKUP(A1284,[3]DOORSCRIEFT!$A$2:$G$8551,2,FALSE),"")</f>
        <v/>
      </c>
      <c r="D1284" s="393" t="str">
        <f>IFERROR(VLOOKUP(A1284,[3]DOORSCRIEFT!$A$2:$G$8551,3,FALSE),"")</f>
        <v/>
      </c>
      <c r="E1284" s="392" t="str">
        <f>IFERROR(VLOOKUP(A1284,[3]DOORSCRIEFT!$A$2:$G$8551,4,FALSE),"")</f>
        <v/>
      </c>
      <c r="F1284" s="405" t="str">
        <f>IFERROR(VLOOKUP(A1284,[3]DOORSCRIEFT!$A$2:$G$8551,6,FALSE),"")</f>
        <v/>
      </c>
      <c r="G1284" s="444"/>
    </row>
    <row r="1285" spans="1:7" x14ac:dyDescent="0.25">
      <c r="A1285" s="339" t="str">
        <f t="shared" si="37"/>
        <v>I.2.2.02.0218</v>
      </c>
      <c r="B1285" s="319">
        <v>8</v>
      </c>
      <c r="C1285" s="394" t="str">
        <f>IFERROR(VLOOKUP(A1285,[3]DOORSCRIEFT!$A$2:$G$8551,2,FALSE),"")</f>
        <v/>
      </c>
      <c r="D1285" s="393" t="str">
        <f>IFERROR(VLOOKUP(A1285,[3]DOORSCRIEFT!$A$2:$G$8551,3,FALSE),"")</f>
        <v/>
      </c>
      <c r="E1285" s="392" t="str">
        <f>IFERROR(VLOOKUP(A1285,[3]DOORSCRIEFT!$A$2:$G$8551,4,FALSE),"")</f>
        <v/>
      </c>
      <c r="F1285" s="405" t="str">
        <f>IFERROR(VLOOKUP(A1285,[3]DOORSCRIEFT!$A$2:$G$8551,6,FALSE),"")</f>
        <v/>
      </c>
      <c r="G1285" s="444"/>
    </row>
    <row r="1286" spans="1:7" x14ac:dyDescent="0.25">
      <c r="A1286" s="339" t="str">
        <f t="shared" si="37"/>
        <v>I.2.2.02.0219</v>
      </c>
      <c r="B1286" s="319">
        <v>9</v>
      </c>
      <c r="C1286" s="394" t="str">
        <f>IFERROR(VLOOKUP(A1286,[3]DOORSCRIEFT!$A$2:$G$8551,2,FALSE),"")</f>
        <v/>
      </c>
      <c r="D1286" s="393" t="str">
        <f>IFERROR(VLOOKUP(A1286,[3]DOORSCRIEFT!$A$2:$G$8551,3,FALSE),"")</f>
        <v/>
      </c>
      <c r="E1286" s="392" t="str">
        <f>IFERROR(VLOOKUP(A1286,[3]DOORSCRIEFT!$A$2:$G$8551,4,FALSE),"")</f>
        <v/>
      </c>
      <c r="F1286" s="405" t="str">
        <f>IFERROR(VLOOKUP(A1286,[3]DOORSCRIEFT!$A$2:$G$8551,6,FALSE),"")</f>
        <v/>
      </c>
      <c r="G1286" s="444"/>
    </row>
    <row r="1287" spans="1:7" x14ac:dyDescent="0.25">
      <c r="A1287" s="339" t="str">
        <f t="shared" si="37"/>
        <v>I.2.2.02.02110</v>
      </c>
      <c r="B1287" s="319">
        <v>10</v>
      </c>
      <c r="C1287" s="394" t="str">
        <f>IFERROR(VLOOKUP(A1287,[3]DOORSCRIEFT!$A$2:$G$8551,2,FALSE),"")</f>
        <v/>
      </c>
      <c r="D1287" s="393" t="str">
        <f>IFERROR(VLOOKUP(A1287,[3]DOORSCRIEFT!$A$2:$G$8551,3,FALSE),"")</f>
        <v/>
      </c>
      <c r="E1287" s="392" t="str">
        <f>IFERROR(VLOOKUP(A1287,[3]DOORSCRIEFT!$A$2:$G$8551,4,FALSE),"")</f>
        <v/>
      </c>
      <c r="F1287" s="405" t="str">
        <f>IFERROR(VLOOKUP(A1287,[3]DOORSCRIEFT!$A$2:$G$8551,6,FALSE),"")</f>
        <v/>
      </c>
      <c r="G1287" s="444"/>
    </row>
    <row r="1288" spans="1:7" x14ac:dyDescent="0.25">
      <c r="A1288" s="339" t="str">
        <f t="shared" si="37"/>
        <v>I.2.2.02.02111</v>
      </c>
      <c r="B1288" s="319">
        <v>11</v>
      </c>
      <c r="C1288" s="394" t="str">
        <f>IFERROR(VLOOKUP(A1288,[3]DOORSCRIEFT!$A$2:$G$8551,2,FALSE),"")</f>
        <v/>
      </c>
      <c r="D1288" s="393" t="str">
        <f>IFERROR(VLOOKUP(A1288,[3]DOORSCRIEFT!$A$2:$G$8551,3,FALSE),"")</f>
        <v/>
      </c>
      <c r="E1288" s="392" t="str">
        <f>IFERROR(VLOOKUP(A1288,[3]DOORSCRIEFT!$A$2:$G$8551,4,FALSE),"")</f>
        <v/>
      </c>
      <c r="F1288" s="405" t="str">
        <f>IFERROR(VLOOKUP(A1288,[3]DOORSCRIEFT!$A$2:$G$8551,6,FALSE),"")</f>
        <v/>
      </c>
      <c r="G1288" s="444"/>
    </row>
    <row r="1289" spans="1:7" x14ac:dyDescent="0.25">
      <c r="A1289" s="339" t="str">
        <f t="shared" si="37"/>
        <v>I.2.2.02.02112</v>
      </c>
      <c r="B1289" s="319">
        <v>12</v>
      </c>
      <c r="C1289" s="394" t="str">
        <f>IFERROR(VLOOKUP(A1289,[3]DOORSCRIEFT!$A$2:$G$8551,2,FALSE),"")</f>
        <v/>
      </c>
      <c r="D1289" s="393" t="str">
        <f>IFERROR(VLOOKUP(A1289,[3]DOORSCRIEFT!$A$2:$G$8551,3,FALSE),"")</f>
        <v/>
      </c>
      <c r="E1289" s="392" t="str">
        <f>IFERROR(VLOOKUP(A1289,[3]DOORSCRIEFT!$A$2:$G$8551,4,FALSE),"")</f>
        <v/>
      </c>
      <c r="F1289" s="405" t="str">
        <f>IFERROR(VLOOKUP(A1289,[3]DOORSCRIEFT!$A$2:$G$8551,6,FALSE),"")</f>
        <v/>
      </c>
      <c r="G1289" s="444"/>
    </row>
    <row r="1290" spans="1:7" x14ac:dyDescent="0.25">
      <c r="A1290" s="339" t="str">
        <f t="shared" si="37"/>
        <v>I.2.2.02.02113</v>
      </c>
      <c r="B1290" s="319">
        <v>13</v>
      </c>
      <c r="C1290" s="394" t="str">
        <f>IFERROR(VLOOKUP(A1290,[3]DOORSCRIEFT!$A$2:$G$8551,2,FALSE),"")</f>
        <v/>
      </c>
      <c r="D1290" s="393" t="str">
        <f>IFERROR(VLOOKUP(A1290,[3]DOORSCRIEFT!$A$2:$G$8551,3,FALSE),"")</f>
        <v/>
      </c>
      <c r="E1290" s="392" t="str">
        <f>IFERROR(VLOOKUP(A1290,[3]DOORSCRIEFT!$A$2:$G$8551,4,FALSE),"")</f>
        <v/>
      </c>
      <c r="F1290" s="405" t="str">
        <f>IFERROR(VLOOKUP(A1290,[3]DOORSCRIEFT!$A$2:$G$8551,6,FALSE),"")</f>
        <v/>
      </c>
      <c r="G1290" s="444"/>
    </row>
    <row r="1291" spans="1:7" x14ac:dyDescent="0.25">
      <c r="A1291" s="339" t="str">
        <f t="shared" si="37"/>
        <v>I.2.2.02.02114</v>
      </c>
      <c r="B1291" s="319">
        <v>14</v>
      </c>
      <c r="C1291" s="394" t="str">
        <f>IFERROR(VLOOKUP(A1291,[3]DOORSCRIEFT!$A$2:$G$8551,2,FALSE),"")</f>
        <v/>
      </c>
      <c r="D1291" s="393" t="str">
        <f>IFERROR(VLOOKUP(A1291,[3]DOORSCRIEFT!$A$2:$G$8551,3,FALSE),"")</f>
        <v/>
      </c>
      <c r="E1291" s="392" t="str">
        <f>IFERROR(VLOOKUP(A1291,[3]DOORSCRIEFT!$A$2:$G$8551,4,FALSE),"")</f>
        <v/>
      </c>
      <c r="F1291" s="405" t="str">
        <f>IFERROR(VLOOKUP(A1291,[3]DOORSCRIEFT!$A$2:$G$8551,6,FALSE),"")</f>
        <v/>
      </c>
      <c r="G1291" s="444"/>
    </row>
    <row r="1292" spans="1:7" x14ac:dyDescent="0.25">
      <c r="A1292" s="339" t="str">
        <f t="shared" si="37"/>
        <v>I.2.2.02.02115</v>
      </c>
      <c r="B1292" s="319">
        <v>15</v>
      </c>
      <c r="C1292" s="394" t="str">
        <f>IFERROR(VLOOKUP(A1292,[3]DOORSCRIEFT!$A$2:$G$8551,2,FALSE),"")</f>
        <v/>
      </c>
      <c r="D1292" s="393" t="str">
        <f>IFERROR(VLOOKUP(A1292,[3]DOORSCRIEFT!$A$2:$G$8551,3,FALSE),"")</f>
        <v/>
      </c>
      <c r="E1292" s="392" t="str">
        <f>IFERROR(VLOOKUP(A1292,[3]DOORSCRIEFT!$A$2:$G$8551,4,FALSE),"")</f>
        <v/>
      </c>
      <c r="F1292" s="405" t="str">
        <f>IFERROR(VLOOKUP(A1292,[3]DOORSCRIEFT!$A$2:$G$8551,6,FALSE),"")</f>
        <v/>
      </c>
      <c r="G1292" s="444"/>
    </row>
    <row r="1293" spans="1:7" x14ac:dyDescent="0.25">
      <c r="A1293" s="339" t="str">
        <f t="shared" si="37"/>
        <v>I.2.2.02.02116</v>
      </c>
      <c r="B1293" s="319">
        <v>16</v>
      </c>
      <c r="C1293" s="394" t="str">
        <f>IFERROR(VLOOKUP(A1293,[3]DOORSCRIEFT!$A$2:$G$8551,2,FALSE),"")</f>
        <v/>
      </c>
      <c r="D1293" s="393" t="str">
        <f>IFERROR(VLOOKUP(A1293,[3]DOORSCRIEFT!$A$2:$G$8551,3,FALSE),"")</f>
        <v/>
      </c>
      <c r="E1293" s="392" t="str">
        <f>IFERROR(VLOOKUP(A1293,[3]DOORSCRIEFT!$A$2:$G$8551,4,FALSE),"")</f>
        <v/>
      </c>
      <c r="F1293" s="405" t="str">
        <f>IFERROR(VLOOKUP(A1293,[3]DOORSCRIEFT!$A$2:$G$8551,6,FALSE),"")</f>
        <v/>
      </c>
      <c r="G1293" s="444"/>
    </row>
    <row r="1294" spans="1:7" x14ac:dyDescent="0.25">
      <c r="A1294" s="339" t="str">
        <f t="shared" si="37"/>
        <v>I.2.2.02.02117</v>
      </c>
      <c r="B1294" s="319">
        <v>17</v>
      </c>
      <c r="C1294" s="394" t="str">
        <f>IFERROR(VLOOKUP(A1294,[3]DOORSCRIEFT!$A$2:$G$8551,2,FALSE),"")</f>
        <v/>
      </c>
      <c r="D1294" s="393" t="str">
        <f>IFERROR(VLOOKUP(A1294,[3]DOORSCRIEFT!$A$2:$G$8551,3,FALSE),"")</f>
        <v/>
      </c>
      <c r="E1294" s="392" t="str">
        <f>IFERROR(VLOOKUP(A1294,[3]DOORSCRIEFT!$A$2:$G$8551,4,FALSE),"")</f>
        <v/>
      </c>
      <c r="F1294" s="405" t="str">
        <f>IFERROR(VLOOKUP(A1294,[3]DOORSCRIEFT!$A$2:$G$8551,6,FALSE),"")</f>
        <v/>
      </c>
      <c r="G1294" s="444"/>
    </row>
    <row r="1295" spans="1:7" x14ac:dyDescent="0.25">
      <c r="A1295" s="339" t="str">
        <f t="shared" si="37"/>
        <v>I.2.2.02.02118</v>
      </c>
      <c r="B1295" s="319">
        <v>18</v>
      </c>
      <c r="C1295" s="394" t="str">
        <f>IFERROR(VLOOKUP(A1295,[3]DOORSCRIEFT!$A$2:$G$8551,2,FALSE),"")</f>
        <v/>
      </c>
      <c r="D1295" s="393" t="str">
        <f>IFERROR(VLOOKUP(A1295,[3]DOORSCRIEFT!$A$2:$G$8551,3,FALSE),"")</f>
        <v/>
      </c>
      <c r="E1295" s="392" t="str">
        <f>IFERROR(VLOOKUP(A1295,[3]DOORSCRIEFT!$A$2:$G$8551,4,FALSE),"")</f>
        <v/>
      </c>
      <c r="F1295" s="405" t="str">
        <f>IFERROR(VLOOKUP(A1295,[3]DOORSCRIEFT!$A$2:$G$8551,6,FALSE),"")</f>
        <v/>
      </c>
      <c r="G1295" s="444"/>
    </row>
    <row r="1296" spans="1:7" x14ac:dyDescent="0.25">
      <c r="A1296" s="339" t="str">
        <f t="shared" si="37"/>
        <v>I.2.2.02.02119</v>
      </c>
      <c r="B1296" s="319">
        <v>19</v>
      </c>
      <c r="C1296" s="394" t="str">
        <f>IFERROR(VLOOKUP(A1296,[3]DOORSCRIEFT!$A$2:$G$8551,2,FALSE),"")</f>
        <v/>
      </c>
      <c r="D1296" s="393" t="str">
        <f>IFERROR(VLOOKUP(A1296,[3]DOORSCRIEFT!$A$2:$G$8551,3,FALSE),"")</f>
        <v/>
      </c>
      <c r="E1296" s="392" t="str">
        <f>IFERROR(VLOOKUP(A1296,[3]DOORSCRIEFT!$A$2:$G$8551,4,FALSE),"")</f>
        <v/>
      </c>
      <c r="F1296" s="405" t="str">
        <f>IFERROR(VLOOKUP(A1296,[3]DOORSCRIEFT!$A$2:$G$8551,6,FALSE),"")</f>
        <v/>
      </c>
      <c r="G1296" s="444"/>
    </row>
    <row r="1297" spans="1:7" x14ac:dyDescent="0.25">
      <c r="A1297" s="339" t="str">
        <f t="shared" si="37"/>
        <v>I.2.2.02.02120</v>
      </c>
      <c r="B1297" s="319">
        <v>20</v>
      </c>
      <c r="C1297" s="394" t="str">
        <f>IFERROR(VLOOKUP(A1297,[3]DOORSCRIEFT!$A$2:$G$8551,2,FALSE),"")</f>
        <v/>
      </c>
      <c r="D1297" s="393" t="str">
        <f>IFERROR(VLOOKUP(A1297,[3]DOORSCRIEFT!$A$2:$G$8551,3,FALSE),"")</f>
        <v/>
      </c>
      <c r="E1297" s="392" t="str">
        <f>IFERROR(VLOOKUP(A1297,[3]DOORSCRIEFT!$A$2:$G$8551,4,FALSE),"")</f>
        <v/>
      </c>
      <c r="F1297" s="405" t="str">
        <f>IFERROR(VLOOKUP(A1297,[3]DOORSCRIEFT!$A$2:$G$8551,6,FALSE),"")</f>
        <v/>
      </c>
      <c r="G1297" s="444"/>
    </row>
    <row r="1298" spans="1:7" x14ac:dyDescent="0.25">
      <c r="A1298" s="339" t="str">
        <f t="shared" si="37"/>
        <v>I.2.2.02.02121</v>
      </c>
      <c r="B1298" s="319">
        <v>21</v>
      </c>
      <c r="C1298" s="394" t="str">
        <f>IFERROR(VLOOKUP(A1298,[3]DOORSCRIEFT!$A$2:$G$8551,2,FALSE),"")</f>
        <v/>
      </c>
      <c r="D1298" s="393" t="str">
        <f>IFERROR(VLOOKUP(A1298,[3]DOORSCRIEFT!$A$2:$G$8551,3,FALSE),"")</f>
        <v/>
      </c>
      <c r="E1298" s="392" t="str">
        <f>IFERROR(VLOOKUP(A1298,[3]DOORSCRIEFT!$A$2:$G$8551,4,FALSE),"")</f>
        <v/>
      </c>
      <c r="F1298" s="405" t="str">
        <f>IFERROR(VLOOKUP(A1298,[3]DOORSCRIEFT!$A$2:$G$8551,6,FALSE),"")</f>
        <v/>
      </c>
      <c r="G1298" s="444"/>
    </row>
    <row r="1299" spans="1:7" x14ac:dyDescent="0.25">
      <c r="A1299" s="339" t="str">
        <f t="shared" si="37"/>
        <v>I.2.2.02.02122</v>
      </c>
      <c r="B1299" s="319">
        <v>22</v>
      </c>
      <c r="C1299" s="394" t="str">
        <f>IFERROR(VLOOKUP(A1299,[3]DOORSCRIEFT!$A$2:$G$8551,2,FALSE),"")</f>
        <v/>
      </c>
      <c r="D1299" s="393" t="str">
        <f>IFERROR(VLOOKUP(A1299,[3]DOORSCRIEFT!$A$2:$G$8551,3,FALSE),"")</f>
        <v/>
      </c>
      <c r="E1299" s="392" t="str">
        <f>IFERROR(VLOOKUP(A1299,[3]DOORSCRIEFT!$A$2:$G$8551,4,FALSE),"")</f>
        <v/>
      </c>
      <c r="F1299" s="405" t="str">
        <f>IFERROR(VLOOKUP(A1299,[3]DOORSCRIEFT!$A$2:$G$8551,6,FALSE),"")</f>
        <v/>
      </c>
      <c r="G1299" s="444"/>
    </row>
    <row r="1300" spans="1:7" x14ac:dyDescent="0.25">
      <c r="A1300" s="339" t="str">
        <f t="shared" si="37"/>
        <v>I.2.2.02.02123</v>
      </c>
      <c r="B1300" s="319">
        <v>23</v>
      </c>
      <c r="C1300" s="394" t="str">
        <f>IFERROR(VLOOKUP(A1300,[3]DOORSCRIEFT!$A$2:$G$8551,2,FALSE),"")</f>
        <v/>
      </c>
      <c r="D1300" s="393" t="str">
        <f>IFERROR(VLOOKUP(A1300,[3]DOORSCRIEFT!$A$2:$G$8551,3,FALSE),"")</f>
        <v/>
      </c>
      <c r="E1300" s="392" t="str">
        <f>IFERROR(VLOOKUP(A1300,[3]DOORSCRIEFT!$A$2:$G$8551,4,FALSE),"")</f>
        <v/>
      </c>
      <c r="F1300" s="405" t="str">
        <f>IFERROR(VLOOKUP(A1300,[3]DOORSCRIEFT!$A$2:$G$8551,6,FALSE),"")</f>
        <v/>
      </c>
      <c r="G1300" s="444"/>
    </row>
    <row r="1301" spans="1:7" x14ac:dyDescent="0.25">
      <c r="A1301" s="339" t="str">
        <f t="shared" si="37"/>
        <v>I.2.2.02.02124</v>
      </c>
      <c r="B1301" s="319">
        <v>24</v>
      </c>
      <c r="C1301" s="394" t="str">
        <f>IFERROR(VLOOKUP(A1301,[3]DOORSCRIEFT!$A$2:$G$8551,2,FALSE),"")</f>
        <v/>
      </c>
      <c r="D1301" s="393" t="str">
        <f>IFERROR(VLOOKUP(A1301,[3]DOORSCRIEFT!$A$2:$G$8551,3,FALSE),"")</f>
        <v/>
      </c>
      <c r="E1301" s="392" t="str">
        <f>IFERROR(VLOOKUP(A1301,[3]DOORSCRIEFT!$A$2:$G$8551,4,FALSE),"")</f>
        <v/>
      </c>
      <c r="F1301" s="405" t="str">
        <f>IFERROR(VLOOKUP(A1301,[3]DOORSCRIEFT!$A$2:$G$8551,6,FALSE),"")</f>
        <v/>
      </c>
      <c r="G1301" s="444"/>
    </row>
    <row r="1302" spans="1:7" x14ac:dyDescent="0.25">
      <c r="A1302" s="339" t="str">
        <f t="shared" si="37"/>
        <v>I.2.2.02.02125</v>
      </c>
      <c r="B1302" s="319">
        <v>25</v>
      </c>
      <c r="C1302" s="394" t="str">
        <f>IFERROR(VLOOKUP(A1302,[3]DOORSCRIEFT!$A$2:$G$8551,2,FALSE),"")</f>
        <v/>
      </c>
      <c r="D1302" s="393" t="str">
        <f>IFERROR(VLOOKUP(A1302,[3]DOORSCRIEFT!$A$2:$G$8551,3,FALSE),"")</f>
        <v/>
      </c>
      <c r="E1302" s="392" t="str">
        <f>IFERROR(VLOOKUP(A1302,[3]DOORSCRIEFT!$A$2:$G$8551,4,FALSE),"")</f>
        <v/>
      </c>
      <c r="F1302" s="405" t="str">
        <f>IFERROR(VLOOKUP(A1302,[3]DOORSCRIEFT!$A$2:$G$8551,6,FALSE),"")</f>
        <v/>
      </c>
      <c r="G1302" s="444"/>
    </row>
    <row r="1303" spans="1:7" x14ac:dyDescent="0.25">
      <c r="A1303" s="339" t="str">
        <f t="shared" si="37"/>
        <v>I.2.2.02.02126</v>
      </c>
      <c r="B1303" s="319">
        <v>26</v>
      </c>
      <c r="C1303" s="394" t="str">
        <f>IFERROR(VLOOKUP(A1303,[3]DOORSCRIEFT!$A$2:$G$8551,2,FALSE),"")</f>
        <v/>
      </c>
      <c r="D1303" s="393" t="str">
        <f>IFERROR(VLOOKUP(A1303,[3]DOORSCRIEFT!$A$2:$G$8551,3,FALSE),"")</f>
        <v/>
      </c>
      <c r="E1303" s="392" t="str">
        <f>IFERROR(VLOOKUP(A1303,[3]DOORSCRIEFT!$A$2:$G$8551,4,FALSE),"")</f>
        <v/>
      </c>
      <c r="F1303" s="405" t="str">
        <f>IFERROR(VLOOKUP(A1303,[3]DOORSCRIEFT!$A$2:$G$8551,6,FALSE),"")</f>
        <v/>
      </c>
      <c r="G1303" s="444"/>
    </row>
    <row r="1304" spans="1:7" x14ac:dyDescent="0.25">
      <c r="A1304" s="339" t="str">
        <f t="shared" si="37"/>
        <v>I.2.2.02.02127</v>
      </c>
      <c r="B1304" s="319">
        <v>27</v>
      </c>
      <c r="C1304" s="394" t="str">
        <f>IFERROR(VLOOKUP(A1304,[3]DOORSCRIEFT!$A$2:$G$8551,2,FALSE),"")</f>
        <v/>
      </c>
      <c r="D1304" s="393" t="str">
        <f>IFERROR(VLOOKUP(A1304,[3]DOORSCRIEFT!$A$2:$G$8551,3,FALSE),"")</f>
        <v/>
      </c>
      <c r="E1304" s="392" t="str">
        <f>IFERROR(VLOOKUP(A1304,[3]DOORSCRIEFT!$A$2:$G$8551,4,FALSE),"")</f>
        <v/>
      </c>
      <c r="F1304" s="405" t="str">
        <f>IFERROR(VLOOKUP(A1304,[3]DOORSCRIEFT!$A$2:$G$8551,6,FALSE),"")</f>
        <v/>
      </c>
      <c r="G1304" s="444"/>
    </row>
    <row r="1305" spans="1:7" x14ac:dyDescent="0.25">
      <c r="A1305" s="339" t="str">
        <f t="shared" si="37"/>
        <v>I.2.2.02.02128</v>
      </c>
      <c r="B1305" s="319">
        <v>28</v>
      </c>
      <c r="C1305" s="394" t="str">
        <f>IFERROR(VLOOKUP(A1305,[3]DOORSCRIEFT!$A$2:$G$8551,2,FALSE),"")</f>
        <v/>
      </c>
      <c r="D1305" s="393" t="str">
        <f>IFERROR(VLOOKUP(A1305,[3]DOORSCRIEFT!$A$2:$G$8551,3,FALSE),"")</f>
        <v/>
      </c>
      <c r="E1305" s="392" t="str">
        <f>IFERROR(VLOOKUP(A1305,[3]DOORSCRIEFT!$A$2:$G$8551,4,FALSE),"")</f>
        <v/>
      </c>
      <c r="F1305" s="405" t="str">
        <f>IFERROR(VLOOKUP(A1305,[3]DOORSCRIEFT!$A$2:$G$8551,6,FALSE),"")</f>
        <v/>
      </c>
      <c r="G1305" s="444"/>
    </row>
    <row r="1306" spans="1:7" x14ac:dyDescent="0.25">
      <c r="A1306" s="339" t="str">
        <f t="shared" si="37"/>
        <v>I.2.2.02.02129</v>
      </c>
      <c r="B1306" s="319">
        <v>29</v>
      </c>
      <c r="C1306" s="394" t="str">
        <f>IFERROR(VLOOKUP(A1306,[3]DOORSCRIEFT!$A$2:$G$8551,2,FALSE),"")</f>
        <v/>
      </c>
      <c r="D1306" s="393" t="str">
        <f>IFERROR(VLOOKUP(A1306,[3]DOORSCRIEFT!$A$2:$G$8551,3,FALSE),"")</f>
        <v/>
      </c>
      <c r="E1306" s="392" t="str">
        <f>IFERROR(VLOOKUP(A1306,[3]DOORSCRIEFT!$A$2:$G$8551,4,FALSE),"")</f>
        <v/>
      </c>
      <c r="F1306" s="405" t="str">
        <f>IFERROR(VLOOKUP(A1306,[3]DOORSCRIEFT!$A$2:$G$8551,6,FALSE),"")</f>
        <v/>
      </c>
      <c r="G1306" s="444"/>
    </row>
    <row r="1307" spans="1:7" x14ac:dyDescent="0.25">
      <c r="A1307" s="339" t="str">
        <f t="shared" si="37"/>
        <v>I.2.2.02.02130</v>
      </c>
      <c r="B1307" s="319">
        <v>30</v>
      </c>
      <c r="C1307" s="394" t="str">
        <f>IFERROR(VLOOKUP(A1307,[3]DOORSCRIEFT!$A$2:$G$8551,2,FALSE),"")</f>
        <v/>
      </c>
      <c r="D1307" s="393" t="str">
        <f>IFERROR(VLOOKUP(A1307,[3]DOORSCRIEFT!$A$2:$G$8551,3,FALSE),"")</f>
        <v/>
      </c>
      <c r="E1307" s="392" t="str">
        <f>IFERROR(VLOOKUP(A1307,[3]DOORSCRIEFT!$A$2:$G$8551,4,FALSE),"")</f>
        <v/>
      </c>
      <c r="F1307" s="405" t="str">
        <f>IFERROR(VLOOKUP(A1307,[3]DOORSCRIEFT!$A$2:$G$8551,6,FALSE),"")</f>
        <v/>
      </c>
      <c r="G1307" s="444"/>
    </row>
    <row r="1308" spans="1:7" x14ac:dyDescent="0.25">
      <c r="A1308" s="339" t="str">
        <f t="shared" si="37"/>
        <v>I.2.2.02.02131</v>
      </c>
      <c r="B1308" s="319">
        <v>31</v>
      </c>
      <c r="C1308" s="394" t="str">
        <f>IFERROR(VLOOKUP(A1308,[3]DOORSCRIEFT!$A$2:$G$8551,2,FALSE),"")</f>
        <v/>
      </c>
      <c r="D1308" s="393" t="str">
        <f>IFERROR(VLOOKUP(A1308,[3]DOORSCRIEFT!$A$2:$G$8551,3,FALSE),"")</f>
        <v/>
      </c>
      <c r="E1308" s="392" t="str">
        <f>IFERROR(VLOOKUP(A1308,[3]DOORSCRIEFT!$A$2:$G$8551,4,FALSE),"")</f>
        <v/>
      </c>
      <c r="F1308" s="405" t="str">
        <f>IFERROR(VLOOKUP(A1308,[3]DOORSCRIEFT!$A$2:$G$8551,6,FALSE),"")</f>
        <v/>
      </c>
      <c r="G1308" s="444"/>
    </row>
    <row r="1309" spans="1:7" x14ac:dyDescent="0.25">
      <c r="A1309" s="339" t="str">
        <f t="shared" si="37"/>
        <v>I.2.2.02.02132</v>
      </c>
      <c r="B1309" s="319">
        <v>32</v>
      </c>
      <c r="C1309" s="394" t="str">
        <f>IFERROR(VLOOKUP(A1309,[3]DOORSCRIEFT!$A$2:$G$8551,2,FALSE),"")</f>
        <v/>
      </c>
      <c r="D1309" s="393" t="str">
        <f>IFERROR(VLOOKUP(A1309,[3]DOORSCRIEFT!$A$2:$G$8551,3,FALSE),"")</f>
        <v/>
      </c>
      <c r="E1309" s="392" t="str">
        <f>IFERROR(VLOOKUP(A1309,[3]DOORSCRIEFT!$A$2:$G$8551,4,FALSE),"")</f>
        <v/>
      </c>
      <c r="F1309" s="405" t="str">
        <f>IFERROR(VLOOKUP(A1309,[3]DOORSCRIEFT!$A$2:$G$8551,6,FALSE),"")</f>
        <v/>
      </c>
      <c r="G1309" s="444"/>
    </row>
    <row r="1310" spans="1:7" x14ac:dyDescent="0.25">
      <c r="A1310" s="339" t="str">
        <f t="shared" ref="A1310:A1341" si="38">$G$1271&amp;B1310</f>
        <v>I.2.2.02.02133</v>
      </c>
      <c r="B1310" s="319">
        <v>33</v>
      </c>
      <c r="C1310" s="394" t="str">
        <f>IFERROR(VLOOKUP(A1310,[3]DOORSCRIEFT!$A$2:$G$8551,2,FALSE),"")</f>
        <v/>
      </c>
      <c r="D1310" s="393" t="str">
        <f>IFERROR(VLOOKUP(A1310,[3]DOORSCRIEFT!$A$2:$G$8551,3,FALSE),"")</f>
        <v/>
      </c>
      <c r="E1310" s="392" t="str">
        <f>IFERROR(VLOOKUP(A1310,[3]DOORSCRIEFT!$A$2:$G$8551,4,FALSE),"")</f>
        <v/>
      </c>
      <c r="F1310" s="405" t="str">
        <f>IFERROR(VLOOKUP(A1310,[3]DOORSCRIEFT!$A$2:$G$8551,6,FALSE),"")</f>
        <v/>
      </c>
      <c r="G1310" s="444"/>
    </row>
    <row r="1311" spans="1:7" x14ac:dyDescent="0.25">
      <c r="A1311" s="339" t="str">
        <f t="shared" si="38"/>
        <v>I.2.2.02.02134</v>
      </c>
      <c r="B1311" s="319">
        <v>34</v>
      </c>
      <c r="C1311" s="394" t="str">
        <f>IFERROR(VLOOKUP(A1311,[3]DOORSCRIEFT!$A$2:$G$8551,2,FALSE),"")</f>
        <v/>
      </c>
      <c r="D1311" s="393" t="str">
        <f>IFERROR(VLOOKUP(A1311,[3]DOORSCRIEFT!$A$2:$G$8551,3,FALSE),"")</f>
        <v/>
      </c>
      <c r="E1311" s="392" t="str">
        <f>IFERROR(VLOOKUP(A1311,[3]DOORSCRIEFT!$A$2:$G$8551,4,FALSE),"")</f>
        <v/>
      </c>
      <c r="F1311" s="405" t="str">
        <f>IFERROR(VLOOKUP(A1311,[3]DOORSCRIEFT!$A$2:$G$8551,6,FALSE),"")</f>
        <v/>
      </c>
      <c r="G1311" s="444"/>
    </row>
    <row r="1312" spans="1:7" x14ac:dyDescent="0.25">
      <c r="A1312" s="339" t="str">
        <f t="shared" si="38"/>
        <v>I.2.2.02.02135</v>
      </c>
      <c r="B1312" s="319">
        <v>35</v>
      </c>
      <c r="C1312" s="394" t="str">
        <f>IFERROR(VLOOKUP(A1312,[3]DOORSCRIEFT!$A$2:$G$8551,2,FALSE),"")</f>
        <v/>
      </c>
      <c r="D1312" s="393" t="str">
        <f>IFERROR(VLOOKUP(A1312,[3]DOORSCRIEFT!$A$2:$G$8551,3,FALSE),"")</f>
        <v/>
      </c>
      <c r="E1312" s="392" t="str">
        <f>IFERROR(VLOOKUP(A1312,[3]DOORSCRIEFT!$A$2:$G$8551,4,FALSE),"")</f>
        <v/>
      </c>
      <c r="F1312" s="405" t="str">
        <f>IFERROR(VLOOKUP(A1312,[3]DOORSCRIEFT!$A$2:$G$8551,6,FALSE),"")</f>
        <v/>
      </c>
      <c r="G1312" s="444"/>
    </row>
    <row r="1313" spans="1:7" x14ac:dyDescent="0.25">
      <c r="A1313" s="339" t="str">
        <f t="shared" si="38"/>
        <v>I.2.2.02.02136</v>
      </c>
      <c r="B1313" s="319">
        <v>36</v>
      </c>
      <c r="C1313" s="394" t="str">
        <f>IFERROR(VLOOKUP(A1313,[3]DOORSCRIEFT!$A$2:$G$8551,2,FALSE),"")</f>
        <v/>
      </c>
      <c r="D1313" s="393" t="str">
        <f>IFERROR(VLOOKUP(A1313,[3]DOORSCRIEFT!$A$2:$G$8551,3,FALSE),"")</f>
        <v/>
      </c>
      <c r="E1313" s="392" t="str">
        <f>IFERROR(VLOOKUP(A1313,[3]DOORSCRIEFT!$A$2:$G$8551,4,FALSE),"")</f>
        <v/>
      </c>
      <c r="F1313" s="405" t="str">
        <f>IFERROR(VLOOKUP(A1313,[3]DOORSCRIEFT!$A$2:$G$8551,6,FALSE),"")</f>
        <v/>
      </c>
      <c r="G1313" s="444"/>
    </row>
    <row r="1314" spans="1:7" x14ac:dyDescent="0.25">
      <c r="A1314" s="339" t="str">
        <f t="shared" si="38"/>
        <v>I.2.2.02.02137</v>
      </c>
      <c r="B1314" s="319">
        <v>37</v>
      </c>
      <c r="C1314" s="394" t="str">
        <f>IFERROR(VLOOKUP(A1314,[3]DOORSCRIEFT!$A$2:$G$8551,2,FALSE),"")</f>
        <v/>
      </c>
      <c r="D1314" s="393" t="str">
        <f>IFERROR(VLOOKUP(A1314,[3]DOORSCRIEFT!$A$2:$G$8551,3,FALSE),"")</f>
        <v/>
      </c>
      <c r="E1314" s="392" t="str">
        <f>IFERROR(VLOOKUP(A1314,[3]DOORSCRIEFT!$A$2:$G$8551,4,FALSE),"")</f>
        <v/>
      </c>
      <c r="F1314" s="405" t="str">
        <f>IFERROR(VLOOKUP(A1314,[3]DOORSCRIEFT!$A$2:$G$8551,6,FALSE),"")</f>
        <v/>
      </c>
      <c r="G1314" s="444"/>
    </row>
    <row r="1315" spans="1:7" x14ac:dyDescent="0.25">
      <c r="A1315" s="339" t="str">
        <f t="shared" si="38"/>
        <v>I.2.2.02.02138</v>
      </c>
      <c r="B1315" s="319">
        <v>38</v>
      </c>
      <c r="C1315" s="394" t="str">
        <f>IFERROR(VLOOKUP(A1315,[3]DOORSCRIEFT!$A$2:$G$8551,2,FALSE),"")</f>
        <v/>
      </c>
      <c r="D1315" s="393" t="str">
        <f>IFERROR(VLOOKUP(A1315,[3]DOORSCRIEFT!$A$2:$G$8551,3,FALSE),"")</f>
        <v/>
      </c>
      <c r="E1315" s="392" t="str">
        <f>IFERROR(VLOOKUP(A1315,[3]DOORSCRIEFT!$A$2:$G$8551,4,FALSE),"")</f>
        <v/>
      </c>
      <c r="F1315" s="405" t="str">
        <f>IFERROR(VLOOKUP(A1315,[3]DOORSCRIEFT!$A$2:$G$8551,6,FALSE),"")</f>
        <v/>
      </c>
      <c r="G1315" s="444"/>
    </row>
    <row r="1316" spans="1:7" x14ac:dyDescent="0.25">
      <c r="A1316" s="339" t="str">
        <f t="shared" si="38"/>
        <v>I.2.2.02.02139</v>
      </c>
      <c r="B1316" s="319">
        <v>39</v>
      </c>
      <c r="C1316" s="394" t="str">
        <f>IFERROR(VLOOKUP(A1316,[3]DOORSCRIEFT!$A$2:$G$8551,2,FALSE),"")</f>
        <v/>
      </c>
      <c r="D1316" s="393" t="str">
        <f>IFERROR(VLOOKUP(A1316,[3]DOORSCRIEFT!$A$2:$G$8551,3,FALSE),"")</f>
        <v/>
      </c>
      <c r="E1316" s="392" t="str">
        <f>IFERROR(VLOOKUP(A1316,[3]DOORSCRIEFT!$A$2:$G$8551,4,FALSE),"")</f>
        <v/>
      </c>
      <c r="F1316" s="405" t="str">
        <f>IFERROR(VLOOKUP(A1316,[3]DOORSCRIEFT!$A$2:$G$8551,6,FALSE),"")</f>
        <v/>
      </c>
      <c r="G1316" s="444"/>
    </row>
    <row r="1317" spans="1:7" x14ac:dyDescent="0.25">
      <c r="A1317" s="339" t="str">
        <f t="shared" si="38"/>
        <v>I.2.2.02.02140</v>
      </c>
      <c r="B1317" s="319">
        <v>40</v>
      </c>
      <c r="C1317" s="394" t="str">
        <f>IFERROR(VLOOKUP(A1317,[3]DOORSCRIEFT!$A$2:$G$8551,2,FALSE),"")</f>
        <v/>
      </c>
      <c r="D1317" s="393" t="str">
        <f>IFERROR(VLOOKUP(A1317,[3]DOORSCRIEFT!$A$2:$G$8551,3,FALSE),"")</f>
        <v/>
      </c>
      <c r="E1317" s="392" t="str">
        <f>IFERROR(VLOOKUP(A1317,[3]DOORSCRIEFT!$A$2:$G$8551,4,FALSE),"")</f>
        <v/>
      </c>
      <c r="F1317" s="405" t="str">
        <f>IFERROR(VLOOKUP(A1317,[3]DOORSCRIEFT!$A$2:$G$8551,6,FALSE),"")</f>
        <v/>
      </c>
      <c r="G1317" s="444"/>
    </row>
    <row r="1318" spans="1:7" x14ac:dyDescent="0.25">
      <c r="A1318" s="339" t="str">
        <f t="shared" si="38"/>
        <v>I.2.2.02.02141</v>
      </c>
      <c r="B1318" s="319">
        <v>41</v>
      </c>
      <c r="C1318" s="394" t="str">
        <f>IFERROR(VLOOKUP(A1318,[3]DOORSCRIEFT!$A$2:$G$8551,2,FALSE),"")</f>
        <v/>
      </c>
      <c r="D1318" s="393" t="str">
        <f>IFERROR(VLOOKUP(A1318,[3]DOORSCRIEFT!$A$2:$G$8551,3,FALSE),"")</f>
        <v/>
      </c>
      <c r="E1318" s="392" t="str">
        <f>IFERROR(VLOOKUP(A1318,[3]DOORSCRIEFT!$A$2:$G$8551,4,FALSE),"")</f>
        <v/>
      </c>
      <c r="F1318" s="405" t="str">
        <f>IFERROR(VLOOKUP(A1318,[3]DOORSCRIEFT!$A$2:$G$8551,6,FALSE),"")</f>
        <v/>
      </c>
      <c r="G1318" s="444"/>
    </row>
    <row r="1319" spans="1:7" x14ac:dyDescent="0.25">
      <c r="A1319" s="339" t="str">
        <f t="shared" si="38"/>
        <v>I.2.2.02.02142</v>
      </c>
      <c r="B1319" s="319">
        <v>42</v>
      </c>
      <c r="C1319" s="394" t="str">
        <f>IFERROR(VLOOKUP(A1319,[3]DOORSCRIEFT!$A$2:$G$8551,2,FALSE),"")</f>
        <v/>
      </c>
      <c r="D1319" s="393" t="str">
        <f>IFERROR(VLOOKUP(A1319,[3]DOORSCRIEFT!$A$2:$G$8551,3,FALSE),"")</f>
        <v/>
      </c>
      <c r="E1319" s="392" t="str">
        <f>IFERROR(VLOOKUP(A1319,[3]DOORSCRIEFT!$A$2:$G$8551,4,FALSE),"")</f>
        <v/>
      </c>
      <c r="F1319" s="405" t="str">
        <f>IFERROR(VLOOKUP(A1319,[3]DOORSCRIEFT!$A$2:$G$8551,6,FALSE),"")</f>
        <v/>
      </c>
      <c r="G1319" s="444"/>
    </row>
    <row r="1320" spans="1:7" x14ac:dyDescent="0.25">
      <c r="A1320" s="339" t="str">
        <f t="shared" si="38"/>
        <v>I.2.2.02.02143</v>
      </c>
      <c r="B1320" s="319">
        <v>43</v>
      </c>
      <c r="C1320" s="394" t="str">
        <f>IFERROR(VLOOKUP(A1320,[3]DOORSCRIEFT!$A$2:$G$8551,2,FALSE),"")</f>
        <v/>
      </c>
      <c r="D1320" s="393" t="str">
        <f>IFERROR(VLOOKUP(A1320,[3]DOORSCRIEFT!$A$2:$G$8551,3,FALSE),"")</f>
        <v/>
      </c>
      <c r="E1320" s="392" t="str">
        <f>IFERROR(VLOOKUP(A1320,[3]DOORSCRIEFT!$A$2:$G$8551,4,FALSE),"")</f>
        <v/>
      </c>
      <c r="F1320" s="405" t="str">
        <f>IFERROR(VLOOKUP(A1320,[3]DOORSCRIEFT!$A$2:$G$8551,6,FALSE),"")</f>
        <v/>
      </c>
      <c r="G1320" s="444"/>
    </row>
    <row r="1321" spans="1:7" x14ac:dyDescent="0.25">
      <c r="A1321" s="339" t="str">
        <f t="shared" si="38"/>
        <v>I.2.2.02.02144</v>
      </c>
      <c r="B1321" s="319">
        <v>44</v>
      </c>
      <c r="C1321" s="394" t="str">
        <f>IFERROR(VLOOKUP(A1321,[3]DOORSCRIEFT!$A$2:$G$8551,2,FALSE),"")</f>
        <v/>
      </c>
      <c r="D1321" s="393" t="str">
        <f>IFERROR(VLOOKUP(A1321,[3]DOORSCRIEFT!$A$2:$G$8551,3,FALSE),"")</f>
        <v/>
      </c>
      <c r="E1321" s="392" t="str">
        <f>IFERROR(VLOOKUP(A1321,[3]DOORSCRIEFT!$A$2:$G$8551,4,FALSE),"")</f>
        <v/>
      </c>
      <c r="F1321" s="405" t="str">
        <f>IFERROR(VLOOKUP(A1321,[3]DOORSCRIEFT!$A$2:$G$8551,6,FALSE),"")</f>
        <v/>
      </c>
      <c r="G1321" s="444"/>
    </row>
    <row r="1322" spans="1:7" x14ac:dyDescent="0.25">
      <c r="A1322" s="339" t="str">
        <f t="shared" si="38"/>
        <v>I.2.2.02.02145</v>
      </c>
      <c r="B1322" s="319">
        <v>45</v>
      </c>
      <c r="C1322" s="394" t="str">
        <f>IFERROR(VLOOKUP(A1322,[3]DOORSCRIEFT!$A$2:$G$8551,2,FALSE),"")</f>
        <v/>
      </c>
      <c r="D1322" s="393" t="str">
        <f>IFERROR(VLOOKUP(A1322,[3]DOORSCRIEFT!$A$2:$G$8551,3,FALSE),"")</f>
        <v/>
      </c>
      <c r="E1322" s="392" t="str">
        <f>IFERROR(VLOOKUP(A1322,[3]DOORSCRIEFT!$A$2:$G$8551,4,FALSE),"")</f>
        <v/>
      </c>
      <c r="F1322" s="405" t="str">
        <f>IFERROR(VLOOKUP(A1322,[3]DOORSCRIEFT!$A$2:$G$8551,6,FALSE),"")</f>
        <v/>
      </c>
      <c r="G1322" s="444"/>
    </row>
    <row r="1323" spans="1:7" x14ac:dyDescent="0.25">
      <c r="A1323" s="339" t="str">
        <f t="shared" si="38"/>
        <v>I.2.2.02.02146</v>
      </c>
      <c r="B1323" s="319">
        <v>46</v>
      </c>
      <c r="C1323" s="394" t="str">
        <f>IFERROR(VLOOKUP(A1323,[3]DOORSCRIEFT!$A$2:$G$8551,2,FALSE),"")</f>
        <v/>
      </c>
      <c r="D1323" s="393" t="str">
        <f>IFERROR(VLOOKUP(A1323,[3]DOORSCRIEFT!$A$2:$G$8551,3,FALSE),"")</f>
        <v/>
      </c>
      <c r="E1323" s="392" t="str">
        <f>IFERROR(VLOOKUP(A1323,[3]DOORSCRIEFT!$A$2:$G$8551,4,FALSE),"")</f>
        <v/>
      </c>
      <c r="F1323" s="405" t="str">
        <f>IFERROR(VLOOKUP(A1323,[3]DOORSCRIEFT!$A$2:$G$8551,6,FALSE),"")</f>
        <v/>
      </c>
      <c r="G1323" s="444"/>
    </row>
    <row r="1324" spans="1:7" x14ac:dyDescent="0.25">
      <c r="A1324" s="339" t="str">
        <f t="shared" si="38"/>
        <v>I.2.2.02.02147</v>
      </c>
      <c r="B1324" s="319">
        <v>47</v>
      </c>
      <c r="C1324" s="394" t="str">
        <f>IFERROR(VLOOKUP(A1324,[3]DOORSCRIEFT!$A$2:$G$8551,2,FALSE),"")</f>
        <v/>
      </c>
      <c r="D1324" s="393" t="str">
        <f>IFERROR(VLOOKUP(A1324,[3]DOORSCRIEFT!$A$2:$G$8551,3,FALSE),"")</f>
        <v/>
      </c>
      <c r="E1324" s="392" t="str">
        <f>IFERROR(VLOOKUP(A1324,[3]DOORSCRIEFT!$A$2:$G$8551,4,FALSE),"")</f>
        <v/>
      </c>
      <c r="F1324" s="405" t="str">
        <f>IFERROR(VLOOKUP(A1324,[3]DOORSCRIEFT!$A$2:$G$8551,6,FALSE),"")</f>
        <v/>
      </c>
      <c r="G1324" s="444"/>
    </row>
    <row r="1325" spans="1:7" x14ac:dyDescent="0.25">
      <c r="A1325" s="339" t="str">
        <f t="shared" si="38"/>
        <v>I.2.2.02.02148</v>
      </c>
      <c r="B1325" s="319">
        <v>48</v>
      </c>
      <c r="C1325" s="394" t="str">
        <f>IFERROR(VLOOKUP(A1325,[3]DOORSCRIEFT!$A$2:$G$8551,2,FALSE),"")</f>
        <v/>
      </c>
      <c r="D1325" s="393" t="str">
        <f>IFERROR(VLOOKUP(A1325,[3]DOORSCRIEFT!$A$2:$G$8551,3,FALSE),"")</f>
        <v/>
      </c>
      <c r="E1325" s="392" t="str">
        <f>IFERROR(VLOOKUP(A1325,[3]DOORSCRIEFT!$A$2:$G$8551,4,FALSE),"")</f>
        <v/>
      </c>
      <c r="F1325" s="405" t="str">
        <f>IFERROR(VLOOKUP(A1325,[3]DOORSCRIEFT!$A$2:$G$8551,6,FALSE),"")</f>
        <v/>
      </c>
      <c r="G1325" s="444"/>
    </row>
    <row r="1326" spans="1:7" x14ac:dyDescent="0.25">
      <c r="A1326" s="339" t="str">
        <f t="shared" si="38"/>
        <v>I.2.2.02.02149</v>
      </c>
      <c r="B1326" s="319">
        <v>49</v>
      </c>
      <c r="C1326" s="394" t="str">
        <f>IFERROR(VLOOKUP(A1326,[3]DOORSCRIEFT!$A$2:$G$8551,2,FALSE),"")</f>
        <v/>
      </c>
      <c r="D1326" s="393" t="str">
        <f>IFERROR(VLOOKUP(A1326,[3]DOORSCRIEFT!$A$2:$G$8551,3,FALSE),"")</f>
        <v/>
      </c>
      <c r="E1326" s="392" t="str">
        <f>IFERROR(VLOOKUP(A1326,[3]DOORSCRIEFT!$A$2:$G$8551,4,FALSE),"")</f>
        <v/>
      </c>
      <c r="F1326" s="405" t="str">
        <f>IFERROR(VLOOKUP(A1326,[3]DOORSCRIEFT!$A$2:$G$8551,6,FALSE),"")</f>
        <v/>
      </c>
      <c r="G1326" s="444"/>
    </row>
    <row r="1327" spans="1:7" x14ac:dyDescent="0.25">
      <c r="A1327" s="339" t="str">
        <f t="shared" si="38"/>
        <v>I.2.2.02.02150</v>
      </c>
      <c r="B1327" s="319">
        <v>50</v>
      </c>
      <c r="C1327" s="394" t="str">
        <f>IFERROR(VLOOKUP(A1327,[3]DOORSCRIEFT!$A$2:$G$8551,2,FALSE),"")</f>
        <v/>
      </c>
      <c r="D1327" s="393" t="str">
        <f>IFERROR(VLOOKUP(A1327,[3]DOORSCRIEFT!$A$2:$G$8551,3,FALSE),"")</f>
        <v/>
      </c>
      <c r="E1327" s="392" t="str">
        <f>IFERROR(VLOOKUP(A1327,[3]DOORSCRIEFT!$A$2:$G$8551,4,FALSE),"")</f>
        <v/>
      </c>
      <c r="F1327" s="405" t="str">
        <f>IFERROR(VLOOKUP(A1327,[3]DOORSCRIEFT!$A$2:$G$8551,6,FALSE),"")</f>
        <v/>
      </c>
      <c r="G1327" s="444"/>
    </row>
    <row r="1328" spans="1:7" x14ac:dyDescent="0.25">
      <c r="A1328" s="339" t="str">
        <f t="shared" si="38"/>
        <v>I.2.2.02.02151</v>
      </c>
      <c r="B1328" s="319">
        <v>51</v>
      </c>
      <c r="C1328" s="394" t="str">
        <f>IFERROR(VLOOKUP(A1328,[3]DOORSCRIEFT!$A$2:$G$8551,2,FALSE),"")</f>
        <v/>
      </c>
      <c r="D1328" s="393" t="str">
        <f>IFERROR(VLOOKUP(A1328,[3]DOORSCRIEFT!$A$2:$G$8551,3,FALSE),"")</f>
        <v/>
      </c>
      <c r="E1328" s="392" t="str">
        <f>IFERROR(VLOOKUP(A1328,[3]DOORSCRIEFT!$A$2:$G$8551,4,FALSE),"")</f>
        <v/>
      </c>
      <c r="F1328" s="405" t="str">
        <f>IFERROR(VLOOKUP(A1328,[3]DOORSCRIEFT!$A$2:$G$8551,6,FALSE),"")</f>
        <v/>
      </c>
      <c r="G1328" s="444"/>
    </row>
    <row r="1329" spans="1:7" x14ac:dyDescent="0.25">
      <c r="A1329" s="339" t="str">
        <f t="shared" si="38"/>
        <v>I.2.2.02.02152</v>
      </c>
      <c r="B1329" s="319">
        <v>52</v>
      </c>
      <c r="C1329" s="394" t="str">
        <f>IFERROR(VLOOKUP(A1329,[3]DOORSCRIEFT!$A$2:$G$8551,2,FALSE),"")</f>
        <v/>
      </c>
      <c r="D1329" s="393" t="str">
        <f>IFERROR(VLOOKUP(A1329,[3]DOORSCRIEFT!$A$2:$G$8551,3,FALSE),"")</f>
        <v/>
      </c>
      <c r="E1329" s="392" t="str">
        <f>IFERROR(VLOOKUP(A1329,[3]DOORSCRIEFT!$A$2:$G$8551,4,FALSE),"")</f>
        <v/>
      </c>
      <c r="F1329" s="405" t="str">
        <f>IFERROR(VLOOKUP(A1329,[3]DOORSCRIEFT!$A$2:$G$8551,6,FALSE),"")</f>
        <v/>
      </c>
      <c r="G1329" s="444"/>
    </row>
    <row r="1330" spans="1:7" x14ac:dyDescent="0.25">
      <c r="A1330" s="339" t="str">
        <f t="shared" si="38"/>
        <v>I.2.2.02.02153</v>
      </c>
      <c r="B1330" s="319">
        <v>53</v>
      </c>
      <c r="C1330" s="394" t="str">
        <f>IFERROR(VLOOKUP(A1330,[3]DOORSCRIEFT!$A$2:$G$8551,2,FALSE),"")</f>
        <v/>
      </c>
      <c r="D1330" s="393" t="str">
        <f>IFERROR(VLOOKUP(A1330,[3]DOORSCRIEFT!$A$2:$G$8551,3,FALSE),"")</f>
        <v/>
      </c>
      <c r="E1330" s="392" t="str">
        <f>IFERROR(VLOOKUP(A1330,[3]DOORSCRIEFT!$A$2:$G$8551,4,FALSE),"")</f>
        <v/>
      </c>
      <c r="F1330" s="405" t="str">
        <f>IFERROR(VLOOKUP(A1330,[3]DOORSCRIEFT!$A$2:$G$8551,6,FALSE),"")</f>
        <v/>
      </c>
      <c r="G1330" s="444"/>
    </row>
    <row r="1331" spans="1:7" x14ac:dyDescent="0.25">
      <c r="A1331" s="339" t="str">
        <f t="shared" si="38"/>
        <v>I.2.2.02.02154</v>
      </c>
      <c r="B1331" s="319">
        <v>54</v>
      </c>
      <c r="C1331" s="394" t="str">
        <f>IFERROR(VLOOKUP(A1331,[3]DOORSCRIEFT!$A$2:$G$8551,2,FALSE),"")</f>
        <v/>
      </c>
      <c r="D1331" s="393" t="str">
        <f>IFERROR(VLOOKUP(A1331,[3]DOORSCRIEFT!$A$2:$G$8551,3,FALSE),"")</f>
        <v/>
      </c>
      <c r="E1331" s="392" t="str">
        <f>IFERROR(VLOOKUP(A1331,[3]DOORSCRIEFT!$A$2:$G$8551,4,FALSE),"")</f>
        <v/>
      </c>
      <c r="F1331" s="405" t="str">
        <f>IFERROR(VLOOKUP(A1331,[3]DOORSCRIEFT!$A$2:$G$8551,6,FALSE),"")</f>
        <v/>
      </c>
      <c r="G1331" s="444"/>
    </row>
    <row r="1332" spans="1:7" x14ac:dyDescent="0.25">
      <c r="A1332" s="339" t="str">
        <f t="shared" si="38"/>
        <v>I.2.2.02.02155</v>
      </c>
      <c r="B1332" s="319">
        <v>55</v>
      </c>
      <c r="C1332" s="394" t="str">
        <f>IFERROR(VLOOKUP(A1332,[3]DOORSCRIEFT!$A$2:$G$8551,2,FALSE),"")</f>
        <v/>
      </c>
      <c r="D1332" s="393" t="str">
        <f>IFERROR(VLOOKUP(A1332,[3]DOORSCRIEFT!$A$2:$G$8551,3,FALSE),"")</f>
        <v/>
      </c>
      <c r="E1332" s="392" t="str">
        <f>IFERROR(VLOOKUP(A1332,[3]DOORSCRIEFT!$A$2:$G$8551,4,FALSE),"")</f>
        <v/>
      </c>
      <c r="F1332" s="405" t="str">
        <f>IFERROR(VLOOKUP(A1332,[3]DOORSCRIEFT!$A$2:$G$8551,6,FALSE),"")</f>
        <v/>
      </c>
      <c r="G1332" s="444"/>
    </row>
    <row r="1333" spans="1:7" x14ac:dyDescent="0.25">
      <c r="A1333" s="339" t="str">
        <f t="shared" si="38"/>
        <v>I.2.2.02.02156</v>
      </c>
      <c r="B1333" s="319">
        <v>56</v>
      </c>
      <c r="C1333" s="394" t="str">
        <f>IFERROR(VLOOKUP(A1333,[3]DOORSCRIEFT!$A$2:$G$8551,2,FALSE),"")</f>
        <v/>
      </c>
      <c r="D1333" s="393" t="str">
        <f>IFERROR(VLOOKUP(A1333,[3]DOORSCRIEFT!$A$2:$G$8551,3,FALSE),"")</f>
        <v/>
      </c>
      <c r="E1333" s="392" t="str">
        <f>IFERROR(VLOOKUP(A1333,[3]DOORSCRIEFT!$A$2:$G$8551,4,FALSE),"")</f>
        <v/>
      </c>
      <c r="F1333" s="405" t="str">
        <f>IFERROR(VLOOKUP(A1333,[3]DOORSCRIEFT!$A$2:$G$8551,6,FALSE),"")</f>
        <v/>
      </c>
      <c r="G1333" s="444"/>
    </row>
    <row r="1334" spans="1:7" x14ac:dyDescent="0.25">
      <c r="A1334" s="339" t="str">
        <f t="shared" si="38"/>
        <v>I.2.2.02.02157</v>
      </c>
      <c r="B1334" s="319">
        <v>57</v>
      </c>
      <c r="C1334" s="394" t="str">
        <f>IFERROR(VLOOKUP(A1334,[3]DOORSCRIEFT!$A$2:$G$8551,2,FALSE),"")</f>
        <v/>
      </c>
      <c r="D1334" s="393" t="str">
        <f>IFERROR(VLOOKUP(A1334,[3]DOORSCRIEFT!$A$2:$G$8551,3,FALSE),"")</f>
        <v/>
      </c>
      <c r="E1334" s="392" t="str">
        <f>IFERROR(VLOOKUP(A1334,[3]DOORSCRIEFT!$A$2:$G$8551,4,FALSE),"")</f>
        <v/>
      </c>
      <c r="F1334" s="405" t="str">
        <f>IFERROR(VLOOKUP(A1334,[3]DOORSCRIEFT!$A$2:$G$8551,6,FALSE),"")</f>
        <v/>
      </c>
      <c r="G1334" s="444"/>
    </row>
    <row r="1335" spans="1:7" x14ac:dyDescent="0.25">
      <c r="A1335" s="339" t="str">
        <f t="shared" si="38"/>
        <v>I.2.2.02.02158</v>
      </c>
      <c r="B1335" s="319">
        <v>58</v>
      </c>
      <c r="C1335" s="394" t="str">
        <f>IFERROR(VLOOKUP(A1335,[3]DOORSCRIEFT!$A$2:$G$8551,2,FALSE),"")</f>
        <v/>
      </c>
      <c r="D1335" s="393" t="str">
        <f>IFERROR(VLOOKUP(A1335,[3]DOORSCRIEFT!$A$2:$G$8551,3,FALSE),"")</f>
        <v/>
      </c>
      <c r="E1335" s="392" t="str">
        <f>IFERROR(VLOOKUP(A1335,[3]DOORSCRIEFT!$A$2:$G$8551,4,FALSE),"")</f>
        <v/>
      </c>
      <c r="F1335" s="405" t="str">
        <f>IFERROR(VLOOKUP(A1335,[3]DOORSCRIEFT!$A$2:$G$8551,6,FALSE),"")</f>
        <v/>
      </c>
      <c r="G1335" s="444"/>
    </row>
    <row r="1336" spans="1:7" x14ac:dyDescent="0.25">
      <c r="A1336" s="339" t="str">
        <f t="shared" si="38"/>
        <v>I.2.2.02.02159</v>
      </c>
      <c r="B1336" s="319">
        <v>59</v>
      </c>
      <c r="C1336" s="394" t="str">
        <f>IFERROR(VLOOKUP(A1336,[3]DOORSCRIEFT!$A$2:$G$8551,2,FALSE),"")</f>
        <v/>
      </c>
      <c r="D1336" s="393" t="str">
        <f>IFERROR(VLOOKUP(A1336,[3]DOORSCRIEFT!$A$2:$G$8551,3,FALSE),"")</f>
        <v/>
      </c>
      <c r="E1336" s="392" t="str">
        <f>IFERROR(VLOOKUP(A1336,[3]DOORSCRIEFT!$A$2:$G$8551,4,FALSE),"")</f>
        <v/>
      </c>
      <c r="F1336" s="405" t="str">
        <f>IFERROR(VLOOKUP(A1336,[3]DOORSCRIEFT!$A$2:$G$8551,6,FALSE),"")</f>
        <v/>
      </c>
      <c r="G1336" s="444"/>
    </row>
    <row r="1337" spans="1:7" ht="15.75" thickBot="1" x14ac:dyDescent="0.3">
      <c r="A1337" s="339" t="str">
        <f t="shared" si="38"/>
        <v>I.2.2.02.02160</v>
      </c>
      <c r="B1337" s="319">
        <v>60</v>
      </c>
      <c r="C1337" s="394" t="str">
        <f>IFERROR(VLOOKUP(A1337,[3]DOORSCRIEFT!$A$2:$G$8551,2,FALSE),"")</f>
        <v/>
      </c>
      <c r="D1337" s="393" t="str">
        <f>IFERROR(VLOOKUP(A1337,[3]DOORSCRIEFT!$A$2:$G$8551,3,FALSE),"")</f>
        <v/>
      </c>
      <c r="E1337" s="392" t="str">
        <f>IFERROR(VLOOKUP(A1337,[3]DOORSCRIEFT!$A$2:$G$8551,4,FALSE),"")</f>
        <v/>
      </c>
      <c r="F1337" s="405" t="str">
        <f>IFERROR(VLOOKUP(A1337,[3]DOORSCRIEFT!$A$2:$G$8551,6,FALSE),"")</f>
        <v/>
      </c>
      <c r="G1337" s="444"/>
    </row>
    <row r="1338" spans="1:7" ht="15.75" thickBot="1" x14ac:dyDescent="0.3">
      <c r="A1338" s="344"/>
      <c r="B1338" s="343"/>
      <c r="C1338" s="313"/>
      <c r="D1338" s="312"/>
      <c r="E1338" s="311" t="s">
        <v>644</v>
      </c>
      <c r="F1338" s="443">
        <f>SUM(F1278:F1337)</f>
        <v>10000</v>
      </c>
      <c r="G1338" s="442">
        <f>SUM(G1278:G1337)</f>
        <v>0</v>
      </c>
    </row>
    <row r="1339" spans="1:7" x14ac:dyDescent="0.25">
      <c r="B1339" s="335"/>
    </row>
    <row r="1340" spans="1:7" x14ac:dyDescent="0.25">
      <c r="B1340" s="335"/>
    </row>
    <row r="1341" spans="1:7" ht="15.75" x14ac:dyDescent="0.25">
      <c r="B1341" s="335"/>
      <c r="C1341" s="332"/>
      <c r="D1341" s="333"/>
      <c r="E1341" s="332"/>
      <c r="F1341" s="327" t="s">
        <v>607</v>
      </c>
      <c r="G1341" s="327" t="s">
        <v>504</v>
      </c>
    </row>
    <row r="1342" spans="1:7" ht="15.75" x14ac:dyDescent="0.25">
      <c r="B1342" s="335"/>
      <c r="C1342" s="332"/>
      <c r="D1342" s="333"/>
      <c r="E1342" s="332"/>
      <c r="F1342" s="327" t="s">
        <v>601</v>
      </c>
      <c r="G1342" s="441" t="s">
        <v>503</v>
      </c>
    </row>
    <row r="1343" spans="1:7" x14ac:dyDescent="0.25">
      <c r="B1343" s="335"/>
      <c r="C1343" s="328"/>
      <c r="D1343" s="329"/>
      <c r="E1343" s="328"/>
      <c r="F1343" s="327" t="s">
        <v>651</v>
      </c>
      <c r="G1343" s="331">
        <f>[2]Sheet1!$D$48</f>
        <v>0</v>
      </c>
    </row>
    <row r="1344" spans="1:7" ht="15.75" thickBot="1" x14ac:dyDescent="0.3">
      <c r="B1344" s="335"/>
      <c r="C1344" s="328"/>
      <c r="D1344" s="329"/>
      <c r="E1344" s="328"/>
      <c r="F1344" s="327" t="s">
        <v>650</v>
      </c>
      <c r="G1344" s="326">
        <f>+F1369-G1343</f>
        <v>193000</v>
      </c>
    </row>
    <row r="1345" spans="1:7" x14ac:dyDescent="0.25">
      <c r="A1345" s="571" t="s">
        <v>655</v>
      </c>
      <c r="B1345" s="573" t="s">
        <v>606</v>
      </c>
      <c r="C1345" s="588" t="s">
        <v>649</v>
      </c>
      <c r="D1345" s="577" t="s">
        <v>648</v>
      </c>
      <c r="E1345" s="577" t="s">
        <v>647</v>
      </c>
      <c r="F1345" s="577" t="s">
        <v>646</v>
      </c>
      <c r="G1345" s="580" t="s">
        <v>645</v>
      </c>
    </row>
    <row r="1346" spans="1:7" ht="15.75" thickBot="1" x14ac:dyDescent="0.3">
      <c r="A1346" s="572"/>
      <c r="B1346" s="574"/>
      <c r="C1346" s="589"/>
      <c r="D1346" s="586"/>
      <c r="E1346" s="586"/>
      <c r="F1346" s="586"/>
      <c r="G1346" s="587"/>
    </row>
    <row r="1347" spans="1:7" ht="15.75" thickBot="1" x14ac:dyDescent="0.3">
      <c r="A1347" s="325">
        <v>1</v>
      </c>
      <c r="B1347" s="324">
        <v>2</v>
      </c>
      <c r="C1347" s="324">
        <v>3</v>
      </c>
      <c r="D1347" s="324">
        <v>4</v>
      </c>
      <c r="E1347" s="324">
        <v>5</v>
      </c>
      <c r="F1347" s="324">
        <v>6</v>
      </c>
      <c r="G1347" s="323">
        <v>7</v>
      </c>
    </row>
    <row r="1348" spans="1:7" x14ac:dyDescent="0.25">
      <c r="A1348" s="360" t="str">
        <f t="shared" ref="A1348:A1368" si="39">$G$1341&amp;B1348</f>
        <v>I.2.2.02.0221</v>
      </c>
      <c r="B1348" s="339">
        <v>1</v>
      </c>
      <c r="C1348" s="394">
        <f>IFERROR(VLOOKUP(A1348,[3]DOORSCRIEFT!$A$2:$G$8551,2,FALSE),"")</f>
        <v>37</v>
      </c>
      <c r="D1348" s="393">
        <f>IFERROR(VLOOKUP(A1348,[3]DOORSCRIEFT!$A$2:$G$8551,3,FALSE),"")</f>
        <v>46031</v>
      </c>
      <c r="E1348" s="392" t="str">
        <f>IFERROR(VLOOKUP(A1348,[3]DOORSCRIEFT!$A$2:$G$8551,4,FALSE),"")</f>
        <v>Kolekta Buka Tutup Usbu Pemerntah Negeri Suli</v>
      </c>
      <c r="F1348" s="405">
        <f>IFERROR(VLOOKUP(A1348,[3]DOORSCRIEFT!$A$2:$G$8551,6,FALSE),"")</f>
        <v>100000</v>
      </c>
      <c r="G1348" s="440"/>
    </row>
    <row r="1349" spans="1:7" x14ac:dyDescent="0.25">
      <c r="A1349" s="360" t="str">
        <f t="shared" si="39"/>
        <v>I.2.2.02.0222</v>
      </c>
      <c r="B1349" s="319">
        <v>2</v>
      </c>
      <c r="C1349" s="394">
        <f>IFERROR(VLOOKUP(A1349,[3]DOORSCRIEFT!$A$2:$G$8551,2,FALSE),"")</f>
        <v>58</v>
      </c>
      <c r="D1349" s="393">
        <f>IFERROR(VLOOKUP(A1349,[3]DOORSCRIEFT!$A$2:$G$8551,3,FALSE),"")</f>
        <v>46038</v>
      </c>
      <c r="E1349" s="392" t="str">
        <f>IFERROR(VLOOKUP(A1349,[3]DOORSCRIEFT!$A$2:$G$8551,4,FALSE),"")</f>
        <v>Kolekta Buka Usbu Pemerintah Negeri</v>
      </c>
      <c r="F1349" s="405">
        <f>IFERROR(VLOOKUP(A1349,[3]DOORSCRIEFT!$A$2:$G$8551,6,FALSE),"")</f>
        <v>50000</v>
      </c>
      <c r="G1349" s="439"/>
    </row>
    <row r="1350" spans="1:7" x14ac:dyDescent="0.25">
      <c r="A1350" s="360" t="str">
        <f t="shared" si="39"/>
        <v>I.2.2.02.0223</v>
      </c>
      <c r="B1350" s="339">
        <v>3</v>
      </c>
      <c r="C1350" s="394">
        <f>IFERROR(VLOOKUP(A1350,[3]DOORSCRIEFT!$A$2:$G$8551,2,FALSE),"")</f>
        <v>191</v>
      </c>
      <c r="D1350" s="393">
        <f>IFERROR(VLOOKUP(A1350,[3]DOORSCRIEFT!$A$2:$G$8551,3,FALSE),"")</f>
        <v>46066</v>
      </c>
      <c r="E1350" s="392" t="str">
        <f>IFERROR(VLOOKUP(A1350,[3]DOORSCRIEFT!$A$2:$G$8551,4,FALSE),"")</f>
        <v>Kolekta Kebaktian buka usbu Pangkalan Ojek Banda</v>
      </c>
      <c r="F1350" s="405">
        <f>IFERROR(VLOOKUP(A1350,[3]DOORSCRIEFT!$A$2:$G$8551,6,FALSE),"")</f>
        <v>43000</v>
      </c>
      <c r="G1350" s="438"/>
    </row>
    <row r="1351" spans="1:7" x14ac:dyDescent="0.25">
      <c r="A1351" s="360" t="str">
        <f t="shared" si="39"/>
        <v>I.2.2.02.0224</v>
      </c>
      <c r="B1351" s="319">
        <v>4</v>
      </c>
      <c r="C1351" s="394" t="str">
        <f>IFERROR(VLOOKUP(A1351,[3]DOORSCRIEFT!$A$2:$G$8551,2,FALSE),"")</f>
        <v/>
      </c>
      <c r="D1351" s="393" t="str">
        <f>IFERROR(VLOOKUP(A1351,[3]DOORSCRIEFT!$A$2:$G$8551,3,FALSE),"")</f>
        <v/>
      </c>
      <c r="E1351" s="392" t="str">
        <f>IFERROR(VLOOKUP(A1351,[3]DOORSCRIEFT!$A$2:$G$8551,4,FALSE),"")</f>
        <v/>
      </c>
      <c r="F1351" s="405" t="str">
        <f>IFERROR(VLOOKUP(A1351,[3]DOORSCRIEFT!$A$2:$G$8551,6,FALSE),"")</f>
        <v/>
      </c>
      <c r="G1351" s="438"/>
    </row>
    <row r="1352" spans="1:7" x14ac:dyDescent="0.25">
      <c r="A1352" s="360" t="str">
        <f t="shared" si="39"/>
        <v>I.2.2.02.0225</v>
      </c>
      <c r="B1352" s="339">
        <v>5</v>
      </c>
      <c r="C1352" s="394" t="str">
        <f>IFERROR(VLOOKUP(A1352,[3]DOORSCRIEFT!$A$2:$G$8551,2,FALSE),"")</f>
        <v/>
      </c>
      <c r="D1352" s="393" t="str">
        <f>IFERROR(VLOOKUP(A1352,[3]DOORSCRIEFT!$A$2:$G$8551,3,FALSE),"")</f>
        <v/>
      </c>
      <c r="E1352" s="392" t="str">
        <f>IFERROR(VLOOKUP(A1352,[3]DOORSCRIEFT!$A$2:$G$8551,4,FALSE),"")</f>
        <v/>
      </c>
      <c r="F1352" s="405" t="str">
        <f>IFERROR(VLOOKUP(A1352,[3]DOORSCRIEFT!$A$2:$G$8551,6,FALSE),"")</f>
        <v/>
      </c>
      <c r="G1352" s="438"/>
    </row>
    <row r="1353" spans="1:7" x14ac:dyDescent="0.25">
      <c r="A1353" s="360" t="str">
        <f t="shared" si="39"/>
        <v>I.2.2.02.0226</v>
      </c>
      <c r="B1353" s="319">
        <v>6</v>
      </c>
      <c r="C1353" s="394" t="str">
        <f>IFERROR(VLOOKUP(A1353,[3]DOORSCRIEFT!$A$2:$G$8551,2,FALSE),"")</f>
        <v/>
      </c>
      <c r="D1353" s="393" t="str">
        <f>IFERROR(VLOOKUP(A1353,[3]DOORSCRIEFT!$A$2:$G$8551,3,FALSE),"")</f>
        <v/>
      </c>
      <c r="E1353" s="392" t="str">
        <f>IFERROR(VLOOKUP(A1353,[3]DOORSCRIEFT!$A$2:$G$8551,4,FALSE),"")</f>
        <v/>
      </c>
      <c r="F1353" s="405" t="str">
        <f>IFERROR(VLOOKUP(A1353,[3]DOORSCRIEFT!$A$2:$G$8551,6,FALSE),"")</f>
        <v/>
      </c>
      <c r="G1353" s="438"/>
    </row>
    <row r="1354" spans="1:7" x14ac:dyDescent="0.25">
      <c r="A1354" s="360" t="str">
        <f t="shared" si="39"/>
        <v>I.2.2.02.0227</v>
      </c>
      <c r="B1354" s="339">
        <v>7</v>
      </c>
      <c r="C1354" s="394" t="str">
        <f>IFERROR(VLOOKUP(A1354,[3]DOORSCRIEFT!$A$2:$G$8551,2,FALSE),"")</f>
        <v/>
      </c>
      <c r="D1354" s="393" t="str">
        <f>IFERROR(VLOOKUP(A1354,[3]DOORSCRIEFT!$A$2:$G$8551,3,FALSE),"")</f>
        <v/>
      </c>
      <c r="E1354" s="392" t="str">
        <f>IFERROR(VLOOKUP(A1354,[3]DOORSCRIEFT!$A$2:$G$8551,4,FALSE),"")</f>
        <v/>
      </c>
      <c r="F1354" s="405" t="str">
        <f>IFERROR(VLOOKUP(A1354,[3]DOORSCRIEFT!$A$2:$G$8551,6,FALSE),"")</f>
        <v/>
      </c>
      <c r="G1354" s="438"/>
    </row>
    <row r="1355" spans="1:7" x14ac:dyDescent="0.25">
      <c r="A1355" s="360" t="str">
        <f t="shared" si="39"/>
        <v>I.2.2.02.0228</v>
      </c>
      <c r="B1355" s="319">
        <v>8</v>
      </c>
      <c r="C1355" s="394" t="str">
        <f>IFERROR(VLOOKUP(A1355,[3]DOORSCRIEFT!$A$2:$G$8551,2,FALSE),"")</f>
        <v/>
      </c>
      <c r="D1355" s="393" t="str">
        <f>IFERROR(VLOOKUP(A1355,[3]DOORSCRIEFT!$A$2:$G$8551,3,FALSE),"")</f>
        <v/>
      </c>
      <c r="E1355" s="392" t="str">
        <f>IFERROR(VLOOKUP(A1355,[3]DOORSCRIEFT!$A$2:$G$8551,4,FALSE),"")</f>
        <v/>
      </c>
      <c r="F1355" s="405" t="str">
        <f>IFERROR(VLOOKUP(A1355,[3]DOORSCRIEFT!$A$2:$G$8551,6,FALSE),"")</f>
        <v/>
      </c>
      <c r="G1355" s="438"/>
    </row>
    <row r="1356" spans="1:7" x14ac:dyDescent="0.25">
      <c r="A1356" s="360" t="str">
        <f t="shared" si="39"/>
        <v>I.2.2.02.0229</v>
      </c>
      <c r="B1356" s="339">
        <v>9</v>
      </c>
      <c r="C1356" s="394" t="str">
        <f>IFERROR(VLOOKUP(A1356,[3]DOORSCRIEFT!$A$2:$G$8551,2,FALSE),"")</f>
        <v/>
      </c>
      <c r="D1356" s="393" t="str">
        <f>IFERROR(VLOOKUP(A1356,[3]DOORSCRIEFT!$A$2:$G$8551,3,FALSE),"")</f>
        <v/>
      </c>
      <c r="E1356" s="392" t="str">
        <f>IFERROR(VLOOKUP(A1356,[3]DOORSCRIEFT!$A$2:$G$8551,4,FALSE),"")</f>
        <v/>
      </c>
      <c r="F1356" s="405" t="str">
        <f>IFERROR(VLOOKUP(A1356,[3]DOORSCRIEFT!$A$2:$G$8551,6,FALSE),"")</f>
        <v/>
      </c>
      <c r="G1356" s="438"/>
    </row>
    <row r="1357" spans="1:7" x14ac:dyDescent="0.25">
      <c r="A1357" s="360" t="str">
        <f t="shared" si="39"/>
        <v>I.2.2.02.02210</v>
      </c>
      <c r="B1357" s="319">
        <v>10</v>
      </c>
      <c r="C1357" s="394" t="str">
        <f>IFERROR(VLOOKUP(A1357,[3]DOORSCRIEFT!$A$2:$G$8551,2,FALSE),"")</f>
        <v/>
      </c>
      <c r="D1357" s="393" t="str">
        <f>IFERROR(VLOOKUP(A1357,[3]DOORSCRIEFT!$A$2:$G$8551,3,FALSE),"")</f>
        <v/>
      </c>
      <c r="E1357" s="392" t="str">
        <f>IFERROR(VLOOKUP(A1357,[3]DOORSCRIEFT!$A$2:$G$8551,4,FALSE),"")</f>
        <v/>
      </c>
      <c r="F1357" s="405" t="str">
        <f>IFERROR(VLOOKUP(A1357,[3]DOORSCRIEFT!$A$2:$G$8551,6,FALSE),"")</f>
        <v/>
      </c>
      <c r="G1357" s="438"/>
    </row>
    <row r="1358" spans="1:7" x14ac:dyDescent="0.25">
      <c r="A1358" s="360" t="str">
        <f t="shared" si="39"/>
        <v>I.2.2.02.02211</v>
      </c>
      <c r="B1358" s="339">
        <v>11</v>
      </c>
      <c r="C1358" s="394" t="str">
        <f>IFERROR(VLOOKUP(A1358,[3]DOORSCRIEFT!$A$2:$G$8551,2,FALSE),"")</f>
        <v/>
      </c>
      <c r="D1358" s="393" t="str">
        <f>IFERROR(VLOOKUP(A1358,[3]DOORSCRIEFT!$A$2:$G$8551,3,FALSE),"")</f>
        <v/>
      </c>
      <c r="E1358" s="392" t="str">
        <f>IFERROR(VLOOKUP(A1358,[3]DOORSCRIEFT!$A$2:$G$8551,4,FALSE),"")</f>
        <v/>
      </c>
      <c r="F1358" s="405" t="str">
        <f>IFERROR(VLOOKUP(A1358,[3]DOORSCRIEFT!$A$2:$G$8551,6,FALSE),"")</f>
        <v/>
      </c>
      <c r="G1358" s="322"/>
    </row>
    <row r="1359" spans="1:7" x14ac:dyDescent="0.25">
      <c r="A1359" s="360" t="str">
        <f t="shared" si="39"/>
        <v>I.2.2.02.02212</v>
      </c>
      <c r="B1359" s="319">
        <v>12</v>
      </c>
      <c r="C1359" s="394" t="str">
        <f>IFERROR(VLOOKUP(A1359,[3]DOORSCRIEFT!$A$2:$G$8551,2,FALSE),"")</f>
        <v/>
      </c>
      <c r="D1359" s="393" t="str">
        <f>IFERROR(VLOOKUP(A1359,[3]DOORSCRIEFT!$A$2:$G$8551,3,FALSE),"")</f>
        <v/>
      </c>
      <c r="E1359" s="392" t="str">
        <f>IFERROR(VLOOKUP(A1359,[3]DOORSCRIEFT!$A$2:$G$8551,4,FALSE),"")</f>
        <v/>
      </c>
      <c r="F1359" s="405" t="str">
        <f>IFERROR(VLOOKUP(A1359,[3]DOORSCRIEFT!$A$2:$G$8551,6,FALSE),"")</f>
        <v/>
      </c>
      <c r="G1359" s="315"/>
    </row>
    <row r="1360" spans="1:7" x14ac:dyDescent="0.25">
      <c r="A1360" s="360" t="str">
        <f t="shared" si="39"/>
        <v>I.2.2.02.02213</v>
      </c>
      <c r="B1360" s="339">
        <v>13</v>
      </c>
      <c r="C1360" s="394" t="str">
        <f>IFERROR(VLOOKUP(A1360,[3]DOORSCRIEFT!$A$2:$G$8551,2,FALSE),"")</f>
        <v/>
      </c>
      <c r="D1360" s="393" t="str">
        <f>IFERROR(VLOOKUP(A1360,[3]DOORSCRIEFT!$A$2:$G$8551,3,FALSE),"")</f>
        <v/>
      </c>
      <c r="E1360" s="392" t="str">
        <f>IFERROR(VLOOKUP(A1360,[3]DOORSCRIEFT!$A$2:$G$8551,4,FALSE),"")</f>
        <v/>
      </c>
      <c r="F1360" s="405" t="str">
        <f>IFERROR(VLOOKUP(A1360,[3]DOORSCRIEFT!$A$2:$G$8551,6,FALSE),"")</f>
        <v/>
      </c>
      <c r="G1360" s="315"/>
    </row>
    <row r="1361" spans="1:7" x14ac:dyDescent="0.25">
      <c r="A1361" s="360" t="str">
        <f t="shared" si="39"/>
        <v>I.2.2.02.02214</v>
      </c>
      <c r="B1361" s="319">
        <v>14</v>
      </c>
      <c r="C1361" s="394" t="str">
        <f>IFERROR(VLOOKUP(A1361,[3]DOORSCRIEFT!$A$2:$G$8551,2,FALSE),"")</f>
        <v/>
      </c>
      <c r="D1361" s="393" t="str">
        <f>IFERROR(VLOOKUP(A1361,[3]DOORSCRIEFT!$A$2:$G$8551,3,FALSE),"")</f>
        <v/>
      </c>
      <c r="E1361" s="392" t="str">
        <f>IFERROR(VLOOKUP(A1361,[3]DOORSCRIEFT!$A$2:$G$8551,4,FALSE),"")</f>
        <v/>
      </c>
      <c r="F1361" s="405" t="str">
        <f>IFERROR(VLOOKUP(A1361,[3]DOORSCRIEFT!$A$2:$G$8551,6,FALSE),"")</f>
        <v/>
      </c>
      <c r="G1361" s="315"/>
    </row>
    <row r="1362" spans="1:7" x14ac:dyDescent="0.25">
      <c r="A1362" s="360" t="str">
        <f t="shared" si="39"/>
        <v>I.2.2.02.02215</v>
      </c>
      <c r="B1362" s="339">
        <v>15</v>
      </c>
      <c r="C1362" s="394" t="str">
        <f>IFERROR(VLOOKUP(A1362,[3]DOORSCRIEFT!$A$2:$G$8551,2,FALSE),"")</f>
        <v/>
      </c>
      <c r="D1362" s="393" t="str">
        <f>IFERROR(VLOOKUP(A1362,[3]DOORSCRIEFT!$A$2:$G$8551,3,FALSE),"")</f>
        <v/>
      </c>
      <c r="E1362" s="392" t="str">
        <f>IFERROR(VLOOKUP(A1362,[3]DOORSCRIEFT!$A$2:$G$8551,4,FALSE),"")</f>
        <v/>
      </c>
      <c r="F1362" s="405" t="str">
        <f>IFERROR(VLOOKUP(A1362,[3]DOORSCRIEFT!$A$2:$G$8551,6,FALSE),"")</f>
        <v/>
      </c>
      <c r="G1362" s="315"/>
    </row>
    <row r="1363" spans="1:7" x14ac:dyDescent="0.25">
      <c r="A1363" s="360" t="str">
        <f t="shared" si="39"/>
        <v>I.2.2.02.02216</v>
      </c>
      <c r="B1363" s="319">
        <v>16</v>
      </c>
      <c r="C1363" s="394" t="str">
        <f>IFERROR(VLOOKUP(A1363,[3]DOORSCRIEFT!$A$2:$G$8551,2,FALSE),"")</f>
        <v/>
      </c>
      <c r="D1363" s="393" t="str">
        <f>IFERROR(VLOOKUP(A1363,[3]DOORSCRIEFT!$A$2:$G$8551,3,FALSE),"")</f>
        <v/>
      </c>
      <c r="E1363" s="392" t="str">
        <f>IFERROR(VLOOKUP(A1363,[3]DOORSCRIEFT!$A$2:$G$8551,4,FALSE),"")</f>
        <v/>
      </c>
      <c r="F1363" s="405" t="str">
        <f>IFERROR(VLOOKUP(A1363,[3]DOORSCRIEFT!$A$2:$G$8551,6,FALSE),"")</f>
        <v/>
      </c>
      <c r="G1363" s="315"/>
    </row>
    <row r="1364" spans="1:7" x14ac:dyDescent="0.25">
      <c r="A1364" s="360" t="str">
        <f t="shared" si="39"/>
        <v>I.2.2.02.02217</v>
      </c>
      <c r="B1364" s="339">
        <v>17</v>
      </c>
      <c r="C1364" s="394" t="str">
        <f>IFERROR(VLOOKUP(A1364,[3]DOORSCRIEFT!$A$2:$G$8551,2,FALSE),"")</f>
        <v/>
      </c>
      <c r="D1364" s="393" t="str">
        <f>IFERROR(VLOOKUP(A1364,[3]DOORSCRIEFT!$A$2:$G$8551,3,FALSE),"")</f>
        <v/>
      </c>
      <c r="E1364" s="392" t="str">
        <f>IFERROR(VLOOKUP(A1364,[3]DOORSCRIEFT!$A$2:$G$8551,4,FALSE),"")</f>
        <v/>
      </c>
      <c r="F1364" s="405" t="str">
        <f>IFERROR(VLOOKUP(A1364,[3]DOORSCRIEFT!$A$2:$G$8551,6,FALSE),"")</f>
        <v/>
      </c>
      <c r="G1364" s="315"/>
    </row>
    <row r="1365" spans="1:7" x14ac:dyDescent="0.25">
      <c r="A1365" s="359" t="str">
        <f t="shared" si="39"/>
        <v>I.2.2.02.02218</v>
      </c>
      <c r="B1365" s="319">
        <v>18</v>
      </c>
      <c r="C1365" s="394" t="str">
        <f>IFERROR(VLOOKUP(A1365,[3]DOORSCRIEFT!$A$2:$G$8551,2,FALSE),"")</f>
        <v/>
      </c>
      <c r="D1365" s="393" t="str">
        <f>IFERROR(VLOOKUP(A1365,[3]DOORSCRIEFT!$A$2:$G$8551,3,FALSE),"")</f>
        <v/>
      </c>
      <c r="E1365" s="392" t="str">
        <f>IFERROR(VLOOKUP(A1365,[3]DOORSCRIEFT!$A$2:$G$8551,4,FALSE),"")</f>
        <v/>
      </c>
      <c r="F1365" s="405" t="str">
        <f>IFERROR(VLOOKUP(A1365,[3]DOORSCRIEFT!$A$2:$G$8551,6,FALSE),"")</f>
        <v/>
      </c>
      <c r="G1365" s="349"/>
    </row>
    <row r="1366" spans="1:7" x14ac:dyDescent="0.25">
      <c r="A1366" s="359" t="str">
        <f t="shared" si="39"/>
        <v>I.2.2.02.02219</v>
      </c>
      <c r="B1366" s="339">
        <v>19</v>
      </c>
      <c r="C1366" s="394" t="str">
        <f>IFERROR(VLOOKUP(A1366,[3]DOORSCRIEFT!$A$2:$G$8551,2,FALSE),"")</f>
        <v/>
      </c>
      <c r="D1366" s="393" t="str">
        <f>IFERROR(VLOOKUP(A1366,[3]DOORSCRIEFT!$A$2:$G$8551,3,FALSE),"")</f>
        <v/>
      </c>
      <c r="E1366" s="392" t="str">
        <f>IFERROR(VLOOKUP(A1366,[3]DOORSCRIEFT!$A$2:$G$8551,4,FALSE),"")</f>
        <v/>
      </c>
      <c r="F1366" s="405" t="str">
        <f>IFERROR(VLOOKUP(A1366,[3]DOORSCRIEFT!$A$2:$G$8551,6,FALSE),"")</f>
        <v/>
      </c>
      <c r="G1366" s="349"/>
    </row>
    <row r="1367" spans="1:7" x14ac:dyDescent="0.25">
      <c r="A1367" s="359" t="str">
        <f t="shared" si="39"/>
        <v>I.2.2.02.02220</v>
      </c>
      <c r="B1367" s="319">
        <v>20</v>
      </c>
      <c r="C1367" s="394" t="str">
        <f>IFERROR(VLOOKUP(A1367,[3]DOORSCRIEFT!$A$2:$G$8551,2,FALSE),"")</f>
        <v/>
      </c>
      <c r="D1367" s="393" t="str">
        <f>IFERROR(VLOOKUP(A1367,[3]DOORSCRIEFT!$A$2:$G$8551,3,FALSE),"")</f>
        <v/>
      </c>
      <c r="E1367" s="392" t="str">
        <f>IFERROR(VLOOKUP(A1367,[3]DOORSCRIEFT!$A$2:$G$8551,4,FALSE),"")</f>
        <v/>
      </c>
      <c r="F1367" s="405" t="str">
        <f>IFERROR(VLOOKUP(A1367,[3]DOORSCRIEFT!$A$2:$G$8551,6,FALSE),"")</f>
        <v/>
      </c>
      <c r="G1367" s="349"/>
    </row>
    <row r="1368" spans="1:7" ht="15.75" thickBot="1" x14ac:dyDescent="0.3">
      <c r="A1368" s="390" t="str">
        <f t="shared" si="39"/>
        <v>I.2.2.02.02221</v>
      </c>
      <c r="B1368" s="339">
        <v>21</v>
      </c>
      <c r="C1368" s="394" t="str">
        <f>IFERROR(VLOOKUP(A1368,[3]DOORSCRIEFT!$A$2:$G$8551,2,FALSE),"")</f>
        <v/>
      </c>
      <c r="D1368" s="393" t="str">
        <f>IFERROR(VLOOKUP(A1368,[3]DOORSCRIEFT!$A$2:$G$8551,3,FALSE),"")</f>
        <v/>
      </c>
      <c r="E1368" s="392" t="str">
        <f>IFERROR(VLOOKUP(A1368,[3]DOORSCRIEFT!$A$2:$G$8551,4,FALSE),"")</f>
        <v/>
      </c>
      <c r="F1368" s="405" t="str">
        <f>IFERROR(VLOOKUP(A1368,[3]DOORSCRIEFT!$A$2:$G$8551,6,FALSE),"")</f>
        <v/>
      </c>
      <c r="G1368" s="315"/>
    </row>
    <row r="1369" spans="1:7" ht="15.75" thickBot="1" x14ac:dyDescent="0.3">
      <c r="A1369" s="314"/>
      <c r="B1369" s="312"/>
      <c r="C1369" s="313"/>
      <c r="D1369" s="312"/>
      <c r="E1369" s="311" t="s">
        <v>644</v>
      </c>
      <c r="F1369" s="310">
        <f>SUM(F1348:F1368)</f>
        <v>193000</v>
      </c>
      <c r="G1369" s="309">
        <f>SUM(G1348:G1364)</f>
        <v>0</v>
      </c>
    </row>
    <row r="1372" spans="1:7" ht="15.75" x14ac:dyDescent="0.25">
      <c r="C1372" s="332"/>
      <c r="D1372" s="333"/>
      <c r="E1372" s="332"/>
      <c r="F1372" s="327" t="s">
        <v>607</v>
      </c>
      <c r="G1372" s="327" t="s">
        <v>502</v>
      </c>
    </row>
    <row r="1373" spans="1:7" ht="15.75" x14ac:dyDescent="0.25">
      <c r="C1373" s="332"/>
      <c r="D1373" s="333"/>
      <c r="E1373" s="332"/>
      <c r="F1373" s="327" t="s">
        <v>601</v>
      </c>
      <c r="G1373" s="327" t="s">
        <v>501</v>
      </c>
    </row>
    <row r="1374" spans="1:7" x14ac:dyDescent="0.25">
      <c r="C1374" s="328"/>
      <c r="D1374" s="329"/>
      <c r="E1374" s="328"/>
      <c r="F1374" s="327" t="s">
        <v>651</v>
      </c>
      <c r="G1374" s="331">
        <f>[2]Sheet1!$D$49</f>
        <v>0</v>
      </c>
    </row>
    <row r="1375" spans="1:7" ht="15.75" thickBot="1" x14ac:dyDescent="0.3">
      <c r="C1375" s="328"/>
      <c r="D1375" s="329"/>
      <c r="E1375" s="328"/>
      <c r="F1375" s="327" t="s">
        <v>650</v>
      </c>
      <c r="G1375" s="326">
        <f>+F1390-G1374</f>
        <v>60000</v>
      </c>
    </row>
    <row r="1376" spans="1:7" x14ac:dyDescent="0.25">
      <c r="A1376" s="571" t="s">
        <v>655</v>
      </c>
      <c r="B1376" s="573" t="s">
        <v>606</v>
      </c>
      <c r="C1376" s="588" t="s">
        <v>649</v>
      </c>
      <c r="D1376" s="577" t="s">
        <v>648</v>
      </c>
      <c r="E1376" s="577" t="s">
        <v>647</v>
      </c>
      <c r="F1376" s="577" t="s">
        <v>646</v>
      </c>
      <c r="G1376" s="580" t="s">
        <v>645</v>
      </c>
    </row>
    <row r="1377" spans="1:7" ht="15.75" thickBot="1" x14ac:dyDescent="0.3">
      <c r="A1377" s="572"/>
      <c r="B1377" s="574"/>
      <c r="C1377" s="589"/>
      <c r="D1377" s="578"/>
      <c r="E1377" s="578"/>
      <c r="F1377" s="578"/>
      <c r="G1377" s="581"/>
    </row>
    <row r="1378" spans="1:7" ht="15.75" thickBot="1" x14ac:dyDescent="0.3">
      <c r="A1378" s="325">
        <v>1</v>
      </c>
      <c r="B1378" s="347">
        <v>2</v>
      </c>
      <c r="C1378" s="324">
        <v>3</v>
      </c>
      <c r="D1378" s="434">
        <v>4</v>
      </c>
      <c r="E1378" s="434">
        <v>5</v>
      </c>
      <c r="F1378" s="434">
        <v>6</v>
      </c>
      <c r="G1378" s="356">
        <v>7</v>
      </c>
    </row>
    <row r="1379" spans="1:7" x14ac:dyDescent="0.25">
      <c r="A1379" s="390" t="str">
        <f t="shared" ref="A1379:A1389" si="40">$G$1372&amp;B1379</f>
        <v>I.2.2.02.0231</v>
      </c>
      <c r="B1379" s="342">
        <v>1</v>
      </c>
      <c r="C1379" s="394">
        <f>IFERROR(VLOOKUP(A1379,[3]DOORSCRIEFT!$A$2:$G$8551,2,FALSE),"")</f>
        <v>339</v>
      </c>
      <c r="D1379" s="393">
        <f>IFERROR(VLOOKUP(A1379,[3]DOORSCRIEFT!$A$2:$G$8551,3,FALSE),"")</f>
        <v>46094</v>
      </c>
      <c r="E1379" s="392" t="str">
        <f>IFERROR(VLOOKUP(A1379,[3]DOORSCRIEFT!$A$2:$G$8551,4,FALSE),"")</f>
        <v>Kolekta Kebaktian Tutup Usbu Pemerintah Negeri Suli</v>
      </c>
      <c r="F1379" s="405">
        <f>IFERROR(VLOOKUP(A1379,[3]DOORSCRIEFT!$A$2:$G$8551,6,FALSE),"")</f>
        <v>60000</v>
      </c>
      <c r="G1379" s="437"/>
    </row>
    <row r="1380" spans="1:7" x14ac:dyDescent="0.25">
      <c r="A1380" s="390" t="str">
        <f t="shared" si="40"/>
        <v>I.2.2.02.0232</v>
      </c>
      <c r="B1380" s="321">
        <v>2</v>
      </c>
      <c r="C1380" s="394" t="str">
        <f>IFERROR(VLOOKUP(A1380,[3]DOORSCRIEFT!$A$2:$G$8551,2,FALSE),"")</f>
        <v/>
      </c>
      <c r="D1380" s="393" t="str">
        <f>IFERROR(VLOOKUP(A1380,[3]DOORSCRIEFT!$A$2:$G$8551,3,FALSE),"")</f>
        <v/>
      </c>
      <c r="E1380" s="392" t="str">
        <f>IFERROR(VLOOKUP(A1380,[3]DOORSCRIEFT!$A$2:$G$8551,4,FALSE),"")</f>
        <v/>
      </c>
      <c r="F1380" s="405" t="str">
        <f>IFERROR(VLOOKUP(A1380,[3]DOORSCRIEFT!$A$2:$G$8551,6,FALSE),"")</f>
        <v/>
      </c>
      <c r="G1380" s="416"/>
    </row>
    <row r="1381" spans="1:7" x14ac:dyDescent="0.25">
      <c r="A1381" s="390" t="str">
        <f t="shared" si="40"/>
        <v>I.2.2.02.0233</v>
      </c>
      <c r="B1381" s="342">
        <v>3</v>
      </c>
      <c r="C1381" s="394" t="str">
        <f>IFERROR(VLOOKUP(A1381,[3]DOORSCRIEFT!$A$2:$G$8551,2,FALSE),"")</f>
        <v/>
      </c>
      <c r="D1381" s="393" t="str">
        <f>IFERROR(VLOOKUP(A1381,[3]DOORSCRIEFT!$A$2:$G$8551,3,FALSE),"")</f>
        <v/>
      </c>
      <c r="E1381" s="392" t="str">
        <f>IFERROR(VLOOKUP(A1381,[3]DOORSCRIEFT!$A$2:$G$8551,4,FALSE),"")</f>
        <v/>
      </c>
      <c r="F1381" s="405" t="str">
        <f>IFERROR(VLOOKUP(A1381,[3]DOORSCRIEFT!$A$2:$G$8551,6,FALSE),"")</f>
        <v/>
      </c>
      <c r="G1381" s="416"/>
    </row>
    <row r="1382" spans="1:7" x14ac:dyDescent="0.25">
      <c r="A1382" s="390" t="str">
        <f t="shared" si="40"/>
        <v>I.2.2.02.0234</v>
      </c>
      <c r="B1382" s="321">
        <v>4</v>
      </c>
      <c r="C1382" s="394" t="str">
        <f>IFERROR(VLOOKUP(A1382,[3]DOORSCRIEFT!$A$2:$G$8551,2,FALSE),"")</f>
        <v/>
      </c>
      <c r="D1382" s="393" t="str">
        <f>IFERROR(VLOOKUP(A1382,[3]DOORSCRIEFT!$A$2:$G$8551,3,FALSE),"")</f>
        <v/>
      </c>
      <c r="E1382" s="392" t="str">
        <f>IFERROR(VLOOKUP(A1382,[3]DOORSCRIEFT!$A$2:$G$8551,4,FALSE),"")</f>
        <v/>
      </c>
      <c r="F1382" s="405" t="str">
        <f>IFERROR(VLOOKUP(A1382,[3]DOORSCRIEFT!$A$2:$G$8551,6,FALSE),"")</f>
        <v/>
      </c>
      <c r="G1382" s="416"/>
    </row>
    <row r="1383" spans="1:7" x14ac:dyDescent="0.25">
      <c r="A1383" s="390" t="str">
        <f t="shared" si="40"/>
        <v>I.2.2.02.0235</v>
      </c>
      <c r="B1383" s="342">
        <v>5</v>
      </c>
      <c r="C1383" s="394" t="str">
        <f>IFERROR(VLOOKUP(A1383,[3]DOORSCRIEFT!$A$2:$G$8551,2,FALSE),"")</f>
        <v/>
      </c>
      <c r="D1383" s="393" t="str">
        <f>IFERROR(VLOOKUP(A1383,[3]DOORSCRIEFT!$A$2:$G$8551,3,FALSE),"")</f>
        <v/>
      </c>
      <c r="E1383" s="392" t="str">
        <f>IFERROR(VLOOKUP(A1383,[3]DOORSCRIEFT!$A$2:$G$8551,4,FALSE),"")</f>
        <v/>
      </c>
      <c r="F1383" s="405" t="str">
        <f>IFERROR(VLOOKUP(A1383,[3]DOORSCRIEFT!$A$2:$G$8551,6,FALSE),"")</f>
        <v/>
      </c>
      <c r="G1383" s="416"/>
    </row>
    <row r="1384" spans="1:7" x14ac:dyDescent="0.25">
      <c r="A1384" s="390" t="str">
        <f t="shared" si="40"/>
        <v>I.2.2.02.0236</v>
      </c>
      <c r="B1384" s="321">
        <v>6</v>
      </c>
      <c r="C1384" s="394" t="str">
        <f>IFERROR(VLOOKUP(A1384,[3]DOORSCRIEFT!$A$2:$G$8551,2,FALSE),"")</f>
        <v/>
      </c>
      <c r="D1384" s="393" t="str">
        <f>IFERROR(VLOOKUP(A1384,[3]DOORSCRIEFT!$A$2:$G$8551,3,FALSE),"")</f>
        <v/>
      </c>
      <c r="E1384" s="392" t="str">
        <f>IFERROR(VLOOKUP(A1384,[3]DOORSCRIEFT!$A$2:$G$8551,4,FALSE),"")</f>
        <v/>
      </c>
      <c r="F1384" s="405" t="str">
        <f>IFERROR(VLOOKUP(A1384,[3]DOORSCRIEFT!$A$2:$G$8551,6,FALSE),"")</f>
        <v/>
      </c>
      <c r="G1384" s="416"/>
    </row>
    <row r="1385" spans="1:7" x14ac:dyDescent="0.25">
      <c r="A1385" s="390" t="str">
        <f t="shared" si="40"/>
        <v>I.2.2.02.0237</v>
      </c>
      <c r="B1385" s="342">
        <v>7</v>
      </c>
      <c r="C1385" s="394" t="str">
        <f>IFERROR(VLOOKUP(A1385,[3]DOORSCRIEFT!$A$2:$G$8551,2,FALSE),"")</f>
        <v/>
      </c>
      <c r="D1385" s="393" t="str">
        <f>IFERROR(VLOOKUP(A1385,[3]DOORSCRIEFT!$A$2:$G$8551,3,FALSE),"")</f>
        <v/>
      </c>
      <c r="E1385" s="392" t="str">
        <f>IFERROR(VLOOKUP(A1385,[3]DOORSCRIEFT!$A$2:$G$8551,4,FALSE),"")</f>
        <v/>
      </c>
      <c r="F1385" s="405" t="str">
        <f>IFERROR(VLOOKUP(A1385,[3]DOORSCRIEFT!$A$2:$G$8551,6,FALSE),"")</f>
        <v/>
      </c>
      <c r="G1385" s="416"/>
    </row>
    <row r="1386" spans="1:7" x14ac:dyDescent="0.25">
      <c r="A1386" s="390" t="str">
        <f t="shared" si="40"/>
        <v>I.2.2.02.0238</v>
      </c>
      <c r="B1386" s="321">
        <v>8</v>
      </c>
      <c r="C1386" s="394" t="str">
        <f>IFERROR(VLOOKUP(A1386,[3]DOORSCRIEFT!$A$2:$G$8551,2,FALSE),"")</f>
        <v/>
      </c>
      <c r="D1386" s="393" t="str">
        <f>IFERROR(VLOOKUP(A1386,[3]DOORSCRIEFT!$A$2:$G$8551,3,FALSE),"")</f>
        <v/>
      </c>
      <c r="E1386" s="392" t="str">
        <f>IFERROR(VLOOKUP(A1386,[3]DOORSCRIEFT!$A$2:$G$8551,4,FALSE),"")</f>
        <v/>
      </c>
      <c r="F1386" s="405" t="str">
        <f>IFERROR(VLOOKUP(A1386,[3]DOORSCRIEFT!$A$2:$G$8551,6,FALSE),"")</f>
        <v/>
      </c>
      <c r="G1386" s="416"/>
    </row>
    <row r="1387" spans="1:7" x14ac:dyDescent="0.25">
      <c r="A1387" s="390" t="str">
        <f t="shared" si="40"/>
        <v>I.2.2.02.0239</v>
      </c>
      <c r="B1387" s="342">
        <v>9</v>
      </c>
      <c r="C1387" s="394" t="str">
        <f>IFERROR(VLOOKUP(A1387,[3]DOORSCRIEFT!$A$2:$G$8551,2,FALSE),"")</f>
        <v/>
      </c>
      <c r="D1387" s="393" t="str">
        <f>IFERROR(VLOOKUP(A1387,[3]DOORSCRIEFT!$A$2:$G$8551,3,FALSE),"")</f>
        <v/>
      </c>
      <c r="E1387" s="392" t="str">
        <f>IFERROR(VLOOKUP(A1387,[3]DOORSCRIEFT!$A$2:$G$8551,4,FALSE),"")</f>
        <v/>
      </c>
      <c r="F1387" s="405" t="str">
        <f>IFERROR(VLOOKUP(A1387,[3]DOORSCRIEFT!$A$2:$G$8551,6,FALSE),"")</f>
        <v/>
      </c>
      <c r="G1387" s="416"/>
    </row>
    <row r="1388" spans="1:7" x14ac:dyDescent="0.25">
      <c r="A1388" s="390" t="str">
        <f t="shared" si="40"/>
        <v>I.2.2.02.02310</v>
      </c>
      <c r="B1388" s="321">
        <v>10</v>
      </c>
      <c r="C1388" s="394" t="str">
        <f>IFERROR(VLOOKUP(A1388,[3]DOORSCRIEFT!$A$2:$G$8551,2,FALSE),"")</f>
        <v/>
      </c>
      <c r="D1388" s="393" t="str">
        <f>IFERROR(VLOOKUP(A1388,[3]DOORSCRIEFT!$A$2:$G$8551,3,FALSE),"")</f>
        <v/>
      </c>
      <c r="E1388" s="392" t="str">
        <f>IFERROR(VLOOKUP(A1388,[3]DOORSCRIEFT!$A$2:$G$8551,4,FALSE),"")</f>
        <v/>
      </c>
      <c r="F1388" s="405" t="str">
        <f>IFERROR(VLOOKUP(A1388,[3]DOORSCRIEFT!$A$2:$G$8551,6,FALSE),"")</f>
        <v/>
      </c>
      <c r="G1388" s="416"/>
    </row>
    <row r="1389" spans="1:7" ht="15.75" thickBot="1" x14ac:dyDescent="0.3">
      <c r="A1389" s="390" t="str">
        <f t="shared" si="40"/>
        <v>I.2.2.02.02311</v>
      </c>
      <c r="B1389" s="342">
        <v>11</v>
      </c>
      <c r="C1389" s="394" t="str">
        <f>IFERROR(VLOOKUP(A1389,[3]DOORSCRIEFT!$A$2:$G$8551,2,FALSE),"")</f>
        <v/>
      </c>
      <c r="D1389" s="393" t="str">
        <f>IFERROR(VLOOKUP(A1389,[3]DOORSCRIEFT!$A$2:$G$8551,3,FALSE),"")</f>
        <v/>
      </c>
      <c r="E1389" s="392" t="str">
        <f>IFERROR(VLOOKUP(A1389,[3]DOORSCRIEFT!$A$2:$G$8551,4,FALSE),"")</f>
        <v/>
      </c>
      <c r="F1389" s="405" t="str">
        <f>IFERROR(VLOOKUP(A1389,[3]DOORSCRIEFT!$A$2:$G$8551,6,FALSE),"")</f>
        <v/>
      </c>
      <c r="G1389" s="415"/>
    </row>
    <row r="1390" spans="1:7" ht="15.75" thickBot="1" x14ac:dyDescent="0.3">
      <c r="A1390" s="314"/>
      <c r="B1390" s="312"/>
      <c r="C1390" s="313"/>
      <c r="D1390" s="312"/>
      <c r="E1390" s="311" t="s">
        <v>644</v>
      </c>
      <c r="F1390" s="436">
        <f>SUM(F1379:F1389)</f>
        <v>60000</v>
      </c>
      <c r="G1390" s="435">
        <f>SUM(G1379:G1389)</f>
        <v>0</v>
      </c>
    </row>
    <row r="1393" spans="1:7" ht="15.75" x14ac:dyDescent="0.25">
      <c r="C1393" s="332"/>
      <c r="D1393" s="333"/>
      <c r="E1393" s="332"/>
      <c r="F1393" s="327" t="s">
        <v>607</v>
      </c>
      <c r="G1393" s="327" t="s">
        <v>500</v>
      </c>
    </row>
    <row r="1394" spans="1:7" ht="15.75" x14ac:dyDescent="0.25">
      <c r="C1394" s="332"/>
      <c r="D1394" s="333"/>
      <c r="E1394" s="332"/>
      <c r="F1394" s="327" t="s">
        <v>601</v>
      </c>
      <c r="G1394" s="327" t="s">
        <v>499</v>
      </c>
    </row>
    <row r="1395" spans="1:7" x14ac:dyDescent="0.25">
      <c r="C1395" s="328"/>
      <c r="D1395" s="329"/>
      <c r="E1395" s="328"/>
      <c r="F1395" s="327" t="s">
        <v>651</v>
      </c>
      <c r="G1395" s="331">
        <f>[2]Sheet1!$D$50</f>
        <v>14000000</v>
      </c>
    </row>
    <row r="1396" spans="1:7" ht="15.75" thickBot="1" x14ac:dyDescent="0.3">
      <c r="C1396" s="328"/>
      <c r="D1396" s="329"/>
      <c r="E1396" s="328"/>
      <c r="F1396" s="327" t="s">
        <v>650</v>
      </c>
      <c r="G1396" s="326">
        <f>+F1465-G1395</f>
        <v>-11242000</v>
      </c>
    </row>
    <row r="1397" spans="1:7" x14ac:dyDescent="0.25">
      <c r="A1397" s="571" t="s">
        <v>655</v>
      </c>
      <c r="B1397" s="573" t="s">
        <v>606</v>
      </c>
      <c r="C1397" s="588" t="s">
        <v>649</v>
      </c>
      <c r="D1397" s="577" t="s">
        <v>648</v>
      </c>
      <c r="E1397" s="577" t="s">
        <v>647</v>
      </c>
      <c r="F1397" s="577" t="s">
        <v>646</v>
      </c>
      <c r="G1397" s="580" t="s">
        <v>645</v>
      </c>
    </row>
    <row r="1398" spans="1:7" ht="15.75" thickBot="1" x14ac:dyDescent="0.3">
      <c r="A1398" s="572"/>
      <c r="B1398" s="574"/>
      <c r="C1398" s="589"/>
      <c r="D1398" s="578"/>
      <c r="E1398" s="578"/>
      <c r="F1398" s="578"/>
      <c r="G1398" s="581"/>
    </row>
    <row r="1399" spans="1:7" ht="15.75" thickBot="1" x14ac:dyDescent="0.3">
      <c r="A1399" s="325">
        <v>1</v>
      </c>
      <c r="B1399" s="347">
        <v>2</v>
      </c>
      <c r="C1399" s="324">
        <v>3</v>
      </c>
      <c r="D1399" s="434">
        <v>4</v>
      </c>
      <c r="E1399" s="434">
        <v>5</v>
      </c>
      <c r="F1399" s="434">
        <v>6</v>
      </c>
      <c r="G1399" s="356">
        <v>7</v>
      </c>
    </row>
    <row r="1400" spans="1:7" x14ac:dyDescent="0.25">
      <c r="A1400" s="339" t="str">
        <f t="shared" ref="A1400:A1431" si="41">$G$1393&amp;B1400</f>
        <v>I.2.2.02.0241</v>
      </c>
      <c r="B1400" s="339">
        <v>1</v>
      </c>
      <c r="C1400" s="394">
        <f>IFERROR(VLOOKUP(A1400,[3]DOORSCRIEFT!$A$2:$G$8551,2,FALSE),"")</f>
        <v>106</v>
      </c>
      <c r="D1400" s="393">
        <f>IFERROR(VLOOKUP(A1400,[3]DOORSCRIEFT!$A$2:$G$8551,3,FALSE),"")</f>
        <v>46045</v>
      </c>
      <c r="E1400" s="392" t="str">
        <f>IFERROR(VLOOKUP(A1400,[3]DOORSCRIEFT!$A$2:$G$8551,4,FALSE),"")</f>
        <v>Kolekta Pelayanan Pantai</v>
      </c>
      <c r="F1400" s="405">
        <f>IFERROR(VLOOKUP(A1400,[3]DOORSCRIEFT!$A$2:$G$8551,6,FALSE),"")</f>
        <v>497000</v>
      </c>
      <c r="G1400" s="433"/>
    </row>
    <row r="1401" spans="1:7" x14ac:dyDescent="0.25">
      <c r="A1401" s="339" t="str">
        <f t="shared" si="41"/>
        <v>I.2.2.02.0242</v>
      </c>
      <c r="B1401" s="319">
        <v>2</v>
      </c>
      <c r="C1401" s="394">
        <f>IFERROR(VLOOKUP(A1401,[3]DOORSCRIEFT!$A$2:$G$8551,2,FALSE),"")</f>
        <v>167</v>
      </c>
      <c r="D1401" s="393">
        <f>IFERROR(VLOOKUP(A1401,[3]DOORSCRIEFT!$A$2:$G$8551,3,FALSE),"")</f>
        <v>46059</v>
      </c>
      <c r="E1401" s="392" t="str">
        <f>IFERROR(VLOOKUP(A1401,[3]DOORSCRIEFT!$A$2:$G$8551,4,FALSE),"")</f>
        <v>Kolekta Kebaktian Pantai/Papalele</v>
      </c>
      <c r="F1401" s="405">
        <f>IFERROR(VLOOKUP(A1401,[3]DOORSCRIEFT!$A$2:$G$8551,6,FALSE),"")</f>
        <v>620000</v>
      </c>
      <c r="G1401" s="432"/>
    </row>
    <row r="1402" spans="1:7" x14ac:dyDescent="0.25">
      <c r="A1402" s="339" t="str">
        <f t="shared" si="41"/>
        <v>I.2.2.02.0243</v>
      </c>
      <c r="B1402" s="339">
        <v>3</v>
      </c>
      <c r="C1402" s="394">
        <f>IFERROR(VLOOKUP(A1402,[3]DOORSCRIEFT!$A$2:$G$8551,2,FALSE),"")</f>
        <v>192</v>
      </c>
      <c r="D1402" s="393">
        <f>IFERROR(VLOOKUP(A1402,[3]DOORSCRIEFT!$A$2:$G$8551,3,FALSE),"")</f>
        <v>46066</v>
      </c>
      <c r="E1402" s="392" t="str">
        <f>IFERROR(VLOOKUP(A1402,[3]DOORSCRIEFT!$A$2:$G$8551,4,FALSE),"")</f>
        <v>Kolekta Kebaktian Pantai/Papalele</v>
      </c>
      <c r="F1402" s="405">
        <f>IFERROR(VLOOKUP(A1402,[3]DOORSCRIEFT!$A$2:$G$8551,6,FALSE),"")</f>
        <v>400000</v>
      </c>
      <c r="G1402" s="432"/>
    </row>
    <row r="1403" spans="1:7" x14ac:dyDescent="0.25">
      <c r="A1403" s="339" t="str">
        <f t="shared" si="41"/>
        <v>I.2.2.02.0244</v>
      </c>
      <c r="B1403" s="319">
        <v>4</v>
      </c>
      <c r="C1403" s="394">
        <f>IFERROR(VLOOKUP(A1403,[3]DOORSCRIEFT!$A$2:$G$8551,2,FALSE),"")</f>
        <v>291</v>
      </c>
      <c r="D1403" s="393">
        <f>IFERROR(VLOOKUP(A1403,[3]DOORSCRIEFT!$A$2:$G$8551,3,FALSE),"")</f>
        <v>46087</v>
      </c>
      <c r="E1403" s="392" t="str">
        <f>IFERROR(VLOOKUP(A1403,[3]DOORSCRIEFT!$A$2:$G$8551,4,FALSE),"")</f>
        <v>Kolekta pelayanan Pantai</v>
      </c>
      <c r="F1403" s="405">
        <f>IFERROR(VLOOKUP(A1403,[3]DOORSCRIEFT!$A$2:$G$8551,6,FALSE),"")</f>
        <v>441000</v>
      </c>
      <c r="G1403" s="432"/>
    </row>
    <row r="1404" spans="1:7" x14ac:dyDescent="0.25">
      <c r="A1404" s="339" t="str">
        <f t="shared" si="41"/>
        <v>I.2.2.02.0245</v>
      </c>
      <c r="B1404" s="339">
        <v>5</v>
      </c>
      <c r="C1404" s="394">
        <f>IFERROR(VLOOKUP(A1404,[3]DOORSCRIEFT!$A$2:$G$8551,2,FALSE),"")</f>
        <v>329</v>
      </c>
      <c r="D1404" s="393">
        <f>IFERROR(VLOOKUP(A1404,[3]DOORSCRIEFT!$A$2:$G$8551,3,FALSE),"")</f>
        <v>46089</v>
      </c>
      <c r="E1404" s="392" t="str">
        <f>IFERROR(VLOOKUP(A1404,[3]DOORSCRIEFT!$A$2:$G$8551,4,FALSE),"")</f>
        <v>Kolekta Kebaktian Pantai/Papalele</v>
      </c>
      <c r="F1404" s="405">
        <f>IFERROR(VLOOKUP(A1404,[3]DOORSCRIEFT!$A$2:$G$8551,6,FALSE),"")</f>
        <v>190000</v>
      </c>
      <c r="G1404" s="432"/>
    </row>
    <row r="1405" spans="1:7" x14ac:dyDescent="0.25">
      <c r="A1405" s="339" t="str">
        <f t="shared" si="41"/>
        <v>I.2.2.02.0246</v>
      </c>
      <c r="B1405" s="319">
        <v>6</v>
      </c>
      <c r="C1405" s="394">
        <f>IFERROR(VLOOKUP(A1405,[3]DOORSCRIEFT!$A$2:$G$8551,2,FALSE),"")</f>
        <v>382</v>
      </c>
      <c r="D1405" s="393">
        <f>IFERROR(VLOOKUP(A1405,[3]DOORSCRIEFT!$A$2:$G$8551,3,FALSE),"")</f>
        <v>46101</v>
      </c>
      <c r="E1405" s="392" t="str">
        <f>IFERROR(VLOOKUP(A1405,[3]DOORSCRIEFT!$A$2:$G$8551,4,FALSE),"")</f>
        <v>Kolekta Kebaktian Pantai/Papalele</v>
      </c>
      <c r="F1405" s="405">
        <f>IFERROR(VLOOKUP(A1405,[3]DOORSCRIEFT!$A$2:$G$8551,6,FALSE),"")</f>
        <v>315000</v>
      </c>
      <c r="G1405" s="432"/>
    </row>
    <row r="1406" spans="1:7" x14ac:dyDescent="0.25">
      <c r="A1406" s="339" t="str">
        <f t="shared" si="41"/>
        <v>I.2.2.02.0247</v>
      </c>
      <c r="B1406" s="339">
        <v>7</v>
      </c>
      <c r="C1406" s="394">
        <f>IFERROR(VLOOKUP(A1406,[3]DOORSCRIEFT!$A$2:$G$8551,2,FALSE),"")</f>
        <v>428</v>
      </c>
      <c r="D1406" s="393">
        <f>IFERROR(VLOOKUP(A1406,[3]DOORSCRIEFT!$A$2:$G$8551,3,FALSE),"")</f>
        <v>46103</v>
      </c>
      <c r="E1406" s="392" t="str">
        <f>IFERROR(VLOOKUP(A1406,[3]DOORSCRIEFT!$A$2:$G$8551,4,FALSE),"")</f>
        <v>Kolekta Kebaktian Pantai/Papalele</v>
      </c>
      <c r="F1406" s="405">
        <f>IFERROR(VLOOKUP(A1406,[3]DOORSCRIEFT!$A$2:$G$8551,6,FALSE),"")</f>
        <v>295000</v>
      </c>
      <c r="G1406" s="432"/>
    </row>
    <row r="1407" spans="1:7" x14ac:dyDescent="0.25">
      <c r="A1407" s="339" t="str">
        <f t="shared" si="41"/>
        <v>I.2.2.02.0248</v>
      </c>
      <c r="B1407" s="319">
        <v>8</v>
      </c>
      <c r="C1407" s="394" t="str">
        <f>IFERROR(VLOOKUP(A1407,[3]DOORSCRIEFT!$A$2:$G$8551,2,FALSE),"")</f>
        <v/>
      </c>
      <c r="D1407" s="393" t="str">
        <f>IFERROR(VLOOKUP(A1407,[3]DOORSCRIEFT!$A$2:$G$8551,3,FALSE),"")</f>
        <v/>
      </c>
      <c r="E1407" s="392" t="str">
        <f>IFERROR(VLOOKUP(A1407,[3]DOORSCRIEFT!$A$2:$G$8551,4,FALSE),"")</f>
        <v/>
      </c>
      <c r="F1407" s="405" t="str">
        <f>IFERROR(VLOOKUP(A1407,[3]DOORSCRIEFT!$A$2:$G$8551,6,FALSE),"")</f>
        <v/>
      </c>
      <c r="G1407" s="432"/>
    </row>
    <row r="1408" spans="1:7" x14ac:dyDescent="0.25">
      <c r="A1408" s="339" t="str">
        <f t="shared" si="41"/>
        <v>I.2.2.02.0249</v>
      </c>
      <c r="B1408" s="339">
        <v>9</v>
      </c>
      <c r="C1408" s="394" t="str">
        <f>IFERROR(VLOOKUP(A1408,[3]DOORSCRIEFT!$A$2:$G$8551,2,FALSE),"")</f>
        <v/>
      </c>
      <c r="D1408" s="393" t="str">
        <f>IFERROR(VLOOKUP(A1408,[3]DOORSCRIEFT!$A$2:$G$8551,3,FALSE),"")</f>
        <v/>
      </c>
      <c r="E1408" s="392" t="str">
        <f>IFERROR(VLOOKUP(A1408,[3]DOORSCRIEFT!$A$2:$G$8551,4,FALSE),"")</f>
        <v/>
      </c>
      <c r="F1408" s="405" t="str">
        <f>IFERROR(VLOOKUP(A1408,[3]DOORSCRIEFT!$A$2:$G$8551,6,FALSE),"")</f>
        <v/>
      </c>
      <c r="G1408" s="432"/>
    </row>
    <row r="1409" spans="1:7" x14ac:dyDescent="0.25">
      <c r="A1409" s="339" t="str">
        <f t="shared" si="41"/>
        <v>I.2.2.02.02410</v>
      </c>
      <c r="B1409" s="319">
        <v>10</v>
      </c>
      <c r="C1409" s="394" t="str">
        <f>IFERROR(VLOOKUP(A1409,[3]DOORSCRIEFT!$A$2:$G$8551,2,FALSE),"")</f>
        <v/>
      </c>
      <c r="D1409" s="393" t="str">
        <f>IFERROR(VLOOKUP(A1409,[3]DOORSCRIEFT!$A$2:$G$8551,3,FALSE),"")</f>
        <v/>
      </c>
      <c r="E1409" s="392" t="str">
        <f>IFERROR(VLOOKUP(A1409,[3]DOORSCRIEFT!$A$2:$G$8551,4,FALSE),"")</f>
        <v/>
      </c>
      <c r="F1409" s="405" t="str">
        <f>IFERROR(VLOOKUP(A1409,[3]DOORSCRIEFT!$A$2:$G$8551,6,FALSE),"")</f>
        <v/>
      </c>
      <c r="G1409" s="432"/>
    </row>
    <row r="1410" spans="1:7" x14ac:dyDescent="0.25">
      <c r="A1410" s="339" t="str">
        <f t="shared" si="41"/>
        <v>I.2.2.02.02411</v>
      </c>
      <c r="B1410" s="339">
        <v>11</v>
      </c>
      <c r="C1410" s="394" t="str">
        <f>IFERROR(VLOOKUP(A1410,[3]DOORSCRIEFT!$A$2:$G$8551,2,FALSE),"")</f>
        <v/>
      </c>
      <c r="D1410" s="393" t="str">
        <f>IFERROR(VLOOKUP(A1410,[3]DOORSCRIEFT!$A$2:$G$8551,3,FALSE),"")</f>
        <v/>
      </c>
      <c r="E1410" s="392" t="str">
        <f>IFERROR(VLOOKUP(A1410,[3]DOORSCRIEFT!$A$2:$G$8551,4,FALSE),"")</f>
        <v/>
      </c>
      <c r="F1410" s="405" t="str">
        <f>IFERROR(VLOOKUP(A1410,[3]DOORSCRIEFT!$A$2:$G$8551,6,FALSE),"")</f>
        <v/>
      </c>
      <c r="G1410" s="432"/>
    </row>
    <row r="1411" spans="1:7" x14ac:dyDescent="0.25">
      <c r="A1411" s="339" t="str">
        <f t="shared" si="41"/>
        <v>I.2.2.02.02412</v>
      </c>
      <c r="B1411" s="319">
        <v>12</v>
      </c>
      <c r="C1411" s="394" t="str">
        <f>IFERROR(VLOOKUP(A1411,[3]DOORSCRIEFT!$A$2:$G$8551,2,FALSE),"")</f>
        <v/>
      </c>
      <c r="D1411" s="393" t="str">
        <f>IFERROR(VLOOKUP(A1411,[3]DOORSCRIEFT!$A$2:$G$8551,3,FALSE),"")</f>
        <v/>
      </c>
      <c r="E1411" s="392" t="str">
        <f>IFERROR(VLOOKUP(A1411,[3]DOORSCRIEFT!$A$2:$G$8551,4,FALSE),"")</f>
        <v/>
      </c>
      <c r="F1411" s="405" t="str">
        <f>IFERROR(VLOOKUP(A1411,[3]DOORSCRIEFT!$A$2:$G$8551,6,FALSE),"")</f>
        <v/>
      </c>
      <c r="G1411" s="432"/>
    </row>
    <row r="1412" spans="1:7" x14ac:dyDescent="0.25">
      <c r="A1412" s="339" t="str">
        <f t="shared" si="41"/>
        <v>I.2.2.02.02413</v>
      </c>
      <c r="B1412" s="339">
        <v>13</v>
      </c>
      <c r="C1412" s="394" t="str">
        <f>IFERROR(VLOOKUP(A1412,[3]DOORSCRIEFT!$A$2:$G$8551,2,FALSE),"")</f>
        <v/>
      </c>
      <c r="D1412" s="393" t="str">
        <f>IFERROR(VLOOKUP(A1412,[3]DOORSCRIEFT!$A$2:$G$8551,3,FALSE),"")</f>
        <v/>
      </c>
      <c r="E1412" s="392" t="str">
        <f>IFERROR(VLOOKUP(A1412,[3]DOORSCRIEFT!$A$2:$G$8551,4,FALSE),"")</f>
        <v/>
      </c>
      <c r="F1412" s="405" t="str">
        <f>IFERROR(VLOOKUP(A1412,[3]DOORSCRIEFT!$A$2:$G$8551,6,FALSE),"")</f>
        <v/>
      </c>
      <c r="G1412" s="432"/>
    </row>
    <row r="1413" spans="1:7" x14ac:dyDescent="0.25">
      <c r="A1413" s="339" t="str">
        <f t="shared" si="41"/>
        <v>I.2.2.02.02414</v>
      </c>
      <c r="B1413" s="319">
        <v>14</v>
      </c>
      <c r="C1413" s="394" t="str">
        <f>IFERROR(VLOOKUP(A1413,[3]DOORSCRIEFT!$A$2:$G$8551,2,FALSE),"")</f>
        <v/>
      </c>
      <c r="D1413" s="393" t="str">
        <f>IFERROR(VLOOKUP(A1413,[3]DOORSCRIEFT!$A$2:$G$8551,3,FALSE),"")</f>
        <v/>
      </c>
      <c r="E1413" s="392" t="str">
        <f>IFERROR(VLOOKUP(A1413,[3]DOORSCRIEFT!$A$2:$G$8551,4,FALSE),"")</f>
        <v/>
      </c>
      <c r="F1413" s="405" t="str">
        <f>IFERROR(VLOOKUP(A1413,[3]DOORSCRIEFT!$A$2:$G$8551,6,FALSE),"")</f>
        <v/>
      </c>
      <c r="G1413" s="432"/>
    </row>
    <row r="1414" spans="1:7" x14ac:dyDescent="0.25">
      <c r="A1414" s="339" t="str">
        <f t="shared" si="41"/>
        <v>I.2.2.02.02415</v>
      </c>
      <c r="B1414" s="339">
        <v>15</v>
      </c>
      <c r="C1414" s="394" t="str">
        <f>IFERROR(VLOOKUP(A1414,[3]DOORSCRIEFT!$A$2:$G$8551,2,FALSE),"")</f>
        <v/>
      </c>
      <c r="D1414" s="393" t="str">
        <f>IFERROR(VLOOKUP(A1414,[3]DOORSCRIEFT!$A$2:$G$8551,3,FALSE),"")</f>
        <v/>
      </c>
      <c r="E1414" s="392" t="str">
        <f>IFERROR(VLOOKUP(A1414,[3]DOORSCRIEFT!$A$2:$G$8551,4,FALSE),"")</f>
        <v/>
      </c>
      <c r="F1414" s="405" t="str">
        <f>IFERROR(VLOOKUP(A1414,[3]DOORSCRIEFT!$A$2:$G$8551,6,FALSE),"")</f>
        <v/>
      </c>
      <c r="G1414" s="432"/>
    </row>
    <row r="1415" spans="1:7" x14ac:dyDescent="0.25">
      <c r="A1415" s="339" t="str">
        <f t="shared" si="41"/>
        <v>I.2.2.02.02416</v>
      </c>
      <c r="B1415" s="319">
        <v>16</v>
      </c>
      <c r="C1415" s="394" t="str">
        <f>IFERROR(VLOOKUP(A1415,[3]DOORSCRIEFT!$A$2:$G$8551,2,FALSE),"")</f>
        <v/>
      </c>
      <c r="D1415" s="393" t="str">
        <f>IFERROR(VLOOKUP(A1415,[3]DOORSCRIEFT!$A$2:$G$8551,3,FALSE),"")</f>
        <v/>
      </c>
      <c r="E1415" s="392" t="str">
        <f>IFERROR(VLOOKUP(A1415,[3]DOORSCRIEFT!$A$2:$G$8551,4,FALSE),"")</f>
        <v/>
      </c>
      <c r="F1415" s="405" t="str">
        <f>IFERROR(VLOOKUP(A1415,[3]DOORSCRIEFT!$A$2:$G$8551,6,FALSE),"")</f>
        <v/>
      </c>
      <c r="G1415" s="432"/>
    </row>
    <row r="1416" spans="1:7" x14ac:dyDescent="0.25">
      <c r="A1416" s="339" t="str">
        <f t="shared" si="41"/>
        <v>I.2.2.02.02417</v>
      </c>
      <c r="B1416" s="339">
        <v>17</v>
      </c>
      <c r="C1416" s="394" t="str">
        <f>IFERROR(VLOOKUP(A1416,[3]DOORSCRIEFT!$A$2:$G$8551,2,FALSE),"")</f>
        <v/>
      </c>
      <c r="D1416" s="393" t="str">
        <f>IFERROR(VLOOKUP(A1416,[3]DOORSCRIEFT!$A$2:$G$8551,3,FALSE),"")</f>
        <v/>
      </c>
      <c r="E1416" s="392" t="str">
        <f>IFERROR(VLOOKUP(A1416,[3]DOORSCRIEFT!$A$2:$G$8551,4,FALSE),"")</f>
        <v/>
      </c>
      <c r="F1416" s="405" t="str">
        <f>IFERROR(VLOOKUP(A1416,[3]DOORSCRIEFT!$A$2:$G$8551,6,FALSE),"")</f>
        <v/>
      </c>
      <c r="G1416" s="432"/>
    </row>
    <row r="1417" spans="1:7" x14ac:dyDescent="0.25">
      <c r="A1417" s="339" t="str">
        <f t="shared" si="41"/>
        <v>I.2.2.02.02418</v>
      </c>
      <c r="B1417" s="319">
        <v>18</v>
      </c>
      <c r="C1417" s="394" t="str">
        <f>IFERROR(VLOOKUP(A1417,[3]DOORSCRIEFT!$A$2:$G$8551,2,FALSE),"")</f>
        <v/>
      </c>
      <c r="D1417" s="393" t="str">
        <f>IFERROR(VLOOKUP(A1417,[3]DOORSCRIEFT!$A$2:$G$8551,3,FALSE),"")</f>
        <v/>
      </c>
      <c r="E1417" s="392" t="str">
        <f>IFERROR(VLOOKUP(A1417,[3]DOORSCRIEFT!$A$2:$G$8551,4,FALSE),"")</f>
        <v/>
      </c>
      <c r="F1417" s="405" t="str">
        <f>IFERROR(VLOOKUP(A1417,[3]DOORSCRIEFT!$A$2:$G$8551,6,FALSE),"")</f>
        <v/>
      </c>
      <c r="G1417" s="432"/>
    </row>
    <row r="1418" spans="1:7" x14ac:dyDescent="0.25">
      <c r="A1418" s="339" t="str">
        <f t="shared" si="41"/>
        <v>I.2.2.02.02419</v>
      </c>
      <c r="B1418" s="339">
        <v>19</v>
      </c>
      <c r="C1418" s="394" t="str">
        <f>IFERROR(VLOOKUP(A1418,[3]DOORSCRIEFT!$A$2:$G$8551,2,FALSE),"")</f>
        <v/>
      </c>
      <c r="D1418" s="393" t="str">
        <f>IFERROR(VLOOKUP(A1418,[3]DOORSCRIEFT!$A$2:$G$8551,3,FALSE),"")</f>
        <v/>
      </c>
      <c r="E1418" s="392" t="str">
        <f>IFERROR(VLOOKUP(A1418,[3]DOORSCRIEFT!$A$2:$G$8551,4,FALSE),"")</f>
        <v/>
      </c>
      <c r="F1418" s="405" t="str">
        <f>IFERROR(VLOOKUP(A1418,[3]DOORSCRIEFT!$A$2:$G$8551,6,FALSE),"")</f>
        <v/>
      </c>
      <c r="G1418" s="432"/>
    </row>
    <row r="1419" spans="1:7" x14ac:dyDescent="0.25">
      <c r="A1419" s="339" t="str">
        <f t="shared" si="41"/>
        <v>I.2.2.02.02420</v>
      </c>
      <c r="B1419" s="319">
        <v>20</v>
      </c>
      <c r="C1419" s="394" t="str">
        <f>IFERROR(VLOOKUP(A1419,[3]DOORSCRIEFT!$A$2:$G$8551,2,FALSE),"")</f>
        <v/>
      </c>
      <c r="D1419" s="393" t="str">
        <f>IFERROR(VLOOKUP(A1419,[3]DOORSCRIEFT!$A$2:$G$8551,3,FALSE),"")</f>
        <v/>
      </c>
      <c r="E1419" s="392" t="str">
        <f>IFERROR(VLOOKUP(A1419,[3]DOORSCRIEFT!$A$2:$G$8551,4,FALSE),"")</f>
        <v/>
      </c>
      <c r="F1419" s="405" t="str">
        <f>IFERROR(VLOOKUP(A1419,[3]DOORSCRIEFT!$A$2:$G$8551,6,FALSE),"")</f>
        <v/>
      </c>
      <c r="G1419" s="432"/>
    </row>
    <row r="1420" spans="1:7" x14ac:dyDescent="0.25">
      <c r="A1420" s="339" t="str">
        <f t="shared" si="41"/>
        <v>I.2.2.02.02421</v>
      </c>
      <c r="B1420" s="339">
        <v>21</v>
      </c>
      <c r="C1420" s="394" t="str">
        <f>IFERROR(VLOOKUP(A1420,[3]DOORSCRIEFT!$A$2:$G$8551,2,FALSE),"")</f>
        <v/>
      </c>
      <c r="D1420" s="393" t="str">
        <f>IFERROR(VLOOKUP(A1420,[3]DOORSCRIEFT!$A$2:$G$8551,3,FALSE),"")</f>
        <v/>
      </c>
      <c r="E1420" s="392" t="str">
        <f>IFERROR(VLOOKUP(A1420,[3]DOORSCRIEFT!$A$2:$G$8551,4,FALSE),"")</f>
        <v/>
      </c>
      <c r="F1420" s="405" t="str">
        <f>IFERROR(VLOOKUP(A1420,[3]DOORSCRIEFT!$A$2:$G$8551,6,FALSE),"")</f>
        <v/>
      </c>
      <c r="G1420" s="432"/>
    </row>
    <row r="1421" spans="1:7" x14ac:dyDescent="0.25">
      <c r="A1421" s="339" t="str">
        <f t="shared" si="41"/>
        <v>I.2.2.02.02422</v>
      </c>
      <c r="B1421" s="319">
        <v>22</v>
      </c>
      <c r="C1421" s="394" t="str">
        <f>IFERROR(VLOOKUP(A1421,[3]DOORSCRIEFT!$A$2:$G$8551,2,FALSE),"")</f>
        <v/>
      </c>
      <c r="D1421" s="393" t="str">
        <f>IFERROR(VLOOKUP(A1421,[3]DOORSCRIEFT!$A$2:$G$8551,3,FALSE),"")</f>
        <v/>
      </c>
      <c r="E1421" s="392" t="str">
        <f>IFERROR(VLOOKUP(A1421,[3]DOORSCRIEFT!$A$2:$G$8551,4,FALSE),"")</f>
        <v/>
      </c>
      <c r="F1421" s="405" t="str">
        <f>IFERROR(VLOOKUP(A1421,[3]DOORSCRIEFT!$A$2:$G$8551,6,FALSE),"")</f>
        <v/>
      </c>
      <c r="G1421" s="432"/>
    </row>
    <row r="1422" spans="1:7" x14ac:dyDescent="0.25">
      <c r="A1422" s="339" t="str">
        <f t="shared" si="41"/>
        <v>I.2.2.02.02423</v>
      </c>
      <c r="B1422" s="339">
        <v>23</v>
      </c>
      <c r="C1422" s="394" t="str">
        <f>IFERROR(VLOOKUP(A1422,[3]DOORSCRIEFT!$A$2:$G$8551,2,FALSE),"")</f>
        <v/>
      </c>
      <c r="D1422" s="393" t="str">
        <f>IFERROR(VLOOKUP(A1422,[3]DOORSCRIEFT!$A$2:$G$8551,3,FALSE),"")</f>
        <v/>
      </c>
      <c r="E1422" s="392" t="str">
        <f>IFERROR(VLOOKUP(A1422,[3]DOORSCRIEFT!$A$2:$G$8551,4,FALSE),"")</f>
        <v/>
      </c>
      <c r="F1422" s="405" t="str">
        <f>IFERROR(VLOOKUP(A1422,[3]DOORSCRIEFT!$A$2:$G$8551,6,FALSE),"")</f>
        <v/>
      </c>
      <c r="G1422" s="432"/>
    </row>
    <row r="1423" spans="1:7" x14ac:dyDescent="0.25">
      <c r="A1423" s="339" t="str">
        <f t="shared" si="41"/>
        <v>I.2.2.02.02424</v>
      </c>
      <c r="B1423" s="319">
        <v>24</v>
      </c>
      <c r="C1423" s="394" t="str">
        <f>IFERROR(VLOOKUP(A1423,[3]DOORSCRIEFT!$A$2:$G$8551,2,FALSE),"")</f>
        <v/>
      </c>
      <c r="D1423" s="393" t="str">
        <f>IFERROR(VLOOKUP(A1423,[3]DOORSCRIEFT!$A$2:$G$8551,3,FALSE),"")</f>
        <v/>
      </c>
      <c r="E1423" s="392" t="str">
        <f>IFERROR(VLOOKUP(A1423,[3]DOORSCRIEFT!$A$2:$G$8551,4,FALSE),"")</f>
        <v/>
      </c>
      <c r="F1423" s="405" t="str">
        <f>IFERROR(VLOOKUP(A1423,[3]DOORSCRIEFT!$A$2:$G$8551,6,FALSE),"")</f>
        <v/>
      </c>
      <c r="G1423" s="432"/>
    </row>
    <row r="1424" spans="1:7" x14ac:dyDescent="0.25">
      <c r="A1424" s="339" t="str">
        <f t="shared" si="41"/>
        <v>I.2.2.02.02425</v>
      </c>
      <c r="B1424" s="339">
        <v>25</v>
      </c>
      <c r="C1424" s="394" t="str">
        <f>IFERROR(VLOOKUP(A1424,[3]DOORSCRIEFT!$A$2:$G$8551,2,FALSE),"")</f>
        <v/>
      </c>
      <c r="D1424" s="393" t="str">
        <f>IFERROR(VLOOKUP(A1424,[3]DOORSCRIEFT!$A$2:$G$8551,3,FALSE),"")</f>
        <v/>
      </c>
      <c r="E1424" s="392" t="str">
        <f>IFERROR(VLOOKUP(A1424,[3]DOORSCRIEFT!$A$2:$G$8551,4,FALSE),"")</f>
        <v/>
      </c>
      <c r="F1424" s="405" t="str">
        <f>IFERROR(VLOOKUP(A1424,[3]DOORSCRIEFT!$A$2:$G$8551,6,FALSE),"")</f>
        <v/>
      </c>
      <c r="G1424" s="432"/>
    </row>
    <row r="1425" spans="1:7" x14ac:dyDescent="0.25">
      <c r="A1425" s="339" t="str">
        <f t="shared" si="41"/>
        <v>I.2.2.02.02426</v>
      </c>
      <c r="B1425" s="319">
        <v>26</v>
      </c>
      <c r="C1425" s="394" t="str">
        <f>IFERROR(VLOOKUP(A1425,[3]DOORSCRIEFT!$A$2:$G$8551,2,FALSE),"")</f>
        <v/>
      </c>
      <c r="D1425" s="393" t="str">
        <f>IFERROR(VLOOKUP(A1425,[3]DOORSCRIEFT!$A$2:$G$8551,3,FALSE),"")</f>
        <v/>
      </c>
      <c r="E1425" s="392" t="str">
        <f>IFERROR(VLOOKUP(A1425,[3]DOORSCRIEFT!$A$2:$G$8551,4,FALSE),"")</f>
        <v/>
      </c>
      <c r="F1425" s="405" t="str">
        <f>IFERROR(VLOOKUP(A1425,[3]DOORSCRIEFT!$A$2:$G$8551,6,FALSE),"")</f>
        <v/>
      </c>
      <c r="G1425" s="432"/>
    </row>
    <row r="1426" spans="1:7" x14ac:dyDescent="0.25">
      <c r="A1426" s="339" t="str">
        <f t="shared" si="41"/>
        <v>I.2.2.02.02427</v>
      </c>
      <c r="B1426" s="339">
        <v>27</v>
      </c>
      <c r="C1426" s="394" t="str">
        <f>IFERROR(VLOOKUP(A1426,[3]DOORSCRIEFT!$A$2:$G$8551,2,FALSE),"")</f>
        <v/>
      </c>
      <c r="D1426" s="393" t="str">
        <f>IFERROR(VLOOKUP(A1426,[3]DOORSCRIEFT!$A$2:$G$8551,3,FALSE),"")</f>
        <v/>
      </c>
      <c r="E1426" s="392" t="str">
        <f>IFERROR(VLOOKUP(A1426,[3]DOORSCRIEFT!$A$2:$G$8551,4,FALSE),"")</f>
        <v/>
      </c>
      <c r="F1426" s="405" t="str">
        <f>IFERROR(VLOOKUP(A1426,[3]DOORSCRIEFT!$A$2:$G$8551,6,FALSE),"")</f>
        <v/>
      </c>
      <c r="G1426" s="432"/>
    </row>
    <row r="1427" spans="1:7" x14ac:dyDescent="0.25">
      <c r="A1427" s="339" t="str">
        <f t="shared" si="41"/>
        <v>I.2.2.02.02428</v>
      </c>
      <c r="B1427" s="319">
        <v>28</v>
      </c>
      <c r="C1427" s="394" t="str">
        <f>IFERROR(VLOOKUP(A1427,[3]DOORSCRIEFT!$A$2:$G$8551,2,FALSE),"")</f>
        <v/>
      </c>
      <c r="D1427" s="393" t="str">
        <f>IFERROR(VLOOKUP(A1427,[3]DOORSCRIEFT!$A$2:$G$8551,3,FALSE),"")</f>
        <v/>
      </c>
      <c r="E1427" s="392" t="str">
        <f>IFERROR(VLOOKUP(A1427,[3]DOORSCRIEFT!$A$2:$G$8551,4,FALSE),"")</f>
        <v/>
      </c>
      <c r="F1427" s="405" t="str">
        <f>IFERROR(VLOOKUP(A1427,[3]DOORSCRIEFT!$A$2:$G$8551,6,FALSE),"")</f>
        <v/>
      </c>
      <c r="G1427" s="432"/>
    </row>
    <row r="1428" spans="1:7" x14ac:dyDescent="0.25">
      <c r="A1428" s="339" t="str">
        <f t="shared" si="41"/>
        <v>I.2.2.02.02429</v>
      </c>
      <c r="B1428" s="339">
        <v>29</v>
      </c>
      <c r="C1428" s="394" t="str">
        <f>IFERROR(VLOOKUP(A1428,[3]DOORSCRIEFT!$A$2:$G$8551,2,FALSE),"")</f>
        <v/>
      </c>
      <c r="D1428" s="393" t="str">
        <f>IFERROR(VLOOKUP(A1428,[3]DOORSCRIEFT!$A$2:$G$8551,3,FALSE),"")</f>
        <v/>
      </c>
      <c r="E1428" s="392" t="str">
        <f>IFERROR(VLOOKUP(A1428,[3]DOORSCRIEFT!$A$2:$G$8551,4,FALSE),"")</f>
        <v/>
      </c>
      <c r="F1428" s="405" t="str">
        <f>IFERROR(VLOOKUP(A1428,[3]DOORSCRIEFT!$A$2:$G$8551,6,FALSE),"")</f>
        <v/>
      </c>
      <c r="G1428" s="432"/>
    </row>
    <row r="1429" spans="1:7" x14ac:dyDescent="0.25">
      <c r="A1429" s="339" t="str">
        <f t="shared" si="41"/>
        <v>I.2.2.02.02430</v>
      </c>
      <c r="B1429" s="319">
        <v>30</v>
      </c>
      <c r="C1429" s="394" t="str">
        <f>IFERROR(VLOOKUP(A1429,[3]DOORSCRIEFT!$A$2:$G$8551,2,FALSE),"")</f>
        <v/>
      </c>
      <c r="D1429" s="393" t="str">
        <f>IFERROR(VLOOKUP(A1429,[3]DOORSCRIEFT!$A$2:$G$8551,3,FALSE),"")</f>
        <v/>
      </c>
      <c r="E1429" s="392" t="str">
        <f>IFERROR(VLOOKUP(A1429,[3]DOORSCRIEFT!$A$2:$G$8551,4,FALSE),"")</f>
        <v/>
      </c>
      <c r="F1429" s="405" t="str">
        <f>IFERROR(VLOOKUP(A1429,[3]DOORSCRIEFT!$A$2:$G$8551,6,FALSE),"")</f>
        <v/>
      </c>
      <c r="G1429" s="432"/>
    </row>
    <row r="1430" spans="1:7" x14ac:dyDescent="0.25">
      <c r="A1430" s="339" t="str">
        <f t="shared" si="41"/>
        <v>I.2.2.02.02431</v>
      </c>
      <c r="B1430" s="339">
        <v>31</v>
      </c>
      <c r="C1430" s="394" t="str">
        <f>IFERROR(VLOOKUP(A1430,[3]DOORSCRIEFT!$A$2:$G$8551,2,FALSE),"")</f>
        <v/>
      </c>
      <c r="D1430" s="393" t="str">
        <f>IFERROR(VLOOKUP(A1430,[3]DOORSCRIEFT!$A$2:$G$8551,3,FALSE),"")</f>
        <v/>
      </c>
      <c r="E1430" s="392" t="str">
        <f>IFERROR(VLOOKUP(A1430,[3]DOORSCRIEFT!$A$2:$G$8551,4,FALSE),"")</f>
        <v/>
      </c>
      <c r="F1430" s="405" t="str">
        <f>IFERROR(VLOOKUP(A1430,[3]DOORSCRIEFT!$A$2:$G$8551,6,FALSE),"")</f>
        <v/>
      </c>
      <c r="G1430" s="432"/>
    </row>
    <row r="1431" spans="1:7" x14ac:dyDescent="0.25">
      <c r="A1431" s="339" t="str">
        <f t="shared" si="41"/>
        <v>I.2.2.02.02432</v>
      </c>
      <c r="B1431" s="319">
        <v>32</v>
      </c>
      <c r="C1431" s="394" t="str">
        <f>IFERROR(VLOOKUP(A1431,[3]DOORSCRIEFT!$A$2:$G$8551,2,FALSE),"")</f>
        <v/>
      </c>
      <c r="D1431" s="393" t="str">
        <f>IFERROR(VLOOKUP(A1431,[3]DOORSCRIEFT!$A$2:$G$8551,3,FALSE),"")</f>
        <v/>
      </c>
      <c r="E1431" s="392" t="str">
        <f>IFERROR(VLOOKUP(A1431,[3]DOORSCRIEFT!$A$2:$G$8551,4,FALSE),"")</f>
        <v/>
      </c>
      <c r="F1431" s="405" t="str">
        <f>IFERROR(VLOOKUP(A1431,[3]DOORSCRIEFT!$A$2:$G$8551,6,FALSE),"")</f>
        <v/>
      </c>
      <c r="G1431" s="432"/>
    </row>
    <row r="1432" spans="1:7" x14ac:dyDescent="0.25">
      <c r="A1432" s="339" t="str">
        <f t="shared" ref="A1432:A1463" si="42">$G$1393&amp;B1432</f>
        <v>I.2.2.02.02433</v>
      </c>
      <c r="B1432" s="339">
        <v>33</v>
      </c>
      <c r="C1432" s="394" t="str">
        <f>IFERROR(VLOOKUP(A1432,[3]DOORSCRIEFT!$A$2:$G$8551,2,FALSE),"")</f>
        <v/>
      </c>
      <c r="D1432" s="393" t="str">
        <f>IFERROR(VLOOKUP(A1432,[3]DOORSCRIEFT!$A$2:$G$8551,3,FALSE),"")</f>
        <v/>
      </c>
      <c r="E1432" s="392" t="str">
        <f>IFERROR(VLOOKUP(A1432,[3]DOORSCRIEFT!$A$2:$G$8551,4,FALSE),"")</f>
        <v/>
      </c>
      <c r="F1432" s="405" t="str">
        <f>IFERROR(VLOOKUP(A1432,[3]DOORSCRIEFT!$A$2:$G$8551,6,FALSE),"")</f>
        <v/>
      </c>
      <c r="G1432" s="432"/>
    </row>
    <row r="1433" spans="1:7" x14ac:dyDescent="0.25">
      <c r="A1433" s="339" t="str">
        <f t="shared" si="42"/>
        <v>I.2.2.02.02434</v>
      </c>
      <c r="B1433" s="319">
        <v>34</v>
      </c>
      <c r="C1433" s="394" t="str">
        <f>IFERROR(VLOOKUP(A1433,[3]DOORSCRIEFT!$A$2:$G$8551,2,FALSE),"")</f>
        <v/>
      </c>
      <c r="D1433" s="393" t="str">
        <f>IFERROR(VLOOKUP(A1433,[3]DOORSCRIEFT!$A$2:$G$8551,3,FALSE),"")</f>
        <v/>
      </c>
      <c r="E1433" s="392" t="str">
        <f>IFERROR(VLOOKUP(A1433,[3]DOORSCRIEFT!$A$2:$G$8551,4,FALSE),"")</f>
        <v/>
      </c>
      <c r="F1433" s="405" t="str">
        <f>IFERROR(VLOOKUP(A1433,[3]DOORSCRIEFT!$A$2:$G$8551,6,FALSE),"")</f>
        <v/>
      </c>
      <c r="G1433" s="432"/>
    </row>
    <row r="1434" spans="1:7" x14ac:dyDescent="0.25">
      <c r="A1434" s="339" t="str">
        <f t="shared" si="42"/>
        <v>I.2.2.02.02435</v>
      </c>
      <c r="B1434" s="339">
        <v>35</v>
      </c>
      <c r="C1434" s="394" t="str">
        <f>IFERROR(VLOOKUP(A1434,[3]DOORSCRIEFT!$A$2:$G$8551,2,FALSE),"")</f>
        <v/>
      </c>
      <c r="D1434" s="393" t="str">
        <f>IFERROR(VLOOKUP(A1434,[3]DOORSCRIEFT!$A$2:$G$8551,3,FALSE),"")</f>
        <v/>
      </c>
      <c r="E1434" s="392" t="str">
        <f>IFERROR(VLOOKUP(A1434,[3]DOORSCRIEFT!$A$2:$G$8551,4,FALSE),"")</f>
        <v/>
      </c>
      <c r="F1434" s="405" t="str">
        <f>IFERROR(VLOOKUP(A1434,[3]DOORSCRIEFT!$A$2:$G$8551,6,FALSE),"")</f>
        <v/>
      </c>
      <c r="G1434" s="432"/>
    </row>
    <row r="1435" spans="1:7" x14ac:dyDescent="0.25">
      <c r="A1435" s="339" t="str">
        <f t="shared" si="42"/>
        <v>I.2.2.02.02436</v>
      </c>
      <c r="B1435" s="319">
        <v>36</v>
      </c>
      <c r="C1435" s="394" t="str">
        <f>IFERROR(VLOOKUP(A1435,[3]DOORSCRIEFT!$A$2:$G$8551,2,FALSE),"")</f>
        <v/>
      </c>
      <c r="D1435" s="393" t="str">
        <f>IFERROR(VLOOKUP(A1435,[3]DOORSCRIEFT!$A$2:$G$8551,3,FALSE),"")</f>
        <v/>
      </c>
      <c r="E1435" s="392" t="str">
        <f>IFERROR(VLOOKUP(A1435,[3]DOORSCRIEFT!$A$2:$G$8551,4,FALSE),"")</f>
        <v/>
      </c>
      <c r="F1435" s="405" t="str">
        <f>IFERROR(VLOOKUP(A1435,[3]DOORSCRIEFT!$A$2:$G$8551,6,FALSE),"")</f>
        <v/>
      </c>
      <c r="G1435" s="432"/>
    </row>
    <row r="1436" spans="1:7" x14ac:dyDescent="0.25">
      <c r="A1436" s="339" t="str">
        <f t="shared" si="42"/>
        <v>I.2.2.02.02437</v>
      </c>
      <c r="B1436" s="339">
        <v>37</v>
      </c>
      <c r="C1436" s="394" t="str">
        <f>IFERROR(VLOOKUP(A1436,[3]DOORSCRIEFT!$A$2:$G$8551,2,FALSE),"")</f>
        <v/>
      </c>
      <c r="D1436" s="393" t="str">
        <f>IFERROR(VLOOKUP(A1436,[3]DOORSCRIEFT!$A$2:$G$8551,3,FALSE),"")</f>
        <v/>
      </c>
      <c r="E1436" s="392" t="str">
        <f>IFERROR(VLOOKUP(A1436,[3]DOORSCRIEFT!$A$2:$G$8551,4,FALSE),"")</f>
        <v/>
      </c>
      <c r="F1436" s="405" t="str">
        <f>IFERROR(VLOOKUP(A1436,[3]DOORSCRIEFT!$A$2:$G$8551,6,FALSE),"")</f>
        <v/>
      </c>
      <c r="G1436" s="432"/>
    </row>
    <row r="1437" spans="1:7" x14ac:dyDescent="0.25">
      <c r="A1437" s="339" t="str">
        <f t="shared" si="42"/>
        <v>I.2.2.02.02438</v>
      </c>
      <c r="B1437" s="319">
        <v>38</v>
      </c>
      <c r="C1437" s="394" t="str">
        <f>IFERROR(VLOOKUP(A1437,[3]DOORSCRIEFT!$A$2:$G$8551,2,FALSE),"")</f>
        <v/>
      </c>
      <c r="D1437" s="393" t="str">
        <f>IFERROR(VLOOKUP(A1437,[3]DOORSCRIEFT!$A$2:$G$8551,3,FALSE),"")</f>
        <v/>
      </c>
      <c r="E1437" s="392" t="str">
        <f>IFERROR(VLOOKUP(A1437,[3]DOORSCRIEFT!$A$2:$G$8551,4,FALSE),"")</f>
        <v/>
      </c>
      <c r="F1437" s="405" t="str">
        <f>IFERROR(VLOOKUP(A1437,[3]DOORSCRIEFT!$A$2:$G$8551,6,FALSE),"")</f>
        <v/>
      </c>
      <c r="G1437" s="432"/>
    </row>
    <row r="1438" spans="1:7" x14ac:dyDescent="0.25">
      <c r="A1438" s="339" t="str">
        <f t="shared" si="42"/>
        <v>I.2.2.02.02439</v>
      </c>
      <c r="B1438" s="339">
        <v>39</v>
      </c>
      <c r="C1438" s="394" t="str">
        <f>IFERROR(VLOOKUP(A1438,[3]DOORSCRIEFT!$A$2:$G$8551,2,FALSE),"")</f>
        <v/>
      </c>
      <c r="D1438" s="393" t="str">
        <f>IFERROR(VLOOKUP(A1438,[3]DOORSCRIEFT!$A$2:$G$8551,3,FALSE),"")</f>
        <v/>
      </c>
      <c r="E1438" s="392" t="str">
        <f>IFERROR(VLOOKUP(A1438,[3]DOORSCRIEFT!$A$2:$G$8551,4,FALSE),"")</f>
        <v/>
      </c>
      <c r="F1438" s="405" t="str">
        <f>IFERROR(VLOOKUP(A1438,[3]DOORSCRIEFT!$A$2:$G$8551,6,FALSE),"")</f>
        <v/>
      </c>
      <c r="G1438" s="432"/>
    </row>
    <row r="1439" spans="1:7" x14ac:dyDescent="0.25">
      <c r="A1439" s="339" t="str">
        <f t="shared" si="42"/>
        <v>I.2.2.02.02440</v>
      </c>
      <c r="B1439" s="319">
        <v>40</v>
      </c>
      <c r="C1439" s="394" t="str">
        <f>IFERROR(VLOOKUP(A1439,[3]DOORSCRIEFT!$A$2:$G$8551,2,FALSE),"")</f>
        <v/>
      </c>
      <c r="D1439" s="393" t="str">
        <f>IFERROR(VLOOKUP(A1439,[3]DOORSCRIEFT!$A$2:$G$8551,3,FALSE),"")</f>
        <v/>
      </c>
      <c r="E1439" s="392" t="str">
        <f>IFERROR(VLOOKUP(A1439,[3]DOORSCRIEFT!$A$2:$G$8551,4,FALSE),"")</f>
        <v/>
      </c>
      <c r="F1439" s="405" t="str">
        <f>IFERROR(VLOOKUP(A1439,[3]DOORSCRIEFT!$A$2:$G$8551,6,FALSE),"")</f>
        <v/>
      </c>
      <c r="G1439" s="432"/>
    </row>
    <row r="1440" spans="1:7" x14ac:dyDescent="0.25">
      <c r="A1440" s="339" t="str">
        <f t="shared" si="42"/>
        <v>I.2.2.02.02441</v>
      </c>
      <c r="B1440" s="339">
        <v>41</v>
      </c>
      <c r="C1440" s="394" t="str">
        <f>IFERROR(VLOOKUP(A1440,[3]DOORSCRIEFT!$A$2:$G$8551,2,FALSE),"")</f>
        <v/>
      </c>
      <c r="D1440" s="393" t="str">
        <f>IFERROR(VLOOKUP(A1440,[3]DOORSCRIEFT!$A$2:$G$8551,3,FALSE),"")</f>
        <v/>
      </c>
      <c r="E1440" s="392" t="str">
        <f>IFERROR(VLOOKUP(A1440,[3]DOORSCRIEFT!$A$2:$G$8551,4,FALSE),"")</f>
        <v/>
      </c>
      <c r="F1440" s="405" t="str">
        <f>IFERROR(VLOOKUP(A1440,[3]DOORSCRIEFT!$A$2:$G$8551,6,FALSE),"")</f>
        <v/>
      </c>
      <c r="G1440" s="432"/>
    </row>
    <row r="1441" spans="1:7" x14ac:dyDescent="0.25">
      <c r="A1441" s="339" t="str">
        <f t="shared" si="42"/>
        <v>I.2.2.02.02442</v>
      </c>
      <c r="B1441" s="319">
        <v>42</v>
      </c>
      <c r="C1441" s="394" t="str">
        <f>IFERROR(VLOOKUP(A1441,[3]DOORSCRIEFT!$A$2:$G$8551,2,FALSE),"")</f>
        <v/>
      </c>
      <c r="D1441" s="393" t="str">
        <f>IFERROR(VLOOKUP(A1441,[3]DOORSCRIEFT!$A$2:$G$8551,3,FALSE),"")</f>
        <v/>
      </c>
      <c r="E1441" s="392" t="str">
        <f>IFERROR(VLOOKUP(A1441,[3]DOORSCRIEFT!$A$2:$G$8551,4,FALSE),"")</f>
        <v/>
      </c>
      <c r="F1441" s="405" t="str">
        <f>IFERROR(VLOOKUP(A1441,[3]DOORSCRIEFT!$A$2:$G$8551,6,FALSE),"")</f>
        <v/>
      </c>
      <c r="G1441" s="432"/>
    </row>
    <row r="1442" spans="1:7" x14ac:dyDescent="0.25">
      <c r="A1442" s="339" t="str">
        <f t="shared" si="42"/>
        <v>I.2.2.02.02443</v>
      </c>
      <c r="B1442" s="339">
        <v>43</v>
      </c>
      <c r="C1442" s="394" t="str">
        <f>IFERROR(VLOOKUP(A1442,[3]DOORSCRIEFT!$A$2:$G$8551,2,FALSE),"")</f>
        <v/>
      </c>
      <c r="D1442" s="393" t="str">
        <f>IFERROR(VLOOKUP(A1442,[3]DOORSCRIEFT!$A$2:$G$8551,3,FALSE),"")</f>
        <v/>
      </c>
      <c r="E1442" s="392" t="str">
        <f>IFERROR(VLOOKUP(A1442,[3]DOORSCRIEFT!$A$2:$G$8551,4,FALSE),"")</f>
        <v/>
      </c>
      <c r="F1442" s="405" t="str">
        <f>IFERROR(VLOOKUP(A1442,[3]DOORSCRIEFT!$A$2:$G$8551,6,FALSE),"")</f>
        <v/>
      </c>
      <c r="G1442" s="432"/>
    </row>
    <row r="1443" spans="1:7" x14ac:dyDescent="0.25">
      <c r="A1443" s="339" t="str">
        <f t="shared" si="42"/>
        <v>I.2.2.02.02444</v>
      </c>
      <c r="B1443" s="319">
        <v>44</v>
      </c>
      <c r="C1443" s="394" t="str">
        <f>IFERROR(VLOOKUP(A1443,[3]DOORSCRIEFT!$A$2:$G$8551,2,FALSE),"")</f>
        <v/>
      </c>
      <c r="D1443" s="393" t="str">
        <f>IFERROR(VLOOKUP(A1443,[3]DOORSCRIEFT!$A$2:$G$8551,3,FALSE),"")</f>
        <v/>
      </c>
      <c r="E1443" s="392" t="str">
        <f>IFERROR(VLOOKUP(A1443,[3]DOORSCRIEFT!$A$2:$G$8551,4,FALSE),"")</f>
        <v/>
      </c>
      <c r="F1443" s="405" t="str">
        <f>IFERROR(VLOOKUP(A1443,[3]DOORSCRIEFT!$A$2:$G$8551,6,FALSE),"")</f>
        <v/>
      </c>
      <c r="G1443" s="432"/>
    </row>
    <row r="1444" spans="1:7" x14ac:dyDescent="0.25">
      <c r="A1444" s="339" t="str">
        <f t="shared" si="42"/>
        <v>I.2.2.02.02445</v>
      </c>
      <c r="B1444" s="339">
        <v>45</v>
      </c>
      <c r="C1444" s="394" t="str">
        <f>IFERROR(VLOOKUP(A1444,[3]DOORSCRIEFT!$A$2:$G$8551,2,FALSE),"")</f>
        <v/>
      </c>
      <c r="D1444" s="393" t="str">
        <f>IFERROR(VLOOKUP(A1444,[3]DOORSCRIEFT!$A$2:$G$8551,3,FALSE),"")</f>
        <v/>
      </c>
      <c r="E1444" s="392" t="str">
        <f>IFERROR(VLOOKUP(A1444,[3]DOORSCRIEFT!$A$2:$G$8551,4,FALSE),"")</f>
        <v/>
      </c>
      <c r="F1444" s="405" t="str">
        <f>IFERROR(VLOOKUP(A1444,[3]DOORSCRIEFT!$A$2:$G$8551,6,FALSE),"")</f>
        <v/>
      </c>
      <c r="G1444" s="432"/>
    </row>
    <row r="1445" spans="1:7" x14ac:dyDescent="0.25">
      <c r="A1445" s="339" t="str">
        <f t="shared" si="42"/>
        <v>I.2.2.02.02446</v>
      </c>
      <c r="B1445" s="319">
        <v>46</v>
      </c>
      <c r="C1445" s="394" t="str">
        <f>IFERROR(VLOOKUP(A1445,[3]DOORSCRIEFT!$A$2:$G$8551,2,FALSE),"")</f>
        <v/>
      </c>
      <c r="D1445" s="393" t="str">
        <f>IFERROR(VLOOKUP(A1445,[3]DOORSCRIEFT!$A$2:$G$8551,3,FALSE),"")</f>
        <v/>
      </c>
      <c r="E1445" s="392" t="str">
        <f>IFERROR(VLOOKUP(A1445,[3]DOORSCRIEFT!$A$2:$G$8551,4,FALSE),"")</f>
        <v/>
      </c>
      <c r="F1445" s="405" t="str">
        <f>IFERROR(VLOOKUP(A1445,[3]DOORSCRIEFT!$A$2:$G$8551,6,FALSE),"")</f>
        <v/>
      </c>
      <c r="G1445" s="432"/>
    </row>
    <row r="1446" spans="1:7" x14ac:dyDescent="0.25">
      <c r="A1446" s="339" t="str">
        <f t="shared" si="42"/>
        <v>I.2.2.02.02447</v>
      </c>
      <c r="B1446" s="339">
        <v>47</v>
      </c>
      <c r="C1446" s="394" t="str">
        <f>IFERROR(VLOOKUP(A1446,[3]DOORSCRIEFT!$A$2:$G$8551,2,FALSE),"")</f>
        <v/>
      </c>
      <c r="D1446" s="393" t="str">
        <f>IFERROR(VLOOKUP(A1446,[3]DOORSCRIEFT!$A$2:$G$8551,3,FALSE),"")</f>
        <v/>
      </c>
      <c r="E1446" s="392" t="str">
        <f>IFERROR(VLOOKUP(A1446,[3]DOORSCRIEFT!$A$2:$G$8551,4,FALSE),"")</f>
        <v/>
      </c>
      <c r="F1446" s="405" t="str">
        <f>IFERROR(VLOOKUP(A1446,[3]DOORSCRIEFT!$A$2:$G$8551,6,FALSE),"")</f>
        <v/>
      </c>
      <c r="G1446" s="432"/>
    </row>
    <row r="1447" spans="1:7" x14ac:dyDescent="0.25">
      <c r="A1447" s="339" t="str">
        <f t="shared" si="42"/>
        <v>I.2.2.02.02448</v>
      </c>
      <c r="B1447" s="319">
        <v>48</v>
      </c>
      <c r="C1447" s="394" t="str">
        <f>IFERROR(VLOOKUP(A1447,[3]DOORSCRIEFT!$A$2:$G$8551,2,FALSE),"")</f>
        <v/>
      </c>
      <c r="D1447" s="393" t="str">
        <f>IFERROR(VLOOKUP(A1447,[3]DOORSCRIEFT!$A$2:$G$8551,3,FALSE),"")</f>
        <v/>
      </c>
      <c r="E1447" s="392" t="str">
        <f>IFERROR(VLOOKUP(A1447,[3]DOORSCRIEFT!$A$2:$G$8551,4,FALSE),"")</f>
        <v/>
      </c>
      <c r="F1447" s="405" t="str">
        <f>IFERROR(VLOOKUP(A1447,[3]DOORSCRIEFT!$A$2:$G$8551,6,FALSE),"")</f>
        <v/>
      </c>
      <c r="G1447" s="432"/>
    </row>
    <row r="1448" spans="1:7" x14ac:dyDescent="0.25">
      <c r="A1448" s="339" t="str">
        <f t="shared" si="42"/>
        <v>I.2.2.02.02449</v>
      </c>
      <c r="B1448" s="339">
        <v>49</v>
      </c>
      <c r="C1448" s="394" t="str">
        <f>IFERROR(VLOOKUP(A1448,[3]DOORSCRIEFT!$A$2:$G$8551,2,FALSE),"")</f>
        <v/>
      </c>
      <c r="D1448" s="393" t="str">
        <f>IFERROR(VLOOKUP(A1448,[3]DOORSCRIEFT!$A$2:$G$8551,3,FALSE),"")</f>
        <v/>
      </c>
      <c r="E1448" s="392" t="str">
        <f>IFERROR(VLOOKUP(A1448,[3]DOORSCRIEFT!$A$2:$G$8551,4,FALSE),"")</f>
        <v/>
      </c>
      <c r="F1448" s="405" t="str">
        <f>IFERROR(VLOOKUP(A1448,[3]DOORSCRIEFT!$A$2:$G$8551,6,FALSE),"")</f>
        <v/>
      </c>
      <c r="G1448" s="432"/>
    </row>
    <row r="1449" spans="1:7" x14ac:dyDescent="0.25">
      <c r="A1449" s="339" t="str">
        <f t="shared" si="42"/>
        <v>I.2.2.02.02450</v>
      </c>
      <c r="B1449" s="319">
        <v>50</v>
      </c>
      <c r="C1449" s="394" t="str">
        <f>IFERROR(VLOOKUP(A1449,[3]DOORSCRIEFT!$A$2:$G$8551,2,FALSE),"")</f>
        <v/>
      </c>
      <c r="D1449" s="393" t="str">
        <f>IFERROR(VLOOKUP(A1449,[3]DOORSCRIEFT!$A$2:$G$8551,3,FALSE),"")</f>
        <v/>
      </c>
      <c r="E1449" s="392" t="str">
        <f>IFERROR(VLOOKUP(A1449,[3]DOORSCRIEFT!$A$2:$G$8551,4,FALSE),"")</f>
        <v/>
      </c>
      <c r="F1449" s="405" t="str">
        <f>IFERROR(VLOOKUP(A1449,[3]DOORSCRIEFT!$A$2:$G$8551,6,FALSE),"")</f>
        <v/>
      </c>
      <c r="G1449" s="432"/>
    </row>
    <row r="1450" spans="1:7" x14ac:dyDescent="0.25">
      <c r="A1450" s="339" t="str">
        <f t="shared" si="42"/>
        <v>I.2.2.02.02451</v>
      </c>
      <c r="B1450" s="339">
        <v>51</v>
      </c>
      <c r="C1450" s="394" t="str">
        <f>IFERROR(VLOOKUP(A1450,[3]DOORSCRIEFT!$A$2:$G$8551,2,FALSE),"")</f>
        <v/>
      </c>
      <c r="D1450" s="393" t="str">
        <f>IFERROR(VLOOKUP(A1450,[3]DOORSCRIEFT!$A$2:$G$8551,3,FALSE),"")</f>
        <v/>
      </c>
      <c r="E1450" s="392" t="str">
        <f>IFERROR(VLOOKUP(A1450,[3]DOORSCRIEFT!$A$2:$G$8551,4,FALSE),"")</f>
        <v/>
      </c>
      <c r="F1450" s="405" t="str">
        <f>IFERROR(VLOOKUP(A1450,[3]DOORSCRIEFT!$A$2:$G$8551,6,FALSE),"")</f>
        <v/>
      </c>
      <c r="G1450" s="432"/>
    </row>
    <row r="1451" spans="1:7" x14ac:dyDescent="0.25">
      <c r="A1451" s="339" t="str">
        <f t="shared" si="42"/>
        <v>I.2.2.02.02452</v>
      </c>
      <c r="B1451" s="319">
        <v>52</v>
      </c>
      <c r="C1451" s="394" t="str">
        <f>IFERROR(VLOOKUP(A1451,[3]DOORSCRIEFT!$A$2:$G$8551,2,FALSE),"")</f>
        <v/>
      </c>
      <c r="D1451" s="393" t="str">
        <f>IFERROR(VLOOKUP(A1451,[3]DOORSCRIEFT!$A$2:$G$8551,3,FALSE),"")</f>
        <v/>
      </c>
      <c r="E1451" s="392" t="str">
        <f>IFERROR(VLOOKUP(A1451,[3]DOORSCRIEFT!$A$2:$G$8551,4,FALSE),"")</f>
        <v/>
      </c>
      <c r="F1451" s="405" t="str">
        <f>IFERROR(VLOOKUP(A1451,[3]DOORSCRIEFT!$A$2:$G$8551,6,FALSE),"")</f>
        <v/>
      </c>
      <c r="G1451" s="432"/>
    </row>
    <row r="1452" spans="1:7" x14ac:dyDescent="0.25">
      <c r="A1452" s="339" t="str">
        <f t="shared" si="42"/>
        <v>I.2.2.02.02453</v>
      </c>
      <c r="B1452" s="339">
        <v>53</v>
      </c>
      <c r="C1452" s="394" t="str">
        <f>IFERROR(VLOOKUP(A1452,[3]DOORSCRIEFT!$A$2:$G$8551,2,FALSE),"")</f>
        <v/>
      </c>
      <c r="D1452" s="393" t="str">
        <f>IFERROR(VLOOKUP(A1452,[3]DOORSCRIEFT!$A$2:$G$8551,3,FALSE),"")</f>
        <v/>
      </c>
      <c r="E1452" s="392" t="str">
        <f>IFERROR(VLOOKUP(A1452,[3]DOORSCRIEFT!$A$2:$G$8551,4,FALSE),"")</f>
        <v/>
      </c>
      <c r="F1452" s="405" t="str">
        <f>IFERROR(VLOOKUP(A1452,[3]DOORSCRIEFT!$A$2:$G$8551,6,FALSE),"")</f>
        <v/>
      </c>
      <c r="G1452" s="432"/>
    </row>
    <row r="1453" spans="1:7" x14ac:dyDescent="0.25">
      <c r="A1453" s="339" t="str">
        <f t="shared" si="42"/>
        <v>I.2.2.02.02454</v>
      </c>
      <c r="B1453" s="319">
        <v>54</v>
      </c>
      <c r="C1453" s="394" t="str">
        <f>IFERROR(VLOOKUP(A1453,[3]DOORSCRIEFT!$A$2:$G$8551,2,FALSE),"")</f>
        <v/>
      </c>
      <c r="D1453" s="393" t="str">
        <f>IFERROR(VLOOKUP(A1453,[3]DOORSCRIEFT!$A$2:$G$8551,3,FALSE),"")</f>
        <v/>
      </c>
      <c r="E1453" s="392" t="str">
        <f>IFERROR(VLOOKUP(A1453,[3]DOORSCRIEFT!$A$2:$G$8551,4,FALSE),"")</f>
        <v/>
      </c>
      <c r="F1453" s="405" t="str">
        <f>IFERROR(VLOOKUP(A1453,[3]DOORSCRIEFT!$A$2:$G$8551,6,FALSE),"")</f>
        <v/>
      </c>
      <c r="G1453" s="432"/>
    </row>
    <row r="1454" spans="1:7" x14ac:dyDescent="0.25">
      <c r="A1454" s="339" t="str">
        <f t="shared" si="42"/>
        <v>I.2.2.02.02455</v>
      </c>
      <c r="B1454" s="339">
        <v>55</v>
      </c>
      <c r="C1454" s="394" t="str">
        <f>IFERROR(VLOOKUP(A1454,[3]DOORSCRIEFT!$A$2:$G$8551,2,FALSE),"")</f>
        <v/>
      </c>
      <c r="D1454" s="393" t="str">
        <f>IFERROR(VLOOKUP(A1454,[3]DOORSCRIEFT!$A$2:$G$8551,3,FALSE),"")</f>
        <v/>
      </c>
      <c r="E1454" s="392" t="str">
        <f>IFERROR(VLOOKUP(A1454,[3]DOORSCRIEFT!$A$2:$G$8551,4,FALSE),"")</f>
        <v/>
      </c>
      <c r="F1454" s="405" t="str">
        <f>IFERROR(VLOOKUP(A1454,[3]DOORSCRIEFT!$A$2:$G$8551,6,FALSE),"")</f>
        <v/>
      </c>
      <c r="G1454" s="432"/>
    </row>
    <row r="1455" spans="1:7" x14ac:dyDescent="0.25">
      <c r="A1455" s="339" t="str">
        <f t="shared" si="42"/>
        <v>I.2.2.02.02456</v>
      </c>
      <c r="B1455" s="319">
        <v>56</v>
      </c>
      <c r="C1455" s="394" t="str">
        <f>IFERROR(VLOOKUP(A1455,[3]DOORSCRIEFT!$A$2:$G$8551,2,FALSE),"")</f>
        <v/>
      </c>
      <c r="D1455" s="393" t="str">
        <f>IFERROR(VLOOKUP(A1455,[3]DOORSCRIEFT!$A$2:$G$8551,3,FALSE),"")</f>
        <v/>
      </c>
      <c r="E1455" s="392" t="str">
        <f>IFERROR(VLOOKUP(A1455,[3]DOORSCRIEFT!$A$2:$G$8551,4,FALSE),"")</f>
        <v/>
      </c>
      <c r="F1455" s="405" t="str">
        <f>IFERROR(VLOOKUP(A1455,[3]DOORSCRIEFT!$A$2:$G$8551,6,FALSE),"")</f>
        <v/>
      </c>
      <c r="G1455" s="432"/>
    </row>
    <row r="1456" spans="1:7" x14ac:dyDescent="0.25">
      <c r="A1456" s="339" t="str">
        <f t="shared" si="42"/>
        <v>I.2.2.02.02457</v>
      </c>
      <c r="B1456" s="339">
        <v>57</v>
      </c>
      <c r="C1456" s="394" t="str">
        <f>IFERROR(VLOOKUP(A1456,[3]DOORSCRIEFT!$A$2:$G$8551,2,FALSE),"")</f>
        <v/>
      </c>
      <c r="D1456" s="393" t="str">
        <f>IFERROR(VLOOKUP(A1456,[3]DOORSCRIEFT!$A$2:$G$8551,3,FALSE),"")</f>
        <v/>
      </c>
      <c r="E1456" s="392" t="str">
        <f>IFERROR(VLOOKUP(A1456,[3]DOORSCRIEFT!$A$2:$G$8551,4,FALSE),"")</f>
        <v/>
      </c>
      <c r="F1456" s="405" t="str">
        <f>IFERROR(VLOOKUP(A1456,[3]DOORSCRIEFT!$A$2:$G$8551,6,FALSE),"")</f>
        <v/>
      </c>
      <c r="G1456" s="432"/>
    </row>
    <row r="1457" spans="1:7" x14ac:dyDescent="0.25">
      <c r="A1457" s="339" t="str">
        <f t="shared" si="42"/>
        <v>I.2.2.02.02458</v>
      </c>
      <c r="B1457" s="319">
        <v>58</v>
      </c>
      <c r="C1457" s="394" t="str">
        <f>IFERROR(VLOOKUP(A1457,[3]DOORSCRIEFT!$A$2:$G$8551,2,FALSE),"")</f>
        <v/>
      </c>
      <c r="D1457" s="393" t="str">
        <f>IFERROR(VLOOKUP(A1457,[3]DOORSCRIEFT!$A$2:$G$8551,3,FALSE),"")</f>
        <v/>
      </c>
      <c r="E1457" s="392" t="str">
        <f>IFERROR(VLOOKUP(A1457,[3]DOORSCRIEFT!$A$2:$G$8551,4,FALSE),"")</f>
        <v/>
      </c>
      <c r="F1457" s="405" t="str">
        <f>IFERROR(VLOOKUP(A1457,[3]DOORSCRIEFT!$A$2:$G$8551,6,FALSE),"")</f>
        <v/>
      </c>
      <c r="G1457" s="432"/>
    </row>
    <row r="1458" spans="1:7" x14ac:dyDescent="0.25">
      <c r="A1458" s="339" t="str">
        <f t="shared" si="42"/>
        <v>I.2.2.02.02459</v>
      </c>
      <c r="B1458" s="339">
        <v>59</v>
      </c>
      <c r="C1458" s="394" t="str">
        <f>IFERROR(VLOOKUP(A1458,[3]DOORSCRIEFT!$A$2:$G$8551,2,FALSE),"")</f>
        <v/>
      </c>
      <c r="D1458" s="393" t="str">
        <f>IFERROR(VLOOKUP(A1458,[3]DOORSCRIEFT!$A$2:$G$8551,3,FALSE),"")</f>
        <v/>
      </c>
      <c r="E1458" s="392" t="str">
        <f>IFERROR(VLOOKUP(A1458,[3]DOORSCRIEFT!$A$2:$G$8551,4,FALSE),"")</f>
        <v/>
      </c>
      <c r="F1458" s="405" t="str">
        <f>IFERROR(VLOOKUP(A1458,[3]DOORSCRIEFT!$A$2:$G$8551,6,FALSE),"")</f>
        <v/>
      </c>
      <c r="G1458" s="432"/>
    </row>
    <row r="1459" spans="1:7" x14ac:dyDescent="0.25">
      <c r="A1459" s="339" t="str">
        <f t="shared" si="42"/>
        <v>I.2.2.02.02460</v>
      </c>
      <c r="B1459" s="319">
        <v>60</v>
      </c>
      <c r="C1459" s="394" t="str">
        <f>IFERROR(VLOOKUP(A1459,[3]DOORSCRIEFT!$A$2:$G$8551,2,FALSE),"")</f>
        <v/>
      </c>
      <c r="D1459" s="393" t="str">
        <f>IFERROR(VLOOKUP(A1459,[3]DOORSCRIEFT!$A$2:$G$8551,3,FALSE),"")</f>
        <v/>
      </c>
      <c r="E1459" s="392" t="str">
        <f>IFERROR(VLOOKUP(A1459,[3]DOORSCRIEFT!$A$2:$G$8551,4,FALSE),"")</f>
        <v/>
      </c>
      <c r="F1459" s="405" t="str">
        <f>IFERROR(VLOOKUP(A1459,[3]DOORSCRIEFT!$A$2:$G$8551,6,FALSE),"")</f>
        <v/>
      </c>
      <c r="G1459" s="432"/>
    </row>
    <row r="1460" spans="1:7" x14ac:dyDescent="0.25">
      <c r="A1460" s="339" t="str">
        <f t="shared" si="42"/>
        <v>I.2.2.02.02461</v>
      </c>
      <c r="B1460" s="339">
        <v>61</v>
      </c>
      <c r="C1460" s="394" t="str">
        <f>IFERROR(VLOOKUP(A1460,[3]DOORSCRIEFT!$A$2:$G$8551,2,FALSE),"")</f>
        <v/>
      </c>
      <c r="D1460" s="393" t="str">
        <f>IFERROR(VLOOKUP(A1460,[3]DOORSCRIEFT!$A$2:$G$8551,3,FALSE),"")</f>
        <v/>
      </c>
      <c r="E1460" s="392" t="str">
        <f>IFERROR(VLOOKUP(A1460,[3]DOORSCRIEFT!$A$2:$G$8551,4,FALSE),"")</f>
        <v/>
      </c>
      <c r="F1460" s="405" t="str">
        <f>IFERROR(VLOOKUP(A1460,[3]DOORSCRIEFT!$A$2:$G$8551,6,FALSE),"")</f>
        <v/>
      </c>
      <c r="G1460" s="432"/>
    </row>
    <row r="1461" spans="1:7" x14ac:dyDescent="0.25">
      <c r="A1461" s="339" t="str">
        <f t="shared" si="42"/>
        <v>I.2.2.02.02462</v>
      </c>
      <c r="B1461" s="319">
        <v>62</v>
      </c>
      <c r="C1461" s="394" t="str">
        <f>IFERROR(VLOOKUP(A1461,[3]DOORSCRIEFT!$A$2:$G$8551,2,FALSE),"")</f>
        <v/>
      </c>
      <c r="D1461" s="393" t="str">
        <f>IFERROR(VLOOKUP(A1461,[3]DOORSCRIEFT!$A$2:$G$8551,3,FALSE),"")</f>
        <v/>
      </c>
      <c r="E1461" s="392" t="str">
        <f>IFERROR(VLOOKUP(A1461,[3]DOORSCRIEFT!$A$2:$G$8551,4,FALSE),"")</f>
        <v/>
      </c>
      <c r="F1461" s="405" t="str">
        <f>IFERROR(VLOOKUP(A1461,[3]DOORSCRIEFT!$A$2:$G$8551,6,FALSE),"")</f>
        <v/>
      </c>
      <c r="G1461" s="432"/>
    </row>
    <row r="1462" spans="1:7" x14ac:dyDescent="0.25">
      <c r="A1462" s="339" t="str">
        <f t="shared" si="42"/>
        <v>I.2.2.02.02463</v>
      </c>
      <c r="B1462" s="339">
        <v>63</v>
      </c>
      <c r="C1462" s="394" t="str">
        <f>IFERROR(VLOOKUP(A1462,[3]DOORSCRIEFT!$A$2:$G$8551,2,FALSE),"")</f>
        <v/>
      </c>
      <c r="D1462" s="393" t="str">
        <f>IFERROR(VLOOKUP(A1462,[3]DOORSCRIEFT!$A$2:$G$8551,3,FALSE),"")</f>
        <v/>
      </c>
      <c r="E1462" s="392" t="str">
        <f>IFERROR(VLOOKUP(A1462,[3]DOORSCRIEFT!$A$2:$G$8551,4,FALSE),"")</f>
        <v/>
      </c>
      <c r="F1462" s="405" t="str">
        <f>IFERROR(VLOOKUP(A1462,[3]DOORSCRIEFT!$A$2:$G$8551,6,FALSE),"")</f>
        <v/>
      </c>
      <c r="G1462" s="432"/>
    </row>
    <row r="1463" spans="1:7" x14ac:dyDescent="0.25">
      <c r="A1463" s="339" t="str">
        <f t="shared" si="42"/>
        <v>I.2.2.02.02464</v>
      </c>
      <c r="B1463" s="319">
        <v>64</v>
      </c>
      <c r="C1463" s="394" t="str">
        <f>IFERROR(VLOOKUP(A1463,[3]DOORSCRIEFT!$A$2:$G$8551,2,FALSE),"")</f>
        <v/>
      </c>
      <c r="D1463" s="393" t="str">
        <f>IFERROR(VLOOKUP(A1463,[3]DOORSCRIEFT!$A$2:$G$8551,3,FALSE),"")</f>
        <v/>
      </c>
      <c r="E1463" s="392" t="str">
        <f>IFERROR(VLOOKUP(A1463,[3]DOORSCRIEFT!$A$2:$G$8551,4,FALSE),"")</f>
        <v/>
      </c>
      <c r="F1463" s="405" t="str">
        <f>IFERROR(VLOOKUP(A1463,[3]DOORSCRIEFT!$A$2:$G$8551,6,FALSE),"")</f>
        <v/>
      </c>
      <c r="G1463" s="432"/>
    </row>
    <row r="1464" spans="1:7" ht="15.75" thickBot="1" x14ac:dyDescent="0.3">
      <c r="A1464" s="339" t="str">
        <f t="shared" ref="A1464:A1495" si="43">$G$1393&amp;B1464</f>
        <v>I.2.2.02.02465</v>
      </c>
      <c r="B1464" s="339">
        <v>65</v>
      </c>
      <c r="C1464" s="394" t="str">
        <f>IFERROR(VLOOKUP(A1464,[3]DOORSCRIEFT!$A$2:$G$8551,2,FALSE),"")</f>
        <v/>
      </c>
      <c r="D1464" s="393" t="str">
        <f>IFERROR(VLOOKUP(A1464,[3]DOORSCRIEFT!$A$2:$G$8551,3,FALSE),"")</f>
        <v/>
      </c>
      <c r="E1464" s="392" t="str">
        <f>IFERROR(VLOOKUP(A1464,[3]DOORSCRIEFT!$A$2:$G$8551,4,FALSE),"")</f>
        <v/>
      </c>
      <c r="F1464" s="405" t="str">
        <f>IFERROR(VLOOKUP(A1464,[3]DOORSCRIEFT!$A$2:$G$8551,6,FALSE),"")</f>
        <v/>
      </c>
      <c r="G1464" s="431"/>
    </row>
    <row r="1465" spans="1:7" ht="15.75" thickBot="1" x14ac:dyDescent="0.3">
      <c r="A1465" s="430"/>
      <c r="B1465" s="429"/>
      <c r="C1465" s="428"/>
      <c r="D1465" s="401"/>
      <c r="E1465" s="400" t="s">
        <v>644</v>
      </c>
      <c r="F1465" s="427">
        <f>SUM(F1400:F1464)</f>
        <v>2758000</v>
      </c>
      <c r="G1465" s="426">
        <f>SUM(G1400:G1464)</f>
        <v>0</v>
      </c>
    </row>
    <row r="1468" spans="1:7" ht="15.75" x14ac:dyDescent="0.25">
      <c r="C1468" s="332"/>
      <c r="D1468" s="333"/>
      <c r="E1468" s="332"/>
      <c r="F1468" s="327" t="s">
        <v>607</v>
      </c>
      <c r="G1468" s="327" t="s">
        <v>498</v>
      </c>
    </row>
    <row r="1469" spans="1:7" ht="15.75" x14ac:dyDescent="0.25">
      <c r="C1469" s="332"/>
      <c r="D1469" s="333"/>
      <c r="E1469" s="332"/>
      <c r="F1469" s="327" t="s">
        <v>601</v>
      </c>
      <c r="G1469" s="327" t="s">
        <v>497</v>
      </c>
    </row>
    <row r="1470" spans="1:7" x14ac:dyDescent="0.25">
      <c r="C1470" s="328"/>
      <c r="D1470" s="329"/>
      <c r="E1470" s="328"/>
      <c r="F1470" s="327" t="s">
        <v>651</v>
      </c>
      <c r="G1470" s="331">
        <f>[2]Sheet1!$D$51</f>
        <v>37000000</v>
      </c>
    </row>
    <row r="1471" spans="1:7" ht="15.75" thickBot="1" x14ac:dyDescent="0.3">
      <c r="C1471" s="328"/>
      <c r="D1471" s="329"/>
      <c r="E1471" s="328"/>
      <c r="F1471" s="327" t="s">
        <v>650</v>
      </c>
      <c r="G1471" s="326">
        <f>+F1611-G1470</f>
        <v>-29273000</v>
      </c>
    </row>
    <row r="1472" spans="1:7" x14ac:dyDescent="0.25">
      <c r="A1472" s="571" t="s">
        <v>655</v>
      </c>
      <c r="B1472" s="573" t="s">
        <v>606</v>
      </c>
      <c r="C1472" s="588" t="s">
        <v>649</v>
      </c>
      <c r="D1472" s="577" t="s">
        <v>648</v>
      </c>
      <c r="E1472" s="577" t="s">
        <v>647</v>
      </c>
      <c r="F1472" s="577" t="s">
        <v>646</v>
      </c>
      <c r="G1472" s="580" t="s">
        <v>645</v>
      </c>
    </row>
    <row r="1473" spans="1:7" ht="15.75" thickBot="1" x14ac:dyDescent="0.3">
      <c r="A1473" s="572"/>
      <c r="B1473" s="574"/>
      <c r="C1473" s="589"/>
      <c r="D1473" s="586"/>
      <c r="E1473" s="586"/>
      <c r="F1473" s="586"/>
      <c r="G1473" s="587"/>
    </row>
    <row r="1474" spans="1:7" ht="15.75" thickBot="1" x14ac:dyDescent="0.3">
      <c r="A1474" s="325">
        <v>1</v>
      </c>
      <c r="B1474" s="324">
        <v>2</v>
      </c>
      <c r="C1474" s="324">
        <v>3</v>
      </c>
      <c r="D1474" s="324">
        <v>4</v>
      </c>
      <c r="E1474" s="324">
        <v>5</v>
      </c>
      <c r="F1474" s="324">
        <v>6</v>
      </c>
      <c r="G1474" s="323">
        <v>7</v>
      </c>
    </row>
    <row r="1475" spans="1:7" x14ac:dyDescent="0.25">
      <c r="A1475" s="360" t="str">
        <f t="shared" ref="A1475:A1506" si="44">$G$1468&amp;B1475</f>
        <v>I.2.2.02.0251</v>
      </c>
      <c r="B1475" s="339">
        <v>1</v>
      </c>
      <c r="C1475" s="394">
        <f>IFERROR(VLOOKUP(A1475,[3]DOORSCRIEFT!$A$2:$G$8551,2,FALSE),"")</f>
        <v>49</v>
      </c>
      <c r="D1475" s="393">
        <f>IFERROR(VLOOKUP(A1475,[3]DOORSCRIEFT!$A$2:$G$8551,3,FALSE),"")</f>
        <v>46033</v>
      </c>
      <c r="E1475" s="392" t="str">
        <f>IFERROR(VLOOKUP(A1475,[3]DOORSCRIEFT!$A$2:$G$8551,4,FALSE),"")</f>
        <v>Kolekta SMTPI</v>
      </c>
      <c r="F1475" s="405">
        <f>IFERROR(VLOOKUP(A1475,[3]DOORSCRIEFT!$A$2:$G$8551,6,FALSE),"")</f>
        <v>1248000</v>
      </c>
      <c r="G1475" s="322"/>
    </row>
    <row r="1476" spans="1:7" x14ac:dyDescent="0.25">
      <c r="A1476" s="360" t="str">
        <f t="shared" si="44"/>
        <v>I.2.2.02.0252</v>
      </c>
      <c r="B1476" s="319">
        <v>2</v>
      </c>
      <c r="C1476" s="394">
        <f>IFERROR(VLOOKUP(A1476,[3]DOORSCRIEFT!$A$2:$G$8551,2,FALSE),"")</f>
        <v>129</v>
      </c>
      <c r="D1476" s="393">
        <f>IFERROR(VLOOKUP(A1476,[3]DOORSCRIEFT!$A$2:$G$8551,3,FALSE),"")</f>
        <v>46052</v>
      </c>
      <c r="E1476" s="392" t="str">
        <f>IFERROR(VLOOKUP(A1476,[3]DOORSCRIEFT!$A$2:$G$8551,4,FALSE),"")</f>
        <v>Kolekta SMTPI</v>
      </c>
      <c r="F1476" s="405">
        <f>IFERROR(VLOOKUP(A1476,[3]DOORSCRIEFT!$A$2:$G$8551,6,FALSE),"")</f>
        <v>614000</v>
      </c>
      <c r="G1476" s="315"/>
    </row>
    <row r="1477" spans="1:7" x14ac:dyDescent="0.25">
      <c r="A1477" s="360" t="str">
        <f t="shared" si="44"/>
        <v>I.2.2.02.0253</v>
      </c>
      <c r="B1477" s="339">
        <v>3</v>
      </c>
      <c r="C1477" s="394">
        <f>IFERROR(VLOOKUP(A1477,[3]DOORSCRIEFT!$A$2:$G$8551,2,FALSE),"")</f>
        <v>165</v>
      </c>
      <c r="D1477" s="393">
        <f>IFERROR(VLOOKUP(A1477,[3]DOORSCRIEFT!$A$2:$G$8551,3,FALSE),"")</f>
        <v>46059</v>
      </c>
      <c r="E1477" s="392" t="str">
        <f>IFERROR(VLOOKUP(A1477,[3]DOORSCRIEFT!$A$2:$G$8551,4,FALSE),"")</f>
        <v>Kolekta Kebaktian SMTPI</v>
      </c>
      <c r="F1477" s="405">
        <f>IFERROR(VLOOKUP(A1477,[3]DOORSCRIEFT!$A$2:$G$8551,6,FALSE),"")</f>
        <v>1300000</v>
      </c>
      <c r="G1477" s="315"/>
    </row>
    <row r="1478" spans="1:7" x14ac:dyDescent="0.25">
      <c r="A1478" s="360" t="str">
        <f t="shared" si="44"/>
        <v>I.2.2.02.0254</v>
      </c>
      <c r="B1478" s="319">
        <v>4</v>
      </c>
      <c r="C1478" s="394">
        <f>IFERROR(VLOOKUP(A1478,[3]DOORSCRIEFT!$A$2:$G$8551,2,FALSE),"")</f>
        <v>232</v>
      </c>
      <c r="D1478" s="393">
        <f>IFERROR(VLOOKUP(A1478,[3]DOORSCRIEFT!$A$2:$G$8551,3,FALSE),"")</f>
        <v>46075</v>
      </c>
      <c r="E1478" s="392" t="str">
        <f>IFERROR(VLOOKUP(A1478,[3]DOORSCRIEFT!$A$2:$G$8551,4,FALSE),"")</f>
        <v>Kolekta Kebaktian SMTPI</v>
      </c>
      <c r="F1478" s="405">
        <f>IFERROR(VLOOKUP(A1478,[3]DOORSCRIEFT!$A$2:$G$8551,6,FALSE),"")</f>
        <v>1552000</v>
      </c>
      <c r="G1478" s="315"/>
    </row>
    <row r="1479" spans="1:7" x14ac:dyDescent="0.25">
      <c r="A1479" s="360" t="str">
        <f t="shared" si="44"/>
        <v>I.2.2.02.0255</v>
      </c>
      <c r="B1479" s="339">
        <v>5</v>
      </c>
      <c r="C1479" s="394">
        <f>IFERROR(VLOOKUP(A1479,[3]DOORSCRIEFT!$A$2:$G$8551,2,FALSE),"")</f>
        <v>290</v>
      </c>
      <c r="D1479" s="393">
        <f>IFERROR(VLOOKUP(A1479,[3]DOORSCRIEFT!$A$2:$G$8551,3,FALSE),"")</f>
        <v>46087</v>
      </c>
      <c r="E1479" s="392" t="str">
        <f>IFERROR(VLOOKUP(A1479,[3]DOORSCRIEFT!$A$2:$G$8551,4,FALSE),"")</f>
        <v>Kolekta kebaktian SMTPI</v>
      </c>
      <c r="F1479" s="405">
        <f>IFERROR(VLOOKUP(A1479,[3]DOORSCRIEFT!$A$2:$G$8551,6,FALSE),"")</f>
        <v>780000</v>
      </c>
      <c r="G1479" s="315"/>
    </row>
    <row r="1480" spans="1:7" x14ac:dyDescent="0.25">
      <c r="A1480" s="360" t="str">
        <f t="shared" si="44"/>
        <v>I.2.2.02.0256</v>
      </c>
      <c r="B1480" s="319">
        <v>6</v>
      </c>
      <c r="C1480" s="394">
        <f>IFERROR(VLOOKUP(A1480,[3]DOORSCRIEFT!$A$2:$G$8551,2,FALSE),"")</f>
        <v>380</v>
      </c>
      <c r="D1480" s="393">
        <f>IFERROR(VLOOKUP(A1480,[3]DOORSCRIEFT!$A$2:$G$8551,3,FALSE),"")</f>
        <v>57054</v>
      </c>
      <c r="E1480" s="392" t="str">
        <f>IFERROR(VLOOKUP(A1480,[3]DOORSCRIEFT!$A$2:$G$8551,4,FALSE),"")</f>
        <v>Kolekta Kebaktian SMTPI</v>
      </c>
      <c r="F1480" s="405">
        <f>IFERROR(VLOOKUP(A1480,[3]DOORSCRIEFT!$A$2:$G$8551,6,FALSE),"")</f>
        <v>1235000</v>
      </c>
      <c r="G1480" s="315"/>
    </row>
    <row r="1481" spans="1:7" x14ac:dyDescent="0.25">
      <c r="A1481" s="360" t="str">
        <f t="shared" si="44"/>
        <v>I.2.2.02.0257</v>
      </c>
      <c r="B1481" s="339">
        <v>7</v>
      </c>
      <c r="C1481" s="394">
        <f>IFERROR(VLOOKUP(A1481,[3]DOORSCRIEFT!$A$2:$G$8551,2,FALSE),"")</f>
        <v>426</v>
      </c>
      <c r="D1481" s="393">
        <f>IFERROR(VLOOKUP(A1481,[3]DOORSCRIEFT!$A$2:$G$8551,3,FALSE),"")</f>
        <v>46103</v>
      </c>
      <c r="E1481" s="392" t="str">
        <f>IFERROR(VLOOKUP(A1481,[3]DOORSCRIEFT!$A$2:$G$8551,4,FALSE),"")</f>
        <v>Kolekta Kebaktian SMTPI</v>
      </c>
      <c r="F1481" s="405">
        <f>IFERROR(VLOOKUP(A1481,[3]DOORSCRIEFT!$A$2:$G$8551,6,FALSE),"")</f>
        <v>998000</v>
      </c>
      <c r="G1481" s="315"/>
    </row>
    <row r="1482" spans="1:7" x14ac:dyDescent="0.25">
      <c r="A1482" s="360" t="str">
        <f t="shared" si="44"/>
        <v>I.2.2.02.0258</v>
      </c>
      <c r="B1482" s="319">
        <v>8</v>
      </c>
      <c r="C1482" s="394" t="str">
        <f>IFERROR(VLOOKUP(A1482,[3]DOORSCRIEFT!$A$2:$G$8551,2,FALSE),"")</f>
        <v/>
      </c>
      <c r="D1482" s="393" t="str">
        <f>IFERROR(VLOOKUP(A1482,[3]DOORSCRIEFT!$A$2:$G$8551,3,FALSE),"")</f>
        <v/>
      </c>
      <c r="E1482" s="392" t="str">
        <f>IFERROR(VLOOKUP(A1482,[3]DOORSCRIEFT!$A$2:$G$8551,4,FALSE),"")</f>
        <v/>
      </c>
      <c r="F1482" s="405" t="str">
        <f>IFERROR(VLOOKUP(A1482,[3]DOORSCRIEFT!$A$2:$G$8551,6,FALSE),"")</f>
        <v/>
      </c>
      <c r="G1482" s="315"/>
    </row>
    <row r="1483" spans="1:7" x14ac:dyDescent="0.25">
      <c r="A1483" s="360" t="str">
        <f t="shared" si="44"/>
        <v>I.2.2.02.0259</v>
      </c>
      <c r="B1483" s="339">
        <v>9</v>
      </c>
      <c r="C1483" s="394" t="str">
        <f>IFERROR(VLOOKUP(A1483,[3]DOORSCRIEFT!$A$2:$G$8551,2,FALSE),"")</f>
        <v/>
      </c>
      <c r="D1483" s="393" t="str">
        <f>IFERROR(VLOOKUP(A1483,[3]DOORSCRIEFT!$A$2:$G$8551,3,FALSE),"")</f>
        <v/>
      </c>
      <c r="E1483" s="392" t="str">
        <f>IFERROR(VLOOKUP(A1483,[3]DOORSCRIEFT!$A$2:$G$8551,4,FALSE),"")</f>
        <v/>
      </c>
      <c r="F1483" s="405" t="str">
        <f>IFERROR(VLOOKUP(A1483,[3]DOORSCRIEFT!$A$2:$G$8551,6,FALSE),"")</f>
        <v/>
      </c>
      <c r="G1483" s="315"/>
    </row>
    <row r="1484" spans="1:7" x14ac:dyDescent="0.25">
      <c r="A1484" s="360" t="str">
        <f t="shared" si="44"/>
        <v>I.2.2.02.02510</v>
      </c>
      <c r="B1484" s="319">
        <v>10</v>
      </c>
      <c r="C1484" s="394" t="str">
        <f>IFERROR(VLOOKUP(A1484,[3]DOORSCRIEFT!$A$2:$G$8551,2,FALSE),"")</f>
        <v/>
      </c>
      <c r="D1484" s="393" t="str">
        <f>IFERROR(VLOOKUP(A1484,[3]DOORSCRIEFT!$A$2:$G$8551,3,FALSE),"")</f>
        <v/>
      </c>
      <c r="E1484" s="392" t="str">
        <f>IFERROR(VLOOKUP(A1484,[3]DOORSCRIEFT!$A$2:$G$8551,4,FALSE),"")</f>
        <v/>
      </c>
      <c r="F1484" s="405" t="str">
        <f>IFERROR(VLOOKUP(A1484,[3]DOORSCRIEFT!$A$2:$G$8551,6,FALSE),"")</f>
        <v/>
      </c>
      <c r="G1484" s="315"/>
    </row>
    <row r="1485" spans="1:7" x14ac:dyDescent="0.25">
      <c r="A1485" s="360" t="str">
        <f t="shared" si="44"/>
        <v>I.2.2.02.02511</v>
      </c>
      <c r="B1485" s="339">
        <v>11</v>
      </c>
      <c r="C1485" s="394" t="str">
        <f>IFERROR(VLOOKUP(A1485,[3]DOORSCRIEFT!$A$2:$G$8551,2,FALSE),"")</f>
        <v/>
      </c>
      <c r="D1485" s="393" t="str">
        <f>IFERROR(VLOOKUP(A1485,[3]DOORSCRIEFT!$A$2:$G$8551,3,FALSE),"")</f>
        <v/>
      </c>
      <c r="E1485" s="392" t="str">
        <f>IFERROR(VLOOKUP(A1485,[3]DOORSCRIEFT!$A$2:$G$8551,4,FALSE),"")</f>
        <v/>
      </c>
      <c r="F1485" s="405" t="str">
        <f>IFERROR(VLOOKUP(A1485,[3]DOORSCRIEFT!$A$2:$G$8551,6,FALSE),"")</f>
        <v/>
      </c>
      <c r="G1485" s="315"/>
    </row>
    <row r="1486" spans="1:7" x14ac:dyDescent="0.25">
      <c r="A1486" s="360" t="str">
        <f t="shared" si="44"/>
        <v>I.2.2.02.02512</v>
      </c>
      <c r="B1486" s="319">
        <v>12</v>
      </c>
      <c r="C1486" s="394" t="str">
        <f>IFERROR(VLOOKUP(A1486,[3]DOORSCRIEFT!$A$2:$G$8551,2,FALSE),"")</f>
        <v/>
      </c>
      <c r="D1486" s="393" t="str">
        <f>IFERROR(VLOOKUP(A1486,[3]DOORSCRIEFT!$A$2:$G$8551,3,FALSE),"")</f>
        <v/>
      </c>
      <c r="E1486" s="392" t="str">
        <f>IFERROR(VLOOKUP(A1486,[3]DOORSCRIEFT!$A$2:$G$8551,4,FALSE),"")</f>
        <v/>
      </c>
      <c r="F1486" s="405" t="str">
        <f>IFERROR(VLOOKUP(A1486,[3]DOORSCRIEFT!$A$2:$G$8551,6,FALSE),"")</f>
        <v/>
      </c>
      <c r="G1486" s="315"/>
    </row>
    <row r="1487" spans="1:7" x14ac:dyDescent="0.25">
      <c r="A1487" s="360" t="str">
        <f t="shared" si="44"/>
        <v>I.2.2.02.02513</v>
      </c>
      <c r="B1487" s="339">
        <v>13</v>
      </c>
      <c r="C1487" s="394" t="str">
        <f>IFERROR(VLOOKUP(A1487,[3]DOORSCRIEFT!$A$2:$G$8551,2,FALSE),"")</f>
        <v/>
      </c>
      <c r="D1487" s="393" t="str">
        <f>IFERROR(VLOOKUP(A1487,[3]DOORSCRIEFT!$A$2:$G$8551,3,FALSE),"")</f>
        <v/>
      </c>
      <c r="E1487" s="392" t="str">
        <f>IFERROR(VLOOKUP(A1487,[3]DOORSCRIEFT!$A$2:$G$8551,4,FALSE),"")</f>
        <v/>
      </c>
      <c r="F1487" s="405" t="str">
        <f>IFERROR(VLOOKUP(A1487,[3]DOORSCRIEFT!$A$2:$G$8551,6,FALSE),"")</f>
        <v/>
      </c>
      <c r="G1487" s="315"/>
    </row>
    <row r="1488" spans="1:7" x14ac:dyDescent="0.25">
      <c r="A1488" s="360" t="str">
        <f t="shared" si="44"/>
        <v>I.2.2.02.02514</v>
      </c>
      <c r="B1488" s="319">
        <v>14</v>
      </c>
      <c r="C1488" s="394" t="str">
        <f>IFERROR(VLOOKUP(A1488,[3]DOORSCRIEFT!$A$2:$G$8551,2,FALSE),"")</f>
        <v/>
      </c>
      <c r="D1488" s="393" t="str">
        <f>IFERROR(VLOOKUP(A1488,[3]DOORSCRIEFT!$A$2:$G$8551,3,FALSE),"")</f>
        <v/>
      </c>
      <c r="E1488" s="392" t="str">
        <f>IFERROR(VLOOKUP(A1488,[3]DOORSCRIEFT!$A$2:$G$8551,4,FALSE),"")</f>
        <v/>
      </c>
      <c r="F1488" s="405" t="str">
        <f>IFERROR(VLOOKUP(A1488,[3]DOORSCRIEFT!$A$2:$G$8551,6,FALSE),"")</f>
        <v/>
      </c>
      <c r="G1488" s="315"/>
    </row>
    <row r="1489" spans="1:7" x14ac:dyDescent="0.25">
      <c r="A1489" s="360" t="str">
        <f t="shared" si="44"/>
        <v>I.2.2.02.02515</v>
      </c>
      <c r="B1489" s="339">
        <v>15</v>
      </c>
      <c r="C1489" s="394" t="str">
        <f>IFERROR(VLOOKUP(A1489,[3]DOORSCRIEFT!$A$2:$G$8551,2,FALSE),"")</f>
        <v/>
      </c>
      <c r="D1489" s="393" t="str">
        <f>IFERROR(VLOOKUP(A1489,[3]DOORSCRIEFT!$A$2:$G$8551,3,FALSE),"")</f>
        <v/>
      </c>
      <c r="E1489" s="392" t="str">
        <f>IFERROR(VLOOKUP(A1489,[3]DOORSCRIEFT!$A$2:$G$8551,4,FALSE),"")</f>
        <v/>
      </c>
      <c r="F1489" s="405" t="str">
        <f>IFERROR(VLOOKUP(A1489,[3]DOORSCRIEFT!$A$2:$G$8551,6,FALSE),"")</f>
        <v/>
      </c>
      <c r="G1489" s="315"/>
    </row>
    <row r="1490" spans="1:7" x14ac:dyDescent="0.25">
      <c r="A1490" s="360" t="str">
        <f t="shared" si="44"/>
        <v>I.2.2.02.02516</v>
      </c>
      <c r="B1490" s="319">
        <v>16</v>
      </c>
      <c r="C1490" s="394" t="str">
        <f>IFERROR(VLOOKUP(A1490,[3]DOORSCRIEFT!$A$2:$G$8551,2,FALSE),"")</f>
        <v/>
      </c>
      <c r="D1490" s="393" t="str">
        <f>IFERROR(VLOOKUP(A1490,[3]DOORSCRIEFT!$A$2:$G$8551,3,FALSE),"")</f>
        <v/>
      </c>
      <c r="E1490" s="392" t="str">
        <f>IFERROR(VLOOKUP(A1490,[3]DOORSCRIEFT!$A$2:$G$8551,4,FALSE),"")</f>
        <v/>
      </c>
      <c r="F1490" s="405" t="str">
        <f>IFERROR(VLOOKUP(A1490,[3]DOORSCRIEFT!$A$2:$G$8551,6,FALSE),"")</f>
        <v/>
      </c>
      <c r="G1490" s="315"/>
    </row>
    <row r="1491" spans="1:7" x14ac:dyDescent="0.25">
      <c r="A1491" s="360" t="str">
        <f t="shared" si="44"/>
        <v>I.2.2.02.02517</v>
      </c>
      <c r="B1491" s="339">
        <v>17</v>
      </c>
      <c r="C1491" s="394" t="str">
        <f>IFERROR(VLOOKUP(A1491,[3]DOORSCRIEFT!$A$2:$G$8551,2,FALSE),"")</f>
        <v/>
      </c>
      <c r="D1491" s="393" t="str">
        <f>IFERROR(VLOOKUP(A1491,[3]DOORSCRIEFT!$A$2:$G$8551,3,FALSE),"")</f>
        <v/>
      </c>
      <c r="E1491" s="392" t="str">
        <f>IFERROR(VLOOKUP(A1491,[3]DOORSCRIEFT!$A$2:$G$8551,4,FALSE),"")</f>
        <v/>
      </c>
      <c r="F1491" s="405" t="str">
        <f>IFERROR(VLOOKUP(A1491,[3]DOORSCRIEFT!$A$2:$G$8551,6,FALSE),"")</f>
        <v/>
      </c>
      <c r="G1491" s="315"/>
    </row>
    <row r="1492" spans="1:7" x14ac:dyDescent="0.25">
      <c r="A1492" s="360" t="str">
        <f t="shared" si="44"/>
        <v>I.2.2.02.02518</v>
      </c>
      <c r="B1492" s="319">
        <v>18</v>
      </c>
      <c r="C1492" s="394" t="str">
        <f>IFERROR(VLOOKUP(A1492,[3]DOORSCRIEFT!$A$2:$G$8551,2,FALSE),"")</f>
        <v/>
      </c>
      <c r="D1492" s="393" t="str">
        <f>IFERROR(VLOOKUP(A1492,[3]DOORSCRIEFT!$A$2:$G$8551,3,FALSE),"")</f>
        <v/>
      </c>
      <c r="E1492" s="392" t="str">
        <f>IFERROR(VLOOKUP(A1492,[3]DOORSCRIEFT!$A$2:$G$8551,4,FALSE),"")</f>
        <v/>
      </c>
      <c r="F1492" s="405" t="str">
        <f>IFERROR(VLOOKUP(A1492,[3]DOORSCRIEFT!$A$2:$G$8551,6,FALSE),"")</f>
        <v/>
      </c>
      <c r="G1492" s="315"/>
    </row>
    <row r="1493" spans="1:7" x14ac:dyDescent="0.25">
      <c r="A1493" s="360" t="str">
        <f t="shared" si="44"/>
        <v>I.2.2.02.02519</v>
      </c>
      <c r="B1493" s="339">
        <v>19</v>
      </c>
      <c r="C1493" s="394" t="str">
        <f>IFERROR(VLOOKUP(A1493,[3]DOORSCRIEFT!$A$2:$G$8551,2,FALSE),"")</f>
        <v/>
      </c>
      <c r="D1493" s="393" t="str">
        <f>IFERROR(VLOOKUP(A1493,[3]DOORSCRIEFT!$A$2:$G$8551,3,FALSE),"")</f>
        <v/>
      </c>
      <c r="E1493" s="392" t="str">
        <f>IFERROR(VLOOKUP(A1493,[3]DOORSCRIEFT!$A$2:$G$8551,4,FALSE),"")</f>
        <v/>
      </c>
      <c r="F1493" s="405" t="str">
        <f>IFERROR(VLOOKUP(A1493,[3]DOORSCRIEFT!$A$2:$G$8551,6,FALSE),"")</f>
        <v/>
      </c>
      <c r="G1493" s="315"/>
    </row>
    <row r="1494" spans="1:7" x14ac:dyDescent="0.25">
      <c r="A1494" s="360" t="str">
        <f t="shared" si="44"/>
        <v>I.2.2.02.02520</v>
      </c>
      <c r="B1494" s="319">
        <v>20</v>
      </c>
      <c r="C1494" s="394" t="str">
        <f>IFERROR(VLOOKUP(A1494,[3]DOORSCRIEFT!$A$2:$G$8551,2,FALSE),"")</f>
        <v/>
      </c>
      <c r="D1494" s="393" t="str">
        <f>IFERROR(VLOOKUP(A1494,[3]DOORSCRIEFT!$A$2:$G$8551,3,FALSE),"")</f>
        <v/>
      </c>
      <c r="E1494" s="392" t="str">
        <f>IFERROR(VLOOKUP(A1494,[3]DOORSCRIEFT!$A$2:$G$8551,4,FALSE),"")</f>
        <v/>
      </c>
      <c r="F1494" s="405" t="str">
        <f>IFERROR(VLOOKUP(A1494,[3]DOORSCRIEFT!$A$2:$G$8551,6,FALSE),"")</f>
        <v/>
      </c>
      <c r="G1494" s="315"/>
    </row>
    <row r="1495" spans="1:7" x14ac:dyDescent="0.25">
      <c r="A1495" s="360" t="str">
        <f t="shared" si="44"/>
        <v>I.2.2.02.02521</v>
      </c>
      <c r="B1495" s="339">
        <v>21</v>
      </c>
      <c r="C1495" s="394" t="str">
        <f>IFERROR(VLOOKUP(A1495,[3]DOORSCRIEFT!$A$2:$G$8551,2,FALSE),"")</f>
        <v/>
      </c>
      <c r="D1495" s="393" t="str">
        <f>IFERROR(VLOOKUP(A1495,[3]DOORSCRIEFT!$A$2:$G$8551,3,FALSE),"")</f>
        <v/>
      </c>
      <c r="E1495" s="392" t="str">
        <f>IFERROR(VLOOKUP(A1495,[3]DOORSCRIEFT!$A$2:$G$8551,4,FALSE),"")</f>
        <v/>
      </c>
      <c r="F1495" s="405" t="str">
        <f>IFERROR(VLOOKUP(A1495,[3]DOORSCRIEFT!$A$2:$G$8551,6,FALSE),"")</f>
        <v/>
      </c>
      <c r="G1495" s="315"/>
    </row>
    <row r="1496" spans="1:7" x14ac:dyDescent="0.25">
      <c r="A1496" s="360" t="str">
        <f t="shared" si="44"/>
        <v>I.2.2.02.02522</v>
      </c>
      <c r="B1496" s="319">
        <v>22</v>
      </c>
      <c r="C1496" s="394" t="str">
        <f>IFERROR(VLOOKUP(A1496,[3]DOORSCRIEFT!$A$2:$G$8551,2,FALSE),"")</f>
        <v/>
      </c>
      <c r="D1496" s="393" t="str">
        <f>IFERROR(VLOOKUP(A1496,[3]DOORSCRIEFT!$A$2:$G$8551,3,FALSE),"")</f>
        <v/>
      </c>
      <c r="E1496" s="392" t="str">
        <f>IFERROR(VLOOKUP(A1496,[3]DOORSCRIEFT!$A$2:$G$8551,4,FALSE),"")</f>
        <v/>
      </c>
      <c r="F1496" s="405" t="str">
        <f>IFERROR(VLOOKUP(A1496,[3]DOORSCRIEFT!$A$2:$G$8551,6,FALSE),"")</f>
        <v/>
      </c>
      <c r="G1496" s="315"/>
    </row>
    <row r="1497" spans="1:7" x14ac:dyDescent="0.25">
      <c r="A1497" s="360" t="str">
        <f t="shared" si="44"/>
        <v>I.2.2.02.02523</v>
      </c>
      <c r="B1497" s="339">
        <v>23</v>
      </c>
      <c r="C1497" s="394" t="str">
        <f>IFERROR(VLOOKUP(A1497,[3]DOORSCRIEFT!$A$2:$G$8551,2,FALSE),"")</f>
        <v/>
      </c>
      <c r="D1497" s="393" t="str">
        <f>IFERROR(VLOOKUP(A1497,[3]DOORSCRIEFT!$A$2:$G$8551,3,FALSE),"")</f>
        <v/>
      </c>
      <c r="E1497" s="392" t="str">
        <f>IFERROR(VLOOKUP(A1497,[3]DOORSCRIEFT!$A$2:$G$8551,4,FALSE),"")</f>
        <v/>
      </c>
      <c r="F1497" s="405" t="str">
        <f>IFERROR(VLOOKUP(A1497,[3]DOORSCRIEFT!$A$2:$G$8551,6,FALSE),"")</f>
        <v/>
      </c>
      <c r="G1497" s="315"/>
    </row>
    <row r="1498" spans="1:7" x14ac:dyDescent="0.25">
      <c r="A1498" s="360" t="str">
        <f t="shared" si="44"/>
        <v>I.2.2.02.02524</v>
      </c>
      <c r="B1498" s="319">
        <v>24</v>
      </c>
      <c r="C1498" s="394" t="str">
        <f>IFERROR(VLOOKUP(A1498,[3]DOORSCRIEFT!$A$2:$G$8551,2,FALSE),"")</f>
        <v/>
      </c>
      <c r="D1498" s="393" t="str">
        <f>IFERROR(VLOOKUP(A1498,[3]DOORSCRIEFT!$A$2:$G$8551,3,FALSE),"")</f>
        <v/>
      </c>
      <c r="E1498" s="392" t="str">
        <f>IFERROR(VLOOKUP(A1498,[3]DOORSCRIEFT!$A$2:$G$8551,4,FALSE),"")</f>
        <v/>
      </c>
      <c r="F1498" s="405" t="str">
        <f>IFERROR(VLOOKUP(A1498,[3]DOORSCRIEFT!$A$2:$G$8551,6,FALSE),"")</f>
        <v/>
      </c>
      <c r="G1498" s="315"/>
    </row>
    <row r="1499" spans="1:7" x14ac:dyDescent="0.25">
      <c r="A1499" s="360" t="str">
        <f t="shared" si="44"/>
        <v>I.2.2.02.02525</v>
      </c>
      <c r="B1499" s="339">
        <v>25</v>
      </c>
      <c r="C1499" s="394" t="str">
        <f>IFERROR(VLOOKUP(A1499,[3]DOORSCRIEFT!$A$2:$G$8551,2,FALSE),"")</f>
        <v/>
      </c>
      <c r="D1499" s="393" t="str">
        <f>IFERROR(VLOOKUP(A1499,[3]DOORSCRIEFT!$A$2:$G$8551,3,FALSE),"")</f>
        <v/>
      </c>
      <c r="E1499" s="392" t="str">
        <f>IFERROR(VLOOKUP(A1499,[3]DOORSCRIEFT!$A$2:$G$8551,4,FALSE),"")</f>
        <v/>
      </c>
      <c r="F1499" s="405" t="str">
        <f>IFERROR(VLOOKUP(A1499,[3]DOORSCRIEFT!$A$2:$G$8551,6,FALSE),"")</f>
        <v/>
      </c>
      <c r="G1499" s="315"/>
    </row>
    <row r="1500" spans="1:7" x14ac:dyDescent="0.25">
      <c r="A1500" s="360" t="str">
        <f t="shared" si="44"/>
        <v>I.2.2.02.02526</v>
      </c>
      <c r="B1500" s="319">
        <v>26</v>
      </c>
      <c r="C1500" s="394" t="str">
        <f>IFERROR(VLOOKUP(A1500,[3]DOORSCRIEFT!$A$2:$G$8551,2,FALSE),"")</f>
        <v/>
      </c>
      <c r="D1500" s="393" t="str">
        <f>IFERROR(VLOOKUP(A1500,[3]DOORSCRIEFT!$A$2:$G$8551,3,FALSE),"")</f>
        <v/>
      </c>
      <c r="E1500" s="392" t="str">
        <f>IFERROR(VLOOKUP(A1500,[3]DOORSCRIEFT!$A$2:$G$8551,4,FALSE),"")</f>
        <v/>
      </c>
      <c r="F1500" s="405" t="str">
        <f>IFERROR(VLOOKUP(A1500,[3]DOORSCRIEFT!$A$2:$G$8551,6,FALSE),"")</f>
        <v/>
      </c>
      <c r="G1500" s="315"/>
    </row>
    <row r="1501" spans="1:7" x14ac:dyDescent="0.25">
      <c r="A1501" s="360" t="str">
        <f t="shared" si="44"/>
        <v>I.2.2.02.02527</v>
      </c>
      <c r="B1501" s="339">
        <v>27</v>
      </c>
      <c r="C1501" s="394" t="str">
        <f>IFERROR(VLOOKUP(A1501,[3]DOORSCRIEFT!$A$2:$G$8551,2,FALSE),"")</f>
        <v/>
      </c>
      <c r="D1501" s="393" t="str">
        <f>IFERROR(VLOOKUP(A1501,[3]DOORSCRIEFT!$A$2:$G$8551,3,FALSE),"")</f>
        <v/>
      </c>
      <c r="E1501" s="392" t="str">
        <f>IFERROR(VLOOKUP(A1501,[3]DOORSCRIEFT!$A$2:$G$8551,4,FALSE),"")</f>
        <v/>
      </c>
      <c r="F1501" s="405" t="str">
        <f>IFERROR(VLOOKUP(A1501,[3]DOORSCRIEFT!$A$2:$G$8551,6,FALSE),"")</f>
        <v/>
      </c>
      <c r="G1501" s="315"/>
    </row>
    <row r="1502" spans="1:7" x14ac:dyDescent="0.25">
      <c r="A1502" s="360" t="str">
        <f t="shared" si="44"/>
        <v>I.2.2.02.02528</v>
      </c>
      <c r="B1502" s="319">
        <v>28</v>
      </c>
      <c r="C1502" s="394" t="str">
        <f>IFERROR(VLOOKUP(A1502,[3]DOORSCRIEFT!$A$2:$G$8551,2,FALSE),"")</f>
        <v/>
      </c>
      <c r="D1502" s="393" t="str">
        <f>IFERROR(VLOOKUP(A1502,[3]DOORSCRIEFT!$A$2:$G$8551,3,FALSE),"")</f>
        <v/>
      </c>
      <c r="E1502" s="392" t="str">
        <f>IFERROR(VLOOKUP(A1502,[3]DOORSCRIEFT!$A$2:$G$8551,4,FALSE),"")</f>
        <v/>
      </c>
      <c r="F1502" s="405" t="str">
        <f>IFERROR(VLOOKUP(A1502,[3]DOORSCRIEFT!$A$2:$G$8551,6,FALSE),"")</f>
        <v/>
      </c>
      <c r="G1502" s="315"/>
    </row>
    <row r="1503" spans="1:7" x14ac:dyDescent="0.25">
      <c r="A1503" s="360" t="str">
        <f t="shared" si="44"/>
        <v>I.2.2.02.02529</v>
      </c>
      <c r="B1503" s="339">
        <v>29</v>
      </c>
      <c r="C1503" s="394" t="str">
        <f>IFERROR(VLOOKUP(A1503,[3]DOORSCRIEFT!$A$2:$G$8551,2,FALSE),"")</f>
        <v/>
      </c>
      <c r="D1503" s="393" t="str">
        <f>IFERROR(VLOOKUP(A1503,[3]DOORSCRIEFT!$A$2:$G$8551,3,FALSE),"")</f>
        <v/>
      </c>
      <c r="E1503" s="392" t="str">
        <f>IFERROR(VLOOKUP(A1503,[3]DOORSCRIEFT!$A$2:$G$8551,4,FALSE),"")</f>
        <v/>
      </c>
      <c r="F1503" s="405" t="str">
        <f>IFERROR(VLOOKUP(A1503,[3]DOORSCRIEFT!$A$2:$G$8551,6,FALSE),"")</f>
        <v/>
      </c>
      <c r="G1503" s="315"/>
    </row>
    <row r="1504" spans="1:7" x14ac:dyDescent="0.25">
      <c r="A1504" s="360" t="str">
        <f t="shared" si="44"/>
        <v>I.2.2.02.02530</v>
      </c>
      <c r="B1504" s="319">
        <v>30</v>
      </c>
      <c r="C1504" s="394" t="str">
        <f>IFERROR(VLOOKUP(A1504,[3]DOORSCRIEFT!$A$2:$G$8551,2,FALSE),"")</f>
        <v/>
      </c>
      <c r="D1504" s="393" t="str">
        <f>IFERROR(VLOOKUP(A1504,[3]DOORSCRIEFT!$A$2:$G$8551,3,FALSE),"")</f>
        <v/>
      </c>
      <c r="E1504" s="392" t="str">
        <f>IFERROR(VLOOKUP(A1504,[3]DOORSCRIEFT!$A$2:$G$8551,4,FALSE),"")</f>
        <v/>
      </c>
      <c r="F1504" s="405" t="str">
        <f>IFERROR(VLOOKUP(A1504,[3]DOORSCRIEFT!$A$2:$G$8551,6,FALSE),"")</f>
        <v/>
      </c>
      <c r="G1504" s="315"/>
    </row>
    <row r="1505" spans="1:7" x14ac:dyDescent="0.25">
      <c r="A1505" s="360" t="str">
        <f t="shared" si="44"/>
        <v>I.2.2.02.02531</v>
      </c>
      <c r="B1505" s="339">
        <v>31</v>
      </c>
      <c r="C1505" s="394" t="str">
        <f>IFERROR(VLOOKUP(A1505,[3]DOORSCRIEFT!$A$2:$G$8551,2,FALSE),"")</f>
        <v/>
      </c>
      <c r="D1505" s="393" t="str">
        <f>IFERROR(VLOOKUP(A1505,[3]DOORSCRIEFT!$A$2:$G$8551,3,FALSE),"")</f>
        <v/>
      </c>
      <c r="E1505" s="392" t="str">
        <f>IFERROR(VLOOKUP(A1505,[3]DOORSCRIEFT!$A$2:$G$8551,4,FALSE),"")</f>
        <v/>
      </c>
      <c r="F1505" s="405" t="str">
        <f>IFERROR(VLOOKUP(A1505,[3]DOORSCRIEFT!$A$2:$G$8551,6,FALSE),"")</f>
        <v/>
      </c>
      <c r="G1505" s="315"/>
    </row>
    <row r="1506" spans="1:7" x14ac:dyDescent="0.25">
      <c r="A1506" s="360" t="str">
        <f t="shared" si="44"/>
        <v>I.2.2.02.02532</v>
      </c>
      <c r="B1506" s="319">
        <v>32</v>
      </c>
      <c r="C1506" s="394" t="str">
        <f>IFERROR(VLOOKUP(A1506,[3]DOORSCRIEFT!$A$2:$G$8551,2,FALSE),"")</f>
        <v/>
      </c>
      <c r="D1506" s="393" t="str">
        <f>IFERROR(VLOOKUP(A1506,[3]DOORSCRIEFT!$A$2:$G$8551,3,FALSE),"")</f>
        <v/>
      </c>
      <c r="E1506" s="392" t="str">
        <f>IFERROR(VLOOKUP(A1506,[3]DOORSCRIEFT!$A$2:$G$8551,4,FALSE),"")</f>
        <v/>
      </c>
      <c r="F1506" s="405" t="str">
        <f>IFERROR(VLOOKUP(A1506,[3]DOORSCRIEFT!$A$2:$G$8551,6,FALSE),"")</f>
        <v/>
      </c>
      <c r="G1506" s="315"/>
    </row>
    <row r="1507" spans="1:7" x14ac:dyDescent="0.25">
      <c r="A1507" s="360" t="str">
        <f t="shared" ref="A1507:A1538" si="45">$G$1468&amp;B1507</f>
        <v>I.2.2.02.02533</v>
      </c>
      <c r="B1507" s="339">
        <v>33</v>
      </c>
      <c r="C1507" s="394" t="str">
        <f>IFERROR(VLOOKUP(A1507,[3]DOORSCRIEFT!$A$2:$G$8551,2,FALSE),"")</f>
        <v/>
      </c>
      <c r="D1507" s="393" t="str">
        <f>IFERROR(VLOOKUP(A1507,[3]DOORSCRIEFT!$A$2:$G$8551,3,FALSE),"")</f>
        <v/>
      </c>
      <c r="E1507" s="392" t="str">
        <f>IFERROR(VLOOKUP(A1507,[3]DOORSCRIEFT!$A$2:$G$8551,4,FALSE),"")</f>
        <v/>
      </c>
      <c r="F1507" s="405" t="str">
        <f>IFERROR(VLOOKUP(A1507,[3]DOORSCRIEFT!$A$2:$G$8551,6,FALSE),"")</f>
        <v/>
      </c>
      <c r="G1507" s="315"/>
    </row>
    <row r="1508" spans="1:7" x14ac:dyDescent="0.25">
      <c r="A1508" s="360" t="str">
        <f t="shared" si="45"/>
        <v>I.2.2.02.02534</v>
      </c>
      <c r="B1508" s="319">
        <v>34</v>
      </c>
      <c r="C1508" s="394" t="str">
        <f>IFERROR(VLOOKUP(A1508,[3]DOORSCRIEFT!$A$2:$G$8551,2,FALSE),"")</f>
        <v/>
      </c>
      <c r="D1508" s="393" t="str">
        <f>IFERROR(VLOOKUP(A1508,[3]DOORSCRIEFT!$A$2:$G$8551,3,FALSE),"")</f>
        <v/>
      </c>
      <c r="E1508" s="392" t="str">
        <f>IFERROR(VLOOKUP(A1508,[3]DOORSCRIEFT!$A$2:$G$8551,4,FALSE),"")</f>
        <v/>
      </c>
      <c r="F1508" s="405" t="str">
        <f>IFERROR(VLOOKUP(A1508,[3]DOORSCRIEFT!$A$2:$G$8551,6,FALSE),"")</f>
        <v/>
      </c>
      <c r="G1508" s="315"/>
    </row>
    <row r="1509" spans="1:7" x14ac:dyDescent="0.25">
      <c r="A1509" s="360" t="str">
        <f t="shared" si="45"/>
        <v>I.2.2.02.02535</v>
      </c>
      <c r="B1509" s="339">
        <v>35</v>
      </c>
      <c r="C1509" s="394" t="str">
        <f>IFERROR(VLOOKUP(A1509,[3]DOORSCRIEFT!$A$2:$G$8551,2,FALSE),"")</f>
        <v/>
      </c>
      <c r="D1509" s="393" t="str">
        <f>IFERROR(VLOOKUP(A1509,[3]DOORSCRIEFT!$A$2:$G$8551,3,FALSE),"")</f>
        <v/>
      </c>
      <c r="E1509" s="392" t="str">
        <f>IFERROR(VLOOKUP(A1509,[3]DOORSCRIEFT!$A$2:$G$8551,4,FALSE),"")</f>
        <v/>
      </c>
      <c r="F1509" s="405" t="str">
        <f>IFERROR(VLOOKUP(A1509,[3]DOORSCRIEFT!$A$2:$G$8551,6,FALSE),"")</f>
        <v/>
      </c>
      <c r="G1509" s="315"/>
    </row>
    <row r="1510" spans="1:7" x14ac:dyDescent="0.25">
      <c r="A1510" s="360" t="str">
        <f t="shared" si="45"/>
        <v>I.2.2.02.02536</v>
      </c>
      <c r="B1510" s="319">
        <v>36</v>
      </c>
      <c r="C1510" s="394" t="str">
        <f>IFERROR(VLOOKUP(A1510,[3]DOORSCRIEFT!$A$2:$G$8551,2,FALSE),"")</f>
        <v/>
      </c>
      <c r="D1510" s="393" t="str">
        <f>IFERROR(VLOOKUP(A1510,[3]DOORSCRIEFT!$A$2:$G$8551,3,FALSE),"")</f>
        <v/>
      </c>
      <c r="E1510" s="392" t="str">
        <f>IFERROR(VLOOKUP(A1510,[3]DOORSCRIEFT!$A$2:$G$8551,4,FALSE),"")</f>
        <v/>
      </c>
      <c r="F1510" s="405" t="str">
        <f>IFERROR(VLOOKUP(A1510,[3]DOORSCRIEFT!$A$2:$G$8551,6,FALSE),"")</f>
        <v/>
      </c>
      <c r="G1510" s="315"/>
    </row>
    <row r="1511" spans="1:7" x14ac:dyDescent="0.25">
      <c r="A1511" s="360" t="str">
        <f t="shared" si="45"/>
        <v>I.2.2.02.02537</v>
      </c>
      <c r="B1511" s="339">
        <v>37</v>
      </c>
      <c r="C1511" s="394" t="str">
        <f>IFERROR(VLOOKUP(A1511,[3]DOORSCRIEFT!$A$2:$G$8551,2,FALSE),"")</f>
        <v/>
      </c>
      <c r="D1511" s="393" t="str">
        <f>IFERROR(VLOOKUP(A1511,[3]DOORSCRIEFT!$A$2:$G$8551,3,FALSE),"")</f>
        <v/>
      </c>
      <c r="E1511" s="392" t="str">
        <f>IFERROR(VLOOKUP(A1511,[3]DOORSCRIEFT!$A$2:$G$8551,4,FALSE),"")</f>
        <v/>
      </c>
      <c r="F1511" s="405" t="str">
        <f>IFERROR(VLOOKUP(A1511,[3]DOORSCRIEFT!$A$2:$G$8551,6,FALSE),"")</f>
        <v/>
      </c>
      <c r="G1511" s="315"/>
    </row>
    <row r="1512" spans="1:7" x14ac:dyDescent="0.25">
      <c r="A1512" s="360" t="str">
        <f t="shared" si="45"/>
        <v>I.2.2.02.02538</v>
      </c>
      <c r="B1512" s="319">
        <v>38</v>
      </c>
      <c r="C1512" s="394" t="str">
        <f>IFERROR(VLOOKUP(A1512,[3]DOORSCRIEFT!$A$2:$G$8551,2,FALSE),"")</f>
        <v/>
      </c>
      <c r="D1512" s="393" t="str">
        <f>IFERROR(VLOOKUP(A1512,[3]DOORSCRIEFT!$A$2:$G$8551,3,FALSE),"")</f>
        <v/>
      </c>
      <c r="E1512" s="392" t="str">
        <f>IFERROR(VLOOKUP(A1512,[3]DOORSCRIEFT!$A$2:$G$8551,4,FALSE),"")</f>
        <v/>
      </c>
      <c r="F1512" s="405" t="str">
        <f>IFERROR(VLOOKUP(A1512,[3]DOORSCRIEFT!$A$2:$G$8551,6,FALSE),"")</f>
        <v/>
      </c>
      <c r="G1512" s="315"/>
    </row>
    <row r="1513" spans="1:7" x14ac:dyDescent="0.25">
      <c r="A1513" s="360" t="str">
        <f t="shared" si="45"/>
        <v>I.2.2.02.02539</v>
      </c>
      <c r="B1513" s="339">
        <v>39</v>
      </c>
      <c r="C1513" s="394" t="str">
        <f>IFERROR(VLOOKUP(A1513,[3]DOORSCRIEFT!$A$2:$G$8551,2,FALSE),"")</f>
        <v/>
      </c>
      <c r="D1513" s="393" t="str">
        <f>IFERROR(VLOOKUP(A1513,[3]DOORSCRIEFT!$A$2:$G$8551,3,FALSE),"")</f>
        <v/>
      </c>
      <c r="E1513" s="392" t="str">
        <f>IFERROR(VLOOKUP(A1513,[3]DOORSCRIEFT!$A$2:$G$8551,4,FALSE),"")</f>
        <v/>
      </c>
      <c r="F1513" s="405" t="str">
        <f>IFERROR(VLOOKUP(A1513,[3]DOORSCRIEFT!$A$2:$G$8551,6,FALSE),"")</f>
        <v/>
      </c>
      <c r="G1513" s="315"/>
    </row>
    <row r="1514" spans="1:7" x14ac:dyDescent="0.25">
      <c r="A1514" s="360" t="str">
        <f t="shared" si="45"/>
        <v>I.2.2.02.02540</v>
      </c>
      <c r="B1514" s="319">
        <v>40</v>
      </c>
      <c r="C1514" s="394" t="str">
        <f>IFERROR(VLOOKUP(A1514,[3]DOORSCRIEFT!$A$2:$G$8551,2,FALSE),"")</f>
        <v/>
      </c>
      <c r="D1514" s="393" t="str">
        <f>IFERROR(VLOOKUP(A1514,[3]DOORSCRIEFT!$A$2:$G$8551,3,FALSE),"")</f>
        <v/>
      </c>
      <c r="E1514" s="392" t="str">
        <f>IFERROR(VLOOKUP(A1514,[3]DOORSCRIEFT!$A$2:$G$8551,4,FALSE),"")</f>
        <v/>
      </c>
      <c r="F1514" s="405" t="str">
        <f>IFERROR(VLOOKUP(A1514,[3]DOORSCRIEFT!$A$2:$G$8551,6,FALSE),"")</f>
        <v/>
      </c>
      <c r="G1514" s="315"/>
    </row>
    <row r="1515" spans="1:7" x14ac:dyDescent="0.25">
      <c r="A1515" s="360" t="str">
        <f t="shared" si="45"/>
        <v>I.2.2.02.02541</v>
      </c>
      <c r="B1515" s="339">
        <v>41</v>
      </c>
      <c r="C1515" s="394" t="str">
        <f>IFERROR(VLOOKUP(A1515,[3]DOORSCRIEFT!$A$2:$G$8551,2,FALSE),"")</f>
        <v/>
      </c>
      <c r="D1515" s="393" t="str">
        <f>IFERROR(VLOOKUP(A1515,[3]DOORSCRIEFT!$A$2:$G$8551,3,FALSE),"")</f>
        <v/>
      </c>
      <c r="E1515" s="392" t="str">
        <f>IFERROR(VLOOKUP(A1515,[3]DOORSCRIEFT!$A$2:$G$8551,4,FALSE),"")</f>
        <v/>
      </c>
      <c r="F1515" s="405" t="str">
        <f>IFERROR(VLOOKUP(A1515,[3]DOORSCRIEFT!$A$2:$G$8551,6,FALSE),"")</f>
        <v/>
      </c>
      <c r="G1515" s="315"/>
    </row>
    <row r="1516" spans="1:7" x14ac:dyDescent="0.25">
      <c r="A1516" s="360" t="str">
        <f t="shared" si="45"/>
        <v>I.2.2.02.02542</v>
      </c>
      <c r="B1516" s="319">
        <v>42</v>
      </c>
      <c r="C1516" s="394" t="str">
        <f>IFERROR(VLOOKUP(A1516,[3]DOORSCRIEFT!$A$2:$G$8551,2,FALSE),"")</f>
        <v/>
      </c>
      <c r="D1516" s="393" t="str">
        <f>IFERROR(VLOOKUP(A1516,[3]DOORSCRIEFT!$A$2:$G$8551,3,FALSE),"")</f>
        <v/>
      </c>
      <c r="E1516" s="392" t="str">
        <f>IFERROR(VLOOKUP(A1516,[3]DOORSCRIEFT!$A$2:$G$8551,4,FALSE),"")</f>
        <v/>
      </c>
      <c r="F1516" s="405" t="str">
        <f>IFERROR(VLOOKUP(A1516,[3]DOORSCRIEFT!$A$2:$G$8551,6,FALSE),"")</f>
        <v/>
      </c>
      <c r="G1516" s="315"/>
    </row>
    <row r="1517" spans="1:7" x14ac:dyDescent="0.25">
      <c r="A1517" s="360" t="str">
        <f t="shared" si="45"/>
        <v>I.2.2.02.02543</v>
      </c>
      <c r="B1517" s="339">
        <v>43</v>
      </c>
      <c r="C1517" s="394" t="str">
        <f>IFERROR(VLOOKUP(A1517,[3]DOORSCRIEFT!$A$2:$G$8551,2,FALSE),"")</f>
        <v/>
      </c>
      <c r="D1517" s="393" t="str">
        <f>IFERROR(VLOOKUP(A1517,[3]DOORSCRIEFT!$A$2:$G$8551,3,FALSE),"")</f>
        <v/>
      </c>
      <c r="E1517" s="392" t="str">
        <f>IFERROR(VLOOKUP(A1517,[3]DOORSCRIEFT!$A$2:$G$8551,4,FALSE),"")</f>
        <v/>
      </c>
      <c r="F1517" s="405" t="str">
        <f>IFERROR(VLOOKUP(A1517,[3]DOORSCRIEFT!$A$2:$G$8551,6,FALSE),"")</f>
        <v/>
      </c>
      <c r="G1517" s="315"/>
    </row>
    <row r="1518" spans="1:7" x14ac:dyDescent="0.25">
      <c r="A1518" s="360" t="str">
        <f t="shared" si="45"/>
        <v>I.2.2.02.02544</v>
      </c>
      <c r="B1518" s="319">
        <v>44</v>
      </c>
      <c r="C1518" s="394" t="str">
        <f>IFERROR(VLOOKUP(A1518,[3]DOORSCRIEFT!$A$2:$G$8551,2,FALSE),"")</f>
        <v/>
      </c>
      <c r="D1518" s="393" t="str">
        <f>IFERROR(VLOOKUP(A1518,[3]DOORSCRIEFT!$A$2:$G$8551,3,FALSE),"")</f>
        <v/>
      </c>
      <c r="E1518" s="392" t="str">
        <f>IFERROR(VLOOKUP(A1518,[3]DOORSCRIEFT!$A$2:$G$8551,4,FALSE),"")</f>
        <v/>
      </c>
      <c r="F1518" s="405" t="str">
        <f>IFERROR(VLOOKUP(A1518,[3]DOORSCRIEFT!$A$2:$G$8551,6,FALSE),"")</f>
        <v/>
      </c>
      <c r="G1518" s="315"/>
    </row>
    <row r="1519" spans="1:7" x14ac:dyDescent="0.25">
      <c r="A1519" s="360" t="str">
        <f t="shared" si="45"/>
        <v>I.2.2.02.02545</v>
      </c>
      <c r="B1519" s="339">
        <v>45</v>
      </c>
      <c r="C1519" s="394" t="str">
        <f>IFERROR(VLOOKUP(A1519,[3]DOORSCRIEFT!$A$2:$G$8551,2,FALSE),"")</f>
        <v/>
      </c>
      <c r="D1519" s="393" t="str">
        <f>IFERROR(VLOOKUP(A1519,[3]DOORSCRIEFT!$A$2:$G$8551,3,FALSE),"")</f>
        <v/>
      </c>
      <c r="E1519" s="392" t="str">
        <f>IFERROR(VLOOKUP(A1519,[3]DOORSCRIEFT!$A$2:$G$8551,4,FALSE),"")</f>
        <v/>
      </c>
      <c r="F1519" s="405" t="str">
        <f>IFERROR(VLOOKUP(A1519,[3]DOORSCRIEFT!$A$2:$G$8551,6,FALSE),"")</f>
        <v/>
      </c>
      <c r="G1519" s="315"/>
    </row>
    <row r="1520" spans="1:7" x14ac:dyDescent="0.25">
      <c r="A1520" s="360" t="str">
        <f t="shared" si="45"/>
        <v>I.2.2.02.02546</v>
      </c>
      <c r="B1520" s="319">
        <v>46</v>
      </c>
      <c r="C1520" s="394" t="str">
        <f>IFERROR(VLOOKUP(A1520,[3]DOORSCRIEFT!$A$2:$G$8551,2,FALSE),"")</f>
        <v/>
      </c>
      <c r="D1520" s="393" t="str">
        <f>IFERROR(VLOOKUP(A1520,[3]DOORSCRIEFT!$A$2:$G$8551,3,FALSE),"")</f>
        <v/>
      </c>
      <c r="E1520" s="392" t="str">
        <f>IFERROR(VLOOKUP(A1520,[3]DOORSCRIEFT!$A$2:$G$8551,4,FALSE),"")</f>
        <v/>
      </c>
      <c r="F1520" s="405" t="str">
        <f>IFERROR(VLOOKUP(A1520,[3]DOORSCRIEFT!$A$2:$G$8551,6,FALSE),"")</f>
        <v/>
      </c>
      <c r="G1520" s="315"/>
    </row>
    <row r="1521" spans="1:7" x14ac:dyDescent="0.25">
      <c r="A1521" s="360" t="str">
        <f t="shared" si="45"/>
        <v>I.2.2.02.02547</v>
      </c>
      <c r="B1521" s="339">
        <v>47</v>
      </c>
      <c r="C1521" s="394" t="str">
        <f>IFERROR(VLOOKUP(A1521,[3]DOORSCRIEFT!$A$2:$G$8551,2,FALSE),"")</f>
        <v/>
      </c>
      <c r="D1521" s="393" t="str">
        <f>IFERROR(VLOOKUP(A1521,[3]DOORSCRIEFT!$A$2:$G$8551,3,FALSE),"")</f>
        <v/>
      </c>
      <c r="E1521" s="392" t="str">
        <f>IFERROR(VLOOKUP(A1521,[3]DOORSCRIEFT!$A$2:$G$8551,4,FALSE),"")</f>
        <v/>
      </c>
      <c r="F1521" s="405" t="str">
        <f>IFERROR(VLOOKUP(A1521,[3]DOORSCRIEFT!$A$2:$G$8551,6,FALSE),"")</f>
        <v/>
      </c>
      <c r="G1521" s="315"/>
    </row>
    <row r="1522" spans="1:7" x14ac:dyDescent="0.25">
      <c r="A1522" s="360" t="str">
        <f t="shared" si="45"/>
        <v>I.2.2.02.02548</v>
      </c>
      <c r="B1522" s="319">
        <v>48</v>
      </c>
      <c r="C1522" s="394" t="str">
        <f>IFERROR(VLOOKUP(A1522,[3]DOORSCRIEFT!$A$2:$G$8551,2,FALSE),"")</f>
        <v/>
      </c>
      <c r="D1522" s="393" t="str">
        <f>IFERROR(VLOOKUP(A1522,[3]DOORSCRIEFT!$A$2:$G$8551,3,FALSE),"")</f>
        <v/>
      </c>
      <c r="E1522" s="392" t="str">
        <f>IFERROR(VLOOKUP(A1522,[3]DOORSCRIEFT!$A$2:$G$8551,4,FALSE),"")</f>
        <v/>
      </c>
      <c r="F1522" s="405" t="str">
        <f>IFERROR(VLOOKUP(A1522,[3]DOORSCRIEFT!$A$2:$G$8551,6,FALSE),"")</f>
        <v/>
      </c>
      <c r="G1522" s="315"/>
    </row>
    <row r="1523" spans="1:7" x14ac:dyDescent="0.25">
      <c r="A1523" s="360" t="str">
        <f t="shared" si="45"/>
        <v>I.2.2.02.02549</v>
      </c>
      <c r="B1523" s="339">
        <v>49</v>
      </c>
      <c r="C1523" s="394" t="str">
        <f>IFERROR(VLOOKUP(A1523,[3]DOORSCRIEFT!$A$2:$G$8551,2,FALSE),"")</f>
        <v/>
      </c>
      <c r="D1523" s="393" t="str">
        <f>IFERROR(VLOOKUP(A1523,[3]DOORSCRIEFT!$A$2:$G$8551,3,FALSE),"")</f>
        <v/>
      </c>
      <c r="E1523" s="392" t="str">
        <f>IFERROR(VLOOKUP(A1523,[3]DOORSCRIEFT!$A$2:$G$8551,4,FALSE),"")</f>
        <v/>
      </c>
      <c r="F1523" s="405" t="str">
        <f>IFERROR(VLOOKUP(A1523,[3]DOORSCRIEFT!$A$2:$G$8551,6,FALSE),"")</f>
        <v/>
      </c>
      <c r="G1523" s="315"/>
    </row>
    <row r="1524" spans="1:7" x14ac:dyDescent="0.25">
      <c r="A1524" s="360" t="str">
        <f t="shared" si="45"/>
        <v>I.2.2.02.02550</v>
      </c>
      <c r="B1524" s="319">
        <v>50</v>
      </c>
      <c r="C1524" s="394" t="str">
        <f>IFERROR(VLOOKUP(A1524,[3]DOORSCRIEFT!$A$2:$G$8551,2,FALSE),"")</f>
        <v/>
      </c>
      <c r="D1524" s="393" t="str">
        <f>IFERROR(VLOOKUP(A1524,[3]DOORSCRIEFT!$A$2:$G$8551,3,FALSE),"")</f>
        <v/>
      </c>
      <c r="E1524" s="392" t="str">
        <f>IFERROR(VLOOKUP(A1524,[3]DOORSCRIEFT!$A$2:$G$8551,4,FALSE),"")</f>
        <v/>
      </c>
      <c r="F1524" s="405" t="str">
        <f>IFERROR(VLOOKUP(A1524,[3]DOORSCRIEFT!$A$2:$G$8551,6,FALSE),"")</f>
        <v/>
      </c>
      <c r="G1524" s="315"/>
    </row>
    <row r="1525" spans="1:7" x14ac:dyDescent="0.25">
      <c r="A1525" s="360" t="str">
        <f t="shared" si="45"/>
        <v>I.2.2.02.02551</v>
      </c>
      <c r="B1525" s="339">
        <v>51</v>
      </c>
      <c r="C1525" s="394" t="str">
        <f>IFERROR(VLOOKUP(A1525,[3]DOORSCRIEFT!$A$2:$G$8551,2,FALSE),"")</f>
        <v/>
      </c>
      <c r="D1525" s="393" t="str">
        <f>IFERROR(VLOOKUP(A1525,[3]DOORSCRIEFT!$A$2:$G$8551,3,FALSE),"")</f>
        <v/>
      </c>
      <c r="E1525" s="392" t="str">
        <f>IFERROR(VLOOKUP(A1525,[3]DOORSCRIEFT!$A$2:$G$8551,4,FALSE),"")</f>
        <v/>
      </c>
      <c r="F1525" s="405" t="str">
        <f>IFERROR(VLOOKUP(A1525,[3]DOORSCRIEFT!$A$2:$G$8551,6,FALSE),"")</f>
        <v/>
      </c>
      <c r="G1525" s="315"/>
    </row>
    <row r="1526" spans="1:7" x14ac:dyDescent="0.25">
      <c r="A1526" s="360" t="str">
        <f t="shared" si="45"/>
        <v>I.2.2.02.02552</v>
      </c>
      <c r="B1526" s="319">
        <v>52</v>
      </c>
      <c r="C1526" s="394" t="str">
        <f>IFERROR(VLOOKUP(A1526,[3]DOORSCRIEFT!$A$2:$G$8551,2,FALSE),"")</f>
        <v/>
      </c>
      <c r="D1526" s="393" t="str">
        <f>IFERROR(VLOOKUP(A1526,[3]DOORSCRIEFT!$A$2:$G$8551,3,FALSE),"")</f>
        <v/>
      </c>
      <c r="E1526" s="392" t="str">
        <f>IFERROR(VLOOKUP(A1526,[3]DOORSCRIEFT!$A$2:$G$8551,4,FALSE),"")</f>
        <v/>
      </c>
      <c r="F1526" s="405" t="str">
        <f>IFERROR(VLOOKUP(A1526,[3]DOORSCRIEFT!$A$2:$G$8551,6,FALSE),"")</f>
        <v/>
      </c>
      <c r="G1526" s="315"/>
    </row>
    <row r="1527" spans="1:7" x14ac:dyDescent="0.25">
      <c r="A1527" s="360" t="str">
        <f t="shared" si="45"/>
        <v>I.2.2.02.02553</v>
      </c>
      <c r="B1527" s="339">
        <v>53</v>
      </c>
      <c r="C1527" s="394" t="str">
        <f>IFERROR(VLOOKUP(A1527,[3]DOORSCRIEFT!$A$2:$G$8551,2,FALSE),"")</f>
        <v/>
      </c>
      <c r="D1527" s="393" t="str">
        <f>IFERROR(VLOOKUP(A1527,[3]DOORSCRIEFT!$A$2:$G$8551,3,FALSE),"")</f>
        <v/>
      </c>
      <c r="E1527" s="392" t="str">
        <f>IFERROR(VLOOKUP(A1527,[3]DOORSCRIEFT!$A$2:$G$8551,4,FALSE),"")</f>
        <v/>
      </c>
      <c r="F1527" s="405" t="str">
        <f>IFERROR(VLOOKUP(A1527,[3]DOORSCRIEFT!$A$2:$G$8551,6,FALSE),"")</f>
        <v/>
      </c>
      <c r="G1527" s="315"/>
    </row>
    <row r="1528" spans="1:7" x14ac:dyDescent="0.25">
      <c r="A1528" s="360" t="str">
        <f t="shared" si="45"/>
        <v>I.2.2.02.02554</v>
      </c>
      <c r="B1528" s="319">
        <v>54</v>
      </c>
      <c r="C1528" s="394" t="str">
        <f>IFERROR(VLOOKUP(A1528,[3]DOORSCRIEFT!$A$2:$G$8551,2,FALSE),"")</f>
        <v/>
      </c>
      <c r="D1528" s="393" t="str">
        <f>IFERROR(VLOOKUP(A1528,[3]DOORSCRIEFT!$A$2:$G$8551,3,FALSE),"")</f>
        <v/>
      </c>
      <c r="E1528" s="392" t="str">
        <f>IFERROR(VLOOKUP(A1528,[3]DOORSCRIEFT!$A$2:$G$8551,4,FALSE),"")</f>
        <v/>
      </c>
      <c r="F1528" s="405" t="str">
        <f>IFERROR(VLOOKUP(A1528,[3]DOORSCRIEFT!$A$2:$G$8551,6,FALSE),"")</f>
        <v/>
      </c>
      <c r="G1528" s="315"/>
    </row>
    <row r="1529" spans="1:7" x14ac:dyDescent="0.25">
      <c r="A1529" s="360" t="str">
        <f t="shared" si="45"/>
        <v>I.2.2.02.02555</v>
      </c>
      <c r="B1529" s="339">
        <v>55</v>
      </c>
      <c r="C1529" s="394" t="str">
        <f>IFERROR(VLOOKUP(A1529,[3]DOORSCRIEFT!$A$2:$G$8551,2,FALSE),"")</f>
        <v/>
      </c>
      <c r="D1529" s="393" t="str">
        <f>IFERROR(VLOOKUP(A1529,[3]DOORSCRIEFT!$A$2:$G$8551,3,FALSE),"")</f>
        <v/>
      </c>
      <c r="E1529" s="392" t="str">
        <f>IFERROR(VLOOKUP(A1529,[3]DOORSCRIEFT!$A$2:$G$8551,4,FALSE),"")</f>
        <v/>
      </c>
      <c r="F1529" s="405" t="str">
        <f>IFERROR(VLOOKUP(A1529,[3]DOORSCRIEFT!$A$2:$G$8551,6,FALSE),"")</f>
        <v/>
      </c>
      <c r="G1529" s="315"/>
    </row>
    <row r="1530" spans="1:7" x14ac:dyDescent="0.25">
      <c r="A1530" s="360" t="str">
        <f t="shared" si="45"/>
        <v>I.2.2.02.02556</v>
      </c>
      <c r="B1530" s="319">
        <v>56</v>
      </c>
      <c r="C1530" s="394" t="str">
        <f>IFERROR(VLOOKUP(A1530,[3]DOORSCRIEFT!$A$2:$G$8551,2,FALSE),"")</f>
        <v/>
      </c>
      <c r="D1530" s="393" t="str">
        <f>IFERROR(VLOOKUP(A1530,[3]DOORSCRIEFT!$A$2:$G$8551,3,FALSE),"")</f>
        <v/>
      </c>
      <c r="E1530" s="392" t="str">
        <f>IFERROR(VLOOKUP(A1530,[3]DOORSCRIEFT!$A$2:$G$8551,4,FALSE),"")</f>
        <v/>
      </c>
      <c r="F1530" s="405" t="str">
        <f>IFERROR(VLOOKUP(A1530,[3]DOORSCRIEFT!$A$2:$G$8551,6,FALSE),"")</f>
        <v/>
      </c>
      <c r="G1530" s="315"/>
    </row>
    <row r="1531" spans="1:7" x14ac:dyDescent="0.25">
      <c r="A1531" s="360" t="str">
        <f t="shared" si="45"/>
        <v>I.2.2.02.02557</v>
      </c>
      <c r="B1531" s="339">
        <v>57</v>
      </c>
      <c r="C1531" s="394" t="str">
        <f>IFERROR(VLOOKUP(A1531,[3]DOORSCRIEFT!$A$2:$G$8551,2,FALSE),"")</f>
        <v/>
      </c>
      <c r="D1531" s="393" t="str">
        <f>IFERROR(VLOOKUP(A1531,[3]DOORSCRIEFT!$A$2:$G$8551,3,FALSE),"")</f>
        <v/>
      </c>
      <c r="E1531" s="392" t="str">
        <f>IFERROR(VLOOKUP(A1531,[3]DOORSCRIEFT!$A$2:$G$8551,4,FALSE),"")</f>
        <v/>
      </c>
      <c r="F1531" s="405" t="str">
        <f>IFERROR(VLOOKUP(A1531,[3]DOORSCRIEFT!$A$2:$G$8551,6,FALSE),"")</f>
        <v/>
      </c>
      <c r="G1531" s="315"/>
    </row>
    <row r="1532" spans="1:7" x14ac:dyDescent="0.25">
      <c r="A1532" s="360" t="str">
        <f t="shared" si="45"/>
        <v>I.2.2.02.02558</v>
      </c>
      <c r="B1532" s="319">
        <v>58</v>
      </c>
      <c r="C1532" s="394" t="str">
        <f>IFERROR(VLOOKUP(A1532,[3]DOORSCRIEFT!$A$2:$G$8551,2,FALSE),"")</f>
        <v/>
      </c>
      <c r="D1532" s="393" t="str">
        <f>IFERROR(VLOOKUP(A1532,[3]DOORSCRIEFT!$A$2:$G$8551,3,FALSE),"")</f>
        <v/>
      </c>
      <c r="E1532" s="392" t="str">
        <f>IFERROR(VLOOKUP(A1532,[3]DOORSCRIEFT!$A$2:$G$8551,4,FALSE),"")</f>
        <v/>
      </c>
      <c r="F1532" s="405" t="str">
        <f>IFERROR(VLOOKUP(A1532,[3]DOORSCRIEFT!$A$2:$G$8551,6,FALSE),"")</f>
        <v/>
      </c>
      <c r="G1532" s="315"/>
    </row>
    <row r="1533" spans="1:7" x14ac:dyDescent="0.25">
      <c r="A1533" s="360" t="str">
        <f t="shared" si="45"/>
        <v>I.2.2.02.02559</v>
      </c>
      <c r="B1533" s="339">
        <v>59</v>
      </c>
      <c r="C1533" s="394" t="str">
        <f>IFERROR(VLOOKUP(A1533,[3]DOORSCRIEFT!$A$2:$G$8551,2,FALSE),"")</f>
        <v/>
      </c>
      <c r="D1533" s="393" t="str">
        <f>IFERROR(VLOOKUP(A1533,[3]DOORSCRIEFT!$A$2:$G$8551,3,FALSE),"")</f>
        <v/>
      </c>
      <c r="E1533" s="392" t="str">
        <f>IFERROR(VLOOKUP(A1533,[3]DOORSCRIEFT!$A$2:$G$8551,4,FALSE),"")</f>
        <v/>
      </c>
      <c r="F1533" s="405" t="str">
        <f>IFERROR(VLOOKUP(A1533,[3]DOORSCRIEFT!$A$2:$G$8551,6,FALSE),"")</f>
        <v/>
      </c>
      <c r="G1533" s="315"/>
    </row>
    <row r="1534" spans="1:7" x14ac:dyDescent="0.25">
      <c r="A1534" s="360" t="str">
        <f t="shared" si="45"/>
        <v>I.2.2.02.02560</v>
      </c>
      <c r="B1534" s="319">
        <v>60</v>
      </c>
      <c r="C1534" s="394" t="str">
        <f>IFERROR(VLOOKUP(A1534,[3]DOORSCRIEFT!$A$2:$G$8551,2,FALSE),"")</f>
        <v/>
      </c>
      <c r="D1534" s="393" t="str">
        <f>IFERROR(VLOOKUP(A1534,[3]DOORSCRIEFT!$A$2:$G$8551,3,FALSE),"")</f>
        <v/>
      </c>
      <c r="E1534" s="392" t="str">
        <f>IFERROR(VLOOKUP(A1534,[3]DOORSCRIEFT!$A$2:$G$8551,4,FALSE),"")</f>
        <v/>
      </c>
      <c r="F1534" s="405" t="str">
        <f>IFERROR(VLOOKUP(A1534,[3]DOORSCRIEFT!$A$2:$G$8551,6,FALSE),"")</f>
        <v/>
      </c>
      <c r="G1534" s="315"/>
    </row>
    <row r="1535" spans="1:7" x14ac:dyDescent="0.25">
      <c r="A1535" s="360" t="str">
        <f t="shared" si="45"/>
        <v>I.2.2.02.02561</v>
      </c>
      <c r="B1535" s="339">
        <v>61</v>
      </c>
      <c r="C1535" s="394" t="str">
        <f>IFERROR(VLOOKUP(A1535,[3]DOORSCRIEFT!$A$2:$G$8551,2,FALSE),"")</f>
        <v/>
      </c>
      <c r="D1535" s="393" t="str">
        <f>IFERROR(VLOOKUP(A1535,[3]DOORSCRIEFT!$A$2:$G$8551,3,FALSE),"")</f>
        <v/>
      </c>
      <c r="E1535" s="392" t="str">
        <f>IFERROR(VLOOKUP(A1535,[3]DOORSCRIEFT!$A$2:$G$8551,4,FALSE),"")</f>
        <v/>
      </c>
      <c r="F1535" s="405" t="str">
        <f>IFERROR(VLOOKUP(A1535,[3]DOORSCRIEFT!$A$2:$G$8551,6,FALSE),"")</f>
        <v/>
      </c>
      <c r="G1535" s="315"/>
    </row>
    <row r="1536" spans="1:7" x14ac:dyDescent="0.25">
      <c r="A1536" s="360" t="str">
        <f t="shared" si="45"/>
        <v>I.2.2.02.02562</v>
      </c>
      <c r="B1536" s="319">
        <v>62</v>
      </c>
      <c r="C1536" s="394" t="str">
        <f>IFERROR(VLOOKUP(A1536,[3]DOORSCRIEFT!$A$2:$G$8551,2,FALSE),"")</f>
        <v/>
      </c>
      <c r="D1536" s="393" t="str">
        <f>IFERROR(VLOOKUP(A1536,[3]DOORSCRIEFT!$A$2:$G$8551,3,FALSE),"")</f>
        <v/>
      </c>
      <c r="E1536" s="392" t="str">
        <f>IFERROR(VLOOKUP(A1536,[3]DOORSCRIEFT!$A$2:$G$8551,4,FALSE),"")</f>
        <v/>
      </c>
      <c r="F1536" s="405" t="str">
        <f>IFERROR(VLOOKUP(A1536,[3]DOORSCRIEFT!$A$2:$G$8551,6,FALSE),"")</f>
        <v/>
      </c>
      <c r="G1536" s="315"/>
    </row>
    <row r="1537" spans="1:7" x14ac:dyDescent="0.25">
      <c r="A1537" s="360" t="str">
        <f t="shared" si="45"/>
        <v>I.2.2.02.02563</v>
      </c>
      <c r="B1537" s="339">
        <v>63</v>
      </c>
      <c r="C1537" s="394" t="str">
        <f>IFERROR(VLOOKUP(A1537,[3]DOORSCRIEFT!$A$2:$G$8551,2,FALSE),"")</f>
        <v/>
      </c>
      <c r="D1537" s="393" t="str">
        <f>IFERROR(VLOOKUP(A1537,[3]DOORSCRIEFT!$A$2:$G$8551,3,FALSE),"")</f>
        <v/>
      </c>
      <c r="E1537" s="392" t="str">
        <f>IFERROR(VLOOKUP(A1537,[3]DOORSCRIEFT!$A$2:$G$8551,4,FALSE),"")</f>
        <v/>
      </c>
      <c r="F1537" s="405" t="str">
        <f>IFERROR(VLOOKUP(A1537,[3]DOORSCRIEFT!$A$2:$G$8551,6,FALSE),"")</f>
        <v/>
      </c>
      <c r="G1537" s="315"/>
    </row>
    <row r="1538" spans="1:7" x14ac:dyDescent="0.25">
      <c r="A1538" s="360" t="str">
        <f t="shared" si="45"/>
        <v>I.2.2.02.02564</v>
      </c>
      <c r="B1538" s="319">
        <v>64</v>
      </c>
      <c r="C1538" s="394" t="str">
        <f>IFERROR(VLOOKUP(A1538,[3]DOORSCRIEFT!$A$2:$G$8551,2,FALSE),"")</f>
        <v/>
      </c>
      <c r="D1538" s="393" t="str">
        <f>IFERROR(VLOOKUP(A1538,[3]DOORSCRIEFT!$A$2:$G$8551,3,FALSE),"")</f>
        <v/>
      </c>
      <c r="E1538" s="392" t="str">
        <f>IFERROR(VLOOKUP(A1538,[3]DOORSCRIEFT!$A$2:$G$8551,4,FALSE),"")</f>
        <v/>
      </c>
      <c r="F1538" s="405" t="str">
        <f>IFERROR(VLOOKUP(A1538,[3]DOORSCRIEFT!$A$2:$G$8551,6,FALSE),"")</f>
        <v/>
      </c>
      <c r="G1538" s="315"/>
    </row>
    <row r="1539" spans="1:7" x14ac:dyDescent="0.25">
      <c r="A1539" s="360" t="str">
        <f t="shared" ref="A1539:A1570" si="46">$G$1468&amp;B1539</f>
        <v>I.2.2.02.02565</v>
      </c>
      <c r="B1539" s="339">
        <v>65</v>
      </c>
      <c r="C1539" s="394" t="str">
        <f>IFERROR(VLOOKUP(A1539,[3]DOORSCRIEFT!$A$2:$G$8551,2,FALSE),"")</f>
        <v/>
      </c>
      <c r="D1539" s="393" t="str">
        <f>IFERROR(VLOOKUP(A1539,[3]DOORSCRIEFT!$A$2:$G$8551,3,FALSE),"")</f>
        <v/>
      </c>
      <c r="E1539" s="392" t="str">
        <f>IFERROR(VLOOKUP(A1539,[3]DOORSCRIEFT!$A$2:$G$8551,4,FALSE),"")</f>
        <v/>
      </c>
      <c r="F1539" s="405" t="str">
        <f>IFERROR(VLOOKUP(A1539,[3]DOORSCRIEFT!$A$2:$G$8551,6,FALSE),"")</f>
        <v/>
      </c>
      <c r="G1539" s="315"/>
    </row>
    <row r="1540" spans="1:7" x14ac:dyDescent="0.25">
      <c r="A1540" s="360" t="str">
        <f t="shared" si="46"/>
        <v>I.2.2.02.02566</v>
      </c>
      <c r="B1540" s="319">
        <v>66</v>
      </c>
      <c r="C1540" s="394" t="str">
        <f>IFERROR(VLOOKUP(A1540,[3]DOORSCRIEFT!$A$2:$G$8551,2,FALSE),"")</f>
        <v/>
      </c>
      <c r="D1540" s="393" t="str">
        <f>IFERROR(VLOOKUP(A1540,[3]DOORSCRIEFT!$A$2:$G$8551,3,FALSE),"")</f>
        <v/>
      </c>
      <c r="E1540" s="392" t="str">
        <f>IFERROR(VLOOKUP(A1540,[3]DOORSCRIEFT!$A$2:$G$8551,4,FALSE),"")</f>
        <v/>
      </c>
      <c r="F1540" s="405" t="str">
        <f>IFERROR(VLOOKUP(A1540,[3]DOORSCRIEFT!$A$2:$G$8551,6,FALSE),"")</f>
        <v/>
      </c>
      <c r="G1540" s="315"/>
    </row>
    <row r="1541" spans="1:7" x14ac:dyDescent="0.25">
      <c r="A1541" s="360" t="str">
        <f t="shared" si="46"/>
        <v>I.2.2.02.02567</v>
      </c>
      <c r="B1541" s="339">
        <v>67</v>
      </c>
      <c r="C1541" s="394" t="str">
        <f>IFERROR(VLOOKUP(A1541,[3]DOORSCRIEFT!$A$2:$G$8551,2,FALSE),"")</f>
        <v/>
      </c>
      <c r="D1541" s="393" t="str">
        <f>IFERROR(VLOOKUP(A1541,[3]DOORSCRIEFT!$A$2:$G$8551,3,FALSE),"")</f>
        <v/>
      </c>
      <c r="E1541" s="392" t="str">
        <f>IFERROR(VLOOKUP(A1541,[3]DOORSCRIEFT!$A$2:$G$8551,4,FALSE),"")</f>
        <v/>
      </c>
      <c r="F1541" s="405" t="str">
        <f>IFERROR(VLOOKUP(A1541,[3]DOORSCRIEFT!$A$2:$G$8551,6,FALSE),"")</f>
        <v/>
      </c>
      <c r="G1541" s="315"/>
    </row>
    <row r="1542" spans="1:7" x14ac:dyDescent="0.25">
      <c r="A1542" s="360" t="str">
        <f t="shared" si="46"/>
        <v>I.2.2.02.02568</v>
      </c>
      <c r="B1542" s="319">
        <v>68</v>
      </c>
      <c r="C1542" s="394" t="str">
        <f>IFERROR(VLOOKUP(A1542,[3]DOORSCRIEFT!$A$2:$G$8551,2,FALSE),"")</f>
        <v/>
      </c>
      <c r="D1542" s="393" t="str">
        <f>IFERROR(VLOOKUP(A1542,[3]DOORSCRIEFT!$A$2:$G$8551,3,FALSE),"")</f>
        <v/>
      </c>
      <c r="E1542" s="392" t="str">
        <f>IFERROR(VLOOKUP(A1542,[3]DOORSCRIEFT!$A$2:$G$8551,4,FALSE),"")</f>
        <v/>
      </c>
      <c r="F1542" s="405" t="str">
        <f>IFERROR(VLOOKUP(A1542,[3]DOORSCRIEFT!$A$2:$G$8551,6,FALSE),"")</f>
        <v/>
      </c>
      <c r="G1542" s="315"/>
    </row>
    <row r="1543" spans="1:7" x14ac:dyDescent="0.25">
      <c r="A1543" s="360" t="str">
        <f t="shared" si="46"/>
        <v>I.2.2.02.02569</v>
      </c>
      <c r="B1543" s="339">
        <v>69</v>
      </c>
      <c r="C1543" s="394" t="str">
        <f>IFERROR(VLOOKUP(A1543,[3]DOORSCRIEFT!$A$2:$G$8551,2,FALSE),"")</f>
        <v/>
      </c>
      <c r="D1543" s="393" t="str">
        <f>IFERROR(VLOOKUP(A1543,[3]DOORSCRIEFT!$A$2:$G$8551,3,FALSE),"")</f>
        <v/>
      </c>
      <c r="E1543" s="392" t="str">
        <f>IFERROR(VLOOKUP(A1543,[3]DOORSCRIEFT!$A$2:$G$8551,4,FALSE),"")</f>
        <v/>
      </c>
      <c r="F1543" s="405" t="str">
        <f>IFERROR(VLOOKUP(A1543,[3]DOORSCRIEFT!$A$2:$G$8551,6,FALSE),"")</f>
        <v/>
      </c>
      <c r="G1543" s="315"/>
    </row>
    <row r="1544" spans="1:7" x14ac:dyDescent="0.25">
      <c r="A1544" s="360" t="str">
        <f t="shared" si="46"/>
        <v>I.2.2.02.02570</v>
      </c>
      <c r="B1544" s="319">
        <v>70</v>
      </c>
      <c r="C1544" s="394" t="str">
        <f>IFERROR(VLOOKUP(A1544,[3]DOORSCRIEFT!$A$2:$G$8551,2,FALSE),"")</f>
        <v/>
      </c>
      <c r="D1544" s="393" t="str">
        <f>IFERROR(VLOOKUP(A1544,[3]DOORSCRIEFT!$A$2:$G$8551,3,FALSE),"")</f>
        <v/>
      </c>
      <c r="E1544" s="392" t="str">
        <f>IFERROR(VLOOKUP(A1544,[3]DOORSCRIEFT!$A$2:$G$8551,4,FALSE),"")</f>
        <v/>
      </c>
      <c r="F1544" s="405" t="str">
        <f>IFERROR(VLOOKUP(A1544,[3]DOORSCRIEFT!$A$2:$G$8551,6,FALSE),"")</f>
        <v/>
      </c>
      <c r="G1544" s="315"/>
    </row>
    <row r="1545" spans="1:7" x14ac:dyDescent="0.25">
      <c r="A1545" s="360" t="str">
        <f t="shared" si="46"/>
        <v>I.2.2.02.02571</v>
      </c>
      <c r="B1545" s="339">
        <v>71</v>
      </c>
      <c r="C1545" s="394" t="str">
        <f>IFERROR(VLOOKUP(A1545,[3]DOORSCRIEFT!$A$2:$G$8551,2,FALSE),"")</f>
        <v/>
      </c>
      <c r="D1545" s="393" t="str">
        <f>IFERROR(VLOOKUP(A1545,[3]DOORSCRIEFT!$A$2:$G$8551,3,FALSE),"")</f>
        <v/>
      </c>
      <c r="E1545" s="392" t="str">
        <f>IFERROR(VLOOKUP(A1545,[3]DOORSCRIEFT!$A$2:$G$8551,4,FALSE),"")</f>
        <v/>
      </c>
      <c r="F1545" s="405" t="str">
        <f>IFERROR(VLOOKUP(A1545,[3]DOORSCRIEFT!$A$2:$G$8551,6,FALSE),"")</f>
        <v/>
      </c>
      <c r="G1545" s="315"/>
    </row>
    <row r="1546" spans="1:7" x14ac:dyDescent="0.25">
      <c r="A1546" s="360" t="str">
        <f t="shared" si="46"/>
        <v>I.2.2.02.02572</v>
      </c>
      <c r="B1546" s="319">
        <v>72</v>
      </c>
      <c r="C1546" s="394" t="str">
        <f>IFERROR(VLOOKUP(A1546,[3]DOORSCRIEFT!$A$2:$G$8551,2,FALSE),"")</f>
        <v/>
      </c>
      <c r="D1546" s="393" t="str">
        <f>IFERROR(VLOOKUP(A1546,[3]DOORSCRIEFT!$A$2:$G$8551,3,FALSE),"")</f>
        <v/>
      </c>
      <c r="E1546" s="392" t="str">
        <f>IFERROR(VLOOKUP(A1546,[3]DOORSCRIEFT!$A$2:$G$8551,4,FALSE),"")</f>
        <v/>
      </c>
      <c r="F1546" s="405" t="str">
        <f>IFERROR(VLOOKUP(A1546,[3]DOORSCRIEFT!$A$2:$G$8551,6,FALSE),"")</f>
        <v/>
      </c>
      <c r="G1546" s="315"/>
    </row>
    <row r="1547" spans="1:7" x14ac:dyDescent="0.25">
      <c r="A1547" s="360" t="str">
        <f t="shared" si="46"/>
        <v>I.2.2.02.02573</v>
      </c>
      <c r="B1547" s="339">
        <v>73</v>
      </c>
      <c r="C1547" s="394" t="str">
        <f>IFERROR(VLOOKUP(A1547,[3]DOORSCRIEFT!$A$2:$G$8551,2,FALSE),"")</f>
        <v/>
      </c>
      <c r="D1547" s="393" t="str">
        <f>IFERROR(VLOOKUP(A1547,[3]DOORSCRIEFT!$A$2:$G$8551,3,FALSE),"")</f>
        <v/>
      </c>
      <c r="E1547" s="392" t="str">
        <f>IFERROR(VLOOKUP(A1547,[3]DOORSCRIEFT!$A$2:$G$8551,4,FALSE),"")</f>
        <v/>
      </c>
      <c r="F1547" s="405" t="str">
        <f>IFERROR(VLOOKUP(A1547,[3]DOORSCRIEFT!$A$2:$G$8551,6,FALSE),"")</f>
        <v/>
      </c>
      <c r="G1547" s="315"/>
    </row>
    <row r="1548" spans="1:7" x14ac:dyDescent="0.25">
      <c r="A1548" s="360" t="str">
        <f t="shared" si="46"/>
        <v>I.2.2.02.02574</v>
      </c>
      <c r="B1548" s="319">
        <v>74</v>
      </c>
      <c r="C1548" s="394" t="str">
        <f>IFERROR(VLOOKUP(A1548,[3]DOORSCRIEFT!$A$2:$G$8551,2,FALSE),"")</f>
        <v/>
      </c>
      <c r="D1548" s="393" t="str">
        <f>IFERROR(VLOOKUP(A1548,[3]DOORSCRIEFT!$A$2:$G$8551,3,FALSE),"")</f>
        <v/>
      </c>
      <c r="E1548" s="392" t="str">
        <f>IFERROR(VLOOKUP(A1548,[3]DOORSCRIEFT!$A$2:$G$8551,4,FALSE),"")</f>
        <v/>
      </c>
      <c r="F1548" s="405" t="str">
        <f>IFERROR(VLOOKUP(A1548,[3]DOORSCRIEFT!$A$2:$G$8551,6,FALSE),"")</f>
        <v/>
      </c>
      <c r="G1548" s="315"/>
    </row>
    <row r="1549" spans="1:7" x14ac:dyDescent="0.25">
      <c r="A1549" s="360" t="str">
        <f t="shared" si="46"/>
        <v>I.2.2.02.02575</v>
      </c>
      <c r="B1549" s="339">
        <v>75</v>
      </c>
      <c r="C1549" s="394" t="str">
        <f>IFERROR(VLOOKUP(A1549,[3]DOORSCRIEFT!$A$2:$G$8551,2,FALSE),"")</f>
        <v/>
      </c>
      <c r="D1549" s="393" t="str">
        <f>IFERROR(VLOOKUP(A1549,[3]DOORSCRIEFT!$A$2:$G$8551,3,FALSE),"")</f>
        <v/>
      </c>
      <c r="E1549" s="392" t="str">
        <f>IFERROR(VLOOKUP(A1549,[3]DOORSCRIEFT!$A$2:$G$8551,4,FALSE),"")</f>
        <v/>
      </c>
      <c r="F1549" s="405" t="str">
        <f>IFERROR(VLOOKUP(A1549,[3]DOORSCRIEFT!$A$2:$G$8551,6,FALSE),"")</f>
        <v/>
      </c>
      <c r="G1549" s="315"/>
    </row>
    <row r="1550" spans="1:7" x14ac:dyDescent="0.25">
      <c r="A1550" s="360" t="str">
        <f t="shared" si="46"/>
        <v>I.2.2.02.02576</v>
      </c>
      <c r="B1550" s="319">
        <v>76</v>
      </c>
      <c r="C1550" s="394" t="str">
        <f>IFERROR(VLOOKUP(A1550,[3]DOORSCRIEFT!$A$2:$G$8551,2,FALSE),"")</f>
        <v/>
      </c>
      <c r="D1550" s="393" t="str">
        <f>IFERROR(VLOOKUP(A1550,[3]DOORSCRIEFT!$A$2:$G$8551,3,FALSE),"")</f>
        <v/>
      </c>
      <c r="E1550" s="392" t="str">
        <f>IFERROR(VLOOKUP(A1550,[3]DOORSCRIEFT!$A$2:$G$8551,4,FALSE),"")</f>
        <v/>
      </c>
      <c r="F1550" s="405" t="str">
        <f>IFERROR(VLOOKUP(A1550,[3]DOORSCRIEFT!$A$2:$G$8551,6,FALSE),"")</f>
        <v/>
      </c>
      <c r="G1550" s="315"/>
    </row>
    <row r="1551" spans="1:7" x14ac:dyDescent="0.25">
      <c r="A1551" s="360" t="str">
        <f t="shared" si="46"/>
        <v>I.2.2.02.02577</v>
      </c>
      <c r="B1551" s="339">
        <v>77</v>
      </c>
      <c r="C1551" s="394" t="str">
        <f>IFERROR(VLOOKUP(A1551,[3]DOORSCRIEFT!$A$2:$G$8551,2,FALSE),"")</f>
        <v/>
      </c>
      <c r="D1551" s="393" t="str">
        <f>IFERROR(VLOOKUP(A1551,[3]DOORSCRIEFT!$A$2:$G$8551,3,FALSE),"")</f>
        <v/>
      </c>
      <c r="E1551" s="392" t="str">
        <f>IFERROR(VLOOKUP(A1551,[3]DOORSCRIEFT!$A$2:$G$8551,4,FALSE),"")</f>
        <v/>
      </c>
      <c r="F1551" s="405" t="str">
        <f>IFERROR(VLOOKUP(A1551,[3]DOORSCRIEFT!$A$2:$G$8551,6,FALSE),"")</f>
        <v/>
      </c>
      <c r="G1551" s="315"/>
    </row>
    <row r="1552" spans="1:7" x14ac:dyDescent="0.25">
      <c r="A1552" s="360" t="str">
        <f t="shared" si="46"/>
        <v>I.2.2.02.02578</v>
      </c>
      <c r="B1552" s="319">
        <v>78</v>
      </c>
      <c r="C1552" s="394" t="str">
        <f>IFERROR(VLOOKUP(A1552,[3]DOORSCRIEFT!$A$2:$G$8551,2,FALSE),"")</f>
        <v/>
      </c>
      <c r="D1552" s="393" t="str">
        <f>IFERROR(VLOOKUP(A1552,[3]DOORSCRIEFT!$A$2:$G$8551,3,FALSE),"")</f>
        <v/>
      </c>
      <c r="E1552" s="392" t="str">
        <f>IFERROR(VLOOKUP(A1552,[3]DOORSCRIEFT!$A$2:$G$8551,4,FALSE),"")</f>
        <v/>
      </c>
      <c r="F1552" s="405" t="str">
        <f>IFERROR(VLOOKUP(A1552,[3]DOORSCRIEFT!$A$2:$G$8551,6,FALSE),"")</f>
        <v/>
      </c>
      <c r="G1552" s="315"/>
    </row>
    <row r="1553" spans="1:7" x14ac:dyDescent="0.25">
      <c r="A1553" s="360" t="str">
        <f t="shared" si="46"/>
        <v>I.2.2.02.02579</v>
      </c>
      <c r="B1553" s="339">
        <v>79</v>
      </c>
      <c r="C1553" s="394" t="str">
        <f>IFERROR(VLOOKUP(A1553,[3]DOORSCRIEFT!$A$2:$G$8551,2,FALSE),"")</f>
        <v/>
      </c>
      <c r="D1553" s="393" t="str">
        <f>IFERROR(VLOOKUP(A1553,[3]DOORSCRIEFT!$A$2:$G$8551,3,FALSE),"")</f>
        <v/>
      </c>
      <c r="E1553" s="392" t="str">
        <f>IFERROR(VLOOKUP(A1553,[3]DOORSCRIEFT!$A$2:$G$8551,4,FALSE),"")</f>
        <v/>
      </c>
      <c r="F1553" s="405" t="str">
        <f>IFERROR(VLOOKUP(A1553,[3]DOORSCRIEFT!$A$2:$G$8551,6,FALSE),"")</f>
        <v/>
      </c>
      <c r="G1553" s="315"/>
    </row>
    <row r="1554" spans="1:7" x14ac:dyDescent="0.25">
      <c r="A1554" s="360" t="str">
        <f t="shared" si="46"/>
        <v>I.2.2.02.02580</v>
      </c>
      <c r="B1554" s="319">
        <v>80</v>
      </c>
      <c r="C1554" s="394" t="str">
        <f>IFERROR(VLOOKUP(A1554,[3]DOORSCRIEFT!$A$2:$G$8551,2,FALSE),"")</f>
        <v/>
      </c>
      <c r="D1554" s="393" t="str">
        <f>IFERROR(VLOOKUP(A1554,[3]DOORSCRIEFT!$A$2:$G$8551,3,FALSE),"")</f>
        <v/>
      </c>
      <c r="E1554" s="392" t="str">
        <f>IFERROR(VLOOKUP(A1554,[3]DOORSCRIEFT!$A$2:$G$8551,4,FALSE),"")</f>
        <v/>
      </c>
      <c r="F1554" s="405" t="str">
        <f>IFERROR(VLOOKUP(A1554,[3]DOORSCRIEFT!$A$2:$G$8551,6,FALSE),"")</f>
        <v/>
      </c>
      <c r="G1554" s="315"/>
    </row>
    <row r="1555" spans="1:7" x14ac:dyDescent="0.25">
      <c r="A1555" s="360" t="str">
        <f t="shared" si="46"/>
        <v>I.2.2.02.02581</v>
      </c>
      <c r="B1555" s="339">
        <v>81</v>
      </c>
      <c r="C1555" s="394" t="str">
        <f>IFERROR(VLOOKUP(A1555,[3]DOORSCRIEFT!$A$2:$G$8551,2,FALSE),"")</f>
        <v/>
      </c>
      <c r="D1555" s="393" t="str">
        <f>IFERROR(VLOOKUP(A1555,[3]DOORSCRIEFT!$A$2:$G$8551,3,FALSE),"")</f>
        <v/>
      </c>
      <c r="E1555" s="392" t="str">
        <f>IFERROR(VLOOKUP(A1555,[3]DOORSCRIEFT!$A$2:$G$8551,4,FALSE),"")</f>
        <v/>
      </c>
      <c r="F1555" s="405" t="str">
        <f>IFERROR(VLOOKUP(A1555,[3]DOORSCRIEFT!$A$2:$G$8551,6,FALSE),"")</f>
        <v/>
      </c>
      <c r="G1555" s="315"/>
    </row>
    <row r="1556" spans="1:7" x14ac:dyDescent="0.25">
      <c r="A1556" s="360" t="str">
        <f t="shared" si="46"/>
        <v>I.2.2.02.02582</v>
      </c>
      <c r="B1556" s="319">
        <v>82</v>
      </c>
      <c r="C1556" s="394" t="str">
        <f>IFERROR(VLOOKUP(A1556,[3]DOORSCRIEFT!$A$2:$G$8551,2,FALSE),"")</f>
        <v/>
      </c>
      <c r="D1556" s="393" t="str">
        <f>IFERROR(VLOOKUP(A1556,[3]DOORSCRIEFT!$A$2:$G$8551,3,FALSE),"")</f>
        <v/>
      </c>
      <c r="E1556" s="392" t="str">
        <f>IFERROR(VLOOKUP(A1556,[3]DOORSCRIEFT!$A$2:$G$8551,4,FALSE),"")</f>
        <v/>
      </c>
      <c r="F1556" s="405" t="str">
        <f>IFERROR(VLOOKUP(A1556,[3]DOORSCRIEFT!$A$2:$G$8551,6,FALSE),"")</f>
        <v/>
      </c>
      <c r="G1556" s="315"/>
    </row>
    <row r="1557" spans="1:7" x14ac:dyDescent="0.25">
      <c r="A1557" s="360" t="str">
        <f t="shared" si="46"/>
        <v>I.2.2.02.02583</v>
      </c>
      <c r="B1557" s="339">
        <v>83</v>
      </c>
      <c r="C1557" s="394" t="str">
        <f>IFERROR(VLOOKUP(A1557,[3]DOORSCRIEFT!$A$2:$G$8551,2,FALSE),"")</f>
        <v/>
      </c>
      <c r="D1557" s="393" t="str">
        <f>IFERROR(VLOOKUP(A1557,[3]DOORSCRIEFT!$A$2:$G$8551,3,FALSE),"")</f>
        <v/>
      </c>
      <c r="E1557" s="392" t="str">
        <f>IFERROR(VLOOKUP(A1557,[3]DOORSCRIEFT!$A$2:$G$8551,4,FALSE),"")</f>
        <v/>
      </c>
      <c r="F1557" s="405" t="str">
        <f>IFERROR(VLOOKUP(A1557,[3]DOORSCRIEFT!$A$2:$G$8551,6,FALSE),"")</f>
        <v/>
      </c>
      <c r="G1557" s="315"/>
    </row>
    <row r="1558" spans="1:7" x14ac:dyDescent="0.25">
      <c r="A1558" s="360" t="str">
        <f t="shared" si="46"/>
        <v>I.2.2.02.02584</v>
      </c>
      <c r="B1558" s="319">
        <v>84</v>
      </c>
      <c r="C1558" s="394" t="str">
        <f>IFERROR(VLOOKUP(A1558,[3]DOORSCRIEFT!$A$2:$G$8551,2,FALSE),"")</f>
        <v/>
      </c>
      <c r="D1558" s="393" t="str">
        <f>IFERROR(VLOOKUP(A1558,[3]DOORSCRIEFT!$A$2:$G$8551,3,FALSE),"")</f>
        <v/>
      </c>
      <c r="E1558" s="392" t="str">
        <f>IFERROR(VLOOKUP(A1558,[3]DOORSCRIEFT!$A$2:$G$8551,4,FALSE),"")</f>
        <v/>
      </c>
      <c r="F1558" s="405" t="str">
        <f>IFERROR(VLOOKUP(A1558,[3]DOORSCRIEFT!$A$2:$G$8551,6,FALSE),"")</f>
        <v/>
      </c>
      <c r="G1558" s="315"/>
    </row>
    <row r="1559" spans="1:7" x14ac:dyDescent="0.25">
      <c r="A1559" s="360" t="str">
        <f t="shared" si="46"/>
        <v>I.2.2.02.02585</v>
      </c>
      <c r="B1559" s="339">
        <v>85</v>
      </c>
      <c r="C1559" s="394" t="str">
        <f>IFERROR(VLOOKUP(A1559,[3]DOORSCRIEFT!$A$2:$G$8551,2,FALSE),"")</f>
        <v/>
      </c>
      <c r="D1559" s="393" t="str">
        <f>IFERROR(VLOOKUP(A1559,[3]DOORSCRIEFT!$A$2:$G$8551,3,FALSE),"")</f>
        <v/>
      </c>
      <c r="E1559" s="392" t="str">
        <f>IFERROR(VLOOKUP(A1559,[3]DOORSCRIEFT!$A$2:$G$8551,4,FALSE),"")</f>
        <v/>
      </c>
      <c r="F1559" s="405" t="str">
        <f>IFERROR(VLOOKUP(A1559,[3]DOORSCRIEFT!$A$2:$G$8551,6,FALSE),"")</f>
        <v/>
      </c>
      <c r="G1559" s="315"/>
    </row>
    <row r="1560" spans="1:7" x14ac:dyDescent="0.25">
      <c r="A1560" s="360" t="str">
        <f t="shared" si="46"/>
        <v>I.2.2.02.02586</v>
      </c>
      <c r="B1560" s="319">
        <v>86</v>
      </c>
      <c r="C1560" s="394" t="str">
        <f>IFERROR(VLOOKUP(A1560,[3]DOORSCRIEFT!$A$2:$G$8551,2,FALSE),"")</f>
        <v/>
      </c>
      <c r="D1560" s="393" t="str">
        <f>IFERROR(VLOOKUP(A1560,[3]DOORSCRIEFT!$A$2:$G$8551,3,FALSE),"")</f>
        <v/>
      </c>
      <c r="E1560" s="392" t="str">
        <f>IFERROR(VLOOKUP(A1560,[3]DOORSCRIEFT!$A$2:$G$8551,4,FALSE),"")</f>
        <v/>
      </c>
      <c r="F1560" s="405" t="str">
        <f>IFERROR(VLOOKUP(A1560,[3]DOORSCRIEFT!$A$2:$G$8551,6,FALSE),"")</f>
        <v/>
      </c>
      <c r="G1560" s="315"/>
    </row>
    <row r="1561" spans="1:7" x14ac:dyDescent="0.25">
      <c r="A1561" s="360" t="str">
        <f t="shared" si="46"/>
        <v>I.2.2.02.02587</v>
      </c>
      <c r="B1561" s="339">
        <v>87</v>
      </c>
      <c r="C1561" s="394" t="str">
        <f>IFERROR(VLOOKUP(A1561,[3]DOORSCRIEFT!$A$2:$G$8551,2,FALSE),"")</f>
        <v/>
      </c>
      <c r="D1561" s="393" t="str">
        <f>IFERROR(VLOOKUP(A1561,[3]DOORSCRIEFT!$A$2:$G$8551,3,FALSE),"")</f>
        <v/>
      </c>
      <c r="E1561" s="392" t="str">
        <f>IFERROR(VLOOKUP(A1561,[3]DOORSCRIEFT!$A$2:$G$8551,4,FALSE),"")</f>
        <v/>
      </c>
      <c r="F1561" s="405" t="str">
        <f>IFERROR(VLOOKUP(A1561,[3]DOORSCRIEFT!$A$2:$G$8551,6,FALSE),"")</f>
        <v/>
      </c>
      <c r="G1561" s="315"/>
    </row>
    <row r="1562" spans="1:7" x14ac:dyDescent="0.25">
      <c r="A1562" s="360" t="str">
        <f t="shared" si="46"/>
        <v>I.2.2.02.02588</v>
      </c>
      <c r="B1562" s="319">
        <v>88</v>
      </c>
      <c r="C1562" s="394" t="str">
        <f>IFERROR(VLOOKUP(A1562,[3]DOORSCRIEFT!$A$2:$G$8551,2,FALSE),"")</f>
        <v/>
      </c>
      <c r="D1562" s="393" t="str">
        <f>IFERROR(VLOOKUP(A1562,[3]DOORSCRIEFT!$A$2:$G$8551,3,FALSE),"")</f>
        <v/>
      </c>
      <c r="E1562" s="392" t="str">
        <f>IFERROR(VLOOKUP(A1562,[3]DOORSCRIEFT!$A$2:$G$8551,4,FALSE),"")</f>
        <v/>
      </c>
      <c r="F1562" s="405" t="str">
        <f>IFERROR(VLOOKUP(A1562,[3]DOORSCRIEFT!$A$2:$G$8551,6,FALSE),"")</f>
        <v/>
      </c>
      <c r="G1562" s="315"/>
    </row>
    <row r="1563" spans="1:7" x14ac:dyDescent="0.25">
      <c r="A1563" s="360" t="str">
        <f t="shared" si="46"/>
        <v>I.2.2.02.02589</v>
      </c>
      <c r="B1563" s="339">
        <v>89</v>
      </c>
      <c r="C1563" s="394" t="str">
        <f>IFERROR(VLOOKUP(A1563,[3]DOORSCRIEFT!$A$2:$G$8551,2,FALSE),"")</f>
        <v/>
      </c>
      <c r="D1563" s="393" t="str">
        <f>IFERROR(VLOOKUP(A1563,[3]DOORSCRIEFT!$A$2:$G$8551,3,FALSE),"")</f>
        <v/>
      </c>
      <c r="E1563" s="392" t="str">
        <f>IFERROR(VLOOKUP(A1563,[3]DOORSCRIEFT!$A$2:$G$8551,4,FALSE),"")</f>
        <v/>
      </c>
      <c r="F1563" s="405" t="str">
        <f>IFERROR(VLOOKUP(A1563,[3]DOORSCRIEFT!$A$2:$G$8551,6,FALSE),"")</f>
        <v/>
      </c>
      <c r="G1563" s="315"/>
    </row>
    <row r="1564" spans="1:7" x14ac:dyDescent="0.25">
      <c r="A1564" s="360" t="str">
        <f t="shared" si="46"/>
        <v>I.2.2.02.02590</v>
      </c>
      <c r="B1564" s="319">
        <v>90</v>
      </c>
      <c r="C1564" s="394" t="str">
        <f>IFERROR(VLOOKUP(A1564,[3]DOORSCRIEFT!$A$2:$G$8551,2,FALSE),"")</f>
        <v/>
      </c>
      <c r="D1564" s="393" t="str">
        <f>IFERROR(VLOOKUP(A1564,[3]DOORSCRIEFT!$A$2:$G$8551,3,FALSE),"")</f>
        <v/>
      </c>
      <c r="E1564" s="392" t="str">
        <f>IFERROR(VLOOKUP(A1564,[3]DOORSCRIEFT!$A$2:$G$8551,4,FALSE),"")</f>
        <v/>
      </c>
      <c r="F1564" s="405" t="str">
        <f>IFERROR(VLOOKUP(A1564,[3]DOORSCRIEFT!$A$2:$G$8551,6,FALSE),"")</f>
        <v/>
      </c>
      <c r="G1564" s="315"/>
    </row>
    <row r="1565" spans="1:7" x14ac:dyDescent="0.25">
      <c r="A1565" s="360" t="str">
        <f t="shared" si="46"/>
        <v>I.2.2.02.02591</v>
      </c>
      <c r="B1565" s="339">
        <v>91</v>
      </c>
      <c r="C1565" s="394" t="str">
        <f>IFERROR(VLOOKUP(A1565,[3]DOORSCRIEFT!$A$2:$G$8551,2,FALSE),"")</f>
        <v/>
      </c>
      <c r="D1565" s="393" t="str">
        <f>IFERROR(VLOOKUP(A1565,[3]DOORSCRIEFT!$A$2:$G$8551,3,FALSE),"")</f>
        <v/>
      </c>
      <c r="E1565" s="392" t="str">
        <f>IFERROR(VLOOKUP(A1565,[3]DOORSCRIEFT!$A$2:$G$8551,4,FALSE),"")</f>
        <v/>
      </c>
      <c r="F1565" s="405" t="str">
        <f>IFERROR(VLOOKUP(A1565,[3]DOORSCRIEFT!$A$2:$G$8551,6,FALSE),"")</f>
        <v/>
      </c>
      <c r="G1565" s="315"/>
    </row>
    <row r="1566" spans="1:7" x14ac:dyDescent="0.25">
      <c r="A1566" s="360" t="str">
        <f t="shared" si="46"/>
        <v>I.2.2.02.02592</v>
      </c>
      <c r="B1566" s="319">
        <v>92</v>
      </c>
      <c r="C1566" s="394" t="str">
        <f>IFERROR(VLOOKUP(A1566,[3]DOORSCRIEFT!$A$2:$G$8551,2,FALSE),"")</f>
        <v/>
      </c>
      <c r="D1566" s="393" t="str">
        <f>IFERROR(VLOOKUP(A1566,[3]DOORSCRIEFT!$A$2:$G$8551,3,FALSE),"")</f>
        <v/>
      </c>
      <c r="E1566" s="392" t="str">
        <f>IFERROR(VLOOKUP(A1566,[3]DOORSCRIEFT!$A$2:$G$8551,4,FALSE),"")</f>
        <v/>
      </c>
      <c r="F1566" s="405" t="str">
        <f>IFERROR(VLOOKUP(A1566,[3]DOORSCRIEFT!$A$2:$G$8551,6,FALSE),"")</f>
        <v/>
      </c>
      <c r="G1566" s="315"/>
    </row>
    <row r="1567" spans="1:7" x14ac:dyDescent="0.25">
      <c r="A1567" s="360" t="str">
        <f t="shared" si="46"/>
        <v>I.2.2.02.02593</v>
      </c>
      <c r="B1567" s="339">
        <v>93</v>
      </c>
      <c r="C1567" s="394" t="str">
        <f>IFERROR(VLOOKUP(A1567,[3]DOORSCRIEFT!$A$2:$G$8551,2,FALSE),"")</f>
        <v/>
      </c>
      <c r="D1567" s="393" t="str">
        <f>IFERROR(VLOOKUP(A1567,[3]DOORSCRIEFT!$A$2:$G$8551,3,FALSE),"")</f>
        <v/>
      </c>
      <c r="E1567" s="392" t="str">
        <f>IFERROR(VLOOKUP(A1567,[3]DOORSCRIEFT!$A$2:$G$8551,4,FALSE),"")</f>
        <v/>
      </c>
      <c r="F1567" s="405" t="str">
        <f>IFERROR(VLOOKUP(A1567,[3]DOORSCRIEFT!$A$2:$G$8551,6,FALSE),"")</f>
        <v/>
      </c>
      <c r="G1567" s="315"/>
    </row>
    <row r="1568" spans="1:7" x14ac:dyDescent="0.25">
      <c r="A1568" s="360" t="str">
        <f t="shared" si="46"/>
        <v>I.2.2.02.02594</v>
      </c>
      <c r="B1568" s="319">
        <v>94</v>
      </c>
      <c r="C1568" s="394" t="str">
        <f>IFERROR(VLOOKUP(A1568,[3]DOORSCRIEFT!$A$2:$G$8551,2,FALSE),"")</f>
        <v/>
      </c>
      <c r="D1568" s="393" t="str">
        <f>IFERROR(VLOOKUP(A1568,[3]DOORSCRIEFT!$A$2:$G$8551,3,FALSE),"")</f>
        <v/>
      </c>
      <c r="E1568" s="392" t="str">
        <f>IFERROR(VLOOKUP(A1568,[3]DOORSCRIEFT!$A$2:$G$8551,4,FALSE),"")</f>
        <v/>
      </c>
      <c r="F1568" s="405" t="str">
        <f>IFERROR(VLOOKUP(A1568,[3]DOORSCRIEFT!$A$2:$G$8551,6,FALSE),"")</f>
        <v/>
      </c>
      <c r="G1568" s="315"/>
    </row>
    <row r="1569" spans="1:7" x14ac:dyDescent="0.25">
      <c r="A1569" s="360" t="str">
        <f t="shared" si="46"/>
        <v>I.2.2.02.02595</v>
      </c>
      <c r="B1569" s="339">
        <v>95</v>
      </c>
      <c r="C1569" s="394" t="str">
        <f>IFERROR(VLOOKUP(A1569,[3]DOORSCRIEFT!$A$2:$G$8551,2,FALSE),"")</f>
        <v/>
      </c>
      <c r="D1569" s="393" t="str">
        <f>IFERROR(VLOOKUP(A1569,[3]DOORSCRIEFT!$A$2:$G$8551,3,FALSE),"")</f>
        <v/>
      </c>
      <c r="E1569" s="392" t="str">
        <f>IFERROR(VLOOKUP(A1569,[3]DOORSCRIEFT!$A$2:$G$8551,4,FALSE),"")</f>
        <v/>
      </c>
      <c r="F1569" s="405" t="str">
        <f>IFERROR(VLOOKUP(A1569,[3]DOORSCRIEFT!$A$2:$G$8551,6,FALSE),"")</f>
        <v/>
      </c>
      <c r="G1569" s="315"/>
    </row>
    <row r="1570" spans="1:7" x14ac:dyDescent="0.25">
      <c r="A1570" s="360" t="str">
        <f t="shared" si="46"/>
        <v>I.2.2.02.02596</v>
      </c>
      <c r="B1570" s="319">
        <v>96</v>
      </c>
      <c r="C1570" s="394" t="str">
        <f>IFERROR(VLOOKUP(A1570,[3]DOORSCRIEFT!$A$2:$G$8551,2,FALSE),"")</f>
        <v/>
      </c>
      <c r="D1570" s="393" t="str">
        <f>IFERROR(VLOOKUP(A1570,[3]DOORSCRIEFT!$A$2:$G$8551,3,FALSE),"")</f>
        <v/>
      </c>
      <c r="E1570" s="392" t="str">
        <f>IFERROR(VLOOKUP(A1570,[3]DOORSCRIEFT!$A$2:$G$8551,4,FALSE),"")</f>
        <v/>
      </c>
      <c r="F1570" s="405" t="str">
        <f>IFERROR(VLOOKUP(A1570,[3]DOORSCRIEFT!$A$2:$G$8551,6,FALSE),"")</f>
        <v/>
      </c>
      <c r="G1570" s="315"/>
    </row>
    <row r="1571" spans="1:7" x14ac:dyDescent="0.25">
      <c r="A1571" s="360" t="str">
        <f t="shared" ref="A1571:A1602" si="47">$G$1468&amp;B1571</f>
        <v>I.2.2.02.02597</v>
      </c>
      <c r="B1571" s="339">
        <v>97</v>
      </c>
      <c r="C1571" s="394" t="str">
        <f>IFERROR(VLOOKUP(A1571,[3]DOORSCRIEFT!$A$2:$G$8551,2,FALSE),"")</f>
        <v/>
      </c>
      <c r="D1571" s="393" t="str">
        <f>IFERROR(VLOOKUP(A1571,[3]DOORSCRIEFT!$A$2:$G$8551,3,FALSE),"")</f>
        <v/>
      </c>
      <c r="E1571" s="392" t="str">
        <f>IFERROR(VLOOKUP(A1571,[3]DOORSCRIEFT!$A$2:$G$8551,4,FALSE),"")</f>
        <v/>
      </c>
      <c r="F1571" s="405" t="str">
        <f>IFERROR(VLOOKUP(A1571,[3]DOORSCRIEFT!$A$2:$G$8551,6,FALSE),"")</f>
        <v/>
      </c>
      <c r="G1571" s="315"/>
    </row>
    <row r="1572" spans="1:7" x14ac:dyDescent="0.25">
      <c r="A1572" s="360" t="str">
        <f t="shared" si="47"/>
        <v>I.2.2.02.02598</v>
      </c>
      <c r="B1572" s="319">
        <v>98</v>
      </c>
      <c r="C1572" s="394" t="str">
        <f>IFERROR(VLOOKUP(A1572,[3]DOORSCRIEFT!$A$2:$G$8551,2,FALSE),"")</f>
        <v/>
      </c>
      <c r="D1572" s="393" t="str">
        <f>IFERROR(VLOOKUP(A1572,[3]DOORSCRIEFT!$A$2:$G$8551,3,FALSE),"")</f>
        <v/>
      </c>
      <c r="E1572" s="392" t="str">
        <f>IFERROR(VLOOKUP(A1572,[3]DOORSCRIEFT!$A$2:$G$8551,4,FALSE),"")</f>
        <v/>
      </c>
      <c r="F1572" s="405" t="str">
        <f>IFERROR(VLOOKUP(A1572,[3]DOORSCRIEFT!$A$2:$G$8551,6,FALSE),"")</f>
        <v/>
      </c>
      <c r="G1572" s="315"/>
    </row>
    <row r="1573" spans="1:7" x14ac:dyDescent="0.25">
      <c r="A1573" s="360" t="str">
        <f t="shared" si="47"/>
        <v>I.2.2.02.02599</v>
      </c>
      <c r="B1573" s="339">
        <v>99</v>
      </c>
      <c r="C1573" s="394" t="str">
        <f>IFERROR(VLOOKUP(A1573,[3]DOORSCRIEFT!$A$2:$G$8551,2,FALSE),"")</f>
        <v/>
      </c>
      <c r="D1573" s="393" t="str">
        <f>IFERROR(VLOOKUP(A1573,[3]DOORSCRIEFT!$A$2:$G$8551,3,FALSE),"")</f>
        <v/>
      </c>
      <c r="E1573" s="392" t="str">
        <f>IFERROR(VLOOKUP(A1573,[3]DOORSCRIEFT!$A$2:$G$8551,4,FALSE),"")</f>
        <v/>
      </c>
      <c r="F1573" s="405" t="str">
        <f>IFERROR(VLOOKUP(A1573,[3]DOORSCRIEFT!$A$2:$G$8551,6,FALSE),"")</f>
        <v/>
      </c>
      <c r="G1573" s="315"/>
    </row>
    <row r="1574" spans="1:7" x14ac:dyDescent="0.25">
      <c r="A1574" s="360" t="str">
        <f t="shared" si="47"/>
        <v>I.2.2.02.025100</v>
      </c>
      <c r="B1574" s="319">
        <v>100</v>
      </c>
      <c r="C1574" s="394" t="str">
        <f>IFERROR(VLOOKUP(A1574,[3]DOORSCRIEFT!$A$2:$G$8551,2,FALSE),"")</f>
        <v/>
      </c>
      <c r="D1574" s="393" t="str">
        <f>IFERROR(VLOOKUP(A1574,[3]DOORSCRIEFT!$A$2:$G$8551,3,FALSE),"")</f>
        <v/>
      </c>
      <c r="E1574" s="392" t="str">
        <f>IFERROR(VLOOKUP(A1574,[3]DOORSCRIEFT!$A$2:$G$8551,4,FALSE),"")</f>
        <v/>
      </c>
      <c r="F1574" s="405" t="str">
        <f>IFERROR(VLOOKUP(A1574,[3]DOORSCRIEFT!$A$2:$G$8551,6,FALSE),"")</f>
        <v/>
      </c>
      <c r="G1574" s="315"/>
    </row>
    <row r="1575" spans="1:7" x14ac:dyDescent="0.25">
      <c r="A1575" s="360" t="str">
        <f t="shared" si="47"/>
        <v>I.2.2.02.025101</v>
      </c>
      <c r="B1575" s="339">
        <v>101</v>
      </c>
      <c r="C1575" s="394" t="str">
        <f>IFERROR(VLOOKUP(A1575,[3]DOORSCRIEFT!$A$2:$G$8551,2,FALSE),"")</f>
        <v/>
      </c>
      <c r="D1575" s="393" t="str">
        <f>IFERROR(VLOOKUP(A1575,[3]DOORSCRIEFT!$A$2:$G$8551,3,FALSE),"")</f>
        <v/>
      </c>
      <c r="E1575" s="392" t="str">
        <f>IFERROR(VLOOKUP(A1575,[3]DOORSCRIEFT!$A$2:$G$8551,4,FALSE),"")</f>
        <v/>
      </c>
      <c r="F1575" s="405" t="str">
        <f>IFERROR(VLOOKUP(A1575,[3]DOORSCRIEFT!$A$2:$G$8551,6,FALSE),"")</f>
        <v/>
      </c>
      <c r="G1575" s="315"/>
    </row>
    <row r="1576" spans="1:7" x14ac:dyDescent="0.25">
      <c r="A1576" s="360" t="str">
        <f t="shared" si="47"/>
        <v>I.2.2.02.025102</v>
      </c>
      <c r="B1576" s="319">
        <v>102</v>
      </c>
      <c r="C1576" s="394" t="str">
        <f>IFERROR(VLOOKUP(A1576,[3]DOORSCRIEFT!$A$2:$G$8551,2,FALSE),"")</f>
        <v/>
      </c>
      <c r="D1576" s="393" t="str">
        <f>IFERROR(VLOOKUP(A1576,[3]DOORSCRIEFT!$A$2:$G$8551,3,FALSE),"")</f>
        <v/>
      </c>
      <c r="E1576" s="392" t="str">
        <f>IFERROR(VLOOKUP(A1576,[3]DOORSCRIEFT!$A$2:$G$8551,4,FALSE),"")</f>
        <v/>
      </c>
      <c r="F1576" s="405" t="str">
        <f>IFERROR(VLOOKUP(A1576,[3]DOORSCRIEFT!$A$2:$G$8551,6,FALSE),"")</f>
        <v/>
      </c>
      <c r="G1576" s="315"/>
    </row>
    <row r="1577" spans="1:7" x14ac:dyDescent="0.25">
      <c r="A1577" s="360" t="str">
        <f t="shared" si="47"/>
        <v>I.2.2.02.025103</v>
      </c>
      <c r="B1577" s="339">
        <v>103</v>
      </c>
      <c r="C1577" s="394" t="str">
        <f>IFERROR(VLOOKUP(A1577,[3]DOORSCRIEFT!$A$2:$G$8551,2,FALSE),"")</f>
        <v/>
      </c>
      <c r="D1577" s="393" t="str">
        <f>IFERROR(VLOOKUP(A1577,[3]DOORSCRIEFT!$A$2:$G$8551,3,FALSE),"")</f>
        <v/>
      </c>
      <c r="E1577" s="392" t="str">
        <f>IFERROR(VLOOKUP(A1577,[3]DOORSCRIEFT!$A$2:$G$8551,4,FALSE),"")</f>
        <v/>
      </c>
      <c r="F1577" s="405" t="str">
        <f>IFERROR(VLOOKUP(A1577,[3]DOORSCRIEFT!$A$2:$G$8551,6,FALSE),"")</f>
        <v/>
      </c>
      <c r="G1577" s="315"/>
    </row>
    <row r="1578" spans="1:7" x14ac:dyDescent="0.25">
      <c r="A1578" s="360" t="str">
        <f t="shared" si="47"/>
        <v>I.2.2.02.025104</v>
      </c>
      <c r="B1578" s="319">
        <v>104</v>
      </c>
      <c r="C1578" s="394" t="str">
        <f>IFERROR(VLOOKUP(A1578,[3]DOORSCRIEFT!$A$2:$G$8551,2,FALSE),"")</f>
        <v/>
      </c>
      <c r="D1578" s="393" t="str">
        <f>IFERROR(VLOOKUP(A1578,[3]DOORSCRIEFT!$A$2:$G$8551,3,FALSE),"")</f>
        <v/>
      </c>
      <c r="E1578" s="392" t="str">
        <f>IFERROR(VLOOKUP(A1578,[3]DOORSCRIEFT!$A$2:$G$8551,4,FALSE),"")</f>
        <v/>
      </c>
      <c r="F1578" s="405" t="str">
        <f>IFERROR(VLOOKUP(A1578,[3]DOORSCRIEFT!$A$2:$G$8551,6,FALSE),"")</f>
        <v/>
      </c>
      <c r="G1578" s="315"/>
    </row>
    <row r="1579" spans="1:7" x14ac:dyDescent="0.25">
      <c r="A1579" s="359" t="str">
        <f t="shared" si="47"/>
        <v>I.2.2.02.025105</v>
      </c>
      <c r="B1579" s="319">
        <v>105</v>
      </c>
      <c r="C1579" s="394" t="str">
        <f>IFERROR(VLOOKUP(A1579,[3]DOORSCRIEFT!$A$2:$G$8551,2,FALSE),"")</f>
        <v/>
      </c>
      <c r="D1579" s="393" t="str">
        <f>IFERROR(VLOOKUP(A1579,[3]DOORSCRIEFT!$A$2:$G$8551,3,FALSE),"")</f>
        <v/>
      </c>
      <c r="E1579" s="392" t="str">
        <f>IFERROR(VLOOKUP(A1579,[3]DOORSCRIEFT!$A$2:$G$8551,4,FALSE),"")</f>
        <v/>
      </c>
      <c r="F1579" s="405" t="str">
        <f>IFERROR(VLOOKUP(A1579,[3]DOORSCRIEFT!$A$2:$G$8551,6,FALSE),"")</f>
        <v/>
      </c>
      <c r="G1579" s="349"/>
    </row>
    <row r="1580" spans="1:7" x14ac:dyDescent="0.25">
      <c r="A1580" s="359" t="str">
        <f t="shared" si="47"/>
        <v>I.2.2.02.025106</v>
      </c>
      <c r="B1580" s="319">
        <v>106</v>
      </c>
      <c r="C1580" s="394" t="str">
        <f>IFERROR(VLOOKUP(A1580,[3]DOORSCRIEFT!$A$2:$G$8551,2,FALSE),"")</f>
        <v/>
      </c>
      <c r="D1580" s="393" t="str">
        <f>IFERROR(VLOOKUP(A1580,[3]DOORSCRIEFT!$A$2:$G$8551,3,FALSE),"")</f>
        <v/>
      </c>
      <c r="E1580" s="392" t="str">
        <f>IFERROR(VLOOKUP(A1580,[3]DOORSCRIEFT!$A$2:$G$8551,4,FALSE),"")</f>
        <v/>
      </c>
      <c r="F1580" s="405" t="str">
        <f>IFERROR(VLOOKUP(A1580,[3]DOORSCRIEFT!$A$2:$G$8551,6,FALSE),"")</f>
        <v/>
      </c>
      <c r="G1580" s="349"/>
    </row>
    <row r="1581" spans="1:7" x14ac:dyDescent="0.25">
      <c r="A1581" s="359" t="str">
        <f t="shared" si="47"/>
        <v>I.2.2.02.025107</v>
      </c>
      <c r="B1581" s="319">
        <v>107</v>
      </c>
      <c r="C1581" s="394" t="str">
        <f>IFERROR(VLOOKUP(A1581,[3]DOORSCRIEFT!$A$2:$G$8551,2,FALSE),"")</f>
        <v/>
      </c>
      <c r="D1581" s="393" t="str">
        <f>IFERROR(VLOOKUP(A1581,[3]DOORSCRIEFT!$A$2:$G$8551,3,FALSE),"")</f>
        <v/>
      </c>
      <c r="E1581" s="392" t="str">
        <f>IFERROR(VLOOKUP(A1581,[3]DOORSCRIEFT!$A$2:$G$8551,4,FALSE),"")</f>
        <v/>
      </c>
      <c r="F1581" s="405" t="str">
        <f>IFERROR(VLOOKUP(A1581,[3]DOORSCRIEFT!$A$2:$G$8551,6,FALSE),"")</f>
        <v/>
      </c>
      <c r="G1581" s="349"/>
    </row>
    <row r="1582" spans="1:7" x14ac:dyDescent="0.25">
      <c r="A1582" s="359" t="str">
        <f t="shared" si="47"/>
        <v>I.2.2.02.025108</v>
      </c>
      <c r="B1582" s="319">
        <v>108</v>
      </c>
      <c r="C1582" s="394" t="str">
        <f>IFERROR(VLOOKUP(A1582,[3]DOORSCRIEFT!$A$2:$G$8551,2,FALSE),"")</f>
        <v/>
      </c>
      <c r="D1582" s="393" t="str">
        <f>IFERROR(VLOOKUP(A1582,[3]DOORSCRIEFT!$A$2:$G$8551,3,FALSE),"")</f>
        <v/>
      </c>
      <c r="E1582" s="392" t="str">
        <f>IFERROR(VLOOKUP(A1582,[3]DOORSCRIEFT!$A$2:$G$8551,4,FALSE),"")</f>
        <v/>
      </c>
      <c r="F1582" s="405" t="str">
        <f>IFERROR(VLOOKUP(A1582,[3]DOORSCRIEFT!$A$2:$G$8551,6,FALSE),"")</f>
        <v/>
      </c>
      <c r="G1582" s="349"/>
    </row>
    <row r="1583" spans="1:7" x14ac:dyDescent="0.25">
      <c r="A1583" s="359" t="str">
        <f t="shared" si="47"/>
        <v>I.2.2.02.025109</v>
      </c>
      <c r="B1583" s="319">
        <v>109</v>
      </c>
      <c r="C1583" s="394" t="str">
        <f>IFERROR(VLOOKUP(A1583,[3]DOORSCRIEFT!$A$2:$G$8551,2,FALSE),"")</f>
        <v/>
      </c>
      <c r="D1583" s="393" t="str">
        <f>IFERROR(VLOOKUP(A1583,[3]DOORSCRIEFT!$A$2:$G$8551,3,FALSE),"")</f>
        <v/>
      </c>
      <c r="E1583" s="392" t="str">
        <f>IFERROR(VLOOKUP(A1583,[3]DOORSCRIEFT!$A$2:$G$8551,4,FALSE),"")</f>
        <v/>
      </c>
      <c r="F1583" s="405" t="str">
        <f>IFERROR(VLOOKUP(A1583,[3]DOORSCRIEFT!$A$2:$G$8551,6,FALSE),"")</f>
        <v/>
      </c>
      <c r="G1583" s="349"/>
    </row>
    <row r="1584" spans="1:7" x14ac:dyDescent="0.25">
      <c r="A1584" s="359" t="str">
        <f t="shared" si="47"/>
        <v>I.2.2.02.025110</v>
      </c>
      <c r="B1584" s="319">
        <v>110</v>
      </c>
      <c r="C1584" s="394" t="str">
        <f>IFERROR(VLOOKUP(A1584,[3]DOORSCRIEFT!$A$2:$G$8551,2,FALSE),"")</f>
        <v/>
      </c>
      <c r="D1584" s="393" t="str">
        <f>IFERROR(VLOOKUP(A1584,[3]DOORSCRIEFT!$A$2:$G$8551,3,FALSE),"")</f>
        <v/>
      </c>
      <c r="E1584" s="392" t="str">
        <f>IFERROR(VLOOKUP(A1584,[3]DOORSCRIEFT!$A$2:$G$8551,4,FALSE),"")</f>
        <v/>
      </c>
      <c r="F1584" s="405" t="str">
        <f>IFERROR(VLOOKUP(A1584,[3]DOORSCRIEFT!$A$2:$G$8551,6,FALSE),"")</f>
        <v/>
      </c>
      <c r="G1584" s="349"/>
    </row>
    <row r="1585" spans="1:7" x14ac:dyDescent="0.25">
      <c r="A1585" s="359" t="str">
        <f t="shared" si="47"/>
        <v>I.2.2.02.025111</v>
      </c>
      <c r="B1585" s="319">
        <v>111</v>
      </c>
      <c r="C1585" s="394" t="str">
        <f>IFERROR(VLOOKUP(A1585,[3]DOORSCRIEFT!$A$2:$G$8551,2,FALSE),"")</f>
        <v/>
      </c>
      <c r="D1585" s="393" t="str">
        <f>IFERROR(VLOOKUP(A1585,[3]DOORSCRIEFT!$A$2:$G$8551,3,FALSE),"")</f>
        <v/>
      </c>
      <c r="E1585" s="392" t="str">
        <f>IFERROR(VLOOKUP(A1585,[3]DOORSCRIEFT!$A$2:$G$8551,4,FALSE),"")</f>
        <v/>
      </c>
      <c r="F1585" s="405" t="str">
        <f>IFERROR(VLOOKUP(A1585,[3]DOORSCRIEFT!$A$2:$G$8551,6,FALSE),"")</f>
        <v/>
      </c>
      <c r="G1585" s="349"/>
    </row>
    <row r="1586" spans="1:7" x14ac:dyDescent="0.25">
      <c r="A1586" s="359" t="str">
        <f t="shared" si="47"/>
        <v>I.2.2.02.025112</v>
      </c>
      <c r="B1586" s="319">
        <v>112</v>
      </c>
      <c r="C1586" s="394" t="str">
        <f>IFERROR(VLOOKUP(A1586,[3]DOORSCRIEFT!$A$2:$G$8551,2,FALSE),"")</f>
        <v/>
      </c>
      <c r="D1586" s="393" t="str">
        <f>IFERROR(VLOOKUP(A1586,[3]DOORSCRIEFT!$A$2:$G$8551,3,FALSE),"")</f>
        <v/>
      </c>
      <c r="E1586" s="392" t="str">
        <f>IFERROR(VLOOKUP(A1586,[3]DOORSCRIEFT!$A$2:$G$8551,4,FALSE),"")</f>
        <v/>
      </c>
      <c r="F1586" s="405" t="str">
        <f>IFERROR(VLOOKUP(A1586,[3]DOORSCRIEFT!$A$2:$G$8551,6,FALSE),"")</f>
        <v/>
      </c>
      <c r="G1586" s="349"/>
    </row>
    <row r="1587" spans="1:7" x14ac:dyDescent="0.25">
      <c r="A1587" s="359" t="str">
        <f t="shared" si="47"/>
        <v>I.2.2.02.025113</v>
      </c>
      <c r="B1587" s="319">
        <v>113</v>
      </c>
      <c r="C1587" s="394" t="str">
        <f>IFERROR(VLOOKUP(A1587,[3]DOORSCRIEFT!$A$2:$G$8551,2,FALSE),"")</f>
        <v/>
      </c>
      <c r="D1587" s="393" t="str">
        <f>IFERROR(VLOOKUP(A1587,[3]DOORSCRIEFT!$A$2:$G$8551,3,FALSE),"")</f>
        <v/>
      </c>
      <c r="E1587" s="392" t="str">
        <f>IFERROR(VLOOKUP(A1587,[3]DOORSCRIEFT!$A$2:$G$8551,4,FALSE),"")</f>
        <v/>
      </c>
      <c r="F1587" s="405" t="str">
        <f>IFERROR(VLOOKUP(A1587,[3]DOORSCRIEFT!$A$2:$G$8551,6,FALSE),"")</f>
        <v/>
      </c>
      <c r="G1587" s="349"/>
    </row>
    <row r="1588" spans="1:7" x14ac:dyDescent="0.25">
      <c r="A1588" s="359" t="str">
        <f t="shared" si="47"/>
        <v>I.2.2.02.025114</v>
      </c>
      <c r="B1588" s="319">
        <v>114</v>
      </c>
      <c r="C1588" s="394" t="str">
        <f>IFERROR(VLOOKUP(A1588,[3]DOORSCRIEFT!$A$2:$G$8551,2,FALSE),"")</f>
        <v/>
      </c>
      <c r="D1588" s="393" t="str">
        <f>IFERROR(VLOOKUP(A1588,[3]DOORSCRIEFT!$A$2:$G$8551,3,FALSE),"")</f>
        <v/>
      </c>
      <c r="E1588" s="392" t="str">
        <f>IFERROR(VLOOKUP(A1588,[3]DOORSCRIEFT!$A$2:$G$8551,4,FALSE),"")</f>
        <v/>
      </c>
      <c r="F1588" s="405" t="str">
        <f>IFERROR(VLOOKUP(A1588,[3]DOORSCRIEFT!$A$2:$G$8551,6,FALSE),"")</f>
        <v/>
      </c>
      <c r="G1588" s="349"/>
    </row>
    <row r="1589" spans="1:7" x14ac:dyDescent="0.25">
      <c r="A1589" s="359" t="str">
        <f t="shared" si="47"/>
        <v>I.2.2.02.025115</v>
      </c>
      <c r="B1589" s="319">
        <v>115</v>
      </c>
      <c r="C1589" s="394" t="str">
        <f>IFERROR(VLOOKUP(A1589,[3]DOORSCRIEFT!$A$2:$G$8551,2,FALSE),"")</f>
        <v/>
      </c>
      <c r="D1589" s="393" t="str">
        <f>IFERROR(VLOOKUP(A1589,[3]DOORSCRIEFT!$A$2:$G$8551,3,FALSE),"")</f>
        <v/>
      </c>
      <c r="E1589" s="392" t="str">
        <f>IFERROR(VLOOKUP(A1589,[3]DOORSCRIEFT!$A$2:$G$8551,4,FALSE),"")</f>
        <v/>
      </c>
      <c r="F1589" s="405" t="str">
        <f>IFERROR(VLOOKUP(A1589,[3]DOORSCRIEFT!$A$2:$G$8551,6,FALSE),"")</f>
        <v/>
      </c>
      <c r="G1589" s="349"/>
    </row>
    <row r="1590" spans="1:7" x14ac:dyDescent="0.25">
      <c r="A1590" s="359" t="str">
        <f t="shared" si="47"/>
        <v>I.2.2.02.025116</v>
      </c>
      <c r="B1590" s="319">
        <v>116</v>
      </c>
      <c r="C1590" s="394" t="str">
        <f>IFERROR(VLOOKUP(A1590,[3]DOORSCRIEFT!$A$2:$G$8551,2,FALSE),"")</f>
        <v/>
      </c>
      <c r="D1590" s="393" t="str">
        <f>IFERROR(VLOOKUP(A1590,[3]DOORSCRIEFT!$A$2:$G$8551,3,FALSE),"")</f>
        <v/>
      </c>
      <c r="E1590" s="392" t="str">
        <f>IFERROR(VLOOKUP(A1590,[3]DOORSCRIEFT!$A$2:$G$8551,4,FALSE),"")</f>
        <v/>
      </c>
      <c r="F1590" s="405" t="str">
        <f>IFERROR(VLOOKUP(A1590,[3]DOORSCRIEFT!$A$2:$G$8551,6,FALSE),"")</f>
        <v/>
      </c>
      <c r="G1590" s="349"/>
    </row>
    <row r="1591" spans="1:7" x14ac:dyDescent="0.25">
      <c r="A1591" s="359" t="str">
        <f t="shared" si="47"/>
        <v>I.2.2.02.025117</v>
      </c>
      <c r="B1591" s="319">
        <v>117</v>
      </c>
      <c r="C1591" s="394" t="str">
        <f>IFERROR(VLOOKUP(A1591,[3]DOORSCRIEFT!$A$2:$G$8551,2,FALSE),"")</f>
        <v/>
      </c>
      <c r="D1591" s="393" t="str">
        <f>IFERROR(VLOOKUP(A1591,[3]DOORSCRIEFT!$A$2:$G$8551,3,FALSE),"")</f>
        <v/>
      </c>
      <c r="E1591" s="392" t="str">
        <f>IFERROR(VLOOKUP(A1591,[3]DOORSCRIEFT!$A$2:$G$8551,4,FALSE),"")</f>
        <v/>
      </c>
      <c r="F1591" s="405" t="str">
        <f>IFERROR(VLOOKUP(A1591,[3]DOORSCRIEFT!$A$2:$G$8551,6,FALSE),"")</f>
        <v/>
      </c>
      <c r="G1591" s="349"/>
    </row>
    <row r="1592" spans="1:7" x14ac:dyDescent="0.25">
      <c r="A1592" s="359" t="str">
        <f t="shared" si="47"/>
        <v>I.2.2.02.025118</v>
      </c>
      <c r="B1592" s="319">
        <v>118</v>
      </c>
      <c r="C1592" s="394" t="str">
        <f>IFERROR(VLOOKUP(A1592,[3]DOORSCRIEFT!$A$2:$G$8551,2,FALSE),"")</f>
        <v/>
      </c>
      <c r="D1592" s="393" t="str">
        <f>IFERROR(VLOOKUP(A1592,[3]DOORSCRIEFT!$A$2:$G$8551,3,FALSE),"")</f>
        <v/>
      </c>
      <c r="E1592" s="392" t="str">
        <f>IFERROR(VLOOKUP(A1592,[3]DOORSCRIEFT!$A$2:$G$8551,4,FALSE),"")</f>
        <v/>
      </c>
      <c r="F1592" s="405" t="str">
        <f>IFERROR(VLOOKUP(A1592,[3]DOORSCRIEFT!$A$2:$G$8551,6,FALSE),"")</f>
        <v/>
      </c>
      <c r="G1592" s="349"/>
    </row>
    <row r="1593" spans="1:7" x14ac:dyDescent="0.25">
      <c r="A1593" s="359" t="str">
        <f t="shared" si="47"/>
        <v>I.2.2.02.025119</v>
      </c>
      <c r="B1593" s="319">
        <v>119</v>
      </c>
      <c r="C1593" s="394" t="str">
        <f>IFERROR(VLOOKUP(A1593,[3]DOORSCRIEFT!$A$2:$G$8551,2,FALSE),"")</f>
        <v/>
      </c>
      <c r="D1593" s="393" t="str">
        <f>IFERROR(VLOOKUP(A1593,[3]DOORSCRIEFT!$A$2:$G$8551,3,FALSE),"")</f>
        <v/>
      </c>
      <c r="E1593" s="392" t="str">
        <f>IFERROR(VLOOKUP(A1593,[3]DOORSCRIEFT!$A$2:$G$8551,4,FALSE),"")</f>
        <v/>
      </c>
      <c r="F1593" s="405" t="str">
        <f>IFERROR(VLOOKUP(A1593,[3]DOORSCRIEFT!$A$2:$G$8551,6,FALSE),"")</f>
        <v/>
      </c>
      <c r="G1593" s="349"/>
    </row>
    <row r="1594" spans="1:7" x14ac:dyDescent="0.25">
      <c r="A1594" s="359" t="str">
        <f t="shared" si="47"/>
        <v>I.2.2.02.025120</v>
      </c>
      <c r="B1594" s="319">
        <v>120</v>
      </c>
      <c r="C1594" s="394" t="str">
        <f>IFERROR(VLOOKUP(A1594,[3]DOORSCRIEFT!$A$2:$G$8551,2,FALSE),"")</f>
        <v/>
      </c>
      <c r="D1594" s="393" t="str">
        <f>IFERROR(VLOOKUP(A1594,[3]DOORSCRIEFT!$A$2:$G$8551,3,FALSE),"")</f>
        <v/>
      </c>
      <c r="E1594" s="392" t="str">
        <f>IFERROR(VLOOKUP(A1594,[3]DOORSCRIEFT!$A$2:$G$8551,4,FALSE),"")</f>
        <v/>
      </c>
      <c r="F1594" s="405" t="str">
        <f>IFERROR(VLOOKUP(A1594,[3]DOORSCRIEFT!$A$2:$G$8551,6,FALSE),"")</f>
        <v/>
      </c>
      <c r="G1594" s="349"/>
    </row>
    <row r="1595" spans="1:7" x14ac:dyDescent="0.25">
      <c r="A1595" s="359" t="str">
        <f t="shared" si="47"/>
        <v>I.2.2.02.025121</v>
      </c>
      <c r="B1595" s="319">
        <v>121</v>
      </c>
      <c r="C1595" s="394" t="str">
        <f>IFERROR(VLOOKUP(A1595,[3]DOORSCRIEFT!$A$2:$G$8551,2,FALSE),"")</f>
        <v/>
      </c>
      <c r="D1595" s="393" t="str">
        <f>IFERROR(VLOOKUP(A1595,[3]DOORSCRIEFT!$A$2:$G$8551,3,FALSE),"")</f>
        <v/>
      </c>
      <c r="E1595" s="392" t="str">
        <f>IFERROR(VLOOKUP(A1595,[3]DOORSCRIEFT!$A$2:$G$8551,4,FALSE),"")</f>
        <v/>
      </c>
      <c r="F1595" s="405" t="str">
        <f>IFERROR(VLOOKUP(A1595,[3]DOORSCRIEFT!$A$2:$G$8551,6,FALSE),"")</f>
        <v/>
      </c>
      <c r="G1595" s="349"/>
    </row>
    <row r="1596" spans="1:7" x14ac:dyDescent="0.25">
      <c r="A1596" s="359" t="str">
        <f t="shared" si="47"/>
        <v>I.2.2.02.025122</v>
      </c>
      <c r="B1596" s="319">
        <v>122</v>
      </c>
      <c r="C1596" s="394" t="str">
        <f>IFERROR(VLOOKUP(A1596,[3]DOORSCRIEFT!$A$2:$G$8551,2,FALSE),"")</f>
        <v/>
      </c>
      <c r="D1596" s="393" t="str">
        <f>IFERROR(VLOOKUP(A1596,[3]DOORSCRIEFT!$A$2:$G$8551,3,FALSE),"")</f>
        <v/>
      </c>
      <c r="E1596" s="392" t="str">
        <f>IFERROR(VLOOKUP(A1596,[3]DOORSCRIEFT!$A$2:$G$8551,4,FALSE),"")</f>
        <v/>
      </c>
      <c r="F1596" s="405" t="str">
        <f>IFERROR(VLOOKUP(A1596,[3]DOORSCRIEFT!$A$2:$G$8551,6,FALSE),"")</f>
        <v/>
      </c>
      <c r="G1596" s="349"/>
    </row>
    <row r="1597" spans="1:7" x14ac:dyDescent="0.25">
      <c r="A1597" s="359" t="str">
        <f t="shared" si="47"/>
        <v>I.2.2.02.025123</v>
      </c>
      <c r="B1597" s="319">
        <v>123</v>
      </c>
      <c r="C1597" s="394" t="str">
        <f>IFERROR(VLOOKUP(A1597,[3]DOORSCRIEFT!$A$2:$G$8551,2,FALSE),"")</f>
        <v/>
      </c>
      <c r="D1597" s="393" t="str">
        <f>IFERROR(VLOOKUP(A1597,[3]DOORSCRIEFT!$A$2:$G$8551,3,FALSE),"")</f>
        <v/>
      </c>
      <c r="E1597" s="392" t="str">
        <f>IFERROR(VLOOKUP(A1597,[3]DOORSCRIEFT!$A$2:$G$8551,4,FALSE),"")</f>
        <v/>
      </c>
      <c r="F1597" s="405" t="str">
        <f>IFERROR(VLOOKUP(A1597,[3]DOORSCRIEFT!$A$2:$G$8551,6,FALSE),"")</f>
        <v/>
      </c>
      <c r="G1597" s="349"/>
    </row>
    <row r="1598" spans="1:7" x14ac:dyDescent="0.25">
      <c r="A1598" s="359" t="str">
        <f t="shared" si="47"/>
        <v>I.2.2.02.025124</v>
      </c>
      <c r="B1598" s="319">
        <v>124</v>
      </c>
      <c r="C1598" s="394" t="str">
        <f>IFERROR(VLOOKUP(A1598,[3]DOORSCRIEFT!$A$2:$G$8551,2,FALSE),"")</f>
        <v/>
      </c>
      <c r="D1598" s="393" t="str">
        <f>IFERROR(VLOOKUP(A1598,[3]DOORSCRIEFT!$A$2:$G$8551,3,FALSE),"")</f>
        <v/>
      </c>
      <c r="E1598" s="392" t="str">
        <f>IFERROR(VLOOKUP(A1598,[3]DOORSCRIEFT!$A$2:$G$8551,4,FALSE),"")</f>
        <v/>
      </c>
      <c r="F1598" s="405" t="str">
        <f>IFERROR(VLOOKUP(A1598,[3]DOORSCRIEFT!$A$2:$G$8551,6,FALSE),"")</f>
        <v/>
      </c>
      <c r="G1598" s="349"/>
    </row>
    <row r="1599" spans="1:7" x14ac:dyDescent="0.25">
      <c r="A1599" s="359" t="str">
        <f t="shared" si="47"/>
        <v>I.2.2.02.025125</v>
      </c>
      <c r="B1599" s="319">
        <v>125</v>
      </c>
      <c r="C1599" s="394" t="str">
        <f>IFERROR(VLOOKUP(A1599,[3]DOORSCRIEFT!$A$2:$G$8551,2,FALSE),"")</f>
        <v/>
      </c>
      <c r="D1599" s="393" t="str">
        <f>IFERROR(VLOOKUP(A1599,[3]DOORSCRIEFT!$A$2:$G$8551,3,FALSE),"")</f>
        <v/>
      </c>
      <c r="E1599" s="392" t="str">
        <f>IFERROR(VLOOKUP(A1599,[3]DOORSCRIEFT!$A$2:$G$8551,4,FALSE),"")</f>
        <v/>
      </c>
      <c r="F1599" s="405" t="str">
        <f>IFERROR(VLOOKUP(A1599,[3]DOORSCRIEFT!$A$2:$G$8551,6,FALSE),"")</f>
        <v/>
      </c>
      <c r="G1599" s="349"/>
    </row>
    <row r="1600" spans="1:7" x14ac:dyDescent="0.25">
      <c r="A1600" s="359" t="str">
        <f t="shared" si="47"/>
        <v>I.2.2.02.025126</v>
      </c>
      <c r="B1600" s="319">
        <v>126</v>
      </c>
      <c r="C1600" s="394" t="str">
        <f>IFERROR(VLOOKUP(A1600,[3]DOORSCRIEFT!$A$2:$G$8551,2,FALSE),"")</f>
        <v/>
      </c>
      <c r="D1600" s="393" t="str">
        <f>IFERROR(VLOOKUP(A1600,[3]DOORSCRIEFT!$A$2:$G$8551,3,FALSE),"")</f>
        <v/>
      </c>
      <c r="E1600" s="392" t="str">
        <f>IFERROR(VLOOKUP(A1600,[3]DOORSCRIEFT!$A$2:$G$8551,4,FALSE),"")</f>
        <v/>
      </c>
      <c r="F1600" s="405" t="str">
        <f>IFERROR(VLOOKUP(A1600,[3]DOORSCRIEFT!$A$2:$G$8551,6,FALSE),"")</f>
        <v/>
      </c>
      <c r="G1600" s="349"/>
    </row>
    <row r="1601" spans="1:7" x14ac:dyDescent="0.25">
      <c r="A1601" s="359" t="str">
        <f t="shared" si="47"/>
        <v>I.2.2.02.025127</v>
      </c>
      <c r="B1601" s="319">
        <v>127</v>
      </c>
      <c r="C1601" s="394" t="str">
        <f>IFERROR(VLOOKUP(A1601,[3]DOORSCRIEFT!$A$2:$G$8551,2,FALSE),"")</f>
        <v/>
      </c>
      <c r="D1601" s="393" t="str">
        <f>IFERROR(VLOOKUP(A1601,[3]DOORSCRIEFT!$A$2:$G$8551,3,FALSE),"")</f>
        <v/>
      </c>
      <c r="E1601" s="392" t="str">
        <f>IFERROR(VLOOKUP(A1601,[3]DOORSCRIEFT!$A$2:$G$8551,4,FALSE),"")</f>
        <v/>
      </c>
      <c r="F1601" s="405" t="str">
        <f>IFERROR(VLOOKUP(A1601,[3]DOORSCRIEFT!$A$2:$G$8551,6,FALSE),"")</f>
        <v/>
      </c>
      <c r="G1601" s="349"/>
    </row>
    <row r="1602" spans="1:7" x14ac:dyDescent="0.25">
      <c r="A1602" s="359" t="str">
        <f t="shared" si="47"/>
        <v>I.2.2.02.025128</v>
      </c>
      <c r="B1602" s="319">
        <v>128</v>
      </c>
      <c r="C1602" s="394" t="str">
        <f>IFERROR(VLOOKUP(A1602,[3]DOORSCRIEFT!$A$2:$G$8551,2,FALSE),"")</f>
        <v/>
      </c>
      <c r="D1602" s="393" t="str">
        <f>IFERROR(VLOOKUP(A1602,[3]DOORSCRIEFT!$A$2:$G$8551,3,FALSE),"")</f>
        <v/>
      </c>
      <c r="E1602" s="392" t="str">
        <f>IFERROR(VLOOKUP(A1602,[3]DOORSCRIEFT!$A$2:$G$8551,4,FALSE),"")</f>
        <v/>
      </c>
      <c r="F1602" s="405" t="str">
        <f>IFERROR(VLOOKUP(A1602,[3]DOORSCRIEFT!$A$2:$G$8551,6,FALSE),"")</f>
        <v/>
      </c>
      <c r="G1602" s="349"/>
    </row>
    <row r="1603" spans="1:7" x14ac:dyDescent="0.25">
      <c r="A1603" s="359" t="str">
        <f t="shared" ref="A1603:A1634" si="48">$G$1468&amp;B1603</f>
        <v>I.2.2.02.025129</v>
      </c>
      <c r="B1603" s="319">
        <v>129</v>
      </c>
      <c r="C1603" s="394" t="str">
        <f>IFERROR(VLOOKUP(A1603,[3]DOORSCRIEFT!$A$2:$G$8551,2,FALSE),"")</f>
        <v/>
      </c>
      <c r="D1603" s="393" t="str">
        <f>IFERROR(VLOOKUP(A1603,[3]DOORSCRIEFT!$A$2:$G$8551,3,FALSE),"")</f>
        <v/>
      </c>
      <c r="E1603" s="392" t="str">
        <f>IFERROR(VLOOKUP(A1603,[3]DOORSCRIEFT!$A$2:$G$8551,4,FALSE),"")</f>
        <v/>
      </c>
      <c r="F1603" s="405" t="str">
        <f>IFERROR(VLOOKUP(A1603,[3]DOORSCRIEFT!$A$2:$G$8551,6,FALSE),"")</f>
        <v/>
      </c>
      <c r="G1603" s="349"/>
    </row>
    <row r="1604" spans="1:7" x14ac:dyDescent="0.25">
      <c r="A1604" s="359" t="str">
        <f t="shared" si="48"/>
        <v>I.2.2.02.025130</v>
      </c>
      <c r="B1604" s="319">
        <v>130</v>
      </c>
      <c r="C1604" s="394" t="str">
        <f>IFERROR(VLOOKUP(A1604,[3]DOORSCRIEFT!$A$2:$G$8551,2,FALSE),"")</f>
        <v/>
      </c>
      <c r="D1604" s="393" t="str">
        <f>IFERROR(VLOOKUP(A1604,[3]DOORSCRIEFT!$A$2:$G$8551,3,FALSE),"")</f>
        <v/>
      </c>
      <c r="E1604" s="392" t="str">
        <f>IFERROR(VLOOKUP(A1604,[3]DOORSCRIEFT!$A$2:$G$8551,4,FALSE),"")</f>
        <v/>
      </c>
      <c r="F1604" s="405" t="str">
        <f>IFERROR(VLOOKUP(A1604,[3]DOORSCRIEFT!$A$2:$G$8551,6,FALSE),"")</f>
        <v/>
      </c>
      <c r="G1604" s="349"/>
    </row>
    <row r="1605" spans="1:7" x14ac:dyDescent="0.25">
      <c r="A1605" s="359" t="str">
        <f t="shared" si="48"/>
        <v>I.2.2.02.025131</v>
      </c>
      <c r="B1605" s="319">
        <v>131</v>
      </c>
      <c r="C1605" s="394" t="str">
        <f>IFERROR(VLOOKUP(A1605,[3]DOORSCRIEFT!$A$2:$G$8551,2,FALSE),"")</f>
        <v/>
      </c>
      <c r="D1605" s="393" t="str">
        <f>IFERROR(VLOOKUP(A1605,[3]DOORSCRIEFT!$A$2:$G$8551,3,FALSE),"")</f>
        <v/>
      </c>
      <c r="E1605" s="392" t="str">
        <f>IFERROR(VLOOKUP(A1605,[3]DOORSCRIEFT!$A$2:$G$8551,4,FALSE),"")</f>
        <v/>
      </c>
      <c r="F1605" s="405" t="str">
        <f>IFERROR(VLOOKUP(A1605,[3]DOORSCRIEFT!$A$2:$G$8551,6,FALSE),"")</f>
        <v/>
      </c>
      <c r="G1605" s="349"/>
    </row>
    <row r="1606" spans="1:7" x14ac:dyDescent="0.25">
      <c r="A1606" s="359" t="str">
        <f t="shared" si="48"/>
        <v>I.2.2.02.025132</v>
      </c>
      <c r="B1606" s="319">
        <v>132</v>
      </c>
      <c r="C1606" s="394" t="str">
        <f>IFERROR(VLOOKUP(A1606,[3]DOORSCRIEFT!$A$2:$G$8551,2,FALSE),"")</f>
        <v/>
      </c>
      <c r="D1606" s="393" t="str">
        <f>IFERROR(VLOOKUP(A1606,[3]DOORSCRIEFT!$A$2:$G$8551,3,FALSE),"")</f>
        <v/>
      </c>
      <c r="E1606" s="392" t="str">
        <f>IFERROR(VLOOKUP(A1606,[3]DOORSCRIEFT!$A$2:$G$8551,4,FALSE),"")</f>
        <v/>
      </c>
      <c r="F1606" s="405" t="str">
        <f>IFERROR(VLOOKUP(A1606,[3]DOORSCRIEFT!$A$2:$G$8551,6,FALSE),"")</f>
        <v/>
      </c>
      <c r="G1606" s="349"/>
    </row>
    <row r="1607" spans="1:7" x14ac:dyDescent="0.25">
      <c r="A1607" s="359" t="str">
        <f t="shared" si="48"/>
        <v>I.2.2.02.025133</v>
      </c>
      <c r="B1607" s="319">
        <v>133</v>
      </c>
      <c r="C1607" s="394" t="str">
        <f>IFERROR(VLOOKUP(A1607,[3]DOORSCRIEFT!$A$2:$G$8551,2,FALSE),"")</f>
        <v/>
      </c>
      <c r="D1607" s="393" t="str">
        <f>IFERROR(VLOOKUP(A1607,[3]DOORSCRIEFT!$A$2:$G$8551,3,FALSE),"")</f>
        <v/>
      </c>
      <c r="E1607" s="392" t="str">
        <f>IFERROR(VLOOKUP(A1607,[3]DOORSCRIEFT!$A$2:$G$8551,4,FALSE),"")</f>
        <v/>
      </c>
      <c r="F1607" s="405" t="str">
        <f>IFERROR(VLOOKUP(A1607,[3]DOORSCRIEFT!$A$2:$G$8551,6,FALSE),"")</f>
        <v/>
      </c>
      <c r="G1607" s="349"/>
    </row>
    <row r="1608" spans="1:7" x14ac:dyDescent="0.25">
      <c r="A1608" s="359" t="str">
        <f t="shared" si="48"/>
        <v>I.2.2.02.025134</v>
      </c>
      <c r="B1608" s="319">
        <v>134</v>
      </c>
      <c r="C1608" s="394" t="str">
        <f>IFERROR(VLOOKUP(A1608,[3]DOORSCRIEFT!$A$2:$G$8551,2,FALSE),"")</f>
        <v/>
      </c>
      <c r="D1608" s="393" t="str">
        <f>IFERROR(VLOOKUP(A1608,[3]DOORSCRIEFT!$A$2:$G$8551,3,FALSE),"")</f>
        <v/>
      </c>
      <c r="E1608" s="392" t="str">
        <f>IFERROR(VLOOKUP(A1608,[3]DOORSCRIEFT!$A$2:$G$8551,4,FALSE),"")</f>
        <v/>
      </c>
      <c r="F1608" s="405" t="str">
        <f>IFERROR(VLOOKUP(A1608,[3]DOORSCRIEFT!$A$2:$G$8551,6,FALSE),"")</f>
        <v/>
      </c>
      <c r="G1608" s="349"/>
    </row>
    <row r="1609" spans="1:7" x14ac:dyDescent="0.25">
      <c r="A1609" s="359" t="str">
        <f t="shared" si="48"/>
        <v>I.2.2.02.025135</v>
      </c>
      <c r="B1609" s="319">
        <v>135</v>
      </c>
      <c r="C1609" s="394" t="str">
        <f>IFERROR(VLOOKUP(A1609,[3]DOORSCRIEFT!$A$2:$G$8551,2,FALSE),"")</f>
        <v/>
      </c>
      <c r="D1609" s="393" t="str">
        <f>IFERROR(VLOOKUP(A1609,[3]DOORSCRIEFT!$A$2:$G$8551,3,FALSE),"")</f>
        <v/>
      </c>
      <c r="E1609" s="392" t="str">
        <f>IFERROR(VLOOKUP(A1609,[3]DOORSCRIEFT!$A$2:$G$8551,4,FALSE),"")</f>
        <v/>
      </c>
      <c r="F1609" s="405" t="str">
        <f>IFERROR(VLOOKUP(A1609,[3]DOORSCRIEFT!$A$2:$G$8551,6,FALSE),"")</f>
        <v/>
      </c>
      <c r="G1609" s="349"/>
    </row>
    <row r="1610" spans="1:7" ht="15.75" thickBot="1" x14ac:dyDescent="0.3">
      <c r="A1610" s="390" t="str">
        <f t="shared" si="48"/>
        <v>I.2.2.02.025136</v>
      </c>
      <c r="B1610" s="345">
        <v>136</v>
      </c>
      <c r="C1610" s="394" t="str">
        <f>IFERROR(VLOOKUP(A1610,[3]DOORSCRIEFT!$A$2:$G$8551,2,FALSE),"")</f>
        <v/>
      </c>
      <c r="D1610" s="393" t="str">
        <f>IFERROR(VLOOKUP(A1610,[3]DOORSCRIEFT!$A$2:$G$8551,3,FALSE),"")</f>
        <v/>
      </c>
      <c r="E1610" s="392" t="str">
        <f>IFERROR(VLOOKUP(A1610,[3]DOORSCRIEFT!$A$2:$G$8551,4,FALSE),"")</f>
        <v/>
      </c>
      <c r="F1610" s="405" t="str">
        <f>IFERROR(VLOOKUP(A1610,[3]DOORSCRIEFT!$A$2:$G$8551,6,FALSE),"")</f>
        <v/>
      </c>
      <c r="G1610" s="315"/>
    </row>
    <row r="1611" spans="1:7" ht="15.75" thickBot="1" x14ac:dyDescent="0.3">
      <c r="A1611" s="358"/>
      <c r="B1611" s="357"/>
      <c r="C1611" s="407"/>
      <c r="D1611" s="312"/>
      <c r="E1611" s="311" t="s">
        <v>644</v>
      </c>
      <c r="F1611" s="310">
        <f>SUM(F1475:F1610)</f>
        <v>7727000</v>
      </c>
      <c r="G1611" s="309">
        <f>SUM(G1475:G1579)</f>
        <v>0</v>
      </c>
    </row>
    <row r="1614" spans="1:7" ht="15.75" x14ac:dyDescent="0.25">
      <c r="C1614" s="332"/>
      <c r="D1614" s="333"/>
      <c r="E1614" s="332"/>
      <c r="F1614" s="327" t="s">
        <v>607</v>
      </c>
      <c r="G1614" s="327" t="s">
        <v>496</v>
      </c>
    </row>
    <row r="1615" spans="1:7" ht="15.75" x14ac:dyDescent="0.25">
      <c r="C1615" s="332"/>
      <c r="D1615" s="333"/>
      <c r="E1615" s="332"/>
      <c r="F1615" s="327" t="s">
        <v>601</v>
      </c>
      <c r="G1615" s="327" t="s">
        <v>495</v>
      </c>
    </row>
    <row r="1616" spans="1:7" x14ac:dyDescent="0.25">
      <c r="C1616" s="328"/>
      <c r="D1616" s="329"/>
      <c r="E1616" s="328"/>
      <c r="F1616" s="327" t="s">
        <v>651</v>
      </c>
      <c r="G1616" s="331">
        <f>[2]Sheet1!$D$52</f>
        <v>10000000</v>
      </c>
    </row>
    <row r="1617" spans="1:7" ht="15.75" thickBot="1" x14ac:dyDescent="0.3">
      <c r="C1617" s="328"/>
      <c r="D1617" s="329"/>
      <c r="E1617" s="328"/>
      <c r="F1617" s="327" t="s">
        <v>650</v>
      </c>
      <c r="G1617" s="326">
        <f>+F1666-G1616</f>
        <v>-9083000</v>
      </c>
    </row>
    <row r="1618" spans="1:7" x14ac:dyDescent="0.25">
      <c r="A1618" s="571" t="s">
        <v>626</v>
      </c>
      <c r="B1618" s="573" t="s">
        <v>606</v>
      </c>
      <c r="C1618" s="588" t="s">
        <v>649</v>
      </c>
      <c r="D1618" s="577" t="s">
        <v>648</v>
      </c>
      <c r="E1618" s="577" t="s">
        <v>647</v>
      </c>
      <c r="F1618" s="577" t="s">
        <v>646</v>
      </c>
      <c r="G1618" s="580" t="s">
        <v>645</v>
      </c>
    </row>
    <row r="1619" spans="1:7" ht="15.75" thickBot="1" x14ac:dyDescent="0.3">
      <c r="A1619" s="572"/>
      <c r="B1619" s="574"/>
      <c r="C1619" s="589"/>
      <c r="D1619" s="586"/>
      <c r="E1619" s="586"/>
      <c r="F1619" s="586"/>
      <c r="G1619" s="587"/>
    </row>
    <row r="1620" spans="1:7" ht="15.75" thickBot="1" x14ac:dyDescent="0.3">
      <c r="A1620" s="325">
        <v>1</v>
      </c>
      <c r="B1620" s="324">
        <v>2</v>
      </c>
      <c r="C1620" s="324">
        <v>3</v>
      </c>
      <c r="D1620" s="324">
        <v>4</v>
      </c>
      <c r="E1620" s="324">
        <v>5</v>
      </c>
      <c r="F1620" s="324">
        <v>6</v>
      </c>
      <c r="G1620" s="323">
        <v>7</v>
      </c>
    </row>
    <row r="1621" spans="1:7" x14ac:dyDescent="0.25">
      <c r="A1621" s="339" t="str">
        <f t="shared" ref="A1621:A1665" si="49">$G$1614&amp;B1621</f>
        <v>I.2.2.02.0261</v>
      </c>
      <c r="B1621" s="339">
        <v>1</v>
      </c>
      <c r="C1621" s="394">
        <f>IFERROR(VLOOKUP(A1621,[3]DOORSCRIEFT!$A$2:$G$8551,2,FALSE),"")</f>
        <v>56</v>
      </c>
      <c r="D1621" s="393">
        <f>IFERROR(VLOOKUP(A1621,[3]DOORSCRIEFT!$A$2:$G$8551,3,FALSE),"")</f>
        <v>46033</v>
      </c>
      <c r="E1621" s="392" t="str">
        <f>IFERROR(VLOOKUP(A1621,[3]DOORSCRIEFT!$A$2:$G$8551,4,FALSE),"")</f>
        <v>Kolekta Katekisasi Gereja SK</v>
      </c>
      <c r="F1621" s="405">
        <f>IFERROR(VLOOKUP(A1621,[3]DOORSCRIEFT!$A$2:$G$8551,6,FALSE),"")</f>
        <v>99000</v>
      </c>
      <c r="G1621" s="322"/>
    </row>
    <row r="1622" spans="1:7" x14ac:dyDescent="0.25">
      <c r="A1622" s="339" t="str">
        <f t="shared" si="49"/>
        <v>I.2.2.02.0262</v>
      </c>
      <c r="B1622" s="319">
        <v>2</v>
      </c>
      <c r="C1622" s="394">
        <f>IFERROR(VLOOKUP(A1622,[3]DOORSCRIEFT!$A$2:$G$8551,2,FALSE),"")</f>
        <v>62</v>
      </c>
      <c r="D1622" s="393">
        <f>IFERROR(VLOOKUP(A1622,[3]DOORSCRIEFT!$A$2:$G$8551,3,FALSE),"")</f>
        <v>46038</v>
      </c>
      <c r="E1622" s="392" t="str">
        <f>IFERROR(VLOOKUP(A1622,[3]DOORSCRIEFT!$A$2:$G$8551,4,FALSE),"")</f>
        <v>Kolekta katekisasi Gereja Baitrafa</v>
      </c>
      <c r="F1622" s="405">
        <f>IFERROR(VLOOKUP(A1622,[3]DOORSCRIEFT!$A$2:$G$8551,6,FALSE),"")</f>
        <v>61000</v>
      </c>
      <c r="G1622" s="315"/>
    </row>
    <row r="1623" spans="1:7" x14ac:dyDescent="0.25">
      <c r="A1623" s="339" t="str">
        <f t="shared" si="49"/>
        <v>I.2.2.02.0263</v>
      </c>
      <c r="B1623" s="339">
        <v>3</v>
      </c>
      <c r="C1623" s="394">
        <f>IFERROR(VLOOKUP(A1623,[3]DOORSCRIEFT!$A$2:$G$8551,2,FALSE),"")</f>
        <v>132</v>
      </c>
      <c r="D1623" s="393">
        <f>IFERROR(VLOOKUP(A1623,[3]DOORSCRIEFT!$A$2:$G$8551,3,FALSE),"")</f>
        <v>46052</v>
      </c>
      <c r="E1623" s="392" t="str">
        <f>IFERROR(VLOOKUP(A1623,[3]DOORSCRIEFT!$A$2:$G$8551,4,FALSE),"")</f>
        <v>Kolekta Katekisasi Gereja SK</v>
      </c>
      <c r="F1623" s="405">
        <f>IFERROR(VLOOKUP(A1623,[3]DOORSCRIEFT!$A$2:$G$8551,6,FALSE),"")</f>
        <v>272000</v>
      </c>
      <c r="G1623" s="315"/>
    </row>
    <row r="1624" spans="1:7" x14ac:dyDescent="0.25">
      <c r="A1624" s="339" t="str">
        <f t="shared" si="49"/>
        <v>I.2.2.02.0264</v>
      </c>
      <c r="B1624" s="319">
        <v>4</v>
      </c>
      <c r="C1624" s="394">
        <f>IFERROR(VLOOKUP(A1624,[3]DOORSCRIEFT!$A$2:$G$8551,2,FALSE),"")</f>
        <v>193</v>
      </c>
      <c r="D1624" s="393">
        <f>IFERROR(VLOOKUP(A1624,[3]DOORSCRIEFT!$A$2:$G$8551,3,FALSE),"")</f>
        <v>46066</v>
      </c>
      <c r="E1624" s="392" t="str">
        <f>IFERROR(VLOOKUP(A1624,[3]DOORSCRIEFT!$A$2:$G$8551,4,FALSE),"")</f>
        <v>Kolekta Kebaktian Katekisasi</v>
      </c>
      <c r="F1624" s="405">
        <f>IFERROR(VLOOKUP(A1624,[3]DOORSCRIEFT!$A$2:$G$8551,6,FALSE),"")</f>
        <v>124000</v>
      </c>
      <c r="G1624" s="315"/>
    </row>
    <row r="1625" spans="1:7" x14ac:dyDescent="0.25">
      <c r="A1625" s="339" t="str">
        <f t="shared" si="49"/>
        <v>I.2.2.02.0265</v>
      </c>
      <c r="B1625" s="339">
        <v>5</v>
      </c>
      <c r="C1625" s="394">
        <f>IFERROR(VLOOKUP(A1625,[3]DOORSCRIEFT!$A$2:$G$8551,2,FALSE),"")</f>
        <v>255</v>
      </c>
      <c r="D1625" s="393">
        <f>IFERROR(VLOOKUP(A1625,[3]DOORSCRIEFT!$A$2:$G$8551,3,FALSE),"")</f>
        <v>46075</v>
      </c>
      <c r="E1625" s="392" t="str">
        <f>IFERROR(VLOOKUP(A1625,[3]DOORSCRIEFT!$A$2:$G$8551,4,FALSE),"")</f>
        <v>Kolekta Kebaktian Katekisasi Gereja Baitrafa</v>
      </c>
      <c r="F1625" s="405">
        <f>IFERROR(VLOOKUP(A1625,[3]DOORSCRIEFT!$A$2:$G$8551,6,FALSE),"")</f>
        <v>23000</v>
      </c>
      <c r="G1625" s="315"/>
    </row>
    <row r="1626" spans="1:7" x14ac:dyDescent="0.25">
      <c r="A1626" s="339" t="str">
        <f t="shared" si="49"/>
        <v>I.2.2.02.0266</v>
      </c>
      <c r="B1626" s="319">
        <v>6</v>
      </c>
      <c r="C1626" s="394">
        <f>IFERROR(VLOOKUP(A1626,[3]DOORSCRIEFT!$A$2:$G$8551,2,FALSE),"")</f>
        <v>292</v>
      </c>
      <c r="D1626" s="393">
        <f>IFERROR(VLOOKUP(A1626,[3]DOORSCRIEFT!$A$2:$G$8551,3,FALSE),"")</f>
        <v>46087</v>
      </c>
      <c r="E1626" s="392" t="str">
        <f>IFERROR(VLOOKUP(A1626,[3]DOORSCRIEFT!$A$2:$G$8551,4,FALSE),"")</f>
        <v>Kolekta Katekisasi</v>
      </c>
      <c r="F1626" s="405">
        <f>IFERROR(VLOOKUP(A1626,[3]DOORSCRIEFT!$A$2:$G$8551,6,FALSE),"")</f>
        <v>97000</v>
      </c>
      <c r="G1626" s="315"/>
    </row>
    <row r="1627" spans="1:7" x14ac:dyDescent="0.25">
      <c r="A1627" s="339" t="str">
        <f t="shared" si="49"/>
        <v>I.2.2.02.0267</v>
      </c>
      <c r="B1627" s="339">
        <v>7</v>
      </c>
      <c r="C1627" s="394">
        <f>IFERROR(VLOOKUP(A1627,[3]DOORSCRIEFT!$A$2:$G$8551,2,FALSE),"")</f>
        <v>341</v>
      </c>
      <c r="D1627" s="393">
        <f>IFERROR(VLOOKUP(A1627,[3]DOORSCRIEFT!$A$2:$G$8551,3,FALSE),"")</f>
        <v>46094</v>
      </c>
      <c r="E1627" s="392" t="str">
        <f>IFERROR(VLOOKUP(A1627,[3]DOORSCRIEFT!$A$2:$G$8551,4,FALSE),"")</f>
        <v>Kolekta Kebaktian Katekisasi di Gereja Baitrafa</v>
      </c>
      <c r="F1627" s="405">
        <f>IFERROR(VLOOKUP(A1627,[3]DOORSCRIEFT!$A$2:$G$8551,6,FALSE),"")</f>
        <v>76000</v>
      </c>
      <c r="G1627" s="315"/>
    </row>
    <row r="1628" spans="1:7" x14ac:dyDescent="0.25">
      <c r="A1628" s="339" t="str">
        <f t="shared" si="49"/>
        <v>I.2.2.02.0268</v>
      </c>
      <c r="B1628" s="319">
        <v>8</v>
      </c>
      <c r="C1628" s="394">
        <f>IFERROR(VLOOKUP(A1628,[3]DOORSCRIEFT!$A$2:$G$8551,2,FALSE),"")</f>
        <v>429</v>
      </c>
      <c r="D1628" s="393">
        <f>IFERROR(VLOOKUP(A1628,[3]DOORSCRIEFT!$A$2:$G$8551,3,FALSE),"")</f>
        <v>46103</v>
      </c>
      <c r="E1628" s="392" t="str">
        <f>IFERROR(VLOOKUP(A1628,[3]DOORSCRIEFT!$A$2:$G$8551,4,FALSE),"")</f>
        <v>Kolekta Kebaktian Katekisasi</v>
      </c>
      <c r="F1628" s="405">
        <f>IFERROR(VLOOKUP(A1628,[3]DOORSCRIEFT!$A$2:$G$8551,6,FALSE),"")</f>
        <v>165000</v>
      </c>
      <c r="G1628" s="315"/>
    </row>
    <row r="1629" spans="1:7" x14ac:dyDescent="0.25">
      <c r="A1629" s="339" t="str">
        <f t="shared" si="49"/>
        <v>I.2.2.02.0269</v>
      </c>
      <c r="B1629" s="339">
        <v>9</v>
      </c>
      <c r="C1629" s="394" t="str">
        <f>IFERROR(VLOOKUP(A1629,[3]DOORSCRIEFT!$A$2:$G$8551,2,FALSE),"")</f>
        <v/>
      </c>
      <c r="D1629" s="393" t="str">
        <f>IFERROR(VLOOKUP(A1629,[3]DOORSCRIEFT!$A$2:$G$8551,3,FALSE),"")</f>
        <v/>
      </c>
      <c r="E1629" s="392" t="str">
        <f>IFERROR(VLOOKUP(A1629,[3]DOORSCRIEFT!$A$2:$G$8551,4,FALSE),"")</f>
        <v/>
      </c>
      <c r="F1629" s="405" t="str">
        <f>IFERROR(VLOOKUP(A1629,[3]DOORSCRIEFT!$A$2:$G$8551,6,FALSE),"")</f>
        <v/>
      </c>
      <c r="G1629" s="315"/>
    </row>
    <row r="1630" spans="1:7" x14ac:dyDescent="0.25">
      <c r="A1630" s="339" t="str">
        <f t="shared" si="49"/>
        <v>I.2.2.02.02610</v>
      </c>
      <c r="B1630" s="319">
        <v>10</v>
      </c>
      <c r="C1630" s="394" t="str">
        <f>IFERROR(VLOOKUP(A1630,[3]DOORSCRIEFT!$A$2:$G$8551,2,FALSE),"")</f>
        <v/>
      </c>
      <c r="D1630" s="393" t="str">
        <f>IFERROR(VLOOKUP(A1630,[3]DOORSCRIEFT!$A$2:$G$8551,3,FALSE),"")</f>
        <v/>
      </c>
      <c r="E1630" s="392" t="str">
        <f>IFERROR(VLOOKUP(A1630,[3]DOORSCRIEFT!$A$2:$G$8551,4,FALSE),"")</f>
        <v/>
      </c>
      <c r="F1630" s="405" t="str">
        <f>IFERROR(VLOOKUP(A1630,[3]DOORSCRIEFT!$A$2:$G$8551,6,FALSE),"")</f>
        <v/>
      </c>
      <c r="G1630" s="315"/>
    </row>
    <row r="1631" spans="1:7" x14ac:dyDescent="0.25">
      <c r="A1631" s="339" t="str">
        <f t="shared" si="49"/>
        <v>I.2.2.02.02611</v>
      </c>
      <c r="B1631" s="339">
        <v>11</v>
      </c>
      <c r="C1631" s="394" t="str">
        <f>IFERROR(VLOOKUP(A1631,[3]DOORSCRIEFT!$A$2:$G$8551,2,FALSE),"")</f>
        <v/>
      </c>
      <c r="D1631" s="393" t="str">
        <f>IFERROR(VLOOKUP(A1631,[3]DOORSCRIEFT!$A$2:$G$8551,3,FALSE),"")</f>
        <v/>
      </c>
      <c r="E1631" s="392" t="str">
        <f>IFERROR(VLOOKUP(A1631,[3]DOORSCRIEFT!$A$2:$G$8551,4,FALSE),"")</f>
        <v/>
      </c>
      <c r="F1631" s="405" t="str">
        <f>IFERROR(VLOOKUP(A1631,[3]DOORSCRIEFT!$A$2:$G$8551,6,FALSE),"")</f>
        <v/>
      </c>
      <c r="G1631" s="315"/>
    </row>
    <row r="1632" spans="1:7" x14ac:dyDescent="0.25">
      <c r="A1632" s="339" t="str">
        <f t="shared" si="49"/>
        <v>I.2.2.02.02612</v>
      </c>
      <c r="B1632" s="319">
        <v>12</v>
      </c>
      <c r="C1632" s="394" t="str">
        <f>IFERROR(VLOOKUP(A1632,[3]DOORSCRIEFT!$A$2:$G$8551,2,FALSE),"")</f>
        <v/>
      </c>
      <c r="D1632" s="393" t="str">
        <f>IFERROR(VLOOKUP(A1632,[3]DOORSCRIEFT!$A$2:$G$8551,3,FALSE),"")</f>
        <v/>
      </c>
      <c r="E1632" s="392" t="str">
        <f>IFERROR(VLOOKUP(A1632,[3]DOORSCRIEFT!$A$2:$G$8551,4,FALSE),"")</f>
        <v/>
      </c>
      <c r="F1632" s="405" t="str">
        <f>IFERROR(VLOOKUP(A1632,[3]DOORSCRIEFT!$A$2:$G$8551,6,FALSE),"")</f>
        <v/>
      </c>
      <c r="G1632" s="315"/>
    </row>
    <row r="1633" spans="1:7" x14ac:dyDescent="0.25">
      <c r="A1633" s="339" t="str">
        <f t="shared" si="49"/>
        <v>I.2.2.02.02613</v>
      </c>
      <c r="B1633" s="339">
        <v>13</v>
      </c>
      <c r="C1633" s="394" t="str">
        <f>IFERROR(VLOOKUP(A1633,[3]DOORSCRIEFT!$A$2:$G$8551,2,FALSE),"")</f>
        <v/>
      </c>
      <c r="D1633" s="393" t="str">
        <f>IFERROR(VLOOKUP(A1633,[3]DOORSCRIEFT!$A$2:$G$8551,3,FALSE),"")</f>
        <v/>
      </c>
      <c r="E1633" s="392" t="str">
        <f>IFERROR(VLOOKUP(A1633,[3]DOORSCRIEFT!$A$2:$G$8551,4,FALSE),"")</f>
        <v/>
      </c>
      <c r="F1633" s="405" t="str">
        <f>IFERROR(VLOOKUP(A1633,[3]DOORSCRIEFT!$A$2:$G$8551,6,FALSE),"")</f>
        <v/>
      </c>
      <c r="G1633" s="315"/>
    </row>
    <row r="1634" spans="1:7" x14ac:dyDescent="0.25">
      <c r="A1634" s="339" t="str">
        <f t="shared" si="49"/>
        <v>I.2.2.02.02614</v>
      </c>
      <c r="B1634" s="319">
        <v>14</v>
      </c>
      <c r="C1634" s="394" t="str">
        <f>IFERROR(VLOOKUP(A1634,[3]DOORSCRIEFT!$A$2:$G$8551,2,FALSE),"")</f>
        <v/>
      </c>
      <c r="D1634" s="393" t="str">
        <f>IFERROR(VLOOKUP(A1634,[3]DOORSCRIEFT!$A$2:$G$8551,3,FALSE),"")</f>
        <v/>
      </c>
      <c r="E1634" s="392" t="str">
        <f>IFERROR(VLOOKUP(A1634,[3]DOORSCRIEFT!$A$2:$G$8551,4,FALSE),"")</f>
        <v/>
      </c>
      <c r="F1634" s="405" t="str">
        <f>IFERROR(VLOOKUP(A1634,[3]DOORSCRIEFT!$A$2:$G$8551,6,FALSE),"")</f>
        <v/>
      </c>
      <c r="G1634" s="315"/>
    </row>
    <row r="1635" spans="1:7" x14ac:dyDescent="0.25">
      <c r="A1635" s="339" t="str">
        <f t="shared" si="49"/>
        <v>I.2.2.02.02615</v>
      </c>
      <c r="B1635" s="339">
        <v>15</v>
      </c>
      <c r="C1635" s="394" t="str">
        <f>IFERROR(VLOOKUP(A1635,[3]DOORSCRIEFT!$A$2:$G$8551,2,FALSE),"")</f>
        <v/>
      </c>
      <c r="D1635" s="393" t="str">
        <f>IFERROR(VLOOKUP(A1635,[3]DOORSCRIEFT!$A$2:$G$8551,3,FALSE),"")</f>
        <v/>
      </c>
      <c r="E1635" s="392" t="str">
        <f>IFERROR(VLOOKUP(A1635,[3]DOORSCRIEFT!$A$2:$G$8551,4,FALSE),"")</f>
        <v/>
      </c>
      <c r="F1635" s="405" t="str">
        <f>IFERROR(VLOOKUP(A1635,[3]DOORSCRIEFT!$A$2:$G$8551,6,FALSE),"")</f>
        <v/>
      </c>
      <c r="G1635" s="315"/>
    </row>
    <row r="1636" spans="1:7" x14ac:dyDescent="0.25">
      <c r="A1636" s="339" t="str">
        <f t="shared" si="49"/>
        <v>I.2.2.02.02616</v>
      </c>
      <c r="B1636" s="319">
        <v>16</v>
      </c>
      <c r="C1636" s="394" t="str">
        <f>IFERROR(VLOOKUP(A1636,[3]DOORSCRIEFT!$A$2:$G$8551,2,FALSE),"")</f>
        <v/>
      </c>
      <c r="D1636" s="393" t="str">
        <f>IFERROR(VLOOKUP(A1636,[3]DOORSCRIEFT!$A$2:$G$8551,3,FALSE),"")</f>
        <v/>
      </c>
      <c r="E1636" s="392" t="str">
        <f>IFERROR(VLOOKUP(A1636,[3]DOORSCRIEFT!$A$2:$G$8551,4,FALSE),"")</f>
        <v/>
      </c>
      <c r="F1636" s="405" t="str">
        <f>IFERROR(VLOOKUP(A1636,[3]DOORSCRIEFT!$A$2:$G$8551,6,FALSE),"")</f>
        <v/>
      </c>
      <c r="G1636" s="315"/>
    </row>
    <row r="1637" spans="1:7" x14ac:dyDescent="0.25">
      <c r="A1637" s="339" t="str">
        <f t="shared" si="49"/>
        <v>I.2.2.02.02617</v>
      </c>
      <c r="B1637" s="339">
        <v>17</v>
      </c>
      <c r="C1637" s="394" t="str">
        <f>IFERROR(VLOOKUP(A1637,[3]DOORSCRIEFT!$A$2:$G$8551,2,FALSE),"")</f>
        <v/>
      </c>
      <c r="D1637" s="393" t="str">
        <f>IFERROR(VLOOKUP(A1637,[3]DOORSCRIEFT!$A$2:$G$8551,3,FALSE),"")</f>
        <v/>
      </c>
      <c r="E1637" s="392" t="str">
        <f>IFERROR(VLOOKUP(A1637,[3]DOORSCRIEFT!$A$2:$G$8551,4,FALSE),"")</f>
        <v/>
      </c>
      <c r="F1637" s="405" t="str">
        <f>IFERROR(VLOOKUP(A1637,[3]DOORSCRIEFT!$A$2:$G$8551,6,FALSE),"")</f>
        <v/>
      </c>
      <c r="G1637" s="315"/>
    </row>
    <row r="1638" spans="1:7" x14ac:dyDescent="0.25">
      <c r="A1638" s="339" t="str">
        <f t="shared" si="49"/>
        <v>I.2.2.02.02618</v>
      </c>
      <c r="B1638" s="319">
        <v>18</v>
      </c>
      <c r="C1638" s="394" t="str">
        <f>IFERROR(VLOOKUP(A1638,[3]DOORSCRIEFT!$A$2:$G$8551,2,FALSE),"")</f>
        <v/>
      </c>
      <c r="D1638" s="393" t="str">
        <f>IFERROR(VLOOKUP(A1638,[3]DOORSCRIEFT!$A$2:$G$8551,3,FALSE),"")</f>
        <v/>
      </c>
      <c r="E1638" s="392" t="str">
        <f>IFERROR(VLOOKUP(A1638,[3]DOORSCRIEFT!$A$2:$G$8551,4,FALSE),"")</f>
        <v/>
      </c>
      <c r="F1638" s="405" t="str">
        <f>IFERROR(VLOOKUP(A1638,[3]DOORSCRIEFT!$A$2:$G$8551,6,FALSE),"")</f>
        <v/>
      </c>
      <c r="G1638" s="315"/>
    </row>
    <row r="1639" spans="1:7" x14ac:dyDescent="0.25">
      <c r="A1639" s="339" t="str">
        <f t="shared" si="49"/>
        <v>I.2.2.02.02619</v>
      </c>
      <c r="B1639" s="339">
        <v>19</v>
      </c>
      <c r="C1639" s="394" t="str">
        <f>IFERROR(VLOOKUP(A1639,[3]DOORSCRIEFT!$A$2:$G$8551,2,FALSE),"")</f>
        <v/>
      </c>
      <c r="D1639" s="393" t="str">
        <f>IFERROR(VLOOKUP(A1639,[3]DOORSCRIEFT!$A$2:$G$8551,3,FALSE),"")</f>
        <v/>
      </c>
      <c r="E1639" s="392" t="str">
        <f>IFERROR(VLOOKUP(A1639,[3]DOORSCRIEFT!$A$2:$G$8551,4,FALSE),"")</f>
        <v/>
      </c>
      <c r="F1639" s="405" t="str">
        <f>IFERROR(VLOOKUP(A1639,[3]DOORSCRIEFT!$A$2:$G$8551,6,FALSE),"")</f>
        <v/>
      </c>
      <c r="G1639" s="315"/>
    </row>
    <row r="1640" spans="1:7" x14ac:dyDescent="0.25">
      <c r="A1640" s="339" t="str">
        <f t="shared" si="49"/>
        <v>I.2.2.02.02620</v>
      </c>
      <c r="B1640" s="319">
        <v>20</v>
      </c>
      <c r="C1640" s="394" t="str">
        <f>IFERROR(VLOOKUP(A1640,[3]DOORSCRIEFT!$A$2:$G$8551,2,FALSE),"")</f>
        <v/>
      </c>
      <c r="D1640" s="393" t="str">
        <f>IFERROR(VLOOKUP(A1640,[3]DOORSCRIEFT!$A$2:$G$8551,3,FALSE),"")</f>
        <v/>
      </c>
      <c r="E1640" s="392" t="str">
        <f>IFERROR(VLOOKUP(A1640,[3]DOORSCRIEFT!$A$2:$G$8551,4,FALSE),"")</f>
        <v/>
      </c>
      <c r="F1640" s="405" t="str">
        <f>IFERROR(VLOOKUP(A1640,[3]DOORSCRIEFT!$A$2:$G$8551,6,FALSE),"")</f>
        <v/>
      </c>
      <c r="G1640" s="315"/>
    </row>
    <row r="1641" spans="1:7" x14ac:dyDescent="0.25">
      <c r="A1641" s="339" t="str">
        <f t="shared" si="49"/>
        <v>I.2.2.02.02621</v>
      </c>
      <c r="B1641" s="339">
        <v>21</v>
      </c>
      <c r="C1641" s="394" t="str">
        <f>IFERROR(VLOOKUP(A1641,[3]DOORSCRIEFT!$A$2:$G$8551,2,FALSE),"")</f>
        <v/>
      </c>
      <c r="D1641" s="393" t="str">
        <f>IFERROR(VLOOKUP(A1641,[3]DOORSCRIEFT!$A$2:$G$8551,3,FALSE),"")</f>
        <v/>
      </c>
      <c r="E1641" s="392" t="str">
        <f>IFERROR(VLOOKUP(A1641,[3]DOORSCRIEFT!$A$2:$G$8551,4,FALSE),"")</f>
        <v/>
      </c>
      <c r="F1641" s="405" t="str">
        <f>IFERROR(VLOOKUP(A1641,[3]DOORSCRIEFT!$A$2:$G$8551,6,FALSE),"")</f>
        <v/>
      </c>
      <c r="G1641" s="315"/>
    </row>
    <row r="1642" spans="1:7" x14ac:dyDescent="0.25">
      <c r="A1642" s="339" t="str">
        <f t="shared" si="49"/>
        <v>I.2.2.02.02622</v>
      </c>
      <c r="B1642" s="319">
        <v>22</v>
      </c>
      <c r="C1642" s="394" t="str">
        <f>IFERROR(VLOOKUP(A1642,[3]DOORSCRIEFT!$A$2:$G$8551,2,FALSE),"")</f>
        <v/>
      </c>
      <c r="D1642" s="393" t="str">
        <f>IFERROR(VLOOKUP(A1642,[3]DOORSCRIEFT!$A$2:$G$8551,3,FALSE),"")</f>
        <v/>
      </c>
      <c r="E1642" s="392" t="str">
        <f>IFERROR(VLOOKUP(A1642,[3]DOORSCRIEFT!$A$2:$G$8551,4,FALSE),"")</f>
        <v/>
      </c>
      <c r="F1642" s="405" t="str">
        <f>IFERROR(VLOOKUP(A1642,[3]DOORSCRIEFT!$A$2:$G$8551,6,FALSE),"")</f>
        <v/>
      </c>
      <c r="G1642" s="315"/>
    </row>
    <row r="1643" spans="1:7" x14ac:dyDescent="0.25">
      <c r="A1643" s="339" t="str">
        <f t="shared" si="49"/>
        <v>I.2.2.02.02623</v>
      </c>
      <c r="B1643" s="339">
        <v>23</v>
      </c>
      <c r="C1643" s="394" t="str">
        <f>IFERROR(VLOOKUP(A1643,[3]DOORSCRIEFT!$A$2:$G$8551,2,FALSE),"")</f>
        <v/>
      </c>
      <c r="D1643" s="393" t="str">
        <f>IFERROR(VLOOKUP(A1643,[3]DOORSCRIEFT!$A$2:$G$8551,3,FALSE),"")</f>
        <v/>
      </c>
      <c r="E1643" s="392" t="str">
        <f>IFERROR(VLOOKUP(A1643,[3]DOORSCRIEFT!$A$2:$G$8551,4,FALSE),"")</f>
        <v/>
      </c>
      <c r="F1643" s="405" t="str">
        <f>IFERROR(VLOOKUP(A1643,[3]DOORSCRIEFT!$A$2:$G$8551,6,FALSE),"")</f>
        <v/>
      </c>
      <c r="G1643" s="315"/>
    </row>
    <row r="1644" spans="1:7" x14ac:dyDescent="0.25">
      <c r="A1644" s="339" t="str">
        <f t="shared" si="49"/>
        <v>I.2.2.02.02624</v>
      </c>
      <c r="B1644" s="319">
        <v>24</v>
      </c>
      <c r="C1644" s="394" t="str">
        <f>IFERROR(VLOOKUP(A1644,[3]DOORSCRIEFT!$A$2:$G$8551,2,FALSE),"")</f>
        <v/>
      </c>
      <c r="D1644" s="393" t="str">
        <f>IFERROR(VLOOKUP(A1644,[3]DOORSCRIEFT!$A$2:$G$8551,3,FALSE),"")</f>
        <v/>
      </c>
      <c r="E1644" s="392" t="str">
        <f>IFERROR(VLOOKUP(A1644,[3]DOORSCRIEFT!$A$2:$G$8551,4,FALSE),"")</f>
        <v/>
      </c>
      <c r="F1644" s="405" t="str">
        <f>IFERROR(VLOOKUP(A1644,[3]DOORSCRIEFT!$A$2:$G$8551,6,FALSE),"")</f>
        <v/>
      </c>
      <c r="G1644" s="315"/>
    </row>
    <row r="1645" spans="1:7" x14ac:dyDescent="0.25">
      <c r="A1645" s="339" t="str">
        <f t="shared" si="49"/>
        <v>I.2.2.02.02625</v>
      </c>
      <c r="B1645" s="339">
        <v>25</v>
      </c>
      <c r="C1645" s="394" t="str">
        <f>IFERROR(VLOOKUP(A1645,[3]DOORSCRIEFT!$A$2:$G$8551,2,FALSE),"")</f>
        <v/>
      </c>
      <c r="D1645" s="393" t="str">
        <f>IFERROR(VLOOKUP(A1645,[3]DOORSCRIEFT!$A$2:$G$8551,3,FALSE),"")</f>
        <v/>
      </c>
      <c r="E1645" s="392" t="str">
        <f>IFERROR(VLOOKUP(A1645,[3]DOORSCRIEFT!$A$2:$G$8551,4,FALSE),"")</f>
        <v/>
      </c>
      <c r="F1645" s="405" t="str">
        <f>IFERROR(VLOOKUP(A1645,[3]DOORSCRIEFT!$A$2:$G$8551,6,FALSE),"")</f>
        <v/>
      </c>
      <c r="G1645" s="315"/>
    </row>
    <row r="1646" spans="1:7" x14ac:dyDescent="0.25">
      <c r="A1646" s="339" t="str">
        <f t="shared" si="49"/>
        <v>I.2.2.02.02626</v>
      </c>
      <c r="B1646" s="319">
        <v>26</v>
      </c>
      <c r="C1646" s="394" t="str">
        <f>IFERROR(VLOOKUP(A1646,[3]DOORSCRIEFT!$A$2:$G$8551,2,FALSE),"")</f>
        <v/>
      </c>
      <c r="D1646" s="393" t="str">
        <f>IFERROR(VLOOKUP(A1646,[3]DOORSCRIEFT!$A$2:$G$8551,3,FALSE),"")</f>
        <v/>
      </c>
      <c r="E1646" s="392" t="str">
        <f>IFERROR(VLOOKUP(A1646,[3]DOORSCRIEFT!$A$2:$G$8551,4,FALSE),"")</f>
        <v/>
      </c>
      <c r="F1646" s="405" t="str">
        <f>IFERROR(VLOOKUP(A1646,[3]DOORSCRIEFT!$A$2:$G$8551,6,FALSE),"")</f>
        <v/>
      </c>
      <c r="G1646" s="315"/>
    </row>
    <row r="1647" spans="1:7" x14ac:dyDescent="0.25">
      <c r="A1647" s="339" t="str">
        <f t="shared" si="49"/>
        <v>I.2.2.02.02627</v>
      </c>
      <c r="B1647" s="339">
        <v>27</v>
      </c>
      <c r="C1647" s="394" t="str">
        <f>IFERROR(VLOOKUP(A1647,[3]DOORSCRIEFT!$A$2:$G$8551,2,FALSE),"")</f>
        <v/>
      </c>
      <c r="D1647" s="393" t="str">
        <f>IFERROR(VLOOKUP(A1647,[3]DOORSCRIEFT!$A$2:$G$8551,3,FALSE),"")</f>
        <v/>
      </c>
      <c r="E1647" s="392" t="str">
        <f>IFERROR(VLOOKUP(A1647,[3]DOORSCRIEFT!$A$2:$G$8551,4,FALSE),"")</f>
        <v/>
      </c>
      <c r="F1647" s="405" t="str">
        <f>IFERROR(VLOOKUP(A1647,[3]DOORSCRIEFT!$A$2:$G$8551,6,FALSE),"")</f>
        <v/>
      </c>
      <c r="G1647" s="315"/>
    </row>
    <row r="1648" spans="1:7" x14ac:dyDescent="0.25">
      <c r="A1648" s="339" t="str">
        <f t="shared" si="49"/>
        <v>I.2.2.02.02628</v>
      </c>
      <c r="B1648" s="319">
        <v>28</v>
      </c>
      <c r="C1648" s="394" t="str">
        <f>IFERROR(VLOOKUP(A1648,[3]DOORSCRIEFT!$A$2:$G$8551,2,FALSE),"")</f>
        <v/>
      </c>
      <c r="D1648" s="393" t="str">
        <f>IFERROR(VLOOKUP(A1648,[3]DOORSCRIEFT!$A$2:$G$8551,3,FALSE),"")</f>
        <v/>
      </c>
      <c r="E1648" s="392" t="str">
        <f>IFERROR(VLOOKUP(A1648,[3]DOORSCRIEFT!$A$2:$G$8551,4,FALSE),"")</f>
        <v/>
      </c>
      <c r="F1648" s="405" t="str">
        <f>IFERROR(VLOOKUP(A1648,[3]DOORSCRIEFT!$A$2:$G$8551,6,FALSE),"")</f>
        <v/>
      </c>
      <c r="G1648" s="315"/>
    </row>
    <row r="1649" spans="1:7" x14ac:dyDescent="0.25">
      <c r="A1649" s="339" t="str">
        <f t="shared" si="49"/>
        <v>I.2.2.02.02629</v>
      </c>
      <c r="B1649" s="339">
        <v>29</v>
      </c>
      <c r="C1649" s="394" t="str">
        <f>IFERROR(VLOOKUP(A1649,[3]DOORSCRIEFT!$A$2:$G$8551,2,FALSE),"")</f>
        <v/>
      </c>
      <c r="D1649" s="393" t="str">
        <f>IFERROR(VLOOKUP(A1649,[3]DOORSCRIEFT!$A$2:$G$8551,3,FALSE),"")</f>
        <v/>
      </c>
      <c r="E1649" s="392" t="str">
        <f>IFERROR(VLOOKUP(A1649,[3]DOORSCRIEFT!$A$2:$G$8551,4,FALSE),"")</f>
        <v/>
      </c>
      <c r="F1649" s="405" t="str">
        <f>IFERROR(VLOOKUP(A1649,[3]DOORSCRIEFT!$A$2:$G$8551,6,FALSE),"")</f>
        <v/>
      </c>
      <c r="G1649" s="315"/>
    </row>
    <row r="1650" spans="1:7" x14ac:dyDescent="0.25">
      <c r="A1650" s="339" t="str">
        <f t="shared" si="49"/>
        <v>I.2.2.02.02630</v>
      </c>
      <c r="B1650" s="319">
        <v>30</v>
      </c>
      <c r="C1650" s="394" t="str">
        <f>IFERROR(VLOOKUP(A1650,[3]DOORSCRIEFT!$A$2:$G$8551,2,FALSE),"")</f>
        <v/>
      </c>
      <c r="D1650" s="393" t="str">
        <f>IFERROR(VLOOKUP(A1650,[3]DOORSCRIEFT!$A$2:$G$8551,3,FALSE),"")</f>
        <v/>
      </c>
      <c r="E1650" s="392" t="str">
        <f>IFERROR(VLOOKUP(A1650,[3]DOORSCRIEFT!$A$2:$G$8551,4,FALSE),"")</f>
        <v/>
      </c>
      <c r="F1650" s="405" t="str">
        <f>IFERROR(VLOOKUP(A1650,[3]DOORSCRIEFT!$A$2:$G$8551,6,FALSE),"")</f>
        <v/>
      </c>
      <c r="G1650" s="315"/>
    </row>
    <row r="1651" spans="1:7" x14ac:dyDescent="0.25">
      <c r="A1651" s="339" t="str">
        <f t="shared" si="49"/>
        <v>I.2.2.02.02631</v>
      </c>
      <c r="B1651" s="339">
        <v>31</v>
      </c>
      <c r="C1651" s="394" t="str">
        <f>IFERROR(VLOOKUP(A1651,[3]DOORSCRIEFT!$A$2:$G$8551,2,FALSE),"")</f>
        <v/>
      </c>
      <c r="D1651" s="393" t="str">
        <f>IFERROR(VLOOKUP(A1651,[3]DOORSCRIEFT!$A$2:$G$8551,3,FALSE),"")</f>
        <v/>
      </c>
      <c r="E1651" s="392" t="str">
        <f>IFERROR(VLOOKUP(A1651,[3]DOORSCRIEFT!$A$2:$G$8551,4,FALSE),"")</f>
        <v/>
      </c>
      <c r="F1651" s="405" t="str">
        <f>IFERROR(VLOOKUP(A1651,[3]DOORSCRIEFT!$A$2:$G$8551,6,FALSE),"")</f>
        <v/>
      </c>
      <c r="G1651" s="315"/>
    </row>
    <row r="1652" spans="1:7" x14ac:dyDescent="0.25">
      <c r="A1652" s="339" t="str">
        <f t="shared" si="49"/>
        <v>I.2.2.02.02632</v>
      </c>
      <c r="B1652" s="319">
        <v>32</v>
      </c>
      <c r="C1652" s="394" t="str">
        <f>IFERROR(VLOOKUP(A1652,[3]DOORSCRIEFT!$A$2:$G$8551,2,FALSE),"")</f>
        <v/>
      </c>
      <c r="D1652" s="393" t="str">
        <f>IFERROR(VLOOKUP(A1652,[3]DOORSCRIEFT!$A$2:$G$8551,3,FALSE),"")</f>
        <v/>
      </c>
      <c r="E1652" s="392" t="str">
        <f>IFERROR(VLOOKUP(A1652,[3]DOORSCRIEFT!$A$2:$G$8551,4,FALSE),"")</f>
        <v/>
      </c>
      <c r="F1652" s="405" t="str">
        <f>IFERROR(VLOOKUP(A1652,[3]DOORSCRIEFT!$A$2:$G$8551,6,FALSE),"")</f>
        <v/>
      </c>
      <c r="G1652" s="315"/>
    </row>
    <row r="1653" spans="1:7" x14ac:dyDescent="0.25">
      <c r="A1653" s="339" t="str">
        <f t="shared" si="49"/>
        <v>I.2.2.02.02633</v>
      </c>
      <c r="B1653" s="339">
        <v>33</v>
      </c>
      <c r="C1653" s="394" t="str">
        <f>IFERROR(VLOOKUP(A1653,[3]DOORSCRIEFT!$A$2:$G$8551,2,FALSE),"")</f>
        <v/>
      </c>
      <c r="D1653" s="393" t="str">
        <f>IFERROR(VLOOKUP(A1653,[3]DOORSCRIEFT!$A$2:$G$8551,3,FALSE),"")</f>
        <v/>
      </c>
      <c r="E1653" s="392" t="str">
        <f>IFERROR(VLOOKUP(A1653,[3]DOORSCRIEFT!$A$2:$G$8551,4,FALSE),"")</f>
        <v/>
      </c>
      <c r="F1653" s="405" t="str">
        <f>IFERROR(VLOOKUP(A1653,[3]DOORSCRIEFT!$A$2:$G$8551,6,FALSE),"")</f>
        <v/>
      </c>
      <c r="G1653" s="315"/>
    </row>
    <row r="1654" spans="1:7" x14ac:dyDescent="0.25">
      <c r="A1654" s="339" t="str">
        <f t="shared" si="49"/>
        <v>I.2.2.02.02634</v>
      </c>
      <c r="B1654" s="319">
        <v>34</v>
      </c>
      <c r="C1654" s="394" t="str">
        <f>IFERROR(VLOOKUP(A1654,[3]DOORSCRIEFT!$A$2:$G$8551,2,FALSE),"")</f>
        <v/>
      </c>
      <c r="D1654" s="393" t="str">
        <f>IFERROR(VLOOKUP(A1654,[3]DOORSCRIEFT!$A$2:$G$8551,3,FALSE),"")</f>
        <v/>
      </c>
      <c r="E1654" s="392" t="str">
        <f>IFERROR(VLOOKUP(A1654,[3]DOORSCRIEFT!$A$2:$G$8551,4,FALSE),"")</f>
        <v/>
      </c>
      <c r="F1654" s="405" t="str">
        <f>IFERROR(VLOOKUP(A1654,[3]DOORSCRIEFT!$A$2:$G$8551,6,FALSE),"")</f>
        <v/>
      </c>
      <c r="G1654" s="315"/>
    </row>
    <row r="1655" spans="1:7" x14ac:dyDescent="0.25">
      <c r="A1655" s="339" t="str">
        <f t="shared" si="49"/>
        <v>I.2.2.02.02635</v>
      </c>
      <c r="B1655" s="339">
        <v>35</v>
      </c>
      <c r="C1655" s="394" t="str">
        <f>IFERROR(VLOOKUP(A1655,[3]DOORSCRIEFT!$A$2:$G$8551,2,FALSE),"")</f>
        <v/>
      </c>
      <c r="D1655" s="393" t="str">
        <f>IFERROR(VLOOKUP(A1655,[3]DOORSCRIEFT!$A$2:$G$8551,3,FALSE),"")</f>
        <v/>
      </c>
      <c r="E1655" s="392" t="str">
        <f>IFERROR(VLOOKUP(A1655,[3]DOORSCRIEFT!$A$2:$G$8551,4,FALSE),"")</f>
        <v/>
      </c>
      <c r="F1655" s="405" t="str">
        <f>IFERROR(VLOOKUP(A1655,[3]DOORSCRIEFT!$A$2:$G$8551,6,FALSE),"")</f>
        <v/>
      </c>
      <c r="G1655" s="315"/>
    </row>
    <row r="1656" spans="1:7" x14ac:dyDescent="0.25">
      <c r="A1656" s="339" t="str">
        <f t="shared" si="49"/>
        <v>I.2.2.02.02636</v>
      </c>
      <c r="B1656" s="319">
        <v>36</v>
      </c>
      <c r="C1656" s="394" t="str">
        <f>IFERROR(VLOOKUP(A1656,[3]DOORSCRIEFT!$A$2:$G$8551,2,FALSE),"")</f>
        <v/>
      </c>
      <c r="D1656" s="393" t="str">
        <f>IFERROR(VLOOKUP(A1656,[3]DOORSCRIEFT!$A$2:$G$8551,3,FALSE),"")</f>
        <v/>
      </c>
      <c r="E1656" s="392" t="str">
        <f>IFERROR(VLOOKUP(A1656,[3]DOORSCRIEFT!$A$2:$G$8551,4,FALSE),"")</f>
        <v/>
      </c>
      <c r="F1656" s="405" t="str">
        <f>IFERROR(VLOOKUP(A1656,[3]DOORSCRIEFT!$A$2:$G$8551,6,FALSE),"")</f>
        <v/>
      </c>
      <c r="G1656" s="315"/>
    </row>
    <row r="1657" spans="1:7" x14ac:dyDescent="0.25">
      <c r="A1657" s="339" t="str">
        <f t="shared" si="49"/>
        <v>I.2.2.02.02637</v>
      </c>
      <c r="B1657" s="339">
        <v>37</v>
      </c>
      <c r="C1657" s="394" t="str">
        <f>IFERROR(VLOOKUP(A1657,[3]DOORSCRIEFT!$A$2:$G$8551,2,FALSE),"")</f>
        <v/>
      </c>
      <c r="D1657" s="393" t="str">
        <f>IFERROR(VLOOKUP(A1657,[3]DOORSCRIEFT!$A$2:$G$8551,3,FALSE),"")</f>
        <v/>
      </c>
      <c r="E1657" s="392" t="str">
        <f>IFERROR(VLOOKUP(A1657,[3]DOORSCRIEFT!$A$2:$G$8551,4,FALSE),"")</f>
        <v/>
      </c>
      <c r="F1657" s="405" t="str">
        <f>IFERROR(VLOOKUP(A1657,[3]DOORSCRIEFT!$A$2:$G$8551,6,FALSE),"")</f>
        <v/>
      </c>
      <c r="G1657" s="315"/>
    </row>
    <row r="1658" spans="1:7" x14ac:dyDescent="0.25">
      <c r="A1658" s="339" t="str">
        <f t="shared" si="49"/>
        <v>I.2.2.02.02638</v>
      </c>
      <c r="B1658" s="319">
        <v>38</v>
      </c>
      <c r="C1658" s="394" t="str">
        <f>IFERROR(VLOOKUP(A1658,[3]DOORSCRIEFT!$A$2:$G$8551,2,FALSE),"")</f>
        <v/>
      </c>
      <c r="D1658" s="393" t="str">
        <f>IFERROR(VLOOKUP(A1658,[3]DOORSCRIEFT!$A$2:$G$8551,3,FALSE),"")</f>
        <v/>
      </c>
      <c r="E1658" s="392" t="str">
        <f>IFERROR(VLOOKUP(A1658,[3]DOORSCRIEFT!$A$2:$G$8551,4,FALSE),"")</f>
        <v/>
      </c>
      <c r="F1658" s="405" t="str">
        <f>IFERROR(VLOOKUP(A1658,[3]DOORSCRIEFT!$A$2:$G$8551,6,FALSE),"")</f>
        <v/>
      </c>
      <c r="G1658" s="315"/>
    </row>
    <row r="1659" spans="1:7" x14ac:dyDescent="0.25">
      <c r="A1659" s="339" t="str">
        <f t="shared" si="49"/>
        <v>I.2.2.02.02639</v>
      </c>
      <c r="B1659" s="339">
        <v>39</v>
      </c>
      <c r="C1659" s="394" t="str">
        <f>IFERROR(VLOOKUP(A1659,[3]DOORSCRIEFT!$A$2:$G$8551,2,FALSE),"")</f>
        <v/>
      </c>
      <c r="D1659" s="393" t="str">
        <f>IFERROR(VLOOKUP(A1659,[3]DOORSCRIEFT!$A$2:$G$8551,3,FALSE),"")</f>
        <v/>
      </c>
      <c r="E1659" s="392" t="str">
        <f>IFERROR(VLOOKUP(A1659,[3]DOORSCRIEFT!$A$2:$G$8551,4,FALSE),"")</f>
        <v/>
      </c>
      <c r="F1659" s="405" t="str">
        <f>IFERROR(VLOOKUP(A1659,[3]DOORSCRIEFT!$A$2:$G$8551,6,FALSE),"")</f>
        <v/>
      </c>
      <c r="G1659" s="315"/>
    </row>
    <row r="1660" spans="1:7" x14ac:dyDescent="0.25">
      <c r="A1660" s="339" t="str">
        <f t="shared" si="49"/>
        <v>I.2.2.02.02640</v>
      </c>
      <c r="B1660" s="319">
        <v>40</v>
      </c>
      <c r="C1660" s="394" t="str">
        <f>IFERROR(VLOOKUP(A1660,[3]DOORSCRIEFT!$A$2:$G$8551,2,FALSE),"")</f>
        <v/>
      </c>
      <c r="D1660" s="393" t="str">
        <f>IFERROR(VLOOKUP(A1660,[3]DOORSCRIEFT!$A$2:$G$8551,3,FALSE),"")</f>
        <v/>
      </c>
      <c r="E1660" s="392" t="str">
        <f>IFERROR(VLOOKUP(A1660,[3]DOORSCRIEFT!$A$2:$G$8551,4,FALSE),"")</f>
        <v/>
      </c>
      <c r="F1660" s="405" t="str">
        <f>IFERROR(VLOOKUP(A1660,[3]DOORSCRIEFT!$A$2:$G$8551,6,FALSE),"")</f>
        <v/>
      </c>
      <c r="G1660" s="315"/>
    </row>
    <row r="1661" spans="1:7" x14ac:dyDescent="0.25">
      <c r="A1661" s="339" t="str">
        <f t="shared" si="49"/>
        <v>I.2.2.02.02641</v>
      </c>
      <c r="B1661" s="339">
        <v>41</v>
      </c>
      <c r="C1661" s="394" t="str">
        <f>IFERROR(VLOOKUP(A1661,[3]DOORSCRIEFT!$A$2:$G$8551,2,FALSE),"")</f>
        <v/>
      </c>
      <c r="D1661" s="393" t="str">
        <f>IFERROR(VLOOKUP(A1661,[3]DOORSCRIEFT!$A$2:$G$8551,3,FALSE),"")</f>
        <v/>
      </c>
      <c r="E1661" s="392" t="str">
        <f>IFERROR(VLOOKUP(A1661,[3]DOORSCRIEFT!$A$2:$G$8551,4,FALSE),"")</f>
        <v/>
      </c>
      <c r="F1661" s="405" t="str">
        <f>IFERROR(VLOOKUP(A1661,[3]DOORSCRIEFT!$A$2:$G$8551,6,FALSE),"")</f>
        <v/>
      </c>
      <c r="G1661" s="315"/>
    </row>
    <row r="1662" spans="1:7" x14ac:dyDescent="0.25">
      <c r="A1662" s="339" t="str">
        <f t="shared" si="49"/>
        <v>I.2.2.02.02642</v>
      </c>
      <c r="B1662" s="319">
        <v>42</v>
      </c>
      <c r="C1662" s="394" t="str">
        <f>IFERROR(VLOOKUP(A1662,[3]DOORSCRIEFT!$A$2:$G$8551,2,FALSE),"")</f>
        <v/>
      </c>
      <c r="D1662" s="393" t="str">
        <f>IFERROR(VLOOKUP(A1662,[3]DOORSCRIEFT!$A$2:$G$8551,3,FALSE),"")</f>
        <v/>
      </c>
      <c r="E1662" s="392" t="str">
        <f>IFERROR(VLOOKUP(A1662,[3]DOORSCRIEFT!$A$2:$G$8551,4,FALSE),"")</f>
        <v/>
      </c>
      <c r="F1662" s="405" t="str">
        <f>IFERROR(VLOOKUP(A1662,[3]DOORSCRIEFT!$A$2:$G$8551,6,FALSE),"")</f>
        <v/>
      </c>
      <c r="G1662" s="315"/>
    </row>
    <row r="1663" spans="1:7" x14ac:dyDescent="0.25">
      <c r="A1663" s="339" t="str">
        <f t="shared" si="49"/>
        <v>I.2.2.02.02643</v>
      </c>
      <c r="B1663" s="339">
        <v>43</v>
      </c>
      <c r="C1663" s="394" t="str">
        <f>IFERROR(VLOOKUP(A1663,[3]DOORSCRIEFT!$A$2:$G$8551,2,FALSE),"")</f>
        <v/>
      </c>
      <c r="D1663" s="393" t="str">
        <f>IFERROR(VLOOKUP(A1663,[3]DOORSCRIEFT!$A$2:$G$8551,3,FALSE),"")</f>
        <v/>
      </c>
      <c r="E1663" s="392" t="str">
        <f>IFERROR(VLOOKUP(A1663,[3]DOORSCRIEFT!$A$2:$G$8551,4,FALSE),"")</f>
        <v/>
      </c>
      <c r="F1663" s="405" t="str">
        <f>IFERROR(VLOOKUP(A1663,[3]DOORSCRIEFT!$A$2:$G$8551,6,FALSE),"")</f>
        <v/>
      </c>
      <c r="G1663" s="315"/>
    </row>
    <row r="1664" spans="1:7" x14ac:dyDescent="0.25">
      <c r="A1664" s="339" t="str">
        <f t="shared" si="49"/>
        <v>I.2.2.02.02644</v>
      </c>
      <c r="B1664" s="319">
        <v>44</v>
      </c>
      <c r="C1664" s="394" t="str">
        <f>IFERROR(VLOOKUP(A1664,[3]DOORSCRIEFT!$A$2:$G$8551,2,FALSE),"")</f>
        <v/>
      </c>
      <c r="D1664" s="393" t="str">
        <f>IFERROR(VLOOKUP(A1664,[3]DOORSCRIEFT!$A$2:$G$8551,3,FALSE),"")</f>
        <v/>
      </c>
      <c r="E1664" s="392" t="str">
        <f>IFERROR(VLOOKUP(A1664,[3]DOORSCRIEFT!$A$2:$G$8551,4,FALSE),"")</f>
        <v/>
      </c>
      <c r="F1664" s="405" t="str">
        <f>IFERROR(VLOOKUP(A1664,[3]DOORSCRIEFT!$A$2:$G$8551,6,FALSE),"")</f>
        <v/>
      </c>
      <c r="G1664" s="315"/>
    </row>
    <row r="1665" spans="1:7" ht="15.75" thickBot="1" x14ac:dyDescent="0.3">
      <c r="A1665" s="353" t="str">
        <f t="shared" si="49"/>
        <v>I.2.2.02.02645</v>
      </c>
      <c r="B1665" s="353">
        <v>45</v>
      </c>
      <c r="C1665" s="394" t="str">
        <f>IFERROR(VLOOKUP(A1665,[3]DOORSCRIEFT!$A$2:$G$8551,2,FALSE),"")</f>
        <v/>
      </c>
      <c r="D1665" s="393" t="str">
        <f>IFERROR(VLOOKUP(A1665,[3]DOORSCRIEFT!$A$2:$G$8551,3,FALSE),"")</f>
        <v/>
      </c>
      <c r="E1665" s="392" t="str">
        <f>IFERROR(VLOOKUP(A1665,[3]DOORSCRIEFT!$A$2:$G$8551,4,FALSE),"")</f>
        <v/>
      </c>
      <c r="F1665" s="405" t="str">
        <f>IFERROR(VLOOKUP(A1665,[3]DOORSCRIEFT!$A$2:$G$8551,6,FALSE),"")</f>
        <v/>
      </c>
      <c r="G1665" s="315"/>
    </row>
    <row r="1666" spans="1:7" ht="15.75" thickBot="1" x14ac:dyDescent="0.3">
      <c r="A1666" s="314"/>
      <c r="B1666" s="312"/>
      <c r="C1666" s="313"/>
      <c r="D1666" s="312"/>
      <c r="E1666" s="311" t="s">
        <v>644</v>
      </c>
      <c r="F1666" s="310">
        <f>SUM(F1621:F1665)</f>
        <v>917000</v>
      </c>
      <c r="G1666" s="309">
        <f>SUM(G1621:G1665)</f>
        <v>0</v>
      </c>
    </row>
    <row r="1669" spans="1:7" ht="15.75" x14ac:dyDescent="0.25">
      <c r="C1669" s="332"/>
      <c r="D1669" s="333"/>
      <c r="E1669" s="332"/>
      <c r="F1669" s="327" t="s">
        <v>607</v>
      </c>
      <c r="G1669" s="327" t="s">
        <v>494</v>
      </c>
    </row>
    <row r="1670" spans="1:7" ht="15.75" x14ac:dyDescent="0.25">
      <c r="C1670" s="332"/>
      <c r="D1670" s="333"/>
      <c r="E1670" s="332"/>
      <c r="F1670" s="327" t="s">
        <v>601</v>
      </c>
      <c r="G1670" s="327" t="s">
        <v>493</v>
      </c>
    </row>
    <row r="1671" spans="1:7" x14ac:dyDescent="0.25">
      <c r="C1671" s="328"/>
      <c r="D1671" s="329"/>
      <c r="E1671" s="328"/>
      <c r="F1671" s="327" t="s">
        <v>651</v>
      </c>
      <c r="G1671" s="331">
        <f>[2]Sheet1!$D$53</f>
        <v>4000000</v>
      </c>
    </row>
    <row r="1672" spans="1:7" ht="15.75" thickBot="1" x14ac:dyDescent="0.3">
      <c r="C1672" s="328"/>
      <c r="D1672" s="329"/>
      <c r="E1672" s="328"/>
      <c r="F1672" s="327" t="s">
        <v>650</v>
      </c>
      <c r="G1672" s="326">
        <f>+F1715-G1671</f>
        <v>-1583000</v>
      </c>
    </row>
    <row r="1673" spans="1:7" x14ac:dyDescent="0.25">
      <c r="A1673" s="571" t="s">
        <v>626</v>
      </c>
      <c r="B1673" s="584" t="s">
        <v>606</v>
      </c>
      <c r="C1673" s="588" t="s">
        <v>649</v>
      </c>
      <c r="D1673" s="577" t="s">
        <v>648</v>
      </c>
      <c r="E1673" s="577" t="s">
        <v>647</v>
      </c>
      <c r="F1673" s="577" t="s">
        <v>646</v>
      </c>
      <c r="G1673" s="580" t="s">
        <v>645</v>
      </c>
    </row>
    <row r="1674" spans="1:7" ht="15.75" thickBot="1" x14ac:dyDescent="0.3">
      <c r="A1674" s="572"/>
      <c r="B1674" s="585"/>
      <c r="C1674" s="589"/>
      <c r="D1674" s="586"/>
      <c r="E1674" s="586"/>
      <c r="F1674" s="586"/>
      <c r="G1674" s="587"/>
    </row>
    <row r="1675" spans="1:7" ht="15.75" thickBot="1" x14ac:dyDescent="0.3">
      <c r="A1675" s="425">
        <v>1</v>
      </c>
      <c r="B1675" s="425">
        <v>2</v>
      </c>
      <c r="C1675" s="425">
        <v>3</v>
      </c>
      <c r="D1675" s="324">
        <v>4</v>
      </c>
      <c r="E1675" s="425">
        <v>5</v>
      </c>
      <c r="F1675" s="324">
        <v>6</v>
      </c>
      <c r="G1675" s="425">
        <v>7</v>
      </c>
    </row>
    <row r="1676" spans="1:7" x14ac:dyDescent="0.25">
      <c r="A1676" s="339" t="str">
        <f t="shared" ref="A1676:A1714" si="50">$G$1669&amp;B1676</f>
        <v>I.2.2.02.0271</v>
      </c>
      <c r="B1676" s="339">
        <v>1</v>
      </c>
      <c r="C1676" s="394">
        <f>IFERROR(VLOOKUP(A1676,[3]DOORSCRIEFT!$A$2:$G$8551,2,FALSE),"")</f>
        <v>105</v>
      </c>
      <c r="D1676" s="393">
        <f>IFERROR(VLOOKUP(A1676,[3]DOORSCRIEFT!$A$2:$G$8551,3,FALSE),"")</f>
        <v>46045</v>
      </c>
      <c r="E1676" s="392" t="str">
        <f>IFERROR(VLOOKUP(A1676,[3]DOORSCRIEFT!$A$2:$G$8551,4,FALSE),"")</f>
        <v>Kolekta Kebaktian Penutupan Konfercab AMGPM Cab. Luther</v>
      </c>
      <c r="F1676" s="405">
        <f>IFERROR(VLOOKUP(A1676,[3]DOORSCRIEFT!$A$2:$G$8551,6,FALSE),"")</f>
        <v>300000</v>
      </c>
      <c r="G1676" s="424"/>
    </row>
    <row r="1677" spans="1:7" x14ac:dyDescent="0.25">
      <c r="A1677" s="319" t="str">
        <f t="shared" si="50"/>
        <v>I.2.2.02.0272</v>
      </c>
      <c r="B1677" s="319">
        <v>2</v>
      </c>
      <c r="C1677" s="394">
        <f>IFERROR(VLOOKUP(A1677,[3]DOORSCRIEFT!$A$2:$G$8551,2,FALSE),"")</f>
        <v>124</v>
      </c>
      <c r="D1677" s="393">
        <f>IFERROR(VLOOKUP(A1677,[3]DOORSCRIEFT!$A$2:$G$8551,3,FALSE),"")</f>
        <v>46047</v>
      </c>
      <c r="E1677" s="392" t="str">
        <f>IFERROR(VLOOKUP(A1677,[3]DOORSCRIEFT!$A$2:$G$8551,4,FALSE),"")</f>
        <v>Kolekta Pergembalaan Pengurus AMGPM Cab. Luher I</v>
      </c>
      <c r="F1677" s="405">
        <f>IFERROR(VLOOKUP(A1677,[3]DOORSCRIEFT!$A$2:$G$8551,6,FALSE),"")</f>
        <v>100000</v>
      </c>
      <c r="G1677" s="423"/>
    </row>
    <row r="1678" spans="1:7" x14ac:dyDescent="0.25">
      <c r="A1678" s="319" t="str">
        <f t="shared" si="50"/>
        <v>I.2.2.02.0273</v>
      </c>
      <c r="B1678" s="319">
        <v>3</v>
      </c>
      <c r="C1678" s="394">
        <f>IFERROR(VLOOKUP(A1678,[3]DOORSCRIEFT!$A$2:$G$8551,2,FALSE),"")</f>
        <v>214</v>
      </c>
      <c r="D1678" s="393">
        <f>IFERROR(VLOOKUP(A1678,[3]DOORSCRIEFT!$A$2:$G$8551,3,FALSE),"")</f>
        <v>46073</v>
      </c>
      <c r="E1678" s="392" t="str">
        <f>IFERROR(VLOOKUP(A1678,[3]DOORSCRIEFT!$A$2:$G$8551,4,FALSE),"")</f>
        <v>Kolekta Kebaktian AMGPM Cabang Luther 1</v>
      </c>
      <c r="F1678" s="405">
        <f>IFERROR(VLOOKUP(A1678,[3]DOORSCRIEFT!$A$2:$G$8551,6,FALSE),"")</f>
        <v>203000</v>
      </c>
      <c r="G1678" s="423"/>
    </row>
    <row r="1679" spans="1:7" x14ac:dyDescent="0.25">
      <c r="A1679" s="319" t="str">
        <f t="shared" si="50"/>
        <v>I.2.2.02.0274</v>
      </c>
      <c r="B1679" s="319">
        <v>4</v>
      </c>
      <c r="C1679" s="394">
        <f>IFERROR(VLOOKUP(A1679,[3]DOORSCRIEFT!$A$2:$G$8551,2,FALSE),"")</f>
        <v>288</v>
      </c>
      <c r="D1679" s="393">
        <f>IFERROR(VLOOKUP(A1679,[3]DOORSCRIEFT!$A$2:$G$8551,3,FALSE),"")</f>
        <v>46087</v>
      </c>
      <c r="E1679" s="392" t="str">
        <f>IFERROR(VLOOKUP(A1679,[3]DOORSCRIEFT!$A$2:$G$8551,4,FALSE),"")</f>
        <v>Kolekta kebaktan penutupan Raker AMGPM</v>
      </c>
      <c r="F1679" s="405">
        <f>IFERROR(VLOOKUP(A1679,[3]DOORSCRIEFT!$A$2:$G$8551,6,FALSE),"")</f>
        <v>684000</v>
      </c>
      <c r="G1679" s="423"/>
    </row>
    <row r="1680" spans="1:7" x14ac:dyDescent="0.25">
      <c r="A1680" s="319" t="str">
        <f t="shared" si="50"/>
        <v>I.2.2.02.0275</v>
      </c>
      <c r="B1680" s="319">
        <v>5</v>
      </c>
      <c r="C1680" s="394">
        <f>IFERROR(VLOOKUP(A1680,[3]DOORSCRIEFT!$A$2:$G$8551,2,FALSE),"")</f>
        <v>340</v>
      </c>
      <c r="D1680" s="393">
        <f>IFERROR(VLOOKUP(A1680,[3]DOORSCRIEFT!$A$2:$G$8551,3,FALSE),"")</f>
        <v>46094</v>
      </c>
      <c r="E1680" s="392" t="str">
        <f>IFERROR(VLOOKUP(A1680,[3]DOORSCRIEFT!$A$2:$G$8551,4,FALSE),"")</f>
        <v>Kolekta Kebaktian Penutupan Raker AMGPM Ranting 5 Baitrafa</v>
      </c>
      <c r="F1680" s="405">
        <f>IFERROR(VLOOKUP(A1680,[3]DOORSCRIEFT!$A$2:$G$8551,6,FALSE),"")</f>
        <v>200000</v>
      </c>
      <c r="G1680" s="423"/>
    </row>
    <row r="1681" spans="1:7" x14ac:dyDescent="0.25">
      <c r="A1681" s="319" t="str">
        <f t="shared" si="50"/>
        <v>I.2.2.02.0276</v>
      </c>
      <c r="B1681" s="319">
        <v>6</v>
      </c>
      <c r="C1681" s="394">
        <f>IFERROR(VLOOKUP(A1681,[3]DOORSCRIEFT!$A$2:$G$8551,2,FALSE),"")</f>
        <v>357</v>
      </c>
      <c r="D1681" s="393">
        <f>IFERROR(VLOOKUP(A1681,[3]DOORSCRIEFT!$A$2:$G$8551,3,FALSE),"")</f>
        <v>46096</v>
      </c>
      <c r="E1681" s="392" t="str">
        <f>IFERROR(VLOOKUP(A1681,[3]DOORSCRIEFT!$A$2:$G$8551,4,FALSE),"")</f>
        <v>Kolekta Syukur Penutupan Raker AMGPM Ranting 3 dan 6 Baitrafa</v>
      </c>
      <c r="F1681" s="405">
        <f>IFERROR(VLOOKUP(A1681,[3]DOORSCRIEFT!$A$2:$G$8551,6,FALSE),"")</f>
        <v>520000</v>
      </c>
      <c r="G1681" s="423"/>
    </row>
    <row r="1682" spans="1:7" x14ac:dyDescent="0.25">
      <c r="A1682" s="319" t="str">
        <f t="shared" si="50"/>
        <v>I.2.2.02.0277</v>
      </c>
      <c r="B1682" s="319">
        <v>7</v>
      </c>
      <c r="C1682" s="394">
        <f>IFERROR(VLOOKUP(A1682,[3]DOORSCRIEFT!$A$2:$G$8551,2,FALSE),"")</f>
        <v>421</v>
      </c>
      <c r="D1682" s="393">
        <f>IFERROR(VLOOKUP(A1682,[3]DOORSCRIEFT!$A$2:$G$8551,3,FALSE),"")</f>
        <v>46103</v>
      </c>
      <c r="E1682" s="392" t="str">
        <f>IFERROR(VLOOKUP(A1682,[3]DOORSCRIEFT!$A$2:$G$8551,4,FALSE),"")</f>
        <v>Kolekta Kebaktian Gereja Pemuda</v>
      </c>
      <c r="F1682" s="405">
        <f>IFERROR(VLOOKUP(A1682,[3]DOORSCRIEFT!$A$2:$G$8551,6,FALSE),"")</f>
        <v>410000</v>
      </c>
      <c r="G1682" s="423"/>
    </row>
    <row r="1683" spans="1:7" x14ac:dyDescent="0.25">
      <c r="A1683" s="319" t="str">
        <f t="shared" si="50"/>
        <v>I.2.2.02.0278</v>
      </c>
      <c r="B1683" s="319">
        <v>8</v>
      </c>
      <c r="C1683" s="394" t="str">
        <f>IFERROR(VLOOKUP(A1683,[3]DOORSCRIEFT!$A$2:$G$8551,2,FALSE),"")</f>
        <v/>
      </c>
      <c r="D1683" s="393" t="str">
        <f>IFERROR(VLOOKUP(A1683,[3]DOORSCRIEFT!$A$2:$G$8551,3,FALSE),"")</f>
        <v/>
      </c>
      <c r="E1683" s="392" t="str">
        <f>IFERROR(VLOOKUP(A1683,[3]DOORSCRIEFT!$A$2:$G$8551,4,FALSE),"")</f>
        <v/>
      </c>
      <c r="F1683" s="405" t="str">
        <f>IFERROR(VLOOKUP(A1683,[3]DOORSCRIEFT!$A$2:$G$8551,6,FALSE),"")</f>
        <v/>
      </c>
      <c r="G1683" s="423"/>
    </row>
    <row r="1684" spans="1:7" x14ac:dyDescent="0.25">
      <c r="A1684" s="319" t="str">
        <f t="shared" si="50"/>
        <v>I.2.2.02.0279</v>
      </c>
      <c r="B1684" s="319">
        <v>9</v>
      </c>
      <c r="C1684" s="394" t="str">
        <f>IFERROR(VLOOKUP(A1684,[3]DOORSCRIEFT!$A$2:$G$8551,2,FALSE),"")</f>
        <v/>
      </c>
      <c r="D1684" s="393" t="str">
        <f>IFERROR(VLOOKUP(A1684,[3]DOORSCRIEFT!$A$2:$G$8551,3,FALSE),"")</f>
        <v/>
      </c>
      <c r="E1684" s="392" t="str">
        <f>IFERROR(VLOOKUP(A1684,[3]DOORSCRIEFT!$A$2:$G$8551,4,FALSE),"")</f>
        <v/>
      </c>
      <c r="F1684" s="405" t="str">
        <f>IFERROR(VLOOKUP(A1684,[3]DOORSCRIEFT!$A$2:$G$8551,6,FALSE),"")</f>
        <v/>
      </c>
      <c r="G1684" s="423"/>
    </row>
    <row r="1685" spans="1:7" x14ac:dyDescent="0.25">
      <c r="A1685" s="319" t="str">
        <f t="shared" si="50"/>
        <v>I.2.2.02.02710</v>
      </c>
      <c r="B1685" s="319">
        <v>10</v>
      </c>
      <c r="C1685" s="394" t="str">
        <f>IFERROR(VLOOKUP(A1685,[3]DOORSCRIEFT!$A$2:$G$8551,2,FALSE),"")</f>
        <v/>
      </c>
      <c r="D1685" s="393" t="str">
        <f>IFERROR(VLOOKUP(A1685,[3]DOORSCRIEFT!$A$2:$G$8551,3,FALSE),"")</f>
        <v/>
      </c>
      <c r="E1685" s="392" t="str">
        <f>IFERROR(VLOOKUP(A1685,[3]DOORSCRIEFT!$A$2:$G$8551,4,FALSE),"")</f>
        <v/>
      </c>
      <c r="F1685" s="405" t="str">
        <f>IFERROR(VLOOKUP(A1685,[3]DOORSCRIEFT!$A$2:$G$8551,6,FALSE),"")</f>
        <v/>
      </c>
      <c r="G1685" s="423"/>
    </row>
    <row r="1686" spans="1:7" x14ac:dyDescent="0.25">
      <c r="A1686" s="319" t="str">
        <f t="shared" si="50"/>
        <v>I.2.2.02.02711</v>
      </c>
      <c r="B1686" s="319">
        <v>11</v>
      </c>
      <c r="C1686" s="394" t="str">
        <f>IFERROR(VLOOKUP(A1686,[3]DOORSCRIEFT!$A$2:$G$8551,2,FALSE),"")</f>
        <v/>
      </c>
      <c r="D1686" s="393" t="str">
        <f>IFERROR(VLOOKUP(A1686,[3]DOORSCRIEFT!$A$2:$G$8551,3,FALSE),"")</f>
        <v/>
      </c>
      <c r="E1686" s="392" t="str">
        <f>IFERROR(VLOOKUP(A1686,[3]DOORSCRIEFT!$A$2:$G$8551,4,FALSE),"")</f>
        <v/>
      </c>
      <c r="F1686" s="405" t="str">
        <f>IFERROR(VLOOKUP(A1686,[3]DOORSCRIEFT!$A$2:$G$8551,6,FALSE),"")</f>
        <v/>
      </c>
      <c r="G1686" s="423"/>
    </row>
    <row r="1687" spans="1:7" x14ac:dyDescent="0.25">
      <c r="A1687" s="319" t="str">
        <f t="shared" si="50"/>
        <v>I.2.2.02.02712</v>
      </c>
      <c r="B1687" s="319">
        <v>12</v>
      </c>
      <c r="C1687" s="394" t="str">
        <f>IFERROR(VLOOKUP(A1687,[3]DOORSCRIEFT!$A$2:$G$8551,2,FALSE),"")</f>
        <v/>
      </c>
      <c r="D1687" s="393" t="str">
        <f>IFERROR(VLOOKUP(A1687,[3]DOORSCRIEFT!$A$2:$G$8551,3,FALSE),"")</f>
        <v/>
      </c>
      <c r="E1687" s="392" t="str">
        <f>IFERROR(VLOOKUP(A1687,[3]DOORSCRIEFT!$A$2:$G$8551,4,FALSE),"")</f>
        <v/>
      </c>
      <c r="F1687" s="405" t="str">
        <f>IFERROR(VLOOKUP(A1687,[3]DOORSCRIEFT!$A$2:$G$8551,6,FALSE),"")</f>
        <v/>
      </c>
      <c r="G1687" s="423"/>
    </row>
    <row r="1688" spans="1:7" x14ac:dyDescent="0.25">
      <c r="A1688" s="319" t="str">
        <f t="shared" si="50"/>
        <v>I.2.2.02.02713</v>
      </c>
      <c r="B1688" s="319">
        <v>13</v>
      </c>
      <c r="C1688" s="394" t="str">
        <f>IFERROR(VLOOKUP(A1688,[3]DOORSCRIEFT!$A$2:$G$8551,2,FALSE),"")</f>
        <v/>
      </c>
      <c r="D1688" s="393" t="str">
        <f>IFERROR(VLOOKUP(A1688,[3]DOORSCRIEFT!$A$2:$G$8551,3,FALSE),"")</f>
        <v/>
      </c>
      <c r="E1688" s="392" t="str">
        <f>IFERROR(VLOOKUP(A1688,[3]DOORSCRIEFT!$A$2:$G$8551,4,FALSE),"")</f>
        <v/>
      </c>
      <c r="F1688" s="405" t="str">
        <f>IFERROR(VLOOKUP(A1688,[3]DOORSCRIEFT!$A$2:$G$8551,6,FALSE),"")</f>
        <v/>
      </c>
      <c r="G1688" s="423"/>
    </row>
    <row r="1689" spans="1:7" x14ac:dyDescent="0.25">
      <c r="A1689" s="319" t="str">
        <f t="shared" si="50"/>
        <v>I.2.2.02.02714</v>
      </c>
      <c r="B1689" s="319">
        <v>14</v>
      </c>
      <c r="C1689" s="394" t="str">
        <f>IFERROR(VLOOKUP(A1689,[3]DOORSCRIEFT!$A$2:$G$8551,2,FALSE),"")</f>
        <v/>
      </c>
      <c r="D1689" s="393" t="str">
        <f>IFERROR(VLOOKUP(A1689,[3]DOORSCRIEFT!$A$2:$G$8551,3,FALSE),"")</f>
        <v/>
      </c>
      <c r="E1689" s="392" t="str">
        <f>IFERROR(VLOOKUP(A1689,[3]DOORSCRIEFT!$A$2:$G$8551,4,FALSE),"")</f>
        <v/>
      </c>
      <c r="F1689" s="405" t="str">
        <f>IFERROR(VLOOKUP(A1689,[3]DOORSCRIEFT!$A$2:$G$8551,6,FALSE),"")</f>
        <v/>
      </c>
      <c r="G1689" s="423"/>
    </row>
    <row r="1690" spans="1:7" x14ac:dyDescent="0.25">
      <c r="A1690" s="319" t="str">
        <f t="shared" si="50"/>
        <v>I.2.2.02.02715</v>
      </c>
      <c r="B1690" s="319">
        <v>15</v>
      </c>
      <c r="C1690" s="394" t="str">
        <f>IFERROR(VLOOKUP(A1690,[3]DOORSCRIEFT!$A$2:$G$8551,2,FALSE),"")</f>
        <v/>
      </c>
      <c r="D1690" s="393" t="str">
        <f>IFERROR(VLOOKUP(A1690,[3]DOORSCRIEFT!$A$2:$G$8551,3,FALSE),"")</f>
        <v/>
      </c>
      <c r="E1690" s="392" t="str">
        <f>IFERROR(VLOOKUP(A1690,[3]DOORSCRIEFT!$A$2:$G$8551,4,FALSE),"")</f>
        <v/>
      </c>
      <c r="F1690" s="405" t="str">
        <f>IFERROR(VLOOKUP(A1690,[3]DOORSCRIEFT!$A$2:$G$8551,6,FALSE),"")</f>
        <v/>
      </c>
      <c r="G1690" s="423"/>
    </row>
    <row r="1691" spans="1:7" x14ac:dyDescent="0.25">
      <c r="A1691" s="319" t="str">
        <f t="shared" si="50"/>
        <v>I.2.2.02.02716</v>
      </c>
      <c r="B1691" s="319">
        <v>16</v>
      </c>
      <c r="C1691" s="394" t="str">
        <f>IFERROR(VLOOKUP(A1691,[3]DOORSCRIEFT!$A$2:$G$8551,2,FALSE),"")</f>
        <v/>
      </c>
      <c r="D1691" s="393" t="str">
        <f>IFERROR(VLOOKUP(A1691,[3]DOORSCRIEFT!$A$2:$G$8551,3,FALSE),"")</f>
        <v/>
      </c>
      <c r="E1691" s="392" t="str">
        <f>IFERROR(VLOOKUP(A1691,[3]DOORSCRIEFT!$A$2:$G$8551,4,FALSE),"")</f>
        <v/>
      </c>
      <c r="F1691" s="405" t="str">
        <f>IFERROR(VLOOKUP(A1691,[3]DOORSCRIEFT!$A$2:$G$8551,6,FALSE),"")</f>
        <v/>
      </c>
      <c r="G1691" s="423"/>
    </row>
    <row r="1692" spans="1:7" x14ac:dyDescent="0.25">
      <c r="A1692" s="319" t="str">
        <f t="shared" si="50"/>
        <v>I.2.2.02.02717</v>
      </c>
      <c r="B1692" s="319">
        <v>17</v>
      </c>
      <c r="C1692" s="394" t="str">
        <f>IFERROR(VLOOKUP(A1692,[3]DOORSCRIEFT!$A$2:$G$8551,2,FALSE),"")</f>
        <v/>
      </c>
      <c r="D1692" s="393" t="str">
        <f>IFERROR(VLOOKUP(A1692,[3]DOORSCRIEFT!$A$2:$G$8551,3,FALSE),"")</f>
        <v/>
      </c>
      <c r="E1692" s="392" t="str">
        <f>IFERROR(VLOOKUP(A1692,[3]DOORSCRIEFT!$A$2:$G$8551,4,FALSE),"")</f>
        <v/>
      </c>
      <c r="F1692" s="405" t="str">
        <f>IFERROR(VLOOKUP(A1692,[3]DOORSCRIEFT!$A$2:$G$8551,6,FALSE),"")</f>
        <v/>
      </c>
      <c r="G1692" s="423"/>
    </row>
    <row r="1693" spans="1:7" x14ac:dyDescent="0.25">
      <c r="A1693" s="319" t="str">
        <f t="shared" si="50"/>
        <v>I.2.2.02.02718</v>
      </c>
      <c r="B1693" s="319">
        <v>18</v>
      </c>
      <c r="C1693" s="394" t="str">
        <f>IFERROR(VLOOKUP(A1693,[3]DOORSCRIEFT!$A$2:$G$8551,2,FALSE),"")</f>
        <v/>
      </c>
      <c r="D1693" s="393" t="str">
        <f>IFERROR(VLOOKUP(A1693,[3]DOORSCRIEFT!$A$2:$G$8551,3,FALSE),"")</f>
        <v/>
      </c>
      <c r="E1693" s="392" t="str">
        <f>IFERROR(VLOOKUP(A1693,[3]DOORSCRIEFT!$A$2:$G$8551,4,FALSE),"")</f>
        <v/>
      </c>
      <c r="F1693" s="405" t="str">
        <f>IFERROR(VLOOKUP(A1693,[3]DOORSCRIEFT!$A$2:$G$8551,6,FALSE),"")</f>
        <v/>
      </c>
      <c r="G1693" s="423"/>
    </row>
    <row r="1694" spans="1:7" x14ac:dyDescent="0.25">
      <c r="A1694" s="319" t="str">
        <f t="shared" si="50"/>
        <v>I.2.2.02.02719</v>
      </c>
      <c r="B1694" s="319">
        <v>19</v>
      </c>
      <c r="C1694" s="394" t="str">
        <f>IFERROR(VLOOKUP(A1694,[3]DOORSCRIEFT!$A$2:$G$8551,2,FALSE),"")</f>
        <v/>
      </c>
      <c r="D1694" s="393" t="str">
        <f>IFERROR(VLOOKUP(A1694,[3]DOORSCRIEFT!$A$2:$G$8551,3,FALSE),"")</f>
        <v/>
      </c>
      <c r="E1694" s="392" t="str">
        <f>IFERROR(VLOOKUP(A1694,[3]DOORSCRIEFT!$A$2:$G$8551,4,FALSE),"")</f>
        <v/>
      </c>
      <c r="F1694" s="405" t="str">
        <f>IFERROR(VLOOKUP(A1694,[3]DOORSCRIEFT!$A$2:$G$8551,6,FALSE),"")</f>
        <v/>
      </c>
      <c r="G1694" s="423"/>
    </row>
    <row r="1695" spans="1:7" x14ac:dyDescent="0.25">
      <c r="A1695" s="319" t="str">
        <f t="shared" si="50"/>
        <v>I.2.2.02.02720</v>
      </c>
      <c r="B1695" s="319">
        <v>20</v>
      </c>
      <c r="C1695" s="394" t="str">
        <f>IFERROR(VLOOKUP(A1695,[3]DOORSCRIEFT!$A$2:$G$8551,2,FALSE),"")</f>
        <v/>
      </c>
      <c r="D1695" s="393" t="str">
        <f>IFERROR(VLOOKUP(A1695,[3]DOORSCRIEFT!$A$2:$G$8551,3,FALSE),"")</f>
        <v/>
      </c>
      <c r="E1695" s="392" t="str">
        <f>IFERROR(VLOOKUP(A1695,[3]DOORSCRIEFT!$A$2:$G$8551,4,FALSE),"")</f>
        <v/>
      </c>
      <c r="F1695" s="405" t="str">
        <f>IFERROR(VLOOKUP(A1695,[3]DOORSCRIEFT!$A$2:$G$8551,6,FALSE),"")</f>
        <v/>
      </c>
      <c r="G1695" s="423"/>
    </row>
    <row r="1696" spans="1:7" x14ac:dyDescent="0.25">
      <c r="A1696" s="319" t="str">
        <f t="shared" si="50"/>
        <v>I.2.2.02.02721</v>
      </c>
      <c r="B1696" s="319">
        <v>21</v>
      </c>
      <c r="C1696" s="394" t="str">
        <f>IFERROR(VLOOKUP(A1696,[3]DOORSCRIEFT!$A$2:$G$8551,2,FALSE),"")</f>
        <v/>
      </c>
      <c r="D1696" s="393" t="str">
        <f>IFERROR(VLOOKUP(A1696,[3]DOORSCRIEFT!$A$2:$G$8551,3,FALSE),"")</f>
        <v/>
      </c>
      <c r="E1696" s="392" t="str">
        <f>IFERROR(VLOOKUP(A1696,[3]DOORSCRIEFT!$A$2:$G$8551,4,FALSE),"")</f>
        <v/>
      </c>
      <c r="F1696" s="405" t="str">
        <f>IFERROR(VLOOKUP(A1696,[3]DOORSCRIEFT!$A$2:$G$8551,6,FALSE),"")</f>
        <v/>
      </c>
      <c r="G1696" s="423"/>
    </row>
    <row r="1697" spans="1:7" x14ac:dyDescent="0.25">
      <c r="A1697" s="319" t="str">
        <f t="shared" si="50"/>
        <v>I.2.2.02.02722</v>
      </c>
      <c r="B1697" s="319">
        <v>22</v>
      </c>
      <c r="C1697" s="394" t="str">
        <f>IFERROR(VLOOKUP(A1697,[3]DOORSCRIEFT!$A$2:$G$8551,2,FALSE),"")</f>
        <v/>
      </c>
      <c r="D1697" s="393" t="str">
        <f>IFERROR(VLOOKUP(A1697,[3]DOORSCRIEFT!$A$2:$G$8551,3,FALSE),"")</f>
        <v/>
      </c>
      <c r="E1697" s="392" t="str">
        <f>IFERROR(VLOOKUP(A1697,[3]DOORSCRIEFT!$A$2:$G$8551,4,FALSE),"")</f>
        <v/>
      </c>
      <c r="F1697" s="405" t="str">
        <f>IFERROR(VLOOKUP(A1697,[3]DOORSCRIEFT!$A$2:$G$8551,6,FALSE),"")</f>
        <v/>
      </c>
      <c r="G1697" s="423"/>
    </row>
    <row r="1698" spans="1:7" x14ac:dyDescent="0.25">
      <c r="A1698" s="319" t="str">
        <f t="shared" si="50"/>
        <v>I.2.2.02.02723</v>
      </c>
      <c r="B1698" s="319">
        <v>23</v>
      </c>
      <c r="C1698" s="394" t="str">
        <f>IFERROR(VLOOKUP(A1698,[3]DOORSCRIEFT!$A$2:$G$8551,2,FALSE),"")</f>
        <v/>
      </c>
      <c r="D1698" s="393" t="str">
        <f>IFERROR(VLOOKUP(A1698,[3]DOORSCRIEFT!$A$2:$G$8551,3,FALSE),"")</f>
        <v/>
      </c>
      <c r="E1698" s="392" t="str">
        <f>IFERROR(VLOOKUP(A1698,[3]DOORSCRIEFT!$A$2:$G$8551,4,FALSE),"")</f>
        <v/>
      </c>
      <c r="F1698" s="405" t="str">
        <f>IFERROR(VLOOKUP(A1698,[3]DOORSCRIEFT!$A$2:$G$8551,6,FALSE),"")</f>
        <v/>
      </c>
      <c r="G1698" s="423"/>
    </row>
    <row r="1699" spans="1:7" x14ac:dyDescent="0.25">
      <c r="A1699" s="319" t="str">
        <f t="shared" si="50"/>
        <v>I.2.2.02.02724</v>
      </c>
      <c r="B1699" s="319">
        <v>24</v>
      </c>
      <c r="C1699" s="394" t="str">
        <f>IFERROR(VLOOKUP(A1699,[3]DOORSCRIEFT!$A$2:$G$8551,2,FALSE),"")</f>
        <v/>
      </c>
      <c r="D1699" s="393" t="str">
        <f>IFERROR(VLOOKUP(A1699,[3]DOORSCRIEFT!$A$2:$G$8551,3,FALSE),"")</f>
        <v/>
      </c>
      <c r="E1699" s="392" t="str">
        <f>IFERROR(VLOOKUP(A1699,[3]DOORSCRIEFT!$A$2:$G$8551,4,FALSE),"")</f>
        <v/>
      </c>
      <c r="F1699" s="405" t="str">
        <f>IFERROR(VLOOKUP(A1699,[3]DOORSCRIEFT!$A$2:$G$8551,6,FALSE),"")</f>
        <v/>
      </c>
      <c r="G1699" s="423"/>
    </row>
    <row r="1700" spans="1:7" x14ac:dyDescent="0.25">
      <c r="A1700" s="319" t="str">
        <f t="shared" si="50"/>
        <v>I.2.2.02.02725</v>
      </c>
      <c r="B1700" s="319">
        <v>25</v>
      </c>
      <c r="C1700" s="394" t="str">
        <f>IFERROR(VLOOKUP(A1700,[3]DOORSCRIEFT!$A$2:$G$8551,2,FALSE),"")</f>
        <v/>
      </c>
      <c r="D1700" s="393" t="str">
        <f>IFERROR(VLOOKUP(A1700,[3]DOORSCRIEFT!$A$2:$G$8551,3,FALSE),"")</f>
        <v/>
      </c>
      <c r="E1700" s="392" t="str">
        <f>IFERROR(VLOOKUP(A1700,[3]DOORSCRIEFT!$A$2:$G$8551,4,FALSE),"")</f>
        <v/>
      </c>
      <c r="F1700" s="405" t="str">
        <f>IFERROR(VLOOKUP(A1700,[3]DOORSCRIEFT!$A$2:$G$8551,6,FALSE),"")</f>
        <v/>
      </c>
      <c r="G1700" s="423"/>
    </row>
    <row r="1701" spans="1:7" x14ac:dyDescent="0.25">
      <c r="A1701" s="319" t="str">
        <f t="shared" si="50"/>
        <v>I.2.2.02.02726</v>
      </c>
      <c r="B1701" s="319">
        <v>26</v>
      </c>
      <c r="C1701" s="394" t="str">
        <f>IFERROR(VLOOKUP(A1701,[3]DOORSCRIEFT!$A$2:$G$8551,2,FALSE),"")</f>
        <v/>
      </c>
      <c r="D1701" s="393" t="str">
        <f>IFERROR(VLOOKUP(A1701,[3]DOORSCRIEFT!$A$2:$G$8551,3,FALSE),"")</f>
        <v/>
      </c>
      <c r="E1701" s="392" t="str">
        <f>IFERROR(VLOOKUP(A1701,[3]DOORSCRIEFT!$A$2:$G$8551,4,FALSE),"")</f>
        <v/>
      </c>
      <c r="F1701" s="405" t="str">
        <f>IFERROR(VLOOKUP(A1701,[3]DOORSCRIEFT!$A$2:$G$8551,6,FALSE),"")</f>
        <v/>
      </c>
      <c r="G1701" s="423"/>
    </row>
    <row r="1702" spans="1:7" x14ac:dyDescent="0.25">
      <c r="A1702" s="319" t="str">
        <f t="shared" si="50"/>
        <v>I.2.2.02.02727</v>
      </c>
      <c r="B1702" s="319">
        <v>27</v>
      </c>
      <c r="C1702" s="394" t="str">
        <f>IFERROR(VLOOKUP(A1702,[3]DOORSCRIEFT!$A$2:$G$8551,2,FALSE),"")</f>
        <v/>
      </c>
      <c r="D1702" s="393" t="str">
        <f>IFERROR(VLOOKUP(A1702,[3]DOORSCRIEFT!$A$2:$G$8551,3,FALSE),"")</f>
        <v/>
      </c>
      <c r="E1702" s="392" t="str">
        <f>IFERROR(VLOOKUP(A1702,[3]DOORSCRIEFT!$A$2:$G$8551,4,FALSE),"")</f>
        <v/>
      </c>
      <c r="F1702" s="405" t="str">
        <f>IFERROR(VLOOKUP(A1702,[3]DOORSCRIEFT!$A$2:$G$8551,6,FALSE),"")</f>
        <v/>
      </c>
      <c r="G1702" s="423"/>
    </row>
    <row r="1703" spans="1:7" x14ac:dyDescent="0.25">
      <c r="A1703" s="319" t="str">
        <f t="shared" si="50"/>
        <v>I.2.2.02.02728</v>
      </c>
      <c r="B1703" s="319">
        <v>28</v>
      </c>
      <c r="C1703" s="394" t="str">
        <f>IFERROR(VLOOKUP(A1703,[3]DOORSCRIEFT!$A$2:$G$8551,2,FALSE),"")</f>
        <v/>
      </c>
      <c r="D1703" s="393" t="str">
        <f>IFERROR(VLOOKUP(A1703,[3]DOORSCRIEFT!$A$2:$G$8551,3,FALSE),"")</f>
        <v/>
      </c>
      <c r="E1703" s="392" t="str">
        <f>IFERROR(VLOOKUP(A1703,[3]DOORSCRIEFT!$A$2:$G$8551,4,FALSE),"")</f>
        <v/>
      </c>
      <c r="F1703" s="405" t="str">
        <f>IFERROR(VLOOKUP(A1703,[3]DOORSCRIEFT!$A$2:$G$8551,6,FALSE),"")</f>
        <v/>
      </c>
      <c r="G1703" s="423"/>
    </row>
    <row r="1704" spans="1:7" x14ac:dyDescent="0.25">
      <c r="A1704" s="319" t="str">
        <f t="shared" si="50"/>
        <v>I.2.2.02.02729</v>
      </c>
      <c r="B1704" s="319">
        <v>29</v>
      </c>
      <c r="C1704" s="394" t="str">
        <f>IFERROR(VLOOKUP(A1704,[3]DOORSCRIEFT!$A$2:$G$8551,2,FALSE),"")</f>
        <v/>
      </c>
      <c r="D1704" s="393" t="str">
        <f>IFERROR(VLOOKUP(A1704,[3]DOORSCRIEFT!$A$2:$G$8551,3,FALSE),"")</f>
        <v/>
      </c>
      <c r="E1704" s="392" t="str">
        <f>IFERROR(VLOOKUP(A1704,[3]DOORSCRIEFT!$A$2:$G$8551,4,FALSE),"")</f>
        <v/>
      </c>
      <c r="F1704" s="405" t="str">
        <f>IFERROR(VLOOKUP(A1704,[3]DOORSCRIEFT!$A$2:$G$8551,6,FALSE),"")</f>
        <v/>
      </c>
      <c r="G1704" s="423"/>
    </row>
    <row r="1705" spans="1:7" x14ac:dyDescent="0.25">
      <c r="A1705" s="319" t="str">
        <f t="shared" si="50"/>
        <v>I.2.2.02.02730</v>
      </c>
      <c r="B1705" s="319">
        <v>30</v>
      </c>
      <c r="C1705" s="394" t="str">
        <f>IFERROR(VLOOKUP(A1705,[3]DOORSCRIEFT!$A$2:$G$8551,2,FALSE),"")</f>
        <v/>
      </c>
      <c r="D1705" s="393" t="str">
        <f>IFERROR(VLOOKUP(A1705,[3]DOORSCRIEFT!$A$2:$G$8551,3,FALSE),"")</f>
        <v/>
      </c>
      <c r="E1705" s="392" t="str">
        <f>IFERROR(VLOOKUP(A1705,[3]DOORSCRIEFT!$A$2:$G$8551,4,FALSE),"")</f>
        <v/>
      </c>
      <c r="F1705" s="405" t="str">
        <f>IFERROR(VLOOKUP(A1705,[3]DOORSCRIEFT!$A$2:$G$8551,6,FALSE),"")</f>
        <v/>
      </c>
      <c r="G1705" s="423"/>
    </row>
    <row r="1706" spans="1:7" x14ac:dyDescent="0.25">
      <c r="A1706" s="319" t="str">
        <f t="shared" si="50"/>
        <v>I.2.2.02.02731</v>
      </c>
      <c r="B1706" s="319">
        <v>31</v>
      </c>
      <c r="C1706" s="394" t="str">
        <f>IFERROR(VLOOKUP(A1706,[3]DOORSCRIEFT!$A$2:$G$8551,2,FALSE),"")</f>
        <v/>
      </c>
      <c r="D1706" s="393" t="str">
        <f>IFERROR(VLOOKUP(A1706,[3]DOORSCRIEFT!$A$2:$G$8551,3,FALSE),"")</f>
        <v/>
      </c>
      <c r="E1706" s="392" t="str">
        <f>IFERROR(VLOOKUP(A1706,[3]DOORSCRIEFT!$A$2:$G$8551,4,FALSE),"")</f>
        <v/>
      </c>
      <c r="F1706" s="405" t="str">
        <f>IFERROR(VLOOKUP(A1706,[3]DOORSCRIEFT!$A$2:$G$8551,6,FALSE),"")</f>
        <v/>
      </c>
      <c r="G1706" s="423"/>
    </row>
    <row r="1707" spans="1:7" x14ac:dyDescent="0.25">
      <c r="A1707" s="319" t="str">
        <f t="shared" si="50"/>
        <v>I.2.2.02.02732</v>
      </c>
      <c r="B1707" s="319">
        <v>32</v>
      </c>
      <c r="C1707" s="394" t="str">
        <f>IFERROR(VLOOKUP(A1707,[3]DOORSCRIEFT!$A$2:$G$8551,2,FALSE),"")</f>
        <v/>
      </c>
      <c r="D1707" s="393" t="str">
        <f>IFERROR(VLOOKUP(A1707,[3]DOORSCRIEFT!$A$2:$G$8551,3,FALSE),"")</f>
        <v/>
      </c>
      <c r="E1707" s="392" t="str">
        <f>IFERROR(VLOOKUP(A1707,[3]DOORSCRIEFT!$A$2:$G$8551,4,FALSE),"")</f>
        <v/>
      </c>
      <c r="F1707" s="405" t="str">
        <f>IFERROR(VLOOKUP(A1707,[3]DOORSCRIEFT!$A$2:$G$8551,6,FALSE),"")</f>
        <v/>
      </c>
      <c r="G1707" s="423"/>
    </row>
    <row r="1708" spans="1:7" x14ac:dyDescent="0.25">
      <c r="A1708" s="319" t="str">
        <f t="shared" si="50"/>
        <v>I.2.2.02.02733</v>
      </c>
      <c r="B1708" s="319">
        <v>33</v>
      </c>
      <c r="C1708" s="394" t="str">
        <f>IFERROR(VLOOKUP(A1708,[3]DOORSCRIEFT!$A$2:$G$8551,2,FALSE),"")</f>
        <v/>
      </c>
      <c r="D1708" s="393" t="str">
        <f>IFERROR(VLOOKUP(A1708,[3]DOORSCRIEFT!$A$2:$G$8551,3,FALSE),"")</f>
        <v/>
      </c>
      <c r="E1708" s="392" t="str">
        <f>IFERROR(VLOOKUP(A1708,[3]DOORSCRIEFT!$A$2:$G$8551,4,FALSE),"")</f>
        <v/>
      </c>
      <c r="F1708" s="405" t="str">
        <f>IFERROR(VLOOKUP(A1708,[3]DOORSCRIEFT!$A$2:$G$8551,6,FALSE),"")</f>
        <v/>
      </c>
      <c r="G1708" s="423"/>
    </row>
    <row r="1709" spans="1:7" x14ac:dyDescent="0.25">
      <c r="A1709" s="319" t="str">
        <f t="shared" si="50"/>
        <v>I.2.2.02.02734</v>
      </c>
      <c r="B1709" s="319">
        <v>34</v>
      </c>
      <c r="C1709" s="394" t="str">
        <f>IFERROR(VLOOKUP(A1709,[3]DOORSCRIEFT!$A$2:$G$8551,2,FALSE),"")</f>
        <v/>
      </c>
      <c r="D1709" s="393" t="str">
        <f>IFERROR(VLOOKUP(A1709,[3]DOORSCRIEFT!$A$2:$G$8551,3,FALSE),"")</f>
        <v/>
      </c>
      <c r="E1709" s="392" t="str">
        <f>IFERROR(VLOOKUP(A1709,[3]DOORSCRIEFT!$A$2:$G$8551,4,FALSE),"")</f>
        <v/>
      </c>
      <c r="F1709" s="405" t="str">
        <f>IFERROR(VLOOKUP(A1709,[3]DOORSCRIEFT!$A$2:$G$8551,6,FALSE),"")</f>
        <v/>
      </c>
      <c r="G1709" s="423"/>
    </row>
    <row r="1710" spans="1:7" x14ac:dyDescent="0.25">
      <c r="A1710" s="319" t="str">
        <f t="shared" si="50"/>
        <v>I.2.2.02.02735</v>
      </c>
      <c r="B1710" s="319">
        <v>35</v>
      </c>
      <c r="C1710" s="394" t="str">
        <f>IFERROR(VLOOKUP(A1710,[3]DOORSCRIEFT!$A$2:$G$8551,2,FALSE),"")</f>
        <v/>
      </c>
      <c r="D1710" s="393" t="str">
        <f>IFERROR(VLOOKUP(A1710,[3]DOORSCRIEFT!$A$2:$G$8551,3,FALSE),"")</f>
        <v/>
      </c>
      <c r="E1710" s="392" t="str">
        <f>IFERROR(VLOOKUP(A1710,[3]DOORSCRIEFT!$A$2:$G$8551,4,FALSE),"")</f>
        <v/>
      </c>
      <c r="F1710" s="405" t="str">
        <f>IFERROR(VLOOKUP(A1710,[3]DOORSCRIEFT!$A$2:$G$8551,6,FALSE),"")</f>
        <v/>
      </c>
      <c r="G1710" s="423"/>
    </row>
    <row r="1711" spans="1:7" x14ac:dyDescent="0.25">
      <c r="A1711" s="319" t="str">
        <f t="shared" si="50"/>
        <v>I.2.2.02.02736</v>
      </c>
      <c r="B1711" s="319">
        <v>36</v>
      </c>
      <c r="C1711" s="394" t="str">
        <f>IFERROR(VLOOKUP(A1711,[3]DOORSCRIEFT!$A$2:$G$8551,2,FALSE),"")</f>
        <v/>
      </c>
      <c r="D1711" s="393" t="str">
        <f>IFERROR(VLOOKUP(A1711,[3]DOORSCRIEFT!$A$2:$G$8551,3,FALSE),"")</f>
        <v/>
      </c>
      <c r="E1711" s="392" t="str">
        <f>IFERROR(VLOOKUP(A1711,[3]DOORSCRIEFT!$A$2:$G$8551,4,FALSE),"")</f>
        <v/>
      </c>
      <c r="F1711" s="405" t="str">
        <f>IFERROR(VLOOKUP(A1711,[3]DOORSCRIEFT!$A$2:$G$8551,6,FALSE),"")</f>
        <v/>
      </c>
      <c r="G1711" s="423"/>
    </row>
    <row r="1712" spans="1:7" x14ac:dyDescent="0.25">
      <c r="A1712" s="319" t="str">
        <f t="shared" si="50"/>
        <v>I.2.2.02.02737</v>
      </c>
      <c r="B1712" s="319">
        <v>37</v>
      </c>
      <c r="C1712" s="394" t="str">
        <f>IFERROR(VLOOKUP(A1712,[3]DOORSCRIEFT!$A$2:$G$8551,2,FALSE),"")</f>
        <v/>
      </c>
      <c r="D1712" s="393" t="str">
        <f>IFERROR(VLOOKUP(A1712,[3]DOORSCRIEFT!$A$2:$G$8551,3,FALSE),"")</f>
        <v/>
      </c>
      <c r="E1712" s="392" t="str">
        <f>IFERROR(VLOOKUP(A1712,[3]DOORSCRIEFT!$A$2:$G$8551,4,FALSE),"")</f>
        <v/>
      </c>
      <c r="F1712" s="405" t="str">
        <f>IFERROR(VLOOKUP(A1712,[3]DOORSCRIEFT!$A$2:$G$8551,6,FALSE),"")</f>
        <v/>
      </c>
      <c r="G1712" s="423"/>
    </row>
    <row r="1713" spans="1:7" x14ac:dyDescent="0.25">
      <c r="A1713" s="319" t="str">
        <f t="shared" si="50"/>
        <v>I.2.2.02.02738</v>
      </c>
      <c r="B1713" s="319">
        <v>38</v>
      </c>
      <c r="C1713" s="394" t="str">
        <f>IFERROR(VLOOKUP(A1713,[3]DOORSCRIEFT!$A$2:$G$8551,2,FALSE),"")</f>
        <v/>
      </c>
      <c r="D1713" s="393" t="str">
        <f>IFERROR(VLOOKUP(A1713,[3]DOORSCRIEFT!$A$2:$G$8551,3,FALSE),"")</f>
        <v/>
      </c>
      <c r="E1713" s="392" t="str">
        <f>IFERROR(VLOOKUP(A1713,[3]DOORSCRIEFT!$A$2:$G$8551,4,FALSE),"")</f>
        <v/>
      </c>
      <c r="F1713" s="405" t="str">
        <f>IFERROR(VLOOKUP(A1713,[3]DOORSCRIEFT!$A$2:$G$8551,6,FALSE),"")</f>
        <v/>
      </c>
      <c r="G1713" s="423"/>
    </row>
    <row r="1714" spans="1:7" ht="15.75" thickBot="1" x14ac:dyDescent="0.3">
      <c r="A1714" s="345" t="str">
        <f t="shared" si="50"/>
        <v>I.2.2.02.02739</v>
      </c>
      <c r="B1714" s="345">
        <v>39</v>
      </c>
      <c r="C1714" s="394" t="str">
        <f>IFERROR(VLOOKUP(A1714,[3]DOORSCRIEFT!$A$2:$G$8551,2,FALSE),"")</f>
        <v/>
      </c>
      <c r="D1714" s="393" t="str">
        <f>IFERROR(VLOOKUP(A1714,[3]DOORSCRIEFT!$A$2:$G$8551,3,FALSE),"")</f>
        <v/>
      </c>
      <c r="E1714" s="392" t="str">
        <f>IFERROR(VLOOKUP(A1714,[3]DOORSCRIEFT!$A$2:$G$8551,4,FALSE),"")</f>
        <v/>
      </c>
      <c r="F1714" s="405" t="str">
        <f>IFERROR(VLOOKUP(A1714,[3]DOORSCRIEFT!$A$2:$G$8551,6,FALSE),"")</f>
        <v/>
      </c>
      <c r="G1714" s="423"/>
    </row>
    <row r="1715" spans="1:7" ht="15.75" thickBot="1" x14ac:dyDescent="0.3">
      <c r="A1715" s="358"/>
      <c r="B1715" s="422"/>
      <c r="C1715" s="407"/>
      <c r="D1715" s="312"/>
      <c r="E1715" s="311" t="s">
        <v>644</v>
      </c>
      <c r="F1715" s="310">
        <f>SUM(F1676:F1714)</f>
        <v>2417000</v>
      </c>
      <c r="G1715" s="309">
        <f>SUM(G1676:G1714)</f>
        <v>0</v>
      </c>
    </row>
    <row r="1716" spans="1:7" x14ac:dyDescent="0.25">
      <c r="B1716" s="335"/>
    </row>
    <row r="1717" spans="1:7" x14ac:dyDescent="0.25">
      <c r="B1717" s="335"/>
    </row>
    <row r="1718" spans="1:7" ht="15.75" x14ac:dyDescent="0.25">
      <c r="B1718" s="335"/>
      <c r="C1718" s="332"/>
      <c r="D1718" s="333"/>
      <c r="E1718" s="332"/>
      <c r="F1718" s="327" t="s">
        <v>607</v>
      </c>
      <c r="G1718" s="327" t="s">
        <v>492</v>
      </c>
    </row>
    <row r="1719" spans="1:7" ht="15.75" x14ac:dyDescent="0.25">
      <c r="B1719" s="335"/>
      <c r="C1719" s="332"/>
      <c r="D1719" s="333"/>
      <c r="E1719" s="332"/>
      <c r="F1719" s="327" t="s">
        <v>601</v>
      </c>
      <c r="G1719" s="327" t="s">
        <v>491</v>
      </c>
    </row>
    <row r="1720" spans="1:7" x14ac:dyDescent="0.25">
      <c r="B1720" s="335"/>
      <c r="C1720" s="328"/>
      <c r="D1720" s="329"/>
      <c r="E1720" s="328"/>
      <c r="F1720" s="327" t="s">
        <v>651</v>
      </c>
      <c r="G1720" s="331">
        <f>[2]Sheet1!$D$54</f>
        <v>11000000</v>
      </c>
    </row>
    <row r="1721" spans="1:7" ht="15.75" thickBot="1" x14ac:dyDescent="0.3">
      <c r="B1721" s="335"/>
      <c r="C1721" s="328"/>
      <c r="D1721" s="329"/>
      <c r="E1721" s="328"/>
      <c r="F1721" s="327" t="s">
        <v>650</v>
      </c>
      <c r="G1721" s="326">
        <f>+F1787-G1720</f>
        <v>-11000000</v>
      </c>
    </row>
    <row r="1722" spans="1:7" x14ac:dyDescent="0.25">
      <c r="A1722" s="571" t="s">
        <v>626</v>
      </c>
      <c r="B1722" s="573" t="s">
        <v>606</v>
      </c>
      <c r="C1722" s="588" t="s">
        <v>649</v>
      </c>
      <c r="D1722" s="577" t="s">
        <v>648</v>
      </c>
      <c r="E1722" s="577" t="s">
        <v>647</v>
      </c>
      <c r="F1722" s="577" t="s">
        <v>646</v>
      </c>
      <c r="G1722" s="580" t="s">
        <v>645</v>
      </c>
    </row>
    <row r="1723" spans="1:7" ht="15.75" thickBot="1" x14ac:dyDescent="0.3">
      <c r="A1723" s="579"/>
      <c r="B1723" s="593"/>
      <c r="C1723" s="592"/>
      <c r="D1723" s="578"/>
      <c r="E1723" s="578"/>
      <c r="F1723" s="578"/>
      <c r="G1723" s="581"/>
    </row>
    <row r="1724" spans="1:7" ht="15.75" thickBot="1" x14ac:dyDescent="0.3">
      <c r="A1724" s="325">
        <v>1</v>
      </c>
      <c r="B1724" s="324">
        <v>2</v>
      </c>
      <c r="C1724" s="324">
        <v>3</v>
      </c>
      <c r="D1724" s="324">
        <v>4</v>
      </c>
      <c r="E1724" s="324">
        <v>5</v>
      </c>
      <c r="F1724" s="324">
        <v>6</v>
      </c>
      <c r="G1724" s="323">
        <v>7</v>
      </c>
    </row>
    <row r="1725" spans="1:7" x14ac:dyDescent="0.25">
      <c r="A1725" s="339" t="str">
        <f t="shared" ref="A1725:A1756" si="51">$G$1718&amp;B1725</f>
        <v>I.2.2.02.0281</v>
      </c>
      <c r="B1725" s="339">
        <v>1</v>
      </c>
      <c r="C1725" s="394" t="str">
        <f>IFERROR(VLOOKUP(A1725,[3]DOORSCRIEFT!$A$2:$G$8551,2,FALSE),"")</f>
        <v/>
      </c>
      <c r="D1725" s="393" t="str">
        <f>IFERROR(VLOOKUP(A1725,[3]DOORSCRIEFT!$A$2:$G$8551,3,FALSE),"")</f>
        <v/>
      </c>
      <c r="E1725" s="392" t="str">
        <f>IFERROR(VLOOKUP(A1725,[3]DOORSCRIEFT!$A$2:$G$8551,4,FALSE),"")</f>
        <v/>
      </c>
      <c r="F1725" s="405" t="str">
        <f>IFERROR(VLOOKUP(A1725,[3]DOORSCRIEFT!$A$2:$G$8551,6,FALSE),"")</f>
        <v/>
      </c>
      <c r="G1725" s="322"/>
    </row>
    <row r="1726" spans="1:7" x14ac:dyDescent="0.25">
      <c r="A1726" s="319" t="str">
        <f t="shared" si="51"/>
        <v>I.2.2.02.0282</v>
      </c>
      <c r="B1726" s="319">
        <v>2</v>
      </c>
      <c r="C1726" s="394" t="str">
        <f>IFERROR(VLOOKUP(A1726,[3]DOORSCRIEFT!$A$2:$G$8551,2,FALSE),"")</f>
        <v/>
      </c>
      <c r="D1726" s="393" t="str">
        <f>IFERROR(VLOOKUP(A1726,[3]DOORSCRIEFT!$A$2:$G$8551,3,FALSE),"")</f>
        <v/>
      </c>
      <c r="E1726" s="392" t="str">
        <f>IFERROR(VLOOKUP(A1726,[3]DOORSCRIEFT!$A$2:$G$8551,4,FALSE),"")</f>
        <v/>
      </c>
      <c r="F1726" s="405" t="str">
        <f>IFERROR(VLOOKUP(A1726,[3]DOORSCRIEFT!$A$2:$G$8551,6,FALSE),"")</f>
        <v/>
      </c>
      <c r="G1726" s="315"/>
    </row>
    <row r="1727" spans="1:7" x14ac:dyDescent="0.25">
      <c r="A1727" s="319" t="str">
        <f t="shared" si="51"/>
        <v>I.2.2.02.0283</v>
      </c>
      <c r="B1727" s="319">
        <v>3</v>
      </c>
      <c r="C1727" s="394" t="str">
        <f>IFERROR(VLOOKUP(A1727,[3]DOORSCRIEFT!$A$2:$G$8551,2,FALSE),"")</f>
        <v/>
      </c>
      <c r="D1727" s="393" t="str">
        <f>IFERROR(VLOOKUP(A1727,[3]DOORSCRIEFT!$A$2:$G$8551,3,FALSE),"")</f>
        <v/>
      </c>
      <c r="E1727" s="392" t="str">
        <f>IFERROR(VLOOKUP(A1727,[3]DOORSCRIEFT!$A$2:$G$8551,4,FALSE),"")</f>
        <v/>
      </c>
      <c r="F1727" s="405" t="str">
        <f>IFERROR(VLOOKUP(A1727,[3]DOORSCRIEFT!$A$2:$G$8551,6,FALSE),"")</f>
        <v/>
      </c>
      <c r="G1727" s="315"/>
    </row>
    <row r="1728" spans="1:7" x14ac:dyDescent="0.25">
      <c r="A1728" s="319" t="str">
        <f t="shared" si="51"/>
        <v>I.2.2.02.0284</v>
      </c>
      <c r="B1728" s="319">
        <v>4</v>
      </c>
      <c r="C1728" s="394" t="str">
        <f>IFERROR(VLOOKUP(A1728,[3]DOORSCRIEFT!$A$2:$G$8551,2,FALSE),"")</f>
        <v/>
      </c>
      <c r="D1728" s="393" t="str">
        <f>IFERROR(VLOOKUP(A1728,[3]DOORSCRIEFT!$A$2:$G$8551,3,FALSE),"")</f>
        <v/>
      </c>
      <c r="E1728" s="392" t="str">
        <f>IFERROR(VLOOKUP(A1728,[3]DOORSCRIEFT!$A$2:$G$8551,4,FALSE),"")</f>
        <v/>
      </c>
      <c r="F1728" s="405" t="str">
        <f>IFERROR(VLOOKUP(A1728,[3]DOORSCRIEFT!$A$2:$G$8551,6,FALSE),"")</f>
        <v/>
      </c>
      <c r="G1728" s="315"/>
    </row>
    <row r="1729" spans="1:7" x14ac:dyDescent="0.25">
      <c r="A1729" s="319" t="str">
        <f t="shared" si="51"/>
        <v>I.2.2.02.0285</v>
      </c>
      <c r="B1729" s="319">
        <v>5</v>
      </c>
      <c r="C1729" s="394" t="str">
        <f>IFERROR(VLOOKUP(A1729,[3]DOORSCRIEFT!$A$2:$G$8551,2,FALSE),"")</f>
        <v/>
      </c>
      <c r="D1729" s="393" t="str">
        <f>IFERROR(VLOOKUP(A1729,[3]DOORSCRIEFT!$A$2:$G$8551,3,FALSE),"")</f>
        <v/>
      </c>
      <c r="E1729" s="392" t="str">
        <f>IFERROR(VLOOKUP(A1729,[3]DOORSCRIEFT!$A$2:$G$8551,4,FALSE),"")</f>
        <v/>
      </c>
      <c r="F1729" s="405" t="str">
        <f>IFERROR(VLOOKUP(A1729,[3]DOORSCRIEFT!$A$2:$G$8551,6,FALSE),"")</f>
        <v/>
      </c>
      <c r="G1729" s="315"/>
    </row>
    <row r="1730" spans="1:7" x14ac:dyDescent="0.25">
      <c r="A1730" s="319" t="str">
        <f t="shared" si="51"/>
        <v>I.2.2.02.0286</v>
      </c>
      <c r="B1730" s="319">
        <v>6</v>
      </c>
      <c r="C1730" s="394" t="str">
        <f>IFERROR(VLOOKUP(A1730,[3]DOORSCRIEFT!$A$2:$G$8551,2,FALSE),"")</f>
        <v/>
      </c>
      <c r="D1730" s="393" t="str">
        <f>IFERROR(VLOOKUP(A1730,[3]DOORSCRIEFT!$A$2:$G$8551,3,FALSE),"")</f>
        <v/>
      </c>
      <c r="E1730" s="392" t="str">
        <f>IFERROR(VLOOKUP(A1730,[3]DOORSCRIEFT!$A$2:$G$8551,4,FALSE),"")</f>
        <v/>
      </c>
      <c r="F1730" s="405" t="str">
        <f>IFERROR(VLOOKUP(A1730,[3]DOORSCRIEFT!$A$2:$G$8551,6,FALSE),"")</f>
        <v/>
      </c>
      <c r="G1730" s="315"/>
    </row>
    <row r="1731" spans="1:7" x14ac:dyDescent="0.25">
      <c r="A1731" s="319" t="str">
        <f t="shared" si="51"/>
        <v>I.2.2.02.0287</v>
      </c>
      <c r="B1731" s="319">
        <v>7</v>
      </c>
      <c r="C1731" s="394" t="str">
        <f>IFERROR(VLOOKUP(A1731,[3]DOORSCRIEFT!$A$2:$G$8551,2,FALSE),"")</f>
        <v/>
      </c>
      <c r="D1731" s="393" t="str">
        <f>IFERROR(VLOOKUP(A1731,[3]DOORSCRIEFT!$A$2:$G$8551,3,FALSE),"")</f>
        <v/>
      </c>
      <c r="E1731" s="392" t="str">
        <f>IFERROR(VLOOKUP(A1731,[3]DOORSCRIEFT!$A$2:$G$8551,4,FALSE),"")</f>
        <v/>
      </c>
      <c r="F1731" s="405" t="str">
        <f>IFERROR(VLOOKUP(A1731,[3]DOORSCRIEFT!$A$2:$G$8551,6,FALSE),"")</f>
        <v/>
      </c>
      <c r="G1731" s="315"/>
    </row>
    <row r="1732" spans="1:7" x14ac:dyDescent="0.25">
      <c r="A1732" s="319" t="str">
        <f t="shared" si="51"/>
        <v>I.2.2.02.0288</v>
      </c>
      <c r="B1732" s="319">
        <v>8</v>
      </c>
      <c r="C1732" s="394" t="str">
        <f>IFERROR(VLOOKUP(A1732,[3]DOORSCRIEFT!$A$2:$G$8551,2,FALSE),"")</f>
        <v/>
      </c>
      <c r="D1732" s="393" t="str">
        <f>IFERROR(VLOOKUP(A1732,[3]DOORSCRIEFT!$A$2:$G$8551,3,FALSE),"")</f>
        <v/>
      </c>
      <c r="E1732" s="392" t="str">
        <f>IFERROR(VLOOKUP(A1732,[3]DOORSCRIEFT!$A$2:$G$8551,4,FALSE),"")</f>
        <v/>
      </c>
      <c r="F1732" s="405" t="str">
        <f>IFERROR(VLOOKUP(A1732,[3]DOORSCRIEFT!$A$2:$G$8551,6,FALSE),"")</f>
        <v/>
      </c>
      <c r="G1732" s="315"/>
    </row>
    <row r="1733" spans="1:7" x14ac:dyDescent="0.25">
      <c r="A1733" s="319" t="str">
        <f t="shared" si="51"/>
        <v>I.2.2.02.0289</v>
      </c>
      <c r="B1733" s="319">
        <v>9</v>
      </c>
      <c r="C1733" s="394" t="str">
        <f>IFERROR(VLOOKUP(A1733,[3]DOORSCRIEFT!$A$2:$G$8551,2,FALSE),"")</f>
        <v/>
      </c>
      <c r="D1733" s="393" t="str">
        <f>IFERROR(VLOOKUP(A1733,[3]DOORSCRIEFT!$A$2:$G$8551,3,FALSE),"")</f>
        <v/>
      </c>
      <c r="E1733" s="392" t="str">
        <f>IFERROR(VLOOKUP(A1733,[3]DOORSCRIEFT!$A$2:$G$8551,4,FALSE),"")</f>
        <v/>
      </c>
      <c r="F1733" s="405" t="str">
        <f>IFERROR(VLOOKUP(A1733,[3]DOORSCRIEFT!$A$2:$G$8551,6,FALSE),"")</f>
        <v/>
      </c>
      <c r="G1733" s="315"/>
    </row>
    <row r="1734" spans="1:7" x14ac:dyDescent="0.25">
      <c r="A1734" s="319" t="str">
        <f t="shared" si="51"/>
        <v>I.2.2.02.02810</v>
      </c>
      <c r="B1734" s="319">
        <v>10</v>
      </c>
      <c r="C1734" s="394" t="str">
        <f>IFERROR(VLOOKUP(A1734,[3]DOORSCRIEFT!$A$2:$G$8551,2,FALSE),"")</f>
        <v/>
      </c>
      <c r="D1734" s="393" t="str">
        <f>IFERROR(VLOOKUP(A1734,[3]DOORSCRIEFT!$A$2:$G$8551,3,FALSE),"")</f>
        <v/>
      </c>
      <c r="E1734" s="392" t="str">
        <f>IFERROR(VLOOKUP(A1734,[3]DOORSCRIEFT!$A$2:$G$8551,4,FALSE),"")</f>
        <v/>
      </c>
      <c r="F1734" s="405" t="str">
        <f>IFERROR(VLOOKUP(A1734,[3]DOORSCRIEFT!$A$2:$G$8551,6,FALSE),"")</f>
        <v/>
      </c>
      <c r="G1734" s="315"/>
    </row>
    <row r="1735" spans="1:7" x14ac:dyDescent="0.25">
      <c r="A1735" s="319" t="str">
        <f t="shared" si="51"/>
        <v>I.2.2.02.02811</v>
      </c>
      <c r="B1735" s="319">
        <v>11</v>
      </c>
      <c r="C1735" s="394" t="str">
        <f>IFERROR(VLOOKUP(A1735,[3]DOORSCRIEFT!$A$2:$G$8551,2,FALSE),"")</f>
        <v/>
      </c>
      <c r="D1735" s="393" t="str">
        <f>IFERROR(VLOOKUP(A1735,[3]DOORSCRIEFT!$A$2:$G$8551,3,FALSE),"")</f>
        <v/>
      </c>
      <c r="E1735" s="392" t="str">
        <f>IFERROR(VLOOKUP(A1735,[3]DOORSCRIEFT!$A$2:$G$8551,4,FALSE),"")</f>
        <v/>
      </c>
      <c r="F1735" s="405" t="str">
        <f>IFERROR(VLOOKUP(A1735,[3]DOORSCRIEFT!$A$2:$G$8551,6,FALSE),"")</f>
        <v/>
      </c>
      <c r="G1735" s="315"/>
    </row>
    <row r="1736" spans="1:7" x14ac:dyDescent="0.25">
      <c r="A1736" s="319" t="str">
        <f t="shared" si="51"/>
        <v>I.2.2.02.02812</v>
      </c>
      <c r="B1736" s="319">
        <v>12</v>
      </c>
      <c r="C1736" s="394" t="str">
        <f>IFERROR(VLOOKUP(A1736,[3]DOORSCRIEFT!$A$2:$G$8551,2,FALSE),"")</f>
        <v/>
      </c>
      <c r="D1736" s="393" t="str">
        <f>IFERROR(VLOOKUP(A1736,[3]DOORSCRIEFT!$A$2:$G$8551,3,FALSE),"")</f>
        <v/>
      </c>
      <c r="E1736" s="392" t="str">
        <f>IFERROR(VLOOKUP(A1736,[3]DOORSCRIEFT!$A$2:$G$8551,4,FALSE),"")</f>
        <v/>
      </c>
      <c r="F1736" s="405" t="str">
        <f>IFERROR(VLOOKUP(A1736,[3]DOORSCRIEFT!$A$2:$G$8551,6,FALSE),"")</f>
        <v/>
      </c>
      <c r="G1736" s="315"/>
    </row>
    <row r="1737" spans="1:7" x14ac:dyDescent="0.25">
      <c r="A1737" s="319" t="str">
        <f t="shared" si="51"/>
        <v>I.2.2.02.02813</v>
      </c>
      <c r="B1737" s="319">
        <v>13</v>
      </c>
      <c r="C1737" s="394" t="str">
        <f>IFERROR(VLOOKUP(A1737,[3]DOORSCRIEFT!$A$2:$G$8551,2,FALSE),"")</f>
        <v/>
      </c>
      <c r="D1737" s="393" t="str">
        <f>IFERROR(VLOOKUP(A1737,[3]DOORSCRIEFT!$A$2:$G$8551,3,FALSE),"")</f>
        <v/>
      </c>
      <c r="E1737" s="392" t="str">
        <f>IFERROR(VLOOKUP(A1737,[3]DOORSCRIEFT!$A$2:$G$8551,4,FALSE),"")</f>
        <v/>
      </c>
      <c r="F1737" s="405" t="str">
        <f>IFERROR(VLOOKUP(A1737,[3]DOORSCRIEFT!$A$2:$G$8551,6,FALSE),"")</f>
        <v/>
      </c>
      <c r="G1737" s="315"/>
    </row>
    <row r="1738" spans="1:7" x14ac:dyDescent="0.25">
      <c r="A1738" s="319" t="str">
        <f t="shared" si="51"/>
        <v>I.2.2.02.02814</v>
      </c>
      <c r="B1738" s="319">
        <v>14</v>
      </c>
      <c r="C1738" s="394" t="str">
        <f>IFERROR(VLOOKUP(A1738,[3]DOORSCRIEFT!$A$2:$G$8551,2,FALSE),"")</f>
        <v/>
      </c>
      <c r="D1738" s="393" t="str">
        <f>IFERROR(VLOOKUP(A1738,[3]DOORSCRIEFT!$A$2:$G$8551,3,FALSE),"")</f>
        <v/>
      </c>
      <c r="E1738" s="392" t="str">
        <f>IFERROR(VLOOKUP(A1738,[3]DOORSCRIEFT!$A$2:$G$8551,4,FALSE),"")</f>
        <v/>
      </c>
      <c r="F1738" s="405" t="str">
        <f>IFERROR(VLOOKUP(A1738,[3]DOORSCRIEFT!$A$2:$G$8551,6,FALSE),"")</f>
        <v/>
      </c>
      <c r="G1738" s="315"/>
    </row>
    <row r="1739" spans="1:7" x14ac:dyDescent="0.25">
      <c r="A1739" s="319" t="str">
        <f t="shared" si="51"/>
        <v>I.2.2.02.02815</v>
      </c>
      <c r="B1739" s="319">
        <v>15</v>
      </c>
      <c r="C1739" s="394" t="str">
        <f>IFERROR(VLOOKUP(A1739,[3]DOORSCRIEFT!$A$2:$G$8551,2,FALSE),"")</f>
        <v/>
      </c>
      <c r="D1739" s="393" t="str">
        <f>IFERROR(VLOOKUP(A1739,[3]DOORSCRIEFT!$A$2:$G$8551,3,FALSE),"")</f>
        <v/>
      </c>
      <c r="E1739" s="392" t="str">
        <f>IFERROR(VLOOKUP(A1739,[3]DOORSCRIEFT!$A$2:$G$8551,4,FALSE),"")</f>
        <v/>
      </c>
      <c r="F1739" s="405" t="str">
        <f>IFERROR(VLOOKUP(A1739,[3]DOORSCRIEFT!$A$2:$G$8551,6,FALSE),"")</f>
        <v/>
      </c>
      <c r="G1739" s="315"/>
    </row>
    <row r="1740" spans="1:7" x14ac:dyDescent="0.25">
      <c r="A1740" s="319" t="str">
        <f t="shared" si="51"/>
        <v>I.2.2.02.02816</v>
      </c>
      <c r="B1740" s="319">
        <v>16</v>
      </c>
      <c r="C1740" s="394" t="str">
        <f>IFERROR(VLOOKUP(A1740,[3]DOORSCRIEFT!$A$2:$G$8551,2,FALSE),"")</f>
        <v/>
      </c>
      <c r="D1740" s="393" t="str">
        <f>IFERROR(VLOOKUP(A1740,[3]DOORSCRIEFT!$A$2:$G$8551,3,FALSE),"")</f>
        <v/>
      </c>
      <c r="E1740" s="392" t="str">
        <f>IFERROR(VLOOKUP(A1740,[3]DOORSCRIEFT!$A$2:$G$8551,4,FALSE),"")</f>
        <v/>
      </c>
      <c r="F1740" s="405" t="str">
        <f>IFERROR(VLOOKUP(A1740,[3]DOORSCRIEFT!$A$2:$G$8551,6,FALSE),"")</f>
        <v/>
      </c>
      <c r="G1740" s="315"/>
    </row>
    <row r="1741" spans="1:7" x14ac:dyDescent="0.25">
      <c r="A1741" s="319" t="str">
        <f t="shared" si="51"/>
        <v>I.2.2.02.02817</v>
      </c>
      <c r="B1741" s="319">
        <v>17</v>
      </c>
      <c r="C1741" s="394" t="str">
        <f>IFERROR(VLOOKUP(A1741,[3]DOORSCRIEFT!$A$2:$G$8551,2,FALSE),"")</f>
        <v/>
      </c>
      <c r="D1741" s="393" t="str">
        <f>IFERROR(VLOOKUP(A1741,[3]DOORSCRIEFT!$A$2:$G$8551,3,FALSE),"")</f>
        <v/>
      </c>
      <c r="E1741" s="392" t="str">
        <f>IFERROR(VLOOKUP(A1741,[3]DOORSCRIEFT!$A$2:$G$8551,4,FALSE),"")</f>
        <v/>
      </c>
      <c r="F1741" s="405" t="str">
        <f>IFERROR(VLOOKUP(A1741,[3]DOORSCRIEFT!$A$2:$G$8551,6,FALSE),"")</f>
        <v/>
      </c>
      <c r="G1741" s="315"/>
    </row>
    <row r="1742" spans="1:7" x14ac:dyDescent="0.25">
      <c r="A1742" s="319" t="str">
        <f t="shared" si="51"/>
        <v>I.2.2.02.02818</v>
      </c>
      <c r="B1742" s="319">
        <v>18</v>
      </c>
      <c r="C1742" s="394" t="str">
        <f>IFERROR(VLOOKUP(A1742,[3]DOORSCRIEFT!$A$2:$G$8551,2,FALSE),"")</f>
        <v/>
      </c>
      <c r="D1742" s="393" t="str">
        <f>IFERROR(VLOOKUP(A1742,[3]DOORSCRIEFT!$A$2:$G$8551,3,FALSE),"")</f>
        <v/>
      </c>
      <c r="E1742" s="392" t="str">
        <f>IFERROR(VLOOKUP(A1742,[3]DOORSCRIEFT!$A$2:$G$8551,4,FALSE),"")</f>
        <v/>
      </c>
      <c r="F1742" s="405" t="str">
        <f>IFERROR(VLOOKUP(A1742,[3]DOORSCRIEFT!$A$2:$G$8551,6,FALSE),"")</f>
        <v/>
      </c>
      <c r="G1742" s="315"/>
    </row>
    <row r="1743" spans="1:7" x14ac:dyDescent="0.25">
      <c r="A1743" s="319" t="str">
        <f t="shared" si="51"/>
        <v>I.2.2.02.02819</v>
      </c>
      <c r="B1743" s="319">
        <v>19</v>
      </c>
      <c r="C1743" s="394" t="str">
        <f>IFERROR(VLOOKUP(A1743,[3]DOORSCRIEFT!$A$2:$G$8551,2,FALSE),"")</f>
        <v/>
      </c>
      <c r="D1743" s="393" t="str">
        <f>IFERROR(VLOOKUP(A1743,[3]DOORSCRIEFT!$A$2:$G$8551,3,FALSE),"")</f>
        <v/>
      </c>
      <c r="E1743" s="392" t="str">
        <f>IFERROR(VLOOKUP(A1743,[3]DOORSCRIEFT!$A$2:$G$8551,4,FALSE),"")</f>
        <v/>
      </c>
      <c r="F1743" s="405" t="str">
        <f>IFERROR(VLOOKUP(A1743,[3]DOORSCRIEFT!$A$2:$G$8551,6,FALSE),"")</f>
        <v/>
      </c>
      <c r="G1743" s="315"/>
    </row>
    <row r="1744" spans="1:7" x14ac:dyDescent="0.25">
      <c r="A1744" s="319" t="str">
        <f t="shared" si="51"/>
        <v>I.2.2.02.02820</v>
      </c>
      <c r="B1744" s="319">
        <v>20</v>
      </c>
      <c r="C1744" s="394" t="str">
        <f>IFERROR(VLOOKUP(A1744,[3]DOORSCRIEFT!$A$2:$G$8551,2,FALSE),"")</f>
        <v/>
      </c>
      <c r="D1744" s="393" t="str">
        <f>IFERROR(VLOOKUP(A1744,[3]DOORSCRIEFT!$A$2:$G$8551,3,FALSE),"")</f>
        <v/>
      </c>
      <c r="E1744" s="392" t="str">
        <f>IFERROR(VLOOKUP(A1744,[3]DOORSCRIEFT!$A$2:$G$8551,4,FALSE),"")</f>
        <v/>
      </c>
      <c r="F1744" s="405" t="str">
        <f>IFERROR(VLOOKUP(A1744,[3]DOORSCRIEFT!$A$2:$G$8551,6,FALSE),"")</f>
        <v/>
      </c>
      <c r="G1744" s="315"/>
    </row>
    <row r="1745" spans="1:7" x14ac:dyDescent="0.25">
      <c r="A1745" s="319" t="str">
        <f t="shared" si="51"/>
        <v>I.2.2.02.02821</v>
      </c>
      <c r="B1745" s="319">
        <v>21</v>
      </c>
      <c r="C1745" s="394" t="str">
        <f>IFERROR(VLOOKUP(A1745,[3]DOORSCRIEFT!$A$2:$G$8551,2,FALSE),"")</f>
        <v/>
      </c>
      <c r="D1745" s="393" t="str">
        <f>IFERROR(VLOOKUP(A1745,[3]DOORSCRIEFT!$A$2:$G$8551,3,FALSE),"")</f>
        <v/>
      </c>
      <c r="E1745" s="392" t="str">
        <f>IFERROR(VLOOKUP(A1745,[3]DOORSCRIEFT!$A$2:$G$8551,4,FALSE),"")</f>
        <v/>
      </c>
      <c r="F1745" s="405" t="str">
        <f>IFERROR(VLOOKUP(A1745,[3]DOORSCRIEFT!$A$2:$G$8551,6,FALSE),"")</f>
        <v/>
      </c>
      <c r="G1745" s="315"/>
    </row>
    <row r="1746" spans="1:7" x14ac:dyDescent="0.25">
      <c r="A1746" s="319" t="str">
        <f t="shared" si="51"/>
        <v>I.2.2.02.02822</v>
      </c>
      <c r="B1746" s="319">
        <v>22</v>
      </c>
      <c r="C1746" s="394" t="str">
        <f>IFERROR(VLOOKUP(A1746,[3]DOORSCRIEFT!$A$2:$G$8551,2,FALSE),"")</f>
        <v/>
      </c>
      <c r="D1746" s="393" t="str">
        <f>IFERROR(VLOOKUP(A1746,[3]DOORSCRIEFT!$A$2:$G$8551,3,FALSE),"")</f>
        <v/>
      </c>
      <c r="E1746" s="392" t="str">
        <f>IFERROR(VLOOKUP(A1746,[3]DOORSCRIEFT!$A$2:$G$8551,4,FALSE),"")</f>
        <v/>
      </c>
      <c r="F1746" s="405" t="str">
        <f>IFERROR(VLOOKUP(A1746,[3]DOORSCRIEFT!$A$2:$G$8551,6,FALSE),"")</f>
        <v/>
      </c>
      <c r="G1746" s="315"/>
    </row>
    <row r="1747" spans="1:7" x14ac:dyDescent="0.25">
      <c r="A1747" s="319" t="str">
        <f t="shared" si="51"/>
        <v>I.2.2.02.02823</v>
      </c>
      <c r="B1747" s="319">
        <v>23</v>
      </c>
      <c r="C1747" s="394" t="str">
        <f>IFERROR(VLOOKUP(A1747,[3]DOORSCRIEFT!$A$2:$G$8551,2,FALSE),"")</f>
        <v/>
      </c>
      <c r="D1747" s="393" t="str">
        <f>IFERROR(VLOOKUP(A1747,[3]DOORSCRIEFT!$A$2:$G$8551,3,FALSE),"")</f>
        <v/>
      </c>
      <c r="E1747" s="392" t="str">
        <f>IFERROR(VLOOKUP(A1747,[3]DOORSCRIEFT!$A$2:$G$8551,4,FALSE),"")</f>
        <v/>
      </c>
      <c r="F1747" s="405" t="str">
        <f>IFERROR(VLOOKUP(A1747,[3]DOORSCRIEFT!$A$2:$G$8551,6,FALSE),"")</f>
        <v/>
      </c>
      <c r="G1747" s="315"/>
    </row>
    <row r="1748" spans="1:7" x14ac:dyDescent="0.25">
      <c r="A1748" s="319" t="str">
        <f t="shared" si="51"/>
        <v>I.2.2.02.02824</v>
      </c>
      <c r="B1748" s="319">
        <v>24</v>
      </c>
      <c r="C1748" s="394" t="str">
        <f>IFERROR(VLOOKUP(A1748,[3]DOORSCRIEFT!$A$2:$G$8551,2,FALSE),"")</f>
        <v/>
      </c>
      <c r="D1748" s="393" t="str">
        <f>IFERROR(VLOOKUP(A1748,[3]DOORSCRIEFT!$A$2:$G$8551,3,FALSE),"")</f>
        <v/>
      </c>
      <c r="E1748" s="392" t="str">
        <f>IFERROR(VLOOKUP(A1748,[3]DOORSCRIEFT!$A$2:$G$8551,4,FALSE),"")</f>
        <v/>
      </c>
      <c r="F1748" s="405" t="str">
        <f>IFERROR(VLOOKUP(A1748,[3]DOORSCRIEFT!$A$2:$G$8551,6,FALSE),"")</f>
        <v/>
      </c>
      <c r="G1748" s="315"/>
    </row>
    <row r="1749" spans="1:7" x14ac:dyDescent="0.25">
      <c r="A1749" s="319" t="str">
        <f t="shared" si="51"/>
        <v>I.2.2.02.02825</v>
      </c>
      <c r="B1749" s="319">
        <v>25</v>
      </c>
      <c r="C1749" s="394" t="str">
        <f>IFERROR(VLOOKUP(A1749,[3]DOORSCRIEFT!$A$2:$G$8551,2,FALSE),"")</f>
        <v/>
      </c>
      <c r="D1749" s="393" t="str">
        <f>IFERROR(VLOOKUP(A1749,[3]DOORSCRIEFT!$A$2:$G$8551,3,FALSE),"")</f>
        <v/>
      </c>
      <c r="E1749" s="392" t="str">
        <f>IFERROR(VLOOKUP(A1749,[3]DOORSCRIEFT!$A$2:$G$8551,4,FALSE),"")</f>
        <v/>
      </c>
      <c r="F1749" s="405" t="str">
        <f>IFERROR(VLOOKUP(A1749,[3]DOORSCRIEFT!$A$2:$G$8551,6,FALSE),"")</f>
        <v/>
      </c>
      <c r="G1749" s="315"/>
    </row>
    <row r="1750" spans="1:7" x14ac:dyDescent="0.25">
      <c r="A1750" s="319" t="str">
        <f t="shared" si="51"/>
        <v>I.2.2.02.02826</v>
      </c>
      <c r="B1750" s="319">
        <v>26</v>
      </c>
      <c r="C1750" s="394" t="str">
        <f>IFERROR(VLOOKUP(A1750,[3]DOORSCRIEFT!$A$2:$G$8551,2,FALSE),"")</f>
        <v/>
      </c>
      <c r="D1750" s="393" t="str">
        <f>IFERROR(VLOOKUP(A1750,[3]DOORSCRIEFT!$A$2:$G$8551,3,FALSE),"")</f>
        <v/>
      </c>
      <c r="E1750" s="392" t="str">
        <f>IFERROR(VLOOKUP(A1750,[3]DOORSCRIEFT!$A$2:$G$8551,4,FALSE),"")</f>
        <v/>
      </c>
      <c r="F1750" s="405" t="str">
        <f>IFERROR(VLOOKUP(A1750,[3]DOORSCRIEFT!$A$2:$G$8551,6,FALSE),"")</f>
        <v/>
      </c>
      <c r="G1750" s="315"/>
    </row>
    <row r="1751" spans="1:7" x14ac:dyDescent="0.25">
      <c r="A1751" s="319" t="str">
        <f t="shared" si="51"/>
        <v>I.2.2.02.02827</v>
      </c>
      <c r="B1751" s="319">
        <v>27</v>
      </c>
      <c r="C1751" s="394" t="str">
        <f>IFERROR(VLOOKUP(A1751,[3]DOORSCRIEFT!$A$2:$G$8551,2,FALSE),"")</f>
        <v/>
      </c>
      <c r="D1751" s="393" t="str">
        <f>IFERROR(VLOOKUP(A1751,[3]DOORSCRIEFT!$A$2:$G$8551,3,FALSE),"")</f>
        <v/>
      </c>
      <c r="E1751" s="392" t="str">
        <f>IFERROR(VLOOKUP(A1751,[3]DOORSCRIEFT!$A$2:$G$8551,4,FALSE),"")</f>
        <v/>
      </c>
      <c r="F1751" s="405" t="str">
        <f>IFERROR(VLOOKUP(A1751,[3]DOORSCRIEFT!$A$2:$G$8551,6,FALSE),"")</f>
        <v/>
      </c>
      <c r="G1751" s="315"/>
    </row>
    <row r="1752" spans="1:7" x14ac:dyDescent="0.25">
      <c r="A1752" s="319" t="str">
        <f t="shared" si="51"/>
        <v>I.2.2.02.02828</v>
      </c>
      <c r="B1752" s="319">
        <v>28</v>
      </c>
      <c r="C1752" s="394" t="str">
        <f>IFERROR(VLOOKUP(A1752,[3]DOORSCRIEFT!$A$2:$G$8551,2,FALSE),"")</f>
        <v/>
      </c>
      <c r="D1752" s="393" t="str">
        <f>IFERROR(VLOOKUP(A1752,[3]DOORSCRIEFT!$A$2:$G$8551,3,FALSE),"")</f>
        <v/>
      </c>
      <c r="E1752" s="392" t="str">
        <f>IFERROR(VLOOKUP(A1752,[3]DOORSCRIEFT!$A$2:$G$8551,4,FALSE),"")</f>
        <v/>
      </c>
      <c r="F1752" s="405" t="str">
        <f>IFERROR(VLOOKUP(A1752,[3]DOORSCRIEFT!$A$2:$G$8551,6,FALSE),"")</f>
        <v/>
      </c>
      <c r="G1752" s="315"/>
    </row>
    <row r="1753" spans="1:7" x14ac:dyDescent="0.25">
      <c r="A1753" s="319" t="str">
        <f t="shared" si="51"/>
        <v>I.2.2.02.02829</v>
      </c>
      <c r="B1753" s="319">
        <v>29</v>
      </c>
      <c r="C1753" s="394" t="str">
        <f>IFERROR(VLOOKUP(A1753,[3]DOORSCRIEFT!$A$2:$G$8551,2,FALSE),"")</f>
        <v/>
      </c>
      <c r="D1753" s="393" t="str">
        <f>IFERROR(VLOOKUP(A1753,[3]DOORSCRIEFT!$A$2:$G$8551,3,FALSE),"")</f>
        <v/>
      </c>
      <c r="E1753" s="392" t="str">
        <f>IFERROR(VLOOKUP(A1753,[3]DOORSCRIEFT!$A$2:$G$8551,4,FALSE),"")</f>
        <v/>
      </c>
      <c r="F1753" s="405" t="str">
        <f>IFERROR(VLOOKUP(A1753,[3]DOORSCRIEFT!$A$2:$G$8551,6,FALSE),"")</f>
        <v/>
      </c>
      <c r="G1753" s="315"/>
    </row>
    <row r="1754" spans="1:7" x14ac:dyDescent="0.25">
      <c r="A1754" s="319" t="str">
        <f t="shared" si="51"/>
        <v>I.2.2.02.02830</v>
      </c>
      <c r="B1754" s="319">
        <v>30</v>
      </c>
      <c r="C1754" s="394" t="str">
        <f>IFERROR(VLOOKUP(A1754,[3]DOORSCRIEFT!$A$2:$G$8551,2,FALSE),"")</f>
        <v/>
      </c>
      <c r="D1754" s="393" t="str">
        <f>IFERROR(VLOOKUP(A1754,[3]DOORSCRIEFT!$A$2:$G$8551,3,FALSE),"")</f>
        <v/>
      </c>
      <c r="E1754" s="392" t="str">
        <f>IFERROR(VLOOKUP(A1754,[3]DOORSCRIEFT!$A$2:$G$8551,4,FALSE),"")</f>
        <v/>
      </c>
      <c r="F1754" s="405" t="str">
        <f>IFERROR(VLOOKUP(A1754,[3]DOORSCRIEFT!$A$2:$G$8551,6,FALSE),"")</f>
        <v/>
      </c>
      <c r="G1754" s="315"/>
    </row>
    <row r="1755" spans="1:7" x14ac:dyDescent="0.25">
      <c r="A1755" s="319" t="str">
        <f t="shared" si="51"/>
        <v>I.2.2.02.02831</v>
      </c>
      <c r="B1755" s="319">
        <v>31</v>
      </c>
      <c r="C1755" s="394" t="str">
        <f>IFERROR(VLOOKUP(A1755,[3]DOORSCRIEFT!$A$2:$G$8551,2,FALSE),"")</f>
        <v/>
      </c>
      <c r="D1755" s="393" t="str">
        <f>IFERROR(VLOOKUP(A1755,[3]DOORSCRIEFT!$A$2:$G$8551,3,FALSE),"")</f>
        <v/>
      </c>
      <c r="E1755" s="392" t="str">
        <f>IFERROR(VLOOKUP(A1755,[3]DOORSCRIEFT!$A$2:$G$8551,4,FALSE),"")</f>
        <v/>
      </c>
      <c r="F1755" s="405" t="str">
        <f>IFERROR(VLOOKUP(A1755,[3]DOORSCRIEFT!$A$2:$G$8551,6,FALSE),"")</f>
        <v/>
      </c>
      <c r="G1755" s="315"/>
    </row>
    <row r="1756" spans="1:7" x14ac:dyDescent="0.25">
      <c r="A1756" s="319" t="str">
        <f t="shared" si="51"/>
        <v>I.2.2.02.02832</v>
      </c>
      <c r="B1756" s="319">
        <v>32</v>
      </c>
      <c r="C1756" s="394" t="str">
        <f>IFERROR(VLOOKUP(A1756,[3]DOORSCRIEFT!$A$2:$G$8551,2,FALSE),"")</f>
        <v/>
      </c>
      <c r="D1756" s="393" t="str">
        <f>IFERROR(VLOOKUP(A1756,[3]DOORSCRIEFT!$A$2:$G$8551,3,FALSE),"")</f>
        <v/>
      </c>
      <c r="E1756" s="392" t="str">
        <f>IFERROR(VLOOKUP(A1756,[3]DOORSCRIEFT!$A$2:$G$8551,4,FALSE),"")</f>
        <v/>
      </c>
      <c r="F1756" s="405" t="str">
        <f>IFERROR(VLOOKUP(A1756,[3]DOORSCRIEFT!$A$2:$G$8551,6,FALSE),"")</f>
        <v/>
      </c>
      <c r="G1756" s="315"/>
    </row>
    <row r="1757" spans="1:7" x14ac:dyDescent="0.25">
      <c r="A1757" s="319" t="str">
        <f t="shared" ref="A1757:A1788" si="52">$G$1718&amp;B1757</f>
        <v>I.2.2.02.02833</v>
      </c>
      <c r="B1757" s="319">
        <v>33</v>
      </c>
      <c r="C1757" s="394" t="str">
        <f>IFERROR(VLOOKUP(A1757,[3]DOORSCRIEFT!$A$2:$G$8551,2,FALSE),"")</f>
        <v/>
      </c>
      <c r="D1757" s="393" t="str">
        <f>IFERROR(VLOOKUP(A1757,[3]DOORSCRIEFT!$A$2:$G$8551,3,FALSE),"")</f>
        <v/>
      </c>
      <c r="E1757" s="392" t="str">
        <f>IFERROR(VLOOKUP(A1757,[3]DOORSCRIEFT!$A$2:$G$8551,4,FALSE),"")</f>
        <v/>
      </c>
      <c r="F1757" s="405" t="str">
        <f>IFERROR(VLOOKUP(A1757,[3]DOORSCRIEFT!$A$2:$G$8551,6,FALSE),"")</f>
        <v/>
      </c>
      <c r="G1757" s="315"/>
    </row>
    <row r="1758" spans="1:7" x14ac:dyDescent="0.25">
      <c r="A1758" s="319" t="str">
        <f t="shared" si="52"/>
        <v>I.2.2.02.02834</v>
      </c>
      <c r="B1758" s="319">
        <v>34</v>
      </c>
      <c r="C1758" s="394" t="str">
        <f>IFERROR(VLOOKUP(A1758,[3]DOORSCRIEFT!$A$2:$G$8551,2,FALSE),"")</f>
        <v/>
      </c>
      <c r="D1758" s="393" t="str">
        <f>IFERROR(VLOOKUP(A1758,[3]DOORSCRIEFT!$A$2:$G$8551,3,FALSE),"")</f>
        <v/>
      </c>
      <c r="E1758" s="392" t="str">
        <f>IFERROR(VLOOKUP(A1758,[3]DOORSCRIEFT!$A$2:$G$8551,4,FALSE),"")</f>
        <v/>
      </c>
      <c r="F1758" s="405" t="str">
        <f>IFERROR(VLOOKUP(A1758,[3]DOORSCRIEFT!$A$2:$G$8551,6,FALSE),"")</f>
        <v/>
      </c>
      <c r="G1758" s="315"/>
    </row>
    <row r="1759" spans="1:7" x14ac:dyDescent="0.25">
      <c r="A1759" s="319" t="str">
        <f t="shared" si="52"/>
        <v>I.2.2.02.02835</v>
      </c>
      <c r="B1759" s="319">
        <v>35</v>
      </c>
      <c r="C1759" s="394" t="str">
        <f>IFERROR(VLOOKUP(A1759,[3]DOORSCRIEFT!$A$2:$G$8551,2,FALSE),"")</f>
        <v/>
      </c>
      <c r="D1759" s="393" t="str">
        <f>IFERROR(VLOOKUP(A1759,[3]DOORSCRIEFT!$A$2:$G$8551,3,FALSE),"")</f>
        <v/>
      </c>
      <c r="E1759" s="392" t="str">
        <f>IFERROR(VLOOKUP(A1759,[3]DOORSCRIEFT!$A$2:$G$8551,4,FALSE),"")</f>
        <v/>
      </c>
      <c r="F1759" s="405" t="str">
        <f>IFERROR(VLOOKUP(A1759,[3]DOORSCRIEFT!$A$2:$G$8551,6,FALSE),"")</f>
        <v/>
      </c>
      <c r="G1759" s="315"/>
    </row>
    <row r="1760" spans="1:7" x14ac:dyDescent="0.25">
      <c r="A1760" s="319" t="str">
        <f t="shared" si="52"/>
        <v>I.2.2.02.02836</v>
      </c>
      <c r="B1760" s="319">
        <v>36</v>
      </c>
      <c r="C1760" s="394" t="str">
        <f>IFERROR(VLOOKUP(A1760,[3]DOORSCRIEFT!$A$2:$G$8551,2,FALSE),"")</f>
        <v/>
      </c>
      <c r="D1760" s="393" t="str">
        <f>IFERROR(VLOOKUP(A1760,[3]DOORSCRIEFT!$A$2:$G$8551,3,FALSE),"")</f>
        <v/>
      </c>
      <c r="E1760" s="392" t="str">
        <f>IFERROR(VLOOKUP(A1760,[3]DOORSCRIEFT!$A$2:$G$8551,4,FALSE),"")</f>
        <v/>
      </c>
      <c r="F1760" s="405" t="str">
        <f>IFERROR(VLOOKUP(A1760,[3]DOORSCRIEFT!$A$2:$G$8551,6,FALSE),"")</f>
        <v/>
      </c>
      <c r="G1760" s="315"/>
    </row>
    <row r="1761" spans="1:7" x14ac:dyDescent="0.25">
      <c r="A1761" s="319" t="str">
        <f t="shared" si="52"/>
        <v>I.2.2.02.02837</v>
      </c>
      <c r="B1761" s="319">
        <v>37</v>
      </c>
      <c r="C1761" s="394" t="str">
        <f>IFERROR(VLOOKUP(A1761,[3]DOORSCRIEFT!$A$2:$G$8551,2,FALSE),"")</f>
        <v/>
      </c>
      <c r="D1761" s="393" t="str">
        <f>IFERROR(VLOOKUP(A1761,[3]DOORSCRIEFT!$A$2:$G$8551,3,FALSE),"")</f>
        <v/>
      </c>
      <c r="E1761" s="392" t="str">
        <f>IFERROR(VLOOKUP(A1761,[3]DOORSCRIEFT!$A$2:$G$8551,4,FALSE),"")</f>
        <v/>
      </c>
      <c r="F1761" s="405" t="str">
        <f>IFERROR(VLOOKUP(A1761,[3]DOORSCRIEFT!$A$2:$G$8551,6,FALSE),"")</f>
        <v/>
      </c>
      <c r="G1761" s="315"/>
    </row>
    <row r="1762" spans="1:7" x14ac:dyDescent="0.25">
      <c r="A1762" s="319" t="str">
        <f t="shared" si="52"/>
        <v>I.2.2.02.02838</v>
      </c>
      <c r="B1762" s="319">
        <v>38</v>
      </c>
      <c r="C1762" s="394" t="str">
        <f>IFERROR(VLOOKUP(A1762,[3]DOORSCRIEFT!$A$2:$G$8551,2,FALSE),"")</f>
        <v/>
      </c>
      <c r="D1762" s="393" t="str">
        <f>IFERROR(VLOOKUP(A1762,[3]DOORSCRIEFT!$A$2:$G$8551,3,FALSE),"")</f>
        <v/>
      </c>
      <c r="E1762" s="392" t="str">
        <f>IFERROR(VLOOKUP(A1762,[3]DOORSCRIEFT!$A$2:$G$8551,4,FALSE),"")</f>
        <v/>
      </c>
      <c r="F1762" s="405" t="str">
        <f>IFERROR(VLOOKUP(A1762,[3]DOORSCRIEFT!$A$2:$G$8551,6,FALSE),"")</f>
        <v/>
      </c>
      <c r="G1762" s="315"/>
    </row>
    <row r="1763" spans="1:7" x14ac:dyDescent="0.25">
      <c r="A1763" s="319" t="str">
        <f t="shared" si="52"/>
        <v>I.2.2.02.02839</v>
      </c>
      <c r="B1763" s="319">
        <v>39</v>
      </c>
      <c r="C1763" s="394" t="str">
        <f>IFERROR(VLOOKUP(A1763,[3]DOORSCRIEFT!$A$2:$G$8551,2,FALSE),"")</f>
        <v/>
      </c>
      <c r="D1763" s="393" t="str">
        <f>IFERROR(VLOOKUP(A1763,[3]DOORSCRIEFT!$A$2:$G$8551,3,FALSE),"")</f>
        <v/>
      </c>
      <c r="E1763" s="392" t="str">
        <f>IFERROR(VLOOKUP(A1763,[3]DOORSCRIEFT!$A$2:$G$8551,4,FALSE),"")</f>
        <v/>
      </c>
      <c r="F1763" s="405" t="str">
        <f>IFERROR(VLOOKUP(A1763,[3]DOORSCRIEFT!$A$2:$G$8551,6,FALSE),"")</f>
        <v/>
      </c>
      <c r="G1763" s="315"/>
    </row>
    <row r="1764" spans="1:7" x14ac:dyDescent="0.25">
      <c r="A1764" s="319" t="str">
        <f t="shared" si="52"/>
        <v>I.2.2.02.02840</v>
      </c>
      <c r="B1764" s="319">
        <v>40</v>
      </c>
      <c r="C1764" s="394" t="str">
        <f>IFERROR(VLOOKUP(A1764,[3]DOORSCRIEFT!$A$2:$G$8551,2,FALSE),"")</f>
        <v/>
      </c>
      <c r="D1764" s="393" t="str">
        <f>IFERROR(VLOOKUP(A1764,[3]DOORSCRIEFT!$A$2:$G$8551,3,FALSE),"")</f>
        <v/>
      </c>
      <c r="E1764" s="392" t="str">
        <f>IFERROR(VLOOKUP(A1764,[3]DOORSCRIEFT!$A$2:$G$8551,4,FALSE),"")</f>
        <v/>
      </c>
      <c r="F1764" s="405" t="str">
        <f>IFERROR(VLOOKUP(A1764,[3]DOORSCRIEFT!$A$2:$G$8551,6,FALSE),"")</f>
        <v/>
      </c>
      <c r="G1764" s="315"/>
    </row>
    <row r="1765" spans="1:7" x14ac:dyDescent="0.25">
      <c r="A1765" s="319" t="str">
        <f t="shared" si="52"/>
        <v>I.2.2.02.02841</v>
      </c>
      <c r="B1765" s="319">
        <v>41</v>
      </c>
      <c r="C1765" s="394" t="str">
        <f>IFERROR(VLOOKUP(A1765,[3]DOORSCRIEFT!$A$2:$G$8551,2,FALSE),"")</f>
        <v/>
      </c>
      <c r="D1765" s="393" t="str">
        <f>IFERROR(VLOOKUP(A1765,[3]DOORSCRIEFT!$A$2:$G$8551,3,FALSE),"")</f>
        <v/>
      </c>
      <c r="E1765" s="392" t="str">
        <f>IFERROR(VLOOKUP(A1765,[3]DOORSCRIEFT!$A$2:$G$8551,4,FALSE),"")</f>
        <v/>
      </c>
      <c r="F1765" s="405" t="str">
        <f>IFERROR(VLOOKUP(A1765,[3]DOORSCRIEFT!$A$2:$G$8551,6,FALSE),"")</f>
        <v/>
      </c>
      <c r="G1765" s="315"/>
    </row>
    <row r="1766" spans="1:7" x14ac:dyDescent="0.25">
      <c r="A1766" s="319" t="str">
        <f t="shared" si="52"/>
        <v>I.2.2.02.02842</v>
      </c>
      <c r="B1766" s="319">
        <v>42</v>
      </c>
      <c r="C1766" s="394" t="str">
        <f>IFERROR(VLOOKUP(A1766,[3]DOORSCRIEFT!$A$2:$G$8551,2,FALSE),"")</f>
        <v/>
      </c>
      <c r="D1766" s="393" t="str">
        <f>IFERROR(VLOOKUP(A1766,[3]DOORSCRIEFT!$A$2:$G$8551,3,FALSE),"")</f>
        <v/>
      </c>
      <c r="E1766" s="392" t="str">
        <f>IFERROR(VLOOKUP(A1766,[3]DOORSCRIEFT!$A$2:$G$8551,4,FALSE),"")</f>
        <v/>
      </c>
      <c r="F1766" s="405" t="str">
        <f>IFERROR(VLOOKUP(A1766,[3]DOORSCRIEFT!$A$2:$G$8551,6,FALSE),"")</f>
        <v/>
      </c>
      <c r="G1766" s="315"/>
    </row>
    <row r="1767" spans="1:7" x14ac:dyDescent="0.25">
      <c r="A1767" s="319" t="str">
        <f t="shared" si="52"/>
        <v>I.2.2.02.02843</v>
      </c>
      <c r="B1767" s="319">
        <v>43</v>
      </c>
      <c r="C1767" s="394" t="str">
        <f>IFERROR(VLOOKUP(A1767,[3]DOORSCRIEFT!$A$2:$G$8551,2,FALSE),"")</f>
        <v/>
      </c>
      <c r="D1767" s="393" t="str">
        <f>IFERROR(VLOOKUP(A1767,[3]DOORSCRIEFT!$A$2:$G$8551,3,FALSE),"")</f>
        <v/>
      </c>
      <c r="E1767" s="392" t="str">
        <f>IFERROR(VLOOKUP(A1767,[3]DOORSCRIEFT!$A$2:$G$8551,4,FALSE),"")</f>
        <v/>
      </c>
      <c r="F1767" s="405" t="str">
        <f>IFERROR(VLOOKUP(A1767,[3]DOORSCRIEFT!$A$2:$G$8551,6,FALSE),"")</f>
        <v/>
      </c>
      <c r="G1767" s="315"/>
    </row>
    <row r="1768" spans="1:7" x14ac:dyDescent="0.25">
      <c r="A1768" s="319" t="str">
        <f t="shared" si="52"/>
        <v>I.2.2.02.02844</v>
      </c>
      <c r="B1768" s="319">
        <v>44</v>
      </c>
      <c r="C1768" s="394" t="str">
        <f>IFERROR(VLOOKUP(A1768,[3]DOORSCRIEFT!$A$2:$G$8551,2,FALSE),"")</f>
        <v/>
      </c>
      <c r="D1768" s="393" t="str">
        <f>IFERROR(VLOOKUP(A1768,[3]DOORSCRIEFT!$A$2:$G$8551,3,FALSE),"")</f>
        <v/>
      </c>
      <c r="E1768" s="392" t="str">
        <f>IFERROR(VLOOKUP(A1768,[3]DOORSCRIEFT!$A$2:$G$8551,4,FALSE),"")</f>
        <v/>
      </c>
      <c r="F1768" s="405" t="str">
        <f>IFERROR(VLOOKUP(A1768,[3]DOORSCRIEFT!$A$2:$G$8551,6,FALSE),"")</f>
        <v/>
      </c>
      <c r="G1768" s="315"/>
    </row>
    <row r="1769" spans="1:7" x14ac:dyDescent="0.25">
      <c r="A1769" s="319" t="str">
        <f t="shared" si="52"/>
        <v>I.2.2.02.02845</v>
      </c>
      <c r="B1769" s="319">
        <v>45</v>
      </c>
      <c r="C1769" s="394" t="str">
        <f>IFERROR(VLOOKUP(A1769,[3]DOORSCRIEFT!$A$2:$G$8551,2,FALSE),"")</f>
        <v/>
      </c>
      <c r="D1769" s="393" t="str">
        <f>IFERROR(VLOOKUP(A1769,[3]DOORSCRIEFT!$A$2:$G$8551,3,FALSE),"")</f>
        <v/>
      </c>
      <c r="E1769" s="392" t="str">
        <f>IFERROR(VLOOKUP(A1769,[3]DOORSCRIEFT!$A$2:$G$8551,4,FALSE),"")</f>
        <v/>
      </c>
      <c r="F1769" s="405" t="str">
        <f>IFERROR(VLOOKUP(A1769,[3]DOORSCRIEFT!$A$2:$G$8551,6,FALSE),"")</f>
        <v/>
      </c>
      <c r="G1769" s="315"/>
    </row>
    <row r="1770" spans="1:7" x14ac:dyDescent="0.25">
      <c r="A1770" s="319" t="str">
        <f t="shared" si="52"/>
        <v>I.2.2.02.02846</v>
      </c>
      <c r="B1770" s="319">
        <v>46</v>
      </c>
      <c r="C1770" s="394" t="str">
        <f>IFERROR(VLOOKUP(A1770,[3]DOORSCRIEFT!$A$2:$G$8551,2,FALSE),"")</f>
        <v/>
      </c>
      <c r="D1770" s="393" t="str">
        <f>IFERROR(VLOOKUP(A1770,[3]DOORSCRIEFT!$A$2:$G$8551,3,FALSE),"")</f>
        <v/>
      </c>
      <c r="E1770" s="392" t="str">
        <f>IFERROR(VLOOKUP(A1770,[3]DOORSCRIEFT!$A$2:$G$8551,4,FALSE),"")</f>
        <v/>
      </c>
      <c r="F1770" s="405" t="str">
        <f>IFERROR(VLOOKUP(A1770,[3]DOORSCRIEFT!$A$2:$G$8551,6,FALSE),"")</f>
        <v/>
      </c>
      <c r="G1770" s="315"/>
    </row>
    <row r="1771" spans="1:7" x14ac:dyDescent="0.25">
      <c r="A1771" s="319" t="str">
        <f t="shared" si="52"/>
        <v>I.2.2.02.02847</v>
      </c>
      <c r="B1771" s="319">
        <v>47</v>
      </c>
      <c r="C1771" s="394" t="str">
        <f>IFERROR(VLOOKUP(A1771,[3]DOORSCRIEFT!$A$2:$G$8551,2,FALSE),"")</f>
        <v/>
      </c>
      <c r="D1771" s="393" t="str">
        <f>IFERROR(VLOOKUP(A1771,[3]DOORSCRIEFT!$A$2:$G$8551,3,FALSE),"")</f>
        <v/>
      </c>
      <c r="E1771" s="392" t="str">
        <f>IFERROR(VLOOKUP(A1771,[3]DOORSCRIEFT!$A$2:$G$8551,4,FALSE),"")</f>
        <v/>
      </c>
      <c r="F1771" s="405" t="str">
        <f>IFERROR(VLOOKUP(A1771,[3]DOORSCRIEFT!$A$2:$G$8551,6,FALSE),"")</f>
        <v/>
      </c>
      <c r="G1771" s="315"/>
    </row>
    <row r="1772" spans="1:7" x14ac:dyDescent="0.25">
      <c r="A1772" s="319" t="str">
        <f t="shared" si="52"/>
        <v>I.2.2.02.02848</v>
      </c>
      <c r="B1772" s="319">
        <v>48</v>
      </c>
      <c r="C1772" s="394" t="str">
        <f>IFERROR(VLOOKUP(A1772,[3]DOORSCRIEFT!$A$2:$G$8551,2,FALSE),"")</f>
        <v/>
      </c>
      <c r="D1772" s="393" t="str">
        <f>IFERROR(VLOOKUP(A1772,[3]DOORSCRIEFT!$A$2:$G$8551,3,FALSE),"")</f>
        <v/>
      </c>
      <c r="E1772" s="392" t="str">
        <f>IFERROR(VLOOKUP(A1772,[3]DOORSCRIEFT!$A$2:$G$8551,4,FALSE),"")</f>
        <v/>
      </c>
      <c r="F1772" s="405" t="str">
        <f>IFERROR(VLOOKUP(A1772,[3]DOORSCRIEFT!$A$2:$G$8551,6,FALSE),"")</f>
        <v/>
      </c>
      <c r="G1772" s="315"/>
    </row>
    <row r="1773" spans="1:7" x14ac:dyDescent="0.25">
      <c r="A1773" s="319" t="str">
        <f t="shared" si="52"/>
        <v>I.2.2.02.02849</v>
      </c>
      <c r="B1773" s="319">
        <v>49</v>
      </c>
      <c r="C1773" s="394" t="str">
        <f>IFERROR(VLOOKUP(A1773,[3]DOORSCRIEFT!$A$2:$G$8551,2,FALSE),"")</f>
        <v/>
      </c>
      <c r="D1773" s="393" t="str">
        <f>IFERROR(VLOOKUP(A1773,[3]DOORSCRIEFT!$A$2:$G$8551,3,FALSE),"")</f>
        <v/>
      </c>
      <c r="E1773" s="392" t="str">
        <f>IFERROR(VLOOKUP(A1773,[3]DOORSCRIEFT!$A$2:$G$8551,4,FALSE),"")</f>
        <v/>
      </c>
      <c r="F1773" s="405" t="str">
        <f>IFERROR(VLOOKUP(A1773,[3]DOORSCRIEFT!$A$2:$G$8551,6,FALSE),"")</f>
        <v/>
      </c>
      <c r="G1773" s="315"/>
    </row>
    <row r="1774" spans="1:7" x14ac:dyDescent="0.25">
      <c r="A1774" s="319" t="str">
        <f t="shared" si="52"/>
        <v>I.2.2.02.02850</v>
      </c>
      <c r="B1774" s="319">
        <v>50</v>
      </c>
      <c r="C1774" s="394" t="str">
        <f>IFERROR(VLOOKUP(A1774,[3]DOORSCRIEFT!$A$2:$G$8551,2,FALSE),"")</f>
        <v/>
      </c>
      <c r="D1774" s="393" t="str">
        <f>IFERROR(VLOOKUP(A1774,[3]DOORSCRIEFT!$A$2:$G$8551,3,FALSE),"")</f>
        <v/>
      </c>
      <c r="E1774" s="392" t="str">
        <f>IFERROR(VLOOKUP(A1774,[3]DOORSCRIEFT!$A$2:$G$8551,4,FALSE),"")</f>
        <v/>
      </c>
      <c r="F1774" s="405" t="str">
        <f>IFERROR(VLOOKUP(A1774,[3]DOORSCRIEFT!$A$2:$G$8551,6,FALSE),"")</f>
        <v/>
      </c>
      <c r="G1774" s="315"/>
    </row>
    <row r="1775" spans="1:7" x14ac:dyDescent="0.25">
      <c r="A1775" s="319" t="str">
        <f t="shared" si="52"/>
        <v>I.2.2.02.02851</v>
      </c>
      <c r="B1775" s="319">
        <v>51</v>
      </c>
      <c r="C1775" s="394" t="str">
        <f>IFERROR(VLOOKUP(A1775,[3]DOORSCRIEFT!$A$2:$G$8551,2,FALSE),"")</f>
        <v/>
      </c>
      <c r="D1775" s="393" t="str">
        <f>IFERROR(VLOOKUP(A1775,[3]DOORSCRIEFT!$A$2:$G$8551,3,FALSE),"")</f>
        <v/>
      </c>
      <c r="E1775" s="392" t="str">
        <f>IFERROR(VLOOKUP(A1775,[3]DOORSCRIEFT!$A$2:$G$8551,4,FALSE),"")</f>
        <v/>
      </c>
      <c r="F1775" s="405" t="str">
        <f>IFERROR(VLOOKUP(A1775,[3]DOORSCRIEFT!$A$2:$G$8551,6,FALSE),"")</f>
        <v/>
      </c>
      <c r="G1775" s="315"/>
    </row>
    <row r="1776" spans="1:7" x14ac:dyDescent="0.25">
      <c r="A1776" s="319" t="str">
        <f t="shared" si="52"/>
        <v>I.2.2.02.02852</v>
      </c>
      <c r="B1776" s="319">
        <v>52</v>
      </c>
      <c r="C1776" s="394" t="str">
        <f>IFERROR(VLOOKUP(A1776,[3]DOORSCRIEFT!$A$2:$G$8551,2,FALSE),"")</f>
        <v/>
      </c>
      <c r="D1776" s="393" t="str">
        <f>IFERROR(VLOOKUP(A1776,[3]DOORSCRIEFT!$A$2:$G$8551,3,FALSE),"")</f>
        <v/>
      </c>
      <c r="E1776" s="392" t="str">
        <f>IFERROR(VLOOKUP(A1776,[3]DOORSCRIEFT!$A$2:$G$8551,4,FALSE),"")</f>
        <v/>
      </c>
      <c r="F1776" s="405" t="str">
        <f>IFERROR(VLOOKUP(A1776,[3]DOORSCRIEFT!$A$2:$G$8551,6,FALSE),"")</f>
        <v/>
      </c>
      <c r="G1776" s="315"/>
    </row>
    <row r="1777" spans="1:7" x14ac:dyDescent="0.25">
      <c r="A1777" s="319" t="str">
        <f t="shared" si="52"/>
        <v>I.2.2.02.02853</v>
      </c>
      <c r="B1777" s="319">
        <v>53</v>
      </c>
      <c r="C1777" s="394" t="str">
        <f>IFERROR(VLOOKUP(A1777,[3]DOORSCRIEFT!$A$2:$G$8551,2,FALSE),"")</f>
        <v/>
      </c>
      <c r="D1777" s="393" t="str">
        <f>IFERROR(VLOOKUP(A1777,[3]DOORSCRIEFT!$A$2:$G$8551,3,FALSE),"")</f>
        <v/>
      </c>
      <c r="E1777" s="392" t="str">
        <f>IFERROR(VLOOKUP(A1777,[3]DOORSCRIEFT!$A$2:$G$8551,4,FALSE),"")</f>
        <v/>
      </c>
      <c r="F1777" s="405" t="str">
        <f>IFERROR(VLOOKUP(A1777,[3]DOORSCRIEFT!$A$2:$G$8551,6,FALSE),"")</f>
        <v/>
      </c>
      <c r="G1777" s="315"/>
    </row>
    <row r="1778" spans="1:7" x14ac:dyDescent="0.25">
      <c r="A1778" s="319" t="str">
        <f t="shared" si="52"/>
        <v>I.2.2.02.02854</v>
      </c>
      <c r="B1778" s="319">
        <v>54</v>
      </c>
      <c r="C1778" s="394" t="str">
        <f>IFERROR(VLOOKUP(A1778,[3]DOORSCRIEFT!$A$2:$G$8551,2,FALSE),"")</f>
        <v/>
      </c>
      <c r="D1778" s="393" t="str">
        <f>IFERROR(VLOOKUP(A1778,[3]DOORSCRIEFT!$A$2:$G$8551,3,FALSE),"")</f>
        <v/>
      </c>
      <c r="E1778" s="392" t="str">
        <f>IFERROR(VLOOKUP(A1778,[3]DOORSCRIEFT!$A$2:$G$8551,4,FALSE),"")</f>
        <v/>
      </c>
      <c r="F1778" s="405" t="str">
        <f>IFERROR(VLOOKUP(A1778,[3]DOORSCRIEFT!$A$2:$G$8551,6,FALSE),"")</f>
        <v/>
      </c>
      <c r="G1778" s="315"/>
    </row>
    <row r="1779" spans="1:7" x14ac:dyDescent="0.25">
      <c r="A1779" s="319" t="str">
        <f t="shared" si="52"/>
        <v>I.2.2.02.02855</v>
      </c>
      <c r="B1779" s="319">
        <v>55</v>
      </c>
      <c r="C1779" s="394" t="str">
        <f>IFERROR(VLOOKUP(A1779,[3]DOORSCRIEFT!$A$2:$G$8551,2,FALSE),"")</f>
        <v/>
      </c>
      <c r="D1779" s="393" t="str">
        <f>IFERROR(VLOOKUP(A1779,[3]DOORSCRIEFT!$A$2:$G$8551,3,FALSE),"")</f>
        <v/>
      </c>
      <c r="E1779" s="392" t="str">
        <f>IFERROR(VLOOKUP(A1779,[3]DOORSCRIEFT!$A$2:$G$8551,4,FALSE),"")</f>
        <v/>
      </c>
      <c r="F1779" s="405" t="str">
        <f>IFERROR(VLOOKUP(A1779,[3]DOORSCRIEFT!$A$2:$G$8551,6,FALSE),"")</f>
        <v/>
      </c>
      <c r="G1779" s="315"/>
    </row>
    <row r="1780" spans="1:7" x14ac:dyDescent="0.25">
      <c r="A1780" s="319" t="str">
        <f t="shared" si="52"/>
        <v>I.2.2.02.02856</v>
      </c>
      <c r="B1780" s="319">
        <v>56</v>
      </c>
      <c r="C1780" s="394" t="str">
        <f>IFERROR(VLOOKUP(A1780,[3]DOORSCRIEFT!$A$2:$G$8551,2,FALSE),"")</f>
        <v/>
      </c>
      <c r="D1780" s="393" t="str">
        <f>IFERROR(VLOOKUP(A1780,[3]DOORSCRIEFT!$A$2:$G$8551,3,FALSE),"")</f>
        <v/>
      </c>
      <c r="E1780" s="392" t="str">
        <f>IFERROR(VLOOKUP(A1780,[3]DOORSCRIEFT!$A$2:$G$8551,4,FALSE),"")</f>
        <v/>
      </c>
      <c r="F1780" s="405" t="str">
        <f>IFERROR(VLOOKUP(A1780,[3]DOORSCRIEFT!$A$2:$G$8551,6,FALSE),"")</f>
        <v/>
      </c>
      <c r="G1780" s="315"/>
    </row>
    <row r="1781" spans="1:7" x14ac:dyDescent="0.25">
      <c r="A1781" s="319" t="str">
        <f t="shared" si="52"/>
        <v>I.2.2.02.02857</v>
      </c>
      <c r="B1781" s="319">
        <v>57</v>
      </c>
      <c r="C1781" s="394" t="str">
        <f>IFERROR(VLOOKUP(A1781,[3]DOORSCRIEFT!$A$2:$G$8551,2,FALSE),"")</f>
        <v/>
      </c>
      <c r="D1781" s="393" t="str">
        <f>IFERROR(VLOOKUP(A1781,[3]DOORSCRIEFT!$A$2:$G$8551,3,FALSE),"")</f>
        <v/>
      </c>
      <c r="E1781" s="392" t="str">
        <f>IFERROR(VLOOKUP(A1781,[3]DOORSCRIEFT!$A$2:$G$8551,4,FALSE),"")</f>
        <v/>
      </c>
      <c r="F1781" s="405" t="str">
        <f>IFERROR(VLOOKUP(A1781,[3]DOORSCRIEFT!$A$2:$G$8551,6,FALSE),"")</f>
        <v/>
      </c>
      <c r="G1781" s="315"/>
    </row>
    <row r="1782" spans="1:7" x14ac:dyDescent="0.25">
      <c r="A1782" s="319" t="str">
        <f t="shared" si="52"/>
        <v>I.2.2.02.02858</v>
      </c>
      <c r="B1782" s="319">
        <v>58</v>
      </c>
      <c r="C1782" s="394" t="str">
        <f>IFERROR(VLOOKUP(A1782,[3]DOORSCRIEFT!$A$2:$G$8551,2,FALSE),"")</f>
        <v/>
      </c>
      <c r="D1782" s="393" t="str">
        <f>IFERROR(VLOOKUP(A1782,[3]DOORSCRIEFT!$A$2:$G$8551,3,FALSE),"")</f>
        <v/>
      </c>
      <c r="E1782" s="392" t="str">
        <f>IFERROR(VLOOKUP(A1782,[3]DOORSCRIEFT!$A$2:$G$8551,4,FALSE),"")</f>
        <v/>
      </c>
      <c r="F1782" s="405" t="str">
        <f>IFERROR(VLOOKUP(A1782,[3]DOORSCRIEFT!$A$2:$G$8551,6,FALSE),"")</f>
        <v/>
      </c>
      <c r="G1782" s="315"/>
    </row>
    <row r="1783" spans="1:7" x14ac:dyDescent="0.25">
      <c r="A1783" s="319" t="str">
        <f t="shared" si="52"/>
        <v>I.2.2.02.02859</v>
      </c>
      <c r="B1783" s="319">
        <v>59</v>
      </c>
      <c r="C1783" s="394" t="str">
        <f>IFERROR(VLOOKUP(A1783,[3]DOORSCRIEFT!$A$2:$G$8551,2,FALSE),"")</f>
        <v/>
      </c>
      <c r="D1783" s="393" t="str">
        <f>IFERROR(VLOOKUP(A1783,[3]DOORSCRIEFT!$A$2:$G$8551,3,FALSE),"")</f>
        <v/>
      </c>
      <c r="E1783" s="392" t="str">
        <f>IFERROR(VLOOKUP(A1783,[3]DOORSCRIEFT!$A$2:$G$8551,4,FALSE),"")</f>
        <v/>
      </c>
      <c r="F1783" s="405" t="str">
        <f>IFERROR(VLOOKUP(A1783,[3]DOORSCRIEFT!$A$2:$G$8551,6,FALSE),"")</f>
        <v/>
      </c>
      <c r="G1783" s="315"/>
    </row>
    <row r="1784" spans="1:7" x14ac:dyDescent="0.25">
      <c r="A1784" s="319" t="str">
        <f t="shared" si="52"/>
        <v>I.2.2.02.02860</v>
      </c>
      <c r="B1784" s="319">
        <v>60</v>
      </c>
      <c r="C1784" s="394" t="str">
        <f>IFERROR(VLOOKUP(A1784,[3]DOORSCRIEFT!$A$2:$G$8551,2,FALSE),"")</f>
        <v/>
      </c>
      <c r="D1784" s="393" t="str">
        <f>IFERROR(VLOOKUP(A1784,[3]DOORSCRIEFT!$A$2:$G$8551,3,FALSE),"")</f>
        <v/>
      </c>
      <c r="E1784" s="392" t="str">
        <f>IFERROR(VLOOKUP(A1784,[3]DOORSCRIEFT!$A$2:$G$8551,4,FALSE),"")</f>
        <v/>
      </c>
      <c r="F1784" s="405" t="str">
        <f>IFERROR(VLOOKUP(A1784,[3]DOORSCRIEFT!$A$2:$G$8551,6,FALSE),"")</f>
        <v/>
      </c>
      <c r="G1784" s="315"/>
    </row>
    <row r="1785" spans="1:7" x14ac:dyDescent="0.25">
      <c r="A1785" s="319" t="str">
        <f t="shared" si="52"/>
        <v>I.2.2.02.02861</v>
      </c>
      <c r="B1785" s="319">
        <v>61</v>
      </c>
      <c r="C1785" s="394" t="str">
        <f>IFERROR(VLOOKUP(A1785,[3]DOORSCRIEFT!$A$2:$G$8551,2,FALSE),"")</f>
        <v/>
      </c>
      <c r="D1785" s="393" t="str">
        <f>IFERROR(VLOOKUP(A1785,[3]DOORSCRIEFT!$A$2:$G$8551,3,FALSE),"")</f>
        <v/>
      </c>
      <c r="E1785" s="392" t="str">
        <f>IFERROR(VLOOKUP(A1785,[3]DOORSCRIEFT!$A$2:$G$8551,4,FALSE),"")</f>
        <v/>
      </c>
      <c r="F1785" s="405" t="str">
        <f>IFERROR(VLOOKUP(A1785,[3]DOORSCRIEFT!$A$2:$G$8551,6,FALSE),"")</f>
        <v/>
      </c>
      <c r="G1785" s="315"/>
    </row>
    <row r="1786" spans="1:7" ht="15.75" thickBot="1" x14ac:dyDescent="0.3">
      <c r="A1786" s="345" t="str">
        <f t="shared" si="52"/>
        <v>I.2.2.02.02862</v>
      </c>
      <c r="B1786" s="345">
        <v>62</v>
      </c>
      <c r="C1786" s="394" t="str">
        <f>IFERROR(VLOOKUP(A1786,[3]DOORSCRIEFT!$A$2:$G$8551,2,FALSE),"")</f>
        <v/>
      </c>
      <c r="D1786" s="393" t="str">
        <f>IFERROR(VLOOKUP(A1786,[3]DOORSCRIEFT!$A$2:$G$8551,3,FALSE),"")</f>
        <v/>
      </c>
      <c r="E1786" s="392" t="str">
        <f>IFERROR(VLOOKUP(A1786,[3]DOORSCRIEFT!$A$2:$G$8551,4,FALSE),"")</f>
        <v/>
      </c>
      <c r="F1786" s="405" t="str">
        <f>IFERROR(VLOOKUP(A1786,[3]DOORSCRIEFT!$A$2:$G$8551,6,FALSE),"")</f>
        <v/>
      </c>
      <c r="G1786" s="315"/>
    </row>
    <row r="1787" spans="1:7" ht="15.75" thickBot="1" x14ac:dyDescent="0.3">
      <c r="A1787" s="358"/>
      <c r="B1787" s="357"/>
      <c r="C1787" s="407"/>
      <c r="D1787" s="312"/>
      <c r="E1787" s="311" t="s">
        <v>644</v>
      </c>
      <c r="F1787" s="310">
        <f>SUM(F1725:F1786)</f>
        <v>0</v>
      </c>
      <c r="G1787" s="309">
        <f>SUM(G1725:G1786)</f>
        <v>0</v>
      </c>
    </row>
    <row r="1790" spans="1:7" ht="15.75" x14ac:dyDescent="0.25">
      <c r="C1790" s="332"/>
      <c r="D1790" s="333"/>
      <c r="E1790" s="332"/>
      <c r="F1790" s="327" t="s">
        <v>607</v>
      </c>
      <c r="G1790" s="327" t="s">
        <v>490</v>
      </c>
    </row>
    <row r="1791" spans="1:7" ht="15.75" x14ac:dyDescent="0.25">
      <c r="C1791" s="332"/>
      <c r="D1791" s="333"/>
      <c r="E1791" s="332"/>
      <c r="F1791" s="327" t="s">
        <v>601</v>
      </c>
      <c r="G1791" s="327" t="s">
        <v>489</v>
      </c>
    </row>
    <row r="1792" spans="1:7" x14ac:dyDescent="0.25">
      <c r="C1792" s="328"/>
      <c r="D1792" s="329"/>
      <c r="E1792" s="328"/>
      <c r="F1792" s="327" t="s">
        <v>651</v>
      </c>
      <c r="G1792" s="331">
        <f>[2]Sheet1!$D$55</f>
        <v>30000000</v>
      </c>
    </row>
    <row r="1793" spans="1:7" ht="15.75" thickBot="1" x14ac:dyDescent="0.3">
      <c r="C1793" s="328"/>
      <c r="D1793" s="329"/>
      <c r="E1793" s="328"/>
      <c r="F1793" s="327" t="s">
        <v>650</v>
      </c>
      <c r="G1793" s="326">
        <f>+F1931-G1792</f>
        <v>-16809000</v>
      </c>
    </row>
    <row r="1794" spans="1:7" x14ac:dyDescent="0.25">
      <c r="A1794" s="571" t="s">
        <v>626</v>
      </c>
      <c r="B1794" s="573" t="s">
        <v>606</v>
      </c>
      <c r="C1794" s="588" t="s">
        <v>649</v>
      </c>
      <c r="D1794" s="577" t="s">
        <v>648</v>
      </c>
      <c r="E1794" s="577" t="s">
        <v>647</v>
      </c>
      <c r="F1794" s="577" t="s">
        <v>646</v>
      </c>
      <c r="G1794" s="580" t="s">
        <v>645</v>
      </c>
    </row>
    <row r="1795" spans="1:7" ht="15.75" thickBot="1" x14ac:dyDescent="0.3">
      <c r="A1795" s="572"/>
      <c r="B1795" s="574"/>
      <c r="C1795" s="589"/>
      <c r="D1795" s="586"/>
      <c r="E1795" s="586"/>
      <c r="F1795" s="586"/>
      <c r="G1795" s="587"/>
    </row>
    <row r="1796" spans="1:7" ht="15.75" thickBot="1" x14ac:dyDescent="0.3">
      <c r="A1796" s="325">
        <v>1</v>
      </c>
      <c r="B1796" s="324">
        <v>2</v>
      </c>
      <c r="C1796" s="324">
        <v>3</v>
      </c>
      <c r="D1796" s="324">
        <v>4</v>
      </c>
      <c r="E1796" s="324">
        <v>5</v>
      </c>
      <c r="F1796" s="324">
        <v>6</v>
      </c>
      <c r="G1796" s="323">
        <v>7</v>
      </c>
    </row>
    <row r="1797" spans="1:7" x14ac:dyDescent="0.25">
      <c r="A1797" s="339" t="str">
        <f t="shared" ref="A1797:A1828" si="53">$G$1790&amp;B1797</f>
        <v>I.2.2.02.0291</v>
      </c>
      <c r="B1797" s="339">
        <v>1</v>
      </c>
      <c r="C1797" s="394">
        <f>IFERROR(VLOOKUP(A1797,[3]DOORSCRIEFT!$A$2:$G$8551,2,FALSE),"")</f>
        <v>71</v>
      </c>
      <c r="D1797" s="393">
        <f>IFERROR(VLOOKUP(A1797,[3]DOORSCRIEFT!$A$2:$G$8551,3,FALSE),"")</f>
        <v>46038</v>
      </c>
      <c r="E1797" s="392" t="str">
        <f>IFERROR(VLOOKUP(A1797,[3]DOORSCRIEFT!$A$2:$G$8551,4,FALSE),"")</f>
        <v>Kolekta Kebaktian Pelayanan Perempuan</v>
      </c>
      <c r="F1797" s="405">
        <f>IFERROR(VLOOKUP(A1797,[3]DOORSCRIEFT!$A$2:$G$8551,6,FALSE),"")</f>
        <v>1714000</v>
      </c>
      <c r="G1797" s="322"/>
    </row>
    <row r="1798" spans="1:7" x14ac:dyDescent="0.25">
      <c r="A1798" s="339" t="str">
        <f t="shared" si="53"/>
        <v>I.2.2.02.0292</v>
      </c>
      <c r="B1798" s="319">
        <v>2</v>
      </c>
      <c r="C1798" s="394">
        <f>IFERROR(VLOOKUP(A1798,[3]DOORSCRIEFT!$A$2:$G$8551,2,FALSE),"")</f>
        <v>89</v>
      </c>
      <c r="D1798" s="393">
        <f>IFERROR(VLOOKUP(A1798,[3]DOORSCRIEFT!$A$2:$G$8551,3,FALSE),"")</f>
        <v>46045</v>
      </c>
      <c r="E1798" s="392" t="str">
        <f>IFERROR(VLOOKUP(A1798,[3]DOORSCRIEFT!$A$2:$G$8551,4,FALSE),"")</f>
        <v>Kolekta Kebaktian Pelayanan Perempuan</v>
      </c>
      <c r="F1798" s="405">
        <f>IFERROR(VLOOKUP(A1798,[3]DOORSCRIEFT!$A$2:$G$8551,6,FALSE),"")</f>
        <v>1553000</v>
      </c>
      <c r="G1798" s="315"/>
    </row>
    <row r="1799" spans="1:7" x14ac:dyDescent="0.25">
      <c r="A1799" s="339" t="str">
        <f t="shared" si="53"/>
        <v>I.2.2.02.0293</v>
      </c>
      <c r="B1799" s="339">
        <v>3</v>
      </c>
      <c r="C1799" s="394">
        <f>IFERROR(VLOOKUP(A1799,[3]DOORSCRIEFT!$A$2:$G$8551,2,FALSE),"")</f>
        <v>134</v>
      </c>
      <c r="D1799" s="393">
        <f>IFERROR(VLOOKUP(A1799,[3]DOORSCRIEFT!$A$2:$G$8551,3,FALSE),"")</f>
        <v>46052</v>
      </c>
      <c r="E1799" s="392" t="str">
        <f>IFERROR(VLOOKUP(A1799,[3]DOORSCRIEFT!$A$2:$G$8551,4,FALSE),"")</f>
        <v>Kolekta Kebaktian Perempuan Sektor</v>
      </c>
      <c r="F1799" s="405">
        <f>IFERROR(VLOOKUP(A1799,[3]DOORSCRIEFT!$A$2:$G$8551,6,FALSE),"")</f>
        <v>1769000</v>
      </c>
      <c r="G1799" s="315"/>
    </row>
    <row r="1800" spans="1:7" x14ac:dyDescent="0.25">
      <c r="A1800" s="339" t="str">
        <f t="shared" si="53"/>
        <v>I.2.2.02.0294</v>
      </c>
      <c r="B1800" s="319">
        <v>4</v>
      </c>
      <c r="C1800" s="394">
        <f>IFERROR(VLOOKUP(A1800,[3]DOORSCRIEFT!$A$2:$G$8551,2,FALSE),"")</f>
        <v>156</v>
      </c>
      <c r="D1800" s="393">
        <f>IFERROR(VLOOKUP(A1800,[3]DOORSCRIEFT!$A$2:$G$8551,3,FALSE),"")</f>
        <v>46059</v>
      </c>
      <c r="E1800" s="392" t="str">
        <f>IFERROR(VLOOKUP(A1800,[3]DOORSCRIEFT!$A$2:$G$8551,4,FALSE),"")</f>
        <v>Kolekta Kebaktian Pelayanan Perempuan</v>
      </c>
      <c r="F1800" s="405">
        <f>IFERROR(VLOOKUP(A1800,[3]DOORSCRIEFT!$A$2:$G$8551,6,FALSE),"")</f>
        <v>1624000</v>
      </c>
      <c r="G1800" s="315"/>
    </row>
    <row r="1801" spans="1:7" x14ac:dyDescent="0.25">
      <c r="A1801" s="339" t="str">
        <f t="shared" si="53"/>
        <v>I.2.2.02.0295</v>
      </c>
      <c r="B1801" s="339">
        <v>5</v>
      </c>
      <c r="C1801" s="394">
        <f>IFERROR(VLOOKUP(A1801,[3]DOORSCRIEFT!$A$2:$G$8551,2,FALSE),"")</f>
        <v>192</v>
      </c>
      <c r="D1801" s="393">
        <f>IFERROR(VLOOKUP(A1801,[3]DOORSCRIEFT!$A$2:$G$8551,3,FALSE),"")</f>
        <v>46066</v>
      </c>
      <c r="E1801" s="392" t="str">
        <f>IFERROR(VLOOKUP(A1801,[3]DOORSCRIEFT!$A$2:$G$8551,4,FALSE),"")</f>
        <v>Kolekta Kebaktian Pelayanan Perempuan</v>
      </c>
      <c r="F1801" s="405">
        <f>IFERROR(VLOOKUP(A1801,[3]DOORSCRIEFT!$A$2:$G$8551,6,FALSE),"")</f>
        <v>1409000</v>
      </c>
      <c r="G1801" s="315"/>
    </row>
    <row r="1802" spans="1:7" x14ac:dyDescent="0.25">
      <c r="A1802" s="339" t="str">
        <f t="shared" si="53"/>
        <v>I.2.2.02.0296</v>
      </c>
      <c r="B1802" s="319">
        <v>6</v>
      </c>
      <c r="C1802" s="394">
        <f>IFERROR(VLOOKUP(A1802,[3]DOORSCRIEFT!$A$2:$G$8551,2,FALSE),"")</f>
        <v>221</v>
      </c>
      <c r="D1802" s="393">
        <f>IFERROR(VLOOKUP(A1802,[3]DOORSCRIEFT!$A$2:$G$8551,3,FALSE),"")</f>
        <v>46073</v>
      </c>
      <c r="E1802" s="392" t="str">
        <f>IFERROR(VLOOKUP(A1802,[3]DOORSCRIEFT!$A$2:$G$8551,4,FALSE),"")</f>
        <v>Kolekta Kebaktian Pelayanan Perempuan</v>
      </c>
      <c r="F1802" s="405">
        <f>IFERROR(VLOOKUP(A1802,[3]DOORSCRIEFT!$A$2:$G$8551,6,FALSE),"")</f>
        <v>1619000</v>
      </c>
      <c r="G1802" s="315"/>
    </row>
    <row r="1803" spans="1:7" x14ac:dyDescent="0.25">
      <c r="A1803" s="339" t="str">
        <f t="shared" si="53"/>
        <v>I.2.2.02.0297</v>
      </c>
      <c r="B1803" s="339">
        <v>7</v>
      </c>
      <c r="C1803" s="394">
        <f>IFERROR(VLOOKUP(A1803,[3]DOORSCRIEFT!$A$2:$G$8551,2,FALSE),"")</f>
        <v>252</v>
      </c>
      <c r="D1803" s="393">
        <f>IFERROR(VLOOKUP(A1803,[3]DOORSCRIEFT!$A$2:$G$8551,3,FALSE),"")</f>
        <v>46075</v>
      </c>
      <c r="E1803" s="392" t="str">
        <f>IFERROR(VLOOKUP(A1803,[3]DOORSCRIEFT!$A$2:$G$8551,4,FALSE),"")</f>
        <v>Kolekta Kebaktian Pelayanan Perempuan sek. Imanuel</v>
      </c>
      <c r="F1803" s="405">
        <f>IFERROR(VLOOKUP(A1803,[3]DOORSCRIEFT!$A$2:$G$8551,6,FALSE),"")</f>
        <v>179000</v>
      </c>
      <c r="G1803" s="315"/>
    </row>
    <row r="1804" spans="1:7" x14ac:dyDescent="0.25">
      <c r="A1804" s="339" t="str">
        <f t="shared" si="53"/>
        <v>I.2.2.02.0298</v>
      </c>
      <c r="B1804" s="319">
        <v>8</v>
      </c>
      <c r="C1804" s="394">
        <f>IFERROR(VLOOKUP(A1804,[3]DOORSCRIEFT!$A$2:$G$8551,2,FALSE),"")</f>
        <v>261</v>
      </c>
      <c r="D1804" s="393">
        <f>IFERROR(VLOOKUP(A1804,[3]DOORSCRIEFT!$A$2:$G$8551,3,FALSE),"")</f>
        <v>46080</v>
      </c>
      <c r="E1804" s="392" t="str">
        <f>IFERROR(VLOOKUP(A1804,[3]DOORSCRIEFT!$A$2:$G$8551,4,FALSE),"")</f>
        <v>Kolekta Kebaktian Pelayanan Perempuan</v>
      </c>
      <c r="F1804" s="405">
        <f>IFERROR(VLOOKUP(A1804,[3]DOORSCRIEFT!$A$2:$G$8551,6,FALSE),"")</f>
        <v>930000</v>
      </c>
      <c r="G1804" s="315"/>
    </row>
    <row r="1805" spans="1:7" x14ac:dyDescent="0.25">
      <c r="A1805" s="339" t="str">
        <f t="shared" si="53"/>
        <v>I.2.2.02.0299</v>
      </c>
      <c r="B1805" s="339">
        <v>9</v>
      </c>
      <c r="C1805" s="394">
        <f>IFERROR(VLOOKUP(A1805,[3]DOORSCRIEFT!$A$2:$G$8551,2,FALSE),"")</f>
        <v>295</v>
      </c>
      <c r="D1805" s="393">
        <f>IFERROR(VLOOKUP(A1805,[3]DOORSCRIEFT!$A$2:$G$8551,3,FALSE),"")</f>
        <v>46087</v>
      </c>
      <c r="E1805" s="392" t="str">
        <f>IFERROR(VLOOKUP(A1805,[3]DOORSCRIEFT!$A$2:$G$8551,4,FALSE),"")</f>
        <v>Kolekta Kebaktian Perempuan sektor</v>
      </c>
      <c r="F1805" s="405">
        <f>IFERROR(VLOOKUP(A1805,[3]DOORSCRIEFT!$A$2:$G$8551,6,FALSE),"")</f>
        <v>1326000</v>
      </c>
      <c r="G1805" s="315"/>
    </row>
    <row r="1806" spans="1:7" x14ac:dyDescent="0.25">
      <c r="A1806" s="339" t="str">
        <f t="shared" si="53"/>
        <v>I.2.2.02.02910</v>
      </c>
      <c r="B1806" s="319">
        <v>10</v>
      </c>
      <c r="C1806" s="394">
        <f>IFERROR(VLOOKUP(A1806,[3]DOORSCRIEFT!$A$2:$G$8551,2,FALSE),"")</f>
        <v>440</v>
      </c>
      <c r="D1806" s="393">
        <f>IFERROR(VLOOKUP(A1806,[3]DOORSCRIEFT!$A$2:$G$8551,3,FALSE),"")</f>
        <v>46108</v>
      </c>
      <c r="E1806" s="392" t="str">
        <f>IFERROR(VLOOKUP(A1806,[3]DOORSCRIEFT!$A$2:$G$8551,4,FALSE),"")</f>
        <v>Kolekta Kebaktian Pelayanan Perempuan</v>
      </c>
      <c r="F1806" s="405">
        <f>IFERROR(VLOOKUP(A1806,[3]DOORSCRIEFT!$A$2:$G$8551,6,FALSE),"")</f>
        <v>1068000</v>
      </c>
      <c r="G1806" s="315"/>
    </row>
    <row r="1807" spans="1:7" x14ac:dyDescent="0.25">
      <c r="A1807" s="339" t="str">
        <f t="shared" si="53"/>
        <v>I.2.2.02.02911</v>
      </c>
      <c r="B1807" s="339">
        <v>11</v>
      </c>
      <c r="C1807" s="394" t="str">
        <f>IFERROR(VLOOKUP(A1807,[3]DOORSCRIEFT!$A$2:$G$8551,2,FALSE),"")</f>
        <v/>
      </c>
      <c r="D1807" s="393" t="str">
        <f>IFERROR(VLOOKUP(A1807,[3]DOORSCRIEFT!$A$2:$G$8551,3,FALSE),"")</f>
        <v/>
      </c>
      <c r="E1807" s="392" t="str">
        <f>IFERROR(VLOOKUP(A1807,[3]DOORSCRIEFT!$A$2:$G$8551,4,FALSE),"")</f>
        <v/>
      </c>
      <c r="F1807" s="405" t="str">
        <f>IFERROR(VLOOKUP(A1807,[3]DOORSCRIEFT!$A$2:$G$8551,6,FALSE),"")</f>
        <v/>
      </c>
      <c r="G1807" s="315"/>
    </row>
    <row r="1808" spans="1:7" x14ac:dyDescent="0.25">
      <c r="A1808" s="339" t="str">
        <f t="shared" si="53"/>
        <v>I.2.2.02.02912</v>
      </c>
      <c r="B1808" s="319">
        <v>12</v>
      </c>
      <c r="C1808" s="394" t="str">
        <f>IFERROR(VLOOKUP(A1808,[3]DOORSCRIEFT!$A$2:$G$8551,2,FALSE),"")</f>
        <v/>
      </c>
      <c r="D1808" s="393" t="str">
        <f>IFERROR(VLOOKUP(A1808,[3]DOORSCRIEFT!$A$2:$G$8551,3,FALSE),"")</f>
        <v/>
      </c>
      <c r="E1808" s="392" t="str">
        <f>IFERROR(VLOOKUP(A1808,[3]DOORSCRIEFT!$A$2:$G$8551,4,FALSE),"")</f>
        <v/>
      </c>
      <c r="F1808" s="405" t="str">
        <f>IFERROR(VLOOKUP(A1808,[3]DOORSCRIEFT!$A$2:$G$8551,6,FALSE),"")</f>
        <v/>
      </c>
      <c r="G1808" s="315"/>
    </row>
    <row r="1809" spans="1:7" x14ac:dyDescent="0.25">
      <c r="A1809" s="339" t="str">
        <f t="shared" si="53"/>
        <v>I.2.2.02.02913</v>
      </c>
      <c r="B1809" s="339">
        <v>13</v>
      </c>
      <c r="C1809" s="394" t="str">
        <f>IFERROR(VLOOKUP(A1809,[3]DOORSCRIEFT!$A$2:$G$8551,2,FALSE),"")</f>
        <v/>
      </c>
      <c r="D1809" s="393" t="str">
        <f>IFERROR(VLOOKUP(A1809,[3]DOORSCRIEFT!$A$2:$G$8551,3,FALSE),"")</f>
        <v/>
      </c>
      <c r="E1809" s="392" t="str">
        <f>IFERROR(VLOOKUP(A1809,[3]DOORSCRIEFT!$A$2:$G$8551,4,FALSE),"")</f>
        <v/>
      </c>
      <c r="F1809" s="405" t="str">
        <f>IFERROR(VLOOKUP(A1809,[3]DOORSCRIEFT!$A$2:$G$8551,6,FALSE),"")</f>
        <v/>
      </c>
      <c r="G1809" s="315"/>
    </row>
    <row r="1810" spans="1:7" x14ac:dyDescent="0.25">
      <c r="A1810" s="339" t="str">
        <f t="shared" si="53"/>
        <v>I.2.2.02.02914</v>
      </c>
      <c r="B1810" s="319">
        <v>14</v>
      </c>
      <c r="C1810" s="394" t="str">
        <f>IFERROR(VLOOKUP(A1810,[3]DOORSCRIEFT!$A$2:$G$8551,2,FALSE),"")</f>
        <v/>
      </c>
      <c r="D1810" s="393" t="str">
        <f>IFERROR(VLOOKUP(A1810,[3]DOORSCRIEFT!$A$2:$G$8551,3,FALSE),"")</f>
        <v/>
      </c>
      <c r="E1810" s="392" t="str">
        <f>IFERROR(VLOOKUP(A1810,[3]DOORSCRIEFT!$A$2:$G$8551,4,FALSE),"")</f>
        <v/>
      </c>
      <c r="F1810" s="405" t="str">
        <f>IFERROR(VLOOKUP(A1810,[3]DOORSCRIEFT!$A$2:$G$8551,6,FALSE),"")</f>
        <v/>
      </c>
      <c r="G1810" s="315"/>
    </row>
    <row r="1811" spans="1:7" x14ac:dyDescent="0.25">
      <c r="A1811" s="339" t="str">
        <f t="shared" si="53"/>
        <v>I.2.2.02.02915</v>
      </c>
      <c r="B1811" s="339">
        <v>15</v>
      </c>
      <c r="C1811" s="394" t="str">
        <f>IFERROR(VLOOKUP(A1811,[3]DOORSCRIEFT!$A$2:$G$8551,2,FALSE),"")</f>
        <v/>
      </c>
      <c r="D1811" s="393" t="str">
        <f>IFERROR(VLOOKUP(A1811,[3]DOORSCRIEFT!$A$2:$G$8551,3,FALSE),"")</f>
        <v/>
      </c>
      <c r="E1811" s="392" t="str">
        <f>IFERROR(VLOOKUP(A1811,[3]DOORSCRIEFT!$A$2:$G$8551,4,FALSE),"")</f>
        <v/>
      </c>
      <c r="F1811" s="405" t="str">
        <f>IFERROR(VLOOKUP(A1811,[3]DOORSCRIEFT!$A$2:$G$8551,6,FALSE),"")</f>
        <v/>
      </c>
      <c r="G1811" s="315"/>
    </row>
    <row r="1812" spans="1:7" x14ac:dyDescent="0.25">
      <c r="A1812" s="339" t="str">
        <f t="shared" si="53"/>
        <v>I.2.2.02.02916</v>
      </c>
      <c r="B1812" s="319">
        <v>16</v>
      </c>
      <c r="C1812" s="394" t="str">
        <f>IFERROR(VLOOKUP(A1812,[3]DOORSCRIEFT!$A$2:$G$8551,2,FALSE),"")</f>
        <v/>
      </c>
      <c r="D1812" s="393" t="str">
        <f>IFERROR(VLOOKUP(A1812,[3]DOORSCRIEFT!$A$2:$G$8551,3,FALSE),"")</f>
        <v/>
      </c>
      <c r="E1812" s="392" t="str">
        <f>IFERROR(VLOOKUP(A1812,[3]DOORSCRIEFT!$A$2:$G$8551,4,FALSE),"")</f>
        <v/>
      </c>
      <c r="F1812" s="405" t="str">
        <f>IFERROR(VLOOKUP(A1812,[3]DOORSCRIEFT!$A$2:$G$8551,6,FALSE),"")</f>
        <v/>
      </c>
      <c r="G1812" s="315"/>
    </row>
    <row r="1813" spans="1:7" x14ac:dyDescent="0.25">
      <c r="A1813" s="339" t="str">
        <f t="shared" si="53"/>
        <v>I.2.2.02.02917</v>
      </c>
      <c r="B1813" s="339">
        <v>17</v>
      </c>
      <c r="C1813" s="394" t="str">
        <f>IFERROR(VLOOKUP(A1813,[3]DOORSCRIEFT!$A$2:$G$8551,2,FALSE),"")</f>
        <v/>
      </c>
      <c r="D1813" s="393" t="str">
        <f>IFERROR(VLOOKUP(A1813,[3]DOORSCRIEFT!$A$2:$G$8551,3,FALSE),"")</f>
        <v/>
      </c>
      <c r="E1813" s="392" t="str">
        <f>IFERROR(VLOOKUP(A1813,[3]DOORSCRIEFT!$A$2:$G$8551,4,FALSE),"")</f>
        <v/>
      </c>
      <c r="F1813" s="405" t="str">
        <f>IFERROR(VLOOKUP(A1813,[3]DOORSCRIEFT!$A$2:$G$8551,6,FALSE),"")</f>
        <v/>
      </c>
      <c r="G1813" s="315"/>
    </row>
    <row r="1814" spans="1:7" x14ac:dyDescent="0.25">
      <c r="A1814" s="339" t="str">
        <f t="shared" si="53"/>
        <v>I.2.2.02.02918</v>
      </c>
      <c r="B1814" s="319">
        <v>18</v>
      </c>
      <c r="C1814" s="394" t="str">
        <f>IFERROR(VLOOKUP(A1814,[3]DOORSCRIEFT!$A$2:$G$8551,2,FALSE),"")</f>
        <v/>
      </c>
      <c r="D1814" s="393" t="str">
        <f>IFERROR(VLOOKUP(A1814,[3]DOORSCRIEFT!$A$2:$G$8551,3,FALSE),"")</f>
        <v/>
      </c>
      <c r="E1814" s="392" t="str">
        <f>IFERROR(VLOOKUP(A1814,[3]DOORSCRIEFT!$A$2:$G$8551,4,FALSE),"")</f>
        <v/>
      </c>
      <c r="F1814" s="405" t="str">
        <f>IFERROR(VLOOKUP(A1814,[3]DOORSCRIEFT!$A$2:$G$8551,6,FALSE),"")</f>
        <v/>
      </c>
      <c r="G1814" s="315"/>
    </row>
    <row r="1815" spans="1:7" x14ac:dyDescent="0.25">
      <c r="A1815" s="339" t="str">
        <f t="shared" si="53"/>
        <v>I.2.2.02.02919</v>
      </c>
      <c r="B1815" s="339">
        <v>19</v>
      </c>
      <c r="C1815" s="394" t="str">
        <f>IFERROR(VLOOKUP(A1815,[3]DOORSCRIEFT!$A$2:$G$8551,2,FALSE),"")</f>
        <v/>
      </c>
      <c r="D1815" s="393" t="str">
        <f>IFERROR(VLOOKUP(A1815,[3]DOORSCRIEFT!$A$2:$G$8551,3,FALSE),"")</f>
        <v/>
      </c>
      <c r="E1815" s="392" t="str">
        <f>IFERROR(VLOOKUP(A1815,[3]DOORSCRIEFT!$A$2:$G$8551,4,FALSE),"")</f>
        <v/>
      </c>
      <c r="F1815" s="405" t="str">
        <f>IFERROR(VLOOKUP(A1815,[3]DOORSCRIEFT!$A$2:$G$8551,6,FALSE),"")</f>
        <v/>
      </c>
      <c r="G1815" s="315"/>
    </row>
    <row r="1816" spans="1:7" x14ac:dyDescent="0.25">
      <c r="A1816" s="339" t="str">
        <f t="shared" si="53"/>
        <v>I.2.2.02.02920</v>
      </c>
      <c r="B1816" s="319">
        <v>20</v>
      </c>
      <c r="C1816" s="394" t="str">
        <f>IFERROR(VLOOKUP(A1816,[3]DOORSCRIEFT!$A$2:$G$8551,2,FALSE),"")</f>
        <v/>
      </c>
      <c r="D1816" s="393" t="str">
        <f>IFERROR(VLOOKUP(A1816,[3]DOORSCRIEFT!$A$2:$G$8551,3,FALSE),"")</f>
        <v/>
      </c>
      <c r="E1816" s="392" t="str">
        <f>IFERROR(VLOOKUP(A1816,[3]DOORSCRIEFT!$A$2:$G$8551,4,FALSE),"")</f>
        <v/>
      </c>
      <c r="F1816" s="405" t="str">
        <f>IFERROR(VLOOKUP(A1816,[3]DOORSCRIEFT!$A$2:$G$8551,6,FALSE),"")</f>
        <v/>
      </c>
      <c r="G1816" s="315"/>
    </row>
    <row r="1817" spans="1:7" x14ac:dyDescent="0.25">
      <c r="A1817" s="339" t="str">
        <f t="shared" si="53"/>
        <v>I.2.2.02.02921</v>
      </c>
      <c r="B1817" s="339">
        <v>21</v>
      </c>
      <c r="C1817" s="394" t="str">
        <f>IFERROR(VLOOKUP(A1817,[3]DOORSCRIEFT!$A$2:$G$8551,2,FALSE),"")</f>
        <v/>
      </c>
      <c r="D1817" s="393" t="str">
        <f>IFERROR(VLOOKUP(A1817,[3]DOORSCRIEFT!$A$2:$G$8551,3,FALSE),"")</f>
        <v/>
      </c>
      <c r="E1817" s="392" t="str">
        <f>IFERROR(VLOOKUP(A1817,[3]DOORSCRIEFT!$A$2:$G$8551,4,FALSE),"")</f>
        <v/>
      </c>
      <c r="F1817" s="405" t="str">
        <f>IFERROR(VLOOKUP(A1817,[3]DOORSCRIEFT!$A$2:$G$8551,6,FALSE),"")</f>
        <v/>
      </c>
      <c r="G1817" s="315"/>
    </row>
    <row r="1818" spans="1:7" x14ac:dyDescent="0.25">
      <c r="A1818" s="339" t="str">
        <f t="shared" si="53"/>
        <v>I.2.2.02.02922</v>
      </c>
      <c r="B1818" s="319">
        <v>22</v>
      </c>
      <c r="C1818" s="394" t="str">
        <f>IFERROR(VLOOKUP(A1818,[3]DOORSCRIEFT!$A$2:$G$8551,2,FALSE),"")</f>
        <v/>
      </c>
      <c r="D1818" s="393" t="str">
        <f>IFERROR(VLOOKUP(A1818,[3]DOORSCRIEFT!$A$2:$G$8551,3,FALSE),"")</f>
        <v/>
      </c>
      <c r="E1818" s="392" t="str">
        <f>IFERROR(VLOOKUP(A1818,[3]DOORSCRIEFT!$A$2:$G$8551,4,FALSE),"")</f>
        <v/>
      </c>
      <c r="F1818" s="405" t="str">
        <f>IFERROR(VLOOKUP(A1818,[3]DOORSCRIEFT!$A$2:$G$8551,6,FALSE),"")</f>
        <v/>
      </c>
      <c r="G1818" s="315"/>
    </row>
    <row r="1819" spans="1:7" x14ac:dyDescent="0.25">
      <c r="A1819" s="339" t="str">
        <f t="shared" si="53"/>
        <v>I.2.2.02.02923</v>
      </c>
      <c r="B1819" s="339">
        <v>23</v>
      </c>
      <c r="C1819" s="394" t="str">
        <f>IFERROR(VLOOKUP(A1819,[3]DOORSCRIEFT!$A$2:$G$8551,2,FALSE),"")</f>
        <v/>
      </c>
      <c r="D1819" s="393" t="str">
        <f>IFERROR(VLOOKUP(A1819,[3]DOORSCRIEFT!$A$2:$G$8551,3,FALSE),"")</f>
        <v/>
      </c>
      <c r="E1819" s="392" t="str">
        <f>IFERROR(VLOOKUP(A1819,[3]DOORSCRIEFT!$A$2:$G$8551,4,FALSE),"")</f>
        <v/>
      </c>
      <c r="F1819" s="405" t="str">
        <f>IFERROR(VLOOKUP(A1819,[3]DOORSCRIEFT!$A$2:$G$8551,6,FALSE),"")</f>
        <v/>
      </c>
      <c r="G1819" s="315"/>
    </row>
    <row r="1820" spans="1:7" x14ac:dyDescent="0.25">
      <c r="A1820" s="339" t="str">
        <f t="shared" si="53"/>
        <v>I.2.2.02.02924</v>
      </c>
      <c r="B1820" s="319">
        <v>24</v>
      </c>
      <c r="C1820" s="394" t="str">
        <f>IFERROR(VLOOKUP(A1820,[3]DOORSCRIEFT!$A$2:$G$8551,2,FALSE),"")</f>
        <v/>
      </c>
      <c r="D1820" s="393" t="str">
        <f>IFERROR(VLOOKUP(A1820,[3]DOORSCRIEFT!$A$2:$G$8551,3,FALSE),"")</f>
        <v/>
      </c>
      <c r="E1820" s="392" t="str">
        <f>IFERROR(VLOOKUP(A1820,[3]DOORSCRIEFT!$A$2:$G$8551,4,FALSE),"")</f>
        <v/>
      </c>
      <c r="F1820" s="405" t="str">
        <f>IFERROR(VLOOKUP(A1820,[3]DOORSCRIEFT!$A$2:$G$8551,6,FALSE),"")</f>
        <v/>
      </c>
      <c r="G1820" s="315"/>
    </row>
    <row r="1821" spans="1:7" x14ac:dyDescent="0.25">
      <c r="A1821" s="339" t="str">
        <f t="shared" si="53"/>
        <v>I.2.2.02.02925</v>
      </c>
      <c r="B1821" s="339">
        <v>25</v>
      </c>
      <c r="C1821" s="394" t="str">
        <f>IFERROR(VLOOKUP(A1821,[3]DOORSCRIEFT!$A$2:$G$8551,2,FALSE),"")</f>
        <v/>
      </c>
      <c r="D1821" s="393" t="str">
        <f>IFERROR(VLOOKUP(A1821,[3]DOORSCRIEFT!$A$2:$G$8551,3,FALSE),"")</f>
        <v/>
      </c>
      <c r="E1821" s="392" t="str">
        <f>IFERROR(VLOOKUP(A1821,[3]DOORSCRIEFT!$A$2:$G$8551,4,FALSE),"")</f>
        <v/>
      </c>
      <c r="F1821" s="405" t="str">
        <f>IFERROR(VLOOKUP(A1821,[3]DOORSCRIEFT!$A$2:$G$8551,6,FALSE),"")</f>
        <v/>
      </c>
      <c r="G1821" s="315"/>
    </row>
    <row r="1822" spans="1:7" x14ac:dyDescent="0.25">
      <c r="A1822" s="339" t="str">
        <f t="shared" si="53"/>
        <v>I.2.2.02.02926</v>
      </c>
      <c r="B1822" s="319">
        <v>26</v>
      </c>
      <c r="C1822" s="394" t="str">
        <f>IFERROR(VLOOKUP(A1822,[3]DOORSCRIEFT!$A$2:$G$8551,2,FALSE),"")</f>
        <v/>
      </c>
      <c r="D1822" s="393" t="str">
        <f>IFERROR(VLOOKUP(A1822,[3]DOORSCRIEFT!$A$2:$G$8551,3,FALSE),"")</f>
        <v/>
      </c>
      <c r="E1822" s="392" t="str">
        <f>IFERROR(VLOOKUP(A1822,[3]DOORSCRIEFT!$A$2:$G$8551,4,FALSE),"")</f>
        <v/>
      </c>
      <c r="F1822" s="405" t="str">
        <f>IFERROR(VLOOKUP(A1822,[3]DOORSCRIEFT!$A$2:$G$8551,6,FALSE),"")</f>
        <v/>
      </c>
      <c r="G1822" s="315"/>
    </row>
    <row r="1823" spans="1:7" x14ac:dyDescent="0.25">
      <c r="A1823" s="339" t="str">
        <f t="shared" si="53"/>
        <v>I.2.2.02.02927</v>
      </c>
      <c r="B1823" s="339">
        <v>27</v>
      </c>
      <c r="C1823" s="394" t="str">
        <f>IFERROR(VLOOKUP(A1823,[3]DOORSCRIEFT!$A$2:$G$8551,2,FALSE),"")</f>
        <v/>
      </c>
      <c r="D1823" s="393" t="str">
        <f>IFERROR(VLOOKUP(A1823,[3]DOORSCRIEFT!$A$2:$G$8551,3,FALSE),"")</f>
        <v/>
      </c>
      <c r="E1823" s="392" t="str">
        <f>IFERROR(VLOOKUP(A1823,[3]DOORSCRIEFT!$A$2:$G$8551,4,FALSE),"")</f>
        <v/>
      </c>
      <c r="F1823" s="405" t="str">
        <f>IFERROR(VLOOKUP(A1823,[3]DOORSCRIEFT!$A$2:$G$8551,6,FALSE),"")</f>
        <v/>
      </c>
      <c r="G1823" s="315"/>
    </row>
    <row r="1824" spans="1:7" x14ac:dyDescent="0.25">
      <c r="A1824" s="339" t="str">
        <f t="shared" si="53"/>
        <v>I.2.2.02.02928</v>
      </c>
      <c r="B1824" s="319">
        <v>28</v>
      </c>
      <c r="C1824" s="394" t="str">
        <f>IFERROR(VLOOKUP(A1824,[3]DOORSCRIEFT!$A$2:$G$8551,2,FALSE),"")</f>
        <v/>
      </c>
      <c r="D1824" s="393" t="str">
        <f>IFERROR(VLOOKUP(A1824,[3]DOORSCRIEFT!$A$2:$G$8551,3,FALSE),"")</f>
        <v/>
      </c>
      <c r="E1824" s="392" t="str">
        <f>IFERROR(VLOOKUP(A1824,[3]DOORSCRIEFT!$A$2:$G$8551,4,FALSE),"")</f>
        <v/>
      </c>
      <c r="F1824" s="405" t="str">
        <f>IFERROR(VLOOKUP(A1824,[3]DOORSCRIEFT!$A$2:$G$8551,6,FALSE),"")</f>
        <v/>
      </c>
      <c r="G1824" s="315"/>
    </row>
    <row r="1825" spans="1:7" x14ac:dyDescent="0.25">
      <c r="A1825" s="339" t="str">
        <f t="shared" si="53"/>
        <v>I.2.2.02.02929</v>
      </c>
      <c r="B1825" s="339">
        <v>29</v>
      </c>
      <c r="C1825" s="394" t="str">
        <f>IFERROR(VLOOKUP(A1825,[3]DOORSCRIEFT!$A$2:$G$8551,2,FALSE),"")</f>
        <v/>
      </c>
      <c r="D1825" s="393" t="str">
        <f>IFERROR(VLOOKUP(A1825,[3]DOORSCRIEFT!$A$2:$G$8551,3,FALSE),"")</f>
        <v/>
      </c>
      <c r="E1825" s="392" t="str">
        <f>IFERROR(VLOOKUP(A1825,[3]DOORSCRIEFT!$A$2:$G$8551,4,FALSE),"")</f>
        <v/>
      </c>
      <c r="F1825" s="405" t="str">
        <f>IFERROR(VLOOKUP(A1825,[3]DOORSCRIEFT!$A$2:$G$8551,6,FALSE),"")</f>
        <v/>
      </c>
      <c r="G1825" s="315"/>
    </row>
    <row r="1826" spans="1:7" x14ac:dyDescent="0.25">
      <c r="A1826" s="339" t="str">
        <f t="shared" si="53"/>
        <v>I.2.2.02.02930</v>
      </c>
      <c r="B1826" s="319">
        <v>30</v>
      </c>
      <c r="C1826" s="394" t="str">
        <f>IFERROR(VLOOKUP(A1826,[3]DOORSCRIEFT!$A$2:$G$8551,2,FALSE),"")</f>
        <v/>
      </c>
      <c r="D1826" s="393" t="str">
        <f>IFERROR(VLOOKUP(A1826,[3]DOORSCRIEFT!$A$2:$G$8551,3,FALSE),"")</f>
        <v/>
      </c>
      <c r="E1826" s="392" t="str">
        <f>IFERROR(VLOOKUP(A1826,[3]DOORSCRIEFT!$A$2:$G$8551,4,FALSE),"")</f>
        <v/>
      </c>
      <c r="F1826" s="405" t="str">
        <f>IFERROR(VLOOKUP(A1826,[3]DOORSCRIEFT!$A$2:$G$8551,6,FALSE),"")</f>
        <v/>
      </c>
      <c r="G1826" s="315"/>
    </row>
    <row r="1827" spans="1:7" x14ac:dyDescent="0.25">
      <c r="A1827" s="339" t="str">
        <f t="shared" si="53"/>
        <v>I.2.2.02.02931</v>
      </c>
      <c r="B1827" s="339">
        <v>31</v>
      </c>
      <c r="C1827" s="394" t="str">
        <f>IFERROR(VLOOKUP(A1827,[3]DOORSCRIEFT!$A$2:$G$8551,2,FALSE),"")</f>
        <v/>
      </c>
      <c r="D1827" s="393" t="str">
        <f>IFERROR(VLOOKUP(A1827,[3]DOORSCRIEFT!$A$2:$G$8551,3,FALSE),"")</f>
        <v/>
      </c>
      <c r="E1827" s="392" t="str">
        <f>IFERROR(VLOOKUP(A1827,[3]DOORSCRIEFT!$A$2:$G$8551,4,FALSE),"")</f>
        <v/>
      </c>
      <c r="F1827" s="405" t="str">
        <f>IFERROR(VLOOKUP(A1827,[3]DOORSCRIEFT!$A$2:$G$8551,6,FALSE),"")</f>
        <v/>
      </c>
      <c r="G1827" s="315"/>
    </row>
    <row r="1828" spans="1:7" x14ac:dyDescent="0.25">
      <c r="A1828" s="339" t="str">
        <f t="shared" si="53"/>
        <v>I.2.2.02.02932</v>
      </c>
      <c r="B1828" s="319">
        <v>32</v>
      </c>
      <c r="C1828" s="394" t="str">
        <f>IFERROR(VLOOKUP(A1828,[3]DOORSCRIEFT!$A$2:$G$8551,2,FALSE),"")</f>
        <v/>
      </c>
      <c r="D1828" s="393" t="str">
        <f>IFERROR(VLOOKUP(A1828,[3]DOORSCRIEFT!$A$2:$G$8551,3,FALSE),"")</f>
        <v/>
      </c>
      <c r="E1828" s="392" t="str">
        <f>IFERROR(VLOOKUP(A1828,[3]DOORSCRIEFT!$A$2:$G$8551,4,FALSE),"")</f>
        <v/>
      </c>
      <c r="F1828" s="405" t="str">
        <f>IFERROR(VLOOKUP(A1828,[3]DOORSCRIEFT!$A$2:$G$8551,6,FALSE),"")</f>
        <v/>
      </c>
      <c r="G1828" s="315"/>
    </row>
    <row r="1829" spans="1:7" x14ac:dyDescent="0.25">
      <c r="A1829" s="339" t="str">
        <f t="shared" ref="A1829:A1860" si="54">$G$1790&amp;B1829</f>
        <v>I.2.2.02.02933</v>
      </c>
      <c r="B1829" s="339">
        <v>33</v>
      </c>
      <c r="C1829" s="394" t="str">
        <f>IFERROR(VLOOKUP(A1829,[3]DOORSCRIEFT!$A$2:$G$8551,2,FALSE),"")</f>
        <v/>
      </c>
      <c r="D1829" s="393" t="str">
        <f>IFERROR(VLOOKUP(A1829,[3]DOORSCRIEFT!$A$2:$G$8551,3,FALSE),"")</f>
        <v/>
      </c>
      <c r="E1829" s="392" t="str">
        <f>IFERROR(VLOOKUP(A1829,[3]DOORSCRIEFT!$A$2:$G$8551,4,FALSE),"")</f>
        <v/>
      </c>
      <c r="F1829" s="405" t="str">
        <f>IFERROR(VLOOKUP(A1829,[3]DOORSCRIEFT!$A$2:$G$8551,6,FALSE),"")</f>
        <v/>
      </c>
      <c r="G1829" s="315"/>
    </row>
    <row r="1830" spans="1:7" x14ac:dyDescent="0.25">
      <c r="A1830" s="339" t="str">
        <f t="shared" si="54"/>
        <v>I.2.2.02.02934</v>
      </c>
      <c r="B1830" s="319">
        <v>34</v>
      </c>
      <c r="C1830" s="394" t="str">
        <f>IFERROR(VLOOKUP(A1830,[3]DOORSCRIEFT!$A$2:$G$8551,2,FALSE),"")</f>
        <v/>
      </c>
      <c r="D1830" s="393" t="str">
        <f>IFERROR(VLOOKUP(A1830,[3]DOORSCRIEFT!$A$2:$G$8551,3,FALSE),"")</f>
        <v/>
      </c>
      <c r="E1830" s="392" t="str">
        <f>IFERROR(VLOOKUP(A1830,[3]DOORSCRIEFT!$A$2:$G$8551,4,FALSE),"")</f>
        <v/>
      </c>
      <c r="F1830" s="405" t="str">
        <f>IFERROR(VLOOKUP(A1830,[3]DOORSCRIEFT!$A$2:$G$8551,6,FALSE),"")</f>
        <v/>
      </c>
      <c r="G1830" s="315"/>
    </row>
    <row r="1831" spans="1:7" x14ac:dyDescent="0.25">
      <c r="A1831" s="339" t="str">
        <f t="shared" si="54"/>
        <v>I.2.2.02.02935</v>
      </c>
      <c r="B1831" s="339">
        <v>35</v>
      </c>
      <c r="C1831" s="394" t="str">
        <f>IFERROR(VLOOKUP(A1831,[3]DOORSCRIEFT!$A$2:$G$8551,2,FALSE),"")</f>
        <v/>
      </c>
      <c r="D1831" s="393" t="str">
        <f>IFERROR(VLOOKUP(A1831,[3]DOORSCRIEFT!$A$2:$G$8551,3,FALSE),"")</f>
        <v/>
      </c>
      <c r="E1831" s="392" t="str">
        <f>IFERROR(VLOOKUP(A1831,[3]DOORSCRIEFT!$A$2:$G$8551,4,FALSE),"")</f>
        <v/>
      </c>
      <c r="F1831" s="405" t="str">
        <f>IFERROR(VLOOKUP(A1831,[3]DOORSCRIEFT!$A$2:$G$8551,6,FALSE),"")</f>
        <v/>
      </c>
      <c r="G1831" s="315"/>
    </row>
    <row r="1832" spans="1:7" x14ac:dyDescent="0.25">
      <c r="A1832" s="339" t="str">
        <f t="shared" si="54"/>
        <v>I.2.2.02.02936</v>
      </c>
      <c r="B1832" s="319">
        <v>36</v>
      </c>
      <c r="C1832" s="394" t="str">
        <f>IFERROR(VLOOKUP(A1832,[3]DOORSCRIEFT!$A$2:$G$8551,2,FALSE),"")</f>
        <v/>
      </c>
      <c r="D1832" s="393" t="str">
        <f>IFERROR(VLOOKUP(A1832,[3]DOORSCRIEFT!$A$2:$G$8551,3,FALSE),"")</f>
        <v/>
      </c>
      <c r="E1832" s="392" t="str">
        <f>IFERROR(VLOOKUP(A1832,[3]DOORSCRIEFT!$A$2:$G$8551,4,FALSE),"")</f>
        <v/>
      </c>
      <c r="F1832" s="405" t="str">
        <f>IFERROR(VLOOKUP(A1832,[3]DOORSCRIEFT!$A$2:$G$8551,6,FALSE),"")</f>
        <v/>
      </c>
      <c r="G1832" s="315"/>
    </row>
    <row r="1833" spans="1:7" x14ac:dyDescent="0.25">
      <c r="A1833" s="339" t="str">
        <f t="shared" si="54"/>
        <v>I.2.2.02.02937</v>
      </c>
      <c r="B1833" s="339">
        <v>37</v>
      </c>
      <c r="C1833" s="394" t="str">
        <f>IFERROR(VLOOKUP(A1833,[3]DOORSCRIEFT!$A$2:$G$8551,2,FALSE),"")</f>
        <v/>
      </c>
      <c r="D1833" s="393" t="str">
        <f>IFERROR(VLOOKUP(A1833,[3]DOORSCRIEFT!$A$2:$G$8551,3,FALSE),"")</f>
        <v/>
      </c>
      <c r="E1833" s="392" t="str">
        <f>IFERROR(VLOOKUP(A1833,[3]DOORSCRIEFT!$A$2:$G$8551,4,FALSE),"")</f>
        <v/>
      </c>
      <c r="F1833" s="405" t="str">
        <f>IFERROR(VLOOKUP(A1833,[3]DOORSCRIEFT!$A$2:$G$8551,6,FALSE),"")</f>
        <v/>
      </c>
      <c r="G1833" s="315"/>
    </row>
    <row r="1834" spans="1:7" x14ac:dyDescent="0.25">
      <c r="A1834" s="339" t="str">
        <f t="shared" si="54"/>
        <v>I.2.2.02.02938</v>
      </c>
      <c r="B1834" s="319">
        <v>38</v>
      </c>
      <c r="C1834" s="394" t="str">
        <f>IFERROR(VLOOKUP(A1834,[3]DOORSCRIEFT!$A$2:$G$8551,2,FALSE),"")</f>
        <v/>
      </c>
      <c r="D1834" s="393" t="str">
        <f>IFERROR(VLOOKUP(A1834,[3]DOORSCRIEFT!$A$2:$G$8551,3,FALSE),"")</f>
        <v/>
      </c>
      <c r="E1834" s="392" t="str">
        <f>IFERROR(VLOOKUP(A1834,[3]DOORSCRIEFT!$A$2:$G$8551,4,FALSE),"")</f>
        <v/>
      </c>
      <c r="F1834" s="405" t="str">
        <f>IFERROR(VLOOKUP(A1834,[3]DOORSCRIEFT!$A$2:$G$8551,6,FALSE),"")</f>
        <v/>
      </c>
      <c r="G1834" s="315"/>
    </row>
    <row r="1835" spans="1:7" x14ac:dyDescent="0.25">
      <c r="A1835" s="339" t="str">
        <f t="shared" si="54"/>
        <v>I.2.2.02.02939</v>
      </c>
      <c r="B1835" s="339">
        <v>39</v>
      </c>
      <c r="C1835" s="394" t="str">
        <f>IFERROR(VLOOKUP(A1835,[3]DOORSCRIEFT!$A$2:$G$8551,2,FALSE),"")</f>
        <v/>
      </c>
      <c r="D1835" s="393" t="str">
        <f>IFERROR(VLOOKUP(A1835,[3]DOORSCRIEFT!$A$2:$G$8551,3,FALSE),"")</f>
        <v/>
      </c>
      <c r="E1835" s="392" t="str">
        <f>IFERROR(VLOOKUP(A1835,[3]DOORSCRIEFT!$A$2:$G$8551,4,FALSE),"")</f>
        <v/>
      </c>
      <c r="F1835" s="405" t="str">
        <f>IFERROR(VLOOKUP(A1835,[3]DOORSCRIEFT!$A$2:$G$8551,6,FALSE),"")</f>
        <v/>
      </c>
      <c r="G1835" s="315"/>
    </row>
    <row r="1836" spans="1:7" x14ac:dyDescent="0.25">
      <c r="A1836" s="339" t="str">
        <f t="shared" si="54"/>
        <v>I.2.2.02.02940</v>
      </c>
      <c r="B1836" s="319">
        <v>40</v>
      </c>
      <c r="C1836" s="394" t="str">
        <f>IFERROR(VLOOKUP(A1836,[3]DOORSCRIEFT!$A$2:$G$8551,2,FALSE),"")</f>
        <v/>
      </c>
      <c r="D1836" s="393" t="str">
        <f>IFERROR(VLOOKUP(A1836,[3]DOORSCRIEFT!$A$2:$G$8551,3,FALSE),"")</f>
        <v/>
      </c>
      <c r="E1836" s="392" t="str">
        <f>IFERROR(VLOOKUP(A1836,[3]DOORSCRIEFT!$A$2:$G$8551,4,FALSE),"")</f>
        <v/>
      </c>
      <c r="F1836" s="405" t="str">
        <f>IFERROR(VLOOKUP(A1836,[3]DOORSCRIEFT!$A$2:$G$8551,6,FALSE),"")</f>
        <v/>
      </c>
      <c r="G1836" s="315"/>
    </row>
    <row r="1837" spans="1:7" x14ac:dyDescent="0.25">
      <c r="A1837" s="339" t="str">
        <f t="shared" si="54"/>
        <v>I.2.2.02.02941</v>
      </c>
      <c r="B1837" s="339">
        <v>41</v>
      </c>
      <c r="C1837" s="394" t="str">
        <f>IFERROR(VLOOKUP(A1837,[3]DOORSCRIEFT!$A$2:$G$8551,2,FALSE),"")</f>
        <v/>
      </c>
      <c r="D1837" s="393" t="str">
        <f>IFERROR(VLOOKUP(A1837,[3]DOORSCRIEFT!$A$2:$G$8551,3,FALSE),"")</f>
        <v/>
      </c>
      <c r="E1837" s="392" t="str">
        <f>IFERROR(VLOOKUP(A1837,[3]DOORSCRIEFT!$A$2:$G$8551,4,FALSE),"")</f>
        <v/>
      </c>
      <c r="F1837" s="405" t="str">
        <f>IFERROR(VLOOKUP(A1837,[3]DOORSCRIEFT!$A$2:$G$8551,6,FALSE),"")</f>
        <v/>
      </c>
      <c r="G1837" s="315"/>
    </row>
    <row r="1838" spans="1:7" x14ac:dyDescent="0.25">
      <c r="A1838" s="339" t="str">
        <f t="shared" si="54"/>
        <v>I.2.2.02.02942</v>
      </c>
      <c r="B1838" s="319">
        <v>42</v>
      </c>
      <c r="C1838" s="394" t="str">
        <f>IFERROR(VLOOKUP(A1838,[3]DOORSCRIEFT!$A$2:$G$8551,2,FALSE),"")</f>
        <v/>
      </c>
      <c r="D1838" s="393" t="str">
        <f>IFERROR(VLOOKUP(A1838,[3]DOORSCRIEFT!$A$2:$G$8551,3,FALSE),"")</f>
        <v/>
      </c>
      <c r="E1838" s="392" t="str">
        <f>IFERROR(VLOOKUP(A1838,[3]DOORSCRIEFT!$A$2:$G$8551,4,FALSE),"")</f>
        <v/>
      </c>
      <c r="F1838" s="405" t="str">
        <f>IFERROR(VLOOKUP(A1838,[3]DOORSCRIEFT!$A$2:$G$8551,6,FALSE),"")</f>
        <v/>
      </c>
      <c r="G1838" s="315"/>
    </row>
    <row r="1839" spans="1:7" x14ac:dyDescent="0.25">
      <c r="A1839" s="339" t="str">
        <f t="shared" si="54"/>
        <v>I.2.2.02.02943</v>
      </c>
      <c r="B1839" s="339">
        <v>43</v>
      </c>
      <c r="C1839" s="394" t="str">
        <f>IFERROR(VLOOKUP(A1839,[3]DOORSCRIEFT!$A$2:$G$8551,2,FALSE),"")</f>
        <v/>
      </c>
      <c r="D1839" s="393" t="str">
        <f>IFERROR(VLOOKUP(A1839,[3]DOORSCRIEFT!$A$2:$G$8551,3,FALSE),"")</f>
        <v/>
      </c>
      <c r="E1839" s="392" t="str">
        <f>IFERROR(VLOOKUP(A1839,[3]DOORSCRIEFT!$A$2:$G$8551,4,FALSE),"")</f>
        <v/>
      </c>
      <c r="F1839" s="405" t="str">
        <f>IFERROR(VLOOKUP(A1839,[3]DOORSCRIEFT!$A$2:$G$8551,6,FALSE),"")</f>
        <v/>
      </c>
      <c r="G1839" s="315"/>
    </row>
    <row r="1840" spans="1:7" x14ac:dyDescent="0.25">
      <c r="A1840" s="339" t="str">
        <f t="shared" si="54"/>
        <v>I.2.2.02.02944</v>
      </c>
      <c r="B1840" s="319">
        <v>44</v>
      </c>
      <c r="C1840" s="394" t="str">
        <f>IFERROR(VLOOKUP(A1840,[3]DOORSCRIEFT!$A$2:$G$8551,2,FALSE),"")</f>
        <v/>
      </c>
      <c r="D1840" s="393" t="str">
        <f>IFERROR(VLOOKUP(A1840,[3]DOORSCRIEFT!$A$2:$G$8551,3,FALSE),"")</f>
        <v/>
      </c>
      <c r="E1840" s="392" t="str">
        <f>IFERROR(VLOOKUP(A1840,[3]DOORSCRIEFT!$A$2:$G$8551,4,FALSE),"")</f>
        <v/>
      </c>
      <c r="F1840" s="405" t="str">
        <f>IFERROR(VLOOKUP(A1840,[3]DOORSCRIEFT!$A$2:$G$8551,6,FALSE),"")</f>
        <v/>
      </c>
      <c r="G1840" s="315"/>
    </row>
    <row r="1841" spans="1:7" x14ac:dyDescent="0.25">
      <c r="A1841" s="339" t="str">
        <f t="shared" si="54"/>
        <v>I.2.2.02.02945</v>
      </c>
      <c r="B1841" s="339">
        <v>45</v>
      </c>
      <c r="C1841" s="394" t="str">
        <f>IFERROR(VLOOKUP(A1841,[3]DOORSCRIEFT!$A$2:$G$8551,2,FALSE),"")</f>
        <v/>
      </c>
      <c r="D1841" s="393" t="str">
        <f>IFERROR(VLOOKUP(A1841,[3]DOORSCRIEFT!$A$2:$G$8551,3,FALSE),"")</f>
        <v/>
      </c>
      <c r="E1841" s="392" t="str">
        <f>IFERROR(VLOOKUP(A1841,[3]DOORSCRIEFT!$A$2:$G$8551,4,FALSE),"")</f>
        <v/>
      </c>
      <c r="F1841" s="405" t="str">
        <f>IFERROR(VLOOKUP(A1841,[3]DOORSCRIEFT!$A$2:$G$8551,6,FALSE),"")</f>
        <v/>
      </c>
      <c r="G1841" s="315"/>
    </row>
    <row r="1842" spans="1:7" x14ac:dyDescent="0.25">
      <c r="A1842" s="339" t="str">
        <f t="shared" si="54"/>
        <v>I.2.2.02.02946</v>
      </c>
      <c r="B1842" s="319">
        <v>46</v>
      </c>
      <c r="C1842" s="394" t="str">
        <f>IFERROR(VLOOKUP(A1842,[3]DOORSCRIEFT!$A$2:$G$8551,2,FALSE),"")</f>
        <v/>
      </c>
      <c r="D1842" s="393" t="str">
        <f>IFERROR(VLOOKUP(A1842,[3]DOORSCRIEFT!$A$2:$G$8551,3,FALSE),"")</f>
        <v/>
      </c>
      <c r="E1842" s="392" t="str">
        <f>IFERROR(VLOOKUP(A1842,[3]DOORSCRIEFT!$A$2:$G$8551,4,FALSE),"")</f>
        <v/>
      </c>
      <c r="F1842" s="405" t="str">
        <f>IFERROR(VLOOKUP(A1842,[3]DOORSCRIEFT!$A$2:$G$8551,6,FALSE),"")</f>
        <v/>
      </c>
      <c r="G1842" s="315"/>
    </row>
    <row r="1843" spans="1:7" x14ac:dyDescent="0.25">
      <c r="A1843" s="339" t="str">
        <f t="shared" si="54"/>
        <v>I.2.2.02.02947</v>
      </c>
      <c r="B1843" s="339">
        <v>47</v>
      </c>
      <c r="C1843" s="394" t="str">
        <f>IFERROR(VLOOKUP(A1843,[3]DOORSCRIEFT!$A$2:$G$8551,2,FALSE),"")</f>
        <v/>
      </c>
      <c r="D1843" s="393" t="str">
        <f>IFERROR(VLOOKUP(A1843,[3]DOORSCRIEFT!$A$2:$G$8551,3,FALSE),"")</f>
        <v/>
      </c>
      <c r="E1843" s="392" t="str">
        <f>IFERROR(VLOOKUP(A1843,[3]DOORSCRIEFT!$A$2:$G$8551,4,FALSE),"")</f>
        <v/>
      </c>
      <c r="F1843" s="405" t="str">
        <f>IFERROR(VLOOKUP(A1843,[3]DOORSCRIEFT!$A$2:$G$8551,6,FALSE),"")</f>
        <v/>
      </c>
      <c r="G1843" s="315"/>
    </row>
    <row r="1844" spans="1:7" x14ac:dyDescent="0.25">
      <c r="A1844" s="339" t="str">
        <f t="shared" si="54"/>
        <v>I.2.2.02.02948</v>
      </c>
      <c r="B1844" s="319">
        <v>48</v>
      </c>
      <c r="C1844" s="394" t="str">
        <f>IFERROR(VLOOKUP(A1844,[3]DOORSCRIEFT!$A$2:$G$8551,2,FALSE),"")</f>
        <v/>
      </c>
      <c r="D1844" s="393" t="str">
        <f>IFERROR(VLOOKUP(A1844,[3]DOORSCRIEFT!$A$2:$G$8551,3,FALSE),"")</f>
        <v/>
      </c>
      <c r="E1844" s="392" t="str">
        <f>IFERROR(VLOOKUP(A1844,[3]DOORSCRIEFT!$A$2:$G$8551,4,FALSE),"")</f>
        <v/>
      </c>
      <c r="F1844" s="405" t="str">
        <f>IFERROR(VLOOKUP(A1844,[3]DOORSCRIEFT!$A$2:$G$8551,6,FALSE),"")</f>
        <v/>
      </c>
      <c r="G1844" s="315"/>
    </row>
    <row r="1845" spans="1:7" x14ac:dyDescent="0.25">
      <c r="A1845" s="339" t="str">
        <f t="shared" si="54"/>
        <v>I.2.2.02.02949</v>
      </c>
      <c r="B1845" s="339">
        <v>49</v>
      </c>
      <c r="C1845" s="394" t="str">
        <f>IFERROR(VLOOKUP(A1845,[3]DOORSCRIEFT!$A$2:$G$8551,2,FALSE),"")</f>
        <v/>
      </c>
      <c r="D1845" s="393" t="str">
        <f>IFERROR(VLOOKUP(A1845,[3]DOORSCRIEFT!$A$2:$G$8551,3,FALSE),"")</f>
        <v/>
      </c>
      <c r="E1845" s="392" t="str">
        <f>IFERROR(VLOOKUP(A1845,[3]DOORSCRIEFT!$A$2:$G$8551,4,FALSE),"")</f>
        <v/>
      </c>
      <c r="F1845" s="405" t="str">
        <f>IFERROR(VLOOKUP(A1845,[3]DOORSCRIEFT!$A$2:$G$8551,6,FALSE),"")</f>
        <v/>
      </c>
      <c r="G1845" s="315"/>
    </row>
    <row r="1846" spans="1:7" x14ac:dyDescent="0.25">
      <c r="A1846" s="339" t="str">
        <f t="shared" si="54"/>
        <v>I.2.2.02.02950</v>
      </c>
      <c r="B1846" s="319">
        <v>50</v>
      </c>
      <c r="C1846" s="394" t="str">
        <f>IFERROR(VLOOKUP(A1846,[3]DOORSCRIEFT!$A$2:$G$8551,2,FALSE),"")</f>
        <v/>
      </c>
      <c r="D1846" s="393" t="str">
        <f>IFERROR(VLOOKUP(A1846,[3]DOORSCRIEFT!$A$2:$G$8551,3,FALSE),"")</f>
        <v/>
      </c>
      <c r="E1846" s="392" t="str">
        <f>IFERROR(VLOOKUP(A1846,[3]DOORSCRIEFT!$A$2:$G$8551,4,FALSE),"")</f>
        <v/>
      </c>
      <c r="F1846" s="405" t="str">
        <f>IFERROR(VLOOKUP(A1846,[3]DOORSCRIEFT!$A$2:$G$8551,6,FALSE),"")</f>
        <v/>
      </c>
      <c r="G1846" s="315"/>
    </row>
    <row r="1847" spans="1:7" x14ac:dyDescent="0.25">
      <c r="A1847" s="339" t="str">
        <f t="shared" si="54"/>
        <v>I.2.2.02.02951</v>
      </c>
      <c r="B1847" s="339">
        <v>51</v>
      </c>
      <c r="C1847" s="394" t="str">
        <f>IFERROR(VLOOKUP(A1847,[3]DOORSCRIEFT!$A$2:$G$8551,2,FALSE),"")</f>
        <v/>
      </c>
      <c r="D1847" s="393" t="str">
        <f>IFERROR(VLOOKUP(A1847,[3]DOORSCRIEFT!$A$2:$G$8551,3,FALSE),"")</f>
        <v/>
      </c>
      <c r="E1847" s="392" t="str">
        <f>IFERROR(VLOOKUP(A1847,[3]DOORSCRIEFT!$A$2:$G$8551,4,FALSE),"")</f>
        <v/>
      </c>
      <c r="F1847" s="405" t="str">
        <f>IFERROR(VLOOKUP(A1847,[3]DOORSCRIEFT!$A$2:$G$8551,6,FALSE),"")</f>
        <v/>
      </c>
      <c r="G1847" s="315"/>
    </row>
    <row r="1848" spans="1:7" x14ac:dyDescent="0.25">
      <c r="A1848" s="339" t="str">
        <f t="shared" si="54"/>
        <v>I.2.2.02.02952</v>
      </c>
      <c r="B1848" s="319">
        <v>52</v>
      </c>
      <c r="C1848" s="394" t="str">
        <f>IFERROR(VLOOKUP(A1848,[3]DOORSCRIEFT!$A$2:$G$8551,2,FALSE),"")</f>
        <v/>
      </c>
      <c r="D1848" s="393" t="str">
        <f>IFERROR(VLOOKUP(A1848,[3]DOORSCRIEFT!$A$2:$G$8551,3,FALSE),"")</f>
        <v/>
      </c>
      <c r="E1848" s="392" t="str">
        <f>IFERROR(VLOOKUP(A1848,[3]DOORSCRIEFT!$A$2:$G$8551,4,FALSE),"")</f>
        <v/>
      </c>
      <c r="F1848" s="405" t="str">
        <f>IFERROR(VLOOKUP(A1848,[3]DOORSCRIEFT!$A$2:$G$8551,6,FALSE),"")</f>
        <v/>
      </c>
      <c r="G1848" s="315"/>
    </row>
    <row r="1849" spans="1:7" x14ac:dyDescent="0.25">
      <c r="A1849" s="339" t="str">
        <f t="shared" si="54"/>
        <v>I.2.2.02.02953</v>
      </c>
      <c r="B1849" s="339">
        <v>53</v>
      </c>
      <c r="C1849" s="394" t="str">
        <f>IFERROR(VLOOKUP(A1849,[3]DOORSCRIEFT!$A$2:$G$8551,2,FALSE),"")</f>
        <v/>
      </c>
      <c r="D1849" s="393" t="str">
        <f>IFERROR(VLOOKUP(A1849,[3]DOORSCRIEFT!$A$2:$G$8551,3,FALSE),"")</f>
        <v/>
      </c>
      <c r="E1849" s="392" t="str">
        <f>IFERROR(VLOOKUP(A1849,[3]DOORSCRIEFT!$A$2:$G$8551,4,FALSE),"")</f>
        <v/>
      </c>
      <c r="F1849" s="405" t="str">
        <f>IFERROR(VLOOKUP(A1849,[3]DOORSCRIEFT!$A$2:$G$8551,6,FALSE),"")</f>
        <v/>
      </c>
      <c r="G1849" s="315"/>
    </row>
    <row r="1850" spans="1:7" x14ac:dyDescent="0.25">
      <c r="A1850" s="339" t="str">
        <f t="shared" si="54"/>
        <v>I.2.2.02.02954</v>
      </c>
      <c r="B1850" s="319">
        <v>54</v>
      </c>
      <c r="C1850" s="394" t="str">
        <f>IFERROR(VLOOKUP(A1850,[3]DOORSCRIEFT!$A$2:$G$8551,2,FALSE),"")</f>
        <v/>
      </c>
      <c r="D1850" s="393" t="str">
        <f>IFERROR(VLOOKUP(A1850,[3]DOORSCRIEFT!$A$2:$G$8551,3,FALSE),"")</f>
        <v/>
      </c>
      <c r="E1850" s="392" t="str">
        <f>IFERROR(VLOOKUP(A1850,[3]DOORSCRIEFT!$A$2:$G$8551,4,FALSE),"")</f>
        <v/>
      </c>
      <c r="F1850" s="405" t="str">
        <f>IFERROR(VLOOKUP(A1850,[3]DOORSCRIEFT!$A$2:$G$8551,6,FALSE),"")</f>
        <v/>
      </c>
      <c r="G1850" s="315"/>
    </row>
    <row r="1851" spans="1:7" x14ac:dyDescent="0.25">
      <c r="A1851" s="339" t="str">
        <f t="shared" si="54"/>
        <v>I.2.2.02.02955</v>
      </c>
      <c r="B1851" s="339">
        <v>55</v>
      </c>
      <c r="C1851" s="394" t="str">
        <f>IFERROR(VLOOKUP(A1851,[3]DOORSCRIEFT!$A$2:$G$8551,2,FALSE),"")</f>
        <v/>
      </c>
      <c r="D1851" s="393" t="str">
        <f>IFERROR(VLOOKUP(A1851,[3]DOORSCRIEFT!$A$2:$G$8551,3,FALSE),"")</f>
        <v/>
      </c>
      <c r="E1851" s="392" t="str">
        <f>IFERROR(VLOOKUP(A1851,[3]DOORSCRIEFT!$A$2:$G$8551,4,FALSE),"")</f>
        <v/>
      </c>
      <c r="F1851" s="405" t="str">
        <f>IFERROR(VLOOKUP(A1851,[3]DOORSCRIEFT!$A$2:$G$8551,6,FALSE),"")</f>
        <v/>
      </c>
      <c r="G1851" s="315"/>
    </row>
    <row r="1852" spans="1:7" x14ac:dyDescent="0.25">
      <c r="A1852" s="339" t="str">
        <f t="shared" si="54"/>
        <v>I.2.2.02.02956</v>
      </c>
      <c r="B1852" s="319">
        <v>56</v>
      </c>
      <c r="C1852" s="394" t="str">
        <f>IFERROR(VLOOKUP(A1852,[3]DOORSCRIEFT!$A$2:$G$8551,2,FALSE),"")</f>
        <v/>
      </c>
      <c r="D1852" s="393" t="str">
        <f>IFERROR(VLOOKUP(A1852,[3]DOORSCRIEFT!$A$2:$G$8551,3,FALSE),"")</f>
        <v/>
      </c>
      <c r="E1852" s="392" t="str">
        <f>IFERROR(VLOOKUP(A1852,[3]DOORSCRIEFT!$A$2:$G$8551,4,FALSE),"")</f>
        <v/>
      </c>
      <c r="F1852" s="405" t="str">
        <f>IFERROR(VLOOKUP(A1852,[3]DOORSCRIEFT!$A$2:$G$8551,6,FALSE),"")</f>
        <v/>
      </c>
      <c r="G1852" s="315"/>
    </row>
    <row r="1853" spans="1:7" x14ac:dyDescent="0.25">
      <c r="A1853" s="339" t="str">
        <f t="shared" si="54"/>
        <v>I.2.2.02.02957</v>
      </c>
      <c r="B1853" s="339">
        <v>57</v>
      </c>
      <c r="C1853" s="394" t="str">
        <f>IFERROR(VLOOKUP(A1853,[3]DOORSCRIEFT!$A$2:$G$8551,2,FALSE),"")</f>
        <v/>
      </c>
      <c r="D1853" s="393" t="str">
        <f>IFERROR(VLOOKUP(A1853,[3]DOORSCRIEFT!$A$2:$G$8551,3,FALSE),"")</f>
        <v/>
      </c>
      <c r="E1853" s="392" t="str">
        <f>IFERROR(VLOOKUP(A1853,[3]DOORSCRIEFT!$A$2:$G$8551,4,FALSE),"")</f>
        <v/>
      </c>
      <c r="F1853" s="405" t="str">
        <f>IFERROR(VLOOKUP(A1853,[3]DOORSCRIEFT!$A$2:$G$8551,6,FALSE),"")</f>
        <v/>
      </c>
      <c r="G1853" s="315"/>
    </row>
    <row r="1854" spans="1:7" x14ac:dyDescent="0.25">
      <c r="A1854" s="339" t="str">
        <f t="shared" si="54"/>
        <v>I.2.2.02.02958</v>
      </c>
      <c r="B1854" s="319">
        <v>58</v>
      </c>
      <c r="C1854" s="394" t="str">
        <f>IFERROR(VLOOKUP(A1854,[3]DOORSCRIEFT!$A$2:$G$8551,2,FALSE),"")</f>
        <v/>
      </c>
      <c r="D1854" s="393" t="str">
        <f>IFERROR(VLOOKUP(A1854,[3]DOORSCRIEFT!$A$2:$G$8551,3,FALSE),"")</f>
        <v/>
      </c>
      <c r="E1854" s="392" t="str">
        <f>IFERROR(VLOOKUP(A1854,[3]DOORSCRIEFT!$A$2:$G$8551,4,FALSE),"")</f>
        <v/>
      </c>
      <c r="F1854" s="405" t="str">
        <f>IFERROR(VLOOKUP(A1854,[3]DOORSCRIEFT!$A$2:$G$8551,6,FALSE),"")</f>
        <v/>
      </c>
      <c r="G1854" s="315"/>
    </row>
    <row r="1855" spans="1:7" x14ac:dyDescent="0.25">
      <c r="A1855" s="339" t="str">
        <f t="shared" si="54"/>
        <v>I.2.2.02.02959</v>
      </c>
      <c r="B1855" s="339">
        <v>59</v>
      </c>
      <c r="C1855" s="394" t="str">
        <f>IFERROR(VLOOKUP(A1855,[3]DOORSCRIEFT!$A$2:$G$8551,2,FALSE),"")</f>
        <v/>
      </c>
      <c r="D1855" s="393" t="str">
        <f>IFERROR(VLOOKUP(A1855,[3]DOORSCRIEFT!$A$2:$G$8551,3,FALSE),"")</f>
        <v/>
      </c>
      <c r="E1855" s="392" t="str">
        <f>IFERROR(VLOOKUP(A1855,[3]DOORSCRIEFT!$A$2:$G$8551,4,FALSE),"")</f>
        <v/>
      </c>
      <c r="F1855" s="405" t="str">
        <f>IFERROR(VLOOKUP(A1855,[3]DOORSCRIEFT!$A$2:$G$8551,6,FALSE),"")</f>
        <v/>
      </c>
      <c r="G1855" s="315"/>
    </row>
    <row r="1856" spans="1:7" x14ac:dyDescent="0.25">
      <c r="A1856" s="339" t="str">
        <f t="shared" si="54"/>
        <v>I.2.2.02.02960</v>
      </c>
      <c r="B1856" s="319">
        <v>60</v>
      </c>
      <c r="C1856" s="394" t="str">
        <f>IFERROR(VLOOKUP(A1856,[3]DOORSCRIEFT!$A$2:$G$8551,2,FALSE),"")</f>
        <v/>
      </c>
      <c r="D1856" s="393" t="str">
        <f>IFERROR(VLOOKUP(A1856,[3]DOORSCRIEFT!$A$2:$G$8551,3,FALSE),"")</f>
        <v/>
      </c>
      <c r="E1856" s="392" t="str">
        <f>IFERROR(VLOOKUP(A1856,[3]DOORSCRIEFT!$A$2:$G$8551,4,FALSE),"")</f>
        <v/>
      </c>
      <c r="F1856" s="405" t="str">
        <f>IFERROR(VLOOKUP(A1856,[3]DOORSCRIEFT!$A$2:$G$8551,6,FALSE),"")</f>
        <v/>
      </c>
      <c r="G1856" s="315"/>
    </row>
    <row r="1857" spans="1:7" x14ac:dyDescent="0.25">
      <c r="A1857" s="339" t="str">
        <f t="shared" si="54"/>
        <v>I.2.2.02.02961</v>
      </c>
      <c r="B1857" s="339">
        <v>61</v>
      </c>
      <c r="C1857" s="394" t="str">
        <f>IFERROR(VLOOKUP(A1857,[3]DOORSCRIEFT!$A$2:$G$8551,2,FALSE),"")</f>
        <v/>
      </c>
      <c r="D1857" s="393" t="str">
        <f>IFERROR(VLOOKUP(A1857,[3]DOORSCRIEFT!$A$2:$G$8551,3,FALSE),"")</f>
        <v/>
      </c>
      <c r="E1857" s="392" t="str">
        <f>IFERROR(VLOOKUP(A1857,[3]DOORSCRIEFT!$A$2:$G$8551,4,FALSE),"")</f>
        <v/>
      </c>
      <c r="F1857" s="405" t="str">
        <f>IFERROR(VLOOKUP(A1857,[3]DOORSCRIEFT!$A$2:$G$8551,6,FALSE),"")</f>
        <v/>
      </c>
      <c r="G1857" s="315"/>
    </row>
    <row r="1858" spans="1:7" x14ac:dyDescent="0.25">
      <c r="A1858" s="339" t="str">
        <f t="shared" si="54"/>
        <v>I.2.2.02.02962</v>
      </c>
      <c r="B1858" s="319">
        <v>62</v>
      </c>
      <c r="C1858" s="394" t="str">
        <f>IFERROR(VLOOKUP(A1858,[3]DOORSCRIEFT!$A$2:$G$8551,2,FALSE),"")</f>
        <v/>
      </c>
      <c r="D1858" s="393" t="str">
        <f>IFERROR(VLOOKUP(A1858,[3]DOORSCRIEFT!$A$2:$G$8551,3,FALSE),"")</f>
        <v/>
      </c>
      <c r="E1858" s="392" t="str">
        <f>IFERROR(VLOOKUP(A1858,[3]DOORSCRIEFT!$A$2:$G$8551,4,FALSE),"")</f>
        <v/>
      </c>
      <c r="F1858" s="405" t="str">
        <f>IFERROR(VLOOKUP(A1858,[3]DOORSCRIEFT!$A$2:$G$8551,6,FALSE),"")</f>
        <v/>
      </c>
      <c r="G1858" s="315"/>
    </row>
    <row r="1859" spans="1:7" x14ac:dyDescent="0.25">
      <c r="A1859" s="339" t="str">
        <f t="shared" si="54"/>
        <v>I.2.2.02.02963</v>
      </c>
      <c r="B1859" s="339">
        <v>63</v>
      </c>
      <c r="C1859" s="394" t="str">
        <f>IFERROR(VLOOKUP(A1859,[3]DOORSCRIEFT!$A$2:$G$8551,2,FALSE),"")</f>
        <v/>
      </c>
      <c r="D1859" s="393" t="str">
        <f>IFERROR(VLOOKUP(A1859,[3]DOORSCRIEFT!$A$2:$G$8551,3,FALSE),"")</f>
        <v/>
      </c>
      <c r="E1859" s="392" t="str">
        <f>IFERROR(VLOOKUP(A1859,[3]DOORSCRIEFT!$A$2:$G$8551,4,FALSE),"")</f>
        <v/>
      </c>
      <c r="F1859" s="405" t="str">
        <f>IFERROR(VLOOKUP(A1859,[3]DOORSCRIEFT!$A$2:$G$8551,6,FALSE),"")</f>
        <v/>
      </c>
      <c r="G1859" s="315"/>
    </row>
    <row r="1860" spans="1:7" x14ac:dyDescent="0.25">
      <c r="A1860" s="339" t="str">
        <f t="shared" si="54"/>
        <v>I.2.2.02.02964</v>
      </c>
      <c r="B1860" s="319">
        <v>64</v>
      </c>
      <c r="C1860" s="394" t="str">
        <f>IFERROR(VLOOKUP(A1860,[3]DOORSCRIEFT!$A$2:$G$8551,2,FALSE),"")</f>
        <v/>
      </c>
      <c r="D1860" s="393" t="str">
        <f>IFERROR(VLOOKUP(A1860,[3]DOORSCRIEFT!$A$2:$G$8551,3,FALSE),"")</f>
        <v/>
      </c>
      <c r="E1860" s="392" t="str">
        <f>IFERROR(VLOOKUP(A1860,[3]DOORSCRIEFT!$A$2:$G$8551,4,FALSE),"")</f>
        <v/>
      </c>
      <c r="F1860" s="405" t="str">
        <f>IFERROR(VLOOKUP(A1860,[3]DOORSCRIEFT!$A$2:$G$8551,6,FALSE),"")</f>
        <v/>
      </c>
      <c r="G1860" s="315"/>
    </row>
    <row r="1861" spans="1:7" x14ac:dyDescent="0.25">
      <c r="A1861" s="339" t="str">
        <f t="shared" ref="A1861:A1892" si="55">$G$1790&amp;B1861</f>
        <v>I.2.2.02.02965</v>
      </c>
      <c r="B1861" s="339">
        <v>65</v>
      </c>
      <c r="C1861" s="394" t="str">
        <f>IFERROR(VLOOKUP(A1861,[3]DOORSCRIEFT!$A$2:$G$8551,2,FALSE),"")</f>
        <v/>
      </c>
      <c r="D1861" s="393" t="str">
        <f>IFERROR(VLOOKUP(A1861,[3]DOORSCRIEFT!$A$2:$G$8551,3,FALSE),"")</f>
        <v/>
      </c>
      <c r="E1861" s="392" t="str">
        <f>IFERROR(VLOOKUP(A1861,[3]DOORSCRIEFT!$A$2:$G$8551,4,FALSE),"")</f>
        <v/>
      </c>
      <c r="F1861" s="405" t="str">
        <f>IFERROR(VLOOKUP(A1861,[3]DOORSCRIEFT!$A$2:$G$8551,6,FALSE),"")</f>
        <v/>
      </c>
      <c r="G1861" s="315"/>
    </row>
    <row r="1862" spans="1:7" x14ac:dyDescent="0.25">
      <c r="A1862" s="339" t="str">
        <f t="shared" si="55"/>
        <v>I.2.2.02.02966</v>
      </c>
      <c r="B1862" s="319">
        <v>66</v>
      </c>
      <c r="C1862" s="394" t="str">
        <f>IFERROR(VLOOKUP(A1862,[3]DOORSCRIEFT!$A$2:$G$8551,2,FALSE),"")</f>
        <v/>
      </c>
      <c r="D1862" s="393" t="str">
        <f>IFERROR(VLOOKUP(A1862,[3]DOORSCRIEFT!$A$2:$G$8551,3,FALSE),"")</f>
        <v/>
      </c>
      <c r="E1862" s="392" t="str">
        <f>IFERROR(VLOOKUP(A1862,[3]DOORSCRIEFT!$A$2:$G$8551,4,FALSE),"")</f>
        <v/>
      </c>
      <c r="F1862" s="405" t="str">
        <f>IFERROR(VLOOKUP(A1862,[3]DOORSCRIEFT!$A$2:$G$8551,6,FALSE),"")</f>
        <v/>
      </c>
      <c r="G1862" s="315"/>
    </row>
    <row r="1863" spans="1:7" x14ac:dyDescent="0.25">
      <c r="A1863" s="339" t="str">
        <f t="shared" si="55"/>
        <v>I.2.2.02.02967</v>
      </c>
      <c r="B1863" s="339">
        <v>67</v>
      </c>
      <c r="C1863" s="394" t="str">
        <f>IFERROR(VLOOKUP(A1863,[3]DOORSCRIEFT!$A$2:$G$8551,2,FALSE),"")</f>
        <v/>
      </c>
      <c r="D1863" s="393" t="str">
        <f>IFERROR(VLOOKUP(A1863,[3]DOORSCRIEFT!$A$2:$G$8551,3,FALSE),"")</f>
        <v/>
      </c>
      <c r="E1863" s="392" t="str">
        <f>IFERROR(VLOOKUP(A1863,[3]DOORSCRIEFT!$A$2:$G$8551,4,FALSE),"")</f>
        <v/>
      </c>
      <c r="F1863" s="405" t="str">
        <f>IFERROR(VLOOKUP(A1863,[3]DOORSCRIEFT!$A$2:$G$8551,6,FALSE),"")</f>
        <v/>
      </c>
      <c r="G1863" s="315"/>
    </row>
    <row r="1864" spans="1:7" x14ac:dyDescent="0.25">
      <c r="A1864" s="339" t="str">
        <f t="shared" si="55"/>
        <v>I.2.2.02.02968</v>
      </c>
      <c r="B1864" s="319">
        <v>68</v>
      </c>
      <c r="C1864" s="394" t="str">
        <f>IFERROR(VLOOKUP(A1864,[3]DOORSCRIEFT!$A$2:$G$8551,2,FALSE),"")</f>
        <v/>
      </c>
      <c r="D1864" s="393" t="str">
        <f>IFERROR(VLOOKUP(A1864,[3]DOORSCRIEFT!$A$2:$G$8551,3,FALSE),"")</f>
        <v/>
      </c>
      <c r="E1864" s="392" t="str">
        <f>IFERROR(VLOOKUP(A1864,[3]DOORSCRIEFT!$A$2:$G$8551,4,FALSE),"")</f>
        <v/>
      </c>
      <c r="F1864" s="405" t="str">
        <f>IFERROR(VLOOKUP(A1864,[3]DOORSCRIEFT!$A$2:$G$8551,6,FALSE),"")</f>
        <v/>
      </c>
      <c r="G1864" s="315"/>
    </row>
    <row r="1865" spans="1:7" x14ac:dyDescent="0.25">
      <c r="A1865" s="339" t="str">
        <f t="shared" si="55"/>
        <v>I.2.2.02.02969</v>
      </c>
      <c r="B1865" s="339">
        <v>69</v>
      </c>
      <c r="C1865" s="394" t="str">
        <f>IFERROR(VLOOKUP(A1865,[3]DOORSCRIEFT!$A$2:$G$8551,2,FALSE),"")</f>
        <v/>
      </c>
      <c r="D1865" s="393" t="str">
        <f>IFERROR(VLOOKUP(A1865,[3]DOORSCRIEFT!$A$2:$G$8551,3,FALSE),"")</f>
        <v/>
      </c>
      <c r="E1865" s="392" t="str">
        <f>IFERROR(VLOOKUP(A1865,[3]DOORSCRIEFT!$A$2:$G$8551,4,FALSE),"")</f>
        <v/>
      </c>
      <c r="F1865" s="405" t="str">
        <f>IFERROR(VLOOKUP(A1865,[3]DOORSCRIEFT!$A$2:$G$8551,6,FALSE),"")</f>
        <v/>
      </c>
      <c r="G1865" s="315"/>
    </row>
    <row r="1866" spans="1:7" x14ac:dyDescent="0.25">
      <c r="A1866" s="339" t="str">
        <f t="shared" si="55"/>
        <v>I.2.2.02.02970</v>
      </c>
      <c r="B1866" s="319">
        <v>70</v>
      </c>
      <c r="C1866" s="394" t="str">
        <f>IFERROR(VLOOKUP(A1866,[3]DOORSCRIEFT!$A$2:$G$8551,2,FALSE),"")</f>
        <v/>
      </c>
      <c r="D1866" s="393" t="str">
        <f>IFERROR(VLOOKUP(A1866,[3]DOORSCRIEFT!$A$2:$G$8551,3,FALSE),"")</f>
        <v/>
      </c>
      <c r="E1866" s="392" t="str">
        <f>IFERROR(VLOOKUP(A1866,[3]DOORSCRIEFT!$A$2:$G$8551,4,FALSE),"")</f>
        <v/>
      </c>
      <c r="F1866" s="405" t="str">
        <f>IFERROR(VLOOKUP(A1866,[3]DOORSCRIEFT!$A$2:$G$8551,6,FALSE),"")</f>
        <v/>
      </c>
      <c r="G1866" s="315"/>
    </row>
    <row r="1867" spans="1:7" x14ac:dyDescent="0.25">
      <c r="A1867" s="339" t="str">
        <f t="shared" si="55"/>
        <v>I.2.2.02.02971</v>
      </c>
      <c r="B1867" s="339">
        <v>71</v>
      </c>
      <c r="C1867" s="394" t="str">
        <f>IFERROR(VLOOKUP(A1867,[3]DOORSCRIEFT!$A$2:$G$8551,2,FALSE),"")</f>
        <v/>
      </c>
      <c r="D1867" s="393" t="str">
        <f>IFERROR(VLOOKUP(A1867,[3]DOORSCRIEFT!$A$2:$G$8551,3,FALSE),"")</f>
        <v/>
      </c>
      <c r="E1867" s="392" t="str">
        <f>IFERROR(VLOOKUP(A1867,[3]DOORSCRIEFT!$A$2:$G$8551,4,FALSE),"")</f>
        <v/>
      </c>
      <c r="F1867" s="405" t="str">
        <f>IFERROR(VLOOKUP(A1867,[3]DOORSCRIEFT!$A$2:$G$8551,6,FALSE),"")</f>
        <v/>
      </c>
      <c r="G1867" s="315"/>
    </row>
    <row r="1868" spans="1:7" x14ac:dyDescent="0.25">
      <c r="A1868" s="339" t="str">
        <f t="shared" si="55"/>
        <v>I.2.2.02.02972</v>
      </c>
      <c r="B1868" s="319">
        <v>72</v>
      </c>
      <c r="C1868" s="394" t="str">
        <f>IFERROR(VLOOKUP(A1868,[3]DOORSCRIEFT!$A$2:$G$8551,2,FALSE),"")</f>
        <v/>
      </c>
      <c r="D1868" s="393" t="str">
        <f>IFERROR(VLOOKUP(A1868,[3]DOORSCRIEFT!$A$2:$G$8551,3,FALSE),"")</f>
        <v/>
      </c>
      <c r="E1868" s="392" t="str">
        <f>IFERROR(VLOOKUP(A1868,[3]DOORSCRIEFT!$A$2:$G$8551,4,FALSE),"")</f>
        <v/>
      </c>
      <c r="F1868" s="405" t="str">
        <f>IFERROR(VLOOKUP(A1868,[3]DOORSCRIEFT!$A$2:$G$8551,6,FALSE),"")</f>
        <v/>
      </c>
      <c r="G1868" s="315"/>
    </row>
    <row r="1869" spans="1:7" x14ac:dyDescent="0.25">
      <c r="A1869" s="339" t="str">
        <f t="shared" si="55"/>
        <v>I.2.2.02.02973</v>
      </c>
      <c r="B1869" s="339">
        <v>73</v>
      </c>
      <c r="C1869" s="394" t="str">
        <f>IFERROR(VLOOKUP(A1869,[3]DOORSCRIEFT!$A$2:$G$8551,2,FALSE),"")</f>
        <v/>
      </c>
      <c r="D1869" s="393" t="str">
        <f>IFERROR(VLOOKUP(A1869,[3]DOORSCRIEFT!$A$2:$G$8551,3,FALSE),"")</f>
        <v/>
      </c>
      <c r="E1869" s="392" t="str">
        <f>IFERROR(VLOOKUP(A1869,[3]DOORSCRIEFT!$A$2:$G$8551,4,FALSE),"")</f>
        <v/>
      </c>
      <c r="F1869" s="405" t="str">
        <f>IFERROR(VLOOKUP(A1869,[3]DOORSCRIEFT!$A$2:$G$8551,6,FALSE),"")</f>
        <v/>
      </c>
      <c r="G1869" s="315"/>
    </row>
    <row r="1870" spans="1:7" x14ac:dyDescent="0.25">
      <c r="A1870" s="339" t="str">
        <f t="shared" si="55"/>
        <v>I.2.2.02.02974</v>
      </c>
      <c r="B1870" s="319">
        <v>74</v>
      </c>
      <c r="C1870" s="394" t="str">
        <f>IFERROR(VLOOKUP(A1870,[3]DOORSCRIEFT!$A$2:$G$8551,2,FALSE),"")</f>
        <v/>
      </c>
      <c r="D1870" s="393" t="str">
        <f>IFERROR(VLOOKUP(A1870,[3]DOORSCRIEFT!$A$2:$G$8551,3,FALSE),"")</f>
        <v/>
      </c>
      <c r="E1870" s="392" t="str">
        <f>IFERROR(VLOOKUP(A1870,[3]DOORSCRIEFT!$A$2:$G$8551,4,FALSE),"")</f>
        <v/>
      </c>
      <c r="F1870" s="405" t="str">
        <f>IFERROR(VLOOKUP(A1870,[3]DOORSCRIEFT!$A$2:$G$8551,6,FALSE),"")</f>
        <v/>
      </c>
      <c r="G1870" s="315"/>
    </row>
    <row r="1871" spans="1:7" x14ac:dyDescent="0.25">
      <c r="A1871" s="339" t="str">
        <f t="shared" si="55"/>
        <v>I.2.2.02.02975</v>
      </c>
      <c r="B1871" s="339">
        <v>75</v>
      </c>
      <c r="C1871" s="394" t="str">
        <f>IFERROR(VLOOKUP(A1871,[3]DOORSCRIEFT!$A$2:$G$8551,2,FALSE),"")</f>
        <v/>
      </c>
      <c r="D1871" s="393" t="str">
        <f>IFERROR(VLOOKUP(A1871,[3]DOORSCRIEFT!$A$2:$G$8551,3,FALSE),"")</f>
        <v/>
      </c>
      <c r="E1871" s="392" t="str">
        <f>IFERROR(VLOOKUP(A1871,[3]DOORSCRIEFT!$A$2:$G$8551,4,FALSE),"")</f>
        <v/>
      </c>
      <c r="F1871" s="405" t="str">
        <f>IFERROR(VLOOKUP(A1871,[3]DOORSCRIEFT!$A$2:$G$8551,6,FALSE),"")</f>
        <v/>
      </c>
      <c r="G1871" s="315"/>
    </row>
    <row r="1872" spans="1:7" x14ac:dyDescent="0.25">
      <c r="A1872" s="339" t="str">
        <f t="shared" si="55"/>
        <v>I.2.2.02.02976</v>
      </c>
      <c r="B1872" s="319">
        <v>76</v>
      </c>
      <c r="C1872" s="394" t="str">
        <f>IFERROR(VLOOKUP(A1872,[3]DOORSCRIEFT!$A$2:$G$8551,2,FALSE),"")</f>
        <v/>
      </c>
      <c r="D1872" s="393" t="str">
        <f>IFERROR(VLOOKUP(A1872,[3]DOORSCRIEFT!$A$2:$G$8551,3,FALSE),"")</f>
        <v/>
      </c>
      <c r="E1872" s="392" t="str">
        <f>IFERROR(VLOOKUP(A1872,[3]DOORSCRIEFT!$A$2:$G$8551,4,FALSE),"")</f>
        <v/>
      </c>
      <c r="F1872" s="405" t="str">
        <f>IFERROR(VLOOKUP(A1872,[3]DOORSCRIEFT!$A$2:$G$8551,6,FALSE),"")</f>
        <v/>
      </c>
      <c r="G1872" s="315"/>
    </row>
    <row r="1873" spans="1:7" x14ac:dyDescent="0.25">
      <c r="A1873" s="339" t="str">
        <f t="shared" si="55"/>
        <v>I.2.2.02.02977</v>
      </c>
      <c r="B1873" s="339">
        <v>77</v>
      </c>
      <c r="C1873" s="394" t="str">
        <f>IFERROR(VLOOKUP(A1873,[3]DOORSCRIEFT!$A$2:$G$8551,2,FALSE),"")</f>
        <v/>
      </c>
      <c r="D1873" s="393" t="str">
        <f>IFERROR(VLOOKUP(A1873,[3]DOORSCRIEFT!$A$2:$G$8551,3,FALSE),"")</f>
        <v/>
      </c>
      <c r="E1873" s="392" t="str">
        <f>IFERROR(VLOOKUP(A1873,[3]DOORSCRIEFT!$A$2:$G$8551,4,FALSE),"")</f>
        <v/>
      </c>
      <c r="F1873" s="405" t="str">
        <f>IFERROR(VLOOKUP(A1873,[3]DOORSCRIEFT!$A$2:$G$8551,6,FALSE),"")</f>
        <v/>
      </c>
      <c r="G1873" s="315"/>
    </row>
    <row r="1874" spans="1:7" x14ac:dyDescent="0.25">
      <c r="A1874" s="339" t="str">
        <f t="shared" si="55"/>
        <v>I.2.2.02.02978</v>
      </c>
      <c r="B1874" s="319">
        <v>78</v>
      </c>
      <c r="C1874" s="394" t="str">
        <f>IFERROR(VLOOKUP(A1874,[3]DOORSCRIEFT!$A$2:$G$8551,2,FALSE),"")</f>
        <v/>
      </c>
      <c r="D1874" s="393" t="str">
        <f>IFERROR(VLOOKUP(A1874,[3]DOORSCRIEFT!$A$2:$G$8551,3,FALSE),"")</f>
        <v/>
      </c>
      <c r="E1874" s="392" t="str">
        <f>IFERROR(VLOOKUP(A1874,[3]DOORSCRIEFT!$A$2:$G$8551,4,FALSE),"")</f>
        <v/>
      </c>
      <c r="F1874" s="405" t="str">
        <f>IFERROR(VLOOKUP(A1874,[3]DOORSCRIEFT!$A$2:$G$8551,6,FALSE),"")</f>
        <v/>
      </c>
      <c r="G1874" s="315"/>
    </row>
    <row r="1875" spans="1:7" x14ac:dyDescent="0.25">
      <c r="A1875" s="339" t="str">
        <f t="shared" si="55"/>
        <v>I.2.2.02.02979</v>
      </c>
      <c r="B1875" s="339">
        <v>79</v>
      </c>
      <c r="C1875" s="394" t="str">
        <f>IFERROR(VLOOKUP(A1875,[3]DOORSCRIEFT!$A$2:$G$8551,2,FALSE),"")</f>
        <v/>
      </c>
      <c r="D1875" s="393" t="str">
        <f>IFERROR(VLOOKUP(A1875,[3]DOORSCRIEFT!$A$2:$G$8551,3,FALSE),"")</f>
        <v/>
      </c>
      <c r="E1875" s="392" t="str">
        <f>IFERROR(VLOOKUP(A1875,[3]DOORSCRIEFT!$A$2:$G$8551,4,FALSE),"")</f>
        <v/>
      </c>
      <c r="F1875" s="405" t="str">
        <f>IFERROR(VLOOKUP(A1875,[3]DOORSCRIEFT!$A$2:$G$8551,6,FALSE),"")</f>
        <v/>
      </c>
      <c r="G1875" s="315"/>
    </row>
    <row r="1876" spans="1:7" x14ac:dyDescent="0.25">
      <c r="A1876" s="339" t="str">
        <f t="shared" si="55"/>
        <v>I.2.2.02.02980</v>
      </c>
      <c r="B1876" s="319">
        <v>80</v>
      </c>
      <c r="C1876" s="394" t="str">
        <f>IFERROR(VLOOKUP(A1876,[3]DOORSCRIEFT!$A$2:$G$8551,2,FALSE),"")</f>
        <v/>
      </c>
      <c r="D1876" s="393" t="str">
        <f>IFERROR(VLOOKUP(A1876,[3]DOORSCRIEFT!$A$2:$G$8551,3,FALSE),"")</f>
        <v/>
      </c>
      <c r="E1876" s="392" t="str">
        <f>IFERROR(VLOOKUP(A1876,[3]DOORSCRIEFT!$A$2:$G$8551,4,FALSE),"")</f>
        <v/>
      </c>
      <c r="F1876" s="405" t="str">
        <f>IFERROR(VLOOKUP(A1876,[3]DOORSCRIEFT!$A$2:$G$8551,6,FALSE),"")</f>
        <v/>
      </c>
      <c r="G1876" s="315"/>
    </row>
    <row r="1877" spans="1:7" x14ac:dyDescent="0.25">
      <c r="A1877" s="339" t="str">
        <f t="shared" si="55"/>
        <v>I.2.2.02.02981</v>
      </c>
      <c r="B1877" s="339">
        <v>81</v>
      </c>
      <c r="C1877" s="394" t="str">
        <f>IFERROR(VLOOKUP(A1877,[3]DOORSCRIEFT!$A$2:$G$8551,2,FALSE),"")</f>
        <v/>
      </c>
      <c r="D1877" s="393" t="str">
        <f>IFERROR(VLOOKUP(A1877,[3]DOORSCRIEFT!$A$2:$G$8551,3,FALSE),"")</f>
        <v/>
      </c>
      <c r="E1877" s="392" t="str">
        <f>IFERROR(VLOOKUP(A1877,[3]DOORSCRIEFT!$A$2:$G$8551,4,FALSE),"")</f>
        <v/>
      </c>
      <c r="F1877" s="405" t="str">
        <f>IFERROR(VLOOKUP(A1877,[3]DOORSCRIEFT!$A$2:$G$8551,6,FALSE),"")</f>
        <v/>
      </c>
      <c r="G1877" s="315"/>
    </row>
    <row r="1878" spans="1:7" x14ac:dyDescent="0.25">
      <c r="A1878" s="339" t="str">
        <f t="shared" si="55"/>
        <v>I.2.2.02.02982</v>
      </c>
      <c r="B1878" s="319">
        <v>82</v>
      </c>
      <c r="C1878" s="394" t="str">
        <f>IFERROR(VLOOKUP(A1878,[3]DOORSCRIEFT!$A$2:$G$8551,2,FALSE),"")</f>
        <v/>
      </c>
      <c r="D1878" s="393" t="str">
        <f>IFERROR(VLOOKUP(A1878,[3]DOORSCRIEFT!$A$2:$G$8551,3,FALSE),"")</f>
        <v/>
      </c>
      <c r="E1878" s="392" t="str">
        <f>IFERROR(VLOOKUP(A1878,[3]DOORSCRIEFT!$A$2:$G$8551,4,FALSE),"")</f>
        <v/>
      </c>
      <c r="F1878" s="405" t="str">
        <f>IFERROR(VLOOKUP(A1878,[3]DOORSCRIEFT!$A$2:$G$8551,6,FALSE),"")</f>
        <v/>
      </c>
      <c r="G1878" s="315"/>
    </row>
    <row r="1879" spans="1:7" x14ac:dyDescent="0.25">
      <c r="A1879" s="339" t="str">
        <f t="shared" si="55"/>
        <v>I.2.2.02.02983</v>
      </c>
      <c r="B1879" s="339">
        <v>83</v>
      </c>
      <c r="C1879" s="394" t="str">
        <f>IFERROR(VLOOKUP(A1879,[3]DOORSCRIEFT!$A$2:$G$8551,2,FALSE),"")</f>
        <v/>
      </c>
      <c r="D1879" s="393" t="str">
        <f>IFERROR(VLOOKUP(A1879,[3]DOORSCRIEFT!$A$2:$G$8551,3,FALSE),"")</f>
        <v/>
      </c>
      <c r="E1879" s="392" t="str">
        <f>IFERROR(VLOOKUP(A1879,[3]DOORSCRIEFT!$A$2:$G$8551,4,FALSE),"")</f>
        <v/>
      </c>
      <c r="F1879" s="405" t="str">
        <f>IFERROR(VLOOKUP(A1879,[3]DOORSCRIEFT!$A$2:$G$8551,6,FALSE),"")</f>
        <v/>
      </c>
      <c r="G1879" s="315"/>
    </row>
    <row r="1880" spans="1:7" x14ac:dyDescent="0.25">
      <c r="A1880" s="339" t="str">
        <f t="shared" si="55"/>
        <v>I.2.2.02.02984</v>
      </c>
      <c r="B1880" s="319">
        <v>84</v>
      </c>
      <c r="C1880" s="394" t="str">
        <f>IFERROR(VLOOKUP(A1880,[3]DOORSCRIEFT!$A$2:$G$8551,2,FALSE),"")</f>
        <v/>
      </c>
      <c r="D1880" s="393" t="str">
        <f>IFERROR(VLOOKUP(A1880,[3]DOORSCRIEFT!$A$2:$G$8551,3,FALSE),"")</f>
        <v/>
      </c>
      <c r="E1880" s="392" t="str">
        <f>IFERROR(VLOOKUP(A1880,[3]DOORSCRIEFT!$A$2:$G$8551,4,FALSE),"")</f>
        <v/>
      </c>
      <c r="F1880" s="405" t="str">
        <f>IFERROR(VLOOKUP(A1880,[3]DOORSCRIEFT!$A$2:$G$8551,6,FALSE),"")</f>
        <v/>
      </c>
      <c r="G1880" s="315"/>
    </row>
    <row r="1881" spans="1:7" x14ac:dyDescent="0.25">
      <c r="A1881" s="339" t="str">
        <f t="shared" si="55"/>
        <v>I.2.2.02.02985</v>
      </c>
      <c r="B1881" s="339">
        <v>85</v>
      </c>
      <c r="C1881" s="394" t="str">
        <f>IFERROR(VLOOKUP(A1881,[3]DOORSCRIEFT!$A$2:$G$8551,2,FALSE),"")</f>
        <v/>
      </c>
      <c r="D1881" s="393" t="str">
        <f>IFERROR(VLOOKUP(A1881,[3]DOORSCRIEFT!$A$2:$G$8551,3,FALSE),"")</f>
        <v/>
      </c>
      <c r="E1881" s="392" t="str">
        <f>IFERROR(VLOOKUP(A1881,[3]DOORSCRIEFT!$A$2:$G$8551,4,FALSE),"")</f>
        <v/>
      </c>
      <c r="F1881" s="405" t="str">
        <f>IFERROR(VLOOKUP(A1881,[3]DOORSCRIEFT!$A$2:$G$8551,6,FALSE),"")</f>
        <v/>
      </c>
      <c r="G1881" s="315"/>
    </row>
    <row r="1882" spans="1:7" x14ac:dyDescent="0.25">
      <c r="A1882" s="339" t="str">
        <f t="shared" si="55"/>
        <v>I.2.2.02.02986</v>
      </c>
      <c r="B1882" s="319">
        <v>86</v>
      </c>
      <c r="C1882" s="394" t="str">
        <f>IFERROR(VLOOKUP(A1882,[3]DOORSCRIEFT!$A$2:$G$8551,2,FALSE),"")</f>
        <v/>
      </c>
      <c r="D1882" s="393" t="str">
        <f>IFERROR(VLOOKUP(A1882,[3]DOORSCRIEFT!$A$2:$G$8551,3,FALSE),"")</f>
        <v/>
      </c>
      <c r="E1882" s="392" t="str">
        <f>IFERROR(VLOOKUP(A1882,[3]DOORSCRIEFT!$A$2:$G$8551,4,FALSE),"")</f>
        <v/>
      </c>
      <c r="F1882" s="405" t="str">
        <f>IFERROR(VLOOKUP(A1882,[3]DOORSCRIEFT!$A$2:$G$8551,6,FALSE),"")</f>
        <v/>
      </c>
      <c r="G1882" s="315"/>
    </row>
    <row r="1883" spans="1:7" x14ac:dyDescent="0.25">
      <c r="A1883" s="339" t="str">
        <f t="shared" si="55"/>
        <v>I.2.2.02.02987</v>
      </c>
      <c r="B1883" s="339">
        <v>87</v>
      </c>
      <c r="C1883" s="394" t="str">
        <f>IFERROR(VLOOKUP(A1883,[3]DOORSCRIEFT!$A$2:$G$8551,2,FALSE),"")</f>
        <v/>
      </c>
      <c r="D1883" s="393" t="str">
        <f>IFERROR(VLOOKUP(A1883,[3]DOORSCRIEFT!$A$2:$G$8551,3,FALSE),"")</f>
        <v/>
      </c>
      <c r="E1883" s="392" t="str">
        <f>IFERROR(VLOOKUP(A1883,[3]DOORSCRIEFT!$A$2:$G$8551,4,FALSE),"")</f>
        <v/>
      </c>
      <c r="F1883" s="405" t="str">
        <f>IFERROR(VLOOKUP(A1883,[3]DOORSCRIEFT!$A$2:$G$8551,6,FALSE),"")</f>
        <v/>
      </c>
      <c r="G1883" s="315"/>
    </row>
    <row r="1884" spans="1:7" x14ac:dyDescent="0.25">
      <c r="A1884" s="339" t="str">
        <f t="shared" si="55"/>
        <v>I.2.2.02.02988</v>
      </c>
      <c r="B1884" s="319">
        <v>88</v>
      </c>
      <c r="C1884" s="394" t="str">
        <f>IFERROR(VLOOKUP(A1884,[3]DOORSCRIEFT!$A$2:$G$8551,2,FALSE),"")</f>
        <v/>
      </c>
      <c r="D1884" s="393" t="str">
        <f>IFERROR(VLOOKUP(A1884,[3]DOORSCRIEFT!$A$2:$G$8551,3,FALSE),"")</f>
        <v/>
      </c>
      <c r="E1884" s="392" t="str">
        <f>IFERROR(VLOOKUP(A1884,[3]DOORSCRIEFT!$A$2:$G$8551,4,FALSE),"")</f>
        <v/>
      </c>
      <c r="F1884" s="405" t="str">
        <f>IFERROR(VLOOKUP(A1884,[3]DOORSCRIEFT!$A$2:$G$8551,6,FALSE),"")</f>
        <v/>
      </c>
      <c r="G1884" s="315"/>
    </row>
    <row r="1885" spans="1:7" x14ac:dyDescent="0.25">
      <c r="A1885" s="339" t="str">
        <f t="shared" si="55"/>
        <v>I.2.2.02.02989</v>
      </c>
      <c r="B1885" s="339">
        <v>89</v>
      </c>
      <c r="C1885" s="394" t="str">
        <f>IFERROR(VLOOKUP(A1885,[3]DOORSCRIEFT!$A$2:$G$8551,2,FALSE),"")</f>
        <v/>
      </c>
      <c r="D1885" s="393" t="str">
        <f>IFERROR(VLOOKUP(A1885,[3]DOORSCRIEFT!$A$2:$G$8551,3,FALSE),"")</f>
        <v/>
      </c>
      <c r="E1885" s="392" t="str">
        <f>IFERROR(VLOOKUP(A1885,[3]DOORSCRIEFT!$A$2:$G$8551,4,FALSE),"")</f>
        <v/>
      </c>
      <c r="F1885" s="405" t="str">
        <f>IFERROR(VLOOKUP(A1885,[3]DOORSCRIEFT!$A$2:$G$8551,6,FALSE),"")</f>
        <v/>
      </c>
      <c r="G1885" s="315"/>
    </row>
    <row r="1886" spans="1:7" x14ac:dyDescent="0.25">
      <c r="A1886" s="339" t="str">
        <f t="shared" si="55"/>
        <v>I.2.2.02.02990</v>
      </c>
      <c r="B1886" s="319">
        <v>90</v>
      </c>
      <c r="C1886" s="394" t="str">
        <f>IFERROR(VLOOKUP(A1886,[3]DOORSCRIEFT!$A$2:$G$8551,2,FALSE),"")</f>
        <v/>
      </c>
      <c r="D1886" s="393" t="str">
        <f>IFERROR(VLOOKUP(A1886,[3]DOORSCRIEFT!$A$2:$G$8551,3,FALSE),"")</f>
        <v/>
      </c>
      <c r="E1886" s="392" t="str">
        <f>IFERROR(VLOOKUP(A1886,[3]DOORSCRIEFT!$A$2:$G$8551,4,FALSE),"")</f>
        <v/>
      </c>
      <c r="F1886" s="405" t="str">
        <f>IFERROR(VLOOKUP(A1886,[3]DOORSCRIEFT!$A$2:$G$8551,6,FALSE),"")</f>
        <v/>
      </c>
      <c r="G1886" s="315"/>
    </row>
    <row r="1887" spans="1:7" x14ac:dyDescent="0.25">
      <c r="A1887" s="339" t="str">
        <f t="shared" si="55"/>
        <v>I.2.2.02.02991</v>
      </c>
      <c r="B1887" s="339">
        <v>91</v>
      </c>
      <c r="C1887" s="394" t="str">
        <f>IFERROR(VLOOKUP(A1887,[3]DOORSCRIEFT!$A$2:$G$8551,2,FALSE),"")</f>
        <v/>
      </c>
      <c r="D1887" s="393" t="str">
        <f>IFERROR(VLOOKUP(A1887,[3]DOORSCRIEFT!$A$2:$G$8551,3,FALSE),"")</f>
        <v/>
      </c>
      <c r="E1887" s="392" t="str">
        <f>IFERROR(VLOOKUP(A1887,[3]DOORSCRIEFT!$A$2:$G$8551,4,FALSE),"")</f>
        <v/>
      </c>
      <c r="F1887" s="405" t="str">
        <f>IFERROR(VLOOKUP(A1887,[3]DOORSCRIEFT!$A$2:$G$8551,6,FALSE),"")</f>
        <v/>
      </c>
      <c r="G1887" s="315"/>
    </row>
    <row r="1888" spans="1:7" x14ac:dyDescent="0.25">
      <c r="A1888" s="339" t="str">
        <f t="shared" si="55"/>
        <v>I.2.2.02.02992</v>
      </c>
      <c r="B1888" s="319">
        <v>92</v>
      </c>
      <c r="C1888" s="394" t="str">
        <f>IFERROR(VLOOKUP(A1888,[3]DOORSCRIEFT!$A$2:$G$8551,2,FALSE),"")</f>
        <v/>
      </c>
      <c r="D1888" s="393" t="str">
        <f>IFERROR(VLOOKUP(A1888,[3]DOORSCRIEFT!$A$2:$G$8551,3,FALSE),"")</f>
        <v/>
      </c>
      <c r="E1888" s="392" t="str">
        <f>IFERROR(VLOOKUP(A1888,[3]DOORSCRIEFT!$A$2:$G$8551,4,FALSE),"")</f>
        <v/>
      </c>
      <c r="F1888" s="405" t="str">
        <f>IFERROR(VLOOKUP(A1888,[3]DOORSCRIEFT!$A$2:$G$8551,6,FALSE),"")</f>
        <v/>
      </c>
      <c r="G1888" s="315"/>
    </row>
    <row r="1889" spans="1:7" x14ac:dyDescent="0.25">
      <c r="A1889" s="339" t="str">
        <f t="shared" si="55"/>
        <v>I.2.2.02.02993</v>
      </c>
      <c r="B1889" s="339">
        <v>93</v>
      </c>
      <c r="C1889" s="394" t="str">
        <f>IFERROR(VLOOKUP(A1889,[3]DOORSCRIEFT!$A$2:$G$8551,2,FALSE),"")</f>
        <v/>
      </c>
      <c r="D1889" s="393" t="str">
        <f>IFERROR(VLOOKUP(A1889,[3]DOORSCRIEFT!$A$2:$G$8551,3,FALSE),"")</f>
        <v/>
      </c>
      <c r="E1889" s="392" t="str">
        <f>IFERROR(VLOOKUP(A1889,[3]DOORSCRIEFT!$A$2:$G$8551,4,FALSE),"")</f>
        <v/>
      </c>
      <c r="F1889" s="405" t="str">
        <f>IFERROR(VLOOKUP(A1889,[3]DOORSCRIEFT!$A$2:$G$8551,6,FALSE),"")</f>
        <v/>
      </c>
      <c r="G1889" s="315"/>
    </row>
    <row r="1890" spans="1:7" x14ac:dyDescent="0.25">
      <c r="A1890" s="339" t="str">
        <f t="shared" si="55"/>
        <v>I.2.2.02.02994</v>
      </c>
      <c r="B1890" s="319">
        <v>94</v>
      </c>
      <c r="C1890" s="394" t="str">
        <f>IFERROR(VLOOKUP(A1890,[3]DOORSCRIEFT!$A$2:$G$8551,2,FALSE),"")</f>
        <v/>
      </c>
      <c r="D1890" s="393" t="str">
        <f>IFERROR(VLOOKUP(A1890,[3]DOORSCRIEFT!$A$2:$G$8551,3,FALSE),"")</f>
        <v/>
      </c>
      <c r="E1890" s="392" t="str">
        <f>IFERROR(VLOOKUP(A1890,[3]DOORSCRIEFT!$A$2:$G$8551,4,FALSE),"")</f>
        <v/>
      </c>
      <c r="F1890" s="405" t="str">
        <f>IFERROR(VLOOKUP(A1890,[3]DOORSCRIEFT!$A$2:$G$8551,6,FALSE),"")</f>
        <v/>
      </c>
      <c r="G1890" s="315"/>
    </row>
    <row r="1891" spans="1:7" x14ac:dyDescent="0.25">
      <c r="A1891" s="339" t="str">
        <f t="shared" si="55"/>
        <v>I.2.2.02.02995</v>
      </c>
      <c r="B1891" s="339">
        <v>95</v>
      </c>
      <c r="C1891" s="394" t="str">
        <f>IFERROR(VLOOKUP(A1891,[3]DOORSCRIEFT!$A$2:$G$8551,2,FALSE),"")</f>
        <v/>
      </c>
      <c r="D1891" s="393" t="str">
        <f>IFERROR(VLOOKUP(A1891,[3]DOORSCRIEFT!$A$2:$G$8551,3,FALSE),"")</f>
        <v/>
      </c>
      <c r="E1891" s="392" t="str">
        <f>IFERROR(VLOOKUP(A1891,[3]DOORSCRIEFT!$A$2:$G$8551,4,FALSE),"")</f>
        <v/>
      </c>
      <c r="F1891" s="405" t="str">
        <f>IFERROR(VLOOKUP(A1891,[3]DOORSCRIEFT!$A$2:$G$8551,6,FALSE),"")</f>
        <v/>
      </c>
      <c r="G1891" s="315"/>
    </row>
    <row r="1892" spans="1:7" x14ac:dyDescent="0.25">
      <c r="A1892" s="339" t="str">
        <f t="shared" si="55"/>
        <v>I.2.2.02.02996</v>
      </c>
      <c r="B1892" s="319">
        <v>96</v>
      </c>
      <c r="C1892" s="394" t="str">
        <f>IFERROR(VLOOKUP(A1892,[3]DOORSCRIEFT!$A$2:$G$8551,2,FALSE),"")</f>
        <v/>
      </c>
      <c r="D1892" s="393" t="str">
        <f>IFERROR(VLOOKUP(A1892,[3]DOORSCRIEFT!$A$2:$G$8551,3,FALSE),"")</f>
        <v/>
      </c>
      <c r="E1892" s="392" t="str">
        <f>IFERROR(VLOOKUP(A1892,[3]DOORSCRIEFT!$A$2:$G$8551,4,FALSE),"")</f>
        <v/>
      </c>
      <c r="F1892" s="405" t="str">
        <f>IFERROR(VLOOKUP(A1892,[3]DOORSCRIEFT!$A$2:$G$8551,6,FALSE),"")</f>
        <v/>
      </c>
      <c r="G1892" s="315"/>
    </row>
    <row r="1893" spans="1:7" x14ac:dyDescent="0.25">
      <c r="A1893" s="339" t="str">
        <f t="shared" ref="A1893:A1924" si="56">$G$1790&amp;B1893</f>
        <v>I.2.2.02.02997</v>
      </c>
      <c r="B1893" s="339">
        <v>97</v>
      </c>
      <c r="C1893" s="394" t="str">
        <f>IFERROR(VLOOKUP(A1893,[3]DOORSCRIEFT!$A$2:$G$8551,2,FALSE),"")</f>
        <v/>
      </c>
      <c r="D1893" s="393" t="str">
        <f>IFERROR(VLOOKUP(A1893,[3]DOORSCRIEFT!$A$2:$G$8551,3,FALSE),"")</f>
        <v/>
      </c>
      <c r="E1893" s="392" t="str">
        <f>IFERROR(VLOOKUP(A1893,[3]DOORSCRIEFT!$A$2:$G$8551,4,FALSE),"")</f>
        <v/>
      </c>
      <c r="F1893" s="405" t="str">
        <f>IFERROR(VLOOKUP(A1893,[3]DOORSCRIEFT!$A$2:$G$8551,6,FALSE),"")</f>
        <v/>
      </c>
      <c r="G1893" s="315"/>
    </row>
    <row r="1894" spans="1:7" x14ac:dyDescent="0.25">
      <c r="A1894" s="339" t="str">
        <f t="shared" si="56"/>
        <v>I.2.2.02.02998</v>
      </c>
      <c r="B1894" s="319">
        <v>98</v>
      </c>
      <c r="C1894" s="394" t="str">
        <f>IFERROR(VLOOKUP(A1894,[3]DOORSCRIEFT!$A$2:$G$8551,2,FALSE),"")</f>
        <v/>
      </c>
      <c r="D1894" s="393" t="str">
        <f>IFERROR(VLOOKUP(A1894,[3]DOORSCRIEFT!$A$2:$G$8551,3,FALSE),"")</f>
        <v/>
      </c>
      <c r="E1894" s="392" t="str">
        <f>IFERROR(VLOOKUP(A1894,[3]DOORSCRIEFT!$A$2:$G$8551,4,FALSE),"")</f>
        <v/>
      </c>
      <c r="F1894" s="405" t="str">
        <f>IFERROR(VLOOKUP(A1894,[3]DOORSCRIEFT!$A$2:$G$8551,6,FALSE),"")</f>
        <v/>
      </c>
      <c r="G1894" s="315"/>
    </row>
    <row r="1895" spans="1:7" x14ac:dyDescent="0.25">
      <c r="A1895" s="339" t="str">
        <f t="shared" si="56"/>
        <v>I.2.2.02.02999</v>
      </c>
      <c r="B1895" s="339">
        <v>99</v>
      </c>
      <c r="C1895" s="394" t="str">
        <f>IFERROR(VLOOKUP(A1895,[3]DOORSCRIEFT!$A$2:$G$8551,2,FALSE),"")</f>
        <v/>
      </c>
      <c r="D1895" s="393" t="str">
        <f>IFERROR(VLOOKUP(A1895,[3]DOORSCRIEFT!$A$2:$G$8551,3,FALSE),"")</f>
        <v/>
      </c>
      <c r="E1895" s="392" t="str">
        <f>IFERROR(VLOOKUP(A1895,[3]DOORSCRIEFT!$A$2:$G$8551,4,FALSE),"")</f>
        <v/>
      </c>
      <c r="F1895" s="405" t="str">
        <f>IFERROR(VLOOKUP(A1895,[3]DOORSCRIEFT!$A$2:$G$8551,6,FALSE),"")</f>
        <v/>
      </c>
      <c r="G1895" s="315"/>
    </row>
    <row r="1896" spans="1:7" x14ac:dyDescent="0.25">
      <c r="A1896" s="339" t="str">
        <f t="shared" si="56"/>
        <v>I.2.2.02.029100</v>
      </c>
      <c r="B1896" s="319">
        <v>100</v>
      </c>
      <c r="C1896" s="394" t="str">
        <f>IFERROR(VLOOKUP(A1896,[3]DOORSCRIEFT!$A$2:$G$8551,2,FALSE),"")</f>
        <v/>
      </c>
      <c r="D1896" s="393" t="str">
        <f>IFERROR(VLOOKUP(A1896,[3]DOORSCRIEFT!$A$2:$G$8551,3,FALSE),"")</f>
        <v/>
      </c>
      <c r="E1896" s="392" t="str">
        <f>IFERROR(VLOOKUP(A1896,[3]DOORSCRIEFT!$A$2:$G$8551,4,FALSE),"")</f>
        <v/>
      </c>
      <c r="F1896" s="405" t="str">
        <f>IFERROR(VLOOKUP(A1896,[3]DOORSCRIEFT!$A$2:$G$8551,6,FALSE),"")</f>
        <v/>
      </c>
      <c r="G1896" s="315"/>
    </row>
    <row r="1897" spans="1:7" x14ac:dyDescent="0.25">
      <c r="A1897" s="339" t="str">
        <f t="shared" si="56"/>
        <v>I.2.2.02.029101</v>
      </c>
      <c r="B1897" s="339">
        <v>101</v>
      </c>
      <c r="C1897" s="394" t="str">
        <f>IFERROR(VLOOKUP(A1897,[3]DOORSCRIEFT!$A$2:$G$8551,2,FALSE),"")</f>
        <v/>
      </c>
      <c r="D1897" s="393" t="str">
        <f>IFERROR(VLOOKUP(A1897,[3]DOORSCRIEFT!$A$2:$G$8551,3,FALSE),"")</f>
        <v/>
      </c>
      <c r="E1897" s="392" t="str">
        <f>IFERROR(VLOOKUP(A1897,[3]DOORSCRIEFT!$A$2:$G$8551,4,FALSE),"")</f>
        <v/>
      </c>
      <c r="F1897" s="405" t="str">
        <f>IFERROR(VLOOKUP(A1897,[3]DOORSCRIEFT!$A$2:$G$8551,6,FALSE),"")</f>
        <v/>
      </c>
      <c r="G1897" s="315"/>
    </row>
    <row r="1898" spans="1:7" x14ac:dyDescent="0.25">
      <c r="A1898" s="339" t="str">
        <f t="shared" si="56"/>
        <v>I.2.2.02.029102</v>
      </c>
      <c r="B1898" s="319">
        <v>102</v>
      </c>
      <c r="C1898" s="394" t="str">
        <f>IFERROR(VLOOKUP(A1898,[3]DOORSCRIEFT!$A$2:$G$8551,2,FALSE),"")</f>
        <v/>
      </c>
      <c r="D1898" s="393" t="str">
        <f>IFERROR(VLOOKUP(A1898,[3]DOORSCRIEFT!$A$2:$G$8551,3,FALSE),"")</f>
        <v/>
      </c>
      <c r="E1898" s="392" t="str">
        <f>IFERROR(VLOOKUP(A1898,[3]DOORSCRIEFT!$A$2:$G$8551,4,FALSE),"")</f>
        <v/>
      </c>
      <c r="F1898" s="405" t="str">
        <f>IFERROR(VLOOKUP(A1898,[3]DOORSCRIEFT!$A$2:$G$8551,6,FALSE),"")</f>
        <v/>
      </c>
      <c r="G1898" s="315"/>
    </row>
    <row r="1899" spans="1:7" x14ac:dyDescent="0.25">
      <c r="A1899" s="339" t="str">
        <f t="shared" si="56"/>
        <v>I.2.2.02.029103</v>
      </c>
      <c r="B1899" s="339">
        <v>103</v>
      </c>
      <c r="C1899" s="394" t="str">
        <f>IFERROR(VLOOKUP(A1899,[3]DOORSCRIEFT!$A$2:$G$8551,2,FALSE),"")</f>
        <v/>
      </c>
      <c r="D1899" s="393" t="str">
        <f>IFERROR(VLOOKUP(A1899,[3]DOORSCRIEFT!$A$2:$G$8551,3,FALSE),"")</f>
        <v/>
      </c>
      <c r="E1899" s="392" t="str">
        <f>IFERROR(VLOOKUP(A1899,[3]DOORSCRIEFT!$A$2:$G$8551,4,FALSE),"")</f>
        <v/>
      </c>
      <c r="F1899" s="405" t="str">
        <f>IFERROR(VLOOKUP(A1899,[3]DOORSCRIEFT!$A$2:$G$8551,6,FALSE),"")</f>
        <v/>
      </c>
      <c r="G1899" s="315"/>
    </row>
    <row r="1900" spans="1:7" x14ac:dyDescent="0.25">
      <c r="A1900" s="339" t="str">
        <f t="shared" si="56"/>
        <v>I.2.2.02.029104</v>
      </c>
      <c r="B1900" s="319">
        <v>104</v>
      </c>
      <c r="C1900" s="394" t="str">
        <f>IFERROR(VLOOKUP(A1900,[3]DOORSCRIEFT!$A$2:$G$8551,2,FALSE),"")</f>
        <v/>
      </c>
      <c r="D1900" s="393" t="str">
        <f>IFERROR(VLOOKUP(A1900,[3]DOORSCRIEFT!$A$2:$G$8551,3,FALSE),"")</f>
        <v/>
      </c>
      <c r="E1900" s="392" t="str">
        <f>IFERROR(VLOOKUP(A1900,[3]DOORSCRIEFT!$A$2:$G$8551,4,FALSE),"")</f>
        <v/>
      </c>
      <c r="F1900" s="405" t="str">
        <f>IFERROR(VLOOKUP(A1900,[3]DOORSCRIEFT!$A$2:$G$8551,6,FALSE),"")</f>
        <v/>
      </c>
      <c r="G1900" s="315"/>
    </row>
    <row r="1901" spans="1:7" x14ac:dyDescent="0.25">
      <c r="A1901" s="339" t="str">
        <f t="shared" si="56"/>
        <v>I.2.2.02.029105</v>
      </c>
      <c r="B1901" s="339">
        <v>105</v>
      </c>
      <c r="C1901" s="394" t="str">
        <f>IFERROR(VLOOKUP(A1901,[3]DOORSCRIEFT!$A$2:$G$8551,2,FALSE),"")</f>
        <v/>
      </c>
      <c r="D1901" s="393" t="str">
        <f>IFERROR(VLOOKUP(A1901,[3]DOORSCRIEFT!$A$2:$G$8551,3,FALSE),"")</f>
        <v/>
      </c>
      <c r="E1901" s="392" t="str">
        <f>IFERROR(VLOOKUP(A1901,[3]DOORSCRIEFT!$A$2:$G$8551,4,FALSE),"")</f>
        <v/>
      </c>
      <c r="F1901" s="405" t="str">
        <f>IFERROR(VLOOKUP(A1901,[3]DOORSCRIEFT!$A$2:$G$8551,6,FALSE),"")</f>
        <v/>
      </c>
      <c r="G1901" s="315"/>
    </row>
    <row r="1902" spans="1:7" x14ac:dyDescent="0.25">
      <c r="A1902" s="339" t="str">
        <f t="shared" si="56"/>
        <v>I.2.2.02.029106</v>
      </c>
      <c r="B1902" s="319">
        <v>106</v>
      </c>
      <c r="C1902" s="394" t="str">
        <f>IFERROR(VLOOKUP(A1902,[3]DOORSCRIEFT!$A$2:$G$8551,2,FALSE),"")</f>
        <v/>
      </c>
      <c r="D1902" s="393" t="str">
        <f>IFERROR(VLOOKUP(A1902,[3]DOORSCRIEFT!$A$2:$G$8551,3,FALSE),"")</f>
        <v/>
      </c>
      <c r="E1902" s="392" t="str">
        <f>IFERROR(VLOOKUP(A1902,[3]DOORSCRIEFT!$A$2:$G$8551,4,FALSE),"")</f>
        <v/>
      </c>
      <c r="F1902" s="405" t="str">
        <f>IFERROR(VLOOKUP(A1902,[3]DOORSCRIEFT!$A$2:$G$8551,6,FALSE),"")</f>
        <v/>
      </c>
      <c r="G1902" s="315"/>
    </row>
    <row r="1903" spans="1:7" x14ac:dyDescent="0.25">
      <c r="A1903" s="339" t="str">
        <f t="shared" si="56"/>
        <v>I.2.2.02.029107</v>
      </c>
      <c r="B1903" s="339">
        <v>107</v>
      </c>
      <c r="C1903" s="394" t="str">
        <f>IFERROR(VLOOKUP(A1903,[3]DOORSCRIEFT!$A$2:$G$8551,2,FALSE),"")</f>
        <v/>
      </c>
      <c r="D1903" s="393" t="str">
        <f>IFERROR(VLOOKUP(A1903,[3]DOORSCRIEFT!$A$2:$G$8551,3,FALSE),"")</f>
        <v/>
      </c>
      <c r="E1903" s="392" t="str">
        <f>IFERROR(VLOOKUP(A1903,[3]DOORSCRIEFT!$A$2:$G$8551,4,FALSE),"")</f>
        <v/>
      </c>
      <c r="F1903" s="405" t="str">
        <f>IFERROR(VLOOKUP(A1903,[3]DOORSCRIEFT!$A$2:$G$8551,6,FALSE),"")</f>
        <v/>
      </c>
      <c r="G1903" s="315"/>
    </row>
    <row r="1904" spans="1:7" x14ac:dyDescent="0.25">
      <c r="A1904" s="339" t="str">
        <f t="shared" si="56"/>
        <v>I.2.2.02.029108</v>
      </c>
      <c r="B1904" s="319">
        <v>108</v>
      </c>
      <c r="C1904" s="394" t="str">
        <f>IFERROR(VLOOKUP(A1904,[3]DOORSCRIEFT!$A$2:$G$8551,2,FALSE),"")</f>
        <v/>
      </c>
      <c r="D1904" s="393" t="str">
        <f>IFERROR(VLOOKUP(A1904,[3]DOORSCRIEFT!$A$2:$G$8551,3,FALSE),"")</f>
        <v/>
      </c>
      <c r="E1904" s="392" t="str">
        <f>IFERROR(VLOOKUP(A1904,[3]DOORSCRIEFT!$A$2:$G$8551,4,FALSE),"")</f>
        <v/>
      </c>
      <c r="F1904" s="405" t="str">
        <f>IFERROR(VLOOKUP(A1904,[3]DOORSCRIEFT!$A$2:$G$8551,6,FALSE),"")</f>
        <v/>
      </c>
      <c r="G1904" s="315"/>
    </row>
    <row r="1905" spans="1:7" x14ac:dyDescent="0.25">
      <c r="A1905" s="339" t="str">
        <f t="shared" si="56"/>
        <v>I.2.2.02.029109</v>
      </c>
      <c r="B1905" s="339">
        <v>109</v>
      </c>
      <c r="C1905" s="394" t="str">
        <f>IFERROR(VLOOKUP(A1905,[3]DOORSCRIEFT!$A$2:$G$8551,2,FALSE),"")</f>
        <v/>
      </c>
      <c r="D1905" s="393" t="str">
        <f>IFERROR(VLOOKUP(A1905,[3]DOORSCRIEFT!$A$2:$G$8551,3,FALSE),"")</f>
        <v/>
      </c>
      <c r="E1905" s="392" t="str">
        <f>IFERROR(VLOOKUP(A1905,[3]DOORSCRIEFT!$A$2:$G$8551,4,FALSE),"")</f>
        <v/>
      </c>
      <c r="F1905" s="405" t="str">
        <f>IFERROR(VLOOKUP(A1905,[3]DOORSCRIEFT!$A$2:$G$8551,6,FALSE),"")</f>
        <v/>
      </c>
      <c r="G1905" s="315"/>
    </row>
    <row r="1906" spans="1:7" x14ac:dyDescent="0.25">
      <c r="A1906" s="339" t="str">
        <f t="shared" si="56"/>
        <v>I.2.2.02.029110</v>
      </c>
      <c r="B1906" s="319">
        <v>110</v>
      </c>
      <c r="C1906" s="394" t="str">
        <f>IFERROR(VLOOKUP(A1906,[3]DOORSCRIEFT!$A$2:$G$8551,2,FALSE),"")</f>
        <v/>
      </c>
      <c r="D1906" s="393" t="str">
        <f>IFERROR(VLOOKUP(A1906,[3]DOORSCRIEFT!$A$2:$G$8551,3,FALSE),"")</f>
        <v/>
      </c>
      <c r="E1906" s="392" t="str">
        <f>IFERROR(VLOOKUP(A1906,[3]DOORSCRIEFT!$A$2:$G$8551,4,FALSE),"")</f>
        <v/>
      </c>
      <c r="F1906" s="405" t="str">
        <f>IFERROR(VLOOKUP(A1906,[3]DOORSCRIEFT!$A$2:$G$8551,6,FALSE),"")</f>
        <v/>
      </c>
      <c r="G1906" s="315"/>
    </row>
    <row r="1907" spans="1:7" x14ac:dyDescent="0.25">
      <c r="A1907" s="339" t="str">
        <f t="shared" si="56"/>
        <v>I.2.2.02.029111</v>
      </c>
      <c r="B1907" s="339">
        <v>111</v>
      </c>
      <c r="C1907" s="394" t="str">
        <f>IFERROR(VLOOKUP(A1907,[3]DOORSCRIEFT!$A$2:$G$8551,2,FALSE),"")</f>
        <v/>
      </c>
      <c r="D1907" s="393" t="str">
        <f>IFERROR(VLOOKUP(A1907,[3]DOORSCRIEFT!$A$2:$G$8551,3,FALSE),"")</f>
        <v/>
      </c>
      <c r="E1907" s="392" t="str">
        <f>IFERROR(VLOOKUP(A1907,[3]DOORSCRIEFT!$A$2:$G$8551,4,FALSE),"")</f>
        <v/>
      </c>
      <c r="F1907" s="405" t="str">
        <f>IFERROR(VLOOKUP(A1907,[3]DOORSCRIEFT!$A$2:$G$8551,6,FALSE),"")</f>
        <v/>
      </c>
      <c r="G1907" s="315"/>
    </row>
    <row r="1908" spans="1:7" x14ac:dyDescent="0.25">
      <c r="A1908" s="339" t="str">
        <f t="shared" si="56"/>
        <v>I.2.2.02.029112</v>
      </c>
      <c r="B1908" s="319">
        <v>112</v>
      </c>
      <c r="C1908" s="394" t="str">
        <f>IFERROR(VLOOKUP(A1908,[3]DOORSCRIEFT!$A$2:$G$8551,2,FALSE),"")</f>
        <v/>
      </c>
      <c r="D1908" s="393" t="str">
        <f>IFERROR(VLOOKUP(A1908,[3]DOORSCRIEFT!$A$2:$G$8551,3,FALSE),"")</f>
        <v/>
      </c>
      <c r="E1908" s="392" t="str">
        <f>IFERROR(VLOOKUP(A1908,[3]DOORSCRIEFT!$A$2:$G$8551,4,FALSE),"")</f>
        <v/>
      </c>
      <c r="F1908" s="405" t="str">
        <f>IFERROR(VLOOKUP(A1908,[3]DOORSCRIEFT!$A$2:$G$8551,6,FALSE),"")</f>
        <v/>
      </c>
      <c r="G1908" s="315"/>
    </row>
    <row r="1909" spans="1:7" x14ac:dyDescent="0.25">
      <c r="A1909" s="339" t="str">
        <f t="shared" si="56"/>
        <v>I.2.2.02.029113</v>
      </c>
      <c r="B1909" s="339">
        <v>113</v>
      </c>
      <c r="C1909" s="394" t="str">
        <f>IFERROR(VLOOKUP(A1909,[3]DOORSCRIEFT!$A$2:$G$8551,2,FALSE),"")</f>
        <v/>
      </c>
      <c r="D1909" s="393" t="str">
        <f>IFERROR(VLOOKUP(A1909,[3]DOORSCRIEFT!$A$2:$G$8551,3,FALSE),"")</f>
        <v/>
      </c>
      <c r="E1909" s="392" t="str">
        <f>IFERROR(VLOOKUP(A1909,[3]DOORSCRIEFT!$A$2:$G$8551,4,FALSE),"")</f>
        <v/>
      </c>
      <c r="F1909" s="405" t="str">
        <f>IFERROR(VLOOKUP(A1909,[3]DOORSCRIEFT!$A$2:$G$8551,6,FALSE),"")</f>
        <v/>
      </c>
      <c r="G1909" s="315"/>
    </row>
    <row r="1910" spans="1:7" x14ac:dyDescent="0.25">
      <c r="A1910" s="339" t="str">
        <f t="shared" si="56"/>
        <v>I.2.2.02.029114</v>
      </c>
      <c r="B1910" s="319">
        <v>114</v>
      </c>
      <c r="C1910" s="394" t="str">
        <f>IFERROR(VLOOKUP(A1910,[3]DOORSCRIEFT!$A$2:$G$8551,2,FALSE),"")</f>
        <v/>
      </c>
      <c r="D1910" s="393" t="str">
        <f>IFERROR(VLOOKUP(A1910,[3]DOORSCRIEFT!$A$2:$G$8551,3,FALSE),"")</f>
        <v/>
      </c>
      <c r="E1910" s="392" t="str">
        <f>IFERROR(VLOOKUP(A1910,[3]DOORSCRIEFT!$A$2:$G$8551,4,FALSE),"")</f>
        <v/>
      </c>
      <c r="F1910" s="405" t="str">
        <f>IFERROR(VLOOKUP(A1910,[3]DOORSCRIEFT!$A$2:$G$8551,6,FALSE),"")</f>
        <v/>
      </c>
      <c r="G1910" s="315"/>
    </row>
    <row r="1911" spans="1:7" x14ac:dyDescent="0.25">
      <c r="A1911" s="339" t="str">
        <f t="shared" si="56"/>
        <v>I.2.2.02.029115</v>
      </c>
      <c r="B1911" s="339">
        <v>115</v>
      </c>
      <c r="C1911" s="394" t="str">
        <f>IFERROR(VLOOKUP(A1911,[3]DOORSCRIEFT!$A$2:$G$8551,2,FALSE),"")</f>
        <v/>
      </c>
      <c r="D1911" s="393" t="str">
        <f>IFERROR(VLOOKUP(A1911,[3]DOORSCRIEFT!$A$2:$G$8551,3,FALSE),"")</f>
        <v/>
      </c>
      <c r="E1911" s="392" t="str">
        <f>IFERROR(VLOOKUP(A1911,[3]DOORSCRIEFT!$A$2:$G$8551,4,FALSE),"")</f>
        <v/>
      </c>
      <c r="F1911" s="405" t="str">
        <f>IFERROR(VLOOKUP(A1911,[3]DOORSCRIEFT!$A$2:$G$8551,6,FALSE),"")</f>
        <v/>
      </c>
      <c r="G1911" s="315"/>
    </row>
    <row r="1912" spans="1:7" x14ac:dyDescent="0.25">
      <c r="A1912" s="339" t="str">
        <f t="shared" si="56"/>
        <v>I.2.2.02.029116</v>
      </c>
      <c r="B1912" s="319">
        <v>116</v>
      </c>
      <c r="C1912" s="394" t="str">
        <f>IFERROR(VLOOKUP(A1912,[3]DOORSCRIEFT!$A$2:$G$8551,2,FALSE),"")</f>
        <v/>
      </c>
      <c r="D1912" s="393" t="str">
        <f>IFERROR(VLOOKUP(A1912,[3]DOORSCRIEFT!$A$2:$G$8551,3,FALSE),"")</f>
        <v/>
      </c>
      <c r="E1912" s="392" t="str">
        <f>IFERROR(VLOOKUP(A1912,[3]DOORSCRIEFT!$A$2:$G$8551,4,FALSE),"")</f>
        <v/>
      </c>
      <c r="F1912" s="405" t="str">
        <f>IFERROR(VLOOKUP(A1912,[3]DOORSCRIEFT!$A$2:$G$8551,6,FALSE),"")</f>
        <v/>
      </c>
      <c r="G1912" s="315"/>
    </row>
    <row r="1913" spans="1:7" x14ac:dyDescent="0.25">
      <c r="A1913" s="339" t="str">
        <f t="shared" si="56"/>
        <v>I.2.2.02.029117</v>
      </c>
      <c r="B1913" s="339">
        <v>117</v>
      </c>
      <c r="C1913" s="394" t="str">
        <f>IFERROR(VLOOKUP(A1913,[3]DOORSCRIEFT!$A$2:$G$8551,2,FALSE),"")</f>
        <v/>
      </c>
      <c r="D1913" s="393" t="str">
        <f>IFERROR(VLOOKUP(A1913,[3]DOORSCRIEFT!$A$2:$G$8551,3,FALSE),"")</f>
        <v/>
      </c>
      <c r="E1913" s="392" t="str">
        <f>IFERROR(VLOOKUP(A1913,[3]DOORSCRIEFT!$A$2:$G$8551,4,FALSE),"")</f>
        <v/>
      </c>
      <c r="F1913" s="405" t="str">
        <f>IFERROR(VLOOKUP(A1913,[3]DOORSCRIEFT!$A$2:$G$8551,6,FALSE),"")</f>
        <v/>
      </c>
      <c r="G1913" s="315"/>
    </row>
    <row r="1914" spans="1:7" x14ac:dyDescent="0.25">
      <c r="A1914" s="339" t="str">
        <f t="shared" si="56"/>
        <v>I.2.2.02.029118</v>
      </c>
      <c r="B1914" s="319">
        <v>118</v>
      </c>
      <c r="C1914" s="394" t="str">
        <f>IFERROR(VLOOKUP(A1914,[3]DOORSCRIEFT!$A$2:$G$8551,2,FALSE),"")</f>
        <v/>
      </c>
      <c r="D1914" s="393" t="str">
        <f>IFERROR(VLOOKUP(A1914,[3]DOORSCRIEFT!$A$2:$G$8551,3,FALSE),"")</f>
        <v/>
      </c>
      <c r="E1914" s="392" t="str">
        <f>IFERROR(VLOOKUP(A1914,[3]DOORSCRIEFT!$A$2:$G$8551,4,FALSE),"")</f>
        <v/>
      </c>
      <c r="F1914" s="405" t="str">
        <f>IFERROR(VLOOKUP(A1914,[3]DOORSCRIEFT!$A$2:$G$8551,6,FALSE),"")</f>
        <v/>
      </c>
      <c r="G1914" s="315"/>
    </row>
    <row r="1915" spans="1:7" x14ac:dyDescent="0.25">
      <c r="A1915" s="339" t="str">
        <f t="shared" si="56"/>
        <v>I.2.2.02.029119</v>
      </c>
      <c r="B1915" s="339">
        <v>119</v>
      </c>
      <c r="C1915" s="394" t="str">
        <f>IFERROR(VLOOKUP(A1915,[3]DOORSCRIEFT!$A$2:$G$8551,2,FALSE),"")</f>
        <v/>
      </c>
      <c r="D1915" s="393" t="str">
        <f>IFERROR(VLOOKUP(A1915,[3]DOORSCRIEFT!$A$2:$G$8551,3,FALSE),"")</f>
        <v/>
      </c>
      <c r="E1915" s="392" t="str">
        <f>IFERROR(VLOOKUP(A1915,[3]DOORSCRIEFT!$A$2:$G$8551,4,FALSE),"")</f>
        <v/>
      </c>
      <c r="F1915" s="405" t="str">
        <f>IFERROR(VLOOKUP(A1915,[3]DOORSCRIEFT!$A$2:$G$8551,6,FALSE),"")</f>
        <v/>
      </c>
      <c r="G1915" s="315"/>
    </row>
    <row r="1916" spans="1:7" x14ac:dyDescent="0.25">
      <c r="A1916" s="339" t="str">
        <f t="shared" si="56"/>
        <v>I.2.2.02.029120</v>
      </c>
      <c r="B1916" s="319">
        <v>120</v>
      </c>
      <c r="C1916" s="394" t="str">
        <f>IFERROR(VLOOKUP(A1916,[3]DOORSCRIEFT!$A$2:$G$8551,2,FALSE),"")</f>
        <v/>
      </c>
      <c r="D1916" s="393" t="str">
        <f>IFERROR(VLOOKUP(A1916,[3]DOORSCRIEFT!$A$2:$G$8551,3,FALSE),"")</f>
        <v/>
      </c>
      <c r="E1916" s="392" t="str">
        <f>IFERROR(VLOOKUP(A1916,[3]DOORSCRIEFT!$A$2:$G$8551,4,FALSE),"")</f>
        <v/>
      </c>
      <c r="F1916" s="405" t="str">
        <f>IFERROR(VLOOKUP(A1916,[3]DOORSCRIEFT!$A$2:$G$8551,6,FALSE),"")</f>
        <v/>
      </c>
      <c r="G1916" s="315"/>
    </row>
    <row r="1917" spans="1:7" x14ac:dyDescent="0.25">
      <c r="A1917" s="339" t="str">
        <f t="shared" si="56"/>
        <v>I.2.2.02.029121</v>
      </c>
      <c r="B1917" s="339">
        <v>121</v>
      </c>
      <c r="C1917" s="394" t="str">
        <f>IFERROR(VLOOKUP(A1917,[3]DOORSCRIEFT!$A$2:$G$8551,2,FALSE),"")</f>
        <v/>
      </c>
      <c r="D1917" s="393" t="str">
        <f>IFERROR(VLOOKUP(A1917,[3]DOORSCRIEFT!$A$2:$G$8551,3,FALSE),"")</f>
        <v/>
      </c>
      <c r="E1917" s="392" t="str">
        <f>IFERROR(VLOOKUP(A1917,[3]DOORSCRIEFT!$A$2:$G$8551,4,FALSE),"")</f>
        <v/>
      </c>
      <c r="F1917" s="405" t="str">
        <f>IFERROR(VLOOKUP(A1917,[3]DOORSCRIEFT!$A$2:$G$8551,6,FALSE),"")</f>
        <v/>
      </c>
      <c r="G1917" s="315"/>
    </row>
    <row r="1918" spans="1:7" x14ac:dyDescent="0.25">
      <c r="A1918" s="339" t="str">
        <f t="shared" si="56"/>
        <v>I.2.2.02.029122</v>
      </c>
      <c r="B1918" s="319">
        <v>122</v>
      </c>
      <c r="C1918" s="394" t="str">
        <f>IFERROR(VLOOKUP(A1918,[3]DOORSCRIEFT!$A$2:$G$8551,2,FALSE),"")</f>
        <v/>
      </c>
      <c r="D1918" s="393" t="str">
        <f>IFERROR(VLOOKUP(A1918,[3]DOORSCRIEFT!$A$2:$G$8551,3,FALSE),"")</f>
        <v/>
      </c>
      <c r="E1918" s="392" t="str">
        <f>IFERROR(VLOOKUP(A1918,[3]DOORSCRIEFT!$A$2:$G$8551,4,FALSE),"")</f>
        <v/>
      </c>
      <c r="F1918" s="405" t="str">
        <f>IFERROR(VLOOKUP(A1918,[3]DOORSCRIEFT!$A$2:$G$8551,6,FALSE),"")</f>
        <v/>
      </c>
      <c r="G1918" s="315"/>
    </row>
    <row r="1919" spans="1:7" x14ac:dyDescent="0.25">
      <c r="A1919" s="339" t="str">
        <f t="shared" si="56"/>
        <v>I.2.2.02.029123</v>
      </c>
      <c r="B1919" s="339">
        <v>123</v>
      </c>
      <c r="C1919" s="394" t="str">
        <f>IFERROR(VLOOKUP(A1919,[3]DOORSCRIEFT!$A$2:$G$8551,2,FALSE),"")</f>
        <v/>
      </c>
      <c r="D1919" s="393" t="str">
        <f>IFERROR(VLOOKUP(A1919,[3]DOORSCRIEFT!$A$2:$G$8551,3,FALSE),"")</f>
        <v/>
      </c>
      <c r="E1919" s="392" t="str">
        <f>IFERROR(VLOOKUP(A1919,[3]DOORSCRIEFT!$A$2:$G$8551,4,FALSE),"")</f>
        <v/>
      </c>
      <c r="F1919" s="405" t="str">
        <f>IFERROR(VLOOKUP(A1919,[3]DOORSCRIEFT!$A$2:$G$8551,6,FALSE),"")</f>
        <v/>
      </c>
      <c r="G1919" s="315"/>
    </row>
    <row r="1920" spans="1:7" x14ac:dyDescent="0.25">
      <c r="A1920" s="339" t="str">
        <f t="shared" si="56"/>
        <v>I.2.2.02.029124</v>
      </c>
      <c r="B1920" s="319">
        <v>124</v>
      </c>
      <c r="C1920" s="394" t="str">
        <f>IFERROR(VLOOKUP(A1920,[3]DOORSCRIEFT!$A$2:$G$8551,2,FALSE),"")</f>
        <v/>
      </c>
      <c r="D1920" s="393" t="str">
        <f>IFERROR(VLOOKUP(A1920,[3]DOORSCRIEFT!$A$2:$G$8551,3,FALSE),"")</f>
        <v/>
      </c>
      <c r="E1920" s="392" t="str">
        <f>IFERROR(VLOOKUP(A1920,[3]DOORSCRIEFT!$A$2:$G$8551,4,FALSE),"")</f>
        <v/>
      </c>
      <c r="F1920" s="405" t="str">
        <f>IFERROR(VLOOKUP(A1920,[3]DOORSCRIEFT!$A$2:$G$8551,6,FALSE),"")</f>
        <v/>
      </c>
      <c r="G1920" s="315"/>
    </row>
    <row r="1921" spans="1:7" x14ac:dyDescent="0.25">
      <c r="A1921" s="339" t="str">
        <f t="shared" si="56"/>
        <v>I.2.2.02.029125</v>
      </c>
      <c r="B1921" s="339">
        <v>125</v>
      </c>
      <c r="C1921" s="394" t="str">
        <f>IFERROR(VLOOKUP(A1921,[3]DOORSCRIEFT!$A$2:$G$8551,2,FALSE),"")</f>
        <v/>
      </c>
      <c r="D1921" s="393" t="str">
        <f>IFERROR(VLOOKUP(A1921,[3]DOORSCRIEFT!$A$2:$G$8551,3,FALSE),"")</f>
        <v/>
      </c>
      <c r="E1921" s="392" t="str">
        <f>IFERROR(VLOOKUP(A1921,[3]DOORSCRIEFT!$A$2:$G$8551,4,FALSE),"")</f>
        <v/>
      </c>
      <c r="F1921" s="405" t="str">
        <f>IFERROR(VLOOKUP(A1921,[3]DOORSCRIEFT!$A$2:$G$8551,6,FALSE),"")</f>
        <v/>
      </c>
      <c r="G1921" s="315"/>
    </row>
    <row r="1922" spans="1:7" x14ac:dyDescent="0.25">
      <c r="A1922" s="339" t="str">
        <f t="shared" si="56"/>
        <v>I.2.2.02.029126</v>
      </c>
      <c r="B1922" s="319">
        <v>126</v>
      </c>
      <c r="C1922" s="394" t="str">
        <f>IFERROR(VLOOKUP(A1922,[3]DOORSCRIEFT!$A$2:$G$8551,2,FALSE),"")</f>
        <v/>
      </c>
      <c r="D1922" s="393" t="str">
        <f>IFERROR(VLOOKUP(A1922,[3]DOORSCRIEFT!$A$2:$G$8551,3,FALSE),"")</f>
        <v/>
      </c>
      <c r="E1922" s="392" t="str">
        <f>IFERROR(VLOOKUP(A1922,[3]DOORSCRIEFT!$A$2:$G$8551,4,FALSE),"")</f>
        <v/>
      </c>
      <c r="F1922" s="405" t="str">
        <f>IFERROR(VLOOKUP(A1922,[3]DOORSCRIEFT!$A$2:$G$8551,6,FALSE),"")</f>
        <v/>
      </c>
      <c r="G1922" s="315"/>
    </row>
    <row r="1923" spans="1:7" x14ac:dyDescent="0.25">
      <c r="A1923" s="339" t="str">
        <f t="shared" si="56"/>
        <v>I.2.2.02.029127</v>
      </c>
      <c r="B1923" s="339">
        <v>127</v>
      </c>
      <c r="C1923" s="394" t="str">
        <f>IFERROR(VLOOKUP(A1923,[3]DOORSCRIEFT!$A$2:$G$8551,2,FALSE),"")</f>
        <v/>
      </c>
      <c r="D1923" s="393" t="str">
        <f>IFERROR(VLOOKUP(A1923,[3]DOORSCRIEFT!$A$2:$G$8551,3,FALSE),"")</f>
        <v/>
      </c>
      <c r="E1923" s="392" t="str">
        <f>IFERROR(VLOOKUP(A1923,[3]DOORSCRIEFT!$A$2:$G$8551,4,FALSE),"")</f>
        <v/>
      </c>
      <c r="F1923" s="405" t="str">
        <f>IFERROR(VLOOKUP(A1923,[3]DOORSCRIEFT!$A$2:$G$8551,6,FALSE),"")</f>
        <v/>
      </c>
      <c r="G1923" s="315"/>
    </row>
    <row r="1924" spans="1:7" x14ac:dyDescent="0.25">
      <c r="A1924" s="339" t="str">
        <f t="shared" si="56"/>
        <v>I.2.2.02.029128</v>
      </c>
      <c r="B1924" s="319">
        <v>128</v>
      </c>
      <c r="C1924" s="394" t="str">
        <f>IFERROR(VLOOKUP(A1924,[3]DOORSCRIEFT!$A$2:$G$8551,2,FALSE),"")</f>
        <v/>
      </c>
      <c r="D1924" s="393" t="str">
        <f>IFERROR(VLOOKUP(A1924,[3]DOORSCRIEFT!$A$2:$G$8551,3,FALSE),"")</f>
        <v/>
      </c>
      <c r="E1924" s="392" t="str">
        <f>IFERROR(VLOOKUP(A1924,[3]DOORSCRIEFT!$A$2:$G$8551,4,FALSE),"")</f>
        <v/>
      </c>
      <c r="F1924" s="405" t="str">
        <f>IFERROR(VLOOKUP(A1924,[3]DOORSCRIEFT!$A$2:$G$8551,6,FALSE),"")</f>
        <v/>
      </c>
      <c r="G1924" s="315"/>
    </row>
    <row r="1925" spans="1:7" x14ac:dyDescent="0.25">
      <c r="A1925" s="339" t="str">
        <f t="shared" ref="A1925:A1956" si="57">$G$1790&amp;B1925</f>
        <v>I.2.2.02.029129</v>
      </c>
      <c r="B1925" s="339">
        <v>129</v>
      </c>
      <c r="C1925" s="394" t="str">
        <f>IFERROR(VLOOKUP(A1925,[3]DOORSCRIEFT!$A$2:$G$8551,2,FALSE),"")</f>
        <v/>
      </c>
      <c r="D1925" s="393" t="str">
        <f>IFERROR(VLOOKUP(A1925,[3]DOORSCRIEFT!$A$2:$G$8551,3,FALSE),"")</f>
        <v/>
      </c>
      <c r="E1925" s="392" t="str">
        <f>IFERROR(VLOOKUP(A1925,[3]DOORSCRIEFT!$A$2:$G$8551,4,FALSE),"")</f>
        <v/>
      </c>
      <c r="F1925" s="405" t="str">
        <f>IFERROR(VLOOKUP(A1925,[3]DOORSCRIEFT!$A$2:$G$8551,6,FALSE),"")</f>
        <v/>
      </c>
      <c r="G1925" s="315"/>
    </row>
    <row r="1926" spans="1:7" x14ac:dyDescent="0.25">
      <c r="A1926" s="339" t="str">
        <f t="shared" si="57"/>
        <v>I.2.2.02.029130</v>
      </c>
      <c r="B1926" s="319">
        <v>130</v>
      </c>
      <c r="C1926" s="394" t="str">
        <f>IFERROR(VLOOKUP(A1926,[3]DOORSCRIEFT!$A$2:$G$8551,2,FALSE),"")</f>
        <v/>
      </c>
      <c r="D1926" s="393" t="str">
        <f>IFERROR(VLOOKUP(A1926,[3]DOORSCRIEFT!$A$2:$G$8551,3,FALSE),"")</f>
        <v/>
      </c>
      <c r="E1926" s="392" t="str">
        <f>IFERROR(VLOOKUP(A1926,[3]DOORSCRIEFT!$A$2:$G$8551,4,FALSE),"")</f>
        <v/>
      </c>
      <c r="F1926" s="405" t="str">
        <f>IFERROR(VLOOKUP(A1926,[3]DOORSCRIEFT!$A$2:$G$8551,6,FALSE),"")</f>
        <v/>
      </c>
      <c r="G1926" s="315"/>
    </row>
    <row r="1927" spans="1:7" x14ac:dyDescent="0.25">
      <c r="A1927" s="339" t="str">
        <f t="shared" si="57"/>
        <v>I.2.2.02.029131</v>
      </c>
      <c r="B1927" s="339">
        <v>131</v>
      </c>
      <c r="C1927" s="394" t="str">
        <f>IFERROR(VLOOKUP(A1927,[3]DOORSCRIEFT!$A$2:$G$8551,2,FALSE),"")</f>
        <v/>
      </c>
      <c r="D1927" s="393" t="str">
        <f>IFERROR(VLOOKUP(A1927,[3]DOORSCRIEFT!$A$2:$G$8551,3,FALSE),"")</f>
        <v/>
      </c>
      <c r="E1927" s="392" t="str">
        <f>IFERROR(VLOOKUP(A1927,[3]DOORSCRIEFT!$A$2:$G$8551,4,FALSE),"")</f>
        <v/>
      </c>
      <c r="F1927" s="405" t="str">
        <f>IFERROR(VLOOKUP(A1927,[3]DOORSCRIEFT!$A$2:$G$8551,6,FALSE),"")</f>
        <v/>
      </c>
      <c r="G1927" s="315"/>
    </row>
    <row r="1928" spans="1:7" x14ac:dyDescent="0.25">
      <c r="A1928" s="339" t="str">
        <f t="shared" si="57"/>
        <v>I.2.2.02.029132</v>
      </c>
      <c r="B1928" s="319">
        <v>132</v>
      </c>
      <c r="C1928" s="394" t="str">
        <f>IFERROR(VLOOKUP(A1928,[3]DOORSCRIEFT!$A$2:$G$8551,2,FALSE),"")</f>
        <v/>
      </c>
      <c r="D1928" s="393" t="str">
        <f>IFERROR(VLOOKUP(A1928,[3]DOORSCRIEFT!$A$2:$G$8551,3,FALSE),"")</f>
        <v/>
      </c>
      <c r="E1928" s="392" t="str">
        <f>IFERROR(VLOOKUP(A1928,[3]DOORSCRIEFT!$A$2:$G$8551,4,FALSE),"")</f>
        <v/>
      </c>
      <c r="F1928" s="405" t="str">
        <f>IFERROR(VLOOKUP(A1928,[3]DOORSCRIEFT!$A$2:$G$8551,6,FALSE),"")</f>
        <v/>
      </c>
      <c r="G1928" s="315"/>
    </row>
    <row r="1929" spans="1:7" x14ac:dyDescent="0.25">
      <c r="A1929" s="339" t="str">
        <f t="shared" si="57"/>
        <v>I.2.2.02.029133</v>
      </c>
      <c r="B1929" s="339">
        <v>133</v>
      </c>
      <c r="C1929" s="394" t="str">
        <f>IFERROR(VLOOKUP(A1929,[3]DOORSCRIEFT!$A$2:$G$8551,2,FALSE),"")</f>
        <v/>
      </c>
      <c r="D1929" s="393" t="str">
        <f>IFERROR(VLOOKUP(A1929,[3]DOORSCRIEFT!$A$2:$G$8551,3,FALSE),"")</f>
        <v/>
      </c>
      <c r="E1929" s="392" t="str">
        <f>IFERROR(VLOOKUP(A1929,[3]DOORSCRIEFT!$A$2:$G$8551,4,FALSE),"")</f>
        <v/>
      </c>
      <c r="F1929" s="405" t="str">
        <f>IFERROR(VLOOKUP(A1929,[3]DOORSCRIEFT!$A$2:$G$8551,6,FALSE),"")</f>
        <v/>
      </c>
      <c r="G1929" s="315"/>
    </row>
    <row r="1930" spans="1:7" ht="15.75" thickBot="1" x14ac:dyDescent="0.3">
      <c r="A1930" s="353" t="str">
        <f t="shared" si="57"/>
        <v>I.2.2.02.029134</v>
      </c>
      <c r="B1930" s="345">
        <v>134</v>
      </c>
      <c r="C1930" s="394" t="str">
        <f>IFERROR(VLOOKUP(A1930,[3]DOORSCRIEFT!$A$2:$G$8551,2,FALSE),"")</f>
        <v/>
      </c>
      <c r="D1930" s="393" t="str">
        <f>IFERROR(VLOOKUP(A1930,[3]DOORSCRIEFT!$A$2:$G$8551,3,FALSE),"")</f>
        <v/>
      </c>
      <c r="E1930" s="392" t="str">
        <f>IFERROR(VLOOKUP(A1930,[3]DOORSCRIEFT!$A$2:$G$8551,4,FALSE),"")</f>
        <v/>
      </c>
      <c r="F1930" s="405" t="str">
        <f>IFERROR(VLOOKUP(A1930,[3]DOORSCRIEFT!$A$2:$G$8551,6,FALSE),"")</f>
        <v/>
      </c>
      <c r="G1930" s="315"/>
    </row>
    <row r="1931" spans="1:7" ht="15.75" thickBot="1" x14ac:dyDescent="0.3">
      <c r="A1931" s="358"/>
      <c r="B1931" s="357"/>
      <c r="C1931" s="407"/>
      <c r="D1931" s="312"/>
      <c r="E1931" s="311" t="s">
        <v>644</v>
      </c>
      <c r="F1931" s="310">
        <f>SUM(F1797:F1930)</f>
        <v>13191000</v>
      </c>
      <c r="G1931" s="309">
        <f>SUM(G1797:G1930)</f>
        <v>0</v>
      </c>
    </row>
    <row r="1934" spans="1:7" ht="15.75" x14ac:dyDescent="0.25">
      <c r="C1934" s="332"/>
      <c r="D1934" s="333"/>
      <c r="E1934" s="332"/>
      <c r="F1934" s="327" t="s">
        <v>607</v>
      </c>
      <c r="G1934" s="327" t="s">
        <v>488</v>
      </c>
    </row>
    <row r="1935" spans="1:7" ht="15.75" x14ac:dyDescent="0.25">
      <c r="C1935" s="332"/>
      <c r="D1935" s="333"/>
      <c r="E1935" s="332"/>
      <c r="F1935" s="327" t="s">
        <v>601</v>
      </c>
      <c r="G1935" s="327" t="s">
        <v>487</v>
      </c>
    </row>
    <row r="1936" spans="1:7" x14ac:dyDescent="0.25">
      <c r="C1936" s="328"/>
      <c r="D1936" s="329"/>
      <c r="E1936" s="328"/>
      <c r="F1936" s="327" t="s">
        <v>651</v>
      </c>
      <c r="G1936" s="331">
        <f>[2]Sheet1!$D$56</f>
        <v>27000000</v>
      </c>
    </row>
    <row r="1937" spans="1:7" ht="15.75" thickBot="1" x14ac:dyDescent="0.3">
      <c r="C1937" s="328"/>
      <c r="D1937" s="329"/>
      <c r="E1937" s="328"/>
      <c r="F1937" s="327" t="s">
        <v>650</v>
      </c>
      <c r="G1937" s="326">
        <f>+F2095-G1936</f>
        <v>-17788000</v>
      </c>
    </row>
    <row r="1938" spans="1:7" x14ac:dyDescent="0.25">
      <c r="A1938" s="571" t="s">
        <v>654</v>
      </c>
      <c r="B1938" s="573" t="s">
        <v>606</v>
      </c>
      <c r="C1938" s="588" t="s">
        <v>649</v>
      </c>
      <c r="D1938" s="577" t="s">
        <v>648</v>
      </c>
      <c r="E1938" s="577" t="s">
        <v>647</v>
      </c>
      <c r="F1938" s="577" t="s">
        <v>646</v>
      </c>
      <c r="G1938" s="580" t="s">
        <v>645</v>
      </c>
    </row>
    <row r="1939" spans="1:7" ht="15.75" thickBot="1" x14ac:dyDescent="0.3">
      <c r="A1939" s="572"/>
      <c r="B1939" s="574"/>
      <c r="C1939" s="589"/>
      <c r="D1939" s="586"/>
      <c r="E1939" s="586"/>
      <c r="F1939" s="586"/>
      <c r="G1939" s="587"/>
    </row>
    <row r="1940" spans="1:7" ht="15.75" thickBot="1" x14ac:dyDescent="0.3">
      <c r="A1940" s="325">
        <v>1</v>
      </c>
      <c r="B1940" s="324">
        <v>2</v>
      </c>
      <c r="C1940" s="324">
        <v>3</v>
      </c>
      <c r="D1940" s="324">
        <v>4</v>
      </c>
      <c r="E1940" s="324">
        <v>5</v>
      </c>
      <c r="F1940" s="324">
        <v>6</v>
      </c>
      <c r="G1940" s="323">
        <v>7</v>
      </c>
    </row>
    <row r="1941" spans="1:7" x14ac:dyDescent="0.25">
      <c r="A1941" s="339" t="str">
        <f t="shared" ref="A1941:A1972" si="58">$G$1934&amp;B1941</f>
        <v>I.2.2.02.0301</v>
      </c>
      <c r="B1941" s="339">
        <v>1</v>
      </c>
      <c r="C1941" s="394">
        <f>IFERROR(VLOOKUP(A1941,[3]DOORSCRIEFT!$A$2:$G$8551,2,FALSE),"")</f>
        <v>70</v>
      </c>
      <c r="D1941" s="393">
        <f>IFERROR(VLOOKUP(A1941,[3]DOORSCRIEFT!$A$2:$G$8551,3,FALSE),"")</f>
        <v>46038</v>
      </c>
      <c r="E1941" s="392" t="str">
        <f>IFERROR(VLOOKUP(A1941,[3]DOORSCRIEFT!$A$2:$G$8551,4,FALSE),"")</f>
        <v>Kolekta Kebaktian pelayanan laki laki</v>
      </c>
      <c r="F1941" s="405">
        <f>IFERROR(VLOOKUP(A1941,[3]DOORSCRIEFT!$A$2:$G$8551,6,FALSE),"")</f>
        <v>960000</v>
      </c>
      <c r="G1941" s="322"/>
    </row>
    <row r="1942" spans="1:7" x14ac:dyDescent="0.25">
      <c r="A1942" s="339" t="str">
        <f t="shared" si="58"/>
        <v>I.2.2.02.0302</v>
      </c>
      <c r="B1942" s="319">
        <v>2</v>
      </c>
      <c r="C1942" s="394">
        <f>IFERROR(VLOOKUP(A1942,[3]DOORSCRIEFT!$A$2:$G$8551,2,FALSE),"")</f>
        <v>88</v>
      </c>
      <c r="D1942" s="393">
        <f>IFERROR(VLOOKUP(A1942,[3]DOORSCRIEFT!$A$2:$G$8551,3,FALSE),"")</f>
        <v>46045</v>
      </c>
      <c r="E1942" s="392" t="str">
        <f>IFERROR(VLOOKUP(A1942,[3]DOORSCRIEFT!$A$2:$G$8551,4,FALSE),"")</f>
        <v>Kolekta Kebaktian Laki laki sektor Galilea</v>
      </c>
      <c r="F1942" s="405">
        <f>IFERROR(VLOOKUP(A1942,[3]DOORSCRIEFT!$A$2:$G$8551,6,FALSE),"")</f>
        <v>73000</v>
      </c>
      <c r="G1942" s="315"/>
    </row>
    <row r="1943" spans="1:7" x14ac:dyDescent="0.25">
      <c r="A1943" s="339" t="str">
        <f t="shared" si="58"/>
        <v>I.2.2.02.0303</v>
      </c>
      <c r="B1943" s="339">
        <v>3</v>
      </c>
      <c r="C1943" s="394">
        <f>IFERROR(VLOOKUP(A1943,[3]DOORSCRIEFT!$A$2:$G$8551,2,FALSE),"")</f>
        <v>133</v>
      </c>
      <c r="D1943" s="393">
        <f>IFERROR(VLOOKUP(A1943,[3]DOORSCRIEFT!$A$2:$G$8551,3,FALSE),"")</f>
        <v>46052</v>
      </c>
      <c r="E1943" s="392" t="str">
        <f>IFERROR(VLOOKUP(A1943,[3]DOORSCRIEFT!$A$2:$G$8551,4,FALSE),"")</f>
        <v>Kolekta Kebaktian Laki laki Sektor</v>
      </c>
      <c r="F1943" s="405">
        <f>IFERROR(VLOOKUP(A1943,[3]DOORSCRIEFT!$A$2:$G$8551,6,FALSE),"")</f>
        <v>731000</v>
      </c>
      <c r="G1943" s="315"/>
    </row>
    <row r="1944" spans="1:7" x14ac:dyDescent="0.25">
      <c r="A1944" s="339" t="str">
        <f t="shared" si="58"/>
        <v>I.2.2.02.0304</v>
      </c>
      <c r="B1944" s="319">
        <v>4</v>
      </c>
      <c r="C1944" s="394">
        <f>IFERROR(VLOOKUP(A1944,[3]DOORSCRIEFT!$A$2:$G$8551,2,FALSE),"")</f>
        <v>155</v>
      </c>
      <c r="D1944" s="393">
        <f>IFERROR(VLOOKUP(A1944,[3]DOORSCRIEFT!$A$2:$G$8551,3,FALSE),"")</f>
        <v>46059</v>
      </c>
      <c r="E1944" s="392" t="str">
        <f>IFERROR(VLOOKUP(A1944,[3]DOORSCRIEFT!$A$2:$G$8551,4,FALSE),"")</f>
        <v>Kolekta Kebaktian Pelayanan Laki-Laki</v>
      </c>
      <c r="F1944" s="405">
        <f>IFERROR(VLOOKUP(A1944,[3]DOORSCRIEFT!$A$2:$G$8551,6,FALSE),"")</f>
        <v>657000</v>
      </c>
      <c r="G1944" s="315"/>
    </row>
    <row r="1945" spans="1:7" x14ac:dyDescent="0.25">
      <c r="A1945" s="339" t="str">
        <f t="shared" si="58"/>
        <v>I.2.2.02.0305</v>
      </c>
      <c r="B1945" s="339">
        <v>5</v>
      </c>
      <c r="C1945" s="394">
        <f>IFERROR(VLOOKUP(A1945,[3]DOORSCRIEFT!$A$2:$G$8551,2,FALSE),"")</f>
        <v>191</v>
      </c>
      <c r="D1945" s="393">
        <f>IFERROR(VLOOKUP(A1945,[3]DOORSCRIEFT!$A$2:$G$8551,3,FALSE),"")</f>
        <v>46066</v>
      </c>
      <c r="E1945" s="392" t="str">
        <f>IFERROR(VLOOKUP(A1945,[3]DOORSCRIEFT!$A$2:$G$8551,4,FALSE),"")</f>
        <v>Kolekta Kebaktian Pelayanan Laki-Laki</v>
      </c>
      <c r="F1945" s="405">
        <f>IFERROR(VLOOKUP(A1945,[3]DOORSCRIEFT!$A$2:$G$8551,6,FALSE),"")</f>
        <v>1158000</v>
      </c>
      <c r="G1945" s="315"/>
    </row>
    <row r="1946" spans="1:7" x14ac:dyDescent="0.25">
      <c r="A1946" s="339" t="str">
        <f t="shared" si="58"/>
        <v>I.2.2.02.0306</v>
      </c>
      <c r="B1946" s="319">
        <v>6</v>
      </c>
      <c r="C1946" s="394">
        <f>IFERROR(VLOOKUP(A1946,[3]DOORSCRIEFT!$A$2:$G$8551,2,FALSE),"")</f>
        <v>220</v>
      </c>
      <c r="D1946" s="393">
        <f>IFERROR(VLOOKUP(A1946,[3]DOORSCRIEFT!$A$2:$G$8551,3,FALSE),"")</f>
        <v>46073</v>
      </c>
      <c r="E1946" s="392" t="str">
        <f>IFERROR(VLOOKUP(A1946,[3]DOORSCRIEFT!$A$2:$G$8551,4,FALSE),"")</f>
        <v>Kolekta Kebaktian Pelayanan Laki-Laki</v>
      </c>
      <c r="F1946" s="405">
        <f>IFERROR(VLOOKUP(A1946,[3]DOORSCRIEFT!$A$2:$G$8551,6,FALSE),"")</f>
        <v>857000</v>
      </c>
      <c r="G1946" s="315"/>
    </row>
    <row r="1947" spans="1:7" x14ac:dyDescent="0.25">
      <c r="A1947" s="339" t="str">
        <f t="shared" si="58"/>
        <v>I.2.2.02.0307</v>
      </c>
      <c r="B1947" s="339">
        <v>7</v>
      </c>
      <c r="C1947" s="394">
        <f>IFERROR(VLOOKUP(A1947,[3]DOORSCRIEFT!$A$2:$G$8551,2,FALSE),"")</f>
        <v>251</v>
      </c>
      <c r="D1947" s="393">
        <f>IFERROR(VLOOKUP(A1947,[3]DOORSCRIEFT!$A$2:$G$8551,3,FALSE),"")</f>
        <v>46075</v>
      </c>
      <c r="E1947" s="392" t="str">
        <f>IFERROR(VLOOKUP(A1947,[3]DOORSCRIEFT!$A$2:$G$8551,4,FALSE),"")</f>
        <v>Kolekta Kebaktian Pelayanan Laki-Laki sek Imanuel</v>
      </c>
      <c r="F1947" s="405">
        <f>IFERROR(VLOOKUP(A1947,[3]DOORSCRIEFT!$A$2:$G$8551,6,FALSE),"")</f>
        <v>90000</v>
      </c>
      <c r="G1947" s="315"/>
    </row>
    <row r="1948" spans="1:7" x14ac:dyDescent="0.25">
      <c r="A1948" s="339" t="str">
        <f t="shared" si="58"/>
        <v>I.2.2.02.0308</v>
      </c>
      <c r="B1948" s="319">
        <v>8</v>
      </c>
      <c r="C1948" s="394">
        <f>IFERROR(VLOOKUP(A1948,[3]DOORSCRIEFT!$A$2:$G$8551,2,FALSE),"")</f>
        <v>260</v>
      </c>
      <c r="D1948" s="393">
        <f>IFERROR(VLOOKUP(A1948,[3]DOORSCRIEFT!$A$2:$G$8551,3,FALSE),"")</f>
        <v>46080</v>
      </c>
      <c r="E1948" s="392" t="str">
        <f>IFERROR(VLOOKUP(A1948,[3]DOORSCRIEFT!$A$2:$G$8551,4,FALSE),"")</f>
        <v>Kolekta Kebaktian Pelayanan Laki-Laki</v>
      </c>
      <c r="F1948" s="405">
        <f>IFERROR(VLOOKUP(A1948,[3]DOORSCRIEFT!$A$2:$G$8551,6,FALSE),"")</f>
        <v>1020000</v>
      </c>
      <c r="G1948" s="315"/>
    </row>
    <row r="1949" spans="1:7" x14ac:dyDescent="0.25">
      <c r="A1949" s="339" t="str">
        <f t="shared" si="58"/>
        <v>I.2.2.02.0309</v>
      </c>
      <c r="B1949" s="339">
        <v>9</v>
      </c>
      <c r="C1949" s="394">
        <f>IFERROR(VLOOKUP(A1949,[3]DOORSCRIEFT!$A$2:$G$8551,2,FALSE),"")</f>
        <v>293</v>
      </c>
      <c r="D1949" s="393">
        <f>IFERROR(VLOOKUP(A1949,[3]DOORSCRIEFT!$A$2:$G$8551,3,FALSE),"")</f>
        <v>46087</v>
      </c>
      <c r="E1949" s="392" t="str">
        <f>IFERROR(VLOOKUP(A1949,[3]DOORSCRIEFT!$A$2:$G$8551,4,FALSE),"")</f>
        <v>Kolekta Kebaktan Laki laki sektor</v>
      </c>
      <c r="F1949" s="405">
        <f>IFERROR(VLOOKUP(A1949,[3]DOORSCRIEFT!$A$2:$G$8551,6,FALSE),"")</f>
        <v>822000</v>
      </c>
      <c r="G1949" s="315"/>
    </row>
    <row r="1950" spans="1:7" x14ac:dyDescent="0.25">
      <c r="A1950" s="339" t="str">
        <f t="shared" si="58"/>
        <v>I.2.2.02.03010</v>
      </c>
      <c r="B1950" s="319">
        <v>10</v>
      </c>
      <c r="C1950" s="394">
        <f>IFERROR(VLOOKUP(A1950,[3]DOORSCRIEFT!$A$2:$G$8551,2,FALSE),"")</f>
        <v>343</v>
      </c>
      <c r="D1950" s="393">
        <f>IFERROR(VLOOKUP(A1950,[3]DOORSCRIEFT!$A$2:$G$8551,3,FALSE),"")</f>
        <v>46094</v>
      </c>
      <c r="E1950" s="392" t="str">
        <f>IFERROR(VLOOKUP(A1950,[3]DOORSCRIEFT!$A$2:$G$8551,4,FALSE),"")</f>
        <v>Kolekta Kebaktian Pelayanan Laki-Laki</v>
      </c>
      <c r="F1950" s="405">
        <f>IFERROR(VLOOKUP(A1950,[3]DOORSCRIEFT!$A$2:$G$8551,6,FALSE),"")</f>
        <v>1925000</v>
      </c>
      <c r="G1950" s="315"/>
    </row>
    <row r="1951" spans="1:7" x14ac:dyDescent="0.25">
      <c r="A1951" s="339" t="str">
        <f t="shared" si="58"/>
        <v>I.2.2.02.03011</v>
      </c>
      <c r="B1951" s="339">
        <v>11</v>
      </c>
      <c r="C1951" s="394">
        <f>IFERROR(VLOOKUP(A1951,[3]DOORSCRIEFT!$A$2:$G$8551,2,FALSE),"")</f>
        <v>439</v>
      </c>
      <c r="D1951" s="393">
        <f>IFERROR(VLOOKUP(A1951,[3]DOORSCRIEFT!$A$2:$G$8551,3,FALSE),"")</f>
        <v>46108</v>
      </c>
      <c r="E1951" s="392" t="str">
        <f>IFERROR(VLOOKUP(A1951,[3]DOORSCRIEFT!$A$2:$G$8551,4,FALSE),"")</f>
        <v>Kolekta Kebaktian Pelayanan Laki-Laki</v>
      </c>
      <c r="F1951" s="405">
        <f>IFERROR(VLOOKUP(A1951,[3]DOORSCRIEFT!$A$2:$G$8551,6,FALSE),"")</f>
        <v>919000</v>
      </c>
      <c r="G1951" s="315"/>
    </row>
    <row r="1952" spans="1:7" x14ac:dyDescent="0.25">
      <c r="A1952" s="339" t="str">
        <f t="shared" si="58"/>
        <v>I.2.2.02.03012</v>
      </c>
      <c r="B1952" s="319">
        <v>12</v>
      </c>
      <c r="C1952" s="394" t="str">
        <f>IFERROR(VLOOKUP(A1952,[3]DOORSCRIEFT!$A$2:$G$8551,2,FALSE),"")</f>
        <v/>
      </c>
      <c r="D1952" s="393" t="str">
        <f>IFERROR(VLOOKUP(A1952,[3]DOORSCRIEFT!$A$2:$G$8551,3,FALSE),"")</f>
        <v/>
      </c>
      <c r="E1952" s="392" t="str">
        <f>IFERROR(VLOOKUP(A1952,[3]DOORSCRIEFT!$A$2:$G$8551,4,FALSE),"")</f>
        <v/>
      </c>
      <c r="F1952" s="405" t="str">
        <f>IFERROR(VLOOKUP(A1952,[3]DOORSCRIEFT!$A$2:$G$8551,6,FALSE),"")</f>
        <v/>
      </c>
      <c r="G1952" s="315"/>
    </row>
    <row r="1953" spans="1:7" x14ac:dyDescent="0.25">
      <c r="A1953" s="339" t="str">
        <f t="shared" si="58"/>
        <v>I.2.2.02.03013</v>
      </c>
      <c r="B1953" s="339">
        <v>13</v>
      </c>
      <c r="C1953" s="394" t="str">
        <f>IFERROR(VLOOKUP(A1953,[3]DOORSCRIEFT!$A$2:$G$8551,2,FALSE),"")</f>
        <v/>
      </c>
      <c r="D1953" s="393" t="str">
        <f>IFERROR(VLOOKUP(A1953,[3]DOORSCRIEFT!$A$2:$G$8551,3,FALSE),"")</f>
        <v/>
      </c>
      <c r="E1953" s="392" t="str">
        <f>IFERROR(VLOOKUP(A1953,[3]DOORSCRIEFT!$A$2:$G$8551,4,FALSE),"")</f>
        <v/>
      </c>
      <c r="F1953" s="405" t="str">
        <f>IFERROR(VLOOKUP(A1953,[3]DOORSCRIEFT!$A$2:$G$8551,6,FALSE),"")</f>
        <v/>
      </c>
      <c r="G1953" s="315"/>
    </row>
    <row r="1954" spans="1:7" x14ac:dyDescent="0.25">
      <c r="A1954" s="339" t="str">
        <f t="shared" si="58"/>
        <v>I.2.2.02.03014</v>
      </c>
      <c r="B1954" s="319">
        <v>14</v>
      </c>
      <c r="C1954" s="394" t="str">
        <f>IFERROR(VLOOKUP(A1954,[3]DOORSCRIEFT!$A$2:$G$8551,2,FALSE),"")</f>
        <v/>
      </c>
      <c r="D1954" s="393" t="str">
        <f>IFERROR(VLOOKUP(A1954,[3]DOORSCRIEFT!$A$2:$G$8551,3,FALSE),"")</f>
        <v/>
      </c>
      <c r="E1954" s="392" t="str">
        <f>IFERROR(VLOOKUP(A1954,[3]DOORSCRIEFT!$A$2:$G$8551,4,FALSE),"")</f>
        <v/>
      </c>
      <c r="F1954" s="405" t="str">
        <f>IFERROR(VLOOKUP(A1954,[3]DOORSCRIEFT!$A$2:$G$8551,6,FALSE),"")</f>
        <v/>
      </c>
      <c r="G1954" s="315"/>
    </row>
    <row r="1955" spans="1:7" x14ac:dyDescent="0.25">
      <c r="A1955" s="339" t="str">
        <f t="shared" si="58"/>
        <v>I.2.2.02.03015</v>
      </c>
      <c r="B1955" s="339">
        <v>15</v>
      </c>
      <c r="C1955" s="394" t="str">
        <f>IFERROR(VLOOKUP(A1955,[3]DOORSCRIEFT!$A$2:$G$8551,2,FALSE),"")</f>
        <v/>
      </c>
      <c r="D1955" s="393" t="str">
        <f>IFERROR(VLOOKUP(A1955,[3]DOORSCRIEFT!$A$2:$G$8551,3,FALSE),"")</f>
        <v/>
      </c>
      <c r="E1955" s="392" t="str">
        <f>IFERROR(VLOOKUP(A1955,[3]DOORSCRIEFT!$A$2:$G$8551,4,FALSE),"")</f>
        <v/>
      </c>
      <c r="F1955" s="405" t="str">
        <f>IFERROR(VLOOKUP(A1955,[3]DOORSCRIEFT!$A$2:$G$8551,6,FALSE),"")</f>
        <v/>
      </c>
      <c r="G1955" s="315"/>
    </row>
    <row r="1956" spans="1:7" x14ac:dyDescent="0.25">
      <c r="A1956" s="339" t="str">
        <f t="shared" si="58"/>
        <v>I.2.2.02.03016</v>
      </c>
      <c r="B1956" s="319">
        <v>16</v>
      </c>
      <c r="C1956" s="394" t="str">
        <f>IFERROR(VLOOKUP(A1956,[3]DOORSCRIEFT!$A$2:$G$8551,2,FALSE),"")</f>
        <v/>
      </c>
      <c r="D1956" s="393" t="str">
        <f>IFERROR(VLOOKUP(A1956,[3]DOORSCRIEFT!$A$2:$G$8551,3,FALSE),"")</f>
        <v/>
      </c>
      <c r="E1956" s="392" t="str">
        <f>IFERROR(VLOOKUP(A1956,[3]DOORSCRIEFT!$A$2:$G$8551,4,FALSE),"")</f>
        <v/>
      </c>
      <c r="F1956" s="405" t="str">
        <f>IFERROR(VLOOKUP(A1956,[3]DOORSCRIEFT!$A$2:$G$8551,6,FALSE),"")</f>
        <v/>
      </c>
      <c r="G1956" s="315"/>
    </row>
    <row r="1957" spans="1:7" x14ac:dyDescent="0.25">
      <c r="A1957" s="339" t="str">
        <f t="shared" si="58"/>
        <v>I.2.2.02.03017</v>
      </c>
      <c r="B1957" s="339">
        <v>17</v>
      </c>
      <c r="C1957" s="394" t="str">
        <f>IFERROR(VLOOKUP(A1957,[3]DOORSCRIEFT!$A$2:$G$8551,2,FALSE),"")</f>
        <v/>
      </c>
      <c r="D1957" s="393" t="str">
        <f>IFERROR(VLOOKUP(A1957,[3]DOORSCRIEFT!$A$2:$G$8551,3,FALSE),"")</f>
        <v/>
      </c>
      <c r="E1957" s="392" t="str">
        <f>IFERROR(VLOOKUP(A1957,[3]DOORSCRIEFT!$A$2:$G$8551,4,FALSE),"")</f>
        <v/>
      </c>
      <c r="F1957" s="405" t="str">
        <f>IFERROR(VLOOKUP(A1957,[3]DOORSCRIEFT!$A$2:$G$8551,6,FALSE),"")</f>
        <v/>
      </c>
      <c r="G1957" s="315"/>
    </row>
    <row r="1958" spans="1:7" x14ac:dyDescent="0.25">
      <c r="A1958" s="339" t="str">
        <f t="shared" si="58"/>
        <v>I.2.2.02.03018</v>
      </c>
      <c r="B1958" s="319">
        <v>18</v>
      </c>
      <c r="C1958" s="394" t="str">
        <f>IFERROR(VLOOKUP(A1958,[3]DOORSCRIEFT!$A$2:$G$8551,2,FALSE),"")</f>
        <v/>
      </c>
      <c r="D1958" s="393" t="str">
        <f>IFERROR(VLOOKUP(A1958,[3]DOORSCRIEFT!$A$2:$G$8551,3,FALSE),"")</f>
        <v/>
      </c>
      <c r="E1958" s="392" t="str">
        <f>IFERROR(VLOOKUP(A1958,[3]DOORSCRIEFT!$A$2:$G$8551,4,FALSE),"")</f>
        <v/>
      </c>
      <c r="F1958" s="405" t="str">
        <f>IFERROR(VLOOKUP(A1958,[3]DOORSCRIEFT!$A$2:$G$8551,6,FALSE),"")</f>
        <v/>
      </c>
      <c r="G1958" s="315"/>
    </row>
    <row r="1959" spans="1:7" x14ac:dyDescent="0.25">
      <c r="A1959" s="339" t="str">
        <f t="shared" si="58"/>
        <v>I.2.2.02.03019</v>
      </c>
      <c r="B1959" s="339">
        <v>19</v>
      </c>
      <c r="C1959" s="394" t="str">
        <f>IFERROR(VLOOKUP(A1959,[3]DOORSCRIEFT!$A$2:$G$8551,2,FALSE),"")</f>
        <v/>
      </c>
      <c r="D1959" s="393" t="str">
        <f>IFERROR(VLOOKUP(A1959,[3]DOORSCRIEFT!$A$2:$G$8551,3,FALSE),"")</f>
        <v/>
      </c>
      <c r="E1959" s="392" t="str">
        <f>IFERROR(VLOOKUP(A1959,[3]DOORSCRIEFT!$A$2:$G$8551,4,FALSE),"")</f>
        <v/>
      </c>
      <c r="F1959" s="405" t="str">
        <f>IFERROR(VLOOKUP(A1959,[3]DOORSCRIEFT!$A$2:$G$8551,6,FALSE),"")</f>
        <v/>
      </c>
      <c r="G1959" s="315"/>
    </row>
    <row r="1960" spans="1:7" x14ac:dyDescent="0.25">
      <c r="A1960" s="339" t="str">
        <f t="shared" si="58"/>
        <v>I.2.2.02.03020</v>
      </c>
      <c r="B1960" s="319">
        <v>20</v>
      </c>
      <c r="C1960" s="394" t="str">
        <f>IFERROR(VLOOKUP(A1960,[3]DOORSCRIEFT!$A$2:$G$8551,2,FALSE),"")</f>
        <v/>
      </c>
      <c r="D1960" s="393" t="str">
        <f>IFERROR(VLOOKUP(A1960,[3]DOORSCRIEFT!$A$2:$G$8551,3,FALSE),"")</f>
        <v/>
      </c>
      <c r="E1960" s="392" t="str">
        <f>IFERROR(VLOOKUP(A1960,[3]DOORSCRIEFT!$A$2:$G$8551,4,FALSE),"")</f>
        <v/>
      </c>
      <c r="F1960" s="405" t="str">
        <f>IFERROR(VLOOKUP(A1960,[3]DOORSCRIEFT!$A$2:$G$8551,6,FALSE),"")</f>
        <v/>
      </c>
      <c r="G1960" s="315"/>
    </row>
    <row r="1961" spans="1:7" x14ac:dyDescent="0.25">
      <c r="A1961" s="339" t="str">
        <f t="shared" si="58"/>
        <v>I.2.2.02.03021</v>
      </c>
      <c r="B1961" s="339">
        <v>21</v>
      </c>
      <c r="C1961" s="394" t="str">
        <f>IFERROR(VLOOKUP(A1961,[3]DOORSCRIEFT!$A$2:$G$8551,2,FALSE),"")</f>
        <v/>
      </c>
      <c r="D1961" s="393" t="str">
        <f>IFERROR(VLOOKUP(A1961,[3]DOORSCRIEFT!$A$2:$G$8551,3,FALSE),"")</f>
        <v/>
      </c>
      <c r="E1961" s="392" t="str">
        <f>IFERROR(VLOOKUP(A1961,[3]DOORSCRIEFT!$A$2:$G$8551,4,FALSE),"")</f>
        <v/>
      </c>
      <c r="F1961" s="405" t="str">
        <f>IFERROR(VLOOKUP(A1961,[3]DOORSCRIEFT!$A$2:$G$8551,6,FALSE),"")</f>
        <v/>
      </c>
      <c r="G1961" s="315"/>
    </row>
    <row r="1962" spans="1:7" x14ac:dyDescent="0.25">
      <c r="A1962" s="339" t="str">
        <f t="shared" si="58"/>
        <v>I.2.2.02.03022</v>
      </c>
      <c r="B1962" s="319">
        <v>22</v>
      </c>
      <c r="C1962" s="394" t="str">
        <f>IFERROR(VLOOKUP(A1962,[3]DOORSCRIEFT!$A$2:$G$8551,2,FALSE),"")</f>
        <v/>
      </c>
      <c r="D1962" s="393" t="str">
        <f>IFERROR(VLOOKUP(A1962,[3]DOORSCRIEFT!$A$2:$G$8551,3,FALSE),"")</f>
        <v/>
      </c>
      <c r="E1962" s="392" t="str">
        <f>IFERROR(VLOOKUP(A1962,[3]DOORSCRIEFT!$A$2:$G$8551,4,FALSE),"")</f>
        <v/>
      </c>
      <c r="F1962" s="405" t="str">
        <f>IFERROR(VLOOKUP(A1962,[3]DOORSCRIEFT!$A$2:$G$8551,6,FALSE),"")</f>
        <v/>
      </c>
      <c r="G1962" s="315"/>
    </row>
    <row r="1963" spans="1:7" x14ac:dyDescent="0.25">
      <c r="A1963" s="339" t="str">
        <f t="shared" si="58"/>
        <v>I.2.2.02.03023</v>
      </c>
      <c r="B1963" s="339">
        <v>23</v>
      </c>
      <c r="C1963" s="394" t="str">
        <f>IFERROR(VLOOKUP(A1963,[3]DOORSCRIEFT!$A$2:$G$8551,2,FALSE),"")</f>
        <v/>
      </c>
      <c r="D1963" s="393" t="str">
        <f>IFERROR(VLOOKUP(A1963,[3]DOORSCRIEFT!$A$2:$G$8551,3,FALSE),"")</f>
        <v/>
      </c>
      <c r="E1963" s="392" t="str">
        <f>IFERROR(VLOOKUP(A1963,[3]DOORSCRIEFT!$A$2:$G$8551,4,FALSE),"")</f>
        <v/>
      </c>
      <c r="F1963" s="405" t="str">
        <f>IFERROR(VLOOKUP(A1963,[3]DOORSCRIEFT!$A$2:$G$8551,6,FALSE),"")</f>
        <v/>
      </c>
      <c r="G1963" s="315"/>
    </row>
    <row r="1964" spans="1:7" x14ac:dyDescent="0.25">
      <c r="A1964" s="339" t="str">
        <f t="shared" si="58"/>
        <v>I.2.2.02.03024</v>
      </c>
      <c r="B1964" s="319">
        <v>24</v>
      </c>
      <c r="C1964" s="394" t="str">
        <f>IFERROR(VLOOKUP(A1964,[3]DOORSCRIEFT!$A$2:$G$8551,2,FALSE),"")</f>
        <v/>
      </c>
      <c r="D1964" s="393" t="str">
        <f>IFERROR(VLOOKUP(A1964,[3]DOORSCRIEFT!$A$2:$G$8551,3,FALSE),"")</f>
        <v/>
      </c>
      <c r="E1964" s="392" t="str">
        <f>IFERROR(VLOOKUP(A1964,[3]DOORSCRIEFT!$A$2:$G$8551,4,FALSE),"")</f>
        <v/>
      </c>
      <c r="F1964" s="405" t="str">
        <f>IFERROR(VLOOKUP(A1964,[3]DOORSCRIEFT!$A$2:$G$8551,6,FALSE),"")</f>
        <v/>
      </c>
      <c r="G1964" s="315"/>
    </row>
    <row r="1965" spans="1:7" x14ac:dyDescent="0.25">
      <c r="A1965" s="339" t="str">
        <f t="shared" si="58"/>
        <v>I.2.2.02.03025</v>
      </c>
      <c r="B1965" s="339">
        <v>25</v>
      </c>
      <c r="C1965" s="394" t="str">
        <f>IFERROR(VLOOKUP(A1965,[3]DOORSCRIEFT!$A$2:$G$8551,2,FALSE),"")</f>
        <v/>
      </c>
      <c r="D1965" s="393" t="str">
        <f>IFERROR(VLOOKUP(A1965,[3]DOORSCRIEFT!$A$2:$G$8551,3,FALSE),"")</f>
        <v/>
      </c>
      <c r="E1965" s="392" t="str">
        <f>IFERROR(VLOOKUP(A1965,[3]DOORSCRIEFT!$A$2:$G$8551,4,FALSE),"")</f>
        <v/>
      </c>
      <c r="F1965" s="405" t="str">
        <f>IFERROR(VLOOKUP(A1965,[3]DOORSCRIEFT!$A$2:$G$8551,6,FALSE),"")</f>
        <v/>
      </c>
      <c r="G1965" s="315"/>
    </row>
    <row r="1966" spans="1:7" x14ac:dyDescent="0.25">
      <c r="A1966" s="339" t="str">
        <f t="shared" si="58"/>
        <v>I.2.2.02.03026</v>
      </c>
      <c r="B1966" s="319">
        <v>26</v>
      </c>
      <c r="C1966" s="394" t="str">
        <f>IFERROR(VLOOKUP(A1966,[3]DOORSCRIEFT!$A$2:$G$8551,2,FALSE),"")</f>
        <v/>
      </c>
      <c r="D1966" s="393" t="str">
        <f>IFERROR(VLOOKUP(A1966,[3]DOORSCRIEFT!$A$2:$G$8551,3,FALSE),"")</f>
        <v/>
      </c>
      <c r="E1966" s="392" t="str">
        <f>IFERROR(VLOOKUP(A1966,[3]DOORSCRIEFT!$A$2:$G$8551,4,FALSE),"")</f>
        <v/>
      </c>
      <c r="F1966" s="405" t="str">
        <f>IFERROR(VLOOKUP(A1966,[3]DOORSCRIEFT!$A$2:$G$8551,6,FALSE),"")</f>
        <v/>
      </c>
      <c r="G1966" s="315"/>
    </row>
    <row r="1967" spans="1:7" x14ac:dyDescent="0.25">
      <c r="A1967" s="339" t="str">
        <f t="shared" si="58"/>
        <v>I.2.2.02.03027</v>
      </c>
      <c r="B1967" s="339">
        <v>27</v>
      </c>
      <c r="C1967" s="394" t="str">
        <f>IFERROR(VLOOKUP(A1967,[3]DOORSCRIEFT!$A$2:$G$8551,2,FALSE),"")</f>
        <v/>
      </c>
      <c r="D1967" s="393" t="str">
        <f>IFERROR(VLOOKUP(A1967,[3]DOORSCRIEFT!$A$2:$G$8551,3,FALSE),"")</f>
        <v/>
      </c>
      <c r="E1967" s="392" t="str">
        <f>IFERROR(VLOOKUP(A1967,[3]DOORSCRIEFT!$A$2:$G$8551,4,FALSE),"")</f>
        <v/>
      </c>
      <c r="F1967" s="405" t="str">
        <f>IFERROR(VLOOKUP(A1967,[3]DOORSCRIEFT!$A$2:$G$8551,6,FALSE),"")</f>
        <v/>
      </c>
      <c r="G1967" s="315"/>
    </row>
    <row r="1968" spans="1:7" x14ac:dyDescent="0.25">
      <c r="A1968" s="339" t="str">
        <f t="shared" si="58"/>
        <v>I.2.2.02.03028</v>
      </c>
      <c r="B1968" s="319">
        <v>28</v>
      </c>
      <c r="C1968" s="394" t="str">
        <f>IFERROR(VLOOKUP(A1968,[3]DOORSCRIEFT!$A$2:$G$8551,2,FALSE),"")</f>
        <v/>
      </c>
      <c r="D1968" s="393" t="str">
        <f>IFERROR(VLOOKUP(A1968,[3]DOORSCRIEFT!$A$2:$G$8551,3,FALSE),"")</f>
        <v/>
      </c>
      <c r="E1968" s="392" t="str">
        <f>IFERROR(VLOOKUP(A1968,[3]DOORSCRIEFT!$A$2:$G$8551,4,FALSE),"")</f>
        <v/>
      </c>
      <c r="F1968" s="405" t="str">
        <f>IFERROR(VLOOKUP(A1968,[3]DOORSCRIEFT!$A$2:$G$8551,6,FALSE),"")</f>
        <v/>
      </c>
      <c r="G1968" s="315"/>
    </row>
    <row r="1969" spans="1:7" x14ac:dyDescent="0.25">
      <c r="A1969" s="339" t="str">
        <f t="shared" si="58"/>
        <v>I.2.2.02.03029</v>
      </c>
      <c r="B1969" s="339">
        <v>29</v>
      </c>
      <c r="C1969" s="394" t="str">
        <f>IFERROR(VLOOKUP(A1969,[3]DOORSCRIEFT!$A$2:$G$8551,2,FALSE),"")</f>
        <v/>
      </c>
      <c r="D1969" s="393" t="str">
        <f>IFERROR(VLOOKUP(A1969,[3]DOORSCRIEFT!$A$2:$G$8551,3,FALSE),"")</f>
        <v/>
      </c>
      <c r="E1969" s="392" t="str">
        <f>IFERROR(VLOOKUP(A1969,[3]DOORSCRIEFT!$A$2:$G$8551,4,FALSE),"")</f>
        <v/>
      </c>
      <c r="F1969" s="405" t="str">
        <f>IFERROR(VLOOKUP(A1969,[3]DOORSCRIEFT!$A$2:$G$8551,6,FALSE),"")</f>
        <v/>
      </c>
      <c r="G1969" s="315"/>
    </row>
    <row r="1970" spans="1:7" x14ac:dyDescent="0.25">
      <c r="A1970" s="339" t="str">
        <f t="shared" si="58"/>
        <v>I.2.2.02.03030</v>
      </c>
      <c r="B1970" s="319">
        <v>30</v>
      </c>
      <c r="C1970" s="394" t="str">
        <f>IFERROR(VLOOKUP(A1970,[3]DOORSCRIEFT!$A$2:$G$8551,2,FALSE),"")</f>
        <v/>
      </c>
      <c r="D1970" s="393" t="str">
        <f>IFERROR(VLOOKUP(A1970,[3]DOORSCRIEFT!$A$2:$G$8551,3,FALSE),"")</f>
        <v/>
      </c>
      <c r="E1970" s="392" t="str">
        <f>IFERROR(VLOOKUP(A1970,[3]DOORSCRIEFT!$A$2:$G$8551,4,FALSE),"")</f>
        <v/>
      </c>
      <c r="F1970" s="405" t="str">
        <f>IFERROR(VLOOKUP(A1970,[3]DOORSCRIEFT!$A$2:$G$8551,6,FALSE),"")</f>
        <v/>
      </c>
      <c r="G1970" s="315"/>
    </row>
    <row r="1971" spans="1:7" x14ac:dyDescent="0.25">
      <c r="A1971" s="339" t="str">
        <f t="shared" si="58"/>
        <v>I.2.2.02.03031</v>
      </c>
      <c r="B1971" s="339">
        <v>31</v>
      </c>
      <c r="C1971" s="394" t="str">
        <f>IFERROR(VLOOKUP(A1971,[3]DOORSCRIEFT!$A$2:$G$8551,2,FALSE),"")</f>
        <v/>
      </c>
      <c r="D1971" s="393" t="str">
        <f>IFERROR(VLOOKUP(A1971,[3]DOORSCRIEFT!$A$2:$G$8551,3,FALSE),"")</f>
        <v/>
      </c>
      <c r="E1971" s="392" t="str">
        <f>IFERROR(VLOOKUP(A1971,[3]DOORSCRIEFT!$A$2:$G$8551,4,FALSE),"")</f>
        <v/>
      </c>
      <c r="F1971" s="405" t="str">
        <f>IFERROR(VLOOKUP(A1971,[3]DOORSCRIEFT!$A$2:$G$8551,6,FALSE),"")</f>
        <v/>
      </c>
      <c r="G1971" s="315"/>
    </row>
    <row r="1972" spans="1:7" x14ac:dyDescent="0.25">
      <c r="A1972" s="339" t="str">
        <f t="shared" si="58"/>
        <v>I.2.2.02.03032</v>
      </c>
      <c r="B1972" s="319">
        <v>32</v>
      </c>
      <c r="C1972" s="394" t="str">
        <f>IFERROR(VLOOKUP(A1972,[3]DOORSCRIEFT!$A$2:$G$8551,2,FALSE),"")</f>
        <v/>
      </c>
      <c r="D1972" s="393" t="str">
        <f>IFERROR(VLOOKUP(A1972,[3]DOORSCRIEFT!$A$2:$G$8551,3,FALSE),"")</f>
        <v/>
      </c>
      <c r="E1972" s="392" t="str">
        <f>IFERROR(VLOOKUP(A1972,[3]DOORSCRIEFT!$A$2:$G$8551,4,FALSE),"")</f>
        <v/>
      </c>
      <c r="F1972" s="405" t="str">
        <f>IFERROR(VLOOKUP(A1972,[3]DOORSCRIEFT!$A$2:$G$8551,6,FALSE),"")</f>
        <v/>
      </c>
      <c r="G1972" s="315"/>
    </row>
    <row r="1973" spans="1:7" x14ac:dyDescent="0.25">
      <c r="A1973" s="339" t="str">
        <f t="shared" ref="A1973:A2004" si="59">$G$1934&amp;B1973</f>
        <v>I.2.2.02.03033</v>
      </c>
      <c r="B1973" s="339">
        <v>33</v>
      </c>
      <c r="C1973" s="394" t="str">
        <f>IFERROR(VLOOKUP(A1973,[3]DOORSCRIEFT!$A$2:$G$8551,2,FALSE),"")</f>
        <v/>
      </c>
      <c r="D1973" s="393" t="str">
        <f>IFERROR(VLOOKUP(A1973,[3]DOORSCRIEFT!$A$2:$G$8551,3,FALSE),"")</f>
        <v/>
      </c>
      <c r="E1973" s="392" t="str">
        <f>IFERROR(VLOOKUP(A1973,[3]DOORSCRIEFT!$A$2:$G$8551,4,FALSE),"")</f>
        <v/>
      </c>
      <c r="F1973" s="405" t="str">
        <f>IFERROR(VLOOKUP(A1973,[3]DOORSCRIEFT!$A$2:$G$8551,6,FALSE),"")</f>
        <v/>
      </c>
      <c r="G1973" s="315"/>
    </row>
    <row r="1974" spans="1:7" x14ac:dyDescent="0.25">
      <c r="A1974" s="339" t="str">
        <f t="shared" si="59"/>
        <v>I.2.2.02.03034</v>
      </c>
      <c r="B1974" s="319">
        <v>34</v>
      </c>
      <c r="C1974" s="394" t="str">
        <f>IFERROR(VLOOKUP(A1974,[3]DOORSCRIEFT!$A$2:$G$8551,2,FALSE),"")</f>
        <v/>
      </c>
      <c r="D1974" s="393" t="str">
        <f>IFERROR(VLOOKUP(A1974,[3]DOORSCRIEFT!$A$2:$G$8551,3,FALSE),"")</f>
        <v/>
      </c>
      <c r="E1974" s="392" t="str">
        <f>IFERROR(VLOOKUP(A1974,[3]DOORSCRIEFT!$A$2:$G$8551,4,FALSE),"")</f>
        <v/>
      </c>
      <c r="F1974" s="405" t="str">
        <f>IFERROR(VLOOKUP(A1974,[3]DOORSCRIEFT!$A$2:$G$8551,6,FALSE),"")</f>
        <v/>
      </c>
      <c r="G1974" s="315"/>
    </row>
    <row r="1975" spans="1:7" x14ac:dyDescent="0.25">
      <c r="A1975" s="339" t="str">
        <f t="shared" si="59"/>
        <v>I.2.2.02.03035</v>
      </c>
      <c r="B1975" s="339">
        <v>35</v>
      </c>
      <c r="C1975" s="394" t="str">
        <f>IFERROR(VLOOKUP(A1975,[3]DOORSCRIEFT!$A$2:$G$8551,2,FALSE),"")</f>
        <v/>
      </c>
      <c r="D1975" s="393" t="str">
        <f>IFERROR(VLOOKUP(A1975,[3]DOORSCRIEFT!$A$2:$G$8551,3,FALSE),"")</f>
        <v/>
      </c>
      <c r="E1975" s="392" t="str">
        <f>IFERROR(VLOOKUP(A1975,[3]DOORSCRIEFT!$A$2:$G$8551,4,FALSE),"")</f>
        <v/>
      </c>
      <c r="F1975" s="405" t="str">
        <f>IFERROR(VLOOKUP(A1975,[3]DOORSCRIEFT!$A$2:$G$8551,6,FALSE),"")</f>
        <v/>
      </c>
      <c r="G1975" s="315"/>
    </row>
    <row r="1976" spans="1:7" x14ac:dyDescent="0.25">
      <c r="A1976" s="339" t="str">
        <f t="shared" si="59"/>
        <v>I.2.2.02.03036</v>
      </c>
      <c r="B1976" s="319">
        <v>36</v>
      </c>
      <c r="C1976" s="394" t="str">
        <f>IFERROR(VLOOKUP(A1976,[3]DOORSCRIEFT!$A$2:$G$8551,2,FALSE),"")</f>
        <v/>
      </c>
      <c r="D1976" s="393" t="str">
        <f>IFERROR(VLOOKUP(A1976,[3]DOORSCRIEFT!$A$2:$G$8551,3,FALSE),"")</f>
        <v/>
      </c>
      <c r="E1976" s="392" t="str">
        <f>IFERROR(VLOOKUP(A1976,[3]DOORSCRIEFT!$A$2:$G$8551,4,FALSE),"")</f>
        <v/>
      </c>
      <c r="F1976" s="405" t="str">
        <f>IFERROR(VLOOKUP(A1976,[3]DOORSCRIEFT!$A$2:$G$8551,6,FALSE),"")</f>
        <v/>
      </c>
      <c r="G1976" s="315"/>
    </row>
    <row r="1977" spans="1:7" x14ac:dyDescent="0.25">
      <c r="A1977" s="339" t="str">
        <f t="shared" si="59"/>
        <v>I.2.2.02.03037</v>
      </c>
      <c r="B1977" s="339">
        <v>37</v>
      </c>
      <c r="C1977" s="394" t="str">
        <f>IFERROR(VLOOKUP(A1977,[3]DOORSCRIEFT!$A$2:$G$8551,2,FALSE),"")</f>
        <v/>
      </c>
      <c r="D1977" s="393" t="str">
        <f>IFERROR(VLOOKUP(A1977,[3]DOORSCRIEFT!$A$2:$G$8551,3,FALSE),"")</f>
        <v/>
      </c>
      <c r="E1977" s="392" t="str">
        <f>IFERROR(VLOOKUP(A1977,[3]DOORSCRIEFT!$A$2:$G$8551,4,FALSE),"")</f>
        <v/>
      </c>
      <c r="F1977" s="405" t="str">
        <f>IFERROR(VLOOKUP(A1977,[3]DOORSCRIEFT!$A$2:$G$8551,6,FALSE),"")</f>
        <v/>
      </c>
      <c r="G1977" s="315"/>
    </row>
    <row r="1978" spans="1:7" x14ac:dyDescent="0.25">
      <c r="A1978" s="339" t="str">
        <f t="shared" si="59"/>
        <v>I.2.2.02.03038</v>
      </c>
      <c r="B1978" s="319">
        <v>38</v>
      </c>
      <c r="C1978" s="394" t="str">
        <f>IFERROR(VLOOKUP(A1978,[3]DOORSCRIEFT!$A$2:$G$8551,2,FALSE),"")</f>
        <v/>
      </c>
      <c r="D1978" s="393" t="str">
        <f>IFERROR(VLOOKUP(A1978,[3]DOORSCRIEFT!$A$2:$G$8551,3,FALSE),"")</f>
        <v/>
      </c>
      <c r="E1978" s="392" t="str">
        <f>IFERROR(VLOOKUP(A1978,[3]DOORSCRIEFT!$A$2:$G$8551,4,FALSE),"")</f>
        <v/>
      </c>
      <c r="F1978" s="405" t="str">
        <f>IFERROR(VLOOKUP(A1978,[3]DOORSCRIEFT!$A$2:$G$8551,6,FALSE),"")</f>
        <v/>
      </c>
      <c r="G1978" s="315"/>
    </row>
    <row r="1979" spans="1:7" x14ac:dyDescent="0.25">
      <c r="A1979" s="339" t="str">
        <f t="shared" si="59"/>
        <v>I.2.2.02.03039</v>
      </c>
      <c r="B1979" s="339">
        <v>39</v>
      </c>
      <c r="C1979" s="394" t="str">
        <f>IFERROR(VLOOKUP(A1979,[3]DOORSCRIEFT!$A$2:$G$8551,2,FALSE),"")</f>
        <v/>
      </c>
      <c r="D1979" s="393" t="str">
        <f>IFERROR(VLOOKUP(A1979,[3]DOORSCRIEFT!$A$2:$G$8551,3,FALSE),"")</f>
        <v/>
      </c>
      <c r="E1979" s="392" t="str">
        <f>IFERROR(VLOOKUP(A1979,[3]DOORSCRIEFT!$A$2:$G$8551,4,FALSE),"")</f>
        <v/>
      </c>
      <c r="F1979" s="405" t="str">
        <f>IFERROR(VLOOKUP(A1979,[3]DOORSCRIEFT!$A$2:$G$8551,6,FALSE),"")</f>
        <v/>
      </c>
      <c r="G1979" s="315"/>
    </row>
    <row r="1980" spans="1:7" x14ac:dyDescent="0.25">
      <c r="A1980" s="339" t="str">
        <f t="shared" si="59"/>
        <v>I.2.2.02.03040</v>
      </c>
      <c r="B1980" s="319">
        <v>40</v>
      </c>
      <c r="C1980" s="394" t="str">
        <f>IFERROR(VLOOKUP(A1980,[3]DOORSCRIEFT!$A$2:$G$8551,2,FALSE),"")</f>
        <v/>
      </c>
      <c r="D1980" s="393" t="str">
        <f>IFERROR(VLOOKUP(A1980,[3]DOORSCRIEFT!$A$2:$G$8551,3,FALSE),"")</f>
        <v/>
      </c>
      <c r="E1980" s="392" t="str">
        <f>IFERROR(VLOOKUP(A1980,[3]DOORSCRIEFT!$A$2:$G$8551,4,FALSE),"")</f>
        <v/>
      </c>
      <c r="F1980" s="405" t="str">
        <f>IFERROR(VLOOKUP(A1980,[3]DOORSCRIEFT!$A$2:$G$8551,6,FALSE),"")</f>
        <v/>
      </c>
      <c r="G1980" s="315"/>
    </row>
    <row r="1981" spans="1:7" x14ac:dyDescent="0.25">
      <c r="A1981" s="339" t="str">
        <f t="shared" si="59"/>
        <v>I.2.2.02.03041</v>
      </c>
      <c r="B1981" s="339">
        <v>41</v>
      </c>
      <c r="C1981" s="394" t="str">
        <f>IFERROR(VLOOKUP(A1981,[3]DOORSCRIEFT!$A$2:$G$8551,2,FALSE),"")</f>
        <v/>
      </c>
      <c r="D1981" s="393" t="str">
        <f>IFERROR(VLOOKUP(A1981,[3]DOORSCRIEFT!$A$2:$G$8551,3,FALSE),"")</f>
        <v/>
      </c>
      <c r="E1981" s="392" t="str">
        <f>IFERROR(VLOOKUP(A1981,[3]DOORSCRIEFT!$A$2:$G$8551,4,FALSE),"")</f>
        <v/>
      </c>
      <c r="F1981" s="405" t="str">
        <f>IFERROR(VLOOKUP(A1981,[3]DOORSCRIEFT!$A$2:$G$8551,6,FALSE),"")</f>
        <v/>
      </c>
      <c r="G1981" s="315"/>
    </row>
    <row r="1982" spans="1:7" x14ac:dyDescent="0.25">
      <c r="A1982" s="339" t="str">
        <f t="shared" si="59"/>
        <v>I.2.2.02.03042</v>
      </c>
      <c r="B1982" s="319">
        <v>42</v>
      </c>
      <c r="C1982" s="394" t="str">
        <f>IFERROR(VLOOKUP(A1982,[3]DOORSCRIEFT!$A$2:$G$8551,2,FALSE),"")</f>
        <v/>
      </c>
      <c r="D1982" s="393" t="str">
        <f>IFERROR(VLOOKUP(A1982,[3]DOORSCRIEFT!$A$2:$G$8551,3,FALSE),"")</f>
        <v/>
      </c>
      <c r="E1982" s="392" t="str">
        <f>IFERROR(VLOOKUP(A1982,[3]DOORSCRIEFT!$A$2:$G$8551,4,FALSE),"")</f>
        <v/>
      </c>
      <c r="F1982" s="405" t="str">
        <f>IFERROR(VLOOKUP(A1982,[3]DOORSCRIEFT!$A$2:$G$8551,6,FALSE),"")</f>
        <v/>
      </c>
      <c r="G1982" s="315"/>
    </row>
    <row r="1983" spans="1:7" x14ac:dyDescent="0.25">
      <c r="A1983" s="339" t="str">
        <f t="shared" si="59"/>
        <v>I.2.2.02.03043</v>
      </c>
      <c r="B1983" s="339">
        <v>43</v>
      </c>
      <c r="C1983" s="394" t="str">
        <f>IFERROR(VLOOKUP(A1983,[3]DOORSCRIEFT!$A$2:$G$8551,2,FALSE),"")</f>
        <v/>
      </c>
      <c r="D1983" s="393" t="str">
        <f>IFERROR(VLOOKUP(A1983,[3]DOORSCRIEFT!$A$2:$G$8551,3,FALSE),"")</f>
        <v/>
      </c>
      <c r="E1983" s="392" t="str">
        <f>IFERROR(VLOOKUP(A1983,[3]DOORSCRIEFT!$A$2:$G$8551,4,FALSE),"")</f>
        <v/>
      </c>
      <c r="F1983" s="405" t="str">
        <f>IFERROR(VLOOKUP(A1983,[3]DOORSCRIEFT!$A$2:$G$8551,6,FALSE),"")</f>
        <v/>
      </c>
      <c r="G1983" s="315"/>
    </row>
    <row r="1984" spans="1:7" x14ac:dyDescent="0.25">
      <c r="A1984" s="339" t="str">
        <f t="shared" si="59"/>
        <v>I.2.2.02.03044</v>
      </c>
      <c r="B1984" s="319">
        <v>44</v>
      </c>
      <c r="C1984" s="394" t="str">
        <f>IFERROR(VLOOKUP(A1984,[3]DOORSCRIEFT!$A$2:$G$8551,2,FALSE),"")</f>
        <v/>
      </c>
      <c r="D1984" s="393" t="str">
        <f>IFERROR(VLOOKUP(A1984,[3]DOORSCRIEFT!$A$2:$G$8551,3,FALSE),"")</f>
        <v/>
      </c>
      <c r="E1984" s="392" t="str">
        <f>IFERROR(VLOOKUP(A1984,[3]DOORSCRIEFT!$A$2:$G$8551,4,FALSE),"")</f>
        <v/>
      </c>
      <c r="F1984" s="405" t="str">
        <f>IFERROR(VLOOKUP(A1984,[3]DOORSCRIEFT!$A$2:$G$8551,6,FALSE),"")</f>
        <v/>
      </c>
      <c r="G1984" s="315"/>
    </row>
    <row r="1985" spans="1:7" x14ac:dyDescent="0.25">
      <c r="A1985" s="339" t="str">
        <f t="shared" si="59"/>
        <v>I.2.2.02.03045</v>
      </c>
      <c r="B1985" s="339">
        <v>45</v>
      </c>
      <c r="C1985" s="394" t="str">
        <f>IFERROR(VLOOKUP(A1985,[3]DOORSCRIEFT!$A$2:$G$8551,2,FALSE),"")</f>
        <v/>
      </c>
      <c r="D1985" s="393" t="str">
        <f>IFERROR(VLOOKUP(A1985,[3]DOORSCRIEFT!$A$2:$G$8551,3,FALSE),"")</f>
        <v/>
      </c>
      <c r="E1985" s="392" t="str">
        <f>IFERROR(VLOOKUP(A1985,[3]DOORSCRIEFT!$A$2:$G$8551,4,FALSE),"")</f>
        <v/>
      </c>
      <c r="F1985" s="405" t="str">
        <f>IFERROR(VLOOKUP(A1985,[3]DOORSCRIEFT!$A$2:$G$8551,6,FALSE),"")</f>
        <v/>
      </c>
      <c r="G1985" s="315"/>
    </row>
    <row r="1986" spans="1:7" x14ac:dyDescent="0.25">
      <c r="A1986" s="339" t="str">
        <f t="shared" si="59"/>
        <v>I.2.2.02.03046</v>
      </c>
      <c r="B1986" s="319">
        <v>46</v>
      </c>
      <c r="C1986" s="394" t="str">
        <f>IFERROR(VLOOKUP(A1986,[3]DOORSCRIEFT!$A$2:$G$8551,2,FALSE),"")</f>
        <v/>
      </c>
      <c r="D1986" s="393" t="str">
        <f>IFERROR(VLOOKUP(A1986,[3]DOORSCRIEFT!$A$2:$G$8551,3,FALSE),"")</f>
        <v/>
      </c>
      <c r="E1986" s="392" t="str">
        <f>IFERROR(VLOOKUP(A1986,[3]DOORSCRIEFT!$A$2:$G$8551,4,FALSE),"")</f>
        <v/>
      </c>
      <c r="F1986" s="405" t="str">
        <f>IFERROR(VLOOKUP(A1986,[3]DOORSCRIEFT!$A$2:$G$8551,6,FALSE),"")</f>
        <v/>
      </c>
      <c r="G1986" s="315"/>
    </row>
    <row r="1987" spans="1:7" x14ac:dyDescent="0.25">
      <c r="A1987" s="339" t="str">
        <f t="shared" si="59"/>
        <v>I.2.2.02.03047</v>
      </c>
      <c r="B1987" s="339">
        <v>47</v>
      </c>
      <c r="C1987" s="394" t="str">
        <f>IFERROR(VLOOKUP(A1987,[3]DOORSCRIEFT!$A$2:$G$8551,2,FALSE),"")</f>
        <v/>
      </c>
      <c r="D1987" s="393" t="str">
        <f>IFERROR(VLOOKUP(A1987,[3]DOORSCRIEFT!$A$2:$G$8551,3,FALSE),"")</f>
        <v/>
      </c>
      <c r="E1987" s="392" t="str">
        <f>IFERROR(VLOOKUP(A1987,[3]DOORSCRIEFT!$A$2:$G$8551,4,FALSE),"")</f>
        <v/>
      </c>
      <c r="F1987" s="405" t="str">
        <f>IFERROR(VLOOKUP(A1987,[3]DOORSCRIEFT!$A$2:$G$8551,6,FALSE),"")</f>
        <v/>
      </c>
      <c r="G1987" s="315"/>
    </row>
    <row r="1988" spans="1:7" x14ac:dyDescent="0.25">
      <c r="A1988" s="339" t="str">
        <f t="shared" si="59"/>
        <v>I.2.2.02.03048</v>
      </c>
      <c r="B1988" s="319">
        <v>48</v>
      </c>
      <c r="C1988" s="394" t="str">
        <f>IFERROR(VLOOKUP(A1988,[3]DOORSCRIEFT!$A$2:$G$8551,2,FALSE),"")</f>
        <v/>
      </c>
      <c r="D1988" s="393" t="str">
        <f>IFERROR(VLOOKUP(A1988,[3]DOORSCRIEFT!$A$2:$G$8551,3,FALSE),"")</f>
        <v/>
      </c>
      <c r="E1988" s="392" t="str">
        <f>IFERROR(VLOOKUP(A1988,[3]DOORSCRIEFT!$A$2:$G$8551,4,FALSE),"")</f>
        <v/>
      </c>
      <c r="F1988" s="405" t="str">
        <f>IFERROR(VLOOKUP(A1988,[3]DOORSCRIEFT!$A$2:$G$8551,6,FALSE),"")</f>
        <v/>
      </c>
      <c r="G1988" s="315"/>
    </row>
    <row r="1989" spans="1:7" x14ac:dyDescent="0.25">
      <c r="A1989" s="339" t="str">
        <f t="shared" si="59"/>
        <v>I.2.2.02.03049</v>
      </c>
      <c r="B1989" s="339">
        <v>49</v>
      </c>
      <c r="C1989" s="394" t="str">
        <f>IFERROR(VLOOKUP(A1989,[3]DOORSCRIEFT!$A$2:$G$8551,2,FALSE),"")</f>
        <v/>
      </c>
      <c r="D1989" s="393" t="str">
        <f>IFERROR(VLOOKUP(A1989,[3]DOORSCRIEFT!$A$2:$G$8551,3,FALSE),"")</f>
        <v/>
      </c>
      <c r="E1989" s="392" t="str">
        <f>IFERROR(VLOOKUP(A1989,[3]DOORSCRIEFT!$A$2:$G$8551,4,FALSE),"")</f>
        <v/>
      </c>
      <c r="F1989" s="405" t="str">
        <f>IFERROR(VLOOKUP(A1989,[3]DOORSCRIEFT!$A$2:$G$8551,6,FALSE),"")</f>
        <v/>
      </c>
      <c r="G1989" s="315"/>
    </row>
    <row r="1990" spans="1:7" x14ac:dyDescent="0.25">
      <c r="A1990" s="339" t="str">
        <f t="shared" si="59"/>
        <v>I.2.2.02.03050</v>
      </c>
      <c r="B1990" s="319">
        <v>50</v>
      </c>
      <c r="C1990" s="394" t="str">
        <f>IFERROR(VLOOKUP(A1990,[3]DOORSCRIEFT!$A$2:$G$8551,2,FALSE),"")</f>
        <v/>
      </c>
      <c r="D1990" s="393" t="str">
        <f>IFERROR(VLOOKUP(A1990,[3]DOORSCRIEFT!$A$2:$G$8551,3,FALSE),"")</f>
        <v/>
      </c>
      <c r="E1990" s="392" t="str">
        <f>IFERROR(VLOOKUP(A1990,[3]DOORSCRIEFT!$A$2:$G$8551,4,FALSE),"")</f>
        <v/>
      </c>
      <c r="F1990" s="405" t="str">
        <f>IFERROR(VLOOKUP(A1990,[3]DOORSCRIEFT!$A$2:$G$8551,6,FALSE),"")</f>
        <v/>
      </c>
      <c r="G1990" s="315"/>
    </row>
    <row r="1991" spans="1:7" x14ac:dyDescent="0.25">
      <c r="A1991" s="339" t="str">
        <f t="shared" si="59"/>
        <v>I.2.2.02.03051</v>
      </c>
      <c r="B1991" s="339">
        <v>51</v>
      </c>
      <c r="C1991" s="394" t="str">
        <f>IFERROR(VLOOKUP(A1991,[3]DOORSCRIEFT!$A$2:$G$8551,2,FALSE),"")</f>
        <v/>
      </c>
      <c r="D1991" s="393" t="str">
        <f>IFERROR(VLOOKUP(A1991,[3]DOORSCRIEFT!$A$2:$G$8551,3,FALSE),"")</f>
        <v/>
      </c>
      <c r="E1991" s="392" t="str">
        <f>IFERROR(VLOOKUP(A1991,[3]DOORSCRIEFT!$A$2:$G$8551,4,FALSE),"")</f>
        <v/>
      </c>
      <c r="F1991" s="405" t="str">
        <f>IFERROR(VLOOKUP(A1991,[3]DOORSCRIEFT!$A$2:$G$8551,6,FALSE),"")</f>
        <v/>
      </c>
      <c r="G1991" s="315"/>
    </row>
    <row r="1992" spans="1:7" x14ac:dyDescent="0.25">
      <c r="A1992" s="339" t="str">
        <f t="shared" si="59"/>
        <v>I.2.2.02.03052</v>
      </c>
      <c r="B1992" s="319">
        <v>52</v>
      </c>
      <c r="C1992" s="394" t="str">
        <f>IFERROR(VLOOKUP(A1992,[3]DOORSCRIEFT!$A$2:$G$8551,2,FALSE),"")</f>
        <v/>
      </c>
      <c r="D1992" s="393" t="str">
        <f>IFERROR(VLOOKUP(A1992,[3]DOORSCRIEFT!$A$2:$G$8551,3,FALSE),"")</f>
        <v/>
      </c>
      <c r="E1992" s="392" t="str">
        <f>IFERROR(VLOOKUP(A1992,[3]DOORSCRIEFT!$A$2:$G$8551,4,FALSE),"")</f>
        <v/>
      </c>
      <c r="F1992" s="405" t="str">
        <f>IFERROR(VLOOKUP(A1992,[3]DOORSCRIEFT!$A$2:$G$8551,6,FALSE),"")</f>
        <v/>
      </c>
      <c r="G1992" s="315"/>
    </row>
    <row r="1993" spans="1:7" x14ac:dyDescent="0.25">
      <c r="A1993" s="339" t="str">
        <f t="shared" si="59"/>
        <v>I.2.2.02.03053</v>
      </c>
      <c r="B1993" s="339">
        <v>53</v>
      </c>
      <c r="C1993" s="394" t="str">
        <f>IFERROR(VLOOKUP(A1993,[3]DOORSCRIEFT!$A$2:$G$8551,2,FALSE),"")</f>
        <v/>
      </c>
      <c r="D1993" s="393" t="str">
        <f>IFERROR(VLOOKUP(A1993,[3]DOORSCRIEFT!$A$2:$G$8551,3,FALSE),"")</f>
        <v/>
      </c>
      <c r="E1993" s="392" t="str">
        <f>IFERROR(VLOOKUP(A1993,[3]DOORSCRIEFT!$A$2:$G$8551,4,FALSE),"")</f>
        <v/>
      </c>
      <c r="F1993" s="405" t="str">
        <f>IFERROR(VLOOKUP(A1993,[3]DOORSCRIEFT!$A$2:$G$8551,6,FALSE),"")</f>
        <v/>
      </c>
      <c r="G1993" s="315"/>
    </row>
    <row r="1994" spans="1:7" x14ac:dyDescent="0.25">
      <c r="A1994" s="339" t="str">
        <f t="shared" si="59"/>
        <v>I.2.2.02.03054</v>
      </c>
      <c r="B1994" s="319">
        <v>54</v>
      </c>
      <c r="C1994" s="394" t="str">
        <f>IFERROR(VLOOKUP(A1994,[3]DOORSCRIEFT!$A$2:$G$8551,2,FALSE),"")</f>
        <v/>
      </c>
      <c r="D1994" s="393" t="str">
        <f>IFERROR(VLOOKUP(A1994,[3]DOORSCRIEFT!$A$2:$G$8551,3,FALSE),"")</f>
        <v/>
      </c>
      <c r="E1994" s="392" t="str">
        <f>IFERROR(VLOOKUP(A1994,[3]DOORSCRIEFT!$A$2:$G$8551,4,FALSE),"")</f>
        <v/>
      </c>
      <c r="F1994" s="405" t="str">
        <f>IFERROR(VLOOKUP(A1994,[3]DOORSCRIEFT!$A$2:$G$8551,6,FALSE),"")</f>
        <v/>
      </c>
      <c r="G1994" s="315"/>
    </row>
    <row r="1995" spans="1:7" x14ac:dyDescent="0.25">
      <c r="A1995" s="339" t="str">
        <f t="shared" si="59"/>
        <v>I.2.2.02.03055</v>
      </c>
      <c r="B1995" s="339">
        <v>55</v>
      </c>
      <c r="C1995" s="394" t="str">
        <f>IFERROR(VLOOKUP(A1995,[3]DOORSCRIEFT!$A$2:$G$8551,2,FALSE),"")</f>
        <v/>
      </c>
      <c r="D1995" s="393" t="str">
        <f>IFERROR(VLOOKUP(A1995,[3]DOORSCRIEFT!$A$2:$G$8551,3,FALSE),"")</f>
        <v/>
      </c>
      <c r="E1995" s="392" t="str">
        <f>IFERROR(VLOOKUP(A1995,[3]DOORSCRIEFT!$A$2:$G$8551,4,FALSE),"")</f>
        <v/>
      </c>
      <c r="F1995" s="405" t="str">
        <f>IFERROR(VLOOKUP(A1995,[3]DOORSCRIEFT!$A$2:$G$8551,6,FALSE),"")</f>
        <v/>
      </c>
      <c r="G1995" s="315"/>
    </row>
    <row r="1996" spans="1:7" x14ac:dyDescent="0.25">
      <c r="A1996" s="339" t="str">
        <f t="shared" si="59"/>
        <v>I.2.2.02.03056</v>
      </c>
      <c r="B1996" s="319">
        <v>56</v>
      </c>
      <c r="C1996" s="394" t="str">
        <f>IFERROR(VLOOKUP(A1996,[3]DOORSCRIEFT!$A$2:$G$8551,2,FALSE),"")</f>
        <v/>
      </c>
      <c r="D1996" s="393" t="str">
        <f>IFERROR(VLOOKUP(A1996,[3]DOORSCRIEFT!$A$2:$G$8551,3,FALSE),"")</f>
        <v/>
      </c>
      <c r="E1996" s="392" t="str">
        <f>IFERROR(VLOOKUP(A1996,[3]DOORSCRIEFT!$A$2:$G$8551,4,FALSE),"")</f>
        <v/>
      </c>
      <c r="F1996" s="405" t="str">
        <f>IFERROR(VLOOKUP(A1996,[3]DOORSCRIEFT!$A$2:$G$8551,6,FALSE),"")</f>
        <v/>
      </c>
      <c r="G1996" s="315"/>
    </row>
    <row r="1997" spans="1:7" x14ac:dyDescent="0.25">
      <c r="A1997" s="339" t="str">
        <f t="shared" si="59"/>
        <v>I.2.2.02.03057</v>
      </c>
      <c r="B1997" s="339">
        <v>57</v>
      </c>
      <c r="C1997" s="394" t="str">
        <f>IFERROR(VLOOKUP(A1997,[3]DOORSCRIEFT!$A$2:$G$8551,2,FALSE),"")</f>
        <v/>
      </c>
      <c r="D1997" s="393" t="str">
        <f>IFERROR(VLOOKUP(A1997,[3]DOORSCRIEFT!$A$2:$G$8551,3,FALSE),"")</f>
        <v/>
      </c>
      <c r="E1997" s="392" t="str">
        <f>IFERROR(VLOOKUP(A1997,[3]DOORSCRIEFT!$A$2:$G$8551,4,FALSE),"")</f>
        <v/>
      </c>
      <c r="F1997" s="405" t="str">
        <f>IFERROR(VLOOKUP(A1997,[3]DOORSCRIEFT!$A$2:$G$8551,6,FALSE),"")</f>
        <v/>
      </c>
      <c r="G1997" s="315"/>
    </row>
    <row r="1998" spans="1:7" x14ac:dyDescent="0.25">
      <c r="A1998" s="339" t="str">
        <f t="shared" si="59"/>
        <v>I.2.2.02.03058</v>
      </c>
      <c r="B1998" s="319">
        <v>58</v>
      </c>
      <c r="C1998" s="394" t="str">
        <f>IFERROR(VLOOKUP(A1998,[3]DOORSCRIEFT!$A$2:$G$8551,2,FALSE),"")</f>
        <v/>
      </c>
      <c r="D1998" s="393" t="str">
        <f>IFERROR(VLOOKUP(A1998,[3]DOORSCRIEFT!$A$2:$G$8551,3,FALSE),"")</f>
        <v/>
      </c>
      <c r="E1998" s="392" t="str">
        <f>IFERROR(VLOOKUP(A1998,[3]DOORSCRIEFT!$A$2:$G$8551,4,FALSE),"")</f>
        <v/>
      </c>
      <c r="F1998" s="405" t="str">
        <f>IFERROR(VLOOKUP(A1998,[3]DOORSCRIEFT!$A$2:$G$8551,6,FALSE),"")</f>
        <v/>
      </c>
      <c r="G1998" s="315"/>
    </row>
    <row r="1999" spans="1:7" x14ac:dyDescent="0.25">
      <c r="A1999" s="339" t="str">
        <f t="shared" si="59"/>
        <v>I.2.2.02.03059</v>
      </c>
      <c r="B1999" s="339">
        <v>59</v>
      </c>
      <c r="C1999" s="394" t="str">
        <f>IFERROR(VLOOKUP(A1999,[3]DOORSCRIEFT!$A$2:$G$8551,2,FALSE),"")</f>
        <v/>
      </c>
      <c r="D1999" s="393" t="str">
        <f>IFERROR(VLOOKUP(A1999,[3]DOORSCRIEFT!$A$2:$G$8551,3,FALSE),"")</f>
        <v/>
      </c>
      <c r="E1999" s="392" t="str">
        <f>IFERROR(VLOOKUP(A1999,[3]DOORSCRIEFT!$A$2:$G$8551,4,FALSE),"")</f>
        <v/>
      </c>
      <c r="F1999" s="405" t="str">
        <f>IFERROR(VLOOKUP(A1999,[3]DOORSCRIEFT!$A$2:$G$8551,6,FALSE),"")</f>
        <v/>
      </c>
      <c r="G1999" s="315"/>
    </row>
    <row r="2000" spans="1:7" x14ac:dyDescent="0.25">
      <c r="A2000" s="339" t="str">
        <f t="shared" si="59"/>
        <v>I.2.2.02.03060</v>
      </c>
      <c r="B2000" s="319">
        <v>60</v>
      </c>
      <c r="C2000" s="394" t="str">
        <f>IFERROR(VLOOKUP(A2000,[3]DOORSCRIEFT!$A$2:$G$8551,2,FALSE),"")</f>
        <v/>
      </c>
      <c r="D2000" s="393" t="str">
        <f>IFERROR(VLOOKUP(A2000,[3]DOORSCRIEFT!$A$2:$G$8551,3,FALSE),"")</f>
        <v/>
      </c>
      <c r="E2000" s="392" t="str">
        <f>IFERROR(VLOOKUP(A2000,[3]DOORSCRIEFT!$A$2:$G$8551,4,FALSE),"")</f>
        <v/>
      </c>
      <c r="F2000" s="405" t="str">
        <f>IFERROR(VLOOKUP(A2000,[3]DOORSCRIEFT!$A$2:$G$8551,6,FALSE),"")</f>
        <v/>
      </c>
      <c r="G2000" s="315"/>
    </row>
    <row r="2001" spans="1:7" x14ac:dyDescent="0.25">
      <c r="A2001" s="339" t="str">
        <f t="shared" si="59"/>
        <v>I.2.2.02.03061</v>
      </c>
      <c r="B2001" s="339">
        <v>61</v>
      </c>
      <c r="C2001" s="394" t="str">
        <f>IFERROR(VLOOKUP(A2001,[3]DOORSCRIEFT!$A$2:$G$8551,2,FALSE),"")</f>
        <v/>
      </c>
      <c r="D2001" s="393" t="str">
        <f>IFERROR(VLOOKUP(A2001,[3]DOORSCRIEFT!$A$2:$G$8551,3,FALSE),"")</f>
        <v/>
      </c>
      <c r="E2001" s="392" t="str">
        <f>IFERROR(VLOOKUP(A2001,[3]DOORSCRIEFT!$A$2:$G$8551,4,FALSE),"")</f>
        <v/>
      </c>
      <c r="F2001" s="405" t="str">
        <f>IFERROR(VLOOKUP(A2001,[3]DOORSCRIEFT!$A$2:$G$8551,6,FALSE),"")</f>
        <v/>
      </c>
      <c r="G2001" s="315"/>
    </row>
    <row r="2002" spans="1:7" x14ac:dyDescent="0.25">
      <c r="A2002" s="339" t="str">
        <f t="shared" si="59"/>
        <v>I.2.2.02.03062</v>
      </c>
      <c r="B2002" s="319">
        <v>62</v>
      </c>
      <c r="C2002" s="394" t="str">
        <f>IFERROR(VLOOKUP(A2002,[3]DOORSCRIEFT!$A$2:$G$8551,2,FALSE),"")</f>
        <v/>
      </c>
      <c r="D2002" s="393" t="str">
        <f>IFERROR(VLOOKUP(A2002,[3]DOORSCRIEFT!$A$2:$G$8551,3,FALSE),"")</f>
        <v/>
      </c>
      <c r="E2002" s="392" t="str">
        <f>IFERROR(VLOOKUP(A2002,[3]DOORSCRIEFT!$A$2:$G$8551,4,FALSE),"")</f>
        <v/>
      </c>
      <c r="F2002" s="405" t="str">
        <f>IFERROR(VLOOKUP(A2002,[3]DOORSCRIEFT!$A$2:$G$8551,6,FALSE),"")</f>
        <v/>
      </c>
      <c r="G2002" s="315"/>
    </row>
    <row r="2003" spans="1:7" x14ac:dyDescent="0.25">
      <c r="A2003" s="339" t="str">
        <f t="shared" si="59"/>
        <v>I.2.2.02.03063</v>
      </c>
      <c r="B2003" s="339">
        <v>63</v>
      </c>
      <c r="C2003" s="394" t="str">
        <f>IFERROR(VLOOKUP(A2003,[3]DOORSCRIEFT!$A$2:$G$8551,2,FALSE),"")</f>
        <v/>
      </c>
      <c r="D2003" s="393" t="str">
        <f>IFERROR(VLOOKUP(A2003,[3]DOORSCRIEFT!$A$2:$G$8551,3,FALSE),"")</f>
        <v/>
      </c>
      <c r="E2003" s="392" t="str">
        <f>IFERROR(VLOOKUP(A2003,[3]DOORSCRIEFT!$A$2:$G$8551,4,FALSE),"")</f>
        <v/>
      </c>
      <c r="F2003" s="405" t="str">
        <f>IFERROR(VLOOKUP(A2003,[3]DOORSCRIEFT!$A$2:$G$8551,6,FALSE),"")</f>
        <v/>
      </c>
      <c r="G2003" s="315"/>
    </row>
    <row r="2004" spans="1:7" x14ac:dyDescent="0.25">
      <c r="A2004" s="339" t="str">
        <f t="shared" si="59"/>
        <v>I.2.2.02.03064</v>
      </c>
      <c r="B2004" s="319">
        <v>64</v>
      </c>
      <c r="C2004" s="394" t="str">
        <f>IFERROR(VLOOKUP(A2004,[3]DOORSCRIEFT!$A$2:$G$8551,2,FALSE),"")</f>
        <v/>
      </c>
      <c r="D2004" s="393" t="str">
        <f>IFERROR(VLOOKUP(A2004,[3]DOORSCRIEFT!$A$2:$G$8551,3,FALSE),"")</f>
        <v/>
      </c>
      <c r="E2004" s="392" t="str">
        <f>IFERROR(VLOOKUP(A2004,[3]DOORSCRIEFT!$A$2:$G$8551,4,FALSE),"")</f>
        <v/>
      </c>
      <c r="F2004" s="405" t="str">
        <f>IFERROR(VLOOKUP(A2004,[3]DOORSCRIEFT!$A$2:$G$8551,6,FALSE),"")</f>
        <v/>
      </c>
      <c r="G2004" s="315"/>
    </row>
    <row r="2005" spans="1:7" x14ac:dyDescent="0.25">
      <c r="A2005" s="339" t="str">
        <f t="shared" ref="A2005:A2036" si="60">$G$1934&amp;B2005</f>
        <v>I.2.2.02.03065</v>
      </c>
      <c r="B2005" s="339">
        <v>65</v>
      </c>
      <c r="C2005" s="394" t="str">
        <f>IFERROR(VLOOKUP(A2005,[3]DOORSCRIEFT!$A$2:$G$8551,2,FALSE),"")</f>
        <v/>
      </c>
      <c r="D2005" s="393" t="str">
        <f>IFERROR(VLOOKUP(A2005,[3]DOORSCRIEFT!$A$2:$G$8551,3,FALSE),"")</f>
        <v/>
      </c>
      <c r="E2005" s="392" t="str">
        <f>IFERROR(VLOOKUP(A2005,[3]DOORSCRIEFT!$A$2:$G$8551,4,FALSE),"")</f>
        <v/>
      </c>
      <c r="F2005" s="405" t="str">
        <f>IFERROR(VLOOKUP(A2005,[3]DOORSCRIEFT!$A$2:$G$8551,6,FALSE),"")</f>
        <v/>
      </c>
      <c r="G2005" s="315"/>
    </row>
    <row r="2006" spans="1:7" x14ac:dyDescent="0.25">
      <c r="A2006" s="339" t="str">
        <f t="shared" si="60"/>
        <v>I.2.2.02.03066</v>
      </c>
      <c r="B2006" s="319">
        <v>66</v>
      </c>
      <c r="C2006" s="394" t="str">
        <f>IFERROR(VLOOKUP(A2006,[3]DOORSCRIEFT!$A$2:$G$8551,2,FALSE),"")</f>
        <v/>
      </c>
      <c r="D2006" s="393" t="str">
        <f>IFERROR(VLOOKUP(A2006,[3]DOORSCRIEFT!$A$2:$G$8551,3,FALSE),"")</f>
        <v/>
      </c>
      <c r="E2006" s="392" t="str">
        <f>IFERROR(VLOOKUP(A2006,[3]DOORSCRIEFT!$A$2:$G$8551,4,FALSE),"")</f>
        <v/>
      </c>
      <c r="F2006" s="405" t="str">
        <f>IFERROR(VLOOKUP(A2006,[3]DOORSCRIEFT!$A$2:$G$8551,6,FALSE),"")</f>
        <v/>
      </c>
      <c r="G2006" s="315"/>
    </row>
    <row r="2007" spans="1:7" x14ac:dyDescent="0.25">
      <c r="A2007" s="339" t="str">
        <f t="shared" si="60"/>
        <v>I.2.2.02.03067</v>
      </c>
      <c r="B2007" s="339">
        <v>67</v>
      </c>
      <c r="C2007" s="394" t="str">
        <f>IFERROR(VLOOKUP(A2007,[3]DOORSCRIEFT!$A$2:$G$8551,2,FALSE),"")</f>
        <v/>
      </c>
      <c r="D2007" s="393" t="str">
        <f>IFERROR(VLOOKUP(A2007,[3]DOORSCRIEFT!$A$2:$G$8551,3,FALSE),"")</f>
        <v/>
      </c>
      <c r="E2007" s="392" t="str">
        <f>IFERROR(VLOOKUP(A2007,[3]DOORSCRIEFT!$A$2:$G$8551,4,FALSE),"")</f>
        <v/>
      </c>
      <c r="F2007" s="405" t="str">
        <f>IFERROR(VLOOKUP(A2007,[3]DOORSCRIEFT!$A$2:$G$8551,6,FALSE),"")</f>
        <v/>
      </c>
      <c r="G2007" s="315"/>
    </row>
    <row r="2008" spans="1:7" x14ac:dyDescent="0.25">
      <c r="A2008" s="339" t="str">
        <f t="shared" si="60"/>
        <v>I.2.2.02.03068</v>
      </c>
      <c r="B2008" s="319">
        <v>68</v>
      </c>
      <c r="C2008" s="394" t="str">
        <f>IFERROR(VLOOKUP(A2008,[3]DOORSCRIEFT!$A$2:$G$8551,2,FALSE),"")</f>
        <v/>
      </c>
      <c r="D2008" s="393" t="str">
        <f>IFERROR(VLOOKUP(A2008,[3]DOORSCRIEFT!$A$2:$G$8551,3,FALSE),"")</f>
        <v/>
      </c>
      <c r="E2008" s="392" t="str">
        <f>IFERROR(VLOOKUP(A2008,[3]DOORSCRIEFT!$A$2:$G$8551,4,FALSE),"")</f>
        <v/>
      </c>
      <c r="F2008" s="405" t="str">
        <f>IFERROR(VLOOKUP(A2008,[3]DOORSCRIEFT!$A$2:$G$8551,6,FALSE),"")</f>
        <v/>
      </c>
      <c r="G2008" s="315"/>
    </row>
    <row r="2009" spans="1:7" x14ac:dyDescent="0.25">
      <c r="A2009" s="339" t="str">
        <f t="shared" si="60"/>
        <v>I.2.2.02.03069</v>
      </c>
      <c r="B2009" s="339">
        <v>69</v>
      </c>
      <c r="C2009" s="394" t="str">
        <f>IFERROR(VLOOKUP(A2009,[3]DOORSCRIEFT!$A$2:$G$8551,2,FALSE),"")</f>
        <v/>
      </c>
      <c r="D2009" s="393" t="str">
        <f>IFERROR(VLOOKUP(A2009,[3]DOORSCRIEFT!$A$2:$G$8551,3,FALSE),"")</f>
        <v/>
      </c>
      <c r="E2009" s="392" t="str">
        <f>IFERROR(VLOOKUP(A2009,[3]DOORSCRIEFT!$A$2:$G$8551,4,FALSE),"")</f>
        <v/>
      </c>
      <c r="F2009" s="405" t="str">
        <f>IFERROR(VLOOKUP(A2009,[3]DOORSCRIEFT!$A$2:$G$8551,6,FALSE),"")</f>
        <v/>
      </c>
      <c r="G2009" s="315"/>
    </row>
    <row r="2010" spans="1:7" x14ac:dyDescent="0.25">
      <c r="A2010" s="339" t="str">
        <f t="shared" si="60"/>
        <v>I.2.2.02.03070</v>
      </c>
      <c r="B2010" s="319">
        <v>70</v>
      </c>
      <c r="C2010" s="394" t="str">
        <f>IFERROR(VLOOKUP(A2010,[3]DOORSCRIEFT!$A$2:$G$8551,2,FALSE),"")</f>
        <v/>
      </c>
      <c r="D2010" s="393" t="str">
        <f>IFERROR(VLOOKUP(A2010,[3]DOORSCRIEFT!$A$2:$G$8551,3,FALSE),"")</f>
        <v/>
      </c>
      <c r="E2010" s="392" t="str">
        <f>IFERROR(VLOOKUP(A2010,[3]DOORSCRIEFT!$A$2:$G$8551,4,FALSE),"")</f>
        <v/>
      </c>
      <c r="F2010" s="405" t="str">
        <f>IFERROR(VLOOKUP(A2010,[3]DOORSCRIEFT!$A$2:$G$8551,6,FALSE),"")</f>
        <v/>
      </c>
      <c r="G2010" s="315"/>
    </row>
    <row r="2011" spans="1:7" x14ac:dyDescent="0.25">
      <c r="A2011" s="339" t="str">
        <f t="shared" si="60"/>
        <v>I.2.2.02.03071</v>
      </c>
      <c r="B2011" s="339">
        <v>71</v>
      </c>
      <c r="C2011" s="394" t="str">
        <f>IFERROR(VLOOKUP(A2011,[3]DOORSCRIEFT!$A$2:$G$8551,2,FALSE),"")</f>
        <v/>
      </c>
      <c r="D2011" s="393" t="str">
        <f>IFERROR(VLOOKUP(A2011,[3]DOORSCRIEFT!$A$2:$G$8551,3,FALSE),"")</f>
        <v/>
      </c>
      <c r="E2011" s="392" t="str">
        <f>IFERROR(VLOOKUP(A2011,[3]DOORSCRIEFT!$A$2:$G$8551,4,FALSE),"")</f>
        <v/>
      </c>
      <c r="F2011" s="405" t="str">
        <f>IFERROR(VLOOKUP(A2011,[3]DOORSCRIEFT!$A$2:$G$8551,6,FALSE),"")</f>
        <v/>
      </c>
      <c r="G2011" s="315"/>
    </row>
    <row r="2012" spans="1:7" x14ac:dyDescent="0.25">
      <c r="A2012" s="339" t="str">
        <f t="shared" si="60"/>
        <v>I.2.2.02.03072</v>
      </c>
      <c r="B2012" s="319">
        <v>72</v>
      </c>
      <c r="C2012" s="394" t="str">
        <f>IFERROR(VLOOKUP(A2012,[3]DOORSCRIEFT!$A$2:$G$8551,2,FALSE),"")</f>
        <v/>
      </c>
      <c r="D2012" s="393" t="str">
        <f>IFERROR(VLOOKUP(A2012,[3]DOORSCRIEFT!$A$2:$G$8551,3,FALSE),"")</f>
        <v/>
      </c>
      <c r="E2012" s="392" t="str">
        <f>IFERROR(VLOOKUP(A2012,[3]DOORSCRIEFT!$A$2:$G$8551,4,FALSE),"")</f>
        <v/>
      </c>
      <c r="F2012" s="405" t="str">
        <f>IFERROR(VLOOKUP(A2012,[3]DOORSCRIEFT!$A$2:$G$8551,6,FALSE),"")</f>
        <v/>
      </c>
      <c r="G2012" s="315"/>
    </row>
    <row r="2013" spans="1:7" x14ac:dyDescent="0.25">
      <c r="A2013" s="339" t="str">
        <f t="shared" si="60"/>
        <v>I.2.2.02.03073</v>
      </c>
      <c r="B2013" s="339">
        <v>73</v>
      </c>
      <c r="C2013" s="394" t="str">
        <f>IFERROR(VLOOKUP(A2013,[3]DOORSCRIEFT!$A$2:$G$8551,2,FALSE),"")</f>
        <v/>
      </c>
      <c r="D2013" s="393" t="str">
        <f>IFERROR(VLOOKUP(A2013,[3]DOORSCRIEFT!$A$2:$G$8551,3,FALSE),"")</f>
        <v/>
      </c>
      <c r="E2013" s="392" t="str">
        <f>IFERROR(VLOOKUP(A2013,[3]DOORSCRIEFT!$A$2:$G$8551,4,FALSE),"")</f>
        <v/>
      </c>
      <c r="F2013" s="405" t="str">
        <f>IFERROR(VLOOKUP(A2013,[3]DOORSCRIEFT!$A$2:$G$8551,6,FALSE),"")</f>
        <v/>
      </c>
      <c r="G2013" s="315"/>
    </row>
    <row r="2014" spans="1:7" x14ac:dyDescent="0.25">
      <c r="A2014" s="339" t="str">
        <f t="shared" si="60"/>
        <v>I.2.2.02.03074</v>
      </c>
      <c r="B2014" s="319">
        <v>74</v>
      </c>
      <c r="C2014" s="394" t="str">
        <f>IFERROR(VLOOKUP(A2014,[3]DOORSCRIEFT!$A$2:$G$8551,2,FALSE),"")</f>
        <v/>
      </c>
      <c r="D2014" s="393" t="str">
        <f>IFERROR(VLOOKUP(A2014,[3]DOORSCRIEFT!$A$2:$G$8551,3,FALSE),"")</f>
        <v/>
      </c>
      <c r="E2014" s="392" t="str">
        <f>IFERROR(VLOOKUP(A2014,[3]DOORSCRIEFT!$A$2:$G$8551,4,FALSE),"")</f>
        <v/>
      </c>
      <c r="F2014" s="405" t="str">
        <f>IFERROR(VLOOKUP(A2014,[3]DOORSCRIEFT!$A$2:$G$8551,6,FALSE),"")</f>
        <v/>
      </c>
      <c r="G2014" s="315"/>
    </row>
    <row r="2015" spans="1:7" x14ac:dyDescent="0.25">
      <c r="A2015" s="339" t="str">
        <f t="shared" si="60"/>
        <v>I.2.2.02.03075</v>
      </c>
      <c r="B2015" s="339">
        <v>75</v>
      </c>
      <c r="C2015" s="394" t="str">
        <f>IFERROR(VLOOKUP(A2015,[3]DOORSCRIEFT!$A$2:$G$8551,2,FALSE),"")</f>
        <v/>
      </c>
      <c r="D2015" s="393" t="str">
        <f>IFERROR(VLOOKUP(A2015,[3]DOORSCRIEFT!$A$2:$G$8551,3,FALSE),"")</f>
        <v/>
      </c>
      <c r="E2015" s="392" t="str">
        <f>IFERROR(VLOOKUP(A2015,[3]DOORSCRIEFT!$A$2:$G$8551,4,FALSE),"")</f>
        <v/>
      </c>
      <c r="F2015" s="405" t="str">
        <f>IFERROR(VLOOKUP(A2015,[3]DOORSCRIEFT!$A$2:$G$8551,6,FALSE),"")</f>
        <v/>
      </c>
      <c r="G2015" s="315"/>
    </row>
    <row r="2016" spans="1:7" x14ac:dyDescent="0.25">
      <c r="A2016" s="339" t="str">
        <f t="shared" si="60"/>
        <v>I.2.2.02.03076</v>
      </c>
      <c r="B2016" s="319">
        <v>76</v>
      </c>
      <c r="C2016" s="394" t="str">
        <f>IFERROR(VLOOKUP(A2016,[3]DOORSCRIEFT!$A$2:$G$8551,2,FALSE),"")</f>
        <v/>
      </c>
      <c r="D2016" s="393" t="str">
        <f>IFERROR(VLOOKUP(A2016,[3]DOORSCRIEFT!$A$2:$G$8551,3,FALSE),"")</f>
        <v/>
      </c>
      <c r="E2016" s="392" t="str">
        <f>IFERROR(VLOOKUP(A2016,[3]DOORSCRIEFT!$A$2:$G$8551,4,FALSE),"")</f>
        <v/>
      </c>
      <c r="F2016" s="405" t="str">
        <f>IFERROR(VLOOKUP(A2016,[3]DOORSCRIEFT!$A$2:$G$8551,6,FALSE),"")</f>
        <v/>
      </c>
      <c r="G2016" s="315"/>
    </row>
    <row r="2017" spans="1:7" x14ac:dyDescent="0.25">
      <c r="A2017" s="339" t="str">
        <f t="shared" si="60"/>
        <v>I.2.2.02.03077</v>
      </c>
      <c r="B2017" s="339">
        <v>77</v>
      </c>
      <c r="C2017" s="394" t="str">
        <f>IFERROR(VLOOKUP(A2017,[3]DOORSCRIEFT!$A$2:$G$8551,2,FALSE),"")</f>
        <v/>
      </c>
      <c r="D2017" s="393" t="str">
        <f>IFERROR(VLOOKUP(A2017,[3]DOORSCRIEFT!$A$2:$G$8551,3,FALSE),"")</f>
        <v/>
      </c>
      <c r="E2017" s="392" t="str">
        <f>IFERROR(VLOOKUP(A2017,[3]DOORSCRIEFT!$A$2:$G$8551,4,FALSE),"")</f>
        <v/>
      </c>
      <c r="F2017" s="405" t="str">
        <f>IFERROR(VLOOKUP(A2017,[3]DOORSCRIEFT!$A$2:$G$8551,6,FALSE),"")</f>
        <v/>
      </c>
      <c r="G2017" s="315"/>
    </row>
    <row r="2018" spans="1:7" x14ac:dyDescent="0.25">
      <c r="A2018" s="339" t="str">
        <f t="shared" si="60"/>
        <v>I.2.2.02.03078</v>
      </c>
      <c r="B2018" s="319">
        <v>78</v>
      </c>
      <c r="C2018" s="394" t="str">
        <f>IFERROR(VLOOKUP(A2018,[3]DOORSCRIEFT!$A$2:$G$8551,2,FALSE),"")</f>
        <v/>
      </c>
      <c r="D2018" s="393" t="str">
        <f>IFERROR(VLOOKUP(A2018,[3]DOORSCRIEFT!$A$2:$G$8551,3,FALSE),"")</f>
        <v/>
      </c>
      <c r="E2018" s="392" t="str">
        <f>IFERROR(VLOOKUP(A2018,[3]DOORSCRIEFT!$A$2:$G$8551,4,FALSE),"")</f>
        <v/>
      </c>
      <c r="F2018" s="405" t="str">
        <f>IFERROR(VLOOKUP(A2018,[3]DOORSCRIEFT!$A$2:$G$8551,6,FALSE),"")</f>
        <v/>
      </c>
      <c r="G2018" s="315"/>
    </row>
    <row r="2019" spans="1:7" x14ac:dyDescent="0.25">
      <c r="A2019" s="339" t="str">
        <f t="shared" si="60"/>
        <v>I.2.2.02.03079</v>
      </c>
      <c r="B2019" s="339">
        <v>79</v>
      </c>
      <c r="C2019" s="394" t="str">
        <f>IFERROR(VLOOKUP(A2019,[3]DOORSCRIEFT!$A$2:$G$8551,2,FALSE),"")</f>
        <v/>
      </c>
      <c r="D2019" s="393" t="str">
        <f>IFERROR(VLOOKUP(A2019,[3]DOORSCRIEFT!$A$2:$G$8551,3,FALSE),"")</f>
        <v/>
      </c>
      <c r="E2019" s="392" t="str">
        <f>IFERROR(VLOOKUP(A2019,[3]DOORSCRIEFT!$A$2:$G$8551,4,FALSE),"")</f>
        <v/>
      </c>
      <c r="F2019" s="405" t="str">
        <f>IFERROR(VLOOKUP(A2019,[3]DOORSCRIEFT!$A$2:$G$8551,6,FALSE),"")</f>
        <v/>
      </c>
      <c r="G2019" s="315"/>
    </row>
    <row r="2020" spans="1:7" x14ac:dyDescent="0.25">
      <c r="A2020" s="339" t="str">
        <f t="shared" si="60"/>
        <v>I.2.2.02.03080</v>
      </c>
      <c r="B2020" s="319">
        <v>80</v>
      </c>
      <c r="C2020" s="394" t="str">
        <f>IFERROR(VLOOKUP(A2020,[3]DOORSCRIEFT!$A$2:$G$8551,2,FALSE),"")</f>
        <v/>
      </c>
      <c r="D2020" s="393" t="str">
        <f>IFERROR(VLOOKUP(A2020,[3]DOORSCRIEFT!$A$2:$G$8551,3,FALSE),"")</f>
        <v/>
      </c>
      <c r="E2020" s="392" t="str">
        <f>IFERROR(VLOOKUP(A2020,[3]DOORSCRIEFT!$A$2:$G$8551,4,FALSE),"")</f>
        <v/>
      </c>
      <c r="F2020" s="405" t="str">
        <f>IFERROR(VLOOKUP(A2020,[3]DOORSCRIEFT!$A$2:$G$8551,6,FALSE),"")</f>
        <v/>
      </c>
      <c r="G2020" s="315"/>
    </row>
    <row r="2021" spans="1:7" x14ac:dyDescent="0.25">
      <c r="A2021" s="339" t="str">
        <f t="shared" si="60"/>
        <v>I.2.2.02.03081</v>
      </c>
      <c r="B2021" s="339">
        <v>81</v>
      </c>
      <c r="C2021" s="394" t="str">
        <f>IFERROR(VLOOKUP(A2021,[3]DOORSCRIEFT!$A$2:$G$8551,2,FALSE),"")</f>
        <v/>
      </c>
      <c r="D2021" s="393" t="str">
        <f>IFERROR(VLOOKUP(A2021,[3]DOORSCRIEFT!$A$2:$G$8551,3,FALSE),"")</f>
        <v/>
      </c>
      <c r="E2021" s="392" t="str">
        <f>IFERROR(VLOOKUP(A2021,[3]DOORSCRIEFT!$A$2:$G$8551,4,FALSE),"")</f>
        <v/>
      </c>
      <c r="F2021" s="405" t="str">
        <f>IFERROR(VLOOKUP(A2021,[3]DOORSCRIEFT!$A$2:$G$8551,6,FALSE),"")</f>
        <v/>
      </c>
      <c r="G2021" s="315"/>
    </row>
    <row r="2022" spans="1:7" x14ac:dyDescent="0.25">
      <c r="A2022" s="339" t="str">
        <f t="shared" si="60"/>
        <v>I.2.2.02.03082</v>
      </c>
      <c r="B2022" s="319">
        <v>82</v>
      </c>
      <c r="C2022" s="394" t="str">
        <f>IFERROR(VLOOKUP(A2022,[3]DOORSCRIEFT!$A$2:$G$8551,2,FALSE),"")</f>
        <v/>
      </c>
      <c r="D2022" s="393" t="str">
        <f>IFERROR(VLOOKUP(A2022,[3]DOORSCRIEFT!$A$2:$G$8551,3,FALSE),"")</f>
        <v/>
      </c>
      <c r="E2022" s="392" t="str">
        <f>IFERROR(VLOOKUP(A2022,[3]DOORSCRIEFT!$A$2:$G$8551,4,FALSE),"")</f>
        <v/>
      </c>
      <c r="F2022" s="405" t="str">
        <f>IFERROR(VLOOKUP(A2022,[3]DOORSCRIEFT!$A$2:$G$8551,6,FALSE),"")</f>
        <v/>
      </c>
      <c r="G2022" s="315"/>
    </row>
    <row r="2023" spans="1:7" x14ac:dyDescent="0.25">
      <c r="A2023" s="339" t="str">
        <f t="shared" si="60"/>
        <v>I.2.2.02.03083</v>
      </c>
      <c r="B2023" s="339">
        <v>83</v>
      </c>
      <c r="C2023" s="394" t="str">
        <f>IFERROR(VLOOKUP(A2023,[3]DOORSCRIEFT!$A$2:$G$8551,2,FALSE),"")</f>
        <v/>
      </c>
      <c r="D2023" s="393" t="str">
        <f>IFERROR(VLOOKUP(A2023,[3]DOORSCRIEFT!$A$2:$G$8551,3,FALSE),"")</f>
        <v/>
      </c>
      <c r="E2023" s="392" t="str">
        <f>IFERROR(VLOOKUP(A2023,[3]DOORSCRIEFT!$A$2:$G$8551,4,FALSE),"")</f>
        <v/>
      </c>
      <c r="F2023" s="405" t="str">
        <f>IFERROR(VLOOKUP(A2023,[3]DOORSCRIEFT!$A$2:$G$8551,6,FALSE),"")</f>
        <v/>
      </c>
      <c r="G2023" s="315"/>
    </row>
    <row r="2024" spans="1:7" x14ac:dyDescent="0.25">
      <c r="A2024" s="339" t="str">
        <f t="shared" si="60"/>
        <v>I.2.2.02.03084</v>
      </c>
      <c r="B2024" s="319">
        <v>84</v>
      </c>
      <c r="C2024" s="394" t="str">
        <f>IFERROR(VLOOKUP(A2024,[3]DOORSCRIEFT!$A$2:$G$8551,2,FALSE),"")</f>
        <v/>
      </c>
      <c r="D2024" s="393" t="str">
        <f>IFERROR(VLOOKUP(A2024,[3]DOORSCRIEFT!$A$2:$G$8551,3,FALSE),"")</f>
        <v/>
      </c>
      <c r="E2024" s="392" t="str">
        <f>IFERROR(VLOOKUP(A2024,[3]DOORSCRIEFT!$A$2:$G$8551,4,FALSE),"")</f>
        <v/>
      </c>
      <c r="F2024" s="405" t="str">
        <f>IFERROR(VLOOKUP(A2024,[3]DOORSCRIEFT!$A$2:$G$8551,6,FALSE),"")</f>
        <v/>
      </c>
      <c r="G2024" s="315"/>
    </row>
    <row r="2025" spans="1:7" x14ac:dyDescent="0.25">
      <c r="A2025" s="339" t="str">
        <f t="shared" si="60"/>
        <v>I.2.2.02.03085</v>
      </c>
      <c r="B2025" s="339">
        <v>85</v>
      </c>
      <c r="C2025" s="394" t="str">
        <f>IFERROR(VLOOKUP(A2025,[3]DOORSCRIEFT!$A$2:$G$8551,2,FALSE),"")</f>
        <v/>
      </c>
      <c r="D2025" s="393" t="str">
        <f>IFERROR(VLOOKUP(A2025,[3]DOORSCRIEFT!$A$2:$G$8551,3,FALSE),"")</f>
        <v/>
      </c>
      <c r="E2025" s="392" t="str">
        <f>IFERROR(VLOOKUP(A2025,[3]DOORSCRIEFT!$A$2:$G$8551,4,FALSE),"")</f>
        <v/>
      </c>
      <c r="F2025" s="405" t="str">
        <f>IFERROR(VLOOKUP(A2025,[3]DOORSCRIEFT!$A$2:$G$8551,6,FALSE),"")</f>
        <v/>
      </c>
      <c r="G2025" s="315"/>
    </row>
    <row r="2026" spans="1:7" x14ac:dyDescent="0.25">
      <c r="A2026" s="339" t="str">
        <f t="shared" si="60"/>
        <v>I.2.2.02.03086</v>
      </c>
      <c r="B2026" s="319">
        <v>86</v>
      </c>
      <c r="C2026" s="394" t="str">
        <f>IFERROR(VLOOKUP(A2026,[3]DOORSCRIEFT!$A$2:$G$8551,2,FALSE),"")</f>
        <v/>
      </c>
      <c r="D2026" s="393" t="str">
        <f>IFERROR(VLOOKUP(A2026,[3]DOORSCRIEFT!$A$2:$G$8551,3,FALSE),"")</f>
        <v/>
      </c>
      <c r="E2026" s="392" t="str">
        <f>IFERROR(VLOOKUP(A2026,[3]DOORSCRIEFT!$A$2:$G$8551,4,FALSE),"")</f>
        <v/>
      </c>
      <c r="F2026" s="405" t="str">
        <f>IFERROR(VLOOKUP(A2026,[3]DOORSCRIEFT!$A$2:$G$8551,6,FALSE),"")</f>
        <v/>
      </c>
      <c r="G2026" s="315"/>
    </row>
    <row r="2027" spans="1:7" x14ac:dyDescent="0.25">
      <c r="A2027" s="339" t="str">
        <f t="shared" si="60"/>
        <v>I.2.2.02.03087</v>
      </c>
      <c r="B2027" s="339">
        <v>87</v>
      </c>
      <c r="C2027" s="394" t="str">
        <f>IFERROR(VLOOKUP(A2027,[3]DOORSCRIEFT!$A$2:$G$8551,2,FALSE),"")</f>
        <v/>
      </c>
      <c r="D2027" s="393" t="str">
        <f>IFERROR(VLOOKUP(A2027,[3]DOORSCRIEFT!$A$2:$G$8551,3,FALSE),"")</f>
        <v/>
      </c>
      <c r="E2027" s="392" t="str">
        <f>IFERROR(VLOOKUP(A2027,[3]DOORSCRIEFT!$A$2:$G$8551,4,FALSE),"")</f>
        <v/>
      </c>
      <c r="F2027" s="405" t="str">
        <f>IFERROR(VLOOKUP(A2027,[3]DOORSCRIEFT!$A$2:$G$8551,6,FALSE),"")</f>
        <v/>
      </c>
      <c r="G2027" s="315"/>
    </row>
    <row r="2028" spans="1:7" x14ac:dyDescent="0.25">
      <c r="A2028" s="339" t="str">
        <f t="shared" si="60"/>
        <v>I.2.2.02.03088</v>
      </c>
      <c r="B2028" s="319">
        <v>88</v>
      </c>
      <c r="C2028" s="394" t="str">
        <f>IFERROR(VLOOKUP(A2028,[3]DOORSCRIEFT!$A$2:$G$8551,2,FALSE),"")</f>
        <v/>
      </c>
      <c r="D2028" s="393" t="str">
        <f>IFERROR(VLOOKUP(A2028,[3]DOORSCRIEFT!$A$2:$G$8551,3,FALSE),"")</f>
        <v/>
      </c>
      <c r="E2028" s="392" t="str">
        <f>IFERROR(VLOOKUP(A2028,[3]DOORSCRIEFT!$A$2:$G$8551,4,FALSE),"")</f>
        <v/>
      </c>
      <c r="F2028" s="405" t="str">
        <f>IFERROR(VLOOKUP(A2028,[3]DOORSCRIEFT!$A$2:$G$8551,6,FALSE),"")</f>
        <v/>
      </c>
      <c r="G2028" s="315"/>
    </row>
    <row r="2029" spans="1:7" x14ac:dyDescent="0.25">
      <c r="A2029" s="339" t="str">
        <f t="shared" si="60"/>
        <v>I.2.2.02.03089</v>
      </c>
      <c r="B2029" s="339">
        <v>89</v>
      </c>
      <c r="C2029" s="394" t="str">
        <f>IFERROR(VLOOKUP(A2029,[3]DOORSCRIEFT!$A$2:$G$8551,2,FALSE),"")</f>
        <v/>
      </c>
      <c r="D2029" s="393" t="str">
        <f>IFERROR(VLOOKUP(A2029,[3]DOORSCRIEFT!$A$2:$G$8551,3,FALSE),"")</f>
        <v/>
      </c>
      <c r="E2029" s="392" t="str">
        <f>IFERROR(VLOOKUP(A2029,[3]DOORSCRIEFT!$A$2:$G$8551,4,FALSE),"")</f>
        <v/>
      </c>
      <c r="F2029" s="405" t="str">
        <f>IFERROR(VLOOKUP(A2029,[3]DOORSCRIEFT!$A$2:$G$8551,6,FALSE),"")</f>
        <v/>
      </c>
      <c r="G2029" s="315"/>
    </row>
    <row r="2030" spans="1:7" x14ac:dyDescent="0.25">
      <c r="A2030" s="339" t="str">
        <f t="shared" si="60"/>
        <v>I.2.2.02.03090</v>
      </c>
      <c r="B2030" s="319">
        <v>90</v>
      </c>
      <c r="C2030" s="394" t="str">
        <f>IFERROR(VLOOKUP(A2030,[3]DOORSCRIEFT!$A$2:$G$8551,2,FALSE),"")</f>
        <v/>
      </c>
      <c r="D2030" s="393" t="str">
        <f>IFERROR(VLOOKUP(A2030,[3]DOORSCRIEFT!$A$2:$G$8551,3,FALSE),"")</f>
        <v/>
      </c>
      <c r="E2030" s="392" t="str">
        <f>IFERROR(VLOOKUP(A2030,[3]DOORSCRIEFT!$A$2:$G$8551,4,FALSE),"")</f>
        <v/>
      </c>
      <c r="F2030" s="405" t="str">
        <f>IFERROR(VLOOKUP(A2030,[3]DOORSCRIEFT!$A$2:$G$8551,6,FALSE),"")</f>
        <v/>
      </c>
      <c r="G2030" s="315"/>
    </row>
    <row r="2031" spans="1:7" x14ac:dyDescent="0.25">
      <c r="A2031" s="339" t="str">
        <f t="shared" si="60"/>
        <v>I.2.2.02.03091</v>
      </c>
      <c r="B2031" s="339">
        <v>91</v>
      </c>
      <c r="C2031" s="394" t="str">
        <f>IFERROR(VLOOKUP(A2031,[3]DOORSCRIEFT!$A$2:$G$8551,2,FALSE),"")</f>
        <v/>
      </c>
      <c r="D2031" s="393" t="str">
        <f>IFERROR(VLOOKUP(A2031,[3]DOORSCRIEFT!$A$2:$G$8551,3,FALSE),"")</f>
        <v/>
      </c>
      <c r="E2031" s="392" t="str">
        <f>IFERROR(VLOOKUP(A2031,[3]DOORSCRIEFT!$A$2:$G$8551,4,FALSE),"")</f>
        <v/>
      </c>
      <c r="F2031" s="405" t="str">
        <f>IFERROR(VLOOKUP(A2031,[3]DOORSCRIEFT!$A$2:$G$8551,6,FALSE),"")</f>
        <v/>
      </c>
      <c r="G2031" s="315"/>
    </row>
    <row r="2032" spans="1:7" x14ac:dyDescent="0.25">
      <c r="A2032" s="339" t="str">
        <f t="shared" si="60"/>
        <v>I.2.2.02.03092</v>
      </c>
      <c r="B2032" s="319">
        <v>92</v>
      </c>
      <c r="C2032" s="394" t="str">
        <f>IFERROR(VLOOKUP(A2032,[3]DOORSCRIEFT!$A$2:$G$8551,2,FALSE),"")</f>
        <v/>
      </c>
      <c r="D2032" s="393" t="str">
        <f>IFERROR(VLOOKUP(A2032,[3]DOORSCRIEFT!$A$2:$G$8551,3,FALSE),"")</f>
        <v/>
      </c>
      <c r="E2032" s="392" t="str">
        <f>IFERROR(VLOOKUP(A2032,[3]DOORSCRIEFT!$A$2:$G$8551,4,FALSE),"")</f>
        <v/>
      </c>
      <c r="F2032" s="405" t="str">
        <f>IFERROR(VLOOKUP(A2032,[3]DOORSCRIEFT!$A$2:$G$8551,6,FALSE),"")</f>
        <v/>
      </c>
      <c r="G2032" s="315"/>
    </row>
    <row r="2033" spans="1:7" x14ac:dyDescent="0.25">
      <c r="A2033" s="339" t="str">
        <f t="shared" si="60"/>
        <v>I.2.2.02.03093</v>
      </c>
      <c r="B2033" s="339">
        <v>93</v>
      </c>
      <c r="C2033" s="394" t="str">
        <f>IFERROR(VLOOKUP(A2033,[3]DOORSCRIEFT!$A$2:$G$8551,2,FALSE),"")</f>
        <v/>
      </c>
      <c r="D2033" s="393" t="str">
        <f>IFERROR(VLOOKUP(A2033,[3]DOORSCRIEFT!$A$2:$G$8551,3,FALSE),"")</f>
        <v/>
      </c>
      <c r="E2033" s="392" t="str">
        <f>IFERROR(VLOOKUP(A2033,[3]DOORSCRIEFT!$A$2:$G$8551,4,FALSE),"")</f>
        <v/>
      </c>
      <c r="F2033" s="405" t="str">
        <f>IFERROR(VLOOKUP(A2033,[3]DOORSCRIEFT!$A$2:$G$8551,6,FALSE),"")</f>
        <v/>
      </c>
      <c r="G2033" s="315"/>
    </row>
    <row r="2034" spans="1:7" x14ac:dyDescent="0.25">
      <c r="A2034" s="339" t="str">
        <f t="shared" si="60"/>
        <v>I.2.2.02.03094</v>
      </c>
      <c r="B2034" s="319">
        <v>94</v>
      </c>
      <c r="C2034" s="394" t="str">
        <f>IFERROR(VLOOKUP(A2034,[3]DOORSCRIEFT!$A$2:$G$8551,2,FALSE),"")</f>
        <v/>
      </c>
      <c r="D2034" s="393" t="str">
        <f>IFERROR(VLOOKUP(A2034,[3]DOORSCRIEFT!$A$2:$G$8551,3,FALSE),"")</f>
        <v/>
      </c>
      <c r="E2034" s="392" t="str">
        <f>IFERROR(VLOOKUP(A2034,[3]DOORSCRIEFT!$A$2:$G$8551,4,FALSE),"")</f>
        <v/>
      </c>
      <c r="F2034" s="405" t="str">
        <f>IFERROR(VLOOKUP(A2034,[3]DOORSCRIEFT!$A$2:$G$8551,6,FALSE),"")</f>
        <v/>
      </c>
      <c r="G2034" s="315"/>
    </row>
    <row r="2035" spans="1:7" x14ac:dyDescent="0.25">
      <c r="A2035" s="339" t="str">
        <f t="shared" si="60"/>
        <v>I.2.2.02.03095</v>
      </c>
      <c r="B2035" s="339">
        <v>95</v>
      </c>
      <c r="C2035" s="394" t="str">
        <f>IFERROR(VLOOKUP(A2035,[3]DOORSCRIEFT!$A$2:$G$8551,2,FALSE),"")</f>
        <v/>
      </c>
      <c r="D2035" s="393" t="str">
        <f>IFERROR(VLOOKUP(A2035,[3]DOORSCRIEFT!$A$2:$G$8551,3,FALSE),"")</f>
        <v/>
      </c>
      <c r="E2035" s="392" t="str">
        <f>IFERROR(VLOOKUP(A2035,[3]DOORSCRIEFT!$A$2:$G$8551,4,FALSE),"")</f>
        <v/>
      </c>
      <c r="F2035" s="405" t="str">
        <f>IFERROR(VLOOKUP(A2035,[3]DOORSCRIEFT!$A$2:$G$8551,6,FALSE),"")</f>
        <v/>
      </c>
      <c r="G2035" s="315"/>
    </row>
    <row r="2036" spans="1:7" x14ac:dyDescent="0.25">
      <c r="A2036" s="339" t="str">
        <f t="shared" si="60"/>
        <v>I.2.2.02.03096</v>
      </c>
      <c r="B2036" s="319">
        <v>96</v>
      </c>
      <c r="C2036" s="394" t="str">
        <f>IFERROR(VLOOKUP(A2036,[3]DOORSCRIEFT!$A$2:$G$8551,2,FALSE),"")</f>
        <v/>
      </c>
      <c r="D2036" s="393" t="str">
        <f>IFERROR(VLOOKUP(A2036,[3]DOORSCRIEFT!$A$2:$G$8551,3,FALSE),"")</f>
        <v/>
      </c>
      <c r="E2036" s="392" t="str">
        <f>IFERROR(VLOOKUP(A2036,[3]DOORSCRIEFT!$A$2:$G$8551,4,FALSE),"")</f>
        <v/>
      </c>
      <c r="F2036" s="405" t="str">
        <f>IFERROR(VLOOKUP(A2036,[3]DOORSCRIEFT!$A$2:$G$8551,6,FALSE),"")</f>
        <v/>
      </c>
      <c r="G2036" s="315"/>
    </row>
    <row r="2037" spans="1:7" x14ac:dyDescent="0.25">
      <c r="A2037" s="339" t="str">
        <f t="shared" ref="A2037:A2068" si="61">$G$1934&amp;B2037</f>
        <v>I.2.2.02.03097</v>
      </c>
      <c r="B2037" s="339">
        <v>97</v>
      </c>
      <c r="C2037" s="394" t="str">
        <f>IFERROR(VLOOKUP(A2037,[3]DOORSCRIEFT!$A$2:$G$8551,2,FALSE),"")</f>
        <v/>
      </c>
      <c r="D2037" s="393" t="str">
        <f>IFERROR(VLOOKUP(A2037,[3]DOORSCRIEFT!$A$2:$G$8551,3,FALSE),"")</f>
        <v/>
      </c>
      <c r="E2037" s="392" t="str">
        <f>IFERROR(VLOOKUP(A2037,[3]DOORSCRIEFT!$A$2:$G$8551,4,FALSE),"")</f>
        <v/>
      </c>
      <c r="F2037" s="405" t="str">
        <f>IFERROR(VLOOKUP(A2037,[3]DOORSCRIEFT!$A$2:$G$8551,6,FALSE),"")</f>
        <v/>
      </c>
      <c r="G2037" s="315"/>
    </row>
    <row r="2038" spans="1:7" x14ac:dyDescent="0.25">
      <c r="A2038" s="339" t="str">
        <f t="shared" si="61"/>
        <v>I.2.2.02.03098</v>
      </c>
      <c r="B2038" s="319">
        <v>98</v>
      </c>
      <c r="C2038" s="394" t="str">
        <f>IFERROR(VLOOKUP(A2038,[3]DOORSCRIEFT!$A$2:$G$8551,2,FALSE),"")</f>
        <v/>
      </c>
      <c r="D2038" s="393" t="str">
        <f>IFERROR(VLOOKUP(A2038,[3]DOORSCRIEFT!$A$2:$G$8551,3,FALSE),"")</f>
        <v/>
      </c>
      <c r="E2038" s="392" t="str">
        <f>IFERROR(VLOOKUP(A2038,[3]DOORSCRIEFT!$A$2:$G$8551,4,FALSE),"")</f>
        <v/>
      </c>
      <c r="F2038" s="405" t="str">
        <f>IFERROR(VLOOKUP(A2038,[3]DOORSCRIEFT!$A$2:$G$8551,6,FALSE),"")</f>
        <v/>
      </c>
      <c r="G2038" s="315"/>
    </row>
    <row r="2039" spans="1:7" x14ac:dyDescent="0.25">
      <c r="A2039" s="339" t="str">
        <f t="shared" si="61"/>
        <v>I.2.2.02.03099</v>
      </c>
      <c r="B2039" s="339">
        <v>99</v>
      </c>
      <c r="C2039" s="394" t="str">
        <f>IFERROR(VLOOKUP(A2039,[3]DOORSCRIEFT!$A$2:$G$8551,2,FALSE),"")</f>
        <v/>
      </c>
      <c r="D2039" s="393" t="str">
        <f>IFERROR(VLOOKUP(A2039,[3]DOORSCRIEFT!$A$2:$G$8551,3,FALSE),"")</f>
        <v/>
      </c>
      <c r="E2039" s="392" t="str">
        <f>IFERROR(VLOOKUP(A2039,[3]DOORSCRIEFT!$A$2:$G$8551,4,FALSE),"")</f>
        <v/>
      </c>
      <c r="F2039" s="405" t="str">
        <f>IFERROR(VLOOKUP(A2039,[3]DOORSCRIEFT!$A$2:$G$8551,6,FALSE),"")</f>
        <v/>
      </c>
      <c r="G2039" s="315"/>
    </row>
    <row r="2040" spans="1:7" x14ac:dyDescent="0.25">
      <c r="A2040" s="339" t="str">
        <f t="shared" si="61"/>
        <v>I.2.2.02.030100</v>
      </c>
      <c r="B2040" s="319">
        <v>100</v>
      </c>
      <c r="C2040" s="394" t="str">
        <f>IFERROR(VLOOKUP(A2040,[3]DOORSCRIEFT!$A$2:$G$8551,2,FALSE),"")</f>
        <v/>
      </c>
      <c r="D2040" s="393" t="str">
        <f>IFERROR(VLOOKUP(A2040,[3]DOORSCRIEFT!$A$2:$G$8551,3,FALSE),"")</f>
        <v/>
      </c>
      <c r="E2040" s="392" t="str">
        <f>IFERROR(VLOOKUP(A2040,[3]DOORSCRIEFT!$A$2:$G$8551,4,FALSE),"")</f>
        <v/>
      </c>
      <c r="F2040" s="405" t="str">
        <f>IFERROR(VLOOKUP(A2040,[3]DOORSCRIEFT!$A$2:$G$8551,6,FALSE),"")</f>
        <v/>
      </c>
      <c r="G2040" s="315"/>
    </row>
    <row r="2041" spans="1:7" x14ac:dyDescent="0.25">
      <c r="A2041" s="339" t="str">
        <f t="shared" si="61"/>
        <v>I.2.2.02.030101</v>
      </c>
      <c r="B2041" s="339">
        <v>101</v>
      </c>
      <c r="C2041" s="394" t="str">
        <f>IFERROR(VLOOKUP(A2041,[3]DOORSCRIEFT!$A$2:$G$8551,2,FALSE),"")</f>
        <v/>
      </c>
      <c r="D2041" s="393" t="str">
        <f>IFERROR(VLOOKUP(A2041,[3]DOORSCRIEFT!$A$2:$G$8551,3,FALSE),"")</f>
        <v/>
      </c>
      <c r="E2041" s="392" t="str">
        <f>IFERROR(VLOOKUP(A2041,[3]DOORSCRIEFT!$A$2:$G$8551,4,FALSE),"")</f>
        <v/>
      </c>
      <c r="F2041" s="405" t="str">
        <f>IFERROR(VLOOKUP(A2041,[3]DOORSCRIEFT!$A$2:$G$8551,6,FALSE),"")</f>
        <v/>
      </c>
      <c r="G2041" s="315"/>
    </row>
    <row r="2042" spans="1:7" x14ac:dyDescent="0.25">
      <c r="A2042" s="339" t="str">
        <f t="shared" si="61"/>
        <v>I.2.2.02.030102</v>
      </c>
      <c r="B2042" s="319">
        <v>102</v>
      </c>
      <c r="C2042" s="394" t="str">
        <f>IFERROR(VLOOKUP(A2042,[3]DOORSCRIEFT!$A$2:$G$8551,2,FALSE),"")</f>
        <v/>
      </c>
      <c r="D2042" s="393" t="str">
        <f>IFERROR(VLOOKUP(A2042,[3]DOORSCRIEFT!$A$2:$G$8551,3,FALSE),"")</f>
        <v/>
      </c>
      <c r="E2042" s="392" t="str">
        <f>IFERROR(VLOOKUP(A2042,[3]DOORSCRIEFT!$A$2:$G$8551,4,FALSE),"")</f>
        <v/>
      </c>
      <c r="F2042" s="405" t="str">
        <f>IFERROR(VLOOKUP(A2042,[3]DOORSCRIEFT!$A$2:$G$8551,6,FALSE),"")</f>
        <v/>
      </c>
      <c r="G2042" s="315"/>
    </row>
    <row r="2043" spans="1:7" x14ac:dyDescent="0.25">
      <c r="A2043" s="339" t="str">
        <f t="shared" si="61"/>
        <v>I.2.2.02.030103</v>
      </c>
      <c r="B2043" s="339">
        <v>103</v>
      </c>
      <c r="C2043" s="394" t="str">
        <f>IFERROR(VLOOKUP(A2043,[3]DOORSCRIEFT!$A$2:$G$8551,2,FALSE),"")</f>
        <v/>
      </c>
      <c r="D2043" s="393" t="str">
        <f>IFERROR(VLOOKUP(A2043,[3]DOORSCRIEFT!$A$2:$G$8551,3,FALSE),"")</f>
        <v/>
      </c>
      <c r="E2043" s="392" t="str">
        <f>IFERROR(VLOOKUP(A2043,[3]DOORSCRIEFT!$A$2:$G$8551,4,FALSE),"")</f>
        <v/>
      </c>
      <c r="F2043" s="405" t="str">
        <f>IFERROR(VLOOKUP(A2043,[3]DOORSCRIEFT!$A$2:$G$8551,6,FALSE),"")</f>
        <v/>
      </c>
      <c r="G2043" s="315"/>
    </row>
    <row r="2044" spans="1:7" x14ac:dyDescent="0.25">
      <c r="A2044" s="339" t="str">
        <f t="shared" si="61"/>
        <v>I.2.2.02.030104</v>
      </c>
      <c r="B2044" s="319">
        <v>104</v>
      </c>
      <c r="C2044" s="394" t="str">
        <f>IFERROR(VLOOKUP(A2044,[3]DOORSCRIEFT!$A$2:$G$8551,2,FALSE),"")</f>
        <v/>
      </c>
      <c r="D2044" s="393" t="str">
        <f>IFERROR(VLOOKUP(A2044,[3]DOORSCRIEFT!$A$2:$G$8551,3,FALSE),"")</f>
        <v/>
      </c>
      <c r="E2044" s="392" t="str">
        <f>IFERROR(VLOOKUP(A2044,[3]DOORSCRIEFT!$A$2:$G$8551,4,FALSE),"")</f>
        <v/>
      </c>
      <c r="F2044" s="405" t="str">
        <f>IFERROR(VLOOKUP(A2044,[3]DOORSCRIEFT!$A$2:$G$8551,6,FALSE),"")</f>
        <v/>
      </c>
      <c r="G2044" s="315"/>
    </row>
    <row r="2045" spans="1:7" x14ac:dyDescent="0.25">
      <c r="A2045" s="339" t="str">
        <f t="shared" si="61"/>
        <v>I.2.2.02.030105</v>
      </c>
      <c r="B2045" s="339">
        <v>105</v>
      </c>
      <c r="C2045" s="394" t="str">
        <f>IFERROR(VLOOKUP(A2045,[3]DOORSCRIEFT!$A$2:$G$8551,2,FALSE),"")</f>
        <v/>
      </c>
      <c r="D2045" s="393" t="str">
        <f>IFERROR(VLOOKUP(A2045,[3]DOORSCRIEFT!$A$2:$G$8551,3,FALSE),"")</f>
        <v/>
      </c>
      <c r="E2045" s="392" t="str">
        <f>IFERROR(VLOOKUP(A2045,[3]DOORSCRIEFT!$A$2:$G$8551,4,FALSE),"")</f>
        <v/>
      </c>
      <c r="F2045" s="405" t="str">
        <f>IFERROR(VLOOKUP(A2045,[3]DOORSCRIEFT!$A$2:$G$8551,6,FALSE),"")</f>
        <v/>
      </c>
      <c r="G2045" s="315"/>
    </row>
    <row r="2046" spans="1:7" x14ac:dyDescent="0.25">
      <c r="A2046" s="339" t="str">
        <f t="shared" si="61"/>
        <v>I.2.2.02.030106</v>
      </c>
      <c r="B2046" s="319">
        <v>106</v>
      </c>
      <c r="C2046" s="394" t="str">
        <f>IFERROR(VLOOKUP(A2046,[3]DOORSCRIEFT!$A$2:$G$8551,2,FALSE),"")</f>
        <v/>
      </c>
      <c r="D2046" s="393" t="str">
        <f>IFERROR(VLOOKUP(A2046,[3]DOORSCRIEFT!$A$2:$G$8551,3,FALSE),"")</f>
        <v/>
      </c>
      <c r="E2046" s="392" t="str">
        <f>IFERROR(VLOOKUP(A2046,[3]DOORSCRIEFT!$A$2:$G$8551,4,FALSE),"")</f>
        <v/>
      </c>
      <c r="F2046" s="405" t="str">
        <f>IFERROR(VLOOKUP(A2046,[3]DOORSCRIEFT!$A$2:$G$8551,6,FALSE),"")</f>
        <v/>
      </c>
      <c r="G2046" s="315"/>
    </row>
    <row r="2047" spans="1:7" x14ac:dyDescent="0.25">
      <c r="A2047" s="339" t="str">
        <f t="shared" si="61"/>
        <v>I.2.2.02.030107</v>
      </c>
      <c r="B2047" s="339">
        <v>107</v>
      </c>
      <c r="C2047" s="394" t="str">
        <f>IFERROR(VLOOKUP(A2047,[3]DOORSCRIEFT!$A$2:$G$8551,2,FALSE),"")</f>
        <v/>
      </c>
      <c r="D2047" s="393" t="str">
        <f>IFERROR(VLOOKUP(A2047,[3]DOORSCRIEFT!$A$2:$G$8551,3,FALSE),"")</f>
        <v/>
      </c>
      <c r="E2047" s="392" t="str">
        <f>IFERROR(VLOOKUP(A2047,[3]DOORSCRIEFT!$A$2:$G$8551,4,FALSE),"")</f>
        <v/>
      </c>
      <c r="F2047" s="405" t="str">
        <f>IFERROR(VLOOKUP(A2047,[3]DOORSCRIEFT!$A$2:$G$8551,6,FALSE),"")</f>
        <v/>
      </c>
      <c r="G2047" s="315"/>
    </row>
    <row r="2048" spans="1:7" x14ac:dyDescent="0.25">
      <c r="A2048" s="339" t="str">
        <f t="shared" si="61"/>
        <v>I.2.2.02.030108</v>
      </c>
      <c r="B2048" s="319">
        <v>108</v>
      </c>
      <c r="C2048" s="394" t="str">
        <f>IFERROR(VLOOKUP(A2048,[3]DOORSCRIEFT!$A$2:$G$8551,2,FALSE),"")</f>
        <v/>
      </c>
      <c r="D2048" s="393" t="str">
        <f>IFERROR(VLOOKUP(A2048,[3]DOORSCRIEFT!$A$2:$G$8551,3,FALSE),"")</f>
        <v/>
      </c>
      <c r="E2048" s="392" t="str">
        <f>IFERROR(VLOOKUP(A2048,[3]DOORSCRIEFT!$A$2:$G$8551,4,FALSE),"")</f>
        <v/>
      </c>
      <c r="F2048" s="405" t="str">
        <f>IFERROR(VLOOKUP(A2048,[3]DOORSCRIEFT!$A$2:$G$8551,6,FALSE),"")</f>
        <v/>
      </c>
      <c r="G2048" s="315"/>
    </row>
    <row r="2049" spans="1:7" x14ac:dyDescent="0.25">
      <c r="A2049" s="339" t="str">
        <f t="shared" si="61"/>
        <v>I.2.2.02.030109</v>
      </c>
      <c r="B2049" s="339">
        <v>109</v>
      </c>
      <c r="C2049" s="394" t="str">
        <f>IFERROR(VLOOKUP(A2049,[3]DOORSCRIEFT!$A$2:$G$8551,2,FALSE),"")</f>
        <v/>
      </c>
      <c r="D2049" s="393" t="str">
        <f>IFERROR(VLOOKUP(A2049,[3]DOORSCRIEFT!$A$2:$G$8551,3,FALSE),"")</f>
        <v/>
      </c>
      <c r="E2049" s="392" t="str">
        <f>IFERROR(VLOOKUP(A2049,[3]DOORSCRIEFT!$A$2:$G$8551,4,FALSE),"")</f>
        <v/>
      </c>
      <c r="F2049" s="405" t="str">
        <f>IFERROR(VLOOKUP(A2049,[3]DOORSCRIEFT!$A$2:$G$8551,6,FALSE),"")</f>
        <v/>
      </c>
      <c r="G2049" s="315"/>
    </row>
    <row r="2050" spans="1:7" x14ac:dyDescent="0.25">
      <c r="A2050" s="339" t="str">
        <f t="shared" si="61"/>
        <v>I.2.2.02.030110</v>
      </c>
      <c r="B2050" s="319">
        <v>110</v>
      </c>
      <c r="C2050" s="394" t="str">
        <f>IFERROR(VLOOKUP(A2050,[3]DOORSCRIEFT!$A$2:$G$8551,2,FALSE),"")</f>
        <v/>
      </c>
      <c r="D2050" s="393" t="str">
        <f>IFERROR(VLOOKUP(A2050,[3]DOORSCRIEFT!$A$2:$G$8551,3,FALSE),"")</f>
        <v/>
      </c>
      <c r="E2050" s="392" t="str">
        <f>IFERROR(VLOOKUP(A2050,[3]DOORSCRIEFT!$A$2:$G$8551,4,FALSE),"")</f>
        <v/>
      </c>
      <c r="F2050" s="405" t="str">
        <f>IFERROR(VLOOKUP(A2050,[3]DOORSCRIEFT!$A$2:$G$8551,6,FALSE),"")</f>
        <v/>
      </c>
      <c r="G2050" s="315"/>
    </row>
    <row r="2051" spans="1:7" x14ac:dyDescent="0.25">
      <c r="A2051" s="339" t="str">
        <f t="shared" si="61"/>
        <v>I.2.2.02.030111</v>
      </c>
      <c r="B2051" s="339">
        <v>111</v>
      </c>
      <c r="C2051" s="394" t="str">
        <f>IFERROR(VLOOKUP(A2051,[3]DOORSCRIEFT!$A$2:$G$8551,2,FALSE),"")</f>
        <v/>
      </c>
      <c r="D2051" s="393" t="str">
        <f>IFERROR(VLOOKUP(A2051,[3]DOORSCRIEFT!$A$2:$G$8551,3,FALSE),"")</f>
        <v/>
      </c>
      <c r="E2051" s="392" t="str">
        <f>IFERROR(VLOOKUP(A2051,[3]DOORSCRIEFT!$A$2:$G$8551,4,FALSE),"")</f>
        <v/>
      </c>
      <c r="F2051" s="405" t="str">
        <f>IFERROR(VLOOKUP(A2051,[3]DOORSCRIEFT!$A$2:$G$8551,6,FALSE),"")</f>
        <v/>
      </c>
      <c r="G2051" s="315"/>
    </row>
    <row r="2052" spans="1:7" x14ac:dyDescent="0.25">
      <c r="A2052" s="339" t="str">
        <f t="shared" si="61"/>
        <v>I.2.2.02.030112</v>
      </c>
      <c r="B2052" s="319">
        <v>112</v>
      </c>
      <c r="C2052" s="394" t="str">
        <f>IFERROR(VLOOKUP(A2052,[3]DOORSCRIEFT!$A$2:$G$8551,2,FALSE),"")</f>
        <v/>
      </c>
      <c r="D2052" s="393" t="str">
        <f>IFERROR(VLOOKUP(A2052,[3]DOORSCRIEFT!$A$2:$G$8551,3,FALSE),"")</f>
        <v/>
      </c>
      <c r="E2052" s="392" t="str">
        <f>IFERROR(VLOOKUP(A2052,[3]DOORSCRIEFT!$A$2:$G$8551,4,FALSE),"")</f>
        <v/>
      </c>
      <c r="F2052" s="405" t="str">
        <f>IFERROR(VLOOKUP(A2052,[3]DOORSCRIEFT!$A$2:$G$8551,6,FALSE),"")</f>
        <v/>
      </c>
      <c r="G2052" s="315"/>
    </row>
    <row r="2053" spans="1:7" x14ac:dyDescent="0.25">
      <c r="A2053" s="339" t="str">
        <f t="shared" si="61"/>
        <v>I.2.2.02.030113</v>
      </c>
      <c r="B2053" s="339">
        <v>113</v>
      </c>
      <c r="C2053" s="394" t="str">
        <f>IFERROR(VLOOKUP(A2053,[3]DOORSCRIEFT!$A$2:$G$8551,2,FALSE),"")</f>
        <v/>
      </c>
      <c r="D2053" s="393" t="str">
        <f>IFERROR(VLOOKUP(A2053,[3]DOORSCRIEFT!$A$2:$G$8551,3,FALSE),"")</f>
        <v/>
      </c>
      <c r="E2053" s="392" t="str">
        <f>IFERROR(VLOOKUP(A2053,[3]DOORSCRIEFT!$A$2:$G$8551,4,FALSE),"")</f>
        <v/>
      </c>
      <c r="F2053" s="405" t="str">
        <f>IFERROR(VLOOKUP(A2053,[3]DOORSCRIEFT!$A$2:$G$8551,6,FALSE),"")</f>
        <v/>
      </c>
      <c r="G2053" s="315"/>
    </row>
    <row r="2054" spans="1:7" x14ac:dyDescent="0.25">
      <c r="A2054" s="339" t="str">
        <f t="shared" si="61"/>
        <v>I.2.2.02.030114</v>
      </c>
      <c r="B2054" s="319">
        <v>114</v>
      </c>
      <c r="C2054" s="394" t="str">
        <f>IFERROR(VLOOKUP(A2054,[3]DOORSCRIEFT!$A$2:$G$8551,2,FALSE),"")</f>
        <v/>
      </c>
      <c r="D2054" s="393" t="str">
        <f>IFERROR(VLOOKUP(A2054,[3]DOORSCRIEFT!$A$2:$G$8551,3,FALSE),"")</f>
        <v/>
      </c>
      <c r="E2054" s="392" t="str">
        <f>IFERROR(VLOOKUP(A2054,[3]DOORSCRIEFT!$A$2:$G$8551,4,FALSE),"")</f>
        <v/>
      </c>
      <c r="F2054" s="405" t="str">
        <f>IFERROR(VLOOKUP(A2054,[3]DOORSCRIEFT!$A$2:$G$8551,6,FALSE),"")</f>
        <v/>
      </c>
      <c r="G2054" s="315"/>
    </row>
    <row r="2055" spans="1:7" x14ac:dyDescent="0.25">
      <c r="A2055" s="339" t="str">
        <f t="shared" si="61"/>
        <v>I.2.2.02.030115</v>
      </c>
      <c r="B2055" s="339">
        <v>115</v>
      </c>
      <c r="C2055" s="394" t="str">
        <f>IFERROR(VLOOKUP(A2055,[3]DOORSCRIEFT!$A$2:$G$8551,2,FALSE),"")</f>
        <v/>
      </c>
      <c r="D2055" s="393" t="str">
        <f>IFERROR(VLOOKUP(A2055,[3]DOORSCRIEFT!$A$2:$G$8551,3,FALSE),"")</f>
        <v/>
      </c>
      <c r="E2055" s="392" t="str">
        <f>IFERROR(VLOOKUP(A2055,[3]DOORSCRIEFT!$A$2:$G$8551,4,FALSE),"")</f>
        <v/>
      </c>
      <c r="F2055" s="405" t="str">
        <f>IFERROR(VLOOKUP(A2055,[3]DOORSCRIEFT!$A$2:$G$8551,6,FALSE),"")</f>
        <v/>
      </c>
      <c r="G2055" s="315"/>
    </row>
    <row r="2056" spans="1:7" x14ac:dyDescent="0.25">
      <c r="A2056" s="339" t="str">
        <f t="shared" si="61"/>
        <v>I.2.2.02.030116</v>
      </c>
      <c r="B2056" s="319">
        <v>116</v>
      </c>
      <c r="C2056" s="394" t="str">
        <f>IFERROR(VLOOKUP(A2056,[3]DOORSCRIEFT!$A$2:$G$8551,2,FALSE),"")</f>
        <v/>
      </c>
      <c r="D2056" s="393" t="str">
        <f>IFERROR(VLOOKUP(A2056,[3]DOORSCRIEFT!$A$2:$G$8551,3,FALSE),"")</f>
        <v/>
      </c>
      <c r="E2056" s="392" t="str">
        <f>IFERROR(VLOOKUP(A2056,[3]DOORSCRIEFT!$A$2:$G$8551,4,FALSE),"")</f>
        <v/>
      </c>
      <c r="F2056" s="405" t="str">
        <f>IFERROR(VLOOKUP(A2056,[3]DOORSCRIEFT!$A$2:$G$8551,6,FALSE),"")</f>
        <v/>
      </c>
      <c r="G2056" s="315"/>
    </row>
    <row r="2057" spans="1:7" x14ac:dyDescent="0.25">
      <c r="A2057" s="339" t="str">
        <f t="shared" si="61"/>
        <v>I.2.2.02.030117</v>
      </c>
      <c r="B2057" s="339">
        <v>117</v>
      </c>
      <c r="C2057" s="394" t="str">
        <f>IFERROR(VLOOKUP(A2057,[3]DOORSCRIEFT!$A$2:$G$8551,2,FALSE),"")</f>
        <v/>
      </c>
      <c r="D2057" s="393" t="str">
        <f>IFERROR(VLOOKUP(A2057,[3]DOORSCRIEFT!$A$2:$G$8551,3,FALSE),"")</f>
        <v/>
      </c>
      <c r="E2057" s="392" t="str">
        <f>IFERROR(VLOOKUP(A2057,[3]DOORSCRIEFT!$A$2:$G$8551,4,FALSE),"")</f>
        <v/>
      </c>
      <c r="F2057" s="405" t="str">
        <f>IFERROR(VLOOKUP(A2057,[3]DOORSCRIEFT!$A$2:$G$8551,6,FALSE),"")</f>
        <v/>
      </c>
      <c r="G2057" s="315"/>
    </row>
    <row r="2058" spans="1:7" x14ac:dyDescent="0.25">
      <c r="A2058" s="339" t="str">
        <f t="shared" si="61"/>
        <v>I.2.2.02.030118</v>
      </c>
      <c r="B2058" s="319">
        <v>118</v>
      </c>
      <c r="C2058" s="394" t="str">
        <f>IFERROR(VLOOKUP(A2058,[3]DOORSCRIEFT!$A$2:$G$8551,2,FALSE),"")</f>
        <v/>
      </c>
      <c r="D2058" s="393" t="str">
        <f>IFERROR(VLOOKUP(A2058,[3]DOORSCRIEFT!$A$2:$G$8551,3,FALSE),"")</f>
        <v/>
      </c>
      <c r="E2058" s="392" t="str">
        <f>IFERROR(VLOOKUP(A2058,[3]DOORSCRIEFT!$A$2:$G$8551,4,FALSE),"")</f>
        <v/>
      </c>
      <c r="F2058" s="405" t="str">
        <f>IFERROR(VLOOKUP(A2058,[3]DOORSCRIEFT!$A$2:$G$8551,6,FALSE),"")</f>
        <v/>
      </c>
      <c r="G2058" s="315"/>
    </row>
    <row r="2059" spans="1:7" x14ac:dyDescent="0.25">
      <c r="A2059" s="339" t="str">
        <f t="shared" si="61"/>
        <v>I.2.2.02.030119</v>
      </c>
      <c r="B2059" s="339">
        <v>119</v>
      </c>
      <c r="C2059" s="394" t="str">
        <f>IFERROR(VLOOKUP(A2059,[3]DOORSCRIEFT!$A$2:$G$8551,2,FALSE),"")</f>
        <v/>
      </c>
      <c r="D2059" s="393" t="str">
        <f>IFERROR(VLOOKUP(A2059,[3]DOORSCRIEFT!$A$2:$G$8551,3,FALSE),"")</f>
        <v/>
      </c>
      <c r="E2059" s="392" t="str">
        <f>IFERROR(VLOOKUP(A2059,[3]DOORSCRIEFT!$A$2:$G$8551,4,FALSE),"")</f>
        <v/>
      </c>
      <c r="F2059" s="405" t="str">
        <f>IFERROR(VLOOKUP(A2059,[3]DOORSCRIEFT!$A$2:$G$8551,6,FALSE),"")</f>
        <v/>
      </c>
      <c r="G2059" s="315"/>
    </row>
    <row r="2060" spans="1:7" x14ac:dyDescent="0.25">
      <c r="A2060" s="339" t="str">
        <f t="shared" si="61"/>
        <v>I.2.2.02.030120</v>
      </c>
      <c r="B2060" s="319">
        <v>120</v>
      </c>
      <c r="C2060" s="394" t="str">
        <f>IFERROR(VLOOKUP(A2060,[3]DOORSCRIEFT!$A$2:$G$8551,2,FALSE),"")</f>
        <v/>
      </c>
      <c r="D2060" s="393" t="str">
        <f>IFERROR(VLOOKUP(A2060,[3]DOORSCRIEFT!$A$2:$G$8551,3,FALSE),"")</f>
        <v/>
      </c>
      <c r="E2060" s="392" t="str">
        <f>IFERROR(VLOOKUP(A2060,[3]DOORSCRIEFT!$A$2:$G$8551,4,FALSE),"")</f>
        <v/>
      </c>
      <c r="F2060" s="405" t="str">
        <f>IFERROR(VLOOKUP(A2060,[3]DOORSCRIEFT!$A$2:$G$8551,6,FALSE),"")</f>
        <v/>
      </c>
      <c r="G2060" s="315"/>
    </row>
    <row r="2061" spans="1:7" x14ac:dyDescent="0.25">
      <c r="A2061" s="339" t="str">
        <f t="shared" si="61"/>
        <v>I.2.2.02.030121</v>
      </c>
      <c r="B2061" s="339">
        <v>121</v>
      </c>
      <c r="C2061" s="394" t="str">
        <f>IFERROR(VLOOKUP(A2061,[3]DOORSCRIEFT!$A$2:$G$8551,2,FALSE),"")</f>
        <v/>
      </c>
      <c r="D2061" s="393" t="str">
        <f>IFERROR(VLOOKUP(A2061,[3]DOORSCRIEFT!$A$2:$G$8551,3,FALSE),"")</f>
        <v/>
      </c>
      <c r="E2061" s="392" t="str">
        <f>IFERROR(VLOOKUP(A2061,[3]DOORSCRIEFT!$A$2:$G$8551,4,FALSE),"")</f>
        <v/>
      </c>
      <c r="F2061" s="405" t="str">
        <f>IFERROR(VLOOKUP(A2061,[3]DOORSCRIEFT!$A$2:$G$8551,6,FALSE),"")</f>
        <v/>
      </c>
      <c r="G2061" s="315"/>
    </row>
    <row r="2062" spans="1:7" x14ac:dyDescent="0.25">
      <c r="A2062" s="339" t="str">
        <f t="shared" si="61"/>
        <v>I.2.2.02.030122</v>
      </c>
      <c r="B2062" s="319">
        <v>122</v>
      </c>
      <c r="C2062" s="394" t="str">
        <f>IFERROR(VLOOKUP(A2062,[3]DOORSCRIEFT!$A$2:$G$8551,2,FALSE),"")</f>
        <v/>
      </c>
      <c r="D2062" s="393" t="str">
        <f>IFERROR(VLOOKUP(A2062,[3]DOORSCRIEFT!$A$2:$G$8551,3,FALSE),"")</f>
        <v/>
      </c>
      <c r="E2062" s="392" t="str">
        <f>IFERROR(VLOOKUP(A2062,[3]DOORSCRIEFT!$A$2:$G$8551,4,FALSE),"")</f>
        <v/>
      </c>
      <c r="F2062" s="405" t="str">
        <f>IFERROR(VLOOKUP(A2062,[3]DOORSCRIEFT!$A$2:$G$8551,6,FALSE),"")</f>
        <v/>
      </c>
      <c r="G2062" s="315"/>
    </row>
    <row r="2063" spans="1:7" x14ac:dyDescent="0.25">
      <c r="A2063" s="339" t="str">
        <f t="shared" si="61"/>
        <v>I.2.2.02.030123</v>
      </c>
      <c r="B2063" s="339">
        <v>123</v>
      </c>
      <c r="C2063" s="394" t="str">
        <f>IFERROR(VLOOKUP(A2063,[3]DOORSCRIEFT!$A$2:$G$8551,2,FALSE),"")</f>
        <v/>
      </c>
      <c r="D2063" s="393" t="str">
        <f>IFERROR(VLOOKUP(A2063,[3]DOORSCRIEFT!$A$2:$G$8551,3,FALSE),"")</f>
        <v/>
      </c>
      <c r="E2063" s="392" t="str">
        <f>IFERROR(VLOOKUP(A2063,[3]DOORSCRIEFT!$A$2:$G$8551,4,FALSE),"")</f>
        <v/>
      </c>
      <c r="F2063" s="405" t="str">
        <f>IFERROR(VLOOKUP(A2063,[3]DOORSCRIEFT!$A$2:$G$8551,6,FALSE),"")</f>
        <v/>
      </c>
      <c r="G2063" s="315"/>
    </row>
    <row r="2064" spans="1:7" x14ac:dyDescent="0.25">
      <c r="A2064" s="339" t="str">
        <f t="shared" si="61"/>
        <v>I.2.2.02.030124</v>
      </c>
      <c r="B2064" s="319">
        <v>124</v>
      </c>
      <c r="C2064" s="394" t="str">
        <f>IFERROR(VLOOKUP(A2064,[3]DOORSCRIEFT!$A$2:$G$8551,2,FALSE),"")</f>
        <v/>
      </c>
      <c r="D2064" s="393" t="str">
        <f>IFERROR(VLOOKUP(A2064,[3]DOORSCRIEFT!$A$2:$G$8551,3,FALSE),"")</f>
        <v/>
      </c>
      <c r="E2064" s="392" t="str">
        <f>IFERROR(VLOOKUP(A2064,[3]DOORSCRIEFT!$A$2:$G$8551,4,FALSE),"")</f>
        <v/>
      </c>
      <c r="F2064" s="405" t="str">
        <f>IFERROR(VLOOKUP(A2064,[3]DOORSCRIEFT!$A$2:$G$8551,6,FALSE),"")</f>
        <v/>
      </c>
      <c r="G2064" s="315"/>
    </row>
    <row r="2065" spans="1:7" x14ac:dyDescent="0.25">
      <c r="A2065" s="339" t="str">
        <f t="shared" si="61"/>
        <v>I.2.2.02.030125</v>
      </c>
      <c r="B2065" s="339">
        <v>125</v>
      </c>
      <c r="C2065" s="394" t="str">
        <f>IFERROR(VLOOKUP(A2065,[3]DOORSCRIEFT!$A$2:$G$8551,2,FALSE),"")</f>
        <v/>
      </c>
      <c r="D2065" s="393" t="str">
        <f>IFERROR(VLOOKUP(A2065,[3]DOORSCRIEFT!$A$2:$G$8551,3,FALSE),"")</f>
        <v/>
      </c>
      <c r="E2065" s="392" t="str">
        <f>IFERROR(VLOOKUP(A2065,[3]DOORSCRIEFT!$A$2:$G$8551,4,FALSE),"")</f>
        <v/>
      </c>
      <c r="F2065" s="405" t="str">
        <f>IFERROR(VLOOKUP(A2065,[3]DOORSCRIEFT!$A$2:$G$8551,6,FALSE),"")</f>
        <v/>
      </c>
      <c r="G2065" s="315"/>
    </row>
    <row r="2066" spans="1:7" x14ac:dyDescent="0.25">
      <c r="A2066" s="339" t="str">
        <f t="shared" si="61"/>
        <v>I.2.2.02.030126</v>
      </c>
      <c r="B2066" s="319">
        <v>126</v>
      </c>
      <c r="C2066" s="394" t="str">
        <f>IFERROR(VLOOKUP(A2066,[3]DOORSCRIEFT!$A$2:$G$8551,2,FALSE),"")</f>
        <v/>
      </c>
      <c r="D2066" s="393" t="str">
        <f>IFERROR(VLOOKUP(A2066,[3]DOORSCRIEFT!$A$2:$G$8551,3,FALSE),"")</f>
        <v/>
      </c>
      <c r="E2066" s="392" t="str">
        <f>IFERROR(VLOOKUP(A2066,[3]DOORSCRIEFT!$A$2:$G$8551,4,FALSE),"")</f>
        <v/>
      </c>
      <c r="F2066" s="405" t="str">
        <f>IFERROR(VLOOKUP(A2066,[3]DOORSCRIEFT!$A$2:$G$8551,6,FALSE),"")</f>
        <v/>
      </c>
      <c r="G2066" s="315"/>
    </row>
    <row r="2067" spans="1:7" x14ac:dyDescent="0.25">
      <c r="A2067" s="339" t="str">
        <f t="shared" si="61"/>
        <v>I.2.2.02.030127</v>
      </c>
      <c r="B2067" s="339">
        <v>127</v>
      </c>
      <c r="C2067" s="394" t="str">
        <f>IFERROR(VLOOKUP(A2067,[3]DOORSCRIEFT!$A$2:$G$8551,2,FALSE),"")</f>
        <v/>
      </c>
      <c r="D2067" s="393" t="str">
        <f>IFERROR(VLOOKUP(A2067,[3]DOORSCRIEFT!$A$2:$G$8551,3,FALSE),"")</f>
        <v/>
      </c>
      <c r="E2067" s="392" t="str">
        <f>IFERROR(VLOOKUP(A2067,[3]DOORSCRIEFT!$A$2:$G$8551,4,FALSE),"")</f>
        <v/>
      </c>
      <c r="F2067" s="405" t="str">
        <f>IFERROR(VLOOKUP(A2067,[3]DOORSCRIEFT!$A$2:$G$8551,6,FALSE),"")</f>
        <v/>
      </c>
      <c r="G2067" s="315"/>
    </row>
    <row r="2068" spans="1:7" x14ac:dyDescent="0.25">
      <c r="A2068" s="339" t="str">
        <f t="shared" si="61"/>
        <v>I.2.2.02.030128</v>
      </c>
      <c r="B2068" s="319">
        <v>128</v>
      </c>
      <c r="C2068" s="394" t="str">
        <f>IFERROR(VLOOKUP(A2068,[3]DOORSCRIEFT!$A$2:$G$8551,2,FALSE),"")</f>
        <v/>
      </c>
      <c r="D2068" s="393" t="str">
        <f>IFERROR(VLOOKUP(A2068,[3]DOORSCRIEFT!$A$2:$G$8551,3,FALSE),"")</f>
        <v/>
      </c>
      <c r="E2068" s="392" t="str">
        <f>IFERROR(VLOOKUP(A2068,[3]DOORSCRIEFT!$A$2:$G$8551,4,FALSE),"")</f>
        <v/>
      </c>
      <c r="F2068" s="405" t="str">
        <f>IFERROR(VLOOKUP(A2068,[3]DOORSCRIEFT!$A$2:$G$8551,6,FALSE),"")</f>
        <v/>
      </c>
      <c r="G2068" s="315"/>
    </row>
    <row r="2069" spans="1:7" x14ac:dyDescent="0.25">
      <c r="A2069" s="339" t="str">
        <f t="shared" ref="A2069:A2100" si="62">$G$1934&amp;B2069</f>
        <v>I.2.2.02.030129</v>
      </c>
      <c r="B2069" s="339">
        <v>129</v>
      </c>
      <c r="C2069" s="394" t="str">
        <f>IFERROR(VLOOKUP(A2069,[3]DOORSCRIEFT!$A$2:$G$8551,2,FALSE),"")</f>
        <v/>
      </c>
      <c r="D2069" s="393" t="str">
        <f>IFERROR(VLOOKUP(A2069,[3]DOORSCRIEFT!$A$2:$G$8551,3,FALSE),"")</f>
        <v/>
      </c>
      <c r="E2069" s="392" t="str">
        <f>IFERROR(VLOOKUP(A2069,[3]DOORSCRIEFT!$A$2:$G$8551,4,FALSE),"")</f>
        <v/>
      </c>
      <c r="F2069" s="405" t="str">
        <f>IFERROR(VLOOKUP(A2069,[3]DOORSCRIEFT!$A$2:$G$8551,6,FALSE),"")</f>
        <v/>
      </c>
      <c r="G2069" s="315"/>
    </row>
    <row r="2070" spans="1:7" x14ac:dyDescent="0.25">
      <c r="A2070" s="339" t="str">
        <f t="shared" si="62"/>
        <v>I.2.2.02.030130</v>
      </c>
      <c r="B2070" s="319">
        <v>130</v>
      </c>
      <c r="C2070" s="394" t="str">
        <f>IFERROR(VLOOKUP(A2070,[3]DOORSCRIEFT!$A$2:$G$8551,2,FALSE),"")</f>
        <v/>
      </c>
      <c r="D2070" s="393" t="str">
        <f>IFERROR(VLOOKUP(A2070,[3]DOORSCRIEFT!$A$2:$G$8551,3,FALSE),"")</f>
        <v/>
      </c>
      <c r="E2070" s="392" t="str">
        <f>IFERROR(VLOOKUP(A2070,[3]DOORSCRIEFT!$A$2:$G$8551,4,FALSE),"")</f>
        <v/>
      </c>
      <c r="F2070" s="405" t="str">
        <f>IFERROR(VLOOKUP(A2070,[3]DOORSCRIEFT!$A$2:$G$8551,6,FALSE),"")</f>
        <v/>
      </c>
      <c r="G2070" s="315"/>
    </row>
    <row r="2071" spans="1:7" x14ac:dyDescent="0.25">
      <c r="A2071" s="339" t="str">
        <f t="shared" si="62"/>
        <v>I.2.2.02.030131</v>
      </c>
      <c r="B2071" s="339">
        <v>131</v>
      </c>
      <c r="C2071" s="394" t="str">
        <f>IFERROR(VLOOKUP(A2071,[3]DOORSCRIEFT!$A$2:$G$8551,2,FALSE),"")</f>
        <v/>
      </c>
      <c r="D2071" s="393" t="str">
        <f>IFERROR(VLOOKUP(A2071,[3]DOORSCRIEFT!$A$2:$G$8551,3,FALSE),"")</f>
        <v/>
      </c>
      <c r="E2071" s="392" t="str">
        <f>IFERROR(VLOOKUP(A2071,[3]DOORSCRIEFT!$A$2:$G$8551,4,FALSE),"")</f>
        <v/>
      </c>
      <c r="F2071" s="405" t="str">
        <f>IFERROR(VLOOKUP(A2071,[3]DOORSCRIEFT!$A$2:$G$8551,6,FALSE),"")</f>
        <v/>
      </c>
      <c r="G2071" s="315"/>
    </row>
    <row r="2072" spans="1:7" x14ac:dyDescent="0.25">
      <c r="A2072" s="339" t="str">
        <f t="shared" si="62"/>
        <v>I.2.2.02.030132</v>
      </c>
      <c r="B2072" s="319">
        <v>132</v>
      </c>
      <c r="C2072" s="394" t="str">
        <f>IFERROR(VLOOKUP(A2072,[3]DOORSCRIEFT!$A$2:$G$8551,2,FALSE),"")</f>
        <v/>
      </c>
      <c r="D2072" s="393" t="str">
        <f>IFERROR(VLOOKUP(A2072,[3]DOORSCRIEFT!$A$2:$G$8551,3,FALSE),"")</f>
        <v/>
      </c>
      <c r="E2072" s="392" t="str">
        <f>IFERROR(VLOOKUP(A2072,[3]DOORSCRIEFT!$A$2:$G$8551,4,FALSE),"")</f>
        <v/>
      </c>
      <c r="F2072" s="405" t="str">
        <f>IFERROR(VLOOKUP(A2072,[3]DOORSCRIEFT!$A$2:$G$8551,6,FALSE),"")</f>
        <v/>
      </c>
      <c r="G2072" s="315"/>
    </row>
    <row r="2073" spans="1:7" x14ac:dyDescent="0.25">
      <c r="A2073" s="339" t="str">
        <f t="shared" si="62"/>
        <v>I.2.2.02.030133</v>
      </c>
      <c r="B2073" s="339">
        <v>133</v>
      </c>
      <c r="C2073" s="394" t="str">
        <f>IFERROR(VLOOKUP(A2073,[3]DOORSCRIEFT!$A$2:$G$8551,2,FALSE),"")</f>
        <v/>
      </c>
      <c r="D2073" s="393" t="str">
        <f>IFERROR(VLOOKUP(A2073,[3]DOORSCRIEFT!$A$2:$G$8551,3,FALSE),"")</f>
        <v/>
      </c>
      <c r="E2073" s="392" t="str">
        <f>IFERROR(VLOOKUP(A2073,[3]DOORSCRIEFT!$A$2:$G$8551,4,FALSE),"")</f>
        <v/>
      </c>
      <c r="F2073" s="405" t="str">
        <f>IFERROR(VLOOKUP(A2073,[3]DOORSCRIEFT!$A$2:$G$8551,6,FALSE),"")</f>
        <v/>
      </c>
      <c r="G2073" s="315"/>
    </row>
    <row r="2074" spans="1:7" x14ac:dyDescent="0.25">
      <c r="A2074" s="339" t="str">
        <f t="shared" si="62"/>
        <v>I.2.2.02.030134</v>
      </c>
      <c r="B2074" s="319">
        <v>134</v>
      </c>
      <c r="C2074" s="394" t="str">
        <f>IFERROR(VLOOKUP(A2074,[3]DOORSCRIEFT!$A$2:$G$8551,2,FALSE),"")</f>
        <v/>
      </c>
      <c r="D2074" s="393" t="str">
        <f>IFERROR(VLOOKUP(A2074,[3]DOORSCRIEFT!$A$2:$G$8551,3,FALSE),"")</f>
        <v/>
      </c>
      <c r="E2074" s="392" t="str">
        <f>IFERROR(VLOOKUP(A2074,[3]DOORSCRIEFT!$A$2:$G$8551,4,FALSE),"")</f>
        <v/>
      </c>
      <c r="F2074" s="405" t="str">
        <f>IFERROR(VLOOKUP(A2074,[3]DOORSCRIEFT!$A$2:$G$8551,6,FALSE),"")</f>
        <v/>
      </c>
      <c r="G2074" s="315"/>
    </row>
    <row r="2075" spans="1:7" x14ac:dyDescent="0.25">
      <c r="A2075" s="339" t="str">
        <f t="shared" si="62"/>
        <v>I.2.2.02.030135</v>
      </c>
      <c r="B2075" s="339">
        <v>135</v>
      </c>
      <c r="C2075" s="394" t="str">
        <f>IFERROR(VLOOKUP(A2075,[3]DOORSCRIEFT!$A$2:$G$8551,2,FALSE),"")</f>
        <v/>
      </c>
      <c r="D2075" s="393" t="str">
        <f>IFERROR(VLOOKUP(A2075,[3]DOORSCRIEFT!$A$2:$G$8551,3,FALSE),"")</f>
        <v/>
      </c>
      <c r="E2075" s="392" t="str">
        <f>IFERROR(VLOOKUP(A2075,[3]DOORSCRIEFT!$A$2:$G$8551,4,FALSE),"")</f>
        <v/>
      </c>
      <c r="F2075" s="405" t="str">
        <f>IFERROR(VLOOKUP(A2075,[3]DOORSCRIEFT!$A$2:$G$8551,6,FALSE),"")</f>
        <v/>
      </c>
      <c r="G2075" s="315"/>
    </row>
    <row r="2076" spans="1:7" x14ac:dyDescent="0.25">
      <c r="A2076" s="339" t="str">
        <f t="shared" si="62"/>
        <v>I.2.2.02.030136</v>
      </c>
      <c r="B2076" s="319">
        <v>136</v>
      </c>
      <c r="C2076" s="394" t="str">
        <f>IFERROR(VLOOKUP(A2076,[3]DOORSCRIEFT!$A$2:$G$8551,2,FALSE),"")</f>
        <v/>
      </c>
      <c r="D2076" s="393" t="str">
        <f>IFERROR(VLOOKUP(A2076,[3]DOORSCRIEFT!$A$2:$G$8551,3,FALSE),"")</f>
        <v/>
      </c>
      <c r="E2076" s="392" t="str">
        <f>IFERROR(VLOOKUP(A2076,[3]DOORSCRIEFT!$A$2:$G$8551,4,FALSE),"")</f>
        <v/>
      </c>
      <c r="F2076" s="405" t="str">
        <f>IFERROR(VLOOKUP(A2076,[3]DOORSCRIEFT!$A$2:$G$8551,6,FALSE),"")</f>
        <v/>
      </c>
      <c r="G2076" s="315"/>
    </row>
    <row r="2077" spans="1:7" x14ac:dyDescent="0.25">
      <c r="A2077" s="339" t="str">
        <f t="shared" si="62"/>
        <v>I.2.2.02.030137</v>
      </c>
      <c r="B2077" s="339">
        <v>137</v>
      </c>
      <c r="C2077" s="394" t="str">
        <f>IFERROR(VLOOKUP(A2077,[3]DOORSCRIEFT!$A$2:$G$8551,2,FALSE),"")</f>
        <v/>
      </c>
      <c r="D2077" s="393" t="str">
        <f>IFERROR(VLOOKUP(A2077,[3]DOORSCRIEFT!$A$2:$G$8551,3,FALSE),"")</f>
        <v/>
      </c>
      <c r="E2077" s="392" t="str">
        <f>IFERROR(VLOOKUP(A2077,[3]DOORSCRIEFT!$A$2:$G$8551,4,FALSE),"")</f>
        <v/>
      </c>
      <c r="F2077" s="405" t="str">
        <f>IFERROR(VLOOKUP(A2077,[3]DOORSCRIEFT!$A$2:$G$8551,6,FALSE),"")</f>
        <v/>
      </c>
      <c r="G2077" s="315"/>
    </row>
    <row r="2078" spans="1:7" x14ac:dyDescent="0.25">
      <c r="A2078" s="339" t="str">
        <f t="shared" si="62"/>
        <v>I.2.2.02.030138</v>
      </c>
      <c r="B2078" s="319">
        <v>138</v>
      </c>
      <c r="C2078" s="394" t="str">
        <f>IFERROR(VLOOKUP(A2078,[3]DOORSCRIEFT!$A$2:$G$8551,2,FALSE),"")</f>
        <v/>
      </c>
      <c r="D2078" s="393" t="str">
        <f>IFERROR(VLOOKUP(A2078,[3]DOORSCRIEFT!$A$2:$G$8551,3,FALSE),"")</f>
        <v/>
      </c>
      <c r="E2078" s="392" t="str">
        <f>IFERROR(VLOOKUP(A2078,[3]DOORSCRIEFT!$A$2:$G$8551,4,FALSE),"")</f>
        <v/>
      </c>
      <c r="F2078" s="405" t="str">
        <f>IFERROR(VLOOKUP(A2078,[3]DOORSCRIEFT!$A$2:$G$8551,6,FALSE),"")</f>
        <v/>
      </c>
      <c r="G2078" s="315"/>
    </row>
    <row r="2079" spans="1:7" x14ac:dyDescent="0.25">
      <c r="A2079" s="339" t="str">
        <f t="shared" si="62"/>
        <v>I.2.2.02.030139</v>
      </c>
      <c r="B2079" s="339">
        <v>139</v>
      </c>
      <c r="C2079" s="394" t="str">
        <f>IFERROR(VLOOKUP(A2079,[3]DOORSCRIEFT!$A$2:$G$8551,2,FALSE),"")</f>
        <v/>
      </c>
      <c r="D2079" s="393" t="str">
        <f>IFERROR(VLOOKUP(A2079,[3]DOORSCRIEFT!$A$2:$G$8551,3,FALSE),"")</f>
        <v/>
      </c>
      <c r="E2079" s="392" t="str">
        <f>IFERROR(VLOOKUP(A2079,[3]DOORSCRIEFT!$A$2:$G$8551,4,FALSE),"")</f>
        <v/>
      </c>
      <c r="F2079" s="405" t="str">
        <f>IFERROR(VLOOKUP(A2079,[3]DOORSCRIEFT!$A$2:$G$8551,6,FALSE),"")</f>
        <v/>
      </c>
      <c r="G2079" s="315"/>
    </row>
    <row r="2080" spans="1:7" x14ac:dyDescent="0.25">
      <c r="A2080" s="339" t="str">
        <f t="shared" si="62"/>
        <v>I.2.2.02.030140</v>
      </c>
      <c r="B2080" s="319">
        <v>140</v>
      </c>
      <c r="C2080" s="394" t="str">
        <f>IFERROR(VLOOKUP(A2080,[3]DOORSCRIEFT!$A$2:$G$8551,2,FALSE),"")</f>
        <v/>
      </c>
      <c r="D2080" s="393" t="str">
        <f>IFERROR(VLOOKUP(A2080,[3]DOORSCRIEFT!$A$2:$G$8551,3,FALSE),"")</f>
        <v/>
      </c>
      <c r="E2080" s="392" t="str">
        <f>IFERROR(VLOOKUP(A2080,[3]DOORSCRIEFT!$A$2:$G$8551,4,FALSE),"")</f>
        <v/>
      </c>
      <c r="F2080" s="405" t="str">
        <f>IFERROR(VLOOKUP(A2080,[3]DOORSCRIEFT!$A$2:$G$8551,6,FALSE),"")</f>
        <v/>
      </c>
      <c r="G2080" s="315"/>
    </row>
    <row r="2081" spans="1:7" x14ac:dyDescent="0.25">
      <c r="A2081" s="339" t="str">
        <f t="shared" si="62"/>
        <v>I.2.2.02.030141</v>
      </c>
      <c r="B2081" s="339">
        <v>141</v>
      </c>
      <c r="C2081" s="394" t="str">
        <f>IFERROR(VLOOKUP(A2081,[3]DOORSCRIEFT!$A$2:$G$8551,2,FALSE),"")</f>
        <v/>
      </c>
      <c r="D2081" s="393" t="str">
        <f>IFERROR(VLOOKUP(A2081,[3]DOORSCRIEFT!$A$2:$G$8551,3,FALSE),"")</f>
        <v/>
      </c>
      <c r="E2081" s="392" t="str">
        <f>IFERROR(VLOOKUP(A2081,[3]DOORSCRIEFT!$A$2:$G$8551,4,FALSE),"")</f>
        <v/>
      </c>
      <c r="F2081" s="405" t="str">
        <f>IFERROR(VLOOKUP(A2081,[3]DOORSCRIEFT!$A$2:$G$8551,6,FALSE),"")</f>
        <v/>
      </c>
      <c r="G2081" s="315"/>
    </row>
    <row r="2082" spans="1:7" x14ac:dyDescent="0.25">
      <c r="A2082" s="339" t="str">
        <f t="shared" si="62"/>
        <v>I.2.2.02.030142</v>
      </c>
      <c r="B2082" s="319">
        <v>142</v>
      </c>
      <c r="C2082" s="394" t="str">
        <f>IFERROR(VLOOKUP(A2082,[3]DOORSCRIEFT!$A$2:$G$8551,2,FALSE),"")</f>
        <v/>
      </c>
      <c r="D2082" s="393" t="str">
        <f>IFERROR(VLOOKUP(A2082,[3]DOORSCRIEFT!$A$2:$G$8551,3,FALSE),"")</f>
        <v/>
      </c>
      <c r="E2082" s="392" t="str">
        <f>IFERROR(VLOOKUP(A2082,[3]DOORSCRIEFT!$A$2:$G$8551,4,FALSE),"")</f>
        <v/>
      </c>
      <c r="F2082" s="405" t="str">
        <f>IFERROR(VLOOKUP(A2082,[3]DOORSCRIEFT!$A$2:$G$8551,6,FALSE),"")</f>
        <v/>
      </c>
      <c r="G2082" s="315"/>
    </row>
    <row r="2083" spans="1:7" x14ac:dyDescent="0.25">
      <c r="A2083" s="339" t="str">
        <f t="shared" si="62"/>
        <v>I.2.2.02.030143</v>
      </c>
      <c r="B2083" s="339">
        <v>143</v>
      </c>
      <c r="C2083" s="394" t="str">
        <f>IFERROR(VLOOKUP(A2083,[3]DOORSCRIEFT!$A$2:$G$8551,2,FALSE),"")</f>
        <v/>
      </c>
      <c r="D2083" s="393" t="str">
        <f>IFERROR(VLOOKUP(A2083,[3]DOORSCRIEFT!$A$2:$G$8551,3,FALSE),"")</f>
        <v/>
      </c>
      <c r="E2083" s="392" t="str">
        <f>IFERROR(VLOOKUP(A2083,[3]DOORSCRIEFT!$A$2:$G$8551,4,FALSE),"")</f>
        <v/>
      </c>
      <c r="F2083" s="405" t="str">
        <f>IFERROR(VLOOKUP(A2083,[3]DOORSCRIEFT!$A$2:$G$8551,6,FALSE),"")</f>
        <v/>
      </c>
      <c r="G2083" s="315"/>
    </row>
    <row r="2084" spans="1:7" x14ac:dyDescent="0.25">
      <c r="A2084" s="339" t="str">
        <f t="shared" si="62"/>
        <v>I.2.2.02.030144</v>
      </c>
      <c r="B2084" s="319">
        <v>144</v>
      </c>
      <c r="C2084" s="394" t="str">
        <f>IFERROR(VLOOKUP(A2084,[3]DOORSCRIEFT!$A$2:$G$8551,2,FALSE),"")</f>
        <v/>
      </c>
      <c r="D2084" s="393" t="str">
        <f>IFERROR(VLOOKUP(A2084,[3]DOORSCRIEFT!$A$2:$G$8551,3,FALSE),"")</f>
        <v/>
      </c>
      <c r="E2084" s="392" t="str">
        <f>IFERROR(VLOOKUP(A2084,[3]DOORSCRIEFT!$A$2:$G$8551,4,FALSE),"")</f>
        <v/>
      </c>
      <c r="F2084" s="405" t="str">
        <f>IFERROR(VLOOKUP(A2084,[3]DOORSCRIEFT!$A$2:$G$8551,6,FALSE),"")</f>
        <v/>
      </c>
      <c r="G2084" s="315"/>
    </row>
    <row r="2085" spans="1:7" x14ac:dyDescent="0.25">
      <c r="A2085" s="339" t="str">
        <f t="shared" si="62"/>
        <v>I.2.2.02.030145</v>
      </c>
      <c r="B2085" s="339">
        <v>145</v>
      </c>
      <c r="C2085" s="394" t="str">
        <f>IFERROR(VLOOKUP(A2085,[3]DOORSCRIEFT!$A$2:$G$8551,2,FALSE),"")</f>
        <v/>
      </c>
      <c r="D2085" s="393" t="str">
        <f>IFERROR(VLOOKUP(A2085,[3]DOORSCRIEFT!$A$2:$G$8551,3,FALSE),"")</f>
        <v/>
      </c>
      <c r="E2085" s="392" t="str">
        <f>IFERROR(VLOOKUP(A2085,[3]DOORSCRIEFT!$A$2:$G$8551,4,FALSE),"")</f>
        <v/>
      </c>
      <c r="F2085" s="405" t="str">
        <f>IFERROR(VLOOKUP(A2085,[3]DOORSCRIEFT!$A$2:$G$8551,6,FALSE),"")</f>
        <v/>
      </c>
      <c r="G2085" s="315"/>
    </row>
    <row r="2086" spans="1:7" x14ac:dyDescent="0.25">
      <c r="A2086" s="339" t="str">
        <f t="shared" si="62"/>
        <v>I.2.2.02.030146</v>
      </c>
      <c r="B2086" s="319">
        <v>146</v>
      </c>
      <c r="C2086" s="394" t="str">
        <f>IFERROR(VLOOKUP(A2086,[3]DOORSCRIEFT!$A$2:$G$8551,2,FALSE),"")</f>
        <v/>
      </c>
      <c r="D2086" s="393" t="str">
        <f>IFERROR(VLOOKUP(A2086,[3]DOORSCRIEFT!$A$2:$G$8551,3,FALSE),"")</f>
        <v/>
      </c>
      <c r="E2086" s="392" t="str">
        <f>IFERROR(VLOOKUP(A2086,[3]DOORSCRIEFT!$A$2:$G$8551,4,FALSE),"")</f>
        <v/>
      </c>
      <c r="F2086" s="405" t="str">
        <f>IFERROR(VLOOKUP(A2086,[3]DOORSCRIEFT!$A$2:$G$8551,6,FALSE),"")</f>
        <v/>
      </c>
      <c r="G2086" s="315"/>
    </row>
    <row r="2087" spans="1:7" x14ac:dyDescent="0.25">
      <c r="A2087" s="339" t="str">
        <f t="shared" si="62"/>
        <v>I.2.2.02.030147</v>
      </c>
      <c r="B2087" s="339">
        <v>147</v>
      </c>
      <c r="C2087" s="394" t="str">
        <f>IFERROR(VLOOKUP(A2087,[3]DOORSCRIEFT!$A$2:$G$8551,2,FALSE),"")</f>
        <v/>
      </c>
      <c r="D2087" s="393" t="str">
        <f>IFERROR(VLOOKUP(A2087,[3]DOORSCRIEFT!$A$2:$G$8551,3,FALSE),"")</f>
        <v/>
      </c>
      <c r="E2087" s="392" t="str">
        <f>IFERROR(VLOOKUP(A2087,[3]DOORSCRIEFT!$A$2:$G$8551,4,FALSE),"")</f>
        <v/>
      </c>
      <c r="F2087" s="405" t="str">
        <f>IFERROR(VLOOKUP(A2087,[3]DOORSCRIEFT!$A$2:$G$8551,6,FALSE),"")</f>
        <v/>
      </c>
      <c r="G2087" s="315"/>
    </row>
    <row r="2088" spans="1:7" x14ac:dyDescent="0.25">
      <c r="A2088" s="339" t="str">
        <f t="shared" si="62"/>
        <v>I.2.2.02.030148</v>
      </c>
      <c r="B2088" s="319">
        <v>148</v>
      </c>
      <c r="C2088" s="394" t="str">
        <f>IFERROR(VLOOKUP(A2088,[3]DOORSCRIEFT!$A$2:$G$8551,2,FALSE),"")</f>
        <v/>
      </c>
      <c r="D2088" s="393" t="str">
        <f>IFERROR(VLOOKUP(A2088,[3]DOORSCRIEFT!$A$2:$G$8551,3,FALSE),"")</f>
        <v/>
      </c>
      <c r="E2088" s="392" t="str">
        <f>IFERROR(VLOOKUP(A2088,[3]DOORSCRIEFT!$A$2:$G$8551,4,FALSE),"")</f>
        <v/>
      </c>
      <c r="F2088" s="405" t="str">
        <f>IFERROR(VLOOKUP(A2088,[3]DOORSCRIEFT!$A$2:$G$8551,6,FALSE),"")</f>
        <v/>
      </c>
      <c r="G2088" s="315"/>
    </row>
    <row r="2089" spans="1:7" x14ac:dyDescent="0.25">
      <c r="A2089" s="339" t="str">
        <f t="shared" si="62"/>
        <v>I.2.2.02.030149</v>
      </c>
      <c r="B2089" s="339">
        <v>149</v>
      </c>
      <c r="C2089" s="394" t="str">
        <f>IFERROR(VLOOKUP(A2089,[3]DOORSCRIEFT!$A$2:$G$8551,2,FALSE),"")</f>
        <v/>
      </c>
      <c r="D2089" s="393" t="str">
        <f>IFERROR(VLOOKUP(A2089,[3]DOORSCRIEFT!$A$2:$G$8551,3,FALSE),"")</f>
        <v/>
      </c>
      <c r="E2089" s="392" t="str">
        <f>IFERROR(VLOOKUP(A2089,[3]DOORSCRIEFT!$A$2:$G$8551,4,FALSE),"")</f>
        <v/>
      </c>
      <c r="F2089" s="405" t="str">
        <f>IFERROR(VLOOKUP(A2089,[3]DOORSCRIEFT!$A$2:$G$8551,6,FALSE),"")</f>
        <v/>
      </c>
      <c r="G2089" s="315"/>
    </row>
    <row r="2090" spans="1:7" x14ac:dyDescent="0.25">
      <c r="A2090" s="339" t="str">
        <f t="shared" si="62"/>
        <v>I.2.2.02.030150</v>
      </c>
      <c r="B2090" s="319">
        <v>150</v>
      </c>
      <c r="C2090" s="394" t="str">
        <f>IFERROR(VLOOKUP(A2090,[3]DOORSCRIEFT!$A$2:$G$8551,2,FALSE),"")</f>
        <v/>
      </c>
      <c r="D2090" s="393" t="str">
        <f>IFERROR(VLOOKUP(A2090,[3]DOORSCRIEFT!$A$2:$G$8551,3,FALSE),"")</f>
        <v/>
      </c>
      <c r="E2090" s="392" t="str">
        <f>IFERROR(VLOOKUP(A2090,[3]DOORSCRIEFT!$A$2:$G$8551,4,FALSE),"")</f>
        <v/>
      </c>
      <c r="F2090" s="405" t="str">
        <f>IFERROR(VLOOKUP(A2090,[3]DOORSCRIEFT!$A$2:$G$8551,6,FALSE),"")</f>
        <v/>
      </c>
      <c r="G2090" s="315"/>
    </row>
    <row r="2091" spans="1:7" x14ac:dyDescent="0.25">
      <c r="A2091" s="339" t="str">
        <f t="shared" si="62"/>
        <v>I.2.2.02.030151</v>
      </c>
      <c r="B2091" s="339">
        <v>151</v>
      </c>
      <c r="C2091" s="394" t="str">
        <f>IFERROR(VLOOKUP(A2091,[3]DOORSCRIEFT!$A$2:$G$8551,2,FALSE),"")</f>
        <v/>
      </c>
      <c r="D2091" s="393" t="str">
        <f>IFERROR(VLOOKUP(A2091,[3]DOORSCRIEFT!$A$2:$G$8551,3,FALSE),"")</f>
        <v/>
      </c>
      <c r="E2091" s="392" t="str">
        <f>IFERROR(VLOOKUP(A2091,[3]DOORSCRIEFT!$A$2:$G$8551,4,FALSE),"")</f>
        <v/>
      </c>
      <c r="F2091" s="405" t="str">
        <f>IFERROR(VLOOKUP(A2091,[3]DOORSCRIEFT!$A$2:$G$8551,6,FALSE),"")</f>
        <v/>
      </c>
      <c r="G2091" s="315"/>
    </row>
    <row r="2092" spans="1:7" x14ac:dyDescent="0.25">
      <c r="A2092" s="339" t="str">
        <f t="shared" si="62"/>
        <v>I.2.2.02.030152</v>
      </c>
      <c r="B2092" s="319">
        <v>152</v>
      </c>
      <c r="C2092" s="394" t="str">
        <f>IFERROR(VLOOKUP(A2092,[3]DOORSCRIEFT!$A$2:$G$8551,2,FALSE),"")</f>
        <v/>
      </c>
      <c r="D2092" s="393" t="str">
        <f>IFERROR(VLOOKUP(A2092,[3]DOORSCRIEFT!$A$2:$G$8551,3,FALSE),"")</f>
        <v/>
      </c>
      <c r="E2092" s="392" t="str">
        <f>IFERROR(VLOOKUP(A2092,[3]DOORSCRIEFT!$A$2:$G$8551,4,FALSE),"")</f>
        <v/>
      </c>
      <c r="F2092" s="405" t="str">
        <f>IFERROR(VLOOKUP(A2092,[3]DOORSCRIEFT!$A$2:$G$8551,6,FALSE),"")</f>
        <v/>
      </c>
      <c r="G2092" s="315"/>
    </row>
    <row r="2093" spans="1:7" x14ac:dyDescent="0.25">
      <c r="A2093" s="339" t="str">
        <f t="shared" si="62"/>
        <v>I.2.2.02.030153</v>
      </c>
      <c r="B2093" s="339">
        <v>153</v>
      </c>
      <c r="C2093" s="394" t="str">
        <f>IFERROR(VLOOKUP(A2093,[3]DOORSCRIEFT!$A$2:$G$8551,2,FALSE),"")</f>
        <v/>
      </c>
      <c r="D2093" s="393" t="str">
        <f>IFERROR(VLOOKUP(A2093,[3]DOORSCRIEFT!$A$2:$G$8551,3,FALSE),"")</f>
        <v/>
      </c>
      <c r="E2093" s="392" t="str">
        <f>IFERROR(VLOOKUP(A2093,[3]DOORSCRIEFT!$A$2:$G$8551,4,FALSE),"")</f>
        <v/>
      </c>
      <c r="F2093" s="405" t="str">
        <f>IFERROR(VLOOKUP(A2093,[3]DOORSCRIEFT!$A$2:$G$8551,6,FALSE),"")</f>
        <v/>
      </c>
      <c r="G2093" s="315"/>
    </row>
    <row r="2094" spans="1:7" ht="15.75" thickBot="1" x14ac:dyDescent="0.3">
      <c r="A2094" s="353" t="str">
        <f t="shared" si="62"/>
        <v>I.2.2.02.030154</v>
      </c>
      <c r="B2094" s="345">
        <v>154</v>
      </c>
      <c r="C2094" s="394" t="str">
        <f>IFERROR(VLOOKUP(A2094,[3]DOORSCRIEFT!$A$2:$G$8551,2,FALSE),"")</f>
        <v/>
      </c>
      <c r="D2094" s="393" t="str">
        <f>IFERROR(VLOOKUP(A2094,[3]DOORSCRIEFT!$A$2:$G$8551,3,FALSE),"")</f>
        <v/>
      </c>
      <c r="E2094" s="392" t="str">
        <f>IFERROR(VLOOKUP(A2094,[3]DOORSCRIEFT!$A$2:$G$8551,4,FALSE),"")</f>
        <v/>
      </c>
      <c r="F2094" s="405" t="str">
        <f>IFERROR(VLOOKUP(A2094,[3]DOORSCRIEFT!$A$2:$G$8551,6,FALSE),"")</f>
        <v/>
      </c>
      <c r="G2094" s="315"/>
    </row>
    <row r="2095" spans="1:7" ht="15.75" thickBot="1" x14ac:dyDescent="0.3">
      <c r="A2095" s="421"/>
      <c r="B2095" s="420"/>
      <c r="C2095" s="313"/>
      <c r="D2095" s="312"/>
      <c r="E2095" s="311" t="s">
        <v>644</v>
      </c>
      <c r="F2095" s="310">
        <f>SUM(F1941:F2094)</f>
        <v>9212000</v>
      </c>
      <c r="G2095" s="309">
        <f>SUM(G1941:G2094)</f>
        <v>0</v>
      </c>
    </row>
    <row r="2098" spans="1:7" ht="15.75" x14ac:dyDescent="0.25">
      <c r="C2098" s="332"/>
      <c r="D2098" s="333"/>
      <c r="E2098" s="332"/>
      <c r="F2098" s="327" t="s">
        <v>607</v>
      </c>
      <c r="G2098" s="327" t="s">
        <v>486</v>
      </c>
    </row>
    <row r="2099" spans="1:7" ht="15.75" x14ac:dyDescent="0.25">
      <c r="C2099" s="332"/>
      <c r="D2099" s="333"/>
      <c r="E2099" s="332"/>
      <c r="F2099" s="327" t="s">
        <v>601</v>
      </c>
      <c r="G2099" s="327" t="s">
        <v>485</v>
      </c>
    </row>
    <row r="2100" spans="1:7" x14ac:dyDescent="0.25">
      <c r="C2100" s="328"/>
      <c r="D2100" s="329"/>
      <c r="E2100" s="328"/>
      <c r="F2100" s="327" t="s">
        <v>651</v>
      </c>
      <c r="G2100" s="331">
        <f>[2]Sheet1!$D$57</f>
        <v>6300000</v>
      </c>
    </row>
    <row r="2101" spans="1:7" ht="15.75" thickBot="1" x14ac:dyDescent="0.3">
      <c r="C2101" s="328"/>
      <c r="D2101" s="329"/>
      <c r="E2101" s="328"/>
      <c r="F2101" s="327" t="s">
        <v>650</v>
      </c>
      <c r="G2101" s="326">
        <f>+F2147-G2100</f>
        <v>-5196000</v>
      </c>
    </row>
    <row r="2102" spans="1:7" x14ac:dyDescent="0.25">
      <c r="A2102" s="571" t="s">
        <v>626</v>
      </c>
      <c r="B2102" s="584" t="s">
        <v>606</v>
      </c>
      <c r="C2102" s="588" t="s">
        <v>649</v>
      </c>
      <c r="D2102" s="577" t="s">
        <v>648</v>
      </c>
      <c r="E2102" s="577" t="s">
        <v>647</v>
      </c>
      <c r="F2102" s="577" t="s">
        <v>646</v>
      </c>
      <c r="G2102" s="580" t="s">
        <v>645</v>
      </c>
    </row>
    <row r="2103" spans="1:7" ht="15.75" thickBot="1" x14ac:dyDescent="0.3">
      <c r="A2103" s="572"/>
      <c r="B2103" s="585"/>
      <c r="C2103" s="589"/>
      <c r="D2103" s="586"/>
      <c r="E2103" s="586"/>
      <c r="F2103" s="586"/>
      <c r="G2103" s="587"/>
    </row>
    <row r="2104" spans="1:7" ht="15.75" thickBot="1" x14ac:dyDescent="0.3">
      <c r="A2104" s="325">
        <v>1</v>
      </c>
      <c r="B2104" s="324">
        <v>2</v>
      </c>
      <c r="C2104" s="324">
        <v>3</v>
      </c>
      <c r="D2104" s="324">
        <v>4</v>
      </c>
      <c r="E2104" s="324">
        <v>5</v>
      </c>
      <c r="F2104" s="324">
        <v>6</v>
      </c>
      <c r="G2104" s="323">
        <v>7</v>
      </c>
    </row>
    <row r="2105" spans="1:7" x14ac:dyDescent="0.25">
      <c r="A2105" s="339" t="str">
        <f t="shared" ref="A2105:A2146" si="63">$G$2098&amp;B2105</f>
        <v>I.2.2.02.0311</v>
      </c>
      <c r="B2105" s="339">
        <v>1</v>
      </c>
      <c r="C2105" s="394">
        <f>IFERROR(VLOOKUP(A2105,[3]DOORSCRIEFT!$A$2:$G$8551,2,FALSE),"")</f>
        <v>50</v>
      </c>
      <c r="D2105" s="393">
        <f>IFERROR(VLOOKUP(A2105,[3]DOORSCRIEFT!$A$2:$G$8551,3,FALSE),"")</f>
        <v>46033</v>
      </c>
      <c r="E2105" s="392" t="str">
        <f>IFERROR(VLOOKUP(A2105,[3]DOORSCRIEFT!$A$2:$G$8551,4,FALSE),"")</f>
        <v>Kolekta Kebaktian Pengasuh SMTPI</v>
      </c>
      <c r="F2105" s="405">
        <f>IFERROR(VLOOKUP(A2105,[3]DOORSCRIEFT!$A$2:$G$8551,6,FALSE),"")</f>
        <v>180000</v>
      </c>
      <c r="G2105" s="322"/>
    </row>
    <row r="2106" spans="1:7" x14ac:dyDescent="0.25">
      <c r="A2106" s="319" t="str">
        <f t="shared" si="63"/>
        <v>I.2.2.02.0312</v>
      </c>
      <c r="B2106" s="319">
        <v>2</v>
      </c>
      <c r="C2106" s="394">
        <f>IFERROR(VLOOKUP(A2106,[3]DOORSCRIEFT!$A$2:$G$8551,2,FALSE),"")</f>
        <v>130</v>
      </c>
      <c r="D2106" s="393">
        <f>IFERROR(VLOOKUP(A2106,[3]DOORSCRIEFT!$A$2:$G$8551,3,FALSE),"")</f>
        <v>46052</v>
      </c>
      <c r="E2106" s="392" t="str">
        <f>IFERROR(VLOOKUP(A2106,[3]DOORSCRIEFT!$A$2:$G$8551,4,FALSE),"")</f>
        <v>KolektaKebaktian Pengasuh</v>
      </c>
      <c r="F2106" s="405">
        <f>IFERROR(VLOOKUP(A2106,[3]DOORSCRIEFT!$A$2:$G$8551,6,FALSE),"")</f>
        <v>160000</v>
      </c>
      <c r="G2106" s="315"/>
    </row>
    <row r="2107" spans="1:7" x14ac:dyDescent="0.25">
      <c r="A2107" s="319" t="str">
        <f t="shared" si="63"/>
        <v>I.2.2.02.0313</v>
      </c>
      <c r="B2107" s="319">
        <v>3</v>
      </c>
      <c r="C2107" s="394">
        <f>IFERROR(VLOOKUP(A2107,[3]DOORSCRIEFT!$A$2:$G$8551,2,FALSE),"")</f>
        <v>164</v>
      </c>
      <c r="D2107" s="393">
        <f>IFERROR(VLOOKUP(A2107,[3]DOORSCRIEFT!$A$2:$G$8551,3,FALSE),"")</f>
        <v>46059</v>
      </c>
      <c r="E2107" s="392" t="str">
        <f>IFERROR(VLOOKUP(A2107,[3]DOORSCRIEFT!$A$2:$G$8551,4,FALSE),"")</f>
        <v>Kolekta Kebaktian Pengasuh SMTPI</v>
      </c>
      <c r="F2107" s="405">
        <f>IFERROR(VLOOKUP(A2107,[3]DOORSCRIEFT!$A$2:$G$8551,6,FALSE),"")</f>
        <v>164000</v>
      </c>
      <c r="G2107" s="315"/>
    </row>
    <row r="2108" spans="1:7" x14ac:dyDescent="0.25">
      <c r="A2108" s="319" t="str">
        <f t="shared" si="63"/>
        <v>I.2.2.02.0314</v>
      </c>
      <c r="B2108" s="319">
        <v>4</v>
      </c>
      <c r="C2108" s="394">
        <f>IFERROR(VLOOKUP(A2108,[3]DOORSCRIEFT!$A$2:$G$8551,2,FALSE),"")</f>
        <v>233</v>
      </c>
      <c r="D2108" s="393">
        <f>IFERROR(VLOOKUP(A2108,[3]DOORSCRIEFT!$A$2:$G$8551,3,FALSE),"")</f>
        <v>46075</v>
      </c>
      <c r="E2108" s="392" t="str">
        <f>IFERROR(VLOOKUP(A2108,[3]DOORSCRIEFT!$A$2:$G$8551,4,FALSE),"")</f>
        <v>Kolekta Kebaktian Pengasuh SMTPI</v>
      </c>
      <c r="F2108" s="405">
        <f>IFERROR(VLOOKUP(A2108,[3]DOORSCRIEFT!$A$2:$G$8551,6,FALSE),"")</f>
        <v>170000</v>
      </c>
      <c r="G2108" s="315"/>
    </row>
    <row r="2109" spans="1:7" x14ac:dyDescent="0.25">
      <c r="A2109" s="319" t="str">
        <f t="shared" si="63"/>
        <v>I.2.2.02.0315</v>
      </c>
      <c r="B2109" s="319">
        <v>5</v>
      </c>
      <c r="C2109" s="394">
        <f>IFERROR(VLOOKUP(A2109,[3]DOORSCRIEFT!$A$2:$G$8551,2,FALSE),"")</f>
        <v>289</v>
      </c>
      <c r="D2109" s="393">
        <f>IFERROR(VLOOKUP(A2109,[3]DOORSCRIEFT!$A$2:$G$8551,3,FALSE),"")</f>
        <v>46087</v>
      </c>
      <c r="E2109" s="392" t="str">
        <f>IFERROR(VLOOKUP(A2109,[3]DOORSCRIEFT!$A$2:$G$8551,4,FALSE),"")</f>
        <v>Kolekta Kebaktian Pengasuh</v>
      </c>
      <c r="F2109" s="405">
        <f>IFERROR(VLOOKUP(A2109,[3]DOORSCRIEFT!$A$2:$G$8551,6,FALSE),"")</f>
        <v>150000</v>
      </c>
      <c r="G2109" s="315"/>
    </row>
    <row r="2110" spans="1:7" x14ac:dyDescent="0.25">
      <c r="A2110" s="319" t="str">
        <f t="shared" si="63"/>
        <v>I.2.2.02.0316</v>
      </c>
      <c r="B2110" s="319">
        <v>6</v>
      </c>
      <c r="C2110" s="394">
        <f>IFERROR(VLOOKUP(A2110,[3]DOORSCRIEFT!$A$2:$G$8551,2,FALSE),"")</f>
        <v>379</v>
      </c>
      <c r="D2110" s="393">
        <f>IFERROR(VLOOKUP(A2110,[3]DOORSCRIEFT!$A$2:$G$8551,3,FALSE),"")</f>
        <v>56688</v>
      </c>
      <c r="E2110" s="392" t="str">
        <f>IFERROR(VLOOKUP(A2110,[3]DOORSCRIEFT!$A$2:$G$8551,4,FALSE),"")</f>
        <v>Kolekta Kebaktian Pengasuh SMTPI</v>
      </c>
      <c r="F2110" s="405">
        <f>IFERROR(VLOOKUP(A2110,[3]DOORSCRIEFT!$A$2:$G$8551,6,FALSE),"")</f>
        <v>150000</v>
      </c>
      <c r="G2110" s="315"/>
    </row>
    <row r="2111" spans="1:7" x14ac:dyDescent="0.25">
      <c r="A2111" s="319" t="str">
        <f t="shared" si="63"/>
        <v>I.2.2.02.0317</v>
      </c>
      <c r="B2111" s="319">
        <v>7</v>
      </c>
      <c r="C2111" s="394">
        <f>IFERROR(VLOOKUP(A2111,[3]DOORSCRIEFT!$A$2:$G$8551,2,FALSE),"")</f>
        <v>425</v>
      </c>
      <c r="D2111" s="393">
        <f>IFERROR(VLOOKUP(A2111,[3]DOORSCRIEFT!$A$2:$G$8551,3,FALSE),"")</f>
        <v>46103</v>
      </c>
      <c r="E2111" s="392" t="str">
        <f>IFERROR(VLOOKUP(A2111,[3]DOORSCRIEFT!$A$2:$G$8551,4,FALSE),"")</f>
        <v>Kolekta Kebaktian Pengasuh SMTPI</v>
      </c>
      <c r="F2111" s="405">
        <f>IFERROR(VLOOKUP(A2111,[3]DOORSCRIEFT!$A$2:$G$8551,6,FALSE),"")</f>
        <v>130000</v>
      </c>
      <c r="G2111" s="315"/>
    </row>
    <row r="2112" spans="1:7" x14ac:dyDescent="0.25">
      <c r="A2112" s="319" t="str">
        <f t="shared" si="63"/>
        <v>I.2.2.02.0318</v>
      </c>
      <c r="B2112" s="319">
        <v>8</v>
      </c>
      <c r="C2112" s="394" t="str">
        <f>IFERROR(VLOOKUP(A2112,[3]DOORSCRIEFT!$A$2:$G$8551,2,FALSE),"")</f>
        <v/>
      </c>
      <c r="D2112" s="393" t="str">
        <f>IFERROR(VLOOKUP(A2112,[3]DOORSCRIEFT!$A$2:$G$8551,3,FALSE),"")</f>
        <v/>
      </c>
      <c r="E2112" s="392" t="str">
        <f>IFERROR(VLOOKUP(A2112,[3]DOORSCRIEFT!$A$2:$G$8551,4,FALSE),"")</f>
        <v/>
      </c>
      <c r="F2112" s="405" t="str">
        <f>IFERROR(VLOOKUP(A2112,[3]DOORSCRIEFT!$A$2:$G$8551,6,FALSE),"")</f>
        <v/>
      </c>
      <c r="G2112" s="315"/>
    </row>
    <row r="2113" spans="1:7" x14ac:dyDescent="0.25">
      <c r="A2113" s="319" t="str">
        <f t="shared" si="63"/>
        <v>I.2.2.02.0319</v>
      </c>
      <c r="B2113" s="319">
        <v>9</v>
      </c>
      <c r="C2113" s="394" t="str">
        <f>IFERROR(VLOOKUP(A2113,[3]DOORSCRIEFT!$A$2:$G$8551,2,FALSE),"")</f>
        <v/>
      </c>
      <c r="D2113" s="393" t="str">
        <f>IFERROR(VLOOKUP(A2113,[3]DOORSCRIEFT!$A$2:$G$8551,3,FALSE),"")</f>
        <v/>
      </c>
      <c r="E2113" s="392" t="str">
        <f>IFERROR(VLOOKUP(A2113,[3]DOORSCRIEFT!$A$2:$G$8551,4,FALSE),"")</f>
        <v/>
      </c>
      <c r="F2113" s="405" t="str">
        <f>IFERROR(VLOOKUP(A2113,[3]DOORSCRIEFT!$A$2:$G$8551,6,FALSE),"")</f>
        <v/>
      </c>
      <c r="G2113" s="315"/>
    </row>
    <row r="2114" spans="1:7" x14ac:dyDescent="0.25">
      <c r="A2114" s="319" t="str">
        <f t="shared" si="63"/>
        <v>I.2.2.02.03110</v>
      </c>
      <c r="B2114" s="319">
        <v>10</v>
      </c>
      <c r="C2114" s="394" t="str">
        <f>IFERROR(VLOOKUP(A2114,[3]DOORSCRIEFT!$A$2:$G$8551,2,FALSE),"")</f>
        <v/>
      </c>
      <c r="D2114" s="393" t="str">
        <f>IFERROR(VLOOKUP(A2114,[3]DOORSCRIEFT!$A$2:$G$8551,3,FALSE),"")</f>
        <v/>
      </c>
      <c r="E2114" s="392" t="str">
        <f>IFERROR(VLOOKUP(A2114,[3]DOORSCRIEFT!$A$2:$G$8551,4,FALSE),"")</f>
        <v/>
      </c>
      <c r="F2114" s="405" t="str">
        <f>IFERROR(VLOOKUP(A2114,[3]DOORSCRIEFT!$A$2:$G$8551,6,FALSE),"")</f>
        <v/>
      </c>
      <c r="G2114" s="315"/>
    </row>
    <row r="2115" spans="1:7" x14ac:dyDescent="0.25">
      <c r="A2115" s="319" t="str">
        <f t="shared" si="63"/>
        <v>I.2.2.02.03111</v>
      </c>
      <c r="B2115" s="319">
        <v>11</v>
      </c>
      <c r="C2115" s="394" t="str">
        <f>IFERROR(VLOOKUP(A2115,[3]DOORSCRIEFT!$A$2:$G$8551,2,FALSE),"")</f>
        <v/>
      </c>
      <c r="D2115" s="393" t="str">
        <f>IFERROR(VLOOKUP(A2115,[3]DOORSCRIEFT!$A$2:$G$8551,3,FALSE),"")</f>
        <v/>
      </c>
      <c r="E2115" s="392" t="str">
        <f>IFERROR(VLOOKUP(A2115,[3]DOORSCRIEFT!$A$2:$G$8551,4,FALSE),"")</f>
        <v/>
      </c>
      <c r="F2115" s="405" t="str">
        <f>IFERROR(VLOOKUP(A2115,[3]DOORSCRIEFT!$A$2:$G$8551,6,FALSE),"")</f>
        <v/>
      </c>
      <c r="G2115" s="315"/>
    </row>
    <row r="2116" spans="1:7" x14ac:dyDescent="0.25">
      <c r="A2116" s="319" t="str">
        <f t="shared" si="63"/>
        <v>I.2.2.02.03112</v>
      </c>
      <c r="B2116" s="319">
        <v>12</v>
      </c>
      <c r="C2116" s="394" t="str">
        <f>IFERROR(VLOOKUP(A2116,[3]DOORSCRIEFT!$A$2:$G$8551,2,FALSE),"")</f>
        <v/>
      </c>
      <c r="D2116" s="393" t="str">
        <f>IFERROR(VLOOKUP(A2116,[3]DOORSCRIEFT!$A$2:$G$8551,3,FALSE),"")</f>
        <v/>
      </c>
      <c r="E2116" s="392" t="str">
        <f>IFERROR(VLOOKUP(A2116,[3]DOORSCRIEFT!$A$2:$G$8551,4,FALSE),"")</f>
        <v/>
      </c>
      <c r="F2116" s="405" t="str">
        <f>IFERROR(VLOOKUP(A2116,[3]DOORSCRIEFT!$A$2:$G$8551,6,FALSE),"")</f>
        <v/>
      </c>
      <c r="G2116" s="315"/>
    </row>
    <row r="2117" spans="1:7" x14ac:dyDescent="0.25">
      <c r="A2117" s="319" t="str">
        <f t="shared" si="63"/>
        <v>I.2.2.02.03113</v>
      </c>
      <c r="B2117" s="319">
        <v>13</v>
      </c>
      <c r="C2117" s="394" t="str">
        <f>IFERROR(VLOOKUP(A2117,[3]DOORSCRIEFT!$A$2:$G$8551,2,FALSE),"")</f>
        <v/>
      </c>
      <c r="D2117" s="393" t="str">
        <f>IFERROR(VLOOKUP(A2117,[3]DOORSCRIEFT!$A$2:$G$8551,3,FALSE),"")</f>
        <v/>
      </c>
      <c r="E2117" s="392" t="str">
        <f>IFERROR(VLOOKUP(A2117,[3]DOORSCRIEFT!$A$2:$G$8551,4,FALSE),"")</f>
        <v/>
      </c>
      <c r="F2117" s="405" t="str">
        <f>IFERROR(VLOOKUP(A2117,[3]DOORSCRIEFT!$A$2:$G$8551,6,FALSE),"")</f>
        <v/>
      </c>
      <c r="G2117" s="315"/>
    </row>
    <row r="2118" spans="1:7" x14ac:dyDescent="0.25">
      <c r="A2118" s="319" t="str">
        <f t="shared" si="63"/>
        <v>I.2.2.02.03114</v>
      </c>
      <c r="B2118" s="319">
        <v>14</v>
      </c>
      <c r="C2118" s="394" t="str">
        <f>IFERROR(VLOOKUP(A2118,[3]DOORSCRIEFT!$A$2:$G$8551,2,FALSE),"")</f>
        <v/>
      </c>
      <c r="D2118" s="393" t="str">
        <f>IFERROR(VLOOKUP(A2118,[3]DOORSCRIEFT!$A$2:$G$8551,3,FALSE),"")</f>
        <v/>
      </c>
      <c r="E2118" s="392" t="str">
        <f>IFERROR(VLOOKUP(A2118,[3]DOORSCRIEFT!$A$2:$G$8551,4,FALSE),"")</f>
        <v/>
      </c>
      <c r="F2118" s="405" t="str">
        <f>IFERROR(VLOOKUP(A2118,[3]DOORSCRIEFT!$A$2:$G$8551,6,FALSE),"")</f>
        <v/>
      </c>
      <c r="G2118" s="315"/>
    </row>
    <row r="2119" spans="1:7" x14ac:dyDescent="0.25">
      <c r="A2119" s="319" t="str">
        <f t="shared" si="63"/>
        <v>I.2.2.02.03115</v>
      </c>
      <c r="B2119" s="319">
        <v>15</v>
      </c>
      <c r="C2119" s="394" t="str">
        <f>IFERROR(VLOOKUP(A2119,[3]DOORSCRIEFT!$A$2:$G$8551,2,FALSE),"")</f>
        <v/>
      </c>
      <c r="D2119" s="393" t="str">
        <f>IFERROR(VLOOKUP(A2119,[3]DOORSCRIEFT!$A$2:$G$8551,3,FALSE),"")</f>
        <v/>
      </c>
      <c r="E2119" s="392" t="str">
        <f>IFERROR(VLOOKUP(A2119,[3]DOORSCRIEFT!$A$2:$G$8551,4,FALSE),"")</f>
        <v/>
      </c>
      <c r="F2119" s="405" t="str">
        <f>IFERROR(VLOOKUP(A2119,[3]DOORSCRIEFT!$A$2:$G$8551,6,FALSE),"")</f>
        <v/>
      </c>
      <c r="G2119" s="315"/>
    </row>
    <row r="2120" spans="1:7" x14ac:dyDescent="0.25">
      <c r="A2120" s="319" t="str">
        <f t="shared" si="63"/>
        <v>I.2.2.02.03116</v>
      </c>
      <c r="B2120" s="319">
        <v>16</v>
      </c>
      <c r="C2120" s="394" t="str">
        <f>IFERROR(VLOOKUP(A2120,[3]DOORSCRIEFT!$A$2:$G$8551,2,FALSE),"")</f>
        <v/>
      </c>
      <c r="D2120" s="393" t="str">
        <f>IFERROR(VLOOKUP(A2120,[3]DOORSCRIEFT!$A$2:$G$8551,3,FALSE),"")</f>
        <v/>
      </c>
      <c r="E2120" s="392" t="str">
        <f>IFERROR(VLOOKUP(A2120,[3]DOORSCRIEFT!$A$2:$G$8551,4,FALSE),"")</f>
        <v/>
      </c>
      <c r="F2120" s="405" t="str">
        <f>IFERROR(VLOOKUP(A2120,[3]DOORSCRIEFT!$A$2:$G$8551,6,FALSE),"")</f>
        <v/>
      </c>
      <c r="G2120" s="315"/>
    </row>
    <row r="2121" spans="1:7" x14ac:dyDescent="0.25">
      <c r="A2121" s="319" t="str">
        <f t="shared" si="63"/>
        <v>I.2.2.02.03117</v>
      </c>
      <c r="B2121" s="319">
        <v>17</v>
      </c>
      <c r="C2121" s="394" t="str">
        <f>IFERROR(VLOOKUP(A2121,[3]DOORSCRIEFT!$A$2:$G$8551,2,FALSE),"")</f>
        <v/>
      </c>
      <c r="D2121" s="393" t="str">
        <f>IFERROR(VLOOKUP(A2121,[3]DOORSCRIEFT!$A$2:$G$8551,3,FALSE),"")</f>
        <v/>
      </c>
      <c r="E2121" s="392" t="str">
        <f>IFERROR(VLOOKUP(A2121,[3]DOORSCRIEFT!$A$2:$G$8551,4,FALSE),"")</f>
        <v/>
      </c>
      <c r="F2121" s="405" t="str">
        <f>IFERROR(VLOOKUP(A2121,[3]DOORSCRIEFT!$A$2:$G$8551,6,FALSE),"")</f>
        <v/>
      </c>
      <c r="G2121" s="315"/>
    </row>
    <row r="2122" spans="1:7" x14ac:dyDescent="0.25">
      <c r="A2122" s="319" t="str">
        <f t="shared" si="63"/>
        <v>I.2.2.02.03118</v>
      </c>
      <c r="B2122" s="319">
        <v>18</v>
      </c>
      <c r="C2122" s="394" t="str">
        <f>IFERROR(VLOOKUP(A2122,[3]DOORSCRIEFT!$A$2:$G$8551,2,FALSE),"")</f>
        <v/>
      </c>
      <c r="D2122" s="393" t="str">
        <f>IFERROR(VLOOKUP(A2122,[3]DOORSCRIEFT!$A$2:$G$8551,3,FALSE),"")</f>
        <v/>
      </c>
      <c r="E2122" s="392" t="str">
        <f>IFERROR(VLOOKUP(A2122,[3]DOORSCRIEFT!$A$2:$G$8551,4,FALSE),"")</f>
        <v/>
      </c>
      <c r="F2122" s="405" t="str">
        <f>IFERROR(VLOOKUP(A2122,[3]DOORSCRIEFT!$A$2:$G$8551,6,FALSE),"")</f>
        <v/>
      </c>
      <c r="G2122" s="315"/>
    </row>
    <row r="2123" spans="1:7" x14ac:dyDescent="0.25">
      <c r="A2123" s="319" t="str">
        <f t="shared" si="63"/>
        <v>I.2.2.02.03119</v>
      </c>
      <c r="B2123" s="319">
        <v>19</v>
      </c>
      <c r="C2123" s="394" t="str">
        <f>IFERROR(VLOOKUP(A2123,[3]DOORSCRIEFT!$A$2:$G$8551,2,FALSE),"")</f>
        <v/>
      </c>
      <c r="D2123" s="393" t="str">
        <f>IFERROR(VLOOKUP(A2123,[3]DOORSCRIEFT!$A$2:$G$8551,3,FALSE),"")</f>
        <v/>
      </c>
      <c r="E2123" s="392" t="str">
        <f>IFERROR(VLOOKUP(A2123,[3]DOORSCRIEFT!$A$2:$G$8551,4,FALSE),"")</f>
        <v/>
      </c>
      <c r="F2123" s="405" t="str">
        <f>IFERROR(VLOOKUP(A2123,[3]DOORSCRIEFT!$A$2:$G$8551,6,FALSE),"")</f>
        <v/>
      </c>
      <c r="G2123" s="315"/>
    </row>
    <row r="2124" spans="1:7" x14ac:dyDescent="0.25">
      <c r="A2124" s="319" t="str">
        <f t="shared" si="63"/>
        <v>I.2.2.02.03120</v>
      </c>
      <c r="B2124" s="319">
        <v>20</v>
      </c>
      <c r="C2124" s="394" t="str">
        <f>IFERROR(VLOOKUP(A2124,[3]DOORSCRIEFT!$A$2:$G$8551,2,FALSE),"")</f>
        <v/>
      </c>
      <c r="D2124" s="393" t="str">
        <f>IFERROR(VLOOKUP(A2124,[3]DOORSCRIEFT!$A$2:$G$8551,3,FALSE),"")</f>
        <v/>
      </c>
      <c r="E2124" s="392" t="str">
        <f>IFERROR(VLOOKUP(A2124,[3]DOORSCRIEFT!$A$2:$G$8551,4,FALSE),"")</f>
        <v/>
      </c>
      <c r="F2124" s="405" t="str">
        <f>IFERROR(VLOOKUP(A2124,[3]DOORSCRIEFT!$A$2:$G$8551,6,FALSE),"")</f>
        <v/>
      </c>
      <c r="G2124" s="315"/>
    </row>
    <row r="2125" spans="1:7" x14ac:dyDescent="0.25">
      <c r="A2125" s="319" t="str">
        <f t="shared" si="63"/>
        <v>I.2.2.02.03121</v>
      </c>
      <c r="B2125" s="319">
        <v>21</v>
      </c>
      <c r="C2125" s="394" t="str">
        <f>IFERROR(VLOOKUP(A2125,[3]DOORSCRIEFT!$A$2:$G$8551,2,FALSE),"")</f>
        <v/>
      </c>
      <c r="D2125" s="393" t="str">
        <f>IFERROR(VLOOKUP(A2125,[3]DOORSCRIEFT!$A$2:$G$8551,3,FALSE),"")</f>
        <v/>
      </c>
      <c r="E2125" s="392" t="str">
        <f>IFERROR(VLOOKUP(A2125,[3]DOORSCRIEFT!$A$2:$G$8551,4,FALSE),"")</f>
        <v/>
      </c>
      <c r="F2125" s="405" t="str">
        <f>IFERROR(VLOOKUP(A2125,[3]DOORSCRIEFT!$A$2:$G$8551,6,FALSE),"")</f>
        <v/>
      </c>
      <c r="G2125" s="315"/>
    </row>
    <row r="2126" spans="1:7" x14ac:dyDescent="0.25">
      <c r="A2126" s="319" t="str">
        <f t="shared" si="63"/>
        <v>I.2.2.02.03122</v>
      </c>
      <c r="B2126" s="319">
        <v>22</v>
      </c>
      <c r="C2126" s="394" t="str">
        <f>IFERROR(VLOOKUP(A2126,[3]DOORSCRIEFT!$A$2:$G$8551,2,FALSE),"")</f>
        <v/>
      </c>
      <c r="D2126" s="393" t="str">
        <f>IFERROR(VLOOKUP(A2126,[3]DOORSCRIEFT!$A$2:$G$8551,3,FALSE),"")</f>
        <v/>
      </c>
      <c r="E2126" s="392" t="str">
        <f>IFERROR(VLOOKUP(A2126,[3]DOORSCRIEFT!$A$2:$G$8551,4,FALSE),"")</f>
        <v/>
      </c>
      <c r="F2126" s="405" t="str">
        <f>IFERROR(VLOOKUP(A2126,[3]DOORSCRIEFT!$A$2:$G$8551,6,FALSE),"")</f>
        <v/>
      </c>
      <c r="G2126" s="315"/>
    </row>
    <row r="2127" spans="1:7" x14ac:dyDescent="0.25">
      <c r="A2127" s="319" t="str">
        <f t="shared" si="63"/>
        <v>I.2.2.02.03123</v>
      </c>
      <c r="B2127" s="319">
        <v>23</v>
      </c>
      <c r="C2127" s="394" t="str">
        <f>IFERROR(VLOOKUP(A2127,[3]DOORSCRIEFT!$A$2:$G$8551,2,FALSE),"")</f>
        <v/>
      </c>
      <c r="D2127" s="393" t="str">
        <f>IFERROR(VLOOKUP(A2127,[3]DOORSCRIEFT!$A$2:$G$8551,3,FALSE),"")</f>
        <v/>
      </c>
      <c r="E2127" s="392" t="str">
        <f>IFERROR(VLOOKUP(A2127,[3]DOORSCRIEFT!$A$2:$G$8551,4,FALSE),"")</f>
        <v/>
      </c>
      <c r="F2127" s="405" t="str">
        <f>IFERROR(VLOOKUP(A2127,[3]DOORSCRIEFT!$A$2:$G$8551,6,FALSE),"")</f>
        <v/>
      </c>
      <c r="G2127" s="315"/>
    </row>
    <row r="2128" spans="1:7" x14ac:dyDescent="0.25">
      <c r="A2128" s="319" t="str">
        <f t="shared" si="63"/>
        <v>I.2.2.02.03124</v>
      </c>
      <c r="B2128" s="319">
        <v>24</v>
      </c>
      <c r="C2128" s="394" t="str">
        <f>IFERROR(VLOOKUP(A2128,[3]DOORSCRIEFT!$A$2:$G$8551,2,FALSE),"")</f>
        <v/>
      </c>
      <c r="D2128" s="393" t="str">
        <f>IFERROR(VLOOKUP(A2128,[3]DOORSCRIEFT!$A$2:$G$8551,3,FALSE),"")</f>
        <v/>
      </c>
      <c r="E2128" s="392" t="str">
        <f>IFERROR(VLOOKUP(A2128,[3]DOORSCRIEFT!$A$2:$G$8551,4,FALSE),"")</f>
        <v/>
      </c>
      <c r="F2128" s="405" t="str">
        <f>IFERROR(VLOOKUP(A2128,[3]DOORSCRIEFT!$A$2:$G$8551,6,FALSE),"")</f>
        <v/>
      </c>
      <c r="G2128" s="315"/>
    </row>
    <row r="2129" spans="1:7" x14ac:dyDescent="0.25">
      <c r="A2129" s="319" t="str">
        <f t="shared" si="63"/>
        <v>I.2.2.02.03125</v>
      </c>
      <c r="B2129" s="319">
        <v>25</v>
      </c>
      <c r="C2129" s="394" t="str">
        <f>IFERROR(VLOOKUP(A2129,[3]DOORSCRIEFT!$A$2:$G$8551,2,FALSE),"")</f>
        <v/>
      </c>
      <c r="D2129" s="393" t="str">
        <f>IFERROR(VLOOKUP(A2129,[3]DOORSCRIEFT!$A$2:$G$8551,3,FALSE),"")</f>
        <v/>
      </c>
      <c r="E2129" s="392" t="str">
        <f>IFERROR(VLOOKUP(A2129,[3]DOORSCRIEFT!$A$2:$G$8551,4,FALSE),"")</f>
        <v/>
      </c>
      <c r="F2129" s="405" t="str">
        <f>IFERROR(VLOOKUP(A2129,[3]DOORSCRIEFT!$A$2:$G$8551,6,FALSE),"")</f>
        <v/>
      </c>
      <c r="G2129" s="315"/>
    </row>
    <row r="2130" spans="1:7" x14ac:dyDescent="0.25">
      <c r="A2130" s="319" t="str">
        <f t="shared" si="63"/>
        <v>I.2.2.02.03126</v>
      </c>
      <c r="B2130" s="319">
        <v>26</v>
      </c>
      <c r="C2130" s="394" t="str">
        <f>IFERROR(VLOOKUP(A2130,[3]DOORSCRIEFT!$A$2:$G$8551,2,FALSE),"")</f>
        <v/>
      </c>
      <c r="D2130" s="393" t="str">
        <f>IFERROR(VLOOKUP(A2130,[3]DOORSCRIEFT!$A$2:$G$8551,3,FALSE),"")</f>
        <v/>
      </c>
      <c r="E2130" s="392" t="str">
        <f>IFERROR(VLOOKUP(A2130,[3]DOORSCRIEFT!$A$2:$G$8551,4,FALSE),"")</f>
        <v/>
      </c>
      <c r="F2130" s="405" t="str">
        <f>IFERROR(VLOOKUP(A2130,[3]DOORSCRIEFT!$A$2:$G$8551,6,FALSE),"")</f>
        <v/>
      </c>
      <c r="G2130" s="315"/>
    </row>
    <row r="2131" spans="1:7" x14ac:dyDescent="0.25">
      <c r="A2131" s="319" t="str">
        <f t="shared" si="63"/>
        <v>I.2.2.02.03127</v>
      </c>
      <c r="B2131" s="319">
        <v>27</v>
      </c>
      <c r="C2131" s="394" t="str">
        <f>IFERROR(VLOOKUP(A2131,[3]DOORSCRIEFT!$A$2:$G$8551,2,FALSE),"")</f>
        <v/>
      </c>
      <c r="D2131" s="393" t="str">
        <f>IFERROR(VLOOKUP(A2131,[3]DOORSCRIEFT!$A$2:$G$8551,3,FALSE),"")</f>
        <v/>
      </c>
      <c r="E2131" s="392" t="str">
        <f>IFERROR(VLOOKUP(A2131,[3]DOORSCRIEFT!$A$2:$G$8551,4,FALSE),"")</f>
        <v/>
      </c>
      <c r="F2131" s="405" t="str">
        <f>IFERROR(VLOOKUP(A2131,[3]DOORSCRIEFT!$A$2:$G$8551,6,FALSE),"")</f>
        <v/>
      </c>
      <c r="G2131" s="315"/>
    </row>
    <row r="2132" spans="1:7" x14ac:dyDescent="0.25">
      <c r="A2132" s="319" t="str">
        <f t="shared" si="63"/>
        <v>I.2.2.02.03128</v>
      </c>
      <c r="B2132" s="319">
        <v>28</v>
      </c>
      <c r="C2132" s="394" t="str">
        <f>IFERROR(VLOOKUP(A2132,[3]DOORSCRIEFT!$A$2:$G$8551,2,FALSE),"")</f>
        <v/>
      </c>
      <c r="D2132" s="393" t="str">
        <f>IFERROR(VLOOKUP(A2132,[3]DOORSCRIEFT!$A$2:$G$8551,3,FALSE),"")</f>
        <v/>
      </c>
      <c r="E2132" s="392" t="str">
        <f>IFERROR(VLOOKUP(A2132,[3]DOORSCRIEFT!$A$2:$G$8551,4,FALSE),"")</f>
        <v/>
      </c>
      <c r="F2132" s="405" t="str">
        <f>IFERROR(VLOOKUP(A2132,[3]DOORSCRIEFT!$A$2:$G$8551,6,FALSE),"")</f>
        <v/>
      </c>
      <c r="G2132" s="315"/>
    </row>
    <row r="2133" spans="1:7" x14ac:dyDescent="0.25">
      <c r="A2133" s="319" t="str">
        <f t="shared" si="63"/>
        <v>I.2.2.02.03129</v>
      </c>
      <c r="B2133" s="319">
        <v>29</v>
      </c>
      <c r="C2133" s="394" t="str">
        <f>IFERROR(VLOOKUP(A2133,[3]DOORSCRIEFT!$A$2:$G$8551,2,FALSE),"")</f>
        <v/>
      </c>
      <c r="D2133" s="393" t="str">
        <f>IFERROR(VLOOKUP(A2133,[3]DOORSCRIEFT!$A$2:$G$8551,3,FALSE),"")</f>
        <v/>
      </c>
      <c r="E2133" s="392" t="str">
        <f>IFERROR(VLOOKUP(A2133,[3]DOORSCRIEFT!$A$2:$G$8551,4,FALSE),"")</f>
        <v/>
      </c>
      <c r="F2133" s="405" t="str">
        <f>IFERROR(VLOOKUP(A2133,[3]DOORSCRIEFT!$A$2:$G$8551,6,FALSE),"")</f>
        <v/>
      </c>
      <c r="G2133" s="315"/>
    </row>
    <row r="2134" spans="1:7" x14ac:dyDescent="0.25">
      <c r="A2134" s="319" t="str">
        <f t="shared" si="63"/>
        <v>I.2.2.02.03130</v>
      </c>
      <c r="B2134" s="319">
        <v>30</v>
      </c>
      <c r="C2134" s="394" t="str">
        <f>IFERROR(VLOOKUP(A2134,[3]DOORSCRIEFT!$A$2:$G$8551,2,FALSE),"")</f>
        <v/>
      </c>
      <c r="D2134" s="393" t="str">
        <f>IFERROR(VLOOKUP(A2134,[3]DOORSCRIEFT!$A$2:$G$8551,3,FALSE),"")</f>
        <v/>
      </c>
      <c r="E2134" s="392" t="str">
        <f>IFERROR(VLOOKUP(A2134,[3]DOORSCRIEFT!$A$2:$G$8551,4,FALSE),"")</f>
        <v/>
      </c>
      <c r="F2134" s="405" t="str">
        <f>IFERROR(VLOOKUP(A2134,[3]DOORSCRIEFT!$A$2:$G$8551,6,FALSE),"")</f>
        <v/>
      </c>
      <c r="G2134" s="315"/>
    </row>
    <row r="2135" spans="1:7" x14ac:dyDescent="0.25">
      <c r="A2135" s="319" t="str">
        <f t="shared" si="63"/>
        <v>I.2.2.02.03131</v>
      </c>
      <c r="B2135" s="319">
        <v>31</v>
      </c>
      <c r="C2135" s="394" t="str">
        <f>IFERROR(VLOOKUP(A2135,[3]DOORSCRIEFT!$A$2:$G$8551,2,FALSE),"")</f>
        <v/>
      </c>
      <c r="D2135" s="393" t="str">
        <f>IFERROR(VLOOKUP(A2135,[3]DOORSCRIEFT!$A$2:$G$8551,3,FALSE),"")</f>
        <v/>
      </c>
      <c r="E2135" s="392" t="str">
        <f>IFERROR(VLOOKUP(A2135,[3]DOORSCRIEFT!$A$2:$G$8551,4,FALSE),"")</f>
        <v/>
      </c>
      <c r="F2135" s="405" t="str">
        <f>IFERROR(VLOOKUP(A2135,[3]DOORSCRIEFT!$A$2:$G$8551,6,FALSE),"")</f>
        <v/>
      </c>
      <c r="G2135" s="315"/>
    </row>
    <row r="2136" spans="1:7" x14ac:dyDescent="0.25">
      <c r="A2136" s="319" t="str">
        <f t="shared" si="63"/>
        <v>I.2.2.02.03132</v>
      </c>
      <c r="B2136" s="319">
        <v>32</v>
      </c>
      <c r="C2136" s="394" t="str">
        <f>IFERROR(VLOOKUP(A2136,[3]DOORSCRIEFT!$A$2:$G$8551,2,FALSE),"")</f>
        <v/>
      </c>
      <c r="D2136" s="393" t="str">
        <f>IFERROR(VLOOKUP(A2136,[3]DOORSCRIEFT!$A$2:$G$8551,3,FALSE),"")</f>
        <v/>
      </c>
      <c r="E2136" s="392" t="str">
        <f>IFERROR(VLOOKUP(A2136,[3]DOORSCRIEFT!$A$2:$G$8551,4,FALSE),"")</f>
        <v/>
      </c>
      <c r="F2136" s="405" t="str">
        <f>IFERROR(VLOOKUP(A2136,[3]DOORSCRIEFT!$A$2:$G$8551,6,FALSE),"")</f>
        <v/>
      </c>
      <c r="G2136" s="315"/>
    </row>
    <row r="2137" spans="1:7" x14ac:dyDescent="0.25">
      <c r="A2137" s="319" t="str">
        <f t="shared" si="63"/>
        <v>I.2.2.02.03133</v>
      </c>
      <c r="B2137" s="319">
        <v>33</v>
      </c>
      <c r="C2137" s="394" t="str">
        <f>IFERROR(VLOOKUP(A2137,[3]DOORSCRIEFT!$A$2:$G$8551,2,FALSE),"")</f>
        <v/>
      </c>
      <c r="D2137" s="393" t="str">
        <f>IFERROR(VLOOKUP(A2137,[3]DOORSCRIEFT!$A$2:$G$8551,3,FALSE),"")</f>
        <v/>
      </c>
      <c r="E2137" s="392" t="str">
        <f>IFERROR(VLOOKUP(A2137,[3]DOORSCRIEFT!$A$2:$G$8551,4,FALSE),"")</f>
        <v/>
      </c>
      <c r="F2137" s="405" t="str">
        <f>IFERROR(VLOOKUP(A2137,[3]DOORSCRIEFT!$A$2:$G$8551,6,FALSE),"")</f>
        <v/>
      </c>
      <c r="G2137" s="315"/>
    </row>
    <row r="2138" spans="1:7" x14ac:dyDescent="0.25">
      <c r="A2138" s="319" t="str">
        <f t="shared" si="63"/>
        <v>I.2.2.02.03134</v>
      </c>
      <c r="B2138" s="319">
        <v>34</v>
      </c>
      <c r="C2138" s="394" t="str">
        <f>IFERROR(VLOOKUP(A2138,[3]DOORSCRIEFT!$A$2:$G$8551,2,FALSE),"")</f>
        <v/>
      </c>
      <c r="D2138" s="393" t="str">
        <f>IFERROR(VLOOKUP(A2138,[3]DOORSCRIEFT!$A$2:$G$8551,3,FALSE),"")</f>
        <v/>
      </c>
      <c r="E2138" s="392" t="str">
        <f>IFERROR(VLOOKUP(A2138,[3]DOORSCRIEFT!$A$2:$G$8551,4,FALSE),"")</f>
        <v/>
      </c>
      <c r="F2138" s="405" t="str">
        <f>IFERROR(VLOOKUP(A2138,[3]DOORSCRIEFT!$A$2:$G$8551,6,FALSE),"")</f>
        <v/>
      </c>
      <c r="G2138" s="315"/>
    </row>
    <row r="2139" spans="1:7" x14ac:dyDescent="0.25">
      <c r="A2139" s="319" t="str">
        <f t="shared" si="63"/>
        <v>I.2.2.02.03135</v>
      </c>
      <c r="B2139" s="319">
        <v>35</v>
      </c>
      <c r="C2139" s="394" t="str">
        <f>IFERROR(VLOOKUP(A2139,[3]DOORSCRIEFT!$A$2:$G$8551,2,FALSE),"")</f>
        <v/>
      </c>
      <c r="D2139" s="393" t="str">
        <f>IFERROR(VLOOKUP(A2139,[3]DOORSCRIEFT!$A$2:$G$8551,3,FALSE),"")</f>
        <v/>
      </c>
      <c r="E2139" s="392" t="str">
        <f>IFERROR(VLOOKUP(A2139,[3]DOORSCRIEFT!$A$2:$G$8551,4,FALSE),"")</f>
        <v/>
      </c>
      <c r="F2139" s="405" t="str">
        <f>IFERROR(VLOOKUP(A2139,[3]DOORSCRIEFT!$A$2:$G$8551,6,FALSE),"")</f>
        <v/>
      </c>
      <c r="G2139" s="315"/>
    </row>
    <row r="2140" spans="1:7" x14ac:dyDescent="0.25">
      <c r="A2140" s="319" t="str">
        <f t="shared" si="63"/>
        <v>I.2.2.02.03136</v>
      </c>
      <c r="B2140" s="319">
        <v>36</v>
      </c>
      <c r="C2140" s="394" t="str">
        <f>IFERROR(VLOOKUP(A2140,[3]DOORSCRIEFT!$A$2:$G$8551,2,FALSE),"")</f>
        <v/>
      </c>
      <c r="D2140" s="393" t="str">
        <f>IFERROR(VLOOKUP(A2140,[3]DOORSCRIEFT!$A$2:$G$8551,3,FALSE),"")</f>
        <v/>
      </c>
      <c r="E2140" s="392" t="str">
        <f>IFERROR(VLOOKUP(A2140,[3]DOORSCRIEFT!$A$2:$G$8551,4,FALSE),"")</f>
        <v/>
      </c>
      <c r="F2140" s="405" t="str">
        <f>IFERROR(VLOOKUP(A2140,[3]DOORSCRIEFT!$A$2:$G$8551,6,FALSE),"")</f>
        <v/>
      </c>
      <c r="G2140" s="315"/>
    </row>
    <row r="2141" spans="1:7" x14ac:dyDescent="0.25">
      <c r="A2141" s="319" t="str">
        <f t="shared" si="63"/>
        <v>I.2.2.02.03137</v>
      </c>
      <c r="B2141" s="319">
        <v>37</v>
      </c>
      <c r="C2141" s="394" t="str">
        <f>IFERROR(VLOOKUP(A2141,[3]DOORSCRIEFT!$A$2:$G$8551,2,FALSE),"")</f>
        <v/>
      </c>
      <c r="D2141" s="393" t="str">
        <f>IFERROR(VLOOKUP(A2141,[3]DOORSCRIEFT!$A$2:$G$8551,3,FALSE),"")</f>
        <v/>
      </c>
      <c r="E2141" s="392" t="str">
        <f>IFERROR(VLOOKUP(A2141,[3]DOORSCRIEFT!$A$2:$G$8551,4,FALSE),"")</f>
        <v/>
      </c>
      <c r="F2141" s="405" t="str">
        <f>IFERROR(VLOOKUP(A2141,[3]DOORSCRIEFT!$A$2:$G$8551,6,FALSE),"")</f>
        <v/>
      </c>
      <c r="G2141" s="315"/>
    </row>
    <row r="2142" spans="1:7" x14ac:dyDescent="0.25">
      <c r="A2142" s="319" t="str">
        <f t="shared" si="63"/>
        <v>I.2.2.02.03138</v>
      </c>
      <c r="B2142" s="319">
        <v>38</v>
      </c>
      <c r="C2142" s="394" t="str">
        <f>IFERROR(VLOOKUP(A2142,[3]DOORSCRIEFT!$A$2:$G$8551,2,FALSE),"")</f>
        <v/>
      </c>
      <c r="D2142" s="393" t="str">
        <f>IFERROR(VLOOKUP(A2142,[3]DOORSCRIEFT!$A$2:$G$8551,3,FALSE),"")</f>
        <v/>
      </c>
      <c r="E2142" s="392" t="str">
        <f>IFERROR(VLOOKUP(A2142,[3]DOORSCRIEFT!$A$2:$G$8551,4,FALSE),"")</f>
        <v/>
      </c>
      <c r="F2142" s="405" t="str">
        <f>IFERROR(VLOOKUP(A2142,[3]DOORSCRIEFT!$A$2:$G$8551,6,FALSE),"")</f>
        <v/>
      </c>
      <c r="G2142" s="315"/>
    </row>
    <row r="2143" spans="1:7" x14ac:dyDescent="0.25">
      <c r="A2143" s="319" t="str">
        <f t="shared" si="63"/>
        <v>I.2.2.02.03139</v>
      </c>
      <c r="B2143" s="319">
        <v>39</v>
      </c>
      <c r="C2143" s="394" t="str">
        <f>IFERROR(VLOOKUP(A2143,[3]DOORSCRIEFT!$A$2:$G$8551,2,FALSE),"")</f>
        <v/>
      </c>
      <c r="D2143" s="393" t="str">
        <f>IFERROR(VLOOKUP(A2143,[3]DOORSCRIEFT!$A$2:$G$8551,3,FALSE),"")</f>
        <v/>
      </c>
      <c r="E2143" s="392" t="str">
        <f>IFERROR(VLOOKUP(A2143,[3]DOORSCRIEFT!$A$2:$G$8551,4,FALSE),"")</f>
        <v/>
      </c>
      <c r="F2143" s="405" t="str">
        <f>IFERROR(VLOOKUP(A2143,[3]DOORSCRIEFT!$A$2:$G$8551,6,FALSE),"")</f>
        <v/>
      </c>
      <c r="G2143" s="315"/>
    </row>
    <row r="2144" spans="1:7" x14ac:dyDescent="0.25">
      <c r="A2144" s="319" t="str">
        <f t="shared" si="63"/>
        <v>I.2.2.02.03140</v>
      </c>
      <c r="B2144" s="319">
        <v>40</v>
      </c>
      <c r="C2144" s="394" t="str">
        <f>IFERROR(VLOOKUP(A2144,[3]DOORSCRIEFT!$A$2:$G$8551,2,FALSE),"")</f>
        <v/>
      </c>
      <c r="D2144" s="393" t="str">
        <f>IFERROR(VLOOKUP(A2144,[3]DOORSCRIEFT!$A$2:$G$8551,3,FALSE),"")</f>
        <v/>
      </c>
      <c r="E2144" s="392" t="str">
        <f>IFERROR(VLOOKUP(A2144,[3]DOORSCRIEFT!$A$2:$G$8551,4,FALSE),"")</f>
        <v/>
      </c>
      <c r="F2144" s="405" t="str">
        <f>IFERROR(VLOOKUP(A2144,[3]DOORSCRIEFT!$A$2:$G$8551,6,FALSE),"")</f>
        <v/>
      </c>
      <c r="G2144" s="315"/>
    </row>
    <row r="2145" spans="1:7" x14ac:dyDescent="0.25">
      <c r="A2145" s="319" t="str">
        <f t="shared" si="63"/>
        <v>I.2.2.02.03141</v>
      </c>
      <c r="B2145" s="319">
        <v>41</v>
      </c>
      <c r="C2145" s="394" t="str">
        <f>IFERROR(VLOOKUP(A2145,[3]DOORSCRIEFT!$A$2:$G$8551,2,FALSE),"")</f>
        <v/>
      </c>
      <c r="D2145" s="393" t="str">
        <f>IFERROR(VLOOKUP(A2145,[3]DOORSCRIEFT!$A$2:$G$8551,3,FALSE),"")</f>
        <v/>
      </c>
      <c r="E2145" s="392" t="str">
        <f>IFERROR(VLOOKUP(A2145,[3]DOORSCRIEFT!$A$2:$G$8551,4,FALSE),"")</f>
        <v/>
      </c>
      <c r="F2145" s="405" t="str">
        <f>IFERROR(VLOOKUP(A2145,[3]DOORSCRIEFT!$A$2:$G$8551,6,FALSE),"")</f>
        <v/>
      </c>
      <c r="G2145" s="315"/>
    </row>
    <row r="2146" spans="1:7" ht="15.75" thickBot="1" x14ac:dyDescent="0.3">
      <c r="A2146" s="345" t="str">
        <f t="shared" si="63"/>
        <v>I.2.2.02.03142</v>
      </c>
      <c r="B2146" s="345">
        <v>42</v>
      </c>
      <c r="C2146" s="394" t="str">
        <f>IFERROR(VLOOKUP(A2146,[3]DOORSCRIEFT!$A$2:$G$8551,2,FALSE),"")</f>
        <v/>
      </c>
      <c r="D2146" s="393" t="str">
        <f>IFERROR(VLOOKUP(A2146,[3]DOORSCRIEFT!$A$2:$G$8551,3,FALSE),"")</f>
        <v/>
      </c>
      <c r="E2146" s="392" t="str">
        <f>IFERROR(VLOOKUP(A2146,[3]DOORSCRIEFT!$A$2:$G$8551,4,FALSE),"")</f>
        <v/>
      </c>
      <c r="F2146" s="405" t="str">
        <f>IFERROR(VLOOKUP(A2146,[3]DOORSCRIEFT!$A$2:$G$8551,6,FALSE),"")</f>
        <v/>
      </c>
      <c r="G2146" s="315"/>
    </row>
    <row r="2147" spans="1:7" ht="15.75" thickBot="1" x14ac:dyDescent="0.3">
      <c r="A2147" s="344"/>
      <c r="B2147" s="343"/>
      <c r="C2147" s="313"/>
      <c r="D2147" s="312"/>
      <c r="E2147" s="311" t="s">
        <v>644</v>
      </c>
      <c r="F2147" s="310">
        <f>SUM(F2105:F2146)</f>
        <v>1104000</v>
      </c>
      <c r="G2147" s="309">
        <f>SUM(G2105:G2146)</f>
        <v>0</v>
      </c>
    </row>
    <row r="2150" spans="1:7" ht="15.75" x14ac:dyDescent="0.25">
      <c r="C2150" s="332"/>
      <c r="D2150" s="333"/>
      <c r="E2150" s="332"/>
      <c r="F2150" s="327" t="s">
        <v>607</v>
      </c>
      <c r="G2150" s="327" t="s">
        <v>484</v>
      </c>
    </row>
    <row r="2151" spans="1:7" ht="15.75" x14ac:dyDescent="0.25">
      <c r="C2151" s="332"/>
      <c r="D2151" s="333"/>
      <c r="E2151" s="332"/>
      <c r="F2151" s="327" t="s">
        <v>601</v>
      </c>
      <c r="G2151" s="327" t="s">
        <v>483</v>
      </c>
    </row>
    <row r="2152" spans="1:7" x14ac:dyDescent="0.25">
      <c r="C2152" s="328"/>
      <c r="D2152" s="329"/>
      <c r="E2152" s="328"/>
      <c r="F2152" s="327" t="s">
        <v>651</v>
      </c>
      <c r="G2152" s="331">
        <f>[2]Sheet1!$D$59</f>
        <v>3000000</v>
      </c>
    </row>
    <row r="2153" spans="1:7" ht="15.75" thickBot="1" x14ac:dyDescent="0.3">
      <c r="C2153" s="328"/>
      <c r="D2153" s="329"/>
      <c r="E2153" s="328"/>
      <c r="F2153" s="327" t="s">
        <v>650</v>
      </c>
      <c r="G2153" s="326">
        <f>+F2202-G2152</f>
        <v>-3000000</v>
      </c>
    </row>
    <row r="2154" spans="1:7" x14ac:dyDescent="0.25">
      <c r="A2154" s="571" t="s">
        <v>626</v>
      </c>
      <c r="B2154" s="573" t="s">
        <v>606</v>
      </c>
      <c r="C2154" s="588" t="s">
        <v>649</v>
      </c>
      <c r="D2154" s="577" t="s">
        <v>648</v>
      </c>
      <c r="E2154" s="577" t="s">
        <v>647</v>
      </c>
      <c r="F2154" s="577" t="s">
        <v>646</v>
      </c>
      <c r="G2154" s="580" t="s">
        <v>645</v>
      </c>
    </row>
    <row r="2155" spans="1:7" ht="15.75" thickBot="1" x14ac:dyDescent="0.3">
      <c r="A2155" s="579"/>
      <c r="B2155" s="593"/>
      <c r="C2155" s="592"/>
      <c r="D2155" s="578"/>
      <c r="E2155" s="578"/>
      <c r="F2155" s="578"/>
      <c r="G2155" s="581"/>
    </row>
    <row r="2156" spans="1:7" ht="15.75" thickBot="1" x14ac:dyDescent="0.3">
      <c r="A2156" s="325">
        <v>1</v>
      </c>
      <c r="B2156" s="324">
        <v>2</v>
      </c>
      <c r="C2156" s="324">
        <v>3</v>
      </c>
      <c r="D2156" s="324">
        <v>4</v>
      </c>
      <c r="E2156" s="324">
        <v>5</v>
      </c>
      <c r="F2156" s="324">
        <v>6</v>
      </c>
      <c r="G2156" s="323">
        <v>7</v>
      </c>
    </row>
    <row r="2157" spans="1:7" x14ac:dyDescent="0.25">
      <c r="A2157" s="419" t="str">
        <f t="shared" ref="A2157:A2201" si="64">$G$2150&amp;B2157</f>
        <v>I.2.2.02.0321</v>
      </c>
      <c r="B2157" s="381">
        <v>1</v>
      </c>
      <c r="C2157" s="394" t="str">
        <f>IFERROR(VLOOKUP(A2157,[3]DOORSCRIEFT!$A$2:$G$8551,2,FALSE),"")</f>
        <v/>
      </c>
      <c r="D2157" s="393" t="str">
        <f>IFERROR(VLOOKUP(A2157,[3]DOORSCRIEFT!$A$2:$G$8551,3,FALSE),"")</f>
        <v/>
      </c>
      <c r="E2157" s="392" t="str">
        <f>IFERROR(VLOOKUP(A2157,[3]DOORSCRIEFT!$A$2:$G$8551,4,FALSE),"")</f>
        <v/>
      </c>
      <c r="F2157" s="405" t="str">
        <f>IFERROR(VLOOKUP(A2157,[3]DOORSCRIEFT!$A$2:$G$8551,6,FALSE),"")</f>
        <v/>
      </c>
      <c r="G2157" s="418"/>
    </row>
    <row r="2158" spans="1:7" x14ac:dyDescent="0.25">
      <c r="A2158" s="417" t="str">
        <f t="shared" si="64"/>
        <v>I.2.2.02.0322</v>
      </c>
      <c r="B2158" s="319">
        <v>2</v>
      </c>
      <c r="C2158" s="394" t="str">
        <f>IFERROR(VLOOKUP(A2158,[3]DOORSCRIEFT!$A$2:$G$8551,2,FALSE),"")</f>
        <v/>
      </c>
      <c r="D2158" s="393" t="str">
        <f>IFERROR(VLOOKUP(A2158,[3]DOORSCRIEFT!$A$2:$G$8551,3,FALSE),"")</f>
        <v/>
      </c>
      <c r="E2158" s="392" t="str">
        <f>IFERROR(VLOOKUP(A2158,[3]DOORSCRIEFT!$A$2:$G$8551,4,FALSE),"")</f>
        <v/>
      </c>
      <c r="F2158" s="405" t="str">
        <f>IFERROR(VLOOKUP(A2158,[3]DOORSCRIEFT!$A$2:$G$8551,6,FALSE),"")</f>
        <v/>
      </c>
      <c r="G2158" s="416"/>
    </row>
    <row r="2159" spans="1:7" x14ac:dyDescent="0.25">
      <c r="A2159" s="417" t="str">
        <f t="shared" si="64"/>
        <v>I.2.2.02.0323</v>
      </c>
      <c r="B2159" s="319">
        <v>3</v>
      </c>
      <c r="C2159" s="394" t="str">
        <f>IFERROR(VLOOKUP(A2159,[3]DOORSCRIEFT!$A$2:$G$8551,2,FALSE),"")</f>
        <v/>
      </c>
      <c r="D2159" s="393" t="str">
        <f>IFERROR(VLOOKUP(A2159,[3]DOORSCRIEFT!$A$2:$G$8551,3,FALSE),"")</f>
        <v/>
      </c>
      <c r="E2159" s="392" t="str">
        <f>IFERROR(VLOOKUP(A2159,[3]DOORSCRIEFT!$A$2:$G$8551,4,FALSE),"")</f>
        <v/>
      </c>
      <c r="F2159" s="405" t="str">
        <f>IFERROR(VLOOKUP(A2159,[3]DOORSCRIEFT!$A$2:$G$8551,6,FALSE),"")</f>
        <v/>
      </c>
      <c r="G2159" s="416"/>
    </row>
    <row r="2160" spans="1:7" x14ac:dyDescent="0.25">
      <c r="A2160" s="417" t="str">
        <f t="shared" si="64"/>
        <v>I.2.2.02.0324</v>
      </c>
      <c r="B2160" s="319">
        <v>4</v>
      </c>
      <c r="C2160" s="394" t="str">
        <f>IFERROR(VLOOKUP(A2160,[3]DOORSCRIEFT!$A$2:$G$8551,2,FALSE),"")</f>
        <v/>
      </c>
      <c r="D2160" s="393" t="str">
        <f>IFERROR(VLOOKUP(A2160,[3]DOORSCRIEFT!$A$2:$G$8551,3,FALSE),"")</f>
        <v/>
      </c>
      <c r="E2160" s="392" t="str">
        <f>IFERROR(VLOOKUP(A2160,[3]DOORSCRIEFT!$A$2:$G$8551,4,FALSE),"")</f>
        <v/>
      </c>
      <c r="F2160" s="405" t="str">
        <f>IFERROR(VLOOKUP(A2160,[3]DOORSCRIEFT!$A$2:$G$8551,6,FALSE),"")</f>
        <v/>
      </c>
      <c r="G2160" s="416"/>
    </row>
    <row r="2161" spans="1:7" x14ac:dyDescent="0.25">
      <c r="A2161" s="417" t="str">
        <f t="shared" si="64"/>
        <v>I.2.2.02.0325</v>
      </c>
      <c r="B2161" s="319">
        <v>5</v>
      </c>
      <c r="C2161" s="394" t="str">
        <f>IFERROR(VLOOKUP(A2161,[3]DOORSCRIEFT!$A$2:$G$8551,2,FALSE),"")</f>
        <v/>
      </c>
      <c r="D2161" s="393" t="str">
        <f>IFERROR(VLOOKUP(A2161,[3]DOORSCRIEFT!$A$2:$G$8551,3,FALSE),"")</f>
        <v/>
      </c>
      <c r="E2161" s="392" t="str">
        <f>IFERROR(VLOOKUP(A2161,[3]DOORSCRIEFT!$A$2:$G$8551,4,FALSE),"")</f>
        <v/>
      </c>
      <c r="F2161" s="405" t="str">
        <f>IFERROR(VLOOKUP(A2161,[3]DOORSCRIEFT!$A$2:$G$8551,6,FALSE),"")</f>
        <v/>
      </c>
      <c r="G2161" s="416"/>
    </row>
    <row r="2162" spans="1:7" x14ac:dyDescent="0.25">
      <c r="A2162" s="417" t="str">
        <f t="shared" si="64"/>
        <v>I.2.2.02.0326</v>
      </c>
      <c r="B2162" s="319">
        <v>6</v>
      </c>
      <c r="C2162" s="394" t="str">
        <f>IFERROR(VLOOKUP(A2162,[3]DOORSCRIEFT!$A$2:$G$8551,2,FALSE),"")</f>
        <v/>
      </c>
      <c r="D2162" s="393" t="str">
        <f>IFERROR(VLOOKUP(A2162,[3]DOORSCRIEFT!$A$2:$G$8551,3,FALSE),"")</f>
        <v/>
      </c>
      <c r="E2162" s="392" t="str">
        <f>IFERROR(VLOOKUP(A2162,[3]DOORSCRIEFT!$A$2:$G$8551,4,FALSE),"")</f>
        <v/>
      </c>
      <c r="F2162" s="405" t="str">
        <f>IFERROR(VLOOKUP(A2162,[3]DOORSCRIEFT!$A$2:$G$8551,6,FALSE),"")</f>
        <v/>
      </c>
      <c r="G2162" s="416"/>
    </row>
    <row r="2163" spans="1:7" x14ac:dyDescent="0.25">
      <c r="A2163" s="417" t="str">
        <f t="shared" si="64"/>
        <v>I.2.2.02.0327</v>
      </c>
      <c r="B2163" s="319">
        <v>7</v>
      </c>
      <c r="C2163" s="394" t="str">
        <f>IFERROR(VLOOKUP(A2163,[3]DOORSCRIEFT!$A$2:$G$8551,2,FALSE),"")</f>
        <v/>
      </c>
      <c r="D2163" s="393" t="str">
        <f>IFERROR(VLOOKUP(A2163,[3]DOORSCRIEFT!$A$2:$G$8551,3,FALSE),"")</f>
        <v/>
      </c>
      <c r="E2163" s="392" t="str">
        <f>IFERROR(VLOOKUP(A2163,[3]DOORSCRIEFT!$A$2:$G$8551,4,FALSE),"")</f>
        <v/>
      </c>
      <c r="F2163" s="405" t="str">
        <f>IFERROR(VLOOKUP(A2163,[3]DOORSCRIEFT!$A$2:$G$8551,6,FALSE),"")</f>
        <v/>
      </c>
      <c r="G2163" s="416"/>
    </row>
    <row r="2164" spans="1:7" x14ac:dyDescent="0.25">
      <c r="A2164" s="417" t="str">
        <f t="shared" si="64"/>
        <v>I.2.2.02.0328</v>
      </c>
      <c r="B2164" s="319">
        <v>8</v>
      </c>
      <c r="C2164" s="394" t="str">
        <f>IFERROR(VLOOKUP(A2164,[3]DOORSCRIEFT!$A$2:$G$8551,2,FALSE),"")</f>
        <v/>
      </c>
      <c r="D2164" s="393" t="str">
        <f>IFERROR(VLOOKUP(A2164,[3]DOORSCRIEFT!$A$2:$G$8551,3,FALSE),"")</f>
        <v/>
      </c>
      <c r="E2164" s="392" t="str">
        <f>IFERROR(VLOOKUP(A2164,[3]DOORSCRIEFT!$A$2:$G$8551,4,FALSE),"")</f>
        <v/>
      </c>
      <c r="F2164" s="405" t="str">
        <f>IFERROR(VLOOKUP(A2164,[3]DOORSCRIEFT!$A$2:$G$8551,6,FALSE),"")</f>
        <v/>
      </c>
      <c r="G2164" s="416"/>
    </row>
    <row r="2165" spans="1:7" x14ac:dyDescent="0.25">
      <c r="A2165" s="417" t="str">
        <f t="shared" si="64"/>
        <v>I.2.2.02.0329</v>
      </c>
      <c r="B2165" s="319">
        <v>9</v>
      </c>
      <c r="C2165" s="394" t="str">
        <f>IFERROR(VLOOKUP(A2165,[3]DOORSCRIEFT!$A$2:$G$8551,2,FALSE),"")</f>
        <v/>
      </c>
      <c r="D2165" s="393" t="str">
        <f>IFERROR(VLOOKUP(A2165,[3]DOORSCRIEFT!$A$2:$G$8551,3,FALSE),"")</f>
        <v/>
      </c>
      <c r="E2165" s="392" t="str">
        <f>IFERROR(VLOOKUP(A2165,[3]DOORSCRIEFT!$A$2:$G$8551,4,FALSE),"")</f>
        <v/>
      </c>
      <c r="F2165" s="405" t="str">
        <f>IFERROR(VLOOKUP(A2165,[3]DOORSCRIEFT!$A$2:$G$8551,6,FALSE),"")</f>
        <v/>
      </c>
      <c r="G2165" s="416"/>
    </row>
    <row r="2166" spans="1:7" x14ac:dyDescent="0.25">
      <c r="A2166" s="417" t="str">
        <f t="shared" si="64"/>
        <v>I.2.2.02.03210</v>
      </c>
      <c r="B2166" s="319">
        <v>10</v>
      </c>
      <c r="C2166" s="394" t="str">
        <f>IFERROR(VLOOKUP(A2166,[3]DOORSCRIEFT!$A$2:$G$8551,2,FALSE),"")</f>
        <v/>
      </c>
      <c r="D2166" s="393" t="str">
        <f>IFERROR(VLOOKUP(A2166,[3]DOORSCRIEFT!$A$2:$G$8551,3,FALSE),"")</f>
        <v/>
      </c>
      <c r="E2166" s="392" t="str">
        <f>IFERROR(VLOOKUP(A2166,[3]DOORSCRIEFT!$A$2:$G$8551,4,FALSE),"")</f>
        <v/>
      </c>
      <c r="F2166" s="405" t="str">
        <f>IFERROR(VLOOKUP(A2166,[3]DOORSCRIEFT!$A$2:$G$8551,6,FALSE),"")</f>
        <v/>
      </c>
      <c r="G2166" s="416"/>
    </row>
    <row r="2167" spans="1:7" x14ac:dyDescent="0.25">
      <c r="A2167" s="417" t="str">
        <f t="shared" si="64"/>
        <v>I.2.2.02.03211</v>
      </c>
      <c r="B2167" s="319">
        <v>11</v>
      </c>
      <c r="C2167" s="394" t="str">
        <f>IFERROR(VLOOKUP(A2167,[3]DOORSCRIEFT!$A$2:$G$8551,2,FALSE),"")</f>
        <v/>
      </c>
      <c r="D2167" s="393" t="str">
        <f>IFERROR(VLOOKUP(A2167,[3]DOORSCRIEFT!$A$2:$G$8551,3,FALSE),"")</f>
        <v/>
      </c>
      <c r="E2167" s="392" t="str">
        <f>IFERROR(VLOOKUP(A2167,[3]DOORSCRIEFT!$A$2:$G$8551,4,FALSE),"")</f>
        <v/>
      </c>
      <c r="F2167" s="405" t="str">
        <f>IFERROR(VLOOKUP(A2167,[3]DOORSCRIEFT!$A$2:$G$8551,6,FALSE),"")</f>
        <v/>
      </c>
      <c r="G2167" s="416"/>
    </row>
    <row r="2168" spans="1:7" x14ac:dyDescent="0.25">
      <c r="A2168" s="417" t="str">
        <f t="shared" si="64"/>
        <v>I.2.2.02.03212</v>
      </c>
      <c r="B2168" s="319">
        <v>12</v>
      </c>
      <c r="C2168" s="394" t="str">
        <f>IFERROR(VLOOKUP(A2168,[3]DOORSCRIEFT!$A$2:$G$8551,2,FALSE),"")</f>
        <v/>
      </c>
      <c r="D2168" s="393" t="str">
        <f>IFERROR(VLOOKUP(A2168,[3]DOORSCRIEFT!$A$2:$G$8551,3,FALSE),"")</f>
        <v/>
      </c>
      <c r="E2168" s="392" t="str">
        <f>IFERROR(VLOOKUP(A2168,[3]DOORSCRIEFT!$A$2:$G$8551,4,FALSE),"")</f>
        <v/>
      </c>
      <c r="F2168" s="405" t="str">
        <f>IFERROR(VLOOKUP(A2168,[3]DOORSCRIEFT!$A$2:$G$8551,6,FALSE),"")</f>
        <v/>
      </c>
      <c r="G2168" s="416"/>
    </row>
    <row r="2169" spans="1:7" x14ac:dyDescent="0.25">
      <c r="A2169" s="417" t="str">
        <f t="shared" si="64"/>
        <v>I.2.2.02.03213</v>
      </c>
      <c r="B2169" s="319">
        <v>13</v>
      </c>
      <c r="C2169" s="394" t="str">
        <f>IFERROR(VLOOKUP(A2169,[3]DOORSCRIEFT!$A$2:$G$8551,2,FALSE),"")</f>
        <v/>
      </c>
      <c r="D2169" s="393" t="str">
        <f>IFERROR(VLOOKUP(A2169,[3]DOORSCRIEFT!$A$2:$G$8551,3,FALSE),"")</f>
        <v/>
      </c>
      <c r="E2169" s="392" t="str">
        <f>IFERROR(VLOOKUP(A2169,[3]DOORSCRIEFT!$A$2:$G$8551,4,FALSE),"")</f>
        <v/>
      </c>
      <c r="F2169" s="405" t="str">
        <f>IFERROR(VLOOKUP(A2169,[3]DOORSCRIEFT!$A$2:$G$8551,6,FALSE),"")</f>
        <v/>
      </c>
      <c r="G2169" s="416"/>
    </row>
    <row r="2170" spans="1:7" x14ac:dyDescent="0.25">
      <c r="A2170" s="417" t="str">
        <f t="shared" si="64"/>
        <v>I.2.2.02.03214</v>
      </c>
      <c r="B2170" s="319">
        <v>14</v>
      </c>
      <c r="C2170" s="394" t="str">
        <f>IFERROR(VLOOKUP(A2170,[3]DOORSCRIEFT!$A$2:$G$8551,2,FALSE),"")</f>
        <v/>
      </c>
      <c r="D2170" s="393" t="str">
        <f>IFERROR(VLOOKUP(A2170,[3]DOORSCRIEFT!$A$2:$G$8551,3,FALSE),"")</f>
        <v/>
      </c>
      <c r="E2170" s="392" t="str">
        <f>IFERROR(VLOOKUP(A2170,[3]DOORSCRIEFT!$A$2:$G$8551,4,FALSE),"")</f>
        <v/>
      </c>
      <c r="F2170" s="405" t="str">
        <f>IFERROR(VLOOKUP(A2170,[3]DOORSCRIEFT!$A$2:$G$8551,6,FALSE),"")</f>
        <v/>
      </c>
      <c r="G2170" s="416"/>
    </row>
    <row r="2171" spans="1:7" x14ac:dyDescent="0.25">
      <c r="A2171" s="417" t="str">
        <f t="shared" si="64"/>
        <v>I.2.2.02.03215</v>
      </c>
      <c r="B2171" s="319">
        <v>15</v>
      </c>
      <c r="C2171" s="394" t="str">
        <f>IFERROR(VLOOKUP(A2171,[3]DOORSCRIEFT!$A$2:$G$8551,2,FALSE),"")</f>
        <v/>
      </c>
      <c r="D2171" s="393" t="str">
        <f>IFERROR(VLOOKUP(A2171,[3]DOORSCRIEFT!$A$2:$G$8551,3,FALSE),"")</f>
        <v/>
      </c>
      <c r="E2171" s="392" t="str">
        <f>IFERROR(VLOOKUP(A2171,[3]DOORSCRIEFT!$A$2:$G$8551,4,FALSE),"")</f>
        <v/>
      </c>
      <c r="F2171" s="405" t="str">
        <f>IFERROR(VLOOKUP(A2171,[3]DOORSCRIEFT!$A$2:$G$8551,6,FALSE),"")</f>
        <v/>
      </c>
      <c r="G2171" s="416"/>
    </row>
    <row r="2172" spans="1:7" x14ac:dyDescent="0.25">
      <c r="A2172" s="417" t="str">
        <f t="shared" si="64"/>
        <v>I.2.2.02.03216</v>
      </c>
      <c r="B2172" s="319">
        <v>16</v>
      </c>
      <c r="C2172" s="394" t="str">
        <f>IFERROR(VLOOKUP(A2172,[3]DOORSCRIEFT!$A$2:$G$8551,2,FALSE),"")</f>
        <v/>
      </c>
      <c r="D2172" s="393" t="str">
        <f>IFERROR(VLOOKUP(A2172,[3]DOORSCRIEFT!$A$2:$G$8551,3,FALSE),"")</f>
        <v/>
      </c>
      <c r="E2172" s="392" t="str">
        <f>IFERROR(VLOOKUP(A2172,[3]DOORSCRIEFT!$A$2:$G$8551,4,FALSE),"")</f>
        <v/>
      </c>
      <c r="F2172" s="405" t="str">
        <f>IFERROR(VLOOKUP(A2172,[3]DOORSCRIEFT!$A$2:$G$8551,6,FALSE),"")</f>
        <v/>
      </c>
      <c r="G2172" s="416"/>
    </row>
    <row r="2173" spans="1:7" x14ac:dyDescent="0.25">
      <c r="A2173" s="413" t="str">
        <f t="shared" si="64"/>
        <v>I.2.2.02.03217</v>
      </c>
      <c r="B2173" s="319">
        <v>17</v>
      </c>
      <c r="C2173" s="394" t="str">
        <f>IFERROR(VLOOKUP(A2173,[3]DOORSCRIEFT!$A$2:$G$8551,2,FALSE),"")</f>
        <v/>
      </c>
      <c r="D2173" s="393" t="str">
        <f>IFERROR(VLOOKUP(A2173,[3]DOORSCRIEFT!$A$2:$G$8551,3,FALSE),"")</f>
        <v/>
      </c>
      <c r="E2173" s="392" t="str">
        <f>IFERROR(VLOOKUP(A2173,[3]DOORSCRIEFT!$A$2:$G$8551,4,FALSE),"")</f>
        <v/>
      </c>
      <c r="F2173" s="405" t="str">
        <f>IFERROR(VLOOKUP(A2173,[3]DOORSCRIEFT!$A$2:$G$8551,6,FALSE),"")</f>
        <v/>
      </c>
      <c r="G2173" s="415"/>
    </row>
    <row r="2174" spans="1:7" x14ac:dyDescent="0.25">
      <c r="A2174" s="413" t="str">
        <f t="shared" si="64"/>
        <v>I.2.2.02.03218</v>
      </c>
      <c r="B2174" s="319">
        <v>18</v>
      </c>
      <c r="C2174" s="394" t="str">
        <f>IFERROR(VLOOKUP(A2174,[3]DOORSCRIEFT!$A$2:$G$8551,2,FALSE),"")</f>
        <v/>
      </c>
      <c r="D2174" s="393" t="str">
        <f>IFERROR(VLOOKUP(A2174,[3]DOORSCRIEFT!$A$2:$G$8551,3,FALSE),"")</f>
        <v/>
      </c>
      <c r="E2174" s="392" t="str">
        <f>IFERROR(VLOOKUP(A2174,[3]DOORSCRIEFT!$A$2:$G$8551,4,FALSE),"")</f>
        <v/>
      </c>
      <c r="F2174" s="405" t="str">
        <f>IFERROR(VLOOKUP(A2174,[3]DOORSCRIEFT!$A$2:$G$8551,6,FALSE),"")</f>
        <v/>
      </c>
      <c r="G2174" s="414"/>
    </row>
    <row r="2175" spans="1:7" x14ac:dyDescent="0.25">
      <c r="A2175" s="413" t="str">
        <f t="shared" si="64"/>
        <v>I.2.2.02.03219</v>
      </c>
      <c r="B2175" s="319">
        <v>19</v>
      </c>
      <c r="C2175" s="394" t="str">
        <f>IFERROR(VLOOKUP(A2175,[3]DOORSCRIEFT!$A$2:$G$8551,2,FALSE),"")</f>
        <v/>
      </c>
      <c r="D2175" s="393" t="str">
        <f>IFERROR(VLOOKUP(A2175,[3]DOORSCRIEFT!$A$2:$G$8551,3,FALSE),"")</f>
        <v/>
      </c>
      <c r="E2175" s="392" t="str">
        <f>IFERROR(VLOOKUP(A2175,[3]DOORSCRIEFT!$A$2:$G$8551,4,FALSE),"")</f>
        <v/>
      </c>
      <c r="F2175" s="405" t="str">
        <f>IFERROR(VLOOKUP(A2175,[3]DOORSCRIEFT!$A$2:$G$8551,6,FALSE),"")</f>
        <v/>
      </c>
      <c r="G2175" s="414"/>
    </row>
    <row r="2176" spans="1:7" x14ac:dyDescent="0.25">
      <c r="A2176" s="413" t="str">
        <f t="shared" si="64"/>
        <v>I.2.2.02.03220</v>
      </c>
      <c r="B2176" s="319">
        <v>20</v>
      </c>
      <c r="C2176" s="394" t="str">
        <f>IFERROR(VLOOKUP(A2176,[3]DOORSCRIEFT!$A$2:$G$8551,2,FALSE),"")</f>
        <v/>
      </c>
      <c r="D2176" s="393" t="str">
        <f>IFERROR(VLOOKUP(A2176,[3]DOORSCRIEFT!$A$2:$G$8551,3,FALSE),"")</f>
        <v/>
      </c>
      <c r="E2176" s="392" t="str">
        <f>IFERROR(VLOOKUP(A2176,[3]DOORSCRIEFT!$A$2:$G$8551,4,FALSE),"")</f>
        <v/>
      </c>
      <c r="F2176" s="405" t="str">
        <f>IFERROR(VLOOKUP(A2176,[3]DOORSCRIEFT!$A$2:$G$8551,6,FALSE),"")</f>
        <v/>
      </c>
      <c r="G2176" s="414"/>
    </row>
    <row r="2177" spans="1:7" x14ac:dyDescent="0.25">
      <c r="A2177" s="413" t="str">
        <f t="shared" si="64"/>
        <v>I.2.2.02.03221</v>
      </c>
      <c r="B2177" s="319">
        <v>21</v>
      </c>
      <c r="C2177" s="394" t="str">
        <f>IFERROR(VLOOKUP(A2177,[3]DOORSCRIEFT!$A$2:$G$8551,2,FALSE),"")</f>
        <v/>
      </c>
      <c r="D2177" s="393" t="str">
        <f>IFERROR(VLOOKUP(A2177,[3]DOORSCRIEFT!$A$2:$G$8551,3,FALSE),"")</f>
        <v/>
      </c>
      <c r="E2177" s="392" t="str">
        <f>IFERROR(VLOOKUP(A2177,[3]DOORSCRIEFT!$A$2:$G$8551,4,FALSE),"")</f>
        <v/>
      </c>
      <c r="F2177" s="405" t="str">
        <f>IFERROR(VLOOKUP(A2177,[3]DOORSCRIEFT!$A$2:$G$8551,6,FALSE),"")</f>
        <v/>
      </c>
      <c r="G2177" s="414"/>
    </row>
    <row r="2178" spans="1:7" x14ac:dyDescent="0.25">
      <c r="A2178" s="413" t="str">
        <f t="shared" si="64"/>
        <v>I.2.2.02.03222</v>
      </c>
      <c r="B2178" s="319">
        <v>22</v>
      </c>
      <c r="C2178" s="394" t="str">
        <f>IFERROR(VLOOKUP(A2178,[3]DOORSCRIEFT!$A$2:$G$8551,2,FALSE),"")</f>
        <v/>
      </c>
      <c r="D2178" s="393" t="str">
        <f>IFERROR(VLOOKUP(A2178,[3]DOORSCRIEFT!$A$2:$G$8551,3,FALSE),"")</f>
        <v/>
      </c>
      <c r="E2178" s="392" t="str">
        <f>IFERROR(VLOOKUP(A2178,[3]DOORSCRIEFT!$A$2:$G$8551,4,FALSE),"")</f>
        <v/>
      </c>
      <c r="F2178" s="405" t="str">
        <f>IFERROR(VLOOKUP(A2178,[3]DOORSCRIEFT!$A$2:$G$8551,6,FALSE),"")</f>
        <v/>
      </c>
      <c r="G2178" s="414"/>
    </row>
    <row r="2179" spans="1:7" x14ac:dyDescent="0.25">
      <c r="A2179" s="413" t="str">
        <f t="shared" si="64"/>
        <v>I.2.2.02.03223</v>
      </c>
      <c r="B2179" s="319">
        <v>23</v>
      </c>
      <c r="C2179" s="394" t="str">
        <f>IFERROR(VLOOKUP(A2179,[3]DOORSCRIEFT!$A$2:$G$8551,2,FALSE),"")</f>
        <v/>
      </c>
      <c r="D2179" s="393" t="str">
        <f>IFERROR(VLOOKUP(A2179,[3]DOORSCRIEFT!$A$2:$G$8551,3,FALSE),"")</f>
        <v/>
      </c>
      <c r="E2179" s="392" t="str">
        <f>IFERROR(VLOOKUP(A2179,[3]DOORSCRIEFT!$A$2:$G$8551,4,FALSE),"")</f>
        <v/>
      </c>
      <c r="F2179" s="405" t="str">
        <f>IFERROR(VLOOKUP(A2179,[3]DOORSCRIEFT!$A$2:$G$8551,6,FALSE),"")</f>
        <v/>
      </c>
      <c r="G2179" s="414"/>
    </row>
    <row r="2180" spans="1:7" x14ac:dyDescent="0.25">
      <c r="A2180" s="413" t="str">
        <f t="shared" si="64"/>
        <v>I.2.2.02.03224</v>
      </c>
      <c r="B2180" s="319">
        <v>24</v>
      </c>
      <c r="C2180" s="394" t="str">
        <f>IFERROR(VLOOKUP(A2180,[3]DOORSCRIEFT!$A$2:$G$8551,2,FALSE),"")</f>
        <v/>
      </c>
      <c r="D2180" s="393" t="str">
        <f>IFERROR(VLOOKUP(A2180,[3]DOORSCRIEFT!$A$2:$G$8551,3,FALSE),"")</f>
        <v/>
      </c>
      <c r="E2180" s="392" t="str">
        <f>IFERROR(VLOOKUP(A2180,[3]DOORSCRIEFT!$A$2:$G$8551,4,FALSE),"")</f>
        <v/>
      </c>
      <c r="F2180" s="405" t="str">
        <f>IFERROR(VLOOKUP(A2180,[3]DOORSCRIEFT!$A$2:$G$8551,6,FALSE),"")</f>
        <v/>
      </c>
      <c r="G2180" s="414"/>
    </row>
    <row r="2181" spans="1:7" x14ac:dyDescent="0.25">
      <c r="A2181" s="413" t="str">
        <f t="shared" si="64"/>
        <v>I.2.2.02.03225</v>
      </c>
      <c r="B2181" s="319">
        <v>25</v>
      </c>
      <c r="C2181" s="394" t="str">
        <f>IFERROR(VLOOKUP(A2181,[3]DOORSCRIEFT!$A$2:$G$8551,2,FALSE),"")</f>
        <v/>
      </c>
      <c r="D2181" s="393" t="str">
        <f>IFERROR(VLOOKUP(A2181,[3]DOORSCRIEFT!$A$2:$G$8551,3,FALSE),"")</f>
        <v/>
      </c>
      <c r="E2181" s="392" t="str">
        <f>IFERROR(VLOOKUP(A2181,[3]DOORSCRIEFT!$A$2:$G$8551,4,FALSE),"")</f>
        <v/>
      </c>
      <c r="F2181" s="405" t="str">
        <f>IFERROR(VLOOKUP(A2181,[3]DOORSCRIEFT!$A$2:$G$8551,6,FALSE),"")</f>
        <v/>
      </c>
      <c r="G2181" s="414"/>
    </row>
    <row r="2182" spans="1:7" x14ac:dyDescent="0.25">
      <c r="A2182" s="413" t="str">
        <f t="shared" si="64"/>
        <v>I.2.2.02.03226</v>
      </c>
      <c r="B2182" s="319">
        <v>26</v>
      </c>
      <c r="C2182" s="394" t="str">
        <f>IFERROR(VLOOKUP(A2182,[3]DOORSCRIEFT!$A$2:$G$8551,2,FALSE),"")</f>
        <v/>
      </c>
      <c r="D2182" s="393" t="str">
        <f>IFERROR(VLOOKUP(A2182,[3]DOORSCRIEFT!$A$2:$G$8551,3,FALSE),"")</f>
        <v/>
      </c>
      <c r="E2182" s="392" t="str">
        <f>IFERROR(VLOOKUP(A2182,[3]DOORSCRIEFT!$A$2:$G$8551,4,FALSE),"")</f>
        <v/>
      </c>
      <c r="F2182" s="405" t="str">
        <f>IFERROR(VLOOKUP(A2182,[3]DOORSCRIEFT!$A$2:$G$8551,6,FALSE),"")</f>
        <v/>
      </c>
      <c r="G2182" s="414"/>
    </row>
    <row r="2183" spans="1:7" x14ac:dyDescent="0.25">
      <c r="A2183" s="413" t="str">
        <f t="shared" si="64"/>
        <v>I.2.2.02.03227</v>
      </c>
      <c r="B2183" s="319">
        <v>27</v>
      </c>
      <c r="C2183" s="394" t="str">
        <f>IFERROR(VLOOKUP(A2183,[3]DOORSCRIEFT!$A$2:$G$8551,2,FALSE),"")</f>
        <v/>
      </c>
      <c r="D2183" s="393" t="str">
        <f>IFERROR(VLOOKUP(A2183,[3]DOORSCRIEFT!$A$2:$G$8551,3,FALSE),"")</f>
        <v/>
      </c>
      <c r="E2183" s="392" t="str">
        <f>IFERROR(VLOOKUP(A2183,[3]DOORSCRIEFT!$A$2:$G$8551,4,FALSE),"")</f>
        <v/>
      </c>
      <c r="F2183" s="405" t="str">
        <f>IFERROR(VLOOKUP(A2183,[3]DOORSCRIEFT!$A$2:$G$8551,6,FALSE),"")</f>
        <v/>
      </c>
      <c r="G2183" s="414"/>
    </row>
    <row r="2184" spans="1:7" x14ac:dyDescent="0.25">
      <c r="A2184" s="413" t="str">
        <f t="shared" si="64"/>
        <v>I.2.2.02.03228</v>
      </c>
      <c r="B2184" s="319">
        <v>28</v>
      </c>
      <c r="C2184" s="394" t="str">
        <f>IFERROR(VLOOKUP(A2184,[3]DOORSCRIEFT!$A$2:$G$8551,2,FALSE),"")</f>
        <v/>
      </c>
      <c r="D2184" s="393" t="str">
        <f>IFERROR(VLOOKUP(A2184,[3]DOORSCRIEFT!$A$2:$G$8551,3,FALSE),"")</f>
        <v/>
      </c>
      <c r="E2184" s="392" t="str">
        <f>IFERROR(VLOOKUP(A2184,[3]DOORSCRIEFT!$A$2:$G$8551,4,FALSE),"")</f>
        <v/>
      </c>
      <c r="F2184" s="405" t="str">
        <f>IFERROR(VLOOKUP(A2184,[3]DOORSCRIEFT!$A$2:$G$8551,6,FALSE),"")</f>
        <v/>
      </c>
      <c r="G2184" s="414"/>
    </row>
    <row r="2185" spans="1:7" x14ac:dyDescent="0.25">
      <c r="A2185" s="413" t="str">
        <f t="shared" si="64"/>
        <v>I.2.2.02.03229</v>
      </c>
      <c r="B2185" s="319">
        <v>29</v>
      </c>
      <c r="C2185" s="394" t="str">
        <f>IFERROR(VLOOKUP(A2185,[3]DOORSCRIEFT!$A$2:$G$8551,2,FALSE),"")</f>
        <v/>
      </c>
      <c r="D2185" s="393" t="str">
        <f>IFERROR(VLOOKUP(A2185,[3]DOORSCRIEFT!$A$2:$G$8551,3,FALSE),"")</f>
        <v/>
      </c>
      <c r="E2185" s="392" t="str">
        <f>IFERROR(VLOOKUP(A2185,[3]DOORSCRIEFT!$A$2:$G$8551,4,FALSE),"")</f>
        <v/>
      </c>
      <c r="F2185" s="405" t="str">
        <f>IFERROR(VLOOKUP(A2185,[3]DOORSCRIEFT!$A$2:$G$8551,6,FALSE),"")</f>
        <v/>
      </c>
      <c r="G2185" s="414"/>
    </row>
    <row r="2186" spans="1:7" x14ac:dyDescent="0.25">
      <c r="A2186" s="413" t="str">
        <f t="shared" si="64"/>
        <v>I.2.2.02.03230</v>
      </c>
      <c r="B2186" s="319">
        <v>30</v>
      </c>
      <c r="C2186" s="394" t="str">
        <f>IFERROR(VLOOKUP(A2186,[3]DOORSCRIEFT!$A$2:$G$8551,2,FALSE),"")</f>
        <v/>
      </c>
      <c r="D2186" s="393" t="str">
        <f>IFERROR(VLOOKUP(A2186,[3]DOORSCRIEFT!$A$2:$G$8551,3,FALSE),"")</f>
        <v/>
      </c>
      <c r="E2186" s="392" t="str">
        <f>IFERROR(VLOOKUP(A2186,[3]DOORSCRIEFT!$A$2:$G$8551,4,FALSE),"")</f>
        <v/>
      </c>
      <c r="F2186" s="405" t="str">
        <f>IFERROR(VLOOKUP(A2186,[3]DOORSCRIEFT!$A$2:$G$8551,6,FALSE),"")</f>
        <v/>
      </c>
      <c r="G2186" s="414"/>
    </row>
    <row r="2187" spans="1:7" x14ac:dyDescent="0.25">
      <c r="A2187" s="413" t="str">
        <f t="shared" si="64"/>
        <v>I.2.2.02.03231</v>
      </c>
      <c r="B2187" s="319">
        <v>31</v>
      </c>
      <c r="C2187" s="394" t="str">
        <f>IFERROR(VLOOKUP(A2187,[3]DOORSCRIEFT!$A$2:$G$8551,2,FALSE),"")</f>
        <v/>
      </c>
      <c r="D2187" s="393" t="str">
        <f>IFERROR(VLOOKUP(A2187,[3]DOORSCRIEFT!$A$2:$G$8551,3,FALSE),"")</f>
        <v/>
      </c>
      <c r="E2187" s="392" t="str">
        <f>IFERROR(VLOOKUP(A2187,[3]DOORSCRIEFT!$A$2:$G$8551,4,FALSE),"")</f>
        <v/>
      </c>
      <c r="F2187" s="405" t="str">
        <f>IFERROR(VLOOKUP(A2187,[3]DOORSCRIEFT!$A$2:$G$8551,6,FALSE),"")</f>
        <v/>
      </c>
      <c r="G2187" s="414"/>
    </row>
    <row r="2188" spans="1:7" x14ac:dyDescent="0.25">
      <c r="A2188" s="413" t="str">
        <f t="shared" si="64"/>
        <v>I.2.2.02.03232</v>
      </c>
      <c r="B2188" s="319">
        <v>32</v>
      </c>
      <c r="C2188" s="394" t="str">
        <f>IFERROR(VLOOKUP(A2188,[3]DOORSCRIEFT!$A$2:$G$8551,2,FALSE),"")</f>
        <v/>
      </c>
      <c r="D2188" s="393" t="str">
        <f>IFERROR(VLOOKUP(A2188,[3]DOORSCRIEFT!$A$2:$G$8551,3,FALSE),"")</f>
        <v/>
      </c>
      <c r="E2188" s="392" t="str">
        <f>IFERROR(VLOOKUP(A2188,[3]DOORSCRIEFT!$A$2:$G$8551,4,FALSE),"")</f>
        <v/>
      </c>
      <c r="F2188" s="405" t="str">
        <f>IFERROR(VLOOKUP(A2188,[3]DOORSCRIEFT!$A$2:$G$8551,6,FALSE),"")</f>
        <v/>
      </c>
      <c r="G2188" s="414"/>
    </row>
    <row r="2189" spans="1:7" x14ac:dyDescent="0.25">
      <c r="A2189" s="413" t="str">
        <f t="shared" si="64"/>
        <v>I.2.2.02.03233</v>
      </c>
      <c r="B2189" s="319">
        <v>33</v>
      </c>
      <c r="C2189" s="394" t="str">
        <f>IFERROR(VLOOKUP(A2189,[3]DOORSCRIEFT!$A$2:$G$8551,2,FALSE),"")</f>
        <v/>
      </c>
      <c r="D2189" s="393" t="str">
        <f>IFERROR(VLOOKUP(A2189,[3]DOORSCRIEFT!$A$2:$G$8551,3,FALSE),"")</f>
        <v/>
      </c>
      <c r="E2189" s="392" t="str">
        <f>IFERROR(VLOOKUP(A2189,[3]DOORSCRIEFT!$A$2:$G$8551,4,FALSE),"")</f>
        <v/>
      </c>
      <c r="F2189" s="405" t="str">
        <f>IFERROR(VLOOKUP(A2189,[3]DOORSCRIEFT!$A$2:$G$8551,6,FALSE),"")</f>
        <v/>
      </c>
      <c r="G2189" s="414"/>
    </row>
    <row r="2190" spans="1:7" x14ac:dyDescent="0.25">
      <c r="A2190" s="413" t="str">
        <f t="shared" si="64"/>
        <v>I.2.2.02.03234</v>
      </c>
      <c r="B2190" s="319">
        <v>34</v>
      </c>
      <c r="C2190" s="394" t="str">
        <f>IFERROR(VLOOKUP(A2190,[3]DOORSCRIEFT!$A$2:$G$8551,2,FALSE),"")</f>
        <v/>
      </c>
      <c r="D2190" s="393" t="str">
        <f>IFERROR(VLOOKUP(A2190,[3]DOORSCRIEFT!$A$2:$G$8551,3,FALSE),"")</f>
        <v/>
      </c>
      <c r="E2190" s="392" t="str">
        <f>IFERROR(VLOOKUP(A2190,[3]DOORSCRIEFT!$A$2:$G$8551,4,FALSE),"")</f>
        <v/>
      </c>
      <c r="F2190" s="405" t="str">
        <f>IFERROR(VLOOKUP(A2190,[3]DOORSCRIEFT!$A$2:$G$8551,6,FALSE),"")</f>
        <v/>
      </c>
      <c r="G2190" s="414"/>
    </row>
    <row r="2191" spans="1:7" x14ac:dyDescent="0.25">
      <c r="A2191" s="413" t="str">
        <f t="shared" si="64"/>
        <v>I.2.2.02.03235</v>
      </c>
      <c r="B2191" s="319">
        <v>35</v>
      </c>
      <c r="C2191" s="394" t="str">
        <f>IFERROR(VLOOKUP(A2191,[3]DOORSCRIEFT!$A$2:$G$8551,2,FALSE),"")</f>
        <v/>
      </c>
      <c r="D2191" s="393" t="str">
        <f>IFERROR(VLOOKUP(A2191,[3]DOORSCRIEFT!$A$2:$G$8551,3,FALSE),"")</f>
        <v/>
      </c>
      <c r="E2191" s="392" t="str">
        <f>IFERROR(VLOOKUP(A2191,[3]DOORSCRIEFT!$A$2:$G$8551,4,FALSE),"")</f>
        <v/>
      </c>
      <c r="F2191" s="405" t="str">
        <f>IFERROR(VLOOKUP(A2191,[3]DOORSCRIEFT!$A$2:$G$8551,6,FALSE),"")</f>
        <v/>
      </c>
      <c r="G2191" s="414"/>
    </row>
    <row r="2192" spans="1:7" x14ac:dyDescent="0.25">
      <c r="A2192" s="413" t="str">
        <f t="shared" si="64"/>
        <v>I.2.2.02.03236</v>
      </c>
      <c r="B2192" s="319">
        <v>36</v>
      </c>
      <c r="C2192" s="394" t="str">
        <f>IFERROR(VLOOKUP(A2192,[3]DOORSCRIEFT!$A$2:$G$8551,2,FALSE),"")</f>
        <v/>
      </c>
      <c r="D2192" s="393" t="str">
        <f>IFERROR(VLOOKUP(A2192,[3]DOORSCRIEFT!$A$2:$G$8551,3,FALSE),"")</f>
        <v/>
      </c>
      <c r="E2192" s="392" t="str">
        <f>IFERROR(VLOOKUP(A2192,[3]DOORSCRIEFT!$A$2:$G$8551,4,FALSE),"")</f>
        <v/>
      </c>
      <c r="F2192" s="405" t="str">
        <f>IFERROR(VLOOKUP(A2192,[3]DOORSCRIEFT!$A$2:$G$8551,6,FALSE),"")</f>
        <v/>
      </c>
      <c r="G2192" s="414"/>
    </row>
    <row r="2193" spans="1:7" x14ac:dyDescent="0.25">
      <c r="A2193" s="413" t="str">
        <f t="shared" si="64"/>
        <v>I.2.2.02.03237</v>
      </c>
      <c r="B2193" s="319">
        <v>37</v>
      </c>
      <c r="C2193" s="394" t="str">
        <f>IFERROR(VLOOKUP(A2193,[3]DOORSCRIEFT!$A$2:$G$8551,2,FALSE),"")</f>
        <v/>
      </c>
      <c r="D2193" s="393" t="str">
        <f>IFERROR(VLOOKUP(A2193,[3]DOORSCRIEFT!$A$2:$G$8551,3,FALSE),"")</f>
        <v/>
      </c>
      <c r="E2193" s="392" t="str">
        <f>IFERROR(VLOOKUP(A2193,[3]DOORSCRIEFT!$A$2:$G$8551,4,FALSE),"")</f>
        <v/>
      </c>
      <c r="F2193" s="405" t="str">
        <f>IFERROR(VLOOKUP(A2193,[3]DOORSCRIEFT!$A$2:$G$8551,6,FALSE),"")</f>
        <v/>
      </c>
      <c r="G2193" s="414"/>
    </row>
    <row r="2194" spans="1:7" x14ac:dyDescent="0.25">
      <c r="A2194" s="413" t="str">
        <f t="shared" si="64"/>
        <v>I.2.2.02.03238</v>
      </c>
      <c r="B2194" s="319">
        <v>38</v>
      </c>
      <c r="C2194" s="394" t="str">
        <f>IFERROR(VLOOKUP(A2194,[3]DOORSCRIEFT!$A$2:$G$8551,2,FALSE),"")</f>
        <v/>
      </c>
      <c r="D2194" s="393" t="str">
        <f>IFERROR(VLOOKUP(A2194,[3]DOORSCRIEFT!$A$2:$G$8551,3,FALSE),"")</f>
        <v/>
      </c>
      <c r="E2194" s="392" t="str">
        <f>IFERROR(VLOOKUP(A2194,[3]DOORSCRIEFT!$A$2:$G$8551,4,FALSE),"")</f>
        <v/>
      </c>
      <c r="F2194" s="405" t="str">
        <f>IFERROR(VLOOKUP(A2194,[3]DOORSCRIEFT!$A$2:$G$8551,6,FALSE),"")</f>
        <v/>
      </c>
      <c r="G2194" s="414"/>
    </row>
    <row r="2195" spans="1:7" x14ac:dyDescent="0.25">
      <c r="A2195" s="413" t="str">
        <f t="shared" si="64"/>
        <v>I.2.2.02.03239</v>
      </c>
      <c r="B2195" s="319">
        <v>39</v>
      </c>
      <c r="C2195" s="394" t="str">
        <f>IFERROR(VLOOKUP(A2195,[3]DOORSCRIEFT!$A$2:$G$8551,2,FALSE),"")</f>
        <v/>
      </c>
      <c r="D2195" s="393" t="str">
        <f>IFERROR(VLOOKUP(A2195,[3]DOORSCRIEFT!$A$2:$G$8551,3,FALSE),"")</f>
        <v/>
      </c>
      <c r="E2195" s="392" t="str">
        <f>IFERROR(VLOOKUP(A2195,[3]DOORSCRIEFT!$A$2:$G$8551,4,FALSE),"")</f>
        <v/>
      </c>
      <c r="F2195" s="405" t="str">
        <f>IFERROR(VLOOKUP(A2195,[3]DOORSCRIEFT!$A$2:$G$8551,6,FALSE),"")</f>
        <v/>
      </c>
      <c r="G2195" s="414"/>
    </row>
    <row r="2196" spans="1:7" x14ac:dyDescent="0.25">
      <c r="A2196" s="413" t="str">
        <f t="shared" si="64"/>
        <v>I.2.2.02.03240</v>
      </c>
      <c r="B2196" s="319">
        <v>40</v>
      </c>
      <c r="C2196" s="394" t="str">
        <f>IFERROR(VLOOKUP(A2196,[3]DOORSCRIEFT!$A$2:$G$8551,2,FALSE),"")</f>
        <v/>
      </c>
      <c r="D2196" s="393" t="str">
        <f>IFERROR(VLOOKUP(A2196,[3]DOORSCRIEFT!$A$2:$G$8551,3,FALSE),"")</f>
        <v/>
      </c>
      <c r="E2196" s="392" t="str">
        <f>IFERROR(VLOOKUP(A2196,[3]DOORSCRIEFT!$A$2:$G$8551,4,FALSE),"")</f>
        <v/>
      </c>
      <c r="F2196" s="405" t="str">
        <f>IFERROR(VLOOKUP(A2196,[3]DOORSCRIEFT!$A$2:$G$8551,6,FALSE),"")</f>
        <v/>
      </c>
      <c r="G2196" s="414"/>
    </row>
    <row r="2197" spans="1:7" x14ac:dyDescent="0.25">
      <c r="A2197" s="413" t="str">
        <f t="shared" si="64"/>
        <v>I.2.2.02.03241</v>
      </c>
      <c r="B2197" s="319">
        <v>41</v>
      </c>
      <c r="C2197" s="394" t="str">
        <f>IFERROR(VLOOKUP(A2197,[3]DOORSCRIEFT!$A$2:$G$8551,2,FALSE),"")</f>
        <v/>
      </c>
      <c r="D2197" s="393" t="str">
        <f>IFERROR(VLOOKUP(A2197,[3]DOORSCRIEFT!$A$2:$G$8551,3,FALSE),"")</f>
        <v/>
      </c>
      <c r="E2197" s="392" t="str">
        <f>IFERROR(VLOOKUP(A2197,[3]DOORSCRIEFT!$A$2:$G$8551,4,FALSE),"")</f>
        <v/>
      </c>
      <c r="F2197" s="405" t="str">
        <f>IFERROR(VLOOKUP(A2197,[3]DOORSCRIEFT!$A$2:$G$8551,6,FALSE),"")</f>
        <v/>
      </c>
      <c r="G2197" s="414"/>
    </row>
    <row r="2198" spans="1:7" x14ac:dyDescent="0.25">
      <c r="A2198" s="413" t="str">
        <f t="shared" si="64"/>
        <v>I.2.2.02.03242</v>
      </c>
      <c r="B2198" s="319">
        <v>42</v>
      </c>
      <c r="C2198" s="394" t="str">
        <f>IFERROR(VLOOKUP(A2198,[3]DOORSCRIEFT!$A$2:$G$8551,2,FALSE),"")</f>
        <v/>
      </c>
      <c r="D2198" s="393" t="str">
        <f>IFERROR(VLOOKUP(A2198,[3]DOORSCRIEFT!$A$2:$G$8551,3,FALSE),"")</f>
        <v/>
      </c>
      <c r="E2198" s="392" t="str">
        <f>IFERROR(VLOOKUP(A2198,[3]DOORSCRIEFT!$A$2:$G$8551,4,FALSE),"")</f>
        <v/>
      </c>
      <c r="F2198" s="405" t="str">
        <f>IFERROR(VLOOKUP(A2198,[3]DOORSCRIEFT!$A$2:$G$8551,6,FALSE),"")</f>
        <v/>
      </c>
      <c r="G2198" s="414"/>
    </row>
    <row r="2199" spans="1:7" x14ac:dyDescent="0.25">
      <c r="A2199" s="413" t="str">
        <f t="shared" si="64"/>
        <v>I.2.2.02.03243</v>
      </c>
      <c r="B2199" s="319">
        <v>43</v>
      </c>
      <c r="C2199" s="394" t="str">
        <f>IFERROR(VLOOKUP(A2199,[3]DOORSCRIEFT!$A$2:$G$8551,2,FALSE),"")</f>
        <v/>
      </c>
      <c r="D2199" s="393" t="str">
        <f>IFERROR(VLOOKUP(A2199,[3]DOORSCRIEFT!$A$2:$G$8551,3,FALSE),"")</f>
        <v/>
      </c>
      <c r="E2199" s="392" t="str">
        <f>IFERROR(VLOOKUP(A2199,[3]DOORSCRIEFT!$A$2:$G$8551,4,FALSE),"")</f>
        <v/>
      </c>
      <c r="F2199" s="405" t="str">
        <f>IFERROR(VLOOKUP(A2199,[3]DOORSCRIEFT!$A$2:$G$8551,6,FALSE),"")</f>
        <v/>
      </c>
      <c r="G2199" s="414"/>
    </row>
    <row r="2200" spans="1:7" x14ac:dyDescent="0.25">
      <c r="A2200" s="413" t="str">
        <f t="shared" si="64"/>
        <v>I.2.2.02.03244</v>
      </c>
      <c r="B2200" s="319">
        <v>44</v>
      </c>
      <c r="C2200" s="394" t="str">
        <f>IFERROR(VLOOKUP(A2200,[3]DOORSCRIEFT!$A$2:$G$8551,2,FALSE),"")</f>
        <v/>
      </c>
      <c r="D2200" s="393" t="str">
        <f>IFERROR(VLOOKUP(A2200,[3]DOORSCRIEFT!$A$2:$G$8551,3,FALSE),"")</f>
        <v/>
      </c>
      <c r="E2200" s="392" t="str">
        <f>IFERROR(VLOOKUP(A2200,[3]DOORSCRIEFT!$A$2:$G$8551,4,FALSE),"")</f>
        <v/>
      </c>
      <c r="F2200" s="405" t="str">
        <f>IFERROR(VLOOKUP(A2200,[3]DOORSCRIEFT!$A$2:$G$8551,6,FALSE),"")</f>
        <v/>
      </c>
      <c r="G2200" s="414"/>
    </row>
    <row r="2201" spans="1:7" ht="15.75" thickBot="1" x14ac:dyDescent="0.3">
      <c r="A2201" s="413" t="str">
        <f t="shared" si="64"/>
        <v>I.2.2.02.03245</v>
      </c>
      <c r="B2201" s="319">
        <v>45</v>
      </c>
      <c r="C2201" s="394" t="str">
        <f>IFERROR(VLOOKUP(A2201,[3]DOORSCRIEFT!$A$2:$G$8551,2,FALSE),"")</f>
        <v/>
      </c>
      <c r="D2201" s="393" t="str">
        <f>IFERROR(VLOOKUP(A2201,[3]DOORSCRIEFT!$A$2:$G$8551,3,FALSE),"")</f>
        <v/>
      </c>
      <c r="E2201" s="392" t="str">
        <f>IFERROR(VLOOKUP(A2201,[3]DOORSCRIEFT!$A$2:$G$8551,4,FALSE),"")</f>
        <v/>
      </c>
      <c r="F2201" s="405" t="str">
        <f>IFERROR(VLOOKUP(A2201,[3]DOORSCRIEFT!$A$2:$G$8551,6,FALSE),"")</f>
        <v/>
      </c>
      <c r="G2201" s="412"/>
    </row>
    <row r="2202" spans="1:7" ht="15.75" thickBot="1" x14ac:dyDescent="0.3">
      <c r="A2202" s="411"/>
      <c r="B2202" s="367"/>
      <c r="C2202" s="410"/>
      <c r="D2202" s="367"/>
      <c r="E2202" s="366" t="s">
        <v>644</v>
      </c>
      <c r="F2202" s="409">
        <f>SUM(F2157:F2201)</f>
        <v>0</v>
      </c>
      <c r="G2202" s="408">
        <f>SUM(G2157:G2173)</f>
        <v>0</v>
      </c>
    </row>
    <row r="2205" spans="1:7" ht="15.75" x14ac:dyDescent="0.25">
      <c r="C2205" s="332"/>
      <c r="D2205" s="333"/>
      <c r="E2205" s="332"/>
      <c r="F2205" s="327" t="s">
        <v>607</v>
      </c>
      <c r="G2205" s="327" t="s">
        <v>482</v>
      </c>
    </row>
    <row r="2206" spans="1:7" ht="15.75" x14ac:dyDescent="0.25">
      <c r="C2206" s="332"/>
      <c r="D2206" s="333"/>
      <c r="E2206" s="332"/>
      <c r="F2206" s="327" t="s">
        <v>601</v>
      </c>
      <c r="G2206" s="327" t="s">
        <v>481</v>
      </c>
    </row>
    <row r="2207" spans="1:7" x14ac:dyDescent="0.25">
      <c r="C2207" s="328"/>
      <c r="D2207" s="329"/>
      <c r="E2207" s="328"/>
      <c r="F2207" s="327" t="s">
        <v>651</v>
      </c>
      <c r="G2207" s="331">
        <f>[2]Sheet1!$D$60</f>
        <v>400000</v>
      </c>
    </row>
    <row r="2208" spans="1:7" ht="15.75" thickBot="1" x14ac:dyDescent="0.3">
      <c r="C2208" s="328"/>
      <c r="D2208" s="329"/>
      <c r="E2208" s="328"/>
      <c r="F2208" s="327" t="s">
        <v>650</v>
      </c>
      <c r="G2208" s="326">
        <f>+F2251-G2207</f>
        <v>-400000</v>
      </c>
    </row>
    <row r="2209" spans="1:7" x14ac:dyDescent="0.25">
      <c r="A2209" s="571" t="s">
        <v>626</v>
      </c>
      <c r="B2209" s="573" t="s">
        <v>606</v>
      </c>
      <c r="C2209" s="588" t="s">
        <v>649</v>
      </c>
      <c r="D2209" s="577" t="s">
        <v>648</v>
      </c>
      <c r="E2209" s="577" t="s">
        <v>647</v>
      </c>
      <c r="F2209" s="577" t="s">
        <v>646</v>
      </c>
      <c r="G2209" s="580" t="s">
        <v>645</v>
      </c>
    </row>
    <row r="2210" spans="1:7" ht="15.75" thickBot="1" x14ac:dyDescent="0.3">
      <c r="A2210" s="579"/>
      <c r="B2210" s="593"/>
      <c r="C2210" s="592"/>
      <c r="D2210" s="578"/>
      <c r="E2210" s="578"/>
      <c r="F2210" s="578"/>
      <c r="G2210" s="581"/>
    </row>
    <row r="2211" spans="1:7" ht="15.75" thickBot="1" x14ac:dyDescent="0.3">
      <c r="A2211" s="325">
        <v>1</v>
      </c>
      <c r="B2211" s="324">
        <v>2</v>
      </c>
      <c r="C2211" s="324">
        <v>3</v>
      </c>
      <c r="D2211" s="324">
        <v>4</v>
      </c>
      <c r="E2211" s="324">
        <v>5</v>
      </c>
      <c r="F2211" s="323">
        <v>6</v>
      </c>
      <c r="G2211" s="323">
        <v>7</v>
      </c>
    </row>
    <row r="2212" spans="1:7" x14ac:dyDescent="0.25">
      <c r="A2212" s="339" t="str">
        <f t="shared" ref="A2212:A2250" si="65">$G$2205&amp;B2212</f>
        <v>I.2.2.02.0331</v>
      </c>
      <c r="B2212" s="339">
        <v>1</v>
      </c>
      <c r="C2212" s="394" t="str">
        <f>IFERROR(VLOOKUP(A2212,[3]DOORSCRIEFT!$A$2:$G$8551,2,FALSE),"")</f>
        <v/>
      </c>
      <c r="D2212" s="393" t="str">
        <f>IFERROR(VLOOKUP(A2212,[3]DOORSCRIEFT!$A$2:$G$8551,3,FALSE),"")</f>
        <v/>
      </c>
      <c r="E2212" s="392" t="str">
        <f>IFERROR(VLOOKUP(A2212,[3]DOORSCRIEFT!$A$2:$G$8551,4,FALSE),"")</f>
        <v/>
      </c>
      <c r="F2212" s="405" t="str">
        <f>IFERROR(VLOOKUP(A2212,[3]DOORSCRIEFT!$A$2:$G$8551,6,FALSE),"")</f>
        <v/>
      </c>
      <c r="G2212" s="406"/>
    </row>
    <row r="2213" spans="1:7" x14ac:dyDescent="0.25">
      <c r="A2213" s="339" t="str">
        <f t="shared" si="65"/>
        <v>I.2.2.02.0332</v>
      </c>
      <c r="B2213" s="319">
        <v>2</v>
      </c>
      <c r="C2213" s="394" t="str">
        <f>IFERROR(VLOOKUP(A2213,[3]DOORSCRIEFT!$A$2:$G$8551,2,FALSE),"")</f>
        <v/>
      </c>
      <c r="D2213" s="393" t="str">
        <f>IFERROR(VLOOKUP(A2213,[3]DOORSCRIEFT!$A$2:$G$8551,3,FALSE),"")</f>
        <v/>
      </c>
      <c r="E2213" s="392" t="str">
        <f>IFERROR(VLOOKUP(A2213,[3]DOORSCRIEFT!$A$2:$G$8551,4,FALSE),"")</f>
        <v/>
      </c>
      <c r="F2213" s="405" t="str">
        <f>IFERROR(VLOOKUP(A2213,[3]DOORSCRIEFT!$A$2:$G$8551,6,FALSE),"")</f>
        <v/>
      </c>
      <c r="G2213" s="406"/>
    </row>
    <row r="2214" spans="1:7" x14ac:dyDescent="0.25">
      <c r="A2214" s="339" t="str">
        <f t="shared" si="65"/>
        <v>I.2.2.02.0333</v>
      </c>
      <c r="B2214" s="339">
        <v>3</v>
      </c>
      <c r="C2214" s="394" t="str">
        <f>IFERROR(VLOOKUP(A2214,[3]DOORSCRIEFT!$A$2:$G$8551,2,FALSE),"")</f>
        <v/>
      </c>
      <c r="D2214" s="393" t="str">
        <f>IFERROR(VLOOKUP(A2214,[3]DOORSCRIEFT!$A$2:$G$8551,3,FALSE),"")</f>
        <v/>
      </c>
      <c r="E2214" s="392" t="str">
        <f>IFERROR(VLOOKUP(A2214,[3]DOORSCRIEFT!$A$2:$G$8551,4,FALSE),"")</f>
        <v/>
      </c>
      <c r="F2214" s="405" t="str">
        <f>IFERROR(VLOOKUP(A2214,[3]DOORSCRIEFT!$A$2:$G$8551,6,FALSE),"")</f>
        <v/>
      </c>
      <c r="G2214" s="322"/>
    </row>
    <row r="2215" spans="1:7" x14ac:dyDescent="0.25">
      <c r="A2215" s="339" t="str">
        <f t="shared" si="65"/>
        <v>I.2.2.02.0334</v>
      </c>
      <c r="B2215" s="319">
        <v>4</v>
      </c>
      <c r="C2215" s="394" t="str">
        <f>IFERROR(VLOOKUP(A2215,[3]DOORSCRIEFT!$A$2:$G$8551,2,FALSE),"")</f>
        <v/>
      </c>
      <c r="D2215" s="393" t="str">
        <f>IFERROR(VLOOKUP(A2215,[3]DOORSCRIEFT!$A$2:$G$8551,3,FALSE),"")</f>
        <v/>
      </c>
      <c r="E2215" s="392" t="str">
        <f>IFERROR(VLOOKUP(A2215,[3]DOORSCRIEFT!$A$2:$G$8551,4,FALSE),"")</f>
        <v/>
      </c>
      <c r="F2215" s="405" t="str">
        <f>IFERROR(VLOOKUP(A2215,[3]DOORSCRIEFT!$A$2:$G$8551,6,FALSE),"")</f>
        <v/>
      </c>
      <c r="G2215" s="315"/>
    </row>
    <row r="2216" spans="1:7" x14ac:dyDescent="0.25">
      <c r="A2216" s="339" t="str">
        <f t="shared" si="65"/>
        <v>I.2.2.02.0335</v>
      </c>
      <c r="B2216" s="339">
        <v>5</v>
      </c>
      <c r="C2216" s="394" t="str">
        <f>IFERROR(VLOOKUP(A2216,[3]DOORSCRIEFT!$A$2:$G$8551,2,FALSE),"")</f>
        <v/>
      </c>
      <c r="D2216" s="393" t="str">
        <f>IFERROR(VLOOKUP(A2216,[3]DOORSCRIEFT!$A$2:$G$8551,3,FALSE),"")</f>
        <v/>
      </c>
      <c r="E2216" s="392" t="str">
        <f>IFERROR(VLOOKUP(A2216,[3]DOORSCRIEFT!$A$2:$G$8551,4,FALSE),"")</f>
        <v/>
      </c>
      <c r="F2216" s="405" t="str">
        <f>IFERROR(VLOOKUP(A2216,[3]DOORSCRIEFT!$A$2:$G$8551,6,FALSE),"")</f>
        <v/>
      </c>
      <c r="G2216" s="315"/>
    </row>
    <row r="2217" spans="1:7" x14ac:dyDescent="0.25">
      <c r="A2217" s="339" t="str">
        <f t="shared" si="65"/>
        <v>I.2.2.02.0336</v>
      </c>
      <c r="B2217" s="319">
        <v>6</v>
      </c>
      <c r="C2217" s="394" t="str">
        <f>IFERROR(VLOOKUP(A2217,[3]DOORSCRIEFT!$A$2:$G$8551,2,FALSE),"")</f>
        <v/>
      </c>
      <c r="D2217" s="393" t="str">
        <f>IFERROR(VLOOKUP(A2217,[3]DOORSCRIEFT!$A$2:$G$8551,3,FALSE),"")</f>
        <v/>
      </c>
      <c r="E2217" s="392" t="str">
        <f>IFERROR(VLOOKUP(A2217,[3]DOORSCRIEFT!$A$2:$G$8551,4,FALSE),"")</f>
        <v/>
      </c>
      <c r="F2217" s="405" t="str">
        <f>IFERROR(VLOOKUP(A2217,[3]DOORSCRIEFT!$A$2:$G$8551,6,FALSE),"")</f>
        <v/>
      </c>
      <c r="G2217" s="315"/>
    </row>
    <row r="2218" spans="1:7" x14ac:dyDescent="0.25">
      <c r="A2218" s="339" t="str">
        <f t="shared" si="65"/>
        <v>I.2.2.02.0337</v>
      </c>
      <c r="B2218" s="339">
        <v>7</v>
      </c>
      <c r="C2218" s="394" t="str">
        <f>IFERROR(VLOOKUP(A2218,[3]DOORSCRIEFT!$A$2:$G$8551,2,FALSE),"")</f>
        <v/>
      </c>
      <c r="D2218" s="393" t="str">
        <f>IFERROR(VLOOKUP(A2218,[3]DOORSCRIEFT!$A$2:$G$8551,3,FALSE),"")</f>
        <v/>
      </c>
      <c r="E2218" s="392" t="str">
        <f>IFERROR(VLOOKUP(A2218,[3]DOORSCRIEFT!$A$2:$G$8551,4,FALSE),"")</f>
        <v/>
      </c>
      <c r="F2218" s="405" t="str">
        <f>IFERROR(VLOOKUP(A2218,[3]DOORSCRIEFT!$A$2:$G$8551,6,FALSE),"")</f>
        <v/>
      </c>
      <c r="G2218" s="315"/>
    </row>
    <row r="2219" spans="1:7" x14ac:dyDescent="0.25">
      <c r="A2219" s="339" t="str">
        <f t="shared" si="65"/>
        <v>I.2.2.02.0338</v>
      </c>
      <c r="B2219" s="319">
        <v>8</v>
      </c>
      <c r="C2219" s="394" t="str">
        <f>IFERROR(VLOOKUP(A2219,[3]DOORSCRIEFT!$A$2:$G$8551,2,FALSE),"")</f>
        <v/>
      </c>
      <c r="D2219" s="393" t="str">
        <f>IFERROR(VLOOKUP(A2219,[3]DOORSCRIEFT!$A$2:$G$8551,3,FALSE),"")</f>
        <v/>
      </c>
      <c r="E2219" s="392" t="str">
        <f>IFERROR(VLOOKUP(A2219,[3]DOORSCRIEFT!$A$2:$G$8551,4,FALSE),"")</f>
        <v/>
      </c>
      <c r="F2219" s="405" t="str">
        <f>IFERROR(VLOOKUP(A2219,[3]DOORSCRIEFT!$A$2:$G$8551,6,FALSE),"")</f>
        <v/>
      </c>
      <c r="G2219" s="315"/>
    </row>
    <row r="2220" spans="1:7" x14ac:dyDescent="0.25">
      <c r="A2220" s="339" t="str">
        <f t="shared" si="65"/>
        <v>I.2.2.02.0339</v>
      </c>
      <c r="B2220" s="339">
        <v>9</v>
      </c>
      <c r="C2220" s="394" t="str">
        <f>IFERROR(VLOOKUP(A2220,[3]DOORSCRIEFT!$A$2:$G$8551,2,FALSE),"")</f>
        <v/>
      </c>
      <c r="D2220" s="393" t="str">
        <f>IFERROR(VLOOKUP(A2220,[3]DOORSCRIEFT!$A$2:$G$8551,3,FALSE),"")</f>
        <v/>
      </c>
      <c r="E2220" s="392" t="str">
        <f>IFERROR(VLOOKUP(A2220,[3]DOORSCRIEFT!$A$2:$G$8551,4,FALSE),"")</f>
        <v/>
      </c>
      <c r="F2220" s="405" t="str">
        <f>IFERROR(VLOOKUP(A2220,[3]DOORSCRIEFT!$A$2:$G$8551,6,FALSE),"")</f>
        <v/>
      </c>
      <c r="G2220" s="315"/>
    </row>
    <row r="2221" spans="1:7" x14ac:dyDescent="0.25">
      <c r="A2221" s="339" t="str">
        <f t="shared" si="65"/>
        <v>I.2.2.02.03310</v>
      </c>
      <c r="B2221" s="319">
        <v>10</v>
      </c>
      <c r="C2221" s="394" t="str">
        <f>IFERROR(VLOOKUP(A2221,[3]DOORSCRIEFT!$A$2:$G$8551,2,FALSE),"")</f>
        <v/>
      </c>
      <c r="D2221" s="393" t="str">
        <f>IFERROR(VLOOKUP(A2221,[3]DOORSCRIEFT!$A$2:$G$8551,3,FALSE),"")</f>
        <v/>
      </c>
      <c r="E2221" s="392" t="str">
        <f>IFERROR(VLOOKUP(A2221,[3]DOORSCRIEFT!$A$2:$G$8551,4,FALSE),"")</f>
        <v/>
      </c>
      <c r="F2221" s="405" t="str">
        <f>IFERROR(VLOOKUP(A2221,[3]DOORSCRIEFT!$A$2:$G$8551,6,FALSE),"")</f>
        <v/>
      </c>
      <c r="G2221" s="315"/>
    </row>
    <row r="2222" spans="1:7" x14ac:dyDescent="0.25">
      <c r="A2222" s="339" t="str">
        <f t="shared" si="65"/>
        <v>I.2.2.02.03311</v>
      </c>
      <c r="B2222" s="339">
        <v>11</v>
      </c>
      <c r="C2222" s="394" t="str">
        <f>IFERROR(VLOOKUP(A2222,[3]DOORSCRIEFT!$A$2:$G$8551,2,FALSE),"")</f>
        <v/>
      </c>
      <c r="D2222" s="393" t="str">
        <f>IFERROR(VLOOKUP(A2222,[3]DOORSCRIEFT!$A$2:$G$8551,3,FALSE),"")</f>
        <v/>
      </c>
      <c r="E2222" s="392" t="str">
        <f>IFERROR(VLOOKUP(A2222,[3]DOORSCRIEFT!$A$2:$G$8551,4,FALSE),"")</f>
        <v/>
      </c>
      <c r="F2222" s="405" t="str">
        <f>IFERROR(VLOOKUP(A2222,[3]DOORSCRIEFT!$A$2:$G$8551,6,FALSE),"")</f>
        <v/>
      </c>
      <c r="G2222" s="315"/>
    </row>
    <row r="2223" spans="1:7" x14ac:dyDescent="0.25">
      <c r="A2223" s="339" t="str">
        <f t="shared" si="65"/>
        <v>I.2.2.02.03312</v>
      </c>
      <c r="B2223" s="319">
        <v>12</v>
      </c>
      <c r="C2223" s="394" t="str">
        <f>IFERROR(VLOOKUP(A2223,[3]DOORSCRIEFT!$A$2:$G$8551,2,FALSE),"")</f>
        <v/>
      </c>
      <c r="D2223" s="393" t="str">
        <f>IFERROR(VLOOKUP(A2223,[3]DOORSCRIEFT!$A$2:$G$8551,3,FALSE),"")</f>
        <v/>
      </c>
      <c r="E2223" s="392" t="str">
        <f>IFERROR(VLOOKUP(A2223,[3]DOORSCRIEFT!$A$2:$G$8551,4,FALSE),"")</f>
        <v/>
      </c>
      <c r="F2223" s="405" t="str">
        <f>IFERROR(VLOOKUP(A2223,[3]DOORSCRIEFT!$A$2:$G$8551,6,FALSE),"")</f>
        <v/>
      </c>
      <c r="G2223" s="315"/>
    </row>
    <row r="2224" spans="1:7" x14ac:dyDescent="0.25">
      <c r="A2224" s="339" t="str">
        <f t="shared" si="65"/>
        <v>I.2.2.02.03313</v>
      </c>
      <c r="B2224" s="339">
        <v>13</v>
      </c>
      <c r="C2224" s="394" t="str">
        <f>IFERROR(VLOOKUP(A2224,[3]DOORSCRIEFT!$A$2:$G$8551,2,FALSE),"")</f>
        <v/>
      </c>
      <c r="D2224" s="393" t="str">
        <f>IFERROR(VLOOKUP(A2224,[3]DOORSCRIEFT!$A$2:$G$8551,3,FALSE),"")</f>
        <v/>
      </c>
      <c r="E2224" s="392" t="str">
        <f>IFERROR(VLOOKUP(A2224,[3]DOORSCRIEFT!$A$2:$G$8551,4,FALSE),"")</f>
        <v/>
      </c>
      <c r="F2224" s="405" t="str">
        <f>IFERROR(VLOOKUP(A2224,[3]DOORSCRIEFT!$A$2:$G$8551,6,FALSE),"")</f>
        <v/>
      </c>
      <c r="G2224" s="315"/>
    </row>
    <row r="2225" spans="1:7" x14ac:dyDescent="0.25">
      <c r="A2225" s="339" t="str">
        <f t="shared" si="65"/>
        <v>I.2.2.02.03314</v>
      </c>
      <c r="B2225" s="319">
        <v>14</v>
      </c>
      <c r="C2225" s="394" t="str">
        <f>IFERROR(VLOOKUP(A2225,[3]DOORSCRIEFT!$A$2:$G$8551,2,FALSE),"")</f>
        <v/>
      </c>
      <c r="D2225" s="393" t="str">
        <f>IFERROR(VLOOKUP(A2225,[3]DOORSCRIEFT!$A$2:$G$8551,3,FALSE),"")</f>
        <v/>
      </c>
      <c r="E2225" s="392" t="str">
        <f>IFERROR(VLOOKUP(A2225,[3]DOORSCRIEFT!$A$2:$G$8551,4,FALSE),"")</f>
        <v/>
      </c>
      <c r="F2225" s="405" t="str">
        <f>IFERROR(VLOOKUP(A2225,[3]DOORSCRIEFT!$A$2:$G$8551,6,FALSE),"")</f>
        <v/>
      </c>
      <c r="G2225" s="315"/>
    </row>
    <row r="2226" spans="1:7" x14ac:dyDescent="0.25">
      <c r="A2226" s="339" t="str">
        <f t="shared" si="65"/>
        <v>I.2.2.02.03315</v>
      </c>
      <c r="B2226" s="339">
        <v>15</v>
      </c>
      <c r="C2226" s="394" t="str">
        <f>IFERROR(VLOOKUP(A2226,[3]DOORSCRIEFT!$A$2:$G$8551,2,FALSE),"")</f>
        <v/>
      </c>
      <c r="D2226" s="393" t="str">
        <f>IFERROR(VLOOKUP(A2226,[3]DOORSCRIEFT!$A$2:$G$8551,3,FALSE),"")</f>
        <v/>
      </c>
      <c r="E2226" s="392" t="str">
        <f>IFERROR(VLOOKUP(A2226,[3]DOORSCRIEFT!$A$2:$G$8551,4,FALSE),"")</f>
        <v/>
      </c>
      <c r="F2226" s="405" t="str">
        <f>IFERROR(VLOOKUP(A2226,[3]DOORSCRIEFT!$A$2:$G$8551,6,FALSE),"")</f>
        <v/>
      </c>
      <c r="G2226" s="315"/>
    </row>
    <row r="2227" spans="1:7" x14ac:dyDescent="0.25">
      <c r="A2227" s="339" t="str">
        <f t="shared" si="65"/>
        <v>I.2.2.02.03316</v>
      </c>
      <c r="B2227" s="319">
        <v>16</v>
      </c>
      <c r="C2227" s="394" t="str">
        <f>IFERROR(VLOOKUP(A2227,[3]DOORSCRIEFT!$A$2:$G$8551,2,FALSE),"")</f>
        <v/>
      </c>
      <c r="D2227" s="393" t="str">
        <f>IFERROR(VLOOKUP(A2227,[3]DOORSCRIEFT!$A$2:$G$8551,3,FALSE),"")</f>
        <v/>
      </c>
      <c r="E2227" s="392" t="str">
        <f>IFERROR(VLOOKUP(A2227,[3]DOORSCRIEFT!$A$2:$G$8551,4,FALSE),"")</f>
        <v/>
      </c>
      <c r="F2227" s="405" t="str">
        <f>IFERROR(VLOOKUP(A2227,[3]DOORSCRIEFT!$A$2:$G$8551,6,FALSE),"")</f>
        <v/>
      </c>
      <c r="G2227" s="315"/>
    </row>
    <row r="2228" spans="1:7" x14ac:dyDescent="0.25">
      <c r="A2228" s="339" t="str">
        <f t="shared" si="65"/>
        <v>I.2.2.02.03317</v>
      </c>
      <c r="B2228" s="339">
        <v>17</v>
      </c>
      <c r="C2228" s="394" t="str">
        <f>IFERROR(VLOOKUP(A2228,[3]DOORSCRIEFT!$A$2:$G$8551,2,FALSE),"")</f>
        <v/>
      </c>
      <c r="D2228" s="393" t="str">
        <f>IFERROR(VLOOKUP(A2228,[3]DOORSCRIEFT!$A$2:$G$8551,3,FALSE),"")</f>
        <v/>
      </c>
      <c r="E2228" s="392" t="str">
        <f>IFERROR(VLOOKUP(A2228,[3]DOORSCRIEFT!$A$2:$G$8551,4,FALSE),"")</f>
        <v/>
      </c>
      <c r="F2228" s="405" t="str">
        <f>IFERROR(VLOOKUP(A2228,[3]DOORSCRIEFT!$A$2:$G$8551,6,FALSE),"")</f>
        <v/>
      </c>
      <c r="G2228" s="315"/>
    </row>
    <row r="2229" spans="1:7" x14ac:dyDescent="0.25">
      <c r="A2229" s="339" t="str">
        <f t="shared" si="65"/>
        <v>I.2.2.02.03318</v>
      </c>
      <c r="B2229" s="319">
        <v>18</v>
      </c>
      <c r="C2229" s="394" t="str">
        <f>IFERROR(VLOOKUP(A2229,[3]DOORSCRIEFT!$A$2:$G$8551,2,FALSE),"")</f>
        <v/>
      </c>
      <c r="D2229" s="393" t="str">
        <f>IFERROR(VLOOKUP(A2229,[3]DOORSCRIEFT!$A$2:$G$8551,3,FALSE),"")</f>
        <v/>
      </c>
      <c r="E2229" s="392" t="str">
        <f>IFERROR(VLOOKUP(A2229,[3]DOORSCRIEFT!$A$2:$G$8551,4,FALSE),"")</f>
        <v/>
      </c>
      <c r="F2229" s="405" t="str">
        <f>IFERROR(VLOOKUP(A2229,[3]DOORSCRIEFT!$A$2:$G$8551,6,FALSE),"")</f>
        <v/>
      </c>
      <c r="G2229" s="315"/>
    </row>
    <row r="2230" spans="1:7" x14ac:dyDescent="0.25">
      <c r="A2230" s="339" t="str">
        <f t="shared" si="65"/>
        <v>I.2.2.02.03319</v>
      </c>
      <c r="B2230" s="339">
        <v>19</v>
      </c>
      <c r="C2230" s="394" t="str">
        <f>IFERROR(VLOOKUP(A2230,[3]DOORSCRIEFT!$A$2:$G$8551,2,FALSE),"")</f>
        <v/>
      </c>
      <c r="D2230" s="393" t="str">
        <f>IFERROR(VLOOKUP(A2230,[3]DOORSCRIEFT!$A$2:$G$8551,3,FALSE),"")</f>
        <v/>
      </c>
      <c r="E2230" s="392" t="str">
        <f>IFERROR(VLOOKUP(A2230,[3]DOORSCRIEFT!$A$2:$G$8551,4,FALSE),"")</f>
        <v/>
      </c>
      <c r="F2230" s="405" t="str">
        <f>IFERROR(VLOOKUP(A2230,[3]DOORSCRIEFT!$A$2:$G$8551,6,FALSE),"")</f>
        <v/>
      </c>
      <c r="G2230" s="315"/>
    </row>
    <row r="2231" spans="1:7" x14ac:dyDescent="0.25">
      <c r="A2231" s="339" t="str">
        <f t="shared" si="65"/>
        <v>I.2.2.02.03320</v>
      </c>
      <c r="B2231" s="319">
        <v>20</v>
      </c>
      <c r="C2231" s="394" t="str">
        <f>IFERROR(VLOOKUP(A2231,[3]DOORSCRIEFT!$A$2:$G$8551,2,FALSE),"")</f>
        <v/>
      </c>
      <c r="D2231" s="393" t="str">
        <f>IFERROR(VLOOKUP(A2231,[3]DOORSCRIEFT!$A$2:$G$8551,3,FALSE),"")</f>
        <v/>
      </c>
      <c r="E2231" s="392" t="str">
        <f>IFERROR(VLOOKUP(A2231,[3]DOORSCRIEFT!$A$2:$G$8551,4,FALSE),"")</f>
        <v/>
      </c>
      <c r="F2231" s="405" t="str">
        <f>IFERROR(VLOOKUP(A2231,[3]DOORSCRIEFT!$A$2:$G$8551,6,FALSE),"")</f>
        <v/>
      </c>
      <c r="G2231" s="315"/>
    </row>
    <row r="2232" spans="1:7" x14ac:dyDescent="0.25">
      <c r="A2232" s="339" t="str">
        <f t="shared" si="65"/>
        <v>I.2.2.02.03321</v>
      </c>
      <c r="B2232" s="339">
        <v>21</v>
      </c>
      <c r="C2232" s="394" t="str">
        <f>IFERROR(VLOOKUP(A2232,[3]DOORSCRIEFT!$A$2:$G$8551,2,FALSE),"")</f>
        <v/>
      </c>
      <c r="D2232" s="393" t="str">
        <f>IFERROR(VLOOKUP(A2232,[3]DOORSCRIEFT!$A$2:$G$8551,3,FALSE),"")</f>
        <v/>
      </c>
      <c r="E2232" s="392" t="str">
        <f>IFERROR(VLOOKUP(A2232,[3]DOORSCRIEFT!$A$2:$G$8551,4,FALSE),"")</f>
        <v/>
      </c>
      <c r="F2232" s="405" t="str">
        <f>IFERROR(VLOOKUP(A2232,[3]DOORSCRIEFT!$A$2:$G$8551,6,FALSE),"")</f>
        <v/>
      </c>
      <c r="G2232" s="315"/>
    </row>
    <row r="2233" spans="1:7" x14ac:dyDescent="0.25">
      <c r="A2233" s="339" t="str">
        <f t="shared" si="65"/>
        <v>I.2.2.02.03322</v>
      </c>
      <c r="B2233" s="319">
        <v>22</v>
      </c>
      <c r="C2233" s="394" t="str">
        <f>IFERROR(VLOOKUP(A2233,[3]DOORSCRIEFT!$A$2:$G$8551,2,FALSE),"")</f>
        <v/>
      </c>
      <c r="D2233" s="393" t="str">
        <f>IFERROR(VLOOKUP(A2233,[3]DOORSCRIEFT!$A$2:$G$8551,3,FALSE),"")</f>
        <v/>
      </c>
      <c r="E2233" s="392" t="str">
        <f>IFERROR(VLOOKUP(A2233,[3]DOORSCRIEFT!$A$2:$G$8551,4,FALSE),"")</f>
        <v/>
      </c>
      <c r="F2233" s="405" t="str">
        <f>IFERROR(VLOOKUP(A2233,[3]DOORSCRIEFT!$A$2:$G$8551,6,FALSE),"")</f>
        <v/>
      </c>
      <c r="G2233" s="315"/>
    </row>
    <row r="2234" spans="1:7" x14ac:dyDescent="0.25">
      <c r="A2234" s="339" t="str">
        <f t="shared" si="65"/>
        <v>I.2.2.02.03323</v>
      </c>
      <c r="B2234" s="339">
        <v>23</v>
      </c>
      <c r="C2234" s="394" t="str">
        <f>IFERROR(VLOOKUP(A2234,[3]DOORSCRIEFT!$A$2:$G$8551,2,FALSE),"")</f>
        <v/>
      </c>
      <c r="D2234" s="393" t="str">
        <f>IFERROR(VLOOKUP(A2234,[3]DOORSCRIEFT!$A$2:$G$8551,3,FALSE),"")</f>
        <v/>
      </c>
      <c r="E2234" s="392" t="str">
        <f>IFERROR(VLOOKUP(A2234,[3]DOORSCRIEFT!$A$2:$G$8551,4,FALSE),"")</f>
        <v/>
      </c>
      <c r="F2234" s="405" t="str">
        <f>IFERROR(VLOOKUP(A2234,[3]DOORSCRIEFT!$A$2:$G$8551,6,FALSE),"")</f>
        <v/>
      </c>
      <c r="G2234" s="315"/>
    </row>
    <row r="2235" spans="1:7" x14ac:dyDescent="0.25">
      <c r="A2235" s="339" t="str">
        <f t="shared" si="65"/>
        <v>I.2.2.02.03324</v>
      </c>
      <c r="B2235" s="319">
        <v>24</v>
      </c>
      <c r="C2235" s="394" t="str">
        <f>IFERROR(VLOOKUP(A2235,[3]DOORSCRIEFT!$A$2:$G$8551,2,FALSE),"")</f>
        <v/>
      </c>
      <c r="D2235" s="393" t="str">
        <f>IFERROR(VLOOKUP(A2235,[3]DOORSCRIEFT!$A$2:$G$8551,3,FALSE),"")</f>
        <v/>
      </c>
      <c r="E2235" s="392" t="str">
        <f>IFERROR(VLOOKUP(A2235,[3]DOORSCRIEFT!$A$2:$G$8551,4,FALSE),"")</f>
        <v/>
      </c>
      <c r="F2235" s="405" t="str">
        <f>IFERROR(VLOOKUP(A2235,[3]DOORSCRIEFT!$A$2:$G$8551,6,FALSE),"")</f>
        <v/>
      </c>
      <c r="G2235" s="315"/>
    </row>
    <row r="2236" spans="1:7" x14ac:dyDescent="0.25">
      <c r="A2236" s="339" t="str">
        <f t="shared" si="65"/>
        <v>I.2.2.02.03325</v>
      </c>
      <c r="B2236" s="339">
        <v>25</v>
      </c>
      <c r="C2236" s="394" t="str">
        <f>IFERROR(VLOOKUP(A2236,[3]DOORSCRIEFT!$A$2:$G$8551,2,FALSE),"")</f>
        <v/>
      </c>
      <c r="D2236" s="393" t="str">
        <f>IFERROR(VLOOKUP(A2236,[3]DOORSCRIEFT!$A$2:$G$8551,3,FALSE),"")</f>
        <v/>
      </c>
      <c r="E2236" s="392" t="str">
        <f>IFERROR(VLOOKUP(A2236,[3]DOORSCRIEFT!$A$2:$G$8551,4,FALSE),"")</f>
        <v/>
      </c>
      <c r="F2236" s="405" t="str">
        <f>IFERROR(VLOOKUP(A2236,[3]DOORSCRIEFT!$A$2:$G$8551,6,FALSE),"")</f>
        <v/>
      </c>
      <c r="G2236" s="315"/>
    </row>
    <row r="2237" spans="1:7" x14ac:dyDescent="0.25">
      <c r="A2237" s="339" t="str">
        <f t="shared" si="65"/>
        <v>I.2.2.02.03326</v>
      </c>
      <c r="B2237" s="319">
        <v>26</v>
      </c>
      <c r="C2237" s="394" t="str">
        <f>IFERROR(VLOOKUP(A2237,[3]DOORSCRIEFT!$A$2:$G$8551,2,FALSE),"")</f>
        <v/>
      </c>
      <c r="D2237" s="393" t="str">
        <f>IFERROR(VLOOKUP(A2237,[3]DOORSCRIEFT!$A$2:$G$8551,3,FALSE),"")</f>
        <v/>
      </c>
      <c r="E2237" s="392" t="str">
        <f>IFERROR(VLOOKUP(A2237,[3]DOORSCRIEFT!$A$2:$G$8551,4,FALSE),"")</f>
        <v/>
      </c>
      <c r="F2237" s="405" t="str">
        <f>IFERROR(VLOOKUP(A2237,[3]DOORSCRIEFT!$A$2:$G$8551,6,FALSE),"")</f>
        <v/>
      </c>
      <c r="G2237" s="315"/>
    </row>
    <row r="2238" spans="1:7" x14ac:dyDescent="0.25">
      <c r="A2238" s="339" t="str">
        <f t="shared" si="65"/>
        <v>I.2.2.02.03327</v>
      </c>
      <c r="B2238" s="339">
        <v>27</v>
      </c>
      <c r="C2238" s="394" t="str">
        <f>IFERROR(VLOOKUP(A2238,[3]DOORSCRIEFT!$A$2:$G$8551,2,FALSE),"")</f>
        <v/>
      </c>
      <c r="D2238" s="393" t="str">
        <f>IFERROR(VLOOKUP(A2238,[3]DOORSCRIEFT!$A$2:$G$8551,3,FALSE),"")</f>
        <v/>
      </c>
      <c r="E2238" s="392" t="str">
        <f>IFERROR(VLOOKUP(A2238,[3]DOORSCRIEFT!$A$2:$G$8551,4,FALSE),"")</f>
        <v/>
      </c>
      <c r="F2238" s="405" t="str">
        <f>IFERROR(VLOOKUP(A2238,[3]DOORSCRIEFT!$A$2:$G$8551,6,FALSE),"")</f>
        <v/>
      </c>
      <c r="G2238" s="315"/>
    </row>
    <row r="2239" spans="1:7" x14ac:dyDescent="0.25">
      <c r="A2239" s="339" t="str">
        <f t="shared" si="65"/>
        <v>I.2.2.02.03328</v>
      </c>
      <c r="B2239" s="319">
        <v>28</v>
      </c>
      <c r="C2239" s="394" t="str">
        <f>IFERROR(VLOOKUP(A2239,[3]DOORSCRIEFT!$A$2:$G$8551,2,FALSE),"")</f>
        <v/>
      </c>
      <c r="D2239" s="393" t="str">
        <f>IFERROR(VLOOKUP(A2239,[3]DOORSCRIEFT!$A$2:$G$8551,3,FALSE),"")</f>
        <v/>
      </c>
      <c r="E2239" s="392" t="str">
        <f>IFERROR(VLOOKUP(A2239,[3]DOORSCRIEFT!$A$2:$G$8551,4,FALSE),"")</f>
        <v/>
      </c>
      <c r="F2239" s="405" t="str">
        <f>IFERROR(VLOOKUP(A2239,[3]DOORSCRIEFT!$A$2:$G$8551,6,FALSE),"")</f>
        <v/>
      </c>
      <c r="G2239" s="315"/>
    </row>
    <row r="2240" spans="1:7" x14ac:dyDescent="0.25">
      <c r="A2240" s="339" t="str">
        <f t="shared" si="65"/>
        <v>I.2.2.02.03329</v>
      </c>
      <c r="B2240" s="339">
        <v>29</v>
      </c>
      <c r="C2240" s="394" t="str">
        <f>IFERROR(VLOOKUP(A2240,[3]DOORSCRIEFT!$A$2:$G$8551,2,FALSE),"")</f>
        <v/>
      </c>
      <c r="D2240" s="393" t="str">
        <f>IFERROR(VLOOKUP(A2240,[3]DOORSCRIEFT!$A$2:$G$8551,3,FALSE),"")</f>
        <v/>
      </c>
      <c r="E2240" s="392" t="str">
        <f>IFERROR(VLOOKUP(A2240,[3]DOORSCRIEFT!$A$2:$G$8551,4,FALSE),"")</f>
        <v/>
      </c>
      <c r="F2240" s="405" t="str">
        <f>IFERROR(VLOOKUP(A2240,[3]DOORSCRIEFT!$A$2:$G$8551,6,FALSE),"")</f>
        <v/>
      </c>
      <c r="G2240" s="315"/>
    </row>
    <row r="2241" spans="1:7" x14ac:dyDescent="0.25">
      <c r="A2241" s="339" t="str">
        <f t="shared" si="65"/>
        <v>I.2.2.02.03330</v>
      </c>
      <c r="B2241" s="319">
        <v>30</v>
      </c>
      <c r="C2241" s="394" t="str">
        <f>IFERROR(VLOOKUP(A2241,[3]DOORSCRIEFT!$A$2:$G$8551,2,FALSE),"")</f>
        <v/>
      </c>
      <c r="D2241" s="393" t="str">
        <f>IFERROR(VLOOKUP(A2241,[3]DOORSCRIEFT!$A$2:$G$8551,3,FALSE),"")</f>
        <v/>
      </c>
      <c r="E2241" s="392" t="str">
        <f>IFERROR(VLOOKUP(A2241,[3]DOORSCRIEFT!$A$2:$G$8551,4,FALSE),"")</f>
        <v/>
      </c>
      <c r="F2241" s="405" t="str">
        <f>IFERROR(VLOOKUP(A2241,[3]DOORSCRIEFT!$A$2:$G$8551,6,FALSE),"")</f>
        <v/>
      </c>
      <c r="G2241" s="315"/>
    </row>
    <row r="2242" spans="1:7" x14ac:dyDescent="0.25">
      <c r="A2242" s="339" t="str">
        <f t="shared" si="65"/>
        <v>I.2.2.02.03331</v>
      </c>
      <c r="B2242" s="339">
        <v>31</v>
      </c>
      <c r="C2242" s="394" t="str">
        <f>IFERROR(VLOOKUP(A2242,[3]DOORSCRIEFT!$A$2:$G$8551,2,FALSE),"")</f>
        <v/>
      </c>
      <c r="D2242" s="393" t="str">
        <f>IFERROR(VLOOKUP(A2242,[3]DOORSCRIEFT!$A$2:$G$8551,3,FALSE),"")</f>
        <v/>
      </c>
      <c r="E2242" s="392" t="str">
        <f>IFERROR(VLOOKUP(A2242,[3]DOORSCRIEFT!$A$2:$G$8551,4,FALSE),"")</f>
        <v/>
      </c>
      <c r="F2242" s="405" t="str">
        <f>IFERROR(VLOOKUP(A2242,[3]DOORSCRIEFT!$A$2:$G$8551,6,FALSE),"")</f>
        <v/>
      </c>
      <c r="G2242" s="315"/>
    </row>
    <row r="2243" spans="1:7" x14ac:dyDescent="0.25">
      <c r="A2243" s="339" t="str">
        <f t="shared" si="65"/>
        <v>I.2.2.02.03332</v>
      </c>
      <c r="B2243" s="319">
        <v>32</v>
      </c>
      <c r="C2243" s="394" t="str">
        <f>IFERROR(VLOOKUP(A2243,[3]DOORSCRIEFT!$A$2:$G$8551,2,FALSE),"")</f>
        <v/>
      </c>
      <c r="D2243" s="393" t="str">
        <f>IFERROR(VLOOKUP(A2243,[3]DOORSCRIEFT!$A$2:$G$8551,3,FALSE),"")</f>
        <v/>
      </c>
      <c r="E2243" s="392" t="str">
        <f>IFERROR(VLOOKUP(A2243,[3]DOORSCRIEFT!$A$2:$G$8551,4,FALSE),"")</f>
        <v/>
      </c>
      <c r="F2243" s="405" t="str">
        <f>IFERROR(VLOOKUP(A2243,[3]DOORSCRIEFT!$A$2:$G$8551,6,FALSE),"")</f>
        <v/>
      </c>
      <c r="G2243" s="315"/>
    </row>
    <row r="2244" spans="1:7" x14ac:dyDescent="0.25">
      <c r="A2244" s="339" t="str">
        <f t="shared" si="65"/>
        <v>I.2.2.02.03333</v>
      </c>
      <c r="B2244" s="339">
        <v>33</v>
      </c>
      <c r="C2244" s="394" t="str">
        <f>IFERROR(VLOOKUP(A2244,[3]DOORSCRIEFT!$A$2:$G$8551,2,FALSE),"")</f>
        <v/>
      </c>
      <c r="D2244" s="393" t="str">
        <f>IFERROR(VLOOKUP(A2244,[3]DOORSCRIEFT!$A$2:$G$8551,3,FALSE),"")</f>
        <v/>
      </c>
      <c r="E2244" s="392" t="str">
        <f>IFERROR(VLOOKUP(A2244,[3]DOORSCRIEFT!$A$2:$G$8551,4,FALSE),"")</f>
        <v/>
      </c>
      <c r="F2244" s="405" t="str">
        <f>IFERROR(VLOOKUP(A2244,[3]DOORSCRIEFT!$A$2:$G$8551,6,FALSE),"")</f>
        <v/>
      </c>
      <c r="G2244" s="315"/>
    </row>
    <row r="2245" spans="1:7" x14ac:dyDescent="0.25">
      <c r="A2245" s="339" t="str">
        <f t="shared" si="65"/>
        <v>I.2.2.02.03334</v>
      </c>
      <c r="B2245" s="319">
        <v>34</v>
      </c>
      <c r="C2245" s="394" t="str">
        <f>IFERROR(VLOOKUP(A2245,[3]DOORSCRIEFT!$A$2:$G$8551,2,FALSE),"")</f>
        <v/>
      </c>
      <c r="D2245" s="393" t="str">
        <f>IFERROR(VLOOKUP(A2245,[3]DOORSCRIEFT!$A$2:$G$8551,3,FALSE),"")</f>
        <v/>
      </c>
      <c r="E2245" s="392" t="str">
        <f>IFERROR(VLOOKUP(A2245,[3]DOORSCRIEFT!$A$2:$G$8551,4,FALSE),"")</f>
        <v/>
      </c>
      <c r="F2245" s="405" t="str">
        <f>IFERROR(VLOOKUP(A2245,[3]DOORSCRIEFT!$A$2:$G$8551,6,FALSE),"")</f>
        <v/>
      </c>
      <c r="G2245" s="315"/>
    </row>
    <row r="2246" spans="1:7" x14ac:dyDescent="0.25">
      <c r="A2246" s="339" t="str">
        <f t="shared" si="65"/>
        <v>I.2.2.02.03335</v>
      </c>
      <c r="B2246" s="339">
        <v>35</v>
      </c>
      <c r="C2246" s="394" t="str">
        <f>IFERROR(VLOOKUP(A2246,[3]DOORSCRIEFT!$A$2:$G$8551,2,FALSE),"")</f>
        <v/>
      </c>
      <c r="D2246" s="393" t="str">
        <f>IFERROR(VLOOKUP(A2246,[3]DOORSCRIEFT!$A$2:$G$8551,3,FALSE),"")</f>
        <v/>
      </c>
      <c r="E2246" s="392" t="str">
        <f>IFERROR(VLOOKUP(A2246,[3]DOORSCRIEFT!$A$2:$G$8551,4,FALSE),"")</f>
        <v/>
      </c>
      <c r="F2246" s="405" t="str">
        <f>IFERROR(VLOOKUP(A2246,[3]DOORSCRIEFT!$A$2:$G$8551,6,FALSE),"")</f>
        <v/>
      </c>
      <c r="G2246" s="315"/>
    </row>
    <row r="2247" spans="1:7" x14ac:dyDescent="0.25">
      <c r="A2247" s="339" t="str">
        <f t="shared" si="65"/>
        <v>I.2.2.02.03336</v>
      </c>
      <c r="B2247" s="319">
        <v>36</v>
      </c>
      <c r="C2247" s="394" t="str">
        <f>IFERROR(VLOOKUP(A2247,[3]DOORSCRIEFT!$A$2:$G$8551,2,FALSE),"")</f>
        <v/>
      </c>
      <c r="D2247" s="393" t="str">
        <f>IFERROR(VLOOKUP(A2247,[3]DOORSCRIEFT!$A$2:$G$8551,3,FALSE),"")</f>
        <v/>
      </c>
      <c r="E2247" s="392" t="str">
        <f>IFERROR(VLOOKUP(A2247,[3]DOORSCRIEFT!$A$2:$G$8551,4,FALSE),"")</f>
        <v/>
      </c>
      <c r="F2247" s="405" t="str">
        <f>IFERROR(VLOOKUP(A2247,[3]DOORSCRIEFT!$A$2:$G$8551,6,FALSE),"")</f>
        <v/>
      </c>
      <c r="G2247" s="315"/>
    </row>
    <row r="2248" spans="1:7" x14ac:dyDescent="0.25">
      <c r="A2248" s="339" t="str">
        <f t="shared" si="65"/>
        <v>I.2.2.02.03337</v>
      </c>
      <c r="B2248" s="339">
        <v>37</v>
      </c>
      <c r="C2248" s="394" t="str">
        <f>IFERROR(VLOOKUP(A2248,[3]DOORSCRIEFT!$A$2:$G$8551,2,FALSE),"")</f>
        <v/>
      </c>
      <c r="D2248" s="393" t="str">
        <f>IFERROR(VLOOKUP(A2248,[3]DOORSCRIEFT!$A$2:$G$8551,3,FALSE),"")</f>
        <v/>
      </c>
      <c r="E2248" s="392" t="str">
        <f>IFERROR(VLOOKUP(A2248,[3]DOORSCRIEFT!$A$2:$G$8551,4,FALSE),"")</f>
        <v/>
      </c>
      <c r="F2248" s="405" t="str">
        <f>IFERROR(VLOOKUP(A2248,[3]DOORSCRIEFT!$A$2:$G$8551,6,FALSE),"")</f>
        <v/>
      </c>
      <c r="G2248" s="315"/>
    </row>
    <row r="2249" spans="1:7" x14ac:dyDescent="0.25">
      <c r="A2249" s="339" t="str">
        <f t="shared" si="65"/>
        <v>I.2.2.02.03338</v>
      </c>
      <c r="B2249" s="319">
        <v>38</v>
      </c>
      <c r="C2249" s="394" t="str">
        <f>IFERROR(VLOOKUP(A2249,[3]DOORSCRIEFT!$A$2:$G$8551,2,FALSE),"")</f>
        <v/>
      </c>
      <c r="D2249" s="393" t="str">
        <f>IFERROR(VLOOKUP(A2249,[3]DOORSCRIEFT!$A$2:$G$8551,3,FALSE),"")</f>
        <v/>
      </c>
      <c r="E2249" s="392" t="str">
        <f>IFERROR(VLOOKUP(A2249,[3]DOORSCRIEFT!$A$2:$G$8551,4,FALSE),"")</f>
        <v/>
      </c>
      <c r="F2249" s="405" t="str">
        <f>IFERROR(VLOOKUP(A2249,[3]DOORSCRIEFT!$A$2:$G$8551,6,FALSE),"")</f>
        <v/>
      </c>
      <c r="G2249" s="315"/>
    </row>
    <row r="2250" spans="1:7" ht="15.75" thickBot="1" x14ac:dyDescent="0.3">
      <c r="A2250" s="353" t="str">
        <f t="shared" si="65"/>
        <v>I.2.2.02.03339</v>
      </c>
      <c r="B2250" s="353">
        <v>39</v>
      </c>
      <c r="C2250" s="394" t="str">
        <f>IFERROR(VLOOKUP(A2250,[3]DOORSCRIEFT!$A$2:$G$8551,2,FALSE),"")</f>
        <v/>
      </c>
      <c r="D2250" s="393" t="str">
        <f>IFERROR(VLOOKUP(A2250,[3]DOORSCRIEFT!$A$2:$G$8551,3,FALSE),"")</f>
        <v/>
      </c>
      <c r="E2250" s="392" t="str">
        <f>IFERROR(VLOOKUP(A2250,[3]DOORSCRIEFT!$A$2:$G$8551,4,FALSE),"")</f>
        <v/>
      </c>
      <c r="F2250" s="405" t="str">
        <f>IFERROR(VLOOKUP(A2250,[3]DOORSCRIEFT!$A$2:$G$8551,6,FALSE),"")</f>
        <v/>
      </c>
      <c r="G2250" s="315"/>
    </row>
    <row r="2251" spans="1:7" ht="15.75" thickBot="1" x14ac:dyDescent="0.3">
      <c r="A2251" s="358"/>
      <c r="B2251" s="357"/>
      <c r="C2251" s="407"/>
      <c r="D2251" s="312"/>
      <c r="E2251" s="311" t="s">
        <v>644</v>
      </c>
      <c r="F2251" s="310">
        <f>SUM(F2212:F2250)</f>
        <v>0</v>
      </c>
      <c r="G2251" s="309">
        <f>SUM(G2214:G2250)</f>
        <v>0</v>
      </c>
    </row>
    <row r="2254" spans="1:7" ht="15.75" x14ac:dyDescent="0.25">
      <c r="C2254" s="332"/>
      <c r="D2254" s="333"/>
      <c r="E2254" s="332"/>
      <c r="F2254" s="327" t="s">
        <v>607</v>
      </c>
      <c r="G2254" s="327" t="s">
        <v>480</v>
      </c>
    </row>
    <row r="2255" spans="1:7" ht="15.75" x14ac:dyDescent="0.25">
      <c r="C2255" s="332"/>
      <c r="D2255" s="333"/>
      <c r="E2255" s="332"/>
      <c r="F2255" s="327" t="s">
        <v>601</v>
      </c>
      <c r="G2255" s="327" t="s">
        <v>479</v>
      </c>
    </row>
    <row r="2256" spans="1:7" x14ac:dyDescent="0.25">
      <c r="C2256" s="328"/>
      <c r="D2256" s="329"/>
      <c r="E2256" s="328"/>
      <c r="F2256" s="327" t="s">
        <v>651</v>
      </c>
      <c r="G2256" s="331">
        <f>[2]Sheet1!$D$61</f>
        <v>1000000</v>
      </c>
    </row>
    <row r="2257" spans="1:7" ht="15.75" thickBot="1" x14ac:dyDescent="0.3">
      <c r="C2257" s="328"/>
      <c r="D2257" s="329"/>
      <c r="E2257" s="328"/>
      <c r="F2257" s="327" t="s">
        <v>650</v>
      </c>
      <c r="G2257" s="326">
        <f>+F2297-G2256</f>
        <v>-675000</v>
      </c>
    </row>
    <row r="2258" spans="1:7" x14ac:dyDescent="0.25">
      <c r="A2258" s="571" t="s">
        <v>626</v>
      </c>
      <c r="B2258" s="584" t="s">
        <v>606</v>
      </c>
      <c r="C2258" s="588" t="s">
        <v>649</v>
      </c>
      <c r="D2258" s="577" t="s">
        <v>648</v>
      </c>
      <c r="E2258" s="577" t="s">
        <v>647</v>
      </c>
      <c r="F2258" s="577" t="s">
        <v>646</v>
      </c>
      <c r="G2258" s="580" t="s">
        <v>645</v>
      </c>
    </row>
    <row r="2259" spans="1:7" ht="15.75" thickBot="1" x14ac:dyDescent="0.3">
      <c r="A2259" s="572"/>
      <c r="B2259" s="585"/>
      <c r="C2259" s="589"/>
      <c r="D2259" s="586"/>
      <c r="E2259" s="586"/>
      <c r="F2259" s="586"/>
      <c r="G2259" s="587"/>
    </row>
    <row r="2260" spans="1:7" ht="15.75" thickBot="1" x14ac:dyDescent="0.3">
      <c r="A2260" s="325">
        <v>1</v>
      </c>
      <c r="B2260" s="324">
        <v>2</v>
      </c>
      <c r="C2260" s="324">
        <v>3</v>
      </c>
      <c r="D2260" s="324">
        <v>4</v>
      </c>
      <c r="E2260" s="324">
        <v>5</v>
      </c>
      <c r="F2260" s="324">
        <v>6</v>
      </c>
      <c r="G2260" s="323">
        <v>7</v>
      </c>
    </row>
    <row r="2261" spans="1:7" x14ac:dyDescent="0.25">
      <c r="A2261" s="339" t="str">
        <f t="shared" ref="A2261:A2296" si="66">$G$2254&amp;B2261</f>
        <v>I.2.2.02.0341</v>
      </c>
      <c r="B2261" s="339">
        <v>1</v>
      </c>
      <c r="C2261" s="394">
        <f>IFERROR(VLOOKUP(A2261,[3]DOORSCRIEFT!$A$2:$G$8551,2,FALSE),"")</f>
        <v>215</v>
      </c>
      <c r="D2261" s="393">
        <f>IFERROR(VLOOKUP(A2261,[3]DOORSCRIEFT!$A$2:$G$8551,3,FALSE),"")</f>
        <v>46073</v>
      </c>
      <c r="E2261" s="392" t="str">
        <f>IFERROR(VLOOKUP(A2261,[3]DOORSCRIEFT!$A$2:$G$8551,4,FALSE),"")</f>
        <v>Kolekta Kebaktian Pangkalan Ojek Banda</v>
      </c>
      <c r="F2261" s="405">
        <f>IFERROR(VLOOKUP(A2261,[3]DOORSCRIEFT!$A$2:$G$8551,6,FALSE),"")</f>
        <v>73000</v>
      </c>
      <c r="G2261" s="406"/>
    </row>
    <row r="2262" spans="1:7" x14ac:dyDescent="0.25">
      <c r="A2262" s="339" t="str">
        <f t="shared" si="66"/>
        <v>I.2.2.02.0342</v>
      </c>
      <c r="B2262" s="319">
        <v>2</v>
      </c>
      <c r="C2262" s="394">
        <f>IFERROR(VLOOKUP(A2262,[3]DOORSCRIEFT!$A$2:$G$8551,2,FALSE),"")</f>
        <v>254</v>
      </c>
      <c r="D2262" s="393">
        <f>IFERROR(VLOOKUP(A2262,[3]DOORSCRIEFT!$A$2:$G$8551,3,FALSE),"")</f>
        <v>46075</v>
      </c>
      <c r="E2262" s="392" t="str">
        <f>IFERROR(VLOOKUP(A2262,[3]DOORSCRIEFT!$A$2:$G$8551,4,FALSE),"")</f>
        <v>Kolekta Kebaktian Pangkalan Ojek</v>
      </c>
      <c r="F2262" s="405">
        <f>IFERROR(VLOOKUP(A2262,[3]DOORSCRIEFT!$A$2:$G$8551,6,FALSE),"")</f>
        <v>32000</v>
      </c>
      <c r="G2262" s="322"/>
    </row>
    <row r="2263" spans="1:7" x14ac:dyDescent="0.25">
      <c r="A2263" s="339" t="str">
        <f t="shared" si="66"/>
        <v>I.2.2.02.0343</v>
      </c>
      <c r="B2263" s="339">
        <v>3</v>
      </c>
      <c r="C2263" s="394">
        <f>IFERROR(VLOOKUP(A2263,[3]DOORSCRIEFT!$A$2:$G$8551,2,FALSE),"")</f>
        <v>338</v>
      </c>
      <c r="D2263" s="393">
        <f>IFERROR(VLOOKUP(A2263,[3]DOORSCRIEFT!$A$2:$G$8551,3,FALSE),"")</f>
        <v>46094</v>
      </c>
      <c r="E2263" s="392" t="str">
        <f>IFERROR(VLOOKUP(A2263,[3]DOORSCRIEFT!$A$2:$G$8551,4,FALSE),"")</f>
        <v>Kolekta Pangkalan Ojek banda</v>
      </c>
      <c r="F2263" s="405">
        <f>IFERROR(VLOOKUP(A2263,[3]DOORSCRIEFT!$A$2:$G$8551,6,FALSE),"")</f>
        <v>65000</v>
      </c>
      <c r="G2263" s="315"/>
    </row>
    <row r="2264" spans="1:7" x14ac:dyDescent="0.25">
      <c r="A2264" s="339" t="str">
        <f t="shared" si="66"/>
        <v>I.2.2.02.0344</v>
      </c>
      <c r="B2264" s="319">
        <v>4</v>
      </c>
      <c r="C2264" s="394">
        <f>IFERROR(VLOOKUP(A2264,[3]DOORSCRIEFT!$A$2:$G$8551,2,FALSE),"")</f>
        <v>360</v>
      </c>
      <c r="D2264" s="393">
        <f>IFERROR(VLOOKUP(A2264,[3]DOORSCRIEFT!$A$2:$G$8551,3,FALSE),"")</f>
        <v>46096</v>
      </c>
      <c r="E2264" s="392" t="str">
        <f>IFERROR(VLOOKUP(A2264,[3]DOORSCRIEFT!$A$2:$G$8551,4,FALSE),"")</f>
        <v>Kolekta Ibadah Pangkalan ojek banda</v>
      </c>
      <c r="F2264" s="405">
        <f>IFERROR(VLOOKUP(A2264,[3]DOORSCRIEFT!$A$2:$G$8551,6,FALSE),"")</f>
        <v>45000</v>
      </c>
      <c r="G2264" s="315"/>
    </row>
    <row r="2265" spans="1:7" x14ac:dyDescent="0.25">
      <c r="A2265" s="339" t="str">
        <f t="shared" si="66"/>
        <v>I.2.2.02.0345</v>
      </c>
      <c r="B2265" s="339">
        <v>5</v>
      </c>
      <c r="C2265" s="394">
        <f>IFERROR(VLOOKUP(A2265,[3]DOORSCRIEFT!$A$2:$G$8551,2,FALSE),"")</f>
        <v>427</v>
      </c>
      <c r="D2265" s="393">
        <f>IFERROR(VLOOKUP(A2265,[3]DOORSCRIEFT!$A$2:$G$8551,3,FALSE),"")</f>
        <v>46103</v>
      </c>
      <c r="E2265" s="392" t="str">
        <f>IFERROR(VLOOKUP(A2265,[3]DOORSCRIEFT!$A$2:$G$8551,4,FALSE),"")</f>
        <v>Kolekta Pangkalaan Ojek Tilar dan Ojek Banda</v>
      </c>
      <c r="F2265" s="405">
        <f>IFERROR(VLOOKUP(A2265,[3]DOORSCRIEFT!$A$2:$G$8551,6,FALSE),"")</f>
        <v>110000</v>
      </c>
      <c r="G2265" s="315"/>
    </row>
    <row r="2266" spans="1:7" x14ac:dyDescent="0.25">
      <c r="A2266" s="339" t="str">
        <f t="shared" si="66"/>
        <v>I.2.2.02.0346</v>
      </c>
      <c r="B2266" s="319">
        <v>6</v>
      </c>
      <c r="C2266" s="394" t="str">
        <f>IFERROR(VLOOKUP(A2266,[3]DOORSCRIEFT!$A$2:$G$8551,2,FALSE),"")</f>
        <v/>
      </c>
      <c r="D2266" s="393" t="str">
        <f>IFERROR(VLOOKUP(A2266,[3]DOORSCRIEFT!$A$2:$G$8551,3,FALSE),"")</f>
        <v/>
      </c>
      <c r="E2266" s="392" t="str">
        <f>IFERROR(VLOOKUP(A2266,[3]DOORSCRIEFT!$A$2:$G$8551,4,FALSE),"")</f>
        <v/>
      </c>
      <c r="F2266" s="405" t="str">
        <f>IFERROR(VLOOKUP(A2266,[3]DOORSCRIEFT!$A$2:$G$8551,6,FALSE),"")</f>
        <v/>
      </c>
      <c r="G2266" s="315"/>
    </row>
    <row r="2267" spans="1:7" x14ac:dyDescent="0.25">
      <c r="A2267" s="339" t="str">
        <f t="shared" si="66"/>
        <v>I.2.2.02.0347</v>
      </c>
      <c r="B2267" s="339">
        <v>7</v>
      </c>
      <c r="C2267" s="394" t="str">
        <f>IFERROR(VLOOKUP(A2267,[3]DOORSCRIEFT!$A$2:$G$8551,2,FALSE),"")</f>
        <v/>
      </c>
      <c r="D2267" s="393" t="str">
        <f>IFERROR(VLOOKUP(A2267,[3]DOORSCRIEFT!$A$2:$G$8551,3,FALSE),"")</f>
        <v/>
      </c>
      <c r="E2267" s="392" t="str">
        <f>IFERROR(VLOOKUP(A2267,[3]DOORSCRIEFT!$A$2:$G$8551,4,FALSE),"")</f>
        <v/>
      </c>
      <c r="F2267" s="405" t="str">
        <f>IFERROR(VLOOKUP(A2267,[3]DOORSCRIEFT!$A$2:$G$8551,6,FALSE),"")</f>
        <v/>
      </c>
      <c r="G2267" s="315"/>
    </row>
    <row r="2268" spans="1:7" x14ac:dyDescent="0.25">
      <c r="A2268" s="339" t="str">
        <f t="shared" si="66"/>
        <v>I.2.2.02.0348</v>
      </c>
      <c r="B2268" s="319">
        <v>8</v>
      </c>
      <c r="C2268" s="394" t="str">
        <f>IFERROR(VLOOKUP(A2268,[3]DOORSCRIEFT!$A$2:$G$8551,2,FALSE),"")</f>
        <v/>
      </c>
      <c r="D2268" s="393" t="str">
        <f>IFERROR(VLOOKUP(A2268,[3]DOORSCRIEFT!$A$2:$G$8551,3,FALSE),"")</f>
        <v/>
      </c>
      <c r="E2268" s="392" t="str">
        <f>IFERROR(VLOOKUP(A2268,[3]DOORSCRIEFT!$A$2:$G$8551,4,FALSE),"")</f>
        <v/>
      </c>
      <c r="F2268" s="405" t="str">
        <f>IFERROR(VLOOKUP(A2268,[3]DOORSCRIEFT!$A$2:$G$8551,6,FALSE),"")</f>
        <v/>
      </c>
      <c r="G2268" s="315"/>
    </row>
    <row r="2269" spans="1:7" x14ac:dyDescent="0.25">
      <c r="A2269" s="339" t="str">
        <f t="shared" si="66"/>
        <v>I.2.2.02.0349</v>
      </c>
      <c r="B2269" s="339">
        <v>9</v>
      </c>
      <c r="C2269" s="394" t="str">
        <f>IFERROR(VLOOKUP(A2269,[3]DOORSCRIEFT!$A$2:$G$8551,2,FALSE),"")</f>
        <v/>
      </c>
      <c r="D2269" s="393" t="str">
        <f>IFERROR(VLOOKUP(A2269,[3]DOORSCRIEFT!$A$2:$G$8551,3,FALSE),"")</f>
        <v/>
      </c>
      <c r="E2269" s="392" t="str">
        <f>IFERROR(VLOOKUP(A2269,[3]DOORSCRIEFT!$A$2:$G$8551,4,FALSE),"")</f>
        <v/>
      </c>
      <c r="F2269" s="405" t="str">
        <f>IFERROR(VLOOKUP(A2269,[3]DOORSCRIEFT!$A$2:$G$8551,6,FALSE),"")</f>
        <v/>
      </c>
      <c r="G2269" s="315"/>
    </row>
    <row r="2270" spans="1:7" x14ac:dyDescent="0.25">
      <c r="A2270" s="339" t="str">
        <f t="shared" si="66"/>
        <v>I.2.2.02.03410</v>
      </c>
      <c r="B2270" s="319">
        <v>10</v>
      </c>
      <c r="C2270" s="394" t="str">
        <f>IFERROR(VLOOKUP(A2270,[3]DOORSCRIEFT!$A$2:$G$8551,2,FALSE),"")</f>
        <v/>
      </c>
      <c r="D2270" s="393" t="str">
        <f>IFERROR(VLOOKUP(A2270,[3]DOORSCRIEFT!$A$2:$G$8551,3,FALSE),"")</f>
        <v/>
      </c>
      <c r="E2270" s="392" t="str">
        <f>IFERROR(VLOOKUP(A2270,[3]DOORSCRIEFT!$A$2:$G$8551,4,FALSE),"")</f>
        <v/>
      </c>
      <c r="F2270" s="405" t="str">
        <f>IFERROR(VLOOKUP(A2270,[3]DOORSCRIEFT!$A$2:$G$8551,6,FALSE),"")</f>
        <v/>
      </c>
      <c r="G2270" s="315"/>
    </row>
    <row r="2271" spans="1:7" x14ac:dyDescent="0.25">
      <c r="A2271" s="339" t="str">
        <f t="shared" si="66"/>
        <v>I.2.2.02.03411</v>
      </c>
      <c r="B2271" s="339">
        <v>11</v>
      </c>
      <c r="C2271" s="394" t="str">
        <f>IFERROR(VLOOKUP(A2271,[3]DOORSCRIEFT!$A$2:$G$8551,2,FALSE),"")</f>
        <v/>
      </c>
      <c r="D2271" s="393" t="str">
        <f>IFERROR(VLOOKUP(A2271,[3]DOORSCRIEFT!$A$2:$G$8551,3,FALSE),"")</f>
        <v/>
      </c>
      <c r="E2271" s="392" t="str">
        <f>IFERROR(VLOOKUP(A2271,[3]DOORSCRIEFT!$A$2:$G$8551,4,FALSE),"")</f>
        <v/>
      </c>
      <c r="F2271" s="405" t="str">
        <f>IFERROR(VLOOKUP(A2271,[3]DOORSCRIEFT!$A$2:$G$8551,6,FALSE),"")</f>
        <v/>
      </c>
      <c r="G2271" s="315"/>
    </row>
    <row r="2272" spans="1:7" x14ac:dyDescent="0.25">
      <c r="A2272" s="339" t="str">
        <f t="shared" si="66"/>
        <v>I.2.2.02.03412</v>
      </c>
      <c r="B2272" s="319">
        <v>12</v>
      </c>
      <c r="C2272" s="394" t="str">
        <f>IFERROR(VLOOKUP(A2272,[3]DOORSCRIEFT!$A$2:$G$8551,2,FALSE),"")</f>
        <v/>
      </c>
      <c r="D2272" s="393" t="str">
        <f>IFERROR(VLOOKUP(A2272,[3]DOORSCRIEFT!$A$2:$G$8551,3,FALSE),"")</f>
        <v/>
      </c>
      <c r="E2272" s="392" t="str">
        <f>IFERROR(VLOOKUP(A2272,[3]DOORSCRIEFT!$A$2:$G$8551,4,FALSE),"")</f>
        <v/>
      </c>
      <c r="F2272" s="405" t="str">
        <f>IFERROR(VLOOKUP(A2272,[3]DOORSCRIEFT!$A$2:$G$8551,6,FALSE),"")</f>
        <v/>
      </c>
      <c r="G2272" s="315"/>
    </row>
    <row r="2273" spans="1:7" x14ac:dyDescent="0.25">
      <c r="A2273" s="339" t="str">
        <f t="shared" si="66"/>
        <v>I.2.2.02.03413</v>
      </c>
      <c r="B2273" s="339">
        <v>13</v>
      </c>
      <c r="C2273" s="394" t="str">
        <f>IFERROR(VLOOKUP(A2273,[3]DOORSCRIEFT!$A$2:$G$8551,2,FALSE),"")</f>
        <v/>
      </c>
      <c r="D2273" s="393" t="str">
        <f>IFERROR(VLOOKUP(A2273,[3]DOORSCRIEFT!$A$2:$G$8551,3,FALSE),"")</f>
        <v/>
      </c>
      <c r="E2273" s="392" t="str">
        <f>IFERROR(VLOOKUP(A2273,[3]DOORSCRIEFT!$A$2:$G$8551,4,FALSE),"")</f>
        <v/>
      </c>
      <c r="F2273" s="405" t="str">
        <f>IFERROR(VLOOKUP(A2273,[3]DOORSCRIEFT!$A$2:$G$8551,6,FALSE),"")</f>
        <v/>
      </c>
      <c r="G2273" s="315"/>
    </row>
    <row r="2274" spans="1:7" x14ac:dyDescent="0.25">
      <c r="A2274" s="339" t="str">
        <f t="shared" si="66"/>
        <v>I.2.2.02.03414</v>
      </c>
      <c r="B2274" s="319">
        <v>14</v>
      </c>
      <c r="C2274" s="394" t="str">
        <f>IFERROR(VLOOKUP(A2274,[3]DOORSCRIEFT!$A$2:$G$8551,2,FALSE),"")</f>
        <v/>
      </c>
      <c r="D2274" s="393" t="str">
        <f>IFERROR(VLOOKUP(A2274,[3]DOORSCRIEFT!$A$2:$G$8551,3,FALSE),"")</f>
        <v/>
      </c>
      <c r="E2274" s="392" t="str">
        <f>IFERROR(VLOOKUP(A2274,[3]DOORSCRIEFT!$A$2:$G$8551,4,FALSE),"")</f>
        <v/>
      </c>
      <c r="F2274" s="405" t="str">
        <f>IFERROR(VLOOKUP(A2274,[3]DOORSCRIEFT!$A$2:$G$8551,6,FALSE),"")</f>
        <v/>
      </c>
      <c r="G2274" s="315"/>
    </row>
    <row r="2275" spans="1:7" x14ac:dyDescent="0.25">
      <c r="A2275" s="339" t="str">
        <f t="shared" si="66"/>
        <v>I.2.2.02.03415</v>
      </c>
      <c r="B2275" s="339">
        <v>15</v>
      </c>
      <c r="C2275" s="394" t="str">
        <f>IFERROR(VLOOKUP(A2275,[3]DOORSCRIEFT!$A$2:$G$8551,2,FALSE),"")</f>
        <v/>
      </c>
      <c r="D2275" s="393" t="str">
        <f>IFERROR(VLOOKUP(A2275,[3]DOORSCRIEFT!$A$2:$G$8551,3,FALSE),"")</f>
        <v/>
      </c>
      <c r="E2275" s="392" t="str">
        <f>IFERROR(VLOOKUP(A2275,[3]DOORSCRIEFT!$A$2:$G$8551,4,FALSE),"")</f>
        <v/>
      </c>
      <c r="F2275" s="405" t="str">
        <f>IFERROR(VLOOKUP(A2275,[3]DOORSCRIEFT!$A$2:$G$8551,6,FALSE),"")</f>
        <v/>
      </c>
      <c r="G2275" s="315"/>
    </row>
    <row r="2276" spans="1:7" x14ac:dyDescent="0.25">
      <c r="A2276" s="339" t="str">
        <f t="shared" si="66"/>
        <v>I.2.2.02.03416</v>
      </c>
      <c r="B2276" s="319">
        <v>16</v>
      </c>
      <c r="C2276" s="394" t="str">
        <f>IFERROR(VLOOKUP(A2276,[3]DOORSCRIEFT!$A$2:$G$8551,2,FALSE),"")</f>
        <v/>
      </c>
      <c r="D2276" s="393" t="str">
        <f>IFERROR(VLOOKUP(A2276,[3]DOORSCRIEFT!$A$2:$G$8551,3,FALSE),"")</f>
        <v/>
      </c>
      <c r="E2276" s="392" t="str">
        <f>IFERROR(VLOOKUP(A2276,[3]DOORSCRIEFT!$A$2:$G$8551,4,FALSE),"")</f>
        <v/>
      </c>
      <c r="F2276" s="405" t="str">
        <f>IFERROR(VLOOKUP(A2276,[3]DOORSCRIEFT!$A$2:$G$8551,6,FALSE),"")</f>
        <v/>
      </c>
      <c r="G2276" s="315"/>
    </row>
    <row r="2277" spans="1:7" x14ac:dyDescent="0.25">
      <c r="A2277" s="339" t="str">
        <f t="shared" si="66"/>
        <v>I.2.2.02.03417</v>
      </c>
      <c r="B2277" s="339">
        <v>17</v>
      </c>
      <c r="C2277" s="394" t="str">
        <f>IFERROR(VLOOKUP(A2277,[3]DOORSCRIEFT!$A$2:$G$8551,2,FALSE),"")</f>
        <v/>
      </c>
      <c r="D2277" s="393" t="str">
        <f>IFERROR(VLOOKUP(A2277,[3]DOORSCRIEFT!$A$2:$G$8551,3,FALSE),"")</f>
        <v/>
      </c>
      <c r="E2277" s="392" t="str">
        <f>IFERROR(VLOOKUP(A2277,[3]DOORSCRIEFT!$A$2:$G$8551,4,FALSE),"")</f>
        <v/>
      </c>
      <c r="F2277" s="405" t="str">
        <f>IFERROR(VLOOKUP(A2277,[3]DOORSCRIEFT!$A$2:$G$8551,6,FALSE),"")</f>
        <v/>
      </c>
      <c r="G2277" s="315"/>
    </row>
    <row r="2278" spans="1:7" x14ac:dyDescent="0.25">
      <c r="A2278" s="339" t="str">
        <f t="shared" si="66"/>
        <v>I.2.2.02.03418</v>
      </c>
      <c r="B2278" s="319">
        <v>18</v>
      </c>
      <c r="C2278" s="394" t="str">
        <f>IFERROR(VLOOKUP(A2278,[3]DOORSCRIEFT!$A$2:$G$8551,2,FALSE),"")</f>
        <v/>
      </c>
      <c r="D2278" s="393" t="str">
        <f>IFERROR(VLOOKUP(A2278,[3]DOORSCRIEFT!$A$2:$G$8551,3,FALSE),"")</f>
        <v/>
      </c>
      <c r="E2278" s="392" t="str">
        <f>IFERROR(VLOOKUP(A2278,[3]DOORSCRIEFT!$A$2:$G$8551,4,FALSE),"")</f>
        <v/>
      </c>
      <c r="F2278" s="405" t="str">
        <f>IFERROR(VLOOKUP(A2278,[3]DOORSCRIEFT!$A$2:$G$8551,6,FALSE),"")</f>
        <v/>
      </c>
      <c r="G2278" s="315"/>
    </row>
    <row r="2279" spans="1:7" x14ac:dyDescent="0.25">
      <c r="A2279" s="339" t="str">
        <f t="shared" si="66"/>
        <v>I.2.2.02.03419</v>
      </c>
      <c r="B2279" s="339">
        <v>19</v>
      </c>
      <c r="C2279" s="394" t="str">
        <f>IFERROR(VLOOKUP(A2279,[3]DOORSCRIEFT!$A$2:$G$8551,2,FALSE),"")</f>
        <v/>
      </c>
      <c r="D2279" s="393" t="str">
        <f>IFERROR(VLOOKUP(A2279,[3]DOORSCRIEFT!$A$2:$G$8551,3,FALSE),"")</f>
        <v/>
      </c>
      <c r="E2279" s="392" t="str">
        <f>IFERROR(VLOOKUP(A2279,[3]DOORSCRIEFT!$A$2:$G$8551,4,FALSE),"")</f>
        <v/>
      </c>
      <c r="F2279" s="405" t="str">
        <f>IFERROR(VLOOKUP(A2279,[3]DOORSCRIEFT!$A$2:$G$8551,6,FALSE),"")</f>
        <v/>
      </c>
      <c r="G2279" s="315"/>
    </row>
    <row r="2280" spans="1:7" x14ac:dyDescent="0.25">
      <c r="A2280" s="339" t="str">
        <f t="shared" si="66"/>
        <v>I.2.2.02.03420</v>
      </c>
      <c r="B2280" s="319">
        <v>20</v>
      </c>
      <c r="C2280" s="394" t="str">
        <f>IFERROR(VLOOKUP(A2280,[3]DOORSCRIEFT!$A$2:$G$8551,2,FALSE),"")</f>
        <v/>
      </c>
      <c r="D2280" s="393" t="str">
        <f>IFERROR(VLOOKUP(A2280,[3]DOORSCRIEFT!$A$2:$G$8551,3,FALSE),"")</f>
        <v/>
      </c>
      <c r="E2280" s="392" t="str">
        <f>IFERROR(VLOOKUP(A2280,[3]DOORSCRIEFT!$A$2:$G$8551,4,FALSE),"")</f>
        <v/>
      </c>
      <c r="F2280" s="405" t="str">
        <f>IFERROR(VLOOKUP(A2280,[3]DOORSCRIEFT!$A$2:$G$8551,6,FALSE),"")</f>
        <v/>
      </c>
      <c r="G2280" s="315"/>
    </row>
    <row r="2281" spans="1:7" x14ac:dyDescent="0.25">
      <c r="A2281" s="339" t="str">
        <f t="shared" si="66"/>
        <v>I.2.2.02.03421</v>
      </c>
      <c r="B2281" s="339">
        <v>21</v>
      </c>
      <c r="C2281" s="394" t="str">
        <f>IFERROR(VLOOKUP(A2281,[3]DOORSCRIEFT!$A$2:$G$8551,2,FALSE),"")</f>
        <v/>
      </c>
      <c r="D2281" s="393" t="str">
        <f>IFERROR(VLOOKUP(A2281,[3]DOORSCRIEFT!$A$2:$G$8551,3,FALSE),"")</f>
        <v/>
      </c>
      <c r="E2281" s="392" t="str">
        <f>IFERROR(VLOOKUP(A2281,[3]DOORSCRIEFT!$A$2:$G$8551,4,FALSE),"")</f>
        <v/>
      </c>
      <c r="F2281" s="405" t="str">
        <f>IFERROR(VLOOKUP(A2281,[3]DOORSCRIEFT!$A$2:$G$8551,6,FALSE),"")</f>
        <v/>
      </c>
      <c r="G2281" s="315"/>
    </row>
    <row r="2282" spans="1:7" x14ac:dyDescent="0.25">
      <c r="A2282" s="339" t="str">
        <f t="shared" si="66"/>
        <v>I.2.2.02.03422</v>
      </c>
      <c r="B2282" s="319">
        <v>22</v>
      </c>
      <c r="C2282" s="394" t="str">
        <f>IFERROR(VLOOKUP(A2282,[3]DOORSCRIEFT!$A$2:$G$8551,2,FALSE),"")</f>
        <v/>
      </c>
      <c r="D2282" s="393" t="str">
        <f>IFERROR(VLOOKUP(A2282,[3]DOORSCRIEFT!$A$2:$G$8551,3,FALSE),"")</f>
        <v/>
      </c>
      <c r="E2282" s="392" t="str">
        <f>IFERROR(VLOOKUP(A2282,[3]DOORSCRIEFT!$A$2:$G$8551,4,FALSE),"")</f>
        <v/>
      </c>
      <c r="F2282" s="405" t="str">
        <f>IFERROR(VLOOKUP(A2282,[3]DOORSCRIEFT!$A$2:$G$8551,6,FALSE),"")</f>
        <v/>
      </c>
      <c r="G2282" s="315"/>
    </row>
    <row r="2283" spans="1:7" x14ac:dyDescent="0.25">
      <c r="A2283" s="339" t="str">
        <f t="shared" si="66"/>
        <v>I.2.2.02.03423</v>
      </c>
      <c r="B2283" s="339">
        <v>23</v>
      </c>
      <c r="C2283" s="394" t="str">
        <f>IFERROR(VLOOKUP(A2283,[3]DOORSCRIEFT!$A$2:$G$8551,2,FALSE),"")</f>
        <v/>
      </c>
      <c r="D2283" s="393" t="str">
        <f>IFERROR(VLOOKUP(A2283,[3]DOORSCRIEFT!$A$2:$G$8551,3,FALSE),"")</f>
        <v/>
      </c>
      <c r="E2283" s="392" t="str">
        <f>IFERROR(VLOOKUP(A2283,[3]DOORSCRIEFT!$A$2:$G$8551,4,FALSE),"")</f>
        <v/>
      </c>
      <c r="F2283" s="405" t="str">
        <f>IFERROR(VLOOKUP(A2283,[3]DOORSCRIEFT!$A$2:$G$8551,6,FALSE),"")</f>
        <v/>
      </c>
      <c r="G2283" s="315"/>
    </row>
    <row r="2284" spans="1:7" x14ac:dyDescent="0.25">
      <c r="A2284" s="339" t="str">
        <f t="shared" si="66"/>
        <v>I.2.2.02.03424</v>
      </c>
      <c r="B2284" s="319">
        <v>24</v>
      </c>
      <c r="C2284" s="394" t="str">
        <f>IFERROR(VLOOKUP(A2284,[3]DOORSCRIEFT!$A$2:$G$8551,2,FALSE),"")</f>
        <v/>
      </c>
      <c r="D2284" s="393" t="str">
        <f>IFERROR(VLOOKUP(A2284,[3]DOORSCRIEFT!$A$2:$G$8551,3,FALSE),"")</f>
        <v/>
      </c>
      <c r="E2284" s="392" t="str">
        <f>IFERROR(VLOOKUP(A2284,[3]DOORSCRIEFT!$A$2:$G$8551,4,FALSE),"")</f>
        <v/>
      </c>
      <c r="F2284" s="405" t="str">
        <f>IFERROR(VLOOKUP(A2284,[3]DOORSCRIEFT!$A$2:$G$8551,6,FALSE),"")</f>
        <v/>
      </c>
      <c r="G2284" s="315"/>
    </row>
    <row r="2285" spans="1:7" x14ac:dyDescent="0.25">
      <c r="A2285" s="339" t="str">
        <f t="shared" si="66"/>
        <v>I.2.2.02.03425</v>
      </c>
      <c r="B2285" s="339">
        <v>25</v>
      </c>
      <c r="C2285" s="394" t="str">
        <f>IFERROR(VLOOKUP(A2285,[3]DOORSCRIEFT!$A$2:$G$8551,2,FALSE),"")</f>
        <v/>
      </c>
      <c r="D2285" s="393" t="str">
        <f>IFERROR(VLOOKUP(A2285,[3]DOORSCRIEFT!$A$2:$G$8551,3,FALSE),"")</f>
        <v/>
      </c>
      <c r="E2285" s="392" t="str">
        <f>IFERROR(VLOOKUP(A2285,[3]DOORSCRIEFT!$A$2:$G$8551,4,FALSE),"")</f>
        <v/>
      </c>
      <c r="F2285" s="405" t="str">
        <f>IFERROR(VLOOKUP(A2285,[3]DOORSCRIEFT!$A$2:$G$8551,6,FALSE),"")</f>
        <v/>
      </c>
      <c r="G2285" s="315"/>
    </row>
    <row r="2286" spans="1:7" x14ac:dyDescent="0.25">
      <c r="A2286" s="339" t="str">
        <f t="shared" si="66"/>
        <v>I.2.2.02.03426</v>
      </c>
      <c r="B2286" s="319">
        <v>26</v>
      </c>
      <c r="C2286" s="394" t="str">
        <f>IFERROR(VLOOKUP(A2286,[3]DOORSCRIEFT!$A$2:$G$8551,2,FALSE),"")</f>
        <v/>
      </c>
      <c r="D2286" s="393" t="str">
        <f>IFERROR(VLOOKUP(A2286,[3]DOORSCRIEFT!$A$2:$G$8551,3,FALSE),"")</f>
        <v/>
      </c>
      <c r="E2286" s="392" t="str">
        <f>IFERROR(VLOOKUP(A2286,[3]DOORSCRIEFT!$A$2:$G$8551,4,FALSE),"")</f>
        <v/>
      </c>
      <c r="F2286" s="405" t="str">
        <f>IFERROR(VLOOKUP(A2286,[3]DOORSCRIEFT!$A$2:$G$8551,6,FALSE),"")</f>
        <v/>
      </c>
      <c r="G2286" s="315"/>
    </row>
    <row r="2287" spans="1:7" x14ac:dyDescent="0.25">
      <c r="A2287" s="339" t="str">
        <f t="shared" si="66"/>
        <v>I.2.2.02.03427</v>
      </c>
      <c r="B2287" s="339">
        <v>27</v>
      </c>
      <c r="C2287" s="394" t="str">
        <f>IFERROR(VLOOKUP(A2287,[3]DOORSCRIEFT!$A$2:$G$8551,2,FALSE),"")</f>
        <v/>
      </c>
      <c r="D2287" s="393" t="str">
        <f>IFERROR(VLOOKUP(A2287,[3]DOORSCRIEFT!$A$2:$G$8551,3,FALSE),"")</f>
        <v/>
      </c>
      <c r="E2287" s="392" t="str">
        <f>IFERROR(VLOOKUP(A2287,[3]DOORSCRIEFT!$A$2:$G$8551,4,FALSE),"")</f>
        <v/>
      </c>
      <c r="F2287" s="405" t="str">
        <f>IFERROR(VLOOKUP(A2287,[3]DOORSCRIEFT!$A$2:$G$8551,6,FALSE),"")</f>
        <v/>
      </c>
      <c r="G2287" s="315"/>
    </row>
    <row r="2288" spans="1:7" x14ac:dyDescent="0.25">
      <c r="A2288" s="339" t="str">
        <f t="shared" si="66"/>
        <v>I.2.2.02.03428</v>
      </c>
      <c r="B2288" s="319">
        <v>28</v>
      </c>
      <c r="C2288" s="394" t="str">
        <f>IFERROR(VLOOKUP(A2288,[3]DOORSCRIEFT!$A$2:$G$8551,2,FALSE),"")</f>
        <v/>
      </c>
      <c r="D2288" s="393" t="str">
        <f>IFERROR(VLOOKUP(A2288,[3]DOORSCRIEFT!$A$2:$G$8551,3,FALSE),"")</f>
        <v/>
      </c>
      <c r="E2288" s="392" t="str">
        <f>IFERROR(VLOOKUP(A2288,[3]DOORSCRIEFT!$A$2:$G$8551,4,FALSE),"")</f>
        <v/>
      </c>
      <c r="F2288" s="405" t="str">
        <f>IFERROR(VLOOKUP(A2288,[3]DOORSCRIEFT!$A$2:$G$8551,6,FALSE),"")</f>
        <v/>
      </c>
      <c r="G2288" s="315"/>
    </row>
    <row r="2289" spans="1:7" x14ac:dyDescent="0.25">
      <c r="A2289" s="339" t="str">
        <f t="shared" si="66"/>
        <v>I.2.2.02.03429</v>
      </c>
      <c r="B2289" s="339">
        <v>29</v>
      </c>
      <c r="C2289" s="394" t="str">
        <f>IFERROR(VLOOKUP(A2289,[3]DOORSCRIEFT!$A$2:$G$8551,2,FALSE),"")</f>
        <v/>
      </c>
      <c r="D2289" s="393" t="str">
        <f>IFERROR(VLOOKUP(A2289,[3]DOORSCRIEFT!$A$2:$G$8551,3,FALSE),"")</f>
        <v/>
      </c>
      <c r="E2289" s="392" t="str">
        <f>IFERROR(VLOOKUP(A2289,[3]DOORSCRIEFT!$A$2:$G$8551,4,FALSE),"")</f>
        <v/>
      </c>
      <c r="F2289" s="405" t="str">
        <f>IFERROR(VLOOKUP(A2289,[3]DOORSCRIEFT!$A$2:$G$8551,6,FALSE),"")</f>
        <v/>
      </c>
      <c r="G2289" s="315"/>
    </row>
    <row r="2290" spans="1:7" x14ac:dyDescent="0.25">
      <c r="A2290" s="339" t="str">
        <f t="shared" si="66"/>
        <v>I.2.2.02.03430</v>
      </c>
      <c r="B2290" s="319">
        <v>30</v>
      </c>
      <c r="C2290" s="394" t="str">
        <f>IFERROR(VLOOKUP(A2290,[3]DOORSCRIEFT!$A$2:$G$8551,2,FALSE),"")</f>
        <v/>
      </c>
      <c r="D2290" s="393" t="str">
        <f>IFERROR(VLOOKUP(A2290,[3]DOORSCRIEFT!$A$2:$G$8551,3,FALSE),"")</f>
        <v/>
      </c>
      <c r="E2290" s="392" t="str">
        <f>IFERROR(VLOOKUP(A2290,[3]DOORSCRIEFT!$A$2:$G$8551,4,FALSE),"")</f>
        <v/>
      </c>
      <c r="F2290" s="405" t="str">
        <f>IFERROR(VLOOKUP(A2290,[3]DOORSCRIEFT!$A$2:$G$8551,6,FALSE),"")</f>
        <v/>
      </c>
      <c r="G2290" s="315"/>
    </row>
    <row r="2291" spans="1:7" x14ac:dyDescent="0.25">
      <c r="A2291" s="339" t="str">
        <f t="shared" si="66"/>
        <v>I.2.2.02.03431</v>
      </c>
      <c r="B2291" s="339">
        <v>31</v>
      </c>
      <c r="C2291" s="394" t="str">
        <f>IFERROR(VLOOKUP(A2291,[3]DOORSCRIEFT!$A$2:$G$8551,2,FALSE),"")</f>
        <v/>
      </c>
      <c r="D2291" s="393" t="str">
        <f>IFERROR(VLOOKUP(A2291,[3]DOORSCRIEFT!$A$2:$G$8551,3,FALSE),"")</f>
        <v/>
      </c>
      <c r="E2291" s="392" t="str">
        <f>IFERROR(VLOOKUP(A2291,[3]DOORSCRIEFT!$A$2:$G$8551,4,FALSE),"")</f>
        <v/>
      </c>
      <c r="F2291" s="405" t="str">
        <f>IFERROR(VLOOKUP(A2291,[3]DOORSCRIEFT!$A$2:$G$8551,6,FALSE),"")</f>
        <v/>
      </c>
      <c r="G2291" s="315"/>
    </row>
    <row r="2292" spans="1:7" x14ac:dyDescent="0.25">
      <c r="A2292" s="339" t="str">
        <f t="shared" si="66"/>
        <v>I.2.2.02.03432</v>
      </c>
      <c r="B2292" s="319">
        <v>32</v>
      </c>
      <c r="C2292" s="394" t="str">
        <f>IFERROR(VLOOKUP(A2292,[3]DOORSCRIEFT!$A$2:$G$8551,2,FALSE),"")</f>
        <v/>
      </c>
      <c r="D2292" s="393" t="str">
        <f>IFERROR(VLOOKUP(A2292,[3]DOORSCRIEFT!$A$2:$G$8551,3,FALSE),"")</f>
        <v/>
      </c>
      <c r="E2292" s="392" t="str">
        <f>IFERROR(VLOOKUP(A2292,[3]DOORSCRIEFT!$A$2:$G$8551,4,FALSE),"")</f>
        <v/>
      </c>
      <c r="F2292" s="405" t="str">
        <f>IFERROR(VLOOKUP(A2292,[3]DOORSCRIEFT!$A$2:$G$8551,6,FALSE),"")</f>
        <v/>
      </c>
      <c r="G2292" s="315"/>
    </row>
    <row r="2293" spans="1:7" x14ac:dyDescent="0.25">
      <c r="A2293" s="339" t="str">
        <f t="shared" si="66"/>
        <v>I.2.2.02.03433</v>
      </c>
      <c r="B2293" s="339">
        <v>33</v>
      </c>
      <c r="C2293" s="394" t="str">
        <f>IFERROR(VLOOKUP(A2293,[3]DOORSCRIEFT!$A$2:$G$8551,2,FALSE),"")</f>
        <v/>
      </c>
      <c r="D2293" s="393" t="str">
        <f>IFERROR(VLOOKUP(A2293,[3]DOORSCRIEFT!$A$2:$G$8551,3,FALSE),"")</f>
        <v/>
      </c>
      <c r="E2293" s="392" t="str">
        <f>IFERROR(VLOOKUP(A2293,[3]DOORSCRIEFT!$A$2:$G$8551,4,FALSE),"")</f>
        <v/>
      </c>
      <c r="F2293" s="405" t="str">
        <f>IFERROR(VLOOKUP(A2293,[3]DOORSCRIEFT!$A$2:$G$8551,6,FALSE),"")</f>
        <v/>
      </c>
      <c r="G2293" s="315"/>
    </row>
    <row r="2294" spans="1:7" x14ac:dyDescent="0.25">
      <c r="A2294" s="339" t="str">
        <f t="shared" si="66"/>
        <v>I.2.2.02.03434</v>
      </c>
      <c r="B2294" s="319">
        <v>34</v>
      </c>
      <c r="C2294" s="394" t="str">
        <f>IFERROR(VLOOKUP(A2294,[3]DOORSCRIEFT!$A$2:$G$8551,2,FALSE),"")</f>
        <v/>
      </c>
      <c r="D2294" s="393" t="str">
        <f>IFERROR(VLOOKUP(A2294,[3]DOORSCRIEFT!$A$2:$G$8551,3,FALSE),"")</f>
        <v/>
      </c>
      <c r="E2294" s="392" t="str">
        <f>IFERROR(VLOOKUP(A2294,[3]DOORSCRIEFT!$A$2:$G$8551,4,FALSE),"")</f>
        <v/>
      </c>
      <c r="F2294" s="405" t="str">
        <f>IFERROR(VLOOKUP(A2294,[3]DOORSCRIEFT!$A$2:$G$8551,6,FALSE),"")</f>
        <v/>
      </c>
      <c r="G2294" s="315"/>
    </row>
    <row r="2295" spans="1:7" x14ac:dyDescent="0.25">
      <c r="A2295" s="339" t="str">
        <f t="shared" si="66"/>
        <v>I.2.2.02.03435</v>
      </c>
      <c r="B2295" s="339">
        <v>35</v>
      </c>
      <c r="C2295" s="394" t="str">
        <f>IFERROR(VLOOKUP(A2295,[3]DOORSCRIEFT!$A$2:$G$8551,2,FALSE),"")</f>
        <v/>
      </c>
      <c r="D2295" s="393" t="str">
        <f>IFERROR(VLOOKUP(A2295,[3]DOORSCRIEFT!$A$2:$G$8551,3,FALSE),"")</f>
        <v/>
      </c>
      <c r="E2295" s="392" t="str">
        <f>IFERROR(VLOOKUP(A2295,[3]DOORSCRIEFT!$A$2:$G$8551,4,FALSE),"")</f>
        <v/>
      </c>
      <c r="F2295" s="405" t="str">
        <f>IFERROR(VLOOKUP(A2295,[3]DOORSCRIEFT!$A$2:$G$8551,6,FALSE),"")</f>
        <v/>
      </c>
      <c r="G2295" s="315"/>
    </row>
    <row r="2296" spans="1:7" ht="15.75" thickBot="1" x14ac:dyDescent="0.3">
      <c r="A2296" s="353" t="str">
        <f t="shared" si="66"/>
        <v>I.2.2.02.03436</v>
      </c>
      <c r="B2296" s="345">
        <v>36</v>
      </c>
      <c r="C2296" s="394" t="str">
        <f>IFERROR(VLOOKUP(A2296,[3]DOORSCRIEFT!$A$2:$G$8551,2,FALSE),"")</f>
        <v/>
      </c>
      <c r="D2296" s="393" t="str">
        <f>IFERROR(VLOOKUP(A2296,[3]DOORSCRIEFT!$A$2:$G$8551,3,FALSE),"")</f>
        <v/>
      </c>
      <c r="E2296" s="392" t="str">
        <f>IFERROR(VLOOKUP(A2296,[3]DOORSCRIEFT!$A$2:$G$8551,4,FALSE),"")</f>
        <v/>
      </c>
      <c r="F2296" s="405" t="str">
        <f>IFERROR(VLOOKUP(A2296,[3]DOORSCRIEFT!$A$2:$G$8551,6,FALSE),"")</f>
        <v/>
      </c>
      <c r="G2296" s="315"/>
    </row>
    <row r="2297" spans="1:7" ht="15.75" thickBot="1" x14ac:dyDescent="0.3">
      <c r="A2297" s="314"/>
      <c r="B2297" s="312"/>
      <c r="C2297" s="313"/>
      <c r="D2297" s="312"/>
      <c r="E2297" s="311" t="s">
        <v>644</v>
      </c>
      <c r="F2297" s="310">
        <f>SUM(F2261:F2296)</f>
        <v>325000</v>
      </c>
      <c r="G2297" s="309">
        <f>SUM(G2262:G2296)</f>
        <v>0</v>
      </c>
    </row>
    <row r="2300" spans="1:7" ht="15.75" x14ac:dyDescent="0.25">
      <c r="C2300" s="332"/>
      <c r="D2300" s="333"/>
      <c r="E2300" s="332"/>
      <c r="F2300" s="327" t="s">
        <v>607</v>
      </c>
      <c r="G2300" s="327" t="s">
        <v>478</v>
      </c>
    </row>
    <row r="2301" spans="1:7" ht="15.75" x14ac:dyDescent="0.25">
      <c r="C2301" s="332"/>
      <c r="D2301" s="333"/>
      <c r="E2301" s="332"/>
      <c r="F2301" s="327" t="s">
        <v>601</v>
      </c>
      <c r="G2301" s="327" t="s">
        <v>477</v>
      </c>
    </row>
    <row r="2302" spans="1:7" x14ac:dyDescent="0.25">
      <c r="C2302" s="328"/>
      <c r="D2302" s="329"/>
      <c r="E2302" s="328"/>
      <c r="F2302" s="327" t="s">
        <v>651</v>
      </c>
      <c r="G2302" s="331">
        <f>[2]Sheet1!$D$62</f>
        <v>20000000</v>
      </c>
    </row>
    <row r="2303" spans="1:7" ht="15.75" thickBot="1" x14ac:dyDescent="0.3">
      <c r="C2303" s="328"/>
      <c r="D2303" s="329"/>
      <c r="E2303" s="328"/>
      <c r="F2303" s="327" t="s">
        <v>650</v>
      </c>
      <c r="G2303" s="326">
        <f>+F2377-G2302</f>
        <v>-16854000</v>
      </c>
    </row>
    <row r="2304" spans="1:7" x14ac:dyDescent="0.25">
      <c r="A2304" s="571" t="s">
        <v>626</v>
      </c>
      <c r="B2304" s="573" t="s">
        <v>606</v>
      </c>
      <c r="C2304" s="588" t="s">
        <v>649</v>
      </c>
      <c r="D2304" s="577" t="s">
        <v>648</v>
      </c>
      <c r="E2304" s="577" t="s">
        <v>647</v>
      </c>
      <c r="F2304" s="577" t="s">
        <v>646</v>
      </c>
      <c r="G2304" s="580" t="s">
        <v>645</v>
      </c>
    </row>
    <row r="2305" spans="1:7" ht="15.75" thickBot="1" x14ac:dyDescent="0.3">
      <c r="A2305" s="579"/>
      <c r="B2305" s="593"/>
      <c r="C2305" s="592"/>
      <c r="D2305" s="578"/>
      <c r="E2305" s="578"/>
      <c r="F2305" s="578"/>
      <c r="G2305" s="581"/>
    </row>
    <row r="2306" spans="1:7" ht="15.75" thickBot="1" x14ac:dyDescent="0.3">
      <c r="A2306" s="325">
        <v>1</v>
      </c>
      <c r="B2306" s="324">
        <v>2</v>
      </c>
      <c r="C2306" s="324">
        <v>3</v>
      </c>
      <c r="D2306" s="324">
        <v>4</v>
      </c>
      <c r="E2306" s="324">
        <v>5</v>
      </c>
      <c r="F2306" s="324">
        <v>6</v>
      </c>
      <c r="G2306" s="323">
        <v>7</v>
      </c>
    </row>
    <row r="2307" spans="1:7" x14ac:dyDescent="0.25">
      <c r="A2307" s="360" t="str">
        <f t="shared" ref="A2307:A2338" si="67">$G$2300&amp;B2307</f>
        <v>I.2.2.02.0351</v>
      </c>
      <c r="B2307" s="339">
        <v>1</v>
      </c>
      <c r="C2307" s="394">
        <f>IFERROR(VLOOKUP(A2307,[3]DOORSCRIEFT!$A$2:$G$8551,2,FALSE),"")</f>
        <v>8</v>
      </c>
      <c r="D2307" s="393">
        <f>IFERROR(VLOOKUP(A2307,[3]DOORSCRIEFT!$A$2:$G$8551,3,FALSE),"")</f>
        <v>46023</v>
      </c>
      <c r="E2307" s="392" t="str">
        <f>IFERROR(VLOOKUP(A2307,[3]DOORSCRIEFT!$A$2:$G$8551,4,FALSE),"")</f>
        <v>Kolekta Pelayanan Org sakit</v>
      </c>
      <c r="F2307" s="405">
        <f>IFERROR(VLOOKUP(A2307,[3]DOORSCRIEFT!$A$2:$G$8551,6,FALSE),"")</f>
        <v>340000</v>
      </c>
      <c r="G2307" s="322"/>
    </row>
    <row r="2308" spans="1:7" x14ac:dyDescent="0.25">
      <c r="A2308" s="359" t="str">
        <f t="shared" si="67"/>
        <v>I.2.2.02.0352</v>
      </c>
      <c r="B2308" s="319">
        <v>2</v>
      </c>
      <c r="C2308" s="394">
        <f>IFERROR(VLOOKUP(A2308,[3]DOORSCRIEFT!$A$2:$G$8551,2,FALSE),"")</f>
        <v>33</v>
      </c>
      <c r="D2308" s="393">
        <f>IFERROR(VLOOKUP(A2308,[3]DOORSCRIEFT!$A$2:$G$8551,3,FALSE),"")</f>
        <v>46031</v>
      </c>
      <c r="E2308" s="392" t="str">
        <f>IFERROR(VLOOKUP(A2308,[3]DOORSCRIEFT!$A$2:$G$8551,4,FALSE),"")</f>
        <v>Kolekta Pelayanan Orang sakit Imanuel 2, Petra 3 dan Kalvari 4</v>
      </c>
      <c r="F2308" s="405">
        <f>IFERROR(VLOOKUP(A2308,[3]DOORSCRIEFT!$A$2:$G$8551,6,FALSE),"")</f>
        <v>130000</v>
      </c>
      <c r="G2308" s="315"/>
    </row>
    <row r="2309" spans="1:7" x14ac:dyDescent="0.25">
      <c r="A2309" s="359" t="str">
        <f t="shared" si="67"/>
        <v>I.2.2.02.0353</v>
      </c>
      <c r="B2309" s="319">
        <v>3</v>
      </c>
      <c r="C2309" s="394">
        <f>IFERROR(VLOOKUP(A2309,[3]DOORSCRIEFT!$A$2:$G$8551,2,FALSE),"")</f>
        <v>75</v>
      </c>
      <c r="D2309" s="393">
        <f>IFERROR(VLOOKUP(A2309,[3]DOORSCRIEFT!$A$2:$G$8551,3,FALSE),"")</f>
        <v>46038</v>
      </c>
      <c r="E2309" s="392" t="str">
        <f>IFERROR(VLOOKUP(A2309,[3]DOORSCRIEFT!$A$2:$G$8551,4,FALSE),"")</f>
        <v>Kolekta Pelayanan Rumah ( sakit )</v>
      </c>
      <c r="F2309" s="405">
        <f>IFERROR(VLOOKUP(A2309,[3]DOORSCRIEFT!$A$2:$G$8551,6,FALSE),"")</f>
        <v>275000</v>
      </c>
      <c r="G2309" s="315"/>
    </row>
    <row r="2310" spans="1:7" x14ac:dyDescent="0.25">
      <c r="A2310" s="359" t="str">
        <f t="shared" si="67"/>
        <v>I.2.2.02.0354</v>
      </c>
      <c r="B2310" s="319">
        <v>4</v>
      </c>
      <c r="C2310" s="394">
        <f>IFERROR(VLOOKUP(A2310,[3]DOORSCRIEFT!$A$2:$G$8551,2,FALSE),"")</f>
        <v>93</v>
      </c>
      <c r="D2310" s="393">
        <f>IFERROR(VLOOKUP(A2310,[3]DOORSCRIEFT!$A$2:$G$8551,3,FALSE),"")</f>
        <v>46045</v>
      </c>
      <c r="E2310" s="392" t="str">
        <f>IFERROR(VLOOKUP(A2310,[3]DOORSCRIEFT!$A$2:$G$8551,4,FALSE),"")</f>
        <v>Kolekta Pelayanan Rumah (Sakit dan Lansia)</v>
      </c>
      <c r="F2310" s="405">
        <f>IFERROR(VLOOKUP(A2310,[3]DOORSCRIEFT!$A$2:$G$8551,6,FALSE),"")</f>
        <v>80000</v>
      </c>
      <c r="G2310" s="315"/>
    </row>
    <row r="2311" spans="1:7" x14ac:dyDescent="0.25">
      <c r="A2311" s="359" t="str">
        <f t="shared" si="67"/>
        <v>I.2.2.02.0355</v>
      </c>
      <c r="B2311" s="319">
        <v>5</v>
      </c>
      <c r="C2311" s="394">
        <f>IFERROR(VLOOKUP(A2311,[3]DOORSCRIEFT!$A$2:$G$8551,2,FALSE),"")</f>
        <v>144</v>
      </c>
      <c r="D2311" s="393">
        <f>IFERROR(VLOOKUP(A2311,[3]DOORSCRIEFT!$A$2:$G$8551,3,FALSE),"")</f>
        <v>46052</v>
      </c>
      <c r="E2311" s="392" t="str">
        <f>IFERROR(VLOOKUP(A2311,[3]DOORSCRIEFT!$A$2:$G$8551,4,FALSE),"")</f>
        <v>Kolekta Kebaktian Lansia / Orang Sakit</v>
      </c>
      <c r="F2311" s="405">
        <f>IFERROR(VLOOKUP(A2311,[3]DOORSCRIEFT!$A$2:$G$8551,6,FALSE),"")</f>
        <v>340000</v>
      </c>
      <c r="G2311" s="315"/>
    </row>
    <row r="2312" spans="1:7" x14ac:dyDescent="0.25">
      <c r="A2312" s="359" t="str">
        <f t="shared" si="67"/>
        <v>I.2.2.02.0356</v>
      </c>
      <c r="B2312" s="319">
        <v>6</v>
      </c>
      <c r="C2312" s="394">
        <f>IFERROR(VLOOKUP(A2312,[3]DOORSCRIEFT!$A$2:$G$8551,2,FALSE),"")</f>
        <v>159</v>
      </c>
      <c r="D2312" s="393">
        <f>IFERROR(VLOOKUP(A2312,[3]DOORSCRIEFT!$A$2:$G$8551,3,FALSE),"")</f>
        <v>46059</v>
      </c>
      <c r="E2312" s="392" t="str">
        <f>IFERROR(VLOOKUP(A2312,[3]DOORSCRIEFT!$A$2:$G$8551,4,FALSE),"")</f>
        <v>Kolekta Kebaktian Lansia / Orang Sakit</v>
      </c>
      <c r="F2312" s="405">
        <f>IFERROR(VLOOKUP(A2312,[3]DOORSCRIEFT!$A$2:$G$8551,6,FALSE),"")</f>
        <v>340000</v>
      </c>
      <c r="G2312" s="315"/>
    </row>
    <row r="2313" spans="1:7" x14ac:dyDescent="0.25">
      <c r="A2313" s="359" t="str">
        <f t="shared" si="67"/>
        <v>I.2.2.02.0357</v>
      </c>
      <c r="B2313" s="319">
        <v>7</v>
      </c>
      <c r="C2313" s="394">
        <f>IFERROR(VLOOKUP(A2313,[3]DOORSCRIEFT!$A$2:$G$8551,2,FALSE),"")</f>
        <v>195</v>
      </c>
      <c r="D2313" s="393">
        <f>IFERROR(VLOOKUP(A2313,[3]DOORSCRIEFT!$A$2:$G$8551,3,FALSE),"")</f>
        <v>46066</v>
      </c>
      <c r="E2313" s="392" t="str">
        <f>IFERROR(VLOOKUP(A2313,[3]DOORSCRIEFT!$A$2:$G$8551,4,FALSE),"")</f>
        <v>Kolekta Kebaktian Lansia / Orang Sakit</v>
      </c>
      <c r="F2313" s="405">
        <f>IFERROR(VLOOKUP(A2313,[3]DOORSCRIEFT!$A$2:$G$8551,6,FALSE),"")</f>
        <v>350000</v>
      </c>
      <c r="G2313" s="315"/>
    </row>
    <row r="2314" spans="1:7" x14ac:dyDescent="0.25">
      <c r="A2314" s="359" t="str">
        <f t="shared" si="67"/>
        <v>I.2.2.02.0358</v>
      </c>
      <c r="B2314" s="319">
        <v>8</v>
      </c>
      <c r="C2314" s="394">
        <f>IFERROR(VLOOKUP(A2314,[3]DOORSCRIEFT!$A$2:$G$8551,2,FALSE),"")</f>
        <v>223</v>
      </c>
      <c r="D2314" s="393">
        <f>IFERROR(VLOOKUP(A2314,[3]DOORSCRIEFT!$A$2:$G$8551,3,FALSE),"")</f>
        <v>46073</v>
      </c>
      <c r="E2314" s="392" t="str">
        <f>IFERROR(VLOOKUP(A2314,[3]DOORSCRIEFT!$A$2:$G$8551,4,FALSE),"")</f>
        <v>Kolekta Kebaktian pelayanan rumah / Orang Sakit</v>
      </c>
      <c r="F2314" s="405">
        <f>IFERROR(VLOOKUP(A2314,[3]DOORSCRIEFT!$A$2:$G$8551,6,FALSE),"")</f>
        <v>115000</v>
      </c>
      <c r="G2314" s="315"/>
    </row>
    <row r="2315" spans="1:7" x14ac:dyDescent="0.25">
      <c r="A2315" s="359" t="str">
        <f t="shared" si="67"/>
        <v>I.2.2.02.0359</v>
      </c>
      <c r="B2315" s="319">
        <v>9</v>
      </c>
      <c r="C2315" s="394">
        <f>IFERROR(VLOOKUP(A2315,[3]DOORSCRIEFT!$A$2:$G$8551,2,FALSE),"")</f>
        <v>266</v>
      </c>
      <c r="D2315" s="393">
        <f>IFERROR(VLOOKUP(A2315,[3]DOORSCRIEFT!$A$2:$G$8551,3,FALSE),"")</f>
        <v>46080</v>
      </c>
      <c r="E2315" s="392" t="str">
        <f>IFERROR(VLOOKUP(A2315,[3]DOORSCRIEFT!$A$2:$G$8551,4,FALSE),"")</f>
        <v>Kolekta Kebaktian pelayanan rumah / Orang Sakit</v>
      </c>
      <c r="F2315" s="405">
        <f>IFERROR(VLOOKUP(A2315,[3]DOORSCRIEFT!$A$2:$G$8551,6,FALSE),"")</f>
        <v>540000</v>
      </c>
      <c r="G2315" s="315"/>
    </row>
    <row r="2316" spans="1:7" x14ac:dyDescent="0.25">
      <c r="A2316" s="359" t="str">
        <f t="shared" si="67"/>
        <v>I.2.2.02.03510</v>
      </c>
      <c r="B2316" s="319">
        <v>10</v>
      </c>
      <c r="C2316" s="394">
        <f>IFERROR(VLOOKUP(A2316,[3]DOORSCRIEFT!$A$2:$G$8551,2,FALSE),"")</f>
        <v>298</v>
      </c>
      <c r="D2316" s="393">
        <f>IFERROR(VLOOKUP(A2316,[3]DOORSCRIEFT!$A$2:$G$8551,3,FALSE),"")</f>
        <v>46087</v>
      </c>
      <c r="E2316" s="392" t="str">
        <f>IFERROR(VLOOKUP(A2316,[3]DOORSCRIEFT!$A$2:$G$8551,4,FALSE),"")</f>
        <v>Kolekta Kebaktian pelayanan rumah / Orang Sakit</v>
      </c>
      <c r="F2316" s="405">
        <f>IFERROR(VLOOKUP(A2316,[3]DOORSCRIEFT!$A$2:$G$8551,6,FALSE),"")</f>
        <v>490000</v>
      </c>
      <c r="G2316" s="315"/>
    </row>
    <row r="2317" spans="1:7" x14ac:dyDescent="0.25">
      <c r="A2317" s="359" t="str">
        <f t="shared" si="67"/>
        <v>I.2.2.02.03511</v>
      </c>
      <c r="B2317" s="319">
        <v>11</v>
      </c>
      <c r="C2317" s="394">
        <f>IFERROR(VLOOKUP(A2317,[3]DOORSCRIEFT!$A$2:$G$8551,2,FALSE),"")</f>
        <v>445</v>
      </c>
      <c r="D2317" s="393">
        <f>IFERROR(VLOOKUP(A2317,[3]DOORSCRIEFT!$A$2:$G$8551,3,FALSE),"")</f>
        <v>46108</v>
      </c>
      <c r="E2317" s="392" t="str">
        <f>IFERROR(VLOOKUP(A2317,[3]DOORSCRIEFT!$A$2:$G$8551,4,FALSE),"")</f>
        <v>Kolekta Kebaktian pelayanan rumah / Orang Sakit</v>
      </c>
      <c r="F2317" s="405">
        <f>IFERROR(VLOOKUP(A2317,[3]DOORSCRIEFT!$A$2:$G$8551,6,FALSE),"")</f>
        <v>146000</v>
      </c>
      <c r="G2317" s="315"/>
    </row>
    <row r="2318" spans="1:7" x14ac:dyDescent="0.25">
      <c r="A2318" s="359" t="str">
        <f t="shared" si="67"/>
        <v>I.2.2.02.03512</v>
      </c>
      <c r="B2318" s="319">
        <v>12</v>
      </c>
      <c r="C2318" s="394" t="str">
        <f>IFERROR(VLOOKUP(A2318,[3]DOORSCRIEFT!$A$2:$G$8551,2,FALSE),"")</f>
        <v/>
      </c>
      <c r="D2318" s="393" t="str">
        <f>IFERROR(VLOOKUP(A2318,[3]DOORSCRIEFT!$A$2:$G$8551,3,FALSE),"")</f>
        <v/>
      </c>
      <c r="E2318" s="392" t="str">
        <f>IFERROR(VLOOKUP(A2318,[3]DOORSCRIEFT!$A$2:$G$8551,4,FALSE),"")</f>
        <v/>
      </c>
      <c r="F2318" s="405" t="str">
        <f>IFERROR(VLOOKUP(A2318,[3]DOORSCRIEFT!$A$2:$G$8551,6,FALSE),"")</f>
        <v/>
      </c>
      <c r="G2318" s="315"/>
    </row>
    <row r="2319" spans="1:7" x14ac:dyDescent="0.25">
      <c r="A2319" s="359" t="str">
        <f t="shared" si="67"/>
        <v>I.2.2.02.03513</v>
      </c>
      <c r="B2319" s="319">
        <v>13</v>
      </c>
      <c r="C2319" s="394" t="str">
        <f>IFERROR(VLOOKUP(A2319,[3]DOORSCRIEFT!$A$2:$G$8551,2,FALSE),"")</f>
        <v/>
      </c>
      <c r="D2319" s="393" t="str">
        <f>IFERROR(VLOOKUP(A2319,[3]DOORSCRIEFT!$A$2:$G$8551,3,FALSE),"")</f>
        <v/>
      </c>
      <c r="E2319" s="392" t="str">
        <f>IFERROR(VLOOKUP(A2319,[3]DOORSCRIEFT!$A$2:$G$8551,4,FALSE),"")</f>
        <v/>
      </c>
      <c r="F2319" s="405" t="str">
        <f>IFERROR(VLOOKUP(A2319,[3]DOORSCRIEFT!$A$2:$G$8551,6,FALSE),"")</f>
        <v/>
      </c>
      <c r="G2319" s="315"/>
    </row>
    <row r="2320" spans="1:7" x14ac:dyDescent="0.25">
      <c r="A2320" s="359" t="str">
        <f t="shared" si="67"/>
        <v>I.2.2.02.03514</v>
      </c>
      <c r="B2320" s="319">
        <v>14</v>
      </c>
      <c r="C2320" s="394" t="str">
        <f>IFERROR(VLOOKUP(A2320,[3]DOORSCRIEFT!$A$2:$G$8551,2,FALSE),"")</f>
        <v/>
      </c>
      <c r="D2320" s="393" t="str">
        <f>IFERROR(VLOOKUP(A2320,[3]DOORSCRIEFT!$A$2:$G$8551,3,FALSE),"")</f>
        <v/>
      </c>
      <c r="E2320" s="392" t="str">
        <f>IFERROR(VLOOKUP(A2320,[3]DOORSCRIEFT!$A$2:$G$8551,4,FALSE),"")</f>
        <v/>
      </c>
      <c r="F2320" s="405" t="str">
        <f>IFERROR(VLOOKUP(A2320,[3]DOORSCRIEFT!$A$2:$G$8551,6,FALSE),"")</f>
        <v/>
      </c>
      <c r="G2320" s="315"/>
    </row>
    <row r="2321" spans="1:7" x14ac:dyDescent="0.25">
      <c r="A2321" s="359" t="str">
        <f t="shared" si="67"/>
        <v>I.2.2.02.03515</v>
      </c>
      <c r="B2321" s="319">
        <v>15</v>
      </c>
      <c r="C2321" s="394" t="str">
        <f>IFERROR(VLOOKUP(A2321,[3]DOORSCRIEFT!$A$2:$G$8551,2,FALSE),"")</f>
        <v/>
      </c>
      <c r="D2321" s="393" t="str">
        <f>IFERROR(VLOOKUP(A2321,[3]DOORSCRIEFT!$A$2:$G$8551,3,FALSE),"")</f>
        <v/>
      </c>
      <c r="E2321" s="392" t="str">
        <f>IFERROR(VLOOKUP(A2321,[3]DOORSCRIEFT!$A$2:$G$8551,4,FALSE),"")</f>
        <v/>
      </c>
      <c r="F2321" s="405" t="str">
        <f>IFERROR(VLOOKUP(A2321,[3]DOORSCRIEFT!$A$2:$G$8551,6,FALSE),"")</f>
        <v/>
      </c>
      <c r="G2321" s="315"/>
    </row>
    <row r="2322" spans="1:7" x14ac:dyDescent="0.25">
      <c r="A2322" s="359" t="str">
        <f t="shared" si="67"/>
        <v>I.2.2.02.03516</v>
      </c>
      <c r="B2322" s="319">
        <v>16</v>
      </c>
      <c r="C2322" s="394" t="str">
        <f>IFERROR(VLOOKUP(A2322,[3]DOORSCRIEFT!$A$2:$G$8551,2,FALSE),"")</f>
        <v/>
      </c>
      <c r="D2322" s="393" t="str">
        <f>IFERROR(VLOOKUP(A2322,[3]DOORSCRIEFT!$A$2:$G$8551,3,FALSE),"")</f>
        <v/>
      </c>
      <c r="E2322" s="392" t="str">
        <f>IFERROR(VLOOKUP(A2322,[3]DOORSCRIEFT!$A$2:$G$8551,4,FALSE),"")</f>
        <v/>
      </c>
      <c r="F2322" s="405" t="str">
        <f>IFERROR(VLOOKUP(A2322,[3]DOORSCRIEFT!$A$2:$G$8551,6,FALSE),"")</f>
        <v/>
      </c>
      <c r="G2322" s="315"/>
    </row>
    <row r="2323" spans="1:7" x14ac:dyDescent="0.25">
      <c r="A2323" s="359" t="str">
        <f t="shared" si="67"/>
        <v>I.2.2.02.03517</v>
      </c>
      <c r="B2323" s="319">
        <v>17</v>
      </c>
      <c r="C2323" s="394" t="str">
        <f>IFERROR(VLOOKUP(A2323,[3]DOORSCRIEFT!$A$2:$G$8551,2,FALSE),"")</f>
        <v/>
      </c>
      <c r="D2323" s="393" t="str">
        <f>IFERROR(VLOOKUP(A2323,[3]DOORSCRIEFT!$A$2:$G$8551,3,FALSE),"")</f>
        <v/>
      </c>
      <c r="E2323" s="392" t="str">
        <f>IFERROR(VLOOKUP(A2323,[3]DOORSCRIEFT!$A$2:$G$8551,4,FALSE),"")</f>
        <v/>
      </c>
      <c r="F2323" s="405" t="str">
        <f>IFERROR(VLOOKUP(A2323,[3]DOORSCRIEFT!$A$2:$G$8551,6,FALSE),"")</f>
        <v/>
      </c>
      <c r="G2323" s="315"/>
    </row>
    <row r="2324" spans="1:7" x14ac:dyDescent="0.25">
      <c r="A2324" s="359" t="str">
        <f t="shared" si="67"/>
        <v>I.2.2.02.03518</v>
      </c>
      <c r="B2324" s="319">
        <v>18</v>
      </c>
      <c r="C2324" s="394" t="str">
        <f>IFERROR(VLOOKUP(A2324,[3]DOORSCRIEFT!$A$2:$G$8551,2,FALSE),"")</f>
        <v/>
      </c>
      <c r="D2324" s="393" t="str">
        <f>IFERROR(VLOOKUP(A2324,[3]DOORSCRIEFT!$A$2:$G$8551,3,FALSE),"")</f>
        <v/>
      </c>
      <c r="E2324" s="392" t="str">
        <f>IFERROR(VLOOKUP(A2324,[3]DOORSCRIEFT!$A$2:$G$8551,4,FALSE),"")</f>
        <v/>
      </c>
      <c r="F2324" s="405" t="str">
        <f>IFERROR(VLOOKUP(A2324,[3]DOORSCRIEFT!$A$2:$G$8551,6,FALSE),"")</f>
        <v/>
      </c>
      <c r="G2324" s="315"/>
    </row>
    <row r="2325" spans="1:7" x14ac:dyDescent="0.25">
      <c r="A2325" s="359" t="str">
        <f t="shared" si="67"/>
        <v>I.2.2.02.03519</v>
      </c>
      <c r="B2325" s="319">
        <v>19</v>
      </c>
      <c r="C2325" s="394" t="str">
        <f>IFERROR(VLOOKUP(A2325,[3]DOORSCRIEFT!$A$2:$G$8551,2,FALSE),"")</f>
        <v/>
      </c>
      <c r="D2325" s="393" t="str">
        <f>IFERROR(VLOOKUP(A2325,[3]DOORSCRIEFT!$A$2:$G$8551,3,FALSE),"")</f>
        <v/>
      </c>
      <c r="E2325" s="392" t="str">
        <f>IFERROR(VLOOKUP(A2325,[3]DOORSCRIEFT!$A$2:$G$8551,4,FALSE),"")</f>
        <v/>
      </c>
      <c r="F2325" s="405" t="str">
        <f>IFERROR(VLOOKUP(A2325,[3]DOORSCRIEFT!$A$2:$G$8551,6,FALSE),"")</f>
        <v/>
      </c>
      <c r="G2325" s="315"/>
    </row>
    <row r="2326" spans="1:7" x14ac:dyDescent="0.25">
      <c r="A2326" s="359" t="str">
        <f t="shared" si="67"/>
        <v>I.2.2.02.03520</v>
      </c>
      <c r="B2326" s="319">
        <v>20</v>
      </c>
      <c r="C2326" s="394" t="str">
        <f>IFERROR(VLOOKUP(A2326,[3]DOORSCRIEFT!$A$2:$G$8551,2,FALSE),"")</f>
        <v/>
      </c>
      <c r="D2326" s="393" t="str">
        <f>IFERROR(VLOOKUP(A2326,[3]DOORSCRIEFT!$A$2:$G$8551,3,FALSE),"")</f>
        <v/>
      </c>
      <c r="E2326" s="392" t="str">
        <f>IFERROR(VLOOKUP(A2326,[3]DOORSCRIEFT!$A$2:$G$8551,4,FALSE),"")</f>
        <v/>
      </c>
      <c r="F2326" s="405" t="str">
        <f>IFERROR(VLOOKUP(A2326,[3]DOORSCRIEFT!$A$2:$G$8551,6,FALSE),"")</f>
        <v/>
      </c>
      <c r="G2326" s="315"/>
    </row>
    <row r="2327" spans="1:7" x14ac:dyDescent="0.25">
      <c r="A2327" s="359" t="str">
        <f t="shared" si="67"/>
        <v>I.2.2.02.03521</v>
      </c>
      <c r="B2327" s="319">
        <v>21</v>
      </c>
      <c r="C2327" s="394" t="str">
        <f>IFERROR(VLOOKUP(A2327,[3]DOORSCRIEFT!$A$2:$G$8551,2,FALSE),"")</f>
        <v/>
      </c>
      <c r="D2327" s="393" t="str">
        <f>IFERROR(VLOOKUP(A2327,[3]DOORSCRIEFT!$A$2:$G$8551,3,FALSE),"")</f>
        <v/>
      </c>
      <c r="E2327" s="392" t="str">
        <f>IFERROR(VLOOKUP(A2327,[3]DOORSCRIEFT!$A$2:$G$8551,4,FALSE),"")</f>
        <v/>
      </c>
      <c r="F2327" s="405" t="str">
        <f>IFERROR(VLOOKUP(A2327,[3]DOORSCRIEFT!$A$2:$G$8551,6,FALSE),"")</f>
        <v/>
      </c>
      <c r="G2327" s="315"/>
    </row>
    <row r="2328" spans="1:7" x14ac:dyDescent="0.25">
      <c r="A2328" s="359" t="str">
        <f t="shared" si="67"/>
        <v>I.2.2.02.03522</v>
      </c>
      <c r="B2328" s="319">
        <v>22</v>
      </c>
      <c r="C2328" s="394" t="str">
        <f>IFERROR(VLOOKUP(A2328,[3]DOORSCRIEFT!$A$2:$G$8551,2,FALSE),"")</f>
        <v/>
      </c>
      <c r="D2328" s="393" t="str">
        <f>IFERROR(VLOOKUP(A2328,[3]DOORSCRIEFT!$A$2:$G$8551,3,FALSE),"")</f>
        <v/>
      </c>
      <c r="E2328" s="392" t="str">
        <f>IFERROR(VLOOKUP(A2328,[3]DOORSCRIEFT!$A$2:$G$8551,4,FALSE),"")</f>
        <v/>
      </c>
      <c r="F2328" s="405" t="str">
        <f>IFERROR(VLOOKUP(A2328,[3]DOORSCRIEFT!$A$2:$G$8551,6,FALSE),"")</f>
        <v/>
      </c>
      <c r="G2328" s="315"/>
    </row>
    <row r="2329" spans="1:7" x14ac:dyDescent="0.25">
      <c r="A2329" s="359" t="str">
        <f t="shared" si="67"/>
        <v>I.2.2.02.03523</v>
      </c>
      <c r="B2329" s="319">
        <v>23</v>
      </c>
      <c r="C2329" s="394" t="str">
        <f>IFERROR(VLOOKUP(A2329,[3]DOORSCRIEFT!$A$2:$G$8551,2,FALSE),"")</f>
        <v/>
      </c>
      <c r="D2329" s="393" t="str">
        <f>IFERROR(VLOOKUP(A2329,[3]DOORSCRIEFT!$A$2:$G$8551,3,FALSE),"")</f>
        <v/>
      </c>
      <c r="E2329" s="392" t="str">
        <f>IFERROR(VLOOKUP(A2329,[3]DOORSCRIEFT!$A$2:$G$8551,4,FALSE),"")</f>
        <v/>
      </c>
      <c r="F2329" s="405" t="str">
        <f>IFERROR(VLOOKUP(A2329,[3]DOORSCRIEFT!$A$2:$G$8551,6,FALSE),"")</f>
        <v/>
      </c>
      <c r="G2329" s="315"/>
    </row>
    <row r="2330" spans="1:7" x14ac:dyDescent="0.25">
      <c r="A2330" s="359" t="str">
        <f t="shared" si="67"/>
        <v>I.2.2.02.03524</v>
      </c>
      <c r="B2330" s="319">
        <v>24</v>
      </c>
      <c r="C2330" s="394" t="str">
        <f>IFERROR(VLOOKUP(A2330,[3]DOORSCRIEFT!$A$2:$G$8551,2,FALSE),"")</f>
        <v/>
      </c>
      <c r="D2330" s="393" t="str">
        <f>IFERROR(VLOOKUP(A2330,[3]DOORSCRIEFT!$A$2:$G$8551,3,FALSE),"")</f>
        <v/>
      </c>
      <c r="E2330" s="392" t="str">
        <f>IFERROR(VLOOKUP(A2330,[3]DOORSCRIEFT!$A$2:$G$8551,4,FALSE),"")</f>
        <v/>
      </c>
      <c r="F2330" s="405" t="str">
        <f>IFERROR(VLOOKUP(A2330,[3]DOORSCRIEFT!$A$2:$G$8551,6,FALSE),"")</f>
        <v/>
      </c>
      <c r="G2330" s="315"/>
    </row>
    <row r="2331" spans="1:7" x14ac:dyDescent="0.25">
      <c r="A2331" s="359" t="str">
        <f t="shared" si="67"/>
        <v>I.2.2.02.03525</v>
      </c>
      <c r="B2331" s="319">
        <v>25</v>
      </c>
      <c r="C2331" s="394" t="str">
        <f>IFERROR(VLOOKUP(A2331,[3]DOORSCRIEFT!$A$2:$G$8551,2,FALSE),"")</f>
        <v/>
      </c>
      <c r="D2331" s="393" t="str">
        <f>IFERROR(VLOOKUP(A2331,[3]DOORSCRIEFT!$A$2:$G$8551,3,FALSE),"")</f>
        <v/>
      </c>
      <c r="E2331" s="392" t="str">
        <f>IFERROR(VLOOKUP(A2331,[3]DOORSCRIEFT!$A$2:$G$8551,4,FALSE),"")</f>
        <v/>
      </c>
      <c r="F2331" s="405" t="str">
        <f>IFERROR(VLOOKUP(A2331,[3]DOORSCRIEFT!$A$2:$G$8551,6,FALSE),"")</f>
        <v/>
      </c>
      <c r="G2331" s="315"/>
    </row>
    <row r="2332" spans="1:7" x14ac:dyDescent="0.25">
      <c r="A2332" s="359" t="str">
        <f t="shared" si="67"/>
        <v>I.2.2.02.03526</v>
      </c>
      <c r="B2332" s="319">
        <v>26</v>
      </c>
      <c r="C2332" s="394" t="str">
        <f>IFERROR(VLOOKUP(A2332,[3]DOORSCRIEFT!$A$2:$G$8551,2,FALSE),"")</f>
        <v/>
      </c>
      <c r="D2332" s="393" t="str">
        <f>IFERROR(VLOOKUP(A2332,[3]DOORSCRIEFT!$A$2:$G$8551,3,FALSE),"")</f>
        <v/>
      </c>
      <c r="E2332" s="392" t="str">
        <f>IFERROR(VLOOKUP(A2332,[3]DOORSCRIEFT!$A$2:$G$8551,4,FALSE),"")</f>
        <v/>
      </c>
      <c r="F2332" s="405" t="str">
        <f>IFERROR(VLOOKUP(A2332,[3]DOORSCRIEFT!$A$2:$G$8551,6,FALSE),"")</f>
        <v/>
      </c>
      <c r="G2332" s="315"/>
    </row>
    <row r="2333" spans="1:7" x14ac:dyDescent="0.25">
      <c r="A2333" s="359" t="str">
        <f t="shared" si="67"/>
        <v>I.2.2.02.03527</v>
      </c>
      <c r="B2333" s="319">
        <v>27</v>
      </c>
      <c r="C2333" s="394" t="str">
        <f>IFERROR(VLOOKUP(A2333,[3]DOORSCRIEFT!$A$2:$G$8551,2,FALSE),"")</f>
        <v/>
      </c>
      <c r="D2333" s="393" t="str">
        <f>IFERROR(VLOOKUP(A2333,[3]DOORSCRIEFT!$A$2:$G$8551,3,FALSE),"")</f>
        <v/>
      </c>
      <c r="E2333" s="392" t="str">
        <f>IFERROR(VLOOKUP(A2333,[3]DOORSCRIEFT!$A$2:$G$8551,4,FALSE),"")</f>
        <v/>
      </c>
      <c r="F2333" s="405" t="str">
        <f>IFERROR(VLOOKUP(A2333,[3]DOORSCRIEFT!$A$2:$G$8551,6,FALSE),"")</f>
        <v/>
      </c>
      <c r="G2333" s="315"/>
    </row>
    <row r="2334" spans="1:7" x14ac:dyDescent="0.25">
      <c r="A2334" s="359" t="str">
        <f t="shared" si="67"/>
        <v>I.2.2.02.03528</v>
      </c>
      <c r="B2334" s="319">
        <v>28</v>
      </c>
      <c r="C2334" s="394" t="str">
        <f>IFERROR(VLOOKUP(A2334,[3]DOORSCRIEFT!$A$2:$G$8551,2,FALSE),"")</f>
        <v/>
      </c>
      <c r="D2334" s="393" t="str">
        <f>IFERROR(VLOOKUP(A2334,[3]DOORSCRIEFT!$A$2:$G$8551,3,FALSE),"")</f>
        <v/>
      </c>
      <c r="E2334" s="392" t="str">
        <f>IFERROR(VLOOKUP(A2334,[3]DOORSCRIEFT!$A$2:$G$8551,4,FALSE),"")</f>
        <v/>
      </c>
      <c r="F2334" s="405" t="str">
        <f>IFERROR(VLOOKUP(A2334,[3]DOORSCRIEFT!$A$2:$G$8551,6,FALSE),"")</f>
        <v/>
      </c>
      <c r="G2334" s="315"/>
    </row>
    <row r="2335" spans="1:7" x14ac:dyDescent="0.25">
      <c r="A2335" s="359" t="str">
        <f t="shared" si="67"/>
        <v>I.2.2.02.03529</v>
      </c>
      <c r="B2335" s="319">
        <v>29</v>
      </c>
      <c r="C2335" s="394" t="str">
        <f>IFERROR(VLOOKUP(A2335,[3]DOORSCRIEFT!$A$2:$G$8551,2,FALSE),"")</f>
        <v/>
      </c>
      <c r="D2335" s="393" t="str">
        <f>IFERROR(VLOOKUP(A2335,[3]DOORSCRIEFT!$A$2:$G$8551,3,FALSE),"")</f>
        <v/>
      </c>
      <c r="E2335" s="392" t="str">
        <f>IFERROR(VLOOKUP(A2335,[3]DOORSCRIEFT!$A$2:$G$8551,4,FALSE),"")</f>
        <v/>
      </c>
      <c r="F2335" s="405" t="str">
        <f>IFERROR(VLOOKUP(A2335,[3]DOORSCRIEFT!$A$2:$G$8551,6,FALSE),"")</f>
        <v/>
      </c>
      <c r="G2335" s="315"/>
    </row>
    <row r="2336" spans="1:7" x14ac:dyDescent="0.25">
      <c r="A2336" s="359" t="str">
        <f t="shared" si="67"/>
        <v>I.2.2.02.03530</v>
      </c>
      <c r="B2336" s="319">
        <v>30</v>
      </c>
      <c r="C2336" s="394" t="str">
        <f>IFERROR(VLOOKUP(A2336,[3]DOORSCRIEFT!$A$2:$G$8551,2,FALSE),"")</f>
        <v/>
      </c>
      <c r="D2336" s="393" t="str">
        <f>IFERROR(VLOOKUP(A2336,[3]DOORSCRIEFT!$A$2:$G$8551,3,FALSE),"")</f>
        <v/>
      </c>
      <c r="E2336" s="392" t="str">
        <f>IFERROR(VLOOKUP(A2336,[3]DOORSCRIEFT!$A$2:$G$8551,4,FALSE),"")</f>
        <v/>
      </c>
      <c r="F2336" s="405" t="str">
        <f>IFERROR(VLOOKUP(A2336,[3]DOORSCRIEFT!$A$2:$G$8551,6,FALSE),"")</f>
        <v/>
      </c>
      <c r="G2336" s="315"/>
    </row>
    <row r="2337" spans="1:7" x14ac:dyDescent="0.25">
      <c r="A2337" s="359" t="str">
        <f t="shared" si="67"/>
        <v>I.2.2.02.03531</v>
      </c>
      <c r="B2337" s="319">
        <v>31</v>
      </c>
      <c r="C2337" s="394" t="str">
        <f>IFERROR(VLOOKUP(A2337,[3]DOORSCRIEFT!$A$2:$G$8551,2,FALSE),"")</f>
        <v/>
      </c>
      <c r="D2337" s="393" t="str">
        <f>IFERROR(VLOOKUP(A2337,[3]DOORSCRIEFT!$A$2:$G$8551,3,FALSE),"")</f>
        <v/>
      </c>
      <c r="E2337" s="392" t="str">
        <f>IFERROR(VLOOKUP(A2337,[3]DOORSCRIEFT!$A$2:$G$8551,4,FALSE),"")</f>
        <v/>
      </c>
      <c r="F2337" s="405" t="str">
        <f>IFERROR(VLOOKUP(A2337,[3]DOORSCRIEFT!$A$2:$G$8551,6,FALSE),"")</f>
        <v/>
      </c>
      <c r="G2337" s="315"/>
    </row>
    <row r="2338" spans="1:7" x14ac:dyDescent="0.25">
      <c r="A2338" s="359" t="str">
        <f t="shared" si="67"/>
        <v>I.2.2.02.03532</v>
      </c>
      <c r="B2338" s="319">
        <v>32</v>
      </c>
      <c r="C2338" s="394" t="str">
        <f>IFERROR(VLOOKUP(A2338,[3]DOORSCRIEFT!$A$2:$G$8551,2,FALSE),"")</f>
        <v/>
      </c>
      <c r="D2338" s="393" t="str">
        <f>IFERROR(VLOOKUP(A2338,[3]DOORSCRIEFT!$A$2:$G$8551,3,FALSE),"")</f>
        <v/>
      </c>
      <c r="E2338" s="392" t="str">
        <f>IFERROR(VLOOKUP(A2338,[3]DOORSCRIEFT!$A$2:$G$8551,4,FALSE),"")</f>
        <v/>
      </c>
      <c r="F2338" s="405" t="str">
        <f>IFERROR(VLOOKUP(A2338,[3]DOORSCRIEFT!$A$2:$G$8551,6,FALSE),"")</f>
        <v/>
      </c>
      <c r="G2338" s="315"/>
    </row>
    <row r="2339" spans="1:7" x14ac:dyDescent="0.25">
      <c r="A2339" s="359" t="str">
        <f t="shared" ref="A2339:A2370" si="68">$G$2300&amp;B2339</f>
        <v>I.2.2.02.03533</v>
      </c>
      <c r="B2339" s="319">
        <v>33</v>
      </c>
      <c r="C2339" s="394" t="str">
        <f>IFERROR(VLOOKUP(A2339,[3]DOORSCRIEFT!$A$2:$G$8551,2,FALSE),"")</f>
        <v/>
      </c>
      <c r="D2339" s="393" t="str">
        <f>IFERROR(VLOOKUP(A2339,[3]DOORSCRIEFT!$A$2:$G$8551,3,FALSE),"")</f>
        <v/>
      </c>
      <c r="E2339" s="392" t="str">
        <f>IFERROR(VLOOKUP(A2339,[3]DOORSCRIEFT!$A$2:$G$8551,4,FALSE),"")</f>
        <v/>
      </c>
      <c r="F2339" s="405" t="str">
        <f>IFERROR(VLOOKUP(A2339,[3]DOORSCRIEFT!$A$2:$G$8551,6,FALSE),"")</f>
        <v/>
      </c>
      <c r="G2339" s="315"/>
    </row>
    <row r="2340" spans="1:7" x14ac:dyDescent="0.25">
      <c r="A2340" s="359" t="str">
        <f t="shared" si="68"/>
        <v>I.2.2.02.03534</v>
      </c>
      <c r="B2340" s="319">
        <v>34</v>
      </c>
      <c r="C2340" s="394" t="str">
        <f>IFERROR(VLOOKUP(A2340,[3]DOORSCRIEFT!$A$2:$G$8551,2,FALSE),"")</f>
        <v/>
      </c>
      <c r="D2340" s="393" t="str">
        <f>IFERROR(VLOOKUP(A2340,[3]DOORSCRIEFT!$A$2:$G$8551,3,FALSE),"")</f>
        <v/>
      </c>
      <c r="E2340" s="392" t="str">
        <f>IFERROR(VLOOKUP(A2340,[3]DOORSCRIEFT!$A$2:$G$8551,4,FALSE),"")</f>
        <v/>
      </c>
      <c r="F2340" s="405" t="str">
        <f>IFERROR(VLOOKUP(A2340,[3]DOORSCRIEFT!$A$2:$G$8551,6,FALSE),"")</f>
        <v/>
      </c>
      <c r="G2340" s="315"/>
    </row>
    <row r="2341" spans="1:7" x14ac:dyDescent="0.25">
      <c r="A2341" s="359" t="str">
        <f t="shared" si="68"/>
        <v>I.2.2.02.03535</v>
      </c>
      <c r="B2341" s="319">
        <v>35</v>
      </c>
      <c r="C2341" s="394" t="str">
        <f>IFERROR(VLOOKUP(A2341,[3]DOORSCRIEFT!$A$2:$G$8551,2,FALSE),"")</f>
        <v/>
      </c>
      <c r="D2341" s="393" t="str">
        <f>IFERROR(VLOOKUP(A2341,[3]DOORSCRIEFT!$A$2:$G$8551,3,FALSE),"")</f>
        <v/>
      </c>
      <c r="E2341" s="392" t="str">
        <f>IFERROR(VLOOKUP(A2341,[3]DOORSCRIEFT!$A$2:$G$8551,4,FALSE),"")</f>
        <v/>
      </c>
      <c r="F2341" s="405" t="str">
        <f>IFERROR(VLOOKUP(A2341,[3]DOORSCRIEFT!$A$2:$G$8551,6,FALSE),"")</f>
        <v/>
      </c>
      <c r="G2341" s="315"/>
    </row>
    <row r="2342" spans="1:7" x14ac:dyDescent="0.25">
      <c r="A2342" s="359" t="str">
        <f t="shared" si="68"/>
        <v>I.2.2.02.03536</v>
      </c>
      <c r="B2342" s="319">
        <v>36</v>
      </c>
      <c r="C2342" s="394" t="str">
        <f>IFERROR(VLOOKUP(A2342,[3]DOORSCRIEFT!$A$2:$G$8551,2,FALSE),"")</f>
        <v/>
      </c>
      <c r="D2342" s="393" t="str">
        <f>IFERROR(VLOOKUP(A2342,[3]DOORSCRIEFT!$A$2:$G$8551,3,FALSE),"")</f>
        <v/>
      </c>
      <c r="E2342" s="392" t="str">
        <f>IFERROR(VLOOKUP(A2342,[3]DOORSCRIEFT!$A$2:$G$8551,4,FALSE),"")</f>
        <v/>
      </c>
      <c r="F2342" s="405" t="str">
        <f>IFERROR(VLOOKUP(A2342,[3]DOORSCRIEFT!$A$2:$G$8551,6,FALSE),"")</f>
        <v/>
      </c>
      <c r="G2342" s="315"/>
    </row>
    <row r="2343" spans="1:7" x14ac:dyDescent="0.25">
      <c r="A2343" s="359" t="str">
        <f t="shared" si="68"/>
        <v>I.2.2.02.03537</v>
      </c>
      <c r="B2343" s="319">
        <v>37</v>
      </c>
      <c r="C2343" s="394" t="str">
        <f>IFERROR(VLOOKUP(A2343,[3]DOORSCRIEFT!$A$2:$G$8551,2,FALSE),"")</f>
        <v/>
      </c>
      <c r="D2343" s="393" t="str">
        <f>IFERROR(VLOOKUP(A2343,[3]DOORSCRIEFT!$A$2:$G$8551,3,FALSE),"")</f>
        <v/>
      </c>
      <c r="E2343" s="392" t="str">
        <f>IFERROR(VLOOKUP(A2343,[3]DOORSCRIEFT!$A$2:$G$8551,4,FALSE),"")</f>
        <v/>
      </c>
      <c r="F2343" s="405" t="str">
        <f>IFERROR(VLOOKUP(A2343,[3]DOORSCRIEFT!$A$2:$G$8551,6,FALSE),"")</f>
        <v/>
      </c>
      <c r="G2343" s="315"/>
    </row>
    <row r="2344" spans="1:7" x14ac:dyDescent="0.25">
      <c r="A2344" s="359" t="str">
        <f t="shared" si="68"/>
        <v>I.2.2.02.03538</v>
      </c>
      <c r="B2344" s="319">
        <v>38</v>
      </c>
      <c r="C2344" s="394" t="str">
        <f>IFERROR(VLOOKUP(A2344,[3]DOORSCRIEFT!$A$2:$G$8551,2,FALSE),"")</f>
        <v/>
      </c>
      <c r="D2344" s="393" t="str">
        <f>IFERROR(VLOOKUP(A2344,[3]DOORSCRIEFT!$A$2:$G$8551,3,FALSE),"")</f>
        <v/>
      </c>
      <c r="E2344" s="392" t="str">
        <f>IFERROR(VLOOKUP(A2344,[3]DOORSCRIEFT!$A$2:$G$8551,4,FALSE),"")</f>
        <v/>
      </c>
      <c r="F2344" s="405" t="str">
        <f>IFERROR(VLOOKUP(A2344,[3]DOORSCRIEFT!$A$2:$G$8551,6,FALSE),"")</f>
        <v/>
      </c>
      <c r="G2344" s="315"/>
    </row>
    <row r="2345" spans="1:7" x14ac:dyDescent="0.25">
      <c r="A2345" s="359" t="str">
        <f t="shared" si="68"/>
        <v>I.2.2.02.03539</v>
      </c>
      <c r="B2345" s="319">
        <v>39</v>
      </c>
      <c r="C2345" s="394" t="str">
        <f>IFERROR(VLOOKUP(A2345,[3]DOORSCRIEFT!$A$2:$G$8551,2,FALSE),"")</f>
        <v/>
      </c>
      <c r="D2345" s="393" t="str">
        <f>IFERROR(VLOOKUP(A2345,[3]DOORSCRIEFT!$A$2:$G$8551,3,FALSE),"")</f>
        <v/>
      </c>
      <c r="E2345" s="392" t="str">
        <f>IFERROR(VLOOKUP(A2345,[3]DOORSCRIEFT!$A$2:$G$8551,4,FALSE),"")</f>
        <v/>
      </c>
      <c r="F2345" s="405" t="str">
        <f>IFERROR(VLOOKUP(A2345,[3]DOORSCRIEFT!$A$2:$G$8551,6,FALSE),"")</f>
        <v/>
      </c>
      <c r="G2345" s="315"/>
    </row>
    <row r="2346" spans="1:7" x14ac:dyDescent="0.25">
      <c r="A2346" s="359" t="str">
        <f t="shared" si="68"/>
        <v>I.2.2.02.03540</v>
      </c>
      <c r="B2346" s="319">
        <v>40</v>
      </c>
      <c r="C2346" s="394" t="str">
        <f>IFERROR(VLOOKUP(A2346,[3]DOORSCRIEFT!$A$2:$G$8551,2,FALSE),"")</f>
        <v/>
      </c>
      <c r="D2346" s="393" t="str">
        <f>IFERROR(VLOOKUP(A2346,[3]DOORSCRIEFT!$A$2:$G$8551,3,FALSE),"")</f>
        <v/>
      </c>
      <c r="E2346" s="392" t="str">
        <f>IFERROR(VLOOKUP(A2346,[3]DOORSCRIEFT!$A$2:$G$8551,4,FALSE),"")</f>
        <v/>
      </c>
      <c r="F2346" s="405" t="str">
        <f>IFERROR(VLOOKUP(A2346,[3]DOORSCRIEFT!$A$2:$G$8551,6,FALSE),"")</f>
        <v/>
      </c>
      <c r="G2346" s="315"/>
    </row>
    <row r="2347" spans="1:7" x14ac:dyDescent="0.25">
      <c r="A2347" s="359" t="str">
        <f t="shared" si="68"/>
        <v>I.2.2.02.03541</v>
      </c>
      <c r="B2347" s="319">
        <v>41</v>
      </c>
      <c r="C2347" s="394" t="str">
        <f>IFERROR(VLOOKUP(A2347,[3]DOORSCRIEFT!$A$2:$G$8551,2,FALSE),"")</f>
        <v/>
      </c>
      <c r="D2347" s="393" t="str">
        <f>IFERROR(VLOOKUP(A2347,[3]DOORSCRIEFT!$A$2:$G$8551,3,FALSE),"")</f>
        <v/>
      </c>
      <c r="E2347" s="392" t="str">
        <f>IFERROR(VLOOKUP(A2347,[3]DOORSCRIEFT!$A$2:$G$8551,4,FALSE),"")</f>
        <v/>
      </c>
      <c r="F2347" s="405" t="str">
        <f>IFERROR(VLOOKUP(A2347,[3]DOORSCRIEFT!$A$2:$G$8551,6,FALSE),"")</f>
        <v/>
      </c>
      <c r="G2347" s="315"/>
    </row>
    <row r="2348" spans="1:7" x14ac:dyDescent="0.25">
      <c r="A2348" s="359" t="str">
        <f t="shared" si="68"/>
        <v>I.2.2.02.03542</v>
      </c>
      <c r="B2348" s="319">
        <v>42</v>
      </c>
      <c r="C2348" s="394" t="str">
        <f>IFERROR(VLOOKUP(A2348,[3]DOORSCRIEFT!$A$2:$G$8551,2,FALSE),"")</f>
        <v/>
      </c>
      <c r="D2348" s="393" t="str">
        <f>IFERROR(VLOOKUP(A2348,[3]DOORSCRIEFT!$A$2:$G$8551,3,FALSE),"")</f>
        <v/>
      </c>
      <c r="E2348" s="392" t="str">
        <f>IFERROR(VLOOKUP(A2348,[3]DOORSCRIEFT!$A$2:$G$8551,4,FALSE),"")</f>
        <v/>
      </c>
      <c r="F2348" s="405" t="str">
        <f>IFERROR(VLOOKUP(A2348,[3]DOORSCRIEFT!$A$2:$G$8551,6,FALSE),"")</f>
        <v/>
      </c>
      <c r="G2348" s="315"/>
    </row>
    <row r="2349" spans="1:7" x14ac:dyDescent="0.25">
      <c r="A2349" s="359" t="str">
        <f t="shared" si="68"/>
        <v>I.2.2.02.03543</v>
      </c>
      <c r="B2349" s="319">
        <v>43</v>
      </c>
      <c r="C2349" s="394" t="str">
        <f>IFERROR(VLOOKUP(A2349,[3]DOORSCRIEFT!$A$2:$G$8551,2,FALSE),"")</f>
        <v/>
      </c>
      <c r="D2349" s="393" t="str">
        <f>IFERROR(VLOOKUP(A2349,[3]DOORSCRIEFT!$A$2:$G$8551,3,FALSE),"")</f>
        <v/>
      </c>
      <c r="E2349" s="392" t="str">
        <f>IFERROR(VLOOKUP(A2349,[3]DOORSCRIEFT!$A$2:$G$8551,4,FALSE),"")</f>
        <v/>
      </c>
      <c r="F2349" s="405" t="str">
        <f>IFERROR(VLOOKUP(A2349,[3]DOORSCRIEFT!$A$2:$G$8551,6,FALSE),"")</f>
        <v/>
      </c>
      <c r="G2349" s="315"/>
    </row>
    <row r="2350" spans="1:7" x14ac:dyDescent="0.25">
      <c r="A2350" s="359" t="str">
        <f t="shared" si="68"/>
        <v>I.2.2.02.03544</v>
      </c>
      <c r="B2350" s="319">
        <v>44</v>
      </c>
      <c r="C2350" s="394" t="str">
        <f>IFERROR(VLOOKUP(A2350,[3]DOORSCRIEFT!$A$2:$G$8551,2,FALSE),"")</f>
        <v/>
      </c>
      <c r="D2350" s="393" t="str">
        <f>IFERROR(VLOOKUP(A2350,[3]DOORSCRIEFT!$A$2:$G$8551,3,FALSE),"")</f>
        <v/>
      </c>
      <c r="E2350" s="392" t="str">
        <f>IFERROR(VLOOKUP(A2350,[3]DOORSCRIEFT!$A$2:$G$8551,4,FALSE),"")</f>
        <v/>
      </c>
      <c r="F2350" s="405" t="str">
        <f>IFERROR(VLOOKUP(A2350,[3]DOORSCRIEFT!$A$2:$G$8551,6,FALSE),"")</f>
        <v/>
      </c>
      <c r="G2350" s="315"/>
    </row>
    <row r="2351" spans="1:7" x14ac:dyDescent="0.25">
      <c r="A2351" s="359" t="str">
        <f t="shared" si="68"/>
        <v>I.2.2.02.03545</v>
      </c>
      <c r="B2351" s="319">
        <v>45</v>
      </c>
      <c r="C2351" s="394" t="str">
        <f>IFERROR(VLOOKUP(A2351,[3]DOORSCRIEFT!$A$2:$G$8551,2,FALSE),"")</f>
        <v/>
      </c>
      <c r="D2351" s="393" t="str">
        <f>IFERROR(VLOOKUP(A2351,[3]DOORSCRIEFT!$A$2:$G$8551,3,FALSE),"")</f>
        <v/>
      </c>
      <c r="E2351" s="392" t="str">
        <f>IFERROR(VLOOKUP(A2351,[3]DOORSCRIEFT!$A$2:$G$8551,4,FALSE),"")</f>
        <v/>
      </c>
      <c r="F2351" s="405" t="str">
        <f>IFERROR(VLOOKUP(A2351,[3]DOORSCRIEFT!$A$2:$G$8551,6,FALSE),"")</f>
        <v/>
      </c>
      <c r="G2351" s="315"/>
    </row>
    <row r="2352" spans="1:7" x14ac:dyDescent="0.25">
      <c r="A2352" s="359" t="str">
        <f t="shared" si="68"/>
        <v>I.2.2.02.03546</v>
      </c>
      <c r="B2352" s="319">
        <v>46</v>
      </c>
      <c r="C2352" s="394" t="str">
        <f>IFERROR(VLOOKUP(A2352,[3]DOORSCRIEFT!$A$2:$G$8551,2,FALSE),"")</f>
        <v/>
      </c>
      <c r="D2352" s="393" t="str">
        <f>IFERROR(VLOOKUP(A2352,[3]DOORSCRIEFT!$A$2:$G$8551,3,FALSE),"")</f>
        <v/>
      </c>
      <c r="E2352" s="392" t="str">
        <f>IFERROR(VLOOKUP(A2352,[3]DOORSCRIEFT!$A$2:$G$8551,4,FALSE),"")</f>
        <v/>
      </c>
      <c r="F2352" s="405" t="str">
        <f>IFERROR(VLOOKUP(A2352,[3]DOORSCRIEFT!$A$2:$G$8551,6,FALSE),"")</f>
        <v/>
      </c>
      <c r="G2352" s="315"/>
    </row>
    <row r="2353" spans="1:7" x14ac:dyDescent="0.25">
      <c r="A2353" s="359" t="str">
        <f t="shared" si="68"/>
        <v>I.2.2.02.03547</v>
      </c>
      <c r="B2353" s="319">
        <v>47</v>
      </c>
      <c r="C2353" s="394" t="str">
        <f>IFERROR(VLOOKUP(A2353,[3]DOORSCRIEFT!$A$2:$G$8551,2,FALSE),"")</f>
        <v/>
      </c>
      <c r="D2353" s="393" t="str">
        <f>IFERROR(VLOOKUP(A2353,[3]DOORSCRIEFT!$A$2:$G$8551,3,FALSE),"")</f>
        <v/>
      </c>
      <c r="E2353" s="392" t="str">
        <f>IFERROR(VLOOKUP(A2353,[3]DOORSCRIEFT!$A$2:$G$8551,4,FALSE),"")</f>
        <v/>
      </c>
      <c r="F2353" s="405" t="str">
        <f>IFERROR(VLOOKUP(A2353,[3]DOORSCRIEFT!$A$2:$G$8551,6,FALSE),"")</f>
        <v/>
      </c>
      <c r="G2353" s="315"/>
    </row>
    <row r="2354" spans="1:7" x14ac:dyDescent="0.25">
      <c r="A2354" s="359" t="str">
        <f t="shared" si="68"/>
        <v>I.2.2.02.03548</v>
      </c>
      <c r="B2354" s="319">
        <v>48</v>
      </c>
      <c r="C2354" s="394" t="str">
        <f>IFERROR(VLOOKUP(A2354,[3]DOORSCRIEFT!$A$2:$G$8551,2,FALSE),"")</f>
        <v/>
      </c>
      <c r="D2354" s="393" t="str">
        <f>IFERROR(VLOOKUP(A2354,[3]DOORSCRIEFT!$A$2:$G$8551,3,FALSE),"")</f>
        <v/>
      </c>
      <c r="E2354" s="392" t="str">
        <f>IFERROR(VLOOKUP(A2354,[3]DOORSCRIEFT!$A$2:$G$8551,4,FALSE),"")</f>
        <v/>
      </c>
      <c r="F2354" s="405" t="str">
        <f>IFERROR(VLOOKUP(A2354,[3]DOORSCRIEFT!$A$2:$G$8551,6,FALSE),"")</f>
        <v/>
      </c>
      <c r="G2354" s="315"/>
    </row>
    <row r="2355" spans="1:7" x14ac:dyDescent="0.25">
      <c r="A2355" s="359" t="str">
        <f t="shared" si="68"/>
        <v>I.2.2.02.03549</v>
      </c>
      <c r="B2355" s="319">
        <v>49</v>
      </c>
      <c r="C2355" s="394" t="str">
        <f>IFERROR(VLOOKUP(A2355,[3]DOORSCRIEFT!$A$2:$G$8551,2,FALSE),"")</f>
        <v/>
      </c>
      <c r="D2355" s="393" t="str">
        <f>IFERROR(VLOOKUP(A2355,[3]DOORSCRIEFT!$A$2:$G$8551,3,FALSE),"")</f>
        <v/>
      </c>
      <c r="E2355" s="392" t="str">
        <f>IFERROR(VLOOKUP(A2355,[3]DOORSCRIEFT!$A$2:$G$8551,4,FALSE),"")</f>
        <v/>
      </c>
      <c r="F2355" s="405" t="str">
        <f>IFERROR(VLOOKUP(A2355,[3]DOORSCRIEFT!$A$2:$G$8551,6,FALSE),"")</f>
        <v/>
      </c>
      <c r="G2355" s="315"/>
    </row>
    <row r="2356" spans="1:7" x14ac:dyDescent="0.25">
      <c r="A2356" s="359" t="str">
        <f t="shared" si="68"/>
        <v>I.2.2.02.03550</v>
      </c>
      <c r="B2356" s="319">
        <v>50</v>
      </c>
      <c r="C2356" s="394" t="str">
        <f>IFERROR(VLOOKUP(A2356,[3]DOORSCRIEFT!$A$2:$G$8551,2,FALSE),"")</f>
        <v/>
      </c>
      <c r="D2356" s="393" t="str">
        <f>IFERROR(VLOOKUP(A2356,[3]DOORSCRIEFT!$A$2:$G$8551,3,FALSE),"")</f>
        <v/>
      </c>
      <c r="E2356" s="392" t="str">
        <f>IFERROR(VLOOKUP(A2356,[3]DOORSCRIEFT!$A$2:$G$8551,4,FALSE),"")</f>
        <v/>
      </c>
      <c r="F2356" s="405" t="str">
        <f>IFERROR(VLOOKUP(A2356,[3]DOORSCRIEFT!$A$2:$G$8551,6,FALSE),"")</f>
        <v/>
      </c>
      <c r="G2356" s="315"/>
    </row>
    <row r="2357" spans="1:7" x14ac:dyDescent="0.25">
      <c r="A2357" s="359" t="str">
        <f t="shared" si="68"/>
        <v>I.2.2.02.03551</v>
      </c>
      <c r="B2357" s="319">
        <v>51</v>
      </c>
      <c r="C2357" s="394" t="str">
        <f>IFERROR(VLOOKUP(A2357,[3]DOORSCRIEFT!$A$2:$G$8551,2,FALSE),"")</f>
        <v/>
      </c>
      <c r="D2357" s="393" t="str">
        <f>IFERROR(VLOOKUP(A2357,[3]DOORSCRIEFT!$A$2:$G$8551,3,FALSE),"")</f>
        <v/>
      </c>
      <c r="E2357" s="392" t="str">
        <f>IFERROR(VLOOKUP(A2357,[3]DOORSCRIEFT!$A$2:$G$8551,4,FALSE),"")</f>
        <v/>
      </c>
      <c r="F2357" s="405" t="str">
        <f>IFERROR(VLOOKUP(A2357,[3]DOORSCRIEFT!$A$2:$G$8551,6,FALSE),"")</f>
        <v/>
      </c>
      <c r="G2357" s="315"/>
    </row>
    <row r="2358" spans="1:7" x14ac:dyDescent="0.25">
      <c r="A2358" s="359" t="str">
        <f t="shared" si="68"/>
        <v>I.2.2.02.03552</v>
      </c>
      <c r="B2358" s="319">
        <v>52</v>
      </c>
      <c r="C2358" s="394" t="str">
        <f>IFERROR(VLOOKUP(A2358,[3]DOORSCRIEFT!$A$2:$G$8551,2,FALSE),"")</f>
        <v/>
      </c>
      <c r="D2358" s="393" t="str">
        <f>IFERROR(VLOOKUP(A2358,[3]DOORSCRIEFT!$A$2:$G$8551,3,FALSE),"")</f>
        <v/>
      </c>
      <c r="E2358" s="392" t="str">
        <f>IFERROR(VLOOKUP(A2358,[3]DOORSCRIEFT!$A$2:$G$8551,4,FALSE),"")</f>
        <v/>
      </c>
      <c r="F2358" s="405" t="str">
        <f>IFERROR(VLOOKUP(A2358,[3]DOORSCRIEFT!$A$2:$G$8551,6,FALSE),"")</f>
        <v/>
      </c>
      <c r="G2358" s="315"/>
    </row>
    <row r="2359" spans="1:7" x14ac:dyDescent="0.25">
      <c r="A2359" s="359" t="str">
        <f t="shared" si="68"/>
        <v>I.2.2.02.03553</v>
      </c>
      <c r="B2359" s="319">
        <v>53</v>
      </c>
      <c r="C2359" s="394" t="str">
        <f>IFERROR(VLOOKUP(A2359,[3]DOORSCRIEFT!$A$2:$G$8551,2,FALSE),"")</f>
        <v/>
      </c>
      <c r="D2359" s="393" t="str">
        <f>IFERROR(VLOOKUP(A2359,[3]DOORSCRIEFT!$A$2:$G$8551,3,FALSE),"")</f>
        <v/>
      </c>
      <c r="E2359" s="392" t="str">
        <f>IFERROR(VLOOKUP(A2359,[3]DOORSCRIEFT!$A$2:$G$8551,4,FALSE),"")</f>
        <v/>
      </c>
      <c r="F2359" s="405" t="str">
        <f>IFERROR(VLOOKUP(A2359,[3]DOORSCRIEFT!$A$2:$G$8551,6,FALSE),"")</f>
        <v/>
      </c>
      <c r="G2359" s="315"/>
    </row>
    <row r="2360" spans="1:7" x14ac:dyDescent="0.25">
      <c r="A2360" s="359" t="str">
        <f t="shared" si="68"/>
        <v>I.2.2.02.03554</v>
      </c>
      <c r="B2360" s="319">
        <v>54</v>
      </c>
      <c r="C2360" s="394" t="str">
        <f>IFERROR(VLOOKUP(A2360,[3]DOORSCRIEFT!$A$2:$G$8551,2,FALSE),"")</f>
        <v/>
      </c>
      <c r="D2360" s="393" t="str">
        <f>IFERROR(VLOOKUP(A2360,[3]DOORSCRIEFT!$A$2:$G$8551,3,FALSE),"")</f>
        <v/>
      </c>
      <c r="E2360" s="392" t="str">
        <f>IFERROR(VLOOKUP(A2360,[3]DOORSCRIEFT!$A$2:$G$8551,4,FALSE),"")</f>
        <v/>
      </c>
      <c r="F2360" s="405" t="str">
        <f>IFERROR(VLOOKUP(A2360,[3]DOORSCRIEFT!$A$2:$G$8551,6,FALSE),"")</f>
        <v/>
      </c>
      <c r="G2360" s="315"/>
    </row>
    <row r="2361" spans="1:7" x14ac:dyDescent="0.25">
      <c r="A2361" s="359" t="str">
        <f t="shared" si="68"/>
        <v>I.2.2.02.03555</v>
      </c>
      <c r="B2361" s="319">
        <v>55</v>
      </c>
      <c r="C2361" s="394" t="str">
        <f>IFERROR(VLOOKUP(A2361,[3]DOORSCRIEFT!$A$2:$G$8551,2,FALSE),"")</f>
        <v/>
      </c>
      <c r="D2361" s="393" t="str">
        <f>IFERROR(VLOOKUP(A2361,[3]DOORSCRIEFT!$A$2:$G$8551,3,FALSE),"")</f>
        <v/>
      </c>
      <c r="E2361" s="392" t="str">
        <f>IFERROR(VLOOKUP(A2361,[3]DOORSCRIEFT!$A$2:$G$8551,4,FALSE),"")</f>
        <v/>
      </c>
      <c r="F2361" s="405" t="str">
        <f>IFERROR(VLOOKUP(A2361,[3]DOORSCRIEFT!$A$2:$G$8551,6,FALSE),"")</f>
        <v/>
      </c>
      <c r="G2361" s="315"/>
    </row>
    <row r="2362" spans="1:7" x14ac:dyDescent="0.25">
      <c r="A2362" s="359" t="str">
        <f t="shared" si="68"/>
        <v>I.2.2.02.03556</v>
      </c>
      <c r="B2362" s="319">
        <v>56</v>
      </c>
      <c r="C2362" s="394" t="str">
        <f>IFERROR(VLOOKUP(A2362,[3]DOORSCRIEFT!$A$2:$G$8551,2,FALSE),"")</f>
        <v/>
      </c>
      <c r="D2362" s="393" t="str">
        <f>IFERROR(VLOOKUP(A2362,[3]DOORSCRIEFT!$A$2:$G$8551,3,FALSE),"")</f>
        <v/>
      </c>
      <c r="E2362" s="392" t="str">
        <f>IFERROR(VLOOKUP(A2362,[3]DOORSCRIEFT!$A$2:$G$8551,4,FALSE),"")</f>
        <v/>
      </c>
      <c r="F2362" s="405" t="str">
        <f>IFERROR(VLOOKUP(A2362,[3]DOORSCRIEFT!$A$2:$G$8551,6,FALSE),"")</f>
        <v/>
      </c>
      <c r="G2362" s="315"/>
    </row>
    <row r="2363" spans="1:7" x14ac:dyDescent="0.25">
      <c r="A2363" s="359" t="str">
        <f t="shared" si="68"/>
        <v>I.2.2.02.03557</v>
      </c>
      <c r="B2363" s="319">
        <v>57</v>
      </c>
      <c r="C2363" s="394" t="str">
        <f>IFERROR(VLOOKUP(A2363,[3]DOORSCRIEFT!$A$2:$G$8551,2,FALSE),"")</f>
        <v/>
      </c>
      <c r="D2363" s="393" t="str">
        <f>IFERROR(VLOOKUP(A2363,[3]DOORSCRIEFT!$A$2:$G$8551,3,FALSE),"")</f>
        <v/>
      </c>
      <c r="E2363" s="392" t="str">
        <f>IFERROR(VLOOKUP(A2363,[3]DOORSCRIEFT!$A$2:$G$8551,4,FALSE),"")</f>
        <v/>
      </c>
      <c r="F2363" s="405" t="str">
        <f>IFERROR(VLOOKUP(A2363,[3]DOORSCRIEFT!$A$2:$G$8551,6,FALSE),"")</f>
        <v/>
      </c>
      <c r="G2363" s="315"/>
    </row>
    <row r="2364" spans="1:7" x14ac:dyDescent="0.25">
      <c r="A2364" s="359" t="str">
        <f t="shared" si="68"/>
        <v>I.2.2.02.03558</v>
      </c>
      <c r="B2364" s="319">
        <v>58</v>
      </c>
      <c r="C2364" s="394" t="str">
        <f>IFERROR(VLOOKUP(A2364,[3]DOORSCRIEFT!$A$2:$G$8551,2,FALSE),"")</f>
        <v/>
      </c>
      <c r="D2364" s="393" t="str">
        <f>IFERROR(VLOOKUP(A2364,[3]DOORSCRIEFT!$A$2:$G$8551,3,FALSE),"")</f>
        <v/>
      </c>
      <c r="E2364" s="392" t="str">
        <f>IFERROR(VLOOKUP(A2364,[3]DOORSCRIEFT!$A$2:$G$8551,4,FALSE),"")</f>
        <v/>
      </c>
      <c r="F2364" s="405" t="str">
        <f>IFERROR(VLOOKUP(A2364,[3]DOORSCRIEFT!$A$2:$G$8551,6,FALSE),"")</f>
        <v/>
      </c>
      <c r="G2364" s="315"/>
    </row>
    <row r="2365" spans="1:7" x14ac:dyDescent="0.25">
      <c r="A2365" s="359" t="str">
        <f t="shared" si="68"/>
        <v>I.2.2.02.03559</v>
      </c>
      <c r="B2365" s="319">
        <v>59</v>
      </c>
      <c r="C2365" s="394" t="str">
        <f>IFERROR(VLOOKUP(A2365,[3]DOORSCRIEFT!$A$2:$G$8551,2,FALSE),"")</f>
        <v/>
      </c>
      <c r="D2365" s="393" t="str">
        <f>IFERROR(VLOOKUP(A2365,[3]DOORSCRIEFT!$A$2:$G$8551,3,FALSE),"")</f>
        <v/>
      </c>
      <c r="E2365" s="392" t="str">
        <f>IFERROR(VLOOKUP(A2365,[3]DOORSCRIEFT!$A$2:$G$8551,4,FALSE),"")</f>
        <v/>
      </c>
      <c r="F2365" s="405" t="str">
        <f>IFERROR(VLOOKUP(A2365,[3]DOORSCRIEFT!$A$2:$G$8551,6,FALSE),"")</f>
        <v/>
      </c>
      <c r="G2365" s="315"/>
    </row>
    <row r="2366" spans="1:7" x14ac:dyDescent="0.25">
      <c r="A2366" s="359" t="str">
        <f t="shared" si="68"/>
        <v>I.2.2.02.03560</v>
      </c>
      <c r="B2366" s="319">
        <v>60</v>
      </c>
      <c r="C2366" s="394" t="str">
        <f>IFERROR(VLOOKUP(A2366,[3]DOORSCRIEFT!$A$2:$G$8551,2,FALSE),"")</f>
        <v/>
      </c>
      <c r="D2366" s="393" t="str">
        <f>IFERROR(VLOOKUP(A2366,[3]DOORSCRIEFT!$A$2:$G$8551,3,FALSE),"")</f>
        <v/>
      </c>
      <c r="E2366" s="392" t="str">
        <f>IFERROR(VLOOKUP(A2366,[3]DOORSCRIEFT!$A$2:$G$8551,4,FALSE),"")</f>
        <v/>
      </c>
      <c r="F2366" s="405" t="str">
        <f>IFERROR(VLOOKUP(A2366,[3]DOORSCRIEFT!$A$2:$G$8551,6,FALSE),"")</f>
        <v/>
      </c>
      <c r="G2366" s="315"/>
    </row>
    <row r="2367" spans="1:7" x14ac:dyDescent="0.25">
      <c r="A2367" s="359" t="str">
        <f t="shared" si="68"/>
        <v>I.2.2.02.03561</v>
      </c>
      <c r="B2367" s="319">
        <v>61</v>
      </c>
      <c r="C2367" s="394" t="str">
        <f>IFERROR(VLOOKUP(A2367,[3]DOORSCRIEFT!$A$2:$G$8551,2,FALSE),"")</f>
        <v/>
      </c>
      <c r="D2367" s="393" t="str">
        <f>IFERROR(VLOOKUP(A2367,[3]DOORSCRIEFT!$A$2:$G$8551,3,FALSE),"")</f>
        <v/>
      </c>
      <c r="E2367" s="392" t="str">
        <f>IFERROR(VLOOKUP(A2367,[3]DOORSCRIEFT!$A$2:$G$8551,4,FALSE),"")</f>
        <v/>
      </c>
      <c r="F2367" s="405" t="str">
        <f>IFERROR(VLOOKUP(A2367,[3]DOORSCRIEFT!$A$2:$G$8551,6,FALSE),"")</f>
        <v/>
      </c>
      <c r="G2367" s="315"/>
    </row>
    <row r="2368" spans="1:7" x14ac:dyDescent="0.25">
      <c r="A2368" s="359" t="str">
        <f t="shared" si="68"/>
        <v>I.2.2.02.03562</v>
      </c>
      <c r="B2368" s="319">
        <v>62</v>
      </c>
      <c r="C2368" s="394" t="str">
        <f>IFERROR(VLOOKUP(A2368,[3]DOORSCRIEFT!$A$2:$G$8551,2,FALSE),"")</f>
        <v/>
      </c>
      <c r="D2368" s="393" t="str">
        <f>IFERROR(VLOOKUP(A2368,[3]DOORSCRIEFT!$A$2:$G$8551,3,FALSE),"")</f>
        <v/>
      </c>
      <c r="E2368" s="392" t="str">
        <f>IFERROR(VLOOKUP(A2368,[3]DOORSCRIEFT!$A$2:$G$8551,4,FALSE),"")</f>
        <v/>
      </c>
      <c r="F2368" s="405" t="str">
        <f>IFERROR(VLOOKUP(A2368,[3]DOORSCRIEFT!$A$2:$G$8551,6,FALSE),"")</f>
        <v/>
      </c>
      <c r="G2368" s="315"/>
    </row>
    <row r="2369" spans="1:7" x14ac:dyDescent="0.25">
      <c r="A2369" s="359" t="str">
        <f t="shared" si="68"/>
        <v>I.2.2.02.03563</v>
      </c>
      <c r="B2369" s="319">
        <v>63</v>
      </c>
      <c r="C2369" s="394" t="str">
        <f>IFERROR(VLOOKUP(A2369,[3]DOORSCRIEFT!$A$2:$G$8551,2,FALSE),"")</f>
        <v/>
      </c>
      <c r="D2369" s="393" t="str">
        <f>IFERROR(VLOOKUP(A2369,[3]DOORSCRIEFT!$A$2:$G$8551,3,FALSE),"")</f>
        <v/>
      </c>
      <c r="E2369" s="392" t="str">
        <f>IFERROR(VLOOKUP(A2369,[3]DOORSCRIEFT!$A$2:$G$8551,4,FALSE),"")</f>
        <v/>
      </c>
      <c r="F2369" s="405" t="str">
        <f>IFERROR(VLOOKUP(A2369,[3]DOORSCRIEFT!$A$2:$G$8551,6,FALSE),"")</f>
        <v/>
      </c>
      <c r="G2369" s="315"/>
    </row>
    <row r="2370" spans="1:7" x14ac:dyDescent="0.25">
      <c r="A2370" s="359" t="str">
        <f t="shared" si="68"/>
        <v>I.2.2.02.03564</v>
      </c>
      <c r="B2370" s="319">
        <v>64</v>
      </c>
      <c r="C2370" s="394" t="str">
        <f>IFERROR(VLOOKUP(A2370,[3]DOORSCRIEFT!$A$2:$G$8551,2,FALSE),"")</f>
        <v/>
      </c>
      <c r="D2370" s="393" t="str">
        <f>IFERROR(VLOOKUP(A2370,[3]DOORSCRIEFT!$A$2:$G$8551,3,FALSE),"")</f>
        <v/>
      </c>
      <c r="E2370" s="392" t="str">
        <f>IFERROR(VLOOKUP(A2370,[3]DOORSCRIEFT!$A$2:$G$8551,4,FALSE),"")</f>
        <v/>
      </c>
      <c r="F2370" s="405" t="str">
        <f>IFERROR(VLOOKUP(A2370,[3]DOORSCRIEFT!$A$2:$G$8551,6,FALSE),"")</f>
        <v/>
      </c>
      <c r="G2370" s="315"/>
    </row>
    <row r="2371" spans="1:7" x14ac:dyDescent="0.25">
      <c r="A2371" s="359" t="str">
        <f t="shared" ref="A2371:A2402" si="69">$G$2300&amp;B2371</f>
        <v>I.2.2.02.03565</v>
      </c>
      <c r="B2371" s="319">
        <v>65</v>
      </c>
      <c r="C2371" s="394" t="str">
        <f>IFERROR(VLOOKUP(A2371,[3]DOORSCRIEFT!$A$2:$G$8551,2,FALSE),"")</f>
        <v/>
      </c>
      <c r="D2371" s="393" t="str">
        <f>IFERROR(VLOOKUP(A2371,[3]DOORSCRIEFT!$A$2:$G$8551,3,FALSE),"")</f>
        <v/>
      </c>
      <c r="E2371" s="392" t="str">
        <f>IFERROR(VLOOKUP(A2371,[3]DOORSCRIEFT!$A$2:$G$8551,4,FALSE),"")</f>
        <v/>
      </c>
      <c r="F2371" s="405" t="str">
        <f>IFERROR(VLOOKUP(A2371,[3]DOORSCRIEFT!$A$2:$G$8551,6,FALSE),"")</f>
        <v/>
      </c>
      <c r="G2371" s="315"/>
    </row>
    <row r="2372" spans="1:7" x14ac:dyDescent="0.25">
      <c r="A2372" s="359" t="str">
        <f t="shared" si="69"/>
        <v>I.2.2.02.03566</v>
      </c>
      <c r="B2372" s="319">
        <v>66</v>
      </c>
      <c r="C2372" s="394" t="str">
        <f>IFERROR(VLOOKUP(A2372,[3]DOORSCRIEFT!$A$2:$G$8551,2,FALSE),"")</f>
        <v/>
      </c>
      <c r="D2372" s="393" t="str">
        <f>IFERROR(VLOOKUP(A2372,[3]DOORSCRIEFT!$A$2:$G$8551,3,FALSE),"")</f>
        <v/>
      </c>
      <c r="E2372" s="392" t="str">
        <f>IFERROR(VLOOKUP(A2372,[3]DOORSCRIEFT!$A$2:$G$8551,4,FALSE),"")</f>
        <v/>
      </c>
      <c r="F2372" s="405" t="str">
        <f>IFERROR(VLOOKUP(A2372,[3]DOORSCRIEFT!$A$2:$G$8551,6,FALSE),"")</f>
        <v/>
      </c>
      <c r="G2372" s="315"/>
    </row>
    <row r="2373" spans="1:7" x14ac:dyDescent="0.25">
      <c r="A2373" s="359" t="str">
        <f t="shared" si="69"/>
        <v>I.2.2.02.03567</v>
      </c>
      <c r="B2373" s="319">
        <v>67</v>
      </c>
      <c r="C2373" s="394" t="str">
        <f>IFERROR(VLOOKUP(A2373,[3]DOORSCRIEFT!$A$2:$G$8551,2,FALSE),"")</f>
        <v/>
      </c>
      <c r="D2373" s="393" t="str">
        <f>IFERROR(VLOOKUP(A2373,[3]DOORSCRIEFT!$A$2:$G$8551,3,FALSE),"")</f>
        <v/>
      </c>
      <c r="E2373" s="392" t="str">
        <f>IFERROR(VLOOKUP(A2373,[3]DOORSCRIEFT!$A$2:$G$8551,4,FALSE),"")</f>
        <v/>
      </c>
      <c r="F2373" s="405" t="str">
        <f>IFERROR(VLOOKUP(A2373,[3]DOORSCRIEFT!$A$2:$G$8551,6,FALSE),"")</f>
        <v/>
      </c>
      <c r="G2373" s="315"/>
    </row>
    <row r="2374" spans="1:7" x14ac:dyDescent="0.25">
      <c r="A2374" s="359" t="str">
        <f t="shared" si="69"/>
        <v>I.2.2.02.03568</v>
      </c>
      <c r="B2374" s="319">
        <v>68</v>
      </c>
      <c r="C2374" s="394" t="str">
        <f>IFERROR(VLOOKUP(A2374,[3]DOORSCRIEFT!$A$2:$G$8551,2,FALSE),"")</f>
        <v/>
      </c>
      <c r="D2374" s="393" t="str">
        <f>IFERROR(VLOOKUP(A2374,[3]DOORSCRIEFT!$A$2:$G$8551,3,FALSE),"")</f>
        <v/>
      </c>
      <c r="E2374" s="392" t="str">
        <f>IFERROR(VLOOKUP(A2374,[3]DOORSCRIEFT!$A$2:$G$8551,4,FALSE),"")</f>
        <v/>
      </c>
      <c r="F2374" s="405" t="str">
        <f>IFERROR(VLOOKUP(A2374,[3]DOORSCRIEFT!$A$2:$G$8551,6,FALSE),"")</f>
        <v/>
      </c>
      <c r="G2374" s="315"/>
    </row>
    <row r="2375" spans="1:7" x14ac:dyDescent="0.25">
      <c r="A2375" s="359" t="str">
        <f t="shared" si="69"/>
        <v>I.2.2.02.03569</v>
      </c>
      <c r="B2375" s="319">
        <v>69</v>
      </c>
      <c r="C2375" s="394" t="str">
        <f>IFERROR(VLOOKUP(A2375,[3]DOORSCRIEFT!$A$2:$G$8551,2,FALSE),"")</f>
        <v/>
      </c>
      <c r="D2375" s="393" t="str">
        <f>IFERROR(VLOOKUP(A2375,[3]DOORSCRIEFT!$A$2:$G$8551,3,FALSE),"")</f>
        <v/>
      </c>
      <c r="E2375" s="392" t="str">
        <f>IFERROR(VLOOKUP(A2375,[3]DOORSCRIEFT!$A$2:$G$8551,4,FALSE),"")</f>
        <v/>
      </c>
      <c r="F2375" s="405" t="str">
        <f>IFERROR(VLOOKUP(A2375,[3]DOORSCRIEFT!$A$2:$G$8551,6,FALSE),"")</f>
        <v/>
      </c>
      <c r="G2375" s="315"/>
    </row>
    <row r="2376" spans="1:7" ht="15.75" thickBot="1" x14ac:dyDescent="0.3">
      <c r="A2376" s="359" t="str">
        <f t="shared" si="69"/>
        <v>I.2.2.02.03570</v>
      </c>
      <c r="B2376" s="319">
        <v>70</v>
      </c>
      <c r="C2376" s="394" t="str">
        <f>IFERROR(VLOOKUP(A2376,[3]DOORSCRIEFT!$A$2:$G$8551,2,FALSE),"")</f>
        <v/>
      </c>
      <c r="D2376" s="393" t="str">
        <f>IFERROR(VLOOKUP(A2376,[3]DOORSCRIEFT!$A$2:$G$8551,3,FALSE),"")</f>
        <v/>
      </c>
      <c r="E2376" s="392" t="str">
        <f>IFERROR(VLOOKUP(A2376,[3]DOORSCRIEFT!$A$2:$G$8551,4,FALSE),"")</f>
        <v/>
      </c>
      <c r="F2376" s="405" t="str">
        <f>IFERROR(VLOOKUP(A2376,[3]DOORSCRIEFT!$A$2:$G$8551,6,FALSE),"")</f>
        <v/>
      </c>
      <c r="G2376" s="315"/>
    </row>
    <row r="2377" spans="1:7" ht="15.75" thickBot="1" x14ac:dyDescent="0.3">
      <c r="A2377" s="314"/>
      <c r="B2377" s="312"/>
      <c r="C2377" s="311"/>
      <c r="D2377" s="312"/>
      <c r="E2377" s="311" t="s">
        <v>644</v>
      </c>
      <c r="F2377" s="310">
        <f>SUM(F2307:F2376)</f>
        <v>3146000</v>
      </c>
      <c r="G2377" s="309">
        <f>SUM(G2307:G2376)</f>
        <v>0</v>
      </c>
    </row>
    <row r="2380" spans="1:7" ht="15.75" x14ac:dyDescent="0.25">
      <c r="C2380" s="332"/>
      <c r="D2380" s="333"/>
      <c r="E2380" s="332"/>
      <c r="F2380" s="327" t="s">
        <v>607</v>
      </c>
      <c r="G2380" s="327" t="s">
        <v>476</v>
      </c>
    </row>
    <row r="2381" spans="1:7" ht="15.75" x14ac:dyDescent="0.25">
      <c r="C2381" s="332"/>
      <c r="D2381" s="333"/>
      <c r="E2381" s="332"/>
      <c r="F2381" s="327" t="s">
        <v>601</v>
      </c>
      <c r="G2381" s="327" t="s">
        <v>475</v>
      </c>
    </row>
    <row r="2382" spans="1:7" x14ac:dyDescent="0.25">
      <c r="C2382" s="328"/>
      <c r="D2382" s="329"/>
      <c r="E2382" s="328"/>
      <c r="F2382" s="327" t="s">
        <v>651</v>
      </c>
      <c r="G2382" s="331">
        <f>[2]Sheet1!$D$63</f>
        <v>21000000</v>
      </c>
    </row>
    <row r="2383" spans="1:7" ht="15.75" thickBot="1" x14ac:dyDescent="0.3">
      <c r="C2383" s="328"/>
      <c r="D2383" s="329"/>
      <c r="E2383" s="328"/>
      <c r="F2383" s="327" t="s">
        <v>650</v>
      </c>
      <c r="G2383" s="326">
        <f>+F2506-G2382</f>
        <v>-21000000</v>
      </c>
    </row>
    <row r="2384" spans="1:7" x14ac:dyDescent="0.25">
      <c r="A2384" s="571" t="s">
        <v>626</v>
      </c>
      <c r="B2384" s="573" t="s">
        <v>606</v>
      </c>
      <c r="C2384" s="588" t="s">
        <v>649</v>
      </c>
      <c r="D2384" s="577" t="s">
        <v>648</v>
      </c>
      <c r="E2384" s="577" t="s">
        <v>647</v>
      </c>
      <c r="F2384" s="577" t="s">
        <v>646</v>
      </c>
      <c r="G2384" s="580" t="s">
        <v>645</v>
      </c>
    </row>
    <row r="2385" spans="1:7" ht="15.75" thickBot="1" x14ac:dyDescent="0.3">
      <c r="A2385" s="579"/>
      <c r="B2385" s="593"/>
      <c r="C2385" s="592"/>
      <c r="D2385" s="578"/>
      <c r="E2385" s="578"/>
      <c r="F2385" s="578"/>
      <c r="G2385" s="581"/>
    </row>
    <row r="2386" spans="1:7" ht="15.75" thickBot="1" x14ac:dyDescent="0.3">
      <c r="A2386" s="325">
        <v>1</v>
      </c>
      <c r="B2386" s="324">
        <v>2</v>
      </c>
      <c r="C2386" s="324">
        <v>3</v>
      </c>
      <c r="D2386" s="324">
        <v>4</v>
      </c>
      <c r="E2386" s="324">
        <v>5</v>
      </c>
      <c r="F2386" s="324">
        <v>6</v>
      </c>
      <c r="G2386" s="323">
        <v>7</v>
      </c>
    </row>
    <row r="2387" spans="1:7" x14ac:dyDescent="0.25">
      <c r="A2387" s="339" t="str">
        <f t="shared" ref="A2387:A2418" si="70">$G$2380&amp;B2387</f>
        <v>I.2.2.02.0361</v>
      </c>
      <c r="B2387" s="339">
        <v>1</v>
      </c>
      <c r="C2387" s="394" t="str">
        <f>IFERROR(VLOOKUP(A2387,[3]DOORSCRIEFT!$A$2:$G$8551,2,FALSE),"")</f>
        <v/>
      </c>
      <c r="D2387" s="393" t="str">
        <f>IFERROR(VLOOKUP(A2387,[3]DOORSCRIEFT!$A$2:$G$8551,3,FALSE),"")</f>
        <v/>
      </c>
      <c r="E2387" s="392" t="str">
        <f>IFERROR(VLOOKUP(A2387,[3]DOORSCRIEFT!$A$2:$G$8551,4,FALSE),"")</f>
        <v/>
      </c>
      <c r="F2387" s="405" t="str">
        <f>IFERROR(VLOOKUP(A2387,[3]DOORSCRIEFT!$A$2:$G$8551,6,FALSE),"")</f>
        <v/>
      </c>
      <c r="G2387" s="322"/>
    </row>
    <row r="2388" spans="1:7" x14ac:dyDescent="0.25">
      <c r="A2388" s="319" t="str">
        <f t="shared" si="70"/>
        <v>I.2.2.02.0362</v>
      </c>
      <c r="B2388" s="319">
        <v>2</v>
      </c>
      <c r="C2388" s="394" t="str">
        <f>IFERROR(VLOOKUP(A2388,[3]DOORSCRIEFT!$A$2:$G$8551,2,FALSE),"")</f>
        <v/>
      </c>
      <c r="D2388" s="393" t="str">
        <f>IFERROR(VLOOKUP(A2388,[3]DOORSCRIEFT!$A$2:$G$8551,3,FALSE),"")</f>
        <v/>
      </c>
      <c r="E2388" s="392" t="str">
        <f>IFERROR(VLOOKUP(A2388,[3]DOORSCRIEFT!$A$2:$G$8551,4,FALSE),"")</f>
        <v/>
      </c>
      <c r="F2388" s="405" t="str">
        <f>IFERROR(VLOOKUP(A2388,[3]DOORSCRIEFT!$A$2:$G$8551,6,FALSE),"")</f>
        <v/>
      </c>
      <c r="G2388" s="315"/>
    </row>
    <row r="2389" spans="1:7" x14ac:dyDescent="0.25">
      <c r="A2389" s="319" t="str">
        <f t="shared" si="70"/>
        <v>I.2.2.02.0363</v>
      </c>
      <c r="B2389" s="319">
        <v>3</v>
      </c>
      <c r="C2389" s="394" t="str">
        <f>IFERROR(VLOOKUP(A2389,[3]DOORSCRIEFT!$A$2:$G$8551,2,FALSE),"")</f>
        <v/>
      </c>
      <c r="D2389" s="393" t="str">
        <f>IFERROR(VLOOKUP(A2389,[3]DOORSCRIEFT!$A$2:$G$8551,3,FALSE),"")</f>
        <v/>
      </c>
      <c r="E2389" s="392" t="str">
        <f>IFERROR(VLOOKUP(A2389,[3]DOORSCRIEFT!$A$2:$G$8551,4,FALSE),"")</f>
        <v/>
      </c>
      <c r="F2389" s="405" t="str">
        <f>IFERROR(VLOOKUP(A2389,[3]DOORSCRIEFT!$A$2:$G$8551,6,FALSE),"")</f>
        <v/>
      </c>
      <c r="G2389" s="315"/>
    </row>
    <row r="2390" spans="1:7" x14ac:dyDescent="0.25">
      <c r="A2390" s="319" t="str">
        <f t="shared" si="70"/>
        <v>I.2.2.02.0364</v>
      </c>
      <c r="B2390" s="319">
        <v>4</v>
      </c>
      <c r="C2390" s="394" t="str">
        <f>IFERROR(VLOOKUP(A2390,[3]DOORSCRIEFT!$A$2:$G$8551,2,FALSE),"")</f>
        <v/>
      </c>
      <c r="D2390" s="393" t="str">
        <f>IFERROR(VLOOKUP(A2390,[3]DOORSCRIEFT!$A$2:$G$8551,3,FALSE),"")</f>
        <v/>
      </c>
      <c r="E2390" s="392" t="str">
        <f>IFERROR(VLOOKUP(A2390,[3]DOORSCRIEFT!$A$2:$G$8551,4,FALSE),"")</f>
        <v/>
      </c>
      <c r="F2390" s="405" t="str">
        <f>IFERROR(VLOOKUP(A2390,[3]DOORSCRIEFT!$A$2:$G$8551,6,FALSE),"")</f>
        <v/>
      </c>
      <c r="G2390" s="315"/>
    </row>
    <row r="2391" spans="1:7" x14ac:dyDescent="0.25">
      <c r="A2391" s="319" t="str">
        <f t="shared" si="70"/>
        <v>I.2.2.02.0365</v>
      </c>
      <c r="B2391" s="319">
        <v>5</v>
      </c>
      <c r="C2391" s="394" t="str">
        <f>IFERROR(VLOOKUP(A2391,[3]DOORSCRIEFT!$A$2:$G$8551,2,FALSE),"")</f>
        <v/>
      </c>
      <c r="D2391" s="393" t="str">
        <f>IFERROR(VLOOKUP(A2391,[3]DOORSCRIEFT!$A$2:$G$8551,3,FALSE),"")</f>
        <v/>
      </c>
      <c r="E2391" s="392" t="str">
        <f>IFERROR(VLOOKUP(A2391,[3]DOORSCRIEFT!$A$2:$G$8551,4,FALSE),"")</f>
        <v/>
      </c>
      <c r="F2391" s="405" t="str">
        <f>IFERROR(VLOOKUP(A2391,[3]DOORSCRIEFT!$A$2:$G$8551,6,FALSE),"")</f>
        <v/>
      </c>
      <c r="G2391" s="315"/>
    </row>
    <row r="2392" spans="1:7" x14ac:dyDescent="0.25">
      <c r="A2392" s="319" t="str">
        <f t="shared" si="70"/>
        <v>I.2.2.02.0366</v>
      </c>
      <c r="B2392" s="319">
        <v>6</v>
      </c>
      <c r="C2392" s="394" t="str">
        <f>IFERROR(VLOOKUP(A2392,[3]DOORSCRIEFT!$A$2:$G$8551,2,FALSE),"")</f>
        <v/>
      </c>
      <c r="D2392" s="393" t="str">
        <f>IFERROR(VLOOKUP(A2392,[3]DOORSCRIEFT!$A$2:$G$8551,3,FALSE),"")</f>
        <v/>
      </c>
      <c r="E2392" s="392" t="str">
        <f>IFERROR(VLOOKUP(A2392,[3]DOORSCRIEFT!$A$2:$G$8551,4,FALSE),"")</f>
        <v/>
      </c>
      <c r="F2392" s="405" t="str">
        <f>IFERROR(VLOOKUP(A2392,[3]DOORSCRIEFT!$A$2:$G$8551,6,FALSE),"")</f>
        <v/>
      </c>
      <c r="G2392" s="315"/>
    </row>
    <row r="2393" spans="1:7" x14ac:dyDescent="0.25">
      <c r="A2393" s="319" t="str">
        <f t="shared" si="70"/>
        <v>I.2.2.02.0367</v>
      </c>
      <c r="B2393" s="319">
        <v>7</v>
      </c>
      <c r="C2393" s="394" t="str">
        <f>IFERROR(VLOOKUP(A2393,[3]DOORSCRIEFT!$A$2:$G$8551,2,FALSE),"")</f>
        <v/>
      </c>
      <c r="D2393" s="393" t="str">
        <f>IFERROR(VLOOKUP(A2393,[3]DOORSCRIEFT!$A$2:$G$8551,3,FALSE),"")</f>
        <v/>
      </c>
      <c r="E2393" s="392" t="str">
        <f>IFERROR(VLOOKUP(A2393,[3]DOORSCRIEFT!$A$2:$G$8551,4,FALSE),"")</f>
        <v/>
      </c>
      <c r="F2393" s="405" t="str">
        <f>IFERROR(VLOOKUP(A2393,[3]DOORSCRIEFT!$A$2:$G$8551,6,FALSE),"")</f>
        <v/>
      </c>
      <c r="G2393" s="315"/>
    </row>
    <row r="2394" spans="1:7" x14ac:dyDescent="0.25">
      <c r="A2394" s="319" t="str">
        <f t="shared" si="70"/>
        <v>I.2.2.02.0368</v>
      </c>
      <c r="B2394" s="319">
        <v>8</v>
      </c>
      <c r="C2394" s="394" t="str">
        <f>IFERROR(VLOOKUP(A2394,[3]DOORSCRIEFT!$A$2:$G$8551,2,FALSE),"")</f>
        <v/>
      </c>
      <c r="D2394" s="393" t="str">
        <f>IFERROR(VLOOKUP(A2394,[3]DOORSCRIEFT!$A$2:$G$8551,3,FALSE),"")</f>
        <v/>
      </c>
      <c r="E2394" s="392" t="str">
        <f>IFERROR(VLOOKUP(A2394,[3]DOORSCRIEFT!$A$2:$G$8551,4,FALSE),"")</f>
        <v/>
      </c>
      <c r="F2394" s="405" t="str">
        <f>IFERROR(VLOOKUP(A2394,[3]DOORSCRIEFT!$A$2:$G$8551,6,FALSE),"")</f>
        <v/>
      </c>
      <c r="G2394" s="315"/>
    </row>
    <row r="2395" spans="1:7" x14ac:dyDescent="0.25">
      <c r="A2395" s="319" t="str">
        <f t="shared" si="70"/>
        <v>I.2.2.02.0369</v>
      </c>
      <c r="B2395" s="319">
        <v>9</v>
      </c>
      <c r="C2395" s="394" t="str">
        <f>IFERROR(VLOOKUP(A2395,[3]DOORSCRIEFT!$A$2:$G$8551,2,FALSE),"")</f>
        <v/>
      </c>
      <c r="D2395" s="393" t="str">
        <f>IFERROR(VLOOKUP(A2395,[3]DOORSCRIEFT!$A$2:$G$8551,3,FALSE),"")</f>
        <v/>
      </c>
      <c r="E2395" s="392" t="str">
        <f>IFERROR(VLOOKUP(A2395,[3]DOORSCRIEFT!$A$2:$G$8551,4,FALSE),"")</f>
        <v/>
      </c>
      <c r="F2395" s="405" t="str">
        <f>IFERROR(VLOOKUP(A2395,[3]DOORSCRIEFT!$A$2:$G$8551,6,FALSE),"")</f>
        <v/>
      </c>
      <c r="G2395" s="315"/>
    </row>
    <row r="2396" spans="1:7" x14ac:dyDescent="0.25">
      <c r="A2396" s="319" t="str">
        <f t="shared" si="70"/>
        <v>I.2.2.02.03610</v>
      </c>
      <c r="B2396" s="319">
        <v>10</v>
      </c>
      <c r="C2396" s="394" t="str">
        <f>IFERROR(VLOOKUP(A2396,[3]DOORSCRIEFT!$A$2:$G$8551,2,FALSE),"")</f>
        <v/>
      </c>
      <c r="D2396" s="393" t="str">
        <f>IFERROR(VLOOKUP(A2396,[3]DOORSCRIEFT!$A$2:$G$8551,3,FALSE),"")</f>
        <v/>
      </c>
      <c r="E2396" s="392" t="str">
        <f>IFERROR(VLOOKUP(A2396,[3]DOORSCRIEFT!$A$2:$G$8551,4,FALSE),"")</f>
        <v/>
      </c>
      <c r="F2396" s="405" t="str">
        <f>IFERROR(VLOOKUP(A2396,[3]DOORSCRIEFT!$A$2:$G$8551,6,FALSE),"")</f>
        <v/>
      </c>
      <c r="G2396" s="315"/>
    </row>
    <row r="2397" spans="1:7" x14ac:dyDescent="0.25">
      <c r="A2397" s="319" t="str">
        <f t="shared" si="70"/>
        <v>I.2.2.02.03611</v>
      </c>
      <c r="B2397" s="319">
        <v>11</v>
      </c>
      <c r="C2397" s="394" t="str">
        <f>IFERROR(VLOOKUP(A2397,[3]DOORSCRIEFT!$A$2:$G$8551,2,FALSE),"")</f>
        <v/>
      </c>
      <c r="D2397" s="393" t="str">
        <f>IFERROR(VLOOKUP(A2397,[3]DOORSCRIEFT!$A$2:$G$8551,3,FALSE),"")</f>
        <v/>
      </c>
      <c r="E2397" s="392" t="str">
        <f>IFERROR(VLOOKUP(A2397,[3]DOORSCRIEFT!$A$2:$G$8551,4,FALSE),"")</f>
        <v/>
      </c>
      <c r="F2397" s="405" t="str">
        <f>IFERROR(VLOOKUP(A2397,[3]DOORSCRIEFT!$A$2:$G$8551,6,FALSE),"")</f>
        <v/>
      </c>
      <c r="G2397" s="315"/>
    </row>
    <row r="2398" spans="1:7" x14ac:dyDescent="0.25">
      <c r="A2398" s="319" t="str">
        <f t="shared" si="70"/>
        <v>I.2.2.02.03612</v>
      </c>
      <c r="B2398" s="319">
        <v>12</v>
      </c>
      <c r="C2398" s="394" t="str">
        <f>IFERROR(VLOOKUP(A2398,[3]DOORSCRIEFT!$A$2:$G$8551,2,FALSE),"")</f>
        <v/>
      </c>
      <c r="D2398" s="393" t="str">
        <f>IFERROR(VLOOKUP(A2398,[3]DOORSCRIEFT!$A$2:$G$8551,3,FALSE),"")</f>
        <v/>
      </c>
      <c r="E2398" s="392" t="str">
        <f>IFERROR(VLOOKUP(A2398,[3]DOORSCRIEFT!$A$2:$G$8551,4,FALSE),"")</f>
        <v/>
      </c>
      <c r="F2398" s="405" t="str">
        <f>IFERROR(VLOOKUP(A2398,[3]DOORSCRIEFT!$A$2:$G$8551,6,FALSE),"")</f>
        <v/>
      </c>
      <c r="G2398" s="315"/>
    </row>
    <row r="2399" spans="1:7" x14ac:dyDescent="0.25">
      <c r="A2399" s="319" t="str">
        <f t="shared" si="70"/>
        <v>I.2.2.02.03613</v>
      </c>
      <c r="B2399" s="319">
        <v>13</v>
      </c>
      <c r="C2399" s="394" t="str">
        <f>IFERROR(VLOOKUP(A2399,[3]DOORSCRIEFT!$A$2:$G$8551,2,FALSE),"")</f>
        <v/>
      </c>
      <c r="D2399" s="393" t="str">
        <f>IFERROR(VLOOKUP(A2399,[3]DOORSCRIEFT!$A$2:$G$8551,3,FALSE),"")</f>
        <v/>
      </c>
      <c r="E2399" s="392" t="str">
        <f>IFERROR(VLOOKUP(A2399,[3]DOORSCRIEFT!$A$2:$G$8551,4,FALSE),"")</f>
        <v/>
      </c>
      <c r="F2399" s="405" t="str">
        <f>IFERROR(VLOOKUP(A2399,[3]DOORSCRIEFT!$A$2:$G$8551,6,FALSE),"")</f>
        <v/>
      </c>
      <c r="G2399" s="315"/>
    </row>
    <row r="2400" spans="1:7" x14ac:dyDescent="0.25">
      <c r="A2400" s="319" t="str">
        <f t="shared" si="70"/>
        <v>I.2.2.02.03614</v>
      </c>
      <c r="B2400" s="319">
        <v>14</v>
      </c>
      <c r="C2400" s="394" t="str">
        <f>IFERROR(VLOOKUP(A2400,[3]DOORSCRIEFT!$A$2:$G$8551,2,FALSE),"")</f>
        <v/>
      </c>
      <c r="D2400" s="393" t="str">
        <f>IFERROR(VLOOKUP(A2400,[3]DOORSCRIEFT!$A$2:$G$8551,3,FALSE),"")</f>
        <v/>
      </c>
      <c r="E2400" s="392" t="str">
        <f>IFERROR(VLOOKUP(A2400,[3]DOORSCRIEFT!$A$2:$G$8551,4,FALSE),"")</f>
        <v/>
      </c>
      <c r="F2400" s="405" t="str">
        <f>IFERROR(VLOOKUP(A2400,[3]DOORSCRIEFT!$A$2:$G$8551,6,FALSE),"")</f>
        <v/>
      </c>
      <c r="G2400" s="315"/>
    </row>
    <row r="2401" spans="1:7" x14ac:dyDescent="0.25">
      <c r="A2401" s="319" t="str">
        <f t="shared" si="70"/>
        <v>I.2.2.02.03615</v>
      </c>
      <c r="B2401" s="319">
        <v>15</v>
      </c>
      <c r="C2401" s="394" t="str">
        <f>IFERROR(VLOOKUP(A2401,[3]DOORSCRIEFT!$A$2:$G$8551,2,FALSE),"")</f>
        <v/>
      </c>
      <c r="D2401" s="393" t="str">
        <f>IFERROR(VLOOKUP(A2401,[3]DOORSCRIEFT!$A$2:$G$8551,3,FALSE),"")</f>
        <v/>
      </c>
      <c r="E2401" s="392" t="str">
        <f>IFERROR(VLOOKUP(A2401,[3]DOORSCRIEFT!$A$2:$G$8551,4,FALSE),"")</f>
        <v/>
      </c>
      <c r="F2401" s="405" t="str">
        <f>IFERROR(VLOOKUP(A2401,[3]DOORSCRIEFT!$A$2:$G$8551,6,FALSE),"")</f>
        <v/>
      </c>
      <c r="G2401" s="315"/>
    </row>
    <row r="2402" spans="1:7" x14ac:dyDescent="0.25">
      <c r="A2402" s="319" t="str">
        <f t="shared" si="70"/>
        <v>I.2.2.02.03616</v>
      </c>
      <c r="B2402" s="319">
        <v>16</v>
      </c>
      <c r="C2402" s="394" t="str">
        <f>IFERROR(VLOOKUP(A2402,[3]DOORSCRIEFT!$A$2:$G$8551,2,FALSE),"")</f>
        <v/>
      </c>
      <c r="D2402" s="393" t="str">
        <f>IFERROR(VLOOKUP(A2402,[3]DOORSCRIEFT!$A$2:$G$8551,3,FALSE),"")</f>
        <v/>
      </c>
      <c r="E2402" s="392" t="str">
        <f>IFERROR(VLOOKUP(A2402,[3]DOORSCRIEFT!$A$2:$G$8551,4,FALSE),"")</f>
        <v/>
      </c>
      <c r="F2402" s="405" t="str">
        <f>IFERROR(VLOOKUP(A2402,[3]DOORSCRIEFT!$A$2:$G$8551,6,FALSE),"")</f>
        <v/>
      </c>
      <c r="G2402" s="315"/>
    </row>
    <row r="2403" spans="1:7" x14ac:dyDescent="0.25">
      <c r="A2403" s="319" t="str">
        <f t="shared" si="70"/>
        <v>I.2.2.02.03617</v>
      </c>
      <c r="B2403" s="319">
        <v>17</v>
      </c>
      <c r="C2403" s="394" t="str">
        <f>IFERROR(VLOOKUP(A2403,[3]DOORSCRIEFT!$A$2:$G$8551,2,FALSE),"")</f>
        <v/>
      </c>
      <c r="D2403" s="393" t="str">
        <f>IFERROR(VLOOKUP(A2403,[3]DOORSCRIEFT!$A$2:$G$8551,3,FALSE),"")</f>
        <v/>
      </c>
      <c r="E2403" s="392" t="str">
        <f>IFERROR(VLOOKUP(A2403,[3]DOORSCRIEFT!$A$2:$G$8551,4,FALSE),"")</f>
        <v/>
      </c>
      <c r="F2403" s="405" t="str">
        <f>IFERROR(VLOOKUP(A2403,[3]DOORSCRIEFT!$A$2:$G$8551,6,FALSE),"")</f>
        <v/>
      </c>
      <c r="G2403" s="315"/>
    </row>
    <row r="2404" spans="1:7" x14ac:dyDescent="0.25">
      <c r="A2404" s="319" t="str">
        <f t="shared" si="70"/>
        <v>I.2.2.02.03618</v>
      </c>
      <c r="B2404" s="319">
        <v>18</v>
      </c>
      <c r="C2404" s="394" t="str">
        <f>IFERROR(VLOOKUP(A2404,[3]DOORSCRIEFT!$A$2:$G$8551,2,FALSE),"")</f>
        <v/>
      </c>
      <c r="D2404" s="393" t="str">
        <f>IFERROR(VLOOKUP(A2404,[3]DOORSCRIEFT!$A$2:$G$8551,3,FALSE),"")</f>
        <v/>
      </c>
      <c r="E2404" s="392" t="str">
        <f>IFERROR(VLOOKUP(A2404,[3]DOORSCRIEFT!$A$2:$G$8551,4,FALSE),"")</f>
        <v/>
      </c>
      <c r="F2404" s="405" t="str">
        <f>IFERROR(VLOOKUP(A2404,[3]DOORSCRIEFT!$A$2:$G$8551,6,FALSE),"")</f>
        <v/>
      </c>
      <c r="G2404" s="315"/>
    </row>
    <row r="2405" spans="1:7" x14ac:dyDescent="0.25">
      <c r="A2405" s="319" t="str">
        <f t="shared" si="70"/>
        <v>I.2.2.02.03619</v>
      </c>
      <c r="B2405" s="319">
        <v>19</v>
      </c>
      <c r="C2405" s="394" t="str">
        <f>IFERROR(VLOOKUP(A2405,[3]DOORSCRIEFT!$A$2:$G$8551,2,FALSE),"")</f>
        <v/>
      </c>
      <c r="D2405" s="393" t="str">
        <f>IFERROR(VLOOKUP(A2405,[3]DOORSCRIEFT!$A$2:$G$8551,3,FALSE),"")</f>
        <v/>
      </c>
      <c r="E2405" s="392" t="str">
        <f>IFERROR(VLOOKUP(A2405,[3]DOORSCRIEFT!$A$2:$G$8551,4,FALSE),"")</f>
        <v/>
      </c>
      <c r="F2405" s="405" t="str">
        <f>IFERROR(VLOOKUP(A2405,[3]DOORSCRIEFT!$A$2:$G$8551,6,FALSE),"")</f>
        <v/>
      </c>
      <c r="G2405" s="315"/>
    </row>
    <row r="2406" spans="1:7" x14ac:dyDescent="0.25">
      <c r="A2406" s="319" t="str">
        <f t="shared" si="70"/>
        <v>I.2.2.02.03620</v>
      </c>
      <c r="B2406" s="319">
        <v>20</v>
      </c>
      <c r="C2406" s="394" t="str">
        <f>IFERROR(VLOOKUP(A2406,[3]DOORSCRIEFT!$A$2:$G$8551,2,FALSE),"")</f>
        <v/>
      </c>
      <c r="D2406" s="393" t="str">
        <f>IFERROR(VLOOKUP(A2406,[3]DOORSCRIEFT!$A$2:$G$8551,3,FALSE),"")</f>
        <v/>
      </c>
      <c r="E2406" s="392" t="str">
        <f>IFERROR(VLOOKUP(A2406,[3]DOORSCRIEFT!$A$2:$G$8551,4,FALSE),"")</f>
        <v/>
      </c>
      <c r="F2406" s="405" t="str">
        <f>IFERROR(VLOOKUP(A2406,[3]DOORSCRIEFT!$A$2:$G$8551,6,FALSE),"")</f>
        <v/>
      </c>
      <c r="G2406" s="315"/>
    </row>
    <row r="2407" spans="1:7" x14ac:dyDescent="0.25">
      <c r="A2407" s="319" t="str">
        <f t="shared" si="70"/>
        <v>I.2.2.02.03621</v>
      </c>
      <c r="B2407" s="319">
        <v>21</v>
      </c>
      <c r="C2407" s="394" t="str">
        <f>IFERROR(VLOOKUP(A2407,[3]DOORSCRIEFT!$A$2:$G$8551,2,FALSE),"")</f>
        <v/>
      </c>
      <c r="D2407" s="393" t="str">
        <f>IFERROR(VLOOKUP(A2407,[3]DOORSCRIEFT!$A$2:$G$8551,3,FALSE),"")</f>
        <v/>
      </c>
      <c r="E2407" s="392" t="str">
        <f>IFERROR(VLOOKUP(A2407,[3]DOORSCRIEFT!$A$2:$G$8551,4,FALSE),"")</f>
        <v/>
      </c>
      <c r="F2407" s="405" t="str">
        <f>IFERROR(VLOOKUP(A2407,[3]DOORSCRIEFT!$A$2:$G$8551,6,FALSE),"")</f>
        <v/>
      </c>
      <c r="G2407" s="315"/>
    </row>
    <row r="2408" spans="1:7" x14ac:dyDescent="0.25">
      <c r="A2408" s="319" t="str">
        <f t="shared" si="70"/>
        <v>I.2.2.02.03622</v>
      </c>
      <c r="B2408" s="319">
        <v>22</v>
      </c>
      <c r="C2408" s="394" t="str">
        <f>IFERROR(VLOOKUP(A2408,[3]DOORSCRIEFT!$A$2:$G$8551,2,FALSE),"")</f>
        <v/>
      </c>
      <c r="D2408" s="393" t="str">
        <f>IFERROR(VLOOKUP(A2408,[3]DOORSCRIEFT!$A$2:$G$8551,3,FALSE),"")</f>
        <v/>
      </c>
      <c r="E2408" s="392" t="str">
        <f>IFERROR(VLOOKUP(A2408,[3]DOORSCRIEFT!$A$2:$G$8551,4,FALSE),"")</f>
        <v/>
      </c>
      <c r="F2408" s="405" t="str">
        <f>IFERROR(VLOOKUP(A2408,[3]DOORSCRIEFT!$A$2:$G$8551,6,FALSE),"")</f>
        <v/>
      </c>
      <c r="G2408" s="315"/>
    </row>
    <row r="2409" spans="1:7" x14ac:dyDescent="0.25">
      <c r="A2409" s="319" t="str">
        <f t="shared" si="70"/>
        <v>I.2.2.02.03623</v>
      </c>
      <c r="B2409" s="319">
        <v>23</v>
      </c>
      <c r="C2409" s="394" t="str">
        <f>IFERROR(VLOOKUP(A2409,[3]DOORSCRIEFT!$A$2:$G$8551,2,FALSE),"")</f>
        <v/>
      </c>
      <c r="D2409" s="393" t="str">
        <f>IFERROR(VLOOKUP(A2409,[3]DOORSCRIEFT!$A$2:$G$8551,3,FALSE),"")</f>
        <v/>
      </c>
      <c r="E2409" s="392" t="str">
        <f>IFERROR(VLOOKUP(A2409,[3]DOORSCRIEFT!$A$2:$G$8551,4,FALSE),"")</f>
        <v/>
      </c>
      <c r="F2409" s="405" t="str">
        <f>IFERROR(VLOOKUP(A2409,[3]DOORSCRIEFT!$A$2:$G$8551,6,FALSE),"")</f>
        <v/>
      </c>
      <c r="G2409" s="315"/>
    </row>
    <row r="2410" spans="1:7" x14ac:dyDescent="0.25">
      <c r="A2410" s="319" t="str">
        <f t="shared" si="70"/>
        <v>I.2.2.02.03624</v>
      </c>
      <c r="B2410" s="319">
        <v>24</v>
      </c>
      <c r="C2410" s="394" t="str">
        <f>IFERROR(VLOOKUP(A2410,[3]DOORSCRIEFT!$A$2:$G$8551,2,FALSE),"")</f>
        <v/>
      </c>
      <c r="D2410" s="393" t="str">
        <f>IFERROR(VLOOKUP(A2410,[3]DOORSCRIEFT!$A$2:$G$8551,3,FALSE),"")</f>
        <v/>
      </c>
      <c r="E2410" s="392" t="str">
        <f>IFERROR(VLOOKUP(A2410,[3]DOORSCRIEFT!$A$2:$G$8551,4,FALSE),"")</f>
        <v/>
      </c>
      <c r="F2410" s="405" t="str">
        <f>IFERROR(VLOOKUP(A2410,[3]DOORSCRIEFT!$A$2:$G$8551,6,FALSE),"")</f>
        <v/>
      </c>
      <c r="G2410" s="315"/>
    </row>
    <row r="2411" spans="1:7" x14ac:dyDescent="0.25">
      <c r="A2411" s="319" t="str">
        <f t="shared" si="70"/>
        <v>I.2.2.02.03625</v>
      </c>
      <c r="B2411" s="319">
        <v>25</v>
      </c>
      <c r="C2411" s="394" t="str">
        <f>IFERROR(VLOOKUP(A2411,[3]DOORSCRIEFT!$A$2:$G$8551,2,FALSE),"")</f>
        <v/>
      </c>
      <c r="D2411" s="393" t="str">
        <f>IFERROR(VLOOKUP(A2411,[3]DOORSCRIEFT!$A$2:$G$8551,3,FALSE),"")</f>
        <v/>
      </c>
      <c r="E2411" s="392" t="str">
        <f>IFERROR(VLOOKUP(A2411,[3]DOORSCRIEFT!$A$2:$G$8551,4,FALSE),"")</f>
        <v/>
      </c>
      <c r="F2411" s="405" t="str">
        <f>IFERROR(VLOOKUP(A2411,[3]DOORSCRIEFT!$A$2:$G$8551,6,FALSE),"")</f>
        <v/>
      </c>
      <c r="G2411" s="315"/>
    </row>
    <row r="2412" spans="1:7" x14ac:dyDescent="0.25">
      <c r="A2412" s="319" t="str">
        <f t="shared" si="70"/>
        <v>I.2.2.02.03626</v>
      </c>
      <c r="B2412" s="319">
        <v>26</v>
      </c>
      <c r="C2412" s="394" t="str">
        <f>IFERROR(VLOOKUP(A2412,[3]DOORSCRIEFT!$A$2:$G$8551,2,FALSE),"")</f>
        <v/>
      </c>
      <c r="D2412" s="393" t="str">
        <f>IFERROR(VLOOKUP(A2412,[3]DOORSCRIEFT!$A$2:$G$8551,3,FALSE),"")</f>
        <v/>
      </c>
      <c r="E2412" s="392" t="str">
        <f>IFERROR(VLOOKUP(A2412,[3]DOORSCRIEFT!$A$2:$G$8551,4,FALSE),"")</f>
        <v/>
      </c>
      <c r="F2412" s="405" t="str">
        <f>IFERROR(VLOOKUP(A2412,[3]DOORSCRIEFT!$A$2:$G$8551,6,FALSE),"")</f>
        <v/>
      </c>
      <c r="G2412" s="315"/>
    </row>
    <row r="2413" spans="1:7" x14ac:dyDescent="0.25">
      <c r="A2413" s="319" t="str">
        <f t="shared" si="70"/>
        <v>I.2.2.02.03627</v>
      </c>
      <c r="B2413" s="319">
        <v>27</v>
      </c>
      <c r="C2413" s="394" t="str">
        <f>IFERROR(VLOOKUP(A2413,[3]DOORSCRIEFT!$A$2:$G$8551,2,FALSE),"")</f>
        <v/>
      </c>
      <c r="D2413" s="393" t="str">
        <f>IFERROR(VLOOKUP(A2413,[3]DOORSCRIEFT!$A$2:$G$8551,3,FALSE),"")</f>
        <v/>
      </c>
      <c r="E2413" s="392" t="str">
        <f>IFERROR(VLOOKUP(A2413,[3]DOORSCRIEFT!$A$2:$G$8551,4,FALSE),"")</f>
        <v/>
      </c>
      <c r="F2413" s="405" t="str">
        <f>IFERROR(VLOOKUP(A2413,[3]DOORSCRIEFT!$A$2:$G$8551,6,FALSE),"")</f>
        <v/>
      </c>
      <c r="G2413" s="315"/>
    </row>
    <row r="2414" spans="1:7" x14ac:dyDescent="0.25">
      <c r="A2414" s="319" t="str">
        <f t="shared" si="70"/>
        <v>I.2.2.02.03628</v>
      </c>
      <c r="B2414" s="319">
        <v>28</v>
      </c>
      <c r="C2414" s="394" t="str">
        <f>IFERROR(VLOOKUP(A2414,[3]DOORSCRIEFT!$A$2:$G$8551,2,FALSE),"")</f>
        <v/>
      </c>
      <c r="D2414" s="393" t="str">
        <f>IFERROR(VLOOKUP(A2414,[3]DOORSCRIEFT!$A$2:$G$8551,3,FALSE),"")</f>
        <v/>
      </c>
      <c r="E2414" s="392" t="str">
        <f>IFERROR(VLOOKUP(A2414,[3]DOORSCRIEFT!$A$2:$G$8551,4,FALSE),"")</f>
        <v/>
      </c>
      <c r="F2414" s="405" t="str">
        <f>IFERROR(VLOOKUP(A2414,[3]DOORSCRIEFT!$A$2:$G$8551,6,FALSE),"")</f>
        <v/>
      </c>
      <c r="G2414" s="315"/>
    </row>
    <row r="2415" spans="1:7" x14ac:dyDescent="0.25">
      <c r="A2415" s="319" t="str">
        <f t="shared" si="70"/>
        <v>I.2.2.02.03629</v>
      </c>
      <c r="B2415" s="319">
        <v>29</v>
      </c>
      <c r="C2415" s="394" t="str">
        <f>IFERROR(VLOOKUP(A2415,[3]DOORSCRIEFT!$A$2:$G$8551,2,FALSE),"")</f>
        <v/>
      </c>
      <c r="D2415" s="393" t="str">
        <f>IFERROR(VLOOKUP(A2415,[3]DOORSCRIEFT!$A$2:$G$8551,3,FALSE),"")</f>
        <v/>
      </c>
      <c r="E2415" s="392" t="str">
        <f>IFERROR(VLOOKUP(A2415,[3]DOORSCRIEFT!$A$2:$G$8551,4,FALSE),"")</f>
        <v/>
      </c>
      <c r="F2415" s="405" t="str">
        <f>IFERROR(VLOOKUP(A2415,[3]DOORSCRIEFT!$A$2:$G$8551,6,FALSE),"")</f>
        <v/>
      </c>
      <c r="G2415" s="315"/>
    </row>
    <row r="2416" spans="1:7" x14ac:dyDescent="0.25">
      <c r="A2416" s="319" t="str">
        <f t="shared" si="70"/>
        <v>I.2.2.02.03630</v>
      </c>
      <c r="B2416" s="319">
        <v>30</v>
      </c>
      <c r="C2416" s="394" t="str">
        <f>IFERROR(VLOOKUP(A2416,[3]DOORSCRIEFT!$A$2:$G$8551,2,FALSE),"")</f>
        <v/>
      </c>
      <c r="D2416" s="393" t="str">
        <f>IFERROR(VLOOKUP(A2416,[3]DOORSCRIEFT!$A$2:$G$8551,3,FALSE),"")</f>
        <v/>
      </c>
      <c r="E2416" s="392" t="str">
        <f>IFERROR(VLOOKUP(A2416,[3]DOORSCRIEFT!$A$2:$G$8551,4,FALSE),"")</f>
        <v/>
      </c>
      <c r="F2416" s="405" t="str">
        <f>IFERROR(VLOOKUP(A2416,[3]DOORSCRIEFT!$A$2:$G$8551,6,FALSE),"")</f>
        <v/>
      </c>
      <c r="G2416" s="315"/>
    </row>
    <row r="2417" spans="1:7" x14ac:dyDescent="0.25">
      <c r="A2417" s="319" t="str">
        <f t="shared" si="70"/>
        <v>I.2.2.02.03631</v>
      </c>
      <c r="B2417" s="319">
        <v>31</v>
      </c>
      <c r="C2417" s="394" t="str">
        <f>IFERROR(VLOOKUP(A2417,[3]DOORSCRIEFT!$A$2:$G$8551,2,FALSE),"")</f>
        <v/>
      </c>
      <c r="D2417" s="393" t="str">
        <f>IFERROR(VLOOKUP(A2417,[3]DOORSCRIEFT!$A$2:$G$8551,3,FALSE),"")</f>
        <v/>
      </c>
      <c r="E2417" s="392" t="str">
        <f>IFERROR(VLOOKUP(A2417,[3]DOORSCRIEFT!$A$2:$G$8551,4,FALSE),"")</f>
        <v/>
      </c>
      <c r="F2417" s="405" t="str">
        <f>IFERROR(VLOOKUP(A2417,[3]DOORSCRIEFT!$A$2:$G$8551,6,FALSE),"")</f>
        <v/>
      </c>
      <c r="G2417" s="315"/>
    </row>
    <row r="2418" spans="1:7" x14ac:dyDescent="0.25">
      <c r="A2418" s="319" t="str">
        <f t="shared" si="70"/>
        <v>I.2.2.02.03632</v>
      </c>
      <c r="B2418" s="319">
        <v>32</v>
      </c>
      <c r="C2418" s="394" t="str">
        <f>IFERROR(VLOOKUP(A2418,[3]DOORSCRIEFT!$A$2:$G$8551,2,FALSE),"")</f>
        <v/>
      </c>
      <c r="D2418" s="393" t="str">
        <f>IFERROR(VLOOKUP(A2418,[3]DOORSCRIEFT!$A$2:$G$8551,3,FALSE),"")</f>
        <v/>
      </c>
      <c r="E2418" s="392" t="str">
        <f>IFERROR(VLOOKUP(A2418,[3]DOORSCRIEFT!$A$2:$G$8551,4,FALSE),"")</f>
        <v/>
      </c>
      <c r="F2418" s="405" t="str">
        <f>IFERROR(VLOOKUP(A2418,[3]DOORSCRIEFT!$A$2:$G$8551,6,FALSE),"")</f>
        <v/>
      </c>
      <c r="G2418" s="315"/>
    </row>
    <row r="2419" spans="1:7" x14ac:dyDescent="0.25">
      <c r="A2419" s="319" t="str">
        <f t="shared" ref="A2419:A2450" si="71">$G$2380&amp;B2419</f>
        <v>I.2.2.02.03633</v>
      </c>
      <c r="B2419" s="319">
        <v>33</v>
      </c>
      <c r="C2419" s="394" t="str">
        <f>IFERROR(VLOOKUP(A2419,[3]DOORSCRIEFT!$A$2:$G$8551,2,FALSE),"")</f>
        <v/>
      </c>
      <c r="D2419" s="393" t="str">
        <f>IFERROR(VLOOKUP(A2419,[3]DOORSCRIEFT!$A$2:$G$8551,3,FALSE),"")</f>
        <v/>
      </c>
      <c r="E2419" s="392" t="str">
        <f>IFERROR(VLOOKUP(A2419,[3]DOORSCRIEFT!$A$2:$G$8551,4,FALSE),"")</f>
        <v/>
      </c>
      <c r="F2419" s="405" t="str">
        <f>IFERROR(VLOOKUP(A2419,[3]DOORSCRIEFT!$A$2:$G$8551,6,FALSE),"")</f>
        <v/>
      </c>
      <c r="G2419" s="315"/>
    </row>
    <row r="2420" spans="1:7" x14ac:dyDescent="0.25">
      <c r="A2420" s="319" t="str">
        <f t="shared" si="71"/>
        <v>I.2.2.02.03634</v>
      </c>
      <c r="B2420" s="319">
        <v>34</v>
      </c>
      <c r="C2420" s="394" t="str">
        <f>IFERROR(VLOOKUP(A2420,[3]DOORSCRIEFT!$A$2:$G$8551,2,FALSE),"")</f>
        <v/>
      </c>
      <c r="D2420" s="393" t="str">
        <f>IFERROR(VLOOKUP(A2420,[3]DOORSCRIEFT!$A$2:$G$8551,3,FALSE),"")</f>
        <v/>
      </c>
      <c r="E2420" s="392" t="str">
        <f>IFERROR(VLOOKUP(A2420,[3]DOORSCRIEFT!$A$2:$G$8551,4,FALSE),"")</f>
        <v/>
      </c>
      <c r="F2420" s="405" t="str">
        <f>IFERROR(VLOOKUP(A2420,[3]DOORSCRIEFT!$A$2:$G$8551,6,FALSE),"")</f>
        <v/>
      </c>
      <c r="G2420" s="315"/>
    </row>
    <row r="2421" spans="1:7" x14ac:dyDescent="0.25">
      <c r="A2421" s="319" t="str">
        <f t="shared" si="71"/>
        <v>I.2.2.02.03635</v>
      </c>
      <c r="B2421" s="319">
        <v>35</v>
      </c>
      <c r="C2421" s="394" t="str">
        <f>IFERROR(VLOOKUP(A2421,[3]DOORSCRIEFT!$A$2:$G$8551,2,FALSE),"")</f>
        <v/>
      </c>
      <c r="D2421" s="393" t="str">
        <f>IFERROR(VLOOKUP(A2421,[3]DOORSCRIEFT!$A$2:$G$8551,3,FALSE),"")</f>
        <v/>
      </c>
      <c r="E2421" s="392" t="str">
        <f>IFERROR(VLOOKUP(A2421,[3]DOORSCRIEFT!$A$2:$G$8551,4,FALSE),"")</f>
        <v/>
      </c>
      <c r="F2421" s="405" t="str">
        <f>IFERROR(VLOOKUP(A2421,[3]DOORSCRIEFT!$A$2:$G$8551,6,FALSE),"")</f>
        <v/>
      </c>
      <c r="G2421" s="315"/>
    </row>
    <row r="2422" spans="1:7" x14ac:dyDescent="0.25">
      <c r="A2422" s="319" t="str">
        <f t="shared" si="71"/>
        <v>I.2.2.02.03636</v>
      </c>
      <c r="B2422" s="319">
        <v>36</v>
      </c>
      <c r="C2422" s="394" t="str">
        <f>IFERROR(VLOOKUP(A2422,[3]DOORSCRIEFT!$A$2:$G$8551,2,FALSE),"")</f>
        <v/>
      </c>
      <c r="D2422" s="393" t="str">
        <f>IFERROR(VLOOKUP(A2422,[3]DOORSCRIEFT!$A$2:$G$8551,3,FALSE),"")</f>
        <v/>
      </c>
      <c r="E2422" s="392" t="str">
        <f>IFERROR(VLOOKUP(A2422,[3]DOORSCRIEFT!$A$2:$G$8551,4,FALSE),"")</f>
        <v/>
      </c>
      <c r="F2422" s="405" t="str">
        <f>IFERROR(VLOOKUP(A2422,[3]DOORSCRIEFT!$A$2:$G$8551,6,FALSE),"")</f>
        <v/>
      </c>
      <c r="G2422" s="315"/>
    </row>
    <row r="2423" spans="1:7" x14ac:dyDescent="0.25">
      <c r="A2423" s="319" t="str">
        <f t="shared" si="71"/>
        <v>I.2.2.02.03637</v>
      </c>
      <c r="B2423" s="319">
        <v>37</v>
      </c>
      <c r="C2423" s="394" t="str">
        <f>IFERROR(VLOOKUP(A2423,[3]DOORSCRIEFT!$A$2:$G$8551,2,FALSE),"")</f>
        <v/>
      </c>
      <c r="D2423" s="393" t="str">
        <f>IFERROR(VLOOKUP(A2423,[3]DOORSCRIEFT!$A$2:$G$8551,3,FALSE),"")</f>
        <v/>
      </c>
      <c r="E2423" s="392" t="str">
        <f>IFERROR(VLOOKUP(A2423,[3]DOORSCRIEFT!$A$2:$G$8551,4,FALSE),"")</f>
        <v/>
      </c>
      <c r="F2423" s="405" t="str">
        <f>IFERROR(VLOOKUP(A2423,[3]DOORSCRIEFT!$A$2:$G$8551,6,FALSE),"")</f>
        <v/>
      </c>
      <c r="G2423" s="315"/>
    </row>
    <row r="2424" spans="1:7" x14ac:dyDescent="0.25">
      <c r="A2424" s="319" t="str">
        <f t="shared" si="71"/>
        <v>I.2.2.02.03638</v>
      </c>
      <c r="B2424" s="319">
        <v>38</v>
      </c>
      <c r="C2424" s="394" t="str">
        <f>IFERROR(VLOOKUP(A2424,[3]DOORSCRIEFT!$A$2:$G$8551,2,FALSE),"")</f>
        <v/>
      </c>
      <c r="D2424" s="393" t="str">
        <f>IFERROR(VLOOKUP(A2424,[3]DOORSCRIEFT!$A$2:$G$8551,3,FALSE),"")</f>
        <v/>
      </c>
      <c r="E2424" s="392" t="str">
        <f>IFERROR(VLOOKUP(A2424,[3]DOORSCRIEFT!$A$2:$G$8551,4,FALSE),"")</f>
        <v/>
      </c>
      <c r="F2424" s="405" t="str">
        <f>IFERROR(VLOOKUP(A2424,[3]DOORSCRIEFT!$A$2:$G$8551,6,FALSE),"")</f>
        <v/>
      </c>
      <c r="G2424" s="315"/>
    </row>
    <row r="2425" spans="1:7" x14ac:dyDescent="0.25">
      <c r="A2425" s="319" t="str">
        <f t="shared" si="71"/>
        <v>I.2.2.02.03639</v>
      </c>
      <c r="B2425" s="319">
        <v>39</v>
      </c>
      <c r="C2425" s="394" t="str">
        <f>IFERROR(VLOOKUP(A2425,[3]DOORSCRIEFT!$A$2:$G$8551,2,FALSE),"")</f>
        <v/>
      </c>
      <c r="D2425" s="393" t="str">
        <f>IFERROR(VLOOKUP(A2425,[3]DOORSCRIEFT!$A$2:$G$8551,3,FALSE),"")</f>
        <v/>
      </c>
      <c r="E2425" s="392" t="str">
        <f>IFERROR(VLOOKUP(A2425,[3]DOORSCRIEFT!$A$2:$G$8551,4,FALSE),"")</f>
        <v/>
      </c>
      <c r="F2425" s="405" t="str">
        <f>IFERROR(VLOOKUP(A2425,[3]DOORSCRIEFT!$A$2:$G$8551,6,FALSE),"")</f>
        <v/>
      </c>
      <c r="G2425" s="315"/>
    </row>
    <row r="2426" spans="1:7" x14ac:dyDescent="0.25">
      <c r="A2426" s="319" t="str">
        <f t="shared" si="71"/>
        <v>I.2.2.02.03640</v>
      </c>
      <c r="B2426" s="319">
        <v>40</v>
      </c>
      <c r="C2426" s="394" t="str">
        <f>IFERROR(VLOOKUP(A2426,[3]DOORSCRIEFT!$A$2:$G$8551,2,FALSE),"")</f>
        <v/>
      </c>
      <c r="D2426" s="393" t="str">
        <f>IFERROR(VLOOKUP(A2426,[3]DOORSCRIEFT!$A$2:$G$8551,3,FALSE),"")</f>
        <v/>
      </c>
      <c r="E2426" s="392" t="str">
        <f>IFERROR(VLOOKUP(A2426,[3]DOORSCRIEFT!$A$2:$G$8551,4,FALSE),"")</f>
        <v/>
      </c>
      <c r="F2426" s="405" t="str">
        <f>IFERROR(VLOOKUP(A2426,[3]DOORSCRIEFT!$A$2:$G$8551,6,FALSE),"")</f>
        <v/>
      </c>
      <c r="G2426" s="315"/>
    </row>
    <row r="2427" spans="1:7" x14ac:dyDescent="0.25">
      <c r="A2427" s="319" t="str">
        <f t="shared" si="71"/>
        <v>I.2.2.02.03641</v>
      </c>
      <c r="B2427" s="319">
        <v>41</v>
      </c>
      <c r="C2427" s="394" t="str">
        <f>IFERROR(VLOOKUP(A2427,[3]DOORSCRIEFT!$A$2:$G$8551,2,FALSE),"")</f>
        <v/>
      </c>
      <c r="D2427" s="393" t="str">
        <f>IFERROR(VLOOKUP(A2427,[3]DOORSCRIEFT!$A$2:$G$8551,3,FALSE),"")</f>
        <v/>
      </c>
      <c r="E2427" s="392" t="str">
        <f>IFERROR(VLOOKUP(A2427,[3]DOORSCRIEFT!$A$2:$G$8551,4,FALSE),"")</f>
        <v/>
      </c>
      <c r="F2427" s="405" t="str">
        <f>IFERROR(VLOOKUP(A2427,[3]DOORSCRIEFT!$A$2:$G$8551,6,FALSE),"")</f>
        <v/>
      </c>
      <c r="G2427" s="315"/>
    </row>
    <row r="2428" spans="1:7" x14ac:dyDescent="0.25">
      <c r="A2428" s="319" t="str">
        <f t="shared" si="71"/>
        <v>I.2.2.02.03642</v>
      </c>
      <c r="B2428" s="319">
        <v>42</v>
      </c>
      <c r="C2428" s="394" t="str">
        <f>IFERROR(VLOOKUP(A2428,[3]DOORSCRIEFT!$A$2:$G$8551,2,FALSE),"")</f>
        <v/>
      </c>
      <c r="D2428" s="393" t="str">
        <f>IFERROR(VLOOKUP(A2428,[3]DOORSCRIEFT!$A$2:$G$8551,3,FALSE),"")</f>
        <v/>
      </c>
      <c r="E2428" s="392" t="str">
        <f>IFERROR(VLOOKUP(A2428,[3]DOORSCRIEFT!$A$2:$G$8551,4,FALSE),"")</f>
        <v/>
      </c>
      <c r="F2428" s="405" t="str">
        <f>IFERROR(VLOOKUP(A2428,[3]DOORSCRIEFT!$A$2:$G$8551,6,FALSE),"")</f>
        <v/>
      </c>
      <c r="G2428" s="315"/>
    </row>
    <row r="2429" spans="1:7" x14ac:dyDescent="0.25">
      <c r="A2429" s="319" t="str">
        <f t="shared" si="71"/>
        <v>I.2.2.02.03643</v>
      </c>
      <c r="B2429" s="319">
        <v>43</v>
      </c>
      <c r="C2429" s="394" t="str">
        <f>IFERROR(VLOOKUP(A2429,[3]DOORSCRIEFT!$A$2:$G$8551,2,FALSE),"")</f>
        <v/>
      </c>
      <c r="D2429" s="393" t="str">
        <f>IFERROR(VLOOKUP(A2429,[3]DOORSCRIEFT!$A$2:$G$8551,3,FALSE),"")</f>
        <v/>
      </c>
      <c r="E2429" s="392" t="str">
        <f>IFERROR(VLOOKUP(A2429,[3]DOORSCRIEFT!$A$2:$G$8551,4,FALSE),"")</f>
        <v/>
      </c>
      <c r="F2429" s="405" t="str">
        <f>IFERROR(VLOOKUP(A2429,[3]DOORSCRIEFT!$A$2:$G$8551,6,FALSE),"")</f>
        <v/>
      </c>
      <c r="G2429" s="315"/>
    </row>
    <row r="2430" spans="1:7" x14ac:dyDescent="0.25">
      <c r="A2430" s="319" t="str">
        <f t="shared" si="71"/>
        <v>I.2.2.02.03644</v>
      </c>
      <c r="B2430" s="319">
        <v>44</v>
      </c>
      <c r="C2430" s="394" t="str">
        <f>IFERROR(VLOOKUP(A2430,[3]DOORSCRIEFT!$A$2:$G$8551,2,FALSE),"")</f>
        <v/>
      </c>
      <c r="D2430" s="393" t="str">
        <f>IFERROR(VLOOKUP(A2430,[3]DOORSCRIEFT!$A$2:$G$8551,3,FALSE),"")</f>
        <v/>
      </c>
      <c r="E2430" s="392" t="str">
        <f>IFERROR(VLOOKUP(A2430,[3]DOORSCRIEFT!$A$2:$G$8551,4,FALSE),"")</f>
        <v/>
      </c>
      <c r="F2430" s="405" t="str">
        <f>IFERROR(VLOOKUP(A2430,[3]DOORSCRIEFT!$A$2:$G$8551,6,FALSE),"")</f>
        <v/>
      </c>
      <c r="G2430" s="315"/>
    </row>
    <row r="2431" spans="1:7" x14ac:dyDescent="0.25">
      <c r="A2431" s="319" t="str">
        <f t="shared" si="71"/>
        <v>I.2.2.02.03645</v>
      </c>
      <c r="B2431" s="319">
        <v>45</v>
      </c>
      <c r="C2431" s="394" t="str">
        <f>IFERROR(VLOOKUP(A2431,[3]DOORSCRIEFT!$A$2:$G$8551,2,FALSE),"")</f>
        <v/>
      </c>
      <c r="D2431" s="393" t="str">
        <f>IFERROR(VLOOKUP(A2431,[3]DOORSCRIEFT!$A$2:$G$8551,3,FALSE),"")</f>
        <v/>
      </c>
      <c r="E2431" s="392" t="str">
        <f>IFERROR(VLOOKUP(A2431,[3]DOORSCRIEFT!$A$2:$G$8551,4,FALSE),"")</f>
        <v/>
      </c>
      <c r="F2431" s="405" t="str">
        <f>IFERROR(VLOOKUP(A2431,[3]DOORSCRIEFT!$A$2:$G$8551,6,FALSE),"")</f>
        <v/>
      </c>
      <c r="G2431" s="315"/>
    </row>
    <row r="2432" spans="1:7" x14ac:dyDescent="0.25">
      <c r="A2432" s="319" t="str">
        <f t="shared" si="71"/>
        <v>I.2.2.02.03646</v>
      </c>
      <c r="B2432" s="319">
        <v>46</v>
      </c>
      <c r="C2432" s="394" t="str">
        <f>IFERROR(VLOOKUP(A2432,[3]DOORSCRIEFT!$A$2:$G$8551,2,FALSE),"")</f>
        <v/>
      </c>
      <c r="D2432" s="393" t="str">
        <f>IFERROR(VLOOKUP(A2432,[3]DOORSCRIEFT!$A$2:$G$8551,3,FALSE),"")</f>
        <v/>
      </c>
      <c r="E2432" s="392" t="str">
        <f>IFERROR(VLOOKUP(A2432,[3]DOORSCRIEFT!$A$2:$G$8551,4,FALSE),"")</f>
        <v/>
      </c>
      <c r="F2432" s="405" t="str">
        <f>IFERROR(VLOOKUP(A2432,[3]DOORSCRIEFT!$A$2:$G$8551,6,FALSE),"")</f>
        <v/>
      </c>
      <c r="G2432" s="315"/>
    </row>
    <row r="2433" spans="1:7" x14ac:dyDescent="0.25">
      <c r="A2433" s="319" t="str">
        <f t="shared" si="71"/>
        <v>I.2.2.02.03647</v>
      </c>
      <c r="B2433" s="319">
        <v>47</v>
      </c>
      <c r="C2433" s="394" t="str">
        <f>IFERROR(VLOOKUP(A2433,[3]DOORSCRIEFT!$A$2:$G$8551,2,FALSE),"")</f>
        <v/>
      </c>
      <c r="D2433" s="393" t="str">
        <f>IFERROR(VLOOKUP(A2433,[3]DOORSCRIEFT!$A$2:$G$8551,3,FALSE),"")</f>
        <v/>
      </c>
      <c r="E2433" s="392" t="str">
        <f>IFERROR(VLOOKUP(A2433,[3]DOORSCRIEFT!$A$2:$G$8551,4,FALSE),"")</f>
        <v/>
      </c>
      <c r="F2433" s="405" t="str">
        <f>IFERROR(VLOOKUP(A2433,[3]DOORSCRIEFT!$A$2:$G$8551,6,FALSE),"")</f>
        <v/>
      </c>
      <c r="G2433" s="315"/>
    </row>
    <row r="2434" spans="1:7" x14ac:dyDescent="0.25">
      <c r="A2434" s="319" t="str">
        <f t="shared" si="71"/>
        <v>I.2.2.02.03648</v>
      </c>
      <c r="B2434" s="319">
        <v>48</v>
      </c>
      <c r="C2434" s="394" t="str">
        <f>IFERROR(VLOOKUP(A2434,[3]DOORSCRIEFT!$A$2:$G$8551,2,FALSE),"")</f>
        <v/>
      </c>
      <c r="D2434" s="393" t="str">
        <f>IFERROR(VLOOKUP(A2434,[3]DOORSCRIEFT!$A$2:$G$8551,3,FALSE),"")</f>
        <v/>
      </c>
      <c r="E2434" s="392" t="str">
        <f>IFERROR(VLOOKUP(A2434,[3]DOORSCRIEFT!$A$2:$G$8551,4,FALSE),"")</f>
        <v/>
      </c>
      <c r="F2434" s="405" t="str">
        <f>IFERROR(VLOOKUP(A2434,[3]DOORSCRIEFT!$A$2:$G$8551,6,FALSE),"")</f>
        <v/>
      </c>
      <c r="G2434" s="315"/>
    </row>
    <row r="2435" spans="1:7" x14ac:dyDescent="0.25">
      <c r="A2435" s="319" t="str">
        <f t="shared" si="71"/>
        <v>I.2.2.02.03649</v>
      </c>
      <c r="B2435" s="319">
        <v>49</v>
      </c>
      <c r="C2435" s="394" t="str">
        <f>IFERROR(VLOOKUP(A2435,[3]DOORSCRIEFT!$A$2:$G$8551,2,FALSE),"")</f>
        <v/>
      </c>
      <c r="D2435" s="393" t="str">
        <f>IFERROR(VLOOKUP(A2435,[3]DOORSCRIEFT!$A$2:$G$8551,3,FALSE),"")</f>
        <v/>
      </c>
      <c r="E2435" s="392" t="str">
        <f>IFERROR(VLOOKUP(A2435,[3]DOORSCRIEFT!$A$2:$G$8551,4,FALSE),"")</f>
        <v/>
      </c>
      <c r="F2435" s="405" t="str">
        <f>IFERROR(VLOOKUP(A2435,[3]DOORSCRIEFT!$A$2:$G$8551,6,FALSE),"")</f>
        <v/>
      </c>
      <c r="G2435" s="315"/>
    </row>
    <row r="2436" spans="1:7" x14ac:dyDescent="0.25">
      <c r="A2436" s="319" t="str">
        <f t="shared" si="71"/>
        <v>I.2.2.02.03650</v>
      </c>
      <c r="B2436" s="319">
        <v>50</v>
      </c>
      <c r="C2436" s="394" t="str">
        <f>IFERROR(VLOOKUP(A2436,[3]DOORSCRIEFT!$A$2:$G$8551,2,FALSE),"")</f>
        <v/>
      </c>
      <c r="D2436" s="393" t="str">
        <f>IFERROR(VLOOKUP(A2436,[3]DOORSCRIEFT!$A$2:$G$8551,3,FALSE),"")</f>
        <v/>
      </c>
      <c r="E2436" s="392" t="str">
        <f>IFERROR(VLOOKUP(A2436,[3]DOORSCRIEFT!$A$2:$G$8551,4,FALSE),"")</f>
        <v/>
      </c>
      <c r="F2436" s="405" t="str">
        <f>IFERROR(VLOOKUP(A2436,[3]DOORSCRIEFT!$A$2:$G$8551,6,FALSE),"")</f>
        <v/>
      </c>
      <c r="G2436" s="315"/>
    </row>
    <row r="2437" spans="1:7" x14ac:dyDescent="0.25">
      <c r="A2437" s="319" t="str">
        <f t="shared" si="71"/>
        <v>I.2.2.02.03651</v>
      </c>
      <c r="B2437" s="319">
        <v>51</v>
      </c>
      <c r="C2437" s="394" t="str">
        <f>IFERROR(VLOOKUP(A2437,[3]DOORSCRIEFT!$A$2:$G$8551,2,FALSE),"")</f>
        <v/>
      </c>
      <c r="D2437" s="393" t="str">
        <f>IFERROR(VLOOKUP(A2437,[3]DOORSCRIEFT!$A$2:$G$8551,3,FALSE),"")</f>
        <v/>
      </c>
      <c r="E2437" s="392" t="str">
        <f>IFERROR(VLOOKUP(A2437,[3]DOORSCRIEFT!$A$2:$G$8551,4,FALSE),"")</f>
        <v/>
      </c>
      <c r="F2437" s="405" t="str">
        <f>IFERROR(VLOOKUP(A2437,[3]DOORSCRIEFT!$A$2:$G$8551,6,FALSE),"")</f>
        <v/>
      </c>
      <c r="G2437" s="315"/>
    </row>
    <row r="2438" spans="1:7" x14ac:dyDescent="0.25">
      <c r="A2438" s="319" t="str">
        <f t="shared" si="71"/>
        <v>I.2.2.02.03652</v>
      </c>
      <c r="B2438" s="319">
        <v>52</v>
      </c>
      <c r="C2438" s="394" t="str">
        <f>IFERROR(VLOOKUP(A2438,[3]DOORSCRIEFT!$A$2:$G$8551,2,FALSE),"")</f>
        <v/>
      </c>
      <c r="D2438" s="393" t="str">
        <f>IFERROR(VLOOKUP(A2438,[3]DOORSCRIEFT!$A$2:$G$8551,3,FALSE),"")</f>
        <v/>
      </c>
      <c r="E2438" s="392" t="str">
        <f>IFERROR(VLOOKUP(A2438,[3]DOORSCRIEFT!$A$2:$G$8551,4,FALSE),"")</f>
        <v/>
      </c>
      <c r="F2438" s="405" t="str">
        <f>IFERROR(VLOOKUP(A2438,[3]DOORSCRIEFT!$A$2:$G$8551,6,FALSE),"")</f>
        <v/>
      </c>
      <c r="G2438" s="315"/>
    </row>
    <row r="2439" spans="1:7" x14ac:dyDescent="0.25">
      <c r="A2439" s="319" t="str">
        <f t="shared" si="71"/>
        <v>I.2.2.02.03653</v>
      </c>
      <c r="B2439" s="319">
        <v>53</v>
      </c>
      <c r="C2439" s="394" t="str">
        <f>IFERROR(VLOOKUP(A2439,[3]DOORSCRIEFT!$A$2:$G$8551,2,FALSE),"")</f>
        <v/>
      </c>
      <c r="D2439" s="393" t="str">
        <f>IFERROR(VLOOKUP(A2439,[3]DOORSCRIEFT!$A$2:$G$8551,3,FALSE),"")</f>
        <v/>
      </c>
      <c r="E2439" s="392" t="str">
        <f>IFERROR(VLOOKUP(A2439,[3]DOORSCRIEFT!$A$2:$G$8551,4,FALSE),"")</f>
        <v/>
      </c>
      <c r="F2439" s="405" t="str">
        <f>IFERROR(VLOOKUP(A2439,[3]DOORSCRIEFT!$A$2:$G$8551,6,FALSE),"")</f>
        <v/>
      </c>
      <c r="G2439" s="315"/>
    </row>
    <row r="2440" spans="1:7" x14ac:dyDescent="0.25">
      <c r="A2440" s="319" t="str">
        <f t="shared" si="71"/>
        <v>I.2.2.02.03654</v>
      </c>
      <c r="B2440" s="319">
        <v>54</v>
      </c>
      <c r="C2440" s="394" t="str">
        <f>IFERROR(VLOOKUP(A2440,[3]DOORSCRIEFT!$A$2:$G$8551,2,FALSE),"")</f>
        <v/>
      </c>
      <c r="D2440" s="393" t="str">
        <f>IFERROR(VLOOKUP(A2440,[3]DOORSCRIEFT!$A$2:$G$8551,3,FALSE),"")</f>
        <v/>
      </c>
      <c r="E2440" s="392" t="str">
        <f>IFERROR(VLOOKUP(A2440,[3]DOORSCRIEFT!$A$2:$G$8551,4,FALSE),"")</f>
        <v/>
      </c>
      <c r="F2440" s="405" t="str">
        <f>IFERROR(VLOOKUP(A2440,[3]DOORSCRIEFT!$A$2:$G$8551,6,FALSE),"")</f>
        <v/>
      </c>
      <c r="G2440" s="315"/>
    </row>
    <row r="2441" spans="1:7" x14ac:dyDescent="0.25">
      <c r="A2441" s="319" t="str">
        <f t="shared" si="71"/>
        <v>I.2.2.02.03655</v>
      </c>
      <c r="B2441" s="319">
        <v>55</v>
      </c>
      <c r="C2441" s="394" t="str">
        <f>IFERROR(VLOOKUP(A2441,[3]DOORSCRIEFT!$A$2:$G$8551,2,FALSE),"")</f>
        <v/>
      </c>
      <c r="D2441" s="393" t="str">
        <f>IFERROR(VLOOKUP(A2441,[3]DOORSCRIEFT!$A$2:$G$8551,3,FALSE),"")</f>
        <v/>
      </c>
      <c r="E2441" s="392" t="str">
        <f>IFERROR(VLOOKUP(A2441,[3]DOORSCRIEFT!$A$2:$G$8551,4,FALSE),"")</f>
        <v/>
      </c>
      <c r="F2441" s="405" t="str">
        <f>IFERROR(VLOOKUP(A2441,[3]DOORSCRIEFT!$A$2:$G$8551,6,FALSE),"")</f>
        <v/>
      </c>
      <c r="G2441" s="315"/>
    </row>
    <row r="2442" spans="1:7" x14ac:dyDescent="0.25">
      <c r="A2442" s="319" t="str">
        <f t="shared" si="71"/>
        <v>I.2.2.02.03656</v>
      </c>
      <c r="B2442" s="319">
        <v>56</v>
      </c>
      <c r="C2442" s="394" t="str">
        <f>IFERROR(VLOOKUP(A2442,[3]DOORSCRIEFT!$A$2:$G$8551,2,FALSE),"")</f>
        <v/>
      </c>
      <c r="D2442" s="393" t="str">
        <f>IFERROR(VLOOKUP(A2442,[3]DOORSCRIEFT!$A$2:$G$8551,3,FALSE),"")</f>
        <v/>
      </c>
      <c r="E2442" s="392" t="str">
        <f>IFERROR(VLOOKUP(A2442,[3]DOORSCRIEFT!$A$2:$G$8551,4,FALSE),"")</f>
        <v/>
      </c>
      <c r="F2442" s="405" t="str">
        <f>IFERROR(VLOOKUP(A2442,[3]DOORSCRIEFT!$A$2:$G$8551,6,FALSE),"")</f>
        <v/>
      </c>
      <c r="G2442" s="315"/>
    </row>
    <row r="2443" spans="1:7" x14ac:dyDescent="0.25">
      <c r="A2443" s="319" t="str">
        <f t="shared" si="71"/>
        <v>I.2.2.02.03657</v>
      </c>
      <c r="B2443" s="319">
        <v>57</v>
      </c>
      <c r="C2443" s="394" t="str">
        <f>IFERROR(VLOOKUP(A2443,[3]DOORSCRIEFT!$A$2:$G$8551,2,FALSE),"")</f>
        <v/>
      </c>
      <c r="D2443" s="393" t="str">
        <f>IFERROR(VLOOKUP(A2443,[3]DOORSCRIEFT!$A$2:$G$8551,3,FALSE),"")</f>
        <v/>
      </c>
      <c r="E2443" s="392" t="str">
        <f>IFERROR(VLOOKUP(A2443,[3]DOORSCRIEFT!$A$2:$G$8551,4,FALSE),"")</f>
        <v/>
      </c>
      <c r="F2443" s="405" t="str">
        <f>IFERROR(VLOOKUP(A2443,[3]DOORSCRIEFT!$A$2:$G$8551,6,FALSE),"")</f>
        <v/>
      </c>
      <c r="G2443" s="315"/>
    </row>
    <row r="2444" spans="1:7" x14ac:dyDescent="0.25">
      <c r="A2444" s="319" t="str">
        <f t="shared" si="71"/>
        <v>I.2.2.02.03658</v>
      </c>
      <c r="B2444" s="319">
        <v>58</v>
      </c>
      <c r="C2444" s="394" t="str">
        <f>IFERROR(VLOOKUP(A2444,[3]DOORSCRIEFT!$A$2:$G$8551,2,FALSE),"")</f>
        <v/>
      </c>
      <c r="D2444" s="393" t="str">
        <f>IFERROR(VLOOKUP(A2444,[3]DOORSCRIEFT!$A$2:$G$8551,3,FALSE),"")</f>
        <v/>
      </c>
      <c r="E2444" s="392" t="str">
        <f>IFERROR(VLOOKUP(A2444,[3]DOORSCRIEFT!$A$2:$G$8551,4,FALSE),"")</f>
        <v/>
      </c>
      <c r="F2444" s="405" t="str">
        <f>IFERROR(VLOOKUP(A2444,[3]DOORSCRIEFT!$A$2:$G$8551,6,FALSE),"")</f>
        <v/>
      </c>
      <c r="G2444" s="315"/>
    </row>
    <row r="2445" spans="1:7" x14ac:dyDescent="0.25">
      <c r="A2445" s="319" t="str">
        <f t="shared" si="71"/>
        <v>I.2.2.02.03659</v>
      </c>
      <c r="B2445" s="319">
        <v>59</v>
      </c>
      <c r="C2445" s="394" t="str">
        <f>IFERROR(VLOOKUP(A2445,[3]DOORSCRIEFT!$A$2:$G$8551,2,FALSE),"")</f>
        <v/>
      </c>
      <c r="D2445" s="393" t="str">
        <f>IFERROR(VLOOKUP(A2445,[3]DOORSCRIEFT!$A$2:$G$8551,3,FALSE),"")</f>
        <v/>
      </c>
      <c r="E2445" s="392" t="str">
        <f>IFERROR(VLOOKUP(A2445,[3]DOORSCRIEFT!$A$2:$G$8551,4,FALSE),"")</f>
        <v/>
      </c>
      <c r="F2445" s="405" t="str">
        <f>IFERROR(VLOOKUP(A2445,[3]DOORSCRIEFT!$A$2:$G$8551,6,FALSE),"")</f>
        <v/>
      </c>
      <c r="G2445" s="315"/>
    </row>
    <row r="2446" spans="1:7" x14ac:dyDescent="0.25">
      <c r="A2446" s="319" t="str">
        <f t="shared" si="71"/>
        <v>I.2.2.02.03660</v>
      </c>
      <c r="B2446" s="319">
        <v>60</v>
      </c>
      <c r="C2446" s="394" t="str">
        <f>IFERROR(VLOOKUP(A2446,[3]DOORSCRIEFT!$A$2:$G$8551,2,FALSE),"")</f>
        <v/>
      </c>
      <c r="D2446" s="393" t="str">
        <f>IFERROR(VLOOKUP(A2446,[3]DOORSCRIEFT!$A$2:$G$8551,3,FALSE),"")</f>
        <v/>
      </c>
      <c r="E2446" s="392" t="str">
        <f>IFERROR(VLOOKUP(A2446,[3]DOORSCRIEFT!$A$2:$G$8551,4,FALSE),"")</f>
        <v/>
      </c>
      <c r="F2446" s="405" t="str">
        <f>IFERROR(VLOOKUP(A2446,[3]DOORSCRIEFT!$A$2:$G$8551,6,FALSE),"")</f>
        <v/>
      </c>
      <c r="G2446" s="315"/>
    </row>
    <row r="2447" spans="1:7" x14ac:dyDescent="0.25">
      <c r="A2447" s="319" t="str">
        <f t="shared" si="71"/>
        <v>I.2.2.02.03661</v>
      </c>
      <c r="B2447" s="319">
        <v>61</v>
      </c>
      <c r="C2447" s="394" t="str">
        <f>IFERROR(VLOOKUP(A2447,[3]DOORSCRIEFT!$A$2:$G$8551,2,FALSE),"")</f>
        <v/>
      </c>
      <c r="D2447" s="393" t="str">
        <f>IFERROR(VLOOKUP(A2447,[3]DOORSCRIEFT!$A$2:$G$8551,3,FALSE),"")</f>
        <v/>
      </c>
      <c r="E2447" s="392" t="str">
        <f>IFERROR(VLOOKUP(A2447,[3]DOORSCRIEFT!$A$2:$G$8551,4,FALSE),"")</f>
        <v/>
      </c>
      <c r="F2447" s="405" t="str">
        <f>IFERROR(VLOOKUP(A2447,[3]DOORSCRIEFT!$A$2:$G$8551,6,FALSE),"")</f>
        <v/>
      </c>
      <c r="G2447" s="315"/>
    </row>
    <row r="2448" spans="1:7" x14ac:dyDescent="0.25">
      <c r="A2448" s="319" t="str">
        <f t="shared" si="71"/>
        <v>I.2.2.02.03662</v>
      </c>
      <c r="B2448" s="319">
        <v>62</v>
      </c>
      <c r="C2448" s="394" t="str">
        <f>IFERROR(VLOOKUP(A2448,[3]DOORSCRIEFT!$A$2:$G$8551,2,FALSE),"")</f>
        <v/>
      </c>
      <c r="D2448" s="393" t="str">
        <f>IFERROR(VLOOKUP(A2448,[3]DOORSCRIEFT!$A$2:$G$8551,3,FALSE),"")</f>
        <v/>
      </c>
      <c r="E2448" s="392" t="str">
        <f>IFERROR(VLOOKUP(A2448,[3]DOORSCRIEFT!$A$2:$G$8551,4,FALSE),"")</f>
        <v/>
      </c>
      <c r="F2448" s="405" t="str">
        <f>IFERROR(VLOOKUP(A2448,[3]DOORSCRIEFT!$A$2:$G$8551,6,FALSE),"")</f>
        <v/>
      </c>
      <c r="G2448" s="315"/>
    </row>
    <row r="2449" spans="1:7" x14ac:dyDescent="0.25">
      <c r="A2449" s="319" t="str">
        <f t="shared" si="71"/>
        <v>I.2.2.02.03663</v>
      </c>
      <c r="B2449" s="319">
        <v>63</v>
      </c>
      <c r="C2449" s="394" t="str">
        <f>IFERROR(VLOOKUP(A2449,[3]DOORSCRIEFT!$A$2:$G$8551,2,FALSE),"")</f>
        <v/>
      </c>
      <c r="D2449" s="393" t="str">
        <f>IFERROR(VLOOKUP(A2449,[3]DOORSCRIEFT!$A$2:$G$8551,3,FALSE),"")</f>
        <v/>
      </c>
      <c r="E2449" s="392" t="str">
        <f>IFERROR(VLOOKUP(A2449,[3]DOORSCRIEFT!$A$2:$G$8551,4,FALSE),"")</f>
        <v/>
      </c>
      <c r="F2449" s="405" t="str">
        <f>IFERROR(VLOOKUP(A2449,[3]DOORSCRIEFT!$A$2:$G$8551,6,FALSE),"")</f>
        <v/>
      </c>
      <c r="G2449" s="315"/>
    </row>
    <row r="2450" spans="1:7" x14ac:dyDescent="0.25">
      <c r="A2450" s="319" t="str">
        <f t="shared" si="71"/>
        <v>I.2.2.02.03664</v>
      </c>
      <c r="B2450" s="319">
        <v>64</v>
      </c>
      <c r="C2450" s="394" t="str">
        <f>IFERROR(VLOOKUP(A2450,[3]DOORSCRIEFT!$A$2:$G$8551,2,FALSE),"")</f>
        <v/>
      </c>
      <c r="D2450" s="393" t="str">
        <f>IFERROR(VLOOKUP(A2450,[3]DOORSCRIEFT!$A$2:$G$8551,3,FALSE),"")</f>
        <v/>
      </c>
      <c r="E2450" s="392" t="str">
        <f>IFERROR(VLOOKUP(A2450,[3]DOORSCRIEFT!$A$2:$G$8551,4,FALSE),"")</f>
        <v/>
      </c>
      <c r="F2450" s="405" t="str">
        <f>IFERROR(VLOOKUP(A2450,[3]DOORSCRIEFT!$A$2:$G$8551,6,FALSE),"")</f>
        <v/>
      </c>
      <c r="G2450" s="315"/>
    </row>
    <row r="2451" spans="1:7" x14ac:dyDescent="0.25">
      <c r="A2451" s="319" t="str">
        <f t="shared" ref="A2451:A2482" si="72">$G$2380&amp;B2451</f>
        <v>I.2.2.02.03665</v>
      </c>
      <c r="B2451" s="319">
        <v>65</v>
      </c>
      <c r="C2451" s="394" t="str">
        <f>IFERROR(VLOOKUP(A2451,[3]DOORSCRIEFT!$A$2:$G$8551,2,FALSE),"")</f>
        <v/>
      </c>
      <c r="D2451" s="393" t="str">
        <f>IFERROR(VLOOKUP(A2451,[3]DOORSCRIEFT!$A$2:$G$8551,3,FALSE),"")</f>
        <v/>
      </c>
      <c r="E2451" s="392" t="str">
        <f>IFERROR(VLOOKUP(A2451,[3]DOORSCRIEFT!$A$2:$G$8551,4,FALSE),"")</f>
        <v/>
      </c>
      <c r="F2451" s="405" t="str">
        <f>IFERROR(VLOOKUP(A2451,[3]DOORSCRIEFT!$A$2:$G$8551,6,FALSE),"")</f>
        <v/>
      </c>
      <c r="G2451" s="315"/>
    </row>
    <row r="2452" spans="1:7" x14ac:dyDescent="0.25">
      <c r="A2452" s="319" t="str">
        <f t="shared" si="72"/>
        <v>I.2.2.02.03666</v>
      </c>
      <c r="B2452" s="319">
        <v>66</v>
      </c>
      <c r="C2452" s="394" t="str">
        <f>IFERROR(VLOOKUP(A2452,[3]DOORSCRIEFT!$A$2:$G$8551,2,FALSE),"")</f>
        <v/>
      </c>
      <c r="D2452" s="393" t="str">
        <f>IFERROR(VLOOKUP(A2452,[3]DOORSCRIEFT!$A$2:$G$8551,3,FALSE),"")</f>
        <v/>
      </c>
      <c r="E2452" s="392" t="str">
        <f>IFERROR(VLOOKUP(A2452,[3]DOORSCRIEFT!$A$2:$G$8551,4,FALSE),"")</f>
        <v/>
      </c>
      <c r="F2452" s="405" t="str">
        <f>IFERROR(VLOOKUP(A2452,[3]DOORSCRIEFT!$A$2:$G$8551,6,FALSE),"")</f>
        <v/>
      </c>
      <c r="G2452" s="315"/>
    </row>
    <row r="2453" spans="1:7" x14ac:dyDescent="0.25">
      <c r="A2453" s="319" t="str">
        <f t="shared" si="72"/>
        <v>I.2.2.02.03667</v>
      </c>
      <c r="B2453" s="319">
        <v>67</v>
      </c>
      <c r="C2453" s="394" t="str">
        <f>IFERROR(VLOOKUP(A2453,[3]DOORSCRIEFT!$A$2:$G$8551,2,FALSE),"")</f>
        <v/>
      </c>
      <c r="D2453" s="393" t="str">
        <f>IFERROR(VLOOKUP(A2453,[3]DOORSCRIEFT!$A$2:$G$8551,3,FALSE),"")</f>
        <v/>
      </c>
      <c r="E2453" s="392" t="str">
        <f>IFERROR(VLOOKUP(A2453,[3]DOORSCRIEFT!$A$2:$G$8551,4,FALSE),"")</f>
        <v/>
      </c>
      <c r="F2453" s="405" t="str">
        <f>IFERROR(VLOOKUP(A2453,[3]DOORSCRIEFT!$A$2:$G$8551,6,FALSE),"")</f>
        <v/>
      </c>
      <c r="G2453" s="315"/>
    </row>
    <row r="2454" spans="1:7" x14ac:dyDescent="0.25">
      <c r="A2454" s="319" t="str">
        <f t="shared" si="72"/>
        <v>I.2.2.02.03668</v>
      </c>
      <c r="B2454" s="319">
        <v>68</v>
      </c>
      <c r="C2454" s="394" t="str">
        <f>IFERROR(VLOOKUP(A2454,[3]DOORSCRIEFT!$A$2:$G$8551,2,FALSE),"")</f>
        <v/>
      </c>
      <c r="D2454" s="393" t="str">
        <f>IFERROR(VLOOKUP(A2454,[3]DOORSCRIEFT!$A$2:$G$8551,3,FALSE),"")</f>
        <v/>
      </c>
      <c r="E2454" s="392" t="str">
        <f>IFERROR(VLOOKUP(A2454,[3]DOORSCRIEFT!$A$2:$G$8551,4,FALSE),"")</f>
        <v/>
      </c>
      <c r="F2454" s="405" t="str">
        <f>IFERROR(VLOOKUP(A2454,[3]DOORSCRIEFT!$A$2:$G$8551,6,FALSE),"")</f>
        <v/>
      </c>
      <c r="G2454" s="315"/>
    </row>
    <row r="2455" spans="1:7" x14ac:dyDescent="0.25">
      <c r="A2455" s="319" t="str">
        <f t="shared" si="72"/>
        <v>I.2.2.02.03669</v>
      </c>
      <c r="B2455" s="319">
        <v>69</v>
      </c>
      <c r="C2455" s="394" t="str">
        <f>IFERROR(VLOOKUP(A2455,[3]DOORSCRIEFT!$A$2:$G$8551,2,FALSE),"")</f>
        <v/>
      </c>
      <c r="D2455" s="393" t="str">
        <f>IFERROR(VLOOKUP(A2455,[3]DOORSCRIEFT!$A$2:$G$8551,3,FALSE),"")</f>
        <v/>
      </c>
      <c r="E2455" s="392" t="str">
        <f>IFERROR(VLOOKUP(A2455,[3]DOORSCRIEFT!$A$2:$G$8551,4,FALSE),"")</f>
        <v/>
      </c>
      <c r="F2455" s="405" t="str">
        <f>IFERROR(VLOOKUP(A2455,[3]DOORSCRIEFT!$A$2:$G$8551,6,FALSE),"")</f>
        <v/>
      </c>
      <c r="G2455" s="315"/>
    </row>
    <row r="2456" spans="1:7" x14ac:dyDescent="0.25">
      <c r="A2456" s="319" t="str">
        <f t="shared" si="72"/>
        <v>I.2.2.02.03670</v>
      </c>
      <c r="B2456" s="319">
        <v>70</v>
      </c>
      <c r="C2456" s="394" t="str">
        <f>IFERROR(VLOOKUP(A2456,[3]DOORSCRIEFT!$A$2:$G$8551,2,FALSE),"")</f>
        <v/>
      </c>
      <c r="D2456" s="393" t="str">
        <f>IFERROR(VLOOKUP(A2456,[3]DOORSCRIEFT!$A$2:$G$8551,3,FALSE),"")</f>
        <v/>
      </c>
      <c r="E2456" s="392" t="str">
        <f>IFERROR(VLOOKUP(A2456,[3]DOORSCRIEFT!$A$2:$G$8551,4,FALSE),"")</f>
        <v/>
      </c>
      <c r="F2456" s="405" t="str">
        <f>IFERROR(VLOOKUP(A2456,[3]DOORSCRIEFT!$A$2:$G$8551,6,FALSE),"")</f>
        <v/>
      </c>
      <c r="G2456" s="315"/>
    </row>
    <row r="2457" spans="1:7" x14ac:dyDescent="0.25">
      <c r="A2457" s="319" t="str">
        <f t="shared" si="72"/>
        <v>I.2.2.02.03671</v>
      </c>
      <c r="B2457" s="319">
        <v>71</v>
      </c>
      <c r="C2457" s="394" t="str">
        <f>IFERROR(VLOOKUP(A2457,[3]DOORSCRIEFT!$A$2:$G$8551,2,FALSE),"")</f>
        <v/>
      </c>
      <c r="D2457" s="393" t="str">
        <f>IFERROR(VLOOKUP(A2457,[3]DOORSCRIEFT!$A$2:$G$8551,3,FALSE),"")</f>
        <v/>
      </c>
      <c r="E2457" s="392" t="str">
        <f>IFERROR(VLOOKUP(A2457,[3]DOORSCRIEFT!$A$2:$G$8551,4,FALSE),"")</f>
        <v/>
      </c>
      <c r="F2457" s="405" t="str">
        <f>IFERROR(VLOOKUP(A2457,[3]DOORSCRIEFT!$A$2:$G$8551,6,FALSE),"")</f>
        <v/>
      </c>
      <c r="G2457" s="315"/>
    </row>
    <row r="2458" spans="1:7" x14ac:dyDescent="0.25">
      <c r="A2458" s="319" t="str">
        <f t="shared" si="72"/>
        <v>I.2.2.02.03672</v>
      </c>
      <c r="B2458" s="319">
        <v>72</v>
      </c>
      <c r="C2458" s="394" t="str">
        <f>IFERROR(VLOOKUP(A2458,[3]DOORSCRIEFT!$A$2:$G$8551,2,FALSE),"")</f>
        <v/>
      </c>
      <c r="D2458" s="393" t="str">
        <f>IFERROR(VLOOKUP(A2458,[3]DOORSCRIEFT!$A$2:$G$8551,3,FALSE),"")</f>
        <v/>
      </c>
      <c r="E2458" s="392" t="str">
        <f>IFERROR(VLOOKUP(A2458,[3]DOORSCRIEFT!$A$2:$G$8551,4,FALSE),"")</f>
        <v/>
      </c>
      <c r="F2458" s="405" t="str">
        <f>IFERROR(VLOOKUP(A2458,[3]DOORSCRIEFT!$A$2:$G$8551,6,FALSE),"")</f>
        <v/>
      </c>
      <c r="G2458" s="315"/>
    </row>
    <row r="2459" spans="1:7" x14ac:dyDescent="0.25">
      <c r="A2459" s="319" t="str">
        <f t="shared" si="72"/>
        <v>I.2.2.02.03673</v>
      </c>
      <c r="B2459" s="319">
        <v>73</v>
      </c>
      <c r="C2459" s="394" t="str">
        <f>IFERROR(VLOOKUP(A2459,[3]DOORSCRIEFT!$A$2:$G$8551,2,FALSE),"")</f>
        <v/>
      </c>
      <c r="D2459" s="393" t="str">
        <f>IFERROR(VLOOKUP(A2459,[3]DOORSCRIEFT!$A$2:$G$8551,3,FALSE),"")</f>
        <v/>
      </c>
      <c r="E2459" s="392" t="str">
        <f>IFERROR(VLOOKUP(A2459,[3]DOORSCRIEFT!$A$2:$G$8551,4,FALSE),"")</f>
        <v/>
      </c>
      <c r="F2459" s="405" t="str">
        <f>IFERROR(VLOOKUP(A2459,[3]DOORSCRIEFT!$A$2:$G$8551,6,FALSE),"")</f>
        <v/>
      </c>
      <c r="G2459" s="315"/>
    </row>
    <row r="2460" spans="1:7" x14ac:dyDescent="0.25">
      <c r="A2460" s="319" t="str">
        <f t="shared" si="72"/>
        <v>I.2.2.02.03674</v>
      </c>
      <c r="B2460" s="319">
        <v>74</v>
      </c>
      <c r="C2460" s="394" t="str">
        <f>IFERROR(VLOOKUP(A2460,[3]DOORSCRIEFT!$A$2:$G$8551,2,FALSE),"")</f>
        <v/>
      </c>
      <c r="D2460" s="393" t="str">
        <f>IFERROR(VLOOKUP(A2460,[3]DOORSCRIEFT!$A$2:$G$8551,3,FALSE),"")</f>
        <v/>
      </c>
      <c r="E2460" s="392" t="str">
        <f>IFERROR(VLOOKUP(A2460,[3]DOORSCRIEFT!$A$2:$G$8551,4,FALSE),"")</f>
        <v/>
      </c>
      <c r="F2460" s="405" t="str">
        <f>IFERROR(VLOOKUP(A2460,[3]DOORSCRIEFT!$A$2:$G$8551,6,FALSE),"")</f>
        <v/>
      </c>
      <c r="G2460" s="315"/>
    </row>
    <row r="2461" spans="1:7" x14ac:dyDescent="0.25">
      <c r="A2461" s="319" t="str">
        <f t="shared" si="72"/>
        <v>I.2.2.02.03675</v>
      </c>
      <c r="B2461" s="319">
        <v>75</v>
      </c>
      <c r="C2461" s="394" t="str">
        <f>IFERROR(VLOOKUP(A2461,[3]DOORSCRIEFT!$A$2:$G$8551,2,FALSE),"")</f>
        <v/>
      </c>
      <c r="D2461" s="393" t="str">
        <f>IFERROR(VLOOKUP(A2461,[3]DOORSCRIEFT!$A$2:$G$8551,3,FALSE),"")</f>
        <v/>
      </c>
      <c r="E2461" s="392" t="str">
        <f>IFERROR(VLOOKUP(A2461,[3]DOORSCRIEFT!$A$2:$G$8551,4,FALSE),"")</f>
        <v/>
      </c>
      <c r="F2461" s="405" t="str">
        <f>IFERROR(VLOOKUP(A2461,[3]DOORSCRIEFT!$A$2:$G$8551,6,FALSE),"")</f>
        <v/>
      </c>
      <c r="G2461" s="315"/>
    </row>
    <row r="2462" spans="1:7" x14ac:dyDescent="0.25">
      <c r="A2462" s="319" t="str">
        <f t="shared" si="72"/>
        <v>I.2.2.02.03676</v>
      </c>
      <c r="B2462" s="319">
        <v>76</v>
      </c>
      <c r="C2462" s="394" t="str">
        <f>IFERROR(VLOOKUP(A2462,[3]DOORSCRIEFT!$A$2:$G$8551,2,FALSE),"")</f>
        <v/>
      </c>
      <c r="D2462" s="393" t="str">
        <f>IFERROR(VLOOKUP(A2462,[3]DOORSCRIEFT!$A$2:$G$8551,3,FALSE),"")</f>
        <v/>
      </c>
      <c r="E2462" s="392" t="str">
        <f>IFERROR(VLOOKUP(A2462,[3]DOORSCRIEFT!$A$2:$G$8551,4,FALSE),"")</f>
        <v/>
      </c>
      <c r="F2462" s="405" t="str">
        <f>IFERROR(VLOOKUP(A2462,[3]DOORSCRIEFT!$A$2:$G$8551,6,FALSE),"")</f>
        <v/>
      </c>
      <c r="G2462" s="315"/>
    </row>
    <row r="2463" spans="1:7" x14ac:dyDescent="0.25">
      <c r="A2463" s="319" t="str">
        <f t="shared" si="72"/>
        <v>I.2.2.02.03677</v>
      </c>
      <c r="B2463" s="319">
        <v>77</v>
      </c>
      <c r="C2463" s="394" t="str">
        <f>IFERROR(VLOOKUP(A2463,[3]DOORSCRIEFT!$A$2:$G$8551,2,FALSE),"")</f>
        <v/>
      </c>
      <c r="D2463" s="393" t="str">
        <f>IFERROR(VLOOKUP(A2463,[3]DOORSCRIEFT!$A$2:$G$8551,3,FALSE),"")</f>
        <v/>
      </c>
      <c r="E2463" s="392" t="str">
        <f>IFERROR(VLOOKUP(A2463,[3]DOORSCRIEFT!$A$2:$G$8551,4,FALSE),"")</f>
        <v/>
      </c>
      <c r="F2463" s="405" t="str">
        <f>IFERROR(VLOOKUP(A2463,[3]DOORSCRIEFT!$A$2:$G$8551,6,FALSE),"")</f>
        <v/>
      </c>
      <c r="G2463" s="315"/>
    </row>
    <row r="2464" spans="1:7" x14ac:dyDescent="0.25">
      <c r="A2464" s="319" t="str">
        <f t="shared" si="72"/>
        <v>I.2.2.02.03678</v>
      </c>
      <c r="B2464" s="319">
        <v>78</v>
      </c>
      <c r="C2464" s="394" t="str">
        <f>IFERROR(VLOOKUP(A2464,[3]DOORSCRIEFT!$A$2:$G$8551,2,FALSE),"")</f>
        <v/>
      </c>
      <c r="D2464" s="393" t="str">
        <f>IFERROR(VLOOKUP(A2464,[3]DOORSCRIEFT!$A$2:$G$8551,3,FALSE),"")</f>
        <v/>
      </c>
      <c r="E2464" s="392" t="str">
        <f>IFERROR(VLOOKUP(A2464,[3]DOORSCRIEFT!$A$2:$G$8551,4,FALSE),"")</f>
        <v/>
      </c>
      <c r="F2464" s="405" t="str">
        <f>IFERROR(VLOOKUP(A2464,[3]DOORSCRIEFT!$A$2:$G$8551,6,FALSE),"")</f>
        <v/>
      </c>
      <c r="G2464" s="315"/>
    </row>
    <row r="2465" spans="1:7" x14ac:dyDescent="0.25">
      <c r="A2465" s="319" t="str">
        <f t="shared" si="72"/>
        <v>I.2.2.02.03679</v>
      </c>
      <c r="B2465" s="319">
        <v>79</v>
      </c>
      <c r="C2465" s="394" t="str">
        <f>IFERROR(VLOOKUP(A2465,[3]DOORSCRIEFT!$A$2:$G$8551,2,FALSE),"")</f>
        <v/>
      </c>
      <c r="D2465" s="393" t="str">
        <f>IFERROR(VLOOKUP(A2465,[3]DOORSCRIEFT!$A$2:$G$8551,3,FALSE),"")</f>
        <v/>
      </c>
      <c r="E2465" s="392" t="str">
        <f>IFERROR(VLOOKUP(A2465,[3]DOORSCRIEFT!$A$2:$G$8551,4,FALSE),"")</f>
        <v/>
      </c>
      <c r="F2465" s="405" t="str">
        <f>IFERROR(VLOOKUP(A2465,[3]DOORSCRIEFT!$A$2:$G$8551,6,FALSE),"")</f>
        <v/>
      </c>
      <c r="G2465" s="315"/>
    </row>
    <row r="2466" spans="1:7" x14ac:dyDescent="0.25">
      <c r="A2466" s="319" t="str">
        <f t="shared" si="72"/>
        <v>I.2.2.02.03680</v>
      </c>
      <c r="B2466" s="319">
        <v>80</v>
      </c>
      <c r="C2466" s="394" t="str">
        <f>IFERROR(VLOOKUP(A2466,[3]DOORSCRIEFT!$A$2:$G$8551,2,FALSE),"")</f>
        <v/>
      </c>
      <c r="D2466" s="393" t="str">
        <f>IFERROR(VLOOKUP(A2466,[3]DOORSCRIEFT!$A$2:$G$8551,3,FALSE),"")</f>
        <v/>
      </c>
      <c r="E2466" s="392" t="str">
        <f>IFERROR(VLOOKUP(A2466,[3]DOORSCRIEFT!$A$2:$G$8551,4,FALSE),"")</f>
        <v/>
      </c>
      <c r="F2466" s="405" t="str">
        <f>IFERROR(VLOOKUP(A2466,[3]DOORSCRIEFT!$A$2:$G$8551,6,FALSE),"")</f>
        <v/>
      </c>
      <c r="G2466" s="315"/>
    </row>
    <row r="2467" spans="1:7" x14ac:dyDescent="0.25">
      <c r="A2467" s="319" t="str">
        <f t="shared" si="72"/>
        <v>I.2.2.02.03681</v>
      </c>
      <c r="B2467" s="319">
        <v>81</v>
      </c>
      <c r="C2467" s="394" t="str">
        <f>IFERROR(VLOOKUP(A2467,[3]DOORSCRIEFT!$A$2:$G$8551,2,FALSE),"")</f>
        <v/>
      </c>
      <c r="D2467" s="393" t="str">
        <f>IFERROR(VLOOKUP(A2467,[3]DOORSCRIEFT!$A$2:$G$8551,3,FALSE),"")</f>
        <v/>
      </c>
      <c r="E2467" s="392" t="str">
        <f>IFERROR(VLOOKUP(A2467,[3]DOORSCRIEFT!$A$2:$G$8551,4,FALSE),"")</f>
        <v/>
      </c>
      <c r="F2467" s="405" t="str">
        <f>IFERROR(VLOOKUP(A2467,[3]DOORSCRIEFT!$A$2:$G$8551,6,FALSE),"")</f>
        <v/>
      </c>
      <c r="G2467" s="315"/>
    </row>
    <row r="2468" spans="1:7" x14ac:dyDescent="0.25">
      <c r="A2468" s="319" t="str">
        <f t="shared" si="72"/>
        <v>I.2.2.02.03682</v>
      </c>
      <c r="B2468" s="319">
        <v>82</v>
      </c>
      <c r="C2468" s="394" t="str">
        <f>IFERROR(VLOOKUP(A2468,[3]DOORSCRIEFT!$A$2:$G$8551,2,FALSE),"")</f>
        <v/>
      </c>
      <c r="D2468" s="393" t="str">
        <f>IFERROR(VLOOKUP(A2468,[3]DOORSCRIEFT!$A$2:$G$8551,3,FALSE),"")</f>
        <v/>
      </c>
      <c r="E2468" s="392" t="str">
        <f>IFERROR(VLOOKUP(A2468,[3]DOORSCRIEFT!$A$2:$G$8551,4,FALSE),"")</f>
        <v/>
      </c>
      <c r="F2468" s="405" t="str">
        <f>IFERROR(VLOOKUP(A2468,[3]DOORSCRIEFT!$A$2:$G$8551,6,FALSE),"")</f>
        <v/>
      </c>
      <c r="G2468" s="315"/>
    </row>
    <row r="2469" spans="1:7" x14ac:dyDescent="0.25">
      <c r="A2469" s="319" t="str">
        <f t="shared" si="72"/>
        <v>I.2.2.02.03683</v>
      </c>
      <c r="B2469" s="319">
        <v>83</v>
      </c>
      <c r="C2469" s="394" t="str">
        <f>IFERROR(VLOOKUP(A2469,[3]DOORSCRIEFT!$A$2:$G$8551,2,FALSE),"")</f>
        <v/>
      </c>
      <c r="D2469" s="393" t="str">
        <f>IFERROR(VLOOKUP(A2469,[3]DOORSCRIEFT!$A$2:$G$8551,3,FALSE),"")</f>
        <v/>
      </c>
      <c r="E2469" s="392" t="str">
        <f>IFERROR(VLOOKUP(A2469,[3]DOORSCRIEFT!$A$2:$G$8551,4,FALSE),"")</f>
        <v/>
      </c>
      <c r="F2469" s="405" t="str">
        <f>IFERROR(VLOOKUP(A2469,[3]DOORSCRIEFT!$A$2:$G$8551,6,FALSE),"")</f>
        <v/>
      </c>
      <c r="G2469" s="315"/>
    </row>
    <row r="2470" spans="1:7" x14ac:dyDescent="0.25">
      <c r="A2470" s="319" t="str">
        <f t="shared" si="72"/>
        <v>I.2.2.02.03684</v>
      </c>
      <c r="B2470" s="319">
        <v>84</v>
      </c>
      <c r="C2470" s="394" t="str">
        <f>IFERROR(VLOOKUP(A2470,[3]DOORSCRIEFT!$A$2:$G$8551,2,FALSE),"")</f>
        <v/>
      </c>
      <c r="D2470" s="393" t="str">
        <f>IFERROR(VLOOKUP(A2470,[3]DOORSCRIEFT!$A$2:$G$8551,3,FALSE),"")</f>
        <v/>
      </c>
      <c r="E2470" s="392" t="str">
        <f>IFERROR(VLOOKUP(A2470,[3]DOORSCRIEFT!$A$2:$G$8551,4,FALSE),"")</f>
        <v/>
      </c>
      <c r="F2470" s="405" t="str">
        <f>IFERROR(VLOOKUP(A2470,[3]DOORSCRIEFT!$A$2:$G$8551,6,FALSE),"")</f>
        <v/>
      </c>
      <c r="G2470" s="315"/>
    </row>
    <row r="2471" spans="1:7" x14ac:dyDescent="0.25">
      <c r="A2471" s="319" t="str">
        <f t="shared" si="72"/>
        <v>I.2.2.02.03685</v>
      </c>
      <c r="B2471" s="319">
        <v>85</v>
      </c>
      <c r="C2471" s="394" t="str">
        <f>IFERROR(VLOOKUP(A2471,[3]DOORSCRIEFT!$A$2:$G$8551,2,FALSE),"")</f>
        <v/>
      </c>
      <c r="D2471" s="393" t="str">
        <f>IFERROR(VLOOKUP(A2471,[3]DOORSCRIEFT!$A$2:$G$8551,3,FALSE),"")</f>
        <v/>
      </c>
      <c r="E2471" s="392" t="str">
        <f>IFERROR(VLOOKUP(A2471,[3]DOORSCRIEFT!$A$2:$G$8551,4,FALSE),"")</f>
        <v/>
      </c>
      <c r="F2471" s="405" t="str">
        <f>IFERROR(VLOOKUP(A2471,[3]DOORSCRIEFT!$A$2:$G$8551,6,FALSE),"")</f>
        <v/>
      </c>
      <c r="G2471" s="315"/>
    </row>
    <row r="2472" spans="1:7" x14ac:dyDescent="0.25">
      <c r="A2472" s="319" t="str">
        <f t="shared" si="72"/>
        <v>I.2.2.02.03686</v>
      </c>
      <c r="B2472" s="319">
        <v>86</v>
      </c>
      <c r="C2472" s="394" t="str">
        <f>IFERROR(VLOOKUP(A2472,[3]DOORSCRIEFT!$A$2:$G$8551,2,FALSE),"")</f>
        <v/>
      </c>
      <c r="D2472" s="393" t="str">
        <f>IFERROR(VLOOKUP(A2472,[3]DOORSCRIEFT!$A$2:$G$8551,3,FALSE),"")</f>
        <v/>
      </c>
      <c r="E2472" s="392" t="str">
        <f>IFERROR(VLOOKUP(A2472,[3]DOORSCRIEFT!$A$2:$G$8551,4,FALSE),"")</f>
        <v/>
      </c>
      <c r="F2472" s="405" t="str">
        <f>IFERROR(VLOOKUP(A2472,[3]DOORSCRIEFT!$A$2:$G$8551,6,FALSE),"")</f>
        <v/>
      </c>
      <c r="G2472" s="315"/>
    </row>
    <row r="2473" spans="1:7" x14ac:dyDescent="0.25">
      <c r="A2473" s="319" t="str">
        <f t="shared" si="72"/>
        <v>I.2.2.02.03687</v>
      </c>
      <c r="B2473" s="319">
        <v>87</v>
      </c>
      <c r="C2473" s="394" t="str">
        <f>IFERROR(VLOOKUP(A2473,[3]DOORSCRIEFT!$A$2:$G$8551,2,FALSE),"")</f>
        <v/>
      </c>
      <c r="D2473" s="393" t="str">
        <f>IFERROR(VLOOKUP(A2473,[3]DOORSCRIEFT!$A$2:$G$8551,3,FALSE),"")</f>
        <v/>
      </c>
      <c r="E2473" s="392" t="str">
        <f>IFERROR(VLOOKUP(A2473,[3]DOORSCRIEFT!$A$2:$G$8551,4,FALSE),"")</f>
        <v/>
      </c>
      <c r="F2473" s="405" t="str">
        <f>IFERROR(VLOOKUP(A2473,[3]DOORSCRIEFT!$A$2:$G$8551,6,FALSE),"")</f>
        <v/>
      </c>
      <c r="G2473" s="315"/>
    </row>
    <row r="2474" spans="1:7" x14ac:dyDescent="0.25">
      <c r="A2474" s="319" t="str">
        <f t="shared" si="72"/>
        <v>I.2.2.02.03688</v>
      </c>
      <c r="B2474" s="319">
        <v>88</v>
      </c>
      <c r="C2474" s="394" t="str">
        <f>IFERROR(VLOOKUP(A2474,[3]DOORSCRIEFT!$A$2:$G$8551,2,FALSE),"")</f>
        <v/>
      </c>
      <c r="D2474" s="393" t="str">
        <f>IFERROR(VLOOKUP(A2474,[3]DOORSCRIEFT!$A$2:$G$8551,3,FALSE),"")</f>
        <v/>
      </c>
      <c r="E2474" s="392" t="str">
        <f>IFERROR(VLOOKUP(A2474,[3]DOORSCRIEFT!$A$2:$G$8551,4,FALSE),"")</f>
        <v/>
      </c>
      <c r="F2474" s="405" t="str">
        <f>IFERROR(VLOOKUP(A2474,[3]DOORSCRIEFT!$A$2:$G$8551,6,FALSE),"")</f>
        <v/>
      </c>
      <c r="G2474" s="315"/>
    </row>
    <row r="2475" spans="1:7" x14ac:dyDescent="0.25">
      <c r="A2475" s="319" t="str">
        <f t="shared" si="72"/>
        <v>I.2.2.02.03689</v>
      </c>
      <c r="B2475" s="319">
        <v>89</v>
      </c>
      <c r="C2475" s="394" t="str">
        <f>IFERROR(VLOOKUP(A2475,[3]DOORSCRIEFT!$A$2:$G$8551,2,FALSE),"")</f>
        <v/>
      </c>
      <c r="D2475" s="393" t="str">
        <f>IFERROR(VLOOKUP(A2475,[3]DOORSCRIEFT!$A$2:$G$8551,3,FALSE),"")</f>
        <v/>
      </c>
      <c r="E2475" s="392" t="str">
        <f>IFERROR(VLOOKUP(A2475,[3]DOORSCRIEFT!$A$2:$G$8551,4,FALSE),"")</f>
        <v/>
      </c>
      <c r="F2475" s="405" t="str">
        <f>IFERROR(VLOOKUP(A2475,[3]DOORSCRIEFT!$A$2:$G$8551,6,FALSE),"")</f>
        <v/>
      </c>
      <c r="G2475" s="315"/>
    </row>
    <row r="2476" spans="1:7" x14ac:dyDescent="0.25">
      <c r="A2476" s="319" t="str">
        <f t="shared" si="72"/>
        <v>I.2.2.02.03690</v>
      </c>
      <c r="B2476" s="319">
        <v>90</v>
      </c>
      <c r="C2476" s="394" t="str">
        <f>IFERROR(VLOOKUP(A2476,[3]DOORSCRIEFT!$A$2:$G$8551,2,FALSE),"")</f>
        <v/>
      </c>
      <c r="D2476" s="393" t="str">
        <f>IFERROR(VLOOKUP(A2476,[3]DOORSCRIEFT!$A$2:$G$8551,3,FALSE),"")</f>
        <v/>
      </c>
      <c r="E2476" s="392" t="str">
        <f>IFERROR(VLOOKUP(A2476,[3]DOORSCRIEFT!$A$2:$G$8551,4,FALSE),"")</f>
        <v/>
      </c>
      <c r="F2476" s="405" t="str">
        <f>IFERROR(VLOOKUP(A2476,[3]DOORSCRIEFT!$A$2:$G$8551,6,FALSE),"")</f>
        <v/>
      </c>
      <c r="G2476" s="315"/>
    </row>
    <row r="2477" spans="1:7" x14ac:dyDescent="0.25">
      <c r="A2477" s="319" t="str">
        <f t="shared" si="72"/>
        <v>I.2.2.02.03691</v>
      </c>
      <c r="B2477" s="319">
        <v>91</v>
      </c>
      <c r="C2477" s="394" t="str">
        <f>IFERROR(VLOOKUP(A2477,[3]DOORSCRIEFT!$A$2:$G$8551,2,FALSE),"")</f>
        <v/>
      </c>
      <c r="D2477" s="393" t="str">
        <f>IFERROR(VLOOKUP(A2477,[3]DOORSCRIEFT!$A$2:$G$8551,3,FALSE),"")</f>
        <v/>
      </c>
      <c r="E2477" s="392" t="str">
        <f>IFERROR(VLOOKUP(A2477,[3]DOORSCRIEFT!$A$2:$G$8551,4,FALSE),"")</f>
        <v/>
      </c>
      <c r="F2477" s="405" t="str">
        <f>IFERROR(VLOOKUP(A2477,[3]DOORSCRIEFT!$A$2:$G$8551,6,FALSE),"")</f>
        <v/>
      </c>
      <c r="G2477" s="315"/>
    </row>
    <row r="2478" spans="1:7" x14ac:dyDescent="0.25">
      <c r="A2478" s="319" t="str">
        <f t="shared" si="72"/>
        <v>I.2.2.02.03692</v>
      </c>
      <c r="B2478" s="319">
        <v>92</v>
      </c>
      <c r="C2478" s="394" t="str">
        <f>IFERROR(VLOOKUP(A2478,[3]DOORSCRIEFT!$A$2:$G$8551,2,FALSE),"")</f>
        <v/>
      </c>
      <c r="D2478" s="393" t="str">
        <f>IFERROR(VLOOKUP(A2478,[3]DOORSCRIEFT!$A$2:$G$8551,3,FALSE),"")</f>
        <v/>
      </c>
      <c r="E2478" s="392" t="str">
        <f>IFERROR(VLOOKUP(A2478,[3]DOORSCRIEFT!$A$2:$G$8551,4,FALSE),"")</f>
        <v/>
      </c>
      <c r="F2478" s="405" t="str">
        <f>IFERROR(VLOOKUP(A2478,[3]DOORSCRIEFT!$A$2:$G$8551,6,FALSE),"")</f>
        <v/>
      </c>
      <c r="G2478" s="315"/>
    </row>
    <row r="2479" spans="1:7" x14ac:dyDescent="0.25">
      <c r="A2479" s="319" t="str">
        <f t="shared" si="72"/>
        <v>I.2.2.02.03693</v>
      </c>
      <c r="B2479" s="319">
        <v>93</v>
      </c>
      <c r="C2479" s="394" t="str">
        <f>IFERROR(VLOOKUP(A2479,[3]DOORSCRIEFT!$A$2:$G$8551,2,FALSE),"")</f>
        <v/>
      </c>
      <c r="D2479" s="393" t="str">
        <f>IFERROR(VLOOKUP(A2479,[3]DOORSCRIEFT!$A$2:$G$8551,3,FALSE),"")</f>
        <v/>
      </c>
      <c r="E2479" s="392" t="str">
        <f>IFERROR(VLOOKUP(A2479,[3]DOORSCRIEFT!$A$2:$G$8551,4,FALSE),"")</f>
        <v/>
      </c>
      <c r="F2479" s="405" t="str">
        <f>IFERROR(VLOOKUP(A2479,[3]DOORSCRIEFT!$A$2:$G$8551,6,FALSE),"")</f>
        <v/>
      </c>
      <c r="G2479" s="315"/>
    </row>
    <row r="2480" spans="1:7" x14ac:dyDescent="0.25">
      <c r="A2480" s="319" t="str">
        <f t="shared" si="72"/>
        <v>I.2.2.02.03694</v>
      </c>
      <c r="B2480" s="319">
        <v>94</v>
      </c>
      <c r="C2480" s="394" t="str">
        <f>IFERROR(VLOOKUP(A2480,[3]DOORSCRIEFT!$A$2:$G$8551,2,FALSE),"")</f>
        <v/>
      </c>
      <c r="D2480" s="393" t="str">
        <f>IFERROR(VLOOKUP(A2480,[3]DOORSCRIEFT!$A$2:$G$8551,3,FALSE),"")</f>
        <v/>
      </c>
      <c r="E2480" s="392" t="str">
        <f>IFERROR(VLOOKUP(A2480,[3]DOORSCRIEFT!$A$2:$G$8551,4,FALSE),"")</f>
        <v/>
      </c>
      <c r="F2480" s="405" t="str">
        <f>IFERROR(VLOOKUP(A2480,[3]DOORSCRIEFT!$A$2:$G$8551,6,FALSE),"")</f>
        <v/>
      </c>
      <c r="G2480" s="315"/>
    </row>
    <row r="2481" spans="1:7" x14ac:dyDescent="0.25">
      <c r="A2481" s="319" t="str">
        <f t="shared" si="72"/>
        <v>I.2.2.02.03695</v>
      </c>
      <c r="B2481" s="319">
        <v>95</v>
      </c>
      <c r="C2481" s="394" t="str">
        <f>IFERROR(VLOOKUP(A2481,[3]DOORSCRIEFT!$A$2:$G$8551,2,FALSE),"")</f>
        <v/>
      </c>
      <c r="D2481" s="393" t="str">
        <f>IFERROR(VLOOKUP(A2481,[3]DOORSCRIEFT!$A$2:$G$8551,3,FALSE),"")</f>
        <v/>
      </c>
      <c r="E2481" s="392" t="str">
        <f>IFERROR(VLOOKUP(A2481,[3]DOORSCRIEFT!$A$2:$G$8551,4,FALSE),"")</f>
        <v/>
      </c>
      <c r="F2481" s="405" t="str">
        <f>IFERROR(VLOOKUP(A2481,[3]DOORSCRIEFT!$A$2:$G$8551,6,FALSE),"")</f>
        <v/>
      </c>
      <c r="G2481" s="315"/>
    </row>
    <row r="2482" spans="1:7" x14ac:dyDescent="0.25">
      <c r="A2482" s="319" t="str">
        <f t="shared" si="72"/>
        <v>I.2.2.02.03696</v>
      </c>
      <c r="B2482" s="319">
        <v>96</v>
      </c>
      <c r="C2482" s="394" t="str">
        <f>IFERROR(VLOOKUP(A2482,[3]DOORSCRIEFT!$A$2:$G$8551,2,FALSE),"")</f>
        <v/>
      </c>
      <c r="D2482" s="393" t="str">
        <f>IFERROR(VLOOKUP(A2482,[3]DOORSCRIEFT!$A$2:$G$8551,3,FALSE),"")</f>
        <v/>
      </c>
      <c r="E2482" s="392" t="str">
        <f>IFERROR(VLOOKUP(A2482,[3]DOORSCRIEFT!$A$2:$G$8551,4,FALSE),"")</f>
        <v/>
      </c>
      <c r="F2482" s="405" t="str">
        <f>IFERROR(VLOOKUP(A2482,[3]DOORSCRIEFT!$A$2:$G$8551,6,FALSE),"")</f>
        <v/>
      </c>
      <c r="G2482" s="315"/>
    </row>
    <row r="2483" spans="1:7" x14ac:dyDescent="0.25">
      <c r="A2483" s="319" t="str">
        <f t="shared" ref="A2483:A2514" si="73">$G$2380&amp;B2483</f>
        <v>I.2.2.02.03697</v>
      </c>
      <c r="B2483" s="319">
        <v>97</v>
      </c>
      <c r="C2483" s="394" t="str">
        <f>IFERROR(VLOOKUP(A2483,[3]DOORSCRIEFT!$A$2:$G$8551,2,FALSE),"")</f>
        <v/>
      </c>
      <c r="D2483" s="393" t="str">
        <f>IFERROR(VLOOKUP(A2483,[3]DOORSCRIEFT!$A$2:$G$8551,3,FALSE),"")</f>
        <v/>
      </c>
      <c r="E2483" s="392" t="str">
        <f>IFERROR(VLOOKUP(A2483,[3]DOORSCRIEFT!$A$2:$G$8551,4,FALSE),"")</f>
        <v/>
      </c>
      <c r="F2483" s="405" t="str">
        <f>IFERROR(VLOOKUP(A2483,[3]DOORSCRIEFT!$A$2:$G$8551,6,FALSE),"")</f>
        <v/>
      </c>
      <c r="G2483" s="315"/>
    </row>
    <row r="2484" spans="1:7" x14ac:dyDescent="0.25">
      <c r="A2484" s="319" t="str">
        <f t="shared" si="73"/>
        <v>I.2.2.02.03698</v>
      </c>
      <c r="B2484" s="319">
        <v>98</v>
      </c>
      <c r="C2484" s="394" t="str">
        <f>IFERROR(VLOOKUP(A2484,[3]DOORSCRIEFT!$A$2:$G$8551,2,FALSE),"")</f>
        <v/>
      </c>
      <c r="D2484" s="393" t="str">
        <f>IFERROR(VLOOKUP(A2484,[3]DOORSCRIEFT!$A$2:$G$8551,3,FALSE),"")</f>
        <v/>
      </c>
      <c r="E2484" s="392" t="str">
        <f>IFERROR(VLOOKUP(A2484,[3]DOORSCRIEFT!$A$2:$G$8551,4,FALSE),"")</f>
        <v/>
      </c>
      <c r="F2484" s="405" t="str">
        <f>IFERROR(VLOOKUP(A2484,[3]DOORSCRIEFT!$A$2:$G$8551,6,FALSE),"")</f>
        <v/>
      </c>
      <c r="G2484" s="315"/>
    </row>
    <row r="2485" spans="1:7" x14ac:dyDescent="0.25">
      <c r="A2485" s="319" t="str">
        <f t="shared" si="73"/>
        <v>I.2.2.02.03699</v>
      </c>
      <c r="B2485" s="319">
        <v>99</v>
      </c>
      <c r="C2485" s="394" t="str">
        <f>IFERROR(VLOOKUP(A2485,[3]DOORSCRIEFT!$A$2:$G$8551,2,FALSE),"")</f>
        <v/>
      </c>
      <c r="D2485" s="393" t="str">
        <f>IFERROR(VLOOKUP(A2485,[3]DOORSCRIEFT!$A$2:$G$8551,3,FALSE),"")</f>
        <v/>
      </c>
      <c r="E2485" s="392" t="str">
        <f>IFERROR(VLOOKUP(A2485,[3]DOORSCRIEFT!$A$2:$G$8551,4,FALSE),"")</f>
        <v/>
      </c>
      <c r="F2485" s="405" t="str">
        <f>IFERROR(VLOOKUP(A2485,[3]DOORSCRIEFT!$A$2:$G$8551,6,FALSE),"")</f>
        <v/>
      </c>
      <c r="G2485" s="315"/>
    </row>
    <row r="2486" spans="1:7" x14ac:dyDescent="0.25">
      <c r="A2486" s="319" t="str">
        <f t="shared" si="73"/>
        <v>I.2.2.02.036100</v>
      </c>
      <c r="B2486" s="319">
        <v>100</v>
      </c>
      <c r="C2486" s="394" t="str">
        <f>IFERROR(VLOOKUP(A2486,[3]DOORSCRIEFT!$A$2:$G$8551,2,FALSE),"")</f>
        <v/>
      </c>
      <c r="D2486" s="393" t="str">
        <f>IFERROR(VLOOKUP(A2486,[3]DOORSCRIEFT!$A$2:$G$8551,3,FALSE),"")</f>
        <v/>
      </c>
      <c r="E2486" s="392" t="str">
        <f>IFERROR(VLOOKUP(A2486,[3]DOORSCRIEFT!$A$2:$G$8551,4,FALSE),"")</f>
        <v/>
      </c>
      <c r="F2486" s="405" t="str">
        <f>IFERROR(VLOOKUP(A2486,[3]DOORSCRIEFT!$A$2:$G$8551,6,FALSE),"")</f>
        <v/>
      </c>
      <c r="G2486" s="315"/>
    </row>
    <row r="2487" spans="1:7" x14ac:dyDescent="0.25">
      <c r="A2487" s="319" t="str">
        <f t="shared" si="73"/>
        <v>I.2.2.02.036101</v>
      </c>
      <c r="B2487" s="319">
        <v>101</v>
      </c>
      <c r="C2487" s="394" t="str">
        <f>IFERROR(VLOOKUP(A2487,[3]DOORSCRIEFT!$A$2:$G$8551,2,FALSE),"")</f>
        <v/>
      </c>
      <c r="D2487" s="393" t="str">
        <f>IFERROR(VLOOKUP(A2487,[3]DOORSCRIEFT!$A$2:$G$8551,3,FALSE),"")</f>
        <v/>
      </c>
      <c r="E2487" s="392" t="str">
        <f>IFERROR(VLOOKUP(A2487,[3]DOORSCRIEFT!$A$2:$G$8551,4,FALSE),"")</f>
        <v/>
      </c>
      <c r="F2487" s="405" t="str">
        <f>IFERROR(VLOOKUP(A2487,[3]DOORSCRIEFT!$A$2:$G$8551,6,FALSE),"")</f>
        <v/>
      </c>
      <c r="G2487" s="315"/>
    </row>
    <row r="2488" spans="1:7" x14ac:dyDescent="0.25">
      <c r="A2488" s="319" t="str">
        <f t="shared" si="73"/>
        <v>I.2.2.02.036102</v>
      </c>
      <c r="B2488" s="319">
        <v>102</v>
      </c>
      <c r="C2488" s="394" t="str">
        <f>IFERROR(VLOOKUP(A2488,[3]DOORSCRIEFT!$A$2:$G$8551,2,FALSE),"")</f>
        <v/>
      </c>
      <c r="D2488" s="393" t="str">
        <f>IFERROR(VLOOKUP(A2488,[3]DOORSCRIEFT!$A$2:$G$8551,3,FALSE),"")</f>
        <v/>
      </c>
      <c r="E2488" s="392" t="str">
        <f>IFERROR(VLOOKUP(A2488,[3]DOORSCRIEFT!$A$2:$G$8551,4,FALSE),"")</f>
        <v/>
      </c>
      <c r="F2488" s="405" t="str">
        <f>IFERROR(VLOOKUP(A2488,[3]DOORSCRIEFT!$A$2:$G$8551,6,FALSE),"")</f>
        <v/>
      </c>
      <c r="G2488" s="315"/>
    </row>
    <row r="2489" spans="1:7" x14ac:dyDescent="0.25">
      <c r="A2489" s="319" t="str">
        <f t="shared" si="73"/>
        <v>I.2.2.02.036103</v>
      </c>
      <c r="B2489" s="319">
        <v>103</v>
      </c>
      <c r="C2489" s="394" t="str">
        <f>IFERROR(VLOOKUP(A2489,[3]DOORSCRIEFT!$A$2:$G$8551,2,FALSE),"")</f>
        <v/>
      </c>
      <c r="D2489" s="393" t="str">
        <f>IFERROR(VLOOKUP(A2489,[3]DOORSCRIEFT!$A$2:$G$8551,3,FALSE),"")</f>
        <v/>
      </c>
      <c r="E2489" s="392" t="str">
        <f>IFERROR(VLOOKUP(A2489,[3]DOORSCRIEFT!$A$2:$G$8551,4,FALSE),"")</f>
        <v/>
      </c>
      <c r="F2489" s="405" t="str">
        <f>IFERROR(VLOOKUP(A2489,[3]DOORSCRIEFT!$A$2:$G$8551,6,FALSE),"")</f>
        <v/>
      </c>
      <c r="G2489" s="315"/>
    </row>
    <row r="2490" spans="1:7" x14ac:dyDescent="0.25">
      <c r="A2490" s="319" t="str">
        <f t="shared" si="73"/>
        <v>I.2.2.02.036104</v>
      </c>
      <c r="B2490" s="319">
        <v>104</v>
      </c>
      <c r="C2490" s="394" t="str">
        <f>IFERROR(VLOOKUP(A2490,[3]DOORSCRIEFT!$A$2:$G$8551,2,FALSE),"")</f>
        <v/>
      </c>
      <c r="D2490" s="393" t="str">
        <f>IFERROR(VLOOKUP(A2490,[3]DOORSCRIEFT!$A$2:$G$8551,3,FALSE),"")</f>
        <v/>
      </c>
      <c r="E2490" s="392" t="str">
        <f>IFERROR(VLOOKUP(A2490,[3]DOORSCRIEFT!$A$2:$G$8551,4,FALSE),"")</f>
        <v/>
      </c>
      <c r="F2490" s="405" t="str">
        <f>IFERROR(VLOOKUP(A2490,[3]DOORSCRIEFT!$A$2:$G$8551,6,FALSE),"")</f>
        <v/>
      </c>
      <c r="G2490" s="315"/>
    </row>
    <row r="2491" spans="1:7" x14ac:dyDescent="0.25">
      <c r="A2491" s="319" t="str">
        <f t="shared" si="73"/>
        <v>I.2.2.02.036105</v>
      </c>
      <c r="B2491" s="319">
        <v>105</v>
      </c>
      <c r="C2491" s="394" t="str">
        <f>IFERROR(VLOOKUP(A2491,[3]DOORSCRIEFT!$A$2:$G$8551,2,FALSE),"")</f>
        <v/>
      </c>
      <c r="D2491" s="393" t="str">
        <f>IFERROR(VLOOKUP(A2491,[3]DOORSCRIEFT!$A$2:$G$8551,3,FALSE),"")</f>
        <v/>
      </c>
      <c r="E2491" s="392" t="str">
        <f>IFERROR(VLOOKUP(A2491,[3]DOORSCRIEFT!$A$2:$G$8551,4,FALSE),"")</f>
        <v/>
      </c>
      <c r="F2491" s="405" t="str">
        <f>IFERROR(VLOOKUP(A2491,[3]DOORSCRIEFT!$A$2:$G$8551,6,FALSE),"")</f>
        <v/>
      </c>
      <c r="G2491" s="315"/>
    </row>
    <row r="2492" spans="1:7" x14ac:dyDescent="0.25">
      <c r="A2492" s="319" t="str">
        <f t="shared" si="73"/>
        <v>I.2.2.02.036106</v>
      </c>
      <c r="B2492" s="319">
        <v>106</v>
      </c>
      <c r="C2492" s="394" t="str">
        <f>IFERROR(VLOOKUP(A2492,[3]DOORSCRIEFT!$A$2:$G$8551,2,FALSE),"")</f>
        <v/>
      </c>
      <c r="D2492" s="393" t="str">
        <f>IFERROR(VLOOKUP(A2492,[3]DOORSCRIEFT!$A$2:$G$8551,3,FALSE),"")</f>
        <v/>
      </c>
      <c r="E2492" s="392" t="str">
        <f>IFERROR(VLOOKUP(A2492,[3]DOORSCRIEFT!$A$2:$G$8551,4,FALSE),"")</f>
        <v/>
      </c>
      <c r="F2492" s="405" t="str">
        <f>IFERROR(VLOOKUP(A2492,[3]DOORSCRIEFT!$A$2:$G$8551,6,FALSE),"")</f>
        <v/>
      </c>
      <c r="G2492" s="315"/>
    </row>
    <row r="2493" spans="1:7" x14ac:dyDescent="0.25">
      <c r="A2493" s="319" t="str">
        <f t="shared" si="73"/>
        <v>I.2.2.02.036107</v>
      </c>
      <c r="B2493" s="319">
        <v>107</v>
      </c>
      <c r="C2493" s="394" t="str">
        <f>IFERROR(VLOOKUP(A2493,[3]DOORSCRIEFT!$A$2:$G$8551,2,FALSE),"")</f>
        <v/>
      </c>
      <c r="D2493" s="393" t="str">
        <f>IFERROR(VLOOKUP(A2493,[3]DOORSCRIEFT!$A$2:$G$8551,3,FALSE),"")</f>
        <v/>
      </c>
      <c r="E2493" s="392" t="str">
        <f>IFERROR(VLOOKUP(A2493,[3]DOORSCRIEFT!$A$2:$G$8551,4,FALSE),"")</f>
        <v/>
      </c>
      <c r="F2493" s="405" t="str">
        <f>IFERROR(VLOOKUP(A2493,[3]DOORSCRIEFT!$A$2:$G$8551,6,FALSE),"")</f>
        <v/>
      </c>
      <c r="G2493" s="315"/>
    </row>
    <row r="2494" spans="1:7" x14ac:dyDescent="0.25">
      <c r="A2494" s="319" t="str">
        <f t="shared" si="73"/>
        <v>I.2.2.02.036108</v>
      </c>
      <c r="B2494" s="319">
        <v>108</v>
      </c>
      <c r="C2494" s="394" t="str">
        <f>IFERROR(VLOOKUP(A2494,[3]DOORSCRIEFT!$A$2:$G$8551,2,FALSE),"")</f>
        <v/>
      </c>
      <c r="D2494" s="393" t="str">
        <f>IFERROR(VLOOKUP(A2494,[3]DOORSCRIEFT!$A$2:$G$8551,3,FALSE),"")</f>
        <v/>
      </c>
      <c r="E2494" s="392" t="str">
        <f>IFERROR(VLOOKUP(A2494,[3]DOORSCRIEFT!$A$2:$G$8551,4,FALSE),"")</f>
        <v/>
      </c>
      <c r="F2494" s="405" t="str">
        <f>IFERROR(VLOOKUP(A2494,[3]DOORSCRIEFT!$A$2:$G$8551,6,FALSE),"")</f>
        <v/>
      </c>
      <c r="G2494" s="315"/>
    </row>
    <row r="2495" spans="1:7" x14ac:dyDescent="0.25">
      <c r="A2495" s="319" t="str">
        <f t="shared" si="73"/>
        <v>I.2.2.02.036109</v>
      </c>
      <c r="B2495" s="319">
        <v>109</v>
      </c>
      <c r="C2495" s="394" t="str">
        <f>IFERROR(VLOOKUP(A2495,[3]DOORSCRIEFT!$A$2:$G$8551,2,FALSE),"")</f>
        <v/>
      </c>
      <c r="D2495" s="393" t="str">
        <f>IFERROR(VLOOKUP(A2495,[3]DOORSCRIEFT!$A$2:$G$8551,3,FALSE),"")</f>
        <v/>
      </c>
      <c r="E2495" s="392" t="str">
        <f>IFERROR(VLOOKUP(A2495,[3]DOORSCRIEFT!$A$2:$G$8551,4,FALSE),"")</f>
        <v/>
      </c>
      <c r="F2495" s="405" t="str">
        <f>IFERROR(VLOOKUP(A2495,[3]DOORSCRIEFT!$A$2:$G$8551,6,FALSE),"")</f>
        <v/>
      </c>
      <c r="G2495" s="315"/>
    </row>
    <row r="2496" spans="1:7" x14ac:dyDescent="0.25">
      <c r="A2496" s="319" t="str">
        <f t="shared" si="73"/>
        <v>I.2.2.02.036110</v>
      </c>
      <c r="B2496" s="319">
        <v>110</v>
      </c>
      <c r="C2496" s="394" t="str">
        <f>IFERROR(VLOOKUP(A2496,[3]DOORSCRIEFT!$A$2:$G$8551,2,FALSE),"")</f>
        <v/>
      </c>
      <c r="D2496" s="393" t="str">
        <f>IFERROR(VLOOKUP(A2496,[3]DOORSCRIEFT!$A$2:$G$8551,3,FALSE),"")</f>
        <v/>
      </c>
      <c r="E2496" s="392" t="str">
        <f>IFERROR(VLOOKUP(A2496,[3]DOORSCRIEFT!$A$2:$G$8551,4,FALSE),"")</f>
        <v/>
      </c>
      <c r="F2496" s="405" t="str">
        <f>IFERROR(VLOOKUP(A2496,[3]DOORSCRIEFT!$A$2:$G$8551,6,FALSE),"")</f>
        <v/>
      </c>
      <c r="G2496" s="315"/>
    </row>
    <row r="2497" spans="1:7" x14ac:dyDescent="0.25">
      <c r="A2497" s="319" t="str">
        <f t="shared" si="73"/>
        <v>I.2.2.02.036111</v>
      </c>
      <c r="B2497" s="319">
        <v>111</v>
      </c>
      <c r="C2497" s="394" t="str">
        <f>IFERROR(VLOOKUP(A2497,[3]DOORSCRIEFT!$A$2:$G$8551,2,FALSE),"")</f>
        <v/>
      </c>
      <c r="D2497" s="393" t="str">
        <f>IFERROR(VLOOKUP(A2497,[3]DOORSCRIEFT!$A$2:$G$8551,3,FALSE),"")</f>
        <v/>
      </c>
      <c r="E2497" s="392" t="str">
        <f>IFERROR(VLOOKUP(A2497,[3]DOORSCRIEFT!$A$2:$G$8551,4,FALSE),"")</f>
        <v/>
      </c>
      <c r="F2497" s="405" t="str">
        <f>IFERROR(VLOOKUP(A2497,[3]DOORSCRIEFT!$A$2:$G$8551,6,FALSE),"")</f>
        <v/>
      </c>
      <c r="G2497" s="315"/>
    </row>
    <row r="2498" spans="1:7" x14ac:dyDescent="0.25">
      <c r="A2498" s="319" t="str">
        <f t="shared" si="73"/>
        <v>I.2.2.02.036112</v>
      </c>
      <c r="B2498" s="319">
        <v>112</v>
      </c>
      <c r="C2498" s="394" t="str">
        <f>IFERROR(VLOOKUP(A2498,[3]DOORSCRIEFT!$A$2:$G$8551,2,FALSE),"")</f>
        <v/>
      </c>
      <c r="D2498" s="393" t="str">
        <f>IFERROR(VLOOKUP(A2498,[3]DOORSCRIEFT!$A$2:$G$8551,3,FALSE),"")</f>
        <v/>
      </c>
      <c r="E2498" s="392" t="str">
        <f>IFERROR(VLOOKUP(A2498,[3]DOORSCRIEFT!$A$2:$G$8551,4,FALSE),"")</f>
        <v/>
      </c>
      <c r="F2498" s="405" t="str">
        <f>IFERROR(VLOOKUP(A2498,[3]DOORSCRIEFT!$A$2:$G$8551,6,FALSE),"")</f>
        <v/>
      </c>
      <c r="G2498" s="315"/>
    </row>
    <row r="2499" spans="1:7" x14ac:dyDescent="0.25">
      <c r="A2499" s="319" t="str">
        <f t="shared" si="73"/>
        <v>I.2.2.02.036113</v>
      </c>
      <c r="B2499" s="319">
        <v>113</v>
      </c>
      <c r="C2499" s="394" t="str">
        <f>IFERROR(VLOOKUP(A2499,[3]DOORSCRIEFT!$A$2:$G$8551,2,FALSE),"")</f>
        <v/>
      </c>
      <c r="D2499" s="393" t="str">
        <f>IFERROR(VLOOKUP(A2499,[3]DOORSCRIEFT!$A$2:$G$8551,3,FALSE),"")</f>
        <v/>
      </c>
      <c r="E2499" s="392" t="str">
        <f>IFERROR(VLOOKUP(A2499,[3]DOORSCRIEFT!$A$2:$G$8551,4,FALSE),"")</f>
        <v/>
      </c>
      <c r="F2499" s="405" t="str">
        <f>IFERROR(VLOOKUP(A2499,[3]DOORSCRIEFT!$A$2:$G$8551,6,FALSE),"")</f>
        <v/>
      </c>
      <c r="G2499" s="315"/>
    </row>
    <row r="2500" spans="1:7" x14ac:dyDescent="0.25">
      <c r="A2500" s="319" t="str">
        <f t="shared" si="73"/>
        <v>I.2.2.02.036114</v>
      </c>
      <c r="B2500" s="319">
        <v>114</v>
      </c>
      <c r="C2500" s="394" t="str">
        <f>IFERROR(VLOOKUP(A2500,[3]DOORSCRIEFT!$A$2:$G$8551,2,FALSE),"")</f>
        <v/>
      </c>
      <c r="D2500" s="393" t="str">
        <f>IFERROR(VLOOKUP(A2500,[3]DOORSCRIEFT!$A$2:$G$8551,3,FALSE),"")</f>
        <v/>
      </c>
      <c r="E2500" s="392" t="str">
        <f>IFERROR(VLOOKUP(A2500,[3]DOORSCRIEFT!$A$2:$G$8551,4,FALSE),"")</f>
        <v/>
      </c>
      <c r="F2500" s="405" t="str">
        <f>IFERROR(VLOOKUP(A2500,[3]DOORSCRIEFT!$A$2:$G$8551,6,FALSE),"")</f>
        <v/>
      </c>
      <c r="G2500" s="315"/>
    </row>
    <row r="2501" spans="1:7" x14ac:dyDescent="0.25">
      <c r="A2501" s="319" t="str">
        <f t="shared" si="73"/>
        <v>I.2.2.02.036115</v>
      </c>
      <c r="B2501" s="319">
        <v>115</v>
      </c>
      <c r="C2501" s="394" t="str">
        <f>IFERROR(VLOOKUP(A2501,[3]DOORSCRIEFT!$A$2:$G$8551,2,FALSE),"")</f>
        <v/>
      </c>
      <c r="D2501" s="393" t="str">
        <f>IFERROR(VLOOKUP(A2501,[3]DOORSCRIEFT!$A$2:$G$8551,3,FALSE),"")</f>
        <v/>
      </c>
      <c r="E2501" s="392" t="str">
        <f>IFERROR(VLOOKUP(A2501,[3]DOORSCRIEFT!$A$2:$G$8551,4,FALSE),"")</f>
        <v/>
      </c>
      <c r="F2501" s="405" t="str">
        <f>IFERROR(VLOOKUP(A2501,[3]DOORSCRIEFT!$A$2:$G$8551,6,FALSE),"")</f>
        <v/>
      </c>
      <c r="G2501" s="315"/>
    </row>
    <row r="2502" spans="1:7" x14ac:dyDescent="0.25">
      <c r="A2502" s="319" t="str">
        <f t="shared" si="73"/>
        <v>I.2.2.02.036116</v>
      </c>
      <c r="B2502" s="319">
        <v>116</v>
      </c>
      <c r="C2502" s="394" t="str">
        <f>IFERROR(VLOOKUP(A2502,[3]DOORSCRIEFT!$A$2:$G$8551,2,FALSE),"")</f>
        <v/>
      </c>
      <c r="D2502" s="393" t="str">
        <f>IFERROR(VLOOKUP(A2502,[3]DOORSCRIEFT!$A$2:$G$8551,3,FALSE),"")</f>
        <v/>
      </c>
      <c r="E2502" s="392" t="str">
        <f>IFERROR(VLOOKUP(A2502,[3]DOORSCRIEFT!$A$2:$G$8551,4,FALSE),"")</f>
        <v/>
      </c>
      <c r="F2502" s="405" t="str">
        <f>IFERROR(VLOOKUP(A2502,[3]DOORSCRIEFT!$A$2:$G$8551,6,FALSE),"")</f>
        <v/>
      </c>
      <c r="G2502" s="315"/>
    </row>
    <row r="2503" spans="1:7" x14ac:dyDescent="0.25">
      <c r="A2503" s="319" t="str">
        <f t="shared" si="73"/>
        <v>I.2.2.02.036117</v>
      </c>
      <c r="B2503" s="319">
        <v>117</v>
      </c>
      <c r="C2503" s="394" t="str">
        <f>IFERROR(VLOOKUP(A2503,[3]DOORSCRIEFT!$A$2:$G$8551,2,FALSE),"")</f>
        <v/>
      </c>
      <c r="D2503" s="393" t="str">
        <f>IFERROR(VLOOKUP(A2503,[3]DOORSCRIEFT!$A$2:$G$8551,3,FALSE),"")</f>
        <v/>
      </c>
      <c r="E2503" s="392" t="str">
        <f>IFERROR(VLOOKUP(A2503,[3]DOORSCRIEFT!$A$2:$G$8551,4,FALSE),"")</f>
        <v/>
      </c>
      <c r="F2503" s="405" t="str">
        <f>IFERROR(VLOOKUP(A2503,[3]DOORSCRIEFT!$A$2:$G$8551,6,FALSE),"")</f>
        <v/>
      </c>
      <c r="G2503" s="315"/>
    </row>
    <row r="2504" spans="1:7" x14ac:dyDescent="0.25">
      <c r="A2504" s="319" t="str">
        <f t="shared" si="73"/>
        <v>I.2.2.02.036118</v>
      </c>
      <c r="B2504" s="319">
        <v>118</v>
      </c>
      <c r="C2504" s="394" t="str">
        <f>IFERROR(VLOOKUP(A2504,[3]DOORSCRIEFT!$A$2:$G$8551,2,FALSE),"")</f>
        <v/>
      </c>
      <c r="D2504" s="393" t="str">
        <f>IFERROR(VLOOKUP(A2504,[3]DOORSCRIEFT!$A$2:$G$8551,3,FALSE),"")</f>
        <v/>
      </c>
      <c r="E2504" s="392" t="str">
        <f>IFERROR(VLOOKUP(A2504,[3]DOORSCRIEFT!$A$2:$G$8551,4,FALSE),"")</f>
        <v/>
      </c>
      <c r="F2504" s="405" t="str">
        <f>IFERROR(VLOOKUP(A2504,[3]DOORSCRIEFT!$A$2:$G$8551,6,FALSE),"")</f>
        <v/>
      </c>
      <c r="G2504" s="315"/>
    </row>
    <row r="2505" spans="1:7" ht="15.75" thickBot="1" x14ac:dyDescent="0.3">
      <c r="A2505" s="345" t="str">
        <f t="shared" si="73"/>
        <v>I.2.2.02.036119</v>
      </c>
      <c r="B2505" s="345">
        <v>119</v>
      </c>
      <c r="C2505" s="394" t="str">
        <f>IFERROR(VLOOKUP(A2505,[3]DOORSCRIEFT!$A$2:$G$8551,2,FALSE),"")</f>
        <v/>
      </c>
      <c r="D2505" s="393" t="str">
        <f>IFERROR(VLOOKUP(A2505,[3]DOORSCRIEFT!$A$2:$G$8551,3,FALSE),"")</f>
        <v/>
      </c>
      <c r="E2505" s="392" t="str">
        <f>IFERROR(VLOOKUP(A2505,[3]DOORSCRIEFT!$A$2:$G$8551,4,FALSE),"")</f>
        <v/>
      </c>
      <c r="F2505" s="405" t="str">
        <f>IFERROR(VLOOKUP(A2505,[3]DOORSCRIEFT!$A$2:$G$8551,6,FALSE),"")</f>
        <v/>
      </c>
      <c r="G2505" s="315"/>
    </row>
    <row r="2506" spans="1:7" ht="15.75" thickBot="1" x14ac:dyDescent="0.3">
      <c r="A2506" s="314"/>
      <c r="B2506" s="312"/>
      <c r="C2506" s="313"/>
      <c r="D2506" s="312"/>
      <c r="E2506" s="311" t="s">
        <v>644</v>
      </c>
      <c r="F2506" s="310">
        <f>SUM(F2387:F2505)</f>
        <v>0</v>
      </c>
      <c r="G2506" s="309">
        <f>SUM(G2387:G2505)</f>
        <v>0</v>
      </c>
    </row>
    <row r="2509" spans="1:7" ht="15.75" x14ac:dyDescent="0.25">
      <c r="C2509" s="332"/>
      <c r="D2509" s="333"/>
      <c r="E2509" s="332"/>
      <c r="F2509" s="327" t="s">
        <v>607</v>
      </c>
      <c r="G2509" s="327" t="s">
        <v>474</v>
      </c>
    </row>
    <row r="2510" spans="1:7" ht="15.75" x14ac:dyDescent="0.25">
      <c r="C2510" s="332"/>
      <c r="D2510" s="333"/>
      <c r="E2510" s="332"/>
      <c r="F2510" s="327" t="s">
        <v>601</v>
      </c>
      <c r="G2510" s="327" t="s">
        <v>473</v>
      </c>
    </row>
    <row r="2511" spans="1:7" x14ac:dyDescent="0.25">
      <c r="C2511" s="328"/>
      <c r="D2511" s="329"/>
      <c r="E2511" s="328"/>
      <c r="F2511" s="327" t="s">
        <v>651</v>
      </c>
      <c r="G2511" s="331">
        <f>[2]Sheet1!$D$64</f>
        <v>2500000</v>
      </c>
    </row>
    <row r="2512" spans="1:7" ht="15.75" thickBot="1" x14ac:dyDescent="0.3">
      <c r="C2512" s="328"/>
      <c r="D2512" s="329"/>
      <c r="E2512" s="328"/>
      <c r="F2512" s="327" t="s">
        <v>650</v>
      </c>
      <c r="G2512" s="326">
        <f>+F2550-G2511</f>
        <v>-2308000</v>
      </c>
    </row>
    <row r="2513" spans="1:7" x14ac:dyDescent="0.25">
      <c r="A2513" s="582" t="s">
        <v>626</v>
      </c>
      <c r="B2513" s="573" t="s">
        <v>606</v>
      </c>
      <c r="C2513" s="588" t="s">
        <v>649</v>
      </c>
      <c r="D2513" s="577" t="s">
        <v>648</v>
      </c>
      <c r="E2513" s="577" t="s">
        <v>647</v>
      </c>
      <c r="F2513" s="577" t="s">
        <v>646</v>
      </c>
      <c r="G2513" s="580" t="s">
        <v>645</v>
      </c>
    </row>
    <row r="2514" spans="1:7" ht="15.75" thickBot="1" x14ac:dyDescent="0.3">
      <c r="A2514" s="583"/>
      <c r="B2514" s="574"/>
      <c r="C2514" s="589"/>
      <c r="D2514" s="586"/>
      <c r="E2514" s="586"/>
      <c r="F2514" s="586"/>
      <c r="G2514" s="587"/>
    </row>
    <row r="2515" spans="1:7" ht="15.75" thickBot="1" x14ac:dyDescent="0.3">
      <c r="A2515" s="325">
        <v>1</v>
      </c>
      <c r="B2515" s="324">
        <v>2</v>
      </c>
      <c r="C2515" s="324">
        <v>3</v>
      </c>
      <c r="D2515" s="324">
        <v>4</v>
      </c>
      <c r="E2515" s="324">
        <v>5</v>
      </c>
      <c r="F2515" s="324">
        <v>6</v>
      </c>
      <c r="G2515" s="323">
        <v>7</v>
      </c>
    </row>
    <row r="2516" spans="1:7" x14ac:dyDescent="0.25">
      <c r="A2516" s="339" t="str">
        <f t="shared" ref="A2516:A2549" si="74">$G$2509&amp;B2516</f>
        <v>I.2.2.02.0371</v>
      </c>
      <c r="B2516" s="339">
        <v>1</v>
      </c>
      <c r="C2516" s="394">
        <f>IFERROR(VLOOKUP(A2516,[3]DOORSCRIEFT!$A$2:$G$8551,2,FALSE),"")</f>
        <v>194</v>
      </c>
      <c r="D2516" s="393">
        <f>IFERROR(VLOOKUP(A2516,[3]DOORSCRIEFT!$A$2:$G$8551,3,FALSE),"")</f>
        <v>46066</v>
      </c>
      <c r="E2516" s="392" t="str">
        <f>IFERROR(VLOOKUP(A2516,[3]DOORSCRIEFT!$A$2:$G$8551,4,FALSE),"")</f>
        <v>Kolekta Kebaktian Penggembalaan Baptis Kel. Suitela</v>
      </c>
      <c r="F2516" s="405">
        <f>IFERROR(VLOOKUP(A2516,[3]DOORSCRIEFT!$A$2:$G$8551,6,FALSE),"")</f>
        <v>82000</v>
      </c>
      <c r="G2516" s="322"/>
    </row>
    <row r="2517" spans="1:7" x14ac:dyDescent="0.25">
      <c r="A2517" s="319" t="str">
        <f t="shared" si="74"/>
        <v>I.2.2.02.0372</v>
      </c>
      <c r="B2517" s="319">
        <v>2</v>
      </c>
      <c r="C2517" s="394">
        <f>IFERROR(VLOOKUP(A2517,[3]DOORSCRIEFT!$A$2:$G$8551,2,FALSE),"")</f>
        <v>256</v>
      </c>
      <c r="D2517" s="393">
        <f>IFERROR(VLOOKUP(A2517,[3]DOORSCRIEFT!$A$2:$G$8551,3,FALSE),"")</f>
        <v>46075</v>
      </c>
      <c r="E2517" s="392" t="str">
        <f>IFERROR(VLOOKUP(A2517,[3]DOORSCRIEFT!$A$2:$G$8551,4,FALSE),"")</f>
        <v>Kolekta Kebaktian Penggembalaan Baptis</v>
      </c>
      <c r="F2517" s="405">
        <f>IFERROR(VLOOKUP(A2517,[3]DOORSCRIEFT!$A$2:$G$8551,6,FALSE),"")</f>
        <v>52000</v>
      </c>
      <c r="G2517" s="315"/>
    </row>
    <row r="2518" spans="1:7" x14ac:dyDescent="0.25">
      <c r="A2518" s="319" t="str">
        <f t="shared" si="74"/>
        <v>I.2.2.02.0373</v>
      </c>
      <c r="B2518" s="319">
        <v>3</v>
      </c>
      <c r="C2518" s="394">
        <f>IFERROR(VLOOKUP(A2518,[3]DOORSCRIEFT!$A$2:$G$8551,2,FALSE),"")</f>
        <v>431</v>
      </c>
      <c r="D2518" s="393">
        <f>IFERROR(VLOOKUP(A2518,[3]DOORSCRIEFT!$A$2:$G$8551,3,FALSE),"")</f>
        <v>46103</v>
      </c>
      <c r="E2518" s="392" t="str">
        <f>IFERROR(VLOOKUP(A2518,[3]DOORSCRIEFT!$A$2:$G$8551,4,FALSE),"")</f>
        <v>Kolekta Kebaktian Penggembalaan Baptis</v>
      </c>
      <c r="F2518" s="405">
        <f>IFERROR(VLOOKUP(A2518,[3]DOORSCRIEFT!$A$2:$G$8551,6,FALSE),"")</f>
        <v>58000</v>
      </c>
      <c r="G2518" s="315"/>
    </row>
    <row r="2519" spans="1:7" x14ac:dyDescent="0.25">
      <c r="A2519" s="319" t="str">
        <f t="shared" si="74"/>
        <v>I.2.2.02.0374</v>
      </c>
      <c r="B2519" s="319">
        <v>4</v>
      </c>
      <c r="C2519" s="394" t="str">
        <f>IFERROR(VLOOKUP(A2519,[3]DOORSCRIEFT!$A$2:$G$8551,2,FALSE),"")</f>
        <v/>
      </c>
      <c r="D2519" s="393" t="str">
        <f>IFERROR(VLOOKUP(A2519,[3]DOORSCRIEFT!$A$2:$G$8551,3,FALSE),"")</f>
        <v/>
      </c>
      <c r="E2519" s="392" t="str">
        <f>IFERROR(VLOOKUP(A2519,[3]DOORSCRIEFT!$A$2:$G$8551,4,FALSE),"")</f>
        <v/>
      </c>
      <c r="F2519" s="405" t="str">
        <f>IFERROR(VLOOKUP(A2519,[3]DOORSCRIEFT!$A$2:$G$8551,6,FALSE),"")</f>
        <v/>
      </c>
      <c r="G2519" s="315"/>
    </row>
    <row r="2520" spans="1:7" x14ac:dyDescent="0.25">
      <c r="A2520" s="319" t="str">
        <f t="shared" si="74"/>
        <v>I.2.2.02.0375</v>
      </c>
      <c r="B2520" s="319">
        <v>5</v>
      </c>
      <c r="C2520" s="394" t="str">
        <f>IFERROR(VLOOKUP(A2520,[3]DOORSCRIEFT!$A$2:$G$8551,2,FALSE),"")</f>
        <v/>
      </c>
      <c r="D2520" s="393" t="str">
        <f>IFERROR(VLOOKUP(A2520,[3]DOORSCRIEFT!$A$2:$G$8551,3,FALSE),"")</f>
        <v/>
      </c>
      <c r="E2520" s="392" t="str">
        <f>IFERROR(VLOOKUP(A2520,[3]DOORSCRIEFT!$A$2:$G$8551,4,FALSE),"")</f>
        <v/>
      </c>
      <c r="F2520" s="405" t="str">
        <f>IFERROR(VLOOKUP(A2520,[3]DOORSCRIEFT!$A$2:$G$8551,6,FALSE),"")</f>
        <v/>
      </c>
      <c r="G2520" s="315"/>
    </row>
    <row r="2521" spans="1:7" x14ac:dyDescent="0.25">
      <c r="A2521" s="319" t="str">
        <f t="shared" si="74"/>
        <v>I.2.2.02.0376</v>
      </c>
      <c r="B2521" s="319">
        <v>6</v>
      </c>
      <c r="C2521" s="394" t="str">
        <f>IFERROR(VLOOKUP(A2521,[3]DOORSCRIEFT!$A$2:$G$8551,2,FALSE),"")</f>
        <v/>
      </c>
      <c r="D2521" s="393" t="str">
        <f>IFERROR(VLOOKUP(A2521,[3]DOORSCRIEFT!$A$2:$G$8551,3,FALSE),"")</f>
        <v/>
      </c>
      <c r="E2521" s="392" t="str">
        <f>IFERROR(VLOOKUP(A2521,[3]DOORSCRIEFT!$A$2:$G$8551,4,FALSE),"")</f>
        <v/>
      </c>
      <c r="F2521" s="405" t="str">
        <f>IFERROR(VLOOKUP(A2521,[3]DOORSCRIEFT!$A$2:$G$8551,6,FALSE),"")</f>
        <v/>
      </c>
      <c r="G2521" s="315"/>
    </row>
    <row r="2522" spans="1:7" x14ac:dyDescent="0.25">
      <c r="A2522" s="319" t="str">
        <f t="shared" si="74"/>
        <v>I.2.2.02.0377</v>
      </c>
      <c r="B2522" s="319">
        <v>7</v>
      </c>
      <c r="C2522" s="394" t="str">
        <f>IFERROR(VLOOKUP(A2522,[3]DOORSCRIEFT!$A$2:$G$8551,2,FALSE),"")</f>
        <v/>
      </c>
      <c r="D2522" s="393" t="str">
        <f>IFERROR(VLOOKUP(A2522,[3]DOORSCRIEFT!$A$2:$G$8551,3,FALSE),"")</f>
        <v/>
      </c>
      <c r="E2522" s="392" t="str">
        <f>IFERROR(VLOOKUP(A2522,[3]DOORSCRIEFT!$A$2:$G$8551,4,FALSE),"")</f>
        <v/>
      </c>
      <c r="F2522" s="405" t="str">
        <f>IFERROR(VLOOKUP(A2522,[3]DOORSCRIEFT!$A$2:$G$8551,6,FALSE),"")</f>
        <v/>
      </c>
      <c r="G2522" s="315"/>
    </row>
    <row r="2523" spans="1:7" x14ac:dyDescent="0.25">
      <c r="A2523" s="319" t="str">
        <f t="shared" si="74"/>
        <v>I.2.2.02.0378</v>
      </c>
      <c r="B2523" s="319">
        <v>8</v>
      </c>
      <c r="C2523" s="394" t="str">
        <f>IFERROR(VLOOKUP(A2523,[3]DOORSCRIEFT!$A$2:$G$8551,2,FALSE),"")</f>
        <v/>
      </c>
      <c r="D2523" s="393" t="str">
        <f>IFERROR(VLOOKUP(A2523,[3]DOORSCRIEFT!$A$2:$G$8551,3,FALSE),"")</f>
        <v/>
      </c>
      <c r="E2523" s="392" t="str">
        <f>IFERROR(VLOOKUP(A2523,[3]DOORSCRIEFT!$A$2:$G$8551,4,FALSE),"")</f>
        <v/>
      </c>
      <c r="F2523" s="405" t="str">
        <f>IFERROR(VLOOKUP(A2523,[3]DOORSCRIEFT!$A$2:$G$8551,6,FALSE),"")</f>
        <v/>
      </c>
      <c r="G2523" s="315"/>
    </row>
    <row r="2524" spans="1:7" x14ac:dyDescent="0.25">
      <c r="A2524" s="319" t="str">
        <f t="shared" si="74"/>
        <v>I.2.2.02.0379</v>
      </c>
      <c r="B2524" s="319">
        <v>9</v>
      </c>
      <c r="C2524" s="394" t="str">
        <f>IFERROR(VLOOKUP(A2524,[3]DOORSCRIEFT!$A$2:$G$8551,2,FALSE),"")</f>
        <v/>
      </c>
      <c r="D2524" s="393" t="str">
        <f>IFERROR(VLOOKUP(A2524,[3]DOORSCRIEFT!$A$2:$G$8551,3,FALSE),"")</f>
        <v/>
      </c>
      <c r="E2524" s="392" t="str">
        <f>IFERROR(VLOOKUP(A2524,[3]DOORSCRIEFT!$A$2:$G$8551,4,FALSE),"")</f>
        <v/>
      </c>
      <c r="F2524" s="405" t="str">
        <f>IFERROR(VLOOKUP(A2524,[3]DOORSCRIEFT!$A$2:$G$8551,6,FALSE),"")</f>
        <v/>
      </c>
      <c r="G2524" s="315"/>
    </row>
    <row r="2525" spans="1:7" x14ac:dyDescent="0.25">
      <c r="A2525" s="319" t="str">
        <f t="shared" si="74"/>
        <v>I.2.2.02.03710</v>
      </c>
      <c r="B2525" s="319">
        <v>10</v>
      </c>
      <c r="C2525" s="394" t="str">
        <f>IFERROR(VLOOKUP(A2525,[3]DOORSCRIEFT!$A$2:$G$8551,2,FALSE),"")</f>
        <v/>
      </c>
      <c r="D2525" s="393" t="str">
        <f>IFERROR(VLOOKUP(A2525,[3]DOORSCRIEFT!$A$2:$G$8551,3,FALSE),"")</f>
        <v/>
      </c>
      <c r="E2525" s="392" t="str">
        <f>IFERROR(VLOOKUP(A2525,[3]DOORSCRIEFT!$A$2:$G$8551,4,FALSE),"")</f>
        <v/>
      </c>
      <c r="F2525" s="405" t="str">
        <f>IFERROR(VLOOKUP(A2525,[3]DOORSCRIEFT!$A$2:$G$8551,6,FALSE),"")</f>
        <v/>
      </c>
      <c r="G2525" s="315"/>
    </row>
    <row r="2526" spans="1:7" x14ac:dyDescent="0.25">
      <c r="A2526" s="319" t="str">
        <f t="shared" si="74"/>
        <v>I.2.2.02.03711</v>
      </c>
      <c r="B2526" s="319">
        <v>11</v>
      </c>
      <c r="C2526" s="394" t="str">
        <f>IFERROR(VLOOKUP(A2526,[3]DOORSCRIEFT!$A$2:$G$8551,2,FALSE),"")</f>
        <v/>
      </c>
      <c r="D2526" s="393" t="str">
        <f>IFERROR(VLOOKUP(A2526,[3]DOORSCRIEFT!$A$2:$G$8551,3,FALSE),"")</f>
        <v/>
      </c>
      <c r="E2526" s="392" t="str">
        <f>IFERROR(VLOOKUP(A2526,[3]DOORSCRIEFT!$A$2:$G$8551,4,FALSE),"")</f>
        <v/>
      </c>
      <c r="F2526" s="405" t="str">
        <f>IFERROR(VLOOKUP(A2526,[3]DOORSCRIEFT!$A$2:$G$8551,6,FALSE),"")</f>
        <v/>
      </c>
      <c r="G2526" s="315"/>
    </row>
    <row r="2527" spans="1:7" x14ac:dyDescent="0.25">
      <c r="A2527" s="319" t="str">
        <f t="shared" si="74"/>
        <v>I.2.2.02.03712</v>
      </c>
      <c r="B2527" s="319">
        <v>12</v>
      </c>
      <c r="C2527" s="394" t="str">
        <f>IFERROR(VLOOKUP(A2527,[3]DOORSCRIEFT!$A$2:$G$8551,2,FALSE),"")</f>
        <v/>
      </c>
      <c r="D2527" s="393" t="str">
        <f>IFERROR(VLOOKUP(A2527,[3]DOORSCRIEFT!$A$2:$G$8551,3,FALSE),"")</f>
        <v/>
      </c>
      <c r="E2527" s="392" t="str">
        <f>IFERROR(VLOOKUP(A2527,[3]DOORSCRIEFT!$A$2:$G$8551,4,FALSE),"")</f>
        <v/>
      </c>
      <c r="F2527" s="405" t="str">
        <f>IFERROR(VLOOKUP(A2527,[3]DOORSCRIEFT!$A$2:$G$8551,6,FALSE),"")</f>
        <v/>
      </c>
      <c r="G2527" s="315"/>
    </row>
    <row r="2528" spans="1:7" x14ac:dyDescent="0.25">
      <c r="A2528" s="319" t="str">
        <f t="shared" si="74"/>
        <v>I.2.2.02.03713</v>
      </c>
      <c r="B2528" s="319">
        <v>13</v>
      </c>
      <c r="C2528" s="394" t="str">
        <f>IFERROR(VLOOKUP(A2528,[3]DOORSCRIEFT!$A$2:$G$8551,2,FALSE),"")</f>
        <v/>
      </c>
      <c r="D2528" s="393" t="str">
        <f>IFERROR(VLOOKUP(A2528,[3]DOORSCRIEFT!$A$2:$G$8551,3,FALSE),"")</f>
        <v/>
      </c>
      <c r="E2528" s="392" t="str">
        <f>IFERROR(VLOOKUP(A2528,[3]DOORSCRIEFT!$A$2:$G$8551,4,FALSE),"")</f>
        <v/>
      </c>
      <c r="F2528" s="405" t="str">
        <f>IFERROR(VLOOKUP(A2528,[3]DOORSCRIEFT!$A$2:$G$8551,6,FALSE),"")</f>
        <v/>
      </c>
      <c r="G2528" s="315"/>
    </row>
    <row r="2529" spans="1:7" x14ac:dyDescent="0.25">
      <c r="A2529" s="319" t="str">
        <f t="shared" si="74"/>
        <v>I.2.2.02.03714</v>
      </c>
      <c r="B2529" s="319">
        <v>14</v>
      </c>
      <c r="C2529" s="394" t="str">
        <f>IFERROR(VLOOKUP(A2529,[3]DOORSCRIEFT!$A$2:$G$8551,2,FALSE),"")</f>
        <v/>
      </c>
      <c r="D2529" s="393" t="str">
        <f>IFERROR(VLOOKUP(A2529,[3]DOORSCRIEFT!$A$2:$G$8551,3,FALSE),"")</f>
        <v/>
      </c>
      <c r="E2529" s="392" t="str">
        <f>IFERROR(VLOOKUP(A2529,[3]DOORSCRIEFT!$A$2:$G$8551,4,FALSE),"")</f>
        <v/>
      </c>
      <c r="F2529" s="405" t="str">
        <f>IFERROR(VLOOKUP(A2529,[3]DOORSCRIEFT!$A$2:$G$8551,6,FALSE),"")</f>
        <v/>
      </c>
      <c r="G2529" s="315"/>
    </row>
    <row r="2530" spans="1:7" x14ac:dyDescent="0.25">
      <c r="A2530" s="319" t="str">
        <f t="shared" si="74"/>
        <v>I.2.2.02.03715</v>
      </c>
      <c r="B2530" s="319">
        <v>15</v>
      </c>
      <c r="C2530" s="394" t="str">
        <f>IFERROR(VLOOKUP(A2530,[3]DOORSCRIEFT!$A$2:$G$8551,2,FALSE),"")</f>
        <v/>
      </c>
      <c r="D2530" s="393" t="str">
        <f>IFERROR(VLOOKUP(A2530,[3]DOORSCRIEFT!$A$2:$G$8551,3,FALSE),"")</f>
        <v/>
      </c>
      <c r="E2530" s="392" t="str">
        <f>IFERROR(VLOOKUP(A2530,[3]DOORSCRIEFT!$A$2:$G$8551,4,FALSE),"")</f>
        <v/>
      </c>
      <c r="F2530" s="405" t="str">
        <f>IFERROR(VLOOKUP(A2530,[3]DOORSCRIEFT!$A$2:$G$8551,6,FALSE),"")</f>
        <v/>
      </c>
      <c r="G2530" s="315"/>
    </row>
    <row r="2531" spans="1:7" x14ac:dyDescent="0.25">
      <c r="A2531" s="319" t="str">
        <f t="shared" si="74"/>
        <v>I.2.2.02.03716</v>
      </c>
      <c r="B2531" s="319">
        <v>16</v>
      </c>
      <c r="C2531" s="394" t="str">
        <f>IFERROR(VLOOKUP(A2531,[3]DOORSCRIEFT!$A$2:$G$8551,2,FALSE),"")</f>
        <v/>
      </c>
      <c r="D2531" s="393" t="str">
        <f>IFERROR(VLOOKUP(A2531,[3]DOORSCRIEFT!$A$2:$G$8551,3,FALSE),"")</f>
        <v/>
      </c>
      <c r="E2531" s="392" t="str">
        <f>IFERROR(VLOOKUP(A2531,[3]DOORSCRIEFT!$A$2:$G$8551,4,FALSE),"")</f>
        <v/>
      </c>
      <c r="F2531" s="405" t="str">
        <f>IFERROR(VLOOKUP(A2531,[3]DOORSCRIEFT!$A$2:$G$8551,6,FALSE),"")</f>
        <v/>
      </c>
      <c r="G2531" s="315"/>
    </row>
    <row r="2532" spans="1:7" x14ac:dyDescent="0.25">
      <c r="A2532" s="319" t="str">
        <f t="shared" si="74"/>
        <v>I.2.2.02.03717</v>
      </c>
      <c r="B2532" s="319">
        <v>17</v>
      </c>
      <c r="C2532" s="394" t="str">
        <f>IFERROR(VLOOKUP(A2532,[3]DOORSCRIEFT!$A$2:$G$8551,2,FALSE),"")</f>
        <v/>
      </c>
      <c r="D2532" s="393" t="str">
        <f>IFERROR(VLOOKUP(A2532,[3]DOORSCRIEFT!$A$2:$G$8551,3,FALSE),"")</f>
        <v/>
      </c>
      <c r="E2532" s="392" t="str">
        <f>IFERROR(VLOOKUP(A2532,[3]DOORSCRIEFT!$A$2:$G$8551,4,FALSE),"")</f>
        <v/>
      </c>
      <c r="F2532" s="405" t="str">
        <f>IFERROR(VLOOKUP(A2532,[3]DOORSCRIEFT!$A$2:$G$8551,6,FALSE),"")</f>
        <v/>
      </c>
      <c r="G2532" s="315"/>
    </row>
    <row r="2533" spans="1:7" x14ac:dyDescent="0.25">
      <c r="A2533" s="319" t="str">
        <f t="shared" si="74"/>
        <v>I.2.2.02.03718</v>
      </c>
      <c r="B2533" s="319">
        <v>18</v>
      </c>
      <c r="C2533" s="394" t="str">
        <f>IFERROR(VLOOKUP(A2533,[3]DOORSCRIEFT!$A$2:$G$8551,2,FALSE),"")</f>
        <v/>
      </c>
      <c r="D2533" s="393" t="str">
        <f>IFERROR(VLOOKUP(A2533,[3]DOORSCRIEFT!$A$2:$G$8551,3,FALSE),"")</f>
        <v/>
      </c>
      <c r="E2533" s="392" t="str">
        <f>IFERROR(VLOOKUP(A2533,[3]DOORSCRIEFT!$A$2:$G$8551,4,FALSE),"")</f>
        <v/>
      </c>
      <c r="F2533" s="405" t="str">
        <f>IFERROR(VLOOKUP(A2533,[3]DOORSCRIEFT!$A$2:$G$8551,6,FALSE),"")</f>
        <v/>
      </c>
      <c r="G2533" s="315"/>
    </row>
    <row r="2534" spans="1:7" x14ac:dyDescent="0.25">
      <c r="A2534" s="319" t="str">
        <f t="shared" si="74"/>
        <v>I.2.2.02.03719</v>
      </c>
      <c r="B2534" s="319">
        <v>19</v>
      </c>
      <c r="C2534" s="394" t="str">
        <f>IFERROR(VLOOKUP(A2534,[3]DOORSCRIEFT!$A$2:$G$8551,2,FALSE),"")</f>
        <v/>
      </c>
      <c r="D2534" s="393" t="str">
        <f>IFERROR(VLOOKUP(A2534,[3]DOORSCRIEFT!$A$2:$G$8551,3,FALSE),"")</f>
        <v/>
      </c>
      <c r="E2534" s="392" t="str">
        <f>IFERROR(VLOOKUP(A2534,[3]DOORSCRIEFT!$A$2:$G$8551,4,FALSE),"")</f>
        <v/>
      </c>
      <c r="F2534" s="405" t="str">
        <f>IFERROR(VLOOKUP(A2534,[3]DOORSCRIEFT!$A$2:$G$8551,6,FALSE),"")</f>
        <v/>
      </c>
      <c r="G2534" s="315"/>
    </row>
    <row r="2535" spans="1:7" x14ac:dyDescent="0.25">
      <c r="A2535" s="319" t="str">
        <f t="shared" si="74"/>
        <v>I.2.2.02.03720</v>
      </c>
      <c r="B2535" s="319">
        <v>20</v>
      </c>
      <c r="C2535" s="394" t="str">
        <f>IFERROR(VLOOKUP(A2535,[3]DOORSCRIEFT!$A$2:$G$8551,2,FALSE),"")</f>
        <v/>
      </c>
      <c r="D2535" s="393" t="str">
        <f>IFERROR(VLOOKUP(A2535,[3]DOORSCRIEFT!$A$2:$G$8551,3,FALSE),"")</f>
        <v/>
      </c>
      <c r="E2535" s="392" t="str">
        <f>IFERROR(VLOOKUP(A2535,[3]DOORSCRIEFT!$A$2:$G$8551,4,FALSE),"")</f>
        <v/>
      </c>
      <c r="F2535" s="405" t="str">
        <f>IFERROR(VLOOKUP(A2535,[3]DOORSCRIEFT!$A$2:$G$8551,6,FALSE),"")</f>
        <v/>
      </c>
      <c r="G2535" s="315"/>
    </row>
    <row r="2536" spans="1:7" x14ac:dyDescent="0.25">
      <c r="A2536" s="319" t="str">
        <f t="shared" si="74"/>
        <v>I.2.2.02.03721</v>
      </c>
      <c r="B2536" s="319">
        <v>21</v>
      </c>
      <c r="C2536" s="394" t="str">
        <f>IFERROR(VLOOKUP(A2536,[3]DOORSCRIEFT!$A$2:$G$8551,2,FALSE),"")</f>
        <v/>
      </c>
      <c r="D2536" s="393" t="str">
        <f>IFERROR(VLOOKUP(A2536,[3]DOORSCRIEFT!$A$2:$G$8551,3,FALSE),"")</f>
        <v/>
      </c>
      <c r="E2536" s="392" t="str">
        <f>IFERROR(VLOOKUP(A2536,[3]DOORSCRIEFT!$A$2:$G$8551,4,FALSE),"")</f>
        <v/>
      </c>
      <c r="F2536" s="405" t="str">
        <f>IFERROR(VLOOKUP(A2536,[3]DOORSCRIEFT!$A$2:$G$8551,6,FALSE),"")</f>
        <v/>
      </c>
      <c r="G2536" s="315"/>
    </row>
    <row r="2537" spans="1:7" x14ac:dyDescent="0.25">
      <c r="A2537" s="319" t="str">
        <f t="shared" si="74"/>
        <v>I.2.2.02.03722</v>
      </c>
      <c r="B2537" s="319">
        <v>22</v>
      </c>
      <c r="C2537" s="394" t="str">
        <f>IFERROR(VLOOKUP(A2537,[3]DOORSCRIEFT!$A$2:$G$8551,2,FALSE),"")</f>
        <v/>
      </c>
      <c r="D2537" s="393" t="str">
        <f>IFERROR(VLOOKUP(A2537,[3]DOORSCRIEFT!$A$2:$G$8551,3,FALSE),"")</f>
        <v/>
      </c>
      <c r="E2537" s="392" t="str">
        <f>IFERROR(VLOOKUP(A2537,[3]DOORSCRIEFT!$A$2:$G$8551,4,FALSE),"")</f>
        <v/>
      </c>
      <c r="F2537" s="405" t="str">
        <f>IFERROR(VLOOKUP(A2537,[3]DOORSCRIEFT!$A$2:$G$8551,6,FALSE),"")</f>
        <v/>
      </c>
      <c r="G2537" s="315"/>
    </row>
    <row r="2538" spans="1:7" x14ac:dyDescent="0.25">
      <c r="A2538" s="319" t="str">
        <f t="shared" si="74"/>
        <v>I.2.2.02.03723</v>
      </c>
      <c r="B2538" s="319">
        <v>23</v>
      </c>
      <c r="C2538" s="394" t="str">
        <f>IFERROR(VLOOKUP(A2538,[3]DOORSCRIEFT!$A$2:$G$8551,2,FALSE),"")</f>
        <v/>
      </c>
      <c r="D2538" s="393" t="str">
        <f>IFERROR(VLOOKUP(A2538,[3]DOORSCRIEFT!$A$2:$G$8551,3,FALSE),"")</f>
        <v/>
      </c>
      <c r="E2538" s="392" t="str">
        <f>IFERROR(VLOOKUP(A2538,[3]DOORSCRIEFT!$A$2:$G$8551,4,FALSE),"")</f>
        <v/>
      </c>
      <c r="F2538" s="405" t="str">
        <f>IFERROR(VLOOKUP(A2538,[3]DOORSCRIEFT!$A$2:$G$8551,6,FALSE),"")</f>
        <v/>
      </c>
      <c r="G2538" s="315"/>
    </row>
    <row r="2539" spans="1:7" x14ac:dyDescent="0.25">
      <c r="A2539" s="319" t="str">
        <f t="shared" si="74"/>
        <v>I.2.2.02.03724</v>
      </c>
      <c r="B2539" s="319">
        <v>24</v>
      </c>
      <c r="C2539" s="394" t="str">
        <f>IFERROR(VLOOKUP(A2539,[3]DOORSCRIEFT!$A$2:$G$8551,2,FALSE),"")</f>
        <v/>
      </c>
      <c r="D2539" s="393" t="str">
        <f>IFERROR(VLOOKUP(A2539,[3]DOORSCRIEFT!$A$2:$G$8551,3,FALSE),"")</f>
        <v/>
      </c>
      <c r="E2539" s="392" t="str">
        <f>IFERROR(VLOOKUP(A2539,[3]DOORSCRIEFT!$A$2:$G$8551,4,FALSE),"")</f>
        <v/>
      </c>
      <c r="F2539" s="405" t="str">
        <f>IFERROR(VLOOKUP(A2539,[3]DOORSCRIEFT!$A$2:$G$8551,6,FALSE),"")</f>
        <v/>
      </c>
      <c r="G2539" s="315"/>
    </row>
    <row r="2540" spans="1:7" x14ac:dyDescent="0.25">
      <c r="A2540" s="319" t="str">
        <f t="shared" si="74"/>
        <v>I.2.2.02.03725</v>
      </c>
      <c r="B2540" s="319">
        <v>25</v>
      </c>
      <c r="C2540" s="394" t="str">
        <f>IFERROR(VLOOKUP(A2540,[3]DOORSCRIEFT!$A$2:$G$8551,2,FALSE),"")</f>
        <v/>
      </c>
      <c r="D2540" s="393" t="str">
        <f>IFERROR(VLOOKUP(A2540,[3]DOORSCRIEFT!$A$2:$G$8551,3,FALSE),"")</f>
        <v/>
      </c>
      <c r="E2540" s="392" t="str">
        <f>IFERROR(VLOOKUP(A2540,[3]DOORSCRIEFT!$A$2:$G$8551,4,FALSE),"")</f>
        <v/>
      </c>
      <c r="F2540" s="405" t="str">
        <f>IFERROR(VLOOKUP(A2540,[3]DOORSCRIEFT!$A$2:$G$8551,6,FALSE),"")</f>
        <v/>
      </c>
      <c r="G2540" s="315"/>
    </row>
    <row r="2541" spans="1:7" x14ac:dyDescent="0.25">
      <c r="A2541" s="319" t="str">
        <f t="shared" si="74"/>
        <v>I.2.2.02.03726</v>
      </c>
      <c r="B2541" s="319">
        <v>26</v>
      </c>
      <c r="C2541" s="394" t="str">
        <f>IFERROR(VLOOKUP(A2541,[3]DOORSCRIEFT!$A$2:$G$8551,2,FALSE),"")</f>
        <v/>
      </c>
      <c r="D2541" s="393" t="str">
        <f>IFERROR(VLOOKUP(A2541,[3]DOORSCRIEFT!$A$2:$G$8551,3,FALSE),"")</f>
        <v/>
      </c>
      <c r="E2541" s="392" t="str">
        <f>IFERROR(VLOOKUP(A2541,[3]DOORSCRIEFT!$A$2:$G$8551,4,FALSE),"")</f>
        <v/>
      </c>
      <c r="F2541" s="405" t="str">
        <f>IFERROR(VLOOKUP(A2541,[3]DOORSCRIEFT!$A$2:$G$8551,6,FALSE),"")</f>
        <v/>
      </c>
      <c r="G2541" s="315"/>
    </row>
    <row r="2542" spans="1:7" x14ac:dyDescent="0.25">
      <c r="A2542" s="319" t="str">
        <f t="shared" si="74"/>
        <v>I.2.2.02.03727</v>
      </c>
      <c r="B2542" s="319">
        <v>27</v>
      </c>
      <c r="C2542" s="394" t="str">
        <f>IFERROR(VLOOKUP(A2542,[3]DOORSCRIEFT!$A$2:$G$8551,2,FALSE),"")</f>
        <v/>
      </c>
      <c r="D2542" s="393" t="str">
        <f>IFERROR(VLOOKUP(A2542,[3]DOORSCRIEFT!$A$2:$G$8551,3,FALSE),"")</f>
        <v/>
      </c>
      <c r="E2542" s="392" t="str">
        <f>IFERROR(VLOOKUP(A2542,[3]DOORSCRIEFT!$A$2:$G$8551,4,FALSE),"")</f>
        <v/>
      </c>
      <c r="F2542" s="405" t="str">
        <f>IFERROR(VLOOKUP(A2542,[3]DOORSCRIEFT!$A$2:$G$8551,6,FALSE),"")</f>
        <v/>
      </c>
      <c r="G2542" s="315"/>
    </row>
    <row r="2543" spans="1:7" x14ac:dyDescent="0.25">
      <c r="A2543" s="319" t="str">
        <f t="shared" si="74"/>
        <v>I.2.2.02.03728</v>
      </c>
      <c r="B2543" s="319">
        <v>28</v>
      </c>
      <c r="C2543" s="394" t="str">
        <f>IFERROR(VLOOKUP(A2543,[3]DOORSCRIEFT!$A$2:$G$8551,2,FALSE),"")</f>
        <v/>
      </c>
      <c r="D2543" s="393" t="str">
        <f>IFERROR(VLOOKUP(A2543,[3]DOORSCRIEFT!$A$2:$G$8551,3,FALSE),"")</f>
        <v/>
      </c>
      <c r="E2543" s="392" t="str">
        <f>IFERROR(VLOOKUP(A2543,[3]DOORSCRIEFT!$A$2:$G$8551,4,FALSE),"")</f>
        <v/>
      </c>
      <c r="F2543" s="405" t="str">
        <f>IFERROR(VLOOKUP(A2543,[3]DOORSCRIEFT!$A$2:$G$8551,6,FALSE),"")</f>
        <v/>
      </c>
      <c r="G2543" s="315"/>
    </row>
    <row r="2544" spans="1:7" x14ac:dyDescent="0.25">
      <c r="A2544" s="319" t="str">
        <f t="shared" si="74"/>
        <v>I.2.2.02.03729</v>
      </c>
      <c r="B2544" s="319">
        <v>29</v>
      </c>
      <c r="C2544" s="394" t="str">
        <f>IFERROR(VLOOKUP(A2544,[3]DOORSCRIEFT!$A$2:$G$8551,2,FALSE),"")</f>
        <v/>
      </c>
      <c r="D2544" s="393" t="str">
        <f>IFERROR(VLOOKUP(A2544,[3]DOORSCRIEFT!$A$2:$G$8551,3,FALSE),"")</f>
        <v/>
      </c>
      <c r="E2544" s="392" t="str">
        <f>IFERROR(VLOOKUP(A2544,[3]DOORSCRIEFT!$A$2:$G$8551,4,FALSE),"")</f>
        <v/>
      </c>
      <c r="F2544" s="405" t="str">
        <f>IFERROR(VLOOKUP(A2544,[3]DOORSCRIEFT!$A$2:$G$8551,6,FALSE),"")</f>
        <v/>
      </c>
      <c r="G2544" s="315"/>
    </row>
    <row r="2545" spans="1:7" x14ac:dyDescent="0.25">
      <c r="A2545" s="319" t="str">
        <f t="shared" si="74"/>
        <v>I.2.2.02.03730</v>
      </c>
      <c r="B2545" s="319">
        <v>30</v>
      </c>
      <c r="C2545" s="394" t="str">
        <f>IFERROR(VLOOKUP(A2545,[3]DOORSCRIEFT!$A$2:$G$8551,2,FALSE),"")</f>
        <v/>
      </c>
      <c r="D2545" s="393" t="str">
        <f>IFERROR(VLOOKUP(A2545,[3]DOORSCRIEFT!$A$2:$G$8551,3,FALSE),"")</f>
        <v/>
      </c>
      <c r="E2545" s="392" t="str">
        <f>IFERROR(VLOOKUP(A2545,[3]DOORSCRIEFT!$A$2:$G$8551,4,FALSE),"")</f>
        <v/>
      </c>
      <c r="F2545" s="405" t="str">
        <f>IFERROR(VLOOKUP(A2545,[3]DOORSCRIEFT!$A$2:$G$8551,6,FALSE),"")</f>
        <v/>
      </c>
      <c r="G2545" s="315"/>
    </row>
    <row r="2546" spans="1:7" x14ac:dyDescent="0.25">
      <c r="A2546" s="319" t="str">
        <f t="shared" si="74"/>
        <v>I.2.2.02.03731</v>
      </c>
      <c r="B2546" s="319">
        <v>31</v>
      </c>
      <c r="C2546" s="394" t="str">
        <f>IFERROR(VLOOKUP(A2546,[3]DOORSCRIEFT!$A$2:$G$8551,2,FALSE),"")</f>
        <v/>
      </c>
      <c r="D2546" s="393" t="str">
        <f>IFERROR(VLOOKUP(A2546,[3]DOORSCRIEFT!$A$2:$G$8551,3,FALSE),"")</f>
        <v/>
      </c>
      <c r="E2546" s="392" t="str">
        <f>IFERROR(VLOOKUP(A2546,[3]DOORSCRIEFT!$A$2:$G$8551,4,FALSE),"")</f>
        <v/>
      </c>
      <c r="F2546" s="405" t="str">
        <f>IFERROR(VLOOKUP(A2546,[3]DOORSCRIEFT!$A$2:$G$8551,6,FALSE),"")</f>
        <v/>
      </c>
      <c r="G2546" s="315"/>
    </row>
    <row r="2547" spans="1:7" x14ac:dyDescent="0.25">
      <c r="A2547" s="319" t="str">
        <f t="shared" si="74"/>
        <v>I.2.2.02.03732</v>
      </c>
      <c r="B2547" s="319">
        <v>32</v>
      </c>
      <c r="C2547" s="394" t="str">
        <f>IFERROR(VLOOKUP(A2547,[3]DOORSCRIEFT!$A$2:$G$8551,2,FALSE),"")</f>
        <v/>
      </c>
      <c r="D2547" s="393" t="str">
        <f>IFERROR(VLOOKUP(A2547,[3]DOORSCRIEFT!$A$2:$G$8551,3,FALSE),"")</f>
        <v/>
      </c>
      <c r="E2547" s="392" t="str">
        <f>IFERROR(VLOOKUP(A2547,[3]DOORSCRIEFT!$A$2:$G$8551,4,FALSE),"")</f>
        <v/>
      </c>
      <c r="F2547" s="405" t="str">
        <f>IFERROR(VLOOKUP(A2547,[3]DOORSCRIEFT!$A$2:$G$8551,6,FALSE),"")</f>
        <v/>
      </c>
      <c r="G2547" s="315"/>
    </row>
    <row r="2548" spans="1:7" x14ac:dyDescent="0.25">
      <c r="A2548" s="319" t="str">
        <f t="shared" si="74"/>
        <v>I.2.2.02.03733</v>
      </c>
      <c r="B2548" s="319">
        <v>33</v>
      </c>
      <c r="C2548" s="394" t="str">
        <f>IFERROR(VLOOKUP(A2548,[3]DOORSCRIEFT!$A$2:$G$8551,2,FALSE),"")</f>
        <v/>
      </c>
      <c r="D2548" s="393" t="str">
        <f>IFERROR(VLOOKUP(A2548,[3]DOORSCRIEFT!$A$2:$G$8551,3,FALSE),"")</f>
        <v/>
      </c>
      <c r="E2548" s="392" t="str">
        <f>IFERROR(VLOOKUP(A2548,[3]DOORSCRIEFT!$A$2:$G$8551,4,FALSE),"")</f>
        <v/>
      </c>
      <c r="F2548" s="405" t="str">
        <f>IFERROR(VLOOKUP(A2548,[3]DOORSCRIEFT!$A$2:$G$8551,6,FALSE),"")</f>
        <v/>
      </c>
      <c r="G2548" s="315"/>
    </row>
    <row r="2549" spans="1:7" ht="15.75" thickBot="1" x14ac:dyDescent="0.3">
      <c r="A2549" s="345" t="str">
        <f t="shared" si="74"/>
        <v>I.2.2.02.03734</v>
      </c>
      <c r="B2549" s="345">
        <v>34</v>
      </c>
      <c r="C2549" s="394" t="str">
        <f>IFERROR(VLOOKUP(A2549,[3]DOORSCRIEFT!$A$2:$G$8551,2,FALSE),"")</f>
        <v/>
      </c>
      <c r="D2549" s="393" t="str">
        <f>IFERROR(VLOOKUP(A2549,[3]DOORSCRIEFT!$A$2:$G$8551,3,FALSE),"")</f>
        <v/>
      </c>
      <c r="E2549" s="392" t="str">
        <f>IFERROR(VLOOKUP(A2549,[3]DOORSCRIEFT!$A$2:$G$8551,4,FALSE),"")</f>
        <v/>
      </c>
      <c r="F2549" s="405" t="str">
        <f>IFERROR(VLOOKUP(A2549,[3]DOORSCRIEFT!$A$2:$G$8551,6,FALSE),"")</f>
        <v/>
      </c>
      <c r="G2549" s="315"/>
    </row>
    <row r="2550" spans="1:7" ht="15.75" thickBot="1" x14ac:dyDescent="0.3">
      <c r="A2550" s="314"/>
      <c r="B2550" s="312"/>
      <c r="C2550" s="336"/>
      <c r="D2550" s="312"/>
      <c r="E2550" s="311" t="s">
        <v>644</v>
      </c>
      <c r="F2550" s="310">
        <f>SUM(F2516:F2549)</f>
        <v>192000</v>
      </c>
      <c r="G2550" s="309">
        <f>SUM(G2516:G2549)</f>
        <v>0</v>
      </c>
    </row>
    <row r="2551" spans="1:7" x14ac:dyDescent="0.25">
      <c r="C2551" s="335"/>
    </row>
    <row r="2552" spans="1:7" x14ac:dyDescent="0.25">
      <c r="C2552" s="335"/>
    </row>
    <row r="2553" spans="1:7" ht="15.75" x14ac:dyDescent="0.25">
      <c r="C2553" s="334"/>
      <c r="D2553" s="333"/>
      <c r="E2553" s="332"/>
      <c r="F2553" s="327" t="s">
        <v>607</v>
      </c>
      <c r="G2553" s="327" t="s">
        <v>472</v>
      </c>
    </row>
    <row r="2554" spans="1:7" ht="15.75" x14ac:dyDescent="0.25">
      <c r="C2554" s="334"/>
      <c r="D2554" s="333"/>
      <c r="E2554" s="332"/>
      <c r="F2554" s="327" t="s">
        <v>601</v>
      </c>
      <c r="G2554" s="327" t="s">
        <v>471</v>
      </c>
    </row>
    <row r="2555" spans="1:7" x14ac:dyDescent="0.25">
      <c r="C2555" s="330"/>
      <c r="D2555" s="329"/>
      <c r="E2555" s="328"/>
      <c r="F2555" s="327" t="s">
        <v>651</v>
      </c>
      <c r="G2555" s="331">
        <f>[2]Sheet1!$D$65</f>
        <v>4000000</v>
      </c>
    </row>
    <row r="2556" spans="1:7" ht="15.75" thickBot="1" x14ac:dyDescent="0.3">
      <c r="C2556" s="330"/>
      <c r="D2556" s="329"/>
      <c r="E2556" s="328"/>
      <c r="F2556" s="327" t="s">
        <v>650</v>
      </c>
      <c r="G2556" s="326">
        <f>+F2594-G2555</f>
        <v>-3227000</v>
      </c>
    </row>
    <row r="2557" spans="1:7" x14ac:dyDescent="0.25">
      <c r="A2557" s="571" t="s">
        <v>626</v>
      </c>
      <c r="B2557" s="573" t="s">
        <v>606</v>
      </c>
      <c r="C2557" s="588" t="s">
        <v>649</v>
      </c>
      <c r="D2557" s="577" t="s">
        <v>648</v>
      </c>
      <c r="E2557" s="577" t="s">
        <v>647</v>
      </c>
      <c r="F2557" s="577" t="s">
        <v>646</v>
      </c>
      <c r="G2557" s="580" t="s">
        <v>645</v>
      </c>
    </row>
    <row r="2558" spans="1:7" ht="15.75" thickBot="1" x14ac:dyDescent="0.3">
      <c r="A2558" s="572"/>
      <c r="B2558" s="574"/>
      <c r="C2558" s="589"/>
      <c r="D2558" s="586"/>
      <c r="E2558" s="586"/>
      <c r="F2558" s="586"/>
      <c r="G2558" s="587"/>
    </row>
    <row r="2559" spans="1:7" ht="15.75" thickBot="1" x14ac:dyDescent="0.3">
      <c r="A2559" s="325">
        <v>1</v>
      </c>
      <c r="B2559" s="324">
        <v>2</v>
      </c>
      <c r="C2559" s="324">
        <v>3</v>
      </c>
      <c r="D2559" s="324">
        <v>4</v>
      </c>
      <c r="E2559" s="324">
        <v>5</v>
      </c>
      <c r="F2559" s="324">
        <v>6</v>
      </c>
      <c r="G2559" s="323">
        <v>7</v>
      </c>
    </row>
    <row r="2560" spans="1:7" x14ac:dyDescent="0.25">
      <c r="A2560" s="339" t="str">
        <f t="shared" ref="A2560:A2593" si="75">$G$2553&amp;B2560</f>
        <v>I.2.2.02.0381</v>
      </c>
      <c r="B2560" s="339">
        <v>1</v>
      </c>
      <c r="C2560" s="394">
        <f>IFERROR(VLOOKUP(A2560,[3]DOORSCRIEFT!$A$2:$G$8551,2,FALSE),"")</f>
        <v>9</v>
      </c>
      <c r="D2560" s="393">
        <f>IFERROR(VLOOKUP(A2560,[3]DOORSCRIEFT!$A$2:$G$8551,3,FALSE),"")</f>
        <v>46023</v>
      </c>
      <c r="E2560" s="392" t="str">
        <f>IFERROR(VLOOKUP(A2560,[3]DOORSCRIEFT!$A$2:$G$8551,4,FALSE),"")</f>
        <v>Kolekta Baptisan Kel. Christofel, Noya</v>
      </c>
      <c r="F2560" s="405">
        <f>IFERROR(VLOOKUP(A2560,[3]DOORSCRIEFT!$A$2:$G$8551,6,FALSE),"")</f>
        <v>153000</v>
      </c>
      <c r="G2560" s="322"/>
    </row>
    <row r="2561" spans="1:7" x14ac:dyDescent="0.25">
      <c r="A2561" s="319" t="str">
        <f t="shared" si="75"/>
        <v>I.2.2.02.0382</v>
      </c>
      <c r="B2561" s="319">
        <v>2</v>
      </c>
      <c r="C2561" s="394">
        <f>IFERROR(VLOOKUP(A2561,[3]DOORSCRIEFT!$A$2:$G$8551,2,FALSE),"")</f>
        <v>189</v>
      </c>
      <c r="D2561" s="393">
        <f>IFERROR(VLOOKUP(A2561,[3]DOORSCRIEFT!$A$2:$G$8551,3,FALSE),"")</f>
        <v>46066</v>
      </c>
      <c r="E2561" s="392" t="str">
        <f>IFERROR(VLOOKUP(A2561,[3]DOORSCRIEFT!$A$2:$G$8551,4,FALSE),"")</f>
        <v>Kolekta Syukur Baptisan Kel. Suitela</v>
      </c>
      <c r="F2561" s="405">
        <f>IFERROR(VLOOKUP(A2561,[3]DOORSCRIEFT!$A$2:$G$8551,6,FALSE),"")</f>
        <v>200000</v>
      </c>
      <c r="G2561" s="315"/>
    </row>
    <row r="2562" spans="1:7" x14ac:dyDescent="0.25">
      <c r="A2562" s="319" t="str">
        <f t="shared" si="75"/>
        <v>I.2.2.02.0383</v>
      </c>
      <c r="B2562" s="319">
        <v>3</v>
      </c>
      <c r="C2562" s="394">
        <f>IFERROR(VLOOKUP(A2562,[3]DOORSCRIEFT!$A$2:$G$8551,2,FALSE),"")</f>
        <v>434</v>
      </c>
      <c r="D2562" s="393">
        <f>IFERROR(VLOOKUP(A2562,[3]DOORSCRIEFT!$A$2:$G$8551,3,FALSE),"")</f>
        <v>46103</v>
      </c>
      <c r="E2562" s="392" t="str">
        <f>IFERROR(VLOOKUP(A2562,[3]DOORSCRIEFT!$A$2:$G$8551,4,FALSE),"")</f>
        <v>Kolekta Kebaktian syukur Baptisan Kel. Bpk. Rein Pattisina</v>
      </c>
      <c r="F2562" s="405">
        <f>IFERROR(VLOOKUP(A2562,[3]DOORSCRIEFT!$A$2:$G$8551,6,FALSE),"")</f>
        <v>190000</v>
      </c>
      <c r="G2562" s="315"/>
    </row>
    <row r="2563" spans="1:7" x14ac:dyDescent="0.25">
      <c r="A2563" s="319" t="str">
        <f t="shared" si="75"/>
        <v>I.2.2.02.0384</v>
      </c>
      <c r="B2563" s="319">
        <v>4</v>
      </c>
      <c r="C2563" s="394">
        <f>IFERROR(VLOOKUP(A2563,[3]DOORSCRIEFT!$A$2:$G$8551,2,FALSE),"")</f>
        <v>435</v>
      </c>
      <c r="D2563" s="393">
        <f>IFERROR(VLOOKUP(A2563,[3]DOORSCRIEFT!$A$2:$G$8551,3,FALSE),"")</f>
        <v>46103</v>
      </c>
      <c r="E2563" s="392" t="str">
        <f>IFERROR(VLOOKUP(A2563,[3]DOORSCRIEFT!$A$2:$G$8551,4,FALSE),"")</f>
        <v>Kolekta Kebaktian Syukur Baptisan Kel. Teriraun</v>
      </c>
      <c r="F2563" s="405">
        <f>IFERROR(VLOOKUP(A2563,[3]DOORSCRIEFT!$A$2:$G$8551,6,FALSE),"")</f>
        <v>230000</v>
      </c>
      <c r="G2563" s="315"/>
    </row>
    <row r="2564" spans="1:7" x14ac:dyDescent="0.25">
      <c r="A2564" s="319" t="str">
        <f t="shared" si="75"/>
        <v>I.2.2.02.0385</v>
      </c>
      <c r="B2564" s="319">
        <v>5</v>
      </c>
      <c r="C2564" s="394" t="str">
        <f>IFERROR(VLOOKUP(A2564,[3]DOORSCRIEFT!$A$2:$G$8551,2,FALSE),"")</f>
        <v/>
      </c>
      <c r="D2564" s="393" t="str">
        <f>IFERROR(VLOOKUP(A2564,[3]DOORSCRIEFT!$A$2:$G$8551,3,FALSE),"")</f>
        <v/>
      </c>
      <c r="E2564" s="392" t="str">
        <f>IFERROR(VLOOKUP(A2564,[3]DOORSCRIEFT!$A$2:$G$8551,4,FALSE),"")</f>
        <v/>
      </c>
      <c r="F2564" s="405" t="str">
        <f>IFERROR(VLOOKUP(A2564,[3]DOORSCRIEFT!$A$2:$G$8551,6,FALSE),"")</f>
        <v/>
      </c>
      <c r="G2564" s="315"/>
    </row>
    <row r="2565" spans="1:7" x14ac:dyDescent="0.25">
      <c r="A2565" s="319" t="str">
        <f t="shared" si="75"/>
        <v>I.2.2.02.0386</v>
      </c>
      <c r="B2565" s="319">
        <v>6</v>
      </c>
      <c r="C2565" s="394" t="str">
        <f>IFERROR(VLOOKUP(A2565,[3]DOORSCRIEFT!$A$2:$G$8551,2,FALSE),"")</f>
        <v/>
      </c>
      <c r="D2565" s="393" t="str">
        <f>IFERROR(VLOOKUP(A2565,[3]DOORSCRIEFT!$A$2:$G$8551,3,FALSE),"")</f>
        <v/>
      </c>
      <c r="E2565" s="392" t="str">
        <f>IFERROR(VLOOKUP(A2565,[3]DOORSCRIEFT!$A$2:$G$8551,4,FALSE),"")</f>
        <v/>
      </c>
      <c r="F2565" s="405" t="str">
        <f>IFERROR(VLOOKUP(A2565,[3]DOORSCRIEFT!$A$2:$G$8551,6,FALSE),"")</f>
        <v/>
      </c>
      <c r="G2565" s="315"/>
    </row>
    <row r="2566" spans="1:7" x14ac:dyDescent="0.25">
      <c r="A2566" s="319" t="str">
        <f t="shared" si="75"/>
        <v>I.2.2.02.0387</v>
      </c>
      <c r="B2566" s="319">
        <v>7</v>
      </c>
      <c r="C2566" s="394" t="str">
        <f>IFERROR(VLOOKUP(A2566,[3]DOORSCRIEFT!$A$2:$G$8551,2,FALSE),"")</f>
        <v/>
      </c>
      <c r="D2566" s="393" t="str">
        <f>IFERROR(VLOOKUP(A2566,[3]DOORSCRIEFT!$A$2:$G$8551,3,FALSE),"")</f>
        <v/>
      </c>
      <c r="E2566" s="392" t="str">
        <f>IFERROR(VLOOKUP(A2566,[3]DOORSCRIEFT!$A$2:$G$8551,4,FALSE),"")</f>
        <v/>
      </c>
      <c r="F2566" s="405" t="str">
        <f>IFERROR(VLOOKUP(A2566,[3]DOORSCRIEFT!$A$2:$G$8551,6,FALSE),"")</f>
        <v/>
      </c>
      <c r="G2566" s="315"/>
    </row>
    <row r="2567" spans="1:7" x14ac:dyDescent="0.25">
      <c r="A2567" s="319" t="str">
        <f t="shared" si="75"/>
        <v>I.2.2.02.0388</v>
      </c>
      <c r="B2567" s="319">
        <v>8</v>
      </c>
      <c r="C2567" s="394" t="str">
        <f>IFERROR(VLOOKUP(A2567,[3]DOORSCRIEFT!$A$2:$G$8551,2,FALSE),"")</f>
        <v/>
      </c>
      <c r="D2567" s="393" t="str">
        <f>IFERROR(VLOOKUP(A2567,[3]DOORSCRIEFT!$A$2:$G$8551,3,FALSE),"")</f>
        <v/>
      </c>
      <c r="E2567" s="392" t="str">
        <f>IFERROR(VLOOKUP(A2567,[3]DOORSCRIEFT!$A$2:$G$8551,4,FALSE),"")</f>
        <v/>
      </c>
      <c r="F2567" s="405" t="str">
        <f>IFERROR(VLOOKUP(A2567,[3]DOORSCRIEFT!$A$2:$G$8551,6,FALSE),"")</f>
        <v/>
      </c>
      <c r="G2567" s="315"/>
    </row>
    <row r="2568" spans="1:7" x14ac:dyDescent="0.25">
      <c r="A2568" s="319" t="str">
        <f t="shared" si="75"/>
        <v>I.2.2.02.0389</v>
      </c>
      <c r="B2568" s="319">
        <v>9</v>
      </c>
      <c r="C2568" s="394" t="str">
        <f>IFERROR(VLOOKUP(A2568,[3]DOORSCRIEFT!$A$2:$G$8551,2,FALSE),"")</f>
        <v/>
      </c>
      <c r="D2568" s="393" t="str">
        <f>IFERROR(VLOOKUP(A2568,[3]DOORSCRIEFT!$A$2:$G$8551,3,FALSE),"")</f>
        <v/>
      </c>
      <c r="E2568" s="392" t="str">
        <f>IFERROR(VLOOKUP(A2568,[3]DOORSCRIEFT!$A$2:$G$8551,4,FALSE),"")</f>
        <v/>
      </c>
      <c r="F2568" s="405" t="str">
        <f>IFERROR(VLOOKUP(A2568,[3]DOORSCRIEFT!$A$2:$G$8551,6,FALSE),"")</f>
        <v/>
      </c>
      <c r="G2568" s="315"/>
    </row>
    <row r="2569" spans="1:7" x14ac:dyDescent="0.25">
      <c r="A2569" s="319" t="str">
        <f t="shared" si="75"/>
        <v>I.2.2.02.03810</v>
      </c>
      <c r="B2569" s="319">
        <v>10</v>
      </c>
      <c r="C2569" s="394" t="str">
        <f>IFERROR(VLOOKUP(A2569,[3]DOORSCRIEFT!$A$2:$G$8551,2,FALSE),"")</f>
        <v/>
      </c>
      <c r="D2569" s="393" t="str">
        <f>IFERROR(VLOOKUP(A2569,[3]DOORSCRIEFT!$A$2:$G$8551,3,FALSE),"")</f>
        <v/>
      </c>
      <c r="E2569" s="392" t="str">
        <f>IFERROR(VLOOKUP(A2569,[3]DOORSCRIEFT!$A$2:$G$8551,4,FALSE),"")</f>
        <v/>
      </c>
      <c r="F2569" s="405" t="str">
        <f>IFERROR(VLOOKUP(A2569,[3]DOORSCRIEFT!$A$2:$G$8551,6,FALSE),"")</f>
        <v/>
      </c>
      <c r="G2569" s="315"/>
    </row>
    <row r="2570" spans="1:7" x14ac:dyDescent="0.25">
      <c r="A2570" s="319" t="str">
        <f t="shared" si="75"/>
        <v>I.2.2.02.03811</v>
      </c>
      <c r="B2570" s="319">
        <v>11</v>
      </c>
      <c r="C2570" s="394" t="str">
        <f>IFERROR(VLOOKUP(A2570,[3]DOORSCRIEFT!$A$2:$G$8551,2,FALSE),"")</f>
        <v/>
      </c>
      <c r="D2570" s="393" t="str">
        <f>IFERROR(VLOOKUP(A2570,[3]DOORSCRIEFT!$A$2:$G$8551,3,FALSE),"")</f>
        <v/>
      </c>
      <c r="E2570" s="392" t="str">
        <f>IFERROR(VLOOKUP(A2570,[3]DOORSCRIEFT!$A$2:$G$8551,4,FALSE),"")</f>
        <v/>
      </c>
      <c r="F2570" s="405" t="str">
        <f>IFERROR(VLOOKUP(A2570,[3]DOORSCRIEFT!$A$2:$G$8551,6,FALSE),"")</f>
        <v/>
      </c>
      <c r="G2570" s="315"/>
    </row>
    <row r="2571" spans="1:7" x14ac:dyDescent="0.25">
      <c r="A2571" s="319" t="str">
        <f t="shared" si="75"/>
        <v>I.2.2.02.03812</v>
      </c>
      <c r="B2571" s="319">
        <v>12</v>
      </c>
      <c r="C2571" s="394" t="str">
        <f>IFERROR(VLOOKUP(A2571,[3]DOORSCRIEFT!$A$2:$G$8551,2,FALSE),"")</f>
        <v/>
      </c>
      <c r="D2571" s="393" t="str">
        <f>IFERROR(VLOOKUP(A2571,[3]DOORSCRIEFT!$A$2:$G$8551,3,FALSE),"")</f>
        <v/>
      </c>
      <c r="E2571" s="392" t="str">
        <f>IFERROR(VLOOKUP(A2571,[3]DOORSCRIEFT!$A$2:$G$8551,4,FALSE),"")</f>
        <v/>
      </c>
      <c r="F2571" s="405" t="str">
        <f>IFERROR(VLOOKUP(A2571,[3]DOORSCRIEFT!$A$2:$G$8551,6,FALSE),"")</f>
        <v/>
      </c>
      <c r="G2571" s="315"/>
    </row>
    <row r="2572" spans="1:7" x14ac:dyDescent="0.25">
      <c r="A2572" s="319" t="str">
        <f t="shared" si="75"/>
        <v>I.2.2.02.03813</v>
      </c>
      <c r="B2572" s="319">
        <v>13</v>
      </c>
      <c r="C2572" s="394" t="str">
        <f>IFERROR(VLOOKUP(A2572,[3]DOORSCRIEFT!$A$2:$G$8551,2,FALSE),"")</f>
        <v/>
      </c>
      <c r="D2572" s="393" t="str">
        <f>IFERROR(VLOOKUP(A2572,[3]DOORSCRIEFT!$A$2:$G$8551,3,FALSE),"")</f>
        <v/>
      </c>
      <c r="E2572" s="392" t="str">
        <f>IFERROR(VLOOKUP(A2572,[3]DOORSCRIEFT!$A$2:$G$8551,4,FALSE),"")</f>
        <v/>
      </c>
      <c r="F2572" s="405" t="str">
        <f>IFERROR(VLOOKUP(A2572,[3]DOORSCRIEFT!$A$2:$G$8551,6,FALSE),"")</f>
        <v/>
      </c>
      <c r="G2572" s="315"/>
    </row>
    <row r="2573" spans="1:7" x14ac:dyDescent="0.25">
      <c r="A2573" s="319" t="str">
        <f t="shared" si="75"/>
        <v>I.2.2.02.03814</v>
      </c>
      <c r="B2573" s="319">
        <v>14</v>
      </c>
      <c r="C2573" s="394" t="str">
        <f>IFERROR(VLOOKUP(A2573,[3]DOORSCRIEFT!$A$2:$G$8551,2,FALSE),"")</f>
        <v/>
      </c>
      <c r="D2573" s="393" t="str">
        <f>IFERROR(VLOOKUP(A2573,[3]DOORSCRIEFT!$A$2:$G$8551,3,FALSE),"")</f>
        <v/>
      </c>
      <c r="E2573" s="392" t="str">
        <f>IFERROR(VLOOKUP(A2573,[3]DOORSCRIEFT!$A$2:$G$8551,4,FALSE),"")</f>
        <v/>
      </c>
      <c r="F2573" s="405" t="str">
        <f>IFERROR(VLOOKUP(A2573,[3]DOORSCRIEFT!$A$2:$G$8551,6,FALSE),"")</f>
        <v/>
      </c>
      <c r="G2573" s="315"/>
    </row>
    <row r="2574" spans="1:7" x14ac:dyDescent="0.25">
      <c r="A2574" s="319" t="str">
        <f t="shared" si="75"/>
        <v>I.2.2.02.03815</v>
      </c>
      <c r="B2574" s="319">
        <v>15</v>
      </c>
      <c r="C2574" s="394" t="str">
        <f>IFERROR(VLOOKUP(A2574,[3]DOORSCRIEFT!$A$2:$G$8551,2,FALSE),"")</f>
        <v/>
      </c>
      <c r="D2574" s="393" t="str">
        <f>IFERROR(VLOOKUP(A2574,[3]DOORSCRIEFT!$A$2:$G$8551,3,FALSE),"")</f>
        <v/>
      </c>
      <c r="E2574" s="392" t="str">
        <f>IFERROR(VLOOKUP(A2574,[3]DOORSCRIEFT!$A$2:$G$8551,4,FALSE),"")</f>
        <v/>
      </c>
      <c r="F2574" s="405" t="str">
        <f>IFERROR(VLOOKUP(A2574,[3]DOORSCRIEFT!$A$2:$G$8551,6,FALSE),"")</f>
        <v/>
      </c>
      <c r="G2574" s="315"/>
    </row>
    <row r="2575" spans="1:7" x14ac:dyDescent="0.25">
      <c r="A2575" s="319" t="str">
        <f t="shared" si="75"/>
        <v>I.2.2.02.03816</v>
      </c>
      <c r="B2575" s="319">
        <v>16</v>
      </c>
      <c r="C2575" s="394" t="str">
        <f>IFERROR(VLOOKUP(A2575,[3]DOORSCRIEFT!$A$2:$G$8551,2,FALSE),"")</f>
        <v/>
      </c>
      <c r="D2575" s="393" t="str">
        <f>IFERROR(VLOOKUP(A2575,[3]DOORSCRIEFT!$A$2:$G$8551,3,FALSE),"")</f>
        <v/>
      </c>
      <c r="E2575" s="392" t="str">
        <f>IFERROR(VLOOKUP(A2575,[3]DOORSCRIEFT!$A$2:$G$8551,4,FALSE),"")</f>
        <v/>
      </c>
      <c r="F2575" s="405" t="str">
        <f>IFERROR(VLOOKUP(A2575,[3]DOORSCRIEFT!$A$2:$G$8551,6,FALSE),"")</f>
        <v/>
      </c>
      <c r="G2575" s="315"/>
    </row>
    <row r="2576" spans="1:7" x14ac:dyDescent="0.25">
      <c r="A2576" s="319" t="str">
        <f t="shared" si="75"/>
        <v>I.2.2.02.03817</v>
      </c>
      <c r="B2576" s="319">
        <v>17</v>
      </c>
      <c r="C2576" s="394" t="str">
        <f>IFERROR(VLOOKUP(A2576,[3]DOORSCRIEFT!$A$2:$G$8551,2,FALSE),"")</f>
        <v/>
      </c>
      <c r="D2576" s="393" t="str">
        <f>IFERROR(VLOOKUP(A2576,[3]DOORSCRIEFT!$A$2:$G$8551,3,FALSE),"")</f>
        <v/>
      </c>
      <c r="E2576" s="392" t="str">
        <f>IFERROR(VLOOKUP(A2576,[3]DOORSCRIEFT!$A$2:$G$8551,4,FALSE),"")</f>
        <v/>
      </c>
      <c r="F2576" s="405" t="str">
        <f>IFERROR(VLOOKUP(A2576,[3]DOORSCRIEFT!$A$2:$G$8551,6,FALSE),"")</f>
        <v/>
      </c>
      <c r="G2576" s="315"/>
    </row>
    <row r="2577" spans="1:7" x14ac:dyDescent="0.25">
      <c r="A2577" s="319" t="str">
        <f t="shared" si="75"/>
        <v>I.2.2.02.03818</v>
      </c>
      <c r="B2577" s="319">
        <v>18</v>
      </c>
      <c r="C2577" s="394" t="str">
        <f>IFERROR(VLOOKUP(A2577,[3]DOORSCRIEFT!$A$2:$G$8551,2,FALSE),"")</f>
        <v/>
      </c>
      <c r="D2577" s="393" t="str">
        <f>IFERROR(VLOOKUP(A2577,[3]DOORSCRIEFT!$A$2:$G$8551,3,FALSE),"")</f>
        <v/>
      </c>
      <c r="E2577" s="392" t="str">
        <f>IFERROR(VLOOKUP(A2577,[3]DOORSCRIEFT!$A$2:$G$8551,4,FALSE),"")</f>
        <v/>
      </c>
      <c r="F2577" s="405" t="str">
        <f>IFERROR(VLOOKUP(A2577,[3]DOORSCRIEFT!$A$2:$G$8551,6,FALSE),"")</f>
        <v/>
      </c>
      <c r="G2577" s="315"/>
    </row>
    <row r="2578" spans="1:7" x14ac:dyDescent="0.25">
      <c r="A2578" s="319" t="str">
        <f t="shared" si="75"/>
        <v>I.2.2.02.03819</v>
      </c>
      <c r="B2578" s="319">
        <v>19</v>
      </c>
      <c r="C2578" s="394" t="str">
        <f>IFERROR(VLOOKUP(A2578,[3]DOORSCRIEFT!$A$2:$G$8551,2,FALSE),"")</f>
        <v/>
      </c>
      <c r="D2578" s="393" t="str">
        <f>IFERROR(VLOOKUP(A2578,[3]DOORSCRIEFT!$A$2:$G$8551,3,FALSE),"")</f>
        <v/>
      </c>
      <c r="E2578" s="392" t="str">
        <f>IFERROR(VLOOKUP(A2578,[3]DOORSCRIEFT!$A$2:$G$8551,4,FALSE),"")</f>
        <v/>
      </c>
      <c r="F2578" s="405" t="str">
        <f>IFERROR(VLOOKUP(A2578,[3]DOORSCRIEFT!$A$2:$G$8551,6,FALSE),"")</f>
        <v/>
      </c>
      <c r="G2578" s="315"/>
    </row>
    <row r="2579" spans="1:7" x14ac:dyDescent="0.25">
      <c r="A2579" s="319" t="str">
        <f t="shared" si="75"/>
        <v>I.2.2.02.03820</v>
      </c>
      <c r="B2579" s="319">
        <v>20</v>
      </c>
      <c r="C2579" s="394" t="str">
        <f>IFERROR(VLOOKUP(A2579,[3]DOORSCRIEFT!$A$2:$G$8551,2,FALSE),"")</f>
        <v/>
      </c>
      <c r="D2579" s="393" t="str">
        <f>IFERROR(VLOOKUP(A2579,[3]DOORSCRIEFT!$A$2:$G$8551,3,FALSE),"")</f>
        <v/>
      </c>
      <c r="E2579" s="392" t="str">
        <f>IFERROR(VLOOKUP(A2579,[3]DOORSCRIEFT!$A$2:$G$8551,4,FALSE),"")</f>
        <v/>
      </c>
      <c r="F2579" s="405" t="str">
        <f>IFERROR(VLOOKUP(A2579,[3]DOORSCRIEFT!$A$2:$G$8551,6,FALSE),"")</f>
        <v/>
      </c>
      <c r="G2579" s="315"/>
    </row>
    <row r="2580" spans="1:7" x14ac:dyDescent="0.25">
      <c r="A2580" s="319" t="str">
        <f t="shared" si="75"/>
        <v>I.2.2.02.03821</v>
      </c>
      <c r="B2580" s="319">
        <v>21</v>
      </c>
      <c r="C2580" s="394" t="str">
        <f>IFERROR(VLOOKUP(A2580,[3]DOORSCRIEFT!$A$2:$G$8551,2,FALSE),"")</f>
        <v/>
      </c>
      <c r="D2580" s="393" t="str">
        <f>IFERROR(VLOOKUP(A2580,[3]DOORSCRIEFT!$A$2:$G$8551,3,FALSE),"")</f>
        <v/>
      </c>
      <c r="E2580" s="392" t="str">
        <f>IFERROR(VLOOKUP(A2580,[3]DOORSCRIEFT!$A$2:$G$8551,4,FALSE),"")</f>
        <v/>
      </c>
      <c r="F2580" s="405" t="str">
        <f>IFERROR(VLOOKUP(A2580,[3]DOORSCRIEFT!$A$2:$G$8551,6,FALSE),"")</f>
        <v/>
      </c>
      <c r="G2580" s="315"/>
    </row>
    <row r="2581" spans="1:7" x14ac:dyDescent="0.25">
      <c r="A2581" s="319" t="str">
        <f t="shared" si="75"/>
        <v>I.2.2.02.03822</v>
      </c>
      <c r="B2581" s="319">
        <v>22</v>
      </c>
      <c r="C2581" s="394" t="str">
        <f>IFERROR(VLOOKUP(A2581,[3]DOORSCRIEFT!$A$2:$G$8551,2,FALSE),"")</f>
        <v/>
      </c>
      <c r="D2581" s="393" t="str">
        <f>IFERROR(VLOOKUP(A2581,[3]DOORSCRIEFT!$A$2:$G$8551,3,FALSE),"")</f>
        <v/>
      </c>
      <c r="E2581" s="392" t="str">
        <f>IFERROR(VLOOKUP(A2581,[3]DOORSCRIEFT!$A$2:$G$8551,4,FALSE),"")</f>
        <v/>
      </c>
      <c r="F2581" s="405" t="str">
        <f>IFERROR(VLOOKUP(A2581,[3]DOORSCRIEFT!$A$2:$G$8551,6,FALSE),"")</f>
        <v/>
      </c>
      <c r="G2581" s="315"/>
    </row>
    <row r="2582" spans="1:7" x14ac:dyDescent="0.25">
      <c r="A2582" s="319" t="str">
        <f t="shared" si="75"/>
        <v>I.2.2.02.03823</v>
      </c>
      <c r="B2582" s="319">
        <v>23</v>
      </c>
      <c r="C2582" s="394" t="str">
        <f>IFERROR(VLOOKUP(A2582,[3]DOORSCRIEFT!$A$2:$G$8551,2,FALSE),"")</f>
        <v/>
      </c>
      <c r="D2582" s="393" t="str">
        <f>IFERROR(VLOOKUP(A2582,[3]DOORSCRIEFT!$A$2:$G$8551,3,FALSE),"")</f>
        <v/>
      </c>
      <c r="E2582" s="392" t="str">
        <f>IFERROR(VLOOKUP(A2582,[3]DOORSCRIEFT!$A$2:$G$8551,4,FALSE),"")</f>
        <v/>
      </c>
      <c r="F2582" s="405" t="str">
        <f>IFERROR(VLOOKUP(A2582,[3]DOORSCRIEFT!$A$2:$G$8551,6,FALSE),"")</f>
        <v/>
      </c>
      <c r="G2582" s="315"/>
    </row>
    <row r="2583" spans="1:7" x14ac:dyDescent="0.25">
      <c r="A2583" s="319" t="str">
        <f t="shared" si="75"/>
        <v>I.2.2.02.03824</v>
      </c>
      <c r="B2583" s="319">
        <v>24</v>
      </c>
      <c r="C2583" s="394" t="str">
        <f>IFERROR(VLOOKUP(A2583,[3]DOORSCRIEFT!$A$2:$G$8551,2,FALSE),"")</f>
        <v/>
      </c>
      <c r="D2583" s="393" t="str">
        <f>IFERROR(VLOOKUP(A2583,[3]DOORSCRIEFT!$A$2:$G$8551,3,FALSE),"")</f>
        <v/>
      </c>
      <c r="E2583" s="392" t="str">
        <f>IFERROR(VLOOKUP(A2583,[3]DOORSCRIEFT!$A$2:$G$8551,4,FALSE),"")</f>
        <v/>
      </c>
      <c r="F2583" s="405" t="str">
        <f>IFERROR(VLOOKUP(A2583,[3]DOORSCRIEFT!$A$2:$G$8551,6,FALSE),"")</f>
        <v/>
      </c>
      <c r="G2583" s="315"/>
    </row>
    <row r="2584" spans="1:7" x14ac:dyDescent="0.25">
      <c r="A2584" s="319" t="str">
        <f t="shared" si="75"/>
        <v>I.2.2.02.03825</v>
      </c>
      <c r="B2584" s="319">
        <v>25</v>
      </c>
      <c r="C2584" s="394" t="str">
        <f>IFERROR(VLOOKUP(A2584,[3]DOORSCRIEFT!$A$2:$G$8551,2,FALSE),"")</f>
        <v/>
      </c>
      <c r="D2584" s="393" t="str">
        <f>IFERROR(VLOOKUP(A2584,[3]DOORSCRIEFT!$A$2:$G$8551,3,FALSE),"")</f>
        <v/>
      </c>
      <c r="E2584" s="392" t="str">
        <f>IFERROR(VLOOKUP(A2584,[3]DOORSCRIEFT!$A$2:$G$8551,4,FALSE),"")</f>
        <v/>
      </c>
      <c r="F2584" s="405" t="str">
        <f>IFERROR(VLOOKUP(A2584,[3]DOORSCRIEFT!$A$2:$G$8551,6,FALSE),"")</f>
        <v/>
      </c>
      <c r="G2584" s="315"/>
    </row>
    <row r="2585" spans="1:7" x14ac:dyDescent="0.25">
      <c r="A2585" s="319" t="str">
        <f t="shared" si="75"/>
        <v>I.2.2.02.03826</v>
      </c>
      <c r="B2585" s="319">
        <v>26</v>
      </c>
      <c r="C2585" s="394" t="str">
        <f>IFERROR(VLOOKUP(A2585,[3]DOORSCRIEFT!$A$2:$G$8551,2,FALSE),"")</f>
        <v/>
      </c>
      <c r="D2585" s="393" t="str">
        <f>IFERROR(VLOOKUP(A2585,[3]DOORSCRIEFT!$A$2:$G$8551,3,FALSE),"")</f>
        <v/>
      </c>
      <c r="E2585" s="392" t="str">
        <f>IFERROR(VLOOKUP(A2585,[3]DOORSCRIEFT!$A$2:$G$8551,4,FALSE),"")</f>
        <v/>
      </c>
      <c r="F2585" s="405" t="str">
        <f>IFERROR(VLOOKUP(A2585,[3]DOORSCRIEFT!$A$2:$G$8551,6,FALSE),"")</f>
        <v/>
      </c>
      <c r="G2585" s="315"/>
    </row>
    <row r="2586" spans="1:7" x14ac:dyDescent="0.25">
      <c r="A2586" s="319" t="str">
        <f t="shared" si="75"/>
        <v>I.2.2.02.03827</v>
      </c>
      <c r="B2586" s="319">
        <v>27</v>
      </c>
      <c r="C2586" s="394" t="str">
        <f>IFERROR(VLOOKUP(A2586,[3]DOORSCRIEFT!$A$2:$G$8551,2,FALSE),"")</f>
        <v/>
      </c>
      <c r="D2586" s="393" t="str">
        <f>IFERROR(VLOOKUP(A2586,[3]DOORSCRIEFT!$A$2:$G$8551,3,FALSE),"")</f>
        <v/>
      </c>
      <c r="E2586" s="392" t="str">
        <f>IFERROR(VLOOKUP(A2586,[3]DOORSCRIEFT!$A$2:$G$8551,4,FALSE),"")</f>
        <v/>
      </c>
      <c r="F2586" s="405" t="str">
        <f>IFERROR(VLOOKUP(A2586,[3]DOORSCRIEFT!$A$2:$G$8551,6,FALSE),"")</f>
        <v/>
      </c>
      <c r="G2586" s="315"/>
    </row>
    <row r="2587" spans="1:7" x14ac:dyDescent="0.25">
      <c r="A2587" s="319" t="str">
        <f t="shared" si="75"/>
        <v>I.2.2.02.03828</v>
      </c>
      <c r="B2587" s="319">
        <v>28</v>
      </c>
      <c r="C2587" s="394" t="str">
        <f>IFERROR(VLOOKUP(A2587,[3]DOORSCRIEFT!$A$2:$G$8551,2,FALSE),"")</f>
        <v/>
      </c>
      <c r="D2587" s="393" t="str">
        <f>IFERROR(VLOOKUP(A2587,[3]DOORSCRIEFT!$A$2:$G$8551,3,FALSE),"")</f>
        <v/>
      </c>
      <c r="E2587" s="392" t="str">
        <f>IFERROR(VLOOKUP(A2587,[3]DOORSCRIEFT!$A$2:$G$8551,4,FALSE),"")</f>
        <v/>
      </c>
      <c r="F2587" s="405" t="str">
        <f>IFERROR(VLOOKUP(A2587,[3]DOORSCRIEFT!$A$2:$G$8551,6,FALSE),"")</f>
        <v/>
      </c>
      <c r="G2587" s="315"/>
    </row>
    <row r="2588" spans="1:7" x14ac:dyDescent="0.25">
      <c r="A2588" s="319" t="str">
        <f t="shared" si="75"/>
        <v>I.2.2.02.03829</v>
      </c>
      <c r="B2588" s="319">
        <v>29</v>
      </c>
      <c r="C2588" s="394" t="str">
        <f>IFERROR(VLOOKUP(A2588,[3]DOORSCRIEFT!$A$2:$G$8551,2,FALSE),"")</f>
        <v/>
      </c>
      <c r="D2588" s="393" t="str">
        <f>IFERROR(VLOOKUP(A2588,[3]DOORSCRIEFT!$A$2:$G$8551,3,FALSE),"")</f>
        <v/>
      </c>
      <c r="E2588" s="392" t="str">
        <f>IFERROR(VLOOKUP(A2588,[3]DOORSCRIEFT!$A$2:$G$8551,4,FALSE),"")</f>
        <v/>
      </c>
      <c r="F2588" s="405" t="str">
        <f>IFERROR(VLOOKUP(A2588,[3]DOORSCRIEFT!$A$2:$G$8551,6,FALSE),"")</f>
        <v/>
      </c>
      <c r="G2588" s="315"/>
    </row>
    <row r="2589" spans="1:7" x14ac:dyDescent="0.25">
      <c r="A2589" s="319" t="str">
        <f t="shared" si="75"/>
        <v>I.2.2.02.03830</v>
      </c>
      <c r="B2589" s="319">
        <v>30</v>
      </c>
      <c r="C2589" s="394" t="str">
        <f>IFERROR(VLOOKUP(A2589,[3]DOORSCRIEFT!$A$2:$G$8551,2,FALSE),"")</f>
        <v/>
      </c>
      <c r="D2589" s="393" t="str">
        <f>IFERROR(VLOOKUP(A2589,[3]DOORSCRIEFT!$A$2:$G$8551,3,FALSE),"")</f>
        <v/>
      </c>
      <c r="E2589" s="392" t="str">
        <f>IFERROR(VLOOKUP(A2589,[3]DOORSCRIEFT!$A$2:$G$8551,4,FALSE),"")</f>
        <v/>
      </c>
      <c r="F2589" s="405" t="str">
        <f>IFERROR(VLOOKUP(A2589,[3]DOORSCRIEFT!$A$2:$G$8551,6,FALSE),"")</f>
        <v/>
      </c>
      <c r="G2589" s="315"/>
    </row>
    <row r="2590" spans="1:7" x14ac:dyDescent="0.25">
      <c r="A2590" s="319" t="str">
        <f t="shared" si="75"/>
        <v>I.2.2.02.03831</v>
      </c>
      <c r="B2590" s="319">
        <v>31</v>
      </c>
      <c r="C2590" s="394" t="str">
        <f>IFERROR(VLOOKUP(A2590,[3]DOORSCRIEFT!$A$2:$G$8551,2,FALSE),"")</f>
        <v/>
      </c>
      <c r="D2590" s="393" t="str">
        <f>IFERROR(VLOOKUP(A2590,[3]DOORSCRIEFT!$A$2:$G$8551,3,FALSE),"")</f>
        <v/>
      </c>
      <c r="E2590" s="392" t="str">
        <f>IFERROR(VLOOKUP(A2590,[3]DOORSCRIEFT!$A$2:$G$8551,4,FALSE),"")</f>
        <v/>
      </c>
      <c r="F2590" s="405" t="str">
        <f>IFERROR(VLOOKUP(A2590,[3]DOORSCRIEFT!$A$2:$G$8551,6,FALSE),"")</f>
        <v/>
      </c>
      <c r="G2590" s="315"/>
    </row>
    <row r="2591" spans="1:7" x14ac:dyDescent="0.25">
      <c r="A2591" s="319" t="str">
        <f t="shared" si="75"/>
        <v>I.2.2.02.03832</v>
      </c>
      <c r="B2591" s="319">
        <v>32</v>
      </c>
      <c r="C2591" s="394" t="str">
        <f>IFERROR(VLOOKUP(A2591,[3]DOORSCRIEFT!$A$2:$G$8551,2,FALSE),"")</f>
        <v/>
      </c>
      <c r="D2591" s="393" t="str">
        <f>IFERROR(VLOOKUP(A2591,[3]DOORSCRIEFT!$A$2:$G$8551,3,FALSE),"")</f>
        <v/>
      </c>
      <c r="E2591" s="392" t="str">
        <f>IFERROR(VLOOKUP(A2591,[3]DOORSCRIEFT!$A$2:$G$8551,4,FALSE),"")</f>
        <v/>
      </c>
      <c r="F2591" s="405" t="str">
        <f>IFERROR(VLOOKUP(A2591,[3]DOORSCRIEFT!$A$2:$G$8551,6,FALSE),"")</f>
        <v/>
      </c>
      <c r="G2591" s="315"/>
    </row>
    <row r="2592" spans="1:7" x14ac:dyDescent="0.25">
      <c r="A2592" s="319" t="str">
        <f t="shared" si="75"/>
        <v>I.2.2.02.03833</v>
      </c>
      <c r="B2592" s="319">
        <v>33</v>
      </c>
      <c r="C2592" s="394" t="str">
        <f>IFERROR(VLOOKUP(A2592,[3]DOORSCRIEFT!$A$2:$G$8551,2,FALSE),"")</f>
        <v/>
      </c>
      <c r="D2592" s="393" t="str">
        <f>IFERROR(VLOOKUP(A2592,[3]DOORSCRIEFT!$A$2:$G$8551,3,FALSE),"")</f>
        <v/>
      </c>
      <c r="E2592" s="392" t="str">
        <f>IFERROR(VLOOKUP(A2592,[3]DOORSCRIEFT!$A$2:$G$8551,4,FALSE),"")</f>
        <v/>
      </c>
      <c r="F2592" s="405" t="str">
        <f>IFERROR(VLOOKUP(A2592,[3]DOORSCRIEFT!$A$2:$G$8551,6,FALSE),"")</f>
        <v/>
      </c>
      <c r="G2592" s="315"/>
    </row>
    <row r="2593" spans="1:7" ht="15.75" thickBot="1" x14ac:dyDescent="0.3">
      <c r="A2593" s="345" t="str">
        <f t="shared" si="75"/>
        <v>I.2.2.02.03834</v>
      </c>
      <c r="B2593" s="345">
        <v>34</v>
      </c>
      <c r="C2593" s="394" t="str">
        <f>IFERROR(VLOOKUP(A2593,[3]DOORSCRIEFT!$A$2:$G$8551,2,FALSE),"")</f>
        <v/>
      </c>
      <c r="D2593" s="393" t="str">
        <f>IFERROR(VLOOKUP(A2593,[3]DOORSCRIEFT!$A$2:$G$8551,3,FALSE),"")</f>
        <v/>
      </c>
      <c r="E2593" s="392" t="str">
        <f>IFERROR(VLOOKUP(A2593,[3]DOORSCRIEFT!$A$2:$G$8551,4,FALSE),"")</f>
        <v/>
      </c>
      <c r="F2593" s="405" t="str">
        <f>IFERROR(VLOOKUP(A2593,[3]DOORSCRIEFT!$A$2:$G$8551,6,FALSE),"")</f>
        <v/>
      </c>
      <c r="G2593" s="315"/>
    </row>
    <row r="2594" spans="1:7" ht="15.75" thickBot="1" x14ac:dyDescent="0.3">
      <c r="A2594" s="344"/>
      <c r="B2594" s="343"/>
      <c r="C2594" s="336"/>
      <c r="D2594" s="312"/>
      <c r="E2594" s="311" t="s">
        <v>644</v>
      </c>
      <c r="F2594" s="310">
        <f>SUM(F2560:F2593)</f>
        <v>773000</v>
      </c>
      <c r="G2594" s="309">
        <f>SUM(G2560:G2593)</f>
        <v>0</v>
      </c>
    </row>
    <row r="2595" spans="1:7" x14ac:dyDescent="0.25">
      <c r="C2595" s="335"/>
    </row>
    <row r="2596" spans="1:7" x14ac:dyDescent="0.25">
      <c r="C2596" s="335"/>
    </row>
    <row r="2597" spans="1:7" ht="15.75" x14ac:dyDescent="0.25">
      <c r="C2597" s="334"/>
      <c r="D2597" s="333"/>
      <c r="E2597" s="332"/>
      <c r="F2597" s="327" t="s">
        <v>607</v>
      </c>
      <c r="G2597" s="327" t="s">
        <v>470</v>
      </c>
    </row>
    <row r="2598" spans="1:7" ht="15.75" x14ac:dyDescent="0.25">
      <c r="C2598" s="334"/>
      <c r="D2598" s="333"/>
      <c r="E2598" s="332"/>
      <c r="F2598" s="327" t="s">
        <v>601</v>
      </c>
      <c r="G2598" s="327" t="s">
        <v>469</v>
      </c>
    </row>
    <row r="2599" spans="1:7" x14ac:dyDescent="0.25">
      <c r="C2599" s="330"/>
      <c r="D2599" s="329"/>
      <c r="E2599" s="328"/>
      <c r="F2599" s="327" t="s">
        <v>651</v>
      </c>
      <c r="G2599" s="331">
        <f>[2]Sheet1!$D$66</f>
        <v>0</v>
      </c>
    </row>
    <row r="2600" spans="1:7" ht="15.75" thickBot="1" x14ac:dyDescent="0.3">
      <c r="C2600" s="330"/>
      <c r="D2600" s="329"/>
      <c r="E2600" s="328"/>
      <c r="F2600" s="327" t="s">
        <v>650</v>
      </c>
      <c r="G2600" s="326">
        <f>+F2638-G2599</f>
        <v>100000</v>
      </c>
    </row>
    <row r="2601" spans="1:7" x14ac:dyDescent="0.25">
      <c r="A2601" s="571" t="s">
        <v>626</v>
      </c>
      <c r="B2601" s="584" t="s">
        <v>606</v>
      </c>
      <c r="C2601" s="588" t="s">
        <v>649</v>
      </c>
      <c r="D2601" s="577" t="s">
        <v>648</v>
      </c>
      <c r="E2601" s="577" t="s">
        <v>647</v>
      </c>
      <c r="F2601" s="577" t="s">
        <v>646</v>
      </c>
      <c r="G2601" s="580" t="s">
        <v>645</v>
      </c>
    </row>
    <row r="2602" spans="1:7" ht="15.75" thickBot="1" x14ac:dyDescent="0.3">
      <c r="A2602" s="572"/>
      <c r="B2602" s="585"/>
      <c r="C2602" s="589"/>
      <c r="D2602" s="586"/>
      <c r="E2602" s="586"/>
      <c r="F2602" s="586"/>
      <c r="G2602" s="587"/>
    </row>
    <row r="2603" spans="1:7" ht="15.75" thickBot="1" x14ac:dyDescent="0.3">
      <c r="A2603" s="325">
        <v>1</v>
      </c>
      <c r="B2603" s="324">
        <v>2</v>
      </c>
      <c r="C2603" s="324">
        <v>3</v>
      </c>
      <c r="D2603" s="324">
        <v>4</v>
      </c>
      <c r="E2603" s="324">
        <v>5</v>
      </c>
      <c r="F2603" s="324">
        <v>6</v>
      </c>
      <c r="G2603" s="323">
        <v>7</v>
      </c>
    </row>
    <row r="2604" spans="1:7" x14ac:dyDescent="0.25">
      <c r="A2604" s="339" t="str">
        <f t="shared" ref="A2604:A2637" si="76">$G$2597&amp;B2604</f>
        <v>I.2.2.02.0391</v>
      </c>
      <c r="B2604" s="339">
        <v>1</v>
      </c>
      <c r="C2604" s="394">
        <f>IFERROR(VLOOKUP(A2604,[3]DOORSCRIEFT!$A$2:$G$8551,2,FALSE),"")</f>
        <v>471</v>
      </c>
      <c r="D2604" s="393">
        <f>IFERROR(VLOOKUP(A2604,[3]DOORSCRIEFT!$A$2:$G$8551,3,FALSE),"")</f>
        <v>46115</v>
      </c>
      <c r="E2604" s="392" t="str">
        <f>IFERROR(VLOOKUP(A2604,[3]DOORSCRIEFT!$A$2:$G$8551,4,FALSE),"")</f>
        <v>Kolekta syukur Sidi anak James Hatumena</v>
      </c>
      <c r="F2604" s="405">
        <f>IFERROR(VLOOKUP(A2604,[3]DOORSCRIEFT!$A$2:$G$8551,6,FALSE),"")</f>
        <v>100000</v>
      </c>
      <c r="G2604" s="322"/>
    </row>
    <row r="2605" spans="1:7" x14ac:dyDescent="0.25">
      <c r="A2605" s="319" t="str">
        <f t="shared" si="76"/>
        <v>I.2.2.02.0392</v>
      </c>
      <c r="B2605" s="319">
        <v>2</v>
      </c>
      <c r="C2605" s="394" t="str">
        <f>IFERROR(VLOOKUP(A2605,[3]DOORSCRIEFT!$A$2:$G$8551,2,FALSE),"")</f>
        <v/>
      </c>
      <c r="D2605" s="393" t="str">
        <f>IFERROR(VLOOKUP(A2605,[3]DOORSCRIEFT!$A$2:$G$8551,3,FALSE),"")</f>
        <v/>
      </c>
      <c r="E2605" s="392" t="str">
        <f>IFERROR(VLOOKUP(A2605,[3]DOORSCRIEFT!$A$2:$G$8551,4,FALSE),"")</f>
        <v/>
      </c>
      <c r="F2605" s="405" t="str">
        <f>IFERROR(VLOOKUP(A2605,[3]DOORSCRIEFT!$A$2:$G$8551,6,FALSE),"")</f>
        <v/>
      </c>
      <c r="G2605" s="315"/>
    </row>
    <row r="2606" spans="1:7" x14ac:dyDescent="0.25">
      <c r="A2606" s="319" t="str">
        <f t="shared" si="76"/>
        <v>I.2.2.02.0393</v>
      </c>
      <c r="B2606" s="319">
        <v>3</v>
      </c>
      <c r="C2606" s="394" t="str">
        <f>IFERROR(VLOOKUP(A2606,[3]DOORSCRIEFT!$A$2:$G$8551,2,FALSE),"")</f>
        <v/>
      </c>
      <c r="D2606" s="393" t="str">
        <f>IFERROR(VLOOKUP(A2606,[3]DOORSCRIEFT!$A$2:$G$8551,3,FALSE),"")</f>
        <v/>
      </c>
      <c r="E2606" s="392" t="str">
        <f>IFERROR(VLOOKUP(A2606,[3]DOORSCRIEFT!$A$2:$G$8551,4,FALSE),"")</f>
        <v/>
      </c>
      <c r="F2606" s="405" t="str">
        <f>IFERROR(VLOOKUP(A2606,[3]DOORSCRIEFT!$A$2:$G$8551,6,FALSE),"")</f>
        <v/>
      </c>
      <c r="G2606" s="315"/>
    </row>
    <row r="2607" spans="1:7" x14ac:dyDescent="0.25">
      <c r="A2607" s="319" t="str">
        <f t="shared" si="76"/>
        <v>I.2.2.02.0394</v>
      </c>
      <c r="B2607" s="319">
        <v>4</v>
      </c>
      <c r="C2607" s="394" t="str">
        <f>IFERROR(VLOOKUP(A2607,[3]DOORSCRIEFT!$A$2:$G$8551,2,FALSE),"")</f>
        <v/>
      </c>
      <c r="D2607" s="393" t="str">
        <f>IFERROR(VLOOKUP(A2607,[3]DOORSCRIEFT!$A$2:$G$8551,3,FALSE),"")</f>
        <v/>
      </c>
      <c r="E2607" s="392" t="str">
        <f>IFERROR(VLOOKUP(A2607,[3]DOORSCRIEFT!$A$2:$G$8551,4,FALSE),"")</f>
        <v/>
      </c>
      <c r="F2607" s="405" t="str">
        <f>IFERROR(VLOOKUP(A2607,[3]DOORSCRIEFT!$A$2:$G$8551,6,FALSE),"")</f>
        <v/>
      </c>
      <c r="G2607" s="315"/>
    </row>
    <row r="2608" spans="1:7" x14ac:dyDescent="0.25">
      <c r="A2608" s="319" t="str">
        <f t="shared" si="76"/>
        <v>I.2.2.02.0395</v>
      </c>
      <c r="B2608" s="319">
        <v>5</v>
      </c>
      <c r="C2608" s="394" t="str">
        <f>IFERROR(VLOOKUP(A2608,[3]DOORSCRIEFT!$A$2:$G$8551,2,FALSE),"")</f>
        <v/>
      </c>
      <c r="D2608" s="393" t="str">
        <f>IFERROR(VLOOKUP(A2608,[3]DOORSCRIEFT!$A$2:$G$8551,3,FALSE),"")</f>
        <v/>
      </c>
      <c r="E2608" s="392" t="str">
        <f>IFERROR(VLOOKUP(A2608,[3]DOORSCRIEFT!$A$2:$G$8551,4,FALSE),"")</f>
        <v/>
      </c>
      <c r="F2608" s="405" t="str">
        <f>IFERROR(VLOOKUP(A2608,[3]DOORSCRIEFT!$A$2:$G$8551,6,FALSE),"")</f>
        <v/>
      </c>
      <c r="G2608" s="315"/>
    </row>
    <row r="2609" spans="1:7" x14ac:dyDescent="0.25">
      <c r="A2609" s="319" t="str">
        <f t="shared" si="76"/>
        <v>I.2.2.02.0396</v>
      </c>
      <c r="B2609" s="319">
        <v>6</v>
      </c>
      <c r="C2609" s="394" t="str">
        <f>IFERROR(VLOOKUP(A2609,[3]DOORSCRIEFT!$A$2:$G$8551,2,FALSE),"")</f>
        <v/>
      </c>
      <c r="D2609" s="393" t="str">
        <f>IFERROR(VLOOKUP(A2609,[3]DOORSCRIEFT!$A$2:$G$8551,3,FALSE),"")</f>
        <v/>
      </c>
      <c r="E2609" s="392" t="str">
        <f>IFERROR(VLOOKUP(A2609,[3]DOORSCRIEFT!$A$2:$G$8551,4,FALSE),"")</f>
        <v/>
      </c>
      <c r="F2609" s="405" t="str">
        <f>IFERROR(VLOOKUP(A2609,[3]DOORSCRIEFT!$A$2:$G$8551,6,FALSE),"")</f>
        <v/>
      </c>
      <c r="G2609" s="315"/>
    </row>
    <row r="2610" spans="1:7" x14ac:dyDescent="0.25">
      <c r="A2610" s="319" t="str">
        <f t="shared" si="76"/>
        <v>I.2.2.02.0397</v>
      </c>
      <c r="B2610" s="319">
        <v>7</v>
      </c>
      <c r="C2610" s="394" t="str">
        <f>IFERROR(VLOOKUP(A2610,[3]DOORSCRIEFT!$A$2:$G$8551,2,FALSE),"")</f>
        <v/>
      </c>
      <c r="D2610" s="393" t="str">
        <f>IFERROR(VLOOKUP(A2610,[3]DOORSCRIEFT!$A$2:$G$8551,3,FALSE),"")</f>
        <v/>
      </c>
      <c r="E2610" s="392" t="str">
        <f>IFERROR(VLOOKUP(A2610,[3]DOORSCRIEFT!$A$2:$G$8551,4,FALSE),"")</f>
        <v/>
      </c>
      <c r="F2610" s="405" t="str">
        <f>IFERROR(VLOOKUP(A2610,[3]DOORSCRIEFT!$A$2:$G$8551,6,FALSE),"")</f>
        <v/>
      </c>
      <c r="G2610" s="315"/>
    </row>
    <row r="2611" spans="1:7" x14ac:dyDescent="0.25">
      <c r="A2611" s="319" t="str">
        <f t="shared" si="76"/>
        <v>I.2.2.02.0398</v>
      </c>
      <c r="B2611" s="319">
        <v>8</v>
      </c>
      <c r="C2611" s="394" t="str">
        <f>IFERROR(VLOOKUP(A2611,[3]DOORSCRIEFT!$A$2:$G$8551,2,FALSE),"")</f>
        <v/>
      </c>
      <c r="D2611" s="393" t="str">
        <f>IFERROR(VLOOKUP(A2611,[3]DOORSCRIEFT!$A$2:$G$8551,3,FALSE),"")</f>
        <v/>
      </c>
      <c r="E2611" s="392" t="str">
        <f>IFERROR(VLOOKUP(A2611,[3]DOORSCRIEFT!$A$2:$G$8551,4,FALSE),"")</f>
        <v/>
      </c>
      <c r="F2611" s="405" t="str">
        <f>IFERROR(VLOOKUP(A2611,[3]DOORSCRIEFT!$A$2:$G$8551,6,FALSE),"")</f>
        <v/>
      </c>
      <c r="G2611" s="315"/>
    </row>
    <row r="2612" spans="1:7" x14ac:dyDescent="0.25">
      <c r="A2612" s="319" t="str">
        <f t="shared" si="76"/>
        <v>I.2.2.02.0399</v>
      </c>
      <c r="B2612" s="319">
        <v>9</v>
      </c>
      <c r="C2612" s="394" t="str">
        <f>IFERROR(VLOOKUP(A2612,[3]DOORSCRIEFT!$A$2:$G$8551,2,FALSE),"")</f>
        <v/>
      </c>
      <c r="D2612" s="393" t="str">
        <f>IFERROR(VLOOKUP(A2612,[3]DOORSCRIEFT!$A$2:$G$8551,3,FALSE),"")</f>
        <v/>
      </c>
      <c r="E2612" s="392" t="str">
        <f>IFERROR(VLOOKUP(A2612,[3]DOORSCRIEFT!$A$2:$G$8551,4,FALSE),"")</f>
        <v/>
      </c>
      <c r="F2612" s="405" t="str">
        <f>IFERROR(VLOOKUP(A2612,[3]DOORSCRIEFT!$A$2:$G$8551,6,FALSE),"")</f>
        <v/>
      </c>
      <c r="G2612" s="315"/>
    </row>
    <row r="2613" spans="1:7" x14ac:dyDescent="0.25">
      <c r="A2613" s="319" t="str">
        <f t="shared" si="76"/>
        <v>I.2.2.02.03910</v>
      </c>
      <c r="B2613" s="319">
        <v>10</v>
      </c>
      <c r="C2613" s="394" t="str">
        <f>IFERROR(VLOOKUP(A2613,[3]DOORSCRIEFT!$A$2:$G$8551,2,FALSE),"")</f>
        <v/>
      </c>
      <c r="D2613" s="393" t="str">
        <f>IFERROR(VLOOKUP(A2613,[3]DOORSCRIEFT!$A$2:$G$8551,3,FALSE),"")</f>
        <v/>
      </c>
      <c r="E2613" s="392" t="str">
        <f>IFERROR(VLOOKUP(A2613,[3]DOORSCRIEFT!$A$2:$G$8551,4,FALSE),"")</f>
        <v/>
      </c>
      <c r="F2613" s="405" t="str">
        <f>IFERROR(VLOOKUP(A2613,[3]DOORSCRIEFT!$A$2:$G$8551,6,FALSE),"")</f>
        <v/>
      </c>
      <c r="G2613" s="315"/>
    </row>
    <row r="2614" spans="1:7" x14ac:dyDescent="0.25">
      <c r="A2614" s="319" t="str">
        <f t="shared" si="76"/>
        <v>I.2.2.02.03911</v>
      </c>
      <c r="B2614" s="319">
        <v>11</v>
      </c>
      <c r="C2614" s="394" t="str">
        <f>IFERROR(VLOOKUP(A2614,[3]DOORSCRIEFT!$A$2:$G$8551,2,FALSE),"")</f>
        <v/>
      </c>
      <c r="D2614" s="393" t="str">
        <f>IFERROR(VLOOKUP(A2614,[3]DOORSCRIEFT!$A$2:$G$8551,3,FALSE),"")</f>
        <v/>
      </c>
      <c r="E2614" s="392" t="str">
        <f>IFERROR(VLOOKUP(A2614,[3]DOORSCRIEFT!$A$2:$G$8551,4,FALSE),"")</f>
        <v/>
      </c>
      <c r="F2614" s="405" t="str">
        <f>IFERROR(VLOOKUP(A2614,[3]DOORSCRIEFT!$A$2:$G$8551,6,FALSE),"")</f>
        <v/>
      </c>
      <c r="G2614" s="315"/>
    </row>
    <row r="2615" spans="1:7" x14ac:dyDescent="0.25">
      <c r="A2615" s="319" t="str">
        <f t="shared" si="76"/>
        <v>I.2.2.02.03912</v>
      </c>
      <c r="B2615" s="319">
        <v>12</v>
      </c>
      <c r="C2615" s="394" t="str">
        <f>IFERROR(VLOOKUP(A2615,[3]DOORSCRIEFT!$A$2:$G$8551,2,FALSE),"")</f>
        <v/>
      </c>
      <c r="D2615" s="393" t="str">
        <f>IFERROR(VLOOKUP(A2615,[3]DOORSCRIEFT!$A$2:$G$8551,3,FALSE),"")</f>
        <v/>
      </c>
      <c r="E2615" s="392" t="str">
        <f>IFERROR(VLOOKUP(A2615,[3]DOORSCRIEFT!$A$2:$G$8551,4,FALSE),"")</f>
        <v/>
      </c>
      <c r="F2615" s="405" t="str">
        <f>IFERROR(VLOOKUP(A2615,[3]DOORSCRIEFT!$A$2:$G$8551,6,FALSE),"")</f>
        <v/>
      </c>
      <c r="G2615" s="315"/>
    </row>
    <row r="2616" spans="1:7" x14ac:dyDescent="0.25">
      <c r="A2616" s="319" t="str">
        <f t="shared" si="76"/>
        <v>I.2.2.02.03913</v>
      </c>
      <c r="B2616" s="319">
        <v>13</v>
      </c>
      <c r="C2616" s="394" t="str">
        <f>IFERROR(VLOOKUP(A2616,[3]DOORSCRIEFT!$A$2:$G$8551,2,FALSE),"")</f>
        <v/>
      </c>
      <c r="D2616" s="393" t="str">
        <f>IFERROR(VLOOKUP(A2616,[3]DOORSCRIEFT!$A$2:$G$8551,3,FALSE),"")</f>
        <v/>
      </c>
      <c r="E2616" s="392" t="str">
        <f>IFERROR(VLOOKUP(A2616,[3]DOORSCRIEFT!$A$2:$G$8551,4,FALSE),"")</f>
        <v/>
      </c>
      <c r="F2616" s="405" t="str">
        <f>IFERROR(VLOOKUP(A2616,[3]DOORSCRIEFT!$A$2:$G$8551,6,FALSE),"")</f>
        <v/>
      </c>
      <c r="G2616" s="315"/>
    </row>
    <row r="2617" spans="1:7" x14ac:dyDescent="0.25">
      <c r="A2617" s="319" t="str">
        <f t="shared" si="76"/>
        <v>I.2.2.02.03914</v>
      </c>
      <c r="B2617" s="319">
        <v>14</v>
      </c>
      <c r="C2617" s="394" t="str">
        <f>IFERROR(VLOOKUP(A2617,[3]DOORSCRIEFT!$A$2:$G$8551,2,FALSE),"")</f>
        <v/>
      </c>
      <c r="D2617" s="393" t="str">
        <f>IFERROR(VLOOKUP(A2617,[3]DOORSCRIEFT!$A$2:$G$8551,3,FALSE),"")</f>
        <v/>
      </c>
      <c r="E2617" s="392" t="str">
        <f>IFERROR(VLOOKUP(A2617,[3]DOORSCRIEFT!$A$2:$G$8551,4,FALSE),"")</f>
        <v/>
      </c>
      <c r="F2617" s="405" t="str">
        <f>IFERROR(VLOOKUP(A2617,[3]DOORSCRIEFT!$A$2:$G$8551,6,FALSE),"")</f>
        <v/>
      </c>
      <c r="G2617" s="315"/>
    </row>
    <row r="2618" spans="1:7" x14ac:dyDescent="0.25">
      <c r="A2618" s="319" t="str">
        <f t="shared" si="76"/>
        <v>I.2.2.02.03915</v>
      </c>
      <c r="B2618" s="319">
        <v>15</v>
      </c>
      <c r="C2618" s="394" t="str">
        <f>IFERROR(VLOOKUP(A2618,[3]DOORSCRIEFT!$A$2:$G$8551,2,FALSE),"")</f>
        <v/>
      </c>
      <c r="D2618" s="393" t="str">
        <f>IFERROR(VLOOKUP(A2618,[3]DOORSCRIEFT!$A$2:$G$8551,3,FALSE),"")</f>
        <v/>
      </c>
      <c r="E2618" s="392" t="str">
        <f>IFERROR(VLOOKUP(A2618,[3]DOORSCRIEFT!$A$2:$G$8551,4,FALSE),"")</f>
        <v/>
      </c>
      <c r="F2618" s="405" t="str">
        <f>IFERROR(VLOOKUP(A2618,[3]DOORSCRIEFT!$A$2:$G$8551,6,FALSE),"")</f>
        <v/>
      </c>
      <c r="G2618" s="315"/>
    </row>
    <row r="2619" spans="1:7" x14ac:dyDescent="0.25">
      <c r="A2619" s="319" t="str">
        <f t="shared" si="76"/>
        <v>I.2.2.02.03916</v>
      </c>
      <c r="B2619" s="319">
        <v>16</v>
      </c>
      <c r="C2619" s="394" t="str">
        <f>IFERROR(VLOOKUP(A2619,[3]DOORSCRIEFT!$A$2:$G$8551,2,FALSE),"")</f>
        <v/>
      </c>
      <c r="D2619" s="393" t="str">
        <f>IFERROR(VLOOKUP(A2619,[3]DOORSCRIEFT!$A$2:$G$8551,3,FALSE),"")</f>
        <v/>
      </c>
      <c r="E2619" s="392" t="str">
        <f>IFERROR(VLOOKUP(A2619,[3]DOORSCRIEFT!$A$2:$G$8551,4,FALSE),"")</f>
        <v/>
      </c>
      <c r="F2619" s="405" t="str">
        <f>IFERROR(VLOOKUP(A2619,[3]DOORSCRIEFT!$A$2:$G$8551,6,FALSE),"")</f>
        <v/>
      </c>
      <c r="G2619" s="315"/>
    </row>
    <row r="2620" spans="1:7" x14ac:dyDescent="0.25">
      <c r="A2620" s="319" t="str">
        <f t="shared" si="76"/>
        <v>I.2.2.02.03917</v>
      </c>
      <c r="B2620" s="319">
        <v>17</v>
      </c>
      <c r="C2620" s="394" t="str">
        <f>IFERROR(VLOOKUP(A2620,[3]DOORSCRIEFT!$A$2:$G$8551,2,FALSE),"")</f>
        <v/>
      </c>
      <c r="D2620" s="393" t="str">
        <f>IFERROR(VLOOKUP(A2620,[3]DOORSCRIEFT!$A$2:$G$8551,3,FALSE),"")</f>
        <v/>
      </c>
      <c r="E2620" s="392" t="str">
        <f>IFERROR(VLOOKUP(A2620,[3]DOORSCRIEFT!$A$2:$G$8551,4,FALSE),"")</f>
        <v/>
      </c>
      <c r="F2620" s="405" t="str">
        <f>IFERROR(VLOOKUP(A2620,[3]DOORSCRIEFT!$A$2:$G$8551,6,FALSE),"")</f>
        <v/>
      </c>
      <c r="G2620" s="315"/>
    </row>
    <row r="2621" spans="1:7" x14ac:dyDescent="0.25">
      <c r="A2621" s="319" t="str">
        <f t="shared" si="76"/>
        <v>I.2.2.02.03918</v>
      </c>
      <c r="B2621" s="319">
        <v>18</v>
      </c>
      <c r="C2621" s="394" t="str">
        <f>IFERROR(VLOOKUP(A2621,[3]DOORSCRIEFT!$A$2:$G$8551,2,FALSE),"")</f>
        <v/>
      </c>
      <c r="D2621" s="393" t="str">
        <f>IFERROR(VLOOKUP(A2621,[3]DOORSCRIEFT!$A$2:$G$8551,3,FALSE),"")</f>
        <v/>
      </c>
      <c r="E2621" s="392" t="str">
        <f>IFERROR(VLOOKUP(A2621,[3]DOORSCRIEFT!$A$2:$G$8551,4,FALSE),"")</f>
        <v/>
      </c>
      <c r="F2621" s="405" t="str">
        <f>IFERROR(VLOOKUP(A2621,[3]DOORSCRIEFT!$A$2:$G$8551,6,FALSE),"")</f>
        <v/>
      </c>
      <c r="G2621" s="315"/>
    </row>
    <row r="2622" spans="1:7" x14ac:dyDescent="0.25">
      <c r="A2622" s="319" t="str">
        <f t="shared" si="76"/>
        <v>I.2.2.02.03919</v>
      </c>
      <c r="B2622" s="319">
        <v>19</v>
      </c>
      <c r="C2622" s="394" t="str">
        <f>IFERROR(VLOOKUP(A2622,[3]DOORSCRIEFT!$A$2:$G$8551,2,FALSE),"")</f>
        <v/>
      </c>
      <c r="D2622" s="393" t="str">
        <f>IFERROR(VLOOKUP(A2622,[3]DOORSCRIEFT!$A$2:$G$8551,3,FALSE),"")</f>
        <v/>
      </c>
      <c r="E2622" s="392" t="str">
        <f>IFERROR(VLOOKUP(A2622,[3]DOORSCRIEFT!$A$2:$G$8551,4,FALSE),"")</f>
        <v/>
      </c>
      <c r="F2622" s="405" t="str">
        <f>IFERROR(VLOOKUP(A2622,[3]DOORSCRIEFT!$A$2:$G$8551,6,FALSE),"")</f>
        <v/>
      </c>
      <c r="G2622" s="315"/>
    </row>
    <row r="2623" spans="1:7" x14ac:dyDescent="0.25">
      <c r="A2623" s="319" t="str">
        <f t="shared" si="76"/>
        <v>I.2.2.02.03920</v>
      </c>
      <c r="B2623" s="319">
        <v>20</v>
      </c>
      <c r="C2623" s="394" t="str">
        <f>IFERROR(VLOOKUP(A2623,[3]DOORSCRIEFT!$A$2:$G$8551,2,FALSE),"")</f>
        <v/>
      </c>
      <c r="D2623" s="393" t="str">
        <f>IFERROR(VLOOKUP(A2623,[3]DOORSCRIEFT!$A$2:$G$8551,3,FALSE),"")</f>
        <v/>
      </c>
      <c r="E2623" s="392" t="str">
        <f>IFERROR(VLOOKUP(A2623,[3]DOORSCRIEFT!$A$2:$G$8551,4,FALSE),"")</f>
        <v/>
      </c>
      <c r="F2623" s="405" t="str">
        <f>IFERROR(VLOOKUP(A2623,[3]DOORSCRIEFT!$A$2:$G$8551,6,FALSE),"")</f>
        <v/>
      </c>
      <c r="G2623" s="315"/>
    </row>
    <row r="2624" spans="1:7" x14ac:dyDescent="0.25">
      <c r="A2624" s="319" t="str">
        <f t="shared" si="76"/>
        <v>I.2.2.02.03921</v>
      </c>
      <c r="B2624" s="319">
        <v>21</v>
      </c>
      <c r="C2624" s="394" t="str">
        <f>IFERROR(VLOOKUP(A2624,[3]DOORSCRIEFT!$A$2:$G$8551,2,FALSE),"")</f>
        <v/>
      </c>
      <c r="D2624" s="393" t="str">
        <f>IFERROR(VLOOKUP(A2624,[3]DOORSCRIEFT!$A$2:$G$8551,3,FALSE),"")</f>
        <v/>
      </c>
      <c r="E2624" s="392" t="str">
        <f>IFERROR(VLOOKUP(A2624,[3]DOORSCRIEFT!$A$2:$G$8551,4,FALSE),"")</f>
        <v/>
      </c>
      <c r="F2624" s="405" t="str">
        <f>IFERROR(VLOOKUP(A2624,[3]DOORSCRIEFT!$A$2:$G$8551,6,FALSE),"")</f>
        <v/>
      </c>
      <c r="G2624" s="315"/>
    </row>
    <row r="2625" spans="1:7" x14ac:dyDescent="0.25">
      <c r="A2625" s="319" t="str">
        <f t="shared" si="76"/>
        <v>I.2.2.02.03922</v>
      </c>
      <c r="B2625" s="319">
        <v>22</v>
      </c>
      <c r="C2625" s="394" t="str">
        <f>IFERROR(VLOOKUP(A2625,[3]DOORSCRIEFT!$A$2:$G$8551,2,FALSE),"")</f>
        <v/>
      </c>
      <c r="D2625" s="393" t="str">
        <f>IFERROR(VLOOKUP(A2625,[3]DOORSCRIEFT!$A$2:$G$8551,3,FALSE),"")</f>
        <v/>
      </c>
      <c r="E2625" s="392" t="str">
        <f>IFERROR(VLOOKUP(A2625,[3]DOORSCRIEFT!$A$2:$G$8551,4,FALSE),"")</f>
        <v/>
      </c>
      <c r="F2625" s="405" t="str">
        <f>IFERROR(VLOOKUP(A2625,[3]DOORSCRIEFT!$A$2:$G$8551,6,FALSE),"")</f>
        <v/>
      </c>
      <c r="G2625" s="315"/>
    </row>
    <row r="2626" spans="1:7" x14ac:dyDescent="0.25">
      <c r="A2626" s="319" t="str">
        <f t="shared" si="76"/>
        <v>I.2.2.02.03923</v>
      </c>
      <c r="B2626" s="319">
        <v>23</v>
      </c>
      <c r="C2626" s="394" t="str">
        <f>IFERROR(VLOOKUP(A2626,[3]DOORSCRIEFT!$A$2:$G$8551,2,FALSE),"")</f>
        <v/>
      </c>
      <c r="D2626" s="393" t="str">
        <f>IFERROR(VLOOKUP(A2626,[3]DOORSCRIEFT!$A$2:$G$8551,3,FALSE),"")</f>
        <v/>
      </c>
      <c r="E2626" s="392" t="str">
        <f>IFERROR(VLOOKUP(A2626,[3]DOORSCRIEFT!$A$2:$G$8551,4,FALSE),"")</f>
        <v/>
      </c>
      <c r="F2626" s="405" t="str">
        <f>IFERROR(VLOOKUP(A2626,[3]DOORSCRIEFT!$A$2:$G$8551,6,FALSE),"")</f>
        <v/>
      </c>
      <c r="G2626" s="315"/>
    </row>
    <row r="2627" spans="1:7" x14ac:dyDescent="0.25">
      <c r="A2627" s="319" t="str">
        <f t="shared" si="76"/>
        <v>I.2.2.02.03924</v>
      </c>
      <c r="B2627" s="319">
        <v>24</v>
      </c>
      <c r="C2627" s="394" t="str">
        <f>IFERROR(VLOOKUP(A2627,[3]DOORSCRIEFT!$A$2:$G$8551,2,FALSE),"")</f>
        <v/>
      </c>
      <c r="D2627" s="393" t="str">
        <f>IFERROR(VLOOKUP(A2627,[3]DOORSCRIEFT!$A$2:$G$8551,3,FALSE),"")</f>
        <v/>
      </c>
      <c r="E2627" s="392" t="str">
        <f>IFERROR(VLOOKUP(A2627,[3]DOORSCRIEFT!$A$2:$G$8551,4,FALSE),"")</f>
        <v/>
      </c>
      <c r="F2627" s="405" t="str">
        <f>IFERROR(VLOOKUP(A2627,[3]DOORSCRIEFT!$A$2:$G$8551,6,FALSE),"")</f>
        <v/>
      </c>
      <c r="G2627" s="315"/>
    </row>
    <row r="2628" spans="1:7" x14ac:dyDescent="0.25">
      <c r="A2628" s="319" t="str">
        <f t="shared" si="76"/>
        <v>I.2.2.02.03925</v>
      </c>
      <c r="B2628" s="319">
        <v>25</v>
      </c>
      <c r="C2628" s="394" t="str">
        <f>IFERROR(VLOOKUP(A2628,[3]DOORSCRIEFT!$A$2:$G$8551,2,FALSE),"")</f>
        <v/>
      </c>
      <c r="D2628" s="393" t="str">
        <f>IFERROR(VLOOKUP(A2628,[3]DOORSCRIEFT!$A$2:$G$8551,3,FALSE),"")</f>
        <v/>
      </c>
      <c r="E2628" s="392" t="str">
        <f>IFERROR(VLOOKUP(A2628,[3]DOORSCRIEFT!$A$2:$G$8551,4,FALSE),"")</f>
        <v/>
      </c>
      <c r="F2628" s="405" t="str">
        <f>IFERROR(VLOOKUP(A2628,[3]DOORSCRIEFT!$A$2:$G$8551,6,FALSE),"")</f>
        <v/>
      </c>
      <c r="G2628" s="315"/>
    </row>
    <row r="2629" spans="1:7" x14ac:dyDescent="0.25">
      <c r="A2629" s="319" t="str">
        <f t="shared" si="76"/>
        <v>I.2.2.02.03926</v>
      </c>
      <c r="B2629" s="319">
        <v>26</v>
      </c>
      <c r="C2629" s="394" t="str">
        <f>IFERROR(VLOOKUP(A2629,[3]DOORSCRIEFT!$A$2:$G$8551,2,FALSE),"")</f>
        <v/>
      </c>
      <c r="D2629" s="393" t="str">
        <f>IFERROR(VLOOKUP(A2629,[3]DOORSCRIEFT!$A$2:$G$8551,3,FALSE),"")</f>
        <v/>
      </c>
      <c r="E2629" s="392" t="str">
        <f>IFERROR(VLOOKUP(A2629,[3]DOORSCRIEFT!$A$2:$G$8551,4,FALSE),"")</f>
        <v/>
      </c>
      <c r="F2629" s="405" t="str">
        <f>IFERROR(VLOOKUP(A2629,[3]DOORSCRIEFT!$A$2:$G$8551,6,FALSE),"")</f>
        <v/>
      </c>
      <c r="G2629" s="315"/>
    </row>
    <row r="2630" spans="1:7" x14ac:dyDescent="0.25">
      <c r="A2630" s="319" t="str">
        <f t="shared" si="76"/>
        <v>I.2.2.02.03927</v>
      </c>
      <c r="B2630" s="319">
        <v>27</v>
      </c>
      <c r="C2630" s="394" t="str">
        <f>IFERROR(VLOOKUP(A2630,[3]DOORSCRIEFT!$A$2:$G$8551,2,FALSE),"")</f>
        <v/>
      </c>
      <c r="D2630" s="393" t="str">
        <f>IFERROR(VLOOKUP(A2630,[3]DOORSCRIEFT!$A$2:$G$8551,3,FALSE),"")</f>
        <v/>
      </c>
      <c r="E2630" s="392" t="str">
        <f>IFERROR(VLOOKUP(A2630,[3]DOORSCRIEFT!$A$2:$G$8551,4,FALSE),"")</f>
        <v/>
      </c>
      <c r="F2630" s="405" t="str">
        <f>IFERROR(VLOOKUP(A2630,[3]DOORSCRIEFT!$A$2:$G$8551,6,FALSE),"")</f>
        <v/>
      </c>
      <c r="G2630" s="315"/>
    </row>
    <row r="2631" spans="1:7" x14ac:dyDescent="0.25">
      <c r="A2631" s="319" t="str">
        <f t="shared" si="76"/>
        <v>I.2.2.02.03928</v>
      </c>
      <c r="B2631" s="319">
        <v>28</v>
      </c>
      <c r="C2631" s="394" t="str">
        <f>IFERROR(VLOOKUP(A2631,[3]DOORSCRIEFT!$A$2:$G$8551,2,FALSE),"")</f>
        <v/>
      </c>
      <c r="D2631" s="393" t="str">
        <f>IFERROR(VLOOKUP(A2631,[3]DOORSCRIEFT!$A$2:$G$8551,3,FALSE),"")</f>
        <v/>
      </c>
      <c r="E2631" s="392" t="str">
        <f>IFERROR(VLOOKUP(A2631,[3]DOORSCRIEFT!$A$2:$G$8551,4,FALSE),"")</f>
        <v/>
      </c>
      <c r="F2631" s="405" t="str">
        <f>IFERROR(VLOOKUP(A2631,[3]DOORSCRIEFT!$A$2:$G$8551,6,FALSE),"")</f>
        <v/>
      </c>
      <c r="G2631" s="315"/>
    </row>
    <row r="2632" spans="1:7" x14ac:dyDescent="0.25">
      <c r="A2632" s="319" t="str">
        <f t="shared" si="76"/>
        <v>I.2.2.02.03929</v>
      </c>
      <c r="B2632" s="319">
        <v>29</v>
      </c>
      <c r="C2632" s="394" t="str">
        <f>IFERROR(VLOOKUP(A2632,[3]DOORSCRIEFT!$A$2:$G$8551,2,FALSE),"")</f>
        <v/>
      </c>
      <c r="D2632" s="393" t="str">
        <f>IFERROR(VLOOKUP(A2632,[3]DOORSCRIEFT!$A$2:$G$8551,3,FALSE),"")</f>
        <v/>
      </c>
      <c r="E2632" s="392" t="str">
        <f>IFERROR(VLOOKUP(A2632,[3]DOORSCRIEFT!$A$2:$G$8551,4,FALSE),"")</f>
        <v/>
      </c>
      <c r="F2632" s="405" t="str">
        <f>IFERROR(VLOOKUP(A2632,[3]DOORSCRIEFT!$A$2:$G$8551,6,FALSE),"")</f>
        <v/>
      </c>
      <c r="G2632" s="315"/>
    </row>
    <row r="2633" spans="1:7" x14ac:dyDescent="0.25">
      <c r="A2633" s="319" t="str">
        <f t="shared" si="76"/>
        <v>I.2.2.02.03930</v>
      </c>
      <c r="B2633" s="319">
        <v>30</v>
      </c>
      <c r="C2633" s="394" t="str">
        <f>IFERROR(VLOOKUP(A2633,[3]DOORSCRIEFT!$A$2:$G$8551,2,FALSE),"")</f>
        <v/>
      </c>
      <c r="D2633" s="393" t="str">
        <f>IFERROR(VLOOKUP(A2633,[3]DOORSCRIEFT!$A$2:$G$8551,3,FALSE),"")</f>
        <v/>
      </c>
      <c r="E2633" s="392" t="str">
        <f>IFERROR(VLOOKUP(A2633,[3]DOORSCRIEFT!$A$2:$G$8551,4,FALSE),"")</f>
        <v/>
      </c>
      <c r="F2633" s="405" t="str">
        <f>IFERROR(VLOOKUP(A2633,[3]DOORSCRIEFT!$A$2:$G$8551,6,FALSE),"")</f>
        <v/>
      </c>
      <c r="G2633" s="315"/>
    </row>
    <row r="2634" spans="1:7" x14ac:dyDescent="0.25">
      <c r="A2634" s="319" t="str">
        <f t="shared" si="76"/>
        <v>I.2.2.02.03931</v>
      </c>
      <c r="B2634" s="319">
        <v>31</v>
      </c>
      <c r="C2634" s="394" t="str">
        <f>IFERROR(VLOOKUP(A2634,[3]DOORSCRIEFT!$A$2:$G$8551,2,FALSE),"")</f>
        <v/>
      </c>
      <c r="D2634" s="393" t="str">
        <f>IFERROR(VLOOKUP(A2634,[3]DOORSCRIEFT!$A$2:$G$8551,3,FALSE),"")</f>
        <v/>
      </c>
      <c r="E2634" s="392" t="str">
        <f>IFERROR(VLOOKUP(A2634,[3]DOORSCRIEFT!$A$2:$G$8551,4,FALSE),"")</f>
        <v/>
      </c>
      <c r="F2634" s="405" t="str">
        <f>IFERROR(VLOOKUP(A2634,[3]DOORSCRIEFT!$A$2:$G$8551,6,FALSE),"")</f>
        <v/>
      </c>
      <c r="G2634" s="315"/>
    </row>
    <row r="2635" spans="1:7" x14ac:dyDescent="0.25">
      <c r="A2635" s="319" t="str">
        <f t="shared" si="76"/>
        <v>I.2.2.02.03932</v>
      </c>
      <c r="B2635" s="319">
        <v>32</v>
      </c>
      <c r="C2635" s="394" t="str">
        <f>IFERROR(VLOOKUP(A2635,[3]DOORSCRIEFT!$A$2:$G$8551,2,FALSE),"")</f>
        <v/>
      </c>
      <c r="D2635" s="393" t="str">
        <f>IFERROR(VLOOKUP(A2635,[3]DOORSCRIEFT!$A$2:$G$8551,3,FALSE),"")</f>
        <v/>
      </c>
      <c r="E2635" s="392" t="str">
        <f>IFERROR(VLOOKUP(A2635,[3]DOORSCRIEFT!$A$2:$G$8551,4,FALSE),"")</f>
        <v/>
      </c>
      <c r="F2635" s="405" t="str">
        <f>IFERROR(VLOOKUP(A2635,[3]DOORSCRIEFT!$A$2:$G$8551,6,FALSE),"")</f>
        <v/>
      </c>
      <c r="G2635" s="315"/>
    </row>
    <row r="2636" spans="1:7" x14ac:dyDescent="0.25">
      <c r="A2636" s="319" t="str">
        <f t="shared" si="76"/>
        <v>I.2.2.02.03933</v>
      </c>
      <c r="B2636" s="319">
        <v>33</v>
      </c>
      <c r="C2636" s="394" t="str">
        <f>IFERROR(VLOOKUP(A2636,[3]DOORSCRIEFT!$A$2:$G$8551,2,FALSE),"")</f>
        <v/>
      </c>
      <c r="D2636" s="393" t="str">
        <f>IFERROR(VLOOKUP(A2636,[3]DOORSCRIEFT!$A$2:$G$8551,3,FALSE),"")</f>
        <v/>
      </c>
      <c r="E2636" s="392" t="str">
        <f>IFERROR(VLOOKUP(A2636,[3]DOORSCRIEFT!$A$2:$G$8551,4,FALSE),"")</f>
        <v/>
      </c>
      <c r="F2636" s="405" t="str">
        <f>IFERROR(VLOOKUP(A2636,[3]DOORSCRIEFT!$A$2:$G$8551,6,FALSE),"")</f>
        <v/>
      </c>
      <c r="G2636" s="315"/>
    </row>
    <row r="2637" spans="1:7" ht="15.75" thickBot="1" x14ac:dyDescent="0.3">
      <c r="A2637" s="345" t="str">
        <f t="shared" si="76"/>
        <v>I.2.2.02.03934</v>
      </c>
      <c r="B2637" s="345">
        <v>34</v>
      </c>
      <c r="C2637" s="394" t="str">
        <f>IFERROR(VLOOKUP(A2637,[3]DOORSCRIEFT!$A$2:$G$8551,2,FALSE),"")</f>
        <v/>
      </c>
      <c r="D2637" s="393" t="str">
        <f>IFERROR(VLOOKUP(A2637,[3]DOORSCRIEFT!$A$2:$G$8551,3,FALSE),"")</f>
        <v/>
      </c>
      <c r="E2637" s="392" t="str">
        <f>IFERROR(VLOOKUP(A2637,[3]DOORSCRIEFT!$A$2:$G$8551,4,FALSE),"")</f>
        <v/>
      </c>
      <c r="F2637" s="405" t="str">
        <f>IFERROR(VLOOKUP(A2637,[3]DOORSCRIEFT!$A$2:$G$8551,6,FALSE),"")</f>
        <v/>
      </c>
      <c r="G2637" s="315"/>
    </row>
    <row r="2638" spans="1:7" ht="15.75" thickBot="1" x14ac:dyDescent="0.3">
      <c r="A2638" s="344"/>
      <c r="B2638" s="343"/>
      <c r="C2638" s="336"/>
      <c r="D2638" s="312"/>
      <c r="E2638" s="311" t="s">
        <v>644</v>
      </c>
      <c r="F2638" s="310">
        <f>SUM(F2604:F2637)</f>
        <v>100000</v>
      </c>
      <c r="G2638" s="309">
        <f>SUM(G2604:G2637)</f>
        <v>0</v>
      </c>
    </row>
    <row r="2639" spans="1:7" x14ac:dyDescent="0.25">
      <c r="C2639" s="335"/>
    </row>
    <row r="2640" spans="1:7" x14ac:dyDescent="0.25">
      <c r="C2640" s="335"/>
    </row>
    <row r="2641" spans="1:7" ht="15.75" x14ac:dyDescent="0.25">
      <c r="C2641" s="334"/>
      <c r="D2641" s="333"/>
      <c r="E2641" s="332"/>
      <c r="F2641" s="327" t="s">
        <v>607</v>
      </c>
      <c r="G2641" s="327" t="s">
        <v>468</v>
      </c>
    </row>
    <row r="2642" spans="1:7" ht="15.75" x14ac:dyDescent="0.25">
      <c r="C2642" s="334"/>
      <c r="D2642" s="333"/>
      <c r="E2642" s="332"/>
      <c r="F2642" s="327" t="s">
        <v>601</v>
      </c>
      <c r="G2642" s="327" t="s">
        <v>467</v>
      </c>
    </row>
    <row r="2643" spans="1:7" x14ac:dyDescent="0.25">
      <c r="C2643" s="330"/>
      <c r="D2643" s="329"/>
      <c r="E2643" s="328"/>
      <c r="F2643" s="327" t="s">
        <v>651</v>
      </c>
      <c r="G2643" s="331">
        <f>[2]Sheet1!$D$67</f>
        <v>3000000</v>
      </c>
    </row>
    <row r="2644" spans="1:7" ht="15.75" thickBot="1" x14ac:dyDescent="0.3">
      <c r="C2644" s="330"/>
      <c r="D2644" s="329"/>
      <c r="E2644" s="328"/>
      <c r="F2644" s="327" t="s">
        <v>650</v>
      </c>
      <c r="G2644" s="326">
        <f>+F2663-G2643</f>
        <v>-1826000</v>
      </c>
    </row>
    <row r="2645" spans="1:7" x14ac:dyDescent="0.25">
      <c r="A2645" s="571" t="s">
        <v>626</v>
      </c>
      <c r="B2645" s="573" t="s">
        <v>606</v>
      </c>
      <c r="C2645" s="588" t="s">
        <v>649</v>
      </c>
      <c r="D2645" s="577" t="s">
        <v>648</v>
      </c>
      <c r="E2645" s="577" t="s">
        <v>647</v>
      </c>
      <c r="F2645" s="577" t="s">
        <v>646</v>
      </c>
      <c r="G2645" s="580" t="s">
        <v>645</v>
      </c>
    </row>
    <row r="2646" spans="1:7" ht="15.75" thickBot="1" x14ac:dyDescent="0.3">
      <c r="A2646" s="572"/>
      <c r="B2646" s="574"/>
      <c r="C2646" s="589"/>
      <c r="D2646" s="586"/>
      <c r="E2646" s="586"/>
      <c r="F2646" s="586"/>
      <c r="G2646" s="587"/>
    </row>
    <row r="2647" spans="1:7" ht="15.75" thickBot="1" x14ac:dyDescent="0.3">
      <c r="A2647" s="325">
        <v>1</v>
      </c>
      <c r="B2647" s="324">
        <v>2</v>
      </c>
      <c r="C2647" s="324">
        <v>3</v>
      </c>
      <c r="D2647" s="324">
        <v>4</v>
      </c>
      <c r="E2647" s="324">
        <v>5</v>
      </c>
      <c r="F2647" s="324">
        <v>6</v>
      </c>
      <c r="G2647" s="323">
        <v>7</v>
      </c>
    </row>
    <row r="2648" spans="1:7" x14ac:dyDescent="0.25">
      <c r="A2648" s="339" t="str">
        <f t="shared" ref="A2648:A2662" si="77">$G$2641&amp;B2648</f>
        <v>I.2.2.02.0401</v>
      </c>
      <c r="B2648" s="339">
        <v>1</v>
      </c>
      <c r="C2648" s="394">
        <f>IFERROR(VLOOKUP(A2648,[3]DOORSCRIEFT!$A$2:$G$8551,2,FALSE),"")</f>
        <v>462</v>
      </c>
      <c r="D2648" s="393">
        <f>IFERROR(VLOOKUP(A2648,[3]DOORSCRIEFT!$A$2:$G$8551,3,FALSE),"")</f>
        <v>46110</v>
      </c>
      <c r="E2648" s="392" t="str">
        <f>IFERROR(VLOOKUP(A2648,[3]DOORSCRIEFT!$A$2:$G$8551,4,FALSE),"")</f>
        <v>Persembahan Sampul anak sidi baru</v>
      </c>
      <c r="F2648" s="405">
        <f>IFERROR(VLOOKUP(A2648,[3]DOORSCRIEFT!$A$2:$G$8551,6,FALSE),"")</f>
        <v>1174000</v>
      </c>
      <c r="G2648" s="322"/>
    </row>
    <row r="2649" spans="1:7" x14ac:dyDescent="0.25">
      <c r="A2649" s="319" t="str">
        <f t="shared" si="77"/>
        <v>I.2.2.02.0402</v>
      </c>
      <c r="B2649" s="319">
        <v>2</v>
      </c>
      <c r="C2649" s="394" t="str">
        <f>IFERROR(VLOOKUP(A2649,[3]DOORSCRIEFT!$A$2:$G$8551,2,FALSE),"")</f>
        <v/>
      </c>
      <c r="D2649" s="393" t="str">
        <f>IFERROR(VLOOKUP(A2649,[3]DOORSCRIEFT!$A$2:$G$8551,3,FALSE),"")</f>
        <v/>
      </c>
      <c r="E2649" s="392" t="str">
        <f>IFERROR(VLOOKUP(A2649,[3]DOORSCRIEFT!$A$2:$G$8551,4,FALSE),"")</f>
        <v/>
      </c>
      <c r="F2649" s="405" t="str">
        <f>IFERROR(VLOOKUP(A2649,[3]DOORSCRIEFT!$A$2:$G$8551,6,FALSE),"")</f>
        <v/>
      </c>
      <c r="G2649" s="315"/>
    </row>
    <row r="2650" spans="1:7" x14ac:dyDescent="0.25">
      <c r="A2650" s="319" t="str">
        <f t="shared" si="77"/>
        <v>I.2.2.02.0403</v>
      </c>
      <c r="B2650" s="319">
        <v>3</v>
      </c>
      <c r="C2650" s="394" t="str">
        <f>IFERROR(VLOOKUP(A2650,[3]DOORSCRIEFT!$A$2:$G$8551,2,FALSE),"")</f>
        <v/>
      </c>
      <c r="D2650" s="393" t="str">
        <f>IFERROR(VLOOKUP(A2650,[3]DOORSCRIEFT!$A$2:$G$8551,3,FALSE),"")</f>
        <v/>
      </c>
      <c r="E2650" s="392" t="str">
        <f>IFERROR(VLOOKUP(A2650,[3]DOORSCRIEFT!$A$2:$G$8551,4,FALSE),"")</f>
        <v/>
      </c>
      <c r="F2650" s="405" t="str">
        <f>IFERROR(VLOOKUP(A2650,[3]DOORSCRIEFT!$A$2:$G$8551,6,FALSE),"")</f>
        <v/>
      </c>
      <c r="G2650" s="315"/>
    </row>
    <row r="2651" spans="1:7" x14ac:dyDescent="0.25">
      <c r="A2651" s="319" t="str">
        <f t="shared" si="77"/>
        <v>I.2.2.02.0404</v>
      </c>
      <c r="B2651" s="319">
        <v>4</v>
      </c>
      <c r="C2651" s="394" t="str">
        <f>IFERROR(VLOOKUP(A2651,[3]DOORSCRIEFT!$A$2:$G$8551,2,FALSE),"")</f>
        <v/>
      </c>
      <c r="D2651" s="393" t="str">
        <f>IFERROR(VLOOKUP(A2651,[3]DOORSCRIEFT!$A$2:$G$8551,3,FALSE),"")</f>
        <v/>
      </c>
      <c r="E2651" s="392" t="str">
        <f>IFERROR(VLOOKUP(A2651,[3]DOORSCRIEFT!$A$2:$G$8551,4,FALSE),"")</f>
        <v/>
      </c>
      <c r="F2651" s="405" t="str">
        <f>IFERROR(VLOOKUP(A2651,[3]DOORSCRIEFT!$A$2:$G$8551,6,FALSE),"")</f>
        <v/>
      </c>
      <c r="G2651" s="315"/>
    </row>
    <row r="2652" spans="1:7" x14ac:dyDescent="0.25">
      <c r="A2652" s="319" t="str">
        <f t="shared" si="77"/>
        <v>I.2.2.02.0405</v>
      </c>
      <c r="B2652" s="319">
        <v>5</v>
      </c>
      <c r="C2652" s="394" t="str">
        <f>IFERROR(VLOOKUP(A2652,[3]DOORSCRIEFT!$A$2:$G$8551,2,FALSE),"")</f>
        <v/>
      </c>
      <c r="D2652" s="393" t="str">
        <f>IFERROR(VLOOKUP(A2652,[3]DOORSCRIEFT!$A$2:$G$8551,3,FALSE),"")</f>
        <v/>
      </c>
      <c r="E2652" s="392" t="str">
        <f>IFERROR(VLOOKUP(A2652,[3]DOORSCRIEFT!$A$2:$G$8551,4,FALSE),"")</f>
        <v/>
      </c>
      <c r="F2652" s="405" t="str">
        <f>IFERROR(VLOOKUP(A2652,[3]DOORSCRIEFT!$A$2:$G$8551,6,FALSE),"")</f>
        <v/>
      </c>
      <c r="G2652" s="315"/>
    </row>
    <row r="2653" spans="1:7" x14ac:dyDescent="0.25">
      <c r="A2653" s="319" t="str">
        <f t="shared" si="77"/>
        <v>I.2.2.02.0406</v>
      </c>
      <c r="B2653" s="319">
        <v>6</v>
      </c>
      <c r="C2653" s="394" t="str">
        <f>IFERROR(VLOOKUP(A2653,[3]DOORSCRIEFT!$A$2:$G$8551,2,FALSE),"")</f>
        <v/>
      </c>
      <c r="D2653" s="393" t="str">
        <f>IFERROR(VLOOKUP(A2653,[3]DOORSCRIEFT!$A$2:$G$8551,3,FALSE),"")</f>
        <v/>
      </c>
      <c r="E2653" s="392" t="str">
        <f>IFERROR(VLOOKUP(A2653,[3]DOORSCRIEFT!$A$2:$G$8551,4,FALSE),"")</f>
        <v/>
      </c>
      <c r="F2653" s="405" t="str">
        <f>IFERROR(VLOOKUP(A2653,[3]DOORSCRIEFT!$A$2:$G$8551,6,FALSE),"")</f>
        <v/>
      </c>
      <c r="G2653" s="315"/>
    </row>
    <row r="2654" spans="1:7" x14ac:dyDescent="0.25">
      <c r="A2654" s="319" t="str">
        <f t="shared" si="77"/>
        <v>I.2.2.02.0407</v>
      </c>
      <c r="B2654" s="319">
        <v>7</v>
      </c>
      <c r="C2654" s="394" t="str">
        <f>IFERROR(VLOOKUP(A2654,[3]DOORSCRIEFT!$A$2:$G$8551,2,FALSE),"")</f>
        <v/>
      </c>
      <c r="D2654" s="393" t="str">
        <f>IFERROR(VLOOKUP(A2654,[3]DOORSCRIEFT!$A$2:$G$8551,3,FALSE),"")</f>
        <v/>
      </c>
      <c r="E2654" s="392" t="str">
        <f>IFERROR(VLOOKUP(A2654,[3]DOORSCRIEFT!$A$2:$G$8551,4,FALSE),"")</f>
        <v/>
      </c>
      <c r="F2654" s="405" t="str">
        <f>IFERROR(VLOOKUP(A2654,[3]DOORSCRIEFT!$A$2:$G$8551,6,FALSE),"")</f>
        <v/>
      </c>
      <c r="G2654" s="315"/>
    </row>
    <row r="2655" spans="1:7" x14ac:dyDescent="0.25">
      <c r="A2655" s="319" t="str">
        <f t="shared" si="77"/>
        <v>I.2.2.02.0408</v>
      </c>
      <c r="B2655" s="319">
        <v>8</v>
      </c>
      <c r="C2655" s="394" t="str">
        <f>IFERROR(VLOOKUP(A2655,[3]DOORSCRIEFT!$A$2:$G$8551,2,FALSE),"")</f>
        <v/>
      </c>
      <c r="D2655" s="393" t="str">
        <f>IFERROR(VLOOKUP(A2655,[3]DOORSCRIEFT!$A$2:$G$8551,3,FALSE),"")</f>
        <v/>
      </c>
      <c r="E2655" s="392" t="str">
        <f>IFERROR(VLOOKUP(A2655,[3]DOORSCRIEFT!$A$2:$G$8551,4,FALSE),"")</f>
        <v/>
      </c>
      <c r="F2655" s="405" t="str">
        <f>IFERROR(VLOOKUP(A2655,[3]DOORSCRIEFT!$A$2:$G$8551,6,FALSE),"")</f>
        <v/>
      </c>
      <c r="G2655" s="315"/>
    </row>
    <row r="2656" spans="1:7" x14ac:dyDescent="0.25">
      <c r="A2656" s="319" t="str">
        <f t="shared" si="77"/>
        <v>I.2.2.02.0409</v>
      </c>
      <c r="B2656" s="319">
        <v>9</v>
      </c>
      <c r="C2656" s="394" t="str">
        <f>IFERROR(VLOOKUP(A2656,[3]DOORSCRIEFT!$A$2:$G$8551,2,FALSE),"")</f>
        <v/>
      </c>
      <c r="D2656" s="393" t="str">
        <f>IFERROR(VLOOKUP(A2656,[3]DOORSCRIEFT!$A$2:$G$8551,3,FALSE),"")</f>
        <v/>
      </c>
      <c r="E2656" s="392" t="str">
        <f>IFERROR(VLOOKUP(A2656,[3]DOORSCRIEFT!$A$2:$G$8551,4,FALSE),"")</f>
        <v/>
      </c>
      <c r="F2656" s="405" t="str">
        <f>IFERROR(VLOOKUP(A2656,[3]DOORSCRIEFT!$A$2:$G$8551,6,FALSE),"")</f>
        <v/>
      </c>
      <c r="G2656" s="315"/>
    </row>
    <row r="2657" spans="1:7" x14ac:dyDescent="0.25">
      <c r="A2657" s="319" t="str">
        <f t="shared" si="77"/>
        <v>I.2.2.02.04010</v>
      </c>
      <c r="B2657" s="319">
        <v>10</v>
      </c>
      <c r="C2657" s="394" t="str">
        <f>IFERROR(VLOOKUP(A2657,[3]DOORSCRIEFT!$A$2:$G$8551,2,FALSE),"")</f>
        <v/>
      </c>
      <c r="D2657" s="393" t="str">
        <f>IFERROR(VLOOKUP(A2657,[3]DOORSCRIEFT!$A$2:$G$8551,3,FALSE),"")</f>
        <v/>
      </c>
      <c r="E2657" s="392" t="str">
        <f>IFERROR(VLOOKUP(A2657,[3]DOORSCRIEFT!$A$2:$G$8551,4,FALSE),"")</f>
        <v/>
      </c>
      <c r="F2657" s="405" t="str">
        <f>IFERROR(VLOOKUP(A2657,[3]DOORSCRIEFT!$A$2:$G$8551,6,FALSE),"")</f>
        <v/>
      </c>
      <c r="G2657" s="315"/>
    </row>
    <row r="2658" spans="1:7" x14ac:dyDescent="0.25">
      <c r="A2658" s="319" t="str">
        <f t="shared" si="77"/>
        <v>I.2.2.02.04011</v>
      </c>
      <c r="B2658" s="319">
        <v>11</v>
      </c>
      <c r="C2658" s="394" t="str">
        <f>IFERROR(VLOOKUP(A2658,[3]DOORSCRIEFT!$A$2:$G$8551,2,FALSE),"")</f>
        <v/>
      </c>
      <c r="D2658" s="393" t="str">
        <f>IFERROR(VLOOKUP(A2658,[3]DOORSCRIEFT!$A$2:$G$8551,3,FALSE),"")</f>
        <v/>
      </c>
      <c r="E2658" s="392" t="str">
        <f>IFERROR(VLOOKUP(A2658,[3]DOORSCRIEFT!$A$2:$G$8551,4,FALSE),"")</f>
        <v/>
      </c>
      <c r="F2658" s="405" t="str">
        <f>IFERROR(VLOOKUP(A2658,[3]DOORSCRIEFT!$A$2:$G$8551,6,FALSE),"")</f>
        <v/>
      </c>
      <c r="G2658" s="315"/>
    </row>
    <row r="2659" spans="1:7" x14ac:dyDescent="0.25">
      <c r="A2659" s="319" t="str">
        <f t="shared" si="77"/>
        <v>I.2.2.02.04012</v>
      </c>
      <c r="B2659" s="319">
        <v>12</v>
      </c>
      <c r="C2659" s="394" t="str">
        <f>IFERROR(VLOOKUP(A2659,[3]DOORSCRIEFT!$A$2:$G$8551,2,FALSE),"")</f>
        <v/>
      </c>
      <c r="D2659" s="393" t="str">
        <f>IFERROR(VLOOKUP(A2659,[3]DOORSCRIEFT!$A$2:$G$8551,3,FALSE),"")</f>
        <v/>
      </c>
      <c r="E2659" s="392" t="str">
        <f>IFERROR(VLOOKUP(A2659,[3]DOORSCRIEFT!$A$2:$G$8551,4,FALSE),"")</f>
        <v/>
      </c>
      <c r="F2659" s="405" t="str">
        <f>IFERROR(VLOOKUP(A2659,[3]DOORSCRIEFT!$A$2:$G$8551,6,FALSE),"")</f>
        <v/>
      </c>
      <c r="G2659" s="315"/>
    </row>
    <row r="2660" spans="1:7" x14ac:dyDescent="0.25">
      <c r="A2660" s="319" t="str">
        <f t="shared" si="77"/>
        <v>I.2.2.02.04013</v>
      </c>
      <c r="B2660" s="319">
        <v>13</v>
      </c>
      <c r="C2660" s="394" t="str">
        <f>IFERROR(VLOOKUP(A2660,[3]DOORSCRIEFT!$A$2:$G$8551,2,FALSE),"")</f>
        <v/>
      </c>
      <c r="D2660" s="393" t="str">
        <f>IFERROR(VLOOKUP(A2660,[3]DOORSCRIEFT!$A$2:$G$8551,3,FALSE),"")</f>
        <v/>
      </c>
      <c r="E2660" s="392" t="str">
        <f>IFERROR(VLOOKUP(A2660,[3]DOORSCRIEFT!$A$2:$G$8551,4,FALSE),"")</f>
        <v/>
      </c>
      <c r="F2660" s="405" t="str">
        <f>IFERROR(VLOOKUP(A2660,[3]DOORSCRIEFT!$A$2:$G$8551,6,FALSE),"")</f>
        <v/>
      </c>
      <c r="G2660" s="315"/>
    </row>
    <row r="2661" spans="1:7" x14ac:dyDescent="0.25">
      <c r="A2661" s="319" t="str">
        <f t="shared" si="77"/>
        <v>I.2.2.02.04014</v>
      </c>
      <c r="B2661" s="319">
        <v>14</v>
      </c>
      <c r="C2661" s="394" t="str">
        <f>IFERROR(VLOOKUP(A2661,[3]DOORSCRIEFT!$A$2:$G$8551,2,FALSE),"")</f>
        <v/>
      </c>
      <c r="D2661" s="393" t="str">
        <f>IFERROR(VLOOKUP(A2661,[3]DOORSCRIEFT!$A$2:$G$8551,3,FALSE),"")</f>
        <v/>
      </c>
      <c r="E2661" s="392" t="str">
        <f>IFERROR(VLOOKUP(A2661,[3]DOORSCRIEFT!$A$2:$G$8551,4,FALSE),"")</f>
        <v/>
      </c>
      <c r="F2661" s="405" t="str">
        <f>IFERROR(VLOOKUP(A2661,[3]DOORSCRIEFT!$A$2:$G$8551,6,FALSE),"")</f>
        <v/>
      </c>
      <c r="G2661" s="315"/>
    </row>
    <row r="2662" spans="1:7" ht="15.75" thickBot="1" x14ac:dyDescent="0.3">
      <c r="A2662" s="345" t="str">
        <f t="shared" si="77"/>
        <v>I.2.2.02.04015</v>
      </c>
      <c r="B2662" s="345">
        <v>15</v>
      </c>
      <c r="C2662" s="394" t="str">
        <f>IFERROR(VLOOKUP(A2662,[3]DOORSCRIEFT!$A$2:$G$8551,2,FALSE),"")</f>
        <v/>
      </c>
      <c r="D2662" s="393" t="str">
        <f>IFERROR(VLOOKUP(A2662,[3]DOORSCRIEFT!$A$2:$G$8551,3,FALSE),"")</f>
        <v/>
      </c>
      <c r="E2662" s="392" t="str">
        <f>IFERROR(VLOOKUP(A2662,[3]DOORSCRIEFT!$A$2:$G$8551,4,FALSE),"")</f>
        <v/>
      </c>
      <c r="F2662" s="405" t="str">
        <f>IFERROR(VLOOKUP(A2662,[3]DOORSCRIEFT!$A$2:$G$8551,6,FALSE),"")</f>
        <v/>
      </c>
      <c r="G2662" s="315"/>
    </row>
    <row r="2663" spans="1:7" ht="15.75" thickBot="1" x14ac:dyDescent="0.3">
      <c r="A2663" s="344"/>
      <c r="B2663" s="343"/>
      <c r="C2663" s="336"/>
      <c r="D2663" s="312"/>
      <c r="E2663" s="311" t="s">
        <v>644</v>
      </c>
      <c r="F2663" s="310">
        <f>SUM(F2648:F2662)</f>
        <v>1174000</v>
      </c>
      <c r="G2663" s="309">
        <f>SUM(G2648:G2662)</f>
        <v>0</v>
      </c>
    </row>
    <row r="2664" spans="1:7" x14ac:dyDescent="0.25">
      <c r="C2664" s="335"/>
    </row>
    <row r="2665" spans="1:7" x14ac:dyDescent="0.25">
      <c r="C2665" s="335"/>
    </row>
    <row r="2666" spans="1:7" ht="15.75" x14ac:dyDescent="0.25">
      <c r="C2666" s="334"/>
      <c r="D2666" s="333"/>
      <c r="E2666" s="332"/>
      <c r="F2666" s="327" t="s">
        <v>607</v>
      </c>
      <c r="G2666" s="327" t="s">
        <v>466</v>
      </c>
    </row>
    <row r="2667" spans="1:7" ht="15.75" x14ac:dyDescent="0.25">
      <c r="C2667" s="334"/>
      <c r="D2667" s="333"/>
      <c r="E2667" s="332"/>
      <c r="F2667" s="327" t="s">
        <v>601</v>
      </c>
      <c r="G2667" s="327" t="s">
        <v>465</v>
      </c>
    </row>
    <row r="2668" spans="1:7" x14ac:dyDescent="0.25">
      <c r="C2668" s="330"/>
      <c r="D2668" s="329"/>
      <c r="E2668" s="328"/>
      <c r="F2668" s="327" t="s">
        <v>651</v>
      </c>
      <c r="G2668" s="331">
        <f>[2]Sheet1!$D$68</f>
        <v>2500000</v>
      </c>
    </row>
    <row r="2669" spans="1:7" ht="15.75" thickBot="1" x14ac:dyDescent="0.3">
      <c r="C2669" s="330"/>
      <c r="D2669" s="329"/>
      <c r="E2669" s="328"/>
      <c r="F2669" s="327" t="s">
        <v>650</v>
      </c>
      <c r="G2669" s="326">
        <f>+F2708-G2668</f>
        <v>-834000</v>
      </c>
    </row>
    <row r="2670" spans="1:7" x14ac:dyDescent="0.25">
      <c r="A2670" s="571" t="s">
        <v>626</v>
      </c>
      <c r="B2670" s="584" t="s">
        <v>606</v>
      </c>
      <c r="C2670" s="588" t="s">
        <v>649</v>
      </c>
      <c r="D2670" s="577" t="s">
        <v>648</v>
      </c>
      <c r="E2670" s="577" t="s">
        <v>647</v>
      </c>
      <c r="F2670" s="577" t="s">
        <v>646</v>
      </c>
      <c r="G2670" s="580" t="s">
        <v>645</v>
      </c>
    </row>
    <row r="2671" spans="1:7" ht="15.75" thickBot="1" x14ac:dyDescent="0.3">
      <c r="A2671" s="572"/>
      <c r="B2671" s="585"/>
      <c r="C2671" s="589"/>
      <c r="D2671" s="586"/>
      <c r="E2671" s="586"/>
      <c r="F2671" s="586"/>
      <c r="G2671" s="587"/>
    </row>
    <row r="2672" spans="1:7" ht="15.75" thickBot="1" x14ac:dyDescent="0.3">
      <c r="A2672" s="325">
        <v>1</v>
      </c>
      <c r="B2672" s="324">
        <v>2</v>
      </c>
      <c r="C2672" s="324">
        <v>3</v>
      </c>
      <c r="D2672" s="324">
        <v>4</v>
      </c>
      <c r="E2672" s="324">
        <v>5</v>
      </c>
      <c r="F2672" s="324">
        <v>6</v>
      </c>
      <c r="G2672" s="323">
        <v>7</v>
      </c>
    </row>
    <row r="2673" spans="1:7" x14ac:dyDescent="0.25">
      <c r="A2673" s="339" t="str">
        <f t="shared" ref="A2673:A2707" si="78">$G$2666&amp;B2673</f>
        <v>I.2.2.02.0411</v>
      </c>
      <c r="B2673" s="339">
        <v>1</v>
      </c>
      <c r="C2673" s="394">
        <f>IFERROR(VLOOKUP(A2673,[3]DOORSCRIEFT!$A$2:$G$8551,2,FALSE),"")</f>
        <v>38</v>
      </c>
      <c r="D2673" s="393">
        <f>IFERROR(VLOOKUP(A2673,[3]DOORSCRIEFT!$A$2:$G$8551,3,FALSE),"")</f>
        <v>46031</v>
      </c>
      <c r="E2673" s="392" t="str">
        <f>IFERROR(VLOOKUP(A2673,[3]DOORSCRIEFT!$A$2:$G$8551,4,FALSE),"")</f>
        <v>Kolekta Pergembalaan Nikah Adi dan Vara</v>
      </c>
      <c r="F2673" s="397">
        <f>IFERROR(VLOOKUP(A2673,[3]DOORSCRIEFT!$A$2:$G$8551,6,FALSE),"")</f>
        <v>54000</v>
      </c>
      <c r="G2673" s="322"/>
    </row>
    <row r="2674" spans="1:7" x14ac:dyDescent="0.25">
      <c r="A2674" s="319" t="str">
        <f t="shared" si="78"/>
        <v>I.2.2.02.0412</v>
      </c>
      <c r="B2674" s="319">
        <v>2</v>
      </c>
      <c r="C2674" s="394">
        <f>IFERROR(VLOOKUP(A2674,[3]DOORSCRIEFT!$A$2:$G$8551,2,FALSE),"")</f>
        <v>60</v>
      </c>
      <c r="D2674" s="393">
        <f>IFERROR(VLOOKUP(A2674,[3]DOORSCRIEFT!$A$2:$G$8551,3,FALSE),"")</f>
        <v>46038</v>
      </c>
      <c r="E2674" s="392" t="str">
        <f>IFERROR(VLOOKUP(A2674,[3]DOORSCRIEFT!$A$2:$G$8551,4,FALSE),"")</f>
        <v>Kolekta Pergembalaan Nikah Kel. Tahalea Pattirane</v>
      </c>
      <c r="F2674" s="397">
        <f>IFERROR(VLOOKUP(A2674,[3]DOORSCRIEFT!$A$2:$G$8551,6,FALSE),"")</f>
        <v>40000</v>
      </c>
      <c r="G2674" s="315"/>
    </row>
    <row r="2675" spans="1:7" x14ac:dyDescent="0.25">
      <c r="A2675" s="319" t="str">
        <f t="shared" si="78"/>
        <v>I.2.2.02.0413</v>
      </c>
      <c r="B2675" s="319">
        <v>3</v>
      </c>
      <c r="C2675" s="394">
        <f>IFERROR(VLOOKUP(A2675,[3]DOORSCRIEFT!$A$2:$G$8551,2,FALSE),"")</f>
        <v>218</v>
      </c>
      <c r="D2675" s="393">
        <f>IFERROR(VLOOKUP(A2675,[3]DOORSCRIEFT!$A$2:$G$8551,3,FALSE),"")</f>
        <v>46073</v>
      </c>
      <c r="E2675" s="392" t="str">
        <f>IFERROR(VLOOKUP(A2675,[3]DOORSCRIEFT!$A$2:$G$8551,4,FALSE),"")</f>
        <v>Kolekta Pergembalaan Nikah Kel. Harmusial Pattipawae</v>
      </c>
      <c r="F2675" s="397">
        <f>IFERROR(VLOOKUP(A2675,[3]DOORSCRIEFT!$A$2:$G$8551,6,FALSE),"")</f>
        <v>40000</v>
      </c>
      <c r="G2675" s="315"/>
    </row>
    <row r="2676" spans="1:7" x14ac:dyDescent="0.25">
      <c r="A2676" s="319" t="str">
        <f t="shared" si="78"/>
        <v>I.2.2.02.0414</v>
      </c>
      <c r="B2676" s="319">
        <v>4</v>
      </c>
      <c r="C2676" s="394">
        <f>IFERROR(VLOOKUP(A2676,[3]DOORSCRIEFT!$A$2:$G$8551,2,FALSE),"")</f>
        <v>257</v>
      </c>
      <c r="D2676" s="393">
        <f>IFERROR(VLOOKUP(A2676,[3]DOORSCRIEFT!$A$2:$G$8551,3,FALSE),"")</f>
        <v>46075</v>
      </c>
      <c r="E2676" s="392" t="str">
        <f>IFERROR(VLOOKUP(A2676,[3]DOORSCRIEFT!$A$2:$G$8551,4,FALSE),"")</f>
        <v>Kolekta Kebaktian Penggembalaan Nikah Kel. Peleuw</v>
      </c>
      <c r="F2676" s="397">
        <f>IFERROR(VLOOKUP(A2676,[3]DOORSCRIEFT!$A$2:$G$8551,6,FALSE),"")</f>
        <v>85000</v>
      </c>
      <c r="G2676" s="315"/>
    </row>
    <row r="2677" spans="1:7" x14ac:dyDescent="0.25">
      <c r="A2677" s="319" t="str">
        <f t="shared" si="78"/>
        <v>I.2.2.02.0415</v>
      </c>
      <c r="B2677" s="319">
        <v>5</v>
      </c>
      <c r="C2677" s="394">
        <f>IFERROR(VLOOKUP(A2677,[3]DOORSCRIEFT!$A$2:$G$8551,2,FALSE),"")</f>
        <v>258</v>
      </c>
      <c r="D2677" s="393">
        <f>IFERROR(VLOOKUP(A2677,[3]DOORSCRIEFT!$A$2:$G$8551,3,FALSE),"")</f>
        <v>46075</v>
      </c>
      <c r="E2677" s="392" t="str">
        <f>IFERROR(VLOOKUP(A2677,[3]DOORSCRIEFT!$A$2:$G$8551,4,FALSE),"")</f>
        <v>Kolekta Kebaktian Penggembalaan Nikah Kel. Suitela</v>
      </c>
      <c r="F2677" s="397">
        <f>IFERROR(VLOOKUP(A2677,[3]DOORSCRIEFT!$A$2:$G$8551,6,FALSE),"")</f>
        <v>265000</v>
      </c>
      <c r="G2677" s="315"/>
    </row>
    <row r="2678" spans="1:7" x14ac:dyDescent="0.25">
      <c r="A2678" s="319" t="str">
        <f t="shared" si="78"/>
        <v>I.2.2.02.0416</v>
      </c>
      <c r="B2678" s="319">
        <v>6</v>
      </c>
      <c r="C2678" s="394">
        <f>IFERROR(VLOOKUP(A2678,[3]DOORSCRIEFT!$A$2:$G$8551,2,FALSE),"")</f>
        <v>383</v>
      </c>
      <c r="D2678" s="393">
        <f>IFERROR(VLOOKUP(A2678,[3]DOORSCRIEFT!$A$2:$G$8551,3,FALSE),"")</f>
        <v>46101</v>
      </c>
      <c r="E2678" s="392" t="str">
        <f>IFERROR(VLOOKUP(A2678,[3]DOORSCRIEFT!$A$2:$G$8551,4,FALSE),"")</f>
        <v>Kolekta Kebaktian Penggembalaan Nikah</v>
      </c>
      <c r="F2678" s="397">
        <f>IFERROR(VLOOKUP(A2678,[3]DOORSCRIEFT!$A$2:$G$8551,6,FALSE),"")</f>
        <v>500000</v>
      </c>
      <c r="G2678" s="315"/>
    </row>
    <row r="2679" spans="1:7" x14ac:dyDescent="0.25">
      <c r="A2679" s="319" t="str">
        <f t="shared" si="78"/>
        <v>I.2.2.02.0417</v>
      </c>
      <c r="B2679" s="319">
        <v>7</v>
      </c>
      <c r="C2679" s="394">
        <f>IFERROR(VLOOKUP(A2679,[3]DOORSCRIEFT!$A$2:$G$8551,2,FALSE),"")</f>
        <v>384</v>
      </c>
      <c r="D2679" s="393">
        <f>IFERROR(VLOOKUP(A2679,[3]DOORSCRIEFT!$A$2:$G$8551,3,FALSE),"")</f>
        <v>46101</v>
      </c>
      <c r="E2679" s="392" t="str">
        <f>IFERROR(VLOOKUP(A2679,[3]DOORSCRIEFT!$A$2:$G$8551,4,FALSE),"")</f>
        <v>Kolekta Kebaktian Penggembalaan Nikah Kel. Teslatu dan Silaya</v>
      </c>
      <c r="F2679" s="397">
        <f>IFERROR(VLOOKUP(A2679,[3]DOORSCRIEFT!$A$2:$G$8551,6,FALSE),"")</f>
        <v>625000</v>
      </c>
      <c r="G2679" s="315"/>
    </row>
    <row r="2680" spans="1:7" x14ac:dyDescent="0.25">
      <c r="A2680" s="319" t="str">
        <f t="shared" si="78"/>
        <v>I.2.2.02.0418</v>
      </c>
      <c r="B2680" s="319">
        <v>8</v>
      </c>
      <c r="C2680" s="394">
        <f>IFERROR(VLOOKUP(A2680,[3]DOORSCRIEFT!$A$2:$G$8551,2,FALSE),"")</f>
        <v>432</v>
      </c>
      <c r="D2680" s="393">
        <f>IFERROR(VLOOKUP(A2680,[3]DOORSCRIEFT!$A$2:$G$8551,3,FALSE),"")</f>
        <v>46103</v>
      </c>
      <c r="E2680" s="392" t="str">
        <f>IFERROR(VLOOKUP(A2680,[3]DOORSCRIEFT!$A$2:$G$8551,4,FALSE),"")</f>
        <v>Kolekta Kebaktian Penggembalaan Nikah Kel. da Costa/Dahaklory</v>
      </c>
      <c r="F2680" s="397">
        <f>IFERROR(VLOOKUP(A2680,[3]DOORSCRIEFT!$A$2:$G$8551,6,FALSE),"")</f>
        <v>57000</v>
      </c>
      <c r="G2680" s="315"/>
    </row>
    <row r="2681" spans="1:7" x14ac:dyDescent="0.25">
      <c r="A2681" s="319" t="str">
        <f t="shared" si="78"/>
        <v>I.2.2.02.0419</v>
      </c>
      <c r="B2681" s="319">
        <v>9</v>
      </c>
      <c r="C2681" s="394" t="str">
        <f>IFERROR(VLOOKUP(A2681,[3]DOORSCRIEFT!$A$2:$G$8551,2,FALSE),"")</f>
        <v/>
      </c>
      <c r="D2681" s="393" t="str">
        <f>IFERROR(VLOOKUP(A2681,[3]DOORSCRIEFT!$A$2:$G$8551,3,FALSE),"")</f>
        <v/>
      </c>
      <c r="E2681" s="392" t="str">
        <f>IFERROR(VLOOKUP(A2681,[3]DOORSCRIEFT!$A$2:$G$8551,4,FALSE),"")</f>
        <v/>
      </c>
      <c r="F2681" s="397" t="str">
        <f>IFERROR(VLOOKUP(A2681,[3]DOORSCRIEFT!$A$2:$G$8551,6,FALSE),"")</f>
        <v/>
      </c>
      <c r="G2681" s="315"/>
    </row>
    <row r="2682" spans="1:7" x14ac:dyDescent="0.25">
      <c r="A2682" s="319" t="str">
        <f t="shared" si="78"/>
        <v>I.2.2.02.04110</v>
      </c>
      <c r="B2682" s="319">
        <v>10</v>
      </c>
      <c r="C2682" s="394" t="str">
        <f>IFERROR(VLOOKUP(A2682,[3]DOORSCRIEFT!$A$2:$G$8551,2,FALSE),"")</f>
        <v/>
      </c>
      <c r="D2682" s="393" t="str">
        <f>IFERROR(VLOOKUP(A2682,[3]DOORSCRIEFT!$A$2:$G$8551,3,FALSE),"")</f>
        <v/>
      </c>
      <c r="E2682" s="392" t="str">
        <f>IFERROR(VLOOKUP(A2682,[3]DOORSCRIEFT!$A$2:$G$8551,4,FALSE),"")</f>
        <v/>
      </c>
      <c r="F2682" s="397" t="str">
        <f>IFERROR(VLOOKUP(A2682,[3]DOORSCRIEFT!$A$2:$G$8551,6,FALSE),"")</f>
        <v/>
      </c>
      <c r="G2682" s="315"/>
    </row>
    <row r="2683" spans="1:7" x14ac:dyDescent="0.25">
      <c r="A2683" s="319" t="str">
        <f t="shared" si="78"/>
        <v>I.2.2.02.04111</v>
      </c>
      <c r="B2683" s="319">
        <v>11</v>
      </c>
      <c r="C2683" s="394" t="str">
        <f>IFERROR(VLOOKUP(A2683,[3]DOORSCRIEFT!$A$2:$G$8551,2,FALSE),"")</f>
        <v/>
      </c>
      <c r="D2683" s="393" t="str">
        <f>IFERROR(VLOOKUP(A2683,[3]DOORSCRIEFT!$A$2:$G$8551,3,FALSE),"")</f>
        <v/>
      </c>
      <c r="E2683" s="392" t="str">
        <f>IFERROR(VLOOKUP(A2683,[3]DOORSCRIEFT!$A$2:$G$8551,4,FALSE),"")</f>
        <v/>
      </c>
      <c r="F2683" s="397" t="str">
        <f>IFERROR(VLOOKUP(A2683,[3]DOORSCRIEFT!$A$2:$G$8551,6,FALSE),"")</f>
        <v/>
      </c>
      <c r="G2683" s="315"/>
    </row>
    <row r="2684" spans="1:7" x14ac:dyDescent="0.25">
      <c r="A2684" s="319" t="str">
        <f t="shared" si="78"/>
        <v>I.2.2.02.04112</v>
      </c>
      <c r="B2684" s="319">
        <v>12</v>
      </c>
      <c r="C2684" s="394" t="str">
        <f>IFERROR(VLOOKUP(A2684,[3]DOORSCRIEFT!$A$2:$G$8551,2,FALSE),"")</f>
        <v/>
      </c>
      <c r="D2684" s="393" t="str">
        <f>IFERROR(VLOOKUP(A2684,[3]DOORSCRIEFT!$A$2:$G$8551,3,FALSE),"")</f>
        <v/>
      </c>
      <c r="E2684" s="392" t="str">
        <f>IFERROR(VLOOKUP(A2684,[3]DOORSCRIEFT!$A$2:$G$8551,4,FALSE),"")</f>
        <v/>
      </c>
      <c r="F2684" s="397" t="str">
        <f>IFERROR(VLOOKUP(A2684,[3]DOORSCRIEFT!$A$2:$G$8551,6,FALSE),"")</f>
        <v/>
      </c>
      <c r="G2684" s="315"/>
    </row>
    <row r="2685" spans="1:7" x14ac:dyDescent="0.25">
      <c r="A2685" s="319" t="str">
        <f t="shared" si="78"/>
        <v>I.2.2.02.04113</v>
      </c>
      <c r="B2685" s="319">
        <v>13</v>
      </c>
      <c r="C2685" s="394" t="str">
        <f>IFERROR(VLOOKUP(A2685,[3]DOORSCRIEFT!$A$2:$G$8551,2,FALSE),"")</f>
        <v/>
      </c>
      <c r="D2685" s="393" t="str">
        <f>IFERROR(VLOOKUP(A2685,[3]DOORSCRIEFT!$A$2:$G$8551,3,FALSE),"")</f>
        <v/>
      </c>
      <c r="E2685" s="392" t="str">
        <f>IFERROR(VLOOKUP(A2685,[3]DOORSCRIEFT!$A$2:$G$8551,4,FALSE),"")</f>
        <v/>
      </c>
      <c r="F2685" s="397" t="str">
        <f>IFERROR(VLOOKUP(A2685,[3]DOORSCRIEFT!$A$2:$G$8551,6,FALSE),"")</f>
        <v/>
      </c>
      <c r="G2685" s="315"/>
    </row>
    <row r="2686" spans="1:7" x14ac:dyDescent="0.25">
      <c r="A2686" s="319" t="str">
        <f t="shared" si="78"/>
        <v>I.2.2.02.04114</v>
      </c>
      <c r="B2686" s="319">
        <v>14</v>
      </c>
      <c r="C2686" s="394" t="str">
        <f>IFERROR(VLOOKUP(A2686,[3]DOORSCRIEFT!$A$2:$G$8551,2,FALSE),"")</f>
        <v/>
      </c>
      <c r="D2686" s="393" t="str">
        <f>IFERROR(VLOOKUP(A2686,[3]DOORSCRIEFT!$A$2:$G$8551,3,FALSE),"")</f>
        <v/>
      </c>
      <c r="E2686" s="392" t="str">
        <f>IFERROR(VLOOKUP(A2686,[3]DOORSCRIEFT!$A$2:$G$8551,4,FALSE),"")</f>
        <v/>
      </c>
      <c r="F2686" s="397" t="str">
        <f>IFERROR(VLOOKUP(A2686,[3]DOORSCRIEFT!$A$2:$G$8551,6,FALSE),"")</f>
        <v/>
      </c>
      <c r="G2686" s="315"/>
    </row>
    <row r="2687" spans="1:7" x14ac:dyDescent="0.25">
      <c r="A2687" s="319" t="str">
        <f t="shared" si="78"/>
        <v>I.2.2.02.04115</v>
      </c>
      <c r="B2687" s="319">
        <v>15</v>
      </c>
      <c r="C2687" s="394" t="str">
        <f>IFERROR(VLOOKUP(A2687,[3]DOORSCRIEFT!$A$2:$G$8551,2,FALSE),"")</f>
        <v/>
      </c>
      <c r="D2687" s="393" t="str">
        <f>IFERROR(VLOOKUP(A2687,[3]DOORSCRIEFT!$A$2:$G$8551,3,FALSE),"")</f>
        <v/>
      </c>
      <c r="E2687" s="392" t="str">
        <f>IFERROR(VLOOKUP(A2687,[3]DOORSCRIEFT!$A$2:$G$8551,4,FALSE),"")</f>
        <v/>
      </c>
      <c r="F2687" s="397" t="str">
        <f>IFERROR(VLOOKUP(A2687,[3]DOORSCRIEFT!$A$2:$G$8551,6,FALSE),"")</f>
        <v/>
      </c>
      <c r="G2687" s="315"/>
    </row>
    <row r="2688" spans="1:7" x14ac:dyDescent="0.25">
      <c r="A2688" s="319" t="str">
        <f t="shared" si="78"/>
        <v>I.2.2.02.04116</v>
      </c>
      <c r="B2688" s="319">
        <v>16</v>
      </c>
      <c r="C2688" s="394" t="str">
        <f>IFERROR(VLOOKUP(A2688,[3]DOORSCRIEFT!$A$2:$G$8551,2,FALSE),"")</f>
        <v/>
      </c>
      <c r="D2688" s="393" t="str">
        <f>IFERROR(VLOOKUP(A2688,[3]DOORSCRIEFT!$A$2:$G$8551,3,FALSE),"")</f>
        <v/>
      </c>
      <c r="E2688" s="392" t="str">
        <f>IFERROR(VLOOKUP(A2688,[3]DOORSCRIEFT!$A$2:$G$8551,4,FALSE),"")</f>
        <v/>
      </c>
      <c r="F2688" s="397" t="str">
        <f>IFERROR(VLOOKUP(A2688,[3]DOORSCRIEFT!$A$2:$G$8551,6,FALSE),"")</f>
        <v/>
      </c>
      <c r="G2688" s="315"/>
    </row>
    <row r="2689" spans="1:7" x14ac:dyDescent="0.25">
      <c r="A2689" s="319" t="str">
        <f t="shared" si="78"/>
        <v>I.2.2.02.04117</v>
      </c>
      <c r="B2689" s="319">
        <v>17</v>
      </c>
      <c r="C2689" s="394" t="str">
        <f>IFERROR(VLOOKUP(A2689,[3]DOORSCRIEFT!$A$2:$G$8551,2,FALSE),"")</f>
        <v/>
      </c>
      <c r="D2689" s="393" t="str">
        <f>IFERROR(VLOOKUP(A2689,[3]DOORSCRIEFT!$A$2:$G$8551,3,FALSE),"")</f>
        <v/>
      </c>
      <c r="E2689" s="392" t="str">
        <f>IFERROR(VLOOKUP(A2689,[3]DOORSCRIEFT!$A$2:$G$8551,4,FALSE),"")</f>
        <v/>
      </c>
      <c r="F2689" s="397" t="str">
        <f>IFERROR(VLOOKUP(A2689,[3]DOORSCRIEFT!$A$2:$G$8551,6,FALSE),"")</f>
        <v/>
      </c>
      <c r="G2689" s="315"/>
    </row>
    <row r="2690" spans="1:7" x14ac:dyDescent="0.25">
      <c r="A2690" s="319" t="str">
        <f t="shared" si="78"/>
        <v>I.2.2.02.04118</v>
      </c>
      <c r="B2690" s="319">
        <v>18</v>
      </c>
      <c r="C2690" s="394" t="str">
        <f>IFERROR(VLOOKUP(A2690,[3]DOORSCRIEFT!$A$2:$G$8551,2,FALSE),"")</f>
        <v/>
      </c>
      <c r="D2690" s="393" t="str">
        <f>IFERROR(VLOOKUP(A2690,[3]DOORSCRIEFT!$A$2:$G$8551,3,FALSE),"")</f>
        <v/>
      </c>
      <c r="E2690" s="392" t="str">
        <f>IFERROR(VLOOKUP(A2690,[3]DOORSCRIEFT!$A$2:$G$8551,4,FALSE),"")</f>
        <v/>
      </c>
      <c r="F2690" s="397" t="str">
        <f>IFERROR(VLOOKUP(A2690,[3]DOORSCRIEFT!$A$2:$G$8551,6,FALSE),"")</f>
        <v/>
      </c>
      <c r="G2690" s="315"/>
    </row>
    <row r="2691" spans="1:7" x14ac:dyDescent="0.25">
      <c r="A2691" s="319" t="str">
        <f t="shared" si="78"/>
        <v>I.2.2.02.04119</v>
      </c>
      <c r="B2691" s="319">
        <v>19</v>
      </c>
      <c r="C2691" s="394" t="str">
        <f>IFERROR(VLOOKUP(A2691,[3]DOORSCRIEFT!$A$2:$G$8551,2,FALSE),"")</f>
        <v/>
      </c>
      <c r="D2691" s="393" t="str">
        <f>IFERROR(VLOOKUP(A2691,[3]DOORSCRIEFT!$A$2:$G$8551,3,FALSE),"")</f>
        <v/>
      </c>
      <c r="E2691" s="392" t="str">
        <f>IFERROR(VLOOKUP(A2691,[3]DOORSCRIEFT!$A$2:$G$8551,4,FALSE),"")</f>
        <v/>
      </c>
      <c r="F2691" s="397" t="str">
        <f>IFERROR(VLOOKUP(A2691,[3]DOORSCRIEFT!$A$2:$G$8551,6,FALSE),"")</f>
        <v/>
      </c>
      <c r="G2691" s="315"/>
    </row>
    <row r="2692" spans="1:7" x14ac:dyDescent="0.25">
      <c r="A2692" s="319" t="str">
        <f t="shared" si="78"/>
        <v>I.2.2.02.04120</v>
      </c>
      <c r="B2692" s="319">
        <v>20</v>
      </c>
      <c r="C2692" s="394" t="str">
        <f>IFERROR(VLOOKUP(A2692,[3]DOORSCRIEFT!$A$2:$G$8551,2,FALSE),"")</f>
        <v/>
      </c>
      <c r="D2692" s="393" t="str">
        <f>IFERROR(VLOOKUP(A2692,[3]DOORSCRIEFT!$A$2:$G$8551,3,FALSE),"")</f>
        <v/>
      </c>
      <c r="E2692" s="392" t="str">
        <f>IFERROR(VLOOKUP(A2692,[3]DOORSCRIEFT!$A$2:$G$8551,4,FALSE),"")</f>
        <v/>
      </c>
      <c r="F2692" s="397" t="str">
        <f>IFERROR(VLOOKUP(A2692,[3]DOORSCRIEFT!$A$2:$G$8551,6,FALSE),"")</f>
        <v/>
      </c>
      <c r="G2692" s="315"/>
    </row>
    <row r="2693" spans="1:7" x14ac:dyDescent="0.25">
      <c r="A2693" s="319" t="str">
        <f t="shared" si="78"/>
        <v>I.2.2.02.04121</v>
      </c>
      <c r="B2693" s="319">
        <v>21</v>
      </c>
      <c r="C2693" s="394" t="str">
        <f>IFERROR(VLOOKUP(A2693,[3]DOORSCRIEFT!$A$2:$G$8551,2,FALSE),"")</f>
        <v/>
      </c>
      <c r="D2693" s="393" t="str">
        <f>IFERROR(VLOOKUP(A2693,[3]DOORSCRIEFT!$A$2:$G$8551,3,FALSE),"")</f>
        <v/>
      </c>
      <c r="E2693" s="392" t="str">
        <f>IFERROR(VLOOKUP(A2693,[3]DOORSCRIEFT!$A$2:$G$8551,4,FALSE),"")</f>
        <v/>
      </c>
      <c r="F2693" s="397" t="str">
        <f>IFERROR(VLOOKUP(A2693,[3]DOORSCRIEFT!$A$2:$G$8551,6,FALSE),"")</f>
        <v/>
      </c>
      <c r="G2693" s="315"/>
    </row>
    <row r="2694" spans="1:7" x14ac:dyDescent="0.25">
      <c r="A2694" s="319" t="str">
        <f t="shared" si="78"/>
        <v>I.2.2.02.04122</v>
      </c>
      <c r="B2694" s="319">
        <v>22</v>
      </c>
      <c r="C2694" s="394" t="str">
        <f>IFERROR(VLOOKUP(A2694,[3]DOORSCRIEFT!$A$2:$G$8551,2,FALSE),"")</f>
        <v/>
      </c>
      <c r="D2694" s="393" t="str">
        <f>IFERROR(VLOOKUP(A2694,[3]DOORSCRIEFT!$A$2:$G$8551,3,FALSE),"")</f>
        <v/>
      </c>
      <c r="E2694" s="392" t="str">
        <f>IFERROR(VLOOKUP(A2694,[3]DOORSCRIEFT!$A$2:$G$8551,4,FALSE),"")</f>
        <v/>
      </c>
      <c r="F2694" s="397" t="str">
        <f>IFERROR(VLOOKUP(A2694,[3]DOORSCRIEFT!$A$2:$G$8551,6,FALSE),"")</f>
        <v/>
      </c>
      <c r="G2694" s="315"/>
    </row>
    <row r="2695" spans="1:7" x14ac:dyDescent="0.25">
      <c r="A2695" s="319" t="str">
        <f t="shared" si="78"/>
        <v>I.2.2.02.04123</v>
      </c>
      <c r="B2695" s="319">
        <v>23</v>
      </c>
      <c r="C2695" s="394" t="str">
        <f>IFERROR(VLOOKUP(A2695,[3]DOORSCRIEFT!$A$2:$G$8551,2,FALSE),"")</f>
        <v/>
      </c>
      <c r="D2695" s="393" t="str">
        <f>IFERROR(VLOOKUP(A2695,[3]DOORSCRIEFT!$A$2:$G$8551,3,FALSE),"")</f>
        <v/>
      </c>
      <c r="E2695" s="392" t="str">
        <f>IFERROR(VLOOKUP(A2695,[3]DOORSCRIEFT!$A$2:$G$8551,4,FALSE),"")</f>
        <v/>
      </c>
      <c r="F2695" s="397" t="str">
        <f>IFERROR(VLOOKUP(A2695,[3]DOORSCRIEFT!$A$2:$G$8551,6,FALSE),"")</f>
        <v/>
      </c>
      <c r="G2695" s="315"/>
    </row>
    <row r="2696" spans="1:7" x14ac:dyDescent="0.25">
      <c r="A2696" s="319" t="str">
        <f t="shared" si="78"/>
        <v>I.2.2.02.04124</v>
      </c>
      <c r="B2696" s="319">
        <v>24</v>
      </c>
      <c r="C2696" s="394" t="str">
        <f>IFERROR(VLOOKUP(A2696,[3]DOORSCRIEFT!$A$2:$G$8551,2,FALSE),"")</f>
        <v/>
      </c>
      <c r="D2696" s="393" t="str">
        <f>IFERROR(VLOOKUP(A2696,[3]DOORSCRIEFT!$A$2:$G$8551,3,FALSE),"")</f>
        <v/>
      </c>
      <c r="E2696" s="392" t="str">
        <f>IFERROR(VLOOKUP(A2696,[3]DOORSCRIEFT!$A$2:$G$8551,4,FALSE),"")</f>
        <v/>
      </c>
      <c r="F2696" s="397" t="str">
        <f>IFERROR(VLOOKUP(A2696,[3]DOORSCRIEFT!$A$2:$G$8551,6,FALSE),"")</f>
        <v/>
      </c>
      <c r="G2696" s="315"/>
    </row>
    <row r="2697" spans="1:7" x14ac:dyDescent="0.25">
      <c r="A2697" s="319" t="str">
        <f t="shared" si="78"/>
        <v>I.2.2.02.04125</v>
      </c>
      <c r="B2697" s="319">
        <v>25</v>
      </c>
      <c r="C2697" s="394" t="str">
        <f>IFERROR(VLOOKUP(A2697,[3]DOORSCRIEFT!$A$2:$G$8551,2,FALSE),"")</f>
        <v/>
      </c>
      <c r="D2697" s="393" t="str">
        <f>IFERROR(VLOOKUP(A2697,[3]DOORSCRIEFT!$A$2:$G$8551,3,FALSE),"")</f>
        <v/>
      </c>
      <c r="E2697" s="392" t="str">
        <f>IFERROR(VLOOKUP(A2697,[3]DOORSCRIEFT!$A$2:$G$8551,4,FALSE),"")</f>
        <v/>
      </c>
      <c r="F2697" s="397" t="str">
        <f>IFERROR(VLOOKUP(A2697,[3]DOORSCRIEFT!$A$2:$G$8551,6,FALSE),"")</f>
        <v/>
      </c>
      <c r="G2697" s="315"/>
    </row>
    <row r="2698" spans="1:7" x14ac:dyDescent="0.25">
      <c r="A2698" s="319" t="str">
        <f t="shared" si="78"/>
        <v>I.2.2.02.04126</v>
      </c>
      <c r="B2698" s="319">
        <v>26</v>
      </c>
      <c r="C2698" s="394" t="str">
        <f>IFERROR(VLOOKUP(A2698,[3]DOORSCRIEFT!$A$2:$G$8551,2,FALSE),"")</f>
        <v/>
      </c>
      <c r="D2698" s="393" t="str">
        <f>IFERROR(VLOOKUP(A2698,[3]DOORSCRIEFT!$A$2:$G$8551,3,FALSE),"")</f>
        <v/>
      </c>
      <c r="E2698" s="392" t="str">
        <f>IFERROR(VLOOKUP(A2698,[3]DOORSCRIEFT!$A$2:$G$8551,4,FALSE),"")</f>
        <v/>
      </c>
      <c r="F2698" s="397" t="str">
        <f>IFERROR(VLOOKUP(A2698,[3]DOORSCRIEFT!$A$2:$G$8551,6,FALSE),"")</f>
        <v/>
      </c>
      <c r="G2698" s="315"/>
    </row>
    <row r="2699" spans="1:7" x14ac:dyDescent="0.25">
      <c r="A2699" s="319" t="str">
        <f t="shared" si="78"/>
        <v>I.2.2.02.04127</v>
      </c>
      <c r="B2699" s="319">
        <v>27</v>
      </c>
      <c r="C2699" s="394" t="str">
        <f>IFERROR(VLOOKUP(A2699,[3]DOORSCRIEFT!$A$2:$G$8551,2,FALSE),"")</f>
        <v/>
      </c>
      <c r="D2699" s="393" t="str">
        <f>IFERROR(VLOOKUP(A2699,[3]DOORSCRIEFT!$A$2:$G$8551,3,FALSE),"")</f>
        <v/>
      </c>
      <c r="E2699" s="392" t="str">
        <f>IFERROR(VLOOKUP(A2699,[3]DOORSCRIEFT!$A$2:$G$8551,4,FALSE),"")</f>
        <v/>
      </c>
      <c r="F2699" s="397" t="str">
        <f>IFERROR(VLOOKUP(A2699,[3]DOORSCRIEFT!$A$2:$G$8551,6,FALSE),"")</f>
        <v/>
      </c>
      <c r="G2699" s="315"/>
    </row>
    <row r="2700" spans="1:7" x14ac:dyDescent="0.25">
      <c r="A2700" s="319" t="str">
        <f t="shared" si="78"/>
        <v>I.2.2.02.04128</v>
      </c>
      <c r="B2700" s="319">
        <v>28</v>
      </c>
      <c r="C2700" s="394" t="str">
        <f>IFERROR(VLOOKUP(A2700,[3]DOORSCRIEFT!$A$2:$G$8551,2,FALSE),"")</f>
        <v/>
      </c>
      <c r="D2700" s="393" t="str">
        <f>IFERROR(VLOOKUP(A2700,[3]DOORSCRIEFT!$A$2:$G$8551,3,FALSE),"")</f>
        <v/>
      </c>
      <c r="E2700" s="392" t="str">
        <f>IFERROR(VLOOKUP(A2700,[3]DOORSCRIEFT!$A$2:$G$8551,4,FALSE),"")</f>
        <v/>
      </c>
      <c r="F2700" s="397" t="str">
        <f>IFERROR(VLOOKUP(A2700,[3]DOORSCRIEFT!$A$2:$G$8551,6,FALSE),"")</f>
        <v/>
      </c>
      <c r="G2700" s="315"/>
    </row>
    <row r="2701" spans="1:7" x14ac:dyDescent="0.25">
      <c r="A2701" s="319" t="str">
        <f t="shared" si="78"/>
        <v>I.2.2.02.04129</v>
      </c>
      <c r="B2701" s="319">
        <v>29</v>
      </c>
      <c r="C2701" s="394" t="str">
        <f>IFERROR(VLOOKUP(A2701,[3]DOORSCRIEFT!$A$2:$G$8551,2,FALSE),"")</f>
        <v/>
      </c>
      <c r="D2701" s="393" t="str">
        <f>IFERROR(VLOOKUP(A2701,[3]DOORSCRIEFT!$A$2:$G$8551,3,FALSE),"")</f>
        <v/>
      </c>
      <c r="E2701" s="392" t="str">
        <f>IFERROR(VLOOKUP(A2701,[3]DOORSCRIEFT!$A$2:$G$8551,4,FALSE),"")</f>
        <v/>
      </c>
      <c r="F2701" s="397" t="str">
        <f>IFERROR(VLOOKUP(A2701,[3]DOORSCRIEFT!$A$2:$G$8551,6,FALSE),"")</f>
        <v/>
      </c>
      <c r="G2701" s="315"/>
    </row>
    <row r="2702" spans="1:7" x14ac:dyDescent="0.25">
      <c r="A2702" s="319" t="str">
        <f t="shared" si="78"/>
        <v>I.2.2.02.04130</v>
      </c>
      <c r="B2702" s="319">
        <v>30</v>
      </c>
      <c r="C2702" s="394" t="str">
        <f>IFERROR(VLOOKUP(A2702,[3]DOORSCRIEFT!$A$2:$G$8551,2,FALSE),"")</f>
        <v/>
      </c>
      <c r="D2702" s="393" t="str">
        <f>IFERROR(VLOOKUP(A2702,[3]DOORSCRIEFT!$A$2:$G$8551,3,FALSE),"")</f>
        <v/>
      </c>
      <c r="E2702" s="392" t="str">
        <f>IFERROR(VLOOKUP(A2702,[3]DOORSCRIEFT!$A$2:$G$8551,4,FALSE),"")</f>
        <v/>
      </c>
      <c r="F2702" s="397" t="str">
        <f>IFERROR(VLOOKUP(A2702,[3]DOORSCRIEFT!$A$2:$G$8551,6,FALSE),"")</f>
        <v/>
      </c>
      <c r="G2702" s="315"/>
    </row>
    <row r="2703" spans="1:7" x14ac:dyDescent="0.25">
      <c r="A2703" s="319" t="str">
        <f t="shared" si="78"/>
        <v>I.2.2.02.04131</v>
      </c>
      <c r="B2703" s="319">
        <v>31</v>
      </c>
      <c r="C2703" s="394" t="str">
        <f>IFERROR(VLOOKUP(A2703,[3]DOORSCRIEFT!$A$2:$G$8551,2,FALSE),"")</f>
        <v/>
      </c>
      <c r="D2703" s="393" t="str">
        <f>IFERROR(VLOOKUP(A2703,[3]DOORSCRIEFT!$A$2:$G$8551,3,FALSE),"")</f>
        <v/>
      </c>
      <c r="E2703" s="392" t="str">
        <f>IFERROR(VLOOKUP(A2703,[3]DOORSCRIEFT!$A$2:$G$8551,4,FALSE),"")</f>
        <v/>
      </c>
      <c r="F2703" s="397" t="str">
        <f>IFERROR(VLOOKUP(A2703,[3]DOORSCRIEFT!$A$2:$G$8551,6,FALSE),"")</f>
        <v/>
      </c>
      <c r="G2703" s="315"/>
    </row>
    <row r="2704" spans="1:7" x14ac:dyDescent="0.25">
      <c r="A2704" s="319" t="str">
        <f t="shared" si="78"/>
        <v>I.2.2.02.04132</v>
      </c>
      <c r="B2704" s="319">
        <v>32</v>
      </c>
      <c r="C2704" s="394" t="str">
        <f>IFERROR(VLOOKUP(A2704,[3]DOORSCRIEFT!$A$2:$G$8551,2,FALSE),"")</f>
        <v/>
      </c>
      <c r="D2704" s="393" t="str">
        <f>IFERROR(VLOOKUP(A2704,[3]DOORSCRIEFT!$A$2:$G$8551,3,FALSE),"")</f>
        <v/>
      </c>
      <c r="E2704" s="392" t="str">
        <f>IFERROR(VLOOKUP(A2704,[3]DOORSCRIEFT!$A$2:$G$8551,4,FALSE),"")</f>
        <v/>
      </c>
      <c r="F2704" s="397" t="str">
        <f>IFERROR(VLOOKUP(A2704,[3]DOORSCRIEFT!$A$2:$G$8551,6,FALSE),"")</f>
        <v/>
      </c>
      <c r="G2704" s="315"/>
    </row>
    <row r="2705" spans="1:7" x14ac:dyDescent="0.25">
      <c r="A2705" s="319" t="str">
        <f t="shared" si="78"/>
        <v>I.2.2.02.04133</v>
      </c>
      <c r="B2705" s="319">
        <v>33</v>
      </c>
      <c r="C2705" s="394" t="str">
        <f>IFERROR(VLOOKUP(A2705,[3]DOORSCRIEFT!$A$2:$G$8551,2,FALSE),"")</f>
        <v/>
      </c>
      <c r="D2705" s="393" t="str">
        <f>IFERROR(VLOOKUP(A2705,[3]DOORSCRIEFT!$A$2:$G$8551,3,FALSE),"")</f>
        <v/>
      </c>
      <c r="E2705" s="392" t="str">
        <f>IFERROR(VLOOKUP(A2705,[3]DOORSCRIEFT!$A$2:$G$8551,4,FALSE),"")</f>
        <v/>
      </c>
      <c r="F2705" s="397" t="str">
        <f>IFERROR(VLOOKUP(A2705,[3]DOORSCRIEFT!$A$2:$G$8551,6,FALSE),"")</f>
        <v/>
      </c>
      <c r="G2705" s="315"/>
    </row>
    <row r="2706" spans="1:7" x14ac:dyDescent="0.25">
      <c r="A2706" s="319" t="str">
        <f t="shared" si="78"/>
        <v>I.2.2.02.04134</v>
      </c>
      <c r="B2706" s="319">
        <v>34</v>
      </c>
      <c r="C2706" s="394" t="str">
        <f>IFERROR(VLOOKUP(A2706,[3]DOORSCRIEFT!$A$2:$G$8551,2,FALSE),"")</f>
        <v/>
      </c>
      <c r="D2706" s="393" t="str">
        <f>IFERROR(VLOOKUP(A2706,[3]DOORSCRIEFT!$A$2:$G$8551,3,FALSE),"")</f>
        <v/>
      </c>
      <c r="E2706" s="392" t="str">
        <f>IFERROR(VLOOKUP(A2706,[3]DOORSCRIEFT!$A$2:$G$8551,4,FALSE),"")</f>
        <v/>
      </c>
      <c r="F2706" s="397" t="str">
        <f>IFERROR(VLOOKUP(A2706,[3]DOORSCRIEFT!$A$2:$G$8551,6,FALSE),"")</f>
        <v/>
      </c>
      <c r="G2706" s="315"/>
    </row>
    <row r="2707" spans="1:7" ht="15.75" thickBot="1" x14ac:dyDescent="0.3">
      <c r="A2707" s="345" t="str">
        <f t="shared" si="78"/>
        <v>I.2.2.02.04135</v>
      </c>
      <c r="B2707" s="345">
        <v>35</v>
      </c>
      <c r="C2707" s="394" t="str">
        <f>IFERROR(VLOOKUP(A2707,[3]DOORSCRIEFT!$A$2:$G$8551,2,FALSE),"")</f>
        <v/>
      </c>
      <c r="D2707" s="393" t="str">
        <f>IFERROR(VLOOKUP(A2707,[3]DOORSCRIEFT!$A$2:$G$8551,3,FALSE),"")</f>
        <v/>
      </c>
      <c r="E2707" s="392" t="str">
        <f>IFERROR(VLOOKUP(A2707,[3]DOORSCRIEFT!$A$2:$G$8551,4,FALSE),"")</f>
        <v/>
      </c>
      <c r="F2707" s="397" t="str">
        <f>IFERROR(VLOOKUP(A2707,[3]DOORSCRIEFT!$A$2:$G$8551,6,FALSE),"")</f>
        <v/>
      </c>
      <c r="G2707" s="315"/>
    </row>
    <row r="2708" spans="1:7" ht="15.75" thickBot="1" x14ac:dyDescent="0.3">
      <c r="A2708" s="344"/>
      <c r="B2708" s="343"/>
      <c r="C2708" s="336"/>
      <c r="D2708" s="312"/>
      <c r="E2708" s="311" t="s">
        <v>644</v>
      </c>
      <c r="F2708" s="310">
        <f>SUM(F2673:F2707)</f>
        <v>1666000</v>
      </c>
      <c r="G2708" s="309">
        <f>SUM(G2673:G2707)</f>
        <v>0</v>
      </c>
    </row>
    <row r="2709" spans="1:7" x14ac:dyDescent="0.25">
      <c r="C2709" s="335"/>
    </row>
    <row r="2710" spans="1:7" x14ac:dyDescent="0.25">
      <c r="C2710" s="335"/>
    </row>
    <row r="2711" spans="1:7" ht="15.75" x14ac:dyDescent="0.25">
      <c r="C2711" s="334"/>
      <c r="D2711" s="333"/>
      <c r="E2711" s="332"/>
      <c r="F2711" s="327" t="s">
        <v>607</v>
      </c>
      <c r="G2711" s="327" t="s">
        <v>464</v>
      </c>
    </row>
    <row r="2712" spans="1:7" ht="15.75" x14ac:dyDescent="0.25">
      <c r="C2712" s="334"/>
      <c r="D2712" s="333"/>
      <c r="E2712" s="332"/>
      <c r="F2712" s="327" t="s">
        <v>601</v>
      </c>
      <c r="G2712" s="327" t="s">
        <v>463</v>
      </c>
    </row>
    <row r="2713" spans="1:7" x14ac:dyDescent="0.25">
      <c r="C2713" s="330"/>
      <c r="D2713" s="329"/>
      <c r="E2713" s="328"/>
      <c r="F2713" s="327" t="s">
        <v>651</v>
      </c>
      <c r="G2713" s="331">
        <f>[2]Sheet1!$D$69</f>
        <v>11000000</v>
      </c>
    </row>
    <row r="2714" spans="1:7" ht="15.75" thickBot="1" x14ac:dyDescent="0.3">
      <c r="C2714" s="330"/>
      <c r="D2714" s="329"/>
      <c r="E2714" s="328"/>
      <c r="F2714" s="327" t="s">
        <v>650</v>
      </c>
      <c r="G2714" s="326">
        <f>+F2756-G2713</f>
        <v>-6530000</v>
      </c>
    </row>
    <row r="2715" spans="1:7" x14ac:dyDescent="0.25">
      <c r="A2715" s="571" t="s">
        <v>626</v>
      </c>
      <c r="B2715" s="584" t="s">
        <v>606</v>
      </c>
      <c r="C2715" s="588" t="s">
        <v>649</v>
      </c>
      <c r="D2715" s="577" t="s">
        <v>648</v>
      </c>
      <c r="E2715" s="577" t="s">
        <v>647</v>
      </c>
      <c r="F2715" s="577" t="s">
        <v>646</v>
      </c>
      <c r="G2715" s="580" t="s">
        <v>645</v>
      </c>
    </row>
    <row r="2716" spans="1:7" ht="15.75" thickBot="1" x14ac:dyDescent="0.3">
      <c r="A2716" s="572"/>
      <c r="B2716" s="585"/>
      <c r="C2716" s="589"/>
      <c r="D2716" s="586"/>
      <c r="E2716" s="586"/>
      <c r="F2716" s="586"/>
      <c r="G2716" s="587"/>
    </row>
    <row r="2717" spans="1:7" ht="15.75" thickBot="1" x14ac:dyDescent="0.3">
      <c r="A2717" s="325">
        <v>1</v>
      </c>
      <c r="B2717" s="324">
        <v>2</v>
      </c>
      <c r="C2717" s="324">
        <v>3</v>
      </c>
      <c r="D2717" s="324">
        <v>4</v>
      </c>
      <c r="E2717" s="324">
        <v>5</v>
      </c>
      <c r="F2717" s="324">
        <v>6</v>
      </c>
      <c r="G2717" s="323">
        <v>7</v>
      </c>
    </row>
    <row r="2718" spans="1:7" x14ac:dyDescent="0.25">
      <c r="A2718" s="339" t="str">
        <f t="shared" ref="A2718:A2755" si="79">$G$2711&amp;B2718</f>
        <v>I.2.2.02.0421</v>
      </c>
      <c r="B2718" s="339">
        <v>1</v>
      </c>
      <c r="C2718" s="394">
        <f>IFERROR(VLOOKUP(A2718,[3]DOORSCRIEFT!$A$2:$G$8551,2,FALSE),"")</f>
        <v>61</v>
      </c>
      <c r="D2718" s="393">
        <f>IFERROR(VLOOKUP(A2718,[3]DOORSCRIEFT!$A$2:$G$8551,3,FALSE),"")</f>
        <v>46038</v>
      </c>
      <c r="E2718" s="392" t="str">
        <f>IFERROR(VLOOKUP(A2718,[3]DOORSCRIEFT!$A$2:$G$8551,4,FALSE),"")</f>
        <v>Kolekta Pemberkatan Nikah Kel. Tahalea dan Pattirane</v>
      </c>
      <c r="F2718" s="397">
        <f>IFERROR(VLOOKUP(A2718,[3]DOORSCRIEFT!$A$2:$G$8551,6,FALSE),"")</f>
        <v>407000</v>
      </c>
      <c r="G2718" s="322"/>
    </row>
    <row r="2719" spans="1:7" x14ac:dyDescent="0.25">
      <c r="A2719" s="319" t="str">
        <f t="shared" si="79"/>
        <v>I.2.2.02.0422</v>
      </c>
      <c r="B2719" s="319">
        <v>2</v>
      </c>
      <c r="C2719" s="394">
        <f>IFERROR(VLOOKUP(A2719,[3]DOORSCRIEFT!$A$2:$G$8551,2,FALSE),"")</f>
        <v>219</v>
      </c>
      <c r="D2719" s="393">
        <f>IFERROR(VLOOKUP(A2719,[3]DOORSCRIEFT!$A$2:$G$8551,3,FALSE),"")</f>
        <v>46073</v>
      </c>
      <c r="E2719" s="392" t="str">
        <f>IFERROR(VLOOKUP(A2719,[3]DOORSCRIEFT!$A$2:$G$8551,4,FALSE),"")</f>
        <v>Kolekta Kebaktian Syukur Peneguhan Nikah Kel. Harmusial Pattipawae</v>
      </c>
      <c r="F2719" s="397">
        <f>IFERROR(VLOOKUP(A2719,[3]DOORSCRIEFT!$A$2:$G$8551,6,FALSE),"")</f>
        <v>170000</v>
      </c>
      <c r="G2719" s="315"/>
    </row>
    <row r="2720" spans="1:7" x14ac:dyDescent="0.25">
      <c r="A2720" s="319" t="str">
        <f t="shared" si="79"/>
        <v>I.2.2.02.0423</v>
      </c>
      <c r="B2720" s="319">
        <v>3</v>
      </c>
      <c r="C2720" s="394">
        <f>IFERROR(VLOOKUP(A2720,[3]DOORSCRIEFT!$A$2:$G$8551,2,FALSE),"")</f>
        <v>259</v>
      </c>
      <c r="D2720" s="393">
        <f>IFERROR(VLOOKUP(A2720,[3]DOORSCRIEFT!$A$2:$G$8551,3,FALSE),"")</f>
        <v>46075</v>
      </c>
      <c r="E2720" s="392" t="str">
        <f>IFERROR(VLOOKUP(A2720,[3]DOORSCRIEFT!$A$2:$G$8551,4,FALSE),"")</f>
        <v>Kolekta Kebaktian Syukur Peneguhan Nikah Kel. Suitela, Kel. Tahapary dan Kel. Peleuw</v>
      </c>
      <c r="F2720" s="397">
        <f>IFERROR(VLOOKUP(A2720,[3]DOORSCRIEFT!$A$2:$G$8551,6,FALSE),"")</f>
        <v>2149000</v>
      </c>
      <c r="G2720" s="315"/>
    </row>
    <row r="2721" spans="1:7" x14ac:dyDescent="0.25">
      <c r="A2721" s="319" t="str">
        <f t="shared" si="79"/>
        <v>I.2.2.02.0424</v>
      </c>
      <c r="B2721" s="319">
        <v>4</v>
      </c>
      <c r="C2721" s="394">
        <f>IFERROR(VLOOKUP(A2721,[3]DOORSCRIEFT!$A$2:$G$8551,2,FALSE),"")</f>
        <v>385</v>
      </c>
      <c r="D2721" s="393">
        <f>IFERROR(VLOOKUP(A2721,[3]DOORSCRIEFT!$A$2:$G$8551,3,FALSE),"")</f>
        <v>46101</v>
      </c>
      <c r="E2721" s="392" t="str">
        <f>IFERROR(VLOOKUP(A2721,[3]DOORSCRIEFT!$A$2:$G$8551,4,FALSE),"")</f>
        <v>Kolekta Kebaktian Syukur Peneguhan Nikah Kel. Silaya/Sahalessy</v>
      </c>
      <c r="F2721" s="397">
        <f>IFERROR(VLOOKUP(A2721,[3]DOORSCRIEFT!$A$2:$G$8551,6,FALSE),"")</f>
        <v>846000</v>
      </c>
      <c r="G2721" s="315"/>
    </row>
    <row r="2722" spans="1:7" x14ac:dyDescent="0.25">
      <c r="A2722" s="319" t="str">
        <f t="shared" si="79"/>
        <v>I.2.2.02.0425</v>
      </c>
      <c r="B2722" s="319">
        <v>5</v>
      </c>
      <c r="C2722" s="394">
        <f>IFERROR(VLOOKUP(A2722,[3]DOORSCRIEFT!$A$2:$G$8551,2,FALSE),"")</f>
        <v>386</v>
      </c>
      <c r="D2722" s="393">
        <f>IFERROR(VLOOKUP(A2722,[3]DOORSCRIEFT!$A$2:$G$8551,3,FALSE),"")</f>
        <v>46101</v>
      </c>
      <c r="E2722" s="392" t="str">
        <f>IFERROR(VLOOKUP(A2722,[3]DOORSCRIEFT!$A$2:$G$8551,4,FALSE),"")</f>
        <v>Kolekta Kebaktian Syukur Peneguhan Nikah Kel. Teslatu</v>
      </c>
      <c r="F2722" s="397">
        <f>IFERROR(VLOOKUP(A2722,[3]DOORSCRIEFT!$A$2:$G$8551,6,FALSE),"")</f>
        <v>464000</v>
      </c>
      <c r="G2722" s="315"/>
    </row>
    <row r="2723" spans="1:7" x14ac:dyDescent="0.25">
      <c r="A2723" s="319" t="str">
        <f t="shared" si="79"/>
        <v>I.2.2.02.0426</v>
      </c>
      <c r="B2723" s="319">
        <v>6</v>
      </c>
      <c r="C2723" s="394">
        <f>IFERROR(VLOOKUP(A2723,[3]DOORSCRIEFT!$A$2:$G$8551,2,FALSE),"")</f>
        <v>433</v>
      </c>
      <c r="D2723" s="393">
        <f>IFERROR(VLOOKUP(A2723,[3]DOORSCRIEFT!$A$2:$G$8551,3,FALSE),"")</f>
        <v>46103</v>
      </c>
      <c r="E2723" s="392" t="str">
        <f>IFERROR(VLOOKUP(A2723,[3]DOORSCRIEFT!$A$2:$G$8551,4,FALSE),"")</f>
        <v>Kolekta Kebaktian Syukur Peneguhan Nikah Kel. da Costa/Dahaklory</v>
      </c>
      <c r="F2723" s="397">
        <f>IFERROR(VLOOKUP(A2723,[3]DOORSCRIEFT!$A$2:$G$8551,6,FALSE),"")</f>
        <v>434000</v>
      </c>
      <c r="G2723" s="315"/>
    </row>
    <row r="2724" spans="1:7" x14ac:dyDescent="0.25">
      <c r="A2724" s="319" t="str">
        <f t="shared" si="79"/>
        <v>I.2.2.02.0427</v>
      </c>
      <c r="B2724" s="319">
        <v>7</v>
      </c>
      <c r="C2724" s="394" t="str">
        <f>IFERROR(VLOOKUP(A2724,[3]DOORSCRIEFT!$A$2:$G$8551,2,FALSE),"")</f>
        <v/>
      </c>
      <c r="D2724" s="393" t="str">
        <f>IFERROR(VLOOKUP(A2724,[3]DOORSCRIEFT!$A$2:$G$8551,3,FALSE),"")</f>
        <v/>
      </c>
      <c r="E2724" s="392" t="str">
        <f>IFERROR(VLOOKUP(A2724,[3]DOORSCRIEFT!$A$2:$G$8551,4,FALSE),"")</f>
        <v/>
      </c>
      <c r="F2724" s="397" t="str">
        <f>IFERROR(VLOOKUP(A2724,[3]DOORSCRIEFT!$A$2:$G$8551,6,FALSE),"")</f>
        <v/>
      </c>
      <c r="G2724" s="315"/>
    </row>
    <row r="2725" spans="1:7" x14ac:dyDescent="0.25">
      <c r="A2725" s="319" t="str">
        <f t="shared" si="79"/>
        <v>I.2.2.02.0428</v>
      </c>
      <c r="B2725" s="319">
        <v>8</v>
      </c>
      <c r="C2725" s="394" t="str">
        <f>IFERROR(VLOOKUP(A2725,[3]DOORSCRIEFT!$A$2:$G$8551,2,FALSE),"")</f>
        <v/>
      </c>
      <c r="D2725" s="393" t="str">
        <f>IFERROR(VLOOKUP(A2725,[3]DOORSCRIEFT!$A$2:$G$8551,3,FALSE),"")</f>
        <v/>
      </c>
      <c r="E2725" s="392" t="str">
        <f>IFERROR(VLOOKUP(A2725,[3]DOORSCRIEFT!$A$2:$G$8551,4,FALSE),"")</f>
        <v/>
      </c>
      <c r="F2725" s="397" t="str">
        <f>IFERROR(VLOOKUP(A2725,[3]DOORSCRIEFT!$A$2:$G$8551,6,FALSE),"")</f>
        <v/>
      </c>
      <c r="G2725" s="315"/>
    </row>
    <row r="2726" spans="1:7" x14ac:dyDescent="0.25">
      <c r="A2726" s="319" t="str">
        <f t="shared" si="79"/>
        <v>I.2.2.02.0429</v>
      </c>
      <c r="B2726" s="319">
        <v>9</v>
      </c>
      <c r="C2726" s="394" t="str">
        <f>IFERROR(VLOOKUP(A2726,[3]DOORSCRIEFT!$A$2:$G$8551,2,FALSE),"")</f>
        <v/>
      </c>
      <c r="D2726" s="393" t="str">
        <f>IFERROR(VLOOKUP(A2726,[3]DOORSCRIEFT!$A$2:$G$8551,3,FALSE),"")</f>
        <v/>
      </c>
      <c r="E2726" s="392" t="str">
        <f>IFERROR(VLOOKUP(A2726,[3]DOORSCRIEFT!$A$2:$G$8551,4,FALSE),"")</f>
        <v/>
      </c>
      <c r="F2726" s="397" t="str">
        <f>IFERROR(VLOOKUP(A2726,[3]DOORSCRIEFT!$A$2:$G$8551,6,FALSE),"")</f>
        <v/>
      </c>
      <c r="G2726" s="315"/>
    </row>
    <row r="2727" spans="1:7" x14ac:dyDescent="0.25">
      <c r="A2727" s="319" t="str">
        <f t="shared" si="79"/>
        <v>I.2.2.02.04210</v>
      </c>
      <c r="B2727" s="319">
        <v>10</v>
      </c>
      <c r="C2727" s="394" t="str">
        <f>IFERROR(VLOOKUP(A2727,[3]DOORSCRIEFT!$A$2:$G$8551,2,FALSE),"")</f>
        <v/>
      </c>
      <c r="D2727" s="393" t="str">
        <f>IFERROR(VLOOKUP(A2727,[3]DOORSCRIEFT!$A$2:$G$8551,3,FALSE),"")</f>
        <v/>
      </c>
      <c r="E2727" s="392" t="str">
        <f>IFERROR(VLOOKUP(A2727,[3]DOORSCRIEFT!$A$2:$G$8551,4,FALSE),"")</f>
        <v/>
      </c>
      <c r="F2727" s="397" t="str">
        <f>IFERROR(VLOOKUP(A2727,[3]DOORSCRIEFT!$A$2:$G$8551,6,FALSE),"")</f>
        <v/>
      </c>
      <c r="G2727" s="315"/>
    </row>
    <row r="2728" spans="1:7" x14ac:dyDescent="0.25">
      <c r="A2728" s="319" t="str">
        <f t="shared" si="79"/>
        <v>I.2.2.02.04211</v>
      </c>
      <c r="B2728" s="319">
        <v>11</v>
      </c>
      <c r="C2728" s="394" t="str">
        <f>IFERROR(VLOOKUP(A2728,[3]DOORSCRIEFT!$A$2:$G$8551,2,FALSE),"")</f>
        <v/>
      </c>
      <c r="D2728" s="393" t="str">
        <f>IFERROR(VLOOKUP(A2728,[3]DOORSCRIEFT!$A$2:$G$8551,3,FALSE),"")</f>
        <v/>
      </c>
      <c r="E2728" s="392" t="str">
        <f>IFERROR(VLOOKUP(A2728,[3]DOORSCRIEFT!$A$2:$G$8551,4,FALSE),"")</f>
        <v/>
      </c>
      <c r="F2728" s="397" t="str">
        <f>IFERROR(VLOOKUP(A2728,[3]DOORSCRIEFT!$A$2:$G$8551,6,FALSE),"")</f>
        <v/>
      </c>
      <c r="G2728" s="315"/>
    </row>
    <row r="2729" spans="1:7" x14ac:dyDescent="0.25">
      <c r="A2729" s="319" t="str">
        <f t="shared" si="79"/>
        <v>I.2.2.02.04212</v>
      </c>
      <c r="B2729" s="319">
        <v>12</v>
      </c>
      <c r="C2729" s="394" t="str">
        <f>IFERROR(VLOOKUP(A2729,[3]DOORSCRIEFT!$A$2:$G$8551,2,FALSE),"")</f>
        <v/>
      </c>
      <c r="D2729" s="393" t="str">
        <f>IFERROR(VLOOKUP(A2729,[3]DOORSCRIEFT!$A$2:$G$8551,3,FALSE),"")</f>
        <v/>
      </c>
      <c r="E2729" s="392" t="str">
        <f>IFERROR(VLOOKUP(A2729,[3]DOORSCRIEFT!$A$2:$G$8551,4,FALSE),"")</f>
        <v/>
      </c>
      <c r="F2729" s="397" t="str">
        <f>IFERROR(VLOOKUP(A2729,[3]DOORSCRIEFT!$A$2:$G$8551,6,FALSE),"")</f>
        <v/>
      </c>
      <c r="G2729" s="315"/>
    </row>
    <row r="2730" spans="1:7" x14ac:dyDescent="0.25">
      <c r="A2730" s="319" t="str">
        <f t="shared" si="79"/>
        <v>I.2.2.02.04213</v>
      </c>
      <c r="B2730" s="319">
        <v>13</v>
      </c>
      <c r="C2730" s="394" t="str">
        <f>IFERROR(VLOOKUP(A2730,[3]DOORSCRIEFT!$A$2:$G$8551,2,FALSE),"")</f>
        <v/>
      </c>
      <c r="D2730" s="393" t="str">
        <f>IFERROR(VLOOKUP(A2730,[3]DOORSCRIEFT!$A$2:$G$8551,3,FALSE),"")</f>
        <v/>
      </c>
      <c r="E2730" s="392" t="str">
        <f>IFERROR(VLOOKUP(A2730,[3]DOORSCRIEFT!$A$2:$G$8551,4,FALSE),"")</f>
        <v/>
      </c>
      <c r="F2730" s="397" t="str">
        <f>IFERROR(VLOOKUP(A2730,[3]DOORSCRIEFT!$A$2:$G$8551,6,FALSE),"")</f>
        <v/>
      </c>
      <c r="G2730" s="315"/>
    </row>
    <row r="2731" spans="1:7" x14ac:dyDescent="0.25">
      <c r="A2731" s="319" t="str">
        <f t="shared" si="79"/>
        <v>I.2.2.02.04214</v>
      </c>
      <c r="B2731" s="319">
        <v>14</v>
      </c>
      <c r="C2731" s="394" t="str">
        <f>IFERROR(VLOOKUP(A2731,[3]DOORSCRIEFT!$A$2:$G$8551,2,FALSE),"")</f>
        <v/>
      </c>
      <c r="D2731" s="393" t="str">
        <f>IFERROR(VLOOKUP(A2731,[3]DOORSCRIEFT!$A$2:$G$8551,3,FALSE),"")</f>
        <v/>
      </c>
      <c r="E2731" s="392" t="str">
        <f>IFERROR(VLOOKUP(A2731,[3]DOORSCRIEFT!$A$2:$G$8551,4,FALSE),"")</f>
        <v/>
      </c>
      <c r="F2731" s="397" t="str">
        <f>IFERROR(VLOOKUP(A2731,[3]DOORSCRIEFT!$A$2:$G$8551,6,FALSE),"")</f>
        <v/>
      </c>
      <c r="G2731" s="315"/>
    </row>
    <row r="2732" spans="1:7" x14ac:dyDescent="0.25">
      <c r="A2732" s="319" t="str">
        <f t="shared" si="79"/>
        <v>I.2.2.02.04215</v>
      </c>
      <c r="B2732" s="319">
        <v>15</v>
      </c>
      <c r="C2732" s="394" t="str">
        <f>IFERROR(VLOOKUP(A2732,[3]DOORSCRIEFT!$A$2:$G$8551,2,FALSE),"")</f>
        <v/>
      </c>
      <c r="D2732" s="393" t="str">
        <f>IFERROR(VLOOKUP(A2732,[3]DOORSCRIEFT!$A$2:$G$8551,3,FALSE),"")</f>
        <v/>
      </c>
      <c r="E2732" s="392" t="str">
        <f>IFERROR(VLOOKUP(A2732,[3]DOORSCRIEFT!$A$2:$G$8551,4,FALSE),"")</f>
        <v/>
      </c>
      <c r="F2732" s="397" t="str">
        <f>IFERROR(VLOOKUP(A2732,[3]DOORSCRIEFT!$A$2:$G$8551,6,FALSE),"")</f>
        <v/>
      </c>
      <c r="G2732" s="315"/>
    </row>
    <row r="2733" spans="1:7" x14ac:dyDescent="0.25">
      <c r="A2733" s="319" t="str">
        <f t="shared" si="79"/>
        <v>I.2.2.02.04216</v>
      </c>
      <c r="B2733" s="319">
        <v>16</v>
      </c>
      <c r="C2733" s="394" t="str">
        <f>IFERROR(VLOOKUP(A2733,[3]DOORSCRIEFT!$A$2:$G$8551,2,FALSE),"")</f>
        <v/>
      </c>
      <c r="D2733" s="393" t="str">
        <f>IFERROR(VLOOKUP(A2733,[3]DOORSCRIEFT!$A$2:$G$8551,3,FALSE),"")</f>
        <v/>
      </c>
      <c r="E2733" s="392" t="str">
        <f>IFERROR(VLOOKUP(A2733,[3]DOORSCRIEFT!$A$2:$G$8551,4,FALSE),"")</f>
        <v/>
      </c>
      <c r="F2733" s="397" t="str">
        <f>IFERROR(VLOOKUP(A2733,[3]DOORSCRIEFT!$A$2:$G$8551,6,FALSE),"")</f>
        <v/>
      </c>
      <c r="G2733" s="315"/>
    </row>
    <row r="2734" spans="1:7" x14ac:dyDescent="0.25">
      <c r="A2734" s="319" t="str">
        <f t="shared" si="79"/>
        <v>I.2.2.02.04217</v>
      </c>
      <c r="B2734" s="319">
        <v>17</v>
      </c>
      <c r="C2734" s="394" t="str">
        <f>IFERROR(VLOOKUP(A2734,[3]DOORSCRIEFT!$A$2:$G$8551,2,FALSE),"")</f>
        <v/>
      </c>
      <c r="D2734" s="393" t="str">
        <f>IFERROR(VLOOKUP(A2734,[3]DOORSCRIEFT!$A$2:$G$8551,3,FALSE),"")</f>
        <v/>
      </c>
      <c r="E2734" s="392" t="str">
        <f>IFERROR(VLOOKUP(A2734,[3]DOORSCRIEFT!$A$2:$G$8551,4,FALSE),"")</f>
        <v/>
      </c>
      <c r="F2734" s="397" t="str">
        <f>IFERROR(VLOOKUP(A2734,[3]DOORSCRIEFT!$A$2:$G$8551,6,FALSE),"")</f>
        <v/>
      </c>
      <c r="G2734" s="315"/>
    </row>
    <row r="2735" spans="1:7" x14ac:dyDescent="0.25">
      <c r="A2735" s="319" t="str">
        <f t="shared" si="79"/>
        <v>I.2.2.02.04218</v>
      </c>
      <c r="B2735" s="319">
        <v>18</v>
      </c>
      <c r="C2735" s="394" t="str">
        <f>IFERROR(VLOOKUP(A2735,[3]DOORSCRIEFT!$A$2:$G$8551,2,FALSE),"")</f>
        <v/>
      </c>
      <c r="D2735" s="393" t="str">
        <f>IFERROR(VLOOKUP(A2735,[3]DOORSCRIEFT!$A$2:$G$8551,3,FALSE),"")</f>
        <v/>
      </c>
      <c r="E2735" s="392" t="str">
        <f>IFERROR(VLOOKUP(A2735,[3]DOORSCRIEFT!$A$2:$G$8551,4,FALSE),"")</f>
        <v/>
      </c>
      <c r="F2735" s="397" t="str">
        <f>IFERROR(VLOOKUP(A2735,[3]DOORSCRIEFT!$A$2:$G$8551,6,FALSE),"")</f>
        <v/>
      </c>
      <c r="G2735" s="315"/>
    </row>
    <row r="2736" spans="1:7" x14ac:dyDescent="0.25">
      <c r="A2736" s="319" t="str">
        <f t="shared" si="79"/>
        <v>I.2.2.02.04219</v>
      </c>
      <c r="B2736" s="319">
        <v>19</v>
      </c>
      <c r="C2736" s="394" t="str">
        <f>IFERROR(VLOOKUP(A2736,[3]DOORSCRIEFT!$A$2:$G$8551,2,FALSE),"")</f>
        <v/>
      </c>
      <c r="D2736" s="393" t="str">
        <f>IFERROR(VLOOKUP(A2736,[3]DOORSCRIEFT!$A$2:$G$8551,3,FALSE),"")</f>
        <v/>
      </c>
      <c r="E2736" s="392" t="str">
        <f>IFERROR(VLOOKUP(A2736,[3]DOORSCRIEFT!$A$2:$G$8551,4,FALSE),"")</f>
        <v/>
      </c>
      <c r="F2736" s="397" t="str">
        <f>IFERROR(VLOOKUP(A2736,[3]DOORSCRIEFT!$A$2:$G$8551,6,FALSE),"")</f>
        <v/>
      </c>
      <c r="G2736" s="315"/>
    </row>
    <row r="2737" spans="1:7" x14ac:dyDescent="0.25">
      <c r="A2737" s="319" t="str">
        <f t="shared" si="79"/>
        <v>I.2.2.02.04220</v>
      </c>
      <c r="B2737" s="319">
        <v>20</v>
      </c>
      <c r="C2737" s="394" t="str">
        <f>IFERROR(VLOOKUP(A2737,[3]DOORSCRIEFT!$A$2:$G$8551,2,FALSE),"")</f>
        <v/>
      </c>
      <c r="D2737" s="393" t="str">
        <f>IFERROR(VLOOKUP(A2737,[3]DOORSCRIEFT!$A$2:$G$8551,3,FALSE),"")</f>
        <v/>
      </c>
      <c r="E2737" s="392" t="str">
        <f>IFERROR(VLOOKUP(A2737,[3]DOORSCRIEFT!$A$2:$G$8551,4,FALSE),"")</f>
        <v/>
      </c>
      <c r="F2737" s="397" t="str">
        <f>IFERROR(VLOOKUP(A2737,[3]DOORSCRIEFT!$A$2:$G$8551,6,FALSE),"")</f>
        <v/>
      </c>
      <c r="G2737" s="315"/>
    </row>
    <row r="2738" spans="1:7" x14ac:dyDescent="0.25">
      <c r="A2738" s="319" t="str">
        <f t="shared" si="79"/>
        <v>I.2.2.02.04221</v>
      </c>
      <c r="B2738" s="319">
        <v>21</v>
      </c>
      <c r="C2738" s="394" t="str">
        <f>IFERROR(VLOOKUP(A2738,[3]DOORSCRIEFT!$A$2:$G$8551,2,FALSE),"")</f>
        <v/>
      </c>
      <c r="D2738" s="393" t="str">
        <f>IFERROR(VLOOKUP(A2738,[3]DOORSCRIEFT!$A$2:$G$8551,3,FALSE),"")</f>
        <v/>
      </c>
      <c r="E2738" s="392" t="str">
        <f>IFERROR(VLOOKUP(A2738,[3]DOORSCRIEFT!$A$2:$G$8551,4,FALSE),"")</f>
        <v/>
      </c>
      <c r="F2738" s="397" t="str">
        <f>IFERROR(VLOOKUP(A2738,[3]DOORSCRIEFT!$A$2:$G$8551,6,FALSE),"")</f>
        <v/>
      </c>
      <c r="G2738" s="315"/>
    </row>
    <row r="2739" spans="1:7" x14ac:dyDescent="0.25">
      <c r="A2739" s="319" t="str">
        <f t="shared" si="79"/>
        <v>I.2.2.02.04222</v>
      </c>
      <c r="B2739" s="319">
        <v>22</v>
      </c>
      <c r="C2739" s="394" t="str">
        <f>IFERROR(VLOOKUP(A2739,[3]DOORSCRIEFT!$A$2:$G$8551,2,FALSE),"")</f>
        <v/>
      </c>
      <c r="D2739" s="393" t="str">
        <f>IFERROR(VLOOKUP(A2739,[3]DOORSCRIEFT!$A$2:$G$8551,3,FALSE),"")</f>
        <v/>
      </c>
      <c r="E2739" s="392" t="str">
        <f>IFERROR(VLOOKUP(A2739,[3]DOORSCRIEFT!$A$2:$G$8551,4,FALSE),"")</f>
        <v/>
      </c>
      <c r="F2739" s="397" t="str">
        <f>IFERROR(VLOOKUP(A2739,[3]DOORSCRIEFT!$A$2:$G$8551,6,FALSE),"")</f>
        <v/>
      </c>
      <c r="G2739" s="315"/>
    </row>
    <row r="2740" spans="1:7" x14ac:dyDescent="0.25">
      <c r="A2740" s="319" t="str">
        <f t="shared" si="79"/>
        <v>I.2.2.02.04223</v>
      </c>
      <c r="B2740" s="319">
        <v>23</v>
      </c>
      <c r="C2740" s="394" t="str">
        <f>IFERROR(VLOOKUP(A2740,[3]DOORSCRIEFT!$A$2:$G$8551,2,FALSE),"")</f>
        <v/>
      </c>
      <c r="D2740" s="393" t="str">
        <f>IFERROR(VLOOKUP(A2740,[3]DOORSCRIEFT!$A$2:$G$8551,3,FALSE),"")</f>
        <v/>
      </c>
      <c r="E2740" s="392" t="str">
        <f>IFERROR(VLOOKUP(A2740,[3]DOORSCRIEFT!$A$2:$G$8551,4,FALSE),"")</f>
        <v/>
      </c>
      <c r="F2740" s="397" t="str">
        <f>IFERROR(VLOOKUP(A2740,[3]DOORSCRIEFT!$A$2:$G$8551,6,FALSE),"")</f>
        <v/>
      </c>
      <c r="G2740" s="315"/>
    </row>
    <row r="2741" spans="1:7" x14ac:dyDescent="0.25">
      <c r="A2741" s="319" t="str">
        <f t="shared" si="79"/>
        <v>I.2.2.02.04224</v>
      </c>
      <c r="B2741" s="319">
        <v>24</v>
      </c>
      <c r="C2741" s="394" t="str">
        <f>IFERROR(VLOOKUP(A2741,[3]DOORSCRIEFT!$A$2:$G$8551,2,FALSE),"")</f>
        <v/>
      </c>
      <c r="D2741" s="393" t="str">
        <f>IFERROR(VLOOKUP(A2741,[3]DOORSCRIEFT!$A$2:$G$8551,3,FALSE),"")</f>
        <v/>
      </c>
      <c r="E2741" s="392" t="str">
        <f>IFERROR(VLOOKUP(A2741,[3]DOORSCRIEFT!$A$2:$G$8551,4,FALSE),"")</f>
        <v/>
      </c>
      <c r="F2741" s="397" t="str">
        <f>IFERROR(VLOOKUP(A2741,[3]DOORSCRIEFT!$A$2:$G$8551,6,FALSE),"")</f>
        <v/>
      </c>
      <c r="G2741" s="315"/>
    </row>
    <row r="2742" spans="1:7" x14ac:dyDescent="0.25">
      <c r="A2742" s="319" t="str">
        <f t="shared" si="79"/>
        <v>I.2.2.02.04225</v>
      </c>
      <c r="B2742" s="319">
        <v>25</v>
      </c>
      <c r="C2742" s="394" t="str">
        <f>IFERROR(VLOOKUP(A2742,[3]DOORSCRIEFT!$A$2:$G$8551,2,FALSE),"")</f>
        <v/>
      </c>
      <c r="D2742" s="393" t="str">
        <f>IFERROR(VLOOKUP(A2742,[3]DOORSCRIEFT!$A$2:$G$8551,3,FALSE),"")</f>
        <v/>
      </c>
      <c r="E2742" s="392" t="str">
        <f>IFERROR(VLOOKUP(A2742,[3]DOORSCRIEFT!$A$2:$G$8551,4,FALSE),"")</f>
        <v/>
      </c>
      <c r="F2742" s="397" t="str">
        <f>IFERROR(VLOOKUP(A2742,[3]DOORSCRIEFT!$A$2:$G$8551,6,FALSE),"")</f>
        <v/>
      </c>
      <c r="G2742" s="315"/>
    </row>
    <row r="2743" spans="1:7" x14ac:dyDescent="0.25">
      <c r="A2743" s="319" t="str">
        <f t="shared" si="79"/>
        <v>I.2.2.02.04226</v>
      </c>
      <c r="B2743" s="319">
        <v>26</v>
      </c>
      <c r="C2743" s="394" t="str">
        <f>IFERROR(VLOOKUP(A2743,[3]DOORSCRIEFT!$A$2:$G$8551,2,FALSE),"")</f>
        <v/>
      </c>
      <c r="D2743" s="393" t="str">
        <f>IFERROR(VLOOKUP(A2743,[3]DOORSCRIEFT!$A$2:$G$8551,3,FALSE),"")</f>
        <v/>
      </c>
      <c r="E2743" s="392" t="str">
        <f>IFERROR(VLOOKUP(A2743,[3]DOORSCRIEFT!$A$2:$G$8551,4,FALSE),"")</f>
        <v/>
      </c>
      <c r="F2743" s="397" t="str">
        <f>IFERROR(VLOOKUP(A2743,[3]DOORSCRIEFT!$A$2:$G$8551,6,FALSE),"")</f>
        <v/>
      </c>
      <c r="G2743" s="315"/>
    </row>
    <row r="2744" spans="1:7" x14ac:dyDescent="0.25">
      <c r="A2744" s="319" t="str">
        <f t="shared" si="79"/>
        <v>I.2.2.02.04227</v>
      </c>
      <c r="B2744" s="319">
        <v>27</v>
      </c>
      <c r="C2744" s="394" t="str">
        <f>IFERROR(VLOOKUP(A2744,[3]DOORSCRIEFT!$A$2:$G$8551,2,FALSE),"")</f>
        <v/>
      </c>
      <c r="D2744" s="393" t="str">
        <f>IFERROR(VLOOKUP(A2744,[3]DOORSCRIEFT!$A$2:$G$8551,3,FALSE),"")</f>
        <v/>
      </c>
      <c r="E2744" s="392" t="str">
        <f>IFERROR(VLOOKUP(A2744,[3]DOORSCRIEFT!$A$2:$G$8551,4,FALSE),"")</f>
        <v/>
      </c>
      <c r="F2744" s="397" t="str">
        <f>IFERROR(VLOOKUP(A2744,[3]DOORSCRIEFT!$A$2:$G$8551,6,FALSE),"")</f>
        <v/>
      </c>
      <c r="G2744" s="315"/>
    </row>
    <row r="2745" spans="1:7" x14ac:dyDescent="0.25">
      <c r="A2745" s="319" t="str">
        <f t="shared" si="79"/>
        <v>I.2.2.02.04228</v>
      </c>
      <c r="B2745" s="319">
        <v>28</v>
      </c>
      <c r="C2745" s="394" t="str">
        <f>IFERROR(VLOOKUP(A2745,[3]DOORSCRIEFT!$A$2:$G$8551,2,FALSE),"")</f>
        <v/>
      </c>
      <c r="D2745" s="393" t="str">
        <f>IFERROR(VLOOKUP(A2745,[3]DOORSCRIEFT!$A$2:$G$8551,3,FALSE),"")</f>
        <v/>
      </c>
      <c r="E2745" s="392" t="str">
        <f>IFERROR(VLOOKUP(A2745,[3]DOORSCRIEFT!$A$2:$G$8551,4,FALSE),"")</f>
        <v/>
      </c>
      <c r="F2745" s="397" t="str">
        <f>IFERROR(VLOOKUP(A2745,[3]DOORSCRIEFT!$A$2:$G$8551,6,FALSE),"")</f>
        <v/>
      </c>
      <c r="G2745" s="315"/>
    </row>
    <row r="2746" spans="1:7" x14ac:dyDescent="0.25">
      <c r="A2746" s="319" t="str">
        <f t="shared" si="79"/>
        <v>I.2.2.02.04229</v>
      </c>
      <c r="B2746" s="319">
        <v>29</v>
      </c>
      <c r="C2746" s="394" t="str">
        <f>IFERROR(VLOOKUP(A2746,[3]DOORSCRIEFT!$A$2:$G$8551,2,FALSE),"")</f>
        <v/>
      </c>
      <c r="D2746" s="393" t="str">
        <f>IFERROR(VLOOKUP(A2746,[3]DOORSCRIEFT!$A$2:$G$8551,3,FALSE),"")</f>
        <v/>
      </c>
      <c r="E2746" s="392" t="str">
        <f>IFERROR(VLOOKUP(A2746,[3]DOORSCRIEFT!$A$2:$G$8551,4,FALSE),"")</f>
        <v/>
      </c>
      <c r="F2746" s="397" t="str">
        <f>IFERROR(VLOOKUP(A2746,[3]DOORSCRIEFT!$A$2:$G$8551,6,FALSE),"")</f>
        <v/>
      </c>
      <c r="G2746" s="315"/>
    </row>
    <row r="2747" spans="1:7" x14ac:dyDescent="0.25">
      <c r="A2747" s="319" t="str">
        <f t="shared" si="79"/>
        <v>I.2.2.02.04230</v>
      </c>
      <c r="B2747" s="319">
        <v>30</v>
      </c>
      <c r="C2747" s="394" t="str">
        <f>IFERROR(VLOOKUP(A2747,[3]DOORSCRIEFT!$A$2:$G$8551,2,FALSE),"")</f>
        <v/>
      </c>
      <c r="D2747" s="393" t="str">
        <f>IFERROR(VLOOKUP(A2747,[3]DOORSCRIEFT!$A$2:$G$8551,3,FALSE),"")</f>
        <v/>
      </c>
      <c r="E2747" s="392" t="str">
        <f>IFERROR(VLOOKUP(A2747,[3]DOORSCRIEFT!$A$2:$G$8551,4,FALSE),"")</f>
        <v/>
      </c>
      <c r="F2747" s="397" t="str">
        <f>IFERROR(VLOOKUP(A2747,[3]DOORSCRIEFT!$A$2:$G$8551,6,FALSE),"")</f>
        <v/>
      </c>
      <c r="G2747" s="315"/>
    </row>
    <row r="2748" spans="1:7" x14ac:dyDescent="0.25">
      <c r="A2748" s="319" t="str">
        <f t="shared" si="79"/>
        <v>I.2.2.02.04231</v>
      </c>
      <c r="B2748" s="319">
        <v>31</v>
      </c>
      <c r="C2748" s="394" t="str">
        <f>IFERROR(VLOOKUP(A2748,[3]DOORSCRIEFT!$A$2:$G$8551,2,FALSE),"")</f>
        <v/>
      </c>
      <c r="D2748" s="393" t="str">
        <f>IFERROR(VLOOKUP(A2748,[3]DOORSCRIEFT!$A$2:$G$8551,3,FALSE),"")</f>
        <v/>
      </c>
      <c r="E2748" s="392" t="str">
        <f>IFERROR(VLOOKUP(A2748,[3]DOORSCRIEFT!$A$2:$G$8551,4,FALSE),"")</f>
        <v/>
      </c>
      <c r="F2748" s="397" t="str">
        <f>IFERROR(VLOOKUP(A2748,[3]DOORSCRIEFT!$A$2:$G$8551,6,FALSE),"")</f>
        <v/>
      </c>
      <c r="G2748" s="315"/>
    </row>
    <row r="2749" spans="1:7" x14ac:dyDescent="0.25">
      <c r="A2749" s="319" t="str">
        <f t="shared" si="79"/>
        <v>I.2.2.02.04232</v>
      </c>
      <c r="B2749" s="319">
        <v>32</v>
      </c>
      <c r="C2749" s="394" t="str">
        <f>IFERROR(VLOOKUP(A2749,[3]DOORSCRIEFT!$A$2:$G$8551,2,FALSE),"")</f>
        <v/>
      </c>
      <c r="D2749" s="393" t="str">
        <f>IFERROR(VLOOKUP(A2749,[3]DOORSCRIEFT!$A$2:$G$8551,3,FALSE),"")</f>
        <v/>
      </c>
      <c r="E2749" s="392" t="str">
        <f>IFERROR(VLOOKUP(A2749,[3]DOORSCRIEFT!$A$2:$G$8551,4,FALSE),"")</f>
        <v/>
      </c>
      <c r="F2749" s="397" t="str">
        <f>IFERROR(VLOOKUP(A2749,[3]DOORSCRIEFT!$A$2:$G$8551,6,FALSE),"")</f>
        <v/>
      </c>
      <c r="G2749" s="315"/>
    </row>
    <row r="2750" spans="1:7" x14ac:dyDescent="0.25">
      <c r="A2750" s="319" t="str">
        <f t="shared" si="79"/>
        <v>I.2.2.02.04233</v>
      </c>
      <c r="B2750" s="319">
        <v>33</v>
      </c>
      <c r="C2750" s="394" t="str">
        <f>IFERROR(VLOOKUP(A2750,[3]DOORSCRIEFT!$A$2:$G$8551,2,FALSE),"")</f>
        <v/>
      </c>
      <c r="D2750" s="393" t="str">
        <f>IFERROR(VLOOKUP(A2750,[3]DOORSCRIEFT!$A$2:$G$8551,3,FALSE),"")</f>
        <v/>
      </c>
      <c r="E2750" s="392" t="str">
        <f>IFERROR(VLOOKUP(A2750,[3]DOORSCRIEFT!$A$2:$G$8551,4,FALSE),"")</f>
        <v/>
      </c>
      <c r="F2750" s="397" t="str">
        <f>IFERROR(VLOOKUP(A2750,[3]DOORSCRIEFT!$A$2:$G$8551,6,FALSE),"")</f>
        <v/>
      </c>
      <c r="G2750" s="315"/>
    </row>
    <row r="2751" spans="1:7" x14ac:dyDescent="0.25">
      <c r="A2751" s="319" t="str">
        <f t="shared" si="79"/>
        <v>I.2.2.02.04234</v>
      </c>
      <c r="B2751" s="319">
        <v>34</v>
      </c>
      <c r="C2751" s="394" t="str">
        <f>IFERROR(VLOOKUP(A2751,[3]DOORSCRIEFT!$A$2:$G$8551,2,FALSE),"")</f>
        <v/>
      </c>
      <c r="D2751" s="393" t="str">
        <f>IFERROR(VLOOKUP(A2751,[3]DOORSCRIEFT!$A$2:$G$8551,3,FALSE),"")</f>
        <v/>
      </c>
      <c r="E2751" s="392" t="str">
        <f>IFERROR(VLOOKUP(A2751,[3]DOORSCRIEFT!$A$2:$G$8551,4,FALSE),"")</f>
        <v/>
      </c>
      <c r="F2751" s="397" t="str">
        <f>IFERROR(VLOOKUP(A2751,[3]DOORSCRIEFT!$A$2:$G$8551,6,FALSE),"")</f>
        <v/>
      </c>
      <c r="G2751" s="315"/>
    </row>
    <row r="2752" spans="1:7" x14ac:dyDescent="0.25">
      <c r="A2752" s="319" t="str">
        <f t="shared" si="79"/>
        <v>I.2.2.02.04235</v>
      </c>
      <c r="B2752" s="319">
        <v>35</v>
      </c>
      <c r="C2752" s="394" t="str">
        <f>IFERROR(VLOOKUP(A2752,[3]DOORSCRIEFT!$A$2:$G$8551,2,FALSE),"")</f>
        <v/>
      </c>
      <c r="D2752" s="393" t="str">
        <f>IFERROR(VLOOKUP(A2752,[3]DOORSCRIEFT!$A$2:$G$8551,3,FALSE),"")</f>
        <v/>
      </c>
      <c r="E2752" s="392" t="str">
        <f>IFERROR(VLOOKUP(A2752,[3]DOORSCRIEFT!$A$2:$G$8551,4,FALSE),"")</f>
        <v/>
      </c>
      <c r="F2752" s="397" t="str">
        <f>IFERROR(VLOOKUP(A2752,[3]DOORSCRIEFT!$A$2:$G$8551,6,FALSE),"")</f>
        <v/>
      </c>
      <c r="G2752" s="315"/>
    </row>
    <row r="2753" spans="1:7" x14ac:dyDescent="0.25">
      <c r="A2753" s="319" t="str">
        <f t="shared" si="79"/>
        <v>I.2.2.02.04236</v>
      </c>
      <c r="B2753" s="319">
        <v>36</v>
      </c>
      <c r="C2753" s="394" t="str">
        <f>IFERROR(VLOOKUP(A2753,[3]DOORSCRIEFT!$A$2:$G$8551,2,FALSE),"")</f>
        <v/>
      </c>
      <c r="D2753" s="393" t="str">
        <f>IFERROR(VLOOKUP(A2753,[3]DOORSCRIEFT!$A$2:$G$8551,3,FALSE),"")</f>
        <v/>
      </c>
      <c r="E2753" s="392" t="str">
        <f>IFERROR(VLOOKUP(A2753,[3]DOORSCRIEFT!$A$2:$G$8551,4,FALSE),"")</f>
        <v/>
      </c>
      <c r="F2753" s="397" t="str">
        <f>IFERROR(VLOOKUP(A2753,[3]DOORSCRIEFT!$A$2:$G$8551,6,FALSE),"")</f>
        <v/>
      </c>
      <c r="G2753" s="315"/>
    </row>
    <row r="2754" spans="1:7" x14ac:dyDescent="0.25">
      <c r="A2754" s="319" t="str">
        <f t="shared" si="79"/>
        <v>I.2.2.02.04237</v>
      </c>
      <c r="B2754" s="319">
        <v>37</v>
      </c>
      <c r="C2754" s="394" t="str">
        <f>IFERROR(VLOOKUP(A2754,[3]DOORSCRIEFT!$A$2:$G$8551,2,FALSE),"")</f>
        <v/>
      </c>
      <c r="D2754" s="393" t="str">
        <f>IFERROR(VLOOKUP(A2754,[3]DOORSCRIEFT!$A$2:$G$8551,3,FALSE),"")</f>
        <v/>
      </c>
      <c r="E2754" s="392" t="str">
        <f>IFERROR(VLOOKUP(A2754,[3]DOORSCRIEFT!$A$2:$G$8551,4,FALSE),"")</f>
        <v/>
      </c>
      <c r="F2754" s="397" t="str">
        <f>IFERROR(VLOOKUP(A2754,[3]DOORSCRIEFT!$A$2:$G$8551,6,FALSE),"")</f>
        <v/>
      </c>
      <c r="G2754" s="315"/>
    </row>
    <row r="2755" spans="1:7" ht="15.75" thickBot="1" x14ac:dyDescent="0.3">
      <c r="A2755" s="345" t="str">
        <f t="shared" si="79"/>
        <v>I.2.2.02.04238</v>
      </c>
      <c r="B2755" s="345">
        <v>38</v>
      </c>
      <c r="C2755" s="394" t="str">
        <f>IFERROR(VLOOKUP(A2755,[3]DOORSCRIEFT!$A$2:$G$8551,2,FALSE),"")</f>
        <v/>
      </c>
      <c r="D2755" s="393" t="str">
        <f>IFERROR(VLOOKUP(A2755,[3]DOORSCRIEFT!$A$2:$G$8551,3,FALSE),"")</f>
        <v/>
      </c>
      <c r="E2755" s="392" t="str">
        <f>IFERROR(VLOOKUP(A2755,[3]DOORSCRIEFT!$A$2:$G$8551,4,FALSE),"")</f>
        <v/>
      </c>
      <c r="F2755" s="397" t="str">
        <f>IFERROR(VLOOKUP(A2755,[3]DOORSCRIEFT!$A$2:$G$8551,6,FALSE),"")</f>
        <v/>
      </c>
      <c r="G2755" s="315"/>
    </row>
    <row r="2756" spans="1:7" ht="15.75" thickBot="1" x14ac:dyDescent="0.3">
      <c r="A2756" s="344"/>
      <c r="B2756" s="343"/>
      <c r="C2756" s="336"/>
      <c r="D2756" s="312"/>
      <c r="E2756" s="311" t="s">
        <v>644</v>
      </c>
      <c r="F2756" s="310">
        <f>SUM(F2718:F2755)</f>
        <v>4470000</v>
      </c>
      <c r="G2756" s="309">
        <f>SUM(G2718:G2755)</f>
        <v>0</v>
      </c>
    </row>
    <row r="2757" spans="1:7" x14ac:dyDescent="0.25">
      <c r="C2757" s="335"/>
    </row>
    <row r="2758" spans="1:7" x14ac:dyDescent="0.25">
      <c r="C2758" s="335"/>
    </row>
    <row r="2759" spans="1:7" ht="15.75" x14ac:dyDescent="0.25">
      <c r="C2759" s="334"/>
      <c r="D2759" s="333"/>
      <c r="E2759" s="332"/>
      <c r="F2759" s="327" t="s">
        <v>607</v>
      </c>
      <c r="G2759" s="327" t="s">
        <v>462</v>
      </c>
    </row>
    <row r="2760" spans="1:7" ht="15.75" x14ac:dyDescent="0.25">
      <c r="C2760" s="334"/>
      <c r="D2760" s="333"/>
      <c r="E2760" s="332"/>
      <c r="F2760" s="327" t="s">
        <v>601</v>
      </c>
      <c r="G2760" s="327" t="s">
        <v>461</v>
      </c>
    </row>
    <row r="2761" spans="1:7" x14ac:dyDescent="0.25">
      <c r="C2761" s="330"/>
      <c r="D2761" s="329"/>
      <c r="E2761" s="328"/>
      <c r="F2761" s="327" t="s">
        <v>651</v>
      </c>
      <c r="G2761" s="331">
        <f>[2]Sheet1!$D$70</f>
        <v>25000000</v>
      </c>
    </row>
    <row r="2762" spans="1:7" ht="15.75" thickBot="1" x14ac:dyDescent="0.3">
      <c r="C2762" s="330"/>
      <c r="D2762" s="329"/>
      <c r="E2762" s="328"/>
      <c r="F2762" s="327" t="s">
        <v>650</v>
      </c>
      <c r="G2762" s="326">
        <f>+F2806-G2761</f>
        <v>273000</v>
      </c>
    </row>
    <row r="2763" spans="1:7" x14ac:dyDescent="0.25">
      <c r="A2763" s="571" t="s">
        <v>626</v>
      </c>
      <c r="B2763" s="584" t="s">
        <v>606</v>
      </c>
      <c r="C2763" s="588" t="s">
        <v>649</v>
      </c>
      <c r="D2763" s="577" t="s">
        <v>648</v>
      </c>
      <c r="E2763" s="577" t="s">
        <v>647</v>
      </c>
      <c r="F2763" s="577" t="s">
        <v>646</v>
      </c>
      <c r="G2763" s="580" t="s">
        <v>645</v>
      </c>
    </row>
    <row r="2764" spans="1:7" ht="15.75" thickBot="1" x14ac:dyDescent="0.3">
      <c r="A2764" s="572"/>
      <c r="B2764" s="585"/>
      <c r="C2764" s="589"/>
      <c r="D2764" s="586"/>
      <c r="E2764" s="586"/>
      <c r="F2764" s="586"/>
      <c r="G2764" s="587"/>
    </row>
    <row r="2765" spans="1:7" ht="15.75" thickBot="1" x14ac:dyDescent="0.3">
      <c r="A2765" s="325">
        <v>1</v>
      </c>
      <c r="B2765" s="324">
        <v>2</v>
      </c>
      <c r="C2765" s="324">
        <v>3</v>
      </c>
      <c r="D2765" s="324">
        <v>4</v>
      </c>
      <c r="E2765" s="324">
        <v>5</v>
      </c>
      <c r="F2765" s="324">
        <v>6</v>
      </c>
      <c r="G2765" s="323">
        <v>7</v>
      </c>
    </row>
    <row r="2766" spans="1:7" x14ac:dyDescent="0.25">
      <c r="A2766" s="339" t="str">
        <f t="shared" ref="A2766:A2805" si="80">$G$2759&amp;B2766</f>
        <v>I.2.2.02.0431</v>
      </c>
      <c r="B2766" s="339">
        <v>1</v>
      </c>
      <c r="C2766" s="394">
        <f>IFERROR(VLOOKUP(A2766,[3]DOORSCRIEFT!$A$2:$G$8551,2,FALSE),"")</f>
        <v>462</v>
      </c>
      <c r="D2766" s="393">
        <f>IFERROR(VLOOKUP(A2766,[3]DOORSCRIEFT!$A$2:$G$8551,3,FALSE),"")</f>
        <v>46115</v>
      </c>
      <c r="E2766" s="392">
        <f>IFERROR(VLOOKUP(A2766,[3]DOORSCRIEFT!$A$2:$G$8551,4,FALSE),"")</f>
        <v>0</v>
      </c>
      <c r="F2766" s="397">
        <f>IFERROR(VLOOKUP(A2766,[3]DOORSCRIEFT!$A$2:$G$8551,6,FALSE),"")</f>
        <v>11383000</v>
      </c>
      <c r="G2766" s="322"/>
    </row>
    <row r="2767" spans="1:7" x14ac:dyDescent="0.25">
      <c r="A2767" s="319" t="str">
        <f t="shared" si="80"/>
        <v>I.2.2.02.0432</v>
      </c>
      <c r="B2767" s="319">
        <v>2</v>
      </c>
      <c r="C2767" s="394">
        <f>IFERROR(VLOOKUP(A2767,[3]DOORSCRIEFT!$A$2:$G$8551,2,FALSE),"")</f>
        <v>464</v>
      </c>
      <c r="D2767" s="393">
        <f>IFERROR(VLOOKUP(A2767,[3]DOORSCRIEFT!$A$2:$G$8551,3,FALSE),"")</f>
        <v>46115</v>
      </c>
      <c r="E2767" s="392">
        <f>IFERROR(VLOOKUP(A2767,[3]DOORSCRIEFT!$A$2:$G$8551,4,FALSE),"")</f>
        <v>0</v>
      </c>
      <c r="F2767" s="397">
        <f>IFERROR(VLOOKUP(A2767,[3]DOORSCRIEFT!$A$2:$G$8551,6,FALSE),"")</f>
        <v>13890000</v>
      </c>
      <c r="G2767" s="315"/>
    </row>
    <row r="2768" spans="1:7" x14ac:dyDescent="0.25">
      <c r="A2768" s="319" t="str">
        <f t="shared" si="80"/>
        <v>I.2.2.02.0433</v>
      </c>
      <c r="B2768" s="319">
        <v>3</v>
      </c>
      <c r="C2768" s="394" t="str">
        <f>IFERROR(VLOOKUP(A2768,[3]DOORSCRIEFT!$A$2:$G$8551,2,FALSE),"")</f>
        <v/>
      </c>
      <c r="D2768" s="393" t="str">
        <f>IFERROR(VLOOKUP(A2768,[3]DOORSCRIEFT!$A$2:$G$8551,3,FALSE),"")</f>
        <v/>
      </c>
      <c r="E2768" s="392" t="str">
        <f>IFERROR(VLOOKUP(A2768,[3]DOORSCRIEFT!$A$2:$G$8551,4,FALSE),"")</f>
        <v/>
      </c>
      <c r="F2768" s="397" t="str">
        <f>IFERROR(VLOOKUP(A2768,[3]DOORSCRIEFT!$A$2:$G$8551,6,FALSE),"")</f>
        <v/>
      </c>
      <c r="G2768" s="315"/>
    </row>
    <row r="2769" spans="1:7" x14ac:dyDescent="0.25">
      <c r="A2769" s="319" t="str">
        <f t="shared" si="80"/>
        <v>I.2.2.02.0434</v>
      </c>
      <c r="B2769" s="319">
        <v>4</v>
      </c>
      <c r="C2769" s="394" t="str">
        <f>IFERROR(VLOOKUP(A2769,[3]DOORSCRIEFT!$A$2:$G$8551,2,FALSE),"")</f>
        <v/>
      </c>
      <c r="D2769" s="393" t="str">
        <f>IFERROR(VLOOKUP(A2769,[3]DOORSCRIEFT!$A$2:$G$8551,3,FALSE),"")</f>
        <v/>
      </c>
      <c r="E2769" s="392" t="str">
        <f>IFERROR(VLOOKUP(A2769,[3]DOORSCRIEFT!$A$2:$G$8551,4,FALSE),"")</f>
        <v/>
      </c>
      <c r="F2769" s="397" t="str">
        <f>IFERROR(VLOOKUP(A2769,[3]DOORSCRIEFT!$A$2:$G$8551,6,FALSE),"")</f>
        <v/>
      </c>
      <c r="G2769" s="315"/>
    </row>
    <row r="2770" spans="1:7" x14ac:dyDescent="0.25">
      <c r="A2770" s="319" t="str">
        <f t="shared" si="80"/>
        <v>I.2.2.02.0435</v>
      </c>
      <c r="B2770" s="319">
        <v>5</v>
      </c>
      <c r="C2770" s="394" t="str">
        <f>IFERROR(VLOOKUP(A2770,[3]DOORSCRIEFT!$A$2:$G$8551,2,FALSE),"")</f>
        <v/>
      </c>
      <c r="D2770" s="393" t="str">
        <f>IFERROR(VLOOKUP(A2770,[3]DOORSCRIEFT!$A$2:$G$8551,3,FALSE),"")</f>
        <v/>
      </c>
      <c r="E2770" s="392" t="str">
        <f>IFERROR(VLOOKUP(A2770,[3]DOORSCRIEFT!$A$2:$G$8551,4,FALSE),"")</f>
        <v/>
      </c>
      <c r="F2770" s="397" t="str">
        <f>IFERROR(VLOOKUP(A2770,[3]DOORSCRIEFT!$A$2:$G$8551,6,FALSE),"")</f>
        <v/>
      </c>
      <c r="G2770" s="315"/>
    </row>
    <row r="2771" spans="1:7" x14ac:dyDescent="0.25">
      <c r="A2771" s="319" t="str">
        <f t="shared" si="80"/>
        <v>I.2.2.02.0436</v>
      </c>
      <c r="B2771" s="319">
        <v>6</v>
      </c>
      <c r="C2771" s="394" t="str">
        <f>IFERROR(VLOOKUP(A2771,[3]DOORSCRIEFT!$A$2:$G$8551,2,FALSE),"")</f>
        <v/>
      </c>
      <c r="D2771" s="393" t="str">
        <f>IFERROR(VLOOKUP(A2771,[3]DOORSCRIEFT!$A$2:$G$8551,3,FALSE),"")</f>
        <v/>
      </c>
      <c r="E2771" s="392" t="str">
        <f>IFERROR(VLOOKUP(A2771,[3]DOORSCRIEFT!$A$2:$G$8551,4,FALSE),"")</f>
        <v/>
      </c>
      <c r="F2771" s="397" t="str">
        <f>IFERROR(VLOOKUP(A2771,[3]DOORSCRIEFT!$A$2:$G$8551,6,FALSE),"")</f>
        <v/>
      </c>
      <c r="G2771" s="315"/>
    </row>
    <row r="2772" spans="1:7" x14ac:dyDescent="0.25">
      <c r="A2772" s="319" t="str">
        <f t="shared" si="80"/>
        <v>I.2.2.02.0437</v>
      </c>
      <c r="B2772" s="319">
        <v>7</v>
      </c>
      <c r="C2772" s="394" t="str">
        <f>IFERROR(VLOOKUP(A2772,[3]DOORSCRIEFT!$A$2:$G$8551,2,FALSE),"")</f>
        <v/>
      </c>
      <c r="D2772" s="393" t="str">
        <f>IFERROR(VLOOKUP(A2772,[3]DOORSCRIEFT!$A$2:$G$8551,3,FALSE),"")</f>
        <v/>
      </c>
      <c r="E2772" s="392" t="str">
        <f>IFERROR(VLOOKUP(A2772,[3]DOORSCRIEFT!$A$2:$G$8551,4,FALSE),"")</f>
        <v/>
      </c>
      <c r="F2772" s="397" t="str">
        <f>IFERROR(VLOOKUP(A2772,[3]DOORSCRIEFT!$A$2:$G$8551,6,FALSE),"")</f>
        <v/>
      </c>
      <c r="G2772" s="315"/>
    </row>
    <row r="2773" spans="1:7" x14ac:dyDescent="0.25">
      <c r="A2773" s="319" t="str">
        <f t="shared" si="80"/>
        <v>I.2.2.02.0438</v>
      </c>
      <c r="B2773" s="319">
        <v>8</v>
      </c>
      <c r="C2773" s="394" t="str">
        <f>IFERROR(VLOOKUP(A2773,[3]DOORSCRIEFT!$A$2:$G$8551,2,FALSE),"")</f>
        <v/>
      </c>
      <c r="D2773" s="393" t="str">
        <f>IFERROR(VLOOKUP(A2773,[3]DOORSCRIEFT!$A$2:$G$8551,3,FALSE),"")</f>
        <v/>
      </c>
      <c r="E2773" s="392" t="str">
        <f>IFERROR(VLOOKUP(A2773,[3]DOORSCRIEFT!$A$2:$G$8551,4,FALSE),"")</f>
        <v/>
      </c>
      <c r="F2773" s="397" t="str">
        <f>IFERROR(VLOOKUP(A2773,[3]DOORSCRIEFT!$A$2:$G$8551,6,FALSE),"")</f>
        <v/>
      </c>
      <c r="G2773" s="315"/>
    </row>
    <row r="2774" spans="1:7" x14ac:dyDescent="0.25">
      <c r="A2774" s="319" t="str">
        <f t="shared" si="80"/>
        <v>I.2.2.02.0439</v>
      </c>
      <c r="B2774" s="319">
        <v>9</v>
      </c>
      <c r="C2774" s="394" t="str">
        <f>IFERROR(VLOOKUP(A2774,[3]DOORSCRIEFT!$A$2:$G$8551,2,FALSE),"")</f>
        <v/>
      </c>
      <c r="D2774" s="393" t="str">
        <f>IFERROR(VLOOKUP(A2774,[3]DOORSCRIEFT!$A$2:$G$8551,3,FALSE),"")</f>
        <v/>
      </c>
      <c r="E2774" s="392" t="str">
        <f>IFERROR(VLOOKUP(A2774,[3]DOORSCRIEFT!$A$2:$G$8551,4,FALSE),"")</f>
        <v/>
      </c>
      <c r="F2774" s="397" t="str">
        <f>IFERROR(VLOOKUP(A2774,[3]DOORSCRIEFT!$A$2:$G$8551,6,FALSE),"")</f>
        <v/>
      </c>
      <c r="G2774" s="315"/>
    </row>
    <row r="2775" spans="1:7" x14ac:dyDescent="0.25">
      <c r="A2775" s="319" t="str">
        <f t="shared" si="80"/>
        <v>I.2.2.02.04310</v>
      </c>
      <c r="B2775" s="319">
        <v>10</v>
      </c>
      <c r="C2775" s="394" t="str">
        <f>IFERROR(VLOOKUP(A2775,[3]DOORSCRIEFT!$A$2:$G$8551,2,FALSE),"")</f>
        <v/>
      </c>
      <c r="D2775" s="393" t="str">
        <f>IFERROR(VLOOKUP(A2775,[3]DOORSCRIEFT!$A$2:$G$8551,3,FALSE),"")</f>
        <v/>
      </c>
      <c r="E2775" s="392" t="str">
        <f>IFERROR(VLOOKUP(A2775,[3]DOORSCRIEFT!$A$2:$G$8551,4,FALSE),"")</f>
        <v/>
      </c>
      <c r="F2775" s="397" t="str">
        <f>IFERROR(VLOOKUP(A2775,[3]DOORSCRIEFT!$A$2:$G$8551,6,FALSE),"")</f>
        <v/>
      </c>
      <c r="G2775" s="315"/>
    </row>
    <row r="2776" spans="1:7" x14ac:dyDescent="0.25">
      <c r="A2776" s="319" t="str">
        <f t="shared" si="80"/>
        <v>I.2.2.02.04311</v>
      </c>
      <c r="B2776" s="319">
        <v>11</v>
      </c>
      <c r="C2776" s="394" t="str">
        <f>IFERROR(VLOOKUP(A2776,[3]DOORSCRIEFT!$A$2:$G$8551,2,FALSE),"")</f>
        <v/>
      </c>
      <c r="D2776" s="393" t="str">
        <f>IFERROR(VLOOKUP(A2776,[3]DOORSCRIEFT!$A$2:$G$8551,3,FALSE),"")</f>
        <v/>
      </c>
      <c r="E2776" s="392" t="str">
        <f>IFERROR(VLOOKUP(A2776,[3]DOORSCRIEFT!$A$2:$G$8551,4,FALSE),"")</f>
        <v/>
      </c>
      <c r="F2776" s="397" t="str">
        <f>IFERROR(VLOOKUP(A2776,[3]DOORSCRIEFT!$A$2:$G$8551,6,FALSE),"")</f>
        <v/>
      </c>
      <c r="G2776" s="315"/>
    </row>
    <row r="2777" spans="1:7" x14ac:dyDescent="0.25">
      <c r="A2777" s="319" t="str">
        <f t="shared" si="80"/>
        <v>I.2.2.02.04312</v>
      </c>
      <c r="B2777" s="319">
        <v>12</v>
      </c>
      <c r="C2777" s="394" t="str">
        <f>IFERROR(VLOOKUP(A2777,[3]DOORSCRIEFT!$A$2:$G$8551,2,FALSE),"")</f>
        <v/>
      </c>
      <c r="D2777" s="393" t="str">
        <f>IFERROR(VLOOKUP(A2777,[3]DOORSCRIEFT!$A$2:$G$8551,3,FALSE),"")</f>
        <v/>
      </c>
      <c r="E2777" s="392" t="str">
        <f>IFERROR(VLOOKUP(A2777,[3]DOORSCRIEFT!$A$2:$G$8551,4,FALSE),"")</f>
        <v/>
      </c>
      <c r="F2777" s="397" t="str">
        <f>IFERROR(VLOOKUP(A2777,[3]DOORSCRIEFT!$A$2:$G$8551,6,FALSE),"")</f>
        <v/>
      </c>
      <c r="G2777" s="315"/>
    </row>
    <row r="2778" spans="1:7" x14ac:dyDescent="0.25">
      <c r="A2778" s="319" t="str">
        <f t="shared" si="80"/>
        <v>I.2.2.02.04313</v>
      </c>
      <c r="B2778" s="319">
        <v>13</v>
      </c>
      <c r="C2778" s="394" t="str">
        <f>IFERROR(VLOOKUP(A2778,[3]DOORSCRIEFT!$A$2:$G$8551,2,FALSE),"")</f>
        <v/>
      </c>
      <c r="D2778" s="393" t="str">
        <f>IFERROR(VLOOKUP(A2778,[3]DOORSCRIEFT!$A$2:$G$8551,3,FALSE),"")</f>
        <v/>
      </c>
      <c r="E2778" s="392" t="str">
        <f>IFERROR(VLOOKUP(A2778,[3]DOORSCRIEFT!$A$2:$G$8551,4,FALSE),"")</f>
        <v/>
      </c>
      <c r="F2778" s="397" t="str">
        <f>IFERROR(VLOOKUP(A2778,[3]DOORSCRIEFT!$A$2:$G$8551,6,FALSE),"")</f>
        <v/>
      </c>
      <c r="G2778" s="315"/>
    </row>
    <row r="2779" spans="1:7" x14ac:dyDescent="0.25">
      <c r="A2779" s="319" t="str">
        <f t="shared" si="80"/>
        <v>I.2.2.02.04314</v>
      </c>
      <c r="B2779" s="319">
        <v>14</v>
      </c>
      <c r="C2779" s="394" t="str">
        <f>IFERROR(VLOOKUP(A2779,[3]DOORSCRIEFT!$A$2:$G$8551,2,FALSE),"")</f>
        <v/>
      </c>
      <c r="D2779" s="393" t="str">
        <f>IFERROR(VLOOKUP(A2779,[3]DOORSCRIEFT!$A$2:$G$8551,3,FALSE),"")</f>
        <v/>
      </c>
      <c r="E2779" s="392" t="str">
        <f>IFERROR(VLOOKUP(A2779,[3]DOORSCRIEFT!$A$2:$G$8551,4,FALSE),"")</f>
        <v/>
      </c>
      <c r="F2779" s="397" t="str">
        <f>IFERROR(VLOOKUP(A2779,[3]DOORSCRIEFT!$A$2:$G$8551,6,FALSE),"")</f>
        <v/>
      </c>
      <c r="G2779" s="315"/>
    </row>
    <row r="2780" spans="1:7" x14ac:dyDescent="0.25">
      <c r="A2780" s="319" t="str">
        <f t="shared" si="80"/>
        <v>I.2.2.02.04315</v>
      </c>
      <c r="B2780" s="319">
        <v>15</v>
      </c>
      <c r="C2780" s="394" t="str">
        <f>IFERROR(VLOOKUP(A2780,[3]DOORSCRIEFT!$A$2:$G$8551,2,FALSE),"")</f>
        <v/>
      </c>
      <c r="D2780" s="393" t="str">
        <f>IFERROR(VLOOKUP(A2780,[3]DOORSCRIEFT!$A$2:$G$8551,3,FALSE),"")</f>
        <v/>
      </c>
      <c r="E2780" s="392" t="str">
        <f>IFERROR(VLOOKUP(A2780,[3]DOORSCRIEFT!$A$2:$G$8551,4,FALSE),"")</f>
        <v/>
      </c>
      <c r="F2780" s="397" t="str">
        <f>IFERROR(VLOOKUP(A2780,[3]DOORSCRIEFT!$A$2:$G$8551,6,FALSE),"")</f>
        <v/>
      </c>
      <c r="G2780" s="315"/>
    </row>
    <row r="2781" spans="1:7" x14ac:dyDescent="0.25">
      <c r="A2781" s="319" t="str">
        <f t="shared" si="80"/>
        <v>I.2.2.02.04316</v>
      </c>
      <c r="B2781" s="319">
        <v>16</v>
      </c>
      <c r="C2781" s="394" t="str">
        <f>IFERROR(VLOOKUP(A2781,[3]DOORSCRIEFT!$A$2:$G$8551,2,FALSE),"")</f>
        <v/>
      </c>
      <c r="D2781" s="393" t="str">
        <f>IFERROR(VLOOKUP(A2781,[3]DOORSCRIEFT!$A$2:$G$8551,3,FALSE),"")</f>
        <v/>
      </c>
      <c r="E2781" s="392" t="str">
        <f>IFERROR(VLOOKUP(A2781,[3]DOORSCRIEFT!$A$2:$G$8551,4,FALSE),"")</f>
        <v/>
      </c>
      <c r="F2781" s="397" t="str">
        <f>IFERROR(VLOOKUP(A2781,[3]DOORSCRIEFT!$A$2:$G$8551,6,FALSE),"")</f>
        <v/>
      </c>
      <c r="G2781" s="315"/>
    </row>
    <row r="2782" spans="1:7" x14ac:dyDescent="0.25">
      <c r="A2782" s="319" t="str">
        <f t="shared" si="80"/>
        <v>I.2.2.02.04317</v>
      </c>
      <c r="B2782" s="319">
        <v>17</v>
      </c>
      <c r="C2782" s="394" t="str">
        <f>IFERROR(VLOOKUP(A2782,[3]DOORSCRIEFT!$A$2:$G$8551,2,FALSE),"")</f>
        <v/>
      </c>
      <c r="D2782" s="393" t="str">
        <f>IFERROR(VLOOKUP(A2782,[3]DOORSCRIEFT!$A$2:$G$8551,3,FALSE),"")</f>
        <v/>
      </c>
      <c r="E2782" s="392" t="str">
        <f>IFERROR(VLOOKUP(A2782,[3]DOORSCRIEFT!$A$2:$G$8551,4,FALSE),"")</f>
        <v/>
      </c>
      <c r="F2782" s="397" t="str">
        <f>IFERROR(VLOOKUP(A2782,[3]DOORSCRIEFT!$A$2:$G$8551,6,FALSE),"")</f>
        <v/>
      </c>
      <c r="G2782" s="315"/>
    </row>
    <row r="2783" spans="1:7" x14ac:dyDescent="0.25">
      <c r="A2783" s="319" t="str">
        <f t="shared" si="80"/>
        <v>I.2.2.02.04318</v>
      </c>
      <c r="B2783" s="319">
        <v>18</v>
      </c>
      <c r="C2783" s="394" t="str">
        <f>IFERROR(VLOOKUP(A2783,[3]DOORSCRIEFT!$A$2:$G$8551,2,FALSE),"")</f>
        <v/>
      </c>
      <c r="D2783" s="393" t="str">
        <f>IFERROR(VLOOKUP(A2783,[3]DOORSCRIEFT!$A$2:$G$8551,3,FALSE),"")</f>
        <v/>
      </c>
      <c r="E2783" s="392" t="str">
        <f>IFERROR(VLOOKUP(A2783,[3]DOORSCRIEFT!$A$2:$G$8551,4,FALSE),"")</f>
        <v/>
      </c>
      <c r="F2783" s="397" t="str">
        <f>IFERROR(VLOOKUP(A2783,[3]DOORSCRIEFT!$A$2:$G$8551,6,FALSE),"")</f>
        <v/>
      </c>
      <c r="G2783" s="315"/>
    </row>
    <row r="2784" spans="1:7" x14ac:dyDescent="0.25">
      <c r="A2784" s="319" t="str">
        <f t="shared" si="80"/>
        <v>I.2.2.02.04319</v>
      </c>
      <c r="B2784" s="319">
        <v>19</v>
      </c>
      <c r="C2784" s="394" t="str">
        <f>IFERROR(VLOOKUP(A2784,[3]DOORSCRIEFT!$A$2:$G$8551,2,FALSE),"")</f>
        <v/>
      </c>
      <c r="D2784" s="393" t="str">
        <f>IFERROR(VLOOKUP(A2784,[3]DOORSCRIEFT!$A$2:$G$8551,3,FALSE),"")</f>
        <v/>
      </c>
      <c r="E2784" s="392" t="str">
        <f>IFERROR(VLOOKUP(A2784,[3]DOORSCRIEFT!$A$2:$G$8551,4,FALSE),"")</f>
        <v/>
      </c>
      <c r="F2784" s="397" t="str">
        <f>IFERROR(VLOOKUP(A2784,[3]DOORSCRIEFT!$A$2:$G$8551,6,FALSE),"")</f>
        <v/>
      </c>
      <c r="G2784" s="315"/>
    </row>
    <row r="2785" spans="1:7" x14ac:dyDescent="0.25">
      <c r="A2785" s="319" t="str">
        <f t="shared" si="80"/>
        <v>I.2.2.02.04320</v>
      </c>
      <c r="B2785" s="319">
        <v>20</v>
      </c>
      <c r="C2785" s="394" t="str">
        <f>IFERROR(VLOOKUP(A2785,[3]DOORSCRIEFT!$A$2:$G$8551,2,FALSE),"")</f>
        <v/>
      </c>
      <c r="D2785" s="393" t="str">
        <f>IFERROR(VLOOKUP(A2785,[3]DOORSCRIEFT!$A$2:$G$8551,3,FALSE),"")</f>
        <v/>
      </c>
      <c r="E2785" s="392" t="str">
        <f>IFERROR(VLOOKUP(A2785,[3]DOORSCRIEFT!$A$2:$G$8551,4,FALSE),"")</f>
        <v/>
      </c>
      <c r="F2785" s="397" t="str">
        <f>IFERROR(VLOOKUP(A2785,[3]DOORSCRIEFT!$A$2:$G$8551,6,FALSE),"")</f>
        <v/>
      </c>
      <c r="G2785" s="315"/>
    </row>
    <row r="2786" spans="1:7" x14ac:dyDescent="0.25">
      <c r="A2786" s="319" t="str">
        <f t="shared" si="80"/>
        <v>I.2.2.02.04321</v>
      </c>
      <c r="B2786" s="319">
        <v>21</v>
      </c>
      <c r="C2786" s="394" t="str">
        <f>IFERROR(VLOOKUP(A2786,[3]DOORSCRIEFT!$A$2:$G$8551,2,FALSE),"")</f>
        <v/>
      </c>
      <c r="D2786" s="393" t="str">
        <f>IFERROR(VLOOKUP(A2786,[3]DOORSCRIEFT!$A$2:$G$8551,3,FALSE),"")</f>
        <v/>
      </c>
      <c r="E2786" s="392" t="str">
        <f>IFERROR(VLOOKUP(A2786,[3]DOORSCRIEFT!$A$2:$G$8551,4,FALSE),"")</f>
        <v/>
      </c>
      <c r="F2786" s="397" t="str">
        <f>IFERROR(VLOOKUP(A2786,[3]DOORSCRIEFT!$A$2:$G$8551,6,FALSE),"")</f>
        <v/>
      </c>
      <c r="G2786" s="315"/>
    </row>
    <row r="2787" spans="1:7" x14ac:dyDescent="0.25">
      <c r="A2787" s="319" t="str">
        <f t="shared" si="80"/>
        <v>I.2.2.02.04322</v>
      </c>
      <c r="B2787" s="319">
        <v>22</v>
      </c>
      <c r="C2787" s="394" t="str">
        <f>IFERROR(VLOOKUP(A2787,[3]DOORSCRIEFT!$A$2:$G$8551,2,FALSE),"")</f>
        <v/>
      </c>
      <c r="D2787" s="393" t="str">
        <f>IFERROR(VLOOKUP(A2787,[3]DOORSCRIEFT!$A$2:$G$8551,3,FALSE),"")</f>
        <v/>
      </c>
      <c r="E2787" s="392" t="str">
        <f>IFERROR(VLOOKUP(A2787,[3]DOORSCRIEFT!$A$2:$G$8551,4,FALSE),"")</f>
        <v/>
      </c>
      <c r="F2787" s="397" t="str">
        <f>IFERROR(VLOOKUP(A2787,[3]DOORSCRIEFT!$A$2:$G$8551,6,FALSE),"")</f>
        <v/>
      </c>
      <c r="G2787" s="315"/>
    </row>
    <row r="2788" spans="1:7" x14ac:dyDescent="0.25">
      <c r="A2788" s="319" t="str">
        <f t="shared" si="80"/>
        <v>I.2.2.02.04323</v>
      </c>
      <c r="B2788" s="319">
        <v>23</v>
      </c>
      <c r="C2788" s="394" t="str">
        <f>IFERROR(VLOOKUP(A2788,[3]DOORSCRIEFT!$A$2:$G$8551,2,FALSE),"")</f>
        <v/>
      </c>
      <c r="D2788" s="393" t="str">
        <f>IFERROR(VLOOKUP(A2788,[3]DOORSCRIEFT!$A$2:$G$8551,3,FALSE),"")</f>
        <v/>
      </c>
      <c r="E2788" s="392" t="str">
        <f>IFERROR(VLOOKUP(A2788,[3]DOORSCRIEFT!$A$2:$G$8551,4,FALSE),"")</f>
        <v/>
      </c>
      <c r="F2788" s="397" t="str">
        <f>IFERROR(VLOOKUP(A2788,[3]DOORSCRIEFT!$A$2:$G$8551,6,FALSE),"")</f>
        <v/>
      </c>
      <c r="G2788" s="315"/>
    </row>
    <row r="2789" spans="1:7" x14ac:dyDescent="0.25">
      <c r="A2789" s="319" t="str">
        <f t="shared" si="80"/>
        <v>I.2.2.02.04324</v>
      </c>
      <c r="B2789" s="319">
        <v>24</v>
      </c>
      <c r="C2789" s="394" t="str">
        <f>IFERROR(VLOOKUP(A2789,[3]DOORSCRIEFT!$A$2:$G$8551,2,FALSE),"")</f>
        <v/>
      </c>
      <c r="D2789" s="393" t="str">
        <f>IFERROR(VLOOKUP(A2789,[3]DOORSCRIEFT!$A$2:$G$8551,3,FALSE),"")</f>
        <v/>
      </c>
      <c r="E2789" s="392" t="str">
        <f>IFERROR(VLOOKUP(A2789,[3]DOORSCRIEFT!$A$2:$G$8551,4,FALSE),"")</f>
        <v/>
      </c>
      <c r="F2789" s="397" t="str">
        <f>IFERROR(VLOOKUP(A2789,[3]DOORSCRIEFT!$A$2:$G$8551,6,FALSE),"")</f>
        <v/>
      </c>
      <c r="G2789" s="315"/>
    </row>
    <row r="2790" spans="1:7" x14ac:dyDescent="0.25">
      <c r="A2790" s="319" t="str">
        <f t="shared" si="80"/>
        <v>I.2.2.02.04325</v>
      </c>
      <c r="B2790" s="319">
        <v>25</v>
      </c>
      <c r="C2790" s="394" t="str">
        <f>IFERROR(VLOOKUP(A2790,[3]DOORSCRIEFT!$A$2:$G$8551,2,FALSE),"")</f>
        <v/>
      </c>
      <c r="D2790" s="393" t="str">
        <f>IFERROR(VLOOKUP(A2790,[3]DOORSCRIEFT!$A$2:$G$8551,3,FALSE),"")</f>
        <v/>
      </c>
      <c r="E2790" s="392" t="str">
        <f>IFERROR(VLOOKUP(A2790,[3]DOORSCRIEFT!$A$2:$G$8551,4,FALSE),"")</f>
        <v/>
      </c>
      <c r="F2790" s="397" t="str">
        <f>IFERROR(VLOOKUP(A2790,[3]DOORSCRIEFT!$A$2:$G$8551,6,FALSE),"")</f>
        <v/>
      </c>
      <c r="G2790" s="315"/>
    </row>
    <row r="2791" spans="1:7" x14ac:dyDescent="0.25">
      <c r="A2791" s="319" t="str">
        <f t="shared" si="80"/>
        <v>I.2.2.02.04326</v>
      </c>
      <c r="B2791" s="319">
        <v>26</v>
      </c>
      <c r="C2791" s="394" t="str">
        <f>IFERROR(VLOOKUP(A2791,[3]DOORSCRIEFT!$A$2:$G$8551,2,FALSE),"")</f>
        <v/>
      </c>
      <c r="D2791" s="393" t="str">
        <f>IFERROR(VLOOKUP(A2791,[3]DOORSCRIEFT!$A$2:$G$8551,3,FALSE),"")</f>
        <v/>
      </c>
      <c r="E2791" s="392" t="str">
        <f>IFERROR(VLOOKUP(A2791,[3]DOORSCRIEFT!$A$2:$G$8551,4,FALSE),"")</f>
        <v/>
      </c>
      <c r="F2791" s="397" t="str">
        <f>IFERROR(VLOOKUP(A2791,[3]DOORSCRIEFT!$A$2:$G$8551,6,FALSE),"")</f>
        <v/>
      </c>
      <c r="G2791" s="315"/>
    </row>
    <row r="2792" spans="1:7" x14ac:dyDescent="0.25">
      <c r="A2792" s="319" t="str">
        <f t="shared" si="80"/>
        <v>I.2.2.02.04327</v>
      </c>
      <c r="B2792" s="319">
        <v>27</v>
      </c>
      <c r="C2792" s="394" t="str">
        <f>IFERROR(VLOOKUP(A2792,[3]DOORSCRIEFT!$A$2:$G$8551,2,FALSE),"")</f>
        <v/>
      </c>
      <c r="D2792" s="393" t="str">
        <f>IFERROR(VLOOKUP(A2792,[3]DOORSCRIEFT!$A$2:$G$8551,3,FALSE),"")</f>
        <v/>
      </c>
      <c r="E2792" s="392" t="str">
        <f>IFERROR(VLOOKUP(A2792,[3]DOORSCRIEFT!$A$2:$G$8551,4,FALSE),"")</f>
        <v/>
      </c>
      <c r="F2792" s="397" t="str">
        <f>IFERROR(VLOOKUP(A2792,[3]DOORSCRIEFT!$A$2:$G$8551,6,FALSE),"")</f>
        <v/>
      </c>
      <c r="G2792" s="315"/>
    </row>
    <row r="2793" spans="1:7" x14ac:dyDescent="0.25">
      <c r="A2793" s="319" t="str">
        <f t="shared" si="80"/>
        <v>I.2.2.02.04328</v>
      </c>
      <c r="B2793" s="319">
        <v>28</v>
      </c>
      <c r="C2793" s="394" t="str">
        <f>IFERROR(VLOOKUP(A2793,[3]DOORSCRIEFT!$A$2:$G$8551,2,FALSE),"")</f>
        <v/>
      </c>
      <c r="D2793" s="393" t="str">
        <f>IFERROR(VLOOKUP(A2793,[3]DOORSCRIEFT!$A$2:$G$8551,3,FALSE),"")</f>
        <v/>
      </c>
      <c r="E2793" s="392" t="str">
        <f>IFERROR(VLOOKUP(A2793,[3]DOORSCRIEFT!$A$2:$G$8551,4,FALSE),"")</f>
        <v/>
      </c>
      <c r="F2793" s="397" t="str">
        <f>IFERROR(VLOOKUP(A2793,[3]DOORSCRIEFT!$A$2:$G$8551,6,FALSE),"")</f>
        <v/>
      </c>
      <c r="G2793" s="315"/>
    </row>
    <row r="2794" spans="1:7" x14ac:dyDescent="0.25">
      <c r="A2794" s="319" t="str">
        <f t="shared" si="80"/>
        <v>I.2.2.02.04329</v>
      </c>
      <c r="B2794" s="319">
        <v>29</v>
      </c>
      <c r="C2794" s="394" t="str">
        <f>IFERROR(VLOOKUP(A2794,[3]DOORSCRIEFT!$A$2:$G$8551,2,FALSE),"")</f>
        <v/>
      </c>
      <c r="D2794" s="393" t="str">
        <f>IFERROR(VLOOKUP(A2794,[3]DOORSCRIEFT!$A$2:$G$8551,3,FALSE),"")</f>
        <v/>
      </c>
      <c r="E2794" s="392" t="str">
        <f>IFERROR(VLOOKUP(A2794,[3]DOORSCRIEFT!$A$2:$G$8551,4,FALSE),"")</f>
        <v/>
      </c>
      <c r="F2794" s="397" t="str">
        <f>IFERROR(VLOOKUP(A2794,[3]DOORSCRIEFT!$A$2:$G$8551,6,FALSE),"")</f>
        <v/>
      </c>
      <c r="G2794" s="315"/>
    </row>
    <row r="2795" spans="1:7" x14ac:dyDescent="0.25">
      <c r="A2795" s="319" t="str">
        <f t="shared" si="80"/>
        <v>I.2.2.02.04330</v>
      </c>
      <c r="B2795" s="319">
        <v>30</v>
      </c>
      <c r="C2795" s="394" t="str">
        <f>IFERROR(VLOOKUP(A2795,[3]DOORSCRIEFT!$A$2:$G$8551,2,FALSE),"")</f>
        <v/>
      </c>
      <c r="D2795" s="393" t="str">
        <f>IFERROR(VLOOKUP(A2795,[3]DOORSCRIEFT!$A$2:$G$8551,3,FALSE),"")</f>
        <v/>
      </c>
      <c r="E2795" s="392" t="str">
        <f>IFERROR(VLOOKUP(A2795,[3]DOORSCRIEFT!$A$2:$G$8551,4,FALSE),"")</f>
        <v/>
      </c>
      <c r="F2795" s="397" t="str">
        <f>IFERROR(VLOOKUP(A2795,[3]DOORSCRIEFT!$A$2:$G$8551,6,FALSE),"")</f>
        <v/>
      </c>
      <c r="G2795" s="315"/>
    </row>
    <row r="2796" spans="1:7" x14ac:dyDescent="0.25">
      <c r="A2796" s="319" t="str">
        <f t="shared" si="80"/>
        <v>I.2.2.02.04331</v>
      </c>
      <c r="B2796" s="319">
        <v>31</v>
      </c>
      <c r="C2796" s="394" t="str">
        <f>IFERROR(VLOOKUP(A2796,[3]DOORSCRIEFT!$A$2:$G$8551,2,FALSE),"")</f>
        <v/>
      </c>
      <c r="D2796" s="393" t="str">
        <f>IFERROR(VLOOKUP(A2796,[3]DOORSCRIEFT!$A$2:$G$8551,3,FALSE),"")</f>
        <v/>
      </c>
      <c r="E2796" s="392" t="str">
        <f>IFERROR(VLOOKUP(A2796,[3]DOORSCRIEFT!$A$2:$G$8551,4,FALSE),"")</f>
        <v/>
      </c>
      <c r="F2796" s="397" t="str">
        <f>IFERROR(VLOOKUP(A2796,[3]DOORSCRIEFT!$A$2:$G$8551,6,FALSE),"")</f>
        <v/>
      </c>
      <c r="G2796" s="315"/>
    </row>
    <row r="2797" spans="1:7" x14ac:dyDescent="0.25">
      <c r="A2797" s="319" t="str">
        <f t="shared" si="80"/>
        <v>I.2.2.02.04332</v>
      </c>
      <c r="B2797" s="319">
        <v>32</v>
      </c>
      <c r="C2797" s="394" t="str">
        <f>IFERROR(VLOOKUP(A2797,[3]DOORSCRIEFT!$A$2:$G$8551,2,FALSE),"")</f>
        <v/>
      </c>
      <c r="D2797" s="393" t="str">
        <f>IFERROR(VLOOKUP(A2797,[3]DOORSCRIEFT!$A$2:$G$8551,3,FALSE),"")</f>
        <v/>
      </c>
      <c r="E2797" s="392" t="str">
        <f>IFERROR(VLOOKUP(A2797,[3]DOORSCRIEFT!$A$2:$G$8551,4,FALSE),"")</f>
        <v/>
      </c>
      <c r="F2797" s="397" t="str">
        <f>IFERROR(VLOOKUP(A2797,[3]DOORSCRIEFT!$A$2:$G$8551,6,FALSE),"")</f>
        <v/>
      </c>
      <c r="G2797" s="315"/>
    </row>
    <row r="2798" spans="1:7" x14ac:dyDescent="0.25">
      <c r="A2798" s="319" t="str">
        <f t="shared" si="80"/>
        <v>I.2.2.02.04333</v>
      </c>
      <c r="B2798" s="319">
        <v>33</v>
      </c>
      <c r="C2798" s="394" t="str">
        <f>IFERROR(VLOOKUP(A2798,[3]DOORSCRIEFT!$A$2:$G$8551,2,FALSE),"")</f>
        <v/>
      </c>
      <c r="D2798" s="393" t="str">
        <f>IFERROR(VLOOKUP(A2798,[3]DOORSCRIEFT!$A$2:$G$8551,3,FALSE),"")</f>
        <v/>
      </c>
      <c r="E2798" s="392" t="str">
        <f>IFERROR(VLOOKUP(A2798,[3]DOORSCRIEFT!$A$2:$G$8551,4,FALSE),"")</f>
        <v/>
      </c>
      <c r="F2798" s="397" t="str">
        <f>IFERROR(VLOOKUP(A2798,[3]DOORSCRIEFT!$A$2:$G$8551,6,FALSE),"")</f>
        <v/>
      </c>
      <c r="G2798" s="315"/>
    </row>
    <row r="2799" spans="1:7" x14ac:dyDescent="0.25">
      <c r="A2799" s="319" t="str">
        <f t="shared" si="80"/>
        <v>I.2.2.02.04334</v>
      </c>
      <c r="B2799" s="319">
        <v>34</v>
      </c>
      <c r="C2799" s="394" t="str">
        <f>IFERROR(VLOOKUP(A2799,[3]DOORSCRIEFT!$A$2:$G$8551,2,FALSE),"")</f>
        <v/>
      </c>
      <c r="D2799" s="393" t="str">
        <f>IFERROR(VLOOKUP(A2799,[3]DOORSCRIEFT!$A$2:$G$8551,3,FALSE),"")</f>
        <v/>
      </c>
      <c r="E2799" s="392" t="str">
        <f>IFERROR(VLOOKUP(A2799,[3]DOORSCRIEFT!$A$2:$G$8551,4,FALSE),"")</f>
        <v/>
      </c>
      <c r="F2799" s="397" t="str">
        <f>IFERROR(VLOOKUP(A2799,[3]DOORSCRIEFT!$A$2:$G$8551,6,FALSE),"")</f>
        <v/>
      </c>
      <c r="G2799" s="315"/>
    </row>
    <row r="2800" spans="1:7" x14ac:dyDescent="0.25">
      <c r="A2800" s="319" t="str">
        <f t="shared" si="80"/>
        <v>I.2.2.02.04335</v>
      </c>
      <c r="B2800" s="319">
        <v>35</v>
      </c>
      <c r="C2800" s="394" t="str">
        <f>IFERROR(VLOOKUP(A2800,[3]DOORSCRIEFT!$A$2:$G$8551,2,FALSE),"")</f>
        <v/>
      </c>
      <c r="D2800" s="393" t="str">
        <f>IFERROR(VLOOKUP(A2800,[3]DOORSCRIEFT!$A$2:$G$8551,3,FALSE),"")</f>
        <v/>
      </c>
      <c r="E2800" s="392" t="str">
        <f>IFERROR(VLOOKUP(A2800,[3]DOORSCRIEFT!$A$2:$G$8551,4,FALSE),"")</f>
        <v/>
      </c>
      <c r="F2800" s="397" t="str">
        <f>IFERROR(VLOOKUP(A2800,[3]DOORSCRIEFT!$A$2:$G$8551,6,FALSE),"")</f>
        <v/>
      </c>
      <c r="G2800" s="315"/>
    </row>
    <row r="2801" spans="1:7" x14ac:dyDescent="0.25">
      <c r="A2801" s="319" t="str">
        <f t="shared" si="80"/>
        <v>I.2.2.02.04336</v>
      </c>
      <c r="B2801" s="319">
        <v>36</v>
      </c>
      <c r="C2801" s="394" t="str">
        <f>IFERROR(VLOOKUP(A2801,[3]DOORSCRIEFT!$A$2:$G$8551,2,FALSE),"")</f>
        <v/>
      </c>
      <c r="D2801" s="393" t="str">
        <f>IFERROR(VLOOKUP(A2801,[3]DOORSCRIEFT!$A$2:$G$8551,3,FALSE),"")</f>
        <v/>
      </c>
      <c r="E2801" s="392" t="str">
        <f>IFERROR(VLOOKUP(A2801,[3]DOORSCRIEFT!$A$2:$G$8551,4,FALSE),"")</f>
        <v/>
      </c>
      <c r="F2801" s="397" t="str">
        <f>IFERROR(VLOOKUP(A2801,[3]DOORSCRIEFT!$A$2:$G$8551,6,FALSE),"")</f>
        <v/>
      </c>
      <c r="G2801" s="315"/>
    </row>
    <row r="2802" spans="1:7" x14ac:dyDescent="0.25">
      <c r="A2802" s="319" t="str">
        <f t="shared" si="80"/>
        <v>I.2.2.02.04337</v>
      </c>
      <c r="B2802" s="319">
        <v>37</v>
      </c>
      <c r="C2802" s="394" t="str">
        <f>IFERROR(VLOOKUP(A2802,[3]DOORSCRIEFT!$A$2:$G$8551,2,FALSE),"")</f>
        <v/>
      </c>
      <c r="D2802" s="393" t="str">
        <f>IFERROR(VLOOKUP(A2802,[3]DOORSCRIEFT!$A$2:$G$8551,3,FALSE),"")</f>
        <v/>
      </c>
      <c r="E2802" s="392" t="str">
        <f>IFERROR(VLOOKUP(A2802,[3]DOORSCRIEFT!$A$2:$G$8551,4,FALSE),"")</f>
        <v/>
      </c>
      <c r="F2802" s="397" t="str">
        <f>IFERROR(VLOOKUP(A2802,[3]DOORSCRIEFT!$A$2:$G$8551,6,FALSE),"")</f>
        <v/>
      </c>
      <c r="G2802" s="315"/>
    </row>
    <row r="2803" spans="1:7" x14ac:dyDescent="0.25">
      <c r="A2803" s="319" t="str">
        <f t="shared" si="80"/>
        <v>I.2.2.02.04338</v>
      </c>
      <c r="B2803" s="319">
        <v>38</v>
      </c>
      <c r="C2803" s="394" t="str">
        <f>IFERROR(VLOOKUP(A2803,[3]DOORSCRIEFT!$A$2:$G$8551,2,FALSE),"")</f>
        <v/>
      </c>
      <c r="D2803" s="393" t="str">
        <f>IFERROR(VLOOKUP(A2803,[3]DOORSCRIEFT!$A$2:$G$8551,3,FALSE),"")</f>
        <v/>
      </c>
      <c r="E2803" s="392" t="str">
        <f>IFERROR(VLOOKUP(A2803,[3]DOORSCRIEFT!$A$2:$G$8551,4,FALSE),"")</f>
        <v/>
      </c>
      <c r="F2803" s="397" t="str">
        <f>IFERROR(VLOOKUP(A2803,[3]DOORSCRIEFT!$A$2:$G$8551,6,FALSE),"")</f>
        <v/>
      </c>
      <c r="G2803" s="315"/>
    </row>
    <row r="2804" spans="1:7" x14ac:dyDescent="0.25">
      <c r="A2804" s="319" t="str">
        <f t="shared" si="80"/>
        <v>I.2.2.02.04339</v>
      </c>
      <c r="B2804" s="319">
        <v>39</v>
      </c>
      <c r="C2804" s="394" t="str">
        <f>IFERROR(VLOOKUP(A2804,[3]DOORSCRIEFT!$A$2:$G$8551,2,FALSE),"")</f>
        <v/>
      </c>
      <c r="D2804" s="393" t="str">
        <f>IFERROR(VLOOKUP(A2804,[3]DOORSCRIEFT!$A$2:$G$8551,3,FALSE),"")</f>
        <v/>
      </c>
      <c r="E2804" s="392" t="str">
        <f>IFERROR(VLOOKUP(A2804,[3]DOORSCRIEFT!$A$2:$G$8551,4,FALSE),"")</f>
        <v/>
      </c>
      <c r="F2804" s="397" t="str">
        <f>IFERROR(VLOOKUP(A2804,[3]DOORSCRIEFT!$A$2:$G$8551,6,FALSE),"")</f>
        <v/>
      </c>
      <c r="G2804" s="315"/>
    </row>
    <row r="2805" spans="1:7" ht="15.75" thickBot="1" x14ac:dyDescent="0.3">
      <c r="A2805" s="345" t="str">
        <f t="shared" si="80"/>
        <v>I.2.2.02.04340</v>
      </c>
      <c r="B2805" s="345">
        <v>40</v>
      </c>
      <c r="C2805" s="394" t="str">
        <f>IFERROR(VLOOKUP(A2805,[3]DOORSCRIEFT!$A$2:$G$8551,2,FALSE),"")</f>
        <v/>
      </c>
      <c r="D2805" s="393" t="str">
        <f>IFERROR(VLOOKUP(A2805,[3]DOORSCRIEFT!$A$2:$G$8551,3,FALSE),"")</f>
        <v/>
      </c>
      <c r="E2805" s="392" t="str">
        <f>IFERROR(VLOOKUP(A2805,[3]DOORSCRIEFT!$A$2:$G$8551,4,FALSE),"")</f>
        <v/>
      </c>
      <c r="F2805" s="397" t="str">
        <f>IFERROR(VLOOKUP(A2805,[3]DOORSCRIEFT!$A$2:$G$8551,6,FALSE),"")</f>
        <v/>
      </c>
      <c r="G2805" s="315"/>
    </row>
    <row r="2806" spans="1:7" ht="15.75" thickBot="1" x14ac:dyDescent="0.3">
      <c r="A2806" s="344"/>
      <c r="B2806" s="343"/>
      <c r="C2806" s="336"/>
      <c r="D2806" s="312"/>
      <c r="E2806" s="311" t="s">
        <v>644</v>
      </c>
      <c r="F2806" s="310">
        <f>SUM(F2766:F2805)</f>
        <v>25273000</v>
      </c>
      <c r="G2806" s="309">
        <f>SUM(G2766:G2805)</f>
        <v>0</v>
      </c>
    </row>
    <row r="2807" spans="1:7" x14ac:dyDescent="0.25">
      <c r="C2807" s="335"/>
    </row>
    <row r="2808" spans="1:7" x14ac:dyDescent="0.25">
      <c r="C2808" s="335"/>
    </row>
    <row r="2809" spans="1:7" ht="15.75" x14ac:dyDescent="0.25">
      <c r="C2809" s="334"/>
      <c r="D2809" s="333"/>
      <c r="E2809" s="332"/>
      <c r="F2809" s="327" t="s">
        <v>607</v>
      </c>
      <c r="G2809" s="327" t="s">
        <v>460</v>
      </c>
    </row>
    <row r="2810" spans="1:7" ht="15.75" x14ac:dyDescent="0.25">
      <c r="C2810" s="334"/>
      <c r="D2810" s="333"/>
      <c r="E2810" s="332"/>
      <c r="F2810" s="327" t="s">
        <v>601</v>
      </c>
      <c r="G2810" s="327" t="s">
        <v>459</v>
      </c>
    </row>
    <row r="2811" spans="1:7" x14ac:dyDescent="0.25">
      <c r="C2811" s="330"/>
      <c r="D2811" s="329"/>
      <c r="E2811" s="328"/>
      <c r="F2811" s="327" t="s">
        <v>651</v>
      </c>
      <c r="G2811" s="331">
        <f>[2]Sheet1!$D$71</f>
        <v>9000000</v>
      </c>
    </row>
    <row r="2812" spans="1:7" ht="15.75" thickBot="1" x14ac:dyDescent="0.3">
      <c r="C2812" s="330"/>
      <c r="D2812" s="329"/>
      <c r="E2812" s="328"/>
      <c r="F2812" s="327" t="s">
        <v>650</v>
      </c>
      <c r="G2812" s="326">
        <f>+F2850-G2811</f>
        <v>-1527000</v>
      </c>
    </row>
    <row r="2813" spans="1:7" x14ac:dyDescent="0.25">
      <c r="A2813" s="571" t="s">
        <v>626</v>
      </c>
      <c r="B2813" s="584" t="s">
        <v>606</v>
      </c>
      <c r="C2813" s="588" t="s">
        <v>649</v>
      </c>
      <c r="D2813" s="577" t="s">
        <v>648</v>
      </c>
      <c r="E2813" s="577" t="s">
        <v>647</v>
      </c>
      <c r="F2813" s="577" t="s">
        <v>646</v>
      </c>
      <c r="G2813" s="580" t="s">
        <v>645</v>
      </c>
    </row>
    <row r="2814" spans="1:7" ht="15.75" thickBot="1" x14ac:dyDescent="0.3">
      <c r="A2814" s="572"/>
      <c r="B2814" s="585"/>
      <c r="C2814" s="589"/>
      <c r="D2814" s="586"/>
      <c r="E2814" s="586"/>
      <c r="F2814" s="586"/>
      <c r="G2814" s="587"/>
    </row>
    <row r="2815" spans="1:7" ht="15.75" thickBot="1" x14ac:dyDescent="0.3">
      <c r="A2815" s="325">
        <v>1</v>
      </c>
      <c r="B2815" s="324">
        <v>2</v>
      </c>
      <c r="C2815" s="324">
        <v>3</v>
      </c>
      <c r="D2815" s="324">
        <v>4</v>
      </c>
      <c r="E2815" s="324">
        <v>5</v>
      </c>
      <c r="F2815" s="324">
        <v>6</v>
      </c>
      <c r="G2815" s="323">
        <v>7</v>
      </c>
    </row>
    <row r="2816" spans="1:7" x14ac:dyDescent="0.25">
      <c r="A2816" s="339" t="str">
        <f t="shared" ref="A2816:A2849" si="81">$G$2809&amp;B2816</f>
        <v>I.2.2.02.0441</v>
      </c>
      <c r="B2816" s="339">
        <v>1</v>
      </c>
      <c r="C2816" s="394">
        <f>IFERROR(VLOOKUP(A2816,[3]DOORSCRIEFT!$A$2:$G$8551,2,FALSE),"")</f>
        <v>465</v>
      </c>
      <c r="D2816" s="393">
        <f>IFERROR(VLOOKUP(A2816,[3]DOORSCRIEFT!$A$2:$G$8551,3,FALSE),"")</f>
        <v>46115</v>
      </c>
      <c r="E2816" s="392">
        <f>IFERROR(VLOOKUP(A2816,[3]DOORSCRIEFT!$A$2:$G$8551,4,FALSE),"")</f>
        <v>0</v>
      </c>
      <c r="F2816" s="397">
        <f>IFERROR(VLOOKUP(A2816,[3]DOORSCRIEFT!$A$2:$G$8551,6,FALSE),"")</f>
        <v>7473000</v>
      </c>
      <c r="G2816" s="322"/>
    </row>
    <row r="2817" spans="1:7" x14ac:dyDescent="0.25">
      <c r="A2817" s="319" t="str">
        <f t="shared" si="81"/>
        <v>I.2.2.02.0442</v>
      </c>
      <c r="B2817" s="319">
        <v>2</v>
      </c>
      <c r="C2817" s="394" t="str">
        <f>IFERROR(VLOOKUP(A2817,[3]DOORSCRIEFT!$A$2:$G$8551,2,FALSE),"")</f>
        <v/>
      </c>
      <c r="D2817" s="393" t="str">
        <f>IFERROR(VLOOKUP(A2817,[3]DOORSCRIEFT!$A$2:$G$8551,3,FALSE),"")</f>
        <v/>
      </c>
      <c r="E2817" s="392" t="str">
        <f>IFERROR(VLOOKUP(A2817,[3]DOORSCRIEFT!$A$2:$G$8551,4,FALSE),"")</f>
        <v/>
      </c>
      <c r="F2817" s="397" t="str">
        <f>IFERROR(VLOOKUP(A2817,[3]DOORSCRIEFT!$A$2:$G$8551,6,FALSE),"")</f>
        <v/>
      </c>
      <c r="G2817" s="315"/>
    </row>
    <row r="2818" spans="1:7" x14ac:dyDescent="0.25">
      <c r="A2818" s="319" t="str">
        <f t="shared" si="81"/>
        <v>I.2.2.02.0443</v>
      </c>
      <c r="B2818" s="319">
        <v>3</v>
      </c>
      <c r="C2818" s="394" t="str">
        <f>IFERROR(VLOOKUP(A2818,[3]DOORSCRIEFT!$A$2:$G$8551,2,FALSE),"")</f>
        <v/>
      </c>
      <c r="D2818" s="393" t="str">
        <f>IFERROR(VLOOKUP(A2818,[3]DOORSCRIEFT!$A$2:$G$8551,3,FALSE),"")</f>
        <v/>
      </c>
      <c r="E2818" s="392" t="str">
        <f>IFERROR(VLOOKUP(A2818,[3]DOORSCRIEFT!$A$2:$G$8551,4,FALSE),"")</f>
        <v/>
      </c>
      <c r="F2818" s="397" t="str">
        <f>IFERROR(VLOOKUP(A2818,[3]DOORSCRIEFT!$A$2:$G$8551,6,FALSE),"")</f>
        <v/>
      </c>
      <c r="G2818" s="315"/>
    </row>
    <row r="2819" spans="1:7" x14ac:dyDescent="0.25">
      <c r="A2819" s="319" t="str">
        <f t="shared" si="81"/>
        <v>I.2.2.02.0444</v>
      </c>
      <c r="B2819" s="319">
        <v>4</v>
      </c>
      <c r="C2819" s="394" t="str">
        <f>IFERROR(VLOOKUP(A2819,[3]DOORSCRIEFT!$A$2:$G$8551,2,FALSE),"")</f>
        <v/>
      </c>
      <c r="D2819" s="393" t="str">
        <f>IFERROR(VLOOKUP(A2819,[3]DOORSCRIEFT!$A$2:$G$8551,3,FALSE),"")</f>
        <v/>
      </c>
      <c r="E2819" s="392" t="str">
        <f>IFERROR(VLOOKUP(A2819,[3]DOORSCRIEFT!$A$2:$G$8551,4,FALSE),"")</f>
        <v/>
      </c>
      <c r="F2819" s="397" t="str">
        <f>IFERROR(VLOOKUP(A2819,[3]DOORSCRIEFT!$A$2:$G$8551,6,FALSE),"")</f>
        <v/>
      </c>
      <c r="G2819" s="315"/>
    </row>
    <row r="2820" spans="1:7" x14ac:dyDescent="0.25">
      <c r="A2820" s="319" t="str">
        <f t="shared" si="81"/>
        <v>I.2.2.02.0445</v>
      </c>
      <c r="B2820" s="319">
        <v>5</v>
      </c>
      <c r="C2820" s="394" t="str">
        <f>IFERROR(VLOOKUP(A2820,[3]DOORSCRIEFT!$A$2:$G$8551,2,FALSE),"")</f>
        <v/>
      </c>
      <c r="D2820" s="393" t="str">
        <f>IFERROR(VLOOKUP(A2820,[3]DOORSCRIEFT!$A$2:$G$8551,3,FALSE),"")</f>
        <v/>
      </c>
      <c r="E2820" s="392" t="str">
        <f>IFERROR(VLOOKUP(A2820,[3]DOORSCRIEFT!$A$2:$G$8551,4,FALSE),"")</f>
        <v/>
      </c>
      <c r="F2820" s="397" t="str">
        <f>IFERROR(VLOOKUP(A2820,[3]DOORSCRIEFT!$A$2:$G$8551,6,FALSE),"")</f>
        <v/>
      </c>
      <c r="G2820" s="315"/>
    </row>
    <row r="2821" spans="1:7" x14ac:dyDescent="0.25">
      <c r="A2821" s="319" t="str">
        <f t="shared" si="81"/>
        <v>I.2.2.02.0446</v>
      </c>
      <c r="B2821" s="319">
        <v>6</v>
      </c>
      <c r="C2821" s="394" t="str">
        <f>IFERROR(VLOOKUP(A2821,[3]DOORSCRIEFT!$A$2:$G$8551,2,FALSE),"")</f>
        <v/>
      </c>
      <c r="D2821" s="393" t="str">
        <f>IFERROR(VLOOKUP(A2821,[3]DOORSCRIEFT!$A$2:$G$8551,3,FALSE),"")</f>
        <v/>
      </c>
      <c r="E2821" s="392" t="str">
        <f>IFERROR(VLOOKUP(A2821,[3]DOORSCRIEFT!$A$2:$G$8551,4,FALSE),"")</f>
        <v/>
      </c>
      <c r="F2821" s="397" t="str">
        <f>IFERROR(VLOOKUP(A2821,[3]DOORSCRIEFT!$A$2:$G$8551,6,FALSE),"")</f>
        <v/>
      </c>
      <c r="G2821" s="315"/>
    </row>
    <row r="2822" spans="1:7" x14ac:dyDescent="0.25">
      <c r="A2822" s="319" t="str">
        <f t="shared" si="81"/>
        <v>I.2.2.02.0447</v>
      </c>
      <c r="B2822" s="319">
        <v>7</v>
      </c>
      <c r="C2822" s="394" t="str">
        <f>IFERROR(VLOOKUP(A2822,[3]DOORSCRIEFT!$A$2:$G$8551,2,FALSE),"")</f>
        <v/>
      </c>
      <c r="D2822" s="393" t="str">
        <f>IFERROR(VLOOKUP(A2822,[3]DOORSCRIEFT!$A$2:$G$8551,3,FALSE),"")</f>
        <v/>
      </c>
      <c r="E2822" s="392" t="str">
        <f>IFERROR(VLOOKUP(A2822,[3]DOORSCRIEFT!$A$2:$G$8551,4,FALSE),"")</f>
        <v/>
      </c>
      <c r="F2822" s="397" t="str">
        <f>IFERROR(VLOOKUP(A2822,[3]DOORSCRIEFT!$A$2:$G$8551,6,FALSE),"")</f>
        <v/>
      </c>
      <c r="G2822" s="315"/>
    </row>
    <row r="2823" spans="1:7" x14ac:dyDescent="0.25">
      <c r="A2823" s="319" t="str">
        <f t="shared" si="81"/>
        <v>I.2.2.02.0448</v>
      </c>
      <c r="B2823" s="319">
        <v>8</v>
      </c>
      <c r="C2823" s="394" t="str">
        <f>IFERROR(VLOOKUP(A2823,[3]DOORSCRIEFT!$A$2:$G$8551,2,FALSE),"")</f>
        <v/>
      </c>
      <c r="D2823" s="393" t="str">
        <f>IFERROR(VLOOKUP(A2823,[3]DOORSCRIEFT!$A$2:$G$8551,3,FALSE),"")</f>
        <v/>
      </c>
      <c r="E2823" s="392" t="str">
        <f>IFERROR(VLOOKUP(A2823,[3]DOORSCRIEFT!$A$2:$G$8551,4,FALSE),"")</f>
        <v/>
      </c>
      <c r="F2823" s="397" t="str">
        <f>IFERROR(VLOOKUP(A2823,[3]DOORSCRIEFT!$A$2:$G$8551,6,FALSE),"")</f>
        <v/>
      </c>
      <c r="G2823" s="315"/>
    </row>
    <row r="2824" spans="1:7" x14ac:dyDescent="0.25">
      <c r="A2824" s="319" t="str">
        <f t="shared" si="81"/>
        <v>I.2.2.02.0449</v>
      </c>
      <c r="B2824" s="319">
        <v>9</v>
      </c>
      <c r="C2824" s="394" t="str">
        <f>IFERROR(VLOOKUP(A2824,[3]DOORSCRIEFT!$A$2:$G$8551,2,FALSE),"")</f>
        <v/>
      </c>
      <c r="D2824" s="393" t="str">
        <f>IFERROR(VLOOKUP(A2824,[3]DOORSCRIEFT!$A$2:$G$8551,3,FALSE),"")</f>
        <v/>
      </c>
      <c r="E2824" s="392" t="str">
        <f>IFERROR(VLOOKUP(A2824,[3]DOORSCRIEFT!$A$2:$G$8551,4,FALSE),"")</f>
        <v/>
      </c>
      <c r="F2824" s="397" t="str">
        <f>IFERROR(VLOOKUP(A2824,[3]DOORSCRIEFT!$A$2:$G$8551,6,FALSE),"")</f>
        <v/>
      </c>
      <c r="G2824" s="315"/>
    </row>
    <row r="2825" spans="1:7" x14ac:dyDescent="0.25">
      <c r="A2825" s="319" t="str">
        <f t="shared" si="81"/>
        <v>I.2.2.02.04410</v>
      </c>
      <c r="B2825" s="319">
        <v>10</v>
      </c>
      <c r="C2825" s="394" t="str">
        <f>IFERROR(VLOOKUP(A2825,[3]DOORSCRIEFT!$A$2:$G$8551,2,FALSE),"")</f>
        <v/>
      </c>
      <c r="D2825" s="393" t="str">
        <f>IFERROR(VLOOKUP(A2825,[3]DOORSCRIEFT!$A$2:$G$8551,3,FALSE),"")</f>
        <v/>
      </c>
      <c r="E2825" s="392" t="str">
        <f>IFERROR(VLOOKUP(A2825,[3]DOORSCRIEFT!$A$2:$G$8551,4,FALSE),"")</f>
        <v/>
      </c>
      <c r="F2825" s="397" t="str">
        <f>IFERROR(VLOOKUP(A2825,[3]DOORSCRIEFT!$A$2:$G$8551,6,FALSE),"")</f>
        <v/>
      </c>
      <c r="G2825" s="315"/>
    </row>
    <row r="2826" spans="1:7" x14ac:dyDescent="0.25">
      <c r="A2826" s="319" t="str">
        <f t="shared" si="81"/>
        <v>I.2.2.02.04411</v>
      </c>
      <c r="B2826" s="319">
        <v>11</v>
      </c>
      <c r="C2826" s="394" t="str">
        <f>IFERROR(VLOOKUP(A2826,[3]DOORSCRIEFT!$A$2:$G$8551,2,FALSE),"")</f>
        <v/>
      </c>
      <c r="D2826" s="393" t="str">
        <f>IFERROR(VLOOKUP(A2826,[3]DOORSCRIEFT!$A$2:$G$8551,3,FALSE),"")</f>
        <v/>
      </c>
      <c r="E2826" s="392" t="str">
        <f>IFERROR(VLOOKUP(A2826,[3]DOORSCRIEFT!$A$2:$G$8551,4,FALSE),"")</f>
        <v/>
      </c>
      <c r="F2826" s="397" t="str">
        <f>IFERROR(VLOOKUP(A2826,[3]DOORSCRIEFT!$A$2:$G$8551,6,FALSE),"")</f>
        <v/>
      </c>
      <c r="G2826" s="315"/>
    </row>
    <row r="2827" spans="1:7" x14ac:dyDescent="0.25">
      <c r="A2827" s="319" t="str">
        <f t="shared" si="81"/>
        <v>I.2.2.02.04412</v>
      </c>
      <c r="B2827" s="319">
        <v>12</v>
      </c>
      <c r="C2827" s="394" t="str">
        <f>IFERROR(VLOOKUP(A2827,[3]DOORSCRIEFT!$A$2:$G$8551,2,FALSE),"")</f>
        <v/>
      </c>
      <c r="D2827" s="393" t="str">
        <f>IFERROR(VLOOKUP(A2827,[3]DOORSCRIEFT!$A$2:$G$8551,3,FALSE),"")</f>
        <v/>
      </c>
      <c r="E2827" s="392" t="str">
        <f>IFERROR(VLOOKUP(A2827,[3]DOORSCRIEFT!$A$2:$G$8551,4,FALSE),"")</f>
        <v/>
      </c>
      <c r="F2827" s="397" t="str">
        <f>IFERROR(VLOOKUP(A2827,[3]DOORSCRIEFT!$A$2:$G$8551,6,FALSE),"")</f>
        <v/>
      </c>
      <c r="G2827" s="315"/>
    </row>
    <row r="2828" spans="1:7" x14ac:dyDescent="0.25">
      <c r="A2828" s="319" t="str">
        <f t="shared" si="81"/>
        <v>I.2.2.02.04413</v>
      </c>
      <c r="B2828" s="319">
        <v>13</v>
      </c>
      <c r="C2828" s="394" t="str">
        <f>IFERROR(VLOOKUP(A2828,[3]DOORSCRIEFT!$A$2:$G$8551,2,FALSE),"")</f>
        <v/>
      </c>
      <c r="D2828" s="393" t="str">
        <f>IFERROR(VLOOKUP(A2828,[3]DOORSCRIEFT!$A$2:$G$8551,3,FALSE),"")</f>
        <v/>
      </c>
      <c r="E2828" s="392" t="str">
        <f>IFERROR(VLOOKUP(A2828,[3]DOORSCRIEFT!$A$2:$G$8551,4,FALSE),"")</f>
        <v/>
      </c>
      <c r="F2828" s="397" t="str">
        <f>IFERROR(VLOOKUP(A2828,[3]DOORSCRIEFT!$A$2:$G$8551,6,FALSE),"")</f>
        <v/>
      </c>
      <c r="G2828" s="315"/>
    </row>
    <row r="2829" spans="1:7" x14ac:dyDescent="0.25">
      <c r="A2829" s="319" t="str">
        <f t="shared" si="81"/>
        <v>I.2.2.02.04414</v>
      </c>
      <c r="B2829" s="319">
        <v>14</v>
      </c>
      <c r="C2829" s="394" t="str">
        <f>IFERROR(VLOOKUP(A2829,[3]DOORSCRIEFT!$A$2:$G$8551,2,FALSE),"")</f>
        <v/>
      </c>
      <c r="D2829" s="393" t="str">
        <f>IFERROR(VLOOKUP(A2829,[3]DOORSCRIEFT!$A$2:$G$8551,3,FALSE),"")</f>
        <v/>
      </c>
      <c r="E2829" s="392" t="str">
        <f>IFERROR(VLOOKUP(A2829,[3]DOORSCRIEFT!$A$2:$G$8551,4,FALSE),"")</f>
        <v/>
      </c>
      <c r="F2829" s="397" t="str">
        <f>IFERROR(VLOOKUP(A2829,[3]DOORSCRIEFT!$A$2:$G$8551,6,FALSE),"")</f>
        <v/>
      </c>
      <c r="G2829" s="315"/>
    </row>
    <row r="2830" spans="1:7" x14ac:dyDescent="0.25">
      <c r="A2830" s="319" t="str">
        <f t="shared" si="81"/>
        <v>I.2.2.02.04415</v>
      </c>
      <c r="B2830" s="319">
        <v>15</v>
      </c>
      <c r="C2830" s="394" t="str">
        <f>IFERROR(VLOOKUP(A2830,[3]DOORSCRIEFT!$A$2:$G$8551,2,FALSE),"")</f>
        <v/>
      </c>
      <c r="D2830" s="393" t="str">
        <f>IFERROR(VLOOKUP(A2830,[3]DOORSCRIEFT!$A$2:$G$8551,3,FALSE),"")</f>
        <v/>
      </c>
      <c r="E2830" s="392" t="str">
        <f>IFERROR(VLOOKUP(A2830,[3]DOORSCRIEFT!$A$2:$G$8551,4,FALSE),"")</f>
        <v/>
      </c>
      <c r="F2830" s="397" t="str">
        <f>IFERROR(VLOOKUP(A2830,[3]DOORSCRIEFT!$A$2:$G$8551,6,FALSE),"")</f>
        <v/>
      </c>
      <c r="G2830" s="315"/>
    </row>
    <row r="2831" spans="1:7" x14ac:dyDescent="0.25">
      <c r="A2831" s="319" t="str">
        <f t="shared" si="81"/>
        <v>I.2.2.02.04416</v>
      </c>
      <c r="B2831" s="319">
        <v>16</v>
      </c>
      <c r="C2831" s="394" t="str">
        <f>IFERROR(VLOOKUP(A2831,[3]DOORSCRIEFT!$A$2:$G$8551,2,FALSE),"")</f>
        <v/>
      </c>
      <c r="D2831" s="393" t="str">
        <f>IFERROR(VLOOKUP(A2831,[3]DOORSCRIEFT!$A$2:$G$8551,3,FALSE),"")</f>
        <v/>
      </c>
      <c r="E2831" s="392" t="str">
        <f>IFERROR(VLOOKUP(A2831,[3]DOORSCRIEFT!$A$2:$G$8551,4,FALSE),"")</f>
        <v/>
      </c>
      <c r="F2831" s="397" t="str">
        <f>IFERROR(VLOOKUP(A2831,[3]DOORSCRIEFT!$A$2:$G$8551,6,FALSE),"")</f>
        <v/>
      </c>
      <c r="G2831" s="315"/>
    </row>
    <row r="2832" spans="1:7" x14ac:dyDescent="0.25">
      <c r="A2832" s="319" t="str">
        <f t="shared" si="81"/>
        <v>I.2.2.02.04417</v>
      </c>
      <c r="B2832" s="319">
        <v>17</v>
      </c>
      <c r="C2832" s="394" t="str">
        <f>IFERROR(VLOOKUP(A2832,[3]DOORSCRIEFT!$A$2:$G$8551,2,FALSE),"")</f>
        <v/>
      </c>
      <c r="D2832" s="393" t="str">
        <f>IFERROR(VLOOKUP(A2832,[3]DOORSCRIEFT!$A$2:$G$8551,3,FALSE),"")</f>
        <v/>
      </c>
      <c r="E2832" s="392" t="str">
        <f>IFERROR(VLOOKUP(A2832,[3]DOORSCRIEFT!$A$2:$G$8551,4,FALSE),"")</f>
        <v/>
      </c>
      <c r="F2832" s="397" t="str">
        <f>IFERROR(VLOOKUP(A2832,[3]DOORSCRIEFT!$A$2:$G$8551,6,FALSE),"")</f>
        <v/>
      </c>
      <c r="G2832" s="315"/>
    </row>
    <row r="2833" spans="1:7" x14ac:dyDescent="0.25">
      <c r="A2833" s="319" t="str">
        <f t="shared" si="81"/>
        <v>I.2.2.02.04418</v>
      </c>
      <c r="B2833" s="319">
        <v>18</v>
      </c>
      <c r="C2833" s="394" t="str">
        <f>IFERROR(VLOOKUP(A2833,[3]DOORSCRIEFT!$A$2:$G$8551,2,FALSE),"")</f>
        <v/>
      </c>
      <c r="D2833" s="393" t="str">
        <f>IFERROR(VLOOKUP(A2833,[3]DOORSCRIEFT!$A$2:$G$8551,3,FALSE),"")</f>
        <v/>
      </c>
      <c r="E2833" s="392" t="str">
        <f>IFERROR(VLOOKUP(A2833,[3]DOORSCRIEFT!$A$2:$G$8551,4,FALSE),"")</f>
        <v/>
      </c>
      <c r="F2833" s="397" t="str">
        <f>IFERROR(VLOOKUP(A2833,[3]DOORSCRIEFT!$A$2:$G$8551,6,FALSE),"")</f>
        <v/>
      </c>
      <c r="G2833" s="315"/>
    </row>
    <row r="2834" spans="1:7" x14ac:dyDescent="0.25">
      <c r="A2834" s="319" t="str">
        <f t="shared" si="81"/>
        <v>I.2.2.02.04419</v>
      </c>
      <c r="B2834" s="319">
        <v>19</v>
      </c>
      <c r="C2834" s="394" t="str">
        <f>IFERROR(VLOOKUP(A2834,[3]DOORSCRIEFT!$A$2:$G$8551,2,FALSE),"")</f>
        <v/>
      </c>
      <c r="D2834" s="393" t="str">
        <f>IFERROR(VLOOKUP(A2834,[3]DOORSCRIEFT!$A$2:$G$8551,3,FALSE),"")</f>
        <v/>
      </c>
      <c r="E2834" s="392" t="str">
        <f>IFERROR(VLOOKUP(A2834,[3]DOORSCRIEFT!$A$2:$G$8551,4,FALSE),"")</f>
        <v/>
      </c>
      <c r="F2834" s="397" t="str">
        <f>IFERROR(VLOOKUP(A2834,[3]DOORSCRIEFT!$A$2:$G$8551,6,FALSE),"")</f>
        <v/>
      </c>
      <c r="G2834" s="315"/>
    </row>
    <row r="2835" spans="1:7" x14ac:dyDescent="0.25">
      <c r="A2835" s="319" t="str">
        <f t="shared" si="81"/>
        <v>I.2.2.02.04420</v>
      </c>
      <c r="B2835" s="319">
        <v>20</v>
      </c>
      <c r="C2835" s="394" t="str">
        <f>IFERROR(VLOOKUP(A2835,[3]DOORSCRIEFT!$A$2:$G$8551,2,FALSE),"")</f>
        <v/>
      </c>
      <c r="D2835" s="393" t="str">
        <f>IFERROR(VLOOKUP(A2835,[3]DOORSCRIEFT!$A$2:$G$8551,3,FALSE),"")</f>
        <v/>
      </c>
      <c r="E2835" s="392" t="str">
        <f>IFERROR(VLOOKUP(A2835,[3]DOORSCRIEFT!$A$2:$G$8551,4,FALSE),"")</f>
        <v/>
      </c>
      <c r="F2835" s="397" t="str">
        <f>IFERROR(VLOOKUP(A2835,[3]DOORSCRIEFT!$A$2:$G$8551,6,FALSE),"")</f>
        <v/>
      </c>
      <c r="G2835" s="315"/>
    </row>
    <row r="2836" spans="1:7" x14ac:dyDescent="0.25">
      <c r="A2836" s="319" t="str">
        <f t="shared" si="81"/>
        <v>I.2.2.02.04421</v>
      </c>
      <c r="B2836" s="319">
        <v>21</v>
      </c>
      <c r="C2836" s="394" t="str">
        <f>IFERROR(VLOOKUP(A2836,[3]DOORSCRIEFT!$A$2:$G$8551,2,FALSE),"")</f>
        <v/>
      </c>
      <c r="D2836" s="393" t="str">
        <f>IFERROR(VLOOKUP(A2836,[3]DOORSCRIEFT!$A$2:$G$8551,3,FALSE),"")</f>
        <v/>
      </c>
      <c r="E2836" s="392" t="str">
        <f>IFERROR(VLOOKUP(A2836,[3]DOORSCRIEFT!$A$2:$G$8551,4,FALSE),"")</f>
        <v/>
      </c>
      <c r="F2836" s="397" t="str">
        <f>IFERROR(VLOOKUP(A2836,[3]DOORSCRIEFT!$A$2:$G$8551,6,FALSE),"")</f>
        <v/>
      </c>
      <c r="G2836" s="315"/>
    </row>
    <row r="2837" spans="1:7" x14ac:dyDescent="0.25">
      <c r="A2837" s="319" t="str">
        <f t="shared" si="81"/>
        <v>I.2.2.02.04422</v>
      </c>
      <c r="B2837" s="319">
        <v>22</v>
      </c>
      <c r="C2837" s="394" t="str">
        <f>IFERROR(VLOOKUP(A2837,[3]DOORSCRIEFT!$A$2:$G$8551,2,FALSE),"")</f>
        <v/>
      </c>
      <c r="D2837" s="393" t="str">
        <f>IFERROR(VLOOKUP(A2837,[3]DOORSCRIEFT!$A$2:$G$8551,3,FALSE),"")</f>
        <v/>
      </c>
      <c r="E2837" s="392" t="str">
        <f>IFERROR(VLOOKUP(A2837,[3]DOORSCRIEFT!$A$2:$G$8551,4,FALSE),"")</f>
        <v/>
      </c>
      <c r="F2837" s="397" t="str">
        <f>IFERROR(VLOOKUP(A2837,[3]DOORSCRIEFT!$A$2:$G$8551,6,FALSE),"")</f>
        <v/>
      </c>
      <c r="G2837" s="315"/>
    </row>
    <row r="2838" spans="1:7" x14ac:dyDescent="0.25">
      <c r="A2838" s="319" t="str">
        <f t="shared" si="81"/>
        <v>I.2.2.02.04423</v>
      </c>
      <c r="B2838" s="319">
        <v>23</v>
      </c>
      <c r="C2838" s="394" t="str">
        <f>IFERROR(VLOOKUP(A2838,[3]DOORSCRIEFT!$A$2:$G$8551,2,FALSE),"")</f>
        <v/>
      </c>
      <c r="D2838" s="393" t="str">
        <f>IFERROR(VLOOKUP(A2838,[3]DOORSCRIEFT!$A$2:$G$8551,3,FALSE),"")</f>
        <v/>
      </c>
      <c r="E2838" s="392" t="str">
        <f>IFERROR(VLOOKUP(A2838,[3]DOORSCRIEFT!$A$2:$G$8551,4,FALSE),"")</f>
        <v/>
      </c>
      <c r="F2838" s="397" t="str">
        <f>IFERROR(VLOOKUP(A2838,[3]DOORSCRIEFT!$A$2:$G$8551,6,FALSE),"")</f>
        <v/>
      </c>
      <c r="G2838" s="315"/>
    </row>
    <row r="2839" spans="1:7" x14ac:dyDescent="0.25">
      <c r="A2839" s="319" t="str">
        <f t="shared" si="81"/>
        <v>I.2.2.02.04424</v>
      </c>
      <c r="B2839" s="319">
        <v>24</v>
      </c>
      <c r="C2839" s="394" t="str">
        <f>IFERROR(VLOOKUP(A2839,[3]DOORSCRIEFT!$A$2:$G$8551,2,FALSE),"")</f>
        <v/>
      </c>
      <c r="D2839" s="393" t="str">
        <f>IFERROR(VLOOKUP(A2839,[3]DOORSCRIEFT!$A$2:$G$8551,3,FALSE),"")</f>
        <v/>
      </c>
      <c r="E2839" s="392" t="str">
        <f>IFERROR(VLOOKUP(A2839,[3]DOORSCRIEFT!$A$2:$G$8551,4,FALSE),"")</f>
        <v/>
      </c>
      <c r="F2839" s="397" t="str">
        <f>IFERROR(VLOOKUP(A2839,[3]DOORSCRIEFT!$A$2:$G$8551,6,FALSE),"")</f>
        <v/>
      </c>
      <c r="G2839" s="315"/>
    </row>
    <row r="2840" spans="1:7" x14ac:dyDescent="0.25">
      <c r="A2840" s="319" t="str">
        <f t="shared" si="81"/>
        <v>I.2.2.02.04425</v>
      </c>
      <c r="B2840" s="319">
        <v>25</v>
      </c>
      <c r="C2840" s="394" t="str">
        <f>IFERROR(VLOOKUP(A2840,[3]DOORSCRIEFT!$A$2:$G$8551,2,FALSE),"")</f>
        <v/>
      </c>
      <c r="D2840" s="393" t="str">
        <f>IFERROR(VLOOKUP(A2840,[3]DOORSCRIEFT!$A$2:$G$8551,3,FALSE),"")</f>
        <v/>
      </c>
      <c r="E2840" s="392" t="str">
        <f>IFERROR(VLOOKUP(A2840,[3]DOORSCRIEFT!$A$2:$G$8551,4,FALSE),"")</f>
        <v/>
      </c>
      <c r="F2840" s="397" t="str">
        <f>IFERROR(VLOOKUP(A2840,[3]DOORSCRIEFT!$A$2:$G$8551,6,FALSE),"")</f>
        <v/>
      </c>
      <c r="G2840" s="315"/>
    </row>
    <row r="2841" spans="1:7" x14ac:dyDescent="0.25">
      <c r="A2841" s="319" t="str">
        <f t="shared" si="81"/>
        <v>I.2.2.02.04426</v>
      </c>
      <c r="B2841" s="319">
        <v>26</v>
      </c>
      <c r="C2841" s="394" t="str">
        <f>IFERROR(VLOOKUP(A2841,[3]DOORSCRIEFT!$A$2:$G$8551,2,FALSE),"")</f>
        <v/>
      </c>
      <c r="D2841" s="393" t="str">
        <f>IFERROR(VLOOKUP(A2841,[3]DOORSCRIEFT!$A$2:$G$8551,3,FALSE),"")</f>
        <v/>
      </c>
      <c r="E2841" s="392" t="str">
        <f>IFERROR(VLOOKUP(A2841,[3]DOORSCRIEFT!$A$2:$G$8551,4,FALSE),"")</f>
        <v/>
      </c>
      <c r="F2841" s="397" t="str">
        <f>IFERROR(VLOOKUP(A2841,[3]DOORSCRIEFT!$A$2:$G$8551,6,FALSE),"")</f>
        <v/>
      </c>
      <c r="G2841" s="315"/>
    </row>
    <row r="2842" spans="1:7" x14ac:dyDescent="0.25">
      <c r="A2842" s="319" t="str">
        <f t="shared" si="81"/>
        <v>I.2.2.02.04427</v>
      </c>
      <c r="B2842" s="319">
        <v>27</v>
      </c>
      <c r="C2842" s="394" t="str">
        <f>IFERROR(VLOOKUP(A2842,[3]DOORSCRIEFT!$A$2:$G$8551,2,FALSE),"")</f>
        <v/>
      </c>
      <c r="D2842" s="393" t="str">
        <f>IFERROR(VLOOKUP(A2842,[3]DOORSCRIEFT!$A$2:$G$8551,3,FALSE),"")</f>
        <v/>
      </c>
      <c r="E2842" s="392" t="str">
        <f>IFERROR(VLOOKUP(A2842,[3]DOORSCRIEFT!$A$2:$G$8551,4,FALSE),"")</f>
        <v/>
      </c>
      <c r="F2842" s="397" t="str">
        <f>IFERROR(VLOOKUP(A2842,[3]DOORSCRIEFT!$A$2:$G$8551,6,FALSE),"")</f>
        <v/>
      </c>
      <c r="G2842" s="315"/>
    </row>
    <row r="2843" spans="1:7" x14ac:dyDescent="0.25">
      <c r="A2843" s="319" t="str">
        <f t="shared" si="81"/>
        <v>I.2.2.02.04428</v>
      </c>
      <c r="B2843" s="319">
        <v>28</v>
      </c>
      <c r="C2843" s="394" t="str">
        <f>IFERROR(VLOOKUP(A2843,[3]DOORSCRIEFT!$A$2:$G$8551,2,FALSE),"")</f>
        <v/>
      </c>
      <c r="D2843" s="393" t="str">
        <f>IFERROR(VLOOKUP(A2843,[3]DOORSCRIEFT!$A$2:$G$8551,3,FALSE),"")</f>
        <v/>
      </c>
      <c r="E2843" s="392" t="str">
        <f>IFERROR(VLOOKUP(A2843,[3]DOORSCRIEFT!$A$2:$G$8551,4,FALSE),"")</f>
        <v/>
      </c>
      <c r="F2843" s="397" t="str">
        <f>IFERROR(VLOOKUP(A2843,[3]DOORSCRIEFT!$A$2:$G$8551,6,FALSE),"")</f>
        <v/>
      </c>
      <c r="G2843" s="315"/>
    </row>
    <row r="2844" spans="1:7" x14ac:dyDescent="0.25">
      <c r="A2844" s="319" t="str">
        <f t="shared" si="81"/>
        <v>I.2.2.02.04429</v>
      </c>
      <c r="B2844" s="319">
        <v>29</v>
      </c>
      <c r="C2844" s="394" t="str">
        <f>IFERROR(VLOOKUP(A2844,[3]DOORSCRIEFT!$A$2:$G$8551,2,FALSE),"")</f>
        <v/>
      </c>
      <c r="D2844" s="393" t="str">
        <f>IFERROR(VLOOKUP(A2844,[3]DOORSCRIEFT!$A$2:$G$8551,3,FALSE),"")</f>
        <v/>
      </c>
      <c r="E2844" s="392" t="str">
        <f>IFERROR(VLOOKUP(A2844,[3]DOORSCRIEFT!$A$2:$G$8551,4,FALSE),"")</f>
        <v/>
      </c>
      <c r="F2844" s="397" t="str">
        <f>IFERROR(VLOOKUP(A2844,[3]DOORSCRIEFT!$A$2:$G$8551,6,FALSE),"")</f>
        <v/>
      </c>
      <c r="G2844" s="315"/>
    </row>
    <row r="2845" spans="1:7" x14ac:dyDescent="0.25">
      <c r="A2845" s="319" t="str">
        <f t="shared" si="81"/>
        <v>I.2.2.02.04430</v>
      </c>
      <c r="B2845" s="319">
        <v>30</v>
      </c>
      <c r="C2845" s="394" t="str">
        <f>IFERROR(VLOOKUP(A2845,[3]DOORSCRIEFT!$A$2:$G$8551,2,FALSE),"")</f>
        <v/>
      </c>
      <c r="D2845" s="393" t="str">
        <f>IFERROR(VLOOKUP(A2845,[3]DOORSCRIEFT!$A$2:$G$8551,3,FALSE),"")</f>
        <v/>
      </c>
      <c r="E2845" s="392" t="str">
        <f>IFERROR(VLOOKUP(A2845,[3]DOORSCRIEFT!$A$2:$G$8551,4,FALSE),"")</f>
        <v/>
      </c>
      <c r="F2845" s="397" t="str">
        <f>IFERROR(VLOOKUP(A2845,[3]DOORSCRIEFT!$A$2:$G$8551,6,FALSE),"")</f>
        <v/>
      </c>
      <c r="G2845" s="315"/>
    </row>
    <row r="2846" spans="1:7" x14ac:dyDescent="0.25">
      <c r="A2846" s="319" t="str">
        <f t="shared" si="81"/>
        <v>I.2.2.02.04431</v>
      </c>
      <c r="B2846" s="319">
        <v>31</v>
      </c>
      <c r="C2846" s="394" t="str">
        <f>IFERROR(VLOOKUP(A2846,[3]DOORSCRIEFT!$A$2:$G$8551,2,FALSE),"")</f>
        <v/>
      </c>
      <c r="D2846" s="393" t="str">
        <f>IFERROR(VLOOKUP(A2846,[3]DOORSCRIEFT!$A$2:$G$8551,3,FALSE),"")</f>
        <v/>
      </c>
      <c r="E2846" s="392" t="str">
        <f>IFERROR(VLOOKUP(A2846,[3]DOORSCRIEFT!$A$2:$G$8551,4,FALSE),"")</f>
        <v/>
      </c>
      <c r="F2846" s="397" t="str">
        <f>IFERROR(VLOOKUP(A2846,[3]DOORSCRIEFT!$A$2:$G$8551,6,FALSE),"")</f>
        <v/>
      </c>
      <c r="G2846" s="315"/>
    </row>
    <row r="2847" spans="1:7" x14ac:dyDescent="0.25">
      <c r="A2847" s="319" t="str">
        <f t="shared" si="81"/>
        <v>I.2.2.02.04432</v>
      </c>
      <c r="B2847" s="319">
        <v>32</v>
      </c>
      <c r="C2847" s="394" t="str">
        <f>IFERROR(VLOOKUP(A2847,[3]DOORSCRIEFT!$A$2:$G$8551,2,FALSE),"")</f>
        <v/>
      </c>
      <c r="D2847" s="393" t="str">
        <f>IFERROR(VLOOKUP(A2847,[3]DOORSCRIEFT!$A$2:$G$8551,3,FALSE),"")</f>
        <v/>
      </c>
      <c r="E2847" s="392" t="str">
        <f>IFERROR(VLOOKUP(A2847,[3]DOORSCRIEFT!$A$2:$G$8551,4,FALSE),"")</f>
        <v/>
      </c>
      <c r="F2847" s="397" t="str">
        <f>IFERROR(VLOOKUP(A2847,[3]DOORSCRIEFT!$A$2:$G$8551,6,FALSE),"")</f>
        <v/>
      </c>
      <c r="G2847" s="315"/>
    </row>
    <row r="2848" spans="1:7" x14ac:dyDescent="0.25">
      <c r="A2848" s="319" t="str">
        <f t="shared" si="81"/>
        <v>I.2.2.02.04433</v>
      </c>
      <c r="B2848" s="319">
        <v>33</v>
      </c>
      <c r="C2848" s="394" t="str">
        <f>IFERROR(VLOOKUP(A2848,[3]DOORSCRIEFT!$A$2:$G$8551,2,FALSE),"")</f>
        <v/>
      </c>
      <c r="D2848" s="393" t="str">
        <f>IFERROR(VLOOKUP(A2848,[3]DOORSCRIEFT!$A$2:$G$8551,3,FALSE),"")</f>
        <v/>
      </c>
      <c r="E2848" s="392" t="str">
        <f>IFERROR(VLOOKUP(A2848,[3]DOORSCRIEFT!$A$2:$G$8551,4,FALSE),"")</f>
        <v/>
      </c>
      <c r="F2848" s="397" t="str">
        <f>IFERROR(VLOOKUP(A2848,[3]DOORSCRIEFT!$A$2:$G$8551,6,FALSE),"")</f>
        <v/>
      </c>
      <c r="G2848" s="315"/>
    </row>
    <row r="2849" spans="1:7" ht="15.75" thickBot="1" x14ac:dyDescent="0.3">
      <c r="A2849" s="345" t="str">
        <f t="shared" si="81"/>
        <v>I.2.2.02.04434</v>
      </c>
      <c r="B2849" s="345">
        <v>34</v>
      </c>
      <c r="C2849" s="394" t="str">
        <f>IFERROR(VLOOKUP(A2849,[3]DOORSCRIEFT!$A$2:$G$8551,2,FALSE),"")</f>
        <v/>
      </c>
      <c r="D2849" s="393" t="str">
        <f>IFERROR(VLOOKUP(A2849,[3]DOORSCRIEFT!$A$2:$G$8551,3,FALSE),"")</f>
        <v/>
      </c>
      <c r="E2849" s="392" t="str">
        <f>IFERROR(VLOOKUP(A2849,[3]DOORSCRIEFT!$A$2:$G$8551,4,FALSE),"")</f>
        <v/>
      </c>
      <c r="F2849" s="397" t="str">
        <f>IFERROR(VLOOKUP(A2849,[3]DOORSCRIEFT!$A$2:$G$8551,6,FALSE),"")</f>
        <v/>
      </c>
      <c r="G2849" s="315"/>
    </row>
    <row r="2850" spans="1:7" ht="15.75" thickBot="1" x14ac:dyDescent="0.3">
      <c r="A2850" s="344"/>
      <c r="B2850" s="343"/>
      <c r="C2850" s="336"/>
      <c r="D2850" s="312"/>
      <c r="E2850" s="311" t="s">
        <v>644</v>
      </c>
      <c r="F2850" s="310">
        <f>SUM(F2816:F2849)</f>
        <v>7473000</v>
      </c>
      <c r="G2850" s="309">
        <f>SUM(G2816:G2849)</f>
        <v>0</v>
      </c>
    </row>
    <row r="2851" spans="1:7" x14ac:dyDescent="0.25">
      <c r="C2851" s="335"/>
    </row>
    <row r="2852" spans="1:7" x14ac:dyDescent="0.25">
      <c r="C2852" s="335"/>
    </row>
    <row r="2853" spans="1:7" ht="15.75" x14ac:dyDescent="0.25">
      <c r="C2853" s="334"/>
      <c r="D2853" s="333"/>
      <c r="E2853" s="332"/>
      <c r="F2853" s="327" t="s">
        <v>607</v>
      </c>
      <c r="G2853" s="327" t="s">
        <v>458</v>
      </c>
    </row>
    <row r="2854" spans="1:7" ht="15.75" x14ac:dyDescent="0.25">
      <c r="C2854" s="334"/>
      <c r="D2854" s="333"/>
      <c r="E2854" s="332"/>
      <c r="F2854" s="327" t="s">
        <v>601</v>
      </c>
      <c r="G2854" s="327" t="s">
        <v>457</v>
      </c>
    </row>
    <row r="2855" spans="1:7" x14ac:dyDescent="0.25">
      <c r="C2855" s="330"/>
      <c r="D2855" s="329"/>
      <c r="E2855" s="328"/>
      <c r="F2855" s="327" t="s">
        <v>651</v>
      </c>
      <c r="G2855" s="331">
        <f>[2]Sheet1!$D$72</f>
        <v>9000000</v>
      </c>
    </row>
    <row r="2856" spans="1:7" ht="15.75" thickBot="1" x14ac:dyDescent="0.3">
      <c r="C2856" s="330"/>
      <c r="D2856" s="329"/>
      <c r="E2856" s="328"/>
      <c r="F2856" s="327" t="s">
        <v>650</v>
      </c>
      <c r="G2856" s="326">
        <f>+F2884-G2855</f>
        <v>-9000000</v>
      </c>
    </row>
    <row r="2857" spans="1:7" x14ac:dyDescent="0.25">
      <c r="A2857" s="571" t="s">
        <v>626</v>
      </c>
      <c r="B2857" s="584" t="s">
        <v>606</v>
      </c>
      <c r="C2857" s="588" t="s">
        <v>649</v>
      </c>
      <c r="D2857" s="577" t="s">
        <v>648</v>
      </c>
      <c r="E2857" s="577" t="s">
        <v>647</v>
      </c>
      <c r="F2857" s="577" t="s">
        <v>646</v>
      </c>
      <c r="G2857" s="580" t="s">
        <v>645</v>
      </c>
    </row>
    <row r="2858" spans="1:7" ht="15.75" thickBot="1" x14ac:dyDescent="0.3">
      <c r="A2858" s="572"/>
      <c r="B2858" s="585"/>
      <c r="C2858" s="589"/>
      <c r="D2858" s="586"/>
      <c r="E2858" s="586"/>
      <c r="F2858" s="586"/>
      <c r="G2858" s="587"/>
    </row>
    <row r="2859" spans="1:7" ht="15.75" thickBot="1" x14ac:dyDescent="0.3">
      <c r="A2859" s="325">
        <v>1</v>
      </c>
      <c r="B2859" s="324">
        <v>2</v>
      </c>
      <c r="C2859" s="324">
        <v>3</v>
      </c>
      <c r="D2859" s="324">
        <v>4</v>
      </c>
      <c r="E2859" s="324">
        <v>5</v>
      </c>
      <c r="F2859" s="324">
        <v>6</v>
      </c>
      <c r="G2859" s="323">
        <v>7</v>
      </c>
    </row>
    <row r="2860" spans="1:7" x14ac:dyDescent="0.25">
      <c r="A2860" s="339" t="str">
        <f t="shared" ref="A2860:A2883" si="82">$G$2853&amp;B2860</f>
        <v>I.2.2.02.0451</v>
      </c>
      <c r="B2860" s="339">
        <v>1</v>
      </c>
      <c r="C2860" s="394" t="str">
        <f>IFERROR(VLOOKUP(A2860,[3]DOORSCRIEFT!$A$2:$G$8551,2,FALSE),"")</f>
        <v/>
      </c>
      <c r="D2860" s="393" t="str">
        <f>IFERROR(VLOOKUP(A2860,[3]DOORSCRIEFT!$A$2:$G$8551,3,FALSE),"")</f>
        <v/>
      </c>
      <c r="E2860" s="392" t="str">
        <f>IFERROR(VLOOKUP(A2860,[3]DOORSCRIEFT!$A$2:$G$8551,4,FALSE),"")</f>
        <v/>
      </c>
      <c r="F2860" s="397" t="str">
        <f>IFERROR(VLOOKUP(A2860,[3]DOORSCRIEFT!$A$2:$G$8551,6,FALSE),"")</f>
        <v/>
      </c>
      <c r="G2860" s="322"/>
    </row>
    <row r="2861" spans="1:7" x14ac:dyDescent="0.25">
      <c r="A2861" s="339" t="str">
        <f t="shared" si="82"/>
        <v>I.2.2.02.0452</v>
      </c>
      <c r="B2861" s="319">
        <v>2</v>
      </c>
      <c r="C2861" s="394" t="str">
        <f>IFERROR(VLOOKUP(A2861,[3]DOORSCRIEFT!$A$2:$G$8551,2,FALSE),"")</f>
        <v/>
      </c>
      <c r="D2861" s="393" t="str">
        <f>IFERROR(VLOOKUP(A2861,[3]DOORSCRIEFT!$A$2:$G$8551,3,FALSE),"")</f>
        <v/>
      </c>
      <c r="E2861" s="392" t="str">
        <f>IFERROR(VLOOKUP(A2861,[3]DOORSCRIEFT!$A$2:$G$8551,4,FALSE),"")</f>
        <v/>
      </c>
      <c r="F2861" s="397" t="str">
        <f>IFERROR(VLOOKUP(A2861,[3]DOORSCRIEFT!$A$2:$G$8551,6,FALSE),"")</f>
        <v/>
      </c>
      <c r="G2861" s="315"/>
    </row>
    <row r="2862" spans="1:7" x14ac:dyDescent="0.25">
      <c r="A2862" s="339" t="str">
        <f t="shared" si="82"/>
        <v>I.2.2.02.0453</v>
      </c>
      <c r="B2862" s="319">
        <v>3</v>
      </c>
      <c r="C2862" s="394" t="str">
        <f>IFERROR(VLOOKUP(A2862,[3]DOORSCRIEFT!$A$2:$G$8551,2,FALSE),"")</f>
        <v/>
      </c>
      <c r="D2862" s="393" t="str">
        <f>IFERROR(VLOOKUP(A2862,[3]DOORSCRIEFT!$A$2:$G$8551,3,FALSE),"")</f>
        <v/>
      </c>
      <c r="E2862" s="392" t="str">
        <f>IFERROR(VLOOKUP(A2862,[3]DOORSCRIEFT!$A$2:$G$8551,4,FALSE),"")</f>
        <v/>
      </c>
      <c r="F2862" s="397" t="str">
        <f>IFERROR(VLOOKUP(A2862,[3]DOORSCRIEFT!$A$2:$G$8551,6,FALSE),"")</f>
        <v/>
      </c>
      <c r="G2862" s="315"/>
    </row>
    <row r="2863" spans="1:7" x14ac:dyDescent="0.25">
      <c r="A2863" s="339" t="str">
        <f t="shared" si="82"/>
        <v>I.2.2.02.0454</v>
      </c>
      <c r="B2863" s="319">
        <v>4</v>
      </c>
      <c r="C2863" s="394" t="str">
        <f>IFERROR(VLOOKUP(A2863,[3]DOORSCRIEFT!$A$2:$G$8551,2,FALSE),"")</f>
        <v/>
      </c>
      <c r="D2863" s="393" t="str">
        <f>IFERROR(VLOOKUP(A2863,[3]DOORSCRIEFT!$A$2:$G$8551,3,FALSE),"")</f>
        <v/>
      </c>
      <c r="E2863" s="392" t="str">
        <f>IFERROR(VLOOKUP(A2863,[3]DOORSCRIEFT!$A$2:$G$8551,4,FALSE),"")</f>
        <v/>
      </c>
      <c r="F2863" s="397" t="str">
        <f>IFERROR(VLOOKUP(A2863,[3]DOORSCRIEFT!$A$2:$G$8551,6,FALSE),"")</f>
        <v/>
      </c>
      <c r="G2863" s="315"/>
    </row>
    <row r="2864" spans="1:7" x14ac:dyDescent="0.25">
      <c r="A2864" s="339" t="str">
        <f t="shared" si="82"/>
        <v>I.2.2.02.0455</v>
      </c>
      <c r="B2864" s="319">
        <v>5</v>
      </c>
      <c r="C2864" s="394" t="str">
        <f>IFERROR(VLOOKUP(A2864,[3]DOORSCRIEFT!$A$2:$G$8551,2,FALSE),"")</f>
        <v/>
      </c>
      <c r="D2864" s="393" t="str">
        <f>IFERROR(VLOOKUP(A2864,[3]DOORSCRIEFT!$A$2:$G$8551,3,FALSE),"")</f>
        <v/>
      </c>
      <c r="E2864" s="392" t="str">
        <f>IFERROR(VLOOKUP(A2864,[3]DOORSCRIEFT!$A$2:$G$8551,4,FALSE),"")</f>
        <v/>
      </c>
      <c r="F2864" s="397" t="str">
        <f>IFERROR(VLOOKUP(A2864,[3]DOORSCRIEFT!$A$2:$G$8551,6,FALSE),"")</f>
        <v/>
      </c>
      <c r="G2864" s="315"/>
    </row>
    <row r="2865" spans="1:7" x14ac:dyDescent="0.25">
      <c r="A2865" s="339" t="str">
        <f t="shared" si="82"/>
        <v>I.2.2.02.0456</v>
      </c>
      <c r="B2865" s="319">
        <v>6</v>
      </c>
      <c r="C2865" s="394" t="str">
        <f>IFERROR(VLOOKUP(A2865,[3]DOORSCRIEFT!$A$2:$G$8551,2,FALSE),"")</f>
        <v/>
      </c>
      <c r="D2865" s="393" t="str">
        <f>IFERROR(VLOOKUP(A2865,[3]DOORSCRIEFT!$A$2:$G$8551,3,FALSE),"")</f>
        <v/>
      </c>
      <c r="E2865" s="392" t="str">
        <f>IFERROR(VLOOKUP(A2865,[3]DOORSCRIEFT!$A$2:$G$8551,4,FALSE),"")</f>
        <v/>
      </c>
      <c r="F2865" s="397" t="str">
        <f>IFERROR(VLOOKUP(A2865,[3]DOORSCRIEFT!$A$2:$G$8551,6,FALSE),"")</f>
        <v/>
      </c>
      <c r="G2865" s="315"/>
    </row>
    <row r="2866" spans="1:7" x14ac:dyDescent="0.25">
      <c r="A2866" s="339" t="str">
        <f t="shared" si="82"/>
        <v>I.2.2.02.0457</v>
      </c>
      <c r="B2866" s="319">
        <v>7</v>
      </c>
      <c r="C2866" s="394" t="str">
        <f>IFERROR(VLOOKUP(A2866,[3]DOORSCRIEFT!$A$2:$G$8551,2,FALSE),"")</f>
        <v/>
      </c>
      <c r="D2866" s="393" t="str">
        <f>IFERROR(VLOOKUP(A2866,[3]DOORSCRIEFT!$A$2:$G$8551,3,FALSE),"")</f>
        <v/>
      </c>
      <c r="E2866" s="392" t="str">
        <f>IFERROR(VLOOKUP(A2866,[3]DOORSCRIEFT!$A$2:$G$8551,4,FALSE),"")</f>
        <v/>
      </c>
      <c r="F2866" s="397" t="str">
        <f>IFERROR(VLOOKUP(A2866,[3]DOORSCRIEFT!$A$2:$G$8551,6,FALSE),"")</f>
        <v/>
      </c>
      <c r="G2866" s="315"/>
    </row>
    <row r="2867" spans="1:7" x14ac:dyDescent="0.25">
      <c r="A2867" s="339" t="str">
        <f t="shared" si="82"/>
        <v>I.2.2.02.0458</v>
      </c>
      <c r="B2867" s="319">
        <v>8</v>
      </c>
      <c r="C2867" s="394" t="str">
        <f>IFERROR(VLOOKUP(A2867,[3]DOORSCRIEFT!$A$2:$G$8551,2,FALSE),"")</f>
        <v/>
      </c>
      <c r="D2867" s="393" t="str">
        <f>IFERROR(VLOOKUP(A2867,[3]DOORSCRIEFT!$A$2:$G$8551,3,FALSE),"")</f>
        <v/>
      </c>
      <c r="E2867" s="392" t="str">
        <f>IFERROR(VLOOKUP(A2867,[3]DOORSCRIEFT!$A$2:$G$8551,4,FALSE),"")</f>
        <v/>
      </c>
      <c r="F2867" s="397" t="str">
        <f>IFERROR(VLOOKUP(A2867,[3]DOORSCRIEFT!$A$2:$G$8551,6,FALSE),"")</f>
        <v/>
      </c>
      <c r="G2867" s="315"/>
    </row>
    <row r="2868" spans="1:7" x14ac:dyDescent="0.25">
      <c r="A2868" s="339" t="str">
        <f t="shared" si="82"/>
        <v>I.2.2.02.0459</v>
      </c>
      <c r="B2868" s="319">
        <v>9</v>
      </c>
      <c r="C2868" s="394" t="str">
        <f>IFERROR(VLOOKUP(A2868,[3]DOORSCRIEFT!$A$2:$G$8551,2,FALSE),"")</f>
        <v/>
      </c>
      <c r="D2868" s="393" t="str">
        <f>IFERROR(VLOOKUP(A2868,[3]DOORSCRIEFT!$A$2:$G$8551,3,FALSE),"")</f>
        <v/>
      </c>
      <c r="E2868" s="392" t="str">
        <f>IFERROR(VLOOKUP(A2868,[3]DOORSCRIEFT!$A$2:$G$8551,4,FALSE),"")</f>
        <v/>
      </c>
      <c r="F2868" s="397" t="str">
        <f>IFERROR(VLOOKUP(A2868,[3]DOORSCRIEFT!$A$2:$G$8551,6,FALSE),"")</f>
        <v/>
      </c>
      <c r="G2868" s="315"/>
    </row>
    <row r="2869" spans="1:7" x14ac:dyDescent="0.25">
      <c r="A2869" s="339" t="str">
        <f t="shared" si="82"/>
        <v>I.2.2.02.04510</v>
      </c>
      <c r="B2869" s="319">
        <v>10</v>
      </c>
      <c r="C2869" s="394" t="str">
        <f>IFERROR(VLOOKUP(A2869,[3]DOORSCRIEFT!$A$2:$G$8551,2,FALSE),"")</f>
        <v/>
      </c>
      <c r="D2869" s="393" t="str">
        <f>IFERROR(VLOOKUP(A2869,[3]DOORSCRIEFT!$A$2:$G$8551,3,FALSE),"")</f>
        <v/>
      </c>
      <c r="E2869" s="392" t="str">
        <f>IFERROR(VLOOKUP(A2869,[3]DOORSCRIEFT!$A$2:$G$8551,4,FALSE),"")</f>
        <v/>
      </c>
      <c r="F2869" s="397" t="str">
        <f>IFERROR(VLOOKUP(A2869,[3]DOORSCRIEFT!$A$2:$G$8551,6,FALSE),"")</f>
        <v/>
      </c>
      <c r="G2869" s="315"/>
    </row>
    <row r="2870" spans="1:7" x14ac:dyDescent="0.25">
      <c r="A2870" s="339" t="str">
        <f t="shared" si="82"/>
        <v>I.2.2.02.04511</v>
      </c>
      <c r="B2870" s="319">
        <v>11</v>
      </c>
      <c r="C2870" s="394" t="str">
        <f>IFERROR(VLOOKUP(A2870,[3]DOORSCRIEFT!$A$2:$G$8551,2,FALSE),"")</f>
        <v/>
      </c>
      <c r="D2870" s="393" t="str">
        <f>IFERROR(VLOOKUP(A2870,[3]DOORSCRIEFT!$A$2:$G$8551,3,FALSE),"")</f>
        <v/>
      </c>
      <c r="E2870" s="392" t="str">
        <f>IFERROR(VLOOKUP(A2870,[3]DOORSCRIEFT!$A$2:$G$8551,4,FALSE),"")</f>
        <v/>
      </c>
      <c r="F2870" s="397" t="str">
        <f>IFERROR(VLOOKUP(A2870,[3]DOORSCRIEFT!$A$2:$G$8551,6,FALSE),"")</f>
        <v/>
      </c>
      <c r="G2870" s="315"/>
    </row>
    <row r="2871" spans="1:7" x14ac:dyDescent="0.25">
      <c r="A2871" s="339" t="str">
        <f t="shared" si="82"/>
        <v>I.2.2.02.04512</v>
      </c>
      <c r="B2871" s="319">
        <v>12</v>
      </c>
      <c r="C2871" s="394" t="str">
        <f>IFERROR(VLOOKUP(A2871,[3]DOORSCRIEFT!$A$2:$G$8551,2,FALSE),"")</f>
        <v/>
      </c>
      <c r="D2871" s="393" t="str">
        <f>IFERROR(VLOOKUP(A2871,[3]DOORSCRIEFT!$A$2:$G$8551,3,FALSE),"")</f>
        <v/>
      </c>
      <c r="E2871" s="392" t="str">
        <f>IFERROR(VLOOKUP(A2871,[3]DOORSCRIEFT!$A$2:$G$8551,4,FALSE),"")</f>
        <v/>
      </c>
      <c r="F2871" s="397" t="str">
        <f>IFERROR(VLOOKUP(A2871,[3]DOORSCRIEFT!$A$2:$G$8551,6,FALSE),"")</f>
        <v/>
      </c>
      <c r="G2871" s="315"/>
    </row>
    <row r="2872" spans="1:7" x14ac:dyDescent="0.25">
      <c r="A2872" s="339" t="str">
        <f t="shared" si="82"/>
        <v>I.2.2.02.04513</v>
      </c>
      <c r="B2872" s="319">
        <v>13</v>
      </c>
      <c r="C2872" s="394" t="str">
        <f>IFERROR(VLOOKUP(A2872,[3]DOORSCRIEFT!$A$2:$G$8551,2,FALSE),"")</f>
        <v/>
      </c>
      <c r="D2872" s="393" t="str">
        <f>IFERROR(VLOOKUP(A2872,[3]DOORSCRIEFT!$A$2:$G$8551,3,FALSE),"")</f>
        <v/>
      </c>
      <c r="E2872" s="392" t="str">
        <f>IFERROR(VLOOKUP(A2872,[3]DOORSCRIEFT!$A$2:$G$8551,4,FALSE),"")</f>
        <v/>
      </c>
      <c r="F2872" s="397" t="str">
        <f>IFERROR(VLOOKUP(A2872,[3]DOORSCRIEFT!$A$2:$G$8551,6,FALSE),"")</f>
        <v/>
      </c>
      <c r="G2872" s="315"/>
    </row>
    <row r="2873" spans="1:7" x14ac:dyDescent="0.25">
      <c r="A2873" s="339" t="str">
        <f t="shared" si="82"/>
        <v>I.2.2.02.04514</v>
      </c>
      <c r="B2873" s="319">
        <v>14</v>
      </c>
      <c r="C2873" s="394" t="str">
        <f>IFERROR(VLOOKUP(A2873,[3]DOORSCRIEFT!$A$2:$G$8551,2,FALSE),"")</f>
        <v/>
      </c>
      <c r="D2873" s="393" t="str">
        <f>IFERROR(VLOOKUP(A2873,[3]DOORSCRIEFT!$A$2:$G$8551,3,FALSE),"")</f>
        <v/>
      </c>
      <c r="E2873" s="392" t="str">
        <f>IFERROR(VLOOKUP(A2873,[3]DOORSCRIEFT!$A$2:$G$8551,4,FALSE),"")</f>
        <v/>
      </c>
      <c r="F2873" s="397" t="str">
        <f>IFERROR(VLOOKUP(A2873,[3]DOORSCRIEFT!$A$2:$G$8551,6,FALSE),"")</f>
        <v/>
      </c>
      <c r="G2873" s="315"/>
    </row>
    <row r="2874" spans="1:7" x14ac:dyDescent="0.25">
      <c r="A2874" s="339" t="str">
        <f t="shared" si="82"/>
        <v>I.2.2.02.04515</v>
      </c>
      <c r="B2874" s="319">
        <v>15</v>
      </c>
      <c r="C2874" s="394" t="str">
        <f>IFERROR(VLOOKUP(A2874,[3]DOORSCRIEFT!$A$2:$G$8551,2,FALSE),"")</f>
        <v/>
      </c>
      <c r="D2874" s="393" t="str">
        <f>IFERROR(VLOOKUP(A2874,[3]DOORSCRIEFT!$A$2:$G$8551,3,FALSE),"")</f>
        <v/>
      </c>
      <c r="E2874" s="392" t="str">
        <f>IFERROR(VLOOKUP(A2874,[3]DOORSCRIEFT!$A$2:$G$8551,4,FALSE),"")</f>
        <v/>
      </c>
      <c r="F2874" s="397" t="str">
        <f>IFERROR(VLOOKUP(A2874,[3]DOORSCRIEFT!$A$2:$G$8551,6,FALSE),"")</f>
        <v/>
      </c>
      <c r="G2874" s="315"/>
    </row>
    <row r="2875" spans="1:7" x14ac:dyDescent="0.25">
      <c r="A2875" s="339" t="str">
        <f t="shared" si="82"/>
        <v>I.2.2.02.04516</v>
      </c>
      <c r="B2875" s="319">
        <v>16</v>
      </c>
      <c r="C2875" s="394" t="str">
        <f>IFERROR(VLOOKUP(A2875,[3]DOORSCRIEFT!$A$2:$G$8551,2,FALSE),"")</f>
        <v/>
      </c>
      <c r="D2875" s="393" t="str">
        <f>IFERROR(VLOOKUP(A2875,[3]DOORSCRIEFT!$A$2:$G$8551,3,FALSE),"")</f>
        <v/>
      </c>
      <c r="E2875" s="392" t="str">
        <f>IFERROR(VLOOKUP(A2875,[3]DOORSCRIEFT!$A$2:$G$8551,4,FALSE),"")</f>
        <v/>
      </c>
      <c r="F2875" s="397" t="str">
        <f>IFERROR(VLOOKUP(A2875,[3]DOORSCRIEFT!$A$2:$G$8551,6,FALSE),"")</f>
        <v/>
      </c>
      <c r="G2875" s="315"/>
    </row>
    <row r="2876" spans="1:7" x14ac:dyDescent="0.25">
      <c r="A2876" s="339" t="str">
        <f t="shared" si="82"/>
        <v>I.2.2.02.04517</v>
      </c>
      <c r="B2876" s="319">
        <v>17</v>
      </c>
      <c r="C2876" s="394" t="str">
        <f>IFERROR(VLOOKUP(A2876,[3]DOORSCRIEFT!$A$2:$G$8551,2,FALSE),"")</f>
        <v/>
      </c>
      <c r="D2876" s="393" t="str">
        <f>IFERROR(VLOOKUP(A2876,[3]DOORSCRIEFT!$A$2:$G$8551,3,FALSE),"")</f>
        <v/>
      </c>
      <c r="E2876" s="392" t="str">
        <f>IFERROR(VLOOKUP(A2876,[3]DOORSCRIEFT!$A$2:$G$8551,4,FALSE),"")</f>
        <v/>
      </c>
      <c r="F2876" s="397" t="str">
        <f>IFERROR(VLOOKUP(A2876,[3]DOORSCRIEFT!$A$2:$G$8551,6,FALSE),"")</f>
        <v/>
      </c>
      <c r="G2876" s="315"/>
    </row>
    <row r="2877" spans="1:7" x14ac:dyDescent="0.25">
      <c r="A2877" s="339" t="str">
        <f t="shared" si="82"/>
        <v>I.2.2.02.04518</v>
      </c>
      <c r="B2877" s="319">
        <v>18</v>
      </c>
      <c r="C2877" s="394" t="str">
        <f>IFERROR(VLOOKUP(A2877,[3]DOORSCRIEFT!$A$2:$G$8551,2,FALSE),"")</f>
        <v/>
      </c>
      <c r="D2877" s="393" t="str">
        <f>IFERROR(VLOOKUP(A2877,[3]DOORSCRIEFT!$A$2:$G$8551,3,FALSE),"")</f>
        <v/>
      </c>
      <c r="E2877" s="392" t="str">
        <f>IFERROR(VLOOKUP(A2877,[3]DOORSCRIEFT!$A$2:$G$8551,4,FALSE),"")</f>
        <v/>
      </c>
      <c r="F2877" s="397" t="str">
        <f>IFERROR(VLOOKUP(A2877,[3]DOORSCRIEFT!$A$2:$G$8551,6,FALSE),"")</f>
        <v/>
      </c>
      <c r="G2877" s="315"/>
    </row>
    <row r="2878" spans="1:7" x14ac:dyDescent="0.25">
      <c r="A2878" s="339" t="str">
        <f t="shared" si="82"/>
        <v>I.2.2.02.04519</v>
      </c>
      <c r="B2878" s="319">
        <v>19</v>
      </c>
      <c r="C2878" s="394" t="str">
        <f>IFERROR(VLOOKUP(A2878,[3]DOORSCRIEFT!$A$2:$G$8551,2,FALSE),"")</f>
        <v/>
      </c>
      <c r="D2878" s="393" t="str">
        <f>IFERROR(VLOOKUP(A2878,[3]DOORSCRIEFT!$A$2:$G$8551,3,FALSE),"")</f>
        <v/>
      </c>
      <c r="E2878" s="392" t="str">
        <f>IFERROR(VLOOKUP(A2878,[3]DOORSCRIEFT!$A$2:$G$8551,4,FALSE),"")</f>
        <v/>
      </c>
      <c r="F2878" s="397" t="str">
        <f>IFERROR(VLOOKUP(A2878,[3]DOORSCRIEFT!$A$2:$G$8551,6,FALSE),"")</f>
        <v/>
      </c>
      <c r="G2878" s="315"/>
    </row>
    <row r="2879" spans="1:7" x14ac:dyDescent="0.25">
      <c r="A2879" s="339" t="str">
        <f t="shared" si="82"/>
        <v>I.2.2.02.04520</v>
      </c>
      <c r="B2879" s="319">
        <v>20</v>
      </c>
      <c r="C2879" s="394" t="str">
        <f>IFERROR(VLOOKUP(A2879,[3]DOORSCRIEFT!$A$2:$G$8551,2,FALSE),"")</f>
        <v/>
      </c>
      <c r="D2879" s="393" t="str">
        <f>IFERROR(VLOOKUP(A2879,[3]DOORSCRIEFT!$A$2:$G$8551,3,FALSE),"")</f>
        <v/>
      </c>
      <c r="E2879" s="392" t="str">
        <f>IFERROR(VLOOKUP(A2879,[3]DOORSCRIEFT!$A$2:$G$8551,4,FALSE),"")</f>
        <v/>
      </c>
      <c r="F2879" s="397" t="str">
        <f>IFERROR(VLOOKUP(A2879,[3]DOORSCRIEFT!$A$2:$G$8551,6,FALSE),"")</f>
        <v/>
      </c>
      <c r="G2879" s="315"/>
    </row>
    <row r="2880" spans="1:7" x14ac:dyDescent="0.25">
      <c r="A2880" s="339" t="str">
        <f t="shared" si="82"/>
        <v>I.2.2.02.04521</v>
      </c>
      <c r="B2880" s="319">
        <v>21</v>
      </c>
      <c r="C2880" s="394" t="str">
        <f>IFERROR(VLOOKUP(A2880,[3]DOORSCRIEFT!$A$2:$G$8551,2,FALSE),"")</f>
        <v/>
      </c>
      <c r="D2880" s="393" t="str">
        <f>IFERROR(VLOOKUP(A2880,[3]DOORSCRIEFT!$A$2:$G$8551,3,FALSE),"")</f>
        <v/>
      </c>
      <c r="E2880" s="392" t="str">
        <f>IFERROR(VLOOKUP(A2880,[3]DOORSCRIEFT!$A$2:$G$8551,4,FALSE),"")</f>
        <v/>
      </c>
      <c r="F2880" s="397" t="str">
        <f>IFERROR(VLOOKUP(A2880,[3]DOORSCRIEFT!$A$2:$G$8551,6,FALSE),"")</f>
        <v/>
      </c>
      <c r="G2880" s="315"/>
    </row>
    <row r="2881" spans="1:7" x14ac:dyDescent="0.25">
      <c r="A2881" s="339" t="str">
        <f t="shared" si="82"/>
        <v>I.2.2.02.04522</v>
      </c>
      <c r="B2881" s="319">
        <v>22</v>
      </c>
      <c r="C2881" s="394" t="str">
        <f>IFERROR(VLOOKUP(A2881,[3]DOORSCRIEFT!$A$2:$G$8551,2,FALSE),"")</f>
        <v/>
      </c>
      <c r="D2881" s="393" t="str">
        <f>IFERROR(VLOOKUP(A2881,[3]DOORSCRIEFT!$A$2:$G$8551,3,FALSE),"")</f>
        <v/>
      </c>
      <c r="E2881" s="392" t="str">
        <f>IFERROR(VLOOKUP(A2881,[3]DOORSCRIEFT!$A$2:$G$8551,4,FALSE),"")</f>
        <v/>
      </c>
      <c r="F2881" s="397" t="str">
        <f>IFERROR(VLOOKUP(A2881,[3]DOORSCRIEFT!$A$2:$G$8551,6,FALSE),"")</f>
        <v/>
      </c>
      <c r="G2881" s="315"/>
    </row>
    <row r="2882" spans="1:7" x14ac:dyDescent="0.25">
      <c r="A2882" s="339" t="str">
        <f t="shared" si="82"/>
        <v>I.2.2.02.04523</v>
      </c>
      <c r="B2882" s="319">
        <v>23</v>
      </c>
      <c r="C2882" s="394" t="str">
        <f>IFERROR(VLOOKUP(A2882,[3]DOORSCRIEFT!$A$2:$G$8551,2,FALSE),"")</f>
        <v/>
      </c>
      <c r="D2882" s="393" t="str">
        <f>IFERROR(VLOOKUP(A2882,[3]DOORSCRIEFT!$A$2:$G$8551,3,FALSE),"")</f>
        <v/>
      </c>
      <c r="E2882" s="392" t="str">
        <f>IFERROR(VLOOKUP(A2882,[3]DOORSCRIEFT!$A$2:$G$8551,4,FALSE),"")</f>
        <v/>
      </c>
      <c r="F2882" s="397" t="str">
        <f>IFERROR(VLOOKUP(A2882,[3]DOORSCRIEFT!$A$2:$G$8551,6,FALSE),"")</f>
        <v/>
      </c>
      <c r="G2882" s="315"/>
    </row>
    <row r="2883" spans="1:7" ht="15.75" thickBot="1" x14ac:dyDescent="0.3">
      <c r="A2883" s="353" t="str">
        <f t="shared" si="82"/>
        <v>I.2.2.02.04524</v>
      </c>
      <c r="B2883" s="345">
        <v>24</v>
      </c>
      <c r="C2883" s="394" t="str">
        <f>IFERROR(VLOOKUP(A2883,[3]DOORSCRIEFT!$A$2:$G$8551,2,FALSE),"")</f>
        <v/>
      </c>
      <c r="D2883" s="393" t="str">
        <f>IFERROR(VLOOKUP(A2883,[3]DOORSCRIEFT!$A$2:$G$8551,3,FALSE),"")</f>
        <v/>
      </c>
      <c r="E2883" s="392" t="str">
        <f>IFERROR(VLOOKUP(A2883,[3]DOORSCRIEFT!$A$2:$G$8551,4,FALSE),"")</f>
        <v/>
      </c>
      <c r="F2883" s="397" t="str">
        <f>IFERROR(VLOOKUP(A2883,[3]DOORSCRIEFT!$A$2:$G$8551,6,FALSE),"")</f>
        <v/>
      </c>
      <c r="G2883" s="315"/>
    </row>
    <row r="2884" spans="1:7" ht="15.75" thickBot="1" x14ac:dyDescent="0.3">
      <c r="A2884" s="314"/>
      <c r="B2884" s="312"/>
      <c r="C2884" s="336"/>
      <c r="D2884" s="312"/>
      <c r="E2884" s="311" t="s">
        <v>644</v>
      </c>
      <c r="F2884" s="310">
        <f>SUM(F2860:F2883)</f>
        <v>0</v>
      </c>
      <c r="G2884" s="309">
        <f>SUM(G2860:G2883)</f>
        <v>0</v>
      </c>
    </row>
    <row r="2885" spans="1:7" x14ac:dyDescent="0.25">
      <c r="C2885" s="335"/>
    </row>
    <row r="2886" spans="1:7" x14ac:dyDescent="0.25">
      <c r="C2886" s="335"/>
    </row>
    <row r="2887" spans="1:7" ht="15.75" x14ac:dyDescent="0.25">
      <c r="C2887" s="334"/>
      <c r="D2887" s="333"/>
      <c r="E2887" s="332"/>
      <c r="F2887" s="327" t="s">
        <v>607</v>
      </c>
      <c r="G2887" s="327" t="s">
        <v>456</v>
      </c>
    </row>
    <row r="2888" spans="1:7" ht="15.75" x14ac:dyDescent="0.25">
      <c r="C2888" s="334"/>
      <c r="D2888" s="333"/>
      <c r="E2888" s="332"/>
      <c r="F2888" s="327" t="s">
        <v>601</v>
      </c>
      <c r="G2888" s="327" t="s">
        <v>455</v>
      </c>
    </row>
    <row r="2889" spans="1:7" x14ac:dyDescent="0.25">
      <c r="C2889" s="330"/>
      <c r="D2889" s="329"/>
      <c r="E2889" s="328"/>
      <c r="F2889" s="327" t="s">
        <v>651</v>
      </c>
      <c r="G2889" s="331">
        <f>[2]Sheet1!$D$73</f>
        <v>4500000</v>
      </c>
    </row>
    <row r="2890" spans="1:7" ht="15.75" thickBot="1" x14ac:dyDescent="0.3">
      <c r="C2890" s="330"/>
      <c r="D2890" s="329"/>
      <c r="E2890" s="328"/>
      <c r="F2890" s="327" t="s">
        <v>650</v>
      </c>
      <c r="G2890" s="326">
        <f>+F2909-G2889</f>
        <v>-4500000</v>
      </c>
    </row>
    <row r="2891" spans="1:7" x14ac:dyDescent="0.25">
      <c r="A2891" s="571" t="s">
        <v>626</v>
      </c>
      <c r="B2891" s="584" t="s">
        <v>606</v>
      </c>
      <c r="C2891" s="588" t="s">
        <v>649</v>
      </c>
      <c r="D2891" s="577" t="s">
        <v>648</v>
      </c>
      <c r="E2891" s="577" t="s">
        <v>647</v>
      </c>
      <c r="F2891" s="577" t="s">
        <v>646</v>
      </c>
      <c r="G2891" s="580" t="s">
        <v>645</v>
      </c>
    </row>
    <row r="2892" spans="1:7" ht="15.75" thickBot="1" x14ac:dyDescent="0.3">
      <c r="A2892" s="572"/>
      <c r="B2892" s="585"/>
      <c r="C2892" s="589"/>
      <c r="D2892" s="586"/>
      <c r="E2892" s="586"/>
      <c r="F2892" s="586"/>
      <c r="G2892" s="587"/>
    </row>
    <row r="2893" spans="1:7" ht="15.75" thickBot="1" x14ac:dyDescent="0.3">
      <c r="A2893" s="325">
        <v>1</v>
      </c>
      <c r="B2893" s="324">
        <v>2</v>
      </c>
      <c r="C2893" s="324">
        <v>3</v>
      </c>
      <c r="D2893" s="324">
        <v>4</v>
      </c>
      <c r="E2893" s="324">
        <v>5</v>
      </c>
      <c r="F2893" s="324">
        <v>6</v>
      </c>
      <c r="G2893" s="323">
        <v>7</v>
      </c>
    </row>
    <row r="2894" spans="1:7" x14ac:dyDescent="0.25">
      <c r="A2894" s="339" t="str">
        <f t="shared" ref="A2894:A2908" si="83">$G$2887&amp;B2894</f>
        <v>I.2.2.02.0461</v>
      </c>
      <c r="B2894" s="339">
        <v>1</v>
      </c>
      <c r="C2894" s="394" t="str">
        <f>IFERROR(VLOOKUP(A2894,[3]DOORSCRIEFT!$A$2:$G$8551,2,FALSE),"")</f>
        <v/>
      </c>
      <c r="D2894" s="393" t="str">
        <f>IFERROR(VLOOKUP(A2894,[3]DOORSCRIEFT!$A$2:$G$8551,3,FALSE),"")</f>
        <v/>
      </c>
      <c r="E2894" s="392" t="str">
        <f>IFERROR(VLOOKUP(A2894,[3]DOORSCRIEFT!$A$2:$G$8551,4,FALSE),"")</f>
        <v/>
      </c>
      <c r="F2894" s="397" t="str">
        <f>IFERROR(VLOOKUP(A2894,[3]DOORSCRIEFT!$A$2:$G$8551,6,FALSE),"")</f>
        <v/>
      </c>
      <c r="G2894" s="322"/>
    </row>
    <row r="2895" spans="1:7" x14ac:dyDescent="0.25">
      <c r="A2895" s="319" t="str">
        <f t="shared" si="83"/>
        <v>I.2.2.02.0462</v>
      </c>
      <c r="B2895" s="319">
        <v>2</v>
      </c>
      <c r="C2895" s="394" t="str">
        <f>IFERROR(VLOOKUP(A2895,[3]DOORSCRIEFT!$A$2:$G$8551,2,FALSE),"")</f>
        <v/>
      </c>
      <c r="D2895" s="393" t="str">
        <f>IFERROR(VLOOKUP(A2895,[3]DOORSCRIEFT!$A$2:$G$8551,3,FALSE),"")</f>
        <v/>
      </c>
      <c r="E2895" s="392" t="str">
        <f>IFERROR(VLOOKUP(A2895,[3]DOORSCRIEFT!$A$2:$G$8551,4,FALSE),"")</f>
        <v/>
      </c>
      <c r="F2895" s="397" t="str">
        <f>IFERROR(VLOOKUP(A2895,[3]DOORSCRIEFT!$A$2:$G$8551,6,FALSE),"")</f>
        <v/>
      </c>
      <c r="G2895" s="315"/>
    </row>
    <row r="2896" spans="1:7" x14ac:dyDescent="0.25">
      <c r="A2896" s="319" t="str">
        <f t="shared" si="83"/>
        <v>I.2.2.02.0463</v>
      </c>
      <c r="B2896" s="319">
        <v>3</v>
      </c>
      <c r="C2896" s="394" t="str">
        <f>IFERROR(VLOOKUP(A2896,[3]DOORSCRIEFT!$A$2:$G$8551,2,FALSE),"")</f>
        <v/>
      </c>
      <c r="D2896" s="393" t="str">
        <f>IFERROR(VLOOKUP(A2896,[3]DOORSCRIEFT!$A$2:$G$8551,3,FALSE),"")</f>
        <v/>
      </c>
      <c r="E2896" s="392" t="str">
        <f>IFERROR(VLOOKUP(A2896,[3]DOORSCRIEFT!$A$2:$G$8551,4,FALSE),"")</f>
        <v/>
      </c>
      <c r="F2896" s="397" t="str">
        <f>IFERROR(VLOOKUP(A2896,[3]DOORSCRIEFT!$A$2:$G$8551,6,FALSE),"")</f>
        <v/>
      </c>
      <c r="G2896" s="315"/>
    </row>
    <row r="2897" spans="1:7" x14ac:dyDescent="0.25">
      <c r="A2897" s="319" t="str">
        <f t="shared" si="83"/>
        <v>I.2.2.02.0464</v>
      </c>
      <c r="B2897" s="319">
        <v>4</v>
      </c>
      <c r="C2897" s="394" t="str">
        <f>IFERROR(VLOOKUP(A2897,[3]DOORSCRIEFT!$A$2:$G$8551,2,FALSE),"")</f>
        <v/>
      </c>
      <c r="D2897" s="393" t="str">
        <f>IFERROR(VLOOKUP(A2897,[3]DOORSCRIEFT!$A$2:$G$8551,3,FALSE),"")</f>
        <v/>
      </c>
      <c r="E2897" s="392" t="str">
        <f>IFERROR(VLOOKUP(A2897,[3]DOORSCRIEFT!$A$2:$G$8551,4,FALSE),"")</f>
        <v/>
      </c>
      <c r="F2897" s="397" t="str">
        <f>IFERROR(VLOOKUP(A2897,[3]DOORSCRIEFT!$A$2:$G$8551,6,FALSE),"")</f>
        <v/>
      </c>
      <c r="G2897" s="315"/>
    </row>
    <row r="2898" spans="1:7" x14ac:dyDescent="0.25">
      <c r="A2898" s="319" t="str">
        <f t="shared" si="83"/>
        <v>I.2.2.02.0465</v>
      </c>
      <c r="B2898" s="319">
        <v>5</v>
      </c>
      <c r="C2898" s="394" t="str">
        <f>IFERROR(VLOOKUP(A2898,[3]DOORSCRIEFT!$A$2:$G$8551,2,FALSE),"")</f>
        <v/>
      </c>
      <c r="D2898" s="393" t="str">
        <f>IFERROR(VLOOKUP(A2898,[3]DOORSCRIEFT!$A$2:$G$8551,3,FALSE),"")</f>
        <v/>
      </c>
      <c r="E2898" s="392" t="str">
        <f>IFERROR(VLOOKUP(A2898,[3]DOORSCRIEFT!$A$2:$G$8551,4,FALSE),"")</f>
        <v/>
      </c>
      <c r="F2898" s="397" t="str">
        <f>IFERROR(VLOOKUP(A2898,[3]DOORSCRIEFT!$A$2:$G$8551,6,FALSE),"")</f>
        <v/>
      </c>
      <c r="G2898" s="315"/>
    </row>
    <row r="2899" spans="1:7" x14ac:dyDescent="0.25">
      <c r="A2899" s="319" t="str">
        <f t="shared" si="83"/>
        <v>I.2.2.02.0466</v>
      </c>
      <c r="B2899" s="319">
        <v>6</v>
      </c>
      <c r="C2899" s="394" t="str">
        <f>IFERROR(VLOOKUP(A2899,[3]DOORSCRIEFT!$A$2:$G$8551,2,FALSE),"")</f>
        <v/>
      </c>
      <c r="D2899" s="393" t="str">
        <f>IFERROR(VLOOKUP(A2899,[3]DOORSCRIEFT!$A$2:$G$8551,3,FALSE),"")</f>
        <v/>
      </c>
      <c r="E2899" s="392" t="str">
        <f>IFERROR(VLOOKUP(A2899,[3]DOORSCRIEFT!$A$2:$G$8551,4,FALSE),"")</f>
        <v/>
      </c>
      <c r="F2899" s="397" t="str">
        <f>IFERROR(VLOOKUP(A2899,[3]DOORSCRIEFT!$A$2:$G$8551,6,FALSE),"")</f>
        <v/>
      </c>
      <c r="G2899" s="315"/>
    </row>
    <row r="2900" spans="1:7" x14ac:dyDescent="0.25">
      <c r="A2900" s="319" t="str">
        <f t="shared" si="83"/>
        <v>I.2.2.02.0467</v>
      </c>
      <c r="B2900" s="319">
        <v>7</v>
      </c>
      <c r="C2900" s="394" t="str">
        <f>IFERROR(VLOOKUP(A2900,[3]DOORSCRIEFT!$A$2:$G$8551,2,FALSE),"")</f>
        <v/>
      </c>
      <c r="D2900" s="393" t="str">
        <f>IFERROR(VLOOKUP(A2900,[3]DOORSCRIEFT!$A$2:$G$8551,3,FALSE),"")</f>
        <v/>
      </c>
      <c r="E2900" s="392" t="str">
        <f>IFERROR(VLOOKUP(A2900,[3]DOORSCRIEFT!$A$2:$G$8551,4,FALSE),"")</f>
        <v/>
      </c>
      <c r="F2900" s="397" t="str">
        <f>IFERROR(VLOOKUP(A2900,[3]DOORSCRIEFT!$A$2:$G$8551,6,FALSE),"")</f>
        <v/>
      </c>
      <c r="G2900" s="315"/>
    </row>
    <row r="2901" spans="1:7" x14ac:dyDescent="0.25">
      <c r="A2901" s="319" t="str">
        <f t="shared" si="83"/>
        <v>I.2.2.02.0468</v>
      </c>
      <c r="B2901" s="319">
        <v>8</v>
      </c>
      <c r="C2901" s="394" t="str">
        <f>IFERROR(VLOOKUP(A2901,[3]DOORSCRIEFT!$A$2:$G$8551,2,FALSE),"")</f>
        <v/>
      </c>
      <c r="D2901" s="393" t="str">
        <f>IFERROR(VLOOKUP(A2901,[3]DOORSCRIEFT!$A$2:$G$8551,3,FALSE),"")</f>
        <v/>
      </c>
      <c r="E2901" s="392" t="str">
        <f>IFERROR(VLOOKUP(A2901,[3]DOORSCRIEFT!$A$2:$G$8551,4,FALSE),"")</f>
        <v/>
      </c>
      <c r="F2901" s="397" t="str">
        <f>IFERROR(VLOOKUP(A2901,[3]DOORSCRIEFT!$A$2:$G$8551,6,FALSE),"")</f>
        <v/>
      </c>
      <c r="G2901" s="315"/>
    </row>
    <row r="2902" spans="1:7" x14ac:dyDescent="0.25">
      <c r="A2902" s="319" t="str">
        <f t="shared" si="83"/>
        <v>I.2.2.02.0469</v>
      </c>
      <c r="B2902" s="319">
        <v>9</v>
      </c>
      <c r="C2902" s="394" t="str">
        <f>IFERROR(VLOOKUP(A2902,[3]DOORSCRIEFT!$A$2:$G$8551,2,FALSE),"")</f>
        <v/>
      </c>
      <c r="D2902" s="393" t="str">
        <f>IFERROR(VLOOKUP(A2902,[3]DOORSCRIEFT!$A$2:$G$8551,3,FALSE),"")</f>
        <v/>
      </c>
      <c r="E2902" s="392" t="str">
        <f>IFERROR(VLOOKUP(A2902,[3]DOORSCRIEFT!$A$2:$G$8551,4,FALSE),"")</f>
        <v/>
      </c>
      <c r="F2902" s="397" t="str">
        <f>IFERROR(VLOOKUP(A2902,[3]DOORSCRIEFT!$A$2:$G$8551,6,FALSE),"")</f>
        <v/>
      </c>
      <c r="G2902" s="315"/>
    </row>
    <row r="2903" spans="1:7" x14ac:dyDescent="0.25">
      <c r="A2903" s="319" t="str">
        <f t="shared" si="83"/>
        <v>I.2.2.02.04610</v>
      </c>
      <c r="B2903" s="319">
        <v>10</v>
      </c>
      <c r="C2903" s="394" t="str">
        <f>IFERROR(VLOOKUP(A2903,[3]DOORSCRIEFT!$A$2:$G$8551,2,FALSE),"")</f>
        <v/>
      </c>
      <c r="D2903" s="393" t="str">
        <f>IFERROR(VLOOKUP(A2903,[3]DOORSCRIEFT!$A$2:$G$8551,3,FALSE),"")</f>
        <v/>
      </c>
      <c r="E2903" s="392" t="str">
        <f>IFERROR(VLOOKUP(A2903,[3]DOORSCRIEFT!$A$2:$G$8551,4,FALSE),"")</f>
        <v/>
      </c>
      <c r="F2903" s="397" t="str">
        <f>IFERROR(VLOOKUP(A2903,[3]DOORSCRIEFT!$A$2:$G$8551,6,FALSE),"")</f>
        <v/>
      </c>
      <c r="G2903" s="315"/>
    </row>
    <row r="2904" spans="1:7" x14ac:dyDescent="0.25">
      <c r="A2904" s="319" t="str">
        <f t="shared" si="83"/>
        <v>I.2.2.02.04611</v>
      </c>
      <c r="B2904" s="319">
        <v>11</v>
      </c>
      <c r="C2904" s="394" t="str">
        <f>IFERROR(VLOOKUP(A2904,[3]DOORSCRIEFT!$A$2:$G$8551,2,FALSE),"")</f>
        <v/>
      </c>
      <c r="D2904" s="393" t="str">
        <f>IFERROR(VLOOKUP(A2904,[3]DOORSCRIEFT!$A$2:$G$8551,3,FALSE),"")</f>
        <v/>
      </c>
      <c r="E2904" s="392" t="str">
        <f>IFERROR(VLOOKUP(A2904,[3]DOORSCRIEFT!$A$2:$G$8551,4,FALSE),"")</f>
        <v/>
      </c>
      <c r="F2904" s="397" t="str">
        <f>IFERROR(VLOOKUP(A2904,[3]DOORSCRIEFT!$A$2:$G$8551,6,FALSE),"")</f>
        <v/>
      </c>
      <c r="G2904" s="315"/>
    </row>
    <row r="2905" spans="1:7" x14ac:dyDescent="0.25">
      <c r="A2905" s="319" t="str">
        <f t="shared" si="83"/>
        <v>I.2.2.02.04612</v>
      </c>
      <c r="B2905" s="319">
        <v>12</v>
      </c>
      <c r="C2905" s="394" t="str">
        <f>IFERROR(VLOOKUP(A2905,[3]DOORSCRIEFT!$A$2:$G$8551,2,FALSE),"")</f>
        <v/>
      </c>
      <c r="D2905" s="393" t="str">
        <f>IFERROR(VLOOKUP(A2905,[3]DOORSCRIEFT!$A$2:$G$8551,3,FALSE),"")</f>
        <v/>
      </c>
      <c r="E2905" s="392" t="str">
        <f>IFERROR(VLOOKUP(A2905,[3]DOORSCRIEFT!$A$2:$G$8551,4,FALSE),"")</f>
        <v/>
      </c>
      <c r="F2905" s="397" t="str">
        <f>IFERROR(VLOOKUP(A2905,[3]DOORSCRIEFT!$A$2:$G$8551,6,FALSE),"")</f>
        <v/>
      </c>
      <c r="G2905" s="315"/>
    </row>
    <row r="2906" spans="1:7" x14ac:dyDescent="0.25">
      <c r="A2906" s="319" t="str">
        <f t="shared" si="83"/>
        <v>I.2.2.02.04613</v>
      </c>
      <c r="B2906" s="319">
        <v>13</v>
      </c>
      <c r="C2906" s="394" t="str">
        <f>IFERROR(VLOOKUP(A2906,[3]DOORSCRIEFT!$A$2:$G$8551,2,FALSE),"")</f>
        <v/>
      </c>
      <c r="D2906" s="393" t="str">
        <f>IFERROR(VLOOKUP(A2906,[3]DOORSCRIEFT!$A$2:$G$8551,3,FALSE),"")</f>
        <v/>
      </c>
      <c r="E2906" s="392" t="str">
        <f>IFERROR(VLOOKUP(A2906,[3]DOORSCRIEFT!$A$2:$G$8551,4,FALSE),"")</f>
        <v/>
      </c>
      <c r="F2906" s="397" t="str">
        <f>IFERROR(VLOOKUP(A2906,[3]DOORSCRIEFT!$A$2:$G$8551,6,FALSE),"")</f>
        <v/>
      </c>
      <c r="G2906" s="315"/>
    </row>
    <row r="2907" spans="1:7" x14ac:dyDescent="0.25">
      <c r="A2907" s="319" t="str">
        <f t="shared" si="83"/>
        <v>I.2.2.02.04614</v>
      </c>
      <c r="B2907" s="319">
        <v>14</v>
      </c>
      <c r="C2907" s="394" t="str">
        <f>IFERROR(VLOOKUP(A2907,[3]DOORSCRIEFT!$A$2:$G$8551,2,FALSE),"")</f>
        <v/>
      </c>
      <c r="D2907" s="393" t="str">
        <f>IFERROR(VLOOKUP(A2907,[3]DOORSCRIEFT!$A$2:$G$8551,3,FALSE),"")</f>
        <v/>
      </c>
      <c r="E2907" s="392" t="str">
        <f>IFERROR(VLOOKUP(A2907,[3]DOORSCRIEFT!$A$2:$G$8551,4,FALSE),"")</f>
        <v/>
      </c>
      <c r="F2907" s="397" t="str">
        <f>IFERROR(VLOOKUP(A2907,[3]DOORSCRIEFT!$A$2:$G$8551,6,FALSE),"")</f>
        <v/>
      </c>
      <c r="G2907" s="315"/>
    </row>
    <row r="2908" spans="1:7" ht="15.75" thickBot="1" x14ac:dyDescent="0.3">
      <c r="A2908" s="345" t="str">
        <f t="shared" si="83"/>
        <v>I.2.2.02.04615</v>
      </c>
      <c r="B2908" s="345">
        <v>15</v>
      </c>
      <c r="C2908" s="394" t="str">
        <f>IFERROR(VLOOKUP(A2908,[3]DOORSCRIEFT!$A$2:$G$8551,2,FALSE),"")</f>
        <v/>
      </c>
      <c r="D2908" s="393" t="str">
        <f>IFERROR(VLOOKUP(A2908,[3]DOORSCRIEFT!$A$2:$G$8551,3,FALSE),"")</f>
        <v/>
      </c>
      <c r="E2908" s="392" t="str">
        <f>IFERROR(VLOOKUP(A2908,[3]DOORSCRIEFT!$A$2:$G$8551,4,FALSE),"")</f>
        <v/>
      </c>
      <c r="F2908" s="397" t="str">
        <f>IFERROR(VLOOKUP(A2908,[3]DOORSCRIEFT!$A$2:$G$8551,6,FALSE),"")</f>
        <v/>
      </c>
      <c r="G2908" s="315"/>
    </row>
    <row r="2909" spans="1:7" ht="15.75" thickBot="1" x14ac:dyDescent="0.3">
      <c r="A2909" s="344"/>
      <c r="B2909" s="343"/>
      <c r="C2909" s="336"/>
      <c r="D2909" s="312"/>
      <c r="E2909" s="311" t="s">
        <v>644</v>
      </c>
      <c r="F2909" s="310">
        <f>SUM(F2894:F2908)</f>
        <v>0</v>
      </c>
      <c r="G2909" s="309">
        <f>SUM(G2894:G2908)</f>
        <v>0</v>
      </c>
    </row>
    <row r="2910" spans="1:7" x14ac:dyDescent="0.25">
      <c r="C2910" s="335"/>
    </row>
    <row r="2911" spans="1:7" x14ac:dyDescent="0.25">
      <c r="C2911" s="335"/>
    </row>
    <row r="2912" spans="1:7" ht="15.75" x14ac:dyDescent="0.25">
      <c r="C2912" s="334"/>
      <c r="D2912" s="333"/>
      <c r="E2912" s="332"/>
      <c r="F2912" s="327" t="s">
        <v>607</v>
      </c>
      <c r="G2912" s="327" t="s">
        <v>454</v>
      </c>
    </row>
    <row r="2913" spans="1:7" ht="15.75" x14ac:dyDescent="0.25">
      <c r="C2913" s="334"/>
      <c r="D2913" s="333"/>
      <c r="E2913" s="332"/>
      <c r="F2913" s="327" t="s">
        <v>601</v>
      </c>
      <c r="G2913" s="327" t="s">
        <v>453</v>
      </c>
    </row>
    <row r="2914" spans="1:7" x14ac:dyDescent="0.25">
      <c r="C2914" s="330"/>
      <c r="D2914" s="329"/>
      <c r="E2914" s="328"/>
      <c r="F2914" s="327" t="s">
        <v>651</v>
      </c>
      <c r="G2914" s="331">
        <f>[2]Sheet1!$D$74</f>
        <v>2500000</v>
      </c>
    </row>
    <row r="2915" spans="1:7" ht="15.75" thickBot="1" x14ac:dyDescent="0.3">
      <c r="C2915" s="330"/>
      <c r="D2915" s="329"/>
      <c r="E2915" s="328"/>
      <c r="F2915" s="327" t="s">
        <v>650</v>
      </c>
      <c r="G2915" s="326">
        <f>+F2938-G2914</f>
        <v>-2500000</v>
      </c>
    </row>
    <row r="2916" spans="1:7" x14ac:dyDescent="0.25">
      <c r="A2916" s="571" t="s">
        <v>626</v>
      </c>
      <c r="B2916" s="573" t="s">
        <v>606</v>
      </c>
      <c r="C2916" s="588" t="s">
        <v>649</v>
      </c>
      <c r="D2916" s="577" t="s">
        <v>648</v>
      </c>
      <c r="E2916" s="577" t="s">
        <v>647</v>
      </c>
      <c r="F2916" s="577" t="s">
        <v>646</v>
      </c>
      <c r="G2916" s="580" t="s">
        <v>645</v>
      </c>
    </row>
    <row r="2917" spans="1:7" ht="15.75" thickBot="1" x14ac:dyDescent="0.3">
      <c r="A2917" s="572"/>
      <c r="B2917" s="574"/>
      <c r="C2917" s="589"/>
      <c r="D2917" s="586"/>
      <c r="E2917" s="586"/>
      <c r="F2917" s="586"/>
      <c r="G2917" s="587"/>
    </row>
    <row r="2918" spans="1:7" ht="15.75" thickBot="1" x14ac:dyDescent="0.3">
      <c r="A2918" s="325">
        <v>1</v>
      </c>
      <c r="B2918" s="324">
        <v>2</v>
      </c>
      <c r="C2918" s="324">
        <v>3</v>
      </c>
      <c r="D2918" s="324">
        <v>4</v>
      </c>
      <c r="E2918" s="324">
        <v>5</v>
      </c>
      <c r="F2918" s="324">
        <v>6</v>
      </c>
      <c r="G2918" s="323">
        <v>7</v>
      </c>
    </row>
    <row r="2919" spans="1:7" x14ac:dyDescent="0.25">
      <c r="A2919" s="339" t="str">
        <f t="shared" ref="A2919:A2937" si="84">$G$2912&amp;B2919</f>
        <v>I.2.2.02.0471</v>
      </c>
      <c r="B2919" s="339">
        <v>1</v>
      </c>
      <c r="C2919" s="394" t="str">
        <f>IFERROR(VLOOKUP(A2919,[3]DOORSCRIEFT!$A$2:$G$8551,2,FALSE),"")</f>
        <v/>
      </c>
      <c r="D2919" s="393" t="str">
        <f>IFERROR(VLOOKUP(A2919,[3]DOORSCRIEFT!$A$2:$G$8551,3,FALSE),"")</f>
        <v/>
      </c>
      <c r="E2919" s="392" t="str">
        <f>IFERROR(VLOOKUP(A2919,[3]DOORSCRIEFT!$A$2:$G$8551,4,FALSE),"")</f>
        <v/>
      </c>
      <c r="F2919" s="397" t="str">
        <f>IFERROR(VLOOKUP(A2919,[3]DOORSCRIEFT!$A$2:$G$8551,6,FALSE),"")</f>
        <v/>
      </c>
      <c r="G2919" s="322"/>
    </row>
    <row r="2920" spans="1:7" x14ac:dyDescent="0.25">
      <c r="A2920" s="339" t="str">
        <f t="shared" si="84"/>
        <v>I.2.2.02.0472</v>
      </c>
      <c r="B2920" s="319">
        <v>2</v>
      </c>
      <c r="C2920" s="394" t="str">
        <f>IFERROR(VLOOKUP(A2920,[3]DOORSCRIEFT!$A$2:$G$8551,2,FALSE),"")</f>
        <v/>
      </c>
      <c r="D2920" s="393" t="str">
        <f>IFERROR(VLOOKUP(A2920,[3]DOORSCRIEFT!$A$2:$G$8551,3,FALSE),"")</f>
        <v/>
      </c>
      <c r="E2920" s="392" t="str">
        <f>IFERROR(VLOOKUP(A2920,[3]DOORSCRIEFT!$A$2:$G$8551,4,FALSE),"")</f>
        <v/>
      </c>
      <c r="F2920" s="397" t="str">
        <f>IFERROR(VLOOKUP(A2920,[3]DOORSCRIEFT!$A$2:$G$8551,6,FALSE),"")</f>
        <v/>
      </c>
      <c r="G2920" s="315"/>
    </row>
    <row r="2921" spans="1:7" x14ac:dyDescent="0.25">
      <c r="A2921" s="339" t="str">
        <f t="shared" si="84"/>
        <v>I.2.2.02.0473</v>
      </c>
      <c r="B2921" s="319">
        <v>3</v>
      </c>
      <c r="C2921" s="394" t="str">
        <f>IFERROR(VLOOKUP(A2921,[3]DOORSCRIEFT!$A$2:$G$8551,2,FALSE),"")</f>
        <v/>
      </c>
      <c r="D2921" s="393" t="str">
        <f>IFERROR(VLOOKUP(A2921,[3]DOORSCRIEFT!$A$2:$G$8551,3,FALSE),"")</f>
        <v/>
      </c>
      <c r="E2921" s="392" t="str">
        <f>IFERROR(VLOOKUP(A2921,[3]DOORSCRIEFT!$A$2:$G$8551,4,FALSE),"")</f>
        <v/>
      </c>
      <c r="F2921" s="397" t="str">
        <f>IFERROR(VLOOKUP(A2921,[3]DOORSCRIEFT!$A$2:$G$8551,6,FALSE),"")</f>
        <v/>
      </c>
      <c r="G2921" s="315"/>
    </row>
    <row r="2922" spans="1:7" x14ac:dyDescent="0.25">
      <c r="A2922" s="339" t="str">
        <f t="shared" si="84"/>
        <v>I.2.2.02.0474</v>
      </c>
      <c r="B2922" s="319">
        <v>4</v>
      </c>
      <c r="C2922" s="394" t="str">
        <f>IFERROR(VLOOKUP(A2922,[3]DOORSCRIEFT!$A$2:$G$8551,2,FALSE),"")</f>
        <v/>
      </c>
      <c r="D2922" s="393" t="str">
        <f>IFERROR(VLOOKUP(A2922,[3]DOORSCRIEFT!$A$2:$G$8551,3,FALSE),"")</f>
        <v/>
      </c>
      <c r="E2922" s="392" t="str">
        <f>IFERROR(VLOOKUP(A2922,[3]DOORSCRIEFT!$A$2:$G$8551,4,FALSE),"")</f>
        <v/>
      </c>
      <c r="F2922" s="397" t="str">
        <f>IFERROR(VLOOKUP(A2922,[3]DOORSCRIEFT!$A$2:$G$8551,6,FALSE),"")</f>
        <v/>
      </c>
      <c r="G2922" s="315"/>
    </row>
    <row r="2923" spans="1:7" x14ac:dyDescent="0.25">
      <c r="A2923" s="339" t="str">
        <f t="shared" si="84"/>
        <v>I.2.2.02.0475</v>
      </c>
      <c r="B2923" s="319">
        <v>5</v>
      </c>
      <c r="C2923" s="394" t="str">
        <f>IFERROR(VLOOKUP(A2923,[3]DOORSCRIEFT!$A$2:$G$8551,2,FALSE),"")</f>
        <v/>
      </c>
      <c r="D2923" s="393" t="str">
        <f>IFERROR(VLOOKUP(A2923,[3]DOORSCRIEFT!$A$2:$G$8551,3,FALSE),"")</f>
        <v/>
      </c>
      <c r="E2923" s="392" t="str">
        <f>IFERROR(VLOOKUP(A2923,[3]DOORSCRIEFT!$A$2:$G$8551,4,FALSE),"")</f>
        <v/>
      </c>
      <c r="F2923" s="397" t="str">
        <f>IFERROR(VLOOKUP(A2923,[3]DOORSCRIEFT!$A$2:$G$8551,6,FALSE),"")</f>
        <v/>
      </c>
      <c r="G2923" s="315"/>
    </row>
    <row r="2924" spans="1:7" x14ac:dyDescent="0.25">
      <c r="A2924" s="339" t="str">
        <f t="shared" si="84"/>
        <v>I.2.2.02.0476</v>
      </c>
      <c r="B2924" s="319">
        <v>6</v>
      </c>
      <c r="C2924" s="394" t="str">
        <f>IFERROR(VLOOKUP(A2924,[3]DOORSCRIEFT!$A$2:$G$8551,2,FALSE),"")</f>
        <v/>
      </c>
      <c r="D2924" s="393" t="str">
        <f>IFERROR(VLOOKUP(A2924,[3]DOORSCRIEFT!$A$2:$G$8551,3,FALSE),"")</f>
        <v/>
      </c>
      <c r="E2924" s="392" t="str">
        <f>IFERROR(VLOOKUP(A2924,[3]DOORSCRIEFT!$A$2:$G$8551,4,FALSE),"")</f>
        <v/>
      </c>
      <c r="F2924" s="397" t="str">
        <f>IFERROR(VLOOKUP(A2924,[3]DOORSCRIEFT!$A$2:$G$8551,6,FALSE),"")</f>
        <v/>
      </c>
      <c r="G2924" s="315"/>
    </row>
    <row r="2925" spans="1:7" x14ac:dyDescent="0.25">
      <c r="A2925" s="339" t="str">
        <f t="shared" si="84"/>
        <v>I.2.2.02.0477</v>
      </c>
      <c r="B2925" s="319">
        <v>7</v>
      </c>
      <c r="C2925" s="394" t="str">
        <f>IFERROR(VLOOKUP(A2925,[3]DOORSCRIEFT!$A$2:$G$8551,2,FALSE),"")</f>
        <v/>
      </c>
      <c r="D2925" s="393" t="str">
        <f>IFERROR(VLOOKUP(A2925,[3]DOORSCRIEFT!$A$2:$G$8551,3,FALSE),"")</f>
        <v/>
      </c>
      <c r="E2925" s="392" t="str">
        <f>IFERROR(VLOOKUP(A2925,[3]DOORSCRIEFT!$A$2:$G$8551,4,FALSE),"")</f>
        <v/>
      </c>
      <c r="F2925" s="397" t="str">
        <f>IFERROR(VLOOKUP(A2925,[3]DOORSCRIEFT!$A$2:$G$8551,6,FALSE),"")</f>
        <v/>
      </c>
      <c r="G2925" s="315"/>
    </row>
    <row r="2926" spans="1:7" x14ac:dyDescent="0.25">
      <c r="A2926" s="339" t="str">
        <f t="shared" si="84"/>
        <v>I.2.2.02.0478</v>
      </c>
      <c r="B2926" s="319">
        <v>8</v>
      </c>
      <c r="C2926" s="394" t="str">
        <f>IFERROR(VLOOKUP(A2926,[3]DOORSCRIEFT!$A$2:$G$8551,2,FALSE),"")</f>
        <v/>
      </c>
      <c r="D2926" s="393" t="str">
        <f>IFERROR(VLOOKUP(A2926,[3]DOORSCRIEFT!$A$2:$G$8551,3,FALSE),"")</f>
        <v/>
      </c>
      <c r="E2926" s="392" t="str">
        <f>IFERROR(VLOOKUP(A2926,[3]DOORSCRIEFT!$A$2:$G$8551,4,FALSE),"")</f>
        <v/>
      </c>
      <c r="F2926" s="397" t="str">
        <f>IFERROR(VLOOKUP(A2926,[3]DOORSCRIEFT!$A$2:$G$8551,6,FALSE),"")</f>
        <v/>
      </c>
      <c r="G2926" s="315"/>
    </row>
    <row r="2927" spans="1:7" x14ac:dyDescent="0.25">
      <c r="A2927" s="339" t="str">
        <f t="shared" si="84"/>
        <v>I.2.2.02.0479</v>
      </c>
      <c r="B2927" s="319">
        <v>9</v>
      </c>
      <c r="C2927" s="394" t="str">
        <f>IFERROR(VLOOKUP(A2927,[3]DOORSCRIEFT!$A$2:$G$8551,2,FALSE),"")</f>
        <v/>
      </c>
      <c r="D2927" s="393" t="str">
        <f>IFERROR(VLOOKUP(A2927,[3]DOORSCRIEFT!$A$2:$G$8551,3,FALSE),"")</f>
        <v/>
      </c>
      <c r="E2927" s="392" t="str">
        <f>IFERROR(VLOOKUP(A2927,[3]DOORSCRIEFT!$A$2:$G$8551,4,FALSE),"")</f>
        <v/>
      </c>
      <c r="F2927" s="397" t="str">
        <f>IFERROR(VLOOKUP(A2927,[3]DOORSCRIEFT!$A$2:$G$8551,6,FALSE),"")</f>
        <v/>
      </c>
      <c r="G2927" s="315"/>
    </row>
    <row r="2928" spans="1:7" x14ac:dyDescent="0.25">
      <c r="A2928" s="339" t="str">
        <f t="shared" si="84"/>
        <v>I.2.2.02.04710</v>
      </c>
      <c r="B2928" s="319">
        <v>10</v>
      </c>
      <c r="C2928" s="394" t="str">
        <f>IFERROR(VLOOKUP(A2928,[3]DOORSCRIEFT!$A$2:$G$8551,2,FALSE),"")</f>
        <v/>
      </c>
      <c r="D2928" s="393" t="str">
        <f>IFERROR(VLOOKUP(A2928,[3]DOORSCRIEFT!$A$2:$G$8551,3,FALSE),"")</f>
        <v/>
      </c>
      <c r="E2928" s="392" t="str">
        <f>IFERROR(VLOOKUP(A2928,[3]DOORSCRIEFT!$A$2:$G$8551,4,FALSE),"")</f>
        <v/>
      </c>
      <c r="F2928" s="397" t="str">
        <f>IFERROR(VLOOKUP(A2928,[3]DOORSCRIEFT!$A$2:$G$8551,6,FALSE),"")</f>
        <v/>
      </c>
      <c r="G2928" s="315"/>
    </row>
    <row r="2929" spans="1:7" x14ac:dyDescent="0.25">
      <c r="A2929" s="339" t="str">
        <f t="shared" si="84"/>
        <v>I.2.2.02.04711</v>
      </c>
      <c r="B2929" s="319">
        <v>11</v>
      </c>
      <c r="C2929" s="394" t="str">
        <f>IFERROR(VLOOKUP(A2929,[3]DOORSCRIEFT!$A$2:$G$8551,2,FALSE),"")</f>
        <v/>
      </c>
      <c r="D2929" s="393" t="str">
        <f>IFERROR(VLOOKUP(A2929,[3]DOORSCRIEFT!$A$2:$G$8551,3,FALSE),"")</f>
        <v/>
      </c>
      <c r="E2929" s="392" t="str">
        <f>IFERROR(VLOOKUP(A2929,[3]DOORSCRIEFT!$A$2:$G$8551,4,FALSE),"")</f>
        <v/>
      </c>
      <c r="F2929" s="397" t="str">
        <f>IFERROR(VLOOKUP(A2929,[3]DOORSCRIEFT!$A$2:$G$8551,6,FALSE),"")</f>
        <v/>
      </c>
      <c r="G2929" s="315"/>
    </row>
    <row r="2930" spans="1:7" x14ac:dyDescent="0.25">
      <c r="A2930" s="339" t="str">
        <f t="shared" si="84"/>
        <v>I.2.2.02.04712</v>
      </c>
      <c r="B2930" s="319">
        <v>12</v>
      </c>
      <c r="C2930" s="394" t="str">
        <f>IFERROR(VLOOKUP(A2930,[3]DOORSCRIEFT!$A$2:$G$8551,2,FALSE),"")</f>
        <v/>
      </c>
      <c r="D2930" s="393" t="str">
        <f>IFERROR(VLOOKUP(A2930,[3]DOORSCRIEFT!$A$2:$G$8551,3,FALSE),"")</f>
        <v/>
      </c>
      <c r="E2930" s="392" t="str">
        <f>IFERROR(VLOOKUP(A2930,[3]DOORSCRIEFT!$A$2:$G$8551,4,FALSE),"")</f>
        <v/>
      </c>
      <c r="F2930" s="397" t="str">
        <f>IFERROR(VLOOKUP(A2930,[3]DOORSCRIEFT!$A$2:$G$8551,6,FALSE),"")</f>
        <v/>
      </c>
      <c r="G2930" s="315"/>
    </row>
    <row r="2931" spans="1:7" x14ac:dyDescent="0.25">
      <c r="A2931" s="339" t="str">
        <f t="shared" si="84"/>
        <v>I.2.2.02.04713</v>
      </c>
      <c r="B2931" s="319">
        <v>13</v>
      </c>
      <c r="C2931" s="394" t="str">
        <f>IFERROR(VLOOKUP(A2931,[3]DOORSCRIEFT!$A$2:$G$8551,2,FALSE),"")</f>
        <v/>
      </c>
      <c r="D2931" s="393" t="str">
        <f>IFERROR(VLOOKUP(A2931,[3]DOORSCRIEFT!$A$2:$G$8551,3,FALSE),"")</f>
        <v/>
      </c>
      <c r="E2931" s="392" t="str">
        <f>IFERROR(VLOOKUP(A2931,[3]DOORSCRIEFT!$A$2:$G$8551,4,FALSE),"")</f>
        <v/>
      </c>
      <c r="F2931" s="397" t="str">
        <f>IFERROR(VLOOKUP(A2931,[3]DOORSCRIEFT!$A$2:$G$8551,6,FALSE),"")</f>
        <v/>
      </c>
      <c r="G2931" s="315"/>
    </row>
    <row r="2932" spans="1:7" x14ac:dyDescent="0.25">
      <c r="A2932" s="339" t="str">
        <f t="shared" si="84"/>
        <v>I.2.2.02.04714</v>
      </c>
      <c r="B2932" s="319">
        <v>14</v>
      </c>
      <c r="C2932" s="394" t="str">
        <f>IFERROR(VLOOKUP(A2932,[3]DOORSCRIEFT!$A$2:$G$8551,2,FALSE),"")</f>
        <v/>
      </c>
      <c r="D2932" s="393" t="str">
        <f>IFERROR(VLOOKUP(A2932,[3]DOORSCRIEFT!$A$2:$G$8551,3,FALSE),"")</f>
        <v/>
      </c>
      <c r="E2932" s="392" t="str">
        <f>IFERROR(VLOOKUP(A2932,[3]DOORSCRIEFT!$A$2:$G$8551,4,FALSE),"")</f>
        <v/>
      </c>
      <c r="F2932" s="397" t="str">
        <f>IFERROR(VLOOKUP(A2932,[3]DOORSCRIEFT!$A$2:$G$8551,6,FALSE),"")</f>
        <v/>
      </c>
      <c r="G2932" s="315"/>
    </row>
    <row r="2933" spans="1:7" x14ac:dyDescent="0.25">
      <c r="A2933" s="339" t="str">
        <f t="shared" si="84"/>
        <v>I.2.2.02.04715</v>
      </c>
      <c r="B2933" s="319">
        <v>15</v>
      </c>
      <c r="C2933" s="394" t="str">
        <f>IFERROR(VLOOKUP(A2933,[3]DOORSCRIEFT!$A$2:$G$8551,2,FALSE),"")</f>
        <v/>
      </c>
      <c r="D2933" s="393" t="str">
        <f>IFERROR(VLOOKUP(A2933,[3]DOORSCRIEFT!$A$2:$G$8551,3,FALSE),"")</f>
        <v/>
      </c>
      <c r="E2933" s="392" t="str">
        <f>IFERROR(VLOOKUP(A2933,[3]DOORSCRIEFT!$A$2:$G$8551,4,FALSE),"")</f>
        <v/>
      </c>
      <c r="F2933" s="397" t="str">
        <f>IFERROR(VLOOKUP(A2933,[3]DOORSCRIEFT!$A$2:$G$8551,6,FALSE),"")</f>
        <v/>
      </c>
      <c r="G2933" s="315"/>
    </row>
    <row r="2934" spans="1:7" x14ac:dyDescent="0.25">
      <c r="A2934" s="339" t="str">
        <f t="shared" si="84"/>
        <v>I.2.2.02.04716</v>
      </c>
      <c r="B2934" s="319">
        <v>16</v>
      </c>
      <c r="C2934" s="394" t="str">
        <f>IFERROR(VLOOKUP(A2934,[3]DOORSCRIEFT!$A$2:$G$8551,2,FALSE),"")</f>
        <v/>
      </c>
      <c r="D2934" s="393" t="str">
        <f>IFERROR(VLOOKUP(A2934,[3]DOORSCRIEFT!$A$2:$G$8551,3,FALSE),"")</f>
        <v/>
      </c>
      <c r="E2934" s="392" t="str">
        <f>IFERROR(VLOOKUP(A2934,[3]DOORSCRIEFT!$A$2:$G$8551,4,FALSE),"")</f>
        <v/>
      </c>
      <c r="F2934" s="397" t="str">
        <f>IFERROR(VLOOKUP(A2934,[3]DOORSCRIEFT!$A$2:$G$8551,6,FALSE),"")</f>
        <v/>
      </c>
      <c r="G2934" s="315"/>
    </row>
    <row r="2935" spans="1:7" x14ac:dyDescent="0.25">
      <c r="A2935" s="339" t="str">
        <f t="shared" si="84"/>
        <v>I.2.2.02.04717</v>
      </c>
      <c r="B2935" s="319">
        <v>17</v>
      </c>
      <c r="C2935" s="394" t="str">
        <f>IFERROR(VLOOKUP(A2935,[3]DOORSCRIEFT!$A$2:$G$8551,2,FALSE),"")</f>
        <v/>
      </c>
      <c r="D2935" s="393" t="str">
        <f>IFERROR(VLOOKUP(A2935,[3]DOORSCRIEFT!$A$2:$G$8551,3,FALSE),"")</f>
        <v/>
      </c>
      <c r="E2935" s="392" t="str">
        <f>IFERROR(VLOOKUP(A2935,[3]DOORSCRIEFT!$A$2:$G$8551,4,FALSE),"")</f>
        <v/>
      </c>
      <c r="F2935" s="397" t="str">
        <f>IFERROR(VLOOKUP(A2935,[3]DOORSCRIEFT!$A$2:$G$8551,6,FALSE),"")</f>
        <v/>
      </c>
      <c r="G2935" s="315"/>
    </row>
    <row r="2936" spans="1:7" x14ac:dyDescent="0.25">
      <c r="A2936" s="339" t="str">
        <f t="shared" si="84"/>
        <v>I.2.2.02.04718</v>
      </c>
      <c r="B2936" s="319">
        <v>18</v>
      </c>
      <c r="C2936" s="394" t="str">
        <f>IFERROR(VLOOKUP(A2936,[3]DOORSCRIEFT!$A$2:$G$8551,2,FALSE),"")</f>
        <v/>
      </c>
      <c r="D2936" s="393" t="str">
        <f>IFERROR(VLOOKUP(A2936,[3]DOORSCRIEFT!$A$2:$G$8551,3,FALSE),"")</f>
        <v/>
      </c>
      <c r="E2936" s="392" t="str">
        <f>IFERROR(VLOOKUP(A2936,[3]DOORSCRIEFT!$A$2:$G$8551,4,FALSE),"")</f>
        <v/>
      </c>
      <c r="F2936" s="397" t="str">
        <f>IFERROR(VLOOKUP(A2936,[3]DOORSCRIEFT!$A$2:$G$8551,6,FALSE),"")</f>
        <v/>
      </c>
      <c r="G2936" s="315"/>
    </row>
    <row r="2937" spans="1:7" ht="15.75" thickBot="1" x14ac:dyDescent="0.3">
      <c r="A2937" s="339" t="str">
        <f t="shared" si="84"/>
        <v>I.2.2.02.04719</v>
      </c>
      <c r="B2937" s="345">
        <v>19</v>
      </c>
      <c r="C2937" s="394" t="str">
        <f>IFERROR(VLOOKUP(A2937,[3]DOORSCRIEFT!$A$2:$G$8551,2,FALSE),"")</f>
        <v/>
      </c>
      <c r="D2937" s="393" t="str">
        <f>IFERROR(VLOOKUP(A2937,[3]DOORSCRIEFT!$A$2:$G$8551,3,FALSE),"")</f>
        <v/>
      </c>
      <c r="E2937" s="392" t="str">
        <f>IFERROR(VLOOKUP(A2937,[3]DOORSCRIEFT!$A$2:$G$8551,4,FALSE),"")</f>
        <v/>
      </c>
      <c r="F2937" s="397" t="str">
        <f>IFERROR(VLOOKUP(A2937,[3]DOORSCRIEFT!$A$2:$G$8551,6,FALSE),"")</f>
        <v/>
      </c>
      <c r="G2937" s="315"/>
    </row>
    <row r="2938" spans="1:7" ht="15.75" thickBot="1" x14ac:dyDescent="0.3">
      <c r="A2938" s="314"/>
      <c r="B2938" s="312"/>
      <c r="C2938" s="336"/>
      <c r="D2938" s="312"/>
      <c r="E2938" s="311" t="s">
        <v>644</v>
      </c>
      <c r="F2938" s="310">
        <f>SUM(F2919:F2937)</f>
        <v>0</v>
      </c>
      <c r="G2938" s="309">
        <f>SUM(G2919:G2937)</f>
        <v>0</v>
      </c>
    </row>
    <row r="2939" spans="1:7" x14ac:dyDescent="0.25">
      <c r="C2939" s="335"/>
    </row>
    <row r="2940" spans="1:7" x14ac:dyDescent="0.25">
      <c r="C2940" s="335"/>
    </row>
    <row r="2941" spans="1:7" ht="15.75" x14ac:dyDescent="0.25">
      <c r="C2941" s="334"/>
      <c r="D2941" s="333"/>
      <c r="E2941" s="332"/>
      <c r="F2941" s="327" t="s">
        <v>607</v>
      </c>
      <c r="G2941" s="327" t="s">
        <v>452</v>
      </c>
    </row>
    <row r="2942" spans="1:7" ht="15.75" x14ac:dyDescent="0.25">
      <c r="C2942" s="334"/>
      <c r="D2942" s="333"/>
      <c r="E2942" s="332"/>
      <c r="F2942" s="327" t="s">
        <v>601</v>
      </c>
      <c r="G2942" s="327" t="s">
        <v>451</v>
      </c>
    </row>
    <row r="2943" spans="1:7" x14ac:dyDescent="0.25">
      <c r="C2943" s="330"/>
      <c r="D2943" s="329"/>
      <c r="E2943" s="328"/>
      <c r="F2943" s="327" t="s">
        <v>651</v>
      </c>
      <c r="G2943" s="331">
        <f>[2]Sheet1!$D$75</f>
        <v>30000000</v>
      </c>
    </row>
    <row r="2944" spans="1:7" ht="15.75" thickBot="1" x14ac:dyDescent="0.3">
      <c r="C2944" s="330"/>
      <c r="D2944" s="329"/>
      <c r="E2944" s="328"/>
      <c r="F2944" s="327" t="s">
        <v>650</v>
      </c>
      <c r="G2944" s="326">
        <f>+F2963-G2943</f>
        <v>-30000000</v>
      </c>
    </row>
    <row r="2945" spans="1:7" x14ac:dyDescent="0.25">
      <c r="A2945" s="573" t="s">
        <v>626</v>
      </c>
      <c r="B2945" s="573" t="s">
        <v>606</v>
      </c>
      <c r="C2945" s="588" t="s">
        <v>649</v>
      </c>
      <c r="D2945" s="577" t="s">
        <v>648</v>
      </c>
      <c r="E2945" s="577" t="s">
        <v>647</v>
      </c>
      <c r="F2945" s="577" t="s">
        <v>646</v>
      </c>
      <c r="G2945" s="580" t="s">
        <v>645</v>
      </c>
    </row>
    <row r="2946" spans="1:7" ht="15.75" thickBot="1" x14ac:dyDescent="0.3">
      <c r="A2946" s="574"/>
      <c r="B2946" s="574"/>
      <c r="C2946" s="589"/>
      <c r="D2946" s="586"/>
      <c r="E2946" s="586"/>
      <c r="F2946" s="586"/>
      <c r="G2946" s="587"/>
    </row>
    <row r="2947" spans="1:7" ht="15.75" thickBot="1" x14ac:dyDescent="0.3">
      <c r="A2947" s="325">
        <v>1</v>
      </c>
      <c r="B2947" s="324">
        <v>2</v>
      </c>
      <c r="C2947" s="324">
        <v>3</v>
      </c>
      <c r="D2947" s="324">
        <v>4</v>
      </c>
      <c r="E2947" s="324">
        <v>5</v>
      </c>
      <c r="F2947" s="324">
        <v>6</v>
      </c>
      <c r="G2947" s="323">
        <v>7</v>
      </c>
    </row>
    <row r="2948" spans="1:7" x14ac:dyDescent="0.25">
      <c r="A2948" s="339" t="str">
        <f t="shared" ref="A2948:A2962" si="85">$G$2941&amp;B2948</f>
        <v>I.2.2.02.0481</v>
      </c>
      <c r="B2948" s="339">
        <v>1</v>
      </c>
      <c r="C2948" s="394" t="str">
        <f>IFERROR(VLOOKUP(A2948,[3]DOORSCRIEFT!$A$2:$G$8551,2,FALSE),"")</f>
        <v/>
      </c>
      <c r="D2948" s="393" t="str">
        <f>IFERROR(VLOOKUP(A2948,[3]DOORSCRIEFT!$A$2:$G$8551,3,FALSE),"")</f>
        <v/>
      </c>
      <c r="E2948" s="392" t="str">
        <f>IFERROR(VLOOKUP(A2948,[3]DOORSCRIEFT!$A$2:$G$8551,4,FALSE),"")</f>
        <v/>
      </c>
      <c r="F2948" s="397" t="str">
        <f>IFERROR(VLOOKUP(A2948,[3]DOORSCRIEFT!$A$2:$G$8551,6,FALSE),"")</f>
        <v/>
      </c>
      <c r="G2948" s="322"/>
    </row>
    <row r="2949" spans="1:7" x14ac:dyDescent="0.25">
      <c r="A2949" s="339" t="str">
        <f t="shared" si="85"/>
        <v>I.2.2.02.0482</v>
      </c>
      <c r="B2949" s="319">
        <v>2</v>
      </c>
      <c r="C2949" s="394" t="str">
        <f>IFERROR(VLOOKUP(A2949,[3]DOORSCRIEFT!$A$2:$G$8551,2,FALSE),"")</f>
        <v/>
      </c>
      <c r="D2949" s="393" t="str">
        <f>IFERROR(VLOOKUP(A2949,[3]DOORSCRIEFT!$A$2:$G$8551,3,FALSE),"")</f>
        <v/>
      </c>
      <c r="E2949" s="392" t="str">
        <f>IFERROR(VLOOKUP(A2949,[3]DOORSCRIEFT!$A$2:$G$8551,4,FALSE),"")</f>
        <v/>
      </c>
      <c r="F2949" s="397" t="str">
        <f>IFERROR(VLOOKUP(A2949,[3]DOORSCRIEFT!$A$2:$G$8551,6,FALSE),"")</f>
        <v/>
      </c>
      <c r="G2949" s="315"/>
    </row>
    <row r="2950" spans="1:7" x14ac:dyDescent="0.25">
      <c r="A2950" s="339" t="str">
        <f t="shared" si="85"/>
        <v>I.2.2.02.0483</v>
      </c>
      <c r="B2950" s="319">
        <v>3</v>
      </c>
      <c r="C2950" s="394" t="str">
        <f>IFERROR(VLOOKUP(A2950,[3]DOORSCRIEFT!$A$2:$G$8551,2,FALSE),"")</f>
        <v/>
      </c>
      <c r="D2950" s="393" t="str">
        <f>IFERROR(VLOOKUP(A2950,[3]DOORSCRIEFT!$A$2:$G$8551,3,FALSE),"")</f>
        <v/>
      </c>
      <c r="E2950" s="392" t="str">
        <f>IFERROR(VLOOKUP(A2950,[3]DOORSCRIEFT!$A$2:$G$8551,4,FALSE),"")</f>
        <v/>
      </c>
      <c r="F2950" s="397" t="str">
        <f>IFERROR(VLOOKUP(A2950,[3]DOORSCRIEFT!$A$2:$G$8551,6,FALSE),"")</f>
        <v/>
      </c>
      <c r="G2950" s="315"/>
    </row>
    <row r="2951" spans="1:7" x14ac:dyDescent="0.25">
      <c r="A2951" s="339" t="str">
        <f t="shared" si="85"/>
        <v>I.2.2.02.0484</v>
      </c>
      <c r="B2951" s="319">
        <v>4</v>
      </c>
      <c r="C2951" s="394" t="str">
        <f>IFERROR(VLOOKUP(A2951,[3]DOORSCRIEFT!$A$2:$G$8551,2,FALSE),"")</f>
        <v/>
      </c>
      <c r="D2951" s="393" t="str">
        <f>IFERROR(VLOOKUP(A2951,[3]DOORSCRIEFT!$A$2:$G$8551,3,FALSE),"")</f>
        <v/>
      </c>
      <c r="E2951" s="392" t="str">
        <f>IFERROR(VLOOKUP(A2951,[3]DOORSCRIEFT!$A$2:$G$8551,4,FALSE),"")</f>
        <v/>
      </c>
      <c r="F2951" s="397" t="str">
        <f>IFERROR(VLOOKUP(A2951,[3]DOORSCRIEFT!$A$2:$G$8551,6,FALSE),"")</f>
        <v/>
      </c>
      <c r="G2951" s="315"/>
    </row>
    <row r="2952" spans="1:7" x14ac:dyDescent="0.25">
      <c r="A2952" s="339" t="str">
        <f t="shared" si="85"/>
        <v>I.2.2.02.0485</v>
      </c>
      <c r="B2952" s="319">
        <v>5</v>
      </c>
      <c r="C2952" s="394" t="str">
        <f>IFERROR(VLOOKUP(A2952,[3]DOORSCRIEFT!$A$2:$G$8551,2,FALSE),"")</f>
        <v/>
      </c>
      <c r="D2952" s="393" t="str">
        <f>IFERROR(VLOOKUP(A2952,[3]DOORSCRIEFT!$A$2:$G$8551,3,FALSE),"")</f>
        <v/>
      </c>
      <c r="E2952" s="392" t="str">
        <f>IFERROR(VLOOKUP(A2952,[3]DOORSCRIEFT!$A$2:$G$8551,4,FALSE),"")</f>
        <v/>
      </c>
      <c r="F2952" s="397" t="str">
        <f>IFERROR(VLOOKUP(A2952,[3]DOORSCRIEFT!$A$2:$G$8551,6,FALSE),"")</f>
        <v/>
      </c>
      <c r="G2952" s="315"/>
    </row>
    <row r="2953" spans="1:7" x14ac:dyDescent="0.25">
      <c r="A2953" s="339" t="str">
        <f t="shared" si="85"/>
        <v>I.2.2.02.0486</v>
      </c>
      <c r="B2953" s="319">
        <v>6</v>
      </c>
      <c r="C2953" s="394" t="str">
        <f>IFERROR(VLOOKUP(A2953,[3]DOORSCRIEFT!$A$2:$G$8551,2,FALSE),"")</f>
        <v/>
      </c>
      <c r="D2953" s="393" t="str">
        <f>IFERROR(VLOOKUP(A2953,[3]DOORSCRIEFT!$A$2:$G$8551,3,FALSE),"")</f>
        <v/>
      </c>
      <c r="E2953" s="392" t="str">
        <f>IFERROR(VLOOKUP(A2953,[3]DOORSCRIEFT!$A$2:$G$8551,4,FALSE),"")</f>
        <v/>
      </c>
      <c r="F2953" s="397" t="str">
        <f>IFERROR(VLOOKUP(A2953,[3]DOORSCRIEFT!$A$2:$G$8551,6,FALSE),"")</f>
        <v/>
      </c>
      <c r="G2953" s="315"/>
    </row>
    <row r="2954" spans="1:7" x14ac:dyDescent="0.25">
      <c r="A2954" s="339" t="str">
        <f t="shared" si="85"/>
        <v>I.2.2.02.0487</v>
      </c>
      <c r="B2954" s="319">
        <v>7</v>
      </c>
      <c r="C2954" s="394" t="str">
        <f>IFERROR(VLOOKUP(A2954,[3]DOORSCRIEFT!$A$2:$G$8551,2,FALSE),"")</f>
        <v/>
      </c>
      <c r="D2954" s="393" t="str">
        <f>IFERROR(VLOOKUP(A2954,[3]DOORSCRIEFT!$A$2:$G$8551,3,FALSE),"")</f>
        <v/>
      </c>
      <c r="E2954" s="392" t="str">
        <f>IFERROR(VLOOKUP(A2954,[3]DOORSCRIEFT!$A$2:$G$8551,4,FALSE),"")</f>
        <v/>
      </c>
      <c r="F2954" s="397" t="str">
        <f>IFERROR(VLOOKUP(A2954,[3]DOORSCRIEFT!$A$2:$G$8551,6,FALSE),"")</f>
        <v/>
      </c>
      <c r="G2954" s="315"/>
    </row>
    <row r="2955" spans="1:7" x14ac:dyDescent="0.25">
      <c r="A2955" s="339" t="str">
        <f t="shared" si="85"/>
        <v>I.2.2.02.0488</v>
      </c>
      <c r="B2955" s="319">
        <v>8</v>
      </c>
      <c r="C2955" s="394" t="str">
        <f>IFERROR(VLOOKUP(A2955,[3]DOORSCRIEFT!$A$2:$G$8551,2,FALSE),"")</f>
        <v/>
      </c>
      <c r="D2955" s="393" t="str">
        <f>IFERROR(VLOOKUP(A2955,[3]DOORSCRIEFT!$A$2:$G$8551,3,FALSE),"")</f>
        <v/>
      </c>
      <c r="E2955" s="392" t="str">
        <f>IFERROR(VLOOKUP(A2955,[3]DOORSCRIEFT!$A$2:$G$8551,4,FALSE),"")</f>
        <v/>
      </c>
      <c r="F2955" s="397" t="str">
        <f>IFERROR(VLOOKUP(A2955,[3]DOORSCRIEFT!$A$2:$G$8551,6,FALSE),"")</f>
        <v/>
      </c>
      <c r="G2955" s="315"/>
    </row>
    <row r="2956" spans="1:7" x14ac:dyDescent="0.25">
      <c r="A2956" s="339" t="str">
        <f t="shared" si="85"/>
        <v>I.2.2.02.0489</v>
      </c>
      <c r="B2956" s="319">
        <v>9</v>
      </c>
      <c r="C2956" s="394" t="str">
        <f>IFERROR(VLOOKUP(A2956,[3]DOORSCRIEFT!$A$2:$G$8551,2,FALSE),"")</f>
        <v/>
      </c>
      <c r="D2956" s="393" t="str">
        <f>IFERROR(VLOOKUP(A2956,[3]DOORSCRIEFT!$A$2:$G$8551,3,FALSE),"")</f>
        <v/>
      </c>
      <c r="E2956" s="392" t="str">
        <f>IFERROR(VLOOKUP(A2956,[3]DOORSCRIEFT!$A$2:$G$8551,4,FALSE),"")</f>
        <v/>
      </c>
      <c r="F2956" s="397" t="str">
        <f>IFERROR(VLOOKUP(A2956,[3]DOORSCRIEFT!$A$2:$G$8551,6,FALSE),"")</f>
        <v/>
      </c>
      <c r="G2956" s="315"/>
    </row>
    <row r="2957" spans="1:7" x14ac:dyDescent="0.25">
      <c r="A2957" s="339" t="str">
        <f t="shared" si="85"/>
        <v>I.2.2.02.04810</v>
      </c>
      <c r="B2957" s="319">
        <v>10</v>
      </c>
      <c r="C2957" s="394" t="str">
        <f>IFERROR(VLOOKUP(A2957,[3]DOORSCRIEFT!$A$2:$G$8551,2,FALSE),"")</f>
        <v/>
      </c>
      <c r="D2957" s="393" t="str">
        <f>IFERROR(VLOOKUP(A2957,[3]DOORSCRIEFT!$A$2:$G$8551,3,FALSE),"")</f>
        <v/>
      </c>
      <c r="E2957" s="392" t="str">
        <f>IFERROR(VLOOKUP(A2957,[3]DOORSCRIEFT!$A$2:$G$8551,4,FALSE),"")</f>
        <v/>
      </c>
      <c r="F2957" s="397" t="str">
        <f>IFERROR(VLOOKUP(A2957,[3]DOORSCRIEFT!$A$2:$G$8551,6,FALSE),"")</f>
        <v/>
      </c>
      <c r="G2957" s="315"/>
    </row>
    <row r="2958" spans="1:7" x14ac:dyDescent="0.25">
      <c r="A2958" s="339" t="str">
        <f t="shared" si="85"/>
        <v>I.2.2.02.04811</v>
      </c>
      <c r="B2958" s="319">
        <v>11</v>
      </c>
      <c r="C2958" s="394" t="str">
        <f>IFERROR(VLOOKUP(A2958,[3]DOORSCRIEFT!$A$2:$G$8551,2,FALSE),"")</f>
        <v/>
      </c>
      <c r="D2958" s="393" t="str">
        <f>IFERROR(VLOOKUP(A2958,[3]DOORSCRIEFT!$A$2:$G$8551,3,FALSE),"")</f>
        <v/>
      </c>
      <c r="E2958" s="392" t="str">
        <f>IFERROR(VLOOKUP(A2958,[3]DOORSCRIEFT!$A$2:$G$8551,4,FALSE),"")</f>
        <v/>
      </c>
      <c r="F2958" s="397" t="str">
        <f>IFERROR(VLOOKUP(A2958,[3]DOORSCRIEFT!$A$2:$G$8551,6,FALSE),"")</f>
        <v/>
      </c>
      <c r="G2958" s="315"/>
    </row>
    <row r="2959" spans="1:7" x14ac:dyDescent="0.25">
      <c r="A2959" s="339" t="str">
        <f t="shared" si="85"/>
        <v>I.2.2.02.04812</v>
      </c>
      <c r="B2959" s="319">
        <v>12</v>
      </c>
      <c r="C2959" s="394" t="str">
        <f>IFERROR(VLOOKUP(A2959,[3]DOORSCRIEFT!$A$2:$G$8551,2,FALSE),"")</f>
        <v/>
      </c>
      <c r="D2959" s="393" t="str">
        <f>IFERROR(VLOOKUP(A2959,[3]DOORSCRIEFT!$A$2:$G$8551,3,FALSE),"")</f>
        <v/>
      </c>
      <c r="E2959" s="392" t="str">
        <f>IFERROR(VLOOKUP(A2959,[3]DOORSCRIEFT!$A$2:$G$8551,4,FALSE),"")</f>
        <v/>
      </c>
      <c r="F2959" s="397" t="str">
        <f>IFERROR(VLOOKUP(A2959,[3]DOORSCRIEFT!$A$2:$G$8551,6,FALSE),"")</f>
        <v/>
      </c>
      <c r="G2959" s="315"/>
    </row>
    <row r="2960" spans="1:7" x14ac:dyDescent="0.25">
      <c r="A2960" s="339" t="str">
        <f t="shared" si="85"/>
        <v>I.2.2.02.04813</v>
      </c>
      <c r="B2960" s="319">
        <v>13</v>
      </c>
      <c r="C2960" s="394" t="str">
        <f>IFERROR(VLOOKUP(A2960,[3]DOORSCRIEFT!$A$2:$G$8551,2,FALSE),"")</f>
        <v/>
      </c>
      <c r="D2960" s="393" t="str">
        <f>IFERROR(VLOOKUP(A2960,[3]DOORSCRIEFT!$A$2:$G$8551,3,FALSE),"")</f>
        <v/>
      </c>
      <c r="E2960" s="392" t="str">
        <f>IFERROR(VLOOKUP(A2960,[3]DOORSCRIEFT!$A$2:$G$8551,4,FALSE),"")</f>
        <v/>
      </c>
      <c r="F2960" s="397" t="str">
        <f>IFERROR(VLOOKUP(A2960,[3]DOORSCRIEFT!$A$2:$G$8551,6,FALSE),"")</f>
        <v/>
      </c>
      <c r="G2960" s="315"/>
    </row>
    <row r="2961" spans="1:7" x14ac:dyDescent="0.25">
      <c r="A2961" s="339" t="str">
        <f t="shared" si="85"/>
        <v>I.2.2.02.04814</v>
      </c>
      <c r="B2961" s="319">
        <v>14</v>
      </c>
      <c r="C2961" s="394" t="str">
        <f>IFERROR(VLOOKUP(A2961,[3]DOORSCRIEFT!$A$2:$G$8551,2,FALSE),"")</f>
        <v/>
      </c>
      <c r="D2961" s="393" t="str">
        <f>IFERROR(VLOOKUP(A2961,[3]DOORSCRIEFT!$A$2:$G$8551,3,FALSE),"")</f>
        <v/>
      </c>
      <c r="E2961" s="392" t="str">
        <f>IFERROR(VLOOKUP(A2961,[3]DOORSCRIEFT!$A$2:$G$8551,4,FALSE),"")</f>
        <v/>
      </c>
      <c r="F2961" s="397" t="str">
        <f>IFERROR(VLOOKUP(A2961,[3]DOORSCRIEFT!$A$2:$G$8551,6,FALSE),"")</f>
        <v/>
      </c>
      <c r="G2961" s="315"/>
    </row>
    <row r="2962" spans="1:7" ht="15.75" thickBot="1" x14ac:dyDescent="0.3">
      <c r="A2962" s="339" t="str">
        <f t="shared" si="85"/>
        <v>I.2.2.02.04815</v>
      </c>
      <c r="B2962" s="345">
        <v>15</v>
      </c>
      <c r="C2962" s="394" t="str">
        <f>IFERROR(VLOOKUP(A2962,[3]DOORSCRIEFT!$A$2:$G$8551,2,FALSE),"")</f>
        <v/>
      </c>
      <c r="D2962" s="393" t="str">
        <f>IFERROR(VLOOKUP(A2962,[3]DOORSCRIEFT!$A$2:$G$8551,3,FALSE),"")</f>
        <v/>
      </c>
      <c r="E2962" s="392" t="str">
        <f>IFERROR(VLOOKUP(A2962,[3]DOORSCRIEFT!$A$2:$G$8551,4,FALSE),"")</f>
        <v/>
      </c>
      <c r="F2962" s="397" t="str">
        <f>IFERROR(VLOOKUP(A2962,[3]DOORSCRIEFT!$A$2:$G$8551,6,FALSE),"")</f>
        <v/>
      </c>
      <c r="G2962" s="315"/>
    </row>
    <row r="2963" spans="1:7" ht="15.75" thickBot="1" x14ac:dyDescent="0.3">
      <c r="A2963" s="344"/>
      <c r="B2963" s="343"/>
      <c r="C2963" s="336"/>
      <c r="D2963" s="312"/>
      <c r="E2963" s="311" t="s">
        <v>644</v>
      </c>
      <c r="F2963" s="310">
        <f>SUM(F2948:F2962)</f>
        <v>0</v>
      </c>
      <c r="G2963" s="309">
        <f>SUM(G2948:G2962)</f>
        <v>0</v>
      </c>
    </row>
    <row r="2964" spans="1:7" x14ac:dyDescent="0.25">
      <c r="C2964" s="335"/>
    </row>
    <row r="2965" spans="1:7" x14ac:dyDescent="0.25">
      <c r="C2965" s="335"/>
    </row>
    <row r="2966" spans="1:7" ht="15.75" x14ac:dyDescent="0.25">
      <c r="C2966" s="334"/>
      <c r="D2966" s="333"/>
      <c r="E2966" s="332"/>
      <c r="F2966" s="327" t="s">
        <v>607</v>
      </c>
      <c r="G2966" s="327" t="s">
        <v>450</v>
      </c>
    </row>
    <row r="2967" spans="1:7" ht="15.75" x14ac:dyDescent="0.25">
      <c r="C2967" s="334"/>
      <c r="D2967" s="333"/>
      <c r="E2967" s="332"/>
      <c r="F2967" s="327" t="s">
        <v>601</v>
      </c>
      <c r="G2967" s="327" t="s">
        <v>449</v>
      </c>
    </row>
    <row r="2968" spans="1:7" x14ac:dyDescent="0.25">
      <c r="C2968" s="330"/>
      <c r="D2968" s="329"/>
      <c r="E2968" s="328"/>
      <c r="F2968" s="327" t="s">
        <v>651</v>
      </c>
      <c r="G2968" s="331">
        <f>[2]Sheet1!$D$76</f>
        <v>9000000</v>
      </c>
    </row>
    <row r="2969" spans="1:7" ht="15.75" thickBot="1" x14ac:dyDescent="0.3">
      <c r="C2969" s="330"/>
      <c r="D2969" s="329"/>
      <c r="E2969" s="328"/>
      <c r="F2969" s="327" t="s">
        <v>650</v>
      </c>
      <c r="G2969" s="326">
        <f>+F2988-G2968</f>
        <v>-9000000</v>
      </c>
    </row>
    <row r="2970" spans="1:7" x14ac:dyDescent="0.25">
      <c r="A2970" s="571" t="s">
        <v>626</v>
      </c>
      <c r="B2970" s="573" t="s">
        <v>606</v>
      </c>
      <c r="C2970" s="588" t="s">
        <v>649</v>
      </c>
      <c r="D2970" s="577" t="s">
        <v>648</v>
      </c>
      <c r="E2970" s="577" t="s">
        <v>647</v>
      </c>
      <c r="F2970" s="577" t="s">
        <v>646</v>
      </c>
      <c r="G2970" s="580" t="s">
        <v>645</v>
      </c>
    </row>
    <row r="2971" spans="1:7" ht="15.75" thickBot="1" x14ac:dyDescent="0.3">
      <c r="A2971" s="572"/>
      <c r="B2971" s="574"/>
      <c r="C2971" s="589"/>
      <c r="D2971" s="586"/>
      <c r="E2971" s="586"/>
      <c r="F2971" s="586"/>
      <c r="G2971" s="587"/>
    </row>
    <row r="2972" spans="1:7" ht="15.75" thickBot="1" x14ac:dyDescent="0.3">
      <c r="A2972" s="325">
        <v>1</v>
      </c>
      <c r="B2972" s="324">
        <v>2</v>
      </c>
      <c r="C2972" s="324">
        <v>3</v>
      </c>
      <c r="D2972" s="324">
        <v>4</v>
      </c>
      <c r="E2972" s="324">
        <v>5</v>
      </c>
      <c r="F2972" s="324">
        <v>6</v>
      </c>
      <c r="G2972" s="323">
        <v>7</v>
      </c>
    </row>
    <row r="2973" spans="1:7" x14ac:dyDescent="0.25">
      <c r="A2973" s="339" t="str">
        <f t="shared" ref="A2973:A2987" si="86">$G$2966&amp;B2973</f>
        <v>I.2.2.02.0491</v>
      </c>
      <c r="B2973" s="339">
        <v>1</v>
      </c>
      <c r="C2973" s="394" t="str">
        <f>IFERROR(VLOOKUP(A2973,[3]DOORSCRIEFT!$A$2:$G$8551,2,FALSE),"")</f>
        <v/>
      </c>
      <c r="D2973" s="393" t="str">
        <f>IFERROR(VLOOKUP(A2973,[3]DOORSCRIEFT!$A$2:$G$8551,3,FALSE),"")</f>
        <v/>
      </c>
      <c r="E2973" s="392" t="str">
        <f>IFERROR(VLOOKUP(A2973,[3]DOORSCRIEFT!$A$2:$G$8551,4,FALSE),"")</f>
        <v/>
      </c>
      <c r="F2973" s="397" t="str">
        <f>IFERROR(VLOOKUP(A2973,[3]DOORSCRIEFT!$A$2:$G$8551,6,FALSE),"")</f>
        <v/>
      </c>
      <c r="G2973" s="322"/>
    </row>
    <row r="2974" spans="1:7" x14ac:dyDescent="0.25">
      <c r="A2974" s="319" t="str">
        <f t="shared" si="86"/>
        <v>I.2.2.02.0492</v>
      </c>
      <c r="B2974" s="319">
        <v>2</v>
      </c>
      <c r="C2974" s="394" t="str">
        <f>IFERROR(VLOOKUP(A2974,[3]DOORSCRIEFT!$A$2:$G$8551,2,FALSE),"")</f>
        <v/>
      </c>
      <c r="D2974" s="393" t="str">
        <f>IFERROR(VLOOKUP(A2974,[3]DOORSCRIEFT!$A$2:$G$8551,3,FALSE),"")</f>
        <v/>
      </c>
      <c r="E2974" s="392" t="str">
        <f>IFERROR(VLOOKUP(A2974,[3]DOORSCRIEFT!$A$2:$G$8551,4,FALSE),"")</f>
        <v/>
      </c>
      <c r="F2974" s="397" t="str">
        <f>IFERROR(VLOOKUP(A2974,[3]DOORSCRIEFT!$A$2:$G$8551,6,FALSE),"")</f>
        <v/>
      </c>
      <c r="G2974" s="315"/>
    </row>
    <row r="2975" spans="1:7" x14ac:dyDescent="0.25">
      <c r="A2975" s="319" t="str">
        <f t="shared" si="86"/>
        <v>I.2.2.02.0493</v>
      </c>
      <c r="B2975" s="319">
        <v>3</v>
      </c>
      <c r="C2975" s="394" t="str">
        <f>IFERROR(VLOOKUP(A2975,[3]DOORSCRIEFT!$A$2:$G$8551,2,FALSE),"")</f>
        <v/>
      </c>
      <c r="D2975" s="393" t="str">
        <f>IFERROR(VLOOKUP(A2975,[3]DOORSCRIEFT!$A$2:$G$8551,3,FALSE),"")</f>
        <v/>
      </c>
      <c r="E2975" s="392" t="str">
        <f>IFERROR(VLOOKUP(A2975,[3]DOORSCRIEFT!$A$2:$G$8551,4,FALSE),"")</f>
        <v/>
      </c>
      <c r="F2975" s="397" t="str">
        <f>IFERROR(VLOOKUP(A2975,[3]DOORSCRIEFT!$A$2:$G$8551,6,FALSE),"")</f>
        <v/>
      </c>
      <c r="G2975" s="315"/>
    </row>
    <row r="2976" spans="1:7" x14ac:dyDescent="0.25">
      <c r="A2976" s="319" t="str">
        <f t="shared" si="86"/>
        <v>I.2.2.02.0494</v>
      </c>
      <c r="B2976" s="319">
        <v>4</v>
      </c>
      <c r="C2976" s="394" t="str">
        <f>IFERROR(VLOOKUP(A2976,[3]DOORSCRIEFT!$A$2:$G$8551,2,FALSE),"")</f>
        <v/>
      </c>
      <c r="D2976" s="393" t="str">
        <f>IFERROR(VLOOKUP(A2976,[3]DOORSCRIEFT!$A$2:$G$8551,3,FALSE),"")</f>
        <v/>
      </c>
      <c r="E2976" s="392" t="str">
        <f>IFERROR(VLOOKUP(A2976,[3]DOORSCRIEFT!$A$2:$G$8551,4,FALSE),"")</f>
        <v/>
      </c>
      <c r="F2976" s="397" t="str">
        <f>IFERROR(VLOOKUP(A2976,[3]DOORSCRIEFT!$A$2:$G$8551,6,FALSE),"")</f>
        <v/>
      </c>
      <c r="G2976" s="315"/>
    </row>
    <row r="2977" spans="1:7" x14ac:dyDescent="0.25">
      <c r="A2977" s="319" t="str">
        <f t="shared" si="86"/>
        <v>I.2.2.02.0495</v>
      </c>
      <c r="B2977" s="319">
        <v>5</v>
      </c>
      <c r="C2977" s="394" t="str">
        <f>IFERROR(VLOOKUP(A2977,[3]DOORSCRIEFT!$A$2:$G$8551,2,FALSE),"")</f>
        <v/>
      </c>
      <c r="D2977" s="393" t="str">
        <f>IFERROR(VLOOKUP(A2977,[3]DOORSCRIEFT!$A$2:$G$8551,3,FALSE),"")</f>
        <v/>
      </c>
      <c r="E2977" s="392" t="str">
        <f>IFERROR(VLOOKUP(A2977,[3]DOORSCRIEFT!$A$2:$G$8551,4,FALSE),"")</f>
        <v/>
      </c>
      <c r="F2977" s="397" t="str">
        <f>IFERROR(VLOOKUP(A2977,[3]DOORSCRIEFT!$A$2:$G$8551,6,FALSE),"")</f>
        <v/>
      </c>
      <c r="G2977" s="315"/>
    </row>
    <row r="2978" spans="1:7" x14ac:dyDescent="0.25">
      <c r="A2978" s="319" t="str">
        <f t="shared" si="86"/>
        <v>I.2.2.02.0496</v>
      </c>
      <c r="B2978" s="319">
        <v>6</v>
      </c>
      <c r="C2978" s="394" t="str">
        <f>IFERROR(VLOOKUP(A2978,[3]DOORSCRIEFT!$A$2:$G$8551,2,FALSE),"")</f>
        <v/>
      </c>
      <c r="D2978" s="393" t="str">
        <f>IFERROR(VLOOKUP(A2978,[3]DOORSCRIEFT!$A$2:$G$8551,3,FALSE),"")</f>
        <v/>
      </c>
      <c r="E2978" s="392" t="str">
        <f>IFERROR(VLOOKUP(A2978,[3]DOORSCRIEFT!$A$2:$G$8551,4,FALSE),"")</f>
        <v/>
      </c>
      <c r="F2978" s="397" t="str">
        <f>IFERROR(VLOOKUP(A2978,[3]DOORSCRIEFT!$A$2:$G$8551,6,FALSE),"")</f>
        <v/>
      </c>
      <c r="G2978" s="315"/>
    </row>
    <row r="2979" spans="1:7" x14ac:dyDescent="0.25">
      <c r="A2979" s="319" t="str">
        <f t="shared" si="86"/>
        <v>I.2.2.02.0497</v>
      </c>
      <c r="B2979" s="319">
        <v>7</v>
      </c>
      <c r="C2979" s="394" t="str">
        <f>IFERROR(VLOOKUP(A2979,[3]DOORSCRIEFT!$A$2:$G$8551,2,FALSE),"")</f>
        <v/>
      </c>
      <c r="D2979" s="393" t="str">
        <f>IFERROR(VLOOKUP(A2979,[3]DOORSCRIEFT!$A$2:$G$8551,3,FALSE),"")</f>
        <v/>
      </c>
      <c r="E2979" s="392" t="str">
        <f>IFERROR(VLOOKUP(A2979,[3]DOORSCRIEFT!$A$2:$G$8551,4,FALSE),"")</f>
        <v/>
      </c>
      <c r="F2979" s="397" t="str">
        <f>IFERROR(VLOOKUP(A2979,[3]DOORSCRIEFT!$A$2:$G$8551,6,FALSE),"")</f>
        <v/>
      </c>
      <c r="G2979" s="315"/>
    </row>
    <row r="2980" spans="1:7" x14ac:dyDescent="0.25">
      <c r="A2980" s="319" t="str">
        <f t="shared" si="86"/>
        <v>I.2.2.02.0498</v>
      </c>
      <c r="B2980" s="319">
        <v>8</v>
      </c>
      <c r="C2980" s="394" t="str">
        <f>IFERROR(VLOOKUP(A2980,[3]DOORSCRIEFT!$A$2:$G$8551,2,FALSE),"")</f>
        <v/>
      </c>
      <c r="D2980" s="393" t="str">
        <f>IFERROR(VLOOKUP(A2980,[3]DOORSCRIEFT!$A$2:$G$8551,3,FALSE),"")</f>
        <v/>
      </c>
      <c r="E2980" s="392" t="str">
        <f>IFERROR(VLOOKUP(A2980,[3]DOORSCRIEFT!$A$2:$G$8551,4,FALSE),"")</f>
        <v/>
      </c>
      <c r="F2980" s="397" t="str">
        <f>IFERROR(VLOOKUP(A2980,[3]DOORSCRIEFT!$A$2:$G$8551,6,FALSE),"")</f>
        <v/>
      </c>
      <c r="G2980" s="315"/>
    </row>
    <row r="2981" spans="1:7" x14ac:dyDescent="0.25">
      <c r="A2981" s="319" t="str">
        <f t="shared" si="86"/>
        <v>I.2.2.02.0499</v>
      </c>
      <c r="B2981" s="319">
        <v>9</v>
      </c>
      <c r="C2981" s="394" t="str">
        <f>IFERROR(VLOOKUP(A2981,[3]DOORSCRIEFT!$A$2:$G$8551,2,FALSE),"")</f>
        <v/>
      </c>
      <c r="D2981" s="393" t="str">
        <f>IFERROR(VLOOKUP(A2981,[3]DOORSCRIEFT!$A$2:$G$8551,3,FALSE),"")</f>
        <v/>
      </c>
      <c r="E2981" s="392" t="str">
        <f>IFERROR(VLOOKUP(A2981,[3]DOORSCRIEFT!$A$2:$G$8551,4,FALSE),"")</f>
        <v/>
      </c>
      <c r="F2981" s="397" t="str">
        <f>IFERROR(VLOOKUP(A2981,[3]DOORSCRIEFT!$A$2:$G$8551,6,FALSE),"")</f>
        <v/>
      </c>
      <c r="G2981" s="315"/>
    </row>
    <row r="2982" spans="1:7" x14ac:dyDescent="0.25">
      <c r="A2982" s="319" t="str">
        <f t="shared" si="86"/>
        <v>I.2.2.02.04910</v>
      </c>
      <c r="B2982" s="319">
        <v>10</v>
      </c>
      <c r="C2982" s="394" t="str">
        <f>IFERROR(VLOOKUP(A2982,[3]DOORSCRIEFT!$A$2:$G$8551,2,FALSE),"")</f>
        <v/>
      </c>
      <c r="D2982" s="393" t="str">
        <f>IFERROR(VLOOKUP(A2982,[3]DOORSCRIEFT!$A$2:$G$8551,3,FALSE),"")</f>
        <v/>
      </c>
      <c r="E2982" s="392" t="str">
        <f>IFERROR(VLOOKUP(A2982,[3]DOORSCRIEFT!$A$2:$G$8551,4,FALSE),"")</f>
        <v/>
      </c>
      <c r="F2982" s="397" t="str">
        <f>IFERROR(VLOOKUP(A2982,[3]DOORSCRIEFT!$A$2:$G$8551,6,FALSE),"")</f>
        <v/>
      </c>
      <c r="G2982" s="315"/>
    </row>
    <row r="2983" spans="1:7" x14ac:dyDescent="0.25">
      <c r="A2983" s="319" t="str">
        <f t="shared" si="86"/>
        <v>I.2.2.02.04911</v>
      </c>
      <c r="B2983" s="319">
        <v>11</v>
      </c>
      <c r="C2983" s="394" t="str">
        <f>IFERROR(VLOOKUP(A2983,[3]DOORSCRIEFT!$A$2:$G$8551,2,FALSE),"")</f>
        <v/>
      </c>
      <c r="D2983" s="393" t="str">
        <f>IFERROR(VLOOKUP(A2983,[3]DOORSCRIEFT!$A$2:$G$8551,3,FALSE),"")</f>
        <v/>
      </c>
      <c r="E2983" s="392" t="str">
        <f>IFERROR(VLOOKUP(A2983,[3]DOORSCRIEFT!$A$2:$G$8551,4,FALSE),"")</f>
        <v/>
      </c>
      <c r="F2983" s="397" t="str">
        <f>IFERROR(VLOOKUP(A2983,[3]DOORSCRIEFT!$A$2:$G$8551,6,FALSE),"")</f>
        <v/>
      </c>
      <c r="G2983" s="315"/>
    </row>
    <row r="2984" spans="1:7" x14ac:dyDescent="0.25">
      <c r="A2984" s="319" t="str">
        <f t="shared" si="86"/>
        <v>I.2.2.02.04912</v>
      </c>
      <c r="B2984" s="319">
        <v>12</v>
      </c>
      <c r="C2984" s="394" t="str">
        <f>IFERROR(VLOOKUP(A2984,[3]DOORSCRIEFT!$A$2:$G$8551,2,FALSE),"")</f>
        <v/>
      </c>
      <c r="D2984" s="393" t="str">
        <f>IFERROR(VLOOKUP(A2984,[3]DOORSCRIEFT!$A$2:$G$8551,3,FALSE),"")</f>
        <v/>
      </c>
      <c r="E2984" s="392" t="str">
        <f>IFERROR(VLOOKUP(A2984,[3]DOORSCRIEFT!$A$2:$G$8551,4,FALSE),"")</f>
        <v/>
      </c>
      <c r="F2984" s="397" t="str">
        <f>IFERROR(VLOOKUP(A2984,[3]DOORSCRIEFT!$A$2:$G$8551,6,FALSE),"")</f>
        <v/>
      </c>
      <c r="G2984" s="315"/>
    </row>
    <row r="2985" spans="1:7" x14ac:dyDescent="0.25">
      <c r="A2985" s="319" t="str">
        <f t="shared" si="86"/>
        <v>I.2.2.02.04913</v>
      </c>
      <c r="B2985" s="319">
        <v>13</v>
      </c>
      <c r="C2985" s="394" t="str">
        <f>IFERROR(VLOOKUP(A2985,[3]DOORSCRIEFT!$A$2:$G$8551,2,FALSE),"")</f>
        <v/>
      </c>
      <c r="D2985" s="393" t="str">
        <f>IFERROR(VLOOKUP(A2985,[3]DOORSCRIEFT!$A$2:$G$8551,3,FALSE),"")</f>
        <v/>
      </c>
      <c r="E2985" s="392" t="str">
        <f>IFERROR(VLOOKUP(A2985,[3]DOORSCRIEFT!$A$2:$G$8551,4,FALSE),"")</f>
        <v/>
      </c>
      <c r="F2985" s="397" t="str">
        <f>IFERROR(VLOOKUP(A2985,[3]DOORSCRIEFT!$A$2:$G$8551,6,FALSE),"")</f>
        <v/>
      </c>
      <c r="G2985" s="315"/>
    </row>
    <row r="2986" spans="1:7" x14ac:dyDescent="0.25">
      <c r="A2986" s="319" t="str">
        <f t="shared" si="86"/>
        <v>I.2.2.02.04914</v>
      </c>
      <c r="B2986" s="319">
        <v>14</v>
      </c>
      <c r="C2986" s="394" t="str">
        <f>IFERROR(VLOOKUP(A2986,[3]DOORSCRIEFT!$A$2:$G$8551,2,FALSE),"")</f>
        <v/>
      </c>
      <c r="D2986" s="393" t="str">
        <f>IFERROR(VLOOKUP(A2986,[3]DOORSCRIEFT!$A$2:$G$8551,3,FALSE),"")</f>
        <v/>
      </c>
      <c r="E2986" s="392" t="str">
        <f>IFERROR(VLOOKUP(A2986,[3]DOORSCRIEFT!$A$2:$G$8551,4,FALSE),"")</f>
        <v/>
      </c>
      <c r="F2986" s="397" t="str">
        <f>IFERROR(VLOOKUP(A2986,[3]DOORSCRIEFT!$A$2:$G$8551,6,FALSE),"")</f>
        <v/>
      </c>
      <c r="G2986" s="315"/>
    </row>
    <row r="2987" spans="1:7" ht="15.75" thickBot="1" x14ac:dyDescent="0.3">
      <c r="A2987" s="345" t="str">
        <f t="shared" si="86"/>
        <v>I.2.2.02.04915</v>
      </c>
      <c r="B2987" s="345">
        <v>15</v>
      </c>
      <c r="C2987" s="394" t="str">
        <f>IFERROR(VLOOKUP(A2987,[3]DOORSCRIEFT!$A$2:$G$8551,2,FALSE),"")</f>
        <v/>
      </c>
      <c r="D2987" s="393" t="str">
        <f>IFERROR(VLOOKUP(A2987,[3]DOORSCRIEFT!$A$2:$G$8551,3,FALSE),"")</f>
        <v/>
      </c>
      <c r="E2987" s="392" t="str">
        <f>IFERROR(VLOOKUP(A2987,[3]DOORSCRIEFT!$A$2:$G$8551,4,FALSE),"")</f>
        <v/>
      </c>
      <c r="F2987" s="397" t="str">
        <f>IFERROR(VLOOKUP(A2987,[3]DOORSCRIEFT!$A$2:$G$8551,6,FALSE),"")</f>
        <v/>
      </c>
      <c r="G2987" s="315"/>
    </row>
    <row r="2988" spans="1:7" ht="15.75" thickBot="1" x14ac:dyDescent="0.3">
      <c r="A2988" s="344"/>
      <c r="B2988" s="343"/>
      <c r="C2988" s="336"/>
      <c r="D2988" s="312"/>
      <c r="E2988" s="311" t="s">
        <v>644</v>
      </c>
      <c r="F2988" s="310">
        <f>SUM(F2973:F2987)</f>
        <v>0</v>
      </c>
      <c r="G2988" s="309">
        <f>SUM(G2973:G2987)</f>
        <v>0</v>
      </c>
    </row>
    <row r="2989" spans="1:7" x14ac:dyDescent="0.25">
      <c r="C2989" s="335"/>
    </row>
    <row r="2990" spans="1:7" x14ac:dyDescent="0.25">
      <c r="C2990" s="335"/>
    </row>
    <row r="2991" spans="1:7" ht="15.75" x14ac:dyDescent="0.25">
      <c r="C2991" s="334"/>
      <c r="D2991" s="333"/>
      <c r="E2991" s="332"/>
      <c r="F2991" s="327" t="s">
        <v>607</v>
      </c>
      <c r="G2991" s="327" t="s">
        <v>448</v>
      </c>
    </row>
    <row r="2992" spans="1:7" ht="15.75" x14ac:dyDescent="0.25">
      <c r="C2992" s="334"/>
      <c r="D2992" s="333"/>
      <c r="E2992" s="332"/>
      <c r="F2992" s="327" t="s">
        <v>601</v>
      </c>
      <c r="G2992" s="327" t="s">
        <v>447</v>
      </c>
    </row>
    <row r="2993" spans="1:7" x14ac:dyDescent="0.25">
      <c r="C2993" s="330"/>
      <c r="D2993" s="329"/>
      <c r="E2993" s="328"/>
      <c r="F2993" s="327" t="s">
        <v>651</v>
      </c>
      <c r="G2993" s="331">
        <f>[2]Sheet1!$D$77</f>
        <v>4000000</v>
      </c>
    </row>
    <row r="2994" spans="1:7" ht="15.75" thickBot="1" x14ac:dyDescent="0.3">
      <c r="C2994" s="330"/>
      <c r="D2994" s="329"/>
      <c r="E2994" s="328"/>
      <c r="F2994" s="327" t="s">
        <v>650</v>
      </c>
      <c r="G2994" s="326">
        <f>+F3013-G2993</f>
        <v>-4000000</v>
      </c>
    </row>
    <row r="2995" spans="1:7" x14ac:dyDescent="0.25">
      <c r="A2995" s="571" t="s">
        <v>626</v>
      </c>
      <c r="B2995" s="573" t="s">
        <v>606</v>
      </c>
      <c r="C2995" s="588" t="s">
        <v>649</v>
      </c>
      <c r="D2995" s="577" t="s">
        <v>648</v>
      </c>
      <c r="E2995" s="577" t="s">
        <v>647</v>
      </c>
      <c r="F2995" s="577" t="s">
        <v>646</v>
      </c>
      <c r="G2995" s="580" t="s">
        <v>645</v>
      </c>
    </row>
    <row r="2996" spans="1:7" ht="15.75" thickBot="1" x14ac:dyDescent="0.3">
      <c r="A2996" s="572"/>
      <c r="B2996" s="574"/>
      <c r="C2996" s="589"/>
      <c r="D2996" s="586"/>
      <c r="E2996" s="586"/>
      <c r="F2996" s="586"/>
      <c r="G2996" s="587"/>
    </row>
    <row r="2997" spans="1:7" ht="15.75" thickBot="1" x14ac:dyDescent="0.3">
      <c r="A2997" s="325">
        <v>1</v>
      </c>
      <c r="B2997" s="324">
        <v>2</v>
      </c>
      <c r="C2997" s="324">
        <v>3</v>
      </c>
      <c r="D2997" s="324">
        <v>4</v>
      </c>
      <c r="E2997" s="324">
        <v>5</v>
      </c>
      <c r="F2997" s="324">
        <v>6</v>
      </c>
      <c r="G2997" s="323">
        <v>7</v>
      </c>
    </row>
    <row r="2998" spans="1:7" x14ac:dyDescent="0.25">
      <c r="A2998" s="339" t="str">
        <f t="shared" ref="A2998:A3012" si="87">$G$2991&amp;B2998</f>
        <v>I.2.2.02.0501</v>
      </c>
      <c r="B2998" s="339">
        <v>1</v>
      </c>
      <c r="C2998" s="394" t="str">
        <f>IFERROR(VLOOKUP(A2998,[3]DOORSCRIEFT!$A$2:$G$8551,2,FALSE),"")</f>
        <v/>
      </c>
      <c r="D2998" s="393" t="str">
        <f>IFERROR(VLOOKUP(A2998,[3]DOORSCRIEFT!$A$2:$G$8551,3,FALSE),"")</f>
        <v/>
      </c>
      <c r="E2998" s="392" t="str">
        <f>IFERROR(VLOOKUP(A2998,[3]DOORSCRIEFT!$A$2:$G$8551,4,FALSE),"")</f>
        <v/>
      </c>
      <c r="F2998" s="397" t="str">
        <f>IFERROR(VLOOKUP(A2998,[3]DOORSCRIEFT!$A$2:$G$8551,6,FALSE),"")</f>
        <v/>
      </c>
      <c r="G2998" s="322"/>
    </row>
    <row r="2999" spans="1:7" x14ac:dyDescent="0.25">
      <c r="A2999" s="319" t="str">
        <f t="shared" si="87"/>
        <v>I.2.2.02.0502</v>
      </c>
      <c r="B2999" s="319">
        <v>2</v>
      </c>
      <c r="C2999" s="394" t="str">
        <f>IFERROR(VLOOKUP(A2999,[3]DOORSCRIEFT!$A$2:$G$8551,2,FALSE),"")</f>
        <v/>
      </c>
      <c r="D2999" s="393" t="str">
        <f>IFERROR(VLOOKUP(A2999,[3]DOORSCRIEFT!$A$2:$G$8551,3,FALSE),"")</f>
        <v/>
      </c>
      <c r="E2999" s="392" t="str">
        <f>IFERROR(VLOOKUP(A2999,[3]DOORSCRIEFT!$A$2:$G$8551,4,FALSE),"")</f>
        <v/>
      </c>
      <c r="F2999" s="397" t="str">
        <f>IFERROR(VLOOKUP(A2999,[3]DOORSCRIEFT!$A$2:$G$8551,6,FALSE),"")</f>
        <v/>
      </c>
      <c r="G2999" s="315"/>
    </row>
    <row r="3000" spans="1:7" x14ac:dyDescent="0.25">
      <c r="A3000" s="319" t="str">
        <f t="shared" si="87"/>
        <v>I.2.2.02.0503</v>
      </c>
      <c r="B3000" s="319">
        <v>3</v>
      </c>
      <c r="C3000" s="394" t="str">
        <f>IFERROR(VLOOKUP(A3000,[3]DOORSCRIEFT!$A$2:$G$8551,2,FALSE),"")</f>
        <v/>
      </c>
      <c r="D3000" s="393" t="str">
        <f>IFERROR(VLOOKUP(A3000,[3]DOORSCRIEFT!$A$2:$G$8551,3,FALSE),"")</f>
        <v/>
      </c>
      <c r="E3000" s="392" t="str">
        <f>IFERROR(VLOOKUP(A3000,[3]DOORSCRIEFT!$A$2:$G$8551,4,FALSE),"")</f>
        <v/>
      </c>
      <c r="F3000" s="397" t="str">
        <f>IFERROR(VLOOKUP(A3000,[3]DOORSCRIEFT!$A$2:$G$8551,6,FALSE),"")</f>
        <v/>
      </c>
      <c r="G3000" s="315"/>
    </row>
    <row r="3001" spans="1:7" x14ac:dyDescent="0.25">
      <c r="A3001" s="319" t="str">
        <f t="shared" si="87"/>
        <v>I.2.2.02.0504</v>
      </c>
      <c r="B3001" s="319">
        <v>4</v>
      </c>
      <c r="C3001" s="394" t="str">
        <f>IFERROR(VLOOKUP(A3001,[3]DOORSCRIEFT!$A$2:$G$8551,2,FALSE),"")</f>
        <v/>
      </c>
      <c r="D3001" s="393" t="str">
        <f>IFERROR(VLOOKUP(A3001,[3]DOORSCRIEFT!$A$2:$G$8551,3,FALSE),"")</f>
        <v/>
      </c>
      <c r="E3001" s="392" t="str">
        <f>IFERROR(VLOOKUP(A3001,[3]DOORSCRIEFT!$A$2:$G$8551,4,FALSE),"")</f>
        <v/>
      </c>
      <c r="F3001" s="397" t="str">
        <f>IFERROR(VLOOKUP(A3001,[3]DOORSCRIEFT!$A$2:$G$8551,6,FALSE),"")</f>
        <v/>
      </c>
      <c r="G3001" s="315"/>
    </row>
    <row r="3002" spans="1:7" x14ac:dyDescent="0.25">
      <c r="A3002" s="319" t="str">
        <f t="shared" si="87"/>
        <v>I.2.2.02.0505</v>
      </c>
      <c r="B3002" s="319">
        <v>5</v>
      </c>
      <c r="C3002" s="394" t="str">
        <f>IFERROR(VLOOKUP(A3002,[3]DOORSCRIEFT!$A$2:$G$8551,2,FALSE),"")</f>
        <v/>
      </c>
      <c r="D3002" s="393" t="str">
        <f>IFERROR(VLOOKUP(A3002,[3]DOORSCRIEFT!$A$2:$G$8551,3,FALSE),"")</f>
        <v/>
      </c>
      <c r="E3002" s="392" t="str">
        <f>IFERROR(VLOOKUP(A3002,[3]DOORSCRIEFT!$A$2:$G$8551,4,FALSE),"")</f>
        <v/>
      </c>
      <c r="F3002" s="397" t="str">
        <f>IFERROR(VLOOKUP(A3002,[3]DOORSCRIEFT!$A$2:$G$8551,6,FALSE),"")</f>
        <v/>
      </c>
      <c r="G3002" s="315"/>
    </row>
    <row r="3003" spans="1:7" x14ac:dyDescent="0.25">
      <c r="A3003" s="319" t="str">
        <f t="shared" si="87"/>
        <v>I.2.2.02.0506</v>
      </c>
      <c r="B3003" s="319">
        <v>6</v>
      </c>
      <c r="C3003" s="394" t="str">
        <f>IFERROR(VLOOKUP(A3003,[3]DOORSCRIEFT!$A$2:$G$8551,2,FALSE),"")</f>
        <v/>
      </c>
      <c r="D3003" s="393" t="str">
        <f>IFERROR(VLOOKUP(A3003,[3]DOORSCRIEFT!$A$2:$G$8551,3,FALSE),"")</f>
        <v/>
      </c>
      <c r="E3003" s="392" t="str">
        <f>IFERROR(VLOOKUP(A3003,[3]DOORSCRIEFT!$A$2:$G$8551,4,FALSE),"")</f>
        <v/>
      </c>
      <c r="F3003" s="397" t="str">
        <f>IFERROR(VLOOKUP(A3003,[3]DOORSCRIEFT!$A$2:$G$8551,6,FALSE),"")</f>
        <v/>
      </c>
      <c r="G3003" s="315"/>
    </row>
    <row r="3004" spans="1:7" x14ac:dyDescent="0.25">
      <c r="A3004" s="319" t="str">
        <f t="shared" si="87"/>
        <v>I.2.2.02.0507</v>
      </c>
      <c r="B3004" s="319">
        <v>7</v>
      </c>
      <c r="C3004" s="394" t="str">
        <f>IFERROR(VLOOKUP(A3004,[3]DOORSCRIEFT!$A$2:$G$8551,2,FALSE),"")</f>
        <v/>
      </c>
      <c r="D3004" s="393" t="str">
        <f>IFERROR(VLOOKUP(A3004,[3]DOORSCRIEFT!$A$2:$G$8551,3,FALSE),"")</f>
        <v/>
      </c>
      <c r="E3004" s="392" t="str">
        <f>IFERROR(VLOOKUP(A3004,[3]DOORSCRIEFT!$A$2:$G$8551,4,FALSE),"")</f>
        <v/>
      </c>
      <c r="F3004" s="397" t="str">
        <f>IFERROR(VLOOKUP(A3004,[3]DOORSCRIEFT!$A$2:$G$8551,6,FALSE),"")</f>
        <v/>
      </c>
      <c r="G3004" s="315"/>
    </row>
    <row r="3005" spans="1:7" x14ac:dyDescent="0.25">
      <c r="A3005" s="319" t="str">
        <f t="shared" si="87"/>
        <v>I.2.2.02.0508</v>
      </c>
      <c r="B3005" s="319">
        <v>8</v>
      </c>
      <c r="C3005" s="394" t="str">
        <f>IFERROR(VLOOKUP(A3005,[3]DOORSCRIEFT!$A$2:$G$8551,2,FALSE),"")</f>
        <v/>
      </c>
      <c r="D3005" s="393" t="str">
        <f>IFERROR(VLOOKUP(A3005,[3]DOORSCRIEFT!$A$2:$G$8551,3,FALSE),"")</f>
        <v/>
      </c>
      <c r="E3005" s="392" t="str">
        <f>IFERROR(VLOOKUP(A3005,[3]DOORSCRIEFT!$A$2:$G$8551,4,FALSE),"")</f>
        <v/>
      </c>
      <c r="F3005" s="397" t="str">
        <f>IFERROR(VLOOKUP(A3005,[3]DOORSCRIEFT!$A$2:$G$8551,6,FALSE),"")</f>
        <v/>
      </c>
      <c r="G3005" s="315"/>
    </row>
    <row r="3006" spans="1:7" x14ac:dyDescent="0.25">
      <c r="A3006" s="319" t="str">
        <f t="shared" si="87"/>
        <v>I.2.2.02.0509</v>
      </c>
      <c r="B3006" s="319">
        <v>9</v>
      </c>
      <c r="C3006" s="394" t="str">
        <f>IFERROR(VLOOKUP(A3006,[3]DOORSCRIEFT!$A$2:$G$8551,2,FALSE),"")</f>
        <v/>
      </c>
      <c r="D3006" s="393" t="str">
        <f>IFERROR(VLOOKUP(A3006,[3]DOORSCRIEFT!$A$2:$G$8551,3,FALSE),"")</f>
        <v/>
      </c>
      <c r="E3006" s="392" t="str">
        <f>IFERROR(VLOOKUP(A3006,[3]DOORSCRIEFT!$A$2:$G$8551,4,FALSE),"")</f>
        <v/>
      </c>
      <c r="F3006" s="397" t="str">
        <f>IFERROR(VLOOKUP(A3006,[3]DOORSCRIEFT!$A$2:$G$8551,6,FALSE),"")</f>
        <v/>
      </c>
      <c r="G3006" s="315"/>
    </row>
    <row r="3007" spans="1:7" x14ac:dyDescent="0.25">
      <c r="A3007" s="319" t="str">
        <f t="shared" si="87"/>
        <v>I.2.2.02.05010</v>
      </c>
      <c r="B3007" s="319">
        <v>10</v>
      </c>
      <c r="C3007" s="394" t="str">
        <f>IFERROR(VLOOKUP(A3007,[3]DOORSCRIEFT!$A$2:$G$8551,2,FALSE),"")</f>
        <v/>
      </c>
      <c r="D3007" s="393" t="str">
        <f>IFERROR(VLOOKUP(A3007,[3]DOORSCRIEFT!$A$2:$G$8551,3,FALSE),"")</f>
        <v/>
      </c>
      <c r="E3007" s="392" t="str">
        <f>IFERROR(VLOOKUP(A3007,[3]DOORSCRIEFT!$A$2:$G$8551,4,FALSE),"")</f>
        <v/>
      </c>
      <c r="F3007" s="397" t="str">
        <f>IFERROR(VLOOKUP(A3007,[3]DOORSCRIEFT!$A$2:$G$8551,6,FALSE),"")</f>
        <v/>
      </c>
      <c r="G3007" s="315"/>
    </row>
    <row r="3008" spans="1:7" x14ac:dyDescent="0.25">
      <c r="A3008" s="319" t="str">
        <f t="shared" si="87"/>
        <v>I.2.2.02.05011</v>
      </c>
      <c r="B3008" s="319">
        <v>11</v>
      </c>
      <c r="C3008" s="394" t="str">
        <f>IFERROR(VLOOKUP(A3008,[3]DOORSCRIEFT!$A$2:$G$8551,2,FALSE),"")</f>
        <v/>
      </c>
      <c r="D3008" s="393" t="str">
        <f>IFERROR(VLOOKUP(A3008,[3]DOORSCRIEFT!$A$2:$G$8551,3,FALSE),"")</f>
        <v/>
      </c>
      <c r="E3008" s="392" t="str">
        <f>IFERROR(VLOOKUP(A3008,[3]DOORSCRIEFT!$A$2:$G$8551,4,FALSE),"")</f>
        <v/>
      </c>
      <c r="F3008" s="397" t="str">
        <f>IFERROR(VLOOKUP(A3008,[3]DOORSCRIEFT!$A$2:$G$8551,6,FALSE),"")</f>
        <v/>
      </c>
      <c r="G3008" s="315"/>
    </row>
    <row r="3009" spans="1:7" x14ac:dyDescent="0.25">
      <c r="A3009" s="319" t="str">
        <f t="shared" si="87"/>
        <v>I.2.2.02.05012</v>
      </c>
      <c r="B3009" s="319">
        <v>12</v>
      </c>
      <c r="C3009" s="394" t="str">
        <f>IFERROR(VLOOKUP(A3009,[3]DOORSCRIEFT!$A$2:$G$8551,2,FALSE),"")</f>
        <v/>
      </c>
      <c r="D3009" s="393" t="str">
        <f>IFERROR(VLOOKUP(A3009,[3]DOORSCRIEFT!$A$2:$G$8551,3,FALSE),"")</f>
        <v/>
      </c>
      <c r="E3009" s="392" t="str">
        <f>IFERROR(VLOOKUP(A3009,[3]DOORSCRIEFT!$A$2:$G$8551,4,FALSE),"")</f>
        <v/>
      </c>
      <c r="F3009" s="397" t="str">
        <f>IFERROR(VLOOKUP(A3009,[3]DOORSCRIEFT!$A$2:$G$8551,6,FALSE),"")</f>
        <v/>
      </c>
      <c r="G3009" s="315"/>
    </row>
    <row r="3010" spans="1:7" x14ac:dyDescent="0.25">
      <c r="A3010" s="319" t="str">
        <f t="shared" si="87"/>
        <v>I.2.2.02.05013</v>
      </c>
      <c r="B3010" s="319">
        <v>13</v>
      </c>
      <c r="C3010" s="394" t="str">
        <f>IFERROR(VLOOKUP(A3010,[3]DOORSCRIEFT!$A$2:$G$8551,2,FALSE),"")</f>
        <v/>
      </c>
      <c r="D3010" s="393" t="str">
        <f>IFERROR(VLOOKUP(A3010,[3]DOORSCRIEFT!$A$2:$G$8551,3,FALSE),"")</f>
        <v/>
      </c>
      <c r="E3010" s="392" t="str">
        <f>IFERROR(VLOOKUP(A3010,[3]DOORSCRIEFT!$A$2:$G$8551,4,FALSE),"")</f>
        <v/>
      </c>
      <c r="F3010" s="397" t="str">
        <f>IFERROR(VLOOKUP(A3010,[3]DOORSCRIEFT!$A$2:$G$8551,6,FALSE),"")</f>
        <v/>
      </c>
      <c r="G3010" s="315"/>
    </row>
    <row r="3011" spans="1:7" x14ac:dyDescent="0.25">
      <c r="A3011" s="319" t="str">
        <f t="shared" si="87"/>
        <v>I.2.2.02.05014</v>
      </c>
      <c r="B3011" s="319">
        <v>14</v>
      </c>
      <c r="C3011" s="394" t="str">
        <f>IFERROR(VLOOKUP(A3011,[3]DOORSCRIEFT!$A$2:$G$8551,2,FALSE),"")</f>
        <v/>
      </c>
      <c r="D3011" s="393" t="str">
        <f>IFERROR(VLOOKUP(A3011,[3]DOORSCRIEFT!$A$2:$G$8551,3,FALSE),"")</f>
        <v/>
      </c>
      <c r="E3011" s="392" t="str">
        <f>IFERROR(VLOOKUP(A3011,[3]DOORSCRIEFT!$A$2:$G$8551,4,FALSE),"")</f>
        <v/>
      </c>
      <c r="F3011" s="397" t="str">
        <f>IFERROR(VLOOKUP(A3011,[3]DOORSCRIEFT!$A$2:$G$8551,6,FALSE),"")</f>
        <v/>
      </c>
      <c r="G3011" s="315"/>
    </row>
    <row r="3012" spans="1:7" ht="15.75" thickBot="1" x14ac:dyDescent="0.3">
      <c r="A3012" s="345" t="str">
        <f t="shared" si="87"/>
        <v>I.2.2.02.05015</v>
      </c>
      <c r="B3012" s="345">
        <v>15</v>
      </c>
      <c r="C3012" s="394" t="str">
        <f>IFERROR(VLOOKUP(A3012,[3]DOORSCRIEFT!$A$2:$G$8551,2,FALSE),"")</f>
        <v/>
      </c>
      <c r="D3012" s="393" t="str">
        <f>IFERROR(VLOOKUP(A3012,[3]DOORSCRIEFT!$A$2:$G$8551,3,FALSE),"")</f>
        <v/>
      </c>
      <c r="E3012" s="392" t="str">
        <f>IFERROR(VLOOKUP(A3012,[3]DOORSCRIEFT!$A$2:$G$8551,4,FALSE),"")</f>
        <v/>
      </c>
      <c r="F3012" s="397" t="str">
        <f>IFERROR(VLOOKUP(A3012,[3]DOORSCRIEFT!$A$2:$G$8551,6,FALSE),"")</f>
        <v/>
      </c>
      <c r="G3012" s="315"/>
    </row>
    <row r="3013" spans="1:7" ht="15.75" thickBot="1" x14ac:dyDescent="0.3">
      <c r="A3013" s="344"/>
      <c r="B3013" s="343"/>
      <c r="C3013" s="336"/>
      <c r="D3013" s="312"/>
      <c r="E3013" s="311" t="s">
        <v>644</v>
      </c>
      <c r="F3013" s="310">
        <f>SUM(F2998:F3012)</f>
        <v>0</v>
      </c>
      <c r="G3013" s="309">
        <f>SUM(G2998:G3012)</f>
        <v>0</v>
      </c>
    </row>
    <row r="3014" spans="1:7" x14ac:dyDescent="0.25">
      <c r="C3014" s="335"/>
    </row>
    <row r="3015" spans="1:7" x14ac:dyDescent="0.25">
      <c r="C3015" s="335"/>
    </row>
    <row r="3016" spans="1:7" ht="15.75" x14ac:dyDescent="0.25">
      <c r="C3016" s="334"/>
      <c r="D3016" s="333"/>
      <c r="E3016" s="332"/>
      <c r="F3016" s="327" t="s">
        <v>607</v>
      </c>
      <c r="G3016" s="327" t="s">
        <v>446</v>
      </c>
    </row>
    <row r="3017" spans="1:7" ht="15.75" x14ac:dyDescent="0.25">
      <c r="C3017" s="334"/>
      <c r="D3017" s="333"/>
      <c r="E3017" s="332"/>
      <c r="F3017" s="327" t="s">
        <v>601</v>
      </c>
      <c r="G3017" s="327" t="s">
        <v>445</v>
      </c>
    </row>
    <row r="3018" spans="1:7" x14ac:dyDescent="0.25">
      <c r="C3018" s="330"/>
      <c r="D3018" s="329"/>
      <c r="E3018" s="328"/>
      <c r="F3018" s="327" t="s">
        <v>651</v>
      </c>
      <c r="G3018" s="331">
        <f>[2]Sheet1!$D$78</f>
        <v>4500000</v>
      </c>
    </row>
    <row r="3019" spans="1:7" ht="15.75" thickBot="1" x14ac:dyDescent="0.3">
      <c r="C3019" s="330"/>
      <c r="D3019" s="329"/>
      <c r="E3019" s="328"/>
      <c r="F3019" s="327" t="s">
        <v>650</v>
      </c>
      <c r="G3019" s="326">
        <f>+F3042-G3018</f>
        <v>-4500000</v>
      </c>
    </row>
    <row r="3020" spans="1:7" x14ac:dyDescent="0.25">
      <c r="A3020" s="571" t="s">
        <v>626</v>
      </c>
      <c r="B3020" s="573" t="s">
        <v>606</v>
      </c>
      <c r="C3020" s="588" t="s">
        <v>649</v>
      </c>
      <c r="D3020" s="577" t="s">
        <v>648</v>
      </c>
      <c r="E3020" s="577" t="s">
        <v>647</v>
      </c>
      <c r="F3020" s="577" t="s">
        <v>646</v>
      </c>
      <c r="G3020" s="580" t="s">
        <v>645</v>
      </c>
    </row>
    <row r="3021" spans="1:7" ht="15.75" thickBot="1" x14ac:dyDescent="0.3">
      <c r="A3021" s="572"/>
      <c r="B3021" s="574"/>
      <c r="C3021" s="589"/>
      <c r="D3021" s="586"/>
      <c r="E3021" s="586"/>
      <c r="F3021" s="586"/>
      <c r="G3021" s="587"/>
    </row>
    <row r="3022" spans="1:7" ht="15.75" thickBot="1" x14ac:dyDescent="0.3">
      <c r="A3022" s="325">
        <v>1</v>
      </c>
      <c r="B3022" s="324">
        <v>2</v>
      </c>
      <c r="C3022" s="324">
        <v>3</v>
      </c>
      <c r="D3022" s="324">
        <v>4</v>
      </c>
      <c r="E3022" s="324">
        <v>5</v>
      </c>
      <c r="F3022" s="324">
        <v>6</v>
      </c>
      <c r="G3022" s="323">
        <v>7</v>
      </c>
    </row>
    <row r="3023" spans="1:7" x14ac:dyDescent="0.25">
      <c r="A3023" s="339" t="str">
        <f t="shared" ref="A3023:A3041" si="88">$G$3016&amp;B3023</f>
        <v>I.2.2.02.0511</v>
      </c>
      <c r="B3023" s="339">
        <v>1</v>
      </c>
      <c r="C3023" s="394" t="str">
        <f>IFERROR(VLOOKUP(A3023,[3]DOORSCRIEFT!$A$2:$G$8551,2,FALSE),"")</f>
        <v/>
      </c>
      <c r="D3023" s="393" t="str">
        <f>IFERROR(VLOOKUP(A3023,[3]DOORSCRIEFT!$A$2:$G$8551,3,FALSE),"")</f>
        <v/>
      </c>
      <c r="E3023" s="392" t="str">
        <f>IFERROR(VLOOKUP(A3023,[3]DOORSCRIEFT!$A$2:$G$8551,4,FALSE),"")</f>
        <v/>
      </c>
      <c r="F3023" s="397" t="str">
        <f>IFERROR(VLOOKUP(A3023,[3]DOORSCRIEFT!$A$2:$G$8551,6,FALSE),"")</f>
        <v/>
      </c>
      <c r="G3023" s="322"/>
    </row>
    <row r="3024" spans="1:7" x14ac:dyDescent="0.25">
      <c r="A3024" s="319" t="str">
        <f t="shared" si="88"/>
        <v>I.2.2.02.0512</v>
      </c>
      <c r="B3024" s="319">
        <v>2</v>
      </c>
      <c r="C3024" s="394" t="str">
        <f>IFERROR(VLOOKUP(A3024,[3]DOORSCRIEFT!$A$2:$G$8551,2,FALSE),"")</f>
        <v/>
      </c>
      <c r="D3024" s="393" t="str">
        <f>IFERROR(VLOOKUP(A3024,[3]DOORSCRIEFT!$A$2:$G$8551,3,FALSE),"")</f>
        <v/>
      </c>
      <c r="E3024" s="392" t="str">
        <f>IFERROR(VLOOKUP(A3024,[3]DOORSCRIEFT!$A$2:$G$8551,4,FALSE),"")</f>
        <v/>
      </c>
      <c r="F3024" s="397" t="str">
        <f>IFERROR(VLOOKUP(A3024,[3]DOORSCRIEFT!$A$2:$G$8551,6,FALSE),"")</f>
        <v/>
      </c>
      <c r="G3024" s="315"/>
    </row>
    <row r="3025" spans="1:7" x14ac:dyDescent="0.25">
      <c r="A3025" s="319" t="str">
        <f t="shared" si="88"/>
        <v>I.2.2.02.0513</v>
      </c>
      <c r="B3025" s="319">
        <v>3</v>
      </c>
      <c r="C3025" s="394" t="str">
        <f>IFERROR(VLOOKUP(A3025,[3]DOORSCRIEFT!$A$2:$G$8551,2,FALSE),"")</f>
        <v/>
      </c>
      <c r="D3025" s="393" t="str">
        <f>IFERROR(VLOOKUP(A3025,[3]DOORSCRIEFT!$A$2:$G$8551,3,FALSE),"")</f>
        <v/>
      </c>
      <c r="E3025" s="392" t="str">
        <f>IFERROR(VLOOKUP(A3025,[3]DOORSCRIEFT!$A$2:$G$8551,4,FALSE),"")</f>
        <v/>
      </c>
      <c r="F3025" s="397" t="str">
        <f>IFERROR(VLOOKUP(A3025,[3]DOORSCRIEFT!$A$2:$G$8551,6,FALSE),"")</f>
        <v/>
      </c>
      <c r="G3025" s="315"/>
    </row>
    <row r="3026" spans="1:7" x14ac:dyDescent="0.25">
      <c r="A3026" s="319" t="str">
        <f t="shared" si="88"/>
        <v>I.2.2.02.0514</v>
      </c>
      <c r="B3026" s="319">
        <v>4</v>
      </c>
      <c r="C3026" s="394" t="str">
        <f>IFERROR(VLOOKUP(A3026,[3]DOORSCRIEFT!$A$2:$G$8551,2,FALSE),"")</f>
        <v/>
      </c>
      <c r="D3026" s="393" t="str">
        <f>IFERROR(VLOOKUP(A3026,[3]DOORSCRIEFT!$A$2:$G$8551,3,FALSE),"")</f>
        <v/>
      </c>
      <c r="E3026" s="392" t="str">
        <f>IFERROR(VLOOKUP(A3026,[3]DOORSCRIEFT!$A$2:$G$8551,4,FALSE),"")</f>
        <v/>
      </c>
      <c r="F3026" s="397" t="str">
        <f>IFERROR(VLOOKUP(A3026,[3]DOORSCRIEFT!$A$2:$G$8551,6,FALSE),"")</f>
        <v/>
      </c>
      <c r="G3026" s="315"/>
    </row>
    <row r="3027" spans="1:7" x14ac:dyDescent="0.25">
      <c r="A3027" s="319" t="str">
        <f t="shared" si="88"/>
        <v>I.2.2.02.0515</v>
      </c>
      <c r="B3027" s="319">
        <v>5</v>
      </c>
      <c r="C3027" s="394" t="str">
        <f>IFERROR(VLOOKUP(A3027,[3]DOORSCRIEFT!$A$2:$G$8551,2,FALSE),"")</f>
        <v/>
      </c>
      <c r="D3027" s="393" t="str">
        <f>IFERROR(VLOOKUP(A3027,[3]DOORSCRIEFT!$A$2:$G$8551,3,FALSE),"")</f>
        <v/>
      </c>
      <c r="E3027" s="392" t="str">
        <f>IFERROR(VLOOKUP(A3027,[3]DOORSCRIEFT!$A$2:$G$8551,4,FALSE),"")</f>
        <v/>
      </c>
      <c r="F3027" s="397" t="str">
        <f>IFERROR(VLOOKUP(A3027,[3]DOORSCRIEFT!$A$2:$G$8551,6,FALSE),"")</f>
        <v/>
      </c>
      <c r="G3027" s="315"/>
    </row>
    <row r="3028" spans="1:7" x14ac:dyDescent="0.25">
      <c r="A3028" s="319" t="str">
        <f t="shared" si="88"/>
        <v>I.2.2.02.0516</v>
      </c>
      <c r="B3028" s="319">
        <v>6</v>
      </c>
      <c r="C3028" s="394" t="str">
        <f>IFERROR(VLOOKUP(A3028,[3]DOORSCRIEFT!$A$2:$G$8551,2,FALSE),"")</f>
        <v/>
      </c>
      <c r="D3028" s="393" t="str">
        <f>IFERROR(VLOOKUP(A3028,[3]DOORSCRIEFT!$A$2:$G$8551,3,FALSE),"")</f>
        <v/>
      </c>
      <c r="E3028" s="392" t="str">
        <f>IFERROR(VLOOKUP(A3028,[3]DOORSCRIEFT!$A$2:$G$8551,4,FALSE),"")</f>
        <v/>
      </c>
      <c r="F3028" s="397" t="str">
        <f>IFERROR(VLOOKUP(A3028,[3]DOORSCRIEFT!$A$2:$G$8551,6,FALSE),"")</f>
        <v/>
      </c>
      <c r="G3028" s="315"/>
    </row>
    <row r="3029" spans="1:7" x14ac:dyDescent="0.25">
      <c r="A3029" s="319" t="str">
        <f t="shared" si="88"/>
        <v>I.2.2.02.0517</v>
      </c>
      <c r="B3029" s="319">
        <v>7</v>
      </c>
      <c r="C3029" s="394" t="str">
        <f>IFERROR(VLOOKUP(A3029,[3]DOORSCRIEFT!$A$2:$G$8551,2,FALSE),"")</f>
        <v/>
      </c>
      <c r="D3029" s="393" t="str">
        <f>IFERROR(VLOOKUP(A3029,[3]DOORSCRIEFT!$A$2:$G$8551,3,FALSE),"")</f>
        <v/>
      </c>
      <c r="E3029" s="392" t="str">
        <f>IFERROR(VLOOKUP(A3029,[3]DOORSCRIEFT!$A$2:$G$8551,4,FALSE),"")</f>
        <v/>
      </c>
      <c r="F3029" s="397" t="str">
        <f>IFERROR(VLOOKUP(A3029,[3]DOORSCRIEFT!$A$2:$G$8551,6,FALSE),"")</f>
        <v/>
      </c>
      <c r="G3029" s="315"/>
    </row>
    <row r="3030" spans="1:7" x14ac:dyDescent="0.25">
      <c r="A3030" s="319" t="str">
        <f t="shared" si="88"/>
        <v>I.2.2.02.0518</v>
      </c>
      <c r="B3030" s="319">
        <v>8</v>
      </c>
      <c r="C3030" s="394" t="str">
        <f>IFERROR(VLOOKUP(A3030,[3]DOORSCRIEFT!$A$2:$G$8551,2,FALSE),"")</f>
        <v/>
      </c>
      <c r="D3030" s="393" t="str">
        <f>IFERROR(VLOOKUP(A3030,[3]DOORSCRIEFT!$A$2:$G$8551,3,FALSE),"")</f>
        <v/>
      </c>
      <c r="E3030" s="392" t="str">
        <f>IFERROR(VLOOKUP(A3030,[3]DOORSCRIEFT!$A$2:$G$8551,4,FALSE),"")</f>
        <v/>
      </c>
      <c r="F3030" s="397" t="str">
        <f>IFERROR(VLOOKUP(A3030,[3]DOORSCRIEFT!$A$2:$G$8551,6,FALSE),"")</f>
        <v/>
      </c>
      <c r="G3030" s="315"/>
    </row>
    <row r="3031" spans="1:7" x14ac:dyDescent="0.25">
      <c r="A3031" s="319" t="str">
        <f t="shared" si="88"/>
        <v>I.2.2.02.0519</v>
      </c>
      <c r="B3031" s="319">
        <v>9</v>
      </c>
      <c r="C3031" s="394" t="str">
        <f>IFERROR(VLOOKUP(A3031,[3]DOORSCRIEFT!$A$2:$G$8551,2,FALSE),"")</f>
        <v/>
      </c>
      <c r="D3031" s="393" t="str">
        <f>IFERROR(VLOOKUP(A3031,[3]DOORSCRIEFT!$A$2:$G$8551,3,FALSE),"")</f>
        <v/>
      </c>
      <c r="E3031" s="392" t="str">
        <f>IFERROR(VLOOKUP(A3031,[3]DOORSCRIEFT!$A$2:$G$8551,4,FALSE),"")</f>
        <v/>
      </c>
      <c r="F3031" s="397" t="str">
        <f>IFERROR(VLOOKUP(A3031,[3]DOORSCRIEFT!$A$2:$G$8551,6,FALSE),"")</f>
        <v/>
      </c>
      <c r="G3031" s="315"/>
    </row>
    <row r="3032" spans="1:7" x14ac:dyDescent="0.25">
      <c r="A3032" s="319" t="str">
        <f t="shared" si="88"/>
        <v>I.2.2.02.05110</v>
      </c>
      <c r="B3032" s="319">
        <v>10</v>
      </c>
      <c r="C3032" s="394" t="str">
        <f>IFERROR(VLOOKUP(A3032,[3]DOORSCRIEFT!$A$2:$G$8551,2,FALSE),"")</f>
        <v/>
      </c>
      <c r="D3032" s="393" t="str">
        <f>IFERROR(VLOOKUP(A3032,[3]DOORSCRIEFT!$A$2:$G$8551,3,FALSE),"")</f>
        <v/>
      </c>
      <c r="E3032" s="392" t="str">
        <f>IFERROR(VLOOKUP(A3032,[3]DOORSCRIEFT!$A$2:$G$8551,4,FALSE),"")</f>
        <v/>
      </c>
      <c r="F3032" s="397" t="str">
        <f>IFERROR(VLOOKUP(A3032,[3]DOORSCRIEFT!$A$2:$G$8551,6,FALSE),"")</f>
        <v/>
      </c>
      <c r="G3032" s="315"/>
    </row>
    <row r="3033" spans="1:7" x14ac:dyDescent="0.25">
      <c r="A3033" s="319" t="str">
        <f t="shared" si="88"/>
        <v>I.2.2.02.05111</v>
      </c>
      <c r="B3033" s="319">
        <v>11</v>
      </c>
      <c r="C3033" s="394" t="str">
        <f>IFERROR(VLOOKUP(A3033,[3]DOORSCRIEFT!$A$2:$G$8551,2,FALSE),"")</f>
        <v/>
      </c>
      <c r="D3033" s="393" t="str">
        <f>IFERROR(VLOOKUP(A3033,[3]DOORSCRIEFT!$A$2:$G$8551,3,FALSE),"")</f>
        <v/>
      </c>
      <c r="E3033" s="392" t="str">
        <f>IFERROR(VLOOKUP(A3033,[3]DOORSCRIEFT!$A$2:$G$8551,4,FALSE),"")</f>
        <v/>
      </c>
      <c r="F3033" s="397" t="str">
        <f>IFERROR(VLOOKUP(A3033,[3]DOORSCRIEFT!$A$2:$G$8551,6,FALSE),"")</f>
        <v/>
      </c>
      <c r="G3033" s="315"/>
    </row>
    <row r="3034" spans="1:7" x14ac:dyDescent="0.25">
      <c r="A3034" s="319" t="str">
        <f t="shared" si="88"/>
        <v>I.2.2.02.05112</v>
      </c>
      <c r="B3034" s="319">
        <v>12</v>
      </c>
      <c r="C3034" s="394" t="str">
        <f>IFERROR(VLOOKUP(A3034,[3]DOORSCRIEFT!$A$2:$G$8551,2,FALSE),"")</f>
        <v/>
      </c>
      <c r="D3034" s="393" t="str">
        <f>IFERROR(VLOOKUP(A3034,[3]DOORSCRIEFT!$A$2:$G$8551,3,FALSE),"")</f>
        <v/>
      </c>
      <c r="E3034" s="392" t="str">
        <f>IFERROR(VLOOKUP(A3034,[3]DOORSCRIEFT!$A$2:$G$8551,4,FALSE),"")</f>
        <v/>
      </c>
      <c r="F3034" s="397" t="str">
        <f>IFERROR(VLOOKUP(A3034,[3]DOORSCRIEFT!$A$2:$G$8551,6,FALSE),"")</f>
        <v/>
      </c>
      <c r="G3034" s="315"/>
    </row>
    <row r="3035" spans="1:7" x14ac:dyDescent="0.25">
      <c r="A3035" s="319" t="str">
        <f t="shared" si="88"/>
        <v>I.2.2.02.05113</v>
      </c>
      <c r="B3035" s="319">
        <v>13</v>
      </c>
      <c r="C3035" s="394" t="str">
        <f>IFERROR(VLOOKUP(A3035,[3]DOORSCRIEFT!$A$2:$G$8551,2,FALSE),"")</f>
        <v/>
      </c>
      <c r="D3035" s="393" t="str">
        <f>IFERROR(VLOOKUP(A3035,[3]DOORSCRIEFT!$A$2:$G$8551,3,FALSE),"")</f>
        <v/>
      </c>
      <c r="E3035" s="392" t="str">
        <f>IFERROR(VLOOKUP(A3035,[3]DOORSCRIEFT!$A$2:$G$8551,4,FALSE),"")</f>
        <v/>
      </c>
      <c r="F3035" s="397" t="str">
        <f>IFERROR(VLOOKUP(A3035,[3]DOORSCRIEFT!$A$2:$G$8551,6,FALSE),"")</f>
        <v/>
      </c>
      <c r="G3035" s="315"/>
    </row>
    <row r="3036" spans="1:7" x14ac:dyDescent="0.25">
      <c r="A3036" s="319" t="str">
        <f t="shared" si="88"/>
        <v>I.2.2.02.05114</v>
      </c>
      <c r="B3036" s="319">
        <v>14</v>
      </c>
      <c r="C3036" s="394" t="str">
        <f>IFERROR(VLOOKUP(A3036,[3]DOORSCRIEFT!$A$2:$G$8551,2,FALSE),"")</f>
        <v/>
      </c>
      <c r="D3036" s="393" t="str">
        <f>IFERROR(VLOOKUP(A3036,[3]DOORSCRIEFT!$A$2:$G$8551,3,FALSE),"")</f>
        <v/>
      </c>
      <c r="E3036" s="392" t="str">
        <f>IFERROR(VLOOKUP(A3036,[3]DOORSCRIEFT!$A$2:$G$8551,4,FALSE),"")</f>
        <v/>
      </c>
      <c r="F3036" s="397" t="str">
        <f>IFERROR(VLOOKUP(A3036,[3]DOORSCRIEFT!$A$2:$G$8551,6,FALSE),"")</f>
        <v/>
      </c>
      <c r="G3036" s="315"/>
    </row>
    <row r="3037" spans="1:7" x14ac:dyDescent="0.25">
      <c r="A3037" s="345" t="str">
        <f t="shared" si="88"/>
        <v>I.2.2.02.05115</v>
      </c>
      <c r="B3037" s="345">
        <v>15</v>
      </c>
      <c r="C3037" s="394" t="str">
        <f>IFERROR(VLOOKUP(A3037,[3]DOORSCRIEFT!$A$2:$G$8551,2,FALSE),"")</f>
        <v/>
      </c>
      <c r="D3037" s="393" t="str">
        <f>IFERROR(VLOOKUP(A3037,[3]DOORSCRIEFT!$A$2:$G$8551,3,FALSE),"")</f>
        <v/>
      </c>
      <c r="E3037" s="392" t="str">
        <f>IFERROR(VLOOKUP(A3037,[3]DOORSCRIEFT!$A$2:$G$8551,4,FALSE),"")</f>
        <v/>
      </c>
      <c r="F3037" s="397" t="str">
        <f>IFERROR(VLOOKUP(A3037,[3]DOORSCRIEFT!$A$2:$G$8551,6,FALSE),"")</f>
        <v/>
      </c>
      <c r="G3037" s="315"/>
    </row>
    <row r="3038" spans="1:7" x14ac:dyDescent="0.25">
      <c r="A3038" s="345" t="str">
        <f t="shared" si="88"/>
        <v>I.2.2.02.05116</v>
      </c>
      <c r="B3038" s="319">
        <v>16</v>
      </c>
      <c r="C3038" s="394" t="str">
        <f>IFERROR(VLOOKUP(A3038,[3]DOORSCRIEFT!$A$2:$G$8551,2,FALSE),"")</f>
        <v/>
      </c>
      <c r="D3038" s="393" t="str">
        <f>IFERROR(VLOOKUP(A3038,[3]DOORSCRIEFT!$A$2:$G$8551,3,FALSE),"")</f>
        <v/>
      </c>
      <c r="E3038" s="392" t="str">
        <f>IFERROR(VLOOKUP(A3038,[3]DOORSCRIEFT!$A$2:$G$8551,4,FALSE),"")</f>
        <v/>
      </c>
      <c r="F3038" s="397" t="str">
        <f>IFERROR(VLOOKUP(A3038,[3]DOORSCRIEFT!$A$2:$G$8551,6,FALSE),"")</f>
        <v/>
      </c>
      <c r="G3038" s="315"/>
    </row>
    <row r="3039" spans="1:7" x14ac:dyDescent="0.25">
      <c r="A3039" s="345" t="str">
        <f t="shared" si="88"/>
        <v>I.2.2.02.05117</v>
      </c>
      <c r="B3039" s="345">
        <v>17</v>
      </c>
      <c r="C3039" s="394" t="str">
        <f>IFERROR(VLOOKUP(A3039,[3]DOORSCRIEFT!$A$2:$G$8551,2,FALSE),"")</f>
        <v/>
      </c>
      <c r="D3039" s="393" t="str">
        <f>IFERROR(VLOOKUP(A3039,[3]DOORSCRIEFT!$A$2:$G$8551,3,FALSE),"")</f>
        <v/>
      </c>
      <c r="E3039" s="392" t="str">
        <f>IFERROR(VLOOKUP(A3039,[3]DOORSCRIEFT!$A$2:$G$8551,4,FALSE),"")</f>
        <v/>
      </c>
      <c r="F3039" s="397" t="str">
        <f>IFERROR(VLOOKUP(A3039,[3]DOORSCRIEFT!$A$2:$G$8551,6,FALSE),"")</f>
        <v/>
      </c>
      <c r="G3039" s="315"/>
    </row>
    <row r="3040" spans="1:7" x14ac:dyDescent="0.25">
      <c r="A3040" s="345" t="str">
        <f t="shared" si="88"/>
        <v>I.2.2.02.05118</v>
      </c>
      <c r="B3040" s="319">
        <v>18</v>
      </c>
      <c r="C3040" s="394" t="str">
        <f>IFERROR(VLOOKUP(A3040,[3]DOORSCRIEFT!$A$2:$G$8551,2,FALSE),"")</f>
        <v/>
      </c>
      <c r="D3040" s="393" t="str">
        <f>IFERROR(VLOOKUP(A3040,[3]DOORSCRIEFT!$A$2:$G$8551,3,FALSE),"")</f>
        <v/>
      </c>
      <c r="E3040" s="392" t="str">
        <f>IFERROR(VLOOKUP(A3040,[3]DOORSCRIEFT!$A$2:$G$8551,4,FALSE),"")</f>
        <v/>
      </c>
      <c r="F3040" s="397" t="str">
        <f>IFERROR(VLOOKUP(A3040,[3]DOORSCRIEFT!$A$2:$G$8551,6,FALSE),"")</f>
        <v/>
      </c>
      <c r="G3040" s="315"/>
    </row>
    <row r="3041" spans="1:7" ht="15.75" thickBot="1" x14ac:dyDescent="0.3">
      <c r="A3041" s="345" t="str">
        <f t="shared" si="88"/>
        <v>I.2.2.02.05119</v>
      </c>
      <c r="B3041" s="345">
        <v>19</v>
      </c>
      <c r="C3041" s="394" t="str">
        <f>IFERROR(VLOOKUP(A3041,[3]DOORSCRIEFT!$A$2:$G$8551,2,FALSE),"")</f>
        <v/>
      </c>
      <c r="D3041" s="393" t="str">
        <f>IFERROR(VLOOKUP(A3041,[3]DOORSCRIEFT!$A$2:$G$8551,3,FALSE),"")</f>
        <v/>
      </c>
      <c r="E3041" s="392" t="str">
        <f>IFERROR(VLOOKUP(A3041,[3]DOORSCRIEFT!$A$2:$G$8551,4,FALSE),"")</f>
        <v/>
      </c>
      <c r="F3041" s="397" t="str">
        <f>IFERROR(VLOOKUP(A3041,[3]DOORSCRIEFT!$A$2:$G$8551,6,FALSE),"")</f>
        <v/>
      </c>
      <c r="G3041" s="315"/>
    </row>
    <row r="3042" spans="1:7" ht="15.75" thickBot="1" x14ac:dyDescent="0.3">
      <c r="A3042" s="344"/>
      <c r="B3042" s="343"/>
      <c r="C3042" s="336"/>
      <c r="D3042" s="312"/>
      <c r="E3042" s="311" t="s">
        <v>644</v>
      </c>
      <c r="F3042" s="310">
        <f>SUM(F3023:F3041)</f>
        <v>0</v>
      </c>
      <c r="G3042" s="309">
        <f>SUM(G3023:G3037)</f>
        <v>0</v>
      </c>
    </row>
    <row r="3043" spans="1:7" x14ac:dyDescent="0.25">
      <c r="C3043" s="335"/>
    </row>
    <row r="3044" spans="1:7" x14ac:dyDescent="0.25">
      <c r="C3044" s="335"/>
    </row>
    <row r="3045" spans="1:7" ht="15.75" x14ac:dyDescent="0.25">
      <c r="C3045" s="334"/>
      <c r="D3045" s="333"/>
      <c r="E3045" s="332"/>
      <c r="F3045" s="327" t="s">
        <v>607</v>
      </c>
      <c r="G3045" s="327" t="s">
        <v>444</v>
      </c>
    </row>
    <row r="3046" spans="1:7" ht="15.75" x14ac:dyDescent="0.25">
      <c r="C3046" s="334"/>
      <c r="D3046" s="333"/>
      <c r="E3046" s="332"/>
      <c r="F3046" s="327" t="s">
        <v>601</v>
      </c>
      <c r="G3046" s="327" t="s">
        <v>443</v>
      </c>
    </row>
    <row r="3047" spans="1:7" x14ac:dyDescent="0.25">
      <c r="C3047" s="330"/>
      <c r="D3047" s="329"/>
      <c r="E3047" s="328"/>
      <c r="F3047" s="327" t="s">
        <v>651</v>
      </c>
      <c r="G3047" s="331">
        <f>[2]Sheet1!$D$79</f>
        <v>18000000</v>
      </c>
    </row>
    <row r="3048" spans="1:7" ht="15.75" thickBot="1" x14ac:dyDescent="0.3">
      <c r="C3048" s="330"/>
      <c r="D3048" s="329"/>
      <c r="E3048" s="328"/>
      <c r="F3048" s="327" t="s">
        <v>650</v>
      </c>
      <c r="G3048" s="326">
        <f>+F3079-G3047</f>
        <v>-18000000</v>
      </c>
    </row>
    <row r="3049" spans="1:7" x14ac:dyDescent="0.25">
      <c r="A3049" s="571" t="s">
        <v>626</v>
      </c>
      <c r="B3049" s="584" t="s">
        <v>606</v>
      </c>
      <c r="C3049" s="588" t="s">
        <v>649</v>
      </c>
      <c r="D3049" s="577" t="s">
        <v>648</v>
      </c>
      <c r="E3049" s="577" t="s">
        <v>647</v>
      </c>
      <c r="F3049" s="577" t="s">
        <v>646</v>
      </c>
      <c r="G3049" s="580" t="s">
        <v>645</v>
      </c>
    </row>
    <row r="3050" spans="1:7" ht="15.75" thickBot="1" x14ac:dyDescent="0.3">
      <c r="A3050" s="572"/>
      <c r="B3050" s="585"/>
      <c r="C3050" s="589"/>
      <c r="D3050" s="586"/>
      <c r="E3050" s="586"/>
      <c r="F3050" s="586"/>
      <c r="G3050" s="587"/>
    </row>
    <row r="3051" spans="1:7" ht="15.75" thickBot="1" x14ac:dyDescent="0.3">
      <c r="A3051" s="325">
        <v>1</v>
      </c>
      <c r="B3051" s="324">
        <v>2</v>
      </c>
      <c r="C3051" s="324">
        <v>3</v>
      </c>
      <c r="D3051" s="324">
        <v>4</v>
      </c>
      <c r="E3051" s="324">
        <v>5</v>
      </c>
      <c r="F3051" s="324">
        <v>6</v>
      </c>
      <c r="G3051" s="323">
        <v>7</v>
      </c>
    </row>
    <row r="3052" spans="1:7" x14ac:dyDescent="0.25">
      <c r="A3052" s="360" t="str">
        <f t="shared" ref="A3052:A3078" si="89">$G$3045&amp;B3052</f>
        <v>I.2.2.02.0521</v>
      </c>
      <c r="B3052" s="339">
        <v>1</v>
      </c>
      <c r="C3052" s="394" t="str">
        <f>IFERROR(VLOOKUP(A3052,[3]DOORSCRIEFT!$A$2:$G$8551,2,FALSE),"")</f>
        <v/>
      </c>
      <c r="D3052" s="393" t="str">
        <f>IFERROR(VLOOKUP(A3052,[3]DOORSCRIEFT!$A$2:$G$8551,3,FALSE),"")</f>
        <v/>
      </c>
      <c r="E3052" s="392" t="str">
        <f>IFERROR(VLOOKUP(A3052,[3]DOORSCRIEFT!$A$2:$G$8551,4,FALSE),"")</f>
        <v/>
      </c>
      <c r="F3052" s="397" t="str">
        <f>IFERROR(VLOOKUP(A3052,[3]DOORSCRIEFT!$A$2:$G$8551,6,FALSE),"")</f>
        <v/>
      </c>
      <c r="G3052" s="322"/>
    </row>
    <row r="3053" spans="1:7" x14ac:dyDescent="0.25">
      <c r="A3053" s="359" t="str">
        <f t="shared" si="89"/>
        <v>I.2.2.02.0522</v>
      </c>
      <c r="B3053" s="319">
        <v>2</v>
      </c>
      <c r="C3053" s="394" t="str">
        <f>IFERROR(VLOOKUP(A3053,[3]DOORSCRIEFT!$A$2:$G$8551,2,FALSE),"")</f>
        <v/>
      </c>
      <c r="D3053" s="393" t="str">
        <f>IFERROR(VLOOKUP(A3053,[3]DOORSCRIEFT!$A$2:$G$8551,3,FALSE),"")</f>
        <v/>
      </c>
      <c r="E3053" s="392" t="str">
        <f>IFERROR(VLOOKUP(A3053,[3]DOORSCRIEFT!$A$2:$G$8551,4,FALSE),"")</f>
        <v/>
      </c>
      <c r="F3053" s="397" t="str">
        <f>IFERROR(VLOOKUP(A3053,[3]DOORSCRIEFT!$A$2:$G$8551,6,FALSE),"")</f>
        <v/>
      </c>
      <c r="G3053" s="315"/>
    </row>
    <row r="3054" spans="1:7" x14ac:dyDescent="0.25">
      <c r="A3054" s="359" t="str">
        <f t="shared" si="89"/>
        <v>I.2.2.02.0523</v>
      </c>
      <c r="B3054" s="319">
        <v>3</v>
      </c>
      <c r="C3054" s="394" t="str">
        <f>IFERROR(VLOOKUP(A3054,[3]DOORSCRIEFT!$A$2:$G$8551,2,FALSE),"")</f>
        <v/>
      </c>
      <c r="D3054" s="393" t="str">
        <f>IFERROR(VLOOKUP(A3054,[3]DOORSCRIEFT!$A$2:$G$8551,3,FALSE),"")</f>
        <v/>
      </c>
      <c r="E3054" s="392" t="str">
        <f>IFERROR(VLOOKUP(A3054,[3]DOORSCRIEFT!$A$2:$G$8551,4,FALSE),"")</f>
        <v/>
      </c>
      <c r="F3054" s="397" t="str">
        <f>IFERROR(VLOOKUP(A3054,[3]DOORSCRIEFT!$A$2:$G$8551,6,FALSE),"")</f>
        <v/>
      </c>
      <c r="G3054" s="315"/>
    </row>
    <row r="3055" spans="1:7" x14ac:dyDescent="0.25">
      <c r="A3055" s="359" t="str">
        <f t="shared" si="89"/>
        <v>I.2.2.02.0524</v>
      </c>
      <c r="B3055" s="319">
        <v>4</v>
      </c>
      <c r="C3055" s="394" t="str">
        <f>IFERROR(VLOOKUP(A3055,[3]DOORSCRIEFT!$A$2:$G$8551,2,FALSE),"")</f>
        <v/>
      </c>
      <c r="D3055" s="393" t="str">
        <f>IFERROR(VLOOKUP(A3055,[3]DOORSCRIEFT!$A$2:$G$8551,3,FALSE),"")</f>
        <v/>
      </c>
      <c r="E3055" s="392" t="str">
        <f>IFERROR(VLOOKUP(A3055,[3]DOORSCRIEFT!$A$2:$G$8551,4,FALSE),"")</f>
        <v/>
      </c>
      <c r="F3055" s="397" t="str">
        <f>IFERROR(VLOOKUP(A3055,[3]DOORSCRIEFT!$A$2:$G$8551,6,FALSE),"")</f>
        <v/>
      </c>
      <c r="G3055" s="315"/>
    </row>
    <row r="3056" spans="1:7" x14ac:dyDescent="0.25">
      <c r="A3056" s="359" t="str">
        <f t="shared" si="89"/>
        <v>I.2.2.02.0525</v>
      </c>
      <c r="B3056" s="319">
        <v>5</v>
      </c>
      <c r="C3056" s="394" t="str">
        <f>IFERROR(VLOOKUP(A3056,[3]DOORSCRIEFT!$A$2:$G$8551,2,FALSE),"")</f>
        <v/>
      </c>
      <c r="D3056" s="393" t="str">
        <f>IFERROR(VLOOKUP(A3056,[3]DOORSCRIEFT!$A$2:$G$8551,3,FALSE),"")</f>
        <v/>
      </c>
      <c r="E3056" s="392" t="str">
        <f>IFERROR(VLOOKUP(A3056,[3]DOORSCRIEFT!$A$2:$G$8551,4,FALSE),"")</f>
        <v/>
      </c>
      <c r="F3056" s="397" t="str">
        <f>IFERROR(VLOOKUP(A3056,[3]DOORSCRIEFT!$A$2:$G$8551,6,FALSE),"")</f>
        <v/>
      </c>
      <c r="G3056" s="315"/>
    </row>
    <row r="3057" spans="1:7" x14ac:dyDescent="0.25">
      <c r="A3057" s="359" t="str">
        <f t="shared" si="89"/>
        <v>I.2.2.02.0526</v>
      </c>
      <c r="B3057" s="319">
        <v>6</v>
      </c>
      <c r="C3057" s="394" t="str">
        <f>IFERROR(VLOOKUP(A3057,[3]DOORSCRIEFT!$A$2:$G$8551,2,FALSE),"")</f>
        <v/>
      </c>
      <c r="D3057" s="393" t="str">
        <f>IFERROR(VLOOKUP(A3057,[3]DOORSCRIEFT!$A$2:$G$8551,3,FALSE),"")</f>
        <v/>
      </c>
      <c r="E3057" s="392" t="str">
        <f>IFERROR(VLOOKUP(A3057,[3]DOORSCRIEFT!$A$2:$G$8551,4,FALSE),"")</f>
        <v/>
      </c>
      <c r="F3057" s="397" t="str">
        <f>IFERROR(VLOOKUP(A3057,[3]DOORSCRIEFT!$A$2:$G$8551,6,FALSE),"")</f>
        <v/>
      </c>
      <c r="G3057" s="315"/>
    </row>
    <row r="3058" spans="1:7" x14ac:dyDescent="0.25">
      <c r="A3058" s="359" t="str">
        <f t="shared" si="89"/>
        <v>I.2.2.02.0527</v>
      </c>
      <c r="B3058" s="319">
        <v>7</v>
      </c>
      <c r="C3058" s="394" t="str">
        <f>IFERROR(VLOOKUP(A3058,[3]DOORSCRIEFT!$A$2:$G$8551,2,FALSE),"")</f>
        <v/>
      </c>
      <c r="D3058" s="393" t="str">
        <f>IFERROR(VLOOKUP(A3058,[3]DOORSCRIEFT!$A$2:$G$8551,3,FALSE),"")</f>
        <v/>
      </c>
      <c r="E3058" s="392" t="str">
        <f>IFERROR(VLOOKUP(A3058,[3]DOORSCRIEFT!$A$2:$G$8551,4,FALSE),"")</f>
        <v/>
      </c>
      <c r="F3058" s="397" t="str">
        <f>IFERROR(VLOOKUP(A3058,[3]DOORSCRIEFT!$A$2:$G$8551,6,FALSE),"")</f>
        <v/>
      </c>
      <c r="G3058" s="315"/>
    </row>
    <row r="3059" spans="1:7" x14ac:dyDescent="0.25">
      <c r="A3059" s="359" t="str">
        <f t="shared" si="89"/>
        <v>I.2.2.02.0528</v>
      </c>
      <c r="B3059" s="319">
        <v>8</v>
      </c>
      <c r="C3059" s="394" t="str">
        <f>IFERROR(VLOOKUP(A3059,[3]DOORSCRIEFT!$A$2:$G$8551,2,FALSE),"")</f>
        <v/>
      </c>
      <c r="D3059" s="393" t="str">
        <f>IFERROR(VLOOKUP(A3059,[3]DOORSCRIEFT!$A$2:$G$8551,3,FALSE),"")</f>
        <v/>
      </c>
      <c r="E3059" s="392" t="str">
        <f>IFERROR(VLOOKUP(A3059,[3]DOORSCRIEFT!$A$2:$G$8551,4,FALSE),"")</f>
        <v/>
      </c>
      <c r="F3059" s="397" t="str">
        <f>IFERROR(VLOOKUP(A3059,[3]DOORSCRIEFT!$A$2:$G$8551,6,FALSE),"")</f>
        <v/>
      </c>
      <c r="G3059" s="315"/>
    </row>
    <row r="3060" spans="1:7" x14ac:dyDescent="0.25">
      <c r="A3060" s="359" t="str">
        <f t="shared" si="89"/>
        <v>I.2.2.02.0529</v>
      </c>
      <c r="B3060" s="319">
        <v>9</v>
      </c>
      <c r="C3060" s="394" t="str">
        <f>IFERROR(VLOOKUP(A3060,[3]DOORSCRIEFT!$A$2:$G$8551,2,FALSE),"")</f>
        <v/>
      </c>
      <c r="D3060" s="393" t="str">
        <f>IFERROR(VLOOKUP(A3060,[3]DOORSCRIEFT!$A$2:$G$8551,3,FALSE),"")</f>
        <v/>
      </c>
      <c r="E3060" s="392" t="str">
        <f>IFERROR(VLOOKUP(A3060,[3]DOORSCRIEFT!$A$2:$G$8551,4,FALSE),"")</f>
        <v/>
      </c>
      <c r="F3060" s="397" t="str">
        <f>IFERROR(VLOOKUP(A3060,[3]DOORSCRIEFT!$A$2:$G$8551,6,FALSE),"")</f>
        <v/>
      </c>
      <c r="G3060" s="315"/>
    </row>
    <row r="3061" spans="1:7" x14ac:dyDescent="0.25">
      <c r="A3061" s="359" t="str">
        <f t="shared" si="89"/>
        <v>I.2.2.02.05210</v>
      </c>
      <c r="B3061" s="319">
        <v>10</v>
      </c>
      <c r="C3061" s="394" t="str">
        <f>IFERROR(VLOOKUP(A3061,[3]DOORSCRIEFT!$A$2:$G$8551,2,FALSE),"")</f>
        <v/>
      </c>
      <c r="D3061" s="393" t="str">
        <f>IFERROR(VLOOKUP(A3061,[3]DOORSCRIEFT!$A$2:$G$8551,3,FALSE),"")</f>
        <v/>
      </c>
      <c r="E3061" s="392" t="str">
        <f>IFERROR(VLOOKUP(A3061,[3]DOORSCRIEFT!$A$2:$G$8551,4,FALSE),"")</f>
        <v/>
      </c>
      <c r="F3061" s="397" t="str">
        <f>IFERROR(VLOOKUP(A3061,[3]DOORSCRIEFT!$A$2:$G$8551,6,FALSE),"")</f>
        <v/>
      </c>
      <c r="G3061" s="315"/>
    </row>
    <row r="3062" spans="1:7" x14ac:dyDescent="0.25">
      <c r="A3062" s="359" t="str">
        <f t="shared" si="89"/>
        <v>I.2.2.02.05211</v>
      </c>
      <c r="B3062" s="319">
        <v>11</v>
      </c>
      <c r="C3062" s="394" t="str">
        <f>IFERROR(VLOOKUP(A3062,[3]DOORSCRIEFT!$A$2:$G$8551,2,FALSE),"")</f>
        <v/>
      </c>
      <c r="D3062" s="393" t="str">
        <f>IFERROR(VLOOKUP(A3062,[3]DOORSCRIEFT!$A$2:$G$8551,3,FALSE),"")</f>
        <v/>
      </c>
      <c r="E3062" s="392" t="str">
        <f>IFERROR(VLOOKUP(A3062,[3]DOORSCRIEFT!$A$2:$G$8551,4,FALSE),"")</f>
        <v/>
      </c>
      <c r="F3062" s="397" t="str">
        <f>IFERROR(VLOOKUP(A3062,[3]DOORSCRIEFT!$A$2:$G$8551,6,FALSE),"")</f>
        <v/>
      </c>
      <c r="G3062" s="315"/>
    </row>
    <row r="3063" spans="1:7" x14ac:dyDescent="0.25">
      <c r="A3063" s="359" t="str">
        <f t="shared" si="89"/>
        <v>I.2.2.02.05212</v>
      </c>
      <c r="B3063" s="319">
        <v>12</v>
      </c>
      <c r="C3063" s="394" t="str">
        <f>IFERROR(VLOOKUP(A3063,[3]DOORSCRIEFT!$A$2:$G$8551,2,FALSE),"")</f>
        <v/>
      </c>
      <c r="D3063" s="393" t="str">
        <f>IFERROR(VLOOKUP(A3063,[3]DOORSCRIEFT!$A$2:$G$8551,3,FALSE),"")</f>
        <v/>
      </c>
      <c r="E3063" s="392" t="str">
        <f>IFERROR(VLOOKUP(A3063,[3]DOORSCRIEFT!$A$2:$G$8551,4,FALSE),"")</f>
        <v/>
      </c>
      <c r="F3063" s="397" t="str">
        <f>IFERROR(VLOOKUP(A3063,[3]DOORSCRIEFT!$A$2:$G$8551,6,FALSE),"")</f>
        <v/>
      </c>
      <c r="G3063" s="315"/>
    </row>
    <row r="3064" spans="1:7" x14ac:dyDescent="0.25">
      <c r="A3064" s="359" t="str">
        <f t="shared" si="89"/>
        <v>I.2.2.02.05213</v>
      </c>
      <c r="B3064" s="319">
        <v>13</v>
      </c>
      <c r="C3064" s="394" t="str">
        <f>IFERROR(VLOOKUP(A3064,[3]DOORSCRIEFT!$A$2:$G$8551,2,FALSE),"")</f>
        <v/>
      </c>
      <c r="D3064" s="393" t="str">
        <f>IFERROR(VLOOKUP(A3064,[3]DOORSCRIEFT!$A$2:$G$8551,3,FALSE),"")</f>
        <v/>
      </c>
      <c r="E3064" s="392" t="str">
        <f>IFERROR(VLOOKUP(A3064,[3]DOORSCRIEFT!$A$2:$G$8551,4,FALSE),"")</f>
        <v/>
      </c>
      <c r="F3064" s="397" t="str">
        <f>IFERROR(VLOOKUP(A3064,[3]DOORSCRIEFT!$A$2:$G$8551,6,FALSE),"")</f>
        <v/>
      </c>
      <c r="G3064" s="315"/>
    </row>
    <row r="3065" spans="1:7" x14ac:dyDescent="0.25">
      <c r="A3065" s="359" t="str">
        <f t="shared" si="89"/>
        <v>I.2.2.02.05214</v>
      </c>
      <c r="B3065" s="319">
        <v>14</v>
      </c>
      <c r="C3065" s="394" t="str">
        <f>IFERROR(VLOOKUP(A3065,[3]DOORSCRIEFT!$A$2:$G$8551,2,FALSE),"")</f>
        <v/>
      </c>
      <c r="D3065" s="393" t="str">
        <f>IFERROR(VLOOKUP(A3065,[3]DOORSCRIEFT!$A$2:$G$8551,3,FALSE),"")</f>
        <v/>
      </c>
      <c r="E3065" s="392" t="str">
        <f>IFERROR(VLOOKUP(A3065,[3]DOORSCRIEFT!$A$2:$G$8551,4,FALSE),"")</f>
        <v/>
      </c>
      <c r="F3065" s="397" t="str">
        <f>IFERROR(VLOOKUP(A3065,[3]DOORSCRIEFT!$A$2:$G$8551,6,FALSE),"")</f>
        <v/>
      </c>
      <c r="G3065" s="315"/>
    </row>
    <row r="3066" spans="1:7" x14ac:dyDescent="0.25">
      <c r="A3066" s="390" t="str">
        <f t="shared" si="89"/>
        <v>I.2.2.02.05215</v>
      </c>
      <c r="B3066" s="345">
        <v>15</v>
      </c>
      <c r="C3066" s="394" t="str">
        <f>IFERROR(VLOOKUP(A3066,[3]DOORSCRIEFT!$A$2:$G$8551,2,FALSE),"")</f>
        <v/>
      </c>
      <c r="D3066" s="393" t="str">
        <f>IFERROR(VLOOKUP(A3066,[3]DOORSCRIEFT!$A$2:$G$8551,3,FALSE),"")</f>
        <v/>
      </c>
      <c r="E3066" s="392" t="str">
        <f>IFERROR(VLOOKUP(A3066,[3]DOORSCRIEFT!$A$2:$G$8551,4,FALSE),"")</f>
        <v/>
      </c>
      <c r="F3066" s="397" t="str">
        <f>IFERROR(VLOOKUP(A3066,[3]DOORSCRIEFT!$A$2:$G$8551,6,FALSE),"")</f>
        <v/>
      </c>
      <c r="G3066" s="315"/>
    </row>
    <row r="3067" spans="1:7" x14ac:dyDescent="0.25">
      <c r="A3067" s="390" t="str">
        <f t="shared" si="89"/>
        <v>I.2.2.02.05216</v>
      </c>
      <c r="B3067" s="319">
        <v>16</v>
      </c>
      <c r="C3067" s="394" t="str">
        <f>IFERROR(VLOOKUP(A3067,[3]DOORSCRIEFT!$A$2:$G$8551,2,FALSE),"")</f>
        <v/>
      </c>
      <c r="D3067" s="393" t="str">
        <f>IFERROR(VLOOKUP(A3067,[3]DOORSCRIEFT!$A$2:$G$8551,3,FALSE),"")</f>
        <v/>
      </c>
      <c r="E3067" s="392" t="str">
        <f>IFERROR(VLOOKUP(A3067,[3]DOORSCRIEFT!$A$2:$G$8551,4,FALSE),"")</f>
        <v/>
      </c>
      <c r="F3067" s="397" t="str">
        <f>IFERROR(VLOOKUP(A3067,[3]DOORSCRIEFT!$A$2:$G$8551,6,FALSE),"")</f>
        <v/>
      </c>
      <c r="G3067" s="349"/>
    </row>
    <row r="3068" spans="1:7" x14ac:dyDescent="0.25">
      <c r="A3068" s="390" t="str">
        <f t="shared" si="89"/>
        <v>I.2.2.02.05217</v>
      </c>
      <c r="B3068" s="345">
        <v>17</v>
      </c>
      <c r="C3068" s="394" t="str">
        <f>IFERROR(VLOOKUP(A3068,[3]DOORSCRIEFT!$A$2:$G$8551,2,FALSE),"")</f>
        <v/>
      </c>
      <c r="D3068" s="393" t="str">
        <f>IFERROR(VLOOKUP(A3068,[3]DOORSCRIEFT!$A$2:$G$8551,3,FALSE),"")</f>
        <v/>
      </c>
      <c r="E3068" s="392" t="str">
        <f>IFERROR(VLOOKUP(A3068,[3]DOORSCRIEFT!$A$2:$G$8551,4,FALSE),"")</f>
        <v/>
      </c>
      <c r="F3068" s="397" t="str">
        <f>IFERROR(VLOOKUP(A3068,[3]DOORSCRIEFT!$A$2:$G$8551,6,FALSE),"")</f>
        <v/>
      </c>
      <c r="G3068" s="349"/>
    </row>
    <row r="3069" spans="1:7" x14ac:dyDescent="0.25">
      <c r="A3069" s="390" t="str">
        <f t="shared" si="89"/>
        <v>I.2.2.02.05218</v>
      </c>
      <c r="B3069" s="319">
        <v>18</v>
      </c>
      <c r="C3069" s="394" t="str">
        <f>IFERROR(VLOOKUP(A3069,[3]DOORSCRIEFT!$A$2:$G$8551,2,FALSE),"")</f>
        <v/>
      </c>
      <c r="D3069" s="393" t="str">
        <f>IFERROR(VLOOKUP(A3069,[3]DOORSCRIEFT!$A$2:$G$8551,3,FALSE),"")</f>
        <v/>
      </c>
      <c r="E3069" s="392" t="str">
        <f>IFERROR(VLOOKUP(A3069,[3]DOORSCRIEFT!$A$2:$G$8551,4,FALSE),"")</f>
        <v/>
      </c>
      <c r="F3069" s="397" t="str">
        <f>IFERROR(VLOOKUP(A3069,[3]DOORSCRIEFT!$A$2:$G$8551,6,FALSE),"")</f>
        <v/>
      </c>
      <c r="G3069" s="349"/>
    </row>
    <row r="3070" spans="1:7" x14ac:dyDescent="0.25">
      <c r="A3070" s="390" t="str">
        <f t="shared" si="89"/>
        <v>I.2.2.02.05219</v>
      </c>
      <c r="B3070" s="345">
        <v>19</v>
      </c>
      <c r="C3070" s="394" t="str">
        <f>IFERROR(VLOOKUP(A3070,[3]DOORSCRIEFT!$A$2:$G$8551,2,FALSE),"")</f>
        <v/>
      </c>
      <c r="D3070" s="393" t="str">
        <f>IFERROR(VLOOKUP(A3070,[3]DOORSCRIEFT!$A$2:$G$8551,3,FALSE),"")</f>
        <v/>
      </c>
      <c r="E3070" s="392" t="str">
        <f>IFERROR(VLOOKUP(A3070,[3]DOORSCRIEFT!$A$2:$G$8551,4,FALSE),"")</f>
        <v/>
      </c>
      <c r="F3070" s="397" t="str">
        <f>IFERROR(VLOOKUP(A3070,[3]DOORSCRIEFT!$A$2:$G$8551,6,FALSE),"")</f>
        <v/>
      </c>
      <c r="G3070" s="349"/>
    </row>
    <row r="3071" spans="1:7" x14ac:dyDescent="0.25">
      <c r="A3071" s="390" t="str">
        <f t="shared" si="89"/>
        <v>I.2.2.02.05220</v>
      </c>
      <c r="B3071" s="319">
        <v>20</v>
      </c>
      <c r="C3071" s="394" t="str">
        <f>IFERROR(VLOOKUP(A3071,[3]DOORSCRIEFT!$A$2:$G$8551,2,FALSE),"")</f>
        <v/>
      </c>
      <c r="D3071" s="393" t="str">
        <f>IFERROR(VLOOKUP(A3071,[3]DOORSCRIEFT!$A$2:$G$8551,3,FALSE),"")</f>
        <v/>
      </c>
      <c r="E3071" s="392" t="str">
        <f>IFERROR(VLOOKUP(A3071,[3]DOORSCRIEFT!$A$2:$G$8551,4,FALSE),"")</f>
        <v/>
      </c>
      <c r="F3071" s="397" t="str">
        <f>IFERROR(VLOOKUP(A3071,[3]DOORSCRIEFT!$A$2:$G$8551,6,FALSE),"")</f>
        <v/>
      </c>
      <c r="G3071" s="349"/>
    </row>
    <row r="3072" spans="1:7" x14ac:dyDescent="0.25">
      <c r="A3072" s="390" t="str">
        <f t="shared" si="89"/>
        <v>I.2.2.02.05221</v>
      </c>
      <c r="B3072" s="345">
        <v>21</v>
      </c>
      <c r="C3072" s="394" t="str">
        <f>IFERROR(VLOOKUP(A3072,[3]DOORSCRIEFT!$A$2:$G$8551,2,FALSE),"")</f>
        <v/>
      </c>
      <c r="D3072" s="393" t="str">
        <f>IFERROR(VLOOKUP(A3072,[3]DOORSCRIEFT!$A$2:$G$8551,3,FALSE),"")</f>
        <v/>
      </c>
      <c r="E3072" s="392" t="str">
        <f>IFERROR(VLOOKUP(A3072,[3]DOORSCRIEFT!$A$2:$G$8551,4,FALSE),"")</f>
        <v/>
      </c>
      <c r="F3072" s="397" t="str">
        <f>IFERROR(VLOOKUP(A3072,[3]DOORSCRIEFT!$A$2:$G$8551,6,FALSE),"")</f>
        <v/>
      </c>
      <c r="G3072" s="349"/>
    </row>
    <row r="3073" spans="1:7" x14ac:dyDescent="0.25">
      <c r="A3073" s="390" t="str">
        <f t="shared" si="89"/>
        <v>I.2.2.02.05222</v>
      </c>
      <c r="B3073" s="319">
        <v>22</v>
      </c>
      <c r="C3073" s="394" t="str">
        <f>IFERROR(VLOOKUP(A3073,[3]DOORSCRIEFT!$A$2:$G$8551,2,FALSE),"")</f>
        <v/>
      </c>
      <c r="D3073" s="393" t="str">
        <f>IFERROR(VLOOKUP(A3073,[3]DOORSCRIEFT!$A$2:$G$8551,3,FALSE),"")</f>
        <v/>
      </c>
      <c r="E3073" s="392" t="str">
        <f>IFERROR(VLOOKUP(A3073,[3]DOORSCRIEFT!$A$2:$G$8551,4,FALSE),"")</f>
        <v/>
      </c>
      <c r="F3073" s="397" t="str">
        <f>IFERROR(VLOOKUP(A3073,[3]DOORSCRIEFT!$A$2:$G$8551,6,FALSE),"")</f>
        <v/>
      </c>
      <c r="G3073" s="349"/>
    </row>
    <row r="3074" spans="1:7" x14ac:dyDescent="0.25">
      <c r="A3074" s="390" t="str">
        <f t="shared" si="89"/>
        <v>I.2.2.02.05223</v>
      </c>
      <c r="B3074" s="345">
        <v>23</v>
      </c>
      <c r="C3074" s="394" t="str">
        <f>IFERROR(VLOOKUP(A3074,[3]DOORSCRIEFT!$A$2:$G$8551,2,FALSE),"")</f>
        <v/>
      </c>
      <c r="D3074" s="393" t="str">
        <f>IFERROR(VLOOKUP(A3074,[3]DOORSCRIEFT!$A$2:$G$8551,3,FALSE),"")</f>
        <v/>
      </c>
      <c r="E3074" s="392" t="str">
        <f>IFERROR(VLOOKUP(A3074,[3]DOORSCRIEFT!$A$2:$G$8551,4,FALSE),"")</f>
        <v/>
      </c>
      <c r="F3074" s="397" t="str">
        <f>IFERROR(VLOOKUP(A3074,[3]DOORSCRIEFT!$A$2:$G$8551,6,FALSE),"")</f>
        <v/>
      </c>
      <c r="G3074" s="349"/>
    </row>
    <row r="3075" spans="1:7" x14ac:dyDescent="0.25">
      <c r="A3075" s="390" t="str">
        <f t="shared" si="89"/>
        <v>I.2.2.02.05224</v>
      </c>
      <c r="B3075" s="319">
        <v>24</v>
      </c>
      <c r="C3075" s="394" t="str">
        <f>IFERROR(VLOOKUP(A3075,[3]DOORSCRIEFT!$A$2:$G$8551,2,FALSE),"")</f>
        <v/>
      </c>
      <c r="D3075" s="393" t="str">
        <f>IFERROR(VLOOKUP(A3075,[3]DOORSCRIEFT!$A$2:$G$8551,3,FALSE),"")</f>
        <v/>
      </c>
      <c r="E3075" s="392" t="str">
        <f>IFERROR(VLOOKUP(A3075,[3]DOORSCRIEFT!$A$2:$G$8551,4,FALSE),"")</f>
        <v/>
      </c>
      <c r="F3075" s="397" t="str">
        <f>IFERROR(VLOOKUP(A3075,[3]DOORSCRIEFT!$A$2:$G$8551,6,FALSE),"")</f>
        <v/>
      </c>
      <c r="G3075" s="349"/>
    </row>
    <row r="3076" spans="1:7" x14ac:dyDescent="0.25">
      <c r="A3076" s="390" t="str">
        <f t="shared" si="89"/>
        <v>I.2.2.02.05225</v>
      </c>
      <c r="B3076" s="345">
        <v>25</v>
      </c>
      <c r="C3076" s="394" t="str">
        <f>IFERROR(VLOOKUP(A3076,[3]DOORSCRIEFT!$A$2:$G$8551,2,FALSE),"")</f>
        <v/>
      </c>
      <c r="D3076" s="393" t="str">
        <f>IFERROR(VLOOKUP(A3076,[3]DOORSCRIEFT!$A$2:$G$8551,3,FALSE),"")</f>
        <v/>
      </c>
      <c r="E3076" s="392" t="str">
        <f>IFERROR(VLOOKUP(A3076,[3]DOORSCRIEFT!$A$2:$G$8551,4,FALSE),"")</f>
        <v/>
      </c>
      <c r="F3076" s="397" t="str">
        <f>IFERROR(VLOOKUP(A3076,[3]DOORSCRIEFT!$A$2:$G$8551,6,FALSE),"")</f>
        <v/>
      </c>
      <c r="G3076" s="349"/>
    </row>
    <row r="3077" spans="1:7" x14ac:dyDescent="0.25">
      <c r="A3077" s="390" t="str">
        <f t="shared" si="89"/>
        <v>I.2.2.02.05226</v>
      </c>
      <c r="B3077" s="319">
        <v>26</v>
      </c>
      <c r="C3077" s="394" t="str">
        <f>IFERROR(VLOOKUP(A3077,[3]DOORSCRIEFT!$A$2:$G$8551,2,FALSE),"")</f>
        <v/>
      </c>
      <c r="D3077" s="393" t="str">
        <f>IFERROR(VLOOKUP(A3077,[3]DOORSCRIEFT!$A$2:$G$8551,3,FALSE),"")</f>
        <v/>
      </c>
      <c r="E3077" s="392" t="str">
        <f>IFERROR(VLOOKUP(A3077,[3]DOORSCRIEFT!$A$2:$G$8551,4,FALSE),"")</f>
        <v/>
      </c>
      <c r="F3077" s="397" t="str">
        <f>IFERROR(VLOOKUP(A3077,[3]DOORSCRIEFT!$A$2:$G$8551,6,FALSE),"")</f>
        <v/>
      </c>
      <c r="G3077" s="349"/>
    </row>
    <row r="3078" spans="1:7" ht="15.75" thickBot="1" x14ac:dyDescent="0.3">
      <c r="A3078" s="390" t="str">
        <f t="shared" si="89"/>
        <v>I.2.2.02.05227</v>
      </c>
      <c r="B3078" s="345">
        <v>27</v>
      </c>
      <c r="C3078" s="394" t="str">
        <f>IFERROR(VLOOKUP(A3078,[3]DOORSCRIEFT!$A$2:$G$8551,2,FALSE),"")</f>
        <v/>
      </c>
      <c r="D3078" s="393" t="str">
        <f>IFERROR(VLOOKUP(A3078,[3]DOORSCRIEFT!$A$2:$G$8551,3,FALSE),"")</f>
        <v/>
      </c>
      <c r="E3078" s="392" t="str">
        <f>IFERROR(VLOOKUP(A3078,[3]DOORSCRIEFT!$A$2:$G$8551,4,FALSE),"")</f>
        <v/>
      </c>
      <c r="F3078" s="397" t="str">
        <f>IFERROR(VLOOKUP(A3078,[3]DOORSCRIEFT!$A$2:$G$8551,6,FALSE),"")</f>
        <v/>
      </c>
      <c r="G3078" s="315"/>
    </row>
    <row r="3079" spans="1:7" ht="15.75" thickBot="1" x14ac:dyDescent="0.3">
      <c r="A3079" s="344"/>
      <c r="B3079" s="343"/>
      <c r="C3079" s="336"/>
      <c r="D3079" s="312"/>
      <c r="E3079" s="311" t="s">
        <v>644</v>
      </c>
      <c r="F3079" s="310">
        <f>SUM(F3052:F3078)</f>
        <v>0</v>
      </c>
      <c r="G3079" s="309">
        <f>SUM(G3052:G3066)</f>
        <v>0</v>
      </c>
    </row>
    <row r="3080" spans="1:7" x14ac:dyDescent="0.25">
      <c r="C3080" s="335"/>
    </row>
    <row r="3081" spans="1:7" x14ac:dyDescent="0.25">
      <c r="C3081" s="335"/>
    </row>
    <row r="3082" spans="1:7" ht="15.75" x14ac:dyDescent="0.25">
      <c r="C3082" s="334"/>
      <c r="D3082" s="333"/>
      <c r="E3082" s="332"/>
      <c r="F3082" s="327" t="s">
        <v>607</v>
      </c>
      <c r="G3082" s="327" t="s">
        <v>442</v>
      </c>
    </row>
    <row r="3083" spans="1:7" ht="15.75" x14ac:dyDescent="0.25">
      <c r="C3083" s="334"/>
      <c r="D3083" s="333"/>
      <c r="E3083" s="332"/>
      <c r="F3083" s="327" t="s">
        <v>601</v>
      </c>
      <c r="G3083" s="327" t="s">
        <v>441</v>
      </c>
    </row>
    <row r="3084" spans="1:7" x14ac:dyDescent="0.25">
      <c r="C3084" s="330"/>
      <c r="D3084" s="329"/>
      <c r="E3084" s="328"/>
      <c r="F3084" s="327" t="s">
        <v>651</v>
      </c>
      <c r="G3084" s="331">
        <f>[2]Sheet1!$D$80</f>
        <v>10000000</v>
      </c>
    </row>
    <row r="3085" spans="1:7" ht="15.75" thickBot="1" x14ac:dyDescent="0.3">
      <c r="C3085" s="330"/>
      <c r="D3085" s="329"/>
      <c r="E3085" s="328"/>
      <c r="F3085" s="327" t="s">
        <v>650</v>
      </c>
      <c r="G3085" s="326">
        <f>+F3104-G3084</f>
        <v>-10000000</v>
      </c>
    </row>
    <row r="3086" spans="1:7" x14ac:dyDescent="0.25">
      <c r="A3086" s="571" t="s">
        <v>626</v>
      </c>
      <c r="B3086" s="573" t="s">
        <v>606</v>
      </c>
      <c r="C3086" s="588" t="s">
        <v>649</v>
      </c>
      <c r="D3086" s="577" t="s">
        <v>648</v>
      </c>
      <c r="E3086" s="577" t="s">
        <v>647</v>
      </c>
      <c r="F3086" s="577" t="s">
        <v>646</v>
      </c>
      <c r="G3086" s="580" t="s">
        <v>645</v>
      </c>
    </row>
    <row r="3087" spans="1:7" ht="15.75" thickBot="1" x14ac:dyDescent="0.3">
      <c r="A3087" s="572"/>
      <c r="B3087" s="574"/>
      <c r="C3087" s="589"/>
      <c r="D3087" s="586"/>
      <c r="E3087" s="586"/>
      <c r="F3087" s="586"/>
      <c r="G3087" s="587"/>
    </row>
    <row r="3088" spans="1:7" ht="15.75" thickBot="1" x14ac:dyDescent="0.3">
      <c r="A3088" s="325">
        <v>1</v>
      </c>
      <c r="B3088" s="324">
        <v>2</v>
      </c>
      <c r="C3088" s="324">
        <v>3</v>
      </c>
      <c r="D3088" s="324">
        <v>4</v>
      </c>
      <c r="E3088" s="324">
        <v>5</v>
      </c>
      <c r="F3088" s="324">
        <v>6</v>
      </c>
      <c r="G3088" s="323">
        <v>7</v>
      </c>
    </row>
    <row r="3089" spans="1:7" x14ac:dyDescent="0.25">
      <c r="A3089" s="339" t="str">
        <f t="shared" ref="A3089:A3103" si="90">$G$3082&amp;B3089</f>
        <v>I.2.2.02.0531</v>
      </c>
      <c r="B3089" s="339">
        <v>1</v>
      </c>
      <c r="C3089" s="394" t="str">
        <f>IFERROR(VLOOKUP(A3089,[3]DOORSCRIEFT!$A$2:$G$8551,2,FALSE),"")</f>
        <v/>
      </c>
      <c r="D3089" s="393" t="str">
        <f>IFERROR(VLOOKUP(A3089,[3]DOORSCRIEFT!$A$2:$G$8551,3,FALSE),"")</f>
        <v/>
      </c>
      <c r="E3089" s="392" t="str">
        <f>IFERROR(VLOOKUP(A3089,[3]DOORSCRIEFT!$A$2:$G$8551,4,FALSE),"")</f>
        <v/>
      </c>
      <c r="F3089" s="397" t="str">
        <f>IFERROR(VLOOKUP(A3089,[3]DOORSCRIEFT!$A$2:$G$8551,6,FALSE),"")</f>
        <v/>
      </c>
      <c r="G3089" s="322"/>
    </row>
    <row r="3090" spans="1:7" x14ac:dyDescent="0.25">
      <c r="A3090" s="319" t="str">
        <f t="shared" si="90"/>
        <v>I.2.2.02.0532</v>
      </c>
      <c r="B3090" s="319">
        <v>2</v>
      </c>
      <c r="C3090" s="394" t="str">
        <f>IFERROR(VLOOKUP(A3090,[3]DOORSCRIEFT!$A$2:$G$8551,2,FALSE),"")</f>
        <v/>
      </c>
      <c r="D3090" s="393" t="str">
        <f>IFERROR(VLOOKUP(A3090,[3]DOORSCRIEFT!$A$2:$G$8551,3,FALSE),"")</f>
        <v/>
      </c>
      <c r="E3090" s="392" t="str">
        <f>IFERROR(VLOOKUP(A3090,[3]DOORSCRIEFT!$A$2:$G$8551,4,FALSE),"")</f>
        <v/>
      </c>
      <c r="F3090" s="397" t="str">
        <f>IFERROR(VLOOKUP(A3090,[3]DOORSCRIEFT!$A$2:$G$8551,6,FALSE),"")</f>
        <v/>
      </c>
      <c r="G3090" s="315"/>
    </row>
    <row r="3091" spans="1:7" x14ac:dyDescent="0.25">
      <c r="A3091" s="319" t="str">
        <f t="shared" si="90"/>
        <v>I.2.2.02.0533</v>
      </c>
      <c r="B3091" s="319">
        <v>3</v>
      </c>
      <c r="C3091" s="394" t="str">
        <f>IFERROR(VLOOKUP(A3091,[3]DOORSCRIEFT!$A$2:$G$8551,2,FALSE),"")</f>
        <v/>
      </c>
      <c r="D3091" s="393" t="str">
        <f>IFERROR(VLOOKUP(A3091,[3]DOORSCRIEFT!$A$2:$G$8551,3,FALSE),"")</f>
        <v/>
      </c>
      <c r="E3091" s="392" t="str">
        <f>IFERROR(VLOOKUP(A3091,[3]DOORSCRIEFT!$A$2:$G$8551,4,FALSE),"")</f>
        <v/>
      </c>
      <c r="F3091" s="397" t="str">
        <f>IFERROR(VLOOKUP(A3091,[3]DOORSCRIEFT!$A$2:$G$8551,6,FALSE),"")</f>
        <v/>
      </c>
      <c r="G3091" s="315"/>
    </row>
    <row r="3092" spans="1:7" x14ac:dyDescent="0.25">
      <c r="A3092" s="319" t="str">
        <f t="shared" si="90"/>
        <v>I.2.2.02.0534</v>
      </c>
      <c r="B3092" s="319">
        <v>4</v>
      </c>
      <c r="C3092" s="394" t="str">
        <f>IFERROR(VLOOKUP(A3092,[3]DOORSCRIEFT!$A$2:$G$8551,2,FALSE),"")</f>
        <v/>
      </c>
      <c r="D3092" s="393" t="str">
        <f>IFERROR(VLOOKUP(A3092,[3]DOORSCRIEFT!$A$2:$G$8551,3,FALSE),"")</f>
        <v/>
      </c>
      <c r="E3092" s="392" t="str">
        <f>IFERROR(VLOOKUP(A3092,[3]DOORSCRIEFT!$A$2:$G$8551,4,FALSE),"")</f>
        <v/>
      </c>
      <c r="F3092" s="397" t="str">
        <f>IFERROR(VLOOKUP(A3092,[3]DOORSCRIEFT!$A$2:$G$8551,6,FALSE),"")</f>
        <v/>
      </c>
      <c r="G3092" s="315"/>
    </row>
    <row r="3093" spans="1:7" x14ac:dyDescent="0.25">
      <c r="A3093" s="319" t="str">
        <f t="shared" si="90"/>
        <v>I.2.2.02.0535</v>
      </c>
      <c r="B3093" s="319">
        <v>5</v>
      </c>
      <c r="C3093" s="394" t="str">
        <f>IFERROR(VLOOKUP(A3093,[3]DOORSCRIEFT!$A$2:$G$8551,2,FALSE),"")</f>
        <v/>
      </c>
      <c r="D3093" s="393" t="str">
        <f>IFERROR(VLOOKUP(A3093,[3]DOORSCRIEFT!$A$2:$G$8551,3,FALSE),"")</f>
        <v/>
      </c>
      <c r="E3093" s="392" t="str">
        <f>IFERROR(VLOOKUP(A3093,[3]DOORSCRIEFT!$A$2:$G$8551,4,FALSE),"")</f>
        <v/>
      </c>
      <c r="F3093" s="397" t="str">
        <f>IFERROR(VLOOKUP(A3093,[3]DOORSCRIEFT!$A$2:$G$8551,6,FALSE),"")</f>
        <v/>
      </c>
      <c r="G3093" s="315"/>
    </row>
    <row r="3094" spans="1:7" x14ac:dyDescent="0.25">
      <c r="A3094" s="319" t="str">
        <f t="shared" si="90"/>
        <v>I.2.2.02.0536</v>
      </c>
      <c r="B3094" s="319">
        <v>6</v>
      </c>
      <c r="C3094" s="394" t="str">
        <f>IFERROR(VLOOKUP(A3094,[3]DOORSCRIEFT!$A$2:$G$8551,2,FALSE),"")</f>
        <v/>
      </c>
      <c r="D3094" s="393" t="str">
        <f>IFERROR(VLOOKUP(A3094,[3]DOORSCRIEFT!$A$2:$G$8551,3,FALSE),"")</f>
        <v/>
      </c>
      <c r="E3094" s="392" t="str">
        <f>IFERROR(VLOOKUP(A3094,[3]DOORSCRIEFT!$A$2:$G$8551,4,FALSE),"")</f>
        <v/>
      </c>
      <c r="F3094" s="397" t="str">
        <f>IFERROR(VLOOKUP(A3094,[3]DOORSCRIEFT!$A$2:$G$8551,6,FALSE),"")</f>
        <v/>
      </c>
      <c r="G3094" s="315"/>
    </row>
    <row r="3095" spans="1:7" x14ac:dyDescent="0.25">
      <c r="A3095" s="319" t="str">
        <f t="shared" si="90"/>
        <v>I.2.2.02.0537</v>
      </c>
      <c r="B3095" s="319">
        <v>7</v>
      </c>
      <c r="C3095" s="394" t="str">
        <f>IFERROR(VLOOKUP(A3095,[3]DOORSCRIEFT!$A$2:$G$8551,2,FALSE),"")</f>
        <v/>
      </c>
      <c r="D3095" s="393" t="str">
        <f>IFERROR(VLOOKUP(A3095,[3]DOORSCRIEFT!$A$2:$G$8551,3,FALSE),"")</f>
        <v/>
      </c>
      <c r="E3095" s="392" t="str">
        <f>IFERROR(VLOOKUP(A3095,[3]DOORSCRIEFT!$A$2:$G$8551,4,FALSE),"")</f>
        <v/>
      </c>
      <c r="F3095" s="397" t="str">
        <f>IFERROR(VLOOKUP(A3095,[3]DOORSCRIEFT!$A$2:$G$8551,6,FALSE),"")</f>
        <v/>
      </c>
      <c r="G3095" s="315"/>
    </row>
    <row r="3096" spans="1:7" x14ac:dyDescent="0.25">
      <c r="A3096" s="319" t="str">
        <f t="shared" si="90"/>
        <v>I.2.2.02.0538</v>
      </c>
      <c r="B3096" s="319">
        <v>8</v>
      </c>
      <c r="C3096" s="394" t="str">
        <f>IFERROR(VLOOKUP(A3096,[3]DOORSCRIEFT!$A$2:$G$8551,2,FALSE),"")</f>
        <v/>
      </c>
      <c r="D3096" s="393" t="str">
        <f>IFERROR(VLOOKUP(A3096,[3]DOORSCRIEFT!$A$2:$G$8551,3,FALSE),"")</f>
        <v/>
      </c>
      <c r="E3096" s="392" t="str">
        <f>IFERROR(VLOOKUP(A3096,[3]DOORSCRIEFT!$A$2:$G$8551,4,FALSE),"")</f>
        <v/>
      </c>
      <c r="F3096" s="397" t="str">
        <f>IFERROR(VLOOKUP(A3096,[3]DOORSCRIEFT!$A$2:$G$8551,6,FALSE),"")</f>
        <v/>
      </c>
      <c r="G3096" s="315"/>
    </row>
    <row r="3097" spans="1:7" x14ac:dyDescent="0.25">
      <c r="A3097" s="319" t="str">
        <f t="shared" si="90"/>
        <v>I.2.2.02.0539</v>
      </c>
      <c r="B3097" s="319">
        <v>9</v>
      </c>
      <c r="C3097" s="394" t="str">
        <f>IFERROR(VLOOKUP(A3097,[3]DOORSCRIEFT!$A$2:$G$8551,2,FALSE),"")</f>
        <v/>
      </c>
      <c r="D3097" s="393" t="str">
        <f>IFERROR(VLOOKUP(A3097,[3]DOORSCRIEFT!$A$2:$G$8551,3,FALSE),"")</f>
        <v/>
      </c>
      <c r="E3097" s="392" t="str">
        <f>IFERROR(VLOOKUP(A3097,[3]DOORSCRIEFT!$A$2:$G$8551,4,FALSE),"")</f>
        <v/>
      </c>
      <c r="F3097" s="397" t="str">
        <f>IFERROR(VLOOKUP(A3097,[3]DOORSCRIEFT!$A$2:$G$8551,6,FALSE),"")</f>
        <v/>
      </c>
      <c r="G3097" s="315"/>
    </row>
    <row r="3098" spans="1:7" x14ac:dyDescent="0.25">
      <c r="A3098" s="319" t="str">
        <f t="shared" si="90"/>
        <v>I.2.2.02.05310</v>
      </c>
      <c r="B3098" s="319">
        <v>10</v>
      </c>
      <c r="C3098" s="394" t="str">
        <f>IFERROR(VLOOKUP(A3098,[3]DOORSCRIEFT!$A$2:$G$8551,2,FALSE),"")</f>
        <v/>
      </c>
      <c r="D3098" s="393" t="str">
        <f>IFERROR(VLOOKUP(A3098,[3]DOORSCRIEFT!$A$2:$G$8551,3,FALSE),"")</f>
        <v/>
      </c>
      <c r="E3098" s="392" t="str">
        <f>IFERROR(VLOOKUP(A3098,[3]DOORSCRIEFT!$A$2:$G$8551,4,FALSE),"")</f>
        <v/>
      </c>
      <c r="F3098" s="397" t="str">
        <f>IFERROR(VLOOKUP(A3098,[3]DOORSCRIEFT!$A$2:$G$8551,6,FALSE),"")</f>
        <v/>
      </c>
      <c r="G3098" s="315"/>
    </row>
    <row r="3099" spans="1:7" x14ac:dyDescent="0.25">
      <c r="A3099" s="319" t="str">
        <f t="shared" si="90"/>
        <v>I.2.2.02.05311</v>
      </c>
      <c r="B3099" s="319">
        <v>11</v>
      </c>
      <c r="C3099" s="394" t="str">
        <f>IFERROR(VLOOKUP(A3099,[3]DOORSCRIEFT!$A$2:$G$8551,2,FALSE),"")</f>
        <v/>
      </c>
      <c r="D3099" s="393" t="str">
        <f>IFERROR(VLOOKUP(A3099,[3]DOORSCRIEFT!$A$2:$G$8551,3,FALSE),"")</f>
        <v/>
      </c>
      <c r="E3099" s="392" t="str">
        <f>IFERROR(VLOOKUP(A3099,[3]DOORSCRIEFT!$A$2:$G$8551,4,FALSE),"")</f>
        <v/>
      </c>
      <c r="F3099" s="397" t="str">
        <f>IFERROR(VLOOKUP(A3099,[3]DOORSCRIEFT!$A$2:$G$8551,6,FALSE),"")</f>
        <v/>
      </c>
      <c r="G3099" s="315"/>
    </row>
    <row r="3100" spans="1:7" x14ac:dyDescent="0.25">
      <c r="A3100" s="319" t="str">
        <f t="shared" si="90"/>
        <v>I.2.2.02.05312</v>
      </c>
      <c r="B3100" s="319">
        <v>12</v>
      </c>
      <c r="C3100" s="394" t="str">
        <f>IFERROR(VLOOKUP(A3100,[3]DOORSCRIEFT!$A$2:$G$8551,2,FALSE),"")</f>
        <v/>
      </c>
      <c r="D3100" s="393" t="str">
        <f>IFERROR(VLOOKUP(A3100,[3]DOORSCRIEFT!$A$2:$G$8551,3,FALSE),"")</f>
        <v/>
      </c>
      <c r="E3100" s="392" t="str">
        <f>IFERROR(VLOOKUP(A3100,[3]DOORSCRIEFT!$A$2:$G$8551,4,FALSE),"")</f>
        <v/>
      </c>
      <c r="F3100" s="397" t="str">
        <f>IFERROR(VLOOKUP(A3100,[3]DOORSCRIEFT!$A$2:$G$8551,6,FALSE),"")</f>
        <v/>
      </c>
      <c r="G3100" s="315"/>
    </row>
    <row r="3101" spans="1:7" x14ac:dyDescent="0.25">
      <c r="A3101" s="319" t="str">
        <f t="shared" si="90"/>
        <v>I.2.2.02.05313</v>
      </c>
      <c r="B3101" s="319">
        <v>13</v>
      </c>
      <c r="C3101" s="394" t="str">
        <f>IFERROR(VLOOKUP(A3101,[3]DOORSCRIEFT!$A$2:$G$8551,2,FALSE),"")</f>
        <v/>
      </c>
      <c r="D3101" s="393" t="str">
        <f>IFERROR(VLOOKUP(A3101,[3]DOORSCRIEFT!$A$2:$G$8551,3,FALSE),"")</f>
        <v/>
      </c>
      <c r="E3101" s="392" t="str">
        <f>IFERROR(VLOOKUP(A3101,[3]DOORSCRIEFT!$A$2:$G$8551,4,FALSE),"")</f>
        <v/>
      </c>
      <c r="F3101" s="397" t="str">
        <f>IFERROR(VLOOKUP(A3101,[3]DOORSCRIEFT!$A$2:$G$8551,6,FALSE),"")</f>
        <v/>
      </c>
      <c r="G3101" s="315"/>
    </row>
    <row r="3102" spans="1:7" x14ac:dyDescent="0.25">
      <c r="A3102" s="319" t="str">
        <f t="shared" si="90"/>
        <v>I.2.2.02.05314</v>
      </c>
      <c r="B3102" s="319">
        <v>14</v>
      </c>
      <c r="C3102" s="394" t="str">
        <f>IFERROR(VLOOKUP(A3102,[3]DOORSCRIEFT!$A$2:$G$8551,2,FALSE),"")</f>
        <v/>
      </c>
      <c r="D3102" s="393" t="str">
        <f>IFERROR(VLOOKUP(A3102,[3]DOORSCRIEFT!$A$2:$G$8551,3,FALSE),"")</f>
        <v/>
      </c>
      <c r="E3102" s="392" t="str">
        <f>IFERROR(VLOOKUP(A3102,[3]DOORSCRIEFT!$A$2:$G$8551,4,FALSE),"")</f>
        <v/>
      </c>
      <c r="F3102" s="397" t="str">
        <f>IFERROR(VLOOKUP(A3102,[3]DOORSCRIEFT!$A$2:$G$8551,6,FALSE),"")</f>
        <v/>
      </c>
      <c r="G3102" s="315"/>
    </row>
    <row r="3103" spans="1:7" ht="15.75" thickBot="1" x14ac:dyDescent="0.3">
      <c r="A3103" s="345" t="str">
        <f t="shared" si="90"/>
        <v>I.2.2.02.05315</v>
      </c>
      <c r="B3103" s="345">
        <v>15</v>
      </c>
      <c r="C3103" s="394" t="str">
        <f>IFERROR(VLOOKUP(A3103,[3]DOORSCRIEFT!$A$2:$G$8551,2,FALSE),"")</f>
        <v/>
      </c>
      <c r="D3103" s="393" t="str">
        <f>IFERROR(VLOOKUP(A3103,[3]DOORSCRIEFT!$A$2:$G$8551,3,FALSE),"")</f>
        <v/>
      </c>
      <c r="E3103" s="392" t="str">
        <f>IFERROR(VLOOKUP(A3103,[3]DOORSCRIEFT!$A$2:$G$8551,4,FALSE),"")</f>
        <v/>
      </c>
      <c r="F3103" s="397" t="str">
        <f>IFERROR(VLOOKUP(A3103,[3]DOORSCRIEFT!$A$2:$G$8551,6,FALSE),"")</f>
        <v/>
      </c>
      <c r="G3103" s="315"/>
    </row>
    <row r="3104" spans="1:7" ht="15.75" thickBot="1" x14ac:dyDescent="0.3">
      <c r="A3104" s="344"/>
      <c r="B3104" s="343"/>
      <c r="C3104" s="336"/>
      <c r="D3104" s="312"/>
      <c r="E3104" s="311" t="s">
        <v>644</v>
      </c>
      <c r="F3104" s="310">
        <f>SUM(F3089:F3103)</f>
        <v>0</v>
      </c>
      <c r="G3104" s="309">
        <f>SUM(G3089:G3103)</f>
        <v>0</v>
      </c>
    </row>
    <row r="3105" spans="1:7" x14ac:dyDescent="0.25">
      <c r="C3105" s="335"/>
    </row>
    <row r="3106" spans="1:7" x14ac:dyDescent="0.25">
      <c r="C3106" s="335"/>
    </row>
    <row r="3107" spans="1:7" ht="15.75" x14ac:dyDescent="0.25">
      <c r="C3107" s="334"/>
      <c r="D3107" s="333"/>
      <c r="E3107" s="332"/>
      <c r="F3107" s="327" t="s">
        <v>607</v>
      </c>
      <c r="G3107" s="327" t="s">
        <v>440</v>
      </c>
    </row>
    <row r="3108" spans="1:7" ht="15.75" x14ac:dyDescent="0.25">
      <c r="C3108" s="334"/>
      <c r="D3108" s="333"/>
      <c r="E3108" s="332"/>
      <c r="F3108" s="327" t="s">
        <v>601</v>
      </c>
      <c r="G3108" s="327" t="s">
        <v>439</v>
      </c>
    </row>
    <row r="3109" spans="1:7" x14ac:dyDescent="0.25">
      <c r="C3109" s="330"/>
      <c r="D3109" s="329"/>
      <c r="E3109" s="328"/>
      <c r="F3109" s="327" t="s">
        <v>651</v>
      </c>
      <c r="G3109" s="331">
        <f>[2]Sheet1!$D$81</f>
        <v>30000000</v>
      </c>
    </row>
    <row r="3110" spans="1:7" ht="15.75" thickBot="1" x14ac:dyDescent="0.3">
      <c r="C3110" s="330"/>
      <c r="D3110" s="329"/>
      <c r="E3110" s="328"/>
      <c r="F3110" s="327" t="s">
        <v>650</v>
      </c>
      <c r="G3110" s="326">
        <f>+F3129-G3109</f>
        <v>-30000000</v>
      </c>
    </row>
    <row r="3111" spans="1:7" x14ac:dyDescent="0.25">
      <c r="A3111" s="571" t="s">
        <v>626</v>
      </c>
      <c r="B3111" s="573" t="s">
        <v>606</v>
      </c>
      <c r="C3111" s="588" t="s">
        <v>649</v>
      </c>
      <c r="D3111" s="577" t="s">
        <v>648</v>
      </c>
      <c r="E3111" s="577" t="s">
        <v>647</v>
      </c>
      <c r="F3111" s="577" t="s">
        <v>646</v>
      </c>
      <c r="G3111" s="580" t="s">
        <v>645</v>
      </c>
    </row>
    <row r="3112" spans="1:7" ht="15.75" thickBot="1" x14ac:dyDescent="0.3">
      <c r="A3112" s="572"/>
      <c r="B3112" s="574"/>
      <c r="C3112" s="589"/>
      <c r="D3112" s="586"/>
      <c r="E3112" s="586"/>
      <c r="F3112" s="586"/>
      <c r="G3112" s="587"/>
    </row>
    <row r="3113" spans="1:7" ht="15.75" thickBot="1" x14ac:dyDescent="0.3">
      <c r="A3113" s="325">
        <v>1</v>
      </c>
      <c r="B3113" s="324">
        <v>2</v>
      </c>
      <c r="C3113" s="324">
        <v>3</v>
      </c>
      <c r="D3113" s="324">
        <v>4</v>
      </c>
      <c r="E3113" s="324">
        <v>5</v>
      </c>
      <c r="F3113" s="324">
        <v>6</v>
      </c>
      <c r="G3113" s="323">
        <v>7</v>
      </c>
    </row>
    <row r="3114" spans="1:7" x14ac:dyDescent="0.25">
      <c r="A3114" s="339" t="str">
        <f t="shared" ref="A3114:A3128" si="91">$G$3107&amp;B3114</f>
        <v>I.2.2.02.0541</v>
      </c>
      <c r="B3114" s="339">
        <v>1</v>
      </c>
      <c r="C3114" s="394" t="str">
        <f>IFERROR(VLOOKUP(A3114,[3]DOORSCRIEFT!$A$2:$G$8551,2,FALSE),"")</f>
        <v/>
      </c>
      <c r="D3114" s="393" t="str">
        <f>IFERROR(VLOOKUP(A3114,[3]DOORSCRIEFT!$A$2:$G$8551,3,FALSE),"")</f>
        <v/>
      </c>
      <c r="E3114" s="392" t="str">
        <f>IFERROR(VLOOKUP(A3114,[3]DOORSCRIEFT!$A$2:$G$8551,4,FALSE),"")</f>
        <v/>
      </c>
      <c r="F3114" s="397" t="str">
        <f>IFERROR(VLOOKUP(A3114,[3]DOORSCRIEFT!$A$2:$G$8551,6,FALSE),"")</f>
        <v/>
      </c>
      <c r="G3114" s="322"/>
    </row>
    <row r="3115" spans="1:7" x14ac:dyDescent="0.25">
      <c r="A3115" s="319" t="str">
        <f t="shared" si="91"/>
        <v>I.2.2.02.0542</v>
      </c>
      <c r="B3115" s="319">
        <v>2</v>
      </c>
      <c r="C3115" s="394" t="str">
        <f>IFERROR(VLOOKUP(A3115,[3]DOORSCRIEFT!$A$2:$G$8551,2,FALSE),"")</f>
        <v/>
      </c>
      <c r="D3115" s="393" t="str">
        <f>IFERROR(VLOOKUP(A3115,[3]DOORSCRIEFT!$A$2:$G$8551,3,FALSE),"")</f>
        <v/>
      </c>
      <c r="E3115" s="392" t="str">
        <f>IFERROR(VLOOKUP(A3115,[3]DOORSCRIEFT!$A$2:$G$8551,4,FALSE),"")</f>
        <v/>
      </c>
      <c r="F3115" s="397" t="str">
        <f>IFERROR(VLOOKUP(A3115,[3]DOORSCRIEFT!$A$2:$G$8551,6,FALSE),"")</f>
        <v/>
      </c>
      <c r="G3115" s="315"/>
    </row>
    <row r="3116" spans="1:7" x14ac:dyDescent="0.25">
      <c r="A3116" s="319" t="str">
        <f t="shared" si="91"/>
        <v>I.2.2.02.0543</v>
      </c>
      <c r="B3116" s="319">
        <v>3</v>
      </c>
      <c r="C3116" s="394" t="str">
        <f>IFERROR(VLOOKUP(A3116,[3]DOORSCRIEFT!$A$2:$G$8551,2,FALSE),"")</f>
        <v/>
      </c>
      <c r="D3116" s="393" t="str">
        <f>IFERROR(VLOOKUP(A3116,[3]DOORSCRIEFT!$A$2:$G$8551,3,FALSE),"")</f>
        <v/>
      </c>
      <c r="E3116" s="392" t="str">
        <f>IFERROR(VLOOKUP(A3116,[3]DOORSCRIEFT!$A$2:$G$8551,4,FALSE),"")</f>
        <v/>
      </c>
      <c r="F3116" s="397" t="str">
        <f>IFERROR(VLOOKUP(A3116,[3]DOORSCRIEFT!$A$2:$G$8551,6,FALSE),"")</f>
        <v/>
      </c>
      <c r="G3116" s="315"/>
    </row>
    <row r="3117" spans="1:7" x14ac:dyDescent="0.25">
      <c r="A3117" s="319" t="str">
        <f t="shared" si="91"/>
        <v>I.2.2.02.0544</v>
      </c>
      <c r="B3117" s="319">
        <v>4</v>
      </c>
      <c r="C3117" s="394" t="str">
        <f>IFERROR(VLOOKUP(A3117,[3]DOORSCRIEFT!$A$2:$G$8551,2,FALSE),"")</f>
        <v/>
      </c>
      <c r="D3117" s="393" t="str">
        <f>IFERROR(VLOOKUP(A3117,[3]DOORSCRIEFT!$A$2:$G$8551,3,FALSE),"")</f>
        <v/>
      </c>
      <c r="E3117" s="392" t="str">
        <f>IFERROR(VLOOKUP(A3117,[3]DOORSCRIEFT!$A$2:$G$8551,4,FALSE),"")</f>
        <v/>
      </c>
      <c r="F3117" s="397" t="str">
        <f>IFERROR(VLOOKUP(A3117,[3]DOORSCRIEFT!$A$2:$G$8551,6,FALSE),"")</f>
        <v/>
      </c>
      <c r="G3117" s="315"/>
    </row>
    <row r="3118" spans="1:7" x14ac:dyDescent="0.25">
      <c r="A3118" s="319" t="str">
        <f t="shared" si="91"/>
        <v>I.2.2.02.0545</v>
      </c>
      <c r="B3118" s="319">
        <v>5</v>
      </c>
      <c r="C3118" s="394" t="str">
        <f>IFERROR(VLOOKUP(A3118,[3]DOORSCRIEFT!$A$2:$G$8551,2,FALSE),"")</f>
        <v/>
      </c>
      <c r="D3118" s="393" t="str">
        <f>IFERROR(VLOOKUP(A3118,[3]DOORSCRIEFT!$A$2:$G$8551,3,FALSE),"")</f>
        <v/>
      </c>
      <c r="E3118" s="392" t="str">
        <f>IFERROR(VLOOKUP(A3118,[3]DOORSCRIEFT!$A$2:$G$8551,4,FALSE),"")</f>
        <v/>
      </c>
      <c r="F3118" s="397" t="str">
        <f>IFERROR(VLOOKUP(A3118,[3]DOORSCRIEFT!$A$2:$G$8551,6,FALSE),"")</f>
        <v/>
      </c>
      <c r="G3118" s="315"/>
    </row>
    <row r="3119" spans="1:7" x14ac:dyDescent="0.25">
      <c r="A3119" s="319" t="str">
        <f t="shared" si="91"/>
        <v>I.2.2.02.0546</v>
      </c>
      <c r="B3119" s="319">
        <v>6</v>
      </c>
      <c r="C3119" s="394" t="str">
        <f>IFERROR(VLOOKUP(A3119,[3]DOORSCRIEFT!$A$2:$G$8551,2,FALSE),"")</f>
        <v/>
      </c>
      <c r="D3119" s="393" t="str">
        <f>IFERROR(VLOOKUP(A3119,[3]DOORSCRIEFT!$A$2:$G$8551,3,FALSE),"")</f>
        <v/>
      </c>
      <c r="E3119" s="392" t="str">
        <f>IFERROR(VLOOKUP(A3119,[3]DOORSCRIEFT!$A$2:$G$8551,4,FALSE),"")</f>
        <v/>
      </c>
      <c r="F3119" s="397" t="str">
        <f>IFERROR(VLOOKUP(A3119,[3]DOORSCRIEFT!$A$2:$G$8551,6,FALSE),"")</f>
        <v/>
      </c>
      <c r="G3119" s="315"/>
    </row>
    <row r="3120" spans="1:7" x14ac:dyDescent="0.25">
      <c r="A3120" s="319" t="str">
        <f t="shared" si="91"/>
        <v>I.2.2.02.0547</v>
      </c>
      <c r="B3120" s="319">
        <v>7</v>
      </c>
      <c r="C3120" s="394" t="str">
        <f>IFERROR(VLOOKUP(A3120,[3]DOORSCRIEFT!$A$2:$G$8551,2,FALSE),"")</f>
        <v/>
      </c>
      <c r="D3120" s="393" t="str">
        <f>IFERROR(VLOOKUP(A3120,[3]DOORSCRIEFT!$A$2:$G$8551,3,FALSE),"")</f>
        <v/>
      </c>
      <c r="E3120" s="392" t="str">
        <f>IFERROR(VLOOKUP(A3120,[3]DOORSCRIEFT!$A$2:$G$8551,4,FALSE),"")</f>
        <v/>
      </c>
      <c r="F3120" s="397" t="str">
        <f>IFERROR(VLOOKUP(A3120,[3]DOORSCRIEFT!$A$2:$G$8551,6,FALSE),"")</f>
        <v/>
      </c>
      <c r="G3120" s="315"/>
    </row>
    <row r="3121" spans="1:7" x14ac:dyDescent="0.25">
      <c r="A3121" s="319" t="str">
        <f t="shared" si="91"/>
        <v>I.2.2.02.0548</v>
      </c>
      <c r="B3121" s="319">
        <v>8</v>
      </c>
      <c r="C3121" s="394" t="str">
        <f>IFERROR(VLOOKUP(A3121,[3]DOORSCRIEFT!$A$2:$G$8551,2,FALSE),"")</f>
        <v/>
      </c>
      <c r="D3121" s="393" t="str">
        <f>IFERROR(VLOOKUP(A3121,[3]DOORSCRIEFT!$A$2:$G$8551,3,FALSE),"")</f>
        <v/>
      </c>
      <c r="E3121" s="392" t="str">
        <f>IFERROR(VLOOKUP(A3121,[3]DOORSCRIEFT!$A$2:$G$8551,4,FALSE),"")</f>
        <v/>
      </c>
      <c r="F3121" s="397" t="str">
        <f>IFERROR(VLOOKUP(A3121,[3]DOORSCRIEFT!$A$2:$G$8551,6,FALSE),"")</f>
        <v/>
      </c>
      <c r="G3121" s="315"/>
    </row>
    <row r="3122" spans="1:7" x14ac:dyDescent="0.25">
      <c r="A3122" s="319" t="str">
        <f t="shared" si="91"/>
        <v>I.2.2.02.0549</v>
      </c>
      <c r="B3122" s="319">
        <v>9</v>
      </c>
      <c r="C3122" s="394" t="str">
        <f>IFERROR(VLOOKUP(A3122,[3]DOORSCRIEFT!$A$2:$G$8551,2,FALSE),"")</f>
        <v/>
      </c>
      <c r="D3122" s="393" t="str">
        <f>IFERROR(VLOOKUP(A3122,[3]DOORSCRIEFT!$A$2:$G$8551,3,FALSE),"")</f>
        <v/>
      </c>
      <c r="E3122" s="392" t="str">
        <f>IFERROR(VLOOKUP(A3122,[3]DOORSCRIEFT!$A$2:$G$8551,4,FALSE),"")</f>
        <v/>
      </c>
      <c r="F3122" s="397" t="str">
        <f>IFERROR(VLOOKUP(A3122,[3]DOORSCRIEFT!$A$2:$G$8551,6,FALSE),"")</f>
        <v/>
      </c>
      <c r="G3122" s="315"/>
    </row>
    <row r="3123" spans="1:7" x14ac:dyDescent="0.25">
      <c r="A3123" s="319" t="str">
        <f t="shared" si="91"/>
        <v>I.2.2.02.05410</v>
      </c>
      <c r="B3123" s="319">
        <v>10</v>
      </c>
      <c r="C3123" s="394" t="str">
        <f>IFERROR(VLOOKUP(A3123,[3]DOORSCRIEFT!$A$2:$G$8551,2,FALSE),"")</f>
        <v/>
      </c>
      <c r="D3123" s="393" t="str">
        <f>IFERROR(VLOOKUP(A3123,[3]DOORSCRIEFT!$A$2:$G$8551,3,FALSE),"")</f>
        <v/>
      </c>
      <c r="E3123" s="392" t="str">
        <f>IFERROR(VLOOKUP(A3123,[3]DOORSCRIEFT!$A$2:$G$8551,4,FALSE),"")</f>
        <v/>
      </c>
      <c r="F3123" s="397" t="str">
        <f>IFERROR(VLOOKUP(A3123,[3]DOORSCRIEFT!$A$2:$G$8551,6,FALSE),"")</f>
        <v/>
      </c>
      <c r="G3123" s="315"/>
    </row>
    <row r="3124" spans="1:7" x14ac:dyDescent="0.25">
      <c r="A3124" s="319" t="str">
        <f t="shared" si="91"/>
        <v>I.2.2.02.05411</v>
      </c>
      <c r="B3124" s="319">
        <v>11</v>
      </c>
      <c r="C3124" s="394" t="str">
        <f>IFERROR(VLOOKUP(A3124,[3]DOORSCRIEFT!$A$2:$G$8551,2,FALSE),"")</f>
        <v/>
      </c>
      <c r="D3124" s="393" t="str">
        <f>IFERROR(VLOOKUP(A3124,[3]DOORSCRIEFT!$A$2:$G$8551,3,FALSE),"")</f>
        <v/>
      </c>
      <c r="E3124" s="392" t="str">
        <f>IFERROR(VLOOKUP(A3124,[3]DOORSCRIEFT!$A$2:$G$8551,4,FALSE),"")</f>
        <v/>
      </c>
      <c r="F3124" s="397" t="str">
        <f>IFERROR(VLOOKUP(A3124,[3]DOORSCRIEFT!$A$2:$G$8551,6,FALSE),"")</f>
        <v/>
      </c>
      <c r="G3124" s="315"/>
    </row>
    <row r="3125" spans="1:7" x14ac:dyDescent="0.25">
      <c r="A3125" s="319" t="str">
        <f t="shared" si="91"/>
        <v>I.2.2.02.05412</v>
      </c>
      <c r="B3125" s="319">
        <v>12</v>
      </c>
      <c r="C3125" s="394" t="str">
        <f>IFERROR(VLOOKUP(A3125,[3]DOORSCRIEFT!$A$2:$G$8551,2,FALSE),"")</f>
        <v/>
      </c>
      <c r="D3125" s="393" t="str">
        <f>IFERROR(VLOOKUP(A3125,[3]DOORSCRIEFT!$A$2:$G$8551,3,FALSE),"")</f>
        <v/>
      </c>
      <c r="E3125" s="392" t="str">
        <f>IFERROR(VLOOKUP(A3125,[3]DOORSCRIEFT!$A$2:$G$8551,4,FALSE),"")</f>
        <v/>
      </c>
      <c r="F3125" s="397" t="str">
        <f>IFERROR(VLOOKUP(A3125,[3]DOORSCRIEFT!$A$2:$G$8551,6,FALSE),"")</f>
        <v/>
      </c>
      <c r="G3125" s="315"/>
    </row>
    <row r="3126" spans="1:7" x14ac:dyDescent="0.25">
      <c r="A3126" s="319" t="str">
        <f t="shared" si="91"/>
        <v>I.2.2.02.05413</v>
      </c>
      <c r="B3126" s="319">
        <v>13</v>
      </c>
      <c r="C3126" s="394" t="str">
        <f>IFERROR(VLOOKUP(A3126,[3]DOORSCRIEFT!$A$2:$G$8551,2,FALSE),"")</f>
        <v/>
      </c>
      <c r="D3126" s="393" t="str">
        <f>IFERROR(VLOOKUP(A3126,[3]DOORSCRIEFT!$A$2:$G$8551,3,FALSE),"")</f>
        <v/>
      </c>
      <c r="E3126" s="392" t="str">
        <f>IFERROR(VLOOKUP(A3126,[3]DOORSCRIEFT!$A$2:$G$8551,4,FALSE),"")</f>
        <v/>
      </c>
      <c r="F3126" s="397" t="str">
        <f>IFERROR(VLOOKUP(A3126,[3]DOORSCRIEFT!$A$2:$G$8551,6,FALSE),"")</f>
        <v/>
      </c>
      <c r="G3126" s="315"/>
    </row>
    <row r="3127" spans="1:7" x14ac:dyDescent="0.25">
      <c r="A3127" s="319" t="str">
        <f t="shared" si="91"/>
        <v>I.2.2.02.05414</v>
      </c>
      <c r="B3127" s="319">
        <v>14</v>
      </c>
      <c r="C3127" s="394" t="str">
        <f>IFERROR(VLOOKUP(A3127,[3]DOORSCRIEFT!$A$2:$G$8551,2,FALSE),"")</f>
        <v/>
      </c>
      <c r="D3127" s="393" t="str">
        <f>IFERROR(VLOOKUP(A3127,[3]DOORSCRIEFT!$A$2:$G$8551,3,FALSE),"")</f>
        <v/>
      </c>
      <c r="E3127" s="392" t="str">
        <f>IFERROR(VLOOKUP(A3127,[3]DOORSCRIEFT!$A$2:$G$8551,4,FALSE),"")</f>
        <v/>
      </c>
      <c r="F3127" s="397" t="str">
        <f>IFERROR(VLOOKUP(A3127,[3]DOORSCRIEFT!$A$2:$G$8551,6,FALSE),"")</f>
        <v/>
      </c>
      <c r="G3127" s="315"/>
    </row>
    <row r="3128" spans="1:7" ht="15.75" thickBot="1" x14ac:dyDescent="0.3">
      <c r="A3128" s="345" t="str">
        <f t="shared" si="91"/>
        <v>I.2.2.02.05415</v>
      </c>
      <c r="B3128" s="345">
        <v>15</v>
      </c>
      <c r="C3128" s="394" t="str">
        <f>IFERROR(VLOOKUP(A3128,[3]DOORSCRIEFT!$A$2:$G$8551,2,FALSE),"")</f>
        <v/>
      </c>
      <c r="D3128" s="393" t="str">
        <f>IFERROR(VLOOKUP(A3128,[3]DOORSCRIEFT!$A$2:$G$8551,3,FALSE),"")</f>
        <v/>
      </c>
      <c r="E3128" s="392" t="str">
        <f>IFERROR(VLOOKUP(A3128,[3]DOORSCRIEFT!$A$2:$G$8551,4,FALSE),"")</f>
        <v/>
      </c>
      <c r="F3128" s="397" t="str">
        <f>IFERROR(VLOOKUP(A3128,[3]DOORSCRIEFT!$A$2:$G$8551,6,FALSE),"")</f>
        <v/>
      </c>
      <c r="G3128" s="315"/>
    </row>
    <row r="3129" spans="1:7" ht="15.75" thickBot="1" x14ac:dyDescent="0.3">
      <c r="A3129" s="344"/>
      <c r="B3129" s="343"/>
      <c r="C3129" s="336"/>
      <c r="D3129" s="312"/>
      <c r="E3129" s="311" t="s">
        <v>644</v>
      </c>
      <c r="F3129" s="310">
        <f>SUM(F3114:F3128)</f>
        <v>0</v>
      </c>
      <c r="G3129" s="309">
        <f>SUM(G3114:G3128)</f>
        <v>0</v>
      </c>
    </row>
    <row r="3130" spans="1:7" x14ac:dyDescent="0.25">
      <c r="C3130" s="335"/>
    </row>
    <row r="3131" spans="1:7" x14ac:dyDescent="0.25">
      <c r="C3131" s="335"/>
    </row>
    <row r="3132" spans="1:7" ht="15.75" x14ac:dyDescent="0.25">
      <c r="C3132" s="334"/>
      <c r="D3132" s="333"/>
      <c r="E3132" s="332"/>
      <c r="F3132" s="327" t="s">
        <v>607</v>
      </c>
      <c r="G3132" s="327" t="s">
        <v>438</v>
      </c>
    </row>
    <row r="3133" spans="1:7" ht="15.75" x14ac:dyDescent="0.25">
      <c r="C3133" s="334"/>
      <c r="D3133" s="333"/>
      <c r="E3133" s="332"/>
      <c r="F3133" s="327" t="s">
        <v>601</v>
      </c>
      <c r="G3133" s="327" t="s">
        <v>437</v>
      </c>
    </row>
    <row r="3134" spans="1:7" x14ac:dyDescent="0.25">
      <c r="C3134" s="330"/>
      <c r="D3134" s="329"/>
      <c r="E3134" s="328"/>
      <c r="F3134" s="327" t="s">
        <v>651</v>
      </c>
      <c r="G3134" s="331">
        <f>[2]Sheet1!$D$82</f>
        <v>0</v>
      </c>
    </row>
    <row r="3135" spans="1:7" ht="15.75" thickBot="1" x14ac:dyDescent="0.3">
      <c r="C3135" s="330"/>
      <c r="D3135" s="329"/>
      <c r="E3135" s="328"/>
      <c r="F3135" s="327" t="s">
        <v>650</v>
      </c>
      <c r="G3135" s="326">
        <f>+F3154-G3134</f>
        <v>0</v>
      </c>
    </row>
    <row r="3136" spans="1:7" x14ac:dyDescent="0.25">
      <c r="A3136" s="571" t="s">
        <v>626</v>
      </c>
      <c r="B3136" s="584" t="s">
        <v>606</v>
      </c>
      <c r="C3136" s="588" t="s">
        <v>649</v>
      </c>
      <c r="D3136" s="577" t="s">
        <v>648</v>
      </c>
      <c r="E3136" s="577" t="s">
        <v>647</v>
      </c>
      <c r="F3136" s="577" t="s">
        <v>646</v>
      </c>
      <c r="G3136" s="580" t="s">
        <v>645</v>
      </c>
    </row>
    <row r="3137" spans="1:7" ht="15.75" thickBot="1" x14ac:dyDescent="0.3">
      <c r="A3137" s="572"/>
      <c r="B3137" s="585"/>
      <c r="C3137" s="589"/>
      <c r="D3137" s="586"/>
      <c r="E3137" s="586"/>
      <c r="F3137" s="586"/>
      <c r="G3137" s="587"/>
    </row>
    <row r="3138" spans="1:7" ht="15.75" thickBot="1" x14ac:dyDescent="0.3">
      <c r="A3138" s="325">
        <v>1</v>
      </c>
      <c r="B3138" s="324">
        <v>2</v>
      </c>
      <c r="C3138" s="324">
        <v>3</v>
      </c>
      <c r="D3138" s="324">
        <v>4</v>
      </c>
      <c r="E3138" s="324">
        <v>5</v>
      </c>
      <c r="F3138" s="324">
        <v>6</v>
      </c>
      <c r="G3138" s="323">
        <v>7</v>
      </c>
    </row>
    <row r="3139" spans="1:7" x14ac:dyDescent="0.25">
      <c r="A3139" s="339" t="str">
        <f t="shared" ref="A3139:A3153" si="92">$G$3132&amp;B3139</f>
        <v>I.2.2.02.0551</v>
      </c>
      <c r="B3139" s="339">
        <v>1</v>
      </c>
      <c r="C3139" s="394" t="str">
        <f>IFERROR(VLOOKUP(A3139,[3]DOORSCRIEFT!$A$2:$G$8551,2,FALSE),"")</f>
        <v/>
      </c>
      <c r="D3139" s="393" t="str">
        <f>IFERROR(VLOOKUP(A3139,[3]DOORSCRIEFT!$A$2:$G$8551,3,FALSE),"")</f>
        <v/>
      </c>
      <c r="E3139" s="392" t="str">
        <f>IFERROR(VLOOKUP(A3139,[3]DOORSCRIEFT!$A$2:$G$8551,4,FALSE),"")</f>
        <v/>
      </c>
      <c r="F3139" s="397" t="str">
        <f>IFERROR(VLOOKUP(A3139,[3]DOORSCRIEFT!$A$2:$G$8551,6,FALSE),"")</f>
        <v/>
      </c>
      <c r="G3139" s="322"/>
    </row>
    <row r="3140" spans="1:7" x14ac:dyDescent="0.25">
      <c r="A3140" s="339" t="str">
        <f t="shared" si="92"/>
        <v>I.2.2.02.0552</v>
      </c>
      <c r="B3140" s="319">
        <v>2</v>
      </c>
      <c r="C3140" s="394" t="str">
        <f>IFERROR(VLOOKUP(A3140,[3]DOORSCRIEFT!$A$2:$G$8551,2,FALSE),"")</f>
        <v/>
      </c>
      <c r="D3140" s="393" t="str">
        <f>IFERROR(VLOOKUP(A3140,[3]DOORSCRIEFT!$A$2:$G$8551,3,FALSE),"")</f>
        <v/>
      </c>
      <c r="E3140" s="392" t="str">
        <f>IFERROR(VLOOKUP(A3140,[3]DOORSCRIEFT!$A$2:$G$8551,4,FALSE),"")</f>
        <v/>
      </c>
      <c r="F3140" s="397" t="str">
        <f>IFERROR(VLOOKUP(A3140,[3]DOORSCRIEFT!$A$2:$G$8551,6,FALSE),"")</f>
        <v/>
      </c>
      <c r="G3140" s="315"/>
    </row>
    <row r="3141" spans="1:7" x14ac:dyDescent="0.25">
      <c r="A3141" s="339" t="str">
        <f t="shared" si="92"/>
        <v>I.2.2.02.0553</v>
      </c>
      <c r="B3141" s="319">
        <v>3</v>
      </c>
      <c r="C3141" s="394" t="str">
        <f>IFERROR(VLOOKUP(A3141,[3]DOORSCRIEFT!$A$2:$G$8551,2,FALSE),"")</f>
        <v/>
      </c>
      <c r="D3141" s="393" t="str">
        <f>IFERROR(VLOOKUP(A3141,[3]DOORSCRIEFT!$A$2:$G$8551,3,FALSE),"")</f>
        <v/>
      </c>
      <c r="E3141" s="392" t="str">
        <f>IFERROR(VLOOKUP(A3141,[3]DOORSCRIEFT!$A$2:$G$8551,4,FALSE),"")</f>
        <v/>
      </c>
      <c r="F3141" s="397" t="str">
        <f>IFERROR(VLOOKUP(A3141,[3]DOORSCRIEFT!$A$2:$G$8551,6,FALSE),"")</f>
        <v/>
      </c>
      <c r="G3141" s="315"/>
    </row>
    <row r="3142" spans="1:7" x14ac:dyDescent="0.25">
      <c r="A3142" s="339" t="str">
        <f t="shared" si="92"/>
        <v>I.2.2.02.0554</v>
      </c>
      <c r="B3142" s="319">
        <v>4</v>
      </c>
      <c r="C3142" s="394" t="str">
        <f>IFERROR(VLOOKUP(A3142,[3]DOORSCRIEFT!$A$2:$G$8551,2,FALSE),"")</f>
        <v/>
      </c>
      <c r="D3142" s="393" t="str">
        <f>IFERROR(VLOOKUP(A3142,[3]DOORSCRIEFT!$A$2:$G$8551,3,FALSE),"")</f>
        <v/>
      </c>
      <c r="E3142" s="392" t="str">
        <f>IFERROR(VLOOKUP(A3142,[3]DOORSCRIEFT!$A$2:$G$8551,4,FALSE),"")</f>
        <v/>
      </c>
      <c r="F3142" s="397" t="str">
        <f>IFERROR(VLOOKUP(A3142,[3]DOORSCRIEFT!$A$2:$G$8551,6,FALSE),"")</f>
        <v/>
      </c>
      <c r="G3142" s="315"/>
    </row>
    <row r="3143" spans="1:7" x14ac:dyDescent="0.25">
      <c r="A3143" s="339" t="str">
        <f t="shared" si="92"/>
        <v>I.2.2.02.0555</v>
      </c>
      <c r="B3143" s="319">
        <v>5</v>
      </c>
      <c r="C3143" s="394" t="str">
        <f>IFERROR(VLOOKUP(A3143,[3]DOORSCRIEFT!$A$2:$G$8551,2,FALSE),"")</f>
        <v/>
      </c>
      <c r="D3143" s="393" t="str">
        <f>IFERROR(VLOOKUP(A3143,[3]DOORSCRIEFT!$A$2:$G$8551,3,FALSE),"")</f>
        <v/>
      </c>
      <c r="E3143" s="392" t="str">
        <f>IFERROR(VLOOKUP(A3143,[3]DOORSCRIEFT!$A$2:$G$8551,4,FALSE),"")</f>
        <v/>
      </c>
      <c r="F3143" s="397" t="str">
        <f>IFERROR(VLOOKUP(A3143,[3]DOORSCRIEFT!$A$2:$G$8551,6,FALSE),"")</f>
        <v/>
      </c>
      <c r="G3143" s="315"/>
    </row>
    <row r="3144" spans="1:7" x14ac:dyDescent="0.25">
      <c r="A3144" s="339" t="str">
        <f t="shared" si="92"/>
        <v>I.2.2.02.0556</v>
      </c>
      <c r="B3144" s="319">
        <v>6</v>
      </c>
      <c r="C3144" s="394" t="str">
        <f>IFERROR(VLOOKUP(A3144,[3]DOORSCRIEFT!$A$2:$G$8551,2,FALSE),"")</f>
        <v/>
      </c>
      <c r="D3144" s="393" t="str">
        <f>IFERROR(VLOOKUP(A3144,[3]DOORSCRIEFT!$A$2:$G$8551,3,FALSE),"")</f>
        <v/>
      </c>
      <c r="E3144" s="392" t="str">
        <f>IFERROR(VLOOKUP(A3144,[3]DOORSCRIEFT!$A$2:$G$8551,4,FALSE),"")</f>
        <v/>
      </c>
      <c r="F3144" s="397" t="str">
        <f>IFERROR(VLOOKUP(A3144,[3]DOORSCRIEFT!$A$2:$G$8551,6,FALSE),"")</f>
        <v/>
      </c>
      <c r="G3144" s="315"/>
    </row>
    <row r="3145" spans="1:7" x14ac:dyDescent="0.25">
      <c r="A3145" s="339" t="str">
        <f t="shared" si="92"/>
        <v>I.2.2.02.0557</v>
      </c>
      <c r="B3145" s="319">
        <v>7</v>
      </c>
      <c r="C3145" s="394" t="str">
        <f>IFERROR(VLOOKUP(A3145,[3]DOORSCRIEFT!$A$2:$G$8551,2,FALSE),"")</f>
        <v/>
      </c>
      <c r="D3145" s="393" t="str">
        <f>IFERROR(VLOOKUP(A3145,[3]DOORSCRIEFT!$A$2:$G$8551,3,FALSE),"")</f>
        <v/>
      </c>
      <c r="E3145" s="392" t="str">
        <f>IFERROR(VLOOKUP(A3145,[3]DOORSCRIEFT!$A$2:$G$8551,4,FALSE),"")</f>
        <v/>
      </c>
      <c r="F3145" s="397" t="str">
        <f>IFERROR(VLOOKUP(A3145,[3]DOORSCRIEFT!$A$2:$G$8551,6,FALSE),"")</f>
        <v/>
      </c>
      <c r="G3145" s="315"/>
    </row>
    <row r="3146" spans="1:7" x14ac:dyDescent="0.25">
      <c r="A3146" s="339" t="str">
        <f t="shared" si="92"/>
        <v>I.2.2.02.0558</v>
      </c>
      <c r="B3146" s="319">
        <v>8</v>
      </c>
      <c r="C3146" s="394" t="str">
        <f>IFERROR(VLOOKUP(A3146,[3]DOORSCRIEFT!$A$2:$G$8551,2,FALSE),"")</f>
        <v/>
      </c>
      <c r="D3146" s="393" t="str">
        <f>IFERROR(VLOOKUP(A3146,[3]DOORSCRIEFT!$A$2:$G$8551,3,FALSE),"")</f>
        <v/>
      </c>
      <c r="E3146" s="392" t="str">
        <f>IFERROR(VLOOKUP(A3146,[3]DOORSCRIEFT!$A$2:$G$8551,4,FALSE),"")</f>
        <v/>
      </c>
      <c r="F3146" s="397" t="str">
        <f>IFERROR(VLOOKUP(A3146,[3]DOORSCRIEFT!$A$2:$G$8551,6,FALSE),"")</f>
        <v/>
      </c>
      <c r="G3146" s="315"/>
    </row>
    <row r="3147" spans="1:7" x14ac:dyDescent="0.25">
      <c r="A3147" s="339" t="str">
        <f t="shared" si="92"/>
        <v>I.2.2.02.0559</v>
      </c>
      <c r="B3147" s="319">
        <v>9</v>
      </c>
      <c r="C3147" s="394" t="str">
        <f>IFERROR(VLOOKUP(A3147,[3]DOORSCRIEFT!$A$2:$G$8551,2,FALSE),"")</f>
        <v/>
      </c>
      <c r="D3147" s="393" t="str">
        <f>IFERROR(VLOOKUP(A3147,[3]DOORSCRIEFT!$A$2:$G$8551,3,FALSE),"")</f>
        <v/>
      </c>
      <c r="E3147" s="392" t="str">
        <f>IFERROR(VLOOKUP(A3147,[3]DOORSCRIEFT!$A$2:$G$8551,4,FALSE),"")</f>
        <v/>
      </c>
      <c r="F3147" s="397" t="str">
        <f>IFERROR(VLOOKUP(A3147,[3]DOORSCRIEFT!$A$2:$G$8551,6,FALSE),"")</f>
        <v/>
      </c>
      <c r="G3147" s="315"/>
    </row>
    <row r="3148" spans="1:7" x14ac:dyDescent="0.25">
      <c r="A3148" s="339" t="str">
        <f t="shared" si="92"/>
        <v>I.2.2.02.05510</v>
      </c>
      <c r="B3148" s="319">
        <v>10</v>
      </c>
      <c r="C3148" s="394" t="str">
        <f>IFERROR(VLOOKUP(A3148,[3]DOORSCRIEFT!$A$2:$G$8551,2,FALSE),"")</f>
        <v/>
      </c>
      <c r="D3148" s="393" t="str">
        <f>IFERROR(VLOOKUP(A3148,[3]DOORSCRIEFT!$A$2:$G$8551,3,FALSE),"")</f>
        <v/>
      </c>
      <c r="E3148" s="392" t="str">
        <f>IFERROR(VLOOKUP(A3148,[3]DOORSCRIEFT!$A$2:$G$8551,4,FALSE),"")</f>
        <v/>
      </c>
      <c r="F3148" s="397" t="str">
        <f>IFERROR(VLOOKUP(A3148,[3]DOORSCRIEFT!$A$2:$G$8551,6,FALSE),"")</f>
        <v/>
      </c>
      <c r="G3148" s="315"/>
    </row>
    <row r="3149" spans="1:7" x14ac:dyDescent="0.25">
      <c r="A3149" s="339" t="str">
        <f t="shared" si="92"/>
        <v>I.2.2.02.05511</v>
      </c>
      <c r="B3149" s="319">
        <v>11</v>
      </c>
      <c r="C3149" s="394" t="str">
        <f>IFERROR(VLOOKUP(A3149,[3]DOORSCRIEFT!$A$2:$G$8551,2,FALSE),"")</f>
        <v/>
      </c>
      <c r="D3149" s="393" t="str">
        <f>IFERROR(VLOOKUP(A3149,[3]DOORSCRIEFT!$A$2:$G$8551,3,FALSE),"")</f>
        <v/>
      </c>
      <c r="E3149" s="392" t="str">
        <f>IFERROR(VLOOKUP(A3149,[3]DOORSCRIEFT!$A$2:$G$8551,4,FALSE),"")</f>
        <v/>
      </c>
      <c r="F3149" s="397" t="str">
        <f>IFERROR(VLOOKUP(A3149,[3]DOORSCRIEFT!$A$2:$G$8551,6,FALSE),"")</f>
        <v/>
      </c>
      <c r="G3149" s="315"/>
    </row>
    <row r="3150" spans="1:7" x14ac:dyDescent="0.25">
      <c r="A3150" s="339" t="str">
        <f t="shared" si="92"/>
        <v>I.2.2.02.05512</v>
      </c>
      <c r="B3150" s="319">
        <v>12</v>
      </c>
      <c r="C3150" s="394" t="str">
        <f>IFERROR(VLOOKUP(A3150,[3]DOORSCRIEFT!$A$2:$G$8551,2,FALSE),"")</f>
        <v/>
      </c>
      <c r="D3150" s="393" t="str">
        <f>IFERROR(VLOOKUP(A3150,[3]DOORSCRIEFT!$A$2:$G$8551,3,FALSE),"")</f>
        <v/>
      </c>
      <c r="E3150" s="392" t="str">
        <f>IFERROR(VLOOKUP(A3150,[3]DOORSCRIEFT!$A$2:$G$8551,4,FALSE),"")</f>
        <v/>
      </c>
      <c r="F3150" s="397" t="str">
        <f>IFERROR(VLOOKUP(A3150,[3]DOORSCRIEFT!$A$2:$G$8551,6,FALSE),"")</f>
        <v/>
      </c>
      <c r="G3150" s="315"/>
    </row>
    <row r="3151" spans="1:7" x14ac:dyDescent="0.25">
      <c r="A3151" s="339" t="str">
        <f t="shared" si="92"/>
        <v>I.2.2.02.05513</v>
      </c>
      <c r="B3151" s="319">
        <v>13</v>
      </c>
      <c r="C3151" s="394" t="str">
        <f>IFERROR(VLOOKUP(A3151,[3]DOORSCRIEFT!$A$2:$G$8551,2,FALSE),"")</f>
        <v/>
      </c>
      <c r="D3151" s="393" t="str">
        <f>IFERROR(VLOOKUP(A3151,[3]DOORSCRIEFT!$A$2:$G$8551,3,FALSE),"")</f>
        <v/>
      </c>
      <c r="E3151" s="392" t="str">
        <f>IFERROR(VLOOKUP(A3151,[3]DOORSCRIEFT!$A$2:$G$8551,4,FALSE),"")</f>
        <v/>
      </c>
      <c r="F3151" s="397" t="str">
        <f>IFERROR(VLOOKUP(A3151,[3]DOORSCRIEFT!$A$2:$G$8551,6,FALSE),"")</f>
        <v/>
      </c>
      <c r="G3151" s="315"/>
    </row>
    <row r="3152" spans="1:7" x14ac:dyDescent="0.25">
      <c r="A3152" s="339" t="str">
        <f t="shared" si="92"/>
        <v>I.2.2.02.05514</v>
      </c>
      <c r="B3152" s="319">
        <v>14</v>
      </c>
      <c r="C3152" s="394" t="str">
        <f>IFERROR(VLOOKUP(A3152,[3]DOORSCRIEFT!$A$2:$G$8551,2,FALSE),"")</f>
        <v/>
      </c>
      <c r="D3152" s="393" t="str">
        <f>IFERROR(VLOOKUP(A3152,[3]DOORSCRIEFT!$A$2:$G$8551,3,FALSE),"")</f>
        <v/>
      </c>
      <c r="E3152" s="392" t="str">
        <f>IFERROR(VLOOKUP(A3152,[3]DOORSCRIEFT!$A$2:$G$8551,4,FALSE),"")</f>
        <v/>
      </c>
      <c r="F3152" s="397" t="str">
        <f>IFERROR(VLOOKUP(A3152,[3]DOORSCRIEFT!$A$2:$G$8551,6,FALSE),"")</f>
        <v/>
      </c>
      <c r="G3152" s="315"/>
    </row>
    <row r="3153" spans="1:7" ht="15.75" thickBot="1" x14ac:dyDescent="0.3">
      <c r="A3153" s="353" t="str">
        <f t="shared" si="92"/>
        <v>I.2.2.02.05515</v>
      </c>
      <c r="B3153" s="345">
        <v>15</v>
      </c>
      <c r="C3153" s="394" t="str">
        <f>IFERROR(VLOOKUP(A3153,[3]DOORSCRIEFT!$A$2:$G$8551,2,FALSE),"")</f>
        <v/>
      </c>
      <c r="D3153" s="393" t="str">
        <f>IFERROR(VLOOKUP(A3153,[3]DOORSCRIEFT!$A$2:$G$8551,3,FALSE),"")</f>
        <v/>
      </c>
      <c r="E3153" s="392" t="str">
        <f>IFERROR(VLOOKUP(A3153,[3]DOORSCRIEFT!$A$2:$G$8551,4,FALSE),"")</f>
        <v/>
      </c>
      <c r="F3153" s="397" t="str">
        <f>IFERROR(VLOOKUP(A3153,[3]DOORSCRIEFT!$A$2:$G$8551,6,FALSE),"")</f>
        <v/>
      </c>
      <c r="G3153" s="315"/>
    </row>
    <row r="3154" spans="1:7" ht="15.75" thickBot="1" x14ac:dyDescent="0.3">
      <c r="A3154" s="344"/>
      <c r="B3154" s="343"/>
      <c r="C3154" s="336"/>
      <c r="D3154" s="312"/>
      <c r="E3154" s="311" t="s">
        <v>644</v>
      </c>
      <c r="F3154" s="310">
        <f>SUM(F3139:F3153)</f>
        <v>0</v>
      </c>
      <c r="G3154" s="309">
        <f>SUM(G3139:G3153)</f>
        <v>0</v>
      </c>
    </row>
    <row r="3155" spans="1:7" x14ac:dyDescent="0.25">
      <c r="C3155" s="335"/>
    </row>
    <row r="3156" spans="1:7" x14ac:dyDescent="0.25">
      <c r="C3156" s="335"/>
    </row>
    <row r="3157" spans="1:7" ht="15.75" x14ac:dyDescent="0.25">
      <c r="C3157" s="334"/>
      <c r="D3157" s="333"/>
      <c r="E3157" s="332"/>
      <c r="F3157" s="327" t="s">
        <v>607</v>
      </c>
      <c r="G3157" s="327" t="s">
        <v>436</v>
      </c>
    </row>
    <row r="3158" spans="1:7" ht="15.75" x14ac:dyDescent="0.25">
      <c r="C3158" s="334"/>
      <c r="D3158" s="333"/>
      <c r="E3158" s="332"/>
      <c r="F3158" s="327" t="s">
        <v>601</v>
      </c>
      <c r="G3158" s="327" t="s">
        <v>435</v>
      </c>
    </row>
    <row r="3159" spans="1:7" x14ac:dyDescent="0.25">
      <c r="C3159" s="330"/>
      <c r="D3159" s="329"/>
      <c r="E3159" s="328"/>
      <c r="F3159" s="327" t="s">
        <v>651</v>
      </c>
      <c r="G3159" s="331">
        <f>[2]Sheet1!$D$83</f>
        <v>5000000</v>
      </c>
    </row>
    <row r="3160" spans="1:7" ht="15.75" thickBot="1" x14ac:dyDescent="0.3">
      <c r="C3160" s="330"/>
      <c r="D3160" s="329"/>
      <c r="E3160" s="328"/>
      <c r="F3160" s="327" t="s">
        <v>650</v>
      </c>
      <c r="G3160" s="326">
        <f>+F3179-G3159</f>
        <v>-5000000</v>
      </c>
    </row>
    <row r="3161" spans="1:7" x14ac:dyDescent="0.25">
      <c r="A3161" s="571" t="s">
        <v>626</v>
      </c>
      <c r="B3161" s="573" t="s">
        <v>606</v>
      </c>
      <c r="C3161" s="588" t="s">
        <v>649</v>
      </c>
      <c r="D3161" s="577" t="s">
        <v>648</v>
      </c>
      <c r="E3161" s="577" t="s">
        <v>647</v>
      </c>
      <c r="F3161" s="577" t="s">
        <v>646</v>
      </c>
      <c r="G3161" s="580" t="s">
        <v>645</v>
      </c>
    </row>
    <row r="3162" spans="1:7" ht="15.75" thickBot="1" x14ac:dyDescent="0.3">
      <c r="A3162" s="572"/>
      <c r="B3162" s="574"/>
      <c r="C3162" s="589"/>
      <c r="D3162" s="586"/>
      <c r="E3162" s="586"/>
      <c r="F3162" s="586"/>
      <c r="G3162" s="587"/>
    </row>
    <row r="3163" spans="1:7" ht="15.75" thickBot="1" x14ac:dyDescent="0.3">
      <c r="A3163" s="325">
        <v>1</v>
      </c>
      <c r="B3163" s="324">
        <v>2</v>
      </c>
      <c r="C3163" s="324">
        <v>3</v>
      </c>
      <c r="D3163" s="324">
        <v>4</v>
      </c>
      <c r="E3163" s="324">
        <v>5</v>
      </c>
      <c r="F3163" s="324">
        <v>6</v>
      </c>
      <c r="G3163" s="323">
        <v>7</v>
      </c>
    </row>
    <row r="3164" spans="1:7" x14ac:dyDescent="0.25">
      <c r="A3164" s="339" t="str">
        <f t="shared" ref="A3164:A3178" si="93">$G$3157&amp;B3164</f>
        <v>I.2.2.02.0561</v>
      </c>
      <c r="B3164" s="339">
        <v>1</v>
      </c>
      <c r="C3164" s="394" t="str">
        <f>IFERROR(VLOOKUP(A3164,[3]DOORSCRIEFT!$A$2:$G$8551,2,FALSE),"")</f>
        <v/>
      </c>
      <c r="D3164" s="393" t="str">
        <f>IFERROR(VLOOKUP(A3164,[3]DOORSCRIEFT!$A$2:$G$8551,3,FALSE),"")</f>
        <v/>
      </c>
      <c r="E3164" s="392" t="str">
        <f>IFERROR(VLOOKUP(A3164,[3]DOORSCRIEFT!$A$2:$G$8551,4,FALSE),"")</f>
        <v/>
      </c>
      <c r="F3164" s="397" t="str">
        <f>IFERROR(VLOOKUP(A3164,[3]DOORSCRIEFT!$A$2:$G$8551,6,FALSE),"")</f>
        <v/>
      </c>
      <c r="G3164" s="322"/>
    </row>
    <row r="3165" spans="1:7" x14ac:dyDescent="0.25">
      <c r="A3165" s="339" t="str">
        <f t="shared" si="93"/>
        <v>I.2.2.02.0562</v>
      </c>
      <c r="B3165" s="319">
        <v>2</v>
      </c>
      <c r="C3165" s="394" t="str">
        <f>IFERROR(VLOOKUP(A3165,[3]DOORSCRIEFT!$A$2:$G$8551,2,FALSE),"")</f>
        <v/>
      </c>
      <c r="D3165" s="393" t="str">
        <f>IFERROR(VLOOKUP(A3165,[3]DOORSCRIEFT!$A$2:$G$8551,3,FALSE),"")</f>
        <v/>
      </c>
      <c r="E3165" s="392" t="str">
        <f>IFERROR(VLOOKUP(A3165,[3]DOORSCRIEFT!$A$2:$G$8551,4,FALSE),"")</f>
        <v/>
      </c>
      <c r="F3165" s="397" t="str">
        <f>IFERROR(VLOOKUP(A3165,[3]DOORSCRIEFT!$A$2:$G$8551,6,FALSE),"")</f>
        <v/>
      </c>
      <c r="G3165" s="315"/>
    </row>
    <row r="3166" spans="1:7" x14ac:dyDescent="0.25">
      <c r="A3166" s="339" t="str">
        <f t="shared" si="93"/>
        <v>I.2.2.02.0563</v>
      </c>
      <c r="B3166" s="319">
        <v>3</v>
      </c>
      <c r="C3166" s="394" t="str">
        <f>IFERROR(VLOOKUP(A3166,[3]DOORSCRIEFT!$A$2:$G$8551,2,FALSE),"")</f>
        <v/>
      </c>
      <c r="D3166" s="393" t="str">
        <f>IFERROR(VLOOKUP(A3166,[3]DOORSCRIEFT!$A$2:$G$8551,3,FALSE),"")</f>
        <v/>
      </c>
      <c r="E3166" s="392" t="str">
        <f>IFERROR(VLOOKUP(A3166,[3]DOORSCRIEFT!$A$2:$G$8551,4,FALSE),"")</f>
        <v/>
      </c>
      <c r="F3166" s="397" t="str">
        <f>IFERROR(VLOOKUP(A3166,[3]DOORSCRIEFT!$A$2:$G$8551,6,FALSE),"")</f>
        <v/>
      </c>
      <c r="G3166" s="315"/>
    </row>
    <row r="3167" spans="1:7" x14ac:dyDescent="0.25">
      <c r="A3167" s="339" t="str">
        <f t="shared" si="93"/>
        <v>I.2.2.02.0564</v>
      </c>
      <c r="B3167" s="319">
        <v>4</v>
      </c>
      <c r="C3167" s="394" t="str">
        <f>IFERROR(VLOOKUP(A3167,[3]DOORSCRIEFT!$A$2:$G$8551,2,FALSE),"")</f>
        <v/>
      </c>
      <c r="D3167" s="393" t="str">
        <f>IFERROR(VLOOKUP(A3167,[3]DOORSCRIEFT!$A$2:$G$8551,3,FALSE),"")</f>
        <v/>
      </c>
      <c r="E3167" s="392" t="str">
        <f>IFERROR(VLOOKUP(A3167,[3]DOORSCRIEFT!$A$2:$G$8551,4,FALSE),"")</f>
        <v/>
      </c>
      <c r="F3167" s="397" t="str">
        <f>IFERROR(VLOOKUP(A3167,[3]DOORSCRIEFT!$A$2:$G$8551,6,FALSE),"")</f>
        <v/>
      </c>
      <c r="G3167" s="315"/>
    </row>
    <row r="3168" spans="1:7" x14ac:dyDescent="0.25">
      <c r="A3168" s="339" t="str">
        <f t="shared" si="93"/>
        <v>I.2.2.02.0565</v>
      </c>
      <c r="B3168" s="319">
        <v>5</v>
      </c>
      <c r="C3168" s="394" t="str">
        <f>IFERROR(VLOOKUP(A3168,[3]DOORSCRIEFT!$A$2:$G$8551,2,FALSE),"")</f>
        <v/>
      </c>
      <c r="D3168" s="393" t="str">
        <f>IFERROR(VLOOKUP(A3168,[3]DOORSCRIEFT!$A$2:$G$8551,3,FALSE),"")</f>
        <v/>
      </c>
      <c r="E3168" s="392" t="str">
        <f>IFERROR(VLOOKUP(A3168,[3]DOORSCRIEFT!$A$2:$G$8551,4,FALSE),"")</f>
        <v/>
      </c>
      <c r="F3168" s="397" t="str">
        <f>IFERROR(VLOOKUP(A3168,[3]DOORSCRIEFT!$A$2:$G$8551,6,FALSE),"")</f>
        <v/>
      </c>
      <c r="G3168" s="315"/>
    </row>
    <row r="3169" spans="1:7" x14ac:dyDescent="0.25">
      <c r="A3169" s="339" t="str">
        <f t="shared" si="93"/>
        <v>I.2.2.02.0566</v>
      </c>
      <c r="B3169" s="319">
        <v>6</v>
      </c>
      <c r="C3169" s="394" t="str">
        <f>IFERROR(VLOOKUP(A3169,[3]DOORSCRIEFT!$A$2:$G$8551,2,FALSE),"")</f>
        <v/>
      </c>
      <c r="D3169" s="393" t="str">
        <f>IFERROR(VLOOKUP(A3169,[3]DOORSCRIEFT!$A$2:$G$8551,3,FALSE),"")</f>
        <v/>
      </c>
      <c r="E3169" s="392" t="str">
        <f>IFERROR(VLOOKUP(A3169,[3]DOORSCRIEFT!$A$2:$G$8551,4,FALSE),"")</f>
        <v/>
      </c>
      <c r="F3169" s="397" t="str">
        <f>IFERROR(VLOOKUP(A3169,[3]DOORSCRIEFT!$A$2:$G$8551,6,FALSE),"")</f>
        <v/>
      </c>
      <c r="G3169" s="315"/>
    </row>
    <row r="3170" spans="1:7" x14ac:dyDescent="0.25">
      <c r="A3170" s="339" t="str">
        <f t="shared" si="93"/>
        <v>I.2.2.02.0567</v>
      </c>
      <c r="B3170" s="319">
        <v>7</v>
      </c>
      <c r="C3170" s="394" t="str">
        <f>IFERROR(VLOOKUP(A3170,[3]DOORSCRIEFT!$A$2:$G$8551,2,FALSE),"")</f>
        <v/>
      </c>
      <c r="D3170" s="393" t="str">
        <f>IFERROR(VLOOKUP(A3170,[3]DOORSCRIEFT!$A$2:$G$8551,3,FALSE),"")</f>
        <v/>
      </c>
      <c r="E3170" s="392" t="str">
        <f>IFERROR(VLOOKUP(A3170,[3]DOORSCRIEFT!$A$2:$G$8551,4,FALSE),"")</f>
        <v/>
      </c>
      <c r="F3170" s="397" t="str">
        <f>IFERROR(VLOOKUP(A3170,[3]DOORSCRIEFT!$A$2:$G$8551,6,FALSE),"")</f>
        <v/>
      </c>
      <c r="G3170" s="315"/>
    </row>
    <row r="3171" spans="1:7" x14ac:dyDescent="0.25">
      <c r="A3171" s="339" t="str">
        <f t="shared" si="93"/>
        <v>I.2.2.02.0568</v>
      </c>
      <c r="B3171" s="319">
        <v>8</v>
      </c>
      <c r="C3171" s="394" t="str">
        <f>IFERROR(VLOOKUP(A3171,[3]DOORSCRIEFT!$A$2:$G$8551,2,FALSE),"")</f>
        <v/>
      </c>
      <c r="D3171" s="393" t="str">
        <f>IFERROR(VLOOKUP(A3171,[3]DOORSCRIEFT!$A$2:$G$8551,3,FALSE),"")</f>
        <v/>
      </c>
      <c r="E3171" s="392" t="str">
        <f>IFERROR(VLOOKUP(A3171,[3]DOORSCRIEFT!$A$2:$G$8551,4,FALSE),"")</f>
        <v/>
      </c>
      <c r="F3171" s="397" t="str">
        <f>IFERROR(VLOOKUP(A3171,[3]DOORSCRIEFT!$A$2:$G$8551,6,FALSE),"")</f>
        <v/>
      </c>
      <c r="G3171" s="315"/>
    </row>
    <row r="3172" spans="1:7" x14ac:dyDescent="0.25">
      <c r="A3172" s="339" t="str">
        <f t="shared" si="93"/>
        <v>I.2.2.02.0569</v>
      </c>
      <c r="B3172" s="319">
        <v>9</v>
      </c>
      <c r="C3172" s="394" t="str">
        <f>IFERROR(VLOOKUP(A3172,[3]DOORSCRIEFT!$A$2:$G$8551,2,FALSE),"")</f>
        <v/>
      </c>
      <c r="D3172" s="393" t="str">
        <f>IFERROR(VLOOKUP(A3172,[3]DOORSCRIEFT!$A$2:$G$8551,3,FALSE),"")</f>
        <v/>
      </c>
      <c r="E3172" s="392" t="str">
        <f>IFERROR(VLOOKUP(A3172,[3]DOORSCRIEFT!$A$2:$G$8551,4,FALSE),"")</f>
        <v/>
      </c>
      <c r="F3172" s="397" t="str">
        <f>IFERROR(VLOOKUP(A3172,[3]DOORSCRIEFT!$A$2:$G$8551,6,FALSE),"")</f>
        <v/>
      </c>
      <c r="G3172" s="315"/>
    </row>
    <row r="3173" spans="1:7" x14ac:dyDescent="0.25">
      <c r="A3173" s="339" t="str">
        <f t="shared" si="93"/>
        <v>I.2.2.02.05610</v>
      </c>
      <c r="B3173" s="319">
        <v>10</v>
      </c>
      <c r="C3173" s="394" t="str">
        <f>IFERROR(VLOOKUP(A3173,[3]DOORSCRIEFT!$A$2:$G$8551,2,FALSE),"")</f>
        <v/>
      </c>
      <c r="D3173" s="393" t="str">
        <f>IFERROR(VLOOKUP(A3173,[3]DOORSCRIEFT!$A$2:$G$8551,3,FALSE),"")</f>
        <v/>
      </c>
      <c r="E3173" s="392" t="str">
        <f>IFERROR(VLOOKUP(A3173,[3]DOORSCRIEFT!$A$2:$G$8551,4,FALSE),"")</f>
        <v/>
      </c>
      <c r="F3173" s="397" t="str">
        <f>IFERROR(VLOOKUP(A3173,[3]DOORSCRIEFT!$A$2:$G$8551,6,FALSE),"")</f>
        <v/>
      </c>
      <c r="G3173" s="315"/>
    </row>
    <row r="3174" spans="1:7" x14ac:dyDescent="0.25">
      <c r="A3174" s="339" t="str">
        <f t="shared" si="93"/>
        <v>I.2.2.02.05611</v>
      </c>
      <c r="B3174" s="319">
        <v>11</v>
      </c>
      <c r="C3174" s="394" t="str">
        <f>IFERROR(VLOOKUP(A3174,[3]DOORSCRIEFT!$A$2:$G$8551,2,FALSE),"")</f>
        <v/>
      </c>
      <c r="D3174" s="393" t="str">
        <f>IFERROR(VLOOKUP(A3174,[3]DOORSCRIEFT!$A$2:$G$8551,3,FALSE),"")</f>
        <v/>
      </c>
      <c r="E3174" s="392" t="str">
        <f>IFERROR(VLOOKUP(A3174,[3]DOORSCRIEFT!$A$2:$G$8551,4,FALSE),"")</f>
        <v/>
      </c>
      <c r="F3174" s="397" t="str">
        <f>IFERROR(VLOOKUP(A3174,[3]DOORSCRIEFT!$A$2:$G$8551,6,FALSE),"")</f>
        <v/>
      </c>
      <c r="G3174" s="315"/>
    </row>
    <row r="3175" spans="1:7" x14ac:dyDescent="0.25">
      <c r="A3175" s="339" t="str">
        <f t="shared" si="93"/>
        <v>I.2.2.02.05612</v>
      </c>
      <c r="B3175" s="319">
        <v>12</v>
      </c>
      <c r="C3175" s="394" t="str">
        <f>IFERROR(VLOOKUP(A3175,[3]DOORSCRIEFT!$A$2:$G$8551,2,FALSE),"")</f>
        <v/>
      </c>
      <c r="D3175" s="393" t="str">
        <f>IFERROR(VLOOKUP(A3175,[3]DOORSCRIEFT!$A$2:$G$8551,3,FALSE),"")</f>
        <v/>
      </c>
      <c r="E3175" s="392" t="str">
        <f>IFERROR(VLOOKUP(A3175,[3]DOORSCRIEFT!$A$2:$G$8551,4,FALSE),"")</f>
        <v/>
      </c>
      <c r="F3175" s="397" t="str">
        <f>IFERROR(VLOOKUP(A3175,[3]DOORSCRIEFT!$A$2:$G$8551,6,FALSE),"")</f>
        <v/>
      </c>
      <c r="G3175" s="315"/>
    </row>
    <row r="3176" spans="1:7" x14ac:dyDescent="0.25">
      <c r="A3176" s="339" t="str">
        <f t="shared" si="93"/>
        <v>I.2.2.02.05613</v>
      </c>
      <c r="B3176" s="319">
        <v>13</v>
      </c>
      <c r="C3176" s="394" t="str">
        <f>IFERROR(VLOOKUP(A3176,[3]DOORSCRIEFT!$A$2:$G$8551,2,FALSE),"")</f>
        <v/>
      </c>
      <c r="D3176" s="393" t="str">
        <f>IFERROR(VLOOKUP(A3176,[3]DOORSCRIEFT!$A$2:$G$8551,3,FALSE),"")</f>
        <v/>
      </c>
      <c r="E3176" s="392" t="str">
        <f>IFERROR(VLOOKUP(A3176,[3]DOORSCRIEFT!$A$2:$G$8551,4,FALSE),"")</f>
        <v/>
      </c>
      <c r="F3176" s="397" t="str">
        <f>IFERROR(VLOOKUP(A3176,[3]DOORSCRIEFT!$A$2:$G$8551,6,FALSE),"")</f>
        <v/>
      </c>
      <c r="G3176" s="315"/>
    </row>
    <row r="3177" spans="1:7" x14ac:dyDescent="0.25">
      <c r="A3177" s="339" t="str">
        <f t="shared" si="93"/>
        <v>I.2.2.02.05614</v>
      </c>
      <c r="B3177" s="319">
        <v>14</v>
      </c>
      <c r="C3177" s="394" t="str">
        <f>IFERROR(VLOOKUP(A3177,[3]DOORSCRIEFT!$A$2:$G$8551,2,FALSE),"")</f>
        <v/>
      </c>
      <c r="D3177" s="393" t="str">
        <f>IFERROR(VLOOKUP(A3177,[3]DOORSCRIEFT!$A$2:$G$8551,3,FALSE),"")</f>
        <v/>
      </c>
      <c r="E3177" s="392" t="str">
        <f>IFERROR(VLOOKUP(A3177,[3]DOORSCRIEFT!$A$2:$G$8551,4,FALSE),"")</f>
        <v/>
      </c>
      <c r="F3177" s="397" t="str">
        <f>IFERROR(VLOOKUP(A3177,[3]DOORSCRIEFT!$A$2:$G$8551,6,FALSE),"")</f>
        <v/>
      </c>
      <c r="G3177" s="315"/>
    </row>
    <row r="3178" spans="1:7" ht="15.75" thickBot="1" x14ac:dyDescent="0.3">
      <c r="A3178" s="353" t="str">
        <f t="shared" si="93"/>
        <v>I.2.2.02.05615</v>
      </c>
      <c r="B3178" s="345">
        <v>15</v>
      </c>
      <c r="C3178" s="394" t="str">
        <f>IFERROR(VLOOKUP(A3178,[3]DOORSCRIEFT!$A$2:$G$8551,2,FALSE),"")</f>
        <v/>
      </c>
      <c r="D3178" s="393" t="str">
        <f>IFERROR(VLOOKUP(A3178,[3]DOORSCRIEFT!$A$2:$G$8551,3,FALSE),"")</f>
        <v/>
      </c>
      <c r="E3178" s="392" t="str">
        <f>IFERROR(VLOOKUP(A3178,[3]DOORSCRIEFT!$A$2:$G$8551,4,FALSE),"")</f>
        <v/>
      </c>
      <c r="F3178" s="397" t="str">
        <f>IFERROR(VLOOKUP(A3178,[3]DOORSCRIEFT!$A$2:$G$8551,6,FALSE),"")</f>
        <v/>
      </c>
      <c r="G3178" s="315"/>
    </row>
    <row r="3179" spans="1:7" ht="15.75" thickBot="1" x14ac:dyDescent="0.3">
      <c r="A3179" s="344"/>
      <c r="B3179" s="343"/>
      <c r="C3179" s="336"/>
      <c r="D3179" s="312"/>
      <c r="E3179" s="311" t="s">
        <v>644</v>
      </c>
      <c r="F3179" s="310">
        <f>SUM(F3164:F3178)</f>
        <v>0</v>
      </c>
      <c r="G3179" s="309">
        <f>SUM(G3164:G3178)</f>
        <v>0</v>
      </c>
    </row>
    <row r="3180" spans="1:7" x14ac:dyDescent="0.25">
      <c r="C3180" s="335"/>
    </row>
    <row r="3181" spans="1:7" x14ac:dyDescent="0.25">
      <c r="C3181" s="335"/>
    </row>
    <row r="3182" spans="1:7" ht="15.75" x14ac:dyDescent="0.25">
      <c r="C3182" s="334"/>
      <c r="D3182" s="333"/>
      <c r="E3182" s="332"/>
      <c r="F3182" s="327" t="s">
        <v>607</v>
      </c>
      <c r="G3182" s="327" t="s">
        <v>434</v>
      </c>
    </row>
    <row r="3183" spans="1:7" ht="15.75" x14ac:dyDescent="0.25">
      <c r="C3183" s="334"/>
      <c r="D3183" s="333"/>
      <c r="E3183" s="332"/>
      <c r="F3183" s="327" t="s">
        <v>601</v>
      </c>
      <c r="G3183" s="327" t="s">
        <v>433</v>
      </c>
    </row>
    <row r="3184" spans="1:7" x14ac:dyDescent="0.25">
      <c r="C3184" s="330"/>
      <c r="D3184" s="329"/>
      <c r="E3184" s="328"/>
      <c r="F3184" s="327" t="s">
        <v>651</v>
      </c>
      <c r="G3184" s="331">
        <f>[2]Sheet1!$D$84</f>
        <v>1500000</v>
      </c>
    </row>
    <row r="3185" spans="1:7" ht="15.75" thickBot="1" x14ac:dyDescent="0.3">
      <c r="C3185" s="330"/>
      <c r="D3185" s="329"/>
      <c r="E3185" s="328"/>
      <c r="F3185" s="327" t="s">
        <v>650</v>
      </c>
      <c r="G3185" s="326">
        <f>+F3204-G3184</f>
        <v>-1500000</v>
      </c>
    </row>
    <row r="3186" spans="1:7" x14ac:dyDescent="0.25">
      <c r="A3186" s="573" t="s">
        <v>626</v>
      </c>
      <c r="B3186" s="573" t="s">
        <v>606</v>
      </c>
      <c r="C3186" s="588" t="s">
        <v>649</v>
      </c>
      <c r="D3186" s="577" t="s">
        <v>648</v>
      </c>
      <c r="E3186" s="577" t="s">
        <v>647</v>
      </c>
      <c r="F3186" s="577" t="s">
        <v>646</v>
      </c>
      <c r="G3186" s="580" t="s">
        <v>645</v>
      </c>
    </row>
    <row r="3187" spans="1:7" ht="15.75" thickBot="1" x14ac:dyDescent="0.3">
      <c r="A3187" s="574"/>
      <c r="B3187" s="574"/>
      <c r="C3187" s="589"/>
      <c r="D3187" s="586"/>
      <c r="E3187" s="586"/>
      <c r="F3187" s="586"/>
      <c r="G3187" s="587"/>
    </row>
    <row r="3188" spans="1:7" ht="15.75" thickBot="1" x14ac:dyDescent="0.3">
      <c r="A3188" s="325">
        <v>1</v>
      </c>
      <c r="B3188" s="324">
        <v>2</v>
      </c>
      <c r="C3188" s="324">
        <v>3</v>
      </c>
      <c r="D3188" s="324">
        <v>4</v>
      </c>
      <c r="E3188" s="324">
        <v>5</v>
      </c>
      <c r="F3188" s="324">
        <v>6</v>
      </c>
      <c r="G3188" s="323">
        <v>7</v>
      </c>
    </row>
    <row r="3189" spans="1:7" x14ac:dyDescent="0.25">
      <c r="A3189" s="339" t="str">
        <f t="shared" ref="A3189:A3203" si="94">$G$3182&amp;B3189</f>
        <v>I.2.2.02.0571</v>
      </c>
      <c r="B3189" s="339">
        <v>1</v>
      </c>
      <c r="C3189" s="394" t="str">
        <f>IFERROR(VLOOKUP(A3189,[3]DOORSCRIEFT!$A$2:$G$8551,2,FALSE),"")</f>
        <v/>
      </c>
      <c r="D3189" s="393" t="str">
        <f>IFERROR(VLOOKUP(A3189,[3]DOORSCRIEFT!$A$2:$G$8551,3,FALSE),"")</f>
        <v/>
      </c>
      <c r="E3189" s="392" t="str">
        <f>IFERROR(VLOOKUP(A3189,[3]DOORSCRIEFT!$A$2:$G$8551,4,FALSE),"")</f>
        <v/>
      </c>
      <c r="F3189" s="397" t="str">
        <f>IFERROR(VLOOKUP(A3189,[3]DOORSCRIEFT!$A$2:$G$8551,6,FALSE),"")</f>
        <v/>
      </c>
      <c r="G3189" s="322"/>
    </row>
    <row r="3190" spans="1:7" x14ac:dyDescent="0.25">
      <c r="A3190" s="339" t="str">
        <f t="shared" si="94"/>
        <v>I.2.2.02.0572</v>
      </c>
      <c r="B3190" s="319">
        <v>2</v>
      </c>
      <c r="C3190" s="394" t="str">
        <f>IFERROR(VLOOKUP(A3190,[3]DOORSCRIEFT!$A$2:$G$8551,2,FALSE),"")</f>
        <v/>
      </c>
      <c r="D3190" s="393" t="str">
        <f>IFERROR(VLOOKUP(A3190,[3]DOORSCRIEFT!$A$2:$G$8551,3,FALSE),"")</f>
        <v/>
      </c>
      <c r="E3190" s="392" t="str">
        <f>IFERROR(VLOOKUP(A3190,[3]DOORSCRIEFT!$A$2:$G$8551,4,FALSE),"")</f>
        <v/>
      </c>
      <c r="F3190" s="397" t="str">
        <f>IFERROR(VLOOKUP(A3190,[3]DOORSCRIEFT!$A$2:$G$8551,6,FALSE),"")</f>
        <v/>
      </c>
      <c r="G3190" s="315"/>
    </row>
    <row r="3191" spans="1:7" x14ac:dyDescent="0.25">
      <c r="A3191" s="339" t="str">
        <f t="shared" si="94"/>
        <v>I.2.2.02.0573</v>
      </c>
      <c r="B3191" s="319">
        <v>3</v>
      </c>
      <c r="C3191" s="394" t="str">
        <f>IFERROR(VLOOKUP(A3191,[3]DOORSCRIEFT!$A$2:$G$8551,2,FALSE),"")</f>
        <v/>
      </c>
      <c r="D3191" s="393" t="str">
        <f>IFERROR(VLOOKUP(A3191,[3]DOORSCRIEFT!$A$2:$G$8551,3,FALSE),"")</f>
        <v/>
      </c>
      <c r="E3191" s="392" t="str">
        <f>IFERROR(VLOOKUP(A3191,[3]DOORSCRIEFT!$A$2:$G$8551,4,FALSE),"")</f>
        <v/>
      </c>
      <c r="F3191" s="397" t="str">
        <f>IFERROR(VLOOKUP(A3191,[3]DOORSCRIEFT!$A$2:$G$8551,6,FALSE),"")</f>
        <v/>
      </c>
      <c r="G3191" s="315"/>
    </row>
    <row r="3192" spans="1:7" x14ac:dyDescent="0.25">
      <c r="A3192" s="339" t="str">
        <f t="shared" si="94"/>
        <v>I.2.2.02.0574</v>
      </c>
      <c r="B3192" s="319">
        <v>4</v>
      </c>
      <c r="C3192" s="394" t="str">
        <f>IFERROR(VLOOKUP(A3192,[3]DOORSCRIEFT!$A$2:$G$8551,2,FALSE),"")</f>
        <v/>
      </c>
      <c r="D3192" s="393" t="str">
        <f>IFERROR(VLOOKUP(A3192,[3]DOORSCRIEFT!$A$2:$G$8551,3,FALSE),"")</f>
        <v/>
      </c>
      <c r="E3192" s="392" t="str">
        <f>IFERROR(VLOOKUP(A3192,[3]DOORSCRIEFT!$A$2:$G$8551,4,FALSE),"")</f>
        <v/>
      </c>
      <c r="F3192" s="397" t="str">
        <f>IFERROR(VLOOKUP(A3192,[3]DOORSCRIEFT!$A$2:$G$8551,6,FALSE),"")</f>
        <v/>
      </c>
      <c r="G3192" s="315"/>
    </row>
    <row r="3193" spans="1:7" x14ac:dyDescent="0.25">
      <c r="A3193" s="339" t="str">
        <f t="shared" si="94"/>
        <v>I.2.2.02.0575</v>
      </c>
      <c r="B3193" s="319">
        <v>5</v>
      </c>
      <c r="C3193" s="394" t="str">
        <f>IFERROR(VLOOKUP(A3193,[3]DOORSCRIEFT!$A$2:$G$8551,2,FALSE),"")</f>
        <v/>
      </c>
      <c r="D3193" s="393" t="str">
        <f>IFERROR(VLOOKUP(A3193,[3]DOORSCRIEFT!$A$2:$G$8551,3,FALSE),"")</f>
        <v/>
      </c>
      <c r="E3193" s="392" t="str">
        <f>IFERROR(VLOOKUP(A3193,[3]DOORSCRIEFT!$A$2:$G$8551,4,FALSE),"")</f>
        <v/>
      </c>
      <c r="F3193" s="397" t="str">
        <f>IFERROR(VLOOKUP(A3193,[3]DOORSCRIEFT!$A$2:$G$8551,6,FALSE),"")</f>
        <v/>
      </c>
      <c r="G3193" s="315"/>
    </row>
    <row r="3194" spans="1:7" x14ac:dyDescent="0.25">
      <c r="A3194" s="339" t="str">
        <f t="shared" si="94"/>
        <v>I.2.2.02.0576</v>
      </c>
      <c r="B3194" s="319">
        <v>6</v>
      </c>
      <c r="C3194" s="394" t="str">
        <f>IFERROR(VLOOKUP(A3194,[3]DOORSCRIEFT!$A$2:$G$8551,2,FALSE),"")</f>
        <v/>
      </c>
      <c r="D3194" s="393" t="str">
        <f>IFERROR(VLOOKUP(A3194,[3]DOORSCRIEFT!$A$2:$G$8551,3,FALSE),"")</f>
        <v/>
      </c>
      <c r="E3194" s="392" t="str">
        <f>IFERROR(VLOOKUP(A3194,[3]DOORSCRIEFT!$A$2:$G$8551,4,FALSE),"")</f>
        <v/>
      </c>
      <c r="F3194" s="397" t="str">
        <f>IFERROR(VLOOKUP(A3194,[3]DOORSCRIEFT!$A$2:$G$8551,6,FALSE),"")</f>
        <v/>
      </c>
      <c r="G3194" s="315"/>
    </row>
    <row r="3195" spans="1:7" x14ac:dyDescent="0.25">
      <c r="A3195" s="339" t="str">
        <f t="shared" si="94"/>
        <v>I.2.2.02.0577</v>
      </c>
      <c r="B3195" s="319">
        <v>7</v>
      </c>
      <c r="C3195" s="394" t="str">
        <f>IFERROR(VLOOKUP(A3195,[3]DOORSCRIEFT!$A$2:$G$8551,2,FALSE),"")</f>
        <v/>
      </c>
      <c r="D3195" s="393" t="str">
        <f>IFERROR(VLOOKUP(A3195,[3]DOORSCRIEFT!$A$2:$G$8551,3,FALSE),"")</f>
        <v/>
      </c>
      <c r="E3195" s="392" t="str">
        <f>IFERROR(VLOOKUP(A3195,[3]DOORSCRIEFT!$A$2:$G$8551,4,FALSE),"")</f>
        <v/>
      </c>
      <c r="F3195" s="397" t="str">
        <f>IFERROR(VLOOKUP(A3195,[3]DOORSCRIEFT!$A$2:$G$8551,6,FALSE),"")</f>
        <v/>
      </c>
      <c r="G3195" s="315"/>
    </row>
    <row r="3196" spans="1:7" x14ac:dyDescent="0.25">
      <c r="A3196" s="339" t="str">
        <f t="shared" si="94"/>
        <v>I.2.2.02.0578</v>
      </c>
      <c r="B3196" s="319">
        <v>8</v>
      </c>
      <c r="C3196" s="394" t="str">
        <f>IFERROR(VLOOKUP(A3196,[3]DOORSCRIEFT!$A$2:$G$8551,2,FALSE),"")</f>
        <v/>
      </c>
      <c r="D3196" s="393" t="str">
        <f>IFERROR(VLOOKUP(A3196,[3]DOORSCRIEFT!$A$2:$G$8551,3,FALSE),"")</f>
        <v/>
      </c>
      <c r="E3196" s="392" t="str">
        <f>IFERROR(VLOOKUP(A3196,[3]DOORSCRIEFT!$A$2:$G$8551,4,FALSE),"")</f>
        <v/>
      </c>
      <c r="F3196" s="397" t="str">
        <f>IFERROR(VLOOKUP(A3196,[3]DOORSCRIEFT!$A$2:$G$8551,6,FALSE),"")</f>
        <v/>
      </c>
      <c r="G3196" s="315"/>
    </row>
    <row r="3197" spans="1:7" x14ac:dyDescent="0.25">
      <c r="A3197" s="339" t="str">
        <f t="shared" si="94"/>
        <v>I.2.2.02.0579</v>
      </c>
      <c r="B3197" s="319">
        <v>9</v>
      </c>
      <c r="C3197" s="394" t="str">
        <f>IFERROR(VLOOKUP(A3197,[3]DOORSCRIEFT!$A$2:$G$8551,2,FALSE),"")</f>
        <v/>
      </c>
      <c r="D3197" s="393" t="str">
        <f>IFERROR(VLOOKUP(A3197,[3]DOORSCRIEFT!$A$2:$G$8551,3,FALSE),"")</f>
        <v/>
      </c>
      <c r="E3197" s="392" t="str">
        <f>IFERROR(VLOOKUP(A3197,[3]DOORSCRIEFT!$A$2:$G$8551,4,FALSE),"")</f>
        <v/>
      </c>
      <c r="F3197" s="397" t="str">
        <f>IFERROR(VLOOKUP(A3197,[3]DOORSCRIEFT!$A$2:$G$8551,6,FALSE),"")</f>
        <v/>
      </c>
      <c r="G3197" s="315"/>
    </row>
    <row r="3198" spans="1:7" x14ac:dyDescent="0.25">
      <c r="A3198" s="339" t="str">
        <f t="shared" si="94"/>
        <v>I.2.2.02.05710</v>
      </c>
      <c r="B3198" s="319">
        <v>10</v>
      </c>
      <c r="C3198" s="394" t="str">
        <f>IFERROR(VLOOKUP(A3198,[3]DOORSCRIEFT!$A$2:$G$8551,2,FALSE),"")</f>
        <v/>
      </c>
      <c r="D3198" s="393" t="str">
        <f>IFERROR(VLOOKUP(A3198,[3]DOORSCRIEFT!$A$2:$G$8551,3,FALSE),"")</f>
        <v/>
      </c>
      <c r="E3198" s="392" t="str">
        <f>IFERROR(VLOOKUP(A3198,[3]DOORSCRIEFT!$A$2:$G$8551,4,FALSE),"")</f>
        <v/>
      </c>
      <c r="F3198" s="397" t="str">
        <f>IFERROR(VLOOKUP(A3198,[3]DOORSCRIEFT!$A$2:$G$8551,6,FALSE),"")</f>
        <v/>
      </c>
      <c r="G3198" s="315"/>
    </row>
    <row r="3199" spans="1:7" x14ac:dyDescent="0.25">
      <c r="A3199" s="339" t="str">
        <f t="shared" si="94"/>
        <v>I.2.2.02.05711</v>
      </c>
      <c r="B3199" s="319">
        <v>11</v>
      </c>
      <c r="C3199" s="394" t="str">
        <f>IFERROR(VLOOKUP(A3199,[3]DOORSCRIEFT!$A$2:$G$8551,2,FALSE),"")</f>
        <v/>
      </c>
      <c r="D3199" s="393" t="str">
        <f>IFERROR(VLOOKUP(A3199,[3]DOORSCRIEFT!$A$2:$G$8551,3,FALSE),"")</f>
        <v/>
      </c>
      <c r="E3199" s="392" t="str">
        <f>IFERROR(VLOOKUP(A3199,[3]DOORSCRIEFT!$A$2:$G$8551,4,FALSE),"")</f>
        <v/>
      </c>
      <c r="F3199" s="397" t="str">
        <f>IFERROR(VLOOKUP(A3199,[3]DOORSCRIEFT!$A$2:$G$8551,6,FALSE),"")</f>
        <v/>
      </c>
      <c r="G3199" s="315"/>
    </row>
    <row r="3200" spans="1:7" x14ac:dyDescent="0.25">
      <c r="A3200" s="339" t="str">
        <f t="shared" si="94"/>
        <v>I.2.2.02.05712</v>
      </c>
      <c r="B3200" s="319">
        <v>12</v>
      </c>
      <c r="C3200" s="394" t="str">
        <f>IFERROR(VLOOKUP(A3200,[3]DOORSCRIEFT!$A$2:$G$8551,2,FALSE),"")</f>
        <v/>
      </c>
      <c r="D3200" s="393" t="str">
        <f>IFERROR(VLOOKUP(A3200,[3]DOORSCRIEFT!$A$2:$G$8551,3,FALSE),"")</f>
        <v/>
      </c>
      <c r="E3200" s="392" t="str">
        <f>IFERROR(VLOOKUP(A3200,[3]DOORSCRIEFT!$A$2:$G$8551,4,FALSE),"")</f>
        <v/>
      </c>
      <c r="F3200" s="397" t="str">
        <f>IFERROR(VLOOKUP(A3200,[3]DOORSCRIEFT!$A$2:$G$8551,6,FALSE),"")</f>
        <v/>
      </c>
      <c r="G3200" s="315"/>
    </row>
    <row r="3201" spans="1:7" x14ac:dyDescent="0.25">
      <c r="A3201" s="339" t="str">
        <f t="shared" si="94"/>
        <v>I.2.2.02.05713</v>
      </c>
      <c r="B3201" s="319">
        <v>13</v>
      </c>
      <c r="C3201" s="394" t="str">
        <f>IFERROR(VLOOKUP(A3201,[3]DOORSCRIEFT!$A$2:$G$8551,2,FALSE),"")</f>
        <v/>
      </c>
      <c r="D3201" s="393" t="str">
        <f>IFERROR(VLOOKUP(A3201,[3]DOORSCRIEFT!$A$2:$G$8551,3,FALSE),"")</f>
        <v/>
      </c>
      <c r="E3201" s="392" t="str">
        <f>IFERROR(VLOOKUP(A3201,[3]DOORSCRIEFT!$A$2:$G$8551,4,FALSE),"")</f>
        <v/>
      </c>
      <c r="F3201" s="397" t="str">
        <f>IFERROR(VLOOKUP(A3201,[3]DOORSCRIEFT!$A$2:$G$8551,6,FALSE),"")</f>
        <v/>
      </c>
      <c r="G3201" s="315"/>
    </row>
    <row r="3202" spans="1:7" x14ac:dyDescent="0.25">
      <c r="A3202" s="339" t="str">
        <f t="shared" si="94"/>
        <v>I.2.2.02.05714</v>
      </c>
      <c r="B3202" s="319">
        <v>14</v>
      </c>
      <c r="C3202" s="394" t="str">
        <f>IFERROR(VLOOKUP(A3202,[3]DOORSCRIEFT!$A$2:$G$8551,2,FALSE),"")</f>
        <v/>
      </c>
      <c r="D3202" s="393" t="str">
        <f>IFERROR(VLOOKUP(A3202,[3]DOORSCRIEFT!$A$2:$G$8551,3,FALSE),"")</f>
        <v/>
      </c>
      <c r="E3202" s="392" t="str">
        <f>IFERROR(VLOOKUP(A3202,[3]DOORSCRIEFT!$A$2:$G$8551,4,FALSE),"")</f>
        <v/>
      </c>
      <c r="F3202" s="397" t="str">
        <f>IFERROR(VLOOKUP(A3202,[3]DOORSCRIEFT!$A$2:$G$8551,6,FALSE),"")</f>
        <v/>
      </c>
      <c r="G3202" s="315"/>
    </row>
    <row r="3203" spans="1:7" ht="15.75" thickBot="1" x14ac:dyDescent="0.3">
      <c r="A3203" s="353" t="str">
        <f t="shared" si="94"/>
        <v>I.2.2.02.05715</v>
      </c>
      <c r="B3203" s="345">
        <v>15</v>
      </c>
      <c r="C3203" s="394" t="str">
        <f>IFERROR(VLOOKUP(A3203,[3]DOORSCRIEFT!$A$2:$G$8551,2,FALSE),"")</f>
        <v/>
      </c>
      <c r="D3203" s="393" t="str">
        <f>IFERROR(VLOOKUP(A3203,[3]DOORSCRIEFT!$A$2:$G$8551,3,FALSE),"")</f>
        <v/>
      </c>
      <c r="E3203" s="392" t="str">
        <f>IFERROR(VLOOKUP(A3203,[3]DOORSCRIEFT!$A$2:$G$8551,4,FALSE),"")</f>
        <v/>
      </c>
      <c r="F3203" s="397" t="str">
        <f>IFERROR(VLOOKUP(A3203,[3]DOORSCRIEFT!$A$2:$G$8551,6,FALSE),"")</f>
        <v/>
      </c>
      <c r="G3203" s="315"/>
    </row>
    <row r="3204" spans="1:7" ht="15.75" thickBot="1" x14ac:dyDescent="0.3">
      <c r="A3204" s="314"/>
      <c r="B3204" s="312"/>
      <c r="C3204" s="336"/>
      <c r="D3204" s="312"/>
      <c r="E3204" s="311" t="s">
        <v>644</v>
      </c>
      <c r="F3204" s="310">
        <f>SUM(F3189:F3203)</f>
        <v>0</v>
      </c>
      <c r="G3204" s="309">
        <f>SUM(G3189:G3203)</f>
        <v>0</v>
      </c>
    </row>
    <row r="3205" spans="1:7" x14ac:dyDescent="0.25">
      <c r="C3205" s="335"/>
    </row>
    <row r="3206" spans="1:7" x14ac:dyDescent="0.25">
      <c r="C3206" s="335"/>
    </row>
    <row r="3207" spans="1:7" ht="15.75" x14ac:dyDescent="0.25">
      <c r="C3207" s="334"/>
      <c r="D3207" s="333"/>
      <c r="E3207" s="332"/>
      <c r="F3207" s="327" t="s">
        <v>607</v>
      </c>
      <c r="G3207" s="327" t="s">
        <v>432</v>
      </c>
    </row>
    <row r="3208" spans="1:7" ht="15.75" x14ac:dyDescent="0.25">
      <c r="C3208" s="334"/>
      <c r="D3208" s="333"/>
      <c r="E3208" s="332"/>
      <c r="F3208" s="327" t="s">
        <v>601</v>
      </c>
      <c r="G3208" s="327" t="s">
        <v>431</v>
      </c>
    </row>
    <row r="3209" spans="1:7" x14ac:dyDescent="0.25">
      <c r="C3209" s="330"/>
      <c r="D3209" s="329"/>
      <c r="E3209" s="328"/>
      <c r="F3209" s="327" t="s">
        <v>651</v>
      </c>
      <c r="G3209" s="331">
        <f>[2]Sheet1!$D$85</f>
        <v>750000</v>
      </c>
    </row>
    <row r="3210" spans="1:7" ht="15.75" thickBot="1" x14ac:dyDescent="0.3">
      <c r="C3210" s="330"/>
      <c r="D3210" s="329"/>
      <c r="E3210" s="328"/>
      <c r="F3210" s="327" t="s">
        <v>650</v>
      </c>
      <c r="G3210" s="326">
        <f>+F3229-G3209</f>
        <v>-750000</v>
      </c>
    </row>
    <row r="3211" spans="1:7" x14ac:dyDescent="0.25">
      <c r="A3211" s="571" t="s">
        <v>626</v>
      </c>
      <c r="B3211" s="573" t="s">
        <v>606</v>
      </c>
      <c r="C3211" s="588" t="s">
        <v>649</v>
      </c>
      <c r="D3211" s="577" t="s">
        <v>648</v>
      </c>
      <c r="E3211" s="577" t="s">
        <v>647</v>
      </c>
      <c r="F3211" s="577" t="s">
        <v>646</v>
      </c>
      <c r="G3211" s="580" t="s">
        <v>645</v>
      </c>
    </row>
    <row r="3212" spans="1:7" ht="15.75" thickBot="1" x14ac:dyDescent="0.3">
      <c r="A3212" s="572"/>
      <c r="B3212" s="574"/>
      <c r="C3212" s="589"/>
      <c r="D3212" s="586"/>
      <c r="E3212" s="586"/>
      <c r="F3212" s="586"/>
      <c r="G3212" s="587"/>
    </row>
    <row r="3213" spans="1:7" ht="15.75" thickBot="1" x14ac:dyDescent="0.3">
      <c r="A3213" s="325">
        <v>1</v>
      </c>
      <c r="B3213" s="324">
        <v>2</v>
      </c>
      <c r="C3213" s="324">
        <v>3</v>
      </c>
      <c r="D3213" s="324">
        <v>4</v>
      </c>
      <c r="E3213" s="324">
        <v>5</v>
      </c>
      <c r="F3213" s="324">
        <v>6</v>
      </c>
      <c r="G3213" s="323">
        <v>7</v>
      </c>
    </row>
    <row r="3214" spans="1:7" x14ac:dyDescent="0.25">
      <c r="A3214" s="339" t="str">
        <f t="shared" ref="A3214:A3228" si="95">$G$3207&amp;B3214</f>
        <v>I.2.2.02.0581</v>
      </c>
      <c r="B3214" s="339">
        <v>1</v>
      </c>
      <c r="C3214" s="394" t="str">
        <f>IFERROR(VLOOKUP(A3214,[3]DOORSCRIEFT!$A$2:$G$8551,2,FALSE),"")</f>
        <v/>
      </c>
      <c r="D3214" s="393" t="str">
        <f>IFERROR(VLOOKUP(A3214,[3]DOORSCRIEFT!$A$2:$G$8551,3,FALSE),"")</f>
        <v/>
      </c>
      <c r="E3214" s="392" t="str">
        <f>IFERROR(VLOOKUP(A3214,[3]DOORSCRIEFT!$A$2:$G$8551,4,FALSE),"")</f>
        <v/>
      </c>
      <c r="F3214" s="397" t="str">
        <f>IFERROR(VLOOKUP(A3214,[3]DOORSCRIEFT!$A$2:$G$8551,6,FALSE),"")</f>
        <v/>
      </c>
      <c r="G3214" s="322"/>
    </row>
    <row r="3215" spans="1:7" x14ac:dyDescent="0.25">
      <c r="A3215" s="319" t="str">
        <f t="shared" si="95"/>
        <v>I.2.2.02.0582</v>
      </c>
      <c r="B3215" s="319">
        <v>2</v>
      </c>
      <c r="C3215" s="394" t="str">
        <f>IFERROR(VLOOKUP(A3215,[3]DOORSCRIEFT!$A$2:$G$8551,2,FALSE),"")</f>
        <v/>
      </c>
      <c r="D3215" s="393" t="str">
        <f>IFERROR(VLOOKUP(A3215,[3]DOORSCRIEFT!$A$2:$G$8551,3,FALSE),"")</f>
        <v/>
      </c>
      <c r="E3215" s="392" t="str">
        <f>IFERROR(VLOOKUP(A3215,[3]DOORSCRIEFT!$A$2:$G$8551,4,FALSE),"")</f>
        <v/>
      </c>
      <c r="F3215" s="397" t="str">
        <f>IFERROR(VLOOKUP(A3215,[3]DOORSCRIEFT!$A$2:$G$8551,6,FALSE),"")</f>
        <v/>
      </c>
      <c r="G3215" s="315"/>
    </row>
    <row r="3216" spans="1:7" x14ac:dyDescent="0.25">
      <c r="A3216" s="319" t="str">
        <f t="shared" si="95"/>
        <v>I.2.2.02.0583</v>
      </c>
      <c r="B3216" s="319">
        <v>3</v>
      </c>
      <c r="C3216" s="394" t="str">
        <f>IFERROR(VLOOKUP(A3216,[3]DOORSCRIEFT!$A$2:$G$8551,2,FALSE),"")</f>
        <v/>
      </c>
      <c r="D3216" s="393" t="str">
        <f>IFERROR(VLOOKUP(A3216,[3]DOORSCRIEFT!$A$2:$G$8551,3,FALSE),"")</f>
        <v/>
      </c>
      <c r="E3216" s="392" t="str">
        <f>IFERROR(VLOOKUP(A3216,[3]DOORSCRIEFT!$A$2:$G$8551,4,FALSE),"")</f>
        <v/>
      </c>
      <c r="F3216" s="397" t="str">
        <f>IFERROR(VLOOKUP(A3216,[3]DOORSCRIEFT!$A$2:$G$8551,6,FALSE),"")</f>
        <v/>
      </c>
      <c r="G3216" s="315"/>
    </row>
    <row r="3217" spans="1:7" x14ac:dyDescent="0.25">
      <c r="A3217" s="319" t="str">
        <f t="shared" si="95"/>
        <v>I.2.2.02.0584</v>
      </c>
      <c r="B3217" s="319">
        <v>4</v>
      </c>
      <c r="C3217" s="394" t="str">
        <f>IFERROR(VLOOKUP(A3217,[3]DOORSCRIEFT!$A$2:$G$8551,2,FALSE),"")</f>
        <v/>
      </c>
      <c r="D3217" s="393" t="str">
        <f>IFERROR(VLOOKUP(A3217,[3]DOORSCRIEFT!$A$2:$G$8551,3,FALSE),"")</f>
        <v/>
      </c>
      <c r="E3217" s="392" t="str">
        <f>IFERROR(VLOOKUP(A3217,[3]DOORSCRIEFT!$A$2:$G$8551,4,FALSE),"")</f>
        <v/>
      </c>
      <c r="F3217" s="397" t="str">
        <f>IFERROR(VLOOKUP(A3217,[3]DOORSCRIEFT!$A$2:$G$8551,6,FALSE),"")</f>
        <v/>
      </c>
      <c r="G3217" s="315"/>
    </row>
    <row r="3218" spans="1:7" x14ac:dyDescent="0.25">
      <c r="A3218" s="319" t="str">
        <f t="shared" si="95"/>
        <v>I.2.2.02.0585</v>
      </c>
      <c r="B3218" s="319">
        <v>5</v>
      </c>
      <c r="C3218" s="394" t="str">
        <f>IFERROR(VLOOKUP(A3218,[3]DOORSCRIEFT!$A$2:$G$8551,2,FALSE),"")</f>
        <v/>
      </c>
      <c r="D3218" s="393" t="str">
        <f>IFERROR(VLOOKUP(A3218,[3]DOORSCRIEFT!$A$2:$G$8551,3,FALSE),"")</f>
        <v/>
      </c>
      <c r="E3218" s="392" t="str">
        <f>IFERROR(VLOOKUP(A3218,[3]DOORSCRIEFT!$A$2:$G$8551,4,FALSE),"")</f>
        <v/>
      </c>
      <c r="F3218" s="397" t="str">
        <f>IFERROR(VLOOKUP(A3218,[3]DOORSCRIEFT!$A$2:$G$8551,6,FALSE),"")</f>
        <v/>
      </c>
      <c r="G3218" s="315"/>
    </row>
    <row r="3219" spans="1:7" x14ac:dyDescent="0.25">
      <c r="A3219" s="319" t="str">
        <f t="shared" si="95"/>
        <v>I.2.2.02.0586</v>
      </c>
      <c r="B3219" s="319">
        <v>6</v>
      </c>
      <c r="C3219" s="394" t="str">
        <f>IFERROR(VLOOKUP(A3219,[3]DOORSCRIEFT!$A$2:$G$8551,2,FALSE),"")</f>
        <v/>
      </c>
      <c r="D3219" s="393" t="str">
        <f>IFERROR(VLOOKUP(A3219,[3]DOORSCRIEFT!$A$2:$G$8551,3,FALSE),"")</f>
        <v/>
      </c>
      <c r="E3219" s="392" t="str">
        <f>IFERROR(VLOOKUP(A3219,[3]DOORSCRIEFT!$A$2:$G$8551,4,FALSE),"")</f>
        <v/>
      </c>
      <c r="F3219" s="397" t="str">
        <f>IFERROR(VLOOKUP(A3219,[3]DOORSCRIEFT!$A$2:$G$8551,6,FALSE),"")</f>
        <v/>
      </c>
      <c r="G3219" s="315"/>
    </row>
    <row r="3220" spans="1:7" x14ac:dyDescent="0.25">
      <c r="A3220" s="319" t="str">
        <f t="shared" si="95"/>
        <v>I.2.2.02.0587</v>
      </c>
      <c r="B3220" s="319">
        <v>7</v>
      </c>
      <c r="C3220" s="394" t="str">
        <f>IFERROR(VLOOKUP(A3220,[3]DOORSCRIEFT!$A$2:$G$8551,2,FALSE),"")</f>
        <v/>
      </c>
      <c r="D3220" s="393" t="str">
        <f>IFERROR(VLOOKUP(A3220,[3]DOORSCRIEFT!$A$2:$G$8551,3,FALSE),"")</f>
        <v/>
      </c>
      <c r="E3220" s="392" t="str">
        <f>IFERROR(VLOOKUP(A3220,[3]DOORSCRIEFT!$A$2:$G$8551,4,FALSE),"")</f>
        <v/>
      </c>
      <c r="F3220" s="397" t="str">
        <f>IFERROR(VLOOKUP(A3220,[3]DOORSCRIEFT!$A$2:$G$8551,6,FALSE),"")</f>
        <v/>
      </c>
      <c r="G3220" s="315"/>
    </row>
    <row r="3221" spans="1:7" x14ac:dyDescent="0.25">
      <c r="A3221" s="319" t="str">
        <f t="shared" si="95"/>
        <v>I.2.2.02.0588</v>
      </c>
      <c r="B3221" s="319">
        <v>8</v>
      </c>
      <c r="C3221" s="394" t="str">
        <f>IFERROR(VLOOKUP(A3221,[3]DOORSCRIEFT!$A$2:$G$8551,2,FALSE),"")</f>
        <v/>
      </c>
      <c r="D3221" s="393" t="str">
        <f>IFERROR(VLOOKUP(A3221,[3]DOORSCRIEFT!$A$2:$G$8551,3,FALSE),"")</f>
        <v/>
      </c>
      <c r="E3221" s="392" t="str">
        <f>IFERROR(VLOOKUP(A3221,[3]DOORSCRIEFT!$A$2:$G$8551,4,FALSE),"")</f>
        <v/>
      </c>
      <c r="F3221" s="397" t="str">
        <f>IFERROR(VLOOKUP(A3221,[3]DOORSCRIEFT!$A$2:$G$8551,6,FALSE),"")</f>
        <v/>
      </c>
      <c r="G3221" s="315"/>
    </row>
    <row r="3222" spans="1:7" x14ac:dyDescent="0.25">
      <c r="A3222" s="319" t="str">
        <f t="shared" si="95"/>
        <v>I.2.2.02.0589</v>
      </c>
      <c r="B3222" s="319">
        <v>9</v>
      </c>
      <c r="C3222" s="394" t="str">
        <f>IFERROR(VLOOKUP(A3222,[3]DOORSCRIEFT!$A$2:$G$8551,2,FALSE),"")</f>
        <v/>
      </c>
      <c r="D3222" s="393" t="str">
        <f>IFERROR(VLOOKUP(A3222,[3]DOORSCRIEFT!$A$2:$G$8551,3,FALSE),"")</f>
        <v/>
      </c>
      <c r="E3222" s="392" t="str">
        <f>IFERROR(VLOOKUP(A3222,[3]DOORSCRIEFT!$A$2:$G$8551,4,FALSE),"")</f>
        <v/>
      </c>
      <c r="F3222" s="397" t="str">
        <f>IFERROR(VLOOKUP(A3222,[3]DOORSCRIEFT!$A$2:$G$8551,6,FALSE),"")</f>
        <v/>
      </c>
      <c r="G3222" s="315"/>
    </row>
    <row r="3223" spans="1:7" x14ac:dyDescent="0.25">
      <c r="A3223" s="319" t="str">
        <f t="shared" si="95"/>
        <v>I.2.2.02.05810</v>
      </c>
      <c r="B3223" s="319">
        <v>10</v>
      </c>
      <c r="C3223" s="394" t="str">
        <f>IFERROR(VLOOKUP(A3223,[3]DOORSCRIEFT!$A$2:$G$8551,2,FALSE),"")</f>
        <v/>
      </c>
      <c r="D3223" s="393" t="str">
        <f>IFERROR(VLOOKUP(A3223,[3]DOORSCRIEFT!$A$2:$G$8551,3,FALSE),"")</f>
        <v/>
      </c>
      <c r="E3223" s="392" t="str">
        <f>IFERROR(VLOOKUP(A3223,[3]DOORSCRIEFT!$A$2:$G$8551,4,FALSE),"")</f>
        <v/>
      </c>
      <c r="F3223" s="397" t="str">
        <f>IFERROR(VLOOKUP(A3223,[3]DOORSCRIEFT!$A$2:$G$8551,6,FALSE),"")</f>
        <v/>
      </c>
      <c r="G3223" s="315"/>
    </row>
    <row r="3224" spans="1:7" x14ac:dyDescent="0.25">
      <c r="A3224" s="319" t="str">
        <f t="shared" si="95"/>
        <v>I.2.2.02.05811</v>
      </c>
      <c r="B3224" s="319">
        <v>11</v>
      </c>
      <c r="C3224" s="394" t="str">
        <f>IFERROR(VLOOKUP(A3224,[3]DOORSCRIEFT!$A$2:$G$8551,2,FALSE),"")</f>
        <v/>
      </c>
      <c r="D3224" s="393" t="str">
        <f>IFERROR(VLOOKUP(A3224,[3]DOORSCRIEFT!$A$2:$G$8551,3,FALSE),"")</f>
        <v/>
      </c>
      <c r="E3224" s="392" t="str">
        <f>IFERROR(VLOOKUP(A3224,[3]DOORSCRIEFT!$A$2:$G$8551,4,FALSE),"")</f>
        <v/>
      </c>
      <c r="F3224" s="397" t="str">
        <f>IFERROR(VLOOKUP(A3224,[3]DOORSCRIEFT!$A$2:$G$8551,6,FALSE),"")</f>
        <v/>
      </c>
      <c r="G3224" s="315"/>
    </row>
    <row r="3225" spans="1:7" x14ac:dyDescent="0.25">
      <c r="A3225" s="319" t="str">
        <f t="shared" si="95"/>
        <v>I.2.2.02.05812</v>
      </c>
      <c r="B3225" s="319">
        <v>12</v>
      </c>
      <c r="C3225" s="394" t="str">
        <f>IFERROR(VLOOKUP(A3225,[3]DOORSCRIEFT!$A$2:$G$8551,2,FALSE),"")</f>
        <v/>
      </c>
      <c r="D3225" s="393" t="str">
        <f>IFERROR(VLOOKUP(A3225,[3]DOORSCRIEFT!$A$2:$G$8551,3,FALSE),"")</f>
        <v/>
      </c>
      <c r="E3225" s="392" t="str">
        <f>IFERROR(VLOOKUP(A3225,[3]DOORSCRIEFT!$A$2:$G$8551,4,FALSE),"")</f>
        <v/>
      </c>
      <c r="F3225" s="397" t="str">
        <f>IFERROR(VLOOKUP(A3225,[3]DOORSCRIEFT!$A$2:$G$8551,6,FALSE),"")</f>
        <v/>
      </c>
      <c r="G3225" s="315"/>
    </row>
    <row r="3226" spans="1:7" x14ac:dyDescent="0.25">
      <c r="A3226" s="319" t="str">
        <f t="shared" si="95"/>
        <v>I.2.2.02.05813</v>
      </c>
      <c r="B3226" s="319">
        <v>13</v>
      </c>
      <c r="C3226" s="394" t="str">
        <f>IFERROR(VLOOKUP(A3226,[3]DOORSCRIEFT!$A$2:$G$8551,2,FALSE),"")</f>
        <v/>
      </c>
      <c r="D3226" s="393" t="str">
        <f>IFERROR(VLOOKUP(A3226,[3]DOORSCRIEFT!$A$2:$G$8551,3,FALSE),"")</f>
        <v/>
      </c>
      <c r="E3226" s="392" t="str">
        <f>IFERROR(VLOOKUP(A3226,[3]DOORSCRIEFT!$A$2:$G$8551,4,FALSE),"")</f>
        <v/>
      </c>
      <c r="F3226" s="397" t="str">
        <f>IFERROR(VLOOKUP(A3226,[3]DOORSCRIEFT!$A$2:$G$8551,6,FALSE),"")</f>
        <v/>
      </c>
      <c r="G3226" s="315"/>
    </row>
    <row r="3227" spans="1:7" x14ac:dyDescent="0.25">
      <c r="A3227" s="319" t="str">
        <f t="shared" si="95"/>
        <v>I.2.2.02.05814</v>
      </c>
      <c r="B3227" s="319">
        <v>14</v>
      </c>
      <c r="C3227" s="394" t="str">
        <f>IFERROR(VLOOKUP(A3227,[3]DOORSCRIEFT!$A$2:$G$8551,2,FALSE),"")</f>
        <v/>
      </c>
      <c r="D3227" s="393" t="str">
        <f>IFERROR(VLOOKUP(A3227,[3]DOORSCRIEFT!$A$2:$G$8551,3,FALSE),"")</f>
        <v/>
      </c>
      <c r="E3227" s="392" t="str">
        <f>IFERROR(VLOOKUP(A3227,[3]DOORSCRIEFT!$A$2:$G$8551,4,FALSE),"")</f>
        <v/>
      </c>
      <c r="F3227" s="397" t="str">
        <f>IFERROR(VLOOKUP(A3227,[3]DOORSCRIEFT!$A$2:$G$8551,6,FALSE),"")</f>
        <v/>
      </c>
      <c r="G3227" s="315"/>
    </row>
    <row r="3228" spans="1:7" ht="15.75" thickBot="1" x14ac:dyDescent="0.3">
      <c r="A3228" s="345" t="str">
        <f t="shared" si="95"/>
        <v>I.2.2.02.05815</v>
      </c>
      <c r="B3228" s="345">
        <v>15</v>
      </c>
      <c r="C3228" s="394" t="str">
        <f>IFERROR(VLOOKUP(A3228,[3]DOORSCRIEFT!$A$2:$G$8551,2,FALSE),"")</f>
        <v/>
      </c>
      <c r="D3228" s="393" t="str">
        <f>IFERROR(VLOOKUP(A3228,[3]DOORSCRIEFT!$A$2:$G$8551,3,FALSE),"")</f>
        <v/>
      </c>
      <c r="E3228" s="392" t="str">
        <f>IFERROR(VLOOKUP(A3228,[3]DOORSCRIEFT!$A$2:$G$8551,4,FALSE),"")</f>
        <v/>
      </c>
      <c r="F3228" s="397" t="str">
        <f>IFERROR(VLOOKUP(A3228,[3]DOORSCRIEFT!$A$2:$G$8551,6,FALSE),"")</f>
        <v/>
      </c>
      <c r="G3228" s="315"/>
    </row>
    <row r="3229" spans="1:7" ht="15.75" thickBot="1" x14ac:dyDescent="0.3">
      <c r="A3229" s="344"/>
      <c r="B3229" s="343"/>
      <c r="C3229" s="336"/>
      <c r="D3229" s="312"/>
      <c r="E3229" s="311" t="s">
        <v>644</v>
      </c>
      <c r="F3229" s="310">
        <f>SUM(F3214:F3228)</f>
        <v>0</v>
      </c>
      <c r="G3229" s="309">
        <f>SUM(G3214:G3228)</f>
        <v>0</v>
      </c>
    </row>
    <row r="3230" spans="1:7" x14ac:dyDescent="0.25">
      <c r="C3230" s="335"/>
    </row>
    <row r="3231" spans="1:7" x14ac:dyDescent="0.25">
      <c r="C3231" s="335"/>
    </row>
    <row r="3232" spans="1:7" ht="15.75" x14ac:dyDescent="0.25">
      <c r="C3232" s="334"/>
      <c r="D3232" s="333"/>
      <c r="E3232" s="332"/>
      <c r="F3232" s="327" t="s">
        <v>607</v>
      </c>
      <c r="G3232" s="327" t="s">
        <v>430</v>
      </c>
    </row>
    <row r="3233" spans="1:7" ht="15.75" x14ac:dyDescent="0.25">
      <c r="C3233" s="334"/>
      <c r="D3233" s="333"/>
      <c r="E3233" s="332"/>
      <c r="F3233" s="327" t="s">
        <v>601</v>
      </c>
      <c r="G3233" s="327" t="s">
        <v>429</v>
      </c>
    </row>
    <row r="3234" spans="1:7" x14ac:dyDescent="0.25">
      <c r="C3234" s="330"/>
      <c r="D3234" s="329"/>
      <c r="E3234" s="328"/>
      <c r="F3234" s="327" t="s">
        <v>651</v>
      </c>
      <c r="G3234" s="331">
        <f>[2]Sheet1!$D$86</f>
        <v>2000000</v>
      </c>
    </row>
    <row r="3235" spans="1:7" ht="15.75" thickBot="1" x14ac:dyDescent="0.3">
      <c r="C3235" s="330"/>
      <c r="D3235" s="329"/>
      <c r="E3235" s="328"/>
      <c r="F3235" s="327" t="s">
        <v>650</v>
      </c>
      <c r="G3235" s="326">
        <f>+F3254-G3234</f>
        <v>-2000000</v>
      </c>
    </row>
    <row r="3236" spans="1:7" x14ac:dyDescent="0.25">
      <c r="A3236" s="571" t="s">
        <v>626</v>
      </c>
      <c r="B3236" s="573" t="s">
        <v>606</v>
      </c>
      <c r="C3236" s="588" t="s">
        <v>649</v>
      </c>
      <c r="D3236" s="577" t="s">
        <v>648</v>
      </c>
      <c r="E3236" s="577" t="s">
        <v>647</v>
      </c>
      <c r="F3236" s="577" t="s">
        <v>646</v>
      </c>
      <c r="G3236" s="580" t="s">
        <v>645</v>
      </c>
    </row>
    <row r="3237" spans="1:7" ht="15.75" thickBot="1" x14ac:dyDescent="0.3">
      <c r="A3237" s="572"/>
      <c r="B3237" s="574"/>
      <c r="C3237" s="589"/>
      <c r="D3237" s="586"/>
      <c r="E3237" s="586"/>
      <c r="F3237" s="586"/>
      <c r="G3237" s="587"/>
    </row>
    <row r="3238" spans="1:7" ht="15.75" thickBot="1" x14ac:dyDescent="0.3">
      <c r="A3238" s="325">
        <v>1</v>
      </c>
      <c r="B3238" s="324">
        <v>2</v>
      </c>
      <c r="C3238" s="324">
        <v>3</v>
      </c>
      <c r="D3238" s="324">
        <v>4</v>
      </c>
      <c r="E3238" s="324">
        <v>5</v>
      </c>
      <c r="F3238" s="324">
        <v>6</v>
      </c>
      <c r="G3238" s="323">
        <v>7</v>
      </c>
    </row>
    <row r="3239" spans="1:7" x14ac:dyDescent="0.25">
      <c r="A3239" s="339" t="str">
        <f t="shared" ref="A3239:A3253" si="96">$G$3232&amp;B3239</f>
        <v>I.2.2.02.0591</v>
      </c>
      <c r="B3239" s="339">
        <v>1</v>
      </c>
      <c r="C3239" s="394" t="str">
        <f>IFERROR(VLOOKUP(A3239,[3]DOORSCRIEFT!$A$2:$G$8551,2,FALSE),"")</f>
        <v/>
      </c>
      <c r="D3239" s="393" t="str">
        <f>IFERROR(VLOOKUP(A3239,[3]DOORSCRIEFT!$A$2:$G$8551,3,FALSE),"")</f>
        <v/>
      </c>
      <c r="E3239" s="392" t="str">
        <f>IFERROR(VLOOKUP(A3239,[3]DOORSCRIEFT!$A$2:$G$8551,4,FALSE),"")</f>
        <v/>
      </c>
      <c r="F3239" s="397" t="str">
        <f>IFERROR(VLOOKUP(A3239,[3]DOORSCRIEFT!$A$2:$G$8551,6,FALSE),"")</f>
        <v/>
      </c>
      <c r="G3239" s="322"/>
    </row>
    <row r="3240" spans="1:7" x14ac:dyDescent="0.25">
      <c r="A3240" s="319" t="str">
        <f t="shared" si="96"/>
        <v>I.2.2.02.0592</v>
      </c>
      <c r="B3240" s="319">
        <v>2</v>
      </c>
      <c r="C3240" s="394" t="str">
        <f>IFERROR(VLOOKUP(A3240,[3]DOORSCRIEFT!$A$2:$G$8551,2,FALSE),"")</f>
        <v/>
      </c>
      <c r="D3240" s="393" t="str">
        <f>IFERROR(VLOOKUP(A3240,[3]DOORSCRIEFT!$A$2:$G$8551,3,FALSE),"")</f>
        <v/>
      </c>
      <c r="E3240" s="392" t="str">
        <f>IFERROR(VLOOKUP(A3240,[3]DOORSCRIEFT!$A$2:$G$8551,4,FALSE),"")</f>
        <v/>
      </c>
      <c r="F3240" s="397" t="str">
        <f>IFERROR(VLOOKUP(A3240,[3]DOORSCRIEFT!$A$2:$G$8551,6,FALSE),"")</f>
        <v/>
      </c>
      <c r="G3240" s="315"/>
    </row>
    <row r="3241" spans="1:7" x14ac:dyDescent="0.25">
      <c r="A3241" s="319" t="str">
        <f t="shared" si="96"/>
        <v>I.2.2.02.0593</v>
      </c>
      <c r="B3241" s="319">
        <v>3</v>
      </c>
      <c r="C3241" s="394" t="str">
        <f>IFERROR(VLOOKUP(A3241,[3]DOORSCRIEFT!$A$2:$G$8551,2,FALSE),"")</f>
        <v/>
      </c>
      <c r="D3241" s="393" t="str">
        <f>IFERROR(VLOOKUP(A3241,[3]DOORSCRIEFT!$A$2:$G$8551,3,FALSE),"")</f>
        <v/>
      </c>
      <c r="E3241" s="392" t="str">
        <f>IFERROR(VLOOKUP(A3241,[3]DOORSCRIEFT!$A$2:$G$8551,4,FALSE),"")</f>
        <v/>
      </c>
      <c r="F3241" s="397" t="str">
        <f>IFERROR(VLOOKUP(A3241,[3]DOORSCRIEFT!$A$2:$G$8551,6,FALSE),"")</f>
        <v/>
      </c>
      <c r="G3241" s="315"/>
    </row>
    <row r="3242" spans="1:7" x14ac:dyDescent="0.25">
      <c r="A3242" s="319" t="str">
        <f t="shared" si="96"/>
        <v>I.2.2.02.0594</v>
      </c>
      <c r="B3242" s="319">
        <v>4</v>
      </c>
      <c r="C3242" s="394" t="str">
        <f>IFERROR(VLOOKUP(A3242,[3]DOORSCRIEFT!$A$2:$G$8551,2,FALSE),"")</f>
        <v/>
      </c>
      <c r="D3242" s="393" t="str">
        <f>IFERROR(VLOOKUP(A3242,[3]DOORSCRIEFT!$A$2:$G$8551,3,FALSE),"")</f>
        <v/>
      </c>
      <c r="E3242" s="392" t="str">
        <f>IFERROR(VLOOKUP(A3242,[3]DOORSCRIEFT!$A$2:$G$8551,4,FALSE),"")</f>
        <v/>
      </c>
      <c r="F3242" s="397" t="str">
        <f>IFERROR(VLOOKUP(A3242,[3]DOORSCRIEFT!$A$2:$G$8551,6,FALSE),"")</f>
        <v/>
      </c>
      <c r="G3242" s="315"/>
    </row>
    <row r="3243" spans="1:7" x14ac:dyDescent="0.25">
      <c r="A3243" s="319" t="str">
        <f t="shared" si="96"/>
        <v>I.2.2.02.0595</v>
      </c>
      <c r="B3243" s="319">
        <v>5</v>
      </c>
      <c r="C3243" s="394" t="str">
        <f>IFERROR(VLOOKUP(A3243,[3]DOORSCRIEFT!$A$2:$G$8551,2,FALSE),"")</f>
        <v/>
      </c>
      <c r="D3243" s="393" t="str">
        <f>IFERROR(VLOOKUP(A3243,[3]DOORSCRIEFT!$A$2:$G$8551,3,FALSE),"")</f>
        <v/>
      </c>
      <c r="E3243" s="392" t="str">
        <f>IFERROR(VLOOKUP(A3243,[3]DOORSCRIEFT!$A$2:$G$8551,4,FALSE),"")</f>
        <v/>
      </c>
      <c r="F3243" s="397" t="str">
        <f>IFERROR(VLOOKUP(A3243,[3]DOORSCRIEFT!$A$2:$G$8551,6,FALSE),"")</f>
        <v/>
      </c>
      <c r="G3243" s="315"/>
    </row>
    <row r="3244" spans="1:7" x14ac:dyDescent="0.25">
      <c r="A3244" s="319" t="str">
        <f t="shared" si="96"/>
        <v>I.2.2.02.0596</v>
      </c>
      <c r="B3244" s="319">
        <v>6</v>
      </c>
      <c r="C3244" s="394" t="str">
        <f>IFERROR(VLOOKUP(A3244,[3]DOORSCRIEFT!$A$2:$G$8551,2,FALSE),"")</f>
        <v/>
      </c>
      <c r="D3244" s="393" t="str">
        <f>IFERROR(VLOOKUP(A3244,[3]DOORSCRIEFT!$A$2:$G$8551,3,FALSE),"")</f>
        <v/>
      </c>
      <c r="E3244" s="392" t="str">
        <f>IFERROR(VLOOKUP(A3244,[3]DOORSCRIEFT!$A$2:$G$8551,4,FALSE),"")</f>
        <v/>
      </c>
      <c r="F3244" s="397" t="str">
        <f>IFERROR(VLOOKUP(A3244,[3]DOORSCRIEFT!$A$2:$G$8551,6,FALSE),"")</f>
        <v/>
      </c>
      <c r="G3244" s="315"/>
    </row>
    <row r="3245" spans="1:7" x14ac:dyDescent="0.25">
      <c r="A3245" s="319" t="str">
        <f t="shared" si="96"/>
        <v>I.2.2.02.0597</v>
      </c>
      <c r="B3245" s="319">
        <v>7</v>
      </c>
      <c r="C3245" s="394" t="str">
        <f>IFERROR(VLOOKUP(A3245,[3]DOORSCRIEFT!$A$2:$G$8551,2,FALSE),"")</f>
        <v/>
      </c>
      <c r="D3245" s="393" t="str">
        <f>IFERROR(VLOOKUP(A3245,[3]DOORSCRIEFT!$A$2:$G$8551,3,FALSE),"")</f>
        <v/>
      </c>
      <c r="E3245" s="392" t="str">
        <f>IFERROR(VLOOKUP(A3245,[3]DOORSCRIEFT!$A$2:$G$8551,4,FALSE),"")</f>
        <v/>
      </c>
      <c r="F3245" s="397" t="str">
        <f>IFERROR(VLOOKUP(A3245,[3]DOORSCRIEFT!$A$2:$G$8551,6,FALSE),"")</f>
        <v/>
      </c>
      <c r="G3245" s="315"/>
    </row>
    <row r="3246" spans="1:7" x14ac:dyDescent="0.25">
      <c r="A3246" s="319" t="str">
        <f t="shared" si="96"/>
        <v>I.2.2.02.0598</v>
      </c>
      <c r="B3246" s="319">
        <v>8</v>
      </c>
      <c r="C3246" s="394" t="str">
        <f>IFERROR(VLOOKUP(A3246,[3]DOORSCRIEFT!$A$2:$G$8551,2,FALSE),"")</f>
        <v/>
      </c>
      <c r="D3246" s="393" t="str">
        <f>IFERROR(VLOOKUP(A3246,[3]DOORSCRIEFT!$A$2:$G$8551,3,FALSE),"")</f>
        <v/>
      </c>
      <c r="E3246" s="392" t="str">
        <f>IFERROR(VLOOKUP(A3246,[3]DOORSCRIEFT!$A$2:$G$8551,4,FALSE),"")</f>
        <v/>
      </c>
      <c r="F3246" s="397" t="str">
        <f>IFERROR(VLOOKUP(A3246,[3]DOORSCRIEFT!$A$2:$G$8551,6,FALSE),"")</f>
        <v/>
      </c>
      <c r="G3246" s="315"/>
    </row>
    <row r="3247" spans="1:7" x14ac:dyDescent="0.25">
      <c r="A3247" s="319" t="str">
        <f t="shared" si="96"/>
        <v>I.2.2.02.0599</v>
      </c>
      <c r="B3247" s="319">
        <v>9</v>
      </c>
      <c r="C3247" s="394" t="str">
        <f>IFERROR(VLOOKUP(A3247,[3]DOORSCRIEFT!$A$2:$G$8551,2,FALSE),"")</f>
        <v/>
      </c>
      <c r="D3247" s="393" t="str">
        <f>IFERROR(VLOOKUP(A3247,[3]DOORSCRIEFT!$A$2:$G$8551,3,FALSE),"")</f>
        <v/>
      </c>
      <c r="E3247" s="392" t="str">
        <f>IFERROR(VLOOKUP(A3247,[3]DOORSCRIEFT!$A$2:$G$8551,4,FALSE),"")</f>
        <v/>
      </c>
      <c r="F3247" s="397" t="str">
        <f>IFERROR(VLOOKUP(A3247,[3]DOORSCRIEFT!$A$2:$G$8551,6,FALSE),"")</f>
        <v/>
      </c>
      <c r="G3247" s="315"/>
    </row>
    <row r="3248" spans="1:7" x14ac:dyDescent="0.25">
      <c r="A3248" s="319" t="str">
        <f t="shared" si="96"/>
        <v>I.2.2.02.05910</v>
      </c>
      <c r="B3248" s="319">
        <v>10</v>
      </c>
      <c r="C3248" s="394" t="str">
        <f>IFERROR(VLOOKUP(A3248,[3]DOORSCRIEFT!$A$2:$G$8551,2,FALSE),"")</f>
        <v/>
      </c>
      <c r="D3248" s="393" t="str">
        <f>IFERROR(VLOOKUP(A3248,[3]DOORSCRIEFT!$A$2:$G$8551,3,FALSE),"")</f>
        <v/>
      </c>
      <c r="E3248" s="392" t="str">
        <f>IFERROR(VLOOKUP(A3248,[3]DOORSCRIEFT!$A$2:$G$8551,4,FALSE),"")</f>
        <v/>
      </c>
      <c r="F3248" s="397" t="str">
        <f>IFERROR(VLOOKUP(A3248,[3]DOORSCRIEFT!$A$2:$G$8551,6,FALSE),"")</f>
        <v/>
      </c>
      <c r="G3248" s="315"/>
    </row>
    <row r="3249" spans="1:7" x14ac:dyDescent="0.25">
      <c r="A3249" s="319" t="str">
        <f t="shared" si="96"/>
        <v>I.2.2.02.05911</v>
      </c>
      <c r="B3249" s="319">
        <v>11</v>
      </c>
      <c r="C3249" s="394" t="str">
        <f>IFERROR(VLOOKUP(A3249,[3]DOORSCRIEFT!$A$2:$G$8551,2,FALSE),"")</f>
        <v/>
      </c>
      <c r="D3249" s="393" t="str">
        <f>IFERROR(VLOOKUP(A3249,[3]DOORSCRIEFT!$A$2:$G$8551,3,FALSE),"")</f>
        <v/>
      </c>
      <c r="E3249" s="392" t="str">
        <f>IFERROR(VLOOKUP(A3249,[3]DOORSCRIEFT!$A$2:$G$8551,4,FALSE),"")</f>
        <v/>
      </c>
      <c r="F3249" s="397" t="str">
        <f>IFERROR(VLOOKUP(A3249,[3]DOORSCRIEFT!$A$2:$G$8551,6,FALSE),"")</f>
        <v/>
      </c>
      <c r="G3249" s="315"/>
    </row>
    <row r="3250" spans="1:7" x14ac:dyDescent="0.25">
      <c r="A3250" s="319" t="str">
        <f t="shared" si="96"/>
        <v>I.2.2.02.05912</v>
      </c>
      <c r="B3250" s="319">
        <v>12</v>
      </c>
      <c r="C3250" s="394" t="str">
        <f>IFERROR(VLOOKUP(A3250,[3]DOORSCRIEFT!$A$2:$G$8551,2,FALSE),"")</f>
        <v/>
      </c>
      <c r="D3250" s="393" t="str">
        <f>IFERROR(VLOOKUP(A3250,[3]DOORSCRIEFT!$A$2:$G$8551,3,FALSE),"")</f>
        <v/>
      </c>
      <c r="E3250" s="392" t="str">
        <f>IFERROR(VLOOKUP(A3250,[3]DOORSCRIEFT!$A$2:$G$8551,4,FALSE),"")</f>
        <v/>
      </c>
      <c r="F3250" s="397" t="str">
        <f>IFERROR(VLOOKUP(A3250,[3]DOORSCRIEFT!$A$2:$G$8551,6,FALSE),"")</f>
        <v/>
      </c>
      <c r="G3250" s="315"/>
    </row>
    <row r="3251" spans="1:7" x14ac:dyDescent="0.25">
      <c r="A3251" s="319" t="str">
        <f t="shared" si="96"/>
        <v>I.2.2.02.05913</v>
      </c>
      <c r="B3251" s="319">
        <v>13</v>
      </c>
      <c r="C3251" s="394" t="str">
        <f>IFERROR(VLOOKUP(A3251,[3]DOORSCRIEFT!$A$2:$G$8551,2,FALSE),"")</f>
        <v/>
      </c>
      <c r="D3251" s="393" t="str">
        <f>IFERROR(VLOOKUP(A3251,[3]DOORSCRIEFT!$A$2:$G$8551,3,FALSE),"")</f>
        <v/>
      </c>
      <c r="E3251" s="392" t="str">
        <f>IFERROR(VLOOKUP(A3251,[3]DOORSCRIEFT!$A$2:$G$8551,4,FALSE),"")</f>
        <v/>
      </c>
      <c r="F3251" s="397" t="str">
        <f>IFERROR(VLOOKUP(A3251,[3]DOORSCRIEFT!$A$2:$G$8551,6,FALSE),"")</f>
        <v/>
      </c>
      <c r="G3251" s="315"/>
    </row>
    <row r="3252" spans="1:7" x14ac:dyDescent="0.25">
      <c r="A3252" s="319" t="str">
        <f t="shared" si="96"/>
        <v>I.2.2.02.05914</v>
      </c>
      <c r="B3252" s="319">
        <v>14</v>
      </c>
      <c r="C3252" s="394" t="str">
        <f>IFERROR(VLOOKUP(A3252,[3]DOORSCRIEFT!$A$2:$G$8551,2,FALSE),"")</f>
        <v/>
      </c>
      <c r="D3252" s="393" t="str">
        <f>IFERROR(VLOOKUP(A3252,[3]DOORSCRIEFT!$A$2:$G$8551,3,FALSE),"")</f>
        <v/>
      </c>
      <c r="E3252" s="392" t="str">
        <f>IFERROR(VLOOKUP(A3252,[3]DOORSCRIEFT!$A$2:$G$8551,4,FALSE),"")</f>
        <v/>
      </c>
      <c r="F3252" s="397" t="str">
        <f>IFERROR(VLOOKUP(A3252,[3]DOORSCRIEFT!$A$2:$G$8551,6,FALSE),"")</f>
        <v/>
      </c>
      <c r="G3252" s="315"/>
    </row>
    <row r="3253" spans="1:7" ht="15.75" thickBot="1" x14ac:dyDescent="0.3">
      <c r="A3253" s="345" t="str">
        <f t="shared" si="96"/>
        <v>I.2.2.02.05915</v>
      </c>
      <c r="B3253" s="345">
        <v>15</v>
      </c>
      <c r="C3253" s="394" t="str">
        <f>IFERROR(VLOOKUP(A3253,[3]DOORSCRIEFT!$A$2:$G$8551,2,FALSE),"")</f>
        <v/>
      </c>
      <c r="D3253" s="393" t="str">
        <f>IFERROR(VLOOKUP(A3253,[3]DOORSCRIEFT!$A$2:$G$8551,3,FALSE),"")</f>
        <v/>
      </c>
      <c r="E3253" s="392" t="str">
        <f>IFERROR(VLOOKUP(A3253,[3]DOORSCRIEFT!$A$2:$G$8551,4,FALSE),"")</f>
        <v/>
      </c>
      <c r="F3253" s="397" t="str">
        <f>IFERROR(VLOOKUP(A3253,[3]DOORSCRIEFT!$A$2:$G$8551,6,FALSE),"")</f>
        <v/>
      </c>
      <c r="G3253" s="315"/>
    </row>
    <row r="3254" spans="1:7" ht="15.75" thickBot="1" x14ac:dyDescent="0.3">
      <c r="A3254" s="344"/>
      <c r="B3254" s="343"/>
      <c r="C3254" s="336"/>
      <c r="D3254" s="312"/>
      <c r="E3254" s="311" t="s">
        <v>644</v>
      </c>
      <c r="F3254" s="310">
        <f>SUM(F3239:F3253)</f>
        <v>0</v>
      </c>
      <c r="G3254" s="309">
        <f>SUM(G3239:G3253)</f>
        <v>0</v>
      </c>
    </row>
    <row r="3255" spans="1:7" x14ac:dyDescent="0.25">
      <c r="C3255" s="335"/>
    </row>
    <row r="3256" spans="1:7" x14ac:dyDescent="0.25">
      <c r="C3256" s="335"/>
    </row>
    <row r="3257" spans="1:7" ht="15.75" x14ac:dyDescent="0.25">
      <c r="C3257" s="334"/>
      <c r="D3257" s="333"/>
      <c r="E3257" s="332"/>
      <c r="F3257" s="327" t="s">
        <v>607</v>
      </c>
      <c r="G3257" s="327" t="s">
        <v>428</v>
      </c>
    </row>
    <row r="3258" spans="1:7" ht="15.75" x14ac:dyDescent="0.25">
      <c r="C3258" s="334"/>
      <c r="D3258" s="333"/>
      <c r="E3258" s="332"/>
      <c r="F3258" s="327" t="s">
        <v>601</v>
      </c>
      <c r="G3258" s="327" t="s">
        <v>427</v>
      </c>
    </row>
    <row r="3259" spans="1:7" x14ac:dyDescent="0.25">
      <c r="C3259" s="330"/>
      <c r="D3259" s="329"/>
      <c r="E3259" s="328"/>
      <c r="F3259" s="327" t="s">
        <v>651</v>
      </c>
      <c r="G3259" s="331">
        <f>[2]Sheet1!$D$87</f>
        <v>700000</v>
      </c>
    </row>
    <row r="3260" spans="1:7" ht="15.75" thickBot="1" x14ac:dyDescent="0.3">
      <c r="C3260" s="330"/>
      <c r="D3260" s="329"/>
      <c r="E3260" s="328"/>
      <c r="F3260" s="327" t="s">
        <v>650</v>
      </c>
      <c r="G3260" s="326">
        <f>+F3299-G3259</f>
        <v>-700000</v>
      </c>
    </row>
    <row r="3261" spans="1:7" x14ac:dyDescent="0.25">
      <c r="A3261" s="571" t="s">
        <v>626</v>
      </c>
      <c r="B3261" s="573" t="s">
        <v>606</v>
      </c>
      <c r="C3261" s="588" t="s">
        <v>649</v>
      </c>
      <c r="D3261" s="577" t="s">
        <v>648</v>
      </c>
      <c r="E3261" s="577" t="s">
        <v>647</v>
      </c>
      <c r="F3261" s="577" t="s">
        <v>646</v>
      </c>
      <c r="G3261" s="580" t="s">
        <v>645</v>
      </c>
    </row>
    <row r="3262" spans="1:7" ht="15.75" thickBot="1" x14ac:dyDescent="0.3">
      <c r="A3262" s="572"/>
      <c r="B3262" s="574"/>
      <c r="C3262" s="589"/>
      <c r="D3262" s="586"/>
      <c r="E3262" s="586"/>
      <c r="F3262" s="586"/>
      <c r="G3262" s="587"/>
    </row>
    <row r="3263" spans="1:7" ht="15.75" thickBot="1" x14ac:dyDescent="0.3">
      <c r="A3263" s="325">
        <v>1</v>
      </c>
      <c r="B3263" s="324">
        <v>2</v>
      </c>
      <c r="C3263" s="324">
        <v>3</v>
      </c>
      <c r="D3263" s="324">
        <v>4</v>
      </c>
      <c r="E3263" s="324">
        <v>5</v>
      </c>
      <c r="F3263" s="324">
        <v>6</v>
      </c>
      <c r="G3263" s="323">
        <v>7</v>
      </c>
    </row>
    <row r="3264" spans="1:7" x14ac:dyDescent="0.25">
      <c r="A3264" s="339" t="str">
        <f t="shared" ref="A3264:A3298" si="97">$G$3257&amp;B3264</f>
        <v>I.2.2.02.0601</v>
      </c>
      <c r="B3264" s="339">
        <v>1</v>
      </c>
      <c r="C3264" s="394" t="str">
        <f>IFERROR(VLOOKUP(A3264,[3]DOORSCRIEFT!$A$2:$G$8551,2,FALSE),"")</f>
        <v/>
      </c>
      <c r="D3264" s="393" t="str">
        <f>IFERROR(VLOOKUP(A3264,[3]DOORSCRIEFT!$A$2:$G$8551,3,FALSE),"")</f>
        <v/>
      </c>
      <c r="E3264" s="392" t="str">
        <f>IFERROR(VLOOKUP(A3264,[3]DOORSCRIEFT!$A$2:$G$8551,4,FALSE),"")</f>
        <v/>
      </c>
      <c r="F3264" s="397" t="str">
        <f>IFERROR(VLOOKUP(A3264,[3]DOORSCRIEFT!$A$2:$G$8551,6,FALSE),"")</f>
        <v/>
      </c>
      <c r="G3264" s="322"/>
    </row>
    <row r="3265" spans="1:7" x14ac:dyDescent="0.25">
      <c r="A3265" s="339" t="str">
        <f t="shared" si="97"/>
        <v>I.2.2.02.0602</v>
      </c>
      <c r="B3265" s="319">
        <v>2</v>
      </c>
      <c r="C3265" s="394" t="str">
        <f>IFERROR(VLOOKUP(A3265,[3]DOORSCRIEFT!$A$2:$G$8551,2,FALSE),"")</f>
        <v/>
      </c>
      <c r="D3265" s="393" t="str">
        <f>IFERROR(VLOOKUP(A3265,[3]DOORSCRIEFT!$A$2:$G$8551,3,FALSE),"")</f>
        <v/>
      </c>
      <c r="E3265" s="392" t="str">
        <f>IFERROR(VLOOKUP(A3265,[3]DOORSCRIEFT!$A$2:$G$8551,4,FALSE),"")</f>
        <v/>
      </c>
      <c r="F3265" s="397" t="str">
        <f>IFERROR(VLOOKUP(A3265,[3]DOORSCRIEFT!$A$2:$G$8551,6,FALSE),"")</f>
        <v/>
      </c>
      <c r="G3265" s="315"/>
    </row>
    <row r="3266" spans="1:7" x14ac:dyDescent="0.25">
      <c r="A3266" s="339" t="str">
        <f t="shared" si="97"/>
        <v>I.2.2.02.0603</v>
      </c>
      <c r="B3266" s="319">
        <v>3</v>
      </c>
      <c r="C3266" s="394" t="str">
        <f>IFERROR(VLOOKUP(A3266,[3]DOORSCRIEFT!$A$2:$G$8551,2,FALSE),"")</f>
        <v/>
      </c>
      <c r="D3266" s="393" t="str">
        <f>IFERROR(VLOOKUP(A3266,[3]DOORSCRIEFT!$A$2:$G$8551,3,FALSE),"")</f>
        <v/>
      </c>
      <c r="E3266" s="392" t="str">
        <f>IFERROR(VLOOKUP(A3266,[3]DOORSCRIEFT!$A$2:$G$8551,4,FALSE),"")</f>
        <v/>
      </c>
      <c r="F3266" s="397" t="str">
        <f>IFERROR(VLOOKUP(A3266,[3]DOORSCRIEFT!$A$2:$G$8551,6,FALSE),"")</f>
        <v/>
      </c>
      <c r="G3266" s="315"/>
    </row>
    <row r="3267" spans="1:7" x14ac:dyDescent="0.25">
      <c r="A3267" s="339" t="str">
        <f t="shared" si="97"/>
        <v>I.2.2.02.0604</v>
      </c>
      <c r="B3267" s="319">
        <v>4</v>
      </c>
      <c r="C3267" s="394" t="str">
        <f>IFERROR(VLOOKUP(A3267,[3]DOORSCRIEFT!$A$2:$G$8551,2,FALSE),"")</f>
        <v/>
      </c>
      <c r="D3267" s="393" t="str">
        <f>IFERROR(VLOOKUP(A3267,[3]DOORSCRIEFT!$A$2:$G$8551,3,FALSE),"")</f>
        <v/>
      </c>
      <c r="E3267" s="392" t="str">
        <f>IFERROR(VLOOKUP(A3267,[3]DOORSCRIEFT!$A$2:$G$8551,4,FALSE),"")</f>
        <v/>
      </c>
      <c r="F3267" s="397" t="str">
        <f>IFERROR(VLOOKUP(A3267,[3]DOORSCRIEFT!$A$2:$G$8551,6,FALSE),"")</f>
        <v/>
      </c>
      <c r="G3267" s="315"/>
    </row>
    <row r="3268" spans="1:7" x14ac:dyDescent="0.25">
      <c r="A3268" s="339" t="str">
        <f t="shared" si="97"/>
        <v>I.2.2.02.0605</v>
      </c>
      <c r="B3268" s="319">
        <v>5</v>
      </c>
      <c r="C3268" s="394" t="str">
        <f>IFERROR(VLOOKUP(A3268,[3]DOORSCRIEFT!$A$2:$G$8551,2,FALSE),"")</f>
        <v/>
      </c>
      <c r="D3268" s="393" t="str">
        <f>IFERROR(VLOOKUP(A3268,[3]DOORSCRIEFT!$A$2:$G$8551,3,FALSE),"")</f>
        <v/>
      </c>
      <c r="E3268" s="392" t="str">
        <f>IFERROR(VLOOKUP(A3268,[3]DOORSCRIEFT!$A$2:$G$8551,4,FALSE),"")</f>
        <v/>
      </c>
      <c r="F3268" s="397" t="str">
        <f>IFERROR(VLOOKUP(A3268,[3]DOORSCRIEFT!$A$2:$G$8551,6,FALSE),"")</f>
        <v/>
      </c>
      <c r="G3268" s="315"/>
    </row>
    <row r="3269" spans="1:7" x14ac:dyDescent="0.25">
      <c r="A3269" s="339" t="str">
        <f t="shared" si="97"/>
        <v>I.2.2.02.0606</v>
      </c>
      <c r="B3269" s="319">
        <v>6</v>
      </c>
      <c r="C3269" s="394" t="str">
        <f>IFERROR(VLOOKUP(A3269,[3]DOORSCRIEFT!$A$2:$G$8551,2,FALSE),"")</f>
        <v/>
      </c>
      <c r="D3269" s="393" t="str">
        <f>IFERROR(VLOOKUP(A3269,[3]DOORSCRIEFT!$A$2:$G$8551,3,FALSE),"")</f>
        <v/>
      </c>
      <c r="E3269" s="392" t="str">
        <f>IFERROR(VLOOKUP(A3269,[3]DOORSCRIEFT!$A$2:$G$8551,4,FALSE),"")</f>
        <v/>
      </c>
      <c r="F3269" s="397" t="str">
        <f>IFERROR(VLOOKUP(A3269,[3]DOORSCRIEFT!$A$2:$G$8551,6,FALSE),"")</f>
        <v/>
      </c>
      <c r="G3269" s="315"/>
    </row>
    <row r="3270" spans="1:7" x14ac:dyDescent="0.25">
      <c r="A3270" s="339" t="str">
        <f t="shared" si="97"/>
        <v>I.2.2.02.0607</v>
      </c>
      <c r="B3270" s="319">
        <v>7</v>
      </c>
      <c r="C3270" s="394" t="str">
        <f>IFERROR(VLOOKUP(A3270,[3]DOORSCRIEFT!$A$2:$G$8551,2,FALSE),"")</f>
        <v/>
      </c>
      <c r="D3270" s="393" t="str">
        <f>IFERROR(VLOOKUP(A3270,[3]DOORSCRIEFT!$A$2:$G$8551,3,FALSE),"")</f>
        <v/>
      </c>
      <c r="E3270" s="392" t="str">
        <f>IFERROR(VLOOKUP(A3270,[3]DOORSCRIEFT!$A$2:$G$8551,4,FALSE),"")</f>
        <v/>
      </c>
      <c r="F3270" s="397" t="str">
        <f>IFERROR(VLOOKUP(A3270,[3]DOORSCRIEFT!$A$2:$G$8551,6,FALSE),"")</f>
        <v/>
      </c>
      <c r="G3270" s="315"/>
    </row>
    <row r="3271" spans="1:7" x14ac:dyDescent="0.25">
      <c r="A3271" s="339" t="str">
        <f t="shared" si="97"/>
        <v>I.2.2.02.0608</v>
      </c>
      <c r="B3271" s="319">
        <v>8</v>
      </c>
      <c r="C3271" s="394" t="str">
        <f>IFERROR(VLOOKUP(A3271,[3]DOORSCRIEFT!$A$2:$G$8551,2,FALSE),"")</f>
        <v/>
      </c>
      <c r="D3271" s="393" t="str">
        <f>IFERROR(VLOOKUP(A3271,[3]DOORSCRIEFT!$A$2:$G$8551,3,FALSE),"")</f>
        <v/>
      </c>
      <c r="E3271" s="392" t="str">
        <f>IFERROR(VLOOKUP(A3271,[3]DOORSCRIEFT!$A$2:$G$8551,4,FALSE),"")</f>
        <v/>
      </c>
      <c r="F3271" s="397" t="str">
        <f>IFERROR(VLOOKUP(A3271,[3]DOORSCRIEFT!$A$2:$G$8551,6,FALSE),"")</f>
        <v/>
      </c>
      <c r="G3271" s="315"/>
    </row>
    <row r="3272" spans="1:7" x14ac:dyDescent="0.25">
      <c r="A3272" s="339" t="str">
        <f t="shared" si="97"/>
        <v>I.2.2.02.0609</v>
      </c>
      <c r="B3272" s="319">
        <v>9</v>
      </c>
      <c r="C3272" s="394" t="str">
        <f>IFERROR(VLOOKUP(A3272,[3]DOORSCRIEFT!$A$2:$G$8551,2,FALSE),"")</f>
        <v/>
      </c>
      <c r="D3272" s="393" t="str">
        <f>IFERROR(VLOOKUP(A3272,[3]DOORSCRIEFT!$A$2:$G$8551,3,FALSE),"")</f>
        <v/>
      </c>
      <c r="E3272" s="392" t="str">
        <f>IFERROR(VLOOKUP(A3272,[3]DOORSCRIEFT!$A$2:$G$8551,4,FALSE),"")</f>
        <v/>
      </c>
      <c r="F3272" s="397" t="str">
        <f>IFERROR(VLOOKUP(A3272,[3]DOORSCRIEFT!$A$2:$G$8551,6,FALSE),"")</f>
        <v/>
      </c>
      <c r="G3272" s="315"/>
    </row>
    <row r="3273" spans="1:7" x14ac:dyDescent="0.25">
      <c r="A3273" s="339" t="str">
        <f t="shared" si="97"/>
        <v>I.2.2.02.06010</v>
      </c>
      <c r="B3273" s="319">
        <v>10</v>
      </c>
      <c r="C3273" s="394" t="str">
        <f>IFERROR(VLOOKUP(A3273,[3]DOORSCRIEFT!$A$2:$G$8551,2,FALSE),"")</f>
        <v/>
      </c>
      <c r="D3273" s="393" t="str">
        <f>IFERROR(VLOOKUP(A3273,[3]DOORSCRIEFT!$A$2:$G$8551,3,FALSE),"")</f>
        <v/>
      </c>
      <c r="E3273" s="392" t="str">
        <f>IFERROR(VLOOKUP(A3273,[3]DOORSCRIEFT!$A$2:$G$8551,4,FALSE),"")</f>
        <v/>
      </c>
      <c r="F3273" s="397" t="str">
        <f>IFERROR(VLOOKUP(A3273,[3]DOORSCRIEFT!$A$2:$G$8551,6,FALSE),"")</f>
        <v/>
      </c>
      <c r="G3273" s="315"/>
    </row>
    <row r="3274" spans="1:7" x14ac:dyDescent="0.25">
      <c r="A3274" s="339" t="str">
        <f t="shared" si="97"/>
        <v>I.2.2.02.06011</v>
      </c>
      <c r="B3274" s="319">
        <v>11</v>
      </c>
      <c r="C3274" s="394" t="str">
        <f>IFERROR(VLOOKUP(A3274,[3]DOORSCRIEFT!$A$2:$G$8551,2,FALSE),"")</f>
        <v/>
      </c>
      <c r="D3274" s="393" t="str">
        <f>IFERROR(VLOOKUP(A3274,[3]DOORSCRIEFT!$A$2:$G$8551,3,FALSE),"")</f>
        <v/>
      </c>
      <c r="E3274" s="392" t="str">
        <f>IFERROR(VLOOKUP(A3274,[3]DOORSCRIEFT!$A$2:$G$8551,4,FALSE),"")</f>
        <v/>
      </c>
      <c r="F3274" s="397" t="str">
        <f>IFERROR(VLOOKUP(A3274,[3]DOORSCRIEFT!$A$2:$G$8551,6,FALSE),"")</f>
        <v/>
      </c>
      <c r="G3274" s="315"/>
    </row>
    <row r="3275" spans="1:7" x14ac:dyDescent="0.25">
      <c r="A3275" s="339" t="str">
        <f t="shared" si="97"/>
        <v>I.2.2.02.06012</v>
      </c>
      <c r="B3275" s="319">
        <v>12</v>
      </c>
      <c r="C3275" s="394" t="str">
        <f>IFERROR(VLOOKUP(A3275,[3]DOORSCRIEFT!$A$2:$G$8551,2,FALSE),"")</f>
        <v/>
      </c>
      <c r="D3275" s="393" t="str">
        <f>IFERROR(VLOOKUP(A3275,[3]DOORSCRIEFT!$A$2:$G$8551,3,FALSE),"")</f>
        <v/>
      </c>
      <c r="E3275" s="392" t="str">
        <f>IFERROR(VLOOKUP(A3275,[3]DOORSCRIEFT!$A$2:$G$8551,4,FALSE),"")</f>
        <v/>
      </c>
      <c r="F3275" s="397" t="str">
        <f>IFERROR(VLOOKUP(A3275,[3]DOORSCRIEFT!$A$2:$G$8551,6,FALSE),"")</f>
        <v/>
      </c>
      <c r="G3275" s="315"/>
    </row>
    <row r="3276" spans="1:7" x14ac:dyDescent="0.25">
      <c r="A3276" s="339" t="str">
        <f t="shared" si="97"/>
        <v>I.2.2.02.06013</v>
      </c>
      <c r="B3276" s="319">
        <v>13</v>
      </c>
      <c r="C3276" s="394" t="str">
        <f>IFERROR(VLOOKUP(A3276,[3]DOORSCRIEFT!$A$2:$G$8551,2,FALSE),"")</f>
        <v/>
      </c>
      <c r="D3276" s="393" t="str">
        <f>IFERROR(VLOOKUP(A3276,[3]DOORSCRIEFT!$A$2:$G$8551,3,FALSE),"")</f>
        <v/>
      </c>
      <c r="E3276" s="392" t="str">
        <f>IFERROR(VLOOKUP(A3276,[3]DOORSCRIEFT!$A$2:$G$8551,4,FALSE),"")</f>
        <v/>
      </c>
      <c r="F3276" s="397" t="str">
        <f>IFERROR(VLOOKUP(A3276,[3]DOORSCRIEFT!$A$2:$G$8551,6,FALSE),"")</f>
        <v/>
      </c>
      <c r="G3276" s="315"/>
    </row>
    <row r="3277" spans="1:7" x14ac:dyDescent="0.25">
      <c r="A3277" s="339" t="str">
        <f t="shared" si="97"/>
        <v>I.2.2.02.06014</v>
      </c>
      <c r="B3277" s="319">
        <v>14</v>
      </c>
      <c r="C3277" s="394" t="str">
        <f>IFERROR(VLOOKUP(A3277,[3]DOORSCRIEFT!$A$2:$G$8551,2,FALSE),"")</f>
        <v/>
      </c>
      <c r="D3277" s="393" t="str">
        <f>IFERROR(VLOOKUP(A3277,[3]DOORSCRIEFT!$A$2:$G$8551,3,FALSE),"")</f>
        <v/>
      </c>
      <c r="E3277" s="392" t="str">
        <f>IFERROR(VLOOKUP(A3277,[3]DOORSCRIEFT!$A$2:$G$8551,4,FALSE),"")</f>
        <v/>
      </c>
      <c r="F3277" s="397" t="str">
        <f>IFERROR(VLOOKUP(A3277,[3]DOORSCRIEFT!$A$2:$G$8551,6,FALSE),"")</f>
        <v/>
      </c>
      <c r="G3277" s="315"/>
    </row>
    <row r="3278" spans="1:7" x14ac:dyDescent="0.25">
      <c r="A3278" s="339" t="str">
        <f t="shared" si="97"/>
        <v>I.2.2.02.06015</v>
      </c>
      <c r="B3278" s="319">
        <v>15</v>
      </c>
      <c r="C3278" s="394" t="str">
        <f>IFERROR(VLOOKUP(A3278,[3]DOORSCRIEFT!$A$2:$G$8551,2,FALSE),"")</f>
        <v/>
      </c>
      <c r="D3278" s="393" t="str">
        <f>IFERROR(VLOOKUP(A3278,[3]DOORSCRIEFT!$A$2:$G$8551,3,FALSE),"")</f>
        <v/>
      </c>
      <c r="E3278" s="392" t="str">
        <f>IFERROR(VLOOKUP(A3278,[3]DOORSCRIEFT!$A$2:$G$8551,4,FALSE),"")</f>
        <v/>
      </c>
      <c r="F3278" s="397" t="str">
        <f>IFERROR(VLOOKUP(A3278,[3]DOORSCRIEFT!$A$2:$G$8551,6,FALSE),"")</f>
        <v/>
      </c>
      <c r="G3278" s="315"/>
    </row>
    <row r="3279" spans="1:7" x14ac:dyDescent="0.25">
      <c r="A3279" s="339" t="str">
        <f t="shared" si="97"/>
        <v>I.2.2.02.06016</v>
      </c>
      <c r="B3279" s="319">
        <v>16</v>
      </c>
      <c r="C3279" s="394" t="str">
        <f>IFERROR(VLOOKUP(A3279,[3]DOORSCRIEFT!$A$2:$G$8551,2,FALSE),"")</f>
        <v/>
      </c>
      <c r="D3279" s="393" t="str">
        <f>IFERROR(VLOOKUP(A3279,[3]DOORSCRIEFT!$A$2:$G$8551,3,FALSE),"")</f>
        <v/>
      </c>
      <c r="E3279" s="392" t="str">
        <f>IFERROR(VLOOKUP(A3279,[3]DOORSCRIEFT!$A$2:$G$8551,4,FALSE),"")</f>
        <v/>
      </c>
      <c r="F3279" s="397" t="str">
        <f>IFERROR(VLOOKUP(A3279,[3]DOORSCRIEFT!$A$2:$G$8551,6,FALSE),"")</f>
        <v/>
      </c>
      <c r="G3279" s="315"/>
    </row>
    <row r="3280" spans="1:7" x14ac:dyDescent="0.25">
      <c r="A3280" s="339" t="str">
        <f t="shared" si="97"/>
        <v>I.2.2.02.06017</v>
      </c>
      <c r="B3280" s="319">
        <v>17</v>
      </c>
      <c r="C3280" s="394" t="str">
        <f>IFERROR(VLOOKUP(A3280,[3]DOORSCRIEFT!$A$2:$G$8551,2,FALSE),"")</f>
        <v/>
      </c>
      <c r="D3280" s="393" t="str">
        <f>IFERROR(VLOOKUP(A3280,[3]DOORSCRIEFT!$A$2:$G$8551,3,FALSE),"")</f>
        <v/>
      </c>
      <c r="E3280" s="392" t="str">
        <f>IFERROR(VLOOKUP(A3280,[3]DOORSCRIEFT!$A$2:$G$8551,4,FALSE),"")</f>
        <v/>
      </c>
      <c r="F3280" s="397" t="str">
        <f>IFERROR(VLOOKUP(A3280,[3]DOORSCRIEFT!$A$2:$G$8551,6,FALSE),"")</f>
        <v/>
      </c>
      <c r="G3280" s="315"/>
    </row>
    <row r="3281" spans="1:7" x14ac:dyDescent="0.25">
      <c r="A3281" s="339" t="str">
        <f t="shared" si="97"/>
        <v>I.2.2.02.06018</v>
      </c>
      <c r="B3281" s="319">
        <v>18</v>
      </c>
      <c r="C3281" s="394" t="str">
        <f>IFERROR(VLOOKUP(A3281,[3]DOORSCRIEFT!$A$2:$G$8551,2,FALSE),"")</f>
        <v/>
      </c>
      <c r="D3281" s="393" t="str">
        <f>IFERROR(VLOOKUP(A3281,[3]DOORSCRIEFT!$A$2:$G$8551,3,FALSE),"")</f>
        <v/>
      </c>
      <c r="E3281" s="392" t="str">
        <f>IFERROR(VLOOKUP(A3281,[3]DOORSCRIEFT!$A$2:$G$8551,4,FALSE),"")</f>
        <v/>
      </c>
      <c r="F3281" s="397" t="str">
        <f>IFERROR(VLOOKUP(A3281,[3]DOORSCRIEFT!$A$2:$G$8551,6,FALSE),"")</f>
        <v/>
      </c>
      <c r="G3281" s="315"/>
    </row>
    <row r="3282" spans="1:7" x14ac:dyDescent="0.25">
      <c r="A3282" s="339" t="str">
        <f t="shared" si="97"/>
        <v>I.2.2.02.06019</v>
      </c>
      <c r="B3282" s="319">
        <v>19</v>
      </c>
      <c r="C3282" s="394" t="str">
        <f>IFERROR(VLOOKUP(A3282,[3]DOORSCRIEFT!$A$2:$G$8551,2,FALSE),"")</f>
        <v/>
      </c>
      <c r="D3282" s="393" t="str">
        <f>IFERROR(VLOOKUP(A3282,[3]DOORSCRIEFT!$A$2:$G$8551,3,FALSE),"")</f>
        <v/>
      </c>
      <c r="E3282" s="392" t="str">
        <f>IFERROR(VLOOKUP(A3282,[3]DOORSCRIEFT!$A$2:$G$8551,4,FALSE),"")</f>
        <v/>
      </c>
      <c r="F3282" s="397" t="str">
        <f>IFERROR(VLOOKUP(A3282,[3]DOORSCRIEFT!$A$2:$G$8551,6,FALSE),"")</f>
        <v/>
      </c>
      <c r="G3282" s="315"/>
    </row>
    <row r="3283" spans="1:7" x14ac:dyDescent="0.25">
      <c r="A3283" s="339" t="str">
        <f t="shared" si="97"/>
        <v>I.2.2.02.06020</v>
      </c>
      <c r="B3283" s="319">
        <v>20</v>
      </c>
      <c r="C3283" s="394" t="str">
        <f>IFERROR(VLOOKUP(A3283,[3]DOORSCRIEFT!$A$2:$G$8551,2,FALSE),"")</f>
        <v/>
      </c>
      <c r="D3283" s="393" t="str">
        <f>IFERROR(VLOOKUP(A3283,[3]DOORSCRIEFT!$A$2:$G$8551,3,FALSE),"")</f>
        <v/>
      </c>
      <c r="E3283" s="392" t="str">
        <f>IFERROR(VLOOKUP(A3283,[3]DOORSCRIEFT!$A$2:$G$8551,4,FALSE),"")</f>
        <v/>
      </c>
      <c r="F3283" s="397" t="str">
        <f>IFERROR(VLOOKUP(A3283,[3]DOORSCRIEFT!$A$2:$G$8551,6,FALSE),"")</f>
        <v/>
      </c>
      <c r="G3283" s="315"/>
    </row>
    <row r="3284" spans="1:7" x14ac:dyDescent="0.25">
      <c r="A3284" s="339" t="str">
        <f t="shared" si="97"/>
        <v>I.2.2.02.06021</v>
      </c>
      <c r="B3284" s="319">
        <v>21</v>
      </c>
      <c r="C3284" s="394" t="str">
        <f>IFERROR(VLOOKUP(A3284,[3]DOORSCRIEFT!$A$2:$G$8551,2,FALSE),"")</f>
        <v/>
      </c>
      <c r="D3284" s="393" t="str">
        <f>IFERROR(VLOOKUP(A3284,[3]DOORSCRIEFT!$A$2:$G$8551,3,FALSE),"")</f>
        <v/>
      </c>
      <c r="E3284" s="392" t="str">
        <f>IFERROR(VLOOKUP(A3284,[3]DOORSCRIEFT!$A$2:$G$8551,4,FALSE),"")</f>
        <v/>
      </c>
      <c r="F3284" s="397" t="str">
        <f>IFERROR(VLOOKUP(A3284,[3]DOORSCRIEFT!$A$2:$G$8551,6,FALSE),"")</f>
        <v/>
      </c>
      <c r="G3284" s="315"/>
    </row>
    <row r="3285" spans="1:7" x14ac:dyDescent="0.25">
      <c r="A3285" s="339" t="str">
        <f t="shared" si="97"/>
        <v>I.2.2.02.06022</v>
      </c>
      <c r="B3285" s="319">
        <v>22</v>
      </c>
      <c r="C3285" s="394" t="str">
        <f>IFERROR(VLOOKUP(A3285,[3]DOORSCRIEFT!$A$2:$G$8551,2,FALSE),"")</f>
        <v/>
      </c>
      <c r="D3285" s="393" t="str">
        <f>IFERROR(VLOOKUP(A3285,[3]DOORSCRIEFT!$A$2:$G$8551,3,FALSE),"")</f>
        <v/>
      </c>
      <c r="E3285" s="392" t="str">
        <f>IFERROR(VLOOKUP(A3285,[3]DOORSCRIEFT!$A$2:$G$8551,4,FALSE),"")</f>
        <v/>
      </c>
      <c r="F3285" s="397" t="str">
        <f>IFERROR(VLOOKUP(A3285,[3]DOORSCRIEFT!$A$2:$G$8551,6,FALSE),"")</f>
        <v/>
      </c>
      <c r="G3285" s="315"/>
    </row>
    <row r="3286" spans="1:7" x14ac:dyDescent="0.25">
      <c r="A3286" s="339" t="str">
        <f t="shared" si="97"/>
        <v>I.2.2.02.06023</v>
      </c>
      <c r="B3286" s="319">
        <v>23</v>
      </c>
      <c r="C3286" s="394" t="str">
        <f>IFERROR(VLOOKUP(A3286,[3]DOORSCRIEFT!$A$2:$G$8551,2,FALSE),"")</f>
        <v/>
      </c>
      <c r="D3286" s="393" t="str">
        <f>IFERROR(VLOOKUP(A3286,[3]DOORSCRIEFT!$A$2:$G$8551,3,FALSE),"")</f>
        <v/>
      </c>
      <c r="E3286" s="392" t="str">
        <f>IFERROR(VLOOKUP(A3286,[3]DOORSCRIEFT!$A$2:$G$8551,4,FALSE),"")</f>
        <v/>
      </c>
      <c r="F3286" s="397" t="str">
        <f>IFERROR(VLOOKUP(A3286,[3]DOORSCRIEFT!$A$2:$G$8551,6,FALSE),"")</f>
        <v/>
      </c>
      <c r="G3286" s="315"/>
    </row>
    <row r="3287" spans="1:7" x14ac:dyDescent="0.25">
      <c r="A3287" s="339" t="str">
        <f t="shared" si="97"/>
        <v>I.2.2.02.06024</v>
      </c>
      <c r="B3287" s="319">
        <v>24</v>
      </c>
      <c r="C3287" s="394" t="str">
        <f>IFERROR(VLOOKUP(A3287,[3]DOORSCRIEFT!$A$2:$G$8551,2,FALSE),"")</f>
        <v/>
      </c>
      <c r="D3287" s="393" t="str">
        <f>IFERROR(VLOOKUP(A3287,[3]DOORSCRIEFT!$A$2:$G$8551,3,FALSE),"")</f>
        <v/>
      </c>
      <c r="E3287" s="392" t="str">
        <f>IFERROR(VLOOKUP(A3287,[3]DOORSCRIEFT!$A$2:$G$8551,4,FALSE),"")</f>
        <v/>
      </c>
      <c r="F3287" s="397" t="str">
        <f>IFERROR(VLOOKUP(A3287,[3]DOORSCRIEFT!$A$2:$G$8551,6,FALSE),"")</f>
        <v/>
      </c>
      <c r="G3287" s="315"/>
    </row>
    <row r="3288" spans="1:7" x14ac:dyDescent="0.25">
      <c r="A3288" s="339" t="str">
        <f t="shared" si="97"/>
        <v>I.2.2.02.06025</v>
      </c>
      <c r="B3288" s="319">
        <v>25</v>
      </c>
      <c r="C3288" s="394" t="str">
        <f>IFERROR(VLOOKUP(A3288,[3]DOORSCRIEFT!$A$2:$G$8551,2,FALSE),"")</f>
        <v/>
      </c>
      <c r="D3288" s="393" t="str">
        <f>IFERROR(VLOOKUP(A3288,[3]DOORSCRIEFT!$A$2:$G$8551,3,FALSE),"")</f>
        <v/>
      </c>
      <c r="E3288" s="392" t="str">
        <f>IFERROR(VLOOKUP(A3288,[3]DOORSCRIEFT!$A$2:$G$8551,4,FALSE),"")</f>
        <v/>
      </c>
      <c r="F3288" s="397" t="str">
        <f>IFERROR(VLOOKUP(A3288,[3]DOORSCRIEFT!$A$2:$G$8551,6,FALSE),"")</f>
        <v/>
      </c>
      <c r="G3288" s="315"/>
    </row>
    <row r="3289" spans="1:7" x14ac:dyDescent="0.25">
      <c r="A3289" s="339" t="str">
        <f t="shared" si="97"/>
        <v>I.2.2.02.06026</v>
      </c>
      <c r="B3289" s="319">
        <v>26</v>
      </c>
      <c r="C3289" s="394" t="str">
        <f>IFERROR(VLOOKUP(A3289,[3]DOORSCRIEFT!$A$2:$G$8551,2,FALSE),"")</f>
        <v/>
      </c>
      <c r="D3289" s="393" t="str">
        <f>IFERROR(VLOOKUP(A3289,[3]DOORSCRIEFT!$A$2:$G$8551,3,FALSE),"")</f>
        <v/>
      </c>
      <c r="E3289" s="392" t="str">
        <f>IFERROR(VLOOKUP(A3289,[3]DOORSCRIEFT!$A$2:$G$8551,4,FALSE),"")</f>
        <v/>
      </c>
      <c r="F3289" s="397" t="str">
        <f>IFERROR(VLOOKUP(A3289,[3]DOORSCRIEFT!$A$2:$G$8551,6,FALSE),"")</f>
        <v/>
      </c>
      <c r="G3289" s="315"/>
    </row>
    <row r="3290" spans="1:7" x14ac:dyDescent="0.25">
      <c r="A3290" s="339" t="str">
        <f t="shared" si="97"/>
        <v>I.2.2.02.06027</v>
      </c>
      <c r="B3290" s="319">
        <v>27</v>
      </c>
      <c r="C3290" s="394" t="str">
        <f>IFERROR(VLOOKUP(A3290,[3]DOORSCRIEFT!$A$2:$G$8551,2,FALSE),"")</f>
        <v/>
      </c>
      <c r="D3290" s="393" t="str">
        <f>IFERROR(VLOOKUP(A3290,[3]DOORSCRIEFT!$A$2:$G$8551,3,FALSE),"")</f>
        <v/>
      </c>
      <c r="E3290" s="392" t="str">
        <f>IFERROR(VLOOKUP(A3290,[3]DOORSCRIEFT!$A$2:$G$8551,4,FALSE),"")</f>
        <v/>
      </c>
      <c r="F3290" s="397" t="str">
        <f>IFERROR(VLOOKUP(A3290,[3]DOORSCRIEFT!$A$2:$G$8551,6,FALSE),"")</f>
        <v/>
      </c>
      <c r="G3290" s="315"/>
    </row>
    <row r="3291" spans="1:7" x14ac:dyDescent="0.25">
      <c r="A3291" s="339" t="str">
        <f t="shared" si="97"/>
        <v>I.2.2.02.06028</v>
      </c>
      <c r="B3291" s="319">
        <v>28</v>
      </c>
      <c r="C3291" s="394" t="str">
        <f>IFERROR(VLOOKUP(A3291,[3]DOORSCRIEFT!$A$2:$G$8551,2,FALSE),"")</f>
        <v/>
      </c>
      <c r="D3291" s="393" t="str">
        <f>IFERROR(VLOOKUP(A3291,[3]DOORSCRIEFT!$A$2:$G$8551,3,FALSE),"")</f>
        <v/>
      </c>
      <c r="E3291" s="392" t="str">
        <f>IFERROR(VLOOKUP(A3291,[3]DOORSCRIEFT!$A$2:$G$8551,4,FALSE),"")</f>
        <v/>
      </c>
      <c r="F3291" s="397" t="str">
        <f>IFERROR(VLOOKUP(A3291,[3]DOORSCRIEFT!$A$2:$G$8551,6,FALSE),"")</f>
        <v/>
      </c>
      <c r="G3291" s="315"/>
    </row>
    <row r="3292" spans="1:7" x14ac:dyDescent="0.25">
      <c r="A3292" s="339" t="str">
        <f t="shared" si="97"/>
        <v>I.2.2.02.06029</v>
      </c>
      <c r="B3292" s="319">
        <v>29</v>
      </c>
      <c r="C3292" s="394" t="str">
        <f>IFERROR(VLOOKUP(A3292,[3]DOORSCRIEFT!$A$2:$G$8551,2,FALSE),"")</f>
        <v/>
      </c>
      <c r="D3292" s="393" t="str">
        <f>IFERROR(VLOOKUP(A3292,[3]DOORSCRIEFT!$A$2:$G$8551,3,FALSE),"")</f>
        <v/>
      </c>
      <c r="E3292" s="392" t="str">
        <f>IFERROR(VLOOKUP(A3292,[3]DOORSCRIEFT!$A$2:$G$8551,4,FALSE),"")</f>
        <v/>
      </c>
      <c r="F3292" s="397" t="str">
        <f>IFERROR(VLOOKUP(A3292,[3]DOORSCRIEFT!$A$2:$G$8551,6,FALSE),"")</f>
        <v/>
      </c>
      <c r="G3292" s="315"/>
    </row>
    <row r="3293" spans="1:7" x14ac:dyDescent="0.25">
      <c r="A3293" s="339" t="str">
        <f t="shared" si="97"/>
        <v>I.2.2.02.06030</v>
      </c>
      <c r="B3293" s="319">
        <v>30</v>
      </c>
      <c r="C3293" s="394" t="str">
        <f>IFERROR(VLOOKUP(A3293,[3]DOORSCRIEFT!$A$2:$G$8551,2,FALSE),"")</f>
        <v/>
      </c>
      <c r="D3293" s="393" t="str">
        <f>IFERROR(VLOOKUP(A3293,[3]DOORSCRIEFT!$A$2:$G$8551,3,FALSE),"")</f>
        <v/>
      </c>
      <c r="E3293" s="392" t="str">
        <f>IFERROR(VLOOKUP(A3293,[3]DOORSCRIEFT!$A$2:$G$8551,4,FALSE),"")</f>
        <v/>
      </c>
      <c r="F3293" s="397" t="str">
        <f>IFERROR(VLOOKUP(A3293,[3]DOORSCRIEFT!$A$2:$G$8551,6,FALSE),"")</f>
        <v/>
      </c>
      <c r="G3293" s="315"/>
    </row>
    <row r="3294" spans="1:7" x14ac:dyDescent="0.25">
      <c r="A3294" s="339" t="str">
        <f t="shared" si="97"/>
        <v>I.2.2.02.06031</v>
      </c>
      <c r="B3294" s="319">
        <v>31</v>
      </c>
      <c r="C3294" s="394" t="str">
        <f>IFERROR(VLOOKUP(A3294,[3]DOORSCRIEFT!$A$2:$G$8551,2,FALSE),"")</f>
        <v/>
      </c>
      <c r="D3294" s="393" t="str">
        <f>IFERROR(VLOOKUP(A3294,[3]DOORSCRIEFT!$A$2:$G$8551,3,FALSE),"")</f>
        <v/>
      </c>
      <c r="E3294" s="392" t="str">
        <f>IFERROR(VLOOKUP(A3294,[3]DOORSCRIEFT!$A$2:$G$8551,4,FALSE),"")</f>
        <v/>
      </c>
      <c r="F3294" s="397" t="str">
        <f>IFERROR(VLOOKUP(A3294,[3]DOORSCRIEFT!$A$2:$G$8551,6,FALSE),"")</f>
        <v/>
      </c>
      <c r="G3294" s="315"/>
    </row>
    <row r="3295" spans="1:7" x14ac:dyDescent="0.25">
      <c r="A3295" s="339" t="str">
        <f t="shared" si="97"/>
        <v>I.2.2.02.06032</v>
      </c>
      <c r="B3295" s="319">
        <v>32</v>
      </c>
      <c r="C3295" s="394" t="str">
        <f>IFERROR(VLOOKUP(A3295,[3]DOORSCRIEFT!$A$2:$G$8551,2,FALSE),"")</f>
        <v/>
      </c>
      <c r="D3295" s="393" t="str">
        <f>IFERROR(VLOOKUP(A3295,[3]DOORSCRIEFT!$A$2:$G$8551,3,FALSE),"")</f>
        <v/>
      </c>
      <c r="E3295" s="392" t="str">
        <f>IFERROR(VLOOKUP(A3295,[3]DOORSCRIEFT!$A$2:$G$8551,4,FALSE),"")</f>
        <v/>
      </c>
      <c r="F3295" s="397" t="str">
        <f>IFERROR(VLOOKUP(A3295,[3]DOORSCRIEFT!$A$2:$G$8551,6,FALSE),"")</f>
        <v/>
      </c>
      <c r="G3295" s="315"/>
    </row>
    <row r="3296" spans="1:7" x14ac:dyDescent="0.25">
      <c r="A3296" s="339" t="str">
        <f t="shared" si="97"/>
        <v>I.2.2.02.06033</v>
      </c>
      <c r="B3296" s="319">
        <v>33</v>
      </c>
      <c r="C3296" s="394" t="str">
        <f>IFERROR(VLOOKUP(A3296,[3]DOORSCRIEFT!$A$2:$G$8551,2,FALSE),"")</f>
        <v/>
      </c>
      <c r="D3296" s="393" t="str">
        <f>IFERROR(VLOOKUP(A3296,[3]DOORSCRIEFT!$A$2:$G$8551,3,FALSE),"")</f>
        <v/>
      </c>
      <c r="E3296" s="392" t="str">
        <f>IFERROR(VLOOKUP(A3296,[3]DOORSCRIEFT!$A$2:$G$8551,4,FALSE),"")</f>
        <v/>
      </c>
      <c r="F3296" s="397" t="str">
        <f>IFERROR(VLOOKUP(A3296,[3]DOORSCRIEFT!$A$2:$G$8551,6,FALSE),"")</f>
        <v/>
      </c>
      <c r="G3296" s="315"/>
    </row>
    <row r="3297" spans="1:7" x14ac:dyDescent="0.25">
      <c r="A3297" s="339" t="str">
        <f t="shared" si="97"/>
        <v>I.2.2.02.06034</v>
      </c>
      <c r="B3297" s="319">
        <v>34</v>
      </c>
      <c r="C3297" s="394" t="str">
        <f>IFERROR(VLOOKUP(A3297,[3]DOORSCRIEFT!$A$2:$G$8551,2,FALSE),"")</f>
        <v/>
      </c>
      <c r="D3297" s="393" t="str">
        <f>IFERROR(VLOOKUP(A3297,[3]DOORSCRIEFT!$A$2:$G$8551,3,FALSE),"")</f>
        <v/>
      </c>
      <c r="E3297" s="392" t="str">
        <f>IFERROR(VLOOKUP(A3297,[3]DOORSCRIEFT!$A$2:$G$8551,4,FALSE),"")</f>
        <v/>
      </c>
      <c r="F3297" s="397" t="str">
        <f>IFERROR(VLOOKUP(A3297,[3]DOORSCRIEFT!$A$2:$G$8551,6,FALSE),"")</f>
        <v/>
      </c>
      <c r="G3297" s="315"/>
    </row>
    <row r="3298" spans="1:7" ht="15.75" thickBot="1" x14ac:dyDescent="0.3">
      <c r="A3298" s="353" t="str">
        <f t="shared" si="97"/>
        <v>I.2.2.02.06035</v>
      </c>
      <c r="B3298" s="345">
        <v>35</v>
      </c>
      <c r="C3298" s="394" t="str">
        <f>IFERROR(VLOOKUP(A3298,[3]DOORSCRIEFT!$A$2:$G$8551,2,FALSE),"")</f>
        <v/>
      </c>
      <c r="D3298" s="393" t="str">
        <f>IFERROR(VLOOKUP(A3298,[3]DOORSCRIEFT!$A$2:$G$8551,3,FALSE),"")</f>
        <v/>
      </c>
      <c r="E3298" s="392" t="str">
        <f>IFERROR(VLOOKUP(A3298,[3]DOORSCRIEFT!$A$2:$G$8551,4,FALSE),"")</f>
        <v/>
      </c>
      <c r="F3298" s="397" t="str">
        <f>IFERROR(VLOOKUP(A3298,[3]DOORSCRIEFT!$A$2:$G$8551,6,FALSE),"")</f>
        <v/>
      </c>
      <c r="G3298" s="315"/>
    </row>
    <row r="3299" spans="1:7" ht="15.75" thickBot="1" x14ac:dyDescent="0.3">
      <c r="A3299" s="404"/>
      <c r="B3299" s="403"/>
      <c r="C3299" s="402"/>
      <c r="D3299" s="401"/>
      <c r="E3299" s="400" t="s">
        <v>644</v>
      </c>
      <c r="F3299" s="399">
        <f>SUM(F3264:F3298)</f>
        <v>0</v>
      </c>
      <c r="G3299" s="398">
        <f>SUM(G3264:G3298)</f>
        <v>0</v>
      </c>
    </row>
    <row r="3300" spans="1:7" x14ac:dyDescent="0.25">
      <c r="C3300" s="335"/>
    </row>
    <row r="3301" spans="1:7" x14ac:dyDescent="0.25">
      <c r="C3301" s="335"/>
    </row>
    <row r="3302" spans="1:7" ht="15.75" x14ac:dyDescent="0.25">
      <c r="C3302" s="334"/>
      <c r="D3302" s="333"/>
      <c r="E3302" s="332"/>
      <c r="F3302" s="327" t="s">
        <v>607</v>
      </c>
      <c r="G3302" s="327" t="s">
        <v>426</v>
      </c>
    </row>
    <row r="3303" spans="1:7" ht="15.75" x14ac:dyDescent="0.25">
      <c r="C3303" s="334"/>
      <c r="D3303" s="333"/>
      <c r="E3303" s="332"/>
      <c r="F3303" s="327" t="s">
        <v>601</v>
      </c>
      <c r="G3303" s="327" t="s">
        <v>425</v>
      </c>
    </row>
    <row r="3304" spans="1:7" x14ac:dyDescent="0.25">
      <c r="C3304" s="330"/>
      <c r="D3304" s="329"/>
      <c r="E3304" s="328"/>
      <c r="F3304" s="327" t="s">
        <v>651</v>
      </c>
      <c r="G3304" s="331">
        <f>[2]Sheet1!$D$88</f>
        <v>500000</v>
      </c>
    </row>
    <row r="3305" spans="1:7" ht="15.75" thickBot="1" x14ac:dyDescent="0.3">
      <c r="C3305" s="330"/>
      <c r="D3305" s="329"/>
      <c r="E3305" s="328"/>
      <c r="F3305" s="327" t="s">
        <v>650</v>
      </c>
      <c r="G3305" s="326">
        <f>+F3343-G3304</f>
        <v>-500000</v>
      </c>
    </row>
    <row r="3306" spans="1:7" x14ac:dyDescent="0.25">
      <c r="A3306" s="571" t="s">
        <v>626</v>
      </c>
      <c r="B3306" s="573" t="s">
        <v>606</v>
      </c>
      <c r="C3306" s="588" t="s">
        <v>649</v>
      </c>
      <c r="D3306" s="577" t="s">
        <v>648</v>
      </c>
      <c r="E3306" s="577" t="s">
        <v>647</v>
      </c>
      <c r="F3306" s="577" t="s">
        <v>646</v>
      </c>
      <c r="G3306" s="580" t="s">
        <v>645</v>
      </c>
    </row>
    <row r="3307" spans="1:7" ht="15.75" thickBot="1" x14ac:dyDescent="0.3">
      <c r="A3307" s="572"/>
      <c r="B3307" s="574"/>
      <c r="C3307" s="589"/>
      <c r="D3307" s="586"/>
      <c r="E3307" s="586"/>
      <c r="F3307" s="586"/>
      <c r="G3307" s="587"/>
    </row>
    <row r="3308" spans="1:7" ht="15.75" thickBot="1" x14ac:dyDescent="0.3">
      <c r="A3308" s="325">
        <v>1</v>
      </c>
      <c r="B3308" s="324">
        <v>2</v>
      </c>
      <c r="C3308" s="324">
        <v>3</v>
      </c>
      <c r="D3308" s="324">
        <v>4</v>
      </c>
      <c r="E3308" s="324">
        <v>5</v>
      </c>
      <c r="F3308" s="324">
        <v>6</v>
      </c>
      <c r="G3308" s="323">
        <v>7</v>
      </c>
    </row>
    <row r="3309" spans="1:7" x14ac:dyDescent="0.25">
      <c r="A3309" s="339" t="str">
        <f t="shared" ref="A3309:A3342" si="98">$G$3302&amp;B3309</f>
        <v>I.2.2.02.0611</v>
      </c>
      <c r="B3309" s="339">
        <v>1</v>
      </c>
      <c r="C3309" s="394" t="str">
        <f>IFERROR(VLOOKUP(A3309,[3]DOORSCRIEFT!$A$2:$G$8551,2,FALSE),"")</f>
        <v/>
      </c>
      <c r="D3309" s="393" t="str">
        <f>IFERROR(VLOOKUP(A3309,[3]DOORSCRIEFT!$A$2:$G$8551,3,FALSE),"")</f>
        <v/>
      </c>
      <c r="E3309" s="392" t="str">
        <f>IFERROR(VLOOKUP(A3309,[3]DOORSCRIEFT!$A$2:$G$8551,4,FALSE),"")</f>
        <v/>
      </c>
      <c r="F3309" s="397" t="str">
        <f>IFERROR(VLOOKUP(A3309,[3]DOORSCRIEFT!$A$2:$G$8551,6,FALSE),"")</f>
        <v/>
      </c>
      <c r="G3309" s="322"/>
    </row>
    <row r="3310" spans="1:7" x14ac:dyDescent="0.25">
      <c r="A3310" s="319" t="str">
        <f t="shared" si="98"/>
        <v>I.2.2.02.0612</v>
      </c>
      <c r="B3310" s="319">
        <v>2</v>
      </c>
      <c r="C3310" s="394" t="str">
        <f>IFERROR(VLOOKUP(A3310,[3]DOORSCRIEFT!$A$2:$G$8551,2,FALSE),"")</f>
        <v/>
      </c>
      <c r="D3310" s="393" t="str">
        <f>IFERROR(VLOOKUP(A3310,[3]DOORSCRIEFT!$A$2:$G$8551,3,FALSE),"")</f>
        <v/>
      </c>
      <c r="E3310" s="392" t="str">
        <f>IFERROR(VLOOKUP(A3310,[3]DOORSCRIEFT!$A$2:$G$8551,4,FALSE),"")</f>
        <v/>
      </c>
      <c r="F3310" s="397" t="str">
        <f>IFERROR(VLOOKUP(A3310,[3]DOORSCRIEFT!$A$2:$G$8551,6,FALSE),"")</f>
        <v/>
      </c>
      <c r="G3310" s="315"/>
    </row>
    <row r="3311" spans="1:7" x14ac:dyDescent="0.25">
      <c r="A3311" s="319" t="str">
        <f t="shared" si="98"/>
        <v>I.2.2.02.0613</v>
      </c>
      <c r="B3311" s="319">
        <v>3</v>
      </c>
      <c r="C3311" s="394" t="str">
        <f>IFERROR(VLOOKUP(A3311,[3]DOORSCRIEFT!$A$2:$G$8551,2,FALSE),"")</f>
        <v/>
      </c>
      <c r="D3311" s="393" t="str">
        <f>IFERROR(VLOOKUP(A3311,[3]DOORSCRIEFT!$A$2:$G$8551,3,FALSE),"")</f>
        <v/>
      </c>
      <c r="E3311" s="392" t="str">
        <f>IFERROR(VLOOKUP(A3311,[3]DOORSCRIEFT!$A$2:$G$8551,4,FALSE),"")</f>
        <v/>
      </c>
      <c r="F3311" s="397" t="str">
        <f>IFERROR(VLOOKUP(A3311,[3]DOORSCRIEFT!$A$2:$G$8551,6,FALSE),"")</f>
        <v/>
      </c>
      <c r="G3311" s="315"/>
    </row>
    <row r="3312" spans="1:7" x14ac:dyDescent="0.25">
      <c r="A3312" s="319" t="str">
        <f t="shared" si="98"/>
        <v>I.2.2.02.0614</v>
      </c>
      <c r="B3312" s="319">
        <v>4</v>
      </c>
      <c r="C3312" s="394" t="str">
        <f>IFERROR(VLOOKUP(A3312,[3]DOORSCRIEFT!$A$2:$G$8551,2,FALSE),"")</f>
        <v/>
      </c>
      <c r="D3312" s="393" t="str">
        <f>IFERROR(VLOOKUP(A3312,[3]DOORSCRIEFT!$A$2:$G$8551,3,FALSE),"")</f>
        <v/>
      </c>
      <c r="E3312" s="392" t="str">
        <f>IFERROR(VLOOKUP(A3312,[3]DOORSCRIEFT!$A$2:$G$8551,4,FALSE),"")</f>
        <v/>
      </c>
      <c r="F3312" s="397" t="str">
        <f>IFERROR(VLOOKUP(A3312,[3]DOORSCRIEFT!$A$2:$G$8551,6,FALSE),"")</f>
        <v/>
      </c>
      <c r="G3312" s="315"/>
    </row>
    <row r="3313" spans="1:7" x14ac:dyDescent="0.25">
      <c r="A3313" s="319" t="str">
        <f t="shared" si="98"/>
        <v>I.2.2.02.0615</v>
      </c>
      <c r="B3313" s="319">
        <v>5</v>
      </c>
      <c r="C3313" s="394" t="str">
        <f>IFERROR(VLOOKUP(A3313,[3]DOORSCRIEFT!$A$2:$G$8551,2,FALSE),"")</f>
        <v/>
      </c>
      <c r="D3313" s="393" t="str">
        <f>IFERROR(VLOOKUP(A3313,[3]DOORSCRIEFT!$A$2:$G$8551,3,FALSE),"")</f>
        <v/>
      </c>
      <c r="E3313" s="392" t="str">
        <f>IFERROR(VLOOKUP(A3313,[3]DOORSCRIEFT!$A$2:$G$8551,4,FALSE),"")</f>
        <v/>
      </c>
      <c r="F3313" s="397" t="str">
        <f>IFERROR(VLOOKUP(A3313,[3]DOORSCRIEFT!$A$2:$G$8551,6,FALSE),"")</f>
        <v/>
      </c>
      <c r="G3313" s="315"/>
    </row>
    <row r="3314" spans="1:7" x14ac:dyDescent="0.25">
      <c r="A3314" s="319" t="str">
        <f t="shared" si="98"/>
        <v>I.2.2.02.0616</v>
      </c>
      <c r="B3314" s="319">
        <v>6</v>
      </c>
      <c r="C3314" s="394" t="str">
        <f>IFERROR(VLOOKUP(A3314,[3]DOORSCRIEFT!$A$2:$G$8551,2,FALSE),"")</f>
        <v/>
      </c>
      <c r="D3314" s="393" t="str">
        <f>IFERROR(VLOOKUP(A3314,[3]DOORSCRIEFT!$A$2:$G$8551,3,FALSE),"")</f>
        <v/>
      </c>
      <c r="E3314" s="392" t="str">
        <f>IFERROR(VLOOKUP(A3314,[3]DOORSCRIEFT!$A$2:$G$8551,4,FALSE),"")</f>
        <v/>
      </c>
      <c r="F3314" s="397" t="str">
        <f>IFERROR(VLOOKUP(A3314,[3]DOORSCRIEFT!$A$2:$G$8551,6,FALSE),"")</f>
        <v/>
      </c>
      <c r="G3314" s="315"/>
    </row>
    <row r="3315" spans="1:7" x14ac:dyDescent="0.25">
      <c r="A3315" s="319" t="str">
        <f t="shared" si="98"/>
        <v>I.2.2.02.0617</v>
      </c>
      <c r="B3315" s="319">
        <v>7</v>
      </c>
      <c r="C3315" s="394" t="str">
        <f>IFERROR(VLOOKUP(A3315,[3]DOORSCRIEFT!$A$2:$G$8551,2,FALSE),"")</f>
        <v/>
      </c>
      <c r="D3315" s="393" t="str">
        <f>IFERROR(VLOOKUP(A3315,[3]DOORSCRIEFT!$A$2:$G$8551,3,FALSE),"")</f>
        <v/>
      </c>
      <c r="E3315" s="392" t="str">
        <f>IFERROR(VLOOKUP(A3315,[3]DOORSCRIEFT!$A$2:$G$8551,4,FALSE),"")</f>
        <v/>
      </c>
      <c r="F3315" s="397" t="str">
        <f>IFERROR(VLOOKUP(A3315,[3]DOORSCRIEFT!$A$2:$G$8551,6,FALSE),"")</f>
        <v/>
      </c>
      <c r="G3315" s="315"/>
    </row>
    <row r="3316" spans="1:7" x14ac:dyDescent="0.25">
      <c r="A3316" s="319" t="str">
        <f t="shared" si="98"/>
        <v>I.2.2.02.0618</v>
      </c>
      <c r="B3316" s="319">
        <v>8</v>
      </c>
      <c r="C3316" s="394" t="str">
        <f>IFERROR(VLOOKUP(A3316,[3]DOORSCRIEFT!$A$2:$G$8551,2,FALSE),"")</f>
        <v/>
      </c>
      <c r="D3316" s="393" t="str">
        <f>IFERROR(VLOOKUP(A3316,[3]DOORSCRIEFT!$A$2:$G$8551,3,FALSE),"")</f>
        <v/>
      </c>
      <c r="E3316" s="392" t="str">
        <f>IFERROR(VLOOKUP(A3316,[3]DOORSCRIEFT!$A$2:$G$8551,4,FALSE),"")</f>
        <v/>
      </c>
      <c r="F3316" s="397" t="str">
        <f>IFERROR(VLOOKUP(A3316,[3]DOORSCRIEFT!$A$2:$G$8551,6,FALSE),"")</f>
        <v/>
      </c>
      <c r="G3316" s="315"/>
    </row>
    <row r="3317" spans="1:7" x14ac:dyDescent="0.25">
      <c r="A3317" s="319" t="str">
        <f t="shared" si="98"/>
        <v>I.2.2.02.0619</v>
      </c>
      <c r="B3317" s="319">
        <v>9</v>
      </c>
      <c r="C3317" s="394" t="str">
        <f>IFERROR(VLOOKUP(A3317,[3]DOORSCRIEFT!$A$2:$G$8551,2,FALSE),"")</f>
        <v/>
      </c>
      <c r="D3317" s="393" t="str">
        <f>IFERROR(VLOOKUP(A3317,[3]DOORSCRIEFT!$A$2:$G$8551,3,FALSE),"")</f>
        <v/>
      </c>
      <c r="E3317" s="392" t="str">
        <f>IFERROR(VLOOKUP(A3317,[3]DOORSCRIEFT!$A$2:$G$8551,4,FALSE),"")</f>
        <v/>
      </c>
      <c r="F3317" s="397" t="str">
        <f>IFERROR(VLOOKUP(A3317,[3]DOORSCRIEFT!$A$2:$G$8551,6,FALSE),"")</f>
        <v/>
      </c>
      <c r="G3317" s="315"/>
    </row>
    <row r="3318" spans="1:7" x14ac:dyDescent="0.25">
      <c r="A3318" s="319" t="str">
        <f t="shared" si="98"/>
        <v>I.2.2.02.06110</v>
      </c>
      <c r="B3318" s="319">
        <v>10</v>
      </c>
      <c r="C3318" s="394" t="str">
        <f>IFERROR(VLOOKUP(A3318,[3]DOORSCRIEFT!$A$2:$G$8551,2,FALSE),"")</f>
        <v/>
      </c>
      <c r="D3318" s="393" t="str">
        <f>IFERROR(VLOOKUP(A3318,[3]DOORSCRIEFT!$A$2:$G$8551,3,FALSE),"")</f>
        <v/>
      </c>
      <c r="E3318" s="392" t="str">
        <f>IFERROR(VLOOKUP(A3318,[3]DOORSCRIEFT!$A$2:$G$8551,4,FALSE),"")</f>
        <v/>
      </c>
      <c r="F3318" s="397" t="str">
        <f>IFERROR(VLOOKUP(A3318,[3]DOORSCRIEFT!$A$2:$G$8551,6,FALSE),"")</f>
        <v/>
      </c>
      <c r="G3318" s="315"/>
    </row>
    <row r="3319" spans="1:7" x14ac:dyDescent="0.25">
      <c r="A3319" s="319" t="str">
        <f t="shared" si="98"/>
        <v>I.2.2.02.06111</v>
      </c>
      <c r="B3319" s="319">
        <v>11</v>
      </c>
      <c r="C3319" s="394" t="str">
        <f>IFERROR(VLOOKUP(A3319,[3]DOORSCRIEFT!$A$2:$G$8551,2,FALSE),"")</f>
        <v/>
      </c>
      <c r="D3319" s="393" t="str">
        <f>IFERROR(VLOOKUP(A3319,[3]DOORSCRIEFT!$A$2:$G$8551,3,FALSE),"")</f>
        <v/>
      </c>
      <c r="E3319" s="392" t="str">
        <f>IFERROR(VLOOKUP(A3319,[3]DOORSCRIEFT!$A$2:$G$8551,4,FALSE),"")</f>
        <v/>
      </c>
      <c r="F3319" s="397" t="str">
        <f>IFERROR(VLOOKUP(A3319,[3]DOORSCRIEFT!$A$2:$G$8551,6,FALSE),"")</f>
        <v/>
      </c>
      <c r="G3319" s="315"/>
    </row>
    <row r="3320" spans="1:7" x14ac:dyDescent="0.25">
      <c r="A3320" s="319" t="str">
        <f t="shared" si="98"/>
        <v>I.2.2.02.06112</v>
      </c>
      <c r="B3320" s="319">
        <v>12</v>
      </c>
      <c r="C3320" s="394" t="str">
        <f>IFERROR(VLOOKUP(A3320,[3]DOORSCRIEFT!$A$2:$G$8551,2,FALSE),"")</f>
        <v/>
      </c>
      <c r="D3320" s="393" t="str">
        <f>IFERROR(VLOOKUP(A3320,[3]DOORSCRIEFT!$A$2:$G$8551,3,FALSE),"")</f>
        <v/>
      </c>
      <c r="E3320" s="392" t="str">
        <f>IFERROR(VLOOKUP(A3320,[3]DOORSCRIEFT!$A$2:$G$8551,4,FALSE),"")</f>
        <v/>
      </c>
      <c r="F3320" s="397" t="str">
        <f>IFERROR(VLOOKUP(A3320,[3]DOORSCRIEFT!$A$2:$G$8551,6,FALSE),"")</f>
        <v/>
      </c>
      <c r="G3320" s="315"/>
    </row>
    <row r="3321" spans="1:7" x14ac:dyDescent="0.25">
      <c r="A3321" s="319" t="str">
        <f t="shared" si="98"/>
        <v>I.2.2.02.06113</v>
      </c>
      <c r="B3321" s="319">
        <v>13</v>
      </c>
      <c r="C3321" s="394" t="str">
        <f>IFERROR(VLOOKUP(A3321,[3]DOORSCRIEFT!$A$2:$G$8551,2,FALSE),"")</f>
        <v/>
      </c>
      <c r="D3321" s="393" t="str">
        <f>IFERROR(VLOOKUP(A3321,[3]DOORSCRIEFT!$A$2:$G$8551,3,FALSE),"")</f>
        <v/>
      </c>
      <c r="E3321" s="392" t="str">
        <f>IFERROR(VLOOKUP(A3321,[3]DOORSCRIEFT!$A$2:$G$8551,4,FALSE),"")</f>
        <v/>
      </c>
      <c r="F3321" s="397" t="str">
        <f>IFERROR(VLOOKUP(A3321,[3]DOORSCRIEFT!$A$2:$G$8551,6,FALSE),"")</f>
        <v/>
      </c>
      <c r="G3321" s="315"/>
    </row>
    <row r="3322" spans="1:7" x14ac:dyDescent="0.25">
      <c r="A3322" s="319" t="str">
        <f t="shared" si="98"/>
        <v>I.2.2.02.06114</v>
      </c>
      <c r="B3322" s="319">
        <v>14</v>
      </c>
      <c r="C3322" s="394" t="str">
        <f>IFERROR(VLOOKUP(A3322,[3]DOORSCRIEFT!$A$2:$G$8551,2,FALSE),"")</f>
        <v/>
      </c>
      <c r="D3322" s="393" t="str">
        <f>IFERROR(VLOOKUP(A3322,[3]DOORSCRIEFT!$A$2:$G$8551,3,FALSE),"")</f>
        <v/>
      </c>
      <c r="E3322" s="392" t="str">
        <f>IFERROR(VLOOKUP(A3322,[3]DOORSCRIEFT!$A$2:$G$8551,4,FALSE),"")</f>
        <v/>
      </c>
      <c r="F3322" s="397" t="str">
        <f>IFERROR(VLOOKUP(A3322,[3]DOORSCRIEFT!$A$2:$G$8551,6,FALSE),"")</f>
        <v/>
      </c>
      <c r="G3322" s="315"/>
    </row>
    <row r="3323" spans="1:7" x14ac:dyDescent="0.25">
      <c r="A3323" s="319" t="str">
        <f t="shared" si="98"/>
        <v>I.2.2.02.06115</v>
      </c>
      <c r="B3323" s="319">
        <v>15</v>
      </c>
      <c r="C3323" s="394" t="str">
        <f>IFERROR(VLOOKUP(A3323,[3]DOORSCRIEFT!$A$2:$G$8551,2,FALSE),"")</f>
        <v/>
      </c>
      <c r="D3323" s="393" t="str">
        <f>IFERROR(VLOOKUP(A3323,[3]DOORSCRIEFT!$A$2:$G$8551,3,FALSE),"")</f>
        <v/>
      </c>
      <c r="E3323" s="392" t="str">
        <f>IFERROR(VLOOKUP(A3323,[3]DOORSCRIEFT!$A$2:$G$8551,4,FALSE),"")</f>
        <v/>
      </c>
      <c r="F3323" s="397" t="str">
        <f>IFERROR(VLOOKUP(A3323,[3]DOORSCRIEFT!$A$2:$G$8551,6,FALSE),"")</f>
        <v/>
      </c>
      <c r="G3323" s="315"/>
    </row>
    <row r="3324" spans="1:7" x14ac:dyDescent="0.25">
      <c r="A3324" s="319" t="str">
        <f t="shared" si="98"/>
        <v>I.2.2.02.06116</v>
      </c>
      <c r="B3324" s="319">
        <v>16</v>
      </c>
      <c r="C3324" s="394" t="str">
        <f>IFERROR(VLOOKUP(A3324,[3]DOORSCRIEFT!$A$2:$G$8551,2,FALSE),"")</f>
        <v/>
      </c>
      <c r="D3324" s="393" t="str">
        <f>IFERROR(VLOOKUP(A3324,[3]DOORSCRIEFT!$A$2:$G$8551,3,FALSE),"")</f>
        <v/>
      </c>
      <c r="E3324" s="392" t="str">
        <f>IFERROR(VLOOKUP(A3324,[3]DOORSCRIEFT!$A$2:$G$8551,4,FALSE),"")</f>
        <v/>
      </c>
      <c r="F3324" s="397" t="str">
        <f>IFERROR(VLOOKUP(A3324,[3]DOORSCRIEFT!$A$2:$G$8551,6,FALSE),"")</f>
        <v/>
      </c>
      <c r="G3324" s="315"/>
    </row>
    <row r="3325" spans="1:7" x14ac:dyDescent="0.25">
      <c r="A3325" s="319" t="str">
        <f t="shared" si="98"/>
        <v>I.2.2.02.06117</v>
      </c>
      <c r="B3325" s="319">
        <v>17</v>
      </c>
      <c r="C3325" s="394" t="str">
        <f>IFERROR(VLOOKUP(A3325,[3]DOORSCRIEFT!$A$2:$G$8551,2,FALSE),"")</f>
        <v/>
      </c>
      <c r="D3325" s="393" t="str">
        <f>IFERROR(VLOOKUP(A3325,[3]DOORSCRIEFT!$A$2:$G$8551,3,FALSE),"")</f>
        <v/>
      </c>
      <c r="E3325" s="392" t="str">
        <f>IFERROR(VLOOKUP(A3325,[3]DOORSCRIEFT!$A$2:$G$8551,4,FALSE),"")</f>
        <v/>
      </c>
      <c r="F3325" s="397" t="str">
        <f>IFERROR(VLOOKUP(A3325,[3]DOORSCRIEFT!$A$2:$G$8551,6,FALSE),"")</f>
        <v/>
      </c>
      <c r="G3325" s="315"/>
    </row>
    <row r="3326" spans="1:7" x14ac:dyDescent="0.25">
      <c r="A3326" s="319" t="str">
        <f t="shared" si="98"/>
        <v>I.2.2.02.06118</v>
      </c>
      <c r="B3326" s="319">
        <v>18</v>
      </c>
      <c r="C3326" s="394" t="str">
        <f>IFERROR(VLOOKUP(A3326,[3]DOORSCRIEFT!$A$2:$G$8551,2,FALSE),"")</f>
        <v/>
      </c>
      <c r="D3326" s="393" t="str">
        <f>IFERROR(VLOOKUP(A3326,[3]DOORSCRIEFT!$A$2:$G$8551,3,FALSE),"")</f>
        <v/>
      </c>
      <c r="E3326" s="392" t="str">
        <f>IFERROR(VLOOKUP(A3326,[3]DOORSCRIEFT!$A$2:$G$8551,4,FALSE),"")</f>
        <v/>
      </c>
      <c r="F3326" s="397" t="str">
        <f>IFERROR(VLOOKUP(A3326,[3]DOORSCRIEFT!$A$2:$G$8551,6,FALSE),"")</f>
        <v/>
      </c>
      <c r="G3326" s="315"/>
    </row>
    <row r="3327" spans="1:7" x14ac:dyDescent="0.25">
      <c r="A3327" s="319" t="str">
        <f t="shared" si="98"/>
        <v>I.2.2.02.06119</v>
      </c>
      <c r="B3327" s="319">
        <v>19</v>
      </c>
      <c r="C3327" s="394" t="str">
        <f>IFERROR(VLOOKUP(A3327,[3]DOORSCRIEFT!$A$2:$G$8551,2,FALSE),"")</f>
        <v/>
      </c>
      <c r="D3327" s="393" t="str">
        <f>IFERROR(VLOOKUP(A3327,[3]DOORSCRIEFT!$A$2:$G$8551,3,FALSE),"")</f>
        <v/>
      </c>
      <c r="E3327" s="392" t="str">
        <f>IFERROR(VLOOKUP(A3327,[3]DOORSCRIEFT!$A$2:$G$8551,4,FALSE),"")</f>
        <v/>
      </c>
      <c r="F3327" s="397" t="str">
        <f>IFERROR(VLOOKUP(A3327,[3]DOORSCRIEFT!$A$2:$G$8551,6,FALSE),"")</f>
        <v/>
      </c>
      <c r="G3327" s="315"/>
    </row>
    <row r="3328" spans="1:7" x14ac:dyDescent="0.25">
      <c r="A3328" s="319" t="str">
        <f t="shared" si="98"/>
        <v>I.2.2.02.06120</v>
      </c>
      <c r="B3328" s="319">
        <v>20</v>
      </c>
      <c r="C3328" s="394" t="str">
        <f>IFERROR(VLOOKUP(A3328,[3]DOORSCRIEFT!$A$2:$G$8551,2,FALSE),"")</f>
        <v/>
      </c>
      <c r="D3328" s="393" t="str">
        <f>IFERROR(VLOOKUP(A3328,[3]DOORSCRIEFT!$A$2:$G$8551,3,FALSE),"")</f>
        <v/>
      </c>
      <c r="E3328" s="392" t="str">
        <f>IFERROR(VLOOKUP(A3328,[3]DOORSCRIEFT!$A$2:$G$8551,4,FALSE),"")</f>
        <v/>
      </c>
      <c r="F3328" s="397" t="str">
        <f>IFERROR(VLOOKUP(A3328,[3]DOORSCRIEFT!$A$2:$G$8551,6,FALSE),"")</f>
        <v/>
      </c>
      <c r="G3328" s="315"/>
    </row>
    <row r="3329" spans="1:7" x14ac:dyDescent="0.25">
      <c r="A3329" s="319" t="str">
        <f t="shared" si="98"/>
        <v>I.2.2.02.06121</v>
      </c>
      <c r="B3329" s="319">
        <v>21</v>
      </c>
      <c r="C3329" s="394" t="str">
        <f>IFERROR(VLOOKUP(A3329,[3]DOORSCRIEFT!$A$2:$G$8551,2,FALSE),"")</f>
        <v/>
      </c>
      <c r="D3329" s="393" t="str">
        <f>IFERROR(VLOOKUP(A3329,[3]DOORSCRIEFT!$A$2:$G$8551,3,FALSE),"")</f>
        <v/>
      </c>
      <c r="E3329" s="392" t="str">
        <f>IFERROR(VLOOKUP(A3329,[3]DOORSCRIEFT!$A$2:$G$8551,4,FALSE),"")</f>
        <v/>
      </c>
      <c r="F3329" s="397" t="str">
        <f>IFERROR(VLOOKUP(A3329,[3]DOORSCRIEFT!$A$2:$G$8551,6,FALSE),"")</f>
        <v/>
      </c>
      <c r="G3329" s="315"/>
    </row>
    <row r="3330" spans="1:7" x14ac:dyDescent="0.25">
      <c r="A3330" s="319" t="str">
        <f t="shared" si="98"/>
        <v>I.2.2.02.06122</v>
      </c>
      <c r="B3330" s="319">
        <v>22</v>
      </c>
      <c r="C3330" s="394" t="str">
        <f>IFERROR(VLOOKUP(A3330,[3]DOORSCRIEFT!$A$2:$G$8551,2,FALSE),"")</f>
        <v/>
      </c>
      <c r="D3330" s="393" t="str">
        <f>IFERROR(VLOOKUP(A3330,[3]DOORSCRIEFT!$A$2:$G$8551,3,FALSE),"")</f>
        <v/>
      </c>
      <c r="E3330" s="392" t="str">
        <f>IFERROR(VLOOKUP(A3330,[3]DOORSCRIEFT!$A$2:$G$8551,4,FALSE),"")</f>
        <v/>
      </c>
      <c r="F3330" s="397" t="str">
        <f>IFERROR(VLOOKUP(A3330,[3]DOORSCRIEFT!$A$2:$G$8551,6,FALSE),"")</f>
        <v/>
      </c>
      <c r="G3330" s="315"/>
    </row>
    <row r="3331" spans="1:7" x14ac:dyDescent="0.25">
      <c r="A3331" s="319" t="str">
        <f t="shared" si="98"/>
        <v>I.2.2.02.06123</v>
      </c>
      <c r="B3331" s="319">
        <v>23</v>
      </c>
      <c r="C3331" s="394" t="str">
        <f>IFERROR(VLOOKUP(A3331,[3]DOORSCRIEFT!$A$2:$G$8551,2,FALSE),"")</f>
        <v/>
      </c>
      <c r="D3331" s="393" t="str">
        <f>IFERROR(VLOOKUP(A3331,[3]DOORSCRIEFT!$A$2:$G$8551,3,FALSE),"")</f>
        <v/>
      </c>
      <c r="E3331" s="392" t="str">
        <f>IFERROR(VLOOKUP(A3331,[3]DOORSCRIEFT!$A$2:$G$8551,4,FALSE),"")</f>
        <v/>
      </c>
      <c r="F3331" s="397" t="str">
        <f>IFERROR(VLOOKUP(A3331,[3]DOORSCRIEFT!$A$2:$G$8551,6,FALSE),"")</f>
        <v/>
      </c>
      <c r="G3331" s="315"/>
    </row>
    <row r="3332" spans="1:7" x14ac:dyDescent="0.25">
      <c r="A3332" s="319" t="str">
        <f t="shared" si="98"/>
        <v>I.2.2.02.06124</v>
      </c>
      <c r="B3332" s="319">
        <v>24</v>
      </c>
      <c r="C3332" s="394" t="str">
        <f>IFERROR(VLOOKUP(A3332,[3]DOORSCRIEFT!$A$2:$G$8551,2,FALSE),"")</f>
        <v/>
      </c>
      <c r="D3332" s="393" t="str">
        <f>IFERROR(VLOOKUP(A3332,[3]DOORSCRIEFT!$A$2:$G$8551,3,FALSE),"")</f>
        <v/>
      </c>
      <c r="E3332" s="392" t="str">
        <f>IFERROR(VLOOKUP(A3332,[3]DOORSCRIEFT!$A$2:$G$8551,4,FALSE),"")</f>
        <v/>
      </c>
      <c r="F3332" s="397" t="str">
        <f>IFERROR(VLOOKUP(A3332,[3]DOORSCRIEFT!$A$2:$G$8551,6,FALSE),"")</f>
        <v/>
      </c>
      <c r="G3332" s="315"/>
    </row>
    <row r="3333" spans="1:7" x14ac:dyDescent="0.25">
      <c r="A3333" s="319" t="str">
        <f t="shared" si="98"/>
        <v>I.2.2.02.06125</v>
      </c>
      <c r="B3333" s="319">
        <v>25</v>
      </c>
      <c r="C3333" s="394" t="str">
        <f>IFERROR(VLOOKUP(A3333,[3]DOORSCRIEFT!$A$2:$G$8551,2,FALSE),"")</f>
        <v/>
      </c>
      <c r="D3333" s="393" t="str">
        <f>IFERROR(VLOOKUP(A3333,[3]DOORSCRIEFT!$A$2:$G$8551,3,FALSE),"")</f>
        <v/>
      </c>
      <c r="E3333" s="392" t="str">
        <f>IFERROR(VLOOKUP(A3333,[3]DOORSCRIEFT!$A$2:$G$8551,4,FALSE),"")</f>
        <v/>
      </c>
      <c r="F3333" s="397" t="str">
        <f>IFERROR(VLOOKUP(A3333,[3]DOORSCRIEFT!$A$2:$G$8551,6,FALSE),"")</f>
        <v/>
      </c>
      <c r="G3333" s="315"/>
    </row>
    <row r="3334" spans="1:7" x14ac:dyDescent="0.25">
      <c r="A3334" s="319" t="str">
        <f t="shared" si="98"/>
        <v>I.2.2.02.06126</v>
      </c>
      <c r="B3334" s="319">
        <v>26</v>
      </c>
      <c r="C3334" s="394" t="str">
        <f>IFERROR(VLOOKUP(A3334,[3]DOORSCRIEFT!$A$2:$G$8551,2,FALSE),"")</f>
        <v/>
      </c>
      <c r="D3334" s="393" t="str">
        <f>IFERROR(VLOOKUP(A3334,[3]DOORSCRIEFT!$A$2:$G$8551,3,FALSE),"")</f>
        <v/>
      </c>
      <c r="E3334" s="392" t="str">
        <f>IFERROR(VLOOKUP(A3334,[3]DOORSCRIEFT!$A$2:$G$8551,4,FALSE),"")</f>
        <v/>
      </c>
      <c r="F3334" s="397" t="str">
        <f>IFERROR(VLOOKUP(A3334,[3]DOORSCRIEFT!$A$2:$G$8551,6,FALSE),"")</f>
        <v/>
      </c>
      <c r="G3334" s="315"/>
    </row>
    <row r="3335" spans="1:7" x14ac:dyDescent="0.25">
      <c r="A3335" s="319" t="str">
        <f t="shared" si="98"/>
        <v>I.2.2.02.06127</v>
      </c>
      <c r="B3335" s="319">
        <v>27</v>
      </c>
      <c r="C3335" s="394" t="str">
        <f>IFERROR(VLOOKUP(A3335,[3]DOORSCRIEFT!$A$2:$G$8551,2,FALSE),"")</f>
        <v/>
      </c>
      <c r="D3335" s="393" t="str">
        <f>IFERROR(VLOOKUP(A3335,[3]DOORSCRIEFT!$A$2:$G$8551,3,FALSE),"")</f>
        <v/>
      </c>
      <c r="E3335" s="392" t="str">
        <f>IFERROR(VLOOKUP(A3335,[3]DOORSCRIEFT!$A$2:$G$8551,4,FALSE),"")</f>
        <v/>
      </c>
      <c r="F3335" s="397" t="str">
        <f>IFERROR(VLOOKUP(A3335,[3]DOORSCRIEFT!$A$2:$G$8551,6,FALSE),"")</f>
        <v/>
      </c>
      <c r="G3335" s="315"/>
    </row>
    <row r="3336" spans="1:7" x14ac:dyDescent="0.25">
      <c r="A3336" s="319" t="str">
        <f t="shared" si="98"/>
        <v>I.2.2.02.06128</v>
      </c>
      <c r="B3336" s="319">
        <v>28</v>
      </c>
      <c r="C3336" s="394" t="str">
        <f>IFERROR(VLOOKUP(A3336,[3]DOORSCRIEFT!$A$2:$G$8551,2,FALSE),"")</f>
        <v/>
      </c>
      <c r="D3336" s="393" t="str">
        <f>IFERROR(VLOOKUP(A3336,[3]DOORSCRIEFT!$A$2:$G$8551,3,FALSE),"")</f>
        <v/>
      </c>
      <c r="E3336" s="392" t="str">
        <f>IFERROR(VLOOKUP(A3336,[3]DOORSCRIEFT!$A$2:$G$8551,4,FALSE),"")</f>
        <v/>
      </c>
      <c r="F3336" s="397" t="str">
        <f>IFERROR(VLOOKUP(A3336,[3]DOORSCRIEFT!$A$2:$G$8551,6,FALSE),"")</f>
        <v/>
      </c>
      <c r="G3336" s="315"/>
    </row>
    <row r="3337" spans="1:7" x14ac:dyDescent="0.25">
      <c r="A3337" s="319" t="str">
        <f t="shared" si="98"/>
        <v>I.2.2.02.06129</v>
      </c>
      <c r="B3337" s="319">
        <v>29</v>
      </c>
      <c r="C3337" s="394" t="str">
        <f>IFERROR(VLOOKUP(A3337,[3]DOORSCRIEFT!$A$2:$G$8551,2,FALSE),"")</f>
        <v/>
      </c>
      <c r="D3337" s="393" t="str">
        <f>IFERROR(VLOOKUP(A3337,[3]DOORSCRIEFT!$A$2:$G$8551,3,FALSE),"")</f>
        <v/>
      </c>
      <c r="E3337" s="392" t="str">
        <f>IFERROR(VLOOKUP(A3337,[3]DOORSCRIEFT!$A$2:$G$8551,4,FALSE),"")</f>
        <v/>
      </c>
      <c r="F3337" s="397" t="str">
        <f>IFERROR(VLOOKUP(A3337,[3]DOORSCRIEFT!$A$2:$G$8551,6,FALSE),"")</f>
        <v/>
      </c>
      <c r="G3337" s="315"/>
    </row>
    <row r="3338" spans="1:7" x14ac:dyDescent="0.25">
      <c r="A3338" s="319" t="str">
        <f t="shared" si="98"/>
        <v>I.2.2.02.06130</v>
      </c>
      <c r="B3338" s="319">
        <v>30</v>
      </c>
      <c r="C3338" s="394" t="str">
        <f>IFERROR(VLOOKUP(A3338,[3]DOORSCRIEFT!$A$2:$G$8551,2,FALSE),"")</f>
        <v/>
      </c>
      <c r="D3338" s="393" t="str">
        <f>IFERROR(VLOOKUP(A3338,[3]DOORSCRIEFT!$A$2:$G$8551,3,FALSE),"")</f>
        <v/>
      </c>
      <c r="E3338" s="392" t="str">
        <f>IFERROR(VLOOKUP(A3338,[3]DOORSCRIEFT!$A$2:$G$8551,4,FALSE),"")</f>
        <v/>
      </c>
      <c r="F3338" s="397" t="str">
        <f>IFERROR(VLOOKUP(A3338,[3]DOORSCRIEFT!$A$2:$G$8551,6,FALSE),"")</f>
        <v/>
      </c>
      <c r="G3338" s="315"/>
    </row>
    <row r="3339" spans="1:7" x14ac:dyDescent="0.25">
      <c r="A3339" s="319" t="str">
        <f t="shared" si="98"/>
        <v>I.2.2.02.06131</v>
      </c>
      <c r="B3339" s="319">
        <v>31</v>
      </c>
      <c r="C3339" s="394" t="str">
        <f>IFERROR(VLOOKUP(A3339,[3]DOORSCRIEFT!$A$2:$G$8551,2,FALSE),"")</f>
        <v/>
      </c>
      <c r="D3339" s="393" t="str">
        <f>IFERROR(VLOOKUP(A3339,[3]DOORSCRIEFT!$A$2:$G$8551,3,FALSE),"")</f>
        <v/>
      </c>
      <c r="E3339" s="392" t="str">
        <f>IFERROR(VLOOKUP(A3339,[3]DOORSCRIEFT!$A$2:$G$8551,4,FALSE),"")</f>
        <v/>
      </c>
      <c r="F3339" s="397" t="str">
        <f>IFERROR(VLOOKUP(A3339,[3]DOORSCRIEFT!$A$2:$G$8551,6,FALSE),"")</f>
        <v/>
      </c>
      <c r="G3339" s="315"/>
    </row>
    <row r="3340" spans="1:7" x14ac:dyDescent="0.25">
      <c r="A3340" s="319" t="str">
        <f t="shared" si="98"/>
        <v>I.2.2.02.06132</v>
      </c>
      <c r="B3340" s="319">
        <v>32</v>
      </c>
      <c r="C3340" s="394" t="str">
        <f>IFERROR(VLOOKUP(A3340,[3]DOORSCRIEFT!$A$2:$G$8551,2,FALSE),"")</f>
        <v/>
      </c>
      <c r="D3340" s="393" t="str">
        <f>IFERROR(VLOOKUP(A3340,[3]DOORSCRIEFT!$A$2:$G$8551,3,FALSE),"")</f>
        <v/>
      </c>
      <c r="E3340" s="392" t="str">
        <f>IFERROR(VLOOKUP(A3340,[3]DOORSCRIEFT!$A$2:$G$8551,4,FALSE),"")</f>
        <v/>
      </c>
      <c r="F3340" s="397" t="str">
        <f>IFERROR(VLOOKUP(A3340,[3]DOORSCRIEFT!$A$2:$G$8551,6,FALSE),"")</f>
        <v/>
      </c>
      <c r="G3340" s="315"/>
    </row>
    <row r="3341" spans="1:7" x14ac:dyDescent="0.25">
      <c r="A3341" s="319" t="str">
        <f t="shared" si="98"/>
        <v>I.2.2.02.06133</v>
      </c>
      <c r="B3341" s="319">
        <v>33</v>
      </c>
      <c r="C3341" s="394" t="str">
        <f>IFERROR(VLOOKUP(A3341,[3]DOORSCRIEFT!$A$2:$G$8551,2,FALSE),"")</f>
        <v/>
      </c>
      <c r="D3341" s="393" t="str">
        <f>IFERROR(VLOOKUP(A3341,[3]DOORSCRIEFT!$A$2:$G$8551,3,FALSE),"")</f>
        <v/>
      </c>
      <c r="E3341" s="392" t="str">
        <f>IFERROR(VLOOKUP(A3341,[3]DOORSCRIEFT!$A$2:$G$8551,4,FALSE),"")</f>
        <v/>
      </c>
      <c r="F3341" s="397" t="str">
        <f>IFERROR(VLOOKUP(A3341,[3]DOORSCRIEFT!$A$2:$G$8551,6,FALSE),"")</f>
        <v/>
      </c>
      <c r="G3341" s="315"/>
    </row>
    <row r="3342" spans="1:7" ht="15.75" thickBot="1" x14ac:dyDescent="0.3">
      <c r="A3342" s="345" t="str">
        <f t="shared" si="98"/>
        <v>I.2.2.02.06134</v>
      </c>
      <c r="B3342" s="345">
        <v>34</v>
      </c>
      <c r="C3342" s="394" t="str">
        <f>IFERROR(VLOOKUP(A3342,[3]DOORSCRIEFT!$A$2:$G$8551,2,FALSE),"")</f>
        <v/>
      </c>
      <c r="D3342" s="393" t="str">
        <f>IFERROR(VLOOKUP(A3342,[3]DOORSCRIEFT!$A$2:$G$8551,3,FALSE),"")</f>
        <v/>
      </c>
      <c r="E3342" s="392" t="str">
        <f>IFERROR(VLOOKUP(A3342,[3]DOORSCRIEFT!$A$2:$G$8551,4,FALSE),"")</f>
        <v/>
      </c>
      <c r="F3342" s="397" t="str">
        <f>IFERROR(VLOOKUP(A3342,[3]DOORSCRIEFT!$A$2:$G$8551,6,FALSE),"")</f>
        <v/>
      </c>
      <c r="G3342" s="315"/>
    </row>
    <row r="3343" spans="1:7" ht="15.75" thickBot="1" x14ac:dyDescent="0.3">
      <c r="A3343" s="344"/>
      <c r="B3343" s="343"/>
      <c r="C3343" s="336"/>
      <c r="D3343" s="312"/>
      <c r="E3343" s="311" t="s">
        <v>644</v>
      </c>
      <c r="F3343" s="310">
        <f>SUM(F3309:F3342)</f>
        <v>0</v>
      </c>
      <c r="G3343" s="309">
        <f>SUM(G3309:G3342)</f>
        <v>0</v>
      </c>
    </row>
    <row r="3344" spans="1:7" x14ac:dyDescent="0.25">
      <c r="C3344" s="335"/>
    </row>
    <row r="3345" spans="1:7" x14ac:dyDescent="0.25">
      <c r="C3345" s="335"/>
    </row>
    <row r="3346" spans="1:7" ht="15.75" x14ac:dyDescent="0.25">
      <c r="C3346" s="334"/>
      <c r="D3346" s="333"/>
      <c r="E3346" s="332"/>
      <c r="F3346" s="327" t="s">
        <v>607</v>
      </c>
      <c r="G3346" s="327" t="s">
        <v>424</v>
      </c>
    </row>
    <row r="3347" spans="1:7" ht="15.75" x14ac:dyDescent="0.25">
      <c r="C3347" s="334"/>
      <c r="D3347" s="333"/>
      <c r="E3347" s="332"/>
      <c r="F3347" s="327" t="s">
        <v>601</v>
      </c>
      <c r="G3347" s="327" t="s">
        <v>423</v>
      </c>
    </row>
    <row r="3348" spans="1:7" x14ac:dyDescent="0.25">
      <c r="C3348" s="330"/>
      <c r="D3348" s="329"/>
      <c r="E3348" s="328"/>
      <c r="F3348" s="327" t="s">
        <v>651</v>
      </c>
      <c r="G3348" s="331">
        <f>[2]Sheet1!$D$89</f>
        <v>200000</v>
      </c>
    </row>
    <row r="3349" spans="1:7" ht="15.75" thickBot="1" x14ac:dyDescent="0.3">
      <c r="C3349" s="330"/>
      <c r="D3349" s="329"/>
      <c r="E3349" s="328"/>
      <c r="F3349" s="327" t="s">
        <v>650</v>
      </c>
      <c r="G3349" s="326">
        <f>+F3368-G3348</f>
        <v>-200000</v>
      </c>
    </row>
    <row r="3350" spans="1:7" x14ac:dyDescent="0.25">
      <c r="A3350" s="571" t="s">
        <v>626</v>
      </c>
      <c r="B3350" s="573" t="s">
        <v>606</v>
      </c>
      <c r="C3350" s="588" t="s">
        <v>649</v>
      </c>
      <c r="D3350" s="577" t="s">
        <v>648</v>
      </c>
      <c r="E3350" s="577" t="s">
        <v>647</v>
      </c>
      <c r="F3350" s="577" t="s">
        <v>646</v>
      </c>
      <c r="G3350" s="580" t="s">
        <v>645</v>
      </c>
    </row>
    <row r="3351" spans="1:7" ht="15.75" thickBot="1" x14ac:dyDescent="0.3">
      <c r="A3351" s="572"/>
      <c r="B3351" s="574"/>
      <c r="C3351" s="589"/>
      <c r="D3351" s="586"/>
      <c r="E3351" s="586"/>
      <c r="F3351" s="586"/>
      <c r="G3351" s="587"/>
    </row>
    <row r="3352" spans="1:7" ht="15.75" thickBot="1" x14ac:dyDescent="0.3">
      <c r="A3352" s="325">
        <v>1</v>
      </c>
      <c r="B3352" s="324">
        <v>2</v>
      </c>
      <c r="C3352" s="324">
        <v>3</v>
      </c>
      <c r="D3352" s="324">
        <v>4</v>
      </c>
      <c r="E3352" s="324">
        <v>5</v>
      </c>
      <c r="F3352" s="324">
        <v>6</v>
      </c>
      <c r="G3352" s="323">
        <v>7</v>
      </c>
    </row>
    <row r="3353" spans="1:7" x14ac:dyDescent="0.25">
      <c r="A3353" s="339" t="str">
        <f t="shared" ref="A3353:A3367" si="99">$G$3346&amp;B3353</f>
        <v>I.2.2.02.0621</v>
      </c>
      <c r="B3353" s="339">
        <v>1</v>
      </c>
      <c r="C3353" s="394" t="str">
        <f>IFERROR(VLOOKUP(A3353,[3]DOORSCRIEFT!$A$2:$G$8551,2,FALSE),"")</f>
        <v/>
      </c>
      <c r="D3353" s="393" t="str">
        <f>IFERROR(VLOOKUP(A3353,[3]DOORSCRIEFT!$A$2:$G$8551,3,FALSE),"")</f>
        <v/>
      </c>
      <c r="E3353" s="392" t="str">
        <f>IFERROR(VLOOKUP(A3353,[3]DOORSCRIEFT!$A$2:$G$8551,4,FALSE),"")</f>
        <v/>
      </c>
      <c r="F3353" s="397" t="str">
        <f>IFERROR(VLOOKUP(A3353,[3]DOORSCRIEFT!$A$2:$G$8551,6,FALSE),"")</f>
        <v/>
      </c>
      <c r="G3353" s="322"/>
    </row>
    <row r="3354" spans="1:7" x14ac:dyDescent="0.25">
      <c r="A3354" s="339" t="str">
        <f t="shared" si="99"/>
        <v>I.2.2.02.0622</v>
      </c>
      <c r="B3354" s="319">
        <v>2</v>
      </c>
      <c r="C3354" s="394" t="str">
        <f>IFERROR(VLOOKUP(A3354,[3]DOORSCRIEFT!$A$2:$G$8551,2,FALSE),"")</f>
        <v/>
      </c>
      <c r="D3354" s="393" t="str">
        <f>IFERROR(VLOOKUP(A3354,[3]DOORSCRIEFT!$A$2:$G$8551,3,FALSE),"")</f>
        <v/>
      </c>
      <c r="E3354" s="392" t="str">
        <f>IFERROR(VLOOKUP(A3354,[3]DOORSCRIEFT!$A$2:$G$8551,4,FALSE),"")</f>
        <v/>
      </c>
      <c r="F3354" s="397" t="str">
        <f>IFERROR(VLOOKUP(A3354,[3]DOORSCRIEFT!$A$2:$G$8551,6,FALSE),"")</f>
        <v/>
      </c>
      <c r="G3354" s="315"/>
    </row>
    <row r="3355" spans="1:7" x14ac:dyDescent="0.25">
      <c r="A3355" s="339" t="str">
        <f t="shared" si="99"/>
        <v>I.2.2.02.0623</v>
      </c>
      <c r="B3355" s="319">
        <v>3</v>
      </c>
      <c r="C3355" s="394" t="str">
        <f>IFERROR(VLOOKUP(A3355,[3]DOORSCRIEFT!$A$2:$G$8551,2,FALSE),"")</f>
        <v/>
      </c>
      <c r="D3355" s="393" t="str">
        <f>IFERROR(VLOOKUP(A3355,[3]DOORSCRIEFT!$A$2:$G$8551,3,FALSE),"")</f>
        <v/>
      </c>
      <c r="E3355" s="392" t="str">
        <f>IFERROR(VLOOKUP(A3355,[3]DOORSCRIEFT!$A$2:$G$8551,4,FALSE),"")</f>
        <v/>
      </c>
      <c r="F3355" s="397" t="str">
        <f>IFERROR(VLOOKUP(A3355,[3]DOORSCRIEFT!$A$2:$G$8551,6,FALSE),"")</f>
        <v/>
      </c>
      <c r="G3355" s="315"/>
    </row>
    <row r="3356" spans="1:7" x14ac:dyDescent="0.25">
      <c r="A3356" s="339" t="str">
        <f t="shared" si="99"/>
        <v>I.2.2.02.0624</v>
      </c>
      <c r="B3356" s="319">
        <v>4</v>
      </c>
      <c r="C3356" s="394" t="str">
        <f>IFERROR(VLOOKUP(A3356,[3]DOORSCRIEFT!$A$2:$G$8551,2,FALSE),"")</f>
        <v/>
      </c>
      <c r="D3356" s="393" t="str">
        <f>IFERROR(VLOOKUP(A3356,[3]DOORSCRIEFT!$A$2:$G$8551,3,FALSE),"")</f>
        <v/>
      </c>
      <c r="E3356" s="392" t="str">
        <f>IFERROR(VLOOKUP(A3356,[3]DOORSCRIEFT!$A$2:$G$8551,4,FALSE),"")</f>
        <v/>
      </c>
      <c r="F3356" s="397" t="str">
        <f>IFERROR(VLOOKUP(A3356,[3]DOORSCRIEFT!$A$2:$G$8551,6,FALSE),"")</f>
        <v/>
      </c>
      <c r="G3356" s="315"/>
    </row>
    <row r="3357" spans="1:7" x14ac:dyDescent="0.25">
      <c r="A3357" s="339" t="str">
        <f t="shared" si="99"/>
        <v>I.2.2.02.0625</v>
      </c>
      <c r="B3357" s="319">
        <v>5</v>
      </c>
      <c r="C3357" s="394" t="str">
        <f>IFERROR(VLOOKUP(A3357,[3]DOORSCRIEFT!$A$2:$G$8551,2,FALSE),"")</f>
        <v/>
      </c>
      <c r="D3357" s="393" t="str">
        <f>IFERROR(VLOOKUP(A3357,[3]DOORSCRIEFT!$A$2:$G$8551,3,FALSE),"")</f>
        <v/>
      </c>
      <c r="E3357" s="392" t="str">
        <f>IFERROR(VLOOKUP(A3357,[3]DOORSCRIEFT!$A$2:$G$8551,4,FALSE),"")</f>
        <v/>
      </c>
      <c r="F3357" s="397" t="str">
        <f>IFERROR(VLOOKUP(A3357,[3]DOORSCRIEFT!$A$2:$G$8551,6,FALSE),"")</f>
        <v/>
      </c>
      <c r="G3357" s="315"/>
    </row>
    <row r="3358" spans="1:7" x14ac:dyDescent="0.25">
      <c r="A3358" s="339" t="str">
        <f t="shared" si="99"/>
        <v>I.2.2.02.0626</v>
      </c>
      <c r="B3358" s="319">
        <v>6</v>
      </c>
      <c r="C3358" s="394" t="str">
        <f>IFERROR(VLOOKUP(A3358,[3]DOORSCRIEFT!$A$2:$G$8551,2,FALSE),"")</f>
        <v/>
      </c>
      <c r="D3358" s="393" t="str">
        <f>IFERROR(VLOOKUP(A3358,[3]DOORSCRIEFT!$A$2:$G$8551,3,FALSE),"")</f>
        <v/>
      </c>
      <c r="E3358" s="392" t="str">
        <f>IFERROR(VLOOKUP(A3358,[3]DOORSCRIEFT!$A$2:$G$8551,4,FALSE),"")</f>
        <v/>
      </c>
      <c r="F3358" s="397" t="str">
        <f>IFERROR(VLOOKUP(A3358,[3]DOORSCRIEFT!$A$2:$G$8551,6,FALSE),"")</f>
        <v/>
      </c>
      <c r="G3358" s="315"/>
    </row>
    <row r="3359" spans="1:7" x14ac:dyDescent="0.25">
      <c r="A3359" s="339" t="str">
        <f t="shared" si="99"/>
        <v>I.2.2.02.0627</v>
      </c>
      <c r="B3359" s="319">
        <v>7</v>
      </c>
      <c r="C3359" s="394" t="str">
        <f>IFERROR(VLOOKUP(A3359,[3]DOORSCRIEFT!$A$2:$G$8551,2,FALSE),"")</f>
        <v/>
      </c>
      <c r="D3359" s="393" t="str">
        <f>IFERROR(VLOOKUP(A3359,[3]DOORSCRIEFT!$A$2:$G$8551,3,FALSE),"")</f>
        <v/>
      </c>
      <c r="E3359" s="392" t="str">
        <f>IFERROR(VLOOKUP(A3359,[3]DOORSCRIEFT!$A$2:$G$8551,4,FALSE),"")</f>
        <v/>
      </c>
      <c r="F3359" s="397" t="str">
        <f>IFERROR(VLOOKUP(A3359,[3]DOORSCRIEFT!$A$2:$G$8551,6,FALSE),"")</f>
        <v/>
      </c>
      <c r="G3359" s="315"/>
    </row>
    <row r="3360" spans="1:7" x14ac:dyDescent="0.25">
      <c r="A3360" s="339" t="str">
        <f t="shared" si="99"/>
        <v>I.2.2.02.0628</v>
      </c>
      <c r="B3360" s="319">
        <v>8</v>
      </c>
      <c r="C3360" s="394" t="str">
        <f>IFERROR(VLOOKUP(A3360,[3]DOORSCRIEFT!$A$2:$G$8551,2,FALSE),"")</f>
        <v/>
      </c>
      <c r="D3360" s="393" t="str">
        <f>IFERROR(VLOOKUP(A3360,[3]DOORSCRIEFT!$A$2:$G$8551,3,FALSE),"")</f>
        <v/>
      </c>
      <c r="E3360" s="392" t="str">
        <f>IFERROR(VLOOKUP(A3360,[3]DOORSCRIEFT!$A$2:$G$8551,4,FALSE),"")</f>
        <v/>
      </c>
      <c r="F3360" s="397" t="str">
        <f>IFERROR(VLOOKUP(A3360,[3]DOORSCRIEFT!$A$2:$G$8551,6,FALSE),"")</f>
        <v/>
      </c>
      <c r="G3360" s="315"/>
    </row>
    <row r="3361" spans="1:7" x14ac:dyDescent="0.25">
      <c r="A3361" s="339" t="str">
        <f t="shared" si="99"/>
        <v>I.2.2.02.0629</v>
      </c>
      <c r="B3361" s="319">
        <v>9</v>
      </c>
      <c r="C3361" s="394" t="str">
        <f>IFERROR(VLOOKUP(A3361,[3]DOORSCRIEFT!$A$2:$G$8551,2,FALSE),"")</f>
        <v/>
      </c>
      <c r="D3361" s="393" t="str">
        <f>IFERROR(VLOOKUP(A3361,[3]DOORSCRIEFT!$A$2:$G$8551,3,FALSE),"")</f>
        <v/>
      </c>
      <c r="E3361" s="392" t="str">
        <f>IFERROR(VLOOKUP(A3361,[3]DOORSCRIEFT!$A$2:$G$8551,4,FALSE),"")</f>
        <v/>
      </c>
      <c r="F3361" s="397" t="str">
        <f>IFERROR(VLOOKUP(A3361,[3]DOORSCRIEFT!$A$2:$G$8551,6,FALSE),"")</f>
        <v/>
      </c>
      <c r="G3361" s="315"/>
    </row>
    <row r="3362" spans="1:7" x14ac:dyDescent="0.25">
      <c r="A3362" s="339" t="str">
        <f t="shared" si="99"/>
        <v>I.2.2.02.06210</v>
      </c>
      <c r="B3362" s="319">
        <v>10</v>
      </c>
      <c r="C3362" s="394" t="str">
        <f>IFERROR(VLOOKUP(A3362,[3]DOORSCRIEFT!$A$2:$G$8551,2,FALSE),"")</f>
        <v/>
      </c>
      <c r="D3362" s="393" t="str">
        <f>IFERROR(VLOOKUP(A3362,[3]DOORSCRIEFT!$A$2:$G$8551,3,FALSE),"")</f>
        <v/>
      </c>
      <c r="E3362" s="392" t="str">
        <f>IFERROR(VLOOKUP(A3362,[3]DOORSCRIEFT!$A$2:$G$8551,4,FALSE),"")</f>
        <v/>
      </c>
      <c r="F3362" s="397" t="str">
        <f>IFERROR(VLOOKUP(A3362,[3]DOORSCRIEFT!$A$2:$G$8551,6,FALSE),"")</f>
        <v/>
      </c>
      <c r="G3362" s="315"/>
    </row>
    <row r="3363" spans="1:7" x14ac:dyDescent="0.25">
      <c r="A3363" s="339" t="str">
        <f t="shared" si="99"/>
        <v>I.2.2.02.06211</v>
      </c>
      <c r="B3363" s="319">
        <v>11</v>
      </c>
      <c r="C3363" s="394" t="str">
        <f>IFERROR(VLOOKUP(A3363,[3]DOORSCRIEFT!$A$2:$G$8551,2,FALSE),"")</f>
        <v/>
      </c>
      <c r="D3363" s="393" t="str">
        <f>IFERROR(VLOOKUP(A3363,[3]DOORSCRIEFT!$A$2:$G$8551,3,FALSE),"")</f>
        <v/>
      </c>
      <c r="E3363" s="392" t="str">
        <f>IFERROR(VLOOKUP(A3363,[3]DOORSCRIEFT!$A$2:$G$8551,4,FALSE),"")</f>
        <v/>
      </c>
      <c r="F3363" s="397" t="str">
        <f>IFERROR(VLOOKUP(A3363,[3]DOORSCRIEFT!$A$2:$G$8551,6,FALSE),"")</f>
        <v/>
      </c>
      <c r="G3363" s="315"/>
    </row>
    <row r="3364" spans="1:7" x14ac:dyDescent="0.25">
      <c r="A3364" s="339" t="str">
        <f t="shared" si="99"/>
        <v>I.2.2.02.06212</v>
      </c>
      <c r="B3364" s="319">
        <v>12</v>
      </c>
      <c r="C3364" s="394" t="str">
        <f>IFERROR(VLOOKUP(A3364,[3]DOORSCRIEFT!$A$2:$G$8551,2,FALSE),"")</f>
        <v/>
      </c>
      <c r="D3364" s="393" t="str">
        <f>IFERROR(VLOOKUP(A3364,[3]DOORSCRIEFT!$A$2:$G$8551,3,FALSE),"")</f>
        <v/>
      </c>
      <c r="E3364" s="392" t="str">
        <f>IFERROR(VLOOKUP(A3364,[3]DOORSCRIEFT!$A$2:$G$8551,4,FALSE),"")</f>
        <v/>
      </c>
      <c r="F3364" s="397" t="str">
        <f>IFERROR(VLOOKUP(A3364,[3]DOORSCRIEFT!$A$2:$G$8551,6,FALSE),"")</f>
        <v/>
      </c>
      <c r="G3364" s="315"/>
    </row>
    <row r="3365" spans="1:7" x14ac:dyDescent="0.25">
      <c r="A3365" s="339" t="str">
        <f t="shared" si="99"/>
        <v>I.2.2.02.06213</v>
      </c>
      <c r="B3365" s="319">
        <v>13</v>
      </c>
      <c r="C3365" s="394" t="str">
        <f>IFERROR(VLOOKUP(A3365,[3]DOORSCRIEFT!$A$2:$G$8551,2,FALSE),"")</f>
        <v/>
      </c>
      <c r="D3365" s="393" t="str">
        <f>IFERROR(VLOOKUP(A3365,[3]DOORSCRIEFT!$A$2:$G$8551,3,FALSE),"")</f>
        <v/>
      </c>
      <c r="E3365" s="392" t="str">
        <f>IFERROR(VLOOKUP(A3365,[3]DOORSCRIEFT!$A$2:$G$8551,4,FALSE),"")</f>
        <v/>
      </c>
      <c r="F3365" s="397" t="str">
        <f>IFERROR(VLOOKUP(A3365,[3]DOORSCRIEFT!$A$2:$G$8551,6,FALSE),"")</f>
        <v/>
      </c>
      <c r="G3365" s="315"/>
    </row>
    <row r="3366" spans="1:7" x14ac:dyDescent="0.25">
      <c r="A3366" s="339" t="str">
        <f t="shared" si="99"/>
        <v>I.2.2.02.06214</v>
      </c>
      <c r="B3366" s="319">
        <v>14</v>
      </c>
      <c r="C3366" s="394" t="str">
        <f>IFERROR(VLOOKUP(A3366,[3]DOORSCRIEFT!$A$2:$G$8551,2,FALSE),"")</f>
        <v/>
      </c>
      <c r="D3366" s="393" t="str">
        <f>IFERROR(VLOOKUP(A3366,[3]DOORSCRIEFT!$A$2:$G$8551,3,FALSE),"")</f>
        <v/>
      </c>
      <c r="E3366" s="392" t="str">
        <f>IFERROR(VLOOKUP(A3366,[3]DOORSCRIEFT!$A$2:$G$8551,4,FALSE),"")</f>
        <v/>
      </c>
      <c r="F3366" s="397" t="str">
        <f>IFERROR(VLOOKUP(A3366,[3]DOORSCRIEFT!$A$2:$G$8551,6,FALSE),"")</f>
        <v/>
      </c>
      <c r="G3366" s="315"/>
    </row>
    <row r="3367" spans="1:7" ht="15.75" thickBot="1" x14ac:dyDescent="0.3">
      <c r="A3367" s="353" t="str">
        <f t="shared" si="99"/>
        <v>I.2.2.02.06215</v>
      </c>
      <c r="B3367" s="345">
        <v>15</v>
      </c>
      <c r="C3367" s="394" t="str">
        <f>IFERROR(VLOOKUP(A3367,[3]DOORSCRIEFT!$A$2:$G$8551,2,FALSE),"")</f>
        <v/>
      </c>
      <c r="D3367" s="393" t="str">
        <f>IFERROR(VLOOKUP(A3367,[3]DOORSCRIEFT!$A$2:$G$8551,3,FALSE),"")</f>
        <v/>
      </c>
      <c r="E3367" s="392" t="str">
        <f>IFERROR(VLOOKUP(A3367,[3]DOORSCRIEFT!$A$2:$G$8551,4,FALSE),"")</f>
        <v/>
      </c>
      <c r="F3367" s="397" t="str">
        <f>IFERROR(VLOOKUP(A3367,[3]DOORSCRIEFT!$A$2:$G$8551,6,FALSE),"")</f>
        <v/>
      </c>
      <c r="G3367" s="315"/>
    </row>
    <row r="3368" spans="1:7" ht="15.75" thickBot="1" x14ac:dyDescent="0.3">
      <c r="A3368" s="344"/>
      <c r="B3368" s="343"/>
      <c r="C3368" s="336"/>
      <c r="D3368" s="312"/>
      <c r="E3368" s="311" t="s">
        <v>644</v>
      </c>
      <c r="F3368" s="310">
        <f>SUM(F3353:F3367)</f>
        <v>0</v>
      </c>
      <c r="G3368" s="309">
        <f>SUM(G3353:G3367)</f>
        <v>0</v>
      </c>
    </row>
    <row r="3369" spans="1:7" x14ac:dyDescent="0.25">
      <c r="C3369" s="335"/>
    </row>
    <row r="3370" spans="1:7" x14ac:dyDescent="0.25">
      <c r="C3370" s="335"/>
    </row>
    <row r="3371" spans="1:7" ht="15.75" x14ac:dyDescent="0.25">
      <c r="C3371" s="334"/>
      <c r="D3371" s="333"/>
      <c r="E3371" s="332"/>
      <c r="F3371" s="327" t="s">
        <v>607</v>
      </c>
      <c r="G3371" s="327" t="s">
        <v>422</v>
      </c>
    </row>
    <row r="3372" spans="1:7" ht="15.75" x14ac:dyDescent="0.25">
      <c r="C3372" s="334"/>
      <c r="D3372" s="333"/>
      <c r="E3372" s="332"/>
      <c r="F3372" s="327" t="s">
        <v>601</v>
      </c>
      <c r="G3372" s="327" t="s">
        <v>421</v>
      </c>
    </row>
    <row r="3373" spans="1:7" x14ac:dyDescent="0.25">
      <c r="C3373" s="330"/>
      <c r="D3373" s="329"/>
      <c r="E3373" s="328"/>
      <c r="F3373" s="327" t="s">
        <v>651</v>
      </c>
      <c r="G3373" s="331">
        <f>[2]Sheet1!$D$90</f>
        <v>40000000</v>
      </c>
    </row>
    <row r="3374" spans="1:7" ht="15.75" thickBot="1" x14ac:dyDescent="0.3">
      <c r="C3374" s="330"/>
      <c r="D3374" s="329"/>
      <c r="E3374" s="328"/>
      <c r="F3374" s="327" t="s">
        <v>650</v>
      </c>
      <c r="G3374" s="326">
        <f>+F3468-G3373</f>
        <v>-30349000</v>
      </c>
    </row>
    <row r="3375" spans="1:7" x14ac:dyDescent="0.25">
      <c r="A3375" s="571" t="s">
        <v>626</v>
      </c>
      <c r="B3375" s="573" t="s">
        <v>606</v>
      </c>
      <c r="C3375" s="588" t="s">
        <v>649</v>
      </c>
      <c r="D3375" s="577" t="s">
        <v>648</v>
      </c>
      <c r="E3375" s="577" t="s">
        <v>647</v>
      </c>
      <c r="F3375" s="577" t="s">
        <v>646</v>
      </c>
      <c r="G3375" s="580" t="s">
        <v>645</v>
      </c>
    </row>
    <row r="3376" spans="1:7" ht="15.75" thickBot="1" x14ac:dyDescent="0.3">
      <c r="A3376" s="572"/>
      <c r="B3376" s="574"/>
      <c r="C3376" s="589"/>
      <c r="D3376" s="586"/>
      <c r="E3376" s="586"/>
      <c r="F3376" s="586"/>
      <c r="G3376" s="587"/>
    </row>
    <row r="3377" spans="1:7" ht="15.75" thickBot="1" x14ac:dyDescent="0.3">
      <c r="A3377" s="325">
        <v>1</v>
      </c>
      <c r="B3377" s="324">
        <v>2</v>
      </c>
      <c r="C3377" s="324">
        <v>3</v>
      </c>
      <c r="D3377" s="324">
        <v>4</v>
      </c>
      <c r="E3377" s="324">
        <v>5</v>
      </c>
      <c r="F3377" s="324">
        <v>6</v>
      </c>
      <c r="G3377" s="323">
        <v>7</v>
      </c>
    </row>
    <row r="3378" spans="1:7" x14ac:dyDescent="0.25">
      <c r="A3378" s="339" t="str">
        <f t="shared" ref="A3378:A3409" si="100">$G$3371&amp;B3378</f>
        <v>I.2.2.02.0631</v>
      </c>
      <c r="B3378" s="339">
        <v>1</v>
      </c>
      <c r="C3378" s="394">
        <f>IFERROR(VLOOKUP(A3378,[3]DOORSCRIEFT!$A$2:$G$8551,2,FALSE),"")</f>
        <v>10</v>
      </c>
      <c r="D3378" s="393">
        <f>IFERROR(VLOOKUP(A3378,[3]DOORSCRIEFT!$A$2:$G$8551,3,FALSE),"")</f>
        <v>46023</v>
      </c>
      <c r="E3378" s="392" t="str">
        <f>IFERROR(VLOOKUP(A3378,[3]DOORSCRIEFT!$A$2:$G$8551,4,FALSE),"")</f>
        <v>Natsar Gumul Keluarga MJ dan Kel. Bpk. Valen Kristian</v>
      </c>
      <c r="F3378" s="391">
        <f>IFERROR(VLOOKUP(A3378,[3]DOORSCRIEFT!$A$2:$G$8551,6,FALSE),"")</f>
        <v>549000</v>
      </c>
      <c r="G3378" s="322"/>
    </row>
    <row r="3379" spans="1:7" x14ac:dyDescent="0.25">
      <c r="A3379" s="319" t="str">
        <f t="shared" si="100"/>
        <v>I.2.2.02.0632</v>
      </c>
      <c r="B3379" s="319">
        <v>2</v>
      </c>
      <c r="C3379" s="394">
        <f>IFERROR(VLOOKUP(A3379,[3]DOORSCRIEFT!$A$2:$G$8551,2,FALSE),"")</f>
        <v>35</v>
      </c>
      <c r="D3379" s="393">
        <f>IFERROR(VLOOKUP(A3379,[3]DOORSCRIEFT!$A$2:$G$8551,3,FALSE),"")</f>
        <v>46031</v>
      </c>
      <c r="E3379" s="392" t="str">
        <f>IFERROR(VLOOKUP(A3379,[3]DOORSCRIEFT!$A$2:$G$8551,4,FALSE),"")</f>
        <v>Kolekta Natsar Gumul keluarga</v>
      </c>
      <c r="F3379" s="391">
        <f>IFERROR(VLOOKUP(A3379,[3]DOORSCRIEFT!$A$2:$G$8551,6,FALSE),"")</f>
        <v>601000</v>
      </c>
      <c r="G3379" s="315"/>
    </row>
    <row r="3380" spans="1:7" x14ac:dyDescent="0.25">
      <c r="A3380" s="319" t="str">
        <f t="shared" si="100"/>
        <v>I.2.2.02.0633</v>
      </c>
      <c r="B3380" s="319">
        <v>3</v>
      </c>
      <c r="C3380" s="394">
        <f>IFERROR(VLOOKUP(A3380,[3]DOORSCRIEFT!$A$2:$G$8551,2,FALSE),"")</f>
        <v>52</v>
      </c>
      <c r="D3380" s="393">
        <f>IFERROR(VLOOKUP(A3380,[3]DOORSCRIEFT!$A$2:$G$8551,3,FALSE),"")</f>
        <v>46033</v>
      </c>
      <c r="E3380" s="392" t="str">
        <f>IFERROR(VLOOKUP(A3380,[3]DOORSCRIEFT!$A$2:$G$8551,4,FALSE),"")</f>
        <v>Kolekta Pergumulan MJ</v>
      </c>
      <c r="F3380" s="391">
        <f>IFERROR(VLOOKUP(A3380,[3]DOORSCRIEFT!$A$2:$G$8551,6,FALSE),"")</f>
        <v>176000</v>
      </c>
      <c r="G3380" s="315"/>
    </row>
    <row r="3381" spans="1:7" x14ac:dyDescent="0.25">
      <c r="A3381" s="319" t="str">
        <f t="shared" si="100"/>
        <v>I.2.2.02.0634</v>
      </c>
      <c r="B3381" s="319">
        <v>4</v>
      </c>
      <c r="C3381" s="394">
        <f>IFERROR(VLOOKUP(A3381,[3]DOORSCRIEFT!$A$2:$G$8551,2,FALSE),"")</f>
        <v>53</v>
      </c>
      <c r="D3381" s="393">
        <f>IFERROR(VLOOKUP(A3381,[3]DOORSCRIEFT!$A$2:$G$8551,3,FALSE),"")</f>
        <v>46033</v>
      </c>
      <c r="E3381" s="392" t="str">
        <f>IFERROR(VLOOKUP(A3381,[3]DOORSCRIEFT!$A$2:$G$8551,4,FALSE),"")</f>
        <v>Kolekta Pergumulan MJ dan Perangkata Pelayan</v>
      </c>
      <c r="F3381" s="391">
        <f>IFERROR(VLOOKUP(A3381,[3]DOORSCRIEFT!$A$2:$G$8551,6,FALSE),"")</f>
        <v>730000</v>
      </c>
      <c r="G3381" s="315"/>
    </row>
    <row r="3382" spans="1:7" x14ac:dyDescent="0.25">
      <c r="A3382" s="319" t="str">
        <f t="shared" si="100"/>
        <v>I.2.2.02.0635</v>
      </c>
      <c r="B3382" s="319">
        <v>5</v>
      </c>
      <c r="C3382" s="394">
        <f>IFERROR(VLOOKUP(A3382,[3]DOORSCRIEFT!$A$2:$G$8551,2,FALSE),"")</f>
        <v>54</v>
      </c>
      <c r="D3382" s="393">
        <f>IFERROR(VLOOKUP(A3382,[3]DOORSCRIEFT!$A$2:$G$8551,3,FALSE),"")</f>
        <v>46033</v>
      </c>
      <c r="E3382" s="392" t="str">
        <f>IFERROR(VLOOKUP(A3382,[3]DOORSCRIEFT!$A$2:$G$8551,4,FALSE),"")</f>
        <v>Kolekta Pergumulan AMGPM persiapan Konfercab</v>
      </c>
      <c r="F3382" s="391">
        <f>IFERROR(VLOOKUP(A3382,[3]DOORSCRIEFT!$A$2:$G$8551,6,FALSE),"")</f>
        <v>150000</v>
      </c>
      <c r="G3382" s="315"/>
    </row>
    <row r="3383" spans="1:7" x14ac:dyDescent="0.25">
      <c r="A3383" s="319" t="str">
        <f t="shared" si="100"/>
        <v>I.2.2.02.0636</v>
      </c>
      <c r="B3383" s="319">
        <v>6</v>
      </c>
      <c r="C3383" s="394">
        <f>IFERROR(VLOOKUP(A3383,[3]DOORSCRIEFT!$A$2:$G$8551,2,FALSE),"")</f>
        <v>57</v>
      </c>
      <c r="D3383" s="393">
        <f>IFERROR(VLOOKUP(A3383,[3]DOORSCRIEFT!$A$2:$G$8551,3,FALSE),"")</f>
        <v>46038</v>
      </c>
      <c r="E3383" s="392" t="str">
        <f>IFERROR(VLOOKUP(A3383,[3]DOORSCRIEFT!$A$2:$G$8551,4,FALSE),"")</f>
        <v>Natsar Gumul Keluarga Ibu Stin Watimena</v>
      </c>
      <c r="F3383" s="391">
        <f>IFERROR(VLOOKUP(A3383,[3]DOORSCRIEFT!$A$2:$G$8551,6,FALSE),"")</f>
        <v>50000</v>
      </c>
      <c r="G3383" s="315"/>
    </row>
    <row r="3384" spans="1:7" x14ac:dyDescent="0.25">
      <c r="A3384" s="319" t="str">
        <f t="shared" si="100"/>
        <v>I.2.2.02.0637</v>
      </c>
      <c r="B3384" s="319">
        <v>7</v>
      </c>
      <c r="C3384" s="394">
        <f>IFERROR(VLOOKUP(A3384,[3]DOORSCRIEFT!$A$2:$G$8551,2,FALSE),"")</f>
        <v>103</v>
      </c>
      <c r="D3384" s="393">
        <f>IFERROR(VLOOKUP(A3384,[3]DOORSCRIEFT!$A$2:$G$8551,3,FALSE),"")</f>
        <v>46045</v>
      </c>
      <c r="E3384" s="392" t="str">
        <f>IFERROR(VLOOKUP(A3384,[3]DOORSCRIEFT!$A$2:$G$8551,4,FALSE),"")</f>
        <v>Natsar Gumul Keluarga</v>
      </c>
      <c r="F3384" s="391">
        <f>IFERROR(VLOOKUP(A3384,[3]DOORSCRIEFT!$A$2:$G$8551,6,FALSE),"")</f>
        <v>224000</v>
      </c>
      <c r="G3384" s="315"/>
    </row>
    <row r="3385" spans="1:7" x14ac:dyDescent="0.25">
      <c r="A3385" s="319" t="str">
        <f t="shared" si="100"/>
        <v>I.2.2.02.0638</v>
      </c>
      <c r="B3385" s="319">
        <v>8</v>
      </c>
      <c r="C3385" s="394">
        <f>IFERROR(VLOOKUP(A3385,[3]DOORSCRIEFT!$A$2:$G$8551,2,FALSE),"")</f>
        <v>125</v>
      </c>
      <c r="D3385" s="393">
        <f>IFERROR(VLOOKUP(A3385,[3]DOORSCRIEFT!$A$2:$G$8551,3,FALSE),"")</f>
        <v>46052</v>
      </c>
      <c r="E3385" s="392" t="str">
        <f>IFERROR(VLOOKUP(A3385,[3]DOORSCRIEFT!$A$2:$G$8551,4,FALSE),"")</f>
        <v>Kolekta Pergumulan</v>
      </c>
      <c r="F3385" s="391">
        <f>IFERROR(VLOOKUP(A3385,[3]DOORSCRIEFT!$A$2:$G$8551,6,FALSE),"")</f>
        <v>347000</v>
      </c>
      <c r="G3385" s="315"/>
    </row>
    <row r="3386" spans="1:7" x14ac:dyDescent="0.25">
      <c r="A3386" s="319" t="str">
        <f t="shared" si="100"/>
        <v>I.2.2.02.0639</v>
      </c>
      <c r="B3386" s="319">
        <v>9</v>
      </c>
      <c r="C3386" s="394">
        <f>IFERROR(VLOOKUP(A3386,[3]DOORSCRIEFT!$A$2:$G$8551,2,FALSE),"")</f>
        <v>161</v>
      </c>
      <c r="D3386" s="393">
        <f>IFERROR(VLOOKUP(A3386,[3]DOORSCRIEFT!$A$2:$G$8551,3,FALSE),"")</f>
        <v>46059</v>
      </c>
      <c r="E3386" s="392" t="str">
        <f>IFERROR(VLOOKUP(A3386,[3]DOORSCRIEFT!$A$2:$G$8551,4,FALSE),"")</f>
        <v>Kolekta Pergumulan</v>
      </c>
      <c r="F3386" s="391">
        <f>IFERROR(VLOOKUP(A3386,[3]DOORSCRIEFT!$A$2:$G$8551,6,FALSE),"")</f>
        <v>534000</v>
      </c>
      <c r="G3386" s="315"/>
    </row>
    <row r="3387" spans="1:7" x14ac:dyDescent="0.25">
      <c r="A3387" s="319" t="str">
        <f t="shared" si="100"/>
        <v>I.2.2.02.06310</v>
      </c>
      <c r="B3387" s="319">
        <v>10</v>
      </c>
      <c r="C3387" s="394">
        <f>IFERROR(VLOOKUP(A3387,[3]DOORSCRIEFT!$A$2:$G$8551,2,FALSE),"")</f>
        <v>196</v>
      </c>
      <c r="D3387" s="393">
        <f>IFERROR(VLOOKUP(A3387,[3]DOORSCRIEFT!$A$2:$G$8551,3,FALSE),"")</f>
        <v>46066</v>
      </c>
      <c r="E3387" s="392" t="str">
        <f>IFERROR(VLOOKUP(A3387,[3]DOORSCRIEFT!$A$2:$G$8551,4,FALSE),"")</f>
        <v>Natsar Gumul Keluarga</v>
      </c>
      <c r="F3387" s="391">
        <f>IFERROR(VLOOKUP(A3387,[3]DOORSCRIEFT!$A$2:$G$8551,6,FALSE),"")</f>
        <v>637000</v>
      </c>
      <c r="G3387" s="315"/>
    </row>
    <row r="3388" spans="1:7" x14ac:dyDescent="0.25">
      <c r="A3388" s="319" t="str">
        <f t="shared" si="100"/>
        <v>I.2.2.02.06311</v>
      </c>
      <c r="B3388" s="319">
        <v>11</v>
      </c>
      <c r="C3388" s="394">
        <f>IFERROR(VLOOKUP(A3388,[3]DOORSCRIEFT!$A$2:$G$8551,2,FALSE),"")</f>
        <v>213</v>
      </c>
      <c r="D3388" s="393">
        <f>IFERROR(VLOOKUP(A3388,[3]DOORSCRIEFT!$A$2:$G$8551,3,FALSE),"")</f>
        <v>46073</v>
      </c>
      <c r="E3388" s="392" t="str">
        <f>IFERROR(VLOOKUP(A3388,[3]DOORSCRIEFT!$A$2:$G$8551,4,FALSE),"")</f>
        <v>Natsar Gumul Keluarga</v>
      </c>
      <c r="F3388" s="391">
        <f>IFERROR(VLOOKUP(A3388,[3]DOORSCRIEFT!$A$2:$G$8551,6,FALSE),"")</f>
        <v>968000</v>
      </c>
      <c r="G3388" s="315"/>
    </row>
    <row r="3389" spans="1:7" x14ac:dyDescent="0.25">
      <c r="A3389" s="319" t="str">
        <f t="shared" si="100"/>
        <v>I.2.2.02.06312</v>
      </c>
      <c r="B3389" s="319">
        <v>12</v>
      </c>
      <c r="C3389" s="394">
        <f>IFERROR(VLOOKUP(A3389,[3]DOORSCRIEFT!$A$2:$G$8551,2,FALSE),"")</f>
        <v>249</v>
      </c>
      <c r="D3389" s="393">
        <f>IFERROR(VLOOKUP(A3389,[3]DOORSCRIEFT!$A$2:$G$8551,3,FALSE),"")</f>
        <v>46075</v>
      </c>
      <c r="E3389" s="392" t="str">
        <f>IFERROR(VLOOKUP(A3389,[3]DOORSCRIEFT!$A$2:$G$8551,4,FALSE),"")</f>
        <v>Kolekta Pergumulan Keluarga</v>
      </c>
      <c r="F3389" s="391">
        <f>IFERROR(VLOOKUP(A3389,[3]DOORSCRIEFT!$A$2:$G$8551,6,FALSE),"")</f>
        <v>186000</v>
      </c>
      <c r="G3389" s="315"/>
    </row>
    <row r="3390" spans="1:7" x14ac:dyDescent="0.25">
      <c r="A3390" s="319" t="str">
        <f t="shared" si="100"/>
        <v>I.2.2.02.06313</v>
      </c>
      <c r="B3390" s="319">
        <v>13</v>
      </c>
      <c r="C3390" s="394">
        <f>IFERROR(VLOOKUP(A3390,[3]DOORSCRIEFT!$A$2:$G$8551,2,FALSE),"")</f>
        <v>284</v>
      </c>
      <c r="D3390" s="393">
        <f>IFERROR(VLOOKUP(A3390,[3]DOORSCRIEFT!$A$2:$G$8551,3,FALSE),"")</f>
        <v>46087</v>
      </c>
      <c r="E3390" s="392" t="str">
        <f>IFERROR(VLOOKUP(A3390,[3]DOORSCRIEFT!$A$2:$G$8551,4,FALSE),"")</f>
        <v>Natsar Gumul Keluarga</v>
      </c>
      <c r="F3390" s="391">
        <f>IFERROR(VLOOKUP(A3390,[3]DOORSCRIEFT!$A$2:$G$8551,6,FALSE),"")</f>
        <v>1126000</v>
      </c>
      <c r="G3390" s="315"/>
    </row>
    <row r="3391" spans="1:7" x14ac:dyDescent="0.25">
      <c r="A3391" s="319" t="str">
        <f t="shared" si="100"/>
        <v>I.2.2.02.06314</v>
      </c>
      <c r="B3391" s="319">
        <v>14</v>
      </c>
      <c r="C3391" s="394">
        <f>IFERROR(VLOOKUP(A3391,[3]DOORSCRIEFT!$A$2:$G$8551,2,FALSE),"")</f>
        <v>334</v>
      </c>
      <c r="D3391" s="393">
        <f>IFERROR(VLOOKUP(A3391,[3]DOORSCRIEFT!$A$2:$G$8551,3,FALSE),"")</f>
        <v>46089</v>
      </c>
      <c r="E3391" s="392" t="str">
        <f>IFERROR(VLOOKUP(A3391,[3]DOORSCRIEFT!$A$2:$G$8551,4,FALSE),"")</f>
        <v>Natsar Gumul Keluarga</v>
      </c>
      <c r="F3391" s="391">
        <f>IFERROR(VLOOKUP(A3391,[3]DOORSCRIEFT!$A$2:$G$8551,6,FALSE),"")</f>
        <v>1150000</v>
      </c>
      <c r="G3391" s="315"/>
    </row>
    <row r="3392" spans="1:7" x14ac:dyDescent="0.25">
      <c r="A3392" s="319" t="str">
        <f t="shared" si="100"/>
        <v>I.2.2.02.06315</v>
      </c>
      <c r="B3392" s="319">
        <v>15</v>
      </c>
      <c r="C3392" s="394">
        <f>IFERROR(VLOOKUP(A3392,[3]DOORSCRIEFT!$A$2:$G$8551,2,FALSE),"")</f>
        <v>351</v>
      </c>
      <c r="D3392" s="393">
        <f>IFERROR(VLOOKUP(A3392,[3]DOORSCRIEFT!$A$2:$G$8551,3,FALSE),"")</f>
        <v>46096</v>
      </c>
      <c r="E3392" s="392" t="str">
        <f>IFERROR(VLOOKUP(A3392,[3]DOORSCRIEFT!$A$2:$G$8551,4,FALSE),"")</f>
        <v>Kolekta Pergumulan MJ bersama anak anak Tes TNI dan orang tua</v>
      </c>
      <c r="F3392" s="391">
        <f>IFERROR(VLOOKUP(A3392,[3]DOORSCRIEFT!$A$2:$G$8551,6,FALSE),"")</f>
        <v>289000</v>
      </c>
      <c r="G3392" s="315"/>
    </row>
    <row r="3393" spans="1:7" x14ac:dyDescent="0.25">
      <c r="A3393" s="319" t="str">
        <f t="shared" si="100"/>
        <v>I.2.2.02.06316</v>
      </c>
      <c r="B3393" s="319">
        <v>16</v>
      </c>
      <c r="C3393" s="394">
        <f>IFERROR(VLOOKUP(A3393,[3]DOORSCRIEFT!$A$2:$G$8551,2,FALSE),"")</f>
        <v>419</v>
      </c>
      <c r="D3393" s="393">
        <f>IFERROR(VLOOKUP(A3393,[3]DOORSCRIEFT!$A$2:$G$8551,3,FALSE),"")</f>
        <v>46103</v>
      </c>
      <c r="E3393" s="392" t="str">
        <f>IFERROR(VLOOKUP(A3393,[3]DOORSCRIEFT!$A$2:$G$8551,4,FALSE),"")</f>
        <v>Kolekta Pergumulan Keluarga</v>
      </c>
      <c r="F3393" s="391">
        <f>IFERROR(VLOOKUP(A3393,[3]DOORSCRIEFT!$A$2:$G$8551,6,FALSE),"")</f>
        <v>1459000</v>
      </c>
      <c r="G3393" s="315"/>
    </row>
    <row r="3394" spans="1:7" x14ac:dyDescent="0.25">
      <c r="A3394" s="319" t="str">
        <f t="shared" si="100"/>
        <v>I.2.2.02.06317</v>
      </c>
      <c r="B3394" s="319">
        <v>17</v>
      </c>
      <c r="C3394" s="394">
        <f>IFERROR(VLOOKUP(A3394,[3]DOORSCRIEFT!$A$2:$G$8551,2,FALSE),"")</f>
        <v>470</v>
      </c>
      <c r="D3394" s="393">
        <f>IFERROR(VLOOKUP(A3394,[3]DOORSCRIEFT!$A$2:$G$8551,3,FALSE),"")</f>
        <v>46115</v>
      </c>
      <c r="E3394" s="392">
        <f>IFERROR(VLOOKUP(A3394,[3]DOORSCRIEFT!$A$2:$G$8551,4,FALSE),"")</f>
        <v>0</v>
      </c>
      <c r="F3394" s="391">
        <f>IFERROR(VLOOKUP(A3394,[3]DOORSCRIEFT!$A$2:$G$8551,6,FALSE),"")</f>
        <v>475000</v>
      </c>
      <c r="G3394" s="315"/>
    </row>
    <row r="3395" spans="1:7" x14ac:dyDescent="0.25">
      <c r="A3395" s="319" t="str">
        <f t="shared" si="100"/>
        <v>I.2.2.02.06318</v>
      </c>
      <c r="B3395" s="319">
        <v>18</v>
      </c>
      <c r="C3395" s="394" t="str">
        <f>IFERROR(VLOOKUP(A3395,[3]DOORSCRIEFT!$A$2:$G$8551,2,FALSE),"")</f>
        <v/>
      </c>
      <c r="D3395" s="393" t="str">
        <f>IFERROR(VLOOKUP(A3395,[3]DOORSCRIEFT!$A$2:$G$8551,3,FALSE),"")</f>
        <v/>
      </c>
      <c r="E3395" s="392" t="str">
        <f>IFERROR(VLOOKUP(A3395,[3]DOORSCRIEFT!$A$2:$G$8551,4,FALSE),"")</f>
        <v/>
      </c>
      <c r="F3395" s="391" t="str">
        <f>IFERROR(VLOOKUP(A3395,[3]DOORSCRIEFT!$A$2:$G$8551,6,FALSE),"")</f>
        <v/>
      </c>
      <c r="G3395" s="315"/>
    </row>
    <row r="3396" spans="1:7" x14ac:dyDescent="0.25">
      <c r="A3396" s="319" t="str">
        <f t="shared" si="100"/>
        <v>I.2.2.02.06319</v>
      </c>
      <c r="B3396" s="319">
        <v>19</v>
      </c>
      <c r="C3396" s="394" t="str">
        <f>IFERROR(VLOOKUP(A3396,[3]DOORSCRIEFT!$A$2:$G$8551,2,FALSE),"")</f>
        <v/>
      </c>
      <c r="D3396" s="393" t="str">
        <f>IFERROR(VLOOKUP(A3396,[3]DOORSCRIEFT!$A$2:$G$8551,3,FALSE),"")</f>
        <v/>
      </c>
      <c r="E3396" s="392" t="str">
        <f>IFERROR(VLOOKUP(A3396,[3]DOORSCRIEFT!$A$2:$G$8551,4,FALSE),"")</f>
        <v/>
      </c>
      <c r="F3396" s="391" t="str">
        <f>IFERROR(VLOOKUP(A3396,[3]DOORSCRIEFT!$A$2:$G$8551,6,FALSE),"")</f>
        <v/>
      </c>
      <c r="G3396" s="315"/>
    </row>
    <row r="3397" spans="1:7" x14ac:dyDescent="0.25">
      <c r="A3397" s="319" t="str">
        <f t="shared" si="100"/>
        <v>I.2.2.02.06320</v>
      </c>
      <c r="B3397" s="319">
        <v>20</v>
      </c>
      <c r="C3397" s="394" t="str">
        <f>IFERROR(VLOOKUP(A3397,[3]DOORSCRIEFT!$A$2:$G$8551,2,FALSE),"")</f>
        <v/>
      </c>
      <c r="D3397" s="393" t="str">
        <f>IFERROR(VLOOKUP(A3397,[3]DOORSCRIEFT!$A$2:$G$8551,3,FALSE),"")</f>
        <v/>
      </c>
      <c r="E3397" s="392" t="str">
        <f>IFERROR(VLOOKUP(A3397,[3]DOORSCRIEFT!$A$2:$G$8551,4,FALSE),"")</f>
        <v/>
      </c>
      <c r="F3397" s="391" t="str">
        <f>IFERROR(VLOOKUP(A3397,[3]DOORSCRIEFT!$A$2:$G$8551,6,FALSE),"")</f>
        <v/>
      </c>
      <c r="G3397" s="315"/>
    </row>
    <row r="3398" spans="1:7" x14ac:dyDescent="0.25">
      <c r="A3398" s="319" t="str">
        <f t="shared" si="100"/>
        <v>I.2.2.02.06321</v>
      </c>
      <c r="B3398" s="319">
        <v>21</v>
      </c>
      <c r="C3398" s="394" t="str">
        <f>IFERROR(VLOOKUP(A3398,[3]DOORSCRIEFT!$A$2:$G$8551,2,FALSE),"")</f>
        <v/>
      </c>
      <c r="D3398" s="393" t="str">
        <f>IFERROR(VLOOKUP(A3398,[3]DOORSCRIEFT!$A$2:$G$8551,3,FALSE),"")</f>
        <v/>
      </c>
      <c r="E3398" s="392" t="str">
        <f>IFERROR(VLOOKUP(A3398,[3]DOORSCRIEFT!$A$2:$G$8551,4,FALSE),"")</f>
        <v/>
      </c>
      <c r="F3398" s="391" t="str">
        <f>IFERROR(VLOOKUP(A3398,[3]DOORSCRIEFT!$A$2:$G$8551,6,FALSE),"")</f>
        <v/>
      </c>
      <c r="G3398" s="315"/>
    </row>
    <row r="3399" spans="1:7" x14ac:dyDescent="0.25">
      <c r="A3399" s="319" t="str">
        <f t="shared" si="100"/>
        <v>I.2.2.02.06322</v>
      </c>
      <c r="B3399" s="319">
        <v>22</v>
      </c>
      <c r="C3399" s="394" t="str">
        <f>IFERROR(VLOOKUP(A3399,[3]DOORSCRIEFT!$A$2:$G$8551,2,FALSE),"")</f>
        <v/>
      </c>
      <c r="D3399" s="393" t="str">
        <f>IFERROR(VLOOKUP(A3399,[3]DOORSCRIEFT!$A$2:$G$8551,3,FALSE),"")</f>
        <v/>
      </c>
      <c r="E3399" s="392" t="str">
        <f>IFERROR(VLOOKUP(A3399,[3]DOORSCRIEFT!$A$2:$G$8551,4,FALSE),"")</f>
        <v/>
      </c>
      <c r="F3399" s="391" t="str">
        <f>IFERROR(VLOOKUP(A3399,[3]DOORSCRIEFT!$A$2:$G$8551,6,FALSE),"")</f>
        <v/>
      </c>
      <c r="G3399" s="315"/>
    </row>
    <row r="3400" spans="1:7" x14ac:dyDescent="0.25">
      <c r="A3400" s="319" t="str">
        <f t="shared" si="100"/>
        <v>I.2.2.02.06323</v>
      </c>
      <c r="B3400" s="319">
        <v>23</v>
      </c>
      <c r="C3400" s="394" t="str">
        <f>IFERROR(VLOOKUP(A3400,[3]DOORSCRIEFT!$A$2:$G$8551,2,FALSE),"")</f>
        <v/>
      </c>
      <c r="D3400" s="393" t="str">
        <f>IFERROR(VLOOKUP(A3400,[3]DOORSCRIEFT!$A$2:$G$8551,3,FALSE),"")</f>
        <v/>
      </c>
      <c r="E3400" s="392" t="str">
        <f>IFERROR(VLOOKUP(A3400,[3]DOORSCRIEFT!$A$2:$G$8551,4,FALSE),"")</f>
        <v/>
      </c>
      <c r="F3400" s="391" t="str">
        <f>IFERROR(VLOOKUP(A3400,[3]DOORSCRIEFT!$A$2:$G$8551,6,FALSE),"")</f>
        <v/>
      </c>
      <c r="G3400" s="315"/>
    </row>
    <row r="3401" spans="1:7" x14ac:dyDescent="0.25">
      <c r="A3401" s="319" t="str">
        <f t="shared" si="100"/>
        <v>I.2.2.02.06324</v>
      </c>
      <c r="B3401" s="319">
        <v>24</v>
      </c>
      <c r="C3401" s="394" t="str">
        <f>IFERROR(VLOOKUP(A3401,[3]DOORSCRIEFT!$A$2:$G$8551,2,FALSE),"")</f>
        <v/>
      </c>
      <c r="D3401" s="393" t="str">
        <f>IFERROR(VLOOKUP(A3401,[3]DOORSCRIEFT!$A$2:$G$8551,3,FALSE),"")</f>
        <v/>
      </c>
      <c r="E3401" s="392" t="str">
        <f>IFERROR(VLOOKUP(A3401,[3]DOORSCRIEFT!$A$2:$G$8551,4,FALSE),"")</f>
        <v/>
      </c>
      <c r="F3401" s="391" t="str">
        <f>IFERROR(VLOOKUP(A3401,[3]DOORSCRIEFT!$A$2:$G$8551,6,FALSE),"")</f>
        <v/>
      </c>
      <c r="G3401" s="315"/>
    </row>
    <row r="3402" spans="1:7" x14ac:dyDescent="0.25">
      <c r="A3402" s="319" t="str">
        <f t="shared" si="100"/>
        <v>I.2.2.02.06325</v>
      </c>
      <c r="B3402" s="319">
        <v>25</v>
      </c>
      <c r="C3402" s="394" t="str">
        <f>IFERROR(VLOOKUP(A3402,[3]DOORSCRIEFT!$A$2:$G$8551,2,FALSE),"")</f>
        <v/>
      </c>
      <c r="D3402" s="393" t="str">
        <f>IFERROR(VLOOKUP(A3402,[3]DOORSCRIEFT!$A$2:$G$8551,3,FALSE),"")</f>
        <v/>
      </c>
      <c r="E3402" s="392" t="str">
        <f>IFERROR(VLOOKUP(A3402,[3]DOORSCRIEFT!$A$2:$G$8551,4,FALSE),"")</f>
        <v/>
      </c>
      <c r="F3402" s="391" t="str">
        <f>IFERROR(VLOOKUP(A3402,[3]DOORSCRIEFT!$A$2:$G$8551,6,FALSE),"")</f>
        <v/>
      </c>
      <c r="G3402" s="315"/>
    </row>
    <row r="3403" spans="1:7" x14ac:dyDescent="0.25">
      <c r="A3403" s="319" t="str">
        <f t="shared" si="100"/>
        <v>I.2.2.02.06326</v>
      </c>
      <c r="B3403" s="319">
        <v>26</v>
      </c>
      <c r="C3403" s="394" t="str">
        <f>IFERROR(VLOOKUP(A3403,[3]DOORSCRIEFT!$A$2:$G$8551,2,FALSE),"")</f>
        <v/>
      </c>
      <c r="D3403" s="393" t="str">
        <f>IFERROR(VLOOKUP(A3403,[3]DOORSCRIEFT!$A$2:$G$8551,3,FALSE),"")</f>
        <v/>
      </c>
      <c r="E3403" s="392" t="str">
        <f>IFERROR(VLOOKUP(A3403,[3]DOORSCRIEFT!$A$2:$G$8551,4,FALSE),"")</f>
        <v/>
      </c>
      <c r="F3403" s="391" t="str">
        <f>IFERROR(VLOOKUP(A3403,[3]DOORSCRIEFT!$A$2:$G$8551,6,FALSE),"")</f>
        <v/>
      </c>
      <c r="G3403" s="315"/>
    </row>
    <row r="3404" spans="1:7" x14ac:dyDescent="0.25">
      <c r="A3404" s="319" t="str">
        <f t="shared" si="100"/>
        <v>I.2.2.02.06327</v>
      </c>
      <c r="B3404" s="319">
        <v>27</v>
      </c>
      <c r="C3404" s="394" t="str">
        <f>IFERROR(VLOOKUP(A3404,[3]DOORSCRIEFT!$A$2:$G$8551,2,FALSE),"")</f>
        <v/>
      </c>
      <c r="D3404" s="393" t="str">
        <f>IFERROR(VLOOKUP(A3404,[3]DOORSCRIEFT!$A$2:$G$8551,3,FALSE),"")</f>
        <v/>
      </c>
      <c r="E3404" s="392" t="str">
        <f>IFERROR(VLOOKUP(A3404,[3]DOORSCRIEFT!$A$2:$G$8551,4,FALSE),"")</f>
        <v/>
      </c>
      <c r="F3404" s="391" t="str">
        <f>IFERROR(VLOOKUP(A3404,[3]DOORSCRIEFT!$A$2:$G$8551,6,FALSE),"")</f>
        <v/>
      </c>
      <c r="G3404" s="315"/>
    </row>
    <row r="3405" spans="1:7" x14ac:dyDescent="0.25">
      <c r="A3405" s="319" t="str">
        <f t="shared" si="100"/>
        <v>I.2.2.02.06328</v>
      </c>
      <c r="B3405" s="319">
        <v>28</v>
      </c>
      <c r="C3405" s="394" t="str">
        <f>IFERROR(VLOOKUP(A3405,[3]DOORSCRIEFT!$A$2:$G$8551,2,FALSE),"")</f>
        <v/>
      </c>
      <c r="D3405" s="393" t="str">
        <f>IFERROR(VLOOKUP(A3405,[3]DOORSCRIEFT!$A$2:$G$8551,3,FALSE),"")</f>
        <v/>
      </c>
      <c r="E3405" s="392" t="str">
        <f>IFERROR(VLOOKUP(A3405,[3]DOORSCRIEFT!$A$2:$G$8551,4,FALSE),"")</f>
        <v/>
      </c>
      <c r="F3405" s="391" t="str">
        <f>IFERROR(VLOOKUP(A3405,[3]DOORSCRIEFT!$A$2:$G$8551,6,FALSE),"")</f>
        <v/>
      </c>
      <c r="G3405" s="315"/>
    </row>
    <row r="3406" spans="1:7" x14ac:dyDescent="0.25">
      <c r="A3406" s="319" t="str">
        <f t="shared" si="100"/>
        <v>I.2.2.02.06329</v>
      </c>
      <c r="B3406" s="319">
        <v>29</v>
      </c>
      <c r="C3406" s="394" t="str">
        <f>IFERROR(VLOOKUP(A3406,[3]DOORSCRIEFT!$A$2:$G$8551,2,FALSE),"")</f>
        <v/>
      </c>
      <c r="D3406" s="393" t="str">
        <f>IFERROR(VLOOKUP(A3406,[3]DOORSCRIEFT!$A$2:$G$8551,3,FALSE),"")</f>
        <v/>
      </c>
      <c r="E3406" s="392" t="str">
        <f>IFERROR(VLOOKUP(A3406,[3]DOORSCRIEFT!$A$2:$G$8551,4,FALSE),"")</f>
        <v/>
      </c>
      <c r="F3406" s="391" t="str">
        <f>IFERROR(VLOOKUP(A3406,[3]DOORSCRIEFT!$A$2:$G$8551,6,FALSE),"")</f>
        <v/>
      </c>
      <c r="G3406" s="315"/>
    </row>
    <row r="3407" spans="1:7" x14ac:dyDescent="0.25">
      <c r="A3407" s="319" t="str">
        <f t="shared" si="100"/>
        <v>I.2.2.02.06330</v>
      </c>
      <c r="B3407" s="319">
        <v>30</v>
      </c>
      <c r="C3407" s="394" t="str">
        <f>IFERROR(VLOOKUP(A3407,[3]DOORSCRIEFT!$A$2:$G$8551,2,FALSE),"")</f>
        <v/>
      </c>
      <c r="D3407" s="393" t="str">
        <f>IFERROR(VLOOKUP(A3407,[3]DOORSCRIEFT!$A$2:$G$8551,3,FALSE),"")</f>
        <v/>
      </c>
      <c r="E3407" s="392" t="str">
        <f>IFERROR(VLOOKUP(A3407,[3]DOORSCRIEFT!$A$2:$G$8551,4,FALSE),"")</f>
        <v/>
      </c>
      <c r="F3407" s="391" t="str">
        <f>IFERROR(VLOOKUP(A3407,[3]DOORSCRIEFT!$A$2:$G$8551,6,FALSE),"")</f>
        <v/>
      </c>
      <c r="G3407" s="315"/>
    </row>
    <row r="3408" spans="1:7" x14ac:dyDescent="0.25">
      <c r="A3408" s="319" t="str">
        <f t="shared" si="100"/>
        <v>I.2.2.02.06331</v>
      </c>
      <c r="B3408" s="319">
        <v>31</v>
      </c>
      <c r="C3408" s="394" t="str">
        <f>IFERROR(VLOOKUP(A3408,[3]DOORSCRIEFT!$A$2:$G$8551,2,FALSE),"")</f>
        <v/>
      </c>
      <c r="D3408" s="393" t="str">
        <f>IFERROR(VLOOKUP(A3408,[3]DOORSCRIEFT!$A$2:$G$8551,3,FALSE),"")</f>
        <v/>
      </c>
      <c r="E3408" s="392" t="str">
        <f>IFERROR(VLOOKUP(A3408,[3]DOORSCRIEFT!$A$2:$G$8551,4,FALSE),"")</f>
        <v/>
      </c>
      <c r="F3408" s="391" t="str">
        <f>IFERROR(VLOOKUP(A3408,[3]DOORSCRIEFT!$A$2:$G$8551,6,FALSE),"")</f>
        <v/>
      </c>
      <c r="G3408" s="315"/>
    </row>
    <row r="3409" spans="1:7" x14ac:dyDescent="0.25">
      <c r="A3409" s="319" t="str">
        <f t="shared" si="100"/>
        <v>I.2.2.02.06332</v>
      </c>
      <c r="B3409" s="319">
        <v>32</v>
      </c>
      <c r="C3409" s="394" t="str">
        <f>IFERROR(VLOOKUP(A3409,[3]DOORSCRIEFT!$A$2:$G$8551,2,FALSE),"")</f>
        <v/>
      </c>
      <c r="D3409" s="393" t="str">
        <f>IFERROR(VLOOKUP(A3409,[3]DOORSCRIEFT!$A$2:$G$8551,3,FALSE),"")</f>
        <v/>
      </c>
      <c r="E3409" s="392" t="str">
        <f>IFERROR(VLOOKUP(A3409,[3]DOORSCRIEFT!$A$2:$G$8551,4,FALSE),"")</f>
        <v/>
      </c>
      <c r="F3409" s="391" t="str">
        <f>IFERROR(VLOOKUP(A3409,[3]DOORSCRIEFT!$A$2:$G$8551,6,FALSE),"")</f>
        <v/>
      </c>
      <c r="G3409" s="315"/>
    </row>
    <row r="3410" spans="1:7" x14ac:dyDescent="0.25">
      <c r="A3410" s="319" t="str">
        <f t="shared" ref="A3410:A3441" si="101">$G$3371&amp;B3410</f>
        <v>I.2.2.02.06333</v>
      </c>
      <c r="B3410" s="319">
        <v>33</v>
      </c>
      <c r="C3410" s="394" t="str">
        <f>IFERROR(VLOOKUP(A3410,[3]DOORSCRIEFT!$A$2:$G$8551,2,FALSE),"")</f>
        <v/>
      </c>
      <c r="D3410" s="393" t="str">
        <f>IFERROR(VLOOKUP(A3410,[3]DOORSCRIEFT!$A$2:$G$8551,3,FALSE),"")</f>
        <v/>
      </c>
      <c r="E3410" s="392" t="str">
        <f>IFERROR(VLOOKUP(A3410,[3]DOORSCRIEFT!$A$2:$G$8551,4,FALSE),"")</f>
        <v/>
      </c>
      <c r="F3410" s="391" t="str">
        <f>IFERROR(VLOOKUP(A3410,[3]DOORSCRIEFT!$A$2:$G$8551,6,FALSE),"")</f>
        <v/>
      </c>
      <c r="G3410" s="315"/>
    </row>
    <row r="3411" spans="1:7" x14ac:dyDescent="0.25">
      <c r="A3411" s="319" t="str">
        <f t="shared" si="101"/>
        <v>I.2.2.02.06334</v>
      </c>
      <c r="B3411" s="319">
        <v>34</v>
      </c>
      <c r="C3411" s="394" t="str">
        <f>IFERROR(VLOOKUP(A3411,[3]DOORSCRIEFT!$A$2:$G$8551,2,FALSE),"")</f>
        <v/>
      </c>
      <c r="D3411" s="393" t="str">
        <f>IFERROR(VLOOKUP(A3411,[3]DOORSCRIEFT!$A$2:$G$8551,3,FALSE),"")</f>
        <v/>
      </c>
      <c r="E3411" s="392" t="str">
        <f>IFERROR(VLOOKUP(A3411,[3]DOORSCRIEFT!$A$2:$G$8551,4,FALSE),"")</f>
        <v/>
      </c>
      <c r="F3411" s="391" t="str">
        <f>IFERROR(VLOOKUP(A3411,[3]DOORSCRIEFT!$A$2:$G$8551,6,FALSE),"")</f>
        <v/>
      </c>
      <c r="G3411" s="315"/>
    </row>
    <row r="3412" spans="1:7" x14ac:dyDescent="0.25">
      <c r="A3412" s="319" t="str">
        <f t="shared" si="101"/>
        <v>I.2.2.02.06335</v>
      </c>
      <c r="B3412" s="319">
        <v>35</v>
      </c>
      <c r="C3412" s="394" t="str">
        <f>IFERROR(VLOOKUP(A3412,[3]DOORSCRIEFT!$A$2:$G$8551,2,FALSE),"")</f>
        <v/>
      </c>
      <c r="D3412" s="393" t="str">
        <f>IFERROR(VLOOKUP(A3412,[3]DOORSCRIEFT!$A$2:$G$8551,3,FALSE),"")</f>
        <v/>
      </c>
      <c r="E3412" s="392" t="str">
        <f>IFERROR(VLOOKUP(A3412,[3]DOORSCRIEFT!$A$2:$G$8551,4,FALSE),"")</f>
        <v/>
      </c>
      <c r="F3412" s="391" t="str">
        <f>IFERROR(VLOOKUP(A3412,[3]DOORSCRIEFT!$A$2:$G$8551,6,FALSE),"")</f>
        <v/>
      </c>
      <c r="G3412" s="315"/>
    </row>
    <row r="3413" spans="1:7" x14ac:dyDescent="0.25">
      <c r="A3413" s="319" t="str">
        <f t="shared" si="101"/>
        <v>I.2.2.02.06336</v>
      </c>
      <c r="B3413" s="319">
        <v>36</v>
      </c>
      <c r="C3413" s="394" t="str">
        <f>IFERROR(VLOOKUP(A3413,[3]DOORSCRIEFT!$A$2:$G$8551,2,FALSE),"")</f>
        <v/>
      </c>
      <c r="D3413" s="393" t="str">
        <f>IFERROR(VLOOKUP(A3413,[3]DOORSCRIEFT!$A$2:$G$8551,3,FALSE),"")</f>
        <v/>
      </c>
      <c r="E3413" s="392" t="str">
        <f>IFERROR(VLOOKUP(A3413,[3]DOORSCRIEFT!$A$2:$G$8551,4,FALSE),"")</f>
        <v/>
      </c>
      <c r="F3413" s="391" t="str">
        <f>IFERROR(VLOOKUP(A3413,[3]DOORSCRIEFT!$A$2:$G$8551,6,FALSE),"")</f>
        <v/>
      </c>
      <c r="G3413" s="315"/>
    </row>
    <row r="3414" spans="1:7" x14ac:dyDescent="0.25">
      <c r="A3414" s="319" t="str">
        <f t="shared" si="101"/>
        <v>I.2.2.02.06337</v>
      </c>
      <c r="B3414" s="319">
        <v>37</v>
      </c>
      <c r="C3414" s="394" t="str">
        <f>IFERROR(VLOOKUP(A3414,[3]DOORSCRIEFT!$A$2:$G$8551,2,FALSE),"")</f>
        <v/>
      </c>
      <c r="D3414" s="393" t="str">
        <f>IFERROR(VLOOKUP(A3414,[3]DOORSCRIEFT!$A$2:$G$8551,3,FALSE),"")</f>
        <v/>
      </c>
      <c r="E3414" s="392" t="str">
        <f>IFERROR(VLOOKUP(A3414,[3]DOORSCRIEFT!$A$2:$G$8551,4,FALSE),"")</f>
        <v/>
      </c>
      <c r="F3414" s="391" t="str">
        <f>IFERROR(VLOOKUP(A3414,[3]DOORSCRIEFT!$A$2:$G$8551,6,FALSE),"")</f>
        <v/>
      </c>
      <c r="G3414" s="315"/>
    </row>
    <row r="3415" spans="1:7" x14ac:dyDescent="0.25">
      <c r="A3415" s="319" t="str">
        <f t="shared" si="101"/>
        <v>I.2.2.02.06338</v>
      </c>
      <c r="B3415" s="319">
        <v>38</v>
      </c>
      <c r="C3415" s="394" t="str">
        <f>IFERROR(VLOOKUP(A3415,[3]DOORSCRIEFT!$A$2:$G$8551,2,FALSE),"")</f>
        <v/>
      </c>
      <c r="D3415" s="393" t="str">
        <f>IFERROR(VLOOKUP(A3415,[3]DOORSCRIEFT!$A$2:$G$8551,3,FALSE),"")</f>
        <v/>
      </c>
      <c r="E3415" s="392" t="str">
        <f>IFERROR(VLOOKUP(A3415,[3]DOORSCRIEFT!$A$2:$G$8551,4,FALSE),"")</f>
        <v/>
      </c>
      <c r="F3415" s="391" t="str">
        <f>IFERROR(VLOOKUP(A3415,[3]DOORSCRIEFT!$A$2:$G$8551,6,FALSE),"")</f>
        <v/>
      </c>
      <c r="G3415" s="315"/>
    </row>
    <row r="3416" spans="1:7" x14ac:dyDescent="0.25">
      <c r="A3416" s="319" t="str">
        <f t="shared" si="101"/>
        <v>I.2.2.02.06339</v>
      </c>
      <c r="B3416" s="319">
        <v>39</v>
      </c>
      <c r="C3416" s="394" t="str">
        <f>IFERROR(VLOOKUP(A3416,[3]DOORSCRIEFT!$A$2:$G$8551,2,FALSE),"")</f>
        <v/>
      </c>
      <c r="D3416" s="393" t="str">
        <f>IFERROR(VLOOKUP(A3416,[3]DOORSCRIEFT!$A$2:$G$8551,3,FALSE),"")</f>
        <v/>
      </c>
      <c r="E3416" s="392" t="str">
        <f>IFERROR(VLOOKUP(A3416,[3]DOORSCRIEFT!$A$2:$G$8551,4,FALSE),"")</f>
        <v/>
      </c>
      <c r="F3416" s="391" t="str">
        <f>IFERROR(VLOOKUP(A3416,[3]DOORSCRIEFT!$A$2:$G$8551,6,FALSE),"")</f>
        <v/>
      </c>
      <c r="G3416" s="315"/>
    </row>
    <row r="3417" spans="1:7" x14ac:dyDescent="0.25">
      <c r="A3417" s="319" t="str">
        <f t="shared" si="101"/>
        <v>I.2.2.02.06340</v>
      </c>
      <c r="B3417" s="319">
        <v>40</v>
      </c>
      <c r="C3417" s="394" t="str">
        <f>IFERROR(VLOOKUP(A3417,[3]DOORSCRIEFT!$A$2:$G$8551,2,FALSE),"")</f>
        <v/>
      </c>
      <c r="D3417" s="393" t="str">
        <f>IFERROR(VLOOKUP(A3417,[3]DOORSCRIEFT!$A$2:$G$8551,3,FALSE),"")</f>
        <v/>
      </c>
      <c r="E3417" s="392" t="str">
        <f>IFERROR(VLOOKUP(A3417,[3]DOORSCRIEFT!$A$2:$G$8551,4,FALSE),"")</f>
        <v/>
      </c>
      <c r="F3417" s="391" t="str">
        <f>IFERROR(VLOOKUP(A3417,[3]DOORSCRIEFT!$A$2:$G$8551,6,FALSE),"")</f>
        <v/>
      </c>
      <c r="G3417" s="315"/>
    </row>
    <row r="3418" spans="1:7" x14ac:dyDescent="0.25">
      <c r="A3418" s="319" t="str">
        <f t="shared" si="101"/>
        <v>I.2.2.02.06341</v>
      </c>
      <c r="B3418" s="319">
        <v>41</v>
      </c>
      <c r="C3418" s="394" t="str">
        <f>IFERROR(VLOOKUP(A3418,[3]DOORSCRIEFT!$A$2:$G$8551,2,FALSE),"")</f>
        <v/>
      </c>
      <c r="D3418" s="393" t="str">
        <f>IFERROR(VLOOKUP(A3418,[3]DOORSCRIEFT!$A$2:$G$8551,3,FALSE),"")</f>
        <v/>
      </c>
      <c r="E3418" s="392" t="str">
        <f>IFERROR(VLOOKUP(A3418,[3]DOORSCRIEFT!$A$2:$G$8551,4,FALSE),"")</f>
        <v/>
      </c>
      <c r="F3418" s="391" t="str">
        <f>IFERROR(VLOOKUP(A3418,[3]DOORSCRIEFT!$A$2:$G$8551,6,FALSE),"")</f>
        <v/>
      </c>
      <c r="G3418" s="315"/>
    </row>
    <row r="3419" spans="1:7" x14ac:dyDescent="0.25">
      <c r="A3419" s="319" t="str">
        <f t="shared" si="101"/>
        <v>I.2.2.02.06342</v>
      </c>
      <c r="B3419" s="319">
        <v>42</v>
      </c>
      <c r="C3419" s="394" t="str">
        <f>IFERROR(VLOOKUP(A3419,[3]DOORSCRIEFT!$A$2:$G$8551,2,FALSE),"")</f>
        <v/>
      </c>
      <c r="D3419" s="393" t="str">
        <f>IFERROR(VLOOKUP(A3419,[3]DOORSCRIEFT!$A$2:$G$8551,3,FALSE),"")</f>
        <v/>
      </c>
      <c r="E3419" s="392" t="str">
        <f>IFERROR(VLOOKUP(A3419,[3]DOORSCRIEFT!$A$2:$G$8551,4,FALSE),"")</f>
        <v/>
      </c>
      <c r="F3419" s="391" t="str">
        <f>IFERROR(VLOOKUP(A3419,[3]DOORSCRIEFT!$A$2:$G$8551,6,FALSE),"")</f>
        <v/>
      </c>
      <c r="G3419" s="315"/>
    </row>
    <row r="3420" spans="1:7" x14ac:dyDescent="0.25">
      <c r="A3420" s="319" t="str">
        <f t="shared" si="101"/>
        <v>I.2.2.02.06343</v>
      </c>
      <c r="B3420" s="319">
        <v>43</v>
      </c>
      <c r="C3420" s="394" t="str">
        <f>IFERROR(VLOOKUP(A3420,[3]DOORSCRIEFT!$A$2:$G$8551,2,FALSE),"")</f>
        <v/>
      </c>
      <c r="D3420" s="393" t="str">
        <f>IFERROR(VLOOKUP(A3420,[3]DOORSCRIEFT!$A$2:$G$8551,3,FALSE),"")</f>
        <v/>
      </c>
      <c r="E3420" s="392" t="str">
        <f>IFERROR(VLOOKUP(A3420,[3]DOORSCRIEFT!$A$2:$G$8551,4,FALSE),"")</f>
        <v/>
      </c>
      <c r="F3420" s="391" t="str">
        <f>IFERROR(VLOOKUP(A3420,[3]DOORSCRIEFT!$A$2:$G$8551,6,FALSE),"")</f>
        <v/>
      </c>
      <c r="G3420" s="315"/>
    </row>
    <row r="3421" spans="1:7" x14ac:dyDescent="0.25">
      <c r="A3421" s="319" t="str">
        <f t="shared" si="101"/>
        <v>I.2.2.02.06344</v>
      </c>
      <c r="B3421" s="319">
        <v>44</v>
      </c>
      <c r="C3421" s="394" t="str">
        <f>IFERROR(VLOOKUP(A3421,[3]DOORSCRIEFT!$A$2:$G$8551,2,FALSE),"")</f>
        <v/>
      </c>
      <c r="D3421" s="393" t="str">
        <f>IFERROR(VLOOKUP(A3421,[3]DOORSCRIEFT!$A$2:$G$8551,3,FALSE),"")</f>
        <v/>
      </c>
      <c r="E3421" s="392" t="str">
        <f>IFERROR(VLOOKUP(A3421,[3]DOORSCRIEFT!$A$2:$G$8551,4,FALSE),"")</f>
        <v/>
      </c>
      <c r="F3421" s="391" t="str">
        <f>IFERROR(VLOOKUP(A3421,[3]DOORSCRIEFT!$A$2:$G$8551,6,FALSE),"")</f>
        <v/>
      </c>
      <c r="G3421" s="315"/>
    </row>
    <row r="3422" spans="1:7" x14ac:dyDescent="0.25">
      <c r="A3422" s="319" t="str">
        <f t="shared" si="101"/>
        <v>I.2.2.02.06345</v>
      </c>
      <c r="B3422" s="319">
        <v>45</v>
      </c>
      <c r="C3422" s="394" t="str">
        <f>IFERROR(VLOOKUP(A3422,[3]DOORSCRIEFT!$A$2:$G$8551,2,FALSE),"")</f>
        <v/>
      </c>
      <c r="D3422" s="393" t="str">
        <f>IFERROR(VLOOKUP(A3422,[3]DOORSCRIEFT!$A$2:$G$8551,3,FALSE),"")</f>
        <v/>
      </c>
      <c r="E3422" s="392" t="str">
        <f>IFERROR(VLOOKUP(A3422,[3]DOORSCRIEFT!$A$2:$G$8551,4,FALSE),"")</f>
        <v/>
      </c>
      <c r="F3422" s="391" t="str">
        <f>IFERROR(VLOOKUP(A3422,[3]DOORSCRIEFT!$A$2:$G$8551,6,FALSE),"")</f>
        <v/>
      </c>
      <c r="G3422" s="315"/>
    </row>
    <row r="3423" spans="1:7" x14ac:dyDescent="0.25">
      <c r="A3423" s="319" t="str">
        <f t="shared" si="101"/>
        <v>I.2.2.02.06346</v>
      </c>
      <c r="B3423" s="319">
        <v>46</v>
      </c>
      <c r="C3423" s="394" t="str">
        <f>IFERROR(VLOOKUP(A3423,[3]DOORSCRIEFT!$A$2:$G$8551,2,FALSE),"")</f>
        <v/>
      </c>
      <c r="D3423" s="393" t="str">
        <f>IFERROR(VLOOKUP(A3423,[3]DOORSCRIEFT!$A$2:$G$8551,3,FALSE),"")</f>
        <v/>
      </c>
      <c r="E3423" s="392" t="str">
        <f>IFERROR(VLOOKUP(A3423,[3]DOORSCRIEFT!$A$2:$G$8551,4,FALSE),"")</f>
        <v/>
      </c>
      <c r="F3423" s="391" t="str">
        <f>IFERROR(VLOOKUP(A3423,[3]DOORSCRIEFT!$A$2:$G$8551,6,FALSE),"")</f>
        <v/>
      </c>
      <c r="G3423" s="315"/>
    </row>
    <row r="3424" spans="1:7" x14ac:dyDescent="0.25">
      <c r="A3424" s="319" t="str">
        <f t="shared" si="101"/>
        <v>I.2.2.02.06347</v>
      </c>
      <c r="B3424" s="319">
        <v>47</v>
      </c>
      <c r="C3424" s="394" t="str">
        <f>IFERROR(VLOOKUP(A3424,[3]DOORSCRIEFT!$A$2:$G$8551,2,FALSE),"")</f>
        <v/>
      </c>
      <c r="D3424" s="393" t="str">
        <f>IFERROR(VLOOKUP(A3424,[3]DOORSCRIEFT!$A$2:$G$8551,3,FALSE),"")</f>
        <v/>
      </c>
      <c r="E3424" s="392" t="str">
        <f>IFERROR(VLOOKUP(A3424,[3]DOORSCRIEFT!$A$2:$G$8551,4,FALSE),"")</f>
        <v/>
      </c>
      <c r="F3424" s="391" t="str">
        <f>IFERROR(VLOOKUP(A3424,[3]DOORSCRIEFT!$A$2:$G$8551,6,FALSE),"")</f>
        <v/>
      </c>
      <c r="G3424" s="315"/>
    </row>
    <row r="3425" spans="1:7" x14ac:dyDescent="0.25">
      <c r="A3425" s="319" t="str">
        <f t="shared" si="101"/>
        <v>I.2.2.02.06348</v>
      </c>
      <c r="B3425" s="319">
        <v>48</v>
      </c>
      <c r="C3425" s="394" t="str">
        <f>IFERROR(VLOOKUP(A3425,[3]DOORSCRIEFT!$A$2:$G$8551,2,FALSE),"")</f>
        <v/>
      </c>
      <c r="D3425" s="393" t="str">
        <f>IFERROR(VLOOKUP(A3425,[3]DOORSCRIEFT!$A$2:$G$8551,3,FALSE),"")</f>
        <v/>
      </c>
      <c r="E3425" s="392" t="str">
        <f>IFERROR(VLOOKUP(A3425,[3]DOORSCRIEFT!$A$2:$G$8551,4,FALSE),"")</f>
        <v/>
      </c>
      <c r="F3425" s="391" t="str">
        <f>IFERROR(VLOOKUP(A3425,[3]DOORSCRIEFT!$A$2:$G$8551,6,FALSE),"")</f>
        <v/>
      </c>
      <c r="G3425" s="315"/>
    </row>
    <row r="3426" spans="1:7" x14ac:dyDescent="0.25">
      <c r="A3426" s="319" t="str">
        <f t="shared" si="101"/>
        <v>I.2.2.02.06349</v>
      </c>
      <c r="B3426" s="319">
        <v>49</v>
      </c>
      <c r="C3426" s="394" t="str">
        <f>IFERROR(VLOOKUP(A3426,[3]DOORSCRIEFT!$A$2:$G$8551,2,FALSE),"")</f>
        <v/>
      </c>
      <c r="D3426" s="393" t="str">
        <f>IFERROR(VLOOKUP(A3426,[3]DOORSCRIEFT!$A$2:$G$8551,3,FALSE),"")</f>
        <v/>
      </c>
      <c r="E3426" s="392" t="str">
        <f>IFERROR(VLOOKUP(A3426,[3]DOORSCRIEFT!$A$2:$G$8551,4,FALSE),"")</f>
        <v/>
      </c>
      <c r="F3426" s="391" t="str">
        <f>IFERROR(VLOOKUP(A3426,[3]DOORSCRIEFT!$A$2:$G$8551,6,FALSE),"")</f>
        <v/>
      </c>
      <c r="G3426" s="315"/>
    </row>
    <row r="3427" spans="1:7" x14ac:dyDescent="0.25">
      <c r="A3427" s="319" t="str">
        <f t="shared" si="101"/>
        <v>I.2.2.02.06350</v>
      </c>
      <c r="B3427" s="319">
        <v>50</v>
      </c>
      <c r="C3427" s="394" t="str">
        <f>IFERROR(VLOOKUP(A3427,[3]DOORSCRIEFT!$A$2:$G$8551,2,FALSE),"")</f>
        <v/>
      </c>
      <c r="D3427" s="393" t="str">
        <f>IFERROR(VLOOKUP(A3427,[3]DOORSCRIEFT!$A$2:$G$8551,3,FALSE),"")</f>
        <v/>
      </c>
      <c r="E3427" s="392" t="str">
        <f>IFERROR(VLOOKUP(A3427,[3]DOORSCRIEFT!$A$2:$G$8551,4,FALSE),"")</f>
        <v/>
      </c>
      <c r="F3427" s="391" t="str">
        <f>IFERROR(VLOOKUP(A3427,[3]DOORSCRIEFT!$A$2:$G$8551,6,FALSE),"")</f>
        <v/>
      </c>
      <c r="G3427" s="315"/>
    </row>
    <row r="3428" spans="1:7" x14ac:dyDescent="0.25">
      <c r="A3428" s="319" t="str">
        <f t="shared" si="101"/>
        <v>I.2.2.02.06351</v>
      </c>
      <c r="B3428" s="319">
        <v>51</v>
      </c>
      <c r="C3428" s="394" t="str">
        <f>IFERROR(VLOOKUP(A3428,[3]DOORSCRIEFT!$A$2:$G$8551,2,FALSE),"")</f>
        <v/>
      </c>
      <c r="D3428" s="393" t="str">
        <f>IFERROR(VLOOKUP(A3428,[3]DOORSCRIEFT!$A$2:$G$8551,3,FALSE),"")</f>
        <v/>
      </c>
      <c r="E3428" s="392" t="str">
        <f>IFERROR(VLOOKUP(A3428,[3]DOORSCRIEFT!$A$2:$G$8551,4,FALSE),"")</f>
        <v/>
      </c>
      <c r="F3428" s="391" t="str">
        <f>IFERROR(VLOOKUP(A3428,[3]DOORSCRIEFT!$A$2:$G$8551,6,FALSE),"")</f>
        <v/>
      </c>
      <c r="G3428" s="315"/>
    </row>
    <row r="3429" spans="1:7" x14ac:dyDescent="0.25">
      <c r="A3429" s="319" t="str">
        <f t="shared" si="101"/>
        <v>I.2.2.02.06352</v>
      </c>
      <c r="B3429" s="319">
        <v>52</v>
      </c>
      <c r="C3429" s="394" t="str">
        <f>IFERROR(VLOOKUP(A3429,[3]DOORSCRIEFT!$A$2:$G$8551,2,FALSE),"")</f>
        <v/>
      </c>
      <c r="D3429" s="393" t="str">
        <f>IFERROR(VLOOKUP(A3429,[3]DOORSCRIEFT!$A$2:$G$8551,3,FALSE),"")</f>
        <v/>
      </c>
      <c r="E3429" s="392" t="str">
        <f>IFERROR(VLOOKUP(A3429,[3]DOORSCRIEFT!$A$2:$G$8551,4,FALSE),"")</f>
        <v/>
      </c>
      <c r="F3429" s="391" t="str">
        <f>IFERROR(VLOOKUP(A3429,[3]DOORSCRIEFT!$A$2:$G$8551,6,FALSE),"")</f>
        <v/>
      </c>
      <c r="G3429" s="315"/>
    </row>
    <row r="3430" spans="1:7" x14ac:dyDescent="0.25">
      <c r="A3430" s="319" t="str">
        <f t="shared" si="101"/>
        <v>I.2.2.02.06353</v>
      </c>
      <c r="B3430" s="319">
        <v>53</v>
      </c>
      <c r="C3430" s="394" t="str">
        <f>IFERROR(VLOOKUP(A3430,[3]DOORSCRIEFT!$A$2:$G$8551,2,FALSE),"")</f>
        <v/>
      </c>
      <c r="D3430" s="393" t="str">
        <f>IFERROR(VLOOKUP(A3430,[3]DOORSCRIEFT!$A$2:$G$8551,3,FALSE),"")</f>
        <v/>
      </c>
      <c r="E3430" s="392" t="str">
        <f>IFERROR(VLOOKUP(A3430,[3]DOORSCRIEFT!$A$2:$G$8551,4,FALSE),"")</f>
        <v/>
      </c>
      <c r="F3430" s="391" t="str">
        <f>IFERROR(VLOOKUP(A3430,[3]DOORSCRIEFT!$A$2:$G$8551,6,FALSE),"")</f>
        <v/>
      </c>
      <c r="G3430" s="315"/>
    </row>
    <row r="3431" spans="1:7" x14ac:dyDescent="0.25">
      <c r="A3431" s="319" t="str">
        <f t="shared" si="101"/>
        <v>I.2.2.02.06354</v>
      </c>
      <c r="B3431" s="319">
        <v>54</v>
      </c>
      <c r="C3431" s="394" t="str">
        <f>IFERROR(VLOOKUP(A3431,[3]DOORSCRIEFT!$A$2:$G$8551,2,FALSE),"")</f>
        <v/>
      </c>
      <c r="D3431" s="393" t="str">
        <f>IFERROR(VLOOKUP(A3431,[3]DOORSCRIEFT!$A$2:$G$8551,3,FALSE),"")</f>
        <v/>
      </c>
      <c r="E3431" s="392" t="str">
        <f>IFERROR(VLOOKUP(A3431,[3]DOORSCRIEFT!$A$2:$G$8551,4,FALSE),"")</f>
        <v/>
      </c>
      <c r="F3431" s="391" t="str">
        <f>IFERROR(VLOOKUP(A3431,[3]DOORSCRIEFT!$A$2:$G$8551,6,FALSE),"")</f>
        <v/>
      </c>
      <c r="G3431" s="315"/>
    </row>
    <row r="3432" spans="1:7" x14ac:dyDescent="0.25">
      <c r="A3432" s="319" t="str">
        <f t="shared" si="101"/>
        <v>I.2.2.02.06355</v>
      </c>
      <c r="B3432" s="319">
        <v>55</v>
      </c>
      <c r="C3432" s="394" t="str">
        <f>IFERROR(VLOOKUP(A3432,[3]DOORSCRIEFT!$A$2:$G$8551,2,FALSE),"")</f>
        <v/>
      </c>
      <c r="D3432" s="393" t="str">
        <f>IFERROR(VLOOKUP(A3432,[3]DOORSCRIEFT!$A$2:$G$8551,3,FALSE),"")</f>
        <v/>
      </c>
      <c r="E3432" s="392" t="str">
        <f>IFERROR(VLOOKUP(A3432,[3]DOORSCRIEFT!$A$2:$G$8551,4,FALSE),"")</f>
        <v/>
      </c>
      <c r="F3432" s="391" t="str">
        <f>IFERROR(VLOOKUP(A3432,[3]DOORSCRIEFT!$A$2:$G$8551,6,FALSE),"")</f>
        <v/>
      </c>
      <c r="G3432" s="315"/>
    </row>
    <row r="3433" spans="1:7" x14ac:dyDescent="0.25">
      <c r="A3433" s="319" t="str">
        <f t="shared" si="101"/>
        <v>I.2.2.02.06356</v>
      </c>
      <c r="B3433" s="319">
        <v>56</v>
      </c>
      <c r="C3433" s="394" t="str">
        <f>IFERROR(VLOOKUP(A3433,[3]DOORSCRIEFT!$A$2:$G$8551,2,FALSE),"")</f>
        <v/>
      </c>
      <c r="D3433" s="393" t="str">
        <f>IFERROR(VLOOKUP(A3433,[3]DOORSCRIEFT!$A$2:$G$8551,3,FALSE),"")</f>
        <v/>
      </c>
      <c r="E3433" s="392" t="str">
        <f>IFERROR(VLOOKUP(A3433,[3]DOORSCRIEFT!$A$2:$G$8551,4,FALSE),"")</f>
        <v/>
      </c>
      <c r="F3433" s="391" t="str">
        <f>IFERROR(VLOOKUP(A3433,[3]DOORSCRIEFT!$A$2:$G$8551,6,FALSE),"")</f>
        <v/>
      </c>
      <c r="G3433" s="315"/>
    </row>
    <row r="3434" spans="1:7" x14ac:dyDescent="0.25">
      <c r="A3434" s="319" t="str">
        <f t="shared" si="101"/>
        <v>I.2.2.02.06357</v>
      </c>
      <c r="B3434" s="319">
        <v>57</v>
      </c>
      <c r="C3434" s="394" t="str">
        <f>IFERROR(VLOOKUP(A3434,[3]DOORSCRIEFT!$A$2:$G$8551,2,FALSE),"")</f>
        <v/>
      </c>
      <c r="D3434" s="393" t="str">
        <f>IFERROR(VLOOKUP(A3434,[3]DOORSCRIEFT!$A$2:$G$8551,3,FALSE),"")</f>
        <v/>
      </c>
      <c r="E3434" s="392" t="str">
        <f>IFERROR(VLOOKUP(A3434,[3]DOORSCRIEFT!$A$2:$G$8551,4,FALSE),"")</f>
        <v/>
      </c>
      <c r="F3434" s="391" t="str">
        <f>IFERROR(VLOOKUP(A3434,[3]DOORSCRIEFT!$A$2:$G$8551,6,FALSE),"")</f>
        <v/>
      </c>
      <c r="G3434" s="315"/>
    </row>
    <row r="3435" spans="1:7" x14ac:dyDescent="0.25">
      <c r="A3435" s="319" t="str">
        <f t="shared" si="101"/>
        <v>I.2.2.02.06358</v>
      </c>
      <c r="B3435" s="319">
        <v>58</v>
      </c>
      <c r="C3435" s="394" t="str">
        <f>IFERROR(VLOOKUP(A3435,[3]DOORSCRIEFT!$A$2:$G$8551,2,FALSE),"")</f>
        <v/>
      </c>
      <c r="D3435" s="393" t="str">
        <f>IFERROR(VLOOKUP(A3435,[3]DOORSCRIEFT!$A$2:$G$8551,3,FALSE),"")</f>
        <v/>
      </c>
      <c r="E3435" s="392" t="str">
        <f>IFERROR(VLOOKUP(A3435,[3]DOORSCRIEFT!$A$2:$G$8551,4,FALSE),"")</f>
        <v/>
      </c>
      <c r="F3435" s="391" t="str">
        <f>IFERROR(VLOOKUP(A3435,[3]DOORSCRIEFT!$A$2:$G$8551,6,FALSE),"")</f>
        <v/>
      </c>
      <c r="G3435" s="315"/>
    </row>
    <row r="3436" spans="1:7" x14ac:dyDescent="0.25">
      <c r="A3436" s="319" t="str">
        <f t="shared" si="101"/>
        <v>I.2.2.02.06359</v>
      </c>
      <c r="B3436" s="319">
        <v>59</v>
      </c>
      <c r="C3436" s="394" t="str">
        <f>IFERROR(VLOOKUP(A3436,[3]DOORSCRIEFT!$A$2:$G$8551,2,FALSE),"")</f>
        <v/>
      </c>
      <c r="D3436" s="393" t="str">
        <f>IFERROR(VLOOKUP(A3436,[3]DOORSCRIEFT!$A$2:$G$8551,3,FALSE),"")</f>
        <v/>
      </c>
      <c r="E3436" s="392" t="str">
        <f>IFERROR(VLOOKUP(A3436,[3]DOORSCRIEFT!$A$2:$G$8551,4,FALSE),"")</f>
        <v/>
      </c>
      <c r="F3436" s="391" t="str">
        <f>IFERROR(VLOOKUP(A3436,[3]DOORSCRIEFT!$A$2:$G$8551,6,FALSE),"")</f>
        <v/>
      </c>
      <c r="G3436" s="315"/>
    </row>
    <row r="3437" spans="1:7" x14ac:dyDescent="0.25">
      <c r="A3437" s="319" t="str">
        <f t="shared" si="101"/>
        <v>I.2.2.02.06360</v>
      </c>
      <c r="B3437" s="319">
        <v>60</v>
      </c>
      <c r="C3437" s="394" t="str">
        <f>IFERROR(VLOOKUP(A3437,[3]DOORSCRIEFT!$A$2:$G$8551,2,FALSE),"")</f>
        <v/>
      </c>
      <c r="D3437" s="393" t="str">
        <f>IFERROR(VLOOKUP(A3437,[3]DOORSCRIEFT!$A$2:$G$8551,3,FALSE),"")</f>
        <v/>
      </c>
      <c r="E3437" s="392" t="str">
        <f>IFERROR(VLOOKUP(A3437,[3]DOORSCRIEFT!$A$2:$G$8551,4,FALSE),"")</f>
        <v/>
      </c>
      <c r="F3437" s="391" t="str">
        <f>IFERROR(VLOOKUP(A3437,[3]DOORSCRIEFT!$A$2:$G$8551,6,FALSE),"")</f>
        <v/>
      </c>
      <c r="G3437" s="315"/>
    </row>
    <row r="3438" spans="1:7" x14ac:dyDescent="0.25">
      <c r="A3438" s="319" t="str">
        <f t="shared" si="101"/>
        <v>I.2.2.02.06361</v>
      </c>
      <c r="B3438" s="319">
        <v>61</v>
      </c>
      <c r="C3438" s="394" t="str">
        <f>IFERROR(VLOOKUP(A3438,[3]DOORSCRIEFT!$A$2:$G$8551,2,FALSE),"")</f>
        <v/>
      </c>
      <c r="D3438" s="393" t="str">
        <f>IFERROR(VLOOKUP(A3438,[3]DOORSCRIEFT!$A$2:$G$8551,3,FALSE),"")</f>
        <v/>
      </c>
      <c r="E3438" s="392" t="str">
        <f>IFERROR(VLOOKUP(A3438,[3]DOORSCRIEFT!$A$2:$G$8551,4,FALSE),"")</f>
        <v/>
      </c>
      <c r="F3438" s="391" t="str">
        <f>IFERROR(VLOOKUP(A3438,[3]DOORSCRIEFT!$A$2:$G$8551,6,FALSE),"")</f>
        <v/>
      </c>
      <c r="G3438" s="315"/>
    </row>
    <row r="3439" spans="1:7" x14ac:dyDescent="0.25">
      <c r="A3439" s="319" t="str">
        <f t="shared" si="101"/>
        <v>I.2.2.02.06362</v>
      </c>
      <c r="B3439" s="319">
        <v>62</v>
      </c>
      <c r="C3439" s="394" t="str">
        <f>IFERROR(VLOOKUP(A3439,[3]DOORSCRIEFT!$A$2:$G$8551,2,FALSE),"")</f>
        <v/>
      </c>
      <c r="D3439" s="393" t="str">
        <f>IFERROR(VLOOKUP(A3439,[3]DOORSCRIEFT!$A$2:$G$8551,3,FALSE),"")</f>
        <v/>
      </c>
      <c r="E3439" s="392" t="str">
        <f>IFERROR(VLOOKUP(A3439,[3]DOORSCRIEFT!$A$2:$G$8551,4,FALSE),"")</f>
        <v/>
      </c>
      <c r="F3439" s="391" t="str">
        <f>IFERROR(VLOOKUP(A3439,[3]DOORSCRIEFT!$A$2:$G$8551,6,FALSE),"")</f>
        <v/>
      </c>
      <c r="G3439" s="315"/>
    </row>
    <row r="3440" spans="1:7" x14ac:dyDescent="0.25">
      <c r="A3440" s="319" t="str">
        <f t="shared" si="101"/>
        <v>I.2.2.02.06363</v>
      </c>
      <c r="B3440" s="319">
        <v>63</v>
      </c>
      <c r="C3440" s="394" t="str">
        <f>IFERROR(VLOOKUP(A3440,[3]DOORSCRIEFT!$A$2:$G$8551,2,FALSE),"")</f>
        <v/>
      </c>
      <c r="D3440" s="393" t="str">
        <f>IFERROR(VLOOKUP(A3440,[3]DOORSCRIEFT!$A$2:$G$8551,3,FALSE),"")</f>
        <v/>
      </c>
      <c r="E3440" s="392" t="str">
        <f>IFERROR(VLOOKUP(A3440,[3]DOORSCRIEFT!$A$2:$G$8551,4,FALSE),"")</f>
        <v/>
      </c>
      <c r="F3440" s="391" t="str">
        <f>IFERROR(VLOOKUP(A3440,[3]DOORSCRIEFT!$A$2:$G$8551,6,FALSE),"")</f>
        <v/>
      </c>
      <c r="G3440" s="315"/>
    </row>
    <row r="3441" spans="1:7" x14ac:dyDescent="0.25">
      <c r="A3441" s="319" t="str">
        <f t="shared" si="101"/>
        <v>I.2.2.02.06364</v>
      </c>
      <c r="B3441" s="319">
        <v>64</v>
      </c>
      <c r="C3441" s="394" t="str">
        <f>IFERROR(VLOOKUP(A3441,[3]DOORSCRIEFT!$A$2:$G$8551,2,FALSE),"")</f>
        <v/>
      </c>
      <c r="D3441" s="393" t="str">
        <f>IFERROR(VLOOKUP(A3441,[3]DOORSCRIEFT!$A$2:$G$8551,3,FALSE),"")</f>
        <v/>
      </c>
      <c r="E3441" s="392" t="str">
        <f>IFERROR(VLOOKUP(A3441,[3]DOORSCRIEFT!$A$2:$G$8551,4,FALSE),"")</f>
        <v/>
      </c>
      <c r="F3441" s="391" t="str">
        <f>IFERROR(VLOOKUP(A3441,[3]DOORSCRIEFT!$A$2:$G$8551,6,FALSE),"")</f>
        <v/>
      </c>
      <c r="G3441" s="315"/>
    </row>
    <row r="3442" spans="1:7" x14ac:dyDescent="0.25">
      <c r="A3442" s="319" t="str">
        <f t="shared" ref="A3442:A3473" si="102">$G$3371&amp;B3442</f>
        <v>I.2.2.02.06365</v>
      </c>
      <c r="B3442" s="319">
        <v>65</v>
      </c>
      <c r="C3442" s="394" t="str">
        <f>IFERROR(VLOOKUP(A3442,[3]DOORSCRIEFT!$A$2:$G$8551,2,FALSE),"")</f>
        <v/>
      </c>
      <c r="D3442" s="393" t="str">
        <f>IFERROR(VLOOKUP(A3442,[3]DOORSCRIEFT!$A$2:$G$8551,3,FALSE),"")</f>
        <v/>
      </c>
      <c r="E3442" s="392" t="str">
        <f>IFERROR(VLOOKUP(A3442,[3]DOORSCRIEFT!$A$2:$G$8551,4,FALSE),"")</f>
        <v/>
      </c>
      <c r="F3442" s="391" t="str">
        <f>IFERROR(VLOOKUP(A3442,[3]DOORSCRIEFT!$A$2:$G$8551,6,FALSE),"")</f>
        <v/>
      </c>
      <c r="G3442" s="315"/>
    </row>
    <row r="3443" spans="1:7" x14ac:dyDescent="0.25">
      <c r="A3443" s="319" t="str">
        <f t="shared" si="102"/>
        <v>I.2.2.02.06366</v>
      </c>
      <c r="B3443" s="319">
        <v>66</v>
      </c>
      <c r="C3443" s="394" t="str">
        <f>IFERROR(VLOOKUP(A3443,[3]DOORSCRIEFT!$A$2:$G$8551,2,FALSE),"")</f>
        <v/>
      </c>
      <c r="D3443" s="393" t="str">
        <f>IFERROR(VLOOKUP(A3443,[3]DOORSCRIEFT!$A$2:$G$8551,3,FALSE),"")</f>
        <v/>
      </c>
      <c r="E3443" s="392" t="str">
        <f>IFERROR(VLOOKUP(A3443,[3]DOORSCRIEFT!$A$2:$G$8551,4,FALSE),"")</f>
        <v/>
      </c>
      <c r="F3443" s="391" t="str">
        <f>IFERROR(VLOOKUP(A3443,[3]DOORSCRIEFT!$A$2:$G$8551,6,FALSE),"")</f>
        <v/>
      </c>
      <c r="G3443" s="315"/>
    </row>
    <row r="3444" spans="1:7" x14ac:dyDescent="0.25">
      <c r="A3444" s="319" t="str">
        <f t="shared" si="102"/>
        <v>I.2.2.02.06367</v>
      </c>
      <c r="B3444" s="319">
        <v>67</v>
      </c>
      <c r="C3444" s="394" t="str">
        <f>IFERROR(VLOOKUP(A3444,[3]DOORSCRIEFT!$A$2:$G$8551,2,FALSE),"")</f>
        <v/>
      </c>
      <c r="D3444" s="393" t="str">
        <f>IFERROR(VLOOKUP(A3444,[3]DOORSCRIEFT!$A$2:$G$8551,3,FALSE),"")</f>
        <v/>
      </c>
      <c r="E3444" s="392" t="str">
        <f>IFERROR(VLOOKUP(A3444,[3]DOORSCRIEFT!$A$2:$G$8551,4,FALSE),"")</f>
        <v/>
      </c>
      <c r="F3444" s="391" t="str">
        <f>IFERROR(VLOOKUP(A3444,[3]DOORSCRIEFT!$A$2:$G$8551,6,FALSE),"")</f>
        <v/>
      </c>
      <c r="G3444" s="315"/>
    </row>
    <row r="3445" spans="1:7" x14ac:dyDescent="0.25">
      <c r="A3445" s="319" t="str">
        <f t="shared" si="102"/>
        <v>I.2.2.02.06368</v>
      </c>
      <c r="B3445" s="319">
        <v>68</v>
      </c>
      <c r="C3445" s="394" t="str">
        <f>IFERROR(VLOOKUP(A3445,[3]DOORSCRIEFT!$A$2:$G$8551,2,FALSE),"")</f>
        <v/>
      </c>
      <c r="D3445" s="393" t="str">
        <f>IFERROR(VLOOKUP(A3445,[3]DOORSCRIEFT!$A$2:$G$8551,3,FALSE),"")</f>
        <v/>
      </c>
      <c r="E3445" s="392" t="str">
        <f>IFERROR(VLOOKUP(A3445,[3]DOORSCRIEFT!$A$2:$G$8551,4,FALSE),"")</f>
        <v/>
      </c>
      <c r="F3445" s="391" t="str">
        <f>IFERROR(VLOOKUP(A3445,[3]DOORSCRIEFT!$A$2:$G$8551,6,FALSE),"")</f>
        <v/>
      </c>
      <c r="G3445" s="315"/>
    </row>
    <row r="3446" spans="1:7" x14ac:dyDescent="0.25">
      <c r="A3446" s="319" t="str">
        <f t="shared" si="102"/>
        <v>I.2.2.02.06369</v>
      </c>
      <c r="B3446" s="319">
        <v>69</v>
      </c>
      <c r="C3446" s="394" t="str">
        <f>IFERROR(VLOOKUP(A3446,[3]DOORSCRIEFT!$A$2:$G$8551,2,FALSE),"")</f>
        <v/>
      </c>
      <c r="D3446" s="393" t="str">
        <f>IFERROR(VLOOKUP(A3446,[3]DOORSCRIEFT!$A$2:$G$8551,3,FALSE),"")</f>
        <v/>
      </c>
      <c r="E3446" s="392" t="str">
        <f>IFERROR(VLOOKUP(A3446,[3]DOORSCRIEFT!$A$2:$G$8551,4,FALSE),"")</f>
        <v/>
      </c>
      <c r="F3446" s="391" t="str">
        <f>IFERROR(VLOOKUP(A3446,[3]DOORSCRIEFT!$A$2:$G$8551,6,FALSE),"")</f>
        <v/>
      </c>
      <c r="G3446" s="315"/>
    </row>
    <row r="3447" spans="1:7" x14ac:dyDescent="0.25">
      <c r="A3447" s="319" t="str">
        <f t="shared" si="102"/>
        <v>I.2.2.02.06370</v>
      </c>
      <c r="B3447" s="319">
        <v>70</v>
      </c>
      <c r="C3447" s="394" t="str">
        <f>IFERROR(VLOOKUP(A3447,[3]DOORSCRIEFT!$A$2:$G$8551,2,FALSE),"")</f>
        <v/>
      </c>
      <c r="D3447" s="393" t="str">
        <f>IFERROR(VLOOKUP(A3447,[3]DOORSCRIEFT!$A$2:$G$8551,3,FALSE),"")</f>
        <v/>
      </c>
      <c r="E3447" s="392" t="str">
        <f>IFERROR(VLOOKUP(A3447,[3]DOORSCRIEFT!$A$2:$G$8551,4,FALSE),"")</f>
        <v/>
      </c>
      <c r="F3447" s="391" t="str">
        <f>IFERROR(VLOOKUP(A3447,[3]DOORSCRIEFT!$A$2:$G$8551,6,FALSE),"")</f>
        <v/>
      </c>
      <c r="G3447" s="315"/>
    </row>
    <row r="3448" spans="1:7" x14ac:dyDescent="0.25">
      <c r="A3448" s="319" t="str">
        <f t="shared" si="102"/>
        <v>I.2.2.02.06371</v>
      </c>
      <c r="B3448" s="319">
        <v>71</v>
      </c>
      <c r="C3448" s="394" t="str">
        <f>IFERROR(VLOOKUP(A3448,[3]DOORSCRIEFT!$A$2:$G$8551,2,FALSE),"")</f>
        <v/>
      </c>
      <c r="D3448" s="393" t="str">
        <f>IFERROR(VLOOKUP(A3448,[3]DOORSCRIEFT!$A$2:$G$8551,3,FALSE),"")</f>
        <v/>
      </c>
      <c r="E3448" s="392" t="str">
        <f>IFERROR(VLOOKUP(A3448,[3]DOORSCRIEFT!$A$2:$G$8551,4,FALSE),"")</f>
        <v/>
      </c>
      <c r="F3448" s="391" t="str">
        <f>IFERROR(VLOOKUP(A3448,[3]DOORSCRIEFT!$A$2:$G$8551,6,FALSE),"")</f>
        <v/>
      </c>
      <c r="G3448" s="315"/>
    </row>
    <row r="3449" spans="1:7" x14ac:dyDescent="0.25">
      <c r="A3449" s="319" t="str">
        <f t="shared" si="102"/>
        <v>I.2.2.02.06372</v>
      </c>
      <c r="B3449" s="319">
        <v>72</v>
      </c>
      <c r="C3449" s="394" t="str">
        <f>IFERROR(VLOOKUP(A3449,[3]DOORSCRIEFT!$A$2:$G$8551,2,FALSE),"")</f>
        <v/>
      </c>
      <c r="D3449" s="393" t="str">
        <f>IFERROR(VLOOKUP(A3449,[3]DOORSCRIEFT!$A$2:$G$8551,3,FALSE),"")</f>
        <v/>
      </c>
      <c r="E3449" s="392" t="str">
        <f>IFERROR(VLOOKUP(A3449,[3]DOORSCRIEFT!$A$2:$G$8551,4,FALSE),"")</f>
        <v/>
      </c>
      <c r="F3449" s="391" t="str">
        <f>IFERROR(VLOOKUP(A3449,[3]DOORSCRIEFT!$A$2:$G$8551,6,FALSE),"")</f>
        <v/>
      </c>
      <c r="G3449" s="315"/>
    </row>
    <row r="3450" spans="1:7" x14ac:dyDescent="0.25">
      <c r="A3450" s="319" t="str">
        <f t="shared" si="102"/>
        <v>I.2.2.02.06373</v>
      </c>
      <c r="B3450" s="319">
        <v>73</v>
      </c>
      <c r="C3450" s="394" t="str">
        <f>IFERROR(VLOOKUP(A3450,[3]DOORSCRIEFT!$A$2:$G$8551,2,FALSE),"")</f>
        <v/>
      </c>
      <c r="D3450" s="393" t="str">
        <f>IFERROR(VLOOKUP(A3450,[3]DOORSCRIEFT!$A$2:$G$8551,3,FALSE),"")</f>
        <v/>
      </c>
      <c r="E3450" s="392" t="str">
        <f>IFERROR(VLOOKUP(A3450,[3]DOORSCRIEFT!$A$2:$G$8551,4,FALSE),"")</f>
        <v/>
      </c>
      <c r="F3450" s="391" t="str">
        <f>IFERROR(VLOOKUP(A3450,[3]DOORSCRIEFT!$A$2:$G$8551,6,FALSE),"")</f>
        <v/>
      </c>
      <c r="G3450" s="315"/>
    </row>
    <row r="3451" spans="1:7" x14ac:dyDescent="0.25">
      <c r="A3451" s="319" t="str">
        <f t="shared" si="102"/>
        <v>I.2.2.02.06374</v>
      </c>
      <c r="B3451" s="319">
        <v>74</v>
      </c>
      <c r="C3451" s="394" t="str">
        <f>IFERROR(VLOOKUP(A3451,[3]DOORSCRIEFT!$A$2:$G$8551,2,FALSE),"")</f>
        <v/>
      </c>
      <c r="D3451" s="393" t="str">
        <f>IFERROR(VLOOKUP(A3451,[3]DOORSCRIEFT!$A$2:$G$8551,3,FALSE),"")</f>
        <v/>
      </c>
      <c r="E3451" s="392" t="str">
        <f>IFERROR(VLOOKUP(A3451,[3]DOORSCRIEFT!$A$2:$G$8551,4,FALSE),"")</f>
        <v/>
      </c>
      <c r="F3451" s="391" t="str">
        <f>IFERROR(VLOOKUP(A3451,[3]DOORSCRIEFT!$A$2:$G$8551,6,FALSE),"")</f>
        <v/>
      </c>
      <c r="G3451" s="315"/>
    </row>
    <row r="3452" spans="1:7" x14ac:dyDescent="0.25">
      <c r="A3452" s="319" t="str">
        <f t="shared" si="102"/>
        <v>I.2.2.02.06375</v>
      </c>
      <c r="B3452" s="319">
        <v>75</v>
      </c>
      <c r="C3452" s="394" t="str">
        <f>IFERROR(VLOOKUP(A3452,[3]DOORSCRIEFT!$A$2:$G$8551,2,FALSE),"")</f>
        <v/>
      </c>
      <c r="D3452" s="393" t="str">
        <f>IFERROR(VLOOKUP(A3452,[3]DOORSCRIEFT!$A$2:$G$8551,3,FALSE),"")</f>
        <v/>
      </c>
      <c r="E3452" s="392" t="str">
        <f>IFERROR(VLOOKUP(A3452,[3]DOORSCRIEFT!$A$2:$G$8551,4,FALSE),"")</f>
        <v/>
      </c>
      <c r="F3452" s="391" t="str">
        <f>IFERROR(VLOOKUP(A3452,[3]DOORSCRIEFT!$A$2:$G$8551,6,FALSE),"")</f>
        <v/>
      </c>
      <c r="G3452" s="315"/>
    </row>
    <row r="3453" spans="1:7" x14ac:dyDescent="0.25">
      <c r="A3453" s="319" t="str">
        <f t="shared" si="102"/>
        <v>I.2.2.02.06376</v>
      </c>
      <c r="B3453" s="319">
        <v>76</v>
      </c>
      <c r="C3453" s="394" t="str">
        <f>IFERROR(VLOOKUP(A3453,[3]DOORSCRIEFT!$A$2:$G$8551,2,FALSE),"")</f>
        <v/>
      </c>
      <c r="D3453" s="393" t="str">
        <f>IFERROR(VLOOKUP(A3453,[3]DOORSCRIEFT!$A$2:$G$8551,3,FALSE),"")</f>
        <v/>
      </c>
      <c r="E3453" s="392" t="str">
        <f>IFERROR(VLOOKUP(A3453,[3]DOORSCRIEFT!$A$2:$G$8551,4,FALSE),"")</f>
        <v/>
      </c>
      <c r="F3453" s="391" t="str">
        <f>IFERROR(VLOOKUP(A3453,[3]DOORSCRIEFT!$A$2:$G$8551,6,FALSE),"")</f>
        <v/>
      </c>
      <c r="G3453" s="315"/>
    </row>
    <row r="3454" spans="1:7" x14ac:dyDescent="0.25">
      <c r="A3454" s="319" t="str">
        <f t="shared" si="102"/>
        <v>I.2.2.02.06377</v>
      </c>
      <c r="B3454" s="319">
        <v>77</v>
      </c>
      <c r="C3454" s="394" t="str">
        <f>IFERROR(VLOOKUP(A3454,[3]DOORSCRIEFT!$A$2:$G$8551,2,FALSE),"")</f>
        <v/>
      </c>
      <c r="D3454" s="393" t="str">
        <f>IFERROR(VLOOKUP(A3454,[3]DOORSCRIEFT!$A$2:$G$8551,3,FALSE),"")</f>
        <v/>
      </c>
      <c r="E3454" s="392" t="str">
        <f>IFERROR(VLOOKUP(A3454,[3]DOORSCRIEFT!$A$2:$G$8551,4,FALSE),"")</f>
        <v/>
      </c>
      <c r="F3454" s="391" t="str">
        <f>IFERROR(VLOOKUP(A3454,[3]DOORSCRIEFT!$A$2:$G$8551,6,FALSE),"")</f>
        <v/>
      </c>
      <c r="G3454" s="315"/>
    </row>
    <row r="3455" spans="1:7" x14ac:dyDescent="0.25">
      <c r="A3455" s="319" t="str">
        <f t="shared" si="102"/>
        <v>I.2.2.02.06378</v>
      </c>
      <c r="B3455" s="319">
        <v>78</v>
      </c>
      <c r="C3455" s="394" t="str">
        <f>IFERROR(VLOOKUP(A3455,[3]DOORSCRIEFT!$A$2:$G$8551,2,FALSE),"")</f>
        <v/>
      </c>
      <c r="D3455" s="393" t="str">
        <f>IFERROR(VLOOKUP(A3455,[3]DOORSCRIEFT!$A$2:$G$8551,3,FALSE),"")</f>
        <v/>
      </c>
      <c r="E3455" s="392" t="str">
        <f>IFERROR(VLOOKUP(A3455,[3]DOORSCRIEFT!$A$2:$G$8551,4,FALSE),"")</f>
        <v/>
      </c>
      <c r="F3455" s="391" t="str">
        <f>IFERROR(VLOOKUP(A3455,[3]DOORSCRIEFT!$A$2:$G$8551,6,FALSE),"")</f>
        <v/>
      </c>
      <c r="G3455" s="315"/>
    </row>
    <row r="3456" spans="1:7" x14ac:dyDescent="0.25">
      <c r="A3456" s="319" t="str">
        <f t="shared" si="102"/>
        <v>I.2.2.02.06379</v>
      </c>
      <c r="B3456" s="319">
        <v>79</v>
      </c>
      <c r="C3456" s="394" t="str">
        <f>IFERROR(VLOOKUP(A3456,[3]DOORSCRIEFT!$A$2:$G$8551,2,FALSE),"")</f>
        <v/>
      </c>
      <c r="D3456" s="393" t="str">
        <f>IFERROR(VLOOKUP(A3456,[3]DOORSCRIEFT!$A$2:$G$8551,3,FALSE),"")</f>
        <v/>
      </c>
      <c r="E3456" s="392" t="str">
        <f>IFERROR(VLOOKUP(A3456,[3]DOORSCRIEFT!$A$2:$G$8551,4,FALSE),"")</f>
        <v/>
      </c>
      <c r="F3456" s="391" t="str">
        <f>IFERROR(VLOOKUP(A3456,[3]DOORSCRIEFT!$A$2:$G$8551,6,FALSE),"")</f>
        <v/>
      </c>
      <c r="G3456" s="315"/>
    </row>
    <row r="3457" spans="1:7" x14ac:dyDescent="0.25">
      <c r="A3457" s="319" t="str">
        <f t="shared" si="102"/>
        <v>I.2.2.02.06380</v>
      </c>
      <c r="B3457" s="319">
        <v>80</v>
      </c>
      <c r="C3457" s="394" t="str">
        <f>IFERROR(VLOOKUP(A3457,[3]DOORSCRIEFT!$A$2:$G$8551,2,FALSE),"")</f>
        <v/>
      </c>
      <c r="D3457" s="393" t="str">
        <f>IFERROR(VLOOKUP(A3457,[3]DOORSCRIEFT!$A$2:$G$8551,3,FALSE),"")</f>
        <v/>
      </c>
      <c r="E3457" s="392" t="str">
        <f>IFERROR(VLOOKUP(A3457,[3]DOORSCRIEFT!$A$2:$G$8551,4,FALSE),"")</f>
        <v/>
      </c>
      <c r="F3457" s="391" t="str">
        <f>IFERROR(VLOOKUP(A3457,[3]DOORSCRIEFT!$A$2:$G$8551,6,FALSE),"")</f>
        <v/>
      </c>
      <c r="G3457" s="315"/>
    </row>
    <row r="3458" spans="1:7" x14ac:dyDescent="0.25">
      <c r="A3458" s="319" t="str">
        <f t="shared" si="102"/>
        <v>I.2.2.02.06381</v>
      </c>
      <c r="B3458" s="319">
        <v>81</v>
      </c>
      <c r="C3458" s="394" t="str">
        <f>IFERROR(VLOOKUP(A3458,[3]DOORSCRIEFT!$A$2:$G$8551,2,FALSE),"")</f>
        <v/>
      </c>
      <c r="D3458" s="393" t="str">
        <f>IFERROR(VLOOKUP(A3458,[3]DOORSCRIEFT!$A$2:$G$8551,3,FALSE),"")</f>
        <v/>
      </c>
      <c r="E3458" s="392" t="str">
        <f>IFERROR(VLOOKUP(A3458,[3]DOORSCRIEFT!$A$2:$G$8551,4,FALSE),"")</f>
        <v/>
      </c>
      <c r="F3458" s="391" t="str">
        <f>IFERROR(VLOOKUP(A3458,[3]DOORSCRIEFT!$A$2:$G$8551,6,FALSE),"")</f>
        <v/>
      </c>
      <c r="G3458" s="315"/>
    </row>
    <row r="3459" spans="1:7" x14ac:dyDescent="0.25">
      <c r="A3459" s="319" t="str">
        <f t="shared" si="102"/>
        <v>I.2.2.02.06382</v>
      </c>
      <c r="B3459" s="319">
        <v>82</v>
      </c>
      <c r="C3459" s="394" t="str">
        <f>IFERROR(VLOOKUP(A3459,[3]DOORSCRIEFT!$A$2:$G$8551,2,FALSE),"")</f>
        <v/>
      </c>
      <c r="D3459" s="393" t="str">
        <f>IFERROR(VLOOKUP(A3459,[3]DOORSCRIEFT!$A$2:$G$8551,3,FALSE),"")</f>
        <v/>
      </c>
      <c r="E3459" s="392" t="str">
        <f>IFERROR(VLOOKUP(A3459,[3]DOORSCRIEFT!$A$2:$G$8551,4,FALSE),"")</f>
        <v/>
      </c>
      <c r="F3459" s="391" t="str">
        <f>IFERROR(VLOOKUP(A3459,[3]DOORSCRIEFT!$A$2:$G$8551,6,FALSE),"")</f>
        <v/>
      </c>
      <c r="G3459" s="315"/>
    </row>
    <row r="3460" spans="1:7" x14ac:dyDescent="0.25">
      <c r="A3460" s="319" t="str">
        <f t="shared" si="102"/>
        <v>I.2.2.02.06383</v>
      </c>
      <c r="B3460" s="319">
        <v>83</v>
      </c>
      <c r="C3460" s="394" t="str">
        <f>IFERROR(VLOOKUP(A3460,[3]DOORSCRIEFT!$A$2:$G$8551,2,FALSE),"")</f>
        <v/>
      </c>
      <c r="D3460" s="393" t="str">
        <f>IFERROR(VLOOKUP(A3460,[3]DOORSCRIEFT!$A$2:$G$8551,3,FALSE),"")</f>
        <v/>
      </c>
      <c r="E3460" s="392" t="str">
        <f>IFERROR(VLOOKUP(A3460,[3]DOORSCRIEFT!$A$2:$G$8551,4,FALSE),"")</f>
        <v/>
      </c>
      <c r="F3460" s="391" t="str">
        <f>IFERROR(VLOOKUP(A3460,[3]DOORSCRIEFT!$A$2:$G$8551,6,FALSE),"")</f>
        <v/>
      </c>
      <c r="G3460" s="315"/>
    </row>
    <row r="3461" spans="1:7" x14ac:dyDescent="0.25">
      <c r="A3461" s="319" t="str">
        <f t="shared" si="102"/>
        <v>I.2.2.02.06384</v>
      </c>
      <c r="B3461" s="319">
        <v>84</v>
      </c>
      <c r="C3461" s="394" t="str">
        <f>IFERROR(VLOOKUP(A3461,[3]DOORSCRIEFT!$A$2:$G$8551,2,FALSE),"")</f>
        <v/>
      </c>
      <c r="D3461" s="393" t="str">
        <f>IFERROR(VLOOKUP(A3461,[3]DOORSCRIEFT!$A$2:$G$8551,3,FALSE),"")</f>
        <v/>
      </c>
      <c r="E3461" s="392" t="str">
        <f>IFERROR(VLOOKUP(A3461,[3]DOORSCRIEFT!$A$2:$G$8551,4,FALSE),"")</f>
        <v/>
      </c>
      <c r="F3461" s="391" t="str">
        <f>IFERROR(VLOOKUP(A3461,[3]DOORSCRIEFT!$A$2:$G$8551,6,FALSE),"")</f>
        <v/>
      </c>
      <c r="G3461" s="315"/>
    </row>
    <row r="3462" spans="1:7" x14ac:dyDescent="0.25">
      <c r="A3462" s="319" t="str">
        <f t="shared" si="102"/>
        <v>I.2.2.02.06385</v>
      </c>
      <c r="B3462" s="319">
        <v>85</v>
      </c>
      <c r="C3462" s="394" t="str">
        <f>IFERROR(VLOOKUP(A3462,[3]DOORSCRIEFT!$A$2:$G$8551,2,FALSE),"")</f>
        <v/>
      </c>
      <c r="D3462" s="393" t="str">
        <f>IFERROR(VLOOKUP(A3462,[3]DOORSCRIEFT!$A$2:$G$8551,3,FALSE),"")</f>
        <v/>
      </c>
      <c r="E3462" s="392" t="str">
        <f>IFERROR(VLOOKUP(A3462,[3]DOORSCRIEFT!$A$2:$G$8551,4,FALSE),"")</f>
        <v/>
      </c>
      <c r="F3462" s="391" t="str">
        <f>IFERROR(VLOOKUP(A3462,[3]DOORSCRIEFT!$A$2:$G$8551,6,FALSE),"")</f>
        <v/>
      </c>
      <c r="G3462" s="315"/>
    </row>
    <row r="3463" spans="1:7" x14ac:dyDescent="0.25">
      <c r="A3463" s="319" t="str">
        <f t="shared" si="102"/>
        <v>I.2.2.02.06386</v>
      </c>
      <c r="B3463" s="319">
        <v>86</v>
      </c>
      <c r="C3463" s="394" t="str">
        <f>IFERROR(VLOOKUP(A3463,[3]DOORSCRIEFT!$A$2:$G$8551,2,FALSE),"")</f>
        <v/>
      </c>
      <c r="D3463" s="393" t="str">
        <f>IFERROR(VLOOKUP(A3463,[3]DOORSCRIEFT!$A$2:$G$8551,3,FALSE),"")</f>
        <v/>
      </c>
      <c r="E3463" s="392" t="str">
        <f>IFERROR(VLOOKUP(A3463,[3]DOORSCRIEFT!$A$2:$G$8551,4,FALSE),"")</f>
        <v/>
      </c>
      <c r="F3463" s="391" t="str">
        <f>IFERROR(VLOOKUP(A3463,[3]DOORSCRIEFT!$A$2:$G$8551,6,FALSE),"")</f>
        <v/>
      </c>
      <c r="G3463" s="315"/>
    </row>
    <row r="3464" spans="1:7" x14ac:dyDescent="0.25">
      <c r="A3464" s="319" t="str">
        <f t="shared" si="102"/>
        <v>I.2.2.02.06387</v>
      </c>
      <c r="B3464" s="319">
        <v>87</v>
      </c>
      <c r="C3464" s="394" t="str">
        <f>IFERROR(VLOOKUP(A3464,[3]DOORSCRIEFT!$A$2:$G$8551,2,FALSE),"")</f>
        <v/>
      </c>
      <c r="D3464" s="393" t="str">
        <f>IFERROR(VLOOKUP(A3464,[3]DOORSCRIEFT!$A$2:$G$8551,3,FALSE),"")</f>
        <v/>
      </c>
      <c r="E3464" s="392" t="str">
        <f>IFERROR(VLOOKUP(A3464,[3]DOORSCRIEFT!$A$2:$G$8551,4,FALSE),"")</f>
        <v/>
      </c>
      <c r="F3464" s="391" t="str">
        <f>IFERROR(VLOOKUP(A3464,[3]DOORSCRIEFT!$A$2:$G$8551,6,FALSE),"")</f>
        <v/>
      </c>
      <c r="G3464" s="315"/>
    </row>
    <row r="3465" spans="1:7" x14ac:dyDescent="0.25">
      <c r="A3465" s="319" t="str">
        <f t="shared" si="102"/>
        <v>I.2.2.02.06388</v>
      </c>
      <c r="B3465" s="319">
        <v>88</v>
      </c>
      <c r="C3465" s="394" t="str">
        <f>IFERROR(VLOOKUP(A3465,[3]DOORSCRIEFT!$A$2:$G$8551,2,FALSE),"")</f>
        <v/>
      </c>
      <c r="D3465" s="393" t="str">
        <f>IFERROR(VLOOKUP(A3465,[3]DOORSCRIEFT!$A$2:$G$8551,3,FALSE),"")</f>
        <v/>
      </c>
      <c r="E3465" s="392" t="str">
        <f>IFERROR(VLOOKUP(A3465,[3]DOORSCRIEFT!$A$2:$G$8551,4,FALSE),"")</f>
        <v/>
      </c>
      <c r="F3465" s="391" t="str">
        <f>IFERROR(VLOOKUP(A3465,[3]DOORSCRIEFT!$A$2:$G$8551,6,FALSE),"")</f>
        <v/>
      </c>
      <c r="G3465" s="315"/>
    </row>
    <row r="3466" spans="1:7" x14ac:dyDescent="0.25">
      <c r="A3466" s="319" t="str">
        <f t="shared" si="102"/>
        <v>I.2.2.02.06389</v>
      </c>
      <c r="B3466" s="319">
        <v>89</v>
      </c>
      <c r="C3466" s="394" t="str">
        <f>IFERROR(VLOOKUP(A3466,[3]DOORSCRIEFT!$A$2:$G$8551,2,FALSE),"")</f>
        <v/>
      </c>
      <c r="D3466" s="393" t="str">
        <f>IFERROR(VLOOKUP(A3466,[3]DOORSCRIEFT!$A$2:$G$8551,3,FALSE),"")</f>
        <v/>
      </c>
      <c r="E3466" s="392" t="str">
        <f>IFERROR(VLOOKUP(A3466,[3]DOORSCRIEFT!$A$2:$G$8551,4,FALSE),"")</f>
        <v/>
      </c>
      <c r="F3466" s="391" t="str">
        <f>IFERROR(VLOOKUP(A3466,[3]DOORSCRIEFT!$A$2:$G$8551,6,FALSE),"")</f>
        <v/>
      </c>
      <c r="G3466" s="315"/>
    </row>
    <row r="3467" spans="1:7" ht="15.75" thickBot="1" x14ac:dyDescent="0.3">
      <c r="A3467" s="319" t="str">
        <f t="shared" si="102"/>
        <v>I.2.2.02.06390</v>
      </c>
      <c r="B3467" s="319">
        <v>90</v>
      </c>
      <c r="C3467" s="394" t="str">
        <f>IFERROR(VLOOKUP(A3467,[3]DOORSCRIEFT!$A$2:$G$8551,2,FALSE),"")</f>
        <v/>
      </c>
      <c r="D3467" s="393" t="str">
        <f>IFERROR(VLOOKUP(A3467,[3]DOORSCRIEFT!$A$2:$G$8551,3,FALSE),"")</f>
        <v/>
      </c>
      <c r="E3467" s="392" t="str">
        <f>IFERROR(VLOOKUP(A3467,[3]DOORSCRIEFT!$A$2:$G$8551,4,FALSE),"")</f>
        <v/>
      </c>
      <c r="F3467" s="391" t="str">
        <f>IFERROR(VLOOKUP(A3467,[3]DOORSCRIEFT!$A$2:$G$8551,6,FALSE),"")</f>
        <v/>
      </c>
      <c r="G3467" s="315"/>
    </row>
    <row r="3468" spans="1:7" ht="15.75" thickBot="1" x14ac:dyDescent="0.3">
      <c r="A3468" s="344"/>
      <c r="B3468" s="343"/>
      <c r="C3468" s="336"/>
      <c r="D3468" s="312"/>
      <c r="E3468" s="311" t="s">
        <v>644</v>
      </c>
      <c r="F3468" s="396">
        <f>SUM(F3378:F3467)</f>
        <v>9651000</v>
      </c>
      <c r="G3468" s="309">
        <f>SUM(G3378:G3467)</f>
        <v>0</v>
      </c>
    </row>
    <row r="3469" spans="1:7" x14ac:dyDescent="0.25">
      <c r="C3469" s="335"/>
    </row>
    <row r="3470" spans="1:7" x14ac:dyDescent="0.25">
      <c r="C3470" s="335"/>
    </row>
    <row r="3471" spans="1:7" ht="15.75" x14ac:dyDescent="0.25">
      <c r="C3471" s="334"/>
      <c r="D3471" s="333"/>
      <c r="E3471" s="332"/>
      <c r="F3471" s="327" t="s">
        <v>607</v>
      </c>
      <c r="G3471" s="327" t="s">
        <v>420</v>
      </c>
    </row>
    <row r="3472" spans="1:7" ht="15.75" x14ac:dyDescent="0.25">
      <c r="C3472" s="334"/>
      <c r="D3472" s="333"/>
      <c r="E3472" s="332"/>
      <c r="F3472" s="327" t="s">
        <v>601</v>
      </c>
      <c r="G3472" s="327" t="s">
        <v>419</v>
      </c>
    </row>
    <row r="3473" spans="1:7" x14ac:dyDescent="0.25">
      <c r="C3473" s="330"/>
      <c r="D3473" s="329"/>
      <c r="E3473" s="328"/>
      <c r="F3473" s="327" t="s">
        <v>651</v>
      </c>
      <c r="G3473" s="331">
        <f>[2]Sheet1!$D$91</f>
        <v>99370000</v>
      </c>
    </row>
    <row r="3474" spans="1:7" ht="15.75" thickBot="1" x14ac:dyDescent="0.3">
      <c r="C3474" s="330"/>
      <c r="D3474" s="329"/>
      <c r="E3474" s="328"/>
      <c r="F3474" s="327" t="s">
        <v>650</v>
      </c>
      <c r="G3474" s="326">
        <f>+F3725-G3473</f>
        <v>-82251000</v>
      </c>
    </row>
    <row r="3475" spans="1:7" x14ac:dyDescent="0.25">
      <c r="A3475" s="571" t="s">
        <v>626</v>
      </c>
      <c r="B3475" s="573" t="s">
        <v>606</v>
      </c>
      <c r="C3475" s="588" t="s">
        <v>649</v>
      </c>
      <c r="D3475" s="577" t="s">
        <v>648</v>
      </c>
      <c r="E3475" s="577" t="s">
        <v>647</v>
      </c>
      <c r="F3475" s="577" t="s">
        <v>646</v>
      </c>
      <c r="G3475" s="580" t="s">
        <v>645</v>
      </c>
    </row>
    <row r="3476" spans="1:7" ht="15.75" thickBot="1" x14ac:dyDescent="0.3">
      <c r="A3476" s="572"/>
      <c r="B3476" s="574"/>
      <c r="C3476" s="589"/>
      <c r="D3476" s="586"/>
      <c r="E3476" s="586"/>
      <c r="F3476" s="586"/>
      <c r="G3476" s="587"/>
    </row>
    <row r="3477" spans="1:7" ht="15.75" thickBot="1" x14ac:dyDescent="0.3">
      <c r="A3477" s="325">
        <v>1</v>
      </c>
      <c r="B3477" s="324">
        <v>2</v>
      </c>
      <c r="C3477" s="324">
        <v>3</v>
      </c>
      <c r="D3477" s="324">
        <v>4</v>
      </c>
      <c r="E3477" s="324">
        <v>5</v>
      </c>
      <c r="F3477" s="324">
        <v>6</v>
      </c>
      <c r="G3477" s="323">
        <v>7</v>
      </c>
    </row>
    <row r="3478" spans="1:7" x14ac:dyDescent="0.25">
      <c r="A3478" s="382" t="str">
        <f t="shared" ref="A3478:A3541" si="103">$G$3471&amp;B3478</f>
        <v>I.2.2.02.0641</v>
      </c>
      <c r="B3478" s="381">
        <v>1</v>
      </c>
      <c r="C3478" s="395">
        <f>IFERROR(VLOOKUP(A3478,[3]DOORSCRIEFT!$A$2:$G$8551,2,FALSE),"")</f>
        <v>14</v>
      </c>
      <c r="D3478" s="380">
        <f>IFERROR(VLOOKUP(A3478,[3]DOORSCRIEFT!$A$2:$G$8551,3,FALSE),"")</f>
        <v>46026</v>
      </c>
      <c r="E3478" s="379" t="str">
        <f>IFERROR(VLOOKUP(A3478,[3]DOORSCRIEFT!$A$2:$G$8551,4,FALSE),"")</f>
        <v>Kolekta Syukur Kel. NN</v>
      </c>
      <c r="F3478" s="378">
        <f>IFERROR(VLOOKUP(A3478,[3]DOORSCRIEFT!$A$2:$G$8551,6,FALSE),"")</f>
        <v>20000</v>
      </c>
      <c r="G3478" s="377"/>
    </row>
    <row r="3479" spans="1:7" x14ac:dyDescent="0.25">
      <c r="A3479" s="359" t="str">
        <f t="shared" si="103"/>
        <v>I.2.2.02.0642</v>
      </c>
      <c r="B3479" s="319">
        <v>2</v>
      </c>
      <c r="C3479" s="394">
        <f>IFERROR(VLOOKUP(A3479,[3]DOORSCRIEFT!$A$2:$G$8551,2,FALSE),"")</f>
        <v>36</v>
      </c>
      <c r="D3479" s="393">
        <f>IFERROR(VLOOKUP(A3479,[3]DOORSCRIEFT!$A$2:$G$8551,3,FALSE),"")</f>
        <v>46031</v>
      </c>
      <c r="E3479" s="392" t="str">
        <f>IFERROR(VLOOKUP(A3479,[3]DOORSCRIEFT!$A$2:$G$8551,4,FALSE),"")</f>
        <v>Kolekta Syukur Keluarga</v>
      </c>
      <c r="F3479" s="391">
        <f>IFERROR(VLOOKUP(A3479,[3]DOORSCRIEFT!$A$2:$G$8551,6,FALSE),"")</f>
        <v>1075000</v>
      </c>
      <c r="G3479" s="315"/>
    </row>
    <row r="3480" spans="1:7" x14ac:dyDescent="0.25">
      <c r="A3480" s="359" t="str">
        <f t="shared" si="103"/>
        <v>I.2.2.02.0643</v>
      </c>
      <c r="B3480" s="319">
        <v>3</v>
      </c>
      <c r="C3480" s="394">
        <f>IFERROR(VLOOKUP(A3480,[3]DOORSCRIEFT!$A$2:$G$8551,2,FALSE),"")</f>
        <v>51</v>
      </c>
      <c r="D3480" s="393">
        <f>IFERROR(VLOOKUP(A3480,[3]DOORSCRIEFT!$A$2:$G$8551,3,FALSE),"")</f>
        <v>46033</v>
      </c>
      <c r="E3480" s="392" t="str">
        <f>IFERROR(VLOOKUP(A3480,[3]DOORSCRIEFT!$A$2:$G$8551,4,FALSE),"")</f>
        <v>Kolekta Syukur akhir tahun Kel. Tahapary</v>
      </c>
      <c r="F3480" s="391">
        <f>IFERROR(VLOOKUP(A3480,[3]DOORSCRIEFT!$A$2:$G$8551,6,FALSE),"")</f>
        <v>170000</v>
      </c>
      <c r="G3480" s="315"/>
    </row>
    <row r="3481" spans="1:7" x14ac:dyDescent="0.25">
      <c r="A3481" s="359" t="str">
        <f t="shared" si="103"/>
        <v>I.2.2.02.0644</v>
      </c>
      <c r="B3481" s="319">
        <v>4</v>
      </c>
      <c r="C3481" s="394">
        <f>IFERROR(VLOOKUP(A3481,[3]DOORSCRIEFT!$A$2:$G$8551,2,FALSE),"")</f>
        <v>55</v>
      </c>
      <c r="D3481" s="393">
        <f>IFERROR(VLOOKUP(A3481,[3]DOORSCRIEFT!$A$2:$G$8551,3,FALSE),"")</f>
        <v>46033</v>
      </c>
      <c r="E3481" s="392" t="str">
        <f>IFERROR(VLOOKUP(A3481,[3]DOORSCRIEFT!$A$2:$G$8551,4,FALSE),"")</f>
        <v>Kolekta Syukur Kel. Matita</v>
      </c>
      <c r="F3481" s="391">
        <f>IFERROR(VLOOKUP(A3481,[3]DOORSCRIEFT!$A$2:$G$8551,6,FALSE),"")</f>
        <v>180000</v>
      </c>
      <c r="G3481" s="315"/>
    </row>
    <row r="3482" spans="1:7" x14ac:dyDescent="0.25">
      <c r="A3482" s="359" t="str">
        <f t="shared" si="103"/>
        <v>I.2.2.02.0645</v>
      </c>
      <c r="B3482" s="319">
        <v>5</v>
      </c>
      <c r="C3482" s="394">
        <f>IFERROR(VLOOKUP(A3482,[3]DOORSCRIEFT!$A$2:$G$8551,2,FALSE),"")</f>
        <v>101</v>
      </c>
      <c r="D3482" s="393">
        <f>IFERROR(VLOOKUP(A3482,[3]DOORSCRIEFT!$A$2:$G$8551,3,FALSE),"")</f>
        <v>46045</v>
      </c>
      <c r="E3482" s="392" t="str">
        <f>IFERROR(VLOOKUP(A3482,[3]DOORSCRIEFT!$A$2:$G$8551,4,FALSE),"")</f>
        <v>Natsar Fondasi rumah Nn. Letsa Talla</v>
      </c>
      <c r="F3482" s="391">
        <f>IFERROR(VLOOKUP(A3482,[3]DOORSCRIEFT!$A$2:$G$8551,6,FALSE),"")</f>
        <v>100000</v>
      </c>
      <c r="G3482" s="315"/>
    </row>
    <row r="3483" spans="1:7" x14ac:dyDescent="0.25">
      <c r="A3483" s="359" t="str">
        <f t="shared" si="103"/>
        <v>I.2.2.02.0646</v>
      </c>
      <c r="B3483" s="319">
        <v>6</v>
      </c>
      <c r="C3483" s="394">
        <f>IFERROR(VLOOKUP(A3483,[3]DOORSCRIEFT!$A$2:$G$8551,2,FALSE),"")</f>
        <v>104</v>
      </c>
      <c r="D3483" s="393">
        <f>IFERROR(VLOOKUP(A3483,[3]DOORSCRIEFT!$A$2:$G$8551,3,FALSE),"")</f>
        <v>46045</v>
      </c>
      <c r="E3483" s="392" t="str">
        <f>IFERROR(VLOOKUP(A3483,[3]DOORSCRIEFT!$A$2:$G$8551,4,FALSE),"")</f>
        <v>Kolekta Kebaktian Muhabeth Amalatuey</v>
      </c>
      <c r="F3483" s="391">
        <f>IFERROR(VLOOKUP(A3483,[3]DOORSCRIEFT!$A$2:$G$8551,6,FALSE),"")</f>
        <v>168000</v>
      </c>
      <c r="G3483" s="315"/>
    </row>
    <row r="3484" spans="1:7" x14ac:dyDescent="0.25">
      <c r="A3484" s="359" t="str">
        <f t="shared" si="103"/>
        <v>I.2.2.02.0647</v>
      </c>
      <c r="B3484" s="319">
        <v>7</v>
      </c>
      <c r="C3484" s="394">
        <f>IFERROR(VLOOKUP(A3484,[3]DOORSCRIEFT!$A$2:$G$8551,2,FALSE),"")</f>
        <v>127</v>
      </c>
      <c r="D3484" s="393">
        <f>IFERROR(VLOOKUP(A3484,[3]DOORSCRIEFT!$A$2:$G$8551,3,FALSE),"")</f>
        <v>46052</v>
      </c>
      <c r="E3484" s="392" t="str">
        <f>IFERROR(VLOOKUP(A3484,[3]DOORSCRIEFT!$A$2:$G$8551,4,FALSE),"")</f>
        <v>Kolekta Syukur buka kerja KSP Triyaksa Jaya Mandiri</v>
      </c>
      <c r="F3484" s="391">
        <f>IFERROR(VLOOKUP(A3484,[3]DOORSCRIEFT!$A$2:$G$8551,6,FALSE),"")</f>
        <v>306000</v>
      </c>
      <c r="G3484" s="315"/>
    </row>
    <row r="3485" spans="1:7" x14ac:dyDescent="0.25">
      <c r="A3485" s="359" t="str">
        <f t="shared" si="103"/>
        <v>I.2.2.02.0648</v>
      </c>
      <c r="B3485" s="319">
        <v>8</v>
      </c>
      <c r="C3485" s="394">
        <f>IFERROR(VLOOKUP(A3485,[3]DOORSCRIEFT!$A$2:$G$8551,2,FALSE),"")</f>
        <v>131</v>
      </c>
      <c r="D3485" s="393">
        <f>IFERROR(VLOOKUP(A3485,[3]DOORSCRIEFT!$A$2:$G$8551,3,FALSE),"")</f>
        <v>46052</v>
      </c>
      <c r="E3485" s="392" t="str">
        <f>IFERROR(VLOOKUP(A3485,[3]DOORSCRIEFT!$A$2:$G$8551,4,FALSE),"")</f>
        <v>Kolekta Kebaktian ana cucu Tete Ipu Pattirane</v>
      </c>
      <c r="F3485" s="391">
        <f>IFERROR(VLOOKUP(A3485,[3]DOORSCRIEFT!$A$2:$G$8551,6,FALSE),"")</f>
        <v>138000</v>
      </c>
      <c r="G3485" s="315"/>
    </row>
    <row r="3486" spans="1:7" x14ac:dyDescent="0.25">
      <c r="A3486" s="359" t="str">
        <f t="shared" si="103"/>
        <v>I.2.2.02.0649</v>
      </c>
      <c r="B3486" s="319">
        <v>9</v>
      </c>
      <c r="C3486" s="394">
        <f>IFERROR(VLOOKUP(A3486,[3]DOORSCRIEFT!$A$2:$G$8551,2,FALSE),"")</f>
        <v>160</v>
      </c>
      <c r="D3486" s="393">
        <f>IFERROR(VLOOKUP(A3486,[3]DOORSCRIEFT!$A$2:$G$8551,3,FALSE),"")</f>
        <v>46059</v>
      </c>
      <c r="E3486" s="392" t="str">
        <f>IFERROR(VLOOKUP(A3486,[3]DOORSCRIEFT!$A$2:$G$8551,4,FALSE),"")</f>
        <v>Kolekta kebaktian prasidang ke 47</v>
      </c>
      <c r="F3486" s="391">
        <f>IFERROR(VLOOKUP(A3486,[3]DOORSCRIEFT!$A$2:$G$8551,6,FALSE),"")</f>
        <v>585000</v>
      </c>
      <c r="G3486" s="315"/>
    </row>
    <row r="3487" spans="1:7" x14ac:dyDescent="0.25">
      <c r="A3487" s="359" t="str">
        <f t="shared" si="103"/>
        <v>I.2.2.02.06410</v>
      </c>
      <c r="B3487" s="319">
        <v>10</v>
      </c>
      <c r="C3487" s="394">
        <f>IFERROR(VLOOKUP(A3487,[3]DOORSCRIEFT!$A$2:$G$8551,2,FALSE),"")</f>
        <v>162</v>
      </c>
      <c r="D3487" s="393">
        <f>IFERROR(VLOOKUP(A3487,[3]DOORSCRIEFT!$A$2:$G$8551,3,FALSE),"")</f>
        <v>46059</v>
      </c>
      <c r="E3487" s="392" t="str">
        <f>IFERROR(VLOOKUP(A3487,[3]DOORSCRIEFT!$A$2:$G$8551,4,FALSE),"")</f>
        <v>Kolekta kebaktian persekutuan keluarga ana cucu opa gabe, oma bata waisapy</v>
      </c>
      <c r="F3487" s="391">
        <f>IFERROR(VLOOKUP(A3487,[3]DOORSCRIEFT!$A$2:$G$8551,6,FALSE),"")</f>
        <v>150000</v>
      </c>
      <c r="G3487" s="315"/>
    </row>
    <row r="3488" spans="1:7" x14ac:dyDescent="0.25">
      <c r="A3488" s="359" t="str">
        <f t="shared" si="103"/>
        <v>I.2.2.02.06411</v>
      </c>
      <c r="B3488" s="319">
        <v>11</v>
      </c>
      <c r="C3488" s="394">
        <f>IFERROR(VLOOKUP(A3488,[3]DOORSCRIEFT!$A$2:$G$8551,2,FALSE),"")</f>
        <v>163</v>
      </c>
      <c r="D3488" s="393">
        <f>IFERROR(VLOOKUP(A3488,[3]DOORSCRIEFT!$A$2:$G$8551,3,FALSE),"")</f>
        <v>46059</v>
      </c>
      <c r="E3488" s="392" t="str">
        <f>IFERROR(VLOOKUP(A3488,[3]DOORSCRIEFT!$A$2:$G$8551,4,FALSE),"")</f>
        <v>Kolekta pergumulan panitia gedung serbaguna</v>
      </c>
      <c r="F3488" s="391">
        <f>IFERROR(VLOOKUP(A3488,[3]DOORSCRIEFT!$A$2:$G$8551,6,FALSE),"")</f>
        <v>189000</v>
      </c>
      <c r="G3488" s="315"/>
    </row>
    <row r="3489" spans="1:7" x14ac:dyDescent="0.25">
      <c r="A3489" s="359" t="str">
        <f t="shared" si="103"/>
        <v>I.2.2.02.06412</v>
      </c>
      <c r="B3489" s="319">
        <v>12</v>
      </c>
      <c r="C3489" s="394">
        <f>IFERROR(VLOOKUP(A3489,[3]DOORSCRIEFT!$A$2:$G$8551,2,FALSE),"")</f>
        <v>166</v>
      </c>
      <c r="D3489" s="393">
        <f>IFERROR(VLOOKUP(A3489,[3]DOORSCRIEFT!$A$2:$G$8551,3,FALSE),"")</f>
        <v>46059</v>
      </c>
      <c r="E3489" s="392" t="str">
        <f>IFERROR(VLOOKUP(A3489,[3]DOORSCRIEFT!$A$2:$G$8551,4,FALSE),"")</f>
        <v>Kolekta kebaktian syukur Kel. Lewakabessy</v>
      </c>
      <c r="F3489" s="391">
        <f>IFERROR(VLOOKUP(A3489,[3]DOORSCRIEFT!$A$2:$G$8551,6,FALSE),"")</f>
        <v>203000</v>
      </c>
      <c r="G3489" s="315"/>
    </row>
    <row r="3490" spans="1:7" x14ac:dyDescent="0.25">
      <c r="A3490" s="359" t="str">
        <f t="shared" si="103"/>
        <v>I.2.2.02.06413</v>
      </c>
      <c r="B3490" s="319">
        <v>13</v>
      </c>
      <c r="C3490" s="394">
        <f>IFERROR(VLOOKUP(A3490,[3]DOORSCRIEFT!$A$2:$G$8551,2,FALSE),"")</f>
        <v>169</v>
      </c>
      <c r="D3490" s="393">
        <f>IFERROR(VLOOKUP(A3490,[3]DOORSCRIEFT!$A$2:$G$8551,3,FALSE),"")</f>
        <v>46059</v>
      </c>
      <c r="E3490" s="392" t="str">
        <f>IFERROR(VLOOKUP(A3490,[3]DOORSCRIEFT!$A$2:$G$8551,4,FALSE),"")</f>
        <v>Kolekta Peresmian Gedung Serbaguna</v>
      </c>
      <c r="F3490" s="391">
        <f>IFERROR(VLOOKUP(A3490,[3]DOORSCRIEFT!$A$2:$G$8551,6,FALSE),"")</f>
        <v>2250000</v>
      </c>
      <c r="G3490" s="315"/>
    </row>
    <row r="3491" spans="1:7" x14ac:dyDescent="0.25">
      <c r="A3491" s="359" t="str">
        <f t="shared" si="103"/>
        <v>I.2.2.02.06414</v>
      </c>
      <c r="B3491" s="319">
        <v>14</v>
      </c>
      <c r="C3491" s="394">
        <f>IFERROR(VLOOKUP(A3491,[3]DOORSCRIEFT!$A$2:$G$8551,2,FALSE),"")</f>
        <v>171</v>
      </c>
      <c r="D3491" s="393">
        <f>IFERROR(VLOOKUP(A3491,[3]DOORSCRIEFT!$A$2:$G$8551,3,FALSE),"")</f>
        <v>46059</v>
      </c>
      <c r="E3491" s="392" t="str">
        <f>IFERROR(VLOOKUP(A3491,[3]DOORSCRIEFT!$A$2:$G$8551,4,FALSE),"")</f>
        <v>Kolekta kebaktian persekutuan Kel. Manuputty</v>
      </c>
      <c r="F3491" s="391">
        <f>IFERROR(VLOOKUP(A3491,[3]DOORSCRIEFT!$A$2:$G$8551,6,FALSE),"")</f>
        <v>105000</v>
      </c>
      <c r="G3491" s="315"/>
    </row>
    <row r="3492" spans="1:7" x14ac:dyDescent="0.25">
      <c r="A3492" s="359" t="str">
        <f t="shared" si="103"/>
        <v>I.2.2.02.06415</v>
      </c>
      <c r="B3492" s="319">
        <v>15</v>
      </c>
      <c r="C3492" s="394">
        <f>IFERROR(VLOOKUP(A3492,[3]DOORSCRIEFT!$A$2:$G$8551,2,FALSE),"")</f>
        <v>187</v>
      </c>
      <c r="D3492" s="393">
        <f>IFERROR(VLOOKUP(A3492,[3]DOORSCRIEFT!$A$2:$G$8551,3,FALSE),"")</f>
        <v>46066</v>
      </c>
      <c r="E3492" s="392" t="str">
        <f>IFERROR(VLOOKUP(A3492,[3]DOORSCRIEFT!$A$2:$G$8551,4,FALSE),"")</f>
        <v>Kolekta syukur Kel. Pendeta Lina Matahalemual</v>
      </c>
      <c r="F3492" s="391">
        <f>IFERROR(VLOOKUP(A3492,[3]DOORSCRIEFT!$A$2:$G$8551,6,FALSE),"")</f>
        <v>358000</v>
      </c>
      <c r="G3492" s="315"/>
    </row>
    <row r="3493" spans="1:7" x14ac:dyDescent="0.25">
      <c r="A3493" s="359" t="str">
        <f t="shared" si="103"/>
        <v>I.2.2.02.06416</v>
      </c>
      <c r="B3493" s="319">
        <v>16</v>
      </c>
      <c r="C3493" s="394">
        <f>IFERROR(VLOOKUP(A3493,[3]DOORSCRIEFT!$A$2:$G$8551,2,FALSE),"")</f>
        <v>188</v>
      </c>
      <c r="D3493" s="393">
        <f>IFERROR(VLOOKUP(A3493,[3]DOORSCRIEFT!$A$2:$G$8551,3,FALSE),"")</f>
        <v>46066</v>
      </c>
      <c r="E3493" s="392" t="str">
        <f>IFERROR(VLOOKUP(A3493,[3]DOORSCRIEFT!$A$2:$G$8551,4,FALSE),"")</f>
        <v>Kolekta Kebaktian syukur Keluarga</v>
      </c>
      <c r="F3493" s="391">
        <f>IFERROR(VLOOKUP(A3493,[3]DOORSCRIEFT!$A$2:$G$8551,6,FALSE),"")</f>
        <v>1570000</v>
      </c>
      <c r="G3493" s="315"/>
    </row>
    <row r="3494" spans="1:7" x14ac:dyDescent="0.25">
      <c r="A3494" s="359" t="str">
        <f t="shared" si="103"/>
        <v>I.2.2.02.06417</v>
      </c>
      <c r="B3494" s="319">
        <v>17</v>
      </c>
      <c r="C3494" s="394">
        <f>IFERROR(VLOOKUP(A3494,[3]DOORSCRIEFT!$A$2:$G$8551,2,FALSE),"")</f>
        <v>190</v>
      </c>
      <c r="D3494" s="393">
        <f>IFERROR(VLOOKUP(A3494,[3]DOORSCRIEFT!$A$2:$G$8551,3,FALSE),"")</f>
        <v>46066</v>
      </c>
      <c r="E3494" s="392" t="str">
        <f>IFERROR(VLOOKUP(A3494,[3]DOORSCRIEFT!$A$2:$G$8551,4,FALSE),"")</f>
        <v>Kolekta Kebaktian Muhabeth Amalatuei dan Kolekta Kebaktian Paduan Terompet</v>
      </c>
      <c r="F3494" s="391">
        <f>IFERROR(VLOOKUP(A3494,[3]DOORSCRIEFT!$A$2:$G$8551,6,FALSE),"")</f>
        <v>204000</v>
      </c>
      <c r="G3494" s="315"/>
    </row>
    <row r="3495" spans="1:7" x14ac:dyDescent="0.25">
      <c r="A3495" s="359" t="str">
        <f t="shared" si="103"/>
        <v>I.2.2.02.06418</v>
      </c>
      <c r="B3495" s="319">
        <v>18</v>
      </c>
      <c r="C3495" s="394">
        <f>IFERROR(VLOOKUP(A3495,[3]DOORSCRIEFT!$A$2:$G$8551,2,FALSE),"")</f>
        <v>211</v>
      </c>
      <c r="D3495" s="393">
        <f>IFERROR(VLOOKUP(A3495,[3]DOORSCRIEFT!$A$2:$G$8551,3,FALSE),"")</f>
        <v>46068</v>
      </c>
      <c r="E3495" s="392" t="str">
        <f>IFERROR(VLOOKUP(A3495,[3]DOORSCRIEFT!$A$2:$G$8551,4,FALSE),"")</f>
        <v>Kolekta Kebaktian Penutupan Sidang Jemaat ke 47</v>
      </c>
      <c r="F3495" s="391">
        <f>IFERROR(VLOOKUP(A3495,[3]DOORSCRIEFT!$A$2:$G$8551,6,FALSE),"")</f>
        <v>2643000</v>
      </c>
      <c r="G3495" s="315"/>
    </row>
    <row r="3496" spans="1:7" x14ac:dyDescent="0.25">
      <c r="A3496" s="359" t="str">
        <f t="shared" si="103"/>
        <v>I.2.2.02.06419</v>
      </c>
      <c r="B3496" s="319">
        <v>19</v>
      </c>
      <c r="C3496" s="394">
        <f>IFERROR(VLOOKUP(A3496,[3]DOORSCRIEFT!$A$2:$G$8551,2,FALSE),"")</f>
        <v>216</v>
      </c>
      <c r="D3496" s="393">
        <f>IFERROR(VLOOKUP(A3496,[3]DOORSCRIEFT!$A$2:$G$8551,3,FALSE),"")</f>
        <v>46073</v>
      </c>
      <c r="E3496" s="392" t="str">
        <f>IFERROR(VLOOKUP(A3496,[3]DOORSCRIEFT!$A$2:$G$8551,4,FALSE),"")</f>
        <v>Kolekta Kebaktian Syukur Kel. Mantouw</v>
      </c>
      <c r="F3496" s="391">
        <f>IFERROR(VLOOKUP(A3496,[3]DOORSCRIEFT!$A$2:$G$8551,6,FALSE),"")</f>
        <v>178000</v>
      </c>
      <c r="G3496" s="315"/>
    </row>
    <row r="3497" spans="1:7" x14ac:dyDescent="0.25">
      <c r="A3497" s="359" t="str">
        <f t="shared" si="103"/>
        <v>I.2.2.02.06420</v>
      </c>
      <c r="B3497" s="319">
        <v>20</v>
      </c>
      <c r="C3497" s="394">
        <f>IFERROR(VLOOKUP(A3497,[3]DOORSCRIEFT!$A$2:$G$8551,2,FALSE),"")</f>
        <v>236</v>
      </c>
      <c r="D3497" s="393">
        <f>IFERROR(VLOOKUP(A3497,[3]DOORSCRIEFT!$A$2:$G$8551,3,FALSE),"")</f>
        <v>46075</v>
      </c>
      <c r="E3497" s="392" t="str">
        <f>IFERROR(VLOOKUP(A3497,[3]DOORSCRIEFT!$A$2:$G$8551,4,FALSE),"")</f>
        <v>Kolekta Kebaktian syukur Kel. Bpk. Natan Manuputty</v>
      </c>
      <c r="F3497" s="391">
        <f>IFERROR(VLOOKUP(A3497,[3]DOORSCRIEFT!$A$2:$G$8551,6,FALSE),"")</f>
        <v>500000</v>
      </c>
      <c r="G3497" s="315"/>
    </row>
    <row r="3498" spans="1:7" x14ac:dyDescent="0.25">
      <c r="A3498" s="359" t="str">
        <f t="shared" si="103"/>
        <v>I.2.2.02.06421</v>
      </c>
      <c r="B3498" s="319">
        <v>21</v>
      </c>
      <c r="C3498" s="394">
        <f>IFERROR(VLOOKUP(A3498,[3]DOORSCRIEFT!$A$2:$G$8551,2,FALSE),"")</f>
        <v>248</v>
      </c>
      <c r="D3498" s="393">
        <f>IFERROR(VLOOKUP(A3498,[3]DOORSCRIEFT!$A$2:$G$8551,3,FALSE),"")</f>
        <v>46075</v>
      </c>
      <c r="E3498" s="392" t="str">
        <f>IFERROR(VLOOKUP(A3498,[3]DOORSCRIEFT!$A$2:$G$8551,4,FALSE),"")</f>
        <v>natsar syukur Toko Kayu Sirayuri 4 Saudara</v>
      </c>
      <c r="F3498" s="391">
        <f>IFERROR(VLOOKUP(A3498,[3]DOORSCRIEFT!$A$2:$G$8551,6,FALSE),"")</f>
        <v>250000</v>
      </c>
      <c r="G3498" s="315"/>
    </row>
    <row r="3499" spans="1:7" x14ac:dyDescent="0.25">
      <c r="A3499" s="359" t="str">
        <f t="shared" si="103"/>
        <v>I.2.2.02.06422</v>
      </c>
      <c r="B3499" s="319">
        <v>22</v>
      </c>
      <c r="C3499" s="394">
        <f>IFERROR(VLOOKUP(A3499,[3]DOORSCRIEFT!$A$2:$G$8551,2,FALSE),"")</f>
        <v>249</v>
      </c>
      <c r="D3499" s="393">
        <f>IFERROR(VLOOKUP(A3499,[3]DOORSCRIEFT!$A$2:$G$8551,3,FALSE),"")</f>
        <v>46075</v>
      </c>
      <c r="E3499" s="392" t="str">
        <f>IFERROR(VLOOKUP(A3499,[3]DOORSCRIEFT!$A$2:$G$8551,4,FALSE),"")</f>
        <v>Kolekta Syukur Keluarga Manuputty dan Kel. NN Petra 3</v>
      </c>
      <c r="F3499" s="391">
        <f>IFERROR(VLOOKUP(A3499,[3]DOORSCRIEFT!$A$2:$G$8551,6,FALSE),"")</f>
        <v>309000</v>
      </c>
      <c r="G3499" s="315"/>
    </row>
    <row r="3500" spans="1:7" x14ac:dyDescent="0.25">
      <c r="A3500" s="359" t="str">
        <f t="shared" si="103"/>
        <v>I.2.2.02.06423</v>
      </c>
      <c r="B3500" s="319">
        <v>23</v>
      </c>
      <c r="C3500" s="394">
        <f>IFERROR(VLOOKUP(A3500,[3]DOORSCRIEFT!$A$2:$G$8551,2,FALSE),"")</f>
        <v>253</v>
      </c>
      <c r="D3500" s="393">
        <f>IFERROR(VLOOKUP(A3500,[3]DOORSCRIEFT!$A$2:$G$8551,3,FALSE),"")</f>
        <v>46075</v>
      </c>
      <c r="E3500" s="392" t="str">
        <f>IFERROR(VLOOKUP(A3500,[3]DOORSCRIEFT!$A$2:$G$8551,4,FALSE),"")</f>
        <v>Kolekta Kebaktian ana cucu tete ipu Pattirane dan ana cucu Opa Gabe Waisapy</v>
      </c>
      <c r="F3500" s="391">
        <f>IFERROR(VLOOKUP(A3500,[3]DOORSCRIEFT!$A$2:$G$8551,6,FALSE),"")</f>
        <v>372000</v>
      </c>
      <c r="G3500" s="315"/>
    </row>
    <row r="3501" spans="1:7" x14ac:dyDescent="0.25">
      <c r="A3501" s="359" t="str">
        <f t="shared" si="103"/>
        <v>I.2.2.02.06424</v>
      </c>
      <c r="B3501" s="319">
        <v>24</v>
      </c>
      <c r="C3501" s="394">
        <f>IFERROR(VLOOKUP(A3501,[3]DOORSCRIEFT!$A$2:$G$8551,2,FALSE),"")</f>
        <v>285</v>
      </c>
      <c r="D3501" s="393">
        <f>IFERROR(VLOOKUP(A3501,[3]DOORSCRIEFT!$A$2:$G$8551,3,FALSE),"")</f>
        <v>46087</v>
      </c>
      <c r="E3501" s="392" t="str">
        <f>IFERROR(VLOOKUP(A3501,[3]DOORSCRIEFT!$A$2:$G$8551,4,FALSE),"")</f>
        <v>Kolekta kebaktan syukur keluarga</v>
      </c>
      <c r="F3501" s="391">
        <f>IFERROR(VLOOKUP(A3501,[3]DOORSCRIEFT!$A$2:$G$8551,6,FALSE),"")</f>
        <v>810000</v>
      </c>
      <c r="G3501" s="315"/>
    </row>
    <row r="3502" spans="1:7" x14ac:dyDescent="0.25">
      <c r="A3502" s="359" t="str">
        <f t="shared" si="103"/>
        <v>I.2.2.02.06425</v>
      </c>
      <c r="B3502" s="319">
        <v>25</v>
      </c>
      <c r="C3502" s="394">
        <f>IFERROR(VLOOKUP(A3502,[3]DOORSCRIEFT!$A$2:$G$8551,2,FALSE),"")</f>
        <v>287</v>
      </c>
      <c r="D3502" s="393">
        <f>IFERROR(VLOOKUP(A3502,[3]DOORSCRIEFT!$A$2:$G$8551,3,FALSE),"")</f>
        <v>46087</v>
      </c>
      <c r="E3502" s="392" t="str">
        <f>IFERROR(VLOOKUP(A3502,[3]DOORSCRIEFT!$A$2:$G$8551,4,FALSE),"")</f>
        <v>Kolekta kebaktan Paduan terompet</v>
      </c>
      <c r="F3502" s="391">
        <f>IFERROR(VLOOKUP(A3502,[3]DOORSCRIEFT!$A$2:$G$8551,6,FALSE),"")</f>
        <v>79000</v>
      </c>
      <c r="G3502" s="315"/>
    </row>
    <row r="3503" spans="1:7" x14ac:dyDescent="0.25">
      <c r="A3503" s="359" t="str">
        <f t="shared" si="103"/>
        <v>I.2.2.02.06426</v>
      </c>
      <c r="B3503" s="319">
        <v>26</v>
      </c>
      <c r="C3503" s="394">
        <f>IFERROR(VLOOKUP(A3503,[3]DOORSCRIEFT!$A$2:$G$8551,2,FALSE),"")</f>
        <v>336</v>
      </c>
      <c r="D3503" s="393">
        <f>IFERROR(VLOOKUP(A3503,[3]DOORSCRIEFT!$A$2:$G$8551,3,FALSE),"")</f>
        <v>46089</v>
      </c>
      <c r="E3503" s="392" t="str">
        <f>IFERROR(VLOOKUP(A3503,[3]DOORSCRIEFT!$A$2:$G$8551,4,FALSE),"")</f>
        <v>Kolekta Syukur Keluarga</v>
      </c>
      <c r="F3503" s="391">
        <f>IFERROR(VLOOKUP(A3503,[3]DOORSCRIEFT!$A$2:$G$8551,6,FALSE),"")</f>
        <v>590000</v>
      </c>
      <c r="G3503" s="315"/>
    </row>
    <row r="3504" spans="1:7" x14ac:dyDescent="0.25">
      <c r="A3504" s="359" t="str">
        <f t="shared" si="103"/>
        <v>I.2.2.02.06427</v>
      </c>
      <c r="B3504" s="319">
        <v>27</v>
      </c>
      <c r="C3504" s="394">
        <f>IFERROR(VLOOKUP(A3504,[3]DOORSCRIEFT!$A$2:$G$8551,2,FALSE),"")</f>
        <v>337</v>
      </c>
      <c r="D3504" s="393">
        <f>IFERROR(VLOOKUP(A3504,[3]DOORSCRIEFT!$A$2:$G$8551,3,FALSE),"")</f>
        <v>46094</v>
      </c>
      <c r="E3504" s="392" t="str">
        <f>IFERROR(VLOOKUP(A3504,[3]DOORSCRIEFT!$A$2:$G$8551,4,FALSE),"")</f>
        <v>Kolekta Kebaktian Keluarga</v>
      </c>
      <c r="F3504" s="391">
        <f>IFERROR(VLOOKUP(A3504,[3]DOORSCRIEFT!$A$2:$G$8551,6,FALSE),"")</f>
        <v>620000</v>
      </c>
      <c r="G3504" s="315"/>
    </row>
    <row r="3505" spans="1:7" x14ac:dyDescent="0.25">
      <c r="A3505" s="359" t="str">
        <f t="shared" si="103"/>
        <v>I.2.2.02.06428</v>
      </c>
      <c r="B3505" s="319">
        <v>28</v>
      </c>
      <c r="C3505" s="394">
        <f>IFERROR(VLOOKUP(A3505,[3]DOORSCRIEFT!$A$2:$G$8551,2,FALSE),"")</f>
        <v>342</v>
      </c>
      <c r="D3505" s="393">
        <f>IFERROR(VLOOKUP(A3505,[3]DOORSCRIEFT!$A$2:$G$8551,3,FALSE),"")</f>
        <v>46094</v>
      </c>
      <c r="E3505" s="392" t="str">
        <f>IFERROR(VLOOKUP(A3505,[3]DOORSCRIEFT!$A$2:$G$8551,4,FALSE),"")</f>
        <v>Kolekta Pergembalaan Panitia Sidang dan HHBG</v>
      </c>
      <c r="F3505" s="391">
        <f>IFERROR(VLOOKUP(A3505,[3]DOORSCRIEFT!$A$2:$G$8551,6,FALSE),"")</f>
        <v>626000</v>
      </c>
      <c r="G3505" s="315"/>
    </row>
    <row r="3506" spans="1:7" x14ac:dyDescent="0.25">
      <c r="A3506" s="359" t="str">
        <f t="shared" si="103"/>
        <v>I.2.2.02.06429</v>
      </c>
      <c r="B3506" s="319">
        <v>29</v>
      </c>
      <c r="C3506" s="394">
        <f>IFERROR(VLOOKUP(A3506,[3]DOORSCRIEFT!$A$2:$G$8551,2,FALSE),"")</f>
        <v>352</v>
      </c>
      <c r="D3506" s="393">
        <f>IFERROR(VLOOKUP(A3506,[3]DOORSCRIEFT!$A$2:$G$8551,3,FALSE),"")</f>
        <v>46096</v>
      </c>
      <c r="E3506" s="392" t="str">
        <f>IFERROR(VLOOKUP(A3506,[3]DOORSCRIEFT!$A$2:$G$8551,4,FALSE),"")</f>
        <v>Kolekta Kebaktian Paduan Terompet</v>
      </c>
      <c r="F3506" s="391">
        <f>IFERROR(VLOOKUP(A3506,[3]DOORSCRIEFT!$A$2:$G$8551,6,FALSE),"")</f>
        <v>63000</v>
      </c>
      <c r="G3506" s="315"/>
    </row>
    <row r="3507" spans="1:7" x14ac:dyDescent="0.25">
      <c r="A3507" s="359" t="str">
        <f t="shared" si="103"/>
        <v>I.2.2.02.06430</v>
      </c>
      <c r="B3507" s="319">
        <v>30</v>
      </c>
      <c r="C3507" s="394">
        <f>IFERROR(VLOOKUP(A3507,[3]DOORSCRIEFT!$A$2:$G$8551,2,FALSE),"")</f>
        <v>354</v>
      </c>
      <c r="D3507" s="393">
        <f>IFERROR(VLOOKUP(A3507,[3]DOORSCRIEFT!$A$2:$G$8551,3,FALSE),"")</f>
        <v>46096</v>
      </c>
      <c r="E3507" s="392" t="str">
        <f>IFERROR(VLOOKUP(A3507,[3]DOORSCRIEFT!$A$2:$G$8551,4,FALSE),"")</f>
        <v>Kolekta Kebaktian Syukur Keluarga</v>
      </c>
      <c r="F3507" s="391">
        <f>IFERROR(VLOOKUP(A3507,[3]DOORSCRIEFT!$A$2:$G$8551,6,FALSE),"")</f>
        <v>1138000</v>
      </c>
      <c r="G3507" s="315"/>
    </row>
    <row r="3508" spans="1:7" x14ac:dyDescent="0.25">
      <c r="A3508" s="359" t="str">
        <f t="shared" si="103"/>
        <v>I.2.2.02.06431</v>
      </c>
      <c r="B3508" s="319">
        <v>31</v>
      </c>
      <c r="C3508" s="394">
        <f>IFERROR(VLOOKUP(A3508,[3]DOORSCRIEFT!$A$2:$G$8551,2,FALSE),"")</f>
        <v>356</v>
      </c>
      <c r="D3508" s="393">
        <f>IFERROR(VLOOKUP(A3508,[3]DOORSCRIEFT!$A$2:$G$8551,3,FALSE),"")</f>
        <v>46096</v>
      </c>
      <c r="E3508" s="392" t="str">
        <f>IFERROR(VLOOKUP(A3508,[3]DOORSCRIEFT!$A$2:$G$8551,4,FALSE),"")</f>
        <v>Kolekta Syukur Pembuatan Pagar rumah Kel. Iwamoni</v>
      </c>
      <c r="F3508" s="391">
        <f>IFERROR(VLOOKUP(A3508,[3]DOORSCRIEFT!$A$2:$G$8551,6,FALSE),"")</f>
        <v>100000</v>
      </c>
      <c r="G3508" s="315"/>
    </row>
    <row r="3509" spans="1:7" x14ac:dyDescent="0.25">
      <c r="A3509" s="359" t="str">
        <f t="shared" si="103"/>
        <v>I.2.2.02.06432</v>
      </c>
      <c r="B3509" s="319">
        <v>32</v>
      </c>
      <c r="C3509" s="394">
        <f>IFERROR(VLOOKUP(A3509,[3]DOORSCRIEFT!$A$2:$G$8551,2,FALSE),"")</f>
        <v>358</v>
      </c>
      <c r="D3509" s="393">
        <f>IFERROR(VLOOKUP(A3509,[3]DOORSCRIEFT!$A$2:$G$8551,3,FALSE),"")</f>
        <v>46096</v>
      </c>
      <c r="E3509" s="392" t="str">
        <f>IFERROR(VLOOKUP(A3509,[3]DOORSCRIEFT!$A$2:$G$8551,4,FALSE),"")</f>
        <v>Kolekta Persiapan kegiatan HHBG sektor Kalvari</v>
      </c>
      <c r="F3509" s="391">
        <f>IFERROR(VLOOKUP(A3509,[3]DOORSCRIEFT!$A$2:$G$8551,6,FALSE),"")</f>
        <v>201000</v>
      </c>
      <c r="G3509" s="315"/>
    </row>
    <row r="3510" spans="1:7" x14ac:dyDescent="0.25">
      <c r="A3510" s="359" t="str">
        <f t="shared" si="103"/>
        <v>I.2.2.02.06433</v>
      </c>
      <c r="B3510" s="319">
        <v>33</v>
      </c>
      <c r="C3510" s="394">
        <f>IFERROR(VLOOKUP(A3510,[3]DOORSCRIEFT!$A$2:$G$8551,2,FALSE),"")</f>
        <v>420</v>
      </c>
      <c r="D3510" s="393">
        <f>IFERROR(VLOOKUP(A3510,[3]DOORSCRIEFT!$A$2:$G$8551,3,FALSE),"")</f>
        <v>46103</v>
      </c>
      <c r="E3510" s="392" t="str">
        <f>IFERROR(VLOOKUP(A3510,[3]DOORSCRIEFT!$A$2:$G$8551,4,FALSE),"")</f>
        <v>Kolekta Paduan terompet dan Muhabeth Amalatuei</v>
      </c>
      <c r="F3510" s="391">
        <f>IFERROR(VLOOKUP(A3510,[3]DOORSCRIEFT!$A$2:$G$8551,6,FALSE),"")</f>
        <v>256000</v>
      </c>
      <c r="G3510" s="315"/>
    </row>
    <row r="3511" spans="1:7" x14ac:dyDescent="0.25">
      <c r="A3511" s="359" t="str">
        <f t="shared" si="103"/>
        <v>I.2.2.02.06434</v>
      </c>
      <c r="B3511" s="319">
        <v>34</v>
      </c>
      <c r="C3511" s="394">
        <f>IFERROR(VLOOKUP(A3511,[3]DOORSCRIEFT!$A$2:$G$8551,2,FALSE),"")</f>
        <v>422</v>
      </c>
      <c r="D3511" s="393">
        <f>IFERROR(VLOOKUP(A3511,[3]DOORSCRIEFT!$A$2:$G$8551,3,FALSE),"")</f>
        <v>46103</v>
      </c>
      <c r="E3511" s="392" t="str">
        <f>IFERROR(VLOOKUP(A3511,[3]DOORSCRIEFT!$A$2:$G$8551,4,FALSE),"")</f>
        <v>Kolekta Kebaktian Syukur Keluarga</v>
      </c>
      <c r="F3511" s="391">
        <f>IFERROR(VLOOKUP(A3511,[3]DOORSCRIEFT!$A$2:$G$8551,6,FALSE),"")</f>
        <v>557000</v>
      </c>
      <c r="G3511" s="315"/>
    </row>
    <row r="3512" spans="1:7" x14ac:dyDescent="0.25">
      <c r="A3512" s="359" t="str">
        <f t="shared" si="103"/>
        <v>I.2.2.02.06435</v>
      </c>
      <c r="B3512" s="319">
        <v>35</v>
      </c>
      <c r="C3512" s="394">
        <f>IFERROR(VLOOKUP(A3512,[3]DOORSCRIEFT!$A$2:$G$8551,2,FALSE),"")</f>
        <v>430</v>
      </c>
      <c r="D3512" s="393">
        <f>IFERROR(VLOOKUP(A3512,[3]DOORSCRIEFT!$A$2:$G$8551,3,FALSE),"")</f>
        <v>46103</v>
      </c>
      <c r="E3512" s="392" t="str">
        <f>IFERROR(VLOOKUP(A3512,[3]DOORSCRIEFT!$A$2:$G$8551,4,FALSE),"")</f>
        <v>Kolekta Pergembalaan Tim Penanggulangan bencana</v>
      </c>
      <c r="F3512" s="391">
        <f>IFERROR(VLOOKUP(A3512,[3]DOORSCRIEFT!$A$2:$G$8551,6,FALSE),"")</f>
        <v>56000</v>
      </c>
      <c r="G3512" s="315"/>
    </row>
    <row r="3513" spans="1:7" x14ac:dyDescent="0.25">
      <c r="A3513" s="359" t="str">
        <f t="shared" si="103"/>
        <v>I.2.2.02.06436</v>
      </c>
      <c r="B3513" s="319">
        <v>36</v>
      </c>
      <c r="C3513" s="394" t="str">
        <f>IFERROR(VLOOKUP(A3513,[3]DOORSCRIEFT!$A$2:$G$8551,2,FALSE),"")</f>
        <v/>
      </c>
      <c r="D3513" s="393" t="str">
        <f>IFERROR(VLOOKUP(A3513,[3]DOORSCRIEFT!$A$2:$G$8551,3,FALSE),"")</f>
        <v/>
      </c>
      <c r="E3513" s="392" t="str">
        <f>IFERROR(VLOOKUP(A3513,[3]DOORSCRIEFT!$A$2:$G$8551,4,FALSE),"")</f>
        <v/>
      </c>
      <c r="F3513" s="391" t="str">
        <f>IFERROR(VLOOKUP(A3513,[3]DOORSCRIEFT!$A$2:$G$8551,6,FALSE),"")</f>
        <v/>
      </c>
      <c r="G3513" s="315"/>
    </row>
    <row r="3514" spans="1:7" x14ac:dyDescent="0.25">
      <c r="A3514" s="359" t="str">
        <f t="shared" si="103"/>
        <v>I.2.2.02.06437</v>
      </c>
      <c r="B3514" s="319">
        <v>37</v>
      </c>
      <c r="C3514" s="394" t="str">
        <f>IFERROR(VLOOKUP(A3514,[3]DOORSCRIEFT!$A$2:$G$8551,2,FALSE),"")</f>
        <v/>
      </c>
      <c r="D3514" s="393" t="str">
        <f>IFERROR(VLOOKUP(A3514,[3]DOORSCRIEFT!$A$2:$G$8551,3,FALSE),"")</f>
        <v/>
      </c>
      <c r="E3514" s="392" t="str">
        <f>IFERROR(VLOOKUP(A3514,[3]DOORSCRIEFT!$A$2:$G$8551,4,FALSE),"")</f>
        <v/>
      </c>
      <c r="F3514" s="391" t="str">
        <f>IFERROR(VLOOKUP(A3514,[3]DOORSCRIEFT!$A$2:$G$8551,6,FALSE),"")</f>
        <v/>
      </c>
      <c r="G3514" s="315"/>
    </row>
    <row r="3515" spans="1:7" x14ac:dyDescent="0.25">
      <c r="A3515" s="359" t="str">
        <f t="shared" si="103"/>
        <v>I.2.2.02.06438</v>
      </c>
      <c r="B3515" s="319">
        <v>38</v>
      </c>
      <c r="C3515" s="394" t="str">
        <f>IFERROR(VLOOKUP(A3515,[3]DOORSCRIEFT!$A$2:$G$8551,2,FALSE),"")</f>
        <v/>
      </c>
      <c r="D3515" s="393" t="str">
        <f>IFERROR(VLOOKUP(A3515,[3]DOORSCRIEFT!$A$2:$G$8551,3,FALSE),"")</f>
        <v/>
      </c>
      <c r="E3515" s="392" t="str">
        <f>IFERROR(VLOOKUP(A3515,[3]DOORSCRIEFT!$A$2:$G$8551,4,FALSE),"")</f>
        <v/>
      </c>
      <c r="F3515" s="391" t="str">
        <f>IFERROR(VLOOKUP(A3515,[3]DOORSCRIEFT!$A$2:$G$8551,6,FALSE),"")</f>
        <v/>
      </c>
      <c r="G3515" s="315"/>
    </row>
    <row r="3516" spans="1:7" x14ac:dyDescent="0.25">
      <c r="A3516" s="359" t="str">
        <f t="shared" si="103"/>
        <v>I.2.2.02.06439</v>
      </c>
      <c r="B3516" s="319">
        <v>39</v>
      </c>
      <c r="C3516" s="394" t="str">
        <f>IFERROR(VLOOKUP(A3516,[3]DOORSCRIEFT!$A$2:$G$8551,2,FALSE),"")</f>
        <v/>
      </c>
      <c r="D3516" s="393" t="str">
        <f>IFERROR(VLOOKUP(A3516,[3]DOORSCRIEFT!$A$2:$G$8551,3,FALSE),"")</f>
        <v/>
      </c>
      <c r="E3516" s="392" t="str">
        <f>IFERROR(VLOOKUP(A3516,[3]DOORSCRIEFT!$A$2:$G$8551,4,FALSE),"")</f>
        <v/>
      </c>
      <c r="F3516" s="391" t="str">
        <f>IFERROR(VLOOKUP(A3516,[3]DOORSCRIEFT!$A$2:$G$8551,6,FALSE),"")</f>
        <v/>
      </c>
      <c r="G3516" s="315"/>
    </row>
    <row r="3517" spans="1:7" x14ac:dyDescent="0.25">
      <c r="A3517" s="359" t="str">
        <f t="shared" si="103"/>
        <v>I.2.2.02.06440</v>
      </c>
      <c r="B3517" s="319">
        <v>40</v>
      </c>
      <c r="C3517" s="394" t="str">
        <f>IFERROR(VLOOKUP(A3517,[3]DOORSCRIEFT!$A$2:$G$8551,2,FALSE),"")</f>
        <v/>
      </c>
      <c r="D3517" s="393" t="str">
        <f>IFERROR(VLOOKUP(A3517,[3]DOORSCRIEFT!$A$2:$G$8551,3,FALSE),"")</f>
        <v/>
      </c>
      <c r="E3517" s="392" t="str">
        <f>IFERROR(VLOOKUP(A3517,[3]DOORSCRIEFT!$A$2:$G$8551,4,FALSE),"")</f>
        <v/>
      </c>
      <c r="F3517" s="391" t="str">
        <f>IFERROR(VLOOKUP(A3517,[3]DOORSCRIEFT!$A$2:$G$8551,6,FALSE),"")</f>
        <v/>
      </c>
      <c r="G3517" s="315"/>
    </row>
    <row r="3518" spans="1:7" x14ac:dyDescent="0.25">
      <c r="A3518" s="359" t="str">
        <f t="shared" si="103"/>
        <v>I.2.2.02.06441</v>
      </c>
      <c r="B3518" s="319">
        <v>41</v>
      </c>
      <c r="C3518" s="394" t="str">
        <f>IFERROR(VLOOKUP(A3518,[3]DOORSCRIEFT!$A$2:$G$8551,2,FALSE),"")</f>
        <v/>
      </c>
      <c r="D3518" s="393" t="str">
        <f>IFERROR(VLOOKUP(A3518,[3]DOORSCRIEFT!$A$2:$G$8551,3,FALSE),"")</f>
        <v/>
      </c>
      <c r="E3518" s="392" t="str">
        <f>IFERROR(VLOOKUP(A3518,[3]DOORSCRIEFT!$A$2:$G$8551,4,FALSE),"")</f>
        <v/>
      </c>
      <c r="F3518" s="391" t="str">
        <f>IFERROR(VLOOKUP(A3518,[3]DOORSCRIEFT!$A$2:$G$8551,6,FALSE),"")</f>
        <v/>
      </c>
      <c r="G3518" s="315"/>
    </row>
    <row r="3519" spans="1:7" x14ac:dyDescent="0.25">
      <c r="A3519" s="359" t="str">
        <f t="shared" si="103"/>
        <v>I.2.2.02.06442</v>
      </c>
      <c r="B3519" s="319">
        <v>42</v>
      </c>
      <c r="C3519" s="394" t="str">
        <f>IFERROR(VLOOKUP(A3519,[3]DOORSCRIEFT!$A$2:$G$8551,2,FALSE),"")</f>
        <v/>
      </c>
      <c r="D3519" s="393" t="str">
        <f>IFERROR(VLOOKUP(A3519,[3]DOORSCRIEFT!$A$2:$G$8551,3,FALSE),"")</f>
        <v/>
      </c>
      <c r="E3519" s="392" t="str">
        <f>IFERROR(VLOOKUP(A3519,[3]DOORSCRIEFT!$A$2:$G$8551,4,FALSE),"")</f>
        <v/>
      </c>
      <c r="F3519" s="391" t="str">
        <f>IFERROR(VLOOKUP(A3519,[3]DOORSCRIEFT!$A$2:$G$8551,6,FALSE),"")</f>
        <v/>
      </c>
      <c r="G3519" s="315"/>
    </row>
    <row r="3520" spans="1:7" x14ac:dyDescent="0.25">
      <c r="A3520" s="359" t="str">
        <f t="shared" si="103"/>
        <v>I.2.2.02.06443</v>
      </c>
      <c r="B3520" s="319">
        <v>43</v>
      </c>
      <c r="C3520" s="394" t="str">
        <f>IFERROR(VLOOKUP(A3520,[3]DOORSCRIEFT!$A$2:$G$8551,2,FALSE),"")</f>
        <v/>
      </c>
      <c r="D3520" s="393" t="str">
        <f>IFERROR(VLOOKUP(A3520,[3]DOORSCRIEFT!$A$2:$G$8551,3,FALSE),"")</f>
        <v/>
      </c>
      <c r="E3520" s="392" t="str">
        <f>IFERROR(VLOOKUP(A3520,[3]DOORSCRIEFT!$A$2:$G$8551,4,FALSE),"")</f>
        <v/>
      </c>
      <c r="F3520" s="391" t="str">
        <f>IFERROR(VLOOKUP(A3520,[3]DOORSCRIEFT!$A$2:$G$8551,6,FALSE),"")</f>
        <v/>
      </c>
      <c r="G3520" s="315"/>
    </row>
    <row r="3521" spans="1:7" x14ac:dyDescent="0.25">
      <c r="A3521" s="359" t="str">
        <f t="shared" si="103"/>
        <v>I.2.2.02.06444</v>
      </c>
      <c r="B3521" s="319">
        <v>44</v>
      </c>
      <c r="C3521" s="394" t="str">
        <f>IFERROR(VLOOKUP(A3521,[3]DOORSCRIEFT!$A$2:$G$8551,2,FALSE),"")</f>
        <v/>
      </c>
      <c r="D3521" s="393" t="str">
        <f>IFERROR(VLOOKUP(A3521,[3]DOORSCRIEFT!$A$2:$G$8551,3,FALSE),"")</f>
        <v/>
      </c>
      <c r="E3521" s="392" t="str">
        <f>IFERROR(VLOOKUP(A3521,[3]DOORSCRIEFT!$A$2:$G$8551,4,FALSE),"")</f>
        <v/>
      </c>
      <c r="F3521" s="391" t="str">
        <f>IFERROR(VLOOKUP(A3521,[3]DOORSCRIEFT!$A$2:$G$8551,6,FALSE),"")</f>
        <v/>
      </c>
      <c r="G3521" s="315"/>
    </row>
    <row r="3522" spans="1:7" x14ac:dyDescent="0.25">
      <c r="A3522" s="359" t="str">
        <f t="shared" si="103"/>
        <v>I.2.2.02.06445</v>
      </c>
      <c r="B3522" s="319">
        <v>45</v>
      </c>
      <c r="C3522" s="394" t="str">
        <f>IFERROR(VLOOKUP(A3522,[3]DOORSCRIEFT!$A$2:$G$8551,2,FALSE),"")</f>
        <v/>
      </c>
      <c r="D3522" s="393" t="str">
        <f>IFERROR(VLOOKUP(A3522,[3]DOORSCRIEFT!$A$2:$G$8551,3,FALSE),"")</f>
        <v/>
      </c>
      <c r="E3522" s="392" t="str">
        <f>IFERROR(VLOOKUP(A3522,[3]DOORSCRIEFT!$A$2:$G$8551,4,FALSE),"")</f>
        <v/>
      </c>
      <c r="F3522" s="391" t="str">
        <f>IFERROR(VLOOKUP(A3522,[3]DOORSCRIEFT!$A$2:$G$8551,6,FALSE),"")</f>
        <v/>
      </c>
      <c r="G3522" s="315"/>
    </row>
    <row r="3523" spans="1:7" x14ac:dyDescent="0.25">
      <c r="A3523" s="359" t="str">
        <f t="shared" si="103"/>
        <v>I.2.2.02.06446</v>
      </c>
      <c r="B3523" s="319">
        <v>46</v>
      </c>
      <c r="C3523" s="394" t="str">
        <f>IFERROR(VLOOKUP(A3523,[3]DOORSCRIEFT!$A$2:$G$8551,2,FALSE),"")</f>
        <v/>
      </c>
      <c r="D3523" s="393" t="str">
        <f>IFERROR(VLOOKUP(A3523,[3]DOORSCRIEFT!$A$2:$G$8551,3,FALSE),"")</f>
        <v/>
      </c>
      <c r="E3523" s="392" t="str">
        <f>IFERROR(VLOOKUP(A3523,[3]DOORSCRIEFT!$A$2:$G$8551,4,FALSE),"")</f>
        <v/>
      </c>
      <c r="F3523" s="391" t="str">
        <f>IFERROR(VLOOKUP(A3523,[3]DOORSCRIEFT!$A$2:$G$8551,6,FALSE),"")</f>
        <v/>
      </c>
      <c r="G3523" s="315"/>
    </row>
    <row r="3524" spans="1:7" x14ac:dyDescent="0.25">
      <c r="A3524" s="359" t="str">
        <f t="shared" si="103"/>
        <v>I.2.2.02.06447</v>
      </c>
      <c r="B3524" s="319">
        <v>47</v>
      </c>
      <c r="C3524" s="394" t="str">
        <f>IFERROR(VLOOKUP(A3524,[3]DOORSCRIEFT!$A$2:$G$8551,2,FALSE),"")</f>
        <v/>
      </c>
      <c r="D3524" s="393" t="str">
        <f>IFERROR(VLOOKUP(A3524,[3]DOORSCRIEFT!$A$2:$G$8551,3,FALSE),"")</f>
        <v/>
      </c>
      <c r="E3524" s="392" t="str">
        <f>IFERROR(VLOOKUP(A3524,[3]DOORSCRIEFT!$A$2:$G$8551,4,FALSE),"")</f>
        <v/>
      </c>
      <c r="F3524" s="391" t="str">
        <f>IFERROR(VLOOKUP(A3524,[3]DOORSCRIEFT!$A$2:$G$8551,6,FALSE),"")</f>
        <v/>
      </c>
      <c r="G3524" s="315"/>
    </row>
    <row r="3525" spans="1:7" x14ac:dyDescent="0.25">
      <c r="A3525" s="359" t="str">
        <f t="shared" si="103"/>
        <v>I.2.2.02.06448</v>
      </c>
      <c r="B3525" s="319">
        <v>48</v>
      </c>
      <c r="C3525" s="394" t="str">
        <f>IFERROR(VLOOKUP(A3525,[3]DOORSCRIEFT!$A$2:$G$8551,2,FALSE),"")</f>
        <v/>
      </c>
      <c r="D3525" s="393" t="str">
        <f>IFERROR(VLOOKUP(A3525,[3]DOORSCRIEFT!$A$2:$G$8551,3,FALSE),"")</f>
        <v/>
      </c>
      <c r="E3525" s="392" t="str">
        <f>IFERROR(VLOOKUP(A3525,[3]DOORSCRIEFT!$A$2:$G$8551,4,FALSE),"")</f>
        <v/>
      </c>
      <c r="F3525" s="391" t="str">
        <f>IFERROR(VLOOKUP(A3525,[3]DOORSCRIEFT!$A$2:$G$8551,6,FALSE),"")</f>
        <v/>
      </c>
      <c r="G3525" s="315"/>
    </row>
    <row r="3526" spans="1:7" x14ac:dyDescent="0.25">
      <c r="A3526" s="359" t="str">
        <f t="shared" si="103"/>
        <v>I.2.2.02.06449</v>
      </c>
      <c r="B3526" s="319">
        <v>49</v>
      </c>
      <c r="C3526" s="394" t="str">
        <f>IFERROR(VLOOKUP(A3526,[3]DOORSCRIEFT!$A$2:$G$8551,2,FALSE),"")</f>
        <v/>
      </c>
      <c r="D3526" s="393" t="str">
        <f>IFERROR(VLOOKUP(A3526,[3]DOORSCRIEFT!$A$2:$G$8551,3,FALSE),"")</f>
        <v/>
      </c>
      <c r="E3526" s="392" t="str">
        <f>IFERROR(VLOOKUP(A3526,[3]DOORSCRIEFT!$A$2:$G$8551,4,FALSE),"")</f>
        <v/>
      </c>
      <c r="F3526" s="391" t="str">
        <f>IFERROR(VLOOKUP(A3526,[3]DOORSCRIEFT!$A$2:$G$8551,6,FALSE),"")</f>
        <v/>
      </c>
      <c r="G3526" s="315"/>
    </row>
    <row r="3527" spans="1:7" x14ac:dyDescent="0.25">
      <c r="A3527" s="359" t="str">
        <f t="shared" si="103"/>
        <v>I.2.2.02.06450</v>
      </c>
      <c r="B3527" s="319">
        <v>50</v>
      </c>
      <c r="C3527" s="394" t="str">
        <f>IFERROR(VLOOKUP(A3527,[3]DOORSCRIEFT!$A$2:$G$8551,2,FALSE),"")</f>
        <v/>
      </c>
      <c r="D3527" s="393" t="str">
        <f>IFERROR(VLOOKUP(A3527,[3]DOORSCRIEFT!$A$2:$G$8551,3,FALSE),"")</f>
        <v/>
      </c>
      <c r="E3527" s="392" t="str">
        <f>IFERROR(VLOOKUP(A3527,[3]DOORSCRIEFT!$A$2:$G$8551,4,FALSE),"")</f>
        <v/>
      </c>
      <c r="F3527" s="391" t="str">
        <f>IFERROR(VLOOKUP(A3527,[3]DOORSCRIEFT!$A$2:$G$8551,6,FALSE),"")</f>
        <v/>
      </c>
      <c r="G3527" s="315"/>
    </row>
    <row r="3528" spans="1:7" x14ac:dyDescent="0.25">
      <c r="A3528" s="359" t="str">
        <f t="shared" si="103"/>
        <v>I.2.2.02.06451</v>
      </c>
      <c r="B3528" s="319">
        <v>51</v>
      </c>
      <c r="C3528" s="394" t="str">
        <f>IFERROR(VLOOKUP(A3528,[3]DOORSCRIEFT!$A$2:$G$8551,2,FALSE),"")</f>
        <v/>
      </c>
      <c r="D3528" s="393" t="str">
        <f>IFERROR(VLOOKUP(A3528,[3]DOORSCRIEFT!$A$2:$G$8551,3,FALSE),"")</f>
        <v/>
      </c>
      <c r="E3528" s="392" t="str">
        <f>IFERROR(VLOOKUP(A3528,[3]DOORSCRIEFT!$A$2:$G$8551,4,FALSE),"")</f>
        <v/>
      </c>
      <c r="F3528" s="391" t="str">
        <f>IFERROR(VLOOKUP(A3528,[3]DOORSCRIEFT!$A$2:$G$8551,6,FALSE),"")</f>
        <v/>
      </c>
      <c r="G3528" s="315"/>
    </row>
    <row r="3529" spans="1:7" x14ac:dyDescent="0.25">
      <c r="A3529" s="359" t="str">
        <f t="shared" si="103"/>
        <v>I.2.2.02.06452</v>
      </c>
      <c r="B3529" s="319">
        <v>52</v>
      </c>
      <c r="C3529" s="394" t="str">
        <f>IFERROR(VLOOKUP(A3529,[3]DOORSCRIEFT!$A$2:$G$8551,2,FALSE),"")</f>
        <v/>
      </c>
      <c r="D3529" s="393" t="str">
        <f>IFERROR(VLOOKUP(A3529,[3]DOORSCRIEFT!$A$2:$G$8551,3,FALSE),"")</f>
        <v/>
      </c>
      <c r="E3529" s="392" t="str">
        <f>IFERROR(VLOOKUP(A3529,[3]DOORSCRIEFT!$A$2:$G$8551,4,FALSE),"")</f>
        <v/>
      </c>
      <c r="F3529" s="391" t="str">
        <f>IFERROR(VLOOKUP(A3529,[3]DOORSCRIEFT!$A$2:$G$8551,6,FALSE),"")</f>
        <v/>
      </c>
      <c r="G3529" s="315"/>
    </row>
    <row r="3530" spans="1:7" x14ac:dyDescent="0.25">
      <c r="A3530" s="359" t="str">
        <f t="shared" si="103"/>
        <v>I.2.2.02.06453</v>
      </c>
      <c r="B3530" s="319">
        <v>53</v>
      </c>
      <c r="C3530" s="394" t="str">
        <f>IFERROR(VLOOKUP(A3530,[3]DOORSCRIEFT!$A$2:$G$8551,2,FALSE),"")</f>
        <v/>
      </c>
      <c r="D3530" s="393" t="str">
        <f>IFERROR(VLOOKUP(A3530,[3]DOORSCRIEFT!$A$2:$G$8551,3,FALSE),"")</f>
        <v/>
      </c>
      <c r="E3530" s="392" t="str">
        <f>IFERROR(VLOOKUP(A3530,[3]DOORSCRIEFT!$A$2:$G$8551,4,FALSE),"")</f>
        <v/>
      </c>
      <c r="F3530" s="391" t="str">
        <f>IFERROR(VLOOKUP(A3530,[3]DOORSCRIEFT!$A$2:$G$8551,6,FALSE),"")</f>
        <v/>
      </c>
      <c r="G3530" s="315"/>
    </row>
    <row r="3531" spans="1:7" x14ac:dyDescent="0.25">
      <c r="A3531" s="359" t="str">
        <f t="shared" si="103"/>
        <v>I.2.2.02.06454</v>
      </c>
      <c r="B3531" s="319">
        <v>54</v>
      </c>
      <c r="C3531" s="394" t="str">
        <f>IFERROR(VLOOKUP(A3531,[3]DOORSCRIEFT!$A$2:$G$8551,2,FALSE),"")</f>
        <v/>
      </c>
      <c r="D3531" s="393" t="str">
        <f>IFERROR(VLOOKUP(A3531,[3]DOORSCRIEFT!$A$2:$G$8551,3,FALSE),"")</f>
        <v/>
      </c>
      <c r="E3531" s="392" t="str">
        <f>IFERROR(VLOOKUP(A3531,[3]DOORSCRIEFT!$A$2:$G$8551,4,FALSE),"")</f>
        <v/>
      </c>
      <c r="F3531" s="391" t="str">
        <f>IFERROR(VLOOKUP(A3531,[3]DOORSCRIEFT!$A$2:$G$8551,6,FALSE),"")</f>
        <v/>
      </c>
      <c r="G3531" s="315"/>
    </row>
    <row r="3532" spans="1:7" x14ac:dyDescent="0.25">
      <c r="A3532" s="359" t="str">
        <f t="shared" si="103"/>
        <v>I.2.2.02.06455</v>
      </c>
      <c r="B3532" s="319">
        <v>55</v>
      </c>
      <c r="C3532" s="394" t="str">
        <f>IFERROR(VLOOKUP(A3532,[3]DOORSCRIEFT!$A$2:$G$8551,2,FALSE),"")</f>
        <v/>
      </c>
      <c r="D3532" s="393" t="str">
        <f>IFERROR(VLOOKUP(A3532,[3]DOORSCRIEFT!$A$2:$G$8551,3,FALSE),"")</f>
        <v/>
      </c>
      <c r="E3532" s="392" t="str">
        <f>IFERROR(VLOOKUP(A3532,[3]DOORSCRIEFT!$A$2:$G$8551,4,FALSE),"")</f>
        <v/>
      </c>
      <c r="F3532" s="391" t="str">
        <f>IFERROR(VLOOKUP(A3532,[3]DOORSCRIEFT!$A$2:$G$8551,6,FALSE),"")</f>
        <v/>
      </c>
      <c r="G3532" s="315"/>
    </row>
    <row r="3533" spans="1:7" x14ac:dyDescent="0.25">
      <c r="A3533" s="359" t="str">
        <f t="shared" si="103"/>
        <v>I.2.2.02.06456</v>
      </c>
      <c r="B3533" s="319">
        <v>56</v>
      </c>
      <c r="C3533" s="394" t="str">
        <f>IFERROR(VLOOKUP(A3533,[3]DOORSCRIEFT!$A$2:$G$8551,2,FALSE),"")</f>
        <v/>
      </c>
      <c r="D3533" s="393" t="str">
        <f>IFERROR(VLOOKUP(A3533,[3]DOORSCRIEFT!$A$2:$G$8551,3,FALSE),"")</f>
        <v/>
      </c>
      <c r="E3533" s="392" t="str">
        <f>IFERROR(VLOOKUP(A3533,[3]DOORSCRIEFT!$A$2:$G$8551,4,FALSE),"")</f>
        <v/>
      </c>
      <c r="F3533" s="391" t="str">
        <f>IFERROR(VLOOKUP(A3533,[3]DOORSCRIEFT!$A$2:$G$8551,6,FALSE),"")</f>
        <v/>
      </c>
      <c r="G3533" s="315"/>
    </row>
    <row r="3534" spans="1:7" x14ac:dyDescent="0.25">
      <c r="A3534" s="359" t="str">
        <f t="shared" si="103"/>
        <v>I.2.2.02.06457</v>
      </c>
      <c r="B3534" s="319">
        <v>57</v>
      </c>
      <c r="C3534" s="394" t="str">
        <f>IFERROR(VLOOKUP(A3534,[3]DOORSCRIEFT!$A$2:$G$8551,2,FALSE),"")</f>
        <v/>
      </c>
      <c r="D3534" s="393" t="str">
        <f>IFERROR(VLOOKUP(A3534,[3]DOORSCRIEFT!$A$2:$G$8551,3,FALSE),"")</f>
        <v/>
      </c>
      <c r="E3534" s="392" t="str">
        <f>IFERROR(VLOOKUP(A3534,[3]DOORSCRIEFT!$A$2:$G$8551,4,FALSE),"")</f>
        <v/>
      </c>
      <c r="F3534" s="391" t="str">
        <f>IFERROR(VLOOKUP(A3534,[3]DOORSCRIEFT!$A$2:$G$8551,6,FALSE),"")</f>
        <v/>
      </c>
      <c r="G3534" s="315"/>
    </row>
    <row r="3535" spans="1:7" x14ac:dyDescent="0.25">
      <c r="A3535" s="359" t="str">
        <f t="shared" si="103"/>
        <v>I.2.2.02.06458</v>
      </c>
      <c r="B3535" s="319">
        <v>58</v>
      </c>
      <c r="C3535" s="394" t="str">
        <f>IFERROR(VLOOKUP(A3535,[3]DOORSCRIEFT!$A$2:$G$8551,2,FALSE),"")</f>
        <v/>
      </c>
      <c r="D3535" s="393" t="str">
        <f>IFERROR(VLOOKUP(A3535,[3]DOORSCRIEFT!$A$2:$G$8551,3,FALSE),"")</f>
        <v/>
      </c>
      <c r="E3535" s="392" t="str">
        <f>IFERROR(VLOOKUP(A3535,[3]DOORSCRIEFT!$A$2:$G$8551,4,FALSE),"")</f>
        <v/>
      </c>
      <c r="F3535" s="391" t="str">
        <f>IFERROR(VLOOKUP(A3535,[3]DOORSCRIEFT!$A$2:$G$8551,6,FALSE),"")</f>
        <v/>
      </c>
      <c r="G3535" s="315"/>
    </row>
    <row r="3536" spans="1:7" x14ac:dyDescent="0.25">
      <c r="A3536" s="359" t="str">
        <f t="shared" si="103"/>
        <v>I.2.2.02.06459</v>
      </c>
      <c r="B3536" s="319">
        <v>59</v>
      </c>
      <c r="C3536" s="394" t="str">
        <f>IFERROR(VLOOKUP(A3536,[3]DOORSCRIEFT!$A$2:$G$8551,2,FALSE),"")</f>
        <v/>
      </c>
      <c r="D3536" s="393" t="str">
        <f>IFERROR(VLOOKUP(A3536,[3]DOORSCRIEFT!$A$2:$G$8551,3,FALSE),"")</f>
        <v/>
      </c>
      <c r="E3536" s="392" t="str">
        <f>IFERROR(VLOOKUP(A3536,[3]DOORSCRIEFT!$A$2:$G$8551,4,FALSE),"")</f>
        <v/>
      </c>
      <c r="F3536" s="391" t="str">
        <f>IFERROR(VLOOKUP(A3536,[3]DOORSCRIEFT!$A$2:$G$8551,6,FALSE),"")</f>
        <v/>
      </c>
      <c r="G3536" s="315"/>
    </row>
    <row r="3537" spans="1:7" x14ac:dyDescent="0.25">
      <c r="A3537" s="359" t="str">
        <f t="shared" si="103"/>
        <v>I.2.2.02.06460</v>
      </c>
      <c r="B3537" s="319">
        <v>60</v>
      </c>
      <c r="C3537" s="394" t="str">
        <f>IFERROR(VLOOKUP(A3537,[3]DOORSCRIEFT!$A$2:$G$8551,2,FALSE),"")</f>
        <v/>
      </c>
      <c r="D3537" s="393" t="str">
        <f>IFERROR(VLOOKUP(A3537,[3]DOORSCRIEFT!$A$2:$G$8551,3,FALSE),"")</f>
        <v/>
      </c>
      <c r="E3537" s="392" t="str">
        <f>IFERROR(VLOOKUP(A3537,[3]DOORSCRIEFT!$A$2:$G$8551,4,FALSE),"")</f>
        <v/>
      </c>
      <c r="F3537" s="391" t="str">
        <f>IFERROR(VLOOKUP(A3537,[3]DOORSCRIEFT!$A$2:$G$8551,6,FALSE),"")</f>
        <v/>
      </c>
      <c r="G3537" s="315"/>
    </row>
    <row r="3538" spans="1:7" x14ac:dyDescent="0.25">
      <c r="A3538" s="359" t="str">
        <f t="shared" si="103"/>
        <v>I.2.2.02.06461</v>
      </c>
      <c r="B3538" s="319">
        <v>61</v>
      </c>
      <c r="C3538" s="394" t="str">
        <f>IFERROR(VLOOKUP(A3538,[3]DOORSCRIEFT!$A$2:$G$8551,2,FALSE),"")</f>
        <v/>
      </c>
      <c r="D3538" s="393" t="str">
        <f>IFERROR(VLOOKUP(A3538,[3]DOORSCRIEFT!$A$2:$G$8551,3,FALSE),"")</f>
        <v/>
      </c>
      <c r="E3538" s="392" t="str">
        <f>IFERROR(VLOOKUP(A3538,[3]DOORSCRIEFT!$A$2:$G$8551,4,FALSE),"")</f>
        <v/>
      </c>
      <c r="F3538" s="391" t="str">
        <f>IFERROR(VLOOKUP(A3538,[3]DOORSCRIEFT!$A$2:$G$8551,6,FALSE),"")</f>
        <v/>
      </c>
      <c r="G3538" s="315"/>
    </row>
    <row r="3539" spans="1:7" x14ac:dyDescent="0.25">
      <c r="A3539" s="359" t="str">
        <f t="shared" si="103"/>
        <v>I.2.2.02.06462</v>
      </c>
      <c r="B3539" s="319">
        <v>62</v>
      </c>
      <c r="C3539" s="394" t="str">
        <f>IFERROR(VLOOKUP(A3539,[3]DOORSCRIEFT!$A$2:$G$8551,2,FALSE),"")</f>
        <v/>
      </c>
      <c r="D3539" s="393" t="str">
        <f>IFERROR(VLOOKUP(A3539,[3]DOORSCRIEFT!$A$2:$G$8551,3,FALSE),"")</f>
        <v/>
      </c>
      <c r="E3539" s="392" t="str">
        <f>IFERROR(VLOOKUP(A3539,[3]DOORSCRIEFT!$A$2:$G$8551,4,FALSE),"")</f>
        <v/>
      </c>
      <c r="F3539" s="391" t="str">
        <f>IFERROR(VLOOKUP(A3539,[3]DOORSCRIEFT!$A$2:$G$8551,6,FALSE),"")</f>
        <v/>
      </c>
      <c r="G3539" s="315"/>
    </row>
    <row r="3540" spans="1:7" x14ac:dyDescent="0.25">
      <c r="A3540" s="359" t="str">
        <f t="shared" si="103"/>
        <v>I.2.2.02.06463</v>
      </c>
      <c r="B3540" s="319">
        <v>63</v>
      </c>
      <c r="C3540" s="394" t="str">
        <f>IFERROR(VLOOKUP(A3540,[3]DOORSCRIEFT!$A$2:$G$8551,2,FALSE),"")</f>
        <v/>
      </c>
      <c r="D3540" s="393" t="str">
        <f>IFERROR(VLOOKUP(A3540,[3]DOORSCRIEFT!$A$2:$G$8551,3,FALSE),"")</f>
        <v/>
      </c>
      <c r="E3540" s="392" t="str">
        <f>IFERROR(VLOOKUP(A3540,[3]DOORSCRIEFT!$A$2:$G$8551,4,FALSE),"")</f>
        <v/>
      </c>
      <c r="F3540" s="391" t="str">
        <f>IFERROR(VLOOKUP(A3540,[3]DOORSCRIEFT!$A$2:$G$8551,6,FALSE),"")</f>
        <v/>
      </c>
      <c r="G3540" s="315"/>
    </row>
    <row r="3541" spans="1:7" x14ac:dyDescent="0.25">
      <c r="A3541" s="359" t="str">
        <f t="shared" si="103"/>
        <v>I.2.2.02.06464</v>
      </c>
      <c r="B3541" s="319">
        <v>64</v>
      </c>
      <c r="C3541" s="394" t="str">
        <f>IFERROR(VLOOKUP(A3541,[3]DOORSCRIEFT!$A$2:$G$8551,2,FALSE),"")</f>
        <v/>
      </c>
      <c r="D3541" s="393" t="str">
        <f>IFERROR(VLOOKUP(A3541,[3]DOORSCRIEFT!$A$2:$G$8551,3,FALSE),"")</f>
        <v/>
      </c>
      <c r="E3541" s="392" t="str">
        <f>IFERROR(VLOOKUP(A3541,[3]DOORSCRIEFT!$A$2:$G$8551,4,FALSE),"")</f>
        <v/>
      </c>
      <c r="F3541" s="391" t="str">
        <f>IFERROR(VLOOKUP(A3541,[3]DOORSCRIEFT!$A$2:$G$8551,6,FALSE),"")</f>
        <v/>
      </c>
      <c r="G3541" s="315"/>
    </row>
    <row r="3542" spans="1:7" x14ac:dyDescent="0.25">
      <c r="A3542" s="359" t="str">
        <f t="shared" ref="A3542:A3605" si="104">$G$3471&amp;B3542</f>
        <v>I.2.2.02.06465</v>
      </c>
      <c r="B3542" s="319">
        <v>65</v>
      </c>
      <c r="C3542" s="394" t="str">
        <f>IFERROR(VLOOKUP(A3542,[3]DOORSCRIEFT!$A$2:$G$8551,2,FALSE),"")</f>
        <v/>
      </c>
      <c r="D3542" s="393" t="str">
        <f>IFERROR(VLOOKUP(A3542,[3]DOORSCRIEFT!$A$2:$G$8551,3,FALSE),"")</f>
        <v/>
      </c>
      <c r="E3542" s="392" t="str">
        <f>IFERROR(VLOOKUP(A3542,[3]DOORSCRIEFT!$A$2:$G$8551,4,FALSE),"")</f>
        <v/>
      </c>
      <c r="F3542" s="391" t="str">
        <f>IFERROR(VLOOKUP(A3542,[3]DOORSCRIEFT!$A$2:$G$8551,6,FALSE),"")</f>
        <v/>
      </c>
      <c r="G3542" s="315"/>
    </row>
    <row r="3543" spans="1:7" x14ac:dyDescent="0.25">
      <c r="A3543" s="359" t="str">
        <f t="shared" si="104"/>
        <v>I.2.2.02.06466</v>
      </c>
      <c r="B3543" s="319">
        <v>66</v>
      </c>
      <c r="C3543" s="394" t="str">
        <f>IFERROR(VLOOKUP(A3543,[3]DOORSCRIEFT!$A$2:$G$8551,2,FALSE),"")</f>
        <v/>
      </c>
      <c r="D3543" s="393" t="str">
        <f>IFERROR(VLOOKUP(A3543,[3]DOORSCRIEFT!$A$2:$G$8551,3,FALSE),"")</f>
        <v/>
      </c>
      <c r="E3543" s="392" t="str">
        <f>IFERROR(VLOOKUP(A3543,[3]DOORSCRIEFT!$A$2:$G$8551,4,FALSE),"")</f>
        <v/>
      </c>
      <c r="F3543" s="391" t="str">
        <f>IFERROR(VLOOKUP(A3543,[3]DOORSCRIEFT!$A$2:$G$8551,6,FALSE),"")</f>
        <v/>
      </c>
      <c r="G3543" s="315"/>
    </row>
    <row r="3544" spans="1:7" x14ac:dyDescent="0.25">
      <c r="A3544" s="359" t="str">
        <f t="shared" si="104"/>
        <v>I.2.2.02.06467</v>
      </c>
      <c r="B3544" s="319">
        <v>67</v>
      </c>
      <c r="C3544" s="394" t="str">
        <f>IFERROR(VLOOKUP(A3544,[3]DOORSCRIEFT!$A$2:$G$8551,2,FALSE),"")</f>
        <v/>
      </c>
      <c r="D3544" s="393" t="str">
        <f>IFERROR(VLOOKUP(A3544,[3]DOORSCRIEFT!$A$2:$G$8551,3,FALSE),"")</f>
        <v/>
      </c>
      <c r="E3544" s="392" t="str">
        <f>IFERROR(VLOOKUP(A3544,[3]DOORSCRIEFT!$A$2:$G$8551,4,FALSE),"")</f>
        <v/>
      </c>
      <c r="F3544" s="391" t="str">
        <f>IFERROR(VLOOKUP(A3544,[3]DOORSCRIEFT!$A$2:$G$8551,6,FALSE),"")</f>
        <v/>
      </c>
      <c r="G3544" s="315"/>
    </row>
    <row r="3545" spans="1:7" x14ac:dyDescent="0.25">
      <c r="A3545" s="359" t="str">
        <f t="shared" si="104"/>
        <v>I.2.2.02.06468</v>
      </c>
      <c r="B3545" s="319">
        <v>68</v>
      </c>
      <c r="C3545" s="394" t="str">
        <f>IFERROR(VLOOKUP(A3545,[3]DOORSCRIEFT!$A$2:$G$8551,2,FALSE),"")</f>
        <v/>
      </c>
      <c r="D3545" s="393" t="str">
        <f>IFERROR(VLOOKUP(A3545,[3]DOORSCRIEFT!$A$2:$G$8551,3,FALSE),"")</f>
        <v/>
      </c>
      <c r="E3545" s="392" t="str">
        <f>IFERROR(VLOOKUP(A3545,[3]DOORSCRIEFT!$A$2:$G$8551,4,FALSE),"")</f>
        <v/>
      </c>
      <c r="F3545" s="391" t="str">
        <f>IFERROR(VLOOKUP(A3545,[3]DOORSCRIEFT!$A$2:$G$8551,6,FALSE),"")</f>
        <v/>
      </c>
      <c r="G3545" s="315"/>
    </row>
    <row r="3546" spans="1:7" x14ac:dyDescent="0.25">
      <c r="A3546" s="359" t="str">
        <f t="shared" si="104"/>
        <v>I.2.2.02.06469</v>
      </c>
      <c r="B3546" s="319">
        <v>69</v>
      </c>
      <c r="C3546" s="394" t="str">
        <f>IFERROR(VLOOKUP(A3546,[3]DOORSCRIEFT!$A$2:$G$8551,2,FALSE),"")</f>
        <v/>
      </c>
      <c r="D3546" s="393" t="str">
        <f>IFERROR(VLOOKUP(A3546,[3]DOORSCRIEFT!$A$2:$G$8551,3,FALSE),"")</f>
        <v/>
      </c>
      <c r="E3546" s="392" t="str">
        <f>IFERROR(VLOOKUP(A3546,[3]DOORSCRIEFT!$A$2:$G$8551,4,FALSE),"")</f>
        <v/>
      </c>
      <c r="F3546" s="391" t="str">
        <f>IFERROR(VLOOKUP(A3546,[3]DOORSCRIEFT!$A$2:$G$8551,6,FALSE),"")</f>
        <v/>
      </c>
      <c r="G3546" s="315"/>
    </row>
    <row r="3547" spans="1:7" x14ac:dyDescent="0.25">
      <c r="A3547" s="359" t="str">
        <f t="shared" si="104"/>
        <v>I.2.2.02.06470</v>
      </c>
      <c r="B3547" s="319">
        <v>70</v>
      </c>
      <c r="C3547" s="394" t="str">
        <f>IFERROR(VLOOKUP(A3547,[3]DOORSCRIEFT!$A$2:$G$8551,2,FALSE),"")</f>
        <v/>
      </c>
      <c r="D3547" s="393" t="str">
        <f>IFERROR(VLOOKUP(A3547,[3]DOORSCRIEFT!$A$2:$G$8551,3,FALSE),"")</f>
        <v/>
      </c>
      <c r="E3547" s="392" t="str">
        <f>IFERROR(VLOOKUP(A3547,[3]DOORSCRIEFT!$A$2:$G$8551,4,FALSE),"")</f>
        <v/>
      </c>
      <c r="F3547" s="391" t="str">
        <f>IFERROR(VLOOKUP(A3547,[3]DOORSCRIEFT!$A$2:$G$8551,6,FALSE),"")</f>
        <v/>
      </c>
      <c r="G3547" s="315"/>
    </row>
    <row r="3548" spans="1:7" x14ac:dyDescent="0.25">
      <c r="A3548" s="359" t="str">
        <f t="shared" si="104"/>
        <v>I.2.2.02.06471</v>
      </c>
      <c r="B3548" s="319">
        <v>71</v>
      </c>
      <c r="C3548" s="394" t="str">
        <f>IFERROR(VLOOKUP(A3548,[3]DOORSCRIEFT!$A$2:$G$8551,2,FALSE),"")</f>
        <v/>
      </c>
      <c r="D3548" s="393" t="str">
        <f>IFERROR(VLOOKUP(A3548,[3]DOORSCRIEFT!$A$2:$G$8551,3,FALSE),"")</f>
        <v/>
      </c>
      <c r="E3548" s="392" t="str">
        <f>IFERROR(VLOOKUP(A3548,[3]DOORSCRIEFT!$A$2:$G$8551,4,FALSE),"")</f>
        <v/>
      </c>
      <c r="F3548" s="391" t="str">
        <f>IFERROR(VLOOKUP(A3548,[3]DOORSCRIEFT!$A$2:$G$8551,6,FALSE),"")</f>
        <v/>
      </c>
      <c r="G3548" s="315"/>
    </row>
    <row r="3549" spans="1:7" x14ac:dyDescent="0.25">
      <c r="A3549" s="359" t="str">
        <f t="shared" si="104"/>
        <v>I.2.2.02.06472</v>
      </c>
      <c r="B3549" s="319">
        <v>72</v>
      </c>
      <c r="C3549" s="394" t="str">
        <f>IFERROR(VLOOKUP(A3549,[3]DOORSCRIEFT!$A$2:$G$8551,2,FALSE),"")</f>
        <v/>
      </c>
      <c r="D3549" s="393" t="str">
        <f>IFERROR(VLOOKUP(A3549,[3]DOORSCRIEFT!$A$2:$G$8551,3,FALSE),"")</f>
        <v/>
      </c>
      <c r="E3549" s="392" t="str">
        <f>IFERROR(VLOOKUP(A3549,[3]DOORSCRIEFT!$A$2:$G$8551,4,FALSE),"")</f>
        <v/>
      </c>
      <c r="F3549" s="391" t="str">
        <f>IFERROR(VLOOKUP(A3549,[3]DOORSCRIEFT!$A$2:$G$8551,6,FALSE),"")</f>
        <v/>
      </c>
      <c r="G3549" s="315"/>
    </row>
    <row r="3550" spans="1:7" x14ac:dyDescent="0.25">
      <c r="A3550" s="359" t="str">
        <f t="shared" si="104"/>
        <v>I.2.2.02.06473</v>
      </c>
      <c r="B3550" s="319">
        <v>73</v>
      </c>
      <c r="C3550" s="394" t="str">
        <f>IFERROR(VLOOKUP(A3550,[3]DOORSCRIEFT!$A$2:$G$8551,2,FALSE),"")</f>
        <v/>
      </c>
      <c r="D3550" s="393" t="str">
        <f>IFERROR(VLOOKUP(A3550,[3]DOORSCRIEFT!$A$2:$G$8551,3,FALSE),"")</f>
        <v/>
      </c>
      <c r="E3550" s="392" t="str">
        <f>IFERROR(VLOOKUP(A3550,[3]DOORSCRIEFT!$A$2:$G$8551,4,FALSE),"")</f>
        <v/>
      </c>
      <c r="F3550" s="391" t="str">
        <f>IFERROR(VLOOKUP(A3550,[3]DOORSCRIEFT!$A$2:$G$8551,6,FALSE),"")</f>
        <v/>
      </c>
      <c r="G3550" s="315"/>
    </row>
    <row r="3551" spans="1:7" x14ac:dyDescent="0.25">
      <c r="A3551" s="359" t="str">
        <f t="shared" si="104"/>
        <v>I.2.2.02.06474</v>
      </c>
      <c r="B3551" s="319">
        <v>74</v>
      </c>
      <c r="C3551" s="394" t="str">
        <f>IFERROR(VLOOKUP(A3551,[3]DOORSCRIEFT!$A$2:$G$8551,2,FALSE),"")</f>
        <v/>
      </c>
      <c r="D3551" s="393" t="str">
        <f>IFERROR(VLOOKUP(A3551,[3]DOORSCRIEFT!$A$2:$G$8551,3,FALSE),"")</f>
        <v/>
      </c>
      <c r="E3551" s="392" t="str">
        <f>IFERROR(VLOOKUP(A3551,[3]DOORSCRIEFT!$A$2:$G$8551,4,FALSE),"")</f>
        <v/>
      </c>
      <c r="F3551" s="391" t="str">
        <f>IFERROR(VLOOKUP(A3551,[3]DOORSCRIEFT!$A$2:$G$8551,6,FALSE),"")</f>
        <v/>
      </c>
      <c r="G3551" s="315"/>
    </row>
    <row r="3552" spans="1:7" x14ac:dyDescent="0.25">
      <c r="A3552" s="359" t="str">
        <f t="shared" si="104"/>
        <v>I.2.2.02.06475</v>
      </c>
      <c r="B3552" s="319">
        <v>75</v>
      </c>
      <c r="C3552" s="394" t="str">
        <f>IFERROR(VLOOKUP(A3552,[3]DOORSCRIEFT!$A$2:$G$8551,2,FALSE),"")</f>
        <v/>
      </c>
      <c r="D3552" s="393" t="str">
        <f>IFERROR(VLOOKUP(A3552,[3]DOORSCRIEFT!$A$2:$G$8551,3,FALSE),"")</f>
        <v/>
      </c>
      <c r="E3552" s="392" t="str">
        <f>IFERROR(VLOOKUP(A3552,[3]DOORSCRIEFT!$A$2:$G$8551,4,FALSE),"")</f>
        <v/>
      </c>
      <c r="F3552" s="391" t="str">
        <f>IFERROR(VLOOKUP(A3552,[3]DOORSCRIEFT!$A$2:$G$8551,6,FALSE),"")</f>
        <v/>
      </c>
      <c r="G3552" s="315"/>
    </row>
    <row r="3553" spans="1:7" x14ac:dyDescent="0.25">
      <c r="A3553" s="359" t="str">
        <f t="shared" si="104"/>
        <v>I.2.2.02.06476</v>
      </c>
      <c r="B3553" s="319">
        <v>76</v>
      </c>
      <c r="C3553" s="394" t="str">
        <f>IFERROR(VLOOKUP(A3553,[3]DOORSCRIEFT!$A$2:$G$8551,2,FALSE),"")</f>
        <v/>
      </c>
      <c r="D3553" s="393" t="str">
        <f>IFERROR(VLOOKUP(A3553,[3]DOORSCRIEFT!$A$2:$G$8551,3,FALSE),"")</f>
        <v/>
      </c>
      <c r="E3553" s="392" t="str">
        <f>IFERROR(VLOOKUP(A3553,[3]DOORSCRIEFT!$A$2:$G$8551,4,FALSE),"")</f>
        <v/>
      </c>
      <c r="F3553" s="391" t="str">
        <f>IFERROR(VLOOKUP(A3553,[3]DOORSCRIEFT!$A$2:$G$8551,6,FALSE),"")</f>
        <v/>
      </c>
      <c r="G3553" s="315"/>
    </row>
    <row r="3554" spans="1:7" x14ac:dyDescent="0.25">
      <c r="A3554" s="359" t="str">
        <f t="shared" si="104"/>
        <v>I.2.2.02.06477</v>
      </c>
      <c r="B3554" s="319">
        <v>77</v>
      </c>
      <c r="C3554" s="394" t="str">
        <f>IFERROR(VLOOKUP(A3554,[3]DOORSCRIEFT!$A$2:$G$8551,2,FALSE),"")</f>
        <v/>
      </c>
      <c r="D3554" s="393" t="str">
        <f>IFERROR(VLOOKUP(A3554,[3]DOORSCRIEFT!$A$2:$G$8551,3,FALSE),"")</f>
        <v/>
      </c>
      <c r="E3554" s="392" t="str">
        <f>IFERROR(VLOOKUP(A3554,[3]DOORSCRIEFT!$A$2:$G$8551,4,FALSE),"")</f>
        <v/>
      </c>
      <c r="F3554" s="391" t="str">
        <f>IFERROR(VLOOKUP(A3554,[3]DOORSCRIEFT!$A$2:$G$8551,6,FALSE),"")</f>
        <v/>
      </c>
      <c r="G3554" s="315"/>
    </row>
    <row r="3555" spans="1:7" x14ac:dyDescent="0.25">
      <c r="A3555" s="359" t="str">
        <f t="shared" si="104"/>
        <v>I.2.2.02.06478</v>
      </c>
      <c r="B3555" s="319">
        <v>78</v>
      </c>
      <c r="C3555" s="394" t="str">
        <f>IFERROR(VLOOKUP(A3555,[3]DOORSCRIEFT!$A$2:$G$8551,2,FALSE),"")</f>
        <v/>
      </c>
      <c r="D3555" s="393" t="str">
        <f>IFERROR(VLOOKUP(A3555,[3]DOORSCRIEFT!$A$2:$G$8551,3,FALSE),"")</f>
        <v/>
      </c>
      <c r="E3555" s="392" t="str">
        <f>IFERROR(VLOOKUP(A3555,[3]DOORSCRIEFT!$A$2:$G$8551,4,FALSE),"")</f>
        <v/>
      </c>
      <c r="F3555" s="391" t="str">
        <f>IFERROR(VLOOKUP(A3555,[3]DOORSCRIEFT!$A$2:$G$8551,6,FALSE),"")</f>
        <v/>
      </c>
      <c r="G3555" s="315"/>
    </row>
    <row r="3556" spans="1:7" x14ac:dyDescent="0.25">
      <c r="A3556" s="359" t="str">
        <f t="shared" si="104"/>
        <v>I.2.2.02.06479</v>
      </c>
      <c r="B3556" s="319">
        <v>79</v>
      </c>
      <c r="C3556" s="394" t="str">
        <f>IFERROR(VLOOKUP(A3556,[3]DOORSCRIEFT!$A$2:$G$8551,2,FALSE),"")</f>
        <v/>
      </c>
      <c r="D3556" s="393" t="str">
        <f>IFERROR(VLOOKUP(A3556,[3]DOORSCRIEFT!$A$2:$G$8551,3,FALSE),"")</f>
        <v/>
      </c>
      <c r="E3556" s="392" t="str">
        <f>IFERROR(VLOOKUP(A3556,[3]DOORSCRIEFT!$A$2:$G$8551,4,FALSE),"")</f>
        <v/>
      </c>
      <c r="F3556" s="391" t="str">
        <f>IFERROR(VLOOKUP(A3556,[3]DOORSCRIEFT!$A$2:$G$8551,6,FALSE),"")</f>
        <v/>
      </c>
      <c r="G3556" s="315"/>
    </row>
    <row r="3557" spans="1:7" x14ac:dyDescent="0.25">
      <c r="A3557" s="359" t="str">
        <f t="shared" si="104"/>
        <v>I.2.2.02.06480</v>
      </c>
      <c r="B3557" s="319">
        <v>80</v>
      </c>
      <c r="C3557" s="394" t="str">
        <f>IFERROR(VLOOKUP(A3557,[3]DOORSCRIEFT!$A$2:$G$8551,2,FALSE),"")</f>
        <v/>
      </c>
      <c r="D3557" s="393" t="str">
        <f>IFERROR(VLOOKUP(A3557,[3]DOORSCRIEFT!$A$2:$G$8551,3,FALSE),"")</f>
        <v/>
      </c>
      <c r="E3557" s="392" t="str">
        <f>IFERROR(VLOOKUP(A3557,[3]DOORSCRIEFT!$A$2:$G$8551,4,FALSE),"")</f>
        <v/>
      </c>
      <c r="F3557" s="391" t="str">
        <f>IFERROR(VLOOKUP(A3557,[3]DOORSCRIEFT!$A$2:$G$8551,6,FALSE),"")</f>
        <v/>
      </c>
      <c r="G3557" s="315"/>
    </row>
    <row r="3558" spans="1:7" x14ac:dyDescent="0.25">
      <c r="A3558" s="359" t="str">
        <f t="shared" si="104"/>
        <v>I.2.2.02.06481</v>
      </c>
      <c r="B3558" s="319">
        <v>81</v>
      </c>
      <c r="C3558" s="394" t="str">
        <f>IFERROR(VLOOKUP(A3558,[3]DOORSCRIEFT!$A$2:$G$8551,2,FALSE),"")</f>
        <v/>
      </c>
      <c r="D3558" s="393" t="str">
        <f>IFERROR(VLOOKUP(A3558,[3]DOORSCRIEFT!$A$2:$G$8551,3,FALSE),"")</f>
        <v/>
      </c>
      <c r="E3558" s="392" t="str">
        <f>IFERROR(VLOOKUP(A3558,[3]DOORSCRIEFT!$A$2:$G$8551,4,FALSE),"")</f>
        <v/>
      </c>
      <c r="F3558" s="391" t="str">
        <f>IFERROR(VLOOKUP(A3558,[3]DOORSCRIEFT!$A$2:$G$8551,6,FALSE),"")</f>
        <v/>
      </c>
      <c r="G3558" s="315"/>
    </row>
    <row r="3559" spans="1:7" x14ac:dyDescent="0.25">
      <c r="A3559" s="359" t="str">
        <f t="shared" si="104"/>
        <v>I.2.2.02.06482</v>
      </c>
      <c r="B3559" s="319">
        <v>82</v>
      </c>
      <c r="C3559" s="394" t="str">
        <f>IFERROR(VLOOKUP(A3559,[3]DOORSCRIEFT!$A$2:$G$8551,2,FALSE),"")</f>
        <v/>
      </c>
      <c r="D3559" s="393" t="str">
        <f>IFERROR(VLOOKUP(A3559,[3]DOORSCRIEFT!$A$2:$G$8551,3,FALSE),"")</f>
        <v/>
      </c>
      <c r="E3559" s="392" t="str">
        <f>IFERROR(VLOOKUP(A3559,[3]DOORSCRIEFT!$A$2:$G$8551,4,FALSE),"")</f>
        <v/>
      </c>
      <c r="F3559" s="391" t="str">
        <f>IFERROR(VLOOKUP(A3559,[3]DOORSCRIEFT!$A$2:$G$8551,6,FALSE),"")</f>
        <v/>
      </c>
      <c r="G3559" s="315"/>
    </row>
    <row r="3560" spans="1:7" x14ac:dyDescent="0.25">
      <c r="A3560" s="359" t="str">
        <f t="shared" si="104"/>
        <v>I.2.2.02.06483</v>
      </c>
      <c r="B3560" s="319">
        <v>83</v>
      </c>
      <c r="C3560" s="394" t="str">
        <f>IFERROR(VLOOKUP(A3560,[3]DOORSCRIEFT!$A$2:$G$8551,2,FALSE),"")</f>
        <v/>
      </c>
      <c r="D3560" s="393" t="str">
        <f>IFERROR(VLOOKUP(A3560,[3]DOORSCRIEFT!$A$2:$G$8551,3,FALSE),"")</f>
        <v/>
      </c>
      <c r="E3560" s="392" t="str">
        <f>IFERROR(VLOOKUP(A3560,[3]DOORSCRIEFT!$A$2:$G$8551,4,FALSE),"")</f>
        <v/>
      </c>
      <c r="F3560" s="391" t="str">
        <f>IFERROR(VLOOKUP(A3560,[3]DOORSCRIEFT!$A$2:$G$8551,6,FALSE),"")</f>
        <v/>
      </c>
      <c r="G3560" s="315"/>
    </row>
    <row r="3561" spans="1:7" x14ac:dyDescent="0.25">
      <c r="A3561" s="359" t="str">
        <f t="shared" si="104"/>
        <v>I.2.2.02.06484</v>
      </c>
      <c r="B3561" s="319">
        <v>84</v>
      </c>
      <c r="C3561" s="394" t="str">
        <f>IFERROR(VLOOKUP(A3561,[3]DOORSCRIEFT!$A$2:$G$8551,2,FALSE),"")</f>
        <v/>
      </c>
      <c r="D3561" s="393" t="str">
        <f>IFERROR(VLOOKUP(A3561,[3]DOORSCRIEFT!$A$2:$G$8551,3,FALSE),"")</f>
        <v/>
      </c>
      <c r="E3561" s="392" t="str">
        <f>IFERROR(VLOOKUP(A3561,[3]DOORSCRIEFT!$A$2:$G$8551,4,FALSE),"")</f>
        <v/>
      </c>
      <c r="F3561" s="391" t="str">
        <f>IFERROR(VLOOKUP(A3561,[3]DOORSCRIEFT!$A$2:$G$8551,6,FALSE),"")</f>
        <v/>
      </c>
      <c r="G3561" s="315"/>
    </row>
    <row r="3562" spans="1:7" x14ac:dyDescent="0.25">
      <c r="A3562" s="359" t="str">
        <f t="shared" si="104"/>
        <v>I.2.2.02.06485</v>
      </c>
      <c r="B3562" s="319">
        <v>85</v>
      </c>
      <c r="C3562" s="394" t="str">
        <f>IFERROR(VLOOKUP(A3562,[3]DOORSCRIEFT!$A$2:$G$8551,2,FALSE),"")</f>
        <v/>
      </c>
      <c r="D3562" s="393" t="str">
        <f>IFERROR(VLOOKUP(A3562,[3]DOORSCRIEFT!$A$2:$G$8551,3,FALSE),"")</f>
        <v/>
      </c>
      <c r="E3562" s="392" t="str">
        <f>IFERROR(VLOOKUP(A3562,[3]DOORSCRIEFT!$A$2:$G$8551,4,FALSE),"")</f>
        <v/>
      </c>
      <c r="F3562" s="391" t="str">
        <f>IFERROR(VLOOKUP(A3562,[3]DOORSCRIEFT!$A$2:$G$8551,6,FALSE),"")</f>
        <v/>
      </c>
      <c r="G3562" s="315"/>
    </row>
    <row r="3563" spans="1:7" x14ac:dyDescent="0.25">
      <c r="A3563" s="359" t="str">
        <f t="shared" si="104"/>
        <v>I.2.2.02.06486</v>
      </c>
      <c r="B3563" s="319">
        <v>86</v>
      </c>
      <c r="C3563" s="394" t="str">
        <f>IFERROR(VLOOKUP(A3563,[3]DOORSCRIEFT!$A$2:$G$8551,2,FALSE),"")</f>
        <v/>
      </c>
      <c r="D3563" s="393" t="str">
        <f>IFERROR(VLOOKUP(A3563,[3]DOORSCRIEFT!$A$2:$G$8551,3,FALSE),"")</f>
        <v/>
      </c>
      <c r="E3563" s="392" t="str">
        <f>IFERROR(VLOOKUP(A3563,[3]DOORSCRIEFT!$A$2:$G$8551,4,FALSE),"")</f>
        <v/>
      </c>
      <c r="F3563" s="391" t="str">
        <f>IFERROR(VLOOKUP(A3563,[3]DOORSCRIEFT!$A$2:$G$8551,6,FALSE),"")</f>
        <v/>
      </c>
      <c r="G3563" s="315"/>
    </row>
    <row r="3564" spans="1:7" x14ac:dyDescent="0.25">
      <c r="A3564" s="359" t="str">
        <f t="shared" si="104"/>
        <v>I.2.2.02.06487</v>
      </c>
      <c r="B3564" s="319">
        <v>87</v>
      </c>
      <c r="C3564" s="394" t="str">
        <f>IFERROR(VLOOKUP(A3564,[3]DOORSCRIEFT!$A$2:$G$8551,2,FALSE),"")</f>
        <v/>
      </c>
      <c r="D3564" s="393" t="str">
        <f>IFERROR(VLOOKUP(A3564,[3]DOORSCRIEFT!$A$2:$G$8551,3,FALSE),"")</f>
        <v/>
      </c>
      <c r="E3564" s="392" t="str">
        <f>IFERROR(VLOOKUP(A3564,[3]DOORSCRIEFT!$A$2:$G$8551,4,FALSE),"")</f>
        <v/>
      </c>
      <c r="F3564" s="391" t="str">
        <f>IFERROR(VLOOKUP(A3564,[3]DOORSCRIEFT!$A$2:$G$8551,6,FALSE),"")</f>
        <v/>
      </c>
      <c r="G3564" s="315"/>
    </row>
    <row r="3565" spans="1:7" x14ac:dyDescent="0.25">
      <c r="A3565" s="359" t="str">
        <f t="shared" si="104"/>
        <v>I.2.2.02.06488</v>
      </c>
      <c r="B3565" s="319">
        <v>88</v>
      </c>
      <c r="C3565" s="394" t="str">
        <f>IFERROR(VLOOKUP(A3565,[3]DOORSCRIEFT!$A$2:$G$8551,2,FALSE),"")</f>
        <v/>
      </c>
      <c r="D3565" s="393" t="str">
        <f>IFERROR(VLOOKUP(A3565,[3]DOORSCRIEFT!$A$2:$G$8551,3,FALSE),"")</f>
        <v/>
      </c>
      <c r="E3565" s="392" t="str">
        <f>IFERROR(VLOOKUP(A3565,[3]DOORSCRIEFT!$A$2:$G$8551,4,FALSE),"")</f>
        <v/>
      </c>
      <c r="F3565" s="391" t="str">
        <f>IFERROR(VLOOKUP(A3565,[3]DOORSCRIEFT!$A$2:$G$8551,6,FALSE),"")</f>
        <v/>
      </c>
      <c r="G3565" s="315"/>
    </row>
    <row r="3566" spans="1:7" x14ac:dyDescent="0.25">
      <c r="A3566" s="359" t="str">
        <f t="shared" si="104"/>
        <v>I.2.2.02.06489</v>
      </c>
      <c r="B3566" s="319">
        <v>89</v>
      </c>
      <c r="C3566" s="394" t="str">
        <f>IFERROR(VLOOKUP(A3566,[3]DOORSCRIEFT!$A$2:$G$8551,2,FALSE),"")</f>
        <v/>
      </c>
      <c r="D3566" s="393" t="str">
        <f>IFERROR(VLOOKUP(A3566,[3]DOORSCRIEFT!$A$2:$G$8551,3,FALSE),"")</f>
        <v/>
      </c>
      <c r="E3566" s="392" t="str">
        <f>IFERROR(VLOOKUP(A3566,[3]DOORSCRIEFT!$A$2:$G$8551,4,FALSE),"")</f>
        <v/>
      </c>
      <c r="F3566" s="391" t="str">
        <f>IFERROR(VLOOKUP(A3566,[3]DOORSCRIEFT!$A$2:$G$8551,6,FALSE),"")</f>
        <v/>
      </c>
      <c r="G3566" s="315"/>
    </row>
    <row r="3567" spans="1:7" x14ac:dyDescent="0.25">
      <c r="A3567" s="359" t="str">
        <f t="shared" si="104"/>
        <v>I.2.2.02.06490</v>
      </c>
      <c r="B3567" s="319">
        <v>90</v>
      </c>
      <c r="C3567" s="394" t="str">
        <f>IFERROR(VLOOKUP(A3567,[3]DOORSCRIEFT!$A$2:$G$8551,2,FALSE),"")</f>
        <v/>
      </c>
      <c r="D3567" s="393" t="str">
        <f>IFERROR(VLOOKUP(A3567,[3]DOORSCRIEFT!$A$2:$G$8551,3,FALSE),"")</f>
        <v/>
      </c>
      <c r="E3567" s="392" t="str">
        <f>IFERROR(VLOOKUP(A3567,[3]DOORSCRIEFT!$A$2:$G$8551,4,FALSE),"")</f>
        <v/>
      </c>
      <c r="F3567" s="391" t="str">
        <f>IFERROR(VLOOKUP(A3567,[3]DOORSCRIEFT!$A$2:$G$8551,6,FALSE),"")</f>
        <v/>
      </c>
      <c r="G3567" s="315"/>
    </row>
    <row r="3568" spans="1:7" x14ac:dyDescent="0.25">
      <c r="A3568" s="359" t="str">
        <f t="shared" si="104"/>
        <v>I.2.2.02.06491</v>
      </c>
      <c r="B3568" s="319">
        <v>91</v>
      </c>
      <c r="C3568" s="394" t="str">
        <f>IFERROR(VLOOKUP(A3568,[3]DOORSCRIEFT!$A$2:$G$8551,2,FALSE),"")</f>
        <v/>
      </c>
      <c r="D3568" s="393" t="str">
        <f>IFERROR(VLOOKUP(A3568,[3]DOORSCRIEFT!$A$2:$G$8551,3,FALSE),"")</f>
        <v/>
      </c>
      <c r="E3568" s="392" t="str">
        <f>IFERROR(VLOOKUP(A3568,[3]DOORSCRIEFT!$A$2:$G$8551,4,FALSE),"")</f>
        <v/>
      </c>
      <c r="F3568" s="391" t="str">
        <f>IFERROR(VLOOKUP(A3568,[3]DOORSCRIEFT!$A$2:$G$8551,6,FALSE),"")</f>
        <v/>
      </c>
      <c r="G3568" s="315"/>
    </row>
    <row r="3569" spans="1:7" x14ac:dyDescent="0.25">
      <c r="A3569" s="359" t="str">
        <f t="shared" si="104"/>
        <v>I.2.2.02.06492</v>
      </c>
      <c r="B3569" s="319">
        <v>92</v>
      </c>
      <c r="C3569" s="394" t="str">
        <f>IFERROR(VLOOKUP(A3569,[3]DOORSCRIEFT!$A$2:$G$8551,2,FALSE),"")</f>
        <v/>
      </c>
      <c r="D3569" s="393" t="str">
        <f>IFERROR(VLOOKUP(A3569,[3]DOORSCRIEFT!$A$2:$G$8551,3,FALSE),"")</f>
        <v/>
      </c>
      <c r="E3569" s="392" t="str">
        <f>IFERROR(VLOOKUP(A3569,[3]DOORSCRIEFT!$A$2:$G$8551,4,FALSE),"")</f>
        <v/>
      </c>
      <c r="F3569" s="391" t="str">
        <f>IFERROR(VLOOKUP(A3569,[3]DOORSCRIEFT!$A$2:$G$8551,6,FALSE),"")</f>
        <v/>
      </c>
      <c r="G3569" s="315"/>
    </row>
    <row r="3570" spans="1:7" x14ac:dyDescent="0.25">
      <c r="A3570" s="359" t="str">
        <f t="shared" si="104"/>
        <v>I.2.2.02.06493</v>
      </c>
      <c r="B3570" s="319">
        <v>93</v>
      </c>
      <c r="C3570" s="394" t="str">
        <f>IFERROR(VLOOKUP(A3570,[3]DOORSCRIEFT!$A$2:$G$8551,2,FALSE),"")</f>
        <v/>
      </c>
      <c r="D3570" s="393" t="str">
        <f>IFERROR(VLOOKUP(A3570,[3]DOORSCRIEFT!$A$2:$G$8551,3,FALSE),"")</f>
        <v/>
      </c>
      <c r="E3570" s="392" t="str">
        <f>IFERROR(VLOOKUP(A3570,[3]DOORSCRIEFT!$A$2:$G$8551,4,FALSE),"")</f>
        <v/>
      </c>
      <c r="F3570" s="391" t="str">
        <f>IFERROR(VLOOKUP(A3570,[3]DOORSCRIEFT!$A$2:$G$8551,6,FALSE),"")</f>
        <v/>
      </c>
      <c r="G3570" s="315"/>
    </row>
    <row r="3571" spans="1:7" x14ac:dyDescent="0.25">
      <c r="A3571" s="359" t="str">
        <f t="shared" si="104"/>
        <v>I.2.2.02.06494</v>
      </c>
      <c r="B3571" s="319">
        <v>94</v>
      </c>
      <c r="C3571" s="394" t="str">
        <f>IFERROR(VLOOKUP(A3571,[3]DOORSCRIEFT!$A$2:$G$8551,2,FALSE),"")</f>
        <v/>
      </c>
      <c r="D3571" s="393" t="str">
        <f>IFERROR(VLOOKUP(A3571,[3]DOORSCRIEFT!$A$2:$G$8551,3,FALSE),"")</f>
        <v/>
      </c>
      <c r="E3571" s="392" t="str">
        <f>IFERROR(VLOOKUP(A3571,[3]DOORSCRIEFT!$A$2:$G$8551,4,FALSE),"")</f>
        <v/>
      </c>
      <c r="F3571" s="391" t="str">
        <f>IFERROR(VLOOKUP(A3571,[3]DOORSCRIEFT!$A$2:$G$8551,6,FALSE),"")</f>
        <v/>
      </c>
      <c r="G3571" s="315"/>
    </row>
    <row r="3572" spans="1:7" x14ac:dyDescent="0.25">
      <c r="A3572" s="359" t="str">
        <f t="shared" si="104"/>
        <v>I.2.2.02.06495</v>
      </c>
      <c r="B3572" s="319">
        <v>95</v>
      </c>
      <c r="C3572" s="394" t="str">
        <f>IFERROR(VLOOKUP(A3572,[3]DOORSCRIEFT!$A$2:$G$8551,2,FALSE),"")</f>
        <v/>
      </c>
      <c r="D3572" s="393" t="str">
        <f>IFERROR(VLOOKUP(A3572,[3]DOORSCRIEFT!$A$2:$G$8551,3,FALSE),"")</f>
        <v/>
      </c>
      <c r="E3572" s="392" t="str">
        <f>IFERROR(VLOOKUP(A3572,[3]DOORSCRIEFT!$A$2:$G$8551,4,FALSE),"")</f>
        <v/>
      </c>
      <c r="F3572" s="391" t="str">
        <f>IFERROR(VLOOKUP(A3572,[3]DOORSCRIEFT!$A$2:$G$8551,6,FALSE),"")</f>
        <v/>
      </c>
      <c r="G3572" s="315"/>
    </row>
    <row r="3573" spans="1:7" x14ac:dyDescent="0.25">
      <c r="A3573" s="359" t="str">
        <f t="shared" si="104"/>
        <v>I.2.2.02.06496</v>
      </c>
      <c r="B3573" s="319">
        <v>96</v>
      </c>
      <c r="C3573" s="394" t="str">
        <f>IFERROR(VLOOKUP(A3573,[3]DOORSCRIEFT!$A$2:$G$8551,2,FALSE),"")</f>
        <v/>
      </c>
      <c r="D3573" s="393" t="str">
        <f>IFERROR(VLOOKUP(A3573,[3]DOORSCRIEFT!$A$2:$G$8551,3,FALSE),"")</f>
        <v/>
      </c>
      <c r="E3573" s="392" t="str">
        <f>IFERROR(VLOOKUP(A3573,[3]DOORSCRIEFT!$A$2:$G$8551,4,FALSE),"")</f>
        <v/>
      </c>
      <c r="F3573" s="391" t="str">
        <f>IFERROR(VLOOKUP(A3573,[3]DOORSCRIEFT!$A$2:$G$8551,6,FALSE),"")</f>
        <v/>
      </c>
      <c r="G3573" s="315"/>
    </row>
    <row r="3574" spans="1:7" x14ac:dyDescent="0.25">
      <c r="A3574" s="359" t="str">
        <f t="shared" si="104"/>
        <v>I.2.2.02.06497</v>
      </c>
      <c r="B3574" s="319">
        <v>97</v>
      </c>
      <c r="C3574" s="394" t="str">
        <f>IFERROR(VLOOKUP(A3574,[3]DOORSCRIEFT!$A$2:$G$8551,2,FALSE),"")</f>
        <v/>
      </c>
      <c r="D3574" s="393" t="str">
        <f>IFERROR(VLOOKUP(A3574,[3]DOORSCRIEFT!$A$2:$G$8551,3,FALSE),"")</f>
        <v/>
      </c>
      <c r="E3574" s="392" t="str">
        <f>IFERROR(VLOOKUP(A3574,[3]DOORSCRIEFT!$A$2:$G$8551,4,FALSE),"")</f>
        <v/>
      </c>
      <c r="F3574" s="391" t="str">
        <f>IFERROR(VLOOKUP(A3574,[3]DOORSCRIEFT!$A$2:$G$8551,6,FALSE),"")</f>
        <v/>
      </c>
      <c r="G3574" s="315"/>
    </row>
    <row r="3575" spans="1:7" x14ac:dyDescent="0.25">
      <c r="A3575" s="359" t="str">
        <f t="shared" si="104"/>
        <v>I.2.2.02.06498</v>
      </c>
      <c r="B3575" s="319">
        <v>98</v>
      </c>
      <c r="C3575" s="394" t="str">
        <f>IFERROR(VLOOKUP(A3575,[3]DOORSCRIEFT!$A$2:$G$8551,2,FALSE),"")</f>
        <v/>
      </c>
      <c r="D3575" s="393" t="str">
        <f>IFERROR(VLOOKUP(A3575,[3]DOORSCRIEFT!$A$2:$G$8551,3,FALSE),"")</f>
        <v/>
      </c>
      <c r="E3575" s="392" t="str">
        <f>IFERROR(VLOOKUP(A3575,[3]DOORSCRIEFT!$A$2:$G$8551,4,FALSE),"")</f>
        <v/>
      </c>
      <c r="F3575" s="391" t="str">
        <f>IFERROR(VLOOKUP(A3575,[3]DOORSCRIEFT!$A$2:$G$8551,6,FALSE),"")</f>
        <v/>
      </c>
      <c r="G3575" s="315"/>
    </row>
    <row r="3576" spans="1:7" x14ac:dyDescent="0.25">
      <c r="A3576" s="359" t="str">
        <f t="shared" si="104"/>
        <v>I.2.2.02.06499</v>
      </c>
      <c r="B3576" s="319">
        <v>99</v>
      </c>
      <c r="C3576" s="394" t="str">
        <f>IFERROR(VLOOKUP(A3576,[3]DOORSCRIEFT!$A$2:$G$8551,2,FALSE),"")</f>
        <v/>
      </c>
      <c r="D3576" s="393" t="str">
        <f>IFERROR(VLOOKUP(A3576,[3]DOORSCRIEFT!$A$2:$G$8551,3,FALSE),"")</f>
        <v/>
      </c>
      <c r="E3576" s="392" t="str">
        <f>IFERROR(VLOOKUP(A3576,[3]DOORSCRIEFT!$A$2:$G$8551,4,FALSE),"")</f>
        <v/>
      </c>
      <c r="F3576" s="391" t="str">
        <f>IFERROR(VLOOKUP(A3576,[3]DOORSCRIEFT!$A$2:$G$8551,6,FALSE),"")</f>
        <v/>
      </c>
      <c r="G3576" s="315"/>
    </row>
    <row r="3577" spans="1:7" x14ac:dyDescent="0.25">
      <c r="A3577" s="359" t="str">
        <f t="shared" si="104"/>
        <v>I.2.2.02.064100</v>
      </c>
      <c r="B3577" s="319">
        <v>100</v>
      </c>
      <c r="C3577" s="394" t="str">
        <f>IFERROR(VLOOKUP(A3577,[3]DOORSCRIEFT!$A$2:$G$8551,2,FALSE),"")</f>
        <v/>
      </c>
      <c r="D3577" s="393" t="str">
        <f>IFERROR(VLOOKUP(A3577,[3]DOORSCRIEFT!$A$2:$G$8551,3,FALSE),"")</f>
        <v/>
      </c>
      <c r="E3577" s="392" t="str">
        <f>IFERROR(VLOOKUP(A3577,[3]DOORSCRIEFT!$A$2:$G$8551,4,FALSE),"")</f>
        <v/>
      </c>
      <c r="F3577" s="391" t="str">
        <f>IFERROR(VLOOKUP(A3577,[3]DOORSCRIEFT!$A$2:$G$8551,6,FALSE),"")</f>
        <v/>
      </c>
      <c r="G3577" s="315"/>
    </row>
    <row r="3578" spans="1:7" x14ac:dyDescent="0.25">
      <c r="A3578" s="359" t="str">
        <f t="shared" si="104"/>
        <v>I.2.2.02.064101</v>
      </c>
      <c r="B3578" s="319">
        <v>101</v>
      </c>
      <c r="C3578" s="394" t="str">
        <f>IFERROR(VLOOKUP(A3578,[3]DOORSCRIEFT!$A$2:$G$8551,2,FALSE),"")</f>
        <v/>
      </c>
      <c r="D3578" s="393" t="str">
        <f>IFERROR(VLOOKUP(A3578,[3]DOORSCRIEFT!$A$2:$G$8551,3,FALSE),"")</f>
        <v/>
      </c>
      <c r="E3578" s="392" t="str">
        <f>IFERROR(VLOOKUP(A3578,[3]DOORSCRIEFT!$A$2:$G$8551,4,FALSE),"")</f>
        <v/>
      </c>
      <c r="F3578" s="391" t="str">
        <f>IFERROR(VLOOKUP(A3578,[3]DOORSCRIEFT!$A$2:$G$8551,6,FALSE),"")</f>
        <v/>
      </c>
      <c r="G3578" s="315"/>
    </row>
    <row r="3579" spans="1:7" x14ac:dyDescent="0.25">
      <c r="A3579" s="359" t="str">
        <f t="shared" si="104"/>
        <v>I.2.2.02.064102</v>
      </c>
      <c r="B3579" s="319">
        <v>102</v>
      </c>
      <c r="C3579" s="394" t="str">
        <f>IFERROR(VLOOKUP(A3579,[3]DOORSCRIEFT!$A$2:$G$8551,2,FALSE),"")</f>
        <v/>
      </c>
      <c r="D3579" s="393" t="str">
        <f>IFERROR(VLOOKUP(A3579,[3]DOORSCRIEFT!$A$2:$G$8551,3,FALSE),"")</f>
        <v/>
      </c>
      <c r="E3579" s="392" t="str">
        <f>IFERROR(VLOOKUP(A3579,[3]DOORSCRIEFT!$A$2:$G$8551,4,FALSE),"")</f>
        <v/>
      </c>
      <c r="F3579" s="391" t="str">
        <f>IFERROR(VLOOKUP(A3579,[3]DOORSCRIEFT!$A$2:$G$8551,6,FALSE),"")</f>
        <v/>
      </c>
      <c r="G3579" s="315"/>
    </row>
    <row r="3580" spans="1:7" x14ac:dyDescent="0.25">
      <c r="A3580" s="359" t="str">
        <f t="shared" si="104"/>
        <v>I.2.2.02.064103</v>
      </c>
      <c r="B3580" s="319">
        <v>103</v>
      </c>
      <c r="C3580" s="394" t="str">
        <f>IFERROR(VLOOKUP(A3580,[3]DOORSCRIEFT!$A$2:$G$8551,2,FALSE),"")</f>
        <v/>
      </c>
      <c r="D3580" s="393" t="str">
        <f>IFERROR(VLOOKUP(A3580,[3]DOORSCRIEFT!$A$2:$G$8551,3,FALSE),"")</f>
        <v/>
      </c>
      <c r="E3580" s="392" t="str">
        <f>IFERROR(VLOOKUP(A3580,[3]DOORSCRIEFT!$A$2:$G$8551,4,FALSE),"")</f>
        <v/>
      </c>
      <c r="F3580" s="391" t="str">
        <f>IFERROR(VLOOKUP(A3580,[3]DOORSCRIEFT!$A$2:$G$8551,6,FALSE),"")</f>
        <v/>
      </c>
      <c r="G3580" s="315"/>
    </row>
    <row r="3581" spans="1:7" x14ac:dyDescent="0.25">
      <c r="A3581" s="359" t="str">
        <f t="shared" si="104"/>
        <v>I.2.2.02.064104</v>
      </c>
      <c r="B3581" s="319">
        <v>104</v>
      </c>
      <c r="C3581" s="394" t="str">
        <f>IFERROR(VLOOKUP(A3581,[3]DOORSCRIEFT!$A$2:$G$8551,2,FALSE),"")</f>
        <v/>
      </c>
      <c r="D3581" s="393" t="str">
        <f>IFERROR(VLOOKUP(A3581,[3]DOORSCRIEFT!$A$2:$G$8551,3,FALSE),"")</f>
        <v/>
      </c>
      <c r="E3581" s="392" t="str">
        <f>IFERROR(VLOOKUP(A3581,[3]DOORSCRIEFT!$A$2:$G$8551,4,FALSE),"")</f>
        <v/>
      </c>
      <c r="F3581" s="391" t="str">
        <f>IFERROR(VLOOKUP(A3581,[3]DOORSCRIEFT!$A$2:$G$8551,6,FALSE),"")</f>
        <v/>
      </c>
      <c r="G3581" s="315"/>
    </row>
    <row r="3582" spans="1:7" x14ac:dyDescent="0.25">
      <c r="A3582" s="359" t="str">
        <f t="shared" si="104"/>
        <v>I.2.2.02.064105</v>
      </c>
      <c r="B3582" s="319">
        <v>105</v>
      </c>
      <c r="C3582" s="394" t="str">
        <f>IFERROR(VLOOKUP(A3582,[3]DOORSCRIEFT!$A$2:$G$8551,2,FALSE),"")</f>
        <v/>
      </c>
      <c r="D3582" s="393" t="str">
        <f>IFERROR(VLOOKUP(A3582,[3]DOORSCRIEFT!$A$2:$G$8551,3,FALSE),"")</f>
        <v/>
      </c>
      <c r="E3582" s="392" t="str">
        <f>IFERROR(VLOOKUP(A3582,[3]DOORSCRIEFT!$A$2:$G$8551,4,FALSE),"")</f>
        <v/>
      </c>
      <c r="F3582" s="391" t="str">
        <f>IFERROR(VLOOKUP(A3582,[3]DOORSCRIEFT!$A$2:$G$8551,6,FALSE),"")</f>
        <v/>
      </c>
      <c r="G3582" s="315"/>
    </row>
    <row r="3583" spans="1:7" x14ac:dyDescent="0.25">
      <c r="A3583" s="359" t="str">
        <f t="shared" si="104"/>
        <v>I.2.2.02.064106</v>
      </c>
      <c r="B3583" s="319">
        <v>106</v>
      </c>
      <c r="C3583" s="394" t="str">
        <f>IFERROR(VLOOKUP(A3583,[3]DOORSCRIEFT!$A$2:$G$8551,2,FALSE),"")</f>
        <v/>
      </c>
      <c r="D3583" s="393" t="str">
        <f>IFERROR(VLOOKUP(A3583,[3]DOORSCRIEFT!$A$2:$G$8551,3,FALSE),"")</f>
        <v/>
      </c>
      <c r="E3583" s="392" t="str">
        <f>IFERROR(VLOOKUP(A3583,[3]DOORSCRIEFT!$A$2:$G$8551,4,FALSE),"")</f>
        <v/>
      </c>
      <c r="F3583" s="391" t="str">
        <f>IFERROR(VLOOKUP(A3583,[3]DOORSCRIEFT!$A$2:$G$8551,6,FALSE),"")</f>
        <v/>
      </c>
      <c r="G3583" s="315"/>
    </row>
    <row r="3584" spans="1:7" x14ac:dyDescent="0.25">
      <c r="A3584" s="359" t="str">
        <f t="shared" si="104"/>
        <v>I.2.2.02.064107</v>
      </c>
      <c r="B3584" s="319">
        <v>107</v>
      </c>
      <c r="C3584" s="394" t="str">
        <f>IFERROR(VLOOKUP(A3584,[3]DOORSCRIEFT!$A$2:$G$8551,2,FALSE),"")</f>
        <v/>
      </c>
      <c r="D3584" s="393" t="str">
        <f>IFERROR(VLOOKUP(A3584,[3]DOORSCRIEFT!$A$2:$G$8551,3,FALSE),"")</f>
        <v/>
      </c>
      <c r="E3584" s="392" t="str">
        <f>IFERROR(VLOOKUP(A3584,[3]DOORSCRIEFT!$A$2:$G$8551,4,FALSE),"")</f>
        <v/>
      </c>
      <c r="F3584" s="391" t="str">
        <f>IFERROR(VLOOKUP(A3584,[3]DOORSCRIEFT!$A$2:$G$8551,6,FALSE),"")</f>
        <v/>
      </c>
      <c r="G3584" s="315"/>
    </row>
    <row r="3585" spans="1:7" x14ac:dyDescent="0.25">
      <c r="A3585" s="359" t="str">
        <f t="shared" si="104"/>
        <v>I.2.2.02.064108</v>
      </c>
      <c r="B3585" s="319">
        <v>108</v>
      </c>
      <c r="C3585" s="394" t="str">
        <f>IFERROR(VLOOKUP(A3585,[3]DOORSCRIEFT!$A$2:$G$8551,2,FALSE),"")</f>
        <v/>
      </c>
      <c r="D3585" s="393" t="str">
        <f>IFERROR(VLOOKUP(A3585,[3]DOORSCRIEFT!$A$2:$G$8551,3,FALSE),"")</f>
        <v/>
      </c>
      <c r="E3585" s="392" t="str">
        <f>IFERROR(VLOOKUP(A3585,[3]DOORSCRIEFT!$A$2:$G$8551,4,FALSE),"")</f>
        <v/>
      </c>
      <c r="F3585" s="391" t="str">
        <f>IFERROR(VLOOKUP(A3585,[3]DOORSCRIEFT!$A$2:$G$8551,6,FALSE),"")</f>
        <v/>
      </c>
      <c r="G3585" s="315"/>
    </row>
    <row r="3586" spans="1:7" x14ac:dyDescent="0.25">
      <c r="A3586" s="359" t="str">
        <f t="shared" si="104"/>
        <v>I.2.2.02.064109</v>
      </c>
      <c r="B3586" s="319">
        <v>109</v>
      </c>
      <c r="C3586" s="394" t="str">
        <f>IFERROR(VLOOKUP(A3586,[3]DOORSCRIEFT!$A$2:$G$8551,2,FALSE),"")</f>
        <v/>
      </c>
      <c r="D3586" s="393" t="str">
        <f>IFERROR(VLOOKUP(A3586,[3]DOORSCRIEFT!$A$2:$G$8551,3,FALSE),"")</f>
        <v/>
      </c>
      <c r="E3586" s="392" t="str">
        <f>IFERROR(VLOOKUP(A3586,[3]DOORSCRIEFT!$A$2:$G$8551,4,FALSE),"")</f>
        <v/>
      </c>
      <c r="F3586" s="391" t="str">
        <f>IFERROR(VLOOKUP(A3586,[3]DOORSCRIEFT!$A$2:$G$8551,6,FALSE),"")</f>
        <v/>
      </c>
      <c r="G3586" s="315"/>
    </row>
    <row r="3587" spans="1:7" x14ac:dyDescent="0.25">
      <c r="A3587" s="359" t="str">
        <f t="shared" si="104"/>
        <v>I.2.2.02.064110</v>
      </c>
      <c r="B3587" s="319">
        <v>110</v>
      </c>
      <c r="C3587" s="394" t="str">
        <f>IFERROR(VLOOKUP(A3587,[3]DOORSCRIEFT!$A$2:$G$8551,2,FALSE),"")</f>
        <v/>
      </c>
      <c r="D3587" s="393" t="str">
        <f>IFERROR(VLOOKUP(A3587,[3]DOORSCRIEFT!$A$2:$G$8551,3,FALSE),"")</f>
        <v/>
      </c>
      <c r="E3587" s="392" t="str">
        <f>IFERROR(VLOOKUP(A3587,[3]DOORSCRIEFT!$A$2:$G$8551,4,FALSE),"")</f>
        <v/>
      </c>
      <c r="F3587" s="391" t="str">
        <f>IFERROR(VLOOKUP(A3587,[3]DOORSCRIEFT!$A$2:$G$8551,6,FALSE),"")</f>
        <v/>
      </c>
      <c r="G3587" s="315"/>
    </row>
    <row r="3588" spans="1:7" x14ac:dyDescent="0.25">
      <c r="A3588" s="359" t="str">
        <f t="shared" si="104"/>
        <v>I.2.2.02.064111</v>
      </c>
      <c r="B3588" s="319">
        <v>111</v>
      </c>
      <c r="C3588" s="394" t="str">
        <f>IFERROR(VLOOKUP(A3588,[3]DOORSCRIEFT!$A$2:$G$8551,2,FALSE),"")</f>
        <v/>
      </c>
      <c r="D3588" s="393" t="str">
        <f>IFERROR(VLOOKUP(A3588,[3]DOORSCRIEFT!$A$2:$G$8551,3,FALSE),"")</f>
        <v/>
      </c>
      <c r="E3588" s="392" t="str">
        <f>IFERROR(VLOOKUP(A3588,[3]DOORSCRIEFT!$A$2:$G$8551,4,FALSE),"")</f>
        <v/>
      </c>
      <c r="F3588" s="391" t="str">
        <f>IFERROR(VLOOKUP(A3588,[3]DOORSCRIEFT!$A$2:$G$8551,6,FALSE),"")</f>
        <v/>
      </c>
      <c r="G3588" s="315"/>
    </row>
    <row r="3589" spans="1:7" x14ac:dyDescent="0.25">
      <c r="A3589" s="359" t="str">
        <f t="shared" si="104"/>
        <v>I.2.2.02.064112</v>
      </c>
      <c r="B3589" s="319">
        <v>112</v>
      </c>
      <c r="C3589" s="394" t="str">
        <f>IFERROR(VLOOKUP(A3589,[3]DOORSCRIEFT!$A$2:$G$8551,2,FALSE),"")</f>
        <v/>
      </c>
      <c r="D3589" s="393" t="str">
        <f>IFERROR(VLOOKUP(A3589,[3]DOORSCRIEFT!$A$2:$G$8551,3,FALSE),"")</f>
        <v/>
      </c>
      <c r="E3589" s="392" t="str">
        <f>IFERROR(VLOOKUP(A3589,[3]DOORSCRIEFT!$A$2:$G$8551,4,FALSE),"")</f>
        <v/>
      </c>
      <c r="F3589" s="391" t="str">
        <f>IFERROR(VLOOKUP(A3589,[3]DOORSCRIEFT!$A$2:$G$8551,6,FALSE),"")</f>
        <v/>
      </c>
      <c r="G3589" s="315"/>
    </row>
    <row r="3590" spans="1:7" x14ac:dyDescent="0.25">
      <c r="A3590" s="359" t="str">
        <f t="shared" si="104"/>
        <v>I.2.2.02.064113</v>
      </c>
      <c r="B3590" s="319">
        <v>113</v>
      </c>
      <c r="C3590" s="394" t="str">
        <f>IFERROR(VLOOKUP(A3590,[3]DOORSCRIEFT!$A$2:$G$8551,2,FALSE),"")</f>
        <v/>
      </c>
      <c r="D3590" s="393" t="str">
        <f>IFERROR(VLOOKUP(A3590,[3]DOORSCRIEFT!$A$2:$G$8551,3,FALSE),"")</f>
        <v/>
      </c>
      <c r="E3590" s="392" t="str">
        <f>IFERROR(VLOOKUP(A3590,[3]DOORSCRIEFT!$A$2:$G$8551,4,FALSE),"")</f>
        <v/>
      </c>
      <c r="F3590" s="391" t="str">
        <f>IFERROR(VLOOKUP(A3590,[3]DOORSCRIEFT!$A$2:$G$8551,6,FALSE),"")</f>
        <v/>
      </c>
      <c r="G3590" s="315"/>
    </row>
    <row r="3591" spans="1:7" x14ac:dyDescent="0.25">
      <c r="A3591" s="359" t="str">
        <f t="shared" si="104"/>
        <v>I.2.2.02.064114</v>
      </c>
      <c r="B3591" s="319">
        <v>114</v>
      </c>
      <c r="C3591" s="394" t="str">
        <f>IFERROR(VLOOKUP(A3591,[3]DOORSCRIEFT!$A$2:$G$8551,2,FALSE),"")</f>
        <v/>
      </c>
      <c r="D3591" s="393" t="str">
        <f>IFERROR(VLOOKUP(A3591,[3]DOORSCRIEFT!$A$2:$G$8551,3,FALSE),"")</f>
        <v/>
      </c>
      <c r="E3591" s="392" t="str">
        <f>IFERROR(VLOOKUP(A3591,[3]DOORSCRIEFT!$A$2:$G$8551,4,FALSE),"")</f>
        <v/>
      </c>
      <c r="F3591" s="391" t="str">
        <f>IFERROR(VLOOKUP(A3591,[3]DOORSCRIEFT!$A$2:$G$8551,6,FALSE),"")</f>
        <v/>
      </c>
      <c r="G3591" s="315"/>
    </row>
    <row r="3592" spans="1:7" x14ac:dyDescent="0.25">
      <c r="A3592" s="359" t="str">
        <f t="shared" si="104"/>
        <v>I.2.2.02.064115</v>
      </c>
      <c r="B3592" s="319">
        <v>115</v>
      </c>
      <c r="C3592" s="394" t="str">
        <f>IFERROR(VLOOKUP(A3592,[3]DOORSCRIEFT!$A$2:$G$8551,2,FALSE),"")</f>
        <v/>
      </c>
      <c r="D3592" s="393" t="str">
        <f>IFERROR(VLOOKUP(A3592,[3]DOORSCRIEFT!$A$2:$G$8551,3,FALSE),"")</f>
        <v/>
      </c>
      <c r="E3592" s="392" t="str">
        <f>IFERROR(VLOOKUP(A3592,[3]DOORSCRIEFT!$A$2:$G$8551,4,FALSE),"")</f>
        <v/>
      </c>
      <c r="F3592" s="391" t="str">
        <f>IFERROR(VLOOKUP(A3592,[3]DOORSCRIEFT!$A$2:$G$8551,6,FALSE),"")</f>
        <v/>
      </c>
      <c r="G3592" s="315"/>
    </row>
    <row r="3593" spans="1:7" x14ac:dyDescent="0.25">
      <c r="A3593" s="359" t="str">
        <f t="shared" si="104"/>
        <v>I.2.2.02.064116</v>
      </c>
      <c r="B3593" s="319">
        <v>116</v>
      </c>
      <c r="C3593" s="394" t="str">
        <f>IFERROR(VLOOKUP(A3593,[3]DOORSCRIEFT!$A$2:$G$8551,2,FALSE),"")</f>
        <v/>
      </c>
      <c r="D3593" s="393" t="str">
        <f>IFERROR(VLOOKUP(A3593,[3]DOORSCRIEFT!$A$2:$G$8551,3,FALSE),"")</f>
        <v/>
      </c>
      <c r="E3593" s="392" t="str">
        <f>IFERROR(VLOOKUP(A3593,[3]DOORSCRIEFT!$A$2:$G$8551,4,FALSE),"")</f>
        <v/>
      </c>
      <c r="F3593" s="391" t="str">
        <f>IFERROR(VLOOKUP(A3593,[3]DOORSCRIEFT!$A$2:$G$8551,6,FALSE),"")</f>
        <v/>
      </c>
      <c r="G3593" s="315"/>
    </row>
    <row r="3594" spans="1:7" x14ac:dyDescent="0.25">
      <c r="A3594" s="359" t="str">
        <f t="shared" si="104"/>
        <v>I.2.2.02.064117</v>
      </c>
      <c r="B3594" s="319">
        <v>117</v>
      </c>
      <c r="C3594" s="394" t="str">
        <f>IFERROR(VLOOKUP(A3594,[3]DOORSCRIEFT!$A$2:$G$8551,2,FALSE),"")</f>
        <v/>
      </c>
      <c r="D3594" s="393" t="str">
        <f>IFERROR(VLOOKUP(A3594,[3]DOORSCRIEFT!$A$2:$G$8551,3,FALSE),"")</f>
        <v/>
      </c>
      <c r="E3594" s="392" t="str">
        <f>IFERROR(VLOOKUP(A3594,[3]DOORSCRIEFT!$A$2:$G$8551,4,FALSE),"")</f>
        <v/>
      </c>
      <c r="F3594" s="391" t="str">
        <f>IFERROR(VLOOKUP(A3594,[3]DOORSCRIEFT!$A$2:$G$8551,6,FALSE),"")</f>
        <v/>
      </c>
      <c r="G3594" s="315"/>
    </row>
    <row r="3595" spans="1:7" x14ac:dyDescent="0.25">
      <c r="A3595" s="359" t="str">
        <f t="shared" si="104"/>
        <v>I.2.2.02.064118</v>
      </c>
      <c r="B3595" s="319">
        <v>118</v>
      </c>
      <c r="C3595" s="394" t="str">
        <f>IFERROR(VLOOKUP(A3595,[3]DOORSCRIEFT!$A$2:$G$8551,2,FALSE),"")</f>
        <v/>
      </c>
      <c r="D3595" s="393" t="str">
        <f>IFERROR(VLOOKUP(A3595,[3]DOORSCRIEFT!$A$2:$G$8551,3,FALSE),"")</f>
        <v/>
      </c>
      <c r="E3595" s="392" t="str">
        <f>IFERROR(VLOOKUP(A3595,[3]DOORSCRIEFT!$A$2:$G$8551,4,FALSE),"")</f>
        <v/>
      </c>
      <c r="F3595" s="391" t="str">
        <f>IFERROR(VLOOKUP(A3595,[3]DOORSCRIEFT!$A$2:$G$8551,6,FALSE),"")</f>
        <v/>
      </c>
      <c r="G3595" s="315"/>
    </row>
    <row r="3596" spans="1:7" x14ac:dyDescent="0.25">
      <c r="A3596" s="359" t="str">
        <f t="shared" si="104"/>
        <v>I.2.2.02.064119</v>
      </c>
      <c r="B3596" s="319">
        <v>119</v>
      </c>
      <c r="C3596" s="394" t="str">
        <f>IFERROR(VLOOKUP(A3596,[3]DOORSCRIEFT!$A$2:$G$8551,2,FALSE),"")</f>
        <v/>
      </c>
      <c r="D3596" s="393" t="str">
        <f>IFERROR(VLOOKUP(A3596,[3]DOORSCRIEFT!$A$2:$G$8551,3,FALSE),"")</f>
        <v/>
      </c>
      <c r="E3596" s="392" t="str">
        <f>IFERROR(VLOOKUP(A3596,[3]DOORSCRIEFT!$A$2:$G$8551,4,FALSE),"")</f>
        <v/>
      </c>
      <c r="F3596" s="391" t="str">
        <f>IFERROR(VLOOKUP(A3596,[3]DOORSCRIEFT!$A$2:$G$8551,6,FALSE),"")</f>
        <v/>
      </c>
      <c r="G3596" s="315"/>
    </row>
    <row r="3597" spans="1:7" x14ac:dyDescent="0.25">
      <c r="A3597" s="359" t="str">
        <f t="shared" si="104"/>
        <v>I.2.2.02.064120</v>
      </c>
      <c r="B3597" s="319">
        <v>120</v>
      </c>
      <c r="C3597" s="394" t="str">
        <f>IFERROR(VLOOKUP(A3597,[3]DOORSCRIEFT!$A$2:$G$8551,2,FALSE),"")</f>
        <v/>
      </c>
      <c r="D3597" s="393" t="str">
        <f>IFERROR(VLOOKUP(A3597,[3]DOORSCRIEFT!$A$2:$G$8551,3,FALSE),"")</f>
        <v/>
      </c>
      <c r="E3597" s="392" t="str">
        <f>IFERROR(VLOOKUP(A3597,[3]DOORSCRIEFT!$A$2:$G$8551,4,FALSE),"")</f>
        <v/>
      </c>
      <c r="F3597" s="391" t="str">
        <f>IFERROR(VLOOKUP(A3597,[3]DOORSCRIEFT!$A$2:$G$8551,6,FALSE),"")</f>
        <v/>
      </c>
      <c r="G3597" s="315"/>
    </row>
    <row r="3598" spans="1:7" x14ac:dyDescent="0.25">
      <c r="A3598" s="359" t="str">
        <f t="shared" si="104"/>
        <v>I.2.2.02.064121</v>
      </c>
      <c r="B3598" s="319">
        <v>121</v>
      </c>
      <c r="C3598" s="394" t="str">
        <f>IFERROR(VLOOKUP(A3598,[3]DOORSCRIEFT!$A$2:$G$8551,2,FALSE),"")</f>
        <v/>
      </c>
      <c r="D3598" s="393" t="str">
        <f>IFERROR(VLOOKUP(A3598,[3]DOORSCRIEFT!$A$2:$G$8551,3,FALSE),"")</f>
        <v/>
      </c>
      <c r="E3598" s="392" t="str">
        <f>IFERROR(VLOOKUP(A3598,[3]DOORSCRIEFT!$A$2:$G$8551,4,FALSE),"")</f>
        <v/>
      </c>
      <c r="F3598" s="391" t="str">
        <f>IFERROR(VLOOKUP(A3598,[3]DOORSCRIEFT!$A$2:$G$8551,6,FALSE),"")</f>
        <v/>
      </c>
      <c r="G3598" s="315"/>
    </row>
    <row r="3599" spans="1:7" x14ac:dyDescent="0.25">
      <c r="A3599" s="359" t="str">
        <f t="shared" si="104"/>
        <v>I.2.2.02.064122</v>
      </c>
      <c r="B3599" s="319">
        <v>122</v>
      </c>
      <c r="C3599" s="394" t="str">
        <f>IFERROR(VLOOKUP(A3599,[3]DOORSCRIEFT!$A$2:$G$8551,2,FALSE),"")</f>
        <v/>
      </c>
      <c r="D3599" s="393" t="str">
        <f>IFERROR(VLOOKUP(A3599,[3]DOORSCRIEFT!$A$2:$G$8551,3,FALSE),"")</f>
        <v/>
      </c>
      <c r="E3599" s="392" t="str">
        <f>IFERROR(VLOOKUP(A3599,[3]DOORSCRIEFT!$A$2:$G$8551,4,FALSE),"")</f>
        <v/>
      </c>
      <c r="F3599" s="391" t="str">
        <f>IFERROR(VLOOKUP(A3599,[3]DOORSCRIEFT!$A$2:$G$8551,6,FALSE),"")</f>
        <v/>
      </c>
      <c r="G3599" s="315"/>
    </row>
    <row r="3600" spans="1:7" x14ac:dyDescent="0.25">
      <c r="A3600" s="359" t="str">
        <f t="shared" si="104"/>
        <v>I.2.2.02.064123</v>
      </c>
      <c r="B3600" s="319">
        <v>123</v>
      </c>
      <c r="C3600" s="394" t="str">
        <f>IFERROR(VLOOKUP(A3600,[3]DOORSCRIEFT!$A$2:$G$8551,2,FALSE),"")</f>
        <v/>
      </c>
      <c r="D3600" s="393" t="str">
        <f>IFERROR(VLOOKUP(A3600,[3]DOORSCRIEFT!$A$2:$G$8551,3,FALSE),"")</f>
        <v/>
      </c>
      <c r="E3600" s="392" t="str">
        <f>IFERROR(VLOOKUP(A3600,[3]DOORSCRIEFT!$A$2:$G$8551,4,FALSE),"")</f>
        <v/>
      </c>
      <c r="F3600" s="391" t="str">
        <f>IFERROR(VLOOKUP(A3600,[3]DOORSCRIEFT!$A$2:$G$8551,6,FALSE),"")</f>
        <v/>
      </c>
      <c r="G3600" s="315"/>
    </row>
    <row r="3601" spans="1:7" x14ac:dyDescent="0.25">
      <c r="A3601" s="359" t="str">
        <f t="shared" si="104"/>
        <v>I.2.2.02.064124</v>
      </c>
      <c r="B3601" s="319">
        <v>124</v>
      </c>
      <c r="C3601" s="394" t="str">
        <f>IFERROR(VLOOKUP(A3601,[3]DOORSCRIEFT!$A$2:$G$8551,2,FALSE),"")</f>
        <v/>
      </c>
      <c r="D3601" s="393" t="str">
        <f>IFERROR(VLOOKUP(A3601,[3]DOORSCRIEFT!$A$2:$G$8551,3,FALSE),"")</f>
        <v/>
      </c>
      <c r="E3601" s="392" t="str">
        <f>IFERROR(VLOOKUP(A3601,[3]DOORSCRIEFT!$A$2:$G$8551,4,FALSE),"")</f>
        <v/>
      </c>
      <c r="F3601" s="391" t="str">
        <f>IFERROR(VLOOKUP(A3601,[3]DOORSCRIEFT!$A$2:$G$8551,6,FALSE),"")</f>
        <v/>
      </c>
      <c r="G3601" s="315"/>
    </row>
    <row r="3602" spans="1:7" x14ac:dyDescent="0.25">
      <c r="A3602" s="359" t="str">
        <f t="shared" si="104"/>
        <v>I.2.2.02.064125</v>
      </c>
      <c r="B3602" s="319">
        <v>125</v>
      </c>
      <c r="C3602" s="394" t="str">
        <f>IFERROR(VLOOKUP(A3602,[3]DOORSCRIEFT!$A$2:$G$8551,2,FALSE),"")</f>
        <v/>
      </c>
      <c r="D3602" s="393" t="str">
        <f>IFERROR(VLOOKUP(A3602,[3]DOORSCRIEFT!$A$2:$G$8551,3,FALSE),"")</f>
        <v/>
      </c>
      <c r="E3602" s="392" t="str">
        <f>IFERROR(VLOOKUP(A3602,[3]DOORSCRIEFT!$A$2:$G$8551,4,FALSE),"")</f>
        <v/>
      </c>
      <c r="F3602" s="391" t="str">
        <f>IFERROR(VLOOKUP(A3602,[3]DOORSCRIEFT!$A$2:$G$8551,6,FALSE),"")</f>
        <v/>
      </c>
      <c r="G3602" s="315"/>
    </row>
    <row r="3603" spans="1:7" x14ac:dyDescent="0.25">
      <c r="A3603" s="359" t="str">
        <f t="shared" si="104"/>
        <v>I.2.2.02.064126</v>
      </c>
      <c r="B3603" s="319">
        <v>126</v>
      </c>
      <c r="C3603" s="394" t="str">
        <f>IFERROR(VLOOKUP(A3603,[3]DOORSCRIEFT!$A$2:$G$8551,2,FALSE),"")</f>
        <v/>
      </c>
      <c r="D3603" s="393" t="str">
        <f>IFERROR(VLOOKUP(A3603,[3]DOORSCRIEFT!$A$2:$G$8551,3,FALSE),"")</f>
        <v/>
      </c>
      <c r="E3603" s="392" t="str">
        <f>IFERROR(VLOOKUP(A3603,[3]DOORSCRIEFT!$A$2:$G$8551,4,FALSE),"")</f>
        <v/>
      </c>
      <c r="F3603" s="391" t="str">
        <f>IFERROR(VLOOKUP(A3603,[3]DOORSCRIEFT!$A$2:$G$8551,6,FALSE),"")</f>
        <v/>
      </c>
      <c r="G3603" s="315"/>
    </row>
    <row r="3604" spans="1:7" x14ac:dyDescent="0.25">
      <c r="A3604" s="359" t="str">
        <f t="shared" si="104"/>
        <v>I.2.2.02.064127</v>
      </c>
      <c r="B3604" s="319">
        <v>127</v>
      </c>
      <c r="C3604" s="394" t="str">
        <f>IFERROR(VLOOKUP(A3604,[3]DOORSCRIEFT!$A$2:$G$8551,2,FALSE),"")</f>
        <v/>
      </c>
      <c r="D3604" s="393" t="str">
        <f>IFERROR(VLOOKUP(A3604,[3]DOORSCRIEFT!$A$2:$G$8551,3,FALSE),"")</f>
        <v/>
      </c>
      <c r="E3604" s="392" t="str">
        <f>IFERROR(VLOOKUP(A3604,[3]DOORSCRIEFT!$A$2:$G$8551,4,FALSE),"")</f>
        <v/>
      </c>
      <c r="F3604" s="391" t="str">
        <f>IFERROR(VLOOKUP(A3604,[3]DOORSCRIEFT!$A$2:$G$8551,6,FALSE),"")</f>
        <v/>
      </c>
      <c r="G3604" s="315"/>
    </row>
    <row r="3605" spans="1:7" x14ac:dyDescent="0.25">
      <c r="A3605" s="359" t="str">
        <f t="shared" si="104"/>
        <v>I.2.2.02.064128</v>
      </c>
      <c r="B3605" s="319">
        <v>128</v>
      </c>
      <c r="C3605" s="394" t="str">
        <f>IFERROR(VLOOKUP(A3605,[3]DOORSCRIEFT!$A$2:$G$8551,2,FALSE),"")</f>
        <v/>
      </c>
      <c r="D3605" s="393" t="str">
        <f>IFERROR(VLOOKUP(A3605,[3]DOORSCRIEFT!$A$2:$G$8551,3,FALSE),"")</f>
        <v/>
      </c>
      <c r="E3605" s="392" t="str">
        <f>IFERROR(VLOOKUP(A3605,[3]DOORSCRIEFT!$A$2:$G$8551,4,FALSE),"")</f>
        <v/>
      </c>
      <c r="F3605" s="391" t="str">
        <f>IFERROR(VLOOKUP(A3605,[3]DOORSCRIEFT!$A$2:$G$8551,6,FALSE),"")</f>
        <v/>
      </c>
      <c r="G3605" s="315"/>
    </row>
    <row r="3606" spans="1:7" x14ac:dyDescent="0.25">
      <c r="A3606" s="359" t="str">
        <f t="shared" ref="A3606:A3669" si="105">$G$3471&amp;B3606</f>
        <v>I.2.2.02.064129</v>
      </c>
      <c r="B3606" s="319">
        <v>129</v>
      </c>
      <c r="C3606" s="394" t="str">
        <f>IFERROR(VLOOKUP(A3606,[3]DOORSCRIEFT!$A$2:$G$8551,2,FALSE),"")</f>
        <v/>
      </c>
      <c r="D3606" s="393" t="str">
        <f>IFERROR(VLOOKUP(A3606,[3]DOORSCRIEFT!$A$2:$G$8551,3,FALSE),"")</f>
        <v/>
      </c>
      <c r="E3606" s="392" t="str">
        <f>IFERROR(VLOOKUP(A3606,[3]DOORSCRIEFT!$A$2:$G$8551,4,FALSE),"")</f>
        <v/>
      </c>
      <c r="F3606" s="391" t="str">
        <f>IFERROR(VLOOKUP(A3606,[3]DOORSCRIEFT!$A$2:$G$8551,6,FALSE),"")</f>
        <v/>
      </c>
      <c r="G3606" s="315"/>
    </row>
    <row r="3607" spans="1:7" x14ac:dyDescent="0.25">
      <c r="A3607" s="359" t="str">
        <f t="shared" si="105"/>
        <v>I.2.2.02.064130</v>
      </c>
      <c r="B3607" s="319">
        <v>130</v>
      </c>
      <c r="C3607" s="394" t="str">
        <f>IFERROR(VLOOKUP(A3607,[3]DOORSCRIEFT!$A$2:$G$8551,2,FALSE),"")</f>
        <v/>
      </c>
      <c r="D3607" s="393" t="str">
        <f>IFERROR(VLOOKUP(A3607,[3]DOORSCRIEFT!$A$2:$G$8551,3,FALSE),"")</f>
        <v/>
      </c>
      <c r="E3607" s="392" t="str">
        <f>IFERROR(VLOOKUP(A3607,[3]DOORSCRIEFT!$A$2:$G$8551,4,FALSE),"")</f>
        <v/>
      </c>
      <c r="F3607" s="391" t="str">
        <f>IFERROR(VLOOKUP(A3607,[3]DOORSCRIEFT!$A$2:$G$8551,6,FALSE),"")</f>
        <v/>
      </c>
      <c r="G3607" s="315"/>
    </row>
    <row r="3608" spans="1:7" x14ac:dyDescent="0.25">
      <c r="A3608" s="359" t="str">
        <f t="shared" si="105"/>
        <v>I.2.2.02.064131</v>
      </c>
      <c r="B3608" s="319">
        <v>131</v>
      </c>
      <c r="C3608" s="394" t="str">
        <f>IFERROR(VLOOKUP(A3608,[3]DOORSCRIEFT!$A$2:$G$8551,2,FALSE),"")</f>
        <v/>
      </c>
      <c r="D3608" s="393" t="str">
        <f>IFERROR(VLOOKUP(A3608,[3]DOORSCRIEFT!$A$2:$G$8551,3,FALSE),"")</f>
        <v/>
      </c>
      <c r="E3608" s="392" t="str">
        <f>IFERROR(VLOOKUP(A3608,[3]DOORSCRIEFT!$A$2:$G$8551,4,FALSE),"")</f>
        <v/>
      </c>
      <c r="F3608" s="391" t="str">
        <f>IFERROR(VLOOKUP(A3608,[3]DOORSCRIEFT!$A$2:$G$8551,6,FALSE),"")</f>
        <v/>
      </c>
      <c r="G3608" s="315"/>
    </row>
    <row r="3609" spans="1:7" x14ac:dyDescent="0.25">
      <c r="A3609" s="359" t="str">
        <f t="shared" si="105"/>
        <v>I.2.2.02.064132</v>
      </c>
      <c r="B3609" s="319">
        <v>132</v>
      </c>
      <c r="C3609" s="394" t="str">
        <f>IFERROR(VLOOKUP(A3609,[3]DOORSCRIEFT!$A$2:$G$8551,2,FALSE),"")</f>
        <v/>
      </c>
      <c r="D3609" s="393" t="str">
        <f>IFERROR(VLOOKUP(A3609,[3]DOORSCRIEFT!$A$2:$G$8551,3,FALSE),"")</f>
        <v/>
      </c>
      <c r="E3609" s="392" t="str">
        <f>IFERROR(VLOOKUP(A3609,[3]DOORSCRIEFT!$A$2:$G$8551,4,FALSE),"")</f>
        <v/>
      </c>
      <c r="F3609" s="391" t="str">
        <f>IFERROR(VLOOKUP(A3609,[3]DOORSCRIEFT!$A$2:$G$8551,6,FALSE),"")</f>
        <v/>
      </c>
      <c r="G3609" s="315"/>
    </row>
    <row r="3610" spans="1:7" x14ac:dyDescent="0.25">
      <c r="A3610" s="359" t="str">
        <f t="shared" si="105"/>
        <v>I.2.2.02.064133</v>
      </c>
      <c r="B3610" s="319">
        <v>133</v>
      </c>
      <c r="C3610" s="394" t="str">
        <f>IFERROR(VLOOKUP(A3610,[3]DOORSCRIEFT!$A$2:$G$8551,2,FALSE),"")</f>
        <v/>
      </c>
      <c r="D3610" s="393" t="str">
        <f>IFERROR(VLOOKUP(A3610,[3]DOORSCRIEFT!$A$2:$G$8551,3,FALSE),"")</f>
        <v/>
      </c>
      <c r="E3610" s="392" t="str">
        <f>IFERROR(VLOOKUP(A3610,[3]DOORSCRIEFT!$A$2:$G$8551,4,FALSE),"")</f>
        <v/>
      </c>
      <c r="F3610" s="391" t="str">
        <f>IFERROR(VLOOKUP(A3610,[3]DOORSCRIEFT!$A$2:$G$8551,6,FALSE),"")</f>
        <v/>
      </c>
      <c r="G3610" s="315"/>
    </row>
    <row r="3611" spans="1:7" x14ac:dyDescent="0.25">
      <c r="A3611" s="359" t="str">
        <f t="shared" si="105"/>
        <v>I.2.2.02.064134</v>
      </c>
      <c r="B3611" s="319">
        <v>134</v>
      </c>
      <c r="C3611" s="394" t="str">
        <f>IFERROR(VLOOKUP(A3611,[3]DOORSCRIEFT!$A$2:$G$8551,2,FALSE),"")</f>
        <v/>
      </c>
      <c r="D3611" s="393" t="str">
        <f>IFERROR(VLOOKUP(A3611,[3]DOORSCRIEFT!$A$2:$G$8551,3,FALSE),"")</f>
        <v/>
      </c>
      <c r="E3611" s="392" t="str">
        <f>IFERROR(VLOOKUP(A3611,[3]DOORSCRIEFT!$A$2:$G$8551,4,FALSE),"")</f>
        <v/>
      </c>
      <c r="F3611" s="391" t="str">
        <f>IFERROR(VLOOKUP(A3611,[3]DOORSCRIEFT!$A$2:$G$8551,6,FALSE),"")</f>
        <v/>
      </c>
      <c r="G3611" s="315"/>
    </row>
    <row r="3612" spans="1:7" x14ac:dyDescent="0.25">
      <c r="A3612" s="359" t="str">
        <f t="shared" si="105"/>
        <v>I.2.2.02.064135</v>
      </c>
      <c r="B3612" s="319">
        <v>135</v>
      </c>
      <c r="C3612" s="394" t="str">
        <f>IFERROR(VLOOKUP(A3612,[3]DOORSCRIEFT!$A$2:$G$8551,2,FALSE),"")</f>
        <v/>
      </c>
      <c r="D3612" s="393" t="str">
        <f>IFERROR(VLOOKUP(A3612,[3]DOORSCRIEFT!$A$2:$G$8551,3,FALSE),"")</f>
        <v/>
      </c>
      <c r="E3612" s="392" t="str">
        <f>IFERROR(VLOOKUP(A3612,[3]DOORSCRIEFT!$A$2:$G$8551,4,FALSE),"")</f>
        <v/>
      </c>
      <c r="F3612" s="391" t="str">
        <f>IFERROR(VLOOKUP(A3612,[3]DOORSCRIEFT!$A$2:$G$8551,6,FALSE),"")</f>
        <v/>
      </c>
      <c r="G3612" s="315"/>
    </row>
    <row r="3613" spans="1:7" x14ac:dyDescent="0.25">
      <c r="A3613" s="359" t="str">
        <f t="shared" si="105"/>
        <v>I.2.2.02.064136</v>
      </c>
      <c r="B3613" s="319">
        <v>136</v>
      </c>
      <c r="C3613" s="394" t="str">
        <f>IFERROR(VLOOKUP(A3613,[3]DOORSCRIEFT!$A$2:$G$8551,2,FALSE),"")</f>
        <v/>
      </c>
      <c r="D3613" s="393" t="str">
        <f>IFERROR(VLOOKUP(A3613,[3]DOORSCRIEFT!$A$2:$G$8551,3,FALSE),"")</f>
        <v/>
      </c>
      <c r="E3613" s="392" t="str">
        <f>IFERROR(VLOOKUP(A3613,[3]DOORSCRIEFT!$A$2:$G$8551,4,FALSE),"")</f>
        <v/>
      </c>
      <c r="F3613" s="391" t="str">
        <f>IFERROR(VLOOKUP(A3613,[3]DOORSCRIEFT!$A$2:$G$8551,6,FALSE),"")</f>
        <v/>
      </c>
      <c r="G3613" s="315"/>
    </row>
    <row r="3614" spans="1:7" x14ac:dyDescent="0.25">
      <c r="A3614" s="359" t="str">
        <f t="shared" si="105"/>
        <v>I.2.2.02.064137</v>
      </c>
      <c r="B3614" s="319">
        <v>137</v>
      </c>
      <c r="C3614" s="394" t="str">
        <f>IFERROR(VLOOKUP(A3614,[3]DOORSCRIEFT!$A$2:$G$8551,2,FALSE),"")</f>
        <v/>
      </c>
      <c r="D3614" s="393" t="str">
        <f>IFERROR(VLOOKUP(A3614,[3]DOORSCRIEFT!$A$2:$G$8551,3,FALSE),"")</f>
        <v/>
      </c>
      <c r="E3614" s="392" t="str">
        <f>IFERROR(VLOOKUP(A3614,[3]DOORSCRIEFT!$A$2:$G$8551,4,FALSE),"")</f>
        <v/>
      </c>
      <c r="F3614" s="391" t="str">
        <f>IFERROR(VLOOKUP(A3614,[3]DOORSCRIEFT!$A$2:$G$8551,6,FALSE),"")</f>
        <v/>
      </c>
      <c r="G3614" s="315"/>
    </row>
    <row r="3615" spans="1:7" x14ac:dyDescent="0.25">
      <c r="A3615" s="359" t="str">
        <f t="shared" si="105"/>
        <v>I.2.2.02.064138</v>
      </c>
      <c r="B3615" s="319">
        <v>138</v>
      </c>
      <c r="C3615" s="394" t="str">
        <f>IFERROR(VLOOKUP(A3615,[3]DOORSCRIEFT!$A$2:$G$8551,2,FALSE),"")</f>
        <v/>
      </c>
      <c r="D3615" s="393" t="str">
        <f>IFERROR(VLOOKUP(A3615,[3]DOORSCRIEFT!$A$2:$G$8551,3,FALSE),"")</f>
        <v/>
      </c>
      <c r="E3615" s="392" t="str">
        <f>IFERROR(VLOOKUP(A3615,[3]DOORSCRIEFT!$A$2:$G$8551,4,FALSE),"")</f>
        <v/>
      </c>
      <c r="F3615" s="391" t="str">
        <f>IFERROR(VLOOKUP(A3615,[3]DOORSCRIEFT!$A$2:$G$8551,6,FALSE),"")</f>
        <v/>
      </c>
      <c r="G3615" s="315"/>
    </row>
    <row r="3616" spans="1:7" x14ac:dyDescent="0.25">
      <c r="A3616" s="359" t="str">
        <f t="shared" si="105"/>
        <v>I.2.2.02.064139</v>
      </c>
      <c r="B3616" s="319">
        <v>139</v>
      </c>
      <c r="C3616" s="394" t="str">
        <f>IFERROR(VLOOKUP(A3616,[3]DOORSCRIEFT!$A$2:$G$8551,2,FALSE),"")</f>
        <v/>
      </c>
      <c r="D3616" s="393" t="str">
        <f>IFERROR(VLOOKUP(A3616,[3]DOORSCRIEFT!$A$2:$G$8551,3,FALSE),"")</f>
        <v/>
      </c>
      <c r="E3616" s="392" t="str">
        <f>IFERROR(VLOOKUP(A3616,[3]DOORSCRIEFT!$A$2:$G$8551,4,FALSE),"")</f>
        <v/>
      </c>
      <c r="F3616" s="391" t="str">
        <f>IFERROR(VLOOKUP(A3616,[3]DOORSCRIEFT!$A$2:$G$8551,6,FALSE),"")</f>
        <v/>
      </c>
      <c r="G3616" s="315"/>
    </row>
    <row r="3617" spans="1:7" x14ac:dyDescent="0.25">
      <c r="A3617" s="359" t="str">
        <f t="shared" si="105"/>
        <v>I.2.2.02.064140</v>
      </c>
      <c r="B3617" s="319">
        <v>140</v>
      </c>
      <c r="C3617" s="394" t="str">
        <f>IFERROR(VLOOKUP(A3617,[3]DOORSCRIEFT!$A$2:$G$8551,2,FALSE),"")</f>
        <v/>
      </c>
      <c r="D3617" s="393" t="str">
        <f>IFERROR(VLOOKUP(A3617,[3]DOORSCRIEFT!$A$2:$G$8551,3,FALSE),"")</f>
        <v/>
      </c>
      <c r="E3617" s="392" t="str">
        <f>IFERROR(VLOOKUP(A3617,[3]DOORSCRIEFT!$A$2:$G$8551,4,FALSE),"")</f>
        <v/>
      </c>
      <c r="F3617" s="391" t="str">
        <f>IFERROR(VLOOKUP(A3617,[3]DOORSCRIEFT!$A$2:$G$8551,6,FALSE),"")</f>
        <v/>
      </c>
      <c r="G3617" s="315"/>
    </row>
    <row r="3618" spans="1:7" x14ac:dyDescent="0.25">
      <c r="A3618" s="359" t="str">
        <f t="shared" si="105"/>
        <v>I.2.2.02.064141</v>
      </c>
      <c r="B3618" s="319">
        <v>141</v>
      </c>
      <c r="C3618" s="394" t="str">
        <f>IFERROR(VLOOKUP(A3618,[3]DOORSCRIEFT!$A$2:$G$8551,2,FALSE),"")</f>
        <v/>
      </c>
      <c r="D3618" s="393" t="str">
        <f>IFERROR(VLOOKUP(A3618,[3]DOORSCRIEFT!$A$2:$G$8551,3,FALSE),"")</f>
        <v/>
      </c>
      <c r="E3618" s="392" t="str">
        <f>IFERROR(VLOOKUP(A3618,[3]DOORSCRIEFT!$A$2:$G$8551,4,FALSE),"")</f>
        <v/>
      </c>
      <c r="F3618" s="391" t="str">
        <f>IFERROR(VLOOKUP(A3618,[3]DOORSCRIEFT!$A$2:$G$8551,6,FALSE),"")</f>
        <v/>
      </c>
      <c r="G3618" s="315"/>
    </row>
    <row r="3619" spans="1:7" x14ac:dyDescent="0.25">
      <c r="A3619" s="359" t="str">
        <f t="shared" si="105"/>
        <v>I.2.2.02.064142</v>
      </c>
      <c r="B3619" s="319">
        <v>142</v>
      </c>
      <c r="C3619" s="394" t="str">
        <f>IFERROR(VLOOKUP(A3619,[3]DOORSCRIEFT!$A$2:$G$8551,2,FALSE),"")</f>
        <v/>
      </c>
      <c r="D3619" s="393" t="str">
        <f>IFERROR(VLOOKUP(A3619,[3]DOORSCRIEFT!$A$2:$G$8551,3,FALSE),"")</f>
        <v/>
      </c>
      <c r="E3619" s="392" t="str">
        <f>IFERROR(VLOOKUP(A3619,[3]DOORSCRIEFT!$A$2:$G$8551,4,FALSE),"")</f>
        <v/>
      </c>
      <c r="F3619" s="391" t="str">
        <f>IFERROR(VLOOKUP(A3619,[3]DOORSCRIEFT!$A$2:$G$8551,6,FALSE),"")</f>
        <v/>
      </c>
      <c r="G3619" s="315"/>
    </row>
    <row r="3620" spans="1:7" x14ac:dyDescent="0.25">
      <c r="A3620" s="359" t="str">
        <f t="shared" si="105"/>
        <v>I.2.2.02.064143</v>
      </c>
      <c r="B3620" s="319">
        <v>143</v>
      </c>
      <c r="C3620" s="394" t="str">
        <f>IFERROR(VLOOKUP(A3620,[3]DOORSCRIEFT!$A$2:$G$8551,2,FALSE),"")</f>
        <v/>
      </c>
      <c r="D3620" s="393" t="str">
        <f>IFERROR(VLOOKUP(A3620,[3]DOORSCRIEFT!$A$2:$G$8551,3,FALSE),"")</f>
        <v/>
      </c>
      <c r="E3620" s="392" t="str">
        <f>IFERROR(VLOOKUP(A3620,[3]DOORSCRIEFT!$A$2:$G$8551,4,FALSE),"")</f>
        <v/>
      </c>
      <c r="F3620" s="391" t="str">
        <f>IFERROR(VLOOKUP(A3620,[3]DOORSCRIEFT!$A$2:$G$8551,6,FALSE),"")</f>
        <v/>
      </c>
      <c r="G3620" s="315"/>
    </row>
    <row r="3621" spans="1:7" x14ac:dyDescent="0.25">
      <c r="A3621" s="359" t="str">
        <f t="shared" si="105"/>
        <v>I.2.2.02.064144</v>
      </c>
      <c r="B3621" s="319">
        <v>144</v>
      </c>
      <c r="C3621" s="394" t="str">
        <f>IFERROR(VLOOKUP(A3621,[3]DOORSCRIEFT!$A$2:$G$8551,2,FALSE),"")</f>
        <v/>
      </c>
      <c r="D3621" s="393" t="str">
        <f>IFERROR(VLOOKUP(A3621,[3]DOORSCRIEFT!$A$2:$G$8551,3,FALSE),"")</f>
        <v/>
      </c>
      <c r="E3621" s="392" t="str">
        <f>IFERROR(VLOOKUP(A3621,[3]DOORSCRIEFT!$A$2:$G$8551,4,FALSE),"")</f>
        <v/>
      </c>
      <c r="F3621" s="391" t="str">
        <f>IFERROR(VLOOKUP(A3621,[3]DOORSCRIEFT!$A$2:$G$8551,6,FALSE),"")</f>
        <v/>
      </c>
      <c r="G3621" s="315"/>
    </row>
    <row r="3622" spans="1:7" x14ac:dyDescent="0.25">
      <c r="A3622" s="359" t="str">
        <f t="shared" si="105"/>
        <v>I.2.2.02.064145</v>
      </c>
      <c r="B3622" s="319">
        <v>145</v>
      </c>
      <c r="C3622" s="394" t="str">
        <f>IFERROR(VLOOKUP(A3622,[3]DOORSCRIEFT!$A$2:$G$8551,2,FALSE),"")</f>
        <v/>
      </c>
      <c r="D3622" s="393" t="str">
        <f>IFERROR(VLOOKUP(A3622,[3]DOORSCRIEFT!$A$2:$G$8551,3,FALSE),"")</f>
        <v/>
      </c>
      <c r="E3622" s="392" t="str">
        <f>IFERROR(VLOOKUP(A3622,[3]DOORSCRIEFT!$A$2:$G$8551,4,FALSE),"")</f>
        <v/>
      </c>
      <c r="F3622" s="391" t="str">
        <f>IFERROR(VLOOKUP(A3622,[3]DOORSCRIEFT!$A$2:$G$8551,6,FALSE),"")</f>
        <v/>
      </c>
      <c r="G3622" s="315"/>
    </row>
    <row r="3623" spans="1:7" x14ac:dyDescent="0.25">
      <c r="A3623" s="359" t="str">
        <f t="shared" si="105"/>
        <v>I.2.2.02.064146</v>
      </c>
      <c r="B3623" s="319">
        <v>146</v>
      </c>
      <c r="C3623" s="394" t="str">
        <f>IFERROR(VLOOKUP(A3623,[3]DOORSCRIEFT!$A$2:$G$8551,2,FALSE),"")</f>
        <v/>
      </c>
      <c r="D3623" s="393" t="str">
        <f>IFERROR(VLOOKUP(A3623,[3]DOORSCRIEFT!$A$2:$G$8551,3,FALSE),"")</f>
        <v/>
      </c>
      <c r="E3623" s="392" t="str">
        <f>IFERROR(VLOOKUP(A3623,[3]DOORSCRIEFT!$A$2:$G$8551,4,FALSE),"")</f>
        <v/>
      </c>
      <c r="F3623" s="391" t="str">
        <f>IFERROR(VLOOKUP(A3623,[3]DOORSCRIEFT!$A$2:$G$8551,6,FALSE),"")</f>
        <v/>
      </c>
      <c r="G3623" s="315"/>
    </row>
    <row r="3624" spans="1:7" x14ac:dyDescent="0.25">
      <c r="A3624" s="359" t="str">
        <f t="shared" si="105"/>
        <v>I.2.2.02.064147</v>
      </c>
      <c r="B3624" s="319">
        <v>147</v>
      </c>
      <c r="C3624" s="394" t="str">
        <f>IFERROR(VLOOKUP(A3624,[3]DOORSCRIEFT!$A$2:$G$8551,2,FALSE),"")</f>
        <v/>
      </c>
      <c r="D3624" s="393" t="str">
        <f>IFERROR(VLOOKUP(A3624,[3]DOORSCRIEFT!$A$2:$G$8551,3,FALSE),"")</f>
        <v/>
      </c>
      <c r="E3624" s="392" t="str">
        <f>IFERROR(VLOOKUP(A3624,[3]DOORSCRIEFT!$A$2:$G$8551,4,FALSE),"")</f>
        <v/>
      </c>
      <c r="F3624" s="391" t="str">
        <f>IFERROR(VLOOKUP(A3624,[3]DOORSCRIEFT!$A$2:$G$8551,6,FALSE),"")</f>
        <v/>
      </c>
      <c r="G3624" s="315"/>
    </row>
    <row r="3625" spans="1:7" x14ac:dyDescent="0.25">
      <c r="A3625" s="359" t="str">
        <f t="shared" si="105"/>
        <v>I.2.2.02.064148</v>
      </c>
      <c r="B3625" s="319">
        <v>148</v>
      </c>
      <c r="C3625" s="394" t="str">
        <f>IFERROR(VLOOKUP(A3625,[3]DOORSCRIEFT!$A$2:$G$8551,2,FALSE),"")</f>
        <v/>
      </c>
      <c r="D3625" s="393" t="str">
        <f>IFERROR(VLOOKUP(A3625,[3]DOORSCRIEFT!$A$2:$G$8551,3,FALSE),"")</f>
        <v/>
      </c>
      <c r="E3625" s="392" t="str">
        <f>IFERROR(VLOOKUP(A3625,[3]DOORSCRIEFT!$A$2:$G$8551,4,FALSE),"")</f>
        <v/>
      </c>
      <c r="F3625" s="391" t="str">
        <f>IFERROR(VLOOKUP(A3625,[3]DOORSCRIEFT!$A$2:$G$8551,6,FALSE),"")</f>
        <v/>
      </c>
      <c r="G3625" s="315"/>
    </row>
    <row r="3626" spans="1:7" x14ac:dyDescent="0.25">
      <c r="A3626" s="359" t="str">
        <f t="shared" si="105"/>
        <v>I.2.2.02.064149</v>
      </c>
      <c r="B3626" s="319">
        <v>149</v>
      </c>
      <c r="C3626" s="394" t="str">
        <f>IFERROR(VLOOKUP(A3626,[3]DOORSCRIEFT!$A$2:$G$8551,2,FALSE),"")</f>
        <v/>
      </c>
      <c r="D3626" s="393" t="str">
        <f>IFERROR(VLOOKUP(A3626,[3]DOORSCRIEFT!$A$2:$G$8551,3,FALSE),"")</f>
        <v/>
      </c>
      <c r="E3626" s="392" t="str">
        <f>IFERROR(VLOOKUP(A3626,[3]DOORSCRIEFT!$A$2:$G$8551,4,FALSE),"")</f>
        <v/>
      </c>
      <c r="F3626" s="391" t="str">
        <f>IFERROR(VLOOKUP(A3626,[3]DOORSCRIEFT!$A$2:$G$8551,6,FALSE),"")</f>
        <v/>
      </c>
      <c r="G3626" s="315"/>
    </row>
    <row r="3627" spans="1:7" x14ac:dyDescent="0.25">
      <c r="A3627" s="390" t="str">
        <f t="shared" si="105"/>
        <v>I.2.2.02.064150</v>
      </c>
      <c r="B3627" s="345">
        <v>150</v>
      </c>
      <c r="C3627" s="394" t="str">
        <f>IFERROR(VLOOKUP(A3627,[3]DOORSCRIEFT!$A$2:$G$8551,2,FALSE),"")</f>
        <v/>
      </c>
      <c r="D3627" s="393" t="str">
        <f>IFERROR(VLOOKUP(A3627,[3]DOORSCRIEFT!$A$2:$G$8551,3,FALSE),"")</f>
        <v/>
      </c>
      <c r="E3627" s="392" t="str">
        <f>IFERROR(VLOOKUP(A3627,[3]DOORSCRIEFT!$A$2:$G$8551,4,FALSE),"")</f>
        <v/>
      </c>
      <c r="F3627" s="391" t="str">
        <f>IFERROR(VLOOKUP(A3627,[3]DOORSCRIEFT!$A$2:$G$8551,6,FALSE),"")</f>
        <v/>
      </c>
      <c r="G3627" s="315"/>
    </row>
    <row r="3628" spans="1:7" x14ac:dyDescent="0.25">
      <c r="A3628" s="390" t="str">
        <f t="shared" si="105"/>
        <v>I.2.2.02.064151</v>
      </c>
      <c r="B3628" s="319">
        <v>151</v>
      </c>
      <c r="C3628" s="394" t="str">
        <f>IFERROR(VLOOKUP(A3628,[3]DOORSCRIEFT!$A$2:$G$8551,2,FALSE),"")</f>
        <v/>
      </c>
      <c r="D3628" s="393" t="str">
        <f>IFERROR(VLOOKUP(A3628,[3]DOORSCRIEFT!$A$2:$G$8551,3,FALSE),"")</f>
        <v/>
      </c>
      <c r="E3628" s="392" t="str">
        <f>IFERROR(VLOOKUP(A3628,[3]DOORSCRIEFT!$A$2:$G$8551,4,FALSE),"")</f>
        <v/>
      </c>
      <c r="F3628" s="391" t="str">
        <f>IFERROR(VLOOKUP(A3628,[3]DOORSCRIEFT!$A$2:$G$8551,6,FALSE),"")</f>
        <v/>
      </c>
      <c r="G3628" s="349"/>
    </row>
    <row r="3629" spans="1:7" x14ac:dyDescent="0.25">
      <c r="A3629" s="390" t="str">
        <f t="shared" si="105"/>
        <v>I.2.2.02.064152</v>
      </c>
      <c r="B3629" s="345">
        <v>152</v>
      </c>
      <c r="C3629" s="394" t="str">
        <f>IFERROR(VLOOKUP(A3629,[3]DOORSCRIEFT!$A$2:$G$8551,2,FALSE),"")</f>
        <v/>
      </c>
      <c r="D3629" s="393" t="str">
        <f>IFERROR(VLOOKUP(A3629,[3]DOORSCRIEFT!$A$2:$G$8551,3,FALSE),"")</f>
        <v/>
      </c>
      <c r="E3629" s="392" t="str">
        <f>IFERROR(VLOOKUP(A3629,[3]DOORSCRIEFT!$A$2:$G$8551,4,FALSE),"")</f>
        <v/>
      </c>
      <c r="F3629" s="391" t="str">
        <f>IFERROR(VLOOKUP(A3629,[3]DOORSCRIEFT!$A$2:$G$8551,6,FALSE),"")</f>
        <v/>
      </c>
      <c r="G3629" s="349"/>
    </row>
    <row r="3630" spans="1:7" x14ac:dyDescent="0.25">
      <c r="A3630" s="390" t="str">
        <f t="shared" si="105"/>
        <v>I.2.2.02.064153</v>
      </c>
      <c r="B3630" s="319">
        <v>153</v>
      </c>
      <c r="C3630" s="394" t="str">
        <f>IFERROR(VLOOKUP(A3630,[3]DOORSCRIEFT!$A$2:$G$8551,2,FALSE),"")</f>
        <v/>
      </c>
      <c r="D3630" s="393" t="str">
        <f>IFERROR(VLOOKUP(A3630,[3]DOORSCRIEFT!$A$2:$G$8551,3,FALSE),"")</f>
        <v/>
      </c>
      <c r="E3630" s="392" t="str">
        <f>IFERROR(VLOOKUP(A3630,[3]DOORSCRIEFT!$A$2:$G$8551,4,FALSE),"")</f>
        <v/>
      </c>
      <c r="F3630" s="391" t="str">
        <f>IFERROR(VLOOKUP(A3630,[3]DOORSCRIEFT!$A$2:$G$8551,6,FALSE),"")</f>
        <v/>
      </c>
      <c r="G3630" s="349"/>
    </row>
    <row r="3631" spans="1:7" x14ac:dyDescent="0.25">
      <c r="A3631" s="390" t="str">
        <f t="shared" si="105"/>
        <v>I.2.2.02.064154</v>
      </c>
      <c r="B3631" s="345">
        <v>154</v>
      </c>
      <c r="C3631" s="394" t="str">
        <f>IFERROR(VLOOKUP(A3631,[3]DOORSCRIEFT!$A$2:$G$8551,2,FALSE),"")</f>
        <v/>
      </c>
      <c r="D3631" s="393" t="str">
        <f>IFERROR(VLOOKUP(A3631,[3]DOORSCRIEFT!$A$2:$G$8551,3,FALSE),"")</f>
        <v/>
      </c>
      <c r="E3631" s="392" t="str">
        <f>IFERROR(VLOOKUP(A3631,[3]DOORSCRIEFT!$A$2:$G$8551,4,FALSE),"")</f>
        <v/>
      </c>
      <c r="F3631" s="391" t="str">
        <f>IFERROR(VLOOKUP(A3631,[3]DOORSCRIEFT!$A$2:$G$8551,6,FALSE),"")</f>
        <v/>
      </c>
      <c r="G3631" s="349"/>
    </row>
    <row r="3632" spans="1:7" x14ac:dyDescent="0.25">
      <c r="A3632" s="390" t="str">
        <f t="shared" si="105"/>
        <v>I.2.2.02.064155</v>
      </c>
      <c r="B3632" s="319">
        <v>155</v>
      </c>
      <c r="C3632" s="394" t="str">
        <f>IFERROR(VLOOKUP(A3632,[3]DOORSCRIEFT!$A$2:$G$8551,2,FALSE),"")</f>
        <v/>
      </c>
      <c r="D3632" s="393" t="str">
        <f>IFERROR(VLOOKUP(A3632,[3]DOORSCRIEFT!$A$2:$G$8551,3,FALSE),"")</f>
        <v/>
      </c>
      <c r="E3632" s="392" t="str">
        <f>IFERROR(VLOOKUP(A3632,[3]DOORSCRIEFT!$A$2:$G$8551,4,FALSE),"")</f>
        <v/>
      </c>
      <c r="F3632" s="391" t="str">
        <f>IFERROR(VLOOKUP(A3632,[3]DOORSCRIEFT!$A$2:$G$8551,6,FALSE),"")</f>
        <v/>
      </c>
      <c r="G3632" s="349"/>
    </row>
    <row r="3633" spans="1:7" x14ac:dyDescent="0.25">
      <c r="A3633" s="390" t="str">
        <f t="shared" si="105"/>
        <v>I.2.2.02.064156</v>
      </c>
      <c r="B3633" s="345">
        <v>156</v>
      </c>
      <c r="C3633" s="394" t="str">
        <f>IFERROR(VLOOKUP(A3633,[3]DOORSCRIEFT!$A$2:$G$8551,2,FALSE),"")</f>
        <v/>
      </c>
      <c r="D3633" s="393" t="str">
        <f>IFERROR(VLOOKUP(A3633,[3]DOORSCRIEFT!$A$2:$G$8551,3,FALSE),"")</f>
        <v/>
      </c>
      <c r="E3633" s="392" t="str">
        <f>IFERROR(VLOOKUP(A3633,[3]DOORSCRIEFT!$A$2:$G$8551,4,FALSE),"")</f>
        <v/>
      </c>
      <c r="F3633" s="391" t="str">
        <f>IFERROR(VLOOKUP(A3633,[3]DOORSCRIEFT!$A$2:$G$8551,6,FALSE),"")</f>
        <v/>
      </c>
      <c r="G3633" s="349"/>
    </row>
    <row r="3634" spans="1:7" x14ac:dyDescent="0.25">
      <c r="A3634" s="390" t="str">
        <f t="shared" si="105"/>
        <v>I.2.2.02.064157</v>
      </c>
      <c r="B3634" s="319">
        <v>157</v>
      </c>
      <c r="C3634" s="394" t="str">
        <f>IFERROR(VLOOKUP(A3634,[3]DOORSCRIEFT!$A$2:$G$8551,2,FALSE),"")</f>
        <v/>
      </c>
      <c r="D3634" s="393" t="str">
        <f>IFERROR(VLOOKUP(A3634,[3]DOORSCRIEFT!$A$2:$G$8551,3,FALSE),"")</f>
        <v/>
      </c>
      <c r="E3634" s="392" t="str">
        <f>IFERROR(VLOOKUP(A3634,[3]DOORSCRIEFT!$A$2:$G$8551,4,FALSE),"")</f>
        <v/>
      </c>
      <c r="F3634" s="391" t="str">
        <f>IFERROR(VLOOKUP(A3634,[3]DOORSCRIEFT!$A$2:$G$8551,6,FALSE),"")</f>
        <v/>
      </c>
      <c r="G3634" s="349"/>
    </row>
    <row r="3635" spans="1:7" x14ac:dyDescent="0.25">
      <c r="A3635" s="390" t="str">
        <f t="shared" si="105"/>
        <v>I.2.2.02.064158</v>
      </c>
      <c r="B3635" s="345">
        <v>158</v>
      </c>
      <c r="C3635" s="394" t="str">
        <f>IFERROR(VLOOKUP(A3635,[3]DOORSCRIEFT!$A$2:$G$8551,2,FALSE),"")</f>
        <v/>
      </c>
      <c r="D3635" s="393" t="str">
        <f>IFERROR(VLOOKUP(A3635,[3]DOORSCRIEFT!$A$2:$G$8551,3,FALSE),"")</f>
        <v/>
      </c>
      <c r="E3635" s="392" t="str">
        <f>IFERROR(VLOOKUP(A3635,[3]DOORSCRIEFT!$A$2:$G$8551,4,FALSE),"")</f>
        <v/>
      </c>
      <c r="F3635" s="391" t="str">
        <f>IFERROR(VLOOKUP(A3635,[3]DOORSCRIEFT!$A$2:$G$8551,6,FALSE),"")</f>
        <v/>
      </c>
      <c r="G3635" s="349"/>
    </row>
    <row r="3636" spans="1:7" x14ac:dyDescent="0.25">
      <c r="A3636" s="390" t="str">
        <f t="shared" si="105"/>
        <v>I.2.2.02.064159</v>
      </c>
      <c r="B3636" s="319">
        <v>159</v>
      </c>
      <c r="C3636" s="394" t="str">
        <f>IFERROR(VLOOKUP(A3636,[3]DOORSCRIEFT!$A$2:$G$8551,2,FALSE),"")</f>
        <v/>
      </c>
      <c r="D3636" s="393" t="str">
        <f>IFERROR(VLOOKUP(A3636,[3]DOORSCRIEFT!$A$2:$G$8551,3,FALSE),"")</f>
        <v/>
      </c>
      <c r="E3636" s="392" t="str">
        <f>IFERROR(VLOOKUP(A3636,[3]DOORSCRIEFT!$A$2:$G$8551,4,FALSE),"")</f>
        <v/>
      </c>
      <c r="F3636" s="391" t="str">
        <f>IFERROR(VLOOKUP(A3636,[3]DOORSCRIEFT!$A$2:$G$8551,6,FALSE),"")</f>
        <v/>
      </c>
      <c r="G3636" s="349"/>
    </row>
    <row r="3637" spans="1:7" x14ac:dyDescent="0.25">
      <c r="A3637" s="390" t="str">
        <f t="shared" si="105"/>
        <v>I.2.2.02.064160</v>
      </c>
      <c r="B3637" s="345">
        <v>160</v>
      </c>
      <c r="C3637" s="394" t="str">
        <f>IFERROR(VLOOKUP(A3637,[3]DOORSCRIEFT!$A$2:$G$8551,2,FALSE),"")</f>
        <v/>
      </c>
      <c r="D3637" s="393" t="str">
        <f>IFERROR(VLOOKUP(A3637,[3]DOORSCRIEFT!$A$2:$G$8551,3,FALSE),"")</f>
        <v/>
      </c>
      <c r="E3637" s="392" t="str">
        <f>IFERROR(VLOOKUP(A3637,[3]DOORSCRIEFT!$A$2:$G$8551,4,FALSE),"")</f>
        <v/>
      </c>
      <c r="F3637" s="391" t="str">
        <f>IFERROR(VLOOKUP(A3637,[3]DOORSCRIEFT!$A$2:$G$8551,6,FALSE),"")</f>
        <v/>
      </c>
      <c r="G3637" s="349"/>
    </row>
    <row r="3638" spans="1:7" x14ac:dyDescent="0.25">
      <c r="A3638" s="390" t="str">
        <f t="shared" si="105"/>
        <v>I.2.2.02.064161</v>
      </c>
      <c r="B3638" s="319">
        <v>161</v>
      </c>
      <c r="C3638" s="394" t="str">
        <f>IFERROR(VLOOKUP(A3638,[3]DOORSCRIEFT!$A$2:$G$8551,2,FALSE),"")</f>
        <v/>
      </c>
      <c r="D3638" s="393" t="str">
        <f>IFERROR(VLOOKUP(A3638,[3]DOORSCRIEFT!$A$2:$G$8551,3,FALSE),"")</f>
        <v/>
      </c>
      <c r="E3638" s="392" t="str">
        <f>IFERROR(VLOOKUP(A3638,[3]DOORSCRIEFT!$A$2:$G$8551,4,FALSE),"")</f>
        <v/>
      </c>
      <c r="F3638" s="391" t="str">
        <f>IFERROR(VLOOKUP(A3638,[3]DOORSCRIEFT!$A$2:$G$8551,6,FALSE),"")</f>
        <v/>
      </c>
      <c r="G3638" s="349"/>
    </row>
    <row r="3639" spans="1:7" x14ac:dyDescent="0.25">
      <c r="A3639" s="390" t="str">
        <f t="shared" si="105"/>
        <v>I.2.2.02.064162</v>
      </c>
      <c r="B3639" s="345">
        <v>162</v>
      </c>
      <c r="C3639" s="394" t="str">
        <f>IFERROR(VLOOKUP(A3639,[3]DOORSCRIEFT!$A$2:$G$8551,2,FALSE),"")</f>
        <v/>
      </c>
      <c r="D3639" s="393" t="str">
        <f>IFERROR(VLOOKUP(A3639,[3]DOORSCRIEFT!$A$2:$G$8551,3,FALSE),"")</f>
        <v/>
      </c>
      <c r="E3639" s="392" t="str">
        <f>IFERROR(VLOOKUP(A3639,[3]DOORSCRIEFT!$A$2:$G$8551,4,FALSE),"")</f>
        <v/>
      </c>
      <c r="F3639" s="391" t="str">
        <f>IFERROR(VLOOKUP(A3639,[3]DOORSCRIEFT!$A$2:$G$8551,6,FALSE),"")</f>
        <v/>
      </c>
      <c r="G3639" s="349"/>
    </row>
    <row r="3640" spans="1:7" x14ac:dyDescent="0.25">
      <c r="A3640" s="390" t="str">
        <f t="shared" si="105"/>
        <v>I.2.2.02.064163</v>
      </c>
      <c r="B3640" s="319">
        <v>163</v>
      </c>
      <c r="C3640" s="394" t="str">
        <f>IFERROR(VLOOKUP(A3640,[3]DOORSCRIEFT!$A$2:$G$8551,2,FALSE),"")</f>
        <v/>
      </c>
      <c r="D3640" s="393" t="str">
        <f>IFERROR(VLOOKUP(A3640,[3]DOORSCRIEFT!$A$2:$G$8551,3,FALSE),"")</f>
        <v/>
      </c>
      <c r="E3640" s="392" t="str">
        <f>IFERROR(VLOOKUP(A3640,[3]DOORSCRIEFT!$A$2:$G$8551,4,FALSE),"")</f>
        <v/>
      </c>
      <c r="F3640" s="391" t="str">
        <f>IFERROR(VLOOKUP(A3640,[3]DOORSCRIEFT!$A$2:$G$8551,6,FALSE),"")</f>
        <v/>
      </c>
      <c r="G3640" s="349"/>
    </row>
    <row r="3641" spans="1:7" x14ac:dyDescent="0.25">
      <c r="A3641" s="390" t="str">
        <f t="shared" si="105"/>
        <v>I.2.2.02.064164</v>
      </c>
      <c r="B3641" s="345">
        <v>164</v>
      </c>
      <c r="C3641" s="394" t="str">
        <f>IFERROR(VLOOKUP(A3641,[3]DOORSCRIEFT!$A$2:$G$8551,2,FALSE),"")</f>
        <v/>
      </c>
      <c r="D3641" s="393" t="str">
        <f>IFERROR(VLOOKUP(A3641,[3]DOORSCRIEFT!$A$2:$G$8551,3,FALSE),"")</f>
        <v/>
      </c>
      <c r="E3641" s="392" t="str">
        <f>IFERROR(VLOOKUP(A3641,[3]DOORSCRIEFT!$A$2:$G$8551,4,FALSE),"")</f>
        <v/>
      </c>
      <c r="F3641" s="391" t="str">
        <f>IFERROR(VLOOKUP(A3641,[3]DOORSCRIEFT!$A$2:$G$8551,6,FALSE),"")</f>
        <v/>
      </c>
      <c r="G3641" s="349"/>
    </row>
    <row r="3642" spans="1:7" x14ac:dyDescent="0.25">
      <c r="A3642" s="390" t="str">
        <f t="shared" si="105"/>
        <v>I.2.2.02.064165</v>
      </c>
      <c r="B3642" s="319">
        <v>165</v>
      </c>
      <c r="C3642" s="394" t="str">
        <f>IFERROR(VLOOKUP(A3642,[3]DOORSCRIEFT!$A$2:$G$8551,2,FALSE),"")</f>
        <v/>
      </c>
      <c r="D3642" s="393" t="str">
        <f>IFERROR(VLOOKUP(A3642,[3]DOORSCRIEFT!$A$2:$G$8551,3,FALSE),"")</f>
        <v/>
      </c>
      <c r="E3642" s="392" t="str">
        <f>IFERROR(VLOOKUP(A3642,[3]DOORSCRIEFT!$A$2:$G$8551,4,FALSE),"")</f>
        <v/>
      </c>
      <c r="F3642" s="391" t="str">
        <f>IFERROR(VLOOKUP(A3642,[3]DOORSCRIEFT!$A$2:$G$8551,6,FALSE),"")</f>
        <v/>
      </c>
      <c r="G3642" s="349"/>
    </row>
    <row r="3643" spans="1:7" x14ac:dyDescent="0.25">
      <c r="A3643" s="390" t="str">
        <f t="shared" si="105"/>
        <v>I.2.2.02.064166</v>
      </c>
      <c r="B3643" s="345">
        <v>166</v>
      </c>
      <c r="C3643" s="394" t="str">
        <f>IFERROR(VLOOKUP(A3643,[3]DOORSCRIEFT!$A$2:$G$8551,2,FALSE),"")</f>
        <v/>
      </c>
      <c r="D3643" s="393" t="str">
        <f>IFERROR(VLOOKUP(A3643,[3]DOORSCRIEFT!$A$2:$G$8551,3,FALSE),"")</f>
        <v/>
      </c>
      <c r="E3643" s="392" t="str">
        <f>IFERROR(VLOOKUP(A3643,[3]DOORSCRIEFT!$A$2:$G$8551,4,FALSE),"")</f>
        <v/>
      </c>
      <c r="F3643" s="391" t="str">
        <f>IFERROR(VLOOKUP(A3643,[3]DOORSCRIEFT!$A$2:$G$8551,6,FALSE),"")</f>
        <v/>
      </c>
      <c r="G3643" s="349"/>
    </row>
    <row r="3644" spans="1:7" x14ac:dyDescent="0.25">
      <c r="A3644" s="390" t="str">
        <f t="shared" si="105"/>
        <v>I.2.2.02.064167</v>
      </c>
      <c r="B3644" s="319">
        <v>167</v>
      </c>
      <c r="C3644" s="394" t="str">
        <f>IFERROR(VLOOKUP(A3644,[3]DOORSCRIEFT!$A$2:$G$8551,2,FALSE),"")</f>
        <v/>
      </c>
      <c r="D3644" s="393" t="str">
        <f>IFERROR(VLOOKUP(A3644,[3]DOORSCRIEFT!$A$2:$G$8551,3,FALSE),"")</f>
        <v/>
      </c>
      <c r="E3644" s="392" t="str">
        <f>IFERROR(VLOOKUP(A3644,[3]DOORSCRIEFT!$A$2:$G$8551,4,FALSE),"")</f>
        <v/>
      </c>
      <c r="F3644" s="391" t="str">
        <f>IFERROR(VLOOKUP(A3644,[3]DOORSCRIEFT!$A$2:$G$8551,6,FALSE),"")</f>
        <v/>
      </c>
      <c r="G3644" s="349"/>
    </row>
    <row r="3645" spans="1:7" x14ac:dyDescent="0.25">
      <c r="A3645" s="390" t="str">
        <f t="shared" si="105"/>
        <v>I.2.2.02.064168</v>
      </c>
      <c r="B3645" s="345">
        <v>168</v>
      </c>
      <c r="C3645" s="394" t="str">
        <f>IFERROR(VLOOKUP(A3645,[3]DOORSCRIEFT!$A$2:$G$8551,2,FALSE),"")</f>
        <v/>
      </c>
      <c r="D3645" s="393" t="str">
        <f>IFERROR(VLOOKUP(A3645,[3]DOORSCRIEFT!$A$2:$G$8551,3,FALSE),"")</f>
        <v/>
      </c>
      <c r="E3645" s="392" t="str">
        <f>IFERROR(VLOOKUP(A3645,[3]DOORSCRIEFT!$A$2:$G$8551,4,FALSE),"")</f>
        <v/>
      </c>
      <c r="F3645" s="391" t="str">
        <f>IFERROR(VLOOKUP(A3645,[3]DOORSCRIEFT!$A$2:$G$8551,6,FALSE),"")</f>
        <v/>
      </c>
      <c r="G3645" s="349"/>
    </row>
    <row r="3646" spans="1:7" x14ac:dyDescent="0.25">
      <c r="A3646" s="390" t="str">
        <f t="shared" si="105"/>
        <v>I.2.2.02.064169</v>
      </c>
      <c r="B3646" s="319">
        <v>169</v>
      </c>
      <c r="C3646" s="394" t="str">
        <f>IFERROR(VLOOKUP(A3646,[3]DOORSCRIEFT!$A$2:$G$8551,2,FALSE),"")</f>
        <v/>
      </c>
      <c r="D3646" s="393" t="str">
        <f>IFERROR(VLOOKUP(A3646,[3]DOORSCRIEFT!$A$2:$G$8551,3,FALSE),"")</f>
        <v/>
      </c>
      <c r="E3646" s="392" t="str">
        <f>IFERROR(VLOOKUP(A3646,[3]DOORSCRIEFT!$A$2:$G$8551,4,FALSE),"")</f>
        <v/>
      </c>
      <c r="F3646" s="391" t="str">
        <f>IFERROR(VLOOKUP(A3646,[3]DOORSCRIEFT!$A$2:$G$8551,6,FALSE),"")</f>
        <v/>
      </c>
      <c r="G3646" s="349"/>
    </row>
    <row r="3647" spans="1:7" x14ac:dyDescent="0.25">
      <c r="A3647" s="390" t="str">
        <f t="shared" si="105"/>
        <v>I.2.2.02.064170</v>
      </c>
      <c r="B3647" s="345">
        <v>170</v>
      </c>
      <c r="C3647" s="394" t="str">
        <f>IFERROR(VLOOKUP(A3647,[3]DOORSCRIEFT!$A$2:$G$8551,2,FALSE),"")</f>
        <v/>
      </c>
      <c r="D3647" s="393" t="str">
        <f>IFERROR(VLOOKUP(A3647,[3]DOORSCRIEFT!$A$2:$G$8551,3,FALSE),"")</f>
        <v/>
      </c>
      <c r="E3647" s="392" t="str">
        <f>IFERROR(VLOOKUP(A3647,[3]DOORSCRIEFT!$A$2:$G$8551,4,FALSE),"")</f>
        <v/>
      </c>
      <c r="F3647" s="391" t="str">
        <f>IFERROR(VLOOKUP(A3647,[3]DOORSCRIEFT!$A$2:$G$8551,6,FALSE),"")</f>
        <v/>
      </c>
      <c r="G3647" s="349"/>
    </row>
    <row r="3648" spans="1:7" x14ac:dyDescent="0.25">
      <c r="A3648" s="390" t="str">
        <f t="shared" si="105"/>
        <v>I.2.2.02.064171</v>
      </c>
      <c r="B3648" s="319">
        <v>171</v>
      </c>
      <c r="C3648" s="394" t="str">
        <f>IFERROR(VLOOKUP(A3648,[3]DOORSCRIEFT!$A$2:$G$8551,2,FALSE),"")</f>
        <v/>
      </c>
      <c r="D3648" s="393" t="str">
        <f>IFERROR(VLOOKUP(A3648,[3]DOORSCRIEFT!$A$2:$G$8551,3,FALSE),"")</f>
        <v/>
      </c>
      <c r="E3648" s="392" t="str">
        <f>IFERROR(VLOOKUP(A3648,[3]DOORSCRIEFT!$A$2:$G$8551,4,FALSE),"")</f>
        <v/>
      </c>
      <c r="F3648" s="391" t="str">
        <f>IFERROR(VLOOKUP(A3648,[3]DOORSCRIEFT!$A$2:$G$8551,6,FALSE),"")</f>
        <v/>
      </c>
      <c r="G3648" s="349"/>
    </row>
    <row r="3649" spans="1:7" x14ac:dyDescent="0.25">
      <c r="A3649" s="390" t="str">
        <f t="shared" si="105"/>
        <v>I.2.2.02.064172</v>
      </c>
      <c r="B3649" s="345">
        <v>172</v>
      </c>
      <c r="C3649" s="394" t="str">
        <f>IFERROR(VLOOKUP(A3649,[3]DOORSCRIEFT!$A$2:$G$8551,2,FALSE),"")</f>
        <v/>
      </c>
      <c r="D3649" s="393" t="str">
        <f>IFERROR(VLOOKUP(A3649,[3]DOORSCRIEFT!$A$2:$G$8551,3,FALSE),"")</f>
        <v/>
      </c>
      <c r="E3649" s="392" t="str">
        <f>IFERROR(VLOOKUP(A3649,[3]DOORSCRIEFT!$A$2:$G$8551,4,FALSE),"")</f>
        <v/>
      </c>
      <c r="F3649" s="391" t="str">
        <f>IFERROR(VLOOKUP(A3649,[3]DOORSCRIEFT!$A$2:$G$8551,6,FALSE),"")</f>
        <v/>
      </c>
      <c r="G3649" s="349"/>
    </row>
    <row r="3650" spans="1:7" x14ac:dyDescent="0.25">
      <c r="A3650" s="390" t="str">
        <f t="shared" si="105"/>
        <v>I.2.2.02.064173</v>
      </c>
      <c r="B3650" s="319">
        <v>173</v>
      </c>
      <c r="C3650" s="394" t="str">
        <f>IFERROR(VLOOKUP(A3650,[3]DOORSCRIEFT!$A$2:$G$8551,2,FALSE),"")</f>
        <v/>
      </c>
      <c r="D3650" s="393" t="str">
        <f>IFERROR(VLOOKUP(A3650,[3]DOORSCRIEFT!$A$2:$G$8551,3,FALSE),"")</f>
        <v/>
      </c>
      <c r="E3650" s="392" t="str">
        <f>IFERROR(VLOOKUP(A3650,[3]DOORSCRIEFT!$A$2:$G$8551,4,FALSE),"")</f>
        <v/>
      </c>
      <c r="F3650" s="391" t="str">
        <f>IFERROR(VLOOKUP(A3650,[3]DOORSCRIEFT!$A$2:$G$8551,6,FALSE),"")</f>
        <v/>
      </c>
      <c r="G3650" s="349"/>
    </row>
    <row r="3651" spans="1:7" x14ac:dyDescent="0.25">
      <c r="A3651" s="390" t="str">
        <f t="shared" si="105"/>
        <v>I.2.2.02.064174</v>
      </c>
      <c r="B3651" s="345">
        <v>174</v>
      </c>
      <c r="C3651" s="394" t="str">
        <f>IFERROR(VLOOKUP(A3651,[3]DOORSCRIEFT!$A$2:$G$8551,2,FALSE),"")</f>
        <v/>
      </c>
      <c r="D3651" s="393" t="str">
        <f>IFERROR(VLOOKUP(A3651,[3]DOORSCRIEFT!$A$2:$G$8551,3,FALSE),"")</f>
        <v/>
      </c>
      <c r="E3651" s="392" t="str">
        <f>IFERROR(VLOOKUP(A3651,[3]DOORSCRIEFT!$A$2:$G$8551,4,FALSE),"")</f>
        <v/>
      </c>
      <c r="F3651" s="391" t="str">
        <f>IFERROR(VLOOKUP(A3651,[3]DOORSCRIEFT!$A$2:$G$8551,6,FALSE),"")</f>
        <v/>
      </c>
      <c r="G3651" s="349"/>
    </row>
    <row r="3652" spans="1:7" x14ac:dyDescent="0.25">
      <c r="A3652" s="390" t="str">
        <f t="shared" si="105"/>
        <v>I.2.2.02.064175</v>
      </c>
      <c r="B3652" s="319">
        <v>175</v>
      </c>
      <c r="C3652" s="394" t="str">
        <f>IFERROR(VLOOKUP(A3652,[3]DOORSCRIEFT!$A$2:$G$8551,2,FALSE),"")</f>
        <v/>
      </c>
      <c r="D3652" s="393" t="str">
        <f>IFERROR(VLOOKUP(A3652,[3]DOORSCRIEFT!$A$2:$G$8551,3,FALSE),"")</f>
        <v/>
      </c>
      <c r="E3652" s="392" t="str">
        <f>IFERROR(VLOOKUP(A3652,[3]DOORSCRIEFT!$A$2:$G$8551,4,FALSE),"")</f>
        <v/>
      </c>
      <c r="F3652" s="391" t="str">
        <f>IFERROR(VLOOKUP(A3652,[3]DOORSCRIEFT!$A$2:$G$8551,6,FALSE),"")</f>
        <v/>
      </c>
      <c r="G3652" s="349"/>
    </row>
    <row r="3653" spans="1:7" x14ac:dyDescent="0.25">
      <c r="A3653" s="390" t="str">
        <f t="shared" si="105"/>
        <v>I.2.2.02.064176</v>
      </c>
      <c r="B3653" s="345">
        <v>176</v>
      </c>
      <c r="C3653" s="394" t="str">
        <f>IFERROR(VLOOKUP(A3653,[3]DOORSCRIEFT!$A$2:$G$8551,2,FALSE),"")</f>
        <v/>
      </c>
      <c r="D3653" s="393" t="str">
        <f>IFERROR(VLOOKUP(A3653,[3]DOORSCRIEFT!$A$2:$G$8551,3,FALSE),"")</f>
        <v/>
      </c>
      <c r="E3653" s="392" t="str">
        <f>IFERROR(VLOOKUP(A3653,[3]DOORSCRIEFT!$A$2:$G$8551,4,FALSE),"")</f>
        <v/>
      </c>
      <c r="F3653" s="391" t="str">
        <f>IFERROR(VLOOKUP(A3653,[3]DOORSCRIEFT!$A$2:$G$8551,6,FALSE),"")</f>
        <v/>
      </c>
      <c r="G3653" s="349"/>
    </row>
    <row r="3654" spans="1:7" x14ac:dyDescent="0.25">
      <c r="A3654" s="390" t="str">
        <f t="shared" si="105"/>
        <v>I.2.2.02.064177</v>
      </c>
      <c r="B3654" s="319">
        <v>177</v>
      </c>
      <c r="C3654" s="394" t="str">
        <f>IFERROR(VLOOKUP(A3654,[3]DOORSCRIEFT!$A$2:$G$8551,2,FALSE),"")</f>
        <v/>
      </c>
      <c r="D3654" s="393" t="str">
        <f>IFERROR(VLOOKUP(A3654,[3]DOORSCRIEFT!$A$2:$G$8551,3,FALSE),"")</f>
        <v/>
      </c>
      <c r="E3654" s="392" t="str">
        <f>IFERROR(VLOOKUP(A3654,[3]DOORSCRIEFT!$A$2:$G$8551,4,FALSE),"")</f>
        <v/>
      </c>
      <c r="F3654" s="391" t="str">
        <f>IFERROR(VLOOKUP(A3654,[3]DOORSCRIEFT!$A$2:$G$8551,6,FALSE),"")</f>
        <v/>
      </c>
      <c r="G3654" s="349"/>
    </row>
    <row r="3655" spans="1:7" x14ac:dyDescent="0.25">
      <c r="A3655" s="390" t="str">
        <f t="shared" si="105"/>
        <v>I.2.2.02.064178</v>
      </c>
      <c r="B3655" s="345">
        <v>178</v>
      </c>
      <c r="C3655" s="394" t="str">
        <f>IFERROR(VLOOKUP(A3655,[3]DOORSCRIEFT!$A$2:$G$8551,2,FALSE),"")</f>
        <v/>
      </c>
      <c r="D3655" s="393" t="str">
        <f>IFERROR(VLOOKUP(A3655,[3]DOORSCRIEFT!$A$2:$G$8551,3,FALSE),"")</f>
        <v/>
      </c>
      <c r="E3655" s="392" t="str">
        <f>IFERROR(VLOOKUP(A3655,[3]DOORSCRIEFT!$A$2:$G$8551,4,FALSE),"")</f>
        <v/>
      </c>
      <c r="F3655" s="391" t="str">
        <f>IFERROR(VLOOKUP(A3655,[3]DOORSCRIEFT!$A$2:$G$8551,6,FALSE),"")</f>
        <v/>
      </c>
      <c r="G3655" s="349"/>
    </row>
    <row r="3656" spans="1:7" x14ac:dyDescent="0.25">
      <c r="A3656" s="390" t="str">
        <f t="shared" si="105"/>
        <v>I.2.2.02.064179</v>
      </c>
      <c r="B3656" s="319">
        <v>179</v>
      </c>
      <c r="C3656" s="394" t="str">
        <f>IFERROR(VLOOKUP(A3656,[3]DOORSCRIEFT!$A$2:$G$8551,2,FALSE),"")</f>
        <v/>
      </c>
      <c r="D3656" s="393" t="str">
        <f>IFERROR(VLOOKUP(A3656,[3]DOORSCRIEFT!$A$2:$G$8551,3,FALSE),"")</f>
        <v/>
      </c>
      <c r="E3656" s="392" t="str">
        <f>IFERROR(VLOOKUP(A3656,[3]DOORSCRIEFT!$A$2:$G$8551,4,FALSE),"")</f>
        <v/>
      </c>
      <c r="F3656" s="391" t="str">
        <f>IFERROR(VLOOKUP(A3656,[3]DOORSCRIEFT!$A$2:$G$8551,6,FALSE),"")</f>
        <v/>
      </c>
      <c r="G3656" s="349"/>
    </row>
    <row r="3657" spans="1:7" x14ac:dyDescent="0.25">
      <c r="A3657" s="390" t="str">
        <f t="shared" si="105"/>
        <v>I.2.2.02.064180</v>
      </c>
      <c r="B3657" s="345">
        <v>180</v>
      </c>
      <c r="C3657" s="394" t="str">
        <f>IFERROR(VLOOKUP(A3657,[3]DOORSCRIEFT!$A$2:$G$8551,2,FALSE),"")</f>
        <v/>
      </c>
      <c r="D3657" s="393" t="str">
        <f>IFERROR(VLOOKUP(A3657,[3]DOORSCRIEFT!$A$2:$G$8551,3,FALSE),"")</f>
        <v/>
      </c>
      <c r="E3657" s="392" t="str">
        <f>IFERROR(VLOOKUP(A3657,[3]DOORSCRIEFT!$A$2:$G$8551,4,FALSE),"")</f>
        <v/>
      </c>
      <c r="F3657" s="391" t="str">
        <f>IFERROR(VLOOKUP(A3657,[3]DOORSCRIEFT!$A$2:$G$8551,6,FALSE),"")</f>
        <v/>
      </c>
      <c r="G3657" s="349"/>
    </row>
    <row r="3658" spans="1:7" x14ac:dyDescent="0.25">
      <c r="A3658" s="390" t="str">
        <f t="shared" si="105"/>
        <v>I.2.2.02.064181</v>
      </c>
      <c r="B3658" s="319">
        <v>181</v>
      </c>
      <c r="C3658" s="394" t="str">
        <f>IFERROR(VLOOKUP(A3658,[3]DOORSCRIEFT!$A$2:$G$8551,2,FALSE),"")</f>
        <v/>
      </c>
      <c r="D3658" s="393" t="str">
        <f>IFERROR(VLOOKUP(A3658,[3]DOORSCRIEFT!$A$2:$G$8551,3,FALSE),"")</f>
        <v/>
      </c>
      <c r="E3658" s="392" t="str">
        <f>IFERROR(VLOOKUP(A3658,[3]DOORSCRIEFT!$A$2:$G$8551,4,FALSE),"")</f>
        <v/>
      </c>
      <c r="F3658" s="391" t="str">
        <f>IFERROR(VLOOKUP(A3658,[3]DOORSCRIEFT!$A$2:$G$8551,6,FALSE),"")</f>
        <v/>
      </c>
      <c r="G3658" s="349"/>
    </row>
    <row r="3659" spans="1:7" x14ac:dyDescent="0.25">
      <c r="A3659" s="390" t="str">
        <f t="shared" si="105"/>
        <v>I.2.2.02.064182</v>
      </c>
      <c r="B3659" s="345">
        <v>182</v>
      </c>
      <c r="C3659" s="394" t="str">
        <f>IFERROR(VLOOKUP(A3659,[3]DOORSCRIEFT!$A$2:$G$8551,2,FALSE),"")</f>
        <v/>
      </c>
      <c r="D3659" s="393" t="str">
        <f>IFERROR(VLOOKUP(A3659,[3]DOORSCRIEFT!$A$2:$G$8551,3,FALSE),"")</f>
        <v/>
      </c>
      <c r="E3659" s="392" t="str">
        <f>IFERROR(VLOOKUP(A3659,[3]DOORSCRIEFT!$A$2:$G$8551,4,FALSE),"")</f>
        <v/>
      </c>
      <c r="F3659" s="391" t="str">
        <f>IFERROR(VLOOKUP(A3659,[3]DOORSCRIEFT!$A$2:$G$8551,6,FALSE),"")</f>
        <v/>
      </c>
      <c r="G3659" s="349"/>
    </row>
    <row r="3660" spans="1:7" x14ac:dyDescent="0.25">
      <c r="A3660" s="390" t="str">
        <f t="shared" si="105"/>
        <v>I.2.2.02.064183</v>
      </c>
      <c r="B3660" s="319">
        <v>183</v>
      </c>
      <c r="C3660" s="394" t="str">
        <f>IFERROR(VLOOKUP(A3660,[3]DOORSCRIEFT!$A$2:$G$8551,2,FALSE),"")</f>
        <v/>
      </c>
      <c r="D3660" s="393" t="str">
        <f>IFERROR(VLOOKUP(A3660,[3]DOORSCRIEFT!$A$2:$G$8551,3,FALSE),"")</f>
        <v/>
      </c>
      <c r="E3660" s="392" t="str">
        <f>IFERROR(VLOOKUP(A3660,[3]DOORSCRIEFT!$A$2:$G$8551,4,FALSE),"")</f>
        <v/>
      </c>
      <c r="F3660" s="391" t="str">
        <f>IFERROR(VLOOKUP(A3660,[3]DOORSCRIEFT!$A$2:$G$8551,6,FALSE),"")</f>
        <v/>
      </c>
      <c r="G3660" s="349"/>
    </row>
    <row r="3661" spans="1:7" x14ac:dyDescent="0.25">
      <c r="A3661" s="390" t="str">
        <f t="shared" si="105"/>
        <v>I.2.2.02.064184</v>
      </c>
      <c r="B3661" s="345">
        <v>184</v>
      </c>
      <c r="C3661" s="394" t="str">
        <f>IFERROR(VLOOKUP(A3661,[3]DOORSCRIEFT!$A$2:$G$8551,2,FALSE),"")</f>
        <v/>
      </c>
      <c r="D3661" s="393" t="str">
        <f>IFERROR(VLOOKUP(A3661,[3]DOORSCRIEFT!$A$2:$G$8551,3,FALSE),"")</f>
        <v/>
      </c>
      <c r="E3661" s="392" t="str">
        <f>IFERROR(VLOOKUP(A3661,[3]DOORSCRIEFT!$A$2:$G$8551,4,FALSE),"")</f>
        <v/>
      </c>
      <c r="F3661" s="391" t="str">
        <f>IFERROR(VLOOKUP(A3661,[3]DOORSCRIEFT!$A$2:$G$8551,6,FALSE),"")</f>
        <v/>
      </c>
      <c r="G3661" s="349"/>
    </row>
    <row r="3662" spans="1:7" x14ac:dyDescent="0.25">
      <c r="A3662" s="390" t="str">
        <f t="shared" si="105"/>
        <v>I.2.2.02.064185</v>
      </c>
      <c r="B3662" s="319">
        <v>185</v>
      </c>
      <c r="C3662" s="394" t="str">
        <f>IFERROR(VLOOKUP(A3662,[3]DOORSCRIEFT!$A$2:$G$8551,2,FALSE),"")</f>
        <v/>
      </c>
      <c r="D3662" s="393" t="str">
        <f>IFERROR(VLOOKUP(A3662,[3]DOORSCRIEFT!$A$2:$G$8551,3,FALSE),"")</f>
        <v/>
      </c>
      <c r="E3662" s="392" t="str">
        <f>IFERROR(VLOOKUP(A3662,[3]DOORSCRIEFT!$A$2:$G$8551,4,FALSE),"")</f>
        <v/>
      </c>
      <c r="F3662" s="391" t="str">
        <f>IFERROR(VLOOKUP(A3662,[3]DOORSCRIEFT!$A$2:$G$8551,6,FALSE),"")</f>
        <v/>
      </c>
      <c r="G3662" s="349"/>
    </row>
    <row r="3663" spans="1:7" x14ac:dyDescent="0.25">
      <c r="A3663" s="390" t="str">
        <f t="shared" si="105"/>
        <v>I.2.2.02.064186</v>
      </c>
      <c r="B3663" s="345">
        <v>186</v>
      </c>
      <c r="C3663" s="394" t="str">
        <f>IFERROR(VLOOKUP(A3663,[3]DOORSCRIEFT!$A$2:$G$8551,2,FALSE),"")</f>
        <v/>
      </c>
      <c r="D3663" s="393" t="str">
        <f>IFERROR(VLOOKUP(A3663,[3]DOORSCRIEFT!$A$2:$G$8551,3,FALSE),"")</f>
        <v/>
      </c>
      <c r="E3663" s="392" t="str">
        <f>IFERROR(VLOOKUP(A3663,[3]DOORSCRIEFT!$A$2:$G$8551,4,FALSE),"")</f>
        <v/>
      </c>
      <c r="F3663" s="391" t="str">
        <f>IFERROR(VLOOKUP(A3663,[3]DOORSCRIEFT!$A$2:$G$8551,6,FALSE),"")</f>
        <v/>
      </c>
      <c r="G3663" s="349"/>
    </row>
    <row r="3664" spans="1:7" x14ac:dyDescent="0.25">
      <c r="A3664" s="390" t="str">
        <f t="shared" si="105"/>
        <v>I.2.2.02.064187</v>
      </c>
      <c r="B3664" s="319">
        <v>187</v>
      </c>
      <c r="C3664" s="394" t="str">
        <f>IFERROR(VLOOKUP(A3664,[3]DOORSCRIEFT!$A$2:$G$8551,2,FALSE),"")</f>
        <v/>
      </c>
      <c r="D3664" s="393" t="str">
        <f>IFERROR(VLOOKUP(A3664,[3]DOORSCRIEFT!$A$2:$G$8551,3,FALSE),"")</f>
        <v/>
      </c>
      <c r="E3664" s="392" t="str">
        <f>IFERROR(VLOOKUP(A3664,[3]DOORSCRIEFT!$A$2:$G$8551,4,FALSE),"")</f>
        <v/>
      </c>
      <c r="F3664" s="391" t="str">
        <f>IFERROR(VLOOKUP(A3664,[3]DOORSCRIEFT!$A$2:$G$8551,6,FALSE),"")</f>
        <v/>
      </c>
      <c r="G3664" s="349"/>
    </row>
    <row r="3665" spans="1:7" x14ac:dyDescent="0.25">
      <c r="A3665" s="390" t="str">
        <f t="shared" si="105"/>
        <v>I.2.2.02.064188</v>
      </c>
      <c r="B3665" s="345">
        <v>188</v>
      </c>
      <c r="C3665" s="394" t="str">
        <f>IFERROR(VLOOKUP(A3665,[3]DOORSCRIEFT!$A$2:$G$8551,2,FALSE),"")</f>
        <v/>
      </c>
      <c r="D3665" s="393" t="str">
        <f>IFERROR(VLOOKUP(A3665,[3]DOORSCRIEFT!$A$2:$G$8551,3,FALSE),"")</f>
        <v/>
      </c>
      <c r="E3665" s="392" t="str">
        <f>IFERROR(VLOOKUP(A3665,[3]DOORSCRIEFT!$A$2:$G$8551,4,FALSE),"")</f>
        <v/>
      </c>
      <c r="F3665" s="391" t="str">
        <f>IFERROR(VLOOKUP(A3665,[3]DOORSCRIEFT!$A$2:$G$8551,6,FALSE),"")</f>
        <v/>
      </c>
      <c r="G3665" s="349"/>
    </row>
    <row r="3666" spans="1:7" x14ac:dyDescent="0.25">
      <c r="A3666" s="390" t="str">
        <f t="shared" si="105"/>
        <v>I.2.2.02.064189</v>
      </c>
      <c r="B3666" s="319">
        <v>189</v>
      </c>
      <c r="C3666" s="394" t="str">
        <f>IFERROR(VLOOKUP(A3666,[3]DOORSCRIEFT!$A$2:$G$8551,2,FALSE),"")</f>
        <v/>
      </c>
      <c r="D3666" s="393" t="str">
        <f>IFERROR(VLOOKUP(A3666,[3]DOORSCRIEFT!$A$2:$G$8551,3,FALSE),"")</f>
        <v/>
      </c>
      <c r="E3666" s="392" t="str">
        <f>IFERROR(VLOOKUP(A3666,[3]DOORSCRIEFT!$A$2:$G$8551,4,FALSE),"")</f>
        <v/>
      </c>
      <c r="F3666" s="391" t="str">
        <f>IFERROR(VLOOKUP(A3666,[3]DOORSCRIEFT!$A$2:$G$8551,6,FALSE),"")</f>
        <v/>
      </c>
      <c r="G3666" s="349"/>
    </row>
    <row r="3667" spans="1:7" x14ac:dyDescent="0.25">
      <c r="A3667" s="390" t="str">
        <f t="shared" si="105"/>
        <v>I.2.2.02.064190</v>
      </c>
      <c r="B3667" s="345">
        <v>190</v>
      </c>
      <c r="C3667" s="394" t="str">
        <f>IFERROR(VLOOKUP(A3667,[3]DOORSCRIEFT!$A$2:$G$8551,2,FALSE),"")</f>
        <v/>
      </c>
      <c r="D3667" s="393" t="str">
        <f>IFERROR(VLOOKUP(A3667,[3]DOORSCRIEFT!$A$2:$G$8551,3,FALSE),"")</f>
        <v/>
      </c>
      <c r="E3667" s="392" t="str">
        <f>IFERROR(VLOOKUP(A3667,[3]DOORSCRIEFT!$A$2:$G$8551,4,FALSE),"")</f>
        <v/>
      </c>
      <c r="F3667" s="391" t="str">
        <f>IFERROR(VLOOKUP(A3667,[3]DOORSCRIEFT!$A$2:$G$8551,6,FALSE),"")</f>
        <v/>
      </c>
      <c r="G3667" s="349"/>
    </row>
    <row r="3668" spans="1:7" x14ac:dyDescent="0.25">
      <c r="A3668" s="390" t="str">
        <f t="shared" si="105"/>
        <v>I.2.2.02.064191</v>
      </c>
      <c r="B3668" s="319">
        <v>191</v>
      </c>
      <c r="C3668" s="394" t="str">
        <f>IFERROR(VLOOKUP(A3668,[3]DOORSCRIEFT!$A$2:$G$8551,2,FALSE),"")</f>
        <v/>
      </c>
      <c r="D3668" s="393" t="str">
        <f>IFERROR(VLOOKUP(A3668,[3]DOORSCRIEFT!$A$2:$G$8551,3,FALSE),"")</f>
        <v/>
      </c>
      <c r="E3668" s="392" t="str">
        <f>IFERROR(VLOOKUP(A3668,[3]DOORSCRIEFT!$A$2:$G$8551,4,FALSE),"")</f>
        <v/>
      </c>
      <c r="F3668" s="391" t="str">
        <f>IFERROR(VLOOKUP(A3668,[3]DOORSCRIEFT!$A$2:$G$8551,6,FALSE),"")</f>
        <v/>
      </c>
      <c r="G3668" s="349"/>
    </row>
    <row r="3669" spans="1:7" x14ac:dyDescent="0.25">
      <c r="A3669" s="390" t="str">
        <f t="shared" si="105"/>
        <v>I.2.2.02.064192</v>
      </c>
      <c r="B3669" s="345">
        <v>192</v>
      </c>
      <c r="C3669" s="394" t="str">
        <f>IFERROR(VLOOKUP(A3669,[3]DOORSCRIEFT!$A$2:$G$8551,2,FALSE),"")</f>
        <v/>
      </c>
      <c r="D3669" s="393" t="str">
        <f>IFERROR(VLOOKUP(A3669,[3]DOORSCRIEFT!$A$2:$G$8551,3,FALSE),"")</f>
        <v/>
      </c>
      <c r="E3669" s="392" t="str">
        <f>IFERROR(VLOOKUP(A3669,[3]DOORSCRIEFT!$A$2:$G$8551,4,FALSE),"")</f>
        <v/>
      </c>
      <c r="F3669" s="391" t="str">
        <f>IFERROR(VLOOKUP(A3669,[3]DOORSCRIEFT!$A$2:$G$8551,6,FALSE),"")</f>
        <v/>
      </c>
      <c r="G3669" s="349"/>
    </row>
    <row r="3670" spans="1:7" x14ac:dyDescent="0.25">
      <c r="A3670" s="390" t="str">
        <f t="shared" ref="A3670:A3733" si="106">$G$3471&amp;B3670</f>
        <v>I.2.2.02.064193</v>
      </c>
      <c r="B3670" s="319">
        <v>193</v>
      </c>
      <c r="C3670" s="394" t="str">
        <f>IFERROR(VLOOKUP(A3670,[3]DOORSCRIEFT!$A$2:$G$8551,2,FALSE),"")</f>
        <v/>
      </c>
      <c r="D3670" s="393" t="str">
        <f>IFERROR(VLOOKUP(A3670,[3]DOORSCRIEFT!$A$2:$G$8551,3,FALSE),"")</f>
        <v/>
      </c>
      <c r="E3670" s="392" t="str">
        <f>IFERROR(VLOOKUP(A3670,[3]DOORSCRIEFT!$A$2:$G$8551,4,FALSE),"")</f>
        <v/>
      </c>
      <c r="F3670" s="391" t="str">
        <f>IFERROR(VLOOKUP(A3670,[3]DOORSCRIEFT!$A$2:$G$8551,6,FALSE),"")</f>
        <v/>
      </c>
      <c r="G3670" s="349"/>
    </row>
    <row r="3671" spans="1:7" x14ac:dyDescent="0.25">
      <c r="A3671" s="390" t="str">
        <f t="shared" si="106"/>
        <v>I.2.2.02.064194</v>
      </c>
      <c r="B3671" s="345">
        <v>194</v>
      </c>
      <c r="C3671" s="394" t="str">
        <f>IFERROR(VLOOKUP(A3671,[3]DOORSCRIEFT!$A$2:$G$8551,2,FALSE),"")</f>
        <v/>
      </c>
      <c r="D3671" s="393" t="str">
        <f>IFERROR(VLOOKUP(A3671,[3]DOORSCRIEFT!$A$2:$G$8551,3,FALSE),"")</f>
        <v/>
      </c>
      <c r="E3671" s="392" t="str">
        <f>IFERROR(VLOOKUP(A3671,[3]DOORSCRIEFT!$A$2:$G$8551,4,FALSE),"")</f>
        <v/>
      </c>
      <c r="F3671" s="391" t="str">
        <f>IFERROR(VLOOKUP(A3671,[3]DOORSCRIEFT!$A$2:$G$8551,6,FALSE),"")</f>
        <v/>
      </c>
      <c r="G3671" s="349"/>
    </row>
    <row r="3672" spans="1:7" x14ac:dyDescent="0.25">
      <c r="A3672" s="390" t="str">
        <f t="shared" si="106"/>
        <v>I.2.2.02.064195</v>
      </c>
      <c r="B3672" s="319">
        <v>195</v>
      </c>
      <c r="C3672" s="394" t="str">
        <f>IFERROR(VLOOKUP(A3672,[3]DOORSCRIEFT!$A$2:$G$8551,2,FALSE),"")</f>
        <v/>
      </c>
      <c r="D3672" s="393" t="str">
        <f>IFERROR(VLOOKUP(A3672,[3]DOORSCRIEFT!$A$2:$G$8551,3,FALSE),"")</f>
        <v/>
      </c>
      <c r="E3672" s="392" t="str">
        <f>IFERROR(VLOOKUP(A3672,[3]DOORSCRIEFT!$A$2:$G$8551,4,FALSE),"")</f>
        <v/>
      </c>
      <c r="F3672" s="391" t="str">
        <f>IFERROR(VLOOKUP(A3672,[3]DOORSCRIEFT!$A$2:$G$8551,6,FALSE),"")</f>
        <v/>
      </c>
      <c r="G3672" s="349"/>
    </row>
    <row r="3673" spans="1:7" x14ac:dyDescent="0.25">
      <c r="A3673" s="390" t="str">
        <f t="shared" si="106"/>
        <v>I.2.2.02.064196</v>
      </c>
      <c r="B3673" s="345">
        <v>196</v>
      </c>
      <c r="C3673" s="394" t="str">
        <f>IFERROR(VLOOKUP(A3673,[3]DOORSCRIEFT!$A$2:$G$8551,2,FALSE),"")</f>
        <v/>
      </c>
      <c r="D3673" s="393" t="str">
        <f>IFERROR(VLOOKUP(A3673,[3]DOORSCRIEFT!$A$2:$G$8551,3,FALSE),"")</f>
        <v/>
      </c>
      <c r="E3673" s="392" t="str">
        <f>IFERROR(VLOOKUP(A3673,[3]DOORSCRIEFT!$A$2:$G$8551,4,FALSE),"")</f>
        <v/>
      </c>
      <c r="F3673" s="391" t="str">
        <f>IFERROR(VLOOKUP(A3673,[3]DOORSCRIEFT!$A$2:$G$8551,6,FALSE),"")</f>
        <v/>
      </c>
      <c r="G3673" s="349"/>
    </row>
    <row r="3674" spans="1:7" x14ac:dyDescent="0.25">
      <c r="A3674" s="390" t="str">
        <f t="shared" si="106"/>
        <v>I.2.2.02.064197</v>
      </c>
      <c r="B3674" s="319">
        <v>197</v>
      </c>
      <c r="C3674" s="394" t="str">
        <f>IFERROR(VLOOKUP(A3674,[3]DOORSCRIEFT!$A$2:$G$8551,2,FALSE),"")</f>
        <v/>
      </c>
      <c r="D3674" s="393" t="str">
        <f>IFERROR(VLOOKUP(A3674,[3]DOORSCRIEFT!$A$2:$G$8551,3,FALSE),"")</f>
        <v/>
      </c>
      <c r="E3674" s="392" t="str">
        <f>IFERROR(VLOOKUP(A3674,[3]DOORSCRIEFT!$A$2:$G$8551,4,FALSE),"")</f>
        <v/>
      </c>
      <c r="F3674" s="391" t="str">
        <f>IFERROR(VLOOKUP(A3674,[3]DOORSCRIEFT!$A$2:$G$8551,6,FALSE),"")</f>
        <v/>
      </c>
      <c r="G3674" s="349"/>
    </row>
    <row r="3675" spans="1:7" x14ac:dyDescent="0.25">
      <c r="A3675" s="390" t="str">
        <f t="shared" si="106"/>
        <v>I.2.2.02.064198</v>
      </c>
      <c r="B3675" s="345">
        <v>198</v>
      </c>
      <c r="C3675" s="394" t="str">
        <f>IFERROR(VLOOKUP(A3675,[3]DOORSCRIEFT!$A$2:$G$8551,2,FALSE),"")</f>
        <v/>
      </c>
      <c r="D3675" s="393" t="str">
        <f>IFERROR(VLOOKUP(A3675,[3]DOORSCRIEFT!$A$2:$G$8551,3,FALSE),"")</f>
        <v/>
      </c>
      <c r="E3675" s="392" t="str">
        <f>IFERROR(VLOOKUP(A3675,[3]DOORSCRIEFT!$A$2:$G$8551,4,FALSE),"")</f>
        <v/>
      </c>
      <c r="F3675" s="391" t="str">
        <f>IFERROR(VLOOKUP(A3675,[3]DOORSCRIEFT!$A$2:$G$8551,6,FALSE),"")</f>
        <v/>
      </c>
      <c r="G3675" s="349"/>
    </row>
    <row r="3676" spans="1:7" x14ac:dyDescent="0.25">
      <c r="A3676" s="390" t="str">
        <f t="shared" si="106"/>
        <v>I.2.2.02.064199</v>
      </c>
      <c r="B3676" s="319">
        <v>199</v>
      </c>
      <c r="C3676" s="394" t="str">
        <f>IFERROR(VLOOKUP(A3676,[3]DOORSCRIEFT!$A$2:$G$8551,2,FALSE),"")</f>
        <v/>
      </c>
      <c r="D3676" s="393" t="str">
        <f>IFERROR(VLOOKUP(A3676,[3]DOORSCRIEFT!$A$2:$G$8551,3,FALSE),"")</f>
        <v/>
      </c>
      <c r="E3676" s="392" t="str">
        <f>IFERROR(VLOOKUP(A3676,[3]DOORSCRIEFT!$A$2:$G$8551,4,FALSE),"")</f>
        <v/>
      </c>
      <c r="F3676" s="391" t="str">
        <f>IFERROR(VLOOKUP(A3676,[3]DOORSCRIEFT!$A$2:$G$8551,6,FALSE),"")</f>
        <v/>
      </c>
      <c r="G3676" s="349"/>
    </row>
    <row r="3677" spans="1:7" x14ac:dyDescent="0.25">
      <c r="A3677" s="390" t="str">
        <f t="shared" si="106"/>
        <v>I.2.2.02.064200</v>
      </c>
      <c r="B3677" s="345">
        <v>200</v>
      </c>
      <c r="C3677" s="394" t="str">
        <f>IFERROR(VLOOKUP(A3677,[3]DOORSCRIEFT!$A$2:$G$8551,2,FALSE),"")</f>
        <v/>
      </c>
      <c r="D3677" s="393" t="str">
        <f>IFERROR(VLOOKUP(A3677,[3]DOORSCRIEFT!$A$2:$G$8551,3,FALSE),"")</f>
        <v/>
      </c>
      <c r="E3677" s="392" t="str">
        <f>IFERROR(VLOOKUP(A3677,[3]DOORSCRIEFT!$A$2:$G$8551,4,FALSE),"")</f>
        <v/>
      </c>
      <c r="F3677" s="391" t="str">
        <f>IFERROR(VLOOKUP(A3677,[3]DOORSCRIEFT!$A$2:$G$8551,6,FALSE),"")</f>
        <v/>
      </c>
      <c r="G3677" s="349"/>
    </row>
    <row r="3678" spans="1:7" x14ac:dyDescent="0.25">
      <c r="A3678" s="390" t="str">
        <f t="shared" si="106"/>
        <v>I.2.2.02.064201</v>
      </c>
      <c r="B3678" s="319">
        <v>201</v>
      </c>
      <c r="C3678" s="394" t="str">
        <f>IFERROR(VLOOKUP(A3678,[3]DOORSCRIEFT!$A$2:$G$8551,2,FALSE),"")</f>
        <v/>
      </c>
      <c r="D3678" s="393" t="str">
        <f>IFERROR(VLOOKUP(A3678,[3]DOORSCRIEFT!$A$2:$G$8551,3,FALSE),"")</f>
        <v/>
      </c>
      <c r="E3678" s="392" t="str">
        <f>IFERROR(VLOOKUP(A3678,[3]DOORSCRIEFT!$A$2:$G$8551,4,FALSE),"")</f>
        <v/>
      </c>
      <c r="F3678" s="391" t="str">
        <f>IFERROR(VLOOKUP(A3678,[3]DOORSCRIEFT!$A$2:$G$8551,6,FALSE),"")</f>
        <v/>
      </c>
      <c r="G3678" s="349"/>
    </row>
    <row r="3679" spans="1:7" x14ac:dyDescent="0.25">
      <c r="A3679" s="390" t="str">
        <f t="shared" si="106"/>
        <v>I.2.2.02.064202</v>
      </c>
      <c r="B3679" s="345">
        <v>202</v>
      </c>
      <c r="C3679" s="394" t="str">
        <f>IFERROR(VLOOKUP(A3679,[3]DOORSCRIEFT!$A$2:$G$8551,2,FALSE),"")</f>
        <v/>
      </c>
      <c r="D3679" s="393" t="str">
        <f>IFERROR(VLOOKUP(A3679,[3]DOORSCRIEFT!$A$2:$G$8551,3,FALSE),"")</f>
        <v/>
      </c>
      <c r="E3679" s="392" t="str">
        <f>IFERROR(VLOOKUP(A3679,[3]DOORSCRIEFT!$A$2:$G$8551,4,FALSE),"")</f>
        <v/>
      </c>
      <c r="F3679" s="391" t="str">
        <f>IFERROR(VLOOKUP(A3679,[3]DOORSCRIEFT!$A$2:$G$8551,6,FALSE),"")</f>
        <v/>
      </c>
      <c r="G3679" s="349"/>
    </row>
    <row r="3680" spans="1:7" x14ac:dyDescent="0.25">
      <c r="A3680" s="390" t="str">
        <f t="shared" si="106"/>
        <v>I.2.2.02.064203</v>
      </c>
      <c r="B3680" s="319">
        <v>203</v>
      </c>
      <c r="C3680" s="394" t="str">
        <f>IFERROR(VLOOKUP(A3680,[3]DOORSCRIEFT!$A$2:$G$8551,2,FALSE),"")</f>
        <v/>
      </c>
      <c r="D3680" s="393" t="str">
        <f>IFERROR(VLOOKUP(A3680,[3]DOORSCRIEFT!$A$2:$G$8551,3,FALSE),"")</f>
        <v/>
      </c>
      <c r="E3680" s="392" t="str">
        <f>IFERROR(VLOOKUP(A3680,[3]DOORSCRIEFT!$A$2:$G$8551,4,FALSE),"")</f>
        <v/>
      </c>
      <c r="F3680" s="391" t="str">
        <f>IFERROR(VLOOKUP(A3680,[3]DOORSCRIEFT!$A$2:$G$8551,6,FALSE),"")</f>
        <v/>
      </c>
      <c r="G3680" s="349"/>
    </row>
    <row r="3681" spans="1:7" x14ac:dyDescent="0.25">
      <c r="A3681" s="390" t="str">
        <f t="shared" si="106"/>
        <v>I.2.2.02.064204</v>
      </c>
      <c r="B3681" s="345">
        <v>204</v>
      </c>
      <c r="C3681" s="394" t="str">
        <f>IFERROR(VLOOKUP(A3681,[3]DOORSCRIEFT!$A$2:$G$8551,2,FALSE),"")</f>
        <v/>
      </c>
      <c r="D3681" s="393" t="str">
        <f>IFERROR(VLOOKUP(A3681,[3]DOORSCRIEFT!$A$2:$G$8551,3,FALSE),"")</f>
        <v/>
      </c>
      <c r="E3681" s="392" t="str">
        <f>IFERROR(VLOOKUP(A3681,[3]DOORSCRIEFT!$A$2:$G$8551,4,FALSE),"")</f>
        <v/>
      </c>
      <c r="F3681" s="391" t="str">
        <f>IFERROR(VLOOKUP(A3681,[3]DOORSCRIEFT!$A$2:$G$8551,6,FALSE),"")</f>
        <v/>
      </c>
      <c r="G3681" s="349"/>
    </row>
    <row r="3682" spans="1:7" x14ac:dyDescent="0.25">
      <c r="A3682" s="390" t="str">
        <f t="shared" si="106"/>
        <v>I.2.2.02.064205</v>
      </c>
      <c r="B3682" s="319">
        <v>205</v>
      </c>
      <c r="C3682" s="394" t="str">
        <f>IFERROR(VLOOKUP(A3682,[3]DOORSCRIEFT!$A$2:$G$8551,2,FALSE),"")</f>
        <v/>
      </c>
      <c r="D3682" s="393" t="str">
        <f>IFERROR(VLOOKUP(A3682,[3]DOORSCRIEFT!$A$2:$G$8551,3,FALSE),"")</f>
        <v/>
      </c>
      <c r="E3682" s="392" t="str">
        <f>IFERROR(VLOOKUP(A3682,[3]DOORSCRIEFT!$A$2:$G$8551,4,FALSE),"")</f>
        <v/>
      </c>
      <c r="F3682" s="391" t="str">
        <f>IFERROR(VLOOKUP(A3682,[3]DOORSCRIEFT!$A$2:$G$8551,6,FALSE),"")</f>
        <v/>
      </c>
      <c r="G3682" s="349"/>
    </row>
    <row r="3683" spans="1:7" x14ac:dyDescent="0.25">
      <c r="A3683" s="390" t="str">
        <f t="shared" si="106"/>
        <v>I.2.2.02.064206</v>
      </c>
      <c r="B3683" s="345">
        <v>206</v>
      </c>
      <c r="C3683" s="394" t="str">
        <f>IFERROR(VLOOKUP(A3683,[3]DOORSCRIEFT!$A$2:$G$8551,2,FALSE),"")</f>
        <v/>
      </c>
      <c r="D3683" s="393" t="str">
        <f>IFERROR(VLOOKUP(A3683,[3]DOORSCRIEFT!$A$2:$G$8551,3,FALSE),"")</f>
        <v/>
      </c>
      <c r="E3683" s="392" t="str">
        <f>IFERROR(VLOOKUP(A3683,[3]DOORSCRIEFT!$A$2:$G$8551,4,FALSE),"")</f>
        <v/>
      </c>
      <c r="F3683" s="391" t="str">
        <f>IFERROR(VLOOKUP(A3683,[3]DOORSCRIEFT!$A$2:$G$8551,6,FALSE),"")</f>
        <v/>
      </c>
      <c r="G3683" s="349"/>
    </row>
    <row r="3684" spans="1:7" x14ac:dyDescent="0.25">
      <c r="A3684" s="390" t="str">
        <f t="shared" si="106"/>
        <v>I.2.2.02.064207</v>
      </c>
      <c r="B3684" s="319">
        <v>207</v>
      </c>
      <c r="C3684" s="394" t="str">
        <f>IFERROR(VLOOKUP(A3684,[3]DOORSCRIEFT!$A$2:$G$8551,2,FALSE),"")</f>
        <v/>
      </c>
      <c r="D3684" s="393" t="str">
        <f>IFERROR(VLOOKUP(A3684,[3]DOORSCRIEFT!$A$2:$G$8551,3,FALSE),"")</f>
        <v/>
      </c>
      <c r="E3684" s="392" t="str">
        <f>IFERROR(VLOOKUP(A3684,[3]DOORSCRIEFT!$A$2:$G$8551,4,FALSE),"")</f>
        <v/>
      </c>
      <c r="F3684" s="391" t="str">
        <f>IFERROR(VLOOKUP(A3684,[3]DOORSCRIEFT!$A$2:$G$8551,6,FALSE),"")</f>
        <v/>
      </c>
      <c r="G3684" s="349"/>
    </row>
    <row r="3685" spans="1:7" x14ac:dyDescent="0.25">
      <c r="A3685" s="390" t="str">
        <f t="shared" si="106"/>
        <v>I.2.2.02.064208</v>
      </c>
      <c r="B3685" s="345">
        <v>208</v>
      </c>
      <c r="C3685" s="394" t="str">
        <f>IFERROR(VLOOKUP(A3685,[3]DOORSCRIEFT!$A$2:$G$8551,2,FALSE),"")</f>
        <v/>
      </c>
      <c r="D3685" s="393" t="str">
        <f>IFERROR(VLOOKUP(A3685,[3]DOORSCRIEFT!$A$2:$G$8551,3,FALSE),"")</f>
        <v/>
      </c>
      <c r="E3685" s="392" t="str">
        <f>IFERROR(VLOOKUP(A3685,[3]DOORSCRIEFT!$A$2:$G$8551,4,FALSE),"")</f>
        <v/>
      </c>
      <c r="F3685" s="391" t="str">
        <f>IFERROR(VLOOKUP(A3685,[3]DOORSCRIEFT!$A$2:$G$8551,6,FALSE),"")</f>
        <v/>
      </c>
      <c r="G3685" s="349"/>
    </row>
    <row r="3686" spans="1:7" x14ac:dyDescent="0.25">
      <c r="A3686" s="390" t="str">
        <f t="shared" si="106"/>
        <v>I.2.2.02.064209</v>
      </c>
      <c r="B3686" s="319">
        <v>209</v>
      </c>
      <c r="C3686" s="394" t="str">
        <f>IFERROR(VLOOKUP(A3686,[3]DOORSCRIEFT!$A$2:$G$8551,2,FALSE),"")</f>
        <v/>
      </c>
      <c r="D3686" s="393" t="str">
        <f>IFERROR(VLOOKUP(A3686,[3]DOORSCRIEFT!$A$2:$G$8551,3,FALSE),"")</f>
        <v/>
      </c>
      <c r="E3686" s="392" t="str">
        <f>IFERROR(VLOOKUP(A3686,[3]DOORSCRIEFT!$A$2:$G$8551,4,FALSE),"")</f>
        <v/>
      </c>
      <c r="F3686" s="391" t="str">
        <f>IFERROR(VLOOKUP(A3686,[3]DOORSCRIEFT!$A$2:$G$8551,6,FALSE),"")</f>
        <v/>
      </c>
      <c r="G3686" s="349"/>
    </row>
    <row r="3687" spans="1:7" x14ac:dyDescent="0.25">
      <c r="A3687" s="390" t="str">
        <f t="shared" si="106"/>
        <v>I.2.2.02.064210</v>
      </c>
      <c r="B3687" s="345">
        <v>210</v>
      </c>
      <c r="C3687" s="394" t="str">
        <f>IFERROR(VLOOKUP(A3687,[3]DOORSCRIEFT!$A$2:$G$8551,2,FALSE),"")</f>
        <v/>
      </c>
      <c r="D3687" s="393" t="str">
        <f>IFERROR(VLOOKUP(A3687,[3]DOORSCRIEFT!$A$2:$G$8551,3,FALSE),"")</f>
        <v/>
      </c>
      <c r="E3687" s="392" t="str">
        <f>IFERROR(VLOOKUP(A3687,[3]DOORSCRIEFT!$A$2:$G$8551,4,FALSE),"")</f>
        <v/>
      </c>
      <c r="F3687" s="391" t="str">
        <f>IFERROR(VLOOKUP(A3687,[3]DOORSCRIEFT!$A$2:$G$8551,6,FALSE),"")</f>
        <v/>
      </c>
      <c r="G3687" s="349"/>
    </row>
    <row r="3688" spans="1:7" x14ac:dyDescent="0.25">
      <c r="A3688" s="390" t="str">
        <f t="shared" si="106"/>
        <v>I.2.2.02.064211</v>
      </c>
      <c r="B3688" s="319">
        <v>211</v>
      </c>
      <c r="C3688" s="394" t="str">
        <f>IFERROR(VLOOKUP(A3688,[3]DOORSCRIEFT!$A$2:$G$8551,2,FALSE),"")</f>
        <v/>
      </c>
      <c r="D3688" s="393" t="str">
        <f>IFERROR(VLOOKUP(A3688,[3]DOORSCRIEFT!$A$2:$G$8551,3,FALSE),"")</f>
        <v/>
      </c>
      <c r="E3688" s="392" t="str">
        <f>IFERROR(VLOOKUP(A3688,[3]DOORSCRIEFT!$A$2:$G$8551,4,FALSE),"")</f>
        <v/>
      </c>
      <c r="F3688" s="391" t="str">
        <f>IFERROR(VLOOKUP(A3688,[3]DOORSCRIEFT!$A$2:$G$8551,6,FALSE),"")</f>
        <v/>
      </c>
      <c r="G3688" s="349"/>
    </row>
    <row r="3689" spans="1:7" x14ac:dyDescent="0.25">
      <c r="A3689" s="390" t="str">
        <f t="shared" si="106"/>
        <v>I.2.2.02.064212</v>
      </c>
      <c r="B3689" s="345">
        <v>212</v>
      </c>
      <c r="C3689" s="394" t="str">
        <f>IFERROR(VLOOKUP(A3689,[3]DOORSCRIEFT!$A$2:$G$8551,2,FALSE),"")</f>
        <v/>
      </c>
      <c r="D3689" s="393" t="str">
        <f>IFERROR(VLOOKUP(A3689,[3]DOORSCRIEFT!$A$2:$G$8551,3,FALSE),"")</f>
        <v/>
      </c>
      <c r="E3689" s="392" t="str">
        <f>IFERROR(VLOOKUP(A3689,[3]DOORSCRIEFT!$A$2:$G$8551,4,FALSE),"")</f>
        <v/>
      </c>
      <c r="F3689" s="391" t="str">
        <f>IFERROR(VLOOKUP(A3689,[3]DOORSCRIEFT!$A$2:$G$8551,6,FALSE),"")</f>
        <v/>
      </c>
      <c r="G3689" s="349"/>
    </row>
    <row r="3690" spans="1:7" x14ac:dyDescent="0.25">
      <c r="A3690" s="390" t="str">
        <f t="shared" si="106"/>
        <v>I.2.2.02.064213</v>
      </c>
      <c r="B3690" s="319">
        <v>213</v>
      </c>
      <c r="C3690" s="394" t="str">
        <f>IFERROR(VLOOKUP(A3690,[3]DOORSCRIEFT!$A$2:$G$8551,2,FALSE),"")</f>
        <v/>
      </c>
      <c r="D3690" s="393" t="str">
        <f>IFERROR(VLOOKUP(A3690,[3]DOORSCRIEFT!$A$2:$G$8551,3,FALSE),"")</f>
        <v/>
      </c>
      <c r="E3690" s="392" t="str">
        <f>IFERROR(VLOOKUP(A3690,[3]DOORSCRIEFT!$A$2:$G$8551,4,FALSE),"")</f>
        <v/>
      </c>
      <c r="F3690" s="391" t="str">
        <f>IFERROR(VLOOKUP(A3690,[3]DOORSCRIEFT!$A$2:$G$8551,6,FALSE),"")</f>
        <v/>
      </c>
      <c r="G3690" s="349"/>
    </row>
    <row r="3691" spans="1:7" x14ac:dyDescent="0.25">
      <c r="A3691" s="390" t="str">
        <f t="shared" si="106"/>
        <v>I.2.2.02.064214</v>
      </c>
      <c r="B3691" s="345">
        <v>214</v>
      </c>
      <c r="C3691" s="394" t="str">
        <f>IFERROR(VLOOKUP(A3691,[3]DOORSCRIEFT!$A$2:$G$8551,2,FALSE),"")</f>
        <v/>
      </c>
      <c r="D3691" s="393" t="str">
        <f>IFERROR(VLOOKUP(A3691,[3]DOORSCRIEFT!$A$2:$G$8551,3,FALSE),"")</f>
        <v/>
      </c>
      <c r="E3691" s="392" t="str">
        <f>IFERROR(VLOOKUP(A3691,[3]DOORSCRIEFT!$A$2:$G$8551,4,FALSE),"")</f>
        <v/>
      </c>
      <c r="F3691" s="391" t="str">
        <f>IFERROR(VLOOKUP(A3691,[3]DOORSCRIEFT!$A$2:$G$8551,6,FALSE),"")</f>
        <v/>
      </c>
      <c r="G3691" s="349"/>
    </row>
    <row r="3692" spans="1:7" x14ac:dyDescent="0.25">
      <c r="A3692" s="390" t="str">
        <f t="shared" si="106"/>
        <v>I.2.2.02.064215</v>
      </c>
      <c r="B3692" s="319">
        <v>215</v>
      </c>
      <c r="C3692" s="394" t="str">
        <f>IFERROR(VLOOKUP(A3692,[3]DOORSCRIEFT!$A$2:$G$8551,2,FALSE),"")</f>
        <v/>
      </c>
      <c r="D3692" s="393" t="str">
        <f>IFERROR(VLOOKUP(A3692,[3]DOORSCRIEFT!$A$2:$G$8551,3,FALSE),"")</f>
        <v/>
      </c>
      <c r="E3692" s="392" t="str">
        <f>IFERROR(VLOOKUP(A3692,[3]DOORSCRIEFT!$A$2:$G$8551,4,FALSE),"")</f>
        <v/>
      </c>
      <c r="F3692" s="391" t="str">
        <f>IFERROR(VLOOKUP(A3692,[3]DOORSCRIEFT!$A$2:$G$8551,6,FALSE),"")</f>
        <v/>
      </c>
      <c r="G3692" s="349"/>
    </row>
    <row r="3693" spans="1:7" x14ac:dyDescent="0.25">
      <c r="A3693" s="390" t="str">
        <f t="shared" si="106"/>
        <v>I.2.2.02.064216</v>
      </c>
      <c r="B3693" s="345">
        <v>216</v>
      </c>
      <c r="C3693" s="394" t="str">
        <f>IFERROR(VLOOKUP(A3693,[3]DOORSCRIEFT!$A$2:$G$8551,2,FALSE),"")</f>
        <v/>
      </c>
      <c r="D3693" s="393" t="str">
        <f>IFERROR(VLOOKUP(A3693,[3]DOORSCRIEFT!$A$2:$G$8551,3,FALSE),"")</f>
        <v/>
      </c>
      <c r="E3693" s="392" t="str">
        <f>IFERROR(VLOOKUP(A3693,[3]DOORSCRIEFT!$A$2:$G$8551,4,FALSE),"")</f>
        <v/>
      </c>
      <c r="F3693" s="391" t="str">
        <f>IFERROR(VLOOKUP(A3693,[3]DOORSCRIEFT!$A$2:$G$8551,6,FALSE),"")</f>
        <v/>
      </c>
      <c r="G3693" s="349"/>
    </row>
    <row r="3694" spans="1:7" x14ac:dyDescent="0.25">
      <c r="A3694" s="390" t="str">
        <f t="shared" si="106"/>
        <v>I.2.2.02.064217</v>
      </c>
      <c r="B3694" s="319">
        <v>217</v>
      </c>
      <c r="C3694" s="394" t="str">
        <f>IFERROR(VLOOKUP(A3694,[3]DOORSCRIEFT!$A$2:$G$8551,2,FALSE),"")</f>
        <v/>
      </c>
      <c r="D3694" s="393" t="str">
        <f>IFERROR(VLOOKUP(A3694,[3]DOORSCRIEFT!$A$2:$G$8551,3,FALSE),"")</f>
        <v/>
      </c>
      <c r="E3694" s="392" t="str">
        <f>IFERROR(VLOOKUP(A3694,[3]DOORSCRIEFT!$A$2:$G$8551,4,FALSE),"")</f>
        <v/>
      </c>
      <c r="F3694" s="391" t="str">
        <f>IFERROR(VLOOKUP(A3694,[3]DOORSCRIEFT!$A$2:$G$8551,6,FALSE),"")</f>
        <v/>
      </c>
      <c r="G3694" s="349"/>
    </row>
    <row r="3695" spans="1:7" x14ac:dyDescent="0.25">
      <c r="A3695" s="390" t="str">
        <f t="shared" si="106"/>
        <v>I.2.2.02.064218</v>
      </c>
      <c r="B3695" s="345">
        <v>218</v>
      </c>
      <c r="C3695" s="394" t="str">
        <f>IFERROR(VLOOKUP(A3695,[3]DOORSCRIEFT!$A$2:$G$8551,2,FALSE),"")</f>
        <v/>
      </c>
      <c r="D3695" s="393" t="str">
        <f>IFERROR(VLOOKUP(A3695,[3]DOORSCRIEFT!$A$2:$G$8551,3,FALSE),"")</f>
        <v/>
      </c>
      <c r="E3695" s="392" t="str">
        <f>IFERROR(VLOOKUP(A3695,[3]DOORSCRIEFT!$A$2:$G$8551,4,FALSE),"")</f>
        <v/>
      </c>
      <c r="F3695" s="391" t="str">
        <f>IFERROR(VLOOKUP(A3695,[3]DOORSCRIEFT!$A$2:$G$8551,6,FALSE),"")</f>
        <v/>
      </c>
      <c r="G3695" s="349"/>
    </row>
    <row r="3696" spans="1:7" x14ac:dyDescent="0.25">
      <c r="A3696" s="390" t="str">
        <f t="shared" si="106"/>
        <v>I.2.2.02.064219</v>
      </c>
      <c r="B3696" s="319">
        <v>219</v>
      </c>
      <c r="C3696" s="394" t="str">
        <f>IFERROR(VLOOKUP(A3696,[3]DOORSCRIEFT!$A$2:$G$8551,2,FALSE),"")</f>
        <v/>
      </c>
      <c r="D3696" s="393" t="str">
        <f>IFERROR(VLOOKUP(A3696,[3]DOORSCRIEFT!$A$2:$G$8551,3,FALSE),"")</f>
        <v/>
      </c>
      <c r="E3696" s="392" t="str">
        <f>IFERROR(VLOOKUP(A3696,[3]DOORSCRIEFT!$A$2:$G$8551,4,FALSE),"")</f>
        <v/>
      </c>
      <c r="F3696" s="391" t="str">
        <f>IFERROR(VLOOKUP(A3696,[3]DOORSCRIEFT!$A$2:$G$8551,6,FALSE),"")</f>
        <v/>
      </c>
      <c r="G3696" s="349"/>
    </row>
    <row r="3697" spans="1:7" x14ac:dyDescent="0.25">
      <c r="A3697" s="390" t="str">
        <f t="shared" si="106"/>
        <v>I.2.2.02.064220</v>
      </c>
      <c r="B3697" s="345">
        <v>220</v>
      </c>
      <c r="C3697" s="394" t="str">
        <f>IFERROR(VLOOKUP(A3697,[3]DOORSCRIEFT!$A$2:$G$8551,2,FALSE),"")</f>
        <v/>
      </c>
      <c r="D3697" s="393" t="str">
        <f>IFERROR(VLOOKUP(A3697,[3]DOORSCRIEFT!$A$2:$G$8551,3,FALSE),"")</f>
        <v/>
      </c>
      <c r="E3697" s="392" t="str">
        <f>IFERROR(VLOOKUP(A3697,[3]DOORSCRIEFT!$A$2:$G$8551,4,FALSE),"")</f>
        <v/>
      </c>
      <c r="F3697" s="391" t="str">
        <f>IFERROR(VLOOKUP(A3697,[3]DOORSCRIEFT!$A$2:$G$8551,6,FALSE),"")</f>
        <v/>
      </c>
      <c r="G3697" s="349"/>
    </row>
    <row r="3698" spans="1:7" x14ac:dyDescent="0.25">
      <c r="A3698" s="390" t="str">
        <f t="shared" si="106"/>
        <v>I.2.2.02.064221</v>
      </c>
      <c r="B3698" s="319">
        <v>221</v>
      </c>
      <c r="C3698" s="394" t="str">
        <f>IFERROR(VLOOKUP(A3698,[3]DOORSCRIEFT!$A$2:$G$8551,2,FALSE),"")</f>
        <v/>
      </c>
      <c r="D3698" s="393" t="str">
        <f>IFERROR(VLOOKUP(A3698,[3]DOORSCRIEFT!$A$2:$G$8551,3,FALSE),"")</f>
        <v/>
      </c>
      <c r="E3698" s="392" t="str">
        <f>IFERROR(VLOOKUP(A3698,[3]DOORSCRIEFT!$A$2:$G$8551,4,FALSE),"")</f>
        <v/>
      </c>
      <c r="F3698" s="391" t="str">
        <f>IFERROR(VLOOKUP(A3698,[3]DOORSCRIEFT!$A$2:$G$8551,6,FALSE),"")</f>
        <v/>
      </c>
      <c r="G3698" s="349"/>
    </row>
    <row r="3699" spans="1:7" x14ac:dyDescent="0.25">
      <c r="A3699" s="390" t="str">
        <f t="shared" si="106"/>
        <v>I.2.2.02.064222</v>
      </c>
      <c r="B3699" s="345">
        <v>222</v>
      </c>
      <c r="C3699" s="394" t="str">
        <f>IFERROR(VLOOKUP(A3699,[3]DOORSCRIEFT!$A$2:$G$8551,2,FALSE),"")</f>
        <v/>
      </c>
      <c r="D3699" s="393" t="str">
        <f>IFERROR(VLOOKUP(A3699,[3]DOORSCRIEFT!$A$2:$G$8551,3,FALSE),"")</f>
        <v/>
      </c>
      <c r="E3699" s="392" t="str">
        <f>IFERROR(VLOOKUP(A3699,[3]DOORSCRIEFT!$A$2:$G$8551,4,FALSE),"")</f>
        <v/>
      </c>
      <c r="F3699" s="391" t="str">
        <f>IFERROR(VLOOKUP(A3699,[3]DOORSCRIEFT!$A$2:$G$8551,6,FALSE),"")</f>
        <v/>
      </c>
      <c r="G3699" s="349"/>
    </row>
    <row r="3700" spans="1:7" x14ac:dyDescent="0.25">
      <c r="A3700" s="390" t="str">
        <f t="shared" si="106"/>
        <v>I.2.2.02.064223</v>
      </c>
      <c r="B3700" s="319">
        <v>223</v>
      </c>
      <c r="C3700" s="394" t="str">
        <f>IFERROR(VLOOKUP(A3700,[3]DOORSCRIEFT!$A$2:$G$8551,2,FALSE),"")</f>
        <v/>
      </c>
      <c r="D3700" s="393" t="str">
        <f>IFERROR(VLOOKUP(A3700,[3]DOORSCRIEFT!$A$2:$G$8551,3,FALSE),"")</f>
        <v/>
      </c>
      <c r="E3700" s="392" t="str">
        <f>IFERROR(VLOOKUP(A3700,[3]DOORSCRIEFT!$A$2:$G$8551,4,FALSE),"")</f>
        <v/>
      </c>
      <c r="F3700" s="391" t="str">
        <f>IFERROR(VLOOKUP(A3700,[3]DOORSCRIEFT!$A$2:$G$8551,6,FALSE),"")</f>
        <v/>
      </c>
      <c r="G3700" s="349"/>
    </row>
    <row r="3701" spans="1:7" x14ac:dyDescent="0.25">
      <c r="A3701" s="390" t="str">
        <f t="shared" si="106"/>
        <v>I.2.2.02.064224</v>
      </c>
      <c r="B3701" s="345">
        <v>224</v>
      </c>
      <c r="C3701" s="394" t="str">
        <f>IFERROR(VLOOKUP(A3701,[3]DOORSCRIEFT!$A$2:$G$8551,2,FALSE),"")</f>
        <v/>
      </c>
      <c r="D3701" s="393" t="str">
        <f>IFERROR(VLOOKUP(A3701,[3]DOORSCRIEFT!$A$2:$G$8551,3,FALSE),"")</f>
        <v/>
      </c>
      <c r="E3701" s="392" t="str">
        <f>IFERROR(VLOOKUP(A3701,[3]DOORSCRIEFT!$A$2:$G$8551,4,FALSE),"")</f>
        <v/>
      </c>
      <c r="F3701" s="391" t="str">
        <f>IFERROR(VLOOKUP(A3701,[3]DOORSCRIEFT!$A$2:$G$8551,6,FALSE),"")</f>
        <v/>
      </c>
      <c r="G3701" s="349"/>
    </row>
    <row r="3702" spans="1:7" x14ac:dyDescent="0.25">
      <c r="A3702" s="390" t="str">
        <f t="shared" si="106"/>
        <v>I.2.2.02.064225</v>
      </c>
      <c r="B3702" s="319">
        <v>225</v>
      </c>
      <c r="C3702" s="394" t="str">
        <f>IFERROR(VLOOKUP(A3702,[3]DOORSCRIEFT!$A$2:$G$8551,2,FALSE),"")</f>
        <v/>
      </c>
      <c r="D3702" s="393" t="str">
        <f>IFERROR(VLOOKUP(A3702,[3]DOORSCRIEFT!$A$2:$G$8551,3,FALSE),"")</f>
        <v/>
      </c>
      <c r="E3702" s="392" t="str">
        <f>IFERROR(VLOOKUP(A3702,[3]DOORSCRIEFT!$A$2:$G$8551,4,FALSE),"")</f>
        <v/>
      </c>
      <c r="F3702" s="391" t="str">
        <f>IFERROR(VLOOKUP(A3702,[3]DOORSCRIEFT!$A$2:$G$8551,6,FALSE),"")</f>
        <v/>
      </c>
      <c r="G3702" s="349"/>
    </row>
    <row r="3703" spans="1:7" x14ac:dyDescent="0.25">
      <c r="A3703" s="390" t="str">
        <f t="shared" si="106"/>
        <v>I.2.2.02.064226</v>
      </c>
      <c r="B3703" s="345">
        <v>226</v>
      </c>
      <c r="C3703" s="394" t="str">
        <f>IFERROR(VLOOKUP(A3703,[3]DOORSCRIEFT!$A$2:$G$8551,2,FALSE),"")</f>
        <v/>
      </c>
      <c r="D3703" s="393" t="str">
        <f>IFERROR(VLOOKUP(A3703,[3]DOORSCRIEFT!$A$2:$G$8551,3,FALSE),"")</f>
        <v/>
      </c>
      <c r="E3703" s="392" t="str">
        <f>IFERROR(VLOOKUP(A3703,[3]DOORSCRIEFT!$A$2:$G$8551,4,FALSE),"")</f>
        <v/>
      </c>
      <c r="F3703" s="391" t="str">
        <f>IFERROR(VLOOKUP(A3703,[3]DOORSCRIEFT!$A$2:$G$8551,6,FALSE),"")</f>
        <v/>
      </c>
      <c r="G3703" s="349"/>
    </row>
    <row r="3704" spans="1:7" x14ac:dyDescent="0.25">
      <c r="A3704" s="390" t="str">
        <f t="shared" si="106"/>
        <v>I.2.2.02.064227</v>
      </c>
      <c r="B3704" s="319">
        <v>227</v>
      </c>
      <c r="C3704" s="394" t="str">
        <f>IFERROR(VLOOKUP(A3704,[3]DOORSCRIEFT!$A$2:$G$8551,2,FALSE),"")</f>
        <v/>
      </c>
      <c r="D3704" s="393" t="str">
        <f>IFERROR(VLOOKUP(A3704,[3]DOORSCRIEFT!$A$2:$G$8551,3,FALSE),"")</f>
        <v/>
      </c>
      <c r="E3704" s="392" t="str">
        <f>IFERROR(VLOOKUP(A3704,[3]DOORSCRIEFT!$A$2:$G$8551,4,FALSE),"")</f>
        <v/>
      </c>
      <c r="F3704" s="391" t="str">
        <f>IFERROR(VLOOKUP(A3704,[3]DOORSCRIEFT!$A$2:$G$8551,6,FALSE),"")</f>
        <v/>
      </c>
      <c r="G3704" s="349"/>
    </row>
    <row r="3705" spans="1:7" x14ac:dyDescent="0.25">
      <c r="A3705" s="390" t="str">
        <f t="shared" si="106"/>
        <v>I.2.2.02.064228</v>
      </c>
      <c r="B3705" s="345">
        <v>228</v>
      </c>
      <c r="C3705" s="394" t="str">
        <f>IFERROR(VLOOKUP(A3705,[3]DOORSCRIEFT!$A$2:$G$8551,2,FALSE),"")</f>
        <v/>
      </c>
      <c r="D3705" s="393" t="str">
        <f>IFERROR(VLOOKUP(A3705,[3]DOORSCRIEFT!$A$2:$G$8551,3,FALSE),"")</f>
        <v/>
      </c>
      <c r="E3705" s="392" t="str">
        <f>IFERROR(VLOOKUP(A3705,[3]DOORSCRIEFT!$A$2:$G$8551,4,FALSE),"")</f>
        <v/>
      </c>
      <c r="F3705" s="391" t="str">
        <f>IFERROR(VLOOKUP(A3705,[3]DOORSCRIEFT!$A$2:$G$8551,6,FALSE),"")</f>
        <v/>
      </c>
      <c r="G3705" s="349"/>
    </row>
    <row r="3706" spans="1:7" x14ac:dyDescent="0.25">
      <c r="A3706" s="390" t="str">
        <f t="shared" si="106"/>
        <v>I.2.2.02.064229</v>
      </c>
      <c r="B3706" s="319">
        <v>229</v>
      </c>
      <c r="C3706" s="394" t="str">
        <f>IFERROR(VLOOKUP(A3706,[3]DOORSCRIEFT!$A$2:$G$8551,2,FALSE),"")</f>
        <v/>
      </c>
      <c r="D3706" s="393" t="str">
        <f>IFERROR(VLOOKUP(A3706,[3]DOORSCRIEFT!$A$2:$G$8551,3,FALSE),"")</f>
        <v/>
      </c>
      <c r="E3706" s="392" t="str">
        <f>IFERROR(VLOOKUP(A3706,[3]DOORSCRIEFT!$A$2:$G$8551,4,FALSE),"")</f>
        <v/>
      </c>
      <c r="F3706" s="391" t="str">
        <f>IFERROR(VLOOKUP(A3706,[3]DOORSCRIEFT!$A$2:$G$8551,6,FALSE),"")</f>
        <v/>
      </c>
      <c r="G3706" s="349"/>
    </row>
    <row r="3707" spans="1:7" x14ac:dyDescent="0.25">
      <c r="A3707" s="390" t="str">
        <f t="shared" si="106"/>
        <v>I.2.2.02.064230</v>
      </c>
      <c r="B3707" s="345">
        <v>230</v>
      </c>
      <c r="C3707" s="394" t="str">
        <f>IFERROR(VLOOKUP(A3707,[3]DOORSCRIEFT!$A$2:$G$8551,2,FALSE),"")</f>
        <v/>
      </c>
      <c r="D3707" s="393" t="str">
        <f>IFERROR(VLOOKUP(A3707,[3]DOORSCRIEFT!$A$2:$G$8551,3,FALSE),"")</f>
        <v/>
      </c>
      <c r="E3707" s="392" t="str">
        <f>IFERROR(VLOOKUP(A3707,[3]DOORSCRIEFT!$A$2:$G$8551,4,FALSE),"")</f>
        <v/>
      </c>
      <c r="F3707" s="391" t="str">
        <f>IFERROR(VLOOKUP(A3707,[3]DOORSCRIEFT!$A$2:$G$8551,6,FALSE),"")</f>
        <v/>
      </c>
      <c r="G3707" s="349"/>
    </row>
    <row r="3708" spans="1:7" x14ac:dyDescent="0.25">
      <c r="A3708" s="390" t="str">
        <f t="shared" si="106"/>
        <v>I.2.2.02.064231</v>
      </c>
      <c r="B3708" s="319">
        <v>231</v>
      </c>
      <c r="C3708" s="394" t="str">
        <f>IFERROR(VLOOKUP(A3708,[3]DOORSCRIEFT!$A$2:$G$8551,2,FALSE),"")</f>
        <v/>
      </c>
      <c r="D3708" s="393" t="str">
        <f>IFERROR(VLOOKUP(A3708,[3]DOORSCRIEFT!$A$2:$G$8551,3,FALSE),"")</f>
        <v/>
      </c>
      <c r="E3708" s="392" t="str">
        <f>IFERROR(VLOOKUP(A3708,[3]DOORSCRIEFT!$A$2:$G$8551,4,FALSE),"")</f>
        <v/>
      </c>
      <c r="F3708" s="391" t="str">
        <f>IFERROR(VLOOKUP(A3708,[3]DOORSCRIEFT!$A$2:$G$8551,6,FALSE),"")</f>
        <v/>
      </c>
      <c r="G3708" s="349"/>
    </row>
    <row r="3709" spans="1:7" x14ac:dyDescent="0.25">
      <c r="A3709" s="390" t="str">
        <f t="shared" si="106"/>
        <v>I.2.2.02.064232</v>
      </c>
      <c r="B3709" s="345">
        <v>232</v>
      </c>
      <c r="C3709" s="394" t="str">
        <f>IFERROR(VLOOKUP(A3709,[3]DOORSCRIEFT!$A$2:$G$8551,2,FALSE),"")</f>
        <v/>
      </c>
      <c r="D3709" s="393" t="str">
        <f>IFERROR(VLOOKUP(A3709,[3]DOORSCRIEFT!$A$2:$G$8551,3,FALSE),"")</f>
        <v/>
      </c>
      <c r="E3709" s="392" t="str">
        <f>IFERROR(VLOOKUP(A3709,[3]DOORSCRIEFT!$A$2:$G$8551,4,FALSE),"")</f>
        <v/>
      </c>
      <c r="F3709" s="391" t="str">
        <f>IFERROR(VLOOKUP(A3709,[3]DOORSCRIEFT!$A$2:$G$8551,6,FALSE),"")</f>
        <v/>
      </c>
      <c r="G3709" s="349"/>
    </row>
    <row r="3710" spans="1:7" x14ac:dyDescent="0.25">
      <c r="A3710" s="390" t="str">
        <f t="shared" si="106"/>
        <v>I.2.2.02.064233</v>
      </c>
      <c r="B3710" s="319">
        <v>233</v>
      </c>
      <c r="C3710" s="394" t="str">
        <f>IFERROR(VLOOKUP(A3710,[3]DOORSCRIEFT!$A$2:$G$8551,2,FALSE),"")</f>
        <v/>
      </c>
      <c r="D3710" s="393" t="str">
        <f>IFERROR(VLOOKUP(A3710,[3]DOORSCRIEFT!$A$2:$G$8551,3,FALSE),"")</f>
        <v/>
      </c>
      <c r="E3710" s="392" t="str">
        <f>IFERROR(VLOOKUP(A3710,[3]DOORSCRIEFT!$A$2:$G$8551,4,FALSE),"")</f>
        <v/>
      </c>
      <c r="F3710" s="391" t="str">
        <f>IFERROR(VLOOKUP(A3710,[3]DOORSCRIEFT!$A$2:$G$8551,6,FALSE),"")</f>
        <v/>
      </c>
      <c r="G3710" s="349"/>
    </row>
    <row r="3711" spans="1:7" x14ac:dyDescent="0.25">
      <c r="A3711" s="390" t="str">
        <f t="shared" si="106"/>
        <v>I.2.2.02.064234</v>
      </c>
      <c r="B3711" s="345">
        <v>234</v>
      </c>
      <c r="C3711" s="394" t="str">
        <f>IFERROR(VLOOKUP(A3711,[3]DOORSCRIEFT!$A$2:$G$8551,2,FALSE),"")</f>
        <v/>
      </c>
      <c r="D3711" s="393" t="str">
        <f>IFERROR(VLOOKUP(A3711,[3]DOORSCRIEFT!$A$2:$G$8551,3,FALSE),"")</f>
        <v/>
      </c>
      <c r="E3711" s="392" t="str">
        <f>IFERROR(VLOOKUP(A3711,[3]DOORSCRIEFT!$A$2:$G$8551,4,FALSE),"")</f>
        <v/>
      </c>
      <c r="F3711" s="391" t="str">
        <f>IFERROR(VLOOKUP(A3711,[3]DOORSCRIEFT!$A$2:$G$8551,6,FALSE),"")</f>
        <v/>
      </c>
      <c r="G3711" s="349"/>
    </row>
    <row r="3712" spans="1:7" x14ac:dyDescent="0.25">
      <c r="A3712" s="390" t="str">
        <f t="shared" si="106"/>
        <v>I.2.2.02.064235</v>
      </c>
      <c r="B3712" s="319">
        <v>235</v>
      </c>
      <c r="C3712" s="394" t="str">
        <f>IFERROR(VLOOKUP(A3712,[3]DOORSCRIEFT!$A$2:$G$8551,2,FALSE),"")</f>
        <v/>
      </c>
      <c r="D3712" s="393" t="str">
        <f>IFERROR(VLOOKUP(A3712,[3]DOORSCRIEFT!$A$2:$G$8551,3,FALSE),"")</f>
        <v/>
      </c>
      <c r="E3712" s="392" t="str">
        <f>IFERROR(VLOOKUP(A3712,[3]DOORSCRIEFT!$A$2:$G$8551,4,FALSE),"")</f>
        <v/>
      </c>
      <c r="F3712" s="391" t="str">
        <f>IFERROR(VLOOKUP(A3712,[3]DOORSCRIEFT!$A$2:$G$8551,6,FALSE),"")</f>
        <v/>
      </c>
      <c r="G3712" s="349"/>
    </row>
    <row r="3713" spans="1:7" x14ac:dyDescent="0.25">
      <c r="A3713" s="390" t="str">
        <f t="shared" si="106"/>
        <v>I.2.2.02.064236</v>
      </c>
      <c r="B3713" s="345">
        <v>236</v>
      </c>
      <c r="C3713" s="394" t="str">
        <f>IFERROR(VLOOKUP(A3713,[3]DOORSCRIEFT!$A$2:$G$8551,2,FALSE),"")</f>
        <v/>
      </c>
      <c r="D3713" s="393" t="str">
        <f>IFERROR(VLOOKUP(A3713,[3]DOORSCRIEFT!$A$2:$G$8551,3,FALSE),"")</f>
        <v/>
      </c>
      <c r="E3713" s="392" t="str">
        <f>IFERROR(VLOOKUP(A3713,[3]DOORSCRIEFT!$A$2:$G$8551,4,FALSE),"")</f>
        <v/>
      </c>
      <c r="F3713" s="391" t="str">
        <f>IFERROR(VLOOKUP(A3713,[3]DOORSCRIEFT!$A$2:$G$8551,6,FALSE),"")</f>
        <v/>
      </c>
      <c r="G3713" s="349"/>
    </row>
    <row r="3714" spans="1:7" x14ac:dyDescent="0.25">
      <c r="A3714" s="390" t="str">
        <f t="shared" si="106"/>
        <v>I.2.2.02.064237</v>
      </c>
      <c r="B3714" s="319">
        <v>237</v>
      </c>
      <c r="C3714" s="394" t="str">
        <f>IFERROR(VLOOKUP(A3714,[3]DOORSCRIEFT!$A$2:$G$8551,2,FALSE),"")</f>
        <v/>
      </c>
      <c r="D3714" s="393" t="str">
        <f>IFERROR(VLOOKUP(A3714,[3]DOORSCRIEFT!$A$2:$G$8551,3,FALSE),"")</f>
        <v/>
      </c>
      <c r="E3714" s="392" t="str">
        <f>IFERROR(VLOOKUP(A3714,[3]DOORSCRIEFT!$A$2:$G$8551,4,FALSE),"")</f>
        <v/>
      </c>
      <c r="F3714" s="391" t="str">
        <f>IFERROR(VLOOKUP(A3714,[3]DOORSCRIEFT!$A$2:$G$8551,6,FALSE),"")</f>
        <v/>
      </c>
      <c r="G3714" s="349"/>
    </row>
    <row r="3715" spans="1:7" x14ac:dyDescent="0.25">
      <c r="A3715" s="390" t="str">
        <f t="shared" si="106"/>
        <v>I.2.2.02.064238</v>
      </c>
      <c r="B3715" s="345">
        <v>238</v>
      </c>
      <c r="C3715" s="394" t="str">
        <f>IFERROR(VLOOKUP(A3715,[3]DOORSCRIEFT!$A$2:$G$8551,2,FALSE),"")</f>
        <v/>
      </c>
      <c r="D3715" s="393" t="str">
        <f>IFERROR(VLOOKUP(A3715,[3]DOORSCRIEFT!$A$2:$G$8551,3,FALSE),"")</f>
        <v/>
      </c>
      <c r="E3715" s="392" t="str">
        <f>IFERROR(VLOOKUP(A3715,[3]DOORSCRIEFT!$A$2:$G$8551,4,FALSE),"")</f>
        <v/>
      </c>
      <c r="F3715" s="391" t="str">
        <f>IFERROR(VLOOKUP(A3715,[3]DOORSCRIEFT!$A$2:$G$8551,6,FALSE),"")</f>
        <v/>
      </c>
      <c r="G3715" s="349"/>
    </row>
    <row r="3716" spans="1:7" x14ac:dyDescent="0.25">
      <c r="A3716" s="390" t="str">
        <f t="shared" si="106"/>
        <v>I.2.2.02.064239</v>
      </c>
      <c r="B3716" s="319">
        <v>239</v>
      </c>
      <c r="C3716" s="394" t="str">
        <f>IFERROR(VLOOKUP(A3716,[3]DOORSCRIEFT!$A$2:$G$8551,2,FALSE),"")</f>
        <v/>
      </c>
      <c r="D3716" s="393" t="str">
        <f>IFERROR(VLOOKUP(A3716,[3]DOORSCRIEFT!$A$2:$G$8551,3,FALSE),"")</f>
        <v/>
      </c>
      <c r="E3716" s="392" t="str">
        <f>IFERROR(VLOOKUP(A3716,[3]DOORSCRIEFT!$A$2:$G$8551,4,FALSE),"")</f>
        <v/>
      </c>
      <c r="F3716" s="391" t="str">
        <f>IFERROR(VLOOKUP(A3716,[3]DOORSCRIEFT!$A$2:$G$8551,6,FALSE),"")</f>
        <v/>
      </c>
      <c r="G3716" s="349"/>
    </row>
    <row r="3717" spans="1:7" x14ac:dyDescent="0.25">
      <c r="A3717" s="390" t="str">
        <f t="shared" si="106"/>
        <v>I.2.2.02.064240</v>
      </c>
      <c r="B3717" s="345">
        <v>240</v>
      </c>
      <c r="C3717" s="394" t="str">
        <f>IFERROR(VLOOKUP(A3717,[3]DOORSCRIEFT!$A$2:$G$8551,2,FALSE),"")</f>
        <v/>
      </c>
      <c r="D3717" s="393" t="str">
        <f>IFERROR(VLOOKUP(A3717,[3]DOORSCRIEFT!$A$2:$G$8551,3,FALSE),"")</f>
        <v/>
      </c>
      <c r="E3717" s="392" t="str">
        <f>IFERROR(VLOOKUP(A3717,[3]DOORSCRIEFT!$A$2:$G$8551,4,FALSE),"")</f>
        <v/>
      </c>
      <c r="F3717" s="391" t="str">
        <f>IFERROR(VLOOKUP(A3717,[3]DOORSCRIEFT!$A$2:$G$8551,6,FALSE),"")</f>
        <v/>
      </c>
      <c r="G3717" s="349"/>
    </row>
    <row r="3718" spans="1:7" x14ac:dyDescent="0.25">
      <c r="A3718" s="390" t="str">
        <f t="shared" si="106"/>
        <v>I.2.2.02.064241</v>
      </c>
      <c r="B3718" s="319">
        <v>241</v>
      </c>
      <c r="C3718" s="394" t="str">
        <f>IFERROR(VLOOKUP(A3718,[3]DOORSCRIEFT!$A$2:$G$8551,2,FALSE),"")</f>
        <v/>
      </c>
      <c r="D3718" s="393" t="str">
        <f>IFERROR(VLOOKUP(A3718,[3]DOORSCRIEFT!$A$2:$G$8551,3,FALSE),"")</f>
        <v/>
      </c>
      <c r="E3718" s="392" t="str">
        <f>IFERROR(VLOOKUP(A3718,[3]DOORSCRIEFT!$A$2:$G$8551,4,FALSE),"")</f>
        <v/>
      </c>
      <c r="F3718" s="391" t="str">
        <f>IFERROR(VLOOKUP(A3718,[3]DOORSCRIEFT!$A$2:$G$8551,6,FALSE),"")</f>
        <v/>
      </c>
      <c r="G3718" s="349"/>
    </row>
    <row r="3719" spans="1:7" x14ac:dyDescent="0.25">
      <c r="A3719" s="390" t="str">
        <f t="shared" si="106"/>
        <v>I.2.2.02.064242</v>
      </c>
      <c r="B3719" s="345">
        <v>242</v>
      </c>
      <c r="C3719" s="394" t="str">
        <f>IFERROR(VLOOKUP(A3719,[3]DOORSCRIEFT!$A$2:$G$8551,2,FALSE),"")</f>
        <v/>
      </c>
      <c r="D3719" s="393" t="str">
        <f>IFERROR(VLOOKUP(A3719,[3]DOORSCRIEFT!$A$2:$G$8551,3,FALSE),"")</f>
        <v/>
      </c>
      <c r="E3719" s="392" t="str">
        <f>IFERROR(VLOOKUP(A3719,[3]DOORSCRIEFT!$A$2:$G$8551,4,FALSE),"")</f>
        <v/>
      </c>
      <c r="F3719" s="391" t="str">
        <f>IFERROR(VLOOKUP(A3719,[3]DOORSCRIEFT!$A$2:$G$8551,6,FALSE),"")</f>
        <v/>
      </c>
      <c r="G3719" s="349"/>
    </row>
    <row r="3720" spans="1:7" x14ac:dyDescent="0.25">
      <c r="A3720" s="390" t="str">
        <f t="shared" si="106"/>
        <v>I.2.2.02.064243</v>
      </c>
      <c r="B3720" s="319">
        <v>243</v>
      </c>
      <c r="C3720" s="394" t="str">
        <f>IFERROR(VLOOKUP(A3720,[3]DOORSCRIEFT!$A$2:$G$8551,2,FALSE),"")</f>
        <v/>
      </c>
      <c r="D3720" s="393" t="str">
        <f>IFERROR(VLOOKUP(A3720,[3]DOORSCRIEFT!$A$2:$G$8551,3,FALSE),"")</f>
        <v/>
      </c>
      <c r="E3720" s="392" t="str">
        <f>IFERROR(VLOOKUP(A3720,[3]DOORSCRIEFT!$A$2:$G$8551,4,FALSE),"")</f>
        <v/>
      </c>
      <c r="F3720" s="391" t="str">
        <f>IFERROR(VLOOKUP(A3720,[3]DOORSCRIEFT!$A$2:$G$8551,6,FALSE),"")</f>
        <v/>
      </c>
      <c r="G3720" s="349"/>
    </row>
    <row r="3721" spans="1:7" x14ac:dyDescent="0.25">
      <c r="A3721" s="390" t="str">
        <f t="shared" si="106"/>
        <v>I.2.2.02.064244</v>
      </c>
      <c r="B3721" s="345">
        <v>244</v>
      </c>
      <c r="C3721" s="394" t="str">
        <f>IFERROR(VLOOKUP(A3721,[3]DOORSCRIEFT!$A$2:$G$8551,2,FALSE),"")</f>
        <v/>
      </c>
      <c r="D3721" s="393" t="str">
        <f>IFERROR(VLOOKUP(A3721,[3]DOORSCRIEFT!$A$2:$G$8551,3,FALSE),"")</f>
        <v/>
      </c>
      <c r="E3721" s="392" t="str">
        <f>IFERROR(VLOOKUP(A3721,[3]DOORSCRIEFT!$A$2:$G$8551,4,FALSE),"")</f>
        <v/>
      </c>
      <c r="F3721" s="391" t="str">
        <f>IFERROR(VLOOKUP(A3721,[3]DOORSCRIEFT!$A$2:$G$8551,6,FALSE),"")</f>
        <v/>
      </c>
      <c r="G3721" s="349"/>
    </row>
    <row r="3722" spans="1:7" x14ac:dyDescent="0.25">
      <c r="A3722" s="390" t="str">
        <f t="shared" si="106"/>
        <v>I.2.2.02.064245</v>
      </c>
      <c r="B3722" s="319">
        <v>245</v>
      </c>
      <c r="C3722" s="394" t="str">
        <f>IFERROR(VLOOKUP(A3722,[3]DOORSCRIEFT!$A$2:$G$8551,2,FALSE),"")</f>
        <v/>
      </c>
      <c r="D3722" s="393" t="str">
        <f>IFERROR(VLOOKUP(A3722,[3]DOORSCRIEFT!$A$2:$G$8551,3,FALSE),"")</f>
        <v/>
      </c>
      <c r="E3722" s="392" t="str">
        <f>IFERROR(VLOOKUP(A3722,[3]DOORSCRIEFT!$A$2:$G$8551,4,FALSE),"")</f>
        <v/>
      </c>
      <c r="F3722" s="391" t="str">
        <f>IFERROR(VLOOKUP(A3722,[3]DOORSCRIEFT!$A$2:$G$8551,6,FALSE),"")</f>
        <v/>
      </c>
      <c r="G3722" s="349"/>
    </row>
    <row r="3723" spans="1:7" x14ac:dyDescent="0.25">
      <c r="A3723" s="390" t="str">
        <f t="shared" si="106"/>
        <v>I.2.2.02.064246</v>
      </c>
      <c r="B3723" s="345">
        <v>246</v>
      </c>
      <c r="C3723" s="394" t="str">
        <f>IFERROR(VLOOKUP(A3723,[3]DOORSCRIEFT!$A$2:$G$8551,2,FALSE),"")</f>
        <v/>
      </c>
      <c r="D3723" s="393" t="str">
        <f>IFERROR(VLOOKUP(A3723,[3]DOORSCRIEFT!$A$2:$G$8551,3,FALSE),"")</f>
        <v/>
      </c>
      <c r="E3723" s="392" t="str">
        <f>IFERROR(VLOOKUP(A3723,[3]DOORSCRIEFT!$A$2:$G$8551,4,FALSE),"")</f>
        <v/>
      </c>
      <c r="F3723" s="391" t="str">
        <f>IFERROR(VLOOKUP(A3723,[3]DOORSCRIEFT!$A$2:$G$8551,6,FALSE),"")</f>
        <v/>
      </c>
      <c r="G3723" s="349"/>
    </row>
    <row r="3724" spans="1:7" ht="15.75" thickBot="1" x14ac:dyDescent="0.3">
      <c r="A3724" s="390" t="str">
        <f t="shared" si="106"/>
        <v>I.2.2.02.064247</v>
      </c>
      <c r="B3724" s="319">
        <v>247</v>
      </c>
      <c r="C3724" s="389" t="str">
        <f>IFERROR(VLOOKUP(A3724,[3]DOORSCRIEFT!$A$2:$G$8551,2,FALSE),"")</f>
        <v/>
      </c>
      <c r="D3724" s="388" t="str">
        <f>IFERROR(VLOOKUP(A3724,[3]DOORSCRIEFT!$A$2:$G$8551,3,FALSE),"")</f>
        <v/>
      </c>
      <c r="E3724" s="387" t="str">
        <f>IFERROR(VLOOKUP(A3724,[3]DOORSCRIEFT!$A$2:$G$8551,4,FALSE),"")</f>
        <v/>
      </c>
      <c r="F3724" s="386" t="str">
        <f>IFERROR(VLOOKUP(A3724,[3]DOORSCRIEFT!$A$2:$G$8551,6,FALSE),"")</f>
        <v/>
      </c>
      <c r="G3724" s="315"/>
    </row>
    <row r="3725" spans="1:7" ht="15.75" thickBot="1" x14ac:dyDescent="0.3">
      <c r="A3725" s="344"/>
      <c r="B3725" s="343"/>
      <c r="C3725" s="336"/>
      <c r="D3725" s="312"/>
      <c r="E3725" s="311" t="s">
        <v>644</v>
      </c>
      <c r="F3725" s="310">
        <f>SUM(F3478:F3627)</f>
        <v>17119000</v>
      </c>
      <c r="G3725" s="309">
        <f>SUM(G3478:G3627)</f>
        <v>0</v>
      </c>
    </row>
    <row r="3726" spans="1:7" x14ac:dyDescent="0.25">
      <c r="C3726" s="335"/>
    </row>
    <row r="3727" spans="1:7" x14ac:dyDescent="0.25">
      <c r="C3727" s="335"/>
    </row>
    <row r="3728" spans="1:7" ht="15.75" x14ac:dyDescent="0.25">
      <c r="C3728" s="334"/>
      <c r="D3728" s="333"/>
      <c r="E3728" s="332"/>
      <c r="F3728" s="327" t="s">
        <v>607</v>
      </c>
      <c r="G3728" s="327" t="s">
        <v>415</v>
      </c>
    </row>
    <row r="3729" spans="1:7" ht="15.75" x14ac:dyDescent="0.25">
      <c r="C3729" s="334"/>
      <c r="D3729" s="333"/>
      <c r="E3729" s="332"/>
      <c r="F3729" s="327" t="s">
        <v>601</v>
      </c>
      <c r="G3729" s="327" t="s">
        <v>414</v>
      </c>
    </row>
    <row r="3730" spans="1:7" x14ac:dyDescent="0.25">
      <c r="C3730" s="330"/>
      <c r="D3730" s="329"/>
      <c r="E3730" s="328"/>
      <c r="F3730" s="327" t="s">
        <v>651</v>
      </c>
      <c r="G3730" s="331">
        <f>[2]Sheet1!$D$94</f>
        <v>750000000</v>
      </c>
    </row>
    <row r="3731" spans="1:7" ht="15.75" thickBot="1" x14ac:dyDescent="0.3">
      <c r="C3731" s="330"/>
      <c r="D3731" s="329"/>
      <c r="E3731" s="328"/>
      <c r="F3731" s="327" t="s">
        <v>650</v>
      </c>
      <c r="G3731" s="326">
        <f>+F3885-G3730</f>
        <v>-610560000</v>
      </c>
    </row>
    <row r="3732" spans="1:7" x14ac:dyDescent="0.25">
      <c r="A3732" s="571" t="s">
        <v>626</v>
      </c>
      <c r="B3732" s="584" t="s">
        <v>606</v>
      </c>
      <c r="C3732" s="588" t="s">
        <v>649</v>
      </c>
      <c r="D3732" s="577" t="s">
        <v>648</v>
      </c>
      <c r="E3732" s="577" t="s">
        <v>647</v>
      </c>
      <c r="F3732" s="577" t="s">
        <v>646</v>
      </c>
      <c r="G3732" s="580" t="s">
        <v>645</v>
      </c>
    </row>
    <row r="3733" spans="1:7" ht="15.75" thickBot="1" x14ac:dyDescent="0.3">
      <c r="A3733" s="572"/>
      <c r="B3733" s="585"/>
      <c r="C3733" s="589"/>
      <c r="D3733" s="586"/>
      <c r="E3733" s="586"/>
      <c r="F3733" s="586"/>
      <c r="G3733" s="587"/>
    </row>
    <row r="3734" spans="1:7" ht="15.75" thickBot="1" x14ac:dyDescent="0.3">
      <c r="A3734" s="385">
        <v>1</v>
      </c>
      <c r="B3734" s="384">
        <v>2</v>
      </c>
      <c r="C3734" s="384">
        <v>3</v>
      </c>
      <c r="D3734" s="384">
        <v>4</v>
      </c>
      <c r="E3734" s="384">
        <v>5</v>
      </c>
      <c r="F3734" s="384">
        <v>6</v>
      </c>
      <c r="G3734" s="383">
        <v>7</v>
      </c>
    </row>
    <row r="3735" spans="1:7" x14ac:dyDescent="0.25">
      <c r="A3735" s="382" t="str">
        <f t="shared" ref="A3735:A3766" si="107">$G$3728&amp;B3735</f>
        <v>I.2.3.011</v>
      </c>
      <c r="B3735" s="381">
        <v>1</v>
      </c>
      <c r="C3735" s="381">
        <f>IFERROR(VLOOKUP(A3735,[3]DOORSCRIEFT!$A$2:$G$8551,2,FALSE),"")</f>
        <v>2</v>
      </c>
      <c r="D3735" s="380">
        <f>IFERROR(VLOOKUP(A3735,[3]DOORSCRIEFT!$A$2:$G$8551,3,FALSE),"")</f>
        <v>46023</v>
      </c>
      <c r="E3735" s="379" t="str">
        <f>IFERROR(VLOOKUP(A3735,[3]DOORSCRIEFT!$A$2:$G$8551,4,FALSE),"")</f>
        <v>Persembahan Persepuluhan gereja Baitrafa dan SK</v>
      </c>
      <c r="F3735" s="378">
        <f>IFERROR(VLOOKUP(A3735,[3]DOORSCRIEFT!$A$2:$G$8551,6,FALSE),"")</f>
        <v>4774000</v>
      </c>
      <c r="G3735" s="377"/>
    </row>
    <row r="3736" spans="1:7" x14ac:dyDescent="0.25">
      <c r="A3736" s="359" t="str">
        <f t="shared" si="107"/>
        <v>I.2.3.012</v>
      </c>
      <c r="B3736" s="319">
        <v>2</v>
      </c>
      <c r="C3736" s="319">
        <f>IFERROR(VLOOKUP(A3736,[3]DOORSCRIEFT!$A$2:$G$8551,2,FALSE),"")</f>
        <v>16</v>
      </c>
      <c r="D3736" s="318">
        <f>IFERROR(VLOOKUP(A3736,[3]DOORSCRIEFT!$A$2:$G$8551,3,FALSE),"")</f>
        <v>46026</v>
      </c>
      <c r="E3736" s="317" t="str">
        <f>IFERROR(VLOOKUP(A3736,[3]DOORSCRIEFT!$A$2:$G$8551,4,FALSE),"")</f>
        <v>Persepuluhan Gereja Baitrafa dan SK</v>
      </c>
      <c r="F3736" s="316">
        <f>IFERROR(VLOOKUP(A3736,[3]DOORSCRIEFT!$A$2:$G$8551,6,FALSE),"")</f>
        <v>5045500</v>
      </c>
      <c r="G3736" s="315"/>
    </row>
    <row r="3737" spans="1:7" x14ac:dyDescent="0.25">
      <c r="A3737" s="359" t="str">
        <f t="shared" si="107"/>
        <v>I.2.3.013</v>
      </c>
      <c r="B3737" s="319">
        <v>3</v>
      </c>
      <c r="C3737" s="319">
        <f>IFERROR(VLOOKUP(A3737,[3]DOORSCRIEFT!$A$2:$G$8551,2,FALSE),"")</f>
        <v>40</v>
      </c>
      <c r="D3737" s="318">
        <f>IFERROR(VLOOKUP(A3737,[3]DOORSCRIEFT!$A$2:$G$8551,3,FALSE),"")</f>
        <v>46033</v>
      </c>
      <c r="E3737" s="317" t="str">
        <f>IFERROR(VLOOKUP(A3737,[3]DOORSCRIEFT!$A$2:$G$8551,4,FALSE),"")</f>
        <v>Persembahan Persepuluhan Gereja Baitrafa dan SK</v>
      </c>
      <c r="F3737" s="316">
        <f>IFERROR(VLOOKUP(A3737,[3]DOORSCRIEFT!$A$2:$G$8551,6,FALSE),"")</f>
        <v>14566000</v>
      </c>
      <c r="G3737" s="315"/>
    </row>
    <row r="3738" spans="1:7" x14ac:dyDescent="0.25">
      <c r="A3738" s="359" t="str">
        <f t="shared" si="107"/>
        <v>I.2.3.014</v>
      </c>
      <c r="B3738" s="319">
        <v>4</v>
      </c>
      <c r="C3738" s="319">
        <f>IFERROR(VLOOKUP(A3738,[3]DOORSCRIEFT!$A$2:$G$8551,2,FALSE),"")</f>
        <v>41</v>
      </c>
      <c r="D3738" s="318">
        <f>IFERROR(VLOOKUP(A3738,[3]DOORSCRIEFT!$A$2:$G$8551,3,FALSE),"")</f>
        <v>46033</v>
      </c>
      <c r="E3738" s="317" t="str">
        <f>IFERROR(VLOOKUP(A3738,[3]DOORSCRIEFT!$A$2:$G$8551,4,FALSE),"")</f>
        <v>Persembahan Perpuluhan Sdr. Ian Sitanala</v>
      </c>
      <c r="F3738" s="316">
        <f>IFERROR(VLOOKUP(A3738,[3]DOORSCRIEFT!$A$2:$G$8551,6,FALSE),"")</f>
        <v>750000</v>
      </c>
      <c r="G3738" s="315"/>
    </row>
    <row r="3739" spans="1:7" x14ac:dyDescent="0.25">
      <c r="A3739" s="359" t="str">
        <f t="shared" si="107"/>
        <v>I.2.3.015</v>
      </c>
      <c r="B3739" s="319">
        <v>5</v>
      </c>
      <c r="C3739" s="319">
        <f>IFERROR(VLOOKUP(A3739,[3]DOORSCRIEFT!$A$2:$G$8551,2,FALSE),"")</f>
        <v>77</v>
      </c>
      <c r="D3739" s="318">
        <f>IFERROR(VLOOKUP(A3739,[3]DOORSCRIEFT!$A$2:$G$8551,3,FALSE),"")</f>
        <v>46040</v>
      </c>
      <c r="E3739" s="317" t="str">
        <f>IFERROR(VLOOKUP(A3739,[3]DOORSCRIEFT!$A$2:$G$8551,4,FALSE),"")</f>
        <v>Persembahan Persepuluhan Gereja Baitrafa dan SK</v>
      </c>
      <c r="F3739" s="316">
        <f>IFERROR(VLOOKUP(A3739,[3]DOORSCRIEFT!$A$2:$G$8551,6,FALSE),"")</f>
        <v>9734000</v>
      </c>
      <c r="G3739" s="315"/>
    </row>
    <row r="3740" spans="1:7" x14ac:dyDescent="0.25">
      <c r="A3740" s="359" t="str">
        <f t="shared" si="107"/>
        <v>I.2.3.016</v>
      </c>
      <c r="B3740" s="319">
        <v>6</v>
      </c>
      <c r="C3740" s="319">
        <f>IFERROR(VLOOKUP(A3740,[3]DOORSCRIEFT!$A$2:$G$8551,2,FALSE),"")</f>
        <v>108</v>
      </c>
      <c r="D3740" s="318">
        <f>IFERROR(VLOOKUP(A3740,[3]DOORSCRIEFT!$A$2:$G$8551,3,FALSE),"")</f>
        <v>46047</v>
      </c>
      <c r="E3740" s="317" t="str">
        <f>IFERROR(VLOOKUP(A3740,[3]DOORSCRIEFT!$A$2:$G$8551,4,FALSE),"")</f>
        <v>Persembahan Persepuluhan Gereja Baitrafa dan SK</v>
      </c>
      <c r="F3740" s="316">
        <f>IFERROR(VLOOKUP(A3740,[3]DOORSCRIEFT!$A$2:$G$8551,6,FALSE),"")</f>
        <v>5825000</v>
      </c>
      <c r="G3740" s="315"/>
    </row>
    <row r="3741" spans="1:7" x14ac:dyDescent="0.25">
      <c r="A3741" s="359" t="str">
        <f t="shared" si="107"/>
        <v>I.2.3.017</v>
      </c>
      <c r="B3741" s="319">
        <v>7</v>
      </c>
      <c r="C3741" s="319">
        <f>IFERROR(VLOOKUP(A3741,[3]DOORSCRIEFT!$A$2:$G$8551,2,FALSE),"")</f>
        <v>147</v>
      </c>
      <c r="D3741" s="318">
        <f>IFERROR(VLOOKUP(A3741,[3]DOORSCRIEFT!$A$2:$G$8551,3,FALSE),"")</f>
        <v>46054</v>
      </c>
      <c r="E3741" s="317" t="str">
        <f>IFERROR(VLOOKUP(A3741,[3]DOORSCRIEFT!$A$2:$G$8551,4,FALSE),"")</f>
        <v>Persepuluhan Gereja Baitrafa dan SK</v>
      </c>
      <c r="F3741" s="316">
        <f>IFERROR(VLOOKUP(A3741,[3]DOORSCRIEFT!$A$2:$G$8551,6,FALSE),"")</f>
        <v>12654000</v>
      </c>
      <c r="G3741" s="315"/>
    </row>
    <row r="3742" spans="1:7" x14ac:dyDescent="0.25">
      <c r="A3742" s="359" t="str">
        <f t="shared" si="107"/>
        <v>I.2.3.018</v>
      </c>
      <c r="B3742" s="319">
        <v>8</v>
      </c>
      <c r="C3742" s="319">
        <f>IFERROR(VLOOKUP(A3742,[3]DOORSCRIEFT!$A$2:$G$8551,2,FALSE),"")</f>
        <v>175</v>
      </c>
      <c r="D3742" s="318">
        <f>IFERROR(VLOOKUP(A3742,[3]DOORSCRIEFT!$A$2:$G$8551,3,FALSE),"")</f>
        <v>46061</v>
      </c>
      <c r="E3742" s="317" t="str">
        <f>IFERROR(VLOOKUP(A3742,[3]DOORSCRIEFT!$A$2:$G$8551,4,FALSE),"")</f>
        <v>Persepuluhan Gereja Baitrafa dan SK</v>
      </c>
      <c r="F3742" s="316">
        <f>IFERROR(VLOOKUP(A3742,[3]DOORSCRIEFT!$A$2:$G$8551,6,FALSE),"")</f>
        <v>16816000</v>
      </c>
      <c r="G3742" s="315"/>
    </row>
    <row r="3743" spans="1:7" x14ac:dyDescent="0.25">
      <c r="A3743" s="359" t="str">
        <f t="shared" si="107"/>
        <v>I.2.3.019</v>
      </c>
      <c r="B3743" s="319">
        <v>9</v>
      </c>
      <c r="C3743" s="319">
        <f>IFERROR(VLOOKUP(A3743,[3]DOORSCRIEFT!$A$2:$G$8551,2,FALSE),"")</f>
        <v>189</v>
      </c>
      <c r="D3743" s="318">
        <f>IFERROR(VLOOKUP(A3743,[3]DOORSCRIEFT!$A$2:$G$8551,3,FALSE),"")</f>
        <v>46061</v>
      </c>
      <c r="E3743" s="317" t="str">
        <f>IFERROR(VLOOKUP(A3743,[3]DOORSCRIEFT!$A$2:$G$8551,4,FALSE),"")</f>
        <v>Persembahan Persepuluhan Kel. NN di Zaitun 2</v>
      </c>
      <c r="F3743" s="316">
        <f>IFERROR(VLOOKUP(A3743,[3]DOORSCRIEFT!$A$2:$G$8551,6,FALSE),"")</f>
        <v>2100000</v>
      </c>
      <c r="G3743" s="315"/>
    </row>
    <row r="3744" spans="1:7" x14ac:dyDescent="0.25">
      <c r="A3744" s="359" t="str">
        <f t="shared" si="107"/>
        <v>I.2.3.0110</v>
      </c>
      <c r="B3744" s="319">
        <v>10</v>
      </c>
      <c r="C3744" s="319">
        <f>IFERROR(VLOOKUP(A3744,[3]DOORSCRIEFT!$A$2:$G$8551,2,FALSE),"")</f>
        <v>200</v>
      </c>
      <c r="D3744" s="318">
        <f>IFERROR(VLOOKUP(A3744,[3]DOORSCRIEFT!$A$2:$G$8551,3,FALSE),"")</f>
        <v>46068</v>
      </c>
      <c r="E3744" s="317" t="str">
        <f>IFERROR(VLOOKUP(A3744,[3]DOORSCRIEFT!$A$2:$G$8551,4,FALSE),"")</f>
        <v>Persepuluhan Gereja Baitrafa dan SK</v>
      </c>
      <c r="F3744" s="316">
        <f>IFERROR(VLOOKUP(A3744,[3]DOORSCRIEFT!$A$2:$G$8551,6,FALSE),"")</f>
        <v>7910000</v>
      </c>
      <c r="G3744" s="315"/>
    </row>
    <row r="3745" spans="1:7" x14ac:dyDescent="0.25">
      <c r="A3745" s="359" t="str">
        <f t="shared" si="107"/>
        <v>I.2.3.0111</v>
      </c>
      <c r="B3745" s="319">
        <v>11</v>
      </c>
      <c r="C3745" s="319">
        <f>IFERROR(VLOOKUP(A3745,[3]DOORSCRIEFT!$A$2:$G$8551,2,FALSE),"")</f>
        <v>227</v>
      </c>
      <c r="D3745" s="318">
        <f>IFERROR(VLOOKUP(A3745,[3]DOORSCRIEFT!$A$2:$G$8551,3,FALSE),"")</f>
        <v>46075</v>
      </c>
      <c r="E3745" s="317" t="str">
        <f>IFERROR(VLOOKUP(A3745,[3]DOORSCRIEFT!$A$2:$G$8551,4,FALSE),"")</f>
        <v>Persepuluhan Gereja Baitrafa dan SK</v>
      </c>
      <c r="F3745" s="316">
        <f>IFERROR(VLOOKUP(A3745,[3]DOORSCRIEFT!$A$2:$G$8551,6,FALSE),"")</f>
        <v>9493000</v>
      </c>
      <c r="G3745" s="315"/>
    </row>
    <row r="3746" spans="1:7" x14ac:dyDescent="0.25">
      <c r="A3746" s="359" t="str">
        <f t="shared" si="107"/>
        <v>I.2.3.0112</v>
      </c>
      <c r="B3746" s="319">
        <v>12</v>
      </c>
      <c r="C3746" s="319">
        <f>IFERROR(VLOOKUP(A3746,[3]DOORSCRIEFT!$A$2:$G$8551,2,FALSE),"")</f>
        <v>228</v>
      </c>
      <c r="D3746" s="318">
        <f>IFERROR(VLOOKUP(A3746,[3]DOORSCRIEFT!$A$2:$G$8551,3,FALSE),"")</f>
        <v>46075</v>
      </c>
      <c r="E3746" s="317" t="str">
        <f>IFERROR(VLOOKUP(A3746,[3]DOORSCRIEFT!$A$2:$G$8551,4,FALSE),"")</f>
        <v>Persepuluhan Kel. NN Zaitun 1</v>
      </c>
      <c r="F3746" s="316">
        <f>IFERROR(VLOOKUP(A3746,[3]DOORSCRIEFT!$A$2:$G$8551,6,FALSE),"")</f>
        <v>500000</v>
      </c>
      <c r="G3746" s="315"/>
    </row>
    <row r="3747" spans="1:7" x14ac:dyDescent="0.25">
      <c r="A3747" s="359" t="str">
        <f t="shared" si="107"/>
        <v>I.2.3.0113</v>
      </c>
      <c r="B3747" s="319">
        <v>13</v>
      </c>
      <c r="C3747" s="319">
        <f>IFERROR(VLOOKUP(A3747,[3]DOORSCRIEFT!$A$2:$G$8551,2,FALSE),"")</f>
        <v>268</v>
      </c>
      <c r="D3747" s="318">
        <f>IFERROR(VLOOKUP(A3747,[3]DOORSCRIEFT!$A$2:$G$8551,3,FALSE),"")</f>
        <v>46082</v>
      </c>
      <c r="E3747" s="317" t="str">
        <f>IFERROR(VLOOKUP(A3747,[3]DOORSCRIEFT!$A$2:$G$8551,4,FALSE),"")</f>
        <v>Persepuluhan gereja Baitrafa dan Sk</v>
      </c>
      <c r="F3747" s="316">
        <f>IFERROR(VLOOKUP(A3747,[3]DOORSCRIEFT!$A$2:$G$8551,6,FALSE),"")</f>
        <v>8456000</v>
      </c>
      <c r="G3747" s="315"/>
    </row>
    <row r="3748" spans="1:7" x14ac:dyDescent="0.25">
      <c r="A3748" s="359" t="str">
        <f t="shared" si="107"/>
        <v>I.2.3.0114</v>
      </c>
      <c r="B3748" s="319">
        <v>14</v>
      </c>
      <c r="C3748" s="319">
        <f>IFERROR(VLOOKUP(A3748,[3]DOORSCRIEFT!$A$2:$G$8551,2,FALSE),"")</f>
        <v>271</v>
      </c>
      <c r="D3748" s="318">
        <f>IFERROR(VLOOKUP(A3748,[3]DOORSCRIEFT!$A$2:$G$8551,3,FALSE),"")</f>
        <v>46082</v>
      </c>
      <c r="E3748" s="317" t="str">
        <f>IFERROR(VLOOKUP(A3748,[3]DOORSCRIEFT!$A$2:$G$8551,4,FALSE),"")</f>
        <v>Persepuluhan Kel. Soumokil</v>
      </c>
      <c r="F3748" s="316">
        <f>IFERROR(VLOOKUP(A3748,[3]DOORSCRIEFT!$A$2:$G$8551,6,FALSE),"")</f>
        <v>1200000</v>
      </c>
      <c r="G3748" s="315"/>
    </row>
    <row r="3749" spans="1:7" x14ac:dyDescent="0.25">
      <c r="A3749" s="359" t="str">
        <f t="shared" si="107"/>
        <v>I.2.3.0115</v>
      </c>
      <c r="B3749" s="319">
        <v>15</v>
      </c>
      <c r="C3749" s="319">
        <f>IFERROR(VLOOKUP(A3749,[3]DOORSCRIEFT!$A$2:$G$8551,2,FALSE),"")</f>
        <v>302</v>
      </c>
      <c r="D3749" s="318">
        <f>IFERROR(VLOOKUP(A3749,[3]DOORSCRIEFT!$A$2:$G$8551,3,FALSE),"")</f>
        <v>46089</v>
      </c>
      <c r="E3749" s="317" t="str">
        <f>IFERROR(VLOOKUP(A3749,[3]DOORSCRIEFT!$A$2:$G$8551,4,FALSE),"")</f>
        <v>Persepuluhan Gereja Baitrafa dan SK</v>
      </c>
      <c r="F3749" s="316">
        <f>IFERROR(VLOOKUP(A3749,[3]DOORSCRIEFT!$A$2:$G$8551,6,FALSE),"")</f>
        <v>11758000</v>
      </c>
      <c r="G3749" s="315"/>
    </row>
    <row r="3750" spans="1:7" x14ac:dyDescent="0.25">
      <c r="A3750" s="359" t="str">
        <f t="shared" si="107"/>
        <v>I.2.3.0116</v>
      </c>
      <c r="B3750" s="319">
        <v>16</v>
      </c>
      <c r="C3750" s="319">
        <f>IFERROR(VLOOKUP(A3750,[3]DOORSCRIEFT!$A$2:$G$8551,2,FALSE),"")</f>
        <v>349</v>
      </c>
      <c r="D3750" s="318">
        <f>IFERROR(VLOOKUP(A3750,[3]DOORSCRIEFT!$A$2:$G$8551,3,FALSE),"")</f>
        <v>46096</v>
      </c>
      <c r="E3750" s="317" t="str">
        <f>IFERROR(VLOOKUP(A3750,[3]DOORSCRIEFT!$A$2:$G$8551,4,FALSE),"")</f>
        <v>Persepuluhan Gereja Baitrafa dan SK</v>
      </c>
      <c r="F3750" s="316">
        <f>IFERROR(VLOOKUP(A3750,[3]DOORSCRIEFT!$A$2:$G$8551,6,FALSE),"")</f>
        <v>19838000</v>
      </c>
      <c r="G3750" s="315"/>
    </row>
    <row r="3751" spans="1:7" x14ac:dyDescent="0.25">
      <c r="A3751" s="359" t="str">
        <f t="shared" si="107"/>
        <v>I.2.3.0117</v>
      </c>
      <c r="B3751" s="319">
        <v>17</v>
      </c>
      <c r="C3751" s="319">
        <f>IFERROR(VLOOKUP(A3751,[3]DOORSCRIEFT!$A$2:$G$8551,2,FALSE),"")</f>
        <v>396</v>
      </c>
      <c r="D3751" s="318">
        <f>IFERROR(VLOOKUP(A3751,[3]DOORSCRIEFT!$A$2:$G$8551,3,FALSE),"")</f>
        <v>46103</v>
      </c>
      <c r="E3751" s="317" t="str">
        <f>IFERROR(VLOOKUP(A3751,[3]DOORSCRIEFT!$A$2:$G$8551,4,FALSE),"")</f>
        <v>Persepuluhan Gereja Baitrafa dan SK</v>
      </c>
      <c r="F3751" s="316">
        <f>IFERROR(VLOOKUP(A3751,[3]DOORSCRIEFT!$A$2:$G$8551,6,FALSE),"")</f>
        <v>904000</v>
      </c>
      <c r="G3751" s="315"/>
    </row>
    <row r="3752" spans="1:7" x14ac:dyDescent="0.25">
      <c r="A3752" s="359" t="str">
        <f t="shared" si="107"/>
        <v>I.2.3.0118</v>
      </c>
      <c r="B3752" s="319">
        <v>18</v>
      </c>
      <c r="C3752" s="319">
        <f>IFERROR(VLOOKUP(A3752,[3]DOORSCRIEFT!$A$2:$G$8551,2,FALSE),"")</f>
        <v>397</v>
      </c>
      <c r="D3752" s="318">
        <f>IFERROR(VLOOKUP(A3752,[3]DOORSCRIEFT!$A$2:$G$8551,3,FALSE),"")</f>
        <v>46103</v>
      </c>
      <c r="E3752" s="317" t="str">
        <f>IFERROR(VLOOKUP(A3752,[3]DOORSCRIEFT!$A$2:$G$8551,4,FALSE),"")</f>
        <v>Persepuluhan Alm. Oma Nel</v>
      </c>
      <c r="F3752" s="316">
        <f>IFERROR(VLOOKUP(A3752,[3]DOORSCRIEFT!$A$2:$G$8551,6,FALSE),"")</f>
        <v>200000</v>
      </c>
      <c r="G3752" s="315"/>
    </row>
    <row r="3753" spans="1:7" x14ac:dyDescent="0.25">
      <c r="A3753" s="359" t="str">
        <f t="shared" si="107"/>
        <v>I.2.3.0119</v>
      </c>
      <c r="B3753" s="319">
        <v>19</v>
      </c>
      <c r="C3753" s="319">
        <f>IFERROR(VLOOKUP(A3753,[3]DOORSCRIEFT!$A$2:$G$8551,2,FALSE),"")</f>
        <v>447</v>
      </c>
      <c r="D3753" s="318">
        <f>IFERROR(VLOOKUP(A3753,[3]DOORSCRIEFT!$A$2:$G$8551,3,FALSE),"")</f>
        <v>46110</v>
      </c>
      <c r="E3753" s="317" t="str">
        <f>IFERROR(VLOOKUP(A3753,[3]DOORSCRIEFT!$A$2:$G$8551,4,FALSE),"")</f>
        <v>Persepuluhan Gereja Baitrafa dan SK</v>
      </c>
      <c r="F3753" s="316">
        <f>IFERROR(VLOOKUP(A3753,[3]DOORSCRIEFT!$A$2:$G$8551,6,FALSE),"")</f>
        <v>5526000</v>
      </c>
      <c r="G3753" s="315"/>
    </row>
    <row r="3754" spans="1:7" x14ac:dyDescent="0.25">
      <c r="A3754" s="359" t="str">
        <f t="shared" si="107"/>
        <v>I.2.3.0120</v>
      </c>
      <c r="B3754" s="319">
        <v>20</v>
      </c>
      <c r="C3754" s="319">
        <f>IFERROR(VLOOKUP(A3754,[3]DOORSCRIEFT!$A$2:$G$8551,2,FALSE),"")</f>
        <v>463</v>
      </c>
      <c r="D3754" s="318">
        <f>IFERROR(VLOOKUP(A3754,[3]DOORSCRIEFT!$A$2:$G$8551,3,FALSE),"")</f>
        <v>46115</v>
      </c>
      <c r="E3754" s="317">
        <f>IFERROR(VLOOKUP(A3754,[3]DOORSCRIEFT!$A$2:$G$8551,4,FALSE),"")</f>
        <v>0</v>
      </c>
      <c r="F3754" s="316">
        <f>IFERROR(VLOOKUP(A3754,[3]DOORSCRIEFT!$A$2:$G$8551,6,FALSE),"")</f>
        <v>1390500</v>
      </c>
      <c r="G3754" s="315"/>
    </row>
    <row r="3755" spans="1:7" x14ac:dyDescent="0.25">
      <c r="A3755" s="359" t="str">
        <f t="shared" si="107"/>
        <v>I.2.3.0121</v>
      </c>
      <c r="B3755" s="319">
        <v>21</v>
      </c>
      <c r="C3755" s="319" t="str">
        <f>IFERROR(VLOOKUP(A3755,[3]DOORSCRIEFT!$A$2:$G$8551,2,FALSE),"")</f>
        <v/>
      </c>
      <c r="D3755" s="318" t="str">
        <f>IFERROR(VLOOKUP(A3755,[3]DOORSCRIEFT!$A$2:$G$8551,3,FALSE),"")</f>
        <v/>
      </c>
      <c r="E3755" s="317" t="str">
        <f>IFERROR(VLOOKUP(A3755,[3]DOORSCRIEFT!$A$2:$G$8551,4,FALSE),"")</f>
        <v/>
      </c>
      <c r="F3755" s="316" t="str">
        <f>IFERROR(VLOOKUP(A3755,[3]DOORSCRIEFT!$A$2:$G$8551,6,FALSE),"")</f>
        <v/>
      </c>
      <c r="G3755" s="315"/>
    </row>
    <row r="3756" spans="1:7" x14ac:dyDescent="0.25">
      <c r="A3756" s="359" t="str">
        <f t="shared" si="107"/>
        <v>I.2.3.0122</v>
      </c>
      <c r="B3756" s="319">
        <v>22</v>
      </c>
      <c r="C3756" s="319" t="str">
        <f>IFERROR(VLOOKUP(A3756,[3]DOORSCRIEFT!$A$2:$G$8551,2,FALSE),"")</f>
        <v/>
      </c>
      <c r="D3756" s="318" t="str">
        <f>IFERROR(VLOOKUP(A3756,[3]DOORSCRIEFT!$A$2:$G$8551,3,FALSE),"")</f>
        <v/>
      </c>
      <c r="E3756" s="317" t="str">
        <f>IFERROR(VLOOKUP(A3756,[3]DOORSCRIEFT!$A$2:$G$8551,4,FALSE),"")</f>
        <v/>
      </c>
      <c r="F3756" s="316" t="str">
        <f>IFERROR(VLOOKUP(A3756,[3]DOORSCRIEFT!$A$2:$G$8551,6,FALSE),"")</f>
        <v/>
      </c>
      <c r="G3756" s="315"/>
    </row>
    <row r="3757" spans="1:7" x14ac:dyDescent="0.25">
      <c r="A3757" s="359" t="str">
        <f t="shared" si="107"/>
        <v>I.2.3.0123</v>
      </c>
      <c r="B3757" s="319">
        <v>23</v>
      </c>
      <c r="C3757" s="319" t="str">
        <f>IFERROR(VLOOKUP(A3757,[3]DOORSCRIEFT!$A$2:$G$8551,2,FALSE),"")</f>
        <v/>
      </c>
      <c r="D3757" s="318" t="str">
        <f>IFERROR(VLOOKUP(A3757,[3]DOORSCRIEFT!$A$2:$G$8551,3,FALSE),"")</f>
        <v/>
      </c>
      <c r="E3757" s="317" t="str">
        <f>IFERROR(VLOOKUP(A3757,[3]DOORSCRIEFT!$A$2:$G$8551,4,FALSE),"")</f>
        <v/>
      </c>
      <c r="F3757" s="316" t="str">
        <f>IFERROR(VLOOKUP(A3757,[3]DOORSCRIEFT!$A$2:$G$8551,6,FALSE),"")</f>
        <v/>
      </c>
      <c r="G3757" s="315"/>
    </row>
    <row r="3758" spans="1:7" x14ac:dyDescent="0.25">
      <c r="A3758" s="359" t="str">
        <f t="shared" si="107"/>
        <v>I.2.3.0124</v>
      </c>
      <c r="B3758" s="319">
        <v>24</v>
      </c>
      <c r="C3758" s="319" t="str">
        <f>IFERROR(VLOOKUP(A3758,[3]DOORSCRIEFT!$A$2:$G$8551,2,FALSE),"")</f>
        <v/>
      </c>
      <c r="D3758" s="318" t="str">
        <f>IFERROR(VLOOKUP(A3758,[3]DOORSCRIEFT!$A$2:$G$8551,3,FALSE),"")</f>
        <v/>
      </c>
      <c r="E3758" s="317" t="str">
        <f>IFERROR(VLOOKUP(A3758,[3]DOORSCRIEFT!$A$2:$G$8551,4,FALSE),"")</f>
        <v/>
      </c>
      <c r="F3758" s="316" t="str">
        <f>IFERROR(VLOOKUP(A3758,[3]DOORSCRIEFT!$A$2:$G$8551,6,FALSE),"")</f>
        <v/>
      </c>
      <c r="G3758" s="315"/>
    </row>
    <row r="3759" spans="1:7" x14ac:dyDescent="0.25">
      <c r="A3759" s="359" t="str">
        <f t="shared" si="107"/>
        <v>I.2.3.0125</v>
      </c>
      <c r="B3759" s="319">
        <v>25</v>
      </c>
      <c r="C3759" s="319" t="str">
        <f>IFERROR(VLOOKUP(A3759,[3]DOORSCRIEFT!$A$2:$G$8551,2,FALSE),"")</f>
        <v/>
      </c>
      <c r="D3759" s="318" t="str">
        <f>IFERROR(VLOOKUP(A3759,[3]DOORSCRIEFT!$A$2:$G$8551,3,FALSE),"")</f>
        <v/>
      </c>
      <c r="E3759" s="317" t="str">
        <f>IFERROR(VLOOKUP(A3759,[3]DOORSCRIEFT!$A$2:$G$8551,4,FALSE),"")</f>
        <v/>
      </c>
      <c r="F3759" s="316" t="str">
        <f>IFERROR(VLOOKUP(A3759,[3]DOORSCRIEFT!$A$2:$G$8551,6,FALSE),"")</f>
        <v/>
      </c>
      <c r="G3759" s="315"/>
    </row>
    <row r="3760" spans="1:7" x14ac:dyDescent="0.25">
      <c r="A3760" s="359" t="str">
        <f t="shared" si="107"/>
        <v>I.2.3.0126</v>
      </c>
      <c r="B3760" s="319">
        <v>26</v>
      </c>
      <c r="C3760" s="319" t="str">
        <f>IFERROR(VLOOKUP(A3760,[3]DOORSCRIEFT!$A$2:$G$8551,2,FALSE),"")</f>
        <v/>
      </c>
      <c r="D3760" s="318" t="str">
        <f>IFERROR(VLOOKUP(A3760,[3]DOORSCRIEFT!$A$2:$G$8551,3,FALSE),"")</f>
        <v/>
      </c>
      <c r="E3760" s="317" t="str">
        <f>IFERROR(VLOOKUP(A3760,[3]DOORSCRIEFT!$A$2:$G$8551,4,FALSE),"")</f>
        <v/>
      </c>
      <c r="F3760" s="316" t="str">
        <f>IFERROR(VLOOKUP(A3760,[3]DOORSCRIEFT!$A$2:$G$8551,6,FALSE),"")</f>
        <v/>
      </c>
      <c r="G3760" s="315"/>
    </row>
    <row r="3761" spans="1:7" x14ac:dyDescent="0.25">
      <c r="A3761" s="359" t="str">
        <f t="shared" si="107"/>
        <v>I.2.3.0127</v>
      </c>
      <c r="B3761" s="319">
        <v>27</v>
      </c>
      <c r="C3761" s="319" t="str">
        <f>IFERROR(VLOOKUP(A3761,[3]DOORSCRIEFT!$A$2:$G$8551,2,FALSE),"")</f>
        <v/>
      </c>
      <c r="D3761" s="318" t="str">
        <f>IFERROR(VLOOKUP(A3761,[3]DOORSCRIEFT!$A$2:$G$8551,3,FALSE),"")</f>
        <v/>
      </c>
      <c r="E3761" s="317" t="str">
        <f>IFERROR(VLOOKUP(A3761,[3]DOORSCRIEFT!$A$2:$G$8551,4,FALSE),"")</f>
        <v/>
      </c>
      <c r="F3761" s="316" t="str">
        <f>IFERROR(VLOOKUP(A3761,[3]DOORSCRIEFT!$A$2:$G$8551,6,FALSE),"")</f>
        <v/>
      </c>
      <c r="G3761" s="315"/>
    </row>
    <row r="3762" spans="1:7" x14ac:dyDescent="0.25">
      <c r="A3762" s="359" t="str">
        <f t="shared" si="107"/>
        <v>I.2.3.0128</v>
      </c>
      <c r="B3762" s="319">
        <v>28</v>
      </c>
      <c r="C3762" s="319" t="str">
        <f>IFERROR(VLOOKUP(A3762,[3]DOORSCRIEFT!$A$2:$G$8551,2,FALSE),"")</f>
        <v/>
      </c>
      <c r="D3762" s="318" t="str">
        <f>IFERROR(VLOOKUP(A3762,[3]DOORSCRIEFT!$A$2:$G$8551,3,FALSE),"")</f>
        <v/>
      </c>
      <c r="E3762" s="317" t="str">
        <f>IFERROR(VLOOKUP(A3762,[3]DOORSCRIEFT!$A$2:$G$8551,4,FALSE),"")</f>
        <v/>
      </c>
      <c r="F3762" s="316" t="str">
        <f>IFERROR(VLOOKUP(A3762,[3]DOORSCRIEFT!$A$2:$G$8551,6,FALSE),"")</f>
        <v/>
      </c>
      <c r="G3762" s="315"/>
    </row>
    <row r="3763" spans="1:7" x14ac:dyDescent="0.25">
      <c r="A3763" s="359" t="str">
        <f t="shared" si="107"/>
        <v>I.2.3.0129</v>
      </c>
      <c r="B3763" s="319">
        <v>29</v>
      </c>
      <c r="C3763" s="319" t="str">
        <f>IFERROR(VLOOKUP(A3763,[3]DOORSCRIEFT!$A$2:$G$8551,2,FALSE),"")</f>
        <v/>
      </c>
      <c r="D3763" s="318" t="str">
        <f>IFERROR(VLOOKUP(A3763,[3]DOORSCRIEFT!$A$2:$G$8551,3,FALSE),"")</f>
        <v/>
      </c>
      <c r="E3763" s="317" t="str">
        <f>IFERROR(VLOOKUP(A3763,[3]DOORSCRIEFT!$A$2:$G$8551,4,FALSE),"")</f>
        <v/>
      </c>
      <c r="F3763" s="316" t="str">
        <f>IFERROR(VLOOKUP(A3763,[3]DOORSCRIEFT!$A$2:$G$8551,6,FALSE),"")</f>
        <v/>
      </c>
      <c r="G3763" s="315"/>
    </row>
    <row r="3764" spans="1:7" x14ac:dyDescent="0.25">
      <c r="A3764" s="359" t="str">
        <f t="shared" si="107"/>
        <v>I.2.3.0130</v>
      </c>
      <c r="B3764" s="319">
        <v>30</v>
      </c>
      <c r="C3764" s="319" t="str">
        <f>IFERROR(VLOOKUP(A3764,[3]DOORSCRIEFT!$A$2:$G$8551,2,FALSE),"")</f>
        <v/>
      </c>
      <c r="D3764" s="318" t="str">
        <f>IFERROR(VLOOKUP(A3764,[3]DOORSCRIEFT!$A$2:$G$8551,3,FALSE),"")</f>
        <v/>
      </c>
      <c r="E3764" s="317" t="str">
        <f>IFERROR(VLOOKUP(A3764,[3]DOORSCRIEFT!$A$2:$G$8551,4,FALSE),"")</f>
        <v/>
      </c>
      <c r="F3764" s="316" t="str">
        <f>IFERROR(VLOOKUP(A3764,[3]DOORSCRIEFT!$A$2:$G$8551,6,FALSE),"")</f>
        <v/>
      </c>
      <c r="G3764" s="315"/>
    </row>
    <row r="3765" spans="1:7" x14ac:dyDescent="0.25">
      <c r="A3765" s="359" t="str">
        <f t="shared" si="107"/>
        <v>I.2.3.0131</v>
      </c>
      <c r="B3765" s="319">
        <v>31</v>
      </c>
      <c r="C3765" s="319" t="str">
        <f>IFERROR(VLOOKUP(A3765,[3]DOORSCRIEFT!$A$2:$G$8551,2,FALSE),"")</f>
        <v/>
      </c>
      <c r="D3765" s="318" t="str">
        <f>IFERROR(VLOOKUP(A3765,[3]DOORSCRIEFT!$A$2:$G$8551,3,FALSE),"")</f>
        <v/>
      </c>
      <c r="E3765" s="317" t="str">
        <f>IFERROR(VLOOKUP(A3765,[3]DOORSCRIEFT!$A$2:$G$8551,4,FALSE),"")</f>
        <v/>
      </c>
      <c r="F3765" s="316" t="str">
        <f>IFERROR(VLOOKUP(A3765,[3]DOORSCRIEFT!$A$2:$G$8551,6,FALSE),"")</f>
        <v/>
      </c>
      <c r="G3765" s="315"/>
    </row>
    <row r="3766" spans="1:7" x14ac:dyDescent="0.25">
      <c r="A3766" s="359" t="str">
        <f t="shared" si="107"/>
        <v>I.2.3.0132</v>
      </c>
      <c r="B3766" s="319">
        <v>32</v>
      </c>
      <c r="C3766" s="319" t="str">
        <f>IFERROR(VLOOKUP(A3766,[3]DOORSCRIEFT!$A$2:$G$8551,2,FALSE),"")</f>
        <v/>
      </c>
      <c r="D3766" s="318" t="str">
        <f>IFERROR(VLOOKUP(A3766,[3]DOORSCRIEFT!$A$2:$G$8551,3,FALSE),"")</f>
        <v/>
      </c>
      <c r="E3766" s="317" t="str">
        <f>IFERROR(VLOOKUP(A3766,[3]DOORSCRIEFT!$A$2:$G$8551,4,FALSE),"")</f>
        <v/>
      </c>
      <c r="F3766" s="316" t="str">
        <f>IFERROR(VLOOKUP(A3766,[3]DOORSCRIEFT!$A$2:$G$8551,6,FALSE),"")</f>
        <v/>
      </c>
      <c r="G3766" s="315"/>
    </row>
    <row r="3767" spans="1:7" x14ac:dyDescent="0.25">
      <c r="A3767" s="359" t="str">
        <f t="shared" ref="A3767:A3798" si="108">$G$3728&amp;B3767</f>
        <v>I.2.3.0133</v>
      </c>
      <c r="B3767" s="319">
        <v>33</v>
      </c>
      <c r="C3767" s="319" t="str">
        <f>IFERROR(VLOOKUP(A3767,[3]DOORSCRIEFT!$A$2:$G$8551,2,FALSE),"")</f>
        <v/>
      </c>
      <c r="D3767" s="318" t="str">
        <f>IFERROR(VLOOKUP(A3767,[3]DOORSCRIEFT!$A$2:$G$8551,3,FALSE),"")</f>
        <v/>
      </c>
      <c r="E3767" s="317" t="str">
        <f>IFERROR(VLOOKUP(A3767,[3]DOORSCRIEFT!$A$2:$G$8551,4,FALSE),"")</f>
        <v/>
      </c>
      <c r="F3767" s="316" t="str">
        <f>IFERROR(VLOOKUP(A3767,[3]DOORSCRIEFT!$A$2:$G$8551,6,FALSE),"")</f>
        <v/>
      </c>
      <c r="G3767" s="315"/>
    </row>
    <row r="3768" spans="1:7" x14ac:dyDescent="0.25">
      <c r="A3768" s="359" t="str">
        <f t="shared" si="108"/>
        <v>I.2.3.0134</v>
      </c>
      <c r="B3768" s="319">
        <v>34</v>
      </c>
      <c r="C3768" s="319" t="str">
        <f>IFERROR(VLOOKUP(A3768,[3]DOORSCRIEFT!$A$2:$G$8551,2,FALSE),"")</f>
        <v/>
      </c>
      <c r="D3768" s="318" t="str">
        <f>IFERROR(VLOOKUP(A3768,[3]DOORSCRIEFT!$A$2:$G$8551,3,FALSE),"")</f>
        <v/>
      </c>
      <c r="E3768" s="317" t="str">
        <f>IFERROR(VLOOKUP(A3768,[3]DOORSCRIEFT!$A$2:$G$8551,4,FALSE),"")</f>
        <v/>
      </c>
      <c r="F3768" s="316" t="str">
        <f>IFERROR(VLOOKUP(A3768,[3]DOORSCRIEFT!$A$2:$G$8551,6,FALSE),"")</f>
        <v/>
      </c>
      <c r="G3768" s="315"/>
    </row>
    <row r="3769" spans="1:7" x14ac:dyDescent="0.25">
      <c r="A3769" s="359" t="str">
        <f t="shared" si="108"/>
        <v>I.2.3.0135</v>
      </c>
      <c r="B3769" s="319">
        <v>35</v>
      </c>
      <c r="C3769" s="319" t="str">
        <f>IFERROR(VLOOKUP(A3769,[3]DOORSCRIEFT!$A$2:$G$8551,2,FALSE),"")</f>
        <v/>
      </c>
      <c r="D3769" s="318" t="str">
        <f>IFERROR(VLOOKUP(A3769,[3]DOORSCRIEFT!$A$2:$G$8551,3,FALSE),"")</f>
        <v/>
      </c>
      <c r="E3769" s="317" t="str">
        <f>IFERROR(VLOOKUP(A3769,[3]DOORSCRIEFT!$A$2:$G$8551,4,FALSE),"")</f>
        <v/>
      </c>
      <c r="F3769" s="316" t="str">
        <f>IFERROR(VLOOKUP(A3769,[3]DOORSCRIEFT!$A$2:$G$8551,6,FALSE),"")</f>
        <v/>
      </c>
      <c r="G3769" s="315"/>
    </row>
    <row r="3770" spans="1:7" x14ac:dyDescent="0.25">
      <c r="A3770" s="359" t="str">
        <f t="shared" si="108"/>
        <v>I.2.3.0136</v>
      </c>
      <c r="B3770" s="319">
        <v>36</v>
      </c>
      <c r="C3770" s="319" t="str">
        <f>IFERROR(VLOOKUP(A3770,[3]DOORSCRIEFT!$A$2:$G$8551,2,FALSE),"")</f>
        <v/>
      </c>
      <c r="D3770" s="318" t="str">
        <f>IFERROR(VLOOKUP(A3770,[3]DOORSCRIEFT!$A$2:$G$8551,3,FALSE),"")</f>
        <v/>
      </c>
      <c r="E3770" s="317" t="str">
        <f>IFERROR(VLOOKUP(A3770,[3]DOORSCRIEFT!$A$2:$G$8551,4,FALSE),"")</f>
        <v/>
      </c>
      <c r="F3770" s="316" t="str">
        <f>IFERROR(VLOOKUP(A3770,[3]DOORSCRIEFT!$A$2:$G$8551,6,FALSE),"")</f>
        <v/>
      </c>
      <c r="G3770" s="315"/>
    </row>
    <row r="3771" spans="1:7" x14ac:dyDescent="0.25">
      <c r="A3771" s="359" t="str">
        <f t="shared" si="108"/>
        <v>I.2.3.0137</v>
      </c>
      <c r="B3771" s="319">
        <v>37</v>
      </c>
      <c r="C3771" s="319" t="str">
        <f>IFERROR(VLOOKUP(A3771,[3]DOORSCRIEFT!$A$2:$G$8551,2,FALSE),"")</f>
        <v/>
      </c>
      <c r="D3771" s="318" t="str">
        <f>IFERROR(VLOOKUP(A3771,[3]DOORSCRIEFT!$A$2:$G$8551,3,FALSE),"")</f>
        <v/>
      </c>
      <c r="E3771" s="317" t="str">
        <f>IFERROR(VLOOKUP(A3771,[3]DOORSCRIEFT!$A$2:$G$8551,4,FALSE),"")</f>
        <v/>
      </c>
      <c r="F3771" s="316" t="str">
        <f>IFERROR(VLOOKUP(A3771,[3]DOORSCRIEFT!$A$2:$G$8551,6,FALSE),"")</f>
        <v/>
      </c>
      <c r="G3771" s="315"/>
    </row>
    <row r="3772" spans="1:7" x14ac:dyDescent="0.25">
      <c r="A3772" s="359" t="str">
        <f t="shared" si="108"/>
        <v>I.2.3.0138</v>
      </c>
      <c r="B3772" s="319">
        <v>38</v>
      </c>
      <c r="C3772" s="319" t="str">
        <f>IFERROR(VLOOKUP(A3772,[3]DOORSCRIEFT!$A$2:$G$8551,2,FALSE),"")</f>
        <v/>
      </c>
      <c r="D3772" s="318" t="str">
        <f>IFERROR(VLOOKUP(A3772,[3]DOORSCRIEFT!$A$2:$G$8551,3,FALSE),"")</f>
        <v/>
      </c>
      <c r="E3772" s="317" t="str">
        <f>IFERROR(VLOOKUP(A3772,[3]DOORSCRIEFT!$A$2:$G$8551,4,FALSE),"")</f>
        <v/>
      </c>
      <c r="F3772" s="316" t="str">
        <f>IFERROR(VLOOKUP(A3772,[3]DOORSCRIEFT!$A$2:$G$8551,6,FALSE),"")</f>
        <v/>
      </c>
      <c r="G3772" s="315"/>
    </row>
    <row r="3773" spans="1:7" x14ac:dyDescent="0.25">
      <c r="A3773" s="359" t="str">
        <f t="shared" si="108"/>
        <v>I.2.3.0139</v>
      </c>
      <c r="B3773" s="319">
        <v>39</v>
      </c>
      <c r="C3773" s="319" t="str">
        <f>IFERROR(VLOOKUP(A3773,[3]DOORSCRIEFT!$A$2:$G$8551,2,FALSE),"")</f>
        <v/>
      </c>
      <c r="D3773" s="318" t="str">
        <f>IFERROR(VLOOKUP(A3773,[3]DOORSCRIEFT!$A$2:$G$8551,3,FALSE),"")</f>
        <v/>
      </c>
      <c r="E3773" s="317" t="str">
        <f>IFERROR(VLOOKUP(A3773,[3]DOORSCRIEFT!$A$2:$G$8551,4,FALSE),"")</f>
        <v/>
      </c>
      <c r="F3773" s="316" t="str">
        <f>IFERROR(VLOOKUP(A3773,[3]DOORSCRIEFT!$A$2:$G$8551,6,FALSE),"")</f>
        <v/>
      </c>
      <c r="G3773" s="315"/>
    </row>
    <row r="3774" spans="1:7" x14ac:dyDescent="0.25">
      <c r="A3774" s="359" t="str">
        <f t="shared" si="108"/>
        <v>I.2.3.0140</v>
      </c>
      <c r="B3774" s="319">
        <v>40</v>
      </c>
      <c r="C3774" s="319" t="str">
        <f>IFERROR(VLOOKUP(A3774,[3]DOORSCRIEFT!$A$2:$G$8551,2,FALSE),"")</f>
        <v/>
      </c>
      <c r="D3774" s="318" t="str">
        <f>IFERROR(VLOOKUP(A3774,[3]DOORSCRIEFT!$A$2:$G$8551,3,FALSE),"")</f>
        <v/>
      </c>
      <c r="E3774" s="317" t="str">
        <f>IFERROR(VLOOKUP(A3774,[3]DOORSCRIEFT!$A$2:$G$8551,4,FALSE),"")</f>
        <v/>
      </c>
      <c r="F3774" s="316" t="str">
        <f>IFERROR(VLOOKUP(A3774,[3]DOORSCRIEFT!$A$2:$G$8551,6,FALSE),"")</f>
        <v/>
      </c>
      <c r="G3774" s="315"/>
    </row>
    <row r="3775" spans="1:7" x14ac:dyDescent="0.25">
      <c r="A3775" s="359" t="str">
        <f t="shared" si="108"/>
        <v>I.2.3.0141</v>
      </c>
      <c r="B3775" s="319">
        <v>41</v>
      </c>
      <c r="C3775" s="319" t="str">
        <f>IFERROR(VLOOKUP(A3775,[3]DOORSCRIEFT!$A$2:$G$8551,2,FALSE),"")</f>
        <v/>
      </c>
      <c r="D3775" s="318" t="str">
        <f>IFERROR(VLOOKUP(A3775,[3]DOORSCRIEFT!$A$2:$G$8551,3,FALSE),"")</f>
        <v/>
      </c>
      <c r="E3775" s="317" t="str">
        <f>IFERROR(VLOOKUP(A3775,[3]DOORSCRIEFT!$A$2:$G$8551,4,FALSE),"")</f>
        <v/>
      </c>
      <c r="F3775" s="316" t="str">
        <f>IFERROR(VLOOKUP(A3775,[3]DOORSCRIEFT!$A$2:$G$8551,6,FALSE),"")</f>
        <v/>
      </c>
      <c r="G3775" s="315"/>
    </row>
    <row r="3776" spans="1:7" x14ac:dyDescent="0.25">
      <c r="A3776" s="359" t="str">
        <f t="shared" si="108"/>
        <v>I.2.3.0142</v>
      </c>
      <c r="B3776" s="319">
        <v>42</v>
      </c>
      <c r="C3776" s="319" t="str">
        <f>IFERROR(VLOOKUP(A3776,[3]DOORSCRIEFT!$A$2:$G$8551,2,FALSE),"")</f>
        <v/>
      </c>
      <c r="D3776" s="318" t="str">
        <f>IFERROR(VLOOKUP(A3776,[3]DOORSCRIEFT!$A$2:$G$8551,3,FALSE),"")</f>
        <v/>
      </c>
      <c r="E3776" s="317" t="str">
        <f>IFERROR(VLOOKUP(A3776,[3]DOORSCRIEFT!$A$2:$G$8551,4,FALSE),"")</f>
        <v/>
      </c>
      <c r="F3776" s="316" t="str">
        <f>IFERROR(VLOOKUP(A3776,[3]DOORSCRIEFT!$A$2:$G$8551,6,FALSE),"")</f>
        <v/>
      </c>
      <c r="G3776" s="315"/>
    </row>
    <row r="3777" spans="1:7" x14ac:dyDescent="0.25">
      <c r="A3777" s="359" t="str">
        <f t="shared" si="108"/>
        <v>I.2.3.0143</v>
      </c>
      <c r="B3777" s="319">
        <v>43</v>
      </c>
      <c r="C3777" s="319" t="str">
        <f>IFERROR(VLOOKUP(A3777,[3]DOORSCRIEFT!$A$2:$G$8551,2,FALSE),"")</f>
        <v/>
      </c>
      <c r="D3777" s="318" t="str">
        <f>IFERROR(VLOOKUP(A3777,[3]DOORSCRIEFT!$A$2:$G$8551,3,FALSE),"")</f>
        <v/>
      </c>
      <c r="E3777" s="317" t="str">
        <f>IFERROR(VLOOKUP(A3777,[3]DOORSCRIEFT!$A$2:$G$8551,4,FALSE),"")</f>
        <v/>
      </c>
      <c r="F3777" s="316" t="str">
        <f>IFERROR(VLOOKUP(A3777,[3]DOORSCRIEFT!$A$2:$G$8551,6,FALSE),"")</f>
        <v/>
      </c>
      <c r="G3777" s="315"/>
    </row>
    <row r="3778" spans="1:7" x14ac:dyDescent="0.25">
      <c r="A3778" s="359" t="str">
        <f t="shared" si="108"/>
        <v>I.2.3.0144</v>
      </c>
      <c r="B3778" s="319">
        <v>44</v>
      </c>
      <c r="C3778" s="319" t="str">
        <f>IFERROR(VLOOKUP(A3778,[3]DOORSCRIEFT!$A$2:$G$8551,2,FALSE),"")</f>
        <v/>
      </c>
      <c r="D3778" s="318" t="str">
        <f>IFERROR(VLOOKUP(A3778,[3]DOORSCRIEFT!$A$2:$G$8551,3,FALSE),"")</f>
        <v/>
      </c>
      <c r="E3778" s="317" t="str">
        <f>IFERROR(VLOOKUP(A3778,[3]DOORSCRIEFT!$A$2:$G$8551,4,FALSE),"")</f>
        <v/>
      </c>
      <c r="F3778" s="316" t="str">
        <f>IFERROR(VLOOKUP(A3778,[3]DOORSCRIEFT!$A$2:$G$8551,6,FALSE),"")</f>
        <v/>
      </c>
      <c r="G3778" s="315"/>
    </row>
    <row r="3779" spans="1:7" x14ac:dyDescent="0.25">
      <c r="A3779" s="359" t="str">
        <f t="shared" si="108"/>
        <v>I.2.3.0145</v>
      </c>
      <c r="B3779" s="319">
        <v>45</v>
      </c>
      <c r="C3779" s="319" t="str">
        <f>IFERROR(VLOOKUP(A3779,[3]DOORSCRIEFT!$A$2:$G$8551,2,FALSE),"")</f>
        <v/>
      </c>
      <c r="D3779" s="318" t="str">
        <f>IFERROR(VLOOKUP(A3779,[3]DOORSCRIEFT!$A$2:$G$8551,3,FALSE),"")</f>
        <v/>
      </c>
      <c r="E3779" s="317" t="str">
        <f>IFERROR(VLOOKUP(A3779,[3]DOORSCRIEFT!$A$2:$G$8551,4,FALSE),"")</f>
        <v/>
      </c>
      <c r="F3779" s="316" t="str">
        <f>IFERROR(VLOOKUP(A3779,[3]DOORSCRIEFT!$A$2:$G$8551,6,FALSE),"")</f>
        <v/>
      </c>
      <c r="G3779" s="315"/>
    </row>
    <row r="3780" spans="1:7" x14ac:dyDescent="0.25">
      <c r="A3780" s="359" t="str">
        <f t="shared" si="108"/>
        <v>I.2.3.0146</v>
      </c>
      <c r="B3780" s="319">
        <v>46</v>
      </c>
      <c r="C3780" s="319" t="str">
        <f>IFERROR(VLOOKUP(A3780,[3]DOORSCRIEFT!$A$2:$G$8551,2,FALSE),"")</f>
        <v/>
      </c>
      <c r="D3780" s="318" t="str">
        <f>IFERROR(VLOOKUP(A3780,[3]DOORSCRIEFT!$A$2:$G$8551,3,FALSE),"")</f>
        <v/>
      </c>
      <c r="E3780" s="317" t="str">
        <f>IFERROR(VLOOKUP(A3780,[3]DOORSCRIEFT!$A$2:$G$8551,4,FALSE),"")</f>
        <v/>
      </c>
      <c r="F3780" s="316" t="str">
        <f>IFERROR(VLOOKUP(A3780,[3]DOORSCRIEFT!$A$2:$G$8551,6,FALSE),"")</f>
        <v/>
      </c>
      <c r="G3780" s="315"/>
    </row>
    <row r="3781" spans="1:7" x14ac:dyDescent="0.25">
      <c r="A3781" s="359" t="str">
        <f t="shared" si="108"/>
        <v>I.2.3.0147</v>
      </c>
      <c r="B3781" s="319">
        <v>47</v>
      </c>
      <c r="C3781" s="319" t="str">
        <f>IFERROR(VLOOKUP(A3781,[3]DOORSCRIEFT!$A$2:$G$8551,2,FALSE),"")</f>
        <v/>
      </c>
      <c r="D3781" s="318" t="str">
        <f>IFERROR(VLOOKUP(A3781,[3]DOORSCRIEFT!$A$2:$G$8551,3,FALSE),"")</f>
        <v/>
      </c>
      <c r="E3781" s="317" t="str">
        <f>IFERROR(VLOOKUP(A3781,[3]DOORSCRIEFT!$A$2:$G$8551,4,FALSE),"")</f>
        <v/>
      </c>
      <c r="F3781" s="316" t="str">
        <f>IFERROR(VLOOKUP(A3781,[3]DOORSCRIEFT!$A$2:$G$8551,6,FALSE),"")</f>
        <v/>
      </c>
      <c r="G3781" s="315"/>
    </row>
    <row r="3782" spans="1:7" x14ac:dyDescent="0.25">
      <c r="A3782" s="359" t="str">
        <f t="shared" si="108"/>
        <v>I.2.3.0148</v>
      </c>
      <c r="B3782" s="319">
        <v>48</v>
      </c>
      <c r="C3782" s="319" t="str">
        <f>IFERROR(VLOOKUP(A3782,[3]DOORSCRIEFT!$A$2:$G$8551,2,FALSE),"")</f>
        <v/>
      </c>
      <c r="D3782" s="318" t="str">
        <f>IFERROR(VLOOKUP(A3782,[3]DOORSCRIEFT!$A$2:$G$8551,3,FALSE),"")</f>
        <v/>
      </c>
      <c r="E3782" s="317" t="str">
        <f>IFERROR(VLOOKUP(A3782,[3]DOORSCRIEFT!$A$2:$G$8551,4,FALSE),"")</f>
        <v/>
      </c>
      <c r="F3782" s="316" t="str">
        <f>IFERROR(VLOOKUP(A3782,[3]DOORSCRIEFT!$A$2:$G$8551,6,FALSE),"")</f>
        <v/>
      </c>
      <c r="G3782" s="315"/>
    </row>
    <row r="3783" spans="1:7" x14ac:dyDescent="0.25">
      <c r="A3783" s="359" t="str">
        <f t="shared" si="108"/>
        <v>I.2.3.0149</v>
      </c>
      <c r="B3783" s="319">
        <v>49</v>
      </c>
      <c r="C3783" s="319" t="str">
        <f>IFERROR(VLOOKUP(A3783,[3]DOORSCRIEFT!$A$2:$G$8551,2,FALSE),"")</f>
        <v/>
      </c>
      <c r="D3783" s="318" t="str">
        <f>IFERROR(VLOOKUP(A3783,[3]DOORSCRIEFT!$A$2:$G$8551,3,FALSE),"")</f>
        <v/>
      </c>
      <c r="E3783" s="317" t="str">
        <f>IFERROR(VLOOKUP(A3783,[3]DOORSCRIEFT!$A$2:$G$8551,4,FALSE),"")</f>
        <v/>
      </c>
      <c r="F3783" s="316" t="str">
        <f>IFERROR(VLOOKUP(A3783,[3]DOORSCRIEFT!$A$2:$G$8551,6,FALSE),"")</f>
        <v/>
      </c>
      <c r="G3783" s="315"/>
    </row>
    <row r="3784" spans="1:7" x14ac:dyDescent="0.25">
      <c r="A3784" s="359" t="str">
        <f t="shared" si="108"/>
        <v>I.2.3.0150</v>
      </c>
      <c r="B3784" s="319">
        <v>50</v>
      </c>
      <c r="C3784" s="319" t="str">
        <f>IFERROR(VLOOKUP(A3784,[3]DOORSCRIEFT!$A$2:$G$8551,2,FALSE),"")</f>
        <v/>
      </c>
      <c r="D3784" s="318" t="str">
        <f>IFERROR(VLOOKUP(A3784,[3]DOORSCRIEFT!$A$2:$G$8551,3,FALSE),"")</f>
        <v/>
      </c>
      <c r="E3784" s="317" t="str">
        <f>IFERROR(VLOOKUP(A3784,[3]DOORSCRIEFT!$A$2:$G$8551,4,FALSE),"")</f>
        <v/>
      </c>
      <c r="F3784" s="316" t="str">
        <f>IFERROR(VLOOKUP(A3784,[3]DOORSCRIEFT!$A$2:$G$8551,6,FALSE),"")</f>
        <v/>
      </c>
      <c r="G3784" s="315"/>
    </row>
    <row r="3785" spans="1:7" x14ac:dyDescent="0.25">
      <c r="A3785" s="359" t="str">
        <f t="shared" si="108"/>
        <v>I.2.3.0151</v>
      </c>
      <c r="B3785" s="319">
        <v>51</v>
      </c>
      <c r="C3785" s="319" t="str">
        <f>IFERROR(VLOOKUP(A3785,[3]DOORSCRIEFT!$A$2:$G$8551,2,FALSE),"")</f>
        <v/>
      </c>
      <c r="D3785" s="318" t="str">
        <f>IFERROR(VLOOKUP(A3785,[3]DOORSCRIEFT!$A$2:$G$8551,3,FALSE),"")</f>
        <v/>
      </c>
      <c r="E3785" s="317" t="str">
        <f>IFERROR(VLOOKUP(A3785,[3]DOORSCRIEFT!$A$2:$G$8551,4,FALSE),"")</f>
        <v/>
      </c>
      <c r="F3785" s="316" t="str">
        <f>IFERROR(VLOOKUP(A3785,[3]DOORSCRIEFT!$A$2:$G$8551,6,FALSE),"")</f>
        <v/>
      </c>
      <c r="G3785" s="315"/>
    </row>
    <row r="3786" spans="1:7" x14ac:dyDescent="0.25">
      <c r="A3786" s="359" t="str">
        <f t="shared" si="108"/>
        <v>I.2.3.0152</v>
      </c>
      <c r="B3786" s="319">
        <v>52</v>
      </c>
      <c r="C3786" s="319" t="str">
        <f>IFERROR(VLOOKUP(A3786,[3]DOORSCRIEFT!$A$2:$G$8551,2,FALSE),"")</f>
        <v/>
      </c>
      <c r="D3786" s="318" t="str">
        <f>IFERROR(VLOOKUP(A3786,[3]DOORSCRIEFT!$A$2:$G$8551,3,FALSE),"")</f>
        <v/>
      </c>
      <c r="E3786" s="317" t="str">
        <f>IFERROR(VLOOKUP(A3786,[3]DOORSCRIEFT!$A$2:$G$8551,4,FALSE),"")</f>
        <v/>
      </c>
      <c r="F3786" s="316" t="str">
        <f>IFERROR(VLOOKUP(A3786,[3]DOORSCRIEFT!$A$2:$G$8551,6,FALSE),"")</f>
        <v/>
      </c>
      <c r="G3786" s="315"/>
    </row>
    <row r="3787" spans="1:7" x14ac:dyDescent="0.25">
      <c r="A3787" s="359" t="str">
        <f t="shared" si="108"/>
        <v>I.2.3.0153</v>
      </c>
      <c r="B3787" s="319">
        <v>53</v>
      </c>
      <c r="C3787" s="319" t="str">
        <f>IFERROR(VLOOKUP(A3787,[3]DOORSCRIEFT!$A$2:$G$8551,2,FALSE),"")</f>
        <v/>
      </c>
      <c r="D3787" s="318" t="str">
        <f>IFERROR(VLOOKUP(A3787,[3]DOORSCRIEFT!$A$2:$G$8551,3,FALSE),"")</f>
        <v/>
      </c>
      <c r="E3787" s="317" t="str">
        <f>IFERROR(VLOOKUP(A3787,[3]DOORSCRIEFT!$A$2:$G$8551,4,FALSE),"")</f>
        <v/>
      </c>
      <c r="F3787" s="316" t="str">
        <f>IFERROR(VLOOKUP(A3787,[3]DOORSCRIEFT!$A$2:$G$8551,6,FALSE),"")</f>
        <v/>
      </c>
      <c r="G3787" s="315"/>
    </row>
    <row r="3788" spans="1:7" x14ac:dyDescent="0.25">
      <c r="A3788" s="359" t="str">
        <f t="shared" si="108"/>
        <v>I.2.3.0154</v>
      </c>
      <c r="B3788" s="319">
        <v>54</v>
      </c>
      <c r="C3788" s="319" t="str">
        <f>IFERROR(VLOOKUP(A3788,[3]DOORSCRIEFT!$A$2:$G$8551,2,FALSE),"")</f>
        <v/>
      </c>
      <c r="D3788" s="318" t="str">
        <f>IFERROR(VLOOKUP(A3788,[3]DOORSCRIEFT!$A$2:$G$8551,3,FALSE),"")</f>
        <v/>
      </c>
      <c r="E3788" s="317" t="str">
        <f>IFERROR(VLOOKUP(A3788,[3]DOORSCRIEFT!$A$2:$G$8551,4,FALSE),"")</f>
        <v/>
      </c>
      <c r="F3788" s="316" t="str">
        <f>IFERROR(VLOOKUP(A3788,[3]DOORSCRIEFT!$A$2:$G$8551,6,FALSE),"")</f>
        <v/>
      </c>
      <c r="G3788" s="315"/>
    </row>
    <row r="3789" spans="1:7" x14ac:dyDescent="0.25">
      <c r="A3789" s="359" t="str">
        <f t="shared" si="108"/>
        <v>I.2.3.0155</v>
      </c>
      <c r="B3789" s="319">
        <v>55</v>
      </c>
      <c r="C3789" s="319" t="str">
        <f>IFERROR(VLOOKUP(A3789,[3]DOORSCRIEFT!$A$2:$G$8551,2,FALSE),"")</f>
        <v/>
      </c>
      <c r="D3789" s="318" t="str">
        <f>IFERROR(VLOOKUP(A3789,[3]DOORSCRIEFT!$A$2:$G$8551,3,FALSE),"")</f>
        <v/>
      </c>
      <c r="E3789" s="317" t="str">
        <f>IFERROR(VLOOKUP(A3789,[3]DOORSCRIEFT!$A$2:$G$8551,4,FALSE),"")</f>
        <v/>
      </c>
      <c r="F3789" s="316" t="str">
        <f>IFERROR(VLOOKUP(A3789,[3]DOORSCRIEFT!$A$2:$G$8551,6,FALSE),"")</f>
        <v/>
      </c>
      <c r="G3789" s="315"/>
    </row>
    <row r="3790" spans="1:7" x14ac:dyDescent="0.25">
      <c r="A3790" s="359" t="str">
        <f t="shared" si="108"/>
        <v>I.2.3.0156</v>
      </c>
      <c r="B3790" s="319">
        <v>56</v>
      </c>
      <c r="C3790" s="319" t="str">
        <f>IFERROR(VLOOKUP(A3790,[3]DOORSCRIEFT!$A$2:$G$8551,2,FALSE),"")</f>
        <v/>
      </c>
      <c r="D3790" s="318" t="str">
        <f>IFERROR(VLOOKUP(A3790,[3]DOORSCRIEFT!$A$2:$G$8551,3,FALSE),"")</f>
        <v/>
      </c>
      <c r="E3790" s="317" t="str">
        <f>IFERROR(VLOOKUP(A3790,[3]DOORSCRIEFT!$A$2:$G$8551,4,FALSE),"")</f>
        <v/>
      </c>
      <c r="F3790" s="316" t="str">
        <f>IFERROR(VLOOKUP(A3790,[3]DOORSCRIEFT!$A$2:$G$8551,6,FALSE),"")</f>
        <v/>
      </c>
      <c r="G3790" s="315"/>
    </row>
    <row r="3791" spans="1:7" x14ac:dyDescent="0.25">
      <c r="A3791" s="359" t="str">
        <f t="shared" si="108"/>
        <v>I.2.3.0157</v>
      </c>
      <c r="B3791" s="319">
        <v>57</v>
      </c>
      <c r="C3791" s="319" t="str">
        <f>IFERROR(VLOOKUP(A3791,[3]DOORSCRIEFT!$A$2:$G$8551,2,FALSE),"")</f>
        <v/>
      </c>
      <c r="D3791" s="318" t="str">
        <f>IFERROR(VLOOKUP(A3791,[3]DOORSCRIEFT!$A$2:$G$8551,3,FALSE),"")</f>
        <v/>
      </c>
      <c r="E3791" s="317" t="str">
        <f>IFERROR(VLOOKUP(A3791,[3]DOORSCRIEFT!$A$2:$G$8551,4,FALSE),"")</f>
        <v/>
      </c>
      <c r="F3791" s="316" t="str">
        <f>IFERROR(VLOOKUP(A3791,[3]DOORSCRIEFT!$A$2:$G$8551,6,FALSE),"")</f>
        <v/>
      </c>
      <c r="G3791" s="315"/>
    </row>
    <row r="3792" spans="1:7" x14ac:dyDescent="0.25">
      <c r="A3792" s="359" t="str">
        <f t="shared" si="108"/>
        <v>I.2.3.0158</v>
      </c>
      <c r="B3792" s="319">
        <v>58</v>
      </c>
      <c r="C3792" s="319" t="str">
        <f>IFERROR(VLOOKUP(A3792,[3]DOORSCRIEFT!$A$2:$G$8551,2,FALSE),"")</f>
        <v/>
      </c>
      <c r="D3792" s="318" t="str">
        <f>IFERROR(VLOOKUP(A3792,[3]DOORSCRIEFT!$A$2:$G$8551,3,FALSE),"")</f>
        <v/>
      </c>
      <c r="E3792" s="317" t="str">
        <f>IFERROR(VLOOKUP(A3792,[3]DOORSCRIEFT!$A$2:$G$8551,4,FALSE),"")</f>
        <v/>
      </c>
      <c r="F3792" s="316" t="str">
        <f>IFERROR(VLOOKUP(A3792,[3]DOORSCRIEFT!$A$2:$G$8551,6,FALSE),"")</f>
        <v/>
      </c>
      <c r="G3792" s="315"/>
    </row>
    <row r="3793" spans="1:7" x14ac:dyDescent="0.25">
      <c r="A3793" s="359" t="str">
        <f t="shared" si="108"/>
        <v>I.2.3.0159</v>
      </c>
      <c r="B3793" s="319">
        <v>59</v>
      </c>
      <c r="C3793" s="319" t="str">
        <f>IFERROR(VLOOKUP(A3793,[3]DOORSCRIEFT!$A$2:$G$8551,2,FALSE),"")</f>
        <v/>
      </c>
      <c r="D3793" s="318" t="str">
        <f>IFERROR(VLOOKUP(A3793,[3]DOORSCRIEFT!$A$2:$G$8551,3,FALSE),"")</f>
        <v/>
      </c>
      <c r="E3793" s="317" t="str">
        <f>IFERROR(VLOOKUP(A3793,[3]DOORSCRIEFT!$A$2:$G$8551,4,FALSE),"")</f>
        <v/>
      </c>
      <c r="F3793" s="316" t="str">
        <f>IFERROR(VLOOKUP(A3793,[3]DOORSCRIEFT!$A$2:$G$8551,6,FALSE),"")</f>
        <v/>
      </c>
      <c r="G3793" s="315"/>
    </row>
    <row r="3794" spans="1:7" x14ac:dyDescent="0.25">
      <c r="A3794" s="359" t="str">
        <f t="shared" si="108"/>
        <v>I.2.3.0160</v>
      </c>
      <c r="B3794" s="319">
        <v>60</v>
      </c>
      <c r="C3794" s="319" t="str">
        <f>IFERROR(VLOOKUP(A3794,[3]DOORSCRIEFT!$A$2:$G$8551,2,FALSE),"")</f>
        <v/>
      </c>
      <c r="D3794" s="318" t="str">
        <f>IFERROR(VLOOKUP(A3794,[3]DOORSCRIEFT!$A$2:$G$8551,3,FALSE),"")</f>
        <v/>
      </c>
      <c r="E3794" s="317" t="str">
        <f>IFERROR(VLOOKUP(A3794,[3]DOORSCRIEFT!$A$2:$G$8551,4,FALSE),"")</f>
        <v/>
      </c>
      <c r="F3794" s="316" t="str">
        <f>IFERROR(VLOOKUP(A3794,[3]DOORSCRIEFT!$A$2:$G$8551,6,FALSE),"")</f>
        <v/>
      </c>
      <c r="G3794" s="315"/>
    </row>
    <row r="3795" spans="1:7" x14ac:dyDescent="0.25">
      <c r="A3795" s="359" t="str">
        <f t="shared" si="108"/>
        <v>I.2.3.0161</v>
      </c>
      <c r="B3795" s="319">
        <v>61</v>
      </c>
      <c r="C3795" s="319" t="str">
        <f>IFERROR(VLOOKUP(A3795,[3]DOORSCRIEFT!$A$2:$G$8551,2,FALSE),"")</f>
        <v/>
      </c>
      <c r="D3795" s="318" t="str">
        <f>IFERROR(VLOOKUP(A3795,[3]DOORSCRIEFT!$A$2:$G$8551,3,FALSE),"")</f>
        <v/>
      </c>
      <c r="E3795" s="317" t="str">
        <f>IFERROR(VLOOKUP(A3795,[3]DOORSCRIEFT!$A$2:$G$8551,4,FALSE),"")</f>
        <v/>
      </c>
      <c r="F3795" s="316" t="str">
        <f>IFERROR(VLOOKUP(A3795,[3]DOORSCRIEFT!$A$2:$G$8551,6,FALSE),"")</f>
        <v/>
      </c>
      <c r="G3795" s="315"/>
    </row>
    <row r="3796" spans="1:7" x14ac:dyDescent="0.25">
      <c r="A3796" s="359" t="str">
        <f t="shared" si="108"/>
        <v>I.2.3.0162</v>
      </c>
      <c r="B3796" s="319">
        <v>62</v>
      </c>
      <c r="C3796" s="319" t="str">
        <f>IFERROR(VLOOKUP(A3796,[3]DOORSCRIEFT!$A$2:$G$8551,2,FALSE),"")</f>
        <v/>
      </c>
      <c r="D3796" s="318" t="str">
        <f>IFERROR(VLOOKUP(A3796,[3]DOORSCRIEFT!$A$2:$G$8551,3,FALSE),"")</f>
        <v/>
      </c>
      <c r="E3796" s="317" t="str">
        <f>IFERROR(VLOOKUP(A3796,[3]DOORSCRIEFT!$A$2:$G$8551,4,FALSE),"")</f>
        <v/>
      </c>
      <c r="F3796" s="316" t="str">
        <f>IFERROR(VLOOKUP(A3796,[3]DOORSCRIEFT!$A$2:$G$8551,6,FALSE),"")</f>
        <v/>
      </c>
      <c r="G3796" s="315"/>
    </row>
    <row r="3797" spans="1:7" x14ac:dyDescent="0.25">
      <c r="A3797" s="359" t="str">
        <f t="shared" si="108"/>
        <v>I.2.3.0163</v>
      </c>
      <c r="B3797" s="319">
        <v>63</v>
      </c>
      <c r="C3797" s="319" t="str">
        <f>IFERROR(VLOOKUP(A3797,[3]DOORSCRIEFT!$A$2:$G$8551,2,FALSE),"")</f>
        <v/>
      </c>
      <c r="D3797" s="318" t="str">
        <f>IFERROR(VLOOKUP(A3797,[3]DOORSCRIEFT!$A$2:$G$8551,3,FALSE),"")</f>
        <v/>
      </c>
      <c r="E3797" s="317" t="str">
        <f>IFERROR(VLOOKUP(A3797,[3]DOORSCRIEFT!$A$2:$G$8551,4,FALSE),"")</f>
        <v/>
      </c>
      <c r="F3797" s="316" t="str">
        <f>IFERROR(VLOOKUP(A3797,[3]DOORSCRIEFT!$A$2:$G$8551,6,FALSE),"")</f>
        <v/>
      </c>
      <c r="G3797" s="315"/>
    </row>
    <row r="3798" spans="1:7" x14ac:dyDescent="0.25">
      <c r="A3798" s="359" t="str">
        <f t="shared" si="108"/>
        <v>I.2.3.0164</v>
      </c>
      <c r="B3798" s="319">
        <v>64</v>
      </c>
      <c r="C3798" s="319" t="str">
        <f>IFERROR(VLOOKUP(A3798,[3]DOORSCRIEFT!$A$2:$G$8551,2,FALSE),"")</f>
        <v/>
      </c>
      <c r="D3798" s="318" t="str">
        <f>IFERROR(VLOOKUP(A3798,[3]DOORSCRIEFT!$A$2:$G$8551,3,FALSE),"")</f>
        <v/>
      </c>
      <c r="E3798" s="317" t="str">
        <f>IFERROR(VLOOKUP(A3798,[3]DOORSCRIEFT!$A$2:$G$8551,4,FALSE),"")</f>
        <v/>
      </c>
      <c r="F3798" s="316" t="str">
        <f>IFERROR(VLOOKUP(A3798,[3]DOORSCRIEFT!$A$2:$G$8551,6,FALSE),"")</f>
        <v/>
      </c>
      <c r="G3798" s="315"/>
    </row>
    <row r="3799" spans="1:7" x14ac:dyDescent="0.25">
      <c r="A3799" s="359" t="str">
        <f t="shared" ref="A3799:A3830" si="109">$G$3728&amp;B3799</f>
        <v>I.2.3.0165</v>
      </c>
      <c r="B3799" s="319">
        <v>65</v>
      </c>
      <c r="C3799" s="319" t="str">
        <f>IFERROR(VLOOKUP(A3799,[3]DOORSCRIEFT!$A$2:$G$8551,2,FALSE),"")</f>
        <v/>
      </c>
      <c r="D3799" s="318" t="str">
        <f>IFERROR(VLOOKUP(A3799,[3]DOORSCRIEFT!$A$2:$G$8551,3,FALSE),"")</f>
        <v/>
      </c>
      <c r="E3799" s="317" t="str">
        <f>IFERROR(VLOOKUP(A3799,[3]DOORSCRIEFT!$A$2:$G$8551,4,FALSE),"")</f>
        <v/>
      </c>
      <c r="F3799" s="316" t="str">
        <f>IFERROR(VLOOKUP(A3799,[3]DOORSCRIEFT!$A$2:$G$8551,6,FALSE),"")</f>
        <v/>
      </c>
      <c r="G3799" s="315"/>
    </row>
    <row r="3800" spans="1:7" x14ac:dyDescent="0.25">
      <c r="A3800" s="359" t="str">
        <f t="shared" si="109"/>
        <v>I.2.3.0166</v>
      </c>
      <c r="B3800" s="319">
        <v>66</v>
      </c>
      <c r="C3800" s="319" t="str">
        <f>IFERROR(VLOOKUP(A3800,[3]DOORSCRIEFT!$A$2:$G$8551,2,FALSE),"")</f>
        <v/>
      </c>
      <c r="D3800" s="318" t="str">
        <f>IFERROR(VLOOKUP(A3800,[3]DOORSCRIEFT!$A$2:$G$8551,3,FALSE),"")</f>
        <v/>
      </c>
      <c r="E3800" s="317" t="str">
        <f>IFERROR(VLOOKUP(A3800,[3]DOORSCRIEFT!$A$2:$G$8551,4,FALSE),"")</f>
        <v/>
      </c>
      <c r="F3800" s="316" t="str">
        <f>IFERROR(VLOOKUP(A3800,[3]DOORSCRIEFT!$A$2:$G$8551,6,FALSE),"")</f>
        <v/>
      </c>
      <c r="G3800" s="315"/>
    </row>
    <row r="3801" spans="1:7" x14ac:dyDescent="0.25">
      <c r="A3801" s="359" t="str">
        <f t="shared" si="109"/>
        <v>I.2.3.0167</v>
      </c>
      <c r="B3801" s="319">
        <v>67</v>
      </c>
      <c r="C3801" s="319" t="str">
        <f>IFERROR(VLOOKUP(A3801,[3]DOORSCRIEFT!$A$2:$G$8551,2,FALSE),"")</f>
        <v/>
      </c>
      <c r="D3801" s="318" t="str">
        <f>IFERROR(VLOOKUP(A3801,[3]DOORSCRIEFT!$A$2:$G$8551,3,FALSE),"")</f>
        <v/>
      </c>
      <c r="E3801" s="317" t="str">
        <f>IFERROR(VLOOKUP(A3801,[3]DOORSCRIEFT!$A$2:$G$8551,4,FALSE),"")</f>
        <v/>
      </c>
      <c r="F3801" s="316" t="str">
        <f>IFERROR(VLOOKUP(A3801,[3]DOORSCRIEFT!$A$2:$G$8551,6,FALSE),"")</f>
        <v/>
      </c>
      <c r="G3801" s="315"/>
    </row>
    <row r="3802" spans="1:7" x14ac:dyDescent="0.25">
      <c r="A3802" s="359" t="str">
        <f t="shared" si="109"/>
        <v>I.2.3.0168</v>
      </c>
      <c r="B3802" s="319">
        <v>68</v>
      </c>
      <c r="C3802" s="319" t="str">
        <f>IFERROR(VLOOKUP(A3802,[3]DOORSCRIEFT!$A$2:$G$8551,2,FALSE),"")</f>
        <v/>
      </c>
      <c r="D3802" s="318" t="str">
        <f>IFERROR(VLOOKUP(A3802,[3]DOORSCRIEFT!$A$2:$G$8551,3,FALSE),"")</f>
        <v/>
      </c>
      <c r="E3802" s="317" t="str">
        <f>IFERROR(VLOOKUP(A3802,[3]DOORSCRIEFT!$A$2:$G$8551,4,FALSE),"")</f>
        <v/>
      </c>
      <c r="F3802" s="316" t="str">
        <f>IFERROR(VLOOKUP(A3802,[3]DOORSCRIEFT!$A$2:$G$8551,6,FALSE),"")</f>
        <v/>
      </c>
      <c r="G3802" s="315"/>
    </row>
    <row r="3803" spans="1:7" x14ac:dyDescent="0.25">
      <c r="A3803" s="359" t="str">
        <f t="shared" si="109"/>
        <v>I.2.3.0169</v>
      </c>
      <c r="B3803" s="319">
        <v>69</v>
      </c>
      <c r="C3803" s="319" t="str">
        <f>IFERROR(VLOOKUP(A3803,[3]DOORSCRIEFT!$A$2:$G$8551,2,FALSE),"")</f>
        <v/>
      </c>
      <c r="D3803" s="318" t="str">
        <f>IFERROR(VLOOKUP(A3803,[3]DOORSCRIEFT!$A$2:$G$8551,3,FALSE),"")</f>
        <v/>
      </c>
      <c r="E3803" s="317" t="str">
        <f>IFERROR(VLOOKUP(A3803,[3]DOORSCRIEFT!$A$2:$G$8551,4,FALSE),"")</f>
        <v/>
      </c>
      <c r="F3803" s="316" t="str">
        <f>IFERROR(VLOOKUP(A3803,[3]DOORSCRIEFT!$A$2:$G$8551,6,FALSE),"")</f>
        <v/>
      </c>
      <c r="G3803" s="315"/>
    </row>
    <row r="3804" spans="1:7" x14ac:dyDescent="0.25">
      <c r="A3804" s="359" t="str">
        <f t="shared" si="109"/>
        <v>I.2.3.0170</v>
      </c>
      <c r="B3804" s="319">
        <v>70</v>
      </c>
      <c r="C3804" s="319" t="str">
        <f>IFERROR(VLOOKUP(A3804,[3]DOORSCRIEFT!$A$2:$G$8551,2,FALSE),"")</f>
        <v/>
      </c>
      <c r="D3804" s="318" t="str">
        <f>IFERROR(VLOOKUP(A3804,[3]DOORSCRIEFT!$A$2:$G$8551,3,FALSE),"")</f>
        <v/>
      </c>
      <c r="E3804" s="317" t="str">
        <f>IFERROR(VLOOKUP(A3804,[3]DOORSCRIEFT!$A$2:$G$8551,4,FALSE),"")</f>
        <v/>
      </c>
      <c r="F3804" s="316" t="str">
        <f>IFERROR(VLOOKUP(A3804,[3]DOORSCRIEFT!$A$2:$G$8551,6,FALSE),"")</f>
        <v/>
      </c>
      <c r="G3804" s="315"/>
    </row>
    <row r="3805" spans="1:7" x14ac:dyDescent="0.25">
      <c r="A3805" s="359" t="str">
        <f t="shared" si="109"/>
        <v>I.2.3.0171</v>
      </c>
      <c r="B3805" s="319">
        <v>71</v>
      </c>
      <c r="C3805" s="319" t="str">
        <f>IFERROR(VLOOKUP(A3805,[3]DOORSCRIEFT!$A$2:$G$8551,2,FALSE),"")</f>
        <v/>
      </c>
      <c r="D3805" s="318" t="str">
        <f>IFERROR(VLOOKUP(A3805,[3]DOORSCRIEFT!$A$2:$G$8551,3,FALSE),"")</f>
        <v/>
      </c>
      <c r="E3805" s="317" t="str">
        <f>IFERROR(VLOOKUP(A3805,[3]DOORSCRIEFT!$A$2:$G$8551,4,FALSE),"")</f>
        <v/>
      </c>
      <c r="F3805" s="316" t="str">
        <f>IFERROR(VLOOKUP(A3805,[3]DOORSCRIEFT!$A$2:$G$8551,6,FALSE),"")</f>
        <v/>
      </c>
      <c r="G3805" s="315"/>
    </row>
    <row r="3806" spans="1:7" x14ac:dyDescent="0.25">
      <c r="A3806" s="359" t="str">
        <f t="shared" si="109"/>
        <v>I.2.3.0172</v>
      </c>
      <c r="B3806" s="319">
        <v>72</v>
      </c>
      <c r="C3806" s="319" t="str">
        <f>IFERROR(VLOOKUP(A3806,[3]DOORSCRIEFT!$A$2:$G$8551,2,FALSE),"")</f>
        <v/>
      </c>
      <c r="D3806" s="318" t="str">
        <f>IFERROR(VLOOKUP(A3806,[3]DOORSCRIEFT!$A$2:$G$8551,3,FALSE),"")</f>
        <v/>
      </c>
      <c r="E3806" s="317" t="str">
        <f>IFERROR(VLOOKUP(A3806,[3]DOORSCRIEFT!$A$2:$G$8551,4,FALSE),"")</f>
        <v/>
      </c>
      <c r="F3806" s="316" t="str">
        <f>IFERROR(VLOOKUP(A3806,[3]DOORSCRIEFT!$A$2:$G$8551,6,FALSE),"")</f>
        <v/>
      </c>
      <c r="G3806" s="315"/>
    </row>
    <row r="3807" spans="1:7" x14ac:dyDescent="0.25">
      <c r="A3807" s="359" t="str">
        <f t="shared" si="109"/>
        <v>I.2.3.0173</v>
      </c>
      <c r="B3807" s="319">
        <v>73</v>
      </c>
      <c r="C3807" s="319" t="str">
        <f>IFERROR(VLOOKUP(A3807,[3]DOORSCRIEFT!$A$2:$G$8551,2,FALSE),"")</f>
        <v/>
      </c>
      <c r="D3807" s="318" t="str">
        <f>IFERROR(VLOOKUP(A3807,[3]DOORSCRIEFT!$A$2:$G$8551,3,FALSE),"")</f>
        <v/>
      </c>
      <c r="E3807" s="317" t="str">
        <f>IFERROR(VLOOKUP(A3807,[3]DOORSCRIEFT!$A$2:$G$8551,4,FALSE),"")</f>
        <v/>
      </c>
      <c r="F3807" s="316" t="str">
        <f>IFERROR(VLOOKUP(A3807,[3]DOORSCRIEFT!$A$2:$G$8551,6,FALSE),"")</f>
        <v/>
      </c>
      <c r="G3807" s="315"/>
    </row>
    <row r="3808" spans="1:7" x14ac:dyDescent="0.25">
      <c r="A3808" s="359" t="str">
        <f t="shared" si="109"/>
        <v>I.2.3.0174</v>
      </c>
      <c r="B3808" s="319">
        <v>74</v>
      </c>
      <c r="C3808" s="319" t="str">
        <f>IFERROR(VLOOKUP(A3808,[3]DOORSCRIEFT!$A$2:$G$8551,2,FALSE),"")</f>
        <v/>
      </c>
      <c r="D3808" s="318" t="str">
        <f>IFERROR(VLOOKUP(A3808,[3]DOORSCRIEFT!$A$2:$G$8551,3,FALSE),"")</f>
        <v/>
      </c>
      <c r="E3808" s="317" t="str">
        <f>IFERROR(VLOOKUP(A3808,[3]DOORSCRIEFT!$A$2:$G$8551,4,FALSE),"")</f>
        <v/>
      </c>
      <c r="F3808" s="316" t="str">
        <f>IFERROR(VLOOKUP(A3808,[3]DOORSCRIEFT!$A$2:$G$8551,6,FALSE),"")</f>
        <v/>
      </c>
      <c r="G3808" s="315"/>
    </row>
    <row r="3809" spans="1:7" x14ac:dyDescent="0.25">
      <c r="A3809" s="359" t="str">
        <f t="shared" si="109"/>
        <v>I.2.3.0175</v>
      </c>
      <c r="B3809" s="319">
        <v>75</v>
      </c>
      <c r="C3809" s="319" t="str">
        <f>IFERROR(VLOOKUP(A3809,[3]DOORSCRIEFT!$A$2:$G$8551,2,FALSE),"")</f>
        <v/>
      </c>
      <c r="D3809" s="318" t="str">
        <f>IFERROR(VLOOKUP(A3809,[3]DOORSCRIEFT!$A$2:$G$8551,3,FALSE),"")</f>
        <v/>
      </c>
      <c r="E3809" s="317" t="str">
        <f>IFERROR(VLOOKUP(A3809,[3]DOORSCRIEFT!$A$2:$G$8551,4,FALSE),"")</f>
        <v/>
      </c>
      <c r="F3809" s="316" t="str">
        <f>IFERROR(VLOOKUP(A3809,[3]DOORSCRIEFT!$A$2:$G$8551,6,FALSE),"")</f>
        <v/>
      </c>
      <c r="G3809" s="315"/>
    </row>
    <row r="3810" spans="1:7" x14ac:dyDescent="0.25">
      <c r="A3810" s="359" t="str">
        <f t="shared" si="109"/>
        <v>I.2.3.0176</v>
      </c>
      <c r="B3810" s="319">
        <v>76</v>
      </c>
      <c r="C3810" s="319" t="str">
        <f>IFERROR(VLOOKUP(A3810,[3]DOORSCRIEFT!$A$2:$G$8551,2,FALSE),"")</f>
        <v/>
      </c>
      <c r="D3810" s="318" t="str">
        <f>IFERROR(VLOOKUP(A3810,[3]DOORSCRIEFT!$A$2:$G$8551,3,FALSE),"")</f>
        <v/>
      </c>
      <c r="E3810" s="317" t="str">
        <f>IFERROR(VLOOKUP(A3810,[3]DOORSCRIEFT!$A$2:$G$8551,4,FALSE),"")</f>
        <v/>
      </c>
      <c r="F3810" s="316" t="str">
        <f>IFERROR(VLOOKUP(A3810,[3]DOORSCRIEFT!$A$2:$G$8551,6,FALSE),"")</f>
        <v/>
      </c>
      <c r="G3810" s="315"/>
    </row>
    <row r="3811" spans="1:7" x14ac:dyDescent="0.25">
      <c r="A3811" s="359" t="str">
        <f t="shared" si="109"/>
        <v>I.2.3.0177</v>
      </c>
      <c r="B3811" s="319">
        <v>77</v>
      </c>
      <c r="C3811" s="319" t="str">
        <f>IFERROR(VLOOKUP(A3811,[3]DOORSCRIEFT!$A$2:$G$8551,2,FALSE),"")</f>
        <v/>
      </c>
      <c r="D3811" s="318" t="str">
        <f>IFERROR(VLOOKUP(A3811,[3]DOORSCRIEFT!$A$2:$G$8551,3,FALSE),"")</f>
        <v/>
      </c>
      <c r="E3811" s="317" t="str">
        <f>IFERROR(VLOOKUP(A3811,[3]DOORSCRIEFT!$A$2:$G$8551,4,FALSE),"")</f>
        <v/>
      </c>
      <c r="F3811" s="316" t="str">
        <f>IFERROR(VLOOKUP(A3811,[3]DOORSCRIEFT!$A$2:$G$8551,6,FALSE),"")</f>
        <v/>
      </c>
      <c r="G3811" s="315"/>
    </row>
    <row r="3812" spans="1:7" x14ac:dyDescent="0.25">
      <c r="A3812" s="359" t="str">
        <f t="shared" si="109"/>
        <v>I.2.3.0178</v>
      </c>
      <c r="B3812" s="319">
        <v>78</v>
      </c>
      <c r="C3812" s="319" t="str">
        <f>IFERROR(VLOOKUP(A3812,[3]DOORSCRIEFT!$A$2:$G$8551,2,FALSE),"")</f>
        <v/>
      </c>
      <c r="D3812" s="318" t="str">
        <f>IFERROR(VLOOKUP(A3812,[3]DOORSCRIEFT!$A$2:$G$8551,3,FALSE),"")</f>
        <v/>
      </c>
      <c r="E3812" s="317" t="str">
        <f>IFERROR(VLOOKUP(A3812,[3]DOORSCRIEFT!$A$2:$G$8551,4,FALSE),"")</f>
        <v/>
      </c>
      <c r="F3812" s="316" t="str">
        <f>IFERROR(VLOOKUP(A3812,[3]DOORSCRIEFT!$A$2:$G$8551,6,FALSE),"")</f>
        <v/>
      </c>
      <c r="G3812" s="315"/>
    </row>
    <row r="3813" spans="1:7" x14ac:dyDescent="0.25">
      <c r="A3813" s="359" t="str">
        <f t="shared" si="109"/>
        <v>I.2.3.0179</v>
      </c>
      <c r="B3813" s="319">
        <v>79</v>
      </c>
      <c r="C3813" s="319" t="str">
        <f>IFERROR(VLOOKUP(A3813,[3]DOORSCRIEFT!$A$2:$G$8551,2,FALSE),"")</f>
        <v/>
      </c>
      <c r="D3813" s="318" t="str">
        <f>IFERROR(VLOOKUP(A3813,[3]DOORSCRIEFT!$A$2:$G$8551,3,FALSE),"")</f>
        <v/>
      </c>
      <c r="E3813" s="317" t="str">
        <f>IFERROR(VLOOKUP(A3813,[3]DOORSCRIEFT!$A$2:$G$8551,4,FALSE),"")</f>
        <v/>
      </c>
      <c r="F3813" s="316" t="str">
        <f>IFERROR(VLOOKUP(A3813,[3]DOORSCRIEFT!$A$2:$G$8551,6,FALSE),"")</f>
        <v/>
      </c>
      <c r="G3813" s="315"/>
    </row>
    <row r="3814" spans="1:7" x14ac:dyDescent="0.25">
      <c r="A3814" s="359" t="str">
        <f t="shared" si="109"/>
        <v>I.2.3.0180</v>
      </c>
      <c r="B3814" s="319">
        <v>80</v>
      </c>
      <c r="C3814" s="319" t="str">
        <f>IFERROR(VLOOKUP(A3814,[3]DOORSCRIEFT!$A$2:$G$8551,2,FALSE),"")</f>
        <v/>
      </c>
      <c r="D3814" s="318" t="str">
        <f>IFERROR(VLOOKUP(A3814,[3]DOORSCRIEFT!$A$2:$G$8551,3,FALSE),"")</f>
        <v/>
      </c>
      <c r="E3814" s="317" t="str">
        <f>IFERROR(VLOOKUP(A3814,[3]DOORSCRIEFT!$A$2:$G$8551,4,FALSE),"")</f>
        <v/>
      </c>
      <c r="F3814" s="316" t="str">
        <f>IFERROR(VLOOKUP(A3814,[3]DOORSCRIEFT!$A$2:$G$8551,6,FALSE),"")</f>
        <v/>
      </c>
      <c r="G3814" s="315"/>
    </row>
    <row r="3815" spans="1:7" x14ac:dyDescent="0.25">
      <c r="A3815" s="359" t="str">
        <f t="shared" si="109"/>
        <v>I.2.3.0181</v>
      </c>
      <c r="B3815" s="319">
        <v>81</v>
      </c>
      <c r="C3815" s="319" t="str">
        <f>IFERROR(VLOOKUP(A3815,[3]DOORSCRIEFT!$A$2:$G$8551,2,FALSE),"")</f>
        <v/>
      </c>
      <c r="D3815" s="318" t="str">
        <f>IFERROR(VLOOKUP(A3815,[3]DOORSCRIEFT!$A$2:$G$8551,3,FALSE),"")</f>
        <v/>
      </c>
      <c r="E3815" s="317" t="str">
        <f>IFERROR(VLOOKUP(A3815,[3]DOORSCRIEFT!$A$2:$G$8551,4,FALSE),"")</f>
        <v/>
      </c>
      <c r="F3815" s="316" t="str">
        <f>IFERROR(VLOOKUP(A3815,[3]DOORSCRIEFT!$A$2:$G$8551,6,FALSE),"")</f>
        <v/>
      </c>
      <c r="G3815" s="315"/>
    </row>
    <row r="3816" spans="1:7" x14ac:dyDescent="0.25">
      <c r="A3816" s="359" t="str">
        <f t="shared" si="109"/>
        <v>I.2.3.0182</v>
      </c>
      <c r="B3816" s="319">
        <v>82</v>
      </c>
      <c r="C3816" s="319" t="str">
        <f>IFERROR(VLOOKUP(A3816,[3]DOORSCRIEFT!$A$2:$G$8551,2,FALSE),"")</f>
        <v/>
      </c>
      <c r="D3816" s="318" t="str">
        <f>IFERROR(VLOOKUP(A3816,[3]DOORSCRIEFT!$A$2:$G$8551,3,FALSE),"")</f>
        <v/>
      </c>
      <c r="E3816" s="317" t="str">
        <f>IFERROR(VLOOKUP(A3816,[3]DOORSCRIEFT!$A$2:$G$8551,4,FALSE),"")</f>
        <v/>
      </c>
      <c r="F3816" s="316" t="str">
        <f>IFERROR(VLOOKUP(A3816,[3]DOORSCRIEFT!$A$2:$G$8551,6,FALSE),"")</f>
        <v/>
      </c>
      <c r="G3816" s="315"/>
    </row>
    <row r="3817" spans="1:7" x14ac:dyDescent="0.25">
      <c r="A3817" s="359" t="str">
        <f t="shared" si="109"/>
        <v>I.2.3.0183</v>
      </c>
      <c r="B3817" s="319">
        <v>83</v>
      </c>
      <c r="C3817" s="319" t="str">
        <f>IFERROR(VLOOKUP(A3817,[3]DOORSCRIEFT!$A$2:$G$8551,2,FALSE),"")</f>
        <v/>
      </c>
      <c r="D3817" s="318" t="str">
        <f>IFERROR(VLOOKUP(A3817,[3]DOORSCRIEFT!$A$2:$G$8551,3,FALSE),"")</f>
        <v/>
      </c>
      <c r="E3817" s="317" t="str">
        <f>IFERROR(VLOOKUP(A3817,[3]DOORSCRIEFT!$A$2:$G$8551,4,FALSE),"")</f>
        <v/>
      </c>
      <c r="F3817" s="316" t="str">
        <f>IFERROR(VLOOKUP(A3817,[3]DOORSCRIEFT!$A$2:$G$8551,6,FALSE),"")</f>
        <v/>
      </c>
      <c r="G3817" s="315"/>
    </row>
    <row r="3818" spans="1:7" x14ac:dyDescent="0.25">
      <c r="A3818" s="359" t="str">
        <f t="shared" si="109"/>
        <v>I.2.3.0184</v>
      </c>
      <c r="B3818" s="319">
        <v>84</v>
      </c>
      <c r="C3818" s="319" t="str">
        <f>IFERROR(VLOOKUP(A3818,[3]DOORSCRIEFT!$A$2:$G$8551,2,FALSE),"")</f>
        <v/>
      </c>
      <c r="D3818" s="318" t="str">
        <f>IFERROR(VLOOKUP(A3818,[3]DOORSCRIEFT!$A$2:$G$8551,3,FALSE),"")</f>
        <v/>
      </c>
      <c r="E3818" s="317" t="str">
        <f>IFERROR(VLOOKUP(A3818,[3]DOORSCRIEFT!$A$2:$G$8551,4,FALSE),"")</f>
        <v/>
      </c>
      <c r="F3818" s="316" t="str">
        <f>IFERROR(VLOOKUP(A3818,[3]DOORSCRIEFT!$A$2:$G$8551,6,FALSE),"")</f>
        <v/>
      </c>
      <c r="G3818" s="315"/>
    </row>
    <row r="3819" spans="1:7" x14ac:dyDescent="0.25">
      <c r="A3819" s="359" t="str">
        <f t="shared" si="109"/>
        <v>I.2.3.0185</v>
      </c>
      <c r="B3819" s="319">
        <v>85</v>
      </c>
      <c r="C3819" s="319" t="str">
        <f>IFERROR(VLOOKUP(A3819,[3]DOORSCRIEFT!$A$2:$G$8551,2,FALSE),"")</f>
        <v/>
      </c>
      <c r="D3819" s="318" t="str">
        <f>IFERROR(VLOOKUP(A3819,[3]DOORSCRIEFT!$A$2:$G$8551,3,FALSE),"")</f>
        <v/>
      </c>
      <c r="E3819" s="317" t="str">
        <f>IFERROR(VLOOKUP(A3819,[3]DOORSCRIEFT!$A$2:$G$8551,4,FALSE),"")</f>
        <v/>
      </c>
      <c r="F3819" s="316" t="str">
        <f>IFERROR(VLOOKUP(A3819,[3]DOORSCRIEFT!$A$2:$G$8551,6,FALSE),"")</f>
        <v/>
      </c>
      <c r="G3819" s="315"/>
    </row>
    <row r="3820" spans="1:7" x14ac:dyDescent="0.25">
      <c r="A3820" s="359" t="str">
        <f t="shared" si="109"/>
        <v>I.2.3.0186</v>
      </c>
      <c r="B3820" s="319">
        <v>86</v>
      </c>
      <c r="C3820" s="319" t="str">
        <f>IFERROR(VLOOKUP(A3820,[3]DOORSCRIEFT!$A$2:$G$8551,2,FALSE),"")</f>
        <v/>
      </c>
      <c r="D3820" s="318" t="str">
        <f>IFERROR(VLOOKUP(A3820,[3]DOORSCRIEFT!$A$2:$G$8551,3,FALSE),"")</f>
        <v/>
      </c>
      <c r="E3820" s="317" t="str">
        <f>IFERROR(VLOOKUP(A3820,[3]DOORSCRIEFT!$A$2:$G$8551,4,FALSE),"")</f>
        <v/>
      </c>
      <c r="F3820" s="316" t="str">
        <f>IFERROR(VLOOKUP(A3820,[3]DOORSCRIEFT!$A$2:$G$8551,6,FALSE),"")</f>
        <v/>
      </c>
      <c r="G3820" s="315"/>
    </row>
    <row r="3821" spans="1:7" x14ac:dyDescent="0.25">
      <c r="A3821" s="359" t="str">
        <f t="shared" si="109"/>
        <v>I.2.3.0187</v>
      </c>
      <c r="B3821" s="319">
        <v>87</v>
      </c>
      <c r="C3821" s="319" t="str">
        <f>IFERROR(VLOOKUP(A3821,[3]DOORSCRIEFT!$A$2:$G$8551,2,FALSE),"")</f>
        <v/>
      </c>
      <c r="D3821" s="318" t="str">
        <f>IFERROR(VLOOKUP(A3821,[3]DOORSCRIEFT!$A$2:$G$8551,3,FALSE),"")</f>
        <v/>
      </c>
      <c r="E3821" s="317" t="str">
        <f>IFERROR(VLOOKUP(A3821,[3]DOORSCRIEFT!$A$2:$G$8551,4,FALSE),"")</f>
        <v/>
      </c>
      <c r="F3821" s="316" t="str">
        <f>IFERROR(VLOOKUP(A3821,[3]DOORSCRIEFT!$A$2:$G$8551,6,FALSE),"")</f>
        <v/>
      </c>
      <c r="G3821" s="315"/>
    </row>
    <row r="3822" spans="1:7" x14ac:dyDescent="0.25">
      <c r="A3822" s="359" t="str">
        <f t="shared" si="109"/>
        <v>I.2.3.0188</v>
      </c>
      <c r="B3822" s="319">
        <v>88</v>
      </c>
      <c r="C3822" s="319" t="str">
        <f>IFERROR(VLOOKUP(A3822,[3]DOORSCRIEFT!$A$2:$G$8551,2,FALSE),"")</f>
        <v/>
      </c>
      <c r="D3822" s="318" t="str">
        <f>IFERROR(VLOOKUP(A3822,[3]DOORSCRIEFT!$A$2:$G$8551,3,FALSE),"")</f>
        <v/>
      </c>
      <c r="E3822" s="317" t="str">
        <f>IFERROR(VLOOKUP(A3822,[3]DOORSCRIEFT!$A$2:$G$8551,4,FALSE),"")</f>
        <v/>
      </c>
      <c r="F3822" s="316" t="str">
        <f>IFERROR(VLOOKUP(A3822,[3]DOORSCRIEFT!$A$2:$G$8551,6,FALSE),"")</f>
        <v/>
      </c>
      <c r="G3822" s="315"/>
    </row>
    <row r="3823" spans="1:7" x14ac:dyDescent="0.25">
      <c r="A3823" s="359" t="str">
        <f t="shared" si="109"/>
        <v>I.2.3.0189</v>
      </c>
      <c r="B3823" s="319">
        <v>89</v>
      </c>
      <c r="C3823" s="319" t="str">
        <f>IFERROR(VLOOKUP(A3823,[3]DOORSCRIEFT!$A$2:$G$8551,2,FALSE),"")</f>
        <v/>
      </c>
      <c r="D3823" s="318" t="str">
        <f>IFERROR(VLOOKUP(A3823,[3]DOORSCRIEFT!$A$2:$G$8551,3,FALSE),"")</f>
        <v/>
      </c>
      <c r="E3823" s="317" t="str">
        <f>IFERROR(VLOOKUP(A3823,[3]DOORSCRIEFT!$A$2:$G$8551,4,FALSE),"")</f>
        <v/>
      </c>
      <c r="F3823" s="316" t="str">
        <f>IFERROR(VLOOKUP(A3823,[3]DOORSCRIEFT!$A$2:$G$8551,6,FALSE),"")</f>
        <v/>
      </c>
      <c r="G3823" s="315"/>
    </row>
    <row r="3824" spans="1:7" x14ac:dyDescent="0.25">
      <c r="A3824" s="359" t="str">
        <f t="shared" si="109"/>
        <v>I.2.3.0190</v>
      </c>
      <c r="B3824" s="319">
        <v>90</v>
      </c>
      <c r="C3824" s="319" t="str">
        <f>IFERROR(VLOOKUP(A3824,[3]DOORSCRIEFT!$A$2:$G$8551,2,FALSE),"")</f>
        <v/>
      </c>
      <c r="D3824" s="318" t="str">
        <f>IFERROR(VLOOKUP(A3824,[3]DOORSCRIEFT!$A$2:$G$8551,3,FALSE),"")</f>
        <v/>
      </c>
      <c r="E3824" s="317" t="str">
        <f>IFERROR(VLOOKUP(A3824,[3]DOORSCRIEFT!$A$2:$G$8551,4,FALSE),"")</f>
        <v/>
      </c>
      <c r="F3824" s="316" t="str">
        <f>IFERROR(VLOOKUP(A3824,[3]DOORSCRIEFT!$A$2:$G$8551,6,FALSE),"")</f>
        <v/>
      </c>
      <c r="G3824" s="315"/>
    </row>
    <row r="3825" spans="1:7" x14ac:dyDescent="0.25">
      <c r="A3825" s="359" t="str">
        <f t="shared" si="109"/>
        <v>I.2.3.0191</v>
      </c>
      <c r="B3825" s="319">
        <v>91</v>
      </c>
      <c r="C3825" s="319" t="str">
        <f>IFERROR(VLOOKUP(A3825,[3]DOORSCRIEFT!$A$2:$G$8551,2,FALSE),"")</f>
        <v/>
      </c>
      <c r="D3825" s="318" t="str">
        <f>IFERROR(VLOOKUP(A3825,[3]DOORSCRIEFT!$A$2:$G$8551,3,FALSE),"")</f>
        <v/>
      </c>
      <c r="E3825" s="317" t="str">
        <f>IFERROR(VLOOKUP(A3825,[3]DOORSCRIEFT!$A$2:$G$8551,4,FALSE),"")</f>
        <v/>
      </c>
      <c r="F3825" s="316" t="str">
        <f>IFERROR(VLOOKUP(A3825,[3]DOORSCRIEFT!$A$2:$G$8551,6,FALSE),"")</f>
        <v/>
      </c>
      <c r="G3825" s="315"/>
    </row>
    <row r="3826" spans="1:7" x14ac:dyDescent="0.25">
      <c r="A3826" s="359" t="str">
        <f t="shared" si="109"/>
        <v>I.2.3.0192</v>
      </c>
      <c r="B3826" s="319">
        <v>92</v>
      </c>
      <c r="C3826" s="319" t="str">
        <f>IFERROR(VLOOKUP(A3826,[3]DOORSCRIEFT!$A$2:$G$8551,2,FALSE),"")</f>
        <v/>
      </c>
      <c r="D3826" s="318" t="str">
        <f>IFERROR(VLOOKUP(A3826,[3]DOORSCRIEFT!$A$2:$G$8551,3,FALSE),"")</f>
        <v/>
      </c>
      <c r="E3826" s="317" t="str">
        <f>IFERROR(VLOOKUP(A3826,[3]DOORSCRIEFT!$A$2:$G$8551,4,FALSE),"")</f>
        <v/>
      </c>
      <c r="F3826" s="316" t="str">
        <f>IFERROR(VLOOKUP(A3826,[3]DOORSCRIEFT!$A$2:$G$8551,6,FALSE),"")</f>
        <v/>
      </c>
      <c r="G3826" s="315"/>
    </row>
    <row r="3827" spans="1:7" x14ac:dyDescent="0.25">
      <c r="A3827" s="359" t="str">
        <f t="shared" si="109"/>
        <v>I.2.3.0193</v>
      </c>
      <c r="B3827" s="319">
        <v>93</v>
      </c>
      <c r="C3827" s="319" t="str">
        <f>IFERROR(VLOOKUP(A3827,[3]DOORSCRIEFT!$A$2:$G$8551,2,FALSE),"")</f>
        <v/>
      </c>
      <c r="D3827" s="318" t="str">
        <f>IFERROR(VLOOKUP(A3827,[3]DOORSCRIEFT!$A$2:$G$8551,3,FALSE),"")</f>
        <v/>
      </c>
      <c r="E3827" s="317" t="str">
        <f>IFERROR(VLOOKUP(A3827,[3]DOORSCRIEFT!$A$2:$G$8551,4,FALSE),"")</f>
        <v/>
      </c>
      <c r="F3827" s="316" t="str">
        <f>IFERROR(VLOOKUP(A3827,[3]DOORSCRIEFT!$A$2:$G$8551,6,FALSE),"")</f>
        <v/>
      </c>
      <c r="G3827" s="349"/>
    </row>
    <row r="3828" spans="1:7" x14ac:dyDescent="0.25">
      <c r="A3828" s="359" t="str">
        <f t="shared" si="109"/>
        <v>I.2.3.0194</v>
      </c>
      <c r="B3828" s="319">
        <v>94</v>
      </c>
      <c r="C3828" s="319" t="str">
        <f>IFERROR(VLOOKUP(A3828,[3]DOORSCRIEFT!$A$2:$G$8551,2,FALSE),"")</f>
        <v/>
      </c>
      <c r="D3828" s="318" t="str">
        <f>IFERROR(VLOOKUP(A3828,[3]DOORSCRIEFT!$A$2:$G$8551,3,FALSE),"")</f>
        <v/>
      </c>
      <c r="E3828" s="317" t="str">
        <f>IFERROR(VLOOKUP(A3828,[3]DOORSCRIEFT!$A$2:$G$8551,4,FALSE),"")</f>
        <v/>
      </c>
      <c r="F3828" s="316" t="str">
        <f>IFERROR(VLOOKUP(A3828,[3]DOORSCRIEFT!$A$2:$G$8551,6,FALSE),"")</f>
        <v/>
      </c>
      <c r="G3828" s="349"/>
    </row>
    <row r="3829" spans="1:7" x14ac:dyDescent="0.25">
      <c r="A3829" s="359" t="str">
        <f t="shared" si="109"/>
        <v>I.2.3.0195</v>
      </c>
      <c r="B3829" s="319">
        <v>95</v>
      </c>
      <c r="C3829" s="319" t="str">
        <f>IFERROR(VLOOKUP(A3829,[3]DOORSCRIEFT!$A$2:$G$8551,2,FALSE),"")</f>
        <v/>
      </c>
      <c r="D3829" s="318" t="str">
        <f>IFERROR(VLOOKUP(A3829,[3]DOORSCRIEFT!$A$2:$G$8551,3,FALSE),"")</f>
        <v/>
      </c>
      <c r="E3829" s="317" t="str">
        <f>IFERROR(VLOOKUP(A3829,[3]DOORSCRIEFT!$A$2:$G$8551,4,FALSE),"")</f>
        <v/>
      </c>
      <c r="F3829" s="316" t="str">
        <f>IFERROR(VLOOKUP(A3829,[3]DOORSCRIEFT!$A$2:$G$8551,6,FALSE),"")</f>
        <v/>
      </c>
      <c r="G3829" s="349"/>
    </row>
    <row r="3830" spans="1:7" x14ac:dyDescent="0.25">
      <c r="A3830" s="359" t="str">
        <f t="shared" si="109"/>
        <v>I.2.3.0196</v>
      </c>
      <c r="B3830" s="319">
        <v>96</v>
      </c>
      <c r="C3830" s="319" t="str">
        <f>IFERROR(VLOOKUP(A3830,[3]DOORSCRIEFT!$A$2:$G$8551,2,FALSE),"")</f>
        <v/>
      </c>
      <c r="D3830" s="318" t="str">
        <f>IFERROR(VLOOKUP(A3830,[3]DOORSCRIEFT!$A$2:$G$8551,3,FALSE),"")</f>
        <v/>
      </c>
      <c r="E3830" s="317" t="str">
        <f>IFERROR(VLOOKUP(A3830,[3]DOORSCRIEFT!$A$2:$G$8551,4,FALSE),"")</f>
        <v/>
      </c>
      <c r="F3830" s="316" t="str">
        <f>IFERROR(VLOOKUP(A3830,[3]DOORSCRIEFT!$A$2:$G$8551,6,FALSE),"")</f>
        <v/>
      </c>
      <c r="G3830" s="349"/>
    </row>
    <row r="3831" spans="1:7" x14ac:dyDescent="0.25">
      <c r="A3831" s="359" t="str">
        <f t="shared" ref="A3831:A3862" si="110">$G$3728&amp;B3831</f>
        <v>I.2.3.0197</v>
      </c>
      <c r="B3831" s="319">
        <v>97</v>
      </c>
      <c r="C3831" s="319" t="str">
        <f>IFERROR(VLOOKUP(A3831,[3]DOORSCRIEFT!$A$2:$G$8551,2,FALSE),"")</f>
        <v/>
      </c>
      <c r="D3831" s="318" t="str">
        <f>IFERROR(VLOOKUP(A3831,[3]DOORSCRIEFT!$A$2:$G$8551,3,FALSE),"")</f>
        <v/>
      </c>
      <c r="E3831" s="317" t="str">
        <f>IFERROR(VLOOKUP(A3831,[3]DOORSCRIEFT!$A$2:$G$8551,4,FALSE),"")</f>
        <v/>
      </c>
      <c r="F3831" s="316" t="str">
        <f>IFERROR(VLOOKUP(A3831,[3]DOORSCRIEFT!$A$2:$G$8551,6,FALSE),"")</f>
        <v/>
      </c>
      <c r="G3831" s="349"/>
    </row>
    <row r="3832" spans="1:7" x14ac:dyDescent="0.25">
      <c r="A3832" s="359" t="str">
        <f t="shared" si="110"/>
        <v>I.2.3.0198</v>
      </c>
      <c r="B3832" s="319">
        <v>98</v>
      </c>
      <c r="C3832" s="319" t="str">
        <f>IFERROR(VLOOKUP(A3832,[3]DOORSCRIEFT!$A$2:$G$8551,2,FALSE),"")</f>
        <v/>
      </c>
      <c r="D3832" s="318" t="str">
        <f>IFERROR(VLOOKUP(A3832,[3]DOORSCRIEFT!$A$2:$G$8551,3,FALSE),"")</f>
        <v/>
      </c>
      <c r="E3832" s="317" t="str">
        <f>IFERROR(VLOOKUP(A3832,[3]DOORSCRIEFT!$A$2:$G$8551,4,FALSE),"")</f>
        <v/>
      </c>
      <c r="F3832" s="316" t="str">
        <f>IFERROR(VLOOKUP(A3832,[3]DOORSCRIEFT!$A$2:$G$8551,6,FALSE),"")</f>
        <v/>
      </c>
      <c r="G3832" s="349"/>
    </row>
    <row r="3833" spans="1:7" x14ac:dyDescent="0.25">
      <c r="A3833" s="359" t="str">
        <f t="shared" si="110"/>
        <v>I.2.3.0199</v>
      </c>
      <c r="B3833" s="319">
        <v>99</v>
      </c>
      <c r="C3833" s="319" t="str">
        <f>IFERROR(VLOOKUP(A3833,[3]DOORSCRIEFT!$A$2:$G$8551,2,FALSE),"")</f>
        <v/>
      </c>
      <c r="D3833" s="318" t="str">
        <f>IFERROR(VLOOKUP(A3833,[3]DOORSCRIEFT!$A$2:$G$8551,3,FALSE),"")</f>
        <v/>
      </c>
      <c r="E3833" s="317" t="str">
        <f>IFERROR(VLOOKUP(A3833,[3]DOORSCRIEFT!$A$2:$G$8551,4,FALSE),"")</f>
        <v/>
      </c>
      <c r="F3833" s="316" t="str">
        <f>IFERROR(VLOOKUP(A3833,[3]DOORSCRIEFT!$A$2:$G$8551,6,FALSE),"")</f>
        <v/>
      </c>
      <c r="G3833" s="349"/>
    </row>
    <row r="3834" spans="1:7" x14ac:dyDescent="0.25">
      <c r="A3834" s="359" t="str">
        <f t="shared" si="110"/>
        <v>I.2.3.01100</v>
      </c>
      <c r="B3834" s="319">
        <v>100</v>
      </c>
      <c r="C3834" s="319" t="str">
        <f>IFERROR(VLOOKUP(A3834,[3]DOORSCRIEFT!$A$2:$G$8551,2,FALSE),"")</f>
        <v/>
      </c>
      <c r="D3834" s="318" t="str">
        <f>IFERROR(VLOOKUP(A3834,[3]DOORSCRIEFT!$A$2:$G$8551,3,FALSE),"")</f>
        <v/>
      </c>
      <c r="E3834" s="317" t="str">
        <f>IFERROR(VLOOKUP(A3834,[3]DOORSCRIEFT!$A$2:$G$8551,4,FALSE),"")</f>
        <v/>
      </c>
      <c r="F3834" s="316" t="str">
        <f>IFERROR(VLOOKUP(A3834,[3]DOORSCRIEFT!$A$2:$G$8551,6,FALSE),"")</f>
        <v/>
      </c>
      <c r="G3834" s="349"/>
    </row>
    <row r="3835" spans="1:7" x14ac:dyDescent="0.25">
      <c r="A3835" s="359" t="str">
        <f t="shared" si="110"/>
        <v>I.2.3.01101</v>
      </c>
      <c r="B3835" s="319">
        <v>101</v>
      </c>
      <c r="C3835" s="319" t="str">
        <f>IFERROR(VLOOKUP(A3835,[3]DOORSCRIEFT!$A$2:$G$8551,2,FALSE),"")</f>
        <v/>
      </c>
      <c r="D3835" s="318" t="str">
        <f>IFERROR(VLOOKUP(A3835,[3]DOORSCRIEFT!$A$2:$G$8551,3,FALSE),"")</f>
        <v/>
      </c>
      <c r="E3835" s="317" t="str">
        <f>IFERROR(VLOOKUP(A3835,[3]DOORSCRIEFT!$A$2:$G$8551,4,FALSE),"")</f>
        <v/>
      </c>
      <c r="F3835" s="316" t="str">
        <f>IFERROR(VLOOKUP(A3835,[3]DOORSCRIEFT!$A$2:$G$8551,6,FALSE),"")</f>
        <v/>
      </c>
      <c r="G3835" s="349"/>
    </row>
    <row r="3836" spans="1:7" x14ac:dyDescent="0.25">
      <c r="A3836" s="359" t="str">
        <f t="shared" si="110"/>
        <v>I.2.3.01102</v>
      </c>
      <c r="B3836" s="319">
        <v>102</v>
      </c>
      <c r="C3836" s="319" t="str">
        <f>IFERROR(VLOOKUP(A3836,[3]DOORSCRIEFT!$A$2:$G$8551,2,FALSE),"")</f>
        <v/>
      </c>
      <c r="D3836" s="318" t="str">
        <f>IFERROR(VLOOKUP(A3836,[3]DOORSCRIEFT!$A$2:$G$8551,3,FALSE),"")</f>
        <v/>
      </c>
      <c r="E3836" s="317" t="str">
        <f>IFERROR(VLOOKUP(A3836,[3]DOORSCRIEFT!$A$2:$G$8551,4,FALSE),"")</f>
        <v/>
      </c>
      <c r="F3836" s="316" t="str">
        <f>IFERROR(VLOOKUP(A3836,[3]DOORSCRIEFT!$A$2:$G$8551,6,FALSE),"")</f>
        <v/>
      </c>
      <c r="G3836" s="349"/>
    </row>
    <row r="3837" spans="1:7" x14ac:dyDescent="0.25">
      <c r="A3837" s="359" t="str">
        <f t="shared" si="110"/>
        <v>I.2.3.01103</v>
      </c>
      <c r="B3837" s="319">
        <v>103</v>
      </c>
      <c r="C3837" s="319" t="str">
        <f>IFERROR(VLOOKUP(A3837,[3]DOORSCRIEFT!$A$2:$G$8551,2,FALSE),"")</f>
        <v/>
      </c>
      <c r="D3837" s="318" t="str">
        <f>IFERROR(VLOOKUP(A3837,[3]DOORSCRIEFT!$A$2:$G$8551,3,FALSE),"")</f>
        <v/>
      </c>
      <c r="E3837" s="317" t="str">
        <f>IFERROR(VLOOKUP(A3837,[3]DOORSCRIEFT!$A$2:$G$8551,4,FALSE),"")</f>
        <v/>
      </c>
      <c r="F3837" s="316" t="str">
        <f>IFERROR(VLOOKUP(A3837,[3]DOORSCRIEFT!$A$2:$G$8551,6,FALSE),"")</f>
        <v/>
      </c>
      <c r="G3837" s="349"/>
    </row>
    <row r="3838" spans="1:7" x14ac:dyDescent="0.25">
      <c r="A3838" s="359" t="str">
        <f t="shared" si="110"/>
        <v>I.2.3.01104</v>
      </c>
      <c r="B3838" s="319">
        <v>104</v>
      </c>
      <c r="C3838" s="319" t="str">
        <f>IFERROR(VLOOKUP(A3838,[3]DOORSCRIEFT!$A$2:$G$8551,2,FALSE),"")</f>
        <v/>
      </c>
      <c r="D3838" s="318" t="str">
        <f>IFERROR(VLOOKUP(A3838,[3]DOORSCRIEFT!$A$2:$G$8551,3,FALSE),"")</f>
        <v/>
      </c>
      <c r="E3838" s="317" t="str">
        <f>IFERROR(VLOOKUP(A3838,[3]DOORSCRIEFT!$A$2:$G$8551,4,FALSE),"")</f>
        <v/>
      </c>
      <c r="F3838" s="316" t="str">
        <f>IFERROR(VLOOKUP(A3838,[3]DOORSCRIEFT!$A$2:$G$8551,6,FALSE),"")</f>
        <v/>
      </c>
      <c r="G3838" s="349"/>
    </row>
    <row r="3839" spans="1:7" x14ac:dyDescent="0.25">
      <c r="A3839" s="359" t="str">
        <f t="shared" si="110"/>
        <v>I.2.3.01105</v>
      </c>
      <c r="B3839" s="319">
        <v>105</v>
      </c>
      <c r="C3839" s="319" t="str">
        <f>IFERROR(VLOOKUP(A3839,[3]DOORSCRIEFT!$A$2:$G$8551,2,FALSE),"")</f>
        <v/>
      </c>
      <c r="D3839" s="318" t="str">
        <f>IFERROR(VLOOKUP(A3839,[3]DOORSCRIEFT!$A$2:$G$8551,3,FALSE),"")</f>
        <v/>
      </c>
      <c r="E3839" s="317" t="str">
        <f>IFERROR(VLOOKUP(A3839,[3]DOORSCRIEFT!$A$2:$G$8551,4,FALSE),"")</f>
        <v/>
      </c>
      <c r="F3839" s="316" t="str">
        <f>IFERROR(VLOOKUP(A3839,[3]DOORSCRIEFT!$A$2:$G$8551,6,FALSE),"")</f>
        <v/>
      </c>
      <c r="G3839" s="349"/>
    </row>
    <row r="3840" spans="1:7" x14ac:dyDescent="0.25">
      <c r="A3840" s="359" t="str">
        <f t="shared" si="110"/>
        <v>I.2.3.01106</v>
      </c>
      <c r="B3840" s="319">
        <v>106</v>
      </c>
      <c r="C3840" s="319" t="str">
        <f>IFERROR(VLOOKUP(A3840,[3]DOORSCRIEFT!$A$2:$G$8551,2,FALSE),"")</f>
        <v/>
      </c>
      <c r="D3840" s="318" t="str">
        <f>IFERROR(VLOOKUP(A3840,[3]DOORSCRIEFT!$A$2:$G$8551,3,FALSE),"")</f>
        <v/>
      </c>
      <c r="E3840" s="317" t="str">
        <f>IFERROR(VLOOKUP(A3840,[3]DOORSCRIEFT!$A$2:$G$8551,4,FALSE),"")</f>
        <v/>
      </c>
      <c r="F3840" s="316" t="str">
        <f>IFERROR(VLOOKUP(A3840,[3]DOORSCRIEFT!$A$2:$G$8551,6,FALSE),"")</f>
        <v/>
      </c>
      <c r="G3840" s="349"/>
    </row>
    <row r="3841" spans="1:7" x14ac:dyDescent="0.25">
      <c r="A3841" s="359" t="str">
        <f t="shared" si="110"/>
        <v>I.2.3.01107</v>
      </c>
      <c r="B3841" s="319">
        <v>107</v>
      </c>
      <c r="C3841" s="319" t="str">
        <f>IFERROR(VLOOKUP(A3841,[3]DOORSCRIEFT!$A$2:$G$8551,2,FALSE),"")</f>
        <v/>
      </c>
      <c r="D3841" s="318" t="str">
        <f>IFERROR(VLOOKUP(A3841,[3]DOORSCRIEFT!$A$2:$G$8551,3,FALSE),"")</f>
        <v/>
      </c>
      <c r="E3841" s="317" t="str">
        <f>IFERROR(VLOOKUP(A3841,[3]DOORSCRIEFT!$A$2:$G$8551,4,FALSE),"")</f>
        <v/>
      </c>
      <c r="F3841" s="316" t="str">
        <f>IFERROR(VLOOKUP(A3841,[3]DOORSCRIEFT!$A$2:$G$8551,6,FALSE),"")</f>
        <v/>
      </c>
      <c r="G3841" s="349"/>
    </row>
    <row r="3842" spans="1:7" x14ac:dyDescent="0.25">
      <c r="A3842" s="359" t="str">
        <f t="shared" si="110"/>
        <v>I.2.3.01108</v>
      </c>
      <c r="B3842" s="319">
        <v>108</v>
      </c>
      <c r="C3842" s="319" t="str">
        <f>IFERROR(VLOOKUP(A3842,[3]DOORSCRIEFT!$A$2:$G$8551,2,FALSE),"")</f>
        <v/>
      </c>
      <c r="D3842" s="318" t="str">
        <f>IFERROR(VLOOKUP(A3842,[3]DOORSCRIEFT!$A$2:$G$8551,3,FALSE),"")</f>
        <v/>
      </c>
      <c r="E3842" s="317" t="str">
        <f>IFERROR(VLOOKUP(A3842,[3]DOORSCRIEFT!$A$2:$G$8551,4,FALSE),"")</f>
        <v/>
      </c>
      <c r="F3842" s="316" t="str">
        <f>IFERROR(VLOOKUP(A3842,[3]DOORSCRIEFT!$A$2:$G$8551,6,FALSE),"")</f>
        <v/>
      </c>
      <c r="G3842" s="349"/>
    </row>
    <row r="3843" spans="1:7" x14ac:dyDescent="0.25">
      <c r="A3843" s="359" t="str">
        <f t="shared" si="110"/>
        <v>I.2.3.01109</v>
      </c>
      <c r="B3843" s="319">
        <v>109</v>
      </c>
      <c r="C3843" s="319" t="str">
        <f>IFERROR(VLOOKUP(A3843,[3]DOORSCRIEFT!$A$2:$G$8551,2,FALSE),"")</f>
        <v/>
      </c>
      <c r="D3843" s="318" t="str">
        <f>IFERROR(VLOOKUP(A3843,[3]DOORSCRIEFT!$A$2:$G$8551,3,FALSE),"")</f>
        <v/>
      </c>
      <c r="E3843" s="317" t="str">
        <f>IFERROR(VLOOKUP(A3843,[3]DOORSCRIEFT!$A$2:$G$8551,4,FALSE),"")</f>
        <v/>
      </c>
      <c r="F3843" s="316" t="str">
        <f>IFERROR(VLOOKUP(A3843,[3]DOORSCRIEFT!$A$2:$G$8551,6,FALSE),"")</f>
        <v/>
      </c>
      <c r="G3843" s="349"/>
    </row>
    <row r="3844" spans="1:7" x14ac:dyDescent="0.25">
      <c r="A3844" s="359" t="str">
        <f t="shared" si="110"/>
        <v>I.2.3.01110</v>
      </c>
      <c r="B3844" s="319">
        <v>110</v>
      </c>
      <c r="C3844" s="319" t="str">
        <f>IFERROR(VLOOKUP(A3844,[3]DOORSCRIEFT!$A$2:$G$8551,2,FALSE),"")</f>
        <v/>
      </c>
      <c r="D3844" s="318" t="str">
        <f>IFERROR(VLOOKUP(A3844,[3]DOORSCRIEFT!$A$2:$G$8551,3,FALSE),"")</f>
        <v/>
      </c>
      <c r="E3844" s="317" t="str">
        <f>IFERROR(VLOOKUP(A3844,[3]DOORSCRIEFT!$A$2:$G$8551,4,FALSE),"")</f>
        <v/>
      </c>
      <c r="F3844" s="316" t="str">
        <f>IFERROR(VLOOKUP(A3844,[3]DOORSCRIEFT!$A$2:$G$8551,6,FALSE),"")</f>
        <v/>
      </c>
      <c r="G3844" s="349"/>
    </row>
    <row r="3845" spans="1:7" x14ac:dyDescent="0.25">
      <c r="A3845" s="359" t="str">
        <f t="shared" si="110"/>
        <v>I.2.3.01111</v>
      </c>
      <c r="B3845" s="319">
        <v>111</v>
      </c>
      <c r="C3845" s="319" t="str">
        <f>IFERROR(VLOOKUP(A3845,[3]DOORSCRIEFT!$A$2:$G$8551,2,FALSE),"")</f>
        <v/>
      </c>
      <c r="D3845" s="318" t="str">
        <f>IFERROR(VLOOKUP(A3845,[3]DOORSCRIEFT!$A$2:$G$8551,3,FALSE),"")</f>
        <v/>
      </c>
      <c r="E3845" s="317" t="str">
        <f>IFERROR(VLOOKUP(A3845,[3]DOORSCRIEFT!$A$2:$G$8551,4,FALSE),"")</f>
        <v/>
      </c>
      <c r="F3845" s="316" t="str">
        <f>IFERROR(VLOOKUP(A3845,[3]DOORSCRIEFT!$A$2:$G$8551,6,FALSE),"")</f>
        <v/>
      </c>
      <c r="G3845" s="349"/>
    </row>
    <row r="3846" spans="1:7" x14ac:dyDescent="0.25">
      <c r="A3846" s="359" t="str">
        <f t="shared" si="110"/>
        <v>I.2.3.01112</v>
      </c>
      <c r="B3846" s="319">
        <v>112</v>
      </c>
      <c r="C3846" s="319" t="str">
        <f>IFERROR(VLOOKUP(A3846,[3]DOORSCRIEFT!$A$2:$G$8551,2,FALSE),"")</f>
        <v/>
      </c>
      <c r="D3846" s="318" t="str">
        <f>IFERROR(VLOOKUP(A3846,[3]DOORSCRIEFT!$A$2:$G$8551,3,FALSE),"")</f>
        <v/>
      </c>
      <c r="E3846" s="317" t="str">
        <f>IFERROR(VLOOKUP(A3846,[3]DOORSCRIEFT!$A$2:$G$8551,4,FALSE),"")</f>
        <v/>
      </c>
      <c r="F3846" s="316" t="str">
        <f>IFERROR(VLOOKUP(A3846,[3]DOORSCRIEFT!$A$2:$G$8551,6,FALSE),"")</f>
        <v/>
      </c>
      <c r="G3846" s="349"/>
    </row>
    <row r="3847" spans="1:7" x14ac:dyDescent="0.25">
      <c r="A3847" s="359" t="str">
        <f t="shared" si="110"/>
        <v>I.2.3.01113</v>
      </c>
      <c r="B3847" s="319">
        <v>113</v>
      </c>
      <c r="C3847" s="319" t="str">
        <f>IFERROR(VLOOKUP(A3847,[3]DOORSCRIEFT!$A$2:$G$8551,2,FALSE),"")</f>
        <v/>
      </c>
      <c r="D3847" s="318" t="str">
        <f>IFERROR(VLOOKUP(A3847,[3]DOORSCRIEFT!$A$2:$G$8551,3,FALSE),"")</f>
        <v/>
      </c>
      <c r="E3847" s="317" t="str">
        <f>IFERROR(VLOOKUP(A3847,[3]DOORSCRIEFT!$A$2:$G$8551,4,FALSE),"")</f>
        <v/>
      </c>
      <c r="F3847" s="316" t="str">
        <f>IFERROR(VLOOKUP(A3847,[3]DOORSCRIEFT!$A$2:$G$8551,6,FALSE),"")</f>
        <v/>
      </c>
      <c r="G3847" s="349"/>
    </row>
    <row r="3848" spans="1:7" x14ac:dyDescent="0.25">
      <c r="A3848" s="359" t="str">
        <f t="shared" si="110"/>
        <v>I.2.3.01114</v>
      </c>
      <c r="B3848" s="319">
        <v>114</v>
      </c>
      <c r="C3848" s="319" t="str">
        <f>IFERROR(VLOOKUP(A3848,[3]DOORSCRIEFT!$A$2:$G$8551,2,FALSE),"")</f>
        <v/>
      </c>
      <c r="D3848" s="318" t="str">
        <f>IFERROR(VLOOKUP(A3848,[3]DOORSCRIEFT!$A$2:$G$8551,3,FALSE),"")</f>
        <v/>
      </c>
      <c r="E3848" s="317" t="str">
        <f>IFERROR(VLOOKUP(A3848,[3]DOORSCRIEFT!$A$2:$G$8551,4,FALSE),"")</f>
        <v/>
      </c>
      <c r="F3848" s="316" t="str">
        <f>IFERROR(VLOOKUP(A3848,[3]DOORSCRIEFT!$A$2:$G$8551,6,FALSE),"")</f>
        <v/>
      </c>
      <c r="G3848" s="349"/>
    </row>
    <row r="3849" spans="1:7" x14ac:dyDescent="0.25">
      <c r="A3849" s="359" t="str">
        <f t="shared" si="110"/>
        <v>I.2.3.01115</v>
      </c>
      <c r="B3849" s="319">
        <v>115</v>
      </c>
      <c r="C3849" s="319" t="str">
        <f>IFERROR(VLOOKUP(A3849,[3]DOORSCRIEFT!$A$2:$G$8551,2,FALSE),"")</f>
        <v/>
      </c>
      <c r="D3849" s="318" t="str">
        <f>IFERROR(VLOOKUP(A3849,[3]DOORSCRIEFT!$A$2:$G$8551,3,FALSE),"")</f>
        <v/>
      </c>
      <c r="E3849" s="317" t="str">
        <f>IFERROR(VLOOKUP(A3849,[3]DOORSCRIEFT!$A$2:$G$8551,4,FALSE),"")</f>
        <v/>
      </c>
      <c r="F3849" s="316" t="str">
        <f>IFERROR(VLOOKUP(A3849,[3]DOORSCRIEFT!$A$2:$G$8551,6,FALSE),"")</f>
        <v/>
      </c>
      <c r="G3849" s="349"/>
    </row>
    <row r="3850" spans="1:7" x14ac:dyDescent="0.25">
      <c r="A3850" s="359" t="str">
        <f t="shared" si="110"/>
        <v>I.2.3.01116</v>
      </c>
      <c r="B3850" s="319">
        <v>116</v>
      </c>
      <c r="C3850" s="319" t="str">
        <f>IFERROR(VLOOKUP(A3850,[3]DOORSCRIEFT!$A$2:$G$8551,2,FALSE),"")</f>
        <v/>
      </c>
      <c r="D3850" s="318" t="str">
        <f>IFERROR(VLOOKUP(A3850,[3]DOORSCRIEFT!$A$2:$G$8551,3,FALSE),"")</f>
        <v/>
      </c>
      <c r="E3850" s="317" t="str">
        <f>IFERROR(VLOOKUP(A3850,[3]DOORSCRIEFT!$A$2:$G$8551,4,FALSE),"")</f>
        <v/>
      </c>
      <c r="F3850" s="316" t="str">
        <f>IFERROR(VLOOKUP(A3850,[3]DOORSCRIEFT!$A$2:$G$8551,6,FALSE),"")</f>
        <v/>
      </c>
      <c r="G3850" s="349"/>
    </row>
    <row r="3851" spans="1:7" x14ac:dyDescent="0.25">
      <c r="A3851" s="359" t="str">
        <f t="shared" si="110"/>
        <v>I.2.3.01117</v>
      </c>
      <c r="B3851" s="319">
        <v>117</v>
      </c>
      <c r="C3851" s="319" t="str">
        <f>IFERROR(VLOOKUP(A3851,[3]DOORSCRIEFT!$A$2:$G$8551,2,FALSE),"")</f>
        <v/>
      </c>
      <c r="D3851" s="318" t="str">
        <f>IFERROR(VLOOKUP(A3851,[3]DOORSCRIEFT!$A$2:$G$8551,3,FALSE),"")</f>
        <v/>
      </c>
      <c r="E3851" s="317" t="str">
        <f>IFERROR(VLOOKUP(A3851,[3]DOORSCRIEFT!$A$2:$G$8551,4,FALSE),"")</f>
        <v/>
      </c>
      <c r="F3851" s="316" t="str">
        <f>IFERROR(VLOOKUP(A3851,[3]DOORSCRIEFT!$A$2:$G$8551,6,FALSE),"")</f>
        <v/>
      </c>
      <c r="G3851" s="349"/>
    </row>
    <row r="3852" spans="1:7" x14ac:dyDescent="0.25">
      <c r="A3852" s="359" t="str">
        <f t="shared" si="110"/>
        <v>I.2.3.01118</v>
      </c>
      <c r="B3852" s="319">
        <v>118</v>
      </c>
      <c r="C3852" s="319" t="str">
        <f>IFERROR(VLOOKUP(A3852,[3]DOORSCRIEFT!$A$2:$G$8551,2,FALSE),"")</f>
        <v/>
      </c>
      <c r="D3852" s="318" t="str">
        <f>IFERROR(VLOOKUP(A3852,[3]DOORSCRIEFT!$A$2:$G$8551,3,FALSE),"")</f>
        <v/>
      </c>
      <c r="E3852" s="317" t="str">
        <f>IFERROR(VLOOKUP(A3852,[3]DOORSCRIEFT!$A$2:$G$8551,4,FALSE),"")</f>
        <v/>
      </c>
      <c r="F3852" s="316" t="str">
        <f>IFERROR(VLOOKUP(A3852,[3]DOORSCRIEFT!$A$2:$G$8551,6,FALSE),"")</f>
        <v/>
      </c>
      <c r="G3852" s="349"/>
    </row>
    <row r="3853" spans="1:7" x14ac:dyDescent="0.25">
      <c r="A3853" s="359" t="str">
        <f t="shared" si="110"/>
        <v>I.2.3.01119</v>
      </c>
      <c r="B3853" s="319">
        <v>119</v>
      </c>
      <c r="C3853" s="319" t="str">
        <f>IFERROR(VLOOKUP(A3853,[3]DOORSCRIEFT!$A$2:$G$8551,2,FALSE),"")</f>
        <v/>
      </c>
      <c r="D3853" s="318" t="str">
        <f>IFERROR(VLOOKUP(A3853,[3]DOORSCRIEFT!$A$2:$G$8551,3,FALSE),"")</f>
        <v/>
      </c>
      <c r="E3853" s="317" t="str">
        <f>IFERROR(VLOOKUP(A3853,[3]DOORSCRIEFT!$A$2:$G$8551,4,FALSE),"")</f>
        <v/>
      </c>
      <c r="F3853" s="316" t="str">
        <f>IFERROR(VLOOKUP(A3853,[3]DOORSCRIEFT!$A$2:$G$8551,6,FALSE),"")</f>
        <v/>
      </c>
      <c r="G3853" s="349"/>
    </row>
    <row r="3854" spans="1:7" x14ac:dyDescent="0.25">
      <c r="A3854" s="359" t="str">
        <f t="shared" si="110"/>
        <v>I.2.3.01120</v>
      </c>
      <c r="B3854" s="319">
        <v>120</v>
      </c>
      <c r="C3854" s="319" t="str">
        <f>IFERROR(VLOOKUP(A3854,[3]DOORSCRIEFT!$A$2:$G$8551,2,FALSE),"")</f>
        <v/>
      </c>
      <c r="D3854" s="318" t="str">
        <f>IFERROR(VLOOKUP(A3854,[3]DOORSCRIEFT!$A$2:$G$8551,3,FALSE),"")</f>
        <v/>
      </c>
      <c r="E3854" s="317" t="str">
        <f>IFERROR(VLOOKUP(A3854,[3]DOORSCRIEFT!$A$2:$G$8551,4,FALSE),"")</f>
        <v/>
      </c>
      <c r="F3854" s="316" t="str">
        <f>IFERROR(VLOOKUP(A3854,[3]DOORSCRIEFT!$A$2:$G$8551,6,FALSE),"")</f>
        <v/>
      </c>
      <c r="G3854" s="349"/>
    </row>
    <row r="3855" spans="1:7" x14ac:dyDescent="0.25">
      <c r="A3855" s="359" t="str">
        <f t="shared" si="110"/>
        <v>I.2.3.01121</v>
      </c>
      <c r="B3855" s="319">
        <v>121</v>
      </c>
      <c r="C3855" s="319" t="str">
        <f>IFERROR(VLOOKUP(A3855,[3]DOORSCRIEFT!$A$2:$G$8551,2,FALSE),"")</f>
        <v/>
      </c>
      <c r="D3855" s="318" t="str">
        <f>IFERROR(VLOOKUP(A3855,[3]DOORSCRIEFT!$A$2:$G$8551,3,FALSE),"")</f>
        <v/>
      </c>
      <c r="E3855" s="317" t="str">
        <f>IFERROR(VLOOKUP(A3855,[3]DOORSCRIEFT!$A$2:$G$8551,4,FALSE),"")</f>
        <v/>
      </c>
      <c r="F3855" s="316" t="str">
        <f>IFERROR(VLOOKUP(A3855,[3]DOORSCRIEFT!$A$2:$G$8551,6,FALSE),"")</f>
        <v/>
      </c>
      <c r="G3855" s="349"/>
    </row>
    <row r="3856" spans="1:7" x14ac:dyDescent="0.25">
      <c r="A3856" s="359" t="str">
        <f t="shared" si="110"/>
        <v>I.2.3.01122</v>
      </c>
      <c r="B3856" s="319">
        <v>122</v>
      </c>
      <c r="C3856" s="319" t="str">
        <f>IFERROR(VLOOKUP(A3856,[3]DOORSCRIEFT!$A$2:$G$8551,2,FALSE),"")</f>
        <v/>
      </c>
      <c r="D3856" s="318" t="str">
        <f>IFERROR(VLOOKUP(A3856,[3]DOORSCRIEFT!$A$2:$G$8551,3,FALSE),"")</f>
        <v/>
      </c>
      <c r="E3856" s="317" t="str">
        <f>IFERROR(VLOOKUP(A3856,[3]DOORSCRIEFT!$A$2:$G$8551,4,FALSE),"")</f>
        <v/>
      </c>
      <c r="F3856" s="316" t="str">
        <f>IFERROR(VLOOKUP(A3856,[3]DOORSCRIEFT!$A$2:$G$8551,6,FALSE),"")</f>
        <v/>
      </c>
      <c r="G3856" s="349"/>
    </row>
    <row r="3857" spans="1:7" x14ac:dyDescent="0.25">
      <c r="A3857" s="359" t="str">
        <f t="shared" si="110"/>
        <v>I.2.3.01123</v>
      </c>
      <c r="B3857" s="319">
        <v>123</v>
      </c>
      <c r="C3857" s="319" t="str">
        <f>IFERROR(VLOOKUP(A3857,[3]DOORSCRIEFT!$A$2:$G$8551,2,FALSE),"")</f>
        <v/>
      </c>
      <c r="D3857" s="318" t="str">
        <f>IFERROR(VLOOKUP(A3857,[3]DOORSCRIEFT!$A$2:$G$8551,3,FALSE),"")</f>
        <v/>
      </c>
      <c r="E3857" s="317" t="str">
        <f>IFERROR(VLOOKUP(A3857,[3]DOORSCRIEFT!$A$2:$G$8551,4,FALSE),"")</f>
        <v/>
      </c>
      <c r="F3857" s="316" t="str">
        <f>IFERROR(VLOOKUP(A3857,[3]DOORSCRIEFT!$A$2:$G$8551,6,FALSE),"")</f>
        <v/>
      </c>
      <c r="G3857" s="349"/>
    </row>
    <row r="3858" spans="1:7" x14ac:dyDescent="0.25">
      <c r="A3858" s="359" t="str">
        <f t="shared" si="110"/>
        <v>I.2.3.01124</v>
      </c>
      <c r="B3858" s="319">
        <v>124</v>
      </c>
      <c r="C3858" s="319" t="str">
        <f>IFERROR(VLOOKUP(A3858,[3]DOORSCRIEFT!$A$2:$G$8551,2,FALSE),"")</f>
        <v/>
      </c>
      <c r="D3858" s="318" t="str">
        <f>IFERROR(VLOOKUP(A3858,[3]DOORSCRIEFT!$A$2:$G$8551,3,FALSE),"")</f>
        <v/>
      </c>
      <c r="E3858" s="317" t="str">
        <f>IFERROR(VLOOKUP(A3858,[3]DOORSCRIEFT!$A$2:$G$8551,4,FALSE),"")</f>
        <v/>
      </c>
      <c r="F3858" s="316" t="str">
        <f>IFERROR(VLOOKUP(A3858,[3]DOORSCRIEFT!$A$2:$G$8551,6,FALSE),"")</f>
        <v/>
      </c>
      <c r="G3858" s="349"/>
    </row>
    <row r="3859" spans="1:7" x14ac:dyDescent="0.25">
      <c r="A3859" s="359" t="str">
        <f t="shared" si="110"/>
        <v>I.2.3.01125</v>
      </c>
      <c r="B3859" s="319">
        <v>125</v>
      </c>
      <c r="C3859" s="319" t="str">
        <f>IFERROR(VLOOKUP(A3859,[3]DOORSCRIEFT!$A$2:$G$8551,2,FALSE),"")</f>
        <v/>
      </c>
      <c r="D3859" s="318" t="str">
        <f>IFERROR(VLOOKUP(A3859,[3]DOORSCRIEFT!$A$2:$G$8551,3,FALSE),"")</f>
        <v/>
      </c>
      <c r="E3859" s="317" t="str">
        <f>IFERROR(VLOOKUP(A3859,[3]DOORSCRIEFT!$A$2:$G$8551,4,FALSE),"")</f>
        <v/>
      </c>
      <c r="F3859" s="316" t="str">
        <f>IFERROR(VLOOKUP(A3859,[3]DOORSCRIEFT!$A$2:$G$8551,6,FALSE),"")</f>
        <v/>
      </c>
      <c r="G3859" s="349"/>
    </row>
    <row r="3860" spans="1:7" x14ac:dyDescent="0.25">
      <c r="A3860" s="359" t="str">
        <f t="shared" si="110"/>
        <v>I.2.3.01126</v>
      </c>
      <c r="B3860" s="319">
        <v>126</v>
      </c>
      <c r="C3860" s="319" t="str">
        <f>IFERROR(VLOOKUP(A3860,[3]DOORSCRIEFT!$A$2:$G$8551,2,FALSE),"")</f>
        <v/>
      </c>
      <c r="D3860" s="318" t="str">
        <f>IFERROR(VLOOKUP(A3860,[3]DOORSCRIEFT!$A$2:$G$8551,3,FALSE),"")</f>
        <v/>
      </c>
      <c r="E3860" s="317" t="str">
        <f>IFERROR(VLOOKUP(A3860,[3]DOORSCRIEFT!$A$2:$G$8551,4,FALSE),"")</f>
        <v/>
      </c>
      <c r="F3860" s="316" t="str">
        <f>IFERROR(VLOOKUP(A3860,[3]DOORSCRIEFT!$A$2:$G$8551,6,FALSE),"")</f>
        <v/>
      </c>
      <c r="G3860" s="349"/>
    </row>
    <row r="3861" spans="1:7" x14ac:dyDescent="0.25">
      <c r="A3861" s="359" t="str">
        <f t="shared" si="110"/>
        <v>I.2.3.01127</v>
      </c>
      <c r="B3861" s="319">
        <v>127</v>
      </c>
      <c r="C3861" s="319" t="str">
        <f>IFERROR(VLOOKUP(A3861,[3]DOORSCRIEFT!$A$2:$G$8551,2,FALSE),"")</f>
        <v/>
      </c>
      <c r="D3861" s="318" t="str">
        <f>IFERROR(VLOOKUP(A3861,[3]DOORSCRIEFT!$A$2:$G$8551,3,FALSE),"")</f>
        <v/>
      </c>
      <c r="E3861" s="317" t="str">
        <f>IFERROR(VLOOKUP(A3861,[3]DOORSCRIEFT!$A$2:$G$8551,4,FALSE),"")</f>
        <v/>
      </c>
      <c r="F3861" s="316" t="str">
        <f>IFERROR(VLOOKUP(A3861,[3]DOORSCRIEFT!$A$2:$G$8551,6,FALSE),"")</f>
        <v/>
      </c>
      <c r="G3861" s="349"/>
    </row>
    <row r="3862" spans="1:7" x14ac:dyDescent="0.25">
      <c r="A3862" s="359" t="str">
        <f t="shared" si="110"/>
        <v>I.2.3.01128</v>
      </c>
      <c r="B3862" s="319">
        <v>128</v>
      </c>
      <c r="C3862" s="319" t="str">
        <f>IFERROR(VLOOKUP(A3862,[3]DOORSCRIEFT!$A$2:$G$8551,2,FALSE),"")</f>
        <v/>
      </c>
      <c r="D3862" s="318" t="str">
        <f>IFERROR(VLOOKUP(A3862,[3]DOORSCRIEFT!$A$2:$G$8551,3,FALSE),"")</f>
        <v/>
      </c>
      <c r="E3862" s="317" t="str">
        <f>IFERROR(VLOOKUP(A3862,[3]DOORSCRIEFT!$A$2:$G$8551,4,FALSE),"")</f>
        <v/>
      </c>
      <c r="F3862" s="316" t="str">
        <f>IFERROR(VLOOKUP(A3862,[3]DOORSCRIEFT!$A$2:$G$8551,6,FALSE),"")</f>
        <v/>
      </c>
      <c r="G3862" s="349"/>
    </row>
    <row r="3863" spans="1:7" x14ac:dyDescent="0.25">
      <c r="A3863" s="359" t="str">
        <f t="shared" ref="A3863:A3894" si="111">$G$3728&amp;B3863</f>
        <v>I.2.3.01129</v>
      </c>
      <c r="B3863" s="319">
        <v>129</v>
      </c>
      <c r="C3863" s="319" t="str">
        <f>IFERROR(VLOOKUP(A3863,[3]DOORSCRIEFT!$A$2:$G$8551,2,FALSE),"")</f>
        <v/>
      </c>
      <c r="D3863" s="318" t="str">
        <f>IFERROR(VLOOKUP(A3863,[3]DOORSCRIEFT!$A$2:$G$8551,3,FALSE),"")</f>
        <v/>
      </c>
      <c r="E3863" s="317" t="str">
        <f>IFERROR(VLOOKUP(A3863,[3]DOORSCRIEFT!$A$2:$G$8551,4,FALSE),"")</f>
        <v/>
      </c>
      <c r="F3863" s="316" t="str">
        <f>IFERROR(VLOOKUP(A3863,[3]DOORSCRIEFT!$A$2:$G$8551,6,FALSE),"")</f>
        <v/>
      </c>
      <c r="G3863" s="349"/>
    </row>
    <row r="3864" spans="1:7" x14ac:dyDescent="0.25">
      <c r="A3864" s="359" t="str">
        <f t="shared" si="111"/>
        <v>I.2.3.01130</v>
      </c>
      <c r="B3864" s="319">
        <v>130</v>
      </c>
      <c r="C3864" s="319" t="str">
        <f>IFERROR(VLOOKUP(A3864,[3]DOORSCRIEFT!$A$2:$G$8551,2,FALSE),"")</f>
        <v/>
      </c>
      <c r="D3864" s="318" t="str">
        <f>IFERROR(VLOOKUP(A3864,[3]DOORSCRIEFT!$A$2:$G$8551,3,FALSE),"")</f>
        <v/>
      </c>
      <c r="E3864" s="317" t="str">
        <f>IFERROR(VLOOKUP(A3864,[3]DOORSCRIEFT!$A$2:$G$8551,4,FALSE),"")</f>
        <v/>
      </c>
      <c r="F3864" s="316" t="str">
        <f>IFERROR(VLOOKUP(A3864,[3]DOORSCRIEFT!$A$2:$G$8551,6,FALSE),"")</f>
        <v/>
      </c>
      <c r="G3864" s="349"/>
    </row>
    <row r="3865" spans="1:7" x14ac:dyDescent="0.25">
      <c r="A3865" s="359" t="str">
        <f t="shared" si="111"/>
        <v>I.2.3.01131</v>
      </c>
      <c r="B3865" s="319">
        <v>131</v>
      </c>
      <c r="C3865" s="319" t="str">
        <f>IFERROR(VLOOKUP(A3865,[3]DOORSCRIEFT!$A$2:$G$8551,2,FALSE),"")</f>
        <v/>
      </c>
      <c r="D3865" s="318" t="str">
        <f>IFERROR(VLOOKUP(A3865,[3]DOORSCRIEFT!$A$2:$G$8551,3,FALSE),"")</f>
        <v/>
      </c>
      <c r="E3865" s="317" t="str">
        <f>IFERROR(VLOOKUP(A3865,[3]DOORSCRIEFT!$A$2:$G$8551,4,FALSE),"")</f>
        <v/>
      </c>
      <c r="F3865" s="316" t="str">
        <f>IFERROR(VLOOKUP(A3865,[3]DOORSCRIEFT!$A$2:$G$8551,6,FALSE),"")</f>
        <v/>
      </c>
      <c r="G3865" s="349"/>
    </row>
    <row r="3866" spans="1:7" x14ac:dyDescent="0.25">
      <c r="A3866" s="359" t="str">
        <f t="shared" si="111"/>
        <v>I.2.3.01132</v>
      </c>
      <c r="B3866" s="319">
        <v>132</v>
      </c>
      <c r="C3866" s="319" t="str">
        <f>IFERROR(VLOOKUP(A3866,[3]DOORSCRIEFT!$A$2:$G$8551,2,FALSE),"")</f>
        <v/>
      </c>
      <c r="D3866" s="318" t="str">
        <f>IFERROR(VLOOKUP(A3866,[3]DOORSCRIEFT!$A$2:$G$8551,3,FALSE),"")</f>
        <v/>
      </c>
      <c r="E3866" s="317" t="str">
        <f>IFERROR(VLOOKUP(A3866,[3]DOORSCRIEFT!$A$2:$G$8551,4,FALSE),"")</f>
        <v/>
      </c>
      <c r="F3866" s="316" t="str">
        <f>IFERROR(VLOOKUP(A3866,[3]DOORSCRIEFT!$A$2:$G$8551,6,FALSE),"")</f>
        <v/>
      </c>
      <c r="G3866" s="349"/>
    </row>
    <row r="3867" spans="1:7" x14ac:dyDescent="0.25">
      <c r="A3867" s="359" t="str">
        <f t="shared" si="111"/>
        <v>I.2.3.01133</v>
      </c>
      <c r="B3867" s="319">
        <v>133</v>
      </c>
      <c r="C3867" s="319" t="str">
        <f>IFERROR(VLOOKUP(A3867,[3]DOORSCRIEFT!$A$2:$G$8551,2,FALSE),"")</f>
        <v/>
      </c>
      <c r="D3867" s="318" t="str">
        <f>IFERROR(VLOOKUP(A3867,[3]DOORSCRIEFT!$A$2:$G$8551,3,FALSE),"")</f>
        <v/>
      </c>
      <c r="E3867" s="317" t="str">
        <f>IFERROR(VLOOKUP(A3867,[3]DOORSCRIEFT!$A$2:$G$8551,4,FALSE),"")</f>
        <v/>
      </c>
      <c r="F3867" s="316" t="str">
        <f>IFERROR(VLOOKUP(A3867,[3]DOORSCRIEFT!$A$2:$G$8551,6,FALSE),"")</f>
        <v/>
      </c>
      <c r="G3867" s="349"/>
    </row>
    <row r="3868" spans="1:7" x14ac:dyDescent="0.25">
      <c r="A3868" s="359" t="str">
        <f t="shared" si="111"/>
        <v>I.2.3.01134</v>
      </c>
      <c r="B3868" s="319">
        <v>134</v>
      </c>
      <c r="C3868" s="319" t="str">
        <f>IFERROR(VLOOKUP(A3868,[3]DOORSCRIEFT!$A$2:$G$8551,2,FALSE),"")</f>
        <v/>
      </c>
      <c r="D3868" s="318" t="str">
        <f>IFERROR(VLOOKUP(A3868,[3]DOORSCRIEFT!$A$2:$G$8551,3,FALSE),"")</f>
        <v/>
      </c>
      <c r="E3868" s="317" t="str">
        <f>IFERROR(VLOOKUP(A3868,[3]DOORSCRIEFT!$A$2:$G$8551,4,FALSE),"")</f>
        <v/>
      </c>
      <c r="F3868" s="316" t="str">
        <f>IFERROR(VLOOKUP(A3868,[3]DOORSCRIEFT!$A$2:$G$8551,6,FALSE),"")</f>
        <v/>
      </c>
      <c r="G3868" s="349"/>
    </row>
    <row r="3869" spans="1:7" x14ac:dyDescent="0.25">
      <c r="A3869" s="359" t="str">
        <f t="shared" si="111"/>
        <v>I.2.3.01135</v>
      </c>
      <c r="B3869" s="319">
        <v>135</v>
      </c>
      <c r="C3869" s="319" t="str">
        <f>IFERROR(VLOOKUP(A3869,[3]DOORSCRIEFT!$A$2:$G$8551,2,FALSE),"")</f>
        <v/>
      </c>
      <c r="D3869" s="318" t="str">
        <f>IFERROR(VLOOKUP(A3869,[3]DOORSCRIEFT!$A$2:$G$8551,3,FALSE),"")</f>
        <v/>
      </c>
      <c r="E3869" s="317" t="str">
        <f>IFERROR(VLOOKUP(A3869,[3]DOORSCRIEFT!$A$2:$G$8551,4,FALSE),"")</f>
        <v/>
      </c>
      <c r="F3869" s="316" t="str">
        <f>IFERROR(VLOOKUP(A3869,[3]DOORSCRIEFT!$A$2:$G$8551,6,FALSE),"")</f>
        <v/>
      </c>
      <c r="G3869" s="349"/>
    </row>
    <row r="3870" spans="1:7" x14ac:dyDescent="0.25">
      <c r="A3870" s="359" t="str">
        <f t="shared" si="111"/>
        <v>I.2.3.01136</v>
      </c>
      <c r="B3870" s="319">
        <v>136</v>
      </c>
      <c r="C3870" s="319" t="str">
        <f>IFERROR(VLOOKUP(A3870,[3]DOORSCRIEFT!$A$2:$G$8551,2,FALSE),"")</f>
        <v/>
      </c>
      <c r="D3870" s="318" t="str">
        <f>IFERROR(VLOOKUP(A3870,[3]DOORSCRIEFT!$A$2:$G$8551,3,FALSE),"")</f>
        <v/>
      </c>
      <c r="E3870" s="317" t="str">
        <f>IFERROR(VLOOKUP(A3870,[3]DOORSCRIEFT!$A$2:$G$8551,4,FALSE),"")</f>
        <v/>
      </c>
      <c r="F3870" s="316" t="str">
        <f>IFERROR(VLOOKUP(A3870,[3]DOORSCRIEFT!$A$2:$G$8551,6,FALSE),"")</f>
        <v/>
      </c>
      <c r="G3870" s="349"/>
    </row>
    <row r="3871" spans="1:7" x14ac:dyDescent="0.25">
      <c r="A3871" s="359" t="str">
        <f t="shared" si="111"/>
        <v>I.2.3.01137</v>
      </c>
      <c r="B3871" s="319">
        <v>137</v>
      </c>
      <c r="C3871" s="319" t="str">
        <f>IFERROR(VLOOKUP(A3871,[3]DOORSCRIEFT!$A$2:$G$8551,2,FALSE),"")</f>
        <v/>
      </c>
      <c r="D3871" s="318" t="str">
        <f>IFERROR(VLOOKUP(A3871,[3]DOORSCRIEFT!$A$2:$G$8551,3,FALSE),"")</f>
        <v/>
      </c>
      <c r="E3871" s="317" t="str">
        <f>IFERROR(VLOOKUP(A3871,[3]DOORSCRIEFT!$A$2:$G$8551,4,FALSE),"")</f>
        <v/>
      </c>
      <c r="F3871" s="316" t="str">
        <f>IFERROR(VLOOKUP(A3871,[3]DOORSCRIEFT!$A$2:$G$8551,6,FALSE),"")</f>
        <v/>
      </c>
      <c r="G3871" s="349"/>
    </row>
    <row r="3872" spans="1:7" x14ac:dyDescent="0.25">
      <c r="A3872" s="359" t="str">
        <f t="shared" si="111"/>
        <v>I.2.3.01138</v>
      </c>
      <c r="B3872" s="319">
        <v>138</v>
      </c>
      <c r="C3872" s="319" t="str">
        <f>IFERROR(VLOOKUP(A3872,[3]DOORSCRIEFT!$A$2:$G$8551,2,FALSE),"")</f>
        <v/>
      </c>
      <c r="D3872" s="318" t="str">
        <f>IFERROR(VLOOKUP(A3872,[3]DOORSCRIEFT!$A$2:$G$8551,3,FALSE),"")</f>
        <v/>
      </c>
      <c r="E3872" s="317" t="str">
        <f>IFERROR(VLOOKUP(A3872,[3]DOORSCRIEFT!$A$2:$G$8551,4,FALSE),"")</f>
        <v/>
      </c>
      <c r="F3872" s="316" t="str">
        <f>IFERROR(VLOOKUP(A3872,[3]DOORSCRIEFT!$A$2:$G$8551,6,FALSE),"")</f>
        <v/>
      </c>
      <c r="G3872" s="349"/>
    </row>
    <row r="3873" spans="1:7" x14ac:dyDescent="0.25">
      <c r="A3873" s="359" t="str">
        <f t="shared" si="111"/>
        <v>I.2.3.01139</v>
      </c>
      <c r="B3873" s="319">
        <v>139</v>
      </c>
      <c r="C3873" s="319" t="str">
        <f>IFERROR(VLOOKUP(A3873,[3]DOORSCRIEFT!$A$2:$G$8551,2,FALSE),"")</f>
        <v/>
      </c>
      <c r="D3873" s="318" t="str">
        <f>IFERROR(VLOOKUP(A3873,[3]DOORSCRIEFT!$A$2:$G$8551,3,FALSE),"")</f>
        <v/>
      </c>
      <c r="E3873" s="317" t="str">
        <f>IFERROR(VLOOKUP(A3873,[3]DOORSCRIEFT!$A$2:$G$8551,4,FALSE),"")</f>
        <v/>
      </c>
      <c r="F3873" s="316" t="str">
        <f>IFERROR(VLOOKUP(A3873,[3]DOORSCRIEFT!$A$2:$G$8551,6,FALSE),"")</f>
        <v/>
      </c>
      <c r="G3873" s="349"/>
    </row>
    <row r="3874" spans="1:7" x14ac:dyDescent="0.25">
      <c r="A3874" s="359" t="str">
        <f t="shared" si="111"/>
        <v>I.2.3.01140</v>
      </c>
      <c r="B3874" s="319">
        <v>140</v>
      </c>
      <c r="C3874" s="319" t="str">
        <f>IFERROR(VLOOKUP(A3874,[3]DOORSCRIEFT!$A$2:$G$8551,2,FALSE),"")</f>
        <v/>
      </c>
      <c r="D3874" s="318" t="str">
        <f>IFERROR(VLOOKUP(A3874,[3]DOORSCRIEFT!$A$2:$G$8551,3,FALSE),"")</f>
        <v/>
      </c>
      <c r="E3874" s="317" t="str">
        <f>IFERROR(VLOOKUP(A3874,[3]DOORSCRIEFT!$A$2:$G$8551,4,FALSE),"")</f>
        <v/>
      </c>
      <c r="F3874" s="316" t="str">
        <f>IFERROR(VLOOKUP(A3874,[3]DOORSCRIEFT!$A$2:$G$8551,6,FALSE),"")</f>
        <v/>
      </c>
      <c r="G3874" s="349"/>
    </row>
    <row r="3875" spans="1:7" x14ac:dyDescent="0.25">
      <c r="A3875" s="359" t="str">
        <f t="shared" si="111"/>
        <v>I.2.3.01141</v>
      </c>
      <c r="B3875" s="319">
        <v>141</v>
      </c>
      <c r="C3875" s="319" t="str">
        <f>IFERROR(VLOOKUP(A3875,[3]DOORSCRIEFT!$A$2:$G$8551,2,FALSE),"")</f>
        <v/>
      </c>
      <c r="D3875" s="318" t="str">
        <f>IFERROR(VLOOKUP(A3875,[3]DOORSCRIEFT!$A$2:$G$8551,3,FALSE),"")</f>
        <v/>
      </c>
      <c r="E3875" s="317" t="str">
        <f>IFERROR(VLOOKUP(A3875,[3]DOORSCRIEFT!$A$2:$G$8551,4,FALSE),"")</f>
        <v/>
      </c>
      <c r="F3875" s="316" t="str">
        <f>IFERROR(VLOOKUP(A3875,[3]DOORSCRIEFT!$A$2:$G$8551,6,FALSE),"")</f>
        <v/>
      </c>
      <c r="G3875" s="349"/>
    </row>
    <row r="3876" spans="1:7" x14ac:dyDescent="0.25">
      <c r="A3876" s="359" t="str">
        <f t="shared" si="111"/>
        <v>I.2.3.01142</v>
      </c>
      <c r="B3876" s="319">
        <v>142</v>
      </c>
      <c r="C3876" s="319" t="str">
        <f>IFERROR(VLOOKUP(A3876,[3]DOORSCRIEFT!$A$2:$G$8551,2,FALSE),"")</f>
        <v/>
      </c>
      <c r="D3876" s="318" t="str">
        <f>IFERROR(VLOOKUP(A3876,[3]DOORSCRIEFT!$A$2:$G$8551,3,FALSE),"")</f>
        <v/>
      </c>
      <c r="E3876" s="317" t="str">
        <f>IFERROR(VLOOKUP(A3876,[3]DOORSCRIEFT!$A$2:$G$8551,4,FALSE),"")</f>
        <v/>
      </c>
      <c r="F3876" s="316" t="str">
        <f>IFERROR(VLOOKUP(A3876,[3]DOORSCRIEFT!$A$2:$G$8551,6,FALSE),"")</f>
        <v/>
      </c>
      <c r="G3876" s="349"/>
    </row>
    <row r="3877" spans="1:7" x14ac:dyDescent="0.25">
      <c r="A3877" s="359" t="str">
        <f t="shared" si="111"/>
        <v>I.2.3.01143</v>
      </c>
      <c r="B3877" s="319">
        <v>143</v>
      </c>
      <c r="C3877" s="319" t="str">
        <f>IFERROR(VLOOKUP(A3877,[3]DOORSCRIEFT!$A$2:$G$8551,2,FALSE),"")</f>
        <v/>
      </c>
      <c r="D3877" s="318" t="str">
        <f>IFERROR(VLOOKUP(A3877,[3]DOORSCRIEFT!$A$2:$G$8551,3,FALSE),"")</f>
        <v/>
      </c>
      <c r="E3877" s="317" t="str">
        <f>IFERROR(VLOOKUP(A3877,[3]DOORSCRIEFT!$A$2:$G$8551,4,FALSE),"")</f>
        <v/>
      </c>
      <c r="F3877" s="316" t="str">
        <f>IFERROR(VLOOKUP(A3877,[3]DOORSCRIEFT!$A$2:$G$8551,6,FALSE),"")</f>
        <v/>
      </c>
      <c r="G3877" s="349"/>
    </row>
    <row r="3878" spans="1:7" x14ac:dyDescent="0.25">
      <c r="A3878" s="359" t="str">
        <f t="shared" si="111"/>
        <v>I.2.3.01144</v>
      </c>
      <c r="B3878" s="319">
        <v>144</v>
      </c>
      <c r="C3878" s="319" t="str">
        <f>IFERROR(VLOOKUP(A3878,[3]DOORSCRIEFT!$A$2:$G$8551,2,FALSE),"")</f>
        <v/>
      </c>
      <c r="D3878" s="318" t="str">
        <f>IFERROR(VLOOKUP(A3878,[3]DOORSCRIEFT!$A$2:$G$8551,3,FALSE),"")</f>
        <v/>
      </c>
      <c r="E3878" s="317" t="str">
        <f>IFERROR(VLOOKUP(A3878,[3]DOORSCRIEFT!$A$2:$G$8551,4,FALSE),"")</f>
        <v/>
      </c>
      <c r="F3878" s="316" t="str">
        <f>IFERROR(VLOOKUP(A3878,[3]DOORSCRIEFT!$A$2:$G$8551,6,FALSE),"")</f>
        <v/>
      </c>
      <c r="G3878" s="349"/>
    </row>
    <row r="3879" spans="1:7" x14ac:dyDescent="0.25">
      <c r="A3879" s="359" t="str">
        <f t="shared" si="111"/>
        <v>I.2.3.01145</v>
      </c>
      <c r="B3879" s="319">
        <v>145</v>
      </c>
      <c r="C3879" s="319" t="str">
        <f>IFERROR(VLOOKUP(A3879,[3]DOORSCRIEFT!$A$2:$G$8551,2,FALSE),"")</f>
        <v/>
      </c>
      <c r="D3879" s="318" t="str">
        <f>IFERROR(VLOOKUP(A3879,[3]DOORSCRIEFT!$A$2:$G$8551,3,FALSE),"")</f>
        <v/>
      </c>
      <c r="E3879" s="317" t="str">
        <f>IFERROR(VLOOKUP(A3879,[3]DOORSCRIEFT!$A$2:$G$8551,4,FALSE),"")</f>
        <v/>
      </c>
      <c r="F3879" s="316" t="str">
        <f>IFERROR(VLOOKUP(A3879,[3]DOORSCRIEFT!$A$2:$G$8551,6,FALSE),"")</f>
        <v/>
      </c>
      <c r="G3879" s="349"/>
    </row>
    <row r="3880" spans="1:7" x14ac:dyDescent="0.25">
      <c r="A3880" s="359" t="str">
        <f t="shared" si="111"/>
        <v>I.2.3.01146</v>
      </c>
      <c r="B3880" s="319">
        <v>146</v>
      </c>
      <c r="C3880" s="319" t="str">
        <f>IFERROR(VLOOKUP(A3880,[3]DOORSCRIEFT!$A$2:$G$8551,2,FALSE),"")</f>
        <v/>
      </c>
      <c r="D3880" s="318" t="str">
        <f>IFERROR(VLOOKUP(A3880,[3]DOORSCRIEFT!$A$2:$G$8551,3,FALSE),"")</f>
        <v/>
      </c>
      <c r="E3880" s="317" t="str">
        <f>IFERROR(VLOOKUP(A3880,[3]DOORSCRIEFT!$A$2:$G$8551,4,FALSE),"")</f>
        <v/>
      </c>
      <c r="F3880" s="316" t="str">
        <f>IFERROR(VLOOKUP(A3880,[3]DOORSCRIEFT!$A$2:$G$8551,6,FALSE),"")</f>
        <v/>
      </c>
      <c r="G3880" s="349"/>
    </row>
    <row r="3881" spans="1:7" x14ac:dyDescent="0.25">
      <c r="A3881" s="359" t="str">
        <f t="shared" si="111"/>
        <v>I.2.3.01147</v>
      </c>
      <c r="B3881" s="319">
        <v>147</v>
      </c>
      <c r="C3881" s="319" t="str">
        <f>IFERROR(VLOOKUP(A3881,[3]DOORSCRIEFT!$A$2:$G$8551,2,FALSE),"")</f>
        <v/>
      </c>
      <c r="D3881" s="318" t="str">
        <f>IFERROR(VLOOKUP(A3881,[3]DOORSCRIEFT!$A$2:$G$8551,3,FALSE),"")</f>
        <v/>
      </c>
      <c r="E3881" s="317" t="str">
        <f>IFERROR(VLOOKUP(A3881,[3]DOORSCRIEFT!$A$2:$G$8551,4,FALSE),"")</f>
        <v/>
      </c>
      <c r="F3881" s="316" t="str">
        <f>IFERROR(VLOOKUP(A3881,[3]DOORSCRIEFT!$A$2:$G$8551,6,FALSE),"")</f>
        <v/>
      </c>
      <c r="G3881" s="349"/>
    </row>
    <row r="3882" spans="1:7" x14ac:dyDescent="0.25">
      <c r="A3882" s="359" t="str">
        <f t="shared" si="111"/>
        <v>I.2.3.01148</v>
      </c>
      <c r="B3882" s="319">
        <v>148</v>
      </c>
      <c r="C3882" s="319" t="str">
        <f>IFERROR(VLOOKUP(A3882,[3]DOORSCRIEFT!$A$2:$G$8551,2,FALSE),"")</f>
        <v/>
      </c>
      <c r="D3882" s="318" t="str">
        <f>IFERROR(VLOOKUP(A3882,[3]DOORSCRIEFT!$A$2:$G$8551,3,FALSE),"")</f>
        <v/>
      </c>
      <c r="E3882" s="317" t="str">
        <f>IFERROR(VLOOKUP(A3882,[3]DOORSCRIEFT!$A$2:$G$8551,4,FALSE),"")</f>
        <v/>
      </c>
      <c r="F3882" s="316" t="str">
        <f>IFERROR(VLOOKUP(A3882,[3]DOORSCRIEFT!$A$2:$G$8551,6,FALSE),"")</f>
        <v/>
      </c>
      <c r="G3882" s="349"/>
    </row>
    <row r="3883" spans="1:7" x14ac:dyDescent="0.25">
      <c r="A3883" s="359" t="str">
        <f t="shared" si="111"/>
        <v>I.2.3.01149</v>
      </c>
      <c r="B3883" s="319">
        <v>149</v>
      </c>
      <c r="C3883" s="319" t="str">
        <f>IFERROR(VLOOKUP(A3883,[3]DOORSCRIEFT!$A$2:$G$8551,2,FALSE),"")</f>
        <v/>
      </c>
      <c r="D3883" s="318" t="str">
        <f>IFERROR(VLOOKUP(A3883,[3]DOORSCRIEFT!$A$2:$G$8551,3,FALSE),"")</f>
        <v/>
      </c>
      <c r="E3883" s="317" t="str">
        <f>IFERROR(VLOOKUP(A3883,[3]DOORSCRIEFT!$A$2:$G$8551,4,FALSE),"")</f>
        <v/>
      </c>
      <c r="F3883" s="316" t="str">
        <f>IFERROR(VLOOKUP(A3883,[3]DOORSCRIEFT!$A$2:$G$8551,6,FALSE),"")</f>
        <v/>
      </c>
      <c r="G3883" s="349"/>
    </row>
    <row r="3884" spans="1:7" ht="15.75" thickBot="1" x14ac:dyDescent="0.3">
      <c r="A3884" s="376" t="str">
        <f t="shared" si="111"/>
        <v>I.2.3.01150</v>
      </c>
      <c r="B3884" s="375">
        <v>150</v>
      </c>
      <c r="C3884" s="375" t="str">
        <f>IFERROR(VLOOKUP(A3884,[3]DOORSCRIEFT!$A$2:$G$8551,2,FALSE),"")</f>
        <v/>
      </c>
      <c r="D3884" s="374" t="str">
        <f>IFERROR(VLOOKUP(A3884,[3]DOORSCRIEFT!$A$2:$G$8551,3,FALSE),"")</f>
        <v/>
      </c>
      <c r="E3884" s="373" t="str">
        <f>IFERROR(VLOOKUP(A3884,[3]DOORSCRIEFT!$A$2:$G$8551,4,FALSE),"")</f>
        <v/>
      </c>
      <c r="F3884" s="372" t="str">
        <f>IFERROR(VLOOKUP(A3884,[3]DOORSCRIEFT!$A$2:$G$8551,6,FALSE),"")</f>
        <v/>
      </c>
      <c r="G3884" s="371"/>
    </row>
    <row r="3885" spans="1:7" ht="15.75" thickBot="1" x14ac:dyDescent="0.3">
      <c r="A3885" s="370"/>
      <c r="B3885" s="369"/>
      <c r="C3885" s="368"/>
      <c r="D3885" s="367"/>
      <c r="E3885" s="366" t="s">
        <v>644</v>
      </c>
      <c r="F3885" s="365">
        <f>SUM(F3735:F3884)</f>
        <v>139440000</v>
      </c>
      <c r="G3885" s="364">
        <f>SUM(G3735:G3827)</f>
        <v>0</v>
      </c>
    </row>
    <row r="3886" spans="1:7" x14ac:dyDescent="0.25">
      <c r="C3886" s="335"/>
    </row>
    <row r="3887" spans="1:7" x14ac:dyDescent="0.25">
      <c r="C3887" s="335"/>
    </row>
    <row r="3888" spans="1:7" ht="15.75" x14ac:dyDescent="0.25">
      <c r="C3888" s="334"/>
      <c r="D3888" s="333"/>
      <c r="E3888" s="332"/>
      <c r="F3888" s="327" t="s">
        <v>607</v>
      </c>
      <c r="G3888" s="327" t="s">
        <v>413</v>
      </c>
    </row>
    <row r="3889" spans="1:7" ht="15.75" x14ac:dyDescent="0.25">
      <c r="C3889" s="334"/>
      <c r="D3889" s="333"/>
      <c r="E3889" s="332"/>
      <c r="F3889" s="327" t="s">
        <v>601</v>
      </c>
      <c r="G3889" s="327" t="s">
        <v>412</v>
      </c>
    </row>
    <row r="3890" spans="1:7" x14ac:dyDescent="0.25">
      <c r="C3890" s="330"/>
      <c r="D3890" s="329"/>
      <c r="E3890" s="328"/>
      <c r="F3890" s="327" t="s">
        <v>651</v>
      </c>
      <c r="G3890" s="331">
        <f>[2]Sheet1!$D$95</f>
        <v>2000000</v>
      </c>
    </row>
    <row r="3891" spans="1:7" ht="15.75" thickBot="1" x14ac:dyDescent="0.3">
      <c r="C3891" s="330"/>
      <c r="D3891" s="329"/>
      <c r="E3891" s="328"/>
      <c r="F3891" s="327" t="s">
        <v>650</v>
      </c>
      <c r="G3891" s="326">
        <f>+F3910-G3890</f>
        <v>-2000000</v>
      </c>
    </row>
    <row r="3892" spans="1:7" x14ac:dyDescent="0.25">
      <c r="A3892" s="571" t="s">
        <v>626</v>
      </c>
      <c r="B3892" s="573" t="s">
        <v>606</v>
      </c>
      <c r="C3892" s="588" t="s">
        <v>649</v>
      </c>
      <c r="D3892" s="577" t="s">
        <v>648</v>
      </c>
      <c r="E3892" s="577" t="s">
        <v>647</v>
      </c>
      <c r="F3892" s="577" t="s">
        <v>646</v>
      </c>
      <c r="G3892" s="580" t="s">
        <v>645</v>
      </c>
    </row>
    <row r="3893" spans="1:7" ht="15.75" thickBot="1" x14ac:dyDescent="0.3">
      <c r="A3893" s="572"/>
      <c r="B3893" s="574"/>
      <c r="C3893" s="589"/>
      <c r="D3893" s="586"/>
      <c r="E3893" s="586"/>
      <c r="F3893" s="586"/>
      <c r="G3893" s="587"/>
    </row>
    <row r="3894" spans="1:7" ht="15.75" thickBot="1" x14ac:dyDescent="0.3">
      <c r="A3894" s="325">
        <v>1</v>
      </c>
      <c r="B3894" s="324">
        <v>2</v>
      </c>
      <c r="C3894" s="324">
        <v>3</v>
      </c>
      <c r="D3894" s="324">
        <v>4</v>
      </c>
      <c r="E3894" s="324">
        <v>5</v>
      </c>
      <c r="F3894" s="324">
        <v>6</v>
      </c>
      <c r="G3894" s="323">
        <v>7</v>
      </c>
    </row>
    <row r="3895" spans="1:7" x14ac:dyDescent="0.25">
      <c r="A3895" s="339" t="str">
        <f t="shared" ref="A3895:A3909" si="112">$G$3888&amp;B3895</f>
        <v>I.2.3.021</v>
      </c>
      <c r="B3895" s="339">
        <v>1</v>
      </c>
      <c r="C3895" s="319" t="str">
        <f>IFERROR(VLOOKUP(A3895,[3]DOORSCRIEFT!$A$2:$G$8551,2,FALSE),"")</f>
        <v/>
      </c>
      <c r="D3895" s="318" t="str">
        <f>IFERROR(VLOOKUP(A3895,[3]DOORSCRIEFT!$A$2:$G$8551,3,FALSE),"")</f>
        <v/>
      </c>
      <c r="E3895" s="317" t="str">
        <f>IFERROR(VLOOKUP(A3895,[3]DOORSCRIEFT!$A$2:$G$8551,4,FALSE),"")</f>
        <v/>
      </c>
      <c r="F3895" s="316" t="str">
        <f>IFERROR(VLOOKUP(A3895,[3]DOORSCRIEFT!$A$2:$G$8551,6,FALSE),"")</f>
        <v/>
      </c>
      <c r="G3895" s="322"/>
    </row>
    <row r="3896" spans="1:7" x14ac:dyDescent="0.25">
      <c r="A3896" s="339" t="str">
        <f t="shared" si="112"/>
        <v>I.2.3.022</v>
      </c>
      <c r="B3896" s="319">
        <v>2</v>
      </c>
      <c r="C3896" s="319" t="str">
        <f>IFERROR(VLOOKUP(A3896,[3]DOORSCRIEFT!$A$2:$G$8551,2,FALSE),"")</f>
        <v/>
      </c>
      <c r="D3896" s="318" t="str">
        <f>IFERROR(VLOOKUP(A3896,[3]DOORSCRIEFT!$A$2:$G$8551,3,FALSE),"")</f>
        <v/>
      </c>
      <c r="E3896" s="317" t="str">
        <f>IFERROR(VLOOKUP(A3896,[3]DOORSCRIEFT!$A$2:$G$8551,4,FALSE),"")</f>
        <v/>
      </c>
      <c r="F3896" s="316" t="str">
        <f>IFERROR(VLOOKUP(A3896,[3]DOORSCRIEFT!$A$2:$G$8551,6,FALSE),"")</f>
        <v/>
      </c>
      <c r="G3896" s="315"/>
    </row>
    <row r="3897" spans="1:7" x14ac:dyDescent="0.25">
      <c r="A3897" s="339" t="str">
        <f t="shared" si="112"/>
        <v>I.2.3.023</v>
      </c>
      <c r="B3897" s="319">
        <v>3</v>
      </c>
      <c r="C3897" s="319" t="str">
        <f>IFERROR(VLOOKUP(A3897,[3]DOORSCRIEFT!$A$2:$G$8551,2,FALSE),"")</f>
        <v/>
      </c>
      <c r="D3897" s="318" t="str">
        <f>IFERROR(VLOOKUP(A3897,[3]DOORSCRIEFT!$A$2:$G$8551,3,FALSE),"")</f>
        <v/>
      </c>
      <c r="E3897" s="317" t="str">
        <f>IFERROR(VLOOKUP(A3897,[3]DOORSCRIEFT!$A$2:$G$8551,4,FALSE),"")</f>
        <v/>
      </c>
      <c r="F3897" s="316" t="str">
        <f>IFERROR(VLOOKUP(A3897,[3]DOORSCRIEFT!$A$2:$G$8551,6,FALSE),"")</f>
        <v/>
      </c>
      <c r="G3897" s="315"/>
    </row>
    <row r="3898" spans="1:7" x14ac:dyDescent="0.25">
      <c r="A3898" s="339" t="str">
        <f t="shared" si="112"/>
        <v>I.2.3.024</v>
      </c>
      <c r="B3898" s="319">
        <v>4</v>
      </c>
      <c r="C3898" s="319" t="str">
        <f>IFERROR(VLOOKUP(A3898,[3]DOORSCRIEFT!$A$2:$G$8551,2,FALSE),"")</f>
        <v/>
      </c>
      <c r="D3898" s="318" t="str">
        <f>IFERROR(VLOOKUP(A3898,[3]DOORSCRIEFT!$A$2:$G$8551,3,FALSE),"")</f>
        <v/>
      </c>
      <c r="E3898" s="317" t="str">
        <f>IFERROR(VLOOKUP(A3898,[3]DOORSCRIEFT!$A$2:$G$8551,4,FALSE),"")</f>
        <v/>
      </c>
      <c r="F3898" s="316" t="str">
        <f>IFERROR(VLOOKUP(A3898,[3]DOORSCRIEFT!$A$2:$G$8551,6,FALSE),"")</f>
        <v/>
      </c>
      <c r="G3898" s="315"/>
    </row>
    <row r="3899" spans="1:7" x14ac:dyDescent="0.25">
      <c r="A3899" s="339" t="str">
        <f t="shared" si="112"/>
        <v>I.2.3.025</v>
      </c>
      <c r="B3899" s="319">
        <v>5</v>
      </c>
      <c r="C3899" s="319" t="str">
        <f>IFERROR(VLOOKUP(A3899,[3]DOORSCRIEFT!$A$2:$G$8551,2,FALSE),"")</f>
        <v/>
      </c>
      <c r="D3899" s="318" t="str">
        <f>IFERROR(VLOOKUP(A3899,[3]DOORSCRIEFT!$A$2:$G$8551,3,FALSE),"")</f>
        <v/>
      </c>
      <c r="E3899" s="317" t="str">
        <f>IFERROR(VLOOKUP(A3899,[3]DOORSCRIEFT!$A$2:$G$8551,4,FALSE),"")</f>
        <v/>
      </c>
      <c r="F3899" s="316" t="str">
        <f>IFERROR(VLOOKUP(A3899,[3]DOORSCRIEFT!$A$2:$G$8551,6,FALSE),"")</f>
        <v/>
      </c>
      <c r="G3899" s="315"/>
    </row>
    <row r="3900" spans="1:7" x14ac:dyDescent="0.25">
      <c r="A3900" s="339" t="str">
        <f t="shared" si="112"/>
        <v>I.2.3.026</v>
      </c>
      <c r="B3900" s="319">
        <v>6</v>
      </c>
      <c r="C3900" s="319" t="str">
        <f>IFERROR(VLOOKUP(A3900,[3]DOORSCRIEFT!$A$2:$G$8551,2,FALSE),"")</f>
        <v/>
      </c>
      <c r="D3900" s="318" t="str">
        <f>IFERROR(VLOOKUP(A3900,[3]DOORSCRIEFT!$A$2:$G$8551,3,FALSE),"")</f>
        <v/>
      </c>
      <c r="E3900" s="317" t="str">
        <f>IFERROR(VLOOKUP(A3900,[3]DOORSCRIEFT!$A$2:$G$8551,4,FALSE),"")</f>
        <v/>
      </c>
      <c r="F3900" s="316" t="str">
        <f>IFERROR(VLOOKUP(A3900,[3]DOORSCRIEFT!$A$2:$G$8551,6,FALSE),"")</f>
        <v/>
      </c>
      <c r="G3900" s="315"/>
    </row>
    <row r="3901" spans="1:7" x14ac:dyDescent="0.25">
      <c r="A3901" s="339" t="str">
        <f t="shared" si="112"/>
        <v>I.2.3.027</v>
      </c>
      <c r="B3901" s="319">
        <v>7</v>
      </c>
      <c r="C3901" s="319" t="str">
        <f>IFERROR(VLOOKUP(A3901,[3]DOORSCRIEFT!$A$2:$G$8551,2,FALSE),"")</f>
        <v/>
      </c>
      <c r="D3901" s="318" t="str">
        <f>IFERROR(VLOOKUP(A3901,[3]DOORSCRIEFT!$A$2:$G$8551,3,FALSE),"")</f>
        <v/>
      </c>
      <c r="E3901" s="317" t="str">
        <f>IFERROR(VLOOKUP(A3901,[3]DOORSCRIEFT!$A$2:$G$8551,4,FALSE),"")</f>
        <v/>
      </c>
      <c r="F3901" s="316" t="str">
        <f>IFERROR(VLOOKUP(A3901,[3]DOORSCRIEFT!$A$2:$G$8551,6,FALSE),"")</f>
        <v/>
      </c>
      <c r="G3901" s="315"/>
    </row>
    <row r="3902" spans="1:7" x14ac:dyDescent="0.25">
      <c r="A3902" s="339" t="str">
        <f t="shared" si="112"/>
        <v>I.2.3.028</v>
      </c>
      <c r="B3902" s="319">
        <v>8</v>
      </c>
      <c r="C3902" s="319" t="str">
        <f>IFERROR(VLOOKUP(A3902,[3]DOORSCRIEFT!$A$2:$G$8551,2,FALSE),"")</f>
        <v/>
      </c>
      <c r="D3902" s="318" t="str">
        <f>IFERROR(VLOOKUP(A3902,[3]DOORSCRIEFT!$A$2:$G$8551,3,FALSE),"")</f>
        <v/>
      </c>
      <c r="E3902" s="317" t="str">
        <f>IFERROR(VLOOKUP(A3902,[3]DOORSCRIEFT!$A$2:$G$8551,4,FALSE),"")</f>
        <v/>
      </c>
      <c r="F3902" s="316" t="str">
        <f>IFERROR(VLOOKUP(A3902,[3]DOORSCRIEFT!$A$2:$G$8551,6,FALSE),"")</f>
        <v/>
      </c>
      <c r="G3902" s="315"/>
    </row>
    <row r="3903" spans="1:7" x14ac:dyDescent="0.25">
      <c r="A3903" s="339" t="str">
        <f t="shared" si="112"/>
        <v>I.2.3.029</v>
      </c>
      <c r="B3903" s="319">
        <v>9</v>
      </c>
      <c r="C3903" s="319" t="str">
        <f>IFERROR(VLOOKUP(A3903,[3]DOORSCRIEFT!$A$2:$G$8551,2,FALSE),"")</f>
        <v/>
      </c>
      <c r="D3903" s="318" t="str">
        <f>IFERROR(VLOOKUP(A3903,[3]DOORSCRIEFT!$A$2:$G$8551,3,FALSE),"")</f>
        <v/>
      </c>
      <c r="E3903" s="317" t="str">
        <f>IFERROR(VLOOKUP(A3903,[3]DOORSCRIEFT!$A$2:$G$8551,4,FALSE),"")</f>
        <v/>
      </c>
      <c r="F3903" s="316" t="str">
        <f>IFERROR(VLOOKUP(A3903,[3]DOORSCRIEFT!$A$2:$G$8551,6,FALSE),"")</f>
        <v/>
      </c>
      <c r="G3903" s="315"/>
    </row>
    <row r="3904" spans="1:7" x14ac:dyDescent="0.25">
      <c r="A3904" s="339" t="str">
        <f t="shared" si="112"/>
        <v>I.2.3.0210</v>
      </c>
      <c r="B3904" s="319">
        <v>10</v>
      </c>
      <c r="C3904" s="319" t="str">
        <f>IFERROR(VLOOKUP(A3904,[3]DOORSCRIEFT!$A$2:$G$8551,2,FALSE),"")</f>
        <v/>
      </c>
      <c r="D3904" s="318" t="str">
        <f>IFERROR(VLOOKUP(A3904,[3]DOORSCRIEFT!$A$2:$G$8551,3,FALSE),"")</f>
        <v/>
      </c>
      <c r="E3904" s="317" t="str">
        <f>IFERROR(VLOOKUP(A3904,[3]DOORSCRIEFT!$A$2:$G$8551,4,FALSE),"")</f>
        <v/>
      </c>
      <c r="F3904" s="316" t="str">
        <f>IFERROR(VLOOKUP(A3904,[3]DOORSCRIEFT!$A$2:$G$8551,6,FALSE),"")</f>
        <v/>
      </c>
      <c r="G3904" s="315"/>
    </row>
    <row r="3905" spans="1:7" x14ac:dyDescent="0.25">
      <c r="A3905" s="339" t="str">
        <f t="shared" si="112"/>
        <v>I.2.3.0211</v>
      </c>
      <c r="B3905" s="319">
        <v>11</v>
      </c>
      <c r="C3905" s="319" t="str">
        <f>IFERROR(VLOOKUP(A3905,[3]DOORSCRIEFT!$A$2:$G$8551,2,FALSE),"")</f>
        <v/>
      </c>
      <c r="D3905" s="318" t="str">
        <f>IFERROR(VLOOKUP(A3905,[3]DOORSCRIEFT!$A$2:$G$8551,3,FALSE),"")</f>
        <v/>
      </c>
      <c r="E3905" s="317" t="str">
        <f>IFERROR(VLOOKUP(A3905,[3]DOORSCRIEFT!$A$2:$G$8551,4,FALSE),"")</f>
        <v/>
      </c>
      <c r="F3905" s="316" t="str">
        <f>IFERROR(VLOOKUP(A3905,[3]DOORSCRIEFT!$A$2:$G$8551,6,FALSE),"")</f>
        <v/>
      </c>
      <c r="G3905" s="315"/>
    </row>
    <row r="3906" spans="1:7" x14ac:dyDescent="0.25">
      <c r="A3906" s="339" t="str">
        <f t="shared" si="112"/>
        <v>I.2.3.0212</v>
      </c>
      <c r="B3906" s="319">
        <v>12</v>
      </c>
      <c r="C3906" s="319" t="str">
        <f>IFERROR(VLOOKUP(A3906,[3]DOORSCRIEFT!$A$2:$G$8551,2,FALSE),"")</f>
        <v/>
      </c>
      <c r="D3906" s="318" t="str">
        <f>IFERROR(VLOOKUP(A3906,[3]DOORSCRIEFT!$A$2:$G$8551,3,FALSE),"")</f>
        <v/>
      </c>
      <c r="E3906" s="317" t="str">
        <f>IFERROR(VLOOKUP(A3906,[3]DOORSCRIEFT!$A$2:$G$8551,4,FALSE),"")</f>
        <v/>
      </c>
      <c r="F3906" s="316" t="str">
        <f>IFERROR(VLOOKUP(A3906,[3]DOORSCRIEFT!$A$2:$G$8551,6,FALSE),"")</f>
        <v/>
      </c>
      <c r="G3906" s="315"/>
    </row>
    <row r="3907" spans="1:7" x14ac:dyDescent="0.25">
      <c r="A3907" s="339" t="str">
        <f t="shared" si="112"/>
        <v>I.2.3.0213</v>
      </c>
      <c r="B3907" s="319">
        <v>13</v>
      </c>
      <c r="C3907" s="319" t="str">
        <f>IFERROR(VLOOKUP(A3907,[3]DOORSCRIEFT!$A$2:$G$8551,2,FALSE),"")</f>
        <v/>
      </c>
      <c r="D3907" s="318" t="str">
        <f>IFERROR(VLOOKUP(A3907,[3]DOORSCRIEFT!$A$2:$G$8551,3,FALSE),"")</f>
        <v/>
      </c>
      <c r="E3907" s="317" t="str">
        <f>IFERROR(VLOOKUP(A3907,[3]DOORSCRIEFT!$A$2:$G$8551,4,FALSE),"")</f>
        <v/>
      </c>
      <c r="F3907" s="316" t="str">
        <f>IFERROR(VLOOKUP(A3907,[3]DOORSCRIEFT!$A$2:$G$8551,6,FALSE),"")</f>
        <v/>
      </c>
      <c r="G3907" s="315"/>
    </row>
    <row r="3908" spans="1:7" x14ac:dyDescent="0.25">
      <c r="A3908" s="339" t="str">
        <f t="shared" si="112"/>
        <v>I.2.3.0214</v>
      </c>
      <c r="B3908" s="319">
        <v>14</v>
      </c>
      <c r="C3908" s="319" t="str">
        <f>IFERROR(VLOOKUP(A3908,[3]DOORSCRIEFT!$A$2:$G$8551,2,FALSE),"")</f>
        <v/>
      </c>
      <c r="D3908" s="318" t="str">
        <f>IFERROR(VLOOKUP(A3908,[3]DOORSCRIEFT!$A$2:$G$8551,3,FALSE),"")</f>
        <v/>
      </c>
      <c r="E3908" s="317" t="str">
        <f>IFERROR(VLOOKUP(A3908,[3]DOORSCRIEFT!$A$2:$G$8551,4,FALSE),"")</f>
        <v/>
      </c>
      <c r="F3908" s="316" t="str">
        <f>IFERROR(VLOOKUP(A3908,[3]DOORSCRIEFT!$A$2:$G$8551,6,FALSE),"")</f>
        <v/>
      </c>
      <c r="G3908" s="315"/>
    </row>
    <row r="3909" spans="1:7" ht="15.75" thickBot="1" x14ac:dyDescent="0.3">
      <c r="A3909" s="353" t="str">
        <f t="shared" si="112"/>
        <v>I.2.3.0215</v>
      </c>
      <c r="B3909" s="345">
        <v>15</v>
      </c>
      <c r="C3909" s="319" t="str">
        <f>IFERROR(VLOOKUP(A3909,[3]DOORSCRIEFT!$A$2:$G$8551,2,FALSE),"")</f>
        <v/>
      </c>
      <c r="D3909" s="318" t="str">
        <f>IFERROR(VLOOKUP(A3909,[3]DOORSCRIEFT!$A$2:$G$8551,3,FALSE),"")</f>
        <v/>
      </c>
      <c r="E3909" s="317" t="str">
        <f>IFERROR(VLOOKUP(A3909,[3]DOORSCRIEFT!$A$2:$G$8551,4,FALSE),"")</f>
        <v/>
      </c>
      <c r="F3909" s="316" t="str">
        <f>IFERROR(VLOOKUP(A3909,[3]DOORSCRIEFT!$A$2:$G$8551,6,FALSE),"")</f>
        <v/>
      </c>
      <c r="G3909" s="315"/>
    </row>
    <row r="3910" spans="1:7" ht="15.75" thickBot="1" x14ac:dyDescent="0.3">
      <c r="A3910" s="314"/>
      <c r="B3910" s="312"/>
      <c r="C3910" s="336"/>
      <c r="D3910" s="312"/>
      <c r="E3910" s="311" t="s">
        <v>644</v>
      </c>
      <c r="F3910" s="310">
        <f>SUM(F3895:F3909)</f>
        <v>0</v>
      </c>
      <c r="G3910" s="309">
        <f>SUM(G3895:G3909)</f>
        <v>0</v>
      </c>
    </row>
    <row r="3911" spans="1:7" x14ac:dyDescent="0.25">
      <c r="C3911" s="335"/>
    </row>
    <row r="3912" spans="1:7" x14ac:dyDescent="0.25">
      <c r="C3912" s="335"/>
    </row>
    <row r="3913" spans="1:7" ht="15.75" x14ac:dyDescent="0.25">
      <c r="C3913" s="334"/>
      <c r="D3913" s="333"/>
      <c r="E3913" s="332"/>
      <c r="F3913" s="327" t="s">
        <v>607</v>
      </c>
      <c r="G3913" s="327" t="s">
        <v>408</v>
      </c>
    </row>
    <row r="3914" spans="1:7" ht="15.75" x14ac:dyDescent="0.25">
      <c r="C3914" s="334"/>
      <c r="D3914" s="333"/>
      <c r="E3914" s="332"/>
      <c r="F3914" s="327" t="s">
        <v>601</v>
      </c>
      <c r="G3914" s="327" t="s">
        <v>263</v>
      </c>
    </row>
    <row r="3915" spans="1:7" x14ac:dyDescent="0.25">
      <c r="C3915" s="330"/>
      <c r="D3915" s="329"/>
      <c r="E3915" s="328"/>
      <c r="F3915" s="327" t="s">
        <v>651</v>
      </c>
      <c r="G3915" s="331">
        <f>[2]Sheet1!$D$98</f>
        <v>19750000</v>
      </c>
    </row>
    <row r="3916" spans="1:7" ht="15.75" thickBot="1" x14ac:dyDescent="0.3">
      <c r="C3916" s="330"/>
      <c r="D3916" s="329"/>
      <c r="E3916" s="328"/>
      <c r="F3916" s="327" t="s">
        <v>650</v>
      </c>
      <c r="G3916" s="326">
        <f>+F3978-G3915</f>
        <v>-5900000</v>
      </c>
    </row>
    <row r="3917" spans="1:7" x14ac:dyDescent="0.25">
      <c r="A3917" s="571" t="s">
        <v>626</v>
      </c>
      <c r="B3917" s="573" t="s">
        <v>606</v>
      </c>
      <c r="C3917" s="588" t="s">
        <v>649</v>
      </c>
      <c r="D3917" s="577" t="s">
        <v>648</v>
      </c>
      <c r="E3917" s="577" t="s">
        <v>647</v>
      </c>
      <c r="F3917" s="577" t="s">
        <v>646</v>
      </c>
      <c r="G3917" s="580" t="s">
        <v>645</v>
      </c>
    </row>
    <row r="3918" spans="1:7" ht="15.75" thickBot="1" x14ac:dyDescent="0.3">
      <c r="A3918" s="572"/>
      <c r="B3918" s="574"/>
      <c r="C3918" s="589"/>
      <c r="D3918" s="586"/>
      <c r="E3918" s="586"/>
      <c r="F3918" s="586"/>
      <c r="G3918" s="587"/>
    </row>
    <row r="3919" spans="1:7" ht="15.75" thickBot="1" x14ac:dyDescent="0.3">
      <c r="A3919" s="325">
        <v>1</v>
      </c>
      <c r="B3919" s="324">
        <v>2</v>
      </c>
      <c r="C3919" s="324">
        <v>3</v>
      </c>
      <c r="D3919" s="324">
        <v>4</v>
      </c>
      <c r="E3919" s="324">
        <v>5</v>
      </c>
      <c r="F3919" s="324">
        <v>6</v>
      </c>
      <c r="G3919" s="323">
        <v>7</v>
      </c>
    </row>
    <row r="3920" spans="1:7" x14ac:dyDescent="0.25">
      <c r="A3920" s="360" t="str">
        <f t="shared" ref="A3920:A3951" si="113">$G$3913&amp;B3920</f>
        <v>I.2.4.011</v>
      </c>
      <c r="B3920" s="339">
        <v>1</v>
      </c>
      <c r="C3920" s="319">
        <f>IFERROR(VLOOKUP(A3920,[3]DOORSCRIEFT!$A$2:$G$8551,2,FALSE),"")</f>
        <v>59</v>
      </c>
      <c r="D3920" s="318">
        <f>IFERROR(VLOOKUP(A3920,[3]DOORSCRIEFT!$A$2:$G$8551,3,FALSE),"")</f>
        <v>46038</v>
      </c>
      <c r="E3920" s="317" t="str">
        <f>IFERROR(VLOOKUP(A3920,[3]DOORSCRIEFT!$A$2:$G$8551,4,FALSE),"")</f>
        <v>Admin Nikah Kel. Tahalea Pattirane</v>
      </c>
      <c r="F3920" s="316">
        <f>IFERROR(VLOOKUP(A3920,[3]DOORSCRIEFT!$A$2:$G$8551,6,FALSE),"")</f>
        <v>500000</v>
      </c>
      <c r="G3920" s="322"/>
    </row>
    <row r="3921" spans="1:7" x14ac:dyDescent="0.25">
      <c r="A3921" s="360" t="str">
        <f t="shared" si="113"/>
        <v>I.2.4.012</v>
      </c>
      <c r="B3921" s="319">
        <v>2</v>
      </c>
      <c r="C3921" s="319">
        <f>IFERROR(VLOOKUP(A3921,[3]DOORSCRIEFT!$A$2:$G$8551,2,FALSE),"")</f>
        <v>190</v>
      </c>
      <c r="D3921" s="318">
        <f>IFERROR(VLOOKUP(A3921,[3]DOORSCRIEFT!$A$2:$G$8551,3,FALSE),"")</f>
        <v>46061</v>
      </c>
      <c r="E3921" s="317" t="str">
        <f>IFERROR(VLOOKUP(A3921,[3]DOORSCRIEFT!$A$2:$G$8551,4,FALSE),"")</f>
        <v>Admin Nikah Kel. Harmusial, Pattipawae dan Kel. Tahapary</v>
      </c>
      <c r="F3921" s="316">
        <f>IFERROR(VLOOKUP(A3921,[3]DOORSCRIEFT!$A$2:$G$8551,6,FALSE),"")</f>
        <v>1500000</v>
      </c>
      <c r="G3921" s="315"/>
    </row>
    <row r="3922" spans="1:7" x14ac:dyDescent="0.25">
      <c r="A3922" s="360" t="str">
        <f t="shared" si="113"/>
        <v>I.2.4.013</v>
      </c>
      <c r="B3922" s="319">
        <v>3</v>
      </c>
      <c r="C3922" s="319">
        <f>IFERROR(VLOOKUP(A3922,[3]DOORSCRIEFT!$A$2:$G$8551,2,FALSE),"")</f>
        <v>231</v>
      </c>
      <c r="D3922" s="318">
        <f>IFERROR(VLOOKUP(A3922,[3]DOORSCRIEFT!$A$2:$G$8551,3,FALSE),"")</f>
        <v>46075</v>
      </c>
      <c r="E3922" s="317" t="str">
        <f>IFERROR(VLOOKUP(A3922,[3]DOORSCRIEFT!$A$2:$G$8551,4,FALSE),"")</f>
        <v>Biaya Administrasi Baptis dan Nikah</v>
      </c>
      <c r="F3922" s="316">
        <f>IFERROR(VLOOKUP(A3922,[3]DOORSCRIEFT!$A$2:$G$8551,6,FALSE),"")</f>
        <v>1700000</v>
      </c>
      <c r="G3922" s="315"/>
    </row>
    <row r="3923" spans="1:7" x14ac:dyDescent="0.25">
      <c r="A3923" s="360" t="str">
        <f t="shared" si="113"/>
        <v>I.2.4.014</v>
      </c>
      <c r="B3923" s="319">
        <v>4</v>
      </c>
      <c r="C3923" s="319">
        <f>IFERROR(VLOOKUP(A3923,[3]DOORSCRIEFT!$A$2:$G$8551,2,FALSE),"")</f>
        <v>330</v>
      </c>
      <c r="D3923" s="318">
        <f>IFERROR(VLOOKUP(A3923,[3]DOORSCRIEFT!$A$2:$G$8551,3,FALSE),"")</f>
        <v>46089</v>
      </c>
      <c r="E3923" s="317" t="str">
        <f>IFERROR(VLOOKUP(A3923,[3]DOORSCRIEFT!$A$2:$G$8551,4,FALSE),"")</f>
        <v>Admin Baptis Kel. teriraun</v>
      </c>
      <c r="F3923" s="316">
        <f>IFERROR(VLOOKUP(A3923,[3]DOORSCRIEFT!$A$2:$G$8551,6,FALSE),"")</f>
        <v>100000</v>
      </c>
      <c r="G3923" s="315"/>
    </row>
    <row r="3924" spans="1:7" x14ac:dyDescent="0.25">
      <c r="A3924" s="360" t="str">
        <f t="shared" si="113"/>
        <v>I.2.4.015</v>
      </c>
      <c r="B3924" s="319">
        <v>5</v>
      </c>
      <c r="C3924" s="319">
        <f>IFERROR(VLOOKUP(A3924,[3]DOORSCRIEFT!$A$2:$G$8551,2,FALSE),"")</f>
        <v>331</v>
      </c>
      <c r="D3924" s="318">
        <f>IFERROR(VLOOKUP(A3924,[3]DOORSCRIEFT!$A$2:$G$8551,3,FALSE),"")</f>
        <v>46089</v>
      </c>
      <c r="E3924" s="317" t="str">
        <f>IFERROR(VLOOKUP(A3924,[3]DOORSCRIEFT!$A$2:$G$8551,4,FALSE),"")</f>
        <v>Admin Nikah Kel. Manuputty/Tatipata dan Kel. Siahaya/Sahalessy</v>
      </c>
      <c r="F3924" s="316">
        <f>IFERROR(VLOOKUP(A3924,[3]DOORSCRIEFT!$A$2:$G$8551,6,FALSE),"")</f>
        <v>1750000</v>
      </c>
      <c r="G3924" s="315"/>
    </row>
    <row r="3925" spans="1:7" x14ac:dyDescent="0.25">
      <c r="A3925" s="360" t="str">
        <f t="shared" si="113"/>
        <v>I.2.4.016</v>
      </c>
      <c r="B3925" s="319">
        <v>6</v>
      </c>
      <c r="C3925" s="319">
        <f>IFERROR(VLOOKUP(A3925,[3]DOORSCRIEFT!$A$2:$G$8551,2,FALSE),"")</f>
        <v>388</v>
      </c>
      <c r="D3925" s="318">
        <f>IFERROR(VLOOKUP(A3925,[3]DOORSCRIEFT!$A$2:$G$8551,3,FALSE),"")</f>
        <v>46101</v>
      </c>
      <c r="E3925" s="317" t="str">
        <f>IFERROR(VLOOKUP(A3925,[3]DOORSCRIEFT!$A$2:$G$8551,4,FALSE),"")</f>
        <v>Administrasi Baptis Kel. Tahapary</v>
      </c>
      <c r="F3925" s="316">
        <f>IFERROR(VLOOKUP(A3925,[3]DOORSCRIEFT!$A$2:$G$8551,6,FALSE),"")</f>
        <v>100000</v>
      </c>
      <c r="G3925" s="315"/>
    </row>
    <row r="3926" spans="1:7" x14ac:dyDescent="0.25">
      <c r="A3926" s="360" t="str">
        <f t="shared" si="113"/>
        <v>I.2.4.017</v>
      </c>
      <c r="B3926" s="319">
        <v>7</v>
      </c>
      <c r="C3926" s="319">
        <f>IFERROR(VLOOKUP(A3926,[3]DOORSCRIEFT!$A$2:$G$8551,2,FALSE),"")</f>
        <v>389</v>
      </c>
      <c r="D3926" s="318">
        <f>IFERROR(VLOOKUP(A3926,[3]DOORSCRIEFT!$A$2:$G$8551,3,FALSE),"")</f>
        <v>46101</v>
      </c>
      <c r="E3926" s="317" t="str">
        <f>IFERROR(VLOOKUP(A3926,[3]DOORSCRIEFT!$A$2:$G$8551,4,FALSE),"")</f>
        <v>Administrasi Nikah Kel. Teslatu dan Kel. da Costa</v>
      </c>
      <c r="F3926" s="316">
        <f>IFERROR(VLOOKUP(A3926,[3]DOORSCRIEFT!$A$2:$G$8551,6,FALSE),"")</f>
        <v>2000000</v>
      </c>
      <c r="G3926" s="315"/>
    </row>
    <row r="3927" spans="1:7" x14ac:dyDescent="0.25">
      <c r="A3927" s="360" t="str">
        <f t="shared" si="113"/>
        <v>I.2.4.018</v>
      </c>
      <c r="B3927" s="319">
        <v>8</v>
      </c>
      <c r="C3927" s="319">
        <f>IFERROR(VLOOKUP(A3927,[3]DOORSCRIEFT!$A$2:$G$8551,2,FALSE),"")</f>
        <v>437</v>
      </c>
      <c r="D3927" s="318">
        <f>IFERROR(VLOOKUP(A3927,[3]DOORSCRIEFT!$A$2:$G$8551,3,FALSE),"")</f>
        <v>46103</v>
      </c>
      <c r="E3927" s="317" t="str">
        <f>IFERROR(VLOOKUP(A3927,[3]DOORSCRIEFT!$A$2:$G$8551,4,FALSE),"")</f>
        <v>Admin Baptis 1 anak dan admin sidi 62 anak</v>
      </c>
      <c r="F3927" s="316">
        <f>IFERROR(VLOOKUP(A3927,[3]DOORSCRIEFT!$A$2:$G$8551,6,FALSE),"")</f>
        <v>6100000</v>
      </c>
      <c r="G3927" s="315"/>
    </row>
    <row r="3928" spans="1:7" x14ac:dyDescent="0.25">
      <c r="A3928" s="360" t="str">
        <f t="shared" si="113"/>
        <v>I.2.4.019</v>
      </c>
      <c r="B3928" s="319">
        <v>9</v>
      </c>
      <c r="C3928" s="319">
        <f>IFERROR(VLOOKUP(A3928,[3]DOORSCRIEFT!$A$2:$G$8551,2,FALSE),"")</f>
        <v>472</v>
      </c>
      <c r="D3928" s="318">
        <f>IFERROR(VLOOKUP(A3928,[3]DOORSCRIEFT!$A$2:$G$8551,3,FALSE),"")</f>
        <v>46115</v>
      </c>
      <c r="E3928" s="317">
        <f>IFERROR(VLOOKUP(A3928,[3]DOORSCRIEFT!$A$2:$G$8551,4,FALSE),"")</f>
        <v>0</v>
      </c>
      <c r="F3928" s="316">
        <f>IFERROR(VLOOKUP(A3928,[3]DOORSCRIEFT!$A$2:$G$8551,6,FALSE),"")</f>
        <v>100000</v>
      </c>
      <c r="G3928" s="315"/>
    </row>
    <row r="3929" spans="1:7" x14ac:dyDescent="0.25">
      <c r="A3929" s="360" t="str">
        <f t="shared" si="113"/>
        <v>I.2.4.0110</v>
      </c>
      <c r="B3929" s="319">
        <v>10</v>
      </c>
      <c r="C3929" s="319" t="str">
        <f>IFERROR(VLOOKUP(A3929,[3]DOORSCRIEFT!$A$2:$G$8551,2,FALSE),"")</f>
        <v/>
      </c>
      <c r="D3929" s="318" t="str">
        <f>IFERROR(VLOOKUP(A3929,[3]DOORSCRIEFT!$A$2:$G$8551,3,FALSE),"")</f>
        <v/>
      </c>
      <c r="E3929" s="317" t="str">
        <f>IFERROR(VLOOKUP(A3929,[3]DOORSCRIEFT!$A$2:$G$8551,4,FALSE),"")</f>
        <v/>
      </c>
      <c r="F3929" s="316" t="str">
        <f>IFERROR(VLOOKUP(A3929,[3]DOORSCRIEFT!$A$2:$G$8551,6,FALSE),"")</f>
        <v/>
      </c>
      <c r="G3929" s="315"/>
    </row>
    <row r="3930" spans="1:7" x14ac:dyDescent="0.25">
      <c r="A3930" s="360" t="str">
        <f t="shared" si="113"/>
        <v>I.2.4.0111</v>
      </c>
      <c r="B3930" s="319">
        <v>11</v>
      </c>
      <c r="C3930" s="319" t="str">
        <f>IFERROR(VLOOKUP(A3930,[3]DOORSCRIEFT!$A$2:$G$8551,2,FALSE),"")</f>
        <v/>
      </c>
      <c r="D3930" s="318" t="str">
        <f>IFERROR(VLOOKUP(A3930,[3]DOORSCRIEFT!$A$2:$G$8551,3,FALSE),"")</f>
        <v/>
      </c>
      <c r="E3930" s="317" t="str">
        <f>IFERROR(VLOOKUP(A3930,[3]DOORSCRIEFT!$A$2:$G$8551,4,FALSE),"")</f>
        <v/>
      </c>
      <c r="F3930" s="316" t="str">
        <f>IFERROR(VLOOKUP(A3930,[3]DOORSCRIEFT!$A$2:$G$8551,6,FALSE),"")</f>
        <v/>
      </c>
      <c r="G3930" s="315"/>
    </row>
    <row r="3931" spans="1:7" x14ac:dyDescent="0.25">
      <c r="A3931" s="360" t="str">
        <f t="shared" si="113"/>
        <v>I.2.4.0112</v>
      </c>
      <c r="B3931" s="319">
        <v>12</v>
      </c>
      <c r="C3931" s="319" t="str">
        <f>IFERROR(VLOOKUP(A3931,[3]DOORSCRIEFT!$A$2:$G$8551,2,FALSE),"")</f>
        <v/>
      </c>
      <c r="D3931" s="318" t="str">
        <f>IFERROR(VLOOKUP(A3931,[3]DOORSCRIEFT!$A$2:$G$8551,3,FALSE),"")</f>
        <v/>
      </c>
      <c r="E3931" s="317" t="str">
        <f>IFERROR(VLOOKUP(A3931,[3]DOORSCRIEFT!$A$2:$G$8551,4,FALSE),"")</f>
        <v/>
      </c>
      <c r="F3931" s="316" t="str">
        <f>IFERROR(VLOOKUP(A3931,[3]DOORSCRIEFT!$A$2:$G$8551,6,FALSE),"")</f>
        <v/>
      </c>
      <c r="G3931" s="315"/>
    </row>
    <row r="3932" spans="1:7" x14ac:dyDescent="0.25">
      <c r="A3932" s="360" t="str">
        <f t="shared" si="113"/>
        <v>I.2.4.0113</v>
      </c>
      <c r="B3932" s="319">
        <v>13</v>
      </c>
      <c r="C3932" s="319" t="str">
        <f>IFERROR(VLOOKUP(A3932,[3]DOORSCRIEFT!$A$2:$G$8551,2,FALSE),"")</f>
        <v/>
      </c>
      <c r="D3932" s="318" t="str">
        <f>IFERROR(VLOOKUP(A3932,[3]DOORSCRIEFT!$A$2:$G$8551,3,FALSE),"")</f>
        <v/>
      </c>
      <c r="E3932" s="317" t="str">
        <f>IFERROR(VLOOKUP(A3932,[3]DOORSCRIEFT!$A$2:$G$8551,4,FALSE),"")</f>
        <v/>
      </c>
      <c r="F3932" s="316" t="str">
        <f>IFERROR(VLOOKUP(A3932,[3]DOORSCRIEFT!$A$2:$G$8551,6,FALSE),"")</f>
        <v/>
      </c>
      <c r="G3932" s="315"/>
    </row>
    <row r="3933" spans="1:7" x14ac:dyDescent="0.25">
      <c r="A3933" s="360" t="str">
        <f t="shared" si="113"/>
        <v>I.2.4.0114</v>
      </c>
      <c r="B3933" s="319">
        <v>14</v>
      </c>
      <c r="C3933" s="319" t="str">
        <f>IFERROR(VLOOKUP(A3933,[3]DOORSCRIEFT!$A$2:$G$8551,2,FALSE),"")</f>
        <v/>
      </c>
      <c r="D3933" s="318" t="str">
        <f>IFERROR(VLOOKUP(A3933,[3]DOORSCRIEFT!$A$2:$G$8551,3,FALSE),"")</f>
        <v/>
      </c>
      <c r="E3933" s="317" t="str">
        <f>IFERROR(VLOOKUP(A3933,[3]DOORSCRIEFT!$A$2:$G$8551,4,FALSE),"")</f>
        <v/>
      </c>
      <c r="F3933" s="316" t="str">
        <f>IFERROR(VLOOKUP(A3933,[3]DOORSCRIEFT!$A$2:$G$8551,6,FALSE),"")</f>
        <v/>
      </c>
      <c r="G3933" s="315"/>
    </row>
    <row r="3934" spans="1:7" x14ac:dyDescent="0.25">
      <c r="A3934" s="360" t="str">
        <f t="shared" si="113"/>
        <v>I.2.4.0115</v>
      </c>
      <c r="B3934" s="319">
        <v>15</v>
      </c>
      <c r="C3934" s="319" t="str">
        <f>IFERROR(VLOOKUP(A3934,[3]DOORSCRIEFT!$A$2:$G$8551,2,FALSE),"")</f>
        <v/>
      </c>
      <c r="D3934" s="318" t="str">
        <f>IFERROR(VLOOKUP(A3934,[3]DOORSCRIEFT!$A$2:$G$8551,3,FALSE),"")</f>
        <v/>
      </c>
      <c r="E3934" s="317" t="str">
        <f>IFERROR(VLOOKUP(A3934,[3]DOORSCRIEFT!$A$2:$G$8551,4,FALSE),"")</f>
        <v/>
      </c>
      <c r="F3934" s="316" t="str">
        <f>IFERROR(VLOOKUP(A3934,[3]DOORSCRIEFT!$A$2:$G$8551,6,FALSE),"")</f>
        <v/>
      </c>
      <c r="G3934" s="315"/>
    </row>
    <row r="3935" spans="1:7" x14ac:dyDescent="0.25">
      <c r="A3935" s="360" t="str">
        <f t="shared" si="113"/>
        <v>I.2.4.0116</v>
      </c>
      <c r="B3935" s="319">
        <v>16</v>
      </c>
      <c r="C3935" s="319" t="str">
        <f>IFERROR(VLOOKUP(A3935,[3]DOORSCRIEFT!$A$2:$G$8551,2,FALSE),"")</f>
        <v/>
      </c>
      <c r="D3935" s="318" t="str">
        <f>IFERROR(VLOOKUP(A3935,[3]DOORSCRIEFT!$A$2:$G$8551,3,FALSE),"")</f>
        <v/>
      </c>
      <c r="E3935" s="317" t="str">
        <f>IFERROR(VLOOKUP(A3935,[3]DOORSCRIEFT!$A$2:$G$8551,4,FALSE),"")</f>
        <v/>
      </c>
      <c r="F3935" s="316" t="str">
        <f>IFERROR(VLOOKUP(A3935,[3]DOORSCRIEFT!$A$2:$G$8551,6,FALSE),"")</f>
        <v/>
      </c>
      <c r="G3935" s="315"/>
    </row>
    <row r="3936" spans="1:7" x14ac:dyDescent="0.25">
      <c r="A3936" s="360" t="str">
        <f t="shared" si="113"/>
        <v>I.2.4.0117</v>
      </c>
      <c r="B3936" s="319">
        <v>17</v>
      </c>
      <c r="C3936" s="319" t="str">
        <f>IFERROR(VLOOKUP(A3936,[3]DOORSCRIEFT!$A$2:$G$8551,2,FALSE),"")</f>
        <v/>
      </c>
      <c r="D3936" s="318" t="str">
        <f>IFERROR(VLOOKUP(A3936,[3]DOORSCRIEFT!$A$2:$G$8551,3,FALSE),"")</f>
        <v/>
      </c>
      <c r="E3936" s="317" t="str">
        <f>IFERROR(VLOOKUP(A3936,[3]DOORSCRIEFT!$A$2:$G$8551,4,FALSE),"")</f>
        <v/>
      </c>
      <c r="F3936" s="316" t="str">
        <f>IFERROR(VLOOKUP(A3936,[3]DOORSCRIEFT!$A$2:$G$8551,6,FALSE),"")</f>
        <v/>
      </c>
      <c r="G3936" s="315"/>
    </row>
    <row r="3937" spans="1:7" x14ac:dyDescent="0.25">
      <c r="A3937" s="360" t="str">
        <f t="shared" si="113"/>
        <v>I.2.4.0118</v>
      </c>
      <c r="B3937" s="319">
        <v>18</v>
      </c>
      <c r="C3937" s="319" t="str">
        <f>IFERROR(VLOOKUP(A3937,[3]DOORSCRIEFT!$A$2:$G$8551,2,FALSE),"")</f>
        <v/>
      </c>
      <c r="D3937" s="318" t="str">
        <f>IFERROR(VLOOKUP(A3937,[3]DOORSCRIEFT!$A$2:$G$8551,3,FALSE),"")</f>
        <v/>
      </c>
      <c r="E3937" s="317" t="str">
        <f>IFERROR(VLOOKUP(A3937,[3]DOORSCRIEFT!$A$2:$G$8551,4,FALSE),"")</f>
        <v/>
      </c>
      <c r="F3937" s="316" t="str">
        <f>IFERROR(VLOOKUP(A3937,[3]DOORSCRIEFT!$A$2:$G$8551,6,FALSE),"")</f>
        <v/>
      </c>
      <c r="G3937" s="315"/>
    </row>
    <row r="3938" spans="1:7" x14ac:dyDescent="0.25">
      <c r="A3938" s="360" t="str">
        <f t="shared" si="113"/>
        <v>I.2.4.0119</v>
      </c>
      <c r="B3938" s="319">
        <v>19</v>
      </c>
      <c r="C3938" s="319" t="str">
        <f>IFERROR(VLOOKUP(A3938,[3]DOORSCRIEFT!$A$2:$G$8551,2,FALSE),"")</f>
        <v/>
      </c>
      <c r="D3938" s="318" t="str">
        <f>IFERROR(VLOOKUP(A3938,[3]DOORSCRIEFT!$A$2:$G$8551,3,FALSE),"")</f>
        <v/>
      </c>
      <c r="E3938" s="317" t="str">
        <f>IFERROR(VLOOKUP(A3938,[3]DOORSCRIEFT!$A$2:$G$8551,4,FALSE),"")</f>
        <v/>
      </c>
      <c r="F3938" s="316" t="str">
        <f>IFERROR(VLOOKUP(A3938,[3]DOORSCRIEFT!$A$2:$G$8551,6,FALSE),"")</f>
        <v/>
      </c>
      <c r="G3938" s="315"/>
    </row>
    <row r="3939" spans="1:7" x14ac:dyDescent="0.25">
      <c r="A3939" s="360" t="str">
        <f t="shared" si="113"/>
        <v>I.2.4.0120</v>
      </c>
      <c r="B3939" s="319">
        <v>20</v>
      </c>
      <c r="C3939" s="319" t="str">
        <f>IFERROR(VLOOKUP(A3939,[3]DOORSCRIEFT!$A$2:$G$8551,2,FALSE),"")</f>
        <v/>
      </c>
      <c r="D3939" s="318" t="str">
        <f>IFERROR(VLOOKUP(A3939,[3]DOORSCRIEFT!$A$2:$G$8551,3,FALSE),"")</f>
        <v/>
      </c>
      <c r="E3939" s="317" t="str">
        <f>IFERROR(VLOOKUP(A3939,[3]DOORSCRIEFT!$A$2:$G$8551,4,FALSE),"")</f>
        <v/>
      </c>
      <c r="F3939" s="316" t="str">
        <f>IFERROR(VLOOKUP(A3939,[3]DOORSCRIEFT!$A$2:$G$8551,6,FALSE),"")</f>
        <v/>
      </c>
      <c r="G3939" s="315"/>
    </row>
    <row r="3940" spans="1:7" x14ac:dyDescent="0.25">
      <c r="A3940" s="360" t="str">
        <f t="shared" si="113"/>
        <v>I.2.4.0121</v>
      </c>
      <c r="B3940" s="319">
        <v>21</v>
      </c>
      <c r="C3940" s="319" t="str">
        <f>IFERROR(VLOOKUP(A3940,[3]DOORSCRIEFT!$A$2:$G$8551,2,FALSE),"")</f>
        <v/>
      </c>
      <c r="D3940" s="318" t="str">
        <f>IFERROR(VLOOKUP(A3940,[3]DOORSCRIEFT!$A$2:$G$8551,3,FALSE),"")</f>
        <v/>
      </c>
      <c r="E3940" s="317" t="str">
        <f>IFERROR(VLOOKUP(A3940,[3]DOORSCRIEFT!$A$2:$G$8551,4,FALSE),"")</f>
        <v/>
      </c>
      <c r="F3940" s="316" t="str">
        <f>IFERROR(VLOOKUP(A3940,[3]DOORSCRIEFT!$A$2:$G$8551,6,FALSE),"")</f>
        <v/>
      </c>
      <c r="G3940" s="315"/>
    </row>
    <row r="3941" spans="1:7" x14ac:dyDescent="0.25">
      <c r="A3941" s="360" t="str">
        <f t="shared" si="113"/>
        <v>I.2.4.0122</v>
      </c>
      <c r="B3941" s="319">
        <v>22</v>
      </c>
      <c r="C3941" s="319" t="str">
        <f>IFERROR(VLOOKUP(A3941,[3]DOORSCRIEFT!$A$2:$G$8551,2,FALSE),"")</f>
        <v/>
      </c>
      <c r="D3941" s="318" t="str">
        <f>IFERROR(VLOOKUP(A3941,[3]DOORSCRIEFT!$A$2:$G$8551,3,FALSE),"")</f>
        <v/>
      </c>
      <c r="E3941" s="317" t="str">
        <f>IFERROR(VLOOKUP(A3941,[3]DOORSCRIEFT!$A$2:$G$8551,4,FALSE),"")</f>
        <v/>
      </c>
      <c r="F3941" s="316" t="str">
        <f>IFERROR(VLOOKUP(A3941,[3]DOORSCRIEFT!$A$2:$G$8551,6,FALSE),"")</f>
        <v/>
      </c>
      <c r="G3941" s="315"/>
    </row>
    <row r="3942" spans="1:7" x14ac:dyDescent="0.25">
      <c r="A3942" s="363" t="str">
        <f t="shared" si="113"/>
        <v>I.2.4.0123</v>
      </c>
      <c r="B3942" s="362">
        <v>23</v>
      </c>
      <c r="C3942" s="319" t="str">
        <f>IFERROR(VLOOKUP(A3942,[3]DOORSCRIEFT!$A$2:$G$8551,2,FALSE),"")</f>
        <v/>
      </c>
      <c r="D3942" s="318" t="str">
        <f>IFERROR(VLOOKUP(A3942,[3]DOORSCRIEFT!$A$2:$G$8551,3,FALSE),"")</f>
        <v/>
      </c>
      <c r="E3942" s="317" t="str">
        <f>IFERROR(VLOOKUP(A3942,[3]DOORSCRIEFT!$A$2:$G$8551,4,FALSE),"")</f>
        <v/>
      </c>
      <c r="F3942" s="316" t="str">
        <f>IFERROR(VLOOKUP(A3942,[3]DOORSCRIEFT!$A$2:$G$8551,6,FALSE),"")</f>
        <v/>
      </c>
      <c r="G3942" s="361"/>
    </row>
    <row r="3943" spans="1:7" x14ac:dyDescent="0.25">
      <c r="A3943" s="360" t="str">
        <f t="shared" si="113"/>
        <v>I.2.4.0124</v>
      </c>
      <c r="B3943" s="319">
        <v>24</v>
      </c>
      <c r="C3943" s="319" t="str">
        <f>IFERROR(VLOOKUP(A3943,[3]DOORSCRIEFT!$A$2:$G$8551,2,FALSE),"")</f>
        <v/>
      </c>
      <c r="D3943" s="318" t="str">
        <f>IFERROR(VLOOKUP(A3943,[3]DOORSCRIEFT!$A$2:$G$8551,3,FALSE),"")</f>
        <v/>
      </c>
      <c r="E3943" s="317" t="str">
        <f>IFERROR(VLOOKUP(A3943,[3]DOORSCRIEFT!$A$2:$G$8551,4,FALSE),"")</f>
        <v/>
      </c>
      <c r="F3943" s="316" t="str">
        <f>IFERROR(VLOOKUP(A3943,[3]DOORSCRIEFT!$A$2:$G$8551,6,FALSE),"")</f>
        <v/>
      </c>
      <c r="G3943" s="315"/>
    </row>
    <row r="3944" spans="1:7" x14ac:dyDescent="0.25">
      <c r="A3944" s="360" t="str">
        <f t="shared" si="113"/>
        <v>I.2.4.0125</v>
      </c>
      <c r="B3944" s="319">
        <v>25</v>
      </c>
      <c r="C3944" s="319" t="str">
        <f>IFERROR(VLOOKUP(A3944,[3]DOORSCRIEFT!$A$2:$G$8551,2,FALSE),"")</f>
        <v/>
      </c>
      <c r="D3944" s="318" t="str">
        <f>IFERROR(VLOOKUP(A3944,[3]DOORSCRIEFT!$A$2:$G$8551,3,FALSE),"")</f>
        <v/>
      </c>
      <c r="E3944" s="317" t="str">
        <f>IFERROR(VLOOKUP(A3944,[3]DOORSCRIEFT!$A$2:$G$8551,4,FALSE),"")</f>
        <v/>
      </c>
      <c r="F3944" s="316" t="str">
        <f>IFERROR(VLOOKUP(A3944,[3]DOORSCRIEFT!$A$2:$G$8551,6,FALSE),"")</f>
        <v/>
      </c>
      <c r="G3944" s="315"/>
    </row>
    <row r="3945" spans="1:7" x14ac:dyDescent="0.25">
      <c r="A3945" s="360" t="str">
        <f t="shared" si="113"/>
        <v>I.2.4.0126</v>
      </c>
      <c r="B3945" s="319">
        <v>26</v>
      </c>
      <c r="C3945" s="319" t="str">
        <f>IFERROR(VLOOKUP(A3945,[3]DOORSCRIEFT!$A$2:$G$8551,2,FALSE),"")</f>
        <v/>
      </c>
      <c r="D3945" s="318" t="str">
        <f>IFERROR(VLOOKUP(A3945,[3]DOORSCRIEFT!$A$2:$G$8551,3,FALSE),"")</f>
        <v/>
      </c>
      <c r="E3945" s="317" t="str">
        <f>IFERROR(VLOOKUP(A3945,[3]DOORSCRIEFT!$A$2:$G$8551,4,FALSE),"")</f>
        <v/>
      </c>
      <c r="F3945" s="316" t="str">
        <f>IFERROR(VLOOKUP(A3945,[3]DOORSCRIEFT!$A$2:$G$8551,6,FALSE),"")</f>
        <v/>
      </c>
      <c r="G3945" s="315"/>
    </row>
    <row r="3946" spans="1:7" x14ac:dyDescent="0.25">
      <c r="A3946" s="360" t="str">
        <f t="shared" si="113"/>
        <v>I.2.4.0127</v>
      </c>
      <c r="B3946" s="319">
        <v>27</v>
      </c>
      <c r="C3946" s="319" t="str">
        <f>IFERROR(VLOOKUP(A3946,[3]DOORSCRIEFT!$A$2:$G$8551,2,FALSE),"")</f>
        <v/>
      </c>
      <c r="D3946" s="318" t="str">
        <f>IFERROR(VLOOKUP(A3946,[3]DOORSCRIEFT!$A$2:$G$8551,3,FALSE),"")</f>
        <v/>
      </c>
      <c r="E3946" s="317" t="str">
        <f>IFERROR(VLOOKUP(A3946,[3]DOORSCRIEFT!$A$2:$G$8551,4,FALSE),"")</f>
        <v/>
      </c>
      <c r="F3946" s="316" t="str">
        <f>IFERROR(VLOOKUP(A3946,[3]DOORSCRIEFT!$A$2:$G$8551,6,FALSE),"")</f>
        <v/>
      </c>
      <c r="G3946" s="315"/>
    </row>
    <row r="3947" spans="1:7" x14ac:dyDescent="0.25">
      <c r="A3947" s="360" t="str">
        <f t="shared" si="113"/>
        <v>I.2.4.0128</v>
      </c>
      <c r="B3947" s="319">
        <v>28</v>
      </c>
      <c r="C3947" s="319" t="str">
        <f>IFERROR(VLOOKUP(A3947,[3]DOORSCRIEFT!$A$2:$G$8551,2,FALSE),"")</f>
        <v/>
      </c>
      <c r="D3947" s="318" t="str">
        <f>IFERROR(VLOOKUP(A3947,[3]DOORSCRIEFT!$A$2:$G$8551,3,FALSE),"")</f>
        <v/>
      </c>
      <c r="E3947" s="317" t="str">
        <f>IFERROR(VLOOKUP(A3947,[3]DOORSCRIEFT!$A$2:$G$8551,4,FALSE),"")</f>
        <v/>
      </c>
      <c r="F3947" s="316" t="str">
        <f>IFERROR(VLOOKUP(A3947,[3]DOORSCRIEFT!$A$2:$G$8551,6,FALSE),"")</f>
        <v/>
      </c>
      <c r="G3947" s="315"/>
    </row>
    <row r="3948" spans="1:7" x14ac:dyDescent="0.25">
      <c r="A3948" s="360" t="str">
        <f t="shared" si="113"/>
        <v>I.2.4.0129</v>
      </c>
      <c r="B3948" s="319">
        <v>29</v>
      </c>
      <c r="C3948" s="319" t="str">
        <f>IFERROR(VLOOKUP(A3948,[3]DOORSCRIEFT!$A$2:$G$8551,2,FALSE),"")</f>
        <v/>
      </c>
      <c r="D3948" s="318" t="str">
        <f>IFERROR(VLOOKUP(A3948,[3]DOORSCRIEFT!$A$2:$G$8551,3,FALSE),"")</f>
        <v/>
      </c>
      <c r="E3948" s="317" t="str">
        <f>IFERROR(VLOOKUP(A3948,[3]DOORSCRIEFT!$A$2:$G$8551,4,FALSE),"")</f>
        <v/>
      </c>
      <c r="F3948" s="316" t="str">
        <f>IFERROR(VLOOKUP(A3948,[3]DOORSCRIEFT!$A$2:$G$8551,6,FALSE),"")</f>
        <v/>
      </c>
      <c r="G3948" s="315"/>
    </row>
    <row r="3949" spans="1:7" x14ac:dyDescent="0.25">
      <c r="A3949" s="360" t="str">
        <f t="shared" si="113"/>
        <v>I.2.4.0130</v>
      </c>
      <c r="B3949" s="319">
        <v>30</v>
      </c>
      <c r="C3949" s="319" t="str">
        <f>IFERROR(VLOOKUP(A3949,[3]DOORSCRIEFT!$A$2:$G$8551,2,FALSE),"")</f>
        <v/>
      </c>
      <c r="D3949" s="318" t="str">
        <f>IFERROR(VLOOKUP(A3949,[3]DOORSCRIEFT!$A$2:$G$8551,3,FALSE),"")</f>
        <v/>
      </c>
      <c r="E3949" s="317" t="str">
        <f>IFERROR(VLOOKUP(A3949,[3]DOORSCRIEFT!$A$2:$G$8551,4,FALSE),"")</f>
        <v/>
      </c>
      <c r="F3949" s="316" t="str">
        <f>IFERROR(VLOOKUP(A3949,[3]DOORSCRIEFT!$A$2:$G$8551,6,FALSE),"")</f>
        <v/>
      </c>
      <c r="G3949" s="315"/>
    </row>
    <row r="3950" spans="1:7" x14ac:dyDescent="0.25">
      <c r="A3950" s="360" t="str">
        <f t="shared" si="113"/>
        <v>I.2.4.0131</v>
      </c>
      <c r="B3950" s="319">
        <v>31</v>
      </c>
      <c r="C3950" s="319" t="str">
        <f>IFERROR(VLOOKUP(A3950,[3]DOORSCRIEFT!$A$2:$G$8551,2,FALSE),"")</f>
        <v/>
      </c>
      <c r="D3950" s="318" t="str">
        <f>IFERROR(VLOOKUP(A3950,[3]DOORSCRIEFT!$A$2:$G$8551,3,FALSE),"")</f>
        <v/>
      </c>
      <c r="E3950" s="317" t="str">
        <f>IFERROR(VLOOKUP(A3950,[3]DOORSCRIEFT!$A$2:$G$8551,4,FALSE),"")</f>
        <v/>
      </c>
      <c r="F3950" s="316" t="str">
        <f>IFERROR(VLOOKUP(A3950,[3]DOORSCRIEFT!$A$2:$G$8551,6,FALSE),"")</f>
        <v/>
      </c>
      <c r="G3950" s="315"/>
    </row>
    <row r="3951" spans="1:7" x14ac:dyDescent="0.25">
      <c r="A3951" s="360" t="str">
        <f t="shared" si="113"/>
        <v>I.2.4.0132</v>
      </c>
      <c r="B3951" s="319">
        <v>32</v>
      </c>
      <c r="C3951" s="319" t="str">
        <f>IFERROR(VLOOKUP(A3951,[3]DOORSCRIEFT!$A$2:$G$8551,2,FALSE),"")</f>
        <v/>
      </c>
      <c r="D3951" s="318" t="str">
        <f>IFERROR(VLOOKUP(A3951,[3]DOORSCRIEFT!$A$2:$G$8551,3,FALSE),"")</f>
        <v/>
      </c>
      <c r="E3951" s="317" t="str">
        <f>IFERROR(VLOOKUP(A3951,[3]DOORSCRIEFT!$A$2:$G$8551,4,FALSE),"")</f>
        <v/>
      </c>
      <c r="F3951" s="316" t="str">
        <f>IFERROR(VLOOKUP(A3951,[3]DOORSCRIEFT!$A$2:$G$8551,6,FALSE),"")</f>
        <v/>
      </c>
      <c r="G3951" s="315"/>
    </row>
    <row r="3952" spans="1:7" x14ac:dyDescent="0.25">
      <c r="A3952" s="360" t="str">
        <f t="shared" ref="A3952:A3983" si="114">$G$3913&amp;B3952</f>
        <v>I.2.4.0133</v>
      </c>
      <c r="B3952" s="319">
        <v>33</v>
      </c>
      <c r="C3952" s="319" t="str">
        <f>IFERROR(VLOOKUP(A3952,[3]DOORSCRIEFT!$A$2:$G$8551,2,FALSE),"")</f>
        <v/>
      </c>
      <c r="D3952" s="318" t="str">
        <f>IFERROR(VLOOKUP(A3952,[3]DOORSCRIEFT!$A$2:$G$8551,3,FALSE),"")</f>
        <v/>
      </c>
      <c r="E3952" s="317" t="str">
        <f>IFERROR(VLOOKUP(A3952,[3]DOORSCRIEFT!$A$2:$G$8551,4,FALSE),"")</f>
        <v/>
      </c>
      <c r="F3952" s="316" t="str">
        <f>IFERROR(VLOOKUP(A3952,[3]DOORSCRIEFT!$A$2:$G$8551,6,FALSE),"")</f>
        <v/>
      </c>
      <c r="G3952" s="315"/>
    </row>
    <row r="3953" spans="1:7" x14ac:dyDescent="0.25">
      <c r="A3953" s="360" t="str">
        <f t="shared" si="114"/>
        <v>I.2.4.0134</v>
      </c>
      <c r="B3953" s="319">
        <v>34</v>
      </c>
      <c r="C3953" s="319" t="str">
        <f>IFERROR(VLOOKUP(A3953,[3]DOORSCRIEFT!$A$2:$G$8551,2,FALSE),"")</f>
        <v/>
      </c>
      <c r="D3953" s="318" t="str">
        <f>IFERROR(VLOOKUP(A3953,[3]DOORSCRIEFT!$A$2:$G$8551,3,FALSE),"")</f>
        <v/>
      </c>
      <c r="E3953" s="317" t="str">
        <f>IFERROR(VLOOKUP(A3953,[3]DOORSCRIEFT!$A$2:$G$8551,4,FALSE),"")</f>
        <v/>
      </c>
      <c r="F3953" s="316" t="str">
        <f>IFERROR(VLOOKUP(A3953,[3]DOORSCRIEFT!$A$2:$G$8551,6,FALSE),"")</f>
        <v/>
      </c>
      <c r="G3953" s="315"/>
    </row>
    <row r="3954" spans="1:7" x14ac:dyDescent="0.25">
      <c r="A3954" s="360" t="str">
        <f t="shared" si="114"/>
        <v>I.2.4.0135</v>
      </c>
      <c r="B3954" s="319">
        <v>35</v>
      </c>
      <c r="C3954" s="319" t="str">
        <f>IFERROR(VLOOKUP(A3954,[3]DOORSCRIEFT!$A$2:$G$8551,2,FALSE),"")</f>
        <v/>
      </c>
      <c r="D3954" s="318" t="str">
        <f>IFERROR(VLOOKUP(A3954,[3]DOORSCRIEFT!$A$2:$G$8551,3,FALSE),"")</f>
        <v/>
      </c>
      <c r="E3954" s="317" t="str">
        <f>IFERROR(VLOOKUP(A3954,[3]DOORSCRIEFT!$A$2:$G$8551,4,FALSE),"")</f>
        <v/>
      </c>
      <c r="F3954" s="316" t="str">
        <f>IFERROR(VLOOKUP(A3954,[3]DOORSCRIEFT!$A$2:$G$8551,6,FALSE),"")</f>
        <v/>
      </c>
      <c r="G3954" s="315"/>
    </row>
    <row r="3955" spans="1:7" x14ac:dyDescent="0.25">
      <c r="A3955" s="360" t="str">
        <f t="shared" si="114"/>
        <v>I.2.4.0136</v>
      </c>
      <c r="B3955" s="319">
        <v>36</v>
      </c>
      <c r="C3955" s="319" t="str">
        <f>IFERROR(VLOOKUP(A3955,[3]DOORSCRIEFT!$A$2:$G$8551,2,FALSE),"")</f>
        <v/>
      </c>
      <c r="D3955" s="318" t="str">
        <f>IFERROR(VLOOKUP(A3955,[3]DOORSCRIEFT!$A$2:$G$8551,3,FALSE),"")</f>
        <v/>
      </c>
      <c r="E3955" s="317" t="str">
        <f>IFERROR(VLOOKUP(A3955,[3]DOORSCRIEFT!$A$2:$G$8551,4,FALSE),"")</f>
        <v/>
      </c>
      <c r="F3955" s="316" t="str">
        <f>IFERROR(VLOOKUP(A3955,[3]DOORSCRIEFT!$A$2:$G$8551,6,FALSE),"")</f>
        <v/>
      </c>
      <c r="G3955" s="315"/>
    </row>
    <row r="3956" spans="1:7" x14ac:dyDescent="0.25">
      <c r="A3956" s="360" t="str">
        <f t="shared" si="114"/>
        <v>I.2.4.0137</v>
      </c>
      <c r="B3956" s="319">
        <v>37</v>
      </c>
      <c r="C3956" s="319" t="str">
        <f>IFERROR(VLOOKUP(A3956,[3]DOORSCRIEFT!$A$2:$G$8551,2,FALSE),"")</f>
        <v/>
      </c>
      <c r="D3956" s="318" t="str">
        <f>IFERROR(VLOOKUP(A3956,[3]DOORSCRIEFT!$A$2:$G$8551,3,FALSE),"")</f>
        <v/>
      </c>
      <c r="E3956" s="317" t="str">
        <f>IFERROR(VLOOKUP(A3956,[3]DOORSCRIEFT!$A$2:$G$8551,4,FALSE),"")</f>
        <v/>
      </c>
      <c r="F3956" s="316" t="str">
        <f>IFERROR(VLOOKUP(A3956,[3]DOORSCRIEFT!$A$2:$G$8551,6,FALSE),"")</f>
        <v/>
      </c>
      <c r="G3956" s="315"/>
    </row>
    <row r="3957" spans="1:7" x14ac:dyDescent="0.25">
      <c r="A3957" s="360" t="str">
        <f t="shared" si="114"/>
        <v>I.2.4.0138</v>
      </c>
      <c r="B3957" s="319">
        <v>38</v>
      </c>
      <c r="C3957" s="319" t="str">
        <f>IFERROR(VLOOKUP(A3957,[3]DOORSCRIEFT!$A$2:$G$8551,2,FALSE),"")</f>
        <v/>
      </c>
      <c r="D3957" s="318" t="str">
        <f>IFERROR(VLOOKUP(A3957,[3]DOORSCRIEFT!$A$2:$G$8551,3,FALSE),"")</f>
        <v/>
      </c>
      <c r="E3957" s="317" t="str">
        <f>IFERROR(VLOOKUP(A3957,[3]DOORSCRIEFT!$A$2:$G$8551,4,FALSE),"")</f>
        <v/>
      </c>
      <c r="F3957" s="316" t="str">
        <f>IFERROR(VLOOKUP(A3957,[3]DOORSCRIEFT!$A$2:$G$8551,6,FALSE),"")</f>
        <v/>
      </c>
      <c r="G3957" s="315"/>
    </row>
    <row r="3958" spans="1:7" x14ac:dyDescent="0.25">
      <c r="A3958" s="360" t="str">
        <f t="shared" si="114"/>
        <v>I.2.4.0139</v>
      </c>
      <c r="B3958" s="319">
        <v>39</v>
      </c>
      <c r="C3958" s="319" t="str">
        <f>IFERROR(VLOOKUP(A3958,[3]DOORSCRIEFT!$A$2:$G$8551,2,FALSE),"")</f>
        <v/>
      </c>
      <c r="D3958" s="318" t="str">
        <f>IFERROR(VLOOKUP(A3958,[3]DOORSCRIEFT!$A$2:$G$8551,3,FALSE),"")</f>
        <v/>
      </c>
      <c r="E3958" s="317" t="str">
        <f>IFERROR(VLOOKUP(A3958,[3]DOORSCRIEFT!$A$2:$G$8551,4,FALSE),"")</f>
        <v/>
      </c>
      <c r="F3958" s="316" t="str">
        <f>IFERROR(VLOOKUP(A3958,[3]DOORSCRIEFT!$A$2:$G$8551,6,FALSE),"")</f>
        <v/>
      </c>
      <c r="G3958" s="315"/>
    </row>
    <row r="3959" spans="1:7" x14ac:dyDescent="0.25">
      <c r="A3959" s="360" t="str">
        <f t="shared" si="114"/>
        <v>I.2.4.0140</v>
      </c>
      <c r="B3959" s="319">
        <v>40</v>
      </c>
      <c r="C3959" s="319" t="str">
        <f>IFERROR(VLOOKUP(A3959,[3]DOORSCRIEFT!$A$2:$G$8551,2,FALSE),"")</f>
        <v/>
      </c>
      <c r="D3959" s="318" t="str">
        <f>IFERROR(VLOOKUP(A3959,[3]DOORSCRIEFT!$A$2:$G$8551,3,FALSE),"")</f>
        <v/>
      </c>
      <c r="E3959" s="317" t="str">
        <f>IFERROR(VLOOKUP(A3959,[3]DOORSCRIEFT!$A$2:$G$8551,4,FALSE),"")</f>
        <v/>
      </c>
      <c r="F3959" s="316" t="str">
        <f>IFERROR(VLOOKUP(A3959,[3]DOORSCRIEFT!$A$2:$G$8551,6,FALSE),"")</f>
        <v/>
      </c>
      <c r="G3959" s="315"/>
    </row>
    <row r="3960" spans="1:7" x14ac:dyDescent="0.25">
      <c r="A3960" s="360" t="str">
        <f t="shared" si="114"/>
        <v>I.2.4.0141</v>
      </c>
      <c r="B3960" s="319">
        <v>41</v>
      </c>
      <c r="C3960" s="319" t="str">
        <f>IFERROR(VLOOKUP(A3960,[3]DOORSCRIEFT!$A$2:$G$8551,2,FALSE),"")</f>
        <v/>
      </c>
      <c r="D3960" s="318" t="str">
        <f>IFERROR(VLOOKUP(A3960,[3]DOORSCRIEFT!$A$2:$G$8551,3,FALSE),"")</f>
        <v/>
      </c>
      <c r="E3960" s="317" t="str">
        <f>IFERROR(VLOOKUP(A3960,[3]DOORSCRIEFT!$A$2:$G$8551,4,FALSE),"")</f>
        <v/>
      </c>
      <c r="F3960" s="316" t="str">
        <f>IFERROR(VLOOKUP(A3960,[3]DOORSCRIEFT!$A$2:$G$8551,6,FALSE),"")</f>
        <v/>
      </c>
      <c r="G3960" s="315"/>
    </row>
    <row r="3961" spans="1:7" x14ac:dyDescent="0.25">
      <c r="A3961" s="360" t="str">
        <f t="shared" si="114"/>
        <v>I.2.4.0142</v>
      </c>
      <c r="B3961" s="319">
        <v>42</v>
      </c>
      <c r="C3961" s="319" t="str">
        <f>IFERROR(VLOOKUP(A3961,[3]DOORSCRIEFT!$A$2:$G$8551,2,FALSE),"")</f>
        <v/>
      </c>
      <c r="D3961" s="318" t="str">
        <f>IFERROR(VLOOKUP(A3961,[3]DOORSCRIEFT!$A$2:$G$8551,3,FALSE),"")</f>
        <v/>
      </c>
      <c r="E3961" s="317" t="str">
        <f>IFERROR(VLOOKUP(A3961,[3]DOORSCRIEFT!$A$2:$G$8551,4,FALSE),"")</f>
        <v/>
      </c>
      <c r="F3961" s="316" t="str">
        <f>IFERROR(VLOOKUP(A3961,[3]DOORSCRIEFT!$A$2:$G$8551,6,FALSE),"")</f>
        <v/>
      </c>
      <c r="G3961" s="315"/>
    </row>
    <row r="3962" spans="1:7" x14ac:dyDescent="0.25">
      <c r="A3962" s="360" t="str">
        <f t="shared" si="114"/>
        <v>I.2.4.0143</v>
      </c>
      <c r="B3962" s="319">
        <v>43</v>
      </c>
      <c r="C3962" s="319" t="str">
        <f>IFERROR(VLOOKUP(A3962,[3]DOORSCRIEFT!$A$2:$G$8551,2,FALSE),"")</f>
        <v/>
      </c>
      <c r="D3962" s="318" t="str">
        <f>IFERROR(VLOOKUP(A3962,[3]DOORSCRIEFT!$A$2:$G$8551,3,FALSE),"")</f>
        <v/>
      </c>
      <c r="E3962" s="317" t="str">
        <f>IFERROR(VLOOKUP(A3962,[3]DOORSCRIEFT!$A$2:$G$8551,4,FALSE),"")</f>
        <v/>
      </c>
      <c r="F3962" s="316" t="str">
        <f>IFERROR(VLOOKUP(A3962,[3]DOORSCRIEFT!$A$2:$G$8551,6,FALSE),"")</f>
        <v/>
      </c>
      <c r="G3962" s="315"/>
    </row>
    <row r="3963" spans="1:7" x14ac:dyDescent="0.25">
      <c r="A3963" s="360" t="str">
        <f t="shared" si="114"/>
        <v>I.2.4.0144</v>
      </c>
      <c r="B3963" s="319">
        <v>44</v>
      </c>
      <c r="C3963" s="319" t="str">
        <f>IFERROR(VLOOKUP(A3963,[3]DOORSCRIEFT!$A$2:$G$8551,2,FALSE),"")</f>
        <v/>
      </c>
      <c r="D3963" s="318" t="str">
        <f>IFERROR(VLOOKUP(A3963,[3]DOORSCRIEFT!$A$2:$G$8551,3,FALSE),"")</f>
        <v/>
      </c>
      <c r="E3963" s="317" t="str">
        <f>IFERROR(VLOOKUP(A3963,[3]DOORSCRIEFT!$A$2:$G$8551,4,FALSE),"")</f>
        <v/>
      </c>
      <c r="F3963" s="316" t="str">
        <f>IFERROR(VLOOKUP(A3963,[3]DOORSCRIEFT!$A$2:$G$8551,6,FALSE),"")</f>
        <v/>
      </c>
      <c r="G3963" s="315"/>
    </row>
    <row r="3964" spans="1:7" x14ac:dyDescent="0.25">
      <c r="A3964" s="360" t="str">
        <f t="shared" si="114"/>
        <v>I.2.4.0145</v>
      </c>
      <c r="B3964" s="319">
        <v>45</v>
      </c>
      <c r="C3964" s="319" t="str">
        <f>IFERROR(VLOOKUP(A3964,[3]DOORSCRIEFT!$A$2:$G$8551,2,FALSE),"")</f>
        <v/>
      </c>
      <c r="D3964" s="318" t="str">
        <f>IFERROR(VLOOKUP(A3964,[3]DOORSCRIEFT!$A$2:$G$8551,3,FALSE),"")</f>
        <v/>
      </c>
      <c r="E3964" s="317" t="str">
        <f>IFERROR(VLOOKUP(A3964,[3]DOORSCRIEFT!$A$2:$G$8551,4,FALSE),"")</f>
        <v/>
      </c>
      <c r="F3964" s="316" t="str">
        <f>IFERROR(VLOOKUP(A3964,[3]DOORSCRIEFT!$A$2:$G$8551,6,FALSE),"")</f>
        <v/>
      </c>
      <c r="G3964" s="315"/>
    </row>
    <row r="3965" spans="1:7" x14ac:dyDescent="0.25">
      <c r="A3965" s="360" t="str">
        <f t="shared" si="114"/>
        <v>I.2.4.0146</v>
      </c>
      <c r="B3965" s="319">
        <v>46</v>
      </c>
      <c r="C3965" s="319" t="str">
        <f>IFERROR(VLOOKUP(A3965,[3]DOORSCRIEFT!$A$2:$G$8551,2,FALSE),"")</f>
        <v/>
      </c>
      <c r="D3965" s="318" t="str">
        <f>IFERROR(VLOOKUP(A3965,[3]DOORSCRIEFT!$A$2:$G$8551,3,FALSE),"")</f>
        <v/>
      </c>
      <c r="E3965" s="317" t="str">
        <f>IFERROR(VLOOKUP(A3965,[3]DOORSCRIEFT!$A$2:$G$8551,4,FALSE),"")</f>
        <v/>
      </c>
      <c r="F3965" s="316" t="str">
        <f>IFERROR(VLOOKUP(A3965,[3]DOORSCRIEFT!$A$2:$G$8551,6,FALSE),"")</f>
        <v/>
      </c>
      <c r="G3965" s="315"/>
    </row>
    <row r="3966" spans="1:7" x14ac:dyDescent="0.25">
      <c r="A3966" s="360" t="str">
        <f t="shared" si="114"/>
        <v>I.2.4.0147</v>
      </c>
      <c r="B3966" s="319">
        <v>47</v>
      </c>
      <c r="C3966" s="319" t="str">
        <f>IFERROR(VLOOKUP(A3966,[3]DOORSCRIEFT!$A$2:$G$8551,2,FALSE),"")</f>
        <v/>
      </c>
      <c r="D3966" s="318" t="str">
        <f>IFERROR(VLOOKUP(A3966,[3]DOORSCRIEFT!$A$2:$G$8551,3,FALSE),"")</f>
        <v/>
      </c>
      <c r="E3966" s="317" t="str">
        <f>IFERROR(VLOOKUP(A3966,[3]DOORSCRIEFT!$A$2:$G$8551,4,FALSE),"")</f>
        <v/>
      </c>
      <c r="F3966" s="316" t="str">
        <f>IFERROR(VLOOKUP(A3966,[3]DOORSCRIEFT!$A$2:$G$8551,6,FALSE),"")</f>
        <v/>
      </c>
      <c r="G3966" s="315"/>
    </row>
    <row r="3967" spans="1:7" x14ac:dyDescent="0.25">
      <c r="A3967" s="359" t="str">
        <f t="shared" si="114"/>
        <v>I.2.4.0148</v>
      </c>
      <c r="B3967" s="319">
        <v>48</v>
      </c>
      <c r="C3967" s="319" t="str">
        <f>IFERROR(VLOOKUP(A3967,[3]DOORSCRIEFT!$A$2:$G$8551,2,FALSE),"")</f>
        <v/>
      </c>
      <c r="D3967" s="318" t="str">
        <f>IFERROR(VLOOKUP(A3967,[3]DOORSCRIEFT!$A$2:$G$8551,3,FALSE),"")</f>
        <v/>
      </c>
      <c r="E3967" s="317" t="str">
        <f>IFERROR(VLOOKUP(A3967,[3]DOORSCRIEFT!$A$2:$G$8551,4,FALSE),"")</f>
        <v/>
      </c>
      <c r="F3967" s="316" t="str">
        <f>IFERROR(VLOOKUP(A3967,[3]DOORSCRIEFT!$A$2:$G$8551,6,FALSE),"")</f>
        <v/>
      </c>
      <c r="G3967" s="349"/>
    </row>
    <row r="3968" spans="1:7" x14ac:dyDescent="0.25">
      <c r="A3968" s="359" t="str">
        <f t="shared" si="114"/>
        <v>I.2.4.0149</v>
      </c>
      <c r="B3968" s="319">
        <v>49</v>
      </c>
      <c r="C3968" s="319" t="str">
        <f>IFERROR(VLOOKUP(A3968,[3]DOORSCRIEFT!$A$2:$G$8551,2,FALSE),"")</f>
        <v/>
      </c>
      <c r="D3968" s="318" t="str">
        <f>IFERROR(VLOOKUP(A3968,[3]DOORSCRIEFT!$A$2:$G$8551,3,FALSE),"")</f>
        <v/>
      </c>
      <c r="E3968" s="317" t="str">
        <f>IFERROR(VLOOKUP(A3968,[3]DOORSCRIEFT!$A$2:$G$8551,4,FALSE),"")</f>
        <v/>
      </c>
      <c r="F3968" s="316" t="str">
        <f>IFERROR(VLOOKUP(A3968,[3]DOORSCRIEFT!$A$2:$G$8551,6,FALSE),"")</f>
        <v/>
      </c>
      <c r="G3968" s="349"/>
    </row>
    <row r="3969" spans="1:7" x14ac:dyDescent="0.25">
      <c r="A3969" s="359" t="str">
        <f t="shared" si="114"/>
        <v>I.2.4.0150</v>
      </c>
      <c r="B3969" s="319">
        <v>50</v>
      </c>
      <c r="C3969" s="319" t="str">
        <f>IFERROR(VLOOKUP(A3969,[3]DOORSCRIEFT!$A$2:$G$8551,2,FALSE),"")</f>
        <v/>
      </c>
      <c r="D3969" s="318" t="str">
        <f>IFERROR(VLOOKUP(A3969,[3]DOORSCRIEFT!$A$2:$G$8551,3,FALSE),"")</f>
        <v/>
      </c>
      <c r="E3969" s="317" t="str">
        <f>IFERROR(VLOOKUP(A3969,[3]DOORSCRIEFT!$A$2:$G$8551,4,FALSE),"")</f>
        <v/>
      </c>
      <c r="F3969" s="316" t="str">
        <f>IFERROR(VLOOKUP(A3969,[3]DOORSCRIEFT!$A$2:$G$8551,6,FALSE),"")</f>
        <v/>
      </c>
      <c r="G3969" s="349"/>
    </row>
    <row r="3970" spans="1:7" x14ac:dyDescent="0.25">
      <c r="A3970" s="359" t="str">
        <f t="shared" si="114"/>
        <v>I.2.4.0151</v>
      </c>
      <c r="B3970" s="319">
        <v>51</v>
      </c>
      <c r="C3970" s="319" t="str">
        <f>IFERROR(VLOOKUP(A3970,[3]DOORSCRIEFT!$A$2:$G$8551,2,FALSE),"")</f>
        <v/>
      </c>
      <c r="D3970" s="318" t="str">
        <f>IFERROR(VLOOKUP(A3970,[3]DOORSCRIEFT!$A$2:$G$8551,3,FALSE),"")</f>
        <v/>
      </c>
      <c r="E3970" s="317" t="str">
        <f>IFERROR(VLOOKUP(A3970,[3]DOORSCRIEFT!$A$2:$G$8551,4,FALSE),"")</f>
        <v/>
      </c>
      <c r="F3970" s="316" t="str">
        <f>IFERROR(VLOOKUP(A3970,[3]DOORSCRIEFT!$A$2:$G$8551,6,FALSE),"")</f>
        <v/>
      </c>
      <c r="G3970" s="349"/>
    </row>
    <row r="3971" spans="1:7" x14ac:dyDescent="0.25">
      <c r="A3971" s="359" t="str">
        <f t="shared" si="114"/>
        <v>I.2.4.0152</v>
      </c>
      <c r="B3971" s="319">
        <v>52</v>
      </c>
      <c r="C3971" s="319" t="str">
        <f>IFERROR(VLOOKUP(A3971,[3]DOORSCRIEFT!$A$2:$G$8551,2,FALSE),"")</f>
        <v/>
      </c>
      <c r="D3971" s="318" t="str">
        <f>IFERROR(VLOOKUP(A3971,[3]DOORSCRIEFT!$A$2:$G$8551,3,FALSE),"")</f>
        <v/>
      </c>
      <c r="E3971" s="317" t="str">
        <f>IFERROR(VLOOKUP(A3971,[3]DOORSCRIEFT!$A$2:$G$8551,4,FALSE),"")</f>
        <v/>
      </c>
      <c r="F3971" s="316" t="str">
        <f>IFERROR(VLOOKUP(A3971,[3]DOORSCRIEFT!$A$2:$G$8551,6,FALSE),"")</f>
        <v/>
      </c>
      <c r="G3971" s="349"/>
    </row>
    <row r="3972" spans="1:7" x14ac:dyDescent="0.25">
      <c r="A3972" s="359" t="str">
        <f t="shared" si="114"/>
        <v>I.2.4.0153</v>
      </c>
      <c r="B3972" s="319">
        <v>53</v>
      </c>
      <c r="C3972" s="319" t="str">
        <f>IFERROR(VLOOKUP(A3972,[3]DOORSCRIEFT!$A$2:$G$8551,2,FALSE),"")</f>
        <v/>
      </c>
      <c r="D3972" s="318" t="str">
        <f>IFERROR(VLOOKUP(A3972,[3]DOORSCRIEFT!$A$2:$G$8551,3,FALSE),"")</f>
        <v/>
      </c>
      <c r="E3972" s="317" t="str">
        <f>IFERROR(VLOOKUP(A3972,[3]DOORSCRIEFT!$A$2:$G$8551,4,FALSE),"")</f>
        <v/>
      </c>
      <c r="F3972" s="316" t="str">
        <f>IFERROR(VLOOKUP(A3972,[3]DOORSCRIEFT!$A$2:$G$8551,6,FALSE),"")</f>
        <v/>
      </c>
      <c r="G3972" s="349"/>
    </row>
    <row r="3973" spans="1:7" x14ac:dyDescent="0.25">
      <c r="A3973" s="359" t="str">
        <f t="shared" si="114"/>
        <v>I.2.4.0154</v>
      </c>
      <c r="B3973" s="319">
        <v>54</v>
      </c>
      <c r="C3973" s="319" t="str">
        <f>IFERROR(VLOOKUP(A3973,[3]DOORSCRIEFT!$A$2:$G$8551,2,FALSE),"")</f>
        <v/>
      </c>
      <c r="D3973" s="318" t="str">
        <f>IFERROR(VLOOKUP(A3973,[3]DOORSCRIEFT!$A$2:$G$8551,3,FALSE),"")</f>
        <v/>
      </c>
      <c r="E3973" s="317" t="str">
        <f>IFERROR(VLOOKUP(A3973,[3]DOORSCRIEFT!$A$2:$G$8551,4,FALSE),"")</f>
        <v/>
      </c>
      <c r="F3973" s="316" t="str">
        <f>IFERROR(VLOOKUP(A3973,[3]DOORSCRIEFT!$A$2:$G$8551,6,FALSE),"")</f>
        <v/>
      </c>
      <c r="G3973" s="349"/>
    </row>
    <row r="3974" spans="1:7" x14ac:dyDescent="0.25">
      <c r="A3974" s="359" t="str">
        <f t="shared" si="114"/>
        <v>I.2.4.0155</v>
      </c>
      <c r="B3974" s="319">
        <v>55</v>
      </c>
      <c r="C3974" s="319" t="str">
        <f>IFERROR(VLOOKUP(A3974,[3]DOORSCRIEFT!$A$2:$G$8551,2,FALSE),"")</f>
        <v/>
      </c>
      <c r="D3974" s="318" t="str">
        <f>IFERROR(VLOOKUP(A3974,[3]DOORSCRIEFT!$A$2:$G$8551,3,FALSE),"")</f>
        <v/>
      </c>
      <c r="E3974" s="317" t="str">
        <f>IFERROR(VLOOKUP(A3974,[3]DOORSCRIEFT!$A$2:$G$8551,4,FALSE),"")</f>
        <v/>
      </c>
      <c r="F3974" s="316" t="str">
        <f>IFERROR(VLOOKUP(A3974,[3]DOORSCRIEFT!$A$2:$G$8551,6,FALSE),"")</f>
        <v/>
      </c>
      <c r="G3974" s="349"/>
    </row>
    <row r="3975" spans="1:7" x14ac:dyDescent="0.25">
      <c r="A3975" s="359" t="str">
        <f t="shared" si="114"/>
        <v>I.2.4.0156</v>
      </c>
      <c r="B3975" s="319">
        <v>56</v>
      </c>
      <c r="C3975" s="319" t="str">
        <f>IFERROR(VLOOKUP(A3975,[3]DOORSCRIEFT!$A$2:$G$8551,2,FALSE),"")</f>
        <v/>
      </c>
      <c r="D3975" s="318" t="str">
        <f>IFERROR(VLOOKUP(A3975,[3]DOORSCRIEFT!$A$2:$G$8551,3,FALSE),"")</f>
        <v/>
      </c>
      <c r="E3975" s="317" t="str">
        <f>IFERROR(VLOOKUP(A3975,[3]DOORSCRIEFT!$A$2:$G$8551,4,FALSE),"")</f>
        <v/>
      </c>
      <c r="F3975" s="316" t="str">
        <f>IFERROR(VLOOKUP(A3975,[3]DOORSCRIEFT!$A$2:$G$8551,6,FALSE),"")</f>
        <v/>
      </c>
      <c r="G3975" s="349"/>
    </row>
    <row r="3976" spans="1:7" x14ac:dyDescent="0.25">
      <c r="A3976" s="359" t="str">
        <f t="shared" si="114"/>
        <v>I.2.4.0157</v>
      </c>
      <c r="B3976" s="319">
        <v>57</v>
      </c>
      <c r="C3976" s="319" t="str">
        <f>IFERROR(VLOOKUP(A3976,[3]DOORSCRIEFT!$A$2:$G$8551,2,FALSE),"")</f>
        <v/>
      </c>
      <c r="D3976" s="318" t="str">
        <f>IFERROR(VLOOKUP(A3976,[3]DOORSCRIEFT!$A$2:$G$8551,3,FALSE),"")</f>
        <v/>
      </c>
      <c r="E3976" s="317" t="str">
        <f>IFERROR(VLOOKUP(A3976,[3]DOORSCRIEFT!$A$2:$G$8551,4,FALSE),"")</f>
        <v/>
      </c>
      <c r="F3976" s="316" t="str">
        <f>IFERROR(VLOOKUP(A3976,[3]DOORSCRIEFT!$A$2:$G$8551,6,FALSE),"")</f>
        <v/>
      </c>
      <c r="G3976" s="349"/>
    </row>
    <row r="3977" spans="1:7" ht="15.75" thickBot="1" x14ac:dyDescent="0.3">
      <c r="A3977" s="359" t="str">
        <f t="shared" si="114"/>
        <v>I.2.4.0158</v>
      </c>
      <c r="B3977" s="319">
        <v>58</v>
      </c>
      <c r="C3977" s="319" t="str">
        <f>IFERROR(VLOOKUP(A3977,[3]DOORSCRIEFT!$A$2:$G$8551,2,FALSE),"")</f>
        <v/>
      </c>
      <c r="D3977" s="318" t="str">
        <f>IFERROR(VLOOKUP(A3977,[3]DOORSCRIEFT!$A$2:$G$8551,3,FALSE),"")</f>
        <v/>
      </c>
      <c r="E3977" s="317" t="str">
        <f>IFERROR(VLOOKUP(A3977,[3]DOORSCRIEFT!$A$2:$G$8551,4,FALSE),"")</f>
        <v/>
      </c>
      <c r="F3977" s="316" t="str">
        <f>IFERROR(VLOOKUP(A3977,[3]DOORSCRIEFT!$A$2:$G$8551,6,FALSE),"")</f>
        <v/>
      </c>
      <c r="G3977" s="315"/>
    </row>
    <row r="3978" spans="1:7" ht="15.75" thickBot="1" x14ac:dyDescent="0.3">
      <c r="A3978" s="344"/>
      <c r="B3978" s="343"/>
      <c r="C3978" s="343"/>
      <c r="D3978" s="312"/>
      <c r="E3978" s="311" t="s">
        <v>644</v>
      </c>
      <c r="F3978" s="310">
        <f>SUM(F3920:F3977)</f>
        <v>13850000</v>
      </c>
      <c r="G3978" s="309">
        <f>SUM(G3920:G3967)</f>
        <v>0</v>
      </c>
    </row>
    <row r="3979" spans="1:7" x14ac:dyDescent="0.25">
      <c r="C3979" s="335"/>
    </row>
    <row r="3980" spans="1:7" x14ac:dyDescent="0.25">
      <c r="C3980" s="335"/>
    </row>
    <row r="3981" spans="1:7" ht="15.75" x14ac:dyDescent="0.25">
      <c r="C3981" s="334"/>
      <c r="D3981" s="333"/>
      <c r="E3981" s="332"/>
      <c r="F3981" s="327" t="s">
        <v>607</v>
      </c>
      <c r="G3981" s="327" t="s">
        <v>407</v>
      </c>
    </row>
    <row r="3982" spans="1:7" ht="15.75" x14ac:dyDescent="0.25">
      <c r="C3982" s="334"/>
      <c r="D3982" s="333"/>
      <c r="E3982" s="332"/>
      <c r="F3982" s="327" t="s">
        <v>601</v>
      </c>
      <c r="G3982" s="327" t="s">
        <v>261</v>
      </c>
    </row>
    <row r="3983" spans="1:7" x14ac:dyDescent="0.25">
      <c r="C3983" s="330"/>
      <c r="D3983" s="329"/>
      <c r="E3983" s="328"/>
      <c r="F3983" s="327" t="s">
        <v>651</v>
      </c>
      <c r="G3983" s="331">
        <f>[2]Sheet1!$D$102</f>
        <v>0</v>
      </c>
    </row>
    <row r="3984" spans="1:7" ht="15.75" thickBot="1" x14ac:dyDescent="0.3">
      <c r="C3984" s="330"/>
      <c r="D3984" s="329"/>
      <c r="E3984" s="328"/>
      <c r="F3984" s="327" t="s">
        <v>650</v>
      </c>
      <c r="G3984" s="326">
        <f>+F4003-G3983</f>
        <v>0</v>
      </c>
    </row>
    <row r="3985" spans="1:7" x14ac:dyDescent="0.25">
      <c r="A3985" s="571" t="s">
        <v>626</v>
      </c>
      <c r="B3985" s="573" t="s">
        <v>606</v>
      </c>
      <c r="C3985" s="588" t="s">
        <v>649</v>
      </c>
      <c r="D3985" s="577" t="s">
        <v>648</v>
      </c>
      <c r="E3985" s="577" t="s">
        <v>647</v>
      </c>
      <c r="F3985" s="577" t="s">
        <v>646</v>
      </c>
      <c r="G3985" s="580" t="s">
        <v>645</v>
      </c>
    </row>
    <row r="3986" spans="1:7" ht="15.75" thickBot="1" x14ac:dyDescent="0.3">
      <c r="A3986" s="572"/>
      <c r="B3986" s="574"/>
      <c r="C3986" s="589"/>
      <c r="D3986" s="586"/>
      <c r="E3986" s="586"/>
      <c r="F3986" s="586"/>
      <c r="G3986" s="587"/>
    </row>
    <row r="3987" spans="1:7" ht="15.75" thickBot="1" x14ac:dyDescent="0.3">
      <c r="A3987" s="325">
        <v>1</v>
      </c>
      <c r="B3987" s="324">
        <v>2</v>
      </c>
      <c r="C3987" s="324">
        <v>3</v>
      </c>
      <c r="D3987" s="324">
        <v>4</v>
      </c>
      <c r="E3987" s="324">
        <v>5</v>
      </c>
      <c r="F3987" s="324">
        <v>6</v>
      </c>
      <c r="G3987" s="323">
        <v>7</v>
      </c>
    </row>
    <row r="3988" spans="1:7" x14ac:dyDescent="0.25">
      <c r="A3988" s="339" t="str">
        <f t="shared" ref="A3988:A4002" si="115">$G$3981&amp;B3988</f>
        <v>I.2.4.021</v>
      </c>
      <c r="B3988" s="339">
        <v>1</v>
      </c>
      <c r="C3988" s="319" t="str">
        <f>IFERROR(VLOOKUP(A3988,[3]DOORSCRIEFT!$A$2:$G$8551,2,FALSE),"")</f>
        <v/>
      </c>
      <c r="D3988" s="318" t="str">
        <f>IFERROR(VLOOKUP(A3988,[3]DOORSCRIEFT!$A$2:$G$8551,3,FALSE),"")</f>
        <v/>
      </c>
      <c r="E3988" s="317" t="str">
        <f>IFERROR(VLOOKUP(A3988,[3]DOORSCRIEFT!$A$2:$G$8551,4,FALSE),"")</f>
        <v/>
      </c>
      <c r="F3988" s="316" t="str">
        <f>IFERROR(VLOOKUP(A3988,[3]DOORSCRIEFT!$A$2:$G$8551,6,FALSE),"")</f>
        <v/>
      </c>
      <c r="G3988" s="322"/>
    </row>
    <row r="3989" spans="1:7" x14ac:dyDescent="0.25">
      <c r="A3989" s="339" t="str">
        <f t="shared" si="115"/>
        <v>I.2.4.022</v>
      </c>
      <c r="B3989" s="319">
        <v>2</v>
      </c>
      <c r="C3989" s="319" t="str">
        <f>IFERROR(VLOOKUP(A3989,[3]DOORSCRIEFT!$A$2:$G$8551,2,FALSE),"")</f>
        <v/>
      </c>
      <c r="D3989" s="318" t="str">
        <f>IFERROR(VLOOKUP(A3989,[3]DOORSCRIEFT!$A$2:$G$8551,3,FALSE),"")</f>
        <v/>
      </c>
      <c r="E3989" s="317" t="str">
        <f>IFERROR(VLOOKUP(A3989,[3]DOORSCRIEFT!$A$2:$G$8551,4,FALSE),"")</f>
        <v/>
      </c>
      <c r="F3989" s="316" t="str">
        <f>IFERROR(VLOOKUP(A3989,[3]DOORSCRIEFT!$A$2:$G$8551,6,FALSE),"")</f>
        <v/>
      </c>
      <c r="G3989" s="315"/>
    </row>
    <row r="3990" spans="1:7" x14ac:dyDescent="0.25">
      <c r="A3990" s="339" t="str">
        <f t="shared" si="115"/>
        <v>I.2.4.023</v>
      </c>
      <c r="B3990" s="319">
        <v>3</v>
      </c>
      <c r="C3990" s="319" t="str">
        <f>IFERROR(VLOOKUP(A3990,[3]DOORSCRIEFT!$A$2:$G$8551,2,FALSE),"")</f>
        <v/>
      </c>
      <c r="D3990" s="318" t="str">
        <f>IFERROR(VLOOKUP(A3990,[3]DOORSCRIEFT!$A$2:$G$8551,3,FALSE),"")</f>
        <v/>
      </c>
      <c r="E3990" s="317" t="str">
        <f>IFERROR(VLOOKUP(A3990,[3]DOORSCRIEFT!$A$2:$G$8551,4,FALSE),"")</f>
        <v/>
      </c>
      <c r="F3990" s="316" t="str">
        <f>IFERROR(VLOOKUP(A3990,[3]DOORSCRIEFT!$A$2:$G$8551,6,FALSE),"")</f>
        <v/>
      </c>
      <c r="G3990" s="315"/>
    </row>
    <row r="3991" spans="1:7" x14ac:dyDescent="0.25">
      <c r="A3991" s="339" t="str">
        <f t="shared" si="115"/>
        <v>I.2.4.024</v>
      </c>
      <c r="B3991" s="319">
        <v>4</v>
      </c>
      <c r="C3991" s="319" t="str">
        <f>IFERROR(VLOOKUP(A3991,[3]DOORSCRIEFT!$A$2:$G$8551,2,FALSE),"")</f>
        <v/>
      </c>
      <c r="D3991" s="318" t="str">
        <f>IFERROR(VLOOKUP(A3991,[3]DOORSCRIEFT!$A$2:$G$8551,3,FALSE),"")</f>
        <v/>
      </c>
      <c r="E3991" s="317" t="str">
        <f>IFERROR(VLOOKUP(A3991,[3]DOORSCRIEFT!$A$2:$G$8551,4,FALSE),"")</f>
        <v/>
      </c>
      <c r="F3991" s="316" t="str">
        <f>IFERROR(VLOOKUP(A3991,[3]DOORSCRIEFT!$A$2:$G$8551,6,FALSE),"")</f>
        <v/>
      </c>
      <c r="G3991" s="315"/>
    </row>
    <row r="3992" spans="1:7" x14ac:dyDescent="0.25">
      <c r="A3992" s="339" t="str">
        <f t="shared" si="115"/>
        <v>I.2.4.025</v>
      </c>
      <c r="B3992" s="319">
        <v>5</v>
      </c>
      <c r="C3992" s="319" t="str">
        <f>IFERROR(VLOOKUP(A3992,[3]DOORSCRIEFT!$A$2:$G$8551,2,FALSE),"")</f>
        <v/>
      </c>
      <c r="D3992" s="318" t="str">
        <f>IFERROR(VLOOKUP(A3992,[3]DOORSCRIEFT!$A$2:$G$8551,3,FALSE),"")</f>
        <v/>
      </c>
      <c r="E3992" s="317" t="str">
        <f>IFERROR(VLOOKUP(A3992,[3]DOORSCRIEFT!$A$2:$G$8551,4,FALSE),"")</f>
        <v/>
      </c>
      <c r="F3992" s="316" t="str">
        <f>IFERROR(VLOOKUP(A3992,[3]DOORSCRIEFT!$A$2:$G$8551,6,FALSE),"")</f>
        <v/>
      </c>
      <c r="G3992" s="315"/>
    </row>
    <row r="3993" spans="1:7" x14ac:dyDescent="0.25">
      <c r="A3993" s="339" t="str">
        <f t="shared" si="115"/>
        <v>I.2.4.026</v>
      </c>
      <c r="B3993" s="319">
        <v>6</v>
      </c>
      <c r="C3993" s="319" t="str">
        <f>IFERROR(VLOOKUP(A3993,[3]DOORSCRIEFT!$A$2:$G$8551,2,FALSE),"")</f>
        <v/>
      </c>
      <c r="D3993" s="318" t="str">
        <f>IFERROR(VLOOKUP(A3993,[3]DOORSCRIEFT!$A$2:$G$8551,3,FALSE),"")</f>
        <v/>
      </c>
      <c r="E3993" s="317" t="str">
        <f>IFERROR(VLOOKUP(A3993,[3]DOORSCRIEFT!$A$2:$G$8551,4,FALSE),"")</f>
        <v/>
      </c>
      <c r="F3993" s="316" t="str">
        <f>IFERROR(VLOOKUP(A3993,[3]DOORSCRIEFT!$A$2:$G$8551,6,FALSE),"")</f>
        <v/>
      </c>
      <c r="G3993" s="315"/>
    </row>
    <row r="3994" spans="1:7" x14ac:dyDescent="0.25">
      <c r="A3994" s="339" t="str">
        <f t="shared" si="115"/>
        <v>I.2.4.027</v>
      </c>
      <c r="B3994" s="319">
        <v>7</v>
      </c>
      <c r="C3994" s="319" t="str">
        <f>IFERROR(VLOOKUP(A3994,[3]DOORSCRIEFT!$A$2:$G$8551,2,FALSE),"")</f>
        <v/>
      </c>
      <c r="D3994" s="318" t="str">
        <f>IFERROR(VLOOKUP(A3994,[3]DOORSCRIEFT!$A$2:$G$8551,3,FALSE),"")</f>
        <v/>
      </c>
      <c r="E3994" s="317" t="str">
        <f>IFERROR(VLOOKUP(A3994,[3]DOORSCRIEFT!$A$2:$G$8551,4,FALSE),"")</f>
        <v/>
      </c>
      <c r="F3994" s="316" t="str">
        <f>IFERROR(VLOOKUP(A3994,[3]DOORSCRIEFT!$A$2:$G$8551,6,FALSE),"")</f>
        <v/>
      </c>
      <c r="G3994" s="315"/>
    </row>
    <row r="3995" spans="1:7" x14ac:dyDescent="0.25">
      <c r="A3995" s="339" t="str">
        <f t="shared" si="115"/>
        <v>I.2.4.028</v>
      </c>
      <c r="B3995" s="319">
        <v>8</v>
      </c>
      <c r="C3995" s="319" t="str">
        <f>IFERROR(VLOOKUP(A3995,[3]DOORSCRIEFT!$A$2:$G$8551,2,FALSE),"")</f>
        <v/>
      </c>
      <c r="D3995" s="318" t="str">
        <f>IFERROR(VLOOKUP(A3995,[3]DOORSCRIEFT!$A$2:$G$8551,3,FALSE),"")</f>
        <v/>
      </c>
      <c r="E3995" s="317" t="str">
        <f>IFERROR(VLOOKUP(A3995,[3]DOORSCRIEFT!$A$2:$G$8551,4,FALSE),"")</f>
        <v/>
      </c>
      <c r="F3995" s="316" t="str">
        <f>IFERROR(VLOOKUP(A3995,[3]DOORSCRIEFT!$A$2:$G$8551,6,FALSE),"")</f>
        <v/>
      </c>
      <c r="G3995" s="315"/>
    </row>
    <row r="3996" spans="1:7" x14ac:dyDescent="0.25">
      <c r="A3996" s="339" t="str">
        <f t="shared" si="115"/>
        <v>I.2.4.029</v>
      </c>
      <c r="B3996" s="319">
        <v>9</v>
      </c>
      <c r="C3996" s="319" t="str">
        <f>IFERROR(VLOOKUP(A3996,[3]DOORSCRIEFT!$A$2:$G$8551,2,FALSE),"")</f>
        <v/>
      </c>
      <c r="D3996" s="318" t="str">
        <f>IFERROR(VLOOKUP(A3996,[3]DOORSCRIEFT!$A$2:$G$8551,3,FALSE),"")</f>
        <v/>
      </c>
      <c r="E3996" s="317" t="str">
        <f>IFERROR(VLOOKUP(A3996,[3]DOORSCRIEFT!$A$2:$G$8551,4,FALSE),"")</f>
        <v/>
      </c>
      <c r="F3996" s="316" t="str">
        <f>IFERROR(VLOOKUP(A3996,[3]DOORSCRIEFT!$A$2:$G$8551,6,FALSE),"")</f>
        <v/>
      </c>
      <c r="G3996" s="315"/>
    </row>
    <row r="3997" spans="1:7" x14ac:dyDescent="0.25">
      <c r="A3997" s="339" t="str">
        <f t="shared" si="115"/>
        <v>I.2.4.0210</v>
      </c>
      <c r="B3997" s="319">
        <v>10</v>
      </c>
      <c r="C3997" s="319" t="str">
        <f>IFERROR(VLOOKUP(A3997,[3]DOORSCRIEFT!$A$2:$G$8551,2,FALSE),"")</f>
        <v/>
      </c>
      <c r="D3997" s="318" t="str">
        <f>IFERROR(VLOOKUP(A3997,[3]DOORSCRIEFT!$A$2:$G$8551,3,FALSE),"")</f>
        <v/>
      </c>
      <c r="E3997" s="317" t="str">
        <f>IFERROR(VLOOKUP(A3997,[3]DOORSCRIEFT!$A$2:$G$8551,4,FALSE),"")</f>
        <v/>
      </c>
      <c r="F3997" s="316" t="str">
        <f>IFERROR(VLOOKUP(A3997,[3]DOORSCRIEFT!$A$2:$G$8551,6,FALSE),"")</f>
        <v/>
      </c>
      <c r="G3997" s="315"/>
    </row>
    <row r="3998" spans="1:7" x14ac:dyDescent="0.25">
      <c r="A3998" s="339" t="str">
        <f t="shared" si="115"/>
        <v>I.2.4.0211</v>
      </c>
      <c r="B3998" s="319">
        <v>11</v>
      </c>
      <c r="C3998" s="319" t="str">
        <f>IFERROR(VLOOKUP(A3998,[3]DOORSCRIEFT!$A$2:$G$8551,2,FALSE),"")</f>
        <v/>
      </c>
      <c r="D3998" s="318" t="str">
        <f>IFERROR(VLOOKUP(A3998,[3]DOORSCRIEFT!$A$2:$G$8551,3,FALSE),"")</f>
        <v/>
      </c>
      <c r="E3998" s="317" t="str">
        <f>IFERROR(VLOOKUP(A3998,[3]DOORSCRIEFT!$A$2:$G$8551,4,FALSE),"")</f>
        <v/>
      </c>
      <c r="F3998" s="316" t="str">
        <f>IFERROR(VLOOKUP(A3998,[3]DOORSCRIEFT!$A$2:$G$8551,6,FALSE),"")</f>
        <v/>
      </c>
      <c r="G3998" s="315"/>
    </row>
    <row r="3999" spans="1:7" x14ac:dyDescent="0.25">
      <c r="A3999" s="339" t="str">
        <f t="shared" si="115"/>
        <v>I.2.4.0212</v>
      </c>
      <c r="B3999" s="319">
        <v>12</v>
      </c>
      <c r="C3999" s="319" t="str">
        <f>IFERROR(VLOOKUP(A3999,[3]DOORSCRIEFT!$A$2:$G$8551,2,FALSE),"")</f>
        <v/>
      </c>
      <c r="D3999" s="318" t="str">
        <f>IFERROR(VLOOKUP(A3999,[3]DOORSCRIEFT!$A$2:$G$8551,3,FALSE),"")</f>
        <v/>
      </c>
      <c r="E3999" s="317" t="str">
        <f>IFERROR(VLOOKUP(A3999,[3]DOORSCRIEFT!$A$2:$G$8551,4,FALSE),"")</f>
        <v/>
      </c>
      <c r="F3999" s="316" t="str">
        <f>IFERROR(VLOOKUP(A3999,[3]DOORSCRIEFT!$A$2:$G$8551,6,FALSE),"")</f>
        <v/>
      </c>
      <c r="G3999" s="315"/>
    </row>
    <row r="4000" spans="1:7" x14ac:dyDescent="0.25">
      <c r="A4000" s="339" t="str">
        <f t="shared" si="115"/>
        <v>I.2.4.0213</v>
      </c>
      <c r="B4000" s="319">
        <v>13</v>
      </c>
      <c r="C4000" s="319" t="str">
        <f>IFERROR(VLOOKUP(A4000,[3]DOORSCRIEFT!$A$2:$G$8551,2,FALSE),"")</f>
        <v/>
      </c>
      <c r="D4000" s="318" t="str">
        <f>IFERROR(VLOOKUP(A4000,[3]DOORSCRIEFT!$A$2:$G$8551,3,FALSE),"")</f>
        <v/>
      </c>
      <c r="E4000" s="317" t="str">
        <f>IFERROR(VLOOKUP(A4000,[3]DOORSCRIEFT!$A$2:$G$8551,4,FALSE),"")</f>
        <v/>
      </c>
      <c r="F4000" s="316" t="str">
        <f>IFERROR(VLOOKUP(A4000,[3]DOORSCRIEFT!$A$2:$G$8551,6,FALSE),"")</f>
        <v/>
      </c>
      <c r="G4000" s="315"/>
    </row>
    <row r="4001" spans="1:7" x14ac:dyDescent="0.25">
      <c r="A4001" s="339" t="str">
        <f t="shared" si="115"/>
        <v>I.2.4.0214</v>
      </c>
      <c r="B4001" s="319">
        <v>14</v>
      </c>
      <c r="C4001" s="319" t="str">
        <f>IFERROR(VLOOKUP(A4001,[3]DOORSCRIEFT!$A$2:$G$8551,2,FALSE),"")</f>
        <v/>
      </c>
      <c r="D4001" s="318" t="str">
        <f>IFERROR(VLOOKUP(A4001,[3]DOORSCRIEFT!$A$2:$G$8551,3,FALSE),"")</f>
        <v/>
      </c>
      <c r="E4001" s="317" t="str">
        <f>IFERROR(VLOOKUP(A4001,[3]DOORSCRIEFT!$A$2:$G$8551,4,FALSE),"")</f>
        <v/>
      </c>
      <c r="F4001" s="316" t="str">
        <f>IFERROR(VLOOKUP(A4001,[3]DOORSCRIEFT!$A$2:$G$8551,6,FALSE),"")</f>
        <v/>
      </c>
      <c r="G4001" s="315"/>
    </row>
    <row r="4002" spans="1:7" ht="15.75" thickBot="1" x14ac:dyDescent="0.3">
      <c r="A4002" s="353" t="str">
        <f t="shared" si="115"/>
        <v>I.2.4.0215</v>
      </c>
      <c r="B4002" s="345">
        <v>15</v>
      </c>
      <c r="C4002" s="319" t="str">
        <f>IFERROR(VLOOKUP(A4002,[3]DOORSCRIEFT!$A$2:$G$8551,2,FALSE),"")</f>
        <v/>
      </c>
      <c r="D4002" s="318" t="str">
        <f>IFERROR(VLOOKUP(A4002,[3]DOORSCRIEFT!$A$2:$G$8551,3,FALSE),"")</f>
        <v/>
      </c>
      <c r="E4002" s="317" t="str">
        <f>IFERROR(VLOOKUP(A4002,[3]DOORSCRIEFT!$A$2:$G$8551,4,FALSE),"")</f>
        <v/>
      </c>
      <c r="F4002" s="316" t="str">
        <f>IFERROR(VLOOKUP(A4002,[3]DOORSCRIEFT!$A$2:$G$8551,6,FALSE),"")</f>
        <v/>
      </c>
      <c r="G4002" s="315"/>
    </row>
    <row r="4003" spans="1:7" ht="15.75" thickBot="1" x14ac:dyDescent="0.3">
      <c r="A4003" s="344"/>
      <c r="B4003" s="343"/>
      <c r="C4003" s="336"/>
      <c r="D4003" s="312"/>
      <c r="E4003" s="311" t="s">
        <v>644</v>
      </c>
      <c r="F4003" s="310">
        <f>SUM(F3988:F4002)</f>
        <v>0</v>
      </c>
      <c r="G4003" s="309">
        <f>SUM(G3988:G4002)</f>
        <v>0</v>
      </c>
    </row>
    <row r="4004" spans="1:7" x14ac:dyDescent="0.25">
      <c r="C4004" s="335"/>
    </row>
    <row r="4005" spans="1:7" x14ac:dyDescent="0.25">
      <c r="C4005" s="335"/>
    </row>
    <row r="4006" spans="1:7" ht="15.75" x14ac:dyDescent="0.25">
      <c r="C4006" s="334"/>
      <c r="D4006" s="333"/>
      <c r="E4006" s="332"/>
      <c r="F4006" s="327" t="s">
        <v>607</v>
      </c>
      <c r="G4006" s="327" t="s">
        <v>611</v>
      </c>
    </row>
    <row r="4007" spans="1:7" ht="15.75" x14ac:dyDescent="0.25">
      <c r="C4007" s="334"/>
      <c r="D4007" s="333"/>
      <c r="E4007" s="332"/>
      <c r="F4007" s="327" t="s">
        <v>601</v>
      </c>
      <c r="G4007" s="327" t="s">
        <v>168</v>
      </c>
    </row>
    <row r="4008" spans="1:7" x14ac:dyDescent="0.25">
      <c r="C4008" s="330"/>
      <c r="D4008" s="329"/>
      <c r="E4008" s="328"/>
      <c r="F4008" s="327" t="s">
        <v>651</v>
      </c>
      <c r="G4008" s="331">
        <f>[2]Sheet1!$D$109</f>
        <v>0</v>
      </c>
    </row>
    <row r="4009" spans="1:7" ht="15.75" thickBot="1" x14ac:dyDescent="0.3">
      <c r="C4009" s="330"/>
      <c r="D4009" s="329"/>
      <c r="E4009" s="328"/>
      <c r="F4009" s="327" t="s">
        <v>650</v>
      </c>
      <c r="G4009" s="326">
        <f>+F4095-G4008</f>
        <v>452000</v>
      </c>
    </row>
    <row r="4010" spans="1:7" x14ac:dyDescent="0.25">
      <c r="A4010" s="573" t="s">
        <v>626</v>
      </c>
      <c r="B4010" s="573" t="s">
        <v>606</v>
      </c>
      <c r="C4010" s="588" t="s">
        <v>649</v>
      </c>
      <c r="D4010" s="577" t="s">
        <v>648</v>
      </c>
      <c r="E4010" s="577" t="s">
        <v>647</v>
      </c>
      <c r="F4010" s="577" t="s">
        <v>646</v>
      </c>
      <c r="G4010" s="580" t="s">
        <v>645</v>
      </c>
    </row>
    <row r="4011" spans="1:7" ht="15.75" thickBot="1" x14ac:dyDescent="0.3">
      <c r="A4011" s="574"/>
      <c r="B4011" s="574"/>
      <c r="C4011" s="589"/>
      <c r="D4011" s="586"/>
      <c r="E4011" s="586"/>
      <c r="F4011" s="586"/>
      <c r="G4011" s="587"/>
    </row>
    <row r="4012" spans="1:7" ht="15.75" thickBot="1" x14ac:dyDescent="0.3">
      <c r="A4012" s="325">
        <v>1</v>
      </c>
      <c r="B4012" s="324">
        <v>2</v>
      </c>
      <c r="C4012" s="324">
        <v>3</v>
      </c>
      <c r="D4012" s="324">
        <v>4</v>
      </c>
      <c r="E4012" s="324">
        <v>5</v>
      </c>
      <c r="F4012" s="324">
        <v>6</v>
      </c>
      <c r="G4012" s="323">
        <v>7</v>
      </c>
    </row>
    <row r="4013" spans="1:7" x14ac:dyDescent="0.25">
      <c r="A4013" s="360" t="str">
        <f t="shared" ref="A4013:A4044" si="116">$G$4006&amp;B4013</f>
        <v>I.3.1.1.01.0011</v>
      </c>
      <c r="B4013" s="339">
        <v>1</v>
      </c>
      <c r="C4013" s="319">
        <f>IFERROR(VLOOKUP(A4013,[3]DOORSCRIEFT!$A$2:$G$8551,2,FALSE),"")</f>
        <v>359</v>
      </c>
      <c r="D4013" s="318">
        <f>IFERROR(VLOOKUP(A4013,[3]DOORSCRIEFT!$A$2:$G$8551,3,FALSE),"")</f>
        <v>46096</v>
      </c>
      <c r="E4013" s="317" t="str">
        <f>IFERROR(VLOOKUP(A4013,[3]DOORSCRIEFT!$A$2:$G$8551,4,FALSE),"")</f>
        <v>Kolekta Malam Bedah anak anak sidi baru</v>
      </c>
      <c r="F4013" s="316">
        <f>IFERROR(VLOOKUP(A4013,[3]DOORSCRIEFT!$A$2:$G$8551,6,FALSE),"")</f>
        <v>452000</v>
      </c>
      <c r="G4013" s="322"/>
    </row>
    <row r="4014" spans="1:7" x14ac:dyDescent="0.25">
      <c r="A4014" s="360" t="str">
        <f t="shared" si="116"/>
        <v>I.3.1.1.01.0012</v>
      </c>
      <c r="B4014" s="319">
        <v>2</v>
      </c>
      <c r="C4014" s="319" t="str">
        <f>IFERROR(VLOOKUP(A4014,[3]DOORSCRIEFT!$A$2:$G$8551,2,FALSE),"")</f>
        <v/>
      </c>
      <c r="D4014" s="318" t="str">
        <f>IFERROR(VLOOKUP(A4014,[3]DOORSCRIEFT!$A$2:$G$8551,3,FALSE),"")</f>
        <v/>
      </c>
      <c r="E4014" s="317" t="str">
        <f>IFERROR(VLOOKUP(A4014,[3]DOORSCRIEFT!$A$2:$G$8551,4,FALSE),"")</f>
        <v/>
      </c>
      <c r="F4014" s="316" t="str">
        <f>IFERROR(VLOOKUP(A4014,[3]DOORSCRIEFT!$A$2:$G$8551,6,FALSE),"")</f>
        <v/>
      </c>
      <c r="G4014" s="315"/>
    </row>
    <row r="4015" spans="1:7" x14ac:dyDescent="0.25">
      <c r="A4015" s="360" t="str">
        <f t="shared" si="116"/>
        <v>I.3.1.1.01.0013</v>
      </c>
      <c r="B4015" s="319">
        <v>3</v>
      </c>
      <c r="C4015" s="319" t="str">
        <f>IFERROR(VLOOKUP(A4015,[3]DOORSCRIEFT!$A$2:$G$8551,2,FALSE),"")</f>
        <v/>
      </c>
      <c r="D4015" s="318" t="str">
        <f>IFERROR(VLOOKUP(A4015,[3]DOORSCRIEFT!$A$2:$G$8551,3,FALSE),"")</f>
        <v/>
      </c>
      <c r="E4015" s="317" t="str">
        <f>IFERROR(VLOOKUP(A4015,[3]DOORSCRIEFT!$A$2:$G$8551,4,FALSE),"")</f>
        <v/>
      </c>
      <c r="F4015" s="316" t="str">
        <f>IFERROR(VLOOKUP(A4015,[3]DOORSCRIEFT!$A$2:$G$8551,6,FALSE),"")</f>
        <v/>
      </c>
      <c r="G4015" s="315"/>
    </row>
    <row r="4016" spans="1:7" x14ac:dyDescent="0.25">
      <c r="A4016" s="360" t="str">
        <f t="shared" si="116"/>
        <v>I.3.1.1.01.0014</v>
      </c>
      <c r="B4016" s="319">
        <v>4</v>
      </c>
      <c r="C4016" s="319" t="str">
        <f>IFERROR(VLOOKUP(A4016,[3]DOORSCRIEFT!$A$2:$G$8551,2,FALSE),"")</f>
        <v/>
      </c>
      <c r="D4016" s="318" t="str">
        <f>IFERROR(VLOOKUP(A4016,[3]DOORSCRIEFT!$A$2:$G$8551,3,FALSE),"")</f>
        <v/>
      </c>
      <c r="E4016" s="317" t="str">
        <f>IFERROR(VLOOKUP(A4016,[3]DOORSCRIEFT!$A$2:$G$8551,4,FALSE),"")</f>
        <v/>
      </c>
      <c r="F4016" s="316" t="str">
        <f>IFERROR(VLOOKUP(A4016,[3]DOORSCRIEFT!$A$2:$G$8551,6,FALSE),"")</f>
        <v/>
      </c>
      <c r="G4016" s="315"/>
    </row>
    <row r="4017" spans="1:7" x14ac:dyDescent="0.25">
      <c r="A4017" s="360" t="str">
        <f t="shared" si="116"/>
        <v>I.3.1.1.01.0015</v>
      </c>
      <c r="B4017" s="319">
        <v>5</v>
      </c>
      <c r="C4017" s="319" t="str">
        <f>IFERROR(VLOOKUP(A4017,[3]DOORSCRIEFT!$A$2:$G$8551,2,FALSE),"")</f>
        <v/>
      </c>
      <c r="D4017" s="318" t="str">
        <f>IFERROR(VLOOKUP(A4017,[3]DOORSCRIEFT!$A$2:$G$8551,3,FALSE),"")</f>
        <v/>
      </c>
      <c r="E4017" s="317" t="str">
        <f>IFERROR(VLOOKUP(A4017,[3]DOORSCRIEFT!$A$2:$G$8551,4,FALSE),"")</f>
        <v/>
      </c>
      <c r="F4017" s="316" t="str">
        <f>IFERROR(VLOOKUP(A4017,[3]DOORSCRIEFT!$A$2:$G$8551,6,FALSE),"")</f>
        <v/>
      </c>
      <c r="G4017" s="315"/>
    </row>
    <row r="4018" spans="1:7" x14ac:dyDescent="0.25">
      <c r="A4018" s="360" t="str">
        <f t="shared" si="116"/>
        <v>I.3.1.1.01.0016</v>
      </c>
      <c r="B4018" s="319">
        <v>6</v>
      </c>
      <c r="C4018" s="319" t="str">
        <f>IFERROR(VLOOKUP(A4018,[3]DOORSCRIEFT!$A$2:$G$8551,2,FALSE),"")</f>
        <v/>
      </c>
      <c r="D4018" s="318" t="str">
        <f>IFERROR(VLOOKUP(A4018,[3]DOORSCRIEFT!$A$2:$G$8551,3,FALSE),"")</f>
        <v/>
      </c>
      <c r="E4018" s="317" t="str">
        <f>IFERROR(VLOOKUP(A4018,[3]DOORSCRIEFT!$A$2:$G$8551,4,FALSE),"")</f>
        <v/>
      </c>
      <c r="F4018" s="316" t="str">
        <f>IFERROR(VLOOKUP(A4018,[3]DOORSCRIEFT!$A$2:$G$8551,6,FALSE),"")</f>
        <v/>
      </c>
      <c r="G4018" s="315"/>
    </row>
    <row r="4019" spans="1:7" x14ac:dyDescent="0.25">
      <c r="A4019" s="360" t="str">
        <f t="shared" si="116"/>
        <v>I.3.1.1.01.0017</v>
      </c>
      <c r="B4019" s="319">
        <v>7</v>
      </c>
      <c r="C4019" s="319" t="str">
        <f>IFERROR(VLOOKUP(A4019,[3]DOORSCRIEFT!$A$2:$G$8551,2,FALSE),"")</f>
        <v/>
      </c>
      <c r="D4019" s="318" t="str">
        <f>IFERROR(VLOOKUP(A4019,[3]DOORSCRIEFT!$A$2:$G$8551,3,FALSE),"")</f>
        <v/>
      </c>
      <c r="E4019" s="317" t="str">
        <f>IFERROR(VLOOKUP(A4019,[3]DOORSCRIEFT!$A$2:$G$8551,4,FALSE),"")</f>
        <v/>
      </c>
      <c r="F4019" s="316" t="str">
        <f>IFERROR(VLOOKUP(A4019,[3]DOORSCRIEFT!$A$2:$G$8551,6,FALSE),"")</f>
        <v/>
      </c>
      <c r="G4019" s="315"/>
    </row>
    <row r="4020" spans="1:7" x14ac:dyDescent="0.25">
      <c r="A4020" s="360" t="str">
        <f t="shared" si="116"/>
        <v>I.3.1.1.01.0018</v>
      </c>
      <c r="B4020" s="319">
        <v>8</v>
      </c>
      <c r="C4020" s="319" t="str">
        <f>IFERROR(VLOOKUP(A4020,[3]DOORSCRIEFT!$A$2:$G$8551,2,FALSE),"")</f>
        <v/>
      </c>
      <c r="D4020" s="318" t="str">
        <f>IFERROR(VLOOKUP(A4020,[3]DOORSCRIEFT!$A$2:$G$8551,3,FALSE),"")</f>
        <v/>
      </c>
      <c r="E4020" s="317" t="str">
        <f>IFERROR(VLOOKUP(A4020,[3]DOORSCRIEFT!$A$2:$G$8551,4,FALSE),"")</f>
        <v/>
      </c>
      <c r="F4020" s="316" t="str">
        <f>IFERROR(VLOOKUP(A4020,[3]DOORSCRIEFT!$A$2:$G$8551,6,FALSE),"")</f>
        <v/>
      </c>
      <c r="G4020" s="315"/>
    </row>
    <row r="4021" spans="1:7" x14ac:dyDescent="0.25">
      <c r="A4021" s="360" t="str">
        <f t="shared" si="116"/>
        <v>I.3.1.1.01.0019</v>
      </c>
      <c r="B4021" s="319">
        <v>9</v>
      </c>
      <c r="C4021" s="319" t="str">
        <f>IFERROR(VLOOKUP(A4021,[3]DOORSCRIEFT!$A$2:$G$8551,2,FALSE),"")</f>
        <v/>
      </c>
      <c r="D4021" s="318" t="str">
        <f>IFERROR(VLOOKUP(A4021,[3]DOORSCRIEFT!$A$2:$G$8551,3,FALSE),"")</f>
        <v/>
      </c>
      <c r="E4021" s="317" t="str">
        <f>IFERROR(VLOOKUP(A4021,[3]DOORSCRIEFT!$A$2:$G$8551,4,FALSE),"")</f>
        <v/>
      </c>
      <c r="F4021" s="316" t="str">
        <f>IFERROR(VLOOKUP(A4021,[3]DOORSCRIEFT!$A$2:$G$8551,6,FALSE),"")</f>
        <v/>
      </c>
      <c r="G4021" s="315"/>
    </row>
    <row r="4022" spans="1:7" x14ac:dyDescent="0.25">
      <c r="A4022" s="360" t="str">
        <f t="shared" si="116"/>
        <v>I.3.1.1.01.00110</v>
      </c>
      <c r="B4022" s="319">
        <v>10</v>
      </c>
      <c r="C4022" s="319" t="str">
        <f>IFERROR(VLOOKUP(A4022,[3]DOORSCRIEFT!$A$2:$G$8551,2,FALSE),"")</f>
        <v/>
      </c>
      <c r="D4022" s="318" t="str">
        <f>IFERROR(VLOOKUP(A4022,[3]DOORSCRIEFT!$A$2:$G$8551,3,FALSE),"")</f>
        <v/>
      </c>
      <c r="E4022" s="317" t="str">
        <f>IFERROR(VLOOKUP(A4022,[3]DOORSCRIEFT!$A$2:$G$8551,4,FALSE),"")</f>
        <v/>
      </c>
      <c r="F4022" s="316" t="str">
        <f>IFERROR(VLOOKUP(A4022,[3]DOORSCRIEFT!$A$2:$G$8551,6,FALSE),"")</f>
        <v/>
      </c>
      <c r="G4022" s="315"/>
    </row>
    <row r="4023" spans="1:7" x14ac:dyDescent="0.25">
      <c r="A4023" s="360" t="str">
        <f t="shared" si="116"/>
        <v>I.3.1.1.01.00111</v>
      </c>
      <c r="B4023" s="319">
        <v>11</v>
      </c>
      <c r="C4023" s="319" t="str">
        <f>IFERROR(VLOOKUP(A4023,[3]DOORSCRIEFT!$A$2:$G$8551,2,FALSE),"")</f>
        <v/>
      </c>
      <c r="D4023" s="318" t="str">
        <f>IFERROR(VLOOKUP(A4023,[3]DOORSCRIEFT!$A$2:$G$8551,3,FALSE),"")</f>
        <v/>
      </c>
      <c r="E4023" s="317" t="str">
        <f>IFERROR(VLOOKUP(A4023,[3]DOORSCRIEFT!$A$2:$G$8551,4,FALSE),"")</f>
        <v/>
      </c>
      <c r="F4023" s="316" t="str">
        <f>IFERROR(VLOOKUP(A4023,[3]DOORSCRIEFT!$A$2:$G$8551,6,FALSE),"")</f>
        <v/>
      </c>
      <c r="G4023" s="315"/>
    </row>
    <row r="4024" spans="1:7" x14ac:dyDescent="0.25">
      <c r="A4024" s="360" t="str">
        <f t="shared" si="116"/>
        <v>I.3.1.1.01.00112</v>
      </c>
      <c r="B4024" s="319">
        <v>12</v>
      </c>
      <c r="C4024" s="319" t="str">
        <f>IFERROR(VLOOKUP(A4024,[3]DOORSCRIEFT!$A$2:$G$8551,2,FALSE),"")</f>
        <v/>
      </c>
      <c r="D4024" s="318" t="str">
        <f>IFERROR(VLOOKUP(A4024,[3]DOORSCRIEFT!$A$2:$G$8551,3,FALSE),"")</f>
        <v/>
      </c>
      <c r="E4024" s="317" t="str">
        <f>IFERROR(VLOOKUP(A4024,[3]DOORSCRIEFT!$A$2:$G$8551,4,FALSE),"")</f>
        <v/>
      </c>
      <c r="F4024" s="316" t="str">
        <f>IFERROR(VLOOKUP(A4024,[3]DOORSCRIEFT!$A$2:$G$8551,6,FALSE),"")</f>
        <v/>
      </c>
      <c r="G4024" s="315"/>
    </row>
    <row r="4025" spans="1:7" x14ac:dyDescent="0.25">
      <c r="A4025" s="360" t="str">
        <f t="shared" si="116"/>
        <v>I.3.1.1.01.00113</v>
      </c>
      <c r="B4025" s="319">
        <v>13</v>
      </c>
      <c r="C4025" s="319" t="str">
        <f>IFERROR(VLOOKUP(A4025,[3]DOORSCRIEFT!$A$2:$G$8551,2,FALSE),"")</f>
        <v/>
      </c>
      <c r="D4025" s="318" t="str">
        <f>IFERROR(VLOOKUP(A4025,[3]DOORSCRIEFT!$A$2:$G$8551,3,FALSE),"")</f>
        <v/>
      </c>
      <c r="E4025" s="317" t="str">
        <f>IFERROR(VLOOKUP(A4025,[3]DOORSCRIEFT!$A$2:$G$8551,4,FALSE),"")</f>
        <v/>
      </c>
      <c r="F4025" s="316" t="str">
        <f>IFERROR(VLOOKUP(A4025,[3]DOORSCRIEFT!$A$2:$G$8551,6,FALSE),"")</f>
        <v/>
      </c>
      <c r="G4025" s="315"/>
    </row>
    <row r="4026" spans="1:7" x14ac:dyDescent="0.25">
      <c r="A4026" s="360" t="str">
        <f t="shared" si="116"/>
        <v>I.3.1.1.01.00114</v>
      </c>
      <c r="B4026" s="319">
        <v>14</v>
      </c>
      <c r="C4026" s="319" t="str">
        <f>IFERROR(VLOOKUP(A4026,[3]DOORSCRIEFT!$A$2:$G$8551,2,FALSE),"")</f>
        <v/>
      </c>
      <c r="D4026" s="318" t="str">
        <f>IFERROR(VLOOKUP(A4026,[3]DOORSCRIEFT!$A$2:$G$8551,3,FALSE),"")</f>
        <v/>
      </c>
      <c r="E4026" s="317" t="str">
        <f>IFERROR(VLOOKUP(A4026,[3]DOORSCRIEFT!$A$2:$G$8551,4,FALSE),"")</f>
        <v/>
      </c>
      <c r="F4026" s="316" t="str">
        <f>IFERROR(VLOOKUP(A4026,[3]DOORSCRIEFT!$A$2:$G$8551,6,FALSE),"")</f>
        <v/>
      </c>
      <c r="G4026" s="315"/>
    </row>
    <row r="4027" spans="1:7" x14ac:dyDescent="0.25">
      <c r="A4027" s="360" t="str">
        <f t="shared" si="116"/>
        <v>I.3.1.1.01.00115</v>
      </c>
      <c r="B4027" s="319">
        <v>15</v>
      </c>
      <c r="C4027" s="319" t="str">
        <f>IFERROR(VLOOKUP(A4027,[3]DOORSCRIEFT!$A$2:$G$8551,2,FALSE),"")</f>
        <v/>
      </c>
      <c r="D4027" s="318" t="str">
        <f>IFERROR(VLOOKUP(A4027,[3]DOORSCRIEFT!$A$2:$G$8551,3,FALSE),"")</f>
        <v/>
      </c>
      <c r="E4027" s="317" t="str">
        <f>IFERROR(VLOOKUP(A4027,[3]DOORSCRIEFT!$A$2:$G$8551,4,FALSE),"")</f>
        <v/>
      </c>
      <c r="F4027" s="316" t="str">
        <f>IFERROR(VLOOKUP(A4027,[3]DOORSCRIEFT!$A$2:$G$8551,6,FALSE),"")</f>
        <v/>
      </c>
      <c r="G4027" s="315"/>
    </row>
    <row r="4028" spans="1:7" x14ac:dyDescent="0.25">
      <c r="A4028" s="360" t="str">
        <f t="shared" si="116"/>
        <v>I.3.1.1.01.00116</v>
      </c>
      <c r="B4028" s="319">
        <v>16</v>
      </c>
      <c r="C4028" s="319" t="str">
        <f>IFERROR(VLOOKUP(A4028,[3]DOORSCRIEFT!$A$2:$G$8551,2,FALSE),"")</f>
        <v/>
      </c>
      <c r="D4028" s="318" t="str">
        <f>IFERROR(VLOOKUP(A4028,[3]DOORSCRIEFT!$A$2:$G$8551,3,FALSE),"")</f>
        <v/>
      </c>
      <c r="E4028" s="317" t="str">
        <f>IFERROR(VLOOKUP(A4028,[3]DOORSCRIEFT!$A$2:$G$8551,4,FALSE),"")</f>
        <v/>
      </c>
      <c r="F4028" s="316" t="str">
        <f>IFERROR(VLOOKUP(A4028,[3]DOORSCRIEFT!$A$2:$G$8551,6,FALSE),"")</f>
        <v/>
      </c>
      <c r="G4028" s="315"/>
    </row>
    <row r="4029" spans="1:7" x14ac:dyDescent="0.25">
      <c r="A4029" s="360" t="str">
        <f t="shared" si="116"/>
        <v>I.3.1.1.01.00117</v>
      </c>
      <c r="B4029" s="319">
        <v>17</v>
      </c>
      <c r="C4029" s="319" t="str">
        <f>IFERROR(VLOOKUP(A4029,[3]DOORSCRIEFT!$A$2:$G$8551,2,FALSE),"")</f>
        <v/>
      </c>
      <c r="D4029" s="318" t="str">
        <f>IFERROR(VLOOKUP(A4029,[3]DOORSCRIEFT!$A$2:$G$8551,3,FALSE),"")</f>
        <v/>
      </c>
      <c r="E4029" s="317" t="str">
        <f>IFERROR(VLOOKUP(A4029,[3]DOORSCRIEFT!$A$2:$G$8551,4,FALSE),"")</f>
        <v/>
      </c>
      <c r="F4029" s="316" t="str">
        <f>IFERROR(VLOOKUP(A4029,[3]DOORSCRIEFT!$A$2:$G$8551,6,FALSE),"")</f>
        <v/>
      </c>
      <c r="G4029" s="315"/>
    </row>
    <row r="4030" spans="1:7" x14ac:dyDescent="0.25">
      <c r="A4030" s="360" t="str">
        <f t="shared" si="116"/>
        <v>I.3.1.1.01.00118</v>
      </c>
      <c r="B4030" s="319">
        <v>18</v>
      </c>
      <c r="C4030" s="319" t="str">
        <f>IFERROR(VLOOKUP(A4030,[3]DOORSCRIEFT!$A$2:$G$8551,2,FALSE),"")</f>
        <v/>
      </c>
      <c r="D4030" s="318" t="str">
        <f>IFERROR(VLOOKUP(A4030,[3]DOORSCRIEFT!$A$2:$G$8551,3,FALSE),"")</f>
        <v/>
      </c>
      <c r="E4030" s="317" t="str">
        <f>IFERROR(VLOOKUP(A4030,[3]DOORSCRIEFT!$A$2:$G$8551,4,FALSE),"")</f>
        <v/>
      </c>
      <c r="F4030" s="316" t="str">
        <f>IFERROR(VLOOKUP(A4030,[3]DOORSCRIEFT!$A$2:$G$8551,6,FALSE),"")</f>
        <v/>
      </c>
      <c r="G4030" s="315"/>
    </row>
    <row r="4031" spans="1:7" x14ac:dyDescent="0.25">
      <c r="A4031" s="360" t="str">
        <f t="shared" si="116"/>
        <v>I.3.1.1.01.00119</v>
      </c>
      <c r="B4031" s="319">
        <v>19</v>
      </c>
      <c r="C4031" s="319" t="str">
        <f>IFERROR(VLOOKUP(A4031,[3]DOORSCRIEFT!$A$2:$G$8551,2,FALSE),"")</f>
        <v/>
      </c>
      <c r="D4031" s="318" t="str">
        <f>IFERROR(VLOOKUP(A4031,[3]DOORSCRIEFT!$A$2:$G$8551,3,FALSE),"")</f>
        <v/>
      </c>
      <c r="E4031" s="317" t="str">
        <f>IFERROR(VLOOKUP(A4031,[3]DOORSCRIEFT!$A$2:$G$8551,4,FALSE),"")</f>
        <v/>
      </c>
      <c r="F4031" s="316" t="str">
        <f>IFERROR(VLOOKUP(A4031,[3]DOORSCRIEFT!$A$2:$G$8551,6,FALSE),"")</f>
        <v/>
      </c>
      <c r="G4031" s="315"/>
    </row>
    <row r="4032" spans="1:7" x14ac:dyDescent="0.25">
      <c r="A4032" s="360" t="str">
        <f t="shared" si="116"/>
        <v>I.3.1.1.01.00120</v>
      </c>
      <c r="B4032" s="319">
        <v>20</v>
      </c>
      <c r="C4032" s="319" t="str">
        <f>IFERROR(VLOOKUP(A4032,[3]DOORSCRIEFT!$A$2:$G$8551,2,FALSE),"")</f>
        <v/>
      </c>
      <c r="D4032" s="318" t="str">
        <f>IFERROR(VLOOKUP(A4032,[3]DOORSCRIEFT!$A$2:$G$8551,3,FALSE),"")</f>
        <v/>
      </c>
      <c r="E4032" s="317" t="str">
        <f>IFERROR(VLOOKUP(A4032,[3]DOORSCRIEFT!$A$2:$G$8551,4,FALSE),"")</f>
        <v/>
      </c>
      <c r="F4032" s="316" t="str">
        <f>IFERROR(VLOOKUP(A4032,[3]DOORSCRIEFT!$A$2:$G$8551,6,FALSE),"")</f>
        <v/>
      </c>
      <c r="G4032" s="315"/>
    </row>
    <row r="4033" spans="1:7" x14ac:dyDescent="0.25">
      <c r="A4033" s="360" t="str">
        <f t="shared" si="116"/>
        <v>I.3.1.1.01.00121</v>
      </c>
      <c r="B4033" s="319">
        <v>21</v>
      </c>
      <c r="C4033" s="319" t="str">
        <f>IFERROR(VLOOKUP(A4033,[3]DOORSCRIEFT!$A$2:$G$8551,2,FALSE),"")</f>
        <v/>
      </c>
      <c r="D4033" s="318" t="str">
        <f>IFERROR(VLOOKUP(A4033,[3]DOORSCRIEFT!$A$2:$G$8551,3,FALSE),"")</f>
        <v/>
      </c>
      <c r="E4033" s="317" t="str">
        <f>IFERROR(VLOOKUP(A4033,[3]DOORSCRIEFT!$A$2:$G$8551,4,FALSE),"")</f>
        <v/>
      </c>
      <c r="F4033" s="316" t="str">
        <f>IFERROR(VLOOKUP(A4033,[3]DOORSCRIEFT!$A$2:$G$8551,6,FALSE),"")</f>
        <v/>
      </c>
      <c r="G4033" s="315"/>
    </row>
    <row r="4034" spans="1:7" x14ac:dyDescent="0.25">
      <c r="A4034" s="360" t="str">
        <f t="shared" si="116"/>
        <v>I.3.1.1.01.00122</v>
      </c>
      <c r="B4034" s="319">
        <v>22</v>
      </c>
      <c r="C4034" s="319" t="str">
        <f>IFERROR(VLOOKUP(A4034,[3]DOORSCRIEFT!$A$2:$G$8551,2,FALSE),"")</f>
        <v/>
      </c>
      <c r="D4034" s="318" t="str">
        <f>IFERROR(VLOOKUP(A4034,[3]DOORSCRIEFT!$A$2:$G$8551,3,FALSE),"")</f>
        <v/>
      </c>
      <c r="E4034" s="317" t="str">
        <f>IFERROR(VLOOKUP(A4034,[3]DOORSCRIEFT!$A$2:$G$8551,4,FALSE),"")</f>
        <v/>
      </c>
      <c r="F4034" s="316" t="str">
        <f>IFERROR(VLOOKUP(A4034,[3]DOORSCRIEFT!$A$2:$G$8551,6,FALSE),"")</f>
        <v/>
      </c>
      <c r="G4034" s="315"/>
    </row>
    <row r="4035" spans="1:7" x14ac:dyDescent="0.25">
      <c r="A4035" s="360" t="str">
        <f t="shared" si="116"/>
        <v>I.3.1.1.01.00123</v>
      </c>
      <c r="B4035" s="319">
        <v>23</v>
      </c>
      <c r="C4035" s="319" t="str">
        <f>IFERROR(VLOOKUP(A4035,[3]DOORSCRIEFT!$A$2:$G$8551,2,FALSE),"")</f>
        <v/>
      </c>
      <c r="D4035" s="318" t="str">
        <f>IFERROR(VLOOKUP(A4035,[3]DOORSCRIEFT!$A$2:$G$8551,3,FALSE),"")</f>
        <v/>
      </c>
      <c r="E4035" s="317" t="str">
        <f>IFERROR(VLOOKUP(A4035,[3]DOORSCRIEFT!$A$2:$G$8551,4,FALSE),"")</f>
        <v/>
      </c>
      <c r="F4035" s="316" t="str">
        <f>IFERROR(VLOOKUP(A4035,[3]DOORSCRIEFT!$A$2:$G$8551,6,FALSE),"")</f>
        <v/>
      </c>
      <c r="G4035" s="315"/>
    </row>
    <row r="4036" spans="1:7" x14ac:dyDescent="0.25">
      <c r="A4036" s="360" t="str">
        <f t="shared" si="116"/>
        <v>I.3.1.1.01.00124</v>
      </c>
      <c r="B4036" s="319">
        <v>24</v>
      </c>
      <c r="C4036" s="319" t="str">
        <f>IFERROR(VLOOKUP(A4036,[3]DOORSCRIEFT!$A$2:$G$8551,2,FALSE),"")</f>
        <v/>
      </c>
      <c r="D4036" s="318" t="str">
        <f>IFERROR(VLOOKUP(A4036,[3]DOORSCRIEFT!$A$2:$G$8551,3,FALSE),"")</f>
        <v/>
      </c>
      <c r="E4036" s="317" t="str">
        <f>IFERROR(VLOOKUP(A4036,[3]DOORSCRIEFT!$A$2:$G$8551,4,FALSE),"")</f>
        <v/>
      </c>
      <c r="F4036" s="316" t="str">
        <f>IFERROR(VLOOKUP(A4036,[3]DOORSCRIEFT!$A$2:$G$8551,6,FALSE),"")</f>
        <v/>
      </c>
      <c r="G4036" s="315"/>
    </row>
    <row r="4037" spans="1:7" x14ac:dyDescent="0.25">
      <c r="A4037" s="360" t="str">
        <f t="shared" si="116"/>
        <v>I.3.1.1.01.00125</v>
      </c>
      <c r="B4037" s="319">
        <v>25</v>
      </c>
      <c r="C4037" s="319" t="str">
        <f>IFERROR(VLOOKUP(A4037,[3]DOORSCRIEFT!$A$2:$G$8551,2,FALSE),"")</f>
        <v/>
      </c>
      <c r="D4037" s="318" t="str">
        <f>IFERROR(VLOOKUP(A4037,[3]DOORSCRIEFT!$A$2:$G$8551,3,FALSE),"")</f>
        <v/>
      </c>
      <c r="E4037" s="317" t="str">
        <f>IFERROR(VLOOKUP(A4037,[3]DOORSCRIEFT!$A$2:$G$8551,4,FALSE),"")</f>
        <v/>
      </c>
      <c r="F4037" s="316" t="str">
        <f>IFERROR(VLOOKUP(A4037,[3]DOORSCRIEFT!$A$2:$G$8551,6,FALSE),"")</f>
        <v/>
      </c>
      <c r="G4037" s="315"/>
    </row>
    <row r="4038" spans="1:7" x14ac:dyDescent="0.25">
      <c r="A4038" s="360" t="str">
        <f t="shared" si="116"/>
        <v>I.3.1.1.01.00126</v>
      </c>
      <c r="B4038" s="319">
        <v>26</v>
      </c>
      <c r="C4038" s="319" t="str">
        <f>IFERROR(VLOOKUP(A4038,[3]DOORSCRIEFT!$A$2:$G$8551,2,FALSE),"")</f>
        <v/>
      </c>
      <c r="D4038" s="318" t="str">
        <f>IFERROR(VLOOKUP(A4038,[3]DOORSCRIEFT!$A$2:$G$8551,3,FALSE),"")</f>
        <v/>
      </c>
      <c r="E4038" s="317" t="str">
        <f>IFERROR(VLOOKUP(A4038,[3]DOORSCRIEFT!$A$2:$G$8551,4,FALSE),"")</f>
        <v/>
      </c>
      <c r="F4038" s="316" t="str">
        <f>IFERROR(VLOOKUP(A4038,[3]DOORSCRIEFT!$A$2:$G$8551,6,FALSE),"")</f>
        <v/>
      </c>
      <c r="G4038" s="315"/>
    </row>
    <row r="4039" spans="1:7" x14ac:dyDescent="0.25">
      <c r="A4039" s="360" t="str">
        <f t="shared" si="116"/>
        <v>I.3.1.1.01.00127</v>
      </c>
      <c r="B4039" s="319">
        <v>27</v>
      </c>
      <c r="C4039" s="319" t="str">
        <f>IFERROR(VLOOKUP(A4039,[3]DOORSCRIEFT!$A$2:$G$8551,2,FALSE),"")</f>
        <v/>
      </c>
      <c r="D4039" s="318" t="str">
        <f>IFERROR(VLOOKUP(A4039,[3]DOORSCRIEFT!$A$2:$G$8551,3,FALSE),"")</f>
        <v/>
      </c>
      <c r="E4039" s="317" t="str">
        <f>IFERROR(VLOOKUP(A4039,[3]DOORSCRIEFT!$A$2:$G$8551,4,FALSE),"")</f>
        <v/>
      </c>
      <c r="F4039" s="316" t="str">
        <f>IFERROR(VLOOKUP(A4039,[3]DOORSCRIEFT!$A$2:$G$8551,6,FALSE),"")</f>
        <v/>
      </c>
      <c r="G4039" s="315"/>
    </row>
    <row r="4040" spans="1:7" x14ac:dyDescent="0.25">
      <c r="A4040" s="360" t="str">
        <f t="shared" si="116"/>
        <v>I.3.1.1.01.00128</v>
      </c>
      <c r="B4040" s="319">
        <v>28</v>
      </c>
      <c r="C4040" s="319" t="str">
        <f>IFERROR(VLOOKUP(A4040,[3]DOORSCRIEFT!$A$2:$G$8551,2,FALSE),"")</f>
        <v/>
      </c>
      <c r="D4040" s="318" t="str">
        <f>IFERROR(VLOOKUP(A4040,[3]DOORSCRIEFT!$A$2:$G$8551,3,FALSE),"")</f>
        <v/>
      </c>
      <c r="E4040" s="317" t="str">
        <f>IFERROR(VLOOKUP(A4040,[3]DOORSCRIEFT!$A$2:$G$8551,4,FALSE),"")</f>
        <v/>
      </c>
      <c r="F4040" s="316" t="str">
        <f>IFERROR(VLOOKUP(A4040,[3]DOORSCRIEFT!$A$2:$G$8551,6,FALSE),"")</f>
        <v/>
      </c>
      <c r="G4040" s="315"/>
    </row>
    <row r="4041" spans="1:7" x14ac:dyDescent="0.25">
      <c r="A4041" s="360" t="str">
        <f t="shared" si="116"/>
        <v>I.3.1.1.01.00129</v>
      </c>
      <c r="B4041" s="319">
        <v>29</v>
      </c>
      <c r="C4041" s="319" t="str">
        <f>IFERROR(VLOOKUP(A4041,[3]DOORSCRIEFT!$A$2:$G$8551,2,FALSE),"")</f>
        <v/>
      </c>
      <c r="D4041" s="318" t="str">
        <f>IFERROR(VLOOKUP(A4041,[3]DOORSCRIEFT!$A$2:$G$8551,3,FALSE),"")</f>
        <v/>
      </c>
      <c r="E4041" s="317" t="str">
        <f>IFERROR(VLOOKUP(A4041,[3]DOORSCRIEFT!$A$2:$G$8551,4,FALSE),"")</f>
        <v/>
      </c>
      <c r="F4041" s="316" t="str">
        <f>IFERROR(VLOOKUP(A4041,[3]DOORSCRIEFT!$A$2:$G$8551,6,FALSE),"")</f>
        <v/>
      </c>
      <c r="G4041" s="315"/>
    </row>
    <row r="4042" spans="1:7" x14ac:dyDescent="0.25">
      <c r="A4042" s="360" t="str">
        <f t="shared" si="116"/>
        <v>I.3.1.1.01.00130</v>
      </c>
      <c r="B4042" s="319">
        <v>30</v>
      </c>
      <c r="C4042" s="319" t="str">
        <f>IFERROR(VLOOKUP(A4042,[3]DOORSCRIEFT!$A$2:$G$8551,2,FALSE),"")</f>
        <v/>
      </c>
      <c r="D4042" s="318" t="str">
        <f>IFERROR(VLOOKUP(A4042,[3]DOORSCRIEFT!$A$2:$G$8551,3,FALSE),"")</f>
        <v/>
      </c>
      <c r="E4042" s="317" t="str">
        <f>IFERROR(VLOOKUP(A4042,[3]DOORSCRIEFT!$A$2:$G$8551,4,FALSE),"")</f>
        <v/>
      </c>
      <c r="F4042" s="316" t="str">
        <f>IFERROR(VLOOKUP(A4042,[3]DOORSCRIEFT!$A$2:$G$8551,6,FALSE),"")</f>
        <v/>
      </c>
      <c r="G4042" s="315"/>
    </row>
    <row r="4043" spans="1:7" x14ac:dyDescent="0.25">
      <c r="A4043" s="360" t="str">
        <f t="shared" si="116"/>
        <v>I.3.1.1.01.00131</v>
      </c>
      <c r="B4043" s="319">
        <v>31</v>
      </c>
      <c r="C4043" s="319" t="str">
        <f>IFERROR(VLOOKUP(A4043,[3]DOORSCRIEFT!$A$2:$G$8551,2,FALSE),"")</f>
        <v/>
      </c>
      <c r="D4043" s="318" t="str">
        <f>IFERROR(VLOOKUP(A4043,[3]DOORSCRIEFT!$A$2:$G$8551,3,FALSE),"")</f>
        <v/>
      </c>
      <c r="E4043" s="317" t="str">
        <f>IFERROR(VLOOKUP(A4043,[3]DOORSCRIEFT!$A$2:$G$8551,4,FALSE),"")</f>
        <v/>
      </c>
      <c r="F4043" s="316" t="str">
        <f>IFERROR(VLOOKUP(A4043,[3]DOORSCRIEFT!$A$2:$G$8551,6,FALSE),"")</f>
        <v/>
      </c>
      <c r="G4043" s="315"/>
    </row>
    <row r="4044" spans="1:7" x14ac:dyDescent="0.25">
      <c r="A4044" s="360" t="str">
        <f t="shared" si="116"/>
        <v>I.3.1.1.01.00132</v>
      </c>
      <c r="B4044" s="319">
        <v>32</v>
      </c>
      <c r="C4044" s="319" t="str">
        <f>IFERROR(VLOOKUP(A4044,[3]DOORSCRIEFT!$A$2:$G$8551,2,FALSE),"")</f>
        <v/>
      </c>
      <c r="D4044" s="318" t="str">
        <f>IFERROR(VLOOKUP(A4044,[3]DOORSCRIEFT!$A$2:$G$8551,3,FALSE),"")</f>
        <v/>
      </c>
      <c r="E4044" s="317" t="str">
        <f>IFERROR(VLOOKUP(A4044,[3]DOORSCRIEFT!$A$2:$G$8551,4,FALSE),"")</f>
        <v/>
      </c>
      <c r="F4044" s="316" t="str">
        <f>IFERROR(VLOOKUP(A4044,[3]DOORSCRIEFT!$A$2:$G$8551,6,FALSE),"")</f>
        <v/>
      </c>
      <c r="G4044" s="315"/>
    </row>
    <row r="4045" spans="1:7" x14ac:dyDescent="0.25">
      <c r="A4045" s="360" t="str">
        <f t="shared" ref="A4045:A4076" si="117">$G$4006&amp;B4045</f>
        <v>I.3.1.1.01.00133</v>
      </c>
      <c r="B4045" s="319">
        <v>33</v>
      </c>
      <c r="C4045" s="319" t="str">
        <f>IFERROR(VLOOKUP(A4045,[3]DOORSCRIEFT!$A$2:$G$8551,2,FALSE),"")</f>
        <v/>
      </c>
      <c r="D4045" s="318" t="str">
        <f>IFERROR(VLOOKUP(A4045,[3]DOORSCRIEFT!$A$2:$G$8551,3,FALSE),"")</f>
        <v/>
      </c>
      <c r="E4045" s="317" t="str">
        <f>IFERROR(VLOOKUP(A4045,[3]DOORSCRIEFT!$A$2:$G$8551,4,FALSE),"")</f>
        <v/>
      </c>
      <c r="F4045" s="316" t="str">
        <f>IFERROR(VLOOKUP(A4045,[3]DOORSCRIEFT!$A$2:$G$8551,6,FALSE),"")</f>
        <v/>
      </c>
      <c r="G4045" s="315"/>
    </row>
    <row r="4046" spans="1:7" x14ac:dyDescent="0.25">
      <c r="A4046" s="360" t="str">
        <f t="shared" si="117"/>
        <v>I.3.1.1.01.00134</v>
      </c>
      <c r="B4046" s="319">
        <v>34</v>
      </c>
      <c r="C4046" s="319" t="str">
        <f>IFERROR(VLOOKUP(A4046,[3]DOORSCRIEFT!$A$2:$G$8551,2,FALSE),"")</f>
        <v/>
      </c>
      <c r="D4046" s="318" t="str">
        <f>IFERROR(VLOOKUP(A4046,[3]DOORSCRIEFT!$A$2:$G$8551,3,FALSE),"")</f>
        <v/>
      </c>
      <c r="E4046" s="317" t="str">
        <f>IFERROR(VLOOKUP(A4046,[3]DOORSCRIEFT!$A$2:$G$8551,4,FALSE),"")</f>
        <v/>
      </c>
      <c r="F4046" s="316" t="str">
        <f>IFERROR(VLOOKUP(A4046,[3]DOORSCRIEFT!$A$2:$G$8551,6,FALSE),"")</f>
        <v/>
      </c>
      <c r="G4046" s="315"/>
    </row>
    <row r="4047" spans="1:7" x14ac:dyDescent="0.25">
      <c r="A4047" s="360" t="str">
        <f t="shared" si="117"/>
        <v>I.3.1.1.01.00135</v>
      </c>
      <c r="B4047" s="319">
        <v>35</v>
      </c>
      <c r="C4047" s="319" t="str">
        <f>IFERROR(VLOOKUP(A4047,[3]DOORSCRIEFT!$A$2:$G$8551,2,FALSE),"")</f>
        <v/>
      </c>
      <c r="D4047" s="318" t="str">
        <f>IFERROR(VLOOKUP(A4047,[3]DOORSCRIEFT!$A$2:$G$8551,3,FALSE),"")</f>
        <v/>
      </c>
      <c r="E4047" s="317" t="str">
        <f>IFERROR(VLOOKUP(A4047,[3]DOORSCRIEFT!$A$2:$G$8551,4,FALSE),"")</f>
        <v/>
      </c>
      <c r="F4047" s="316" t="str">
        <f>IFERROR(VLOOKUP(A4047,[3]DOORSCRIEFT!$A$2:$G$8551,6,FALSE),"")</f>
        <v/>
      </c>
      <c r="G4047" s="315"/>
    </row>
    <row r="4048" spans="1:7" x14ac:dyDescent="0.25">
      <c r="A4048" s="360" t="str">
        <f t="shared" si="117"/>
        <v>I.3.1.1.01.00136</v>
      </c>
      <c r="B4048" s="319">
        <v>36</v>
      </c>
      <c r="C4048" s="319" t="str">
        <f>IFERROR(VLOOKUP(A4048,[3]DOORSCRIEFT!$A$2:$G$8551,2,FALSE),"")</f>
        <v/>
      </c>
      <c r="D4048" s="318" t="str">
        <f>IFERROR(VLOOKUP(A4048,[3]DOORSCRIEFT!$A$2:$G$8551,3,FALSE),"")</f>
        <v/>
      </c>
      <c r="E4048" s="317" t="str">
        <f>IFERROR(VLOOKUP(A4048,[3]DOORSCRIEFT!$A$2:$G$8551,4,FALSE),"")</f>
        <v/>
      </c>
      <c r="F4048" s="316" t="str">
        <f>IFERROR(VLOOKUP(A4048,[3]DOORSCRIEFT!$A$2:$G$8551,6,FALSE),"")</f>
        <v/>
      </c>
      <c r="G4048" s="315"/>
    </row>
    <row r="4049" spans="1:7" x14ac:dyDescent="0.25">
      <c r="A4049" s="360" t="str">
        <f t="shared" si="117"/>
        <v>I.3.1.1.01.00137</v>
      </c>
      <c r="B4049" s="319">
        <v>37</v>
      </c>
      <c r="C4049" s="319" t="str">
        <f>IFERROR(VLOOKUP(A4049,[3]DOORSCRIEFT!$A$2:$G$8551,2,FALSE),"")</f>
        <v/>
      </c>
      <c r="D4049" s="318" t="str">
        <f>IFERROR(VLOOKUP(A4049,[3]DOORSCRIEFT!$A$2:$G$8551,3,FALSE),"")</f>
        <v/>
      </c>
      <c r="E4049" s="317" t="str">
        <f>IFERROR(VLOOKUP(A4049,[3]DOORSCRIEFT!$A$2:$G$8551,4,FALSE),"")</f>
        <v/>
      </c>
      <c r="F4049" s="316" t="str">
        <f>IFERROR(VLOOKUP(A4049,[3]DOORSCRIEFT!$A$2:$G$8551,6,FALSE),"")</f>
        <v/>
      </c>
      <c r="G4049" s="315"/>
    </row>
    <row r="4050" spans="1:7" x14ac:dyDescent="0.25">
      <c r="A4050" s="360" t="str">
        <f t="shared" si="117"/>
        <v>I.3.1.1.01.00138</v>
      </c>
      <c r="B4050" s="319">
        <v>38</v>
      </c>
      <c r="C4050" s="319" t="str">
        <f>IFERROR(VLOOKUP(A4050,[3]DOORSCRIEFT!$A$2:$G$8551,2,FALSE),"")</f>
        <v/>
      </c>
      <c r="D4050" s="318" t="str">
        <f>IFERROR(VLOOKUP(A4050,[3]DOORSCRIEFT!$A$2:$G$8551,3,FALSE),"")</f>
        <v/>
      </c>
      <c r="E4050" s="317" t="str">
        <f>IFERROR(VLOOKUP(A4050,[3]DOORSCRIEFT!$A$2:$G$8551,4,FALSE),"")</f>
        <v/>
      </c>
      <c r="F4050" s="316" t="str">
        <f>IFERROR(VLOOKUP(A4050,[3]DOORSCRIEFT!$A$2:$G$8551,6,FALSE),"")</f>
        <v/>
      </c>
      <c r="G4050" s="315"/>
    </row>
    <row r="4051" spans="1:7" x14ac:dyDescent="0.25">
      <c r="A4051" s="360" t="str">
        <f t="shared" si="117"/>
        <v>I.3.1.1.01.00139</v>
      </c>
      <c r="B4051" s="319">
        <v>39</v>
      </c>
      <c r="C4051" s="319" t="str">
        <f>IFERROR(VLOOKUP(A4051,[3]DOORSCRIEFT!$A$2:$G$8551,2,FALSE),"")</f>
        <v/>
      </c>
      <c r="D4051" s="318" t="str">
        <f>IFERROR(VLOOKUP(A4051,[3]DOORSCRIEFT!$A$2:$G$8551,3,FALSE),"")</f>
        <v/>
      </c>
      <c r="E4051" s="317" t="str">
        <f>IFERROR(VLOOKUP(A4051,[3]DOORSCRIEFT!$A$2:$G$8551,4,FALSE),"")</f>
        <v/>
      </c>
      <c r="F4051" s="316" t="str">
        <f>IFERROR(VLOOKUP(A4051,[3]DOORSCRIEFT!$A$2:$G$8551,6,FALSE),"")</f>
        <v/>
      </c>
      <c r="G4051" s="315"/>
    </row>
    <row r="4052" spans="1:7" x14ac:dyDescent="0.25">
      <c r="A4052" s="360" t="str">
        <f t="shared" si="117"/>
        <v>I.3.1.1.01.00140</v>
      </c>
      <c r="B4052" s="319">
        <v>40</v>
      </c>
      <c r="C4052" s="319" t="str">
        <f>IFERROR(VLOOKUP(A4052,[3]DOORSCRIEFT!$A$2:$G$8551,2,FALSE),"")</f>
        <v/>
      </c>
      <c r="D4052" s="318" t="str">
        <f>IFERROR(VLOOKUP(A4052,[3]DOORSCRIEFT!$A$2:$G$8551,3,FALSE),"")</f>
        <v/>
      </c>
      <c r="E4052" s="317" t="str">
        <f>IFERROR(VLOOKUP(A4052,[3]DOORSCRIEFT!$A$2:$G$8551,4,FALSE),"")</f>
        <v/>
      </c>
      <c r="F4052" s="316" t="str">
        <f>IFERROR(VLOOKUP(A4052,[3]DOORSCRIEFT!$A$2:$G$8551,6,FALSE),"")</f>
        <v/>
      </c>
      <c r="G4052" s="315"/>
    </row>
    <row r="4053" spans="1:7" x14ac:dyDescent="0.25">
      <c r="A4053" s="360" t="str">
        <f t="shared" si="117"/>
        <v>I.3.1.1.01.00141</v>
      </c>
      <c r="B4053" s="319">
        <v>41</v>
      </c>
      <c r="C4053" s="319" t="str">
        <f>IFERROR(VLOOKUP(A4053,[3]DOORSCRIEFT!$A$2:$G$8551,2,FALSE),"")</f>
        <v/>
      </c>
      <c r="D4053" s="318" t="str">
        <f>IFERROR(VLOOKUP(A4053,[3]DOORSCRIEFT!$A$2:$G$8551,3,FALSE),"")</f>
        <v/>
      </c>
      <c r="E4053" s="317" t="str">
        <f>IFERROR(VLOOKUP(A4053,[3]DOORSCRIEFT!$A$2:$G$8551,4,FALSE),"")</f>
        <v/>
      </c>
      <c r="F4053" s="316" t="str">
        <f>IFERROR(VLOOKUP(A4053,[3]DOORSCRIEFT!$A$2:$G$8551,6,FALSE),"")</f>
        <v/>
      </c>
      <c r="G4053" s="315"/>
    </row>
    <row r="4054" spans="1:7" x14ac:dyDescent="0.25">
      <c r="A4054" s="360" t="str">
        <f t="shared" si="117"/>
        <v>I.3.1.1.01.00142</v>
      </c>
      <c r="B4054" s="319">
        <v>42</v>
      </c>
      <c r="C4054" s="319" t="str">
        <f>IFERROR(VLOOKUP(A4054,[3]DOORSCRIEFT!$A$2:$G$8551,2,FALSE),"")</f>
        <v/>
      </c>
      <c r="D4054" s="318" t="str">
        <f>IFERROR(VLOOKUP(A4054,[3]DOORSCRIEFT!$A$2:$G$8551,3,FALSE),"")</f>
        <v/>
      </c>
      <c r="E4054" s="317" t="str">
        <f>IFERROR(VLOOKUP(A4054,[3]DOORSCRIEFT!$A$2:$G$8551,4,FALSE),"")</f>
        <v/>
      </c>
      <c r="F4054" s="316" t="str">
        <f>IFERROR(VLOOKUP(A4054,[3]DOORSCRIEFT!$A$2:$G$8551,6,FALSE),"")</f>
        <v/>
      </c>
      <c r="G4054" s="315"/>
    </row>
    <row r="4055" spans="1:7" x14ac:dyDescent="0.25">
      <c r="A4055" s="360" t="str">
        <f t="shared" si="117"/>
        <v>I.3.1.1.01.00143</v>
      </c>
      <c r="B4055" s="319">
        <v>43</v>
      </c>
      <c r="C4055" s="319" t="str">
        <f>IFERROR(VLOOKUP(A4055,[3]DOORSCRIEFT!$A$2:$G$8551,2,FALSE),"")</f>
        <v/>
      </c>
      <c r="D4055" s="318" t="str">
        <f>IFERROR(VLOOKUP(A4055,[3]DOORSCRIEFT!$A$2:$G$8551,3,FALSE),"")</f>
        <v/>
      </c>
      <c r="E4055" s="317" t="str">
        <f>IFERROR(VLOOKUP(A4055,[3]DOORSCRIEFT!$A$2:$G$8551,4,FALSE),"")</f>
        <v/>
      </c>
      <c r="F4055" s="316" t="str">
        <f>IFERROR(VLOOKUP(A4055,[3]DOORSCRIEFT!$A$2:$G$8551,6,FALSE),"")</f>
        <v/>
      </c>
      <c r="G4055" s="315"/>
    </row>
    <row r="4056" spans="1:7" x14ac:dyDescent="0.25">
      <c r="A4056" s="360" t="str">
        <f t="shared" si="117"/>
        <v>I.3.1.1.01.00144</v>
      </c>
      <c r="B4056" s="319">
        <v>44</v>
      </c>
      <c r="C4056" s="319" t="str">
        <f>IFERROR(VLOOKUP(A4056,[3]DOORSCRIEFT!$A$2:$G$8551,2,FALSE),"")</f>
        <v/>
      </c>
      <c r="D4056" s="318" t="str">
        <f>IFERROR(VLOOKUP(A4056,[3]DOORSCRIEFT!$A$2:$G$8551,3,FALSE),"")</f>
        <v/>
      </c>
      <c r="E4056" s="317" t="str">
        <f>IFERROR(VLOOKUP(A4056,[3]DOORSCRIEFT!$A$2:$G$8551,4,FALSE),"")</f>
        <v/>
      </c>
      <c r="F4056" s="316" t="str">
        <f>IFERROR(VLOOKUP(A4056,[3]DOORSCRIEFT!$A$2:$G$8551,6,FALSE),"")</f>
        <v/>
      </c>
      <c r="G4056" s="315"/>
    </row>
    <row r="4057" spans="1:7" x14ac:dyDescent="0.25">
      <c r="A4057" s="360" t="str">
        <f t="shared" si="117"/>
        <v>I.3.1.1.01.00145</v>
      </c>
      <c r="B4057" s="319">
        <v>45</v>
      </c>
      <c r="C4057" s="319" t="str">
        <f>IFERROR(VLOOKUP(A4057,[3]DOORSCRIEFT!$A$2:$G$8551,2,FALSE),"")</f>
        <v/>
      </c>
      <c r="D4057" s="318" t="str">
        <f>IFERROR(VLOOKUP(A4057,[3]DOORSCRIEFT!$A$2:$G$8551,3,FALSE),"")</f>
        <v/>
      </c>
      <c r="E4057" s="317" t="str">
        <f>IFERROR(VLOOKUP(A4057,[3]DOORSCRIEFT!$A$2:$G$8551,4,FALSE),"")</f>
        <v/>
      </c>
      <c r="F4057" s="316" t="str">
        <f>IFERROR(VLOOKUP(A4057,[3]DOORSCRIEFT!$A$2:$G$8551,6,FALSE),"")</f>
        <v/>
      </c>
      <c r="G4057" s="315"/>
    </row>
    <row r="4058" spans="1:7" x14ac:dyDescent="0.25">
      <c r="A4058" s="360" t="str">
        <f t="shared" si="117"/>
        <v>I.3.1.1.01.00146</v>
      </c>
      <c r="B4058" s="319">
        <v>46</v>
      </c>
      <c r="C4058" s="319" t="str">
        <f>IFERROR(VLOOKUP(A4058,[3]DOORSCRIEFT!$A$2:$G$8551,2,FALSE),"")</f>
        <v/>
      </c>
      <c r="D4058" s="318" t="str">
        <f>IFERROR(VLOOKUP(A4058,[3]DOORSCRIEFT!$A$2:$G$8551,3,FALSE),"")</f>
        <v/>
      </c>
      <c r="E4058" s="317" t="str">
        <f>IFERROR(VLOOKUP(A4058,[3]DOORSCRIEFT!$A$2:$G$8551,4,FALSE),"")</f>
        <v/>
      </c>
      <c r="F4058" s="316" t="str">
        <f>IFERROR(VLOOKUP(A4058,[3]DOORSCRIEFT!$A$2:$G$8551,6,FALSE),"")</f>
        <v/>
      </c>
      <c r="G4058" s="315"/>
    </row>
    <row r="4059" spans="1:7" x14ac:dyDescent="0.25">
      <c r="A4059" s="360" t="str">
        <f t="shared" si="117"/>
        <v>I.3.1.1.01.00147</v>
      </c>
      <c r="B4059" s="319">
        <v>47</v>
      </c>
      <c r="C4059" s="319" t="str">
        <f>IFERROR(VLOOKUP(A4059,[3]DOORSCRIEFT!$A$2:$G$8551,2,FALSE),"")</f>
        <v/>
      </c>
      <c r="D4059" s="318" t="str">
        <f>IFERROR(VLOOKUP(A4059,[3]DOORSCRIEFT!$A$2:$G$8551,3,FALSE),"")</f>
        <v/>
      </c>
      <c r="E4059" s="317" t="str">
        <f>IFERROR(VLOOKUP(A4059,[3]DOORSCRIEFT!$A$2:$G$8551,4,FALSE),"")</f>
        <v/>
      </c>
      <c r="F4059" s="316" t="str">
        <f>IFERROR(VLOOKUP(A4059,[3]DOORSCRIEFT!$A$2:$G$8551,6,FALSE),"")</f>
        <v/>
      </c>
      <c r="G4059" s="315"/>
    </row>
    <row r="4060" spans="1:7" x14ac:dyDescent="0.25">
      <c r="A4060" s="360" t="str">
        <f t="shared" si="117"/>
        <v>I.3.1.1.01.00148</v>
      </c>
      <c r="B4060" s="319">
        <v>48</v>
      </c>
      <c r="C4060" s="319" t="str">
        <f>IFERROR(VLOOKUP(A4060,[3]DOORSCRIEFT!$A$2:$G$8551,2,FALSE),"")</f>
        <v/>
      </c>
      <c r="D4060" s="318" t="str">
        <f>IFERROR(VLOOKUP(A4060,[3]DOORSCRIEFT!$A$2:$G$8551,3,FALSE),"")</f>
        <v/>
      </c>
      <c r="E4060" s="317" t="str">
        <f>IFERROR(VLOOKUP(A4060,[3]DOORSCRIEFT!$A$2:$G$8551,4,FALSE),"")</f>
        <v/>
      </c>
      <c r="F4060" s="316" t="str">
        <f>IFERROR(VLOOKUP(A4060,[3]DOORSCRIEFT!$A$2:$G$8551,6,FALSE),"")</f>
        <v/>
      </c>
      <c r="G4060" s="315"/>
    </row>
    <row r="4061" spans="1:7" x14ac:dyDescent="0.25">
      <c r="A4061" s="360" t="str">
        <f t="shared" si="117"/>
        <v>I.3.1.1.01.00149</v>
      </c>
      <c r="B4061" s="319">
        <v>49</v>
      </c>
      <c r="C4061" s="319" t="str">
        <f>IFERROR(VLOOKUP(A4061,[3]DOORSCRIEFT!$A$2:$G$8551,2,FALSE),"")</f>
        <v/>
      </c>
      <c r="D4061" s="318" t="str">
        <f>IFERROR(VLOOKUP(A4061,[3]DOORSCRIEFT!$A$2:$G$8551,3,FALSE),"")</f>
        <v/>
      </c>
      <c r="E4061" s="317" t="str">
        <f>IFERROR(VLOOKUP(A4061,[3]DOORSCRIEFT!$A$2:$G$8551,4,FALSE),"")</f>
        <v/>
      </c>
      <c r="F4061" s="316" t="str">
        <f>IFERROR(VLOOKUP(A4061,[3]DOORSCRIEFT!$A$2:$G$8551,6,FALSE),"")</f>
        <v/>
      </c>
      <c r="G4061" s="315"/>
    </row>
    <row r="4062" spans="1:7" x14ac:dyDescent="0.25">
      <c r="A4062" s="360" t="str">
        <f t="shared" si="117"/>
        <v>I.3.1.1.01.00150</v>
      </c>
      <c r="B4062" s="319">
        <v>50</v>
      </c>
      <c r="C4062" s="319" t="str">
        <f>IFERROR(VLOOKUP(A4062,[3]DOORSCRIEFT!$A$2:$G$8551,2,FALSE),"")</f>
        <v/>
      </c>
      <c r="D4062" s="318" t="str">
        <f>IFERROR(VLOOKUP(A4062,[3]DOORSCRIEFT!$A$2:$G$8551,3,FALSE),"")</f>
        <v/>
      </c>
      <c r="E4062" s="317" t="str">
        <f>IFERROR(VLOOKUP(A4062,[3]DOORSCRIEFT!$A$2:$G$8551,4,FALSE),"")</f>
        <v/>
      </c>
      <c r="F4062" s="316" t="str">
        <f>IFERROR(VLOOKUP(A4062,[3]DOORSCRIEFT!$A$2:$G$8551,6,FALSE),"")</f>
        <v/>
      </c>
      <c r="G4062" s="315"/>
    </row>
    <row r="4063" spans="1:7" x14ac:dyDescent="0.25">
      <c r="A4063" s="360" t="str">
        <f t="shared" si="117"/>
        <v>I.3.1.1.01.00151</v>
      </c>
      <c r="B4063" s="319">
        <v>51</v>
      </c>
      <c r="C4063" s="319" t="str">
        <f>IFERROR(VLOOKUP(A4063,[3]DOORSCRIEFT!$A$2:$G$8551,2,FALSE),"")</f>
        <v/>
      </c>
      <c r="D4063" s="318" t="str">
        <f>IFERROR(VLOOKUP(A4063,[3]DOORSCRIEFT!$A$2:$G$8551,3,FALSE),"")</f>
        <v/>
      </c>
      <c r="E4063" s="317" t="str">
        <f>IFERROR(VLOOKUP(A4063,[3]DOORSCRIEFT!$A$2:$G$8551,4,FALSE),"")</f>
        <v/>
      </c>
      <c r="F4063" s="316" t="str">
        <f>IFERROR(VLOOKUP(A4063,[3]DOORSCRIEFT!$A$2:$G$8551,6,FALSE),"")</f>
        <v/>
      </c>
      <c r="G4063" s="315"/>
    </row>
    <row r="4064" spans="1:7" x14ac:dyDescent="0.25">
      <c r="A4064" s="360" t="str">
        <f t="shared" si="117"/>
        <v>I.3.1.1.01.00152</v>
      </c>
      <c r="B4064" s="319">
        <v>52</v>
      </c>
      <c r="C4064" s="319" t="str">
        <f>IFERROR(VLOOKUP(A4064,[3]DOORSCRIEFT!$A$2:$G$8551,2,FALSE),"")</f>
        <v/>
      </c>
      <c r="D4064" s="318" t="str">
        <f>IFERROR(VLOOKUP(A4064,[3]DOORSCRIEFT!$A$2:$G$8551,3,FALSE),"")</f>
        <v/>
      </c>
      <c r="E4064" s="317" t="str">
        <f>IFERROR(VLOOKUP(A4064,[3]DOORSCRIEFT!$A$2:$G$8551,4,FALSE),"")</f>
        <v/>
      </c>
      <c r="F4064" s="316" t="str">
        <f>IFERROR(VLOOKUP(A4064,[3]DOORSCRIEFT!$A$2:$G$8551,6,FALSE),"")</f>
        <v/>
      </c>
      <c r="G4064" s="315"/>
    </row>
    <row r="4065" spans="1:7" x14ac:dyDescent="0.25">
      <c r="A4065" s="360" t="str">
        <f t="shared" si="117"/>
        <v>I.3.1.1.01.00153</v>
      </c>
      <c r="B4065" s="319">
        <v>53</v>
      </c>
      <c r="C4065" s="319" t="str">
        <f>IFERROR(VLOOKUP(A4065,[3]DOORSCRIEFT!$A$2:$G$8551,2,FALSE),"")</f>
        <v/>
      </c>
      <c r="D4065" s="318" t="str">
        <f>IFERROR(VLOOKUP(A4065,[3]DOORSCRIEFT!$A$2:$G$8551,3,FALSE),"")</f>
        <v/>
      </c>
      <c r="E4065" s="317" t="str">
        <f>IFERROR(VLOOKUP(A4065,[3]DOORSCRIEFT!$A$2:$G$8551,4,FALSE),"")</f>
        <v/>
      </c>
      <c r="F4065" s="316" t="str">
        <f>IFERROR(VLOOKUP(A4065,[3]DOORSCRIEFT!$A$2:$G$8551,6,FALSE),"")</f>
        <v/>
      </c>
      <c r="G4065" s="315"/>
    </row>
    <row r="4066" spans="1:7" x14ac:dyDescent="0.25">
      <c r="A4066" s="360" t="str">
        <f t="shared" si="117"/>
        <v>I.3.1.1.01.00154</v>
      </c>
      <c r="B4066" s="319">
        <v>54</v>
      </c>
      <c r="C4066" s="319" t="str">
        <f>IFERROR(VLOOKUP(A4066,[3]DOORSCRIEFT!$A$2:$G$8551,2,FALSE),"")</f>
        <v/>
      </c>
      <c r="D4066" s="318" t="str">
        <f>IFERROR(VLOOKUP(A4066,[3]DOORSCRIEFT!$A$2:$G$8551,3,FALSE),"")</f>
        <v/>
      </c>
      <c r="E4066" s="317" t="str">
        <f>IFERROR(VLOOKUP(A4066,[3]DOORSCRIEFT!$A$2:$G$8551,4,FALSE),"")</f>
        <v/>
      </c>
      <c r="F4066" s="316" t="str">
        <f>IFERROR(VLOOKUP(A4066,[3]DOORSCRIEFT!$A$2:$G$8551,6,FALSE),"")</f>
        <v/>
      </c>
      <c r="G4066" s="315"/>
    </row>
    <row r="4067" spans="1:7" x14ac:dyDescent="0.25">
      <c r="A4067" s="360" t="str">
        <f t="shared" si="117"/>
        <v>I.3.1.1.01.00155</v>
      </c>
      <c r="B4067" s="319">
        <v>55</v>
      </c>
      <c r="C4067" s="319" t="str">
        <f>IFERROR(VLOOKUP(A4067,[3]DOORSCRIEFT!$A$2:$G$8551,2,FALSE),"")</f>
        <v/>
      </c>
      <c r="D4067" s="318" t="str">
        <f>IFERROR(VLOOKUP(A4067,[3]DOORSCRIEFT!$A$2:$G$8551,3,FALSE),"")</f>
        <v/>
      </c>
      <c r="E4067" s="317" t="str">
        <f>IFERROR(VLOOKUP(A4067,[3]DOORSCRIEFT!$A$2:$G$8551,4,FALSE),"")</f>
        <v/>
      </c>
      <c r="F4067" s="316" t="str">
        <f>IFERROR(VLOOKUP(A4067,[3]DOORSCRIEFT!$A$2:$G$8551,6,FALSE),"")</f>
        <v/>
      </c>
      <c r="G4067" s="315"/>
    </row>
    <row r="4068" spans="1:7" x14ac:dyDescent="0.25">
      <c r="A4068" s="360" t="str">
        <f t="shared" si="117"/>
        <v>I.3.1.1.01.00156</v>
      </c>
      <c r="B4068" s="319">
        <v>56</v>
      </c>
      <c r="C4068" s="319" t="str">
        <f>IFERROR(VLOOKUP(A4068,[3]DOORSCRIEFT!$A$2:$G$8551,2,FALSE),"")</f>
        <v/>
      </c>
      <c r="D4068" s="318" t="str">
        <f>IFERROR(VLOOKUP(A4068,[3]DOORSCRIEFT!$A$2:$G$8551,3,FALSE),"")</f>
        <v/>
      </c>
      <c r="E4068" s="317" t="str">
        <f>IFERROR(VLOOKUP(A4068,[3]DOORSCRIEFT!$A$2:$G$8551,4,FALSE),"")</f>
        <v/>
      </c>
      <c r="F4068" s="316" t="str">
        <f>IFERROR(VLOOKUP(A4068,[3]DOORSCRIEFT!$A$2:$G$8551,6,FALSE),"")</f>
        <v/>
      </c>
      <c r="G4068" s="315"/>
    </row>
    <row r="4069" spans="1:7" x14ac:dyDescent="0.25">
      <c r="A4069" s="360" t="str">
        <f t="shared" si="117"/>
        <v>I.3.1.1.01.00157</v>
      </c>
      <c r="B4069" s="319">
        <v>57</v>
      </c>
      <c r="C4069" s="319" t="str">
        <f>IFERROR(VLOOKUP(A4069,[3]DOORSCRIEFT!$A$2:$G$8551,2,FALSE),"")</f>
        <v/>
      </c>
      <c r="D4069" s="318" t="str">
        <f>IFERROR(VLOOKUP(A4069,[3]DOORSCRIEFT!$A$2:$G$8551,3,FALSE),"")</f>
        <v/>
      </c>
      <c r="E4069" s="317" t="str">
        <f>IFERROR(VLOOKUP(A4069,[3]DOORSCRIEFT!$A$2:$G$8551,4,FALSE),"")</f>
        <v/>
      </c>
      <c r="F4069" s="316" t="str">
        <f>IFERROR(VLOOKUP(A4069,[3]DOORSCRIEFT!$A$2:$G$8551,6,FALSE),"")</f>
        <v/>
      </c>
      <c r="G4069" s="315"/>
    </row>
    <row r="4070" spans="1:7" x14ac:dyDescent="0.25">
      <c r="A4070" s="360" t="str">
        <f t="shared" si="117"/>
        <v>I.3.1.1.01.00158</v>
      </c>
      <c r="B4070" s="319">
        <v>58</v>
      </c>
      <c r="C4070" s="319" t="str">
        <f>IFERROR(VLOOKUP(A4070,[3]DOORSCRIEFT!$A$2:$G$8551,2,FALSE),"")</f>
        <v/>
      </c>
      <c r="D4070" s="318" t="str">
        <f>IFERROR(VLOOKUP(A4070,[3]DOORSCRIEFT!$A$2:$G$8551,3,FALSE),"")</f>
        <v/>
      </c>
      <c r="E4070" s="317" t="str">
        <f>IFERROR(VLOOKUP(A4070,[3]DOORSCRIEFT!$A$2:$G$8551,4,FALSE),"")</f>
        <v/>
      </c>
      <c r="F4070" s="316" t="str">
        <f>IFERROR(VLOOKUP(A4070,[3]DOORSCRIEFT!$A$2:$G$8551,6,FALSE),"")</f>
        <v/>
      </c>
      <c r="G4070" s="315"/>
    </row>
    <row r="4071" spans="1:7" x14ac:dyDescent="0.25">
      <c r="A4071" s="360" t="str">
        <f t="shared" si="117"/>
        <v>I.3.1.1.01.00159</v>
      </c>
      <c r="B4071" s="319">
        <v>59</v>
      </c>
      <c r="C4071" s="319" t="str">
        <f>IFERROR(VLOOKUP(A4071,[3]DOORSCRIEFT!$A$2:$G$8551,2,FALSE),"")</f>
        <v/>
      </c>
      <c r="D4071" s="318" t="str">
        <f>IFERROR(VLOOKUP(A4071,[3]DOORSCRIEFT!$A$2:$G$8551,3,FALSE),"")</f>
        <v/>
      </c>
      <c r="E4071" s="317" t="str">
        <f>IFERROR(VLOOKUP(A4071,[3]DOORSCRIEFT!$A$2:$G$8551,4,FALSE),"")</f>
        <v/>
      </c>
      <c r="F4071" s="316" t="str">
        <f>IFERROR(VLOOKUP(A4071,[3]DOORSCRIEFT!$A$2:$G$8551,6,FALSE),"")</f>
        <v/>
      </c>
      <c r="G4071" s="315"/>
    </row>
    <row r="4072" spans="1:7" x14ac:dyDescent="0.25">
      <c r="A4072" s="360" t="str">
        <f t="shared" si="117"/>
        <v>I.3.1.1.01.00160</v>
      </c>
      <c r="B4072" s="319">
        <v>60</v>
      </c>
      <c r="C4072" s="319" t="str">
        <f>IFERROR(VLOOKUP(A4072,[3]DOORSCRIEFT!$A$2:$G$8551,2,FALSE),"")</f>
        <v/>
      </c>
      <c r="D4072" s="318" t="str">
        <f>IFERROR(VLOOKUP(A4072,[3]DOORSCRIEFT!$A$2:$G$8551,3,FALSE),"")</f>
        <v/>
      </c>
      <c r="E4072" s="317" t="str">
        <f>IFERROR(VLOOKUP(A4072,[3]DOORSCRIEFT!$A$2:$G$8551,4,FALSE),"")</f>
        <v/>
      </c>
      <c r="F4072" s="316" t="str">
        <f>IFERROR(VLOOKUP(A4072,[3]DOORSCRIEFT!$A$2:$G$8551,6,FALSE),"")</f>
        <v/>
      </c>
      <c r="G4072" s="315"/>
    </row>
    <row r="4073" spans="1:7" x14ac:dyDescent="0.25">
      <c r="A4073" s="360" t="str">
        <f t="shared" si="117"/>
        <v>I.3.1.1.01.00161</v>
      </c>
      <c r="B4073" s="319">
        <v>61</v>
      </c>
      <c r="C4073" s="319" t="str">
        <f>IFERROR(VLOOKUP(A4073,[3]DOORSCRIEFT!$A$2:$G$8551,2,FALSE),"")</f>
        <v/>
      </c>
      <c r="D4073" s="318" t="str">
        <f>IFERROR(VLOOKUP(A4073,[3]DOORSCRIEFT!$A$2:$G$8551,3,FALSE),"")</f>
        <v/>
      </c>
      <c r="E4073" s="317" t="str">
        <f>IFERROR(VLOOKUP(A4073,[3]DOORSCRIEFT!$A$2:$G$8551,4,FALSE),"")</f>
        <v/>
      </c>
      <c r="F4073" s="316" t="str">
        <f>IFERROR(VLOOKUP(A4073,[3]DOORSCRIEFT!$A$2:$G$8551,6,FALSE),"")</f>
        <v/>
      </c>
      <c r="G4073" s="315"/>
    </row>
    <row r="4074" spans="1:7" x14ac:dyDescent="0.25">
      <c r="A4074" s="360" t="str">
        <f t="shared" si="117"/>
        <v>I.3.1.1.01.00162</v>
      </c>
      <c r="B4074" s="319">
        <v>62</v>
      </c>
      <c r="C4074" s="319" t="str">
        <f>IFERROR(VLOOKUP(A4074,[3]DOORSCRIEFT!$A$2:$G$8551,2,FALSE),"")</f>
        <v/>
      </c>
      <c r="D4074" s="318" t="str">
        <f>IFERROR(VLOOKUP(A4074,[3]DOORSCRIEFT!$A$2:$G$8551,3,FALSE),"")</f>
        <v/>
      </c>
      <c r="E4074" s="317" t="str">
        <f>IFERROR(VLOOKUP(A4074,[3]DOORSCRIEFT!$A$2:$G$8551,4,FALSE),"")</f>
        <v/>
      </c>
      <c r="F4074" s="316" t="str">
        <f>IFERROR(VLOOKUP(A4074,[3]DOORSCRIEFT!$A$2:$G$8551,6,FALSE),"")</f>
        <v/>
      </c>
      <c r="G4074" s="315"/>
    </row>
    <row r="4075" spans="1:7" x14ac:dyDescent="0.25">
      <c r="A4075" s="359" t="str">
        <f t="shared" si="117"/>
        <v>I.3.1.1.01.00163</v>
      </c>
      <c r="B4075" s="319">
        <v>63</v>
      </c>
      <c r="C4075" s="319" t="str">
        <f>IFERROR(VLOOKUP(A4075,[3]DOORSCRIEFT!$A$2:$G$8551,2,FALSE),"")</f>
        <v/>
      </c>
      <c r="D4075" s="318" t="str">
        <f>IFERROR(VLOOKUP(A4075,[3]DOORSCRIEFT!$A$2:$G$8551,3,FALSE),"")</f>
        <v/>
      </c>
      <c r="E4075" s="317" t="str">
        <f>IFERROR(VLOOKUP(A4075,[3]DOORSCRIEFT!$A$2:$G$8551,4,FALSE),"")</f>
        <v/>
      </c>
      <c r="F4075" s="316" t="str">
        <f>IFERROR(VLOOKUP(A4075,[3]DOORSCRIEFT!$A$2:$G$8551,6,FALSE),"")</f>
        <v/>
      </c>
      <c r="G4075" s="349"/>
    </row>
    <row r="4076" spans="1:7" x14ac:dyDescent="0.25">
      <c r="A4076" s="359" t="str">
        <f t="shared" si="117"/>
        <v>I.3.1.1.01.00164</v>
      </c>
      <c r="B4076" s="319">
        <v>64</v>
      </c>
      <c r="C4076" s="319" t="str">
        <f>IFERROR(VLOOKUP(A4076,[3]DOORSCRIEFT!$A$2:$G$8551,2,FALSE),"")</f>
        <v/>
      </c>
      <c r="D4076" s="318" t="str">
        <f>IFERROR(VLOOKUP(A4076,[3]DOORSCRIEFT!$A$2:$G$8551,3,FALSE),"")</f>
        <v/>
      </c>
      <c r="E4076" s="317" t="str">
        <f>IFERROR(VLOOKUP(A4076,[3]DOORSCRIEFT!$A$2:$G$8551,4,FALSE),"")</f>
        <v/>
      </c>
      <c r="F4076" s="316" t="str">
        <f>IFERROR(VLOOKUP(A4076,[3]DOORSCRIEFT!$A$2:$G$8551,6,FALSE),"")</f>
        <v/>
      </c>
      <c r="G4076" s="349"/>
    </row>
    <row r="4077" spans="1:7" x14ac:dyDescent="0.25">
      <c r="A4077" s="359" t="str">
        <f t="shared" ref="A4077:A4108" si="118">$G$4006&amp;B4077</f>
        <v>I.3.1.1.01.00165</v>
      </c>
      <c r="B4077" s="319">
        <v>65</v>
      </c>
      <c r="C4077" s="319" t="str">
        <f>IFERROR(VLOOKUP(A4077,[3]DOORSCRIEFT!$A$2:$G$8551,2,FALSE),"")</f>
        <v/>
      </c>
      <c r="D4077" s="318" t="str">
        <f>IFERROR(VLOOKUP(A4077,[3]DOORSCRIEFT!$A$2:$G$8551,3,FALSE),"")</f>
        <v/>
      </c>
      <c r="E4077" s="317" t="str">
        <f>IFERROR(VLOOKUP(A4077,[3]DOORSCRIEFT!$A$2:$G$8551,4,FALSE),"")</f>
        <v/>
      </c>
      <c r="F4077" s="316" t="str">
        <f>IFERROR(VLOOKUP(A4077,[3]DOORSCRIEFT!$A$2:$G$8551,6,FALSE),"")</f>
        <v/>
      </c>
      <c r="G4077" s="349"/>
    </row>
    <row r="4078" spans="1:7" x14ac:dyDescent="0.25">
      <c r="A4078" s="359" t="str">
        <f t="shared" si="118"/>
        <v>I.3.1.1.01.00166</v>
      </c>
      <c r="B4078" s="319">
        <v>66</v>
      </c>
      <c r="C4078" s="319" t="str">
        <f>IFERROR(VLOOKUP(A4078,[3]DOORSCRIEFT!$A$2:$G$8551,2,FALSE),"")</f>
        <v/>
      </c>
      <c r="D4078" s="318" t="str">
        <f>IFERROR(VLOOKUP(A4078,[3]DOORSCRIEFT!$A$2:$G$8551,3,FALSE),"")</f>
        <v/>
      </c>
      <c r="E4078" s="317" t="str">
        <f>IFERROR(VLOOKUP(A4078,[3]DOORSCRIEFT!$A$2:$G$8551,4,FALSE),"")</f>
        <v/>
      </c>
      <c r="F4078" s="316" t="str">
        <f>IFERROR(VLOOKUP(A4078,[3]DOORSCRIEFT!$A$2:$G$8551,6,FALSE),"")</f>
        <v/>
      </c>
      <c r="G4078" s="349"/>
    </row>
    <row r="4079" spans="1:7" x14ac:dyDescent="0.25">
      <c r="A4079" s="359" t="str">
        <f t="shared" si="118"/>
        <v>I.3.1.1.01.00167</v>
      </c>
      <c r="B4079" s="319">
        <v>67</v>
      </c>
      <c r="C4079" s="319" t="str">
        <f>IFERROR(VLOOKUP(A4079,[3]DOORSCRIEFT!$A$2:$G$8551,2,FALSE),"")</f>
        <v/>
      </c>
      <c r="D4079" s="318" t="str">
        <f>IFERROR(VLOOKUP(A4079,[3]DOORSCRIEFT!$A$2:$G$8551,3,FALSE),"")</f>
        <v/>
      </c>
      <c r="E4079" s="317" t="str">
        <f>IFERROR(VLOOKUP(A4079,[3]DOORSCRIEFT!$A$2:$G$8551,4,FALSE),"")</f>
        <v/>
      </c>
      <c r="F4079" s="316" t="str">
        <f>IFERROR(VLOOKUP(A4079,[3]DOORSCRIEFT!$A$2:$G$8551,6,FALSE),"")</f>
        <v/>
      </c>
      <c r="G4079" s="349"/>
    </row>
    <row r="4080" spans="1:7" x14ac:dyDescent="0.25">
      <c r="A4080" s="359" t="str">
        <f t="shared" si="118"/>
        <v>I.3.1.1.01.00168</v>
      </c>
      <c r="B4080" s="319">
        <v>68</v>
      </c>
      <c r="C4080" s="319" t="str">
        <f>IFERROR(VLOOKUP(A4080,[3]DOORSCRIEFT!$A$2:$G$8551,2,FALSE),"")</f>
        <v/>
      </c>
      <c r="D4080" s="318" t="str">
        <f>IFERROR(VLOOKUP(A4080,[3]DOORSCRIEFT!$A$2:$G$8551,3,FALSE),"")</f>
        <v/>
      </c>
      <c r="E4080" s="317" t="str">
        <f>IFERROR(VLOOKUP(A4080,[3]DOORSCRIEFT!$A$2:$G$8551,4,FALSE),"")</f>
        <v/>
      </c>
      <c r="F4080" s="316" t="str">
        <f>IFERROR(VLOOKUP(A4080,[3]DOORSCRIEFT!$A$2:$G$8551,6,FALSE),"")</f>
        <v/>
      </c>
      <c r="G4080" s="349"/>
    </row>
    <row r="4081" spans="1:7" x14ac:dyDescent="0.25">
      <c r="A4081" s="359" t="str">
        <f t="shared" si="118"/>
        <v>I.3.1.1.01.00169</v>
      </c>
      <c r="B4081" s="319">
        <v>69</v>
      </c>
      <c r="C4081" s="319" t="str">
        <f>IFERROR(VLOOKUP(A4081,[3]DOORSCRIEFT!$A$2:$G$8551,2,FALSE),"")</f>
        <v/>
      </c>
      <c r="D4081" s="318" t="str">
        <f>IFERROR(VLOOKUP(A4081,[3]DOORSCRIEFT!$A$2:$G$8551,3,FALSE),"")</f>
        <v/>
      </c>
      <c r="E4081" s="317" t="str">
        <f>IFERROR(VLOOKUP(A4081,[3]DOORSCRIEFT!$A$2:$G$8551,4,FALSE),"")</f>
        <v/>
      </c>
      <c r="F4081" s="316" t="str">
        <f>IFERROR(VLOOKUP(A4081,[3]DOORSCRIEFT!$A$2:$G$8551,6,FALSE),"")</f>
        <v/>
      </c>
      <c r="G4081" s="349"/>
    </row>
    <row r="4082" spans="1:7" x14ac:dyDescent="0.25">
      <c r="A4082" s="359" t="str">
        <f t="shared" si="118"/>
        <v>I.3.1.1.01.00170</v>
      </c>
      <c r="B4082" s="319">
        <v>70</v>
      </c>
      <c r="C4082" s="319" t="str">
        <f>IFERROR(VLOOKUP(A4082,[3]DOORSCRIEFT!$A$2:$G$8551,2,FALSE),"")</f>
        <v/>
      </c>
      <c r="D4082" s="318" t="str">
        <f>IFERROR(VLOOKUP(A4082,[3]DOORSCRIEFT!$A$2:$G$8551,3,FALSE),"")</f>
        <v/>
      </c>
      <c r="E4082" s="317" t="str">
        <f>IFERROR(VLOOKUP(A4082,[3]DOORSCRIEFT!$A$2:$G$8551,4,FALSE),"")</f>
        <v/>
      </c>
      <c r="F4082" s="316" t="str">
        <f>IFERROR(VLOOKUP(A4082,[3]DOORSCRIEFT!$A$2:$G$8551,6,FALSE),"")</f>
        <v/>
      </c>
      <c r="G4082" s="349"/>
    </row>
    <row r="4083" spans="1:7" x14ac:dyDescent="0.25">
      <c r="A4083" s="359" t="str">
        <f t="shared" si="118"/>
        <v>I.3.1.1.01.00171</v>
      </c>
      <c r="B4083" s="319">
        <v>71</v>
      </c>
      <c r="C4083" s="319" t="str">
        <f>IFERROR(VLOOKUP(A4083,[3]DOORSCRIEFT!$A$2:$G$8551,2,FALSE),"")</f>
        <v/>
      </c>
      <c r="D4083" s="318" t="str">
        <f>IFERROR(VLOOKUP(A4083,[3]DOORSCRIEFT!$A$2:$G$8551,3,FALSE),"")</f>
        <v/>
      </c>
      <c r="E4083" s="317" t="str">
        <f>IFERROR(VLOOKUP(A4083,[3]DOORSCRIEFT!$A$2:$G$8551,4,FALSE),"")</f>
        <v/>
      </c>
      <c r="F4083" s="316" t="str">
        <f>IFERROR(VLOOKUP(A4083,[3]DOORSCRIEFT!$A$2:$G$8551,6,FALSE),"")</f>
        <v/>
      </c>
      <c r="G4083" s="349"/>
    </row>
    <row r="4084" spans="1:7" x14ac:dyDescent="0.25">
      <c r="A4084" s="359" t="str">
        <f t="shared" si="118"/>
        <v>I.3.1.1.01.00172</v>
      </c>
      <c r="B4084" s="319">
        <v>72</v>
      </c>
      <c r="C4084" s="319" t="str">
        <f>IFERROR(VLOOKUP(A4084,[3]DOORSCRIEFT!$A$2:$G$8551,2,FALSE),"")</f>
        <v/>
      </c>
      <c r="D4084" s="318" t="str">
        <f>IFERROR(VLOOKUP(A4084,[3]DOORSCRIEFT!$A$2:$G$8551,3,FALSE),"")</f>
        <v/>
      </c>
      <c r="E4084" s="317" t="str">
        <f>IFERROR(VLOOKUP(A4084,[3]DOORSCRIEFT!$A$2:$G$8551,4,FALSE),"")</f>
        <v/>
      </c>
      <c r="F4084" s="316" t="str">
        <f>IFERROR(VLOOKUP(A4084,[3]DOORSCRIEFT!$A$2:$G$8551,6,FALSE),"")</f>
        <v/>
      </c>
      <c r="G4084" s="349"/>
    </row>
    <row r="4085" spans="1:7" x14ac:dyDescent="0.25">
      <c r="A4085" s="359" t="str">
        <f t="shared" si="118"/>
        <v>I.3.1.1.01.00173</v>
      </c>
      <c r="B4085" s="319">
        <v>73</v>
      </c>
      <c r="C4085" s="319" t="str">
        <f>IFERROR(VLOOKUP(A4085,[3]DOORSCRIEFT!$A$2:$G$8551,2,FALSE),"")</f>
        <v/>
      </c>
      <c r="D4085" s="318" t="str">
        <f>IFERROR(VLOOKUP(A4085,[3]DOORSCRIEFT!$A$2:$G$8551,3,FALSE),"")</f>
        <v/>
      </c>
      <c r="E4085" s="317" t="str">
        <f>IFERROR(VLOOKUP(A4085,[3]DOORSCRIEFT!$A$2:$G$8551,4,FALSE),"")</f>
        <v/>
      </c>
      <c r="F4085" s="316" t="str">
        <f>IFERROR(VLOOKUP(A4085,[3]DOORSCRIEFT!$A$2:$G$8551,6,FALSE),"")</f>
        <v/>
      </c>
      <c r="G4085" s="349"/>
    </row>
    <row r="4086" spans="1:7" x14ac:dyDescent="0.25">
      <c r="A4086" s="359" t="str">
        <f t="shared" si="118"/>
        <v>I.3.1.1.01.00174</v>
      </c>
      <c r="B4086" s="319">
        <v>74</v>
      </c>
      <c r="C4086" s="319" t="str">
        <f>IFERROR(VLOOKUP(A4086,[3]DOORSCRIEFT!$A$2:$G$8551,2,FALSE),"")</f>
        <v/>
      </c>
      <c r="D4086" s="318" t="str">
        <f>IFERROR(VLOOKUP(A4086,[3]DOORSCRIEFT!$A$2:$G$8551,3,FALSE),"")</f>
        <v/>
      </c>
      <c r="E4086" s="317" t="str">
        <f>IFERROR(VLOOKUP(A4086,[3]DOORSCRIEFT!$A$2:$G$8551,4,FALSE),"")</f>
        <v/>
      </c>
      <c r="F4086" s="316" t="str">
        <f>IFERROR(VLOOKUP(A4086,[3]DOORSCRIEFT!$A$2:$G$8551,6,FALSE),"")</f>
        <v/>
      </c>
      <c r="G4086" s="349"/>
    </row>
    <row r="4087" spans="1:7" x14ac:dyDescent="0.25">
      <c r="A4087" s="359" t="str">
        <f t="shared" si="118"/>
        <v>I.3.1.1.01.00175</v>
      </c>
      <c r="B4087" s="319">
        <v>75</v>
      </c>
      <c r="C4087" s="319" t="str">
        <f>IFERROR(VLOOKUP(A4087,[3]DOORSCRIEFT!$A$2:$G$8551,2,FALSE),"")</f>
        <v/>
      </c>
      <c r="D4087" s="318" t="str">
        <f>IFERROR(VLOOKUP(A4087,[3]DOORSCRIEFT!$A$2:$G$8551,3,FALSE),"")</f>
        <v/>
      </c>
      <c r="E4087" s="317" t="str">
        <f>IFERROR(VLOOKUP(A4087,[3]DOORSCRIEFT!$A$2:$G$8551,4,FALSE),"")</f>
        <v/>
      </c>
      <c r="F4087" s="316" t="str">
        <f>IFERROR(VLOOKUP(A4087,[3]DOORSCRIEFT!$A$2:$G$8551,6,FALSE),"")</f>
        <v/>
      </c>
      <c r="G4087" s="349"/>
    </row>
    <row r="4088" spans="1:7" x14ac:dyDescent="0.25">
      <c r="A4088" s="359" t="str">
        <f t="shared" si="118"/>
        <v>I.3.1.1.01.00176</v>
      </c>
      <c r="B4088" s="319">
        <v>76</v>
      </c>
      <c r="C4088" s="319" t="str">
        <f>IFERROR(VLOOKUP(A4088,[3]DOORSCRIEFT!$A$2:$G$8551,2,FALSE),"")</f>
        <v/>
      </c>
      <c r="D4088" s="318" t="str">
        <f>IFERROR(VLOOKUP(A4088,[3]DOORSCRIEFT!$A$2:$G$8551,3,FALSE),"")</f>
        <v/>
      </c>
      <c r="E4088" s="317" t="str">
        <f>IFERROR(VLOOKUP(A4088,[3]DOORSCRIEFT!$A$2:$G$8551,4,FALSE),"")</f>
        <v/>
      </c>
      <c r="F4088" s="316" t="str">
        <f>IFERROR(VLOOKUP(A4088,[3]DOORSCRIEFT!$A$2:$G$8551,6,FALSE),"")</f>
        <v/>
      </c>
      <c r="G4088" s="349"/>
    </row>
    <row r="4089" spans="1:7" x14ac:dyDescent="0.25">
      <c r="A4089" s="359" t="str">
        <f t="shared" si="118"/>
        <v>I.3.1.1.01.00177</v>
      </c>
      <c r="B4089" s="319">
        <v>77</v>
      </c>
      <c r="C4089" s="319" t="str">
        <f>IFERROR(VLOOKUP(A4089,[3]DOORSCRIEFT!$A$2:$G$8551,2,FALSE),"")</f>
        <v/>
      </c>
      <c r="D4089" s="318" t="str">
        <f>IFERROR(VLOOKUP(A4089,[3]DOORSCRIEFT!$A$2:$G$8551,3,FALSE),"")</f>
        <v/>
      </c>
      <c r="E4089" s="317" t="str">
        <f>IFERROR(VLOOKUP(A4089,[3]DOORSCRIEFT!$A$2:$G$8551,4,FALSE),"")</f>
        <v/>
      </c>
      <c r="F4089" s="316" t="str">
        <f>IFERROR(VLOOKUP(A4089,[3]DOORSCRIEFT!$A$2:$G$8551,6,FALSE),"")</f>
        <v/>
      </c>
      <c r="G4089" s="349"/>
    </row>
    <row r="4090" spans="1:7" x14ac:dyDescent="0.25">
      <c r="A4090" s="359" t="str">
        <f t="shared" si="118"/>
        <v>I.3.1.1.01.00178</v>
      </c>
      <c r="B4090" s="319">
        <v>78</v>
      </c>
      <c r="C4090" s="319" t="str">
        <f>IFERROR(VLOOKUP(A4090,[3]DOORSCRIEFT!$A$2:$G$8551,2,FALSE),"")</f>
        <v/>
      </c>
      <c r="D4090" s="318" t="str">
        <f>IFERROR(VLOOKUP(A4090,[3]DOORSCRIEFT!$A$2:$G$8551,3,FALSE),"")</f>
        <v/>
      </c>
      <c r="E4090" s="317" t="str">
        <f>IFERROR(VLOOKUP(A4090,[3]DOORSCRIEFT!$A$2:$G$8551,4,FALSE),"")</f>
        <v/>
      </c>
      <c r="F4090" s="316" t="str">
        <f>IFERROR(VLOOKUP(A4090,[3]DOORSCRIEFT!$A$2:$G$8551,6,FALSE),"")</f>
        <v/>
      </c>
      <c r="G4090" s="349"/>
    </row>
    <row r="4091" spans="1:7" x14ac:dyDescent="0.25">
      <c r="A4091" s="359" t="str">
        <f t="shared" si="118"/>
        <v>I.3.1.1.01.00179</v>
      </c>
      <c r="B4091" s="319">
        <v>79</v>
      </c>
      <c r="C4091" s="319" t="str">
        <f>IFERROR(VLOOKUP(A4091,[3]DOORSCRIEFT!$A$2:$G$8551,2,FALSE),"")</f>
        <v/>
      </c>
      <c r="D4091" s="318" t="str">
        <f>IFERROR(VLOOKUP(A4091,[3]DOORSCRIEFT!$A$2:$G$8551,3,FALSE),"")</f>
        <v/>
      </c>
      <c r="E4091" s="317" t="str">
        <f>IFERROR(VLOOKUP(A4091,[3]DOORSCRIEFT!$A$2:$G$8551,4,FALSE),"")</f>
        <v/>
      </c>
      <c r="F4091" s="316" t="str">
        <f>IFERROR(VLOOKUP(A4091,[3]DOORSCRIEFT!$A$2:$G$8551,6,FALSE),"")</f>
        <v/>
      </c>
      <c r="G4091" s="349"/>
    </row>
    <row r="4092" spans="1:7" x14ac:dyDescent="0.25">
      <c r="A4092" s="359" t="str">
        <f t="shared" si="118"/>
        <v>I.3.1.1.01.00180</v>
      </c>
      <c r="B4092" s="319">
        <v>80</v>
      </c>
      <c r="C4092" s="319" t="str">
        <f>IFERROR(VLOOKUP(A4092,[3]DOORSCRIEFT!$A$2:$G$8551,2,FALSE),"")</f>
        <v/>
      </c>
      <c r="D4092" s="318" t="str">
        <f>IFERROR(VLOOKUP(A4092,[3]DOORSCRIEFT!$A$2:$G$8551,3,FALSE),"")</f>
        <v/>
      </c>
      <c r="E4092" s="317" t="str">
        <f>IFERROR(VLOOKUP(A4092,[3]DOORSCRIEFT!$A$2:$G$8551,4,FALSE),"")</f>
        <v/>
      </c>
      <c r="F4092" s="316" t="str">
        <f>IFERROR(VLOOKUP(A4092,[3]DOORSCRIEFT!$A$2:$G$8551,6,FALSE),"")</f>
        <v/>
      </c>
      <c r="G4092" s="349"/>
    </row>
    <row r="4093" spans="1:7" x14ac:dyDescent="0.25">
      <c r="A4093" s="359" t="str">
        <f t="shared" si="118"/>
        <v>I.3.1.1.01.00181</v>
      </c>
      <c r="B4093" s="319">
        <v>81</v>
      </c>
      <c r="C4093" s="319" t="str">
        <f>IFERROR(VLOOKUP(A4093,[3]DOORSCRIEFT!$A$2:$G$8551,2,FALSE),"")</f>
        <v/>
      </c>
      <c r="D4093" s="318" t="str">
        <f>IFERROR(VLOOKUP(A4093,[3]DOORSCRIEFT!$A$2:$G$8551,3,FALSE),"")</f>
        <v/>
      </c>
      <c r="E4093" s="317" t="str">
        <f>IFERROR(VLOOKUP(A4093,[3]DOORSCRIEFT!$A$2:$G$8551,4,FALSE),"")</f>
        <v/>
      </c>
      <c r="F4093" s="316" t="str">
        <f>IFERROR(VLOOKUP(A4093,[3]DOORSCRIEFT!$A$2:$G$8551,6,FALSE),"")</f>
        <v/>
      </c>
      <c r="G4093" s="349"/>
    </row>
    <row r="4094" spans="1:7" ht="15.75" thickBot="1" x14ac:dyDescent="0.3">
      <c r="A4094" s="359" t="str">
        <f t="shared" si="118"/>
        <v>I.3.1.1.01.00182</v>
      </c>
      <c r="B4094" s="319">
        <v>82</v>
      </c>
      <c r="C4094" s="319" t="str">
        <f>IFERROR(VLOOKUP(A4094,[3]DOORSCRIEFT!$A$2:$G$8551,2,FALSE),"")</f>
        <v/>
      </c>
      <c r="D4094" s="318" t="str">
        <f>IFERROR(VLOOKUP(A4094,[3]DOORSCRIEFT!$A$2:$G$8551,3,FALSE),"")</f>
        <v/>
      </c>
      <c r="E4094" s="317" t="str">
        <f>IFERROR(VLOOKUP(A4094,[3]DOORSCRIEFT!$A$2:$G$8551,4,FALSE),"")</f>
        <v/>
      </c>
      <c r="F4094" s="316" t="str">
        <f>IFERROR(VLOOKUP(A4094,[3]DOORSCRIEFT!$A$2:$G$8551,6,FALSE),"")</f>
        <v/>
      </c>
      <c r="G4094" s="315"/>
    </row>
    <row r="4095" spans="1:7" ht="15.75" thickBot="1" x14ac:dyDescent="0.3">
      <c r="A4095" s="358"/>
      <c r="B4095" s="357"/>
      <c r="C4095" s="344"/>
      <c r="D4095" s="312"/>
      <c r="E4095" s="311" t="s">
        <v>644</v>
      </c>
      <c r="F4095" s="310">
        <f>SUM(F4013:F4094)</f>
        <v>452000</v>
      </c>
      <c r="G4095" s="309">
        <f>SUM(G4013:G4075)</f>
        <v>0</v>
      </c>
    </row>
    <row r="4096" spans="1:7" x14ac:dyDescent="0.25">
      <c r="C4096" s="335"/>
    </row>
    <row r="4097" spans="1:7" x14ac:dyDescent="0.25">
      <c r="C4097" s="335"/>
    </row>
    <row r="4098" spans="1:7" ht="15.75" x14ac:dyDescent="0.25">
      <c r="C4098" s="334"/>
      <c r="D4098" s="333"/>
      <c r="E4098" s="332"/>
      <c r="F4098" s="327" t="s">
        <v>607</v>
      </c>
      <c r="G4098" s="327" t="s">
        <v>612</v>
      </c>
    </row>
    <row r="4099" spans="1:7" ht="15.75" x14ac:dyDescent="0.25">
      <c r="C4099" s="334"/>
      <c r="D4099" s="333"/>
      <c r="E4099" s="332"/>
      <c r="F4099" s="327" t="s">
        <v>601</v>
      </c>
      <c r="G4099" s="327" t="s">
        <v>166</v>
      </c>
    </row>
    <row r="4100" spans="1:7" x14ac:dyDescent="0.25">
      <c r="C4100" s="330"/>
      <c r="D4100" s="329"/>
      <c r="E4100" s="328"/>
      <c r="F4100" s="327" t="s">
        <v>651</v>
      </c>
      <c r="G4100" s="331">
        <f>[2]Sheet1!$D$110</f>
        <v>0</v>
      </c>
    </row>
    <row r="4101" spans="1:7" ht="15.75" thickBot="1" x14ac:dyDescent="0.3">
      <c r="C4101" s="330"/>
      <c r="D4101" s="329"/>
      <c r="E4101" s="328"/>
      <c r="F4101" s="327" t="s">
        <v>650</v>
      </c>
      <c r="G4101" s="326">
        <f>+F4120-G4100</f>
        <v>0</v>
      </c>
    </row>
    <row r="4102" spans="1:7" x14ac:dyDescent="0.25">
      <c r="A4102" s="571" t="s">
        <v>626</v>
      </c>
      <c r="B4102" s="573" t="s">
        <v>606</v>
      </c>
      <c r="C4102" s="588" t="s">
        <v>649</v>
      </c>
      <c r="D4102" s="577" t="s">
        <v>648</v>
      </c>
      <c r="E4102" s="577" t="s">
        <v>647</v>
      </c>
      <c r="F4102" s="577" t="s">
        <v>646</v>
      </c>
      <c r="G4102" s="580" t="s">
        <v>645</v>
      </c>
    </row>
    <row r="4103" spans="1:7" ht="15.75" thickBot="1" x14ac:dyDescent="0.3">
      <c r="A4103" s="572"/>
      <c r="B4103" s="574"/>
      <c r="C4103" s="589"/>
      <c r="D4103" s="586"/>
      <c r="E4103" s="586"/>
      <c r="F4103" s="586"/>
      <c r="G4103" s="587"/>
    </row>
    <row r="4104" spans="1:7" ht="15.75" thickBot="1" x14ac:dyDescent="0.3">
      <c r="A4104" s="325">
        <v>1</v>
      </c>
      <c r="B4104" s="324">
        <v>2</v>
      </c>
      <c r="C4104" s="324">
        <v>3</v>
      </c>
      <c r="D4104" s="324">
        <v>4</v>
      </c>
      <c r="E4104" s="324">
        <v>5</v>
      </c>
      <c r="F4104" s="324">
        <v>6</v>
      </c>
      <c r="G4104" s="323">
        <v>7</v>
      </c>
    </row>
    <row r="4105" spans="1:7" x14ac:dyDescent="0.25">
      <c r="A4105" s="339" t="str">
        <f t="shared" ref="A4105:A4119" si="119">$G$4098&amp;B4105</f>
        <v>I.3.1.1.01.0021</v>
      </c>
      <c r="B4105" s="339">
        <v>1</v>
      </c>
      <c r="C4105" s="319" t="str">
        <f>IFERROR(VLOOKUP(A4105,[3]DOORSCRIEFT!$A$2:$G$8551,2,FALSE),"")</f>
        <v/>
      </c>
      <c r="D4105" s="318" t="str">
        <f>IFERROR(VLOOKUP(A4105,[3]DOORSCRIEFT!$A$2:$G$8551,3,FALSE),"")</f>
        <v/>
      </c>
      <c r="E4105" s="317" t="str">
        <f>IFERROR(VLOOKUP(A4105,[3]DOORSCRIEFT!$A$2:$G$8551,4,FALSE),"")</f>
        <v/>
      </c>
      <c r="F4105" s="316" t="str">
        <f>IFERROR(VLOOKUP(A4105,[3]DOORSCRIEFT!$A$2:$G$8551,6,FALSE),"")</f>
        <v/>
      </c>
      <c r="G4105" s="322"/>
    </row>
    <row r="4106" spans="1:7" x14ac:dyDescent="0.25">
      <c r="A4106" s="339" t="str">
        <f t="shared" si="119"/>
        <v>I.3.1.1.01.0022</v>
      </c>
      <c r="B4106" s="319">
        <v>2</v>
      </c>
      <c r="C4106" s="319" t="str">
        <f>IFERROR(VLOOKUP(A4106,[3]DOORSCRIEFT!$A$2:$G$8551,2,FALSE),"")</f>
        <v/>
      </c>
      <c r="D4106" s="318" t="str">
        <f>IFERROR(VLOOKUP(A4106,[3]DOORSCRIEFT!$A$2:$G$8551,3,FALSE),"")</f>
        <v/>
      </c>
      <c r="E4106" s="317" t="str">
        <f>IFERROR(VLOOKUP(A4106,[3]DOORSCRIEFT!$A$2:$G$8551,4,FALSE),"")</f>
        <v/>
      </c>
      <c r="F4106" s="316" t="str">
        <f>IFERROR(VLOOKUP(A4106,[3]DOORSCRIEFT!$A$2:$G$8551,6,FALSE),"")</f>
        <v/>
      </c>
      <c r="G4106" s="315"/>
    </row>
    <row r="4107" spans="1:7" x14ac:dyDescent="0.25">
      <c r="A4107" s="339" t="str">
        <f t="shared" si="119"/>
        <v>I.3.1.1.01.0023</v>
      </c>
      <c r="B4107" s="319">
        <v>3</v>
      </c>
      <c r="C4107" s="319" t="str">
        <f>IFERROR(VLOOKUP(A4107,[3]DOORSCRIEFT!$A$2:$G$8551,2,FALSE),"")</f>
        <v/>
      </c>
      <c r="D4107" s="318" t="str">
        <f>IFERROR(VLOOKUP(A4107,[3]DOORSCRIEFT!$A$2:$G$8551,3,FALSE),"")</f>
        <v/>
      </c>
      <c r="E4107" s="317" t="str">
        <f>IFERROR(VLOOKUP(A4107,[3]DOORSCRIEFT!$A$2:$G$8551,4,FALSE),"")</f>
        <v/>
      </c>
      <c r="F4107" s="316" t="str">
        <f>IFERROR(VLOOKUP(A4107,[3]DOORSCRIEFT!$A$2:$G$8551,6,FALSE),"")</f>
        <v/>
      </c>
      <c r="G4107" s="315"/>
    </row>
    <row r="4108" spans="1:7" x14ac:dyDescent="0.25">
      <c r="A4108" s="339" t="str">
        <f t="shared" si="119"/>
        <v>I.3.1.1.01.0024</v>
      </c>
      <c r="B4108" s="319">
        <v>4</v>
      </c>
      <c r="C4108" s="319" t="str">
        <f>IFERROR(VLOOKUP(A4108,[3]DOORSCRIEFT!$A$2:$G$8551,2,FALSE),"")</f>
        <v/>
      </c>
      <c r="D4108" s="318" t="str">
        <f>IFERROR(VLOOKUP(A4108,[3]DOORSCRIEFT!$A$2:$G$8551,3,FALSE),"")</f>
        <v/>
      </c>
      <c r="E4108" s="317" t="str">
        <f>IFERROR(VLOOKUP(A4108,[3]DOORSCRIEFT!$A$2:$G$8551,4,FALSE),"")</f>
        <v/>
      </c>
      <c r="F4108" s="316" t="str">
        <f>IFERROR(VLOOKUP(A4108,[3]DOORSCRIEFT!$A$2:$G$8551,6,FALSE),"")</f>
        <v/>
      </c>
      <c r="G4108" s="315"/>
    </row>
    <row r="4109" spans="1:7" x14ac:dyDescent="0.25">
      <c r="A4109" s="339" t="str">
        <f t="shared" si="119"/>
        <v>I.3.1.1.01.0025</v>
      </c>
      <c r="B4109" s="319">
        <v>5</v>
      </c>
      <c r="C4109" s="319" t="str">
        <f>IFERROR(VLOOKUP(A4109,[3]DOORSCRIEFT!$A$2:$G$8551,2,FALSE),"")</f>
        <v/>
      </c>
      <c r="D4109" s="318" t="str">
        <f>IFERROR(VLOOKUP(A4109,[3]DOORSCRIEFT!$A$2:$G$8551,3,FALSE),"")</f>
        <v/>
      </c>
      <c r="E4109" s="317" t="str">
        <f>IFERROR(VLOOKUP(A4109,[3]DOORSCRIEFT!$A$2:$G$8551,4,FALSE),"")</f>
        <v/>
      </c>
      <c r="F4109" s="316" t="str">
        <f>IFERROR(VLOOKUP(A4109,[3]DOORSCRIEFT!$A$2:$G$8551,6,FALSE),"")</f>
        <v/>
      </c>
      <c r="G4109" s="315"/>
    </row>
    <row r="4110" spans="1:7" x14ac:dyDescent="0.25">
      <c r="A4110" s="339" t="str">
        <f t="shared" si="119"/>
        <v>I.3.1.1.01.0026</v>
      </c>
      <c r="B4110" s="319">
        <v>6</v>
      </c>
      <c r="C4110" s="319" t="str">
        <f>IFERROR(VLOOKUP(A4110,[3]DOORSCRIEFT!$A$2:$G$8551,2,FALSE),"")</f>
        <v/>
      </c>
      <c r="D4110" s="318" t="str">
        <f>IFERROR(VLOOKUP(A4110,[3]DOORSCRIEFT!$A$2:$G$8551,3,FALSE),"")</f>
        <v/>
      </c>
      <c r="E4110" s="317" t="str">
        <f>IFERROR(VLOOKUP(A4110,[3]DOORSCRIEFT!$A$2:$G$8551,4,FALSE),"")</f>
        <v/>
      </c>
      <c r="F4110" s="316" t="str">
        <f>IFERROR(VLOOKUP(A4110,[3]DOORSCRIEFT!$A$2:$G$8551,6,FALSE),"")</f>
        <v/>
      </c>
      <c r="G4110" s="315"/>
    </row>
    <row r="4111" spans="1:7" x14ac:dyDescent="0.25">
      <c r="A4111" s="339" t="str">
        <f t="shared" si="119"/>
        <v>I.3.1.1.01.0027</v>
      </c>
      <c r="B4111" s="319">
        <v>7</v>
      </c>
      <c r="C4111" s="319" t="str">
        <f>IFERROR(VLOOKUP(A4111,[3]DOORSCRIEFT!$A$2:$G$8551,2,FALSE),"")</f>
        <v/>
      </c>
      <c r="D4111" s="318" t="str">
        <f>IFERROR(VLOOKUP(A4111,[3]DOORSCRIEFT!$A$2:$G$8551,3,FALSE),"")</f>
        <v/>
      </c>
      <c r="E4111" s="317" t="str">
        <f>IFERROR(VLOOKUP(A4111,[3]DOORSCRIEFT!$A$2:$G$8551,4,FALSE),"")</f>
        <v/>
      </c>
      <c r="F4111" s="316" t="str">
        <f>IFERROR(VLOOKUP(A4111,[3]DOORSCRIEFT!$A$2:$G$8551,6,FALSE),"")</f>
        <v/>
      </c>
      <c r="G4111" s="315"/>
    </row>
    <row r="4112" spans="1:7" x14ac:dyDescent="0.25">
      <c r="A4112" s="339" t="str">
        <f t="shared" si="119"/>
        <v>I.3.1.1.01.0028</v>
      </c>
      <c r="B4112" s="319">
        <v>8</v>
      </c>
      <c r="C4112" s="319" t="str">
        <f>IFERROR(VLOOKUP(A4112,[3]DOORSCRIEFT!$A$2:$G$8551,2,FALSE),"")</f>
        <v/>
      </c>
      <c r="D4112" s="318" t="str">
        <f>IFERROR(VLOOKUP(A4112,[3]DOORSCRIEFT!$A$2:$G$8551,3,FALSE),"")</f>
        <v/>
      </c>
      <c r="E4112" s="317" t="str">
        <f>IFERROR(VLOOKUP(A4112,[3]DOORSCRIEFT!$A$2:$G$8551,4,FALSE),"")</f>
        <v/>
      </c>
      <c r="F4112" s="316" t="str">
        <f>IFERROR(VLOOKUP(A4112,[3]DOORSCRIEFT!$A$2:$G$8551,6,FALSE),"")</f>
        <v/>
      </c>
      <c r="G4112" s="315"/>
    </row>
    <row r="4113" spans="1:7" x14ac:dyDescent="0.25">
      <c r="A4113" s="339" t="str">
        <f t="shared" si="119"/>
        <v>I.3.1.1.01.0029</v>
      </c>
      <c r="B4113" s="319">
        <v>9</v>
      </c>
      <c r="C4113" s="319" t="str">
        <f>IFERROR(VLOOKUP(A4113,[3]DOORSCRIEFT!$A$2:$G$8551,2,FALSE),"")</f>
        <v/>
      </c>
      <c r="D4113" s="318" t="str">
        <f>IFERROR(VLOOKUP(A4113,[3]DOORSCRIEFT!$A$2:$G$8551,3,FALSE),"")</f>
        <v/>
      </c>
      <c r="E4113" s="317" t="str">
        <f>IFERROR(VLOOKUP(A4113,[3]DOORSCRIEFT!$A$2:$G$8551,4,FALSE),"")</f>
        <v/>
      </c>
      <c r="F4113" s="316" t="str">
        <f>IFERROR(VLOOKUP(A4113,[3]DOORSCRIEFT!$A$2:$G$8551,6,FALSE),"")</f>
        <v/>
      </c>
      <c r="G4113" s="315"/>
    </row>
    <row r="4114" spans="1:7" x14ac:dyDescent="0.25">
      <c r="A4114" s="339" t="str">
        <f t="shared" si="119"/>
        <v>I.3.1.1.01.00210</v>
      </c>
      <c r="B4114" s="319">
        <v>10</v>
      </c>
      <c r="C4114" s="319" t="str">
        <f>IFERROR(VLOOKUP(A4114,[3]DOORSCRIEFT!$A$2:$G$8551,2,FALSE),"")</f>
        <v/>
      </c>
      <c r="D4114" s="318" t="str">
        <f>IFERROR(VLOOKUP(A4114,[3]DOORSCRIEFT!$A$2:$G$8551,3,FALSE),"")</f>
        <v/>
      </c>
      <c r="E4114" s="317" t="str">
        <f>IFERROR(VLOOKUP(A4114,[3]DOORSCRIEFT!$A$2:$G$8551,4,FALSE),"")</f>
        <v/>
      </c>
      <c r="F4114" s="316" t="str">
        <f>IFERROR(VLOOKUP(A4114,[3]DOORSCRIEFT!$A$2:$G$8551,6,FALSE),"")</f>
        <v/>
      </c>
      <c r="G4114" s="315"/>
    </row>
    <row r="4115" spans="1:7" x14ac:dyDescent="0.25">
      <c r="A4115" s="339" t="str">
        <f t="shared" si="119"/>
        <v>I.3.1.1.01.00211</v>
      </c>
      <c r="B4115" s="319">
        <v>11</v>
      </c>
      <c r="C4115" s="319" t="str">
        <f>IFERROR(VLOOKUP(A4115,[3]DOORSCRIEFT!$A$2:$G$8551,2,FALSE),"")</f>
        <v/>
      </c>
      <c r="D4115" s="318" t="str">
        <f>IFERROR(VLOOKUP(A4115,[3]DOORSCRIEFT!$A$2:$G$8551,3,FALSE),"")</f>
        <v/>
      </c>
      <c r="E4115" s="317" t="str">
        <f>IFERROR(VLOOKUP(A4115,[3]DOORSCRIEFT!$A$2:$G$8551,4,FALSE),"")</f>
        <v/>
      </c>
      <c r="F4115" s="316" t="str">
        <f>IFERROR(VLOOKUP(A4115,[3]DOORSCRIEFT!$A$2:$G$8551,6,FALSE),"")</f>
        <v/>
      </c>
      <c r="G4115" s="315"/>
    </row>
    <row r="4116" spans="1:7" x14ac:dyDescent="0.25">
      <c r="A4116" s="339" t="str">
        <f t="shared" si="119"/>
        <v>I.3.1.1.01.00212</v>
      </c>
      <c r="B4116" s="319">
        <v>12</v>
      </c>
      <c r="C4116" s="319" t="str">
        <f>IFERROR(VLOOKUP(A4116,[3]DOORSCRIEFT!$A$2:$G$8551,2,FALSE),"")</f>
        <v/>
      </c>
      <c r="D4116" s="318" t="str">
        <f>IFERROR(VLOOKUP(A4116,[3]DOORSCRIEFT!$A$2:$G$8551,3,FALSE),"")</f>
        <v/>
      </c>
      <c r="E4116" s="317" t="str">
        <f>IFERROR(VLOOKUP(A4116,[3]DOORSCRIEFT!$A$2:$G$8551,4,FALSE),"")</f>
        <v/>
      </c>
      <c r="F4116" s="316" t="str">
        <f>IFERROR(VLOOKUP(A4116,[3]DOORSCRIEFT!$A$2:$G$8551,6,FALSE),"")</f>
        <v/>
      </c>
      <c r="G4116" s="315"/>
    </row>
    <row r="4117" spans="1:7" x14ac:dyDescent="0.25">
      <c r="A4117" s="339" t="str">
        <f t="shared" si="119"/>
        <v>I.3.1.1.01.00213</v>
      </c>
      <c r="B4117" s="319">
        <v>13</v>
      </c>
      <c r="C4117" s="319" t="str">
        <f>IFERROR(VLOOKUP(A4117,[3]DOORSCRIEFT!$A$2:$G$8551,2,FALSE),"")</f>
        <v/>
      </c>
      <c r="D4117" s="318" t="str">
        <f>IFERROR(VLOOKUP(A4117,[3]DOORSCRIEFT!$A$2:$G$8551,3,FALSE),"")</f>
        <v/>
      </c>
      <c r="E4117" s="317" t="str">
        <f>IFERROR(VLOOKUP(A4117,[3]DOORSCRIEFT!$A$2:$G$8551,4,FALSE),"")</f>
        <v/>
      </c>
      <c r="F4117" s="316" t="str">
        <f>IFERROR(VLOOKUP(A4117,[3]DOORSCRIEFT!$A$2:$G$8551,6,FALSE),"")</f>
        <v/>
      </c>
      <c r="G4117" s="315"/>
    </row>
    <row r="4118" spans="1:7" x14ac:dyDescent="0.25">
      <c r="A4118" s="339" t="str">
        <f t="shared" si="119"/>
        <v>I.3.1.1.01.00214</v>
      </c>
      <c r="B4118" s="319">
        <v>14</v>
      </c>
      <c r="C4118" s="319" t="str">
        <f>IFERROR(VLOOKUP(A4118,[3]DOORSCRIEFT!$A$2:$G$8551,2,FALSE),"")</f>
        <v/>
      </c>
      <c r="D4118" s="318" t="str">
        <f>IFERROR(VLOOKUP(A4118,[3]DOORSCRIEFT!$A$2:$G$8551,3,FALSE),"")</f>
        <v/>
      </c>
      <c r="E4118" s="317" t="str">
        <f>IFERROR(VLOOKUP(A4118,[3]DOORSCRIEFT!$A$2:$G$8551,4,FALSE),"")</f>
        <v/>
      </c>
      <c r="F4118" s="316" t="str">
        <f>IFERROR(VLOOKUP(A4118,[3]DOORSCRIEFT!$A$2:$G$8551,6,FALSE),"")</f>
        <v/>
      </c>
      <c r="G4118" s="315"/>
    </row>
    <row r="4119" spans="1:7" ht="15.75" thickBot="1" x14ac:dyDescent="0.3">
      <c r="A4119" s="339" t="str">
        <f t="shared" si="119"/>
        <v>I.3.1.1.01.00215</v>
      </c>
      <c r="B4119" s="345">
        <v>15</v>
      </c>
      <c r="C4119" s="319" t="str">
        <f>IFERROR(VLOOKUP(A4119,[3]DOORSCRIEFT!$A$2:$G$8551,2,FALSE),"")</f>
        <v/>
      </c>
      <c r="D4119" s="318" t="str">
        <f>IFERROR(VLOOKUP(A4119,[3]DOORSCRIEFT!$A$2:$G$8551,3,FALSE),"")</f>
        <v/>
      </c>
      <c r="E4119" s="317" t="str">
        <f>IFERROR(VLOOKUP(A4119,[3]DOORSCRIEFT!$A$2:$G$8551,4,FALSE),"")</f>
        <v/>
      </c>
      <c r="F4119" s="316" t="str">
        <f>IFERROR(VLOOKUP(A4119,[3]DOORSCRIEFT!$A$2:$G$8551,6,FALSE),"")</f>
        <v/>
      </c>
      <c r="G4119" s="315"/>
    </row>
    <row r="4120" spans="1:7" ht="15.75" thickBot="1" x14ac:dyDescent="0.3">
      <c r="A4120" s="344"/>
      <c r="B4120" s="343"/>
      <c r="C4120" s="336"/>
      <c r="D4120" s="312"/>
      <c r="E4120" s="311" t="s">
        <v>644</v>
      </c>
      <c r="F4120" s="310">
        <f>SUM(F4105:F4119)</f>
        <v>0</v>
      </c>
      <c r="G4120" s="309">
        <f>SUM(G4105:G4119)</f>
        <v>0</v>
      </c>
    </row>
    <row r="4121" spans="1:7" x14ac:dyDescent="0.25">
      <c r="C4121" s="335"/>
    </row>
    <row r="4122" spans="1:7" x14ac:dyDescent="0.25">
      <c r="C4122" s="335"/>
    </row>
    <row r="4123" spans="1:7" ht="15.75" x14ac:dyDescent="0.25">
      <c r="C4123" s="334"/>
      <c r="D4123" s="333"/>
      <c r="E4123" s="332"/>
      <c r="F4123" s="327" t="s">
        <v>607</v>
      </c>
      <c r="G4123" s="327" t="s">
        <v>613</v>
      </c>
    </row>
    <row r="4124" spans="1:7" ht="15.75" x14ac:dyDescent="0.25">
      <c r="C4124" s="334"/>
      <c r="D4124" s="333"/>
      <c r="E4124" s="332"/>
      <c r="F4124" s="327" t="s">
        <v>601</v>
      </c>
      <c r="G4124" s="327" t="s">
        <v>164</v>
      </c>
    </row>
    <row r="4125" spans="1:7" x14ac:dyDescent="0.25">
      <c r="C4125" s="330"/>
      <c r="D4125" s="329"/>
      <c r="E4125" s="328"/>
      <c r="F4125" s="327" t="s">
        <v>651</v>
      </c>
      <c r="G4125" s="331">
        <f>[2]Sheet1!$D$111</f>
        <v>0</v>
      </c>
    </row>
    <row r="4126" spans="1:7" ht="15.75" thickBot="1" x14ac:dyDescent="0.3">
      <c r="C4126" s="330"/>
      <c r="D4126" s="329"/>
      <c r="E4126" s="328"/>
      <c r="F4126" s="327" t="s">
        <v>650</v>
      </c>
      <c r="G4126" s="326">
        <f>+F4145-G4125</f>
        <v>0</v>
      </c>
    </row>
    <row r="4127" spans="1:7" x14ac:dyDescent="0.25">
      <c r="A4127" s="571" t="s">
        <v>626</v>
      </c>
      <c r="B4127" s="573" t="s">
        <v>606</v>
      </c>
      <c r="C4127" s="588" t="s">
        <v>649</v>
      </c>
      <c r="D4127" s="577" t="s">
        <v>648</v>
      </c>
      <c r="E4127" s="577" t="s">
        <v>647</v>
      </c>
      <c r="F4127" s="577" t="s">
        <v>646</v>
      </c>
      <c r="G4127" s="580" t="s">
        <v>645</v>
      </c>
    </row>
    <row r="4128" spans="1:7" ht="15.75" thickBot="1" x14ac:dyDescent="0.3">
      <c r="A4128" s="572"/>
      <c r="B4128" s="574"/>
      <c r="C4128" s="589"/>
      <c r="D4128" s="586"/>
      <c r="E4128" s="586"/>
      <c r="F4128" s="586"/>
      <c r="G4128" s="587"/>
    </row>
    <row r="4129" spans="1:7" ht="15.75" thickBot="1" x14ac:dyDescent="0.3">
      <c r="A4129" s="325">
        <v>1</v>
      </c>
      <c r="B4129" s="324">
        <v>2</v>
      </c>
      <c r="C4129" s="324">
        <v>3</v>
      </c>
      <c r="D4129" s="324">
        <v>4</v>
      </c>
      <c r="E4129" s="324">
        <v>5</v>
      </c>
      <c r="F4129" s="324">
        <v>6</v>
      </c>
      <c r="G4129" s="323">
        <v>7</v>
      </c>
    </row>
    <row r="4130" spans="1:7" x14ac:dyDescent="0.25">
      <c r="A4130" s="339" t="str">
        <f t="shared" ref="A4130:A4144" si="120">$G$4123&amp;B4130</f>
        <v>I.3.1.1.01.0031</v>
      </c>
      <c r="B4130" s="339">
        <v>1</v>
      </c>
      <c r="C4130" s="319" t="str">
        <f>IFERROR(VLOOKUP(A4130,[3]DOORSCRIEFT!$A$2:$G$8551,2,FALSE),"")</f>
        <v/>
      </c>
      <c r="D4130" s="318" t="str">
        <f>IFERROR(VLOOKUP(A4130,[3]DOORSCRIEFT!$A$2:$G$8551,3,FALSE),"")</f>
        <v/>
      </c>
      <c r="E4130" s="317" t="str">
        <f>IFERROR(VLOOKUP(A4130,[3]DOORSCRIEFT!$A$2:$G$8551,4,FALSE),"")</f>
        <v/>
      </c>
      <c r="F4130" s="316" t="str">
        <f>IFERROR(VLOOKUP(A4130,[3]DOORSCRIEFT!$A$2:$G$8551,6,FALSE),"")</f>
        <v/>
      </c>
      <c r="G4130" s="322"/>
    </row>
    <row r="4131" spans="1:7" x14ac:dyDescent="0.25">
      <c r="A4131" s="319" t="str">
        <f t="shared" si="120"/>
        <v>I.3.1.1.01.0032</v>
      </c>
      <c r="B4131" s="319">
        <v>2</v>
      </c>
      <c r="C4131" s="319" t="str">
        <f>IFERROR(VLOOKUP(A4131,[3]DOORSCRIEFT!$A$2:$G$8551,2,FALSE),"")</f>
        <v/>
      </c>
      <c r="D4131" s="318" t="str">
        <f>IFERROR(VLOOKUP(A4131,[3]DOORSCRIEFT!$A$2:$G$8551,3,FALSE),"")</f>
        <v/>
      </c>
      <c r="E4131" s="317" t="str">
        <f>IFERROR(VLOOKUP(A4131,[3]DOORSCRIEFT!$A$2:$G$8551,4,FALSE),"")</f>
        <v/>
      </c>
      <c r="F4131" s="316" t="str">
        <f>IFERROR(VLOOKUP(A4131,[3]DOORSCRIEFT!$A$2:$G$8551,6,FALSE),"")</f>
        <v/>
      </c>
      <c r="G4131" s="315"/>
    </row>
    <row r="4132" spans="1:7" x14ac:dyDescent="0.25">
      <c r="A4132" s="319" t="str">
        <f t="shared" si="120"/>
        <v>I.3.1.1.01.0033</v>
      </c>
      <c r="B4132" s="319">
        <v>3</v>
      </c>
      <c r="C4132" s="319" t="str">
        <f>IFERROR(VLOOKUP(A4132,[3]DOORSCRIEFT!$A$2:$G$8551,2,FALSE),"")</f>
        <v/>
      </c>
      <c r="D4132" s="318" t="str">
        <f>IFERROR(VLOOKUP(A4132,[3]DOORSCRIEFT!$A$2:$G$8551,3,FALSE),"")</f>
        <v/>
      </c>
      <c r="E4132" s="317" t="str">
        <f>IFERROR(VLOOKUP(A4132,[3]DOORSCRIEFT!$A$2:$G$8551,4,FALSE),"")</f>
        <v/>
      </c>
      <c r="F4132" s="316" t="str">
        <f>IFERROR(VLOOKUP(A4132,[3]DOORSCRIEFT!$A$2:$G$8551,6,FALSE),"")</f>
        <v/>
      </c>
      <c r="G4132" s="315"/>
    </row>
    <row r="4133" spans="1:7" x14ac:dyDescent="0.25">
      <c r="A4133" s="319" t="str">
        <f t="shared" si="120"/>
        <v>I.3.1.1.01.0034</v>
      </c>
      <c r="B4133" s="319">
        <v>4</v>
      </c>
      <c r="C4133" s="319" t="str">
        <f>IFERROR(VLOOKUP(A4133,[3]DOORSCRIEFT!$A$2:$G$8551,2,FALSE),"")</f>
        <v/>
      </c>
      <c r="D4133" s="318" t="str">
        <f>IFERROR(VLOOKUP(A4133,[3]DOORSCRIEFT!$A$2:$G$8551,3,FALSE),"")</f>
        <v/>
      </c>
      <c r="E4133" s="317" t="str">
        <f>IFERROR(VLOOKUP(A4133,[3]DOORSCRIEFT!$A$2:$G$8551,4,FALSE),"")</f>
        <v/>
      </c>
      <c r="F4133" s="316" t="str">
        <f>IFERROR(VLOOKUP(A4133,[3]DOORSCRIEFT!$A$2:$G$8551,6,FALSE),"")</f>
        <v/>
      </c>
      <c r="G4133" s="315"/>
    </row>
    <row r="4134" spans="1:7" x14ac:dyDescent="0.25">
      <c r="A4134" s="319" t="str">
        <f t="shared" si="120"/>
        <v>I.3.1.1.01.0035</v>
      </c>
      <c r="B4134" s="319">
        <v>5</v>
      </c>
      <c r="C4134" s="319" t="str">
        <f>IFERROR(VLOOKUP(A4134,[3]DOORSCRIEFT!$A$2:$G$8551,2,FALSE),"")</f>
        <v/>
      </c>
      <c r="D4134" s="318" t="str">
        <f>IFERROR(VLOOKUP(A4134,[3]DOORSCRIEFT!$A$2:$G$8551,3,FALSE),"")</f>
        <v/>
      </c>
      <c r="E4134" s="317" t="str">
        <f>IFERROR(VLOOKUP(A4134,[3]DOORSCRIEFT!$A$2:$G$8551,4,FALSE),"")</f>
        <v/>
      </c>
      <c r="F4134" s="316" t="str">
        <f>IFERROR(VLOOKUP(A4134,[3]DOORSCRIEFT!$A$2:$G$8551,6,FALSE),"")</f>
        <v/>
      </c>
      <c r="G4134" s="315"/>
    </row>
    <row r="4135" spans="1:7" x14ac:dyDescent="0.25">
      <c r="A4135" s="319" t="str">
        <f t="shared" si="120"/>
        <v>I.3.1.1.01.0036</v>
      </c>
      <c r="B4135" s="319">
        <v>6</v>
      </c>
      <c r="C4135" s="319" t="str">
        <f>IFERROR(VLOOKUP(A4135,[3]DOORSCRIEFT!$A$2:$G$8551,2,FALSE),"")</f>
        <v/>
      </c>
      <c r="D4135" s="318" t="str">
        <f>IFERROR(VLOOKUP(A4135,[3]DOORSCRIEFT!$A$2:$G$8551,3,FALSE),"")</f>
        <v/>
      </c>
      <c r="E4135" s="317" t="str">
        <f>IFERROR(VLOOKUP(A4135,[3]DOORSCRIEFT!$A$2:$G$8551,4,FALSE),"")</f>
        <v/>
      </c>
      <c r="F4135" s="316" t="str">
        <f>IFERROR(VLOOKUP(A4135,[3]DOORSCRIEFT!$A$2:$G$8551,6,FALSE),"")</f>
        <v/>
      </c>
      <c r="G4135" s="315"/>
    </row>
    <row r="4136" spans="1:7" x14ac:dyDescent="0.25">
      <c r="A4136" s="319" t="str">
        <f t="shared" si="120"/>
        <v>I.3.1.1.01.0037</v>
      </c>
      <c r="B4136" s="319">
        <v>7</v>
      </c>
      <c r="C4136" s="319" t="str">
        <f>IFERROR(VLOOKUP(A4136,[3]DOORSCRIEFT!$A$2:$G$8551,2,FALSE),"")</f>
        <v/>
      </c>
      <c r="D4136" s="318" t="str">
        <f>IFERROR(VLOOKUP(A4136,[3]DOORSCRIEFT!$A$2:$G$8551,3,FALSE),"")</f>
        <v/>
      </c>
      <c r="E4136" s="317" t="str">
        <f>IFERROR(VLOOKUP(A4136,[3]DOORSCRIEFT!$A$2:$G$8551,4,FALSE),"")</f>
        <v/>
      </c>
      <c r="F4136" s="316" t="str">
        <f>IFERROR(VLOOKUP(A4136,[3]DOORSCRIEFT!$A$2:$G$8551,6,FALSE),"")</f>
        <v/>
      </c>
      <c r="G4136" s="315"/>
    </row>
    <row r="4137" spans="1:7" x14ac:dyDescent="0.25">
      <c r="A4137" s="319" t="str">
        <f t="shared" si="120"/>
        <v>I.3.1.1.01.0038</v>
      </c>
      <c r="B4137" s="319">
        <v>8</v>
      </c>
      <c r="C4137" s="319" t="str">
        <f>IFERROR(VLOOKUP(A4137,[3]DOORSCRIEFT!$A$2:$G$8551,2,FALSE),"")</f>
        <v/>
      </c>
      <c r="D4137" s="318" t="str">
        <f>IFERROR(VLOOKUP(A4137,[3]DOORSCRIEFT!$A$2:$G$8551,3,FALSE),"")</f>
        <v/>
      </c>
      <c r="E4137" s="317" t="str">
        <f>IFERROR(VLOOKUP(A4137,[3]DOORSCRIEFT!$A$2:$G$8551,4,FALSE),"")</f>
        <v/>
      </c>
      <c r="F4137" s="316" t="str">
        <f>IFERROR(VLOOKUP(A4137,[3]DOORSCRIEFT!$A$2:$G$8551,6,FALSE),"")</f>
        <v/>
      </c>
      <c r="G4137" s="315"/>
    </row>
    <row r="4138" spans="1:7" x14ac:dyDescent="0.25">
      <c r="A4138" s="319" t="str">
        <f t="shared" si="120"/>
        <v>I.3.1.1.01.0039</v>
      </c>
      <c r="B4138" s="319">
        <v>9</v>
      </c>
      <c r="C4138" s="319" t="str">
        <f>IFERROR(VLOOKUP(A4138,[3]DOORSCRIEFT!$A$2:$G$8551,2,FALSE),"")</f>
        <v/>
      </c>
      <c r="D4138" s="318" t="str">
        <f>IFERROR(VLOOKUP(A4138,[3]DOORSCRIEFT!$A$2:$G$8551,3,FALSE),"")</f>
        <v/>
      </c>
      <c r="E4138" s="317" t="str">
        <f>IFERROR(VLOOKUP(A4138,[3]DOORSCRIEFT!$A$2:$G$8551,4,FALSE),"")</f>
        <v/>
      </c>
      <c r="F4138" s="316" t="str">
        <f>IFERROR(VLOOKUP(A4138,[3]DOORSCRIEFT!$A$2:$G$8551,6,FALSE),"")</f>
        <v/>
      </c>
      <c r="G4138" s="315"/>
    </row>
    <row r="4139" spans="1:7" x14ac:dyDescent="0.25">
      <c r="A4139" s="319" t="str">
        <f t="shared" si="120"/>
        <v>I.3.1.1.01.00310</v>
      </c>
      <c r="B4139" s="319">
        <v>10</v>
      </c>
      <c r="C4139" s="319" t="str">
        <f>IFERROR(VLOOKUP(A4139,[3]DOORSCRIEFT!$A$2:$G$8551,2,FALSE),"")</f>
        <v/>
      </c>
      <c r="D4139" s="318" t="str">
        <f>IFERROR(VLOOKUP(A4139,[3]DOORSCRIEFT!$A$2:$G$8551,3,FALSE),"")</f>
        <v/>
      </c>
      <c r="E4139" s="317" t="str">
        <f>IFERROR(VLOOKUP(A4139,[3]DOORSCRIEFT!$A$2:$G$8551,4,FALSE),"")</f>
        <v/>
      </c>
      <c r="F4139" s="316" t="str">
        <f>IFERROR(VLOOKUP(A4139,[3]DOORSCRIEFT!$A$2:$G$8551,6,FALSE),"")</f>
        <v/>
      </c>
      <c r="G4139" s="315"/>
    </row>
    <row r="4140" spans="1:7" x14ac:dyDescent="0.25">
      <c r="A4140" s="319" t="str">
        <f t="shared" si="120"/>
        <v>I.3.1.1.01.00311</v>
      </c>
      <c r="B4140" s="319">
        <v>11</v>
      </c>
      <c r="C4140" s="319" t="str">
        <f>IFERROR(VLOOKUP(A4140,[3]DOORSCRIEFT!$A$2:$G$8551,2,FALSE),"")</f>
        <v/>
      </c>
      <c r="D4140" s="318" t="str">
        <f>IFERROR(VLOOKUP(A4140,[3]DOORSCRIEFT!$A$2:$G$8551,3,FALSE),"")</f>
        <v/>
      </c>
      <c r="E4140" s="317" t="str">
        <f>IFERROR(VLOOKUP(A4140,[3]DOORSCRIEFT!$A$2:$G$8551,4,FALSE),"")</f>
        <v/>
      </c>
      <c r="F4140" s="316" t="str">
        <f>IFERROR(VLOOKUP(A4140,[3]DOORSCRIEFT!$A$2:$G$8551,6,FALSE),"")</f>
        <v/>
      </c>
      <c r="G4140" s="315"/>
    </row>
    <row r="4141" spans="1:7" x14ac:dyDescent="0.25">
      <c r="A4141" s="319" t="str">
        <f t="shared" si="120"/>
        <v>I.3.1.1.01.00312</v>
      </c>
      <c r="B4141" s="319">
        <v>12</v>
      </c>
      <c r="C4141" s="319" t="str">
        <f>IFERROR(VLOOKUP(A4141,[3]DOORSCRIEFT!$A$2:$G$8551,2,FALSE),"")</f>
        <v/>
      </c>
      <c r="D4141" s="318" t="str">
        <f>IFERROR(VLOOKUP(A4141,[3]DOORSCRIEFT!$A$2:$G$8551,3,FALSE),"")</f>
        <v/>
      </c>
      <c r="E4141" s="317" t="str">
        <f>IFERROR(VLOOKUP(A4141,[3]DOORSCRIEFT!$A$2:$G$8551,4,FALSE),"")</f>
        <v/>
      </c>
      <c r="F4141" s="316" t="str">
        <f>IFERROR(VLOOKUP(A4141,[3]DOORSCRIEFT!$A$2:$G$8551,6,FALSE),"")</f>
        <v/>
      </c>
      <c r="G4141" s="315"/>
    </row>
    <row r="4142" spans="1:7" x14ac:dyDescent="0.25">
      <c r="A4142" s="319" t="str">
        <f t="shared" si="120"/>
        <v>I.3.1.1.01.00313</v>
      </c>
      <c r="B4142" s="319">
        <v>13</v>
      </c>
      <c r="C4142" s="319" t="str">
        <f>IFERROR(VLOOKUP(A4142,[3]DOORSCRIEFT!$A$2:$G$8551,2,FALSE),"")</f>
        <v/>
      </c>
      <c r="D4142" s="318" t="str">
        <f>IFERROR(VLOOKUP(A4142,[3]DOORSCRIEFT!$A$2:$G$8551,3,FALSE),"")</f>
        <v/>
      </c>
      <c r="E4142" s="317" t="str">
        <f>IFERROR(VLOOKUP(A4142,[3]DOORSCRIEFT!$A$2:$G$8551,4,FALSE),"")</f>
        <v/>
      </c>
      <c r="F4142" s="316" t="str">
        <f>IFERROR(VLOOKUP(A4142,[3]DOORSCRIEFT!$A$2:$G$8551,6,FALSE),"")</f>
        <v/>
      </c>
      <c r="G4142" s="315"/>
    </row>
    <row r="4143" spans="1:7" x14ac:dyDescent="0.25">
      <c r="A4143" s="319" t="str">
        <f t="shared" si="120"/>
        <v>I.3.1.1.01.00314</v>
      </c>
      <c r="B4143" s="319">
        <v>14</v>
      </c>
      <c r="C4143" s="319" t="str">
        <f>IFERROR(VLOOKUP(A4143,[3]DOORSCRIEFT!$A$2:$G$8551,2,FALSE),"")</f>
        <v/>
      </c>
      <c r="D4143" s="318" t="str">
        <f>IFERROR(VLOOKUP(A4143,[3]DOORSCRIEFT!$A$2:$G$8551,3,FALSE),"")</f>
        <v/>
      </c>
      <c r="E4143" s="317" t="str">
        <f>IFERROR(VLOOKUP(A4143,[3]DOORSCRIEFT!$A$2:$G$8551,4,FALSE),"")</f>
        <v/>
      </c>
      <c r="F4143" s="316" t="str">
        <f>IFERROR(VLOOKUP(A4143,[3]DOORSCRIEFT!$A$2:$G$8551,6,FALSE),"")</f>
        <v/>
      </c>
      <c r="G4143" s="315"/>
    </row>
    <row r="4144" spans="1:7" ht="15.75" thickBot="1" x14ac:dyDescent="0.3">
      <c r="A4144" s="345" t="str">
        <f t="shared" si="120"/>
        <v>I.3.1.1.01.00315</v>
      </c>
      <c r="B4144" s="345">
        <v>15</v>
      </c>
      <c r="C4144" s="319" t="str">
        <f>IFERROR(VLOOKUP(A4144,[3]DOORSCRIEFT!$A$2:$G$8551,2,FALSE),"")</f>
        <v/>
      </c>
      <c r="D4144" s="318" t="str">
        <f>IFERROR(VLOOKUP(A4144,[3]DOORSCRIEFT!$A$2:$G$8551,3,FALSE),"")</f>
        <v/>
      </c>
      <c r="E4144" s="317" t="str">
        <f>IFERROR(VLOOKUP(A4144,[3]DOORSCRIEFT!$A$2:$G$8551,4,FALSE),"")</f>
        <v/>
      </c>
      <c r="F4144" s="316" t="str">
        <f>IFERROR(VLOOKUP(A4144,[3]DOORSCRIEFT!$A$2:$G$8551,6,FALSE),"")</f>
        <v/>
      </c>
      <c r="G4144" s="315"/>
    </row>
    <row r="4145" spans="1:7" ht="15.75" thickBot="1" x14ac:dyDescent="0.3">
      <c r="A4145" s="344"/>
      <c r="B4145" s="343"/>
      <c r="C4145" s="336"/>
      <c r="D4145" s="312"/>
      <c r="E4145" s="311" t="s">
        <v>644</v>
      </c>
      <c r="F4145" s="310">
        <f>SUM(F4130:F4144)</f>
        <v>0</v>
      </c>
      <c r="G4145" s="309">
        <f>SUM(G4130:G4144)</f>
        <v>0</v>
      </c>
    </row>
    <row r="4146" spans="1:7" x14ac:dyDescent="0.25">
      <c r="C4146" s="335"/>
    </row>
    <row r="4147" spans="1:7" x14ac:dyDescent="0.25">
      <c r="C4147" s="335"/>
    </row>
    <row r="4148" spans="1:7" ht="15.75" x14ac:dyDescent="0.25">
      <c r="C4148" s="334"/>
      <c r="D4148" s="333"/>
      <c r="E4148" s="332"/>
      <c r="F4148" s="327" t="s">
        <v>607</v>
      </c>
      <c r="G4148" s="327" t="s">
        <v>614</v>
      </c>
    </row>
    <row r="4149" spans="1:7" ht="15.75" x14ac:dyDescent="0.25">
      <c r="C4149" s="334"/>
      <c r="D4149" s="333"/>
      <c r="E4149" s="332"/>
      <c r="F4149" s="327" t="s">
        <v>601</v>
      </c>
      <c r="G4149" s="327" t="s">
        <v>162</v>
      </c>
    </row>
    <row r="4150" spans="1:7" x14ac:dyDescent="0.25">
      <c r="C4150" s="330"/>
      <c r="D4150" s="329"/>
      <c r="E4150" s="328"/>
      <c r="F4150" s="327" t="s">
        <v>651</v>
      </c>
      <c r="G4150" s="331">
        <f>[2]Sheet1!$D$112</f>
        <v>0</v>
      </c>
    </row>
    <row r="4151" spans="1:7" ht="15.75" thickBot="1" x14ac:dyDescent="0.3">
      <c r="C4151" s="330"/>
      <c r="D4151" s="329"/>
      <c r="E4151" s="328"/>
      <c r="F4151" s="327" t="s">
        <v>650</v>
      </c>
      <c r="G4151" s="326">
        <f>+F4206-G4150</f>
        <v>633000</v>
      </c>
    </row>
    <row r="4152" spans="1:7" x14ac:dyDescent="0.25">
      <c r="A4152" s="571" t="s">
        <v>626</v>
      </c>
      <c r="B4152" s="573" t="s">
        <v>606</v>
      </c>
      <c r="C4152" s="588" t="s">
        <v>649</v>
      </c>
      <c r="D4152" s="577" t="s">
        <v>648</v>
      </c>
      <c r="E4152" s="577" t="s">
        <v>647</v>
      </c>
      <c r="F4152" s="577" t="s">
        <v>646</v>
      </c>
      <c r="G4152" s="580" t="s">
        <v>645</v>
      </c>
    </row>
    <row r="4153" spans="1:7" ht="15.75" thickBot="1" x14ac:dyDescent="0.3">
      <c r="A4153" s="572"/>
      <c r="B4153" s="574"/>
      <c r="C4153" s="589"/>
      <c r="D4153" s="586"/>
      <c r="E4153" s="586"/>
      <c r="F4153" s="586"/>
      <c r="G4153" s="587"/>
    </row>
    <row r="4154" spans="1:7" ht="15.75" thickBot="1" x14ac:dyDescent="0.3">
      <c r="A4154" s="325">
        <v>1</v>
      </c>
      <c r="B4154" s="324">
        <v>2</v>
      </c>
      <c r="C4154" s="324">
        <v>3</v>
      </c>
      <c r="D4154" s="324">
        <v>4</v>
      </c>
      <c r="E4154" s="324">
        <v>5</v>
      </c>
      <c r="F4154" s="324">
        <v>6</v>
      </c>
      <c r="G4154" s="323">
        <v>7</v>
      </c>
    </row>
    <row r="4155" spans="1:7" x14ac:dyDescent="0.25">
      <c r="A4155" s="339" t="str">
        <f t="shared" ref="A4155:A4186" si="121">$G$4148&amp;B4155</f>
        <v>I.3.1.1.01.0041</v>
      </c>
      <c r="B4155" s="339">
        <v>1</v>
      </c>
      <c r="C4155" s="319">
        <f>IFERROR(VLOOKUP(A4155,[3]DOORSCRIEFT!$A$2:$G$8551,2,FALSE),"")</f>
        <v>353</v>
      </c>
      <c r="D4155" s="318">
        <f>IFERROR(VLOOKUP(A4155,[3]DOORSCRIEFT!$A$2:$G$8551,3,FALSE),"")</f>
        <v>46096</v>
      </c>
      <c r="E4155" s="317" t="str">
        <f>IFERROR(VLOOKUP(A4155,[3]DOORSCRIEFT!$A$2:$G$8551,4,FALSE),"")</f>
        <v>Kolekta Kebaktian WGS</v>
      </c>
      <c r="F4155" s="316">
        <f>IFERROR(VLOOKUP(A4155,[3]DOORSCRIEFT!$A$2:$G$8551,6,FALSE),"")</f>
        <v>566000</v>
      </c>
      <c r="G4155" s="322"/>
    </row>
    <row r="4156" spans="1:7" x14ac:dyDescent="0.25">
      <c r="A4156" s="339" t="str">
        <f t="shared" si="121"/>
        <v>I.3.1.1.01.0042</v>
      </c>
      <c r="B4156" s="319">
        <v>2</v>
      </c>
      <c r="C4156" s="319">
        <f>IFERROR(VLOOKUP(A4156,[3]DOORSCRIEFT!$A$2:$G$8551,2,FALSE),"")</f>
        <v>424</v>
      </c>
      <c r="D4156" s="318">
        <f>IFERROR(VLOOKUP(A4156,[3]DOORSCRIEFT!$A$2:$G$8551,3,FALSE),"")</f>
        <v>46103</v>
      </c>
      <c r="E4156" s="317" t="str">
        <f>IFERROR(VLOOKUP(A4156,[3]DOORSCRIEFT!$A$2:$G$8551,4,FALSE),"")</f>
        <v>Kolekta WGS Sektor Bethesda dan Galilea</v>
      </c>
      <c r="F4156" s="316">
        <f>IFERROR(VLOOKUP(A4156,[3]DOORSCRIEFT!$A$2:$G$8551,6,FALSE),"")</f>
        <v>67000</v>
      </c>
      <c r="G4156" s="315"/>
    </row>
    <row r="4157" spans="1:7" x14ac:dyDescent="0.25">
      <c r="A4157" s="339" t="str">
        <f t="shared" si="121"/>
        <v>I.3.1.1.01.0043</v>
      </c>
      <c r="B4157" s="319">
        <v>3</v>
      </c>
      <c r="C4157" s="319" t="str">
        <f>IFERROR(VLOOKUP(A4157,[3]DOORSCRIEFT!$A$2:$G$8551,2,FALSE),"")</f>
        <v/>
      </c>
      <c r="D4157" s="318" t="str">
        <f>IFERROR(VLOOKUP(A4157,[3]DOORSCRIEFT!$A$2:$G$8551,3,FALSE),"")</f>
        <v/>
      </c>
      <c r="E4157" s="317" t="str">
        <f>IFERROR(VLOOKUP(A4157,[3]DOORSCRIEFT!$A$2:$G$8551,4,FALSE),"")</f>
        <v/>
      </c>
      <c r="F4157" s="316" t="str">
        <f>IFERROR(VLOOKUP(A4157,[3]DOORSCRIEFT!$A$2:$G$8551,6,FALSE),"")</f>
        <v/>
      </c>
      <c r="G4157" s="315"/>
    </row>
    <row r="4158" spans="1:7" x14ac:dyDescent="0.25">
      <c r="A4158" s="339" t="str">
        <f t="shared" si="121"/>
        <v>I.3.1.1.01.0044</v>
      </c>
      <c r="B4158" s="319">
        <v>4</v>
      </c>
      <c r="C4158" s="319" t="str">
        <f>IFERROR(VLOOKUP(A4158,[3]DOORSCRIEFT!$A$2:$G$8551,2,FALSE),"")</f>
        <v/>
      </c>
      <c r="D4158" s="318" t="str">
        <f>IFERROR(VLOOKUP(A4158,[3]DOORSCRIEFT!$A$2:$G$8551,3,FALSE),"")</f>
        <v/>
      </c>
      <c r="E4158" s="317" t="str">
        <f>IFERROR(VLOOKUP(A4158,[3]DOORSCRIEFT!$A$2:$G$8551,4,FALSE),"")</f>
        <v/>
      </c>
      <c r="F4158" s="316" t="str">
        <f>IFERROR(VLOOKUP(A4158,[3]DOORSCRIEFT!$A$2:$G$8551,6,FALSE),"")</f>
        <v/>
      </c>
      <c r="G4158" s="315"/>
    </row>
    <row r="4159" spans="1:7" x14ac:dyDescent="0.25">
      <c r="A4159" s="339" t="str">
        <f t="shared" si="121"/>
        <v>I.3.1.1.01.0045</v>
      </c>
      <c r="B4159" s="319">
        <v>5</v>
      </c>
      <c r="C4159" s="319" t="str">
        <f>IFERROR(VLOOKUP(A4159,[3]DOORSCRIEFT!$A$2:$G$8551,2,FALSE),"")</f>
        <v/>
      </c>
      <c r="D4159" s="318" t="str">
        <f>IFERROR(VLOOKUP(A4159,[3]DOORSCRIEFT!$A$2:$G$8551,3,FALSE),"")</f>
        <v/>
      </c>
      <c r="E4159" s="317" t="str">
        <f>IFERROR(VLOOKUP(A4159,[3]DOORSCRIEFT!$A$2:$G$8551,4,FALSE),"")</f>
        <v/>
      </c>
      <c r="F4159" s="316" t="str">
        <f>IFERROR(VLOOKUP(A4159,[3]DOORSCRIEFT!$A$2:$G$8551,6,FALSE),"")</f>
        <v/>
      </c>
      <c r="G4159" s="315"/>
    </row>
    <row r="4160" spans="1:7" x14ac:dyDescent="0.25">
      <c r="A4160" s="339" t="str">
        <f t="shared" si="121"/>
        <v>I.3.1.1.01.0046</v>
      </c>
      <c r="B4160" s="319">
        <v>6</v>
      </c>
      <c r="C4160" s="319" t="str">
        <f>IFERROR(VLOOKUP(A4160,[3]DOORSCRIEFT!$A$2:$G$8551,2,FALSE),"")</f>
        <v/>
      </c>
      <c r="D4160" s="318" t="str">
        <f>IFERROR(VLOOKUP(A4160,[3]DOORSCRIEFT!$A$2:$G$8551,3,FALSE),"")</f>
        <v/>
      </c>
      <c r="E4160" s="317" t="str">
        <f>IFERROR(VLOOKUP(A4160,[3]DOORSCRIEFT!$A$2:$G$8551,4,FALSE),"")</f>
        <v/>
      </c>
      <c r="F4160" s="316" t="str">
        <f>IFERROR(VLOOKUP(A4160,[3]DOORSCRIEFT!$A$2:$G$8551,6,FALSE),"")</f>
        <v/>
      </c>
      <c r="G4160" s="315"/>
    </row>
    <row r="4161" spans="1:7" x14ac:dyDescent="0.25">
      <c r="A4161" s="339" t="str">
        <f t="shared" si="121"/>
        <v>I.3.1.1.01.0047</v>
      </c>
      <c r="B4161" s="319">
        <v>7</v>
      </c>
      <c r="C4161" s="319" t="str">
        <f>IFERROR(VLOOKUP(A4161,[3]DOORSCRIEFT!$A$2:$G$8551,2,FALSE),"")</f>
        <v/>
      </c>
      <c r="D4161" s="318" t="str">
        <f>IFERROR(VLOOKUP(A4161,[3]DOORSCRIEFT!$A$2:$G$8551,3,FALSE),"")</f>
        <v/>
      </c>
      <c r="E4161" s="317" t="str">
        <f>IFERROR(VLOOKUP(A4161,[3]DOORSCRIEFT!$A$2:$G$8551,4,FALSE),"")</f>
        <v/>
      </c>
      <c r="F4161" s="316" t="str">
        <f>IFERROR(VLOOKUP(A4161,[3]DOORSCRIEFT!$A$2:$G$8551,6,FALSE),"")</f>
        <v/>
      </c>
      <c r="G4161" s="315"/>
    </row>
    <row r="4162" spans="1:7" x14ac:dyDescent="0.25">
      <c r="A4162" s="339" t="str">
        <f t="shared" si="121"/>
        <v>I.3.1.1.01.0048</v>
      </c>
      <c r="B4162" s="319">
        <v>8</v>
      </c>
      <c r="C4162" s="319" t="str">
        <f>IFERROR(VLOOKUP(A4162,[3]DOORSCRIEFT!$A$2:$G$8551,2,FALSE),"")</f>
        <v/>
      </c>
      <c r="D4162" s="318" t="str">
        <f>IFERROR(VLOOKUP(A4162,[3]DOORSCRIEFT!$A$2:$G$8551,3,FALSE),"")</f>
        <v/>
      </c>
      <c r="E4162" s="317" t="str">
        <f>IFERROR(VLOOKUP(A4162,[3]DOORSCRIEFT!$A$2:$G$8551,4,FALSE),"")</f>
        <v/>
      </c>
      <c r="F4162" s="316" t="str">
        <f>IFERROR(VLOOKUP(A4162,[3]DOORSCRIEFT!$A$2:$G$8551,6,FALSE),"")</f>
        <v/>
      </c>
      <c r="G4162" s="315"/>
    </row>
    <row r="4163" spans="1:7" x14ac:dyDescent="0.25">
      <c r="A4163" s="339" t="str">
        <f t="shared" si="121"/>
        <v>I.3.1.1.01.0049</v>
      </c>
      <c r="B4163" s="319">
        <v>9</v>
      </c>
      <c r="C4163" s="319" t="str">
        <f>IFERROR(VLOOKUP(A4163,[3]DOORSCRIEFT!$A$2:$G$8551,2,FALSE),"")</f>
        <v/>
      </c>
      <c r="D4163" s="318" t="str">
        <f>IFERROR(VLOOKUP(A4163,[3]DOORSCRIEFT!$A$2:$G$8551,3,FALSE),"")</f>
        <v/>
      </c>
      <c r="E4163" s="317" t="str">
        <f>IFERROR(VLOOKUP(A4163,[3]DOORSCRIEFT!$A$2:$G$8551,4,FALSE),"")</f>
        <v/>
      </c>
      <c r="F4163" s="316" t="str">
        <f>IFERROR(VLOOKUP(A4163,[3]DOORSCRIEFT!$A$2:$G$8551,6,FALSE),"")</f>
        <v/>
      </c>
      <c r="G4163" s="315"/>
    </row>
    <row r="4164" spans="1:7" x14ac:dyDescent="0.25">
      <c r="A4164" s="339" t="str">
        <f t="shared" si="121"/>
        <v>I.3.1.1.01.00410</v>
      </c>
      <c r="B4164" s="319">
        <v>10</v>
      </c>
      <c r="C4164" s="319" t="str">
        <f>IFERROR(VLOOKUP(A4164,[3]DOORSCRIEFT!$A$2:$G$8551,2,FALSE),"")</f>
        <v/>
      </c>
      <c r="D4164" s="318" t="str">
        <f>IFERROR(VLOOKUP(A4164,[3]DOORSCRIEFT!$A$2:$G$8551,3,FALSE),"")</f>
        <v/>
      </c>
      <c r="E4164" s="317" t="str">
        <f>IFERROR(VLOOKUP(A4164,[3]DOORSCRIEFT!$A$2:$G$8551,4,FALSE),"")</f>
        <v/>
      </c>
      <c r="F4164" s="316" t="str">
        <f>IFERROR(VLOOKUP(A4164,[3]DOORSCRIEFT!$A$2:$G$8551,6,FALSE),"")</f>
        <v/>
      </c>
      <c r="G4164" s="315"/>
    </row>
    <row r="4165" spans="1:7" x14ac:dyDescent="0.25">
      <c r="A4165" s="339" t="str">
        <f t="shared" si="121"/>
        <v>I.3.1.1.01.00411</v>
      </c>
      <c r="B4165" s="319">
        <v>11</v>
      </c>
      <c r="C4165" s="319" t="str">
        <f>IFERROR(VLOOKUP(A4165,[3]DOORSCRIEFT!$A$2:$G$8551,2,FALSE),"")</f>
        <v/>
      </c>
      <c r="D4165" s="318" t="str">
        <f>IFERROR(VLOOKUP(A4165,[3]DOORSCRIEFT!$A$2:$G$8551,3,FALSE),"")</f>
        <v/>
      </c>
      <c r="E4165" s="317" t="str">
        <f>IFERROR(VLOOKUP(A4165,[3]DOORSCRIEFT!$A$2:$G$8551,4,FALSE),"")</f>
        <v/>
      </c>
      <c r="F4165" s="316" t="str">
        <f>IFERROR(VLOOKUP(A4165,[3]DOORSCRIEFT!$A$2:$G$8551,6,FALSE),"")</f>
        <v/>
      </c>
      <c r="G4165" s="315"/>
    </row>
    <row r="4166" spans="1:7" x14ac:dyDescent="0.25">
      <c r="A4166" s="339" t="str">
        <f t="shared" si="121"/>
        <v>I.3.1.1.01.00412</v>
      </c>
      <c r="B4166" s="319">
        <v>12</v>
      </c>
      <c r="C4166" s="319" t="str">
        <f>IFERROR(VLOOKUP(A4166,[3]DOORSCRIEFT!$A$2:$G$8551,2,FALSE),"")</f>
        <v/>
      </c>
      <c r="D4166" s="318" t="str">
        <f>IFERROR(VLOOKUP(A4166,[3]DOORSCRIEFT!$A$2:$G$8551,3,FALSE),"")</f>
        <v/>
      </c>
      <c r="E4166" s="317" t="str">
        <f>IFERROR(VLOOKUP(A4166,[3]DOORSCRIEFT!$A$2:$G$8551,4,FALSE),"")</f>
        <v/>
      </c>
      <c r="F4166" s="316" t="str">
        <f>IFERROR(VLOOKUP(A4166,[3]DOORSCRIEFT!$A$2:$G$8551,6,FALSE),"")</f>
        <v/>
      </c>
      <c r="G4166" s="315"/>
    </row>
    <row r="4167" spans="1:7" x14ac:dyDescent="0.25">
      <c r="A4167" s="339" t="str">
        <f t="shared" si="121"/>
        <v>I.3.1.1.01.00413</v>
      </c>
      <c r="B4167" s="319">
        <v>13</v>
      </c>
      <c r="C4167" s="319" t="str">
        <f>IFERROR(VLOOKUP(A4167,[3]DOORSCRIEFT!$A$2:$G$8551,2,FALSE),"")</f>
        <v/>
      </c>
      <c r="D4167" s="318" t="str">
        <f>IFERROR(VLOOKUP(A4167,[3]DOORSCRIEFT!$A$2:$G$8551,3,FALSE),"")</f>
        <v/>
      </c>
      <c r="E4167" s="317" t="str">
        <f>IFERROR(VLOOKUP(A4167,[3]DOORSCRIEFT!$A$2:$G$8551,4,FALSE),"")</f>
        <v/>
      </c>
      <c r="F4167" s="316" t="str">
        <f>IFERROR(VLOOKUP(A4167,[3]DOORSCRIEFT!$A$2:$G$8551,6,FALSE),"")</f>
        <v/>
      </c>
      <c r="G4167" s="315"/>
    </row>
    <row r="4168" spans="1:7" x14ac:dyDescent="0.25">
      <c r="A4168" s="339" t="str">
        <f t="shared" si="121"/>
        <v>I.3.1.1.01.00414</v>
      </c>
      <c r="B4168" s="319">
        <v>14</v>
      </c>
      <c r="C4168" s="319" t="str">
        <f>IFERROR(VLOOKUP(A4168,[3]DOORSCRIEFT!$A$2:$G$8551,2,FALSE),"")</f>
        <v/>
      </c>
      <c r="D4168" s="318" t="str">
        <f>IFERROR(VLOOKUP(A4168,[3]DOORSCRIEFT!$A$2:$G$8551,3,FALSE),"")</f>
        <v/>
      </c>
      <c r="E4168" s="317" t="str">
        <f>IFERROR(VLOOKUP(A4168,[3]DOORSCRIEFT!$A$2:$G$8551,4,FALSE),"")</f>
        <v/>
      </c>
      <c r="F4168" s="316" t="str">
        <f>IFERROR(VLOOKUP(A4168,[3]DOORSCRIEFT!$A$2:$G$8551,6,FALSE),"")</f>
        <v/>
      </c>
      <c r="G4168" s="315"/>
    </row>
    <row r="4169" spans="1:7" x14ac:dyDescent="0.25">
      <c r="A4169" s="339" t="str">
        <f t="shared" si="121"/>
        <v>I.3.1.1.01.00415</v>
      </c>
      <c r="B4169" s="319">
        <v>15</v>
      </c>
      <c r="C4169" s="319" t="str">
        <f>IFERROR(VLOOKUP(A4169,[3]DOORSCRIEFT!$A$2:$G$8551,2,FALSE),"")</f>
        <v/>
      </c>
      <c r="D4169" s="318" t="str">
        <f>IFERROR(VLOOKUP(A4169,[3]DOORSCRIEFT!$A$2:$G$8551,3,FALSE),"")</f>
        <v/>
      </c>
      <c r="E4169" s="317" t="str">
        <f>IFERROR(VLOOKUP(A4169,[3]DOORSCRIEFT!$A$2:$G$8551,4,FALSE),"")</f>
        <v/>
      </c>
      <c r="F4169" s="316" t="str">
        <f>IFERROR(VLOOKUP(A4169,[3]DOORSCRIEFT!$A$2:$G$8551,6,FALSE),"")</f>
        <v/>
      </c>
      <c r="G4169" s="315"/>
    </row>
    <row r="4170" spans="1:7" x14ac:dyDescent="0.25">
      <c r="A4170" s="339" t="str">
        <f t="shared" si="121"/>
        <v>I.3.1.1.01.00416</v>
      </c>
      <c r="B4170" s="319">
        <v>16</v>
      </c>
      <c r="C4170" s="319" t="str">
        <f>IFERROR(VLOOKUP(A4170,[3]DOORSCRIEFT!$A$2:$G$8551,2,FALSE),"")</f>
        <v/>
      </c>
      <c r="D4170" s="318" t="str">
        <f>IFERROR(VLOOKUP(A4170,[3]DOORSCRIEFT!$A$2:$G$8551,3,FALSE),"")</f>
        <v/>
      </c>
      <c r="E4170" s="317" t="str">
        <f>IFERROR(VLOOKUP(A4170,[3]DOORSCRIEFT!$A$2:$G$8551,4,FALSE),"")</f>
        <v/>
      </c>
      <c r="F4170" s="316" t="str">
        <f>IFERROR(VLOOKUP(A4170,[3]DOORSCRIEFT!$A$2:$G$8551,6,FALSE),"")</f>
        <v/>
      </c>
      <c r="G4170" s="315"/>
    </row>
    <row r="4171" spans="1:7" x14ac:dyDescent="0.25">
      <c r="A4171" s="339" t="str">
        <f t="shared" si="121"/>
        <v>I.3.1.1.01.00417</v>
      </c>
      <c r="B4171" s="319">
        <v>17</v>
      </c>
      <c r="C4171" s="319" t="str">
        <f>IFERROR(VLOOKUP(A4171,[3]DOORSCRIEFT!$A$2:$G$8551,2,FALSE),"")</f>
        <v/>
      </c>
      <c r="D4171" s="318" t="str">
        <f>IFERROR(VLOOKUP(A4171,[3]DOORSCRIEFT!$A$2:$G$8551,3,FALSE),"")</f>
        <v/>
      </c>
      <c r="E4171" s="317" t="str">
        <f>IFERROR(VLOOKUP(A4171,[3]DOORSCRIEFT!$A$2:$G$8551,4,FALSE),"")</f>
        <v/>
      </c>
      <c r="F4171" s="316" t="str">
        <f>IFERROR(VLOOKUP(A4171,[3]DOORSCRIEFT!$A$2:$G$8551,6,FALSE),"")</f>
        <v/>
      </c>
      <c r="G4171" s="315"/>
    </row>
    <row r="4172" spans="1:7" x14ac:dyDescent="0.25">
      <c r="A4172" s="339" t="str">
        <f t="shared" si="121"/>
        <v>I.3.1.1.01.00418</v>
      </c>
      <c r="B4172" s="319">
        <v>18</v>
      </c>
      <c r="C4172" s="319" t="str">
        <f>IFERROR(VLOOKUP(A4172,[3]DOORSCRIEFT!$A$2:$G$8551,2,FALSE),"")</f>
        <v/>
      </c>
      <c r="D4172" s="318" t="str">
        <f>IFERROR(VLOOKUP(A4172,[3]DOORSCRIEFT!$A$2:$G$8551,3,FALSE),"")</f>
        <v/>
      </c>
      <c r="E4172" s="317" t="str">
        <f>IFERROR(VLOOKUP(A4172,[3]DOORSCRIEFT!$A$2:$G$8551,4,FALSE),"")</f>
        <v/>
      </c>
      <c r="F4172" s="316" t="str">
        <f>IFERROR(VLOOKUP(A4172,[3]DOORSCRIEFT!$A$2:$G$8551,6,FALSE),"")</f>
        <v/>
      </c>
      <c r="G4172" s="315"/>
    </row>
    <row r="4173" spans="1:7" x14ac:dyDescent="0.25">
      <c r="A4173" s="339" t="str">
        <f t="shared" si="121"/>
        <v>I.3.1.1.01.00419</v>
      </c>
      <c r="B4173" s="319">
        <v>19</v>
      </c>
      <c r="C4173" s="319" t="str">
        <f>IFERROR(VLOOKUP(A4173,[3]DOORSCRIEFT!$A$2:$G$8551,2,FALSE),"")</f>
        <v/>
      </c>
      <c r="D4173" s="318" t="str">
        <f>IFERROR(VLOOKUP(A4173,[3]DOORSCRIEFT!$A$2:$G$8551,3,FALSE),"")</f>
        <v/>
      </c>
      <c r="E4173" s="317" t="str">
        <f>IFERROR(VLOOKUP(A4173,[3]DOORSCRIEFT!$A$2:$G$8551,4,FALSE),"")</f>
        <v/>
      </c>
      <c r="F4173" s="316" t="str">
        <f>IFERROR(VLOOKUP(A4173,[3]DOORSCRIEFT!$A$2:$G$8551,6,FALSE),"")</f>
        <v/>
      </c>
      <c r="G4173" s="315"/>
    </row>
    <row r="4174" spans="1:7" x14ac:dyDescent="0.25">
      <c r="A4174" s="339" t="str">
        <f t="shared" si="121"/>
        <v>I.3.1.1.01.00420</v>
      </c>
      <c r="B4174" s="319">
        <v>20</v>
      </c>
      <c r="C4174" s="319" t="str">
        <f>IFERROR(VLOOKUP(A4174,[3]DOORSCRIEFT!$A$2:$G$8551,2,FALSE),"")</f>
        <v/>
      </c>
      <c r="D4174" s="318" t="str">
        <f>IFERROR(VLOOKUP(A4174,[3]DOORSCRIEFT!$A$2:$G$8551,3,FALSE),"")</f>
        <v/>
      </c>
      <c r="E4174" s="317" t="str">
        <f>IFERROR(VLOOKUP(A4174,[3]DOORSCRIEFT!$A$2:$G$8551,4,FALSE),"")</f>
        <v/>
      </c>
      <c r="F4174" s="316" t="str">
        <f>IFERROR(VLOOKUP(A4174,[3]DOORSCRIEFT!$A$2:$G$8551,6,FALSE),"")</f>
        <v/>
      </c>
      <c r="G4174" s="315"/>
    </row>
    <row r="4175" spans="1:7" x14ac:dyDescent="0.25">
      <c r="A4175" s="339" t="str">
        <f t="shared" si="121"/>
        <v>I.3.1.1.01.00421</v>
      </c>
      <c r="B4175" s="319">
        <v>21</v>
      </c>
      <c r="C4175" s="319" t="str">
        <f>IFERROR(VLOOKUP(A4175,[3]DOORSCRIEFT!$A$2:$G$8551,2,FALSE),"")</f>
        <v/>
      </c>
      <c r="D4175" s="318" t="str">
        <f>IFERROR(VLOOKUP(A4175,[3]DOORSCRIEFT!$A$2:$G$8551,3,FALSE),"")</f>
        <v/>
      </c>
      <c r="E4175" s="317" t="str">
        <f>IFERROR(VLOOKUP(A4175,[3]DOORSCRIEFT!$A$2:$G$8551,4,FALSE),"")</f>
        <v/>
      </c>
      <c r="F4175" s="316" t="str">
        <f>IFERROR(VLOOKUP(A4175,[3]DOORSCRIEFT!$A$2:$G$8551,6,FALSE),"")</f>
        <v/>
      </c>
      <c r="G4175" s="315"/>
    </row>
    <row r="4176" spans="1:7" x14ac:dyDescent="0.25">
      <c r="A4176" s="339" t="str">
        <f t="shared" si="121"/>
        <v>I.3.1.1.01.00422</v>
      </c>
      <c r="B4176" s="319">
        <v>22</v>
      </c>
      <c r="C4176" s="319" t="str">
        <f>IFERROR(VLOOKUP(A4176,[3]DOORSCRIEFT!$A$2:$G$8551,2,FALSE),"")</f>
        <v/>
      </c>
      <c r="D4176" s="318" t="str">
        <f>IFERROR(VLOOKUP(A4176,[3]DOORSCRIEFT!$A$2:$G$8551,3,FALSE),"")</f>
        <v/>
      </c>
      <c r="E4176" s="317" t="str">
        <f>IFERROR(VLOOKUP(A4176,[3]DOORSCRIEFT!$A$2:$G$8551,4,FALSE),"")</f>
        <v/>
      </c>
      <c r="F4176" s="316" t="str">
        <f>IFERROR(VLOOKUP(A4176,[3]DOORSCRIEFT!$A$2:$G$8551,6,FALSE),"")</f>
        <v/>
      </c>
      <c r="G4176" s="315"/>
    </row>
    <row r="4177" spans="1:7" x14ac:dyDescent="0.25">
      <c r="A4177" s="339" t="str">
        <f t="shared" si="121"/>
        <v>I.3.1.1.01.00423</v>
      </c>
      <c r="B4177" s="319">
        <v>23</v>
      </c>
      <c r="C4177" s="319" t="str">
        <f>IFERROR(VLOOKUP(A4177,[3]DOORSCRIEFT!$A$2:$G$8551,2,FALSE),"")</f>
        <v/>
      </c>
      <c r="D4177" s="318" t="str">
        <f>IFERROR(VLOOKUP(A4177,[3]DOORSCRIEFT!$A$2:$G$8551,3,FALSE),"")</f>
        <v/>
      </c>
      <c r="E4177" s="317" t="str">
        <f>IFERROR(VLOOKUP(A4177,[3]DOORSCRIEFT!$A$2:$G$8551,4,FALSE),"")</f>
        <v/>
      </c>
      <c r="F4177" s="316" t="str">
        <f>IFERROR(VLOOKUP(A4177,[3]DOORSCRIEFT!$A$2:$G$8551,6,FALSE),"")</f>
        <v/>
      </c>
      <c r="G4177" s="315"/>
    </row>
    <row r="4178" spans="1:7" x14ac:dyDescent="0.25">
      <c r="A4178" s="339" t="str">
        <f t="shared" si="121"/>
        <v>I.3.1.1.01.00424</v>
      </c>
      <c r="B4178" s="319">
        <v>24</v>
      </c>
      <c r="C4178" s="319" t="str">
        <f>IFERROR(VLOOKUP(A4178,[3]DOORSCRIEFT!$A$2:$G$8551,2,FALSE),"")</f>
        <v/>
      </c>
      <c r="D4178" s="318" t="str">
        <f>IFERROR(VLOOKUP(A4178,[3]DOORSCRIEFT!$A$2:$G$8551,3,FALSE),"")</f>
        <v/>
      </c>
      <c r="E4178" s="317" t="str">
        <f>IFERROR(VLOOKUP(A4178,[3]DOORSCRIEFT!$A$2:$G$8551,4,FALSE),"")</f>
        <v/>
      </c>
      <c r="F4178" s="316" t="str">
        <f>IFERROR(VLOOKUP(A4178,[3]DOORSCRIEFT!$A$2:$G$8551,6,FALSE),"")</f>
        <v/>
      </c>
      <c r="G4178" s="315"/>
    </row>
    <row r="4179" spans="1:7" x14ac:dyDescent="0.25">
      <c r="A4179" s="339" t="str">
        <f t="shared" si="121"/>
        <v>I.3.1.1.01.00425</v>
      </c>
      <c r="B4179" s="319">
        <v>25</v>
      </c>
      <c r="C4179" s="319" t="str">
        <f>IFERROR(VLOOKUP(A4179,[3]DOORSCRIEFT!$A$2:$G$8551,2,FALSE),"")</f>
        <v/>
      </c>
      <c r="D4179" s="318" t="str">
        <f>IFERROR(VLOOKUP(A4179,[3]DOORSCRIEFT!$A$2:$G$8551,3,FALSE),"")</f>
        <v/>
      </c>
      <c r="E4179" s="317" t="str">
        <f>IFERROR(VLOOKUP(A4179,[3]DOORSCRIEFT!$A$2:$G$8551,4,FALSE),"")</f>
        <v/>
      </c>
      <c r="F4179" s="316" t="str">
        <f>IFERROR(VLOOKUP(A4179,[3]DOORSCRIEFT!$A$2:$G$8551,6,FALSE),"")</f>
        <v/>
      </c>
      <c r="G4179" s="315"/>
    </row>
    <row r="4180" spans="1:7" x14ac:dyDescent="0.25">
      <c r="A4180" s="339" t="str">
        <f t="shared" si="121"/>
        <v>I.3.1.1.01.00426</v>
      </c>
      <c r="B4180" s="319">
        <v>26</v>
      </c>
      <c r="C4180" s="319" t="str">
        <f>IFERROR(VLOOKUP(A4180,[3]DOORSCRIEFT!$A$2:$G$8551,2,FALSE),"")</f>
        <v/>
      </c>
      <c r="D4180" s="318" t="str">
        <f>IFERROR(VLOOKUP(A4180,[3]DOORSCRIEFT!$A$2:$G$8551,3,FALSE),"")</f>
        <v/>
      </c>
      <c r="E4180" s="317" t="str">
        <f>IFERROR(VLOOKUP(A4180,[3]DOORSCRIEFT!$A$2:$G$8551,4,FALSE),"")</f>
        <v/>
      </c>
      <c r="F4180" s="316" t="str">
        <f>IFERROR(VLOOKUP(A4180,[3]DOORSCRIEFT!$A$2:$G$8551,6,FALSE),"")</f>
        <v/>
      </c>
      <c r="G4180" s="315"/>
    </row>
    <row r="4181" spans="1:7" x14ac:dyDescent="0.25">
      <c r="A4181" s="339" t="str">
        <f t="shared" si="121"/>
        <v>I.3.1.1.01.00427</v>
      </c>
      <c r="B4181" s="319">
        <v>27</v>
      </c>
      <c r="C4181" s="319" t="str">
        <f>IFERROR(VLOOKUP(A4181,[3]DOORSCRIEFT!$A$2:$G$8551,2,FALSE),"")</f>
        <v/>
      </c>
      <c r="D4181" s="318" t="str">
        <f>IFERROR(VLOOKUP(A4181,[3]DOORSCRIEFT!$A$2:$G$8551,3,FALSE),"")</f>
        <v/>
      </c>
      <c r="E4181" s="317" t="str">
        <f>IFERROR(VLOOKUP(A4181,[3]DOORSCRIEFT!$A$2:$G$8551,4,FALSE),"")</f>
        <v/>
      </c>
      <c r="F4181" s="316" t="str">
        <f>IFERROR(VLOOKUP(A4181,[3]DOORSCRIEFT!$A$2:$G$8551,6,FALSE),"")</f>
        <v/>
      </c>
      <c r="G4181" s="315"/>
    </row>
    <row r="4182" spans="1:7" x14ac:dyDescent="0.25">
      <c r="A4182" s="339" t="str">
        <f t="shared" si="121"/>
        <v>I.3.1.1.01.00428</v>
      </c>
      <c r="B4182" s="319">
        <v>28</v>
      </c>
      <c r="C4182" s="319" t="str">
        <f>IFERROR(VLOOKUP(A4182,[3]DOORSCRIEFT!$A$2:$G$8551,2,FALSE),"")</f>
        <v/>
      </c>
      <c r="D4182" s="318" t="str">
        <f>IFERROR(VLOOKUP(A4182,[3]DOORSCRIEFT!$A$2:$G$8551,3,FALSE),"")</f>
        <v/>
      </c>
      <c r="E4182" s="317" t="str">
        <f>IFERROR(VLOOKUP(A4182,[3]DOORSCRIEFT!$A$2:$G$8551,4,FALSE),"")</f>
        <v/>
      </c>
      <c r="F4182" s="316" t="str">
        <f>IFERROR(VLOOKUP(A4182,[3]DOORSCRIEFT!$A$2:$G$8551,6,FALSE),"")</f>
        <v/>
      </c>
      <c r="G4182" s="315"/>
    </row>
    <row r="4183" spans="1:7" x14ac:dyDescent="0.25">
      <c r="A4183" s="339" t="str">
        <f t="shared" si="121"/>
        <v>I.3.1.1.01.00429</v>
      </c>
      <c r="B4183" s="319">
        <v>29</v>
      </c>
      <c r="C4183" s="319" t="str">
        <f>IFERROR(VLOOKUP(A4183,[3]DOORSCRIEFT!$A$2:$G$8551,2,FALSE),"")</f>
        <v/>
      </c>
      <c r="D4183" s="318" t="str">
        <f>IFERROR(VLOOKUP(A4183,[3]DOORSCRIEFT!$A$2:$G$8551,3,FALSE),"")</f>
        <v/>
      </c>
      <c r="E4183" s="317" t="str">
        <f>IFERROR(VLOOKUP(A4183,[3]DOORSCRIEFT!$A$2:$G$8551,4,FALSE),"")</f>
        <v/>
      </c>
      <c r="F4183" s="316" t="str">
        <f>IFERROR(VLOOKUP(A4183,[3]DOORSCRIEFT!$A$2:$G$8551,6,FALSE),"")</f>
        <v/>
      </c>
      <c r="G4183" s="315"/>
    </row>
    <row r="4184" spans="1:7" x14ac:dyDescent="0.25">
      <c r="A4184" s="339" t="str">
        <f t="shared" si="121"/>
        <v>I.3.1.1.01.00430</v>
      </c>
      <c r="B4184" s="319">
        <v>30</v>
      </c>
      <c r="C4184" s="319" t="str">
        <f>IFERROR(VLOOKUP(A4184,[3]DOORSCRIEFT!$A$2:$G$8551,2,FALSE),"")</f>
        <v/>
      </c>
      <c r="D4184" s="318" t="str">
        <f>IFERROR(VLOOKUP(A4184,[3]DOORSCRIEFT!$A$2:$G$8551,3,FALSE),"")</f>
        <v/>
      </c>
      <c r="E4184" s="317" t="str">
        <f>IFERROR(VLOOKUP(A4184,[3]DOORSCRIEFT!$A$2:$G$8551,4,FALSE),"")</f>
        <v/>
      </c>
      <c r="F4184" s="316" t="str">
        <f>IFERROR(VLOOKUP(A4184,[3]DOORSCRIEFT!$A$2:$G$8551,6,FALSE),"")</f>
        <v/>
      </c>
      <c r="G4184" s="315"/>
    </row>
    <row r="4185" spans="1:7" x14ac:dyDescent="0.25">
      <c r="A4185" s="339" t="str">
        <f t="shared" si="121"/>
        <v>I.3.1.1.01.00431</v>
      </c>
      <c r="B4185" s="319">
        <v>31</v>
      </c>
      <c r="C4185" s="319" t="str">
        <f>IFERROR(VLOOKUP(A4185,[3]DOORSCRIEFT!$A$2:$G$8551,2,FALSE),"")</f>
        <v/>
      </c>
      <c r="D4185" s="318" t="str">
        <f>IFERROR(VLOOKUP(A4185,[3]DOORSCRIEFT!$A$2:$G$8551,3,FALSE),"")</f>
        <v/>
      </c>
      <c r="E4185" s="317" t="str">
        <f>IFERROR(VLOOKUP(A4185,[3]DOORSCRIEFT!$A$2:$G$8551,4,FALSE),"")</f>
        <v/>
      </c>
      <c r="F4185" s="316" t="str">
        <f>IFERROR(VLOOKUP(A4185,[3]DOORSCRIEFT!$A$2:$G$8551,6,FALSE),"")</f>
        <v/>
      </c>
      <c r="G4185" s="315"/>
    </row>
    <row r="4186" spans="1:7" x14ac:dyDescent="0.25">
      <c r="A4186" s="339" t="str">
        <f t="shared" si="121"/>
        <v>I.3.1.1.01.00432</v>
      </c>
      <c r="B4186" s="319">
        <v>32</v>
      </c>
      <c r="C4186" s="319" t="str">
        <f>IFERROR(VLOOKUP(A4186,[3]DOORSCRIEFT!$A$2:$G$8551,2,FALSE),"")</f>
        <v/>
      </c>
      <c r="D4186" s="318" t="str">
        <f>IFERROR(VLOOKUP(A4186,[3]DOORSCRIEFT!$A$2:$G$8551,3,FALSE),"")</f>
        <v/>
      </c>
      <c r="E4186" s="317" t="str">
        <f>IFERROR(VLOOKUP(A4186,[3]DOORSCRIEFT!$A$2:$G$8551,4,FALSE),"")</f>
        <v/>
      </c>
      <c r="F4186" s="316" t="str">
        <f>IFERROR(VLOOKUP(A4186,[3]DOORSCRIEFT!$A$2:$G$8551,6,FALSE),"")</f>
        <v/>
      </c>
      <c r="G4186" s="315"/>
    </row>
    <row r="4187" spans="1:7" x14ac:dyDescent="0.25">
      <c r="A4187" s="339" t="str">
        <f t="shared" ref="A4187:A4218" si="122">$G$4148&amp;B4187</f>
        <v>I.3.1.1.01.00433</v>
      </c>
      <c r="B4187" s="319">
        <v>33</v>
      </c>
      <c r="C4187" s="319" t="str">
        <f>IFERROR(VLOOKUP(A4187,[3]DOORSCRIEFT!$A$2:$G$8551,2,FALSE),"")</f>
        <v/>
      </c>
      <c r="D4187" s="318" t="str">
        <f>IFERROR(VLOOKUP(A4187,[3]DOORSCRIEFT!$A$2:$G$8551,3,FALSE),"")</f>
        <v/>
      </c>
      <c r="E4187" s="317" t="str">
        <f>IFERROR(VLOOKUP(A4187,[3]DOORSCRIEFT!$A$2:$G$8551,4,FALSE),"")</f>
        <v/>
      </c>
      <c r="F4187" s="316" t="str">
        <f>IFERROR(VLOOKUP(A4187,[3]DOORSCRIEFT!$A$2:$G$8551,6,FALSE),"")</f>
        <v/>
      </c>
      <c r="G4187" s="315"/>
    </row>
    <row r="4188" spans="1:7" x14ac:dyDescent="0.25">
      <c r="A4188" s="339" t="str">
        <f t="shared" si="122"/>
        <v>I.3.1.1.01.00434</v>
      </c>
      <c r="B4188" s="319">
        <v>34</v>
      </c>
      <c r="C4188" s="319" t="str">
        <f>IFERROR(VLOOKUP(A4188,[3]DOORSCRIEFT!$A$2:$G$8551,2,FALSE),"")</f>
        <v/>
      </c>
      <c r="D4188" s="318" t="str">
        <f>IFERROR(VLOOKUP(A4188,[3]DOORSCRIEFT!$A$2:$G$8551,3,FALSE),"")</f>
        <v/>
      </c>
      <c r="E4188" s="317" t="str">
        <f>IFERROR(VLOOKUP(A4188,[3]DOORSCRIEFT!$A$2:$G$8551,4,FALSE),"")</f>
        <v/>
      </c>
      <c r="F4188" s="316" t="str">
        <f>IFERROR(VLOOKUP(A4188,[3]DOORSCRIEFT!$A$2:$G$8551,6,FALSE),"")</f>
        <v/>
      </c>
      <c r="G4188" s="315"/>
    </row>
    <row r="4189" spans="1:7" x14ac:dyDescent="0.25">
      <c r="A4189" s="339" t="str">
        <f t="shared" si="122"/>
        <v>I.3.1.1.01.00435</v>
      </c>
      <c r="B4189" s="319">
        <v>35</v>
      </c>
      <c r="C4189" s="319" t="str">
        <f>IFERROR(VLOOKUP(A4189,[3]DOORSCRIEFT!$A$2:$G$8551,2,FALSE),"")</f>
        <v/>
      </c>
      <c r="D4189" s="318" t="str">
        <f>IFERROR(VLOOKUP(A4189,[3]DOORSCRIEFT!$A$2:$G$8551,3,FALSE),"")</f>
        <v/>
      </c>
      <c r="E4189" s="317" t="str">
        <f>IFERROR(VLOOKUP(A4189,[3]DOORSCRIEFT!$A$2:$G$8551,4,FALSE),"")</f>
        <v/>
      </c>
      <c r="F4189" s="316" t="str">
        <f>IFERROR(VLOOKUP(A4189,[3]DOORSCRIEFT!$A$2:$G$8551,6,FALSE),"")</f>
        <v/>
      </c>
      <c r="G4189" s="315"/>
    </row>
    <row r="4190" spans="1:7" x14ac:dyDescent="0.25">
      <c r="A4190" s="339" t="str">
        <f t="shared" si="122"/>
        <v>I.3.1.1.01.00436</v>
      </c>
      <c r="B4190" s="319">
        <v>36</v>
      </c>
      <c r="C4190" s="319" t="str">
        <f>IFERROR(VLOOKUP(A4190,[3]DOORSCRIEFT!$A$2:$G$8551,2,FALSE),"")</f>
        <v/>
      </c>
      <c r="D4190" s="318" t="str">
        <f>IFERROR(VLOOKUP(A4190,[3]DOORSCRIEFT!$A$2:$G$8551,3,FALSE),"")</f>
        <v/>
      </c>
      <c r="E4190" s="317" t="str">
        <f>IFERROR(VLOOKUP(A4190,[3]DOORSCRIEFT!$A$2:$G$8551,4,FALSE),"")</f>
        <v/>
      </c>
      <c r="F4190" s="316" t="str">
        <f>IFERROR(VLOOKUP(A4190,[3]DOORSCRIEFT!$A$2:$G$8551,6,FALSE),"")</f>
        <v/>
      </c>
      <c r="G4190" s="315"/>
    </row>
    <row r="4191" spans="1:7" x14ac:dyDescent="0.25">
      <c r="A4191" s="339" t="str">
        <f t="shared" si="122"/>
        <v>I.3.1.1.01.00437</v>
      </c>
      <c r="B4191" s="319">
        <v>37</v>
      </c>
      <c r="C4191" s="319" t="str">
        <f>IFERROR(VLOOKUP(A4191,[3]DOORSCRIEFT!$A$2:$G$8551,2,FALSE),"")</f>
        <v/>
      </c>
      <c r="D4191" s="318" t="str">
        <f>IFERROR(VLOOKUP(A4191,[3]DOORSCRIEFT!$A$2:$G$8551,3,FALSE),"")</f>
        <v/>
      </c>
      <c r="E4191" s="317" t="str">
        <f>IFERROR(VLOOKUP(A4191,[3]DOORSCRIEFT!$A$2:$G$8551,4,FALSE),"")</f>
        <v/>
      </c>
      <c r="F4191" s="316" t="str">
        <f>IFERROR(VLOOKUP(A4191,[3]DOORSCRIEFT!$A$2:$G$8551,6,FALSE),"")</f>
        <v/>
      </c>
      <c r="G4191" s="315"/>
    </row>
    <row r="4192" spans="1:7" x14ac:dyDescent="0.25">
      <c r="A4192" s="339" t="str">
        <f t="shared" si="122"/>
        <v>I.3.1.1.01.00438</v>
      </c>
      <c r="B4192" s="319">
        <v>38</v>
      </c>
      <c r="C4192" s="319" t="str">
        <f>IFERROR(VLOOKUP(A4192,[3]DOORSCRIEFT!$A$2:$G$8551,2,FALSE),"")</f>
        <v/>
      </c>
      <c r="D4192" s="318" t="str">
        <f>IFERROR(VLOOKUP(A4192,[3]DOORSCRIEFT!$A$2:$G$8551,3,FALSE),"")</f>
        <v/>
      </c>
      <c r="E4192" s="317" t="str">
        <f>IFERROR(VLOOKUP(A4192,[3]DOORSCRIEFT!$A$2:$G$8551,4,FALSE),"")</f>
        <v/>
      </c>
      <c r="F4192" s="316" t="str">
        <f>IFERROR(VLOOKUP(A4192,[3]DOORSCRIEFT!$A$2:$G$8551,6,FALSE),"")</f>
        <v/>
      </c>
      <c r="G4192" s="315"/>
    </row>
    <row r="4193" spans="1:7" x14ac:dyDescent="0.25">
      <c r="A4193" s="339" t="str">
        <f t="shared" si="122"/>
        <v>I.3.1.1.01.00439</v>
      </c>
      <c r="B4193" s="319">
        <v>39</v>
      </c>
      <c r="C4193" s="319" t="str">
        <f>IFERROR(VLOOKUP(A4193,[3]DOORSCRIEFT!$A$2:$G$8551,2,FALSE),"")</f>
        <v/>
      </c>
      <c r="D4193" s="318" t="str">
        <f>IFERROR(VLOOKUP(A4193,[3]DOORSCRIEFT!$A$2:$G$8551,3,FALSE),"")</f>
        <v/>
      </c>
      <c r="E4193" s="317" t="str">
        <f>IFERROR(VLOOKUP(A4193,[3]DOORSCRIEFT!$A$2:$G$8551,4,FALSE),"")</f>
        <v/>
      </c>
      <c r="F4193" s="316" t="str">
        <f>IFERROR(VLOOKUP(A4193,[3]DOORSCRIEFT!$A$2:$G$8551,6,FALSE),"")</f>
        <v/>
      </c>
      <c r="G4193" s="315"/>
    </row>
    <row r="4194" spans="1:7" x14ac:dyDescent="0.25">
      <c r="A4194" s="339" t="str">
        <f t="shared" si="122"/>
        <v>I.3.1.1.01.00440</v>
      </c>
      <c r="B4194" s="319">
        <v>40</v>
      </c>
      <c r="C4194" s="319" t="str">
        <f>IFERROR(VLOOKUP(A4194,[3]DOORSCRIEFT!$A$2:$G$8551,2,FALSE),"")</f>
        <v/>
      </c>
      <c r="D4194" s="318" t="str">
        <f>IFERROR(VLOOKUP(A4194,[3]DOORSCRIEFT!$A$2:$G$8551,3,FALSE),"")</f>
        <v/>
      </c>
      <c r="E4194" s="317" t="str">
        <f>IFERROR(VLOOKUP(A4194,[3]DOORSCRIEFT!$A$2:$G$8551,4,FALSE),"")</f>
        <v/>
      </c>
      <c r="F4194" s="316" t="str">
        <f>IFERROR(VLOOKUP(A4194,[3]DOORSCRIEFT!$A$2:$G$8551,6,FALSE),"")</f>
        <v/>
      </c>
      <c r="G4194" s="315"/>
    </row>
    <row r="4195" spans="1:7" x14ac:dyDescent="0.25">
      <c r="A4195" s="339" t="str">
        <f t="shared" si="122"/>
        <v>I.3.1.1.01.00441</v>
      </c>
      <c r="B4195" s="319">
        <v>41</v>
      </c>
      <c r="C4195" s="319" t="str">
        <f>IFERROR(VLOOKUP(A4195,[3]DOORSCRIEFT!$A$2:$G$8551,2,FALSE),"")</f>
        <v/>
      </c>
      <c r="D4195" s="318" t="str">
        <f>IFERROR(VLOOKUP(A4195,[3]DOORSCRIEFT!$A$2:$G$8551,3,FALSE),"")</f>
        <v/>
      </c>
      <c r="E4195" s="317" t="str">
        <f>IFERROR(VLOOKUP(A4195,[3]DOORSCRIEFT!$A$2:$G$8551,4,FALSE),"")</f>
        <v/>
      </c>
      <c r="F4195" s="316" t="str">
        <f>IFERROR(VLOOKUP(A4195,[3]DOORSCRIEFT!$A$2:$G$8551,6,FALSE),"")</f>
        <v/>
      </c>
      <c r="G4195" s="315"/>
    </row>
    <row r="4196" spans="1:7" x14ac:dyDescent="0.25">
      <c r="A4196" s="339" t="str">
        <f t="shared" si="122"/>
        <v>I.3.1.1.01.00442</v>
      </c>
      <c r="B4196" s="319">
        <v>42</v>
      </c>
      <c r="C4196" s="319" t="str">
        <f>IFERROR(VLOOKUP(A4196,[3]DOORSCRIEFT!$A$2:$G$8551,2,FALSE),"")</f>
        <v/>
      </c>
      <c r="D4196" s="318" t="str">
        <f>IFERROR(VLOOKUP(A4196,[3]DOORSCRIEFT!$A$2:$G$8551,3,FALSE),"")</f>
        <v/>
      </c>
      <c r="E4196" s="317" t="str">
        <f>IFERROR(VLOOKUP(A4196,[3]DOORSCRIEFT!$A$2:$G$8551,4,FALSE),"")</f>
        <v/>
      </c>
      <c r="F4196" s="316" t="str">
        <f>IFERROR(VLOOKUP(A4196,[3]DOORSCRIEFT!$A$2:$G$8551,6,FALSE),"")</f>
        <v/>
      </c>
      <c r="G4196" s="315"/>
    </row>
    <row r="4197" spans="1:7" x14ac:dyDescent="0.25">
      <c r="A4197" s="339" t="str">
        <f t="shared" si="122"/>
        <v>I.3.1.1.01.00443</v>
      </c>
      <c r="B4197" s="319">
        <v>43</v>
      </c>
      <c r="C4197" s="319" t="str">
        <f>IFERROR(VLOOKUP(A4197,[3]DOORSCRIEFT!$A$2:$G$8551,2,FALSE),"")</f>
        <v/>
      </c>
      <c r="D4197" s="318" t="str">
        <f>IFERROR(VLOOKUP(A4197,[3]DOORSCRIEFT!$A$2:$G$8551,3,FALSE),"")</f>
        <v/>
      </c>
      <c r="E4197" s="317" t="str">
        <f>IFERROR(VLOOKUP(A4197,[3]DOORSCRIEFT!$A$2:$G$8551,4,FALSE),"")</f>
        <v/>
      </c>
      <c r="F4197" s="316" t="str">
        <f>IFERROR(VLOOKUP(A4197,[3]DOORSCRIEFT!$A$2:$G$8551,6,FALSE),"")</f>
        <v/>
      </c>
      <c r="G4197" s="315"/>
    </row>
    <row r="4198" spans="1:7" x14ac:dyDescent="0.25">
      <c r="A4198" s="339" t="str">
        <f t="shared" si="122"/>
        <v>I.3.1.1.01.00444</v>
      </c>
      <c r="B4198" s="319">
        <v>44</v>
      </c>
      <c r="C4198" s="319" t="str">
        <f>IFERROR(VLOOKUP(A4198,[3]DOORSCRIEFT!$A$2:$G$8551,2,FALSE),"")</f>
        <v/>
      </c>
      <c r="D4198" s="318" t="str">
        <f>IFERROR(VLOOKUP(A4198,[3]DOORSCRIEFT!$A$2:$G$8551,3,FALSE),"")</f>
        <v/>
      </c>
      <c r="E4198" s="317" t="str">
        <f>IFERROR(VLOOKUP(A4198,[3]DOORSCRIEFT!$A$2:$G$8551,4,FALSE),"")</f>
        <v/>
      </c>
      <c r="F4198" s="316" t="str">
        <f>IFERROR(VLOOKUP(A4198,[3]DOORSCRIEFT!$A$2:$G$8551,6,FALSE),"")</f>
        <v/>
      </c>
      <c r="G4198" s="315"/>
    </row>
    <row r="4199" spans="1:7" x14ac:dyDescent="0.25">
      <c r="A4199" s="339" t="str">
        <f t="shared" si="122"/>
        <v>I.3.1.1.01.00445</v>
      </c>
      <c r="B4199" s="319">
        <v>45</v>
      </c>
      <c r="C4199" s="319" t="str">
        <f>IFERROR(VLOOKUP(A4199,[3]DOORSCRIEFT!$A$2:$G$8551,2,FALSE),"")</f>
        <v/>
      </c>
      <c r="D4199" s="318" t="str">
        <f>IFERROR(VLOOKUP(A4199,[3]DOORSCRIEFT!$A$2:$G$8551,3,FALSE),"")</f>
        <v/>
      </c>
      <c r="E4199" s="317" t="str">
        <f>IFERROR(VLOOKUP(A4199,[3]DOORSCRIEFT!$A$2:$G$8551,4,FALSE),"")</f>
        <v/>
      </c>
      <c r="F4199" s="316" t="str">
        <f>IFERROR(VLOOKUP(A4199,[3]DOORSCRIEFT!$A$2:$G$8551,6,FALSE),"")</f>
        <v/>
      </c>
      <c r="G4199" s="315"/>
    </row>
    <row r="4200" spans="1:7" x14ac:dyDescent="0.25">
      <c r="A4200" s="339" t="str">
        <f t="shared" si="122"/>
        <v>I.3.1.1.01.00446</v>
      </c>
      <c r="B4200" s="319">
        <v>46</v>
      </c>
      <c r="C4200" s="319" t="str">
        <f>IFERROR(VLOOKUP(A4200,[3]DOORSCRIEFT!$A$2:$G$8551,2,FALSE),"")</f>
        <v/>
      </c>
      <c r="D4200" s="318" t="str">
        <f>IFERROR(VLOOKUP(A4200,[3]DOORSCRIEFT!$A$2:$G$8551,3,FALSE),"")</f>
        <v/>
      </c>
      <c r="E4200" s="317" t="str">
        <f>IFERROR(VLOOKUP(A4200,[3]DOORSCRIEFT!$A$2:$G$8551,4,FALSE),"")</f>
        <v/>
      </c>
      <c r="F4200" s="316" t="str">
        <f>IFERROR(VLOOKUP(A4200,[3]DOORSCRIEFT!$A$2:$G$8551,6,FALSE),"")</f>
        <v/>
      </c>
      <c r="G4200" s="315"/>
    </row>
    <row r="4201" spans="1:7" x14ac:dyDescent="0.25">
      <c r="A4201" s="339" t="str">
        <f t="shared" si="122"/>
        <v>I.3.1.1.01.00447</v>
      </c>
      <c r="B4201" s="319">
        <v>47</v>
      </c>
      <c r="C4201" s="319" t="str">
        <f>IFERROR(VLOOKUP(A4201,[3]DOORSCRIEFT!$A$2:$G$8551,2,FALSE),"")</f>
        <v/>
      </c>
      <c r="D4201" s="318" t="str">
        <f>IFERROR(VLOOKUP(A4201,[3]DOORSCRIEFT!$A$2:$G$8551,3,FALSE),"")</f>
        <v/>
      </c>
      <c r="E4201" s="317" t="str">
        <f>IFERROR(VLOOKUP(A4201,[3]DOORSCRIEFT!$A$2:$G$8551,4,FALSE),"")</f>
        <v/>
      </c>
      <c r="F4201" s="316" t="str">
        <f>IFERROR(VLOOKUP(A4201,[3]DOORSCRIEFT!$A$2:$G$8551,6,FALSE),"")</f>
        <v/>
      </c>
      <c r="G4201" s="315"/>
    </row>
    <row r="4202" spans="1:7" x14ac:dyDescent="0.25">
      <c r="A4202" s="339" t="str">
        <f t="shared" si="122"/>
        <v>I.3.1.1.01.00448</v>
      </c>
      <c r="B4202" s="319">
        <v>48</v>
      </c>
      <c r="C4202" s="319" t="str">
        <f>IFERROR(VLOOKUP(A4202,[3]DOORSCRIEFT!$A$2:$G$8551,2,FALSE),"")</f>
        <v/>
      </c>
      <c r="D4202" s="318" t="str">
        <f>IFERROR(VLOOKUP(A4202,[3]DOORSCRIEFT!$A$2:$G$8551,3,FALSE),"")</f>
        <v/>
      </c>
      <c r="E4202" s="317" t="str">
        <f>IFERROR(VLOOKUP(A4202,[3]DOORSCRIEFT!$A$2:$G$8551,4,FALSE),"")</f>
        <v/>
      </c>
      <c r="F4202" s="316" t="str">
        <f>IFERROR(VLOOKUP(A4202,[3]DOORSCRIEFT!$A$2:$G$8551,6,FALSE),"")</f>
        <v/>
      </c>
      <c r="G4202" s="315"/>
    </row>
    <row r="4203" spans="1:7" x14ac:dyDescent="0.25">
      <c r="A4203" s="339" t="str">
        <f t="shared" si="122"/>
        <v>I.3.1.1.01.00449</v>
      </c>
      <c r="B4203" s="319">
        <v>49</v>
      </c>
      <c r="C4203" s="319" t="str">
        <f>IFERROR(VLOOKUP(A4203,[3]DOORSCRIEFT!$A$2:$G$8551,2,FALSE),"")</f>
        <v/>
      </c>
      <c r="D4203" s="318" t="str">
        <f>IFERROR(VLOOKUP(A4203,[3]DOORSCRIEFT!$A$2:$G$8551,3,FALSE),"")</f>
        <v/>
      </c>
      <c r="E4203" s="317" t="str">
        <f>IFERROR(VLOOKUP(A4203,[3]DOORSCRIEFT!$A$2:$G$8551,4,FALSE),"")</f>
        <v/>
      </c>
      <c r="F4203" s="316" t="str">
        <f>IFERROR(VLOOKUP(A4203,[3]DOORSCRIEFT!$A$2:$G$8551,6,FALSE),"")</f>
        <v/>
      </c>
      <c r="G4203" s="315"/>
    </row>
    <row r="4204" spans="1:7" x14ac:dyDescent="0.25">
      <c r="A4204" s="339" t="str">
        <f t="shared" si="122"/>
        <v>I.3.1.1.01.00450</v>
      </c>
      <c r="B4204" s="319">
        <v>50</v>
      </c>
      <c r="C4204" s="319" t="str">
        <f>IFERROR(VLOOKUP(A4204,[3]DOORSCRIEFT!$A$2:$G$8551,2,FALSE),"")</f>
        <v/>
      </c>
      <c r="D4204" s="318" t="str">
        <f>IFERROR(VLOOKUP(A4204,[3]DOORSCRIEFT!$A$2:$G$8551,3,FALSE),"")</f>
        <v/>
      </c>
      <c r="E4204" s="317" t="str">
        <f>IFERROR(VLOOKUP(A4204,[3]DOORSCRIEFT!$A$2:$G$8551,4,FALSE),"")</f>
        <v/>
      </c>
      <c r="F4204" s="316" t="str">
        <f>IFERROR(VLOOKUP(A4204,[3]DOORSCRIEFT!$A$2:$G$8551,6,FALSE),"")</f>
        <v/>
      </c>
      <c r="G4204" s="315"/>
    </row>
    <row r="4205" spans="1:7" ht="15.75" thickBot="1" x14ac:dyDescent="0.3">
      <c r="A4205" s="353" t="str">
        <f t="shared" si="122"/>
        <v>I.3.1.1.01.00451</v>
      </c>
      <c r="B4205" s="345">
        <v>51</v>
      </c>
      <c r="C4205" s="319" t="str">
        <f>IFERROR(VLOOKUP(A4205,[3]DOORSCRIEFT!$A$2:$G$8551,2,FALSE),"")</f>
        <v/>
      </c>
      <c r="D4205" s="318" t="str">
        <f>IFERROR(VLOOKUP(A4205,[3]DOORSCRIEFT!$A$2:$G$8551,3,FALSE),"")</f>
        <v/>
      </c>
      <c r="E4205" s="317" t="str">
        <f>IFERROR(VLOOKUP(A4205,[3]DOORSCRIEFT!$A$2:$G$8551,4,FALSE),"")</f>
        <v/>
      </c>
      <c r="F4205" s="316" t="str">
        <f>IFERROR(VLOOKUP(A4205,[3]DOORSCRIEFT!$A$2:$G$8551,6,FALSE),"")</f>
        <v/>
      </c>
      <c r="G4205" s="315"/>
    </row>
    <row r="4206" spans="1:7" ht="15.75" thickBot="1" x14ac:dyDescent="0.3">
      <c r="A4206" s="344"/>
      <c r="B4206" s="343"/>
      <c r="C4206" s="336"/>
      <c r="D4206" s="312"/>
      <c r="E4206" s="311" t="s">
        <v>644</v>
      </c>
      <c r="F4206" s="310">
        <f>SUM(F4155:F4205)</f>
        <v>633000</v>
      </c>
      <c r="G4206" s="309">
        <f>SUM(G4155:G4205)</f>
        <v>0</v>
      </c>
    </row>
    <row r="4207" spans="1:7" x14ac:dyDescent="0.25">
      <c r="C4207" s="335"/>
    </row>
    <row r="4208" spans="1:7" x14ac:dyDescent="0.25">
      <c r="C4208" s="335"/>
    </row>
    <row r="4209" spans="1:7" ht="15.75" x14ac:dyDescent="0.25">
      <c r="C4209" s="334"/>
      <c r="D4209" s="333"/>
      <c r="E4209" s="332"/>
      <c r="F4209" s="327" t="s">
        <v>607</v>
      </c>
      <c r="G4209" s="327" t="s">
        <v>394</v>
      </c>
    </row>
    <row r="4210" spans="1:7" ht="15.75" x14ac:dyDescent="0.25">
      <c r="C4210" s="334"/>
      <c r="D4210" s="333"/>
      <c r="E4210" s="332"/>
      <c r="F4210" s="327" t="s">
        <v>601</v>
      </c>
      <c r="G4210" s="327" t="s">
        <v>160</v>
      </c>
    </row>
    <row r="4211" spans="1:7" x14ac:dyDescent="0.25">
      <c r="C4211" s="330"/>
      <c r="D4211" s="329"/>
      <c r="E4211" s="328"/>
      <c r="F4211" s="327" t="s">
        <v>651</v>
      </c>
      <c r="G4211" s="331">
        <f>[2]Sheet1!$D$113</f>
        <v>0</v>
      </c>
    </row>
    <row r="4212" spans="1:7" ht="15.75" thickBot="1" x14ac:dyDescent="0.3">
      <c r="C4212" s="330"/>
      <c r="D4212" s="329"/>
      <c r="E4212" s="328"/>
      <c r="F4212" s="327" t="s">
        <v>650</v>
      </c>
      <c r="G4212" s="326">
        <f>+F4231-G4211</f>
        <v>0</v>
      </c>
    </row>
    <row r="4213" spans="1:7" x14ac:dyDescent="0.25">
      <c r="A4213" s="573" t="s">
        <v>626</v>
      </c>
      <c r="B4213" s="573" t="s">
        <v>606</v>
      </c>
      <c r="C4213" s="588" t="s">
        <v>649</v>
      </c>
      <c r="D4213" s="577" t="s">
        <v>648</v>
      </c>
      <c r="E4213" s="577" t="s">
        <v>647</v>
      </c>
      <c r="F4213" s="577" t="s">
        <v>646</v>
      </c>
      <c r="G4213" s="580" t="s">
        <v>645</v>
      </c>
    </row>
    <row r="4214" spans="1:7" ht="15.75" thickBot="1" x14ac:dyDescent="0.3">
      <c r="A4214" s="574"/>
      <c r="B4214" s="574"/>
      <c r="C4214" s="589"/>
      <c r="D4214" s="586"/>
      <c r="E4214" s="586"/>
      <c r="F4214" s="586"/>
      <c r="G4214" s="587"/>
    </row>
    <row r="4215" spans="1:7" ht="15.75" thickBot="1" x14ac:dyDescent="0.3">
      <c r="A4215" s="325">
        <v>1</v>
      </c>
      <c r="B4215" s="324">
        <v>2</v>
      </c>
      <c r="C4215" s="324">
        <v>3</v>
      </c>
      <c r="D4215" s="324">
        <v>4</v>
      </c>
      <c r="E4215" s="324">
        <v>5</v>
      </c>
      <c r="F4215" s="324">
        <v>6</v>
      </c>
      <c r="G4215" s="323">
        <v>7</v>
      </c>
    </row>
    <row r="4216" spans="1:7" x14ac:dyDescent="0.25">
      <c r="A4216" s="339" t="str">
        <f t="shared" ref="A4216:A4230" si="123">$G$4209&amp;B4216</f>
        <v>1.3.1.1.01.0051</v>
      </c>
      <c r="B4216" s="339">
        <v>1</v>
      </c>
      <c r="C4216" s="319" t="str">
        <f>IFERROR(VLOOKUP(A4216,[3]DOORSCRIEFT!$A$2:$G$8551,2,FALSE),"")</f>
        <v/>
      </c>
      <c r="D4216" s="318" t="str">
        <f>IFERROR(VLOOKUP(A4216,[3]DOORSCRIEFT!$A$2:$G$8551,3,FALSE),"")</f>
        <v/>
      </c>
      <c r="E4216" s="317" t="str">
        <f>IFERROR(VLOOKUP(A4216,[3]DOORSCRIEFT!$A$2:$G$8551,4,FALSE),"")</f>
        <v/>
      </c>
      <c r="F4216" s="316" t="str">
        <f>IFERROR(VLOOKUP(A4216,[3]DOORSCRIEFT!$A$2:$G$8551,6,FALSE),"")</f>
        <v/>
      </c>
      <c r="G4216" s="322"/>
    </row>
    <row r="4217" spans="1:7" x14ac:dyDescent="0.25">
      <c r="A4217" s="339" t="str">
        <f t="shared" si="123"/>
        <v>1.3.1.1.01.0052</v>
      </c>
      <c r="B4217" s="319">
        <v>2</v>
      </c>
      <c r="C4217" s="319" t="str">
        <f>IFERROR(VLOOKUP(A4217,[3]DOORSCRIEFT!$A$2:$G$8551,2,FALSE),"")</f>
        <v/>
      </c>
      <c r="D4217" s="318" t="str">
        <f>IFERROR(VLOOKUP(A4217,[3]DOORSCRIEFT!$A$2:$G$8551,3,FALSE),"")</f>
        <v/>
      </c>
      <c r="E4217" s="317" t="str">
        <f>IFERROR(VLOOKUP(A4217,[3]DOORSCRIEFT!$A$2:$G$8551,4,FALSE),"")</f>
        <v/>
      </c>
      <c r="F4217" s="316" t="str">
        <f>IFERROR(VLOOKUP(A4217,[3]DOORSCRIEFT!$A$2:$G$8551,6,FALSE),"")</f>
        <v/>
      </c>
      <c r="G4217" s="315"/>
    </row>
    <row r="4218" spans="1:7" x14ac:dyDescent="0.25">
      <c r="A4218" s="339" t="str">
        <f t="shared" si="123"/>
        <v>1.3.1.1.01.0053</v>
      </c>
      <c r="B4218" s="319">
        <v>3</v>
      </c>
      <c r="C4218" s="319" t="str">
        <f>IFERROR(VLOOKUP(A4218,[3]DOORSCRIEFT!$A$2:$G$8551,2,FALSE),"")</f>
        <v/>
      </c>
      <c r="D4218" s="318" t="str">
        <f>IFERROR(VLOOKUP(A4218,[3]DOORSCRIEFT!$A$2:$G$8551,3,FALSE),"")</f>
        <v/>
      </c>
      <c r="E4218" s="317" t="str">
        <f>IFERROR(VLOOKUP(A4218,[3]DOORSCRIEFT!$A$2:$G$8551,4,FALSE),"")</f>
        <v/>
      </c>
      <c r="F4218" s="316" t="str">
        <f>IFERROR(VLOOKUP(A4218,[3]DOORSCRIEFT!$A$2:$G$8551,6,FALSE),"")</f>
        <v/>
      </c>
      <c r="G4218" s="315"/>
    </row>
    <row r="4219" spans="1:7" x14ac:dyDescent="0.25">
      <c r="A4219" s="339" t="str">
        <f t="shared" si="123"/>
        <v>1.3.1.1.01.0054</v>
      </c>
      <c r="B4219" s="319">
        <v>4</v>
      </c>
      <c r="C4219" s="319" t="str">
        <f>IFERROR(VLOOKUP(A4219,[3]DOORSCRIEFT!$A$2:$G$8551,2,FALSE),"")</f>
        <v/>
      </c>
      <c r="D4219" s="318" t="str">
        <f>IFERROR(VLOOKUP(A4219,[3]DOORSCRIEFT!$A$2:$G$8551,3,FALSE),"")</f>
        <v/>
      </c>
      <c r="E4219" s="317" t="str">
        <f>IFERROR(VLOOKUP(A4219,[3]DOORSCRIEFT!$A$2:$G$8551,4,FALSE),"")</f>
        <v/>
      </c>
      <c r="F4219" s="316" t="str">
        <f>IFERROR(VLOOKUP(A4219,[3]DOORSCRIEFT!$A$2:$G$8551,6,FALSE),"")</f>
        <v/>
      </c>
      <c r="G4219" s="315"/>
    </row>
    <row r="4220" spans="1:7" x14ac:dyDescent="0.25">
      <c r="A4220" s="339" t="str">
        <f t="shared" si="123"/>
        <v>1.3.1.1.01.0055</v>
      </c>
      <c r="B4220" s="319">
        <v>5</v>
      </c>
      <c r="C4220" s="319" t="str">
        <f>IFERROR(VLOOKUP(A4220,[3]DOORSCRIEFT!$A$2:$G$8551,2,FALSE),"")</f>
        <v/>
      </c>
      <c r="D4220" s="318" t="str">
        <f>IFERROR(VLOOKUP(A4220,[3]DOORSCRIEFT!$A$2:$G$8551,3,FALSE),"")</f>
        <v/>
      </c>
      <c r="E4220" s="317" t="str">
        <f>IFERROR(VLOOKUP(A4220,[3]DOORSCRIEFT!$A$2:$G$8551,4,FALSE),"")</f>
        <v/>
      </c>
      <c r="F4220" s="316" t="str">
        <f>IFERROR(VLOOKUP(A4220,[3]DOORSCRIEFT!$A$2:$G$8551,6,FALSE),"")</f>
        <v/>
      </c>
      <c r="G4220" s="315"/>
    </row>
    <row r="4221" spans="1:7" x14ac:dyDescent="0.25">
      <c r="A4221" s="339" t="str">
        <f t="shared" si="123"/>
        <v>1.3.1.1.01.0056</v>
      </c>
      <c r="B4221" s="319">
        <v>6</v>
      </c>
      <c r="C4221" s="319" t="str">
        <f>IFERROR(VLOOKUP(A4221,[3]DOORSCRIEFT!$A$2:$G$8551,2,FALSE),"")</f>
        <v/>
      </c>
      <c r="D4221" s="318" t="str">
        <f>IFERROR(VLOOKUP(A4221,[3]DOORSCRIEFT!$A$2:$G$8551,3,FALSE),"")</f>
        <v/>
      </c>
      <c r="E4221" s="317" t="str">
        <f>IFERROR(VLOOKUP(A4221,[3]DOORSCRIEFT!$A$2:$G$8551,4,FALSE),"")</f>
        <v/>
      </c>
      <c r="F4221" s="316" t="str">
        <f>IFERROR(VLOOKUP(A4221,[3]DOORSCRIEFT!$A$2:$G$8551,6,FALSE),"")</f>
        <v/>
      </c>
      <c r="G4221" s="315"/>
    </row>
    <row r="4222" spans="1:7" x14ac:dyDescent="0.25">
      <c r="A4222" s="339" t="str">
        <f t="shared" si="123"/>
        <v>1.3.1.1.01.0057</v>
      </c>
      <c r="B4222" s="319">
        <v>7</v>
      </c>
      <c r="C4222" s="319" t="str">
        <f>IFERROR(VLOOKUP(A4222,[3]DOORSCRIEFT!$A$2:$G$8551,2,FALSE),"")</f>
        <v/>
      </c>
      <c r="D4222" s="318" t="str">
        <f>IFERROR(VLOOKUP(A4222,[3]DOORSCRIEFT!$A$2:$G$8551,3,FALSE),"")</f>
        <v/>
      </c>
      <c r="E4222" s="317" t="str">
        <f>IFERROR(VLOOKUP(A4222,[3]DOORSCRIEFT!$A$2:$G$8551,4,FALSE),"")</f>
        <v/>
      </c>
      <c r="F4222" s="316" t="str">
        <f>IFERROR(VLOOKUP(A4222,[3]DOORSCRIEFT!$A$2:$G$8551,6,FALSE),"")</f>
        <v/>
      </c>
      <c r="G4222" s="315"/>
    </row>
    <row r="4223" spans="1:7" x14ac:dyDescent="0.25">
      <c r="A4223" s="339" t="str">
        <f t="shared" si="123"/>
        <v>1.3.1.1.01.0058</v>
      </c>
      <c r="B4223" s="319">
        <v>8</v>
      </c>
      <c r="C4223" s="319" t="str">
        <f>IFERROR(VLOOKUP(A4223,[3]DOORSCRIEFT!$A$2:$G$8551,2,FALSE),"")</f>
        <v/>
      </c>
      <c r="D4223" s="318" t="str">
        <f>IFERROR(VLOOKUP(A4223,[3]DOORSCRIEFT!$A$2:$G$8551,3,FALSE),"")</f>
        <v/>
      </c>
      <c r="E4223" s="317" t="str">
        <f>IFERROR(VLOOKUP(A4223,[3]DOORSCRIEFT!$A$2:$G$8551,4,FALSE),"")</f>
        <v/>
      </c>
      <c r="F4223" s="316" t="str">
        <f>IFERROR(VLOOKUP(A4223,[3]DOORSCRIEFT!$A$2:$G$8551,6,FALSE),"")</f>
        <v/>
      </c>
      <c r="G4223" s="315"/>
    </row>
    <row r="4224" spans="1:7" x14ac:dyDescent="0.25">
      <c r="A4224" s="339" t="str">
        <f t="shared" si="123"/>
        <v>1.3.1.1.01.0059</v>
      </c>
      <c r="B4224" s="319">
        <v>9</v>
      </c>
      <c r="C4224" s="319" t="str">
        <f>IFERROR(VLOOKUP(A4224,[3]DOORSCRIEFT!$A$2:$G$8551,2,FALSE),"")</f>
        <v/>
      </c>
      <c r="D4224" s="318" t="str">
        <f>IFERROR(VLOOKUP(A4224,[3]DOORSCRIEFT!$A$2:$G$8551,3,FALSE),"")</f>
        <v/>
      </c>
      <c r="E4224" s="317" t="str">
        <f>IFERROR(VLOOKUP(A4224,[3]DOORSCRIEFT!$A$2:$G$8551,4,FALSE),"")</f>
        <v/>
      </c>
      <c r="F4224" s="316" t="str">
        <f>IFERROR(VLOOKUP(A4224,[3]DOORSCRIEFT!$A$2:$G$8551,6,FALSE),"")</f>
        <v/>
      </c>
      <c r="G4224" s="315"/>
    </row>
    <row r="4225" spans="1:7" x14ac:dyDescent="0.25">
      <c r="A4225" s="339" t="str">
        <f t="shared" si="123"/>
        <v>1.3.1.1.01.00510</v>
      </c>
      <c r="B4225" s="319">
        <v>10</v>
      </c>
      <c r="C4225" s="319" t="str">
        <f>IFERROR(VLOOKUP(A4225,[3]DOORSCRIEFT!$A$2:$G$8551,2,FALSE),"")</f>
        <v/>
      </c>
      <c r="D4225" s="318" t="str">
        <f>IFERROR(VLOOKUP(A4225,[3]DOORSCRIEFT!$A$2:$G$8551,3,FALSE),"")</f>
        <v/>
      </c>
      <c r="E4225" s="317" t="str">
        <f>IFERROR(VLOOKUP(A4225,[3]DOORSCRIEFT!$A$2:$G$8551,4,FALSE),"")</f>
        <v/>
      </c>
      <c r="F4225" s="316" t="str">
        <f>IFERROR(VLOOKUP(A4225,[3]DOORSCRIEFT!$A$2:$G$8551,6,FALSE),"")</f>
        <v/>
      </c>
      <c r="G4225" s="315"/>
    </row>
    <row r="4226" spans="1:7" x14ac:dyDescent="0.25">
      <c r="A4226" s="339" t="str">
        <f t="shared" si="123"/>
        <v>1.3.1.1.01.00511</v>
      </c>
      <c r="B4226" s="319">
        <v>11</v>
      </c>
      <c r="C4226" s="319" t="str">
        <f>IFERROR(VLOOKUP(A4226,[3]DOORSCRIEFT!$A$2:$G$8551,2,FALSE),"")</f>
        <v/>
      </c>
      <c r="D4226" s="318" t="str">
        <f>IFERROR(VLOOKUP(A4226,[3]DOORSCRIEFT!$A$2:$G$8551,3,FALSE),"")</f>
        <v/>
      </c>
      <c r="E4226" s="317" t="str">
        <f>IFERROR(VLOOKUP(A4226,[3]DOORSCRIEFT!$A$2:$G$8551,4,FALSE),"")</f>
        <v/>
      </c>
      <c r="F4226" s="316" t="str">
        <f>IFERROR(VLOOKUP(A4226,[3]DOORSCRIEFT!$A$2:$G$8551,6,FALSE),"")</f>
        <v/>
      </c>
      <c r="G4226" s="315"/>
    </row>
    <row r="4227" spans="1:7" x14ac:dyDescent="0.25">
      <c r="A4227" s="339" t="str">
        <f t="shared" si="123"/>
        <v>1.3.1.1.01.00512</v>
      </c>
      <c r="B4227" s="319">
        <v>12</v>
      </c>
      <c r="C4227" s="319" t="str">
        <f>IFERROR(VLOOKUP(A4227,[3]DOORSCRIEFT!$A$2:$G$8551,2,FALSE),"")</f>
        <v/>
      </c>
      <c r="D4227" s="318" t="str">
        <f>IFERROR(VLOOKUP(A4227,[3]DOORSCRIEFT!$A$2:$G$8551,3,FALSE),"")</f>
        <v/>
      </c>
      <c r="E4227" s="317" t="str">
        <f>IFERROR(VLOOKUP(A4227,[3]DOORSCRIEFT!$A$2:$G$8551,4,FALSE),"")</f>
        <v/>
      </c>
      <c r="F4227" s="316" t="str">
        <f>IFERROR(VLOOKUP(A4227,[3]DOORSCRIEFT!$A$2:$G$8551,6,FALSE),"")</f>
        <v/>
      </c>
      <c r="G4227" s="315"/>
    </row>
    <row r="4228" spans="1:7" x14ac:dyDescent="0.25">
      <c r="A4228" s="339" t="str">
        <f t="shared" si="123"/>
        <v>1.3.1.1.01.00513</v>
      </c>
      <c r="B4228" s="319">
        <v>13</v>
      </c>
      <c r="C4228" s="319" t="str">
        <f>IFERROR(VLOOKUP(A4228,[3]DOORSCRIEFT!$A$2:$G$8551,2,FALSE),"")</f>
        <v/>
      </c>
      <c r="D4228" s="318" t="str">
        <f>IFERROR(VLOOKUP(A4228,[3]DOORSCRIEFT!$A$2:$G$8551,3,FALSE),"")</f>
        <v/>
      </c>
      <c r="E4228" s="317" t="str">
        <f>IFERROR(VLOOKUP(A4228,[3]DOORSCRIEFT!$A$2:$G$8551,4,FALSE),"")</f>
        <v/>
      </c>
      <c r="F4228" s="316" t="str">
        <f>IFERROR(VLOOKUP(A4228,[3]DOORSCRIEFT!$A$2:$G$8551,6,FALSE),"")</f>
        <v/>
      </c>
      <c r="G4228" s="315"/>
    </row>
    <row r="4229" spans="1:7" x14ac:dyDescent="0.25">
      <c r="A4229" s="339" t="str">
        <f t="shared" si="123"/>
        <v>1.3.1.1.01.00514</v>
      </c>
      <c r="B4229" s="319">
        <v>14</v>
      </c>
      <c r="C4229" s="319" t="str">
        <f>IFERROR(VLOOKUP(A4229,[3]DOORSCRIEFT!$A$2:$G$8551,2,FALSE),"")</f>
        <v/>
      </c>
      <c r="D4229" s="318" t="str">
        <f>IFERROR(VLOOKUP(A4229,[3]DOORSCRIEFT!$A$2:$G$8551,3,FALSE),"")</f>
        <v/>
      </c>
      <c r="E4229" s="317" t="str">
        <f>IFERROR(VLOOKUP(A4229,[3]DOORSCRIEFT!$A$2:$G$8551,4,FALSE),"")</f>
        <v/>
      </c>
      <c r="F4229" s="316" t="str">
        <f>IFERROR(VLOOKUP(A4229,[3]DOORSCRIEFT!$A$2:$G$8551,6,FALSE),"")</f>
        <v/>
      </c>
      <c r="G4229" s="315"/>
    </row>
    <row r="4230" spans="1:7" ht="15.75" thickBot="1" x14ac:dyDescent="0.3">
      <c r="A4230" s="353" t="str">
        <f t="shared" si="123"/>
        <v>1.3.1.1.01.00515</v>
      </c>
      <c r="B4230" s="345">
        <v>15</v>
      </c>
      <c r="C4230" s="319" t="str">
        <f>IFERROR(VLOOKUP(A4230,[3]DOORSCRIEFT!$A$2:$G$8551,2,FALSE),"")</f>
        <v/>
      </c>
      <c r="D4230" s="318" t="str">
        <f>IFERROR(VLOOKUP(A4230,[3]DOORSCRIEFT!$A$2:$G$8551,3,FALSE),"")</f>
        <v/>
      </c>
      <c r="E4230" s="317" t="str">
        <f>IFERROR(VLOOKUP(A4230,[3]DOORSCRIEFT!$A$2:$G$8551,4,FALSE),"")</f>
        <v/>
      </c>
      <c r="F4230" s="316" t="str">
        <f>IFERROR(VLOOKUP(A4230,[3]DOORSCRIEFT!$A$2:$G$8551,6,FALSE),"")</f>
        <v/>
      </c>
      <c r="G4230" s="315"/>
    </row>
    <row r="4231" spans="1:7" ht="15.75" thickBot="1" x14ac:dyDescent="0.3">
      <c r="A4231" s="344"/>
      <c r="B4231" s="343"/>
      <c r="C4231" s="336"/>
      <c r="D4231" s="312"/>
      <c r="E4231" s="311" t="s">
        <v>644</v>
      </c>
      <c r="F4231" s="310">
        <f>SUM(F4216:F4230)</f>
        <v>0</v>
      </c>
      <c r="G4231" s="309">
        <f>SUM(G4216:G4230)</f>
        <v>0</v>
      </c>
    </row>
    <row r="4232" spans="1:7" x14ac:dyDescent="0.25">
      <c r="C4232" s="335"/>
    </row>
    <row r="4233" spans="1:7" x14ac:dyDescent="0.25">
      <c r="C4233" s="335"/>
    </row>
    <row r="4234" spans="1:7" ht="15.75" x14ac:dyDescent="0.25">
      <c r="C4234" s="334"/>
      <c r="D4234" s="333"/>
      <c r="E4234" s="332"/>
      <c r="F4234" s="327" t="s">
        <v>607</v>
      </c>
      <c r="G4234" s="327" t="s">
        <v>616</v>
      </c>
    </row>
    <row r="4235" spans="1:7" ht="15.75" x14ac:dyDescent="0.25">
      <c r="C4235" s="334"/>
      <c r="D4235" s="333"/>
      <c r="E4235" s="332"/>
      <c r="F4235" s="327" t="s">
        <v>601</v>
      </c>
      <c r="G4235" s="327" t="s">
        <v>158</v>
      </c>
    </row>
    <row r="4236" spans="1:7" x14ac:dyDescent="0.25">
      <c r="C4236" s="330"/>
      <c r="D4236" s="329"/>
      <c r="E4236" s="328"/>
      <c r="F4236" s="327" t="s">
        <v>651</v>
      </c>
      <c r="G4236" s="331">
        <f>[2]Sheet1!$D$114</f>
        <v>0</v>
      </c>
    </row>
    <row r="4237" spans="1:7" ht="15.75" thickBot="1" x14ac:dyDescent="0.3">
      <c r="C4237" s="330"/>
      <c r="D4237" s="329"/>
      <c r="E4237" s="328"/>
      <c r="F4237" s="327" t="s">
        <v>650</v>
      </c>
      <c r="G4237" s="326">
        <f>+F4276-G4236</f>
        <v>0</v>
      </c>
    </row>
    <row r="4238" spans="1:7" x14ac:dyDescent="0.25">
      <c r="A4238" s="571" t="s">
        <v>626</v>
      </c>
      <c r="B4238" s="573" t="s">
        <v>606</v>
      </c>
      <c r="C4238" s="588" t="s">
        <v>649</v>
      </c>
      <c r="D4238" s="577" t="s">
        <v>648</v>
      </c>
      <c r="E4238" s="577" t="s">
        <v>647</v>
      </c>
      <c r="F4238" s="577" t="s">
        <v>646</v>
      </c>
      <c r="G4238" s="580" t="s">
        <v>645</v>
      </c>
    </row>
    <row r="4239" spans="1:7" ht="15.75" thickBot="1" x14ac:dyDescent="0.3">
      <c r="A4239" s="572"/>
      <c r="B4239" s="574"/>
      <c r="C4239" s="589"/>
      <c r="D4239" s="586"/>
      <c r="E4239" s="586"/>
      <c r="F4239" s="586"/>
      <c r="G4239" s="587"/>
    </row>
    <row r="4240" spans="1:7" ht="15.75" thickBot="1" x14ac:dyDescent="0.3">
      <c r="A4240" s="325">
        <v>1</v>
      </c>
      <c r="B4240" s="324">
        <v>2</v>
      </c>
      <c r="C4240" s="324">
        <v>3</v>
      </c>
      <c r="D4240" s="324">
        <v>4</v>
      </c>
      <c r="E4240" s="324">
        <v>5</v>
      </c>
      <c r="F4240" s="324">
        <v>6</v>
      </c>
      <c r="G4240" s="323">
        <v>7</v>
      </c>
    </row>
    <row r="4241" spans="1:7" x14ac:dyDescent="0.25">
      <c r="A4241" s="339" t="str">
        <f t="shared" ref="A4241:A4275" si="124">$G$4234&amp;B4241</f>
        <v>I.3.1.1.01.0061</v>
      </c>
      <c r="B4241" s="339">
        <v>1</v>
      </c>
      <c r="C4241" s="319" t="str">
        <f>IFERROR(VLOOKUP(A4241,[3]DOORSCRIEFT!$A$2:$G$8551,2,FALSE),"")</f>
        <v/>
      </c>
      <c r="D4241" s="318" t="str">
        <f>IFERROR(VLOOKUP(A4241,[3]DOORSCRIEFT!$A$2:$G$8551,3,FALSE),"")</f>
        <v/>
      </c>
      <c r="E4241" s="317" t="str">
        <f>IFERROR(VLOOKUP(A4241,[3]DOORSCRIEFT!$A$2:$G$8551,4,FALSE),"")</f>
        <v/>
      </c>
      <c r="F4241" s="316" t="str">
        <f>IFERROR(VLOOKUP(A4241,[3]DOORSCRIEFT!$A$2:$G$8551,6,FALSE),"")</f>
        <v/>
      </c>
      <c r="G4241" s="322"/>
    </row>
    <row r="4242" spans="1:7" x14ac:dyDescent="0.25">
      <c r="A4242" s="339" t="str">
        <f t="shared" si="124"/>
        <v>I.3.1.1.01.0062</v>
      </c>
      <c r="B4242" s="319">
        <v>2</v>
      </c>
      <c r="C4242" s="319" t="str">
        <f>IFERROR(VLOOKUP(A4242,[3]DOORSCRIEFT!$A$2:$G$8551,2,FALSE),"")</f>
        <v/>
      </c>
      <c r="D4242" s="318" t="str">
        <f>IFERROR(VLOOKUP(A4242,[3]DOORSCRIEFT!$A$2:$G$8551,3,FALSE),"")</f>
        <v/>
      </c>
      <c r="E4242" s="317" t="str">
        <f>IFERROR(VLOOKUP(A4242,[3]DOORSCRIEFT!$A$2:$G$8551,4,FALSE),"")</f>
        <v/>
      </c>
      <c r="F4242" s="316" t="str">
        <f>IFERROR(VLOOKUP(A4242,[3]DOORSCRIEFT!$A$2:$G$8551,6,FALSE),"")</f>
        <v/>
      </c>
      <c r="G4242" s="315"/>
    </row>
    <row r="4243" spans="1:7" x14ac:dyDescent="0.25">
      <c r="A4243" s="339" t="str">
        <f t="shared" si="124"/>
        <v>I.3.1.1.01.0063</v>
      </c>
      <c r="B4243" s="319">
        <v>3</v>
      </c>
      <c r="C4243" s="319" t="str">
        <f>IFERROR(VLOOKUP(A4243,[3]DOORSCRIEFT!$A$2:$G$8551,2,FALSE),"")</f>
        <v/>
      </c>
      <c r="D4243" s="318" t="str">
        <f>IFERROR(VLOOKUP(A4243,[3]DOORSCRIEFT!$A$2:$G$8551,3,FALSE),"")</f>
        <v/>
      </c>
      <c r="E4243" s="317" t="str">
        <f>IFERROR(VLOOKUP(A4243,[3]DOORSCRIEFT!$A$2:$G$8551,4,FALSE),"")</f>
        <v/>
      </c>
      <c r="F4243" s="316" t="str">
        <f>IFERROR(VLOOKUP(A4243,[3]DOORSCRIEFT!$A$2:$G$8551,6,FALSE),"")</f>
        <v/>
      </c>
      <c r="G4243" s="315"/>
    </row>
    <row r="4244" spans="1:7" x14ac:dyDescent="0.25">
      <c r="A4244" s="339" t="str">
        <f t="shared" si="124"/>
        <v>I.3.1.1.01.0064</v>
      </c>
      <c r="B4244" s="319">
        <v>4</v>
      </c>
      <c r="C4244" s="319" t="str">
        <f>IFERROR(VLOOKUP(A4244,[3]DOORSCRIEFT!$A$2:$G$8551,2,FALSE),"")</f>
        <v/>
      </c>
      <c r="D4244" s="318" t="str">
        <f>IFERROR(VLOOKUP(A4244,[3]DOORSCRIEFT!$A$2:$G$8551,3,FALSE),"")</f>
        <v/>
      </c>
      <c r="E4244" s="317" t="str">
        <f>IFERROR(VLOOKUP(A4244,[3]DOORSCRIEFT!$A$2:$G$8551,4,FALSE),"")</f>
        <v/>
      </c>
      <c r="F4244" s="316" t="str">
        <f>IFERROR(VLOOKUP(A4244,[3]DOORSCRIEFT!$A$2:$G$8551,6,FALSE),"")</f>
        <v/>
      </c>
      <c r="G4244" s="315"/>
    </row>
    <row r="4245" spans="1:7" x14ac:dyDescent="0.25">
      <c r="A4245" s="339" t="str">
        <f t="shared" si="124"/>
        <v>I.3.1.1.01.0065</v>
      </c>
      <c r="B4245" s="319">
        <v>5</v>
      </c>
      <c r="C4245" s="319" t="str">
        <f>IFERROR(VLOOKUP(A4245,[3]DOORSCRIEFT!$A$2:$G$8551,2,FALSE),"")</f>
        <v/>
      </c>
      <c r="D4245" s="318" t="str">
        <f>IFERROR(VLOOKUP(A4245,[3]DOORSCRIEFT!$A$2:$G$8551,3,FALSE),"")</f>
        <v/>
      </c>
      <c r="E4245" s="317" t="str">
        <f>IFERROR(VLOOKUP(A4245,[3]DOORSCRIEFT!$A$2:$G$8551,4,FALSE),"")</f>
        <v/>
      </c>
      <c r="F4245" s="316" t="str">
        <f>IFERROR(VLOOKUP(A4245,[3]DOORSCRIEFT!$A$2:$G$8551,6,FALSE),"")</f>
        <v/>
      </c>
      <c r="G4245" s="315"/>
    </row>
    <row r="4246" spans="1:7" x14ac:dyDescent="0.25">
      <c r="A4246" s="339" t="str">
        <f t="shared" si="124"/>
        <v>I.3.1.1.01.0066</v>
      </c>
      <c r="B4246" s="319">
        <v>6</v>
      </c>
      <c r="C4246" s="319" t="str">
        <f>IFERROR(VLOOKUP(A4246,[3]DOORSCRIEFT!$A$2:$G$8551,2,FALSE),"")</f>
        <v/>
      </c>
      <c r="D4246" s="318" t="str">
        <f>IFERROR(VLOOKUP(A4246,[3]DOORSCRIEFT!$A$2:$G$8551,3,FALSE),"")</f>
        <v/>
      </c>
      <c r="E4246" s="317" t="str">
        <f>IFERROR(VLOOKUP(A4246,[3]DOORSCRIEFT!$A$2:$G$8551,4,FALSE),"")</f>
        <v/>
      </c>
      <c r="F4246" s="316" t="str">
        <f>IFERROR(VLOOKUP(A4246,[3]DOORSCRIEFT!$A$2:$G$8551,6,FALSE),"")</f>
        <v/>
      </c>
      <c r="G4246" s="315"/>
    </row>
    <row r="4247" spans="1:7" x14ac:dyDescent="0.25">
      <c r="A4247" s="339" t="str">
        <f t="shared" si="124"/>
        <v>I.3.1.1.01.0067</v>
      </c>
      <c r="B4247" s="319">
        <v>7</v>
      </c>
      <c r="C4247" s="319" t="str">
        <f>IFERROR(VLOOKUP(A4247,[3]DOORSCRIEFT!$A$2:$G$8551,2,FALSE),"")</f>
        <v/>
      </c>
      <c r="D4247" s="318" t="str">
        <f>IFERROR(VLOOKUP(A4247,[3]DOORSCRIEFT!$A$2:$G$8551,3,FALSE),"")</f>
        <v/>
      </c>
      <c r="E4247" s="317" t="str">
        <f>IFERROR(VLOOKUP(A4247,[3]DOORSCRIEFT!$A$2:$G$8551,4,FALSE),"")</f>
        <v/>
      </c>
      <c r="F4247" s="316" t="str">
        <f>IFERROR(VLOOKUP(A4247,[3]DOORSCRIEFT!$A$2:$G$8551,6,FALSE),"")</f>
        <v/>
      </c>
      <c r="G4247" s="315"/>
    </row>
    <row r="4248" spans="1:7" x14ac:dyDescent="0.25">
      <c r="A4248" s="339" t="str">
        <f t="shared" si="124"/>
        <v>I.3.1.1.01.0068</v>
      </c>
      <c r="B4248" s="319">
        <v>8</v>
      </c>
      <c r="C4248" s="319" t="str">
        <f>IFERROR(VLOOKUP(A4248,[3]DOORSCRIEFT!$A$2:$G$8551,2,FALSE),"")</f>
        <v/>
      </c>
      <c r="D4248" s="318" t="str">
        <f>IFERROR(VLOOKUP(A4248,[3]DOORSCRIEFT!$A$2:$G$8551,3,FALSE),"")</f>
        <v/>
      </c>
      <c r="E4248" s="317" t="str">
        <f>IFERROR(VLOOKUP(A4248,[3]DOORSCRIEFT!$A$2:$G$8551,4,FALSE),"")</f>
        <v/>
      </c>
      <c r="F4248" s="316" t="str">
        <f>IFERROR(VLOOKUP(A4248,[3]DOORSCRIEFT!$A$2:$G$8551,6,FALSE),"")</f>
        <v/>
      </c>
      <c r="G4248" s="315"/>
    </row>
    <row r="4249" spans="1:7" x14ac:dyDescent="0.25">
      <c r="A4249" s="339" t="str">
        <f t="shared" si="124"/>
        <v>I.3.1.1.01.0069</v>
      </c>
      <c r="B4249" s="319">
        <v>9</v>
      </c>
      <c r="C4249" s="319" t="str">
        <f>IFERROR(VLOOKUP(A4249,[3]DOORSCRIEFT!$A$2:$G$8551,2,FALSE),"")</f>
        <v/>
      </c>
      <c r="D4249" s="318" t="str">
        <f>IFERROR(VLOOKUP(A4249,[3]DOORSCRIEFT!$A$2:$G$8551,3,FALSE),"")</f>
        <v/>
      </c>
      <c r="E4249" s="317" t="str">
        <f>IFERROR(VLOOKUP(A4249,[3]DOORSCRIEFT!$A$2:$G$8551,4,FALSE),"")</f>
        <v/>
      </c>
      <c r="F4249" s="316" t="str">
        <f>IFERROR(VLOOKUP(A4249,[3]DOORSCRIEFT!$A$2:$G$8551,6,FALSE),"")</f>
        <v/>
      </c>
      <c r="G4249" s="315"/>
    </row>
    <row r="4250" spans="1:7" x14ac:dyDescent="0.25">
      <c r="A4250" s="339" t="str">
        <f t="shared" si="124"/>
        <v>I.3.1.1.01.00610</v>
      </c>
      <c r="B4250" s="319">
        <v>10</v>
      </c>
      <c r="C4250" s="319" t="str">
        <f>IFERROR(VLOOKUP(A4250,[3]DOORSCRIEFT!$A$2:$G$8551,2,FALSE),"")</f>
        <v/>
      </c>
      <c r="D4250" s="318" t="str">
        <f>IFERROR(VLOOKUP(A4250,[3]DOORSCRIEFT!$A$2:$G$8551,3,FALSE),"")</f>
        <v/>
      </c>
      <c r="E4250" s="317" t="str">
        <f>IFERROR(VLOOKUP(A4250,[3]DOORSCRIEFT!$A$2:$G$8551,4,FALSE),"")</f>
        <v/>
      </c>
      <c r="F4250" s="316" t="str">
        <f>IFERROR(VLOOKUP(A4250,[3]DOORSCRIEFT!$A$2:$G$8551,6,FALSE),"")</f>
        <v/>
      </c>
      <c r="G4250" s="315"/>
    </row>
    <row r="4251" spans="1:7" x14ac:dyDescent="0.25">
      <c r="A4251" s="339" t="str">
        <f t="shared" si="124"/>
        <v>I.3.1.1.01.00611</v>
      </c>
      <c r="B4251" s="319">
        <v>11</v>
      </c>
      <c r="C4251" s="319" t="str">
        <f>IFERROR(VLOOKUP(A4251,[3]DOORSCRIEFT!$A$2:$G$8551,2,FALSE),"")</f>
        <v/>
      </c>
      <c r="D4251" s="318" t="str">
        <f>IFERROR(VLOOKUP(A4251,[3]DOORSCRIEFT!$A$2:$G$8551,3,FALSE),"")</f>
        <v/>
      </c>
      <c r="E4251" s="317" t="str">
        <f>IFERROR(VLOOKUP(A4251,[3]DOORSCRIEFT!$A$2:$G$8551,4,FALSE),"")</f>
        <v/>
      </c>
      <c r="F4251" s="316" t="str">
        <f>IFERROR(VLOOKUP(A4251,[3]DOORSCRIEFT!$A$2:$G$8551,6,FALSE),"")</f>
        <v/>
      </c>
      <c r="G4251" s="315"/>
    </row>
    <row r="4252" spans="1:7" x14ac:dyDescent="0.25">
      <c r="A4252" s="339" t="str">
        <f t="shared" si="124"/>
        <v>I.3.1.1.01.00612</v>
      </c>
      <c r="B4252" s="319">
        <v>12</v>
      </c>
      <c r="C4252" s="319" t="str">
        <f>IFERROR(VLOOKUP(A4252,[3]DOORSCRIEFT!$A$2:$G$8551,2,FALSE),"")</f>
        <v/>
      </c>
      <c r="D4252" s="318" t="str">
        <f>IFERROR(VLOOKUP(A4252,[3]DOORSCRIEFT!$A$2:$G$8551,3,FALSE),"")</f>
        <v/>
      </c>
      <c r="E4252" s="317" t="str">
        <f>IFERROR(VLOOKUP(A4252,[3]DOORSCRIEFT!$A$2:$G$8551,4,FALSE),"")</f>
        <v/>
      </c>
      <c r="F4252" s="316" t="str">
        <f>IFERROR(VLOOKUP(A4252,[3]DOORSCRIEFT!$A$2:$G$8551,6,FALSE),"")</f>
        <v/>
      </c>
      <c r="G4252" s="315"/>
    </row>
    <row r="4253" spans="1:7" x14ac:dyDescent="0.25">
      <c r="A4253" s="339" t="str">
        <f t="shared" si="124"/>
        <v>I.3.1.1.01.00613</v>
      </c>
      <c r="B4253" s="319">
        <v>13</v>
      </c>
      <c r="C4253" s="319" t="str">
        <f>IFERROR(VLOOKUP(A4253,[3]DOORSCRIEFT!$A$2:$G$8551,2,FALSE),"")</f>
        <v/>
      </c>
      <c r="D4253" s="318" t="str">
        <f>IFERROR(VLOOKUP(A4253,[3]DOORSCRIEFT!$A$2:$G$8551,3,FALSE),"")</f>
        <v/>
      </c>
      <c r="E4253" s="317" t="str">
        <f>IFERROR(VLOOKUP(A4253,[3]DOORSCRIEFT!$A$2:$G$8551,4,FALSE),"")</f>
        <v/>
      </c>
      <c r="F4253" s="316" t="str">
        <f>IFERROR(VLOOKUP(A4253,[3]DOORSCRIEFT!$A$2:$G$8551,6,FALSE),"")</f>
        <v/>
      </c>
      <c r="G4253" s="315"/>
    </row>
    <row r="4254" spans="1:7" x14ac:dyDescent="0.25">
      <c r="A4254" s="339" t="str">
        <f t="shared" si="124"/>
        <v>I.3.1.1.01.00614</v>
      </c>
      <c r="B4254" s="319">
        <v>14</v>
      </c>
      <c r="C4254" s="319" t="str">
        <f>IFERROR(VLOOKUP(A4254,[3]DOORSCRIEFT!$A$2:$G$8551,2,FALSE),"")</f>
        <v/>
      </c>
      <c r="D4254" s="318" t="str">
        <f>IFERROR(VLOOKUP(A4254,[3]DOORSCRIEFT!$A$2:$G$8551,3,FALSE),"")</f>
        <v/>
      </c>
      <c r="E4254" s="317" t="str">
        <f>IFERROR(VLOOKUP(A4254,[3]DOORSCRIEFT!$A$2:$G$8551,4,FALSE),"")</f>
        <v/>
      </c>
      <c r="F4254" s="316" t="str">
        <f>IFERROR(VLOOKUP(A4254,[3]DOORSCRIEFT!$A$2:$G$8551,6,FALSE),"")</f>
        <v/>
      </c>
      <c r="G4254" s="315"/>
    </row>
    <row r="4255" spans="1:7" x14ac:dyDescent="0.25">
      <c r="A4255" s="339" t="str">
        <f t="shared" si="124"/>
        <v>I.3.1.1.01.00615</v>
      </c>
      <c r="B4255" s="319">
        <v>15</v>
      </c>
      <c r="C4255" s="319" t="str">
        <f>IFERROR(VLOOKUP(A4255,[3]DOORSCRIEFT!$A$2:$G$8551,2,FALSE),"")</f>
        <v/>
      </c>
      <c r="D4255" s="318" t="str">
        <f>IFERROR(VLOOKUP(A4255,[3]DOORSCRIEFT!$A$2:$G$8551,3,FALSE),"")</f>
        <v/>
      </c>
      <c r="E4255" s="317" t="str">
        <f>IFERROR(VLOOKUP(A4255,[3]DOORSCRIEFT!$A$2:$G$8551,4,FALSE),"")</f>
        <v/>
      </c>
      <c r="F4255" s="316" t="str">
        <f>IFERROR(VLOOKUP(A4255,[3]DOORSCRIEFT!$A$2:$G$8551,6,FALSE),"")</f>
        <v/>
      </c>
      <c r="G4255" s="315"/>
    </row>
    <row r="4256" spans="1:7" x14ac:dyDescent="0.25">
      <c r="A4256" s="339" t="str">
        <f t="shared" si="124"/>
        <v>I.3.1.1.01.00616</v>
      </c>
      <c r="B4256" s="319">
        <v>16</v>
      </c>
      <c r="C4256" s="319" t="str">
        <f>IFERROR(VLOOKUP(A4256,[3]DOORSCRIEFT!$A$2:$G$8551,2,FALSE),"")</f>
        <v/>
      </c>
      <c r="D4256" s="318" t="str">
        <f>IFERROR(VLOOKUP(A4256,[3]DOORSCRIEFT!$A$2:$G$8551,3,FALSE),"")</f>
        <v/>
      </c>
      <c r="E4256" s="317" t="str">
        <f>IFERROR(VLOOKUP(A4256,[3]DOORSCRIEFT!$A$2:$G$8551,4,FALSE),"")</f>
        <v/>
      </c>
      <c r="F4256" s="316" t="str">
        <f>IFERROR(VLOOKUP(A4256,[3]DOORSCRIEFT!$A$2:$G$8551,6,FALSE),"")</f>
        <v/>
      </c>
      <c r="G4256" s="315"/>
    </row>
    <row r="4257" spans="1:7" x14ac:dyDescent="0.25">
      <c r="A4257" s="339" t="str">
        <f t="shared" si="124"/>
        <v>I.3.1.1.01.00617</v>
      </c>
      <c r="B4257" s="319">
        <v>17</v>
      </c>
      <c r="C4257" s="319" t="str">
        <f>IFERROR(VLOOKUP(A4257,[3]DOORSCRIEFT!$A$2:$G$8551,2,FALSE),"")</f>
        <v/>
      </c>
      <c r="D4257" s="318" t="str">
        <f>IFERROR(VLOOKUP(A4257,[3]DOORSCRIEFT!$A$2:$G$8551,3,FALSE),"")</f>
        <v/>
      </c>
      <c r="E4257" s="317" t="str">
        <f>IFERROR(VLOOKUP(A4257,[3]DOORSCRIEFT!$A$2:$G$8551,4,FALSE),"")</f>
        <v/>
      </c>
      <c r="F4257" s="316" t="str">
        <f>IFERROR(VLOOKUP(A4257,[3]DOORSCRIEFT!$A$2:$G$8551,6,FALSE),"")</f>
        <v/>
      </c>
      <c r="G4257" s="315"/>
    </row>
    <row r="4258" spans="1:7" x14ac:dyDescent="0.25">
      <c r="A4258" s="339" t="str">
        <f t="shared" si="124"/>
        <v>I.3.1.1.01.00618</v>
      </c>
      <c r="B4258" s="319">
        <v>18</v>
      </c>
      <c r="C4258" s="319" t="str">
        <f>IFERROR(VLOOKUP(A4258,[3]DOORSCRIEFT!$A$2:$G$8551,2,FALSE),"")</f>
        <v/>
      </c>
      <c r="D4258" s="318" t="str">
        <f>IFERROR(VLOOKUP(A4258,[3]DOORSCRIEFT!$A$2:$G$8551,3,FALSE),"")</f>
        <v/>
      </c>
      <c r="E4258" s="317" t="str">
        <f>IFERROR(VLOOKUP(A4258,[3]DOORSCRIEFT!$A$2:$G$8551,4,FALSE),"")</f>
        <v/>
      </c>
      <c r="F4258" s="316" t="str">
        <f>IFERROR(VLOOKUP(A4258,[3]DOORSCRIEFT!$A$2:$G$8551,6,FALSE),"")</f>
        <v/>
      </c>
      <c r="G4258" s="315"/>
    </row>
    <row r="4259" spans="1:7" x14ac:dyDescent="0.25">
      <c r="A4259" s="339" t="str">
        <f t="shared" si="124"/>
        <v>I.3.1.1.01.00619</v>
      </c>
      <c r="B4259" s="319">
        <v>19</v>
      </c>
      <c r="C4259" s="319" t="str">
        <f>IFERROR(VLOOKUP(A4259,[3]DOORSCRIEFT!$A$2:$G$8551,2,FALSE),"")</f>
        <v/>
      </c>
      <c r="D4259" s="318" t="str">
        <f>IFERROR(VLOOKUP(A4259,[3]DOORSCRIEFT!$A$2:$G$8551,3,FALSE),"")</f>
        <v/>
      </c>
      <c r="E4259" s="317" t="str">
        <f>IFERROR(VLOOKUP(A4259,[3]DOORSCRIEFT!$A$2:$G$8551,4,FALSE),"")</f>
        <v/>
      </c>
      <c r="F4259" s="316" t="str">
        <f>IFERROR(VLOOKUP(A4259,[3]DOORSCRIEFT!$A$2:$G$8551,6,FALSE),"")</f>
        <v/>
      </c>
      <c r="G4259" s="315"/>
    </row>
    <row r="4260" spans="1:7" x14ac:dyDescent="0.25">
      <c r="A4260" s="339" t="str">
        <f t="shared" si="124"/>
        <v>I.3.1.1.01.00620</v>
      </c>
      <c r="B4260" s="319">
        <v>20</v>
      </c>
      <c r="C4260" s="319" t="str">
        <f>IFERROR(VLOOKUP(A4260,[3]DOORSCRIEFT!$A$2:$G$8551,2,FALSE),"")</f>
        <v/>
      </c>
      <c r="D4260" s="318" t="str">
        <f>IFERROR(VLOOKUP(A4260,[3]DOORSCRIEFT!$A$2:$G$8551,3,FALSE),"")</f>
        <v/>
      </c>
      <c r="E4260" s="317" t="str">
        <f>IFERROR(VLOOKUP(A4260,[3]DOORSCRIEFT!$A$2:$G$8551,4,FALSE),"")</f>
        <v/>
      </c>
      <c r="F4260" s="316" t="str">
        <f>IFERROR(VLOOKUP(A4260,[3]DOORSCRIEFT!$A$2:$G$8551,6,FALSE),"")</f>
        <v/>
      </c>
      <c r="G4260" s="315"/>
    </row>
    <row r="4261" spans="1:7" x14ac:dyDescent="0.25">
      <c r="A4261" s="339" t="str">
        <f t="shared" si="124"/>
        <v>I.3.1.1.01.00621</v>
      </c>
      <c r="B4261" s="319">
        <v>21</v>
      </c>
      <c r="C4261" s="319" t="str">
        <f>IFERROR(VLOOKUP(A4261,[3]DOORSCRIEFT!$A$2:$G$8551,2,FALSE),"")</f>
        <v/>
      </c>
      <c r="D4261" s="318" t="str">
        <f>IFERROR(VLOOKUP(A4261,[3]DOORSCRIEFT!$A$2:$G$8551,3,FALSE),"")</f>
        <v/>
      </c>
      <c r="E4261" s="317" t="str">
        <f>IFERROR(VLOOKUP(A4261,[3]DOORSCRIEFT!$A$2:$G$8551,4,FALSE),"")</f>
        <v/>
      </c>
      <c r="F4261" s="316" t="str">
        <f>IFERROR(VLOOKUP(A4261,[3]DOORSCRIEFT!$A$2:$G$8551,6,FALSE),"")</f>
        <v/>
      </c>
      <c r="G4261" s="315"/>
    </row>
    <row r="4262" spans="1:7" x14ac:dyDescent="0.25">
      <c r="A4262" s="339" t="str">
        <f t="shared" si="124"/>
        <v>I.3.1.1.01.00622</v>
      </c>
      <c r="B4262" s="319">
        <v>22</v>
      </c>
      <c r="C4262" s="319" t="str">
        <f>IFERROR(VLOOKUP(A4262,[3]DOORSCRIEFT!$A$2:$G$8551,2,FALSE),"")</f>
        <v/>
      </c>
      <c r="D4262" s="318" t="str">
        <f>IFERROR(VLOOKUP(A4262,[3]DOORSCRIEFT!$A$2:$G$8551,3,FALSE),"")</f>
        <v/>
      </c>
      <c r="E4262" s="317" t="str">
        <f>IFERROR(VLOOKUP(A4262,[3]DOORSCRIEFT!$A$2:$G$8551,4,FALSE),"")</f>
        <v/>
      </c>
      <c r="F4262" s="316" t="str">
        <f>IFERROR(VLOOKUP(A4262,[3]DOORSCRIEFT!$A$2:$G$8551,6,FALSE),"")</f>
        <v/>
      </c>
      <c r="G4262" s="315"/>
    </row>
    <row r="4263" spans="1:7" x14ac:dyDescent="0.25">
      <c r="A4263" s="339" t="str">
        <f t="shared" si="124"/>
        <v>I.3.1.1.01.00623</v>
      </c>
      <c r="B4263" s="319">
        <v>23</v>
      </c>
      <c r="C4263" s="319" t="str">
        <f>IFERROR(VLOOKUP(A4263,[3]DOORSCRIEFT!$A$2:$G$8551,2,FALSE),"")</f>
        <v/>
      </c>
      <c r="D4263" s="318" t="str">
        <f>IFERROR(VLOOKUP(A4263,[3]DOORSCRIEFT!$A$2:$G$8551,3,FALSE),"")</f>
        <v/>
      </c>
      <c r="E4263" s="317" t="str">
        <f>IFERROR(VLOOKUP(A4263,[3]DOORSCRIEFT!$A$2:$G$8551,4,FALSE),"")</f>
        <v/>
      </c>
      <c r="F4263" s="316" t="str">
        <f>IFERROR(VLOOKUP(A4263,[3]DOORSCRIEFT!$A$2:$G$8551,6,FALSE),"")</f>
        <v/>
      </c>
      <c r="G4263" s="315"/>
    </row>
    <row r="4264" spans="1:7" x14ac:dyDescent="0.25">
      <c r="A4264" s="339" t="str">
        <f t="shared" si="124"/>
        <v>I.3.1.1.01.00624</v>
      </c>
      <c r="B4264" s="319">
        <v>24</v>
      </c>
      <c r="C4264" s="319" t="str">
        <f>IFERROR(VLOOKUP(A4264,[3]DOORSCRIEFT!$A$2:$G$8551,2,FALSE),"")</f>
        <v/>
      </c>
      <c r="D4264" s="318" t="str">
        <f>IFERROR(VLOOKUP(A4264,[3]DOORSCRIEFT!$A$2:$G$8551,3,FALSE),"")</f>
        <v/>
      </c>
      <c r="E4264" s="317" t="str">
        <f>IFERROR(VLOOKUP(A4264,[3]DOORSCRIEFT!$A$2:$G$8551,4,FALSE),"")</f>
        <v/>
      </c>
      <c r="F4264" s="316" t="str">
        <f>IFERROR(VLOOKUP(A4264,[3]DOORSCRIEFT!$A$2:$G$8551,6,FALSE),"")</f>
        <v/>
      </c>
      <c r="G4264" s="315"/>
    </row>
    <row r="4265" spans="1:7" x14ac:dyDescent="0.25">
      <c r="A4265" s="339" t="str">
        <f t="shared" si="124"/>
        <v>I.3.1.1.01.00625</v>
      </c>
      <c r="B4265" s="319">
        <v>25</v>
      </c>
      <c r="C4265" s="319" t="str">
        <f>IFERROR(VLOOKUP(A4265,[3]DOORSCRIEFT!$A$2:$G$8551,2,FALSE),"")</f>
        <v/>
      </c>
      <c r="D4265" s="318" t="str">
        <f>IFERROR(VLOOKUP(A4265,[3]DOORSCRIEFT!$A$2:$G$8551,3,FALSE),"")</f>
        <v/>
      </c>
      <c r="E4265" s="317" t="str">
        <f>IFERROR(VLOOKUP(A4265,[3]DOORSCRIEFT!$A$2:$G$8551,4,FALSE),"")</f>
        <v/>
      </c>
      <c r="F4265" s="316" t="str">
        <f>IFERROR(VLOOKUP(A4265,[3]DOORSCRIEFT!$A$2:$G$8551,6,FALSE),"")</f>
        <v/>
      </c>
      <c r="G4265" s="315"/>
    </row>
    <row r="4266" spans="1:7" x14ac:dyDescent="0.25">
      <c r="A4266" s="339" t="str">
        <f t="shared" si="124"/>
        <v>I.3.1.1.01.00626</v>
      </c>
      <c r="B4266" s="319">
        <v>26</v>
      </c>
      <c r="C4266" s="319" t="str">
        <f>IFERROR(VLOOKUP(A4266,[3]DOORSCRIEFT!$A$2:$G$8551,2,FALSE),"")</f>
        <v/>
      </c>
      <c r="D4266" s="318" t="str">
        <f>IFERROR(VLOOKUP(A4266,[3]DOORSCRIEFT!$A$2:$G$8551,3,FALSE),"")</f>
        <v/>
      </c>
      <c r="E4266" s="317" t="str">
        <f>IFERROR(VLOOKUP(A4266,[3]DOORSCRIEFT!$A$2:$G$8551,4,FALSE),"")</f>
        <v/>
      </c>
      <c r="F4266" s="316" t="str">
        <f>IFERROR(VLOOKUP(A4266,[3]DOORSCRIEFT!$A$2:$G$8551,6,FALSE),"")</f>
        <v/>
      </c>
      <c r="G4266" s="315"/>
    </row>
    <row r="4267" spans="1:7" x14ac:dyDescent="0.25">
      <c r="A4267" s="339" t="str">
        <f t="shared" si="124"/>
        <v>I.3.1.1.01.00627</v>
      </c>
      <c r="B4267" s="319">
        <v>27</v>
      </c>
      <c r="C4267" s="319" t="str">
        <f>IFERROR(VLOOKUP(A4267,[3]DOORSCRIEFT!$A$2:$G$8551,2,FALSE),"")</f>
        <v/>
      </c>
      <c r="D4267" s="318" t="str">
        <f>IFERROR(VLOOKUP(A4267,[3]DOORSCRIEFT!$A$2:$G$8551,3,FALSE),"")</f>
        <v/>
      </c>
      <c r="E4267" s="317" t="str">
        <f>IFERROR(VLOOKUP(A4267,[3]DOORSCRIEFT!$A$2:$G$8551,4,FALSE),"")</f>
        <v/>
      </c>
      <c r="F4267" s="316" t="str">
        <f>IFERROR(VLOOKUP(A4267,[3]DOORSCRIEFT!$A$2:$G$8551,6,FALSE),"")</f>
        <v/>
      </c>
      <c r="G4267" s="315"/>
    </row>
    <row r="4268" spans="1:7" x14ac:dyDescent="0.25">
      <c r="A4268" s="339" t="str">
        <f t="shared" si="124"/>
        <v>I.3.1.1.01.00628</v>
      </c>
      <c r="B4268" s="319">
        <v>28</v>
      </c>
      <c r="C4268" s="319" t="str">
        <f>IFERROR(VLOOKUP(A4268,[3]DOORSCRIEFT!$A$2:$G$8551,2,FALSE),"")</f>
        <v/>
      </c>
      <c r="D4268" s="318" t="str">
        <f>IFERROR(VLOOKUP(A4268,[3]DOORSCRIEFT!$A$2:$G$8551,3,FALSE),"")</f>
        <v/>
      </c>
      <c r="E4268" s="317" t="str">
        <f>IFERROR(VLOOKUP(A4268,[3]DOORSCRIEFT!$A$2:$G$8551,4,FALSE),"")</f>
        <v/>
      </c>
      <c r="F4268" s="316" t="str">
        <f>IFERROR(VLOOKUP(A4268,[3]DOORSCRIEFT!$A$2:$G$8551,6,FALSE),"")</f>
        <v/>
      </c>
      <c r="G4268" s="315"/>
    </row>
    <row r="4269" spans="1:7" x14ac:dyDescent="0.25">
      <c r="A4269" s="339" t="str">
        <f t="shared" si="124"/>
        <v>I.3.1.1.01.00629</v>
      </c>
      <c r="B4269" s="319">
        <v>29</v>
      </c>
      <c r="C4269" s="319" t="str">
        <f>IFERROR(VLOOKUP(A4269,[3]DOORSCRIEFT!$A$2:$G$8551,2,FALSE),"")</f>
        <v/>
      </c>
      <c r="D4269" s="318" t="str">
        <f>IFERROR(VLOOKUP(A4269,[3]DOORSCRIEFT!$A$2:$G$8551,3,FALSE),"")</f>
        <v/>
      </c>
      <c r="E4269" s="317" t="str">
        <f>IFERROR(VLOOKUP(A4269,[3]DOORSCRIEFT!$A$2:$G$8551,4,FALSE),"")</f>
        <v/>
      </c>
      <c r="F4269" s="316" t="str">
        <f>IFERROR(VLOOKUP(A4269,[3]DOORSCRIEFT!$A$2:$G$8551,6,FALSE),"")</f>
        <v/>
      </c>
      <c r="G4269" s="315"/>
    </row>
    <row r="4270" spans="1:7" x14ac:dyDescent="0.25">
      <c r="A4270" s="339" t="str">
        <f t="shared" si="124"/>
        <v>I.3.1.1.01.00630</v>
      </c>
      <c r="B4270" s="319">
        <v>30</v>
      </c>
      <c r="C4270" s="319" t="str">
        <f>IFERROR(VLOOKUP(A4270,[3]DOORSCRIEFT!$A$2:$G$8551,2,FALSE),"")</f>
        <v/>
      </c>
      <c r="D4270" s="318" t="str">
        <f>IFERROR(VLOOKUP(A4270,[3]DOORSCRIEFT!$A$2:$G$8551,3,FALSE),"")</f>
        <v/>
      </c>
      <c r="E4270" s="317" t="str">
        <f>IFERROR(VLOOKUP(A4270,[3]DOORSCRIEFT!$A$2:$G$8551,4,FALSE),"")</f>
        <v/>
      </c>
      <c r="F4270" s="316" t="str">
        <f>IFERROR(VLOOKUP(A4270,[3]DOORSCRIEFT!$A$2:$G$8551,6,FALSE),"")</f>
        <v/>
      </c>
      <c r="G4270" s="315"/>
    </row>
    <row r="4271" spans="1:7" x14ac:dyDescent="0.25">
      <c r="A4271" s="339" t="str">
        <f t="shared" si="124"/>
        <v>I.3.1.1.01.00631</v>
      </c>
      <c r="B4271" s="319">
        <v>31</v>
      </c>
      <c r="C4271" s="319" t="str">
        <f>IFERROR(VLOOKUP(A4271,[3]DOORSCRIEFT!$A$2:$G$8551,2,FALSE),"")</f>
        <v/>
      </c>
      <c r="D4271" s="318" t="str">
        <f>IFERROR(VLOOKUP(A4271,[3]DOORSCRIEFT!$A$2:$G$8551,3,FALSE),"")</f>
        <v/>
      </c>
      <c r="E4271" s="317" t="str">
        <f>IFERROR(VLOOKUP(A4271,[3]DOORSCRIEFT!$A$2:$G$8551,4,FALSE),"")</f>
        <v/>
      </c>
      <c r="F4271" s="316" t="str">
        <f>IFERROR(VLOOKUP(A4271,[3]DOORSCRIEFT!$A$2:$G$8551,6,FALSE),"")</f>
        <v/>
      </c>
      <c r="G4271" s="315"/>
    </row>
    <row r="4272" spans="1:7" x14ac:dyDescent="0.25">
      <c r="A4272" s="339" t="str">
        <f t="shared" si="124"/>
        <v>I.3.1.1.01.00632</v>
      </c>
      <c r="B4272" s="319">
        <v>32</v>
      </c>
      <c r="C4272" s="319" t="str">
        <f>IFERROR(VLOOKUP(A4272,[3]DOORSCRIEFT!$A$2:$G$8551,2,FALSE),"")</f>
        <v/>
      </c>
      <c r="D4272" s="318" t="str">
        <f>IFERROR(VLOOKUP(A4272,[3]DOORSCRIEFT!$A$2:$G$8551,3,FALSE),"")</f>
        <v/>
      </c>
      <c r="E4272" s="317" t="str">
        <f>IFERROR(VLOOKUP(A4272,[3]DOORSCRIEFT!$A$2:$G$8551,4,FALSE),"")</f>
        <v/>
      </c>
      <c r="F4272" s="316" t="str">
        <f>IFERROR(VLOOKUP(A4272,[3]DOORSCRIEFT!$A$2:$G$8551,6,FALSE),"")</f>
        <v/>
      </c>
      <c r="G4272" s="315"/>
    </row>
    <row r="4273" spans="1:7" x14ac:dyDescent="0.25">
      <c r="A4273" s="339" t="str">
        <f t="shared" si="124"/>
        <v>I.3.1.1.01.00633</v>
      </c>
      <c r="B4273" s="319">
        <v>33</v>
      </c>
      <c r="C4273" s="319" t="str">
        <f>IFERROR(VLOOKUP(A4273,[3]DOORSCRIEFT!$A$2:$G$8551,2,FALSE),"")</f>
        <v/>
      </c>
      <c r="D4273" s="318" t="str">
        <f>IFERROR(VLOOKUP(A4273,[3]DOORSCRIEFT!$A$2:$G$8551,3,FALSE),"")</f>
        <v/>
      </c>
      <c r="E4273" s="317" t="str">
        <f>IFERROR(VLOOKUP(A4273,[3]DOORSCRIEFT!$A$2:$G$8551,4,FALSE),"")</f>
        <v/>
      </c>
      <c r="F4273" s="316" t="str">
        <f>IFERROR(VLOOKUP(A4273,[3]DOORSCRIEFT!$A$2:$G$8551,6,FALSE),"")</f>
        <v/>
      </c>
      <c r="G4273" s="315"/>
    </row>
    <row r="4274" spans="1:7" x14ac:dyDescent="0.25">
      <c r="A4274" s="339" t="str">
        <f t="shared" si="124"/>
        <v>I.3.1.1.01.00634</v>
      </c>
      <c r="B4274" s="319">
        <v>34</v>
      </c>
      <c r="C4274" s="319" t="str">
        <f>IFERROR(VLOOKUP(A4274,[3]DOORSCRIEFT!$A$2:$G$8551,2,FALSE),"")</f>
        <v/>
      </c>
      <c r="D4274" s="318" t="str">
        <f>IFERROR(VLOOKUP(A4274,[3]DOORSCRIEFT!$A$2:$G$8551,3,FALSE),"")</f>
        <v/>
      </c>
      <c r="E4274" s="317" t="str">
        <f>IFERROR(VLOOKUP(A4274,[3]DOORSCRIEFT!$A$2:$G$8551,4,FALSE),"")</f>
        <v/>
      </c>
      <c r="F4274" s="316" t="str">
        <f>IFERROR(VLOOKUP(A4274,[3]DOORSCRIEFT!$A$2:$G$8551,6,FALSE),"")</f>
        <v/>
      </c>
      <c r="G4274" s="315"/>
    </row>
    <row r="4275" spans="1:7" ht="15.75" thickBot="1" x14ac:dyDescent="0.3">
      <c r="A4275" s="353" t="str">
        <f t="shared" si="124"/>
        <v>I.3.1.1.01.00635</v>
      </c>
      <c r="B4275" s="345">
        <v>35</v>
      </c>
      <c r="C4275" s="319" t="str">
        <f>IFERROR(VLOOKUP(A4275,[3]DOORSCRIEFT!$A$2:$G$8551,2,FALSE),"")</f>
        <v/>
      </c>
      <c r="D4275" s="318" t="str">
        <f>IFERROR(VLOOKUP(A4275,[3]DOORSCRIEFT!$A$2:$G$8551,3,FALSE),"")</f>
        <v/>
      </c>
      <c r="E4275" s="317" t="str">
        <f>IFERROR(VLOOKUP(A4275,[3]DOORSCRIEFT!$A$2:$G$8551,4,FALSE),"")</f>
        <v/>
      </c>
      <c r="F4275" s="316" t="str">
        <f>IFERROR(VLOOKUP(A4275,[3]DOORSCRIEFT!$A$2:$G$8551,6,FALSE),"")</f>
        <v/>
      </c>
      <c r="G4275" s="315"/>
    </row>
    <row r="4276" spans="1:7" ht="15.75" thickBot="1" x14ac:dyDescent="0.3">
      <c r="A4276" s="344"/>
      <c r="B4276" s="343"/>
      <c r="C4276" s="336"/>
      <c r="D4276" s="312"/>
      <c r="E4276" s="311" t="s">
        <v>644</v>
      </c>
      <c r="F4276" s="310">
        <f>SUM(F4241:F4275)</f>
        <v>0</v>
      </c>
      <c r="G4276" s="309">
        <f>SUM(G4241:G4275)</f>
        <v>0</v>
      </c>
    </row>
    <row r="4277" spans="1:7" x14ac:dyDescent="0.25">
      <c r="C4277" s="335"/>
    </row>
    <row r="4278" spans="1:7" x14ac:dyDescent="0.25">
      <c r="C4278" s="335"/>
    </row>
    <row r="4279" spans="1:7" ht="15.75" x14ac:dyDescent="0.25">
      <c r="C4279" s="334"/>
      <c r="D4279" s="333"/>
      <c r="E4279" s="332"/>
      <c r="F4279" s="327" t="s">
        <v>607</v>
      </c>
      <c r="G4279" s="327" t="s">
        <v>618</v>
      </c>
    </row>
    <row r="4280" spans="1:7" ht="15.75" x14ac:dyDescent="0.25">
      <c r="C4280" s="334"/>
      <c r="D4280" s="333"/>
      <c r="E4280" s="332"/>
      <c r="F4280" s="327" t="s">
        <v>601</v>
      </c>
      <c r="G4280" s="327" t="s">
        <v>389</v>
      </c>
    </row>
    <row r="4281" spans="1:7" x14ac:dyDescent="0.25">
      <c r="C4281" s="330"/>
      <c r="D4281" s="329"/>
      <c r="E4281" s="328"/>
      <c r="F4281" s="327" t="s">
        <v>651</v>
      </c>
      <c r="G4281" s="331">
        <f>[2]Sheet1!$D$116</f>
        <v>0</v>
      </c>
    </row>
    <row r="4282" spans="1:7" ht="15.75" thickBot="1" x14ac:dyDescent="0.3">
      <c r="C4282" s="330"/>
      <c r="D4282" s="329"/>
      <c r="E4282" s="328"/>
      <c r="F4282" s="327" t="s">
        <v>650</v>
      </c>
      <c r="G4282" s="326">
        <f>+F4301-G4281</f>
        <v>0</v>
      </c>
    </row>
    <row r="4283" spans="1:7" x14ac:dyDescent="0.25">
      <c r="A4283" s="571" t="s">
        <v>626</v>
      </c>
      <c r="B4283" s="573" t="s">
        <v>606</v>
      </c>
      <c r="C4283" s="588" t="s">
        <v>649</v>
      </c>
      <c r="D4283" s="577" t="s">
        <v>648</v>
      </c>
      <c r="E4283" s="577" t="s">
        <v>647</v>
      </c>
      <c r="F4283" s="577" t="s">
        <v>646</v>
      </c>
      <c r="G4283" s="580" t="s">
        <v>645</v>
      </c>
    </row>
    <row r="4284" spans="1:7" ht="15.75" thickBot="1" x14ac:dyDescent="0.3">
      <c r="A4284" s="572"/>
      <c r="B4284" s="574"/>
      <c r="C4284" s="589"/>
      <c r="D4284" s="586"/>
      <c r="E4284" s="586"/>
      <c r="F4284" s="586"/>
      <c r="G4284" s="587"/>
    </row>
    <row r="4285" spans="1:7" ht="15.75" thickBot="1" x14ac:dyDescent="0.3">
      <c r="A4285" s="325">
        <v>1</v>
      </c>
      <c r="B4285" s="324">
        <v>2</v>
      </c>
      <c r="C4285" s="324">
        <v>3</v>
      </c>
      <c r="D4285" s="324">
        <v>4</v>
      </c>
      <c r="E4285" s="324">
        <v>5</v>
      </c>
      <c r="F4285" s="324">
        <v>6</v>
      </c>
      <c r="G4285" s="323">
        <v>7</v>
      </c>
    </row>
    <row r="4286" spans="1:7" x14ac:dyDescent="0.25">
      <c r="A4286" s="339" t="str">
        <f t="shared" ref="A4286:A4300" si="125">$G$4279&amp;B4286</f>
        <v>I.3.1.1.02.0011</v>
      </c>
      <c r="B4286" s="339">
        <v>1</v>
      </c>
      <c r="C4286" s="319" t="str">
        <f>IFERROR(VLOOKUP(A4286,[3]DOORSCRIEFT!$A$2:$G$8551,2,FALSE),"")</f>
        <v/>
      </c>
      <c r="D4286" s="318" t="str">
        <f>IFERROR(VLOOKUP(A4286,[3]DOORSCRIEFT!$A$2:$G$8551,3,FALSE),"")</f>
        <v/>
      </c>
      <c r="E4286" s="317" t="str">
        <f>IFERROR(VLOOKUP(A4286,[3]DOORSCRIEFT!$A$2:$G$8551,4,FALSE),"")</f>
        <v/>
      </c>
      <c r="F4286" s="316" t="str">
        <f>IFERROR(VLOOKUP(A4286,[3]DOORSCRIEFT!$A$2:$G$8551,6,FALSE),"")</f>
        <v/>
      </c>
      <c r="G4286" s="322"/>
    </row>
    <row r="4287" spans="1:7" x14ac:dyDescent="0.25">
      <c r="A4287" s="339" t="str">
        <f t="shared" si="125"/>
        <v>I.3.1.1.02.0012</v>
      </c>
      <c r="B4287" s="319">
        <v>2</v>
      </c>
      <c r="C4287" s="319" t="str">
        <f>IFERROR(VLOOKUP(A4287,[3]DOORSCRIEFT!$A$2:$G$8551,2,FALSE),"")</f>
        <v/>
      </c>
      <c r="D4287" s="318" t="str">
        <f>IFERROR(VLOOKUP(A4287,[3]DOORSCRIEFT!$A$2:$G$8551,3,FALSE),"")</f>
        <v/>
      </c>
      <c r="E4287" s="317" t="str">
        <f>IFERROR(VLOOKUP(A4287,[3]DOORSCRIEFT!$A$2:$G$8551,4,FALSE),"")</f>
        <v/>
      </c>
      <c r="F4287" s="316" t="str">
        <f>IFERROR(VLOOKUP(A4287,[3]DOORSCRIEFT!$A$2:$G$8551,6,FALSE),"")</f>
        <v/>
      </c>
      <c r="G4287" s="315"/>
    </row>
    <row r="4288" spans="1:7" x14ac:dyDescent="0.25">
      <c r="A4288" s="339" t="str">
        <f t="shared" si="125"/>
        <v>I.3.1.1.02.0013</v>
      </c>
      <c r="B4288" s="319">
        <v>3</v>
      </c>
      <c r="C4288" s="319" t="str">
        <f>IFERROR(VLOOKUP(A4288,[3]DOORSCRIEFT!$A$2:$G$8551,2,FALSE),"")</f>
        <v/>
      </c>
      <c r="D4288" s="318" t="str">
        <f>IFERROR(VLOOKUP(A4288,[3]DOORSCRIEFT!$A$2:$G$8551,3,FALSE),"")</f>
        <v/>
      </c>
      <c r="E4288" s="317" t="str">
        <f>IFERROR(VLOOKUP(A4288,[3]DOORSCRIEFT!$A$2:$G$8551,4,FALSE),"")</f>
        <v/>
      </c>
      <c r="F4288" s="316" t="str">
        <f>IFERROR(VLOOKUP(A4288,[3]DOORSCRIEFT!$A$2:$G$8551,6,FALSE),"")</f>
        <v/>
      </c>
      <c r="G4288" s="315"/>
    </row>
    <row r="4289" spans="1:7" x14ac:dyDescent="0.25">
      <c r="A4289" s="339" t="str">
        <f t="shared" si="125"/>
        <v>I.3.1.1.02.0014</v>
      </c>
      <c r="B4289" s="319">
        <v>4</v>
      </c>
      <c r="C4289" s="319" t="str">
        <f>IFERROR(VLOOKUP(A4289,[3]DOORSCRIEFT!$A$2:$G$8551,2,FALSE),"")</f>
        <v/>
      </c>
      <c r="D4289" s="318" t="str">
        <f>IFERROR(VLOOKUP(A4289,[3]DOORSCRIEFT!$A$2:$G$8551,3,FALSE),"")</f>
        <v/>
      </c>
      <c r="E4289" s="317" t="str">
        <f>IFERROR(VLOOKUP(A4289,[3]DOORSCRIEFT!$A$2:$G$8551,4,FALSE),"")</f>
        <v/>
      </c>
      <c r="F4289" s="316" t="str">
        <f>IFERROR(VLOOKUP(A4289,[3]DOORSCRIEFT!$A$2:$G$8551,6,FALSE),"")</f>
        <v/>
      </c>
      <c r="G4289" s="315"/>
    </row>
    <row r="4290" spans="1:7" x14ac:dyDescent="0.25">
      <c r="A4290" s="339" t="str">
        <f t="shared" si="125"/>
        <v>I.3.1.1.02.0015</v>
      </c>
      <c r="B4290" s="319">
        <v>5</v>
      </c>
      <c r="C4290" s="319" t="str">
        <f>IFERROR(VLOOKUP(A4290,[3]DOORSCRIEFT!$A$2:$G$8551,2,FALSE),"")</f>
        <v/>
      </c>
      <c r="D4290" s="318" t="str">
        <f>IFERROR(VLOOKUP(A4290,[3]DOORSCRIEFT!$A$2:$G$8551,3,FALSE),"")</f>
        <v/>
      </c>
      <c r="E4290" s="317" t="str">
        <f>IFERROR(VLOOKUP(A4290,[3]DOORSCRIEFT!$A$2:$G$8551,4,FALSE),"")</f>
        <v/>
      </c>
      <c r="F4290" s="316" t="str">
        <f>IFERROR(VLOOKUP(A4290,[3]DOORSCRIEFT!$A$2:$G$8551,6,FALSE),"")</f>
        <v/>
      </c>
      <c r="G4290" s="315"/>
    </row>
    <row r="4291" spans="1:7" x14ac:dyDescent="0.25">
      <c r="A4291" s="339" t="str">
        <f t="shared" si="125"/>
        <v>I.3.1.1.02.0016</v>
      </c>
      <c r="B4291" s="319">
        <v>6</v>
      </c>
      <c r="C4291" s="319" t="str">
        <f>IFERROR(VLOOKUP(A4291,[3]DOORSCRIEFT!$A$2:$G$8551,2,FALSE),"")</f>
        <v/>
      </c>
      <c r="D4291" s="318" t="str">
        <f>IFERROR(VLOOKUP(A4291,[3]DOORSCRIEFT!$A$2:$G$8551,3,FALSE),"")</f>
        <v/>
      </c>
      <c r="E4291" s="317" t="str">
        <f>IFERROR(VLOOKUP(A4291,[3]DOORSCRIEFT!$A$2:$G$8551,4,FALSE),"")</f>
        <v/>
      </c>
      <c r="F4291" s="316" t="str">
        <f>IFERROR(VLOOKUP(A4291,[3]DOORSCRIEFT!$A$2:$G$8551,6,FALSE),"")</f>
        <v/>
      </c>
      <c r="G4291" s="315"/>
    </row>
    <row r="4292" spans="1:7" x14ac:dyDescent="0.25">
      <c r="A4292" s="339" t="str">
        <f t="shared" si="125"/>
        <v>I.3.1.1.02.0017</v>
      </c>
      <c r="B4292" s="319">
        <v>7</v>
      </c>
      <c r="C4292" s="319" t="str">
        <f>IFERROR(VLOOKUP(A4292,[3]DOORSCRIEFT!$A$2:$G$8551,2,FALSE),"")</f>
        <v/>
      </c>
      <c r="D4292" s="318" t="str">
        <f>IFERROR(VLOOKUP(A4292,[3]DOORSCRIEFT!$A$2:$G$8551,3,FALSE),"")</f>
        <v/>
      </c>
      <c r="E4292" s="317" t="str">
        <f>IFERROR(VLOOKUP(A4292,[3]DOORSCRIEFT!$A$2:$G$8551,4,FALSE),"")</f>
        <v/>
      </c>
      <c r="F4292" s="316" t="str">
        <f>IFERROR(VLOOKUP(A4292,[3]DOORSCRIEFT!$A$2:$G$8551,6,FALSE),"")</f>
        <v/>
      </c>
      <c r="G4292" s="315"/>
    </row>
    <row r="4293" spans="1:7" x14ac:dyDescent="0.25">
      <c r="A4293" s="339" t="str">
        <f t="shared" si="125"/>
        <v>I.3.1.1.02.0018</v>
      </c>
      <c r="B4293" s="319">
        <v>8</v>
      </c>
      <c r="C4293" s="319" t="str">
        <f>IFERROR(VLOOKUP(A4293,[3]DOORSCRIEFT!$A$2:$G$8551,2,FALSE),"")</f>
        <v/>
      </c>
      <c r="D4293" s="318" t="str">
        <f>IFERROR(VLOOKUP(A4293,[3]DOORSCRIEFT!$A$2:$G$8551,3,FALSE),"")</f>
        <v/>
      </c>
      <c r="E4293" s="317" t="str">
        <f>IFERROR(VLOOKUP(A4293,[3]DOORSCRIEFT!$A$2:$G$8551,4,FALSE),"")</f>
        <v/>
      </c>
      <c r="F4293" s="316" t="str">
        <f>IFERROR(VLOOKUP(A4293,[3]DOORSCRIEFT!$A$2:$G$8551,6,FALSE),"")</f>
        <v/>
      </c>
      <c r="G4293" s="315"/>
    </row>
    <row r="4294" spans="1:7" x14ac:dyDescent="0.25">
      <c r="A4294" s="339" t="str">
        <f t="shared" si="125"/>
        <v>I.3.1.1.02.0019</v>
      </c>
      <c r="B4294" s="319">
        <v>9</v>
      </c>
      <c r="C4294" s="319" t="str">
        <f>IFERROR(VLOOKUP(A4294,[3]DOORSCRIEFT!$A$2:$G$8551,2,FALSE),"")</f>
        <v/>
      </c>
      <c r="D4294" s="318" t="str">
        <f>IFERROR(VLOOKUP(A4294,[3]DOORSCRIEFT!$A$2:$G$8551,3,FALSE),"")</f>
        <v/>
      </c>
      <c r="E4294" s="317" t="str">
        <f>IFERROR(VLOOKUP(A4294,[3]DOORSCRIEFT!$A$2:$G$8551,4,FALSE),"")</f>
        <v/>
      </c>
      <c r="F4294" s="316" t="str">
        <f>IFERROR(VLOOKUP(A4294,[3]DOORSCRIEFT!$A$2:$G$8551,6,FALSE),"")</f>
        <v/>
      </c>
      <c r="G4294" s="315"/>
    </row>
    <row r="4295" spans="1:7" x14ac:dyDescent="0.25">
      <c r="A4295" s="339" t="str">
        <f t="shared" si="125"/>
        <v>I.3.1.1.02.00110</v>
      </c>
      <c r="B4295" s="319">
        <v>10</v>
      </c>
      <c r="C4295" s="319" t="str">
        <f>IFERROR(VLOOKUP(A4295,[3]DOORSCRIEFT!$A$2:$G$8551,2,FALSE),"")</f>
        <v/>
      </c>
      <c r="D4295" s="318" t="str">
        <f>IFERROR(VLOOKUP(A4295,[3]DOORSCRIEFT!$A$2:$G$8551,3,FALSE),"")</f>
        <v/>
      </c>
      <c r="E4295" s="317" t="str">
        <f>IFERROR(VLOOKUP(A4295,[3]DOORSCRIEFT!$A$2:$G$8551,4,FALSE),"")</f>
        <v/>
      </c>
      <c r="F4295" s="316" t="str">
        <f>IFERROR(VLOOKUP(A4295,[3]DOORSCRIEFT!$A$2:$G$8551,6,FALSE),"")</f>
        <v/>
      </c>
      <c r="G4295" s="315"/>
    </row>
    <row r="4296" spans="1:7" x14ac:dyDescent="0.25">
      <c r="A4296" s="339" t="str">
        <f t="shared" si="125"/>
        <v>I.3.1.1.02.00111</v>
      </c>
      <c r="B4296" s="319">
        <v>11</v>
      </c>
      <c r="C4296" s="319" t="str">
        <f>IFERROR(VLOOKUP(A4296,[3]DOORSCRIEFT!$A$2:$G$8551,2,FALSE),"")</f>
        <v/>
      </c>
      <c r="D4296" s="318" t="str">
        <f>IFERROR(VLOOKUP(A4296,[3]DOORSCRIEFT!$A$2:$G$8551,3,FALSE),"")</f>
        <v/>
      </c>
      <c r="E4296" s="317" t="str">
        <f>IFERROR(VLOOKUP(A4296,[3]DOORSCRIEFT!$A$2:$G$8551,4,FALSE),"")</f>
        <v/>
      </c>
      <c r="F4296" s="316" t="str">
        <f>IFERROR(VLOOKUP(A4296,[3]DOORSCRIEFT!$A$2:$G$8551,6,FALSE),"")</f>
        <v/>
      </c>
      <c r="G4296" s="315"/>
    </row>
    <row r="4297" spans="1:7" x14ac:dyDescent="0.25">
      <c r="A4297" s="339" t="str">
        <f t="shared" si="125"/>
        <v>I.3.1.1.02.00112</v>
      </c>
      <c r="B4297" s="319">
        <v>12</v>
      </c>
      <c r="C4297" s="319" t="str">
        <f>IFERROR(VLOOKUP(A4297,[3]DOORSCRIEFT!$A$2:$G$8551,2,FALSE),"")</f>
        <v/>
      </c>
      <c r="D4297" s="318" t="str">
        <f>IFERROR(VLOOKUP(A4297,[3]DOORSCRIEFT!$A$2:$G$8551,3,FALSE),"")</f>
        <v/>
      </c>
      <c r="E4297" s="317" t="str">
        <f>IFERROR(VLOOKUP(A4297,[3]DOORSCRIEFT!$A$2:$G$8551,4,FALSE),"")</f>
        <v/>
      </c>
      <c r="F4297" s="316" t="str">
        <f>IFERROR(VLOOKUP(A4297,[3]DOORSCRIEFT!$A$2:$G$8551,6,FALSE),"")</f>
        <v/>
      </c>
      <c r="G4297" s="315"/>
    </row>
    <row r="4298" spans="1:7" x14ac:dyDescent="0.25">
      <c r="A4298" s="339" t="str">
        <f t="shared" si="125"/>
        <v>I.3.1.1.02.00113</v>
      </c>
      <c r="B4298" s="319">
        <v>13</v>
      </c>
      <c r="C4298" s="319" t="str">
        <f>IFERROR(VLOOKUP(A4298,[3]DOORSCRIEFT!$A$2:$G$8551,2,FALSE),"")</f>
        <v/>
      </c>
      <c r="D4298" s="318" t="str">
        <f>IFERROR(VLOOKUP(A4298,[3]DOORSCRIEFT!$A$2:$G$8551,3,FALSE),"")</f>
        <v/>
      </c>
      <c r="E4298" s="317" t="str">
        <f>IFERROR(VLOOKUP(A4298,[3]DOORSCRIEFT!$A$2:$G$8551,4,FALSE),"")</f>
        <v/>
      </c>
      <c r="F4298" s="316" t="str">
        <f>IFERROR(VLOOKUP(A4298,[3]DOORSCRIEFT!$A$2:$G$8551,6,FALSE),"")</f>
        <v/>
      </c>
      <c r="G4298" s="315"/>
    </row>
    <row r="4299" spans="1:7" x14ac:dyDescent="0.25">
      <c r="A4299" s="339" t="str">
        <f t="shared" si="125"/>
        <v>I.3.1.1.02.00114</v>
      </c>
      <c r="B4299" s="319">
        <v>14</v>
      </c>
      <c r="C4299" s="319" t="str">
        <f>IFERROR(VLOOKUP(A4299,[3]DOORSCRIEFT!$A$2:$G$8551,2,FALSE),"")</f>
        <v/>
      </c>
      <c r="D4299" s="318" t="str">
        <f>IFERROR(VLOOKUP(A4299,[3]DOORSCRIEFT!$A$2:$G$8551,3,FALSE),"")</f>
        <v/>
      </c>
      <c r="E4299" s="317" t="str">
        <f>IFERROR(VLOOKUP(A4299,[3]DOORSCRIEFT!$A$2:$G$8551,4,FALSE),"")</f>
        <v/>
      </c>
      <c r="F4299" s="316" t="str">
        <f>IFERROR(VLOOKUP(A4299,[3]DOORSCRIEFT!$A$2:$G$8551,6,FALSE),"")</f>
        <v/>
      </c>
      <c r="G4299" s="315"/>
    </row>
    <row r="4300" spans="1:7" ht="15.75" thickBot="1" x14ac:dyDescent="0.3">
      <c r="A4300" s="339" t="str">
        <f t="shared" si="125"/>
        <v>I.3.1.1.02.00115</v>
      </c>
      <c r="B4300" s="345">
        <v>15</v>
      </c>
      <c r="C4300" s="319" t="str">
        <f>IFERROR(VLOOKUP(A4300,[3]DOORSCRIEFT!$A$2:$G$8551,2,FALSE),"")</f>
        <v/>
      </c>
      <c r="D4300" s="318" t="str">
        <f>IFERROR(VLOOKUP(A4300,[3]DOORSCRIEFT!$A$2:$G$8551,3,FALSE),"")</f>
        <v/>
      </c>
      <c r="E4300" s="317" t="str">
        <f>IFERROR(VLOOKUP(A4300,[3]DOORSCRIEFT!$A$2:$G$8551,4,FALSE),"")</f>
        <v/>
      </c>
      <c r="F4300" s="316" t="str">
        <f>IFERROR(VLOOKUP(A4300,[3]DOORSCRIEFT!$A$2:$G$8551,6,FALSE),"")</f>
        <v/>
      </c>
      <c r="G4300" s="315"/>
    </row>
    <row r="4301" spans="1:7" ht="15.75" thickBot="1" x14ac:dyDescent="0.3">
      <c r="A4301" s="344"/>
      <c r="B4301" s="343"/>
      <c r="C4301" s="336"/>
      <c r="D4301" s="312"/>
      <c r="E4301" s="311" t="s">
        <v>644</v>
      </c>
      <c r="F4301" s="310">
        <f>SUM(F4286:F4300)</f>
        <v>0</v>
      </c>
      <c r="G4301" s="309">
        <f>SUM(G4286:G4300)</f>
        <v>0</v>
      </c>
    </row>
    <row r="4302" spans="1:7" x14ac:dyDescent="0.25">
      <c r="C4302" s="335"/>
    </row>
    <row r="4303" spans="1:7" x14ac:dyDescent="0.25">
      <c r="C4303" s="335"/>
    </row>
    <row r="4304" spans="1:7" ht="15.75" x14ac:dyDescent="0.25">
      <c r="C4304" s="334"/>
      <c r="D4304" s="333"/>
      <c r="E4304" s="332"/>
      <c r="F4304" s="327" t="s">
        <v>607</v>
      </c>
      <c r="G4304" s="327" t="s">
        <v>619</v>
      </c>
    </row>
    <row r="4305" spans="1:7" ht="15.75" x14ac:dyDescent="0.25">
      <c r="C4305" s="334"/>
      <c r="D4305" s="333"/>
      <c r="E4305" s="332"/>
      <c r="F4305" s="327" t="s">
        <v>601</v>
      </c>
      <c r="G4305" s="327" t="s">
        <v>387</v>
      </c>
    </row>
    <row r="4306" spans="1:7" x14ac:dyDescent="0.25">
      <c r="C4306" s="330"/>
      <c r="D4306" s="329"/>
      <c r="E4306" s="328"/>
      <c r="F4306" s="327" t="s">
        <v>651</v>
      </c>
      <c r="G4306" s="331">
        <f>[2]Sheet1!$D$117</f>
        <v>0</v>
      </c>
    </row>
    <row r="4307" spans="1:7" ht="15.75" thickBot="1" x14ac:dyDescent="0.3">
      <c r="C4307" s="330"/>
      <c r="D4307" s="329"/>
      <c r="E4307" s="328"/>
      <c r="F4307" s="327" t="s">
        <v>650</v>
      </c>
      <c r="G4307" s="326">
        <f>+F4326-G4306</f>
        <v>0</v>
      </c>
    </row>
    <row r="4308" spans="1:7" x14ac:dyDescent="0.25">
      <c r="A4308" s="573" t="s">
        <v>626</v>
      </c>
      <c r="B4308" s="573" t="s">
        <v>606</v>
      </c>
      <c r="C4308" s="588" t="s">
        <v>649</v>
      </c>
      <c r="D4308" s="577" t="s">
        <v>648</v>
      </c>
      <c r="E4308" s="577" t="s">
        <v>647</v>
      </c>
      <c r="F4308" s="577" t="s">
        <v>646</v>
      </c>
      <c r="G4308" s="580" t="s">
        <v>645</v>
      </c>
    </row>
    <row r="4309" spans="1:7" ht="15.75" thickBot="1" x14ac:dyDescent="0.3">
      <c r="A4309" s="574"/>
      <c r="B4309" s="574"/>
      <c r="C4309" s="589"/>
      <c r="D4309" s="586"/>
      <c r="E4309" s="586"/>
      <c r="F4309" s="586"/>
      <c r="G4309" s="587"/>
    </row>
    <row r="4310" spans="1:7" ht="15.75" thickBot="1" x14ac:dyDescent="0.3">
      <c r="A4310" s="325">
        <v>1</v>
      </c>
      <c r="B4310" s="324">
        <v>2</v>
      </c>
      <c r="C4310" s="324">
        <v>3</v>
      </c>
      <c r="D4310" s="324">
        <v>4</v>
      </c>
      <c r="E4310" s="324">
        <v>5</v>
      </c>
      <c r="F4310" s="324">
        <v>6</v>
      </c>
      <c r="G4310" s="323">
        <v>7</v>
      </c>
    </row>
    <row r="4311" spans="1:7" x14ac:dyDescent="0.25">
      <c r="A4311" s="339" t="str">
        <f t="shared" ref="A4311:A4325" si="126">$G$4304&amp;B4311</f>
        <v>I.3.1.1.02.0021</v>
      </c>
      <c r="B4311" s="339">
        <v>1</v>
      </c>
      <c r="C4311" s="319" t="str">
        <f>IFERROR(VLOOKUP(A4311,[3]DOORSCRIEFT!$A$2:$G$8551,2,FALSE),"")</f>
        <v/>
      </c>
      <c r="D4311" s="318" t="str">
        <f>IFERROR(VLOOKUP(A4311,[3]DOORSCRIEFT!$A$2:$G$8551,3,FALSE),"")</f>
        <v/>
      </c>
      <c r="E4311" s="317" t="str">
        <f>IFERROR(VLOOKUP(A4311,[3]DOORSCRIEFT!$A$2:$G$8551,4,FALSE),"")</f>
        <v/>
      </c>
      <c r="F4311" s="316" t="str">
        <f>IFERROR(VLOOKUP(A4311,[3]DOORSCRIEFT!$A$2:$G$8551,6,FALSE),"")</f>
        <v/>
      </c>
      <c r="G4311" s="322"/>
    </row>
    <row r="4312" spans="1:7" x14ac:dyDescent="0.25">
      <c r="A4312" s="339" t="str">
        <f t="shared" si="126"/>
        <v>I.3.1.1.02.0022</v>
      </c>
      <c r="B4312" s="319">
        <v>2</v>
      </c>
      <c r="C4312" s="319" t="str">
        <f>IFERROR(VLOOKUP(A4312,[3]DOORSCRIEFT!$A$2:$G$8551,2,FALSE),"")</f>
        <v/>
      </c>
      <c r="D4312" s="318" t="str">
        <f>IFERROR(VLOOKUP(A4312,[3]DOORSCRIEFT!$A$2:$G$8551,3,FALSE),"")</f>
        <v/>
      </c>
      <c r="E4312" s="317" t="str">
        <f>IFERROR(VLOOKUP(A4312,[3]DOORSCRIEFT!$A$2:$G$8551,4,FALSE),"")</f>
        <v/>
      </c>
      <c r="F4312" s="316" t="str">
        <f>IFERROR(VLOOKUP(A4312,[3]DOORSCRIEFT!$A$2:$G$8551,6,FALSE),"")</f>
        <v/>
      </c>
      <c r="G4312" s="315"/>
    </row>
    <row r="4313" spans="1:7" x14ac:dyDescent="0.25">
      <c r="A4313" s="339" t="str">
        <f t="shared" si="126"/>
        <v>I.3.1.1.02.0023</v>
      </c>
      <c r="B4313" s="319">
        <v>3</v>
      </c>
      <c r="C4313" s="319" t="str">
        <f>IFERROR(VLOOKUP(A4313,[3]DOORSCRIEFT!$A$2:$G$8551,2,FALSE),"")</f>
        <v/>
      </c>
      <c r="D4313" s="318" t="str">
        <f>IFERROR(VLOOKUP(A4313,[3]DOORSCRIEFT!$A$2:$G$8551,3,FALSE),"")</f>
        <v/>
      </c>
      <c r="E4313" s="317" t="str">
        <f>IFERROR(VLOOKUP(A4313,[3]DOORSCRIEFT!$A$2:$G$8551,4,FALSE),"")</f>
        <v/>
      </c>
      <c r="F4313" s="316" t="str">
        <f>IFERROR(VLOOKUP(A4313,[3]DOORSCRIEFT!$A$2:$G$8551,6,FALSE),"")</f>
        <v/>
      </c>
      <c r="G4313" s="315"/>
    </row>
    <row r="4314" spans="1:7" x14ac:dyDescent="0.25">
      <c r="A4314" s="339" t="str">
        <f t="shared" si="126"/>
        <v>I.3.1.1.02.0024</v>
      </c>
      <c r="B4314" s="319">
        <v>4</v>
      </c>
      <c r="C4314" s="319" t="str">
        <f>IFERROR(VLOOKUP(A4314,[3]DOORSCRIEFT!$A$2:$G$8551,2,FALSE),"")</f>
        <v/>
      </c>
      <c r="D4314" s="318" t="str">
        <f>IFERROR(VLOOKUP(A4314,[3]DOORSCRIEFT!$A$2:$G$8551,3,FALSE),"")</f>
        <v/>
      </c>
      <c r="E4314" s="317" t="str">
        <f>IFERROR(VLOOKUP(A4314,[3]DOORSCRIEFT!$A$2:$G$8551,4,FALSE),"")</f>
        <v/>
      </c>
      <c r="F4314" s="316" t="str">
        <f>IFERROR(VLOOKUP(A4314,[3]DOORSCRIEFT!$A$2:$G$8551,6,FALSE),"")</f>
        <v/>
      </c>
      <c r="G4314" s="315"/>
    </row>
    <row r="4315" spans="1:7" x14ac:dyDescent="0.25">
      <c r="A4315" s="339" t="str">
        <f t="shared" si="126"/>
        <v>I.3.1.1.02.0025</v>
      </c>
      <c r="B4315" s="319">
        <v>5</v>
      </c>
      <c r="C4315" s="319" t="str">
        <f>IFERROR(VLOOKUP(A4315,[3]DOORSCRIEFT!$A$2:$G$8551,2,FALSE),"")</f>
        <v/>
      </c>
      <c r="D4315" s="318" t="str">
        <f>IFERROR(VLOOKUP(A4315,[3]DOORSCRIEFT!$A$2:$G$8551,3,FALSE),"")</f>
        <v/>
      </c>
      <c r="E4315" s="317" t="str">
        <f>IFERROR(VLOOKUP(A4315,[3]DOORSCRIEFT!$A$2:$G$8551,4,FALSE),"")</f>
        <v/>
      </c>
      <c r="F4315" s="316" t="str">
        <f>IFERROR(VLOOKUP(A4315,[3]DOORSCRIEFT!$A$2:$G$8551,6,FALSE),"")</f>
        <v/>
      </c>
      <c r="G4315" s="315"/>
    </row>
    <row r="4316" spans="1:7" x14ac:dyDescent="0.25">
      <c r="A4316" s="339" t="str">
        <f t="shared" si="126"/>
        <v>I.3.1.1.02.0026</v>
      </c>
      <c r="B4316" s="319">
        <v>6</v>
      </c>
      <c r="C4316" s="319" t="str">
        <f>IFERROR(VLOOKUP(A4316,[3]DOORSCRIEFT!$A$2:$G$8551,2,FALSE),"")</f>
        <v/>
      </c>
      <c r="D4316" s="318" t="str">
        <f>IFERROR(VLOOKUP(A4316,[3]DOORSCRIEFT!$A$2:$G$8551,3,FALSE),"")</f>
        <v/>
      </c>
      <c r="E4316" s="317" t="str">
        <f>IFERROR(VLOOKUP(A4316,[3]DOORSCRIEFT!$A$2:$G$8551,4,FALSE),"")</f>
        <v/>
      </c>
      <c r="F4316" s="316" t="str">
        <f>IFERROR(VLOOKUP(A4316,[3]DOORSCRIEFT!$A$2:$G$8551,6,FALSE),"")</f>
        <v/>
      </c>
      <c r="G4316" s="315"/>
    </row>
    <row r="4317" spans="1:7" x14ac:dyDescent="0.25">
      <c r="A4317" s="339" t="str">
        <f t="shared" si="126"/>
        <v>I.3.1.1.02.0027</v>
      </c>
      <c r="B4317" s="319">
        <v>7</v>
      </c>
      <c r="C4317" s="319" t="str">
        <f>IFERROR(VLOOKUP(A4317,[3]DOORSCRIEFT!$A$2:$G$8551,2,FALSE),"")</f>
        <v/>
      </c>
      <c r="D4317" s="318" t="str">
        <f>IFERROR(VLOOKUP(A4317,[3]DOORSCRIEFT!$A$2:$G$8551,3,FALSE),"")</f>
        <v/>
      </c>
      <c r="E4317" s="317" t="str">
        <f>IFERROR(VLOOKUP(A4317,[3]DOORSCRIEFT!$A$2:$G$8551,4,FALSE),"")</f>
        <v/>
      </c>
      <c r="F4317" s="316" t="str">
        <f>IFERROR(VLOOKUP(A4317,[3]DOORSCRIEFT!$A$2:$G$8551,6,FALSE),"")</f>
        <v/>
      </c>
      <c r="G4317" s="315"/>
    </row>
    <row r="4318" spans="1:7" x14ac:dyDescent="0.25">
      <c r="A4318" s="339" t="str">
        <f t="shared" si="126"/>
        <v>I.3.1.1.02.0028</v>
      </c>
      <c r="B4318" s="319">
        <v>8</v>
      </c>
      <c r="C4318" s="319" t="str">
        <f>IFERROR(VLOOKUP(A4318,[3]DOORSCRIEFT!$A$2:$G$8551,2,FALSE),"")</f>
        <v/>
      </c>
      <c r="D4318" s="318" t="str">
        <f>IFERROR(VLOOKUP(A4318,[3]DOORSCRIEFT!$A$2:$G$8551,3,FALSE),"")</f>
        <v/>
      </c>
      <c r="E4318" s="317" t="str">
        <f>IFERROR(VLOOKUP(A4318,[3]DOORSCRIEFT!$A$2:$G$8551,4,FALSE),"")</f>
        <v/>
      </c>
      <c r="F4318" s="316" t="str">
        <f>IFERROR(VLOOKUP(A4318,[3]DOORSCRIEFT!$A$2:$G$8551,6,FALSE),"")</f>
        <v/>
      </c>
      <c r="G4318" s="315"/>
    </row>
    <row r="4319" spans="1:7" x14ac:dyDescent="0.25">
      <c r="A4319" s="339" t="str">
        <f t="shared" si="126"/>
        <v>I.3.1.1.02.0029</v>
      </c>
      <c r="B4319" s="319">
        <v>9</v>
      </c>
      <c r="C4319" s="319" t="str">
        <f>IFERROR(VLOOKUP(A4319,[3]DOORSCRIEFT!$A$2:$G$8551,2,FALSE),"")</f>
        <v/>
      </c>
      <c r="D4319" s="318" t="str">
        <f>IFERROR(VLOOKUP(A4319,[3]DOORSCRIEFT!$A$2:$G$8551,3,FALSE),"")</f>
        <v/>
      </c>
      <c r="E4319" s="317" t="str">
        <f>IFERROR(VLOOKUP(A4319,[3]DOORSCRIEFT!$A$2:$G$8551,4,FALSE),"")</f>
        <v/>
      </c>
      <c r="F4319" s="316" t="str">
        <f>IFERROR(VLOOKUP(A4319,[3]DOORSCRIEFT!$A$2:$G$8551,6,FALSE),"")</f>
        <v/>
      </c>
      <c r="G4319" s="315"/>
    </row>
    <row r="4320" spans="1:7" x14ac:dyDescent="0.25">
      <c r="A4320" s="339" t="str">
        <f t="shared" si="126"/>
        <v>I.3.1.1.02.00210</v>
      </c>
      <c r="B4320" s="319">
        <v>10</v>
      </c>
      <c r="C4320" s="319" t="str">
        <f>IFERROR(VLOOKUP(A4320,[3]DOORSCRIEFT!$A$2:$G$8551,2,FALSE),"")</f>
        <v/>
      </c>
      <c r="D4320" s="318" t="str">
        <f>IFERROR(VLOOKUP(A4320,[3]DOORSCRIEFT!$A$2:$G$8551,3,FALSE),"")</f>
        <v/>
      </c>
      <c r="E4320" s="317" t="str">
        <f>IFERROR(VLOOKUP(A4320,[3]DOORSCRIEFT!$A$2:$G$8551,4,FALSE),"")</f>
        <v/>
      </c>
      <c r="F4320" s="316" t="str">
        <f>IFERROR(VLOOKUP(A4320,[3]DOORSCRIEFT!$A$2:$G$8551,6,FALSE),"")</f>
        <v/>
      </c>
      <c r="G4320" s="315"/>
    </row>
    <row r="4321" spans="1:7" x14ac:dyDescent="0.25">
      <c r="A4321" s="339" t="str">
        <f t="shared" si="126"/>
        <v>I.3.1.1.02.00211</v>
      </c>
      <c r="B4321" s="319">
        <v>11</v>
      </c>
      <c r="C4321" s="319" t="str">
        <f>IFERROR(VLOOKUP(A4321,[3]DOORSCRIEFT!$A$2:$G$8551,2,FALSE),"")</f>
        <v/>
      </c>
      <c r="D4321" s="318" t="str">
        <f>IFERROR(VLOOKUP(A4321,[3]DOORSCRIEFT!$A$2:$G$8551,3,FALSE),"")</f>
        <v/>
      </c>
      <c r="E4321" s="317" t="str">
        <f>IFERROR(VLOOKUP(A4321,[3]DOORSCRIEFT!$A$2:$G$8551,4,FALSE),"")</f>
        <v/>
      </c>
      <c r="F4321" s="316" t="str">
        <f>IFERROR(VLOOKUP(A4321,[3]DOORSCRIEFT!$A$2:$G$8551,6,FALSE),"")</f>
        <v/>
      </c>
      <c r="G4321" s="315"/>
    </row>
    <row r="4322" spans="1:7" x14ac:dyDescent="0.25">
      <c r="A4322" s="339" t="str">
        <f t="shared" si="126"/>
        <v>I.3.1.1.02.00212</v>
      </c>
      <c r="B4322" s="319">
        <v>12</v>
      </c>
      <c r="C4322" s="319" t="str">
        <f>IFERROR(VLOOKUP(A4322,[3]DOORSCRIEFT!$A$2:$G$8551,2,FALSE),"")</f>
        <v/>
      </c>
      <c r="D4322" s="318" t="str">
        <f>IFERROR(VLOOKUP(A4322,[3]DOORSCRIEFT!$A$2:$G$8551,3,FALSE),"")</f>
        <v/>
      </c>
      <c r="E4322" s="317" t="str">
        <f>IFERROR(VLOOKUP(A4322,[3]DOORSCRIEFT!$A$2:$G$8551,4,FALSE),"")</f>
        <v/>
      </c>
      <c r="F4322" s="316" t="str">
        <f>IFERROR(VLOOKUP(A4322,[3]DOORSCRIEFT!$A$2:$G$8551,6,FALSE),"")</f>
        <v/>
      </c>
      <c r="G4322" s="315"/>
    </row>
    <row r="4323" spans="1:7" x14ac:dyDescent="0.25">
      <c r="A4323" s="339" t="str">
        <f t="shared" si="126"/>
        <v>I.3.1.1.02.00213</v>
      </c>
      <c r="B4323" s="319">
        <v>13</v>
      </c>
      <c r="C4323" s="319" t="str">
        <f>IFERROR(VLOOKUP(A4323,[3]DOORSCRIEFT!$A$2:$G$8551,2,FALSE),"")</f>
        <v/>
      </c>
      <c r="D4323" s="318" t="str">
        <f>IFERROR(VLOOKUP(A4323,[3]DOORSCRIEFT!$A$2:$G$8551,3,FALSE),"")</f>
        <v/>
      </c>
      <c r="E4323" s="317" t="str">
        <f>IFERROR(VLOOKUP(A4323,[3]DOORSCRIEFT!$A$2:$G$8551,4,FALSE),"")</f>
        <v/>
      </c>
      <c r="F4323" s="316" t="str">
        <f>IFERROR(VLOOKUP(A4323,[3]DOORSCRIEFT!$A$2:$G$8551,6,FALSE),"")</f>
        <v/>
      </c>
      <c r="G4323" s="315"/>
    </row>
    <row r="4324" spans="1:7" x14ac:dyDescent="0.25">
      <c r="A4324" s="339" t="str">
        <f t="shared" si="126"/>
        <v>I.3.1.1.02.00214</v>
      </c>
      <c r="B4324" s="319">
        <v>14</v>
      </c>
      <c r="C4324" s="319" t="str">
        <f>IFERROR(VLOOKUP(A4324,[3]DOORSCRIEFT!$A$2:$G$8551,2,FALSE),"")</f>
        <v/>
      </c>
      <c r="D4324" s="318" t="str">
        <f>IFERROR(VLOOKUP(A4324,[3]DOORSCRIEFT!$A$2:$G$8551,3,FALSE),"")</f>
        <v/>
      </c>
      <c r="E4324" s="317" t="str">
        <f>IFERROR(VLOOKUP(A4324,[3]DOORSCRIEFT!$A$2:$G$8551,4,FALSE),"")</f>
        <v/>
      </c>
      <c r="F4324" s="316" t="str">
        <f>IFERROR(VLOOKUP(A4324,[3]DOORSCRIEFT!$A$2:$G$8551,6,FALSE),"")</f>
        <v/>
      </c>
      <c r="G4324" s="315"/>
    </row>
    <row r="4325" spans="1:7" ht="15.75" thickBot="1" x14ac:dyDescent="0.3">
      <c r="A4325" s="353" t="str">
        <f t="shared" si="126"/>
        <v>I.3.1.1.02.00215</v>
      </c>
      <c r="B4325" s="345">
        <v>15</v>
      </c>
      <c r="C4325" s="319" t="str">
        <f>IFERROR(VLOOKUP(A4325,[3]DOORSCRIEFT!$A$2:$G$8551,2,FALSE),"")</f>
        <v/>
      </c>
      <c r="D4325" s="318" t="str">
        <f>IFERROR(VLOOKUP(A4325,[3]DOORSCRIEFT!$A$2:$G$8551,3,FALSE),"")</f>
        <v/>
      </c>
      <c r="E4325" s="317" t="str">
        <f>IFERROR(VLOOKUP(A4325,[3]DOORSCRIEFT!$A$2:$G$8551,4,FALSE),"")</f>
        <v/>
      </c>
      <c r="F4325" s="316" t="str">
        <f>IFERROR(VLOOKUP(A4325,[3]DOORSCRIEFT!$A$2:$G$8551,6,FALSE),"")</f>
        <v/>
      </c>
      <c r="G4325" s="315"/>
    </row>
    <row r="4326" spans="1:7" ht="15.75" thickBot="1" x14ac:dyDescent="0.3">
      <c r="A4326" s="344"/>
      <c r="B4326" s="343"/>
      <c r="C4326" s="336"/>
      <c r="D4326" s="312"/>
      <c r="E4326" s="311" t="s">
        <v>644</v>
      </c>
      <c r="F4326" s="310">
        <f>SUM(F4311:F4325)</f>
        <v>0</v>
      </c>
      <c r="G4326" s="309">
        <f>SUM(G4311:G4325)</f>
        <v>0</v>
      </c>
    </row>
    <row r="4327" spans="1:7" x14ac:dyDescent="0.25">
      <c r="C4327" s="335"/>
    </row>
    <row r="4328" spans="1:7" x14ac:dyDescent="0.25">
      <c r="C4328" s="335"/>
    </row>
    <row r="4329" spans="1:7" ht="15.75" x14ac:dyDescent="0.25">
      <c r="C4329" s="334"/>
      <c r="D4329" s="333"/>
      <c r="E4329" s="332"/>
      <c r="F4329" s="327" t="s">
        <v>607</v>
      </c>
      <c r="G4329" s="327" t="s">
        <v>383</v>
      </c>
    </row>
    <row r="4330" spans="1:7" ht="15.75" x14ac:dyDescent="0.25">
      <c r="C4330" s="334"/>
      <c r="D4330" s="333"/>
      <c r="E4330" s="332"/>
      <c r="F4330" s="327" t="s">
        <v>601</v>
      </c>
      <c r="G4330" s="327" t="s">
        <v>145</v>
      </c>
    </row>
    <row r="4331" spans="1:7" x14ac:dyDescent="0.25">
      <c r="C4331" s="330"/>
      <c r="D4331" s="329"/>
      <c r="E4331" s="328"/>
      <c r="F4331" s="327" t="s">
        <v>651</v>
      </c>
      <c r="G4331" s="331">
        <f>[2]Sheet1!$D$121</f>
        <v>0</v>
      </c>
    </row>
    <row r="4332" spans="1:7" ht="15.75" thickBot="1" x14ac:dyDescent="0.3">
      <c r="C4332" s="330"/>
      <c r="D4332" s="329"/>
      <c r="E4332" s="328"/>
      <c r="F4332" s="327" t="s">
        <v>650</v>
      </c>
      <c r="G4332" s="326">
        <f>+F4351-G4331</f>
        <v>0</v>
      </c>
    </row>
    <row r="4333" spans="1:7" x14ac:dyDescent="0.25">
      <c r="A4333" s="594" t="s">
        <v>626</v>
      </c>
      <c r="B4333" s="584" t="s">
        <v>606</v>
      </c>
      <c r="C4333" s="588" t="s">
        <v>649</v>
      </c>
      <c r="D4333" s="577" t="s">
        <v>648</v>
      </c>
      <c r="E4333" s="577" t="s">
        <v>647</v>
      </c>
      <c r="F4333" s="577" t="s">
        <v>646</v>
      </c>
      <c r="G4333" s="580" t="s">
        <v>645</v>
      </c>
    </row>
    <row r="4334" spans="1:7" ht="15.75" thickBot="1" x14ac:dyDescent="0.3">
      <c r="A4334" s="595"/>
      <c r="B4334" s="585"/>
      <c r="C4334" s="589"/>
      <c r="D4334" s="586"/>
      <c r="E4334" s="586"/>
      <c r="F4334" s="586"/>
      <c r="G4334" s="587"/>
    </row>
    <row r="4335" spans="1:7" ht="15.75" thickBot="1" x14ac:dyDescent="0.3">
      <c r="A4335" s="325">
        <v>1</v>
      </c>
      <c r="B4335" s="324">
        <v>2</v>
      </c>
      <c r="C4335" s="324">
        <v>3</v>
      </c>
      <c r="D4335" s="324">
        <v>4</v>
      </c>
      <c r="E4335" s="324">
        <v>5</v>
      </c>
      <c r="F4335" s="324">
        <v>6</v>
      </c>
      <c r="G4335" s="323">
        <v>7</v>
      </c>
    </row>
    <row r="4336" spans="1:7" x14ac:dyDescent="0.25">
      <c r="A4336" s="339" t="str">
        <f t="shared" ref="A4336:A4350" si="127">$G$4329&amp;B4336</f>
        <v>I.3.1.2.01.0011</v>
      </c>
      <c r="B4336" s="339">
        <v>1</v>
      </c>
      <c r="C4336" s="319" t="str">
        <f>IFERROR(VLOOKUP(A4336,[3]DOORSCRIEFT!$A$2:$G$8551,2,FALSE),"")</f>
        <v/>
      </c>
      <c r="D4336" s="318" t="str">
        <f>IFERROR(VLOOKUP(A4336,[3]DOORSCRIEFT!$A$2:$G$8551,3,FALSE),"")</f>
        <v/>
      </c>
      <c r="E4336" s="317" t="str">
        <f>IFERROR(VLOOKUP(A4336,[3]DOORSCRIEFT!$A$2:$G$8551,4,FALSE),"")</f>
        <v/>
      </c>
      <c r="F4336" s="316" t="str">
        <f>IFERROR(VLOOKUP(A4336,[3]DOORSCRIEFT!$A$2:$G$8551,6,FALSE),"")</f>
        <v/>
      </c>
      <c r="G4336" s="322"/>
    </row>
    <row r="4337" spans="1:7" x14ac:dyDescent="0.25">
      <c r="A4337" s="319" t="str">
        <f t="shared" si="127"/>
        <v>I.3.1.2.01.0012</v>
      </c>
      <c r="B4337" s="319">
        <v>2</v>
      </c>
      <c r="C4337" s="319" t="str">
        <f>IFERROR(VLOOKUP(A4337,[3]DOORSCRIEFT!$A$2:$G$8551,2,FALSE),"")</f>
        <v/>
      </c>
      <c r="D4337" s="318" t="str">
        <f>IFERROR(VLOOKUP(A4337,[3]DOORSCRIEFT!$A$2:$G$8551,3,FALSE),"")</f>
        <v/>
      </c>
      <c r="E4337" s="317" t="str">
        <f>IFERROR(VLOOKUP(A4337,[3]DOORSCRIEFT!$A$2:$G$8551,4,FALSE),"")</f>
        <v/>
      </c>
      <c r="F4337" s="316" t="str">
        <f>IFERROR(VLOOKUP(A4337,[3]DOORSCRIEFT!$A$2:$G$8551,6,FALSE),"")</f>
        <v/>
      </c>
      <c r="G4337" s="315"/>
    </row>
    <row r="4338" spans="1:7" x14ac:dyDescent="0.25">
      <c r="A4338" s="319" t="str">
        <f t="shared" si="127"/>
        <v>I.3.1.2.01.0013</v>
      </c>
      <c r="B4338" s="319">
        <v>3</v>
      </c>
      <c r="C4338" s="319" t="str">
        <f>IFERROR(VLOOKUP(A4338,[3]DOORSCRIEFT!$A$2:$G$8551,2,FALSE),"")</f>
        <v/>
      </c>
      <c r="D4338" s="318" t="str">
        <f>IFERROR(VLOOKUP(A4338,[3]DOORSCRIEFT!$A$2:$G$8551,3,FALSE),"")</f>
        <v/>
      </c>
      <c r="E4338" s="317" t="str">
        <f>IFERROR(VLOOKUP(A4338,[3]DOORSCRIEFT!$A$2:$G$8551,4,FALSE),"")</f>
        <v/>
      </c>
      <c r="F4338" s="316" t="str">
        <f>IFERROR(VLOOKUP(A4338,[3]DOORSCRIEFT!$A$2:$G$8551,6,FALSE),"")</f>
        <v/>
      </c>
      <c r="G4338" s="315"/>
    </row>
    <row r="4339" spans="1:7" x14ac:dyDescent="0.25">
      <c r="A4339" s="319" t="str">
        <f t="shared" si="127"/>
        <v>I.3.1.2.01.0014</v>
      </c>
      <c r="B4339" s="319">
        <v>4</v>
      </c>
      <c r="C4339" s="319" t="str">
        <f>IFERROR(VLOOKUP(A4339,[3]DOORSCRIEFT!$A$2:$G$8551,2,FALSE),"")</f>
        <v/>
      </c>
      <c r="D4339" s="318" t="str">
        <f>IFERROR(VLOOKUP(A4339,[3]DOORSCRIEFT!$A$2:$G$8551,3,FALSE),"")</f>
        <v/>
      </c>
      <c r="E4339" s="317" t="str">
        <f>IFERROR(VLOOKUP(A4339,[3]DOORSCRIEFT!$A$2:$G$8551,4,FALSE),"")</f>
        <v/>
      </c>
      <c r="F4339" s="316" t="str">
        <f>IFERROR(VLOOKUP(A4339,[3]DOORSCRIEFT!$A$2:$G$8551,6,FALSE),"")</f>
        <v/>
      </c>
      <c r="G4339" s="315"/>
    </row>
    <row r="4340" spans="1:7" x14ac:dyDescent="0.25">
      <c r="A4340" s="319" t="str">
        <f t="shared" si="127"/>
        <v>I.3.1.2.01.0015</v>
      </c>
      <c r="B4340" s="319">
        <v>5</v>
      </c>
      <c r="C4340" s="319" t="str">
        <f>IFERROR(VLOOKUP(A4340,[3]DOORSCRIEFT!$A$2:$G$8551,2,FALSE),"")</f>
        <v/>
      </c>
      <c r="D4340" s="318" t="str">
        <f>IFERROR(VLOOKUP(A4340,[3]DOORSCRIEFT!$A$2:$G$8551,3,FALSE),"")</f>
        <v/>
      </c>
      <c r="E4340" s="317" t="str">
        <f>IFERROR(VLOOKUP(A4340,[3]DOORSCRIEFT!$A$2:$G$8551,4,FALSE),"")</f>
        <v/>
      </c>
      <c r="F4340" s="316" t="str">
        <f>IFERROR(VLOOKUP(A4340,[3]DOORSCRIEFT!$A$2:$G$8551,6,FALSE),"")</f>
        <v/>
      </c>
      <c r="G4340" s="315"/>
    </row>
    <row r="4341" spans="1:7" x14ac:dyDescent="0.25">
      <c r="A4341" s="319" t="str">
        <f t="shared" si="127"/>
        <v>I.3.1.2.01.0016</v>
      </c>
      <c r="B4341" s="319">
        <v>6</v>
      </c>
      <c r="C4341" s="319" t="str">
        <f>IFERROR(VLOOKUP(A4341,[3]DOORSCRIEFT!$A$2:$G$8551,2,FALSE),"")</f>
        <v/>
      </c>
      <c r="D4341" s="318" t="str">
        <f>IFERROR(VLOOKUP(A4341,[3]DOORSCRIEFT!$A$2:$G$8551,3,FALSE),"")</f>
        <v/>
      </c>
      <c r="E4341" s="317" t="str">
        <f>IFERROR(VLOOKUP(A4341,[3]DOORSCRIEFT!$A$2:$G$8551,4,FALSE),"")</f>
        <v/>
      </c>
      <c r="F4341" s="316" t="str">
        <f>IFERROR(VLOOKUP(A4341,[3]DOORSCRIEFT!$A$2:$G$8551,6,FALSE),"")</f>
        <v/>
      </c>
      <c r="G4341" s="315"/>
    </row>
    <row r="4342" spans="1:7" x14ac:dyDescent="0.25">
      <c r="A4342" s="319" t="str">
        <f t="shared" si="127"/>
        <v>I.3.1.2.01.0017</v>
      </c>
      <c r="B4342" s="319">
        <v>7</v>
      </c>
      <c r="C4342" s="319" t="str">
        <f>IFERROR(VLOOKUP(A4342,[3]DOORSCRIEFT!$A$2:$G$8551,2,FALSE),"")</f>
        <v/>
      </c>
      <c r="D4342" s="318" t="str">
        <f>IFERROR(VLOOKUP(A4342,[3]DOORSCRIEFT!$A$2:$G$8551,3,FALSE),"")</f>
        <v/>
      </c>
      <c r="E4342" s="317" t="str">
        <f>IFERROR(VLOOKUP(A4342,[3]DOORSCRIEFT!$A$2:$G$8551,4,FALSE),"")</f>
        <v/>
      </c>
      <c r="F4342" s="316" t="str">
        <f>IFERROR(VLOOKUP(A4342,[3]DOORSCRIEFT!$A$2:$G$8551,6,FALSE),"")</f>
        <v/>
      </c>
      <c r="G4342" s="315"/>
    </row>
    <row r="4343" spans="1:7" x14ac:dyDescent="0.25">
      <c r="A4343" s="319" t="str">
        <f t="shared" si="127"/>
        <v>I.3.1.2.01.0018</v>
      </c>
      <c r="B4343" s="319">
        <v>8</v>
      </c>
      <c r="C4343" s="319" t="str">
        <f>IFERROR(VLOOKUP(A4343,[3]DOORSCRIEFT!$A$2:$G$8551,2,FALSE),"")</f>
        <v/>
      </c>
      <c r="D4343" s="318" t="str">
        <f>IFERROR(VLOOKUP(A4343,[3]DOORSCRIEFT!$A$2:$G$8551,3,FALSE),"")</f>
        <v/>
      </c>
      <c r="E4343" s="317" t="str">
        <f>IFERROR(VLOOKUP(A4343,[3]DOORSCRIEFT!$A$2:$G$8551,4,FALSE),"")</f>
        <v/>
      </c>
      <c r="F4343" s="316" t="str">
        <f>IFERROR(VLOOKUP(A4343,[3]DOORSCRIEFT!$A$2:$G$8551,6,FALSE),"")</f>
        <v/>
      </c>
      <c r="G4343" s="315"/>
    </row>
    <row r="4344" spans="1:7" x14ac:dyDescent="0.25">
      <c r="A4344" s="319" t="str">
        <f t="shared" si="127"/>
        <v>I.3.1.2.01.0019</v>
      </c>
      <c r="B4344" s="319">
        <v>9</v>
      </c>
      <c r="C4344" s="319" t="str">
        <f>IFERROR(VLOOKUP(A4344,[3]DOORSCRIEFT!$A$2:$G$8551,2,FALSE),"")</f>
        <v/>
      </c>
      <c r="D4344" s="318" t="str">
        <f>IFERROR(VLOOKUP(A4344,[3]DOORSCRIEFT!$A$2:$G$8551,3,FALSE),"")</f>
        <v/>
      </c>
      <c r="E4344" s="317" t="str">
        <f>IFERROR(VLOOKUP(A4344,[3]DOORSCRIEFT!$A$2:$G$8551,4,FALSE),"")</f>
        <v/>
      </c>
      <c r="F4344" s="316" t="str">
        <f>IFERROR(VLOOKUP(A4344,[3]DOORSCRIEFT!$A$2:$G$8551,6,FALSE),"")</f>
        <v/>
      </c>
      <c r="G4344" s="315"/>
    </row>
    <row r="4345" spans="1:7" x14ac:dyDescent="0.25">
      <c r="A4345" s="319" t="str">
        <f t="shared" si="127"/>
        <v>I.3.1.2.01.00110</v>
      </c>
      <c r="B4345" s="319">
        <v>10</v>
      </c>
      <c r="C4345" s="319" t="str">
        <f>IFERROR(VLOOKUP(A4345,[3]DOORSCRIEFT!$A$2:$G$8551,2,FALSE),"")</f>
        <v/>
      </c>
      <c r="D4345" s="318" t="str">
        <f>IFERROR(VLOOKUP(A4345,[3]DOORSCRIEFT!$A$2:$G$8551,3,FALSE),"")</f>
        <v/>
      </c>
      <c r="E4345" s="317" t="str">
        <f>IFERROR(VLOOKUP(A4345,[3]DOORSCRIEFT!$A$2:$G$8551,4,FALSE),"")</f>
        <v/>
      </c>
      <c r="F4345" s="316" t="str">
        <f>IFERROR(VLOOKUP(A4345,[3]DOORSCRIEFT!$A$2:$G$8551,6,FALSE),"")</f>
        <v/>
      </c>
      <c r="G4345" s="315"/>
    </row>
    <row r="4346" spans="1:7" x14ac:dyDescent="0.25">
      <c r="A4346" s="319" t="str">
        <f t="shared" si="127"/>
        <v>I.3.1.2.01.00111</v>
      </c>
      <c r="B4346" s="319">
        <v>11</v>
      </c>
      <c r="C4346" s="319" t="str">
        <f>IFERROR(VLOOKUP(A4346,[3]DOORSCRIEFT!$A$2:$G$8551,2,FALSE),"")</f>
        <v/>
      </c>
      <c r="D4346" s="318" t="str">
        <f>IFERROR(VLOOKUP(A4346,[3]DOORSCRIEFT!$A$2:$G$8551,3,FALSE),"")</f>
        <v/>
      </c>
      <c r="E4346" s="317" t="str">
        <f>IFERROR(VLOOKUP(A4346,[3]DOORSCRIEFT!$A$2:$G$8551,4,FALSE),"")</f>
        <v/>
      </c>
      <c r="F4346" s="316" t="str">
        <f>IFERROR(VLOOKUP(A4346,[3]DOORSCRIEFT!$A$2:$G$8551,6,FALSE),"")</f>
        <v/>
      </c>
      <c r="G4346" s="315"/>
    </row>
    <row r="4347" spans="1:7" x14ac:dyDescent="0.25">
      <c r="A4347" s="319" t="str">
        <f t="shared" si="127"/>
        <v>I.3.1.2.01.00112</v>
      </c>
      <c r="B4347" s="319">
        <v>12</v>
      </c>
      <c r="C4347" s="319" t="str">
        <f>IFERROR(VLOOKUP(A4347,[3]DOORSCRIEFT!$A$2:$G$8551,2,FALSE),"")</f>
        <v/>
      </c>
      <c r="D4347" s="318" t="str">
        <f>IFERROR(VLOOKUP(A4347,[3]DOORSCRIEFT!$A$2:$G$8551,3,FALSE),"")</f>
        <v/>
      </c>
      <c r="E4347" s="317" t="str">
        <f>IFERROR(VLOOKUP(A4347,[3]DOORSCRIEFT!$A$2:$G$8551,4,FALSE),"")</f>
        <v/>
      </c>
      <c r="F4347" s="316" t="str">
        <f>IFERROR(VLOOKUP(A4347,[3]DOORSCRIEFT!$A$2:$G$8551,6,FALSE),"")</f>
        <v/>
      </c>
      <c r="G4347" s="315"/>
    </row>
    <row r="4348" spans="1:7" x14ac:dyDescent="0.25">
      <c r="A4348" s="319" t="str">
        <f t="shared" si="127"/>
        <v>I.3.1.2.01.00113</v>
      </c>
      <c r="B4348" s="319">
        <v>13</v>
      </c>
      <c r="C4348" s="319" t="str">
        <f>IFERROR(VLOOKUP(A4348,[3]DOORSCRIEFT!$A$2:$G$8551,2,FALSE),"")</f>
        <v/>
      </c>
      <c r="D4348" s="318" t="str">
        <f>IFERROR(VLOOKUP(A4348,[3]DOORSCRIEFT!$A$2:$G$8551,3,FALSE),"")</f>
        <v/>
      </c>
      <c r="E4348" s="317" t="str">
        <f>IFERROR(VLOOKUP(A4348,[3]DOORSCRIEFT!$A$2:$G$8551,4,FALSE),"")</f>
        <v/>
      </c>
      <c r="F4348" s="316" t="str">
        <f>IFERROR(VLOOKUP(A4348,[3]DOORSCRIEFT!$A$2:$G$8551,6,FALSE),"")</f>
        <v/>
      </c>
      <c r="G4348" s="315"/>
    </row>
    <row r="4349" spans="1:7" x14ac:dyDescent="0.25">
      <c r="A4349" s="319" t="str">
        <f t="shared" si="127"/>
        <v>I.3.1.2.01.00114</v>
      </c>
      <c r="B4349" s="319">
        <v>14</v>
      </c>
      <c r="C4349" s="319" t="str">
        <f>IFERROR(VLOOKUP(A4349,[3]DOORSCRIEFT!$A$2:$G$8551,2,FALSE),"")</f>
        <v/>
      </c>
      <c r="D4349" s="318" t="str">
        <f>IFERROR(VLOOKUP(A4349,[3]DOORSCRIEFT!$A$2:$G$8551,3,FALSE),"")</f>
        <v/>
      </c>
      <c r="E4349" s="317" t="str">
        <f>IFERROR(VLOOKUP(A4349,[3]DOORSCRIEFT!$A$2:$G$8551,4,FALSE),"")</f>
        <v/>
      </c>
      <c r="F4349" s="316" t="str">
        <f>IFERROR(VLOOKUP(A4349,[3]DOORSCRIEFT!$A$2:$G$8551,6,FALSE),"")</f>
        <v/>
      </c>
      <c r="G4349" s="315"/>
    </row>
    <row r="4350" spans="1:7" ht="15.75" thickBot="1" x14ac:dyDescent="0.3">
      <c r="A4350" s="345" t="str">
        <f t="shared" si="127"/>
        <v>I.3.1.2.01.00115</v>
      </c>
      <c r="B4350" s="345">
        <v>15</v>
      </c>
      <c r="C4350" s="319" t="str">
        <f>IFERROR(VLOOKUP(A4350,[3]DOORSCRIEFT!$A$2:$G$8551,2,FALSE),"")</f>
        <v/>
      </c>
      <c r="D4350" s="318" t="str">
        <f>IFERROR(VLOOKUP(A4350,[3]DOORSCRIEFT!$A$2:$G$8551,3,FALSE),"")</f>
        <v/>
      </c>
      <c r="E4350" s="317" t="str">
        <f>IFERROR(VLOOKUP(A4350,[3]DOORSCRIEFT!$A$2:$G$8551,4,FALSE),"")</f>
        <v/>
      </c>
      <c r="F4350" s="316" t="str">
        <f>IFERROR(VLOOKUP(A4350,[3]DOORSCRIEFT!$A$2:$G$8551,6,FALSE),"")</f>
        <v/>
      </c>
      <c r="G4350" s="315"/>
    </row>
    <row r="4351" spans="1:7" ht="15.75" thickBot="1" x14ac:dyDescent="0.3">
      <c r="A4351" s="344"/>
      <c r="B4351" s="343"/>
      <c r="C4351" s="336"/>
      <c r="D4351" s="312"/>
      <c r="E4351" s="311" t="s">
        <v>644</v>
      </c>
      <c r="F4351" s="310">
        <f>SUM(F4336:F4350)</f>
        <v>0</v>
      </c>
      <c r="G4351" s="309">
        <f>SUM(G4336:G4350)</f>
        <v>0</v>
      </c>
    </row>
    <row r="4352" spans="1:7" x14ac:dyDescent="0.25">
      <c r="C4352" s="335"/>
    </row>
    <row r="4353" spans="1:7" x14ac:dyDescent="0.25">
      <c r="C4353" s="335"/>
    </row>
    <row r="4354" spans="1:7" ht="15.75" x14ac:dyDescent="0.25">
      <c r="C4354" s="334"/>
      <c r="D4354" s="333"/>
      <c r="E4354" s="332"/>
      <c r="F4354" s="327" t="s">
        <v>607</v>
      </c>
      <c r="G4354" s="327" t="s">
        <v>381</v>
      </c>
    </row>
    <row r="4355" spans="1:7" ht="15.75" x14ac:dyDescent="0.25">
      <c r="C4355" s="334"/>
      <c r="D4355" s="333"/>
      <c r="E4355" s="332"/>
      <c r="F4355" s="327" t="s">
        <v>601</v>
      </c>
      <c r="G4355" s="327" t="s">
        <v>141</v>
      </c>
    </row>
    <row r="4356" spans="1:7" x14ac:dyDescent="0.25">
      <c r="C4356" s="330"/>
      <c r="D4356" s="329"/>
      <c r="E4356" s="328"/>
      <c r="F4356" s="327" t="s">
        <v>651</v>
      </c>
      <c r="G4356" s="331">
        <f>[2]Sheet1!$D$123</f>
        <v>0</v>
      </c>
    </row>
    <row r="4357" spans="1:7" ht="15.75" thickBot="1" x14ac:dyDescent="0.3">
      <c r="C4357" s="330"/>
      <c r="D4357" s="329"/>
      <c r="E4357" s="328"/>
      <c r="F4357" s="327" t="s">
        <v>650</v>
      </c>
      <c r="G4357" s="326">
        <f>+F4376-G4356</f>
        <v>0</v>
      </c>
    </row>
    <row r="4358" spans="1:7" x14ac:dyDescent="0.25">
      <c r="A4358" s="573" t="s">
        <v>626</v>
      </c>
      <c r="B4358" s="584" t="s">
        <v>606</v>
      </c>
      <c r="C4358" s="588" t="s">
        <v>649</v>
      </c>
      <c r="D4358" s="577" t="s">
        <v>648</v>
      </c>
      <c r="E4358" s="577" t="s">
        <v>647</v>
      </c>
      <c r="F4358" s="577" t="s">
        <v>646</v>
      </c>
      <c r="G4358" s="580" t="s">
        <v>645</v>
      </c>
    </row>
    <row r="4359" spans="1:7" ht="15.75" thickBot="1" x14ac:dyDescent="0.3">
      <c r="A4359" s="574"/>
      <c r="B4359" s="585"/>
      <c r="C4359" s="589"/>
      <c r="D4359" s="586"/>
      <c r="E4359" s="586"/>
      <c r="F4359" s="586"/>
      <c r="G4359" s="587"/>
    </row>
    <row r="4360" spans="1:7" ht="15.75" thickBot="1" x14ac:dyDescent="0.3">
      <c r="A4360" s="325">
        <v>1</v>
      </c>
      <c r="B4360" s="324">
        <v>2</v>
      </c>
      <c r="C4360" s="324">
        <v>3</v>
      </c>
      <c r="D4360" s="324">
        <v>4</v>
      </c>
      <c r="E4360" s="324">
        <v>5</v>
      </c>
      <c r="F4360" s="324">
        <v>6</v>
      </c>
      <c r="G4360" s="323">
        <v>7</v>
      </c>
    </row>
    <row r="4361" spans="1:7" x14ac:dyDescent="0.25">
      <c r="A4361" s="339" t="str">
        <f t="shared" ref="A4361:A4375" si="128">$G$4354&amp;B4361</f>
        <v>I.3.1.2.02.0011</v>
      </c>
      <c r="B4361" s="339">
        <v>1</v>
      </c>
      <c r="C4361" s="319" t="str">
        <f>IFERROR(VLOOKUP(A4361,[3]DOORSCRIEFT!$A$2:$G$8551,2,FALSE),"")</f>
        <v/>
      </c>
      <c r="D4361" s="318" t="str">
        <f>IFERROR(VLOOKUP(A4361,[3]DOORSCRIEFT!$A$2:$G$8551,3,FALSE),"")</f>
        <v/>
      </c>
      <c r="E4361" s="317" t="str">
        <f>IFERROR(VLOOKUP(A4361,[3]DOORSCRIEFT!$A$2:$G$8551,4,FALSE),"")</f>
        <v/>
      </c>
      <c r="F4361" s="316" t="str">
        <f>IFERROR(VLOOKUP(A4361,[3]DOORSCRIEFT!$A$2:$G$8551,6,FALSE),"")</f>
        <v/>
      </c>
      <c r="G4361" s="322"/>
    </row>
    <row r="4362" spans="1:7" x14ac:dyDescent="0.25">
      <c r="A4362" s="339" t="str">
        <f t="shared" si="128"/>
        <v>I.3.1.2.02.0012</v>
      </c>
      <c r="B4362" s="319">
        <v>2</v>
      </c>
      <c r="C4362" s="319" t="str">
        <f>IFERROR(VLOOKUP(A4362,[3]DOORSCRIEFT!$A$2:$G$8551,2,FALSE),"")</f>
        <v/>
      </c>
      <c r="D4362" s="318" t="str">
        <f>IFERROR(VLOOKUP(A4362,[3]DOORSCRIEFT!$A$2:$G$8551,3,FALSE),"")</f>
        <v/>
      </c>
      <c r="E4362" s="317" t="str">
        <f>IFERROR(VLOOKUP(A4362,[3]DOORSCRIEFT!$A$2:$G$8551,4,FALSE),"")</f>
        <v/>
      </c>
      <c r="F4362" s="316" t="str">
        <f>IFERROR(VLOOKUP(A4362,[3]DOORSCRIEFT!$A$2:$G$8551,6,FALSE),"")</f>
        <v/>
      </c>
      <c r="G4362" s="315"/>
    </row>
    <row r="4363" spans="1:7" x14ac:dyDescent="0.25">
      <c r="A4363" s="339" t="str">
        <f t="shared" si="128"/>
        <v>I.3.1.2.02.0013</v>
      </c>
      <c r="B4363" s="319">
        <v>3</v>
      </c>
      <c r="C4363" s="319" t="str">
        <f>IFERROR(VLOOKUP(A4363,[3]DOORSCRIEFT!$A$2:$G$8551,2,FALSE),"")</f>
        <v/>
      </c>
      <c r="D4363" s="318" t="str">
        <f>IFERROR(VLOOKUP(A4363,[3]DOORSCRIEFT!$A$2:$G$8551,3,FALSE),"")</f>
        <v/>
      </c>
      <c r="E4363" s="317" t="str">
        <f>IFERROR(VLOOKUP(A4363,[3]DOORSCRIEFT!$A$2:$G$8551,4,FALSE),"")</f>
        <v/>
      </c>
      <c r="F4363" s="316" t="str">
        <f>IFERROR(VLOOKUP(A4363,[3]DOORSCRIEFT!$A$2:$G$8551,6,FALSE),"")</f>
        <v/>
      </c>
      <c r="G4363" s="315"/>
    </row>
    <row r="4364" spans="1:7" x14ac:dyDescent="0.25">
      <c r="A4364" s="339" t="str">
        <f t="shared" si="128"/>
        <v>I.3.1.2.02.0014</v>
      </c>
      <c r="B4364" s="319">
        <v>4</v>
      </c>
      <c r="C4364" s="319" t="str">
        <f>IFERROR(VLOOKUP(A4364,[3]DOORSCRIEFT!$A$2:$G$8551,2,FALSE),"")</f>
        <v/>
      </c>
      <c r="D4364" s="318" t="str">
        <f>IFERROR(VLOOKUP(A4364,[3]DOORSCRIEFT!$A$2:$G$8551,3,FALSE),"")</f>
        <v/>
      </c>
      <c r="E4364" s="317" t="str">
        <f>IFERROR(VLOOKUP(A4364,[3]DOORSCRIEFT!$A$2:$G$8551,4,FALSE),"")</f>
        <v/>
      </c>
      <c r="F4364" s="316" t="str">
        <f>IFERROR(VLOOKUP(A4364,[3]DOORSCRIEFT!$A$2:$G$8551,6,FALSE),"")</f>
        <v/>
      </c>
      <c r="G4364" s="315"/>
    </row>
    <row r="4365" spans="1:7" x14ac:dyDescent="0.25">
      <c r="A4365" s="339" t="str">
        <f t="shared" si="128"/>
        <v>I.3.1.2.02.0015</v>
      </c>
      <c r="B4365" s="319">
        <v>5</v>
      </c>
      <c r="C4365" s="319" t="str">
        <f>IFERROR(VLOOKUP(A4365,[3]DOORSCRIEFT!$A$2:$G$8551,2,FALSE),"")</f>
        <v/>
      </c>
      <c r="D4365" s="318" t="str">
        <f>IFERROR(VLOOKUP(A4365,[3]DOORSCRIEFT!$A$2:$G$8551,3,FALSE),"")</f>
        <v/>
      </c>
      <c r="E4365" s="317" t="str">
        <f>IFERROR(VLOOKUP(A4365,[3]DOORSCRIEFT!$A$2:$G$8551,4,FALSE),"")</f>
        <v/>
      </c>
      <c r="F4365" s="316" t="str">
        <f>IFERROR(VLOOKUP(A4365,[3]DOORSCRIEFT!$A$2:$G$8551,6,FALSE),"")</f>
        <v/>
      </c>
      <c r="G4365" s="315"/>
    </row>
    <row r="4366" spans="1:7" x14ac:dyDescent="0.25">
      <c r="A4366" s="339" t="str">
        <f t="shared" si="128"/>
        <v>I.3.1.2.02.0016</v>
      </c>
      <c r="B4366" s="319">
        <v>6</v>
      </c>
      <c r="C4366" s="319" t="str">
        <f>IFERROR(VLOOKUP(A4366,[3]DOORSCRIEFT!$A$2:$G$8551,2,FALSE),"")</f>
        <v/>
      </c>
      <c r="D4366" s="318" t="str">
        <f>IFERROR(VLOOKUP(A4366,[3]DOORSCRIEFT!$A$2:$G$8551,3,FALSE),"")</f>
        <v/>
      </c>
      <c r="E4366" s="317" t="str">
        <f>IFERROR(VLOOKUP(A4366,[3]DOORSCRIEFT!$A$2:$G$8551,4,FALSE),"")</f>
        <v/>
      </c>
      <c r="F4366" s="316" t="str">
        <f>IFERROR(VLOOKUP(A4366,[3]DOORSCRIEFT!$A$2:$G$8551,6,FALSE),"")</f>
        <v/>
      </c>
      <c r="G4366" s="315"/>
    </row>
    <row r="4367" spans="1:7" x14ac:dyDescent="0.25">
      <c r="A4367" s="339" t="str">
        <f t="shared" si="128"/>
        <v>I.3.1.2.02.0017</v>
      </c>
      <c r="B4367" s="319">
        <v>7</v>
      </c>
      <c r="C4367" s="319" t="str">
        <f>IFERROR(VLOOKUP(A4367,[3]DOORSCRIEFT!$A$2:$G$8551,2,FALSE),"")</f>
        <v/>
      </c>
      <c r="D4367" s="318" t="str">
        <f>IFERROR(VLOOKUP(A4367,[3]DOORSCRIEFT!$A$2:$G$8551,3,FALSE),"")</f>
        <v/>
      </c>
      <c r="E4367" s="317" t="str">
        <f>IFERROR(VLOOKUP(A4367,[3]DOORSCRIEFT!$A$2:$G$8551,4,FALSE),"")</f>
        <v/>
      </c>
      <c r="F4367" s="316" t="str">
        <f>IFERROR(VLOOKUP(A4367,[3]DOORSCRIEFT!$A$2:$G$8551,6,FALSE),"")</f>
        <v/>
      </c>
      <c r="G4367" s="315"/>
    </row>
    <row r="4368" spans="1:7" x14ac:dyDescent="0.25">
      <c r="A4368" s="339" t="str">
        <f t="shared" si="128"/>
        <v>I.3.1.2.02.0018</v>
      </c>
      <c r="B4368" s="319">
        <v>8</v>
      </c>
      <c r="C4368" s="319" t="str">
        <f>IFERROR(VLOOKUP(A4368,[3]DOORSCRIEFT!$A$2:$G$8551,2,FALSE),"")</f>
        <v/>
      </c>
      <c r="D4368" s="318" t="str">
        <f>IFERROR(VLOOKUP(A4368,[3]DOORSCRIEFT!$A$2:$G$8551,3,FALSE),"")</f>
        <v/>
      </c>
      <c r="E4368" s="317" t="str">
        <f>IFERROR(VLOOKUP(A4368,[3]DOORSCRIEFT!$A$2:$G$8551,4,FALSE),"")</f>
        <v/>
      </c>
      <c r="F4368" s="316" t="str">
        <f>IFERROR(VLOOKUP(A4368,[3]DOORSCRIEFT!$A$2:$G$8551,6,FALSE),"")</f>
        <v/>
      </c>
      <c r="G4368" s="315"/>
    </row>
    <row r="4369" spans="1:7" x14ac:dyDescent="0.25">
      <c r="A4369" s="339" t="str">
        <f t="shared" si="128"/>
        <v>I.3.1.2.02.0019</v>
      </c>
      <c r="B4369" s="319">
        <v>9</v>
      </c>
      <c r="C4369" s="319" t="str">
        <f>IFERROR(VLOOKUP(A4369,[3]DOORSCRIEFT!$A$2:$G$8551,2,FALSE),"")</f>
        <v/>
      </c>
      <c r="D4369" s="318" t="str">
        <f>IFERROR(VLOOKUP(A4369,[3]DOORSCRIEFT!$A$2:$G$8551,3,FALSE),"")</f>
        <v/>
      </c>
      <c r="E4369" s="317" t="str">
        <f>IFERROR(VLOOKUP(A4369,[3]DOORSCRIEFT!$A$2:$G$8551,4,FALSE),"")</f>
        <v/>
      </c>
      <c r="F4369" s="316" t="str">
        <f>IFERROR(VLOOKUP(A4369,[3]DOORSCRIEFT!$A$2:$G$8551,6,FALSE),"")</f>
        <v/>
      </c>
      <c r="G4369" s="315"/>
    </row>
    <row r="4370" spans="1:7" x14ac:dyDescent="0.25">
      <c r="A4370" s="339" t="str">
        <f t="shared" si="128"/>
        <v>I.3.1.2.02.00110</v>
      </c>
      <c r="B4370" s="319">
        <v>10</v>
      </c>
      <c r="C4370" s="319" t="str">
        <f>IFERROR(VLOOKUP(A4370,[3]DOORSCRIEFT!$A$2:$G$8551,2,FALSE),"")</f>
        <v/>
      </c>
      <c r="D4370" s="318" t="str">
        <f>IFERROR(VLOOKUP(A4370,[3]DOORSCRIEFT!$A$2:$G$8551,3,FALSE),"")</f>
        <v/>
      </c>
      <c r="E4370" s="317" t="str">
        <f>IFERROR(VLOOKUP(A4370,[3]DOORSCRIEFT!$A$2:$G$8551,4,FALSE),"")</f>
        <v/>
      </c>
      <c r="F4370" s="316" t="str">
        <f>IFERROR(VLOOKUP(A4370,[3]DOORSCRIEFT!$A$2:$G$8551,6,FALSE),"")</f>
        <v/>
      </c>
      <c r="G4370" s="315"/>
    </row>
    <row r="4371" spans="1:7" x14ac:dyDescent="0.25">
      <c r="A4371" s="339" t="str">
        <f t="shared" si="128"/>
        <v>I.3.1.2.02.00111</v>
      </c>
      <c r="B4371" s="319">
        <v>11</v>
      </c>
      <c r="C4371" s="319" t="str">
        <f>IFERROR(VLOOKUP(A4371,[3]DOORSCRIEFT!$A$2:$G$8551,2,FALSE),"")</f>
        <v/>
      </c>
      <c r="D4371" s="318" t="str">
        <f>IFERROR(VLOOKUP(A4371,[3]DOORSCRIEFT!$A$2:$G$8551,3,FALSE),"")</f>
        <v/>
      </c>
      <c r="E4371" s="317" t="str">
        <f>IFERROR(VLOOKUP(A4371,[3]DOORSCRIEFT!$A$2:$G$8551,4,FALSE),"")</f>
        <v/>
      </c>
      <c r="F4371" s="316" t="str">
        <f>IFERROR(VLOOKUP(A4371,[3]DOORSCRIEFT!$A$2:$G$8551,6,FALSE),"")</f>
        <v/>
      </c>
      <c r="G4371" s="315"/>
    </row>
    <row r="4372" spans="1:7" x14ac:dyDescent="0.25">
      <c r="A4372" s="339" t="str">
        <f t="shared" si="128"/>
        <v>I.3.1.2.02.00112</v>
      </c>
      <c r="B4372" s="319">
        <v>12</v>
      </c>
      <c r="C4372" s="319" t="str">
        <f>IFERROR(VLOOKUP(A4372,[3]DOORSCRIEFT!$A$2:$G$8551,2,FALSE),"")</f>
        <v/>
      </c>
      <c r="D4372" s="318" t="str">
        <f>IFERROR(VLOOKUP(A4372,[3]DOORSCRIEFT!$A$2:$G$8551,3,FALSE),"")</f>
        <v/>
      </c>
      <c r="E4372" s="317" t="str">
        <f>IFERROR(VLOOKUP(A4372,[3]DOORSCRIEFT!$A$2:$G$8551,4,FALSE),"")</f>
        <v/>
      </c>
      <c r="F4372" s="316" t="str">
        <f>IFERROR(VLOOKUP(A4372,[3]DOORSCRIEFT!$A$2:$G$8551,6,FALSE),"")</f>
        <v/>
      </c>
      <c r="G4372" s="315"/>
    </row>
    <row r="4373" spans="1:7" x14ac:dyDescent="0.25">
      <c r="A4373" s="339" t="str">
        <f t="shared" si="128"/>
        <v>I.3.1.2.02.00113</v>
      </c>
      <c r="B4373" s="319">
        <v>13</v>
      </c>
      <c r="C4373" s="319" t="str">
        <f>IFERROR(VLOOKUP(A4373,[3]DOORSCRIEFT!$A$2:$G$8551,2,FALSE),"")</f>
        <v/>
      </c>
      <c r="D4373" s="318" t="str">
        <f>IFERROR(VLOOKUP(A4373,[3]DOORSCRIEFT!$A$2:$G$8551,3,FALSE),"")</f>
        <v/>
      </c>
      <c r="E4373" s="317" t="str">
        <f>IFERROR(VLOOKUP(A4373,[3]DOORSCRIEFT!$A$2:$G$8551,4,FALSE),"")</f>
        <v/>
      </c>
      <c r="F4373" s="316" t="str">
        <f>IFERROR(VLOOKUP(A4373,[3]DOORSCRIEFT!$A$2:$G$8551,6,FALSE),"")</f>
        <v/>
      </c>
      <c r="G4373" s="315"/>
    </row>
    <row r="4374" spans="1:7" x14ac:dyDescent="0.25">
      <c r="A4374" s="339" t="str">
        <f t="shared" si="128"/>
        <v>I.3.1.2.02.00114</v>
      </c>
      <c r="B4374" s="319">
        <v>14</v>
      </c>
      <c r="C4374" s="319" t="str">
        <f>IFERROR(VLOOKUP(A4374,[3]DOORSCRIEFT!$A$2:$G$8551,2,FALSE),"")</f>
        <v/>
      </c>
      <c r="D4374" s="318" t="str">
        <f>IFERROR(VLOOKUP(A4374,[3]DOORSCRIEFT!$A$2:$G$8551,3,FALSE),"")</f>
        <v/>
      </c>
      <c r="E4374" s="317" t="str">
        <f>IFERROR(VLOOKUP(A4374,[3]DOORSCRIEFT!$A$2:$G$8551,4,FALSE),"")</f>
        <v/>
      </c>
      <c r="F4374" s="316" t="str">
        <f>IFERROR(VLOOKUP(A4374,[3]DOORSCRIEFT!$A$2:$G$8551,6,FALSE),"")</f>
        <v/>
      </c>
      <c r="G4374" s="315"/>
    </row>
    <row r="4375" spans="1:7" ht="15.75" thickBot="1" x14ac:dyDescent="0.3">
      <c r="A4375" s="339" t="str">
        <f t="shared" si="128"/>
        <v>I.3.1.2.02.00115</v>
      </c>
      <c r="B4375" s="345">
        <v>15</v>
      </c>
      <c r="C4375" s="319" t="str">
        <f>IFERROR(VLOOKUP(A4375,[3]DOORSCRIEFT!$A$2:$G$8551,2,FALSE),"")</f>
        <v/>
      </c>
      <c r="D4375" s="318" t="str">
        <f>IFERROR(VLOOKUP(A4375,[3]DOORSCRIEFT!$A$2:$G$8551,3,FALSE),"")</f>
        <v/>
      </c>
      <c r="E4375" s="317" t="str">
        <f>IFERROR(VLOOKUP(A4375,[3]DOORSCRIEFT!$A$2:$G$8551,4,FALSE),"")</f>
        <v/>
      </c>
      <c r="F4375" s="316" t="str">
        <f>IFERROR(VLOOKUP(A4375,[3]DOORSCRIEFT!$A$2:$G$8551,6,FALSE),"")</f>
        <v/>
      </c>
      <c r="G4375" s="315"/>
    </row>
    <row r="4376" spans="1:7" ht="15.75" thickBot="1" x14ac:dyDescent="0.3">
      <c r="A4376" s="344"/>
      <c r="B4376" s="343"/>
      <c r="C4376" s="336"/>
      <c r="D4376" s="312"/>
      <c r="E4376" s="311" t="s">
        <v>644</v>
      </c>
      <c r="F4376" s="310">
        <f>SUM(F4361:F4375)</f>
        <v>0</v>
      </c>
      <c r="G4376" s="309">
        <f>SUM(G4361:G4375)</f>
        <v>0</v>
      </c>
    </row>
    <row r="4377" spans="1:7" x14ac:dyDescent="0.25">
      <c r="C4377" s="335"/>
    </row>
    <row r="4378" spans="1:7" x14ac:dyDescent="0.25">
      <c r="C4378" s="335"/>
    </row>
    <row r="4379" spans="1:7" ht="15.75" x14ac:dyDescent="0.25">
      <c r="C4379" s="334"/>
      <c r="D4379" s="333"/>
      <c r="E4379" s="332"/>
      <c r="F4379" s="327" t="s">
        <v>607</v>
      </c>
      <c r="G4379" s="327" t="s">
        <v>380</v>
      </c>
    </row>
    <row r="4380" spans="1:7" ht="15.75" x14ac:dyDescent="0.25">
      <c r="C4380" s="334"/>
      <c r="D4380" s="333"/>
      <c r="E4380" s="332"/>
      <c r="F4380" s="327" t="s">
        <v>601</v>
      </c>
      <c r="G4380" s="327" t="s">
        <v>139</v>
      </c>
    </row>
    <row r="4381" spans="1:7" x14ac:dyDescent="0.25">
      <c r="C4381" s="330"/>
      <c r="D4381" s="329"/>
      <c r="E4381" s="328"/>
      <c r="F4381" s="327" t="s">
        <v>651</v>
      </c>
      <c r="G4381" s="331">
        <f>[2]Sheet1!$D$124</f>
        <v>0</v>
      </c>
    </row>
    <row r="4382" spans="1:7" ht="15.75" thickBot="1" x14ac:dyDescent="0.3">
      <c r="C4382" s="330"/>
      <c r="D4382" s="329"/>
      <c r="E4382" s="328"/>
      <c r="F4382" s="327" t="s">
        <v>650</v>
      </c>
      <c r="G4382" s="326">
        <f>+F4401-G4381</f>
        <v>0</v>
      </c>
    </row>
    <row r="4383" spans="1:7" x14ac:dyDescent="0.25">
      <c r="A4383" s="573" t="s">
        <v>653</v>
      </c>
      <c r="B4383" s="573" t="s">
        <v>606</v>
      </c>
      <c r="C4383" s="588" t="s">
        <v>649</v>
      </c>
      <c r="D4383" s="577" t="s">
        <v>648</v>
      </c>
      <c r="E4383" s="577" t="s">
        <v>647</v>
      </c>
      <c r="F4383" s="577" t="s">
        <v>646</v>
      </c>
      <c r="G4383" s="580" t="s">
        <v>645</v>
      </c>
    </row>
    <row r="4384" spans="1:7" ht="15.75" thickBot="1" x14ac:dyDescent="0.3">
      <c r="A4384" s="574"/>
      <c r="B4384" s="574"/>
      <c r="C4384" s="589"/>
      <c r="D4384" s="586"/>
      <c r="E4384" s="586"/>
      <c r="F4384" s="586"/>
      <c r="G4384" s="587"/>
    </row>
    <row r="4385" spans="1:7" ht="15.75" thickBot="1" x14ac:dyDescent="0.3">
      <c r="A4385" s="325">
        <v>1</v>
      </c>
      <c r="B4385" s="324">
        <v>2</v>
      </c>
      <c r="C4385" s="324">
        <v>3</v>
      </c>
      <c r="D4385" s="324">
        <v>4</v>
      </c>
      <c r="E4385" s="324">
        <v>5</v>
      </c>
      <c r="F4385" s="324">
        <v>6</v>
      </c>
      <c r="G4385" s="323">
        <v>7</v>
      </c>
    </row>
    <row r="4386" spans="1:7" x14ac:dyDescent="0.25">
      <c r="A4386" s="339" t="str">
        <f t="shared" ref="A4386:A4400" si="129">$G$4379&amp;B4386</f>
        <v>I.3.1.2.02.0021</v>
      </c>
      <c r="B4386" s="339">
        <v>1</v>
      </c>
      <c r="C4386" s="319" t="str">
        <f>IFERROR(VLOOKUP(A4386,[3]DOORSCRIEFT!$A$2:$G$8551,2,FALSE),"")</f>
        <v/>
      </c>
      <c r="D4386" s="318" t="str">
        <f>IFERROR(VLOOKUP(A4386,[3]DOORSCRIEFT!$A$2:$G$8551,3,FALSE),"")</f>
        <v/>
      </c>
      <c r="E4386" s="317" t="str">
        <f>IFERROR(VLOOKUP(A4386,[3]DOORSCRIEFT!$A$2:$G$8551,4,FALSE),"")</f>
        <v/>
      </c>
      <c r="F4386" s="316" t="str">
        <f>IFERROR(VLOOKUP(A4386,[3]DOORSCRIEFT!$A$2:$G$8551,6,FALSE),"")</f>
        <v/>
      </c>
      <c r="G4386" s="322"/>
    </row>
    <row r="4387" spans="1:7" x14ac:dyDescent="0.25">
      <c r="A4387" s="319" t="str">
        <f t="shared" si="129"/>
        <v>I.3.1.2.02.0022</v>
      </c>
      <c r="B4387" s="319">
        <v>2</v>
      </c>
      <c r="C4387" s="319" t="str">
        <f>IFERROR(VLOOKUP(A4387,[3]DOORSCRIEFT!$A$2:$G$8551,2,FALSE),"")</f>
        <v/>
      </c>
      <c r="D4387" s="318" t="str">
        <f>IFERROR(VLOOKUP(A4387,[3]DOORSCRIEFT!$A$2:$G$8551,3,FALSE),"")</f>
        <v/>
      </c>
      <c r="E4387" s="317" t="str">
        <f>IFERROR(VLOOKUP(A4387,[3]DOORSCRIEFT!$A$2:$G$8551,4,FALSE),"")</f>
        <v/>
      </c>
      <c r="F4387" s="316" t="str">
        <f>IFERROR(VLOOKUP(A4387,[3]DOORSCRIEFT!$A$2:$G$8551,6,FALSE),"")</f>
        <v/>
      </c>
      <c r="G4387" s="315"/>
    </row>
    <row r="4388" spans="1:7" x14ac:dyDescent="0.25">
      <c r="A4388" s="319" t="str">
        <f t="shared" si="129"/>
        <v>I.3.1.2.02.0023</v>
      </c>
      <c r="B4388" s="319">
        <v>3</v>
      </c>
      <c r="C4388" s="319" t="str">
        <f>IFERROR(VLOOKUP(A4388,[3]DOORSCRIEFT!$A$2:$G$8551,2,FALSE),"")</f>
        <v/>
      </c>
      <c r="D4388" s="318" t="str">
        <f>IFERROR(VLOOKUP(A4388,[3]DOORSCRIEFT!$A$2:$G$8551,3,FALSE),"")</f>
        <v/>
      </c>
      <c r="E4388" s="317" t="str">
        <f>IFERROR(VLOOKUP(A4388,[3]DOORSCRIEFT!$A$2:$G$8551,4,FALSE),"")</f>
        <v/>
      </c>
      <c r="F4388" s="316" t="str">
        <f>IFERROR(VLOOKUP(A4388,[3]DOORSCRIEFT!$A$2:$G$8551,6,FALSE),"")</f>
        <v/>
      </c>
      <c r="G4388" s="315"/>
    </row>
    <row r="4389" spans="1:7" x14ac:dyDescent="0.25">
      <c r="A4389" s="319" t="str">
        <f t="shared" si="129"/>
        <v>I.3.1.2.02.0024</v>
      </c>
      <c r="B4389" s="319">
        <v>4</v>
      </c>
      <c r="C4389" s="319" t="str">
        <f>IFERROR(VLOOKUP(A4389,[3]DOORSCRIEFT!$A$2:$G$8551,2,FALSE),"")</f>
        <v/>
      </c>
      <c r="D4389" s="318" t="str">
        <f>IFERROR(VLOOKUP(A4389,[3]DOORSCRIEFT!$A$2:$G$8551,3,FALSE),"")</f>
        <v/>
      </c>
      <c r="E4389" s="317" t="str">
        <f>IFERROR(VLOOKUP(A4389,[3]DOORSCRIEFT!$A$2:$G$8551,4,FALSE),"")</f>
        <v/>
      </c>
      <c r="F4389" s="316" t="str">
        <f>IFERROR(VLOOKUP(A4389,[3]DOORSCRIEFT!$A$2:$G$8551,6,FALSE),"")</f>
        <v/>
      </c>
      <c r="G4389" s="315"/>
    </row>
    <row r="4390" spans="1:7" x14ac:dyDescent="0.25">
      <c r="A4390" s="319" t="str">
        <f t="shared" si="129"/>
        <v>I.3.1.2.02.0025</v>
      </c>
      <c r="B4390" s="319">
        <v>5</v>
      </c>
      <c r="C4390" s="319" t="str">
        <f>IFERROR(VLOOKUP(A4390,[3]DOORSCRIEFT!$A$2:$G$8551,2,FALSE),"")</f>
        <v/>
      </c>
      <c r="D4390" s="318" t="str">
        <f>IFERROR(VLOOKUP(A4390,[3]DOORSCRIEFT!$A$2:$G$8551,3,FALSE),"")</f>
        <v/>
      </c>
      <c r="E4390" s="317" t="str">
        <f>IFERROR(VLOOKUP(A4390,[3]DOORSCRIEFT!$A$2:$G$8551,4,FALSE),"")</f>
        <v/>
      </c>
      <c r="F4390" s="316" t="str">
        <f>IFERROR(VLOOKUP(A4390,[3]DOORSCRIEFT!$A$2:$G$8551,6,FALSE),"")</f>
        <v/>
      </c>
      <c r="G4390" s="315"/>
    </row>
    <row r="4391" spans="1:7" x14ac:dyDescent="0.25">
      <c r="A4391" s="319" t="str">
        <f t="shared" si="129"/>
        <v>I.3.1.2.02.0026</v>
      </c>
      <c r="B4391" s="319">
        <v>6</v>
      </c>
      <c r="C4391" s="319" t="str">
        <f>IFERROR(VLOOKUP(A4391,[3]DOORSCRIEFT!$A$2:$G$8551,2,FALSE),"")</f>
        <v/>
      </c>
      <c r="D4391" s="318" t="str">
        <f>IFERROR(VLOOKUP(A4391,[3]DOORSCRIEFT!$A$2:$G$8551,3,FALSE),"")</f>
        <v/>
      </c>
      <c r="E4391" s="317" t="str">
        <f>IFERROR(VLOOKUP(A4391,[3]DOORSCRIEFT!$A$2:$G$8551,4,FALSE),"")</f>
        <v/>
      </c>
      <c r="F4391" s="316" t="str">
        <f>IFERROR(VLOOKUP(A4391,[3]DOORSCRIEFT!$A$2:$G$8551,6,FALSE),"")</f>
        <v/>
      </c>
      <c r="G4391" s="315"/>
    </row>
    <row r="4392" spans="1:7" x14ac:dyDescent="0.25">
      <c r="A4392" s="319" t="str">
        <f t="shared" si="129"/>
        <v>I.3.1.2.02.0027</v>
      </c>
      <c r="B4392" s="319">
        <v>7</v>
      </c>
      <c r="C4392" s="319" t="str">
        <f>IFERROR(VLOOKUP(A4392,[3]DOORSCRIEFT!$A$2:$G$8551,2,FALSE),"")</f>
        <v/>
      </c>
      <c r="D4392" s="318" t="str">
        <f>IFERROR(VLOOKUP(A4392,[3]DOORSCRIEFT!$A$2:$G$8551,3,FALSE),"")</f>
        <v/>
      </c>
      <c r="E4392" s="317" t="str">
        <f>IFERROR(VLOOKUP(A4392,[3]DOORSCRIEFT!$A$2:$G$8551,4,FALSE),"")</f>
        <v/>
      </c>
      <c r="F4392" s="316" t="str">
        <f>IFERROR(VLOOKUP(A4392,[3]DOORSCRIEFT!$A$2:$G$8551,6,FALSE),"")</f>
        <v/>
      </c>
      <c r="G4392" s="315"/>
    </row>
    <row r="4393" spans="1:7" x14ac:dyDescent="0.25">
      <c r="A4393" s="319" t="str">
        <f t="shared" si="129"/>
        <v>I.3.1.2.02.0028</v>
      </c>
      <c r="B4393" s="319">
        <v>8</v>
      </c>
      <c r="C4393" s="319" t="str">
        <f>IFERROR(VLOOKUP(A4393,[3]DOORSCRIEFT!$A$2:$G$8551,2,FALSE),"")</f>
        <v/>
      </c>
      <c r="D4393" s="318" t="str">
        <f>IFERROR(VLOOKUP(A4393,[3]DOORSCRIEFT!$A$2:$G$8551,3,FALSE),"")</f>
        <v/>
      </c>
      <c r="E4393" s="317" t="str">
        <f>IFERROR(VLOOKUP(A4393,[3]DOORSCRIEFT!$A$2:$G$8551,4,FALSE),"")</f>
        <v/>
      </c>
      <c r="F4393" s="316" t="str">
        <f>IFERROR(VLOOKUP(A4393,[3]DOORSCRIEFT!$A$2:$G$8551,6,FALSE),"")</f>
        <v/>
      </c>
      <c r="G4393" s="315"/>
    </row>
    <row r="4394" spans="1:7" x14ac:dyDescent="0.25">
      <c r="A4394" s="319" t="str">
        <f t="shared" si="129"/>
        <v>I.3.1.2.02.0029</v>
      </c>
      <c r="B4394" s="319">
        <v>9</v>
      </c>
      <c r="C4394" s="319" t="str">
        <f>IFERROR(VLOOKUP(A4394,[3]DOORSCRIEFT!$A$2:$G$8551,2,FALSE),"")</f>
        <v/>
      </c>
      <c r="D4394" s="318" t="str">
        <f>IFERROR(VLOOKUP(A4394,[3]DOORSCRIEFT!$A$2:$G$8551,3,FALSE),"")</f>
        <v/>
      </c>
      <c r="E4394" s="317" t="str">
        <f>IFERROR(VLOOKUP(A4394,[3]DOORSCRIEFT!$A$2:$G$8551,4,FALSE),"")</f>
        <v/>
      </c>
      <c r="F4394" s="316" t="str">
        <f>IFERROR(VLOOKUP(A4394,[3]DOORSCRIEFT!$A$2:$G$8551,6,FALSE),"")</f>
        <v/>
      </c>
      <c r="G4394" s="315"/>
    </row>
    <row r="4395" spans="1:7" x14ac:dyDescent="0.25">
      <c r="A4395" s="319" t="str">
        <f t="shared" si="129"/>
        <v>I.3.1.2.02.00210</v>
      </c>
      <c r="B4395" s="319">
        <v>10</v>
      </c>
      <c r="C4395" s="319" t="str">
        <f>IFERROR(VLOOKUP(A4395,[3]DOORSCRIEFT!$A$2:$G$8551,2,FALSE),"")</f>
        <v/>
      </c>
      <c r="D4395" s="318" t="str">
        <f>IFERROR(VLOOKUP(A4395,[3]DOORSCRIEFT!$A$2:$G$8551,3,FALSE),"")</f>
        <v/>
      </c>
      <c r="E4395" s="317" t="str">
        <f>IFERROR(VLOOKUP(A4395,[3]DOORSCRIEFT!$A$2:$G$8551,4,FALSE),"")</f>
        <v/>
      </c>
      <c r="F4395" s="316" t="str">
        <f>IFERROR(VLOOKUP(A4395,[3]DOORSCRIEFT!$A$2:$G$8551,6,FALSE),"")</f>
        <v/>
      </c>
      <c r="G4395" s="315"/>
    </row>
    <row r="4396" spans="1:7" x14ac:dyDescent="0.25">
      <c r="A4396" s="319" t="str">
        <f t="shared" si="129"/>
        <v>I.3.1.2.02.00211</v>
      </c>
      <c r="B4396" s="319">
        <v>11</v>
      </c>
      <c r="C4396" s="319" t="str">
        <f>IFERROR(VLOOKUP(A4396,[3]DOORSCRIEFT!$A$2:$G$8551,2,FALSE),"")</f>
        <v/>
      </c>
      <c r="D4396" s="318" t="str">
        <f>IFERROR(VLOOKUP(A4396,[3]DOORSCRIEFT!$A$2:$G$8551,3,FALSE),"")</f>
        <v/>
      </c>
      <c r="E4396" s="317" t="str">
        <f>IFERROR(VLOOKUP(A4396,[3]DOORSCRIEFT!$A$2:$G$8551,4,FALSE),"")</f>
        <v/>
      </c>
      <c r="F4396" s="316" t="str">
        <f>IFERROR(VLOOKUP(A4396,[3]DOORSCRIEFT!$A$2:$G$8551,6,FALSE),"")</f>
        <v/>
      </c>
      <c r="G4396" s="315"/>
    </row>
    <row r="4397" spans="1:7" x14ac:dyDescent="0.25">
      <c r="A4397" s="319" t="str">
        <f t="shared" si="129"/>
        <v>I.3.1.2.02.00212</v>
      </c>
      <c r="B4397" s="319">
        <v>12</v>
      </c>
      <c r="C4397" s="319" t="str">
        <f>IFERROR(VLOOKUP(A4397,[3]DOORSCRIEFT!$A$2:$G$8551,2,FALSE),"")</f>
        <v/>
      </c>
      <c r="D4397" s="318" t="str">
        <f>IFERROR(VLOOKUP(A4397,[3]DOORSCRIEFT!$A$2:$G$8551,3,FALSE),"")</f>
        <v/>
      </c>
      <c r="E4397" s="317" t="str">
        <f>IFERROR(VLOOKUP(A4397,[3]DOORSCRIEFT!$A$2:$G$8551,4,FALSE),"")</f>
        <v/>
      </c>
      <c r="F4397" s="316" t="str">
        <f>IFERROR(VLOOKUP(A4397,[3]DOORSCRIEFT!$A$2:$G$8551,6,FALSE),"")</f>
        <v/>
      </c>
      <c r="G4397" s="315"/>
    </row>
    <row r="4398" spans="1:7" x14ac:dyDescent="0.25">
      <c r="A4398" s="319" t="str">
        <f t="shared" si="129"/>
        <v>I.3.1.2.02.00213</v>
      </c>
      <c r="B4398" s="319">
        <v>13</v>
      </c>
      <c r="C4398" s="319" t="str">
        <f>IFERROR(VLOOKUP(A4398,[3]DOORSCRIEFT!$A$2:$G$8551,2,FALSE),"")</f>
        <v/>
      </c>
      <c r="D4398" s="318" t="str">
        <f>IFERROR(VLOOKUP(A4398,[3]DOORSCRIEFT!$A$2:$G$8551,3,FALSE),"")</f>
        <v/>
      </c>
      <c r="E4398" s="317" t="str">
        <f>IFERROR(VLOOKUP(A4398,[3]DOORSCRIEFT!$A$2:$G$8551,4,FALSE),"")</f>
        <v/>
      </c>
      <c r="F4398" s="316" t="str">
        <f>IFERROR(VLOOKUP(A4398,[3]DOORSCRIEFT!$A$2:$G$8551,6,FALSE),"")</f>
        <v/>
      </c>
      <c r="G4398" s="315"/>
    </row>
    <row r="4399" spans="1:7" x14ac:dyDescent="0.25">
      <c r="A4399" s="319" t="str">
        <f t="shared" si="129"/>
        <v>I.3.1.2.02.00214</v>
      </c>
      <c r="B4399" s="319">
        <v>14</v>
      </c>
      <c r="C4399" s="319" t="str">
        <f>IFERROR(VLOOKUP(A4399,[3]DOORSCRIEFT!$A$2:$G$8551,2,FALSE),"")</f>
        <v/>
      </c>
      <c r="D4399" s="318" t="str">
        <f>IFERROR(VLOOKUP(A4399,[3]DOORSCRIEFT!$A$2:$G$8551,3,FALSE),"")</f>
        <v/>
      </c>
      <c r="E4399" s="317" t="str">
        <f>IFERROR(VLOOKUP(A4399,[3]DOORSCRIEFT!$A$2:$G$8551,4,FALSE),"")</f>
        <v/>
      </c>
      <c r="F4399" s="316" t="str">
        <f>IFERROR(VLOOKUP(A4399,[3]DOORSCRIEFT!$A$2:$G$8551,6,FALSE),"")</f>
        <v/>
      </c>
      <c r="G4399" s="315"/>
    </row>
    <row r="4400" spans="1:7" ht="15.75" thickBot="1" x14ac:dyDescent="0.3">
      <c r="A4400" s="345" t="str">
        <f t="shared" si="129"/>
        <v>I.3.1.2.02.00215</v>
      </c>
      <c r="B4400" s="345">
        <v>15</v>
      </c>
      <c r="C4400" s="319" t="str">
        <f>IFERROR(VLOOKUP(A4400,[3]DOORSCRIEFT!$A$2:$G$8551,2,FALSE),"")</f>
        <v/>
      </c>
      <c r="D4400" s="318" t="str">
        <f>IFERROR(VLOOKUP(A4400,[3]DOORSCRIEFT!$A$2:$G$8551,3,FALSE),"")</f>
        <v/>
      </c>
      <c r="E4400" s="317" t="str">
        <f>IFERROR(VLOOKUP(A4400,[3]DOORSCRIEFT!$A$2:$G$8551,4,FALSE),"")</f>
        <v/>
      </c>
      <c r="F4400" s="316" t="str">
        <f>IFERROR(VLOOKUP(A4400,[3]DOORSCRIEFT!$A$2:$G$8551,6,FALSE),"")</f>
        <v/>
      </c>
      <c r="G4400" s="315"/>
    </row>
    <row r="4401" spans="1:7" ht="15.75" thickBot="1" x14ac:dyDescent="0.3">
      <c r="A4401" s="344"/>
      <c r="B4401" s="343"/>
      <c r="C4401" s="336"/>
      <c r="D4401" s="312"/>
      <c r="E4401" s="311" t="s">
        <v>644</v>
      </c>
      <c r="F4401" s="310">
        <f>SUM(F4386:F4400)</f>
        <v>0</v>
      </c>
      <c r="G4401" s="309">
        <f>SUM(G4386:G4400)</f>
        <v>0</v>
      </c>
    </row>
    <row r="4402" spans="1:7" x14ac:dyDescent="0.25">
      <c r="C4402" s="335"/>
    </row>
    <row r="4403" spans="1:7" x14ac:dyDescent="0.25">
      <c r="C4403" s="335"/>
    </row>
    <row r="4404" spans="1:7" ht="15.75" x14ac:dyDescent="0.25">
      <c r="C4404" s="334"/>
      <c r="D4404" s="333"/>
      <c r="E4404" s="332"/>
      <c r="F4404" s="327" t="s">
        <v>607</v>
      </c>
      <c r="G4404" s="327" t="s">
        <v>379</v>
      </c>
    </row>
    <row r="4405" spans="1:7" ht="15.75" x14ac:dyDescent="0.25">
      <c r="C4405" s="334"/>
      <c r="D4405" s="333"/>
      <c r="E4405" s="332"/>
      <c r="F4405" s="327" t="s">
        <v>601</v>
      </c>
      <c r="G4405" s="327" t="s">
        <v>137</v>
      </c>
    </row>
    <row r="4406" spans="1:7" x14ac:dyDescent="0.25">
      <c r="C4406" s="330"/>
      <c r="D4406" s="329"/>
      <c r="E4406" s="328"/>
      <c r="F4406" s="327" t="s">
        <v>651</v>
      </c>
      <c r="G4406" s="331">
        <f>[2]Sheet1!$D$125</f>
        <v>0</v>
      </c>
    </row>
    <row r="4407" spans="1:7" ht="15.75" thickBot="1" x14ac:dyDescent="0.3">
      <c r="C4407" s="330"/>
      <c r="D4407" s="329"/>
      <c r="E4407" s="328"/>
      <c r="F4407" s="327" t="s">
        <v>650</v>
      </c>
      <c r="G4407" s="326">
        <f>+F4426-G4406</f>
        <v>0</v>
      </c>
    </row>
    <row r="4408" spans="1:7" x14ac:dyDescent="0.25">
      <c r="A4408" s="573" t="s">
        <v>626</v>
      </c>
      <c r="B4408" s="584" t="s">
        <v>606</v>
      </c>
      <c r="C4408" s="588" t="s">
        <v>649</v>
      </c>
      <c r="D4408" s="577" t="s">
        <v>648</v>
      </c>
      <c r="E4408" s="577" t="s">
        <v>647</v>
      </c>
      <c r="F4408" s="577" t="s">
        <v>646</v>
      </c>
      <c r="G4408" s="580" t="s">
        <v>645</v>
      </c>
    </row>
    <row r="4409" spans="1:7" ht="15.75" thickBot="1" x14ac:dyDescent="0.3">
      <c r="A4409" s="574"/>
      <c r="B4409" s="585"/>
      <c r="C4409" s="589"/>
      <c r="D4409" s="586"/>
      <c r="E4409" s="586"/>
      <c r="F4409" s="586"/>
      <c r="G4409" s="587"/>
    </row>
    <row r="4410" spans="1:7" ht="15.75" thickBot="1" x14ac:dyDescent="0.3">
      <c r="A4410" s="325">
        <v>1</v>
      </c>
      <c r="B4410" s="324">
        <v>2</v>
      </c>
      <c r="C4410" s="324">
        <v>3</v>
      </c>
      <c r="D4410" s="324">
        <v>4</v>
      </c>
      <c r="E4410" s="324">
        <v>5</v>
      </c>
      <c r="F4410" s="324">
        <v>6</v>
      </c>
      <c r="G4410" s="323">
        <v>7</v>
      </c>
    </row>
    <row r="4411" spans="1:7" x14ac:dyDescent="0.25">
      <c r="A4411" s="339" t="str">
        <f t="shared" ref="A4411:A4425" si="130">$G$4404&amp;B4411</f>
        <v>I.3.1.2.02.0031</v>
      </c>
      <c r="B4411" s="339">
        <v>1</v>
      </c>
      <c r="C4411" s="319" t="str">
        <f>IFERROR(VLOOKUP(A4411,[3]DOORSCRIEFT!$A$2:$G$8551,2,FALSE),"")</f>
        <v/>
      </c>
      <c r="D4411" s="318" t="str">
        <f>IFERROR(VLOOKUP(A4411,[3]DOORSCRIEFT!$A$2:$G$8551,3,FALSE),"")</f>
        <v/>
      </c>
      <c r="E4411" s="317" t="str">
        <f>IFERROR(VLOOKUP(A4411,[3]DOORSCRIEFT!$A$2:$G$8551,4,FALSE),"")</f>
        <v/>
      </c>
      <c r="F4411" s="316" t="str">
        <f>IFERROR(VLOOKUP(A4411,[3]DOORSCRIEFT!$A$2:$G$8551,6,FALSE),"")</f>
        <v/>
      </c>
      <c r="G4411" s="322"/>
    </row>
    <row r="4412" spans="1:7" x14ac:dyDescent="0.25">
      <c r="A4412" s="339" t="str">
        <f t="shared" si="130"/>
        <v>I.3.1.2.02.0032</v>
      </c>
      <c r="B4412" s="319">
        <v>2</v>
      </c>
      <c r="C4412" s="319" t="str">
        <f>IFERROR(VLOOKUP(A4412,[3]DOORSCRIEFT!$A$2:$G$8551,2,FALSE),"")</f>
        <v/>
      </c>
      <c r="D4412" s="318" t="str">
        <f>IFERROR(VLOOKUP(A4412,[3]DOORSCRIEFT!$A$2:$G$8551,3,FALSE),"")</f>
        <v/>
      </c>
      <c r="E4412" s="317" t="str">
        <f>IFERROR(VLOOKUP(A4412,[3]DOORSCRIEFT!$A$2:$G$8551,4,FALSE),"")</f>
        <v/>
      </c>
      <c r="F4412" s="316" t="str">
        <f>IFERROR(VLOOKUP(A4412,[3]DOORSCRIEFT!$A$2:$G$8551,6,FALSE),"")</f>
        <v/>
      </c>
      <c r="G4412" s="315"/>
    </row>
    <row r="4413" spans="1:7" x14ac:dyDescent="0.25">
      <c r="A4413" s="339" t="str">
        <f t="shared" si="130"/>
        <v>I.3.1.2.02.0033</v>
      </c>
      <c r="B4413" s="319">
        <v>3</v>
      </c>
      <c r="C4413" s="319" t="str">
        <f>IFERROR(VLOOKUP(A4413,[3]DOORSCRIEFT!$A$2:$G$8551,2,FALSE),"")</f>
        <v/>
      </c>
      <c r="D4413" s="318" t="str">
        <f>IFERROR(VLOOKUP(A4413,[3]DOORSCRIEFT!$A$2:$G$8551,3,FALSE),"")</f>
        <v/>
      </c>
      <c r="E4413" s="317" t="str">
        <f>IFERROR(VLOOKUP(A4413,[3]DOORSCRIEFT!$A$2:$G$8551,4,FALSE),"")</f>
        <v/>
      </c>
      <c r="F4413" s="316" t="str">
        <f>IFERROR(VLOOKUP(A4413,[3]DOORSCRIEFT!$A$2:$G$8551,6,FALSE),"")</f>
        <v/>
      </c>
      <c r="G4413" s="315"/>
    </row>
    <row r="4414" spans="1:7" x14ac:dyDescent="0.25">
      <c r="A4414" s="339" t="str">
        <f t="shared" si="130"/>
        <v>I.3.1.2.02.0034</v>
      </c>
      <c r="B4414" s="319">
        <v>4</v>
      </c>
      <c r="C4414" s="319" t="str">
        <f>IFERROR(VLOOKUP(A4414,[3]DOORSCRIEFT!$A$2:$G$8551,2,FALSE),"")</f>
        <v/>
      </c>
      <c r="D4414" s="318" t="str">
        <f>IFERROR(VLOOKUP(A4414,[3]DOORSCRIEFT!$A$2:$G$8551,3,FALSE),"")</f>
        <v/>
      </c>
      <c r="E4414" s="317" t="str">
        <f>IFERROR(VLOOKUP(A4414,[3]DOORSCRIEFT!$A$2:$G$8551,4,FALSE),"")</f>
        <v/>
      </c>
      <c r="F4414" s="316" t="str">
        <f>IFERROR(VLOOKUP(A4414,[3]DOORSCRIEFT!$A$2:$G$8551,6,FALSE),"")</f>
        <v/>
      </c>
      <c r="G4414" s="315"/>
    </row>
    <row r="4415" spans="1:7" x14ac:dyDescent="0.25">
      <c r="A4415" s="339" t="str">
        <f t="shared" si="130"/>
        <v>I.3.1.2.02.0035</v>
      </c>
      <c r="B4415" s="319">
        <v>5</v>
      </c>
      <c r="C4415" s="319" t="str">
        <f>IFERROR(VLOOKUP(A4415,[3]DOORSCRIEFT!$A$2:$G$8551,2,FALSE),"")</f>
        <v/>
      </c>
      <c r="D4415" s="318" t="str">
        <f>IFERROR(VLOOKUP(A4415,[3]DOORSCRIEFT!$A$2:$G$8551,3,FALSE),"")</f>
        <v/>
      </c>
      <c r="E4415" s="317" t="str">
        <f>IFERROR(VLOOKUP(A4415,[3]DOORSCRIEFT!$A$2:$G$8551,4,FALSE),"")</f>
        <v/>
      </c>
      <c r="F4415" s="316" t="str">
        <f>IFERROR(VLOOKUP(A4415,[3]DOORSCRIEFT!$A$2:$G$8551,6,FALSE),"")</f>
        <v/>
      </c>
      <c r="G4415" s="315"/>
    </row>
    <row r="4416" spans="1:7" x14ac:dyDescent="0.25">
      <c r="A4416" s="339" t="str">
        <f t="shared" si="130"/>
        <v>I.3.1.2.02.0036</v>
      </c>
      <c r="B4416" s="319">
        <v>6</v>
      </c>
      <c r="C4416" s="319" t="str">
        <f>IFERROR(VLOOKUP(A4416,[3]DOORSCRIEFT!$A$2:$G$8551,2,FALSE),"")</f>
        <v/>
      </c>
      <c r="D4416" s="318" t="str">
        <f>IFERROR(VLOOKUP(A4416,[3]DOORSCRIEFT!$A$2:$G$8551,3,FALSE),"")</f>
        <v/>
      </c>
      <c r="E4416" s="317" t="str">
        <f>IFERROR(VLOOKUP(A4416,[3]DOORSCRIEFT!$A$2:$G$8551,4,FALSE),"")</f>
        <v/>
      </c>
      <c r="F4416" s="316" t="str">
        <f>IFERROR(VLOOKUP(A4416,[3]DOORSCRIEFT!$A$2:$G$8551,6,FALSE),"")</f>
        <v/>
      </c>
      <c r="G4416" s="315"/>
    </row>
    <row r="4417" spans="1:7" x14ac:dyDescent="0.25">
      <c r="A4417" s="339" t="str">
        <f t="shared" si="130"/>
        <v>I.3.1.2.02.0037</v>
      </c>
      <c r="B4417" s="319">
        <v>7</v>
      </c>
      <c r="C4417" s="319" t="str">
        <f>IFERROR(VLOOKUP(A4417,[3]DOORSCRIEFT!$A$2:$G$8551,2,FALSE),"")</f>
        <v/>
      </c>
      <c r="D4417" s="318" t="str">
        <f>IFERROR(VLOOKUP(A4417,[3]DOORSCRIEFT!$A$2:$G$8551,3,FALSE),"")</f>
        <v/>
      </c>
      <c r="E4417" s="317" t="str">
        <f>IFERROR(VLOOKUP(A4417,[3]DOORSCRIEFT!$A$2:$G$8551,4,FALSE),"")</f>
        <v/>
      </c>
      <c r="F4417" s="316" t="str">
        <f>IFERROR(VLOOKUP(A4417,[3]DOORSCRIEFT!$A$2:$G$8551,6,FALSE),"")</f>
        <v/>
      </c>
      <c r="G4417" s="315"/>
    </row>
    <row r="4418" spans="1:7" x14ac:dyDescent="0.25">
      <c r="A4418" s="339" t="str">
        <f t="shared" si="130"/>
        <v>I.3.1.2.02.0038</v>
      </c>
      <c r="B4418" s="319">
        <v>8</v>
      </c>
      <c r="C4418" s="319" t="str">
        <f>IFERROR(VLOOKUP(A4418,[3]DOORSCRIEFT!$A$2:$G$8551,2,FALSE),"")</f>
        <v/>
      </c>
      <c r="D4418" s="318" t="str">
        <f>IFERROR(VLOOKUP(A4418,[3]DOORSCRIEFT!$A$2:$G$8551,3,FALSE),"")</f>
        <v/>
      </c>
      <c r="E4418" s="317" t="str">
        <f>IFERROR(VLOOKUP(A4418,[3]DOORSCRIEFT!$A$2:$G$8551,4,FALSE),"")</f>
        <v/>
      </c>
      <c r="F4418" s="316" t="str">
        <f>IFERROR(VLOOKUP(A4418,[3]DOORSCRIEFT!$A$2:$G$8551,6,FALSE),"")</f>
        <v/>
      </c>
      <c r="G4418" s="315"/>
    </row>
    <row r="4419" spans="1:7" x14ac:dyDescent="0.25">
      <c r="A4419" s="339" t="str">
        <f t="shared" si="130"/>
        <v>I.3.1.2.02.0039</v>
      </c>
      <c r="B4419" s="319">
        <v>9</v>
      </c>
      <c r="C4419" s="319" t="str">
        <f>IFERROR(VLOOKUP(A4419,[3]DOORSCRIEFT!$A$2:$G$8551,2,FALSE),"")</f>
        <v/>
      </c>
      <c r="D4419" s="318" t="str">
        <f>IFERROR(VLOOKUP(A4419,[3]DOORSCRIEFT!$A$2:$G$8551,3,FALSE),"")</f>
        <v/>
      </c>
      <c r="E4419" s="317" t="str">
        <f>IFERROR(VLOOKUP(A4419,[3]DOORSCRIEFT!$A$2:$G$8551,4,FALSE),"")</f>
        <v/>
      </c>
      <c r="F4419" s="316" t="str">
        <f>IFERROR(VLOOKUP(A4419,[3]DOORSCRIEFT!$A$2:$G$8551,6,FALSE),"")</f>
        <v/>
      </c>
      <c r="G4419" s="315"/>
    </row>
    <row r="4420" spans="1:7" x14ac:dyDescent="0.25">
      <c r="A4420" s="339" t="str">
        <f t="shared" si="130"/>
        <v>I.3.1.2.02.00310</v>
      </c>
      <c r="B4420" s="319">
        <v>10</v>
      </c>
      <c r="C4420" s="319" t="str">
        <f>IFERROR(VLOOKUP(A4420,[3]DOORSCRIEFT!$A$2:$G$8551,2,FALSE),"")</f>
        <v/>
      </c>
      <c r="D4420" s="318" t="str">
        <f>IFERROR(VLOOKUP(A4420,[3]DOORSCRIEFT!$A$2:$G$8551,3,FALSE),"")</f>
        <v/>
      </c>
      <c r="E4420" s="317" t="str">
        <f>IFERROR(VLOOKUP(A4420,[3]DOORSCRIEFT!$A$2:$G$8551,4,FALSE),"")</f>
        <v/>
      </c>
      <c r="F4420" s="316" t="str">
        <f>IFERROR(VLOOKUP(A4420,[3]DOORSCRIEFT!$A$2:$G$8551,6,FALSE),"")</f>
        <v/>
      </c>
      <c r="G4420" s="315"/>
    </row>
    <row r="4421" spans="1:7" x14ac:dyDescent="0.25">
      <c r="A4421" s="339" t="str">
        <f t="shared" si="130"/>
        <v>I.3.1.2.02.00311</v>
      </c>
      <c r="B4421" s="319">
        <v>11</v>
      </c>
      <c r="C4421" s="319" t="str">
        <f>IFERROR(VLOOKUP(A4421,[3]DOORSCRIEFT!$A$2:$G$8551,2,FALSE),"")</f>
        <v/>
      </c>
      <c r="D4421" s="318" t="str">
        <f>IFERROR(VLOOKUP(A4421,[3]DOORSCRIEFT!$A$2:$G$8551,3,FALSE),"")</f>
        <v/>
      </c>
      <c r="E4421" s="317" t="str">
        <f>IFERROR(VLOOKUP(A4421,[3]DOORSCRIEFT!$A$2:$G$8551,4,FALSE),"")</f>
        <v/>
      </c>
      <c r="F4421" s="316" t="str">
        <f>IFERROR(VLOOKUP(A4421,[3]DOORSCRIEFT!$A$2:$G$8551,6,FALSE),"")</f>
        <v/>
      </c>
      <c r="G4421" s="315"/>
    </row>
    <row r="4422" spans="1:7" x14ac:dyDescent="0.25">
      <c r="A4422" s="339" t="str">
        <f t="shared" si="130"/>
        <v>I.3.1.2.02.00312</v>
      </c>
      <c r="B4422" s="319">
        <v>12</v>
      </c>
      <c r="C4422" s="319" t="str">
        <f>IFERROR(VLOOKUP(A4422,[3]DOORSCRIEFT!$A$2:$G$8551,2,FALSE),"")</f>
        <v/>
      </c>
      <c r="D4422" s="318" t="str">
        <f>IFERROR(VLOOKUP(A4422,[3]DOORSCRIEFT!$A$2:$G$8551,3,FALSE),"")</f>
        <v/>
      </c>
      <c r="E4422" s="317" t="str">
        <f>IFERROR(VLOOKUP(A4422,[3]DOORSCRIEFT!$A$2:$G$8551,4,FALSE),"")</f>
        <v/>
      </c>
      <c r="F4422" s="316" t="str">
        <f>IFERROR(VLOOKUP(A4422,[3]DOORSCRIEFT!$A$2:$G$8551,6,FALSE),"")</f>
        <v/>
      </c>
      <c r="G4422" s="315"/>
    </row>
    <row r="4423" spans="1:7" x14ac:dyDescent="0.25">
      <c r="A4423" s="339" t="str">
        <f t="shared" si="130"/>
        <v>I.3.1.2.02.00313</v>
      </c>
      <c r="B4423" s="319">
        <v>13</v>
      </c>
      <c r="C4423" s="319" t="str">
        <f>IFERROR(VLOOKUP(A4423,[3]DOORSCRIEFT!$A$2:$G$8551,2,FALSE),"")</f>
        <v/>
      </c>
      <c r="D4423" s="318" t="str">
        <f>IFERROR(VLOOKUP(A4423,[3]DOORSCRIEFT!$A$2:$G$8551,3,FALSE),"")</f>
        <v/>
      </c>
      <c r="E4423" s="317" t="str">
        <f>IFERROR(VLOOKUP(A4423,[3]DOORSCRIEFT!$A$2:$G$8551,4,FALSE),"")</f>
        <v/>
      </c>
      <c r="F4423" s="316" t="str">
        <f>IFERROR(VLOOKUP(A4423,[3]DOORSCRIEFT!$A$2:$G$8551,6,FALSE),"")</f>
        <v/>
      </c>
      <c r="G4423" s="315"/>
    </row>
    <row r="4424" spans="1:7" x14ac:dyDescent="0.25">
      <c r="A4424" s="339" t="str">
        <f t="shared" si="130"/>
        <v>I.3.1.2.02.00314</v>
      </c>
      <c r="B4424" s="319">
        <v>14</v>
      </c>
      <c r="C4424" s="319" t="str">
        <f>IFERROR(VLOOKUP(A4424,[3]DOORSCRIEFT!$A$2:$G$8551,2,FALSE),"")</f>
        <v/>
      </c>
      <c r="D4424" s="318" t="str">
        <f>IFERROR(VLOOKUP(A4424,[3]DOORSCRIEFT!$A$2:$G$8551,3,FALSE),"")</f>
        <v/>
      </c>
      <c r="E4424" s="317" t="str">
        <f>IFERROR(VLOOKUP(A4424,[3]DOORSCRIEFT!$A$2:$G$8551,4,FALSE),"")</f>
        <v/>
      </c>
      <c r="F4424" s="316" t="str">
        <f>IFERROR(VLOOKUP(A4424,[3]DOORSCRIEFT!$A$2:$G$8551,6,FALSE),"")</f>
        <v/>
      </c>
      <c r="G4424" s="315"/>
    </row>
    <row r="4425" spans="1:7" ht="15.75" thickBot="1" x14ac:dyDescent="0.3">
      <c r="A4425" s="339" t="str">
        <f t="shared" si="130"/>
        <v>I.3.1.2.02.00315</v>
      </c>
      <c r="B4425" s="345">
        <v>15</v>
      </c>
      <c r="C4425" s="319" t="str">
        <f>IFERROR(VLOOKUP(A4425,[3]DOORSCRIEFT!$A$2:$G$8551,2,FALSE),"")</f>
        <v/>
      </c>
      <c r="D4425" s="318" t="str">
        <f>IFERROR(VLOOKUP(A4425,[3]DOORSCRIEFT!$A$2:$G$8551,3,FALSE),"")</f>
        <v/>
      </c>
      <c r="E4425" s="317" t="str">
        <f>IFERROR(VLOOKUP(A4425,[3]DOORSCRIEFT!$A$2:$G$8551,4,FALSE),"")</f>
        <v/>
      </c>
      <c r="F4425" s="316" t="str">
        <f>IFERROR(VLOOKUP(A4425,[3]DOORSCRIEFT!$A$2:$G$8551,6,FALSE),"")</f>
        <v/>
      </c>
      <c r="G4425" s="315"/>
    </row>
    <row r="4426" spans="1:7" ht="15.75" thickBot="1" x14ac:dyDescent="0.3">
      <c r="A4426" s="314"/>
      <c r="B4426" s="312"/>
      <c r="C4426" s="336"/>
      <c r="D4426" s="312"/>
      <c r="E4426" s="311" t="s">
        <v>644</v>
      </c>
      <c r="F4426" s="310">
        <f>SUM(F4411:F4425)</f>
        <v>0</v>
      </c>
      <c r="G4426" s="309">
        <f>SUM(G4411:G4425)</f>
        <v>0</v>
      </c>
    </row>
    <row r="4427" spans="1:7" x14ac:dyDescent="0.25">
      <c r="C4427" s="335"/>
    </row>
    <row r="4428" spans="1:7" x14ac:dyDescent="0.25">
      <c r="C4428" s="335"/>
    </row>
    <row r="4429" spans="1:7" ht="15.75" x14ac:dyDescent="0.25">
      <c r="C4429" s="334"/>
      <c r="D4429" s="333"/>
      <c r="E4429" s="332"/>
      <c r="F4429" s="327" t="s">
        <v>607</v>
      </c>
      <c r="G4429" s="327" t="s">
        <v>378</v>
      </c>
    </row>
    <row r="4430" spans="1:7" ht="15.75" x14ac:dyDescent="0.25">
      <c r="C4430" s="334"/>
      <c r="D4430" s="333"/>
      <c r="E4430" s="332"/>
      <c r="F4430" s="327" t="s">
        <v>601</v>
      </c>
      <c r="G4430" s="327" t="s">
        <v>135</v>
      </c>
    </row>
    <row r="4431" spans="1:7" x14ac:dyDescent="0.25">
      <c r="C4431" s="330"/>
      <c r="D4431" s="329"/>
      <c r="E4431" s="328"/>
      <c r="F4431" s="327" t="s">
        <v>651</v>
      </c>
      <c r="G4431" s="331">
        <f>[2]Sheet1!$D$126</f>
        <v>0</v>
      </c>
    </row>
    <row r="4432" spans="1:7" ht="15.75" thickBot="1" x14ac:dyDescent="0.3">
      <c r="C4432" s="330"/>
      <c r="D4432" s="329"/>
      <c r="E4432" s="328"/>
      <c r="F4432" s="327" t="s">
        <v>650</v>
      </c>
      <c r="G4432" s="326">
        <f>+F4451-G4431</f>
        <v>0</v>
      </c>
    </row>
    <row r="4433" spans="1:7" x14ac:dyDescent="0.25">
      <c r="A4433" s="573" t="s">
        <v>626</v>
      </c>
      <c r="B4433" s="584" t="s">
        <v>606</v>
      </c>
      <c r="C4433" s="588" t="s">
        <v>649</v>
      </c>
      <c r="D4433" s="577" t="s">
        <v>648</v>
      </c>
      <c r="E4433" s="577" t="s">
        <v>647</v>
      </c>
      <c r="F4433" s="577" t="s">
        <v>646</v>
      </c>
      <c r="G4433" s="580" t="s">
        <v>645</v>
      </c>
    </row>
    <row r="4434" spans="1:7" ht="15.75" thickBot="1" x14ac:dyDescent="0.3">
      <c r="A4434" s="574"/>
      <c r="B4434" s="585"/>
      <c r="C4434" s="589"/>
      <c r="D4434" s="586"/>
      <c r="E4434" s="586"/>
      <c r="F4434" s="586"/>
      <c r="G4434" s="587"/>
    </row>
    <row r="4435" spans="1:7" ht="15.75" thickBot="1" x14ac:dyDescent="0.3">
      <c r="A4435" s="325">
        <v>1</v>
      </c>
      <c r="B4435" s="324">
        <v>2</v>
      </c>
      <c r="C4435" s="324">
        <v>3</v>
      </c>
      <c r="D4435" s="324">
        <v>4</v>
      </c>
      <c r="E4435" s="324">
        <v>5</v>
      </c>
      <c r="F4435" s="324">
        <v>6</v>
      </c>
      <c r="G4435" s="356">
        <v>5</v>
      </c>
    </row>
    <row r="4436" spans="1:7" x14ac:dyDescent="0.25">
      <c r="A4436" s="339" t="str">
        <f t="shared" ref="A4436:A4450" si="131">$G$4429&amp;B4436</f>
        <v>I.3.1.2.02.0041</v>
      </c>
      <c r="B4436" s="339">
        <v>1</v>
      </c>
      <c r="C4436" s="319" t="str">
        <f>IFERROR(VLOOKUP(A4436,[3]DOORSCRIEFT!$A$2:$G$8551,2,FALSE),"")</f>
        <v/>
      </c>
      <c r="D4436" s="318" t="str">
        <f>IFERROR(VLOOKUP(A4436,[3]DOORSCRIEFT!$A$2:$G$8551,3,FALSE),"")</f>
        <v/>
      </c>
      <c r="E4436" s="317" t="str">
        <f>IFERROR(VLOOKUP(A4436,[3]DOORSCRIEFT!$A$2:$G$8551,4,FALSE),"")</f>
        <v/>
      </c>
      <c r="F4436" s="316" t="str">
        <f>IFERROR(VLOOKUP(A4436,[3]DOORSCRIEFT!$A$2:$G$8551,6,FALSE),"")</f>
        <v/>
      </c>
      <c r="G4436" s="322"/>
    </row>
    <row r="4437" spans="1:7" x14ac:dyDescent="0.25">
      <c r="A4437" s="319" t="str">
        <f t="shared" si="131"/>
        <v>I.3.1.2.02.0042</v>
      </c>
      <c r="B4437" s="319">
        <v>2</v>
      </c>
      <c r="C4437" s="319" t="str">
        <f>IFERROR(VLOOKUP(A4437,[3]DOORSCRIEFT!$A$2:$G$8551,2,FALSE),"")</f>
        <v/>
      </c>
      <c r="D4437" s="318" t="str">
        <f>IFERROR(VLOOKUP(A4437,[3]DOORSCRIEFT!$A$2:$G$8551,3,FALSE),"")</f>
        <v/>
      </c>
      <c r="E4437" s="317" t="str">
        <f>IFERROR(VLOOKUP(A4437,[3]DOORSCRIEFT!$A$2:$G$8551,4,FALSE),"")</f>
        <v/>
      </c>
      <c r="F4437" s="316" t="str">
        <f>IFERROR(VLOOKUP(A4437,[3]DOORSCRIEFT!$A$2:$G$8551,6,FALSE),"")</f>
        <v/>
      </c>
      <c r="G4437" s="315"/>
    </row>
    <row r="4438" spans="1:7" x14ac:dyDescent="0.25">
      <c r="A4438" s="319" t="str">
        <f t="shared" si="131"/>
        <v>I.3.1.2.02.0043</v>
      </c>
      <c r="B4438" s="319">
        <v>3</v>
      </c>
      <c r="C4438" s="319" t="str">
        <f>IFERROR(VLOOKUP(A4438,[3]DOORSCRIEFT!$A$2:$G$8551,2,FALSE),"")</f>
        <v/>
      </c>
      <c r="D4438" s="318" t="str">
        <f>IFERROR(VLOOKUP(A4438,[3]DOORSCRIEFT!$A$2:$G$8551,3,FALSE),"")</f>
        <v/>
      </c>
      <c r="E4438" s="317" t="str">
        <f>IFERROR(VLOOKUP(A4438,[3]DOORSCRIEFT!$A$2:$G$8551,4,FALSE),"")</f>
        <v/>
      </c>
      <c r="F4438" s="316" t="str">
        <f>IFERROR(VLOOKUP(A4438,[3]DOORSCRIEFT!$A$2:$G$8551,6,FALSE),"")</f>
        <v/>
      </c>
      <c r="G4438" s="315"/>
    </row>
    <row r="4439" spans="1:7" x14ac:dyDescent="0.25">
      <c r="A4439" s="319" t="str">
        <f t="shared" si="131"/>
        <v>I.3.1.2.02.0044</v>
      </c>
      <c r="B4439" s="319">
        <v>4</v>
      </c>
      <c r="C4439" s="319" t="str">
        <f>IFERROR(VLOOKUP(A4439,[3]DOORSCRIEFT!$A$2:$G$8551,2,FALSE),"")</f>
        <v/>
      </c>
      <c r="D4439" s="318" t="str">
        <f>IFERROR(VLOOKUP(A4439,[3]DOORSCRIEFT!$A$2:$G$8551,3,FALSE),"")</f>
        <v/>
      </c>
      <c r="E4439" s="317" t="str">
        <f>IFERROR(VLOOKUP(A4439,[3]DOORSCRIEFT!$A$2:$G$8551,4,FALSE),"")</f>
        <v/>
      </c>
      <c r="F4439" s="316" t="str">
        <f>IFERROR(VLOOKUP(A4439,[3]DOORSCRIEFT!$A$2:$G$8551,6,FALSE),"")</f>
        <v/>
      </c>
      <c r="G4439" s="315"/>
    </row>
    <row r="4440" spans="1:7" x14ac:dyDescent="0.25">
      <c r="A4440" s="319" t="str">
        <f t="shared" si="131"/>
        <v>I.3.1.2.02.0045</v>
      </c>
      <c r="B4440" s="319">
        <v>5</v>
      </c>
      <c r="C4440" s="319" t="str">
        <f>IFERROR(VLOOKUP(A4440,[3]DOORSCRIEFT!$A$2:$G$8551,2,FALSE),"")</f>
        <v/>
      </c>
      <c r="D4440" s="318" t="str">
        <f>IFERROR(VLOOKUP(A4440,[3]DOORSCRIEFT!$A$2:$G$8551,3,FALSE),"")</f>
        <v/>
      </c>
      <c r="E4440" s="317" t="str">
        <f>IFERROR(VLOOKUP(A4440,[3]DOORSCRIEFT!$A$2:$G$8551,4,FALSE),"")</f>
        <v/>
      </c>
      <c r="F4440" s="316" t="str">
        <f>IFERROR(VLOOKUP(A4440,[3]DOORSCRIEFT!$A$2:$G$8551,6,FALSE),"")</f>
        <v/>
      </c>
      <c r="G4440" s="315"/>
    </row>
    <row r="4441" spans="1:7" x14ac:dyDescent="0.25">
      <c r="A4441" s="319" t="str">
        <f t="shared" si="131"/>
        <v>I.3.1.2.02.0046</v>
      </c>
      <c r="B4441" s="319">
        <v>6</v>
      </c>
      <c r="C4441" s="319" t="str">
        <f>IFERROR(VLOOKUP(A4441,[3]DOORSCRIEFT!$A$2:$G$8551,2,FALSE),"")</f>
        <v/>
      </c>
      <c r="D4441" s="318" t="str">
        <f>IFERROR(VLOOKUP(A4441,[3]DOORSCRIEFT!$A$2:$G$8551,3,FALSE),"")</f>
        <v/>
      </c>
      <c r="E4441" s="317" t="str">
        <f>IFERROR(VLOOKUP(A4441,[3]DOORSCRIEFT!$A$2:$G$8551,4,FALSE),"")</f>
        <v/>
      </c>
      <c r="F4441" s="316" t="str">
        <f>IFERROR(VLOOKUP(A4441,[3]DOORSCRIEFT!$A$2:$G$8551,6,FALSE),"")</f>
        <v/>
      </c>
      <c r="G4441" s="315"/>
    </row>
    <row r="4442" spans="1:7" x14ac:dyDescent="0.25">
      <c r="A4442" s="319" t="str">
        <f t="shared" si="131"/>
        <v>I.3.1.2.02.0047</v>
      </c>
      <c r="B4442" s="319">
        <v>7</v>
      </c>
      <c r="C4442" s="319" t="str">
        <f>IFERROR(VLOOKUP(A4442,[3]DOORSCRIEFT!$A$2:$G$8551,2,FALSE),"")</f>
        <v/>
      </c>
      <c r="D4442" s="318" t="str">
        <f>IFERROR(VLOOKUP(A4442,[3]DOORSCRIEFT!$A$2:$G$8551,3,FALSE),"")</f>
        <v/>
      </c>
      <c r="E4442" s="317" t="str">
        <f>IFERROR(VLOOKUP(A4442,[3]DOORSCRIEFT!$A$2:$G$8551,4,FALSE),"")</f>
        <v/>
      </c>
      <c r="F4442" s="316" t="str">
        <f>IFERROR(VLOOKUP(A4442,[3]DOORSCRIEFT!$A$2:$G$8551,6,FALSE),"")</f>
        <v/>
      </c>
      <c r="G4442" s="315"/>
    </row>
    <row r="4443" spans="1:7" x14ac:dyDescent="0.25">
      <c r="A4443" s="319" t="str">
        <f t="shared" si="131"/>
        <v>I.3.1.2.02.0048</v>
      </c>
      <c r="B4443" s="319">
        <v>8</v>
      </c>
      <c r="C4443" s="319" t="str">
        <f>IFERROR(VLOOKUP(A4443,[3]DOORSCRIEFT!$A$2:$G$8551,2,FALSE),"")</f>
        <v/>
      </c>
      <c r="D4443" s="318" t="str">
        <f>IFERROR(VLOOKUP(A4443,[3]DOORSCRIEFT!$A$2:$G$8551,3,FALSE),"")</f>
        <v/>
      </c>
      <c r="E4443" s="317" t="str">
        <f>IFERROR(VLOOKUP(A4443,[3]DOORSCRIEFT!$A$2:$G$8551,4,FALSE),"")</f>
        <v/>
      </c>
      <c r="F4443" s="316" t="str">
        <f>IFERROR(VLOOKUP(A4443,[3]DOORSCRIEFT!$A$2:$G$8551,6,FALSE),"")</f>
        <v/>
      </c>
      <c r="G4443" s="315"/>
    </row>
    <row r="4444" spans="1:7" x14ac:dyDescent="0.25">
      <c r="A4444" s="319" t="str">
        <f t="shared" si="131"/>
        <v>I.3.1.2.02.0049</v>
      </c>
      <c r="B4444" s="319">
        <v>9</v>
      </c>
      <c r="C4444" s="319" t="str">
        <f>IFERROR(VLOOKUP(A4444,[3]DOORSCRIEFT!$A$2:$G$8551,2,FALSE),"")</f>
        <v/>
      </c>
      <c r="D4444" s="318" t="str">
        <f>IFERROR(VLOOKUP(A4444,[3]DOORSCRIEFT!$A$2:$G$8551,3,FALSE),"")</f>
        <v/>
      </c>
      <c r="E4444" s="317" t="str">
        <f>IFERROR(VLOOKUP(A4444,[3]DOORSCRIEFT!$A$2:$G$8551,4,FALSE),"")</f>
        <v/>
      </c>
      <c r="F4444" s="316" t="str">
        <f>IFERROR(VLOOKUP(A4444,[3]DOORSCRIEFT!$A$2:$G$8551,6,FALSE),"")</f>
        <v/>
      </c>
      <c r="G4444" s="315"/>
    </row>
    <row r="4445" spans="1:7" x14ac:dyDescent="0.25">
      <c r="A4445" s="319" t="str">
        <f t="shared" si="131"/>
        <v>I.3.1.2.02.00410</v>
      </c>
      <c r="B4445" s="319">
        <v>10</v>
      </c>
      <c r="C4445" s="319" t="str">
        <f>IFERROR(VLOOKUP(A4445,[3]DOORSCRIEFT!$A$2:$G$8551,2,FALSE),"")</f>
        <v/>
      </c>
      <c r="D4445" s="318" t="str">
        <f>IFERROR(VLOOKUP(A4445,[3]DOORSCRIEFT!$A$2:$G$8551,3,FALSE),"")</f>
        <v/>
      </c>
      <c r="E4445" s="317" t="str">
        <f>IFERROR(VLOOKUP(A4445,[3]DOORSCRIEFT!$A$2:$G$8551,4,FALSE),"")</f>
        <v/>
      </c>
      <c r="F4445" s="316" t="str">
        <f>IFERROR(VLOOKUP(A4445,[3]DOORSCRIEFT!$A$2:$G$8551,6,FALSE),"")</f>
        <v/>
      </c>
      <c r="G4445" s="315"/>
    </row>
    <row r="4446" spans="1:7" x14ac:dyDescent="0.25">
      <c r="A4446" s="319" t="str">
        <f t="shared" si="131"/>
        <v>I.3.1.2.02.00411</v>
      </c>
      <c r="B4446" s="319">
        <v>11</v>
      </c>
      <c r="C4446" s="319" t="str">
        <f>IFERROR(VLOOKUP(A4446,[3]DOORSCRIEFT!$A$2:$G$8551,2,FALSE),"")</f>
        <v/>
      </c>
      <c r="D4446" s="318" t="str">
        <f>IFERROR(VLOOKUP(A4446,[3]DOORSCRIEFT!$A$2:$G$8551,3,FALSE),"")</f>
        <v/>
      </c>
      <c r="E4446" s="317" t="str">
        <f>IFERROR(VLOOKUP(A4446,[3]DOORSCRIEFT!$A$2:$G$8551,4,FALSE),"")</f>
        <v/>
      </c>
      <c r="F4446" s="316" t="str">
        <f>IFERROR(VLOOKUP(A4446,[3]DOORSCRIEFT!$A$2:$G$8551,6,FALSE),"")</f>
        <v/>
      </c>
      <c r="G4446" s="315"/>
    </row>
    <row r="4447" spans="1:7" x14ac:dyDescent="0.25">
      <c r="A4447" s="319" t="str">
        <f t="shared" si="131"/>
        <v>I.3.1.2.02.00412</v>
      </c>
      <c r="B4447" s="319">
        <v>12</v>
      </c>
      <c r="C4447" s="319" t="str">
        <f>IFERROR(VLOOKUP(A4447,[3]DOORSCRIEFT!$A$2:$G$8551,2,FALSE),"")</f>
        <v/>
      </c>
      <c r="D4447" s="318" t="str">
        <f>IFERROR(VLOOKUP(A4447,[3]DOORSCRIEFT!$A$2:$G$8551,3,FALSE),"")</f>
        <v/>
      </c>
      <c r="E4447" s="317" t="str">
        <f>IFERROR(VLOOKUP(A4447,[3]DOORSCRIEFT!$A$2:$G$8551,4,FALSE),"")</f>
        <v/>
      </c>
      <c r="F4447" s="316" t="str">
        <f>IFERROR(VLOOKUP(A4447,[3]DOORSCRIEFT!$A$2:$G$8551,6,FALSE),"")</f>
        <v/>
      </c>
      <c r="G4447" s="315"/>
    </row>
    <row r="4448" spans="1:7" x14ac:dyDescent="0.25">
      <c r="A4448" s="319" t="str">
        <f t="shared" si="131"/>
        <v>I.3.1.2.02.00413</v>
      </c>
      <c r="B4448" s="319">
        <v>13</v>
      </c>
      <c r="C4448" s="319" t="str">
        <f>IFERROR(VLOOKUP(A4448,[3]DOORSCRIEFT!$A$2:$G$8551,2,FALSE),"")</f>
        <v/>
      </c>
      <c r="D4448" s="318" t="str">
        <f>IFERROR(VLOOKUP(A4448,[3]DOORSCRIEFT!$A$2:$G$8551,3,FALSE),"")</f>
        <v/>
      </c>
      <c r="E4448" s="317" t="str">
        <f>IFERROR(VLOOKUP(A4448,[3]DOORSCRIEFT!$A$2:$G$8551,4,FALSE),"")</f>
        <v/>
      </c>
      <c r="F4448" s="316" t="str">
        <f>IFERROR(VLOOKUP(A4448,[3]DOORSCRIEFT!$A$2:$G$8551,6,FALSE),"")</f>
        <v/>
      </c>
      <c r="G4448" s="315"/>
    </row>
    <row r="4449" spans="1:7" x14ac:dyDescent="0.25">
      <c r="A4449" s="319" t="str">
        <f t="shared" si="131"/>
        <v>I.3.1.2.02.00414</v>
      </c>
      <c r="B4449" s="319">
        <v>14</v>
      </c>
      <c r="C4449" s="319" t="str">
        <f>IFERROR(VLOOKUP(A4449,[3]DOORSCRIEFT!$A$2:$G$8551,2,FALSE),"")</f>
        <v/>
      </c>
      <c r="D4449" s="318" t="str">
        <f>IFERROR(VLOOKUP(A4449,[3]DOORSCRIEFT!$A$2:$G$8551,3,FALSE),"")</f>
        <v/>
      </c>
      <c r="E4449" s="317" t="str">
        <f>IFERROR(VLOOKUP(A4449,[3]DOORSCRIEFT!$A$2:$G$8551,4,FALSE),"")</f>
        <v/>
      </c>
      <c r="F4449" s="316" t="str">
        <f>IFERROR(VLOOKUP(A4449,[3]DOORSCRIEFT!$A$2:$G$8551,6,FALSE),"")</f>
        <v/>
      </c>
      <c r="G4449" s="315"/>
    </row>
    <row r="4450" spans="1:7" ht="15.75" thickBot="1" x14ac:dyDescent="0.3">
      <c r="A4450" s="345" t="str">
        <f t="shared" si="131"/>
        <v>I.3.1.2.02.00415</v>
      </c>
      <c r="B4450" s="345">
        <v>15</v>
      </c>
      <c r="C4450" s="319" t="str">
        <f>IFERROR(VLOOKUP(A4450,[3]DOORSCRIEFT!$A$2:$G$8551,2,FALSE),"")</f>
        <v/>
      </c>
      <c r="D4450" s="318" t="str">
        <f>IFERROR(VLOOKUP(A4450,[3]DOORSCRIEFT!$A$2:$G$8551,3,FALSE),"")</f>
        <v/>
      </c>
      <c r="E4450" s="317" t="str">
        <f>IFERROR(VLOOKUP(A4450,[3]DOORSCRIEFT!$A$2:$G$8551,4,FALSE),"")</f>
        <v/>
      </c>
      <c r="F4450" s="316" t="str">
        <f>IFERROR(VLOOKUP(A4450,[3]DOORSCRIEFT!$A$2:$G$8551,6,FALSE),"")</f>
        <v/>
      </c>
      <c r="G4450" s="315"/>
    </row>
    <row r="4451" spans="1:7" ht="15.75" thickBot="1" x14ac:dyDescent="0.3">
      <c r="A4451" s="344"/>
      <c r="B4451" s="343"/>
      <c r="C4451" s="336"/>
      <c r="D4451" s="312"/>
      <c r="E4451" s="311" t="s">
        <v>644</v>
      </c>
      <c r="F4451" s="310">
        <f>SUM(F4436:F4450)</f>
        <v>0</v>
      </c>
      <c r="G4451" s="309">
        <f>SUM(G4436:G4450)</f>
        <v>0</v>
      </c>
    </row>
    <row r="4452" spans="1:7" x14ac:dyDescent="0.25">
      <c r="C4452" s="335"/>
    </row>
    <row r="4453" spans="1:7" x14ac:dyDescent="0.25">
      <c r="C4453" s="335"/>
    </row>
    <row r="4454" spans="1:7" ht="15.75" x14ac:dyDescent="0.25">
      <c r="C4454" s="334"/>
      <c r="D4454" s="333"/>
      <c r="E4454" s="332"/>
      <c r="F4454" s="327" t="s">
        <v>607</v>
      </c>
      <c r="G4454" s="327" t="s">
        <v>377</v>
      </c>
    </row>
    <row r="4455" spans="1:7" ht="15.75" x14ac:dyDescent="0.25">
      <c r="C4455" s="334"/>
      <c r="D4455" s="333"/>
      <c r="E4455" s="332"/>
      <c r="F4455" s="327" t="s">
        <v>601</v>
      </c>
      <c r="G4455" s="327" t="s">
        <v>133</v>
      </c>
    </row>
    <row r="4456" spans="1:7" x14ac:dyDescent="0.25">
      <c r="C4456" s="330"/>
      <c r="D4456" s="329"/>
      <c r="E4456" s="328"/>
      <c r="F4456" s="327" t="s">
        <v>651</v>
      </c>
      <c r="G4456" s="331">
        <f>[2]Sheet1!$D$127</f>
        <v>0</v>
      </c>
    </row>
    <row r="4457" spans="1:7" ht="15.75" thickBot="1" x14ac:dyDescent="0.3">
      <c r="C4457" s="330"/>
      <c r="D4457" s="329"/>
      <c r="E4457" s="328"/>
      <c r="F4457" s="327" t="s">
        <v>650</v>
      </c>
      <c r="G4457" s="326">
        <f>+F4476-G4456</f>
        <v>0</v>
      </c>
    </row>
    <row r="4458" spans="1:7" x14ac:dyDescent="0.25">
      <c r="A4458" s="573" t="s">
        <v>626</v>
      </c>
      <c r="B4458" s="573" t="s">
        <v>606</v>
      </c>
      <c r="C4458" s="588" t="s">
        <v>649</v>
      </c>
      <c r="D4458" s="577" t="s">
        <v>648</v>
      </c>
      <c r="E4458" s="577" t="s">
        <v>647</v>
      </c>
      <c r="F4458" s="577" t="s">
        <v>646</v>
      </c>
      <c r="G4458" s="580" t="s">
        <v>645</v>
      </c>
    </row>
    <row r="4459" spans="1:7" ht="15.75" thickBot="1" x14ac:dyDescent="0.3">
      <c r="A4459" s="574"/>
      <c r="B4459" s="574"/>
      <c r="C4459" s="589"/>
      <c r="D4459" s="586"/>
      <c r="E4459" s="586"/>
      <c r="F4459" s="586"/>
      <c r="G4459" s="587"/>
    </row>
    <row r="4460" spans="1:7" ht="15.75" thickBot="1" x14ac:dyDescent="0.3">
      <c r="A4460" s="325">
        <v>1</v>
      </c>
      <c r="B4460" s="324">
        <v>2</v>
      </c>
      <c r="C4460" s="324">
        <v>3</v>
      </c>
      <c r="D4460" s="324">
        <v>4</v>
      </c>
      <c r="E4460" s="324">
        <v>5</v>
      </c>
      <c r="F4460" s="324">
        <v>6</v>
      </c>
      <c r="G4460" s="323">
        <v>7</v>
      </c>
    </row>
    <row r="4461" spans="1:7" x14ac:dyDescent="0.25">
      <c r="A4461" s="339" t="str">
        <f t="shared" ref="A4461:A4475" si="132">$G$4454&amp;B4461</f>
        <v>I.3.1.2.02.0051</v>
      </c>
      <c r="B4461" s="339">
        <v>1</v>
      </c>
      <c r="C4461" s="319" t="str">
        <f>IFERROR(VLOOKUP(A4461,[3]DOORSCRIEFT!$A$2:$G$8551,2,FALSE),"")</f>
        <v/>
      </c>
      <c r="D4461" s="318" t="str">
        <f>IFERROR(VLOOKUP(A4461,[3]DOORSCRIEFT!$A$2:$G$8551,3,FALSE),"")</f>
        <v/>
      </c>
      <c r="E4461" s="317" t="str">
        <f>IFERROR(VLOOKUP(A4461,[3]DOORSCRIEFT!$A$2:$G$8551,4,FALSE),"")</f>
        <v/>
      </c>
      <c r="F4461" s="316" t="str">
        <f>IFERROR(VLOOKUP(A4461,[3]DOORSCRIEFT!$A$2:$G$8551,6,FALSE),"")</f>
        <v/>
      </c>
      <c r="G4461" s="322"/>
    </row>
    <row r="4462" spans="1:7" x14ac:dyDescent="0.25">
      <c r="A4462" s="319" t="str">
        <f t="shared" si="132"/>
        <v>I.3.1.2.02.0052</v>
      </c>
      <c r="B4462" s="319">
        <v>2</v>
      </c>
      <c r="C4462" s="319" t="str">
        <f>IFERROR(VLOOKUP(A4462,[3]DOORSCRIEFT!$A$2:$G$8551,2,FALSE),"")</f>
        <v/>
      </c>
      <c r="D4462" s="318" t="str">
        <f>IFERROR(VLOOKUP(A4462,[3]DOORSCRIEFT!$A$2:$G$8551,3,FALSE),"")</f>
        <v/>
      </c>
      <c r="E4462" s="317" t="str">
        <f>IFERROR(VLOOKUP(A4462,[3]DOORSCRIEFT!$A$2:$G$8551,4,FALSE),"")</f>
        <v/>
      </c>
      <c r="F4462" s="316" t="str">
        <f>IFERROR(VLOOKUP(A4462,[3]DOORSCRIEFT!$A$2:$G$8551,6,FALSE),"")</f>
        <v/>
      </c>
      <c r="G4462" s="315"/>
    </row>
    <row r="4463" spans="1:7" x14ac:dyDescent="0.25">
      <c r="A4463" s="319" t="str">
        <f t="shared" si="132"/>
        <v>I.3.1.2.02.0053</v>
      </c>
      <c r="B4463" s="319">
        <v>3</v>
      </c>
      <c r="C4463" s="319" t="str">
        <f>IFERROR(VLOOKUP(A4463,[3]DOORSCRIEFT!$A$2:$G$8551,2,FALSE),"")</f>
        <v/>
      </c>
      <c r="D4463" s="318" t="str">
        <f>IFERROR(VLOOKUP(A4463,[3]DOORSCRIEFT!$A$2:$G$8551,3,FALSE),"")</f>
        <v/>
      </c>
      <c r="E4463" s="317" t="str">
        <f>IFERROR(VLOOKUP(A4463,[3]DOORSCRIEFT!$A$2:$G$8551,4,FALSE),"")</f>
        <v/>
      </c>
      <c r="F4463" s="316" t="str">
        <f>IFERROR(VLOOKUP(A4463,[3]DOORSCRIEFT!$A$2:$G$8551,6,FALSE),"")</f>
        <v/>
      </c>
      <c r="G4463" s="315"/>
    </row>
    <row r="4464" spans="1:7" x14ac:dyDescent="0.25">
      <c r="A4464" s="319" t="str">
        <f t="shared" si="132"/>
        <v>I.3.1.2.02.0054</v>
      </c>
      <c r="B4464" s="319">
        <v>4</v>
      </c>
      <c r="C4464" s="319" t="str">
        <f>IFERROR(VLOOKUP(A4464,[3]DOORSCRIEFT!$A$2:$G$8551,2,FALSE),"")</f>
        <v/>
      </c>
      <c r="D4464" s="318" t="str">
        <f>IFERROR(VLOOKUP(A4464,[3]DOORSCRIEFT!$A$2:$G$8551,3,FALSE),"")</f>
        <v/>
      </c>
      <c r="E4464" s="317" t="str">
        <f>IFERROR(VLOOKUP(A4464,[3]DOORSCRIEFT!$A$2:$G$8551,4,FALSE),"")</f>
        <v/>
      </c>
      <c r="F4464" s="316" t="str">
        <f>IFERROR(VLOOKUP(A4464,[3]DOORSCRIEFT!$A$2:$G$8551,6,FALSE),"")</f>
        <v/>
      </c>
      <c r="G4464" s="315"/>
    </row>
    <row r="4465" spans="1:7" x14ac:dyDescent="0.25">
      <c r="A4465" s="319" t="str">
        <f t="shared" si="132"/>
        <v>I.3.1.2.02.0055</v>
      </c>
      <c r="B4465" s="319">
        <v>5</v>
      </c>
      <c r="C4465" s="319" t="str">
        <f>IFERROR(VLOOKUP(A4465,[3]DOORSCRIEFT!$A$2:$G$8551,2,FALSE),"")</f>
        <v/>
      </c>
      <c r="D4465" s="318" t="str">
        <f>IFERROR(VLOOKUP(A4465,[3]DOORSCRIEFT!$A$2:$G$8551,3,FALSE),"")</f>
        <v/>
      </c>
      <c r="E4465" s="317" t="str">
        <f>IFERROR(VLOOKUP(A4465,[3]DOORSCRIEFT!$A$2:$G$8551,4,FALSE),"")</f>
        <v/>
      </c>
      <c r="F4465" s="316" t="str">
        <f>IFERROR(VLOOKUP(A4465,[3]DOORSCRIEFT!$A$2:$G$8551,6,FALSE),"")</f>
        <v/>
      </c>
      <c r="G4465" s="315"/>
    </row>
    <row r="4466" spans="1:7" x14ac:dyDescent="0.25">
      <c r="A4466" s="319" t="str">
        <f t="shared" si="132"/>
        <v>I.3.1.2.02.0056</v>
      </c>
      <c r="B4466" s="319">
        <v>6</v>
      </c>
      <c r="C4466" s="319" t="str">
        <f>IFERROR(VLOOKUP(A4466,[3]DOORSCRIEFT!$A$2:$G$8551,2,FALSE),"")</f>
        <v/>
      </c>
      <c r="D4466" s="318" t="str">
        <f>IFERROR(VLOOKUP(A4466,[3]DOORSCRIEFT!$A$2:$G$8551,3,FALSE),"")</f>
        <v/>
      </c>
      <c r="E4466" s="317" t="str">
        <f>IFERROR(VLOOKUP(A4466,[3]DOORSCRIEFT!$A$2:$G$8551,4,FALSE),"")</f>
        <v/>
      </c>
      <c r="F4466" s="316" t="str">
        <f>IFERROR(VLOOKUP(A4466,[3]DOORSCRIEFT!$A$2:$G$8551,6,FALSE),"")</f>
        <v/>
      </c>
      <c r="G4466" s="315"/>
    </row>
    <row r="4467" spans="1:7" x14ac:dyDescent="0.25">
      <c r="A4467" s="319" t="str">
        <f t="shared" si="132"/>
        <v>I.3.1.2.02.0057</v>
      </c>
      <c r="B4467" s="319">
        <v>7</v>
      </c>
      <c r="C4467" s="319" t="str">
        <f>IFERROR(VLOOKUP(A4467,[3]DOORSCRIEFT!$A$2:$G$8551,2,FALSE),"")</f>
        <v/>
      </c>
      <c r="D4467" s="318" t="str">
        <f>IFERROR(VLOOKUP(A4467,[3]DOORSCRIEFT!$A$2:$G$8551,3,FALSE),"")</f>
        <v/>
      </c>
      <c r="E4467" s="317" t="str">
        <f>IFERROR(VLOOKUP(A4467,[3]DOORSCRIEFT!$A$2:$G$8551,4,FALSE),"")</f>
        <v/>
      </c>
      <c r="F4467" s="316" t="str">
        <f>IFERROR(VLOOKUP(A4467,[3]DOORSCRIEFT!$A$2:$G$8551,6,FALSE),"")</f>
        <v/>
      </c>
      <c r="G4467" s="315"/>
    </row>
    <row r="4468" spans="1:7" x14ac:dyDescent="0.25">
      <c r="A4468" s="319" t="str">
        <f t="shared" si="132"/>
        <v>I.3.1.2.02.0058</v>
      </c>
      <c r="B4468" s="319">
        <v>8</v>
      </c>
      <c r="C4468" s="319" t="str">
        <f>IFERROR(VLOOKUP(A4468,[3]DOORSCRIEFT!$A$2:$G$8551,2,FALSE),"")</f>
        <v/>
      </c>
      <c r="D4468" s="318" t="str">
        <f>IFERROR(VLOOKUP(A4468,[3]DOORSCRIEFT!$A$2:$G$8551,3,FALSE),"")</f>
        <v/>
      </c>
      <c r="E4468" s="317" t="str">
        <f>IFERROR(VLOOKUP(A4468,[3]DOORSCRIEFT!$A$2:$G$8551,4,FALSE),"")</f>
        <v/>
      </c>
      <c r="F4468" s="316" t="str">
        <f>IFERROR(VLOOKUP(A4468,[3]DOORSCRIEFT!$A$2:$G$8551,6,FALSE),"")</f>
        <v/>
      </c>
      <c r="G4468" s="315"/>
    </row>
    <row r="4469" spans="1:7" x14ac:dyDescent="0.25">
      <c r="A4469" s="319" t="str">
        <f t="shared" si="132"/>
        <v>I.3.1.2.02.0059</v>
      </c>
      <c r="B4469" s="319">
        <v>9</v>
      </c>
      <c r="C4469" s="319" t="str">
        <f>IFERROR(VLOOKUP(A4469,[3]DOORSCRIEFT!$A$2:$G$8551,2,FALSE),"")</f>
        <v/>
      </c>
      <c r="D4469" s="318" t="str">
        <f>IFERROR(VLOOKUP(A4469,[3]DOORSCRIEFT!$A$2:$G$8551,3,FALSE),"")</f>
        <v/>
      </c>
      <c r="E4469" s="317" t="str">
        <f>IFERROR(VLOOKUP(A4469,[3]DOORSCRIEFT!$A$2:$G$8551,4,FALSE),"")</f>
        <v/>
      </c>
      <c r="F4469" s="316" t="str">
        <f>IFERROR(VLOOKUP(A4469,[3]DOORSCRIEFT!$A$2:$G$8551,6,FALSE),"")</f>
        <v/>
      </c>
      <c r="G4469" s="315"/>
    </row>
    <row r="4470" spans="1:7" x14ac:dyDescent="0.25">
      <c r="A4470" s="319" t="str">
        <f t="shared" si="132"/>
        <v>I.3.1.2.02.00510</v>
      </c>
      <c r="B4470" s="319">
        <v>10</v>
      </c>
      <c r="C4470" s="319" t="str">
        <f>IFERROR(VLOOKUP(A4470,[3]DOORSCRIEFT!$A$2:$G$8551,2,FALSE),"")</f>
        <v/>
      </c>
      <c r="D4470" s="318" t="str">
        <f>IFERROR(VLOOKUP(A4470,[3]DOORSCRIEFT!$A$2:$G$8551,3,FALSE),"")</f>
        <v/>
      </c>
      <c r="E4470" s="317" t="str">
        <f>IFERROR(VLOOKUP(A4470,[3]DOORSCRIEFT!$A$2:$G$8551,4,FALSE),"")</f>
        <v/>
      </c>
      <c r="F4470" s="316" t="str">
        <f>IFERROR(VLOOKUP(A4470,[3]DOORSCRIEFT!$A$2:$G$8551,6,FALSE),"")</f>
        <v/>
      </c>
      <c r="G4470" s="315"/>
    </row>
    <row r="4471" spans="1:7" x14ac:dyDescent="0.25">
      <c r="A4471" s="319" t="str">
        <f t="shared" si="132"/>
        <v>I.3.1.2.02.00511</v>
      </c>
      <c r="B4471" s="319">
        <v>11</v>
      </c>
      <c r="C4471" s="319" t="str">
        <f>IFERROR(VLOOKUP(A4471,[3]DOORSCRIEFT!$A$2:$G$8551,2,FALSE),"")</f>
        <v/>
      </c>
      <c r="D4471" s="318" t="str">
        <f>IFERROR(VLOOKUP(A4471,[3]DOORSCRIEFT!$A$2:$G$8551,3,FALSE),"")</f>
        <v/>
      </c>
      <c r="E4471" s="317" t="str">
        <f>IFERROR(VLOOKUP(A4471,[3]DOORSCRIEFT!$A$2:$G$8551,4,FALSE),"")</f>
        <v/>
      </c>
      <c r="F4471" s="316" t="str">
        <f>IFERROR(VLOOKUP(A4471,[3]DOORSCRIEFT!$A$2:$G$8551,6,FALSE),"")</f>
        <v/>
      </c>
      <c r="G4471" s="315"/>
    </row>
    <row r="4472" spans="1:7" x14ac:dyDescent="0.25">
      <c r="A4472" s="319" t="str">
        <f t="shared" si="132"/>
        <v>I.3.1.2.02.00512</v>
      </c>
      <c r="B4472" s="319">
        <v>12</v>
      </c>
      <c r="C4472" s="319" t="str">
        <f>IFERROR(VLOOKUP(A4472,[3]DOORSCRIEFT!$A$2:$G$8551,2,FALSE),"")</f>
        <v/>
      </c>
      <c r="D4472" s="318" t="str">
        <f>IFERROR(VLOOKUP(A4472,[3]DOORSCRIEFT!$A$2:$G$8551,3,FALSE),"")</f>
        <v/>
      </c>
      <c r="E4472" s="317" t="str">
        <f>IFERROR(VLOOKUP(A4472,[3]DOORSCRIEFT!$A$2:$G$8551,4,FALSE),"")</f>
        <v/>
      </c>
      <c r="F4472" s="316" t="str">
        <f>IFERROR(VLOOKUP(A4472,[3]DOORSCRIEFT!$A$2:$G$8551,6,FALSE),"")</f>
        <v/>
      </c>
      <c r="G4472" s="315"/>
    </row>
    <row r="4473" spans="1:7" x14ac:dyDescent="0.25">
      <c r="A4473" s="319" t="str">
        <f t="shared" si="132"/>
        <v>I.3.1.2.02.00513</v>
      </c>
      <c r="B4473" s="319">
        <v>13</v>
      </c>
      <c r="C4473" s="319" t="str">
        <f>IFERROR(VLOOKUP(A4473,[3]DOORSCRIEFT!$A$2:$G$8551,2,FALSE),"")</f>
        <v/>
      </c>
      <c r="D4473" s="318" t="str">
        <f>IFERROR(VLOOKUP(A4473,[3]DOORSCRIEFT!$A$2:$G$8551,3,FALSE),"")</f>
        <v/>
      </c>
      <c r="E4473" s="317" t="str">
        <f>IFERROR(VLOOKUP(A4473,[3]DOORSCRIEFT!$A$2:$G$8551,4,FALSE),"")</f>
        <v/>
      </c>
      <c r="F4473" s="316" t="str">
        <f>IFERROR(VLOOKUP(A4473,[3]DOORSCRIEFT!$A$2:$G$8551,6,FALSE),"")</f>
        <v/>
      </c>
      <c r="G4473" s="315"/>
    </row>
    <row r="4474" spans="1:7" x14ac:dyDescent="0.25">
      <c r="A4474" s="319" t="str">
        <f t="shared" si="132"/>
        <v>I.3.1.2.02.00514</v>
      </c>
      <c r="B4474" s="319">
        <v>14</v>
      </c>
      <c r="C4474" s="319" t="str">
        <f>IFERROR(VLOOKUP(A4474,[3]DOORSCRIEFT!$A$2:$G$8551,2,FALSE),"")</f>
        <v/>
      </c>
      <c r="D4474" s="318" t="str">
        <f>IFERROR(VLOOKUP(A4474,[3]DOORSCRIEFT!$A$2:$G$8551,3,FALSE),"")</f>
        <v/>
      </c>
      <c r="E4474" s="317" t="str">
        <f>IFERROR(VLOOKUP(A4474,[3]DOORSCRIEFT!$A$2:$G$8551,4,FALSE),"")</f>
        <v/>
      </c>
      <c r="F4474" s="316" t="str">
        <f>IFERROR(VLOOKUP(A4474,[3]DOORSCRIEFT!$A$2:$G$8551,6,FALSE),"")</f>
        <v/>
      </c>
      <c r="G4474" s="315"/>
    </row>
    <row r="4475" spans="1:7" ht="15.75" thickBot="1" x14ac:dyDescent="0.3">
      <c r="A4475" s="345" t="str">
        <f t="shared" si="132"/>
        <v>I.3.1.2.02.00515</v>
      </c>
      <c r="B4475" s="345">
        <v>15</v>
      </c>
      <c r="C4475" s="319" t="str">
        <f>IFERROR(VLOOKUP(A4475,[3]DOORSCRIEFT!$A$2:$G$8551,2,FALSE),"")</f>
        <v/>
      </c>
      <c r="D4475" s="318" t="str">
        <f>IFERROR(VLOOKUP(A4475,[3]DOORSCRIEFT!$A$2:$G$8551,3,FALSE),"")</f>
        <v/>
      </c>
      <c r="E4475" s="317" t="str">
        <f>IFERROR(VLOOKUP(A4475,[3]DOORSCRIEFT!$A$2:$G$8551,4,FALSE),"")</f>
        <v/>
      </c>
      <c r="F4475" s="316" t="str">
        <f>IFERROR(VLOOKUP(A4475,[3]DOORSCRIEFT!$A$2:$G$8551,6,FALSE),"")</f>
        <v/>
      </c>
      <c r="G4475" s="315"/>
    </row>
    <row r="4476" spans="1:7" ht="15.75" thickBot="1" x14ac:dyDescent="0.3">
      <c r="A4476" s="344"/>
      <c r="B4476" s="343"/>
      <c r="C4476" s="336"/>
      <c r="D4476" s="312"/>
      <c r="E4476" s="311" t="s">
        <v>644</v>
      </c>
      <c r="F4476" s="310">
        <f>SUM(F4461:F4475)</f>
        <v>0</v>
      </c>
      <c r="G4476" s="309">
        <f>SUM(G4461:G4475)</f>
        <v>0</v>
      </c>
    </row>
    <row r="4477" spans="1:7" x14ac:dyDescent="0.25">
      <c r="C4477" s="335"/>
    </row>
    <row r="4478" spans="1:7" x14ac:dyDescent="0.25">
      <c r="C4478" s="335"/>
    </row>
    <row r="4479" spans="1:7" ht="15.75" x14ac:dyDescent="0.25">
      <c r="C4479" s="334"/>
      <c r="D4479" s="333"/>
      <c r="E4479" s="332"/>
      <c r="F4479" s="327" t="s">
        <v>607</v>
      </c>
      <c r="G4479" s="327" t="s">
        <v>373</v>
      </c>
    </row>
    <row r="4480" spans="1:7" ht="15.75" x14ac:dyDescent="0.25">
      <c r="C4480" s="334"/>
      <c r="D4480" s="333"/>
      <c r="E4480" s="332"/>
      <c r="F4480" s="327" t="s">
        <v>601</v>
      </c>
      <c r="G4480" s="327" t="s">
        <v>372</v>
      </c>
    </row>
    <row r="4481" spans="1:7" x14ac:dyDescent="0.25">
      <c r="C4481" s="330"/>
      <c r="D4481" s="329"/>
      <c r="E4481" s="328"/>
      <c r="F4481" s="327" t="s">
        <v>651</v>
      </c>
      <c r="G4481" s="331">
        <f>[2]Sheet1!$D$131</f>
        <v>0</v>
      </c>
    </row>
    <row r="4482" spans="1:7" ht="15.75" thickBot="1" x14ac:dyDescent="0.3">
      <c r="C4482" s="330"/>
      <c r="D4482" s="329"/>
      <c r="E4482" s="328"/>
      <c r="F4482" s="327" t="s">
        <v>650</v>
      </c>
      <c r="G4482" s="326">
        <f>+F4501-G4481</f>
        <v>0</v>
      </c>
    </row>
    <row r="4483" spans="1:7" x14ac:dyDescent="0.25">
      <c r="A4483" s="573" t="s">
        <v>626</v>
      </c>
      <c r="B4483" s="573" t="s">
        <v>606</v>
      </c>
      <c r="C4483" s="588" t="s">
        <v>649</v>
      </c>
      <c r="D4483" s="577" t="s">
        <v>648</v>
      </c>
      <c r="E4483" s="577" t="s">
        <v>647</v>
      </c>
      <c r="F4483" s="577" t="s">
        <v>646</v>
      </c>
      <c r="G4483" s="580" t="s">
        <v>645</v>
      </c>
    </row>
    <row r="4484" spans="1:7" ht="15.75" thickBot="1" x14ac:dyDescent="0.3">
      <c r="A4484" s="574"/>
      <c r="B4484" s="574"/>
      <c r="C4484" s="589"/>
      <c r="D4484" s="586"/>
      <c r="E4484" s="586"/>
      <c r="F4484" s="586"/>
      <c r="G4484" s="587"/>
    </row>
    <row r="4485" spans="1:7" ht="15.75" thickBot="1" x14ac:dyDescent="0.3">
      <c r="A4485" s="325">
        <v>1</v>
      </c>
      <c r="B4485" s="324">
        <v>2</v>
      </c>
      <c r="C4485" s="324">
        <v>3</v>
      </c>
      <c r="D4485" s="324">
        <v>4</v>
      </c>
      <c r="E4485" s="324">
        <v>5</v>
      </c>
      <c r="F4485" s="324">
        <v>6</v>
      </c>
      <c r="G4485" s="323">
        <v>7</v>
      </c>
    </row>
    <row r="4486" spans="1:7" x14ac:dyDescent="0.25">
      <c r="A4486" s="339" t="str">
        <f t="shared" ref="A4486:A4500" si="133">$G$4479&amp;B4486</f>
        <v>I.3.1.3.01.0011</v>
      </c>
      <c r="B4486" s="339">
        <v>1</v>
      </c>
      <c r="C4486" s="319" t="str">
        <f>IFERROR(VLOOKUP(A4486,[3]DOORSCRIEFT!$A$2:$G$8551,2,FALSE),"")</f>
        <v/>
      </c>
      <c r="D4486" s="318" t="str">
        <f>IFERROR(VLOOKUP(A4486,[3]DOORSCRIEFT!$A$2:$G$8551,3,FALSE),"")</f>
        <v/>
      </c>
      <c r="E4486" s="317" t="str">
        <f>IFERROR(VLOOKUP(A4486,[3]DOORSCRIEFT!$A$2:$G$8551,4,FALSE),"")</f>
        <v/>
      </c>
      <c r="F4486" s="316" t="str">
        <f>IFERROR(VLOOKUP(A4486,[3]DOORSCRIEFT!$A$2:$G$8551,6,FALSE),"")</f>
        <v/>
      </c>
      <c r="G4486" s="322"/>
    </row>
    <row r="4487" spans="1:7" x14ac:dyDescent="0.25">
      <c r="A4487" s="319" t="str">
        <f t="shared" si="133"/>
        <v>I.3.1.3.01.0012</v>
      </c>
      <c r="B4487" s="319">
        <v>2</v>
      </c>
      <c r="C4487" s="319" t="str">
        <f>IFERROR(VLOOKUP(A4487,[3]DOORSCRIEFT!$A$2:$G$8551,2,FALSE),"")</f>
        <v/>
      </c>
      <c r="D4487" s="318" t="str">
        <f>IFERROR(VLOOKUP(A4487,[3]DOORSCRIEFT!$A$2:$G$8551,3,FALSE),"")</f>
        <v/>
      </c>
      <c r="E4487" s="317" t="str">
        <f>IFERROR(VLOOKUP(A4487,[3]DOORSCRIEFT!$A$2:$G$8551,4,FALSE),"")</f>
        <v/>
      </c>
      <c r="F4487" s="316" t="str">
        <f>IFERROR(VLOOKUP(A4487,[3]DOORSCRIEFT!$A$2:$G$8551,6,FALSE),"")</f>
        <v/>
      </c>
      <c r="G4487" s="315"/>
    </row>
    <row r="4488" spans="1:7" x14ac:dyDescent="0.25">
      <c r="A4488" s="319" t="str">
        <f t="shared" si="133"/>
        <v>I.3.1.3.01.0013</v>
      </c>
      <c r="B4488" s="319">
        <v>3</v>
      </c>
      <c r="C4488" s="319" t="str">
        <f>IFERROR(VLOOKUP(A4488,[3]DOORSCRIEFT!$A$2:$G$8551,2,FALSE),"")</f>
        <v/>
      </c>
      <c r="D4488" s="318" t="str">
        <f>IFERROR(VLOOKUP(A4488,[3]DOORSCRIEFT!$A$2:$G$8551,3,FALSE),"")</f>
        <v/>
      </c>
      <c r="E4488" s="317" t="str">
        <f>IFERROR(VLOOKUP(A4488,[3]DOORSCRIEFT!$A$2:$G$8551,4,FALSE),"")</f>
        <v/>
      </c>
      <c r="F4488" s="316" t="str">
        <f>IFERROR(VLOOKUP(A4488,[3]DOORSCRIEFT!$A$2:$G$8551,6,FALSE),"")</f>
        <v/>
      </c>
      <c r="G4488" s="315"/>
    </row>
    <row r="4489" spans="1:7" x14ac:dyDescent="0.25">
      <c r="A4489" s="319" t="str">
        <f t="shared" si="133"/>
        <v>I.3.1.3.01.0014</v>
      </c>
      <c r="B4489" s="319">
        <v>4</v>
      </c>
      <c r="C4489" s="319" t="str">
        <f>IFERROR(VLOOKUP(A4489,[3]DOORSCRIEFT!$A$2:$G$8551,2,FALSE),"")</f>
        <v/>
      </c>
      <c r="D4489" s="318" t="str">
        <f>IFERROR(VLOOKUP(A4489,[3]DOORSCRIEFT!$A$2:$G$8551,3,FALSE),"")</f>
        <v/>
      </c>
      <c r="E4489" s="317" t="str">
        <f>IFERROR(VLOOKUP(A4489,[3]DOORSCRIEFT!$A$2:$G$8551,4,FALSE),"")</f>
        <v/>
      </c>
      <c r="F4489" s="316" t="str">
        <f>IFERROR(VLOOKUP(A4489,[3]DOORSCRIEFT!$A$2:$G$8551,6,FALSE),"")</f>
        <v/>
      </c>
      <c r="G4489" s="315"/>
    </row>
    <row r="4490" spans="1:7" x14ac:dyDescent="0.25">
      <c r="A4490" s="319" t="str">
        <f t="shared" si="133"/>
        <v>I.3.1.3.01.0015</v>
      </c>
      <c r="B4490" s="319">
        <v>5</v>
      </c>
      <c r="C4490" s="319" t="str">
        <f>IFERROR(VLOOKUP(A4490,[3]DOORSCRIEFT!$A$2:$G$8551,2,FALSE),"")</f>
        <v/>
      </c>
      <c r="D4490" s="318" t="str">
        <f>IFERROR(VLOOKUP(A4490,[3]DOORSCRIEFT!$A$2:$G$8551,3,FALSE),"")</f>
        <v/>
      </c>
      <c r="E4490" s="317" t="str">
        <f>IFERROR(VLOOKUP(A4490,[3]DOORSCRIEFT!$A$2:$G$8551,4,FALSE),"")</f>
        <v/>
      </c>
      <c r="F4490" s="316" t="str">
        <f>IFERROR(VLOOKUP(A4490,[3]DOORSCRIEFT!$A$2:$G$8551,6,FALSE),"")</f>
        <v/>
      </c>
      <c r="G4490" s="315"/>
    </row>
    <row r="4491" spans="1:7" x14ac:dyDescent="0.25">
      <c r="A4491" s="319" t="str">
        <f t="shared" si="133"/>
        <v>I.3.1.3.01.0016</v>
      </c>
      <c r="B4491" s="319">
        <v>6</v>
      </c>
      <c r="C4491" s="319" t="str">
        <f>IFERROR(VLOOKUP(A4491,[3]DOORSCRIEFT!$A$2:$G$8551,2,FALSE),"")</f>
        <v/>
      </c>
      <c r="D4491" s="318" t="str">
        <f>IFERROR(VLOOKUP(A4491,[3]DOORSCRIEFT!$A$2:$G$8551,3,FALSE),"")</f>
        <v/>
      </c>
      <c r="E4491" s="317" t="str">
        <f>IFERROR(VLOOKUP(A4491,[3]DOORSCRIEFT!$A$2:$G$8551,4,FALSE),"")</f>
        <v/>
      </c>
      <c r="F4491" s="316" t="str">
        <f>IFERROR(VLOOKUP(A4491,[3]DOORSCRIEFT!$A$2:$G$8551,6,FALSE),"")</f>
        <v/>
      </c>
      <c r="G4491" s="315"/>
    </row>
    <row r="4492" spans="1:7" x14ac:dyDescent="0.25">
      <c r="A4492" s="319" t="str">
        <f t="shared" si="133"/>
        <v>I.3.1.3.01.0017</v>
      </c>
      <c r="B4492" s="319">
        <v>7</v>
      </c>
      <c r="C4492" s="319" t="str">
        <f>IFERROR(VLOOKUP(A4492,[3]DOORSCRIEFT!$A$2:$G$8551,2,FALSE),"")</f>
        <v/>
      </c>
      <c r="D4492" s="318" t="str">
        <f>IFERROR(VLOOKUP(A4492,[3]DOORSCRIEFT!$A$2:$G$8551,3,FALSE),"")</f>
        <v/>
      </c>
      <c r="E4492" s="317" t="str">
        <f>IFERROR(VLOOKUP(A4492,[3]DOORSCRIEFT!$A$2:$G$8551,4,FALSE),"")</f>
        <v/>
      </c>
      <c r="F4492" s="316" t="str">
        <f>IFERROR(VLOOKUP(A4492,[3]DOORSCRIEFT!$A$2:$G$8551,6,FALSE),"")</f>
        <v/>
      </c>
      <c r="G4492" s="315"/>
    </row>
    <row r="4493" spans="1:7" x14ac:dyDescent="0.25">
      <c r="A4493" s="319" t="str">
        <f t="shared" si="133"/>
        <v>I.3.1.3.01.0018</v>
      </c>
      <c r="B4493" s="319">
        <v>8</v>
      </c>
      <c r="C4493" s="319" t="str">
        <f>IFERROR(VLOOKUP(A4493,[3]DOORSCRIEFT!$A$2:$G$8551,2,FALSE),"")</f>
        <v/>
      </c>
      <c r="D4493" s="318" t="str">
        <f>IFERROR(VLOOKUP(A4493,[3]DOORSCRIEFT!$A$2:$G$8551,3,FALSE),"")</f>
        <v/>
      </c>
      <c r="E4493" s="317" t="str">
        <f>IFERROR(VLOOKUP(A4493,[3]DOORSCRIEFT!$A$2:$G$8551,4,FALSE),"")</f>
        <v/>
      </c>
      <c r="F4493" s="316" t="str">
        <f>IFERROR(VLOOKUP(A4493,[3]DOORSCRIEFT!$A$2:$G$8551,6,FALSE),"")</f>
        <v/>
      </c>
      <c r="G4493" s="315"/>
    </row>
    <row r="4494" spans="1:7" x14ac:dyDescent="0.25">
      <c r="A4494" s="319" t="str">
        <f t="shared" si="133"/>
        <v>I.3.1.3.01.0019</v>
      </c>
      <c r="B4494" s="319">
        <v>9</v>
      </c>
      <c r="C4494" s="319" t="str">
        <f>IFERROR(VLOOKUP(A4494,[3]DOORSCRIEFT!$A$2:$G$8551,2,FALSE),"")</f>
        <v/>
      </c>
      <c r="D4494" s="318" t="str">
        <f>IFERROR(VLOOKUP(A4494,[3]DOORSCRIEFT!$A$2:$G$8551,3,FALSE),"")</f>
        <v/>
      </c>
      <c r="E4494" s="317" t="str">
        <f>IFERROR(VLOOKUP(A4494,[3]DOORSCRIEFT!$A$2:$G$8551,4,FALSE),"")</f>
        <v/>
      </c>
      <c r="F4494" s="316" t="str">
        <f>IFERROR(VLOOKUP(A4494,[3]DOORSCRIEFT!$A$2:$G$8551,6,FALSE),"")</f>
        <v/>
      </c>
      <c r="G4494" s="315"/>
    </row>
    <row r="4495" spans="1:7" x14ac:dyDescent="0.25">
      <c r="A4495" s="319" t="str">
        <f t="shared" si="133"/>
        <v>I.3.1.3.01.00110</v>
      </c>
      <c r="B4495" s="319">
        <v>10</v>
      </c>
      <c r="C4495" s="319" t="str">
        <f>IFERROR(VLOOKUP(A4495,[3]DOORSCRIEFT!$A$2:$G$8551,2,FALSE),"")</f>
        <v/>
      </c>
      <c r="D4495" s="318" t="str">
        <f>IFERROR(VLOOKUP(A4495,[3]DOORSCRIEFT!$A$2:$G$8551,3,FALSE),"")</f>
        <v/>
      </c>
      <c r="E4495" s="317" t="str">
        <f>IFERROR(VLOOKUP(A4495,[3]DOORSCRIEFT!$A$2:$G$8551,4,FALSE),"")</f>
        <v/>
      </c>
      <c r="F4495" s="316" t="str">
        <f>IFERROR(VLOOKUP(A4495,[3]DOORSCRIEFT!$A$2:$G$8551,6,FALSE),"")</f>
        <v/>
      </c>
      <c r="G4495" s="315"/>
    </row>
    <row r="4496" spans="1:7" x14ac:dyDescent="0.25">
      <c r="A4496" s="319" t="str">
        <f t="shared" si="133"/>
        <v>I.3.1.3.01.00111</v>
      </c>
      <c r="B4496" s="319">
        <v>11</v>
      </c>
      <c r="C4496" s="319" t="str">
        <f>IFERROR(VLOOKUP(A4496,[3]DOORSCRIEFT!$A$2:$G$8551,2,FALSE),"")</f>
        <v/>
      </c>
      <c r="D4496" s="318" t="str">
        <f>IFERROR(VLOOKUP(A4496,[3]DOORSCRIEFT!$A$2:$G$8551,3,FALSE),"")</f>
        <v/>
      </c>
      <c r="E4496" s="317" t="str">
        <f>IFERROR(VLOOKUP(A4496,[3]DOORSCRIEFT!$A$2:$G$8551,4,FALSE),"")</f>
        <v/>
      </c>
      <c r="F4496" s="316" t="str">
        <f>IFERROR(VLOOKUP(A4496,[3]DOORSCRIEFT!$A$2:$G$8551,6,FALSE),"")</f>
        <v/>
      </c>
      <c r="G4496" s="315"/>
    </row>
    <row r="4497" spans="1:7" x14ac:dyDescent="0.25">
      <c r="A4497" s="319" t="str">
        <f t="shared" si="133"/>
        <v>I.3.1.3.01.00112</v>
      </c>
      <c r="B4497" s="319">
        <v>12</v>
      </c>
      <c r="C4497" s="319" t="str">
        <f>IFERROR(VLOOKUP(A4497,[3]DOORSCRIEFT!$A$2:$G$8551,2,FALSE),"")</f>
        <v/>
      </c>
      <c r="D4497" s="318" t="str">
        <f>IFERROR(VLOOKUP(A4497,[3]DOORSCRIEFT!$A$2:$G$8551,3,FALSE),"")</f>
        <v/>
      </c>
      <c r="E4497" s="317" t="str">
        <f>IFERROR(VLOOKUP(A4497,[3]DOORSCRIEFT!$A$2:$G$8551,4,FALSE),"")</f>
        <v/>
      </c>
      <c r="F4497" s="316" t="str">
        <f>IFERROR(VLOOKUP(A4497,[3]DOORSCRIEFT!$A$2:$G$8551,6,FALSE),"")</f>
        <v/>
      </c>
      <c r="G4497" s="315"/>
    </row>
    <row r="4498" spans="1:7" x14ac:dyDescent="0.25">
      <c r="A4498" s="319" t="str">
        <f t="shared" si="133"/>
        <v>I.3.1.3.01.00113</v>
      </c>
      <c r="B4498" s="319">
        <v>13</v>
      </c>
      <c r="C4498" s="319" t="str">
        <f>IFERROR(VLOOKUP(A4498,[3]DOORSCRIEFT!$A$2:$G$8551,2,FALSE),"")</f>
        <v/>
      </c>
      <c r="D4498" s="318" t="str">
        <f>IFERROR(VLOOKUP(A4498,[3]DOORSCRIEFT!$A$2:$G$8551,3,FALSE),"")</f>
        <v/>
      </c>
      <c r="E4498" s="317" t="str">
        <f>IFERROR(VLOOKUP(A4498,[3]DOORSCRIEFT!$A$2:$G$8551,4,FALSE),"")</f>
        <v/>
      </c>
      <c r="F4498" s="316" t="str">
        <f>IFERROR(VLOOKUP(A4498,[3]DOORSCRIEFT!$A$2:$G$8551,6,FALSE),"")</f>
        <v/>
      </c>
      <c r="G4498" s="315"/>
    </row>
    <row r="4499" spans="1:7" x14ac:dyDescent="0.25">
      <c r="A4499" s="319" t="str">
        <f t="shared" si="133"/>
        <v>I.3.1.3.01.00114</v>
      </c>
      <c r="B4499" s="319">
        <v>14</v>
      </c>
      <c r="C4499" s="319" t="str">
        <f>IFERROR(VLOOKUP(A4499,[3]DOORSCRIEFT!$A$2:$G$8551,2,FALSE),"")</f>
        <v/>
      </c>
      <c r="D4499" s="318" t="str">
        <f>IFERROR(VLOOKUP(A4499,[3]DOORSCRIEFT!$A$2:$G$8551,3,FALSE),"")</f>
        <v/>
      </c>
      <c r="E4499" s="317" t="str">
        <f>IFERROR(VLOOKUP(A4499,[3]DOORSCRIEFT!$A$2:$G$8551,4,FALSE),"")</f>
        <v/>
      </c>
      <c r="F4499" s="316" t="str">
        <f>IFERROR(VLOOKUP(A4499,[3]DOORSCRIEFT!$A$2:$G$8551,6,FALSE),"")</f>
        <v/>
      </c>
      <c r="G4499" s="315"/>
    </row>
    <row r="4500" spans="1:7" ht="15.75" thickBot="1" x14ac:dyDescent="0.3">
      <c r="A4500" s="345" t="str">
        <f t="shared" si="133"/>
        <v>I.3.1.3.01.00115</v>
      </c>
      <c r="B4500" s="345">
        <v>15</v>
      </c>
      <c r="C4500" s="319" t="str">
        <f>IFERROR(VLOOKUP(A4500,[3]DOORSCRIEFT!$A$2:$G$8551,2,FALSE),"")</f>
        <v/>
      </c>
      <c r="D4500" s="318" t="str">
        <f>IFERROR(VLOOKUP(A4500,[3]DOORSCRIEFT!$A$2:$G$8551,3,FALSE),"")</f>
        <v/>
      </c>
      <c r="E4500" s="317" t="str">
        <f>IFERROR(VLOOKUP(A4500,[3]DOORSCRIEFT!$A$2:$G$8551,4,FALSE),"")</f>
        <v/>
      </c>
      <c r="F4500" s="316" t="str">
        <f>IFERROR(VLOOKUP(A4500,[3]DOORSCRIEFT!$A$2:$G$8551,6,FALSE),"")</f>
        <v/>
      </c>
      <c r="G4500" s="315"/>
    </row>
    <row r="4501" spans="1:7" ht="15.75" thickBot="1" x14ac:dyDescent="0.3">
      <c r="A4501" s="344"/>
      <c r="B4501" s="343"/>
      <c r="C4501" s="336"/>
      <c r="D4501" s="312"/>
      <c r="E4501" s="311" t="s">
        <v>644</v>
      </c>
      <c r="F4501" s="310">
        <f>SUM(F4486:F4500)</f>
        <v>0</v>
      </c>
      <c r="G4501" s="309">
        <f>SUM(G4486:G4500)</f>
        <v>0</v>
      </c>
    </row>
    <row r="4502" spans="1:7" x14ac:dyDescent="0.25">
      <c r="C4502" s="335"/>
    </row>
    <row r="4503" spans="1:7" x14ac:dyDescent="0.25">
      <c r="C4503" s="335"/>
    </row>
    <row r="4504" spans="1:7" ht="15.75" x14ac:dyDescent="0.25">
      <c r="C4504" s="334"/>
      <c r="D4504" s="333"/>
      <c r="E4504" s="332"/>
      <c r="F4504" s="327" t="s">
        <v>607</v>
      </c>
      <c r="G4504" s="327" t="s">
        <v>371</v>
      </c>
    </row>
    <row r="4505" spans="1:7" ht="15.75" x14ac:dyDescent="0.25">
      <c r="C4505" s="334"/>
      <c r="D4505" s="333"/>
      <c r="E4505" s="332"/>
      <c r="F4505" s="327" t="s">
        <v>601</v>
      </c>
      <c r="G4505" s="327" t="s">
        <v>124</v>
      </c>
    </row>
    <row r="4506" spans="1:7" x14ac:dyDescent="0.25">
      <c r="C4506" s="330"/>
      <c r="D4506" s="329"/>
      <c r="E4506" s="328"/>
      <c r="F4506" s="327" t="s">
        <v>651</v>
      </c>
      <c r="G4506" s="331">
        <f>[2]Sheet1!$D$132</f>
        <v>0</v>
      </c>
    </row>
    <row r="4507" spans="1:7" ht="15.75" thickBot="1" x14ac:dyDescent="0.3">
      <c r="C4507" s="330"/>
      <c r="D4507" s="329"/>
      <c r="E4507" s="328"/>
      <c r="F4507" s="327" t="s">
        <v>650</v>
      </c>
      <c r="G4507" s="326">
        <f>+F4526-G4506</f>
        <v>0</v>
      </c>
    </row>
    <row r="4508" spans="1:7" x14ac:dyDescent="0.25">
      <c r="A4508" s="573" t="s">
        <v>626</v>
      </c>
      <c r="B4508" s="573" t="s">
        <v>606</v>
      </c>
      <c r="C4508" s="588" t="s">
        <v>649</v>
      </c>
      <c r="D4508" s="577" t="s">
        <v>648</v>
      </c>
      <c r="E4508" s="577" t="s">
        <v>647</v>
      </c>
      <c r="F4508" s="577" t="s">
        <v>646</v>
      </c>
      <c r="G4508" s="580" t="s">
        <v>645</v>
      </c>
    </row>
    <row r="4509" spans="1:7" ht="15.75" thickBot="1" x14ac:dyDescent="0.3">
      <c r="A4509" s="574"/>
      <c r="B4509" s="574"/>
      <c r="C4509" s="589"/>
      <c r="D4509" s="586"/>
      <c r="E4509" s="586"/>
      <c r="F4509" s="586"/>
      <c r="G4509" s="587"/>
    </row>
    <row r="4510" spans="1:7" ht="15.75" thickBot="1" x14ac:dyDescent="0.3">
      <c r="A4510" s="325">
        <v>1</v>
      </c>
      <c r="B4510" s="324">
        <v>2</v>
      </c>
      <c r="C4510" s="324">
        <v>3</v>
      </c>
      <c r="D4510" s="324">
        <v>4</v>
      </c>
      <c r="E4510" s="324">
        <v>5</v>
      </c>
      <c r="F4510" s="324">
        <v>6</v>
      </c>
      <c r="G4510" s="323">
        <v>7</v>
      </c>
    </row>
    <row r="4511" spans="1:7" x14ac:dyDescent="0.25">
      <c r="A4511" s="339" t="str">
        <f t="shared" ref="A4511:A4525" si="134">$G$4504&amp;B4511</f>
        <v>I.3.1.3.01.0021</v>
      </c>
      <c r="B4511" s="339">
        <v>1</v>
      </c>
      <c r="C4511" s="319" t="str">
        <f>IFERROR(VLOOKUP(A4511,[3]DOORSCRIEFT!$A$2:$G$8551,2,FALSE),"")</f>
        <v/>
      </c>
      <c r="D4511" s="318" t="str">
        <f>IFERROR(VLOOKUP(A4511,[3]DOORSCRIEFT!$A$2:$G$8551,3,FALSE),"")</f>
        <v/>
      </c>
      <c r="E4511" s="317" t="str">
        <f>IFERROR(VLOOKUP(A4511,[3]DOORSCRIEFT!$A$2:$G$8551,4,FALSE),"")</f>
        <v/>
      </c>
      <c r="F4511" s="316" t="str">
        <f>IFERROR(VLOOKUP(A4511,[3]DOORSCRIEFT!$A$2:$G$8551,6,FALSE),"")</f>
        <v/>
      </c>
      <c r="G4511" s="355"/>
    </row>
    <row r="4512" spans="1:7" x14ac:dyDescent="0.25">
      <c r="A4512" s="319" t="str">
        <f t="shared" si="134"/>
        <v>I.3.1.3.01.0022</v>
      </c>
      <c r="B4512" s="319">
        <v>2</v>
      </c>
      <c r="C4512" s="319" t="str">
        <f>IFERROR(VLOOKUP(A4512,[3]DOORSCRIEFT!$A$2:$G$8551,2,FALSE),"")</f>
        <v/>
      </c>
      <c r="D4512" s="318" t="str">
        <f>IFERROR(VLOOKUP(A4512,[3]DOORSCRIEFT!$A$2:$G$8551,3,FALSE),"")</f>
        <v/>
      </c>
      <c r="E4512" s="317" t="str">
        <f>IFERROR(VLOOKUP(A4512,[3]DOORSCRIEFT!$A$2:$G$8551,4,FALSE),"")</f>
        <v/>
      </c>
      <c r="F4512" s="316" t="str">
        <f>IFERROR(VLOOKUP(A4512,[3]DOORSCRIEFT!$A$2:$G$8551,6,FALSE),"")</f>
        <v/>
      </c>
      <c r="G4512" s="315"/>
    </row>
    <row r="4513" spans="1:7" x14ac:dyDescent="0.25">
      <c r="A4513" s="319" t="str">
        <f t="shared" si="134"/>
        <v>I.3.1.3.01.0023</v>
      </c>
      <c r="B4513" s="319">
        <v>3</v>
      </c>
      <c r="C4513" s="319" t="str">
        <f>IFERROR(VLOOKUP(A4513,[3]DOORSCRIEFT!$A$2:$G$8551,2,FALSE),"")</f>
        <v/>
      </c>
      <c r="D4513" s="318" t="str">
        <f>IFERROR(VLOOKUP(A4513,[3]DOORSCRIEFT!$A$2:$G$8551,3,FALSE),"")</f>
        <v/>
      </c>
      <c r="E4513" s="317" t="str">
        <f>IFERROR(VLOOKUP(A4513,[3]DOORSCRIEFT!$A$2:$G$8551,4,FALSE),"")</f>
        <v/>
      </c>
      <c r="F4513" s="316" t="str">
        <f>IFERROR(VLOOKUP(A4513,[3]DOORSCRIEFT!$A$2:$G$8551,6,FALSE),"")</f>
        <v/>
      </c>
      <c r="G4513" s="315"/>
    </row>
    <row r="4514" spans="1:7" x14ac:dyDescent="0.25">
      <c r="A4514" s="319" t="str">
        <f t="shared" si="134"/>
        <v>I.3.1.3.01.0024</v>
      </c>
      <c r="B4514" s="319">
        <v>4</v>
      </c>
      <c r="C4514" s="319" t="str">
        <f>IFERROR(VLOOKUP(A4514,[3]DOORSCRIEFT!$A$2:$G$8551,2,FALSE),"")</f>
        <v/>
      </c>
      <c r="D4514" s="318" t="str">
        <f>IFERROR(VLOOKUP(A4514,[3]DOORSCRIEFT!$A$2:$G$8551,3,FALSE),"")</f>
        <v/>
      </c>
      <c r="E4514" s="317" t="str">
        <f>IFERROR(VLOOKUP(A4514,[3]DOORSCRIEFT!$A$2:$G$8551,4,FALSE),"")</f>
        <v/>
      </c>
      <c r="F4514" s="316" t="str">
        <f>IFERROR(VLOOKUP(A4514,[3]DOORSCRIEFT!$A$2:$G$8551,6,FALSE),"")</f>
        <v/>
      </c>
      <c r="G4514" s="315"/>
    </row>
    <row r="4515" spans="1:7" x14ac:dyDescent="0.25">
      <c r="A4515" s="319" t="str">
        <f t="shared" si="134"/>
        <v>I.3.1.3.01.0025</v>
      </c>
      <c r="B4515" s="319">
        <v>5</v>
      </c>
      <c r="C4515" s="319" t="str">
        <f>IFERROR(VLOOKUP(A4515,[3]DOORSCRIEFT!$A$2:$G$8551,2,FALSE),"")</f>
        <v/>
      </c>
      <c r="D4515" s="318" t="str">
        <f>IFERROR(VLOOKUP(A4515,[3]DOORSCRIEFT!$A$2:$G$8551,3,FALSE),"")</f>
        <v/>
      </c>
      <c r="E4515" s="317" t="str">
        <f>IFERROR(VLOOKUP(A4515,[3]DOORSCRIEFT!$A$2:$G$8551,4,FALSE),"")</f>
        <v/>
      </c>
      <c r="F4515" s="316" t="str">
        <f>IFERROR(VLOOKUP(A4515,[3]DOORSCRIEFT!$A$2:$G$8551,6,FALSE),"")</f>
        <v/>
      </c>
      <c r="G4515" s="315"/>
    </row>
    <row r="4516" spans="1:7" x14ac:dyDescent="0.25">
      <c r="A4516" s="319" t="str">
        <f t="shared" si="134"/>
        <v>I.3.1.3.01.0026</v>
      </c>
      <c r="B4516" s="319">
        <v>6</v>
      </c>
      <c r="C4516" s="319" t="str">
        <f>IFERROR(VLOOKUP(A4516,[3]DOORSCRIEFT!$A$2:$G$8551,2,FALSE),"")</f>
        <v/>
      </c>
      <c r="D4516" s="318" t="str">
        <f>IFERROR(VLOOKUP(A4516,[3]DOORSCRIEFT!$A$2:$G$8551,3,FALSE),"")</f>
        <v/>
      </c>
      <c r="E4516" s="317" t="str">
        <f>IFERROR(VLOOKUP(A4516,[3]DOORSCRIEFT!$A$2:$G$8551,4,FALSE),"")</f>
        <v/>
      </c>
      <c r="F4516" s="316" t="str">
        <f>IFERROR(VLOOKUP(A4516,[3]DOORSCRIEFT!$A$2:$G$8551,6,FALSE),"")</f>
        <v/>
      </c>
      <c r="G4516" s="315"/>
    </row>
    <row r="4517" spans="1:7" x14ac:dyDescent="0.25">
      <c r="A4517" s="319" t="str">
        <f t="shared" si="134"/>
        <v>I.3.1.3.01.0027</v>
      </c>
      <c r="B4517" s="319">
        <v>7</v>
      </c>
      <c r="C4517" s="319" t="str">
        <f>IFERROR(VLOOKUP(A4517,[3]DOORSCRIEFT!$A$2:$G$8551,2,FALSE),"")</f>
        <v/>
      </c>
      <c r="D4517" s="318" t="str">
        <f>IFERROR(VLOOKUP(A4517,[3]DOORSCRIEFT!$A$2:$G$8551,3,FALSE),"")</f>
        <v/>
      </c>
      <c r="E4517" s="317" t="str">
        <f>IFERROR(VLOOKUP(A4517,[3]DOORSCRIEFT!$A$2:$G$8551,4,FALSE),"")</f>
        <v/>
      </c>
      <c r="F4517" s="316" t="str">
        <f>IFERROR(VLOOKUP(A4517,[3]DOORSCRIEFT!$A$2:$G$8551,6,FALSE),"")</f>
        <v/>
      </c>
      <c r="G4517" s="315"/>
    </row>
    <row r="4518" spans="1:7" x14ac:dyDescent="0.25">
      <c r="A4518" s="319" t="str">
        <f t="shared" si="134"/>
        <v>I.3.1.3.01.0028</v>
      </c>
      <c r="B4518" s="319">
        <v>8</v>
      </c>
      <c r="C4518" s="319" t="str">
        <f>IFERROR(VLOOKUP(A4518,[3]DOORSCRIEFT!$A$2:$G$8551,2,FALSE),"")</f>
        <v/>
      </c>
      <c r="D4518" s="318" t="str">
        <f>IFERROR(VLOOKUP(A4518,[3]DOORSCRIEFT!$A$2:$G$8551,3,FALSE),"")</f>
        <v/>
      </c>
      <c r="E4518" s="317" t="str">
        <f>IFERROR(VLOOKUP(A4518,[3]DOORSCRIEFT!$A$2:$G$8551,4,FALSE),"")</f>
        <v/>
      </c>
      <c r="F4518" s="316" t="str">
        <f>IFERROR(VLOOKUP(A4518,[3]DOORSCRIEFT!$A$2:$G$8551,6,FALSE),"")</f>
        <v/>
      </c>
      <c r="G4518" s="315"/>
    </row>
    <row r="4519" spans="1:7" x14ac:dyDescent="0.25">
      <c r="A4519" s="319" t="str">
        <f t="shared" si="134"/>
        <v>I.3.1.3.01.0029</v>
      </c>
      <c r="B4519" s="319">
        <v>9</v>
      </c>
      <c r="C4519" s="319" t="str">
        <f>IFERROR(VLOOKUP(A4519,[3]DOORSCRIEFT!$A$2:$G$8551,2,FALSE),"")</f>
        <v/>
      </c>
      <c r="D4519" s="318" t="str">
        <f>IFERROR(VLOOKUP(A4519,[3]DOORSCRIEFT!$A$2:$G$8551,3,FALSE),"")</f>
        <v/>
      </c>
      <c r="E4519" s="317" t="str">
        <f>IFERROR(VLOOKUP(A4519,[3]DOORSCRIEFT!$A$2:$G$8551,4,FALSE),"")</f>
        <v/>
      </c>
      <c r="F4519" s="316" t="str">
        <f>IFERROR(VLOOKUP(A4519,[3]DOORSCRIEFT!$A$2:$G$8551,6,FALSE),"")</f>
        <v/>
      </c>
      <c r="G4519" s="315"/>
    </row>
    <row r="4520" spans="1:7" x14ac:dyDescent="0.25">
      <c r="A4520" s="319" t="str">
        <f t="shared" si="134"/>
        <v>I.3.1.3.01.00210</v>
      </c>
      <c r="B4520" s="319">
        <v>10</v>
      </c>
      <c r="C4520" s="319" t="str">
        <f>IFERROR(VLOOKUP(A4520,[3]DOORSCRIEFT!$A$2:$G$8551,2,FALSE),"")</f>
        <v/>
      </c>
      <c r="D4520" s="318" t="str">
        <f>IFERROR(VLOOKUP(A4520,[3]DOORSCRIEFT!$A$2:$G$8551,3,FALSE),"")</f>
        <v/>
      </c>
      <c r="E4520" s="317" t="str">
        <f>IFERROR(VLOOKUP(A4520,[3]DOORSCRIEFT!$A$2:$G$8551,4,FALSE),"")</f>
        <v/>
      </c>
      <c r="F4520" s="316" t="str">
        <f>IFERROR(VLOOKUP(A4520,[3]DOORSCRIEFT!$A$2:$G$8551,6,FALSE),"")</f>
        <v/>
      </c>
      <c r="G4520" s="315"/>
    </row>
    <row r="4521" spans="1:7" x14ac:dyDescent="0.25">
      <c r="A4521" s="319" t="str">
        <f t="shared" si="134"/>
        <v>I.3.1.3.01.00211</v>
      </c>
      <c r="B4521" s="319">
        <v>11</v>
      </c>
      <c r="C4521" s="319" t="str">
        <f>IFERROR(VLOOKUP(A4521,[3]DOORSCRIEFT!$A$2:$G$8551,2,FALSE),"")</f>
        <v/>
      </c>
      <c r="D4521" s="318" t="str">
        <f>IFERROR(VLOOKUP(A4521,[3]DOORSCRIEFT!$A$2:$G$8551,3,FALSE),"")</f>
        <v/>
      </c>
      <c r="E4521" s="317" t="str">
        <f>IFERROR(VLOOKUP(A4521,[3]DOORSCRIEFT!$A$2:$G$8551,4,FALSE),"")</f>
        <v/>
      </c>
      <c r="F4521" s="316" t="str">
        <f>IFERROR(VLOOKUP(A4521,[3]DOORSCRIEFT!$A$2:$G$8551,6,FALSE),"")</f>
        <v/>
      </c>
      <c r="G4521" s="315"/>
    </row>
    <row r="4522" spans="1:7" x14ac:dyDescent="0.25">
      <c r="A4522" s="319" t="str">
        <f t="shared" si="134"/>
        <v>I.3.1.3.01.00212</v>
      </c>
      <c r="B4522" s="319">
        <v>12</v>
      </c>
      <c r="C4522" s="319" t="str">
        <f>IFERROR(VLOOKUP(A4522,[3]DOORSCRIEFT!$A$2:$G$8551,2,FALSE),"")</f>
        <v/>
      </c>
      <c r="D4522" s="318" t="str">
        <f>IFERROR(VLOOKUP(A4522,[3]DOORSCRIEFT!$A$2:$G$8551,3,FALSE),"")</f>
        <v/>
      </c>
      <c r="E4522" s="317" t="str">
        <f>IFERROR(VLOOKUP(A4522,[3]DOORSCRIEFT!$A$2:$G$8551,4,FALSE),"")</f>
        <v/>
      </c>
      <c r="F4522" s="316" t="str">
        <f>IFERROR(VLOOKUP(A4522,[3]DOORSCRIEFT!$A$2:$G$8551,6,FALSE),"")</f>
        <v/>
      </c>
      <c r="G4522" s="315"/>
    </row>
    <row r="4523" spans="1:7" x14ac:dyDescent="0.25">
      <c r="A4523" s="319" t="str">
        <f t="shared" si="134"/>
        <v>I.3.1.3.01.00213</v>
      </c>
      <c r="B4523" s="319">
        <v>13</v>
      </c>
      <c r="C4523" s="319" t="str">
        <f>IFERROR(VLOOKUP(A4523,[3]DOORSCRIEFT!$A$2:$G$8551,2,FALSE),"")</f>
        <v/>
      </c>
      <c r="D4523" s="318" t="str">
        <f>IFERROR(VLOOKUP(A4523,[3]DOORSCRIEFT!$A$2:$G$8551,3,FALSE),"")</f>
        <v/>
      </c>
      <c r="E4523" s="317" t="str">
        <f>IFERROR(VLOOKUP(A4523,[3]DOORSCRIEFT!$A$2:$G$8551,4,FALSE),"")</f>
        <v/>
      </c>
      <c r="F4523" s="316" t="str">
        <f>IFERROR(VLOOKUP(A4523,[3]DOORSCRIEFT!$A$2:$G$8551,6,FALSE),"")</f>
        <v/>
      </c>
      <c r="G4523" s="315"/>
    </row>
    <row r="4524" spans="1:7" x14ac:dyDescent="0.25">
      <c r="A4524" s="319" t="str">
        <f t="shared" si="134"/>
        <v>I.3.1.3.01.00214</v>
      </c>
      <c r="B4524" s="319">
        <v>14</v>
      </c>
      <c r="C4524" s="319" t="str">
        <f>IFERROR(VLOOKUP(A4524,[3]DOORSCRIEFT!$A$2:$G$8551,2,FALSE),"")</f>
        <v/>
      </c>
      <c r="D4524" s="318" t="str">
        <f>IFERROR(VLOOKUP(A4524,[3]DOORSCRIEFT!$A$2:$G$8551,3,FALSE),"")</f>
        <v/>
      </c>
      <c r="E4524" s="317" t="str">
        <f>IFERROR(VLOOKUP(A4524,[3]DOORSCRIEFT!$A$2:$G$8551,4,FALSE),"")</f>
        <v/>
      </c>
      <c r="F4524" s="316" t="str">
        <f>IFERROR(VLOOKUP(A4524,[3]DOORSCRIEFT!$A$2:$G$8551,6,FALSE),"")</f>
        <v/>
      </c>
      <c r="G4524" s="315"/>
    </row>
    <row r="4525" spans="1:7" ht="15.75" thickBot="1" x14ac:dyDescent="0.3">
      <c r="A4525" s="345" t="str">
        <f t="shared" si="134"/>
        <v>I.3.1.3.01.00215</v>
      </c>
      <c r="B4525" s="345">
        <v>15</v>
      </c>
      <c r="C4525" s="319" t="str">
        <f>IFERROR(VLOOKUP(A4525,[3]DOORSCRIEFT!$A$2:$G$8551,2,FALSE),"")</f>
        <v/>
      </c>
      <c r="D4525" s="318" t="str">
        <f>IFERROR(VLOOKUP(A4525,[3]DOORSCRIEFT!$A$2:$G$8551,3,FALSE),"")</f>
        <v/>
      </c>
      <c r="E4525" s="317" t="str">
        <f>IFERROR(VLOOKUP(A4525,[3]DOORSCRIEFT!$A$2:$G$8551,4,FALSE),"")</f>
        <v/>
      </c>
      <c r="F4525" s="316" t="str">
        <f>IFERROR(VLOOKUP(A4525,[3]DOORSCRIEFT!$A$2:$G$8551,6,FALSE),"")</f>
        <v/>
      </c>
      <c r="G4525" s="315"/>
    </row>
    <row r="4526" spans="1:7" ht="15.75" thickBot="1" x14ac:dyDescent="0.3">
      <c r="A4526" s="344"/>
      <c r="B4526" s="343"/>
      <c r="C4526" s="336"/>
      <c r="D4526" s="312"/>
      <c r="E4526" s="311" t="s">
        <v>644</v>
      </c>
      <c r="F4526" s="310">
        <f>SUM(F4511:F4525)</f>
        <v>0</v>
      </c>
      <c r="G4526" s="309">
        <f>SUM(G4511:G4525)</f>
        <v>0</v>
      </c>
    </row>
    <row r="4527" spans="1:7" x14ac:dyDescent="0.25">
      <c r="C4527" s="335"/>
    </row>
    <row r="4528" spans="1:7" x14ac:dyDescent="0.25">
      <c r="C4528" s="335"/>
    </row>
    <row r="4529" spans="1:7" ht="15.75" x14ac:dyDescent="0.25">
      <c r="C4529" s="334"/>
      <c r="D4529" s="333"/>
      <c r="E4529" s="332"/>
      <c r="F4529" s="327" t="s">
        <v>607</v>
      </c>
      <c r="G4529" s="327" t="s">
        <v>369</v>
      </c>
    </row>
    <row r="4530" spans="1:7" ht="15.75" x14ac:dyDescent="0.25">
      <c r="C4530" s="334"/>
      <c r="D4530" s="333"/>
      <c r="E4530" s="332"/>
      <c r="F4530" s="327" t="s">
        <v>601</v>
      </c>
      <c r="G4530" s="327" t="s">
        <v>120</v>
      </c>
    </row>
    <row r="4531" spans="1:7" x14ac:dyDescent="0.25">
      <c r="C4531" s="330"/>
      <c r="D4531" s="329"/>
      <c r="E4531" s="328"/>
      <c r="F4531" s="327" t="s">
        <v>651</v>
      </c>
      <c r="G4531" s="331">
        <f>[2]Sheet1!$D$134</f>
        <v>0</v>
      </c>
    </row>
    <row r="4532" spans="1:7" ht="15.75" thickBot="1" x14ac:dyDescent="0.3">
      <c r="C4532" s="330"/>
      <c r="D4532" s="329"/>
      <c r="E4532" s="328"/>
      <c r="F4532" s="327" t="s">
        <v>650</v>
      </c>
      <c r="G4532" s="326">
        <f>+F4551-G4531</f>
        <v>0</v>
      </c>
    </row>
    <row r="4533" spans="1:7" x14ac:dyDescent="0.25">
      <c r="A4533" s="573" t="s">
        <v>626</v>
      </c>
      <c r="B4533" s="584" t="s">
        <v>606</v>
      </c>
      <c r="C4533" s="588" t="s">
        <v>649</v>
      </c>
      <c r="D4533" s="577" t="s">
        <v>648</v>
      </c>
      <c r="E4533" s="577" t="s">
        <v>647</v>
      </c>
      <c r="F4533" s="577" t="s">
        <v>646</v>
      </c>
      <c r="G4533" s="580" t="s">
        <v>645</v>
      </c>
    </row>
    <row r="4534" spans="1:7" ht="15.75" thickBot="1" x14ac:dyDescent="0.3">
      <c r="A4534" s="574"/>
      <c r="B4534" s="585"/>
      <c r="C4534" s="589"/>
      <c r="D4534" s="586"/>
      <c r="E4534" s="586"/>
      <c r="F4534" s="586"/>
      <c r="G4534" s="587"/>
    </row>
    <row r="4535" spans="1:7" ht="15.75" thickBot="1" x14ac:dyDescent="0.3">
      <c r="A4535" s="325">
        <v>1</v>
      </c>
      <c r="B4535" s="324">
        <v>2</v>
      </c>
      <c r="C4535" s="324">
        <v>3</v>
      </c>
      <c r="D4535" s="324">
        <v>4</v>
      </c>
      <c r="E4535" s="324">
        <v>5</v>
      </c>
      <c r="F4535" s="324">
        <v>6</v>
      </c>
      <c r="G4535" s="323">
        <v>7</v>
      </c>
    </row>
    <row r="4536" spans="1:7" x14ac:dyDescent="0.25">
      <c r="A4536" s="339" t="str">
        <f t="shared" ref="A4536:A4550" si="135">$G$4529&amp;B4536</f>
        <v>I.3.1.3.02.0011</v>
      </c>
      <c r="B4536" s="339">
        <v>1</v>
      </c>
      <c r="C4536" s="319" t="str">
        <f>IFERROR(VLOOKUP(A4536,[3]DOORSCRIEFT!$A$2:$G$8551,2,FALSE),"")</f>
        <v/>
      </c>
      <c r="D4536" s="318" t="str">
        <f>IFERROR(VLOOKUP(A4536,[3]DOORSCRIEFT!$A$2:$G$8551,3,FALSE),"")</f>
        <v/>
      </c>
      <c r="E4536" s="317" t="str">
        <f>IFERROR(VLOOKUP(A4536,[3]DOORSCRIEFT!$A$2:$G$8551,4,FALSE),"")</f>
        <v/>
      </c>
      <c r="F4536" s="316" t="str">
        <f>IFERROR(VLOOKUP(A4536,[3]DOORSCRIEFT!$A$2:$G$8551,6,FALSE),"")</f>
        <v/>
      </c>
      <c r="G4536" s="322"/>
    </row>
    <row r="4537" spans="1:7" x14ac:dyDescent="0.25">
      <c r="A4537" s="339" t="str">
        <f t="shared" si="135"/>
        <v>I.3.1.3.02.0012</v>
      </c>
      <c r="B4537" s="319">
        <v>2</v>
      </c>
      <c r="C4537" s="319" t="str">
        <f>IFERROR(VLOOKUP(A4537,[3]DOORSCRIEFT!$A$2:$G$8551,2,FALSE),"")</f>
        <v/>
      </c>
      <c r="D4537" s="318" t="str">
        <f>IFERROR(VLOOKUP(A4537,[3]DOORSCRIEFT!$A$2:$G$8551,3,FALSE),"")</f>
        <v/>
      </c>
      <c r="E4537" s="317" t="str">
        <f>IFERROR(VLOOKUP(A4537,[3]DOORSCRIEFT!$A$2:$G$8551,4,FALSE),"")</f>
        <v/>
      </c>
      <c r="F4537" s="316" t="str">
        <f>IFERROR(VLOOKUP(A4537,[3]DOORSCRIEFT!$A$2:$G$8551,6,FALSE),"")</f>
        <v/>
      </c>
      <c r="G4537" s="315"/>
    </row>
    <row r="4538" spans="1:7" x14ac:dyDescent="0.25">
      <c r="A4538" s="339" t="str">
        <f t="shared" si="135"/>
        <v>I.3.1.3.02.0013</v>
      </c>
      <c r="B4538" s="319">
        <v>3</v>
      </c>
      <c r="C4538" s="319" t="str">
        <f>IFERROR(VLOOKUP(A4538,[3]DOORSCRIEFT!$A$2:$G$8551,2,FALSE),"")</f>
        <v/>
      </c>
      <c r="D4538" s="318" t="str">
        <f>IFERROR(VLOOKUP(A4538,[3]DOORSCRIEFT!$A$2:$G$8551,3,FALSE),"")</f>
        <v/>
      </c>
      <c r="E4538" s="317" t="str">
        <f>IFERROR(VLOOKUP(A4538,[3]DOORSCRIEFT!$A$2:$G$8551,4,FALSE),"")</f>
        <v/>
      </c>
      <c r="F4538" s="316" t="str">
        <f>IFERROR(VLOOKUP(A4538,[3]DOORSCRIEFT!$A$2:$G$8551,6,FALSE),"")</f>
        <v/>
      </c>
      <c r="G4538" s="315"/>
    </row>
    <row r="4539" spans="1:7" x14ac:dyDescent="0.25">
      <c r="A4539" s="339" t="str">
        <f t="shared" si="135"/>
        <v>I.3.1.3.02.0014</v>
      </c>
      <c r="B4539" s="319">
        <v>4</v>
      </c>
      <c r="C4539" s="319" t="str">
        <f>IFERROR(VLOOKUP(A4539,[3]DOORSCRIEFT!$A$2:$G$8551,2,FALSE),"")</f>
        <v/>
      </c>
      <c r="D4539" s="318" t="str">
        <f>IFERROR(VLOOKUP(A4539,[3]DOORSCRIEFT!$A$2:$G$8551,3,FALSE),"")</f>
        <v/>
      </c>
      <c r="E4539" s="317" t="str">
        <f>IFERROR(VLOOKUP(A4539,[3]DOORSCRIEFT!$A$2:$G$8551,4,FALSE),"")</f>
        <v/>
      </c>
      <c r="F4539" s="316" t="str">
        <f>IFERROR(VLOOKUP(A4539,[3]DOORSCRIEFT!$A$2:$G$8551,6,FALSE),"")</f>
        <v/>
      </c>
      <c r="G4539" s="315"/>
    </row>
    <row r="4540" spans="1:7" x14ac:dyDescent="0.25">
      <c r="A4540" s="339" t="str">
        <f t="shared" si="135"/>
        <v>I.3.1.3.02.0015</v>
      </c>
      <c r="B4540" s="319">
        <v>5</v>
      </c>
      <c r="C4540" s="319" t="str">
        <f>IFERROR(VLOOKUP(A4540,[3]DOORSCRIEFT!$A$2:$G$8551,2,FALSE),"")</f>
        <v/>
      </c>
      <c r="D4540" s="318" t="str">
        <f>IFERROR(VLOOKUP(A4540,[3]DOORSCRIEFT!$A$2:$G$8551,3,FALSE),"")</f>
        <v/>
      </c>
      <c r="E4540" s="317" t="str">
        <f>IFERROR(VLOOKUP(A4540,[3]DOORSCRIEFT!$A$2:$G$8551,4,FALSE),"")</f>
        <v/>
      </c>
      <c r="F4540" s="316" t="str">
        <f>IFERROR(VLOOKUP(A4540,[3]DOORSCRIEFT!$A$2:$G$8551,6,FALSE),"")</f>
        <v/>
      </c>
      <c r="G4540" s="315"/>
    </row>
    <row r="4541" spans="1:7" x14ac:dyDescent="0.25">
      <c r="A4541" s="339" t="str">
        <f t="shared" si="135"/>
        <v>I.3.1.3.02.0016</v>
      </c>
      <c r="B4541" s="319">
        <v>6</v>
      </c>
      <c r="C4541" s="319" t="str">
        <f>IFERROR(VLOOKUP(A4541,[3]DOORSCRIEFT!$A$2:$G$8551,2,FALSE),"")</f>
        <v/>
      </c>
      <c r="D4541" s="318" t="str">
        <f>IFERROR(VLOOKUP(A4541,[3]DOORSCRIEFT!$A$2:$G$8551,3,FALSE),"")</f>
        <v/>
      </c>
      <c r="E4541" s="317" t="str">
        <f>IFERROR(VLOOKUP(A4541,[3]DOORSCRIEFT!$A$2:$G$8551,4,FALSE),"")</f>
        <v/>
      </c>
      <c r="F4541" s="316" t="str">
        <f>IFERROR(VLOOKUP(A4541,[3]DOORSCRIEFT!$A$2:$G$8551,6,FALSE),"")</f>
        <v/>
      </c>
      <c r="G4541" s="315"/>
    </row>
    <row r="4542" spans="1:7" x14ac:dyDescent="0.25">
      <c r="A4542" s="339" t="str">
        <f t="shared" si="135"/>
        <v>I.3.1.3.02.0017</v>
      </c>
      <c r="B4542" s="319">
        <v>7</v>
      </c>
      <c r="C4542" s="319" t="str">
        <f>IFERROR(VLOOKUP(A4542,[3]DOORSCRIEFT!$A$2:$G$8551,2,FALSE),"")</f>
        <v/>
      </c>
      <c r="D4542" s="318" t="str">
        <f>IFERROR(VLOOKUP(A4542,[3]DOORSCRIEFT!$A$2:$G$8551,3,FALSE),"")</f>
        <v/>
      </c>
      <c r="E4542" s="317" t="str">
        <f>IFERROR(VLOOKUP(A4542,[3]DOORSCRIEFT!$A$2:$G$8551,4,FALSE),"")</f>
        <v/>
      </c>
      <c r="F4542" s="316" t="str">
        <f>IFERROR(VLOOKUP(A4542,[3]DOORSCRIEFT!$A$2:$G$8551,6,FALSE),"")</f>
        <v/>
      </c>
      <c r="G4542" s="315"/>
    </row>
    <row r="4543" spans="1:7" x14ac:dyDescent="0.25">
      <c r="A4543" s="339" t="str">
        <f t="shared" si="135"/>
        <v>I.3.1.3.02.0018</v>
      </c>
      <c r="B4543" s="319">
        <v>8</v>
      </c>
      <c r="C4543" s="319" t="str">
        <f>IFERROR(VLOOKUP(A4543,[3]DOORSCRIEFT!$A$2:$G$8551,2,FALSE),"")</f>
        <v/>
      </c>
      <c r="D4543" s="318" t="str">
        <f>IFERROR(VLOOKUP(A4543,[3]DOORSCRIEFT!$A$2:$G$8551,3,FALSE),"")</f>
        <v/>
      </c>
      <c r="E4543" s="317" t="str">
        <f>IFERROR(VLOOKUP(A4543,[3]DOORSCRIEFT!$A$2:$G$8551,4,FALSE),"")</f>
        <v/>
      </c>
      <c r="F4543" s="316" t="str">
        <f>IFERROR(VLOOKUP(A4543,[3]DOORSCRIEFT!$A$2:$G$8551,6,FALSE),"")</f>
        <v/>
      </c>
      <c r="G4543" s="315"/>
    </row>
    <row r="4544" spans="1:7" x14ac:dyDescent="0.25">
      <c r="A4544" s="339" t="str">
        <f t="shared" si="135"/>
        <v>I.3.1.3.02.0019</v>
      </c>
      <c r="B4544" s="319">
        <v>9</v>
      </c>
      <c r="C4544" s="319" t="str">
        <f>IFERROR(VLOOKUP(A4544,[3]DOORSCRIEFT!$A$2:$G$8551,2,FALSE),"")</f>
        <v/>
      </c>
      <c r="D4544" s="318" t="str">
        <f>IFERROR(VLOOKUP(A4544,[3]DOORSCRIEFT!$A$2:$G$8551,3,FALSE),"")</f>
        <v/>
      </c>
      <c r="E4544" s="317" t="str">
        <f>IFERROR(VLOOKUP(A4544,[3]DOORSCRIEFT!$A$2:$G$8551,4,FALSE),"")</f>
        <v/>
      </c>
      <c r="F4544" s="316" t="str">
        <f>IFERROR(VLOOKUP(A4544,[3]DOORSCRIEFT!$A$2:$G$8551,6,FALSE),"")</f>
        <v/>
      </c>
      <c r="G4544" s="315"/>
    </row>
    <row r="4545" spans="1:7" x14ac:dyDescent="0.25">
      <c r="A4545" s="339" t="str">
        <f t="shared" si="135"/>
        <v>I.3.1.3.02.00110</v>
      </c>
      <c r="B4545" s="319">
        <v>10</v>
      </c>
      <c r="C4545" s="319" t="str">
        <f>IFERROR(VLOOKUP(A4545,[3]DOORSCRIEFT!$A$2:$G$8551,2,FALSE),"")</f>
        <v/>
      </c>
      <c r="D4545" s="318" t="str">
        <f>IFERROR(VLOOKUP(A4545,[3]DOORSCRIEFT!$A$2:$G$8551,3,FALSE),"")</f>
        <v/>
      </c>
      <c r="E4545" s="317" t="str">
        <f>IFERROR(VLOOKUP(A4545,[3]DOORSCRIEFT!$A$2:$G$8551,4,FALSE),"")</f>
        <v/>
      </c>
      <c r="F4545" s="316" t="str">
        <f>IFERROR(VLOOKUP(A4545,[3]DOORSCRIEFT!$A$2:$G$8551,6,FALSE),"")</f>
        <v/>
      </c>
      <c r="G4545" s="315"/>
    </row>
    <row r="4546" spans="1:7" x14ac:dyDescent="0.25">
      <c r="A4546" s="339" t="str">
        <f t="shared" si="135"/>
        <v>I.3.1.3.02.00111</v>
      </c>
      <c r="B4546" s="319">
        <v>11</v>
      </c>
      <c r="C4546" s="319" t="str">
        <f>IFERROR(VLOOKUP(A4546,[3]DOORSCRIEFT!$A$2:$G$8551,2,FALSE),"")</f>
        <v/>
      </c>
      <c r="D4546" s="318" t="str">
        <f>IFERROR(VLOOKUP(A4546,[3]DOORSCRIEFT!$A$2:$G$8551,3,FALSE),"")</f>
        <v/>
      </c>
      <c r="E4546" s="317" t="str">
        <f>IFERROR(VLOOKUP(A4546,[3]DOORSCRIEFT!$A$2:$G$8551,4,FALSE),"")</f>
        <v/>
      </c>
      <c r="F4546" s="316" t="str">
        <f>IFERROR(VLOOKUP(A4546,[3]DOORSCRIEFT!$A$2:$G$8551,6,FALSE),"")</f>
        <v/>
      </c>
      <c r="G4546" s="315"/>
    </row>
    <row r="4547" spans="1:7" x14ac:dyDescent="0.25">
      <c r="A4547" s="339" t="str">
        <f t="shared" si="135"/>
        <v>I.3.1.3.02.00112</v>
      </c>
      <c r="B4547" s="319">
        <v>12</v>
      </c>
      <c r="C4547" s="319" t="str">
        <f>IFERROR(VLOOKUP(A4547,[3]DOORSCRIEFT!$A$2:$G$8551,2,FALSE),"")</f>
        <v/>
      </c>
      <c r="D4547" s="318" t="str">
        <f>IFERROR(VLOOKUP(A4547,[3]DOORSCRIEFT!$A$2:$G$8551,3,FALSE),"")</f>
        <v/>
      </c>
      <c r="E4547" s="317" t="str">
        <f>IFERROR(VLOOKUP(A4547,[3]DOORSCRIEFT!$A$2:$G$8551,4,FALSE),"")</f>
        <v/>
      </c>
      <c r="F4547" s="316" t="str">
        <f>IFERROR(VLOOKUP(A4547,[3]DOORSCRIEFT!$A$2:$G$8551,6,FALSE),"")</f>
        <v/>
      </c>
      <c r="G4547" s="315"/>
    </row>
    <row r="4548" spans="1:7" x14ac:dyDescent="0.25">
      <c r="A4548" s="339" t="str">
        <f t="shared" si="135"/>
        <v>I.3.1.3.02.00113</v>
      </c>
      <c r="B4548" s="319">
        <v>13</v>
      </c>
      <c r="C4548" s="319" t="str">
        <f>IFERROR(VLOOKUP(A4548,[3]DOORSCRIEFT!$A$2:$G$8551,2,FALSE),"")</f>
        <v/>
      </c>
      <c r="D4548" s="318" t="str">
        <f>IFERROR(VLOOKUP(A4548,[3]DOORSCRIEFT!$A$2:$G$8551,3,FALSE),"")</f>
        <v/>
      </c>
      <c r="E4548" s="317" t="str">
        <f>IFERROR(VLOOKUP(A4548,[3]DOORSCRIEFT!$A$2:$G$8551,4,FALSE),"")</f>
        <v/>
      </c>
      <c r="F4548" s="316" t="str">
        <f>IFERROR(VLOOKUP(A4548,[3]DOORSCRIEFT!$A$2:$G$8551,6,FALSE),"")</f>
        <v/>
      </c>
      <c r="G4548" s="315"/>
    </row>
    <row r="4549" spans="1:7" x14ac:dyDescent="0.25">
      <c r="A4549" s="339" t="str">
        <f t="shared" si="135"/>
        <v>I.3.1.3.02.00114</v>
      </c>
      <c r="B4549" s="319">
        <v>14</v>
      </c>
      <c r="C4549" s="319" t="str">
        <f>IFERROR(VLOOKUP(A4549,[3]DOORSCRIEFT!$A$2:$G$8551,2,FALSE),"")</f>
        <v/>
      </c>
      <c r="D4549" s="318" t="str">
        <f>IFERROR(VLOOKUP(A4549,[3]DOORSCRIEFT!$A$2:$G$8551,3,FALSE),"")</f>
        <v/>
      </c>
      <c r="E4549" s="317" t="str">
        <f>IFERROR(VLOOKUP(A4549,[3]DOORSCRIEFT!$A$2:$G$8551,4,FALSE),"")</f>
        <v/>
      </c>
      <c r="F4549" s="316" t="str">
        <f>IFERROR(VLOOKUP(A4549,[3]DOORSCRIEFT!$A$2:$G$8551,6,FALSE),"")</f>
        <v/>
      </c>
      <c r="G4549" s="315"/>
    </row>
    <row r="4550" spans="1:7" ht="15.75" thickBot="1" x14ac:dyDescent="0.3">
      <c r="A4550" s="339" t="str">
        <f t="shared" si="135"/>
        <v>I.3.1.3.02.00115</v>
      </c>
      <c r="B4550" s="345">
        <v>15</v>
      </c>
      <c r="C4550" s="319" t="str">
        <f>IFERROR(VLOOKUP(A4550,[3]DOORSCRIEFT!$A$2:$G$8551,2,FALSE),"")</f>
        <v/>
      </c>
      <c r="D4550" s="318" t="str">
        <f>IFERROR(VLOOKUP(A4550,[3]DOORSCRIEFT!$A$2:$G$8551,3,FALSE),"")</f>
        <v/>
      </c>
      <c r="E4550" s="317" t="str">
        <f>IFERROR(VLOOKUP(A4550,[3]DOORSCRIEFT!$A$2:$G$8551,4,FALSE),"")</f>
        <v/>
      </c>
      <c r="F4550" s="316" t="str">
        <f>IFERROR(VLOOKUP(A4550,[3]DOORSCRIEFT!$A$2:$G$8551,6,FALSE),"")</f>
        <v/>
      </c>
      <c r="G4550" s="315"/>
    </row>
    <row r="4551" spans="1:7" ht="15.75" thickBot="1" x14ac:dyDescent="0.3">
      <c r="A4551" s="344"/>
      <c r="B4551" s="343"/>
      <c r="C4551" s="336"/>
      <c r="D4551" s="312"/>
      <c r="E4551" s="311" t="s">
        <v>644</v>
      </c>
      <c r="F4551" s="310">
        <f>SUM(F4536:F4550)</f>
        <v>0</v>
      </c>
      <c r="G4551" s="309">
        <f>SUM(G4536:G4550)</f>
        <v>0</v>
      </c>
    </row>
    <row r="4552" spans="1:7" x14ac:dyDescent="0.25">
      <c r="C4552" s="335"/>
    </row>
    <row r="4553" spans="1:7" x14ac:dyDescent="0.25">
      <c r="C4553" s="335"/>
    </row>
    <row r="4554" spans="1:7" ht="15.75" x14ac:dyDescent="0.25">
      <c r="C4554" s="334"/>
      <c r="D4554" s="333"/>
      <c r="E4554" s="332"/>
      <c r="F4554" s="327" t="s">
        <v>607</v>
      </c>
      <c r="G4554" s="327" t="s">
        <v>368</v>
      </c>
    </row>
    <row r="4555" spans="1:7" ht="15.75" x14ac:dyDescent="0.25">
      <c r="C4555" s="334"/>
      <c r="D4555" s="333"/>
      <c r="E4555" s="332"/>
      <c r="F4555" s="327" t="s">
        <v>601</v>
      </c>
      <c r="G4555" s="327" t="s">
        <v>118</v>
      </c>
    </row>
    <row r="4556" spans="1:7" x14ac:dyDescent="0.25">
      <c r="C4556" s="330"/>
      <c r="D4556" s="329"/>
      <c r="E4556" s="328"/>
      <c r="F4556" s="327" t="s">
        <v>651</v>
      </c>
      <c r="G4556" s="331">
        <f>[2]Sheet1!$D$135</f>
        <v>0</v>
      </c>
    </row>
    <row r="4557" spans="1:7" ht="15.75" thickBot="1" x14ac:dyDescent="0.3">
      <c r="C4557" s="330"/>
      <c r="D4557" s="329"/>
      <c r="E4557" s="328"/>
      <c r="F4557" s="327" t="s">
        <v>650</v>
      </c>
      <c r="G4557" s="326">
        <f>+F4576-G4556</f>
        <v>0</v>
      </c>
    </row>
    <row r="4558" spans="1:7" x14ac:dyDescent="0.25">
      <c r="A4558" s="573" t="s">
        <v>626</v>
      </c>
      <c r="B4558" s="573" t="s">
        <v>606</v>
      </c>
      <c r="C4558" s="588" t="s">
        <v>649</v>
      </c>
      <c r="D4558" s="577" t="s">
        <v>648</v>
      </c>
      <c r="E4558" s="577" t="s">
        <v>647</v>
      </c>
      <c r="F4558" s="577" t="s">
        <v>646</v>
      </c>
      <c r="G4558" s="580" t="s">
        <v>645</v>
      </c>
    </row>
    <row r="4559" spans="1:7" ht="15.75" thickBot="1" x14ac:dyDescent="0.3">
      <c r="A4559" s="574"/>
      <c r="B4559" s="574"/>
      <c r="C4559" s="589"/>
      <c r="D4559" s="586"/>
      <c r="E4559" s="586"/>
      <c r="F4559" s="586"/>
      <c r="G4559" s="587"/>
    </row>
    <row r="4560" spans="1:7" ht="15.75" thickBot="1" x14ac:dyDescent="0.3">
      <c r="A4560" s="354">
        <v>1</v>
      </c>
      <c r="B4560" s="351">
        <v>2</v>
      </c>
      <c r="C4560" s="351">
        <v>3</v>
      </c>
      <c r="D4560" s="351">
        <v>4</v>
      </c>
      <c r="E4560" s="351">
        <v>5</v>
      </c>
      <c r="F4560" s="351">
        <v>6</v>
      </c>
      <c r="G4560" s="350">
        <v>7</v>
      </c>
    </row>
    <row r="4561" spans="1:7" x14ac:dyDescent="0.25">
      <c r="A4561" s="339" t="str">
        <f t="shared" ref="A4561:A4575" si="136">$G$4554&amp;B4561</f>
        <v>I.3.1.3.02.0021</v>
      </c>
      <c r="B4561" s="339">
        <v>1</v>
      </c>
      <c r="C4561" s="319" t="str">
        <f>IFERROR(VLOOKUP(A4561,[3]DOORSCRIEFT!$A$2:$G$8551,2,FALSE),"")</f>
        <v/>
      </c>
      <c r="D4561" s="318" t="str">
        <f>IFERROR(VLOOKUP(A4561,[3]DOORSCRIEFT!$A$2:$G$8551,3,FALSE),"")</f>
        <v/>
      </c>
      <c r="E4561" s="317" t="str">
        <f>IFERROR(VLOOKUP(A4561,[3]DOORSCRIEFT!$A$2:$G$8551,4,FALSE),"")</f>
        <v/>
      </c>
      <c r="F4561" s="316" t="str">
        <f>IFERROR(VLOOKUP(A4561,[3]DOORSCRIEFT!$A$2:$G$8551,6,FALSE),"")</f>
        <v/>
      </c>
      <c r="G4561" s="322"/>
    </row>
    <row r="4562" spans="1:7" x14ac:dyDescent="0.25">
      <c r="A4562" s="339" t="str">
        <f t="shared" si="136"/>
        <v>I.3.1.3.02.0022</v>
      </c>
      <c r="B4562" s="319">
        <v>2</v>
      </c>
      <c r="C4562" s="319" t="str">
        <f>IFERROR(VLOOKUP(A4562,[3]DOORSCRIEFT!$A$2:$G$8551,2,FALSE),"")</f>
        <v/>
      </c>
      <c r="D4562" s="318" t="str">
        <f>IFERROR(VLOOKUP(A4562,[3]DOORSCRIEFT!$A$2:$G$8551,3,FALSE),"")</f>
        <v/>
      </c>
      <c r="E4562" s="317" t="str">
        <f>IFERROR(VLOOKUP(A4562,[3]DOORSCRIEFT!$A$2:$G$8551,4,FALSE),"")</f>
        <v/>
      </c>
      <c r="F4562" s="316" t="str">
        <f>IFERROR(VLOOKUP(A4562,[3]DOORSCRIEFT!$A$2:$G$8551,6,FALSE),"")</f>
        <v/>
      </c>
      <c r="G4562" s="315"/>
    </row>
    <row r="4563" spans="1:7" x14ac:dyDescent="0.25">
      <c r="A4563" s="339" t="str">
        <f t="shared" si="136"/>
        <v>I.3.1.3.02.0023</v>
      </c>
      <c r="B4563" s="319">
        <v>3</v>
      </c>
      <c r="C4563" s="319" t="str">
        <f>IFERROR(VLOOKUP(A4563,[3]DOORSCRIEFT!$A$2:$G$8551,2,FALSE),"")</f>
        <v/>
      </c>
      <c r="D4563" s="318" t="str">
        <f>IFERROR(VLOOKUP(A4563,[3]DOORSCRIEFT!$A$2:$G$8551,3,FALSE),"")</f>
        <v/>
      </c>
      <c r="E4563" s="317" t="str">
        <f>IFERROR(VLOOKUP(A4563,[3]DOORSCRIEFT!$A$2:$G$8551,4,FALSE),"")</f>
        <v/>
      </c>
      <c r="F4563" s="316" t="str">
        <f>IFERROR(VLOOKUP(A4563,[3]DOORSCRIEFT!$A$2:$G$8551,6,FALSE),"")</f>
        <v/>
      </c>
      <c r="G4563" s="315"/>
    </row>
    <row r="4564" spans="1:7" x14ac:dyDescent="0.25">
      <c r="A4564" s="339" t="str">
        <f t="shared" si="136"/>
        <v>I.3.1.3.02.0024</v>
      </c>
      <c r="B4564" s="319">
        <v>4</v>
      </c>
      <c r="C4564" s="319" t="str">
        <f>IFERROR(VLOOKUP(A4564,[3]DOORSCRIEFT!$A$2:$G$8551,2,FALSE),"")</f>
        <v/>
      </c>
      <c r="D4564" s="318" t="str">
        <f>IFERROR(VLOOKUP(A4564,[3]DOORSCRIEFT!$A$2:$G$8551,3,FALSE),"")</f>
        <v/>
      </c>
      <c r="E4564" s="317" t="str">
        <f>IFERROR(VLOOKUP(A4564,[3]DOORSCRIEFT!$A$2:$G$8551,4,FALSE),"")</f>
        <v/>
      </c>
      <c r="F4564" s="316" t="str">
        <f>IFERROR(VLOOKUP(A4564,[3]DOORSCRIEFT!$A$2:$G$8551,6,FALSE),"")</f>
        <v/>
      </c>
      <c r="G4564" s="315"/>
    </row>
    <row r="4565" spans="1:7" x14ac:dyDescent="0.25">
      <c r="A4565" s="339" t="str">
        <f t="shared" si="136"/>
        <v>I.3.1.3.02.0025</v>
      </c>
      <c r="B4565" s="319">
        <v>5</v>
      </c>
      <c r="C4565" s="319" t="str">
        <f>IFERROR(VLOOKUP(A4565,[3]DOORSCRIEFT!$A$2:$G$8551,2,FALSE),"")</f>
        <v/>
      </c>
      <c r="D4565" s="318" t="str">
        <f>IFERROR(VLOOKUP(A4565,[3]DOORSCRIEFT!$A$2:$G$8551,3,FALSE),"")</f>
        <v/>
      </c>
      <c r="E4565" s="317" t="str">
        <f>IFERROR(VLOOKUP(A4565,[3]DOORSCRIEFT!$A$2:$G$8551,4,FALSE),"")</f>
        <v/>
      </c>
      <c r="F4565" s="316" t="str">
        <f>IFERROR(VLOOKUP(A4565,[3]DOORSCRIEFT!$A$2:$G$8551,6,FALSE),"")</f>
        <v/>
      </c>
      <c r="G4565" s="315"/>
    </row>
    <row r="4566" spans="1:7" x14ac:dyDescent="0.25">
      <c r="A4566" s="339" t="str">
        <f t="shared" si="136"/>
        <v>I.3.1.3.02.0026</v>
      </c>
      <c r="B4566" s="319">
        <v>6</v>
      </c>
      <c r="C4566" s="319" t="str">
        <f>IFERROR(VLOOKUP(A4566,[3]DOORSCRIEFT!$A$2:$G$8551,2,FALSE),"")</f>
        <v/>
      </c>
      <c r="D4566" s="318" t="str">
        <f>IFERROR(VLOOKUP(A4566,[3]DOORSCRIEFT!$A$2:$G$8551,3,FALSE),"")</f>
        <v/>
      </c>
      <c r="E4566" s="317" t="str">
        <f>IFERROR(VLOOKUP(A4566,[3]DOORSCRIEFT!$A$2:$G$8551,4,FALSE),"")</f>
        <v/>
      </c>
      <c r="F4566" s="316" t="str">
        <f>IFERROR(VLOOKUP(A4566,[3]DOORSCRIEFT!$A$2:$G$8551,6,FALSE),"")</f>
        <v/>
      </c>
      <c r="G4566" s="315"/>
    </row>
    <row r="4567" spans="1:7" x14ac:dyDescent="0.25">
      <c r="A4567" s="339" t="str">
        <f t="shared" si="136"/>
        <v>I.3.1.3.02.0027</v>
      </c>
      <c r="B4567" s="319">
        <v>7</v>
      </c>
      <c r="C4567" s="319" t="str">
        <f>IFERROR(VLOOKUP(A4567,[3]DOORSCRIEFT!$A$2:$G$8551,2,FALSE),"")</f>
        <v/>
      </c>
      <c r="D4567" s="318" t="str">
        <f>IFERROR(VLOOKUP(A4567,[3]DOORSCRIEFT!$A$2:$G$8551,3,FALSE),"")</f>
        <v/>
      </c>
      <c r="E4567" s="317" t="str">
        <f>IFERROR(VLOOKUP(A4567,[3]DOORSCRIEFT!$A$2:$G$8551,4,FALSE),"")</f>
        <v/>
      </c>
      <c r="F4567" s="316" t="str">
        <f>IFERROR(VLOOKUP(A4567,[3]DOORSCRIEFT!$A$2:$G$8551,6,FALSE),"")</f>
        <v/>
      </c>
      <c r="G4567" s="315"/>
    </row>
    <row r="4568" spans="1:7" x14ac:dyDescent="0.25">
      <c r="A4568" s="339" t="str">
        <f t="shared" si="136"/>
        <v>I.3.1.3.02.0028</v>
      </c>
      <c r="B4568" s="319">
        <v>8</v>
      </c>
      <c r="C4568" s="319" t="str">
        <f>IFERROR(VLOOKUP(A4568,[3]DOORSCRIEFT!$A$2:$G$8551,2,FALSE),"")</f>
        <v/>
      </c>
      <c r="D4568" s="318" t="str">
        <f>IFERROR(VLOOKUP(A4568,[3]DOORSCRIEFT!$A$2:$G$8551,3,FALSE),"")</f>
        <v/>
      </c>
      <c r="E4568" s="317" t="str">
        <f>IFERROR(VLOOKUP(A4568,[3]DOORSCRIEFT!$A$2:$G$8551,4,FALSE),"")</f>
        <v/>
      </c>
      <c r="F4568" s="316" t="str">
        <f>IFERROR(VLOOKUP(A4568,[3]DOORSCRIEFT!$A$2:$G$8551,6,FALSE),"")</f>
        <v/>
      </c>
      <c r="G4568" s="315"/>
    </row>
    <row r="4569" spans="1:7" x14ac:dyDescent="0.25">
      <c r="A4569" s="339" t="str">
        <f t="shared" si="136"/>
        <v>I.3.1.3.02.0029</v>
      </c>
      <c r="B4569" s="319">
        <v>9</v>
      </c>
      <c r="C4569" s="319" t="str">
        <f>IFERROR(VLOOKUP(A4569,[3]DOORSCRIEFT!$A$2:$G$8551,2,FALSE),"")</f>
        <v/>
      </c>
      <c r="D4569" s="318" t="str">
        <f>IFERROR(VLOOKUP(A4569,[3]DOORSCRIEFT!$A$2:$G$8551,3,FALSE),"")</f>
        <v/>
      </c>
      <c r="E4569" s="317" t="str">
        <f>IFERROR(VLOOKUP(A4569,[3]DOORSCRIEFT!$A$2:$G$8551,4,FALSE),"")</f>
        <v/>
      </c>
      <c r="F4569" s="316" t="str">
        <f>IFERROR(VLOOKUP(A4569,[3]DOORSCRIEFT!$A$2:$G$8551,6,FALSE),"")</f>
        <v/>
      </c>
      <c r="G4569" s="315"/>
    </row>
    <row r="4570" spans="1:7" x14ac:dyDescent="0.25">
      <c r="A4570" s="339" t="str">
        <f t="shared" si="136"/>
        <v>I.3.1.3.02.00210</v>
      </c>
      <c r="B4570" s="319">
        <v>10</v>
      </c>
      <c r="C4570" s="319" t="str">
        <f>IFERROR(VLOOKUP(A4570,[3]DOORSCRIEFT!$A$2:$G$8551,2,FALSE),"")</f>
        <v/>
      </c>
      <c r="D4570" s="318" t="str">
        <f>IFERROR(VLOOKUP(A4570,[3]DOORSCRIEFT!$A$2:$G$8551,3,FALSE),"")</f>
        <v/>
      </c>
      <c r="E4570" s="317" t="str">
        <f>IFERROR(VLOOKUP(A4570,[3]DOORSCRIEFT!$A$2:$G$8551,4,FALSE),"")</f>
        <v/>
      </c>
      <c r="F4570" s="316" t="str">
        <f>IFERROR(VLOOKUP(A4570,[3]DOORSCRIEFT!$A$2:$G$8551,6,FALSE),"")</f>
        <v/>
      </c>
      <c r="G4570" s="315"/>
    </row>
    <row r="4571" spans="1:7" x14ac:dyDescent="0.25">
      <c r="A4571" s="339" t="str">
        <f t="shared" si="136"/>
        <v>I.3.1.3.02.00211</v>
      </c>
      <c r="B4571" s="319">
        <v>11</v>
      </c>
      <c r="C4571" s="319" t="str">
        <f>IFERROR(VLOOKUP(A4571,[3]DOORSCRIEFT!$A$2:$G$8551,2,FALSE),"")</f>
        <v/>
      </c>
      <c r="D4571" s="318" t="str">
        <f>IFERROR(VLOOKUP(A4571,[3]DOORSCRIEFT!$A$2:$G$8551,3,FALSE),"")</f>
        <v/>
      </c>
      <c r="E4571" s="317" t="str">
        <f>IFERROR(VLOOKUP(A4571,[3]DOORSCRIEFT!$A$2:$G$8551,4,FALSE),"")</f>
        <v/>
      </c>
      <c r="F4571" s="316" t="str">
        <f>IFERROR(VLOOKUP(A4571,[3]DOORSCRIEFT!$A$2:$G$8551,6,FALSE),"")</f>
        <v/>
      </c>
      <c r="G4571" s="315"/>
    </row>
    <row r="4572" spans="1:7" x14ac:dyDescent="0.25">
      <c r="A4572" s="339" t="str">
        <f t="shared" si="136"/>
        <v>I.3.1.3.02.00212</v>
      </c>
      <c r="B4572" s="319">
        <v>12</v>
      </c>
      <c r="C4572" s="319" t="str">
        <f>IFERROR(VLOOKUP(A4572,[3]DOORSCRIEFT!$A$2:$G$8551,2,FALSE),"")</f>
        <v/>
      </c>
      <c r="D4572" s="318" t="str">
        <f>IFERROR(VLOOKUP(A4572,[3]DOORSCRIEFT!$A$2:$G$8551,3,FALSE),"")</f>
        <v/>
      </c>
      <c r="E4572" s="317" t="str">
        <f>IFERROR(VLOOKUP(A4572,[3]DOORSCRIEFT!$A$2:$G$8551,4,FALSE),"")</f>
        <v/>
      </c>
      <c r="F4572" s="316" t="str">
        <f>IFERROR(VLOOKUP(A4572,[3]DOORSCRIEFT!$A$2:$G$8551,6,FALSE),"")</f>
        <v/>
      </c>
      <c r="G4572" s="315"/>
    </row>
    <row r="4573" spans="1:7" x14ac:dyDescent="0.25">
      <c r="A4573" s="339" t="str">
        <f t="shared" si="136"/>
        <v>I.3.1.3.02.00213</v>
      </c>
      <c r="B4573" s="319">
        <v>13</v>
      </c>
      <c r="C4573" s="319" t="str">
        <f>IFERROR(VLOOKUP(A4573,[3]DOORSCRIEFT!$A$2:$G$8551,2,FALSE),"")</f>
        <v/>
      </c>
      <c r="D4573" s="318" t="str">
        <f>IFERROR(VLOOKUP(A4573,[3]DOORSCRIEFT!$A$2:$G$8551,3,FALSE),"")</f>
        <v/>
      </c>
      <c r="E4573" s="317" t="str">
        <f>IFERROR(VLOOKUP(A4573,[3]DOORSCRIEFT!$A$2:$G$8551,4,FALSE),"")</f>
        <v/>
      </c>
      <c r="F4573" s="316" t="str">
        <f>IFERROR(VLOOKUP(A4573,[3]DOORSCRIEFT!$A$2:$G$8551,6,FALSE),"")</f>
        <v/>
      </c>
      <c r="G4573" s="315"/>
    </row>
    <row r="4574" spans="1:7" x14ac:dyDescent="0.25">
      <c r="A4574" s="339" t="str">
        <f t="shared" si="136"/>
        <v>I.3.1.3.02.00214</v>
      </c>
      <c r="B4574" s="319">
        <v>14</v>
      </c>
      <c r="C4574" s="319" t="str">
        <f>IFERROR(VLOOKUP(A4574,[3]DOORSCRIEFT!$A$2:$G$8551,2,FALSE),"")</f>
        <v/>
      </c>
      <c r="D4574" s="318" t="str">
        <f>IFERROR(VLOOKUP(A4574,[3]DOORSCRIEFT!$A$2:$G$8551,3,FALSE),"")</f>
        <v/>
      </c>
      <c r="E4574" s="317" t="str">
        <f>IFERROR(VLOOKUP(A4574,[3]DOORSCRIEFT!$A$2:$G$8551,4,FALSE),"")</f>
        <v/>
      </c>
      <c r="F4574" s="316" t="str">
        <f>IFERROR(VLOOKUP(A4574,[3]DOORSCRIEFT!$A$2:$G$8551,6,FALSE),"")</f>
        <v/>
      </c>
      <c r="G4574" s="315"/>
    </row>
    <row r="4575" spans="1:7" ht="15.75" thickBot="1" x14ac:dyDescent="0.3">
      <c r="A4575" s="339" t="str">
        <f t="shared" si="136"/>
        <v>I.3.1.3.02.00215</v>
      </c>
      <c r="B4575" s="345">
        <v>15</v>
      </c>
      <c r="C4575" s="319" t="str">
        <f>IFERROR(VLOOKUP(A4575,[3]DOORSCRIEFT!$A$2:$G$8551,2,FALSE),"")</f>
        <v/>
      </c>
      <c r="D4575" s="318" t="str">
        <f>IFERROR(VLOOKUP(A4575,[3]DOORSCRIEFT!$A$2:$G$8551,3,FALSE),"")</f>
        <v/>
      </c>
      <c r="E4575" s="317" t="str">
        <f>IFERROR(VLOOKUP(A4575,[3]DOORSCRIEFT!$A$2:$G$8551,4,FALSE),"")</f>
        <v/>
      </c>
      <c r="F4575" s="316" t="str">
        <f>IFERROR(VLOOKUP(A4575,[3]DOORSCRIEFT!$A$2:$G$8551,6,FALSE),"")</f>
        <v/>
      </c>
      <c r="G4575" s="315"/>
    </row>
    <row r="4576" spans="1:7" ht="15.75" thickBot="1" x14ac:dyDescent="0.3">
      <c r="A4576" s="314"/>
      <c r="B4576" s="312"/>
      <c r="C4576" s="336"/>
      <c r="D4576" s="312"/>
      <c r="E4576" s="311" t="s">
        <v>644</v>
      </c>
      <c r="F4576" s="310">
        <f>SUM(F4561:F4575)</f>
        <v>0</v>
      </c>
      <c r="G4576" s="309">
        <f>SUM(G4561:G4575)</f>
        <v>0</v>
      </c>
    </row>
    <row r="4577" spans="1:7" x14ac:dyDescent="0.25">
      <c r="C4577" s="335"/>
    </row>
    <row r="4578" spans="1:7" x14ac:dyDescent="0.25">
      <c r="C4578" s="335"/>
    </row>
    <row r="4579" spans="1:7" ht="15.75" x14ac:dyDescent="0.25">
      <c r="C4579" s="334"/>
      <c r="D4579" s="333"/>
      <c r="E4579" s="332"/>
      <c r="F4579" s="327" t="s">
        <v>607</v>
      </c>
      <c r="G4579" s="327" t="s">
        <v>364</v>
      </c>
    </row>
    <row r="4580" spans="1:7" ht="15.75" x14ac:dyDescent="0.25">
      <c r="C4580" s="334"/>
      <c r="D4580" s="333"/>
      <c r="E4580" s="332"/>
      <c r="F4580" s="327" t="s">
        <v>601</v>
      </c>
      <c r="G4580" s="327" t="s">
        <v>111</v>
      </c>
    </row>
    <row r="4581" spans="1:7" x14ac:dyDescent="0.25">
      <c r="C4581" s="330"/>
      <c r="D4581" s="329"/>
      <c r="E4581" s="328"/>
      <c r="F4581" s="327" t="s">
        <v>651</v>
      </c>
      <c r="G4581" s="331">
        <f>[2]Sheet1!$D$139</f>
        <v>0</v>
      </c>
    </row>
    <row r="4582" spans="1:7" ht="15.75" thickBot="1" x14ac:dyDescent="0.3">
      <c r="C4582" s="330"/>
      <c r="D4582" s="329"/>
      <c r="E4582" s="328"/>
      <c r="F4582" s="327" t="s">
        <v>650</v>
      </c>
      <c r="G4582" s="326">
        <f>+F4601-G4581</f>
        <v>0</v>
      </c>
    </row>
    <row r="4583" spans="1:7" x14ac:dyDescent="0.25">
      <c r="A4583" s="573" t="s">
        <v>626</v>
      </c>
      <c r="B4583" s="584" t="s">
        <v>606</v>
      </c>
      <c r="C4583" s="588" t="s">
        <v>649</v>
      </c>
      <c r="D4583" s="577" t="s">
        <v>648</v>
      </c>
      <c r="E4583" s="577" t="s">
        <v>647</v>
      </c>
      <c r="F4583" s="577" t="s">
        <v>646</v>
      </c>
      <c r="G4583" s="580" t="s">
        <v>645</v>
      </c>
    </row>
    <row r="4584" spans="1:7" ht="15.75" thickBot="1" x14ac:dyDescent="0.3">
      <c r="A4584" s="574"/>
      <c r="B4584" s="585"/>
      <c r="C4584" s="589"/>
      <c r="D4584" s="586"/>
      <c r="E4584" s="586"/>
      <c r="F4584" s="586"/>
      <c r="G4584" s="587"/>
    </row>
    <row r="4585" spans="1:7" ht="15.75" thickBot="1" x14ac:dyDescent="0.3">
      <c r="A4585" s="354">
        <v>1</v>
      </c>
      <c r="B4585" s="351">
        <v>2</v>
      </c>
      <c r="C4585" s="351">
        <v>3</v>
      </c>
      <c r="D4585" s="351">
        <v>4</v>
      </c>
      <c r="E4585" s="351">
        <v>5</v>
      </c>
      <c r="F4585" s="351">
        <v>6</v>
      </c>
      <c r="G4585" s="350">
        <v>7</v>
      </c>
    </row>
    <row r="4586" spans="1:7" x14ac:dyDescent="0.25">
      <c r="A4586" s="339" t="str">
        <f t="shared" ref="A4586:A4600" si="137">$G$4579&amp;B4586</f>
        <v>I.3.1.4.01.0011</v>
      </c>
      <c r="B4586" s="339">
        <v>1</v>
      </c>
      <c r="C4586" s="319" t="str">
        <f>IFERROR(VLOOKUP(A4586,[3]DOORSCRIEFT!$A$2:$G$8551,2,FALSE),"")</f>
        <v/>
      </c>
      <c r="D4586" s="318" t="str">
        <f>IFERROR(VLOOKUP(A4586,[3]DOORSCRIEFT!$A$2:$G$8551,3,FALSE),"")</f>
        <v/>
      </c>
      <c r="E4586" s="317" t="str">
        <f>IFERROR(VLOOKUP(A4586,[3]DOORSCRIEFT!$A$2:$G$8551,4,FALSE),"")</f>
        <v/>
      </c>
      <c r="F4586" s="316" t="str">
        <f>IFERROR(VLOOKUP(A4586,[3]DOORSCRIEFT!$A$2:$G$8551,6,FALSE),"")</f>
        <v/>
      </c>
      <c r="G4586" s="322"/>
    </row>
    <row r="4587" spans="1:7" x14ac:dyDescent="0.25">
      <c r="A4587" s="319" t="str">
        <f t="shared" si="137"/>
        <v>I.3.1.4.01.0012</v>
      </c>
      <c r="B4587" s="319">
        <v>2</v>
      </c>
      <c r="C4587" s="319" t="str">
        <f>IFERROR(VLOOKUP(A4587,[3]DOORSCRIEFT!$A$2:$G$8551,2,FALSE),"")</f>
        <v/>
      </c>
      <c r="D4587" s="318" t="str">
        <f>IFERROR(VLOOKUP(A4587,[3]DOORSCRIEFT!$A$2:$G$8551,3,FALSE),"")</f>
        <v/>
      </c>
      <c r="E4587" s="317" t="str">
        <f>IFERROR(VLOOKUP(A4587,[3]DOORSCRIEFT!$A$2:$G$8551,4,FALSE),"")</f>
        <v/>
      </c>
      <c r="F4587" s="316" t="str">
        <f>IFERROR(VLOOKUP(A4587,[3]DOORSCRIEFT!$A$2:$G$8551,6,FALSE),"")</f>
        <v/>
      </c>
      <c r="G4587" s="315"/>
    </row>
    <row r="4588" spans="1:7" x14ac:dyDescent="0.25">
      <c r="A4588" s="319" t="str">
        <f t="shared" si="137"/>
        <v>I.3.1.4.01.0013</v>
      </c>
      <c r="B4588" s="319">
        <v>3</v>
      </c>
      <c r="C4588" s="319" t="str">
        <f>IFERROR(VLOOKUP(A4588,[3]DOORSCRIEFT!$A$2:$G$8551,2,FALSE),"")</f>
        <v/>
      </c>
      <c r="D4588" s="318" t="str">
        <f>IFERROR(VLOOKUP(A4588,[3]DOORSCRIEFT!$A$2:$G$8551,3,FALSE),"")</f>
        <v/>
      </c>
      <c r="E4588" s="317" t="str">
        <f>IFERROR(VLOOKUP(A4588,[3]DOORSCRIEFT!$A$2:$G$8551,4,FALSE),"")</f>
        <v/>
      </c>
      <c r="F4588" s="316" t="str">
        <f>IFERROR(VLOOKUP(A4588,[3]DOORSCRIEFT!$A$2:$G$8551,6,FALSE),"")</f>
        <v/>
      </c>
      <c r="G4588" s="315"/>
    </row>
    <row r="4589" spans="1:7" x14ac:dyDescent="0.25">
      <c r="A4589" s="319" t="str">
        <f t="shared" si="137"/>
        <v>I.3.1.4.01.0014</v>
      </c>
      <c r="B4589" s="319">
        <v>4</v>
      </c>
      <c r="C4589" s="319" t="str">
        <f>IFERROR(VLOOKUP(A4589,[3]DOORSCRIEFT!$A$2:$G$8551,2,FALSE),"")</f>
        <v/>
      </c>
      <c r="D4589" s="318" t="str">
        <f>IFERROR(VLOOKUP(A4589,[3]DOORSCRIEFT!$A$2:$G$8551,3,FALSE),"")</f>
        <v/>
      </c>
      <c r="E4589" s="317" t="str">
        <f>IFERROR(VLOOKUP(A4589,[3]DOORSCRIEFT!$A$2:$G$8551,4,FALSE),"")</f>
        <v/>
      </c>
      <c r="F4589" s="316" t="str">
        <f>IFERROR(VLOOKUP(A4589,[3]DOORSCRIEFT!$A$2:$G$8551,6,FALSE),"")</f>
        <v/>
      </c>
      <c r="G4589" s="315"/>
    </row>
    <row r="4590" spans="1:7" x14ac:dyDescent="0.25">
      <c r="A4590" s="319" t="str">
        <f t="shared" si="137"/>
        <v>I.3.1.4.01.0015</v>
      </c>
      <c r="B4590" s="319">
        <v>5</v>
      </c>
      <c r="C4590" s="319" t="str">
        <f>IFERROR(VLOOKUP(A4590,[3]DOORSCRIEFT!$A$2:$G$8551,2,FALSE),"")</f>
        <v/>
      </c>
      <c r="D4590" s="318" t="str">
        <f>IFERROR(VLOOKUP(A4590,[3]DOORSCRIEFT!$A$2:$G$8551,3,FALSE),"")</f>
        <v/>
      </c>
      <c r="E4590" s="317" t="str">
        <f>IFERROR(VLOOKUP(A4590,[3]DOORSCRIEFT!$A$2:$G$8551,4,FALSE),"")</f>
        <v/>
      </c>
      <c r="F4590" s="316" t="str">
        <f>IFERROR(VLOOKUP(A4590,[3]DOORSCRIEFT!$A$2:$G$8551,6,FALSE),"")</f>
        <v/>
      </c>
      <c r="G4590" s="315"/>
    </row>
    <row r="4591" spans="1:7" x14ac:dyDescent="0.25">
      <c r="A4591" s="319" t="str">
        <f t="shared" si="137"/>
        <v>I.3.1.4.01.0016</v>
      </c>
      <c r="B4591" s="319">
        <v>6</v>
      </c>
      <c r="C4591" s="319" t="str">
        <f>IFERROR(VLOOKUP(A4591,[3]DOORSCRIEFT!$A$2:$G$8551,2,FALSE),"")</f>
        <v/>
      </c>
      <c r="D4591" s="318" t="str">
        <f>IFERROR(VLOOKUP(A4591,[3]DOORSCRIEFT!$A$2:$G$8551,3,FALSE),"")</f>
        <v/>
      </c>
      <c r="E4591" s="317" t="str">
        <f>IFERROR(VLOOKUP(A4591,[3]DOORSCRIEFT!$A$2:$G$8551,4,FALSE),"")</f>
        <v/>
      </c>
      <c r="F4591" s="316" t="str">
        <f>IFERROR(VLOOKUP(A4591,[3]DOORSCRIEFT!$A$2:$G$8551,6,FALSE),"")</f>
        <v/>
      </c>
      <c r="G4591" s="315"/>
    </row>
    <row r="4592" spans="1:7" x14ac:dyDescent="0.25">
      <c r="A4592" s="319" t="str">
        <f t="shared" si="137"/>
        <v>I.3.1.4.01.0017</v>
      </c>
      <c r="B4592" s="319">
        <v>7</v>
      </c>
      <c r="C4592" s="319" t="str">
        <f>IFERROR(VLOOKUP(A4592,[3]DOORSCRIEFT!$A$2:$G$8551,2,FALSE),"")</f>
        <v/>
      </c>
      <c r="D4592" s="318" t="str">
        <f>IFERROR(VLOOKUP(A4592,[3]DOORSCRIEFT!$A$2:$G$8551,3,FALSE),"")</f>
        <v/>
      </c>
      <c r="E4592" s="317" t="str">
        <f>IFERROR(VLOOKUP(A4592,[3]DOORSCRIEFT!$A$2:$G$8551,4,FALSE),"")</f>
        <v/>
      </c>
      <c r="F4592" s="316" t="str">
        <f>IFERROR(VLOOKUP(A4592,[3]DOORSCRIEFT!$A$2:$G$8551,6,FALSE),"")</f>
        <v/>
      </c>
      <c r="G4592" s="315"/>
    </row>
    <row r="4593" spans="1:7" x14ac:dyDescent="0.25">
      <c r="A4593" s="319" t="str">
        <f t="shared" si="137"/>
        <v>I.3.1.4.01.0018</v>
      </c>
      <c r="B4593" s="319">
        <v>8</v>
      </c>
      <c r="C4593" s="319" t="str">
        <f>IFERROR(VLOOKUP(A4593,[3]DOORSCRIEFT!$A$2:$G$8551,2,FALSE),"")</f>
        <v/>
      </c>
      <c r="D4593" s="318" t="str">
        <f>IFERROR(VLOOKUP(A4593,[3]DOORSCRIEFT!$A$2:$G$8551,3,FALSE),"")</f>
        <v/>
      </c>
      <c r="E4593" s="317" t="str">
        <f>IFERROR(VLOOKUP(A4593,[3]DOORSCRIEFT!$A$2:$G$8551,4,FALSE),"")</f>
        <v/>
      </c>
      <c r="F4593" s="316" t="str">
        <f>IFERROR(VLOOKUP(A4593,[3]DOORSCRIEFT!$A$2:$G$8551,6,FALSE),"")</f>
        <v/>
      </c>
      <c r="G4593" s="315"/>
    </row>
    <row r="4594" spans="1:7" x14ac:dyDescent="0.25">
      <c r="A4594" s="319" t="str">
        <f t="shared" si="137"/>
        <v>I.3.1.4.01.0019</v>
      </c>
      <c r="B4594" s="319">
        <v>9</v>
      </c>
      <c r="C4594" s="319" t="str">
        <f>IFERROR(VLOOKUP(A4594,[3]DOORSCRIEFT!$A$2:$G$8551,2,FALSE),"")</f>
        <v/>
      </c>
      <c r="D4594" s="318" t="str">
        <f>IFERROR(VLOOKUP(A4594,[3]DOORSCRIEFT!$A$2:$G$8551,3,FALSE),"")</f>
        <v/>
      </c>
      <c r="E4594" s="317" t="str">
        <f>IFERROR(VLOOKUP(A4594,[3]DOORSCRIEFT!$A$2:$G$8551,4,FALSE),"")</f>
        <v/>
      </c>
      <c r="F4594" s="316" t="str">
        <f>IFERROR(VLOOKUP(A4594,[3]DOORSCRIEFT!$A$2:$G$8551,6,FALSE),"")</f>
        <v/>
      </c>
      <c r="G4594" s="315"/>
    </row>
    <row r="4595" spans="1:7" x14ac:dyDescent="0.25">
      <c r="A4595" s="319" t="str">
        <f t="shared" si="137"/>
        <v>I.3.1.4.01.00110</v>
      </c>
      <c r="B4595" s="319">
        <v>10</v>
      </c>
      <c r="C4595" s="319" t="str">
        <f>IFERROR(VLOOKUP(A4595,[3]DOORSCRIEFT!$A$2:$G$8551,2,FALSE),"")</f>
        <v/>
      </c>
      <c r="D4595" s="318" t="str">
        <f>IFERROR(VLOOKUP(A4595,[3]DOORSCRIEFT!$A$2:$G$8551,3,FALSE),"")</f>
        <v/>
      </c>
      <c r="E4595" s="317" t="str">
        <f>IFERROR(VLOOKUP(A4595,[3]DOORSCRIEFT!$A$2:$G$8551,4,FALSE),"")</f>
        <v/>
      </c>
      <c r="F4595" s="316" t="str">
        <f>IFERROR(VLOOKUP(A4595,[3]DOORSCRIEFT!$A$2:$G$8551,6,FALSE),"")</f>
        <v/>
      </c>
      <c r="G4595" s="315"/>
    </row>
    <row r="4596" spans="1:7" x14ac:dyDescent="0.25">
      <c r="A4596" s="319" t="str">
        <f t="shared" si="137"/>
        <v>I.3.1.4.01.00111</v>
      </c>
      <c r="B4596" s="319">
        <v>11</v>
      </c>
      <c r="C4596" s="319" t="str">
        <f>IFERROR(VLOOKUP(A4596,[3]DOORSCRIEFT!$A$2:$G$8551,2,FALSE),"")</f>
        <v/>
      </c>
      <c r="D4596" s="318" t="str">
        <f>IFERROR(VLOOKUP(A4596,[3]DOORSCRIEFT!$A$2:$G$8551,3,FALSE),"")</f>
        <v/>
      </c>
      <c r="E4596" s="317" t="str">
        <f>IFERROR(VLOOKUP(A4596,[3]DOORSCRIEFT!$A$2:$G$8551,4,FALSE),"")</f>
        <v/>
      </c>
      <c r="F4596" s="316" t="str">
        <f>IFERROR(VLOOKUP(A4596,[3]DOORSCRIEFT!$A$2:$G$8551,6,FALSE),"")</f>
        <v/>
      </c>
      <c r="G4596" s="315"/>
    </row>
    <row r="4597" spans="1:7" x14ac:dyDescent="0.25">
      <c r="A4597" s="319" t="str">
        <f t="shared" si="137"/>
        <v>I.3.1.4.01.00112</v>
      </c>
      <c r="B4597" s="319">
        <v>12</v>
      </c>
      <c r="C4597" s="319" t="str">
        <f>IFERROR(VLOOKUP(A4597,[3]DOORSCRIEFT!$A$2:$G$8551,2,FALSE),"")</f>
        <v/>
      </c>
      <c r="D4597" s="318" t="str">
        <f>IFERROR(VLOOKUP(A4597,[3]DOORSCRIEFT!$A$2:$G$8551,3,FALSE),"")</f>
        <v/>
      </c>
      <c r="E4597" s="317" t="str">
        <f>IFERROR(VLOOKUP(A4597,[3]DOORSCRIEFT!$A$2:$G$8551,4,FALSE),"")</f>
        <v/>
      </c>
      <c r="F4597" s="316" t="str">
        <f>IFERROR(VLOOKUP(A4597,[3]DOORSCRIEFT!$A$2:$G$8551,6,FALSE),"")</f>
        <v/>
      </c>
      <c r="G4597" s="315"/>
    </row>
    <row r="4598" spans="1:7" x14ac:dyDescent="0.25">
      <c r="A4598" s="319" t="str">
        <f t="shared" si="137"/>
        <v>I.3.1.4.01.00113</v>
      </c>
      <c r="B4598" s="319">
        <v>13</v>
      </c>
      <c r="C4598" s="319" t="str">
        <f>IFERROR(VLOOKUP(A4598,[3]DOORSCRIEFT!$A$2:$G$8551,2,FALSE),"")</f>
        <v/>
      </c>
      <c r="D4598" s="318" t="str">
        <f>IFERROR(VLOOKUP(A4598,[3]DOORSCRIEFT!$A$2:$G$8551,3,FALSE),"")</f>
        <v/>
      </c>
      <c r="E4598" s="317" t="str">
        <f>IFERROR(VLOOKUP(A4598,[3]DOORSCRIEFT!$A$2:$G$8551,4,FALSE),"")</f>
        <v/>
      </c>
      <c r="F4598" s="316" t="str">
        <f>IFERROR(VLOOKUP(A4598,[3]DOORSCRIEFT!$A$2:$G$8551,6,FALSE),"")</f>
        <v/>
      </c>
      <c r="G4598" s="315"/>
    </row>
    <row r="4599" spans="1:7" x14ac:dyDescent="0.25">
      <c r="A4599" s="319" t="str">
        <f t="shared" si="137"/>
        <v>I.3.1.4.01.00114</v>
      </c>
      <c r="B4599" s="319">
        <v>14</v>
      </c>
      <c r="C4599" s="319" t="str">
        <f>IFERROR(VLOOKUP(A4599,[3]DOORSCRIEFT!$A$2:$G$8551,2,FALSE),"")</f>
        <v/>
      </c>
      <c r="D4599" s="318" t="str">
        <f>IFERROR(VLOOKUP(A4599,[3]DOORSCRIEFT!$A$2:$G$8551,3,FALSE),"")</f>
        <v/>
      </c>
      <c r="E4599" s="317" t="str">
        <f>IFERROR(VLOOKUP(A4599,[3]DOORSCRIEFT!$A$2:$G$8551,4,FALSE),"")</f>
        <v/>
      </c>
      <c r="F4599" s="316" t="str">
        <f>IFERROR(VLOOKUP(A4599,[3]DOORSCRIEFT!$A$2:$G$8551,6,FALSE),"")</f>
        <v/>
      </c>
      <c r="G4599" s="315"/>
    </row>
    <row r="4600" spans="1:7" ht="15.75" thickBot="1" x14ac:dyDescent="0.3">
      <c r="A4600" s="345" t="str">
        <f t="shared" si="137"/>
        <v>I.3.1.4.01.00115</v>
      </c>
      <c r="B4600" s="345">
        <v>15</v>
      </c>
      <c r="C4600" s="319" t="str">
        <f>IFERROR(VLOOKUP(A4600,[3]DOORSCRIEFT!$A$2:$G$8551,2,FALSE),"")</f>
        <v/>
      </c>
      <c r="D4600" s="318" t="str">
        <f>IFERROR(VLOOKUP(A4600,[3]DOORSCRIEFT!$A$2:$G$8551,3,FALSE),"")</f>
        <v/>
      </c>
      <c r="E4600" s="317" t="str">
        <f>IFERROR(VLOOKUP(A4600,[3]DOORSCRIEFT!$A$2:$G$8551,4,FALSE),"")</f>
        <v/>
      </c>
      <c r="F4600" s="316" t="str">
        <f>IFERROR(VLOOKUP(A4600,[3]DOORSCRIEFT!$A$2:$G$8551,6,FALSE),"")</f>
        <v/>
      </c>
      <c r="G4600" s="315"/>
    </row>
    <row r="4601" spans="1:7" ht="15.75" thickBot="1" x14ac:dyDescent="0.3">
      <c r="A4601" s="344"/>
      <c r="B4601" s="343"/>
      <c r="C4601" s="336"/>
      <c r="D4601" s="312"/>
      <c r="E4601" s="311" t="s">
        <v>644</v>
      </c>
      <c r="F4601" s="310">
        <f>SUM(F4586:F4600)</f>
        <v>0</v>
      </c>
      <c r="G4601" s="309">
        <f>SUM(G4586:G4600)</f>
        <v>0</v>
      </c>
    </row>
    <row r="4602" spans="1:7" x14ac:dyDescent="0.25">
      <c r="C4602" s="335"/>
    </row>
    <row r="4603" spans="1:7" x14ac:dyDescent="0.25">
      <c r="C4603" s="335"/>
    </row>
    <row r="4604" spans="1:7" ht="15.75" x14ac:dyDescent="0.25">
      <c r="C4604" s="334"/>
      <c r="D4604" s="333"/>
      <c r="E4604" s="332"/>
      <c r="F4604" s="327" t="s">
        <v>607</v>
      </c>
      <c r="G4604" s="327" t="s">
        <v>362</v>
      </c>
    </row>
    <row r="4605" spans="1:7" ht="15.75" x14ac:dyDescent="0.25">
      <c r="C4605" s="334"/>
      <c r="D4605" s="333"/>
      <c r="E4605" s="332"/>
      <c r="F4605" s="327" t="s">
        <v>601</v>
      </c>
      <c r="G4605" s="327" t="s">
        <v>107</v>
      </c>
    </row>
    <row r="4606" spans="1:7" x14ac:dyDescent="0.25">
      <c r="C4606" s="330"/>
      <c r="D4606" s="329"/>
      <c r="E4606" s="328"/>
      <c r="F4606" s="327" t="s">
        <v>651</v>
      </c>
      <c r="G4606" s="331">
        <f>[2]Sheet1!$D$141</f>
        <v>0</v>
      </c>
    </row>
    <row r="4607" spans="1:7" ht="15.75" thickBot="1" x14ac:dyDescent="0.3">
      <c r="C4607" s="330"/>
      <c r="D4607" s="329"/>
      <c r="E4607" s="328"/>
      <c r="F4607" s="327" t="s">
        <v>650</v>
      </c>
      <c r="G4607" s="326">
        <f>+F4626-G4606</f>
        <v>0</v>
      </c>
    </row>
    <row r="4608" spans="1:7" x14ac:dyDescent="0.25">
      <c r="A4608" s="573" t="s">
        <v>626</v>
      </c>
      <c r="B4608" s="584" t="s">
        <v>606</v>
      </c>
      <c r="C4608" s="588" t="s">
        <v>649</v>
      </c>
      <c r="D4608" s="577" t="s">
        <v>648</v>
      </c>
      <c r="E4608" s="577" t="s">
        <v>647</v>
      </c>
      <c r="F4608" s="577" t="s">
        <v>646</v>
      </c>
      <c r="G4608" s="580" t="s">
        <v>645</v>
      </c>
    </row>
    <row r="4609" spans="1:7" ht="15.75" thickBot="1" x14ac:dyDescent="0.3">
      <c r="A4609" s="574"/>
      <c r="B4609" s="585"/>
      <c r="C4609" s="589"/>
      <c r="D4609" s="586"/>
      <c r="E4609" s="586"/>
      <c r="F4609" s="586"/>
      <c r="G4609" s="587"/>
    </row>
    <row r="4610" spans="1:7" ht="15.75" thickBot="1" x14ac:dyDescent="0.3">
      <c r="A4610" s="325">
        <v>1</v>
      </c>
      <c r="B4610" s="324">
        <v>2</v>
      </c>
      <c r="C4610" s="324">
        <v>3</v>
      </c>
      <c r="D4610" s="324">
        <v>4</v>
      </c>
      <c r="E4610" s="324">
        <v>5</v>
      </c>
      <c r="F4610" s="324">
        <v>6</v>
      </c>
      <c r="G4610" s="323">
        <v>7</v>
      </c>
    </row>
    <row r="4611" spans="1:7" x14ac:dyDescent="0.25">
      <c r="A4611" s="339" t="str">
        <f t="shared" ref="A4611:A4625" si="138">$G$4604&amp;B4611</f>
        <v>I.3.1.4.02.0011</v>
      </c>
      <c r="B4611" s="339">
        <v>1</v>
      </c>
      <c r="C4611" s="319" t="str">
        <f>IFERROR(VLOOKUP(A4611,[3]DOORSCRIEFT!$A$2:$G$8551,2,FALSE),"")</f>
        <v/>
      </c>
      <c r="D4611" s="318" t="str">
        <f>IFERROR(VLOOKUP(A4611,[3]DOORSCRIEFT!$A$2:$G$8551,3,FALSE),"")</f>
        <v/>
      </c>
      <c r="E4611" s="317" t="str">
        <f>IFERROR(VLOOKUP(A4611,[3]DOORSCRIEFT!$A$2:$G$8551,4,FALSE),"")</f>
        <v/>
      </c>
      <c r="F4611" s="316" t="str">
        <f>IFERROR(VLOOKUP(A4611,[3]DOORSCRIEFT!$A$2:$G$8551,6,FALSE),"")</f>
        <v/>
      </c>
      <c r="G4611" s="322"/>
    </row>
    <row r="4612" spans="1:7" x14ac:dyDescent="0.25">
      <c r="A4612" s="339" t="str">
        <f t="shared" si="138"/>
        <v>I.3.1.4.02.0012</v>
      </c>
      <c r="B4612" s="319">
        <v>2</v>
      </c>
      <c r="C4612" s="319" t="str">
        <f>IFERROR(VLOOKUP(A4612,[3]DOORSCRIEFT!$A$2:$G$8551,2,FALSE),"")</f>
        <v/>
      </c>
      <c r="D4612" s="318" t="str">
        <f>IFERROR(VLOOKUP(A4612,[3]DOORSCRIEFT!$A$2:$G$8551,3,FALSE),"")</f>
        <v/>
      </c>
      <c r="E4612" s="317" t="str">
        <f>IFERROR(VLOOKUP(A4612,[3]DOORSCRIEFT!$A$2:$G$8551,4,FALSE),"")</f>
        <v/>
      </c>
      <c r="F4612" s="316" t="str">
        <f>IFERROR(VLOOKUP(A4612,[3]DOORSCRIEFT!$A$2:$G$8551,6,FALSE),"")</f>
        <v/>
      </c>
      <c r="G4612" s="315"/>
    </row>
    <row r="4613" spans="1:7" x14ac:dyDescent="0.25">
      <c r="A4613" s="339" t="str">
        <f t="shared" si="138"/>
        <v>I.3.1.4.02.0013</v>
      </c>
      <c r="B4613" s="339">
        <v>3</v>
      </c>
      <c r="C4613" s="319" t="str">
        <f>IFERROR(VLOOKUP(A4613,[3]DOORSCRIEFT!$A$2:$G$8551,2,FALSE),"")</f>
        <v/>
      </c>
      <c r="D4613" s="318" t="str">
        <f>IFERROR(VLOOKUP(A4613,[3]DOORSCRIEFT!$A$2:$G$8551,3,FALSE),"")</f>
        <v/>
      </c>
      <c r="E4613" s="317" t="str">
        <f>IFERROR(VLOOKUP(A4613,[3]DOORSCRIEFT!$A$2:$G$8551,4,FALSE),"")</f>
        <v/>
      </c>
      <c r="F4613" s="316" t="str">
        <f>IFERROR(VLOOKUP(A4613,[3]DOORSCRIEFT!$A$2:$G$8551,6,FALSE),"")</f>
        <v/>
      </c>
      <c r="G4613" s="315"/>
    </row>
    <row r="4614" spans="1:7" x14ac:dyDescent="0.25">
      <c r="A4614" s="339" t="str">
        <f t="shared" si="138"/>
        <v>I.3.1.4.02.0014</v>
      </c>
      <c r="B4614" s="319">
        <v>4</v>
      </c>
      <c r="C4614" s="319" t="str">
        <f>IFERROR(VLOOKUP(A4614,[3]DOORSCRIEFT!$A$2:$G$8551,2,FALSE),"")</f>
        <v/>
      </c>
      <c r="D4614" s="318" t="str">
        <f>IFERROR(VLOOKUP(A4614,[3]DOORSCRIEFT!$A$2:$G$8551,3,FALSE),"")</f>
        <v/>
      </c>
      <c r="E4614" s="317" t="str">
        <f>IFERROR(VLOOKUP(A4614,[3]DOORSCRIEFT!$A$2:$G$8551,4,FALSE),"")</f>
        <v/>
      </c>
      <c r="F4614" s="316" t="str">
        <f>IFERROR(VLOOKUP(A4614,[3]DOORSCRIEFT!$A$2:$G$8551,6,FALSE),"")</f>
        <v/>
      </c>
      <c r="G4614" s="315"/>
    </row>
    <row r="4615" spans="1:7" x14ac:dyDescent="0.25">
      <c r="A4615" s="339" t="str">
        <f t="shared" si="138"/>
        <v>I.3.1.4.02.0015</v>
      </c>
      <c r="B4615" s="339">
        <v>5</v>
      </c>
      <c r="C4615" s="319" t="str">
        <f>IFERROR(VLOOKUP(A4615,[3]DOORSCRIEFT!$A$2:$G$8551,2,FALSE),"")</f>
        <v/>
      </c>
      <c r="D4615" s="318" t="str">
        <f>IFERROR(VLOOKUP(A4615,[3]DOORSCRIEFT!$A$2:$G$8551,3,FALSE),"")</f>
        <v/>
      </c>
      <c r="E4615" s="317" t="str">
        <f>IFERROR(VLOOKUP(A4615,[3]DOORSCRIEFT!$A$2:$G$8551,4,FALSE),"")</f>
        <v/>
      </c>
      <c r="F4615" s="316" t="str">
        <f>IFERROR(VLOOKUP(A4615,[3]DOORSCRIEFT!$A$2:$G$8551,6,FALSE),"")</f>
        <v/>
      </c>
      <c r="G4615" s="315"/>
    </row>
    <row r="4616" spans="1:7" x14ac:dyDescent="0.25">
      <c r="A4616" s="339" t="str">
        <f t="shared" si="138"/>
        <v>I.3.1.4.02.0016</v>
      </c>
      <c r="B4616" s="319">
        <v>6</v>
      </c>
      <c r="C4616" s="319" t="str">
        <f>IFERROR(VLOOKUP(A4616,[3]DOORSCRIEFT!$A$2:$G$8551,2,FALSE),"")</f>
        <v/>
      </c>
      <c r="D4616" s="318" t="str">
        <f>IFERROR(VLOOKUP(A4616,[3]DOORSCRIEFT!$A$2:$G$8551,3,FALSE),"")</f>
        <v/>
      </c>
      <c r="E4616" s="317" t="str">
        <f>IFERROR(VLOOKUP(A4616,[3]DOORSCRIEFT!$A$2:$G$8551,4,FALSE),"")</f>
        <v/>
      </c>
      <c r="F4616" s="316" t="str">
        <f>IFERROR(VLOOKUP(A4616,[3]DOORSCRIEFT!$A$2:$G$8551,6,FALSE),"")</f>
        <v/>
      </c>
      <c r="G4616" s="315"/>
    </row>
    <row r="4617" spans="1:7" x14ac:dyDescent="0.25">
      <c r="A4617" s="339" t="str">
        <f t="shared" si="138"/>
        <v>I.3.1.4.02.0017</v>
      </c>
      <c r="B4617" s="339">
        <v>7</v>
      </c>
      <c r="C4617" s="319" t="str">
        <f>IFERROR(VLOOKUP(A4617,[3]DOORSCRIEFT!$A$2:$G$8551,2,FALSE),"")</f>
        <v/>
      </c>
      <c r="D4617" s="318" t="str">
        <f>IFERROR(VLOOKUP(A4617,[3]DOORSCRIEFT!$A$2:$G$8551,3,FALSE),"")</f>
        <v/>
      </c>
      <c r="E4617" s="317" t="str">
        <f>IFERROR(VLOOKUP(A4617,[3]DOORSCRIEFT!$A$2:$G$8551,4,FALSE),"")</f>
        <v/>
      </c>
      <c r="F4617" s="316" t="str">
        <f>IFERROR(VLOOKUP(A4617,[3]DOORSCRIEFT!$A$2:$G$8551,6,FALSE),"")</f>
        <v/>
      </c>
      <c r="G4617" s="315"/>
    </row>
    <row r="4618" spans="1:7" x14ac:dyDescent="0.25">
      <c r="A4618" s="339" t="str">
        <f t="shared" si="138"/>
        <v>I.3.1.4.02.0018</v>
      </c>
      <c r="B4618" s="319">
        <v>8</v>
      </c>
      <c r="C4618" s="319" t="str">
        <f>IFERROR(VLOOKUP(A4618,[3]DOORSCRIEFT!$A$2:$G$8551,2,FALSE),"")</f>
        <v/>
      </c>
      <c r="D4618" s="318" t="str">
        <f>IFERROR(VLOOKUP(A4618,[3]DOORSCRIEFT!$A$2:$G$8551,3,FALSE),"")</f>
        <v/>
      </c>
      <c r="E4618" s="317" t="str">
        <f>IFERROR(VLOOKUP(A4618,[3]DOORSCRIEFT!$A$2:$G$8551,4,FALSE),"")</f>
        <v/>
      </c>
      <c r="F4618" s="316" t="str">
        <f>IFERROR(VLOOKUP(A4618,[3]DOORSCRIEFT!$A$2:$G$8551,6,FALSE),"")</f>
        <v/>
      </c>
      <c r="G4618" s="315"/>
    </row>
    <row r="4619" spans="1:7" x14ac:dyDescent="0.25">
      <c r="A4619" s="339" t="str">
        <f t="shared" si="138"/>
        <v>I.3.1.4.02.0019</v>
      </c>
      <c r="B4619" s="339">
        <v>9</v>
      </c>
      <c r="C4619" s="319" t="str">
        <f>IFERROR(VLOOKUP(A4619,[3]DOORSCRIEFT!$A$2:$G$8551,2,FALSE),"")</f>
        <v/>
      </c>
      <c r="D4619" s="318" t="str">
        <f>IFERROR(VLOOKUP(A4619,[3]DOORSCRIEFT!$A$2:$G$8551,3,FALSE),"")</f>
        <v/>
      </c>
      <c r="E4619" s="317" t="str">
        <f>IFERROR(VLOOKUP(A4619,[3]DOORSCRIEFT!$A$2:$G$8551,4,FALSE),"")</f>
        <v/>
      </c>
      <c r="F4619" s="316" t="str">
        <f>IFERROR(VLOOKUP(A4619,[3]DOORSCRIEFT!$A$2:$G$8551,6,FALSE),"")</f>
        <v/>
      </c>
      <c r="G4619" s="315"/>
    </row>
    <row r="4620" spans="1:7" x14ac:dyDescent="0.25">
      <c r="A4620" s="339" t="str">
        <f t="shared" si="138"/>
        <v>I.3.1.4.02.00110</v>
      </c>
      <c r="B4620" s="319">
        <v>10</v>
      </c>
      <c r="C4620" s="319" t="str">
        <f>IFERROR(VLOOKUP(A4620,[3]DOORSCRIEFT!$A$2:$G$8551,2,FALSE),"")</f>
        <v/>
      </c>
      <c r="D4620" s="318" t="str">
        <f>IFERROR(VLOOKUP(A4620,[3]DOORSCRIEFT!$A$2:$G$8551,3,FALSE),"")</f>
        <v/>
      </c>
      <c r="E4620" s="317" t="str">
        <f>IFERROR(VLOOKUP(A4620,[3]DOORSCRIEFT!$A$2:$G$8551,4,FALSE),"")</f>
        <v/>
      </c>
      <c r="F4620" s="316" t="str">
        <f>IFERROR(VLOOKUP(A4620,[3]DOORSCRIEFT!$A$2:$G$8551,6,FALSE),"")</f>
        <v/>
      </c>
      <c r="G4620" s="315"/>
    </row>
    <row r="4621" spans="1:7" x14ac:dyDescent="0.25">
      <c r="A4621" s="339" t="str">
        <f t="shared" si="138"/>
        <v>I.3.1.4.02.00111</v>
      </c>
      <c r="B4621" s="339">
        <v>11</v>
      </c>
      <c r="C4621" s="319" t="str">
        <f>IFERROR(VLOOKUP(A4621,[3]DOORSCRIEFT!$A$2:$G$8551,2,FALSE),"")</f>
        <v/>
      </c>
      <c r="D4621" s="318" t="str">
        <f>IFERROR(VLOOKUP(A4621,[3]DOORSCRIEFT!$A$2:$G$8551,3,FALSE),"")</f>
        <v/>
      </c>
      <c r="E4621" s="317" t="str">
        <f>IFERROR(VLOOKUP(A4621,[3]DOORSCRIEFT!$A$2:$G$8551,4,FALSE),"")</f>
        <v/>
      </c>
      <c r="F4621" s="316" t="str">
        <f>IFERROR(VLOOKUP(A4621,[3]DOORSCRIEFT!$A$2:$G$8551,6,FALSE),"")</f>
        <v/>
      </c>
      <c r="G4621" s="315"/>
    </row>
    <row r="4622" spans="1:7" x14ac:dyDescent="0.25">
      <c r="A4622" s="339" t="str">
        <f t="shared" si="138"/>
        <v>I.3.1.4.02.00112</v>
      </c>
      <c r="B4622" s="319">
        <v>12</v>
      </c>
      <c r="C4622" s="319" t="str">
        <f>IFERROR(VLOOKUP(A4622,[3]DOORSCRIEFT!$A$2:$G$8551,2,FALSE),"")</f>
        <v/>
      </c>
      <c r="D4622" s="318" t="str">
        <f>IFERROR(VLOOKUP(A4622,[3]DOORSCRIEFT!$A$2:$G$8551,3,FALSE),"")</f>
        <v/>
      </c>
      <c r="E4622" s="317" t="str">
        <f>IFERROR(VLOOKUP(A4622,[3]DOORSCRIEFT!$A$2:$G$8551,4,FALSE),"")</f>
        <v/>
      </c>
      <c r="F4622" s="316" t="str">
        <f>IFERROR(VLOOKUP(A4622,[3]DOORSCRIEFT!$A$2:$G$8551,6,FALSE),"")</f>
        <v/>
      </c>
      <c r="G4622" s="315"/>
    </row>
    <row r="4623" spans="1:7" x14ac:dyDescent="0.25">
      <c r="A4623" s="339" t="str">
        <f t="shared" si="138"/>
        <v>I.3.1.4.02.00113</v>
      </c>
      <c r="B4623" s="339">
        <v>13</v>
      </c>
      <c r="C4623" s="319" t="str">
        <f>IFERROR(VLOOKUP(A4623,[3]DOORSCRIEFT!$A$2:$G$8551,2,FALSE),"")</f>
        <v/>
      </c>
      <c r="D4623" s="318" t="str">
        <f>IFERROR(VLOOKUP(A4623,[3]DOORSCRIEFT!$A$2:$G$8551,3,FALSE),"")</f>
        <v/>
      </c>
      <c r="E4623" s="317" t="str">
        <f>IFERROR(VLOOKUP(A4623,[3]DOORSCRIEFT!$A$2:$G$8551,4,FALSE),"")</f>
        <v/>
      </c>
      <c r="F4623" s="316" t="str">
        <f>IFERROR(VLOOKUP(A4623,[3]DOORSCRIEFT!$A$2:$G$8551,6,FALSE),"")</f>
        <v/>
      </c>
      <c r="G4623" s="315"/>
    </row>
    <row r="4624" spans="1:7" x14ac:dyDescent="0.25">
      <c r="A4624" s="339" t="str">
        <f t="shared" si="138"/>
        <v>I.3.1.4.02.00114</v>
      </c>
      <c r="B4624" s="319">
        <v>14</v>
      </c>
      <c r="C4624" s="319" t="str">
        <f>IFERROR(VLOOKUP(A4624,[3]DOORSCRIEFT!$A$2:$G$8551,2,FALSE),"")</f>
        <v/>
      </c>
      <c r="D4624" s="318" t="str">
        <f>IFERROR(VLOOKUP(A4624,[3]DOORSCRIEFT!$A$2:$G$8551,3,FALSE),"")</f>
        <v/>
      </c>
      <c r="E4624" s="317" t="str">
        <f>IFERROR(VLOOKUP(A4624,[3]DOORSCRIEFT!$A$2:$G$8551,4,FALSE),"")</f>
        <v/>
      </c>
      <c r="F4624" s="316" t="str">
        <f>IFERROR(VLOOKUP(A4624,[3]DOORSCRIEFT!$A$2:$G$8551,6,FALSE),"")</f>
        <v/>
      </c>
      <c r="G4624" s="315"/>
    </row>
    <row r="4625" spans="1:7" ht="15.75" thickBot="1" x14ac:dyDescent="0.3">
      <c r="A4625" s="353" t="str">
        <f t="shared" si="138"/>
        <v>I.3.1.4.02.00115</v>
      </c>
      <c r="B4625" s="353">
        <v>15</v>
      </c>
      <c r="C4625" s="319" t="str">
        <f>IFERROR(VLOOKUP(A4625,[3]DOORSCRIEFT!$A$2:$G$8551,2,FALSE),"")</f>
        <v/>
      </c>
      <c r="D4625" s="318" t="str">
        <f>IFERROR(VLOOKUP(A4625,[3]DOORSCRIEFT!$A$2:$G$8551,3,FALSE),"")</f>
        <v/>
      </c>
      <c r="E4625" s="317" t="str">
        <f>IFERROR(VLOOKUP(A4625,[3]DOORSCRIEFT!$A$2:$G$8551,4,FALSE),"")</f>
        <v/>
      </c>
      <c r="F4625" s="316" t="str">
        <f>IFERROR(VLOOKUP(A4625,[3]DOORSCRIEFT!$A$2:$G$8551,6,FALSE),"")</f>
        <v/>
      </c>
      <c r="G4625" s="315"/>
    </row>
    <row r="4626" spans="1:7" ht="15.75" thickBot="1" x14ac:dyDescent="0.3">
      <c r="A4626" s="344"/>
      <c r="B4626" s="343"/>
      <c r="C4626" s="336"/>
      <c r="D4626" s="312"/>
      <c r="E4626" s="311" t="s">
        <v>644</v>
      </c>
      <c r="F4626" s="310">
        <f>SUM(F4611:F4625)</f>
        <v>0</v>
      </c>
      <c r="G4626" s="309">
        <f>SUM(G4611:G4625)</f>
        <v>0</v>
      </c>
    </row>
    <row r="4627" spans="1:7" x14ac:dyDescent="0.25">
      <c r="C4627" s="335"/>
    </row>
    <row r="4628" spans="1:7" x14ac:dyDescent="0.25">
      <c r="C4628" s="335"/>
    </row>
    <row r="4629" spans="1:7" ht="15.75" x14ac:dyDescent="0.25">
      <c r="C4629" s="334"/>
      <c r="D4629" s="333"/>
      <c r="E4629" s="332"/>
      <c r="F4629" s="327" t="s">
        <v>607</v>
      </c>
      <c r="G4629" s="327" t="s">
        <v>361</v>
      </c>
    </row>
    <row r="4630" spans="1:7" ht="15.75" x14ac:dyDescent="0.25">
      <c r="C4630" s="334"/>
      <c r="D4630" s="333"/>
      <c r="E4630" s="332"/>
      <c r="F4630" s="327" t="s">
        <v>601</v>
      </c>
      <c r="G4630" s="327" t="s">
        <v>105</v>
      </c>
    </row>
    <row r="4631" spans="1:7" x14ac:dyDescent="0.25">
      <c r="C4631" s="330"/>
      <c r="D4631" s="329"/>
      <c r="E4631" s="328"/>
      <c r="F4631" s="327" t="s">
        <v>651</v>
      </c>
      <c r="G4631" s="331">
        <f>[2]Sheet1!$D$142</f>
        <v>0</v>
      </c>
    </row>
    <row r="4632" spans="1:7" ht="15.75" thickBot="1" x14ac:dyDescent="0.3">
      <c r="C4632" s="330"/>
      <c r="D4632" s="329"/>
      <c r="E4632" s="328"/>
      <c r="F4632" s="327" t="s">
        <v>650</v>
      </c>
      <c r="G4632" s="326">
        <f>+F4651-G4631</f>
        <v>0</v>
      </c>
    </row>
    <row r="4633" spans="1:7" x14ac:dyDescent="0.25">
      <c r="A4633" s="573" t="s">
        <v>626</v>
      </c>
      <c r="B4633" s="584" t="s">
        <v>606</v>
      </c>
      <c r="C4633" s="588" t="s">
        <v>649</v>
      </c>
      <c r="D4633" s="577" t="s">
        <v>648</v>
      </c>
      <c r="E4633" s="577" t="s">
        <v>647</v>
      </c>
      <c r="F4633" s="577" t="s">
        <v>646</v>
      </c>
      <c r="G4633" s="580" t="s">
        <v>645</v>
      </c>
    </row>
    <row r="4634" spans="1:7" ht="15.75" thickBot="1" x14ac:dyDescent="0.3">
      <c r="A4634" s="574"/>
      <c r="B4634" s="585"/>
      <c r="C4634" s="589"/>
      <c r="D4634" s="586"/>
      <c r="E4634" s="586"/>
      <c r="F4634" s="586"/>
      <c r="G4634" s="587"/>
    </row>
    <row r="4635" spans="1:7" ht="15.75" thickBot="1" x14ac:dyDescent="0.3">
      <c r="A4635" s="352">
        <v>1</v>
      </c>
      <c r="B4635" s="335">
        <v>2</v>
      </c>
      <c r="C4635" s="351">
        <v>3</v>
      </c>
      <c r="D4635" s="351">
        <v>4</v>
      </c>
      <c r="E4635" s="351">
        <v>5</v>
      </c>
      <c r="F4635" s="351">
        <v>6</v>
      </c>
      <c r="G4635" s="350">
        <v>7</v>
      </c>
    </row>
    <row r="4636" spans="1:7" x14ac:dyDescent="0.25">
      <c r="A4636" s="321" t="str">
        <f t="shared" ref="A4636:A4650" si="139">$G$4629&amp;B4636</f>
        <v>I.3.1.4.02.0021</v>
      </c>
      <c r="B4636" s="321">
        <v>1</v>
      </c>
      <c r="C4636" s="319" t="str">
        <f>IFERROR(VLOOKUP(A4636,[3]DOORSCRIEFT!$A$2:$G$8551,2,FALSE),"")</f>
        <v/>
      </c>
      <c r="D4636" s="318" t="str">
        <f>IFERROR(VLOOKUP(A4636,[3]DOORSCRIEFT!$A$2:$G$8551,3,FALSE),"")</f>
        <v/>
      </c>
      <c r="E4636" s="317" t="str">
        <f>IFERROR(VLOOKUP(A4636,[3]DOORSCRIEFT!$A$2:$G$8551,4,FALSE),"")</f>
        <v/>
      </c>
      <c r="F4636" s="316" t="str">
        <f>IFERROR(VLOOKUP(A4636,[3]DOORSCRIEFT!$A$2:$G$8551,6,FALSE),"")</f>
        <v/>
      </c>
      <c r="G4636" s="349"/>
    </row>
    <row r="4637" spans="1:7" x14ac:dyDescent="0.25">
      <c r="A4637" s="321" t="str">
        <f t="shared" si="139"/>
        <v>I.3.1.4.02.0022</v>
      </c>
      <c r="B4637" s="321">
        <v>2</v>
      </c>
      <c r="C4637" s="319" t="str">
        <f>IFERROR(VLOOKUP(A4637,[3]DOORSCRIEFT!$A$2:$G$8551,2,FALSE),"")</f>
        <v/>
      </c>
      <c r="D4637" s="318" t="str">
        <f>IFERROR(VLOOKUP(A4637,[3]DOORSCRIEFT!$A$2:$G$8551,3,FALSE),"")</f>
        <v/>
      </c>
      <c r="E4637" s="317" t="str">
        <f>IFERROR(VLOOKUP(A4637,[3]DOORSCRIEFT!$A$2:$G$8551,4,FALSE),"")</f>
        <v/>
      </c>
      <c r="F4637" s="316" t="str">
        <f>IFERROR(VLOOKUP(A4637,[3]DOORSCRIEFT!$A$2:$G$8551,6,FALSE),"")</f>
        <v/>
      </c>
      <c r="G4637" s="315"/>
    </row>
    <row r="4638" spans="1:7" x14ac:dyDescent="0.25">
      <c r="A4638" s="321" t="str">
        <f t="shared" si="139"/>
        <v>I.3.1.4.02.0023</v>
      </c>
      <c r="B4638" s="321">
        <v>3</v>
      </c>
      <c r="C4638" s="319" t="str">
        <f>IFERROR(VLOOKUP(A4638,[3]DOORSCRIEFT!$A$2:$G$8551,2,FALSE),"")</f>
        <v/>
      </c>
      <c r="D4638" s="318" t="str">
        <f>IFERROR(VLOOKUP(A4638,[3]DOORSCRIEFT!$A$2:$G$8551,3,FALSE),"")</f>
        <v/>
      </c>
      <c r="E4638" s="317" t="str">
        <f>IFERROR(VLOOKUP(A4638,[3]DOORSCRIEFT!$A$2:$G$8551,4,FALSE),"")</f>
        <v/>
      </c>
      <c r="F4638" s="316" t="str">
        <f>IFERROR(VLOOKUP(A4638,[3]DOORSCRIEFT!$A$2:$G$8551,6,FALSE),"")</f>
        <v/>
      </c>
      <c r="G4638" s="315"/>
    </row>
    <row r="4639" spans="1:7" x14ac:dyDescent="0.25">
      <c r="A4639" s="321" t="str">
        <f t="shared" si="139"/>
        <v>I.3.1.4.02.0024</v>
      </c>
      <c r="B4639" s="321">
        <v>4</v>
      </c>
      <c r="C4639" s="319" t="str">
        <f>IFERROR(VLOOKUP(A4639,[3]DOORSCRIEFT!$A$2:$G$8551,2,FALSE),"")</f>
        <v/>
      </c>
      <c r="D4639" s="318" t="str">
        <f>IFERROR(VLOOKUP(A4639,[3]DOORSCRIEFT!$A$2:$G$8551,3,FALSE),"")</f>
        <v/>
      </c>
      <c r="E4639" s="317" t="str">
        <f>IFERROR(VLOOKUP(A4639,[3]DOORSCRIEFT!$A$2:$G$8551,4,FALSE),"")</f>
        <v/>
      </c>
      <c r="F4639" s="316" t="str">
        <f>IFERROR(VLOOKUP(A4639,[3]DOORSCRIEFT!$A$2:$G$8551,6,FALSE),"")</f>
        <v/>
      </c>
      <c r="G4639" s="315"/>
    </row>
    <row r="4640" spans="1:7" x14ac:dyDescent="0.25">
      <c r="A4640" s="321" t="str">
        <f t="shared" si="139"/>
        <v>I.3.1.4.02.0025</v>
      </c>
      <c r="B4640" s="321">
        <v>5</v>
      </c>
      <c r="C4640" s="319" t="str">
        <f>IFERROR(VLOOKUP(A4640,[3]DOORSCRIEFT!$A$2:$G$8551,2,FALSE),"")</f>
        <v/>
      </c>
      <c r="D4640" s="318" t="str">
        <f>IFERROR(VLOOKUP(A4640,[3]DOORSCRIEFT!$A$2:$G$8551,3,FALSE),"")</f>
        <v/>
      </c>
      <c r="E4640" s="317" t="str">
        <f>IFERROR(VLOOKUP(A4640,[3]DOORSCRIEFT!$A$2:$G$8551,4,FALSE),"")</f>
        <v/>
      </c>
      <c r="F4640" s="316" t="str">
        <f>IFERROR(VLOOKUP(A4640,[3]DOORSCRIEFT!$A$2:$G$8551,6,FALSE),"")</f>
        <v/>
      </c>
      <c r="G4640" s="315"/>
    </row>
    <row r="4641" spans="1:7" x14ac:dyDescent="0.25">
      <c r="A4641" s="321" t="str">
        <f t="shared" si="139"/>
        <v>I.3.1.4.02.0026</v>
      </c>
      <c r="B4641" s="321">
        <v>6</v>
      </c>
      <c r="C4641" s="319" t="str">
        <f>IFERROR(VLOOKUP(A4641,[3]DOORSCRIEFT!$A$2:$G$8551,2,FALSE),"")</f>
        <v/>
      </c>
      <c r="D4641" s="318" t="str">
        <f>IFERROR(VLOOKUP(A4641,[3]DOORSCRIEFT!$A$2:$G$8551,3,FALSE),"")</f>
        <v/>
      </c>
      <c r="E4641" s="317" t="str">
        <f>IFERROR(VLOOKUP(A4641,[3]DOORSCRIEFT!$A$2:$G$8551,4,FALSE),"")</f>
        <v/>
      </c>
      <c r="F4641" s="316" t="str">
        <f>IFERROR(VLOOKUP(A4641,[3]DOORSCRIEFT!$A$2:$G$8551,6,FALSE),"")</f>
        <v/>
      </c>
      <c r="G4641" s="315"/>
    </row>
    <row r="4642" spans="1:7" x14ac:dyDescent="0.25">
      <c r="A4642" s="321" t="str">
        <f t="shared" si="139"/>
        <v>I.3.1.4.02.0027</v>
      </c>
      <c r="B4642" s="321">
        <v>7</v>
      </c>
      <c r="C4642" s="319" t="str">
        <f>IFERROR(VLOOKUP(A4642,[3]DOORSCRIEFT!$A$2:$G$8551,2,FALSE),"")</f>
        <v/>
      </c>
      <c r="D4642" s="318" t="str">
        <f>IFERROR(VLOOKUP(A4642,[3]DOORSCRIEFT!$A$2:$G$8551,3,FALSE),"")</f>
        <v/>
      </c>
      <c r="E4642" s="317" t="str">
        <f>IFERROR(VLOOKUP(A4642,[3]DOORSCRIEFT!$A$2:$G$8551,4,FALSE),"")</f>
        <v/>
      </c>
      <c r="F4642" s="316" t="str">
        <f>IFERROR(VLOOKUP(A4642,[3]DOORSCRIEFT!$A$2:$G$8551,6,FALSE),"")</f>
        <v/>
      </c>
      <c r="G4642" s="315"/>
    </row>
    <row r="4643" spans="1:7" x14ac:dyDescent="0.25">
      <c r="A4643" s="321" t="str">
        <f t="shared" si="139"/>
        <v>I.3.1.4.02.0028</v>
      </c>
      <c r="B4643" s="321">
        <v>8</v>
      </c>
      <c r="C4643" s="319" t="str">
        <f>IFERROR(VLOOKUP(A4643,[3]DOORSCRIEFT!$A$2:$G$8551,2,FALSE),"")</f>
        <v/>
      </c>
      <c r="D4643" s="318" t="str">
        <f>IFERROR(VLOOKUP(A4643,[3]DOORSCRIEFT!$A$2:$G$8551,3,FALSE),"")</f>
        <v/>
      </c>
      <c r="E4643" s="317" t="str">
        <f>IFERROR(VLOOKUP(A4643,[3]DOORSCRIEFT!$A$2:$G$8551,4,FALSE),"")</f>
        <v/>
      </c>
      <c r="F4643" s="316" t="str">
        <f>IFERROR(VLOOKUP(A4643,[3]DOORSCRIEFT!$A$2:$G$8551,6,FALSE),"")</f>
        <v/>
      </c>
      <c r="G4643" s="315"/>
    </row>
    <row r="4644" spans="1:7" x14ac:dyDescent="0.25">
      <c r="A4644" s="321" t="str">
        <f t="shared" si="139"/>
        <v>I.3.1.4.02.0029</v>
      </c>
      <c r="B4644" s="321">
        <v>9</v>
      </c>
      <c r="C4644" s="319" t="str">
        <f>IFERROR(VLOOKUP(A4644,[3]DOORSCRIEFT!$A$2:$G$8551,2,FALSE),"")</f>
        <v/>
      </c>
      <c r="D4644" s="318" t="str">
        <f>IFERROR(VLOOKUP(A4644,[3]DOORSCRIEFT!$A$2:$G$8551,3,FALSE),"")</f>
        <v/>
      </c>
      <c r="E4644" s="317" t="str">
        <f>IFERROR(VLOOKUP(A4644,[3]DOORSCRIEFT!$A$2:$G$8551,4,FALSE),"")</f>
        <v/>
      </c>
      <c r="F4644" s="316" t="str">
        <f>IFERROR(VLOOKUP(A4644,[3]DOORSCRIEFT!$A$2:$G$8551,6,FALSE),"")</f>
        <v/>
      </c>
      <c r="G4644" s="315"/>
    </row>
    <row r="4645" spans="1:7" x14ac:dyDescent="0.25">
      <c r="A4645" s="321" t="str">
        <f t="shared" si="139"/>
        <v>I.3.1.4.02.00210</v>
      </c>
      <c r="B4645" s="321">
        <v>10</v>
      </c>
      <c r="C4645" s="319" t="str">
        <f>IFERROR(VLOOKUP(A4645,[3]DOORSCRIEFT!$A$2:$G$8551,2,FALSE),"")</f>
        <v/>
      </c>
      <c r="D4645" s="318" t="str">
        <f>IFERROR(VLOOKUP(A4645,[3]DOORSCRIEFT!$A$2:$G$8551,3,FALSE),"")</f>
        <v/>
      </c>
      <c r="E4645" s="317" t="str">
        <f>IFERROR(VLOOKUP(A4645,[3]DOORSCRIEFT!$A$2:$G$8551,4,FALSE),"")</f>
        <v/>
      </c>
      <c r="F4645" s="316" t="str">
        <f>IFERROR(VLOOKUP(A4645,[3]DOORSCRIEFT!$A$2:$G$8551,6,FALSE),"")</f>
        <v/>
      </c>
      <c r="G4645" s="315"/>
    </row>
    <row r="4646" spans="1:7" x14ac:dyDescent="0.25">
      <c r="A4646" s="321" t="str">
        <f t="shared" si="139"/>
        <v>I.3.1.4.02.00211</v>
      </c>
      <c r="B4646" s="321">
        <v>11</v>
      </c>
      <c r="C4646" s="319" t="str">
        <f>IFERROR(VLOOKUP(A4646,[3]DOORSCRIEFT!$A$2:$G$8551,2,FALSE),"")</f>
        <v/>
      </c>
      <c r="D4646" s="318" t="str">
        <f>IFERROR(VLOOKUP(A4646,[3]DOORSCRIEFT!$A$2:$G$8551,3,FALSE),"")</f>
        <v/>
      </c>
      <c r="E4646" s="317" t="str">
        <f>IFERROR(VLOOKUP(A4646,[3]DOORSCRIEFT!$A$2:$G$8551,4,FALSE),"")</f>
        <v/>
      </c>
      <c r="F4646" s="316" t="str">
        <f>IFERROR(VLOOKUP(A4646,[3]DOORSCRIEFT!$A$2:$G$8551,6,FALSE),"")</f>
        <v/>
      </c>
      <c r="G4646" s="315"/>
    </row>
    <row r="4647" spans="1:7" x14ac:dyDescent="0.25">
      <c r="A4647" s="321" t="str">
        <f t="shared" si="139"/>
        <v>I.3.1.4.02.00212</v>
      </c>
      <c r="B4647" s="321">
        <v>12</v>
      </c>
      <c r="C4647" s="319" t="str">
        <f>IFERROR(VLOOKUP(A4647,[3]DOORSCRIEFT!$A$2:$G$8551,2,FALSE),"")</f>
        <v/>
      </c>
      <c r="D4647" s="318" t="str">
        <f>IFERROR(VLOOKUP(A4647,[3]DOORSCRIEFT!$A$2:$G$8551,3,FALSE),"")</f>
        <v/>
      </c>
      <c r="E4647" s="317" t="str">
        <f>IFERROR(VLOOKUP(A4647,[3]DOORSCRIEFT!$A$2:$G$8551,4,FALSE),"")</f>
        <v/>
      </c>
      <c r="F4647" s="316" t="str">
        <f>IFERROR(VLOOKUP(A4647,[3]DOORSCRIEFT!$A$2:$G$8551,6,FALSE),"")</f>
        <v/>
      </c>
      <c r="G4647" s="315"/>
    </row>
    <row r="4648" spans="1:7" x14ac:dyDescent="0.25">
      <c r="A4648" s="321" t="str">
        <f t="shared" si="139"/>
        <v>I.3.1.4.02.00213</v>
      </c>
      <c r="B4648" s="321">
        <v>13</v>
      </c>
      <c r="C4648" s="319" t="str">
        <f>IFERROR(VLOOKUP(A4648,[3]DOORSCRIEFT!$A$2:$G$8551,2,FALSE),"")</f>
        <v/>
      </c>
      <c r="D4648" s="318" t="str">
        <f>IFERROR(VLOOKUP(A4648,[3]DOORSCRIEFT!$A$2:$G$8551,3,FALSE),"")</f>
        <v/>
      </c>
      <c r="E4648" s="317" t="str">
        <f>IFERROR(VLOOKUP(A4648,[3]DOORSCRIEFT!$A$2:$G$8551,4,FALSE),"")</f>
        <v/>
      </c>
      <c r="F4648" s="316" t="str">
        <f>IFERROR(VLOOKUP(A4648,[3]DOORSCRIEFT!$A$2:$G$8551,6,FALSE),"")</f>
        <v/>
      </c>
      <c r="G4648" s="315"/>
    </row>
    <row r="4649" spans="1:7" x14ac:dyDescent="0.25">
      <c r="A4649" s="321" t="str">
        <f t="shared" si="139"/>
        <v>I.3.1.4.02.00214</v>
      </c>
      <c r="B4649" s="321">
        <v>14</v>
      </c>
      <c r="C4649" s="319" t="str">
        <f>IFERROR(VLOOKUP(A4649,[3]DOORSCRIEFT!$A$2:$G$8551,2,FALSE),"")</f>
        <v/>
      </c>
      <c r="D4649" s="318" t="str">
        <f>IFERROR(VLOOKUP(A4649,[3]DOORSCRIEFT!$A$2:$G$8551,3,FALSE),"")</f>
        <v/>
      </c>
      <c r="E4649" s="317" t="str">
        <f>IFERROR(VLOOKUP(A4649,[3]DOORSCRIEFT!$A$2:$G$8551,4,FALSE),"")</f>
        <v/>
      </c>
      <c r="F4649" s="316" t="str">
        <f>IFERROR(VLOOKUP(A4649,[3]DOORSCRIEFT!$A$2:$G$8551,6,FALSE),"")</f>
        <v/>
      </c>
      <c r="G4649" s="315"/>
    </row>
    <row r="4650" spans="1:7" ht="15.75" thickBot="1" x14ac:dyDescent="0.3">
      <c r="A4650" s="342" t="str">
        <f t="shared" si="139"/>
        <v>I.3.1.4.02.00215</v>
      </c>
      <c r="B4650" s="342">
        <v>15</v>
      </c>
      <c r="C4650" s="319" t="str">
        <f>IFERROR(VLOOKUP(A4650,[3]DOORSCRIEFT!$A$2:$G$8551,2,FALSE),"")</f>
        <v/>
      </c>
      <c r="D4650" s="318" t="str">
        <f>IFERROR(VLOOKUP(A4650,[3]DOORSCRIEFT!$A$2:$G$8551,3,FALSE),"")</f>
        <v/>
      </c>
      <c r="E4650" s="317" t="str">
        <f>IFERROR(VLOOKUP(A4650,[3]DOORSCRIEFT!$A$2:$G$8551,4,FALSE),"")</f>
        <v/>
      </c>
      <c r="F4650" s="316" t="str">
        <f>IFERROR(VLOOKUP(A4650,[3]DOORSCRIEFT!$A$2:$G$8551,6,FALSE),"")</f>
        <v/>
      </c>
      <c r="G4650" s="315"/>
    </row>
    <row r="4651" spans="1:7" ht="15.75" thickBot="1" x14ac:dyDescent="0.3">
      <c r="A4651" s="314"/>
      <c r="B4651" s="312"/>
      <c r="C4651" s="336"/>
      <c r="D4651" s="312"/>
      <c r="E4651" s="311" t="s">
        <v>644</v>
      </c>
      <c r="F4651" s="310">
        <f>SUM(F4636:F4650)</f>
        <v>0</v>
      </c>
      <c r="G4651" s="309">
        <f>SUM(G4636:G4650)</f>
        <v>0</v>
      </c>
    </row>
    <row r="4652" spans="1:7" x14ac:dyDescent="0.25">
      <c r="C4652" s="335"/>
    </row>
    <row r="4653" spans="1:7" x14ac:dyDescent="0.25">
      <c r="C4653" s="335"/>
    </row>
    <row r="4654" spans="1:7" ht="15.75" x14ac:dyDescent="0.25">
      <c r="C4654" s="334"/>
      <c r="D4654" s="333"/>
      <c r="E4654" s="332"/>
      <c r="F4654" s="327" t="s">
        <v>607</v>
      </c>
      <c r="G4654" s="327" t="s">
        <v>359</v>
      </c>
    </row>
    <row r="4655" spans="1:7" ht="15.75" x14ac:dyDescent="0.25">
      <c r="C4655" s="334"/>
      <c r="D4655" s="333"/>
      <c r="E4655" s="332"/>
      <c r="F4655" s="327" t="s">
        <v>601</v>
      </c>
      <c r="G4655" s="327" t="s">
        <v>101</v>
      </c>
    </row>
    <row r="4656" spans="1:7" x14ac:dyDescent="0.25">
      <c r="C4656" s="330"/>
      <c r="D4656" s="329"/>
      <c r="E4656" s="328"/>
      <c r="F4656" s="327" t="s">
        <v>651</v>
      </c>
      <c r="G4656" s="331">
        <f>[2]Sheet1!$D$144</f>
        <v>0</v>
      </c>
    </row>
    <row r="4657" spans="1:7" ht="15.75" thickBot="1" x14ac:dyDescent="0.3">
      <c r="C4657" s="330"/>
      <c r="D4657" s="329"/>
      <c r="E4657" s="328"/>
      <c r="F4657" s="327" t="s">
        <v>650</v>
      </c>
      <c r="G4657" s="326">
        <f>+F4676-G4656</f>
        <v>0</v>
      </c>
    </row>
    <row r="4658" spans="1:7" x14ac:dyDescent="0.25">
      <c r="A4658" s="594" t="s">
        <v>626</v>
      </c>
      <c r="B4658" s="577" t="s">
        <v>606</v>
      </c>
      <c r="C4658" s="597" t="s">
        <v>649</v>
      </c>
      <c r="D4658" s="577" t="s">
        <v>648</v>
      </c>
      <c r="E4658" s="577" t="s">
        <v>647</v>
      </c>
      <c r="F4658" s="577" t="s">
        <v>646</v>
      </c>
      <c r="G4658" s="580" t="s">
        <v>645</v>
      </c>
    </row>
    <row r="4659" spans="1:7" ht="15.75" thickBot="1" x14ac:dyDescent="0.3">
      <c r="A4659" s="596"/>
      <c r="B4659" s="586"/>
      <c r="C4659" s="598"/>
      <c r="D4659" s="578"/>
      <c r="E4659" s="578"/>
      <c r="F4659" s="578"/>
      <c r="G4659" s="581"/>
    </row>
    <row r="4660" spans="1:7" ht="15.75" thickBot="1" x14ac:dyDescent="0.3">
      <c r="A4660" s="348">
        <v>1</v>
      </c>
      <c r="B4660" s="347">
        <v>2</v>
      </c>
      <c r="C4660" s="347">
        <v>3</v>
      </c>
      <c r="D4660" s="347">
        <v>4</v>
      </c>
      <c r="E4660" s="347">
        <v>5</v>
      </c>
      <c r="F4660" s="347">
        <v>6</v>
      </c>
      <c r="G4660" s="346">
        <v>7</v>
      </c>
    </row>
    <row r="4661" spans="1:7" x14ac:dyDescent="0.25">
      <c r="A4661" s="320" t="str">
        <f t="shared" ref="A4661:A4675" si="140">$G$4654&amp;B4661</f>
        <v>I.3.1.4.03.0011</v>
      </c>
      <c r="B4661" s="320">
        <v>1</v>
      </c>
      <c r="C4661" s="319" t="str">
        <f>IFERROR(VLOOKUP(A4661,[3]DOORSCRIEFT!$A$2:$G$8551,2,FALSE),"")</f>
        <v/>
      </c>
      <c r="D4661" s="318" t="str">
        <f>IFERROR(VLOOKUP(A4661,[3]DOORSCRIEFT!$A$2:$G$8551,3,FALSE),"")</f>
        <v/>
      </c>
      <c r="E4661" s="317" t="str">
        <f>IFERROR(VLOOKUP(A4661,[3]DOORSCRIEFT!$A$2:$G$8551,4,FALSE),"")</f>
        <v/>
      </c>
      <c r="F4661" s="316" t="str">
        <f>IFERROR(VLOOKUP(A4661,[3]DOORSCRIEFT!$A$2:$G$8551,6,FALSE),"")</f>
        <v/>
      </c>
      <c r="G4661" s="322"/>
    </row>
    <row r="4662" spans="1:7" x14ac:dyDescent="0.25">
      <c r="A4662" s="321" t="str">
        <f t="shared" si="140"/>
        <v>I.3.1.4.03.0012</v>
      </c>
      <c r="B4662" s="321">
        <v>2</v>
      </c>
      <c r="C4662" s="319" t="str">
        <f>IFERROR(VLOOKUP(A4662,[3]DOORSCRIEFT!$A$2:$G$8551,2,FALSE),"")</f>
        <v/>
      </c>
      <c r="D4662" s="318" t="str">
        <f>IFERROR(VLOOKUP(A4662,[3]DOORSCRIEFT!$A$2:$G$8551,3,FALSE),"")</f>
        <v/>
      </c>
      <c r="E4662" s="317" t="str">
        <f>IFERROR(VLOOKUP(A4662,[3]DOORSCRIEFT!$A$2:$G$8551,4,FALSE),"")</f>
        <v/>
      </c>
      <c r="F4662" s="316" t="str">
        <f>IFERROR(VLOOKUP(A4662,[3]DOORSCRIEFT!$A$2:$G$8551,6,FALSE),"")</f>
        <v/>
      </c>
      <c r="G4662" s="315"/>
    </row>
    <row r="4663" spans="1:7" x14ac:dyDescent="0.25">
      <c r="A4663" s="321" t="str">
        <f t="shared" si="140"/>
        <v>I.3.1.4.03.0013</v>
      </c>
      <c r="B4663" s="321">
        <v>3</v>
      </c>
      <c r="C4663" s="319" t="str">
        <f>IFERROR(VLOOKUP(A4663,[3]DOORSCRIEFT!$A$2:$G$8551,2,FALSE),"")</f>
        <v/>
      </c>
      <c r="D4663" s="318" t="str">
        <f>IFERROR(VLOOKUP(A4663,[3]DOORSCRIEFT!$A$2:$G$8551,3,FALSE),"")</f>
        <v/>
      </c>
      <c r="E4663" s="317" t="str">
        <f>IFERROR(VLOOKUP(A4663,[3]DOORSCRIEFT!$A$2:$G$8551,4,FALSE),"")</f>
        <v/>
      </c>
      <c r="F4663" s="316" t="str">
        <f>IFERROR(VLOOKUP(A4663,[3]DOORSCRIEFT!$A$2:$G$8551,6,FALSE),"")</f>
        <v/>
      </c>
      <c r="G4663" s="315"/>
    </row>
    <row r="4664" spans="1:7" x14ac:dyDescent="0.25">
      <c r="A4664" s="321" t="str">
        <f t="shared" si="140"/>
        <v>I.3.1.4.03.0014</v>
      </c>
      <c r="B4664" s="321">
        <v>4</v>
      </c>
      <c r="C4664" s="319" t="str">
        <f>IFERROR(VLOOKUP(A4664,[3]DOORSCRIEFT!$A$2:$G$8551,2,FALSE),"")</f>
        <v/>
      </c>
      <c r="D4664" s="318" t="str">
        <f>IFERROR(VLOOKUP(A4664,[3]DOORSCRIEFT!$A$2:$G$8551,3,FALSE),"")</f>
        <v/>
      </c>
      <c r="E4664" s="317" t="str">
        <f>IFERROR(VLOOKUP(A4664,[3]DOORSCRIEFT!$A$2:$G$8551,4,FALSE),"")</f>
        <v/>
      </c>
      <c r="F4664" s="316" t="str">
        <f>IFERROR(VLOOKUP(A4664,[3]DOORSCRIEFT!$A$2:$G$8551,6,FALSE),"")</f>
        <v/>
      </c>
      <c r="G4664" s="315"/>
    </row>
    <row r="4665" spans="1:7" x14ac:dyDescent="0.25">
      <c r="A4665" s="321" t="str">
        <f t="shared" si="140"/>
        <v>I.3.1.4.03.0015</v>
      </c>
      <c r="B4665" s="321">
        <v>5</v>
      </c>
      <c r="C4665" s="319" t="str">
        <f>IFERROR(VLOOKUP(A4665,[3]DOORSCRIEFT!$A$2:$G$8551,2,FALSE),"")</f>
        <v/>
      </c>
      <c r="D4665" s="318" t="str">
        <f>IFERROR(VLOOKUP(A4665,[3]DOORSCRIEFT!$A$2:$G$8551,3,FALSE),"")</f>
        <v/>
      </c>
      <c r="E4665" s="317" t="str">
        <f>IFERROR(VLOOKUP(A4665,[3]DOORSCRIEFT!$A$2:$G$8551,4,FALSE),"")</f>
        <v/>
      </c>
      <c r="F4665" s="316" t="str">
        <f>IFERROR(VLOOKUP(A4665,[3]DOORSCRIEFT!$A$2:$G$8551,6,FALSE),"")</f>
        <v/>
      </c>
      <c r="G4665" s="315"/>
    </row>
    <row r="4666" spans="1:7" x14ac:dyDescent="0.25">
      <c r="A4666" s="321" t="str">
        <f t="shared" si="140"/>
        <v>I.3.1.4.03.0016</v>
      </c>
      <c r="B4666" s="321">
        <v>6</v>
      </c>
      <c r="C4666" s="319" t="str">
        <f>IFERROR(VLOOKUP(A4666,[3]DOORSCRIEFT!$A$2:$G$8551,2,FALSE),"")</f>
        <v/>
      </c>
      <c r="D4666" s="318" t="str">
        <f>IFERROR(VLOOKUP(A4666,[3]DOORSCRIEFT!$A$2:$G$8551,3,FALSE),"")</f>
        <v/>
      </c>
      <c r="E4666" s="317" t="str">
        <f>IFERROR(VLOOKUP(A4666,[3]DOORSCRIEFT!$A$2:$G$8551,4,FALSE),"")</f>
        <v/>
      </c>
      <c r="F4666" s="316" t="str">
        <f>IFERROR(VLOOKUP(A4666,[3]DOORSCRIEFT!$A$2:$G$8551,6,FALSE),"")</f>
        <v/>
      </c>
      <c r="G4666" s="315"/>
    </row>
    <row r="4667" spans="1:7" x14ac:dyDescent="0.25">
      <c r="A4667" s="321" t="str">
        <f t="shared" si="140"/>
        <v>I.3.1.4.03.0017</v>
      </c>
      <c r="B4667" s="321">
        <v>7</v>
      </c>
      <c r="C4667" s="319" t="str">
        <f>IFERROR(VLOOKUP(A4667,[3]DOORSCRIEFT!$A$2:$G$8551,2,FALSE),"")</f>
        <v/>
      </c>
      <c r="D4667" s="318" t="str">
        <f>IFERROR(VLOOKUP(A4667,[3]DOORSCRIEFT!$A$2:$G$8551,3,FALSE),"")</f>
        <v/>
      </c>
      <c r="E4667" s="317" t="str">
        <f>IFERROR(VLOOKUP(A4667,[3]DOORSCRIEFT!$A$2:$G$8551,4,FALSE),"")</f>
        <v/>
      </c>
      <c r="F4667" s="316" t="str">
        <f>IFERROR(VLOOKUP(A4667,[3]DOORSCRIEFT!$A$2:$G$8551,6,FALSE),"")</f>
        <v/>
      </c>
      <c r="G4667" s="315"/>
    </row>
    <row r="4668" spans="1:7" x14ac:dyDescent="0.25">
      <c r="A4668" s="321" t="str">
        <f t="shared" si="140"/>
        <v>I.3.1.4.03.0018</v>
      </c>
      <c r="B4668" s="321">
        <v>8</v>
      </c>
      <c r="C4668" s="319" t="str">
        <f>IFERROR(VLOOKUP(A4668,[3]DOORSCRIEFT!$A$2:$G$8551,2,FALSE),"")</f>
        <v/>
      </c>
      <c r="D4668" s="318" t="str">
        <f>IFERROR(VLOOKUP(A4668,[3]DOORSCRIEFT!$A$2:$G$8551,3,FALSE),"")</f>
        <v/>
      </c>
      <c r="E4668" s="317" t="str">
        <f>IFERROR(VLOOKUP(A4668,[3]DOORSCRIEFT!$A$2:$G$8551,4,FALSE),"")</f>
        <v/>
      </c>
      <c r="F4668" s="316" t="str">
        <f>IFERROR(VLOOKUP(A4668,[3]DOORSCRIEFT!$A$2:$G$8551,6,FALSE),"")</f>
        <v/>
      </c>
      <c r="G4668" s="315"/>
    </row>
    <row r="4669" spans="1:7" x14ac:dyDescent="0.25">
      <c r="A4669" s="321" t="str">
        <f t="shared" si="140"/>
        <v>I.3.1.4.03.0019</v>
      </c>
      <c r="B4669" s="321">
        <v>9</v>
      </c>
      <c r="C4669" s="319" t="str">
        <f>IFERROR(VLOOKUP(A4669,[3]DOORSCRIEFT!$A$2:$G$8551,2,FALSE),"")</f>
        <v/>
      </c>
      <c r="D4669" s="318" t="str">
        <f>IFERROR(VLOOKUP(A4669,[3]DOORSCRIEFT!$A$2:$G$8551,3,FALSE),"")</f>
        <v/>
      </c>
      <c r="E4669" s="317" t="str">
        <f>IFERROR(VLOOKUP(A4669,[3]DOORSCRIEFT!$A$2:$G$8551,4,FALSE),"")</f>
        <v/>
      </c>
      <c r="F4669" s="316" t="str">
        <f>IFERROR(VLOOKUP(A4669,[3]DOORSCRIEFT!$A$2:$G$8551,6,FALSE),"")</f>
        <v/>
      </c>
      <c r="G4669" s="315"/>
    </row>
    <row r="4670" spans="1:7" x14ac:dyDescent="0.25">
      <c r="A4670" s="321" t="str">
        <f t="shared" si="140"/>
        <v>I.3.1.4.03.00110</v>
      </c>
      <c r="B4670" s="321">
        <v>10</v>
      </c>
      <c r="C4670" s="319" t="str">
        <f>IFERROR(VLOOKUP(A4670,[3]DOORSCRIEFT!$A$2:$G$8551,2,FALSE),"")</f>
        <v/>
      </c>
      <c r="D4670" s="318" t="str">
        <f>IFERROR(VLOOKUP(A4670,[3]DOORSCRIEFT!$A$2:$G$8551,3,FALSE),"")</f>
        <v/>
      </c>
      <c r="E4670" s="317" t="str">
        <f>IFERROR(VLOOKUP(A4670,[3]DOORSCRIEFT!$A$2:$G$8551,4,FALSE),"")</f>
        <v/>
      </c>
      <c r="F4670" s="316" t="str">
        <f>IFERROR(VLOOKUP(A4670,[3]DOORSCRIEFT!$A$2:$G$8551,6,FALSE),"")</f>
        <v/>
      </c>
      <c r="G4670" s="315"/>
    </row>
    <row r="4671" spans="1:7" x14ac:dyDescent="0.25">
      <c r="A4671" s="321" t="str">
        <f t="shared" si="140"/>
        <v>I.3.1.4.03.00111</v>
      </c>
      <c r="B4671" s="321">
        <v>11</v>
      </c>
      <c r="C4671" s="319" t="str">
        <f>IFERROR(VLOOKUP(A4671,[3]DOORSCRIEFT!$A$2:$G$8551,2,FALSE),"")</f>
        <v/>
      </c>
      <c r="D4671" s="318" t="str">
        <f>IFERROR(VLOOKUP(A4671,[3]DOORSCRIEFT!$A$2:$G$8551,3,FALSE),"")</f>
        <v/>
      </c>
      <c r="E4671" s="317" t="str">
        <f>IFERROR(VLOOKUP(A4671,[3]DOORSCRIEFT!$A$2:$G$8551,4,FALSE),"")</f>
        <v/>
      </c>
      <c r="F4671" s="316" t="str">
        <f>IFERROR(VLOOKUP(A4671,[3]DOORSCRIEFT!$A$2:$G$8551,6,FALSE),"")</f>
        <v/>
      </c>
      <c r="G4671" s="315"/>
    </row>
    <row r="4672" spans="1:7" x14ac:dyDescent="0.25">
      <c r="A4672" s="321" t="str">
        <f t="shared" si="140"/>
        <v>I.3.1.4.03.00112</v>
      </c>
      <c r="B4672" s="321">
        <v>12</v>
      </c>
      <c r="C4672" s="319" t="str">
        <f>IFERROR(VLOOKUP(A4672,[3]DOORSCRIEFT!$A$2:$G$8551,2,FALSE),"")</f>
        <v/>
      </c>
      <c r="D4672" s="318" t="str">
        <f>IFERROR(VLOOKUP(A4672,[3]DOORSCRIEFT!$A$2:$G$8551,3,FALSE),"")</f>
        <v/>
      </c>
      <c r="E4672" s="317" t="str">
        <f>IFERROR(VLOOKUP(A4672,[3]DOORSCRIEFT!$A$2:$G$8551,4,FALSE),"")</f>
        <v/>
      </c>
      <c r="F4672" s="316" t="str">
        <f>IFERROR(VLOOKUP(A4672,[3]DOORSCRIEFT!$A$2:$G$8551,6,FALSE),"")</f>
        <v/>
      </c>
      <c r="G4672" s="315"/>
    </row>
    <row r="4673" spans="1:7" x14ac:dyDescent="0.25">
      <c r="A4673" s="321" t="str">
        <f t="shared" si="140"/>
        <v>I.3.1.4.03.00113</v>
      </c>
      <c r="B4673" s="321">
        <v>13</v>
      </c>
      <c r="C4673" s="319" t="str">
        <f>IFERROR(VLOOKUP(A4673,[3]DOORSCRIEFT!$A$2:$G$8551,2,FALSE),"")</f>
        <v/>
      </c>
      <c r="D4673" s="318" t="str">
        <f>IFERROR(VLOOKUP(A4673,[3]DOORSCRIEFT!$A$2:$G$8551,3,FALSE),"")</f>
        <v/>
      </c>
      <c r="E4673" s="317" t="str">
        <f>IFERROR(VLOOKUP(A4673,[3]DOORSCRIEFT!$A$2:$G$8551,4,FALSE),"")</f>
        <v/>
      </c>
      <c r="F4673" s="316" t="str">
        <f>IFERROR(VLOOKUP(A4673,[3]DOORSCRIEFT!$A$2:$G$8551,6,FALSE),"")</f>
        <v/>
      </c>
      <c r="G4673" s="315"/>
    </row>
    <row r="4674" spans="1:7" x14ac:dyDescent="0.25">
      <c r="A4674" s="321" t="str">
        <f t="shared" si="140"/>
        <v>I.3.1.4.03.00114</v>
      </c>
      <c r="B4674" s="321">
        <v>14</v>
      </c>
      <c r="C4674" s="319" t="str">
        <f>IFERROR(VLOOKUP(A4674,[3]DOORSCRIEFT!$A$2:$G$8551,2,FALSE),"")</f>
        <v/>
      </c>
      <c r="D4674" s="318" t="str">
        <f>IFERROR(VLOOKUP(A4674,[3]DOORSCRIEFT!$A$2:$G$8551,3,FALSE),"")</f>
        <v/>
      </c>
      <c r="E4674" s="317" t="str">
        <f>IFERROR(VLOOKUP(A4674,[3]DOORSCRIEFT!$A$2:$G$8551,4,FALSE),"")</f>
        <v/>
      </c>
      <c r="F4674" s="316" t="str">
        <f>IFERROR(VLOOKUP(A4674,[3]DOORSCRIEFT!$A$2:$G$8551,6,FALSE),"")</f>
        <v/>
      </c>
      <c r="G4674" s="315"/>
    </row>
    <row r="4675" spans="1:7" ht="15.75" thickBot="1" x14ac:dyDescent="0.3">
      <c r="A4675" s="342" t="str">
        <f t="shared" si="140"/>
        <v>I.3.1.4.03.00115</v>
      </c>
      <c r="B4675" s="342">
        <v>15</v>
      </c>
      <c r="C4675" s="319" t="str">
        <f>IFERROR(VLOOKUP(A4675,[3]DOORSCRIEFT!$A$2:$G$8551,2,FALSE),"")</f>
        <v/>
      </c>
      <c r="D4675" s="318" t="str">
        <f>IFERROR(VLOOKUP(A4675,[3]DOORSCRIEFT!$A$2:$G$8551,3,FALSE),"")</f>
        <v/>
      </c>
      <c r="E4675" s="317" t="str">
        <f>IFERROR(VLOOKUP(A4675,[3]DOORSCRIEFT!$A$2:$G$8551,4,FALSE),"")</f>
        <v/>
      </c>
      <c r="F4675" s="316" t="str">
        <f>IFERROR(VLOOKUP(A4675,[3]DOORSCRIEFT!$A$2:$G$8551,6,FALSE),"")</f>
        <v/>
      </c>
      <c r="G4675" s="315"/>
    </row>
    <row r="4676" spans="1:7" ht="15.75" thickBot="1" x14ac:dyDescent="0.3">
      <c r="A4676" s="341"/>
      <c r="B4676" s="340"/>
      <c r="C4676" s="336"/>
      <c r="D4676" s="312"/>
      <c r="E4676" s="311" t="s">
        <v>644</v>
      </c>
      <c r="F4676" s="310">
        <f>SUM(F4661:F4675)</f>
        <v>0</v>
      </c>
      <c r="G4676" s="309">
        <f>SUM(G4661:G4675)</f>
        <v>0</v>
      </c>
    </row>
    <row r="4677" spans="1:7" x14ac:dyDescent="0.25">
      <c r="C4677" s="335"/>
    </row>
    <row r="4678" spans="1:7" x14ac:dyDescent="0.25">
      <c r="C4678" s="335"/>
    </row>
    <row r="4679" spans="1:7" ht="15.75" x14ac:dyDescent="0.25">
      <c r="C4679" s="334"/>
      <c r="D4679" s="333"/>
      <c r="E4679" s="332"/>
      <c r="F4679" s="327" t="s">
        <v>607</v>
      </c>
      <c r="G4679" s="327" t="s">
        <v>358</v>
      </c>
    </row>
    <row r="4680" spans="1:7" ht="15.75" x14ac:dyDescent="0.25">
      <c r="C4680" s="334"/>
      <c r="D4680" s="333"/>
      <c r="E4680" s="332"/>
      <c r="F4680" s="327" t="s">
        <v>601</v>
      </c>
      <c r="G4680" s="327" t="s">
        <v>99</v>
      </c>
    </row>
    <row r="4681" spans="1:7" x14ac:dyDescent="0.25">
      <c r="C4681" s="330"/>
      <c r="D4681" s="329"/>
      <c r="E4681" s="328"/>
      <c r="F4681" s="327" t="s">
        <v>651</v>
      </c>
      <c r="G4681" s="331">
        <f>[2]Sheet1!$D$145</f>
        <v>0</v>
      </c>
    </row>
    <row r="4682" spans="1:7" ht="15.75" thickBot="1" x14ac:dyDescent="0.3">
      <c r="C4682" s="330"/>
      <c r="D4682" s="329"/>
      <c r="E4682" s="328"/>
      <c r="F4682" s="327" t="s">
        <v>650</v>
      </c>
      <c r="G4682" s="326">
        <f>+F4701-G4681</f>
        <v>0</v>
      </c>
    </row>
    <row r="4683" spans="1:7" x14ac:dyDescent="0.25">
      <c r="A4683" s="573" t="s">
        <v>626</v>
      </c>
      <c r="B4683" s="584" t="s">
        <v>606</v>
      </c>
      <c r="C4683" s="588" t="s">
        <v>649</v>
      </c>
      <c r="D4683" s="577" t="s">
        <v>648</v>
      </c>
      <c r="E4683" s="577" t="s">
        <v>647</v>
      </c>
      <c r="F4683" s="577" t="s">
        <v>646</v>
      </c>
      <c r="G4683" s="580" t="s">
        <v>645</v>
      </c>
    </row>
    <row r="4684" spans="1:7" ht="15.75" thickBot="1" x14ac:dyDescent="0.3">
      <c r="A4684" s="574"/>
      <c r="B4684" s="585"/>
      <c r="C4684" s="589"/>
      <c r="D4684" s="586"/>
      <c r="E4684" s="586"/>
      <c r="F4684" s="586"/>
      <c r="G4684" s="587"/>
    </row>
    <row r="4685" spans="1:7" ht="15.75" thickBot="1" x14ac:dyDescent="0.3">
      <c r="A4685" s="325">
        <v>1</v>
      </c>
      <c r="B4685" s="324">
        <v>2</v>
      </c>
      <c r="C4685" s="324">
        <v>3</v>
      </c>
      <c r="D4685" s="324">
        <v>4</v>
      </c>
      <c r="E4685" s="324">
        <v>5</v>
      </c>
      <c r="F4685" s="324">
        <v>6</v>
      </c>
      <c r="G4685" s="323">
        <v>7</v>
      </c>
    </row>
    <row r="4686" spans="1:7" x14ac:dyDescent="0.25">
      <c r="A4686" s="339" t="str">
        <f t="shared" ref="A4686:A4700" si="141">$G$4679&amp;B4686</f>
        <v>I.3.1.4.03.0021</v>
      </c>
      <c r="B4686" s="339">
        <v>1</v>
      </c>
      <c r="C4686" s="319" t="str">
        <f>IFERROR(VLOOKUP(A4686,[3]DOORSCRIEFT!$A$2:$G$8551,2,FALSE),"")</f>
        <v/>
      </c>
      <c r="D4686" s="318" t="str">
        <f>IFERROR(VLOOKUP(A4686,[3]DOORSCRIEFT!$A$2:$G$8551,3,FALSE),"")</f>
        <v/>
      </c>
      <c r="E4686" s="317" t="str">
        <f>IFERROR(VLOOKUP(A4686,[3]DOORSCRIEFT!$A$2:$G$8551,4,FALSE),"")</f>
        <v/>
      </c>
      <c r="F4686" s="316" t="str">
        <f>IFERROR(VLOOKUP(A4686,[3]DOORSCRIEFT!$A$2:$G$8551,6,FALSE),"")</f>
        <v/>
      </c>
      <c r="G4686" s="322"/>
    </row>
    <row r="4687" spans="1:7" x14ac:dyDescent="0.25">
      <c r="A4687" s="319" t="str">
        <f t="shared" si="141"/>
        <v>I.3.1.4.03.0022</v>
      </c>
      <c r="B4687" s="319">
        <v>2</v>
      </c>
      <c r="C4687" s="319" t="str">
        <f>IFERROR(VLOOKUP(A4687,[3]DOORSCRIEFT!$A$2:$G$8551,2,FALSE),"")</f>
        <v/>
      </c>
      <c r="D4687" s="318" t="str">
        <f>IFERROR(VLOOKUP(A4687,[3]DOORSCRIEFT!$A$2:$G$8551,3,FALSE),"")</f>
        <v/>
      </c>
      <c r="E4687" s="317" t="str">
        <f>IFERROR(VLOOKUP(A4687,[3]DOORSCRIEFT!$A$2:$G$8551,4,FALSE),"")</f>
        <v/>
      </c>
      <c r="F4687" s="316" t="str">
        <f>IFERROR(VLOOKUP(A4687,[3]DOORSCRIEFT!$A$2:$G$8551,6,FALSE),"")</f>
        <v/>
      </c>
      <c r="G4687" s="315"/>
    </row>
    <row r="4688" spans="1:7" x14ac:dyDescent="0.25">
      <c r="A4688" s="319" t="str">
        <f t="shared" si="141"/>
        <v>I.3.1.4.03.0023</v>
      </c>
      <c r="B4688" s="319">
        <v>3</v>
      </c>
      <c r="C4688" s="319" t="str">
        <f>IFERROR(VLOOKUP(A4688,[3]DOORSCRIEFT!$A$2:$G$8551,2,FALSE),"")</f>
        <v/>
      </c>
      <c r="D4688" s="318" t="str">
        <f>IFERROR(VLOOKUP(A4688,[3]DOORSCRIEFT!$A$2:$G$8551,3,FALSE),"")</f>
        <v/>
      </c>
      <c r="E4688" s="317" t="str">
        <f>IFERROR(VLOOKUP(A4688,[3]DOORSCRIEFT!$A$2:$G$8551,4,FALSE),"")</f>
        <v/>
      </c>
      <c r="F4688" s="316" t="str">
        <f>IFERROR(VLOOKUP(A4688,[3]DOORSCRIEFT!$A$2:$G$8551,6,FALSE),"")</f>
        <v/>
      </c>
      <c r="G4688" s="315"/>
    </row>
    <row r="4689" spans="1:7" x14ac:dyDescent="0.25">
      <c r="A4689" s="319" t="str">
        <f t="shared" si="141"/>
        <v>I.3.1.4.03.0024</v>
      </c>
      <c r="B4689" s="319">
        <v>4</v>
      </c>
      <c r="C4689" s="319" t="str">
        <f>IFERROR(VLOOKUP(A4689,[3]DOORSCRIEFT!$A$2:$G$8551,2,FALSE),"")</f>
        <v/>
      </c>
      <c r="D4689" s="318" t="str">
        <f>IFERROR(VLOOKUP(A4689,[3]DOORSCRIEFT!$A$2:$G$8551,3,FALSE),"")</f>
        <v/>
      </c>
      <c r="E4689" s="317" t="str">
        <f>IFERROR(VLOOKUP(A4689,[3]DOORSCRIEFT!$A$2:$G$8551,4,FALSE),"")</f>
        <v/>
      </c>
      <c r="F4689" s="316" t="str">
        <f>IFERROR(VLOOKUP(A4689,[3]DOORSCRIEFT!$A$2:$G$8551,6,FALSE),"")</f>
        <v/>
      </c>
      <c r="G4689" s="315"/>
    </row>
    <row r="4690" spans="1:7" x14ac:dyDescent="0.25">
      <c r="A4690" s="319" t="str">
        <f t="shared" si="141"/>
        <v>I.3.1.4.03.0025</v>
      </c>
      <c r="B4690" s="319">
        <v>5</v>
      </c>
      <c r="C4690" s="319" t="str">
        <f>IFERROR(VLOOKUP(A4690,[3]DOORSCRIEFT!$A$2:$G$8551,2,FALSE),"")</f>
        <v/>
      </c>
      <c r="D4690" s="318" t="str">
        <f>IFERROR(VLOOKUP(A4690,[3]DOORSCRIEFT!$A$2:$G$8551,3,FALSE),"")</f>
        <v/>
      </c>
      <c r="E4690" s="317" t="str">
        <f>IFERROR(VLOOKUP(A4690,[3]DOORSCRIEFT!$A$2:$G$8551,4,FALSE),"")</f>
        <v/>
      </c>
      <c r="F4690" s="316" t="str">
        <f>IFERROR(VLOOKUP(A4690,[3]DOORSCRIEFT!$A$2:$G$8551,6,FALSE),"")</f>
        <v/>
      </c>
      <c r="G4690" s="315"/>
    </row>
    <row r="4691" spans="1:7" x14ac:dyDescent="0.25">
      <c r="A4691" s="319" t="str">
        <f t="shared" si="141"/>
        <v>I.3.1.4.03.0026</v>
      </c>
      <c r="B4691" s="319">
        <v>6</v>
      </c>
      <c r="C4691" s="319" t="str">
        <f>IFERROR(VLOOKUP(A4691,[3]DOORSCRIEFT!$A$2:$G$8551,2,FALSE),"")</f>
        <v/>
      </c>
      <c r="D4691" s="318" t="str">
        <f>IFERROR(VLOOKUP(A4691,[3]DOORSCRIEFT!$A$2:$G$8551,3,FALSE),"")</f>
        <v/>
      </c>
      <c r="E4691" s="317" t="str">
        <f>IFERROR(VLOOKUP(A4691,[3]DOORSCRIEFT!$A$2:$G$8551,4,FALSE),"")</f>
        <v/>
      </c>
      <c r="F4691" s="316" t="str">
        <f>IFERROR(VLOOKUP(A4691,[3]DOORSCRIEFT!$A$2:$G$8551,6,FALSE),"")</f>
        <v/>
      </c>
      <c r="G4691" s="315"/>
    </row>
    <row r="4692" spans="1:7" x14ac:dyDescent="0.25">
      <c r="A4692" s="319" t="str">
        <f t="shared" si="141"/>
        <v>I.3.1.4.03.0027</v>
      </c>
      <c r="B4692" s="319">
        <v>7</v>
      </c>
      <c r="C4692" s="319" t="str">
        <f>IFERROR(VLOOKUP(A4692,[3]DOORSCRIEFT!$A$2:$G$8551,2,FALSE),"")</f>
        <v/>
      </c>
      <c r="D4692" s="318" t="str">
        <f>IFERROR(VLOOKUP(A4692,[3]DOORSCRIEFT!$A$2:$G$8551,3,FALSE),"")</f>
        <v/>
      </c>
      <c r="E4692" s="317" t="str">
        <f>IFERROR(VLOOKUP(A4692,[3]DOORSCRIEFT!$A$2:$G$8551,4,FALSE),"")</f>
        <v/>
      </c>
      <c r="F4692" s="316" t="str">
        <f>IFERROR(VLOOKUP(A4692,[3]DOORSCRIEFT!$A$2:$G$8551,6,FALSE),"")</f>
        <v/>
      </c>
      <c r="G4692" s="315"/>
    </row>
    <row r="4693" spans="1:7" x14ac:dyDescent="0.25">
      <c r="A4693" s="319" t="str">
        <f t="shared" si="141"/>
        <v>I.3.1.4.03.0028</v>
      </c>
      <c r="B4693" s="319">
        <v>8</v>
      </c>
      <c r="C4693" s="319" t="str">
        <f>IFERROR(VLOOKUP(A4693,[3]DOORSCRIEFT!$A$2:$G$8551,2,FALSE),"")</f>
        <v/>
      </c>
      <c r="D4693" s="318" t="str">
        <f>IFERROR(VLOOKUP(A4693,[3]DOORSCRIEFT!$A$2:$G$8551,3,FALSE),"")</f>
        <v/>
      </c>
      <c r="E4693" s="317" t="str">
        <f>IFERROR(VLOOKUP(A4693,[3]DOORSCRIEFT!$A$2:$G$8551,4,FALSE),"")</f>
        <v/>
      </c>
      <c r="F4693" s="316" t="str">
        <f>IFERROR(VLOOKUP(A4693,[3]DOORSCRIEFT!$A$2:$G$8551,6,FALSE),"")</f>
        <v/>
      </c>
      <c r="G4693" s="315"/>
    </row>
    <row r="4694" spans="1:7" x14ac:dyDescent="0.25">
      <c r="A4694" s="319" t="str">
        <f t="shared" si="141"/>
        <v>I.3.1.4.03.0029</v>
      </c>
      <c r="B4694" s="319">
        <v>9</v>
      </c>
      <c r="C4694" s="319" t="str">
        <f>IFERROR(VLOOKUP(A4694,[3]DOORSCRIEFT!$A$2:$G$8551,2,FALSE),"")</f>
        <v/>
      </c>
      <c r="D4694" s="318" t="str">
        <f>IFERROR(VLOOKUP(A4694,[3]DOORSCRIEFT!$A$2:$G$8551,3,FALSE),"")</f>
        <v/>
      </c>
      <c r="E4694" s="317" t="str">
        <f>IFERROR(VLOOKUP(A4694,[3]DOORSCRIEFT!$A$2:$G$8551,4,FALSE),"")</f>
        <v/>
      </c>
      <c r="F4694" s="316" t="str">
        <f>IFERROR(VLOOKUP(A4694,[3]DOORSCRIEFT!$A$2:$G$8551,6,FALSE),"")</f>
        <v/>
      </c>
      <c r="G4694" s="315"/>
    </row>
    <row r="4695" spans="1:7" x14ac:dyDescent="0.25">
      <c r="A4695" s="319" t="str">
        <f t="shared" si="141"/>
        <v>I.3.1.4.03.00210</v>
      </c>
      <c r="B4695" s="319">
        <v>10</v>
      </c>
      <c r="C4695" s="319" t="str">
        <f>IFERROR(VLOOKUP(A4695,[3]DOORSCRIEFT!$A$2:$G$8551,2,FALSE),"")</f>
        <v/>
      </c>
      <c r="D4695" s="318" t="str">
        <f>IFERROR(VLOOKUP(A4695,[3]DOORSCRIEFT!$A$2:$G$8551,3,FALSE),"")</f>
        <v/>
      </c>
      <c r="E4695" s="317" t="str">
        <f>IFERROR(VLOOKUP(A4695,[3]DOORSCRIEFT!$A$2:$G$8551,4,FALSE),"")</f>
        <v/>
      </c>
      <c r="F4695" s="316" t="str">
        <f>IFERROR(VLOOKUP(A4695,[3]DOORSCRIEFT!$A$2:$G$8551,6,FALSE),"")</f>
        <v/>
      </c>
      <c r="G4695" s="315"/>
    </row>
    <row r="4696" spans="1:7" x14ac:dyDescent="0.25">
      <c r="A4696" s="319" t="str">
        <f t="shared" si="141"/>
        <v>I.3.1.4.03.00211</v>
      </c>
      <c r="B4696" s="319">
        <v>11</v>
      </c>
      <c r="C4696" s="319" t="str">
        <f>IFERROR(VLOOKUP(A4696,[3]DOORSCRIEFT!$A$2:$G$8551,2,FALSE),"")</f>
        <v/>
      </c>
      <c r="D4696" s="318" t="str">
        <f>IFERROR(VLOOKUP(A4696,[3]DOORSCRIEFT!$A$2:$G$8551,3,FALSE),"")</f>
        <v/>
      </c>
      <c r="E4696" s="317" t="str">
        <f>IFERROR(VLOOKUP(A4696,[3]DOORSCRIEFT!$A$2:$G$8551,4,FALSE),"")</f>
        <v/>
      </c>
      <c r="F4696" s="316" t="str">
        <f>IFERROR(VLOOKUP(A4696,[3]DOORSCRIEFT!$A$2:$G$8551,6,FALSE),"")</f>
        <v/>
      </c>
      <c r="G4696" s="315"/>
    </row>
    <row r="4697" spans="1:7" x14ac:dyDescent="0.25">
      <c r="A4697" s="319" t="str">
        <f t="shared" si="141"/>
        <v>I.3.1.4.03.00212</v>
      </c>
      <c r="B4697" s="319">
        <v>12</v>
      </c>
      <c r="C4697" s="319" t="str">
        <f>IFERROR(VLOOKUP(A4697,[3]DOORSCRIEFT!$A$2:$G$8551,2,FALSE),"")</f>
        <v/>
      </c>
      <c r="D4697" s="318" t="str">
        <f>IFERROR(VLOOKUP(A4697,[3]DOORSCRIEFT!$A$2:$G$8551,3,FALSE),"")</f>
        <v/>
      </c>
      <c r="E4697" s="317" t="str">
        <f>IFERROR(VLOOKUP(A4697,[3]DOORSCRIEFT!$A$2:$G$8551,4,FALSE),"")</f>
        <v/>
      </c>
      <c r="F4697" s="316" t="str">
        <f>IFERROR(VLOOKUP(A4697,[3]DOORSCRIEFT!$A$2:$G$8551,6,FALSE),"")</f>
        <v/>
      </c>
      <c r="G4697" s="315"/>
    </row>
    <row r="4698" spans="1:7" x14ac:dyDescent="0.25">
      <c r="A4698" s="319" t="str">
        <f t="shared" si="141"/>
        <v>I.3.1.4.03.00213</v>
      </c>
      <c r="B4698" s="319">
        <v>13</v>
      </c>
      <c r="C4698" s="319" t="str">
        <f>IFERROR(VLOOKUP(A4698,[3]DOORSCRIEFT!$A$2:$G$8551,2,FALSE),"")</f>
        <v/>
      </c>
      <c r="D4698" s="318" t="str">
        <f>IFERROR(VLOOKUP(A4698,[3]DOORSCRIEFT!$A$2:$G$8551,3,FALSE),"")</f>
        <v/>
      </c>
      <c r="E4698" s="317" t="str">
        <f>IFERROR(VLOOKUP(A4698,[3]DOORSCRIEFT!$A$2:$G$8551,4,FALSE),"")</f>
        <v/>
      </c>
      <c r="F4698" s="316" t="str">
        <f>IFERROR(VLOOKUP(A4698,[3]DOORSCRIEFT!$A$2:$G$8551,6,FALSE),"")</f>
        <v/>
      </c>
      <c r="G4698" s="315"/>
    </row>
    <row r="4699" spans="1:7" x14ac:dyDescent="0.25">
      <c r="A4699" s="319" t="str">
        <f t="shared" si="141"/>
        <v>I.3.1.4.03.00214</v>
      </c>
      <c r="B4699" s="319">
        <v>14</v>
      </c>
      <c r="C4699" s="319" t="str">
        <f>IFERROR(VLOOKUP(A4699,[3]DOORSCRIEFT!$A$2:$G$8551,2,FALSE),"")</f>
        <v/>
      </c>
      <c r="D4699" s="318" t="str">
        <f>IFERROR(VLOOKUP(A4699,[3]DOORSCRIEFT!$A$2:$G$8551,3,FALSE),"")</f>
        <v/>
      </c>
      <c r="E4699" s="317" t="str">
        <f>IFERROR(VLOOKUP(A4699,[3]DOORSCRIEFT!$A$2:$G$8551,4,FALSE),"")</f>
        <v/>
      </c>
      <c r="F4699" s="316" t="str">
        <f>IFERROR(VLOOKUP(A4699,[3]DOORSCRIEFT!$A$2:$G$8551,6,FALSE),"")</f>
        <v/>
      </c>
      <c r="G4699" s="315"/>
    </row>
    <row r="4700" spans="1:7" ht="15.75" thickBot="1" x14ac:dyDescent="0.3">
      <c r="A4700" s="345" t="str">
        <f t="shared" si="141"/>
        <v>I.3.1.4.03.00215</v>
      </c>
      <c r="B4700" s="345">
        <v>15</v>
      </c>
      <c r="C4700" s="319" t="str">
        <f>IFERROR(VLOOKUP(A4700,[3]DOORSCRIEFT!$A$2:$G$8551,2,FALSE),"")</f>
        <v/>
      </c>
      <c r="D4700" s="318" t="str">
        <f>IFERROR(VLOOKUP(A4700,[3]DOORSCRIEFT!$A$2:$G$8551,3,FALSE),"")</f>
        <v/>
      </c>
      <c r="E4700" s="317" t="str">
        <f>IFERROR(VLOOKUP(A4700,[3]DOORSCRIEFT!$A$2:$G$8551,4,FALSE),"")</f>
        <v/>
      </c>
      <c r="F4700" s="316" t="str">
        <f>IFERROR(VLOOKUP(A4700,[3]DOORSCRIEFT!$A$2:$G$8551,6,FALSE),"")</f>
        <v/>
      </c>
      <c r="G4700" s="315"/>
    </row>
    <row r="4701" spans="1:7" ht="15.75" thickBot="1" x14ac:dyDescent="0.3">
      <c r="A4701" s="344"/>
      <c r="B4701" s="343"/>
      <c r="C4701" s="336"/>
      <c r="D4701" s="312"/>
      <c r="E4701" s="311" t="s">
        <v>644</v>
      </c>
      <c r="F4701" s="310">
        <f>SUM(F4686:F4700)</f>
        <v>0</v>
      </c>
      <c r="G4701" s="309">
        <f>SUM(G4686:G4700)</f>
        <v>0</v>
      </c>
    </row>
    <row r="4702" spans="1:7" x14ac:dyDescent="0.25">
      <c r="C4702" s="335"/>
    </row>
    <row r="4703" spans="1:7" x14ac:dyDescent="0.25">
      <c r="C4703" s="335"/>
    </row>
    <row r="4704" spans="1:7" ht="15.75" x14ac:dyDescent="0.25">
      <c r="C4704" s="334"/>
      <c r="D4704" s="333"/>
      <c r="E4704" s="332"/>
      <c r="F4704" s="327" t="s">
        <v>607</v>
      </c>
      <c r="G4704" s="327" t="s">
        <v>357</v>
      </c>
    </row>
    <row r="4705" spans="1:7" ht="15.75" x14ac:dyDescent="0.25">
      <c r="C4705" s="334"/>
      <c r="D4705" s="333"/>
      <c r="E4705" s="332"/>
      <c r="F4705" s="327" t="s">
        <v>601</v>
      </c>
      <c r="G4705" s="327" t="s">
        <v>97</v>
      </c>
    </row>
    <row r="4706" spans="1:7" x14ac:dyDescent="0.25">
      <c r="C4706" s="330"/>
      <c r="D4706" s="329"/>
      <c r="E4706" s="328"/>
      <c r="F4706" s="327" t="s">
        <v>651</v>
      </c>
      <c r="G4706" s="331">
        <f>[2]Sheet1!$D$146</f>
        <v>24150000</v>
      </c>
    </row>
    <row r="4707" spans="1:7" ht="15.75" thickBot="1" x14ac:dyDescent="0.3">
      <c r="C4707" s="330"/>
      <c r="D4707" s="329"/>
      <c r="E4707" s="328"/>
      <c r="F4707" s="327" t="s">
        <v>650</v>
      </c>
      <c r="G4707" s="326">
        <f>+F4726-G4706</f>
        <v>-24150000</v>
      </c>
    </row>
    <row r="4708" spans="1:7" x14ac:dyDescent="0.25">
      <c r="A4708" s="573" t="s">
        <v>626</v>
      </c>
      <c r="B4708" s="584" t="s">
        <v>606</v>
      </c>
      <c r="C4708" s="588" t="s">
        <v>649</v>
      </c>
      <c r="D4708" s="577" t="s">
        <v>648</v>
      </c>
      <c r="E4708" s="577" t="s">
        <v>647</v>
      </c>
      <c r="F4708" s="577" t="s">
        <v>646</v>
      </c>
      <c r="G4708" s="580" t="s">
        <v>645</v>
      </c>
    </row>
    <row r="4709" spans="1:7" ht="15.75" thickBot="1" x14ac:dyDescent="0.3">
      <c r="A4709" s="574"/>
      <c r="B4709" s="585"/>
      <c r="C4709" s="589"/>
      <c r="D4709" s="586"/>
      <c r="E4709" s="586"/>
      <c r="F4709" s="586"/>
      <c r="G4709" s="587"/>
    </row>
    <row r="4710" spans="1:7" ht="15.75" thickBot="1" x14ac:dyDescent="0.3">
      <c r="A4710" s="325">
        <v>1</v>
      </c>
      <c r="B4710" s="324">
        <v>2</v>
      </c>
      <c r="C4710" s="324">
        <v>3</v>
      </c>
      <c r="D4710" s="324">
        <v>4</v>
      </c>
      <c r="E4710" s="324">
        <v>5</v>
      </c>
      <c r="F4710" s="324">
        <v>6</v>
      </c>
      <c r="G4710" s="323">
        <v>7</v>
      </c>
    </row>
    <row r="4711" spans="1:7" x14ac:dyDescent="0.25">
      <c r="A4711" s="339" t="str">
        <f t="shared" ref="A4711:A4725" si="142">$G$4704&amp;B4711</f>
        <v>I.3.1.4.03.0031</v>
      </c>
      <c r="B4711" s="339">
        <v>1</v>
      </c>
      <c r="C4711" s="319" t="str">
        <f>IFERROR(VLOOKUP(A4711,[3]DOORSCRIEFT!$A$2:$G$8551,2,FALSE),"")</f>
        <v/>
      </c>
      <c r="D4711" s="318" t="str">
        <f>IFERROR(VLOOKUP(A4711,[3]DOORSCRIEFT!$A$2:$G$8551,3,FALSE),"")</f>
        <v/>
      </c>
      <c r="E4711" s="317" t="str">
        <f>IFERROR(VLOOKUP(A4711,[3]DOORSCRIEFT!$A$2:$G$8551,4,FALSE),"")</f>
        <v/>
      </c>
      <c r="F4711" s="316" t="str">
        <f>IFERROR(VLOOKUP(A4711,[3]DOORSCRIEFT!$A$2:$G$8551,6,FALSE),"")</f>
        <v/>
      </c>
      <c r="G4711" s="322"/>
    </row>
    <row r="4712" spans="1:7" x14ac:dyDescent="0.25">
      <c r="A4712" s="319" t="str">
        <f t="shared" si="142"/>
        <v>I.3.1.4.03.0032</v>
      </c>
      <c r="B4712" s="319">
        <v>2</v>
      </c>
      <c r="C4712" s="319" t="str">
        <f>IFERROR(VLOOKUP(A4712,[3]DOORSCRIEFT!$A$2:$G$8551,2,FALSE),"")</f>
        <v/>
      </c>
      <c r="D4712" s="318" t="str">
        <f>IFERROR(VLOOKUP(A4712,[3]DOORSCRIEFT!$A$2:$G$8551,3,FALSE),"")</f>
        <v/>
      </c>
      <c r="E4712" s="317" t="str">
        <f>IFERROR(VLOOKUP(A4712,[3]DOORSCRIEFT!$A$2:$G$8551,4,FALSE),"")</f>
        <v/>
      </c>
      <c r="F4712" s="316" t="str">
        <f>IFERROR(VLOOKUP(A4712,[3]DOORSCRIEFT!$A$2:$G$8551,6,FALSE),"")</f>
        <v/>
      </c>
      <c r="G4712" s="315"/>
    </row>
    <row r="4713" spans="1:7" x14ac:dyDescent="0.25">
      <c r="A4713" s="319" t="str">
        <f t="shared" si="142"/>
        <v>I.3.1.4.03.0033</v>
      </c>
      <c r="B4713" s="319">
        <v>3</v>
      </c>
      <c r="C4713" s="319" t="str">
        <f>IFERROR(VLOOKUP(A4713,[3]DOORSCRIEFT!$A$2:$G$8551,2,FALSE),"")</f>
        <v/>
      </c>
      <c r="D4713" s="318" t="str">
        <f>IFERROR(VLOOKUP(A4713,[3]DOORSCRIEFT!$A$2:$G$8551,3,FALSE),"")</f>
        <v/>
      </c>
      <c r="E4713" s="317" t="str">
        <f>IFERROR(VLOOKUP(A4713,[3]DOORSCRIEFT!$A$2:$G$8551,4,FALSE),"")</f>
        <v/>
      </c>
      <c r="F4713" s="316" t="str">
        <f>IFERROR(VLOOKUP(A4713,[3]DOORSCRIEFT!$A$2:$G$8551,6,FALSE),"")</f>
        <v/>
      </c>
      <c r="G4713" s="315"/>
    </row>
    <row r="4714" spans="1:7" x14ac:dyDescent="0.25">
      <c r="A4714" s="319" t="str">
        <f t="shared" si="142"/>
        <v>I.3.1.4.03.0034</v>
      </c>
      <c r="B4714" s="319">
        <v>4</v>
      </c>
      <c r="C4714" s="319" t="str">
        <f>IFERROR(VLOOKUP(A4714,[3]DOORSCRIEFT!$A$2:$G$8551,2,FALSE),"")</f>
        <v/>
      </c>
      <c r="D4714" s="318" t="str">
        <f>IFERROR(VLOOKUP(A4714,[3]DOORSCRIEFT!$A$2:$G$8551,3,FALSE),"")</f>
        <v/>
      </c>
      <c r="E4714" s="317" t="str">
        <f>IFERROR(VLOOKUP(A4714,[3]DOORSCRIEFT!$A$2:$G$8551,4,FALSE),"")</f>
        <v/>
      </c>
      <c r="F4714" s="316" t="str">
        <f>IFERROR(VLOOKUP(A4714,[3]DOORSCRIEFT!$A$2:$G$8551,6,FALSE),"")</f>
        <v/>
      </c>
      <c r="G4714" s="315"/>
    </row>
    <row r="4715" spans="1:7" x14ac:dyDescent="0.25">
      <c r="A4715" s="319" t="str">
        <f t="shared" si="142"/>
        <v>I.3.1.4.03.0035</v>
      </c>
      <c r="B4715" s="319">
        <v>5</v>
      </c>
      <c r="C4715" s="319" t="str">
        <f>IFERROR(VLOOKUP(A4715,[3]DOORSCRIEFT!$A$2:$G$8551,2,FALSE),"")</f>
        <v/>
      </c>
      <c r="D4715" s="318" t="str">
        <f>IFERROR(VLOOKUP(A4715,[3]DOORSCRIEFT!$A$2:$G$8551,3,FALSE),"")</f>
        <v/>
      </c>
      <c r="E4715" s="317" t="str">
        <f>IFERROR(VLOOKUP(A4715,[3]DOORSCRIEFT!$A$2:$G$8551,4,FALSE),"")</f>
        <v/>
      </c>
      <c r="F4715" s="316" t="str">
        <f>IFERROR(VLOOKUP(A4715,[3]DOORSCRIEFT!$A$2:$G$8551,6,FALSE),"")</f>
        <v/>
      </c>
      <c r="G4715" s="315"/>
    </row>
    <row r="4716" spans="1:7" x14ac:dyDescent="0.25">
      <c r="A4716" s="319" t="str">
        <f t="shared" si="142"/>
        <v>I.3.1.4.03.0036</v>
      </c>
      <c r="B4716" s="319">
        <v>6</v>
      </c>
      <c r="C4716" s="319" t="str">
        <f>IFERROR(VLOOKUP(A4716,[3]DOORSCRIEFT!$A$2:$G$8551,2,FALSE),"")</f>
        <v/>
      </c>
      <c r="D4716" s="318" t="str">
        <f>IFERROR(VLOOKUP(A4716,[3]DOORSCRIEFT!$A$2:$G$8551,3,FALSE),"")</f>
        <v/>
      </c>
      <c r="E4716" s="317" t="str">
        <f>IFERROR(VLOOKUP(A4716,[3]DOORSCRIEFT!$A$2:$G$8551,4,FALSE),"")</f>
        <v/>
      </c>
      <c r="F4716" s="316" t="str">
        <f>IFERROR(VLOOKUP(A4716,[3]DOORSCRIEFT!$A$2:$G$8551,6,FALSE),"")</f>
        <v/>
      </c>
      <c r="G4716" s="315"/>
    </row>
    <row r="4717" spans="1:7" x14ac:dyDescent="0.25">
      <c r="A4717" s="319" t="str">
        <f t="shared" si="142"/>
        <v>I.3.1.4.03.0037</v>
      </c>
      <c r="B4717" s="319">
        <v>7</v>
      </c>
      <c r="C4717" s="319" t="str">
        <f>IFERROR(VLOOKUP(A4717,[3]DOORSCRIEFT!$A$2:$G$8551,2,FALSE),"")</f>
        <v/>
      </c>
      <c r="D4717" s="318" t="str">
        <f>IFERROR(VLOOKUP(A4717,[3]DOORSCRIEFT!$A$2:$G$8551,3,FALSE),"")</f>
        <v/>
      </c>
      <c r="E4717" s="317" t="str">
        <f>IFERROR(VLOOKUP(A4717,[3]DOORSCRIEFT!$A$2:$G$8551,4,FALSE),"")</f>
        <v/>
      </c>
      <c r="F4717" s="316" t="str">
        <f>IFERROR(VLOOKUP(A4717,[3]DOORSCRIEFT!$A$2:$G$8551,6,FALSE),"")</f>
        <v/>
      </c>
      <c r="G4717" s="315"/>
    </row>
    <row r="4718" spans="1:7" x14ac:dyDescent="0.25">
      <c r="A4718" s="319" t="str">
        <f t="shared" si="142"/>
        <v>I.3.1.4.03.0038</v>
      </c>
      <c r="B4718" s="319">
        <v>8</v>
      </c>
      <c r="C4718" s="319" t="str">
        <f>IFERROR(VLOOKUP(A4718,[3]DOORSCRIEFT!$A$2:$G$8551,2,FALSE),"")</f>
        <v/>
      </c>
      <c r="D4718" s="318" t="str">
        <f>IFERROR(VLOOKUP(A4718,[3]DOORSCRIEFT!$A$2:$G$8551,3,FALSE),"")</f>
        <v/>
      </c>
      <c r="E4718" s="317" t="str">
        <f>IFERROR(VLOOKUP(A4718,[3]DOORSCRIEFT!$A$2:$G$8551,4,FALSE),"")</f>
        <v/>
      </c>
      <c r="F4718" s="316" t="str">
        <f>IFERROR(VLOOKUP(A4718,[3]DOORSCRIEFT!$A$2:$G$8551,6,FALSE),"")</f>
        <v/>
      </c>
      <c r="G4718" s="315"/>
    </row>
    <row r="4719" spans="1:7" x14ac:dyDescent="0.25">
      <c r="A4719" s="319" t="str">
        <f t="shared" si="142"/>
        <v>I.3.1.4.03.0039</v>
      </c>
      <c r="B4719" s="319">
        <v>9</v>
      </c>
      <c r="C4719" s="319" t="str">
        <f>IFERROR(VLOOKUP(A4719,[3]DOORSCRIEFT!$A$2:$G$8551,2,FALSE),"")</f>
        <v/>
      </c>
      <c r="D4719" s="318" t="str">
        <f>IFERROR(VLOOKUP(A4719,[3]DOORSCRIEFT!$A$2:$G$8551,3,FALSE),"")</f>
        <v/>
      </c>
      <c r="E4719" s="317" t="str">
        <f>IFERROR(VLOOKUP(A4719,[3]DOORSCRIEFT!$A$2:$G$8551,4,FALSE),"")</f>
        <v/>
      </c>
      <c r="F4719" s="316" t="str">
        <f>IFERROR(VLOOKUP(A4719,[3]DOORSCRIEFT!$A$2:$G$8551,6,FALSE),"")</f>
        <v/>
      </c>
      <c r="G4719" s="315"/>
    </row>
    <row r="4720" spans="1:7" x14ac:dyDescent="0.25">
      <c r="A4720" s="319" t="str">
        <f t="shared" si="142"/>
        <v>I.3.1.4.03.00310</v>
      </c>
      <c r="B4720" s="319">
        <v>10</v>
      </c>
      <c r="C4720" s="319" t="str">
        <f>IFERROR(VLOOKUP(A4720,[3]DOORSCRIEFT!$A$2:$G$8551,2,FALSE),"")</f>
        <v/>
      </c>
      <c r="D4720" s="318" t="str">
        <f>IFERROR(VLOOKUP(A4720,[3]DOORSCRIEFT!$A$2:$G$8551,3,FALSE),"")</f>
        <v/>
      </c>
      <c r="E4720" s="317" t="str">
        <f>IFERROR(VLOOKUP(A4720,[3]DOORSCRIEFT!$A$2:$G$8551,4,FALSE),"")</f>
        <v/>
      </c>
      <c r="F4720" s="316" t="str">
        <f>IFERROR(VLOOKUP(A4720,[3]DOORSCRIEFT!$A$2:$G$8551,6,FALSE),"")</f>
        <v/>
      </c>
      <c r="G4720" s="315"/>
    </row>
    <row r="4721" spans="1:7" x14ac:dyDescent="0.25">
      <c r="A4721" s="319" t="str">
        <f t="shared" si="142"/>
        <v>I.3.1.4.03.00311</v>
      </c>
      <c r="B4721" s="319">
        <v>11</v>
      </c>
      <c r="C4721" s="319" t="str">
        <f>IFERROR(VLOOKUP(A4721,[3]DOORSCRIEFT!$A$2:$G$8551,2,FALSE),"")</f>
        <v/>
      </c>
      <c r="D4721" s="318" t="str">
        <f>IFERROR(VLOOKUP(A4721,[3]DOORSCRIEFT!$A$2:$G$8551,3,FALSE),"")</f>
        <v/>
      </c>
      <c r="E4721" s="317" t="str">
        <f>IFERROR(VLOOKUP(A4721,[3]DOORSCRIEFT!$A$2:$G$8551,4,FALSE),"")</f>
        <v/>
      </c>
      <c r="F4721" s="316" t="str">
        <f>IFERROR(VLOOKUP(A4721,[3]DOORSCRIEFT!$A$2:$G$8551,6,FALSE),"")</f>
        <v/>
      </c>
      <c r="G4721" s="315"/>
    </row>
    <row r="4722" spans="1:7" x14ac:dyDescent="0.25">
      <c r="A4722" s="319" t="str">
        <f t="shared" si="142"/>
        <v>I.3.1.4.03.00312</v>
      </c>
      <c r="B4722" s="319">
        <v>12</v>
      </c>
      <c r="C4722" s="319" t="str">
        <f>IFERROR(VLOOKUP(A4722,[3]DOORSCRIEFT!$A$2:$G$8551,2,FALSE),"")</f>
        <v/>
      </c>
      <c r="D4722" s="318" t="str">
        <f>IFERROR(VLOOKUP(A4722,[3]DOORSCRIEFT!$A$2:$G$8551,3,FALSE),"")</f>
        <v/>
      </c>
      <c r="E4722" s="317" t="str">
        <f>IFERROR(VLOOKUP(A4722,[3]DOORSCRIEFT!$A$2:$G$8551,4,FALSE),"")</f>
        <v/>
      </c>
      <c r="F4722" s="316" t="str">
        <f>IFERROR(VLOOKUP(A4722,[3]DOORSCRIEFT!$A$2:$G$8551,6,FALSE),"")</f>
        <v/>
      </c>
      <c r="G4722" s="315"/>
    </row>
    <row r="4723" spans="1:7" x14ac:dyDescent="0.25">
      <c r="A4723" s="319" t="str">
        <f t="shared" si="142"/>
        <v>I.3.1.4.03.00313</v>
      </c>
      <c r="B4723" s="319">
        <v>13</v>
      </c>
      <c r="C4723" s="319" t="str">
        <f>IFERROR(VLOOKUP(A4723,[3]DOORSCRIEFT!$A$2:$G$8551,2,FALSE),"")</f>
        <v/>
      </c>
      <c r="D4723" s="318" t="str">
        <f>IFERROR(VLOOKUP(A4723,[3]DOORSCRIEFT!$A$2:$G$8551,3,FALSE),"")</f>
        <v/>
      </c>
      <c r="E4723" s="317" t="str">
        <f>IFERROR(VLOOKUP(A4723,[3]DOORSCRIEFT!$A$2:$G$8551,4,FALSE),"")</f>
        <v/>
      </c>
      <c r="F4723" s="316" t="str">
        <f>IFERROR(VLOOKUP(A4723,[3]DOORSCRIEFT!$A$2:$G$8551,6,FALSE),"")</f>
        <v/>
      </c>
      <c r="G4723" s="315"/>
    </row>
    <row r="4724" spans="1:7" x14ac:dyDescent="0.25">
      <c r="A4724" s="319" t="str">
        <f t="shared" si="142"/>
        <v>I.3.1.4.03.00314</v>
      </c>
      <c r="B4724" s="319">
        <v>14</v>
      </c>
      <c r="C4724" s="319" t="str">
        <f>IFERROR(VLOOKUP(A4724,[3]DOORSCRIEFT!$A$2:$G$8551,2,FALSE),"")</f>
        <v/>
      </c>
      <c r="D4724" s="318" t="str">
        <f>IFERROR(VLOOKUP(A4724,[3]DOORSCRIEFT!$A$2:$G$8551,3,FALSE),"")</f>
        <v/>
      </c>
      <c r="E4724" s="317" t="str">
        <f>IFERROR(VLOOKUP(A4724,[3]DOORSCRIEFT!$A$2:$G$8551,4,FALSE),"")</f>
        <v/>
      </c>
      <c r="F4724" s="316" t="str">
        <f>IFERROR(VLOOKUP(A4724,[3]DOORSCRIEFT!$A$2:$G$8551,6,FALSE),"")</f>
        <v/>
      </c>
      <c r="G4724" s="315"/>
    </row>
    <row r="4725" spans="1:7" ht="15.75" thickBot="1" x14ac:dyDescent="0.3">
      <c r="A4725" s="345" t="str">
        <f t="shared" si="142"/>
        <v>I.3.1.4.03.00315</v>
      </c>
      <c r="B4725" s="345">
        <v>15</v>
      </c>
      <c r="C4725" s="319" t="str">
        <f>IFERROR(VLOOKUP(A4725,[3]DOORSCRIEFT!$A$2:$G$8551,2,FALSE),"")</f>
        <v/>
      </c>
      <c r="D4725" s="318" t="str">
        <f>IFERROR(VLOOKUP(A4725,[3]DOORSCRIEFT!$A$2:$G$8551,3,FALSE),"")</f>
        <v/>
      </c>
      <c r="E4725" s="317" t="str">
        <f>IFERROR(VLOOKUP(A4725,[3]DOORSCRIEFT!$A$2:$G$8551,4,FALSE),"")</f>
        <v/>
      </c>
      <c r="F4725" s="316" t="str">
        <f>IFERROR(VLOOKUP(A4725,[3]DOORSCRIEFT!$A$2:$G$8551,6,FALSE),"")</f>
        <v/>
      </c>
      <c r="G4725" s="315"/>
    </row>
    <row r="4726" spans="1:7" ht="15.75" thickBot="1" x14ac:dyDescent="0.3">
      <c r="A4726" s="344"/>
      <c r="B4726" s="343"/>
      <c r="C4726" s="336"/>
      <c r="D4726" s="312"/>
      <c r="E4726" s="311" t="s">
        <v>644</v>
      </c>
      <c r="F4726" s="310">
        <f>SUM(F4711:F4725)</f>
        <v>0</v>
      </c>
      <c r="G4726" s="309">
        <f>SUM(G4711:G4725)</f>
        <v>0</v>
      </c>
    </row>
    <row r="4727" spans="1:7" x14ac:dyDescent="0.25">
      <c r="C4727" s="335"/>
    </row>
    <row r="4728" spans="1:7" x14ac:dyDescent="0.25">
      <c r="C4728" s="335"/>
    </row>
    <row r="4729" spans="1:7" ht="15.75" x14ac:dyDescent="0.25">
      <c r="C4729" s="334"/>
      <c r="D4729" s="333"/>
      <c r="E4729" s="332"/>
      <c r="F4729" s="327" t="s">
        <v>607</v>
      </c>
      <c r="G4729" s="327" t="s">
        <v>355</v>
      </c>
    </row>
    <row r="4730" spans="1:7" ht="15.75" x14ac:dyDescent="0.25">
      <c r="C4730" s="334"/>
      <c r="D4730" s="333"/>
      <c r="E4730" s="332"/>
      <c r="F4730" s="327" t="s">
        <v>601</v>
      </c>
      <c r="G4730" s="327" t="s">
        <v>93</v>
      </c>
    </row>
    <row r="4731" spans="1:7" x14ac:dyDescent="0.25">
      <c r="C4731" s="330"/>
      <c r="D4731" s="329"/>
      <c r="E4731" s="328"/>
      <c r="F4731" s="327" t="s">
        <v>651</v>
      </c>
      <c r="G4731" s="331">
        <f>[2]Sheet1!$D$150</f>
        <v>0</v>
      </c>
    </row>
    <row r="4732" spans="1:7" ht="15.75" thickBot="1" x14ac:dyDescent="0.3">
      <c r="C4732" s="330"/>
      <c r="D4732" s="329"/>
      <c r="E4732" s="328"/>
      <c r="F4732" s="327" t="s">
        <v>650</v>
      </c>
      <c r="G4732" s="326">
        <f>+F4751-G4731</f>
        <v>0</v>
      </c>
    </row>
    <row r="4733" spans="1:7" x14ac:dyDescent="0.25">
      <c r="A4733" s="573" t="s">
        <v>626</v>
      </c>
      <c r="B4733" s="584" t="s">
        <v>606</v>
      </c>
      <c r="C4733" s="588" t="s">
        <v>649</v>
      </c>
      <c r="D4733" s="577" t="s">
        <v>648</v>
      </c>
      <c r="E4733" s="577" t="s">
        <v>647</v>
      </c>
      <c r="F4733" s="577" t="s">
        <v>646</v>
      </c>
      <c r="G4733" s="580" t="s">
        <v>645</v>
      </c>
    </row>
    <row r="4734" spans="1:7" ht="15.75" thickBot="1" x14ac:dyDescent="0.3">
      <c r="A4734" s="574"/>
      <c r="B4734" s="585"/>
      <c r="C4734" s="589"/>
      <c r="D4734" s="586"/>
      <c r="E4734" s="586"/>
      <c r="F4734" s="586"/>
      <c r="G4734" s="587"/>
    </row>
    <row r="4735" spans="1:7" ht="15.75" thickBot="1" x14ac:dyDescent="0.3">
      <c r="A4735" s="325">
        <v>1</v>
      </c>
      <c r="B4735" s="324">
        <v>2</v>
      </c>
      <c r="C4735" s="324">
        <v>3</v>
      </c>
      <c r="D4735" s="324">
        <v>4</v>
      </c>
      <c r="E4735" s="324">
        <v>5</v>
      </c>
      <c r="F4735" s="324">
        <v>6</v>
      </c>
      <c r="G4735" s="323">
        <v>7</v>
      </c>
    </row>
    <row r="4736" spans="1:7" x14ac:dyDescent="0.25">
      <c r="A4736" s="339" t="str">
        <f t="shared" ref="A4736:A4750" si="143">$G$4729&amp;B4736</f>
        <v>I.3.1.4.04.0011</v>
      </c>
      <c r="B4736" s="339">
        <v>1</v>
      </c>
      <c r="C4736" s="319" t="str">
        <f>IFERROR(VLOOKUP(A4736,[3]DOORSCRIEFT!$A$2:$G$8551,2,FALSE),"")</f>
        <v/>
      </c>
      <c r="D4736" s="318" t="str">
        <f>IFERROR(VLOOKUP(A4736,[3]DOORSCRIEFT!$A$2:$G$8551,3,FALSE),"")</f>
        <v/>
      </c>
      <c r="E4736" s="317" t="str">
        <f>IFERROR(VLOOKUP(A4736,[3]DOORSCRIEFT!$A$2:$G$8551,4,FALSE),"")</f>
        <v/>
      </c>
      <c r="F4736" s="316" t="str">
        <f>IFERROR(VLOOKUP(A4736,[3]DOORSCRIEFT!$A$2:$G$8551,6,FALSE),"")</f>
        <v/>
      </c>
      <c r="G4736" s="322"/>
    </row>
    <row r="4737" spans="1:7" x14ac:dyDescent="0.25">
      <c r="A4737" s="319" t="str">
        <f t="shared" si="143"/>
        <v>I.3.1.4.04.0012</v>
      </c>
      <c r="B4737" s="319">
        <v>2</v>
      </c>
      <c r="C4737" s="319" t="str">
        <f>IFERROR(VLOOKUP(A4737,[3]DOORSCRIEFT!$A$2:$G$8551,2,FALSE),"")</f>
        <v/>
      </c>
      <c r="D4737" s="318" t="str">
        <f>IFERROR(VLOOKUP(A4737,[3]DOORSCRIEFT!$A$2:$G$8551,3,FALSE),"")</f>
        <v/>
      </c>
      <c r="E4737" s="317" t="str">
        <f>IFERROR(VLOOKUP(A4737,[3]DOORSCRIEFT!$A$2:$G$8551,4,FALSE),"")</f>
        <v/>
      </c>
      <c r="F4737" s="316" t="str">
        <f>IFERROR(VLOOKUP(A4737,[3]DOORSCRIEFT!$A$2:$G$8551,6,FALSE),"")</f>
        <v/>
      </c>
      <c r="G4737" s="315"/>
    </row>
    <row r="4738" spans="1:7" x14ac:dyDescent="0.25">
      <c r="A4738" s="319" t="str">
        <f t="shared" si="143"/>
        <v>I.3.1.4.04.0013</v>
      </c>
      <c r="B4738" s="319">
        <v>3</v>
      </c>
      <c r="C4738" s="319" t="str">
        <f>IFERROR(VLOOKUP(A4738,[3]DOORSCRIEFT!$A$2:$G$8551,2,FALSE),"")</f>
        <v/>
      </c>
      <c r="D4738" s="318" t="str">
        <f>IFERROR(VLOOKUP(A4738,[3]DOORSCRIEFT!$A$2:$G$8551,3,FALSE),"")</f>
        <v/>
      </c>
      <c r="E4738" s="317" t="str">
        <f>IFERROR(VLOOKUP(A4738,[3]DOORSCRIEFT!$A$2:$G$8551,4,FALSE),"")</f>
        <v/>
      </c>
      <c r="F4738" s="316" t="str">
        <f>IFERROR(VLOOKUP(A4738,[3]DOORSCRIEFT!$A$2:$G$8551,6,FALSE),"")</f>
        <v/>
      </c>
      <c r="G4738" s="315"/>
    </row>
    <row r="4739" spans="1:7" x14ac:dyDescent="0.25">
      <c r="A4739" s="319" t="str">
        <f t="shared" si="143"/>
        <v>I.3.1.4.04.0014</v>
      </c>
      <c r="B4739" s="319">
        <v>4</v>
      </c>
      <c r="C4739" s="319" t="str">
        <f>IFERROR(VLOOKUP(A4739,[3]DOORSCRIEFT!$A$2:$G$8551,2,FALSE),"")</f>
        <v/>
      </c>
      <c r="D4739" s="318" t="str">
        <f>IFERROR(VLOOKUP(A4739,[3]DOORSCRIEFT!$A$2:$G$8551,3,FALSE),"")</f>
        <v/>
      </c>
      <c r="E4739" s="317" t="str">
        <f>IFERROR(VLOOKUP(A4739,[3]DOORSCRIEFT!$A$2:$G$8551,4,FALSE),"")</f>
        <v/>
      </c>
      <c r="F4739" s="316" t="str">
        <f>IFERROR(VLOOKUP(A4739,[3]DOORSCRIEFT!$A$2:$G$8551,6,FALSE),"")</f>
        <v/>
      </c>
      <c r="G4739" s="315"/>
    </row>
    <row r="4740" spans="1:7" x14ac:dyDescent="0.25">
      <c r="A4740" s="319" t="str">
        <f t="shared" si="143"/>
        <v>I.3.1.4.04.0015</v>
      </c>
      <c r="B4740" s="319">
        <v>5</v>
      </c>
      <c r="C4740" s="319" t="str">
        <f>IFERROR(VLOOKUP(A4740,[3]DOORSCRIEFT!$A$2:$G$8551,2,FALSE),"")</f>
        <v/>
      </c>
      <c r="D4740" s="318" t="str">
        <f>IFERROR(VLOOKUP(A4740,[3]DOORSCRIEFT!$A$2:$G$8551,3,FALSE),"")</f>
        <v/>
      </c>
      <c r="E4740" s="317" t="str">
        <f>IFERROR(VLOOKUP(A4740,[3]DOORSCRIEFT!$A$2:$G$8551,4,FALSE),"")</f>
        <v/>
      </c>
      <c r="F4740" s="316" t="str">
        <f>IFERROR(VLOOKUP(A4740,[3]DOORSCRIEFT!$A$2:$G$8551,6,FALSE),"")</f>
        <v/>
      </c>
      <c r="G4740" s="315"/>
    </row>
    <row r="4741" spans="1:7" x14ac:dyDescent="0.25">
      <c r="A4741" s="319" t="str">
        <f t="shared" si="143"/>
        <v>I.3.1.4.04.0016</v>
      </c>
      <c r="B4741" s="319">
        <v>6</v>
      </c>
      <c r="C4741" s="319" t="str">
        <f>IFERROR(VLOOKUP(A4741,[3]DOORSCRIEFT!$A$2:$G$8551,2,FALSE),"")</f>
        <v/>
      </c>
      <c r="D4741" s="318" t="str">
        <f>IFERROR(VLOOKUP(A4741,[3]DOORSCRIEFT!$A$2:$G$8551,3,FALSE),"")</f>
        <v/>
      </c>
      <c r="E4741" s="317" t="str">
        <f>IFERROR(VLOOKUP(A4741,[3]DOORSCRIEFT!$A$2:$G$8551,4,FALSE),"")</f>
        <v/>
      </c>
      <c r="F4741" s="316" t="str">
        <f>IFERROR(VLOOKUP(A4741,[3]DOORSCRIEFT!$A$2:$G$8551,6,FALSE),"")</f>
        <v/>
      </c>
      <c r="G4741" s="315"/>
    </row>
    <row r="4742" spans="1:7" x14ac:dyDescent="0.25">
      <c r="A4742" s="319" t="str">
        <f t="shared" si="143"/>
        <v>I.3.1.4.04.0017</v>
      </c>
      <c r="B4742" s="319">
        <v>7</v>
      </c>
      <c r="C4742" s="319" t="str">
        <f>IFERROR(VLOOKUP(A4742,[3]DOORSCRIEFT!$A$2:$G$8551,2,FALSE),"")</f>
        <v/>
      </c>
      <c r="D4742" s="318" t="str">
        <f>IFERROR(VLOOKUP(A4742,[3]DOORSCRIEFT!$A$2:$G$8551,3,FALSE),"")</f>
        <v/>
      </c>
      <c r="E4742" s="317" t="str">
        <f>IFERROR(VLOOKUP(A4742,[3]DOORSCRIEFT!$A$2:$G$8551,4,FALSE),"")</f>
        <v/>
      </c>
      <c r="F4742" s="316" t="str">
        <f>IFERROR(VLOOKUP(A4742,[3]DOORSCRIEFT!$A$2:$G$8551,6,FALSE),"")</f>
        <v/>
      </c>
      <c r="G4742" s="315"/>
    </row>
    <row r="4743" spans="1:7" x14ac:dyDescent="0.25">
      <c r="A4743" s="319" t="str">
        <f t="shared" si="143"/>
        <v>I.3.1.4.04.0018</v>
      </c>
      <c r="B4743" s="319">
        <v>8</v>
      </c>
      <c r="C4743" s="319" t="str">
        <f>IFERROR(VLOOKUP(A4743,[3]DOORSCRIEFT!$A$2:$G$8551,2,FALSE),"")</f>
        <v/>
      </c>
      <c r="D4743" s="318" t="str">
        <f>IFERROR(VLOOKUP(A4743,[3]DOORSCRIEFT!$A$2:$G$8551,3,FALSE),"")</f>
        <v/>
      </c>
      <c r="E4743" s="317" t="str">
        <f>IFERROR(VLOOKUP(A4743,[3]DOORSCRIEFT!$A$2:$G$8551,4,FALSE),"")</f>
        <v/>
      </c>
      <c r="F4743" s="316" t="str">
        <f>IFERROR(VLOOKUP(A4743,[3]DOORSCRIEFT!$A$2:$G$8551,6,FALSE),"")</f>
        <v/>
      </c>
      <c r="G4743" s="315"/>
    </row>
    <row r="4744" spans="1:7" x14ac:dyDescent="0.25">
      <c r="A4744" s="319" t="str">
        <f t="shared" si="143"/>
        <v>I.3.1.4.04.0019</v>
      </c>
      <c r="B4744" s="319">
        <v>9</v>
      </c>
      <c r="C4744" s="319" t="str">
        <f>IFERROR(VLOOKUP(A4744,[3]DOORSCRIEFT!$A$2:$G$8551,2,FALSE),"")</f>
        <v/>
      </c>
      <c r="D4744" s="318" t="str">
        <f>IFERROR(VLOOKUP(A4744,[3]DOORSCRIEFT!$A$2:$G$8551,3,FALSE),"")</f>
        <v/>
      </c>
      <c r="E4744" s="317" t="str">
        <f>IFERROR(VLOOKUP(A4744,[3]DOORSCRIEFT!$A$2:$G$8551,4,FALSE),"")</f>
        <v/>
      </c>
      <c r="F4744" s="316" t="str">
        <f>IFERROR(VLOOKUP(A4744,[3]DOORSCRIEFT!$A$2:$G$8551,6,FALSE),"")</f>
        <v/>
      </c>
      <c r="G4744" s="315"/>
    </row>
    <row r="4745" spans="1:7" x14ac:dyDescent="0.25">
      <c r="A4745" s="319" t="str">
        <f t="shared" si="143"/>
        <v>I.3.1.4.04.00110</v>
      </c>
      <c r="B4745" s="319">
        <v>10</v>
      </c>
      <c r="C4745" s="319" t="str">
        <f>IFERROR(VLOOKUP(A4745,[3]DOORSCRIEFT!$A$2:$G$8551,2,FALSE),"")</f>
        <v/>
      </c>
      <c r="D4745" s="318" t="str">
        <f>IFERROR(VLOOKUP(A4745,[3]DOORSCRIEFT!$A$2:$G$8551,3,FALSE),"")</f>
        <v/>
      </c>
      <c r="E4745" s="317" t="str">
        <f>IFERROR(VLOOKUP(A4745,[3]DOORSCRIEFT!$A$2:$G$8551,4,FALSE),"")</f>
        <v/>
      </c>
      <c r="F4745" s="316" t="str">
        <f>IFERROR(VLOOKUP(A4745,[3]DOORSCRIEFT!$A$2:$G$8551,6,FALSE),"")</f>
        <v/>
      </c>
      <c r="G4745" s="315"/>
    </row>
    <row r="4746" spans="1:7" x14ac:dyDescent="0.25">
      <c r="A4746" s="319" t="str">
        <f t="shared" si="143"/>
        <v>I.3.1.4.04.00111</v>
      </c>
      <c r="B4746" s="319">
        <v>11</v>
      </c>
      <c r="C4746" s="319" t="str">
        <f>IFERROR(VLOOKUP(A4746,[3]DOORSCRIEFT!$A$2:$G$8551,2,FALSE),"")</f>
        <v/>
      </c>
      <c r="D4746" s="318" t="str">
        <f>IFERROR(VLOOKUP(A4746,[3]DOORSCRIEFT!$A$2:$G$8551,3,FALSE),"")</f>
        <v/>
      </c>
      <c r="E4746" s="317" t="str">
        <f>IFERROR(VLOOKUP(A4746,[3]DOORSCRIEFT!$A$2:$G$8551,4,FALSE),"")</f>
        <v/>
      </c>
      <c r="F4746" s="316" t="str">
        <f>IFERROR(VLOOKUP(A4746,[3]DOORSCRIEFT!$A$2:$G$8551,6,FALSE),"")</f>
        <v/>
      </c>
      <c r="G4746" s="315"/>
    </row>
    <row r="4747" spans="1:7" x14ac:dyDescent="0.25">
      <c r="A4747" s="319" t="str">
        <f t="shared" si="143"/>
        <v>I.3.1.4.04.00112</v>
      </c>
      <c r="B4747" s="319">
        <v>12</v>
      </c>
      <c r="C4747" s="319" t="str">
        <f>IFERROR(VLOOKUP(A4747,[3]DOORSCRIEFT!$A$2:$G$8551,2,FALSE),"")</f>
        <v/>
      </c>
      <c r="D4747" s="318" t="str">
        <f>IFERROR(VLOOKUP(A4747,[3]DOORSCRIEFT!$A$2:$G$8551,3,FALSE),"")</f>
        <v/>
      </c>
      <c r="E4747" s="317" t="str">
        <f>IFERROR(VLOOKUP(A4747,[3]DOORSCRIEFT!$A$2:$G$8551,4,FALSE),"")</f>
        <v/>
      </c>
      <c r="F4747" s="316" t="str">
        <f>IFERROR(VLOOKUP(A4747,[3]DOORSCRIEFT!$A$2:$G$8551,6,FALSE),"")</f>
        <v/>
      </c>
      <c r="G4747" s="315"/>
    </row>
    <row r="4748" spans="1:7" x14ac:dyDescent="0.25">
      <c r="A4748" s="319" t="str">
        <f t="shared" si="143"/>
        <v>I.3.1.4.04.00113</v>
      </c>
      <c r="B4748" s="319">
        <v>13</v>
      </c>
      <c r="C4748" s="319" t="str">
        <f>IFERROR(VLOOKUP(A4748,[3]DOORSCRIEFT!$A$2:$G$8551,2,FALSE),"")</f>
        <v/>
      </c>
      <c r="D4748" s="318" t="str">
        <f>IFERROR(VLOOKUP(A4748,[3]DOORSCRIEFT!$A$2:$G$8551,3,FALSE),"")</f>
        <v/>
      </c>
      <c r="E4748" s="317" t="str">
        <f>IFERROR(VLOOKUP(A4748,[3]DOORSCRIEFT!$A$2:$G$8551,4,FALSE),"")</f>
        <v/>
      </c>
      <c r="F4748" s="316" t="str">
        <f>IFERROR(VLOOKUP(A4748,[3]DOORSCRIEFT!$A$2:$G$8551,6,FALSE),"")</f>
        <v/>
      </c>
      <c r="G4748" s="315"/>
    </row>
    <row r="4749" spans="1:7" x14ac:dyDescent="0.25">
      <c r="A4749" s="319" t="str">
        <f t="shared" si="143"/>
        <v>I.3.1.4.04.00114</v>
      </c>
      <c r="B4749" s="319">
        <v>14</v>
      </c>
      <c r="C4749" s="319" t="str">
        <f>IFERROR(VLOOKUP(A4749,[3]DOORSCRIEFT!$A$2:$G$8551,2,FALSE),"")</f>
        <v/>
      </c>
      <c r="D4749" s="318" t="str">
        <f>IFERROR(VLOOKUP(A4749,[3]DOORSCRIEFT!$A$2:$G$8551,3,FALSE),"")</f>
        <v/>
      </c>
      <c r="E4749" s="317" t="str">
        <f>IFERROR(VLOOKUP(A4749,[3]DOORSCRIEFT!$A$2:$G$8551,4,FALSE),"")</f>
        <v/>
      </c>
      <c r="F4749" s="316" t="str">
        <f>IFERROR(VLOOKUP(A4749,[3]DOORSCRIEFT!$A$2:$G$8551,6,FALSE),"")</f>
        <v/>
      </c>
      <c r="G4749" s="315"/>
    </row>
    <row r="4750" spans="1:7" ht="15.75" thickBot="1" x14ac:dyDescent="0.3">
      <c r="A4750" s="345" t="str">
        <f t="shared" si="143"/>
        <v>I.3.1.4.04.00115</v>
      </c>
      <c r="B4750" s="345">
        <v>15</v>
      </c>
      <c r="C4750" s="319" t="str">
        <f>IFERROR(VLOOKUP(A4750,[3]DOORSCRIEFT!$A$2:$G$8551,2,FALSE),"")</f>
        <v/>
      </c>
      <c r="D4750" s="318" t="str">
        <f>IFERROR(VLOOKUP(A4750,[3]DOORSCRIEFT!$A$2:$G$8551,3,FALSE),"")</f>
        <v/>
      </c>
      <c r="E4750" s="317" t="str">
        <f>IFERROR(VLOOKUP(A4750,[3]DOORSCRIEFT!$A$2:$G$8551,4,FALSE),"")</f>
        <v/>
      </c>
      <c r="F4750" s="316" t="str">
        <f>IFERROR(VLOOKUP(A4750,[3]DOORSCRIEFT!$A$2:$G$8551,6,FALSE),"")</f>
        <v/>
      </c>
      <c r="G4750" s="315"/>
    </row>
    <row r="4751" spans="1:7" ht="15.75" thickBot="1" x14ac:dyDescent="0.3">
      <c r="A4751" s="344"/>
      <c r="B4751" s="343"/>
      <c r="C4751" s="336"/>
      <c r="D4751" s="312"/>
      <c r="E4751" s="311" t="s">
        <v>644</v>
      </c>
      <c r="F4751" s="310">
        <f>SUM(F4736:F4750)</f>
        <v>0</v>
      </c>
      <c r="G4751" s="309">
        <f>SUM(G4736:G4750)</f>
        <v>0</v>
      </c>
    </row>
    <row r="4752" spans="1:7" x14ac:dyDescent="0.25">
      <c r="C4752" s="335"/>
    </row>
    <row r="4753" spans="1:7" x14ac:dyDescent="0.25">
      <c r="C4753" s="335"/>
    </row>
    <row r="4754" spans="1:7" ht="15.75" x14ac:dyDescent="0.25">
      <c r="C4754" s="334"/>
      <c r="D4754" s="333"/>
      <c r="E4754" s="332"/>
      <c r="F4754" s="327" t="s">
        <v>607</v>
      </c>
      <c r="G4754" s="327" t="s">
        <v>352</v>
      </c>
    </row>
    <row r="4755" spans="1:7" ht="15.75" x14ac:dyDescent="0.25">
      <c r="C4755" s="334"/>
      <c r="D4755" s="333"/>
      <c r="E4755" s="332"/>
      <c r="F4755" s="327" t="s">
        <v>601</v>
      </c>
      <c r="G4755" s="327" t="s">
        <v>89</v>
      </c>
    </row>
    <row r="4756" spans="1:7" x14ac:dyDescent="0.25">
      <c r="C4756" s="330"/>
      <c r="D4756" s="329"/>
      <c r="E4756" s="328"/>
      <c r="F4756" s="327" t="s">
        <v>651</v>
      </c>
      <c r="G4756" s="331">
        <f>[2]Sheet1!$D$152</f>
        <v>0</v>
      </c>
    </row>
    <row r="4757" spans="1:7" ht="15.75" thickBot="1" x14ac:dyDescent="0.3">
      <c r="C4757" s="330"/>
      <c r="D4757" s="329"/>
      <c r="E4757" s="328"/>
      <c r="F4757" s="327" t="s">
        <v>650</v>
      </c>
      <c r="G4757" s="326">
        <f>+F4776-G4756</f>
        <v>0</v>
      </c>
    </row>
    <row r="4758" spans="1:7" x14ac:dyDescent="0.25">
      <c r="A4758" s="573" t="s">
        <v>626</v>
      </c>
      <c r="B4758" s="584" t="s">
        <v>606</v>
      </c>
      <c r="C4758" s="588" t="s">
        <v>649</v>
      </c>
      <c r="D4758" s="577" t="s">
        <v>648</v>
      </c>
      <c r="E4758" s="577" t="s">
        <v>647</v>
      </c>
      <c r="F4758" s="577" t="s">
        <v>646</v>
      </c>
      <c r="G4758" s="580" t="s">
        <v>645</v>
      </c>
    </row>
    <row r="4759" spans="1:7" ht="15.75" thickBot="1" x14ac:dyDescent="0.3">
      <c r="A4759" s="574"/>
      <c r="B4759" s="585"/>
      <c r="C4759" s="589"/>
      <c r="D4759" s="586"/>
      <c r="E4759" s="586"/>
      <c r="F4759" s="586"/>
      <c r="G4759" s="587"/>
    </row>
    <row r="4760" spans="1:7" ht="15.75" thickBot="1" x14ac:dyDescent="0.3">
      <c r="A4760" s="325">
        <v>1</v>
      </c>
      <c r="B4760" s="324">
        <v>2</v>
      </c>
      <c r="C4760" s="324">
        <v>3</v>
      </c>
      <c r="D4760" s="324">
        <v>4</v>
      </c>
      <c r="E4760" s="324">
        <v>5</v>
      </c>
      <c r="F4760" s="324">
        <v>6</v>
      </c>
      <c r="G4760" s="323">
        <v>7</v>
      </c>
    </row>
    <row r="4761" spans="1:7" x14ac:dyDescent="0.25">
      <c r="A4761" s="320" t="str">
        <f t="shared" ref="A4761:A4775" si="144">$G$4754&amp;B4761</f>
        <v>I.3.1.4.05.0011</v>
      </c>
      <c r="B4761" s="320">
        <v>1</v>
      </c>
      <c r="C4761" s="319" t="str">
        <f>IFERROR(VLOOKUP(A4761,[3]DOORSCRIEFT!$A$2:$G$8551,2,FALSE),"")</f>
        <v/>
      </c>
      <c r="D4761" s="318" t="str">
        <f>IFERROR(VLOOKUP(A4761,[3]DOORSCRIEFT!$A$2:$G$8551,3,FALSE),"")</f>
        <v/>
      </c>
      <c r="E4761" s="317" t="str">
        <f>IFERROR(VLOOKUP(A4761,[3]DOORSCRIEFT!$A$2:$G$8551,4,FALSE),"")</f>
        <v/>
      </c>
      <c r="F4761" s="316" t="str">
        <f>IFERROR(VLOOKUP(A4761,[3]DOORSCRIEFT!$A$2:$G$8551,6,FALSE),"")</f>
        <v/>
      </c>
      <c r="G4761" s="322"/>
    </row>
    <row r="4762" spans="1:7" x14ac:dyDescent="0.25">
      <c r="A4762" s="321" t="str">
        <f t="shared" si="144"/>
        <v>I.3.1.4.05.0012</v>
      </c>
      <c r="B4762" s="321">
        <v>2</v>
      </c>
      <c r="C4762" s="319" t="str">
        <f>IFERROR(VLOOKUP(A4762,[3]DOORSCRIEFT!$A$2:$G$8551,2,FALSE),"")</f>
        <v/>
      </c>
      <c r="D4762" s="318" t="str">
        <f>IFERROR(VLOOKUP(A4762,[3]DOORSCRIEFT!$A$2:$G$8551,3,FALSE),"")</f>
        <v/>
      </c>
      <c r="E4762" s="317" t="str">
        <f>IFERROR(VLOOKUP(A4762,[3]DOORSCRIEFT!$A$2:$G$8551,4,FALSE),"")</f>
        <v/>
      </c>
      <c r="F4762" s="316" t="str">
        <f>IFERROR(VLOOKUP(A4762,[3]DOORSCRIEFT!$A$2:$G$8551,6,FALSE),"")</f>
        <v/>
      </c>
      <c r="G4762" s="315"/>
    </row>
    <row r="4763" spans="1:7" x14ac:dyDescent="0.25">
      <c r="A4763" s="321" t="str">
        <f t="shared" si="144"/>
        <v>I.3.1.4.05.0013</v>
      </c>
      <c r="B4763" s="321">
        <v>3</v>
      </c>
      <c r="C4763" s="319" t="str">
        <f>IFERROR(VLOOKUP(A4763,[3]DOORSCRIEFT!$A$2:$G$8551,2,FALSE),"")</f>
        <v/>
      </c>
      <c r="D4763" s="318" t="str">
        <f>IFERROR(VLOOKUP(A4763,[3]DOORSCRIEFT!$A$2:$G$8551,3,FALSE),"")</f>
        <v/>
      </c>
      <c r="E4763" s="317" t="str">
        <f>IFERROR(VLOOKUP(A4763,[3]DOORSCRIEFT!$A$2:$G$8551,4,FALSE),"")</f>
        <v/>
      </c>
      <c r="F4763" s="316" t="str">
        <f>IFERROR(VLOOKUP(A4763,[3]DOORSCRIEFT!$A$2:$G$8551,6,FALSE),"")</f>
        <v/>
      </c>
      <c r="G4763" s="315"/>
    </row>
    <row r="4764" spans="1:7" x14ac:dyDescent="0.25">
      <c r="A4764" s="321" t="str">
        <f t="shared" si="144"/>
        <v>I.3.1.4.05.0014</v>
      </c>
      <c r="B4764" s="321">
        <v>4</v>
      </c>
      <c r="C4764" s="319" t="str">
        <f>IFERROR(VLOOKUP(A4764,[3]DOORSCRIEFT!$A$2:$G$8551,2,FALSE),"")</f>
        <v/>
      </c>
      <c r="D4764" s="318" t="str">
        <f>IFERROR(VLOOKUP(A4764,[3]DOORSCRIEFT!$A$2:$G$8551,3,FALSE),"")</f>
        <v/>
      </c>
      <c r="E4764" s="317" t="str">
        <f>IFERROR(VLOOKUP(A4764,[3]DOORSCRIEFT!$A$2:$G$8551,4,FALSE),"")</f>
        <v/>
      </c>
      <c r="F4764" s="316" t="str">
        <f>IFERROR(VLOOKUP(A4764,[3]DOORSCRIEFT!$A$2:$G$8551,6,FALSE),"")</f>
        <v/>
      </c>
      <c r="G4764" s="315"/>
    </row>
    <row r="4765" spans="1:7" x14ac:dyDescent="0.25">
      <c r="A4765" s="321" t="str">
        <f t="shared" si="144"/>
        <v>I.3.1.4.05.0015</v>
      </c>
      <c r="B4765" s="321">
        <v>5</v>
      </c>
      <c r="C4765" s="319" t="str">
        <f>IFERROR(VLOOKUP(A4765,[3]DOORSCRIEFT!$A$2:$G$8551,2,FALSE),"")</f>
        <v/>
      </c>
      <c r="D4765" s="318" t="str">
        <f>IFERROR(VLOOKUP(A4765,[3]DOORSCRIEFT!$A$2:$G$8551,3,FALSE),"")</f>
        <v/>
      </c>
      <c r="E4765" s="317" t="str">
        <f>IFERROR(VLOOKUP(A4765,[3]DOORSCRIEFT!$A$2:$G$8551,4,FALSE),"")</f>
        <v/>
      </c>
      <c r="F4765" s="316" t="str">
        <f>IFERROR(VLOOKUP(A4765,[3]DOORSCRIEFT!$A$2:$G$8551,6,FALSE),"")</f>
        <v/>
      </c>
      <c r="G4765" s="315"/>
    </row>
    <row r="4766" spans="1:7" x14ac:dyDescent="0.25">
      <c r="A4766" s="321" t="str">
        <f t="shared" si="144"/>
        <v>I.3.1.4.05.0016</v>
      </c>
      <c r="B4766" s="321">
        <v>6</v>
      </c>
      <c r="C4766" s="319" t="str">
        <f>IFERROR(VLOOKUP(A4766,[3]DOORSCRIEFT!$A$2:$G$8551,2,FALSE),"")</f>
        <v/>
      </c>
      <c r="D4766" s="318" t="str">
        <f>IFERROR(VLOOKUP(A4766,[3]DOORSCRIEFT!$A$2:$G$8551,3,FALSE),"")</f>
        <v/>
      </c>
      <c r="E4766" s="317" t="str">
        <f>IFERROR(VLOOKUP(A4766,[3]DOORSCRIEFT!$A$2:$G$8551,4,FALSE),"")</f>
        <v/>
      </c>
      <c r="F4766" s="316" t="str">
        <f>IFERROR(VLOOKUP(A4766,[3]DOORSCRIEFT!$A$2:$G$8551,6,FALSE),"")</f>
        <v/>
      </c>
      <c r="G4766" s="315"/>
    </row>
    <row r="4767" spans="1:7" x14ac:dyDescent="0.25">
      <c r="A4767" s="321" t="str">
        <f t="shared" si="144"/>
        <v>I.3.1.4.05.0017</v>
      </c>
      <c r="B4767" s="321">
        <v>7</v>
      </c>
      <c r="C4767" s="319" t="str">
        <f>IFERROR(VLOOKUP(A4767,[3]DOORSCRIEFT!$A$2:$G$8551,2,FALSE),"")</f>
        <v/>
      </c>
      <c r="D4767" s="318" t="str">
        <f>IFERROR(VLOOKUP(A4767,[3]DOORSCRIEFT!$A$2:$G$8551,3,FALSE),"")</f>
        <v/>
      </c>
      <c r="E4767" s="317" t="str">
        <f>IFERROR(VLOOKUP(A4767,[3]DOORSCRIEFT!$A$2:$G$8551,4,FALSE),"")</f>
        <v/>
      </c>
      <c r="F4767" s="316" t="str">
        <f>IFERROR(VLOOKUP(A4767,[3]DOORSCRIEFT!$A$2:$G$8551,6,FALSE),"")</f>
        <v/>
      </c>
      <c r="G4767" s="315"/>
    </row>
    <row r="4768" spans="1:7" x14ac:dyDescent="0.25">
      <c r="A4768" s="321" t="str">
        <f t="shared" si="144"/>
        <v>I.3.1.4.05.0018</v>
      </c>
      <c r="B4768" s="321">
        <v>8</v>
      </c>
      <c r="C4768" s="319" t="str">
        <f>IFERROR(VLOOKUP(A4768,[3]DOORSCRIEFT!$A$2:$G$8551,2,FALSE),"")</f>
        <v/>
      </c>
      <c r="D4768" s="318" t="str">
        <f>IFERROR(VLOOKUP(A4768,[3]DOORSCRIEFT!$A$2:$G$8551,3,FALSE),"")</f>
        <v/>
      </c>
      <c r="E4768" s="317" t="str">
        <f>IFERROR(VLOOKUP(A4768,[3]DOORSCRIEFT!$A$2:$G$8551,4,FALSE),"")</f>
        <v/>
      </c>
      <c r="F4768" s="316" t="str">
        <f>IFERROR(VLOOKUP(A4768,[3]DOORSCRIEFT!$A$2:$G$8551,6,FALSE),"")</f>
        <v/>
      </c>
      <c r="G4768" s="315"/>
    </row>
    <row r="4769" spans="1:7" x14ac:dyDescent="0.25">
      <c r="A4769" s="321" t="str">
        <f t="shared" si="144"/>
        <v>I.3.1.4.05.0019</v>
      </c>
      <c r="B4769" s="321">
        <v>9</v>
      </c>
      <c r="C4769" s="319" t="str">
        <f>IFERROR(VLOOKUP(A4769,[3]DOORSCRIEFT!$A$2:$G$8551,2,FALSE),"")</f>
        <v/>
      </c>
      <c r="D4769" s="318" t="str">
        <f>IFERROR(VLOOKUP(A4769,[3]DOORSCRIEFT!$A$2:$G$8551,3,FALSE),"")</f>
        <v/>
      </c>
      <c r="E4769" s="317" t="str">
        <f>IFERROR(VLOOKUP(A4769,[3]DOORSCRIEFT!$A$2:$G$8551,4,FALSE),"")</f>
        <v/>
      </c>
      <c r="F4769" s="316" t="str">
        <f>IFERROR(VLOOKUP(A4769,[3]DOORSCRIEFT!$A$2:$G$8551,6,FALSE),"")</f>
        <v/>
      </c>
      <c r="G4769" s="315"/>
    </row>
    <row r="4770" spans="1:7" x14ac:dyDescent="0.25">
      <c r="A4770" s="321" t="str">
        <f t="shared" si="144"/>
        <v>I.3.1.4.05.00110</v>
      </c>
      <c r="B4770" s="321">
        <v>10</v>
      </c>
      <c r="C4770" s="319" t="str">
        <f>IFERROR(VLOOKUP(A4770,[3]DOORSCRIEFT!$A$2:$G$8551,2,FALSE),"")</f>
        <v/>
      </c>
      <c r="D4770" s="318" t="str">
        <f>IFERROR(VLOOKUP(A4770,[3]DOORSCRIEFT!$A$2:$G$8551,3,FALSE),"")</f>
        <v/>
      </c>
      <c r="E4770" s="317" t="str">
        <f>IFERROR(VLOOKUP(A4770,[3]DOORSCRIEFT!$A$2:$G$8551,4,FALSE),"")</f>
        <v/>
      </c>
      <c r="F4770" s="316" t="str">
        <f>IFERROR(VLOOKUP(A4770,[3]DOORSCRIEFT!$A$2:$G$8551,6,FALSE),"")</f>
        <v/>
      </c>
      <c r="G4770" s="315"/>
    </row>
    <row r="4771" spans="1:7" x14ac:dyDescent="0.25">
      <c r="A4771" s="321" t="str">
        <f t="shared" si="144"/>
        <v>I.3.1.4.05.00111</v>
      </c>
      <c r="B4771" s="321">
        <v>11</v>
      </c>
      <c r="C4771" s="319" t="str">
        <f>IFERROR(VLOOKUP(A4771,[3]DOORSCRIEFT!$A$2:$G$8551,2,FALSE),"")</f>
        <v/>
      </c>
      <c r="D4771" s="318" t="str">
        <f>IFERROR(VLOOKUP(A4771,[3]DOORSCRIEFT!$A$2:$G$8551,3,FALSE),"")</f>
        <v/>
      </c>
      <c r="E4771" s="317" t="str">
        <f>IFERROR(VLOOKUP(A4771,[3]DOORSCRIEFT!$A$2:$G$8551,4,FALSE),"")</f>
        <v/>
      </c>
      <c r="F4771" s="316" t="str">
        <f>IFERROR(VLOOKUP(A4771,[3]DOORSCRIEFT!$A$2:$G$8551,6,FALSE),"")</f>
        <v/>
      </c>
      <c r="G4771" s="315"/>
    </row>
    <row r="4772" spans="1:7" x14ac:dyDescent="0.25">
      <c r="A4772" s="321" t="str">
        <f t="shared" si="144"/>
        <v>I.3.1.4.05.00112</v>
      </c>
      <c r="B4772" s="321">
        <v>12</v>
      </c>
      <c r="C4772" s="319" t="str">
        <f>IFERROR(VLOOKUP(A4772,[3]DOORSCRIEFT!$A$2:$G$8551,2,FALSE),"")</f>
        <v/>
      </c>
      <c r="D4772" s="318" t="str">
        <f>IFERROR(VLOOKUP(A4772,[3]DOORSCRIEFT!$A$2:$G$8551,3,FALSE),"")</f>
        <v/>
      </c>
      <c r="E4772" s="317" t="str">
        <f>IFERROR(VLOOKUP(A4772,[3]DOORSCRIEFT!$A$2:$G$8551,4,FALSE),"")</f>
        <v/>
      </c>
      <c r="F4772" s="316" t="str">
        <f>IFERROR(VLOOKUP(A4772,[3]DOORSCRIEFT!$A$2:$G$8551,6,FALSE),"")</f>
        <v/>
      </c>
      <c r="G4772" s="315"/>
    </row>
    <row r="4773" spans="1:7" x14ac:dyDescent="0.25">
      <c r="A4773" s="321" t="str">
        <f t="shared" si="144"/>
        <v>I.3.1.4.05.00113</v>
      </c>
      <c r="B4773" s="321">
        <v>13</v>
      </c>
      <c r="C4773" s="319" t="str">
        <f>IFERROR(VLOOKUP(A4773,[3]DOORSCRIEFT!$A$2:$G$8551,2,FALSE),"")</f>
        <v/>
      </c>
      <c r="D4773" s="318" t="str">
        <f>IFERROR(VLOOKUP(A4773,[3]DOORSCRIEFT!$A$2:$G$8551,3,FALSE),"")</f>
        <v/>
      </c>
      <c r="E4773" s="317" t="str">
        <f>IFERROR(VLOOKUP(A4773,[3]DOORSCRIEFT!$A$2:$G$8551,4,FALSE),"")</f>
        <v/>
      </c>
      <c r="F4773" s="316" t="str">
        <f>IFERROR(VLOOKUP(A4773,[3]DOORSCRIEFT!$A$2:$G$8551,6,FALSE),"")</f>
        <v/>
      </c>
      <c r="G4773" s="315"/>
    </row>
    <row r="4774" spans="1:7" x14ac:dyDescent="0.25">
      <c r="A4774" s="321" t="str">
        <f t="shared" si="144"/>
        <v>I.3.1.4.05.00114</v>
      </c>
      <c r="B4774" s="321">
        <v>14</v>
      </c>
      <c r="C4774" s="319" t="str">
        <f>IFERROR(VLOOKUP(A4774,[3]DOORSCRIEFT!$A$2:$G$8551,2,FALSE),"")</f>
        <v/>
      </c>
      <c r="D4774" s="318" t="str">
        <f>IFERROR(VLOOKUP(A4774,[3]DOORSCRIEFT!$A$2:$G$8551,3,FALSE),"")</f>
        <v/>
      </c>
      <c r="E4774" s="317" t="str">
        <f>IFERROR(VLOOKUP(A4774,[3]DOORSCRIEFT!$A$2:$G$8551,4,FALSE),"")</f>
        <v/>
      </c>
      <c r="F4774" s="316" t="str">
        <f>IFERROR(VLOOKUP(A4774,[3]DOORSCRIEFT!$A$2:$G$8551,6,FALSE),"")</f>
        <v/>
      </c>
      <c r="G4774" s="315"/>
    </row>
    <row r="4775" spans="1:7" ht="15.75" thickBot="1" x14ac:dyDescent="0.3">
      <c r="A4775" s="342" t="str">
        <f t="shared" si="144"/>
        <v>I.3.1.4.05.00115</v>
      </c>
      <c r="B4775" s="342">
        <v>15</v>
      </c>
      <c r="C4775" s="319" t="str">
        <f>IFERROR(VLOOKUP(A4775,[3]DOORSCRIEFT!$A$2:$G$8551,2,FALSE),"")</f>
        <v/>
      </c>
      <c r="D4775" s="318" t="str">
        <f>IFERROR(VLOOKUP(A4775,[3]DOORSCRIEFT!$A$2:$G$8551,3,FALSE),"")</f>
        <v/>
      </c>
      <c r="E4775" s="317" t="str">
        <f>IFERROR(VLOOKUP(A4775,[3]DOORSCRIEFT!$A$2:$G$8551,4,FALSE),"")</f>
        <v/>
      </c>
      <c r="F4775" s="316" t="str">
        <f>IFERROR(VLOOKUP(A4775,[3]DOORSCRIEFT!$A$2:$G$8551,6,FALSE),"")</f>
        <v/>
      </c>
      <c r="G4775" s="315"/>
    </row>
    <row r="4776" spans="1:7" ht="15.75" thickBot="1" x14ac:dyDescent="0.3">
      <c r="A4776" s="341"/>
      <c r="B4776" s="340"/>
      <c r="C4776" s="336"/>
      <c r="D4776" s="312"/>
      <c r="E4776" s="311" t="s">
        <v>644</v>
      </c>
      <c r="F4776" s="310">
        <f>SUM(F4761:F4775)</f>
        <v>0</v>
      </c>
      <c r="G4776" s="309">
        <f>SUM(G4761:G4775)</f>
        <v>0</v>
      </c>
    </row>
    <row r="4777" spans="1:7" x14ac:dyDescent="0.25">
      <c r="C4777" s="335"/>
    </row>
    <row r="4778" spans="1:7" x14ac:dyDescent="0.25">
      <c r="C4778" s="335"/>
    </row>
    <row r="4779" spans="1:7" ht="15.75" x14ac:dyDescent="0.25">
      <c r="C4779" s="334"/>
      <c r="D4779" s="333"/>
      <c r="E4779" s="332"/>
      <c r="F4779" s="327" t="s">
        <v>607</v>
      </c>
      <c r="G4779" s="327" t="s">
        <v>350</v>
      </c>
    </row>
    <row r="4780" spans="1:7" ht="15.75" x14ac:dyDescent="0.25">
      <c r="C4780" s="334"/>
      <c r="D4780" s="333"/>
      <c r="E4780" s="332"/>
      <c r="F4780" s="327" t="s">
        <v>601</v>
      </c>
      <c r="G4780" s="327" t="s">
        <v>85</v>
      </c>
    </row>
    <row r="4781" spans="1:7" x14ac:dyDescent="0.25">
      <c r="C4781" s="330"/>
      <c r="D4781" s="329"/>
      <c r="E4781" s="328"/>
      <c r="F4781" s="327" t="s">
        <v>651</v>
      </c>
      <c r="G4781" s="331">
        <f>[2]Sheet1!$D$154</f>
        <v>0</v>
      </c>
    </row>
    <row r="4782" spans="1:7" ht="15.75" thickBot="1" x14ac:dyDescent="0.3">
      <c r="C4782" s="330"/>
      <c r="D4782" s="329"/>
      <c r="E4782" s="328"/>
      <c r="F4782" s="327" t="s">
        <v>650</v>
      </c>
      <c r="G4782" s="326">
        <f>+F4801-G4781</f>
        <v>0</v>
      </c>
    </row>
    <row r="4783" spans="1:7" x14ac:dyDescent="0.25">
      <c r="A4783" s="573" t="s">
        <v>626</v>
      </c>
      <c r="B4783" s="584" t="s">
        <v>606</v>
      </c>
      <c r="C4783" s="588" t="s">
        <v>649</v>
      </c>
      <c r="D4783" s="577" t="s">
        <v>648</v>
      </c>
      <c r="E4783" s="577" t="s">
        <v>647</v>
      </c>
      <c r="F4783" s="577" t="s">
        <v>646</v>
      </c>
      <c r="G4783" s="580" t="s">
        <v>645</v>
      </c>
    </row>
    <row r="4784" spans="1:7" ht="15.75" thickBot="1" x14ac:dyDescent="0.3">
      <c r="A4784" s="574"/>
      <c r="B4784" s="585"/>
      <c r="C4784" s="589"/>
      <c r="D4784" s="586"/>
      <c r="E4784" s="586"/>
      <c r="F4784" s="586"/>
      <c r="G4784" s="587"/>
    </row>
    <row r="4785" spans="1:7" ht="15.75" thickBot="1" x14ac:dyDescent="0.3">
      <c r="A4785" s="325">
        <v>1</v>
      </c>
      <c r="B4785" s="324">
        <v>2</v>
      </c>
      <c r="C4785" s="324">
        <v>3</v>
      </c>
      <c r="D4785" s="324">
        <v>4</v>
      </c>
      <c r="E4785" s="324">
        <v>5</v>
      </c>
      <c r="F4785" s="324">
        <v>6</v>
      </c>
      <c r="G4785" s="323">
        <v>7</v>
      </c>
    </row>
    <row r="4786" spans="1:7" x14ac:dyDescent="0.25">
      <c r="A4786" s="320" t="str">
        <f t="shared" ref="A4786:A4800" si="145">$G$4779&amp;B4786</f>
        <v>I.3.1.4.06.0011</v>
      </c>
      <c r="B4786" s="320">
        <v>1</v>
      </c>
      <c r="C4786" s="319" t="str">
        <f>IFERROR(VLOOKUP(A4786,[3]DOORSCRIEFT!$A$2:$G$8551,2,FALSE),"")</f>
        <v/>
      </c>
      <c r="D4786" s="318" t="str">
        <f>IFERROR(VLOOKUP(A4786,[3]DOORSCRIEFT!$A$2:$G$8551,3,FALSE),"")</f>
        <v/>
      </c>
      <c r="E4786" s="317" t="str">
        <f>IFERROR(VLOOKUP(A4786,[3]DOORSCRIEFT!$A$2:$G$8551,4,FALSE),"")</f>
        <v/>
      </c>
      <c r="F4786" s="316" t="str">
        <f>IFERROR(VLOOKUP(A4786,[3]DOORSCRIEFT!$A$2:$G$8551,6,FALSE),"")</f>
        <v/>
      </c>
      <c r="G4786" s="322"/>
    </row>
    <row r="4787" spans="1:7" x14ac:dyDescent="0.25">
      <c r="A4787" s="321" t="str">
        <f t="shared" si="145"/>
        <v>I.3.1.4.06.0012</v>
      </c>
      <c r="B4787" s="321">
        <v>2</v>
      </c>
      <c r="C4787" s="319" t="str">
        <f>IFERROR(VLOOKUP(A4787,[3]DOORSCRIEFT!$A$2:$G$8551,2,FALSE),"")</f>
        <v/>
      </c>
      <c r="D4787" s="318" t="str">
        <f>IFERROR(VLOOKUP(A4787,[3]DOORSCRIEFT!$A$2:$G$8551,3,FALSE),"")</f>
        <v/>
      </c>
      <c r="E4787" s="317" t="str">
        <f>IFERROR(VLOOKUP(A4787,[3]DOORSCRIEFT!$A$2:$G$8551,4,FALSE),"")</f>
        <v/>
      </c>
      <c r="F4787" s="316" t="str">
        <f>IFERROR(VLOOKUP(A4787,[3]DOORSCRIEFT!$A$2:$G$8551,6,FALSE),"")</f>
        <v/>
      </c>
      <c r="G4787" s="315"/>
    </row>
    <row r="4788" spans="1:7" x14ac:dyDescent="0.25">
      <c r="A4788" s="321" t="str">
        <f t="shared" si="145"/>
        <v>I.3.1.4.06.0013</v>
      </c>
      <c r="B4788" s="321">
        <v>3</v>
      </c>
      <c r="C4788" s="319" t="str">
        <f>IFERROR(VLOOKUP(A4788,[3]DOORSCRIEFT!$A$2:$G$8551,2,FALSE),"")</f>
        <v/>
      </c>
      <c r="D4788" s="318" t="str">
        <f>IFERROR(VLOOKUP(A4788,[3]DOORSCRIEFT!$A$2:$G$8551,3,FALSE),"")</f>
        <v/>
      </c>
      <c r="E4788" s="317" t="str">
        <f>IFERROR(VLOOKUP(A4788,[3]DOORSCRIEFT!$A$2:$G$8551,4,FALSE),"")</f>
        <v/>
      </c>
      <c r="F4788" s="316" t="str">
        <f>IFERROR(VLOOKUP(A4788,[3]DOORSCRIEFT!$A$2:$G$8551,6,FALSE),"")</f>
        <v/>
      </c>
      <c r="G4788" s="315"/>
    </row>
    <row r="4789" spans="1:7" x14ac:dyDescent="0.25">
      <c r="A4789" s="321" t="str">
        <f t="shared" si="145"/>
        <v>I.3.1.4.06.0014</v>
      </c>
      <c r="B4789" s="321">
        <v>4</v>
      </c>
      <c r="C4789" s="319" t="str">
        <f>IFERROR(VLOOKUP(A4789,[3]DOORSCRIEFT!$A$2:$G$8551,2,FALSE),"")</f>
        <v/>
      </c>
      <c r="D4789" s="318" t="str">
        <f>IFERROR(VLOOKUP(A4789,[3]DOORSCRIEFT!$A$2:$G$8551,3,FALSE),"")</f>
        <v/>
      </c>
      <c r="E4789" s="317" t="str">
        <f>IFERROR(VLOOKUP(A4789,[3]DOORSCRIEFT!$A$2:$G$8551,4,FALSE),"")</f>
        <v/>
      </c>
      <c r="F4789" s="316" t="str">
        <f>IFERROR(VLOOKUP(A4789,[3]DOORSCRIEFT!$A$2:$G$8551,6,FALSE),"")</f>
        <v/>
      </c>
      <c r="G4789" s="315"/>
    </row>
    <row r="4790" spans="1:7" x14ac:dyDescent="0.25">
      <c r="A4790" s="321" t="str">
        <f t="shared" si="145"/>
        <v>I.3.1.4.06.0015</v>
      </c>
      <c r="B4790" s="321">
        <v>5</v>
      </c>
      <c r="C4790" s="319" t="str">
        <f>IFERROR(VLOOKUP(A4790,[3]DOORSCRIEFT!$A$2:$G$8551,2,FALSE),"")</f>
        <v/>
      </c>
      <c r="D4790" s="318" t="str">
        <f>IFERROR(VLOOKUP(A4790,[3]DOORSCRIEFT!$A$2:$G$8551,3,FALSE),"")</f>
        <v/>
      </c>
      <c r="E4790" s="317" t="str">
        <f>IFERROR(VLOOKUP(A4790,[3]DOORSCRIEFT!$A$2:$G$8551,4,FALSE),"")</f>
        <v/>
      </c>
      <c r="F4790" s="316" t="str">
        <f>IFERROR(VLOOKUP(A4790,[3]DOORSCRIEFT!$A$2:$G$8551,6,FALSE),"")</f>
        <v/>
      </c>
      <c r="G4790" s="315"/>
    </row>
    <row r="4791" spans="1:7" x14ac:dyDescent="0.25">
      <c r="A4791" s="321" t="str">
        <f t="shared" si="145"/>
        <v>I.3.1.4.06.0016</v>
      </c>
      <c r="B4791" s="321">
        <v>6</v>
      </c>
      <c r="C4791" s="319" t="str">
        <f>IFERROR(VLOOKUP(A4791,[3]DOORSCRIEFT!$A$2:$G$8551,2,FALSE),"")</f>
        <v/>
      </c>
      <c r="D4791" s="318" t="str">
        <f>IFERROR(VLOOKUP(A4791,[3]DOORSCRIEFT!$A$2:$G$8551,3,FALSE),"")</f>
        <v/>
      </c>
      <c r="E4791" s="317" t="str">
        <f>IFERROR(VLOOKUP(A4791,[3]DOORSCRIEFT!$A$2:$G$8551,4,FALSE),"")</f>
        <v/>
      </c>
      <c r="F4791" s="316" t="str">
        <f>IFERROR(VLOOKUP(A4791,[3]DOORSCRIEFT!$A$2:$G$8551,6,FALSE),"")</f>
        <v/>
      </c>
      <c r="G4791" s="315"/>
    </row>
    <row r="4792" spans="1:7" x14ac:dyDescent="0.25">
      <c r="A4792" s="321" t="str">
        <f t="shared" si="145"/>
        <v>I.3.1.4.06.0017</v>
      </c>
      <c r="B4792" s="321">
        <v>7</v>
      </c>
      <c r="C4792" s="319" t="str">
        <f>IFERROR(VLOOKUP(A4792,[3]DOORSCRIEFT!$A$2:$G$8551,2,FALSE),"")</f>
        <v/>
      </c>
      <c r="D4792" s="318" t="str">
        <f>IFERROR(VLOOKUP(A4792,[3]DOORSCRIEFT!$A$2:$G$8551,3,FALSE),"")</f>
        <v/>
      </c>
      <c r="E4792" s="317" t="str">
        <f>IFERROR(VLOOKUP(A4792,[3]DOORSCRIEFT!$A$2:$G$8551,4,FALSE),"")</f>
        <v/>
      </c>
      <c r="F4792" s="316" t="str">
        <f>IFERROR(VLOOKUP(A4792,[3]DOORSCRIEFT!$A$2:$G$8551,6,FALSE),"")</f>
        <v/>
      </c>
      <c r="G4792" s="315"/>
    </row>
    <row r="4793" spans="1:7" x14ac:dyDescent="0.25">
      <c r="A4793" s="321" t="str">
        <f t="shared" si="145"/>
        <v>I.3.1.4.06.0018</v>
      </c>
      <c r="B4793" s="321">
        <v>8</v>
      </c>
      <c r="C4793" s="319" t="str">
        <f>IFERROR(VLOOKUP(A4793,[3]DOORSCRIEFT!$A$2:$G$8551,2,FALSE),"")</f>
        <v/>
      </c>
      <c r="D4793" s="318" t="str">
        <f>IFERROR(VLOOKUP(A4793,[3]DOORSCRIEFT!$A$2:$G$8551,3,FALSE),"")</f>
        <v/>
      </c>
      <c r="E4793" s="317" t="str">
        <f>IFERROR(VLOOKUP(A4793,[3]DOORSCRIEFT!$A$2:$G$8551,4,FALSE),"")</f>
        <v/>
      </c>
      <c r="F4793" s="316" t="str">
        <f>IFERROR(VLOOKUP(A4793,[3]DOORSCRIEFT!$A$2:$G$8551,6,FALSE),"")</f>
        <v/>
      </c>
      <c r="G4793" s="315"/>
    </row>
    <row r="4794" spans="1:7" x14ac:dyDescent="0.25">
      <c r="A4794" s="321" t="str">
        <f t="shared" si="145"/>
        <v>I.3.1.4.06.0019</v>
      </c>
      <c r="B4794" s="321">
        <v>9</v>
      </c>
      <c r="C4794" s="319" t="str">
        <f>IFERROR(VLOOKUP(A4794,[3]DOORSCRIEFT!$A$2:$G$8551,2,FALSE),"")</f>
        <v/>
      </c>
      <c r="D4794" s="318" t="str">
        <f>IFERROR(VLOOKUP(A4794,[3]DOORSCRIEFT!$A$2:$G$8551,3,FALSE),"")</f>
        <v/>
      </c>
      <c r="E4794" s="317" t="str">
        <f>IFERROR(VLOOKUP(A4794,[3]DOORSCRIEFT!$A$2:$G$8551,4,FALSE),"")</f>
        <v/>
      </c>
      <c r="F4794" s="316" t="str">
        <f>IFERROR(VLOOKUP(A4794,[3]DOORSCRIEFT!$A$2:$G$8551,6,FALSE),"")</f>
        <v/>
      </c>
      <c r="G4794" s="315"/>
    </row>
    <row r="4795" spans="1:7" x14ac:dyDescent="0.25">
      <c r="A4795" s="321" t="str">
        <f t="shared" si="145"/>
        <v>I.3.1.4.06.00110</v>
      </c>
      <c r="B4795" s="321">
        <v>10</v>
      </c>
      <c r="C4795" s="319" t="str">
        <f>IFERROR(VLOOKUP(A4795,[3]DOORSCRIEFT!$A$2:$G$8551,2,FALSE),"")</f>
        <v/>
      </c>
      <c r="D4795" s="318" t="str">
        <f>IFERROR(VLOOKUP(A4795,[3]DOORSCRIEFT!$A$2:$G$8551,3,FALSE),"")</f>
        <v/>
      </c>
      <c r="E4795" s="317" t="str">
        <f>IFERROR(VLOOKUP(A4795,[3]DOORSCRIEFT!$A$2:$G$8551,4,FALSE),"")</f>
        <v/>
      </c>
      <c r="F4795" s="316" t="str">
        <f>IFERROR(VLOOKUP(A4795,[3]DOORSCRIEFT!$A$2:$G$8551,6,FALSE),"")</f>
        <v/>
      </c>
      <c r="G4795" s="315"/>
    </row>
    <row r="4796" spans="1:7" x14ac:dyDescent="0.25">
      <c r="A4796" s="321" t="str">
        <f t="shared" si="145"/>
        <v>I.3.1.4.06.00111</v>
      </c>
      <c r="B4796" s="321">
        <v>11</v>
      </c>
      <c r="C4796" s="319" t="str">
        <f>IFERROR(VLOOKUP(A4796,[3]DOORSCRIEFT!$A$2:$G$8551,2,FALSE),"")</f>
        <v/>
      </c>
      <c r="D4796" s="318" t="str">
        <f>IFERROR(VLOOKUP(A4796,[3]DOORSCRIEFT!$A$2:$G$8551,3,FALSE),"")</f>
        <v/>
      </c>
      <c r="E4796" s="317" t="str">
        <f>IFERROR(VLOOKUP(A4796,[3]DOORSCRIEFT!$A$2:$G$8551,4,FALSE),"")</f>
        <v/>
      </c>
      <c r="F4796" s="316" t="str">
        <f>IFERROR(VLOOKUP(A4796,[3]DOORSCRIEFT!$A$2:$G$8551,6,FALSE),"")</f>
        <v/>
      </c>
      <c r="G4796" s="315"/>
    </row>
    <row r="4797" spans="1:7" x14ac:dyDescent="0.25">
      <c r="A4797" s="321" t="str">
        <f t="shared" si="145"/>
        <v>I.3.1.4.06.00112</v>
      </c>
      <c r="B4797" s="321">
        <v>12</v>
      </c>
      <c r="C4797" s="319" t="str">
        <f>IFERROR(VLOOKUP(A4797,[3]DOORSCRIEFT!$A$2:$G$8551,2,FALSE),"")</f>
        <v/>
      </c>
      <c r="D4797" s="318" t="str">
        <f>IFERROR(VLOOKUP(A4797,[3]DOORSCRIEFT!$A$2:$G$8551,3,FALSE),"")</f>
        <v/>
      </c>
      <c r="E4797" s="317" t="str">
        <f>IFERROR(VLOOKUP(A4797,[3]DOORSCRIEFT!$A$2:$G$8551,4,FALSE),"")</f>
        <v/>
      </c>
      <c r="F4797" s="316" t="str">
        <f>IFERROR(VLOOKUP(A4797,[3]DOORSCRIEFT!$A$2:$G$8551,6,FALSE),"")</f>
        <v/>
      </c>
      <c r="G4797" s="315"/>
    </row>
    <row r="4798" spans="1:7" x14ac:dyDescent="0.25">
      <c r="A4798" s="321" t="str">
        <f t="shared" si="145"/>
        <v>I.3.1.4.06.00113</v>
      </c>
      <c r="B4798" s="321">
        <v>13</v>
      </c>
      <c r="C4798" s="319" t="str">
        <f>IFERROR(VLOOKUP(A4798,[3]DOORSCRIEFT!$A$2:$G$8551,2,FALSE),"")</f>
        <v/>
      </c>
      <c r="D4798" s="318" t="str">
        <f>IFERROR(VLOOKUP(A4798,[3]DOORSCRIEFT!$A$2:$G$8551,3,FALSE),"")</f>
        <v/>
      </c>
      <c r="E4798" s="317" t="str">
        <f>IFERROR(VLOOKUP(A4798,[3]DOORSCRIEFT!$A$2:$G$8551,4,FALSE),"")</f>
        <v/>
      </c>
      <c r="F4798" s="316" t="str">
        <f>IFERROR(VLOOKUP(A4798,[3]DOORSCRIEFT!$A$2:$G$8551,6,FALSE),"")</f>
        <v/>
      </c>
      <c r="G4798" s="315"/>
    </row>
    <row r="4799" spans="1:7" x14ac:dyDescent="0.25">
      <c r="A4799" s="321" t="str">
        <f t="shared" si="145"/>
        <v>I.3.1.4.06.00114</v>
      </c>
      <c r="B4799" s="321">
        <v>14</v>
      </c>
      <c r="C4799" s="319" t="str">
        <f>IFERROR(VLOOKUP(A4799,[3]DOORSCRIEFT!$A$2:$G$8551,2,FALSE),"")</f>
        <v/>
      </c>
      <c r="D4799" s="318" t="str">
        <f>IFERROR(VLOOKUP(A4799,[3]DOORSCRIEFT!$A$2:$G$8551,3,FALSE),"")</f>
        <v/>
      </c>
      <c r="E4799" s="317" t="str">
        <f>IFERROR(VLOOKUP(A4799,[3]DOORSCRIEFT!$A$2:$G$8551,4,FALSE),"")</f>
        <v/>
      </c>
      <c r="F4799" s="316" t="str">
        <f>IFERROR(VLOOKUP(A4799,[3]DOORSCRIEFT!$A$2:$G$8551,6,FALSE),"")</f>
        <v/>
      </c>
      <c r="G4799" s="315"/>
    </row>
    <row r="4800" spans="1:7" ht="15.75" thickBot="1" x14ac:dyDescent="0.3">
      <c r="A4800" s="342" t="str">
        <f t="shared" si="145"/>
        <v>I.3.1.4.06.00115</v>
      </c>
      <c r="B4800" s="342">
        <v>15</v>
      </c>
      <c r="C4800" s="319" t="str">
        <f>IFERROR(VLOOKUP(A4800,[3]DOORSCRIEFT!$A$2:$G$8551,2,FALSE),"")</f>
        <v/>
      </c>
      <c r="D4800" s="318" t="str">
        <f>IFERROR(VLOOKUP(A4800,[3]DOORSCRIEFT!$A$2:$G$8551,3,FALSE),"")</f>
        <v/>
      </c>
      <c r="E4800" s="317" t="str">
        <f>IFERROR(VLOOKUP(A4800,[3]DOORSCRIEFT!$A$2:$G$8551,4,FALSE),"")</f>
        <v/>
      </c>
      <c r="F4800" s="316" t="str">
        <f>IFERROR(VLOOKUP(A4800,[3]DOORSCRIEFT!$A$2:$G$8551,6,FALSE),"")</f>
        <v/>
      </c>
      <c r="G4800" s="315"/>
    </row>
    <row r="4801" spans="1:7" ht="15.75" thickBot="1" x14ac:dyDescent="0.3">
      <c r="A4801" s="341"/>
      <c r="B4801" s="340"/>
      <c r="C4801" s="336"/>
      <c r="D4801" s="312"/>
      <c r="E4801" s="311" t="s">
        <v>644</v>
      </c>
      <c r="F4801" s="310">
        <f>SUM(F4786:F4800)</f>
        <v>0</v>
      </c>
      <c r="G4801" s="309">
        <f>SUM(G4786:G4800)</f>
        <v>0</v>
      </c>
    </row>
    <row r="4802" spans="1:7" x14ac:dyDescent="0.25">
      <c r="C4802" s="335"/>
    </row>
    <row r="4803" spans="1:7" x14ac:dyDescent="0.25">
      <c r="C4803" s="335"/>
    </row>
    <row r="4804" spans="1:7" ht="15.75" x14ac:dyDescent="0.25">
      <c r="C4804" s="334"/>
      <c r="D4804" s="333"/>
      <c r="E4804" s="332"/>
      <c r="F4804" s="327" t="s">
        <v>607</v>
      </c>
      <c r="G4804" s="327" t="s">
        <v>349</v>
      </c>
    </row>
    <row r="4805" spans="1:7" ht="15.75" x14ac:dyDescent="0.25">
      <c r="C4805" s="334"/>
      <c r="D4805" s="333"/>
      <c r="E4805" s="332"/>
      <c r="F4805" s="327" t="s">
        <v>601</v>
      </c>
      <c r="G4805" s="327" t="s">
        <v>83</v>
      </c>
    </row>
    <row r="4806" spans="1:7" x14ac:dyDescent="0.25">
      <c r="C4806" s="330"/>
      <c r="D4806" s="329"/>
      <c r="E4806" s="328"/>
      <c r="F4806" s="327" t="s">
        <v>651</v>
      </c>
      <c r="G4806" s="331">
        <f>[2]Sheet1!$D$155</f>
        <v>0</v>
      </c>
    </row>
    <row r="4807" spans="1:7" ht="15.75" thickBot="1" x14ac:dyDescent="0.3">
      <c r="C4807" s="330"/>
      <c r="D4807" s="329"/>
      <c r="E4807" s="328"/>
      <c r="F4807" s="327" t="s">
        <v>650</v>
      </c>
      <c r="G4807" s="326">
        <f>+F4826-G4806</f>
        <v>0</v>
      </c>
    </row>
    <row r="4808" spans="1:7" x14ac:dyDescent="0.25">
      <c r="A4808" s="573" t="s">
        <v>626</v>
      </c>
      <c r="B4808" s="584" t="s">
        <v>606</v>
      </c>
      <c r="C4808" s="588" t="s">
        <v>649</v>
      </c>
      <c r="D4808" s="577" t="s">
        <v>648</v>
      </c>
      <c r="E4808" s="577" t="s">
        <v>647</v>
      </c>
      <c r="F4808" s="577" t="s">
        <v>646</v>
      </c>
      <c r="G4808" s="580" t="s">
        <v>645</v>
      </c>
    </row>
    <row r="4809" spans="1:7" ht="15.75" thickBot="1" x14ac:dyDescent="0.3">
      <c r="A4809" s="574"/>
      <c r="B4809" s="585"/>
      <c r="C4809" s="589"/>
      <c r="D4809" s="586"/>
      <c r="E4809" s="586"/>
      <c r="F4809" s="586"/>
      <c r="G4809" s="587"/>
    </row>
    <row r="4810" spans="1:7" ht="15.75" thickBot="1" x14ac:dyDescent="0.3">
      <c r="A4810" s="325">
        <v>1</v>
      </c>
      <c r="B4810" s="324">
        <v>2</v>
      </c>
      <c r="C4810" s="324">
        <v>3</v>
      </c>
      <c r="D4810" s="324">
        <v>4</v>
      </c>
      <c r="E4810" s="324">
        <v>5</v>
      </c>
      <c r="F4810" s="324">
        <v>6</v>
      </c>
      <c r="G4810" s="323">
        <v>7</v>
      </c>
    </row>
    <row r="4811" spans="1:7" x14ac:dyDescent="0.25">
      <c r="A4811" s="320" t="str">
        <f t="shared" ref="A4811:A4825" si="146">$G$4804&amp;B4811</f>
        <v>I.3.1.4.06.0021</v>
      </c>
      <c r="B4811" s="320">
        <v>1</v>
      </c>
      <c r="C4811" s="319" t="str">
        <f>IFERROR(VLOOKUP(A4811,[3]DOORSCRIEFT!$A$2:$G$8551,2,FALSE),"")</f>
        <v/>
      </c>
      <c r="D4811" s="318" t="str">
        <f>IFERROR(VLOOKUP(A4811,[3]DOORSCRIEFT!$A$2:$G$8551,3,FALSE),"")</f>
        <v/>
      </c>
      <c r="E4811" s="317" t="str">
        <f>IFERROR(VLOOKUP(A4811,[3]DOORSCRIEFT!$A$2:$G$8551,4,FALSE),"")</f>
        <v/>
      </c>
      <c r="F4811" s="316" t="str">
        <f>IFERROR(VLOOKUP(A4811,[3]DOORSCRIEFT!$A$2:$G$8551,6,FALSE),"")</f>
        <v/>
      </c>
      <c r="G4811" s="322"/>
    </row>
    <row r="4812" spans="1:7" x14ac:dyDescent="0.25">
      <c r="A4812" s="321" t="str">
        <f t="shared" si="146"/>
        <v>I.3.1.4.06.0022</v>
      </c>
      <c r="B4812" s="321">
        <v>2</v>
      </c>
      <c r="C4812" s="319" t="str">
        <f>IFERROR(VLOOKUP(A4812,[3]DOORSCRIEFT!$A$2:$G$8551,2,FALSE),"")</f>
        <v/>
      </c>
      <c r="D4812" s="318" t="str">
        <f>IFERROR(VLOOKUP(A4812,[3]DOORSCRIEFT!$A$2:$G$8551,3,FALSE),"")</f>
        <v/>
      </c>
      <c r="E4812" s="317" t="str">
        <f>IFERROR(VLOOKUP(A4812,[3]DOORSCRIEFT!$A$2:$G$8551,4,FALSE),"")</f>
        <v/>
      </c>
      <c r="F4812" s="316" t="str">
        <f>IFERROR(VLOOKUP(A4812,[3]DOORSCRIEFT!$A$2:$G$8551,6,FALSE),"")</f>
        <v/>
      </c>
      <c r="G4812" s="315"/>
    </row>
    <row r="4813" spans="1:7" x14ac:dyDescent="0.25">
      <c r="A4813" s="321" t="str">
        <f t="shared" si="146"/>
        <v>I.3.1.4.06.0023</v>
      </c>
      <c r="B4813" s="321">
        <v>3</v>
      </c>
      <c r="C4813" s="319" t="str">
        <f>IFERROR(VLOOKUP(A4813,[3]DOORSCRIEFT!$A$2:$G$8551,2,FALSE),"")</f>
        <v/>
      </c>
      <c r="D4813" s="318" t="str">
        <f>IFERROR(VLOOKUP(A4813,[3]DOORSCRIEFT!$A$2:$G$8551,3,FALSE),"")</f>
        <v/>
      </c>
      <c r="E4813" s="317" t="str">
        <f>IFERROR(VLOOKUP(A4813,[3]DOORSCRIEFT!$A$2:$G$8551,4,FALSE),"")</f>
        <v/>
      </c>
      <c r="F4813" s="316" t="str">
        <f>IFERROR(VLOOKUP(A4813,[3]DOORSCRIEFT!$A$2:$G$8551,6,FALSE),"")</f>
        <v/>
      </c>
      <c r="G4813" s="315"/>
    </row>
    <row r="4814" spans="1:7" x14ac:dyDescent="0.25">
      <c r="A4814" s="321" t="str">
        <f t="shared" si="146"/>
        <v>I.3.1.4.06.0024</v>
      </c>
      <c r="B4814" s="321">
        <v>4</v>
      </c>
      <c r="C4814" s="319" t="str">
        <f>IFERROR(VLOOKUP(A4814,[3]DOORSCRIEFT!$A$2:$G$8551,2,FALSE),"")</f>
        <v/>
      </c>
      <c r="D4814" s="318" t="str">
        <f>IFERROR(VLOOKUP(A4814,[3]DOORSCRIEFT!$A$2:$G$8551,3,FALSE),"")</f>
        <v/>
      </c>
      <c r="E4814" s="317" t="str">
        <f>IFERROR(VLOOKUP(A4814,[3]DOORSCRIEFT!$A$2:$G$8551,4,FALSE),"")</f>
        <v/>
      </c>
      <c r="F4814" s="316" t="str">
        <f>IFERROR(VLOOKUP(A4814,[3]DOORSCRIEFT!$A$2:$G$8551,6,FALSE),"")</f>
        <v/>
      </c>
      <c r="G4814" s="315"/>
    </row>
    <row r="4815" spans="1:7" x14ac:dyDescent="0.25">
      <c r="A4815" s="321" t="str">
        <f t="shared" si="146"/>
        <v>I.3.1.4.06.0025</v>
      </c>
      <c r="B4815" s="321">
        <v>5</v>
      </c>
      <c r="C4815" s="319" t="str">
        <f>IFERROR(VLOOKUP(A4815,[3]DOORSCRIEFT!$A$2:$G$8551,2,FALSE),"")</f>
        <v/>
      </c>
      <c r="D4815" s="318" t="str">
        <f>IFERROR(VLOOKUP(A4815,[3]DOORSCRIEFT!$A$2:$G$8551,3,FALSE),"")</f>
        <v/>
      </c>
      <c r="E4815" s="317" t="str">
        <f>IFERROR(VLOOKUP(A4815,[3]DOORSCRIEFT!$A$2:$G$8551,4,FALSE),"")</f>
        <v/>
      </c>
      <c r="F4815" s="316" t="str">
        <f>IFERROR(VLOOKUP(A4815,[3]DOORSCRIEFT!$A$2:$G$8551,6,FALSE),"")</f>
        <v/>
      </c>
      <c r="G4815" s="315"/>
    </row>
    <row r="4816" spans="1:7" x14ac:dyDescent="0.25">
      <c r="A4816" s="321" t="str">
        <f t="shared" si="146"/>
        <v>I.3.1.4.06.0026</v>
      </c>
      <c r="B4816" s="321">
        <v>6</v>
      </c>
      <c r="C4816" s="319" t="str">
        <f>IFERROR(VLOOKUP(A4816,[3]DOORSCRIEFT!$A$2:$G$8551,2,FALSE),"")</f>
        <v/>
      </c>
      <c r="D4816" s="318" t="str">
        <f>IFERROR(VLOOKUP(A4816,[3]DOORSCRIEFT!$A$2:$G$8551,3,FALSE),"")</f>
        <v/>
      </c>
      <c r="E4816" s="317" t="str">
        <f>IFERROR(VLOOKUP(A4816,[3]DOORSCRIEFT!$A$2:$G$8551,4,FALSE),"")</f>
        <v/>
      </c>
      <c r="F4816" s="316" t="str">
        <f>IFERROR(VLOOKUP(A4816,[3]DOORSCRIEFT!$A$2:$G$8551,6,FALSE),"")</f>
        <v/>
      </c>
      <c r="G4816" s="315"/>
    </row>
    <row r="4817" spans="1:7" x14ac:dyDescent="0.25">
      <c r="A4817" s="321" t="str">
        <f t="shared" si="146"/>
        <v>I.3.1.4.06.0027</v>
      </c>
      <c r="B4817" s="321">
        <v>7</v>
      </c>
      <c r="C4817" s="319" t="str">
        <f>IFERROR(VLOOKUP(A4817,[3]DOORSCRIEFT!$A$2:$G$8551,2,FALSE),"")</f>
        <v/>
      </c>
      <c r="D4817" s="318" t="str">
        <f>IFERROR(VLOOKUP(A4817,[3]DOORSCRIEFT!$A$2:$G$8551,3,FALSE),"")</f>
        <v/>
      </c>
      <c r="E4817" s="317" t="str">
        <f>IFERROR(VLOOKUP(A4817,[3]DOORSCRIEFT!$A$2:$G$8551,4,FALSE),"")</f>
        <v/>
      </c>
      <c r="F4817" s="316" t="str">
        <f>IFERROR(VLOOKUP(A4817,[3]DOORSCRIEFT!$A$2:$G$8551,6,FALSE),"")</f>
        <v/>
      </c>
      <c r="G4817" s="315"/>
    </row>
    <row r="4818" spans="1:7" x14ac:dyDescent="0.25">
      <c r="A4818" s="321" t="str">
        <f t="shared" si="146"/>
        <v>I.3.1.4.06.0028</v>
      </c>
      <c r="B4818" s="321">
        <v>8</v>
      </c>
      <c r="C4818" s="319" t="str">
        <f>IFERROR(VLOOKUP(A4818,[3]DOORSCRIEFT!$A$2:$G$8551,2,FALSE),"")</f>
        <v/>
      </c>
      <c r="D4818" s="318" t="str">
        <f>IFERROR(VLOOKUP(A4818,[3]DOORSCRIEFT!$A$2:$G$8551,3,FALSE),"")</f>
        <v/>
      </c>
      <c r="E4818" s="317" t="str">
        <f>IFERROR(VLOOKUP(A4818,[3]DOORSCRIEFT!$A$2:$G$8551,4,FALSE),"")</f>
        <v/>
      </c>
      <c r="F4818" s="316" t="str">
        <f>IFERROR(VLOOKUP(A4818,[3]DOORSCRIEFT!$A$2:$G$8551,6,FALSE),"")</f>
        <v/>
      </c>
      <c r="G4818" s="315"/>
    </row>
    <row r="4819" spans="1:7" x14ac:dyDescent="0.25">
      <c r="A4819" s="321" t="str">
        <f t="shared" si="146"/>
        <v>I.3.1.4.06.0029</v>
      </c>
      <c r="B4819" s="321">
        <v>9</v>
      </c>
      <c r="C4819" s="319" t="str">
        <f>IFERROR(VLOOKUP(A4819,[3]DOORSCRIEFT!$A$2:$G$8551,2,FALSE),"")</f>
        <v/>
      </c>
      <c r="D4819" s="318" t="str">
        <f>IFERROR(VLOOKUP(A4819,[3]DOORSCRIEFT!$A$2:$G$8551,3,FALSE),"")</f>
        <v/>
      </c>
      <c r="E4819" s="317" t="str">
        <f>IFERROR(VLOOKUP(A4819,[3]DOORSCRIEFT!$A$2:$G$8551,4,FALSE),"")</f>
        <v/>
      </c>
      <c r="F4819" s="316" t="str">
        <f>IFERROR(VLOOKUP(A4819,[3]DOORSCRIEFT!$A$2:$G$8551,6,FALSE),"")</f>
        <v/>
      </c>
      <c r="G4819" s="315"/>
    </row>
    <row r="4820" spans="1:7" x14ac:dyDescent="0.25">
      <c r="A4820" s="321" t="str">
        <f t="shared" si="146"/>
        <v>I.3.1.4.06.00210</v>
      </c>
      <c r="B4820" s="321">
        <v>10</v>
      </c>
      <c r="C4820" s="319" t="str">
        <f>IFERROR(VLOOKUP(A4820,[3]DOORSCRIEFT!$A$2:$G$8551,2,FALSE),"")</f>
        <v/>
      </c>
      <c r="D4820" s="318" t="str">
        <f>IFERROR(VLOOKUP(A4820,[3]DOORSCRIEFT!$A$2:$G$8551,3,FALSE),"")</f>
        <v/>
      </c>
      <c r="E4820" s="317" t="str">
        <f>IFERROR(VLOOKUP(A4820,[3]DOORSCRIEFT!$A$2:$G$8551,4,FALSE),"")</f>
        <v/>
      </c>
      <c r="F4820" s="316" t="str">
        <f>IFERROR(VLOOKUP(A4820,[3]DOORSCRIEFT!$A$2:$G$8551,6,FALSE),"")</f>
        <v/>
      </c>
      <c r="G4820" s="315"/>
    </row>
    <row r="4821" spans="1:7" x14ac:dyDescent="0.25">
      <c r="A4821" s="321" t="str">
        <f t="shared" si="146"/>
        <v>I.3.1.4.06.00211</v>
      </c>
      <c r="B4821" s="321">
        <v>11</v>
      </c>
      <c r="C4821" s="319" t="str">
        <f>IFERROR(VLOOKUP(A4821,[3]DOORSCRIEFT!$A$2:$G$8551,2,FALSE),"")</f>
        <v/>
      </c>
      <c r="D4821" s="318" t="str">
        <f>IFERROR(VLOOKUP(A4821,[3]DOORSCRIEFT!$A$2:$G$8551,3,FALSE),"")</f>
        <v/>
      </c>
      <c r="E4821" s="317" t="str">
        <f>IFERROR(VLOOKUP(A4821,[3]DOORSCRIEFT!$A$2:$G$8551,4,FALSE),"")</f>
        <v/>
      </c>
      <c r="F4821" s="316" t="str">
        <f>IFERROR(VLOOKUP(A4821,[3]DOORSCRIEFT!$A$2:$G$8551,6,FALSE),"")</f>
        <v/>
      </c>
      <c r="G4821" s="315"/>
    </row>
    <row r="4822" spans="1:7" x14ac:dyDescent="0.25">
      <c r="A4822" s="321" t="str">
        <f t="shared" si="146"/>
        <v>I.3.1.4.06.00212</v>
      </c>
      <c r="B4822" s="321">
        <v>12</v>
      </c>
      <c r="C4822" s="319" t="str">
        <f>IFERROR(VLOOKUP(A4822,[3]DOORSCRIEFT!$A$2:$G$8551,2,FALSE),"")</f>
        <v/>
      </c>
      <c r="D4822" s="318" t="str">
        <f>IFERROR(VLOOKUP(A4822,[3]DOORSCRIEFT!$A$2:$G$8551,3,FALSE),"")</f>
        <v/>
      </c>
      <c r="E4822" s="317" t="str">
        <f>IFERROR(VLOOKUP(A4822,[3]DOORSCRIEFT!$A$2:$G$8551,4,FALSE),"")</f>
        <v/>
      </c>
      <c r="F4822" s="316" t="str">
        <f>IFERROR(VLOOKUP(A4822,[3]DOORSCRIEFT!$A$2:$G$8551,6,FALSE),"")</f>
        <v/>
      </c>
      <c r="G4822" s="315"/>
    </row>
    <row r="4823" spans="1:7" x14ac:dyDescent="0.25">
      <c r="A4823" s="321" t="str">
        <f t="shared" si="146"/>
        <v>I.3.1.4.06.00213</v>
      </c>
      <c r="B4823" s="321">
        <v>13</v>
      </c>
      <c r="C4823" s="319" t="str">
        <f>IFERROR(VLOOKUP(A4823,[3]DOORSCRIEFT!$A$2:$G$8551,2,FALSE),"")</f>
        <v/>
      </c>
      <c r="D4823" s="318" t="str">
        <f>IFERROR(VLOOKUP(A4823,[3]DOORSCRIEFT!$A$2:$G$8551,3,FALSE),"")</f>
        <v/>
      </c>
      <c r="E4823" s="317" t="str">
        <f>IFERROR(VLOOKUP(A4823,[3]DOORSCRIEFT!$A$2:$G$8551,4,FALSE),"")</f>
        <v/>
      </c>
      <c r="F4823" s="316" t="str">
        <f>IFERROR(VLOOKUP(A4823,[3]DOORSCRIEFT!$A$2:$G$8551,6,FALSE),"")</f>
        <v/>
      </c>
      <c r="G4823" s="315"/>
    </row>
    <row r="4824" spans="1:7" x14ac:dyDescent="0.25">
      <c r="A4824" s="321" t="str">
        <f t="shared" si="146"/>
        <v>I.3.1.4.06.00214</v>
      </c>
      <c r="B4824" s="321">
        <v>14</v>
      </c>
      <c r="C4824" s="319" t="str">
        <f>IFERROR(VLOOKUP(A4824,[3]DOORSCRIEFT!$A$2:$G$8551,2,FALSE),"")</f>
        <v/>
      </c>
      <c r="D4824" s="318" t="str">
        <f>IFERROR(VLOOKUP(A4824,[3]DOORSCRIEFT!$A$2:$G$8551,3,FALSE),"")</f>
        <v/>
      </c>
      <c r="E4824" s="317" t="str">
        <f>IFERROR(VLOOKUP(A4824,[3]DOORSCRIEFT!$A$2:$G$8551,4,FALSE),"")</f>
        <v/>
      </c>
      <c r="F4824" s="316" t="str">
        <f>IFERROR(VLOOKUP(A4824,[3]DOORSCRIEFT!$A$2:$G$8551,6,FALSE),"")</f>
        <v/>
      </c>
      <c r="G4824" s="315"/>
    </row>
    <row r="4825" spans="1:7" ht="15.75" thickBot="1" x14ac:dyDescent="0.3">
      <c r="A4825" s="342" t="str">
        <f t="shared" si="146"/>
        <v>I.3.1.4.06.00215</v>
      </c>
      <c r="B4825" s="342">
        <v>15</v>
      </c>
      <c r="C4825" s="319" t="str">
        <f>IFERROR(VLOOKUP(A4825,[3]DOORSCRIEFT!$A$2:$G$8551,2,FALSE),"")</f>
        <v/>
      </c>
      <c r="D4825" s="318" t="str">
        <f>IFERROR(VLOOKUP(A4825,[3]DOORSCRIEFT!$A$2:$G$8551,3,FALSE),"")</f>
        <v/>
      </c>
      <c r="E4825" s="317" t="str">
        <f>IFERROR(VLOOKUP(A4825,[3]DOORSCRIEFT!$A$2:$G$8551,4,FALSE),"")</f>
        <v/>
      </c>
      <c r="F4825" s="316" t="str">
        <f>IFERROR(VLOOKUP(A4825,[3]DOORSCRIEFT!$A$2:$G$8551,6,FALSE),"")</f>
        <v/>
      </c>
      <c r="G4825" s="315"/>
    </row>
    <row r="4826" spans="1:7" ht="15.75" thickBot="1" x14ac:dyDescent="0.3">
      <c r="A4826" s="341"/>
      <c r="B4826" s="340"/>
      <c r="C4826" s="336"/>
      <c r="D4826" s="312"/>
      <c r="E4826" s="311" t="s">
        <v>644</v>
      </c>
      <c r="F4826" s="310">
        <f>SUM(F4811:F4825)</f>
        <v>0</v>
      </c>
      <c r="G4826" s="309">
        <f>SUM(G4811:G4825)</f>
        <v>0</v>
      </c>
    </row>
    <row r="4827" spans="1:7" x14ac:dyDescent="0.25">
      <c r="C4827" s="335"/>
    </row>
    <row r="4828" spans="1:7" x14ac:dyDescent="0.25">
      <c r="C4828" s="335"/>
    </row>
    <row r="4829" spans="1:7" ht="15.75" x14ac:dyDescent="0.25">
      <c r="C4829" s="334"/>
      <c r="D4829" s="333"/>
      <c r="E4829" s="332"/>
      <c r="F4829" s="327" t="s">
        <v>607</v>
      </c>
      <c r="G4829" s="327" t="s">
        <v>348</v>
      </c>
    </row>
    <row r="4830" spans="1:7" ht="15.75" x14ac:dyDescent="0.25">
      <c r="C4830" s="334"/>
      <c r="D4830" s="333"/>
      <c r="E4830" s="332"/>
      <c r="F4830" s="327" t="s">
        <v>601</v>
      </c>
      <c r="G4830" s="327" t="s">
        <v>81</v>
      </c>
    </row>
    <row r="4831" spans="1:7" x14ac:dyDescent="0.25">
      <c r="C4831" s="330"/>
      <c r="D4831" s="329"/>
      <c r="E4831" s="328"/>
      <c r="F4831" s="327" t="s">
        <v>651</v>
      </c>
      <c r="G4831" s="331">
        <f>[2]Sheet1!$D$156</f>
        <v>0</v>
      </c>
    </row>
    <row r="4832" spans="1:7" ht="15.75" thickBot="1" x14ac:dyDescent="0.3">
      <c r="C4832" s="330"/>
      <c r="D4832" s="329"/>
      <c r="E4832" s="328"/>
      <c r="F4832" s="327" t="s">
        <v>650</v>
      </c>
      <c r="G4832" s="326">
        <f>+F4851-G4831</f>
        <v>0</v>
      </c>
    </row>
    <row r="4833" spans="1:7" x14ac:dyDescent="0.25">
      <c r="A4833" s="573" t="s">
        <v>626</v>
      </c>
      <c r="B4833" s="584" t="s">
        <v>606</v>
      </c>
      <c r="C4833" s="588" t="s">
        <v>649</v>
      </c>
      <c r="D4833" s="577" t="s">
        <v>648</v>
      </c>
      <c r="E4833" s="577" t="s">
        <v>647</v>
      </c>
      <c r="F4833" s="577" t="s">
        <v>646</v>
      </c>
      <c r="G4833" s="580" t="s">
        <v>645</v>
      </c>
    </row>
    <row r="4834" spans="1:7" ht="15.75" thickBot="1" x14ac:dyDescent="0.3">
      <c r="A4834" s="574"/>
      <c r="B4834" s="585"/>
      <c r="C4834" s="589"/>
      <c r="D4834" s="586"/>
      <c r="E4834" s="586"/>
      <c r="F4834" s="586"/>
      <c r="G4834" s="587"/>
    </row>
    <row r="4835" spans="1:7" ht="15.75" thickBot="1" x14ac:dyDescent="0.3">
      <c r="A4835" s="325">
        <v>1</v>
      </c>
      <c r="B4835" s="324">
        <v>2</v>
      </c>
      <c r="C4835" s="324">
        <v>3</v>
      </c>
      <c r="D4835" s="324">
        <v>4</v>
      </c>
      <c r="E4835" s="324">
        <v>5</v>
      </c>
      <c r="F4835" s="324">
        <v>6</v>
      </c>
      <c r="G4835" s="323">
        <v>7</v>
      </c>
    </row>
    <row r="4836" spans="1:7" x14ac:dyDescent="0.25">
      <c r="A4836" s="339" t="str">
        <f t="shared" ref="A4836:A4850" si="147">$G$4829&amp;B4836</f>
        <v>I.3.1.4.06.0031</v>
      </c>
      <c r="B4836" s="339">
        <v>1</v>
      </c>
      <c r="C4836" s="319" t="str">
        <f>IFERROR(VLOOKUP(A4836,[3]DOORSCRIEFT!$A$2:$G$8551,2,FALSE),"")</f>
        <v/>
      </c>
      <c r="D4836" s="318" t="str">
        <f>IFERROR(VLOOKUP(A4836,[3]DOORSCRIEFT!$A$2:$G$8551,3,FALSE),"")</f>
        <v/>
      </c>
      <c r="E4836" s="317" t="str">
        <f>IFERROR(VLOOKUP(A4836,[3]DOORSCRIEFT!$A$2:$G$8551,4,FALSE),"")</f>
        <v/>
      </c>
      <c r="F4836" s="316" t="str">
        <f>IFERROR(VLOOKUP(A4836,[3]DOORSCRIEFT!$A$2:$G$8551,6,FALSE),"")</f>
        <v/>
      </c>
      <c r="G4836" s="322"/>
    </row>
    <row r="4837" spans="1:7" x14ac:dyDescent="0.25">
      <c r="A4837" s="339" t="str">
        <f t="shared" si="147"/>
        <v>I.3.1.4.06.0032</v>
      </c>
      <c r="B4837" s="319">
        <v>2</v>
      </c>
      <c r="C4837" s="319" t="str">
        <f>IFERROR(VLOOKUP(A4837,[3]DOORSCRIEFT!$A$2:$G$8551,2,FALSE),"")</f>
        <v/>
      </c>
      <c r="D4837" s="318" t="str">
        <f>IFERROR(VLOOKUP(A4837,[3]DOORSCRIEFT!$A$2:$G$8551,3,FALSE),"")</f>
        <v/>
      </c>
      <c r="E4837" s="317" t="str">
        <f>IFERROR(VLOOKUP(A4837,[3]DOORSCRIEFT!$A$2:$G$8551,4,FALSE),"")</f>
        <v/>
      </c>
      <c r="F4837" s="316" t="str">
        <f>IFERROR(VLOOKUP(A4837,[3]DOORSCRIEFT!$A$2:$G$8551,6,FALSE),"")</f>
        <v/>
      </c>
      <c r="G4837" s="315"/>
    </row>
    <row r="4838" spans="1:7" x14ac:dyDescent="0.25">
      <c r="A4838" s="339" t="str">
        <f t="shared" si="147"/>
        <v>I.3.1.4.06.0033</v>
      </c>
      <c r="B4838" s="339">
        <v>3</v>
      </c>
      <c r="C4838" s="319" t="str">
        <f>IFERROR(VLOOKUP(A4838,[3]DOORSCRIEFT!$A$2:$G$8551,2,FALSE),"")</f>
        <v/>
      </c>
      <c r="D4838" s="318" t="str">
        <f>IFERROR(VLOOKUP(A4838,[3]DOORSCRIEFT!$A$2:$G$8551,3,FALSE),"")</f>
        <v/>
      </c>
      <c r="E4838" s="317" t="str">
        <f>IFERROR(VLOOKUP(A4838,[3]DOORSCRIEFT!$A$2:$G$8551,4,FALSE),"")</f>
        <v/>
      </c>
      <c r="F4838" s="316" t="str">
        <f>IFERROR(VLOOKUP(A4838,[3]DOORSCRIEFT!$A$2:$G$8551,6,FALSE),"")</f>
        <v/>
      </c>
      <c r="G4838" s="315"/>
    </row>
    <row r="4839" spans="1:7" x14ac:dyDescent="0.25">
      <c r="A4839" s="339" t="str">
        <f t="shared" si="147"/>
        <v>I.3.1.4.06.0034</v>
      </c>
      <c r="B4839" s="319">
        <v>4</v>
      </c>
      <c r="C4839" s="319" t="str">
        <f>IFERROR(VLOOKUP(A4839,[3]DOORSCRIEFT!$A$2:$G$8551,2,FALSE),"")</f>
        <v/>
      </c>
      <c r="D4839" s="318" t="str">
        <f>IFERROR(VLOOKUP(A4839,[3]DOORSCRIEFT!$A$2:$G$8551,3,FALSE),"")</f>
        <v/>
      </c>
      <c r="E4839" s="317" t="str">
        <f>IFERROR(VLOOKUP(A4839,[3]DOORSCRIEFT!$A$2:$G$8551,4,FALSE),"")</f>
        <v/>
      </c>
      <c r="F4839" s="316" t="str">
        <f>IFERROR(VLOOKUP(A4839,[3]DOORSCRIEFT!$A$2:$G$8551,6,FALSE),"")</f>
        <v/>
      </c>
      <c r="G4839" s="315"/>
    </row>
    <row r="4840" spans="1:7" x14ac:dyDescent="0.25">
      <c r="A4840" s="339" t="str">
        <f t="shared" si="147"/>
        <v>I.3.1.4.06.0035</v>
      </c>
      <c r="B4840" s="339">
        <v>5</v>
      </c>
      <c r="C4840" s="319" t="str">
        <f>IFERROR(VLOOKUP(A4840,[3]DOORSCRIEFT!$A$2:$G$8551,2,FALSE),"")</f>
        <v/>
      </c>
      <c r="D4840" s="318" t="str">
        <f>IFERROR(VLOOKUP(A4840,[3]DOORSCRIEFT!$A$2:$G$8551,3,FALSE),"")</f>
        <v/>
      </c>
      <c r="E4840" s="317" t="str">
        <f>IFERROR(VLOOKUP(A4840,[3]DOORSCRIEFT!$A$2:$G$8551,4,FALSE),"")</f>
        <v/>
      </c>
      <c r="F4840" s="316" t="str">
        <f>IFERROR(VLOOKUP(A4840,[3]DOORSCRIEFT!$A$2:$G$8551,6,FALSE),"")</f>
        <v/>
      </c>
      <c r="G4840" s="315"/>
    </row>
    <row r="4841" spans="1:7" x14ac:dyDescent="0.25">
      <c r="A4841" s="339" t="str">
        <f t="shared" si="147"/>
        <v>I.3.1.4.06.0036</v>
      </c>
      <c r="B4841" s="319">
        <v>6</v>
      </c>
      <c r="C4841" s="319" t="str">
        <f>IFERROR(VLOOKUP(A4841,[3]DOORSCRIEFT!$A$2:$G$8551,2,FALSE),"")</f>
        <v/>
      </c>
      <c r="D4841" s="318" t="str">
        <f>IFERROR(VLOOKUP(A4841,[3]DOORSCRIEFT!$A$2:$G$8551,3,FALSE),"")</f>
        <v/>
      </c>
      <c r="E4841" s="317" t="str">
        <f>IFERROR(VLOOKUP(A4841,[3]DOORSCRIEFT!$A$2:$G$8551,4,FALSE),"")</f>
        <v/>
      </c>
      <c r="F4841" s="316" t="str">
        <f>IFERROR(VLOOKUP(A4841,[3]DOORSCRIEFT!$A$2:$G$8551,6,FALSE),"")</f>
        <v/>
      </c>
      <c r="G4841" s="315"/>
    </row>
    <row r="4842" spans="1:7" x14ac:dyDescent="0.25">
      <c r="A4842" s="339" t="str">
        <f t="shared" si="147"/>
        <v>I.3.1.4.06.0037</v>
      </c>
      <c r="B4842" s="339">
        <v>7</v>
      </c>
      <c r="C4842" s="319" t="str">
        <f>IFERROR(VLOOKUP(A4842,[3]DOORSCRIEFT!$A$2:$G$8551,2,FALSE),"")</f>
        <v/>
      </c>
      <c r="D4842" s="318" t="str">
        <f>IFERROR(VLOOKUP(A4842,[3]DOORSCRIEFT!$A$2:$G$8551,3,FALSE),"")</f>
        <v/>
      </c>
      <c r="E4842" s="317" t="str">
        <f>IFERROR(VLOOKUP(A4842,[3]DOORSCRIEFT!$A$2:$G$8551,4,FALSE),"")</f>
        <v/>
      </c>
      <c r="F4842" s="316" t="str">
        <f>IFERROR(VLOOKUP(A4842,[3]DOORSCRIEFT!$A$2:$G$8551,6,FALSE),"")</f>
        <v/>
      </c>
      <c r="G4842" s="315"/>
    </row>
    <row r="4843" spans="1:7" x14ac:dyDescent="0.25">
      <c r="A4843" s="339" t="str">
        <f t="shared" si="147"/>
        <v>I.3.1.4.06.0038</v>
      </c>
      <c r="B4843" s="319">
        <v>8</v>
      </c>
      <c r="C4843" s="319" t="str">
        <f>IFERROR(VLOOKUP(A4843,[3]DOORSCRIEFT!$A$2:$G$8551,2,FALSE),"")</f>
        <v/>
      </c>
      <c r="D4843" s="318" t="str">
        <f>IFERROR(VLOOKUP(A4843,[3]DOORSCRIEFT!$A$2:$G$8551,3,FALSE),"")</f>
        <v/>
      </c>
      <c r="E4843" s="317" t="str">
        <f>IFERROR(VLOOKUP(A4843,[3]DOORSCRIEFT!$A$2:$G$8551,4,FALSE),"")</f>
        <v/>
      </c>
      <c r="F4843" s="316" t="str">
        <f>IFERROR(VLOOKUP(A4843,[3]DOORSCRIEFT!$A$2:$G$8551,6,FALSE),"")</f>
        <v/>
      </c>
      <c r="G4843" s="315"/>
    </row>
    <row r="4844" spans="1:7" x14ac:dyDescent="0.25">
      <c r="A4844" s="339" t="str">
        <f t="shared" si="147"/>
        <v>I.3.1.4.06.0039</v>
      </c>
      <c r="B4844" s="339">
        <v>9</v>
      </c>
      <c r="C4844" s="319" t="str">
        <f>IFERROR(VLOOKUP(A4844,[3]DOORSCRIEFT!$A$2:$G$8551,2,FALSE),"")</f>
        <v/>
      </c>
      <c r="D4844" s="318" t="str">
        <f>IFERROR(VLOOKUP(A4844,[3]DOORSCRIEFT!$A$2:$G$8551,3,FALSE),"")</f>
        <v/>
      </c>
      <c r="E4844" s="317" t="str">
        <f>IFERROR(VLOOKUP(A4844,[3]DOORSCRIEFT!$A$2:$G$8551,4,FALSE),"")</f>
        <v/>
      </c>
      <c r="F4844" s="316" t="str">
        <f>IFERROR(VLOOKUP(A4844,[3]DOORSCRIEFT!$A$2:$G$8551,6,FALSE),"")</f>
        <v/>
      </c>
      <c r="G4844" s="315"/>
    </row>
    <row r="4845" spans="1:7" x14ac:dyDescent="0.25">
      <c r="A4845" s="339" t="str">
        <f t="shared" si="147"/>
        <v>I.3.1.4.06.00310</v>
      </c>
      <c r="B4845" s="319">
        <v>10</v>
      </c>
      <c r="C4845" s="319" t="str">
        <f>IFERROR(VLOOKUP(A4845,[3]DOORSCRIEFT!$A$2:$G$8551,2,FALSE),"")</f>
        <v/>
      </c>
      <c r="D4845" s="318" t="str">
        <f>IFERROR(VLOOKUP(A4845,[3]DOORSCRIEFT!$A$2:$G$8551,3,FALSE),"")</f>
        <v/>
      </c>
      <c r="E4845" s="317" t="str">
        <f>IFERROR(VLOOKUP(A4845,[3]DOORSCRIEFT!$A$2:$G$8551,4,FALSE),"")</f>
        <v/>
      </c>
      <c r="F4845" s="316" t="str">
        <f>IFERROR(VLOOKUP(A4845,[3]DOORSCRIEFT!$A$2:$G$8551,6,FALSE),"")</f>
        <v/>
      </c>
      <c r="G4845" s="315"/>
    </row>
    <row r="4846" spans="1:7" x14ac:dyDescent="0.25">
      <c r="A4846" s="339" t="str">
        <f t="shared" si="147"/>
        <v>I.3.1.4.06.00311</v>
      </c>
      <c r="B4846" s="339">
        <v>11</v>
      </c>
      <c r="C4846" s="319" t="str">
        <f>IFERROR(VLOOKUP(A4846,[3]DOORSCRIEFT!$A$2:$G$8551,2,FALSE),"")</f>
        <v/>
      </c>
      <c r="D4846" s="318" t="str">
        <f>IFERROR(VLOOKUP(A4846,[3]DOORSCRIEFT!$A$2:$G$8551,3,FALSE),"")</f>
        <v/>
      </c>
      <c r="E4846" s="317" t="str">
        <f>IFERROR(VLOOKUP(A4846,[3]DOORSCRIEFT!$A$2:$G$8551,4,FALSE),"")</f>
        <v/>
      </c>
      <c r="F4846" s="316" t="str">
        <f>IFERROR(VLOOKUP(A4846,[3]DOORSCRIEFT!$A$2:$G$8551,6,FALSE),"")</f>
        <v/>
      </c>
      <c r="G4846" s="315"/>
    </row>
    <row r="4847" spans="1:7" x14ac:dyDescent="0.25">
      <c r="A4847" s="339" t="str">
        <f t="shared" si="147"/>
        <v>I.3.1.4.06.00312</v>
      </c>
      <c r="B4847" s="319">
        <v>12</v>
      </c>
      <c r="C4847" s="319" t="str">
        <f>IFERROR(VLOOKUP(A4847,[3]DOORSCRIEFT!$A$2:$G$8551,2,FALSE),"")</f>
        <v/>
      </c>
      <c r="D4847" s="318" t="str">
        <f>IFERROR(VLOOKUP(A4847,[3]DOORSCRIEFT!$A$2:$G$8551,3,FALSE),"")</f>
        <v/>
      </c>
      <c r="E4847" s="317" t="str">
        <f>IFERROR(VLOOKUP(A4847,[3]DOORSCRIEFT!$A$2:$G$8551,4,FALSE),"")</f>
        <v/>
      </c>
      <c r="F4847" s="316" t="str">
        <f>IFERROR(VLOOKUP(A4847,[3]DOORSCRIEFT!$A$2:$G$8551,6,FALSE),"")</f>
        <v/>
      </c>
      <c r="G4847" s="315"/>
    </row>
    <row r="4848" spans="1:7" x14ac:dyDescent="0.25">
      <c r="A4848" s="339" t="str">
        <f t="shared" si="147"/>
        <v>I.3.1.4.06.00313</v>
      </c>
      <c r="B4848" s="339">
        <v>13</v>
      </c>
      <c r="C4848" s="319" t="str">
        <f>IFERROR(VLOOKUP(A4848,[3]DOORSCRIEFT!$A$2:$G$8551,2,FALSE),"")</f>
        <v/>
      </c>
      <c r="D4848" s="318" t="str">
        <f>IFERROR(VLOOKUP(A4848,[3]DOORSCRIEFT!$A$2:$G$8551,3,FALSE),"")</f>
        <v/>
      </c>
      <c r="E4848" s="317" t="str">
        <f>IFERROR(VLOOKUP(A4848,[3]DOORSCRIEFT!$A$2:$G$8551,4,FALSE),"")</f>
        <v/>
      </c>
      <c r="F4848" s="316" t="str">
        <f>IFERROR(VLOOKUP(A4848,[3]DOORSCRIEFT!$A$2:$G$8551,6,FALSE),"")</f>
        <v/>
      </c>
      <c r="G4848" s="315"/>
    </row>
    <row r="4849" spans="1:7" x14ac:dyDescent="0.25">
      <c r="A4849" s="339" t="str">
        <f t="shared" si="147"/>
        <v>I.3.1.4.06.00314</v>
      </c>
      <c r="B4849" s="319">
        <v>14</v>
      </c>
      <c r="C4849" s="319" t="str">
        <f>IFERROR(VLOOKUP(A4849,[3]DOORSCRIEFT!$A$2:$G$8551,2,FALSE),"")</f>
        <v/>
      </c>
      <c r="D4849" s="318" t="str">
        <f>IFERROR(VLOOKUP(A4849,[3]DOORSCRIEFT!$A$2:$G$8551,3,FALSE),"")</f>
        <v/>
      </c>
      <c r="E4849" s="317" t="str">
        <f>IFERROR(VLOOKUP(A4849,[3]DOORSCRIEFT!$A$2:$G$8551,4,FALSE),"")</f>
        <v/>
      </c>
      <c r="F4849" s="316" t="str">
        <f>IFERROR(VLOOKUP(A4849,[3]DOORSCRIEFT!$A$2:$G$8551,6,FALSE),"")</f>
        <v/>
      </c>
      <c r="G4849" s="315"/>
    </row>
    <row r="4850" spans="1:7" ht="15.75" thickBot="1" x14ac:dyDescent="0.3">
      <c r="A4850" s="339" t="str">
        <f t="shared" si="147"/>
        <v>I.3.1.4.06.00315</v>
      </c>
      <c r="B4850" s="339">
        <v>15</v>
      </c>
      <c r="C4850" s="319" t="str">
        <f>IFERROR(VLOOKUP(A4850,[3]DOORSCRIEFT!$A$2:$G$8551,2,FALSE),"")</f>
        <v/>
      </c>
      <c r="D4850" s="318" t="str">
        <f>IFERROR(VLOOKUP(A4850,[3]DOORSCRIEFT!$A$2:$G$8551,3,FALSE),"")</f>
        <v/>
      </c>
      <c r="E4850" s="317" t="str">
        <f>IFERROR(VLOOKUP(A4850,[3]DOORSCRIEFT!$A$2:$G$8551,4,FALSE),"")</f>
        <v/>
      </c>
      <c r="F4850" s="316" t="str">
        <f>IFERROR(VLOOKUP(A4850,[3]DOORSCRIEFT!$A$2:$G$8551,6,FALSE),"")</f>
        <v/>
      </c>
      <c r="G4850" s="315"/>
    </row>
    <row r="4851" spans="1:7" ht="15.75" thickBot="1" x14ac:dyDescent="0.3">
      <c r="A4851" s="314"/>
      <c r="B4851" s="312"/>
      <c r="C4851" s="336"/>
      <c r="D4851" s="312"/>
      <c r="E4851" s="311" t="s">
        <v>644</v>
      </c>
      <c r="F4851" s="310">
        <f>SUM(F4836:F4850)</f>
        <v>0</v>
      </c>
      <c r="G4851" s="309">
        <f>SUM(G4836:G4850)</f>
        <v>0</v>
      </c>
    </row>
    <row r="4852" spans="1:7" x14ac:dyDescent="0.25">
      <c r="C4852" s="335"/>
    </row>
    <row r="4853" spans="1:7" x14ac:dyDescent="0.25">
      <c r="C4853" s="335"/>
    </row>
    <row r="4854" spans="1:7" ht="15.75" x14ac:dyDescent="0.25">
      <c r="C4854" s="334"/>
      <c r="D4854" s="333"/>
      <c r="E4854" s="332"/>
      <c r="F4854" s="327" t="s">
        <v>607</v>
      </c>
      <c r="G4854" s="327" t="s">
        <v>346</v>
      </c>
    </row>
    <row r="4855" spans="1:7" ht="15.75" x14ac:dyDescent="0.25">
      <c r="C4855" s="334"/>
      <c r="D4855" s="333"/>
      <c r="E4855" s="332"/>
      <c r="F4855" s="327" t="s">
        <v>601</v>
      </c>
      <c r="G4855" s="327" t="s">
        <v>77</v>
      </c>
    </row>
    <row r="4856" spans="1:7" x14ac:dyDescent="0.25">
      <c r="C4856" s="330"/>
      <c r="D4856" s="329"/>
      <c r="E4856" s="328"/>
      <c r="F4856" s="327" t="s">
        <v>651</v>
      </c>
      <c r="G4856" s="331">
        <f>[2]Sheet1!$D$158</f>
        <v>0</v>
      </c>
    </row>
    <row r="4857" spans="1:7" ht="15.75" thickBot="1" x14ac:dyDescent="0.3">
      <c r="C4857" s="330"/>
      <c r="D4857" s="329"/>
      <c r="E4857" s="328"/>
      <c r="F4857" s="327" t="s">
        <v>650</v>
      </c>
      <c r="G4857" s="326">
        <f>+F4876-G4856</f>
        <v>0</v>
      </c>
    </row>
    <row r="4858" spans="1:7" x14ac:dyDescent="0.25">
      <c r="A4858" s="573" t="s">
        <v>626</v>
      </c>
      <c r="B4858" s="584" t="s">
        <v>606</v>
      </c>
      <c r="C4858" s="588" t="s">
        <v>649</v>
      </c>
      <c r="D4858" s="577" t="s">
        <v>648</v>
      </c>
      <c r="E4858" s="577" t="s">
        <v>647</v>
      </c>
      <c r="F4858" s="577" t="s">
        <v>646</v>
      </c>
      <c r="G4858" s="580" t="s">
        <v>645</v>
      </c>
    </row>
    <row r="4859" spans="1:7" ht="15.75" thickBot="1" x14ac:dyDescent="0.3">
      <c r="A4859" s="574"/>
      <c r="B4859" s="585"/>
      <c r="C4859" s="589"/>
      <c r="D4859" s="586"/>
      <c r="E4859" s="586"/>
      <c r="F4859" s="586"/>
      <c r="G4859" s="587"/>
    </row>
    <row r="4860" spans="1:7" ht="15.75" thickBot="1" x14ac:dyDescent="0.3">
      <c r="A4860" s="325">
        <v>1</v>
      </c>
      <c r="B4860" s="324">
        <v>2</v>
      </c>
      <c r="C4860" s="324">
        <v>3</v>
      </c>
      <c r="D4860" s="324">
        <v>4</v>
      </c>
      <c r="E4860" s="324">
        <v>5</v>
      </c>
      <c r="F4860" s="324">
        <v>6</v>
      </c>
      <c r="G4860" s="323">
        <v>7</v>
      </c>
    </row>
    <row r="4861" spans="1:7" x14ac:dyDescent="0.25">
      <c r="A4861" s="320" t="str">
        <f t="shared" ref="A4861:A4875" si="148">$G$4854&amp;B4861</f>
        <v>I.3.1.4.07.0011</v>
      </c>
      <c r="B4861" s="320">
        <v>1</v>
      </c>
      <c r="C4861" s="319" t="str">
        <f>IFERROR(VLOOKUP(A4861,[3]DOORSCRIEFT!$A$2:$G$8551,2,FALSE),"")</f>
        <v/>
      </c>
      <c r="D4861" s="318" t="str">
        <f>IFERROR(VLOOKUP(A4861,[3]DOORSCRIEFT!$A$2:$G$8551,3,FALSE),"")</f>
        <v/>
      </c>
      <c r="E4861" s="317" t="str">
        <f>IFERROR(VLOOKUP(A4861,[3]DOORSCRIEFT!$A$2:$G$8551,4,FALSE),"")</f>
        <v/>
      </c>
      <c r="F4861" s="316" t="str">
        <f>IFERROR(VLOOKUP(A4861,[3]DOORSCRIEFT!$A$2:$G$8551,6,FALSE),"")</f>
        <v/>
      </c>
      <c r="G4861" s="322"/>
    </row>
    <row r="4862" spans="1:7" x14ac:dyDescent="0.25">
      <c r="A4862" s="320" t="str">
        <f t="shared" si="148"/>
        <v>I.3.1.4.07.0012</v>
      </c>
      <c r="B4862" s="321">
        <v>2</v>
      </c>
      <c r="C4862" s="319" t="str">
        <f>IFERROR(VLOOKUP(A4862,[3]DOORSCRIEFT!$A$2:$G$8551,2,FALSE),"")</f>
        <v/>
      </c>
      <c r="D4862" s="318" t="str">
        <f>IFERROR(VLOOKUP(A4862,[3]DOORSCRIEFT!$A$2:$G$8551,3,FALSE),"")</f>
        <v/>
      </c>
      <c r="E4862" s="317" t="str">
        <f>IFERROR(VLOOKUP(A4862,[3]DOORSCRIEFT!$A$2:$G$8551,4,FALSE),"")</f>
        <v/>
      </c>
      <c r="F4862" s="316" t="str">
        <f>IFERROR(VLOOKUP(A4862,[3]DOORSCRIEFT!$A$2:$G$8551,6,FALSE),"")</f>
        <v/>
      </c>
      <c r="G4862" s="315"/>
    </row>
    <row r="4863" spans="1:7" x14ac:dyDescent="0.25">
      <c r="A4863" s="320" t="str">
        <f t="shared" si="148"/>
        <v>I.3.1.4.07.0013</v>
      </c>
      <c r="B4863" s="320">
        <v>3</v>
      </c>
      <c r="C4863" s="319" t="str">
        <f>IFERROR(VLOOKUP(A4863,[3]DOORSCRIEFT!$A$2:$G$8551,2,FALSE),"")</f>
        <v/>
      </c>
      <c r="D4863" s="318" t="str">
        <f>IFERROR(VLOOKUP(A4863,[3]DOORSCRIEFT!$A$2:$G$8551,3,FALSE),"")</f>
        <v/>
      </c>
      <c r="E4863" s="317" t="str">
        <f>IFERROR(VLOOKUP(A4863,[3]DOORSCRIEFT!$A$2:$G$8551,4,FALSE),"")</f>
        <v/>
      </c>
      <c r="F4863" s="316" t="str">
        <f>IFERROR(VLOOKUP(A4863,[3]DOORSCRIEFT!$A$2:$G$8551,6,FALSE),"")</f>
        <v/>
      </c>
      <c r="G4863" s="315"/>
    </row>
    <row r="4864" spans="1:7" x14ac:dyDescent="0.25">
      <c r="A4864" s="320" t="str">
        <f t="shared" si="148"/>
        <v>I.3.1.4.07.0014</v>
      </c>
      <c r="B4864" s="321">
        <v>4</v>
      </c>
      <c r="C4864" s="319" t="str">
        <f>IFERROR(VLOOKUP(A4864,[3]DOORSCRIEFT!$A$2:$G$8551,2,FALSE),"")</f>
        <v/>
      </c>
      <c r="D4864" s="318" t="str">
        <f>IFERROR(VLOOKUP(A4864,[3]DOORSCRIEFT!$A$2:$G$8551,3,FALSE),"")</f>
        <v/>
      </c>
      <c r="E4864" s="317" t="str">
        <f>IFERROR(VLOOKUP(A4864,[3]DOORSCRIEFT!$A$2:$G$8551,4,FALSE),"")</f>
        <v/>
      </c>
      <c r="F4864" s="316" t="str">
        <f>IFERROR(VLOOKUP(A4864,[3]DOORSCRIEFT!$A$2:$G$8551,6,FALSE),"")</f>
        <v/>
      </c>
      <c r="G4864" s="315"/>
    </row>
    <row r="4865" spans="1:7" x14ac:dyDescent="0.25">
      <c r="A4865" s="320" t="str">
        <f t="shared" si="148"/>
        <v>I.3.1.4.07.0015</v>
      </c>
      <c r="B4865" s="320">
        <v>5</v>
      </c>
      <c r="C4865" s="319" t="str">
        <f>IFERROR(VLOOKUP(A4865,[3]DOORSCRIEFT!$A$2:$G$8551,2,FALSE),"")</f>
        <v/>
      </c>
      <c r="D4865" s="318" t="str">
        <f>IFERROR(VLOOKUP(A4865,[3]DOORSCRIEFT!$A$2:$G$8551,3,FALSE),"")</f>
        <v/>
      </c>
      <c r="E4865" s="317" t="str">
        <f>IFERROR(VLOOKUP(A4865,[3]DOORSCRIEFT!$A$2:$G$8551,4,FALSE),"")</f>
        <v/>
      </c>
      <c r="F4865" s="316" t="str">
        <f>IFERROR(VLOOKUP(A4865,[3]DOORSCRIEFT!$A$2:$G$8551,6,FALSE),"")</f>
        <v/>
      </c>
      <c r="G4865" s="315"/>
    </row>
    <row r="4866" spans="1:7" x14ac:dyDescent="0.25">
      <c r="A4866" s="320" t="str">
        <f t="shared" si="148"/>
        <v>I.3.1.4.07.0016</v>
      </c>
      <c r="B4866" s="321">
        <v>6</v>
      </c>
      <c r="C4866" s="319" t="str">
        <f>IFERROR(VLOOKUP(A4866,[3]DOORSCRIEFT!$A$2:$G$8551,2,FALSE),"")</f>
        <v/>
      </c>
      <c r="D4866" s="318" t="str">
        <f>IFERROR(VLOOKUP(A4866,[3]DOORSCRIEFT!$A$2:$G$8551,3,FALSE),"")</f>
        <v/>
      </c>
      <c r="E4866" s="317" t="str">
        <f>IFERROR(VLOOKUP(A4866,[3]DOORSCRIEFT!$A$2:$G$8551,4,FALSE),"")</f>
        <v/>
      </c>
      <c r="F4866" s="316" t="str">
        <f>IFERROR(VLOOKUP(A4866,[3]DOORSCRIEFT!$A$2:$G$8551,6,FALSE),"")</f>
        <v/>
      </c>
      <c r="G4866" s="315"/>
    </row>
    <row r="4867" spans="1:7" x14ac:dyDescent="0.25">
      <c r="A4867" s="320" t="str">
        <f t="shared" si="148"/>
        <v>I.3.1.4.07.0017</v>
      </c>
      <c r="B4867" s="320">
        <v>7</v>
      </c>
      <c r="C4867" s="319" t="str">
        <f>IFERROR(VLOOKUP(A4867,[3]DOORSCRIEFT!$A$2:$G$8551,2,FALSE),"")</f>
        <v/>
      </c>
      <c r="D4867" s="318" t="str">
        <f>IFERROR(VLOOKUP(A4867,[3]DOORSCRIEFT!$A$2:$G$8551,3,FALSE),"")</f>
        <v/>
      </c>
      <c r="E4867" s="317" t="str">
        <f>IFERROR(VLOOKUP(A4867,[3]DOORSCRIEFT!$A$2:$G$8551,4,FALSE),"")</f>
        <v/>
      </c>
      <c r="F4867" s="316" t="str">
        <f>IFERROR(VLOOKUP(A4867,[3]DOORSCRIEFT!$A$2:$G$8551,6,FALSE),"")</f>
        <v/>
      </c>
      <c r="G4867" s="315"/>
    </row>
    <row r="4868" spans="1:7" x14ac:dyDescent="0.25">
      <c r="A4868" s="320" t="str">
        <f t="shared" si="148"/>
        <v>I.3.1.4.07.0018</v>
      </c>
      <c r="B4868" s="321">
        <v>8</v>
      </c>
      <c r="C4868" s="319" t="str">
        <f>IFERROR(VLOOKUP(A4868,[3]DOORSCRIEFT!$A$2:$G$8551,2,FALSE),"")</f>
        <v/>
      </c>
      <c r="D4868" s="318" t="str">
        <f>IFERROR(VLOOKUP(A4868,[3]DOORSCRIEFT!$A$2:$G$8551,3,FALSE),"")</f>
        <v/>
      </c>
      <c r="E4868" s="317" t="str">
        <f>IFERROR(VLOOKUP(A4868,[3]DOORSCRIEFT!$A$2:$G$8551,4,FALSE),"")</f>
        <v/>
      </c>
      <c r="F4868" s="316" t="str">
        <f>IFERROR(VLOOKUP(A4868,[3]DOORSCRIEFT!$A$2:$G$8551,6,FALSE),"")</f>
        <v/>
      </c>
      <c r="G4868" s="315"/>
    </row>
    <row r="4869" spans="1:7" x14ac:dyDescent="0.25">
      <c r="A4869" s="320" t="str">
        <f t="shared" si="148"/>
        <v>I.3.1.4.07.0019</v>
      </c>
      <c r="B4869" s="320">
        <v>9</v>
      </c>
      <c r="C4869" s="319" t="str">
        <f>IFERROR(VLOOKUP(A4869,[3]DOORSCRIEFT!$A$2:$G$8551,2,FALSE),"")</f>
        <v/>
      </c>
      <c r="D4869" s="318" t="str">
        <f>IFERROR(VLOOKUP(A4869,[3]DOORSCRIEFT!$A$2:$G$8551,3,FALSE),"")</f>
        <v/>
      </c>
      <c r="E4869" s="317" t="str">
        <f>IFERROR(VLOOKUP(A4869,[3]DOORSCRIEFT!$A$2:$G$8551,4,FALSE),"")</f>
        <v/>
      </c>
      <c r="F4869" s="316" t="str">
        <f>IFERROR(VLOOKUP(A4869,[3]DOORSCRIEFT!$A$2:$G$8551,6,FALSE),"")</f>
        <v/>
      </c>
      <c r="G4869" s="315"/>
    </row>
    <row r="4870" spans="1:7" x14ac:dyDescent="0.25">
      <c r="A4870" s="320" t="str">
        <f t="shared" si="148"/>
        <v>I.3.1.4.07.00110</v>
      </c>
      <c r="B4870" s="321">
        <v>10</v>
      </c>
      <c r="C4870" s="319" t="str">
        <f>IFERROR(VLOOKUP(A4870,[3]DOORSCRIEFT!$A$2:$G$8551,2,FALSE),"")</f>
        <v/>
      </c>
      <c r="D4870" s="318" t="str">
        <f>IFERROR(VLOOKUP(A4870,[3]DOORSCRIEFT!$A$2:$G$8551,3,FALSE),"")</f>
        <v/>
      </c>
      <c r="E4870" s="317" t="str">
        <f>IFERROR(VLOOKUP(A4870,[3]DOORSCRIEFT!$A$2:$G$8551,4,FALSE),"")</f>
        <v/>
      </c>
      <c r="F4870" s="316" t="str">
        <f>IFERROR(VLOOKUP(A4870,[3]DOORSCRIEFT!$A$2:$G$8551,6,FALSE),"")</f>
        <v/>
      </c>
      <c r="G4870" s="315"/>
    </row>
    <row r="4871" spans="1:7" x14ac:dyDescent="0.25">
      <c r="A4871" s="320" t="str">
        <f t="shared" si="148"/>
        <v>I.3.1.4.07.00111</v>
      </c>
      <c r="B4871" s="320">
        <v>11</v>
      </c>
      <c r="C4871" s="319" t="str">
        <f>IFERROR(VLOOKUP(A4871,[3]DOORSCRIEFT!$A$2:$G$8551,2,FALSE),"")</f>
        <v/>
      </c>
      <c r="D4871" s="318" t="str">
        <f>IFERROR(VLOOKUP(A4871,[3]DOORSCRIEFT!$A$2:$G$8551,3,FALSE),"")</f>
        <v/>
      </c>
      <c r="E4871" s="317" t="str">
        <f>IFERROR(VLOOKUP(A4871,[3]DOORSCRIEFT!$A$2:$G$8551,4,FALSE),"")</f>
        <v/>
      </c>
      <c r="F4871" s="316" t="str">
        <f>IFERROR(VLOOKUP(A4871,[3]DOORSCRIEFT!$A$2:$G$8551,6,FALSE),"")</f>
        <v/>
      </c>
      <c r="G4871" s="315"/>
    </row>
    <row r="4872" spans="1:7" x14ac:dyDescent="0.25">
      <c r="A4872" s="320" t="str">
        <f t="shared" si="148"/>
        <v>I.3.1.4.07.00112</v>
      </c>
      <c r="B4872" s="321">
        <v>12</v>
      </c>
      <c r="C4872" s="319" t="str">
        <f>IFERROR(VLOOKUP(A4872,[3]DOORSCRIEFT!$A$2:$G$8551,2,FALSE),"")</f>
        <v/>
      </c>
      <c r="D4872" s="318" t="str">
        <f>IFERROR(VLOOKUP(A4872,[3]DOORSCRIEFT!$A$2:$G$8551,3,FALSE),"")</f>
        <v/>
      </c>
      <c r="E4872" s="317" t="str">
        <f>IFERROR(VLOOKUP(A4872,[3]DOORSCRIEFT!$A$2:$G$8551,4,FALSE),"")</f>
        <v/>
      </c>
      <c r="F4872" s="316" t="str">
        <f>IFERROR(VLOOKUP(A4872,[3]DOORSCRIEFT!$A$2:$G$8551,6,FALSE),"")</f>
        <v/>
      </c>
      <c r="G4872" s="315"/>
    </row>
    <row r="4873" spans="1:7" x14ac:dyDescent="0.25">
      <c r="A4873" s="320" t="str">
        <f t="shared" si="148"/>
        <v>I.3.1.4.07.00113</v>
      </c>
      <c r="B4873" s="320">
        <v>13</v>
      </c>
      <c r="C4873" s="319" t="str">
        <f>IFERROR(VLOOKUP(A4873,[3]DOORSCRIEFT!$A$2:$G$8551,2,FALSE),"")</f>
        <v/>
      </c>
      <c r="D4873" s="318" t="str">
        <f>IFERROR(VLOOKUP(A4873,[3]DOORSCRIEFT!$A$2:$G$8551,3,FALSE),"")</f>
        <v/>
      </c>
      <c r="E4873" s="317" t="str">
        <f>IFERROR(VLOOKUP(A4873,[3]DOORSCRIEFT!$A$2:$G$8551,4,FALSE),"")</f>
        <v/>
      </c>
      <c r="F4873" s="316" t="str">
        <f>IFERROR(VLOOKUP(A4873,[3]DOORSCRIEFT!$A$2:$G$8551,6,FALSE),"")</f>
        <v/>
      </c>
      <c r="G4873" s="315"/>
    </row>
    <row r="4874" spans="1:7" x14ac:dyDescent="0.25">
      <c r="A4874" s="320" t="str">
        <f t="shared" si="148"/>
        <v>I.3.1.4.07.00114</v>
      </c>
      <c r="B4874" s="321">
        <v>14</v>
      </c>
      <c r="C4874" s="319" t="str">
        <f>IFERROR(VLOOKUP(A4874,[3]DOORSCRIEFT!$A$2:$G$8551,2,FALSE),"")</f>
        <v/>
      </c>
      <c r="D4874" s="318" t="str">
        <f>IFERROR(VLOOKUP(A4874,[3]DOORSCRIEFT!$A$2:$G$8551,3,FALSE),"")</f>
        <v/>
      </c>
      <c r="E4874" s="317" t="str">
        <f>IFERROR(VLOOKUP(A4874,[3]DOORSCRIEFT!$A$2:$G$8551,4,FALSE),"")</f>
        <v/>
      </c>
      <c r="F4874" s="316" t="str">
        <f>IFERROR(VLOOKUP(A4874,[3]DOORSCRIEFT!$A$2:$G$8551,6,FALSE),"")</f>
        <v/>
      </c>
      <c r="G4874" s="315"/>
    </row>
    <row r="4875" spans="1:7" ht="15.75" thickBot="1" x14ac:dyDescent="0.3">
      <c r="A4875" s="320" t="str">
        <f t="shared" si="148"/>
        <v>I.3.1.4.07.00115</v>
      </c>
      <c r="B4875" s="320">
        <v>15</v>
      </c>
      <c r="C4875" s="319" t="str">
        <f>IFERROR(VLOOKUP(A4875,[3]DOORSCRIEFT!$A$2:$G$8551,2,FALSE),"")</f>
        <v/>
      </c>
      <c r="D4875" s="318" t="str">
        <f>IFERROR(VLOOKUP(A4875,[3]DOORSCRIEFT!$A$2:$G$8551,3,FALSE),"")</f>
        <v/>
      </c>
      <c r="E4875" s="317" t="str">
        <f>IFERROR(VLOOKUP(A4875,[3]DOORSCRIEFT!$A$2:$G$8551,4,FALSE),"")</f>
        <v/>
      </c>
      <c r="F4875" s="316" t="str">
        <f>IFERROR(VLOOKUP(A4875,[3]DOORSCRIEFT!$A$2:$G$8551,6,FALSE),"")</f>
        <v/>
      </c>
      <c r="G4875" s="315"/>
    </row>
    <row r="4876" spans="1:7" ht="15.75" thickBot="1" x14ac:dyDescent="0.3">
      <c r="A4876" s="314"/>
      <c r="B4876" s="312"/>
      <c r="C4876" s="336"/>
      <c r="D4876" s="312"/>
      <c r="E4876" s="311" t="s">
        <v>644</v>
      </c>
      <c r="F4876" s="310">
        <f>SUM(F4861:F4875)</f>
        <v>0</v>
      </c>
      <c r="G4876" s="309">
        <f>SUM(G4861:G4875)</f>
        <v>0</v>
      </c>
    </row>
    <row r="4877" spans="1:7" x14ac:dyDescent="0.25">
      <c r="C4877" s="335"/>
    </row>
    <row r="4878" spans="1:7" x14ac:dyDescent="0.25">
      <c r="C4878" s="335"/>
    </row>
    <row r="4879" spans="1:7" ht="15.75" x14ac:dyDescent="0.25">
      <c r="C4879" s="334"/>
      <c r="D4879" s="333"/>
      <c r="E4879" s="332"/>
      <c r="F4879" s="327" t="s">
        <v>607</v>
      </c>
      <c r="G4879" s="327" t="s">
        <v>345</v>
      </c>
    </row>
    <row r="4880" spans="1:7" ht="15.75" x14ac:dyDescent="0.25">
      <c r="C4880" s="334"/>
      <c r="D4880" s="333"/>
      <c r="E4880" s="332"/>
      <c r="F4880" s="327" t="s">
        <v>601</v>
      </c>
      <c r="G4880" s="327" t="s">
        <v>75</v>
      </c>
    </row>
    <row r="4881" spans="1:7" x14ac:dyDescent="0.25">
      <c r="C4881" s="330"/>
      <c r="D4881" s="329"/>
      <c r="E4881" s="328"/>
      <c r="F4881" s="327" t="s">
        <v>651</v>
      </c>
      <c r="G4881" s="331">
        <f>[2]Sheet1!$D$159</f>
        <v>0</v>
      </c>
    </row>
    <row r="4882" spans="1:7" ht="15.75" thickBot="1" x14ac:dyDescent="0.3">
      <c r="C4882" s="330"/>
      <c r="D4882" s="329"/>
      <c r="E4882" s="328"/>
      <c r="F4882" s="327" t="s">
        <v>650</v>
      </c>
      <c r="G4882" s="326">
        <f>+F4901-G4881</f>
        <v>0</v>
      </c>
    </row>
    <row r="4883" spans="1:7" x14ac:dyDescent="0.25">
      <c r="A4883" s="573" t="s">
        <v>626</v>
      </c>
      <c r="B4883" s="584" t="s">
        <v>606</v>
      </c>
      <c r="C4883" s="588" t="s">
        <v>649</v>
      </c>
      <c r="D4883" s="577" t="s">
        <v>648</v>
      </c>
      <c r="E4883" s="577" t="s">
        <v>647</v>
      </c>
      <c r="F4883" s="577" t="s">
        <v>646</v>
      </c>
      <c r="G4883" s="580" t="s">
        <v>645</v>
      </c>
    </row>
    <row r="4884" spans="1:7" ht="15.75" thickBot="1" x14ac:dyDescent="0.3">
      <c r="A4884" s="574"/>
      <c r="B4884" s="585"/>
      <c r="C4884" s="589"/>
      <c r="D4884" s="586"/>
      <c r="E4884" s="586"/>
      <c r="F4884" s="586"/>
      <c r="G4884" s="587"/>
    </row>
    <row r="4885" spans="1:7" ht="15.75" thickBot="1" x14ac:dyDescent="0.3">
      <c r="A4885" s="325">
        <v>1</v>
      </c>
      <c r="B4885" s="324">
        <v>2</v>
      </c>
      <c r="C4885" s="324">
        <v>3</v>
      </c>
      <c r="D4885" s="324">
        <v>4</v>
      </c>
      <c r="E4885" s="324">
        <v>5</v>
      </c>
      <c r="F4885" s="324">
        <v>6</v>
      </c>
      <c r="G4885" s="323">
        <v>7</v>
      </c>
    </row>
    <row r="4886" spans="1:7" x14ac:dyDescent="0.25">
      <c r="A4886" s="320" t="str">
        <f t="shared" ref="A4886:A4900" si="149">$G$4879&amp;B4886</f>
        <v>I.3.1.4.07.0021</v>
      </c>
      <c r="B4886" s="320">
        <v>1</v>
      </c>
      <c r="C4886" s="319" t="str">
        <f>IFERROR(VLOOKUP(A4886,[3]DOORSCRIEFT!$A$2:$G$8551,2,FALSE),"")</f>
        <v/>
      </c>
      <c r="D4886" s="318" t="str">
        <f>IFERROR(VLOOKUP(A4886,[3]DOORSCRIEFT!$A$2:$G$8551,3,FALSE),"")</f>
        <v/>
      </c>
      <c r="E4886" s="317" t="str">
        <f>IFERROR(VLOOKUP(A4886,[3]DOORSCRIEFT!$A$2:$G$8551,4,FALSE),"")</f>
        <v/>
      </c>
      <c r="F4886" s="316" t="str">
        <f>IFERROR(VLOOKUP(A4886,[3]DOORSCRIEFT!$A$2:$G$8551,6,FALSE),"")</f>
        <v/>
      </c>
      <c r="G4886" s="322"/>
    </row>
    <row r="4887" spans="1:7" x14ac:dyDescent="0.25">
      <c r="A4887" s="320" t="str">
        <f t="shared" si="149"/>
        <v>I.3.1.4.07.0022</v>
      </c>
      <c r="B4887" s="321">
        <v>2</v>
      </c>
      <c r="C4887" s="319" t="str">
        <f>IFERROR(VLOOKUP(A4887,[3]DOORSCRIEFT!$A$2:$G$8551,2,FALSE),"")</f>
        <v/>
      </c>
      <c r="D4887" s="318" t="str">
        <f>IFERROR(VLOOKUP(A4887,[3]DOORSCRIEFT!$A$2:$G$8551,3,FALSE),"")</f>
        <v/>
      </c>
      <c r="E4887" s="317" t="str">
        <f>IFERROR(VLOOKUP(A4887,[3]DOORSCRIEFT!$A$2:$G$8551,4,FALSE),"")</f>
        <v/>
      </c>
      <c r="F4887" s="316" t="str">
        <f>IFERROR(VLOOKUP(A4887,[3]DOORSCRIEFT!$A$2:$G$8551,6,FALSE),"")</f>
        <v/>
      </c>
      <c r="G4887" s="315"/>
    </row>
    <row r="4888" spans="1:7" x14ac:dyDescent="0.25">
      <c r="A4888" s="320" t="str">
        <f t="shared" si="149"/>
        <v>I.3.1.4.07.0023</v>
      </c>
      <c r="B4888" s="320">
        <v>3</v>
      </c>
      <c r="C4888" s="319" t="str">
        <f>IFERROR(VLOOKUP(A4888,[3]DOORSCRIEFT!$A$2:$G$8551,2,FALSE),"")</f>
        <v/>
      </c>
      <c r="D4888" s="318" t="str">
        <f>IFERROR(VLOOKUP(A4888,[3]DOORSCRIEFT!$A$2:$G$8551,3,FALSE),"")</f>
        <v/>
      </c>
      <c r="E4888" s="317" t="str">
        <f>IFERROR(VLOOKUP(A4888,[3]DOORSCRIEFT!$A$2:$G$8551,4,FALSE),"")</f>
        <v/>
      </c>
      <c r="F4888" s="316" t="str">
        <f>IFERROR(VLOOKUP(A4888,[3]DOORSCRIEFT!$A$2:$G$8551,6,FALSE),"")</f>
        <v/>
      </c>
      <c r="G4888" s="315"/>
    </row>
    <row r="4889" spans="1:7" x14ac:dyDescent="0.25">
      <c r="A4889" s="320" t="str">
        <f t="shared" si="149"/>
        <v>I.3.1.4.07.0024</v>
      </c>
      <c r="B4889" s="321">
        <v>4</v>
      </c>
      <c r="C4889" s="319" t="str">
        <f>IFERROR(VLOOKUP(A4889,[3]DOORSCRIEFT!$A$2:$G$8551,2,FALSE),"")</f>
        <v/>
      </c>
      <c r="D4889" s="318" t="str">
        <f>IFERROR(VLOOKUP(A4889,[3]DOORSCRIEFT!$A$2:$G$8551,3,FALSE),"")</f>
        <v/>
      </c>
      <c r="E4889" s="317" t="str">
        <f>IFERROR(VLOOKUP(A4889,[3]DOORSCRIEFT!$A$2:$G$8551,4,FALSE),"")</f>
        <v/>
      </c>
      <c r="F4889" s="316" t="str">
        <f>IFERROR(VLOOKUP(A4889,[3]DOORSCRIEFT!$A$2:$G$8551,6,FALSE),"")</f>
        <v/>
      </c>
      <c r="G4889" s="315"/>
    </row>
    <row r="4890" spans="1:7" x14ac:dyDescent="0.25">
      <c r="A4890" s="320" t="str">
        <f t="shared" si="149"/>
        <v>I.3.1.4.07.0025</v>
      </c>
      <c r="B4890" s="320">
        <v>5</v>
      </c>
      <c r="C4890" s="319" t="str">
        <f>IFERROR(VLOOKUP(A4890,[3]DOORSCRIEFT!$A$2:$G$8551,2,FALSE),"")</f>
        <v/>
      </c>
      <c r="D4890" s="318" t="str">
        <f>IFERROR(VLOOKUP(A4890,[3]DOORSCRIEFT!$A$2:$G$8551,3,FALSE),"")</f>
        <v/>
      </c>
      <c r="E4890" s="317" t="str">
        <f>IFERROR(VLOOKUP(A4890,[3]DOORSCRIEFT!$A$2:$G$8551,4,FALSE),"")</f>
        <v/>
      </c>
      <c r="F4890" s="316" t="str">
        <f>IFERROR(VLOOKUP(A4890,[3]DOORSCRIEFT!$A$2:$G$8551,6,FALSE),"")</f>
        <v/>
      </c>
      <c r="G4890" s="315"/>
    </row>
    <row r="4891" spans="1:7" x14ac:dyDescent="0.25">
      <c r="A4891" s="320" t="str">
        <f t="shared" si="149"/>
        <v>I.3.1.4.07.0026</v>
      </c>
      <c r="B4891" s="321">
        <v>6</v>
      </c>
      <c r="C4891" s="319" t="str">
        <f>IFERROR(VLOOKUP(A4891,[3]DOORSCRIEFT!$A$2:$G$8551,2,FALSE),"")</f>
        <v/>
      </c>
      <c r="D4891" s="318" t="str">
        <f>IFERROR(VLOOKUP(A4891,[3]DOORSCRIEFT!$A$2:$G$8551,3,FALSE),"")</f>
        <v/>
      </c>
      <c r="E4891" s="317" t="str">
        <f>IFERROR(VLOOKUP(A4891,[3]DOORSCRIEFT!$A$2:$G$8551,4,FALSE),"")</f>
        <v/>
      </c>
      <c r="F4891" s="316" t="str">
        <f>IFERROR(VLOOKUP(A4891,[3]DOORSCRIEFT!$A$2:$G$8551,6,FALSE),"")</f>
        <v/>
      </c>
      <c r="G4891" s="315"/>
    </row>
    <row r="4892" spans="1:7" x14ac:dyDescent="0.25">
      <c r="A4892" s="320" t="str">
        <f t="shared" si="149"/>
        <v>I.3.1.4.07.0027</v>
      </c>
      <c r="B4892" s="320">
        <v>7</v>
      </c>
      <c r="C4892" s="319" t="str">
        <f>IFERROR(VLOOKUP(A4892,[3]DOORSCRIEFT!$A$2:$G$8551,2,FALSE),"")</f>
        <v/>
      </c>
      <c r="D4892" s="318" t="str">
        <f>IFERROR(VLOOKUP(A4892,[3]DOORSCRIEFT!$A$2:$G$8551,3,FALSE),"")</f>
        <v/>
      </c>
      <c r="E4892" s="317" t="str">
        <f>IFERROR(VLOOKUP(A4892,[3]DOORSCRIEFT!$A$2:$G$8551,4,FALSE),"")</f>
        <v/>
      </c>
      <c r="F4892" s="316" t="str">
        <f>IFERROR(VLOOKUP(A4892,[3]DOORSCRIEFT!$A$2:$G$8551,6,FALSE),"")</f>
        <v/>
      </c>
      <c r="G4892" s="315"/>
    </row>
    <row r="4893" spans="1:7" x14ac:dyDescent="0.25">
      <c r="A4893" s="320" t="str">
        <f t="shared" si="149"/>
        <v>I.3.1.4.07.0028</v>
      </c>
      <c r="B4893" s="321">
        <v>8</v>
      </c>
      <c r="C4893" s="319" t="str">
        <f>IFERROR(VLOOKUP(A4893,[3]DOORSCRIEFT!$A$2:$G$8551,2,FALSE),"")</f>
        <v/>
      </c>
      <c r="D4893" s="318" t="str">
        <f>IFERROR(VLOOKUP(A4893,[3]DOORSCRIEFT!$A$2:$G$8551,3,FALSE),"")</f>
        <v/>
      </c>
      <c r="E4893" s="317" t="str">
        <f>IFERROR(VLOOKUP(A4893,[3]DOORSCRIEFT!$A$2:$G$8551,4,FALSE),"")</f>
        <v/>
      </c>
      <c r="F4893" s="316" t="str">
        <f>IFERROR(VLOOKUP(A4893,[3]DOORSCRIEFT!$A$2:$G$8551,6,FALSE),"")</f>
        <v/>
      </c>
      <c r="G4893" s="315"/>
    </row>
    <row r="4894" spans="1:7" x14ac:dyDescent="0.25">
      <c r="A4894" s="320" t="str">
        <f t="shared" si="149"/>
        <v>I.3.1.4.07.0029</v>
      </c>
      <c r="B4894" s="320">
        <v>9</v>
      </c>
      <c r="C4894" s="319" t="str">
        <f>IFERROR(VLOOKUP(A4894,[3]DOORSCRIEFT!$A$2:$G$8551,2,FALSE),"")</f>
        <v/>
      </c>
      <c r="D4894" s="318" t="str">
        <f>IFERROR(VLOOKUP(A4894,[3]DOORSCRIEFT!$A$2:$G$8551,3,FALSE),"")</f>
        <v/>
      </c>
      <c r="E4894" s="317" t="str">
        <f>IFERROR(VLOOKUP(A4894,[3]DOORSCRIEFT!$A$2:$G$8551,4,FALSE),"")</f>
        <v/>
      </c>
      <c r="F4894" s="316" t="str">
        <f>IFERROR(VLOOKUP(A4894,[3]DOORSCRIEFT!$A$2:$G$8551,6,FALSE),"")</f>
        <v/>
      </c>
      <c r="G4894" s="315"/>
    </row>
    <row r="4895" spans="1:7" x14ac:dyDescent="0.25">
      <c r="A4895" s="320" t="str">
        <f t="shared" si="149"/>
        <v>I.3.1.4.07.00210</v>
      </c>
      <c r="B4895" s="321">
        <v>10</v>
      </c>
      <c r="C4895" s="319" t="str">
        <f>IFERROR(VLOOKUP(A4895,[3]DOORSCRIEFT!$A$2:$G$8551,2,FALSE),"")</f>
        <v/>
      </c>
      <c r="D4895" s="318" t="str">
        <f>IFERROR(VLOOKUP(A4895,[3]DOORSCRIEFT!$A$2:$G$8551,3,FALSE),"")</f>
        <v/>
      </c>
      <c r="E4895" s="317" t="str">
        <f>IFERROR(VLOOKUP(A4895,[3]DOORSCRIEFT!$A$2:$G$8551,4,FALSE),"")</f>
        <v/>
      </c>
      <c r="F4895" s="316" t="str">
        <f>IFERROR(VLOOKUP(A4895,[3]DOORSCRIEFT!$A$2:$G$8551,6,FALSE),"")</f>
        <v/>
      </c>
      <c r="G4895" s="315"/>
    </row>
    <row r="4896" spans="1:7" x14ac:dyDescent="0.25">
      <c r="A4896" s="320" t="str">
        <f t="shared" si="149"/>
        <v>I.3.1.4.07.00211</v>
      </c>
      <c r="B4896" s="320">
        <v>11</v>
      </c>
      <c r="C4896" s="319" t="str">
        <f>IFERROR(VLOOKUP(A4896,[3]DOORSCRIEFT!$A$2:$G$8551,2,FALSE),"")</f>
        <v/>
      </c>
      <c r="D4896" s="318" t="str">
        <f>IFERROR(VLOOKUP(A4896,[3]DOORSCRIEFT!$A$2:$G$8551,3,FALSE),"")</f>
        <v/>
      </c>
      <c r="E4896" s="317" t="str">
        <f>IFERROR(VLOOKUP(A4896,[3]DOORSCRIEFT!$A$2:$G$8551,4,FALSE),"")</f>
        <v/>
      </c>
      <c r="F4896" s="316" t="str">
        <f>IFERROR(VLOOKUP(A4896,[3]DOORSCRIEFT!$A$2:$G$8551,6,FALSE),"")</f>
        <v/>
      </c>
      <c r="G4896" s="315"/>
    </row>
    <row r="4897" spans="1:7" x14ac:dyDescent="0.25">
      <c r="A4897" s="320" t="str">
        <f t="shared" si="149"/>
        <v>I.3.1.4.07.00212</v>
      </c>
      <c r="B4897" s="321">
        <v>12</v>
      </c>
      <c r="C4897" s="319" t="str">
        <f>IFERROR(VLOOKUP(A4897,[3]DOORSCRIEFT!$A$2:$G$8551,2,FALSE),"")</f>
        <v/>
      </c>
      <c r="D4897" s="318" t="str">
        <f>IFERROR(VLOOKUP(A4897,[3]DOORSCRIEFT!$A$2:$G$8551,3,FALSE),"")</f>
        <v/>
      </c>
      <c r="E4897" s="317" t="str">
        <f>IFERROR(VLOOKUP(A4897,[3]DOORSCRIEFT!$A$2:$G$8551,4,FALSE),"")</f>
        <v/>
      </c>
      <c r="F4897" s="316" t="str">
        <f>IFERROR(VLOOKUP(A4897,[3]DOORSCRIEFT!$A$2:$G$8551,6,FALSE),"")</f>
        <v/>
      </c>
      <c r="G4897" s="315"/>
    </row>
    <row r="4898" spans="1:7" x14ac:dyDescent="0.25">
      <c r="A4898" s="320" t="str">
        <f t="shared" si="149"/>
        <v>I.3.1.4.07.00213</v>
      </c>
      <c r="B4898" s="320">
        <v>13</v>
      </c>
      <c r="C4898" s="319" t="str">
        <f>IFERROR(VLOOKUP(A4898,[3]DOORSCRIEFT!$A$2:$G$8551,2,FALSE),"")</f>
        <v/>
      </c>
      <c r="D4898" s="318" t="str">
        <f>IFERROR(VLOOKUP(A4898,[3]DOORSCRIEFT!$A$2:$G$8551,3,FALSE),"")</f>
        <v/>
      </c>
      <c r="E4898" s="317" t="str">
        <f>IFERROR(VLOOKUP(A4898,[3]DOORSCRIEFT!$A$2:$G$8551,4,FALSE),"")</f>
        <v/>
      </c>
      <c r="F4898" s="316" t="str">
        <f>IFERROR(VLOOKUP(A4898,[3]DOORSCRIEFT!$A$2:$G$8551,6,FALSE),"")</f>
        <v/>
      </c>
      <c r="G4898" s="315"/>
    </row>
    <row r="4899" spans="1:7" x14ac:dyDescent="0.25">
      <c r="A4899" s="320" t="str">
        <f t="shared" si="149"/>
        <v>I.3.1.4.07.00214</v>
      </c>
      <c r="B4899" s="321">
        <v>14</v>
      </c>
      <c r="C4899" s="319" t="str">
        <f>IFERROR(VLOOKUP(A4899,[3]DOORSCRIEFT!$A$2:$G$8551,2,FALSE),"")</f>
        <v/>
      </c>
      <c r="D4899" s="318" t="str">
        <f>IFERROR(VLOOKUP(A4899,[3]DOORSCRIEFT!$A$2:$G$8551,3,FALSE),"")</f>
        <v/>
      </c>
      <c r="E4899" s="317" t="str">
        <f>IFERROR(VLOOKUP(A4899,[3]DOORSCRIEFT!$A$2:$G$8551,4,FALSE),"")</f>
        <v/>
      </c>
      <c r="F4899" s="316" t="str">
        <f>IFERROR(VLOOKUP(A4899,[3]DOORSCRIEFT!$A$2:$G$8551,6,FALSE),"")</f>
        <v/>
      </c>
      <c r="G4899" s="315"/>
    </row>
    <row r="4900" spans="1:7" ht="15.75" thickBot="1" x14ac:dyDescent="0.3">
      <c r="A4900" s="320" t="str">
        <f t="shared" si="149"/>
        <v>I.3.1.4.07.00215</v>
      </c>
      <c r="B4900" s="320">
        <v>15</v>
      </c>
      <c r="C4900" s="319" t="str">
        <f>IFERROR(VLOOKUP(A4900,[3]DOORSCRIEFT!$A$2:$G$8551,2,FALSE),"")</f>
        <v/>
      </c>
      <c r="D4900" s="318" t="str">
        <f>IFERROR(VLOOKUP(A4900,[3]DOORSCRIEFT!$A$2:$G$8551,3,FALSE),"")</f>
        <v/>
      </c>
      <c r="E4900" s="317" t="str">
        <f>IFERROR(VLOOKUP(A4900,[3]DOORSCRIEFT!$A$2:$G$8551,4,FALSE),"")</f>
        <v/>
      </c>
      <c r="F4900" s="316" t="str">
        <f>IFERROR(VLOOKUP(A4900,[3]DOORSCRIEFT!$A$2:$G$8551,6,FALSE),"")</f>
        <v/>
      </c>
      <c r="G4900" s="315"/>
    </row>
    <row r="4901" spans="1:7" ht="15.75" thickBot="1" x14ac:dyDescent="0.3">
      <c r="A4901" s="314"/>
      <c r="B4901" s="312"/>
      <c r="C4901" s="336"/>
      <c r="D4901" s="312"/>
      <c r="E4901" s="311" t="s">
        <v>644</v>
      </c>
      <c r="F4901" s="310">
        <f>SUM(F4886:F4900)</f>
        <v>0</v>
      </c>
      <c r="G4901" s="309">
        <f>SUM(G4886:G4900)</f>
        <v>0</v>
      </c>
    </row>
    <row r="4902" spans="1:7" x14ac:dyDescent="0.25">
      <c r="C4902" s="335"/>
    </row>
    <row r="4903" spans="1:7" x14ac:dyDescent="0.25">
      <c r="C4903" s="335"/>
    </row>
    <row r="4904" spans="1:7" ht="15.75" x14ac:dyDescent="0.25">
      <c r="C4904" s="334"/>
      <c r="D4904" s="333"/>
      <c r="E4904" s="332"/>
      <c r="F4904" s="327" t="s">
        <v>607</v>
      </c>
      <c r="G4904" s="327" t="s">
        <v>344</v>
      </c>
    </row>
    <row r="4905" spans="1:7" ht="15.75" x14ac:dyDescent="0.25">
      <c r="C4905" s="334"/>
      <c r="D4905" s="333"/>
      <c r="E4905" s="332"/>
      <c r="F4905" s="327" t="s">
        <v>601</v>
      </c>
      <c r="G4905" s="327" t="s">
        <v>73</v>
      </c>
    </row>
    <row r="4906" spans="1:7" x14ac:dyDescent="0.25">
      <c r="C4906" s="330"/>
      <c r="D4906" s="329"/>
      <c r="E4906" s="328"/>
      <c r="F4906" s="327" t="s">
        <v>651</v>
      </c>
      <c r="G4906" s="331">
        <f>[2]Sheet1!$D$160</f>
        <v>0</v>
      </c>
    </row>
    <row r="4907" spans="1:7" ht="15.75" thickBot="1" x14ac:dyDescent="0.3">
      <c r="C4907" s="330"/>
      <c r="D4907" s="329"/>
      <c r="E4907" s="328"/>
      <c r="F4907" s="327" t="s">
        <v>650</v>
      </c>
      <c r="G4907" s="326">
        <f>+F4926-G4906</f>
        <v>0</v>
      </c>
    </row>
    <row r="4908" spans="1:7" x14ac:dyDescent="0.25">
      <c r="A4908" s="573" t="s">
        <v>626</v>
      </c>
      <c r="B4908" s="584" t="s">
        <v>606</v>
      </c>
      <c r="C4908" s="588" t="s">
        <v>649</v>
      </c>
      <c r="D4908" s="577" t="s">
        <v>648</v>
      </c>
      <c r="E4908" s="577" t="s">
        <v>647</v>
      </c>
      <c r="F4908" s="577" t="s">
        <v>646</v>
      </c>
      <c r="G4908" s="580" t="s">
        <v>645</v>
      </c>
    </row>
    <row r="4909" spans="1:7" ht="15.75" thickBot="1" x14ac:dyDescent="0.3">
      <c r="A4909" s="574"/>
      <c r="B4909" s="585"/>
      <c r="C4909" s="589"/>
      <c r="D4909" s="586"/>
      <c r="E4909" s="586"/>
      <c r="F4909" s="586"/>
      <c r="G4909" s="587"/>
    </row>
    <row r="4910" spans="1:7" ht="15.75" thickBot="1" x14ac:dyDescent="0.3">
      <c r="A4910" s="325">
        <v>1</v>
      </c>
      <c r="B4910" s="324">
        <v>2</v>
      </c>
      <c r="C4910" s="324">
        <v>3</v>
      </c>
      <c r="D4910" s="324">
        <v>4</v>
      </c>
      <c r="E4910" s="324">
        <v>5</v>
      </c>
      <c r="F4910" s="324">
        <v>6</v>
      </c>
      <c r="G4910" s="323">
        <v>7</v>
      </c>
    </row>
    <row r="4911" spans="1:7" x14ac:dyDescent="0.25">
      <c r="A4911" s="320" t="str">
        <f t="shared" ref="A4911:A4925" si="150">$G$4904&amp;B4911</f>
        <v>I.3.1.4.07.0031</v>
      </c>
      <c r="B4911" s="320">
        <v>1</v>
      </c>
      <c r="C4911" s="319" t="str">
        <f>IFERROR(VLOOKUP(A4911,[3]DOORSCRIEFT!$A$2:$G$8551,2,FALSE),"")</f>
        <v/>
      </c>
      <c r="D4911" s="318" t="str">
        <f>IFERROR(VLOOKUP(A4911,[3]DOORSCRIEFT!$A$2:$G$8551,3,FALSE),"")</f>
        <v/>
      </c>
      <c r="E4911" s="317" t="str">
        <f>IFERROR(VLOOKUP(A4911,[3]DOORSCRIEFT!$A$2:$G$8551,4,FALSE),"")</f>
        <v/>
      </c>
      <c r="F4911" s="316" t="str">
        <f>IFERROR(VLOOKUP(A4911,[3]DOORSCRIEFT!$A$2:$G$8551,6,FALSE),"")</f>
        <v/>
      </c>
      <c r="G4911" s="322"/>
    </row>
    <row r="4912" spans="1:7" x14ac:dyDescent="0.25">
      <c r="A4912" s="320" t="str">
        <f t="shared" si="150"/>
        <v>I.3.1.4.07.0032</v>
      </c>
      <c r="B4912" s="321">
        <v>2</v>
      </c>
      <c r="C4912" s="319" t="str">
        <f>IFERROR(VLOOKUP(A4912,[3]DOORSCRIEFT!$A$2:$G$8551,2,FALSE),"")</f>
        <v/>
      </c>
      <c r="D4912" s="318" t="str">
        <f>IFERROR(VLOOKUP(A4912,[3]DOORSCRIEFT!$A$2:$G$8551,3,FALSE),"")</f>
        <v/>
      </c>
      <c r="E4912" s="317" t="str">
        <f>IFERROR(VLOOKUP(A4912,[3]DOORSCRIEFT!$A$2:$G$8551,4,FALSE),"")</f>
        <v/>
      </c>
      <c r="F4912" s="316" t="str">
        <f>IFERROR(VLOOKUP(A4912,[3]DOORSCRIEFT!$A$2:$G$8551,6,FALSE),"")</f>
        <v/>
      </c>
      <c r="G4912" s="315"/>
    </row>
    <row r="4913" spans="1:7" x14ac:dyDescent="0.25">
      <c r="A4913" s="320" t="str">
        <f t="shared" si="150"/>
        <v>I.3.1.4.07.0033</v>
      </c>
      <c r="B4913" s="320">
        <v>3</v>
      </c>
      <c r="C4913" s="319" t="str">
        <f>IFERROR(VLOOKUP(A4913,[3]DOORSCRIEFT!$A$2:$G$8551,2,FALSE),"")</f>
        <v/>
      </c>
      <c r="D4913" s="318" t="str">
        <f>IFERROR(VLOOKUP(A4913,[3]DOORSCRIEFT!$A$2:$G$8551,3,FALSE),"")</f>
        <v/>
      </c>
      <c r="E4913" s="317" t="str">
        <f>IFERROR(VLOOKUP(A4913,[3]DOORSCRIEFT!$A$2:$G$8551,4,FALSE),"")</f>
        <v/>
      </c>
      <c r="F4913" s="316" t="str">
        <f>IFERROR(VLOOKUP(A4913,[3]DOORSCRIEFT!$A$2:$G$8551,6,FALSE),"")</f>
        <v/>
      </c>
      <c r="G4913" s="315"/>
    </row>
    <row r="4914" spans="1:7" x14ac:dyDescent="0.25">
      <c r="A4914" s="320" t="str">
        <f t="shared" si="150"/>
        <v>I.3.1.4.07.0034</v>
      </c>
      <c r="B4914" s="321">
        <v>4</v>
      </c>
      <c r="C4914" s="319" t="str">
        <f>IFERROR(VLOOKUP(A4914,[3]DOORSCRIEFT!$A$2:$G$8551,2,FALSE),"")</f>
        <v/>
      </c>
      <c r="D4914" s="318" t="str">
        <f>IFERROR(VLOOKUP(A4914,[3]DOORSCRIEFT!$A$2:$G$8551,3,FALSE),"")</f>
        <v/>
      </c>
      <c r="E4914" s="317" t="str">
        <f>IFERROR(VLOOKUP(A4914,[3]DOORSCRIEFT!$A$2:$G$8551,4,FALSE),"")</f>
        <v/>
      </c>
      <c r="F4914" s="316" t="str">
        <f>IFERROR(VLOOKUP(A4914,[3]DOORSCRIEFT!$A$2:$G$8551,6,FALSE),"")</f>
        <v/>
      </c>
      <c r="G4914" s="315"/>
    </row>
    <row r="4915" spans="1:7" x14ac:dyDescent="0.25">
      <c r="A4915" s="320" t="str">
        <f t="shared" si="150"/>
        <v>I.3.1.4.07.0035</v>
      </c>
      <c r="B4915" s="320">
        <v>5</v>
      </c>
      <c r="C4915" s="319" t="str">
        <f>IFERROR(VLOOKUP(A4915,[3]DOORSCRIEFT!$A$2:$G$8551,2,FALSE),"")</f>
        <v/>
      </c>
      <c r="D4915" s="318" t="str">
        <f>IFERROR(VLOOKUP(A4915,[3]DOORSCRIEFT!$A$2:$G$8551,3,FALSE),"")</f>
        <v/>
      </c>
      <c r="E4915" s="317" t="str">
        <f>IFERROR(VLOOKUP(A4915,[3]DOORSCRIEFT!$A$2:$G$8551,4,FALSE),"")</f>
        <v/>
      </c>
      <c r="F4915" s="316" t="str">
        <f>IFERROR(VLOOKUP(A4915,[3]DOORSCRIEFT!$A$2:$G$8551,6,FALSE),"")</f>
        <v/>
      </c>
      <c r="G4915" s="315"/>
    </row>
    <row r="4916" spans="1:7" x14ac:dyDescent="0.25">
      <c r="A4916" s="320" t="str">
        <f t="shared" si="150"/>
        <v>I.3.1.4.07.0036</v>
      </c>
      <c r="B4916" s="321">
        <v>6</v>
      </c>
      <c r="C4916" s="319" t="str">
        <f>IFERROR(VLOOKUP(A4916,[3]DOORSCRIEFT!$A$2:$G$8551,2,FALSE),"")</f>
        <v/>
      </c>
      <c r="D4916" s="318" t="str">
        <f>IFERROR(VLOOKUP(A4916,[3]DOORSCRIEFT!$A$2:$G$8551,3,FALSE),"")</f>
        <v/>
      </c>
      <c r="E4916" s="317" t="str">
        <f>IFERROR(VLOOKUP(A4916,[3]DOORSCRIEFT!$A$2:$G$8551,4,FALSE),"")</f>
        <v/>
      </c>
      <c r="F4916" s="316" t="str">
        <f>IFERROR(VLOOKUP(A4916,[3]DOORSCRIEFT!$A$2:$G$8551,6,FALSE),"")</f>
        <v/>
      </c>
      <c r="G4916" s="315"/>
    </row>
    <row r="4917" spans="1:7" x14ac:dyDescent="0.25">
      <c r="A4917" s="320" t="str">
        <f t="shared" si="150"/>
        <v>I.3.1.4.07.0037</v>
      </c>
      <c r="B4917" s="320">
        <v>7</v>
      </c>
      <c r="C4917" s="319" t="str">
        <f>IFERROR(VLOOKUP(A4917,[3]DOORSCRIEFT!$A$2:$G$8551,2,FALSE),"")</f>
        <v/>
      </c>
      <c r="D4917" s="318" t="str">
        <f>IFERROR(VLOOKUP(A4917,[3]DOORSCRIEFT!$A$2:$G$8551,3,FALSE),"")</f>
        <v/>
      </c>
      <c r="E4917" s="317" t="str">
        <f>IFERROR(VLOOKUP(A4917,[3]DOORSCRIEFT!$A$2:$G$8551,4,FALSE),"")</f>
        <v/>
      </c>
      <c r="F4917" s="316" t="str">
        <f>IFERROR(VLOOKUP(A4917,[3]DOORSCRIEFT!$A$2:$G$8551,6,FALSE),"")</f>
        <v/>
      </c>
      <c r="G4917" s="315"/>
    </row>
    <row r="4918" spans="1:7" x14ac:dyDescent="0.25">
      <c r="A4918" s="320" t="str">
        <f t="shared" si="150"/>
        <v>I.3.1.4.07.0038</v>
      </c>
      <c r="B4918" s="321">
        <v>8</v>
      </c>
      <c r="C4918" s="319" t="str">
        <f>IFERROR(VLOOKUP(A4918,[3]DOORSCRIEFT!$A$2:$G$8551,2,FALSE),"")</f>
        <v/>
      </c>
      <c r="D4918" s="318" t="str">
        <f>IFERROR(VLOOKUP(A4918,[3]DOORSCRIEFT!$A$2:$G$8551,3,FALSE),"")</f>
        <v/>
      </c>
      <c r="E4918" s="317" t="str">
        <f>IFERROR(VLOOKUP(A4918,[3]DOORSCRIEFT!$A$2:$G$8551,4,FALSE),"")</f>
        <v/>
      </c>
      <c r="F4918" s="316" t="str">
        <f>IFERROR(VLOOKUP(A4918,[3]DOORSCRIEFT!$A$2:$G$8551,6,FALSE),"")</f>
        <v/>
      </c>
      <c r="G4918" s="315"/>
    </row>
    <row r="4919" spans="1:7" x14ac:dyDescent="0.25">
      <c r="A4919" s="320" t="str">
        <f t="shared" si="150"/>
        <v>I.3.1.4.07.0039</v>
      </c>
      <c r="B4919" s="320">
        <v>9</v>
      </c>
      <c r="C4919" s="319" t="str">
        <f>IFERROR(VLOOKUP(A4919,[3]DOORSCRIEFT!$A$2:$G$8551,2,FALSE),"")</f>
        <v/>
      </c>
      <c r="D4919" s="318" t="str">
        <f>IFERROR(VLOOKUP(A4919,[3]DOORSCRIEFT!$A$2:$G$8551,3,FALSE),"")</f>
        <v/>
      </c>
      <c r="E4919" s="317" t="str">
        <f>IFERROR(VLOOKUP(A4919,[3]DOORSCRIEFT!$A$2:$G$8551,4,FALSE),"")</f>
        <v/>
      </c>
      <c r="F4919" s="316" t="str">
        <f>IFERROR(VLOOKUP(A4919,[3]DOORSCRIEFT!$A$2:$G$8551,6,FALSE),"")</f>
        <v/>
      </c>
      <c r="G4919" s="315"/>
    </row>
    <row r="4920" spans="1:7" x14ac:dyDescent="0.25">
      <c r="A4920" s="320" t="str">
        <f t="shared" si="150"/>
        <v>I.3.1.4.07.00310</v>
      </c>
      <c r="B4920" s="321">
        <v>10</v>
      </c>
      <c r="C4920" s="319" t="str">
        <f>IFERROR(VLOOKUP(A4920,[3]DOORSCRIEFT!$A$2:$G$8551,2,FALSE),"")</f>
        <v/>
      </c>
      <c r="D4920" s="318" t="str">
        <f>IFERROR(VLOOKUP(A4920,[3]DOORSCRIEFT!$A$2:$G$8551,3,FALSE),"")</f>
        <v/>
      </c>
      <c r="E4920" s="317" t="str">
        <f>IFERROR(VLOOKUP(A4920,[3]DOORSCRIEFT!$A$2:$G$8551,4,FALSE),"")</f>
        <v/>
      </c>
      <c r="F4920" s="316" t="str">
        <f>IFERROR(VLOOKUP(A4920,[3]DOORSCRIEFT!$A$2:$G$8551,6,FALSE),"")</f>
        <v/>
      </c>
      <c r="G4920" s="315"/>
    </row>
    <row r="4921" spans="1:7" x14ac:dyDescent="0.25">
      <c r="A4921" s="320" t="str">
        <f t="shared" si="150"/>
        <v>I.3.1.4.07.00311</v>
      </c>
      <c r="B4921" s="320">
        <v>11</v>
      </c>
      <c r="C4921" s="319" t="str">
        <f>IFERROR(VLOOKUP(A4921,[3]DOORSCRIEFT!$A$2:$G$8551,2,FALSE),"")</f>
        <v/>
      </c>
      <c r="D4921" s="318" t="str">
        <f>IFERROR(VLOOKUP(A4921,[3]DOORSCRIEFT!$A$2:$G$8551,3,FALSE),"")</f>
        <v/>
      </c>
      <c r="E4921" s="317" t="str">
        <f>IFERROR(VLOOKUP(A4921,[3]DOORSCRIEFT!$A$2:$G$8551,4,FALSE),"")</f>
        <v/>
      </c>
      <c r="F4921" s="316" t="str">
        <f>IFERROR(VLOOKUP(A4921,[3]DOORSCRIEFT!$A$2:$G$8551,6,FALSE),"")</f>
        <v/>
      </c>
      <c r="G4921" s="315"/>
    </row>
    <row r="4922" spans="1:7" x14ac:dyDescent="0.25">
      <c r="A4922" s="320" t="str">
        <f t="shared" si="150"/>
        <v>I.3.1.4.07.00312</v>
      </c>
      <c r="B4922" s="321">
        <v>12</v>
      </c>
      <c r="C4922" s="319" t="str">
        <f>IFERROR(VLOOKUP(A4922,[3]DOORSCRIEFT!$A$2:$G$8551,2,FALSE),"")</f>
        <v/>
      </c>
      <c r="D4922" s="318" t="str">
        <f>IFERROR(VLOOKUP(A4922,[3]DOORSCRIEFT!$A$2:$G$8551,3,FALSE),"")</f>
        <v/>
      </c>
      <c r="E4922" s="317" t="str">
        <f>IFERROR(VLOOKUP(A4922,[3]DOORSCRIEFT!$A$2:$G$8551,4,FALSE),"")</f>
        <v/>
      </c>
      <c r="F4922" s="316" t="str">
        <f>IFERROR(VLOOKUP(A4922,[3]DOORSCRIEFT!$A$2:$G$8551,6,FALSE),"")</f>
        <v/>
      </c>
      <c r="G4922" s="315"/>
    </row>
    <row r="4923" spans="1:7" x14ac:dyDescent="0.25">
      <c r="A4923" s="320" t="str">
        <f t="shared" si="150"/>
        <v>I.3.1.4.07.00313</v>
      </c>
      <c r="B4923" s="320">
        <v>13</v>
      </c>
      <c r="C4923" s="319" t="str">
        <f>IFERROR(VLOOKUP(A4923,[3]DOORSCRIEFT!$A$2:$G$8551,2,FALSE),"")</f>
        <v/>
      </c>
      <c r="D4923" s="318" t="str">
        <f>IFERROR(VLOOKUP(A4923,[3]DOORSCRIEFT!$A$2:$G$8551,3,FALSE),"")</f>
        <v/>
      </c>
      <c r="E4923" s="317" t="str">
        <f>IFERROR(VLOOKUP(A4923,[3]DOORSCRIEFT!$A$2:$G$8551,4,FALSE),"")</f>
        <v/>
      </c>
      <c r="F4923" s="316" t="str">
        <f>IFERROR(VLOOKUP(A4923,[3]DOORSCRIEFT!$A$2:$G$8551,6,FALSE),"")</f>
        <v/>
      </c>
      <c r="G4923" s="315"/>
    </row>
    <row r="4924" spans="1:7" x14ac:dyDescent="0.25">
      <c r="A4924" s="320" t="str">
        <f t="shared" si="150"/>
        <v>I.3.1.4.07.00314</v>
      </c>
      <c r="B4924" s="321">
        <v>14</v>
      </c>
      <c r="C4924" s="319" t="str">
        <f>IFERROR(VLOOKUP(A4924,[3]DOORSCRIEFT!$A$2:$G$8551,2,FALSE),"")</f>
        <v/>
      </c>
      <c r="D4924" s="318" t="str">
        <f>IFERROR(VLOOKUP(A4924,[3]DOORSCRIEFT!$A$2:$G$8551,3,FALSE),"")</f>
        <v/>
      </c>
      <c r="E4924" s="317" t="str">
        <f>IFERROR(VLOOKUP(A4924,[3]DOORSCRIEFT!$A$2:$G$8551,4,FALSE),"")</f>
        <v/>
      </c>
      <c r="F4924" s="316" t="str">
        <f>IFERROR(VLOOKUP(A4924,[3]DOORSCRIEFT!$A$2:$G$8551,6,FALSE),"")</f>
        <v/>
      </c>
      <c r="G4924" s="315"/>
    </row>
    <row r="4925" spans="1:7" ht="15.75" thickBot="1" x14ac:dyDescent="0.3">
      <c r="A4925" s="320" t="str">
        <f t="shared" si="150"/>
        <v>I.3.1.4.07.00315</v>
      </c>
      <c r="B4925" s="320">
        <v>15</v>
      </c>
      <c r="C4925" s="319" t="str">
        <f>IFERROR(VLOOKUP(A4925,[3]DOORSCRIEFT!$A$2:$G$8551,2,FALSE),"")</f>
        <v/>
      </c>
      <c r="D4925" s="318" t="str">
        <f>IFERROR(VLOOKUP(A4925,[3]DOORSCRIEFT!$A$2:$G$8551,3,FALSE),"")</f>
        <v/>
      </c>
      <c r="E4925" s="317" t="str">
        <f>IFERROR(VLOOKUP(A4925,[3]DOORSCRIEFT!$A$2:$G$8551,4,FALSE),"")</f>
        <v/>
      </c>
      <c r="F4925" s="316" t="str">
        <f>IFERROR(VLOOKUP(A4925,[3]DOORSCRIEFT!$A$2:$G$8551,6,FALSE),"")</f>
        <v/>
      </c>
      <c r="G4925" s="315"/>
    </row>
    <row r="4926" spans="1:7" ht="15.75" thickBot="1" x14ac:dyDescent="0.3">
      <c r="A4926" s="314"/>
      <c r="B4926" s="312"/>
      <c r="C4926" s="336"/>
      <c r="D4926" s="312"/>
      <c r="E4926" s="311" t="s">
        <v>644</v>
      </c>
      <c r="F4926" s="310">
        <f>SUM(F4911:F4925)</f>
        <v>0</v>
      </c>
      <c r="G4926" s="309">
        <f>SUM(G4911:G4925)</f>
        <v>0</v>
      </c>
    </row>
    <row r="4927" spans="1:7" x14ac:dyDescent="0.25">
      <c r="C4927" s="335"/>
    </row>
    <row r="4928" spans="1:7" x14ac:dyDescent="0.25">
      <c r="C4928" s="335"/>
    </row>
    <row r="4929" spans="1:7" ht="15.75" x14ac:dyDescent="0.25">
      <c r="C4929" s="334"/>
      <c r="D4929" s="333"/>
      <c r="E4929" s="332"/>
      <c r="F4929" s="327" t="s">
        <v>607</v>
      </c>
      <c r="G4929" s="327" t="s">
        <v>337</v>
      </c>
    </row>
    <row r="4930" spans="1:7" ht="15.75" x14ac:dyDescent="0.25">
      <c r="C4930" s="334"/>
      <c r="D4930" s="333"/>
      <c r="E4930" s="332"/>
      <c r="F4930" s="327" t="s">
        <v>601</v>
      </c>
      <c r="G4930" s="327" t="s">
        <v>65</v>
      </c>
    </row>
    <row r="4931" spans="1:7" x14ac:dyDescent="0.25">
      <c r="C4931" s="330"/>
      <c r="D4931" s="329"/>
      <c r="E4931" s="328"/>
      <c r="F4931" s="327" t="s">
        <v>651</v>
      </c>
      <c r="G4931" s="331">
        <f>[2]Sheet1!$D$166</f>
        <v>200000</v>
      </c>
    </row>
    <row r="4932" spans="1:7" ht="15.75" thickBot="1" x14ac:dyDescent="0.3">
      <c r="C4932" s="330"/>
      <c r="D4932" s="329"/>
      <c r="E4932" s="328"/>
      <c r="F4932" s="327" t="s">
        <v>650</v>
      </c>
      <c r="G4932" s="326">
        <f>+F4951-G4931</f>
        <v>150000</v>
      </c>
    </row>
    <row r="4933" spans="1:7" x14ac:dyDescent="0.25">
      <c r="A4933" s="573" t="s">
        <v>626</v>
      </c>
      <c r="B4933" s="584" t="s">
        <v>606</v>
      </c>
      <c r="C4933" s="588" t="s">
        <v>649</v>
      </c>
      <c r="D4933" s="577" t="s">
        <v>648</v>
      </c>
      <c r="E4933" s="577" t="s">
        <v>647</v>
      </c>
      <c r="F4933" s="577" t="s">
        <v>646</v>
      </c>
      <c r="G4933" s="580" t="s">
        <v>645</v>
      </c>
    </row>
    <row r="4934" spans="1:7" ht="15.75" thickBot="1" x14ac:dyDescent="0.3">
      <c r="A4934" s="574"/>
      <c r="B4934" s="585"/>
      <c r="C4934" s="589"/>
      <c r="D4934" s="586"/>
      <c r="E4934" s="586"/>
      <c r="F4934" s="586"/>
      <c r="G4934" s="587"/>
    </row>
    <row r="4935" spans="1:7" ht="15.75" thickBot="1" x14ac:dyDescent="0.3">
      <c r="A4935" s="325">
        <v>1</v>
      </c>
      <c r="B4935" s="324">
        <v>2</v>
      </c>
      <c r="C4935" s="324">
        <v>3</v>
      </c>
      <c r="D4935" s="324">
        <v>4</v>
      </c>
      <c r="E4935" s="324">
        <v>5</v>
      </c>
      <c r="F4935" s="324">
        <v>6</v>
      </c>
      <c r="G4935" s="323">
        <v>7</v>
      </c>
    </row>
    <row r="4936" spans="1:7" x14ac:dyDescent="0.25">
      <c r="A4936" s="320" t="str">
        <f t="shared" ref="A4936:A4950" si="151">$G$4929&amp;B4936</f>
        <v>I.4.1.011</v>
      </c>
      <c r="B4936" s="320">
        <v>1</v>
      </c>
      <c r="C4936" s="319">
        <f>IFERROR(VLOOKUP(A4936,[3]DOORSCRIEFT!$A$2:$G$8551,2,FALSE),"")</f>
        <v>387</v>
      </c>
      <c r="D4936" s="318">
        <f>IFERROR(VLOOKUP(A4936,[3]DOORSCRIEFT!$A$2:$G$8551,3,FALSE),"")</f>
        <v>46101</v>
      </c>
      <c r="E4936" s="317" t="str">
        <f>IFERROR(VLOOKUP(A4936,[3]DOORSCRIEFT!$A$2:$G$8551,4,FALSE),"")</f>
        <v>Hasil Jual Kelapa Kebun Jemaat</v>
      </c>
      <c r="F4936" s="316">
        <f>IFERROR(VLOOKUP(A4936,[3]DOORSCRIEFT!$A$2:$G$8551,6,FALSE),"")</f>
        <v>350000</v>
      </c>
      <c r="G4936" s="322"/>
    </row>
    <row r="4937" spans="1:7" x14ac:dyDescent="0.25">
      <c r="A4937" s="320" t="str">
        <f t="shared" si="151"/>
        <v>I.4.1.012</v>
      </c>
      <c r="B4937" s="321">
        <v>2</v>
      </c>
      <c r="C4937" s="319" t="str">
        <f>IFERROR(VLOOKUP(A4937,[3]DOORSCRIEFT!$A$2:$G$8551,2,FALSE),"")</f>
        <v/>
      </c>
      <c r="D4937" s="318" t="str">
        <f>IFERROR(VLOOKUP(A4937,[3]DOORSCRIEFT!$A$2:$G$8551,3,FALSE),"")</f>
        <v/>
      </c>
      <c r="E4937" s="317" t="str">
        <f>IFERROR(VLOOKUP(A4937,[3]DOORSCRIEFT!$A$2:$G$8551,4,FALSE),"")</f>
        <v/>
      </c>
      <c r="F4937" s="316" t="str">
        <f>IFERROR(VLOOKUP(A4937,[3]DOORSCRIEFT!$A$2:$G$8551,6,FALSE),"")</f>
        <v/>
      </c>
      <c r="G4937" s="315"/>
    </row>
    <row r="4938" spans="1:7" x14ac:dyDescent="0.25">
      <c r="A4938" s="320" t="str">
        <f t="shared" si="151"/>
        <v>I.4.1.013</v>
      </c>
      <c r="B4938" s="320">
        <v>3</v>
      </c>
      <c r="C4938" s="319" t="str">
        <f>IFERROR(VLOOKUP(A4938,[3]DOORSCRIEFT!$A$2:$G$8551,2,FALSE),"")</f>
        <v/>
      </c>
      <c r="D4938" s="318" t="str">
        <f>IFERROR(VLOOKUP(A4938,[3]DOORSCRIEFT!$A$2:$G$8551,3,FALSE),"")</f>
        <v/>
      </c>
      <c r="E4938" s="317" t="str">
        <f>IFERROR(VLOOKUP(A4938,[3]DOORSCRIEFT!$A$2:$G$8551,4,FALSE),"")</f>
        <v/>
      </c>
      <c r="F4938" s="316" t="str">
        <f>IFERROR(VLOOKUP(A4938,[3]DOORSCRIEFT!$A$2:$G$8551,6,FALSE),"")</f>
        <v/>
      </c>
      <c r="G4938" s="315"/>
    </row>
    <row r="4939" spans="1:7" x14ac:dyDescent="0.25">
      <c r="A4939" s="320" t="str">
        <f t="shared" si="151"/>
        <v>I.4.1.014</v>
      </c>
      <c r="B4939" s="321">
        <v>4</v>
      </c>
      <c r="C4939" s="319" t="str">
        <f>IFERROR(VLOOKUP(A4939,[3]DOORSCRIEFT!$A$2:$G$8551,2,FALSE),"")</f>
        <v/>
      </c>
      <c r="D4939" s="318" t="str">
        <f>IFERROR(VLOOKUP(A4939,[3]DOORSCRIEFT!$A$2:$G$8551,3,FALSE),"")</f>
        <v/>
      </c>
      <c r="E4939" s="317" t="str">
        <f>IFERROR(VLOOKUP(A4939,[3]DOORSCRIEFT!$A$2:$G$8551,4,FALSE),"")</f>
        <v/>
      </c>
      <c r="F4939" s="316" t="str">
        <f>IFERROR(VLOOKUP(A4939,[3]DOORSCRIEFT!$A$2:$G$8551,6,FALSE),"")</f>
        <v/>
      </c>
      <c r="G4939" s="315"/>
    </row>
    <row r="4940" spans="1:7" x14ac:dyDescent="0.25">
      <c r="A4940" s="320" t="str">
        <f t="shared" si="151"/>
        <v>I.4.1.015</v>
      </c>
      <c r="B4940" s="320">
        <v>5</v>
      </c>
      <c r="C4940" s="319" t="str">
        <f>IFERROR(VLOOKUP(A4940,[3]DOORSCRIEFT!$A$2:$G$8551,2,FALSE),"")</f>
        <v/>
      </c>
      <c r="D4940" s="318" t="str">
        <f>IFERROR(VLOOKUP(A4940,[3]DOORSCRIEFT!$A$2:$G$8551,3,FALSE),"")</f>
        <v/>
      </c>
      <c r="E4940" s="317" t="str">
        <f>IFERROR(VLOOKUP(A4940,[3]DOORSCRIEFT!$A$2:$G$8551,4,FALSE),"")</f>
        <v/>
      </c>
      <c r="F4940" s="316" t="str">
        <f>IFERROR(VLOOKUP(A4940,[3]DOORSCRIEFT!$A$2:$G$8551,6,FALSE),"")</f>
        <v/>
      </c>
      <c r="G4940" s="315"/>
    </row>
    <row r="4941" spans="1:7" x14ac:dyDescent="0.25">
      <c r="A4941" s="320" t="str">
        <f t="shared" si="151"/>
        <v>I.4.1.016</v>
      </c>
      <c r="B4941" s="321">
        <v>6</v>
      </c>
      <c r="C4941" s="319" t="str">
        <f>IFERROR(VLOOKUP(A4941,[3]DOORSCRIEFT!$A$2:$G$8551,2,FALSE),"")</f>
        <v/>
      </c>
      <c r="D4941" s="318" t="str">
        <f>IFERROR(VLOOKUP(A4941,[3]DOORSCRIEFT!$A$2:$G$8551,3,FALSE),"")</f>
        <v/>
      </c>
      <c r="E4941" s="317" t="str">
        <f>IFERROR(VLOOKUP(A4941,[3]DOORSCRIEFT!$A$2:$G$8551,4,FALSE),"")</f>
        <v/>
      </c>
      <c r="F4941" s="316" t="str">
        <f>IFERROR(VLOOKUP(A4941,[3]DOORSCRIEFT!$A$2:$G$8551,6,FALSE),"")</f>
        <v/>
      </c>
      <c r="G4941" s="315"/>
    </row>
    <row r="4942" spans="1:7" x14ac:dyDescent="0.25">
      <c r="A4942" s="320" t="str">
        <f t="shared" si="151"/>
        <v>I.4.1.017</v>
      </c>
      <c r="B4942" s="320">
        <v>7</v>
      </c>
      <c r="C4942" s="319" t="str">
        <f>IFERROR(VLOOKUP(A4942,[3]DOORSCRIEFT!$A$2:$G$8551,2,FALSE),"")</f>
        <v/>
      </c>
      <c r="D4942" s="318" t="str">
        <f>IFERROR(VLOOKUP(A4942,[3]DOORSCRIEFT!$A$2:$G$8551,3,FALSE),"")</f>
        <v/>
      </c>
      <c r="E4942" s="317" t="str">
        <f>IFERROR(VLOOKUP(A4942,[3]DOORSCRIEFT!$A$2:$G$8551,4,FALSE),"")</f>
        <v/>
      </c>
      <c r="F4942" s="316" t="str">
        <f>IFERROR(VLOOKUP(A4942,[3]DOORSCRIEFT!$A$2:$G$8551,6,FALSE),"")</f>
        <v/>
      </c>
      <c r="G4942" s="315"/>
    </row>
    <row r="4943" spans="1:7" x14ac:dyDescent="0.25">
      <c r="A4943" s="320" t="str">
        <f t="shared" si="151"/>
        <v>I.4.1.018</v>
      </c>
      <c r="B4943" s="321">
        <v>8</v>
      </c>
      <c r="C4943" s="319" t="str">
        <f>IFERROR(VLOOKUP(A4943,[3]DOORSCRIEFT!$A$2:$G$8551,2,FALSE),"")</f>
        <v/>
      </c>
      <c r="D4943" s="318" t="str">
        <f>IFERROR(VLOOKUP(A4943,[3]DOORSCRIEFT!$A$2:$G$8551,3,FALSE),"")</f>
        <v/>
      </c>
      <c r="E4943" s="317" t="str">
        <f>IFERROR(VLOOKUP(A4943,[3]DOORSCRIEFT!$A$2:$G$8551,4,FALSE),"")</f>
        <v/>
      </c>
      <c r="F4943" s="316" t="str">
        <f>IFERROR(VLOOKUP(A4943,[3]DOORSCRIEFT!$A$2:$G$8551,6,FALSE),"")</f>
        <v/>
      </c>
      <c r="G4943" s="315"/>
    </row>
    <row r="4944" spans="1:7" x14ac:dyDescent="0.25">
      <c r="A4944" s="320" t="str">
        <f t="shared" si="151"/>
        <v>I.4.1.019</v>
      </c>
      <c r="B4944" s="320">
        <v>9</v>
      </c>
      <c r="C4944" s="319" t="str">
        <f>IFERROR(VLOOKUP(A4944,[3]DOORSCRIEFT!$A$2:$G$8551,2,FALSE),"")</f>
        <v/>
      </c>
      <c r="D4944" s="318" t="str">
        <f>IFERROR(VLOOKUP(A4944,[3]DOORSCRIEFT!$A$2:$G$8551,3,FALSE),"")</f>
        <v/>
      </c>
      <c r="E4944" s="317" t="str">
        <f>IFERROR(VLOOKUP(A4944,[3]DOORSCRIEFT!$A$2:$G$8551,4,FALSE),"")</f>
        <v/>
      </c>
      <c r="F4944" s="316" t="str">
        <f>IFERROR(VLOOKUP(A4944,[3]DOORSCRIEFT!$A$2:$G$8551,6,FALSE),"")</f>
        <v/>
      </c>
      <c r="G4944" s="315"/>
    </row>
    <row r="4945" spans="1:7" x14ac:dyDescent="0.25">
      <c r="A4945" s="320" t="str">
        <f t="shared" si="151"/>
        <v>I.4.1.0110</v>
      </c>
      <c r="B4945" s="321">
        <v>10</v>
      </c>
      <c r="C4945" s="319" t="str">
        <f>IFERROR(VLOOKUP(A4945,[3]DOORSCRIEFT!$A$2:$G$8551,2,FALSE),"")</f>
        <v/>
      </c>
      <c r="D4945" s="318" t="str">
        <f>IFERROR(VLOOKUP(A4945,[3]DOORSCRIEFT!$A$2:$G$8551,3,FALSE),"")</f>
        <v/>
      </c>
      <c r="E4945" s="317" t="str">
        <f>IFERROR(VLOOKUP(A4945,[3]DOORSCRIEFT!$A$2:$G$8551,4,FALSE),"")</f>
        <v/>
      </c>
      <c r="F4945" s="316" t="str">
        <f>IFERROR(VLOOKUP(A4945,[3]DOORSCRIEFT!$A$2:$G$8551,6,FALSE),"")</f>
        <v/>
      </c>
      <c r="G4945" s="315"/>
    </row>
    <row r="4946" spans="1:7" x14ac:dyDescent="0.25">
      <c r="A4946" s="320" t="str">
        <f t="shared" si="151"/>
        <v>I.4.1.0111</v>
      </c>
      <c r="B4946" s="320">
        <v>11</v>
      </c>
      <c r="C4946" s="319" t="str">
        <f>IFERROR(VLOOKUP(A4946,[3]DOORSCRIEFT!$A$2:$G$8551,2,FALSE),"")</f>
        <v/>
      </c>
      <c r="D4946" s="318" t="str">
        <f>IFERROR(VLOOKUP(A4946,[3]DOORSCRIEFT!$A$2:$G$8551,3,FALSE),"")</f>
        <v/>
      </c>
      <c r="E4946" s="317" t="str">
        <f>IFERROR(VLOOKUP(A4946,[3]DOORSCRIEFT!$A$2:$G$8551,4,FALSE),"")</f>
        <v/>
      </c>
      <c r="F4946" s="316" t="str">
        <f>IFERROR(VLOOKUP(A4946,[3]DOORSCRIEFT!$A$2:$G$8551,6,FALSE),"")</f>
        <v/>
      </c>
      <c r="G4946" s="315"/>
    </row>
    <row r="4947" spans="1:7" x14ac:dyDescent="0.25">
      <c r="A4947" s="320" t="str">
        <f t="shared" si="151"/>
        <v>I.4.1.0112</v>
      </c>
      <c r="B4947" s="321">
        <v>12</v>
      </c>
      <c r="C4947" s="319" t="str">
        <f>IFERROR(VLOOKUP(A4947,[3]DOORSCRIEFT!$A$2:$G$8551,2,FALSE),"")</f>
        <v/>
      </c>
      <c r="D4947" s="318" t="str">
        <f>IFERROR(VLOOKUP(A4947,[3]DOORSCRIEFT!$A$2:$G$8551,3,FALSE),"")</f>
        <v/>
      </c>
      <c r="E4947" s="317" t="str">
        <f>IFERROR(VLOOKUP(A4947,[3]DOORSCRIEFT!$A$2:$G$8551,4,FALSE),"")</f>
        <v/>
      </c>
      <c r="F4947" s="316" t="str">
        <f>IFERROR(VLOOKUP(A4947,[3]DOORSCRIEFT!$A$2:$G$8551,6,FALSE),"")</f>
        <v/>
      </c>
      <c r="G4947" s="315"/>
    </row>
    <row r="4948" spans="1:7" x14ac:dyDescent="0.25">
      <c r="A4948" s="320" t="str">
        <f t="shared" si="151"/>
        <v>I.4.1.0113</v>
      </c>
      <c r="B4948" s="320">
        <v>13</v>
      </c>
      <c r="C4948" s="319" t="str">
        <f>IFERROR(VLOOKUP(A4948,[3]DOORSCRIEFT!$A$2:$G$8551,2,FALSE),"")</f>
        <v/>
      </c>
      <c r="D4948" s="318" t="str">
        <f>IFERROR(VLOOKUP(A4948,[3]DOORSCRIEFT!$A$2:$G$8551,3,FALSE),"")</f>
        <v/>
      </c>
      <c r="E4948" s="317" t="str">
        <f>IFERROR(VLOOKUP(A4948,[3]DOORSCRIEFT!$A$2:$G$8551,4,FALSE),"")</f>
        <v/>
      </c>
      <c r="F4948" s="316" t="str">
        <f>IFERROR(VLOOKUP(A4948,[3]DOORSCRIEFT!$A$2:$G$8551,6,FALSE),"")</f>
        <v/>
      </c>
      <c r="G4948" s="315"/>
    </row>
    <row r="4949" spans="1:7" x14ac:dyDescent="0.25">
      <c r="A4949" s="320" t="str">
        <f t="shared" si="151"/>
        <v>I.4.1.0114</v>
      </c>
      <c r="B4949" s="321">
        <v>14</v>
      </c>
      <c r="C4949" s="319" t="str">
        <f>IFERROR(VLOOKUP(A4949,[3]DOORSCRIEFT!$A$2:$G$8551,2,FALSE),"")</f>
        <v/>
      </c>
      <c r="D4949" s="318" t="str">
        <f>IFERROR(VLOOKUP(A4949,[3]DOORSCRIEFT!$A$2:$G$8551,3,FALSE),"")</f>
        <v/>
      </c>
      <c r="E4949" s="317" t="str">
        <f>IFERROR(VLOOKUP(A4949,[3]DOORSCRIEFT!$A$2:$G$8551,4,FALSE),"")</f>
        <v/>
      </c>
      <c r="F4949" s="316" t="str">
        <f>IFERROR(VLOOKUP(A4949,[3]DOORSCRIEFT!$A$2:$G$8551,6,FALSE),"")</f>
        <v/>
      </c>
      <c r="G4949" s="315"/>
    </row>
    <row r="4950" spans="1:7" ht="15.75" thickBot="1" x14ac:dyDescent="0.3">
      <c r="A4950" s="320" t="str">
        <f t="shared" si="151"/>
        <v>I.4.1.0115</v>
      </c>
      <c r="B4950" s="320">
        <v>15</v>
      </c>
      <c r="C4950" s="319" t="str">
        <f>IFERROR(VLOOKUP(A4950,[3]DOORSCRIEFT!$A$2:$G$8551,2,FALSE),"")</f>
        <v/>
      </c>
      <c r="D4950" s="318" t="str">
        <f>IFERROR(VLOOKUP(A4950,[3]DOORSCRIEFT!$A$2:$G$8551,3,FALSE),"")</f>
        <v/>
      </c>
      <c r="E4950" s="317" t="str">
        <f>IFERROR(VLOOKUP(A4950,[3]DOORSCRIEFT!$A$2:$G$8551,4,FALSE),"")</f>
        <v/>
      </c>
      <c r="F4950" s="316" t="str">
        <f>IFERROR(VLOOKUP(A4950,[3]DOORSCRIEFT!$A$2:$G$8551,6,FALSE),"")</f>
        <v/>
      </c>
      <c r="G4950" s="315"/>
    </row>
    <row r="4951" spans="1:7" ht="15.75" thickBot="1" x14ac:dyDescent="0.3">
      <c r="A4951" s="314"/>
      <c r="B4951" s="312"/>
      <c r="C4951" s="336"/>
      <c r="D4951" s="312"/>
      <c r="E4951" s="311" t="s">
        <v>644</v>
      </c>
      <c r="F4951" s="310">
        <f>SUM(F4936:F4950)</f>
        <v>350000</v>
      </c>
      <c r="G4951" s="309">
        <f>SUM(G4936:G4950)</f>
        <v>0</v>
      </c>
    </row>
    <row r="4952" spans="1:7" x14ac:dyDescent="0.25">
      <c r="C4952" s="335"/>
    </row>
    <row r="4953" spans="1:7" x14ac:dyDescent="0.25">
      <c r="C4953" s="335"/>
    </row>
    <row r="4954" spans="1:7" ht="15.75" x14ac:dyDescent="0.25">
      <c r="C4954" s="334"/>
      <c r="D4954" s="333"/>
      <c r="E4954" s="332"/>
      <c r="F4954" s="327" t="s">
        <v>607</v>
      </c>
      <c r="G4954" s="327" t="s">
        <v>336</v>
      </c>
    </row>
    <row r="4955" spans="1:7" ht="15.75" x14ac:dyDescent="0.25">
      <c r="C4955" s="334"/>
      <c r="D4955" s="333"/>
      <c r="E4955" s="332"/>
      <c r="F4955" s="327" t="s">
        <v>601</v>
      </c>
      <c r="G4955" s="327" t="s">
        <v>63</v>
      </c>
    </row>
    <row r="4956" spans="1:7" x14ac:dyDescent="0.25">
      <c r="C4956" s="330"/>
      <c r="D4956" s="329"/>
      <c r="E4956" s="328"/>
      <c r="F4956" s="327" t="s">
        <v>651</v>
      </c>
      <c r="G4956" s="331">
        <f>[2]Sheet1!$D$167</f>
        <v>0</v>
      </c>
    </row>
    <row r="4957" spans="1:7" ht="15.75" thickBot="1" x14ac:dyDescent="0.3">
      <c r="C4957" s="330"/>
      <c r="D4957" s="329"/>
      <c r="E4957" s="328"/>
      <c r="F4957" s="327" t="s">
        <v>650</v>
      </c>
      <c r="G4957" s="326">
        <f>+F4976-G4956</f>
        <v>3500000</v>
      </c>
    </row>
    <row r="4958" spans="1:7" x14ac:dyDescent="0.25">
      <c r="A4958" s="573" t="s">
        <v>626</v>
      </c>
      <c r="B4958" s="584" t="s">
        <v>606</v>
      </c>
      <c r="C4958" s="588" t="s">
        <v>649</v>
      </c>
      <c r="D4958" s="577" t="s">
        <v>648</v>
      </c>
      <c r="E4958" s="577" t="s">
        <v>647</v>
      </c>
      <c r="F4958" s="577" t="s">
        <v>646</v>
      </c>
      <c r="G4958" s="580" t="s">
        <v>645</v>
      </c>
    </row>
    <row r="4959" spans="1:7" ht="15.75" thickBot="1" x14ac:dyDescent="0.3">
      <c r="A4959" s="574"/>
      <c r="B4959" s="585"/>
      <c r="C4959" s="589"/>
      <c r="D4959" s="586"/>
      <c r="E4959" s="586"/>
      <c r="F4959" s="586"/>
      <c r="G4959" s="587"/>
    </row>
    <row r="4960" spans="1:7" ht="15.75" thickBot="1" x14ac:dyDescent="0.3">
      <c r="A4960" s="325">
        <v>1</v>
      </c>
      <c r="B4960" s="324">
        <v>2</v>
      </c>
      <c r="C4960" s="324">
        <v>3</v>
      </c>
      <c r="D4960" s="324">
        <v>4</v>
      </c>
      <c r="E4960" s="324">
        <v>5</v>
      </c>
      <c r="F4960" s="324">
        <v>6</v>
      </c>
      <c r="G4960" s="323">
        <v>7</v>
      </c>
    </row>
    <row r="4961" spans="1:7" x14ac:dyDescent="0.25">
      <c r="A4961" s="320" t="str">
        <f t="shared" ref="A4961:A4975" si="152">$G$4954&amp;B4961</f>
        <v>I.4.1.021</v>
      </c>
      <c r="B4961" s="320">
        <v>1</v>
      </c>
      <c r="C4961" s="319">
        <f>IFERROR(VLOOKUP(A4961,[3]DOORSCRIEFT!$A$2:$G$8551,2,FALSE),"")</f>
        <v>332</v>
      </c>
      <c r="D4961" s="318">
        <f>IFERROR(VLOOKUP(A4961,[3]DOORSCRIEFT!$A$2:$G$8551,3,FALSE),"")</f>
        <v>46089</v>
      </c>
      <c r="E4961" s="317" t="str">
        <f>IFERROR(VLOOKUP(A4961,[3]DOORSCRIEFT!$A$2:$G$8551,4,FALSE),"")</f>
        <v>Biaya Sewa Gedung serbaguna Kel. Tahapary</v>
      </c>
      <c r="F4961" s="316">
        <f>IFERROR(VLOOKUP(A4961,[3]DOORSCRIEFT!$A$2:$G$8551,6,FALSE),"")</f>
        <v>1500000</v>
      </c>
      <c r="G4961" s="322"/>
    </row>
    <row r="4962" spans="1:7" x14ac:dyDescent="0.25">
      <c r="A4962" s="320" t="str">
        <f t="shared" si="152"/>
        <v>I.4.1.022</v>
      </c>
      <c r="B4962" s="321">
        <v>2</v>
      </c>
      <c r="C4962" s="319">
        <f>IFERROR(VLOOKUP(A4962,[3]DOORSCRIEFT!$A$2:$G$8551,2,FALSE),"")</f>
        <v>436</v>
      </c>
      <c r="D4962" s="318">
        <f>IFERROR(VLOOKUP(A4962,[3]DOORSCRIEFT!$A$2:$G$8551,3,FALSE),"")</f>
        <v>46103</v>
      </c>
      <c r="E4962" s="317" t="str">
        <f>IFERROR(VLOOKUP(A4962,[3]DOORSCRIEFT!$A$2:$G$8551,4,FALSE),"")</f>
        <v>Sewa Gedung Serbaguna</v>
      </c>
      <c r="F4962" s="316">
        <f>IFERROR(VLOOKUP(A4962,[3]DOORSCRIEFT!$A$2:$G$8551,6,FALSE),"")</f>
        <v>2000000</v>
      </c>
      <c r="G4962" s="315"/>
    </row>
    <row r="4963" spans="1:7" x14ac:dyDescent="0.25">
      <c r="A4963" s="320" t="str">
        <f t="shared" si="152"/>
        <v>I.4.1.023</v>
      </c>
      <c r="B4963" s="320">
        <v>3</v>
      </c>
      <c r="C4963" s="319" t="str">
        <f>IFERROR(VLOOKUP(A4963,[3]DOORSCRIEFT!$A$2:$G$8551,2,FALSE),"")</f>
        <v/>
      </c>
      <c r="D4963" s="318" t="str">
        <f>IFERROR(VLOOKUP(A4963,[3]DOORSCRIEFT!$A$2:$G$8551,3,FALSE),"")</f>
        <v/>
      </c>
      <c r="E4963" s="317" t="str">
        <f>IFERROR(VLOOKUP(A4963,[3]DOORSCRIEFT!$A$2:$G$8551,4,FALSE),"")</f>
        <v/>
      </c>
      <c r="F4963" s="316" t="str">
        <f>IFERROR(VLOOKUP(A4963,[3]DOORSCRIEFT!$A$2:$G$8551,6,FALSE),"")</f>
        <v/>
      </c>
      <c r="G4963" s="315"/>
    </row>
    <row r="4964" spans="1:7" x14ac:dyDescent="0.25">
      <c r="A4964" s="320" t="str">
        <f t="shared" si="152"/>
        <v>I.4.1.024</v>
      </c>
      <c r="B4964" s="321">
        <v>4</v>
      </c>
      <c r="C4964" s="319" t="str">
        <f>IFERROR(VLOOKUP(A4964,[3]DOORSCRIEFT!$A$2:$G$8551,2,FALSE),"")</f>
        <v/>
      </c>
      <c r="D4964" s="318" t="str">
        <f>IFERROR(VLOOKUP(A4964,[3]DOORSCRIEFT!$A$2:$G$8551,3,FALSE),"")</f>
        <v/>
      </c>
      <c r="E4964" s="317" t="str">
        <f>IFERROR(VLOOKUP(A4964,[3]DOORSCRIEFT!$A$2:$G$8551,4,FALSE),"")</f>
        <v/>
      </c>
      <c r="F4964" s="316" t="str">
        <f>IFERROR(VLOOKUP(A4964,[3]DOORSCRIEFT!$A$2:$G$8551,6,FALSE),"")</f>
        <v/>
      </c>
      <c r="G4964" s="315"/>
    </row>
    <row r="4965" spans="1:7" x14ac:dyDescent="0.25">
      <c r="A4965" s="320" t="str">
        <f t="shared" si="152"/>
        <v>I.4.1.025</v>
      </c>
      <c r="B4965" s="320">
        <v>5</v>
      </c>
      <c r="C4965" s="319" t="str">
        <f>IFERROR(VLOOKUP(A4965,[3]DOORSCRIEFT!$A$2:$G$8551,2,FALSE),"")</f>
        <v/>
      </c>
      <c r="D4965" s="318" t="str">
        <f>IFERROR(VLOOKUP(A4965,[3]DOORSCRIEFT!$A$2:$G$8551,3,FALSE),"")</f>
        <v/>
      </c>
      <c r="E4965" s="317" t="str">
        <f>IFERROR(VLOOKUP(A4965,[3]DOORSCRIEFT!$A$2:$G$8551,4,FALSE),"")</f>
        <v/>
      </c>
      <c r="F4965" s="316" t="str">
        <f>IFERROR(VLOOKUP(A4965,[3]DOORSCRIEFT!$A$2:$G$8551,6,FALSE),"")</f>
        <v/>
      </c>
      <c r="G4965" s="315"/>
    </row>
    <row r="4966" spans="1:7" x14ac:dyDescent="0.25">
      <c r="A4966" s="320" t="str">
        <f t="shared" si="152"/>
        <v>I.4.1.026</v>
      </c>
      <c r="B4966" s="321">
        <v>6</v>
      </c>
      <c r="C4966" s="319" t="str">
        <f>IFERROR(VLOOKUP(A4966,[3]DOORSCRIEFT!$A$2:$G$8551,2,FALSE),"")</f>
        <v/>
      </c>
      <c r="D4966" s="318" t="str">
        <f>IFERROR(VLOOKUP(A4966,[3]DOORSCRIEFT!$A$2:$G$8551,3,FALSE),"")</f>
        <v/>
      </c>
      <c r="E4966" s="317" t="str">
        <f>IFERROR(VLOOKUP(A4966,[3]DOORSCRIEFT!$A$2:$G$8551,4,FALSE),"")</f>
        <v/>
      </c>
      <c r="F4966" s="316" t="str">
        <f>IFERROR(VLOOKUP(A4966,[3]DOORSCRIEFT!$A$2:$G$8551,6,FALSE),"")</f>
        <v/>
      </c>
      <c r="G4966" s="315"/>
    </row>
    <row r="4967" spans="1:7" x14ac:dyDescent="0.25">
      <c r="A4967" s="320" t="str">
        <f t="shared" si="152"/>
        <v>I.4.1.027</v>
      </c>
      <c r="B4967" s="320">
        <v>7</v>
      </c>
      <c r="C4967" s="319" t="str">
        <f>IFERROR(VLOOKUP(A4967,[3]DOORSCRIEFT!$A$2:$G$8551,2,FALSE),"")</f>
        <v/>
      </c>
      <c r="D4967" s="318" t="str">
        <f>IFERROR(VLOOKUP(A4967,[3]DOORSCRIEFT!$A$2:$G$8551,3,FALSE),"")</f>
        <v/>
      </c>
      <c r="E4967" s="317" t="str">
        <f>IFERROR(VLOOKUP(A4967,[3]DOORSCRIEFT!$A$2:$G$8551,4,FALSE),"")</f>
        <v/>
      </c>
      <c r="F4967" s="316" t="str">
        <f>IFERROR(VLOOKUP(A4967,[3]DOORSCRIEFT!$A$2:$G$8551,6,FALSE),"")</f>
        <v/>
      </c>
      <c r="G4967" s="315"/>
    </row>
    <row r="4968" spans="1:7" x14ac:dyDescent="0.25">
      <c r="A4968" s="320" t="str">
        <f t="shared" si="152"/>
        <v>I.4.1.028</v>
      </c>
      <c r="B4968" s="321">
        <v>8</v>
      </c>
      <c r="C4968" s="319" t="str">
        <f>IFERROR(VLOOKUP(A4968,[3]DOORSCRIEFT!$A$2:$G$8551,2,FALSE),"")</f>
        <v/>
      </c>
      <c r="D4968" s="318" t="str">
        <f>IFERROR(VLOOKUP(A4968,[3]DOORSCRIEFT!$A$2:$G$8551,3,FALSE),"")</f>
        <v/>
      </c>
      <c r="E4968" s="317" t="str">
        <f>IFERROR(VLOOKUP(A4968,[3]DOORSCRIEFT!$A$2:$G$8551,4,FALSE),"")</f>
        <v/>
      </c>
      <c r="F4968" s="316" t="str">
        <f>IFERROR(VLOOKUP(A4968,[3]DOORSCRIEFT!$A$2:$G$8551,6,FALSE),"")</f>
        <v/>
      </c>
      <c r="G4968" s="315"/>
    </row>
    <row r="4969" spans="1:7" x14ac:dyDescent="0.25">
      <c r="A4969" s="320" t="str">
        <f t="shared" si="152"/>
        <v>I.4.1.029</v>
      </c>
      <c r="B4969" s="320">
        <v>9</v>
      </c>
      <c r="C4969" s="319" t="str">
        <f>IFERROR(VLOOKUP(A4969,[3]DOORSCRIEFT!$A$2:$G$8551,2,FALSE),"")</f>
        <v/>
      </c>
      <c r="D4969" s="318" t="str">
        <f>IFERROR(VLOOKUP(A4969,[3]DOORSCRIEFT!$A$2:$G$8551,3,FALSE),"")</f>
        <v/>
      </c>
      <c r="E4969" s="317" t="str">
        <f>IFERROR(VLOOKUP(A4969,[3]DOORSCRIEFT!$A$2:$G$8551,4,FALSE),"")</f>
        <v/>
      </c>
      <c r="F4969" s="316" t="str">
        <f>IFERROR(VLOOKUP(A4969,[3]DOORSCRIEFT!$A$2:$G$8551,6,FALSE),"")</f>
        <v/>
      </c>
      <c r="G4969" s="315"/>
    </row>
    <row r="4970" spans="1:7" x14ac:dyDescent="0.25">
      <c r="A4970" s="320" t="str">
        <f t="shared" si="152"/>
        <v>I.4.1.0210</v>
      </c>
      <c r="B4970" s="321">
        <v>10</v>
      </c>
      <c r="C4970" s="319" t="str">
        <f>IFERROR(VLOOKUP(A4970,[3]DOORSCRIEFT!$A$2:$G$8551,2,FALSE),"")</f>
        <v/>
      </c>
      <c r="D4970" s="318" t="str">
        <f>IFERROR(VLOOKUP(A4970,[3]DOORSCRIEFT!$A$2:$G$8551,3,FALSE),"")</f>
        <v/>
      </c>
      <c r="E4970" s="317" t="str">
        <f>IFERROR(VLOOKUP(A4970,[3]DOORSCRIEFT!$A$2:$G$8551,4,FALSE),"")</f>
        <v/>
      </c>
      <c r="F4970" s="316" t="str">
        <f>IFERROR(VLOOKUP(A4970,[3]DOORSCRIEFT!$A$2:$G$8551,6,FALSE),"")</f>
        <v/>
      </c>
      <c r="G4970" s="315"/>
    </row>
    <row r="4971" spans="1:7" x14ac:dyDescent="0.25">
      <c r="A4971" s="320" t="str">
        <f t="shared" si="152"/>
        <v>I.4.1.0211</v>
      </c>
      <c r="B4971" s="320">
        <v>11</v>
      </c>
      <c r="C4971" s="319" t="str">
        <f>IFERROR(VLOOKUP(A4971,[3]DOORSCRIEFT!$A$2:$G$8551,2,FALSE),"")</f>
        <v/>
      </c>
      <c r="D4971" s="318" t="str">
        <f>IFERROR(VLOOKUP(A4971,[3]DOORSCRIEFT!$A$2:$G$8551,3,FALSE),"")</f>
        <v/>
      </c>
      <c r="E4971" s="317" t="str">
        <f>IFERROR(VLOOKUP(A4971,[3]DOORSCRIEFT!$A$2:$G$8551,4,FALSE),"")</f>
        <v/>
      </c>
      <c r="F4971" s="316" t="str">
        <f>IFERROR(VLOOKUP(A4971,[3]DOORSCRIEFT!$A$2:$G$8551,6,FALSE),"")</f>
        <v/>
      </c>
      <c r="G4971" s="315"/>
    </row>
    <row r="4972" spans="1:7" x14ac:dyDescent="0.25">
      <c r="A4972" s="320" t="str">
        <f t="shared" si="152"/>
        <v>I.4.1.0212</v>
      </c>
      <c r="B4972" s="321">
        <v>12</v>
      </c>
      <c r="C4972" s="319" t="str">
        <f>IFERROR(VLOOKUP(A4972,[3]DOORSCRIEFT!$A$2:$G$8551,2,FALSE),"")</f>
        <v/>
      </c>
      <c r="D4972" s="318" t="str">
        <f>IFERROR(VLOOKUP(A4972,[3]DOORSCRIEFT!$A$2:$G$8551,3,FALSE),"")</f>
        <v/>
      </c>
      <c r="E4972" s="317" t="str">
        <f>IFERROR(VLOOKUP(A4972,[3]DOORSCRIEFT!$A$2:$G$8551,4,FALSE),"")</f>
        <v/>
      </c>
      <c r="F4972" s="316" t="str">
        <f>IFERROR(VLOOKUP(A4972,[3]DOORSCRIEFT!$A$2:$G$8551,6,FALSE),"")</f>
        <v/>
      </c>
      <c r="G4972" s="315"/>
    </row>
    <row r="4973" spans="1:7" x14ac:dyDescent="0.25">
      <c r="A4973" s="320" t="str">
        <f t="shared" si="152"/>
        <v>I.4.1.0213</v>
      </c>
      <c r="B4973" s="320">
        <v>13</v>
      </c>
      <c r="C4973" s="319" t="str">
        <f>IFERROR(VLOOKUP(A4973,[3]DOORSCRIEFT!$A$2:$G$8551,2,FALSE),"")</f>
        <v/>
      </c>
      <c r="D4973" s="318" t="str">
        <f>IFERROR(VLOOKUP(A4973,[3]DOORSCRIEFT!$A$2:$G$8551,3,FALSE),"")</f>
        <v/>
      </c>
      <c r="E4973" s="317" t="str">
        <f>IFERROR(VLOOKUP(A4973,[3]DOORSCRIEFT!$A$2:$G$8551,4,FALSE),"")</f>
        <v/>
      </c>
      <c r="F4973" s="316" t="str">
        <f>IFERROR(VLOOKUP(A4973,[3]DOORSCRIEFT!$A$2:$G$8551,6,FALSE),"")</f>
        <v/>
      </c>
      <c r="G4973" s="315"/>
    </row>
    <row r="4974" spans="1:7" x14ac:dyDescent="0.25">
      <c r="A4974" s="320" t="str">
        <f t="shared" si="152"/>
        <v>I.4.1.0214</v>
      </c>
      <c r="B4974" s="321">
        <v>14</v>
      </c>
      <c r="C4974" s="319" t="str">
        <f>IFERROR(VLOOKUP(A4974,[3]DOORSCRIEFT!$A$2:$G$8551,2,FALSE),"")</f>
        <v/>
      </c>
      <c r="D4974" s="318" t="str">
        <f>IFERROR(VLOOKUP(A4974,[3]DOORSCRIEFT!$A$2:$G$8551,3,FALSE),"")</f>
        <v/>
      </c>
      <c r="E4974" s="317" t="str">
        <f>IFERROR(VLOOKUP(A4974,[3]DOORSCRIEFT!$A$2:$G$8551,4,FALSE),"")</f>
        <v/>
      </c>
      <c r="F4974" s="316" t="str">
        <f>IFERROR(VLOOKUP(A4974,[3]DOORSCRIEFT!$A$2:$G$8551,6,FALSE),"")</f>
        <v/>
      </c>
      <c r="G4974" s="315"/>
    </row>
    <row r="4975" spans="1:7" ht="15.75" thickBot="1" x14ac:dyDescent="0.3">
      <c r="A4975" s="320" t="str">
        <f t="shared" si="152"/>
        <v>I.4.1.0215</v>
      </c>
      <c r="B4975" s="320">
        <v>15</v>
      </c>
      <c r="C4975" s="319" t="str">
        <f>IFERROR(VLOOKUP(A4975,[3]DOORSCRIEFT!$A$2:$G$8551,2,FALSE),"")</f>
        <v/>
      </c>
      <c r="D4975" s="318" t="str">
        <f>IFERROR(VLOOKUP(A4975,[3]DOORSCRIEFT!$A$2:$G$8551,3,FALSE),"")</f>
        <v/>
      </c>
      <c r="E4975" s="317" t="str">
        <f>IFERROR(VLOOKUP(A4975,[3]DOORSCRIEFT!$A$2:$G$8551,4,FALSE),"")</f>
        <v/>
      </c>
      <c r="F4975" s="316" t="str">
        <f>IFERROR(VLOOKUP(A4975,[3]DOORSCRIEFT!$A$2:$G$8551,6,FALSE),"")</f>
        <v/>
      </c>
      <c r="G4975" s="315"/>
    </row>
    <row r="4976" spans="1:7" ht="15.75" thickBot="1" x14ac:dyDescent="0.3">
      <c r="A4976" s="314"/>
      <c r="B4976" s="312"/>
      <c r="C4976" s="336"/>
      <c r="D4976" s="312"/>
      <c r="E4976" s="311" t="s">
        <v>644</v>
      </c>
      <c r="F4976" s="310">
        <f>SUM(F4961:F4975)</f>
        <v>3500000</v>
      </c>
      <c r="G4976" s="309">
        <f>SUM(G4961:G4975)</f>
        <v>0</v>
      </c>
    </row>
    <row r="4977" spans="1:7" x14ac:dyDescent="0.25">
      <c r="C4977" s="335"/>
    </row>
    <row r="4978" spans="1:7" x14ac:dyDescent="0.25">
      <c r="C4978" s="335"/>
    </row>
    <row r="4979" spans="1:7" ht="15.75" x14ac:dyDescent="0.25">
      <c r="C4979" s="334"/>
      <c r="D4979" s="333"/>
      <c r="E4979" s="332"/>
      <c r="F4979" s="327" t="s">
        <v>607</v>
      </c>
      <c r="G4979" s="327" t="s">
        <v>330</v>
      </c>
    </row>
    <row r="4980" spans="1:7" ht="15.75" x14ac:dyDescent="0.25">
      <c r="C4980" s="334"/>
      <c r="D4980" s="333"/>
      <c r="E4980" s="332"/>
      <c r="F4980" s="327" t="s">
        <v>601</v>
      </c>
      <c r="G4980" s="327" t="s">
        <v>329</v>
      </c>
    </row>
    <row r="4981" spans="1:7" x14ac:dyDescent="0.25">
      <c r="C4981" s="330"/>
      <c r="D4981" s="329"/>
      <c r="E4981" s="328"/>
      <c r="F4981" s="327" t="s">
        <v>651</v>
      </c>
      <c r="G4981" s="331">
        <f>[2]Sheet1!$D$171</f>
        <v>0</v>
      </c>
    </row>
    <row r="4982" spans="1:7" ht="15.75" thickBot="1" x14ac:dyDescent="0.3">
      <c r="C4982" s="330"/>
      <c r="D4982" s="329"/>
      <c r="E4982" s="328"/>
      <c r="F4982" s="327" t="s">
        <v>650</v>
      </c>
      <c r="G4982" s="326">
        <f>+F5001-G4981</f>
        <v>0</v>
      </c>
    </row>
    <row r="4983" spans="1:7" x14ac:dyDescent="0.25">
      <c r="A4983" s="573" t="s">
        <v>626</v>
      </c>
      <c r="B4983" s="584" t="s">
        <v>606</v>
      </c>
      <c r="C4983" s="588" t="s">
        <v>649</v>
      </c>
      <c r="D4983" s="577" t="s">
        <v>648</v>
      </c>
      <c r="E4983" s="577" t="s">
        <v>647</v>
      </c>
      <c r="F4983" s="577" t="s">
        <v>646</v>
      </c>
      <c r="G4983" s="580" t="s">
        <v>645</v>
      </c>
    </row>
    <row r="4984" spans="1:7" ht="15.75" thickBot="1" x14ac:dyDescent="0.3">
      <c r="A4984" s="574"/>
      <c r="B4984" s="585"/>
      <c r="C4984" s="589"/>
      <c r="D4984" s="586"/>
      <c r="E4984" s="586"/>
      <c r="F4984" s="586"/>
      <c r="G4984" s="587"/>
    </row>
    <row r="4985" spans="1:7" ht="15.75" thickBot="1" x14ac:dyDescent="0.3">
      <c r="A4985" s="325">
        <v>1</v>
      </c>
      <c r="B4985" s="324">
        <v>2</v>
      </c>
      <c r="C4985" s="324">
        <v>3</v>
      </c>
      <c r="D4985" s="324">
        <v>4</v>
      </c>
      <c r="E4985" s="324">
        <v>5</v>
      </c>
      <c r="F4985" s="324">
        <v>6</v>
      </c>
      <c r="G4985" s="323">
        <v>7</v>
      </c>
    </row>
    <row r="4986" spans="1:7" x14ac:dyDescent="0.25">
      <c r="A4986" s="320" t="str">
        <f t="shared" ref="A4986:A5000" si="153">$G$4979&amp;B4986</f>
        <v>I.5.1.011</v>
      </c>
      <c r="B4986" s="320">
        <v>1</v>
      </c>
      <c r="C4986" s="319" t="str">
        <f>IFERROR(VLOOKUP(A4986,[3]DOORSCRIEFT!$A$2:$G$8551,2,FALSE),"")</f>
        <v/>
      </c>
      <c r="D4986" s="318" t="str">
        <f>IFERROR(VLOOKUP(A4986,[3]DOORSCRIEFT!$A$2:$G$8551,3,FALSE),"")</f>
        <v/>
      </c>
      <c r="E4986" s="317" t="str">
        <f>IFERROR(VLOOKUP(A4986,[3]DOORSCRIEFT!$A$2:$G$8551,4,FALSE),"")</f>
        <v/>
      </c>
      <c r="F4986" s="316" t="str">
        <f>IFERROR(VLOOKUP(A4986,[3]DOORSCRIEFT!$A$2:$G$8551,6,FALSE),"")</f>
        <v/>
      </c>
      <c r="G4986" s="322"/>
    </row>
    <row r="4987" spans="1:7" x14ac:dyDescent="0.25">
      <c r="A4987" s="320" t="str">
        <f t="shared" si="153"/>
        <v>I.5.1.012</v>
      </c>
      <c r="B4987" s="321">
        <v>2</v>
      </c>
      <c r="C4987" s="319" t="str">
        <f>IFERROR(VLOOKUP(A4987,[3]DOORSCRIEFT!$A$2:$G$8551,2,FALSE),"")</f>
        <v/>
      </c>
      <c r="D4987" s="318" t="str">
        <f>IFERROR(VLOOKUP(A4987,[3]DOORSCRIEFT!$A$2:$G$8551,3,FALSE),"")</f>
        <v/>
      </c>
      <c r="E4987" s="317" t="str">
        <f>IFERROR(VLOOKUP(A4987,[3]DOORSCRIEFT!$A$2:$G$8551,4,FALSE),"")</f>
        <v/>
      </c>
      <c r="F4987" s="316" t="str">
        <f>IFERROR(VLOOKUP(A4987,[3]DOORSCRIEFT!$A$2:$G$8551,6,FALSE),"")</f>
        <v/>
      </c>
      <c r="G4987" s="315"/>
    </row>
    <row r="4988" spans="1:7" x14ac:dyDescent="0.25">
      <c r="A4988" s="320" t="str">
        <f t="shared" si="153"/>
        <v>I.5.1.013</v>
      </c>
      <c r="B4988" s="320">
        <v>3</v>
      </c>
      <c r="C4988" s="319" t="str">
        <f>IFERROR(VLOOKUP(A4988,[3]DOORSCRIEFT!$A$2:$G$8551,2,FALSE),"")</f>
        <v/>
      </c>
      <c r="D4988" s="318" t="str">
        <f>IFERROR(VLOOKUP(A4988,[3]DOORSCRIEFT!$A$2:$G$8551,3,FALSE),"")</f>
        <v/>
      </c>
      <c r="E4988" s="317" t="str">
        <f>IFERROR(VLOOKUP(A4988,[3]DOORSCRIEFT!$A$2:$G$8551,4,FALSE),"")</f>
        <v/>
      </c>
      <c r="F4988" s="316" t="str">
        <f>IFERROR(VLOOKUP(A4988,[3]DOORSCRIEFT!$A$2:$G$8551,6,FALSE),"")</f>
        <v/>
      </c>
      <c r="G4988" s="315"/>
    </row>
    <row r="4989" spans="1:7" x14ac:dyDescent="0.25">
      <c r="A4989" s="320" t="str">
        <f t="shared" si="153"/>
        <v>I.5.1.014</v>
      </c>
      <c r="B4989" s="321">
        <v>4</v>
      </c>
      <c r="C4989" s="319" t="str">
        <f>IFERROR(VLOOKUP(A4989,[3]DOORSCRIEFT!$A$2:$G$8551,2,FALSE),"")</f>
        <v/>
      </c>
      <c r="D4989" s="318" t="str">
        <f>IFERROR(VLOOKUP(A4989,[3]DOORSCRIEFT!$A$2:$G$8551,3,FALSE),"")</f>
        <v/>
      </c>
      <c r="E4989" s="317" t="str">
        <f>IFERROR(VLOOKUP(A4989,[3]DOORSCRIEFT!$A$2:$G$8551,4,FALSE),"")</f>
        <v/>
      </c>
      <c r="F4989" s="316" t="str">
        <f>IFERROR(VLOOKUP(A4989,[3]DOORSCRIEFT!$A$2:$G$8551,6,FALSE),"")</f>
        <v/>
      </c>
      <c r="G4989" s="315"/>
    </row>
    <row r="4990" spans="1:7" x14ac:dyDescent="0.25">
      <c r="A4990" s="320" t="str">
        <f t="shared" si="153"/>
        <v>I.5.1.015</v>
      </c>
      <c r="B4990" s="320">
        <v>5</v>
      </c>
      <c r="C4990" s="319" t="str">
        <f>IFERROR(VLOOKUP(A4990,[3]DOORSCRIEFT!$A$2:$G$8551,2,FALSE),"")</f>
        <v/>
      </c>
      <c r="D4990" s="318" t="str">
        <f>IFERROR(VLOOKUP(A4990,[3]DOORSCRIEFT!$A$2:$G$8551,3,FALSE),"")</f>
        <v/>
      </c>
      <c r="E4990" s="317" t="str">
        <f>IFERROR(VLOOKUP(A4990,[3]DOORSCRIEFT!$A$2:$G$8551,4,FALSE),"")</f>
        <v/>
      </c>
      <c r="F4990" s="316" t="str">
        <f>IFERROR(VLOOKUP(A4990,[3]DOORSCRIEFT!$A$2:$G$8551,6,FALSE),"")</f>
        <v/>
      </c>
      <c r="G4990" s="315"/>
    </row>
    <row r="4991" spans="1:7" x14ac:dyDescent="0.25">
      <c r="A4991" s="320" t="str">
        <f t="shared" si="153"/>
        <v>I.5.1.016</v>
      </c>
      <c r="B4991" s="321">
        <v>6</v>
      </c>
      <c r="C4991" s="319" t="str">
        <f>IFERROR(VLOOKUP(A4991,[3]DOORSCRIEFT!$A$2:$G$8551,2,FALSE),"")</f>
        <v/>
      </c>
      <c r="D4991" s="318" t="str">
        <f>IFERROR(VLOOKUP(A4991,[3]DOORSCRIEFT!$A$2:$G$8551,3,FALSE),"")</f>
        <v/>
      </c>
      <c r="E4991" s="317" t="str">
        <f>IFERROR(VLOOKUP(A4991,[3]DOORSCRIEFT!$A$2:$G$8551,4,FALSE),"")</f>
        <v/>
      </c>
      <c r="F4991" s="316" t="str">
        <f>IFERROR(VLOOKUP(A4991,[3]DOORSCRIEFT!$A$2:$G$8551,6,FALSE),"")</f>
        <v/>
      </c>
      <c r="G4991" s="315"/>
    </row>
    <row r="4992" spans="1:7" x14ac:dyDescent="0.25">
      <c r="A4992" s="320" t="str">
        <f t="shared" si="153"/>
        <v>I.5.1.017</v>
      </c>
      <c r="B4992" s="320">
        <v>7</v>
      </c>
      <c r="C4992" s="319" t="str">
        <f>IFERROR(VLOOKUP(A4992,[3]DOORSCRIEFT!$A$2:$G$8551,2,FALSE),"")</f>
        <v/>
      </c>
      <c r="D4992" s="318" t="str">
        <f>IFERROR(VLOOKUP(A4992,[3]DOORSCRIEFT!$A$2:$G$8551,3,FALSE),"")</f>
        <v/>
      </c>
      <c r="E4992" s="317" t="str">
        <f>IFERROR(VLOOKUP(A4992,[3]DOORSCRIEFT!$A$2:$G$8551,4,FALSE),"")</f>
        <v/>
      </c>
      <c r="F4992" s="316" t="str">
        <f>IFERROR(VLOOKUP(A4992,[3]DOORSCRIEFT!$A$2:$G$8551,6,FALSE),"")</f>
        <v/>
      </c>
      <c r="G4992" s="315"/>
    </row>
    <row r="4993" spans="1:7" x14ac:dyDescent="0.25">
      <c r="A4993" s="320" t="str">
        <f t="shared" si="153"/>
        <v>I.5.1.018</v>
      </c>
      <c r="B4993" s="321">
        <v>8</v>
      </c>
      <c r="C4993" s="319" t="str">
        <f>IFERROR(VLOOKUP(A4993,[3]DOORSCRIEFT!$A$2:$G$8551,2,FALSE),"")</f>
        <v/>
      </c>
      <c r="D4993" s="318" t="str">
        <f>IFERROR(VLOOKUP(A4993,[3]DOORSCRIEFT!$A$2:$G$8551,3,FALSE),"")</f>
        <v/>
      </c>
      <c r="E4993" s="317" t="str">
        <f>IFERROR(VLOOKUP(A4993,[3]DOORSCRIEFT!$A$2:$G$8551,4,FALSE),"")</f>
        <v/>
      </c>
      <c r="F4993" s="316" t="str">
        <f>IFERROR(VLOOKUP(A4993,[3]DOORSCRIEFT!$A$2:$G$8551,6,FALSE),"")</f>
        <v/>
      </c>
      <c r="G4993" s="315"/>
    </row>
    <row r="4994" spans="1:7" x14ac:dyDescent="0.25">
      <c r="A4994" s="320" t="str">
        <f t="shared" si="153"/>
        <v>I.5.1.019</v>
      </c>
      <c r="B4994" s="320">
        <v>9</v>
      </c>
      <c r="C4994" s="319" t="str">
        <f>IFERROR(VLOOKUP(A4994,[3]DOORSCRIEFT!$A$2:$G$8551,2,FALSE),"")</f>
        <v/>
      </c>
      <c r="D4994" s="318" t="str">
        <f>IFERROR(VLOOKUP(A4994,[3]DOORSCRIEFT!$A$2:$G$8551,3,FALSE),"")</f>
        <v/>
      </c>
      <c r="E4994" s="317" t="str">
        <f>IFERROR(VLOOKUP(A4994,[3]DOORSCRIEFT!$A$2:$G$8551,4,FALSE),"")</f>
        <v/>
      </c>
      <c r="F4994" s="316" t="str">
        <f>IFERROR(VLOOKUP(A4994,[3]DOORSCRIEFT!$A$2:$G$8551,6,FALSE),"")</f>
        <v/>
      </c>
      <c r="G4994" s="315"/>
    </row>
    <row r="4995" spans="1:7" x14ac:dyDescent="0.25">
      <c r="A4995" s="320" t="str">
        <f t="shared" si="153"/>
        <v>I.5.1.0110</v>
      </c>
      <c r="B4995" s="321">
        <v>10</v>
      </c>
      <c r="C4995" s="319" t="str">
        <f>IFERROR(VLOOKUP(A4995,[3]DOORSCRIEFT!$A$2:$G$8551,2,FALSE),"")</f>
        <v/>
      </c>
      <c r="D4995" s="318" t="str">
        <f>IFERROR(VLOOKUP(A4995,[3]DOORSCRIEFT!$A$2:$G$8551,3,FALSE),"")</f>
        <v/>
      </c>
      <c r="E4995" s="317" t="str">
        <f>IFERROR(VLOOKUP(A4995,[3]DOORSCRIEFT!$A$2:$G$8551,4,FALSE),"")</f>
        <v/>
      </c>
      <c r="F4995" s="316" t="str">
        <f>IFERROR(VLOOKUP(A4995,[3]DOORSCRIEFT!$A$2:$G$8551,6,FALSE),"")</f>
        <v/>
      </c>
      <c r="G4995" s="315"/>
    </row>
    <row r="4996" spans="1:7" x14ac:dyDescent="0.25">
      <c r="A4996" s="320" t="str">
        <f t="shared" si="153"/>
        <v>I.5.1.0111</v>
      </c>
      <c r="B4996" s="320">
        <v>11</v>
      </c>
      <c r="C4996" s="319" t="str">
        <f>IFERROR(VLOOKUP(A4996,[3]DOORSCRIEFT!$A$2:$G$8551,2,FALSE),"")</f>
        <v/>
      </c>
      <c r="D4996" s="318" t="str">
        <f>IFERROR(VLOOKUP(A4996,[3]DOORSCRIEFT!$A$2:$G$8551,3,FALSE),"")</f>
        <v/>
      </c>
      <c r="E4996" s="317" t="str">
        <f>IFERROR(VLOOKUP(A4996,[3]DOORSCRIEFT!$A$2:$G$8551,4,FALSE),"")</f>
        <v/>
      </c>
      <c r="F4996" s="316" t="str">
        <f>IFERROR(VLOOKUP(A4996,[3]DOORSCRIEFT!$A$2:$G$8551,6,FALSE),"")</f>
        <v/>
      </c>
      <c r="G4996" s="315"/>
    </row>
    <row r="4997" spans="1:7" x14ac:dyDescent="0.25">
      <c r="A4997" s="320" t="str">
        <f t="shared" si="153"/>
        <v>I.5.1.0112</v>
      </c>
      <c r="B4997" s="321">
        <v>12</v>
      </c>
      <c r="C4997" s="319" t="str">
        <f>IFERROR(VLOOKUP(A4997,[3]DOORSCRIEFT!$A$2:$G$8551,2,FALSE),"")</f>
        <v/>
      </c>
      <c r="D4997" s="318" t="str">
        <f>IFERROR(VLOOKUP(A4997,[3]DOORSCRIEFT!$A$2:$G$8551,3,FALSE),"")</f>
        <v/>
      </c>
      <c r="E4997" s="317" t="str">
        <f>IFERROR(VLOOKUP(A4997,[3]DOORSCRIEFT!$A$2:$G$8551,4,FALSE),"")</f>
        <v/>
      </c>
      <c r="F4997" s="316" t="str">
        <f>IFERROR(VLOOKUP(A4997,[3]DOORSCRIEFT!$A$2:$G$8551,6,FALSE),"")</f>
        <v/>
      </c>
      <c r="G4997" s="315"/>
    </row>
    <row r="4998" spans="1:7" x14ac:dyDescent="0.25">
      <c r="A4998" s="320" t="str">
        <f t="shared" si="153"/>
        <v>I.5.1.0113</v>
      </c>
      <c r="B4998" s="320">
        <v>13</v>
      </c>
      <c r="C4998" s="319" t="str">
        <f>IFERROR(VLOOKUP(A4998,[3]DOORSCRIEFT!$A$2:$G$8551,2,FALSE),"")</f>
        <v/>
      </c>
      <c r="D4998" s="318" t="str">
        <f>IFERROR(VLOOKUP(A4998,[3]DOORSCRIEFT!$A$2:$G$8551,3,FALSE),"")</f>
        <v/>
      </c>
      <c r="E4998" s="317" t="str">
        <f>IFERROR(VLOOKUP(A4998,[3]DOORSCRIEFT!$A$2:$G$8551,4,FALSE),"")</f>
        <v/>
      </c>
      <c r="F4998" s="316" t="str">
        <f>IFERROR(VLOOKUP(A4998,[3]DOORSCRIEFT!$A$2:$G$8551,6,FALSE),"")</f>
        <v/>
      </c>
      <c r="G4998" s="315"/>
    </row>
    <row r="4999" spans="1:7" x14ac:dyDescent="0.25">
      <c r="A4999" s="320" t="str">
        <f t="shared" si="153"/>
        <v>I.5.1.0114</v>
      </c>
      <c r="B4999" s="321">
        <v>14</v>
      </c>
      <c r="C4999" s="319" t="str">
        <f>IFERROR(VLOOKUP(A4999,[3]DOORSCRIEFT!$A$2:$G$8551,2,FALSE),"")</f>
        <v/>
      </c>
      <c r="D4999" s="318" t="str">
        <f>IFERROR(VLOOKUP(A4999,[3]DOORSCRIEFT!$A$2:$G$8551,3,FALSE),"")</f>
        <v/>
      </c>
      <c r="E4999" s="317" t="str">
        <f>IFERROR(VLOOKUP(A4999,[3]DOORSCRIEFT!$A$2:$G$8551,4,FALSE),"")</f>
        <v/>
      </c>
      <c r="F4999" s="316" t="str">
        <f>IFERROR(VLOOKUP(A4999,[3]DOORSCRIEFT!$A$2:$G$8551,6,FALSE),"")</f>
        <v/>
      </c>
      <c r="G4999" s="315"/>
    </row>
    <row r="5000" spans="1:7" ht="15.75" thickBot="1" x14ac:dyDescent="0.3">
      <c r="A5000" s="320" t="str">
        <f t="shared" si="153"/>
        <v>I.5.1.0115</v>
      </c>
      <c r="B5000" s="320">
        <v>15</v>
      </c>
      <c r="C5000" s="319" t="str">
        <f>IFERROR(VLOOKUP(A5000,[3]DOORSCRIEFT!$A$2:$G$8551,2,FALSE),"")</f>
        <v/>
      </c>
      <c r="D5000" s="318" t="str">
        <f>IFERROR(VLOOKUP(A5000,[3]DOORSCRIEFT!$A$2:$G$8551,3,FALSE),"")</f>
        <v/>
      </c>
      <c r="E5000" s="317" t="str">
        <f>IFERROR(VLOOKUP(A5000,[3]DOORSCRIEFT!$A$2:$G$8551,4,FALSE),"")</f>
        <v/>
      </c>
      <c r="F5000" s="316" t="str">
        <f>IFERROR(VLOOKUP(A5000,[3]DOORSCRIEFT!$A$2:$G$8551,6,FALSE),"")</f>
        <v/>
      </c>
      <c r="G5000" s="315"/>
    </row>
    <row r="5001" spans="1:7" ht="15.75" thickBot="1" x14ac:dyDescent="0.3">
      <c r="A5001" s="314"/>
      <c r="B5001" s="312"/>
      <c r="C5001" s="336"/>
      <c r="D5001" s="312"/>
      <c r="E5001" s="311" t="s">
        <v>644</v>
      </c>
      <c r="F5001" s="310">
        <f>SUM(F4986:F5000)</f>
        <v>0</v>
      </c>
      <c r="G5001" s="309">
        <f>SUM(G4986:G5000)</f>
        <v>0</v>
      </c>
    </row>
    <row r="5002" spans="1:7" x14ac:dyDescent="0.25">
      <c r="C5002" s="335"/>
    </row>
    <row r="5003" spans="1:7" x14ac:dyDescent="0.25">
      <c r="C5003" s="335"/>
    </row>
    <row r="5004" spans="1:7" ht="15.75" x14ac:dyDescent="0.25">
      <c r="C5004" s="334"/>
      <c r="D5004" s="333"/>
      <c r="E5004" s="332"/>
      <c r="F5004" s="327" t="s">
        <v>607</v>
      </c>
      <c r="G5004" s="327" t="s">
        <v>328</v>
      </c>
    </row>
    <row r="5005" spans="1:7" ht="15.75" x14ac:dyDescent="0.25">
      <c r="C5005" s="334"/>
      <c r="D5005" s="333"/>
      <c r="E5005" s="332"/>
      <c r="F5005" s="327" t="s">
        <v>601</v>
      </c>
      <c r="G5005" s="327" t="s">
        <v>327</v>
      </c>
    </row>
    <row r="5006" spans="1:7" x14ac:dyDescent="0.25">
      <c r="C5006" s="330"/>
      <c r="D5006" s="329"/>
      <c r="E5006" s="328"/>
      <c r="F5006" s="327" t="s">
        <v>651</v>
      </c>
      <c r="G5006" s="331">
        <f>[2]Sheet1!$D$172</f>
        <v>0</v>
      </c>
    </row>
    <row r="5007" spans="1:7" ht="15.75" thickBot="1" x14ac:dyDescent="0.3">
      <c r="C5007" s="330"/>
      <c r="D5007" s="329"/>
      <c r="E5007" s="328"/>
      <c r="F5007" s="327" t="s">
        <v>650</v>
      </c>
      <c r="G5007" s="326">
        <f>+F5026-G5006</f>
        <v>0</v>
      </c>
    </row>
    <row r="5008" spans="1:7" x14ac:dyDescent="0.25">
      <c r="A5008" s="573" t="s">
        <v>626</v>
      </c>
      <c r="B5008" s="584" t="s">
        <v>606</v>
      </c>
      <c r="C5008" s="588" t="s">
        <v>649</v>
      </c>
      <c r="D5008" s="577" t="s">
        <v>648</v>
      </c>
      <c r="E5008" s="577" t="s">
        <v>647</v>
      </c>
      <c r="F5008" s="577" t="s">
        <v>646</v>
      </c>
      <c r="G5008" s="580" t="s">
        <v>645</v>
      </c>
    </row>
    <row r="5009" spans="1:7" ht="15.75" thickBot="1" x14ac:dyDescent="0.3">
      <c r="A5009" s="574"/>
      <c r="B5009" s="585"/>
      <c r="C5009" s="589"/>
      <c r="D5009" s="586"/>
      <c r="E5009" s="586"/>
      <c r="F5009" s="586"/>
      <c r="G5009" s="587"/>
    </row>
    <row r="5010" spans="1:7" ht="15.75" thickBot="1" x14ac:dyDescent="0.3">
      <c r="A5010" s="325">
        <v>1</v>
      </c>
      <c r="B5010" s="324">
        <v>2</v>
      </c>
      <c r="C5010" s="324">
        <v>3</v>
      </c>
      <c r="D5010" s="324">
        <v>4</v>
      </c>
      <c r="E5010" s="324">
        <v>5</v>
      </c>
      <c r="F5010" s="324">
        <v>6</v>
      </c>
      <c r="G5010" s="323">
        <v>7</v>
      </c>
    </row>
    <row r="5011" spans="1:7" x14ac:dyDescent="0.25">
      <c r="A5011" s="320" t="str">
        <f t="shared" ref="A5011:A5025" si="154">$G$5004&amp;B5011</f>
        <v>I.5.1.021</v>
      </c>
      <c r="B5011" s="320">
        <v>1</v>
      </c>
      <c r="C5011" s="319" t="str">
        <f>IFERROR(VLOOKUP(A5011,[3]DOORSCRIEFT!$A$2:$G$8551,2,FALSE),"")</f>
        <v/>
      </c>
      <c r="D5011" s="318" t="str">
        <f>IFERROR(VLOOKUP(A5011,[3]DOORSCRIEFT!$A$2:$G$8551,3,FALSE),"")</f>
        <v/>
      </c>
      <c r="E5011" s="317" t="str">
        <f>IFERROR(VLOOKUP(A5011,[3]DOORSCRIEFT!$A$2:$G$8551,4,FALSE),"")</f>
        <v/>
      </c>
      <c r="F5011" s="316" t="str">
        <f>IFERROR(VLOOKUP(A5011,[3]DOORSCRIEFT!$A$2:$G$8551,6,FALSE),"")</f>
        <v/>
      </c>
      <c r="G5011" s="322"/>
    </row>
    <row r="5012" spans="1:7" x14ac:dyDescent="0.25">
      <c r="A5012" s="320" t="str">
        <f t="shared" si="154"/>
        <v>I.5.1.022</v>
      </c>
      <c r="B5012" s="321">
        <v>2</v>
      </c>
      <c r="C5012" s="319" t="str">
        <f>IFERROR(VLOOKUP(A5012,[3]DOORSCRIEFT!$A$2:$G$8551,2,FALSE),"")</f>
        <v/>
      </c>
      <c r="D5012" s="318" t="str">
        <f>IFERROR(VLOOKUP(A5012,[3]DOORSCRIEFT!$A$2:$G$8551,3,FALSE),"")</f>
        <v/>
      </c>
      <c r="E5012" s="317" t="str">
        <f>IFERROR(VLOOKUP(A5012,[3]DOORSCRIEFT!$A$2:$G$8551,4,FALSE),"")</f>
        <v/>
      </c>
      <c r="F5012" s="316" t="str">
        <f>IFERROR(VLOOKUP(A5012,[3]DOORSCRIEFT!$A$2:$G$8551,6,FALSE),"")</f>
        <v/>
      </c>
      <c r="G5012" s="315"/>
    </row>
    <row r="5013" spans="1:7" x14ac:dyDescent="0.25">
      <c r="A5013" s="320" t="str">
        <f t="shared" si="154"/>
        <v>I.5.1.023</v>
      </c>
      <c r="B5013" s="320">
        <v>3</v>
      </c>
      <c r="C5013" s="319" t="str">
        <f>IFERROR(VLOOKUP(A5013,[3]DOORSCRIEFT!$A$2:$G$8551,2,FALSE),"")</f>
        <v/>
      </c>
      <c r="D5013" s="318" t="str">
        <f>IFERROR(VLOOKUP(A5013,[3]DOORSCRIEFT!$A$2:$G$8551,3,FALSE),"")</f>
        <v/>
      </c>
      <c r="E5013" s="317" t="str">
        <f>IFERROR(VLOOKUP(A5013,[3]DOORSCRIEFT!$A$2:$G$8551,4,FALSE),"")</f>
        <v/>
      </c>
      <c r="F5013" s="316" t="str">
        <f>IFERROR(VLOOKUP(A5013,[3]DOORSCRIEFT!$A$2:$G$8551,6,FALSE),"")</f>
        <v/>
      </c>
      <c r="G5013" s="315"/>
    </row>
    <row r="5014" spans="1:7" x14ac:dyDescent="0.25">
      <c r="A5014" s="320" t="str">
        <f t="shared" si="154"/>
        <v>I.5.1.024</v>
      </c>
      <c r="B5014" s="321">
        <v>4</v>
      </c>
      <c r="C5014" s="319" t="str">
        <f>IFERROR(VLOOKUP(A5014,[3]DOORSCRIEFT!$A$2:$G$8551,2,FALSE),"")</f>
        <v/>
      </c>
      <c r="D5014" s="318" t="str">
        <f>IFERROR(VLOOKUP(A5014,[3]DOORSCRIEFT!$A$2:$G$8551,3,FALSE),"")</f>
        <v/>
      </c>
      <c r="E5014" s="317" t="str">
        <f>IFERROR(VLOOKUP(A5014,[3]DOORSCRIEFT!$A$2:$G$8551,4,FALSE),"")</f>
        <v/>
      </c>
      <c r="F5014" s="316" t="str">
        <f>IFERROR(VLOOKUP(A5014,[3]DOORSCRIEFT!$A$2:$G$8551,6,FALSE),"")</f>
        <v/>
      </c>
      <c r="G5014" s="315"/>
    </row>
    <row r="5015" spans="1:7" x14ac:dyDescent="0.25">
      <c r="A5015" s="320" t="str">
        <f t="shared" si="154"/>
        <v>I.5.1.025</v>
      </c>
      <c r="B5015" s="320">
        <v>5</v>
      </c>
      <c r="C5015" s="319" t="str">
        <f>IFERROR(VLOOKUP(A5015,[3]DOORSCRIEFT!$A$2:$G$8551,2,FALSE),"")</f>
        <v/>
      </c>
      <c r="D5015" s="318" t="str">
        <f>IFERROR(VLOOKUP(A5015,[3]DOORSCRIEFT!$A$2:$G$8551,3,FALSE),"")</f>
        <v/>
      </c>
      <c r="E5015" s="317" t="str">
        <f>IFERROR(VLOOKUP(A5015,[3]DOORSCRIEFT!$A$2:$G$8551,4,FALSE),"")</f>
        <v/>
      </c>
      <c r="F5015" s="316" t="str">
        <f>IFERROR(VLOOKUP(A5015,[3]DOORSCRIEFT!$A$2:$G$8551,6,FALSE),"")</f>
        <v/>
      </c>
      <c r="G5015" s="315"/>
    </row>
    <row r="5016" spans="1:7" x14ac:dyDescent="0.25">
      <c r="A5016" s="320" t="str">
        <f t="shared" si="154"/>
        <v>I.5.1.026</v>
      </c>
      <c r="B5016" s="321">
        <v>6</v>
      </c>
      <c r="C5016" s="319" t="str">
        <f>IFERROR(VLOOKUP(A5016,[3]DOORSCRIEFT!$A$2:$G$8551,2,FALSE),"")</f>
        <v/>
      </c>
      <c r="D5016" s="318" t="str">
        <f>IFERROR(VLOOKUP(A5016,[3]DOORSCRIEFT!$A$2:$G$8551,3,FALSE),"")</f>
        <v/>
      </c>
      <c r="E5016" s="317" t="str">
        <f>IFERROR(VLOOKUP(A5016,[3]DOORSCRIEFT!$A$2:$G$8551,4,FALSE),"")</f>
        <v/>
      </c>
      <c r="F5016" s="316" t="str">
        <f>IFERROR(VLOOKUP(A5016,[3]DOORSCRIEFT!$A$2:$G$8551,6,FALSE),"")</f>
        <v/>
      </c>
      <c r="G5016" s="315"/>
    </row>
    <row r="5017" spans="1:7" x14ac:dyDescent="0.25">
      <c r="A5017" s="320" t="str">
        <f t="shared" si="154"/>
        <v>I.5.1.027</v>
      </c>
      <c r="B5017" s="320">
        <v>7</v>
      </c>
      <c r="C5017" s="319" t="str">
        <f>IFERROR(VLOOKUP(A5017,[3]DOORSCRIEFT!$A$2:$G$8551,2,FALSE),"")</f>
        <v/>
      </c>
      <c r="D5017" s="318" t="str">
        <f>IFERROR(VLOOKUP(A5017,[3]DOORSCRIEFT!$A$2:$G$8551,3,FALSE),"")</f>
        <v/>
      </c>
      <c r="E5017" s="317" t="str">
        <f>IFERROR(VLOOKUP(A5017,[3]DOORSCRIEFT!$A$2:$G$8551,4,FALSE),"")</f>
        <v/>
      </c>
      <c r="F5017" s="316" t="str">
        <f>IFERROR(VLOOKUP(A5017,[3]DOORSCRIEFT!$A$2:$G$8551,6,FALSE),"")</f>
        <v/>
      </c>
      <c r="G5017" s="315"/>
    </row>
    <row r="5018" spans="1:7" x14ac:dyDescent="0.25">
      <c r="A5018" s="320" t="str">
        <f t="shared" si="154"/>
        <v>I.5.1.028</v>
      </c>
      <c r="B5018" s="321">
        <v>8</v>
      </c>
      <c r="C5018" s="319" t="str">
        <f>IFERROR(VLOOKUP(A5018,[3]DOORSCRIEFT!$A$2:$G$8551,2,FALSE),"")</f>
        <v/>
      </c>
      <c r="D5018" s="318" t="str">
        <f>IFERROR(VLOOKUP(A5018,[3]DOORSCRIEFT!$A$2:$G$8551,3,FALSE),"")</f>
        <v/>
      </c>
      <c r="E5018" s="317" t="str">
        <f>IFERROR(VLOOKUP(A5018,[3]DOORSCRIEFT!$A$2:$G$8551,4,FALSE),"")</f>
        <v/>
      </c>
      <c r="F5018" s="316" t="str">
        <f>IFERROR(VLOOKUP(A5018,[3]DOORSCRIEFT!$A$2:$G$8551,6,FALSE),"")</f>
        <v/>
      </c>
      <c r="G5018" s="315"/>
    </row>
    <row r="5019" spans="1:7" x14ac:dyDescent="0.25">
      <c r="A5019" s="320" t="str">
        <f t="shared" si="154"/>
        <v>I.5.1.029</v>
      </c>
      <c r="B5019" s="320">
        <v>9</v>
      </c>
      <c r="C5019" s="319" t="str">
        <f>IFERROR(VLOOKUP(A5019,[3]DOORSCRIEFT!$A$2:$G$8551,2,FALSE),"")</f>
        <v/>
      </c>
      <c r="D5019" s="318" t="str">
        <f>IFERROR(VLOOKUP(A5019,[3]DOORSCRIEFT!$A$2:$G$8551,3,FALSE),"")</f>
        <v/>
      </c>
      <c r="E5019" s="317" t="str">
        <f>IFERROR(VLOOKUP(A5019,[3]DOORSCRIEFT!$A$2:$G$8551,4,FALSE),"")</f>
        <v/>
      </c>
      <c r="F5019" s="316" t="str">
        <f>IFERROR(VLOOKUP(A5019,[3]DOORSCRIEFT!$A$2:$G$8551,6,FALSE),"")</f>
        <v/>
      </c>
      <c r="G5019" s="315"/>
    </row>
    <row r="5020" spans="1:7" x14ac:dyDescent="0.25">
      <c r="A5020" s="320" t="str">
        <f t="shared" si="154"/>
        <v>I.5.1.0210</v>
      </c>
      <c r="B5020" s="321">
        <v>10</v>
      </c>
      <c r="C5020" s="319" t="str">
        <f>IFERROR(VLOOKUP(A5020,[3]DOORSCRIEFT!$A$2:$G$8551,2,FALSE),"")</f>
        <v/>
      </c>
      <c r="D5020" s="318" t="str">
        <f>IFERROR(VLOOKUP(A5020,[3]DOORSCRIEFT!$A$2:$G$8551,3,FALSE),"")</f>
        <v/>
      </c>
      <c r="E5020" s="317" t="str">
        <f>IFERROR(VLOOKUP(A5020,[3]DOORSCRIEFT!$A$2:$G$8551,4,FALSE),"")</f>
        <v/>
      </c>
      <c r="F5020" s="316" t="str">
        <f>IFERROR(VLOOKUP(A5020,[3]DOORSCRIEFT!$A$2:$G$8551,6,FALSE),"")</f>
        <v/>
      </c>
      <c r="G5020" s="315"/>
    </row>
    <row r="5021" spans="1:7" x14ac:dyDescent="0.25">
      <c r="A5021" s="320" t="str">
        <f t="shared" si="154"/>
        <v>I.5.1.0211</v>
      </c>
      <c r="B5021" s="320">
        <v>11</v>
      </c>
      <c r="C5021" s="319" t="str">
        <f>IFERROR(VLOOKUP(A5021,[3]DOORSCRIEFT!$A$2:$G$8551,2,FALSE),"")</f>
        <v/>
      </c>
      <c r="D5021" s="318" t="str">
        <f>IFERROR(VLOOKUP(A5021,[3]DOORSCRIEFT!$A$2:$G$8551,3,FALSE),"")</f>
        <v/>
      </c>
      <c r="E5021" s="317" t="str">
        <f>IFERROR(VLOOKUP(A5021,[3]DOORSCRIEFT!$A$2:$G$8551,4,FALSE),"")</f>
        <v/>
      </c>
      <c r="F5021" s="316" t="str">
        <f>IFERROR(VLOOKUP(A5021,[3]DOORSCRIEFT!$A$2:$G$8551,6,FALSE),"")</f>
        <v/>
      </c>
      <c r="G5021" s="315"/>
    </row>
    <row r="5022" spans="1:7" x14ac:dyDescent="0.25">
      <c r="A5022" s="320" t="str">
        <f t="shared" si="154"/>
        <v>I.5.1.0212</v>
      </c>
      <c r="B5022" s="321">
        <v>12</v>
      </c>
      <c r="C5022" s="319" t="str">
        <f>IFERROR(VLOOKUP(A5022,[3]DOORSCRIEFT!$A$2:$G$8551,2,FALSE),"")</f>
        <v/>
      </c>
      <c r="D5022" s="318" t="str">
        <f>IFERROR(VLOOKUP(A5022,[3]DOORSCRIEFT!$A$2:$G$8551,3,FALSE),"")</f>
        <v/>
      </c>
      <c r="E5022" s="317" t="str">
        <f>IFERROR(VLOOKUP(A5022,[3]DOORSCRIEFT!$A$2:$G$8551,4,FALSE),"")</f>
        <v/>
      </c>
      <c r="F5022" s="316" t="str">
        <f>IFERROR(VLOOKUP(A5022,[3]DOORSCRIEFT!$A$2:$G$8551,6,FALSE),"")</f>
        <v/>
      </c>
      <c r="G5022" s="315"/>
    </row>
    <row r="5023" spans="1:7" x14ac:dyDescent="0.25">
      <c r="A5023" s="320" t="str">
        <f t="shared" si="154"/>
        <v>I.5.1.0213</v>
      </c>
      <c r="B5023" s="320">
        <v>13</v>
      </c>
      <c r="C5023" s="319" t="str">
        <f>IFERROR(VLOOKUP(A5023,[3]DOORSCRIEFT!$A$2:$G$8551,2,FALSE),"")</f>
        <v/>
      </c>
      <c r="D5023" s="318" t="str">
        <f>IFERROR(VLOOKUP(A5023,[3]DOORSCRIEFT!$A$2:$G$8551,3,FALSE),"")</f>
        <v/>
      </c>
      <c r="E5023" s="317" t="str">
        <f>IFERROR(VLOOKUP(A5023,[3]DOORSCRIEFT!$A$2:$G$8551,4,FALSE),"")</f>
        <v/>
      </c>
      <c r="F5023" s="316" t="str">
        <f>IFERROR(VLOOKUP(A5023,[3]DOORSCRIEFT!$A$2:$G$8551,6,FALSE),"")</f>
        <v/>
      </c>
      <c r="G5023" s="315"/>
    </row>
    <row r="5024" spans="1:7" x14ac:dyDescent="0.25">
      <c r="A5024" s="320" t="str">
        <f t="shared" si="154"/>
        <v>I.5.1.0214</v>
      </c>
      <c r="B5024" s="321">
        <v>14</v>
      </c>
      <c r="C5024" s="319" t="str">
        <f>IFERROR(VLOOKUP(A5024,[3]DOORSCRIEFT!$A$2:$G$8551,2,FALSE),"")</f>
        <v/>
      </c>
      <c r="D5024" s="318" t="str">
        <f>IFERROR(VLOOKUP(A5024,[3]DOORSCRIEFT!$A$2:$G$8551,3,FALSE),"")</f>
        <v/>
      </c>
      <c r="E5024" s="317" t="str">
        <f>IFERROR(VLOOKUP(A5024,[3]DOORSCRIEFT!$A$2:$G$8551,4,FALSE),"")</f>
        <v/>
      </c>
      <c r="F5024" s="316" t="str">
        <f>IFERROR(VLOOKUP(A5024,[3]DOORSCRIEFT!$A$2:$G$8551,6,FALSE),"")</f>
        <v/>
      </c>
      <c r="G5024" s="315"/>
    </row>
    <row r="5025" spans="1:7" ht="15.75" thickBot="1" x14ac:dyDescent="0.3">
      <c r="A5025" s="320" t="str">
        <f t="shared" si="154"/>
        <v>I.5.1.0215</v>
      </c>
      <c r="B5025" s="320">
        <v>15</v>
      </c>
      <c r="C5025" s="319" t="str">
        <f>IFERROR(VLOOKUP(A5025,[3]DOORSCRIEFT!$A$2:$G$8551,2,FALSE),"")</f>
        <v/>
      </c>
      <c r="D5025" s="318" t="str">
        <f>IFERROR(VLOOKUP(A5025,[3]DOORSCRIEFT!$A$2:$G$8551,3,FALSE),"")</f>
        <v/>
      </c>
      <c r="E5025" s="317" t="str">
        <f>IFERROR(VLOOKUP(A5025,[3]DOORSCRIEFT!$A$2:$G$8551,4,FALSE),"")</f>
        <v/>
      </c>
      <c r="F5025" s="316" t="str">
        <f>IFERROR(VLOOKUP(A5025,[3]DOORSCRIEFT!$A$2:$G$8551,6,FALSE),"")</f>
        <v/>
      </c>
      <c r="G5025" s="315"/>
    </row>
    <row r="5026" spans="1:7" ht="15.75" thickBot="1" x14ac:dyDescent="0.3">
      <c r="A5026" s="314"/>
      <c r="B5026" s="312"/>
      <c r="C5026" s="336"/>
      <c r="D5026" s="312"/>
      <c r="E5026" s="311" t="s">
        <v>644</v>
      </c>
      <c r="F5026" s="310">
        <f>SUM(F5011:F5025)</f>
        <v>0</v>
      </c>
      <c r="G5026" s="309">
        <f>SUM(G5011:G5025)</f>
        <v>0</v>
      </c>
    </row>
    <row r="5027" spans="1:7" x14ac:dyDescent="0.25">
      <c r="C5027" s="335"/>
    </row>
    <row r="5028" spans="1:7" x14ac:dyDescent="0.25">
      <c r="C5028" s="335"/>
    </row>
    <row r="5029" spans="1:7" ht="15.75" x14ac:dyDescent="0.25">
      <c r="C5029" s="334"/>
      <c r="D5029" s="333"/>
      <c r="E5029" s="332"/>
      <c r="F5029" s="327" t="s">
        <v>607</v>
      </c>
      <c r="G5029" s="327" t="s">
        <v>326</v>
      </c>
    </row>
    <row r="5030" spans="1:7" ht="15.75" x14ac:dyDescent="0.25">
      <c r="C5030" s="334"/>
      <c r="D5030" s="333"/>
      <c r="E5030" s="332"/>
      <c r="F5030" s="327" t="s">
        <v>601</v>
      </c>
      <c r="G5030" s="327" t="s">
        <v>325</v>
      </c>
    </row>
    <row r="5031" spans="1:7" x14ac:dyDescent="0.25">
      <c r="C5031" s="330"/>
      <c r="D5031" s="329"/>
      <c r="E5031" s="328"/>
      <c r="F5031" s="327" t="s">
        <v>651</v>
      </c>
      <c r="G5031" s="331">
        <f>[2]Sheet1!$D$173</f>
        <v>0</v>
      </c>
    </row>
    <row r="5032" spans="1:7" ht="15.75" thickBot="1" x14ac:dyDescent="0.3">
      <c r="C5032" s="330"/>
      <c r="D5032" s="329"/>
      <c r="E5032" s="328"/>
      <c r="F5032" s="327" t="s">
        <v>650</v>
      </c>
      <c r="G5032" s="326">
        <f>+F5051-G5031</f>
        <v>0</v>
      </c>
    </row>
    <row r="5033" spans="1:7" x14ac:dyDescent="0.25">
      <c r="A5033" s="573" t="s">
        <v>626</v>
      </c>
      <c r="B5033" s="584" t="s">
        <v>606</v>
      </c>
      <c r="C5033" s="588" t="s">
        <v>649</v>
      </c>
      <c r="D5033" s="577" t="s">
        <v>648</v>
      </c>
      <c r="E5033" s="577" t="s">
        <v>647</v>
      </c>
      <c r="F5033" s="577" t="s">
        <v>646</v>
      </c>
      <c r="G5033" s="580" t="s">
        <v>645</v>
      </c>
    </row>
    <row r="5034" spans="1:7" ht="15.75" thickBot="1" x14ac:dyDescent="0.3">
      <c r="A5034" s="574"/>
      <c r="B5034" s="585"/>
      <c r="C5034" s="589"/>
      <c r="D5034" s="586"/>
      <c r="E5034" s="586"/>
      <c r="F5034" s="586"/>
      <c r="G5034" s="587"/>
    </row>
    <row r="5035" spans="1:7" ht="15.75" thickBot="1" x14ac:dyDescent="0.3">
      <c r="A5035" s="325">
        <v>1</v>
      </c>
      <c r="B5035" s="324">
        <v>2</v>
      </c>
      <c r="C5035" s="324">
        <v>3</v>
      </c>
      <c r="D5035" s="324">
        <v>4</v>
      </c>
      <c r="E5035" s="324">
        <v>5</v>
      </c>
      <c r="F5035" s="324">
        <v>6</v>
      </c>
      <c r="G5035" s="323">
        <v>7</v>
      </c>
    </row>
    <row r="5036" spans="1:7" x14ac:dyDescent="0.25">
      <c r="A5036" s="320" t="str">
        <f t="shared" ref="A5036:A5050" si="155">$G$5029&amp;B5036</f>
        <v>I.5.1.031</v>
      </c>
      <c r="B5036" s="320">
        <v>1</v>
      </c>
      <c r="C5036" s="319" t="str">
        <f>IFERROR(VLOOKUP(A5036,[3]DOORSCRIEFT!$A$2:$G$8551,2,FALSE),"")</f>
        <v/>
      </c>
      <c r="D5036" s="318" t="str">
        <f>IFERROR(VLOOKUP(A5036,[3]DOORSCRIEFT!$A$2:$G$8551,3,FALSE),"")</f>
        <v/>
      </c>
      <c r="E5036" s="317" t="str">
        <f>IFERROR(VLOOKUP(A5036,[3]DOORSCRIEFT!$A$2:$G$8551,4,FALSE),"")</f>
        <v/>
      </c>
      <c r="F5036" s="316" t="str">
        <f>IFERROR(VLOOKUP(A5036,[3]DOORSCRIEFT!$A$2:$G$8551,6,FALSE),"")</f>
        <v/>
      </c>
      <c r="G5036" s="322"/>
    </row>
    <row r="5037" spans="1:7" x14ac:dyDescent="0.25">
      <c r="A5037" s="320" t="str">
        <f t="shared" si="155"/>
        <v>I.5.1.032</v>
      </c>
      <c r="B5037" s="321">
        <v>2</v>
      </c>
      <c r="C5037" s="319" t="str">
        <f>IFERROR(VLOOKUP(A5037,[3]DOORSCRIEFT!$A$2:$G$8551,2,FALSE),"")</f>
        <v/>
      </c>
      <c r="D5037" s="318" t="str">
        <f>IFERROR(VLOOKUP(A5037,[3]DOORSCRIEFT!$A$2:$G$8551,3,FALSE),"")</f>
        <v/>
      </c>
      <c r="E5037" s="317" t="str">
        <f>IFERROR(VLOOKUP(A5037,[3]DOORSCRIEFT!$A$2:$G$8551,4,FALSE),"")</f>
        <v/>
      </c>
      <c r="F5037" s="316" t="str">
        <f>IFERROR(VLOOKUP(A5037,[3]DOORSCRIEFT!$A$2:$G$8551,6,FALSE),"")</f>
        <v/>
      </c>
      <c r="G5037" s="315"/>
    </row>
    <row r="5038" spans="1:7" x14ac:dyDescent="0.25">
      <c r="A5038" s="320" t="str">
        <f t="shared" si="155"/>
        <v>I.5.1.033</v>
      </c>
      <c r="B5038" s="320">
        <v>3</v>
      </c>
      <c r="C5038" s="319" t="str">
        <f>IFERROR(VLOOKUP(A5038,[3]DOORSCRIEFT!$A$2:$G$8551,2,FALSE),"")</f>
        <v/>
      </c>
      <c r="D5038" s="318" t="str">
        <f>IFERROR(VLOOKUP(A5038,[3]DOORSCRIEFT!$A$2:$G$8551,3,FALSE),"")</f>
        <v/>
      </c>
      <c r="E5038" s="317" t="str">
        <f>IFERROR(VLOOKUP(A5038,[3]DOORSCRIEFT!$A$2:$G$8551,4,FALSE),"")</f>
        <v/>
      </c>
      <c r="F5038" s="316" t="str">
        <f>IFERROR(VLOOKUP(A5038,[3]DOORSCRIEFT!$A$2:$G$8551,6,FALSE),"")</f>
        <v/>
      </c>
      <c r="G5038" s="315"/>
    </row>
    <row r="5039" spans="1:7" x14ac:dyDescent="0.25">
      <c r="A5039" s="320" t="str">
        <f t="shared" si="155"/>
        <v>I.5.1.034</v>
      </c>
      <c r="B5039" s="321">
        <v>4</v>
      </c>
      <c r="C5039" s="319" t="str">
        <f>IFERROR(VLOOKUP(A5039,[3]DOORSCRIEFT!$A$2:$G$8551,2,FALSE),"")</f>
        <v/>
      </c>
      <c r="D5039" s="318" t="str">
        <f>IFERROR(VLOOKUP(A5039,[3]DOORSCRIEFT!$A$2:$G$8551,3,FALSE),"")</f>
        <v/>
      </c>
      <c r="E5039" s="317" t="str">
        <f>IFERROR(VLOOKUP(A5039,[3]DOORSCRIEFT!$A$2:$G$8551,4,FALSE),"")</f>
        <v/>
      </c>
      <c r="F5039" s="316" t="str">
        <f>IFERROR(VLOOKUP(A5039,[3]DOORSCRIEFT!$A$2:$G$8551,6,FALSE),"")</f>
        <v/>
      </c>
      <c r="G5039" s="315"/>
    </row>
    <row r="5040" spans="1:7" x14ac:dyDescent="0.25">
      <c r="A5040" s="320" t="str">
        <f t="shared" si="155"/>
        <v>I.5.1.035</v>
      </c>
      <c r="B5040" s="320">
        <v>5</v>
      </c>
      <c r="C5040" s="319" t="str">
        <f>IFERROR(VLOOKUP(A5040,[3]DOORSCRIEFT!$A$2:$G$8551,2,FALSE),"")</f>
        <v/>
      </c>
      <c r="D5040" s="318" t="str">
        <f>IFERROR(VLOOKUP(A5040,[3]DOORSCRIEFT!$A$2:$G$8551,3,FALSE),"")</f>
        <v/>
      </c>
      <c r="E5040" s="317" t="str">
        <f>IFERROR(VLOOKUP(A5040,[3]DOORSCRIEFT!$A$2:$G$8551,4,FALSE),"")</f>
        <v/>
      </c>
      <c r="F5040" s="316" t="str">
        <f>IFERROR(VLOOKUP(A5040,[3]DOORSCRIEFT!$A$2:$G$8551,6,FALSE),"")</f>
        <v/>
      </c>
      <c r="G5040" s="315"/>
    </row>
    <row r="5041" spans="1:7" x14ac:dyDescent="0.25">
      <c r="A5041" s="320" t="str">
        <f t="shared" si="155"/>
        <v>I.5.1.036</v>
      </c>
      <c r="B5041" s="321">
        <v>6</v>
      </c>
      <c r="C5041" s="319" t="str">
        <f>IFERROR(VLOOKUP(A5041,[3]DOORSCRIEFT!$A$2:$G$8551,2,FALSE),"")</f>
        <v/>
      </c>
      <c r="D5041" s="318" t="str">
        <f>IFERROR(VLOOKUP(A5041,[3]DOORSCRIEFT!$A$2:$G$8551,3,FALSE),"")</f>
        <v/>
      </c>
      <c r="E5041" s="317" t="str">
        <f>IFERROR(VLOOKUP(A5041,[3]DOORSCRIEFT!$A$2:$G$8551,4,FALSE),"")</f>
        <v/>
      </c>
      <c r="F5041" s="316" t="str">
        <f>IFERROR(VLOOKUP(A5041,[3]DOORSCRIEFT!$A$2:$G$8551,6,FALSE),"")</f>
        <v/>
      </c>
      <c r="G5041" s="315"/>
    </row>
    <row r="5042" spans="1:7" x14ac:dyDescent="0.25">
      <c r="A5042" s="320" t="str">
        <f t="shared" si="155"/>
        <v>I.5.1.037</v>
      </c>
      <c r="B5042" s="320">
        <v>7</v>
      </c>
      <c r="C5042" s="319" t="str">
        <f>IFERROR(VLOOKUP(A5042,[3]DOORSCRIEFT!$A$2:$G$8551,2,FALSE),"")</f>
        <v/>
      </c>
      <c r="D5042" s="318" t="str">
        <f>IFERROR(VLOOKUP(A5042,[3]DOORSCRIEFT!$A$2:$G$8551,3,FALSE),"")</f>
        <v/>
      </c>
      <c r="E5042" s="317" t="str">
        <f>IFERROR(VLOOKUP(A5042,[3]DOORSCRIEFT!$A$2:$G$8551,4,FALSE),"")</f>
        <v/>
      </c>
      <c r="F5042" s="316" t="str">
        <f>IFERROR(VLOOKUP(A5042,[3]DOORSCRIEFT!$A$2:$G$8551,6,FALSE),"")</f>
        <v/>
      </c>
      <c r="G5042" s="315"/>
    </row>
    <row r="5043" spans="1:7" x14ac:dyDescent="0.25">
      <c r="A5043" s="320" t="str">
        <f t="shared" si="155"/>
        <v>I.5.1.038</v>
      </c>
      <c r="B5043" s="321">
        <v>8</v>
      </c>
      <c r="C5043" s="319" t="str">
        <f>IFERROR(VLOOKUP(A5043,[3]DOORSCRIEFT!$A$2:$G$8551,2,FALSE),"")</f>
        <v/>
      </c>
      <c r="D5043" s="318" t="str">
        <f>IFERROR(VLOOKUP(A5043,[3]DOORSCRIEFT!$A$2:$G$8551,3,FALSE),"")</f>
        <v/>
      </c>
      <c r="E5043" s="317" t="str">
        <f>IFERROR(VLOOKUP(A5043,[3]DOORSCRIEFT!$A$2:$G$8551,4,FALSE),"")</f>
        <v/>
      </c>
      <c r="F5043" s="316" t="str">
        <f>IFERROR(VLOOKUP(A5043,[3]DOORSCRIEFT!$A$2:$G$8551,6,FALSE),"")</f>
        <v/>
      </c>
      <c r="G5043" s="315"/>
    </row>
    <row r="5044" spans="1:7" x14ac:dyDescent="0.25">
      <c r="A5044" s="320" t="str">
        <f t="shared" si="155"/>
        <v>I.5.1.039</v>
      </c>
      <c r="B5044" s="320">
        <v>9</v>
      </c>
      <c r="C5044" s="319" t="str">
        <f>IFERROR(VLOOKUP(A5044,[3]DOORSCRIEFT!$A$2:$G$8551,2,FALSE),"")</f>
        <v/>
      </c>
      <c r="D5044" s="318" t="str">
        <f>IFERROR(VLOOKUP(A5044,[3]DOORSCRIEFT!$A$2:$G$8551,3,FALSE),"")</f>
        <v/>
      </c>
      <c r="E5044" s="317" t="str">
        <f>IFERROR(VLOOKUP(A5044,[3]DOORSCRIEFT!$A$2:$G$8551,4,FALSE),"")</f>
        <v/>
      </c>
      <c r="F5044" s="316" t="str">
        <f>IFERROR(VLOOKUP(A5044,[3]DOORSCRIEFT!$A$2:$G$8551,6,FALSE),"")</f>
        <v/>
      </c>
      <c r="G5044" s="315"/>
    </row>
    <row r="5045" spans="1:7" x14ac:dyDescent="0.25">
      <c r="A5045" s="320" t="str">
        <f t="shared" si="155"/>
        <v>I.5.1.0310</v>
      </c>
      <c r="B5045" s="321">
        <v>10</v>
      </c>
      <c r="C5045" s="319" t="str">
        <f>IFERROR(VLOOKUP(A5045,[3]DOORSCRIEFT!$A$2:$G$8551,2,FALSE),"")</f>
        <v/>
      </c>
      <c r="D5045" s="318" t="str">
        <f>IFERROR(VLOOKUP(A5045,[3]DOORSCRIEFT!$A$2:$G$8551,3,FALSE),"")</f>
        <v/>
      </c>
      <c r="E5045" s="317" t="str">
        <f>IFERROR(VLOOKUP(A5045,[3]DOORSCRIEFT!$A$2:$G$8551,4,FALSE),"")</f>
        <v/>
      </c>
      <c r="F5045" s="316" t="str">
        <f>IFERROR(VLOOKUP(A5045,[3]DOORSCRIEFT!$A$2:$G$8551,6,FALSE),"")</f>
        <v/>
      </c>
      <c r="G5045" s="315"/>
    </row>
    <row r="5046" spans="1:7" x14ac:dyDescent="0.25">
      <c r="A5046" s="320" t="str">
        <f t="shared" si="155"/>
        <v>I.5.1.0311</v>
      </c>
      <c r="B5046" s="320">
        <v>11</v>
      </c>
      <c r="C5046" s="319" t="str">
        <f>IFERROR(VLOOKUP(A5046,[3]DOORSCRIEFT!$A$2:$G$8551,2,FALSE),"")</f>
        <v/>
      </c>
      <c r="D5046" s="318" t="str">
        <f>IFERROR(VLOOKUP(A5046,[3]DOORSCRIEFT!$A$2:$G$8551,3,FALSE),"")</f>
        <v/>
      </c>
      <c r="E5046" s="317" t="str">
        <f>IFERROR(VLOOKUP(A5046,[3]DOORSCRIEFT!$A$2:$G$8551,4,FALSE),"")</f>
        <v/>
      </c>
      <c r="F5046" s="316" t="str">
        <f>IFERROR(VLOOKUP(A5046,[3]DOORSCRIEFT!$A$2:$G$8551,6,FALSE),"")</f>
        <v/>
      </c>
      <c r="G5046" s="315"/>
    </row>
    <row r="5047" spans="1:7" x14ac:dyDescent="0.25">
      <c r="A5047" s="320" t="str">
        <f t="shared" si="155"/>
        <v>I.5.1.0312</v>
      </c>
      <c r="B5047" s="321">
        <v>12</v>
      </c>
      <c r="C5047" s="319" t="str">
        <f>IFERROR(VLOOKUP(A5047,[3]DOORSCRIEFT!$A$2:$G$8551,2,FALSE),"")</f>
        <v/>
      </c>
      <c r="D5047" s="318" t="str">
        <f>IFERROR(VLOOKUP(A5047,[3]DOORSCRIEFT!$A$2:$G$8551,3,FALSE),"")</f>
        <v/>
      </c>
      <c r="E5047" s="317" t="str">
        <f>IFERROR(VLOOKUP(A5047,[3]DOORSCRIEFT!$A$2:$G$8551,4,FALSE),"")</f>
        <v/>
      </c>
      <c r="F5047" s="316" t="str">
        <f>IFERROR(VLOOKUP(A5047,[3]DOORSCRIEFT!$A$2:$G$8551,6,FALSE),"")</f>
        <v/>
      </c>
      <c r="G5047" s="315"/>
    </row>
    <row r="5048" spans="1:7" x14ac:dyDescent="0.25">
      <c r="A5048" s="320" t="str">
        <f t="shared" si="155"/>
        <v>I.5.1.0313</v>
      </c>
      <c r="B5048" s="320">
        <v>13</v>
      </c>
      <c r="C5048" s="319" t="str">
        <f>IFERROR(VLOOKUP(A5048,[3]DOORSCRIEFT!$A$2:$G$8551,2,FALSE),"")</f>
        <v/>
      </c>
      <c r="D5048" s="318" t="str">
        <f>IFERROR(VLOOKUP(A5048,[3]DOORSCRIEFT!$A$2:$G$8551,3,FALSE),"")</f>
        <v/>
      </c>
      <c r="E5048" s="317" t="str">
        <f>IFERROR(VLOOKUP(A5048,[3]DOORSCRIEFT!$A$2:$G$8551,4,FALSE),"")</f>
        <v/>
      </c>
      <c r="F5048" s="316" t="str">
        <f>IFERROR(VLOOKUP(A5048,[3]DOORSCRIEFT!$A$2:$G$8551,6,FALSE),"")</f>
        <v/>
      </c>
      <c r="G5048" s="315"/>
    </row>
    <row r="5049" spans="1:7" x14ac:dyDescent="0.25">
      <c r="A5049" s="320" t="str">
        <f t="shared" si="155"/>
        <v>I.5.1.0314</v>
      </c>
      <c r="B5049" s="321">
        <v>14</v>
      </c>
      <c r="C5049" s="319" t="str">
        <f>IFERROR(VLOOKUP(A5049,[3]DOORSCRIEFT!$A$2:$G$8551,2,FALSE),"")</f>
        <v/>
      </c>
      <c r="D5049" s="318" t="str">
        <f>IFERROR(VLOOKUP(A5049,[3]DOORSCRIEFT!$A$2:$G$8551,3,FALSE),"")</f>
        <v/>
      </c>
      <c r="E5049" s="317" t="str">
        <f>IFERROR(VLOOKUP(A5049,[3]DOORSCRIEFT!$A$2:$G$8551,4,FALSE),"")</f>
        <v/>
      </c>
      <c r="F5049" s="316" t="str">
        <f>IFERROR(VLOOKUP(A5049,[3]DOORSCRIEFT!$A$2:$G$8551,6,FALSE),"")</f>
        <v/>
      </c>
      <c r="G5049" s="315"/>
    </row>
    <row r="5050" spans="1:7" ht="15.75" thickBot="1" x14ac:dyDescent="0.3">
      <c r="A5050" s="320" t="str">
        <f t="shared" si="155"/>
        <v>I.5.1.0315</v>
      </c>
      <c r="B5050" s="320">
        <v>15</v>
      </c>
      <c r="C5050" s="319" t="str">
        <f>IFERROR(VLOOKUP(A5050,[3]DOORSCRIEFT!$A$2:$G$8551,2,FALSE),"")</f>
        <v/>
      </c>
      <c r="D5050" s="318" t="str">
        <f>IFERROR(VLOOKUP(A5050,[3]DOORSCRIEFT!$A$2:$G$8551,3,FALSE),"")</f>
        <v/>
      </c>
      <c r="E5050" s="317" t="str">
        <f>IFERROR(VLOOKUP(A5050,[3]DOORSCRIEFT!$A$2:$G$8551,4,FALSE),"")</f>
        <v/>
      </c>
      <c r="F5050" s="316" t="str">
        <f>IFERROR(VLOOKUP(A5050,[3]DOORSCRIEFT!$A$2:$G$8551,6,FALSE),"")</f>
        <v/>
      </c>
      <c r="G5050" s="315"/>
    </row>
    <row r="5051" spans="1:7" ht="15.75" thickBot="1" x14ac:dyDescent="0.3">
      <c r="A5051" s="314"/>
      <c r="B5051" s="312"/>
      <c r="C5051" s="336"/>
      <c r="D5051" s="312"/>
      <c r="E5051" s="311" t="s">
        <v>644</v>
      </c>
      <c r="F5051" s="310">
        <f>SUM(F5036:F5050)</f>
        <v>0</v>
      </c>
      <c r="G5051" s="309">
        <f>SUM(G5036:G5050)</f>
        <v>0</v>
      </c>
    </row>
    <row r="5052" spans="1:7" x14ac:dyDescent="0.25">
      <c r="C5052" s="335"/>
    </row>
    <row r="5053" spans="1:7" x14ac:dyDescent="0.25">
      <c r="C5053" s="335"/>
    </row>
    <row r="5054" spans="1:7" ht="15.75" x14ac:dyDescent="0.25">
      <c r="C5054" s="334"/>
      <c r="D5054" s="333"/>
      <c r="E5054" s="332"/>
      <c r="F5054" s="327" t="s">
        <v>607</v>
      </c>
      <c r="G5054" s="327" t="s">
        <v>324</v>
      </c>
    </row>
    <row r="5055" spans="1:7" ht="15.75" x14ac:dyDescent="0.25">
      <c r="C5055" s="334"/>
      <c r="D5055" s="333"/>
      <c r="E5055" s="332"/>
      <c r="F5055" s="327" t="s">
        <v>601</v>
      </c>
      <c r="G5055" s="327" t="s">
        <v>323</v>
      </c>
    </row>
    <row r="5056" spans="1:7" x14ac:dyDescent="0.25">
      <c r="C5056" s="330"/>
      <c r="D5056" s="329"/>
      <c r="E5056" s="328"/>
      <c r="F5056" s="327" t="s">
        <v>651</v>
      </c>
      <c r="G5056" s="331">
        <f>[2]Sheet1!$D$174</f>
        <v>27000000</v>
      </c>
    </row>
    <row r="5057" spans="1:7" ht="15.75" thickBot="1" x14ac:dyDescent="0.3">
      <c r="C5057" s="330"/>
      <c r="D5057" s="329"/>
      <c r="E5057" s="328"/>
      <c r="F5057" s="327" t="s">
        <v>650</v>
      </c>
      <c r="G5057" s="326">
        <f>+F5099-G5056</f>
        <v>-8207700</v>
      </c>
    </row>
    <row r="5058" spans="1:7" x14ac:dyDescent="0.25">
      <c r="A5058" s="573" t="s">
        <v>626</v>
      </c>
      <c r="B5058" s="584" t="s">
        <v>606</v>
      </c>
      <c r="C5058" s="588" t="s">
        <v>649</v>
      </c>
      <c r="D5058" s="577" t="s">
        <v>648</v>
      </c>
      <c r="E5058" s="577" t="s">
        <v>647</v>
      </c>
      <c r="F5058" s="577" t="s">
        <v>646</v>
      </c>
      <c r="G5058" s="580" t="s">
        <v>645</v>
      </c>
    </row>
    <row r="5059" spans="1:7" ht="15.75" thickBot="1" x14ac:dyDescent="0.3">
      <c r="A5059" s="574"/>
      <c r="B5059" s="585"/>
      <c r="C5059" s="589"/>
      <c r="D5059" s="586"/>
      <c r="E5059" s="586"/>
      <c r="F5059" s="586"/>
      <c r="G5059" s="587"/>
    </row>
    <row r="5060" spans="1:7" ht="15.75" thickBot="1" x14ac:dyDescent="0.3">
      <c r="A5060" s="325">
        <v>1</v>
      </c>
      <c r="B5060" s="324">
        <v>2</v>
      </c>
      <c r="C5060" s="324">
        <v>3</v>
      </c>
      <c r="D5060" s="324">
        <v>4</v>
      </c>
      <c r="E5060" s="324">
        <v>5</v>
      </c>
      <c r="F5060" s="324">
        <v>6</v>
      </c>
      <c r="G5060" s="323">
        <v>7</v>
      </c>
    </row>
    <row r="5061" spans="1:7" x14ac:dyDescent="0.25">
      <c r="A5061" s="320" t="str">
        <f t="shared" ref="A5061:A5098" si="156">$G$5054&amp;B5061</f>
        <v>I.5.1.041</v>
      </c>
      <c r="B5061" s="320">
        <v>1</v>
      </c>
      <c r="C5061" s="319">
        <f>IFERROR(VLOOKUP(A5061,[3]DOORSCRIEFT!$A$2:$G$8551,2,FALSE),"")</f>
        <v>100</v>
      </c>
      <c r="D5061" s="318">
        <f>IFERROR(VLOOKUP(A5061,[3]DOORSCRIEFT!$A$2:$G$8551,3,FALSE),"")</f>
        <v>46045</v>
      </c>
      <c r="E5061" s="317" t="str">
        <f>IFERROR(VLOOKUP(A5061,[3]DOORSCRIEFT!$A$2:$G$8551,4,FALSE),"")</f>
        <v>Tukar Uang 100 Euro</v>
      </c>
      <c r="F5061" s="316">
        <f>IFERROR(VLOOKUP(A5061,[3]DOORSCRIEFT!$A$2:$G$8551,6,FALSE),"")</f>
        <v>1966300</v>
      </c>
      <c r="G5061" s="322"/>
    </row>
    <row r="5062" spans="1:7" x14ac:dyDescent="0.25">
      <c r="A5062" s="320" t="str">
        <f t="shared" si="156"/>
        <v>I.5.1.042</v>
      </c>
      <c r="B5062" s="321">
        <v>2</v>
      </c>
      <c r="C5062" s="319">
        <f>IFERROR(VLOOKUP(A5062,[3]DOORSCRIEFT!$A$2:$G$8551,2,FALSE),"")</f>
        <v>121</v>
      </c>
      <c r="D5062" s="318">
        <f>IFERROR(VLOOKUP(A5062,[3]DOORSCRIEFT!$A$2:$G$8551,3,FALSE),"")</f>
        <v>46047</v>
      </c>
      <c r="E5062" s="317" t="str">
        <f>IFERROR(VLOOKUP(A5062,[3]DOORSCRIEFT!$A$2:$G$8551,4,FALSE),"")</f>
        <v>Pemberian untuk Gereja dari anak Dani Salampessy</v>
      </c>
      <c r="F5062" s="316">
        <f>IFERROR(VLOOKUP(A5062,[3]DOORSCRIEFT!$A$2:$G$8551,6,FALSE),"")</f>
        <v>2000000</v>
      </c>
      <c r="G5062" s="315"/>
    </row>
    <row r="5063" spans="1:7" x14ac:dyDescent="0.25">
      <c r="A5063" s="320" t="str">
        <f t="shared" si="156"/>
        <v>I.5.1.043</v>
      </c>
      <c r="B5063" s="320">
        <v>3</v>
      </c>
      <c r="C5063" s="319">
        <f>IFERROR(VLOOKUP(A5063,[3]DOORSCRIEFT!$A$2:$G$8551,2,FALSE),"")</f>
        <v>122</v>
      </c>
      <c r="D5063" s="318">
        <f>IFERROR(VLOOKUP(A5063,[3]DOORSCRIEFT!$A$2:$G$8551,3,FALSE),"")</f>
        <v>46047</v>
      </c>
      <c r="E5063" s="317" t="str">
        <f>IFERROR(VLOOKUP(A5063,[3]DOORSCRIEFT!$A$2:$G$8551,4,FALSE),"")</f>
        <v>Pemberian dr anak Vian untuk gereja</v>
      </c>
      <c r="F5063" s="316">
        <f>IFERROR(VLOOKUP(A5063,[3]DOORSCRIEFT!$A$2:$G$8551,6,FALSE),"")</f>
        <v>100000</v>
      </c>
      <c r="G5063" s="315"/>
    </row>
    <row r="5064" spans="1:7" x14ac:dyDescent="0.25">
      <c r="A5064" s="320" t="str">
        <f t="shared" si="156"/>
        <v>I.5.1.044</v>
      </c>
      <c r="B5064" s="321">
        <v>4</v>
      </c>
      <c r="C5064" s="319">
        <f>IFERROR(VLOOKUP(A5064,[3]DOORSCRIEFT!$A$2:$G$8551,2,FALSE),"")</f>
        <v>188</v>
      </c>
      <c r="D5064" s="318">
        <f>IFERROR(VLOOKUP(A5064,[3]DOORSCRIEFT!$A$2:$G$8551,3,FALSE),"")</f>
        <v>46061</v>
      </c>
      <c r="E5064" s="317" t="str">
        <f>IFERROR(VLOOKUP(A5064,[3]DOORSCRIEFT!$A$2:$G$8551,4,FALSE),"")</f>
        <v>Pemberian untuk Gereja dari Kel. Hully dan sdri Jeklin Kailuhu</v>
      </c>
      <c r="F5064" s="316">
        <f>IFERROR(VLOOKUP(A5064,[3]DOORSCRIEFT!$A$2:$G$8551,6,FALSE),"")</f>
        <v>1000000</v>
      </c>
      <c r="G5064" s="315"/>
    </row>
    <row r="5065" spans="1:7" x14ac:dyDescent="0.25">
      <c r="A5065" s="320" t="str">
        <f t="shared" si="156"/>
        <v>I.5.1.045</v>
      </c>
      <c r="B5065" s="320">
        <v>5</v>
      </c>
      <c r="C5065" s="319">
        <f>IFERROR(VLOOKUP(A5065,[3]DOORSCRIEFT!$A$2:$G$8551,2,FALSE),"")</f>
        <v>229</v>
      </c>
      <c r="D5065" s="318">
        <f>IFERROR(VLOOKUP(A5065,[3]DOORSCRIEFT!$A$2:$G$8551,3,FALSE),"")</f>
        <v>46075</v>
      </c>
      <c r="E5065" s="317" t="str">
        <f>IFERROR(VLOOKUP(A5065,[3]DOORSCRIEFT!$A$2:$G$8551,4,FALSE),"")</f>
        <v>Pemberian untuk Gereja dari Ibu Yo Waisapy</v>
      </c>
      <c r="F5065" s="316">
        <f>IFERROR(VLOOKUP(A5065,[3]DOORSCRIEFT!$A$2:$G$8551,6,FALSE),"")</f>
        <v>500000</v>
      </c>
      <c r="G5065" s="315"/>
    </row>
    <row r="5066" spans="1:7" x14ac:dyDescent="0.25">
      <c r="A5066" s="320" t="str">
        <f t="shared" si="156"/>
        <v>I.5.1.046</v>
      </c>
      <c r="B5066" s="321">
        <v>6</v>
      </c>
      <c r="C5066" s="319">
        <f>IFERROR(VLOOKUP(A5066,[3]DOORSCRIEFT!$A$2:$G$8551,2,FALSE),"")</f>
        <v>235</v>
      </c>
      <c r="D5066" s="318">
        <f>IFERROR(VLOOKUP(A5066,[3]DOORSCRIEFT!$A$2:$G$8551,3,FALSE),"")</f>
        <v>46075</v>
      </c>
      <c r="E5066" s="317" t="str">
        <f>IFERROR(VLOOKUP(A5066,[3]DOORSCRIEFT!$A$2:$G$8551,4,FALSE),"")</f>
        <v>Pemberian untuk Gereja dari Kel. NN Zaitun 2</v>
      </c>
      <c r="F5066" s="316">
        <f>IFERROR(VLOOKUP(A5066,[3]DOORSCRIEFT!$A$2:$G$8551,6,FALSE),"")</f>
        <v>2000000</v>
      </c>
      <c r="G5066" s="315"/>
    </row>
    <row r="5067" spans="1:7" x14ac:dyDescent="0.25">
      <c r="A5067" s="320" t="str">
        <f t="shared" si="156"/>
        <v>I.5.1.047</v>
      </c>
      <c r="B5067" s="320">
        <v>7</v>
      </c>
      <c r="C5067" s="319">
        <f>IFERROR(VLOOKUP(A5067,[3]DOORSCRIEFT!$A$2:$G$8551,2,FALSE),"")</f>
        <v>237</v>
      </c>
      <c r="D5067" s="318">
        <f>IFERROR(VLOOKUP(A5067,[3]DOORSCRIEFT!$A$2:$G$8551,3,FALSE),"")</f>
        <v>46075</v>
      </c>
      <c r="E5067" s="317" t="str">
        <f>IFERROR(VLOOKUP(A5067,[3]DOORSCRIEFT!$A$2:$G$8551,4,FALSE),"")</f>
        <v>Sumbangan kursi dari Kel. Bpk. Nus Salampessy</v>
      </c>
      <c r="F5067" s="316">
        <f>IFERROR(VLOOKUP(A5067,[3]DOORSCRIEFT!$A$2:$G$8551,6,FALSE),"")</f>
        <v>500000</v>
      </c>
      <c r="G5067" s="315"/>
    </row>
    <row r="5068" spans="1:7" x14ac:dyDescent="0.25">
      <c r="A5068" s="320" t="str">
        <f t="shared" si="156"/>
        <v>I.5.1.048</v>
      </c>
      <c r="B5068" s="321">
        <v>8</v>
      </c>
      <c r="C5068" s="319">
        <f>IFERROR(VLOOKUP(A5068,[3]DOORSCRIEFT!$A$2:$G$8551,2,FALSE),"")</f>
        <v>269</v>
      </c>
      <c r="D5068" s="318">
        <f>IFERROR(VLOOKUP(A5068,[3]DOORSCRIEFT!$A$2:$G$8551,3,FALSE),"")</f>
        <v>46082</v>
      </c>
      <c r="E5068" s="317" t="str">
        <f>IFERROR(VLOOKUP(A5068,[3]DOORSCRIEFT!$A$2:$G$8551,4,FALSE),"")</f>
        <v>Pemberian Uang Kursi dari Keluarga Ibu Wis Salampessy dan Kel. NN Siloam 1</v>
      </c>
      <c r="F5068" s="316">
        <f>IFERROR(VLOOKUP(A5068,[3]DOORSCRIEFT!$A$2:$G$8551,6,FALSE),"")</f>
        <v>400000</v>
      </c>
      <c r="G5068" s="315"/>
    </row>
    <row r="5069" spans="1:7" x14ac:dyDescent="0.25">
      <c r="A5069" s="320" t="str">
        <f t="shared" si="156"/>
        <v>I.5.1.049</v>
      </c>
      <c r="B5069" s="320">
        <v>9</v>
      </c>
      <c r="C5069" s="319">
        <f>IFERROR(VLOOKUP(A5069,[3]DOORSCRIEFT!$A$2:$G$8551,2,FALSE),"")</f>
        <v>270</v>
      </c>
      <c r="D5069" s="318">
        <f>IFERROR(VLOOKUP(A5069,[3]DOORSCRIEFT!$A$2:$G$8551,3,FALSE),"")</f>
        <v>46082</v>
      </c>
      <c r="E5069" s="317" t="str">
        <f>IFERROR(VLOOKUP(A5069,[3]DOORSCRIEFT!$A$2:$G$8551,4,FALSE),"")</f>
        <v>Pemberian untuk Gereja dari Kel. Hully</v>
      </c>
      <c r="F5069" s="316">
        <f>IFERROR(VLOOKUP(A5069,[3]DOORSCRIEFT!$A$2:$G$8551,6,FALSE),"")</f>
        <v>1000000</v>
      </c>
      <c r="G5069" s="315"/>
    </row>
    <row r="5070" spans="1:7" x14ac:dyDescent="0.25">
      <c r="A5070" s="320" t="str">
        <f t="shared" si="156"/>
        <v>I.5.1.0410</v>
      </c>
      <c r="B5070" s="321">
        <v>10</v>
      </c>
      <c r="C5070" s="319">
        <f>IFERROR(VLOOKUP(A5070,[3]DOORSCRIEFT!$A$2:$G$8551,2,FALSE),"")</f>
        <v>303</v>
      </c>
      <c r="D5070" s="318">
        <f>IFERROR(VLOOKUP(A5070,[3]DOORSCRIEFT!$A$2:$G$8551,3,FALSE),"")</f>
        <v>46089</v>
      </c>
      <c r="E5070" s="317" t="str">
        <f>IFERROR(VLOOKUP(A5070,[3]DOORSCRIEFT!$A$2:$G$8551,4,FALSE),"")</f>
        <v>Pemberian untuk Gereja dari org di Ebenheazer 1</v>
      </c>
      <c r="F5070" s="316">
        <f>IFERROR(VLOOKUP(A5070,[3]DOORSCRIEFT!$A$2:$G$8551,6,FALSE),"")</f>
        <v>2500000</v>
      </c>
      <c r="G5070" s="315"/>
    </row>
    <row r="5071" spans="1:7" x14ac:dyDescent="0.25">
      <c r="A5071" s="320" t="str">
        <f t="shared" si="156"/>
        <v>I.5.1.0411</v>
      </c>
      <c r="B5071" s="320">
        <v>11</v>
      </c>
      <c r="C5071" s="319">
        <f>IFERROR(VLOOKUP(A5071,[3]DOORSCRIEFT!$A$2:$G$8551,2,FALSE),"")</f>
        <v>304</v>
      </c>
      <c r="D5071" s="318">
        <f>IFERROR(VLOOKUP(A5071,[3]DOORSCRIEFT!$A$2:$G$8551,3,FALSE),"")</f>
        <v>46089</v>
      </c>
      <c r="E5071" s="317" t="str">
        <f>IFERROR(VLOOKUP(A5071,[3]DOORSCRIEFT!$A$2:$G$8551,4,FALSE),"")</f>
        <v>Pemberian uang kursi dari keluarga</v>
      </c>
      <c r="F5071" s="316">
        <f>IFERROR(VLOOKUP(A5071,[3]DOORSCRIEFT!$A$2:$G$8551,6,FALSE),"")</f>
        <v>450000</v>
      </c>
      <c r="G5071" s="315"/>
    </row>
    <row r="5072" spans="1:7" x14ac:dyDescent="0.25">
      <c r="A5072" s="320" t="str">
        <f t="shared" si="156"/>
        <v>I.5.1.0412</v>
      </c>
      <c r="B5072" s="321">
        <v>12</v>
      </c>
      <c r="C5072" s="319">
        <f>IFERROR(VLOOKUP(A5072,[3]DOORSCRIEFT!$A$2:$G$8551,2,FALSE),"")</f>
        <v>333</v>
      </c>
      <c r="D5072" s="318">
        <f>IFERROR(VLOOKUP(A5072,[3]DOORSCRIEFT!$A$2:$G$8551,3,FALSE),"")</f>
        <v>46089</v>
      </c>
      <c r="E5072" s="317" t="str">
        <f>IFERROR(VLOOKUP(A5072,[3]DOORSCRIEFT!$A$2:$G$8551,4,FALSE),"")</f>
        <v>Tukar uang 150 Euro</v>
      </c>
      <c r="F5072" s="316">
        <f>IFERROR(VLOOKUP(A5072,[3]DOORSCRIEFT!$A$2:$G$8551,6,FALSE),"")</f>
        <v>2904000</v>
      </c>
      <c r="G5072" s="315"/>
    </row>
    <row r="5073" spans="1:7" x14ac:dyDescent="0.25">
      <c r="A5073" s="320" t="str">
        <f t="shared" si="156"/>
        <v>I.5.1.0413</v>
      </c>
      <c r="B5073" s="320">
        <v>13</v>
      </c>
      <c r="C5073" s="319">
        <f>IFERROR(VLOOKUP(A5073,[3]DOORSCRIEFT!$A$2:$G$8551,2,FALSE),"")</f>
        <v>350</v>
      </c>
      <c r="D5073" s="318">
        <f>IFERROR(VLOOKUP(A5073,[3]DOORSCRIEFT!$A$2:$G$8551,3,FALSE),"")</f>
        <v>46096</v>
      </c>
      <c r="E5073" s="317" t="str">
        <f>IFERROR(VLOOKUP(A5073,[3]DOORSCRIEFT!$A$2:$G$8551,4,FALSE),"")</f>
        <v>Pemberian untuk Gereja</v>
      </c>
      <c r="F5073" s="316">
        <f>IFERROR(VLOOKUP(A5073,[3]DOORSCRIEFT!$A$2:$G$8551,6,FALSE),"")</f>
        <v>1700000</v>
      </c>
      <c r="G5073" s="315"/>
    </row>
    <row r="5074" spans="1:7" x14ac:dyDescent="0.25">
      <c r="A5074" s="320" t="str">
        <f t="shared" si="156"/>
        <v>I.5.1.0414</v>
      </c>
      <c r="B5074" s="321">
        <v>14</v>
      </c>
      <c r="C5074" s="319">
        <f>IFERROR(VLOOKUP(A5074,[3]DOORSCRIEFT!$A$2:$G$8551,2,FALSE),"")</f>
        <v>418</v>
      </c>
      <c r="D5074" s="318">
        <f>IFERROR(VLOOKUP(A5074,[3]DOORSCRIEFT!$A$2:$G$8551,3,FALSE),"")</f>
        <v>46103</v>
      </c>
      <c r="E5074" s="317" t="str">
        <f>IFERROR(VLOOKUP(A5074,[3]DOORSCRIEFT!$A$2:$G$8551,4,FALSE),"")</f>
        <v>Pemberian untuk gereja dr kel. nn di Petra 3</v>
      </c>
      <c r="F5074" s="316">
        <f>IFERROR(VLOOKUP(A5074,[3]DOORSCRIEFT!$A$2:$G$8551,6,FALSE),"")</f>
        <v>300000</v>
      </c>
      <c r="G5074" s="315"/>
    </row>
    <row r="5075" spans="1:7" x14ac:dyDescent="0.25">
      <c r="A5075" s="320" t="str">
        <f t="shared" si="156"/>
        <v>I.5.1.0415</v>
      </c>
      <c r="B5075" s="320">
        <v>15</v>
      </c>
      <c r="C5075" s="319">
        <f>IFERROR(VLOOKUP(A5075,[3]DOORSCRIEFT!$A$2:$G$8551,2,FALSE),"")</f>
        <v>438</v>
      </c>
      <c r="D5075" s="318">
        <f>IFERROR(VLOOKUP(A5075,[3]DOORSCRIEFT!$A$2:$G$8551,3,FALSE),"")</f>
        <v>46103</v>
      </c>
      <c r="E5075" s="317" t="str">
        <f>IFERROR(VLOOKUP(A5075,[3]DOORSCRIEFT!$A$2:$G$8551,4,FALSE),"")</f>
        <v>Tukar uang 50 Euro</v>
      </c>
      <c r="F5075" s="316">
        <f>IFERROR(VLOOKUP(A5075,[3]DOORSCRIEFT!$A$2:$G$8551,6,FALSE),"")</f>
        <v>972000</v>
      </c>
      <c r="G5075" s="315"/>
    </row>
    <row r="5076" spans="1:7" x14ac:dyDescent="0.25">
      <c r="A5076" s="320" t="str">
        <f t="shared" si="156"/>
        <v>I.5.1.0416</v>
      </c>
      <c r="B5076" s="321">
        <v>16</v>
      </c>
      <c r="C5076" s="319">
        <f>IFERROR(VLOOKUP(A5076,[3]DOORSCRIEFT!$A$2:$G$8551,2,FALSE),"")</f>
        <v>469</v>
      </c>
      <c r="D5076" s="318">
        <f>IFERROR(VLOOKUP(A5076,[3]DOORSCRIEFT!$A$2:$G$8551,3,FALSE),"")</f>
        <v>46115</v>
      </c>
      <c r="E5076" s="317">
        <f>IFERROR(VLOOKUP(A5076,[3]DOORSCRIEFT!$A$2:$G$8551,4,FALSE),"")</f>
        <v>0</v>
      </c>
      <c r="F5076" s="316">
        <f>IFERROR(VLOOKUP(A5076,[3]DOORSCRIEFT!$A$2:$G$8551,6,FALSE),"")</f>
        <v>500000</v>
      </c>
      <c r="G5076" s="315"/>
    </row>
    <row r="5077" spans="1:7" x14ac:dyDescent="0.25">
      <c r="A5077" s="320" t="str">
        <f t="shared" si="156"/>
        <v>I.5.1.0417</v>
      </c>
      <c r="B5077" s="320">
        <v>17</v>
      </c>
      <c r="C5077" s="319" t="str">
        <f>IFERROR(VLOOKUP(A5077,[3]DOORSCRIEFT!$A$2:$G$8551,2,FALSE),"")</f>
        <v/>
      </c>
      <c r="D5077" s="318" t="str">
        <f>IFERROR(VLOOKUP(A5077,[3]DOORSCRIEFT!$A$2:$G$8551,3,FALSE),"")</f>
        <v/>
      </c>
      <c r="E5077" s="317" t="str">
        <f>IFERROR(VLOOKUP(A5077,[3]DOORSCRIEFT!$A$2:$G$8551,4,FALSE),"")</f>
        <v/>
      </c>
      <c r="F5077" s="316" t="str">
        <f>IFERROR(VLOOKUP(A5077,[3]DOORSCRIEFT!$A$2:$G$8551,6,FALSE),"")</f>
        <v/>
      </c>
      <c r="G5077" s="315"/>
    </row>
    <row r="5078" spans="1:7" x14ac:dyDescent="0.25">
      <c r="A5078" s="320" t="str">
        <f t="shared" si="156"/>
        <v>I.5.1.0418</v>
      </c>
      <c r="B5078" s="321">
        <v>18</v>
      </c>
      <c r="C5078" s="319" t="str">
        <f>IFERROR(VLOOKUP(A5078,[3]DOORSCRIEFT!$A$2:$G$8551,2,FALSE),"")</f>
        <v/>
      </c>
      <c r="D5078" s="318" t="str">
        <f>IFERROR(VLOOKUP(A5078,[3]DOORSCRIEFT!$A$2:$G$8551,3,FALSE),"")</f>
        <v/>
      </c>
      <c r="E5078" s="317" t="str">
        <f>IFERROR(VLOOKUP(A5078,[3]DOORSCRIEFT!$A$2:$G$8551,4,FALSE),"")</f>
        <v/>
      </c>
      <c r="F5078" s="316" t="str">
        <f>IFERROR(VLOOKUP(A5078,[3]DOORSCRIEFT!$A$2:$G$8551,6,FALSE),"")</f>
        <v/>
      </c>
      <c r="G5078" s="315"/>
    </row>
    <row r="5079" spans="1:7" x14ac:dyDescent="0.25">
      <c r="A5079" s="320" t="str">
        <f t="shared" si="156"/>
        <v>I.5.1.0419</v>
      </c>
      <c r="B5079" s="320">
        <v>19</v>
      </c>
      <c r="C5079" s="319" t="str">
        <f>IFERROR(VLOOKUP(A5079,[3]DOORSCRIEFT!$A$2:$G$8551,2,FALSE),"")</f>
        <v/>
      </c>
      <c r="D5079" s="318" t="str">
        <f>IFERROR(VLOOKUP(A5079,[3]DOORSCRIEFT!$A$2:$G$8551,3,FALSE),"")</f>
        <v/>
      </c>
      <c r="E5079" s="317" t="str">
        <f>IFERROR(VLOOKUP(A5079,[3]DOORSCRIEFT!$A$2:$G$8551,4,FALSE),"")</f>
        <v/>
      </c>
      <c r="F5079" s="316" t="str">
        <f>IFERROR(VLOOKUP(A5079,[3]DOORSCRIEFT!$A$2:$G$8551,6,FALSE),"")</f>
        <v/>
      </c>
      <c r="G5079" s="315"/>
    </row>
    <row r="5080" spans="1:7" x14ac:dyDescent="0.25">
      <c r="A5080" s="320" t="str">
        <f t="shared" si="156"/>
        <v>I.5.1.0420</v>
      </c>
      <c r="B5080" s="321">
        <v>20</v>
      </c>
      <c r="C5080" s="319" t="str">
        <f>IFERROR(VLOOKUP(A5080,[3]DOORSCRIEFT!$A$2:$G$8551,2,FALSE),"")</f>
        <v/>
      </c>
      <c r="D5080" s="318" t="str">
        <f>IFERROR(VLOOKUP(A5080,[3]DOORSCRIEFT!$A$2:$G$8551,3,FALSE),"")</f>
        <v/>
      </c>
      <c r="E5080" s="317" t="str">
        <f>IFERROR(VLOOKUP(A5080,[3]DOORSCRIEFT!$A$2:$G$8551,4,FALSE),"")</f>
        <v/>
      </c>
      <c r="F5080" s="316" t="str">
        <f>IFERROR(VLOOKUP(A5080,[3]DOORSCRIEFT!$A$2:$G$8551,6,FALSE),"")</f>
        <v/>
      </c>
      <c r="G5080" s="315"/>
    </row>
    <row r="5081" spans="1:7" x14ac:dyDescent="0.25">
      <c r="A5081" s="320" t="str">
        <f t="shared" si="156"/>
        <v>I.5.1.0421</v>
      </c>
      <c r="B5081" s="320">
        <v>21</v>
      </c>
      <c r="C5081" s="319" t="str">
        <f>IFERROR(VLOOKUP(A5081,[3]DOORSCRIEFT!$A$2:$G$8551,2,FALSE),"")</f>
        <v/>
      </c>
      <c r="D5081" s="318" t="str">
        <f>IFERROR(VLOOKUP(A5081,[3]DOORSCRIEFT!$A$2:$G$8551,3,FALSE),"")</f>
        <v/>
      </c>
      <c r="E5081" s="317" t="str">
        <f>IFERROR(VLOOKUP(A5081,[3]DOORSCRIEFT!$A$2:$G$8551,4,FALSE),"")</f>
        <v/>
      </c>
      <c r="F5081" s="316" t="str">
        <f>IFERROR(VLOOKUP(A5081,[3]DOORSCRIEFT!$A$2:$G$8551,6,FALSE),"")</f>
        <v/>
      </c>
      <c r="G5081" s="315"/>
    </row>
    <row r="5082" spans="1:7" x14ac:dyDescent="0.25">
      <c r="A5082" s="320" t="str">
        <f t="shared" si="156"/>
        <v>I.5.1.0422</v>
      </c>
      <c r="B5082" s="321">
        <v>22</v>
      </c>
      <c r="C5082" s="319" t="str">
        <f>IFERROR(VLOOKUP(A5082,[3]DOORSCRIEFT!$A$2:$G$8551,2,FALSE),"")</f>
        <v/>
      </c>
      <c r="D5082" s="318" t="str">
        <f>IFERROR(VLOOKUP(A5082,[3]DOORSCRIEFT!$A$2:$G$8551,3,FALSE),"")</f>
        <v/>
      </c>
      <c r="E5082" s="317" t="str">
        <f>IFERROR(VLOOKUP(A5082,[3]DOORSCRIEFT!$A$2:$G$8551,4,FALSE),"")</f>
        <v/>
      </c>
      <c r="F5082" s="316" t="str">
        <f>IFERROR(VLOOKUP(A5082,[3]DOORSCRIEFT!$A$2:$G$8551,6,FALSE),"")</f>
        <v/>
      </c>
      <c r="G5082" s="315"/>
    </row>
    <row r="5083" spans="1:7" x14ac:dyDescent="0.25">
      <c r="A5083" s="320" t="str">
        <f t="shared" si="156"/>
        <v>I.5.1.0423</v>
      </c>
      <c r="B5083" s="320">
        <v>23</v>
      </c>
      <c r="C5083" s="319" t="str">
        <f>IFERROR(VLOOKUP(A5083,[3]DOORSCRIEFT!$A$2:$G$8551,2,FALSE),"")</f>
        <v/>
      </c>
      <c r="D5083" s="318" t="str">
        <f>IFERROR(VLOOKUP(A5083,[3]DOORSCRIEFT!$A$2:$G$8551,3,FALSE),"")</f>
        <v/>
      </c>
      <c r="E5083" s="317" t="str">
        <f>IFERROR(VLOOKUP(A5083,[3]DOORSCRIEFT!$A$2:$G$8551,4,FALSE),"")</f>
        <v/>
      </c>
      <c r="F5083" s="316" t="str">
        <f>IFERROR(VLOOKUP(A5083,[3]DOORSCRIEFT!$A$2:$G$8551,6,FALSE),"")</f>
        <v/>
      </c>
      <c r="G5083" s="315"/>
    </row>
    <row r="5084" spans="1:7" x14ac:dyDescent="0.25">
      <c r="A5084" s="320" t="str">
        <f t="shared" si="156"/>
        <v>I.5.1.0424</v>
      </c>
      <c r="B5084" s="321">
        <v>24</v>
      </c>
      <c r="C5084" s="319" t="str">
        <f>IFERROR(VLOOKUP(A5084,[3]DOORSCRIEFT!$A$2:$G$8551,2,FALSE),"")</f>
        <v/>
      </c>
      <c r="D5084" s="318" t="str">
        <f>IFERROR(VLOOKUP(A5084,[3]DOORSCRIEFT!$A$2:$G$8551,3,FALSE),"")</f>
        <v/>
      </c>
      <c r="E5084" s="317" t="str">
        <f>IFERROR(VLOOKUP(A5084,[3]DOORSCRIEFT!$A$2:$G$8551,4,FALSE),"")</f>
        <v/>
      </c>
      <c r="F5084" s="316" t="str">
        <f>IFERROR(VLOOKUP(A5084,[3]DOORSCRIEFT!$A$2:$G$8551,6,FALSE),"")</f>
        <v/>
      </c>
      <c r="G5084" s="315"/>
    </row>
    <row r="5085" spans="1:7" x14ac:dyDescent="0.25">
      <c r="A5085" s="320" t="str">
        <f t="shared" si="156"/>
        <v>I.5.1.0425</v>
      </c>
      <c r="B5085" s="320">
        <v>25</v>
      </c>
      <c r="C5085" s="319" t="str">
        <f>IFERROR(VLOOKUP(A5085,[3]DOORSCRIEFT!$A$2:$G$8551,2,FALSE),"")</f>
        <v/>
      </c>
      <c r="D5085" s="318" t="str">
        <f>IFERROR(VLOOKUP(A5085,[3]DOORSCRIEFT!$A$2:$G$8551,3,FALSE),"")</f>
        <v/>
      </c>
      <c r="E5085" s="317" t="str">
        <f>IFERROR(VLOOKUP(A5085,[3]DOORSCRIEFT!$A$2:$G$8551,4,FALSE),"")</f>
        <v/>
      </c>
      <c r="F5085" s="316" t="str">
        <f>IFERROR(VLOOKUP(A5085,[3]DOORSCRIEFT!$A$2:$G$8551,6,FALSE),"")</f>
        <v/>
      </c>
      <c r="G5085" s="315"/>
    </row>
    <row r="5086" spans="1:7" x14ac:dyDescent="0.25">
      <c r="A5086" s="320" t="str">
        <f t="shared" si="156"/>
        <v>I.5.1.0426</v>
      </c>
      <c r="B5086" s="321">
        <v>26</v>
      </c>
      <c r="C5086" s="319" t="str">
        <f>IFERROR(VLOOKUP(A5086,[3]DOORSCRIEFT!$A$2:$G$8551,2,FALSE),"")</f>
        <v/>
      </c>
      <c r="D5086" s="318" t="str">
        <f>IFERROR(VLOOKUP(A5086,[3]DOORSCRIEFT!$A$2:$G$8551,3,FALSE),"")</f>
        <v/>
      </c>
      <c r="E5086" s="317" t="str">
        <f>IFERROR(VLOOKUP(A5086,[3]DOORSCRIEFT!$A$2:$G$8551,4,FALSE),"")</f>
        <v/>
      </c>
      <c r="F5086" s="316" t="str">
        <f>IFERROR(VLOOKUP(A5086,[3]DOORSCRIEFT!$A$2:$G$8551,6,FALSE),"")</f>
        <v/>
      </c>
      <c r="G5086" s="315"/>
    </row>
    <row r="5087" spans="1:7" x14ac:dyDescent="0.25">
      <c r="A5087" s="320" t="str">
        <f t="shared" si="156"/>
        <v>I.5.1.0427</v>
      </c>
      <c r="B5087" s="320">
        <v>27</v>
      </c>
      <c r="C5087" s="319" t="str">
        <f>IFERROR(VLOOKUP(A5087,[3]DOORSCRIEFT!$A$2:$G$8551,2,FALSE),"")</f>
        <v/>
      </c>
      <c r="D5087" s="318" t="str">
        <f>IFERROR(VLOOKUP(A5087,[3]DOORSCRIEFT!$A$2:$G$8551,3,FALSE),"")</f>
        <v/>
      </c>
      <c r="E5087" s="317" t="str">
        <f>IFERROR(VLOOKUP(A5087,[3]DOORSCRIEFT!$A$2:$G$8551,4,FALSE),"")</f>
        <v/>
      </c>
      <c r="F5087" s="316" t="str">
        <f>IFERROR(VLOOKUP(A5087,[3]DOORSCRIEFT!$A$2:$G$8551,6,FALSE),"")</f>
        <v/>
      </c>
      <c r="G5087" s="315"/>
    </row>
    <row r="5088" spans="1:7" x14ac:dyDescent="0.25">
      <c r="A5088" s="320" t="str">
        <f t="shared" si="156"/>
        <v>I.5.1.0428</v>
      </c>
      <c r="B5088" s="321">
        <v>28</v>
      </c>
      <c r="C5088" s="319" t="str">
        <f>IFERROR(VLOOKUP(A5088,[3]DOORSCRIEFT!$A$2:$G$8551,2,FALSE),"")</f>
        <v/>
      </c>
      <c r="D5088" s="318" t="str">
        <f>IFERROR(VLOOKUP(A5088,[3]DOORSCRIEFT!$A$2:$G$8551,3,FALSE),"")</f>
        <v/>
      </c>
      <c r="E5088" s="317" t="str">
        <f>IFERROR(VLOOKUP(A5088,[3]DOORSCRIEFT!$A$2:$G$8551,4,FALSE),"")</f>
        <v/>
      </c>
      <c r="F5088" s="316" t="str">
        <f>IFERROR(VLOOKUP(A5088,[3]DOORSCRIEFT!$A$2:$G$8551,6,FALSE),"")</f>
        <v/>
      </c>
      <c r="G5088" s="315"/>
    </row>
    <row r="5089" spans="1:7" x14ac:dyDescent="0.25">
      <c r="A5089" s="320" t="str">
        <f t="shared" si="156"/>
        <v>I.5.1.0429</v>
      </c>
      <c r="B5089" s="320">
        <v>29</v>
      </c>
      <c r="C5089" s="319" t="str">
        <f>IFERROR(VLOOKUP(A5089,[3]DOORSCRIEFT!$A$2:$G$8551,2,FALSE),"")</f>
        <v/>
      </c>
      <c r="D5089" s="318" t="str">
        <f>IFERROR(VLOOKUP(A5089,[3]DOORSCRIEFT!$A$2:$G$8551,3,FALSE),"")</f>
        <v/>
      </c>
      <c r="E5089" s="317" t="str">
        <f>IFERROR(VLOOKUP(A5089,[3]DOORSCRIEFT!$A$2:$G$8551,4,FALSE),"")</f>
        <v/>
      </c>
      <c r="F5089" s="316" t="str">
        <f>IFERROR(VLOOKUP(A5089,[3]DOORSCRIEFT!$A$2:$G$8551,6,FALSE),"")</f>
        <v/>
      </c>
      <c r="G5089" s="315"/>
    </row>
    <row r="5090" spans="1:7" x14ac:dyDescent="0.25">
      <c r="A5090" s="320" t="str">
        <f t="shared" si="156"/>
        <v>I.5.1.0430</v>
      </c>
      <c r="B5090" s="321">
        <v>30</v>
      </c>
      <c r="C5090" s="319" t="str">
        <f>IFERROR(VLOOKUP(A5090,[3]DOORSCRIEFT!$A$2:$G$8551,2,FALSE),"")</f>
        <v/>
      </c>
      <c r="D5090" s="318" t="str">
        <f>IFERROR(VLOOKUP(A5090,[3]DOORSCRIEFT!$A$2:$G$8551,3,FALSE),"")</f>
        <v/>
      </c>
      <c r="E5090" s="317" t="str">
        <f>IFERROR(VLOOKUP(A5090,[3]DOORSCRIEFT!$A$2:$G$8551,4,FALSE),"")</f>
        <v/>
      </c>
      <c r="F5090" s="316" t="str">
        <f>IFERROR(VLOOKUP(A5090,[3]DOORSCRIEFT!$A$2:$G$8551,6,FALSE),"")</f>
        <v/>
      </c>
      <c r="G5090" s="315"/>
    </row>
    <row r="5091" spans="1:7" x14ac:dyDescent="0.25">
      <c r="A5091" s="320" t="str">
        <f t="shared" si="156"/>
        <v>I.5.1.0431</v>
      </c>
      <c r="B5091" s="320">
        <v>31</v>
      </c>
      <c r="C5091" s="319" t="str">
        <f>IFERROR(VLOOKUP(A5091,[3]DOORSCRIEFT!$A$2:$G$8551,2,FALSE),"")</f>
        <v/>
      </c>
      <c r="D5091" s="318" t="str">
        <f>IFERROR(VLOOKUP(A5091,[3]DOORSCRIEFT!$A$2:$G$8551,3,FALSE),"")</f>
        <v/>
      </c>
      <c r="E5091" s="317" t="str">
        <f>IFERROR(VLOOKUP(A5091,[3]DOORSCRIEFT!$A$2:$G$8551,4,FALSE),"")</f>
        <v/>
      </c>
      <c r="F5091" s="316" t="str">
        <f>IFERROR(VLOOKUP(A5091,[3]DOORSCRIEFT!$A$2:$G$8551,6,FALSE),"")</f>
        <v/>
      </c>
      <c r="G5091" s="315"/>
    </row>
    <row r="5092" spans="1:7" x14ac:dyDescent="0.25">
      <c r="A5092" s="320" t="str">
        <f t="shared" si="156"/>
        <v>I.5.1.0432</v>
      </c>
      <c r="B5092" s="321">
        <v>32</v>
      </c>
      <c r="C5092" s="319" t="str">
        <f>IFERROR(VLOOKUP(A5092,[3]DOORSCRIEFT!$A$2:$G$8551,2,FALSE),"")</f>
        <v/>
      </c>
      <c r="D5092" s="318" t="str">
        <f>IFERROR(VLOOKUP(A5092,[3]DOORSCRIEFT!$A$2:$G$8551,3,FALSE),"")</f>
        <v/>
      </c>
      <c r="E5092" s="317" t="str">
        <f>IFERROR(VLOOKUP(A5092,[3]DOORSCRIEFT!$A$2:$G$8551,4,FALSE),"")</f>
        <v/>
      </c>
      <c r="F5092" s="316" t="str">
        <f>IFERROR(VLOOKUP(A5092,[3]DOORSCRIEFT!$A$2:$G$8551,6,FALSE),"")</f>
        <v/>
      </c>
      <c r="G5092" s="315"/>
    </row>
    <row r="5093" spans="1:7" x14ac:dyDescent="0.25">
      <c r="A5093" s="320" t="str">
        <f t="shared" si="156"/>
        <v>I.5.1.0433</v>
      </c>
      <c r="B5093" s="320">
        <v>33</v>
      </c>
      <c r="C5093" s="319" t="str">
        <f>IFERROR(VLOOKUP(A5093,[3]DOORSCRIEFT!$A$2:$G$8551,2,FALSE),"")</f>
        <v/>
      </c>
      <c r="D5093" s="318" t="str">
        <f>IFERROR(VLOOKUP(A5093,[3]DOORSCRIEFT!$A$2:$G$8551,3,FALSE),"")</f>
        <v/>
      </c>
      <c r="E5093" s="317" t="str">
        <f>IFERROR(VLOOKUP(A5093,[3]DOORSCRIEFT!$A$2:$G$8551,4,FALSE),"")</f>
        <v/>
      </c>
      <c r="F5093" s="316" t="str">
        <f>IFERROR(VLOOKUP(A5093,[3]DOORSCRIEFT!$A$2:$G$8551,6,FALSE),"")</f>
        <v/>
      </c>
      <c r="G5093" s="315"/>
    </row>
    <row r="5094" spans="1:7" x14ac:dyDescent="0.25">
      <c r="A5094" s="320" t="str">
        <f t="shared" si="156"/>
        <v>I.5.1.0434</v>
      </c>
      <c r="B5094" s="321">
        <v>34</v>
      </c>
      <c r="C5094" s="319" t="str">
        <f>IFERROR(VLOOKUP(A5094,[3]DOORSCRIEFT!$A$2:$G$8551,2,FALSE),"")</f>
        <v/>
      </c>
      <c r="D5094" s="318" t="str">
        <f>IFERROR(VLOOKUP(A5094,[3]DOORSCRIEFT!$A$2:$G$8551,3,FALSE),"")</f>
        <v/>
      </c>
      <c r="E5094" s="317" t="str">
        <f>IFERROR(VLOOKUP(A5094,[3]DOORSCRIEFT!$A$2:$G$8551,4,FALSE),"")</f>
        <v/>
      </c>
      <c r="F5094" s="316" t="str">
        <f>IFERROR(VLOOKUP(A5094,[3]DOORSCRIEFT!$A$2:$G$8551,6,FALSE),"")</f>
        <v/>
      </c>
      <c r="G5094" s="315"/>
    </row>
    <row r="5095" spans="1:7" x14ac:dyDescent="0.25">
      <c r="A5095" s="320" t="str">
        <f t="shared" si="156"/>
        <v>I.5.1.0435</v>
      </c>
      <c r="B5095" s="320">
        <v>35</v>
      </c>
      <c r="C5095" s="319" t="str">
        <f>IFERROR(VLOOKUP(A5095,[3]DOORSCRIEFT!$A$2:$G$8551,2,FALSE),"")</f>
        <v/>
      </c>
      <c r="D5095" s="318" t="str">
        <f>IFERROR(VLOOKUP(A5095,[3]DOORSCRIEFT!$A$2:$G$8551,3,FALSE),"")</f>
        <v/>
      </c>
      <c r="E5095" s="317" t="str">
        <f>IFERROR(VLOOKUP(A5095,[3]DOORSCRIEFT!$A$2:$G$8551,4,FALSE),"")</f>
        <v/>
      </c>
      <c r="F5095" s="316" t="str">
        <f>IFERROR(VLOOKUP(A5095,[3]DOORSCRIEFT!$A$2:$G$8551,6,FALSE),"")</f>
        <v/>
      </c>
      <c r="G5095" s="315"/>
    </row>
    <row r="5096" spans="1:7" x14ac:dyDescent="0.25">
      <c r="A5096" s="320" t="str">
        <f t="shared" si="156"/>
        <v>I.5.1.0436</v>
      </c>
      <c r="B5096" s="321">
        <v>36</v>
      </c>
      <c r="C5096" s="319" t="str">
        <f>IFERROR(VLOOKUP(A5096,[3]DOORSCRIEFT!$A$2:$G$8551,2,FALSE),"")</f>
        <v/>
      </c>
      <c r="D5096" s="318" t="str">
        <f>IFERROR(VLOOKUP(A5096,[3]DOORSCRIEFT!$A$2:$G$8551,3,FALSE),"")</f>
        <v/>
      </c>
      <c r="E5096" s="317" t="str">
        <f>IFERROR(VLOOKUP(A5096,[3]DOORSCRIEFT!$A$2:$G$8551,4,FALSE),"")</f>
        <v/>
      </c>
      <c r="F5096" s="316" t="str">
        <f>IFERROR(VLOOKUP(A5096,[3]DOORSCRIEFT!$A$2:$G$8551,6,FALSE),"")</f>
        <v/>
      </c>
      <c r="G5096" s="315"/>
    </row>
    <row r="5097" spans="1:7" x14ac:dyDescent="0.25">
      <c r="A5097" s="320" t="str">
        <f t="shared" si="156"/>
        <v>I.5.1.0437</v>
      </c>
      <c r="B5097" s="320">
        <v>37</v>
      </c>
      <c r="C5097" s="319" t="str">
        <f>IFERROR(VLOOKUP(A5097,[3]DOORSCRIEFT!$A$2:$G$8551,2,FALSE),"")</f>
        <v/>
      </c>
      <c r="D5097" s="318" t="str">
        <f>IFERROR(VLOOKUP(A5097,[3]DOORSCRIEFT!$A$2:$G$8551,3,FALSE),"")</f>
        <v/>
      </c>
      <c r="E5097" s="317" t="str">
        <f>IFERROR(VLOOKUP(A5097,[3]DOORSCRIEFT!$A$2:$G$8551,4,FALSE),"")</f>
        <v/>
      </c>
      <c r="F5097" s="316" t="str">
        <f>IFERROR(VLOOKUP(A5097,[3]DOORSCRIEFT!$A$2:$G$8551,6,FALSE),"")</f>
        <v/>
      </c>
      <c r="G5097" s="315"/>
    </row>
    <row r="5098" spans="1:7" ht="15.75" thickBot="1" x14ac:dyDescent="0.3">
      <c r="A5098" s="320" t="str">
        <f t="shared" si="156"/>
        <v>I.5.1.0438</v>
      </c>
      <c r="B5098" s="321">
        <v>38</v>
      </c>
      <c r="C5098" s="319" t="str">
        <f>IFERROR(VLOOKUP(A5098,[3]DOORSCRIEFT!$A$2:$G$8551,2,FALSE),"")</f>
        <v/>
      </c>
      <c r="D5098" s="318" t="str">
        <f>IFERROR(VLOOKUP(A5098,[3]DOORSCRIEFT!$A$2:$G$8551,3,FALSE),"")</f>
        <v/>
      </c>
      <c r="E5098" s="317" t="str">
        <f>IFERROR(VLOOKUP(A5098,[3]DOORSCRIEFT!$A$2:$G$8551,4,FALSE),"")</f>
        <v/>
      </c>
      <c r="F5098" s="316" t="str">
        <f>IFERROR(VLOOKUP(A5098,[3]DOORSCRIEFT!$A$2:$G$8551,6,FALSE),"")</f>
        <v/>
      </c>
      <c r="G5098" s="315"/>
    </row>
    <row r="5099" spans="1:7" ht="15.75" thickBot="1" x14ac:dyDescent="0.3">
      <c r="A5099" s="314"/>
      <c r="B5099" s="312"/>
      <c r="C5099" s="336"/>
      <c r="D5099" s="312"/>
      <c r="E5099" s="311" t="s">
        <v>652</v>
      </c>
      <c r="F5099" s="338">
        <f>SUM(F5061:F5098)</f>
        <v>18792300</v>
      </c>
      <c r="G5099" s="309"/>
    </row>
    <row r="5100" spans="1:7" x14ac:dyDescent="0.25">
      <c r="C5100" s="335"/>
    </row>
    <row r="5101" spans="1:7" x14ac:dyDescent="0.25">
      <c r="C5101" s="335"/>
    </row>
    <row r="5102" spans="1:7" ht="15.75" x14ac:dyDescent="0.25">
      <c r="C5102" s="334"/>
      <c r="D5102" s="333"/>
      <c r="E5102" s="332"/>
      <c r="F5102" s="327" t="s">
        <v>607</v>
      </c>
      <c r="G5102" s="327" t="s">
        <v>319</v>
      </c>
    </row>
    <row r="5103" spans="1:7" ht="15.75" x14ac:dyDescent="0.25">
      <c r="C5103" s="334"/>
      <c r="D5103" s="333"/>
      <c r="E5103" s="332"/>
      <c r="F5103" s="327" t="s">
        <v>601</v>
      </c>
      <c r="G5103" s="327" t="s">
        <v>318</v>
      </c>
    </row>
    <row r="5104" spans="1:7" x14ac:dyDescent="0.25">
      <c r="C5104" s="330"/>
      <c r="D5104" s="329"/>
      <c r="E5104" s="328"/>
      <c r="F5104" s="327" t="s">
        <v>651</v>
      </c>
      <c r="G5104" s="331">
        <f>[2]Sheet1!$D$177</f>
        <v>0</v>
      </c>
    </row>
    <row r="5105" spans="1:7" ht="15.75" thickBot="1" x14ac:dyDescent="0.3">
      <c r="C5105" s="330"/>
      <c r="D5105" s="329"/>
      <c r="E5105" s="328"/>
      <c r="F5105" s="327" t="s">
        <v>650</v>
      </c>
      <c r="G5105" s="326">
        <f>+F5124-G5104</f>
        <v>0</v>
      </c>
    </row>
    <row r="5106" spans="1:7" x14ac:dyDescent="0.25">
      <c r="A5106" s="573" t="s">
        <v>626</v>
      </c>
      <c r="B5106" s="584" t="s">
        <v>606</v>
      </c>
      <c r="C5106" s="588" t="s">
        <v>649</v>
      </c>
      <c r="D5106" s="577" t="s">
        <v>648</v>
      </c>
      <c r="E5106" s="577" t="s">
        <v>647</v>
      </c>
      <c r="F5106" s="577" t="s">
        <v>646</v>
      </c>
      <c r="G5106" s="580" t="s">
        <v>645</v>
      </c>
    </row>
    <row r="5107" spans="1:7" ht="15.75" thickBot="1" x14ac:dyDescent="0.3">
      <c r="A5107" s="574"/>
      <c r="B5107" s="585"/>
      <c r="C5107" s="589"/>
      <c r="D5107" s="586"/>
      <c r="E5107" s="586"/>
      <c r="F5107" s="586"/>
      <c r="G5107" s="587"/>
    </row>
    <row r="5108" spans="1:7" ht="15.75" thickBot="1" x14ac:dyDescent="0.3">
      <c r="A5108" s="325">
        <v>1</v>
      </c>
      <c r="B5108" s="324">
        <v>2</v>
      </c>
      <c r="C5108" s="324">
        <v>3</v>
      </c>
      <c r="D5108" s="324">
        <v>4</v>
      </c>
      <c r="E5108" s="324">
        <v>5</v>
      </c>
      <c r="F5108" s="324">
        <v>6</v>
      </c>
      <c r="G5108" s="323">
        <v>7</v>
      </c>
    </row>
    <row r="5109" spans="1:7" x14ac:dyDescent="0.25">
      <c r="A5109" s="320" t="str">
        <f t="shared" ref="A5109:A5123" si="157">$G$5102&amp;B5109</f>
        <v>I.5.2.011</v>
      </c>
      <c r="B5109" s="320">
        <v>1</v>
      </c>
      <c r="C5109" s="319" t="str">
        <f>IFERROR(VLOOKUP(A5109,[3]DOORSCRIEFT!$A$2:$G$8551,2,FALSE),"")</f>
        <v/>
      </c>
      <c r="D5109" s="318" t="str">
        <f>IFERROR(VLOOKUP(A5109,[3]DOORSCRIEFT!$A$2:$G$8551,3,FALSE),"")</f>
        <v/>
      </c>
      <c r="E5109" s="317" t="str">
        <f>IFERROR(VLOOKUP(A5109,[3]DOORSCRIEFT!$A$2:$G$8551,4,FALSE),"")</f>
        <v/>
      </c>
      <c r="F5109" s="316" t="str">
        <f>IFERROR(VLOOKUP(A5109,[3]DOORSCRIEFT!$A$2:$G$8551,6,FALSE),"")</f>
        <v/>
      </c>
      <c r="G5109" s="322"/>
    </row>
    <row r="5110" spans="1:7" x14ac:dyDescent="0.25">
      <c r="A5110" s="320" t="str">
        <f t="shared" si="157"/>
        <v>I.5.2.012</v>
      </c>
      <c r="B5110" s="321">
        <v>2</v>
      </c>
      <c r="C5110" s="319" t="str">
        <f>IFERROR(VLOOKUP(A5110,[3]DOORSCRIEFT!$A$2:$G$8551,2,FALSE),"")</f>
        <v/>
      </c>
      <c r="D5110" s="318" t="str">
        <f>IFERROR(VLOOKUP(A5110,[3]DOORSCRIEFT!$A$2:$G$8551,3,FALSE),"")</f>
        <v/>
      </c>
      <c r="E5110" s="317" t="str">
        <f>IFERROR(VLOOKUP(A5110,[3]DOORSCRIEFT!$A$2:$G$8551,4,FALSE),"")</f>
        <v/>
      </c>
      <c r="F5110" s="316" t="str">
        <f>IFERROR(VLOOKUP(A5110,[3]DOORSCRIEFT!$A$2:$G$8551,6,FALSE),"")</f>
        <v/>
      </c>
      <c r="G5110" s="315"/>
    </row>
    <row r="5111" spans="1:7" x14ac:dyDescent="0.25">
      <c r="A5111" s="320" t="str">
        <f t="shared" si="157"/>
        <v>I.5.2.013</v>
      </c>
      <c r="B5111" s="320">
        <v>3</v>
      </c>
      <c r="C5111" s="319" t="str">
        <f>IFERROR(VLOOKUP(A5111,[3]DOORSCRIEFT!$A$2:$G$8551,2,FALSE),"")</f>
        <v/>
      </c>
      <c r="D5111" s="318" t="str">
        <f>IFERROR(VLOOKUP(A5111,[3]DOORSCRIEFT!$A$2:$G$8551,3,FALSE),"")</f>
        <v/>
      </c>
      <c r="E5111" s="317" t="str">
        <f>IFERROR(VLOOKUP(A5111,[3]DOORSCRIEFT!$A$2:$G$8551,4,FALSE),"")</f>
        <v/>
      </c>
      <c r="F5111" s="316" t="str">
        <f>IFERROR(VLOOKUP(A5111,[3]DOORSCRIEFT!$A$2:$G$8551,6,FALSE),"")</f>
        <v/>
      </c>
      <c r="G5111" s="315"/>
    </row>
    <row r="5112" spans="1:7" x14ac:dyDescent="0.25">
      <c r="A5112" s="320" t="str">
        <f t="shared" si="157"/>
        <v>I.5.2.014</v>
      </c>
      <c r="B5112" s="321">
        <v>4</v>
      </c>
      <c r="C5112" s="319" t="str">
        <f>IFERROR(VLOOKUP(A5112,[3]DOORSCRIEFT!$A$2:$G$8551,2,FALSE),"")</f>
        <v/>
      </c>
      <c r="D5112" s="318" t="str">
        <f>IFERROR(VLOOKUP(A5112,[3]DOORSCRIEFT!$A$2:$G$8551,3,FALSE),"")</f>
        <v/>
      </c>
      <c r="E5112" s="317" t="str">
        <f>IFERROR(VLOOKUP(A5112,[3]DOORSCRIEFT!$A$2:$G$8551,4,FALSE),"")</f>
        <v/>
      </c>
      <c r="F5112" s="316" t="str">
        <f>IFERROR(VLOOKUP(A5112,[3]DOORSCRIEFT!$A$2:$G$8551,6,FALSE),"")</f>
        <v/>
      </c>
      <c r="G5112" s="315"/>
    </row>
    <row r="5113" spans="1:7" x14ac:dyDescent="0.25">
      <c r="A5113" s="320" t="str">
        <f t="shared" si="157"/>
        <v>I.5.2.015</v>
      </c>
      <c r="B5113" s="320">
        <v>5</v>
      </c>
      <c r="C5113" s="319" t="str">
        <f>IFERROR(VLOOKUP(A5113,[3]DOORSCRIEFT!$A$2:$G$8551,2,FALSE),"")</f>
        <v/>
      </c>
      <c r="D5113" s="318" t="str">
        <f>IFERROR(VLOOKUP(A5113,[3]DOORSCRIEFT!$A$2:$G$8551,3,FALSE),"")</f>
        <v/>
      </c>
      <c r="E5113" s="317" t="str">
        <f>IFERROR(VLOOKUP(A5113,[3]DOORSCRIEFT!$A$2:$G$8551,4,FALSE),"")</f>
        <v/>
      </c>
      <c r="F5113" s="316" t="str">
        <f>IFERROR(VLOOKUP(A5113,[3]DOORSCRIEFT!$A$2:$G$8551,6,FALSE),"")</f>
        <v/>
      </c>
      <c r="G5113" s="315"/>
    </row>
    <row r="5114" spans="1:7" x14ac:dyDescent="0.25">
      <c r="A5114" s="320" t="str">
        <f t="shared" si="157"/>
        <v>I.5.2.016</v>
      </c>
      <c r="B5114" s="321">
        <v>6</v>
      </c>
      <c r="C5114" s="319" t="str">
        <f>IFERROR(VLOOKUP(A5114,[3]DOORSCRIEFT!$A$2:$G$8551,2,FALSE),"")</f>
        <v/>
      </c>
      <c r="D5114" s="318" t="str">
        <f>IFERROR(VLOOKUP(A5114,[3]DOORSCRIEFT!$A$2:$G$8551,3,FALSE),"")</f>
        <v/>
      </c>
      <c r="E5114" s="317" t="str">
        <f>IFERROR(VLOOKUP(A5114,[3]DOORSCRIEFT!$A$2:$G$8551,4,FALSE),"")</f>
        <v/>
      </c>
      <c r="F5114" s="316" t="str">
        <f>IFERROR(VLOOKUP(A5114,[3]DOORSCRIEFT!$A$2:$G$8551,6,FALSE),"")</f>
        <v/>
      </c>
      <c r="G5114" s="315"/>
    </row>
    <row r="5115" spans="1:7" x14ac:dyDescent="0.25">
      <c r="A5115" s="320" t="str">
        <f t="shared" si="157"/>
        <v>I.5.2.017</v>
      </c>
      <c r="B5115" s="320">
        <v>7</v>
      </c>
      <c r="C5115" s="319" t="str">
        <f>IFERROR(VLOOKUP(A5115,[3]DOORSCRIEFT!$A$2:$G$8551,2,FALSE),"")</f>
        <v/>
      </c>
      <c r="D5115" s="318" t="str">
        <f>IFERROR(VLOOKUP(A5115,[3]DOORSCRIEFT!$A$2:$G$8551,3,FALSE),"")</f>
        <v/>
      </c>
      <c r="E5115" s="317" t="str">
        <f>IFERROR(VLOOKUP(A5115,[3]DOORSCRIEFT!$A$2:$G$8551,4,FALSE),"")</f>
        <v/>
      </c>
      <c r="F5115" s="316" t="str">
        <f>IFERROR(VLOOKUP(A5115,[3]DOORSCRIEFT!$A$2:$G$8551,6,FALSE),"")</f>
        <v/>
      </c>
      <c r="G5115" s="315"/>
    </row>
    <row r="5116" spans="1:7" x14ac:dyDescent="0.25">
      <c r="A5116" s="320" t="str">
        <f t="shared" si="157"/>
        <v>I.5.2.018</v>
      </c>
      <c r="B5116" s="321">
        <v>8</v>
      </c>
      <c r="C5116" s="319" t="str">
        <f>IFERROR(VLOOKUP(A5116,[3]DOORSCRIEFT!$A$2:$G$8551,2,FALSE),"")</f>
        <v/>
      </c>
      <c r="D5116" s="318" t="str">
        <f>IFERROR(VLOOKUP(A5116,[3]DOORSCRIEFT!$A$2:$G$8551,3,FALSE),"")</f>
        <v/>
      </c>
      <c r="E5116" s="317" t="str">
        <f>IFERROR(VLOOKUP(A5116,[3]DOORSCRIEFT!$A$2:$G$8551,4,FALSE),"")</f>
        <v/>
      </c>
      <c r="F5116" s="316" t="str">
        <f>IFERROR(VLOOKUP(A5116,[3]DOORSCRIEFT!$A$2:$G$8551,6,FALSE),"")</f>
        <v/>
      </c>
      <c r="G5116" s="315"/>
    </row>
    <row r="5117" spans="1:7" x14ac:dyDescent="0.25">
      <c r="A5117" s="320" t="str">
        <f t="shared" si="157"/>
        <v>I.5.2.019</v>
      </c>
      <c r="B5117" s="320">
        <v>9</v>
      </c>
      <c r="C5117" s="319" t="str">
        <f>IFERROR(VLOOKUP(A5117,[3]DOORSCRIEFT!$A$2:$G$8551,2,FALSE),"")</f>
        <v/>
      </c>
      <c r="D5117" s="318" t="str">
        <f>IFERROR(VLOOKUP(A5117,[3]DOORSCRIEFT!$A$2:$G$8551,3,FALSE),"")</f>
        <v/>
      </c>
      <c r="E5117" s="317" t="str">
        <f>IFERROR(VLOOKUP(A5117,[3]DOORSCRIEFT!$A$2:$G$8551,4,FALSE),"")</f>
        <v/>
      </c>
      <c r="F5117" s="316" t="str">
        <f>IFERROR(VLOOKUP(A5117,[3]DOORSCRIEFT!$A$2:$G$8551,6,FALSE),"")</f>
        <v/>
      </c>
      <c r="G5117" s="315"/>
    </row>
    <row r="5118" spans="1:7" x14ac:dyDescent="0.25">
      <c r="A5118" s="320" t="str">
        <f t="shared" si="157"/>
        <v>I.5.2.0110</v>
      </c>
      <c r="B5118" s="321">
        <v>10</v>
      </c>
      <c r="C5118" s="319" t="str">
        <f>IFERROR(VLOOKUP(A5118,[3]DOORSCRIEFT!$A$2:$G$8551,2,FALSE),"")</f>
        <v/>
      </c>
      <c r="D5118" s="318" t="str">
        <f>IFERROR(VLOOKUP(A5118,[3]DOORSCRIEFT!$A$2:$G$8551,3,FALSE),"")</f>
        <v/>
      </c>
      <c r="E5118" s="317" t="str">
        <f>IFERROR(VLOOKUP(A5118,[3]DOORSCRIEFT!$A$2:$G$8551,4,FALSE),"")</f>
        <v/>
      </c>
      <c r="F5118" s="316" t="str">
        <f>IFERROR(VLOOKUP(A5118,[3]DOORSCRIEFT!$A$2:$G$8551,6,FALSE),"")</f>
        <v/>
      </c>
      <c r="G5118" s="315"/>
    </row>
    <row r="5119" spans="1:7" x14ac:dyDescent="0.25">
      <c r="A5119" s="320" t="str">
        <f t="shared" si="157"/>
        <v>I.5.2.0111</v>
      </c>
      <c r="B5119" s="320">
        <v>11</v>
      </c>
      <c r="C5119" s="319" t="str">
        <f>IFERROR(VLOOKUP(A5119,[3]DOORSCRIEFT!$A$2:$G$8551,2,FALSE),"")</f>
        <v/>
      </c>
      <c r="D5119" s="318" t="str">
        <f>IFERROR(VLOOKUP(A5119,[3]DOORSCRIEFT!$A$2:$G$8551,3,FALSE),"")</f>
        <v/>
      </c>
      <c r="E5119" s="317" t="str">
        <f>IFERROR(VLOOKUP(A5119,[3]DOORSCRIEFT!$A$2:$G$8551,4,FALSE),"")</f>
        <v/>
      </c>
      <c r="F5119" s="316" t="str">
        <f>IFERROR(VLOOKUP(A5119,[3]DOORSCRIEFT!$A$2:$G$8551,6,FALSE),"")</f>
        <v/>
      </c>
      <c r="G5119" s="315"/>
    </row>
    <row r="5120" spans="1:7" x14ac:dyDescent="0.25">
      <c r="A5120" s="320" t="str">
        <f t="shared" si="157"/>
        <v>I.5.2.0112</v>
      </c>
      <c r="B5120" s="321">
        <v>12</v>
      </c>
      <c r="C5120" s="319" t="str">
        <f>IFERROR(VLOOKUP(A5120,[3]DOORSCRIEFT!$A$2:$G$8551,2,FALSE),"")</f>
        <v/>
      </c>
      <c r="D5120" s="318" t="str">
        <f>IFERROR(VLOOKUP(A5120,[3]DOORSCRIEFT!$A$2:$G$8551,3,FALSE),"")</f>
        <v/>
      </c>
      <c r="E5120" s="317" t="str">
        <f>IFERROR(VLOOKUP(A5120,[3]DOORSCRIEFT!$A$2:$G$8551,4,FALSE),"")</f>
        <v/>
      </c>
      <c r="F5120" s="316" t="str">
        <f>IFERROR(VLOOKUP(A5120,[3]DOORSCRIEFT!$A$2:$G$8551,6,FALSE),"")</f>
        <v/>
      </c>
      <c r="G5120" s="315"/>
    </row>
    <row r="5121" spans="1:7" x14ac:dyDescent="0.25">
      <c r="A5121" s="320" t="str">
        <f t="shared" si="157"/>
        <v>I.5.2.0113</v>
      </c>
      <c r="B5121" s="320">
        <v>13</v>
      </c>
      <c r="C5121" s="319" t="str">
        <f>IFERROR(VLOOKUP(A5121,[3]DOORSCRIEFT!$A$2:$G$8551,2,FALSE),"")</f>
        <v/>
      </c>
      <c r="D5121" s="318" t="str">
        <f>IFERROR(VLOOKUP(A5121,[3]DOORSCRIEFT!$A$2:$G$8551,3,FALSE),"")</f>
        <v/>
      </c>
      <c r="E5121" s="317" t="str">
        <f>IFERROR(VLOOKUP(A5121,[3]DOORSCRIEFT!$A$2:$G$8551,4,FALSE),"")</f>
        <v/>
      </c>
      <c r="F5121" s="316" t="str">
        <f>IFERROR(VLOOKUP(A5121,[3]DOORSCRIEFT!$A$2:$G$8551,6,FALSE),"")</f>
        <v/>
      </c>
      <c r="G5121" s="315"/>
    </row>
    <row r="5122" spans="1:7" x14ac:dyDescent="0.25">
      <c r="A5122" s="320" t="str">
        <f t="shared" si="157"/>
        <v>I.5.2.0114</v>
      </c>
      <c r="B5122" s="321">
        <v>14</v>
      </c>
      <c r="C5122" s="319" t="str">
        <f>IFERROR(VLOOKUP(A5122,[3]DOORSCRIEFT!$A$2:$G$8551,2,FALSE),"")</f>
        <v/>
      </c>
      <c r="D5122" s="318" t="str">
        <f>IFERROR(VLOOKUP(A5122,[3]DOORSCRIEFT!$A$2:$G$8551,3,FALSE),"")</f>
        <v/>
      </c>
      <c r="E5122" s="317" t="str">
        <f>IFERROR(VLOOKUP(A5122,[3]DOORSCRIEFT!$A$2:$G$8551,4,FALSE),"")</f>
        <v/>
      </c>
      <c r="F5122" s="316" t="str">
        <f>IFERROR(VLOOKUP(A5122,[3]DOORSCRIEFT!$A$2:$G$8551,6,FALSE),"")</f>
        <v/>
      </c>
      <c r="G5122" s="315"/>
    </row>
    <row r="5123" spans="1:7" ht="15.75" thickBot="1" x14ac:dyDescent="0.3">
      <c r="A5123" s="320" t="str">
        <f t="shared" si="157"/>
        <v>I.5.2.0115</v>
      </c>
      <c r="B5123" s="320">
        <v>15</v>
      </c>
      <c r="C5123" s="319" t="str">
        <f>IFERROR(VLOOKUP(A5123,[3]DOORSCRIEFT!$A$2:$G$8551,2,FALSE),"")</f>
        <v/>
      </c>
      <c r="D5123" s="318" t="str">
        <f>IFERROR(VLOOKUP(A5123,[3]DOORSCRIEFT!$A$2:$G$8551,3,FALSE),"")</f>
        <v/>
      </c>
      <c r="E5123" s="317" t="str">
        <f>IFERROR(VLOOKUP(A5123,[3]DOORSCRIEFT!$A$2:$G$8551,4,FALSE),"")</f>
        <v/>
      </c>
      <c r="F5123" s="316" t="str">
        <f>IFERROR(VLOOKUP(A5123,[3]DOORSCRIEFT!$A$2:$G$8551,6,FALSE),"")</f>
        <v/>
      </c>
      <c r="G5123" s="315"/>
    </row>
    <row r="5124" spans="1:7" ht="15.75" thickBot="1" x14ac:dyDescent="0.3">
      <c r="A5124" s="314"/>
      <c r="B5124" s="312"/>
      <c r="C5124" s="336"/>
      <c r="D5124" s="312"/>
      <c r="E5124" s="311" t="s">
        <v>644</v>
      </c>
      <c r="F5124" s="310">
        <f>SUM(F5109:F5123)</f>
        <v>0</v>
      </c>
      <c r="G5124" s="309">
        <f>SUM(G5109:G5123)</f>
        <v>0</v>
      </c>
    </row>
    <row r="5125" spans="1:7" x14ac:dyDescent="0.25">
      <c r="C5125" s="335"/>
    </row>
    <row r="5126" spans="1:7" x14ac:dyDescent="0.25">
      <c r="C5126" s="335"/>
    </row>
    <row r="5127" spans="1:7" ht="15.75" x14ac:dyDescent="0.25">
      <c r="C5127" s="334"/>
      <c r="D5127" s="333"/>
      <c r="E5127" s="332"/>
      <c r="F5127" s="327" t="s">
        <v>607</v>
      </c>
      <c r="G5127" s="327" t="s">
        <v>317</v>
      </c>
    </row>
    <row r="5128" spans="1:7" ht="15.75" x14ac:dyDescent="0.25">
      <c r="C5128" s="334"/>
      <c r="D5128" s="333"/>
      <c r="E5128" s="332"/>
      <c r="F5128" s="327" t="s">
        <v>601</v>
      </c>
      <c r="G5128" s="327" t="s">
        <v>316</v>
      </c>
    </row>
    <row r="5129" spans="1:7" x14ac:dyDescent="0.25">
      <c r="C5129" s="330"/>
      <c r="D5129" s="329"/>
      <c r="E5129" s="328"/>
      <c r="F5129" s="327" t="s">
        <v>651</v>
      </c>
      <c r="G5129" s="331">
        <f>[2]Sheet1!$D$178</f>
        <v>0</v>
      </c>
    </row>
    <row r="5130" spans="1:7" ht="15.75" thickBot="1" x14ac:dyDescent="0.3">
      <c r="C5130" s="330"/>
      <c r="D5130" s="329"/>
      <c r="E5130" s="328"/>
      <c r="F5130" s="327" t="s">
        <v>650</v>
      </c>
      <c r="G5130" s="326">
        <f>+F5149-G5129</f>
        <v>4951000</v>
      </c>
    </row>
    <row r="5131" spans="1:7" x14ac:dyDescent="0.25">
      <c r="A5131" s="573" t="s">
        <v>626</v>
      </c>
      <c r="B5131" s="584" t="s">
        <v>606</v>
      </c>
      <c r="C5131" s="588" t="s">
        <v>649</v>
      </c>
      <c r="D5131" s="577" t="s">
        <v>648</v>
      </c>
      <c r="E5131" s="577" t="s">
        <v>647</v>
      </c>
      <c r="F5131" s="577" t="s">
        <v>646</v>
      </c>
      <c r="G5131" s="580" t="s">
        <v>645</v>
      </c>
    </row>
    <row r="5132" spans="1:7" ht="15.75" thickBot="1" x14ac:dyDescent="0.3">
      <c r="A5132" s="574"/>
      <c r="B5132" s="585"/>
      <c r="C5132" s="589"/>
      <c r="D5132" s="586"/>
      <c r="E5132" s="586"/>
      <c r="F5132" s="586"/>
      <c r="G5132" s="587"/>
    </row>
    <row r="5133" spans="1:7" ht="15.75" thickBot="1" x14ac:dyDescent="0.3">
      <c r="A5133" s="325">
        <v>1</v>
      </c>
      <c r="B5133" s="324">
        <v>2</v>
      </c>
      <c r="C5133" s="324">
        <v>3</v>
      </c>
      <c r="D5133" s="324">
        <v>4</v>
      </c>
      <c r="E5133" s="324">
        <v>5</v>
      </c>
      <c r="F5133" s="324">
        <v>6</v>
      </c>
      <c r="G5133" s="323">
        <v>7</v>
      </c>
    </row>
    <row r="5134" spans="1:7" x14ac:dyDescent="0.25">
      <c r="A5134" s="320" t="str">
        <f t="shared" ref="A5134:A5148" si="158">$G$5127&amp;B5134</f>
        <v>I.5.2.021</v>
      </c>
      <c r="B5134" s="320">
        <v>1</v>
      </c>
      <c r="C5134" s="319">
        <f>IFERROR(VLOOKUP(A5134,[3]DOORSCRIEFT!$A$2:$G$8551,2,FALSE),"")</f>
        <v>22</v>
      </c>
      <c r="D5134" s="318">
        <f>IFERROR(VLOOKUP(A5134,[3]DOORSCRIEFT!$A$2:$G$8551,3,FALSE),"")</f>
        <v>46026</v>
      </c>
      <c r="E5134" s="317" t="str">
        <f>IFERROR(VLOOKUP(A5134,[3]DOORSCRIEFT!$A$2:$G$8551,4,FALSE),"")</f>
        <v>Sisa uang Bazar Ikan Tuna</v>
      </c>
      <c r="F5134" s="316">
        <f>IFERROR(VLOOKUP(A5134,[3]DOORSCRIEFT!$A$2:$G$8551,6,FALSE),"")</f>
        <v>1400000</v>
      </c>
      <c r="G5134" s="322"/>
    </row>
    <row r="5135" spans="1:7" x14ac:dyDescent="0.25">
      <c r="A5135" s="320" t="str">
        <f t="shared" si="158"/>
        <v>I.5.2.022</v>
      </c>
      <c r="B5135" s="321">
        <v>2</v>
      </c>
      <c r="C5135" s="319">
        <f>IFERROR(VLOOKUP(A5135,[3]DOORSCRIEFT!$A$2:$G$8551,2,FALSE),"")</f>
        <v>25</v>
      </c>
      <c r="D5135" s="318">
        <f>IFERROR(VLOOKUP(A5135,[3]DOORSCRIEFT!$A$2:$G$8551,3,FALSE),"")</f>
        <v>46028</v>
      </c>
      <c r="E5135" s="317" t="str">
        <f>IFERROR(VLOOKUP(A5135,[3]DOORSCRIEFT!$A$2:$G$8551,4,FALSE),"")</f>
        <v>Pengembalian Sisa Uang Belanja Natal SMTPI, HUT SMTPI, dan Natal Pengasuh</v>
      </c>
      <c r="F5135" s="316">
        <f>IFERROR(VLOOKUP(A5135,[3]DOORSCRIEFT!$A$2:$G$8551,6,FALSE),"")</f>
        <v>951000</v>
      </c>
      <c r="G5135" s="315"/>
    </row>
    <row r="5136" spans="1:7" x14ac:dyDescent="0.25">
      <c r="A5136" s="320" t="str">
        <f t="shared" si="158"/>
        <v>I.5.2.023</v>
      </c>
      <c r="B5136" s="320">
        <v>3</v>
      </c>
      <c r="C5136" s="319">
        <f>IFERROR(VLOOKUP(A5136,[3]DOORSCRIEFT!$A$2:$G$8551,2,FALSE),"")</f>
        <v>26</v>
      </c>
      <c r="D5136" s="318">
        <f>IFERROR(VLOOKUP(A5136,[3]DOORSCRIEFT!$A$2:$G$8551,3,FALSE),"")</f>
        <v>46028</v>
      </c>
      <c r="E5136" s="317" t="str">
        <f>IFERROR(VLOOKUP(A5136,[3]DOORSCRIEFT!$A$2:$G$8551,4,FALSE),"")</f>
        <v>Pengembalian sisa uang belanja perbaikan speaker Gereja SK</v>
      </c>
      <c r="F5136" s="316">
        <f>IFERROR(VLOOKUP(A5136,[3]DOORSCRIEFT!$A$2:$G$8551,6,FALSE),"")</f>
        <v>600000</v>
      </c>
      <c r="G5136" s="315"/>
    </row>
    <row r="5137" spans="1:7" x14ac:dyDescent="0.25">
      <c r="A5137" s="320" t="str">
        <f t="shared" si="158"/>
        <v>I.5.2.024</v>
      </c>
      <c r="B5137" s="321">
        <v>4</v>
      </c>
      <c r="C5137" s="319">
        <f>IFERROR(VLOOKUP(A5137,[3]DOORSCRIEFT!$A$2:$G$8551,2,FALSE),"")</f>
        <v>123</v>
      </c>
      <c r="D5137" s="318">
        <f>IFERROR(VLOOKUP(A5137,[3]DOORSCRIEFT!$A$2:$G$8551,3,FALSE),"")</f>
        <v>46047</v>
      </c>
      <c r="E5137" s="317" t="str">
        <f>IFERROR(VLOOKUP(A5137,[3]DOORSCRIEFT!$A$2:$G$8551,4,FALSE),"")</f>
        <v>Pengembalian uang sisa ganti oli mobil Gereja</v>
      </c>
      <c r="F5137" s="316">
        <f>IFERROR(VLOOKUP(A5137,[3]DOORSCRIEFT!$A$2:$G$8551,6,FALSE),"")</f>
        <v>500000</v>
      </c>
      <c r="G5137" s="315"/>
    </row>
    <row r="5138" spans="1:7" x14ac:dyDescent="0.25">
      <c r="A5138" s="320" t="str">
        <f t="shared" si="158"/>
        <v>I.5.2.025</v>
      </c>
      <c r="B5138" s="320">
        <v>5</v>
      </c>
      <c r="C5138" s="319">
        <f>IFERROR(VLOOKUP(A5138,[3]DOORSCRIEFT!$A$2:$G$8551,2,FALSE),"")</f>
        <v>212</v>
      </c>
      <c r="D5138" s="318">
        <f>IFERROR(VLOOKUP(A5138,[3]DOORSCRIEFT!$A$2:$G$8551,3,FALSE),"")</f>
        <v>46073</v>
      </c>
      <c r="E5138" s="317" t="str">
        <f>IFERROR(VLOOKUP(A5138,[3]DOORSCRIEFT!$A$2:$G$8551,4,FALSE),"")</f>
        <v>Pengembalian Biaya HUT Pendeta Lina Matahelumual</v>
      </c>
      <c r="F5138" s="316">
        <f>IFERROR(VLOOKUP(A5138,[3]DOORSCRIEFT!$A$2:$G$8551,6,FALSE),"")</f>
        <v>1500000</v>
      </c>
      <c r="G5138" s="315"/>
    </row>
    <row r="5139" spans="1:7" x14ac:dyDescent="0.25">
      <c r="A5139" s="320" t="str">
        <f t="shared" si="158"/>
        <v>I.5.2.026</v>
      </c>
      <c r="B5139" s="321">
        <v>6</v>
      </c>
      <c r="C5139" s="319" t="str">
        <f>IFERROR(VLOOKUP(A5139,[3]DOORSCRIEFT!$A$2:$G$8551,2,FALSE),"")</f>
        <v/>
      </c>
      <c r="D5139" s="318" t="str">
        <f>IFERROR(VLOOKUP(A5139,[3]DOORSCRIEFT!$A$2:$G$8551,3,FALSE),"")</f>
        <v/>
      </c>
      <c r="E5139" s="317" t="str">
        <f>IFERROR(VLOOKUP(A5139,[3]DOORSCRIEFT!$A$2:$G$8551,4,FALSE),"")</f>
        <v/>
      </c>
      <c r="F5139" s="316" t="str">
        <f>IFERROR(VLOOKUP(A5139,[3]DOORSCRIEFT!$A$2:$G$8551,6,FALSE),"")</f>
        <v/>
      </c>
      <c r="G5139" s="315"/>
    </row>
    <row r="5140" spans="1:7" x14ac:dyDescent="0.25">
      <c r="A5140" s="320" t="str">
        <f t="shared" si="158"/>
        <v>I.5.2.027</v>
      </c>
      <c r="B5140" s="320">
        <v>7</v>
      </c>
      <c r="C5140" s="319" t="str">
        <f>IFERROR(VLOOKUP(A5140,[3]DOORSCRIEFT!$A$2:$G$8551,2,FALSE),"")</f>
        <v/>
      </c>
      <c r="D5140" s="318" t="str">
        <f>IFERROR(VLOOKUP(A5140,[3]DOORSCRIEFT!$A$2:$G$8551,3,FALSE),"")</f>
        <v/>
      </c>
      <c r="E5140" s="317" t="str">
        <f>IFERROR(VLOOKUP(A5140,[3]DOORSCRIEFT!$A$2:$G$8551,4,FALSE),"")</f>
        <v/>
      </c>
      <c r="F5140" s="316" t="str">
        <f>IFERROR(VLOOKUP(A5140,[3]DOORSCRIEFT!$A$2:$G$8551,6,FALSE),"")</f>
        <v/>
      </c>
      <c r="G5140" s="315"/>
    </row>
    <row r="5141" spans="1:7" x14ac:dyDescent="0.25">
      <c r="A5141" s="320" t="str">
        <f t="shared" si="158"/>
        <v>I.5.2.028</v>
      </c>
      <c r="B5141" s="321">
        <v>8</v>
      </c>
      <c r="C5141" s="319" t="str">
        <f>IFERROR(VLOOKUP(A5141,[3]DOORSCRIEFT!$A$2:$G$8551,2,FALSE),"")</f>
        <v/>
      </c>
      <c r="D5141" s="318" t="str">
        <f>IFERROR(VLOOKUP(A5141,[3]DOORSCRIEFT!$A$2:$G$8551,3,FALSE),"")</f>
        <v/>
      </c>
      <c r="E5141" s="317" t="str">
        <f>IFERROR(VLOOKUP(A5141,[3]DOORSCRIEFT!$A$2:$G$8551,4,FALSE),"")</f>
        <v/>
      </c>
      <c r="F5141" s="316" t="str">
        <f>IFERROR(VLOOKUP(A5141,[3]DOORSCRIEFT!$A$2:$G$8551,6,FALSE),"")</f>
        <v/>
      </c>
      <c r="G5141" s="315"/>
    </row>
    <row r="5142" spans="1:7" x14ac:dyDescent="0.25">
      <c r="A5142" s="320" t="str">
        <f t="shared" si="158"/>
        <v>I.5.2.029</v>
      </c>
      <c r="B5142" s="320">
        <v>9</v>
      </c>
      <c r="C5142" s="319" t="str">
        <f>IFERROR(VLOOKUP(A5142,[3]DOORSCRIEFT!$A$2:$G$8551,2,FALSE),"")</f>
        <v/>
      </c>
      <c r="D5142" s="318" t="str">
        <f>IFERROR(VLOOKUP(A5142,[3]DOORSCRIEFT!$A$2:$G$8551,3,FALSE),"")</f>
        <v/>
      </c>
      <c r="E5142" s="317" t="str">
        <f>IFERROR(VLOOKUP(A5142,[3]DOORSCRIEFT!$A$2:$G$8551,4,FALSE),"")</f>
        <v/>
      </c>
      <c r="F5142" s="316" t="str">
        <f>IFERROR(VLOOKUP(A5142,[3]DOORSCRIEFT!$A$2:$G$8551,6,FALSE),"")</f>
        <v/>
      </c>
      <c r="G5142" s="315"/>
    </row>
    <row r="5143" spans="1:7" x14ac:dyDescent="0.25">
      <c r="A5143" s="320" t="str">
        <f t="shared" si="158"/>
        <v>I.5.2.0210</v>
      </c>
      <c r="B5143" s="321">
        <v>10</v>
      </c>
      <c r="C5143" s="319" t="str">
        <f>IFERROR(VLOOKUP(A5143,[3]DOORSCRIEFT!$A$2:$G$8551,2,FALSE),"")</f>
        <v/>
      </c>
      <c r="D5143" s="318" t="str">
        <f>IFERROR(VLOOKUP(A5143,[3]DOORSCRIEFT!$A$2:$G$8551,3,FALSE),"")</f>
        <v/>
      </c>
      <c r="E5143" s="317" t="str">
        <f>IFERROR(VLOOKUP(A5143,[3]DOORSCRIEFT!$A$2:$G$8551,4,FALSE),"")</f>
        <v/>
      </c>
      <c r="F5143" s="316" t="str">
        <f>IFERROR(VLOOKUP(A5143,[3]DOORSCRIEFT!$A$2:$G$8551,6,FALSE),"")</f>
        <v/>
      </c>
      <c r="G5143" s="315"/>
    </row>
    <row r="5144" spans="1:7" x14ac:dyDescent="0.25">
      <c r="A5144" s="320" t="str">
        <f t="shared" si="158"/>
        <v>I.5.2.0211</v>
      </c>
      <c r="B5144" s="320">
        <v>11</v>
      </c>
      <c r="C5144" s="319" t="str">
        <f>IFERROR(VLOOKUP(A5144,[3]DOORSCRIEFT!$A$2:$G$8551,2,FALSE),"")</f>
        <v/>
      </c>
      <c r="D5144" s="318" t="str">
        <f>IFERROR(VLOOKUP(A5144,[3]DOORSCRIEFT!$A$2:$G$8551,3,FALSE),"")</f>
        <v/>
      </c>
      <c r="E5144" s="317" t="str">
        <f>IFERROR(VLOOKUP(A5144,[3]DOORSCRIEFT!$A$2:$G$8551,4,FALSE),"")</f>
        <v/>
      </c>
      <c r="F5144" s="316" t="str">
        <f>IFERROR(VLOOKUP(A5144,[3]DOORSCRIEFT!$A$2:$G$8551,6,FALSE),"")</f>
        <v/>
      </c>
      <c r="G5144" s="315"/>
    </row>
    <row r="5145" spans="1:7" x14ac:dyDescent="0.25">
      <c r="A5145" s="320" t="str">
        <f t="shared" si="158"/>
        <v>I.5.2.0212</v>
      </c>
      <c r="B5145" s="321">
        <v>12</v>
      </c>
      <c r="C5145" s="319" t="str">
        <f>IFERROR(VLOOKUP(A5145,[3]DOORSCRIEFT!$A$2:$G$8551,2,FALSE),"")</f>
        <v/>
      </c>
      <c r="D5145" s="318" t="str">
        <f>IFERROR(VLOOKUP(A5145,[3]DOORSCRIEFT!$A$2:$G$8551,3,FALSE),"")</f>
        <v/>
      </c>
      <c r="E5145" s="317" t="str">
        <f>IFERROR(VLOOKUP(A5145,[3]DOORSCRIEFT!$A$2:$G$8551,4,FALSE),"")</f>
        <v/>
      </c>
      <c r="F5145" s="316" t="str">
        <f>IFERROR(VLOOKUP(A5145,[3]DOORSCRIEFT!$A$2:$G$8551,6,FALSE),"")</f>
        <v/>
      </c>
      <c r="G5145" s="315"/>
    </row>
    <row r="5146" spans="1:7" x14ac:dyDescent="0.25">
      <c r="A5146" s="320" t="str">
        <f t="shared" si="158"/>
        <v>I.5.2.0213</v>
      </c>
      <c r="B5146" s="320">
        <v>13</v>
      </c>
      <c r="C5146" s="319" t="str">
        <f>IFERROR(VLOOKUP(A5146,[3]DOORSCRIEFT!$A$2:$G$8551,2,FALSE),"")</f>
        <v/>
      </c>
      <c r="D5146" s="318" t="str">
        <f>IFERROR(VLOOKUP(A5146,[3]DOORSCRIEFT!$A$2:$G$8551,3,FALSE),"")</f>
        <v/>
      </c>
      <c r="E5146" s="317" t="str">
        <f>IFERROR(VLOOKUP(A5146,[3]DOORSCRIEFT!$A$2:$G$8551,4,FALSE),"")</f>
        <v/>
      </c>
      <c r="F5146" s="316" t="str">
        <f>IFERROR(VLOOKUP(A5146,[3]DOORSCRIEFT!$A$2:$G$8551,6,FALSE),"")</f>
        <v/>
      </c>
      <c r="G5146" s="315"/>
    </row>
    <row r="5147" spans="1:7" x14ac:dyDescent="0.25">
      <c r="A5147" s="320" t="str">
        <f t="shared" si="158"/>
        <v>I.5.2.0214</v>
      </c>
      <c r="B5147" s="321">
        <v>14</v>
      </c>
      <c r="C5147" s="319" t="str">
        <f>IFERROR(VLOOKUP(A5147,[3]DOORSCRIEFT!$A$2:$G$8551,2,FALSE),"")</f>
        <v/>
      </c>
      <c r="D5147" s="318" t="str">
        <f>IFERROR(VLOOKUP(A5147,[3]DOORSCRIEFT!$A$2:$G$8551,3,FALSE),"")</f>
        <v/>
      </c>
      <c r="E5147" s="317" t="str">
        <f>IFERROR(VLOOKUP(A5147,[3]DOORSCRIEFT!$A$2:$G$8551,4,FALSE),"")</f>
        <v/>
      </c>
      <c r="F5147" s="316" t="str">
        <f>IFERROR(VLOOKUP(A5147,[3]DOORSCRIEFT!$A$2:$G$8551,6,FALSE),"")</f>
        <v/>
      </c>
      <c r="G5147" s="315"/>
    </row>
    <row r="5148" spans="1:7" ht="15.75" thickBot="1" x14ac:dyDescent="0.3">
      <c r="A5148" s="320" t="str">
        <f t="shared" si="158"/>
        <v>I.5.2.0215</v>
      </c>
      <c r="B5148" s="320">
        <v>15</v>
      </c>
      <c r="C5148" s="319" t="str">
        <f>IFERROR(VLOOKUP(A5148,[3]DOORSCRIEFT!$A$2:$G$8551,2,FALSE),"")</f>
        <v/>
      </c>
      <c r="D5148" s="318" t="str">
        <f>IFERROR(VLOOKUP(A5148,[3]DOORSCRIEFT!$A$2:$G$8551,3,FALSE),"")</f>
        <v/>
      </c>
      <c r="E5148" s="317" t="str">
        <f>IFERROR(VLOOKUP(A5148,[3]DOORSCRIEFT!$A$2:$G$8551,4,FALSE),"")</f>
        <v/>
      </c>
      <c r="F5148" s="316" t="str">
        <f>IFERROR(VLOOKUP(A5148,[3]DOORSCRIEFT!$A$2:$G$8551,6,FALSE),"")</f>
        <v/>
      </c>
      <c r="G5148" s="315"/>
    </row>
    <row r="5149" spans="1:7" ht="15.75" thickBot="1" x14ac:dyDescent="0.3">
      <c r="A5149" s="314"/>
      <c r="B5149" s="312"/>
      <c r="C5149" s="336"/>
      <c r="D5149" s="312"/>
      <c r="E5149" s="311" t="s">
        <v>644</v>
      </c>
      <c r="F5149" s="310">
        <f>SUM(F5134:F5148)</f>
        <v>4951000</v>
      </c>
      <c r="G5149" s="309">
        <f>SUM(G5134:G5148)</f>
        <v>0</v>
      </c>
    </row>
    <row r="5150" spans="1:7" x14ac:dyDescent="0.25">
      <c r="C5150" s="335"/>
    </row>
    <row r="5151" spans="1:7" x14ac:dyDescent="0.25">
      <c r="C5151" s="335"/>
    </row>
    <row r="5152" spans="1:7" ht="15.75" x14ac:dyDescent="0.25">
      <c r="C5152" s="334"/>
      <c r="D5152" s="333"/>
      <c r="E5152" s="332"/>
      <c r="F5152" s="327" t="s">
        <v>607</v>
      </c>
      <c r="G5152" s="327" t="s">
        <v>315</v>
      </c>
    </row>
    <row r="5153" spans="1:7" ht="15.75" x14ac:dyDescent="0.25">
      <c r="C5153" s="334"/>
      <c r="D5153" s="333"/>
      <c r="E5153" s="332"/>
      <c r="F5153" s="327" t="s">
        <v>601</v>
      </c>
      <c r="G5153" s="327" t="s">
        <v>314</v>
      </c>
    </row>
    <row r="5154" spans="1:7" x14ac:dyDescent="0.25">
      <c r="C5154" s="330"/>
      <c r="D5154" s="329"/>
      <c r="E5154" s="328"/>
      <c r="F5154" s="327" t="s">
        <v>651</v>
      </c>
      <c r="G5154" s="331">
        <f>[2]Sheet1!$D$179</f>
        <v>36569068</v>
      </c>
    </row>
    <row r="5155" spans="1:7" ht="15.75" thickBot="1" x14ac:dyDescent="0.3">
      <c r="C5155" s="330"/>
      <c r="D5155" s="329"/>
      <c r="E5155" s="328"/>
      <c r="F5155" s="327" t="s">
        <v>650</v>
      </c>
      <c r="G5155" s="326">
        <f>+F5174-G5154</f>
        <v>-36569068</v>
      </c>
    </row>
    <row r="5156" spans="1:7" x14ac:dyDescent="0.25">
      <c r="A5156" s="573" t="s">
        <v>626</v>
      </c>
      <c r="B5156" s="584" t="s">
        <v>606</v>
      </c>
      <c r="C5156" s="588" t="s">
        <v>649</v>
      </c>
      <c r="D5156" s="577" t="s">
        <v>648</v>
      </c>
      <c r="E5156" s="577" t="s">
        <v>647</v>
      </c>
      <c r="F5156" s="577" t="s">
        <v>646</v>
      </c>
      <c r="G5156" s="580" t="s">
        <v>645</v>
      </c>
    </row>
    <row r="5157" spans="1:7" ht="15.75" thickBot="1" x14ac:dyDescent="0.3">
      <c r="A5157" s="574"/>
      <c r="B5157" s="585"/>
      <c r="C5157" s="589"/>
      <c r="D5157" s="586"/>
      <c r="E5157" s="586"/>
      <c r="F5157" s="586"/>
      <c r="G5157" s="587"/>
    </row>
    <row r="5158" spans="1:7" ht="15.75" thickBot="1" x14ac:dyDescent="0.3">
      <c r="A5158" s="325">
        <v>1</v>
      </c>
      <c r="B5158" s="324">
        <v>2</v>
      </c>
      <c r="C5158" s="324">
        <v>3</v>
      </c>
      <c r="D5158" s="324">
        <v>4</v>
      </c>
      <c r="E5158" s="324">
        <v>5</v>
      </c>
      <c r="F5158" s="324">
        <v>6</v>
      </c>
      <c r="G5158" s="323">
        <v>7</v>
      </c>
    </row>
    <row r="5159" spans="1:7" x14ac:dyDescent="0.25">
      <c r="A5159" s="320" t="str">
        <f t="shared" ref="A5159:A5173" si="159">$G$5152&amp;B5159</f>
        <v>I.5.2.031</v>
      </c>
      <c r="B5159" s="320">
        <v>1</v>
      </c>
      <c r="C5159" s="319" t="str">
        <f>IFERROR(VLOOKUP(A5159,[3]DOORSCRIEFT!$A$2:$G$8551,2,FALSE),"")</f>
        <v/>
      </c>
      <c r="D5159" s="318" t="str">
        <f>IFERROR(VLOOKUP(A5159,[3]DOORSCRIEFT!$A$2:$G$8551,3,FALSE),"")</f>
        <v/>
      </c>
      <c r="E5159" s="317" t="str">
        <f>IFERROR(VLOOKUP(A5159,[3]DOORSCRIEFT!$A$2:$G$8551,4,FALSE),"")</f>
        <v/>
      </c>
      <c r="F5159" s="316" t="str">
        <f>IFERROR(VLOOKUP(A5159,[3]DOORSCRIEFT!$A$2:$G$8551,6,FALSE),"")</f>
        <v/>
      </c>
      <c r="G5159" s="322"/>
    </row>
    <row r="5160" spans="1:7" x14ac:dyDescent="0.25">
      <c r="A5160" s="320" t="str">
        <f t="shared" si="159"/>
        <v>I.5.2.032</v>
      </c>
      <c r="B5160" s="321">
        <v>2</v>
      </c>
      <c r="C5160" s="319" t="str">
        <f>IFERROR(VLOOKUP(A5160,[3]DOORSCRIEFT!$A$2:$G$8551,2,FALSE),"")</f>
        <v/>
      </c>
      <c r="D5160" s="318" t="str">
        <f>IFERROR(VLOOKUP(A5160,[3]DOORSCRIEFT!$A$2:$G$8551,3,FALSE),"")</f>
        <v/>
      </c>
      <c r="E5160" s="317" t="str">
        <f>IFERROR(VLOOKUP(A5160,[3]DOORSCRIEFT!$A$2:$G$8551,4,FALSE),"")</f>
        <v/>
      </c>
      <c r="F5160" s="316" t="str">
        <f>IFERROR(VLOOKUP(A5160,[3]DOORSCRIEFT!$A$2:$G$8551,6,FALSE),"")</f>
        <v/>
      </c>
      <c r="G5160" s="315"/>
    </row>
    <row r="5161" spans="1:7" x14ac:dyDescent="0.25">
      <c r="A5161" s="320" t="str">
        <f t="shared" si="159"/>
        <v>I.5.2.033</v>
      </c>
      <c r="B5161" s="320">
        <v>3</v>
      </c>
      <c r="C5161" s="319" t="str">
        <f>IFERROR(VLOOKUP(A5161,[3]DOORSCRIEFT!$A$2:$G$8551,2,FALSE),"")</f>
        <v/>
      </c>
      <c r="D5161" s="318" t="str">
        <f>IFERROR(VLOOKUP(A5161,[3]DOORSCRIEFT!$A$2:$G$8551,3,FALSE),"")</f>
        <v/>
      </c>
      <c r="E5161" s="317" t="str">
        <f>IFERROR(VLOOKUP(A5161,[3]DOORSCRIEFT!$A$2:$G$8551,4,FALSE),"")</f>
        <v/>
      </c>
      <c r="F5161" s="316" t="str">
        <f>IFERROR(VLOOKUP(A5161,[3]DOORSCRIEFT!$A$2:$G$8551,6,FALSE),"")</f>
        <v/>
      </c>
      <c r="G5161" s="315"/>
    </row>
    <row r="5162" spans="1:7" x14ac:dyDescent="0.25">
      <c r="A5162" s="320" t="str">
        <f t="shared" si="159"/>
        <v>I.5.2.034</v>
      </c>
      <c r="B5162" s="321">
        <v>4</v>
      </c>
      <c r="C5162" s="319" t="str">
        <f>IFERROR(VLOOKUP(A5162,[3]DOORSCRIEFT!$A$2:$G$8551,2,FALSE),"")</f>
        <v/>
      </c>
      <c r="D5162" s="318" t="str">
        <f>IFERROR(VLOOKUP(A5162,[3]DOORSCRIEFT!$A$2:$G$8551,3,FALSE),"")</f>
        <v/>
      </c>
      <c r="E5162" s="317" t="str">
        <f>IFERROR(VLOOKUP(A5162,[3]DOORSCRIEFT!$A$2:$G$8551,4,FALSE),"")</f>
        <v/>
      </c>
      <c r="F5162" s="316" t="str">
        <f>IFERROR(VLOOKUP(A5162,[3]DOORSCRIEFT!$A$2:$G$8551,6,FALSE),"")</f>
        <v/>
      </c>
      <c r="G5162" s="315"/>
    </row>
    <row r="5163" spans="1:7" x14ac:dyDescent="0.25">
      <c r="A5163" s="320" t="str">
        <f t="shared" si="159"/>
        <v>I.5.2.035</v>
      </c>
      <c r="B5163" s="320">
        <v>5</v>
      </c>
      <c r="C5163" s="319" t="str">
        <f>IFERROR(VLOOKUP(A5163,[3]DOORSCRIEFT!$A$2:$G$8551,2,FALSE),"")</f>
        <v/>
      </c>
      <c r="D5163" s="318" t="str">
        <f>IFERROR(VLOOKUP(A5163,[3]DOORSCRIEFT!$A$2:$G$8551,3,FALSE),"")</f>
        <v/>
      </c>
      <c r="E5163" s="317" t="str">
        <f>IFERROR(VLOOKUP(A5163,[3]DOORSCRIEFT!$A$2:$G$8551,4,FALSE),"")</f>
        <v/>
      </c>
      <c r="F5163" s="316" t="str">
        <f>IFERROR(VLOOKUP(A5163,[3]DOORSCRIEFT!$A$2:$G$8551,6,FALSE),"")</f>
        <v/>
      </c>
      <c r="G5163" s="315"/>
    </row>
    <row r="5164" spans="1:7" x14ac:dyDescent="0.25">
      <c r="A5164" s="320" t="str">
        <f t="shared" si="159"/>
        <v>I.5.2.036</v>
      </c>
      <c r="B5164" s="321">
        <v>6</v>
      </c>
      <c r="C5164" s="319" t="str">
        <f>IFERROR(VLOOKUP(A5164,[3]DOORSCRIEFT!$A$2:$G$8551,2,FALSE),"")</f>
        <v/>
      </c>
      <c r="D5164" s="318" t="str">
        <f>IFERROR(VLOOKUP(A5164,[3]DOORSCRIEFT!$A$2:$G$8551,3,FALSE),"")</f>
        <v/>
      </c>
      <c r="E5164" s="317" t="str">
        <f>IFERROR(VLOOKUP(A5164,[3]DOORSCRIEFT!$A$2:$G$8551,4,FALSE),"")</f>
        <v/>
      </c>
      <c r="F5164" s="316" t="str">
        <f>IFERROR(VLOOKUP(A5164,[3]DOORSCRIEFT!$A$2:$G$8551,6,FALSE),"")</f>
        <v/>
      </c>
      <c r="G5164" s="315"/>
    </row>
    <row r="5165" spans="1:7" x14ac:dyDescent="0.25">
      <c r="A5165" s="320" t="str">
        <f t="shared" si="159"/>
        <v>I.5.2.037</v>
      </c>
      <c r="B5165" s="320">
        <v>7</v>
      </c>
      <c r="C5165" s="319" t="str">
        <f>IFERROR(VLOOKUP(A5165,[3]DOORSCRIEFT!$A$2:$G$8551,2,FALSE),"")</f>
        <v/>
      </c>
      <c r="D5165" s="318" t="str">
        <f>IFERROR(VLOOKUP(A5165,[3]DOORSCRIEFT!$A$2:$G$8551,3,FALSE),"")</f>
        <v/>
      </c>
      <c r="E5165" s="317" t="str">
        <f>IFERROR(VLOOKUP(A5165,[3]DOORSCRIEFT!$A$2:$G$8551,4,FALSE),"")</f>
        <v/>
      </c>
      <c r="F5165" s="316" t="str">
        <f>IFERROR(VLOOKUP(A5165,[3]DOORSCRIEFT!$A$2:$G$8551,6,FALSE),"")</f>
        <v/>
      </c>
      <c r="G5165" s="315"/>
    </row>
    <row r="5166" spans="1:7" x14ac:dyDescent="0.25">
      <c r="A5166" s="320" t="str">
        <f t="shared" si="159"/>
        <v>I.5.2.038</v>
      </c>
      <c r="B5166" s="321">
        <v>8</v>
      </c>
      <c r="C5166" s="319" t="str">
        <f>IFERROR(VLOOKUP(A5166,[3]DOORSCRIEFT!$A$2:$G$8551,2,FALSE),"")</f>
        <v/>
      </c>
      <c r="D5166" s="318" t="str">
        <f>IFERROR(VLOOKUP(A5166,[3]DOORSCRIEFT!$A$2:$G$8551,3,FALSE),"")</f>
        <v/>
      </c>
      <c r="E5166" s="317" t="str">
        <f>IFERROR(VLOOKUP(A5166,[3]DOORSCRIEFT!$A$2:$G$8551,4,FALSE),"")</f>
        <v/>
      </c>
      <c r="F5166" s="316" t="str">
        <f>IFERROR(VLOOKUP(A5166,[3]DOORSCRIEFT!$A$2:$G$8551,6,FALSE),"")</f>
        <v/>
      </c>
      <c r="G5166" s="315"/>
    </row>
    <row r="5167" spans="1:7" x14ac:dyDescent="0.25">
      <c r="A5167" s="320" t="str">
        <f t="shared" si="159"/>
        <v>I.5.2.039</v>
      </c>
      <c r="B5167" s="320">
        <v>9</v>
      </c>
      <c r="C5167" s="319" t="str">
        <f>IFERROR(VLOOKUP(A5167,[3]DOORSCRIEFT!$A$2:$G$8551,2,FALSE),"")</f>
        <v/>
      </c>
      <c r="D5167" s="318" t="str">
        <f>IFERROR(VLOOKUP(A5167,[3]DOORSCRIEFT!$A$2:$G$8551,3,FALSE),"")</f>
        <v/>
      </c>
      <c r="E5167" s="317" t="str">
        <f>IFERROR(VLOOKUP(A5167,[3]DOORSCRIEFT!$A$2:$G$8551,4,FALSE),"")</f>
        <v/>
      </c>
      <c r="F5167" s="316" t="str">
        <f>IFERROR(VLOOKUP(A5167,[3]DOORSCRIEFT!$A$2:$G$8551,6,FALSE),"")</f>
        <v/>
      </c>
      <c r="G5167" s="315"/>
    </row>
    <row r="5168" spans="1:7" x14ac:dyDescent="0.25">
      <c r="A5168" s="320" t="str">
        <f t="shared" si="159"/>
        <v>I.5.2.0310</v>
      </c>
      <c r="B5168" s="321">
        <v>10</v>
      </c>
      <c r="C5168" s="319" t="str">
        <f>IFERROR(VLOOKUP(A5168,[3]DOORSCRIEFT!$A$2:$G$8551,2,FALSE),"")</f>
        <v/>
      </c>
      <c r="D5168" s="318" t="str">
        <f>IFERROR(VLOOKUP(A5168,[3]DOORSCRIEFT!$A$2:$G$8551,3,FALSE),"")</f>
        <v/>
      </c>
      <c r="E5168" s="317" t="str">
        <f>IFERROR(VLOOKUP(A5168,[3]DOORSCRIEFT!$A$2:$G$8551,4,FALSE),"")</f>
        <v/>
      </c>
      <c r="F5168" s="316" t="str">
        <f>IFERROR(VLOOKUP(A5168,[3]DOORSCRIEFT!$A$2:$G$8551,6,FALSE),"")</f>
        <v/>
      </c>
      <c r="G5168" s="315"/>
    </row>
    <row r="5169" spans="1:7" x14ac:dyDescent="0.25">
      <c r="A5169" s="320" t="str">
        <f t="shared" si="159"/>
        <v>I.5.2.0311</v>
      </c>
      <c r="B5169" s="320">
        <v>11</v>
      </c>
      <c r="C5169" s="319" t="str">
        <f>IFERROR(VLOOKUP(A5169,[3]DOORSCRIEFT!$A$2:$G$8551,2,FALSE),"")</f>
        <v/>
      </c>
      <c r="D5169" s="318" t="str">
        <f>IFERROR(VLOOKUP(A5169,[3]DOORSCRIEFT!$A$2:$G$8551,3,FALSE),"")</f>
        <v/>
      </c>
      <c r="E5169" s="317" t="str">
        <f>IFERROR(VLOOKUP(A5169,[3]DOORSCRIEFT!$A$2:$G$8551,4,FALSE),"")</f>
        <v/>
      </c>
      <c r="F5169" s="316" t="str">
        <f>IFERROR(VLOOKUP(A5169,[3]DOORSCRIEFT!$A$2:$G$8551,6,FALSE),"")</f>
        <v/>
      </c>
      <c r="G5169" s="315"/>
    </row>
    <row r="5170" spans="1:7" x14ac:dyDescent="0.25">
      <c r="A5170" s="320" t="str">
        <f t="shared" si="159"/>
        <v>I.5.2.0312</v>
      </c>
      <c r="B5170" s="321">
        <v>12</v>
      </c>
      <c r="C5170" s="319" t="str">
        <f>IFERROR(VLOOKUP(A5170,[3]DOORSCRIEFT!$A$2:$G$8551,2,FALSE),"")</f>
        <v/>
      </c>
      <c r="D5170" s="318" t="str">
        <f>IFERROR(VLOOKUP(A5170,[3]DOORSCRIEFT!$A$2:$G$8551,3,FALSE),"")</f>
        <v/>
      </c>
      <c r="E5170" s="317" t="str">
        <f>IFERROR(VLOOKUP(A5170,[3]DOORSCRIEFT!$A$2:$G$8551,4,FALSE),"")</f>
        <v/>
      </c>
      <c r="F5170" s="316" t="str">
        <f>IFERROR(VLOOKUP(A5170,[3]DOORSCRIEFT!$A$2:$G$8551,6,FALSE),"")</f>
        <v/>
      </c>
      <c r="G5170" s="315"/>
    </row>
    <row r="5171" spans="1:7" x14ac:dyDescent="0.25">
      <c r="A5171" s="320" t="str">
        <f t="shared" si="159"/>
        <v>I.5.2.0313</v>
      </c>
      <c r="B5171" s="320">
        <v>13</v>
      </c>
      <c r="C5171" s="319" t="str">
        <f>IFERROR(VLOOKUP(A5171,[3]DOORSCRIEFT!$A$2:$G$8551,2,FALSE),"")</f>
        <v/>
      </c>
      <c r="D5171" s="318" t="str">
        <f>IFERROR(VLOOKUP(A5171,[3]DOORSCRIEFT!$A$2:$G$8551,3,FALSE),"")</f>
        <v/>
      </c>
      <c r="E5171" s="317" t="str">
        <f>IFERROR(VLOOKUP(A5171,[3]DOORSCRIEFT!$A$2:$G$8551,4,FALSE),"")</f>
        <v/>
      </c>
      <c r="F5171" s="316" t="str">
        <f>IFERROR(VLOOKUP(A5171,[3]DOORSCRIEFT!$A$2:$G$8551,6,FALSE),"")</f>
        <v/>
      </c>
      <c r="G5171" s="315"/>
    </row>
    <row r="5172" spans="1:7" x14ac:dyDescent="0.25">
      <c r="A5172" s="320" t="str">
        <f t="shared" si="159"/>
        <v>I.5.2.0314</v>
      </c>
      <c r="B5172" s="321">
        <v>14</v>
      </c>
      <c r="C5172" s="319" t="str">
        <f>IFERROR(VLOOKUP(A5172,[3]DOORSCRIEFT!$A$2:$G$8551,2,FALSE),"")</f>
        <v/>
      </c>
      <c r="D5172" s="318" t="str">
        <f>IFERROR(VLOOKUP(A5172,[3]DOORSCRIEFT!$A$2:$G$8551,3,FALSE),"")</f>
        <v/>
      </c>
      <c r="E5172" s="317" t="str">
        <f>IFERROR(VLOOKUP(A5172,[3]DOORSCRIEFT!$A$2:$G$8551,4,FALSE),"")</f>
        <v/>
      </c>
      <c r="F5172" s="316" t="str">
        <f>IFERROR(VLOOKUP(A5172,[3]DOORSCRIEFT!$A$2:$G$8551,6,FALSE),"")</f>
        <v/>
      </c>
      <c r="G5172" s="315"/>
    </row>
    <row r="5173" spans="1:7" ht="15.75" thickBot="1" x14ac:dyDescent="0.3">
      <c r="A5173" s="320" t="str">
        <f t="shared" si="159"/>
        <v>I.5.2.0315</v>
      </c>
      <c r="B5173" s="320">
        <v>15</v>
      </c>
      <c r="C5173" s="319" t="str">
        <f>IFERROR(VLOOKUP(A5173,[3]DOORSCRIEFT!$A$2:$G$8551,2,FALSE),"")</f>
        <v/>
      </c>
      <c r="D5173" s="318" t="str">
        <f>IFERROR(VLOOKUP(A5173,[3]DOORSCRIEFT!$A$2:$G$8551,3,FALSE),"")</f>
        <v/>
      </c>
      <c r="E5173" s="317" t="str">
        <f>IFERROR(VLOOKUP(A5173,[3]DOORSCRIEFT!$A$2:$G$8551,4,FALSE),"")</f>
        <v/>
      </c>
      <c r="F5173" s="316" t="str">
        <f>IFERROR(VLOOKUP(A5173,[3]DOORSCRIEFT!$A$2:$G$8551,6,FALSE),"")</f>
        <v/>
      </c>
      <c r="G5173" s="315"/>
    </row>
    <row r="5174" spans="1:7" ht="15.75" thickBot="1" x14ac:dyDescent="0.3">
      <c r="A5174" s="314"/>
      <c r="B5174" s="312"/>
      <c r="C5174" s="336"/>
      <c r="D5174" s="312"/>
      <c r="E5174" s="311" t="s">
        <v>644</v>
      </c>
      <c r="F5174" s="310">
        <f>SUM(F5159:F5173)</f>
        <v>0</v>
      </c>
      <c r="G5174" s="309">
        <f>SUM(G5159:G5173)</f>
        <v>0</v>
      </c>
    </row>
    <row r="5175" spans="1:7" x14ac:dyDescent="0.25">
      <c r="C5175" s="335"/>
    </row>
    <row r="5176" spans="1:7" x14ac:dyDescent="0.25">
      <c r="C5176" s="335"/>
    </row>
    <row r="5177" spans="1:7" ht="15.75" x14ac:dyDescent="0.25">
      <c r="C5177" s="334"/>
      <c r="D5177" s="333"/>
      <c r="E5177" s="332"/>
      <c r="F5177" s="327" t="s">
        <v>607</v>
      </c>
      <c r="G5177" s="327" t="s">
        <v>306</v>
      </c>
    </row>
    <row r="5178" spans="1:7" ht="15.75" x14ac:dyDescent="0.25">
      <c r="C5178" s="334"/>
      <c r="D5178" s="333"/>
      <c r="E5178" s="332"/>
      <c r="F5178" s="327" t="s">
        <v>601</v>
      </c>
      <c r="G5178" s="327" t="s">
        <v>22</v>
      </c>
    </row>
    <row r="5179" spans="1:7" x14ac:dyDescent="0.25">
      <c r="C5179" s="330"/>
      <c r="D5179" s="329"/>
      <c r="E5179" s="328"/>
      <c r="F5179" s="327" t="s">
        <v>651</v>
      </c>
      <c r="G5179" s="331">
        <f>[2]Sheet1!$D$185</f>
        <v>0</v>
      </c>
    </row>
    <row r="5180" spans="1:7" ht="15.75" thickBot="1" x14ac:dyDescent="0.3">
      <c r="C5180" s="330"/>
      <c r="D5180" s="329"/>
      <c r="E5180" s="328"/>
      <c r="F5180" s="327" t="s">
        <v>650</v>
      </c>
      <c r="G5180" s="326">
        <f>+F5199-G5179</f>
        <v>736000</v>
      </c>
    </row>
    <row r="5181" spans="1:7" x14ac:dyDescent="0.25">
      <c r="A5181" s="573" t="s">
        <v>626</v>
      </c>
      <c r="B5181" s="584" t="s">
        <v>606</v>
      </c>
      <c r="C5181" s="588" t="s">
        <v>649</v>
      </c>
      <c r="D5181" s="577" t="s">
        <v>648</v>
      </c>
      <c r="E5181" s="577" t="s">
        <v>647</v>
      </c>
      <c r="F5181" s="577" t="s">
        <v>646</v>
      </c>
      <c r="G5181" s="580" t="s">
        <v>645</v>
      </c>
    </row>
    <row r="5182" spans="1:7" ht="15.75" thickBot="1" x14ac:dyDescent="0.3">
      <c r="A5182" s="574"/>
      <c r="B5182" s="585"/>
      <c r="C5182" s="589"/>
      <c r="D5182" s="586"/>
      <c r="E5182" s="586"/>
      <c r="F5182" s="586"/>
      <c r="G5182" s="587"/>
    </row>
    <row r="5183" spans="1:7" ht="15.75" thickBot="1" x14ac:dyDescent="0.3">
      <c r="A5183" s="325">
        <v>1</v>
      </c>
      <c r="B5183" s="324">
        <v>2</v>
      </c>
      <c r="C5183" s="324">
        <v>3</v>
      </c>
      <c r="D5183" s="324">
        <v>4</v>
      </c>
      <c r="E5183" s="324">
        <v>5</v>
      </c>
      <c r="F5183" s="324">
        <v>6</v>
      </c>
      <c r="G5183" s="323">
        <v>7</v>
      </c>
    </row>
    <row r="5184" spans="1:7" x14ac:dyDescent="0.25">
      <c r="A5184" s="320" t="str">
        <f t="shared" ref="A5184:A5198" si="160">$G$5177&amp;B5184</f>
        <v>I.6.1.011</v>
      </c>
      <c r="B5184" s="320">
        <v>1</v>
      </c>
      <c r="C5184" s="319">
        <f>IFERROR(VLOOKUP(A5184,[3]DOORSCRIEFT!$A$2:$G$8551,2,FALSE),"")</f>
        <v>328</v>
      </c>
      <c r="D5184" s="318">
        <f>IFERROR(VLOOKUP(A5184,[3]DOORSCRIEFT!$A$2:$G$8551,3,FALSE),"")</f>
        <v>46089</v>
      </c>
      <c r="E5184" s="317" t="str">
        <f>IFERROR(VLOOKUP(A5184,[3]DOORSCRIEFT!$A$2:$G$8551,4,FALSE),"")</f>
        <v>Kolekta HDS Anak</v>
      </c>
      <c r="F5184" s="316">
        <f>IFERROR(VLOOKUP(A5184,[3]DOORSCRIEFT!$A$2:$G$8551,6,FALSE),"")</f>
        <v>736000</v>
      </c>
      <c r="G5184" s="322"/>
    </row>
    <row r="5185" spans="1:7" x14ac:dyDescent="0.25">
      <c r="A5185" s="320" t="str">
        <f t="shared" si="160"/>
        <v>I.6.1.012</v>
      </c>
      <c r="B5185" s="321">
        <v>2</v>
      </c>
      <c r="C5185" s="319" t="str">
        <f>IFERROR(VLOOKUP(A5185,[3]DOORSCRIEFT!$A$2:$G$8551,2,FALSE),"")</f>
        <v/>
      </c>
      <c r="D5185" s="318" t="str">
        <f>IFERROR(VLOOKUP(A5185,[3]DOORSCRIEFT!$A$2:$G$8551,3,FALSE),"")</f>
        <v/>
      </c>
      <c r="E5185" s="317" t="str">
        <f>IFERROR(VLOOKUP(A5185,[3]DOORSCRIEFT!$A$2:$G$8551,4,FALSE),"")</f>
        <v/>
      </c>
      <c r="F5185" s="316" t="str">
        <f>IFERROR(VLOOKUP(A5185,[3]DOORSCRIEFT!$A$2:$G$8551,6,FALSE),"")</f>
        <v/>
      </c>
      <c r="G5185" s="315"/>
    </row>
    <row r="5186" spans="1:7" x14ac:dyDescent="0.25">
      <c r="A5186" s="320" t="str">
        <f t="shared" si="160"/>
        <v>I.6.1.013</v>
      </c>
      <c r="B5186" s="320">
        <v>3</v>
      </c>
      <c r="C5186" s="319" t="str">
        <f>IFERROR(VLOOKUP(A5186,[3]DOORSCRIEFT!$A$2:$G$8551,2,FALSE),"")</f>
        <v/>
      </c>
      <c r="D5186" s="318" t="str">
        <f>IFERROR(VLOOKUP(A5186,[3]DOORSCRIEFT!$A$2:$G$8551,3,FALSE),"")</f>
        <v/>
      </c>
      <c r="E5186" s="317" t="str">
        <f>IFERROR(VLOOKUP(A5186,[3]DOORSCRIEFT!$A$2:$G$8551,4,FALSE),"")</f>
        <v/>
      </c>
      <c r="F5186" s="316" t="str">
        <f>IFERROR(VLOOKUP(A5186,[3]DOORSCRIEFT!$A$2:$G$8551,6,FALSE),"")</f>
        <v/>
      </c>
      <c r="G5186" s="315"/>
    </row>
    <row r="5187" spans="1:7" x14ac:dyDescent="0.25">
      <c r="A5187" s="320" t="str">
        <f t="shared" si="160"/>
        <v>I.6.1.014</v>
      </c>
      <c r="B5187" s="321">
        <v>4</v>
      </c>
      <c r="C5187" s="319" t="str">
        <f>IFERROR(VLOOKUP(A5187,[3]DOORSCRIEFT!$A$2:$G$8551,2,FALSE),"")</f>
        <v/>
      </c>
      <c r="D5187" s="318" t="str">
        <f>IFERROR(VLOOKUP(A5187,[3]DOORSCRIEFT!$A$2:$G$8551,3,FALSE),"")</f>
        <v/>
      </c>
      <c r="E5187" s="317" t="str">
        <f>IFERROR(VLOOKUP(A5187,[3]DOORSCRIEFT!$A$2:$G$8551,4,FALSE),"")</f>
        <v/>
      </c>
      <c r="F5187" s="316" t="str">
        <f>IFERROR(VLOOKUP(A5187,[3]DOORSCRIEFT!$A$2:$G$8551,6,FALSE),"")</f>
        <v/>
      </c>
      <c r="G5187" s="315"/>
    </row>
    <row r="5188" spans="1:7" x14ac:dyDescent="0.25">
      <c r="A5188" s="320" t="str">
        <f t="shared" si="160"/>
        <v>I.6.1.015</v>
      </c>
      <c r="B5188" s="320">
        <v>5</v>
      </c>
      <c r="C5188" s="319" t="str">
        <f>IFERROR(VLOOKUP(A5188,[3]DOORSCRIEFT!$A$2:$G$8551,2,FALSE),"")</f>
        <v/>
      </c>
      <c r="D5188" s="318" t="str">
        <f>IFERROR(VLOOKUP(A5188,[3]DOORSCRIEFT!$A$2:$G$8551,3,FALSE),"")</f>
        <v/>
      </c>
      <c r="E5188" s="317" t="str">
        <f>IFERROR(VLOOKUP(A5188,[3]DOORSCRIEFT!$A$2:$G$8551,4,FALSE),"")</f>
        <v/>
      </c>
      <c r="F5188" s="316" t="str">
        <f>IFERROR(VLOOKUP(A5188,[3]DOORSCRIEFT!$A$2:$G$8551,6,FALSE),"")</f>
        <v/>
      </c>
      <c r="G5188" s="315"/>
    </row>
    <row r="5189" spans="1:7" x14ac:dyDescent="0.25">
      <c r="A5189" s="320" t="str">
        <f t="shared" si="160"/>
        <v>I.6.1.016</v>
      </c>
      <c r="B5189" s="321">
        <v>6</v>
      </c>
      <c r="C5189" s="319" t="str">
        <f>IFERROR(VLOOKUP(A5189,[3]DOORSCRIEFT!$A$2:$G$8551,2,FALSE),"")</f>
        <v/>
      </c>
      <c r="D5189" s="318" t="str">
        <f>IFERROR(VLOOKUP(A5189,[3]DOORSCRIEFT!$A$2:$G$8551,3,FALSE),"")</f>
        <v/>
      </c>
      <c r="E5189" s="317" t="str">
        <f>IFERROR(VLOOKUP(A5189,[3]DOORSCRIEFT!$A$2:$G$8551,4,FALSE),"")</f>
        <v/>
      </c>
      <c r="F5189" s="316" t="str">
        <f>IFERROR(VLOOKUP(A5189,[3]DOORSCRIEFT!$A$2:$G$8551,6,FALSE),"")</f>
        <v/>
      </c>
      <c r="G5189" s="315"/>
    </row>
    <row r="5190" spans="1:7" x14ac:dyDescent="0.25">
      <c r="A5190" s="320" t="str">
        <f t="shared" si="160"/>
        <v>I.6.1.017</v>
      </c>
      <c r="B5190" s="320">
        <v>7</v>
      </c>
      <c r="C5190" s="319" t="str">
        <f>IFERROR(VLOOKUP(A5190,[3]DOORSCRIEFT!$A$2:$G$8551,2,FALSE),"")</f>
        <v/>
      </c>
      <c r="D5190" s="318" t="str">
        <f>IFERROR(VLOOKUP(A5190,[3]DOORSCRIEFT!$A$2:$G$8551,3,FALSE),"")</f>
        <v/>
      </c>
      <c r="E5190" s="317" t="str">
        <f>IFERROR(VLOOKUP(A5190,[3]DOORSCRIEFT!$A$2:$G$8551,4,FALSE),"")</f>
        <v/>
      </c>
      <c r="F5190" s="316" t="str">
        <f>IFERROR(VLOOKUP(A5190,[3]DOORSCRIEFT!$A$2:$G$8551,6,FALSE),"")</f>
        <v/>
      </c>
      <c r="G5190" s="315"/>
    </row>
    <row r="5191" spans="1:7" x14ac:dyDescent="0.25">
      <c r="A5191" s="320" t="str">
        <f t="shared" si="160"/>
        <v>I.6.1.018</v>
      </c>
      <c r="B5191" s="321">
        <v>8</v>
      </c>
      <c r="C5191" s="319" t="str">
        <f>IFERROR(VLOOKUP(A5191,[3]DOORSCRIEFT!$A$2:$G$8551,2,FALSE),"")</f>
        <v/>
      </c>
      <c r="D5191" s="318" t="str">
        <f>IFERROR(VLOOKUP(A5191,[3]DOORSCRIEFT!$A$2:$G$8551,3,FALSE),"")</f>
        <v/>
      </c>
      <c r="E5191" s="317" t="str">
        <f>IFERROR(VLOOKUP(A5191,[3]DOORSCRIEFT!$A$2:$G$8551,4,FALSE),"")</f>
        <v/>
      </c>
      <c r="F5191" s="316" t="str">
        <f>IFERROR(VLOOKUP(A5191,[3]DOORSCRIEFT!$A$2:$G$8551,6,FALSE),"")</f>
        <v/>
      </c>
      <c r="G5191" s="315"/>
    </row>
    <row r="5192" spans="1:7" x14ac:dyDescent="0.25">
      <c r="A5192" s="320" t="str">
        <f t="shared" si="160"/>
        <v>I.6.1.019</v>
      </c>
      <c r="B5192" s="320">
        <v>9</v>
      </c>
      <c r="C5192" s="319" t="str">
        <f>IFERROR(VLOOKUP(A5192,[3]DOORSCRIEFT!$A$2:$G$8551,2,FALSE),"")</f>
        <v/>
      </c>
      <c r="D5192" s="318" t="str">
        <f>IFERROR(VLOOKUP(A5192,[3]DOORSCRIEFT!$A$2:$G$8551,3,FALSE),"")</f>
        <v/>
      </c>
      <c r="E5192" s="317" t="str">
        <f>IFERROR(VLOOKUP(A5192,[3]DOORSCRIEFT!$A$2:$G$8551,4,FALSE),"")</f>
        <v/>
      </c>
      <c r="F5192" s="316" t="str">
        <f>IFERROR(VLOOKUP(A5192,[3]DOORSCRIEFT!$A$2:$G$8551,6,FALSE),"")</f>
        <v/>
      </c>
      <c r="G5192" s="315"/>
    </row>
    <row r="5193" spans="1:7" x14ac:dyDescent="0.25">
      <c r="A5193" s="320" t="str">
        <f t="shared" si="160"/>
        <v>I.6.1.0110</v>
      </c>
      <c r="B5193" s="321">
        <v>10</v>
      </c>
      <c r="C5193" s="319" t="str">
        <f>IFERROR(VLOOKUP(A5193,[3]DOORSCRIEFT!$A$2:$G$8551,2,FALSE),"")</f>
        <v/>
      </c>
      <c r="D5193" s="318" t="str">
        <f>IFERROR(VLOOKUP(A5193,[3]DOORSCRIEFT!$A$2:$G$8551,3,FALSE),"")</f>
        <v/>
      </c>
      <c r="E5193" s="317" t="str">
        <f>IFERROR(VLOOKUP(A5193,[3]DOORSCRIEFT!$A$2:$G$8551,4,FALSE),"")</f>
        <v/>
      </c>
      <c r="F5193" s="316" t="str">
        <f>IFERROR(VLOOKUP(A5193,[3]DOORSCRIEFT!$A$2:$G$8551,6,FALSE),"")</f>
        <v/>
      </c>
      <c r="G5193" s="315"/>
    </row>
    <row r="5194" spans="1:7" x14ac:dyDescent="0.25">
      <c r="A5194" s="320" t="str">
        <f t="shared" si="160"/>
        <v>I.6.1.0111</v>
      </c>
      <c r="B5194" s="320">
        <v>11</v>
      </c>
      <c r="C5194" s="319" t="str">
        <f>IFERROR(VLOOKUP(A5194,[3]DOORSCRIEFT!$A$2:$G$8551,2,FALSE),"")</f>
        <v/>
      </c>
      <c r="D5194" s="318" t="str">
        <f>IFERROR(VLOOKUP(A5194,[3]DOORSCRIEFT!$A$2:$G$8551,3,FALSE),"")</f>
        <v/>
      </c>
      <c r="E5194" s="317" t="str">
        <f>IFERROR(VLOOKUP(A5194,[3]DOORSCRIEFT!$A$2:$G$8551,4,FALSE),"")</f>
        <v/>
      </c>
      <c r="F5194" s="316" t="str">
        <f>IFERROR(VLOOKUP(A5194,[3]DOORSCRIEFT!$A$2:$G$8551,6,FALSE),"")</f>
        <v/>
      </c>
      <c r="G5194" s="315"/>
    </row>
    <row r="5195" spans="1:7" x14ac:dyDescent="0.25">
      <c r="A5195" s="320" t="str">
        <f t="shared" si="160"/>
        <v>I.6.1.0112</v>
      </c>
      <c r="B5195" s="321">
        <v>12</v>
      </c>
      <c r="C5195" s="319" t="str">
        <f>IFERROR(VLOOKUP(A5195,[3]DOORSCRIEFT!$A$2:$G$8551,2,FALSE),"")</f>
        <v/>
      </c>
      <c r="D5195" s="318" t="str">
        <f>IFERROR(VLOOKUP(A5195,[3]DOORSCRIEFT!$A$2:$G$8551,3,FALSE),"")</f>
        <v/>
      </c>
      <c r="E5195" s="317" t="str">
        <f>IFERROR(VLOOKUP(A5195,[3]DOORSCRIEFT!$A$2:$G$8551,4,FALSE),"")</f>
        <v/>
      </c>
      <c r="F5195" s="316" t="str">
        <f>IFERROR(VLOOKUP(A5195,[3]DOORSCRIEFT!$A$2:$G$8551,6,FALSE),"")</f>
        <v/>
      </c>
      <c r="G5195" s="315"/>
    </row>
    <row r="5196" spans="1:7" x14ac:dyDescent="0.25">
      <c r="A5196" s="320" t="str">
        <f t="shared" si="160"/>
        <v>I.6.1.0113</v>
      </c>
      <c r="B5196" s="320">
        <v>13</v>
      </c>
      <c r="C5196" s="319" t="str">
        <f>IFERROR(VLOOKUP(A5196,[3]DOORSCRIEFT!$A$2:$G$8551,2,FALSE),"")</f>
        <v/>
      </c>
      <c r="D5196" s="318" t="str">
        <f>IFERROR(VLOOKUP(A5196,[3]DOORSCRIEFT!$A$2:$G$8551,3,FALSE),"")</f>
        <v/>
      </c>
      <c r="E5196" s="317" t="str">
        <f>IFERROR(VLOOKUP(A5196,[3]DOORSCRIEFT!$A$2:$G$8551,4,FALSE),"")</f>
        <v/>
      </c>
      <c r="F5196" s="316" t="str">
        <f>IFERROR(VLOOKUP(A5196,[3]DOORSCRIEFT!$A$2:$G$8551,6,FALSE),"")</f>
        <v/>
      </c>
      <c r="G5196" s="315"/>
    </row>
    <row r="5197" spans="1:7" x14ac:dyDescent="0.25">
      <c r="A5197" s="320" t="str">
        <f t="shared" si="160"/>
        <v>I.6.1.0114</v>
      </c>
      <c r="B5197" s="321">
        <v>14</v>
      </c>
      <c r="C5197" s="319" t="str">
        <f>IFERROR(VLOOKUP(A5197,[3]DOORSCRIEFT!$A$2:$G$8551,2,FALSE),"")</f>
        <v/>
      </c>
      <c r="D5197" s="318" t="str">
        <f>IFERROR(VLOOKUP(A5197,[3]DOORSCRIEFT!$A$2:$G$8551,3,FALSE),"")</f>
        <v/>
      </c>
      <c r="E5197" s="317" t="str">
        <f>IFERROR(VLOOKUP(A5197,[3]DOORSCRIEFT!$A$2:$G$8551,4,FALSE),"")</f>
        <v/>
      </c>
      <c r="F5197" s="316" t="str">
        <f>IFERROR(VLOOKUP(A5197,[3]DOORSCRIEFT!$A$2:$G$8551,6,FALSE),"")</f>
        <v/>
      </c>
      <c r="G5197" s="315"/>
    </row>
    <row r="5198" spans="1:7" ht="15.75" thickBot="1" x14ac:dyDescent="0.3">
      <c r="A5198" s="320" t="str">
        <f t="shared" si="160"/>
        <v>I.6.1.0115</v>
      </c>
      <c r="B5198" s="320">
        <v>15</v>
      </c>
      <c r="C5198" s="319" t="str">
        <f>IFERROR(VLOOKUP(A5198,[3]DOORSCRIEFT!$A$2:$G$8551,2,FALSE),"")</f>
        <v/>
      </c>
      <c r="D5198" s="318" t="str">
        <f>IFERROR(VLOOKUP(A5198,[3]DOORSCRIEFT!$A$2:$G$8551,3,FALSE),"")</f>
        <v/>
      </c>
      <c r="E5198" s="317" t="str">
        <f>IFERROR(VLOOKUP(A5198,[3]DOORSCRIEFT!$A$2:$G$8551,4,FALSE),"")</f>
        <v/>
      </c>
      <c r="F5198" s="316" t="str">
        <f>IFERROR(VLOOKUP(A5198,[3]DOORSCRIEFT!$A$2:$G$8551,6,FALSE),"")</f>
        <v/>
      </c>
      <c r="G5198" s="315"/>
    </row>
    <row r="5199" spans="1:7" ht="15.75" thickBot="1" x14ac:dyDescent="0.3">
      <c r="A5199" s="314"/>
      <c r="B5199" s="312"/>
      <c r="C5199" s="336"/>
      <c r="D5199" s="312"/>
      <c r="E5199" s="311" t="s">
        <v>644</v>
      </c>
      <c r="F5199" s="310">
        <f>SUM(F5184:F5198)</f>
        <v>736000</v>
      </c>
      <c r="G5199" s="309">
        <f>SUM(G5184:G5198)</f>
        <v>0</v>
      </c>
    </row>
    <row r="5200" spans="1:7" x14ac:dyDescent="0.25">
      <c r="C5200" s="335"/>
    </row>
    <row r="5201" spans="1:7" x14ac:dyDescent="0.25">
      <c r="C5201" s="335"/>
    </row>
    <row r="5202" spans="1:7" ht="15.75" x14ac:dyDescent="0.25">
      <c r="C5202" s="334"/>
      <c r="D5202" s="333"/>
      <c r="E5202" s="332"/>
      <c r="F5202" s="327" t="s">
        <v>607</v>
      </c>
      <c r="G5202" s="327" t="s">
        <v>305</v>
      </c>
    </row>
    <row r="5203" spans="1:7" ht="15.75" x14ac:dyDescent="0.25">
      <c r="C5203" s="334"/>
      <c r="D5203" s="333"/>
      <c r="E5203" s="332"/>
      <c r="F5203" s="327" t="s">
        <v>601</v>
      </c>
      <c r="G5203" s="327" t="s">
        <v>304</v>
      </c>
    </row>
    <row r="5204" spans="1:7" x14ac:dyDescent="0.25">
      <c r="C5204" s="330"/>
      <c r="D5204" s="329"/>
      <c r="E5204" s="328"/>
      <c r="F5204" s="327" t="s">
        <v>651</v>
      </c>
      <c r="G5204" s="331">
        <f>[2]Sheet1!$D$186</f>
        <v>0</v>
      </c>
    </row>
    <row r="5205" spans="1:7" ht="15.75" thickBot="1" x14ac:dyDescent="0.3">
      <c r="C5205" s="330"/>
      <c r="D5205" s="329"/>
      <c r="E5205" s="328"/>
      <c r="F5205" s="327" t="s">
        <v>650</v>
      </c>
      <c r="G5205" s="326">
        <f>+F5224-G5204</f>
        <v>1210000</v>
      </c>
    </row>
    <row r="5206" spans="1:7" x14ac:dyDescent="0.25">
      <c r="A5206" s="573" t="s">
        <v>626</v>
      </c>
      <c r="B5206" s="584" t="s">
        <v>606</v>
      </c>
      <c r="C5206" s="588" t="s">
        <v>649</v>
      </c>
      <c r="D5206" s="577" t="s">
        <v>648</v>
      </c>
      <c r="E5206" s="577" t="s">
        <v>647</v>
      </c>
      <c r="F5206" s="577" t="s">
        <v>646</v>
      </c>
      <c r="G5206" s="580" t="s">
        <v>645</v>
      </c>
    </row>
    <row r="5207" spans="1:7" ht="15.75" thickBot="1" x14ac:dyDescent="0.3">
      <c r="A5207" s="574"/>
      <c r="B5207" s="585"/>
      <c r="C5207" s="589"/>
      <c r="D5207" s="586"/>
      <c r="E5207" s="586"/>
      <c r="F5207" s="586"/>
      <c r="G5207" s="587"/>
    </row>
    <row r="5208" spans="1:7" ht="15.75" thickBot="1" x14ac:dyDescent="0.3">
      <c r="A5208" s="325">
        <v>1</v>
      </c>
      <c r="B5208" s="324">
        <v>2</v>
      </c>
      <c r="C5208" s="324">
        <v>3</v>
      </c>
      <c r="D5208" s="324">
        <v>4</v>
      </c>
      <c r="E5208" s="324">
        <v>5</v>
      </c>
      <c r="F5208" s="324">
        <v>6</v>
      </c>
      <c r="G5208" s="323">
        <v>7</v>
      </c>
    </row>
    <row r="5209" spans="1:7" x14ac:dyDescent="0.25">
      <c r="A5209" s="320" t="str">
        <f t="shared" ref="A5209:A5223" si="161">$G$5202&amp;B5209</f>
        <v>I.6.1.021</v>
      </c>
      <c r="B5209" s="320">
        <v>1</v>
      </c>
      <c r="C5209" s="319">
        <f>IFERROR(VLOOKUP(A5209,[3]DOORSCRIEFT!$A$2:$G$8551,2,FALSE),"")</f>
        <v>381</v>
      </c>
      <c r="D5209" s="318">
        <f>IFERROR(VLOOKUP(A5209,[3]DOORSCRIEFT!$A$2:$G$8551,3,FALSE),"")</f>
        <v>57419</v>
      </c>
      <c r="E5209" s="317" t="str">
        <f>IFERROR(VLOOKUP(A5209,[3]DOORSCRIEFT!$A$2:$G$8551,4,FALSE),"")</f>
        <v xml:space="preserve">Kolekta HDS Perempuan </v>
      </c>
      <c r="F5209" s="316">
        <f>IFERROR(VLOOKUP(A5209,[3]DOORSCRIEFT!$A$2:$G$8551,6,FALSE),"")</f>
        <v>1210000</v>
      </c>
      <c r="G5209" s="322"/>
    </row>
    <row r="5210" spans="1:7" x14ac:dyDescent="0.25">
      <c r="A5210" s="320" t="str">
        <f t="shared" si="161"/>
        <v>I.6.1.022</v>
      </c>
      <c r="B5210" s="321">
        <v>2</v>
      </c>
      <c r="C5210" s="319" t="str">
        <f>IFERROR(VLOOKUP(A5210,[3]DOORSCRIEFT!$A$2:$G$8551,2,FALSE),"")</f>
        <v/>
      </c>
      <c r="D5210" s="318" t="str">
        <f>IFERROR(VLOOKUP(A5210,[3]DOORSCRIEFT!$A$2:$G$8551,3,FALSE),"")</f>
        <v/>
      </c>
      <c r="E5210" s="317" t="str">
        <f>IFERROR(VLOOKUP(A5210,[3]DOORSCRIEFT!$A$2:$G$8551,4,FALSE),"")</f>
        <v/>
      </c>
      <c r="F5210" s="316" t="str">
        <f>IFERROR(VLOOKUP(A5210,[3]DOORSCRIEFT!$A$2:$G$8551,6,FALSE),"")</f>
        <v/>
      </c>
      <c r="G5210" s="315"/>
    </row>
    <row r="5211" spans="1:7" x14ac:dyDescent="0.25">
      <c r="A5211" s="320" t="str">
        <f t="shared" si="161"/>
        <v>I.6.1.023</v>
      </c>
      <c r="B5211" s="320">
        <v>3</v>
      </c>
      <c r="C5211" s="319" t="str">
        <f>IFERROR(VLOOKUP(A5211,[3]DOORSCRIEFT!$A$2:$G$8551,2,FALSE),"")</f>
        <v/>
      </c>
      <c r="D5211" s="318" t="str">
        <f>IFERROR(VLOOKUP(A5211,[3]DOORSCRIEFT!$A$2:$G$8551,3,FALSE),"")</f>
        <v/>
      </c>
      <c r="E5211" s="317" t="str">
        <f>IFERROR(VLOOKUP(A5211,[3]DOORSCRIEFT!$A$2:$G$8551,4,FALSE),"")</f>
        <v/>
      </c>
      <c r="F5211" s="316" t="str">
        <f>IFERROR(VLOOKUP(A5211,[3]DOORSCRIEFT!$A$2:$G$8551,6,FALSE),"")</f>
        <v/>
      </c>
      <c r="G5211" s="315"/>
    </row>
    <row r="5212" spans="1:7" x14ac:dyDescent="0.25">
      <c r="A5212" s="320" t="str">
        <f t="shared" si="161"/>
        <v>I.6.1.024</v>
      </c>
      <c r="B5212" s="321">
        <v>4</v>
      </c>
      <c r="C5212" s="319" t="str">
        <f>IFERROR(VLOOKUP(A5212,[3]DOORSCRIEFT!$A$2:$G$8551,2,FALSE),"")</f>
        <v/>
      </c>
      <c r="D5212" s="318" t="str">
        <f>IFERROR(VLOOKUP(A5212,[3]DOORSCRIEFT!$A$2:$G$8551,3,FALSE),"")</f>
        <v/>
      </c>
      <c r="E5212" s="317" t="str">
        <f>IFERROR(VLOOKUP(A5212,[3]DOORSCRIEFT!$A$2:$G$8551,4,FALSE),"")</f>
        <v/>
      </c>
      <c r="F5212" s="316" t="str">
        <f>IFERROR(VLOOKUP(A5212,[3]DOORSCRIEFT!$A$2:$G$8551,6,FALSE),"")</f>
        <v/>
      </c>
      <c r="G5212" s="315"/>
    </row>
    <row r="5213" spans="1:7" x14ac:dyDescent="0.25">
      <c r="A5213" s="320" t="str">
        <f t="shared" si="161"/>
        <v>I.6.1.025</v>
      </c>
      <c r="B5213" s="320">
        <v>5</v>
      </c>
      <c r="C5213" s="319" t="str">
        <f>IFERROR(VLOOKUP(A5213,[3]DOORSCRIEFT!$A$2:$G$8551,2,FALSE),"")</f>
        <v/>
      </c>
      <c r="D5213" s="318" t="str">
        <f>IFERROR(VLOOKUP(A5213,[3]DOORSCRIEFT!$A$2:$G$8551,3,FALSE),"")</f>
        <v/>
      </c>
      <c r="E5213" s="317" t="str">
        <f>IFERROR(VLOOKUP(A5213,[3]DOORSCRIEFT!$A$2:$G$8551,4,FALSE),"")</f>
        <v/>
      </c>
      <c r="F5213" s="316" t="str">
        <f>IFERROR(VLOOKUP(A5213,[3]DOORSCRIEFT!$A$2:$G$8551,6,FALSE),"")</f>
        <v/>
      </c>
      <c r="G5213" s="315"/>
    </row>
    <row r="5214" spans="1:7" x14ac:dyDescent="0.25">
      <c r="A5214" s="320" t="str">
        <f t="shared" si="161"/>
        <v>I.6.1.026</v>
      </c>
      <c r="B5214" s="321">
        <v>6</v>
      </c>
      <c r="C5214" s="319" t="str">
        <f>IFERROR(VLOOKUP(A5214,[3]DOORSCRIEFT!$A$2:$G$8551,2,FALSE),"")</f>
        <v/>
      </c>
      <c r="D5214" s="318" t="str">
        <f>IFERROR(VLOOKUP(A5214,[3]DOORSCRIEFT!$A$2:$G$8551,3,FALSE),"")</f>
        <v/>
      </c>
      <c r="E5214" s="317" t="str">
        <f>IFERROR(VLOOKUP(A5214,[3]DOORSCRIEFT!$A$2:$G$8551,4,FALSE),"")</f>
        <v/>
      </c>
      <c r="F5214" s="316" t="str">
        <f>IFERROR(VLOOKUP(A5214,[3]DOORSCRIEFT!$A$2:$G$8551,6,FALSE),"")</f>
        <v/>
      </c>
      <c r="G5214" s="315"/>
    </row>
    <row r="5215" spans="1:7" x14ac:dyDescent="0.25">
      <c r="A5215" s="320" t="str">
        <f t="shared" si="161"/>
        <v>I.6.1.027</v>
      </c>
      <c r="B5215" s="320">
        <v>7</v>
      </c>
      <c r="C5215" s="319" t="str">
        <f>IFERROR(VLOOKUP(A5215,[3]DOORSCRIEFT!$A$2:$G$8551,2,FALSE),"")</f>
        <v/>
      </c>
      <c r="D5215" s="318" t="str">
        <f>IFERROR(VLOOKUP(A5215,[3]DOORSCRIEFT!$A$2:$G$8551,3,FALSE),"")</f>
        <v/>
      </c>
      <c r="E5215" s="317" t="str">
        <f>IFERROR(VLOOKUP(A5215,[3]DOORSCRIEFT!$A$2:$G$8551,4,FALSE),"")</f>
        <v/>
      </c>
      <c r="F5215" s="316" t="str">
        <f>IFERROR(VLOOKUP(A5215,[3]DOORSCRIEFT!$A$2:$G$8551,6,FALSE),"")</f>
        <v/>
      </c>
      <c r="G5215" s="315"/>
    </row>
    <row r="5216" spans="1:7" x14ac:dyDescent="0.25">
      <c r="A5216" s="320" t="str">
        <f t="shared" si="161"/>
        <v>I.6.1.028</v>
      </c>
      <c r="B5216" s="321">
        <v>8</v>
      </c>
      <c r="C5216" s="319" t="str">
        <f>IFERROR(VLOOKUP(A5216,[3]DOORSCRIEFT!$A$2:$G$8551,2,FALSE),"")</f>
        <v/>
      </c>
      <c r="D5216" s="318" t="str">
        <f>IFERROR(VLOOKUP(A5216,[3]DOORSCRIEFT!$A$2:$G$8551,3,FALSE),"")</f>
        <v/>
      </c>
      <c r="E5216" s="317" t="str">
        <f>IFERROR(VLOOKUP(A5216,[3]DOORSCRIEFT!$A$2:$G$8551,4,FALSE),"")</f>
        <v/>
      </c>
      <c r="F5216" s="316" t="str">
        <f>IFERROR(VLOOKUP(A5216,[3]DOORSCRIEFT!$A$2:$G$8551,6,FALSE),"")</f>
        <v/>
      </c>
      <c r="G5216" s="315"/>
    </row>
    <row r="5217" spans="1:7" x14ac:dyDescent="0.25">
      <c r="A5217" s="320" t="str">
        <f t="shared" si="161"/>
        <v>I.6.1.029</v>
      </c>
      <c r="B5217" s="320">
        <v>9</v>
      </c>
      <c r="C5217" s="319" t="str">
        <f>IFERROR(VLOOKUP(A5217,[3]DOORSCRIEFT!$A$2:$G$8551,2,FALSE),"")</f>
        <v/>
      </c>
      <c r="D5217" s="318" t="str">
        <f>IFERROR(VLOOKUP(A5217,[3]DOORSCRIEFT!$A$2:$G$8551,3,FALSE),"")</f>
        <v/>
      </c>
      <c r="E5217" s="317" t="str">
        <f>IFERROR(VLOOKUP(A5217,[3]DOORSCRIEFT!$A$2:$G$8551,4,FALSE),"")</f>
        <v/>
      </c>
      <c r="F5217" s="316" t="str">
        <f>IFERROR(VLOOKUP(A5217,[3]DOORSCRIEFT!$A$2:$G$8551,6,FALSE),"")</f>
        <v/>
      </c>
      <c r="G5217" s="315"/>
    </row>
    <row r="5218" spans="1:7" x14ac:dyDescent="0.25">
      <c r="A5218" s="320" t="str">
        <f t="shared" si="161"/>
        <v>I.6.1.0210</v>
      </c>
      <c r="B5218" s="321">
        <v>10</v>
      </c>
      <c r="C5218" s="319" t="str">
        <f>IFERROR(VLOOKUP(A5218,[3]DOORSCRIEFT!$A$2:$G$8551,2,FALSE),"")</f>
        <v/>
      </c>
      <c r="D5218" s="318" t="str">
        <f>IFERROR(VLOOKUP(A5218,[3]DOORSCRIEFT!$A$2:$G$8551,3,FALSE),"")</f>
        <v/>
      </c>
      <c r="E5218" s="317" t="str">
        <f>IFERROR(VLOOKUP(A5218,[3]DOORSCRIEFT!$A$2:$G$8551,4,FALSE),"")</f>
        <v/>
      </c>
      <c r="F5218" s="316" t="str">
        <f>IFERROR(VLOOKUP(A5218,[3]DOORSCRIEFT!$A$2:$G$8551,6,FALSE),"")</f>
        <v/>
      </c>
      <c r="G5218" s="315"/>
    </row>
    <row r="5219" spans="1:7" x14ac:dyDescent="0.25">
      <c r="A5219" s="320" t="str">
        <f t="shared" si="161"/>
        <v>I.6.1.0211</v>
      </c>
      <c r="B5219" s="320">
        <v>11</v>
      </c>
      <c r="C5219" s="319" t="str">
        <f>IFERROR(VLOOKUP(A5219,[3]DOORSCRIEFT!$A$2:$G$8551,2,FALSE),"")</f>
        <v/>
      </c>
      <c r="D5219" s="318" t="str">
        <f>IFERROR(VLOOKUP(A5219,[3]DOORSCRIEFT!$A$2:$G$8551,3,FALSE),"")</f>
        <v/>
      </c>
      <c r="E5219" s="317" t="str">
        <f>IFERROR(VLOOKUP(A5219,[3]DOORSCRIEFT!$A$2:$G$8551,4,FALSE),"")</f>
        <v/>
      </c>
      <c r="F5219" s="316" t="str">
        <f>IFERROR(VLOOKUP(A5219,[3]DOORSCRIEFT!$A$2:$G$8551,6,FALSE),"")</f>
        <v/>
      </c>
      <c r="G5219" s="315"/>
    </row>
    <row r="5220" spans="1:7" x14ac:dyDescent="0.25">
      <c r="A5220" s="320" t="str">
        <f t="shared" si="161"/>
        <v>I.6.1.0212</v>
      </c>
      <c r="B5220" s="321">
        <v>12</v>
      </c>
      <c r="C5220" s="319" t="str">
        <f>IFERROR(VLOOKUP(A5220,[3]DOORSCRIEFT!$A$2:$G$8551,2,FALSE),"")</f>
        <v/>
      </c>
      <c r="D5220" s="318" t="str">
        <f>IFERROR(VLOOKUP(A5220,[3]DOORSCRIEFT!$A$2:$G$8551,3,FALSE),"")</f>
        <v/>
      </c>
      <c r="E5220" s="317" t="str">
        <f>IFERROR(VLOOKUP(A5220,[3]DOORSCRIEFT!$A$2:$G$8551,4,FALSE),"")</f>
        <v/>
      </c>
      <c r="F5220" s="316" t="str">
        <f>IFERROR(VLOOKUP(A5220,[3]DOORSCRIEFT!$A$2:$G$8551,6,FALSE),"")</f>
        <v/>
      </c>
      <c r="G5220" s="315"/>
    </row>
    <row r="5221" spans="1:7" x14ac:dyDescent="0.25">
      <c r="A5221" s="320" t="str">
        <f t="shared" si="161"/>
        <v>I.6.1.0213</v>
      </c>
      <c r="B5221" s="320">
        <v>13</v>
      </c>
      <c r="C5221" s="319" t="str">
        <f>IFERROR(VLOOKUP(A5221,[3]DOORSCRIEFT!$A$2:$G$8551,2,FALSE),"")</f>
        <v/>
      </c>
      <c r="D5221" s="318" t="str">
        <f>IFERROR(VLOOKUP(A5221,[3]DOORSCRIEFT!$A$2:$G$8551,3,FALSE),"")</f>
        <v/>
      </c>
      <c r="E5221" s="317" t="str">
        <f>IFERROR(VLOOKUP(A5221,[3]DOORSCRIEFT!$A$2:$G$8551,4,FALSE),"")</f>
        <v/>
      </c>
      <c r="F5221" s="316" t="str">
        <f>IFERROR(VLOOKUP(A5221,[3]DOORSCRIEFT!$A$2:$G$8551,6,FALSE),"")</f>
        <v/>
      </c>
      <c r="G5221" s="315"/>
    </row>
    <row r="5222" spans="1:7" x14ac:dyDescent="0.25">
      <c r="A5222" s="320" t="str">
        <f t="shared" si="161"/>
        <v>I.6.1.0214</v>
      </c>
      <c r="B5222" s="321">
        <v>14</v>
      </c>
      <c r="C5222" s="319" t="str">
        <f>IFERROR(VLOOKUP(A5222,[3]DOORSCRIEFT!$A$2:$G$8551,2,FALSE),"")</f>
        <v/>
      </c>
      <c r="D5222" s="318" t="str">
        <f>IFERROR(VLOOKUP(A5222,[3]DOORSCRIEFT!$A$2:$G$8551,3,FALSE),"")</f>
        <v/>
      </c>
      <c r="E5222" s="317" t="str">
        <f>IFERROR(VLOOKUP(A5222,[3]DOORSCRIEFT!$A$2:$G$8551,4,FALSE),"")</f>
        <v/>
      </c>
      <c r="F5222" s="316" t="str">
        <f>IFERROR(VLOOKUP(A5222,[3]DOORSCRIEFT!$A$2:$G$8551,6,FALSE),"")</f>
        <v/>
      </c>
      <c r="G5222" s="315"/>
    </row>
    <row r="5223" spans="1:7" ht="15.75" thickBot="1" x14ac:dyDescent="0.3">
      <c r="A5223" s="320" t="str">
        <f t="shared" si="161"/>
        <v>I.6.1.0215</v>
      </c>
      <c r="B5223" s="320">
        <v>15</v>
      </c>
      <c r="C5223" s="319" t="str">
        <f>IFERROR(VLOOKUP(A5223,[3]DOORSCRIEFT!$A$2:$G$8551,2,FALSE),"")</f>
        <v/>
      </c>
      <c r="D5223" s="318" t="str">
        <f>IFERROR(VLOOKUP(A5223,[3]DOORSCRIEFT!$A$2:$G$8551,3,FALSE),"")</f>
        <v/>
      </c>
      <c r="E5223" s="317" t="str">
        <f>IFERROR(VLOOKUP(A5223,[3]DOORSCRIEFT!$A$2:$G$8551,4,FALSE),"")</f>
        <v/>
      </c>
      <c r="F5223" s="316" t="str">
        <f>IFERROR(VLOOKUP(A5223,[3]DOORSCRIEFT!$A$2:$G$8551,6,FALSE),"")</f>
        <v/>
      </c>
      <c r="G5223" s="315"/>
    </row>
    <row r="5224" spans="1:7" ht="15.75" thickBot="1" x14ac:dyDescent="0.3">
      <c r="A5224" s="314"/>
      <c r="B5224" s="312"/>
      <c r="C5224" s="336"/>
      <c r="D5224" s="312"/>
      <c r="E5224" s="311" t="s">
        <v>644</v>
      </c>
      <c r="F5224" s="310">
        <f>SUM(F5209:F5223)</f>
        <v>1210000</v>
      </c>
      <c r="G5224" s="309">
        <f>SUM(G5209:G5223)</f>
        <v>0</v>
      </c>
    </row>
    <row r="5225" spans="1:7" x14ac:dyDescent="0.25">
      <c r="C5225" s="335"/>
    </row>
    <row r="5226" spans="1:7" x14ac:dyDescent="0.25">
      <c r="C5226" s="335"/>
    </row>
    <row r="5227" spans="1:7" ht="15.75" x14ac:dyDescent="0.25">
      <c r="C5227" s="334"/>
      <c r="D5227" s="333"/>
      <c r="E5227" s="332"/>
      <c r="F5227" s="327" t="s">
        <v>607</v>
      </c>
      <c r="G5227" s="327" t="s">
        <v>303</v>
      </c>
    </row>
    <row r="5228" spans="1:7" ht="15.75" x14ac:dyDescent="0.25">
      <c r="C5228" s="334"/>
      <c r="D5228" s="333"/>
      <c r="E5228" s="332"/>
      <c r="F5228" s="327" t="s">
        <v>601</v>
      </c>
      <c r="G5228" s="327" t="s">
        <v>302</v>
      </c>
    </row>
    <row r="5229" spans="1:7" x14ac:dyDescent="0.25">
      <c r="C5229" s="330"/>
      <c r="D5229" s="329"/>
      <c r="E5229" s="328"/>
      <c r="F5229" s="327" t="s">
        <v>651</v>
      </c>
      <c r="G5229" s="331">
        <f>[2]Sheet1!$D$187</f>
        <v>0</v>
      </c>
    </row>
    <row r="5230" spans="1:7" ht="15.75" thickBot="1" x14ac:dyDescent="0.3">
      <c r="C5230" s="330"/>
      <c r="D5230" s="329"/>
      <c r="E5230" s="328"/>
      <c r="F5230" s="327" t="s">
        <v>650</v>
      </c>
      <c r="G5230" s="326">
        <f>+F5249-G5229</f>
        <v>0</v>
      </c>
    </row>
    <row r="5231" spans="1:7" x14ac:dyDescent="0.25">
      <c r="A5231" s="573" t="s">
        <v>626</v>
      </c>
      <c r="B5231" s="584" t="s">
        <v>606</v>
      </c>
      <c r="C5231" s="588" t="s">
        <v>649</v>
      </c>
      <c r="D5231" s="577" t="s">
        <v>648</v>
      </c>
      <c r="E5231" s="577" t="s">
        <v>647</v>
      </c>
      <c r="F5231" s="577" t="s">
        <v>646</v>
      </c>
      <c r="G5231" s="580" t="s">
        <v>645</v>
      </c>
    </row>
    <row r="5232" spans="1:7" ht="15.75" thickBot="1" x14ac:dyDescent="0.3">
      <c r="A5232" s="574"/>
      <c r="B5232" s="585"/>
      <c r="C5232" s="589"/>
      <c r="D5232" s="586"/>
      <c r="E5232" s="586"/>
      <c r="F5232" s="586"/>
      <c r="G5232" s="587"/>
    </row>
    <row r="5233" spans="1:7" ht="15.75" thickBot="1" x14ac:dyDescent="0.3">
      <c r="A5233" s="325">
        <v>1</v>
      </c>
      <c r="B5233" s="324">
        <v>2</v>
      </c>
      <c r="C5233" s="324">
        <v>3</v>
      </c>
      <c r="D5233" s="324">
        <v>4</v>
      </c>
      <c r="E5233" s="324">
        <v>5</v>
      </c>
      <c r="F5233" s="324">
        <v>6</v>
      </c>
      <c r="G5233" s="323">
        <v>7</v>
      </c>
    </row>
    <row r="5234" spans="1:7" x14ac:dyDescent="0.25">
      <c r="A5234" s="320" t="str">
        <f t="shared" ref="A5234:A5248" si="162">$G$5227&amp;B5234</f>
        <v>I.6.1.031</v>
      </c>
      <c r="B5234" s="320">
        <v>1</v>
      </c>
      <c r="C5234" s="319" t="str">
        <f>IFERROR(VLOOKUP(A5234,[3]DOORSCRIEFT!$A$2:$G$8551,2,FALSE),"")</f>
        <v/>
      </c>
      <c r="D5234" s="318" t="str">
        <f>IFERROR(VLOOKUP(A5234,[3]DOORSCRIEFT!$A$2:$G$8551,3,FALSE),"")</f>
        <v/>
      </c>
      <c r="E5234" s="317" t="str">
        <f>IFERROR(VLOOKUP(A5234,[3]DOORSCRIEFT!$A$2:$G$8551,4,FALSE),"")</f>
        <v/>
      </c>
      <c r="F5234" s="316" t="str">
        <f>IFERROR(VLOOKUP(A5234,[3]DOORSCRIEFT!$A$2:$G$8551,6,FALSE),"")</f>
        <v/>
      </c>
      <c r="G5234" s="322"/>
    </row>
    <row r="5235" spans="1:7" x14ac:dyDescent="0.25">
      <c r="A5235" s="320" t="str">
        <f t="shared" si="162"/>
        <v>I.6.1.032</v>
      </c>
      <c r="B5235" s="321">
        <v>2</v>
      </c>
      <c r="C5235" s="319" t="str">
        <f>IFERROR(VLOOKUP(A5235,[3]DOORSCRIEFT!$A$2:$G$8551,2,FALSE),"")</f>
        <v/>
      </c>
      <c r="D5235" s="318" t="str">
        <f>IFERROR(VLOOKUP(A5235,[3]DOORSCRIEFT!$A$2:$G$8551,3,FALSE),"")</f>
        <v/>
      </c>
      <c r="E5235" s="317" t="str">
        <f>IFERROR(VLOOKUP(A5235,[3]DOORSCRIEFT!$A$2:$G$8551,4,FALSE),"")</f>
        <v/>
      </c>
      <c r="F5235" s="316" t="str">
        <f>IFERROR(VLOOKUP(A5235,[3]DOORSCRIEFT!$A$2:$G$8551,6,FALSE),"")</f>
        <v/>
      </c>
      <c r="G5235" s="315"/>
    </row>
    <row r="5236" spans="1:7" x14ac:dyDescent="0.25">
      <c r="A5236" s="320" t="str">
        <f t="shared" si="162"/>
        <v>I.6.1.033</v>
      </c>
      <c r="B5236" s="320">
        <v>3</v>
      </c>
      <c r="C5236" s="319" t="str">
        <f>IFERROR(VLOOKUP(A5236,[3]DOORSCRIEFT!$A$2:$G$8551,2,FALSE),"")</f>
        <v/>
      </c>
      <c r="D5236" s="318" t="str">
        <f>IFERROR(VLOOKUP(A5236,[3]DOORSCRIEFT!$A$2:$G$8551,3,FALSE),"")</f>
        <v/>
      </c>
      <c r="E5236" s="317" t="str">
        <f>IFERROR(VLOOKUP(A5236,[3]DOORSCRIEFT!$A$2:$G$8551,4,FALSE),"")</f>
        <v/>
      </c>
      <c r="F5236" s="316" t="str">
        <f>IFERROR(VLOOKUP(A5236,[3]DOORSCRIEFT!$A$2:$G$8551,6,FALSE),"")</f>
        <v/>
      </c>
      <c r="G5236" s="315"/>
    </row>
    <row r="5237" spans="1:7" x14ac:dyDescent="0.25">
      <c r="A5237" s="320" t="str">
        <f t="shared" si="162"/>
        <v>I.6.1.034</v>
      </c>
      <c r="B5237" s="321">
        <v>4</v>
      </c>
      <c r="C5237" s="319" t="str">
        <f>IFERROR(VLOOKUP(A5237,[3]DOORSCRIEFT!$A$2:$G$8551,2,FALSE),"")</f>
        <v/>
      </c>
      <c r="D5237" s="318" t="str">
        <f>IFERROR(VLOOKUP(A5237,[3]DOORSCRIEFT!$A$2:$G$8551,3,FALSE),"")</f>
        <v/>
      </c>
      <c r="E5237" s="317" t="str">
        <f>IFERROR(VLOOKUP(A5237,[3]DOORSCRIEFT!$A$2:$G$8551,4,FALSE),"")</f>
        <v/>
      </c>
      <c r="F5237" s="316" t="str">
        <f>IFERROR(VLOOKUP(A5237,[3]DOORSCRIEFT!$A$2:$G$8551,6,FALSE),"")</f>
        <v/>
      </c>
      <c r="G5237" s="315"/>
    </row>
    <row r="5238" spans="1:7" x14ac:dyDescent="0.25">
      <c r="A5238" s="320" t="str">
        <f t="shared" si="162"/>
        <v>I.6.1.035</v>
      </c>
      <c r="B5238" s="320">
        <v>5</v>
      </c>
      <c r="C5238" s="319" t="str">
        <f>IFERROR(VLOOKUP(A5238,[3]DOORSCRIEFT!$A$2:$G$8551,2,FALSE),"")</f>
        <v/>
      </c>
      <c r="D5238" s="318" t="str">
        <f>IFERROR(VLOOKUP(A5238,[3]DOORSCRIEFT!$A$2:$G$8551,3,FALSE),"")</f>
        <v/>
      </c>
      <c r="E5238" s="317" t="str">
        <f>IFERROR(VLOOKUP(A5238,[3]DOORSCRIEFT!$A$2:$G$8551,4,FALSE),"")</f>
        <v/>
      </c>
      <c r="F5238" s="316" t="str">
        <f>IFERROR(VLOOKUP(A5238,[3]DOORSCRIEFT!$A$2:$G$8551,6,FALSE),"")</f>
        <v/>
      </c>
      <c r="G5238" s="315"/>
    </row>
    <row r="5239" spans="1:7" x14ac:dyDescent="0.25">
      <c r="A5239" s="320" t="str">
        <f t="shared" si="162"/>
        <v>I.6.1.036</v>
      </c>
      <c r="B5239" s="321">
        <v>6</v>
      </c>
      <c r="C5239" s="319" t="str">
        <f>IFERROR(VLOOKUP(A5239,[3]DOORSCRIEFT!$A$2:$G$8551,2,FALSE),"")</f>
        <v/>
      </c>
      <c r="D5239" s="318" t="str">
        <f>IFERROR(VLOOKUP(A5239,[3]DOORSCRIEFT!$A$2:$G$8551,3,FALSE),"")</f>
        <v/>
      </c>
      <c r="E5239" s="317" t="str">
        <f>IFERROR(VLOOKUP(A5239,[3]DOORSCRIEFT!$A$2:$G$8551,4,FALSE),"")</f>
        <v/>
      </c>
      <c r="F5239" s="316" t="str">
        <f>IFERROR(VLOOKUP(A5239,[3]DOORSCRIEFT!$A$2:$G$8551,6,FALSE),"")</f>
        <v/>
      </c>
      <c r="G5239" s="315"/>
    </row>
    <row r="5240" spans="1:7" x14ac:dyDescent="0.25">
      <c r="A5240" s="320" t="str">
        <f t="shared" si="162"/>
        <v>I.6.1.037</v>
      </c>
      <c r="B5240" s="320">
        <v>7</v>
      </c>
      <c r="C5240" s="319" t="str">
        <f>IFERROR(VLOOKUP(A5240,[3]DOORSCRIEFT!$A$2:$G$8551,2,FALSE),"")</f>
        <v/>
      </c>
      <c r="D5240" s="318" t="str">
        <f>IFERROR(VLOOKUP(A5240,[3]DOORSCRIEFT!$A$2:$G$8551,3,FALSE),"")</f>
        <v/>
      </c>
      <c r="E5240" s="317" t="str">
        <f>IFERROR(VLOOKUP(A5240,[3]DOORSCRIEFT!$A$2:$G$8551,4,FALSE),"")</f>
        <v/>
      </c>
      <c r="F5240" s="316" t="str">
        <f>IFERROR(VLOOKUP(A5240,[3]DOORSCRIEFT!$A$2:$G$8551,6,FALSE),"")</f>
        <v/>
      </c>
      <c r="G5240" s="315"/>
    </row>
    <row r="5241" spans="1:7" x14ac:dyDescent="0.25">
      <c r="A5241" s="320" t="str">
        <f t="shared" si="162"/>
        <v>I.6.1.038</v>
      </c>
      <c r="B5241" s="321">
        <v>8</v>
      </c>
      <c r="C5241" s="319" t="str">
        <f>IFERROR(VLOOKUP(A5241,[3]DOORSCRIEFT!$A$2:$G$8551,2,FALSE),"")</f>
        <v/>
      </c>
      <c r="D5241" s="318" t="str">
        <f>IFERROR(VLOOKUP(A5241,[3]DOORSCRIEFT!$A$2:$G$8551,3,FALSE),"")</f>
        <v/>
      </c>
      <c r="E5241" s="317" t="str">
        <f>IFERROR(VLOOKUP(A5241,[3]DOORSCRIEFT!$A$2:$G$8551,4,FALSE),"")</f>
        <v/>
      </c>
      <c r="F5241" s="316" t="str">
        <f>IFERROR(VLOOKUP(A5241,[3]DOORSCRIEFT!$A$2:$G$8551,6,FALSE),"")</f>
        <v/>
      </c>
      <c r="G5241" s="315"/>
    </row>
    <row r="5242" spans="1:7" x14ac:dyDescent="0.25">
      <c r="A5242" s="320" t="str">
        <f t="shared" si="162"/>
        <v>I.6.1.039</v>
      </c>
      <c r="B5242" s="320">
        <v>9</v>
      </c>
      <c r="C5242" s="319" t="str">
        <f>IFERROR(VLOOKUP(A5242,[3]DOORSCRIEFT!$A$2:$G$8551,2,FALSE),"")</f>
        <v/>
      </c>
      <c r="D5242" s="318" t="str">
        <f>IFERROR(VLOOKUP(A5242,[3]DOORSCRIEFT!$A$2:$G$8551,3,FALSE),"")</f>
        <v/>
      </c>
      <c r="E5242" s="317" t="str">
        <f>IFERROR(VLOOKUP(A5242,[3]DOORSCRIEFT!$A$2:$G$8551,4,FALSE),"")</f>
        <v/>
      </c>
      <c r="F5242" s="316" t="str">
        <f>IFERROR(VLOOKUP(A5242,[3]DOORSCRIEFT!$A$2:$G$8551,6,FALSE),"")</f>
        <v/>
      </c>
      <c r="G5242" s="315"/>
    </row>
    <row r="5243" spans="1:7" x14ac:dyDescent="0.25">
      <c r="A5243" s="320" t="str">
        <f t="shared" si="162"/>
        <v>I.6.1.0310</v>
      </c>
      <c r="B5243" s="321">
        <v>10</v>
      </c>
      <c r="C5243" s="319" t="str">
        <f>IFERROR(VLOOKUP(A5243,[3]DOORSCRIEFT!$A$2:$G$8551,2,FALSE),"")</f>
        <v/>
      </c>
      <c r="D5243" s="318" t="str">
        <f>IFERROR(VLOOKUP(A5243,[3]DOORSCRIEFT!$A$2:$G$8551,3,FALSE),"")</f>
        <v/>
      </c>
      <c r="E5243" s="317" t="str">
        <f>IFERROR(VLOOKUP(A5243,[3]DOORSCRIEFT!$A$2:$G$8551,4,FALSE),"")</f>
        <v/>
      </c>
      <c r="F5243" s="316" t="str">
        <f>IFERROR(VLOOKUP(A5243,[3]DOORSCRIEFT!$A$2:$G$8551,6,FALSE),"")</f>
        <v/>
      </c>
      <c r="G5243" s="315"/>
    </row>
    <row r="5244" spans="1:7" x14ac:dyDescent="0.25">
      <c r="A5244" s="320" t="str">
        <f t="shared" si="162"/>
        <v>I.6.1.0311</v>
      </c>
      <c r="B5244" s="320">
        <v>11</v>
      </c>
      <c r="C5244" s="319" t="str">
        <f>IFERROR(VLOOKUP(A5244,[3]DOORSCRIEFT!$A$2:$G$8551,2,FALSE),"")</f>
        <v/>
      </c>
      <c r="D5244" s="318" t="str">
        <f>IFERROR(VLOOKUP(A5244,[3]DOORSCRIEFT!$A$2:$G$8551,3,FALSE),"")</f>
        <v/>
      </c>
      <c r="E5244" s="317" t="str">
        <f>IFERROR(VLOOKUP(A5244,[3]DOORSCRIEFT!$A$2:$G$8551,4,FALSE),"")</f>
        <v/>
      </c>
      <c r="F5244" s="316" t="str">
        <f>IFERROR(VLOOKUP(A5244,[3]DOORSCRIEFT!$A$2:$G$8551,6,FALSE),"")</f>
        <v/>
      </c>
      <c r="G5244" s="315"/>
    </row>
    <row r="5245" spans="1:7" x14ac:dyDescent="0.25">
      <c r="A5245" s="320" t="str">
        <f t="shared" si="162"/>
        <v>I.6.1.0312</v>
      </c>
      <c r="B5245" s="321">
        <v>12</v>
      </c>
      <c r="C5245" s="319" t="str">
        <f>IFERROR(VLOOKUP(A5245,[3]DOORSCRIEFT!$A$2:$G$8551,2,FALSE),"")</f>
        <v/>
      </c>
      <c r="D5245" s="318" t="str">
        <f>IFERROR(VLOOKUP(A5245,[3]DOORSCRIEFT!$A$2:$G$8551,3,FALSE),"")</f>
        <v/>
      </c>
      <c r="E5245" s="317" t="str">
        <f>IFERROR(VLOOKUP(A5245,[3]DOORSCRIEFT!$A$2:$G$8551,4,FALSE),"")</f>
        <v/>
      </c>
      <c r="F5245" s="316" t="str">
        <f>IFERROR(VLOOKUP(A5245,[3]DOORSCRIEFT!$A$2:$G$8551,6,FALSE),"")</f>
        <v/>
      </c>
      <c r="G5245" s="315"/>
    </row>
    <row r="5246" spans="1:7" x14ac:dyDescent="0.25">
      <c r="A5246" s="320" t="str">
        <f t="shared" si="162"/>
        <v>I.6.1.0313</v>
      </c>
      <c r="B5246" s="320">
        <v>13</v>
      </c>
      <c r="C5246" s="319" t="str">
        <f>IFERROR(VLOOKUP(A5246,[3]DOORSCRIEFT!$A$2:$G$8551,2,FALSE),"")</f>
        <v/>
      </c>
      <c r="D5246" s="318" t="str">
        <f>IFERROR(VLOOKUP(A5246,[3]DOORSCRIEFT!$A$2:$G$8551,3,FALSE),"")</f>
        <v/>
      </c>
      <c r="E5246" s="317" t="str">
        <f>IFERROR(VLOOKUP(A5246,[3]DOORSCRIEFT!$A$2:$G$8551,4,FALSE),"")</f>
        <v/>
      </c>
      <c r="F5246" s="316" t="str">
        <f>IFERROR(VLOOKUP(A5246,[3]DOORSCRIEFT!$A$2:$G$8551,6,FALSE),"")</f>
        <v/>
      </c>
      <c r="G5246" s="315"/>
    </row>
    <row r="5247" spans="1:7" x14ac:dyDescent="0.25">
      <c r="A5247" s="320" t="str">
        <f t="shared" si="162"/>
        <v>I.6.1.0314</v>
      </c>
      <c r="B5247" s="321">
        <v>14</v>
      </c>
      <c r="C5247" s="319" t="str">
        <f>IFERROR(VLOOKUP(A5247,[3]DOORSCRIEFT!$A$2:$G$8551,2,FALSE),"")</f>
        <v/>
      </c>
      <c r="D5247" s="318" t="str">
        <f>IFERROR(VLOOKUP(A5247,[3]DOORSCRIEFT!$A$2:$G$8551,3,FALSE),"")</f>
        <v/>
      </c>
      <c r="E5247" s="317" t="str">
        <f>IFERROR(VLOOKUP(A5247,[3]DOORSCRIEFT!$A$2:$G$8551,4,FALSE),"")</f>
        <v/>
      </c>
      <c r="F5247" s="316" t="str">
        <f>IFERROR(VLOOKUP(A5247,[3]DOORSCRIEFT!$A$2:$G$8551,6,FALSE),"")</f>
        <v/>
      </c>
      <c r="G5247" s="315"/>
    </row>
    <row r="5248" spans="1:7" ht="15.75" thickBot="1" x14ac:dyDescent="0.3">
      <c r="A5248" s="320" t="str">
        <f t="shared" si="162"/>
        <v>I.6.1.0315</v>
      </c>
      <c r="B5248" s="320">
        <v>15</v>
      </c>
      <c r="C5248" s="319" t="str">
        <f>IFERROR(VLOOKUP(A5248,[3]DOORSCRIEFT!$A$2:$G$8551,2,FALSE),"")</f>
        <v/>
      </c>
      <c r="D5248" s="318" t="str">
        <f>IFERROR(VLOOKUP(A5248,[3]DOORSCRIEFT!$A$2:$G$8551,3,FALSE),"")</f>
        <v/>
      </c>
      <c r="E5248" s="317" t="str">
        <f>IFERROR(VLOOKUP(A5248,[3]DOORSCRIEFT!$A$2:$G$8551,4,FALSE),"")</f>
        <v/>
      </c>
      <c r="F5248" s="316" t="str">
        <f>IFERROR(VLOOKUP(A5248,[3]DOORSCRIEFT!$A$2:$G$8551,6,FALSE),"")</f>
        <v/>
      </c>
      <c r="G5248" s="315"/>
    </row>
    <row r="5249" spans="1:7" ht="15.75" thickBot="1" x14ac:dyDescent="0.3">
      <c r="A5249" s="314"/>
      <c r="B5249" s="312"/>
      <c r="C5249" s="336"/>
      <c r="D5249" s="312"/>
      <c r="E5249" s="311" t="s">
        <v>644</v>
      </c>
      <c r="F5249" s="310">
        <f>SUM(F5234:F5248)</f>
        <v>0</v>
      </c>
      <c r="G5249" s="309">
        <f>SUM(G5234:G5248)</f>
        <v>0</v>
      </c>
    </row>
    <row r="5250" spans="1:7" x14ac:dyDescent="0.25">
      <c r="C5250" s="335"/>
    </row>
    <row r="5251" spans="1:7" x14ac:dyDescent="0.25">
      <c r="C5251" s="335"/>
    </row>
    <row r="5252" spans="1:7" ht="15.75" x14ac:dyDescent="0.25">
      <c r="C5252" s="334"/>
      <c r="D5252" s="333"/>
      <c r="E5252" s="332"/>
      <c r="F5252" s="327" t="s">
        <v>607</v>
      </c>
      <c r="G5252" s="327" t="s">
        <v>301</v>
      </c>
    </row>
    <row r="5253" spans="1:7" ht="15.75" x14ac:dyDescent="0.25">
      <c r="C5253" s="334"/>
      <c r="D5253" s="333"/>
      <c r="E5253" s="332"/>
      <c r="F5253" s="327" t="s">
        <v>601</v>
      </c>
      <c r="G5253" s="327" t="s">
        <v>16</v>
      </c>
    </row>
    <row r="5254" spans="1:7" x14ac:dyDescent="0.25">
      <c r="C5254" s="330"/>
      <c r="D5254" s="329"/>
      <c r="E5254" s="328"/>
      <c r="F5254" s="327" t="s">
        <v>651</v>
      </c>
      <c r="G5254" s="331">
        <f>[2]Sheet1!$D$188</f>
        <v>0</v>
      </c>
    </row>
    <row r="5255" spans="1:7" ht="15.75" thickBot="1" x14ac:dyDescent="0.3">
      <c r="C5255" s="330"/>
      <c r="D5255" s="329"/>
      <c r="E5255" s="328"/>
      <c r="F5255" s="327" t="s">
        <v>650</v>
      </c>
      <c r="G5255" s="326">
        <f>+F5274-G5254</f>
        <v>0</v>
      </c>
    </row>
    <row r="5256" spans="1:7" x14ac:dyDescent="0.25">
      <c r="A5256" s="573" t="s">
        <v>626</v>
      </c>
      <c r="B5256" s="584" t="s">
        <v>606</v>
      </c>
      <c r="C5256" s="588" t="s">
        <v>649</v>
      </c>
      <c r="D5256" s="577" t="s">
        <v>648</v>
      </c>
      <c r="E5256" s="577" t="s">
        <v>647</v>
      </c>
      <c r="F5256" s="577" t="s">
        <v>646</v>
      </c>
      <c r="G5256" s="580" t="s">
        <v>645</v>
      </c>
    </row>
    <row r="5257" spans="1:7" ht="15.75" thickBot="1" x14ac:dyDescent="0.3">
      <c r="A5257" s="574"/>
      <c r="B5257" s="585"/>
      <c r="C5257" s="589"/>
      <c r="D5257" s="586"/>
      <c r="E5257" s="586"/>
      <c r="F5257" s="586"/>
      <c r="G5257" s="587"/>
    </row>
    <row r="5258" spans="1:7" ht="15.75" thickBot="1" x14ac:dyDescent="0.3">
      <c r="A5258" s="325">
        <v>1</v>
      </c>
      <c r="B5258" s="324">
        <v>2</v>
      </c>
      <c r="C5258" s="324">
        <v>3</v>
      </c>
      <c r="D5258" s="324">
        <v>4</v>
      </c>
      <c r="E5258" s="324">
        <v>5</v>
      </c>
      <c r="F5258" s="324">
        <v>6</v>
      </c>
      <c r="G5258" s="323">
        <v>7</v>
      </c>
    </row>
    <row r="5259" spans="1:7" x14ac:dyDescent="0.25">
      <c r="A5259" s="320" t="str">
        <f t="shared" ref="A5259:A5273" si="163">$G$5252&amp;B5259</f>
        <v>I.6.1.041</v>
      </c>
      <c r="B5259" s="320">
        <v>1</v>
      </c>
      <c r="C5259" s="319" t="str">
        <f>IFERROR(VLOOKUP(A5259,[3]DOORSCRIEFT!$A$2:$G$8551,2,FALSE),"")</f>
        <v/>
      </c>
      <c r="D5259" s="318" t="str">
        <f>IFERROR(VLOOKUP(A5259,[3]DOORSCRIEFT!$A$2:$G$8551,3,FALSE),"")</f>
        <v/>
      </c>
      <c r="E5259" s="317" t="str">
        <f>IFERROR(VLOOKUP(A5259,[3]DOORSCRIEFT!$A$2:$G$8551,4,FALSE),"")</f>
        <v/>
      </c>
      <c r="F5259" s="316" t="str">
        <f>IFERROR(VLOOKUP(A5259,[3]DOORSCRIEFT!$A$2:$G$8551,6,FALSE),"")</f>
        <v/>
      </c>
      <c r="G5259" s="322"/>
    </row>
    <row r="5260" spans="1:7" x14ac:dyDescent="0.25">
      <c r="A5260" s="320" t="str">
        <f t="shared" si="163"/>
        <v>I.6.1.042</v>
      </c>
      <c r="B5260" s="321">
        <v>2</v>
      </c>
      <c r="C5260" s="319" t="str">
        <f>IFERROR(VLOOKUP(A5260,[3]DOORSCRIEFT!$A$2:$G$8551,2,FALSE),"")</f>
        <v/>
      </c>
      <c r="D5260" s="318" t="str">
        <f>IFERROR(VLOOKUP(A5260,[3]DOORSCRIEFT!$A$2:$G$8551,3,FALSE),"")</f>
        <v/>
      </c>
      <c r="E5260" s="317" t="str">
        <f>IFERROR(VLOOKUP(A5260,[3]DOORSCRIEFT!$A$2:$G$8551,4,FALSE),"")</f>
        <v/>
      </c>
      <c r="F5260" s="316" t="str">
        <f>IFERROR(VLOOKUP(A5260,[3]DOORSCRIEFT!$A$2:$G$8551,6,FALSE),"")</f>
        <v/>
      </c>
      <c r="G5260" s="315"/>
    </row>
    <row r="5261" spans="1:7" x14ac:dyDescent="0.25">
      <c r="A5261" s="320" t="str">
        <f t="shared" si="163"/>
        <v>I.6.1.043</v>
      </c>
      <c r="B5261" s="320">
        <v>3</v>
      </c>
      <c r="C5261" s="319" t="str">
        <f>IFERROR(VLOOKUP(A5261,[3]DOORSCRIEFT!$A$2:$G$8551,2,FALSE),"")</f>
        <v/>
      </c>
      <c r="D5261" s="318" t="str">
        <f>IFERROR(VLOOKUP(A5261,[3]DOORSCRIEFT!$A$2:$G$8551,3,FALSE),"")</f>
        <v/>
      </c>
      <c r="E5261" s="317" t="str">
        <f>IFERROR(VLOOKUP(A5261,[3]DOORSCRIEFT!$A$2:$G$8551,4,FALSE),"")</f>
        <v/>
      </c>
      <c r="F5261" s="316" t="str">
        <f>IFERROR(VLOOKUP(A5261,[3]DOORSCRIEFT!$A$2:$G$8551,6,FALSE),"")</f>
        <v/>
      </c>
      <c r="G5261" s="315"/>
    </row>
    <row r="5262" spans="1:7" x14ac:dyDescent="0.25">
      <c r="A5262" s="320" t="str">
        <f t="shared" si="163"/>
        <v>I.6.1.044</v>
      </c>
      <c r="B5262" s="321">
        <v>4</v>
      </c>
      <c r="C5262" s="319" t="str">
        <f>IFERROR(VLOOKUP(A5262,[3]DOORSCRIEFT!$A$2:$G$8551,2,FALSE),"")</f>
        <v/>
      </c>
      <c r="D5262" s="318" t="str">
        <f>IFERROR(VLOOKUP(A5262,[3]DOORSCRIEFT!$A$2:$G$8551,3,FALSE),"")</f>
        <v/>
      </c>
      <c r="E5262" s="317" t="str">
        <f>IFERROR(VLOOKUP(A5262,[3]DOORSCRIEFT!$A$2:$G$8551,4,FALSE),"")</f>
        <v/>
      </c>
      <c r="F5262" s="316" t="str">
        <f>IFERROR(VLOOKUP(A5262,[3]DOORSCRIEFT!$A$2:$G$8551,6,FALSE),"")</f>
        <v/>
      </c>
      <c r="G5262" s="315"/>
    </row>
    <row r="5263" spans="1:7" x14ac:dyDescent="0.25">
      <c r="A5263" s="320" t="str">
        <f t="shared" si="163"/>
        <v>I.6.1.045</v>
      </c>
      <c r="B5263" s="320">
        <v>5</v>
      </c>
      <c r="C5263" s="319" t="str">
        <f>IFERROR(VLOOKUP(A5263,[3]DOORSCRIEFT!$A$2:$G$8551,2,FALSE),"")</f>
        <v/>
      </c>
      <c r="D5263" s="318" t="str">
        <f>IFERROR(VLOOKUP(A5263,[3]DOORSCRIEFT!$A$2:$G$8551,3,FALSE),"")</f>
        <v/>
      </c>
      <c r="E5263" s="317" t="str">
        <f>IFERROR(VLOOKUP(A5263,[3]DOORSCRIEFT!$A$2:$G$8551,4,FALSE),"")</f>
        <v/>
      </c>
      <c r="F5263" s="316" t="str">
        <f>IFERROR(VLOOKUP(A5263,[3]DOORSCRIEFT!$A$2:$G$8551,6,FALSE),"")</f>
        <v/>
      </c>
      <c r="G5263" s="315"/>
    </row>
    <row r="5264" spans="1:7" x14ac:dyDescent="0.25">
      <c r="A5264" s="320" t="str">
        <f t="shared" si="163"/>
        <v>I.6.1.046</v>
      </c>
      <c r="B5264" s="321">
        <v>6</v>
      </c>
      <c r="C5264" s="319" t="str">
        <f>IFERROR(VLOOKUP(A5264,[3]DOORSCRIEFT!$A$2:$G$8551,2,FALSE),"")</f>
        <v/>
      </c>
      <c r="D5264" s="318" t="str">
        <f>IFERROR(VLOOKUP(A5264,[3]DOORSCRIEFT!$A$2:$G$8551,3,FALSE),"")</f>
        <v/>
      </c>
      <c r="E5264" s="317" t="str">
        <f>IFERROR(VLOOKUP(A5264,[3]DOORSCRIEFT!$A$2:$G$8551,4,FALSE),"")</f>
        <v/>
      </c>
      <c r="F5264" s="316" t="str">
        <f>IFERROR(VLOOKUP(A5264,[3]DOORSCRIEFT!$A$2:$G$8551,6,FALSE),"")</f>
        <v/>
      </c>
      <c r="G5264" s="315"/>
    </row>
    <row r="5265" spans="1:7" x14ac:dyDescent="0.25">
      <c r="A5265" s="320" t="str">
        <f t="shared" si="163"/>
        <v>I.6.1.047</v>
      </c>
      <c r="B5265" s="320">
        <v>7</v>
      </c>
      <c r="C5265" s="319" t="str">
        <f>IFERROR(VLOOKUP(A5265,[3]DOORSCRIEFT!$A$2:$G$8551,2,FALSE),"")</f>
        <v/>
      </c>
      <c r="D5265" s="318" t="str">
        <f>IFERROR(VLOOKUP(A5265,[3]DOORSCRIEFT!$A$2:$G$8551,3,FALSE),"")</f>
        <v/>
      </c>
      <c r="E5265" s="317" t="str">
        <f>IFERROR(VLOOKUP(A5265,[3]DOORSCRIEFT!$A$2:$G$8551,4,FALSE),"")</f>
        <v/>
      </c>
      <c r="F5265" s="316" t="str">
        <f>IFERROR(VLOOKUP(A5265,[3]DOORSCRIEFT!$A$2:$G$8551,6,FALSE),"")</f>
        <v/>
      </c>
      <c r="G5265" s="315"/>
    </row>
    <row r="5266" spans="1:7" x14ac:dyDescent="0.25">
      <c r="A5266" s="320" t="str">
        <f t="shared" si="163"/>
        <v>I.6.1.048</v>
      </c>
      <c r="B5266" s="321">
        <v>8</v>
      </c>
      <c r="C5266" s="319" t="str">
        <f>IFERROR(VLOOKUP(A5266,[3]DOORSCRIEFT!$A$2:$G$8551,2,FALSE),"")</f>
        <v/>
      </c>
      <c r="D5266" s="318" t="str">
        <f>IFERROR(VLOOKUP(A5266,[3]DOORSCRIEFT!$A$2:$G$8551,3,FALSE),"")</f>
        <v/>
      </c>
      <c r="E5266" s="317" t="str">
        <f>IFERROR(VLOOKUP(A5266,[3]DOORSCRIEFT!$A$2:$G$8551,4,FALSE),"")</f>
        <v/>
      </c>
      <c r="F5266" s="316" t="str">
        <f>IFERROR(VLOOKUP(A5266,[3]DOORSCRIEFT!$A$2:$G$8551,6,FALSE),"")</f>
        <v/>
      </c>
      <c r="G5266" s="315"/>
    </row>
    <row r="5267" spans="1:7" x14ac:dyDescent="0.25">
      <c r="A5267" s="320" t="str">
        <f t="shared" si="163"/>
        <v>I.6.1.049</v>
      </c>
      <c r="B5267" s="320">
        <v>9</v>
      </c>
      <c r="C5267" s="319" t="str">
        <f>IFERROR(VLOOKUP(A5267,[3]DOORSCRIEFT!$A$2:$G$8551,2,FALSE),"")</f>
        <v/>
      </c>
      <c r="D5267" s="318" t="str">
        <f>IFERROR(VLOOKUP(A5267,[3]DOORSCRIEFT!$A$2:$G$8551,3,FALSE),"")</f>
        <v/>
      </c>
      <c r="E5267" s="317" t="str">
        <f>IFERROR(VLOOKUP(A5267,[3]DOORSCRIEFT!$A$2:$G$8551,4,FALSE),"")</f>
        <v/>
      </c>
      <c r="F5267" s="316" t="str">
        <f>IFERROR(VLOOKUP(A5267,[3]DOORSCRIEFT!$A$2:$G$8551,6,FALSE),"")</f>
        <v/>
      </c>
      <c r="G5267" s="315"/>
    </row>
    <row r="5268" spans="1:7" x14ac:dyDescent="0.25">
      <c r="A5268" s="320" t="str">
        <f t="shared" si="163"/>
        <v>I.6.1.0410</v>
      </c>
      <c r="B5268" s="321">
        <v>10</v>
      </c>
      <c r="C5268" s="319" t="str">
        <f>IFERROR(VLOOKUP(A5268,[3]DOORSCRIEFT!$A$2:$G$8551,2,FALSE),"")</f>
        <v/>
      </c>
      <c r="D5268" s="318" t="str">
        <f>IFERROR(VLOOKUP(A5268,[3]DOORSCRIEFT!$A$2:$G$8551,3,FALSE),"")</f>
        <v/>
      </c>
      <c r="E5268" s="317" t="str">
        <f>IFERROR(VLOOKUP(A5268,[3]DOORSCRIEFT!$A$2:$G$8551,4,FALSE),"")</f>
        <v/>
      </c>
      <c r="F5268" s="316" t="str">
        <f>IFERROR(VLOOKUP(A5268,[3]DOORSCRIEFT!$A$2:$G$8551,6,FALSE),"")</f>
        <v/>
      </c>
      <c r="G5268" s="315"/>
    </row>
    <row r="5269" spans="1:7" x14ac:dyDescent="0.25">
      <c r="A5269" s="320" t="str">
        <f t="shared" si="163"/>
        <v>I.6.1.0411</v>
      </c>
      <c r="B5269" s="320">
        <v>11</v>
      </c>
      <c r="C5269" s="319" t="str">
        <f>IFERROR(VLOOKUP(A5269,[3]DOORSCRIEFT!$A$2:$G$8551,2,FALSE),"")</f>
        <v/>
      </c>
      <c r="D5269" s="318" t="str">
        <f>IFERROR(VLOOKUP(A5269,[3]DOORSCRIEFT!$A$2:$G$8551,3,FALSE),"")</f>
        <v/>
      </c>
      <c r="E5269" s="317" t="str">
        <f>IFERROR(VLOOKUP(A5269,[3]DOORSCRIEFT!$A$2:$G$8551,4,FALSE),"")</f>
        <v/>
      </c>
      <c r="F5269" s="316" t="str">
        <f>IFERROR(VLOOKUP(A5269,[3]DOORSCRIEFT!$A$2:$G$8551,6,FALSE),"")</f>
        <v/>
      </c>
      <c r="G5269" s="315"/>
    </row>
    <row r="5270" spans="1:7" x14ac:dyDescent="0.25">
      <c r="A5270" s="320" t="str">
        <f t="shared" si="163"/>
        <v>I.6.1.0412</v>
      </c>
      <c r="B5270" s="321">
        <v>12</v>
      </c>
      <c r="C5270" s="319" t="str">
        <f>IFERROR(VLOOKUP(A5270,[3]DOORSCRIEFT!$A$2:$G$8551,2,FALSE),"")</f>
        <v/>
      </c>
      <c r="D5270" s="318" t="str">
        <f>IFERROR(VLOOKUP(A5270,[3]DOORSCRIEFT!$A$2:$G$8551,3,FALSE),"")</f>
        <v/>
      </c>
      <c r="E5270" s="317" t="str">
        <f>IFERROR(VLOOKUP(A5270,[3]DOORSCRIEFT!$A$2:$G$8551,4,FALSE),"")</f>
        <v/>
      </c>
      <c r="F5270" s="316" t="str">
        <f>IFERROR(VLOOKUP(A5270,[3]DOORSCRIEFT!$A$2:$G$8551,6,FALSE),"")</f>
        <v/>
      </c>
      <c r="G5270" s="315"/>
    </row>
    <row r="5271" spans="1:7" x14ac:dyDescent="0.25">
      <c r="A5271" s="320" t="str">
        <f t="shared" si="163"/>
        <v>I.6.1.0413</v>
      </c>
      <c r="B5271" s="320">
        <v>13</v>
      </c>
      <c r="C5271" s="319" t="str">
        <f>IFERROR(VLOOKUP(A5271,[3]DOORSCRIEFT!$A$2:$G$8551,2,FALSE),"")</f>
        <v/>
      </c>
      <c r="D5271" s="318" t="str">
        <f>IFERROR(VLOOKUP(A5271,[3]DOORSCRIEFT!$A$2:$G$8551,3,FALSE),"")</f>
        <v/>
      </c>
      <c r="E5271" s="317" t="str">
        <f>IFERROR(VLOOKUP(A5271,[3]DOORSCRIEFT!$A$2:$G$8551,4,FALSE),"")</f>
        <v/>
      </c>
      <c r="F5271" s="316" t="str">
        <f>IFERROR(VLOOKUP(A5271,[3]DOORSCRIEFT!$A$2:$G$8551,6,FALSE),"")</f>
        <v/>
      </c>
      <c r="G5271" s="315"/>
    </row>
    <row r="5272" spans="1:7" x14ac:dyDescent="0.25">
      <c r="A5272" s="320" t="str">
        <f t="shared" si="163"/>
        <v>I.6.1.0414</v>
      </c>
      <c r="B5272" s="321">
        <v>14</v>
      </c>
      <c r="C5272" s="319" t="str">
        <f>IFERROR(VLOOKUP(A5272,[3]DOORSCRIEFT!$A$2:$G$8551,2,FALSE),"")</f>
        <v/>
      </c>
      <c r="D5272" s="318" t="str">
        <f>IFERROR(VLOOKUP(A5272,[3]DOORSCRIEFT!$A$2:$G$8551,3,FALSE),"")</f>
        <v/>
      </c>
      <c r="E5272" s="317" t="str">
        <f>IFERROR(VLOOKUP(A5272,[3]DOORSCRIEFT!$A$2:$G$8551,4,FALSE),"")</f>
        <v/>
      </c>
      <c r="F5272" s="316" t="str">
        <f>IFERROR(VLOOKUP(A5272,[3]DOORSCRIEFT!$A$2:$G$8551,6,FALSE),"")</f>
        <v/>
      </c>
      <c r="G5272" s="315"/>
    </row>
    <row r="5273" spans="1:7" ht="15.75" thickBot="1" x14ac:dyDescent="0.3">
      <c r="A5273" s="320" t="str">
        <f t="shared" si="163"/>
        <v>I.6.1.0415</v>
      </c>
      <c r="B5273" s="320">
        <v>15</v>
      </c>
      <c r="C5273" s="319" t="str">
        <f>IFERROR(VLOOKUP(A5273,[3]DOORSCRIEFT!$A$2:$G$8551,2,FALSE),"")</f>
        <v/>
      </c>
      <c r="D5273" s="318" t="str">
        <f>IFERROR(VLOOKUP(A5273,[3]DOORSCRIEFT!$A$2:$G$8551,3,FALSE),"")</f>
        <v/>
      </c>
      <c r="E5273" s="317" t="str">
        <f>IFERROR(VLOOKUP(A5273,[3]DOORSCRIEFT!$A$2:$G$8551,4,FALSE),"")</f>
        <v/>
      </c>
      <c r="F5273" s="316" t="str">
        <f>IFERROR(VLOOKUP(A5273,[3]DOORSCRIEFT!$A$2:$G$8551,6,FALSE),"")</f>
        <v/>
      </c>
      <c r="G5273" s="315"/>
    </row>
    <row r="5274" spans="1:7" ht="15.75" thickBot="1" x14ac:dyDescent="0.3">
      <c r="A5274" s="314"/>
      <c r="B5274" s="312"/>
      <c r="C5274" s="336"/>
      <c r="D5274" s="312"/>
      <c r="E5274" s="311" t="s">
        <v>644</v>
      </c>
      <c r="F5274" s="310">
        <f>SUM(F5259:F5273)</f>
        <v>0</v>
      </c>
      <c r="G5274" s="309">
        <f>SUM(G5259:G5273)</f>
        <v>0</v>
      </c>
    </row>
    <row r="5275" spans="1:7" x14ac:dyDescent="0.25">
      <c r="C5275" s="335"/>
    </row>
    <row r="5276" spans="1:7" x14ac:dyDescent="0.25">
      <c r="C5276" s="335"/>
    </row>
    <row r="5277" spans="1:7" ht="15.75" x14ac:dyDescent="0.25">
      <c r="C5277" s="334"/>
      <c r="D5277" s="333"/>
      <c r="E5277" s="332"/>
      <c r="F5277" s="327" t="s">
        <v>607</v>
      </c>
      <c r="G5277" s="327" t="s">
        <v>300</v>
      </c>
    </row>
    <row r="5278" spans="1:7" ht="15.75" x14ac:dyDescent="0.25">
      <c r="C5278" s="334"/>
      <c r="D5278" s="333"/>
      <c r="E5278" s="332"/>
      <c r="F5278" s="327" t="s">
        <v>601</v>
      </c>
      <c r="G5278" s="327" t="s">
        <v>14</v>
      </c>
    </row>
    <row r="5279" spans="1:7" x14ac:dyDescent="0.25">
      <c r="C5279" s="330"/>
      <c r="D5279" s="329"/>
      <c r="E5279" s="328"/>
      <c r="F5279" s="327" t="s">
        <v>651</v>
      </c>
      <c r="G5279" s="331">
        <f>[2]Sheet1!$D$189</f>
        <v>0</v>
      </c>
    </row>
    <row r="5280" spans="1:7" ht="15.75" thickBot="1" x14ac:dyDescent="0.3">
      <c r="C5280" s="330"/>
      <c r="D5280" s="329"/>
      <c r="E5280" s="328"/>
      <c r="F5280" s="327" t="s">
        <v>650</v>
      </c>
      <c r="G5280" s="326">
        <f>+F5299-G5279</f>
        <v>0</v>
      </c>
    </row>
    <row r="5281" spans="1:7" x14ac:dyDescent="0.25">
      <c r="A5281" s="573" t="s">
        <v>626</v>
      </c>
      <c r="B5281" s="584" t="s">
        <v>606</v>
      </c>
      <c r="C5281" s="588" t="s">
        <v>649</v>
      </c>
      <c r="D5281" s="577" t="s">
        <v>648</v>
      </c>
      <c r="E5281" s="577" t="s">
        <v>647</v>
      </c>
      <c r="F5281" s="577" t="s">
        <v>646</v>
      </c>
      <c r="G5281" s="580" t="s">
        <v>645</v>
      </c>
    </row>
    <row r="5282" spans="1:7" ht="15.75" thickBot="1" x14ac:dyDescent="0.3">
      <c r="A5282" s="574"/>
      <c r="B5282" s="585"/>
      <c r="C5282" s="589"/>
      <c r="D5282" s="586"/>
      <c r="E5282" s="586"/>
      <c r="F5282" s="586"/>
      <c r="G5282" s="587"/>
    </row>
    <row r="5283" spans="1:7" ht="15.75" thickBot="1" x14ac:dyDescent="0.3">
      <c r="A5283" s="325">
        <v>1</v>
      </c>
      <c r="B5283" s="324">
        <v>2</v>
      </c>
      <c r="C5283" s="324">
        <v>3</v>
      </c>
      <c r="D5283" s="324">
        <v>4</v>
      </c>
      <c r="E5283" s="324">
        <v>5</v>
      </c>
      <c r="F5283" s="324">
        <v>6</v>
      </c>
      <c r="G5283" s="323">
        <v>7</v>
      </c>
    </row>
    <row r="5284" spans="1:7" x14ac:dyDescent="0.25">
      <c r="A5284" s="320" t="str">
        <f t="shared" ref="A5284:A5298" si="164">$G$5277&amp;B5284</f>
        <v>I.6.1.051</v>
      </c>
      <c r="B5284" s="320">
        <v>1</v>
      </c>
      <c r="C5284" s="319" t="str">
        <f>IFERROR(VLOOKUP(A5284,[3]DOORSCRIEFT!$A$2:$G$8551,2,FALSE),"")</f>
        <v/>
      </c>
      <c r="D5284" s="318" t="str">
        <f>IFERROR(VLOOKUP(A5284,[3]DOORSCRIEFT!$A$2:$G$8551,3,FALSE),"")</f>
        <v/>
      </c>
      <c r="E5284" s="317" t="str">
        <f>IFERROR(VLOOKUP(A5284,[3]DOORSCRIEFT!$A$2:$G$8551,4,FALSE),"")</f>
        <v/>
      </c>
      <c r="F5284" s="316" t="str">
        <f>IFERROR(VLOOKUP(A5284,[3]DOORSCRIEFT!$A$2:$G$8551,6,FALSE),"")</f>
        <v/>
      </c>
      <c r="G5284" s="322"/>
    </row>
    <row r="5285" spans="1:7" x14ac:dyDescent="0.25">
      <c r="A5285" s="320" t="str">
        <f t="shared" si="164"/>
        <v>I.6.1.052</v>
      </c>
      <c r="B5285" s="321">
        <v>2</v>
      </c>
      <c r="C5285" s="319" t="str">
        <f>IFERROR(VLOOKUP(A5285,[3]DOORSCRIEFT!$A$2:$G$8551,2,FALSE),"")</f>
        <v/>
      </c>
      <c r="D5285" s="318" t="str">
        <f>IFERROR(VLOOKUP(A5285,[3]DOORSCRIEFT!$A$2:$G$8551,3,FALSE),"")</f>
        <v/>
      </c>
      <c r="E5285" s="317" t="str">
        <f>IFERROR(VLOOKUP(A5285,[3]DOORSCRIEFT!$A$2:$G$8551,4,FALSE),"")</f>
        <v/>
      </c>
      <c r="F5285" s="316" t="str">
        <f>IFERROR(VLOOKUP(A5285,[3]DOORSCRIEFT!$A$2:$G$8551,6,FALSE),"")</f>
        <v/>
      </c>
      <c r="G5285" s="315"/>
    </row>
    <row r="5286" spans="1:7" x14ac:dyDescent="0.25">
      <c r="A5286" s="320" t="str">
        <f t="shared" si="164"/>
        <v>I.6.1.053</v>
      </c>
      <c r="B5286" s="320">
        <v>3</v>
      </c>
      <c r="C5286" s="319" t="str">
        <f>IFERROR(VLOOKUP(A5286,[3]DOORSCRIEFT!$A$2:$G$8551,2,FALSE),"")</f>
        <v/>
      </c>
      <c r="D5286" s="318" t="str">
        <f>IFERROR(VLOOKUP(A5286,[3]DOORSCRIEFT!$A$2:$G$8551,3,FALSE),"")</f>
        <v/>
      </c>
      <c r="E5286" s="317" t="str">
        <f>IFERROR(VLOOKUP(A5286,[3]DOORSCRIEFT!$A$2:$G$8551,4,FALSE),"")</f>
        <v/>
      </c>
      <c r="F5286" s="316" t="str">
        <f>IFERROR(VLOOKUP(A5286,[3]DOORSCRIEFT!$A$2:$G$8551,6,FALSE),"")</f>
        <v/>
      </c>
      <c r="G5286" s="315"/>
    </row>
    <row r="5287" spans="1:7" x14ac:dyDescent="0.25">
      <c r="A5287" s="320" t="str">
        <f t="shared" si="164"/>
        <v>I.6.1.054</v>
      </c>
      <c r="B5287" s="321">
        <v>4</v>
      </c>
      <c r="C5287" s="319" t="str">
        <f>IFERROR(VLOOKUP(A5287,[3]DOORSCRIEFT!$A$2:$G$8551,2,FALSE),"")</f>
        <v/>
      </c>
      <c r="D5287" s="318" t="str">
        <f>IFERROR(VLOOKUP(A5287,[3]DOORSCRIEFT!$A$2:$G$8551,3,FALSE),"")</f>
        <v/>
      </c>
      <c r="E5287" s="317" t="str">
        <f>IFERROR(VLOOKUP(A5287,[3]DOORSCRIEFT!$A$2:$G$8551,4,FALSE),"")</f>
        <v/>
      </c>
      <c r="F5287" s="316" t="str">
        <f>IFERROR(VLOOKUP(A5287,[3]DOORSCRIEFT!$A$2:$G$8551,6,FALSE),"")</f>
        <v/>
      </c>
      <c r="G5287" s="315"/>
    </row>
    <row r="5288" spans="1:7" x14ac:dyDescent="0.25">
      <c r="A5288" s="320" t="str">
        <f t="shared" si="164"/>
        <v>I.6.1.055</v>
      </c>
      <c r="B5288" s="320">
        <v>5</v>
      </c>
      <c r="C5288" s="319" t="str">
        <f>IFERROR(VLOOKUP(A5288,[3]DOORSCRIEFT!$A$2:$G$8551,2,FALSE),"")</f>
        <v/>
      </c>
      <c r="D5288" s="318" t="str">
        <f>IFERROR(VLOOKUP(A5288,[3]DOORSCRIEFT!$A$2:$G$8551,3,FALSE),"")</f>
        <v/>
      </c>
      <c r="E5288" s="317" t="str">
        <f>IFERROR(VLOOKUP(A5288,[3]DOORSCRIEFT!$A$2:$G$8551,4,FALSE),"")</f>
        <v/>
      </c>
      <c r="F5288" s="316" t="str">
        <f>IFERROR(VLOOKUP(A5288,[3]DOORSCRIEFT!$A$2:$G$8551,6,FALSE),"")</f>
        <v/>
      </c>
      <c r="G5288" s="315"/>
    </row>
    <row r="5289" spans="1:7" x14ac:dyDescent="0.25">
      <c r="A5289" s="320" t="str">
        <f t="shared" si="164"/>
        <v>I.6.1.056</v>
      </c>
      <c r="B5289" s="321">
        <v>6</v>
      </c>
      <c r="C5289" s="319" t="str">
        <f>IFERROR(VLOOKUP(A5289,[3]DOORSCRIEFT!$A$2:$G$8551,2,FALSE),"")</f>
        <v/>
      </c>
      <c r="D5289" s="318" t="str">
        <f>IFERROR(VLOOKUP(A5289,[3]DOORSCRIEFT!$A$2:$G$8551,3,FALSE),"")</f>
        <v/>
      </c>
      <c r="E5289" s="317" t="str">
        <f>IFERROR(VLOOKUP(A5289,[3]DOORSCRIEFT!$A$2:$G$8551,4,FALSE),"")</f>
        <v/>
      </c>
      <c r="F5289" s="316" t="str">
        <f>IFERROR(VLOOKUP(A5289,[3]DOORSCRIEFT!$A$2:$G$8551,6,FALSE),"")</f>
        <v/>
      </c>
      <c r="G5289" s="315"/>
    </row>
    <row r="5290" spans="1:7" x14ac:dyDescent="0.25">
      <c r="A5290" s="320" t="str">
        <f t="shared" si="164"/>
        <v>I.6.1.057</v>
      </c>
      <c r="B5290" s="320">
        <v>7</v>
      </c>
      <c r="C5290" s="319" t="str">
        <f>IFERROR(VLOOKUP(A5290,[3]DOORSCRIEFT!$A$2:$G$8551,2,FALSE),"")</f>
        <v/>
      </c>
      <c r="D5290" s="318" t="str">
        <f>IFERROR(VLOOKUP(A5290,[3]DOORSCRIEFT!$A$2:$G$8551,3,FALSE),"")</f>
        <v/>
      </c>
      <c r="E5290" s="317" t="str">
        <f>IFERROR(VLOOKUP(A5290,[3]DOORSCRIEFT!$A$2:$G$8551,4,FALSE),"")</f>
        <v/>
      </c>
      <c r="F5290" s="316" t="str">
        <f>IFERROR(VLOOKUP(A5290,[3]DOORSCRIEFT!$A$2:$G$8551,6,FALSE),"")</f>
        <v/>
      </c>
      <c r="G5290" s="315"/>
    </row>
    <row r="5291" spans="1:7" x14ac:dyDescent="0.25">
      <c r="A5291" s="320" t="str">
        <f t="shared" si="164"/>
        <v>I.6.1.058</v>
      </c>
      <c r="B5291" s="321">
        <v>8</v>
      </c>
      <c r="C5291" s="319" t="str">
        <f>IFERROR(VLOOKUP(A5291,[3]DOORSCRIEFT!$A$2:$G$8551,2,FALSE),"")</f>
        <v/>
      </c>
      <c r="D5291" s="318" t="str">
        <f>IFERROR(VLOOKUP(A5291,[3]DOORSCRIEFT!$A$2:$G$8551,3,FALSE),"")</f>
        <v/>
      </c>
      <c r="E5291" s="317" t="str">
        <f>IFERROR(VLOOKUP(A5291,[3]DOORSCRIEFT!$A$2:$G$8551,4,FALSE),"")</f>
        <v/>
      </c>
      <c r="F5291" s="316" t="str">
        <f>IFERROR(VLOOKUP(A5291,[3]DOORSCRIEFT!$A$2:$G$8551,6,FALSE),"")</f>
        <v/>
      </c>
      <c r="G5291" s="315"/>
    </row>
    <row r="5292" spans="1:7" x14ac:dyDescent="0.25">
      <c r="A5292" s="320" t="str">
        <f t="shared" si="164"/>
        <v>I.6.1.059</v>
      </c>
      <c r="B5292" s="320">
        <v>9</v>
      </c>
      <c r="C5292" s="319" t="str">
        <f>IFERROR(VLOOKUP(A5292,[3]DOORSCRIEFT!$A$2:$G$8551,2,FALSE),"")</f>
        <v/>
      </c>
      <c r="D5292" s="318" t="str">
        <f>IFERROR(VLOOKUP(A5292,[3]DOORSCRIEFT!$A$2:$G$8551,3,FALSE),"")</f>
        <v/>
      </c>
      <c r="E5292" s="317" t="str">
        <f>IFERROR(VLOOKUP(A5292,[3]DOORSCRIEFT!$A$2:$G$8551,4,FALSE),"")</f>
        <v/>
      </c>
      <c r="F5292" s="316" t="str">
        <f>IFERROR(VLOOKUP(A5292,[3]DOORSCRIEFT!$A$2:$G$8551,6,FALSE),"")</f>
        <v/>
      </c>
      <c r="G5292" s="315"/>
    </row>
    <row r="5293" spans="1:7" x14ac:dyDescent="0.25">
      <c r="A5293" s="320" t="str">
        <f t="shared" si="164"/>
        <v>I.6.1.0510</v>
      </c>
      <c r="B5293" s="321">
        <v>10</v>
      </c>
      <c r="C5293" s="319" t="str">
        <f>IFERROR(VLOOKUP(A5293,[3]DOORSCRIEFT!$A$2:$G$8551,2,FALSE),"")</f>
        <v/>
      </c>
      <c r="D5293" s="318" t="str">
        <f>IFERROR(VLOOKUP(A5293,[3]DOORSCRIEFT!$A$2:$G$8551,3,FALSE),"")</f>
        <v/>
      </c>
      <c r="E5293" s="317" t="str">
        <f>IFERROR(VLOOKUP(A5293,[3]DOORSCRIEFT!$A$2:$G$8551,4,FALSE),"")</f>
        <v/>
      </c>
      <c r="F5293" s="316" t="str">
        <f>IFERROR(VLOOKUP(A5293,[3]DOORSCRIEFT!$A$2:$G$8551,6,FALSE),"")</f>
        <v/>
      </c>
      <c r="G5293" s="315"/>
    </row>
    <row r="5294" spans="1:7" x14ac:dyDescent="0.25">
      <c r="A5294" s="320" t="str">
        <f t="shared" si="164"/>
        <v>I.6.1.0511</v>
      </c>
      <c r="B5294" s="320">
        <v>11</v>
      </c>
      <c r="C5294" s="319" t="str">
        <f>IFERROR(VLOOKUP(A5294,[3]DOORSCRIEFT!$A$2:$G$8551,2,FALSE),"")</f>
        <v/>
      </c>
      <c r="D5294" s="318" t="str">
        <f>IFERROR(VLOOKUP(A5294,[3]DOORSCRIEFT!$A$2:$G$8551,3,FALSE),"")</f>
        <v/>
      </c>
      <c r="E5294" s="317" t="str">
        <f>IFERROR(VLOOKUP(A5294,[3]DOORSCRIEFT!$A$2:$G$8551,4,FALSE),"")</f>
        <v/>
      </c>
      <c r="F5294" s="316" t="str">
        <f>IFERROR(VLOOKUP(A5294,[3]DOORSCRIEFT!$A$2:$G$8551,6,FALSE),"")</f>
        <v/>
      </c>
      <c r="G5294" s="315"/>
    </row>
    <row r="5295" spans="1:7" x14ac:dyDescent="0.25">
      <c r="A5295" s="320" t="str">
        <f t="shared" si="164"/>
        <v>I.6.1.0512</v>
      </c>
      <c r="B5295" s="321">
        <v>12</v>
      </c>
      <c r="C5295" s="319" t="str">
        <f>IFERROR(VLOOKUP(A5295,[3]DOORSCRIEFT!$A$2:$G$8551,2,FALSE),"")</f>
        <v/>
      </c>
      <c r="D5295" s="318" t="str">
        <f>IFERROR(VLOOKUP(A5295,[3]DOORSCRIEFT!$A$2:$G$8551,3,FALSE),"")</f>
        <v/>
      </c>
      <c r="E5295" s="317" t="str">
        <f>IFERROR(VLOOKUP(A5295,[3]DOORSCRIEFT!$A$2:$G$8551,4,FALSE),"")</f>
        <v/>
      </c>
      <c r="F5295" s="316" t="str">
        <f>IFERROR(VLOOKUP(A5295,[3]DOORSCRIEFT!$A$2:$G$8551,6,FALSE),"")</f>
        <v/>
      </c>
      <c r="G5295" s="315"/>
    </row>
    <row r="5296" spans="1:7" x14ac:dyDescent="0.25">
      <c r="A5296" s="320" t="str">
        <f t="shared" si="164"/>
        <v>I.6.1.0513</v>
      </c>
      <c r="B5296" s="320">
        <v>13</v>
      </c>
      <c r="C5296" s="319" t="str">
        <f>IFERROR(VLOOKUP(A5296,[3]DOORSCRIEFT!$A$2:$G$8551,2,FALSE),"")</f>
        <v/>
      </c>
      <c r="D5296" s="318" t="str">
        <f>IFERROR(VLOOKUP(A5296,[3]DOORSCRIEFT!$A$2:$G$8551,3,FALSE),"")</f>
        <v/>
      </c>
      <c r="E5296" s="317" t="str">
        <f>IFERROR(VLOOKUP(A5296,[3]DOORSCRIEFT!$A$2:$G$8551,4,FALSE),"")</f>
        <v/>
      </c>
      <c r="F5296" s="316" t="str">
        <f>IFERROR(VLOOKUP(A5296,[3]DOORSCRIEFT!$A$2:$G$8551,6,FALSE),"")</f>
        <v/>
      </c>
      <c r="G5296" s="315"/>
    </row>
    <row r="5297" spans="1:7" x14ac:dyDescent="0.25">
      <c r="A5297" s="320" t="str">
        <f t="shared" si="164"/>
        <v>I.6.1.0514</v>
      </c>
      <c r="B5297" s="321">
        <v>14</v>
      </c>
      <c r="C5297" s="319" t="str">
        <f>IFERROR(VLOOKUP(A5297,[3]DOORSCRIEFT!$A$2:$G$8551,2,FALSE),"")</f>
        <v/>
      </c>
      <c r="D5297" s="318" t="str">
        <f>IFERROR(VLOOKUP(A5297,[3]DOORSCRIEFT!$A$2:$G$8551,3,FALSE),"")</f>
        <v/>
      </c>
      <c r="E5297" s="317" t="str">
        <f>IFERROR(VLOOKUP(A5297,[3]DOORSCRIEFT!$A$2:$G$8551,4,FALSE),"")</f>
        <v/>
      </c>
      <c r="F5297" s="316" t="str">
        <f>IFERROR(VLOOKUP(A5297,[3]DOORSCRIEFT!$A$2:$G$8551,6,FALSE),"")</f>
        <v/>
      </c>
      <c r="G5297" s="315"/>
    </row>
    <row r="5298" spans="1:7" ht="15.75" thickBot="1" x14ac:dyDescent="0.3">
      <c r="A5298" s="320" t="str">
        <f t="shared" si="164"/>
        <v>I.6.1.0515</v>
      </c>
      <c r="B5298" s="320">
        <v>15</v>
      </c>
      <c r="C5298" s="319" t="str">
        <f>IFERROR(VLOOKUP(A5298,[3]DOORSCRIEFT!$A$2:$G$8551,2,FALSE),"")</f>
        <v/>
      </c>
      <c r="D5298" s="318" t="str">
        <f>IFERROR(VLOOKUP(A5298,[3]DOORSCRIEFT!$A$2:$G$8551,3,FALSE),"")</f>
        <v/>
      </c>
      <c r="E5298" s="317" t="str">
        <f>IFERROR(VLOOKUP(A5298,[3]DOORSCRIEFT!$A$2:$G$8551,4,FALSE),"")</f>
        <v/>
      </c>
      <c r="F5298" s="316" t="str">
        <f>IFERROR(VLOOKUP(A5298,[3]DOORSCRIEFT!$A$2:$G$8551,6,FALSE),"")</f>
        <v/>
      </c>
      <c r="G5298" s="315"/>
    </row>
    <row r="5299" spans="1:7" ht="15.75" thickBot="1" x14ac:dyDescent="0.3">
      <c r="A5299" s="314"/>
      <c r="B5299" s="312"/>
      <c r="C5299" s="336"/>
      <c r="D5299" s="312"/>
      <c r="E5299" s="311" t="s">
        <v>644</v>
      </c>
      <c r="F5299" s="310">
        <f>SUM(F5284:F5298)</f>
        <v>0</v>
      </c>
      <c r="G5299" s="309">
        <f>SUM(G5284:G5298)</f>
        <v>0</v>
      </c>
    </row>
    <row r="5300" spans="1:7" x14ac:dyDescent="0.25">
      <c r="C5300" s="335"/>
    </row>
    <row r="5301" spans="1:7" x14ac:dyDescent="0.25">
      <c r="C5301" s="335"/>
    </row>
    <row r="5302" spans="1:7" ht="15.75" x14ac:dyDescent="0.25">
      <c r="C5302" s="334"/>
      <c r="D5302" s="333"/>
      <c r="E5302" s="332"/>
      <c r="F5302" s="327" t="s">
        <v>607</v>
      </c>
      <c r="G5302" s="327" t="s">
        <v>299</v>
      </c>
    </row>
    <row r="5303" spans="1:7" ht="15.75" x14ac:dyDescent="0.25">
      <c r="C5303" s="334"/>
      <c r="D5303" s="333"/>
      <c r="E5303" s="332"/>
      <c r="F5303" s="327" t="s">
        <v>601</v>
      </c>
      <c r="G5303" s="327" t="s">
        <v>12</v>
      </c>
    </row>
    <row r="5304" spans="1:7" x14ac:dyDescent="0.25">
      <c r="C5304" s="330"/>
      <c r="D5304" s="329"/>
      <c r="E5304" s="328"/>
      <c r="F5304" s="327" t="s">
        <v>651</v>
      </c>
      <c r="G5304" s="331">
        <f>[2]Sheet1!$D$190</f>
        <v>0</v>
      </c>
    </row>
    <row r="5305" spans="1:7" ht="15.75" thickBot="1" x14ac:dyDescent="0.3">
      <c r="C5305" s="330"/>
      <c r="D5305" s="329"/>
      <c r="E5305" s="328"/>
      <c r="F5305" s="327" t="s">
        <v>650</v>
      </c>
      <c r="G5305" s="326">
        <f>+F5324-G5304</f>
        <v>0</v>
      </c>
    </row>
    <row r="5306" spans="1:7" x14ac:dyDescent="0.25">
      <c r="A5306" s="573" t="s">
        <v>626</v>
      </c>
      <c r="B5306" s="584" t="s">
        <v>606</v>
      </c>
      <c r="C5306" s="588" t="s">
        <v>649</v>
      </c>
      <c r="D5306" s="577" t="s">
        <v>648</v>
      </c>
      <c r="E5306" s="577" t="s">
        <v>647</v>
      </c>
      <c r="F5306" s="577" t="s">
        <v>646</v>
      </c>
      <c r="G5306" s="580" t="s">
        <v>645</v>
      </c>
    </row>
    <row r="5307" spans="1:7" ht="15.75" thickBot="1" x14ac:dyDescent="0.3">
      <c r="A5307" s="574"/>
      <c r="B5307" s="585"/>
      <c r="C5307" s="589"/>
      <c r="D5307" s="586"/>
      <c r="E5307" s="586"/>
      <c r="F5307" s="586"/>
      <c r="G5307" s="587"/>
    </row>
    <row r="5308" spans="1:7" ht="15.75" thickBot="1" x14ac:dyDescent="0.3">
      <c r="A5308" s="325">
        <v>1</v>
      </c>
      <c r="B5308" s="324">
        <v>2</v>
      </c>
      <c r="C5308" s="324">
        <v>3</v>
      </c>
      <c r="D5308" s="324">
        <v>4</v>
      </c>
      <c r="E5308" s="324">
        <v>5</v>
      </c>
      <c r="F5308" s="324">
        <v>6</v>
      </c>
      <c r="G5308" s="323">
        <v>7</v>
      </c>
    </row>
    <row r="5309" spans="1:7" x14ac:dyDescent="0.25">
      <c r="A5309" s="320" t="str">
        <f t="shared" ref="A5309:A5323" si="165">$G$5302&amp;B5309</f>
        <v>I.6.1.061</v>
      </c>
      <c r="B5309" s="320">
        <v>1</v>
      </c>
      <c r="C5309" s="319" t="str">
        <f>IFERROR(VLOOKUP(A5309,[3]DOORSCRIEFT!$A$2:$G$8551,2,FALSE),"")</f>
        <v/>
      </c>
      <c r="D5309" s="318" t="str">
        <f>IFERROR(VLOOKUP(A5309,[3]DOORSCRIEFT!$A$2:$G$8551,3,FALSE),"")</f>
        <v/>
      </c>
      <c r="E5309" s="317" t="str">
        <f>IFERROR(VLOOKUP(A5309,[3]DOORSCRIEFT!$A$2:$G$8551,4,FALSE),"")</f>
        <v/>
      </c>
      <c r="F5309" s="316" t="str">
        <f>IFERROR(VLOOKUP(A5309,[3]DOORSCRIEFT!$A$2:$G$8551,6,FALSE),"")</f>
        <v/>
      </c>
      <c r="G5309" s="322"/>
    </row>
    <row r="5310" spans="1:7" x14ac:dyDescent="0.25">
      <c r="A5310" s="320" t="str">
        <f t="shared" si="165"/>
        <v>I.6.1.062</v>
      </c>
      <c r="B5310" s="321">
        <v>2</v>
      </c>
      <c r="C5310" s="319" t="str">
        <f>IFERROR(VLOOKUP(A5310,[3]DOORSCRIEFT!$A$2:$G$8551,2,FALSE),"")</f>
        <v/>
      </c>
      <c r="D5310" s="318" t="str">
        <f>IFERROR(VLOOKUP(A5310,[3]DOORSCRIEFT!$A$2:$G$8551,3,FALSE),"")</f>
        <v/>
      </c>
      <c r="E5310" s="317" t="str">
        <f>IFERROR(VLOOKUP(A5310,[3]DOORSCRIEFT!$A$2:$G$8551,4,FALSE),"")</f>
        <v/>
      </c>
      <c r="F5310" s="316" t="str">
        <f>IFERROR(VLOOKUP(A5310,[3]DOORSCRIEFT!$A$2:$G$8551,6,FALSE),"")</f>
        <v/>
      </c>
      <c r="G5310" s="315"/>
    </row>
    <row r="5311" spans="1:7" x14ac:dyDescent="0.25">
      <c r="A5311" s="320" t="str">
        <f t="shared" si="165"/>
        <v>I.6.1.063</v>
      </c>
      <c r="B5311" s="320">
        <v>3</v>
      </c>
      <c r="C5311" s="319" t="str">
        <f>IFERROR(VLOOKUP(A5311,[3]DOORSCRIEFT!$A$2:$G$8551,2,FALSE),"")</f>
        <v/>
      </c>
      <c r="D5311" s="318" t="str">
        <f>IFERROR(VLOOKUP(A5311,[3]DOORSCRIEFT!$A$2:$G$8551,3,FALSE),"")</f>
        <v/>
      </c>
      <c r="E5311" s="317" t="str">
        <f>IFERROR(VLOOKUP(A5311,[3]DOORSCRIEFT!$A$2:$G$8551,4,FALSE),"")</f>
        <v/>
      </c>
      <c r="F5311" s="316" t="str">
        <f>IFERROR(VLOOKUP(A5311,[3]DOORSCRIEFT!$A$2:$G$8551,6,FALSE),"")</f>
        <v/>
      </c>
      <c r="G5311" s="315"/>
    </row>
    <row r="5312" spans="1:7" x14ac:dyDescent="0.25">
      <c r="A5312" s="320" t="str">
        <f t="shared" si="165"/>
        <v>I.6.1.064</v>
      </c>
      <c r="B5312" s="321">
        <v>4</v>
      </c>
      <c r="C5312" s="319" t="str">
        <f>IFERROR(VLOOKUP(A5312,[3]DOORSCRIEFT!$A$2:$G$8551,2,FALSE),"")</f>
        <v/>
      </c>
      <c r="D5312" s="318" t="str">
        <f>IFERROR(VLOOKUP(A5312,[3]DOORSCRIEFT!$A$2:$G$8551,3,FALSE),"")</f>
        <v/>
      </c>
      <c r="E5312" s="317" t="str">
        <f>IFERROR(VLOOKUP(A5312,[3]DOORSCRIEFT!$A$2:$G$8551,4,FALSE),"")</f>
        <v/>
      </c>
      <c r="F5312" s="316" t="str">
        <f>IFERROR(VLOOKUP(A5312,[3]DOORSCRIEFT!$A$2:$G$8551,6,FALSE),"")</f>
        <v/>
      </c>
      <c r="G5312" s="315"/>
    </row>
    <row r="5313" spans="1:7" x14ac:dyDescent="0.25">
      <c r="A5313" s="320" t="str">
        <f t="shared" si="165"/>
        <v>I.6.1.065</v>
      </c>
      <c r="B5313" s="320">
        <v>5</v>
      </c>
      <c r="C5313" s="319" t="str">
        <f>IFERROR(VLOOKUP(A5313,[3]DOORSCRIEFT!$A$2:$G$8551,2,FALSE),"")</f>
        <v/>
      </c>
      <c r="D5313" s="318" t="str">
        <f>IFERROR(VLOOKUP(A5313,[3]DOORSCRIEFT!$A$2:$G$8551,3,FALSE),"")</f>
        <v/>
      </c>
      <c r="E5313" s="317" t="str">
        <f>IFERROR(VLOOKUP(A5313,[3]DOORSCRIEFT!$A$2:$G$8551,4,FALSE),"")</f>
        <v/>
      </c>
      <c r="F5313" s="316" t="str">
        <f>IFERROR(VLOOKUP(A5313,[3]DOORSCRIEFT!$A$2:$G$8551,6,FALSE),"")</f>
        <v/>
      </c>
      <c r="G5313" s="315"/>
    </row>
    <row r="5314" spans="1:7" x14ac:dyDescent="0.25">
      <c r="A5314" s="320" t="str">
        <f t="shared" si="165"/>
        <v>I.6.1.066</v>
      </c>
      <c r="B5314" s="321">
        <v>6</v>
      </c>
      <c r="C5314" s="319" t="str">
        <f>IFERROR(VLOOKUP(A5314,[3]DOORSCRIEFT!$A$2:$G$8551,2,FALSE),"")</f>
        <v/>
      </c>
      <c r="D5314" s="318" t="str">
        <f>IFERROR(VLOOKUP(A5314,[3]DOORSCRIEFT!$A$2:$G$8551,3,FALSE),"")</f>
        <v/>
      </c>
      <c r="E5314" s="317" t="str">
        <f>IFERROR(VLOOKUP(A5314,[3]DOORSCRIEFT!$A$2:$G$8551,4,FALSE),"")</f>
        <v/>
      </c>
      <c r="F5314" s="316" t="str">
        <f>IFERROR(VLOOKUP(A5314,[3]DOORSCRIEFT!$A$2:$G$8551,6,FALSE),"")</f>
        <v/>
      </c>
      <c r="G5314" s="315"/>
    </row>
    <row r="5315" spans="1:7" x14ac:dyDescent="0.25">
      <c r="A5315" s="320" t="str">
        <f t="shared" si="165"/>
        <v>I.6.1.067</v>
      </c>
      <c r="B5315" s="320">
        <v>7</v>
      </c>
      <c r="C5315" s="319" t="str">
        <f>IFERROR(VLOOKUP(A5315,[3]DOORSCRIEFT!$A$2:$G$8551,2,FALSE),"")</f>
        <v/>
      </c>
      <c r="D5315" s="318" t="str">
        <f>IFERROR(VLOOKUP(A5315,[3]DOORSCRIEFT!$A$2:$G$8551,3,FALSE),"")</f>
        <v/>
      </c>
      <c r="E5315" s="317" t="str">
        <f>IFERROR(VLOOKUP(A5315,[3]DOORSCRIEFT!$A$2:$G$8551,4,FALSE),"")</f>
        <v/>
      </c>
      <c r="F5315" s="316" t="str">
        <f>IFERROR(VLOOKUP(A5315,[3]DOORSCRIEFT!$A$2:$G$8551,6,FALSE),"")</f>
        <v/>
      </c>
      <c r="G5315" s="315"/>
    </row>
    <row r="5316" spans="1:7" x14ac:dyDescent="0.25">
      <c r="A5316" s="320" t="str">
        <f t="shared" si="165"/>
        <v>I.6.1.068</v>
      </c>
      <c r="B5316" s="321">
        <v>8</v>
      </c>
      <c r="C5316" s="319" t="str">
        <f>IFERROR(VLOOKUP(A5316,[3]DOORSCRIEFT!$A$2:$G$8551,2,FALSE),"")</f>
        <v/>
      </c>
      <c r="D5316" s="318" t="str">
        <f>IFERROR(VLOOKUP(A5316,[3]DOORSCRIEFT!$A$2:$G$8551,3,FALSE),"")</f>
        <v/>
      </c>
      <c r="E5316" s="317" t="str">
        <f>IFERROR(VLOOKUP(A5316,[3]DOORSCRIEFT!$A$2:$G$8551,4,FALSE),"")</f>
        <v/>
      </c>
      <c r="F5316" s="316" t="str">
        <f>IFERROR(VLOOKUP(A5316,[3]DOORSCRIEFT!$A$2:$G$8551,6,FALSE),"")</f>
        <v/>
      </c>
      <c r="G5316" s="315"/>
    </row>
    <row r="5317" spans="1:7" x14ac:dyDescent="0.25">
      <c r="A5317" s="320" t="str">
        <f t="shared" si="165"/>
        <v>I.6.1.069</v>
      </c>
      <c r="B5317" s="320">
        <v>9</v>
      </c>
      <c r="C5317" s="319" t="str">
        <f>IFERROR(VLOOKUP(A5317,[3]DOORSCRIEFT!$A$2:$G$8551,2,FALSE),"")</f>
        <v/>
      </c>
      <c r="D5317" s="318" t="str">
        <f>IFERROR(VLOOKUP(A5317,[3]DOORSCRIEFT!$A$2:$G$8551,3,FALSE),"")</f>
        <v/>
      </c>
      <c r="E5317" s="317" t="str">
        <f>IFERROR(VLOOKUP(A5317,[3]DOORSCRIEFT!$A$2:$G$8551,4,FALSE),"")</f>
        <v/>
      </c>
      <c r="F5317" s="316" t="str">
        <f>IFERROR(VLOOKUP(A5317,[3]DOORSCRIEFT!$A$2:$G$8551,6,FALSE),"")</f>
        <v/>
      </c>
      <c r="G5317" s="315"/>
    </row>
    <row r="5318" spans="1:7" x14ac:dyDescent="0.25">
      <c r="A5318" s="320" t="str">
        <f t="shared" si="165"/>
        <v>I.6.1.0610</v>
      </c>
      <c r="B5318" s="321">
        <v>10</v>
      </c>
      <c r="C5318" s="319" t="str">
        <f>IFERROR(VLOOKUP(A5318,[3]DOORSCRIEFT!$A$2:$G$8551,2,FALSE),"")</f>
        <v/>
      </c>
      <c r="D5318" s="318" t="str">
        <f>IFERROR(VLOOKUP(A5318,[3]DOORSCRIEFT!$A$2:$G$8551,3,FALSE),"")</f>
        <v/>
      </c>
      <c r="E5318" s="317" t="str">
        <f>IFERROR(VLOOKUP(A5318,[3]DOORSCRIEFT!$A$2:$G$8551,4,FALSE),"")</f>
        <v/>
      </c>
      <c r="F5318" s="316" t="str">
        <f>IFERROR(VLOOKUP(A5318,[3]DOORSCRIEFT!$A$2:$G$8551,6,FALSE),"")</f>
        <v/>
      </c>
      <c r="G5318" s="315"/>
    </row>
    <row r="5319" spans="1:7" x14ac:dyDescent="0.25">
      <c r="A5319" s="320" t="str">
        <f t="shared" si="165"/>
        <v>I.6.1.0611</v>
      </c>
      <c r="B5319" s="320">
        <v>11</v>
      </c>
      <c r="C5319" s="319" t="str">
        <f>IFERROR(VLOOKUP(A5319,[3]DOORSCRIEFT!$A$2:$G$8551,2,FALSE),"")</f>
        <v/>
      </c>
      <c r="D5319" s="318" t="str">
        <f>IFERROR(VLOOKUP(A5319,[3]DOORSCRIEFT!$A$2:$G$8551,3,FALSE),"")</f>
        <v/>
      </c>
      <c r="E5319" s="317" t="str">
        <f>IFERROR(VLOOKUP(A5319,[3]DOORSCRIEFT!$A$2:$G$8551,4,FALSE),"")</f>
        <v/>
      </c>
      <c r="F5319" s="316" t="str">
        <f>IFERROR(VLOOKUP(A5319,[3]DOORSCRIEFT!$A$2:$G$8551,6,FALSE),"")</f>
        <v/>
      </c>
      <c r="G5319" s="315"/>
    </row>
    <row r="5320" spans="1:7" x14ac:dyDescent="0.25">
      <c r="A5320" s="320" t="str">
        <f t="shared" si="165"/>
        <v>I.6.1.0612</v>
      </c>
      <c r="B5320" s="321">
        <v>12</v>
      </c>
      <c r="C5320" s="319" t="str">
        <f>IFERROR(VLOOKUP(A5320,[3]DOORSCRIEFT!$A$2:$G$8551,2,FALSE),"")</f>
        <v/>
      </c>
      <c r="D5320" s="318" t="str">
        <f>IFERROR(VLOOKUP(A5320,[3]DOORSCRIEFT!$A$2:$G$8551,3,FALSE),"")</f>
        <v/>
      </c>
      <c r="E5320" s="317" t="str">
        <f>IFERROR(VLOOKUP(A5320,[3]DOORSCRIEFT!$A$2:$G$8551,4,FALSE),"")</f>
        <v/>
      </c>
      <c r="F5320" s="316" t="str">
        <f>IFERROR(VLOOKUP(A5320,[3]DOORSCRIEFT!$A$2:$G$8551,6,FALSE),"")</f>
        <v/>
      </c>
      <c r="G5320" s="315"/>
    </row>
    <row r="5321" spans="1:7" x14ac:dyDescent="0.25">
      <c r="A5321" s="320" t="str">
        <f t="shared" si="165"/>
        <v>I.6.1.0613</v>
      </c>
      <c r="B5321" s="320">
        <v>13</v>
      </c>
      <c r="C5321" s="319" t="str">
        <f>IFERROR(VLOOKUP(A5321,[3]DOORSCRIEFT!$A$2:$G$8551,2,FALSE),"")</f>
        <v/>
      </c>
      <c r="D5321" s="318" t="str">
        <f>IFERROR(VLOOKUP(A5321,[3]DOORSCRIEFT!$A$2:$G$8551,3,FALSE),"")</f>
        <v/>
      </c>
      <c r="E5321" s="317" t="str">
        <f>IFERROR(VLOOKUP(A5321,[3]DOORSCRIEFT!$A$2:$G$8551,4,FALSE),"")</f>
        <v/>
      </c>
      <c r="F5321" s="316" t="str">
        <f>IFERROR(VLOOKUP(A5321,[3]DOORSCRIEFT!$A$2:$G$8551,6,FALSE),"")</f>
        <v/>
      </c>
      <c r="G5321" s="315"/>
    </row>
    <row r="5322" spans="1:7" x14ac:dyDescent="0.25">
      <c r="A5322" s="320" t="str">
        <f t="shared" si="165"/>
        <v>I.6.1.0614</v>
      </c>
      <c r="B5322" s="321">
        <v>14</v>
      </c>
      <c r="C5322" s="319" t="str">
        <f>IFERROR(VLOOKUP(A5322,[3]DOORSCRIEFT!$A$2:$G$8551,2,FALSE),"")</f>
        <v/>
      </c>
      <c r="D5322" s="318" t="str">
        <f>IFERROR(VLOOKUP(A5322,[3]DOORSCRIEFT!$A$2:$G$8551,3,FALSE),"")</f>
        <v/>
      </c>
      <c r="E5322" s="317" t="str">
        <f>IFERROR(VLOOKUP(A5322,[3]DOORSCRIEFT!$A$2:$G$8551,4,FALSE),"")</f>
        <v/>
      </c>
      <c r="F5322" s="316" t="str">
        <f>IFERROR(VLOOKUP(A5322,[3]DOORSCRIEFT!$A$2:$G$8551,6,FALSE),"")</f>
        <v/>
      </c>
      <c r="G5322" s="315"/>
    </row>
    <row r="5323" spans="1:7" ht="15.75" thickBot="1" x14ac:dyDescent="0.3">
      <c r="A5323" s="320" t="str">
        <f t="shared" si="165"/>
        <v>I.6.1.0615</v>
      </c>
      <c r="B5323" s="320">
        <v>15</v>
      </c>
      <c r="C5323" s="319" t="str">
        <f>IFERROR(VLOOKUP(A5323,[3]DOORSCRIEFT!$A$2:$G$8551,2,FALSE),"")</f>
        <v/>
      </c>
      <c r="D5323" s="318" t="str">
        <f>IFERROR(VLOOKUP(A5323,[3]DOORSCRIEFT!$A$2:$G$8551,3,FALSE),"")</f>
        <v/>
      </c>
      <c r="E5323" s="317" t="str">
        <f>IFERROR(VLOOKUP(A5323,[3]DOORSCRIEFT!$A$2:$G$8551,4,FALSE),"")</f>
        <v/>
      </c>
      <c r="F5323" s="316" t="str">
        <f>IFERROR(VLOOKUP(A5323,[3]DOORSCRIEFT!$A$2:$G$8551,6,FALSE),"")</f>
        <v/>
      </c>
      <c r="G5323" s="315"/>
    </row>
    <row r="5324" spans="1:7" ht="15.75" thickBot="1" x14ac:dyDescent="0.3">
      <c r="A5324" s="314"/>
      <c r="B5324" s="312"/>
      <c r="C5324" s="336"/>
      <c r="D5324" s="312"/>
      <c r="E5324" s="311" t="s">
        <v>644</v>
      </c>
      <c r="F5324" s="310">
        <f>SUM(F5309:F5323)</f>
        <v>0</v>
      </c>
      <c r="G5324" s="309">
        <f>SUM(G5309:G5323)</f>
        <v>0</v>
      </c>
    </row>
    <row r="5325" spans="1:7" x14ac:dyDescent="0.25">
      <c r="C5325" s="335"/>
    </row>
    <row r="5326" spans="1:7" x14ac:dyDescent="0.25">
      <c r="C5326" s="335"/>
    </row>
    <row r="5327" spans="1:7" ht="15.75" x14ac:dyDescent="0.25">
      <c r="C5327" s="334"/>
      <c r="D5327" s="333"/>
      <c r="E5327" s="332"/>
      <c r="F5327" s="327" t="s">
        <v>607</v>
      </c>
      <c r="G5327" s="327" t="s">
        <v>298</v>
      </c>
    </row>
    <row r="5328" spans="1:7" ht="15.75" x14ac:dyDescent="0.25">
      <c r="C5328" s="334"/>
      <c r="D5328" s="333"/>
      <c r="E5328" s="332"/>
      <c r="F5328" s="327" t="s">
        <v>601</v>
      </c>
      <c r="G5328" s="327" t="s">
        <v>297</v>
      </c>
    </row>
    <row r="5329" spans="1:7" x14ac:dyDescent="0.25">
      <c r="C5329" s="330"/>
      <c r="D5329" s="329"/>
      <c r="E5329" s="328"/>
      <c r="F5329" s="327" t="s">
        <v>651</v>
      </c>
      <c r="G5329" s="331">
        <f>[2]Sheet1!$D$191</f>
        <v>0</v>
      </c>
    </row>
    <row r="5330" spans="1:7" ht="15.75" thickBot="1" x14ac:dyDescent="0.3">
      <c r="C5330" s="330"/>
      <c r="D5330" s="329"/>
      <c r="E5330" s="328"/>
      <c r="F5330" s="327" t="s">
        <v>650</v>
      </c>
      <c r="G5330" s="326">
        <f>+F5349-G5329</f>
        <v>0</v>
      </c>
    </row>
    <row r="5331" spans="1:7" x14ac:dyDescent="0.25">
      <c r="A5331" s="573" t="s">
        <v>626</v>
      </c>
      <c r="B5331" s="584" t="s">
        <v>606</v>
      </c>
      <c r="C5331" s="588" t="s">
        <v>649</v>
      </c>
      <c r="D5331" s="577" t="s">
        <v>648</v>
      </c>
      <c r="E5331" s="577" t="s">
        <v>647</v>
      </c>
      <c r="F5331" s="577" t="s">
        <v>646</v>
      </c>
      <c r="G5331" s="580" t="s">
        <v>645</v>
      </c>
    </row>
    <row r="5332" spans="1:7" ht="15.75" thickBot="1" x14ac:dyDescent="0.3">
      <c r="A5332" s="574"/>
      <c r="B5332" s="585"/>
      <c r="C5332" s="589"/>
      <c r="D5332" s="586"/>
      <c r="E5332" s="586"/>
      <c r="F5332" s="586"/>
      <c r="G5332" s="587"/>
    </row>
    <row r="5333" spans="1:7" ht="15.75" thickBot="1" x14ac:dyDescent="0.3">
      <c r="A5333" s="325">
        <v>1</v>
      </c>
      <c r="B5333" s="324">
        <v>2</v>
      </c>
      <c r="C5333" s="324">
        <v>3</v>
      </c>
      <c r="D5333" s="324">
        <v>4</v>
      </c>
      <c r="E5333" s="324">
        <v>5</v>
      </c>
      <c r="F5333" s="324">
        <v>6</v>
      </c>
      <c r="G5333" s="323">
        <v>7</v>
      </c>
    </row>
    <row r="5334" spans="1:7" x14ac:dyDescent="0.25">
      <c r="A5334" s="320" t="str">
        <f t="shared" ref="A5334:A5348" si="166">$G$5327&amp;B5334</f>
        <v>I.6.1.071</v>
      </c>
      <c r="B5334" s="320">
        <v>1</v>
      </c>
      <c r="C5334" s="319" t="str">
        <f>IFERROR(VLOOKUP(A5334,[3]DOORSCRIEFT!$A$2:$G$8551,2,FALSE),"")</f>
        <v/>
      </c>
      <c r="D5334" s="318" t="str">
        <f>IFERROR(VLOOKUP(A5334,[3]DOORSCRIEFT!$A$2:$G$8551,3,FALSE),"")</f>
        <v/>
      </c>
      <c r="E5334" s="317" t="str">
        <f>IFERROR(VLOOKUP(A5334,[3]DOORSCRIEFT!$A$2:$G$8551,4,FALSE),"")</f>
        <v/>
      </c>
      <c r="F5334" s="316" t="str">
        <f>IFERROR(VLOOKUP(A5334,[3]DOORSCRIEFT!$A$2:$G$8551,6,FALSE),"")</f>
        <v/>
      </c>
      <c r="G5334" s="322"/>
    </row>
    <row r="5335" spans="1:7" x14ac:dyDescent="0.25">
      <c r="A5335" s="320" t="str">
        <f t="shared" si="166"/>
        <v>I.6.1.072</v>
      </c>
      <c r="B5335" s="321">
        <v>2</v>
      </c>
      <c r="C5335" s="319" t="str">
        <f>IFERROR(VLOOKUP(A5335,[3]DOORSCRIEFT!$A$2:$G$8551,2,FALSE),"")</f>
        <v/>
      </c>
      <c r="D5335" s="318" t="str">
        <f>IFERROR(VLOOKUP(A5335,[3]DOORSCRIEFT!$A$2:$G$8551,3,FALSE),"")</f>
        <v/>
      </c>
      <c r="E5335" s="317" t="str">
        <f>IFERROR(VLOOKUP(A5335,[3]DOORSCRIEFT!$A$2:$G$8551,4,FALSE),"")</f>
        <v/>
      </c>
      <c r="F5335" s="316" t="str">
        <f>IFERROR(VLOOKUP(A5335,[3]DOORSCRIEFT!$A$2:$G$8551,6,FALSE),"")</f>
        <v/>
      </c>
      <c r="G5335" s="315"/>
    </row>
    <row r="5336" spans="1:7" x14ac:dyDescent="0.25">
      <c r="A5336" s="320" t="str">
        <f t="shared" si="166"/>
        <v>I.6.1.073</v>
      </c>
      <c r="B5336" s="320">
        <v>3</v>
      </c>
      <c r="C5336" s="319" t="str">
        <f>IFERROR(VLOOKUP(A5336,[3]DOORSCRIEFT!$A$2:$G$8551,2,FALSE),"")</f>
        <v/>
      </c>
      <c r="D5336" s="318" t="str">
        <f>IFERROR(VLOOKUP(A5336,[3]DOORSCRIEFT!$A$2:$G$8551,3,FALSE),"")</f>
        <v/>
      </c>
      <c r="E5336" s="317" t="str">
        <f>IFERROR(VLOOKUP(A5336,[3]DOORSCRIEFT!$A$2:$G$8551,4,FALSE),"")</f>
        <v/>
      </c>
      <c r="F5336" s="316" t="str">
        <f>IFERROR(VLOOKUP(A5336,[3]DOORSCRIEFT!$A$2:$G$8551,6,FALSE),"")</f>
        <v/>
      </c>
      <c r="G5336" s="315"/>
    </row>
    <row r="5337" spans="1:7" x14ac:dyDescent="0.25">
      <c r="A5337" s="320" t="str">
        <f t="shared" si="166"/>
        <v>I.6.1.074</v>
      </c>
      <c r="B5337" s="321">
        <v>4</v>
      </c>
      <c r="C5337" s="319" t="str">
        <f>IFERROR(VLOOKUP(A5337,[3]DOORSCRIEFT!$A$2:$G$8551,2,FALSE),"")</f>
        <v/>
      </c>
      <c r="D5337" s="318" t="str">
        <f>IFERROR(VLOOKUP(A5337,[3]DOORSCRIEFT!$A$2:$G$8551,3,FALSE),"")</f>
        <v/>
      </c>
      <c r="E5337" s="317" t="str">
        <f>IFERROR(VLOOKUP(A5337,[3]DOORSCRIEFT!$A$2:$G$8551,4,FALSE),"")</f>
        <v/>
      </c>
      <c r="F5337" s="316" t="str">
        <f>IFERROR(VLOOKUP(A5337,[3]DOORSCRIEFT!$A$2:$G$8551,6,FALSE),"")</f>
        <v/>
      </c>
      <c r="G5337" s="315"/>
    </row>
    <row r="5338" spans="1:7" x14ac:dyDescent="0.25">
      <c r="A5338" s="320" t="str">
        <f t="shared" si="166"/>
        <v>I.6.1.075</v>
      </c>
      <c r="B5338" s="320">
        <v>5</v>
      </c>
      <c r="C5338" s="319" t="str">
        <f>IFERROR(VLOOKUP(A5338,[3]DOORSCRIEFT!$A$2:$G$8551,2,FALSE),"")</f>
        <v/>
      </c>
      <c r="D5338" s="318" t="str">
        <f>IFERROR(VLOOKUP(A5338,[3]DOORSCRIEFT!$A$2:$G$8551,3,FALSE),"")</f>
        <v/>
      </c>
      <c r="E5338" s="317" t="str">
        <f>IFERROR(VLOOKUP(A5338,[3]DOORSCRIEFT!$A$2:$G$8551,4,FALSE),"")</f>
        <v/>
      </c>
      <c r="F5338" s="316" t="str">
        <f>IFERROR(VLOOKUP(A5338,[3]DOORSCRIEFT!$A$2:$G$8551,6,FALSE),"")</f>
        <v/>
      </c>
      <c r="G5338" s="315"/>
    </row>
    <row r="5339" spans="1:7" x14ac:dyDescent="0.25">
      <c r="A5339" s="320" t="str">
        <f t="shared" si="166"/>
        <v>I.6.1.076</v>
      </c>
      <c r="B5339" s="321">
        <v>6</v>
      </c>
      <c r="C5339" s="319" t="str">
        <f>IFERROR(VLOOKUP(A5339,[3]DOORSCRIEFT!$A$2:$G$8551,2,FALSE),"")</f>
        <v/>
      </c>
      <c r="D5339" s="318" t="str">
        <f>IFERROR(VLOOKUP(A5339,[3]DOORSCRIEFT!$A$2:$G$8551,3,FALSE),"")</f>
        <v/>
      </c>
      <c r="E5339" s="317" t="str">
        <f>IFERROR(VLOOKUP(A5339,[3]DOORSCRIEFT!$A$2:$G$8551,4,FALSE),"")</f>
        <v/>
      </c>
      <c r="F5339" s="316" t="str">
        <f>IFERROR(VLOOKUP(A5339,[3]DOORSCRIEFT!$A$2:$G$8551,6,FALSE),"")</f>
        <v/>
      </c>
      <c r="G5339" s="315"/>
    </row>
    <row r="5340" spans="1:7" x14ac:dyDescent="0.25">
      <c r="A5340" s="320" t="str">
        <f t="shared" si="166"/>
        <v>I.6.1.077</v>
      </c>
      <c r="B5340" s="320">
        <v>7</v>
      </c>
      <c r="C5340" s="319" t="str">
        <f>IFERROR(VLOOKUP(A5340,[3]DOORSCRIEFT!$A$2:$G$8551,2,FALSE),"")</f>
        <v/>
      </c>
      <c r="D5340" s="318" t="str">
        <f>IFERROR(VLOOKUP(A5340,[3]DOORSCRIEFT!$A$2:$G$8551,3,FALSE),"")</f>
        <v/>
      </c>
      <c r="E5340" s="317" t="str">
        <f>IFERROR(VLOOKUP(A5340,[3]DOORSCRIEFT!$A$2:$G$8551,4,FALSE),"")</f>
        <v/>
      </c>
      <c r="F5340" s="316" t="str">
        <f>IFERROR(VLOOKUP(A5340,[3]DOORSCRIEFT!$A$2:$G$8551,6,FALSE),"")</f>
        <v/>
      </c>
      <c r="G5340" s="315"/>
    </row>
    <row r="5341" spans="1:7" x14ac:dyDescent="0.25">
      <c r="A5341" s="320" t="str">
        <f t="shared" si="166"/>
        <v>I.6.1.078</v>
      </c>
      <c r="B5341" s="321">
        <v>8</v>
      </c>
      <c r="C5341" s="319" t="str">
        <f>IFERROR(VLOOKUP(A5341,[3]DOORSCRIEFT!$A$2:$G$8551,2,FALSE),"")</f>
        <v/>
      </c>
      <c r="D5341" s="318" t="str">
        <f>IFERROR(VLOOKUP(A5341,[3]DOORSCRIEFT!$A$2:$G$8551,3,FALSE),"")</f>
        <v/>
      </c>
      <c r="E5341" s="317" t="str">
        <f>IFERROR(VLOOKUP(A5341,[3]DOORSCRIEFT!$A$2:$G$8551,4,FALSE),"")</f>
        <v/>
      </c>
      <c r="F5341" s="316" t="str">
        <f>IFERROR(VLOOKUP(A5341,[3]DOORSCRIEFT!$A$2:$G$8551,6,FALSE),"")</f>
        <v/>
      </c>
      <c r="G5341" s="315"/>
    </row>
    <row r="5342" spans="1:7" x14ac:dyDescent="0.25">
      <c r="A5342" s="320" t="str">
        <f t="shared" si="166"/>
        <v>I.6.1.079</v>
      </c>
      <c r="B5342" s="320">
        <v>9</v>
      </c>
      <c r="C5342" s="319" t="str">
        <f>IFERROR(VLOOKUP(A5342,[3]DOORSCRIEFT!$A$2:$G$8551,2,FALSE),"")</f>
        <v/>
      </c>
      <c r="D5342" s="318" t="str">
        <f>IFERROR(VLOOKUP(A5342,[3]DOORSCRIEFT!$A$2:$G$8551,3,FALSE),"")</f>
        <v/>
      </c>
      <c r="E5342" s="317" t="str">
        <f>IFERROR(VLOOKUP(A5342,[3]DOORSCRIEFT!$A$2:$G$8551,4,FALSE),"")</f>
        <v/>
      </c>
      <c r="F5342" s="316" t="str">
        <f>IFERROR(VLOOKUP(A5342,[3]DOORSCRIEFT!$A$2:$G$8551,6,FALSE),"")</f>
        <v/>
      </c>
      <c r="G5342" s="315"/>
    </row>
    <row r="5343" spans="1:7" x14ac:dyDescent="0.25">
      <c r="A5343" s="320" t="str">
        <f t="shared" si="166"/>
        <v>I.6.1.0710</v>
      </c>
      <c r="B5343" s="321">
        <v>10</v>
      </c>
      <c r="C5343" s="319" t="str">
        <f>IFERROR(VLOOKUP(A5343,[3]DOORSCRIEFT!$A$2:$G$8551,2,FALSE),"")</f>
        <v/>
      </c>
      <c r="D5343" s="318" t="str">
        <f>IFERROR(VLOOKUP(A5343,[3]DOORSCRIEFT!$A$2:$G$8551,3,FALSE),"")</f>
        <v/>
      </c>
      <c r="E5343" s="317" t="str">
        <f>IFERROR(VLOOKUP(A5343,[3]DOORSCRIEFT!$A$2:$G$8551,4,FALSE),"")</f>
        <v/>
      </c>
      <c r="F5343" s="316" t="str">
        <f>IFERROR(VLOOKUP(A5343,[3]DOORSCRIEFT!$A$2:$G$8551,6,FALSE),"")</f>
        <v/>
      </c>
      <c r="G5343" s="315"/>
    </row>
    <row r="5344" spans="1:7" x14ac:dyDescent="0.25">
      <c r="A5344" s="320" t="str">
        <f t="shared" si="166"/>
        <v>I.6.1.0711</v>
      </c>
      <c r="B5344" s="320">
        <v>11</v>
      </c>
      <c r="C5344" s="319" t="str">
        <f>IFERROR(VLOOKUP(A5344,[3]DOORSCRIEFT!$A$2:$G$8551,2,FALSE),"")</f>
        <v/>
      </c>
      <c r="D5344" s="318" t="str">
        <f>IFERROR(VLOOKUP(A5344,[3]DOORSCRIEFT!$A$2:$G$8551,3,FALSE),"")</f>
        <v/>
      </c>
      <c r="E5344" s="317" t="str">
        <f>IFERROR(VLOOKUP(A5344,[3]DOORSCRIEFT!$A$2:$G$8551,4,FALSE),"")</f>
        <v/>
      </c>
      <c r="F5344" s="316" t="str">
        <f>IFERROR(VLOOKUP(A5344,[3]DOORSCRIEFT!$A$2:$G$8551,6,FALSE),"")</f>
        <v/>
      </c>
      <c r="G5344" s="315"/>
    </row>
    <row r="5345" spans="1:7" x14ac:dyDescent="0.25">
      <c r="A5345" s="320" t="str">
        <f t="shared" si="166"/>
        <v>I.6.1.0712</v>
      </c>
      <c r="B5345" s="321">
        <v>12</v>
      </c>
      <c r="C5345" s="319" t="str">
        <f>IFERROR(VLOOKUP(A5345,[3]DOORSCRIEFT!$A$2:$G$8551,2,FALSE),"")</f>
        <v/>
      </c>
      <c r="D5345" s="318" t="str">
        <f>IFERROR(VLOOKUP(A5345,[3]DOORSCRIEFT!$A$2:$G$8551,3,FALSE),"")</f>
        <v/>
      </c>
      <c r="E5345" s="317" t="str">
        <f>IFERROR(VLOOKUP(A5345,[3]DOORSCRIEFT!$A$2:$G$8551,4,FALSE),"")</f>
        <v/>
      </c>
      <c r="F5345" s="316" t="str">
        <f>IFERROR(VLOOKUP(A5345,[3]DOORSCRIEFT!$A$2:$G$8551,6,FALSE),"")</f>
        <v/>
      </c>
      <c r="G5345" s="315"/>
    </row>
    <row r="5346" spans="1:7" x14ac:dyDescent="0.25">
      <c r="A5346" s="320" t="str">
        <f t="shared" si="166"/>
        <v>I.6.1.0713</v>
      </c>
      <c r="B5346" s="320">
        <v>13</v>
      </c>
      <c r="C5346" s="319" t="str">
        <f>IFERROR(VLOOKUP(A5346,[3]DOORSCRIEFT!$A$2:$G$8551,2,FALSE),"")</f>
        <v/>
      </c>
      <c r="D5346" s="318" t="str">
        <f>IFERROR(VLOOKUP(A5346,[3]DOORSCRIEFT!$A$2:$G$8551,3,FALSE),"")</f>
        <v/>
      </c>
      <c r="E5346" s="317" t="str">
        <f>IFERROR(VLOOKUP(A5346,[3]DOORSCRIEFT!$A$2:$G$8551,4,FALSE),"")</f>
        <v/>
      </c>
      <c r="F5346" s="316" t="str">
        <f>IFERROR(VLOOKUP(A5346,[3]DOORSCRIEFT!$A$2:$G$8551,6,FALSE),"")</f>
        <v/>
      </c>
      <c r="G5346" s="315"/>
    </row>
    <row r="5347" spans="1:7" x14ac:dyDescent="0.25">
      <c r="A5347" s="320" t="str">
        <f t="shared" si="166"/>
        <v>I.6.1.0714</v>
      </c>
      <c r="B5347" s="321">
        <v>14</v>
      </c>
      <c r="C5347" s="319" t="str">
        <f>IFERROR(VLOOKUP(A5347,[3]DOORSCRIEFT!$A$2:$G$8551,2,FALSE),"")</f>
        <v/>
      </c>
      <c r="D5347" s="318" t="str">
        <f>IFERROR(VLOOKUP(A5347,[3]DOORSCRIEFT!$A$2:$G$8551,3,FALSE),"")</f>
        <v/>
      </c>
      <c r="E5347" s="317" t="str">
        <f>IFERROR(VLOOKUP(A5347,[3]DOORSCRIEFT!$A$2:$G$8551,4,FALSE),"")</f>
        <v/>
      </c>
      <c r="F5347" s="316" t="str">
        <f>IFERROR(VLOOKUP(A5347,[3]DOORSCRIEFT!$A$2:$G$8551,6,FALSE),"")</f>
        <v/>
      </c>
      <c r="G5347" s="315"/>
    </row>
    <row r="5348" spans="1:7" ht="15.75" thickBot="1" x14ac:dyDescent="0.3">
      <c r="A5348" s="320" t="str">
        <f t="shared" si="166"/>
        <v>I.6.1.0715</v>
      </c>
      <c r="B5348" s="320">
        <v>15</v>
      </c>
      <c r="C5348" s="319" t="str">
        <f>IFERROR(VLOOKUP(A5348,[3]DOORSCRIEFT!$A$2:$G$8551,2,FALSE),"")</f>
        <v/>
      </c>
      <c r="D5348" s="318" t="str">
        <f>IFERROR(VLOOKUP(A5348,[3]DOORSCRIEFT!$A$2:$G$8551,3,FALSE),"")</f>
        <v/>
      </c>
      <c r="E5348" s="317" t="str">
        <f>IFERROR(VLOOKUP(A5348,[3]DOORSCRIEFT!$A$2:$G$8551,4,FALSE),"")</f>
        <v/>
      </c>
      <c r="F5348" s="316" t="str">
        <f>IFERROR(VLOOKUP(A5348,[3]DOORSCRIEFT!$A$2:$G$8551,6,FALSE),"")</f>
        <v/>
      </c>
      <c r="G5348" s="315"/>
    </row>
    <row r="5349" spans="1:7" ht="15.75" thickBot="1" x14ac:dyDescent="0.3">
      <c r="A5349" s="314"/>
      <c r="B5349" s="312"/>
      <c r="C5349" s="336"/>
      <c r="D5349" s="312"/>
      <c r="E5349" s="311" t="s">
        <v>644</v>
      </c>
      <c r="F5349" s="310">
        <f>SUM(F5334:F5348)</f>
        <v>0</v>
      </c>
      <c r="G5349" s="309">
        <f>SUM(G5334:G5348)</f>
        <v>0</v>
      </c>
    </row>
    <row r="5350" spans="1:7" x14ac:dyDescent="0.25">
      <c r="C5350" s="335"/>
    </row>
    <row r="5351" spans="1:7" x14ac:dyDescent="0.25">
      <c r="C5351" s="335"/>
    </row>
    <row r="5352" spans="1:7" ht="15.75" x14ac:dyDescent="0.25">
      <c r="C5352" s="334"/>
      <c r="D5352" s="333"/>
      <c r="E5352" s="332"/>
      <c r="F5352" s="327" t="s">
        <v>607</v>
      </c>
      <c r="G5352" s="327" t="s">
        <v>296</v>
      </c>
    </row>
    <row r="5353" spans="1:7" ht="15.75" x14ac:dyDescent="0.25">
      <c r="C5353" s="334"/>
      <c r="D5353" s="333"/>
      <c r="E5353" s="332"/>
      <c r="F5353" s="327" t="s">
        <v>601</v>
      </c>
      <c r="G5353" s="327" t="s">
        <v>8</v>
      </c>
    </row>
    <row r="5354" spans="1:7" x14ac:dyDescent="0.25">
      <c r="C5354" s="330"/>
      <c r="D5354" s="329"/>
      <c r="E5354" s="328"/>
      <c r="F5354" s="327" t="s">
        <v>651</v>
      </c>
      <c r="G5354" s="331">
        <f>[2]Sheet1!$D$192</f>
        <v>0</v>
      </c>
    </row>
    <row r="5355" spans="1:7" ht="15.75" thickBot="1" x14ac:dyDescent="0.3">
      <c r="C5355" s="330"/>
      <c r="D5355" s="329"/>
      <c r="E5355" s="328"/>
      <c r="F5355" s="327" t="s">
        <v>650</v>
      </c>
      <c r="G5355" s="326">
        <f>+F5374-G5354</f>
        <v>0</v>
      </c>
    </row>
    <row r="5356" spans="1:7" x14ac:dyDescent="0.25">
      <c r="A5356" s="573" t="s">
        <v>626</v>
      </c>
      <c r="B5356" s="584" t="s">
        <v>606</v>
      </c>
      <c r="C5356" s="588" t="s">
        <v>649</v>
      </c>
      <c r="D5356" s="577" t="s">
        <v>648</v>
      </c>
      <c r="E5356" s="577" t="s">
        <v>647</v>
      </c>
      <c r="F5356" s="577" t="s">
        <v>646</v>
      </c>
      <c r="G5356" s="580" t="s">
        <v>645</v>
      </c>
    </row>
    <row r="5357" spans="1:7" ht="15.75" thickBot="1" x14ac:dyDescent="0.3">
      <c r="A5357" s="574"/>
      <c r="B5357" s="585"/>
      <c r="C5357" s="589"/>
      <c r="D5357" s="586"/>
      <c r="E5357" s="586"/>
      <c r="F5357" s="586"/>
      <c r="G5357" s="587"/>
    </row>
    <row r="5358" spans="1:7" ht="15.75" thickBot="1" x14ac:dyDescent="0.3">
      <c r="A5358" s="325">
        <v>1</v>
      </c>
      <c r="B5358" s="324">
        <v>2</v>
      </c>
      <c r="C5358" s="324">
        <v>3</v>
      </c>
      <c r="D5358" s="324">
        <v>4</v>
      </c>
      <c r="E5358" s="324">
        <v>5</v>
      </c>
      <c r="F5358" s="324">
        <v>6</v>
      </c>
      <c r="G5358" s="323">
        <v>7</v>
      </c>
    </row>
    <row r="5359" spans="1:7" x14ac:dyDescent="0.25">
      <c r="A5359" s="320" t="str">
        <f t="shared" ref="A5359:A5373" si="167">$G$5352&amp;B5359</f>
        <v>I.6.1.081</v>
      </c>
      <c r="B5359" s="320">
        <v>1</v>
      </c>
      <c r="C5359" s="319" t="str">
        <f>IFERROR(VLOOKUP(A5359,[3]DOORSCRIEFT!$A$2:$G$8551,2,FALSE),"")</f>
        <v/>
      </c>
      <c r="D5359" s="318" t="str">
        <f>IFERROR(VLOOKUP(A5359,[3]DOORSCRIEFT!$A$2:$G$8551,3,FALSE),"")</f>
        <v/>
      </c>
      <c r="E5359" s="317" t="str">
        <f>IFERROR(VLOOKUP(A5359,[3]DOORSCRIEFT!$A$2:$G$8551,4,FALSE),"")</f>
        <v/>
      </c>
      <c r="F5359" s="316" t="str">
        <f>IFERROR(VLOOKUP(A5359,[3]DOORSCRIEFT!$A$2:$G$8551,6,FALSE),"")</f>
        <v/>
      </c>
      <c r="G5359" s="322"/>
    </row>
    <row r="5360" spans="1:7" x14ac:dyDescent="0.25">
      <c r="A5360" s="320" t="str">
        <f t="shared" si="167"/>
        <v>I.6.1.082</v>
      </c>
      <c r="B5360" s="321">
        <v>2</v>
      </c>
      <c r="C5360" s="319" t="str">
        <f>IFERROR(VLOOKUP(A5360,[3]DOORSCRIEFT!$A$2:$G$8551,2,FALSE),"")</f>
        <v/>
      </c>
      <c r="D5360" s="318" t="str">
        <f>IFERROR(VLOOKUP(A5360,[3]DOORSCRIEFT!$A$2:$G$8551,3,FALSE),"")</f>
        <v/>
      </c>
      <c r="E5360" s="317" t="str">
        <f>IFERROR(VLOOKUP(A5360,[3]DOORSCRIEFT!$A$2:$G$8551,4,FALSE),"")</f>
        <v/>
      </c>
      <c r="F5360" s="316" t="str">
        <f>IFERROR(VLOOKUP(A5360,[3]DOORSCRIEFT!$A$2:$G$8551,6,FALSE),"")</f>
        <v/>
      </c>
      <c r="G5360" s="315"/>
    </row>
    <row r="5361" spans="1:7" x14ac:dyDescent="0.25">
      <c r="A5361" s="320" t="str">
        <f t="shared" si="167"/>
        <v>I.6.1.083</v>
      </c>
      <c r="B5361" s="320">
        <v>3</v>
      </c>
      <c r="C5361" s="319" t="str">
        <f>IFERROR(VLOOKUP(A5361,[3]DOORSCRIEFT!$A$2:$G$8551,2,FALSE),"")</f>
        <v/>
      </c>
      <c r="D5361" s="318" t="str">
        <f>IFERROR(VLOOKUP(A5361,[3]DOORSCRIEFT!$A$2:$G$8551,3,FALSE),"")</f>
        <v/>
      </c>
      <c r="E5361" s="317" t="str">
        <f>IFERROR(VLOOKUP(A5361,[3]DOORSCRIEFT!$A$2:$G$8551,4,FALSE),"")</f>
        <v/>
      </c>
      <c r="F5361" s="316" t="str">
        <f>IFERROR(VLOOKUP(A5361,[3]DOORSCRIEFT!$A$2:$G$8551,6,FALSE),"")</f>
        <v/>
      </c>
      <c r="G5361" s="315"/>
    </row>
    <row r="5362" spans="1:7" x14ac:dyDescent="0.25">
      <c r="A5362" s="320" t="str">
        <f t="shared" si="167"/>
        <v>I.6.1.084</v>
      </c>
      <c r="B5362" s="321">
        <v>4</v>
      </c>
      <c r="C5362" s="319" t="str">
        <f>IFERROR(VLOOKUP(A5362,[3]DOORSCRIEFT!$A$2:$G$8551,2,FALSE),"")</f>
        <v/>
      </c>
      <c r="D5362" s="318" t="str">
        <f>IFERROR(VLOOKUP(A5362,[3]DOORSCRIEFT!$A$2:$G$8551,3,FALSE),"")</f>
        <v/>
      </c>
      <c r="E5362" s="317" t="str">
        <f>IFERROR(VLOOKUP(A5362,[3]DOORSCRIEFT!$A$2:$G$8551,4,FALSE),"")</f>
        <v/>
      </c>
      <c r="F5362" s="316" t="str">
        <f>IFERROR(VLOOKUP(A5362,[3]DOORSCRIEFT!$A$2:$G$8551,6,FALSE),"")</f>
        <v/>
      </c>
      <c r="G5362" s="315"/>
    </row>
    <row r="5363" spans="1:7" x14ac:dyDescent="0.25">
      <c r="A5363" s="320" t="str">
        <f t="shared" si="167"/>
        <v>I.6.1.085</v>
      </c>
      <c r="B5363" s="320">
        <v>5</v>
      </c>
      <c r="C5363" s="319" t="str">
        <f>IFERROR(VLOOKUP(A5363,[3]DOORSCRIEFT!$A$2:$G$8551,2,FALSE),"")</f>
        <v/>
      </c>
      <c r="D5363" s="318" t="str">
        <f>IFERROR(VLOOKUP(A5363,[3]DOORSCRIEFT!$A$2:$G$8551,3,FALSE),"")</f>
        <v/>
      </c>
      <c r="E5363" s="317" t="str">
        <f>IFERROR(VLOOKUP(A5363,[3]DOORSCRIEFT!$A$2:$G$8551,4,FALSE),"")</f>
        <v/>
      </c>
      <c r="F5363" s="316" t="str">
        <f>IFERROR(VLOOKUP(A5363,[3]DOORSCRIEFT!$A$2:$G$8551,6,FALSE),"")</f>
        <v/>
      </c>
      <c r="G5363" s="315"/>
    </row>
    <row r="5364" spans="1:7" x14ac:dyDescent="0.25">
      <c r="A5364" s="320" t="str">
        <f t="shared" si="167"/>
        <v>I.6.1.086</v>
      </c>
      <c r="B5364" s="321">
        <v>6</v>
      </c>
      <c r="C5364" s="319" t="str">
        <f>IFERROR(VLOOKUP(A5364,[3]DOORSCRIEFT!$A$2:$G$8551,2,FALSE),"")</f>
        <v/>
      </c>
      <c r="D5364" s="318" t="str">
        <f>IFERROR(VLOOKUP(A5364,[3]DOORSCRIEFT!$A$2:$G$8551,3,FALSE),"")</f>
        <v/>
      </c>
      <c r="E5364" s="317" t="str">
        <f>IFERROR(VLOOKUP(A5364,[3]DOORSCRIEFT!$A$2:$G$8551,4,FALSE),"")</f>
        <v/>
      </c>
      <c r="F5364" s="316" t="str">
        <f>IFERROR(VLOOKUP(A5364,[3]DOORSCRIEFT!$A$2:$G$8551,6,FALSE),"")</f>
        <v/>
      </c>
      <c r="G5364" s="315"/>
    </row>
    <row r="5365" spans="1:7" x14ac:dyDescent="0.25">
      <c r="A5365" s="320" t="str">
        <f t="shared" si="167"/>
        <v>I.6.1.087</v>
      </c>
      <c r="B5365" s="320">
        <v>7</v>
      </c>
      <c r="C5365" s="319" t="str">
        <f>IFERROR(VLOOKUP(A5365,[3]DOORSCRIEFT!$A$2:$G$8551,2,FALSE),"")</f>
        <v/>
      </c>
      <c r="D5365" s="318" t="str">
        <f>IFERROR(VLOOKUP(A5365,[3]DOORSCRIEFT!$A$2:$G$8551,3,FALSE),"")</f>
        <v/>
      </c>
      <c r="E5365" s="317" t="str">
        <f>IFERROR(VLOOKUP(A5365,[3]DOORSCRIEFT!$A$2:$G$8551,4,FALSE),"")</f>
        <v/>
      </c>
      <c r="F5365" s="316" t="str">
        <f>IFERROR(VLOOKUP(A5365,[3]DOORSCRIEFT!$A$2:$G$8551,6,FALSE),"")</f>
        <v/>
      </c>
      <c r="G5365" s="315"/>
    </row>
    <row r="5366" spans="1:7" x14ac:dyDescent="0.25">
      <c r="A5366" s="320" t="str">
        <f t="shared" si="167"/>
        <v>I.6.1.088</v>
      </c>
      <c r="B5366" s="321">
        <v>8</v>
      </c>
      <c r="C5366" s="319" t="str">
        <f>IFERROR(VLOOKUP(A5366,[3]DOORSCRIEFT!$A$2:$G$8551,2,FALSE),"")</f>
        <v/>
      </c>
      <c r="D5366" s="318" t="str">
        <f>IFERROR(VLOOKUP(A5366,[3]DOORSCRIEFT!$A$2:$G$8551,3,FALSE),"")</f>
        <v/>
      </c>
      <c r="E5366" s="317" t="str">
        <f>IFERROR(VLOOKUP(A5366,[3]DOORSCRIEFT!$A$2:$G$8551,4,FALSE),"")</f>
        <v/>
      </c>
      <c r="F5366" s="316" t="str">
        <f>IFERROR(VLOOKUP(A5366,[3]DOORSCRIEFT!$A$2:$G$8551,6,FALSE),"")</f>
        <v/>
      </c>
      <c r="G5366" s="315"/>
    </row>
    <row r="5367" spans="1:7" x14ac:dyDescent="0.25">
      <c r="A5367" s="320" t="str">
        <f t="shared" si="167"/>
        <v>I.6.1.089</v>
      </c>
      <c r="B5367" s="320">
        <v>9</v>
      </c>
      <c r="C5367" s="319" t="str">
        <f>IFERROR(VLOOKUP(A5367,[3]DOORSCRIEFT!$A$2:$G$8551,2,FALSE),"")</f>
        <v/>
      </c>
      <c r="D5367" s="318" t="str">
        <f>IFERROR(VLOOKUP(A5367,[3]DOORSCRIEFT!$A$2:$G$8551,3,FALSE),"")</f>
        <v/>
      </c>
      <c r="E5367" s="317" t="str">
        <f>IFERROR(VLOOKUP(A5367,[3]DOORSCRIEFT!$A$2:$G$8551,4,FALSE),"")</f>
        <v/>
      </c>
      <c r="F5367" s="316" t="str">
        <f>IFERROR(VLOOKUP(A5367,[3]DOORSCRIEFT!$A$2:$G$8551,6,FALSE),"")</f>
        <v/>
      </c>
      <c r="G5367" s="315"/>
    </row>
    <row r="5368" spans="1:7" x14ac:dyDescent="0.25">
      <c r="A5368" s="320" t="str">
        <f t="shared" si="167"/>
        <v>I.6.1.0810</v>
      </c>
      <c r="B5368" s="321">
        <v>10</v>
      </c>
      <c r="C5368" s="319" t="str">
        <f>IFERROR(VLOOKUP(A5368,[3]DOORSCRIEFT!$A$2:$G$8551,2,FALSE),"")</f>
        <v/>
      </c>
      <c r="D5368" s="318" t="str">
        <f>IFERROR(VLOOKUP(A5368,[3]DOORSCRIEFT!$A$2:$G$8551,3,FALSE),"")</f>
        <v/>
      </c>
      <c r="E5368" s="317" t="str">
        <f>IFERROR(VLOOKUP(A5368,[3]DOORSCRIEFT!$A$2:$G$8551,4,FALSE),"")</f>
        <v/>
      </c>
      <c r="F5368" s="316" t="str">
        <f>IFERROR(VLOOKUP(A5368,[3]DOORSCRIEFT!$A$2:$G$8551,6,FALSE),"")</f>
        <v/>
      </c>
      <c r="G5368" s="315"/>
    </row>
    <row r="5369" spans="1:7" x14ac:dyDescent="0.25">
      <c r="A5369" s="320" t="str">
        <f t="shared" si="167"/>
        <v>I.6.1.0811</v>
      </c>
      <c r="B5369" s="320">
        <v>11</v>
      </c>
      <c r="C5369" s="319" t="str">
        <f>IFERROR(VLOOKUP(A5369,[3]DOORSCRIEFT!$A$2:$G$8551,2,FALSE),"")</f>
        <v/>
      </c>
      <c r="D5369" s="318" t="str">
        <f>IFERROR(VLOOKUP(A5369,[3]DOORSCRIEFT!$A$2:$G$8551,3,FALSE),"")</f>
        <v/>
      </c>
      <c r="E5369" s="317" t="str">
        <f>IFERROR(VLOOKUP(A5369,[3]DOORSCRIEFT!$A$2:$G$8551,4,FALSE),"")</f>
        <v/>
      </c>
      <c r="F5369" s="316" t="str">
        <f>IFERROR(VLOOKUP(A5369,[3]DOORSCRIEFT!$A$2:$G$8551,6,FALSE),"")</f>
        <v/>
      </c>
      <c r="G5369" s="315"/>
    </row>
    <row r="5370" spans="1:7" x14ac:dyDescent="0.25">
      <c r="A5370" s="320" t="str">
        <f t="shared" si="167"/>
        <v>I.6.1.0812</v>
      </c>
      <c r="B5370" s="321">
        <v>12</v>
      </c>
      <c r="C5370" s="319" t="str">
        <f>IFERROR(VLOOKUP(A5370,[3]DOORSCRIEFT!$A$2:$G$8551,2,FALSE),"")</f>
        <v/>
      </c>
      <c r="D5370" s="318" t="str">
        <f>IFERROR(VLOOKUP(A5370,[3]DOORSCRIEFT!$A$2:$G$8551,3,FALSE),"")</f>
        <v/>
      </c>
      <c r="E5370" s="317" t="str">
        <f>IFERROR(VLOOKUP(A5370,[3]DOORSCRIEFT!$A$2:$G$8551,4,FALSE),"")</f>
        <v/>
      </c>
      <c r="F5370" s="316" t="str">
        <f>IFERROR(VLOOKUP(A5370,[3]DOORSCRIEFT!$A$2:$G$8551,6,FALSE),"")</f>
        <v/>
      </c>
      <c r="G5370" s="315"/>
    </row>
    <row r="5371" spans="1:7" x14ac:dyDescent="0.25">
      <c r="A5371" s="320" t="str">
        <f t="shared" si="167"/>
        <v>I.6.1.0813</v>
      </c>
      <c r="B5371" s="320">
        <v>13</v>
      </c>
      <c r="C5371" s="319" t="str">
        <f>IFERROR(VLOOKUP(A5371,[3]DOORSCRIEFT!$A$2:$G$8551,2,FALSE),"")</f>
        <v/>
      </c>
      <c r="D5371" s="318" t="str">
        <f>IFERROR(VLOOKUP(A5371,[3]DOORSCRIEFT!$A$2:$G$8551,3,FALSE),"")</f>
        <v/>
      </c>
      <c r="E5371" s="317" t="str">
        <f>IFERROR(VLOOKUP(A5371,[3]DOORSCRIEFT!$A$2:$G$8551,4,FALSE),"")</f>
        <v/>
      </c>
      <c r="F5371" s="316" t="str">
        <f>IFERROR(VLOOKUP(A5371,[3]DOORSCRIEFT!$A$2:$G$8551,6,FALSE),"")</f>
        <v/>
      </c>
      <c r="G5371" s="315"/>
    </row>
    <row r="5372" spans="1:7" x14ac:dyDescent="0.25">
      <c r="A5372" s="320" t="str">
        <f t="shared" si="167"/>
        <v>I.6.1.0814</v>
      </c>
      <c r="B5372" s="321">
        <v>14</v>
      </c>
      <c r="C5372" s="319" t="str">
        <f>IFERROR(VLOOKUP(A5372,[3]DOORSCRIEFT!$A$2:$G$8551,2,FALSE),"")</f>
        <v/>
      </c>
      <c r="D5372" s="318" t="str">
        <f>IFERROR(VLOOKUP(A5372,[3]DOORSCRIEFT!$A$2:$G$8551,3,FALSE),"")</f>
        <v/>
      </c>
      <c r="E5372" s="317" t="str">
        <f>IFERROR(VLOOKUP(A5372,[3]DOORSCRIEFT!$A$2:$G$8551,4,FALSE),"")</f>
        <v/>
      </c>
      <c r="F5372" s="316" t="str">
        <f>IFERROR(VLOOKUP(A5372,[3]DOORSCRIEFT!$A$2:$G$8551,6,FALSE),"")</f>
        <v/>
      </c>
      <c r="G5372" s="315"/>
    </row>
    <row r="5373" spans="1:7" ht="15.75" thickBot="1" x14ac:dyDescent="0.3">
      <c r="A5373" s="320" t="str">
        <f t="shared" si="167"/>
        <v>I.6.1.0815</v>
      </c>
      <c r="B5373" s="320">
        <v>15</v>
      </c>
      <c r="C5373" s="319" t="str">
        <f>IFERROR(VLOOKUP(A5373,[3]DOORSCRIEFT!$A$2:$G$8551,2,FALSE),"")</f>
        <v/>
      </c>
      <c r="D5373" s="318" t="str">
        <f>IFERROR(VLOOKUP(A5373,[3]DOORSCRIEFT!$A$2:$G$8551,3,FALSE),"")</f>
        <v/>
      </c>
      <c r="E5373" s="317" t="str">
        <f>IFERROR(VLOOKUP(A5373,[3]DOORSCRIEFT!$A$2:$G$8551,4,FALSE),"")</f>
        <v/>
      </c>
      <c r="F5373" s="316" t="str">
        <f>IFERROR(VLOOKUP(A5373,[3]DOORSCRIEFT!$A$2:$G$8551,6,FALSE),"")</f>
        <v/>
      </c>
      <c r="G5373" s="315"/>
    </row>
    <row r="5374" spans="1:7" ht="15.75" thickBot="1" x14ac:dyDescent="0.3">
      <c r="A5374" s="314"/>
      <c r="B5374" s="312"/>
      <c r="C5374" s="336"/>
      <c r="D5374" s="312"/>
      <c r="E5374" s="311" t="s">
        <v>644</v>
      </c>
      <c r="F5374" s="310">
        <f>SUM(F5359:F5373)</f>
        <v>0</v>
      </c>
      <c r="G5374" s="309">
        <f>SUM(G5359:G5373)</f>
        <v>0</v>
      </c>
    </row>
    <row r="5375" spans="1:7" x14ac:dyDescent="0.25">
      <c r="C5375" s="335"/>
    </row>
    <row r="5376" spans="1:7" x14ac:dyDescent="0.25">
      <c r="C5376" s="335"/>
    </row>
    <row r="5377" spans="1:7" ht="15.75" x14ac:dyDescent="0.25">
      <c r="C5377" s="334"/>
      <c r="D5377" s="333"/>
      <c r="E5377" s="332"/>
      <c r="F5377" s="327" t="s">
        <v>607</v>
      </c>
      <c r="G5377" s="327" t="s">
        <v>295</v>
      </c>
    </row>
    <row r="5378" spans="1:7" ht="57.75" x14ac:dyDescent="0.25">
      <c r="C5378" s="334"/>
      <c r="D5378" s="333"/>
      <c r="E5378" s="332"/>
      <c r="F5378" s="327" t="s">
        <v>601</v>
      </c>
      <c r="G5378" s="337" t="s">
        <v>294</v>
      </c>
    </row>
    <row r="5379" spans="1:7" x14ac:dyDescent="0.25">
      <c r="C5379" s="330"/>
      <c r="D5379" s="329"/>
      <c r="E5379" s="328"/>
      <c r="F5379" s="327" t="s">
        <v>651</v>
      </c>
      <c r="G5379" s="331">
        <f>[2]Sheet1!$D$193</f>
        <v>0</v>
      </c>
    </row>
    <row r="5380" spans="1:7" ht="15.75" thickBot="1" x14ac:dyDescent="0.3">
      <c r="C5380" s="330"/>
      <c r="D5380" s="329"/>
      <c r="E5380" s="328"/>
      <c r="F5380" s="327" t="s">
        <v>650</v>
      </c>
      <c r="G5380" s="326">
        <f>+F5399-G5379</f>
        <v>0</v>
      </c>
    </row>
    <row r="5381" spans="1:7" x14ac:dyDescent="0.25">
      <c r="A5381" s="573" t="s">
        <v>626</v>
      </c>
      <c r="B5381" s="584" t="s">
        <v>606</v>
      </c>
      <c r="C5381" s="588" t="s">
        <v>649</v>
      </c>
      <c r="D5381" s="577" t="s">
        <v>648</v>
      </c>
      <c r="E5381" s="577" t="s">
        <v>647</v>
      </c>
      <c r="F5381" s="577" t="s">
        <v>646</v>
      </c>
      <c r="G5381" s="580" t="s">
        <v>645</v>
      </c>
    </row>
    <row r="5382" spans="1:7" ht="15.75" thickBot="1" x14ac:dyDescent="0.3">
      <c r="A5382" s="574"/>
      <c r="B5382" s="585"/>
      <c r="C5382" s="589"/>
      <c r="D5382" s="586"/>
      <c r="E5382" s="586"/>
      <c r="F5382" s="586"/>
      <c r="G5382" s="587"/>
    </row>
    <row r="5383" spans="1:7" ht="15.75" thickBot="1" x14ac:dyDescent="0.3">
      <c r="A5383" s="325">
        <v>1</v>
      </c>
      <c r="B5383" s="324">
        <v>2</v>
      </c>
      <c r="C5383" s="324">
        <v>3</v>
      </c>
      <c r="D5383" s="324">
        <v>4</v>
      </c>
      <c r="E5383" s="324">
        <v>5</v>
      </c>
      <c r="F5383" s="324">
        <v>6</v>
      </c>
      <c r="G5383" s="323">
        <v>7</v>
      </c>
    </row>
    <row r="5384" spans="1:7" x14ac:dyDescent="0.25">
      <c r="A5384" s="320" t="str">
        <f t="shared" ref="A5384:A5398" si="168">$G$5377&amp;B5384</f>
        <v>I.6.1.091</v>
      </c>
      <c r="B5384" s="320">
        <v>1</v>
      </c>
      <c r="C5384" s="319" t="str">
        <f>IFERROR(VLOOKUP(A5384,[3]DOORSCRIEFT!$A$2:$G$8551,2,FALSE),"")</f>
        <v/>
      </c>
      <c r="D5384" s="318" t="str">
        <f>IFERROR(VLOOKUP(A5384,[3]DOORSCRIEFT!$A$2:$G$8551,3,FALSE),"")</f>
        <v/>
      </c>
      <c r="E5384" s="317" t="str">
        <f>IFERROR(VLOOKUP(A5384,[3]DOORSCRIEFT!$A$2:$G$8551,4,FALSE),"")</f>
        <v/>
      </c>
      <c r="F5384" s="316" t="str">
        <f>IFERROR(VLOOKUP(A5384,[3]DOORSCRIEFT!$A$2:$G$8551,6,FALSE),"")</f>
        <v/>
      </c>
      <c r="G5384" s="322"/>
    </row>
    <row r="5385" spans="1:7" x14ac:dyDescent="0.25">
      <c r="A5385" s="320" t="str">
        <f t="shared" si="168"/>
        <v>I.6.1.092</v>
      </c>
      <c r="B5385" s="321">
        <v>2</v>
      </c>
      <c r="C5385" s="319" t="str">
        <f>IFERROR(VLOOKUP(A5385,[3]DOORSCRIEFT!$A$2:$G$8551,2,FALSE),"")</f>
        <v/>
      </c>
      <c r="D5385" s="318" t="str">
        <f>IFERROR(VLOOKUP(A5385,[3]DOORSCRIEFT!$A$2:$G$8551,3,FALSE),"")</f>
        <v/>
      </c>
      <c r="E5385" s="317" t="str">
        <f>IFERROR(VLOOKUP(A5385,[3]DOORSCRIEFT!$A$2:$G$8551,4,FALSE),"")</f>
        <v/>
      </c>
      <c r="F5385" s="316" t="str">
        <f>IFERROR(VLOOKUP(A5385,[3]DOORSCRIEFT!$A$2:$G$8551,6,FALSE),"")</f>
        <v/>
      </c>
      <c r="G5385" s="315"/>
    </row>
    <row r="5386" spans="1:7" x14ac:dyDescent="0.25">
      <c r="A5386" s="320" t="str">
        <f t="shared" si="168"/>
        <v>I.6.1.093</v>
      </c>
      <c r="B5386" s="320">
        <v>3</v>
      </c>
      <c r="C5386" s="319" t="str">
        <f>IFERROR(VLOOKUP(A5386,[3]DOORSCRIEFT!$A$2:$G$8551,2,FALSE),"")</f>
        <v/>
      </c>
      <c r="D5386" s="318" t="str">
        <f>IFERROR(VLOOKUP(A5386,[3]DOORSCRIEFT!$A$2:$G$8551,3,FALSE),"")</f>
        <v/>
      </c>
      <c r="E5386" s="317" t="str">
        <f>IFERROR(VLOOKUP(A5386,[3]DOORSCRIEFT!$A$2:$G$8551,4,FALSE),"")</f>
        <v/>
      </c>
      <c r="F5386" s="316" t="str">
        <f>IFERROR(VLOOKUP(A5386,[3]DOORSCRIEFT!$A$2:$G$8551,6,FALSE),"")</f>
        <v/>
      </c>
      <c r="G5386" s="315"/>
    </row>
    <row r="5387" spans="1:7" x14ac:dyDescent="0.25">
      <c r="A5387" s="320" t="str">
        <f t="shared" si="168"/>
        <v>I.6.1.094</v>
      </c>
      <c r="B5387" s="321">
        <v>4</v>
      </c>
      <c r="C5387" s="319" t="str">
        <f>IFERROR(VLOOKUP(A5387,[3]DOORSCRIEFT!$A$2:$G$8551,2,FALSE),"")</f>
        <v/>
      </c>
      <c r="D5387" s="318" t="str">
        <f>IFERROR(VLOOKUP(A5387,[3]DOORSCRIEFT!$A$2:$G$8551,3,FALSE),"")</f>
        <v/>
      </c>
      <c r="E5387" s="317" t="str">
        <f>IFERROR(VLOOKUP(A5387,[3]DOORSCRIEFT!$A$2:$G$8551,4,FALSE),"")</f>
        <v/>
      </c>
      <c r="F5387" s="316" t="str">
        <f>IFERROR(VLOOKUP(A5387,[3]DOORSCRIEFT!$A$2:$G$8551,6,FALSE),"")</f>
        <v/>
      </c>
      <c r="G5387" s="315"/>
    </row>
    <row r="5388" spans="1:7" x14ac:dyDescent="0.25">
      <c r="A5388" s="320" t="str">
        <f t="shared" si="168"/>
        <v>I.6.1.095</v>
      </c>
      <c r="B5388" s="320">
        <v>5</v>
      </c>
      <c r="C5388" s="319" t="str">
        <f>IFERROR(VLOOKUP(A5388,[3]DOORSCRIEFT!$A$2:$G$8551,2,FALSE),"")</f>
        <v/>
      </c>
      <c r="D5388" s="318" t="str">
        <f>IFERROR(VLOOKUP(A5388,[3]DOORSCRIEFT!$A$2:$G$8551,3,FALSE),"")</f>
        <v/>
      </c>
      <c r="E5388" s="317" t="str">
        <f>IFERROR(VLOOKUP(A5388,[3]DOORSCRIEFT!$A$2:$G$8551,4,FALSE),"")</f>
        <v/>
      </c>
      <c r="F5388" s="316" t="str">
        <f>IFERROR(VLOOKUP(A5388,[3]DOORSCRIEFT!$A$2:$G$8551,6,FALSE),"")</f>
        <v/>
      </c>
      <c r="G5388" s="315"/>
    </row>
    <row r="5389" spans="1:7" x14ac:dyDescent="0.25">
      <c r="A5389" s="320" t="str">
        <f t="shared" si="168"/>
        <v>I.6.1.096</v>
      </c>
      <c r="B5389" s="321">
        <v>6</v>
      </c>
      <c r="C5389" s="319" t="str">
        <f>IFERROR(VLOOKUP(A5389,[3]DOORSCRIEFT!$A$2:$G$8551,2,FALSE),"")</f>
        <v/>
      </c>
      <c r="D5389" s="318" t="str">
        <f>IFERROR(VLOOKUP(A5389,[3]DOORSCRIEFT!$A$2:$G$8551,3,FALSE),"")</f>
        <v/>
      </c>
      <c r="E5389" s="317" t="str">
        <f>IFERROR(VLOOKUP(A5389,[3]DOORSCRIEFT!$A$2:$G$8551,4,FALSE),"")</f>
        <v/>
      </c>
      <c r="F5389" s="316" t="str">
        <f>IFERROR(VLOOKUP(A5389,[3]DOORSCRIEFT!$A$2:$G$8551,6,FALSE),"")</f>
        <v/>
      </c>
      <c r="G5389" s="315"/>
    </row>
    <row r="5390" spans="1:7" x14ac:dyDescent="0.25">
      <c r="A5390" s="320" t="str">
        <f t="shared" si="168"/>
        <v>I.6.1.097</v>
      </c>
      <c r="B5390" s="320">
        <v>7</v>
      </c>
      <c r="C5390" s="319" t="str">
        <f>IFERROR(VLOOKUP(A5390,[3]DOORSCRIEFT!$A$2:$G$8551,2,FALSE),"")</f>
        <v/>
      </c>
      <c r="D5390" s="318" t="str">
        <f>IFERROR(VLOOKUP(A5390,[3]DOORSCRIEFT!$A$2:$G$8551,3,FALSE),"")</f>
        <v/>
      </c>
      <c r="E5390" s="317" t="str">
        <f>IFERROR(VLOOKUP(A5390,[3]DOORSCRIEFT!$A$2:$G$8551,4,FALSE),"")</f>
        <v/>
      </c>
      <c r="F5390" s="316" t="str">
        <f>IFERROR(VLOOKUP(A5390,[3]DOORSCRIEFT!$A$2:$G$8551,6,FALSE),"")</f>
        <v/>
      </c>
      <c r="G5390" s="315"/>
    </row>
    <row r="5391" spans="1:7" x14ac:dyDescent="0.25">
      <c r="A5391" s="320" t="str">
        <f t="shared" si="168"/>
        <v>I.6.1.098</v>
      </c>
      <c r="B5391" s="321">
        <v>8</v>
      </c>
      <c r="C5391" s="319" t="str">
        <f>IFERROR(VLOOKUP(A5391,[3]DOORSCRIEFT!$A$2:$G$8551,2,FALSE),"")</f>
        <v/>
      </c>
      <c r="D5391" s="318" t="str">
        <f>IFERROR(VLOOKUP(A5391,[3]DOORSCRIEFT!$A$2:$G$8551,3,FALSE),"")</f>
        <v/>
      </c>
      <c r="E5391" s="317" t="str">
        <f>IFERROR(VLOOKUP(A5391,[3]DOORSCRIEFT!$A$2:$G$8551,4,FALSE),"")</f>
        <v/>
      </c>
      <c r="F5391" s="316" t="str">
        <f>IFERROR(VLOOKUP(A5391,[3]DOORSCRIEFT!$A$2:$G$8551,6,FALSE),"")</f>
        <v/>
      </c>
      <c r="G5391" s="315"/>
    </row>
    <row r="5392" spans="1:7" x14ac:dyDescent="0.25">
      <c r="A5392" s="320" t="str">
        <f t="shared" si="168"/>
        <v>I.6.1.099</v>
      </c>
      <c r="B5392" s="320">
        <v>9</v>
      </c>
      <c r="C5392" s="319" t="str">
        <f>IFERROR(VLOOKUP(A5392,[3]DOORSCRIEFT!$A$2:$G$8551,2,FALSE),"")</f>
        <v/>
      </c>
      <c r="D5392" s="318" t="str">
        <f>IFERROR(VLOOKUP(A5392,[3]DOORSCRIEFT!$A$2:$G$8551,3,FALSE),"")</f>
        <v/>
      </c>
      <c r="E5392" s="317" t="str">
        <f>IFERROR(VLOOKUP(A5392,[3]DOORSCRIEFT!$A$2:$G$8551,4,FALSE),"")</f>
        <v/>
      </c>
      <c r="F5392" s="316" t="str">
        <f>IFERROR(VLOOKUP(A5392,[3]DOORSCRIEFT!$A$2:$G$8551,6,FALSE),"")</f>
        <v/>
      </c>
      <c r="G5392" s="315"/>
    </row>
    <row r="5393" spans="1:7" x14ac:dyDescent="0.25">
      <c r="A5393" s="320" t="str">
        <f t="shared" si="168"/>
        <v>I.6.1.0910</v>
      </c>
      <c r="B5393" s="321">
        <v>10</v>
      </c>
      <c r="C5393" s="319" t="str">
        <f>IFERROR(VLOOKUP(A5393,[3]DOORSCRIEFT!$A$2:$G$8551,2,FALSE),"")</f>
        <v/>
      </c>
      <c r="D5393" s="318" t="str">
        <f>IFERROR(VLOOKUP(A5393,[3]DOORSCRIEFT!$A$2:$G$8551,3,FALSE),"")</f>
        <v/>
      </c>
      <c r="E5393" s="317" t="str">
        <f>IFERROR(VLOOKUP(A5393,[3]DOORSCRIEFT!$A$2:$G$8551,4,FALSE),"")</f>
        <v/>
      </c>
      <c r="F5393" s="316" t="str">
        <f>IFERROR(VLOOKUP(A5393,[3]DOORSCRIEFT!$A$2:$G$8551,6,FALSE),"")</f>
        <v/>
      </c>
      <c r="G5393" s="315"/>
    </row>
    <row r="5394" spans="1:7" x14ac:dyDescent="0.25">
      <c r="A5394" s="320" t="str">
        <f t="shared" si="168"/>
        <v>I.6.1.0911</v>
      </c>
      <c r="B5394" s="320">
        <v>11</v>
      </c>
      <c r="C5394" s="319" t="str">
        <f>IFERROR(VLOOKUP(A5394,[3]DOORSCRIEFT!$A$2:$G$8551,2,FALSE),"")</f>
        <v/>
      </c>
      <c r="D5394" s="318" t="str">
        <f>IFERROR(VLOOKUP(A5394,[3]DOORSCRIEFT!$A$2:$G$8551,3,FALSE),"")</f>
        <v/>
      </c>
      <c r="E5394" s="317" t="str">
        <f>IFERROR(VLOOKUP(A5394,[3]DOORSCRIEFT!$A$2:$G$8551,4,FALSE),"")</f>
        <v/>
      </c>
      <c r="F5394" s="316" t="str">
        <f>IFERROR(VLOOKUP(A5394,[3]DOORSCRIEFT!$A$2:$G$8551,6,FALSE),"")</f>
        <v/>
      </c>
      <c r="G5394" s="315"/>
    </row>
    <row r="5395" spans="1:7" x14ac:dyDescent="0.25">
      <c r="A5395" s="320" t="str">
        <f t="shared" si="168"/>
        <v>I.6.1.0912</v>
      </c>
      <c r="B5395" s="321">
        <v>12</v>
      </c>
      <c r="C5395" s="319" t="str">
        <f>IFERROR(VLOOKUP(A5395,[3]DOORSCRIEFT!$A$2:$G$8551,2,FALSE),"")</f>
        <v/>
      </c>
      <c r="D5395" s="318" t="str">
        <f>IFERROR(VLOOKUP(A5395,[3]DOORSCRIEFT!$A$2:$G$8551,3,FALSE),"")</f>
        <v/>
      </c>
      <c r="E5395" s="317" t="str">
        <f>IFERROR(VLOOKUP(A5395,[3]DOORSCRIEFT!$A$2:$G$8551,4,FALSE),"")</f>
        <v/>
      </c>
      <c r="F5395" s="316" t="str">
        <f>IFERROR(VLOOKUP(A5395,[3]DOORSCRIEFT!$A$2:$G$8551,6,FALSE),"")</f>
        <v/>
      </c>
      <c r="G5395" s="315"/>
    </row>
    <row r="5396" spans="1:7" x14ac:dyDescent="0.25">
      <c r="A5396" s="320" t="str">
        <f t="shared" si="168"/>
        <v>I.6.1.0913</v>
      </c>
      <c r="B5396" s="320">
        <v>13</v>
      </c>
      <c r="C5396" s="319" t="str">
        <f>IFERROR(VLOOKUP(A5396,[3]DOORSCRIEFT!$A$2:$G$8551,2,FALSE),"")</f>
        <v/>
      </c>
      <c r="D5396" s="318" t="str">
        <f>IFERROR(VLOOKUP(A5396,[3]DOORSCRIEFT!$A$2:$G$8551,3,FALSE),"")</f>
        <v/>
      </c>
      <c r="E5396" s="317" t="str">
        <f>IFERROR(VLOOKUP(A5396,[3]DOORSCRIEFT!$A$2:$G$8551,4,FALSE),"")</f>
        <v/>
      </c>
      <c r="F5396" s="316" t="str">
        <f>IFERROR(VLOOKUP(A5396,[3]DOORSCRIEFT!$A$2:$G$8551,6,FALSE),"")</f>
        <v/>
      </c>
      <c r="G5396" s="315"/>
    </row>
    <row r="5397" spans="1:7" x14ac:dyDescent="0.25">
      <c r="A5397" s="320" t="str">
        <f t="shared" si="168"/>
        <v>I.6.1.0914</v>
      </c>
      <c r="B5397" s="321">
        <v>14</v>
      </c>
      <c r="C5397" s="319" t="str">
        <f>IFERROR(VLOOKUP(A5397,[3]DOORSCRIEFT!$A$2:$G$8551,2,FALSE),"")</f>
        <v/>
      </c>
      <c r="D5397" s="318" t="str">
        <f>IFERROR(VLOOKUP(A5397,[3]DOORSCRIEFT!$A$2:$G$8551,3,FALSE),"")</f>
        <v/>
      </c>
      <c r="E5397" s="317" t="str">
        <f>IFERROR(VLOOKUP(A5397,[3]DOORSCRIEFT!$A$2:$G$8551,4,FALSE),"")</f>
        <v/>
      </c>
      <c r="F5397" s="316" t="str">
        <f>IFERROR(VLOOKUP(A5397,[3]DOORSCRIEFT!$A$2:$G$8551,6,FALSE),"")</f>
        <v/>
      </c>
      <c r="G5397" s="315"/>
    </row>
    <row r="5398" spans="1:7" ht="15.75" thickBot="1" x14ac:dyDescent="0.3">
      <c r="A5398" s="320" t="str">
        <f t="shared" si="168"/>
        <v>I.6.1.0915</v>
      </c>
      <c r="B5398" s="320">
        <v>15</v>
      </c>
      <c r="C5398" s="319" t="str">
        <f>IFERROR(VLOOKUP(A5398,[3]DOORSCRIEFT!$A$2:$G$8551,2,FALSE),"")</f>
        <v/>
      </c>
      <c r="D5398" s="318" t="str">
        <f>IFERROR(VLOOKUP(A5398,[3]DOORSCRIEFT!$A$2:$G$8551,3,FALSE),"")</f>
        <v/>
      </c>
      <c r="E5398" s="317" t="str">
        <f>IFERROR(VLOOKUP(A5398,[3]DOORSCRIEFT!$A$2:$G$8551,4,FALSE),"")</f>
        <v/>
      </c>
      <c r="F5398" s="316" t="str">
        <f>IFERROR(VLOOKUP(A5398,[3]DOORSCRIEFT!$A$2:$G$8551,6,FALSE),"")</f>
        <v/>
      </c>
      <c r="G5398" s="315"/>
    </row>
    <row r="5399" spans="1:7" ht="15.75" thickBot="1" x14ac:dyDescent="0.3">
      <c r="A5399" s="314"/>
      <c r="B5399" s="312"/>
      <c r="C5399" s="336"/>
      <c r="D5399" s="312"/>
      <c r="E5399" s="311" t="s">
        <v>644</v>
      </c>
      <c r="F5399" s="310">
        <f>SUM(F5384:F5398)</f>
        <v>0</v>
      </c>
      <c r="G5399" s="309">
        <f>SUM(G5384:G5398)</f>
        <v>0</v>
      </c>
    </row>
    <row r="5400" spans="1:7" x14ac:dyDescent="0.25">
      <c r="C5400" s="335"/>
    </row>
    <row r="5401" spans="1:7" x14ac:dyDescent="0.25">
      <c r="C5401" s="335"/>
    </row>
    <row r="5402" spans="1:7" ht="15.75" x14ac:dyDescent="0.25">
      <c r="C5402" s="334"/>
      <c r="D5402" s="333"/>
      <c r="E5402" s="332"/>
      <c r="F5402" s="327" t="s">
        <v>607</v>
      </c>
      <c r="G5402" s="327" t="s">
        <v>293</v>
      </c>
    </row>
    <row r="5403" spans="1:7" ht="15.75" x14ac:dyDescent="0.25">
      <c r="C5403" s="334"/>
      <c r="D5403" s="333"/>
      <c r="E5403" s="332"/>
      <c r="F5403" s="327" t="s">
        <v>601</v>
      </c>
      <c r="G5403" s="327" t="s">
        <v>292</v>
      </c>
    </row>
    <row r="5404" spans="1:7" x14ac:dyDescent="0.25">
      <c r="C5404" s="330"/>
      <c r="D5404" s="329"/>
      <c r="E5404" s="328"/>
      <c r="F5404" s="327" t="s">
        <v>651</v>
      </c>
      <c r="G5404" s="331">
        <f>[2]Sheet1!$D$194</f>
        <v>0</v>
      </c>
    </row>
    <row r="5405" spans="1:7" ht="15.75" thickBot="1" x14ac:dyDescent="0.3">
      <c r="C5405" s="330"/>
      <c r="D5405" s="329"/>
      <c r="E5405" s="328"/>
      <c r="F5405" s="327" t="s">
        <v>650</v>
      </c>
      <c r="G5405" s="326">
        <f>+F5424-G5404</f>
        <v>0</v>
      </c>
    </row>
    <row r="5406" spans="1:7" x14ac:dyDescent="0.25">
      <c r="A5406" s="573" t="s">
        <v>626</v>
      </c>
      <c r="B5406" s="584" t="s">
        <v>606</v>
      </c>
      <c r="C5406" s="588" t="s">
        <v>649</v>
      </c>
      <c r="D5406" s="577" t="s">
        <v>648</v>
      </c>
      <c r="E5406" s="577" t="s">
        <v>647</v>
      </c>
      <c r="F5406" s="577" t="s">
        <v>646</v>
      </c>
      <c r="G5406" s="580" t="s">
        <v>645</v>
      </c>
    </row>
    <row r="5407" spans="1:7" ht="15.75" thickBot="1" x14ac:dyDescent="0.3">
      <c r="A5407" s="574"/>
      <c r="B5407" s="585"/>
      <c r="C5407" s="589"/>
      <c r="D5407" s="586"/>
      <c r="E5407" s="586"/>
      <c r="F5407" s="586"/>
      <c r="G5407" s="587"/>
    </row>
    <row r="5408" spans="1:7" ht="15.75" thickBot="1" x14ac:dyDescent="0.3">
      <c r="A5408" s="325">
        <v>1</v>
      </c>
      <c r="B5408" s="324">
        <v>2</v>
      </c>
      <c r="C5408" s="324">
        <v>3</v>
      </c>
      <c r="D5408" s="324">
        <v>4</v>
      </c>
      <c r="E5408" s="324">
        <v>5</v>
      </c>
      <c r="F5408" s="324">
        <v>6</v>
      </c>
      <c r="G5408" s="323">
        <v>7</v>
      </c>
    </row>
    <row r="5409" spans="1:7" x14ac:dyDescent="0.25">
      <c r="A5409" s="320" t="str">
        <f t="shared" ref="A5409:A5423" si="169">$G$5402&amp;B5409</f>
        <v>I.6.1.101</v>
      </c>
      <c r="B5409" s="320">
        <v>1</v>
      </c>
      <c r="C5409" s="319" t="str">
        <f>IFERROR(VLOOKUP(A5409,[3]DOORSCRIEFT!$A$2:$G$8551,2,FALSE),"")</f>
        <v/>
      </c>
      <c r="D5409" s="318" t="str">
        <f>IFERROR(VLOOKUP(A5409,[3]DOORSCRIEFT!$A$2:$G$8551,3,FALSE),"")</f>
        <v/>
      </c>
      <c r="E5409" s="317" t="str">
        <f>IFERROR(VLOOKUP(A5409,[3]DOORSCRIEFT!$A$2:$G$8551,4,FALSE),"")</f>
        <v/>
      </c>
      <c r="F5409" s="316" t="str">
        <f>IFERROR(VLOOKUP(A5409,[3]DOORSCRIEFT!$A$2:$G$8551,6,FALSE),"")</f>
        <v/>
      </c>
      <c r="G5409" s="322"/>
    </row>
    <row r="5410" spans="1:7" x14ac:dyDescent="0.25">
      <c r="A5410" s="320" t="str">
        <f t="shared" si="169"/>
        <v>I.6.1.102</v>
      </c>
      <c r="B5410" s="321">
        <v>2</v>
      </c>
      <c r="C5410" s="319" t="str">
        <f>IFERROR(VLOOKUP(A5410,[3]DOORSCRIEFT!$A$2:$G$8551,2,FALSE),"")</f>
        <v/>
      </c>
      <c r="D5410" s="318" t="str">
        <f>IFERROR(VLOOKUP(A5410,[3]DOORSCRIEFT!$A$2:$G$8551,3,FALSE),"")</f>
        <v/>
      </c>
      <c r="E5410" s="317" t="str">
        <f>IFERROR(VLOOKUP(A5410,[3]DOORSCRIEFT!$A$2:$G$8551,4,FALSE),"")</f>
        <v/>
      </c>
      <c r="F5410" s="316" t="str">
        <f>IFERROR(VLOOKUP(A5410,[3]DOORSCRIEFT!$A$2:$G$8551,6,FALSE),"")</f>
        <v/>
      </c>
      <c r="G5410" s="315"/>
    </row>
    <row r="5411" spans="1:7" x14ac:dyDescent="0.25">
      <c r="A5411" s="320" t="str">
        <f t="shared" si="169"/>
        <v>I.6.1.103</v>
      </c>
      <c r="B5411" s="320">
        <v>3</v>
      </c>
      <c r="C5411" s="319" t="str">
        <f>IFERROR(VLOOKUP(A5411,[3]DOORSCRIEFT!$A$2:$G$8551,2,FALSE),"")</f>
        <v/>
      </c>
      <c r="D5411" s="318" t="str">
        <f>IFERROR(VLOOKUP(A5411,[3]DOORSCRIEFT!$A$2:$G$8551,3,FALSE),"")</f>
        <v/>
      </c>
      <c r="E5411" s="317" t="str">
        <f>IFERROR(VLOOKUP(A5411,[3]DOORSCRIEFT!$A$2:$G$8551,4,FALSE),"")</f>
        <v/>
      </c>
      <c r="F5411" s="316" t="str">
        <f>IFERROR(VLOOKUP(A5411,[3]DOORSCRIEFT!$A$2:$G$8551,6,FALSE),"")</f>
        <v/>
      </c>
      <c r="G5411" s="315"/>
    </row>
    <row r="5412" spans="1:7" x14ac:dyDescent="0.25">
      <c r="A5412" s="320" t="str">
        <f t="shared" si="169"/>
        <v>I.6.1.104</v>
      </c>
      <c r="B5412" s="321">
        <v>4</v>
      </c>
      <c r="C5412" s="319" t="str">
        <f>IFERROR(VLOOKUP(A5412,[3]DOORSCRIEFT!$A$2:$G$8551,2,FALSE),"")</f>
        <v/>
      </c>
      <c r="D5412" s="318" t="str">
        <f>IFERROR(VLOOKUP(A5412,[3]DOORSCRIEFT!$A$2:$G$8551,3,FALSE),"")</f>
        <v/>
      </c>
      <c r="E5412" s="317" t="str">
        <f>IFERROR(VLOOKUP(A5412,[3]DOORSCRIEFT!$A$2:$G$8551,4,FALSE),"")</f>
        <v/>
      </c>
      <c r="F5412" s="316" t="str">
        <f>IFERROR(VLOOKUP(A5412,[3]DOORSCRIEFT!$A$2:$G$8551,6,FALSE),"")</f>
        <v/>
      </c>
      <c r="G5412" s="315"/>
    </row>
    <row r="5413" spans="1:7" x14ac:dyDescent="0.25">
      <c r="A5413" s="320" t="str">
        <f t="shared" si="169"/>
        <v>I.6.1.105</v>
      </c>
      <c r="B5413" s="320">
        <v>5</v>
      </c>
      <c r="C5413" s="319" t="str">
        <f>IFERROR(VLOOKUP(A5413,[3]DOORSCRIEFT!$A$2:$G$8551,2,FALSE),"")</f>
        <v/>
      </c>
      <c r="D5413" s="318" t="str">
        <f>IFERROR(VLOOKUP(A5413,[3]DOORSCRIEFT!$A$2:$G$8551,3,FALSE),"")</f>
        <v/>
      </c>
      <c r="E5413" s="317" t="str">
        <f>IFERROR(VLOOKUP(A5413,[3]DOORSCRIEFT!$A$2:$G$8551,4,FALSE),"")</f>
        <v/>
      </c>
      <c r="F5413" s="316" t="str">
        <f>IFERROR(VLOOKUP(A5413,[3]DOORSCRIEFT!$A$2:$G$8551,6,FALSE),"")</f>
        <v/>
      </c>
      <c r="G5413" s="315"/>
    </row>
    <row r="5414" spans="1:7" x14ac:dyDescent="0.25">
      <c r="A5414" s="320" t="str">
        <f t="shared" si="169"/>
        <v>I.6.1.106</v>
      </c>
      <c r="B5414" s="321">
        <v>6</v>
      </c>
      <c r="C5414" s="319" t="str">
        <f>IFERROR(VLOOKUP(A5414,[3]DOORSCRIEFT!$A$2:$G$8551,2,FALSE),"")</f>
        <v/>
      </c>
      <c r="D5414" s="318" t="str">
        <f>IFERROR(VLOOKUP(A5414,[3]DOORSCRIEFT!$A$2:$G$8551,3,FALSE),"")</f>
        <v/>
      </c>
      <c r="E5414" s="317" t="str">
        <f>IFERROR(VLOOKUP(A5414,[3]DOORSCRIEFT!$A$2:$G$8551,4,FALSE),"")</f>
        <v/>
      </c>
      <c r="F5414" s="316" t="str">
        <f>IFERROR(VLOOKUP(A5414,[3]DOORSCRIEFT!$A$2:$G$8551,6,FALSE),"")</f>
        <v/>
      </c>
      <c r="G5414" s="315"/>
    </row>
    <row r="5415" spans="1:7" x14ac:dyDescent="0.25">
      <c r="A5415" s="320" t="str">
        <f t="shared" si="169"/>
        <v>I.6.1.107</v>
      </c>
      <c r="B5415" s="320">
        <v>7</v>
      </c>
      <c r="C5415" s="319" t="str">
        <f>IFERROR(VLOOKUP(A5415,[3]DOORSCRIEFT!$A$2:$G$8551,2,FALSE),"")</f>
        <v/>
      </c>
      <c r="D5415" s="318" t="str">
        <f>IFERROR(VLOOKUP(A5415,[3]DOORSCRIEFT!$A$2:$G$8551,3,FALSE),"")</f>
        <v/>
      </c>
      <c r="E5415" s="317" t="str">
        <f>IFERROR(VLOOKUP(A5415,[3]DOORSCRIEFT!$A$2:$G$8551,4,FALSE),"")</f>
        <v/>
      </c>
      <c r="F5415" s="316" t="str">
        <f>IFERROR(VLOOKUP(A5415,[3]DOORSCRIEFT!$A$2:$G$8551,6,FALSE),"")</f>
        <v/>
      </c>
      <c r="G5415" s="315"/>
    </row>
    <row r="5416" spans="1:7" x14ac:dyDescent="0.25">
      <c r="A5416" s="320" t="str">
        <f t="shared" si="169"/>
        <v>I.6.1.108</v>
      </c>
      <c r="B5416" s="321">
        <v>8</v>
      </c>
      <c r="C5416" s="319" t="str">
        <f>IFERROR(VLOOKUP(A5416,[3]DOORSCRIEFT!$A$2:$G$8551,2,FALSE),"")</f>
        <v/>
      </c>
      <c r="D5416" s="318" t="str">
        <f>IFERROR(VLOOKUP(A5416,[3]DOORSCRIEFT!$A$2:$G$8551,3,FALSE),"")</f>
        <v/>
      </c>
      <c r="E5416" s="317" t="str">
        <f>IFERROR(VLOOKUP(A5416,[3]DOORSCRIEFT!$A$2:$G$8551,4,FALSE),"")</f>
        <v/>
      </c>
      <c r="F5416" s="316" t="str">
        <f>IFERROR(VLOOKUP(A5416,[3]DOORSCRIEFT!$A$2:$G$8551,6,FALSE),"")</f>
        <v/>
      </c>
      <c r="G5416" s="315"/>
    </row>
    <row r="5417" spans="1:7" x14ac:dyDescent="0.25">
      <c r="A5417" s="320" t="str">
        <f t="shared" si="169"/>
        <v>I.6.1.109</v>
      </c>
      <c r="B5417" s="320">
        <v>9</v>
      </c>
      <c r="C5417" s="319" t="str">
        <f>IFERROR(VLOOKUP(A5417,[3]DOORSCRIEFT!$A$2:$G$8551,2,FALSE),"")</f>
        <v/>
      </c>
      <c r="D5417" s="318" t="str">
        <f>IFERROR(VLOOKUP(A5417,[3]DOORSCRIEFT!$A$2:$G$8551,3,FALSE),"")</f>
        <v/>
      </c>
      <c r="E5417" s="317" t="str">
        <f>IFERROR(VLOOKUP(A5417,[3]DOORSCRIEFT!$A$2:$G$8551,4,FALSE),"")</f>
        <v/>
      </c>
      <c r="F5417" s="316" t="str">
        <f>IFERROR(VLOOKUP(A5417,[3]DOORSCRIEFT!$A$2:$G$8551,6,FALSE),"")</f>
        <v/>
      </c>
      <c r="G5417" s="315"/>
    </row>
    <row r="5418" spans="1:7" x14ac:dyDescent="0.25">
      <c r="A5418" s="320" t="str">
        <f t="shared" si="169"/>
        <v>I.6.1.1010</v>
      </c>
      <c r="B5418" s="321">
        <v>10</v>
      </c>
      <c r="C5418" s="319" t="str">
        <f>IFERROR(VLOOKUP(A5418,[3]DOORSCRIEFT!$A$2:$G$8551,2,FALSE),"")</f>
        <v/>
      </c>
      <c r="D5418" s="318" t="str">
        <f>IFERROR(VLOOKUP(A5418,[3]DOORSCRIEFT!$A$2:$G$8551,3,FALSE),"")</f>
        <v/>
      </c>
      <c r="E5418" s="317" t="str">
        <f>IFERROR(VLOOKUP(A5418,[3]DOORSCRIEFT!$A$2:$G$8551,4,FALSE),"")</f>
        <v/>
      </c>
      <c r="F5418" s="316" t="str">
        <f>IFERROR(VLOOKUP(A5418,[3]DOORSCRIEFT!$A$2:$G$8551,6,FALSE),"")</f>
        <v/>
      </c>
      <c r="G5418" s="315"/>
    </row>
    <row r="5419" spans="1:7" x14ac:dyDescent="0.25">
      <c r="A5419" s="320" t="str">
        <f t="shared" si="169"/>
        <v>I.6.1.1011</v>
      </c>
      <c r="B5419" s="320">
        <v>11</v>
      </c>
      <c r="C5419" s="319" t="str">
        <f>IFERROR(VLOOKUP(A5419,[3]DOORSCRIEFT!$A$2:$G$8551,2,FALSE),"")</f>
        <v/>
      </c>
      <c r="D5419" s="318" t="str">
        <f>IFERROR(VLOOKUP(A5419,[3]DOORSCRIEFT!$A$2:$G$8551,3,FALSE),"")</f>
        <v/>
      </c>
      <c r="E5419" s="317" t="str">
        <f>IFERROR(VLOOKUP(A5419,[3]DOORSCRIEFT!$A$2:$G$8551,4,FALSE),"")</f>
        <v/>
      </c>
      <c r="F5419" s="316" t="str">
        <f>IFERROR(VLOOKUP(A5419,[3]DOORSCRIEFT!$A$2:$G$8551,6,FALSE),"")</f>
        <v/>
      </c>
      <c r="G5419" s="315"/>
    </row>
    <row r="5420" spans="1:7" x14ac:dyDescent="0.25">
      <c r="A5420" s="320" t="str">
        <f t="shared" si="169"/>
        <v>I.6.1.1012</v>
      </c>
      <c r="B5420" s="321">
        <v>12</v>
      </c>
      <c r="C5420" s="319" t="str">
        <f>IFERROR(VLOOKUP(A5420,[3]DOORSCRIEFT!$A$2:$G$8551,2,FALSE),"")</f>
        <v/>
      </c>
      <c r="D5420" s="318" t="str">
        <f>IFERROR(VLOOKUP(A5420,[3]DOORSCRIEFT!$A$2:$G$8551,3,FALSE),"")</f>
        <v/>
      </c>
      <c r="E5420" s="317" t="str">
        <f>IFERROR(VLOOKUP(A5420,[3]DOORSCRIEFT!$A$2:$G$8551,4,FALSE),"")</f>
        <v/>
      </c>
      <c r="F5420" s="316" t="str">
        <f>IFERROR(VLOOKUP(A5420,[3]DOORSCRIEFT!$A$2:$G$8551,6,FALSE),"")</f>
        <v/>
      </c>
      <c r="G5420" s="315"/>
    </row>
    <row r="5421" spans="1:7" x14ac:dyDescent="0.25">
      <c r="A5421" s="320" t="str">
        <f t="shared" si="169"/>
        <v>I.6.1.1013</v>
      </c>
      <c r="B5421" s="320">
        <v>13</v>
      </c>
      <c r="C5421" s="319" t="str">
        <f>IFERROR(VLOOKUP(A5421,[3]DOORSCRIEFT!$A$2:$G$8551,2,FALSE),"")</f>
        <v/>
      </c>
      <c r="D5421" s="318" t="str">
        <f>IFERROR(VLOOKUP(A5421,[3]DOORSCRIEFT!$A$2:$G$8551,3,FALSE),"")</f>
        <v/>
      </c>
      <c r="E5421" s="317" t="str">
        <f>IFERROR(VLOOKUP(A5421,[3]DOORSCRIEFT!$A$2:$G$8551,4,FALSE),"")</f>
        <v/>
      </c>
      <c r="F5421" s="316" t="str">
        <f>IFERROR(VLOOKUP(A5421,[3]DOORSCRIEFT!$A$2:$G$8551,6,FALSE),"")</f>
        <v/>
      </c>
      <c r="G5421" s="315"/>
    </row>
    <row r="5422" spans="1:7" x14ac:dyDescent="0.25">
      <c r="A5422" s="320" t="str">
        <f t="shared" si="169"/>
        <v>I.6.1.1014</v>
      </c>
      <c r="B5422" s="321">
        <v>14</v>
      </c>
      <c r="C5422" s="319" t="str">
        <f>IFERROR(VLOOKUP(A5422,[3]DOORSCRIEFT!$A$2:$G$8551,2,FALSE),"")</f>
        <v/>
      </c>
      <c r="D5422" s="318" t="str">
        <f>IFERROR(VLOOKUP(A5422,[3]DOORSCRIEFT!$A$2:$G$8551,3,FALSE),"")</f>
        <v/>
      </c>
      <c r="E5422" s="317" t="str">
        <f>IFERROR(VLOOKUP(A5422,[3]DOORSCRIEFT!$A$2:$G$8551,4,FALSE),"")</f>
        <v/>
      </c>
      <c r="F5422" s="316" t="str">
        <f>IFERROR(VLOOKUP(A5422,[3]DOORSCRIEFT!$A$2:$G$8551,6,FALSE),"")</f>
        <v/>
      </c>
      <c r="G5422" s="315"/>
    </row>
    <row r="5423" spans="1:7" ht="15.75" thickBot="1" x14ac:dyDescent="0.3">
      <c r="A5423" s="320" t="str">
        <f t="shared" si="169"/>
        <v>I.6.1.1015</v>
      </c>
      <c r="B5423" s="320">
        <v>15</v>
      </c>
      <c r="C5423" s="319" t="str">
        <f>IFERROR(VLOOKUP(A5423,[3]DOORSCRIEFT!$A$2:$G$8551,2,FALSE),"")</f>
        <v/>
      </c>
      <c r="D5423" s="318" t="str">
        <f>IFERROR(VLOOKUP(A5423,[3]DOORSCRIEFT!$A$2:$G$8551,3,FALSE),"")</f>
        <v/>
      </c>
      <c r="E5423" s="317" t="str">
        <f>IFERROR(VLOOKUP(A5423,[3]DOORSCRIEFT!$A$2:$G$8551,4,FALSE),"")</f>
        <v/>
      </c>
      <c r="F5423" s="316" t="str">
        <f>IFERROR(VLOOKUP(A5423,[3]DOORSCRIEFT!$A$2:$G$8551,6,FALSE),"")</f>
        <v/>
      </c>
      <c r="G5423" s="315"/>
    </row>
    <row r="5424" spans="1:7" ht="15.75" thickBot="1" x14ac:dyDescent="0.3">
      <c r="A5424" s="314"/>
      <c r="B5424" s="312"/>
      <c r="C5424" s="313"/>
      <c r="D5424" s="312"/>
      <c r="E5424" s="311" t="s">
        <v>644</v>
      </c>
      <c r="F5424" s="310">
        <f>SUM(F5409:F5423)</f>
        <v>0</v>
      </c>
      <c r="G5424" s="309">
        <f>SUM(G5409:G5423)</f>
        <v>0</v>
      </c>
    </row>
  </sheetData>
  <sheetProtection selectLockedCells="1" selectUnlockedCells="1"/>
  <mergeCells count="868">
    <mergeCell ref="G5406:G5407"/>
    <mergeCell ref="F5406:F5407"/>
    <mergeCell ref="G5356:G5357"/>
    <mergeCell ref="F5381:F5382"/>
    <mergeCell ref="G5381:G5382"/>
    <mergeCell ref="F5356:F5357"/>
    <mergeCell ref="G5306:G5307"/>
    <mergeCell ref="F5331:F5332"/>
    <mergeCell ref="A1083:A1084"/>
    <mergeCell ref="B1083:B1084"/>
    <mergeCell ref="A1376:A1377"/>
    <mergeCell ref="B1376:B1377"/>
    <mergeCell ref="A1103:A1104"/>
    <mergeCell ref="B1103:B1104"/>
    <mergeCell ref="G5331:G5332"/>
    <mergeCell ref="A5306:A5307"/>
    <mergeCell ref="B5306:B5307"/>
    <mergeCell ref="C5306:C5307"/>
    <mergeCell ref="D5306:D5307"/>
    <mergeCell ref="E5306:E5307"/>
    <mergeCell ref="F5306:F5307"/>
    <mergeCell ref="A1397:A1398"/>
    <mergeCell ref="B1397:B1398"/>
    <mergeCell ref="A921:A922"/>
    <mergeCell ref="B921:B922"/>
    <mergeCell ref="A5406:A5407"/>
    <mergeCell ref="B5406:B5407"/>
    <mergeCell ref="C5406:C5407"/>
    <mergeCell ref="D5406:D5407"/>
    <mergeCell ref="A5356:A5357"/>
    <mergeCell ref="B5356:B5357"/>
    <mergeCell ref="C5356:C5357"/>
    <mergeCell ref="D5356:D5357"/>
    <mergeCell ref="A5281:A5282"/>
    <mergeCell ref="B5281:B5282"/>
    <mergeCell ref="C5281:C5282"/>
    <mergeCell ref="D5281:D5282"/>
    <mergeCell ref="A1025:A1026"/>
    <mergeCell ref="B1025:B1026"/>
    <mergeCell ref="A1044:A1045"/>
    <mergeCell ref="B1044:B1045"/>
    <mergeCell ref="A1063:A1064"/>
    <mergeCell ref="B1063:B1064"/>
    <mergeCell ref="E5356:E5357"/>
    <mergeCell ref="A5331:A5332"/>
    <mergeCell ref="B5331:B5332"/>
    <mergeCell ref="C5331:C5332"/>
    <mergeCell ref="D5331:D5332"/>
    <mergeCell ref="E5331:E5332"/>
    <mergeCell ref="E5406:E5407"/>
    <mergeCell ref="A5381:A5382"/>
    <mergeCell ref="B5381:B5382"/>
    <mergeCell ref="C5381:C5382"/>
    <mergeCell ref="D5381:D5382"/>
    <mergeCell ref="E5381:E5382"/>
    <mergeCell ref="A933:A934"/>
    <mergeCell ref="B933:B934"/>
    <mergeCell ref="G5281:G5282"/>
    <mergeCell ref="A5256:A5257"/>
    <mergeCell ref="B5256:B5257"/>
    <mergeCell ref="C5256:C5257"/>
    <mergeCell ref="D5256:D5257"/>
    <mergeCell ref="E5256:E5257"/>
    <mergeCell ref="F5256:F5257"/>
    <mergeCell ref="G5206:G5207"/>
    <mergeCell ref="G5256:G5257"/>
    <mergeCell ref="E5281:E5282"/>
    <mergeCell ref="F5281:F5282"/>
    <mergeCell ref="G5231:G5232"/>
    <mergeCell ref="A5206:A5207"/>
    <mergeCell ref="B5206:B5207"/>
    <mergeCell ref="C5206:C5207"/>
    <mergeCell ref="D5206:D5207"/>
    <mergeCell ref="E5206:E5207"/>
    <mergeCell ref="F5206:F5207"/>
    <mergeCell ref="A5231:A5232"/>
    <mergeCell ref="B5231:B5232"/>
    <mergeCell ref="C5231:C5232"/>
    <mergeCell ref="D5231:D5232"/>
    <mergeCell ref="E5231:E5232"/>
    <mergeCell ref="F5231:F5232"/>
    <mergeCell ref="A5181:A5182"/>
    <mergeCell ref="B5181:B5182"/>
    <mergeCell ref="C5181:C5182"/>
    <mergeCell ref="D5181:D5182"/>
    <mergeCell ref="E5181:E5182"/>
    <mergeCell ref="F5181:F5182"/>
    <mergeCell ref="G5181:G5182"/>
    <mergeCell ref="A5156:A5157"/>
    <mergeCell ref="B5156:B5157"/>
    <mergeCell ref="F5131:F5132"/>
    <mergeCell ref="G5131:G5132"/>
    <mergeCell ref="A5106:A5107"/>
    <mergeCell ref="B5106:B5107"/>
    <mergeCell ref="C5106:C5107"/>
    <mergeCell ref="D5106:D5107"/>
    <mergeCell ref="E5106:E5107"/>
    <mergeCell ref="F5106:F5107"/>
    <mergeCell ref="C5156:C5157"/>
    <mergeCell ref="D5156:D5157"/>
    <mergeCell ref="E5156:E5157"/>
    <mergeCell ref="F5156:F5157"/>
    <mergeCell ref="G5106:G5107"/>
    <mergeCell ref="A5131:A5132"/>
    <mergeCell ref="B5131:B5132"/>
    <mergeCell ref="C5131:C5132"/>
    <mergeCell ref="D5131:D5132"/>
    <mergeCell ref="E5131:E5132"/>
    <mergeCell ref="G5156:G5157"/>
    <mergeCell ref="A5058:A5059"/>
    <mergeCell ref="B5058:B5059"/>
    <mergeCell ref="C5058:C5059"/>
    <mergeCell ref="D5058:D5059"/>
    <mergeCell ref="E5058:E5059"/>
    <mergeCell ref="F5058:F5059"/>
    <mergeCell ref="G5058:G5059"/>
    <mergeCell ref="A5033:A5034"/>
    <mergeCell ref="B5033:B5034"/>
    <mergeCell ref="F5008:F5009"/>
    <mergeCell ref="G5008:G5009"/>
    <mergeCell ref="A4983:A4984"/>
    <mergeCell ref="B4983:B4984"/>
    <mergeCell ref="C4983:C4984"/>
    <mergeCell ref="D4983:D4984"/>
    <mergeCell ref="E4983:E4984"/>
    <mergeCell ref="F4983:F4984"/>
    <mergeCell ref="C5033:C5034"/>
    <mergeCell ref="D5033:D5034"/>
    <mergeCell ref="E5033:E5034"/>
    <mergeCell ref="F5033:F5034"/>
    <mergeCell ref="G4983:G4984"/>
    <mergeCell ref="A5008:A5009"/>
    <mergeCell ref="B5008:B5009"/>
    <mergeCell ref="C5008:C5009"/>
    <mergeCell ref="D5008:D5009"/>
    <mergeCell ref="E5008:E5009"/>
    <mergeCell ref="G5033:G5034"/>
    <mergeCell ref="A4958:A4959"/>
    <mergeCell ref="B4958:B4959"/>
    <mergeCell ref="C4958:C4959"/>
    <mergeCell ref="D4958:D4959"/>
    <mergeCell ref="E4958:E4959"/>
    <mergeCell ref="F4958:F4959"/>
    <mergeCell ref="G4958:G4959"/>
    <mergeCell ref="A4933:A4934"/>
    <mergeCell ref="B4933:B4934"/>
    <mergeCell ref="F4908:F4909"/>
    <mergeCell ref="G4908:G4909"/>
    <mergeCell ref="A4883:A4884"/>
    <mergeCell ref="B4883:B4884"/>
    <mergeCell ref="C4883:C4884"/>
    <mergeCell ref="D4883:D4884"/>
    <mergeCell ref="E4883:E4884"/>
    <mergeCell ref="F4883:F4884"/>
    <mergeCell ref="C4933:C4934"/>
    <mergeCell ref="D4933:D4934"/>
    <mergeCell ref="E4933:E4934"/>
    <mergeCell ref="F4933:F4934"/>
    <mergeCell ref="G4883:G4884"/>
    <mergeCell ref="A4908:A4909"/>
    <mergeCell ref="B4908:B4909"/>
    <mergeCell ref="C4908:C4909"/>
    <mergeCell ref="D4908:D4909"/>
    <mergeCell ref="E4908:E4909"/>
    <mergeCell ref="G4933:G4934"/>
    <mergeCell ref="A4858:A4859"/>
    <mergeCell ref="B4858:B4859"/>
    <mergeCell ref="C4858:C4859"/>
    <mergeCell ref="D4858:D4859"/>
    <mergeCell ref="E4858:E4859"/>
    <mergeCell ref="F4858:F4859"/>
    <mergeCell ref="G4858:G4859"/>
    <mergeCell ref="A4833:A4834"/>
    <mergeCell ref="B4833:B4834"/>
    <mergeCell ref="F4808:F4809"/>
    <mergeCell ref="G4808:G4809"/>
    <mergeCell ref="A4783:A4784"/>
    <mergeCell ref="B4783:B4784"/>
    <mergeCell ref="C4783:C4784"/>
    <mergeCell ref="D4783:D4784"/>
    <mergeCell ref="E4783:E4784"/>
    <mergeCell ref="F4783:F4784"/>
    <mergeCell ref="C4833:C4834"/>
    <mergeCell ref="D4833:D4834"/>
    <mergeCell ref="E4833:E4834"/>
    <mergeCell ref="F4833:F4834"/>
    <mergeCell ref="G4783:G4784"/>
    <mergeCell ref="A4808:A4809"/>
    <mergeCell ref="B4808:B4809"/>
    <mergeCell ref="C4808:C4809"/>
    <mergeCell ref="D4808:D4809"/>
    <mergeCell ref="E4808:E4809"/>
    <mergeCell ref="G4833:G4834"/>
    <mergeCell ref="A4758:A4759"/>
    <mergeCell ref="B4758:B4759"/>
    <mergeCell ref="C4758:C4759"/>
    <mergeCell ref="D4758:D4759"/>
    <mergeCell ref="E4758:E4759"/>
    <mergeCell ref="F4758:F4759"/>
    <mergeCell ref="G4758:G4759"/>
    <mergeCell ref="A4733:A4734"/>
    <mergeCell ref="B4733:B4734"/>
    <mergeCell ref="F4708:F4709"/>
    <mergeCell ref="G4708:G4709"/>
    <mergeCell ref="A4683:A4684"/>
    <mergeCell ref="B4683:B4684"/>
    <mergeCell ref="C4683:C4684"/>
    <mergeCell ref="D4683:D4684"/>
    <mergeCell ref="E4683:E4684"/>
    <mergeCell ref="F4683:F4684"/>
    <mergeCell ref="C4733:C4734"/>
    <mergeCell ref="D4733:D4734"/>
    <mergeCell ref="E4733:E4734"/>
    <mergeCell ref="F4733:F4734"/>
    <mergeCell ref="G4683:G4684"/>
    <mergeCell ref="A4708:A4709"/>
    <mergeCell ref="B4708:B4709"/>
    <mergeCell ref="C4708:C4709"/>
    <mergeCell ref="D4708:D4709"/>
    <mergeCell ref="E4708:E4709"/>
    <mergeCell ref="G4733:G4734"/>
    <mergeCell ref="A4658:A4659"/>
    <mergeCell ref="B4658:B4659"/>
    <mergeCell ref="C4658:C4659"/>
    <mergeCell ref="D4658:D4659"/>
    <mergeCell ref="E4658:E4659"/>
    <mergeCell ref="F4658:F4659"/>
    <mergeCell ref="G4658:G4659"/>
    <mergeCell ref="A4633:A4634"/>
    <mergeCell ref="B4633:B4634"/>
    <mergeCell ref="F4608:F4609"/>
    <mergeCell ref="G4608:G4609"/>
    <mergeCell ref="A4583:A4584"/>
    <mergeCell ref="B4583:B4584"/>
    <mergeCell ref="C4583:C4584"/>
    <mergeCell ref="D4583:D4584"/>
    <mergeCell ref="E4583:E4584"/>
    <mergeCell ref="F4583:F4584"/>
    <mergeCell ref="C4633:C4634"/>
    <mergeCell ref="D4633:D4634"/>
    <mergeCell ref="E4633:E4634"/>
    <mergeCell ref="F4633:F4634"/>
    <mergeCell ref="G4583:G4584"/>
    <mergeCell ref="A4608:A4609"/>
    <mergeCell ref="B4608:B4609"/>
    <mergeCell ref="C4608:C4609"/>
    <mergeCell ref="D4608:D4609"/>
    <mergeCell ref="E4608:E4609"/>
    <mergeCell ref="G4633:G4634"/>
    <mergeCell ref="A4558:A4559"/>
    <mergeCell ref="B4558:B4559"/>
    <mergeCell ref="C4558:C4559"/>
    <mergeCell ref="D4558:D4559"/>
    <mergeCell ref="E4558:E4559"/>
    <mergeCell ref="F4558:F4559"/>
    <mergeCell ref="G4558:G4559"/>
    <mergeCell ref="A4533:A4534"/>
    <mergeCell ref="B4533:B4534"/>
    <mergeCell ref="F4508:F4509"/>
    <mergeCell ref="G4508:G4509"/>
    <mergeCell ref="A4483:A4484"/>
    <mergeCell ref="B4483:B4484"/>
    <mergeCell ref="C4483:C4484"/>
    <mergeCell ref="D4483:D4484"/>
    <mergeCell ref="E4483:E4484"/>
    <mergeCell ref="F4483:F4484"/>
    <mergeCell ref="C4533:C4534"/>
    <mergeCell ref="D4533:D4534"/>
    <mergeCell ref="E4533:E4534"/>
    <mergeCell ref="F4533:F4534"/>
    <mergeCell ref="G4483:G4484"/>
    <mergeCell ref="A4508:A4509"/>
    <mergeCell ref="B4508:B4509"/>
    <mergeCell ref="C4508:C4509"/>
    <mergeCell ref="D4508:D4509"/>
    <mergeCell ref="E4508:E4509"/>
    <mergeCell ref="G4533:G4534"/>
    <mergeCell ref="A4458:A4459"/>
    <mergeCell ref="B4458:B4459"/>
    <mergeCell ref="C4458:C4459"/>
    <mergeCell ref="D4458:D4459"/>
    <mergeCell ref="E4458:E4459"/>
    <mergeCell ref="F4458:F4459"/>
    <mergeCell ref="G4458:G4459"/>
    <mergeCell ref="A4433:A4434"/>
    <mergeCell ref="B4433:B4434"/>
    <mergeCell ref="F4408:F4409"/>
    <mergeCell ref="G4408:G4409"/>
    <mergeCell ref="A4383:A4384"/>
    <mergeCell ref="B4383:B4384"/>
    <mergeCell ref="C4383:C4384"/>
    <mergeCell ref="D4383:D4384"/>
    <mergeCell ref="E4383:E4384"/>
    <mergeCell ref="F4383:F4384"/>
    <mergeCell ref="C4433:C4434"/>
    <mergeCell ref="D4433:D4434"/>
    <mergeCell ref="E4433:E4434"/>
    <mergeCell ref="F4433:F4434"/>
    <mergeCell ref="G4383:G4384"/>
    <mergeCell ref="A4408:A4409"/>
    <mergeCell ref="B4408:B4409"/>
    <mergeCell ref="C4408:C4409"/>
    <mergeCell ref="D4408:D4409"/>
    <mergeCell ref="E4408:E4409"/>
    <mergeCell ref="G4433:G4434"/>
    <mergeCell ref="A4358:A4359"/>
    <mergeCell ref="B4358:B4359"/>
    <mergeCell ref="C4358:C4359"/>
    <mergeCell ref="D4358:D4359"/>
    <mergeCell ref="E4358:E4359"/>
    <mergeCell ref="F4358:F4359"/>
    <mergeCell ref="G4358:G4359"/>
    <mergeCell ref="A4333:A4334"/>
    <mergeCell ref="B4333:B4334"/>
    <mergeCell ref="F4308:F4309"/>
    <mergeCell ref="G4308:G4309"/>
    <mergeCell ref="A4283:A4284"/>
    <mergeCell ref="B4283:B4284"/>
    <mergeCell ref="C4283:C4284"/>
    <mergeCell ref="D4283:D4284"/>
    <mergeCell ref="E4283:E4284"/>
    <mergeCell ref="F4283:F4284"/>
    <mergeCell ref="C4333:C4334"/>
    <mergeCell ref="D4333:D4334"/>
    <mergeCell ref="E4333:E4334"/>
    <mergeCell ref="F4333:F4334"/>
    <mergeCell ref="G4283:G4284"/>
    <mergeCell ref="A4308:A4309"/>
    <mergeCell ref="B4308:B4309"/>
    <mergeCell ref="C4308:C4309"/>
    <mergeCell ref="D4308:D4309"/>
    <mergeCell ref="E4308:E4309"/>
    <mergeCell ref="G4333:G4334"/>
    <mergeCell ref="A4238:A4239"/>
    <mergeCell ref="B4238:B4239"/>
    <mergeCell ref="C4238:C4239"/>
    <mergeCell ref="D4238:D4239"/>
    <mergeCell ref="E4238:E4239"/>
    <mergeCell ref="F4238:F4239"/>
    <mergeCell ref="G4238:G4239"/>
    <mergeCell ref="A4213:A4214"/>
    <mergeCell ref="B4213:B4214"/>
    <mergeCell ref="F4152:F4153"/>
    <mergeCell ref="G4152:G4153"/>
    <mergeCell ref="A4127:A4128"/>
    <mergeCell ref="B4127:B4128"/>
    <mergeCell ref="C4127:C4128"/>
    <mergeCell ref="D4127:D4128"/>
    <mergeCell ref="E4127:E4128"/>
    <mergeCell ref="F4127:F4128"/>
    <mergeCell ref="C4213:C4214"/>
    <mergeCell ref="D4213:D4214"/>
    <mergeCell ref="E4213:E4214"/>
    <mergeCell ref="F4213:F4214"/>
    <mergeCell ref="G4127:G4128"/>
    <mergeCell ref="A4152:A4153"/>
    <mergeCell ref="B4152:B4153"/>
    <mergeCell ref="C4152:C4153"/>
    <mergeCell ref="D4152:D4153"/>
    <mergeCell ref="E4152:E4153"/>
    <mergeCell ref="G4213:G4214"/>
    <mergeCell ref="A4102:A4103"/>
    <mergeCell ref="B4102:B4103"/>
    <mergeCell ref="C4102:C4103"/>
    <mergeCell ref="D4102:D4103"/>
    <mergeCell ref="E4102:E4103"/>
    <mergeCell ref="F4102:F4103"/>
    <mergeCell ref="G4102:G4103"/>
    <mergeCell ref="A4010:A4011"/>
    <mergeCell ref="B4010:B4011"/>
    <mergeCell ref="F3985:F3986"/>
    <mergeCell ref="G3985:G3986"/>
    <mergeCell ref="A3917:A3918"/>
    <mergeCell ref="B3917:B3918"/>
    <mergeCell ref="C3917:C3918"/>
    <mergeCell ref="D3917:D3918"/>
    <mergeCell ref="E3917:E3918"/>
    <mergeCell ref="F3917:F3918"/>
    <mergeCell ref="C4010:C4011"/>
    <mergeCell ref="D4010:D4011"/>
    <mergeCell ref="E4010:E4011"/>
    <mergeCell ref="F4010:F4011"/>
    <mergeCell ref="G3917:G3918"/>
    <mergeCell ref="A3985:A3986"/>
    <mergeCell ref="B3985:B3986"/>
    <mergeCell ref="C3985:C3986"/>
    <mergeCell ref="D3985:D3986"/>
    <mergeCell ref="E3985:E3986"/>
    <mergeCell ref="G4010:G4011"/>
    <mergeCell ref="A3892:A3893"/>
    <mergeCell ref="B3892:B3893"/>
    <mergeCell ref="C3892:C3893"/>
    <mergeCell ref="D3892:D3893"/>
    <mergeCell ref="E3892:E3893"/>
    <mergeCell ref="F3892:F3893"/>
    <mergeCell ref="G3892:G3893"/>
    <mergeCell ref="A3732:A3733"/>
    <mergeCell ref="B3732:B3733"/>
    <mergeCell ref="F3475:F3476"/>
    <mergeCell ref="G3475:G3476"/>
    <mergeCell ref="A3375:A3376"/>
    <mergeCell ref="B3375:B3376"/>
    <mergeCell ref="C3375:C3376"/>
    <mergeCell ref="D3375:D3376"/>
    <mergeCell ref="E3375:E3376"/>
    <mergeCell ref="F3375:F3376"/>
    <mergeCell ref="C3732:C3733"/>
    <mergeCell ref="D3732:D3733"/>
    <mergeCell ref="E3732:E3733"/>
    <mergeCell ref="F3732:F3733"/>
    <mergeCell ref="G3375:G3376"/>
    <mergeCell ref="A3475:A3476"/>
    <mergeCell ref="B3475:B3476"/>
    <mergeCell ref="C3475:C3476"/>
    <mergeCell ref="D3475:D3476"/>
    <mergeCell ref="E3475:E3476"/>
    <mergeCell ref="G3732:G3733"/>
    <mergeCell ref="A3350:A3351"/>
    <mergeCell ref="B3350:B3351"/>
    <mergeCell ref="C3350:C3351"/>
    <mergeCell ref="D3350:D3351"/>
    <mergeCell ref="E3350:E3351"/>
    <mergeCell ref="F3350:F3351"/>
    <mergeCell ref="G3350:G3351"/>
    <mergeCell ref="A3306:A3307"/>
    <mergeCell ref="B3306:B3307"/>
    <mergeCell ref="F3261:F3262"/>
    <mergeCell ref="G3261:G3262"/>
    <mergeCell ref="A3236:A3237"/>
    <mergeCell ref="B3236:B3237"/>
    <mergeCell ref="C3236:C3237"/>
    <mergeCell ref="D3236:D3237"/>
    <mergeCell ref="E3236:E3237"/>
    <mergeCell ref="F3236:F3237"/>
    <mergeCell ref="C3306:C3307"/>
    <mergeCell ref="D3306:D3307"/>
    <mergeCell ref="E3306:E3307"/>
    <mergeCell ref="F3306:F3307"/>
    <mergeCell ref="G3236:G3237"/>
    <mergeCell ref="A3261:A3262"/>
    <mergeCell ref="B3261:B3262"/>
    <mergeCell ref="C3261:C3262"/>
    <mergeCell ref="D3261:D3262"/>
    <mergeCell ref="E3261:E3262"/>
    <mergeCell ref="G3306:G3307"/>
    <mergeCell ref="A3211:A3212"/>
    <mergeCell ref="B3211:B3212"/>
    <mergeCell ref="C3211:C3212"/>
    <mergeCell ref="D3211:D3212"/>
    <mergeCell ref="E3211:E3212"/>
    <mergeCell ref="F3211:F3212"/>
    <mergeCell ref="G3211:G3212"/>
    <mergeCell ref="A3186:A3187"/>
    <mergeCell ref="B3186:B3187"/>
    <mergeCell ref="F3161:F3162"/>
    <mergeCell ref="G3161:G3162"/>
    <mergeCell ref="A3136:A3137"/>
    <mergeCell ref="B3136:B3137"/>
    <mergeCell ref="C3136:C3137"/>
    <mergeCell ref="D3136:D3137"/>
    <mergeCell ref="E3136:E3137"/>
    <mergeCell ref="F3136:F3137"/>
    <mergeCell ref="C3186:C3187"/>
    <mergeCell ref="D3186:D3187"/>
    <mergeCell ref="E3186:E3187"/>
    <mergeCell ref="F3186:F3187"/>
    <mergeCell ref="G3136:G3137"/>
    <mergeCell ref="A3161:A3162"/>
    <mergeCell ref="B3161:B3162"/>
    <mergeCell ref="C3161:C3162"/>
    <mergeCell ref="D3161:D3162"/>
    <mergeCell ref="E3161:E3162"/>
    <mergeCell ref="G3186:G3187"/>
    <mergeCell ref="A3111:A3112"/>
    <mergeCell ref="B3111:B3112"/>
    <mergeCell ref="C3111:C3112"/>
    <mergeCell ref="D3111:D3112"/>
    <mergeCell ref="E3111:E3112"/>
    <mergeCell ref="F3111:F3112"/>
    <mergeCell ref="G3111:G3112"/>
    <mergeCell ref="A3086:A3087"/>
    <mergeCell ref="B3086:B3087"/>
    <mergeCell ref="F3049:F3050"/>
    <mergeCell ref="G3049:G3050"/>
    <mergeCell ref="A3020:A3021"/>
    <mergeCell ref="B3020:B3021"/>
    <mergeCell ref="C3020:C3021"/>
    <mergeCell ref="D3020:D3021"/>
    <mergeCell ref="E3020:E3021"/>
    <mergeCell ref="F3020:F3021"/>
    <mergeCell ref="C3086:C3087"/>
    <mergeCell ref="D3086:D3087"/>
    <mergeCell ref="E3086:E3087"/>
    <mergeCell ref="F3086:F3087"/>
    <mergeCell ref="G3020:G3021"/>
    <mergeCell ref="A3049:A3050"/>
    <mergeCell ref="B3049:B3050"/>
    <mergeCell ref="C3049:C3050"/>
    <mergeCell ref="D3049:D3050"/>
    <mergeCell ref="E3049:E3050"/>
    <mergeCell ref="G3086:G3087"/>
    <mergeCell ref="A2995:A2996"/>
    <mergeCell ref="B2995:B2996"/>
    <mergeCell ref="C2995:C2996"/>
    <mergeCell ref="D2995:D2996"/>
    <mergeCell ref="E2995:E2996"/>
    <mergeCell ref="F2995:F2996"/>
    <mergeCell ref="G2995:G2996"/>
    <mergeCell ref="A2970:A2971"/>
    <mergeCell ref="B2970:B2971"/>
    <mergeCell ref="F2945:F2946"/>
    <mergeCell ref="G2945:G2946"/>
    <mergeCell ref="A2916:A2917"/>
    <mergeCell ref="B2916:B2917"/>
    <mergeCell ref="C2916:C2917"/>
    <mergeCell ref="D2916:D2917"/>
    <mergeCell ref="E2916:E2917"/>
    <mergeCell ref="F2916:F2917"/>
    <mergeCell ref="C2970:C2971"/>
    <mergeCell ref="D2970:D2971"/>
    <mergeCell ref="E2970:E2971"/>
    <mergeCell ref="F2970:F2971"/>
    <mergeCell ref="G2916:G2917"/>
    <mergeCell ref="A2945:A2946"/>
    <mergeCell ref="B2945:B2946"/>
    <mergeCell ref="C2945:C2946"/>
    <mergeCell ref="D2945:D2946"/>
    <mergeCell ref="E2945:E2946"/>
    <mergeCell ref="G2970:G2971"/>
    <mergeCell ref="A2891:A2892"/>
    <mergeCell ref="B2891:B2892"/>
    <mergeCell ref="C2891:C2892"/>
    <mergeCell ref="D2891:D2892"/>
    <mergeCell ref="E2891:E2892"/>
    <mergeCell ref="F2891:F2892"/>
    <mergeCell ref="G2891:G2892"/>
    <mergeCell ref="A2857:A2858"/>
    <mergeCell ref="B2857:B2858"/>
    <mergeCell ref="F2813:F2814"/>
    <mergeCell ref="G2813:G2814"/>
    <mergeCell ref="A2763:A2764"/>
    <mergeCell ref="B2763:B2764"/>
    <mergeCell ref="C2763:C2764"/>
    <mergeCell ref="D2763:D2764"/>
    <mergeCell ref="E2763:E2764"/>
    <mergeCell ref="F2763:F2764"/>
    <mergeCell ref="C2857:C2858"/>
    <mergeCell ref="D2857:D2858"/>
    <mergeCell ref="E2857:E2858"/>
    <mergeCell ref="F2857:F2858"/>
    <mergeCell ref="G2763:G2764"/>
    <mergeCell ref="A2813:A2814"/>
    <mergeCell ref="B2813:B2814"/>
    <mergeCell ref="C2813:C2814"/>
    <mergeCell ref="D2813:D2814"/>
    <mergeCell ref="E2813:E2814"/>
    <mergeCell ref="G2857:G2858"/>
    <mergeCell ref="A2715:A2716"/>
    <mergeCell ref="B2715:B2716"/>
    <mergeCell ref="C2715:C2716"/>
    <mergeCell ref="D2715:D2716"/>
    <mergeCell ref="E2715:E2716"/>
    <mergeCell ref="F2715:F2716"/>
    <mergeCell ref="G2715:G2716"/>
    <mergeCell ref="A2670:A2671"/>
    <mergeCell ref="B2670:B2671"/>
    <mergeCell ref="F2645:F2646"/>
    <mergeCell ref="G2645:G2646"/>
    <mergeCell ref="A2601:A2602"/>
    <mergeCell ref="B2601:B2602"/>
    <mergeCell ref="C2601:C2602"/>
    <mergeCell ref="D2601:D2602"/>
    <mergeCell ref="E2601:E2602"/>
    <mergeCell ref="F2601:F2602"/>
    <mergeCell ref="C2670:C2671"/>
    <mergeCell ref="D2670:D2671"/>
    <mergeCell ref="E2670:E2671"/>
    <mergeCell ref="F2670:F2671"/>
    <mergeCell ref="G2601:G2602"/>
    <mergeCell ref="A2645:A2646"/>
    <mergeCell ref="B2645:B2646"/>
    <mergeCell ref="C2645:C2646"/>
    <mergeCell ref="D2645:D2646"/>
    <mergeCell ref="E2645:E2646"/>
    <mergeCell ref="G2670:G2671"/>
    <mergeCell ref="A2557:A2558"/>
    <mergeCell ref="B2557:B2558"/>
    <mergeCell ref="C2557:C2558"/>
    <mergeCell ref="D2557:D2558"/>
    <mergeCell ref="E2557:E2558"/>
    <mergeCell ref="F2557:F2558"/>
    <mergeCell ref="G2557:G2558"/>
    <mergeCell ref="A2513:A2514"/>
    <mergeCell ref="B2513:B2514"/>
    <mergeCell ref="F2384:F2385"/>
    <mergeCell ref="G2384:G2385"/>
    <mergeCell ref="A2304:A2305"/>
    <mergeCell ref="B2304:B2305"/>
    <mergeCell ref="C2304:C2305"/>
    <mergeCell ref="D2304:D2305"/>
    <mergeCell ref="E2304:E2305"/>
    <mergeCell ref="F2304:F2305"/>
    <mergeCell ref="C2513:C2514"/>
    <mergeCell ref="D2513:D2514"/>
    <mergeCell ref="E2513:E2514"/>
    <mergeCell ref="F2513:F2514"/>
    <mergeCell ref="G2304:G2305"/>
    <mergeCell ref="A2384:A2385"/>
    <mergeCell ref="B2384:B2385"/>
    <mergeCell ref="C2384:C2385"/>
    <mergeCell ref="D2384:D2385"/>
    <mergeCell ref="E2384:E2385"/>
    <mergeCell ref="G2513:G2514"/>
    <mergeCell ref="A2258:A2259"/>
    <mergeCell ref="B2258:B2259"/>
    <mergeCell ref="C2258:C2259"/>
    <mergeCell ref="D2258:D2259"/>
    <mergeCell ref="E2258:E2259"/>
    <mergeCell ref="F2258:F2259"/>
    <mergeCell ref="G2258:G2259"/>
    <mergeCell ref="A2209:A2210"/>
    <mergeCell ref="B2209:B2210"/>
    <mergeCell ref="F2154:F2155"/>
    <mergeCell ref="G2154:G2155"/>
    <mergeCell ref="A2102:A2103"/>
    <mergeCell ref="B2102:B2103"/>
    <mergeCell ref="C2102:C2103"/>
    <mergeCell ref="D2102:D2103"/>
    <mergeCell ref="E2102:E2103"/>
    <mergeCell ref="F2102:F2103"/>
    <mergeCell ref="C2209:C2210"/>
    <mergeCell ref="D2209:D2210"/>
    <mergeCell ref="E2209:E2210"/>
    <mergeCell ref="F2209:F2210"/>
    <mergeCell ref="G2102:G2103"/>
    <mergeCell ref="A2154:A2155"/>
    <mergeCell ref="B2154:B2155"/>
    <mergeCell ref="C2154:C2155"/>
    <mergeCell ref="D2154:D2155"/>
    <mergeCell ref="E2154:E2155"/>
    <mergeCell ref="G2209:G2210"/>
    <mergeCell ref="A1938:A1939"/>
    <mergeCell ref="B1938:B1939"/>
    <mergeCell ref="C1938:C1939"/>
    <mergeCell ref="D1938:D1939"/>
    <mergeCell ref="E1938:E1939"/>
    <mergeCell ref="F1938:F1939"/>
    <mergeCell ref="G1938:G1939"/>
    <mergeCell ref="A1794:A1795"/>
    <mergeCell ref="B1794:B1795"/>
    <mergeCell ref="F1722:F1723"/>
    <mergeCell ref="G1722:G1723"/>
    <mergeCell ref="A1673:A1674"/>
    <mergeCell ref="B1673:B1674"/>
    <mergeCell ref="C1673:C1674"/>
    <mergeCell ref="D1673:D1674"/>
    <mergeCell ref="E1673:E1674"/>
    <mergeCell ref="F1673:F1674"/>
    <mergeCell ref="C1794:C1795"/>
    <mergeCell ref="D1794:D1795"/>
    <mergeCell ref="E1794:E1795"/>
    <mergeCell ref="F1794:F1795"/>
    <mergeCell ref="G1673:G1674"/>
    <mergeCell ref="A1722:A1723"/>
    <mergeCell ref="B1722:B1723"/>
    <mergeCell ref="C1722:C1723"/>
    <mergeCell ref="D1722:D1723"/>
    <mergeCell ref="E1722:E1723"/>
    <mergeCell ref="G1794:G1795"/>
    <mergeCell ref="A1618:A1619"/>
    <mergeCell ref="B1618:B1619"/>
    <mergeCell ref="C1618:C1619"/>
    <mergeCell ref="D1618:D1619"/>
    <mergeCell ref="E1618:E1619"/>
    <mergeCell ref="F1618:F1619"/>
    <mergeCell ref="G1618:G1619"/>
    <mergeCell ref="A1472:A1473"/>
    <mergeCell ref="B1472:B1473"/>
    <mergeCell ref="G1376:G1377"/>
    <mergeCell ref="C1397:C1398"/>
    <mergeCell ref="D1397:D1398"/>
    <mergeCell ref="E1397:E1398"/>
    <mergeCell ref="F1397:F1398"/>
    <mergeCell ref="G1397:G1398"/>
    <mergeCell ref="C1472:C1473"/>
    <mergeCell ref="D1472:D1473"/>
    <mergeCell ref="E1472:E1473"/>
    <mergeCell ref="F1472:F1473"/>
    <mergeCell ref="C1376:C1377"/>
    <mergeCell ref="D1376:D1377"/>
    <mergeCell ref="E1376:E1377"/>
    <mergeCell ref="F1376:F1377"/>
    <mergeCell ref="G1472:G1473"/>
    <mergeCell ref="A1345:A1346"/>
    <mergeCell ref="B1345:B1346"/>
    <mergeCell ref="C1345:C1346"/>
    <mergeCell ref="D1345:D1346"/>
    <mergeCell ref="E1345:E1346"/>
    <mergeCell ref="F1345:F1346"/>
    <mergeCell ref="G1345:G1346"/>
    <mergeCell ref="A1275:A1276"/>
    <mergeCell ref="B1275:B1276"/>
    <mergeCell ref="C1275:C1276"/>
    <mergeCell ref="D1275:D1276"/>
    <mergeCell ref="E1275:E1276"/>
    <mergeCell ref="F1275:F1276"/>
    <mergeCell ref="G1139:G1140"/>
    <mergeCell ref="A1216:A1217"/>
    <mergeCell ref="B1216:B1217"/>
    <mergeCell ref="C1216:C1217"/>
    <mergeCell ref="D1216:D1217"/>
    <mergeCell ref="E1216:E1217"/>
    <mergeCell ref="G1275:G1276"/>
    <mergeCell ref="C1103:C1104"/>
    <mergeCell ref="D1103:D1104"/>
    <mergeCell ref="E1103:E1104"/>
    <mergeCell ref="F1103:F1104"/>
    <mergeCell ref="G1103:G1104"/>
    <mergeCell ref="F1216:F1217"/>
    <mergeCell ref="G1216:G1217"/>
    <mergeCell ref="A1139:A1140"/>
    <mergeCell ref="B1139:B1140"/>
    <mergeCell ref="C1139:C1140"/>
    <mergeCell ref="D1139:D1140"/>
    <mergeCell ref="E1139:E1140"/>
    <mergeCell ref="F1139:F1140"/>
    <mergeCell ref="C1063:C1064"/>
    <mergeCell ref="D1063:D1064"/>
    <mergeCell ref="E1063:E1064"/>
    <mergeCell ref="F1063:F1064"/>
    <mergeCell ref="G1063:G1064"/>
    <mergeCell ref="C1083:C1084"/>
    <mergeCell ref="D1083:D1084"/>
    <mergeCell ref="E1083:E1084"/>
    <mergeCell ref="F1083:F1084"/>
    <mergeCell ref="G1083:G1084"/>
    <mergeCell ref="G1008:G1009"/>
    <mergeCell ref="C1025:C1026"/>
    <mergeCell ref="D1025:D1026"/>
    <mergeCell ref="E1025:E1026"/>
    <mergeCell ref="F1025:F1026"/>
    <mergeCell ref="G1025:G1026"/>
    <mergeCell ref="C1044:C1045"/>
    <mergeCell ref="D1044:D1045"/>
    <mergeCell ref="E1044:E1045"/>
    <mergeCell ref="F1044:F1045"/>
    <mergeCell ref="G1044:G1045"/>
    <mergeCell ref="F1008:F1009"/>
    <mergeCell ref="A955:A956"/>
    <mergeCell ref="B955:B956"/>
    <mergeCell ref="A972:A973"/>
    <mergeCell ref="B972:B973"/>
    <mergeCell ref="A990:A991"/>
    <mergeCell ref="C990:C991"/>
    <mergeCell ref="D990:D991"/>
    <mergeCell ref="E990:E991"/>
    <mergeCell ref="F990:F991"/>
    <mergeCell ref="A1008:A1009"/>
    <mergeCell ref="B1008:B1009"/>
    <mergeCell ref="C1008:C1009"/>
    <mergeCell ref="D1008:D1009"/>
    <mergeCell ref="E1008:E1009"/>
    <mergeCell ref="B990:B991"/>
    <mergeCell ref="G955:G956"/>
    <mergeCell ref="C972:C973"/>
    <mergeCell ref="D972:D973"/>
    <mergeCell ref="E972:E973"/>
    <mergeCell ref="F972:F973"/>
    <mergeCell ref="G972:G973"/>
    <mergeCell ref="C955:C956"/>
    <mergeCell ref="D955:D956"/>
    <mergeCell ref="E955:E956"/>
    <mergeCell ref="F955:F956"/>
    <mergeCell ref="G990:G991"/>
    <mergeCell ref="C921:C922"/>
    <mergeCell ref="D921:D922"/>
    <mergeCell ref="E921:E922"/>
    <mergeCell ref="F921:F922"/>
    <mergeCell ref="G921:G922"/>
    <mergeCell ref="C933:C934"/>
    <mergeCell ref="D933:D934"/>
    <mergeCell ref="E933:E934"/>
    <mergeCell ref="F933:F934"/>
    <mergeCell ref="G933:G934"/>
    <mergeCell ref="A903:A904"/>
    <mergeCell ref="B903:B904"/>
    <mergeCell ref="C903:C904"/>
    <mergeCell ref="D903:D904"/>
    <mergeCell ref="E903:E904"/>
    <mergeCell ref="F903:F904"/>
    <mergeCell ref="G903:G904"/>
    <mergeCell ref="A884:A885"/>
    <mergeCell ref="B884:B885"/>
    <mergeCell ref="F865:F866"/>
    <mergeCell ref="G865:G866"/>
    <mergeCell ref="A828:A829"/>
    <mergeCell ref="B828:B829"/>
    <mergeCell ref="C828:C829"/>
    <mergeCell ref="D828:D829"/>
    <mergeCell ref="E828:E829"/>
    <mergeCell ref="F828:F829"/>
    <mergeCell ref="C884:C885"/>
    <mergeCell ref="D884:D885"/>
    <mergeCell ref="E884:E885"/>
    <mergeCell ref="F884:F885"/>
    <mergeCell ref="G828:G829"/>
    <mergeCell ref="A865:A866"/>
    <mergeCell ref="B865:B866"/>
    <mergeCell ref="C865:C866"/>
    <mergeCell ref="D865:D866"/>
    <mergeCell ref="E865:E866"/>
    <mergeCell ref="G884:G885"/>
    <mergeCell ref="A812:A813"/>
    <mergeCell ref="B812:B813"/>
    <mergeCell ref="C812:C813"/>
    <mergeCell ref="D812:D813"/>
    <mergeCell ref="E812:E813"/>
    <mergeCell ref="F812:F813"/>
    <mergeCell ref="G812:G813"/>
    <mergeCell ref="A711:A712"/>
    <mergeCell ref="B711:B712"/>
    <mergeCell ref="C711:C712"/>
    <mergeCell ref="D711:D712"/>
    <mergeCell ref="E711:E712"/>
    <mergeCell ref="F711:F712"/>
    <mergeCell ref="G167:G168"/>
    <mergeCell ref="A220:A221"/>
    <mergeCell ref="B220:B221"/>
    <mergeCell ref="C220:C221"/>
    <mergeCell ref="D220:D221"/>
    <mergeCell ref="E220:E221"/>
    <mergeCell ref="G711:G712"/>
    <mergeCell ref="D53:D54"/>
    <mergeCell ref="E53:E54"/>
    <mergeCell ref="F53:F54"/>
    <mergeCell ref="G53:G54"/>
    <mergeCell ref="F220:F221"/>
    <mergeCell ref="G220:G221"/>
    <mergeCell ref="A167:A168"/>
    <mergeCell ref="B167:B168"/>
    <mergeCell ref="C167:C168"/>
    <mergeCell ref="D167:D168"/>
    <mergeCell ref="E167:E168"/>
    <mergeCell ref="F167:F168"/>
    <mergeCell ref="A6:A7"/>
    <mergeCell ref="B6:B7"/>
    <mergeCell ref="C6:C7"/>
    <mergeCell ref="D6:D7"/>
    <mergeCell ref="E6:E7"/>
    <mergeCell ref="F6:F7"/>
    <mergeCell ref="B53:B54"/>
    <mergeCell ref="A53:A54"/>
    <mergeCell ref="G6:G7"/>
    <mergeCell ref="A19:A20"/>
    <mergeCell ref="B19:B20"/>
    <mergeCell ref="C19:C20"/>
    <mergeCell ref="D19:D20"/>
    <mergeCell ref="E19:E20"/>
    <mergeCell ref="F19:F20"/>
    <mergeCell ref="G19:G20"/>
    <mergeCell ref="A40:A41"/>
    <mergeCell ref="B40:B41"/>
    <mergeCell ref="C40:C41"/>
    <mergeCell ref="D40:D41"/>
    <mergeCell ref="E40:E41"/>
    <mergeCell ref="F40:F41"/>
    <mergeCell ref="G40:G41"/>
    <mergeCell ref="C53:C54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4F14-B94A-42EE-AD5D-6DADC67F0060}">
  <sheetPr>
    <tabColor rgb="FF00B0F0"/>
  </sheetPr>
  <dimension ref="A3:G3042"/>
  <sheetViews>
    <sheetView showGridLines="0" topLeftCell="A2797" zoomScale="70" zoomScaleNormal="70" workbookViewId="0">
      <selection activeCell="E2705" sqref="E2705"/>
    </sheetView>
  </sheetViews>
  <sheetFormatPr defaultRowHeight="15" x14ac:dyDescent="0.25"/>
  <cols>
    <col min="1" max="1" width="18.7109375" style="307" customWidth="1"/>
    <col min="2" max="2" width="7.85546875" style="307" customWidth="1"/>
    <col min="3" max="3" width="20" style="307" customWidth="1"/>
    <col min="4" max="4" width="20.5703125" style="307" customWidth="1"/>
    <col min="5" max="5" width="94.42578125" style="307" bestFit="1" customWidth="1"/>
    <col min="6" max="6" width="24.140625" style="307" customWidth="1"/>
    <col min="7" max="7" width="23.42578125" style="307" customWidth="1"/>
    <col min="8" max="16384" width="9.140625" style="307"/>
  </cols>
  <sheetData>
    <row r="3" spans="1:7" ht="15.75" x14ac:dyDescent="0.25">
      <c r="C3" s="332" t="s">
        <v>663</v>
      </c>
      <c r="D3" s="333"/>
      <c r="E3" s="333"/>
      <c r="F3" s="327" t="s">
        <v>607</v>
      </c>
      <c r="G3" s="327" t="s">
        <v>283</v>
      </c>
    </row>
    <row r="4" spans="1:7" ht="15.75" x14ac:dyDescent="0.25">
      <c r="C4" s="332"/>
      <c r="D4" s="333"/>
      <c r="E4" s="333"/>
      <c r="F4" s="327" t="s">
        <v>601</v>
      </c>
      <c r="G4" s="327" t="s">
        <v>282</v>
      </c>
    </row>
    <row r="5" spans="1:7" x14ac:dyDescent="0.25">
      <c r="C5" s="328"/>
      <c r="D5" s="329"/>
      <c r="E5" s="329"/>
      <c r="F5" s="327" t="s">
        <v>651</v>
      </c>
      <c r="G5" s="331">
        <f>[2]Sheet1!$D$208</f>
        <v>0</v>
      </c>
    </row>
    <row r="6" spans="1:7" ht="15.75" thickBot="1" x14ac:dyDescent="0.3">
      <c r="C6" s="328"/>
      <c r="D6" s="329"/>
      <c r="E6" s="329"/>
      <c r="F6" s="327" t="s">
        <v>650</v>
      </c>
      <c r="G6" s="326">
        <f>+F25-G5</f>
        <v>0</v>
      </c>
    </row>
    <row r="7" spans="1:7" x14ac:dyDescent="0.25">
      <c r="A7" s="571" t="s">
        <v>655</v>
      </c>
      <c r="B7" s="573" t="s">
        <v>606</v>
      </c>
      <c r="C7" s="588" t="s">
        <v>649</v>
      </c>
      <c r="D7" s="599" t="s">
        <v>648</v>
      </c>
      <c r="E7" s="577" t="s">
        <v>647</v>
      </c>
      <c r="F7" s="577" t="s">
        <v>646</v>
      </c>
      <c r="G7" s="580" t="s">
        <v>645</v>
      </c>
    </row>
    <row r="8" spans="1:7" ht="15.75" thickBot="1" x14ac:dyDescent="0.3">
      <c r="A8" s="572"/>
      <c r="B8" s="574"/>
      <c r="C8" s="589"/>
      <c r="D8" s="600"/>
      <c r="E8" s="578"/>
      <c r="F8" s="578"/>
      <c r="G8" s="581"/>
    </row>
    <row r="9" spans="1:7" ht="15.75" thickBot="1" x14ac:dyDescent="0.3">
      <c r="A9" s="425">
        <v>1</v>
      </c>
      <c r="B9" s="425">
        <v>2</v>
      </c>
      <c r="C9" s="425">
        <v>3</v>
      </c>
      <c r="D9" s="425">
        <v>4</v>
      </c>
      <c r="E9" s="425">
        <v>5</v>
      </c>
      <c r="F9" s="425">
        <v>6</v>
      </c>
      <c r="G9" s="425">
        <v>7</v>
      </c>
    </row>
    <row r="10" spans="1:7" x14ac:dyDescent="0.25">
      <c r="A10" s="339"/>
      <c r="B10" s="339"/>
      <c r="C10" s="394"/>
      <c r="D10" s="481" t="str">
        <f>IFERROR(VLOOKUP(A10,#REF!,3,FALSE),"")</f>
        <v/>
      </c>
      <c r="E10" s="480" t="str">
        <f>IFERROR(VLOOKUP(A10,#REF!,4,FALSE),"")</f>
        <v/>
      </c>
      <c r="F10" s="405"/>
      <c r="G10" s="322"/>
    </row>
    <row r="11" spans="1:7" x14ac:dyDescent="0.25">
      <c r="A11" s="319"/>
      <c r="B11" s="319"/>
      <c r="C11" s="394"/>
      <c r="D11" s="481" t="str">
        <f>IFERROR(VLOOKUP(A11,#REF!,3,FALSE),"")</f>
        <v/>
      </c>
      <c r="E11" s="480" t="str">
        <f>IFERROR(VLOOKUP(A11,#REF!,4,FALSE),"")</f>
        <v/>
      </c>
      <c r="F11" s="405"/>
      <c r="G11" s="315"/>
    </row>
    <row r="12" spans="1:7" x14ac:dyDescent="0.25">
      <c r="A12" s="319"/>
      <c r="B12" s="319"/>
      <c r="C12" s="394"/>
      <c r="D12" s="481" t="str">
        <f>IFERROR(VLOOKUP(A12,#REF!,3,FALSE),"")</f>
        <v/>
      </c>
      <c r="E12" s="480" t="str">
        <f>IFERROR(VLOOKUP(A12,#REF!,4,FALSE),"")</f>
        <v/>
      </c>
      <c r="F12" s="405"/>
      <c r="G12" s="315"/>
    </row>
    <row r="13" spans="1:7" x14ac:dyDescent="0.25">
      <c r="A13" s="319"/>
      <c r="B13" s="319"/>
      <c r="C13" s="394"/>
      <c r="D13" s="481" t="str">
        <f>IFERROR(VLOOKUP(A13,#REF!,3,FALSE),"")</f>
        <v/>
      </c>
      <c r="E13" s="480" t="str">
        <f>IFERROR(VLOOKUP(A13,#REF!,4,FALSE),"")</f>
        <v/>
      </c>
      <c r="F13" s="405"/>
      <c r="G13" s="315"/>
    </row>
    <row r="14" spans="1:7" x14ac:dyDescent="0.25">
      <c r="A14" s="319"/>
      <c r="B14" s="319"/>
      <c r="C14" s="394"/>
      <c r="D14" s="481" t="str">
        <f>IFERROR(VLOOKUP(A14,#REF!,3,FALSE),"")</f>
        <v/>
      </c>
      <c r="E14" s="480" t="str">
        <f>IFERROR(VLOOKUP(A14,#REF!,4,FALSE),"")</f>
        <v/>
      </c>
      <c r="F14" s="405"/>
      <c r="G14" s="315"/>
    </row>
    <row r="15" spans="1:7" x14ac:dyDescent="0.25">
      <c r="A15" s="319"/>
      <c r="B15" s="319"/>
      <c r="C15" s="394"/>
      <c r="D15" s="481" t="str">
        <f>IFERROR(VLOOKUP(A15,#REF!,3,FALSE),"")</f>
        <v/>
      </c>
      <c r="E15" s="480" t="str">
        <f>IFERROR(VLOOKUP(A15,#REF!,4,FALSE),"")</f>
        <v/>
      </c>
      <c r="F15" s="507"/>
      <c r="G15" s="315"/>
    </row>
    <row r="16" spans="1:7" x14ac:dyDescent="0.25">
      <c r="A16" s="319"/>
      <c r="B16" s="319"/>
      <c r="C16" s="394"/>
      <c r="D16" s="481" t="str">
        <f>IFERROR(VLOOKUP(A16,#REF!,3,FALSE),"")</f>
        <v/>
      </c>
      <c r="E16" s="480" t="str">
        <f>IFERROR(VLOOKUP(A16,#REF!,4,FALSE),"")</f>
        <v/>
      </c>
      <c r="F16" s="507"/>
      <c r="G16" s="315"/>
    </row>
    <row r="17" spans="1:7" x14ac:dyDescent="0.25">
      <c r="A17" s="319"/>
      <c r="B17" s="319"/>
      <c r="C17" s="394"/>
      <c r="D17" s="481" t="str">
        <f>IFERROR(VLOOKUP(A17,#REF!,3,FALSE),"")</f>
        <v/>
      </c>
      <c r="E17" s="480" t="str">
        <f>IFERROR(VLOOKUP(A17,#REF!,4,FALSE),"")</f>
        <v/>
      </c>
      <c r="F17" s="506"/>
      <c r="G17" s="315"/>
    </row>
    <row r="18" spans="1:7" x14ac:dyDescent="0.25">
      <c r="A18" s="319"/>
      <c r="B18" s="319"/>
      <c r="C18" s="394"/>
      <c r="D18" s="481" t="str">
        <f>IFERROR(VLOOKUP(A18,#REF!,3,FALSE),"")</f>
        <v/>
      </c>
      <c r="E18" s="480" t="str">
        <f>IFERROR(VLOOKUP(A18,#REF!,4,FALSE),"")</f>
        <v/>
      </c>
      <c r="F18" s="506"/>
      <c r="G18" s="315"/>
    </row>
    <row r="19" spans="1:7" x14ac:dyDescent="0.25">
      <c r="A19" s="319"/>
      <c r="B19" s="319"/>
      <c r="C19" s="394"/>
      <c r="D19" s="481" t="str">
        <f>IFERROR(VLOOKUP(A19,#REF!,3,FALSE),"")</f>
        <v/>
      </c>
      <c r="E19" s="480" t="str">
        <f>IFERROR(VLOOKUP(A19,#REF!,4,FALSE),"")</f>
        <v/>
      </c>
      <c r="F19" s="506"/>
      <c r="G19" s="315"/>
    </row>
    <row r="20" spans="1:7" x14ac:dyDescent="0.25">
      <c r="A20" s="319"/>
      <c r="B20" s="319"/>
      <c r="C20" s="394"/>
      <c r="D20" s="481" t="str">
        <f>IFERROR(VLOOKUP(A20,#REF!,3,FALSE),"")</f>
        <v/>
      </c>
      <c r="E20" s="480" t="str">
        <f>IFERROR(VLOOKUP(A20,#REF!,4,FALSE),"")</f>
        <v/>
      </c>
      <c r="F20" s="506"/>
      <c r="G20" s="315"/>
    </row>
    <row r="21" spans="1:7" x14ac:dyDescent="0.25">
      <c r="A21" s="319"/>
      <c r="B21" s="319"/>
      <c r="C21" s="394"/>
      <c r="D21" s="481" t="str">
        <f>IFERROR(VLOOKUP(A21,#REF!,3,FALSE),"")</f>
        <v/>
      </c>
      <c r="E21" s="480" t="str">
        <f>IFERROR(VLOOKUP(A21,#REF!,4,FALSE),"")</f>
        <v/>
      </c>
      <c r="F21" s="506"/>
      <c r="G21" s="315"/>
    </row>
    <row r="22" spans="1:7" x14ac:dyDescent="0.25">
      <c r="A22" s="319"/>
      <c r="B22" s="319"/>
      <c r="C22" s="394"/>
      <c r="D22" s="481" t="str">
        <f>IFERROR(VLOOKUP(A22,#REF!,3,FALSE),"")</f>
        <v/>
      </c>
      <c r="E22" s="480" t="str">
        <f>IFERROR(VLOOKUP(A22,#REF!,4,FALSE),"")</f>
        <v/>
      </c>
      <c r="F22" s="506"/>
      <c r="G22" s="315"/>
    </row>
    <row r="23" spans="1:7" x14ac:dyDescent="0.25">
      <c r="A23" s="319"/>
      <c r="B23" s="319"/>
      <c r="C23" s="394"/>
      <c r="D23" s="481" t="str">
        <f>IFERROR(VLOOKUP(A23,#REF!,3,FALSE),"")</f>
        <v/>
      </c>
      <c r="E23" s="480" t="str">
        <f>IFERROR(VLOOKUP(A23,#REF!,4,FALSE),"")</f>
        <v/>
      </c>
      <c r="F23" s="506"/>
      <c r="G23" s="315"/>
    </row>
    <row r="24" spans="1:7" ht="15.75" thickBot="1" x14ac:dyDescent="0.3">
      <c r="A24" s="345"/>
      <c r="B24" s="345"/>
      <c r="C24" s="389" t="s">
        <v>664</v>
      </c>
      <c r="D24" s="481" t="str">
        <f>IFERROR(VLOOKUP(A24,#REF!,3,FALSE),"")</f>
        <v/>
      </c>
      <c r="E24" s="480" t="str">
        <f>IFERROR(VLOOKUP(A24,#REF!,4,FALSE),"")</f>
        <v/>
      </c>
      <c r="F24" s="505"/>
      <c r="G24" s="315"/>
    </row>
    <row r="25" spans="1:7" ht="15.75" thickBot="1" x14ac:dyDescent="0.3">
      <c r="A25" s="344"/>
      <c r="B25" s="343"/>
      <c r="C25" s="336"/>
      <c r="D25" s="486"/>
      <c r="E25" s="340" t="s">
        <v>644</v>
      </c>
      <c r="F25" s="310">
        <f>SUM(F10:F24)</f>
        <v>0</v>
      </c>
      <c r="G25" s="309">
        <f>SUM(G10:G24)</f>
        <v>0</v>
      </c>
    </row>
    <row r="26" spans="1:7" x14ac:dyDescent="0.25">
      <c r="C26" s="335"/>
      <c r="D26" s="485"/>
    </row>
    <row r="27" spans="1:7" x14ac:dyDescent="0.25">
      <c r="C27" s="335"/>
      <c r="D27" s="485"/>
    </row>
    <row r="28" spans="1:7" ht="15.75" x14ac:dyDescent="0.25">
      <c r="C28" s="334" t="s">
        <v>663</v>
      </c>
      <c r="D28" s="484"/>
      <c r="E28" s="333"/>
      <c r="F28" s="327" t="s">
        <v>607</v>
      </c>
      <c r="G28" s="327" t="s">
        <v>281</v>
      </c>
    </row>
    <row r="29" spans="1:7" ht="15.75" x14ac:dyDescent="0.25">
      <c r="C29" s="334"/>
      <c r="D29" s="484"/>
      <c r="E29" s="333"/>
      <c r="F29" s="327" t="s">
        <v>601</v>
      </c>
      <c r="G29" s="327" t="s">
        <v>280</v>
      </c>
    </row>
    <row r="30" spans="1:7" x14ac:dyDescent="0.25">
      <c r="C30" s="330"/>
      <c r="D30" s="482"/>
      <c r="E30" s="329"/>
      <c r="F30" s="327" t="s">
        <v>651</v>
      </c>
      <c r="G30" s="331">
        <f>[2]Sheet1!$D$209</f>
        <v>0</v>
      </c>
    </row>
    <row r="31" spans="1:7" ht="15.75" thickBot="1" x14ac:dyDescent="0.3">
      <c r="C31" s="330"/>
      <c r="D31" s="482"/>
      <c r="E31" s="329"/>
      <c r="F31" s="327" t="s">
        <v>650</v>
      </c>
      <c r="G31" s="326">
        <f>+F50-G30</f>
        <v>0</v>
      </c>
    </row>
    <row r="32" spans="1:7" x14ac:dyDescent="0.25">
      <c r="A32" s="571" t="s">
        <v>655</v>
      </c>
      <c r="B32" s="573" t="s">
        <v>606</v>
      </c>
      <c r="C32" s="588" t="s">
        <v>649</v>
      </c>
      <c r="D32" s="599" t="s">
        <v>648</v>
      </c>
      <c r="E32" s="577" t="s">
        <v>647</v>
      </c>
      <c r="F32" s="577" t="s">
        <v>646</v>
      </c>
      <c r="G32" s="580" t="s">
        <v>645</v>
      </c>
    </row>
    <row r="33" spans="1:7" ht="15.75" thickBot="1" x14ac:dyDescent="0.3">
      <c r="A33" s="572"/>
      <c r="B33" s="574"/>
      <c r="C33" s="589"/>
      <c r="D33" s="600"/>
      <c r="E33" s="578"/>
      <c r="F33" s="578"/>
      <c r="G33" s="581"/>
    </row>
    <row r="34" spans="1:7" ht="15.75" thickBot="1" x14ac:dyDescent="0.3">
      <c r="A34" s="425">
        <v>1</v>
      </c>
      <c r="B34" s="425">
        <v>2</v>
      </c>
      <c r="C34" s="425">
        <v>3</v>
      </c>
      <c r="D34" s="425">
        <v>4</v>
      </c>
      <c r="E34" s="425">
        <v>5</v>
      </c>
      <c r="F34" s="425">
        <v>6</v>
      </c>
      <c r="G34" s="425">
        <v>7</v>
      </c>
    </row>
    <row r="35" spans="1:7" x14ac:dyDescent="0.25">
      <c r="A35" s="320" t="str">
        <f t="shared" ref="A35:A49" si="0">$G$28&amp;B35</f>
        <v>II.1.1.011</v>
      </c>
      <c r="B35" s="320">
        <v>1</v>
      </c>
      <c r="C35" s="481" t="str">
        <f>IFERROR(VLOOKUP(A35,[3]DOORSCRIEFT!$A$2:$G$6834,3,FALSE),"")</f>
        <v/>
      </c>
      <c r="D35" s="481" t="str">
        <f>IFERROR(VLOOKUP(A35,[3]DOORSCRIEFT!$A$2:$G$6834,3,FALSE),"")</f>
        <v/>
      </c>
      <c r="E35" s="480" t="str">
        <f>IFERROR(VLOOKUP(A35,[3]DOORSCRIEFT!$A$2:$G$6834,4,FALSE),"")</f>
        <v/>
      </c>
      <c r="F35" s="405" t="str">
        <f>IFERROR(VLOOKUP(A35,[3]DOORSCRIEFT!$A$2:$G$6834,7,FALSE),"")</f>
        <v/>
      </c>
      <c r="G35" s="322"/>
    </row>
    <row r="36" spans="1:7" x14ac:dyDescent="0.25">
      <c r="A36" s="321" t="str">
        <f t="shared" si="0"/>
        <v>II.1.1.012</v>
      </c>
      <c r="B36" s="321">
        <v>2</v>
      </c>
      <c r="C36" s="481" t="str">
        <f>IFERROR(VLOOKUP(A36,[3]DOORSCRIEFT!$A$2:$G$6834,3,FALSE),"")</f>
        <v/>
      </c>
      <c r="D36" s="481" t="str">
        <f>IFERROR(VLOOKUP(A36,[3]DOORSCRIEFT!$A$2:$G$6834,3,FALSE),"")</f>
        <v/>
      </c>
      <c r="E36" s="480" t="str">
        <f>IFERROR(VLOOKUP(A36,[3]DOORSCRIEFT!$A$2:$G$6834,4,FALSE),"")</f>
        <v/>
      </c>
      <c r="F36" s="405" t="str">
        <f>IFERROR(VLOOKUP(A36,[3]DOORSCRIEFT!$A$2:$G$6834,7,FALSE),"")</f>
        <v/>
      </c>
      <c r="G36" s="315"/>
    </row>
    <row r="37" spans="1:7" x14ac:dyDescent="0.25">
      <c r="A37" s="321" t="str">
        <f t="shared" si="0"/>
        <v>II.1.1.013</v>
      </c>
      <c r="B37" s="321">
        <v>3</v>
      </c>
      <c r="C37" s="481" t="str">
        <f>IFERROR(VLOOKUP(A37,[3]DOORSCRIEFT!$A$2:$G$6834,3,FALSE),"")</f>
        <v/>
      </c>
      <c r="D37" s="481" t="str">
        <f>IFERROR(VLOOKUP(A37,[3]DOORSCRIEFT!$A$2:$G$6834,3,FALSE),"")</f>
        <v/>
      </c>
      <c r="E37" s="480" t="str">
        <f>IFERROR(VLOOKUP(A37,[3]DOORSCRIEFT!$A$2:$G$6834,4,FALSE),"")</f>
        <v/>
      </c>
      <c r="F37" s="405" t="str">
        <f>IFERROR(VLOOKUP(A37,[3]DOORSCRIEFT!$A$2:$G$6834,7,FALSE),"")</f>
        <v/>
      </c>
      <c r="G37" s="315"/>
    </row>
    <row r="38" spans="1:7" x14ac:dyDescent="0.25">
      <c r="A38" s="321" t="str">
        <f t="shared" si="0"/>
        <v>II.1.1.014</v>
      </c>
      <c r="B38" s="321">
        <v>4</v>
      </c>
      <c r="C38" s="481" t="str">
        <f>IFERROR(VLOOKUP(A38,[3]DOORSCRIEFT!$A$2:$G$6834,3,FALSE),"")</f>
        <v/>
      </c>
      <c r="D38" s="481" t="str">
        <f>IFERROR(VLOOKUP(A38,[3]DOORSCRIEFT!$A$2:$G$6834,3,FALSE),"")</f>
        <v/>
      </c>
      <c r="E38" s="480" t="str">
        <f>IFERROR(VLOOKUP(A38,[3]DOORSCRIEFT!$A$2:$G$6834,4,FALSE),"")</f>
        <v/>
      </c>
      <c r="F38" s="405" t="str">
        <f>IFERROR(VLOOKUP(A38,[3]DOORSCRIEFT!$A$2:$G$6834,7,FALSE),"")</f>
        <v/>
      </c>
      <c r="G38" s="315"/>
    </row>
    <row r="39" spans="1:7" x14ac:dyDescent="0.25">
      <c r="A39" s="321" t="str">
        <f t="shared" si="0"/>
        <v>II.1.1.015</v>
      </c>
      <c r="B39" s="321">
        <v>5</v>
      </c>
      <c r="C39" s="481" t="str">
        <f>IFERROR(VLOOKUP(A39,[3]DOORSCRIEFT!$A$2:$G$6834,3,FALSE),"")</f>
        <v/>
      </c>
      <c r="D39" s="481" t="str">
        <f>IFERROR(VLOOKUP(A39,[3]DOORSCRIEFT!$A$2:$G$6834,3,FALSE),"")</f>
        <v/>
      </c>
      <c r="E39" s="480" t="str">
        <f>IFERROR(VLOOKUP(A39,[3]DOORSCRIEFT!$A$2:$G$6834,4,FALSE),"")</f>
        <v/>
      </c>
      <c r="F39" s="405" t="str">
        <f>IFERROR(VLOOKUP(A39,[3]DOORSCRIEFT!$A$2:$G$6834,7,FALSE),"")</f>
        <v/>
      </c>
      <c r="G39" s="315"/>
    </row>
    <row r="40" spans="1:7" x14ac:dyDescent="0.25">
      <c r="A40" s="321" t="str">
        <f t="shared" si="0"/>
        <v>II.1.1.016</v>
      </c>
      <c r="B40" s="321">
        <v>6</v>
      </c>
      <c r="C40" s="481" t="str">
        <f>IFERROR(VLOOKUP(A40,[3]DOORSCRIEFT!$A$2:$G$6834,3,FALSE),"")</f>
        <v/>
      </c>
      <c r="D40" s="481" t="str">
        <f>IFERROR(VLOOKUP(A40,[3]DOORSCRIEFT!$A$2:$G$6834,3,FALSE),"")</f>
        <v/>
      </c>
      <c r="E40" s="480" t="str">
        <f>IFERROR(VLOOKUP(A40,[3]DOORSCRIEFT!$A$2:$G$6834,4,FALSE),"")</f>
        <v/>
      </c>
      <c r="F40" s="405" t="str">
        <f>IFERROR(VLOOKUP(A40,[3]DOORSCRIEFT!$A$2:$G$6834,7,FALSE),"")</f>
        <v/>
      </c>
      <c r="G40" s="315"/>
    </row>
    <row r="41" spans="1:7" x14ac:dyDescent="0.25">
      <c r="A41" s="321" t="str">
        <f t="shared" si="0"/>
        <v>II.1.1.017</v>
      </c>
      <c r="B41" s="321">
        <v>7</v>
      </c>
      <c r="C41" s="481" t="str">
        <f>IFERROR(VLOOKUP(A41,[3]DOORSCRIEFT!$A$2:$G$6834,3,FALSE),"")</f>
        <v/>
      </c>
      <c r="D41" s="481" t="str">
        <f>IFERROR(VLOOKUP(A41,[3]DOORSCRIEFT!$A$2:$G$6834,3,FALSE),"")</f>
        <v/>
      </c>
      <c r="E41" s="480" t="str">
        <f>IFERROR(VLOOKUP(A41,[3]DOORSCRIEFT!$A$2:$G$6834,4,FALSE),"")</f>
        <v/>
      </c>
      <c r="F41" s="405" t="str">
        <f>IFERROR(VLOOKUP(A41,[3]DOORSCRIEFT!$A$2:$G$6834,7,FALSE),"")</f>
        <v/>
      </c>
      <c r="G41" s="315"/>
    </row>
    <row r="42" spans="1:7" x14ac:dyDescent="0.25">
      <c r="A42" s="321" t="str">
        <f t="shared" si="0"/>
        <v>II.1.1.018</v>
      </c>
      <c r="B42" s="321">
        <v>8</v>
      </c>
      <c r="C42" s="481" t="str">
        <f>IFERROR(VLOOKUP(A42,[3]DOORSCRIEFT!$A$2:$G$6834,3,FALSE),"")</f>
        <v/>
      </c>
      <c r="D42" s="481" t="str">
        <f>IFERROR(VLOOKUP(A42,[3]DOORSCRIEFT!$A$2:$G$6834,3,FALSE),"")</f>
        <v/>
      </c>
      <c r="E42" s="480" t="str">
        <f>IFERROR(VLOOKUP(A42,[3]DOORSCRIEFT!$A$2:$G$6834,4,FALSE),"")</f>
        <v/>
      </c>
      <c r="F42" s="405" t="str">
        <f>IFERROR(VLOOKUP(A42,[3]DOORSCRIEFT!$A$2:$G$6834,7,FALSE),"")</f>
        <v/>
      </c>
      <c r="G42" s="315"/>
    </row>
    <row r="43" spans="1:7" x14ac:dyDescent="0.25">
      <c r="A43" s="321" t="str">
        <f t="shared" si="0"/>
        <v>II.1.1.019</v>
      </c>
      <c r="B43" s="321">
        <v>9</v>
      </c>
      <c r="C43" s="481" t="str">
        <f>IFERROR(VLOOKUP(A43,[3]DOORSCRIEFT!$A$2:$G$6834,3,FALSE),"")</f>
        <v/>
      </c>
      <c r="D43" s="481" t="str">
        <f>IFERROR(VLOOKUP(A43,[3]DOORSCRIEFT!$A$2:$G$6834,3,FALSE),"")</f>
        <v/>
      </c>
      <c r="E43" s="480" t="str">
        <f>IFERROR(VLOOKUP(A43,[3]DOORSCRIEFT!$A$2:$G$6834,4,FALSE),"")</f>
        <v/>
      </c>
      <c r="F43" s="405" t="str">
        <f>IFERROR(VLOOKUP(A43,[3]DOORSCRIEFT!$A$2:$G$6834,7,FALSE),"")</f>
        <v/>
      </c>
      <c r="G43" s="315"/>
    </row>
    <row r="44" spans="1:7" x14ac:dyDescent="0.25">
      <c r="A44" s="321" t="str">
        <f t="shared" si="0"/>
        <v>II.1.1.0110</v>
      </c>
      <c r="B44" s="321">
        <v>10</v>
      </c>
      <c r="C44" s="481" t="str">
        <f>IFERROR(VLOOKUP(A44,[3]DOORSCRIEFT!$A$2:$G$6834,3,FALSE),"")</f>
        <v/>
      </c>
      <c r="D44" s="481" t="str">
        <f>IFERROR(VLOOKUP(A44,[3]DOORSCRIEFT!$A$2:$G$6834,3,FALSE),"")</f>
        <v/>
      </c>
      <c r="E44" s="480" t="str">
        <f>IFERROR(VLOOKUP(A44,[3]DOORSCRIEFT!$A$2:$G$6834,4,FALSE),"")</f>
        <v/>
      </c>
      <c r="F44" s="405" t="str">
        <f>IFERROR(VLOOKUP(A44,[3]DOORSCRIEFT!$A$2:$G$6834,7,FALSE),"")</f>
        <v/>
      </c>
      <c r="G44" s="315"/>
    </row>
    <row r="45" spans="1:7" x14ac:dyDescent="0.25">
      <c r="A45" s="321" t="str">
        <f t="shared" si="0"/>
        <v>II.1.1.0111</v>
      </c>
      <c r="B45" s="321">
        <v>11</v>
      </c>
      <c r="C45" s="481" t="str">
        <f>IFERROR(VLOOKUP(A45,[3]DOORSCRIEFT!$A$2:$G$6834,3,FALSE),"")</f>
        <v/>
      </c>
      <c r="D45" s="481" t="str">
        <f>IFERROR(VLOOKUP(A45,[3]DOORSCRIEFT!$A$2:$G$6834,3,FALSE),"")</f>
        <v/>
      </c>
      <c r="E45" s="480" t="str">
        <f>IFERROR(VLOOKUP(A45,[3]DOORSCRIEFT!$A$2:$G$6834,4,FALSE),"")</f>
        <v/>
      </c>
      <c r="F45" s="405" t="str">
        <f>IFERROR(VLOOKUP(A45,[3]DOORSCRIEFT!$A$2:$G$6834,7,FALSE),"")</f>
        <v/>
      </c>
      <c r="G45" s="315"/>
    </row>
    <row r="46" spans="1:7" x14ac:dyDescent="0.25">
      <c r="A46" s="321" t="str">
        <f t="shared" si="0"/>
        <v>II.1.1.0112</v>
      </c>
      <c r="B46" s="321">
        <v>12</v>
      </c>
      <c r="C46" s="481" t="str">
        <f>IFERROR(VLOOKUP(A46,[3]DOORSCRIEFT!$A$2:$G$6834,3,FALSE),"")</f>
        <v/>
      </c>
      <c r="D46" s="481" t="str">
        <f>IFERROR(VLOOKUP(A46,[3]DOORSCRIEFT!$A$2:$G$6834,3,FALSE),"")</f>
        <v/>
      </c>
      <c r="E46" s="480" t="str">
        <f>IFERROR(VLOOKUP(A46,[3]DOORSCRIEFT!$A$2:$G$6834,4,FALSE),"")</f>
        <v/>
      </c>
      <c r="F46" s="405" t="str">
        <f>IFERROR(VLOOKUP(A46,[3]DOORSCRIEFT!$A$2:$G$6834,7,FALSE),"")</f>
        <v/>
      </c>
      <c r="G46" s="315"/>
    </row>
    <row r="47" spans="1:7" x14ac:dyDescent="0.25">
      <c r="A47" s="321" t="str">
        <f t="shared" si="0"/>
        <v>II.1.1.0113</v>
      </c>
      <c r="B47" s="321">
        <v>13</v>
      </c>
      <c r="C47" s="481" t="str">
        <f>IFERROR(VLOOKUP(A47,[3]DOORSCRIEFT!$A$2:$G$6834,3,FALSE),"")</f>
        <v/>
      </c>
      <c r="D47" s="481" t="str">
        <f>IFERROR(VLOOKUP(A47,[3]DOORSCRIEFT!$A$2:$G$6834,3,FALSE),"")</f>
        <v/>
      </c>
      <c r="E47" s="480" t="str">
        <f>IFERROR(VLOOKUP(A47,[3]DOORSCRIEFT!$A$2:$G$6834,4,FALSE),"")</f>
        <v/>
      </c>
      <c r="F47" s="405" t="str">
        <f>IFERROR(VLOOKUP(A47,[3]DOORSCRIEFT!$A$2:$G$6834,7,FALSE),"")</f>
        <v/>
      </c>
      <c r="G47" s="315"/>
    </row>
    <row r="48" spans="1:7" x14ac:dyDescent="0.25">
      <c r="A48" s="321" t="str">
        <f t="shared" si="0"/>
        <v>II.1.1.0114</v>
      </c>
      <c r="B48" s="321">
        <v>14</v>
      </c>
      <c r="C48" s="481" t="str">
        <f>IFERROR(VLOOKUP(A48,[3]DOORSCRIEFT!$A$2:$G$6834,3,FALSE),"")</f>
        <v/>
      </c>
      <c r="D48" s="481" t="str">
        <f>IFERROR(VLOOKUP(A48,[3]DOORSCRIEFT!$A$2:$G$6834,3,FALSE),"")</f>
        <v/>
      </c>
      <c r="E48" s="480" t="str">
        <f>IFERROR(VLOOKUP(A48,[3]DOORSCRIEFT!$A$2:$G$6834,4,FALSE),"")</f>
        <v/>
      </c>
      <c r="F48" s="405" t="str">
        <f>IFERROR(VLOOKUP(A48,[3]DOORSCRIEFT!$A$2:$G$6834,7,FALSE),"")</f>
        <v/>
      </c>
      <c r="G48" s="315"/>
    </row>
    <row r="49" spans="1:7" ht="15.75" thickBot="1" x14ac:dyDescent="0.3">
      <c r="A49" s="342" t="str">
        <f t="shared" si="0"/>
        <v>II.1.1.0115</v>
      </c>
      <c r="B49" s="342">
        <v>15</v>
      </c>
      <c r="C49" s="481" t="str">
        <f>IFERROR(VLOOKUP(A49,[3]DOORSCRIEFT!$A$2:$G$6834,3,FALSE),"")</f>
        <v/>
      </c>
      <c r="D49" s="481" t="str">
        <f>IFERROR(VLOOKUP(A49,[3]DOORSCRIEFT!$A$2:$G$6834,3,FALSE),"")</f>
        <v/>
      </c>
      <c r="E49" s="480" t="str">
        <f>IFERROR(VLOOKUP(A49,[3]DOORSCRIEFT!$A$2:$G$6834,4,FALSE),"")</f>
        <v/>
      </c>
      <c r="F49" s="405" t="str">
        <f>IFERROR(VLOOKUP(A49,[3]DOORSCRIEFT!$A$2:$G$6834,7,FALSE),"")</f>
        <v/>
      </c>
      <c r="G49" s="315"/>
    </row>
    <row r="50" spans="1:7" ht="15.75" thickBot="1" x14ac:dyDescent="0.3">
      <c r="A50" s="341"/>
      <c r="B50" s="340"/>
      <c r="C50" s="336"/>
      <c r="D50" s="486"/>
      <c r="E50" s="340" t="s">
        <v>644</v>
      </c>
      <c r="F50" s="310">
        <f>SUM(F35:F49)</f>
        <v>0</v>
      </c>
      <c r="G50" s="309">
        <f>SUM(G35:G49)</f>
        <v>0</v>
      </c>
    </row>
    <row r="51" spans="1:7" x14ac:dyDescent="0.25">
      <c r="C51" s="335"/>
      <c r="D51" s="485"/>
    </row>
    <row r="52" spans="1:7" x14ac:dyDescent="0.25">
      <c r="C52" s="335"/>
      <c r="D52" s="485"/>
    </row>
    <row r="53" spans="1:7" ht="15.75" x14ac:dyDescent="0.25">
      <c r="C53" s="334" t="s">
        <v>663</v>
      </c>
      <c r="D53" s="484"/>
      <c r="E53" s="333"/>
      <c r="F53" s="327" t="s">
        <v>607</v>
      </c>
      <c r="G53" s="327" t="s">
        <v>274</v>
      </c>
    </row>
    <row r="54" spans="1:7" ht="15.75" x14ac:dyDescent="0.25">
      <c r="C54" s="334"/>
      <c r="D54" s="484"/>
      <c r="E54" s="333"/>
      <c r="F54" s="327" t="s">
        <v>601</v>
      </c>
      <c r="G54" s="327" t="s">
        <v>273</v>
      </c>
    </row>
    <row r="55" spans="1:7" x14ac:dyDescent="0.25">
      <c r="C55" s="330"/>
      <c r="D55" s="482"/>
      <c r="E55" s="329"/>
      <c r="F55" s="327" t="s">
        <v>651</v>
      </c>
      <c r="G55" s="331">
        <f>[2]Sheet1!$D$213</f>
        <v>676486296</v>
      </c>
    </row>
    <row r="56" spans="1:7" ht="15.75" thickBot="1" x14ac:dyDescent="0.3">
      <c r="C56" s="330"/>
      <c r="D56" s="482"/>
      <c r="E56" s="329"/>
      <c r="F56" s="327" t="s">
        <v>650</v>
      </c>
      <c r="G56" s="326">
        <f>+F84-G55</f>
        <v>-533029857</v>
      </c>
    </row>
    <row r="57" spans="1:7" x14ac:dyDescent="0.25">
      <c r="A57" s="571" t="s">
        <v>655</v>
      </c>
      <c r="B57" s="573" t="s">
        <v>606</v>
      </c>
      <c r="C57" s="588" t="s">
        <v>649</v>
      </c>
      <c r="D57" s="599" t="s">
        <v>648</v>
      </c>
      <c r="E57" s="577" t="s">
        <v>647</v>
      </c>
      <c r="F57" s="577" t="s">
        <v>646</v>
      </c>
      <c r="G57" s="580" t="s">
        <v>645</v>
      </c>
    </row>
    <row r="58" spans="1:7" ht="15.75" thickBot="1" x14ac:dyDescent="0.3">
      <c r="A58" s="572"/>
      <c r="B58" s="574"/>
      <c r="C58" s="589"/>
      <c r="D58" s="600"/>
      <c r="E58" s="578"/>
      <c r="F58" s="578"/>
      <c r="G58" s="581"/>
    </row>
    <row r="59" spans="1:7" ht="15.75" thickBot="1" x14ac:dyDescent="0.3">
      <c r="A59" s="425">
        <v>1</v>
      </c>
      <c r="B59" s="425">
        <v>2</v>
      </c>
      <c r="C59" s="425">
        <v>3</v>
      </c>
      <c r="D59" s="425">
        <v>4</v>
      </c>
      <c r="E59" s="425">
        <v>5</v>
      </c>
      <c r="F59" s="425">
        <v>6</v>
      </c>
      <c r="G59" s="425">
        <v>7</v>
      </c>
    </row>
    <row r="60" spans="1:7" x14ac:dyDescent="0.25">
      <c r="A60" s="320" t="str">
        <f t="shared" ref="A60:A83" si="1">$G$53&amp;B60</f>
        <v>II.2.1.011</v>
      </c>
      <c r="B60" s="320">
        <v>1</v>
      </c>
      <c r="C60" s="320">
        <f>IFERROR(VLOOKUP(A60,[3]DOORSCRIEFT!$A$2:$G$6834,2,FALSE),"")</f>
        <v>63</v>
      </c>
      <c r="D60" s="481">
        <f>IFERROR(VLOOKUP(A60,[3]DOORSCRIEFT!$A$2:$G$6834,3,FALSE),"")</f>
        <v>46038</v>
      </c>
      <c r="E60" s="480" t="str">
        <f>IFERROR(VLOOKUP(A60,[3]DOORSCRIEFT!$A$2:$G$6834,4,FALSE),"")</f>
        <v>Tanggungan Pengembangan Institusi (30%) bulan januari</v>
      </c>
      <c r="F60" s="405">
        <f>IFERROR(VLOOKUP(A60,[3]DOORSCRIEFT!$A$2:$G$6834,7,FALSE),"")</f>
        <v>47818813</v>
      </c>
      <c r="G60" s="322"/>
    </row>
    <row r="61" spans="1:7" x14ac:dyDescent="0.25">
      <c r="A61" s="320" t="str">
        <f t="shared" si="1"/>
        <v>II.2.1.012</v>
      </c>
      <c r="B61" s="321">
        <v>2</v>
      </c>
      <c r="C61" s="320">
        <f>IFERROR(VLOOKUP(A61,[3]DOORSCRIEFT!$A$2:$G$6834,2,FALSE),"")</f>
        <v>195</v>
      </c>
      <c r="D61" s="481">
        <f>IFERROR(VLOOKUP(A61,[3]DOORSCRIEFT!$A$2:$G$6834,3,FALSE),"")</f>
        <v>46066</v>
      </c>
      <c r="E61" s="480" t="str">
        <f>IFERROR(VLOOKUP(A61,[3]DOORSCRIEFT!$A$2:$G$6834,4,FALSE),"")</f>
        <v>Tanggungan Pengembangan Institusi (30%) bulan februari</v>
      </c>
      <c r="F61" s="405">
        <f>IFERROR(VLOOKUP(A61,[3]DOORSCRIEFT!$A$2:$G$6834,7,FALSE),"")</f>
        <v>47818813</v>
      </c>
      <c r="G61" s="322"/>
    </row>
    <row r="62" spans="1:7" x14ac:dyDescent="0.25">
      <c r="A62" s="320" t="str">
        <f t="shared" si="1"/>
        <v>II.2.1.013</v>
      </c>
      <c r="B62" s="320">
        <v>3</v>
      </c>
      <c r="C62" s="320">
        <f>IFERROR(VLOOKUP(A62,[3]DOORSCRIEFT!$A$2:$G$6834,2,FALSE),"")</f>
        <v>311</v>
      </c>
      <c r="D62" s="481">
        <f>IFERROR(VLOOKUP(A62,[3]DOORSCRIEFT!$A$2:$G$6834,3,FALSE),"")</f>
        <v>46089</v>
      </c>
      <c r="E62" s="480" t="str">
        <f>IFERROR(VLOOKUP(A62,[3]DOORSCRIEFT!$A$2:$G$6834,4,FALSE),"")</f>
        <v>Tanggungan Pengembangan Institusi (30%) bulan Maret</v>
      </c>
      <c r="F62" s="405">
        <f>IFERROR(VLOOKUP(A62,[3]DOORSCRIEFT!$A$2:$G$6834,7,FALSE),"")</f>
        <v>47818813</v>
      </c>
      <c r="G62" s="315"/>
    </row>
    <row r="63" spans="1:7" x14ac:dyDescent="0.25">
      <c r="A63" s="320" t="str">
        <f t="shared" si="1"/>
        <v>II.2.1.014</v>
      </c>
      <c r="B63" s="321">
        <v>4</v>
      </c>
      <c r="C63" s="320" t="str">
        <f>IFERROR(VLOOKUP(A63,[3]DOORSCRIEFT!$A$2:$G$6834,2,FALSE),"")</f>
        <v/>
      </c>
      <c r="D63" s="481" t="str">
        <f>IFERROR(VLOOKUP(A63,[3]DOORSCRIEFT!$A$2:$G$6834,3,FALSE),"")</f>
        <v/>
      </c>
      <c r="E63" s="480" t="str">
        <f>IFERROR(VLOOKUP(A63,[3]DOORSCRIEFT!$A$2:$G$6834,4,FALSE),"")</f>
        <v/>
      </c>
      <c r="F63" s="405" t="str">
        <f>IFERROR(VLOOKUP(A63,[3]DOORSCRIEFT!$A$2:$G$6834,7,FALSE),"")</f>
        <v/>
      </c>
      <c r="G63" s="315"/>
    </row>
    <row r="64" spans="1:7" x14ac:dyDescent="0.25">
      <c r="A64" s="320" t="str">
        <f t="shared" si="1"/>
        <v>II.2.1.015</v>
      </c>
      <c r="B64" s="320">
        <v>5</v>
      </c>
      <c r="C64" s="320" t="str">
        <f>IFERROR(VLOOKUP(A64,[3]DOORSCRIEFT!$A$2:$G$6834,2,FALSE),"")</f>
        <v/>
      </c>
      <c r="D64" s="481" t="str">
        <f>IFERROR(VLOOKUP(A64,[3]DOORSCRIEFT!$A$2:$G$6834,3,FALSE),"")</f>
        <v/>
      </c>
      <c r="E64" s="480" t="str">
        <f>IFERROR(VLOOKUP(A64,[3]DOORSCRIEFT!$A$2:$G$6834,4,FALSE),"")</f>
        <v/>
      </c>
      <c r="F64" s="405" t="str">
        <f>IFERROR(VLOOKUP(A64,[3]DOORSCRIEFT!$A$2:$G$6834,7,FALSE),"")</f>
        <v/>
      </c>
      <c r="G64" s="315"/>
    </row>
    <row r="65" spans="1:7" x14ac:dyDescent="0.25">
      <c r="A65" s="320" t="str">
        <f t="shared" si="1"/>
        <v>II.2.1.016</v>
      </c>
      <c r="B65" s="321">
        <v>6</v>
      </c>
      <c r="C65" s="320" t="str">
        <f>IFERROR(VLOOKUP(A65,[3]DOORSCRIEFT!$A$2:$G$6834,2,FALSE),"")</f>
        <v/>
      </c>
      <c r="D65" s="481" t="str">
        <f>IFERROR(VLOOKUP(A65,[3]DOORSCRIEFT!$A$2:$G$6834,3,FALSE),"")</f>
        <v/>
      </c>
      <c r="E65" s="480" t="str">
        <f>IFERROR(VLOOKUP(A65,[3]DOORSCRIEFT!$A$2:$G$6834,4,FALSE),"")</f>
        <v/>
      </c>
      <c r="F65" s="405" t="str">
        <f>IFERROR(VLOOKUP(A65,[3]DOORSCRIEFT!$A$2:$G$6834,7,FALSE),"")</f>
        <v/>
      </c>
      <c r="G65" s="315"/>
    </row>
    <row r="66" spans="1:7" x14ac:dyDescent="0.25">
      <c r="A66" s="320" t="str">
        <f t="shared" si="1"/>
        <v>II.2.1.017</v>
      </c>
      <c r="B66" s="320">
        <v>7</v>
      </c>
      <c r="C66" s="320" t="str">
        <f>IFERROR(VLOOKUP(A66,[3]DOORSCRIEFT!$A$2:$G$6834,2,FALSE),"")</f>
        <v/>
      </c>
      <c r="D66" s="481" t="str">
        <f>IFERROR(VLOOKUP(A66,[3]DOORSCRIEFT!$A$2:$G$6834,3,FALSE),"")</f>
        <v/>
      </c>
      <c r="E66" s="480" t="str">
        <f>IFERROR(VLOOKUP(A66,[3]DOORSCRIEFT!$A$2:$G$6834,4,FALSE),"")</f>
        <v/>
      </c>
      <c r="F66" s="405" t="str">
        <f>IFERROR(VLOOKUP(A66,[3]DOORSCRIEFT!$A$2:$G$6834,7,FALSE),"")</f>
        <v/>
      </c>
      <c r="G66" s="315"/>
    </row>
    <row r="67" spans="1:7" x14ac:dyDescent="0.25">
      <c r="A67" s="320" t="str">
        <f t="shared" si="1"/>
        <v>II.2.1.018</v>
      </c>
      <c r="B67" s="321">
        <v>8</v>
      </c>
      <c r="C67" s="320" t="str">
        <f>IFERROR(VLOOKUP(A67,[3]DOORSCRIEFT!$A$2:$G$6834,2,FALSE),"")</f>
        <v/>
      </c>
      <c r="D67" s="481" t="str">
        <f>IFERROR(VLOOKUP(A67,[3]DOORSCRIEFT!$A$2:$G$6834,3,FALSE),"")</f>
        <v/>
      </c>
      <c r="E67" s="480" t="str">
        <f>IFERROR(VLOOKUP(A67,[3]DOORSCRIEFT!$A$2:$G$6834,4,FALSE),"")</f>
        <v/>
      </c>
      <c r="F67" s="405" t="str">
        <f>IFERROR(VLOOKUP(A67,[3]DOORSCRIEFT!$A$2:$G$6834,7,FALSE),"")</f>
        <v/>
      </c>
      <c r="G67" s="315"/>
    </row>
    <row r="68" spans="1:7" x14ac:dyDescent="0.25">
      <c r="A68" s="320" t="str">
        <f t="shared" si="1"/>
        <v>II.2.1.019</v>
      </c>
      <c r="B68" s="320">
        <v>9</v>
      </c>
      <c r="C68" s="320" t="str">
        <f>IFERROR(VLOOKUP(A68,[3]DOORSCRIEFT!$A$2:$G$6834,2,FALSE),"")</f>
        <v/>
      </c>
      <c r="D68" s="481" t="str">
        <f>IFERROR(VLOOKUP(A68,[3]DOORSCRIEFT!$A$2:$G$6834,3,FALSE),"")</f>
        <v/>
      </c>
      <c r="E68" s="480" t="str">
        <f>IFERROR(VLOOKUP(A68,[3]DOORSCRIEFT!$A$2:$G$6834,4,FALSE),"")</f>
        <v/>
      </c>
      <c r="F68" s="405" t="str">
        <f>IFERROR(VLOOKUP(A68,[3]DOORSCRIEFT!$A$2:$G$6834,7,FALSE),"")</f>
        <v/>
      </c>
      <c r="G68" s="315"/>
    </row>
    <row r="69" spans="1:7" x14ac:dyDescent="0.25">
      <c r="A69" s="320" t="str">
        <f t="shared" si="1"/>
        <v>II.2.1.0110</v>
      </c>
      <c r="B69" s="321">
        <v>10</v>
      </c>
      <c r="C69" s="320" t="str">
        <f>IFERROR(VLOOKUP(A69,[3]DOORSCRIEFT!$A$2:$G$6834,2,FALSE),"")</f>
        <v/>
      </c>
      <c r="D69" s="481" t="str">
        <f>IFERROR(VLOOKUP(A69,[3]DOORSCRIEFT!$A$2:$G$6834,3,FALSE),"")</f>
        <v/>
      </c>
      <c r="E69" s="480" t="str">
        <f>IFERROR(VLOOKUP(A69,[3]DOORSCRIEFT!$A$2:$G$6834,4,FALSE),"")</f>
        <v/>
      </c>
      <c r="F69" s="405" t="str">
        <f>IFERROR(VLOOKUP(A69,[3]DOORSCRIEFT!$A$2:$G$6834,7,FALSE),"")</f>
        <v/>
      </c>
      <c r="G69" s="315"/>
    </row>
    <row r="70" spans="1:7" x14ac:dyDescent="0.25">
      <c r="A70" s="320" t="str">
        <f t="shared" si="1"/>
        <v>II.2.1.0111</v>
      </c>
      <c r="B70" s="320">
        <v>11</v>
      </c>
      <c r="C70" s="320" t="str">
        <f>IFERROR(VLOOKUP(A70,[3]DOORSCRIEFT!$A$2:$G$6834,2,FALSE),"")</f>
        <v/>
      </c>
      <c r="D70" s="481" t="str">
        <f>IFERROR(VLOOKUP(A70,[3]DOORSCRIEFT!$A$2:$G$6834,3,FALSE),"")</f>
        <v/>
      </c>
      <c r="E70" s="480" t="str">
        <f>IFERROR(VLOOKUP(A70,[3]DOORSCRIEFT!$A$2:$G$6834,4,FALSE),"")</f>
        <v/>
      </c>
      <c r="F70" s="405" t="str">
        <f>IFERROR(VLOOKUP(A70,[3]DOORSCRIEFT!$A$2:$G$6834,7,FALSE),"")</f>
        <v/>
      </c>
      <c r="G70" s="315"/>
    </row>
    <row r="71" spans="1:7" x14ac:dyDescent="0.25">
      <c r="A71" s="320" t="str">
        <f t="shared" si="1"/>
        <v>II.2.1.0112</v>
      </c>
      <c r="B71" s="321">
        <v>12</v>
      </c>
      <c r="C71" s="320" t="str">
        <f>IFERROR(VLOOKUP(A71,[3]DOORSCRIEFT!$A$2:$G$6834,2,FALSE),"")</f>
        <v/>
      </c>
      <c r="D71" s="481" t="str">
        <f>IFERROR(VLOOKUP(A71,[3]DOORSCRIEFT!$A$2:$G$6834,3,FALSE),"")</f>
        <v/>
      </c>
      <c r="E71" s="480" t="str">
        <f>IFERROR(VLOOKUP(A71,[3]DOORSCRIEFT!$A$2:$G$6834,4,FALSE),"")</f>
        <v/>
      </c>
      <c r="F71" s="405" t="str">
        <f>IFERROR(VLOOKUP(A71,[3]DOORSCRIEFT!$A$2:$G$6834,7,FALSE),"")</f>
        <v/>
      </c>
      <c r="G71" s="315"/>
    </row>
    <row r="72" spans="1:7" x14ac:dyDescent="0.25">
      <c r="A72" s="320" t="str">
        <f t="shared" si="1"/>
        <v>II.2.1.0113</v>
      </c>
      <c r="B72" s="320">
        <v>13</v>
      </c>
      <c r="C72" s="320" t="str">
        <f>IFERROR(VLOOKUP(A72,[3]DOORSCRIEFT!$A$2:$G$6834,2,FALSE),"")</f>
        <v/>
      </c>
      <c r="D72" s="481" t="str">
        <f>IFERROR(VLOOKUP(A72,[3]DOORSCRIEFT!$A$2:$G$6834,3,FALSE),"")</f>
        <v/>
      </c>
      <c r="E72" s="480" t="str">
        <f>IFERROR(VLOOKUP(A72,[3]DOORSCRIEFT!$A$2:$G$6834,4,FALSE),"")</f>
        <v/>
      </c>
      <c r="F72" s="405" t="str">
        <f>IFERROR(VLOOKUP(A72,[3]DOORSCRIEFT!$A$2:$G$6834,7,FALSE),"")</f>
        <v/>
      </c>
      <c r="G72" s="315"/>
    </row>
    <row r="73" spans="1:7" x14ac:dyDescent="0.25">
      <c r="A73" s="320" t="str">
        <f t="shared" si="1"/>
        <v>II.2.1.0114</v>
      </c>
      <c r="B73" s="321">
        <v>14</v>
      </c>
      <c r="C73" s="320" t="str">
        <f>IFERROR(VLOOKUP(A73,[3]DOORSCRIEFT!$A$2:$G$6834,2,FALSE),"")</f>
        <v/>
      </c>
      <c r="D73" s="481" t="str">
        <f>IFERROR(VLOOKUP(A73,[3]DOORSCRIEFT!$A$2:$G$6834,3,FALSE),"")</f>
        <v/>
      </c>
      <c r="E73" s="480" t="str">
        <f>IFERROR(VLOOKUP(A73,[3]DOORSCRIEFT!$A$2:$G$6834,4,FALSE),"")</f>
        <v/>
      </c>
      <c r="F73" s="405" t="str">
        <f>IFERROR(VLOOKUP(A73,[3]DOORSCRIEFT!$A$2:$G$6834,7,FALSE),"")</f>
        <v/>
      </c>
      <c r="G73" s="315"/>
    </row>
    <row r="74" spans="1:7" x14ac:dyDescent="0.25">
      <c r="A74" s="320" t="str">
        <f t="shared" si="1"/>
        <v>II.2.1.0115</v>
      </c>
      <c r="B74" s="320">
        <v>15</v>
      </c>
      <c r="C74" s="320" t="str">
        <f>IFERROR(VLOOKUP(A74,[3]DOORSCRIEFT!$A$2:$G$6834,2,FALSE),"")</f>
        <v/>
      </c>
      <c r="D74" s="481" t="str">
        <f>IFERROR(VLOOKUP(A74,[3]DOORSCRIEFT!$A$2:$G$6834,3,FALSE),"")</f>
        <v/>
      </c>
      <c r="E74" s="480" t="str">
        <f>IFERROR(VLOOKUP(A74,[3]DOORSCRIEFT!$A$2:$G$6834,4,FALSE),"")</f>
        <v/>
      </c>
      <c r="F74" s="405" t="str">
        <f>IFERROR(VLOOKUP(A74,[3]DOORSCRIEFT!$A$2:$G$6834,7,FALSE),"")</f>
        <v/>
      </c>
      <c r="G74" s="315"/>
    </row>
    <row r="75" spans="1:7" x14ac:dyDescent="0.25">
      <c r="A75" s="320" t="str">
        <f t="shared" si="1"/>
        <v>II.2.1.0116</v>
      </c>
      <c r="B75" s="321">
        <v>16</v>
      </c>
      <c r="C75" s="320" t="str">
        <f>IFERROR(VLOOKUP(A75,[3]DOORSCRIEFT!$A$2:$G$6834,2,FALSE),"")</f>
        <v/>
      </c>
      <c r="D75" s="481" t="str">
        <f>IFERROR(VLOOKUP(A75,[3]DOORSCRIEFT!$A$2:$G$6834,3,FALSE),"")</f>
        <v/>
      </c>
      <c r="E75" s="480" t="str">
        <f>IFERROR(VLOOKUP(A75,[3]DOORSCRIEFT!$A$2:$G$6834,4,FALSE),"")</f>
        <v/>
      </c>
      <c r="F75" s="405" t="str">
        <f>IFERROR(VLOOKUP(A75,[3]DOORSCRIEFT!$A$2:$G$6834,7,FALSE),"")</f>
        <v/>
      </c>
      <c r="G75" s="315"/>
    </row>
    <row r="76" spans="1:7" x14ac:dyDescent="0.25">
      <c r="A76" s="320" t="str">
        <f t="shared" si="1"/>
        <v>II.2.1.0117</v>
      </c>
      <c r="B76" s="320">
        <v>17</v>
      </c>
      <c r="C76" s="320" t="str">
        <f>IFERROR(VLOOKUP(A76,[3]DOORSCRIEFT!$A$2:$G$6834,2,FALSE),"")</f>
        <v/>
      </c>
      <c r="D76" s="481" t="str">
        <f>IFERROR(VLOOKUP(A76,[3]DOORSCRIEFT!$A$2:$G$6834,3,FALSE),"")</f>
        <v/>
      </c>
      <c r="E76" s="480" t="str">
        <f>IFERROR(VLOOKUP(A76,[3]DOORSCRIEFT!$A$2:$G$6834,4,FALSE),"")</f>
        <v/>
      </c>
      <c r="F76" s="405" t="str">
        <f>IFERROR(VLOOKUP(A76,[3]DOORSCRIEFT!$A$2:$G$6834,7,FALSE),"")</f>
        <v/>
      </c>
      <c r="G76" s="315"/>
    </row>
    <row r="77" spans="1:7" x14ac:dyDescent="0.25">
      <c r="A77" s="320" t="str">
        <f t="shared" si="1"/>
        <v>II.2.1.0118</v>
      </c>
      <c r="B77" s="321">
        <v>18</v>
      </c>
      <c r="C77" s="320" t="str">
        <f>IFERROR(VLOOKUP(A77,[3]DOORSCRIEFT!$A$2:$G$6834,2,FALSE),"")</f>
        <v/>
      </c>
      <c r="D77" s="481" t="str">
        <f>IFERROR(VLOOKUP(A77,[3]DOORSCRIEFT!$A$2:$G$6834,3,FALSE),"")</f>
        <v/>
      </c>
      <c r="E77" s="480" t="str">
        <f>IFERROR(VLOOKUP(A77,[3]DOORSCRIEFT!$A$2:$G$6834,4,FALSE),"")</f>
        <v/>
      </c>
      <c r="F77" s="405" t="str">
        <f>IFERROR(VLOOKUP(A77,[3]DOORSCRIEFT!$A$2:$G$6834,7,FALSE),"")</f>
        <v/>
      </c>
      <c r="G77" s="315"/>
    </row>
    <row r="78" spans="1:7" x14ac:dyDescent="0.25">
      <c r="A78" s="320" t="str">
        <f t="shared" si="1"/>
        <v>II.2.1.0119</v>
      </c>
      <c r="B78" s="320">
        <v>19</v>
      </c>
      <c r="C78" s="320" t="str">
        <f>IFERROR(VLOOKUP(A78,[3]DOORSCRIEFT!$A$2:$G$6834,2,FALSE),"")</f>
        <v/>
      </c>
      <c r="D78" s="481" t="str">
        <f>IFERROR(VLOOKUP(A78,[3]DOORSCRIEFT!$A$2:$G$6834,3,FALSE),"")</f>
        <v/>
      </c>
      <c r="E78" s="480" t="str">
        <f>IFERROR(VLOOKUP(A78,[3]DOORSCRIEFT!$A$2:$G$6834,4,FALSE),"")</f>
        <v/>
      </c>
      <c r="F78" s="405" t="str">
        <f>IFERROR(VLOOKUP(A78,[3]DOORSCRIEFT!$A$2:$G$6834,7,FALSE),"")</f>
        <v/>
      </c>
      <c r="G78" s="315"/>
    </row>
    <row r="79" spans="1:7" x14ac:dyDescent="0.25">
      <c r="A79" s="320" t="str">
        <f t="shared" si="1"/>
        <v>II.2.1.0120</v>
      </c>
      <c r="B79" s="321">
        <v>20</v>
      </c>
      <c r="C79" s="320" t="str">
        <f>IFERROR(VLOOKUP(A79,[3]DOORSCRIEFT!$A$2:$G$6834,2,FALSE),"")</f>
        <v/>
      </c>
      <c r="D79" s="481" t="str">
        <f>IFERROR(VLOOKUP(A79,[3]DOORSCRIEFT!$A$2:$G$6834,3,FALSE),"")</f>
        <v/>
      </c>
      <c r="E79" s="480" t="str">
        <f>IFERROR(VLOOKUP(A79,[3]DOORSCRIEFT!$A$2:$G$6834,4,FALSE),"")</f>
        <v/>
      </c>
      <c r="F79" s="405" t="str">
        <f>IFERROR(VLOOKUP(A79,[3]DOORSCRIEFT!$A$2:$G$6834,7,FALSE),"")</f>
        <v/>
      </c>
      <c r="G79" s="315"/>
    </row>
    <row r="80" spans="1:7" x14ac:dyDescent="0.25">
      <c r="A80" s="320" t="str">
        <f t="shared" si="1"/>
        <v>II.2.1.0121</v>
      </c>
      <c r="B80" s="320">
        <v>21</v>
      </c>
      <c r="C80" s="320" t="str">
        <f>IFERROR(VLOOKUP(A80,[3]DOORSCRIEFT!$A$2:$G$6834,2,FALSE),"")</f>
        <v/>
      </c>
      <c r="D80" s="481" t="str">
        <f>IFERROR(VLOOKUP(A80,[3]DOORSCRIEFT!$A$2:$G$6834,3,FALSE),"")</f>
        <v/>
      </c>
      <c r="E80" s="480" t="str">
        <f>IFERROR(VLOOKUP(A80,[3]DOORSCRIEFT!$A$2:$G$6834,4,FALSE),"")</f>
        <v/>
      </c>
      <c r="F80" s="405" t="str">
        <f>IFERROR(VLOOKUP(A80,[3]DOORSCRIEFT!$A$2:$G$6834,7,FALSE),"")</f>
        <v/>
      </c>
      <c r="G80" s="315"/>
    </row>
    <row r="81" spans="1:7" x14ac:dyDescent="0.25">
      <c r="A81" s="320" t="str">
        <f t="shared" si="1"/>
        <v>II.2.1.0122</v>
      </c>
      <c r="B81" s="321">
        <v>22</v>
      </c>
      <c r="C81" s="320" t="str">
        <f>IFERROR(VLOOKUP(A81,[3]DOORSCRIEFT!$A$2:$G$6834,2,FALSE),"")</f>
        <v/>
      </c>
      <c r="D81" s="481" t="str">
        <f>IFERROR(VLOOKUP(A81,[3]DOORSCRIEFT!$A$2:$G$6834,3,FALSE),"")</f>
        <v/>
      </c>
      <c r="E81" s="480" t="str">
        <f>IFERROR(VLOOKUP(A81,[3]DOORSCRIEFT!$A$2:$G$6834,4,FALSE),"")</f>
        <v/>
      </c>
      <c r="F81" s="405" t="str">
        <f>IFERROR(VLOOKUP(A81,[3]DOORSCRIEFT!$A$2:$G$6834,7,FALSE),"")</f>
        <v/>
      </c>
      <c r="G81" s="315"/>
    </row>
    <row r="82" spans="1:7" x14ac:dyDescent="0.25">
      <c r="A82" s="320" t="str">
        <f t="shared" si="1"/>
        <v>II.2.1.0123</v>
      </c>
      <c r="B82" s="320">
        <v>23</v>
      </c>
      <c r="C82" s="320" t="str">
        <f>IFERROR(VLOOKUP(A82,[3]DOORSCRIEFT!$A$2:$G$6834,2,FALSE),"")</f>
        <v/>
      </c>
      <c r="D82" s="481" t="str">
        <f>IFERROR(VLOOKUP(A82,[3]DOORSCRIEFT!$A$2:$G$6834,3,FALSE),"")</f>
        <v/>
      </c>
      <c r="E82" s="480" t="str">
        <f>IFERROR(VLOOKUP(A82,[3]DOORSCRIEFT!$A$2:$G$6834,4,FALSE),"")</f>
        <v/>
      </c>
      <c r="F82" s="405" t="str">
        <f>IFERROR(VLOOKUP(A82,[3]DOORSCRIEFT!$A$2:$G$6834,7,FALSE),"")</f>
        <v/>
      </c>
      <c r="G82" s="315"/>
    </row>
    <row r="83" spans="1:7" ht="15.75" thickBot="1" x14ac:dyDescent="0.3">
      <c r="A83" s="320" t="str">
        <f t="shared" si="1"/>
        <v>II.2.1.0124</v>
      </c>
      <c r="B83" s="342">
        <v>24</v>
      </c>
      <c r="C83" s="320" t="str">
        <f>IFERROR(VLOOKUP(A83,[3]DOORSCRIEFT!$A$2:$G$6834,2,FALSE),"")</f>
        <v/>
      </c>
      <c r="D83" s="481" t="str">
        <f>IFERROR(VLOOKUP(A83,[3]DOORSCRIEFT!$A$2:$G$6834,3,FALSE),"")</f>
        <v/>
      </c>
      <c r="E83" s="480" t="str">
        <f>IFERROR(VLOOKUP(A83,[3]DOORSCRIEFT!$A$2:$G$6834,4,FALSE),"")</f>
        <v/>
      </c>
      <c r="F83" s="405" t="str">
        <f>IFERROR(VLOOKUP(A83,[3]DOORSCRIEFT!$A$2:$G$6834,7,FALSE),"")</f>
        <v/>
      </c>
      <c r="G83" s="315"/>
    </row>
    <row r="84" spans="1:7" ht="15.75" thickBot="1" x14ac:dyDescent="0.3">
      <c r="A84" s="314"/>
      <c r="B84" s="312"/>
      <c r="C84" s="336"/>
      <c r="D84" s="486"/>
      <c r="E84" s="340" t="s">
        <v>644</v>
      </c>
      <c r="F84" s="338">
        <f>SUM(F60:F83)</f>
        <v>143456439</v>
      </c>
      <c r="G84" s="309">
        <f>SUM(G60:G83)</f>
        <v>0</v>
      </c>
    </row>
    <row r="85" spans="1:7" x14ac:dyDescent="0.25">
      <c r="C85" s="335"/>
      <c r="D85" s="485"/>
    </row>
    <row r="86" spans="1:7" x14ac:dyDescent="0.25">
      <c r="C86" s="335"/>
      <c r="D86" s="485"/>
    </row>
    <row r="87" spans="1:7" ht="15.75" x14ac:dyDescent="0.25">
      <c r="C87" s="334" t="s">
        <v>663</v>
      </c>
      <c r="D87" s="484"/>
      <c r="E87" s="333"/>
      <c r="F87" s="327" t="s">
        <v>607</v>
      </c>
      <c r="G87" s="327" t="s">
        <v>272</v>
      </c>
    </row>
    <row r="88" spans="1:7" ht="15.75" x14ac:dyDescent="0.25">
      <c r="C88" s="334"/>
      <c r="D88" s="484"/>
      <c r="E88" s="333"/>
      <c r="F88" s="327" t="s">
        <v>601</v>
      </c>
      <c r="G88" s="327" t="s">
        <v>271</v>
      </c>
    </row>
    <row r="89" spans="1:7" x14ac:dyDescent="0.25">
      <c r="C89" s="330"/>
      <c r="D89" s="482"/>
      <c r="E89" s="329"/>
      <c r="F89" s="327" t="s">
        <v>651</v>
      </c>
      <c r="G89" s="331">
        <f>[2]Sheet1!$D$214</f>
        <v>22549548</v>
      </c>
    </row>
    <row r="90" spans="1:7" ht="15.75" thickBot="1" x14ac:dyDescent="0.3">
      <c r="C90" s="330"/>
      <c r="D90" s="482"/>
      <c r="E90" s="329"/>
      <c r="F90" s="327" t="s">
        <v>650</v>
      </c>
      <c r="G90" s="326">
        <f>+F118-G89</f>
        <v>-17768028</v>
      </c>
    </row>
    <row r="91" spans="1:7" x14ac:dyDescent="0.25">
      <c r="A91" s="571" t="s">
        <v>655</v>
      </c>
      <c r="B91" s="573" t="s">
        <v>606</v>
      </c>
      <c r="C91" s="588" t="s">
        <v>649</v>
      </c>
      <c r="D91" s="599" t="s">
        <v>648</v>
      </c>
      <c r="E91" s="577" t="s">
        <v>647</v>
      </c>
      <c r="F91" s="577" t="s">
        <v>646</v>
      </c>
      <c r="G91" s="580" t="s">
        <v>645</v>
      </c>
    </row>
    <row r="92" spans="1:7" ht="15.75" thickBot="1" x14ac:dyDescent="0.3">
      <c r="A92" s="572"/>
      <c r="B92" s="574"/>
      <c r="C92" s="589"/>
      <c r="D92" s="600"/>
      <c r="E92" s="578"/>
      <c r="F92" s="578"/>
      <c r="G92" s="581"/>
    </row>
    <row r="93" spans="1:7" ht="15.75" thickBot="1" x14ac:dyDescent="0.3">
      <c r="A93" s="425">
        <v>1</v>
      </c>
      <c r="B93" s="425">
        <v>2</v>
      </c>
      <c r="C93" s="425">
        <v>3</v>
      </c>
      <c r="D93" s="425">
        <v>4</v>
      </c>
      <c r="E93" s="425">
        <v>5</v>
      </c>
      <c r="F93" s="425">
        <v>6</v>
      </c>
      <c r="G93" s="425">
        <v>7</v>
      </c>
    </row>
    <row r="94" spans="1:7" x14ac:dyDescent="0.25">
      <c r="A94" s="320" t="str">
        <f t="shared" ref="A94:A117" si="2">$G$87&amp;B94</f>
        <v>II.2.1.021</v>
      </c>
      <c r="B94" s="320">
        <v>1</v>
      </c>
      <c r="C94" s="320">
        <f>IFERROR(VLOOKUP(A94,[3]DOORSCRIEFT!$A$2:$G$6834,2,FALSE),"")</f>
        <v>65</v>
      </c>
      <c r="D94" s="481">
        <f>IFERROR(VLOOKUP(A94,[3]DOORSCRIEFT!$A$2:$G$6834,3,FALSE),"")</f>
        <v>46038</v>
      </c>
      <c r="E94" s="480" t="str">
        <f>IFERROR(VLOOKUP(A94,[3]DOORSCRIEFT!$A$2:$G$6834,4,FALSE),"")</f>
        <v>Tanggungan 1 % ke YPPK bulan Januari</v>
      </c>
      <c r="F94" s="405">
        <f>IFERROR(VLOOKUP(A94,[3]DOORSCRIEFT!$A$2:$G$6834,7,FALSE),"")</f>
        <v>1593960</v>
      </c>
      <c r="G94" s="322"/>
    </row>
    <row r="95" spans="1:7" x14ac:dyDescent="0.25">
      <c r="A95" s="321" t="str">
        <f t="shared" si="2"/>
        <v>II.2.1.022</v>
      </c>
      <c r="B95" s="321">
        <v>2</v>
      </c>
      <c r="C95" s="320">
        <f>IFERROR(VLOOKUP(A95,[3]DOORSCRIEFT!$A$2:$G$6834,2,FALSE),"")</f>
        <v>197</v>
      </c>
      <c r="D95" s="481">
        <f>IFERROR(VLOOKUP(A95,[3]DOORSCRIEFT!$A$2:$G$6834,3,FALSE),"")</f>
        <v>46066</v>
      </c>
      <c r="E95" s="480" t="str">
        <f>IFERROR(VLOOKUP(A95,[3]DOORSCRIEFT!$A$2:$G$6834,4,FALSE),"")</f>
        <v>Tanggungan 1 % ke YPPK bulan februari</v>
      </c>
      <c r="F95" s="405">
        <f>IFERROR(VLOOKUP(A95,[3]DOORSCRIEFT!$A$2:$G$6834,7,FALSE),"")</f>
        <v>1593960</v>
      </c>
      <c r="G95" s="315"/>
    </row>
    <row r="96" spans="1:7" x14ac:dyDescent="0.25">
      <c r="A96" s="321" t="str">
        <f t="shared" si="2"/>
        <v>II.2.1.023</v>
      </c>
      <c r="B96" s="321">
        <v>3</v>
      </c>
      <c r="C96" s="320">
        <f>IFERROR(VLOOKUP(A96,[3]DOORSCRIEFT!$A$2:$G$6834,2,FALSE),"")</f>
        <v>312</v>
      </c>
      <c r="D96" s="481">
        <f>IFERROR(VLOOKUP(A96,[3]DOORSCRIEFT!$A$2:$G$6834,3,FALSE),"")</f>
        <v>46089</v>
      </c>
      <c r="E96" s="480" t="str">
        <f>IFERROR(VLOOKUP(A96,[3]DOORSCRIEFT!$A$2:$G$6834,4,FALSE),"")</f>
        <v>Tanggungan 1 % ke YPPK bulan Maret</v>
      </c>
      <c r="F96" s="405">
        <f>IFERROR(VLOOKUP(A96,[3]DOORSCRIEFT!$A$2:$G$6834,7,FALSE),"")</f>
        <v>1593600</v>
      </c>
      <c r="G96" s="315"/>
    </row>
    <row r="97" spans="1:7" x14ac:dyDescent="0.25">
      <c r="A97" s="321" t="str">
        <f t="shared" si="2"/>
        <v>II.2.1.024</v>
      </c>
      <c r="B97" s="321">
        <v>4</v>
      </c>
      <c r="C97" s="320" t="str">
        <f>IFERROR(VLOOKUP(A97,[3]DOORSCRIEFT!$A$2:$G$6834,2,FALSE),"")</f>
        <v/>
      </c>
      <c r="D97" s="481" t="str">
        <f>IFERROR(VLOOKUP(A97,[3]DOORSCRIEFT!$A$2:$G$6834,3,FALSE),"")</f>
        <v/>
      </c>
      <c r="E97" s="480" t="str">
        <f>IFERROR(VLOOKUP(A97,[3]DOORSCRIEFT!$A$2:$G$6834,4,FALSE),"")</f>
        <v/>
      </c>
      <c r="F97" s="405" t="str">
        <f>IFERROR(VLOOKUP(A97,[3]DOORSCRIEFT!$A$2:$G$6834,7,FALSE),"")</f>
        <v/>
      </c>
      <c r="G97" s="315"/>
    </row>
    <row r="98" spans="1:7" x14ac:dyDescent="0.25">
      <c r="A98" s="321" t="str">
        <f t="shared" si="2"/>
        <v>II.2.1.025</v>
      </c>
      <c r="B98" s="321">
        <v>5</v>
      </c>
      <c r="C98" s="320" t="str">
        <f>IFERROR(VLOOKUP(A98,[3]DOORSCRIEFT!$A$2:$G$6834,2,FALSE),"")</f>
        <v/>
      </c>
      <c r="D98" s="481" t="str">
        <f>IFERROR(VLOOKUP(A98,[3]DOORSCRIEFT!$A$2:$G$6834,3,FALSE),"")</f>
        <v/>
      </c>
      <c r="E98" s="480" t="str">
        <f>IFERROR(VLOOKUP(A98,[3]DOORSCRIEFT!$A$2:$G$6834,4,FALSE),"")</f>
        <v/>
      </c>
      <c r="F98" s="405" t="str">
        <f>IFERROR(VLOOKUP(A98,[3]DOORSCRIEFT!$A$2:$G$6834,7,FALSE),"")</f>
        <v/>
      </c>
      <c r="G98" s="315"/>
    </row>
    <row r="99" spans="1:7" x14ac:dyDescent="0.25">
      <c r="A99" s="321" t="str">
        <f t="shared" si="2"/>
        <v>II.2.1.026</v>
      </c>
      <c r="B99" s="321">
        <v>6</v>
      </c>
      <c r="C99" s="320" t="str">
        <f>IFERROR(VLOOKUP(A99,[3]DOORSCRIEFT!$A$2:$G$6834,2,FALSE),"")</f>
        <v/>
      </c>
      <c r="D99" s="481" t="str">
        <f>IFERROR(VLOOKUP(A99,[3]DOORSCRIEFT!$A$2:$G$6834,3,FALSE),"")</f>
        <v/>
      </c>
      <c r="E99" s="480" t="str">
        <f>IFERROR(VLOOKUP(A99,[3]DOORSCRIEFT!$A$2:$G$6834,4,FALSE),"")</f>
        <v/>
      </c>
      <c r="F99" s="405" t="str">
        <f>IFERROR(VLOOKUP(A99,[3]DOORSCRIEFT!$A$2:$G$6834,7,FALSE),"")</f>
        <v/>
      </c>
      <c r="G99" s="315"/>
    </row>
    <row r="100" spans="1:7" x14ac:dyDescent="0.25">
      <c r="A100" s="321" t="str">
        <f t="shared" si="2"/>
        <v>II.2.1.027</v>
      </c>
      <c r="B100" s="321">
        <v>7</v>
      </c>
      <c r="C100" s="320" t="str">
        <f>IFERROR(VLOOKUP(A100,[3]DOORSCRIEFT!$A$2:$G$6834,2,FALSE),"")</f>
        <v/>
      </c>
      <c r="D100" s="481" t="str">
        <f>IFERROR(VLOOKUP(A100,[3]DOORSCRIEFT!$A$2:$G$6834,3,FALSE),"")</f>
        <v/>
      </c>
      <c r="E100" s="480" t="str">
        <f>IFERROR(VLOOKUP(A100,[3]DOORSCRIEFT!$A$2:$G$6834,4,FALSE),"")</f>
        <v/>
      </c>
      <c r="F100" s="405" t="str">
        <f>IFERROR(VLOOKUP(A100,[3]DOORSCRIEFT!$A$2:$G$6834,7,FALSE),"")</f>
        <v/>
      </c>
      <c r="G100" s="315"/>
    </row>
    <row r="101" spans="1:7" x14ac:dyDescent="0.25">
      <c r="A101" s="321" t="str">
        <f t="shared" si="2"/>
        <v>II.2.1.028</v>
      </c>
      <c r="B101" s="321">
        <v>8</v>
      </c>
      <c r="C101" s="320" t="str">
        <f>IFERROR(VLOOKUP(A101,[3]DOORSCRIEFT!$A$2:$G$6834,2,FALSE),"")</f>
        <v/>
      </c>
      <c r="D101" s="481" t="str">
        <f>IFERROR(VLOOKUP(A101,[3]DOORSCRIEFT!$A$2:$G$6834,3,FALSE),"")</f>
        <v/>
      </c>
      <c r="E101" s="480" t="str">
        <f>IFERROR(VLOOKUP(A101,[3]DOORSCRIEFT!$A$2:$G$6834,4,FALSE),"")</f>
        <v/>
      </c>
      <c r="F101" s="405" t="str">
        <f>IFERROR(VLOOKUP(A101,[3]DOORSCRIEFT!$A$2:$G$6834,7,FALSE),"")</f>
        <v/>
      </c>
      <c r="G101" s="315"/>
    </row>
    <row r="102" spans="1:7" x14ac:dyDescent="0.25">
      <c r="A102" s="321" t="str">
        <f t="shared" si="2"/>
        <v>II.2.1.029</v>
      </c>
      <c r="B102" s="321">
        <v>9</v>
      </c>
      <c r="C102" s="320" t="str">
        <f>IFERROR(VLOOKUP(A102,[3]DOORSCRIEFT!$A$2:$G$6834,2,FALSE),"")</f>
        <v/>
      </c>
      <c r="D102" s="481" t="str">
        <f>IFERROR(VLOOKUP(A102,[3]DOORSCRIEFT!$A$2:$G$6834,3,FALSE),"")</f>
        <v/>
      </c>
      <c r="E102" s="480" t="str">
        <f>IFERROR(VLOOKUP(A102,[3]DOORSCRIEFT!$A$2:$G$6834,4,FALSE),"")</f>
        <v/>
      </c>
      <c r="F102" s="405" t="str">
        <f>IFERROR(VLOOKUP(A102,[3]DOORSCRIEFT!$A$2:$G$6834,7,FALSE),"")</f>
        <v/>
      </c>
      <c r="G102" s="315"/>
    </row>
    <row r="103" spans="1:7" x14ac:dyDescent="0.25">
      <c r="A103" s="321" t="str">
        <f t="shared" si="2"/>
        <v>II.2.1.0210</v>
      </c>
      <c r="B103" s="321">
        <v>10</v>
      </c>
      <c r="C103" s="320" t="str">
        <f>IFERROR(VLOOKUP(A103,[3]DOORSCRIEFT!$A$2:$G$6834,2,FALSE),"")</f>
        <v/>
      </c>
      <c r="D103" s="481" t="str">
        <f>IFERROR(VLOOKUP(A103,[3]DOORSCRIEFT!$A$2:$G$6834,3,FALSE),"")</f>
        <v/>
      </c>
      <c r="E103" s="480" t="str">
        <f>IFERROR(VLOOKUP(A103,[3]DOORSCRIEFT!$A$2:$G$6834,4,FALSE),"")</f>
        <v/>
      </c>
      <c r="F103" s="405" t="str">
        <f>IFERROR(VLOOKUP(A103,[3]DOORSCRIEFT!$A$2:$G$6834,7,FALSE),"")</f>
        <v/>
      </c>
      <c r="G103" s="315"/>
    </row>
    <row r="104" spans="1:7" x14ac:dyDescent="0.25">
      <c r="A104" s="321" t="str">
        <f t="shared" si="2"/>
        <v>II.2.1.0211</v>
      </c>
      <c r="B104" s="321">
        <v>11</v>
      </c>
      <c r="C104" s="320" t="str">
        <f>IFERROR(VLOOKUP(A104,[3]DOORSCRIEFT!$A$2:$G$6834,2,FALSE),"")</f>
        <v/>
      </c>
      <c r="D104" s="481" t="str">
        <f>IFERROR(VLOOKUP(A104,[3]DOORSCRIEFT!$A$2:$G$6834,3,FALSE),"")</f>
        <v/>
      </c>
      <c r="E104" s="480" t="str">
        <f>IFERROR(VLOOKUP(A104,[3]DOORSCRIEFT!$A$2:$G$6834,4,FALSE),"")</f>
        <v/>
      </c>
      <c r="F104" s="405" t="str">
        <f>IFERROR(VLOOKUP(A104,[3]DOORSCRIEFT!$A$2:$G$6834,7,FALSE),"")</f>
        <v/>
      </c>
      <c r="G104" s="315"/>
    </row>
    <row r="105" spans="1:7" x14ac:dyDescent="0.25">
      <c r="A105" s="321" t="str">
        <f t="shared" si="2"/>
        <v>II.2.1.0212</v>
      </c>
      <c r="B105" s="321">
        <v>12</v>
      </c>
      <c r="C105" s="320" t="str">
        <f>IFERROR(VLOOKUP(A105,[3]DOORSCRIEFT!$A$2:$G$6834,2,FALSE),"")</f>
        <v/>
      </c>
      <c r="D105" s="481" t="str">
        <f>IFERROR(VLOOKUP(A105,[3]DOORSCRIEFT!$A$2:$G$6834,3,FALSE),"")</f>
        <v/>
      </c>
      <c r="E105" s="480" t="str">
        <f>IFERROR(VLOOKUP(A105,[3]DOORSCRIEFT!$A$2:$G$6834,4,FALSE),"")</f>
        <v/>
      </c>
      <c r="F105" s="405" t="str">
        <f>IFERROR(VLOOKUP(A105,[3]DOORSCRIEFT!$A$2:$G$6834,7,FALSE),"")</f>
        <v/>
      </c>
      <c r="G105" s="315"/>
    </row>
    <row r="106" spans="1:7" x14ac:dyDescent="0.25">
      <c r="A106" s="321" t="str">
        <f t="shared" si="2"/>
        <v>II.2.1.0213</v>
      </c>
      <c r="B106" s="321">
        <v>13</v>
      </c>
      <c r="C106" s="320" t="str">
        <f>IFERROR(VLOOKUP(A106,[3]DOORSCRIEFT!$A$2:$G$6834,2,FALSE),"")</f>
        <v/>
      </c>
      <c r="D106" s="481" t="str">
        <f>IFERROR(VLOOKUP(A106,[3]DOORSCRIEFT!$A$2:$G$6834,3,FALSE),"")</f>
        <v/>
      </c>
      <c r="E106" s="480" t="str">
        <f>IFERROR(VLOOKUP(A106,[3]DOORSCRIEFT!$A$2:$G$6834,4,FALSE),"")</f>
        <v/>
      </c>
      <c r="F106" s="405" t="str">
        <f>IFERROR(VLOOKUP(A106,[3]DOORSCRIEFT!$A$2:$G$6834,7,FALSE),"")</f>
        <v/>
      </c>
      <c r="G106" s="315"/>
    </row>
    <row r="107" spans="1:7" x14ac:dyDescent="0.25">
      <c r="A107" s="321" t="str">
        <f t="shared" si="2"/>
        <v>II.2.1.0214</v>
      </c>
      <c r="B107" s="321">
        <v>14</v>
      </c>
      <c r="C107" s="320" t="str">
        <f>IFERROR(VLOOKUP(A107,[3]DOORSCRIEFT!$A$2:$G$6834,2,FALSE),"")</f>
        <v/>
      </c>
      <c r="D107" s="481" t="str">
        <f>IFERROR(VLOOKUP(A107,[3]DOORSCRIEFT!$A$2:$G$6834,3,FALSE),"")</f>
        <v/>
      </c>
      <c r="E107" s="480" t="str">
        <f>IFERROR(VLOOKUP(A107,[3]DOORSCRIEFT!$A$2:$G$6834,4,FALSE),"")</f>
        <v/>
      </c>
      <c r="F107" s="405" t="str">
        <f>IFERROR(VLOOKUP(A107,[3]DOORSCRIEFT!$A$2:$G$6834,7,FALSE),"")</f>
        <v/>
      </c>
      <c r="G107" s="315"/>
    </row>
    <row r="108" spans="1:7" x14ac:dyDescent="0.25">
      <c r="A108" s="321" t="str">
        <f t="shared" si="2"/>
        <v>II.2.1.0215</v>
      </c>
      <c r="B108" s="321">
        <v>15</v>
      </c>
      <c r="C108" s="320" t="str">
        <f>IFERROR(VLOOKUP(A108,[3]DOORSCRIEFT!$A$2:$G$6834,2,FALSE),"")</f>
        <v/>
      </c>
      <c r="D108" s="481" t="str">
        <f>IFERROR(VLOOKUP(A108,[3]DOORSCRIEFT!$A$2:$G$6834,3,FALSE),"")</f>
        <v/>
      </c>
      <c r="E108" s="480" t="str">
        <f>IFERROR(VLOOKUP(A108,[3]DOORSCRIEFT!$A$2:$G$6834,4,FALSE),"")</f>
        <v/>
      </c>
      <c r="F108" s="405" t="str">
        <f>IFERROR(VLOOKUP(A108,[3]DOORSCRIEFT!$A$2:$G$6834,7,FALSE),"")</f>
        <v/>
      </c>
      <c r="G108" s="315"/>
    </row>
    <row r="109" spans="1:7" x14ac:dyDescent="0.25">
      <c r="A109" s="321" t="str">
        <f t="shared" si="2"/>
        <v>II.2.1.0216</v>
      </c>
      <c r="B109" s="321">
        <v>16</v>
      </c>
      <c r="C109" s="320" t="str">
        <f>IFERROR(VLOOKUP(A109,[3]DOORSCRIEFT!$A$2:$G$6834,2,FALSE),"")</f>
        <v/>
      </c>
      <c r="D109" s="481" t="str">
        <f>IFERROR(VLOOKUP(A109,[3]DOORSCRIEFT!$A$2:$G$6834,3,FALSE),"")</f>
        <v/>
      </c>
      <c r="E109" s="480" t="str">
        <f>IFERROR(VLOOKUP(A109,[3]DOORSCRIEFT!$A$2:$G$6834,4,FALSE),"")</f>
        <v/>
      </c>
      <c r="F109" s="405" t="str">
        <f>IFERROR(VLOOKUP(A109,[3]DOORSCRIEFT!$A$2:$G$6834,7,FALSE),"")</f>
        <v/>
      </c>
      <c r="G109" s="315"/>
    </row>
    <row r="110" spans="1:7" x14ac:dyDescent="0.25">
      <c r="A110" s="321" t="str">
        <f t="shared" si="2"/>
        <v>II.2.1.0217</v>
      </c>
      <c r="B110" s="321">
        <v>17</v>
      </c>
      <c r="C110" s="320" t="str">
        <f>IFERROR(VLOOKUP(A110,[3]DOORSCRIEFT!$A$2:$G$6834,2,FALSE),"")</f>
        <v/>
      </c>
      <c r="D110" s="481" t="str">
        <f>IFERROR(VLOOKUP(A110,[3]DOORSCRIEFT!$A$2:$G$6834,3,FALSE),"")</f>
        <v/>
      </c>
      <c r="E110" s="480" t="str">
        <f>IFERROR(VLOOKUP(A110,[3]DOORSCRIEFT!$A$2:$G$6834,4,FALSE),"")</f>
        <v/>
      </c>
      <c r="F110" s="405" t="str">
        <f>IFERROR(VLOOKUP(A110,[3]DOORSCRIEFT!$A$2:$G$6834,7,FALSE),"")</f>
        <v/>
      </c>
      <c r="G110" s="315"/>
    </row>
    <row r="111" spans="1:7" x14ac:dyDescent="0.25">
      <c r="A111" s="321" t="str">
        <f t="shared" si="2"/>
        <v>II.2.1.0218</v>
      </c>
      <c r="B111" s="321">
        <v>18</v>
      </c>
      <c r="C111" s="320" t="str">
        <f>IFERROR(VLOOKUP(A111,[3]DOORSCRIEFT!$A$2:$G$6834,2,FALSE),"")</f>
        <v/>
      </c>
      <c r="D111" s="481" t="str">
        <f>IFERROR(VLOOKUP(A111,[3]DOORSCRIEFT!$A$2:$G$6834,3,FALSE),"")</f>
        <v/>
      </c>
      <c r="E111" s="480" t="str">
        <f>IFERROR(VLOOKUP(A111,[3]DOORSCRIEFT!$A$2:$G$6834,4,FALSE),"")</f>
        <v/>
      </c>
      <c r="F111" s="405" t="str">
        <f>IFERROR(VLOOKUP(A111,[3]DOORSCRIEFT!$A$2:$G$6834,7,FALSE),"")</f>
        <v/>
      </c>
      <c r="G111" s="315"/>
    </row>
    <row r="112" spans="1:7" x14ac:dyDescent="0.25">
      <c r="A112" s="321" t="str">
        <f t="shared" si="2"/>
        <v>II.2.1.0219</v>
      </c>
      <c r="B112" s="321">
        <v>19</v>
      </c>
      <c r="C112" s="320" t="str">
        <f>IFERROR(VLOOKUP(A112,[3]DOORSCRIEFT!$A$2:$G$6834,2,FALSE),"")</f>
        <v/>
      </c>
      <c r="D112" s="481" t="str">
        <f>IFERROR(VLOOKUP(A112,[3]DOORSCRIEFT!$A$2:$G$6834,3,FALSE),"")</f>
        <v/>
      </c>
      <c r="E112" s="480" t="str">
        <f>IFERROR(VLOOKUP(A112,[3]DOORSCRIEFT!$A$2:$G$6834,4,FALSE),"")</f>
        <v/>
      </c>
      <c r="F112" s="405" t="str">
        <f>IFERROR(VLOOKUP(A112,[3]DOORSCRIEFT!$A$2:$G$6834,7,FALSE),"")</f>
        <v/>
      </c>
      <c r="G112" s="315"/>
    </row>
    <row r="113" spans="1:7" x14ac:dyDescent="0.25">
      <c r="A113" s="321" t="str">
        <f t="shared" si="2"/>
        <v>II.2.1.0220</v>
      </c>
      <c r="B113" s="321">
        <v>20</v>
      </c>
      <c r="C113" s="320" t="str">
        <f>IFERROR(VLOOKUP(A113,[3]DOORSCRIEFT!$A$2:$G$6834,2,FALSE),"")</f>
        <v/>
      </c>
      <c r="D113" s="481" t="str">
        <f>IFERROR(VLOOKUP(A113,[3]DOORSCRIEFT!$A$2:$G$6834,3,FALSE),"")</f>
        <v/>
      </c>
      <c r="E113" s="480" t="str">
        <f>IFERROR(VLOOKUP(A113,[3]DOORSCRIEFT!$A$2:$G$6834,4,FALSE),"")</f>
        <v/>
      </c>
      <c r="F113" s="405" t="str">
        <f>IFERROR(VLOOKUP(A113,[3]DOORSCRIEFT!$A$2:$G$6834,7,FALSE),"")</f>
        <v/>
      </c>
      <c r="G113" s="315"/>
    </row>
    <row r="114" spans="1:7" x14ac:dyDescent="0.25">
      <c r="A114" s="321" t="str">
        <f t="shared" si="2"/>
        <v>II.2.1.0221</v>
      </c>
      <c r="B114" s="321">
        <v>21</v>
      </c>
      <c r="C114" s="320" t="str">
        <f>IFERROR(VLOOKUP(A114,[3]DOORSCRIEFT!$A$2:$G$6834,2,FALSE),"")</f>
        <v/>
      </c>
      <c r="D114" s="481" t="str">
        <f>IFERROR(VLOOKUP(A114,[3]DOORSCRIEFT!$A$2:$G$6834,3,FALSE),"")</f>
        <v/>
      </c>
      <c r="E114" s="480" t="str">
        <f>IFERROR(VLOOKUP(A114,[3]DOORSCRIEFT!$A$2:$G$6834,4,FALSE),"")</f>
        <v/>
      </c>
      <c r="F114" s="405" t="str">
        <f>IFERROR(VLOOKUP(A114,[3]DOORSCRIEFT!$A$2:$G$6834,7,FALSE),"")</f>
        <v/>
      </c>
      <c r="G114" s="315"/>
    </row>
    <row r="115" spans="1:7" x14ac:dyDescent="0.25">
      <c r="A115" s="321" t="str">
        <f t="shared" si="2"/>
        <v>II.2.1.0222</v>
      </c>
      <c r="B115" s="321">
        <v>22</v>
      </c>
      <c r="C115" s="320" t="str">
        <f>IFERROR(VLOOKUP(A115,[3]DOORSCRIEFT!$A$2:$G$6834,2,FALSE),"")</f>
        <v/>
      </c>
      <c r="D115" s="481" t="str">
        <f>IFERROR(VLOOKUP(A115,[3]DOORSCRIEFT!$A$2:$G$6834,3,FALSE),"")</f>
        <v/>
      </c>
      <c r="E115" s="480" t="str">
        <f>IFERROR(VLOOKUP(A115,[3]DOORSCRIEFT!$A$2:$G$6834,4,FALSE),"")</f>
        <v/>
      </c>
      <c r="F115" s="405" t="str">
        <f>IFERROR(VLOOKUP(A115,[3]DOORSCRIEFT!$A$2:$G$6834,7,FALSE),"")</f>
        <v/>
      </c>
      <c r="G115" s="315"/>
    </row>
    <row r="116" spans="1:7" x14ac:dyDescent="0.25">
      <c r="A116" s="321" t="str">
        <f t="shared" si="2"/>
        <v>II.2.1.0223</v>
      </c>
      <c r="B116" s="321">
        <v>23</v>
      </c>
      <c r="C116" s="320" t="str">
        <f>IFERROR(VLOOKUP(A116,[3]DOORSCRIEFT!$A$2:$G$6834,2,FALSE),"")</f>
        <v/>
      </c>
      <c r="D116" s="481" t="str">
        <f>IFERROR(VLOOKUP(A116,[3]DOORSCRIEFT!$A$2:$G$6834,3,FALSE),"")</f>
        <v/>
      </c>
      <c r="E116" s="480" t="str">
        <f>IFERROR(VLOOKUP(A116,[3]DOORSCRIEFT!$A$2:$G$6834,4,FALSE),"")</f>
        <v/>
      </c>
      <c r="F116" s="405" t="str">
        <f>IFERROR(VLOOKUP(A116,[3]DOORSCRIEFT!$A$2:$G$6834,7,FALSE),"")</f>
        <v/>
      </c>
      <c r="G116" s="315"/>
    </row>
    <row r="117" spans="1:7" ht="15.75" thickBot="1" x14ac:dyDescent="0.3">
      <c r="A117" s="342" t="str">
        <f t="shared" si="2"/>
        <v>II.2.1.0224</v>
      </c>
      <c r="B117" s="342">
        <v>24</v>
      </c>
      <c r="C117" s="320" t="str">
        <f>IFERROR(VLOOKUP(A117,[3]DOORSCRIEFT!$A$2:$G$6834,2,FALSE),"")</f>
        <v/>
      </c>
      <c r="D117" s="481" t="str">
        <f>IFERROR(VLOOKUP(A117,[3]DOORSCRIEFT!$A$2:$G$6834,3,FALSE),"")</f>
        <v/>
      </c>
      <c r="E117" s="480" t="str">
        <f>IFERROR(VLOOKUP(A117,[3]DOORSCRIEFT!$A$2:$G$6834,4,FALSE),"")</f>
        <v/>
      </c>
      <c r="F117" s="405" t="str">
        <f>IFERROR(VLOOKUP(A117,[3]DOORSCRIEFT!$A$2:$G$6834,7,FALSE),"")</f>
        <v/>
      </c>
      <c r="G117" s="315"/>
    </row>
    <row r="118" spans="1:7" ht="15.75" thickBot="1" x14ac:dyDescent="0.3">
      <c r="A118" s="314"/>
      <c r="B118" s="312"/>
      <c r="C118" s="336"/>
      <c r="D118" s="486"/>
      <c r="E118" s="340" t="s">
        <v>644</v>
      </c>
      <c r="F118" s="310">
        <f>SUM(F94:F117)</f>
        <v>4781520</v>
      </c>
      <c r="G118" s="309">
        <f>SUM(G94:G117)</f>
        <v>0</v>
      </c>
    </row>
    <row r="119" spans="1:7" x14ac:dyDescent="0.25">
      <c r="C119" s="335"/>
      <c r="D119" s="485"/>
    </row>
    <row r="120" spans="1:7" x14ac:dyDescent="0.25">
      <c r="C120" s="335"/>
      <c r="D120" s="485"/>
    </row>
    <row r="121" spans="1:7" ht="15.75" x14ac:dyDescent="0.25">
      <c r="C121" s="334" t="s">
        <v>663</v>
      </c>
      <c r="D121" s="484"/>
      <c r="E121" s="333"/>
      <c r="F121" s="327" t="s">
        <v>607</v>
      </c>
      <c r="G121" s="327" t="s">
        <v>270</v>
      </c>
    </row>
    <row r="122" spans="1:7" ht="15.75" x14ac:dyDescent="0.25">
      <c r="C122" s="334"/>
      <c r="D122" s="484"/>
      <c r="E122" s="333"/>
      <c r="F122" s="327" t="s">
        <v>601</v>
      </c>
      <c r="G122" s="327" t="s">
        <v>269</v>
      </c>
    </row>
    <row r="123" spans="1:7" x14ac:dyDescent="0.25">
      <c r="C123" s="330"/>
      <c r="D123" s="482"/>
      <c r="E123" s="329"/>
      <c r="F123" s="327" t="s">
        <v>651</v>
      </c>
      <c r="G123" s="331">
        <f>[2]Sheet1!$D$215</f>
        <v>124473480</v>
      </c>
    </row>
    <row r="124" spans="1:7" ht="15.75" thickBot="1" x14ac:dyDescent="0.3">
      <c r="C124" s="330"/>
      <c r="D124" s="482"/>
      <c r="E124" s="329"/>
      <c r="F124" s="327" t="s">
        <v>650</v>
      </c>
      <c r="G124" s="326">
        <f>+F152-G123</f>
        <v>-101376994</v>
      </c>
    </row>
    <row r="125" spans="1:7" x14ac:dyDescent="0.25">
      <c r="A125" s="571" t="s">
        <v>655</v>
      </c>
      <c r="B125" s="573" t="s">
        <v>606</v>
      </c>
      <c r="C125" s="588" t="s">
        <v>649</v>
      </c>
      <c r="D125" s="599" t="s">
        <v>648</v>
      </c>
      <c r="E125" s="577" t="s">
        <v>647</v>
      </c>
      <c r="F125" s="577" t="s">
        <v>646</v>
      </c>
      <c r="G125" s="580" t="s">
        <v>645</v>
      </c>
    </row>
    <row r="126" spans="1:7" ht="15.75" thickBot="1" x14ac:dyDescent="0.3">
      <c r="A126" s="572"/>
      <c r="B126" s="574"/>
      <c r="C126" s="589"/>
      <c r="D126" s="600"/>
      <c r="E126" s="578"/>
      <c r="F126" s="578"/>
      <c r="G126" s="581"/>
    </row>
    <row r="127" spans="1:7" ht="15.75" thickBot="1" x14ac:dyDescent="0.3">
      <c r="A127" s="504">
        <v>1</v>
      </c>
      <c r="B127" s="504">
        <v>2</v>
      </c>
      <c r="C127" s="425">
        <v>3</v>
      </c>
      <c r="D127" s="425">
        <v>4</v>
      </c>
      <c r="E127" s="425">
        <v>5</v>
      </c>
      <c r="F127" s="425">
        <v>6</v>
      </c>
      <c r="G127" s="425">
        <v>7</v>
      </c>
    </row>
    <row r="128" spans="1:7" x14ac:dyDescent="0.25">
      <c r="A128" s="321" t="str">
        <f t="shared" ref="A128:A151" si="3">$G$121&amp;B128</f>
        <v>II.2.1.031</v>
      </c>
      <c r="B128" s="321">
        <v>1</v>
      </c>
      <c r="C128" s="320">
        <f>IFERROR(VLOOKUP(A128,[3]DOORSCRIEFT!$A$2:$G$6834,2,FALSE),"")</f>
        <v>64</v>
      </c>
      <c r="D128" s="481">
        <f>IFERROR(VLOOKUP(A128,[3]DOORSCRIEFT!$A$2:$G$6834,3,FALSE),"")</f>
        <v>46038</v>
      </c>
      <c r="E128" s="480" t="str">
        <f>IFERROR(VLOOKUP(A128,[3]DOORSCRIEFT!$A$2:$G$6834,4,FALSE),"")</f>
        <v>Tanggungan 5% - 10% ke Klasis bulan januari</v>
      </c>
      <c r="F128" s="405">
        <f>IFERROR(VLOOKUP(A128,[3]DOORSCRIEFT!$A$2:$G$6834,7,FALSE),"")</f>
        <v>7698828</v>
      </c>
      <c r="G128" s="349"/>
    </row>
    <row r="129" spans="1:7" x14ac:dyDescent="0.25">
      <c r="A129" s="321" t="str">
        <f t="shared" si="3"/>
        <v>II.2.1.032</v>
      </c>
      <c r="B129" s="321">
        <v>2</v>
      </c>
      <c r="C129" s="320">
        <f>IFERROR(VLOOKUP(A129,[3]DOORSCRIEFT!$A$2:$G$6834,2,FALSE),"")</f>
        <v>196</v>
      </c>
      <c r="D129" s="481">
        <f>IFERROR(VLOOKUP(A129,[3]DOORSCRIEFT!$A$2:$G$6834,3,FALSE),"")</f>
        <v>46066</v>
      </c>
      <c r="E129" s="480" t="str">
        <f>IFERROR(VLOOKUP(A129,[3]DOORSCRIEFT!$A$2:$G$6834,4,FALSE),"")</f>
        <v>Tanggungan 5% - 10% ke Klasis bulan februari</v>
      </c>
      <c r="F129" s="405">
        <f>IFERROR(VLOOKUP(A129,[3]DOORSCRIEFT!$A$2:$G$6834,7,FALSE),"")</f>
        <v>7698829</v>
      </c>
      <c r="G129" s="315"/>
    </row>
    <row r="130" spans="1:7" x14ac:dyDescent="0.25">
      <c r="A130" s="321" t="str">
        <f t="shared" si="3"/>
        <v>II.2.1.033</v>
      </c>
      <c r="B130" s="321">
        <v>3</v>
      </c>
      <c r="C130" s="320">
        <f>IFERROR(VLOOKUP(A130,[3]DOORSCRIEFT!$A$2:$G$6834,2,FALSE),"")</f>
        <v>313</v>
      </c>
      <c r="D130" s="481">
        <f>IFERROR(VLOOKUP(A130,[3]DOORSCRIEFT!$A$2:$G$6834,3,FALSE),"")</f>
        <v>46089</v>
      </c>
      <c r="E130" s="480" t="str">
        <f>IFERROR(VLOOKUP(A130,[3]DOORSCRIEFT!$A$2:$G$6834,4,FALSE),"")</f>
        <v>Tanggungan 5% - 10% ke Klasis bulan Maret</v>
      </c>
      <c r="F130" s="405">
        <f>IFERROR(VLOOKUP(A130,[3]DOORSCRIEFT!$A$2:$G$6834,7,FALSE),"")</f>
        <v>7698829</v>
      </c>
      <c r="G130" s="315"/>
    </row>
    <row r="131" spans="1:7" x14ac:dyDescent="0.25">
      <c r="A131" s="321" t="str">
        <f t="shared" si="3"/>
        <v>II.2.1.034</v>
      </c>
      <c r="B131" s="321">
        <v>4</v>
      </c>
      <c r="C131" s="320" t="str">
        <f>IFERROR(VLOOKUP(A131,[3]DOORSCRIEFT!$A$2:$G$6834,2,FALSE),"")</f>
        <v/>
      </c>
      <c r="D131" s="481" t="str">
        <f>IFERROR(VLOOKUP(A131,[3]DOORSCRIEFT!$A$2:$G$6834,3,FALSE),"")</f>
        <v/>
      </c>
      <c r="E131" s="480" t="str">
        <f>IFERROR(VLOOKUP(A131,[3]DOORSCRIEFT!$A$2:$G$6834,4,FALSE),"")</f>
        <v/>
      </c>
      <c r="F131" s="405" t="str">
        <f>IFERROR(VLOOKUP(A131,[3]DOORSCRIEFT!$A$2:$G$6834,7,FALSE),"")</f>
        <v/>
      </c>
      <c r="G131" s="315"/>
    </row>
    <row r="132" spans="1:7" x14ac:dyDescent="0.25">
      <c r="A132" s="321" t="str">
        <f t="shared" si="3"/>
        <v>II.2.1.035</v>
      </c>
      <c r="B132" s="321">
        <v>5</v>
      </c>
      <c r="C132" s="320" t="str">
        <f>IFERROR(VLOOKUP(A132,[3]DOORSCRIEFT!$A$2:$G$6834,2,FALSE),"")</f>
        <v/>
      </c>
      <c r="D132" s="481" t="str">
        <f>IFERROR(VLOOKUP(A132,[3]DOORSCRIEFT!$A$2:$G$6834,3,FALSE),"")</f>
        <v/>
      </c>
      <c r="E132" s="480" t="str">
        <f>IFERROR(VLOOKUP(A132,[3]DOORSCRIEFT!$A$2:$G$6834,4,FALSE),"")</f>
        <v/>
      </c>
      <c r="F132" s="405" t="str">
        <f>IFERROR(VLOOKUP(A132,[3]DOORSCRIEFT!$A$2:$G$6834,7,FALSE),"")</f>
        <v/>
      </c>
      <c r="G132" s="315"/>
    </row>
    <row r="133" spans="1:7" x14ac:dyDescent="0.25">
      <c r="A133" s="321" t="str">
        <f t="shared" si="3"/>
        <v>II.2.1.036</v>
      </c>
      <c r="B133" s="321">
        <v>6</v>
      </c>
      <c r="C133" s="320" t="str">
        <f>IFERROR(VLOOKUP(A133,[3]DOORSCRIEFT!$A$2:$G$6834,2,FALSE),"")</f>
        <v/>
      </c>
      <c r="D133" s="481" t="str">
        <f>IFERROR(VLOOKUP(A133,[3]DOORSCRIEFT!$A$2:$G$6834,3,FALSE),"")</f>
        <v/>
      </c>
      <c r="E133" s="480" t="str">
        <f>IFERROR(VLOOKUP(A133,[3]DOORSCRIEFT!$A$2:$G$6834,4,FALSE),"")</f>
        <v/>
      </c>
      <c r="F133" s="405" t="str">
        <f>IFERROR(VLOOKUP(A133,[3]DOORSCRIEFT!$A$2:$G$6834,7,FALSE),"")</f>
        <v/>
      </c>
      <c r="G133" s="315"/>
    </row>
    <row r="134" spans="1:7" x14ac:dyDescent="0.25">
      <c r="A134" s="321" t="str">
        <f t="shared" si="3"/>
        <v>II.2.1.037</v>
      </c>
      <c r="B134" s="321">
        <v>7</v>
      </c>
      <c r="C134" s="320" t="str">
        <f>IFERROR(VLOOKUP(A134,[3]DOORSCRIEFT!$A$2:$G$6834,2,FALSE),"")</f>
        <v/>
      </c>
      <c r="D134" s="481" t="str">
        <f>IFERROR(VLOOKUP(A134,[3]DOORSCRIEFT!$A$2:$G$6834,3,FALSE),"")</f>
        <v/>
      </c>
      <c r="E134" s="480" t="str">
        <f>IFERROR(VLOOKUP(A134,[3]DOORSCRIEFT!$A$2:$G$6834,4,FALSE),"")</f>
        <v/>
      </c>
      <c r="F134" s="405" t="str">
        <f>IFERROR(VLOOKUP(A134,[3]DOORSCRIEFT!$A$2:$G$6834,7,FALSE),"")</f>
        <v/>
      </c>
      <c r="G134" s="315"/>
    </row>
    <row r="135" spans="1:7" x14ac:dyDescent="0.25">
      <c r="A135" s="321" t="str">
        <f t="shared" si="3"/>
        <v>II.2.1.038</v>
      </c>
      <c r="B135" s="321">
        <v>8</v>
      </c>
      <c r="C135" s="320" t="str">
        <f>IFERROR(VLOOKUP(A135,[3]DOORSCRIEFT!$A$2:$G$6834,2,FALSE),"")</f>
        <v/>
      </c>
      <c r="D135" s="481" t="str">
        <f>IFERROR(VLOOKUP(A135,[3]DOORSCRIEFT!$A$2:$G$6834,3,FALSE),"")</f>
        <v/>
      </c>
      <c r="E135" s="480" t="str">
        <f>IFERROR(VLOOKUP(A135,[3]DOORSCRIEFT!$A$2:$G$6834,4,FALSE),"")</f>
        <v/>
      </c>
      <c r="F135" s="405" t="str">
        <f>IFERROR(VLOOKUP(A135,[3]DOORSCRIEFT!$A$2:$G$6834,7,FALSE),"")</f>
        <v/>
      </c>
      <c r="G135" s="315"/>
    </row>
    <row r="136" spans="1:7" x14ac:dyDescent="0.25">
      <c r="A136" s="321" t="str">
        <f t="shared" si="3"/>
        <v>II.2.1.039</v>
      </c>
      <c r="B136" s="321">
        <v>9</v>
      </c>
      <c r="C136" s="320" t="str">
        <f>IFERROR(VLOOKUP(A136,[3]DOORSCRIEFT!$A$2:$G$6834,2,FALSE),"")</f>
        <v/>
      </c>
      <c r="D136" s="481" t="str">
        <f>IFERROR(VLOOKUP(A136,[3]DOORSCRIEFT!$A$2:$G$6834,3,FALSE),"")</f>
        <v/>
      </c>
      <c r="E136" s="480" t="str">
        <f>IFERROR(VLOOKUP(A136,[3]DOORSCRIEFT!$A$2:$G$6834,4,FALSE),"")</f>
        <v/>
      </c>
      <c r="F136" s="405" t="str">
        <f>IFERROR(VLOOKUP(A136,[3]DOORSCRIEFT!$A$2:$G$6834,7,FALSE),"")</f>
        <v/>
      </c>
      <c r="G136" s="315"/>
    </row>
    <row r="137" spans="1:7" x14ac:dyDescent="0.25">
      <c r="A137" s="321" t="str">
        <f t="shared" si="3"/>
        <v>II.2.1.0310</v>
      </c>
      <c r="B137" s="321">
        <v>10</v>
      </c>
      <c r="C137" s="320" t="str">
        <f>IFERROR(VLOOKUP(A137,[3]DOORSCRIEFT!$A$2:$G$6834,2,FALSE),"")</f>
        <v/>
      </c>
      <c r="D137" s="481" t="str">
        <f>IFERROR(VLOOKUP(A137,[3]DOORSCRIEFT!$A$2:$G$6834,3,FALSE),"")</f>
        <v/>
      </c>
      <c r="E137" s="480" t="str">
        <f>IFERROR(VLOOKUP(A137,[3]DOORSCRIEFT!$A$2:$G$6834,4,FALSE),"")</f>
        <v/>
      </c>
      <c r="F137" s="405" t="str">
        <f>IFERROR(VLOOKUP(A137,[3]DOORSCRIEFT!$A$2:$G$6834,7,FALSE),"")</f>
        <v/>
      </c>
      <c r="G137" s="315"/>
    </row>
    <row r="138" spans="1:7" x14ac:dyDescent="0.25">
      <c r="A138" s="321" t="str">
        <f t="shared" si="3"/>
        <v>II.2.1.0311</v>
      </c>
      <c r="B138" s="321">
        <v>11</v>
      </c>
      <c r="C138" s="320" t="str">
        <f>IFERROR(VLOOKUP(A138,[3]DOORSCRIEFT!$A$2:$G$6834,2,FALSE),"")</f>
        <v/>
      </c>
      <c r="D138" s="481" t="str">
        <f>IFERROR(VLOOKUP(A138,[3]DOORSCRIEFT!$A$2:$G$6834,3,FALSE),"")</f>
        <v/>
      </c>
      <c r="E138" s="480" t="str">
        <f>IFERROR(VLOOKUP(A138,[3]DOORSCRIEFT!$A$2:$G$6834,4,FALSE),"")</f>
        <v/>
      </c>
      <c r="F138" s="405" t="str">
        <f>IFERROR(VLOOKUP(A138,[3]DOORSCRIEFT!$A$2:$G$6834,7,FALSE),"")</f>
        <v/>
      </c>
      <c r="G138" s="315"/>
    </row>
    <row r="139" spans="1:7" x14ac:dyDescent="0.25">
      <c r="A139" s="321" t="str">
        <f t="shared" si="3"/>
        <v>II.2.1.0312</v>
      </c>
      <c r="B139" s="321">
        <v>12</v>
      </c>
      <c r="C139" s="320" t="str">
        <f>IFERROR(VLOOKUP(A139,[3]DOORSCRIEFT!$A$2:$G$6834,2,FALSE),"")</f>
        <v/>
      </c>
      <c r="D139" s="481" t="str">
        <f>IFERROR(VLOOKUP(A139,[3]DOORSCRIEFT!$A$2:$G$6834,3,FALSE),"")</f>
        <v/>
      </c>
      <c r="E139" s="480" t="str">
        <f>IFERROR(VLOOKUP(A139,[3]DOORSCRIEFT!$A$2:$G$6834,4,FALSE),"")</f>
        <v/>
      </c>
      <c r="F139" s="405" t="str">
        <f>IFERROR(VLOOKUP(A139,[3]DOORSCRIEFT!$A$2:$G$6834,7,FALSE),"")</f>
        <v/>
      </c>
      <c r="G139" s="315"/>
    </row>
    <row r="140" spans="1:7" x14ac:dyDescent="0.25">
      <c r="A140" s="321" t="str">
        <f t="shared" si="3"/>
        <v>II.2.1.0313</v>
      </c>
      <c r="B140" s="321">
        <v>13</v>
      </c>
      <c r="C140" s="320" t="str">
        <f>IFERROR(VLOOKUP(A140,[3]DOORSCRIEFT!$A$2:$G$6834,2,FALSE),"")</f>
        <v/>
      </c>
      <c r="D140" s="481" t="str">
        <f>IFERROR(VLOOKUP(A140,[3]DOORSCRIEFT!$A$2:$G$6834,3,FALSE),"")</f>
        <v/>
      </c>
      <c r="E140" s="480" t="str">
        <f>IFERROR(VLOOKUP(A140,[3]DOORSCRIEFT!$A$2:$G$6834,4,FALSE),"")</f>
        <v/>
      </c>
      <c r="F140" s="405" t="str">
        <f>IFERROR(VLOOKUP(A140,[3]DOORSCRIEFT!$A$2:$G$6834,7,FALSE),"")</f>
        <v/>
      </c>
      <c r="G140" s="315"/>
    </row>
    <row r="141" spans="1:7" x14ac:dyDescent="0.25">
      <c r="A141" s="321" t="str">
        <f t="shared" si="3"/>
        <v>II.2.1.0314</v>
      </c>
      <c r="B141" s="321">
        <v>14</v>
      </c>
      <c r="C141" s="320" t="str">
        <f>IFERROR(VLOOKUP(A141,[3]DOORSCRIEFT!$A$2:$G$6834,2,FALSE),"")</f>
        <v/>
      </c>
      <c r="D141" s="481" t="str">
        <f>IFERROR(VLOOKUP(A141,[3]DOORSCRIEFT!$A$2:$G$6834,3,FALSE),"")</f>
        <v/>
      </c>
      <c r="E141" s="480" t="str">
        <f>IFERROR(VLOOKUP(A141,[3]DOORSCRIEFT!$A$2:$G$6834,4,FALSE),"")</f>
        <v/>
      </c>
      <c r="F141" s="405" t="str">
        <f>IFERROR(VLOOKUP(A141,[3]DOORSCRIEFT!$A$2:$G$6834,7,FALSE),"")</f>
        <v/>
      </c>
      <c r="G141" s="315"/>
    </row>
    <row r="142" spans="1:7" x14ac:dyDescent="0.25">
      <c r="A142" s="321" t="str">
        <f t="shared" si="3"/>
        <v>II.2.1.0315</v>
      </c>
      <c r="B142" s="321">
        <v>15</v>
      </c>
      <c r="C142" s="320" t="str">
        <f>IFERROR(VLOOKUP(A142,[3]DOORSCRIEFT!$A$2:$G$6834,2,FALSE),"")</f>
        <v/>
      </c>
      <c r="D142" s="481" t="str">
        <f>IFERROR(VLOOKUP(A142,[3]DOORSCRIEFT!$A$2:$G$6834,3,FALSE),"")</f>
        <v/>
      </c>
      <c r="E142" s="480" t="str">
        <f>IFERROR(VLOOKUP(A142,[3]DOORSCRIEFT!$A$2:$G$6834,4,FALSE),"")</f>
        <v/>
      </c>
      <c r="F142" s="405" t="str">
        <f>IFERROR(VLOOKUP(A142,[3]DOORSCRIEFT!$A$2:$G$6834,7,FALSE),"")</f>
        <v/>
      </c>
      <c r="G142" s="315"/>
    </row>
    <row r="143" spans="1:7" x14ac:dyDescent="0.25">
      <c r="A143" s="321" t="str">
        <f t="shared" si="3"/>
        <v>II.2.1.0316</v>
      </c>
      <c r="B143" s="321">
        <v>16</v>
      </c>
      <c r="C143" s="320" t="str">
        <f>IFERROR(VLOOKUP(A143,[3]DOORSCRIEFT!$A$2:$G$6834,2,FALSE),"")</f>
        <v/>
      </c>
      <c r="D143" s="481" t="str">
        <f>IFERROR(VLOOKUP(A143,[3]DOORSCRIEFT!$A$2:$G$6834,3,FALSE),"")</f>
        <v/>
      </c>
      <c r="E143" s="480" t="str">
        <f>IFERROR(VLOOKUP(A143,[3]DOORSCRIEFT!$A$2:$G$6834,4,FALSE),"")</f>
        <v/>
      </c>
      <c r="F143" s="405" t="str">
        <f>IFERROR(VLOOKUP(A143,[3]DOORSCRIEFT!$A$2:$G$6834,7,FALSE),"")</f>
        <v/>
      </c>
      <c r="G143" s="315"/>
    </row>
    <row r="144" spans="1:7" x14ac:dyDescent="0.25">
      <c r="A144" s="321" t="str">
        <f t="shared" si="3"/>
        <v>II.2.1.0317</v>
      </c>
      <c r="B144" s="321">
        <v>17</v>
      </c>
      <c r="C144" s="320" t="str">
        <f>IFERROR(VLOOKUP(A144,[3]DOORSCRIEFT!$A$2:$G$6834,2,FALSE),"")</f>
        <v/>
      </c>
      <c r="D144" s="481" t="str">
        <f>IFERROR(VLOOKUP(A144,[3]DOORSCRIEFT!$A$2:$G$6834,3,FALSE),"")</f>
        <v/>
      </c>
      <c r="E144" s="480" t="str">
        <f>IFERROR(VLOOKUP(A144,[3]DOORSCRIEFT!$A$2:$G$6834,4,FALSE),"")</f>
        <v/>
      </c>
      <c r="F144" s="405" t="str">
        <f>IFERROR(VLOOKUP(A144,[3]DOORSCRIEFT!$A$2:$G$6834,7,FALSE),"")</f>
        <v/>
      </c>
      <c r="G144" s="315"/>
    </row>
    <row r="145" spans="1:7" x14ac:dyDescent="0.25">
      <c r="A145" s="321" t="str">
        <f t="shared" si="3"/>
        <v>II.2.1.0318</v>
      </c>
      <c r="B145" s="321">
        <v>18</v>
      </c>
      <c r="C145" s="320" t="str">
        <f>IFERROR(VLOOKUP(A145,[3]DOORSCRIEFT!$A$2:$G$6834,2,FALSE),"")</f>
        <v/>
      </c>
      <c r="D145" s="481" t="str">
        <f>IFERROR(VLOOKUP(A145,[3]DOORSCRIEFT!$A$2:$G$6834,3,FALSE),"")</f>
        <v/>
      </c>
      <c r="E145" s="480" t="str">
        <f>IFERROR(VLOOKUP(A145,[3]DOORSCRIEFT!$A$2:$G$6834,4,FALSE),"")</f>
        <v/>
      </c>
      <c r="F145" s="405" t="str">
        <f>IFERROR(VLOOKUP(A145,[3]DOORSCRIEFT!$A$2:$G$6834,7,FALSE),"")</f>
        <v/>
      </c>
      <c r="G145" s="315"/>
    </row>
    <row r="146" spans="1:7" x14ac:dyDescent="0.25">
      <c r="A146" s="321" t="str">
        <f t="shared" si="3"/>
        <v>II.2.1.0319</v>
      </c>
      <c r="B146" s="321">
        <v>19</v>
      </c>
      <c r="C146" s="320" t="str">
        <f>IFERROR(VLOOKUP(A146,[3]DOORSCRIEFT!$A$2:$G$6834,2,FALSE),"")</f>
        <v/>
      </c>
      <c r="D146" s="481" t="str">
        <f>IFERROR(VLOOKUP(A146,[3]DOORSCRIEFT!$A$2:$G$6834,3,FALSE),"")</f>
        <v/>
      </c>
      <c r="E146" s="480" t="str">
        <f>IFERROR(VLOOKUP(A146,[3]DOORSCRIEFT!$A$2:$G$6834,4,FALSE),"")</f>
        <v/>
      </c>
      <c r="F146" s="405" t="str">
        <f>IFERROR(VLOOKUP(A146,[3]DOORSCRIEFT!$A$2:$G$6834,7,FALSE),"")</f>
        <v/>
      </c>
      <c r="G146" s="315"/>
    </row>
    <row r="147" spans="1:7" x14ac:dyDescent="0.25">
      <c r="A147" s="321" t="str">
        <f t="shared" si="3"/>
        <v>II.2.1.0320</v>
      </c>
      <c r="B147" s="321">
        <v>20</v>
      </c>
      <c r="C147" s="320" t="str">
        <f>IFERROR(VLOOKUP(A147,[3]DOORSCRIEFT!$A$2:$G$6834,2,FALSE),"")</f>
        <v/>
      </c>
      <c r="D147" s="481" t="str">
        <f>IFERROR(VLOOKUP(A147,[3]DOORSCRIEFT!$A$2:$G$6834,3,FALSE),"")</f>
        <v/>
      </c>
      <c r="E147" s="480" t="str">
        <f>IFERROR(VLOOKUP(A147,[3]DOORSCRIEFT!$A$2:$G$6834,4,FALSE),"")</f>
        <v/>
      </c>
      <c r="F147" s="405" t="str">
        <f>IFERROR(VLOOKUP(A147,[3]DOORSCRIEFT!$A$2:$G$6834,7,FALSE),"")</f>
        <v/>
      </c>
      <c r="G147" s="315"/>
    </row>
    <row r="148" spans="1:7" x14ac:dyDescent="0.25">
      <c r="A148" s="321" t="str">
        <f t="shared" si="3"/>
        <v>II.2.1.0321</v>
      </c>
      <c r="B148" s="321">
        <v>21</v>
      </c>
      <c r="C148" s="320" t="str">
        <f>IFERROR(VLOOKUP(A148,[3]DOORSCRIEFT!$A$2:$G$6834,2,FALSE),"")</f>
        <v/>
      </c>
      <c r="D148" s="481" t="str">
        <f>IFERROR(VLOOKUP(A148,[3]DOORSCRIEFT!$A$2:$G$6834,3,FALSE),"")</f>
        <v/>
      </c>
      <c r="E148" s="480" t="str">
        <f>IFERROR(VLOOKUP(A148,[3]DOORSCRIEFT!$A$2:$G$6834,4,FALSE),"")</f>
        <v/>
      </c>
      <c r="F148" s="405" t="str">
        <f>IFERROR(VLOOKUP(A148,[3]DOORSCRIEFT!$A$2:$G$6834,7,FALSE),"")</f>
        <v/>
      </c>
      <c r="G148" s="315"/>
    </row>
    <row r="149" spans="1:7" x14ac:dyDescent="0.25">
      <c r="A149" s="321" t="str">
        <f t="shared" si="3"/>
        <v>II.2.1.0322</v>
      </c>
      <c r="B149" s="321">
        <v>22</v>
      </c>
      <c r="C149" s="320" t="str">
        <f>IFERROR(VLOOKUP(A149,[3]DOORSCRIEFT!$A$2:$G$6834,2,FALSE),"")</f>
        <v/>
      </c>
      <c r="D149" s="481" t="str">
        <f>IFERROR(VLOOKUP(A149,[3]DOORSCRIEFT!$A$2:$G$6834,3,FALSE),"")</f>
        <v/>
      </c>
      <c r="E149" s="480" t="str">
        <f>IFERROR(VLOOKUP(A149,[3]DOORSCRIEFT!$A$2:$G$6834,4,FALSE),"")</f>
        <v/>
      </c>
      <c r="F149" s="405" t="str">
        <f>IFERROR(VLOOKUP(A149,[3]DOORSCRIEFT!$A$2:$G$6834,7,FALSE),"")</f>
        <v/>
      </c>
      <c r="G149" s="315"/>
    </row>
    <row r="150" spans="1:7" x14ac:dyDescent="0.25">
      <c r="A150" s="321" t="str">
        <f t="shared" si="3"/>
        <v>II.2.1.0323</v>
      </c>
      <c r="B150" s="321">
        <v>23</v>
      </c>
      <c r="C150" s="320" t="str">
        <f>IFERROR(VLOOKUP(A150,[3]DOORSCRIEFT!$A$2:$G$6834,2,FALSE),"")</f>
        <v/>
      </c>
      <c r="D150" s="481" t="str">
        <f>IFERROR(VLOOKUP(A150,[3]DOORSCRIEFT!$A$2:$G$6834,3,FALSE),"")</f>
        <v/>
      </c>
      <c r="E150" s="480" t="str">
        <f>IFERROR(VLOOKUP(A150,[3]DOORSCRIEFT!$A$2:$G$6834,4,FALSE),"")</f>
        <v/>
      </c>
      <c r="F150" s="405" t="str">
        <f>IFERROR(VLOOKUP(A150,[3]DOORSCRIEFT!$A$2:$G$6834,7,FALSE),"")</f>
        <v/>
      </c>
      <c r="G150" s="315"/>
    </row>
    <row r="151" spans="1:7" ht="15.75" thickBot="1" x14ac:dyDescent="0.3">
      <c r="A151" s="342" t="str">
        <f t="shared" si="3"/>
        <v>II.2.1.0324</v>
      </c>
      <c r="B151" s="342">
        <v>24</v>
      </c>
      <c r="C151" s="320" t="str">
        <f>IFERROR(VLOOKUP(A151,[3]DOORSCRIEFT!$A$2:$G$6834,2,FALSE),"")</f>
        <v/>
      </c>
      <c r="D151" s="481" t="str">
        <f>IFERROR(VLOOKUP(A151,[3]DOORSCRIEFT!$A$2:$G$6834,3,FALSE),"")</f>
        <v/>
      </c>
      <c r="E151" s="480" t="str">
        <f>IFERROR(VLOOKUP(A151,[3]DOORSCRIEFT!$A$2:$G$6834,4,FALSE),"")</f>
        <v/>
      </c>
      <c r="F151" s="405" t="str">
        <f>IFERROR(VLOOKUP(A151,[3]DOORSCRIEFT!$A$2:$G$6834,7,FALSE),"")</f>
        <v/>
      </c>
      <c r="G151" s="315"/>
    </row>
    <row r="152" spans="1:7" ht="15.75" thickBot="1" x14ac:dyDescent="0.3">
      <c r="A152" s="341"/>
      <c r="B152" s="340"/>
      <c r="C152" s="336"/>
      <c r="D152" s="486"/>
      <c r="E152" s="340" t="s">
        <v>652</v>
      </c>
      <c r="F152" s="338">
        <f>SUM(F128:F151)</f>
        <v>23096486</v>
      </c>
      <c r="G152" s="309"/>
    </row>
    <row r="153" spans="1:7" x14ac:dyDescent="0.25">
      <c r="C153" s="335"/>
      <c r="D153" s="485"/>
    </row>
    <row r="154" spans="1:7" x14ac:dyDescent="0.25">
      <c r="C154" s="335"/>
      <c r="D154" s="485"/>
    </row>
    <row r="155" spans="1:7" ht="15.75" x14ac:dyDescent="0.25">
      <c r="C155" s="334" t="s">
        <v>663</v>
      </c>
      <c r="D155" s="484"/>
      <c r="E155" s="333"/>
      <c r="F155" s="327" t="s">
        <v>607</v>
      </c>
      <c r="G155" s="327" t="s">
        <v>268</v>
      </c>
    </row>
    <row r="156" spans="1:7" ht="15.75" x14ac:dyDescent="0.25">
      <c r="C156" s="334"/>
      <c r="D156" s="484"/>
      <c r="E156" s="333"/>
      <c r="F156" s="327" t="s">
        <v>601</v>
      </c>
      <c r="G156" s="327" t="s">
        <v>267</v>
      </c>
    </row>
    <row r="157" spans="1:7" x14ac:dyDescent="0.25">
      <c r="C157" s="330"/>
      <c r="D157" s="482"/>
      <c r="E157" s="329"/>
      <c r="F157" s="327" t="s">
        <v>651</v>
      </c>
      <c r="G157" s="331">
        <f>[2]Sheet1!$D$216</f>
        <v>0</v>
      </c>
    </row>
    <row r="158" spans="1:7" ht="15.75" thickBot="1" x14ac:dyDescent="0.3">
      <c r="C158" s="330"/>
      <c r="D158" s="482"/>
      <c r="E158" s="329"/>
      <c r="F158" s="327" t="s">
        <v>650</v>
      </c>
      <c r="G158" s="326">
        <f>+F177-G157</f>
        <v>0</v>
      </c>
    </row>
    <row r="159" spans="1:7" x14ac:dyDescent="0.25">
      <c r="A159" s="571" t="s">
        <v>655</v>
      </c>
      <c r="B159" s="573" t="s">
        <v>606</v>
      </c>
      <c r="C159" s="588" t="s">
        <v>649</v>
      </c>
      <c r="D159" s="599" t="s">
        <v>648</v>
      </c>
      <c r="E159" s="577" t="s">
        <v>647</v>
      </c>
      <c r="F159" s="577" t="s">
        <v>646</v>
      </c>
      <c r="G159" s="580" t="s">
        <v>645</v>
      </c>
    </row>
    <row r="160" spans="1:7" ht="15.75" thickBot="1" x14ac:dyDescent="0.3">
      <c r="A160" s="572"/>
      <c r="B160" s="574"/>
      <c r="C160" s="589"/>
      <c r="D160" s="600"/>
      <c r="E160" s="578"/>
      <c r="F160" s="578"/>
      <c r="G160" s="581"/>
    </row>
    <row r="161" spans="1:7" ht="15.75" thickBot="1" x14ac:dyDescent="0.3">
      <c r="A161" s="425">
        <v>1</v>
      </c>
      <c r="B161" s="425">
        <v>2</v>
      </c>
      <c r="C161" s="425">
        <v>3</v>
      </c>
      <c r="D161" s="425">
        <v>4</v>
      </c>
      <c r="E161" s="425">
        <v>5</v>
      </c>
      <c r="F161" s="425">
        <v>6</v>
      </c>
      <c r="G161" s="425">
        <v>7</v>
      </c>
    </row>
    <row r="162" spans="1:7" x14ac:dyDescent="0.25">
      <c r="A162" s="320" t="str">
        <f t="shared" ref="A162:A176" si="4">$G$155&amp;B162</f>
        <v>II.2.1.041</v>
      </c>
      <c r="B162" s="320">
        <v>1</v>
      </c>
      <c r="C162" s="320" t="str">
        <f>IFERROR(VLOOKUP(A162,[3]DOORSCRIEFT!$A$2:$G$6834,2,FALSE),"")</f>
        <v/>
      </c>
      <c r="D162" s="481" t="str">
        <f>IFERROR(VLOOKUP(A162,[3]DOORSCRIEFT!$A$2:$G$6834,3,FALSE),"")</f>
        <v/>
      </c>
      <c r="E162" s="480" t="str">
        <f>IFERROR(VLOOKUP(A162,[3]DOORSCRIEFT!$A$2:$G$6834,4,FALSE),"")</f>
        <v/>
      </c>
      <c r="F162" s="405" t="str">
        <f>IFERROR(VLOOKUP(A162,[3]DOORSCRIEFT!$A$2:$G$6834,7,FALSE),"")</f>
        <v/>
      </c>
      <c r="G162" s="322"/>
    </row>
    <row r="163" spans="1:7" x14ac:dyDescent="0.25">
      <c r="A163" s="321" t="str">
        <f t="shared" si="4"/>
        <v>II.2.1.042</v>
      </c>
      <c r="B163" s="321">
        <v>2</v>
      </c>
      <c r="C163" s="320" t="str">
        <f>IFERROR(VLOOKUP(A163,[3]DOORSCRIEFT!$A$2:$G$6834,2,FALSE),"")</f>
        <v/>
      </c>
      <c r="D163" s="481" t="str">
        <f>IFERROR(VLOOKUP(A163,[3]DOORSCRIEFT!$A$2:$G$6834,3,FALSE),"")</f>
        <v/>
      </c>
      <c r="E163" s="480" t="str">
        <f>IFERROR(VLOOKUP(A163,[3]DOORSCRIEFT!$A$2:$G$6834,4,FALSE),"")</f>
        <v/>
      </c>
      <c r="F163" s="405" t="str">
        <f>IFERROR(VLOOKUP(A163,[3]DOORSCRIEFT!$A$2:$G$6834,7,FALSE),"")</f>
        <v/>
      </c>
      <c r="G163" s="315"/>
    </row>
    <row r="164" spans="1:7" x14ac:dyDescent="0.25">
      <c r="A164" s="321" t="str">
        <f t="shared" si="4"/>
        <v>II.2.1.043</v>
      </c>
      <c r="B164" s="321">
        <v>3</v>
      </c>
      <c r="C164" s="320" t="str">
        <f>IFERROR(VLOOKUP(A164,[3]DOORSCRIEFT!$A$2:$G$6834,2,FALSE),"")</f>
        <v/>
      </c>
      <c r="D164" s="481" t="str">
        <f>IFERROR(VLOOKUP(A164,[3]DOORSCRIEFT!$A$2:$G$6834,3,FALSE),"")</f>
        <v/>
      </c>
      <c r="E164" s="480" t="str">
        <f>IFERROR(VLOOKUP(A164,[3]DOORSCRIEFT!$A$2:$G$6834,4,FALSE),"")</f>
        <v/>
      </c>
      <c r="F164" s="405" t="str">
        <f>IFERROR(VLOOKUP(A164,[3]DOORSCRIEFT!$A$2:$G$6834,7,FALSE),"")</f>
        <v/>
      </c>
      <c r="G164" s="315"/>
    </row>
    <row r="165" spans="1:7" x14ac:dyDescent="0.25">
      <c r="A165" s="321" t="str">
        <f t="shared" si="4"/>
        <v>II.2.1.044</v>
      </c>
      <c r="B165" s="321">
        <v>4</v>
      </c>
      <c r="C165" s="320" t="str">
        <f>IFERROR(VLOOKUP(A165,[3]DOORSCRIEFT!$A$2:$G$6834,2,FALSE),"")</f>
        <v/>
      </c>
      <c r="D165" s="481" t="str">
        <f>IFERROR(VLOOKUP(A165,[3]DOORSCRIEFT!$A$2:$G$6834,3,FALSE),"")</f>
        <v/>
      </c>
      <c r="E165" s="480" t="str">
        <f>IFERROR(VLOOKUP(A165,[3]DOORSCRIEFT!$A$2:$G$6834,4,FALSE),"")</f>
        <v/>
      </c>
      <c r="F165" s="405" t="str">
        <f>IFERROR(VLOOKUP(A165,[3]DOORSCRIEFT!$A$2:$G$6834,7,FALSE),"")</f>
        <v/>
      </c>
      <c r="G165" s="315"/>
    </row>
    <row r="166" spans="1:7" x14ac:dyDescent="0.25">
      <c r="A166" s="321" t="str">
        <f t="shared" si="4"/>
        <v>II.2.1.045</v>
      </c>
      <c r="B166" s="321">
        <v>5</v>
      </c>
      <c r="C166" s="320" t="str">
        <f>IFERROR(VLOOKUP(A166,[3]DOORSCRIEFT!$A$2:$G$6834,2,FALSE),"")</f>
        <v/>
      </c>
      <c r="D166" s="481" t="str">
        <f>IFERROR(VLOOKUP(A166,[3]DOORSCRIEFT!$A$2:$G$6834,3,FALSE),"")</f>
        <v/>
      </c>
      <c r="E166" s="480" t="str">
        <f>IFERROR(VLOOKUP(A166,[3]DOORSCRIEFT!$A$2:$G$6834,4,FALSE),"")</f>
        <v/>
      </c>
      <c r="F166" s="405" t="str">
        <f>IFERROR(VLOOKUP(A166,[3]DOORSCRIEFT!$A$2:$G$6834,7,FALSE),"")</f>
        <v/>
      </c>
      <c r="G166" s="315"/>
    </row>
    <row r="167" spans="1:7" x14ac:dyDescent="0.25">
      <c r="A167" s="321" t="str">
        <f t="shared" si="4"/>
        <v>II.2.1.046</v>
      </c>
      <c r="B167" s="321">
        <v>6</v>
      </c>
      <c r="C167" s="320" t="str">
        <f>IFERROR(VLOOKUP(A167,[3]DOORSCRIEFT!$A$2:$G$6834,2,FALSE),"")</f>
        <v/>
      </c>
      <c r="D167" s="481" t="str">
        <f>IFERROR(VLOOKUP(A167,[3]DOORSCRIEFT!$A$2:$G$6834,3,FALSE),"")</f>
        <v/>
      </c>
      <c r="E167" s="480" t="str">
        <f>IFERROR(VLOOKUP(A167,[3]DOORSCRIEFT!$A$2:$G$6834,4,FALSE),"")</f>
        <v/>
      </c>
      <c r="F167" s="405" t="str">
        <f>IFERROR(VLOOKUP(A167,[3]DOORSCRIEFT!$A$2:$G$6834,7,FALSE),"")</f>
        <v/>
      </c>
      <c r="G167" s="315"/>
    </row>
    <row r="168" spans="1:7" x14ac:dyDescent="0.25">
      <c r="A168" s="321" t="str">
        <f t="shared" si="4"/>
        <v>II.2.1.047</v>
      </c>
      <c r="B168" s="321">
        <v>7</v>
      </c>
      <c r="C168" s="320" t="str">
        <f>IFERROR(VLOOKUP(A168,[3]DOORSCRIEFT!$A$2:$G$6834,2,FALSE),"")</f>
        <v/>
      </c>
      <c r="D168" s="481" t="str">
        <f>IFERROR(VLOOKUP(A168,[3]DOORSCRIEFT!$A$2:$G$6834,3,FALSE),"")</f>
        <v/>
      </c>
      <c r="E168" s="480" t="str">
        <f>IFERROR(VLOOKUP(A168,[3]DOORSCRIEFT!$A$2:$G$6834,4,FALSE),"")</f>
        <v/>
      </c>
      <c r="F168" s="405" t="str">
        <f>IFERROR(VLOOKUP(A168,[3]DOORSCRIEFT!$A$2:$G$6834,7,FALSE),"")</f>
        <v/>
      </c>
      <c r="G168" s="315"/>
    </row>
    <row r="169" spans="1:7" x14ac:dyDescent="0.25">
      <c r="A169" s="321" t="str">
        <f t="shared" si="4"/>
        <v>II.2.1.048</v>
      </c>
      <c r="B169" s="321">
        <v>8</v>
      </c>
      <c r="C169" s="320" t="str">
        <f>IFERROR(VLOOKUP(A169,[3]DOORSCRIEFT!$A$2:$G$6834,2,FALSE),"")</f>
        <v/>
      </c>
      <c r="D169" s="481" t="str">
        <f>IFERROR(VLOOKUP(A169,[3]DOORSCRIEFT!$A$2:$G$6834,3,FALSE),"")</f>
        <v/>
      </c>
      <c r="E169" s="480" t="str">
        <f>IFERROR(VLOOKUP(A169,[3]DOORSCRIEFT!$A$2:$G$6834,4,FALSE),"")</f>
        <v/>
      </c>
      <c r="F169" s="405" t="str">
        <f>IFERROR(VLOOKUP(A169,[3]DOORSCRIEFT!$A$2:$G$6834,7,FALSE),"")</f>
        <v/>
      </c>
      <c r="G169" s="315"/>
    </row>
    <row r="170" spans="1:7" x14ac:dyDescent="0.25">
      <c r="A170" s="321" t="str">
        <f t="shared" si="4"/>
        <v>II.2.1.049</v>
      </c>
      <c r="B170" s="321">
        <v>9</v>
      </c>
      <c r="C170" s="320" t="str">
        <f>IFERROR(VLOOKUP(A170,[3]DOORSCRIEFT!$A$2:$G$6834,2,FALSE),"")</f>
        <v/>
      </c>
      <c r="D170" s="481" t="str">
        <f>IFERROR(VLOOKUP(A170,[3]DOORSCRIEFT!$A$2:$G$6834,3,FALSE),"")</f>
        <v/>
      </c>
      <c r="E170" s="480" t="str">
        <f>IFERROR(VLOOKUP(A170,[3]DOORSCRIEFT!$A$2:$G$6834,4,FALSE),"")</f>
        <v/>
      </c>
      <c r="F170" s="405" t="str">
        <f>IFERROR(VLOOKUP(A170,[3]DOORSCRIEFT!$A$2:$G$6834,7,FALSE),"")</f>
        <v/>
      </c>
      <c r="G170" s="315"/>
    </row>
    <row r="171" spans="1:7" x14ac:dyDescent="0.25">
      <c r="A171" s="321" t="str">
        <f t="shared" si="4"/>
        <v>II.2.1.0410</v>
      </c>
      <c r="B171" s="321">
        <v>10</v>
      </c>
      <c r="C171" s="320" t="str">
        <f>IFERROR(VLOOKUP(A171,[3]DOORSCRIEFT!$A$2:$G$6834,2,FALSE),"")</f>
        <v/>
      </c>
      <c r="D171" s="481" t="str">
        <f>IFERROR(VLOOKUP(A171,[3]DOORSCRIEFT!$A$2:$G$6834,3,FALSE),"")</f>
        <v/>
      </c>
      <c r="E171" s="480" t="str">
        <f>IFERROR(VLOOKUP(A171,[3]DOORSCRIEFT!$A$2:$G$6834,4,FALSE),"")</f>
        <v/>
      </c>
      <c r="F171" s="405" t="str">
        <f>IFERROR(VLOOKUP(A171,[3]DOORSCRIEFT!$A$2:$G$6834,7,FALSE),"")</f>
        <v/>
      </c>
      <c r="G171" s="315"/>
    </row>
    <row r="172" spans="1:7" x14ac:dyDescent="0.25">
      <c r="A172" s="321" t="str">
        <f t="shared" si="4"/>
        <v>II.2.1.0411</v>
      </c>
      <c r="B172" s="321">
        <v>11</v>
      </c>
      <c r="C172" s="320" t="str">
        <f>IFERROR(VLOOKUP(A172,[3]DOORSCRIEFT!$A$2:$G$6834,2,FALSE),"")</f>
        <v/>
      </c>
      <c r="D172" s="481" t="str">
        <f>IFERROR(VLOOKUP(A172,[3]DOORSCRIEFT!$A$2:$G$6834,3,FALSE),"")</f>
        <v/>
      </c>
      <c r="E172" s="480" t="str">
        <f>IFERROR(VLOOKUP(A172,[3]DOORSCRIEFT!$A$2:$G$6834,4,FALSE),"")</f>
        <v/>
      </c>
      <c r="F172" s="405" t="str">
        <f>IFERROR(VLOOKUP(A172,[3]DOORSCRIEFT!$A$2:$G$6834,7,FALSE),"")</f>
        <v/>
      </c>
      <c r="G172" s="315"/>
    </row>
    <row r="173" spans="1:7" x14ac:dyDescent="0.25">
      <c r="A173" s="321" t="str">
        <f t="shared" si="4"/>
        <v>II.2.1.0412</v>
      </c>
      <c r="B173" s="321">
        <v>12</v>
      </c>
      <c r="C173" s="320" t="str">
        <f>IFERROR(VLOOKUP(A173,[3]DOORSCRIEFT!$A$2:$G$6834,2,FALSE),"")</f>
        <v/>
      </c>
      <c r="D173" s="481" t="str">
        <f>IFERROR(VLOOKUP(A173,[3]DOORSCRIEFT!$A$2:$G$6834,3,FALSE),"")</f>
        <v/>
      </c>
      <c r="E173" s="480" t="str">
        <f>IFERROR(VLOOKUP(A173,[3]DOORSCRIEFT!$A$2:$G$6834,4,FALSE),"")</f>
        <v/>
      </c>
      <c r="F173" s="405" t="str">
        <f>IFERROR(VLOOKUP(A173,[3]DOORSCRIEFT!$A$2:$G$6834,7,FALSE),"")</f>
        <v/>
      </c>
      <c r="G173" s="315"/>
    </row>
    <row r="174" spans="1:7" x14ac:dyDescent="0.25">
      <c r="A174" s="321" t="str">
        <f t="shared" si="4"/>
        <v>II.2.1.0413</v>
      </c>
      <c r="B174" s="321">
        <v>13</v>
      </c>
      <c r="C174" s="320" t="str">
        <f>IFERROR(VLOOKUP(A174,[3]DOORSCRIEFT!$A$2:$G$6834,2,FALSE),"")</f>
        <v/>
      </c>
      <c r="D174" s="481" t="str">
        <f>IFERROR(VLOOKUP(A174,[3]DOORSCRIEFT!$A$2:$G$6834,3,FALSE),"")</f>
        <v/>
      </c>
      <c r="E174" s="480" t="str">
        <f>IFERROR(VLOOKUP(A174,[3]DOORSCRIEFT!$A$2:$G$6834,4,FALSE),"")</f>
        <v/>
      </c>
      <c r="F174" s="405" t="str">
        <f>IFERROR(VLOOKUP(A174,[3]DOORSCRIEFT!$A$2:$G$6834,7,FALSE),"")</f>
        <v/>
      </c>
      <c r="G174" s="315"/>
    </row>
    <row r="175" spans="1:7" x14ac:dyDescent="0.25">
      <c r="A175" s="321" t="str">
        <f t="shared" si="4"/>
        <v>II.2.1.0414</v>
      </c>
      <c r="B175" s="321">
        <v>14</v>
      </c>
      <c r="C175" s="320" t="str">
        <f>IFERROR(VLOOKUP(A175,[3]DOORSCRIEFT!$A$2:$G$6834,2,FALSE),"")</f>
        <v/>
      </c>
      <c r="D175" s="481" t="str">
        <f>IFERROR(VLOOKUP(A175,[3]DOORSCRIEFT!$A$2:$G$6834,3,FALSE),"")</f>
        <v/>
      </c>
      <c r="E175" s="480" t="str">
        <f>IFERROR(VLOOKUP(A175,[3]DOORSCRIEFT!$A$2:$G$6834,4,FALSE),"")</f>
        <v/>
      </c>
      <c r="F175" s="405" t="str">
        <f>IFERROR(VLOOKUP(A175,[3]DOORSCRIEFT!$A$2:$G$6834,7,FALSE),"")</f>
        <v/>
      </c>
      <c r="G175" s="315"/>
    </row>
    <row r="176" spans="1:7" ht="15.75" thickBot="1" x14ac:dyDescent="0.3">
      <c r="A176" s="342" t="str">
        <f t="shared" si="4"/>
        <v>II.2.1.0415</v>
      </c>
      <c r="B176" s="342">
        <v>15</v>
      </c>
      <c r="C176" s="320" t="str">
        <f>IFERROR(VLOOKUP(A176,[3]DOORSCRIEFT!$A$2:$G$6834,2,FALSE),"")</f>
        <v/>
      </c>
      <c r="D176" s="481" t="str">
        <f>IFERROR(VLOOKUP(A176,[3]DOORSCRIEFT!$A$2:$G$6834,3,FALSE),"")</f>
        <v/>
      </c>
      <c r="E176" s="480" t="str">
        <f>IFERROR(VLOOKUP(A176,[3]DOORSCRIEFT!$A$2:$G$6834,4,FALSE),"")</f>
        <v/>
      </c>
      <c r="F176" s="405" t="str">
        <f>IFERROR(VLOOKUP(A176,[3]DOORSCRIEFT!$A$2:$G$6834,7,FALSE),"")</f>
        <v/>
      </c>
      <c r="G176" s="315"/>
    </row>
    <row r="177" spans="1:7" ht="15.75" thickBot="1" x14ac:dyDescent="0.3">
      <c r="A177" s="341"/>
      <c r="B177" s="340"/>
      <c r="C177" s="336"/>
      <c r="D177" s="486"/>
      <c r="E177" s="340" t="s">
        <v>644</v>
      </c>
      <c r="F177" s="310">
        <f>SUM(F162:F176)</f>
        <v>0</v>
      </c>
      <c r="G177" s="309">
        <f>SUM(G162:G176)</f>
        <v>0</v>
      </c>
    </row>
    <row r="178" spans="1:7" x14ac:dyDescent="0.25">
      <c r="C178" s="335"/>
      <c r="D178" s="485"/>
    </row>
    <row r="179" spans="1:7" x14ac:dyDescent="0.25">
      <c r="C179" s="335"/>
      <c r="D179" s="485"/>
    </row>
    <row r="180" spans="1:7" ht="15.75" x14ac:dyDescent="0.25">
      <c r="C180" s="334" t="s">
        <v>663</v>
      </c>
      <c r="D180" s="484"/>
      <c r="E180" s="333"/>
      <c r="F180" s="327" t="s">
        <v>607</v>
      </c>
      <c r="G180" s="327" t="s">
        <v>266</v>
      </c>
    </row>
    <row r="181" spans="1:7" ht="15.75" x14ac:dyDescent="0.25">
      <c r="C181" s="334"/>
      <c r="D181" s="484"/>
      <c r="E181" s="333"/>
      <c r="F181" s="327" t="s">
        <v>601</v>
      </c>
      <c r="G181" s="327" t="s">
        <v>265</v>
      </c>
    </row>
    <row r="182" spans="1:7" x14ac:dyDescent="0.25">
      <c r="C182" s="330"/>
      <c r="D182" s="482"/>
      <c r="E182" s="329"/>
      <c r="F182" s="327" t="s">
        <v>651</v>
      </c>
      <c r="G182" s="331">
        <f>[2]Sheet1!$D$217</f>
        <v>3000000</v>
      </c>
    </row>
    <row r="183" spans="1:7" ht="15.75" thickBot="1" x14ac:dyDescent="0.3">
      <c r="C183" s="330"/>
      <c r="D183" s="482"/>
      <c r="E183" s="329"/>
      <c r="F183" s="327" t="s">
        <v>650</v>
      </c>
      <c r="G183" s="326">
        <f>+F202-G182</f>
        <v>-3000000</v>
      </c>
    </row>
    <row r="184" spans="1:7" x14ac:dyDescent="0.25">
      <c r="A184" s="571" t="s">
        <v>655</v>
      </c>
      <c r="B184" s="573" t="s">
        <v>606</v>
      </c>
      <c r="C184" s="588" t="s">
        <v>649</v>
      </c>
      <c r="D184" s="599" t="s">
        <v>648</v>
      </c>
      <c r="E184" s="577" t="s">
        <v>647</v>
      </c>
      <c r="F184" s="577" t="s">
        <v>646</v>
      </c>
      <c r="G184" s="580" t="s">
        <v>645</v>
      </c>
    </row>
    <row r="185" spans="1:7" ht="15.75" thickBot="1" x14ac:dyDescent="0.3">
      <c r="A185" s="572"/>
      <c r="B185" s="574"/>
      <c r="C185" s="589"/>
      <c r="D185" s="600"/>
      <c r="E185" s="578"/>
      <c r="F185" s="578"/>
      <c r="G185" s="581"/>
    </row>
    <row r="186" spans="1:7" ht="15.75" thickBot="1" x14ac:dyDescent="0.3">
      <c r="A186" s="425">
        <v>1</v>
      </c>
      <c r="B186" s="425">
        <v>2</v>
      </c>
      <c r="C186" s="425">
        <v>3</v>
      </c>
      <c r="D186" s="425">
        <v>4</v>
      </c>
      <c r="E186" s="425">
        <v>5</v>
      </c>
      <c r="F186" s="425">
        <v>6</v>
      </c>
      <c r="G186" s="425">
        <v>7</v>
      </c>
    </row>
    <row r="187" spans="1:7" x14ac:dyDescent="0.25">
      <c r="A187" s="320" t="str">
        <f t="shared" ref="A187:A201" si="5">$G$180&amp;B187</f>
        <v>II.2.1.051</v>
      </c>
      <c r="B187" s="320">
        <v>1</v>
      </c>
      <c r="C187" s="320" t="str">
        <f>IFERROR(VLOOKUP(A187,[3]DOORSCRIEFT!$A$2:$G$6834,2,FALSE),"")</f>
        <v/>
      </c>
      <c r="D187" s="481" t="str">
        <f>IFERROR(VLOOKUP(A187,[3]DOORSCRIEFT!$A$2:$G$6834,3,FALSE),"")</f>
        <v/>
      </c>
      <c r="E187" s="480" t="str">
        <f>IFERROR(VLOOKUP(A187,[3]DOORSCRIEFT!$A$2:$G$6834,4,FALSE),"")</f>
        <v/>
      </c>
      <c r="F187" s="405" t="str">
        <f>IFERROR(VLOOKUP(A187,[3]DOORSCRIEFT!$A$2:$G$6834,7,FALSE),"")</f>
        <v/>
      </c>
      <c r="G187" s="322"/>
    </row>
    <row r="188" spans="1:7" x14ac:dyDescent="0.25">
      <c r="A188" s="321" t="str">
        <f t="shared" si="5"/>
        <v>II.2.1.052</v>
      </c>
      <c r="B188" s="321">
        <v>2</v>
      </c>
      <c r="C188" s="320" t="str">
        <f>IFERROR(VLOOKUP(A188,[3]DOORSCRIEFT!$A$2:$G$6834,2,FALSE),"")</f>
        <v/>
      </c>
      <c r="D188" s="481" t="str">
        <f>IFERROR(VLOOKUP(A188,[3]DOORSCRIEFT!$A$2:$G$6834,3,FALSE),"")</f>
        <v/>
      </c>
      <c r="E188" s="480" t="str">
        <f>IFERROR(VLOOKUP(A188,[3]DOORSCRIEFT!$A$2:$G$6834,4,FALSE),"")</f>
        <v/>
      </c>
      <c r="F188" s="405" t="str">
        <f>IFERROR(VLOOKUP(A188,[3]DOORSCRIEFT!$A$2:$G$6834,7,FALSE),"")</f>
        <v/>
      </c>
      <c r="G188" s="315"/>
    </row>
    <row r="189" spans="1:7" x14ac:dyDescent="0.25">
      <c r="A189" s="321" t="str">
        <f t="shared" si="5"/>
        <v>II.2.1.053</v>
      </c>
      <c r="B189" s="321">
        <v>3</v>
      </c>
      <c r="C189" s="320" t="str">
        <f>IFERROR(VLOOKUP(A189,[3]DOORSCRIEFT!$A$2:$G$6834,2,FALSE),"")</f>
        <v/>
      </c>
      <c r="D189" s="481" t="str">
        <f>IFERROR(VLOOKUP(A189,[3]DOORSCRIEFT!$A$2:$G$6834,3,FALSE),"")</f>
        <v/>
      </c>
      <c r="E189" s="480" t="str">
        <f>IFERROR(VLOOKUP(A189,[3]DOORSCRIEFT!$A$2:$G$6834,4,FALSE),"")</f>
        <v/>
      </c>
      <c r="F189" s="405" t="str">
        <f>IFERROR(VLOOKUP(A189,[3]DOORSCRIEFT!$A$2:$G$6834,7,FALSE),"")</f>
        <v/>
      </c>
      <c r="G189" s="315"/>
    </row>
    <row r="190" spans="1:7" x14ac:dyDescent="0.25">
      <c r="A190" s="321" t="str">
        <f t="shared" si="5"/>
        <v>II.2.1.054</v>
      </c>
      <c r="B190" s="321">
        <v>4</v>
      </c>
      <c r="C190" s="320" t="str">
        <f>IFERROR(VLOOKUP(A190,[3]DOORSCRIEFT!$A$2:$G$6834,2,FALSE),"")</f>
        <v/>
      </c>
      <c r="D190" s="481" t="str">
        <f>IFERROR(VLOOKUP(A190,[3]DOORSCRIEFT!$A$2:$G$6834,3,FALSE),"")</f>
        <v/>
      </c>
      <c r="E190" s="480" t="str">
        <f>IFERROR(VLOOKUP(A190,[3]DOORSCRIEFT!$A$2:$G$6834,4,FALSE),"")</f>
        <v/>
      </c>
      <c r="F190" s="405" t="str">
        <f>IFERROR(VLOOKUP(A190,[3]DOORSCRIEFT!$A$2:$G$6834,7,FALSE),"")</f>
        <v/>
      </c>
      <c r="G190" s="315"/>
    </row>
    <row r="191" spans="1:7" x14ac:dyDescent="0.25">
      <c r="A191" s="321" t="str">
        <f t="shared" si="5"/>
        <v>II.2.1.055</v>
      </c>
      <c r="B191" s="321">
        <v>5</v>
      </c>
      <c r="C191" s="320" t="str">
        <f>IFERROR(VLOOKUP(A191,[3]DOORSCRIEFT!$A$2:$G$6834,2,FALSE),"")</f>
        <v/>
      </c>
      <c r="D191" s="481" t="str">
        <f>IFERROR(VLOOKUP(A191,[3]DOORSCRIEFT!$A$2:$G$6834,3,FALSE),"")</f>
        <v/>
      </c>
      <c r="E191" s="480" t="str">
        <f>IFERROR(VLOOKUP(A191,[3]DOORSCRIEFT!$A$2:$G$6834,4,FALSE),"")</f>
        <v/>
      </c>
      <c r="F191" s="405" t="str">
        <f>IFERROR(VLOOKUP(A191,[3]DOORSCRIEFT!$A$2:$G$6834,7,FALSE),"")</f>
        <v/>
      </c>
      <c r="G191" s="315"/>
    </row>
    <row r="192" spans="1:7" x14ac:dyDescent="0.25">
      <c r="A192" s="321" t="str">
        <f t="shared" si="5"/>
        <v>II.2.1.056</v>
      </c>
      <c r="B192" s="321">
        <v>6</v>
      </c>
      <c r="C192" s="320" t="str">
        <f>IFERROR(VLOOKUP(A192,[3]DOORSCRIEFT!$A$2:$G$6834,2,FALSE),"")</f>
        <v/>
      </c>
      <c r="D192" s="481" t="str">
        <f>IFERROR(VLOOKUP(A192,[3]DOORSCRIEFT!$A$2:$G$6834,3,FALSE),"")</f>
        <v/>
      </c>
      <c r="E192" s="480" t="str">
        <f>IFERROR(VLOOKUP(A192,[3]DOORSCRIEFT!$A$2:$G$6834,4,FALSE),"")</f>
        <v/>
      </c>
      <c r="F192" s="405" t="str">
        <f>IFERROR(VLOOKUP(A192,[3]DOORSCRIEFT!$A$2:$G$6834,7,FALSE),"")</f>
        <v/>
      </c>
      <c r="G192" s="315"/>
    </row>
    <row r="193" spans="1:7" x14ac:dyDescent="0.25">
      <c r="A193" s="321" t="str">
        <f t="shared" si="5"/>
        <v>II.2.1.057</v>
      </c>
      <c r="B193" s="321">
        <v>7</v>
      </c>
      <c r="C193" s="320" t="str">
        <f>IFERROR(VLOOKUP(A193,[3]DOORSCRIEFT!$A$2:$G$6834,2,FALSE),"")</f>
        <v/>
      </c>
      <c r="D193" s="481" t="str">
        <f>IFERROR(VLOOKUP(A193,[3]DOORSCRIEFT!$A$2:$G$6834,3,FALSE),"")</f>
        <v/>
      </c>
      <c r="E193" s="480" t="str">
        <f>IFERROR(VLOOKUP(A193,[3]DOORSCRIEFT!$A$2:$G$6834,4,FALSE),"")</f>
        <v/>
      </c>
      <c r="F193" s="405" t="str">
        <f>IFERROR(VLOOKUP(A193,[3]DOORSCRIEFT!$A$2:$G$6834,7,FALSE),"")</f>
        <v/>
      </c>
      <c r="G193" s="315"/>
    </row>
    <row r="194" spans="1:7" x14ac:dyDescent="0.25">
      <c r="A194" s="321" t="str">
        <f t="shared" si="5"/>
        <v>II.2.1.058</v>
      </c>
      <c r="B194" s="321">
        <v>8</v>
      </c>
      <c r="C194" s="320" t="str">
        <f>IFERROR(VLOOKUP(A194,[3]DOORSCRIEFT!$A$2:$G$6834,2,FALSE),"")</f>
        <v/>
      </c>
      <c r="D194" s="481" t="str">
        <f>IFERROR(VLOOKUP(A194,[3]DOORSCRIEFT!$A$2:$G$6834,3,FALSE),"")</f>
        <v/>
      </c>
      <c r="E194" s="480" t="str">
        <f>IFERROR(VLOOKUP(A194,[3]DOORSCRIEFT!$A$2:$G$6834,4,FALSE),"")</f>
        <v/>
      </c>
      <c r="F194" s="405" t="str">
        <f>IFERROR(VLOOKUP(A194,[3]DOORSCRIEFT!$A$2:$G$6834,7,FALSE),"")</f>
        <v/>
      </c>
      <c r="G194" s="315"/>
    </row>
    <row r="195" spans="1:7" x14ac:dyDescent="0.25">
      <c r="A195" s="321" t="str">
        <f t="shared" si="5"/>
        <v>II.2.1.059</v>
      </c>
      <c r="B195" s="321">
        <v>9</v>
      </c>
      <c r="C195" s="320" t="str">
        <f>IFERROR(VLOOKUP(A195,[3]DOORSCRIEFT!$A$2:$G$6834,2,FALSE),"")</f>
        <v/>
      </c>
      <c r="D195" s="481" t="str">
        <f>IFERROR(VLOOKUP(A195,[3]DOORSCRIEFT!$A$2:$G$6834,3,FALSE),"")</f>
        <v/>
      </c>
      <c r="E195" s="480" t="str">
        <f>IFERROR(VLOOKUP(A195,[3]DOORSCRIEFT!$A$2:$G$6834,4,FALSE),"")</f>
        <v/>
      </c>
      <c r="F195" s="405" t="str">
        <f>IFERROR(VLOOKUP(A195,[3]DOORSCRIEFT!$A$2:$G$6834,7,FALSE),"")</f>
        <v/>
      </c>
      <c r="G195" s="315"/>
    </row>
    <row r="196" spans="1:7" x14ac:dyDescent="0.25">
      <c r="A196" s="321" t="str">
        <f t="shared" si="5"/>
        <v>II.2.1.0510</v>
      </c>
      <c r="B196" s="321">
        <v>10</v>
      </c>
      <c r="C196" s="320" t="str">
        <f>IFERROR(VLOOKUP(A196,[3]DOORSCRIEFT!$A$2:$G$6834,2,FALSE),"")</f>
        <v/>
      </c>
      <c r="D196" s="481" t="str">
        <f>IFERROR(VLOOKUP(A196,[3]DOORSCRIEFT!$A$2:$G$6834,3,FALSE),"")</f>
        <v/>
      </c>
      <c r="E196" s="480" t="str">
        <f>IFERROR(VLOOKUP(A196,[3]DOORSCRIEFT!$A$2:$G$6834,4,FALSE),"")</f>
        <v/>
      </c>
      <c r="F196" s="405" t="str">
        <f>IFERROR(VLOOKUP(A196,[3]DOORSCRIEFT!$A$2:$G$6834,7,FALSE),"")</f>
        <v/>
      </c>
      <c r="G196" s="315"/>
    </row>
    <row r="197" spans="1:7" x14ac:dyDescent="0.25">
      <c r="A197" s="321" t="str">
        <f t="shared" si="5"/>
        <v>II.2.1.0511</v>
      </c>
      <c r="B197" s="321">
        <v>11</v>
      </c>
      <c r="C197" s="320" t="str">
        <f>IFERROR(VLOOKUP(A197,[3]DOORSCRIEFT!$A$2:$G$6834,2,FALSE),"")</f>
        <v/>
      </c>
      <c r="D197" s="481" t="str">
        <f>IFERROR(VLOOKUP(A197,[3]DOORSCRIEFT!$A$2:$G$6834,3,FALSE),"")</f>
        <v/>
      </c>
      <c r="E197" s="480" t="str">
        <f>IFERROR(VLOOKUP(A197,[3]DOORSCRIEFT!$A$2:$G$6834,4,FALSE),"")</f>
        <v/>
      </c>
      <c r="F197" s="405" t="str">
        <f>IFERROR(VLOOKUP(A197,[3]DOORSCRIEFT!$A$2:$G$6834,7,FALSE),"")</f>
        <v/>
      </c>
      <c r="G197" s="315"/>
    </row>
    <row r="198" spans="1:7" x14ac:dyDescent="0.25">
      <c r="A198" s="321" t="str">
        <f t="shared" si="5"/>
        <v>II.2.1.0512</v>
      </c>
      <c r="B198" s="321">
        <v>12</v>
      </c>
      <c r="C198" s="320" t="str">
        <f>IFERROR(VLOOKUP(A198,[3]DOORSCRIEFT!$A$2:$G$6834,2,FALSE),"")</f>
        <v/>
      </c>
      <c r="D198" s="481" t="str">
        <f>IFERROR(VLOOKUP(A198,[3]DOORSCRIEFT!$A$2:$G$6834,3,FALSE),"")</f>
        <v/>
      </c>
      <c r="E198" s="480" t="str">
        <f>IFERROR(VLOOKUP(A198,[3]DOORSCRIEFT!$A$2:$G$6834,4,FALSE),"")</f>
        <v/>
      </c>
      <c r="F198" s="405" t="str">
        <f>IFERROR(VLOOKUP(A198,[3]DOORSCRIEFT!$A$2:$G$6834,7,FALSE),"")</f>
        <v/>
      </c>
      <c r="G198" s="315"/>
    </row>
    <row r="199" spans="1:7" x14ac:dyDescent="0.25">
      <c r="A199" s="321" t="str">
        <f t="shared" si="5"/>
        <v>II.2.1.0513</v>
      </c>
      <c r="B199" s="321">
        <v>13</v>
      </c>
      <c r="C199" s="320" t="str">
        <f>IFERROR(VLOOKUP(A199,[3]DOORSCRIEFT!$A$2:$G$6834,2,FALSE),"")</f>
        <v/>
      </c>
      <c r="D199" s="481" t="str">
        <f>IFERROR(VLOOKUP(A199,[3]DOORSCRIEFT!$A$2:$G$6834,3,FALSE),"")</f>
        <v/>
      </c>
      <c r="E199" s="480" t="str">
        <f>IFERROR(VLOOKUP(A199,[3]DOORSCRIEFT!$A$2:$G$6834,4,FALSE),"")</f>
        <v/>
      </c>
      <c r="F199" s="405" t="str">
        <f>IFERROR(VLOOKUP(A199,[3]DOORSCRIEFT!$A$2:$G$6834,7,FALSE),"")</f>
        <v/>
      </c>
      <c r="G199" s="315"/>
    </row>
    <row r="200" spans="1:7" x14ac:dyDescent="0.25">
      <c r="A200" s="321" t="str">
        <f t="shared" si="5"/>
        <v>II.2.1.0514</v>
      </c>
      <c r="B200" s="321">
        <v>14</v>
      </c>
      <c r="C200" s="320" t="str">
        <f>IFERROR(VLOOKUP(A200,[3]DOORSCRIEFT!$A$2:$G$6834,2,FALSE),"")</f>
        <v/>
      </c>
      <c r="D200" s="481" t="str">
        <f>IFERROR(VLOOKUP(A200,[3]DOORSCRIEFT!$A$2:$G$6834,3,FALSE),"")</f>
        <v/>
      </c>
      <c r="E200" s="480" t="str">
        <f>IFERROR(VLOOKUP(A200,[3]DOORSCRIEFT!$A$2:$G$6834,4,FALSE),"")</f>
        <v/>
      </c>
      <c r="F200" s="405" t="str">
        <f>IFERROR(VLOOKUP(A200,[3]DOORSCRIEFT!$A$2:$G$6834,7,FALSE),"")</f>
        <v/>
      </c>
      <c r="G200" s="315"/>
    </row>
    <row r="201" spans="1:7" ht="15.75" thickBot="1" x14ac:dyDescent="0.3">
      <c r="A201" s="342" t="str">
        <f t="shared" si="5"/>
        <v>II.2.1.0515</v>
      </c>
      <c r="B201" s="342">
        <v>15</v>
      </c>
      <c r="C201" s="320" t="str">
        <f>IFERROR(VLOOKUP(A201,[3]DOORSCRIEFT!$A$2:$G$6834,2,FALSE),"")</f>
        <v/>
      </c>
      <c r="D201" s="481" t="str">
        <f>IFERROR(VLOOKUP(A201,[3]DOORSCRIEFT!$A$2:$G$6834,3,FALSE),"")</f>
        <v/>
      </c>
      <c r="E201" s="480" t="str">
        <f>IFERROR(VLOOKUP(A201,[3]DOORSCRIEFT!$A$2:$G$6834,4,FALSE),"")</f>
        <v/>
      </c>
      <c r="F201" s="405" t="str">
        <f>IFERROR(VLOOKUP(A201,[3]DOORSCRIEFT!$A$2:$G$6834,7,FALSE),"")</f>
        <v/>
      </c>
      <c r="G201" s="315"/>
    </row>
    <row r="202" spans="1:7" ht="15.75" thickBot="1" x14ac:dyDescent="0.3">
      <c r="A202" s="341"/>
      <c r="B202" s="340"/>
      <c r="C202" s="336"/>
      <c r="D202" s="486"/>
      <c r="E202" s="340" t="s">
        <v>644</v>
      </c>
      <c r="F202" s="310">
        <f>SUM(F187:F201)</f>
        <v>0</v>
      </c>
      <c r="G202" s="309">
        <f>SUM(G187:G201)</f>
        <v>0</v>
      </c>
    </row>
    <row r="203" spans="1:7" x14ac:dyDescent="0.25">
      <c r="C203" s="335"/>
      <c r="D203" s="485"/>
    </row>
    <row r="204" spans="1:7" x14ac:dyDescent="0.25">
      <c r="C204" s="335"/>
      <c r="D204" s="485"/>
    </row>
    <row r="205" spans="1:7" ht="15.75" x14ac:dyDescent="0.25">
      <c r="C205" s="334" t="s">
        <v>663</v>
      </c>
      <c r="D205" s="484"/>
      <c r="E205" s="333"/>
      <c r="F205" s="327" t="s">
        <v>607</v>
      </c>
      <c r="G205" s="327" t="s">
        <v>264</v>
      </c>
    </row>
    <row r="206" spans="1:7" ht="15.75" x14ac:dyDescent="0.25">
      <c r="C206" s="334"/>
      <c r="D206" s="484"/>
      <c r="E206" s="333"/>
      <c r="F206" s="327" t="s">
        <v>601</v>
      </c>
      <c r="G206" s="327" t="s">
        <v>263</v>
      </c>
    </row>
    <row r="207" spans="1:7" x14ac:dyDescent="0.25">
      <c r="C207" s="330"/>
      <c r="D207" s="482"/>
      <c r="E207" s="329"/>
      <c r="F207" s="327" t="s">
        <v>651</v>
      </c>
      <c r="G207" s="331">
        <f>[2]Sheet1!$D$219</f>
        <v>6480000</v>
      </c>
    </row>
    <row r="208" spans="1:7" ht="15.75" thickBot="1" x14ac:dyDescent="0.3">
      <c r="C208" s="330"/>
      <c r="D208" s="482"/>
      <c r="E208" s="329"/>
      <c r="F208" s="327" t="s">
        <v>650</v>
      </c>
      <c r="G208" s="326">
        <f>+F227-G207</f>
        <v>-3640000</v>
      </c>
    </row>
    <row r="209" spans="1:7" x14ac:dyDescent="0.25">
      <c r="A209" s="571" t="s">
        <v>655</v>
      </c>
      <c r="B209" s="573" t="s">
        <v>606</v>
      </c>
      <c r="C209" s="588" t="s">
        <v>649</v>
      </c>
      <c r="D209" s="599" t="s">
        <v>648</v>
      </c>
      <c r="E209" s="577" t="s">
        <v>647</v>
      </c>
      <c r="F209" s="577" t="s">
        <v>646</v>
      </c>
      <c r="G209" s="580" t="s">
        <v>645</v>
      </c>
    </row>
    <row r="210" spans="1:7" ht="15.75" thickBot="1" x14ac:dyDescent="0.3">
      <c r="A210" s="572"/>
      <c r="B210" s="574"/>
      <c r="C210" s="589"/>
      <c r="D210" s="600"/>
      <c r="E210" s="578"/>
      <c r="F210" s="578"/>
      <c r="G210" s="581"/>
    </row>
    <row r="211" spans="1:7" ht="15.75" thickBot="1" x14ac:dyDescent="0.3">
      <c r="A211" s="425">
        <v>1</v>
      </c>
      <c r="B211" s="425">
        <v>2</v>
      </c>
      <c r="C211" s="425">
        <v>3</v>
      </c>
      <c r="D211" s="425">
        <v>4</v>
      </c>
      <c r="E211" s="425">
        <v>5</v>
      </c>
      <c r="F211" s="425">
        <v>6</v>
      </c>
      <c r="G211" s="425">
        <v>7</v>
      </c>
    </row>
    <row r="212" spans="1:7" x14ac:dyDescent="0.25">
      <c r="A212" s="320" t="str">
        <f t="shared" ref="A212:A226" si="6">$G$205&amp;B212</f>
        <v>II.2.1.061</v>
      </c>
      <c r="B212" s="320">
        <v>1</v>
      </c>
      <c r="C212" s="320">
        <f>IFERROR(VLOOKUP(A212,[3]DOORSCRIEFT!$A$2:$G$6834,2,FALSE),"")</f>
        <v>409</v>
      </c>
      <c r="D212" s="481">
        <f>IFERROR(VLOOKUP(A212,[3]DOORSCRIEFT!$A$2:$G$6834,3,FALSE),"")</f>
        <v>46103</v>
      </c>
      <c r="E212" s="480" t="str">
        <f>IFERROR(VLOOKUP(A212,[3]DOORSCRIEFT!$A$2:$G$6834,4,FALSE),"")</f>
        <v>Beli surat Sidi 62 Lembar</v>
      </c>
      <c r="F212" s="405">
        <f>IFERROR(VLOOKUP(A212,[3]DOORSCRIEFT!$A$2:$G$6834,7,FALSE),"")</f>
        <v>2840000</v>
      </c>
      <c r="G212" s="322"/>
    </row>
    <row r="213" spans="1:7" x14ac:dyDescent="0.25">
      <c r="A213" s="321" t="str">
        <f t="shared" si="6"/>
        <v>II.2.1.062</v>
      </c>
      <c r="B213" s="321">
        <v>2</v>
      </c>
      <c r="C213" s="320" t="str">
        <f>IFERROR(VLOOKUP(A213,[3]DOORSCRIEFT!$A$2:$G$6834,2,FALSE),"")</f>
        <v/>
      </c>
      <c r="D213" s="481" t="str">
        <f>IFERROR(VLOOKUP(A213,[3]DOORSCRIEFT!$A$2:$G$6834,3,FALSE),"")</f>
        <v/>
      </c>
      <c r="E213" s="480" t="str">
        <f>IFERROR(VLOOKUP(A213,[3]DOORSCRIEFT!$A$2:$G$6834,4,FALSE),"")</f>
        <v/>
      </c>
      <c r="F213" s="405" t="str">
        <f>IFERROR(VLOOKUP(A213,[3]DOORSCRIEFT!$A$2:$G$6834,7,FALSE),"")</f>
        <v/>
      </c>
      <c r="G213" s="315"/>
    </row>
    <row r="214" spans="1:7" x14ac:dyDescent="0.25">
      <c r="A214" s="321" t="str">
        <f t="shared" si="6"/>
        <v>II.2.1.063</v>
      </c>
      <c r="B214" s="321">
        <v>3</v>
      </c>
      <c r="C214" s="320" t="str">
        <f>IFERROR(VLOOKUP(A214,[3]DOORSCRIEFT!$A$2:$G$6834,2,FALSE),"")</f>
        <v/>
      </c>
      <c r="D214" s="481" t="str">
        <f>IFERROR(VLOOKUP(A214,[3]DOORSCRIEFT!$A$2:$G$6834,3,FALSE),"")</f>
        <v/>
      </c>
      <c r="E214" s="480" t="str">
        <f>IFERROR(VLOOKUP(A214,[3]DOORSCRIEFT!$A$2:$G$6834,4,FALSE),"")</f>
        <v/>
      </c>
      <c r="F214" s="405" t="str">
        <f>IFERROR(VLOOKUP(A214,[3]DOORSCRIEFT!$A$2:$G$6834,7,FALSE),"")</f>
        <v/>
      </c>
      <c r="G214" s="315"/>
    </row>
    <row r="215" spans="1:7" x14ac:dyDescent="0.25">
      <c r="A215" s="321" t="str">
        <f t="shared" si="6"/>
        <v>II.2.1.064</v>
      </c>
      <c r="B215" s="321">
        <v>4</v>
      </c>
      <c r="C215" s="320" t="str">
        <f>IFERROR(VLOOKUP(A215,[3]DOORSCRIEFT!$A$2:$G$6834,2,FALSE),"")</f>
        <v/>
      </c>
      <c r="D215" s="481" t="str">
        <f>IFERROR(VLOOKUP(A215,[3]DOORSCRIEFT!$A$2:$G$6834,3,FALSE),"")</f>
        <v/>
      </c>
      <c r="E215" s="480" t="str">
        <f>IFERROR(VLOOKUP(A215,[3]DOORSCRIEFT!$A$2:$G$6834,4,FALSE),"")</f>
        <v/>
      </c>
      <c r="F215" s="405" t="str">
        <f>IFERROR(VLOOKUP(A215,[3]DOORSCRIEFT!$A$2:$G$6834,7,FALSE),"")</f>
        <v/>
      </c>
      <c r="G215" s="315"/>
    </row>
    <row r="216" spans="1:7" x14ac:dyDescent="0.25">
      <c r="A216" s="321" t="str">
        <f t="shared" si="6"/>
        <v>II.2.1.065</v>
      </c>
      <c r="B216" s="321">
        <v>5</v>
      </c>
      <c r="C216" s="320" t="str">
        <f>IFERROR(VLOOKUP(A216,[3]DOORSCRIEFT!$A$2:$G$6834,2,FALSE),"")</f>
        <v/>
      </c>
      <c r="D216" s="481" t="str">
        <f>IFERROR(VLOOKUP(A216,[3]DOORSCRIEFT!$A$2:$G$6834,3,FALSE),"")</f>
        <v/>
      </c>
      <c r="E216" s="480" t="str">
        <f>IFERROR(VLOOKUP(A216,[3]DOORSCRIEFT!$A$2:$G$6834,4,FALSE),"")</f>
        <v/>
      </c>
      <c r="F216" s="405" t="str">
        <f>IFERROR(VLOOKUP(A216,[3]DOORSCRIEFT!$A$2:$G$6834,7,FALSE),"")</f>
        <v/>
      </c>
      <c r="G216" s="315"/>
    </row>
    <row r="217" spans="1:7" x14ac:dyDescent="0.25">
      <c r="A217" s="321" t="str">
        <f t="shared" si="6"/>
        <v>II.2.1.066</v>
      </c>
      <c r="B217" s="321">
        <v>6</v>
      </c>
      <c r="C217" s="320" t="str">
        <f>IFERROR(VLOOKUP(A217,[3]DOORSCRIEFT!$A$2:$G$6834,2,FALSE),"")</f>
        <v/>
      </c>
      <c r="D217" s="481" t="str">
        <f>IFERROR(VLOOKUP(A217,[3]DOORSCRIEFT!$A$2:$G$6834,3,FALSE),"")</f>
        <v/>
      </c>
      <c r="E217" s="480" t="str">
        <f>IFERROR(VLOOKUP(A217,[3]DOORSCRIEFT!$A$2:$G$6834,4,FALSE),"")</f>
        <v/>
      </c>
      <c r="F217" s="405" t="str">
        <f>IFERROR(VLOOKUP(A217,[3]DOORSCRIEFT!$A$2:$G$6834,7,FALSE),"")</f>
        <v/>
      </c>
      <c r="G217" s="315"/>
    </row>
    <row r="218" spans="1:7" x14ac:dyDescent="0.25">
      <c r="A218" s="321" t="str">
        <f t="shared" si="6"/>
        <v>II.2.1.067</v>
      </c>
      <c r="B218" s="321">
        <v>7</v>
      </c>
      <c r="C218" s="320" t="str">
        <f>IFERROR(VLOOKUP(A218,[3]DOORSCRIEFT!$A$2:$G$6834,2,FALSE),"")</f>
        <v/>
      </c>
      <c r="D218" s="481" t="str">
        <f>IFERROR(VLOOKUP(A218,[3]DOORSCRIEFT!$A$2:$G$6834,3,FALSE),"")</f>
        <v/>
      </c>
      <c r="E218" s="480" t="str">
        <f>IFERROR(VLOOKUP(A218,[3]DOORSCRIEFT!$A$2:$G$6834,4,FALSE),"")</f>
        <v/>
      </c>
      <c r="F218" s="405" t="str">
        <f>IFERROR(VLOOKUP(A218,[3]DOORSCRIEFT!$A$2:$G$6834,7,FALSE),"")</f>
        <v/>
      </c>
      <c r="G218" s="315"/>
    </row>
    <row r="219" spans="1:7" x14ac:dyDescent="0.25">
      <c r="A219" s="321" t="str">
        <f t="shared" si="6"/>
        <v>II.2.1.068</v>
      </c>
      <c r="B219" s="321">
        <v>8</v>
      </c>
      <c r="C219" s="320" t="str">
        <f>IFERROR(VLOOKUP(A219,[3]DOORSCRIEFT!$A$2:$G$6834,2,FALSE),"")</f>
        <v/>
      </c>
      <c r="D219" s="481" t="str">
        <f>IFERROR(VLOOKUP(A219,[3]DOORSCRIEFT!$A$2:$G$6834,3,FALSE),"")</f>
        <v/>
      </c>
      <c r="E219" s="480" t="str">
        <f>IFERROR(VLOOKUP(A219,[3]DOORSCRIEFT!$A$2:$G$6834,4,FALSE),"")</f>
        <v/>
      </c>
      <c r="F219" s="405" t="str">
        <f>IFERROR(VLOOKUP(A219,[3]DOORSCRIEFT!$A$2:$G$6834,7,FALSE),"")</f>
        <v/>
      </c>
      <c r="G219" s="315"/>
    </row>
    <row r="220" spans="1:7" x14ac:dyDescent="0.25">
      <c r="A220" s="321" t="str">
        <f t="shared" si="6"/>
        <v>II.2.1.069</v>
      </c>
      <c r="B220" s="321">
        <v>9</v>
      </c>
      <c r="C220" s="320" t="str">
        <f>IFERROR(VLOOKUP(A220,[3]DOORSCRIEFT!$A$2:$G$6834,2,FALSE),"")</f>
        <v/>
      </c>
      <c r="D220" s="481" t="str">
        <f>IFERROR(VLOOKUP(A220,[3]DOORSCRIEFT!$A$2:$G$6834,3,FALSE),"")</f>
        <v/>
      </c>
      <c r="E220" s="480" t="str">
        <f>IFERROR(VLOOKUP(A220,[3]DOORSCRIEFT!$A$2:$G$6834,4,FALSE),"")</f>
        <v/>
      </c>
      <c r="F220" s="405" t="str">
        <f>IFERROR(VLOOKUP(A220,[3]DOORSCRIEFT!$A$2:$G$6834,7,FALSE),"")</f>
        <v/>
      </c>
      <c r="G220" s="315"/>
    </row>
    <row r="221" spans="1:7" x14ac:dyDescent="0.25">
      <c r="A221" s="321" t="str">
        <f t="shared" si="6"/>
        <v>II.2.1.0610</v>
      </c>
      <c r="B221" s="321">
        <v>10</v>
      </c>
      <c r="C221" s="320" t="str">
        <f>IFERROR(VLOOKUP(A221,[3]DOORSCRIEFT!$A$2:$G$6834,2,FALSE),"")</f>
        <v/>
      </c>
      <c r="D221" s="481" t="str">
        <f>IFERROR(VLOOKUP(A221,[3]DOORSCRIEFT!$A$2:$G$6834,3,FALSE),"")</f>
        <v/>
      </c>
      <c r="E221" s="480" t="str">
        <f>IFERROR(VLOOKUP(A221,[3]DOORSCRIEFT!$A$2:$G$6834,4,FALSE),"")</f>
        <v/>
      </c>
      <c r="F221" s="405" t="str">
        <f>IFERROR(VLOOKUP(A221,[3]DOORSCRIEFT!$A$2:$G$6834,7,FALSE),"")</f>
        <v/>
      </c>
      <c r="G221" s="315"/>
    </row>
    <row r="222" spans="1:7" x14ac:dyDescent="0.25">
      <c r="A222" s="321" t="str">
        <f t="shared" si="6"/>
        <v>II.2.1.0611</v>
      </c>
      <c r="B222" s="321">
        <v>11</v>
      </c>
      <c r="C222" s="320" t="str">
        <f>IFERROR(VLOOKUP(A222,[3]DOORSCRIEFT!$A$2:$G$6834,2,FALSE),"")</f>
        <v/>
      </c>
      <c r="D222" s="481" t="str">
        <f>IFERROR(VLOOKUP(A222,[3]DOORSCRIEFT!$A$2:$G$6834,3,FALSE),"")</f>
        <v/>
      </c>
      <c r="E222" s="480" t="str">
        <f>IFERROR(VLOOKUP(A222,[3]DOORSCRIEFT!$A$2:$G$6834,4,FALSE),"")</f>
        <v/>
      </c>
      <c r="F222" s="405" t="str">
        <f>IFERROR(VLOOKUP(A222,[3]DOORSCRIEFT!$A$2:$G$6834,7,FALSE),"")</f>
        <v/>
      </c>
      <c r="G222" s="315"/>
    </row>
    <row r="223" spans="1:7" x14ac:dyDescent="0.25">
      <c r="A223" s="321" t="str">
        <f t="shared" si="6"/>
        <v>II.2.1.0612</v>
      </c>
      <c r="B223" s="321">
        <v>12</v>
      </c>
      <c r="C223" s="320" t="str">
        <f>IFERROR(VLOOKUP(A223,[3]DOORSCRIEFT!$A$2:$G$6834,2,FALSE),"")</f>
        <v/>
      </c>
      <c r="D223" s="481" t="str">
        <f>IFERROR(VLOOKUP(A223,[3]DOORSCRIEFT!$A$2:$G$6834,3,FALSE),"")</f>
        <v/>
      </c>
      <c r="E223" s="480" t="str">
        <f>IFERROR(VLOOKUP(A223,[3]DOORSCRIEFT!$A$2:$G$6834,4,FALSE),"")</f>
        <v/>
      </c>
      <c r="F223" s="405" t="str">
        <f>IFERROR(VLOOKUP(A223,[3]DOORSCRIEFT!$A$2:$G$6834,7,FALSE),"")</f>
        <v/>
      </c>
      <c r="G223" s="315"/>
    </row>
    <row r="224" spans="1:7" x14ac:dyDescent="0.25">
      <c r="A224" s="321" t="str">
        <f t="shared" si="6"/>
        <v>II.2.1.0613</v>
      </c>
      <c r="B224" s="321">
        <v>13</v>
      </c>
      <c r="C224" s="320" t="str">
        <f>IFERROR(VLOOKUP(A224,[3]DOORSCRIEFT!$A$2:$G$6834,2,FALSE),"")</f>
        <v/>
      </c>
      <c r="D224" s="481" t="str">
        <f>IFERROR(VLOOKUP(A224,[3]DOORSCRIEFT!$A$2:$G$6834,3,FALSE),"")</f>
        <v/>
      </c>
      <c r="E224" s="480" t="str">
        <f>IFERROR(VLOOKUP(A224,[3]DOORSCRIEFT!$A$2:$G$6834,4,FALSE),"")</f>
        <v/>
      </c>
      <c r="F224" s="405" t="str">
        <f>IFERROR(VLOOKUP(A224,[3]DOORSCRIEFT!$A$2:$G$6834,7,FALSE),"")</f>
        <v/>
      </c>
      <c r="G224" s="315"/>
    </row>
    <row r="225" spans="1:7" x14ac:dyDescent="0.25">
      <c r="A225" s="321" t="str">
        <f t="shared" si="6"/>
        <v>II.2.1.0614</v>
      </c>
      <c r="B225" s="321">
        <v>14</v>
      </c>
      <c r="C225" s="320" t="str">
        <f>IFERROR(VLOOKUP(A225,[3]DOORSCRIEFT!$A$2:$G$6834,2,FALSE),"")</f>
        <v/>
      </c>
      <c r="D225" s="481" t="str">
        <f>IFERROR(VLOOKUP(A225,[3]DOORSCRIEFT!$A$2:$G$6834,3,FALSE),"")</f>
        <v/>
      </c>
      <c r="E225" s="480" t="str">
        <f>IFERROR(VLOOKUP(A225,[3]DOORSCRIEFT!$A$2:$G$6834,4,FALSE),"")</f>
        <v/>
      </c>
      <c r="F225" s="405" t="str">
        <f>IFERROR(VLOOKUP(A225,[3]DOORSCRIEFT!$A$2:$G$6834,7,FALSE),"")</f>
        <v/>
      </c>
      <c r="G225" s="315"/>
    </row>
    <row r="226" spans="1:7" ht="15.75" thickBot="1" x14ac:dyDescent="0.3">
      <c r="A226" s="342" t="str">
        <f t="shared" si="6"/>
        <v>II.2.1.0615</v>
      </c>
      <c r="B226" s="342">
        <v>15</v>
      </c>
      <c r="C226" s="320" t="str">
        <f>IFERROR(VLOOKUP(A226,[3]DOORSCRIEFT!$A$2:$G$6834,2,FALSE),"")</f>
        <v/>
      </c>
      <c r="D226" s="481" t="str">
        <f>IFERROR(VLOOKUP(A226,[3]DOORSCRIEFT!$A$2:$G$6834,3,FALSE),"")</f>
        <v/>
      </c>
      <c r="E226" s="480" t="str">
        <f>IFERROR(VLOOKUP(A226,[3]DOORSCRIEFT!$A$2:$G$6834,4,FALSE),"")</f>
        <v/>
      </c>
      <c r="F226" s="405" t="str">
        <f>IFERROR(VLOOKUP(A226,[3]DOORSCRIEFT!$A$2:$G$6834,7,FALSE),"")</f>
        <v/>
      </c>
      <c r="G226" s="315"/>
    </row>
    <row r="227" spans="1:7" ht="15.75" thickBot="1" x14ac:dyDescent="0.3">
      <c r="A227" s="341"/>
      <c r="B227" s="340"/>
      <c r="C227" s="336"/>
      <c r="D227" s="486"/>
      <c r="E227" s="340" t="s">
        <v>644</v>
      </c>
      <c r="F227" s="310">
        <f>SUM(F212:F226)</f>
        <v>2840000</v>
      </c>
      <c r="G227" s="309">
        <f>SUM(G212:G226)</f>
        <v>0</v>
      </c>
    </row>
    <row r="228" spans="1:7" x14ac:dyDescent="0.25">
      <c r="C228" s="335"/>
      <c r="D228" s="485"/>
    </row>
    <row r="229" spans="1:7" x14ac:dyDescent="0.25">
      <c r="C229" s="335"/>
      <c r="D229" s="485"/>
    </row>
    <row r="230" spans="1:7" ht="15.75" x14ac:dyDescent="0.25">
      <c r="C230" s="334" t="s">
        <v>663</v>
      </c>
      <c r="D230" s="484"/>
      <c r="E230" s="333"/>
      <c r="F230" s="327" t="s">
        <v>607</v>
      </c>
      <c r="G230" s="327" t="s">
        <v>262</v>
      </c>
    </row>
    <row r="231" spans="1:7" ht="15.75" x14ac:dyDescent="0.25">
      <c r="C231" s="334"/>
      <c r="D231" s="484"/>
      <c r="E231" s="333"/>
      <c r="F231" s="327" t="s">
        <v>601</v>
      </c>
      <c r="G231" s="327" t="s">
        <v>261</v>
      </c>
    </row>
    <row r="232" spans="1:7" x14ac:dyDescent="0.25">
      <c r="C232" s="330"/>
      <c r="D232" s="482"/>
      <c r="E232" s="329"/>
      <c r="F232" s="327" t="s">
        <v>651</v>
      </c>
      <c r="G232" s="331">
        <f>[2]Sheet1!$D$224</f>
        <v>18850000</v>
      </c>
    </row>
    <row r="233" spans="1:7" ht="15.75" thickBot="1" x14ac:dyDescent="0.3">
      <c r="C233" s="330"/>
      <c r="D233" s="482"/>
      <c r="E233" s="329"/>
      <c r="F233" s="327" t="s">
        <v>650</v>
      </c>
      <c r="G233" s="326">
        <f>+F258-G232</f>
        <v>-17625000</v>
      </c>
    </row>
    <row r="234" spans="1:7" x14ac:dyDescent="0.25">
      <c r="A234" s="571" t="s">
        <v>655</v>
      </c>
      <c r="B234" s="573" t="s">
        <v>606</v>
      </c>
      <c r="C234" s="588" t="s">
        <v>649</v>
      </c>
      <c r="D234" s="599" t="s">
        <v>648</v>
      </c>
      <c r="E234" s="577" t="s">
        <v>647</v>
      </c>
      <c r="F234" s="577" t="s">
        <v>646</v>
      </c>
      <c r="G234" s="580" t="s">
        <v>645</v>
      </c>
    </row>
    <row r="235" spans="1:7" ht="15.75" thickBot="1" x14ac:dyDescent="0.3">
      <c r="A235" s="572"/>
      <c r="B235" s="574"/>
      <c r="C235" s="589"/>
      <c r="D235" s="600"/>
      <c r="E235" s="578"/>
      <c r="F235" s="578"/>
      <c r="G235" s="581"/>
    </row>
    <row r="236" spans="1:7" ht="15.75" thickBot="1" x14ac:dyDescent="0.3">
      <c r="A236" s="425">
        <v>1</v>
      </c>
      <c r="B236" s="425">
        <v>2</v>
      </c>
      <c r="C236" s="425">
        <v>3</v>
      </c>
      <c r="D236" s="425">
        <v>4</v>
      </c>
      <c r="E236" s="425">
        <v>5</v>
      </c>
      <c r="F236" s="425">
        <v>6</v>
      </c>
      <c r="G236" s="425">
        <v>7</v>
      </c>
    </row>
    <row r="237" spans="1:7" x14ac:dyDescent="0.25">
      <c r="A237" s="339" t="str">
        <f t="shared" ref="A237:A257" si="7">$G$230&amp;B237</f>
        <v>II.2.1.071</v>
      </c>
      <c r="B237" s="339">
        <v>1</v>
      </c>
      <c r="C237" s="320">
        <f>IFERROR(VLOOKUP(A237,[3]DOORSCRIEFT!$A$2:$G$6834,2,FALSE),"")</f>
        <v>66</v>
      </c>
      <c r="D237" s="481">
        <f>IFERROR(VLOOKUP(A237,[3]DOORSCRIEFT!$A$2:$G$6834,3,FALSE),"")</f>
        <v>46038</v>
      </c>
      <c r="E237" s="480" t="str">
        <f>IFERROR(VLOOKUP(A237,[3]DOORSCRIEFT!$A$2:$G$6834,4,FALSE),"")</f>
        <v>Beli kwitansi dan Doorscrieft</v>
      </c>
      <c r="F237" s="405">
        <f>IFERROR(VLOOKUP(A237,[3]DOORSCRIEFT!$A$2:$G$6834,7,FALSE),"")</f>
        <v>1225000</v>
      </c>
      <c r="G237" s="322"/>
    </row>
    <row r="238" spans="1:7" x14ac:dyDescent="0.25">
      <c r="A238" s="321" t="str">
        <f t="shared" si="7"/>
        <v>II.2.1.072</v>
      </c>
      <c r="B238" s="321">
        <v>2</v>
      </c>
      <c r="C238" s="320" t="str">
        <f>IFERROR(VLOOKUP(A238,[3]DOORSCRIEFT!$A$2:$G$6834,2,FALSE),"")</f>
        <v/>
      </c>
      <c r="D238" s="481" t="str">
        <f>IFERROR(VLOOKUP(A238,[3]DOORSCRIEFT!$A$2:$G$6834,3,FALSE),"")</f>
        <v/>
      </c>
      <c r="E238" s="480" t="str">
        <f>IFERROR(VLOOKUP(A238,[3]DOORSCRIEFT!$A$2:$G$6834,4,FALSE),"")</f>
        <v/>
      </c>
      <c r="F238" s="405" t="str">
        <f>IFERROR(VLOOKUP(A238,[3]DOORSCRIEFT!$A$2:$G$6834,7,FALSE),"")</f>
        <v/>
      </c>
      <c r="G238" s="315"/>
    </row>
    <row r="239" spans="1:7" x14ac:dyDescent="0.25">
      <c r="A239" s="321" t="str">
        <f t="shared" si="7"/>
        <v>II.2.1.073</v>
      </c>
      <c r="B239" s="321">
        <v>3</v>
      </c>
      <c r="C239" s="320" t="str">
        <f>IFERROR(VLOOKUP(A239,[3]DOORSCRIEFT!$A$2:$G$6834,2,FALSE),"")</f>
        <v/>
      </c>
      <c r="D239" s="481" t="str">
        <f>IFERROR(VLOOKUP(A239,[3]DOORSCRIEFT!$A$2:$G$6834,3,FALSE),"")</f>
        <v/>
      </c>
      <c r="E239" s="480" t="str">
        <f>IFERROR(VLOOKUP(A239,[3]DOORSCRIEFT!$A$2:$G$6834,4,FALSE),"")</f>
        <v/>
      </c>
      <c r="F239" s="405" t="str">
        <f>IFERROR(VLOOKUP(A239,[3]DOORSCRIEFT!$A$2:$G$6834,7,FALSE),"")</f>
        <v/>
      </c>
      <c r="G239" s="315"/>
    </row>
    <row r="240" spans="1:7" x14ac:dyDescent="0.25">
      <c r="A240" s="321" t="str">
        <f t="shared" si="7"/>
        <v>II.2.1.074</v>
      </c>
      <c r="B240" s="321">
        <v>4</v>
      </c>
      <c r="C240" s="320" t="str">
        <f>IFERROR(VLOOKUP(A240,[3]DOORSCRIEFT!$A$2:$G$6834,2,FALSE),"")</f>
        <v/>
      </c>
      <c r="D240" s="481" t="str">
        <f>IFERROR(VLOOKUP(A240,[3]DOORSCRIEFT!$A$2:$G$6834,3,FALSE),"")</f>
        <v/>
      </c>
      <c r="E240" s="480" t="str">
        <f>IFERROR(VLOOKUP(A240,[3]DOORSCRIEFT!$A$2:$G$6834,4,FALSE),"")</f>
        <v/>
      </c>
      <c r="F240" s="405" t="str">
        <f>IFERROR(VLOOKUP(A240,[3]DOORSCRIEFT!$A$2:$G$6834,7,FALSE),"")</f>
        <v/>
      </c>
      <c r="G240" s="315"/>
    </row>
    <row r="241" spans="1:7" x14ac:dyDescent="0.25">
      <c r="A241" s="321" t="str">
        <f t="shared" si="7"/>
        <v>II.2.1.075</v>
      </c>
      <c r="B241" s="321">
        <v>5</v>
      </c>
      <c r="C241" s="320" t="str">
        <f>IFERROR(VLOOKUP(A241,[3]DOORSCRIEFT!$A$2:$G$6834,2,FALSE),"")</f>
        <v/>
      </c>
      <c r="D241" s="481" t="str">
        <f>IFERROR(VLOOKUP(A241,[3]DOORSCRIEFT!$A$2:$G$6834,3,FALSE),"")</f>
        <v/>
      </c>
      <c r="E241" s="480" t="str">
        <f>IFERROR(VLOOKUP(A241,[3]DOORSCRIEFT!$A$2:$G$6834,4,FALSE),"")</f>
        <v/>
      </c>
      <c r="F241" s="405" t="str">
        <f>IFERROR(VLOOKUP(A241,[3]DOORSCRIEFT!$A$2:$G$6834,7,FALSE),"")</f>
        <v/>
      </c>
      <c r="G241" s="315"/>
    </row>
    <row r="242" spans="1:7" x14ac:dyDescent="0.25">
      <c r="A242" s="321" t="str">
        <f t="shared" si="7"/>
        <v>II.2.1.076</v>
      </c>
      <c r="B242" s="321">
        <v>6</v>
      </c>
      <c r="C242" s="320" t="str">
        <f>IFERROR(VLOOKUP(A242,[3]DOORSCRIEFT!$A$2:$G$6834,2,FALSE),"")</f>
        <v/>
      </c>
      <c r="D242" s="481" t="str">
        <f>IFERROR(VLOOKUP(A242,[3]DOORSCRIEFT!$A$2:$G$6834,3,FALSE),"")</f>
        <v/>
      </c>
      <c r="E242" s="480" t="str">
        <f>IFERROR(VLOOKUP(A242,[3]DOORSCRIEFT!$A$2:$G$6834,4,FALSE),"")</f>
        <v/>
      </c>
      <c r="F242" s="405" t="str">
        <f>IFERROR(VLOOKUP(A242,[3]DOORSCRIEFT!$A$2:$G$6834,7,FALSE),"")</f>
        <v/>
      </c>
      <c r="G242" s="315"/>
    </row>
    <row r="243" spans="1:7" x14ac:dyDescent="0.25">
      <c r="A243" s="321" t="str">
        <f t="shared" si="7"/>
        <v>II.2.1.077</v>
      </c>
      <c r="B243" s="321">
        <v>7</v>
      </c>
      <c r="C243" s="320" t="str">
        <f>IFERROR(VLOOKUP(A243,[3]DOORSCRIEFT!$A$2:$G$6834,2,FALSE),"")</f>
        <v/>
      </c>
      <c r="D243" s="481" t="str">
        <f>IFERROR(VLOOKUP(A243,[3]DOORSCRIEFT!$A$2:$G$6834,3,FALSE),"")</f>
        <v/>
      </c>
      <c r="E243" s="480" t="str">
        <f>IFERROR(VLOOKUP(A243,[3]DOORSCRIEFT!$A$2:$G$6834,4,FALSE),"")</f>
        <v/>
      </c>
      <c r="F243" s="405" t="str">
        <f>IFERROR(VLOOKUP(A243,[3]DOORSCRIEFT!$A$2:$G$6834,7,FALSE),"")</f>
        <v/>
      </c>
      <c r="G243" s="315"/>
    </row>
    <row r="244" spans="1:7" x14ac:dyDescent="0.25">
      <c r="A244" s="321" t="str">
        <f t="shared" si="7"/>
        <v>II.2.1.078</v>
      </c>
      <c r="B244" s="321">
        <v>8</v>
      </c>
      <c r="C244" s="320" t="str">
        <f>IFERROR(VLOOKUP(A244,[3]DOORSCRIEFT!$A$2:$G$6834,2,FALSE),"")</f>
        <v/>
      </c>
      <c r="D244" s="481" t="str">
        <f>IFERROR(VLOOKUP(A244,[3]DOORSCRIEFT!$A$2:$G$6834,3,FALSE),"")</f>
        <v/>
      </c>
      <c r="E244" s="480" t="str">
        <f>IFERROR(VLOOKUP(A244,[3]DOORSCRIEFT!$A$2:$G$6834,4,FALSE),"")</f>
        <v/>
      </c>
      <c r="F244" s="405" t="str">
        <f>IFERROR(VLOOKUP(A244,[3]DOORSCRIEFT!$A$2:$G$6834,7,FALSE),"")</f>
        <v/>
      </c>
      <c r="G244" s="315"/>
    </row>
    <row r="245" spans="1:7" x14ac:dyDescent="0.25">
      <c r="A245" s="321" t="str">
        <f t="shared" si="7"/>
        <v>II.2.1.079</v>
      </c>
      <c r="B245" s="321">
        <v>9</v>
      </c>
      <c r="C245" s="320" t="str">
        <f>IFERROR(VLOOKUP(A245,[3]DOORSCRIEFT!$A$2:$G$6834,2,FALSE),"")</f>
        <v/>
      </c>
      <c r="D245" s="481" t="str">
        <f>IFERROR(VLOOKUP(A245,[3]DOORSCRIEFT!$A$2:$G$6834,3,FALSE),"")</f>
        <v/>
      </c>
      <c r="E245" s="480" t="str">
        <f>IFERROR(VLOOKUP(A245,[3]DOORSCRIEFT!$A$2:$G$6834,4,FALSE),"")</f>
        <v/>
      </c>
      <c r="F245" s="405" t="str">
        <f>IFERROR(VLOOKUP(A245,[3]DOORSCRIEFT!$A$2:$G$6834,7,FALSE),"")</f>
        <v/>
      </c>
      <c r="G245" s="315"/>
    </row>
    <row r="246" spans="1:7" x14ac:dyDescent="0.25">
      <c r="A246" s="321" t="str">
        <f t="shared" si="7"/>
        <v>II.2.1.0710</v>
      </c>
      <c r="B246" s="321">
        <v>10</v>
      </c>
      <c r="C246" s="320" t="str">
        <f>IFERROR(VLOOKUP(A246,[3]DOORSCRIEFT!$A$2:$G$6834,2,FALSE),"")</f>
        <v/>
      </c>
      <c r="D246" s="481" t="str">
        <f>IFERROR(VLOOKUP(A246,[3]DOORSCRIEFT!$A$2:$G$6834,3,FALSE),"")</f>
        <v/>
      </c>
      <c r="E246" s="480" t="str">
        <f>IFERROR(VLOOKUP(A246,[3]DOORSCRIEFT!$A$2:$G$6834,4,FALSE),"")</f>
        <v/>
      </c>
      <c r="F246" s="405" t="str">
        <f>IFERROR(VLOOKUP(A246,[3]DOORSCRIEFT!$A$2:$G$6834,7,FALSE),"")</f>
        <v/>
      </c>
      <c r="G246" s="315"/>
    </row>
    <row r="247" spans="1:7" x14ac:dyDescent="0.25">
      <c r="A247" s="321" t="str">
        <f t="shared" si="7"/>
        <v>II.2.1.0711</v>
      </c>
      <c r="B247" s="321">
        <v>11</v>
      </c>
      <c r="C247" s="320" t="str">
        <f>IFERROR(VLOOKUP(A247,[3]DOORSCRIEFT!$A$2:$G$6834,2,FALSE),"")</f>
        <v/>
      </c>
      <c r="D247" s="481" t="str">
        <f>IFERROR(VLOOKUP(A247,[3]DOORSCRIEFT!$A$2:$G$6834,3,FALSE),"")</f>
        <v/>
      </c>
      <c r="E247" s="480" t="str">
        <f>IFERROR(VLOOKUP(A247,[3]DOORSCRIEFT!$A$2:$G$6834,4,FALSE),"")</f>
        <v/>
      </c>
      <c r="F247" s="405" t="str">
        <f>IFERROR(VLOOKUP(A247,[3]DOORSCRIEFT!$A$2:$G$6834,7,FALSE),"")</f>
        <v/>
      </c>
      <c r="G247" s="315"/>
    </row>
    <row r="248" spans="1:7" x14ac:dyDescent="0.25">
      <c r="A248" s="321" t="str">
        <f t="shared" si="7"/>
        <v>II.2.1.0712</v>
      </c>
      <c r="B248" s="321">
        <v>12</v>
      </c>
      <c r="C248" s="320" t="str">
        <f>IFERROR(VLOOKUP(A248,[3]DOORSCRIEFT!$A$2:$G$6834,2,FALSE),"")</f>
        <v/>
      </c>
      <c r="D248" s="481" t="str">
        <f>IFERROR(VLOOKUP(A248,[3]DOORSCRIEFT!$A$2:$G$6834,3,FALSE),"")</f>
        <v/>
      </c>
      <c r="E248" s="480" t="str">
        <f>IFERROR(VLOOKUP(A248,[3]DOORSCRIEFT!$A$2:$G$6834,4,FALSE),"")</f>
        <v/>
      </c>
      <c r="F248" s="405" t="str">
        <f>IFERROR(VLOOKUP(A248,[3]DOORSCRIEFT!$A$2:$G$6834,7,FALSE),"")</f>
        <v/>
      </c>
      <c r="G248" s="315"/>
    </row>
    <row r="249" spans="1:7" x14ac:dyDescent="0.25">
      <c r="A249" s="321" t="str">
        <f t="shared" si="7"/>
        <v>II.2.1.0713</v>
      </c>
      <c r="B249" s="321">
        <v>13</v>
      </c>
      <c r="C249" s="320" t="str">
        <f>IFERROR(VLOOKUP(A249,[3]DOORSCRIEFT!$A$2:$G$6834,2,FALSE),"")</f>
        <v/>
      </c>
      <c r="D249" s="481" t="str">
        <f>IFERROR(VLOOKUP(A249,[3]DOORSCRIEFT!$A$2:$G$6834,3,FALSE),"")</f>
        <v/>
      </c>
      <c r="E249" s="480" t="str">
        <f>IFERROR(VLOOKUP(A249,[3]DOORSCRIEFT!$A$2:$G$6834,4,FALSE),"")</f>
        <v/>
      </c>
      <c r="F249" s="405" t="str">
        <f>IFERROR(VLOOKUP(A249,[3]DOORSCRIEFT!$A$2:$G$6834,7,FALSE),"")</f>
        <v/>
      </c>
      <c r="G249" s="315"/>
    </row>
    <row r="250" spans="1:7" x14ac:dyDescent="0.25">
      <c r="A250" s="321" t="str">
        <f t="shared" si="7"/>
        <v>II.2.1.0714</v>
      </c>
      <c r="B250" s="321">
        <v>14</v>
      </c>
      <c r="C250" s="320" t="str">
        <f>IFERROR(VLOOKUP(A250,[3]DOORSCRIEFT!$A$2:$G$6834,2,FALSE),"")</f>
        <v/>
      </c>
      <c r="D250" s="481" t="str">
        <f>IFERROR(VLOOKUP(A250,[3]DOORSCRIEFT!$A$2:$G$6834,3,FALSE),"")</f>
        <v/>
      </c>
      <c r="E250" s="480" t="str">
        <f>IFERROR(VLOOKUP(A250,[3]DOORSCRIEFT!$A$2:$G$6834,4,FALSE),"")</f>
        <v/>
      </c>
      <c r="F250" s="405" t="str">
        <f>IFERROR(VLOOKUP(A250,[3]DOORSCRIEFT!$A$2:$G$6834,7,FALSE),"")</f>
        <v/>
      </c>
      <c r="G250" s="315"/>
    </row>
    <row r="251" spans="1:7" x14ac:dyDescent="0.25">
      <c r="A251" s="321" t="str">
        <f t="shared" si="7"/>
        <v>II.2.1.0715</v>
      </c>
      <c r="B251" s="321">
        <v>15</v>
      </c>
      <c r="C251" s="320" t="str">
        <f>IFERROR(VLOOKUP(A251,[3]DOORSCRIEFT!$A$2:$G$6834,2,FALSE),"")</f>
        <v/>
      </c>
      <c r="D251" s="481" t="str">
        <f>IFERROR(VLOOKUP(A251,[3]DOORSCRIEFT!$A$2:$G$6834,3,FALSE),"")</f>
        <v/>
      </c>
      <c r="E251" s="480" t="str">
        <f>IFERROR(VLOOKUP(A251,[3]DOORSCRIEFT!$A$2:$G$6834,4,FALSE),"")</f>
        <v/>
      </c>
      <c r="F251" s="405" t="str">
        <f>IFERROR(VLOOKUP(A251,[3]DOORSCRIEFT!$A$2:$G$6834,7,FALSE),"")</f>
        <v/>
      </c>
      <c r="G251" s="315"/>
    </row>
    <row r="252" spans="1:7" x14ac:dyDescent="0.25">
      <c r="A252" s="321" t="str">
        <f t="shared" si="7"/>
        <v>II.2.1.0716</v>
      </c>
      <c r="B252" s="321">
        <v>16</v>
      </c>
      <c r="C252" s="320" t="str">
        <f>IFERROR(VLOOKUP(A252,[3]DOORSCRIEFT!$A$2:$G$6834,2,FALSE),"")</f>
        <v/>
      </c>
      <c r="D252" s="481" t="str">
        <f>IFERROR(VLOOKUP(A252,[3]DOORSCRIEFT!$A$2:$G$6834,3,FALSE),"")</f>
        <v/>
      </c>
      <c r="E252" s="480" t="str">
        <f>IFERROR(VLOOKUP(A252,[3]DOORSCRIEFT!$A$2:$G$6834,4,FALSE),"")</f>
        <v/>
      </c>
      <c r="F252" s="405" t="str">
        <f>IFERROR(VLOOKUP(A252,[3]DOORSCRIEFT!$A$2:$G$6834,7,FALSE),"")</f>
        <v/>
      </c>
      <c r="G252" s="315"/>
    </row>
    <row r="253" spans="1:7" x14ac:dyDescent="0.25">
      <c r="A253" s="321" t="str">
        <f t="shared" si="7"/>
        <v>II.2.1.0717</v>
      </c>
      <c r="B253" s="321">
        <v>17</v>
      </c>
      <c r="C253" s="320" t="str">
        <f>IFERROR(VLOOKUP(A253,[3]DOORSCRIEFT!$A$2:$G$6834,2,FALSE),"")</f>
        <v/>
      </c>
      <c r="D253" s="481" t="str">
        <f>IFERROR(VLOOKUP(A253,[3]DOORSCRIEFT!$A$2:$G$6834,3,FALSE),"")</f>
        <v/>
      </c>
      <c r="E253" s="480" t="str">
        <f>IFERROR(VLOOKUP(A253,[3]DOORSCRIEFT!$A$2:$G$6834,4,FALSE),"")</f>
        <v/>
      </c>
      <c r="F253" s="405" t="str">
        <f>IFERROR(VLOOKUP(A253,[3]DOORSCRIEFT!$A$2:$G$6834,7,FALSE),"")</f>
        <v/>
      </c>
      <c r="G253" s="315"/>
    </row>
    <row r="254" spans="1:7" x14ac:dyDescent="0.25">
      <c r="A254" s="321" t="str">
        <f t="shared" si="7"/>
        <v>II.2.1.0718</v>
      </c>
      <c r="B254" s="321">
        <v>18</v>
      </c>
      <c r="C254" s="320" t="str">
        <f>IFERROR(VLOOKUP(A254,[3]DOORSCRIEFT!$A$2:$G$6834,2,FALSE),"")</f>
        <v/>
      </c>
      <c r="D254" s="481" t="str">
        <f>IFERROR(VLOOKUP(A254,[3]DOORSCRIEFT!$A$2:$G$6834,3,FALSE),"")</f>
        <v/>
      </c>
      <c r="E254" s="480" t="str">
        <f>IFERROR(VLOOKUP(A254,[3]DOORSCRIEFT!$A$2:$G$6834,4,FALSE),"")</f>
        <v/>
      </c>
      <c r="F254" s="405" t="str">
        <f>IFERROR(VLOOKUP(A254,[3]DOORSCRIEFT!$A$2:$G$6834,7,FALSE),"")</f>
        <v/>
      </c>
      <c r="G254" s="315"/>
    </row>
    <row r="255" spans="1:7" x14ac:dyDescent="0.25">
      <c r="A255" s="321" t="str">
        <f t="shared" si="7"/>
        <v>II.2.1.0719</v>
      </c>
      <c r="B255" s="321">
        <v>19</v>
      </c>
      <c r="C255" s="320" t="str">
        <f>IFERROR(VLOOKUP(A255,[3]DOORSCRIEFT!$A$2:$G$6834,2,FALSE),"")</f>
        <v/>
      </c>
      <c r="D255" s="481" t="str">
        <f>IFERROR(VLOOKUP(A255,[3]DOORSCRIEFT!$A$2:$G$6834,3,FALSE),"")</f>
        <v/>
      </c>
      <c r="E255" s="480" t="str">
        <f>IFERROR(VLOOKUP(A255,[3]DOORSCRIEFT!$A$2:$G$6834,4,FALSE),"")</f>
        <v/>
      </c>
      <c r="F255" s="405" t="str">
        <f>IFERROR(VLOOKUP(A255,[3]DOORSCRIEFT!$A$2:$G$6834,7,FALSE),"")</f>
        <v/>
      </c>
      <c r="G255" s="315"/>
    </row>
    <row r="256" spans="1:7" x14ac:dyDescent="0.25">
      <c r="A256" s="321" t="str">
        <f t="shared" si="7"/>
        <v>II.2.1.0720</v>
      </c>
      <c r="B256" s="321">
        <v>20</v>
      </c>
      <c r="C256" s="320" t="str">
        <f>IFERROR(VLOOKUP(A256,[3]DOORSCRIEFT!$A$2:$G$6834,2,FALSE),"")</f>
        <v/>
      </c>
      <c r="D256" s="481" t="str">
        <f>IFERROR(VLOOKUP(A256,[3]DOORSCRIEFT!$A$2:$G$6834,3,FALSE),"")</f>
        <v/>
      </c>
      <c r="E256" s="480" t="str">
        <f>IFERROR(VLOOKUP(A256,[3]DOORSCRIEFT!$A$2:$G$6834,4,FALSE),"")</f>
        <v/>
      </c>
      <c r="F256" s="405" t="str">
        <f>IFERROR(VLOOKUP(A256,[3]DOORSCRIEFT!$A$2:$G$6834,7,FALSE),"")</f>
        <v/>
      </c>
      <c r="G256" s="315"/>
    </row>
    <row r="257" spans="1:7" ht="15.75" thickBot="1" x14ac:dyDescent="0.3">
      <c r="A257" s="342" t="str">
        <f t="shared" si="7"/>
        <v>II.2.1.0721</v>
      </c>
      <c r="B257" s="342">
        <v>21</v>
      </c>
      <c r="C257" s="320" t="str">
        <f>IFERROR(VLOOKUP(A257,[3]DOORSCRIEFT!$A$2:$G$6834,2,FALSE),"")</f>
        <v/>
      </c>
      <c r="D257" s="481" t="str">
        <f>IFERROR(VLOOKUP(A257,[3]DOORSCRIEFT!$A$2:$G$6834,3,FALSE),"")</f>
        <v/>
      </c>
      <c r="E257" s="480" t="str">
        <f>IFERROR(VLOOKUP(A257,[3]DOORSCRIEFT!$A$2:$G$6834,4,FALSE),"")</f>
        <v/>
      </c>
      <c r="F257" s="405" t="str">
        <f>IFERROR(VLOOKUP(A257,[3]DOORSCRIEFT!$A$2:$G$6834,7,FALSE),"")</f>
        <v/>
      </c>
      <c r="G257" s="315"/>
    </row>
    <row r="258" spans="1:7" ht="15.75" thickBot="1" x14ac:dyDescent="0.3">
      <c r="A258" s="341"/>
      <c r="B258" s="340"/>
      <c r="C258" s="336"/>
      <c r="D258" s="486"/>
      <c r="E258" s="340" t="s">
        <v>644</v>
      </c>
      <c r="F258" s="310">
        <f>SUM(F237:F257)</f>
        <v>1225000</v>
      </c>
      <c r="G258" s="309">
        <f>SUM(G237:G257)</f>
        <v>0</v>
      </c>
    </row>
    <row r="259" spans="1:7" x14ac:dyDescent="0.25">
      <c r="C259" s="335"/>
      <c r="D259" s="485"/>
    </row>
    <row r="260" spans="1:7" x14ac:dyDescent="0.25">
      <c r="C260" s="335"/>
      <c r="D260" s="485"/>
    </row>
    <row r="261" spans="1:7" ht="15.75" x14ac:dyDescent="0.25">
      <c r="C261" s="334" t="s">
        <v>663</v>
      </c>
      <c r="D261" s="484"/>
      <c r="E261" s="333"/>
      <c r="F261" s="327" t="s">
        <v>607</v>
      </c>
      <c r="G261" s="327" t="s">
        <v>257</v>
      </c>
    </row>
    <row r="262" spans="1:7" ht="15.75" x14ac:dyDescent="0.25">
      <c r="C262" s="334"/>
      <c r="D262" s="484"/>
      <c r="E262" s="333"/>
      <c r="F262" s="327" t="s">
        <v>601</v>
      </c>
      <c r="G262" s="327" t="s">
        <v>256</v>
      </c>
    </row>
    <row r="263" spans="1:7" x14ac:dyDescent="0.25">
      <c r="C263" s="330"/>
      <c r="D263" s="482"/>
      <c r="E263" s="329"/>
      <c r="F263" s="327" t="s">
        <v>651</v>
      </c>
      <c r="G263" s="331">
        <f>[2]Sheet1!$D$231</f>
        <v>36000000</v>
      </c>
    </row>
    <row r="264" spans="1:7" ht="15.75" thickBot="1" x14ac:dyDescent="0.3">
      <c r="C264" s="330"/>
      <c r="D264" s="482"/>
      <c r="E264" s="329"/>
      <c r="F264" s="327" t="s">
        <v>650</v>
      </c>
      <c r="G264" s="326">
        <f>+F292-G263</f>
        <v>-25300000</v>
      </c>
    </row>
    <row r="265" spans="1:7" x14ac:dyDescent="0.25">
      <c r="A265" s="571" t="s">
        <v>655</v>
      </c>
      <c r="B265" s="573" t="s">
        <v>606</v>
      </c>
      <c r="C265" s="588" t="s">
        <v>649</v>
      </c>
      <c r="D265" s="599" t="s">
        <v>648</v>
      </c>
      <c r="E265" s="577" t="s">
        <v>647</v>
      </c>
      <c r="F265" s="577" t="s">
        <v>646</v>
      </c>
      <c r="G265" s="580" t="s">
        <v>645</v>
      </c>
    </row>
    <row r="266" spans="1:7" ht="15.75" thickBot="1" x14ac:dyDescent="0.3">
      <c r="A266" s="572"/>
      <c r="B266" s="574"/>
      <c r="C266" s="589"/>
      <c r="D266" s="600"/>
      <c r="E266" s="578"/>
      <c r="F266" s="578"/>
      <c r="G266" s="581"/>
    </row>
    <row r="267" spans="1:7" ht="15.75" thickBot="1" x14ac:dyDescent="0.3">
      <c r="A267" s="425">
        <v>1</v>
      </c>
      <c r="B267" s="425">
        <v>2</v>
      </c>
      <c r="C267" s="425">
        <v>3</v>
      </c>
      <c r="D267" s="425">
        <v>4</v>
      </c>
      <c r="E267" s="425">
        <v>5</v>
      </c>
      <c r="F267" s="425">
        <v>6</v>
      </c>
      <c r="G267" s="425">
        <v>7</v>
      </c>
    </row>
    <row r="268" spans="1:7" x14ac:dyDescent="0.25">
      <c r="A268" s="475" t="str">
        <f t="shared" ref="A268:A291" si="8">$G$261&amp;B268</f>
        <v>II.2.2.011</v>
      </c>
      <c r="B268" s="320">
        <v>1</v>
      </c>
      <c r="C268" s="320">
        <f>IFERROR(VLOOKUP(A268,[3]DOORSCRIEFT!$A$2:$G$6834,2,FALSE),"")</f>
        <v>142</v>
      </c>
      <c r="D268" s="481">
        <f>IFERROR(VLOOKUP(A268,[3]DOORSCRIEFT!$A$2:$G$6834,3,FALSE),"")</f>
        <v>46052</v>
      </c>
      <c r="E268" s="480" t="str">
        <f>IFERROR(VLOOKUP(A268,[3]DOORSCRIEFT!$A$2:$G$6834,4,FALSE),"")</f>
        <v>Honor Sopir dan Tenaga Sekretariat bulan januari</v>
      </c>
      <c r="F268" s="405">
        <f>IFERROR(VLOOKUP(A268,[3]DOORSCRIEFT!$A$2:$G$6834,7,FALSE),"")</f>
        <v>3500000</v>
      </c>
      <c r="G268" s="406"/>
    </row>
    <row r="269" spans="1:7" x14ac:dyDescent="0.25">
      <c r="A269" s="496" t="str">
        <f t="shared" si="8"/>
        <v>II.2.2.012</v>
      </c>
      <c r="B269" s="321">
        <v>2</v>
      </c>
      <c r="C269" s="320">
        <f>IFERROR(VLOOKUP(A269,[3]DOORSCRIEFT!$A$2:$G$6834,2,FALSE),"")</f>
        <v>203</v>
      </c>
      <c r="D269" s="481">
        <f>IFERROR(VLOOKUP(A269,[3]DOORSCRIEFT!$A$2:$G$6834,3,FALSE),"")</f>
        <v>46068</v>
      </c>
      <c r="E269" s="480" t="str">
        <f>IFERROR(VLOOKUP(A269,[3]DOORSCRIEFT!$A$2:$G$6834,4,FALSE),"")</f>
        <v>Honor Sopir bulan Februari</v>
      </c>
      <c r="F269" s="405">
        <f>IFERROR(VLOOKUP(A269,[3]DOORSCRIEFT!$A$2:$G$6834,7,FALSE),"")</f>
        <v>1500000</v>
      </c>
      <c r="G269" s="349"/>
    </row>
    <row r="270" spans="1:7" x14ac:dyDescent="0.25">
      <c r="A270" s="496" t="str">
        <f t="shared" si="8"/>
        <v>II.2.2.013</v>
      </c>
      <c r="B270" s="321">
        <v>3</v>
      </c>
      <c r="C270" s="320">
        <f>IFERROR(VLOOKUP(A270,[3]DOORSCRIEFT!$A$2:$G$6834,2,FALSE),"")</f>
        <v>325</v>
      </c>
      <c r="D270" s="481">
        <f>IFERROR(VLOOKUP(A270,[3]DOORSCRIEFT!$A$2:$G$6834,3,FALSE),"")</f>
        <v>46089</v>
      </c>
      <c r="E270" s="480" t="str">
        <f>IFERROR(VLOOKUP(A270,[3]DOORSCRIEFT!$A$2:$G$6834,4,FALSE),"")</f>
        <v>Honor Sopir bulan Maret</v>
      </c>
      <c r="F270" s="405">
        <f>IFERROR(VLOOKUP(A270,[3]DOORSCRIEFT!$A$2:$G$6834,7,FALSE),"")</f>
        <v>1700000</v>
      </c>
      <c r="G270" s="349"/>
    </row>
    <row r="271" spans="1:7" x14ac:dyDescent="0.25">
      <c r="A271" s="496" t="str">
        <f t="shared" si="8"/>
        <v>II.2.2.014</v>
      </c>
      <c r="B271" s="321">
        <v>4</v>
      </c>
      <c r="C271" s="320">
        <f>IFERROR(VLOOKUP(A271,[3]DOORSCRIEFT!$A$2:$G$6834,2,FALSE),"")</f>
        <v>404</v>
      </c>
      <c r="D271" s="481">
        <f>IFERROR(VLOOKUP(A271,[3]DOORSCRIEFT!$A$2:$G$6834,3,FALSE),"")</f>
        <v>46103</v>
      </c>
      <c r="E271" s="480" t="str">
        <f>IFERROR(VLOOKUP(A271,[3]DOORSCRIEFT!$A$2:$G$6834,4,FALSE),"")</f>
        <v>Honor Tenaga Sekretariat bulan Februari</v>
      </c>
      <c r="F271" s="405">
        <f>IFERROR(VLOOKUP(A271,[3]DOORSCRIEFT!$A$2:$G$6834,7,FALSE),"")</f>
        <v>2000000</v>
      </c>
      <c r="G271" s="349"/>
    </row>
    <row r="272" spans="1:7" x14ac:dyDescent="0.25">
      <c r="A272" s="496" t="str">
        <f t="shared" si="8"/>
        <v>II.2.2.015</v>
      </c>
      <c r="B272" s="321">
        <v>5</v>
      </c>
      <c r="C272" s="320">
        <f>IFERROR(VLOOKUP(A272,[3]DOORSCRIEFT!$A$2:$G$6834,2,FALSE),"")</f>
        <v>451</v>
      </c>
      <c r="D272" s="481">
        <f>IFERROR(VLOOKUP(A272,[3]DOORSCRIEFT!$A$2:$G$6834,3,FALSE),"")</f>
        <v>46110</v>
      </c>
      <c r="E272" s="480" t="str">
        <f>IFERROR(VLOOKUP(A272,[3]DOORSCRIEFT!$A$2:$G$6834,4,FALSE),"")</f>
        <v>Honor Tenaga Sekretariat bulan maret</v>
      </c>
      <c r="F272" s="405">
        <f>IFERROR(VLOOKUP(A272,[3]DOORSCRIEFT!$A$2:$G$6834,7,FALSE),"")</f>
        <v>2000000</v>
      </c>
      <c r="G272" s="349"/>
    </row>
    <row r="273" spans="1:7" x14ac:dyDescent="0.25">
      <c r="A273" s="496" t="str">
        <f t="shared" si="8"/>
        <v>II.2.2.016</v>
      </c>
      <c r="B273" s="321">
        <v>6</v>
      </c>
      <c r="C273" s="320" t="str">
        <f>IFERROR(VLOOKUP(A273,[3]DOORSCRIEFT!$A$2:$G$6834,2,FALSE),"")</f>
        <v/>
      </c>
      <c r="D273" s="481" t="str">
        <f>IFERROR(VLOOKUP(A273,[3]DOORSCRIEFT!$A$2:$G$6834,3,FALSE),"")</f>
        <v/>
      </c>
      <c r="E273" s="480" t="str">
        <f>IFERROR(VLOOKUP(A273,[3]DOORSCRIEFT!$A$2:$G$6834,4,FALSE),"")</f>
        <v/>
      </c>
      <c r="F273" s="405" t="str">
        <f>IFERROR(VLOOKUP(A273,[3]DOORSCRIEFT!$A$2:$G$6834,7,FALSE),"")</f>
        <v/>
      </c>
      <c r="G273" s="349"/>
    </row>
    <row r="274" spans="1:7" x14ac:dyDescent="0.25">
      <c r="A274" s="496" t="str">
        <f t="shared" si="8"/>
        <v>II.2.2.017</v>
      </c>
      <c r="B274" s="321">
        <v>7</v>
      </c>
      <c r="C274" s="320" t="str">
        <f>IFERROR(VLOOKUP(A274,[3]DOORSCRIEFT!$A$2:$G$6834,2,FALSE),"")</f>
        <v/>
      </c>
      <c r="D274" s="481" t="str">
        <f>IFERROR(VLOOKUP(A274,[3]DOORSCRIEFT!$A$2:$G$6834,3,FALSE),"")</f>
        <v/>
      </c>
      <c r="E274" s="480" t="str">
        <f>IFERROR(VLOOKUP(A274,[3]DOORSCRIEFT!$A$2:$G$6834,4,FALSE),"")</f>
        <v/>
      </c>
      <c r="F274" s="405" t="str">
        <f>IFERROR(VLOOKUP(A274,[3]DOORSCRIEFT!$A$2:$G$6834,7,FALSE),"")</f>
        <v/>
      </c>
      <c r="G274" s="349"/>
    </row>
    <row r="275" spans="1:7" x14ac:dyDescent="0.25">
      <c r="A275" s="496" t="str">
        <f t="shared" si="8"/>
        <v>II.2.2.018</v>
      </c>
      <c r="B275" s="321">
        <v>8</v>
      </c>
      <c r="C275" s="320" t="str">
        <f>IFERROR(VLOOKUP(A275,[3]DOORSCRIEFT!$A$2:$G$6834,2,FALSE),"")</f>
        <v/>
      </c>
      <c r="D275" s="481" t="str">
        <f>IFERROR(VLOOKUP(A275,[3]DOORSCRIEFT!$A$2:$G$6834,3,FALSE),"")</f>
        <v/>
      </c>
      <c r="E275" s="480" t="str">
        <f>IFERROR(VLOOKUP(A275,[3]DOORSCRIEFT!$A$2:$G$6834,4,FALSE),"")</f>
        <v/>
      </c>
      <c r="F275" s="405" t="str">
        <f>IFERROR(VLOOKUP(A275,[3]DOORSCRIEFT!$A$2:$G$6834,7,FALSE),"")</f>
        <v/>
      </c>
      <c r="G275" s="349"/>
    </row>
    <row r="276" spans="1:7" x14ac:dyDescent="0.25">
      <c r="A276" s="496" t="str">
        <f t="shared" si="8"/>
        <v>II.2.2.019</v>
      </c>
      <c r="B276" s="321">
        <v>9</v>
      </c>
      <c r="C276" s="320" t="str">
        <f>IFERROR(VLOOKUP(A276,[3]DOORSCRIEFT!$A$2:$G$6834,2,FALSE),"")</f>
        <v/>
      </c>
      <c r="D276" s="481" t="str">
        <f>IFERROR(VLOOKUP(A276,[3]DOORSCRIEFT!$A$2:$G$6834,3,FALSE),"")</f>
        <v/>
      </c>
      <c r="E276" s="480" t="str">
        <f>IFERROR(VLOOKUP(A276,[3]DOORSCRIEFT!$A$2:$G$6834,4,FALSE),"")</f>
        <v/>
      </c>
      <c r="F276" s="405" t="str">
        <f>IFERROR(VLOOKUP(A276,[3]DOORSCRIEFT!$A$2:$G$6834,7,FALSE),"")</f>
        <v/>
      </c>
      <c r="G276" s="349"/>
    </row>
    <row r="277" spans="1:7" x14ac:dyDescent="0.25">
      <c r="A277" s="496" t="str">
        <f t="shared" si="8"/>
        <v>II.2.2.0110</v>
      </c>
      <c r="B277" s="321">
        <v>10</v>
      </c>
      <c r="C277" s="320" t="str">
        <f>IFERROR(VLOOKUP(A277,[3]DOORSCRIEFT!$A$2:$G$6834,2,FALSE),"")</f>
        <v/>
      </c>
      <c r="D277" s="481" t="str">
        <f>IFERROR(VLOOKUP(A277,[3]DOORSCRIEFT!$A$2:$G$6834,3,FALSE),"")</f>
        <v/>
      </c>
      <c r="E277" s="480" t="str">
        <f>IFERROR(VLOOKUP(A277,[3]DOORSCRIEFT!$A$2:$G$6834,4,FALSE),"")</f>
        <v/>
      </c>
      <c r="F277" s="405" t="str">
        <f>IFERROR(VLOOKUP(A277,[3]DOORSCRIEFT!$A$2:$G$6834,7,FALSE),"")</f>
        <v/>
      </c>
      <c r="G277" s="349"/>
    </row>
    <row r="278" spans="1:7" x14ac:dyDescent="0.25">
      <c r="A278" s="496" t="str">
        <f t="shared" si="8"/>
        <v>II.2.2.0111</v>
      </c>
      <c r="B278" s="321">
        <v>11</v>
      </c>
      <c r="C278" s="320" t="str">
        <f>IFERROR(VLOOKUP(A278,[3]DOORSCRIEFT!$A$2:$G$6834,2,FALSE),"")</f>
        <v/>
      </c>
      <c r="D278" s="481" t="str">
        <f>IFERROR(VLOOKUP(A278,[3]DOORSCRIEFT!$A$2:$G$6834,3,FALSE),"")</f>
        <v/>
      </c>
      <c r="E278" s="480" t="str">
        <f>IFERROR(VLOOKUP(A278,[3]DOORSCRIEFT!$A$2:$G$6834,4,FALSE),"")</f>
        <v/>
      </c>
      <c r="F278" s="405" t="str">
        <f>IFERROR(VLOOKUP(A278,[3]DOORSCRIEFT!$A$2:$G$6834,7,FALSE),"")</f>
        <v/>
      </c>
      <c r="G278" s="349"/>
    </row>
    <row r="279" spans="1:7" x14ac:dyDescent="0.25">
      <c r="A279" s="496" t="str">
        <f t="shared" si="8"/>
        <v>II.2.2.0112</v>
      </c>
      <c r="B279" s="321">
        <v>12</v>
      </c>
      <c r="C279" s="320" t="str">
        <f>IFERROR(VLOOKUP(A279,[3]DOORSCRIEFT!$A$2:$G$6834,2,FALSE),"")</f>
        <v/>
      </c>
      <c r="D279" s="481" t="str">
        <f>IFERROR(VLOOKUP(A279,[3]DOORSCRIEFT!$A$2:$G$6834,3,FALSE),"")</f>
        <v/>
      </c>
      <c r="E279" s="480" t="str">
        <f>IFERROR(VLOOKUP(A279,[3]DOORSCRIEFT!$A$2:$G$6834,4,FALSE),"")</f>
        <v/>
      </c>
      <c r="F279" s="405" t="str">
        <f>IFERROR(VLOOKUP(A279,[3]DOORSCRIEFT!$A$2:$G$6834,7,FALSE),"")</f>
        <v/>
      </c>
      <c r="G279" s="349"/>
    </row>
    <row r="280" spans="1:7" x14ac:dyDescent="0.25">
      <c r="A280" s="496" t="str">
        <f t="shared" si="8"/>
        <v>II.2.2.0113</v>
      </c>
      <c r="B280" s="321">
        <v>13</v>
      </c>
      <c r="C280" s="320" t="str">
        <f>IFERROR(VLOOKUP(A280,[3]DOORSCRIEFT!$A$2:$G$6834,2,FALSE),"")</f>
        <v/>
      </c>
      <c r="D280" s="481" t="str">
        <f>IFERROR(VLOOKUP(A280,[3]DOORSCRIEFT!$A$2:$G$6834,3,FALSE),"")</f>
        <v/>
      </c>
      <c r="E280" s="480" t="str">
        <f>IFERROR(VLOOKUP(A280,[3]DOORSCRIEFT!$A$2:$G$6834,4,FALSE),"")</f>
        <v/>
      </c>
      <c r="F280" s="405" t="str">
        <f>IFERROR(VLOOKUP(A280,[3]DOORSCRIEFT!$A$2:$G$6834,7,FALSE),"")</f>
        <v/>
      </c>
      <c r="G280" s="349"/>
    </row>
    <row r="281" spans="1:7" x14ac:dyDescent="0.25">
      <c r="A281" s="496" t="str">
        <f t="shared" si="8"/>
        <v>II.2.2.0114</v>
      </c>
      <c r="B281" s="321">
        <v>14</v>
      </c>
      <c r="C281" s="320" t="str">
        <f>IFERROR(VLOOKUP(A281,[3]DOORSCRIEFT!$A$2:$G$6834,2,FALSE),"")</f>
        <v/>
      </c>
      <c r="D281" s="481" t="str">
        <f>IFERROR(VLOOKUP(A281,[3]DOORSCRIEFT!$A$2:$G$6834,3,FALSE),"")</f>
        <v/>
      </c>
      <c r="E281" s="480" t="str">
        <f>IFERROR(VLOOKUP(A281,[3]DOORSCRIEFT!$A$2:$G$6834,4,FALSE),"")</f>
        <v/>
      </c>
      <c r="F281" s="405" t="str">
        <f>IFERROR(VLOOKUP(A281,[3]DOORSCRIEFT!$A$2:$G$6834,7,FALSE),"")</f>
        <v/>
      </c>
      <c r="G281" s="349"/>
    </row>
    <row r="282" spans="1:7" x14ac:dyDescent="0.25">
      <c r="A282" s="496" t="str">
        <f t="shared" si="8"/>
        <v>II.2.2.0115</v>
      </c>
      <c r="B282" s="321">
        <v>15</v>
      </c>
      <c r="C282" s="320" t="str">
        <f>IFERROR(VLOOKUP(A282,[3]DOORSCRIEFT!$A$2:$G$6834,2,FALSE),"")</f>
        <v/>
      </c>
      <c r="D282" s="481" t="str">
        <f>IFERROR(VLOOKUP(A282,[3]DOORSCRIEFT!$A$2:$G$6834,3,FALSE),"")</f>
        <v/>
      </c>
      <c r="E282" s="480" t="str">
        <f>IFERROR(VLOOKUP(A282,[3]DOORSCRIEFT!$A$2:$G$6834,4,FALSE),"")</f>
        <v/>
      </c>
      <c r="F282" s="405" t="str">
        <f>IFERROR(VLOOKUP(A282,[3]DOORSCRIEFT!$A$2:$G$6834,7,FALSE),"")</f>
        <v/>
      </c>
      <c r="G282" s="349"/>
    </row>
    <row r="283" spans="1:7" x14ac:dyDescent="0.25">
      <c r="A283" s="496" t="str">
        <f t="shared" si="8"/>
        <v>II.2.2.0116</v>
      </c>
      <c r="B283" s="321">
        <v>16</v>
      </c>
      <c r="C283" s="320" t="str">
        <f>IFERROR(VLOOKUP(A283,[3]DOORSCRIEFT!$A$2:$G$6834,2,FALSE),"")</f>
        <v/>
      </c>
      <c r="D283" s="481" t="str">
        <f>IFERROR(VLOOKUP(A283,[3]DOORSCRIEFT!$A$2:$G$6834,3,FALSE),"")</f>
        <v/>
      </c>
      <c r="E283" s="480" t="str">
        <f>IFERROR(VLOOKUP(A283,[3]DOORSCRIEFT!$A$2:$G$6834,4,FALSE),"")</f>
        <v/>
      </c>
      <c r="F283" s="405" t="str">
        <f>IFERROR(VLOOKUP(A283,[3]DOORSCRIEFT!$A$2:$G$6834,7,FALSE),"")</f>
        <v/>
      </c>
      <c r="G283" s="349"/>
    </row>
    <row r="284" spans="1:7" x14ac:dyDescent="0.25">
      <c r="A284" s="496" t="str">
        <f t="shared" si="8"/>
        <v>II.2.2.0117</v>
      </c>
      <c r="B284" s="321">
        <v>17</v>
      </c>
      <c r="C284" s="320" t="str">
        <f>IFERROR(VLOOKUP(A284,[3]DOORSCRIEFT!$A$2:$G$6834,2,FALSE),"")</f>
        <v/>
      </c>
      <c r="D284" s="481" t="str">
        <f>IFERROR(VLOOKUP(A284,[3]DOORSCRIEFT!$A$2:$G$6834,3,FALSE),"")</f>
        <v/>
      </c>
      <c r="E284" s="480" t="str">
        <f>IFERROR(VLOOKUP(A284,[3]DOORSCRIEFT!$A$2:$G$6834,4,FALSE),"")</f>
        <v/>
      </c>
      <c r="F284" s="405" t="str">
        <f>IFERROR(VLOOKUP(A284,[3]DOORSCRIEFT!$A$2:$G$6834,7,FALSE),"")</f>
        <v/>
      </c>
      <c r="G284" s="349"/>
    </row>
    <row r="285" spans="1:7" x14ac:dyDescent="0.25">
      <c r="A285" s="496" t="str">
        <f t="shared" si="8"/>
        <v>II.2.2.0118</v>
      </c>
      <c r="B285" s="321">
        <v>18</v>
      </c>
      <c r="C285" s="320" t="str">
        <f>IFERROR(VLOOKUP(A285,[3]DOORSCRIEFT!$A$2:$G$6834,2,FALSE),"")</f>
        <v/>
      </c>
      <c r="D285" s="481" t="str">
        <f>IFERROR(VLOOKUP(A285,[3]DOORSCRIEFT!$A$2:$G$6834,3,FALSE),"")</f>
        <v/>
      </c>
      <c r="E285" s="480" t="str">
        <f>IFERROR(VLOOKUP(A285,[3]DOORSCRIEFT!$A$2:$G$6834,4,FALSE),"")</f>
        <v/>
      </c>
      <c r="F285" s="405" t="str">
        <f>IFERROR(VLOOKUP(A285,[3]DOORSCRIEFT!$A$2:$G$6834,7,FALSE),"")</f>
        <v/>
      </c>
      <c r="G285" s="349"/>
    </row>
    <row r="286" spans="1:7" x14ac:dyDescent="0.25">
      <c r="A286" s="496" t="str">
        <f t="shared" si="8"/>
        <v>II.2.2.0119</v>
      </c>
      <c r="B286" s="321">
        <v>19</v>
      </c>
      <c r="C286" s="320" t="str">
        <f>IFERROR(VLOOKUP(A286,[3]DOORSCRIEFT!$A$2:$G$6834,2,FALSE),"")</f>
        <v/>
      </c>
      <c r="D286" s="481" t="str">
        <f>IFERROR(VLOOKUP(A286,[3]DOORSCRIEFT!$A$2:$G$6834,3,FALSE),"")</f>
        <v/>
      </c>
      <c r="E286" s="480" t="str">
        <f>IFERROR(VLOOKUP(A286,[3]DOORSCRIEFT!$A$2:$G$6834,4,FALSE),"")</f>
        <v/>
      </c>
      <c r="F286" s="405" t="str">
        <f>IFERROR(VLOOKUP(A286,[3]DOORSCRIEFT!$A$2:$G$6834,7,FALSE),"")</f>
        <v/>
      </c>
      <c r="G286" s="349"/>
    </row>
    <row r="287" spans="1:7" x14ac:dyDescent="0.25">
      <c r="A287" s="496" t="str">
        <f t="shared" si="8"/>
        <v>II.2.2.0120</v>
      </c>
      <c r="B287" s="321">
        <v>20</v>
      </c>
      <c r="C287" s="320" t="str">
        <f>IFERROR(VLOOKUP(A287,[3]DOORSCRIEFT!$A$2:$G$6834,2,FALSE),"")</f>
        <v/>
      </c>
      <c r="D287" s="481" t="str">
        <f>IFERROR(VLOOKUP(A287,[3]DOORSCRIEFT!$A$2:$G$6834,3,FALSE),"")</f>
        <v/>
      </c>
      <c r="E287" s="480" t="str">
        <f>IFERROR(VLOOKUP(A287,[3]DOORSCRIEFT!$A$2:$G$6834,4,FALSE),"")</f>
        <v/>
      </c>
      <c r="F287" s="405" t="str">
        <f>IFERROR(VLOOKUP(A287,[3]DOORSCRIEFT!$A$2:$G$6834,7,FALSE),"")</f>
        <v/>
      </c>
      <c r="G287" s="349"/>
    </row>
    <row r="288" spans="1:7" x14ac:dyDescent="0.25">
      <c r="A288" s="496" t="str">
        <f t="shared" si="8"/>
        <v>II.2.2.0121</v>
      </c>
      <c r="B288" s="321">
        <v>21</v>
      </c>
      <c r="C288" s="320" t="str">
        <f>IFERROR(VLOOKUP(A288,[3]DOORSCRIEFT!$A$2:$G$6834,2,FALSE),"")</f>
        <v/>
      </c>
      <c r="D288" s="481" t="str">
        <f>IFERROR(VLOOKUP(A288,[3]DOORSCRIEFT!$A$2:$G$6834,3,FALSE),"")</f>
        <v/>
      </c>
      <c r="E288" s="480" t="str">
        <f>IFERROR(VLOOKUP(A288,[3]DOORSCRIEFT!$A$2:$G$6834,4,FALSE),"")</f>
        <v/>
      </c>
      <c r="F288" s="405" t="str">
        <f>IFERROR(VLOOKUP(A288,[3]DOORSCRIEFT!$A$2:$G$6834,7,FALSE),"")</f>
        <v/>
      </c>
      <c r="G288" s="349"/>
    </row>
    <row r="289" spans="1:7" x14ac:dyDescent="0.25">
      <c r="A289" s="496" t="str">
        <f t="shared" si="8"/>
        <v>II.2.2.0122</v>
      </c>
      <c r="B289" s="321">
        <v>22</v>
      </c>
      <c r="C289" s="320" t="str">
        <f>IFERROR(VLOOKUP(A289,[3]DOORSCRIEFT!$A$2:$G$6834,2,FALSE),"")</f>
        <v/>
      </c>
      <c r="D289" s="481" t="str">
        <f>IFERROR(VLOOKUP(A289,[3]DOORSCRIEFT!$A$2:$G$6834,3,FALSE),"")</f>
        <v/>
      </c>
      <c r="E289" s="480" t="str">
        <f>IFERROR(VLOOKUP(A289,[3]DOORSCRIEFT!$A$2:$G$6834,4,FALSE),"")</f>
        <v/>
      </c>
      <c r="F289" s="405" t="str">
        <f>IFERROR(VLOOKUP(A289,[3]DOORSCRIEFT!$A$2:$G$6834,7,FALSE),"")</f>
        <v/>
      </c>
      <c r="G289" s="349"/>
    </row>
    <row r="290" spans="1:7" x14ac:dyDescent="0.25">
      <c r="A290" s="496" t="str">
        <f t="shared" si="8"/>
        <v>II.2.2.0123</v>
      </c>
      <c r="B290" s="321">
        <v>23</v>
      </c>
      <c r="C290" s="320" t="str">
        <f>IFERROR(VLOOKUP(A290,[3]DOORSCRIEFT!$A$2:$G$6834,2,FALSE),"")</f>
        <v/>
      </c>
      <c r="D290" s="481" t="str">
        <f>IFERROR(VLOOKUP(A290,[3]DOORSCRIEFT!$A$2:$G$6834,3,FALSE),"")</f>
        <v/>
      </c>
      <c r="E290" s="480" t="str">
        <f>IFERROR(VLOOKUP(A290,[3]DOORSCRIEFT!$A$2:$G$6834,4,FALSE),"")</f>
        <v/>
      </c>
      <c r="F290" s="405" t="str">
        <f>IFERROR(VLOOKUP(A290,[3]DOORSCRIEFT!$A$2:$G$6834,7,FALSE),"")</f>
        <v/>
      </c>
      <c r="G290" s="349"/>
    </row>
    <row r="291" spans="1:7" ht="15.75" thickBot="1" x14ac:dyDescent="0.3">
      <c r="A291" s="503" t="str">
        <f t="shared" si="8"/>
        <v>II.2.2.0124</v>
      </c>
      <c r="B291" s="342">
        <v>24</v>
      </c>
      <c r="C291" s="320" t="str">
        <f>IFERROR(VLOOKUP(A291,[3]DOORSCRIEFT!$A$2:$G$6834,2,FALSE),"")</f>
        <v/>
      </c>
      <c r="D291" s="481" t="str">
        <f>IFERROR(VLOOKUP(A291,[3]DOORSCRIEFT!$A$2:$G$6834,3,FALSE),"")</f>
        <v/>
      </c>
      <c r="E291" s="480" t="str">
        <f>IFERROR(VLOOKUP(A291,[3]DOORSCRIEFT!$A$2:$G$6834,4,FALSE),"")</f>
        <v/>
      </c>
      <c r="F291" s="405" t="str">
        <f>IFERROR(VLOOKUP(A291,[3]DOORSCRIEFT!$A$2:$G$6834,7,FALSE),"")</f>
        <v/>
      </c>
      <c r="G291" s="315"/>
    </row>
    <row r="292" spans="1:7" ht="15.75" thickBot="1" x14ac:dyDescent="0.3">
      <c r="A292" s="341"/>
      <c r="B292" s="340"/>
      <c r="C292" s="336"/>
      <c r="D292" s="486"/>
      <c r="E292" s="340" t="s">
        <v>644</v>
      </c>
      <c r="F292" s="310">
        <f>SUM(F268:F291)</f>
        <v>10700000</v>
      </c>
      <c r="G292" s="309">
        <f>SUM(G269:G291)</f>
        <v>0</v>
      </c>
    </row>
    <row r="293" spans="1:7" x14ac:dyDescent="0.25">
      <c r="C293" s="335"/>
      <c r="D293" s="485"/>
    </row>
    <row r="294" spans="1:7" x14ac:dyDescent="0.25">
      <c r="C294" s="335"/>
      <c r="D294" s="485"/>
    </row>
    <row r="295" spans="1:7" ht="15.75" x14ac:dyDescent="0.25">
      <c r="C295" s="334" t="s">
        <v>663</v>
      </c>
      <c r="D295" s="484"/>
      <c r="E295" s="333"/>
      <c r="F295" s="327" t="s">
        <v>607</v>
      </c>
      <c r="G295" s="327" t="s">
        <v>255</v>
      </c>
    </row>
    <row r="296" spans="1:7" ht="15.75" x14ac:dyDescent="0.25">
      <c r="C296" s="334"/>
      <c r="D296" s="484"/>
      <c r="E296" s="333"/>
      <c r="F296" s="327" t="s">
        <v>601</v>
      </c>
      <c r="G296" s="327" t="s">
        <v>254</v>
      </c>
    </row>
    <row r="297" spans="1:7" x14ac:dyDescent="0.25">
      <c r="C297" s="330"/>
      <c r="D297" s="482"/>
      <c r="E297" s="329"/>
      <c r="F297" s="327" t="s">
        <v>651</v>
      </c>
      <c r="G297" s="331">
        <f>[2]Sheet1!$D$233</f>
        <v>2000000</v>
      </c>
    </row>
    <row r="298" spans="1:7" ht="15.75" thickBot="1" x14ac:dyDescent="0.3">
      <c r="C298" s="330"/>
      <c r="D298" s="482"/>
      <c r="E298" s="329"/>
      <c r="F298" s="327" t="s">
        <v>650</v>
      </c>
      <c r="G298" s="326">
        <f>+F329-G297</f>
        <v>-1050000</v>
      </c>
    </row>
    <row r="299" spans="1:7" x14ac:dyDescent="0.25">
      <c r="A299" s="571" t="s">
        <v>655</v>
      </c>
      <c r="B299" s="573" t="s">
        <v>606</v>
      </c>
      <c r="C299" s="588" t="s">
        <v>649</v>
      </c>
      <c r="D299" s="599" t="s">
        <v>648</v>
      </c>
      <c r="E299" s="577" t="s">
        <v>647</v>
      </c>
      <c r="F299" s="577" t="s">
        <v>646</v>
      </c>
      <c r="G299" s="580" t="s">
        <v>645</v>
      </c>
    </row>
    <row r="300" spans="1:7" ht="15.75" thickBot="1" x14ac:dyDescent="0.3">
      <c r="A300" s="572"/>
      <c r="B300" s="574"/>
      <c r="C300" s="589"/>
      <c r="D300" s="600"/>
      <c r="E300" s="578"/>
      <c r="F300" s="578"/>
      <c r="G300" s="581"/>
    </row>
    <row r="301" spans="1:7" ht="15.75" thickBot="1" x14ac:dyDescent="0.3">
      <c r="A301" s="425">
        <v>1</v>
      </c>
      <c r="B301" s="425">
        <v>2</v>
      </c>
      <c r="C301" s="425">
        <v>3</v>
      </c>
      <c r="D301" s="425">
        <v>4</v>
      </c>
      <c r="E301" s="425">
        <v>5</v>
      </c>
      <c r="F301" s="425">
        <v>6</v>
      </c>
      <c r="G301" s="425">
        <v>7</v>
      </c>
    </row>
    <row r="302" spans="1:7" x14ac:dyDescent="0.25">
      <c r="A302" s="320" t="str">
        <f t="shared" ref="A302:A328" si="9">$G$295&amp;B302</f>
        <v>II.2.2.021</v>
      </c>
      <c r="B302" s="320">
        <v>1</v>
      </c>
      <c r="C302" s="320">
        <f>IFERROR(VLOOKUP(A302,[3]DOORSCRIEFT!$A$2:$G$6834,2,FALSE),"")</f>
        <v>46</v>
      </c>
      <c r="D302" s="481">
        <f>IFERROR(VLOOKUP(A302,[3]DOORSCRIEFT!$A$2:$G$6834,3,FALSE),"")</f>
        <v>46033</v>
      </c>
      <c r="E302" s="480" t="str">
        <f>IFERROR(VLOOKUP(A302,[3]DOORSCRIEFT!$A$2:$G$6834,4,FALSE),"")</f>
        <v>Biaya Lembur Kerja Keuangan 2x</v>
      </c>
      <c r="F302" s="405">
        <f>IFERROR(VLOOKUP(A302,[3]DOORSCRIEFT!$A$2:$G$6834,7,FALSE),"")</f>
        <v>200000</v>
      </c>
      <c r="G302" s="322"/>
    </row>
    <row r="303" spans="1:7" x14ac:dyDescent="0.25">
      <c r="A303" s="321" t="str">
        <f t="shared" si="9"/>
        <v>II.2.2.022</v>
      </c>
      <c r="B303" s="321">
        <v>2</v>
      </c>
      <c r="C303" s="320">
        <f>IFERROR(VLOOKUP(A303,[3]DOORSCRIEFT!$A$2:$G$6834,2,FALSE),"")</f>
        <v>118</v>
      </c>
      <c r="D303" s="481">
        <f>IFERROR(VLOOKUP(A303,[3]DOORSCRIEFT!$A$2:$G$6834,3,FALSE),"")</f>
        <v>46047</v>
      </c>
      <c r="E303" s="480" t="str">
        <f>IFERROR(VLOOKUP(A303,[3]DOORSCRIEFT!$A$2:$G$6834,4,FALSE),"")</f>
        <v>Biaya Lembur Kerja Keuangan (susun anggaran 2026)</v>
      </c>
      <c r="F303" s="405">
        <f>IFERROR(VLOOKUP(A303,[3]DOORSCRIEFT!$A$2:$G$6834,7,FALSE),"")</f>
        <v>250000</v>
      </c>
      <c r="G303" s="315"/>
    </row>
    <row r="304" spans="1:7" x14ac:dyDescent="0.25">
      <c r="A304" s="321" t="str">
        <f t="shared" si="9"/>
        <v>II.2.2.023</v>
      </c>
      <c r="B304" s="321">
        <v>3</v>
      </c>
      <c r="C304" s="320">
        <f>IFERROR(VLOOKUP(A304,[3]DOORSCRIEFT!$A$2:$G$6834,2,FALSE),"")</f>
        <v>184</v>
      </c>
      <c r="D304" s="481">
        <f>IFERROR(VLOOKUP(A304,[3]DOORSCRIEFT!$A$2:$G$6834,3,FALSE),"")</f>
        <v>46061</v>
      </c>
      <c r="E304" s="480" t="str">
        <f>IFERROR(VLOOKUP(A304,[3]DOORSCRIEFT!$A$2:$G$6834,4,FALSE),"")</f>
        <v>Biaya Lembur 2 hari untuk pembahasan pandangan umum dan keuangan</v>
      </c>
      <c r="F304" s="405">
        <f>IFERROR(VLOOKUP(A304,[3]DOORSCRIEFT!$A$2:$G$6834,7,FALSE),"")</f>
        <v>500000</v>
      </c>
      <c r="G304" s="315"/>
    </row>
    <row r="305" spans="1:7" x14ac:dyDescent="0.25">
      <c r="A305" s="321" t="str">
        <f t="shared" si="9"/>
        <v>II.2.2.024</v>
      </c>
      <c r="B305" s="321">
        <v>4</v>
      </c>
      <c r="C305" s="320" t="str">
        <f>IFERROR(VLOOKUP(A305,[3]DOORSCRIEFT!$A$2:$G$6834,2,FALSE),"")</f>
        <v/>
      </c>
      <c r="D305" s="481" t="str">
        <f>IFERROR(VLOOKUP(A305,[3]DOORSCRIEFT!$A$2:$G$6834,3,FALSE),"")</f>
        <v/>
      </c>
      <c r="E305" s="480" t="str">
        <f>IFERROR(VLOOKUP(A305,[3]DOORSCRIEFT!$A$2:$G$6834,4,FALSE),"")</f>
        <v/>
      </c>
      <c r="F305" s="405" t="str">
        <f>IFERROR(VLOOKUP(A305,[3]DOORSCRIEFT!$A$2:$G$6834,7,FALSE),"")</f>
        <v/>
      </c>
      <c r="G305" s="315"/>
    </row>
    <row r="306" spans="1:7" x14ac:dyDescent="0.25">
      <c r="A306" s="321" t="str">
        <f t="shared" si="9"/>
        <v>II.2.2.025</v>
      </c>
      <c r="B306" s="321">
        <v>5</v>
      </c>
      <c r="C306" s="320" t="str">
        <f>IFERROR(VLOOKUP(A306,[3]DOORSCRIEFT!$A$2:$G$6834,2,FALSE),"")</f>
        <v/>
      </c>
      <c r="D306" s="481" t="str">
        <f>IFERROR(VLOOKUP(A306,[3]DOORSCRIEFT!$A$2:$G$6834,3,FALSE),"")</f>
        <v/>
      </c>
      <c r="E306" s="480" t="str">
        <f>IFERROR(VLOOKUP(A306,[3]DOORSCRIEFT!$A$2:$G$6834,4,FALSE),"")</f>
        <v/>
      </c>
      <c r="F306" s="405" t="str">
        <f>IFERROR(VLOOKUP(A306,[3]DOORSCRIEFT!$A$2:$G$6834,7,FALSE),"")</f>
        <v/>
      </c>
      <c r="G306" s="315"/>
    </row>
    <row r="307" spans="1:7" x14ac:dyDescent="0.25">
      <c r="A307" s="321" t="str">
        <f t="shared" si="9"/>
        <v>II.2.2.026</v>
      </c>
      <c r="B307" s="321">
        <v>6</v>
      </c>
      <c r="C307" s="320" t="str">
        <f>IFERROR(VLOOKUP(A307,[3]DOORSCRIEFT!$A$2:$G$6834,2,FALSE),"")</f>
        <v/>
      </c>
      <c r="D307" s="481" t="str">
        <f>IFERROR(VLOOKUP(A307,[3]DOORSCRIEFT!$A$2:$G$6834,3,FALSE),"")</f>
        <v/>
      </c>
      <c r="E307" s="480" t="str">
        <f>IFERROR(VLOOKUP(A307,[3]DOORSCRIEFT!$A$2:$G$6834,4,FALSE),"")</f>
        <v/>
      </c>
      <c r="F307" s="405" t="str">
        <f>IFERROR(VLOOKUP(A307,[3]DOORSCRIEFT!$A$2:$G$6834,7,FALSE),"")</f>
        <v/>
      </c>
      <c r="G307" s="315"/>
    </row>
    <row r="308" spans="1:7" x14ac:dyDescent="0.25">
      <c r="A308" s="321" t="str">
        <f t="shared" si="9"/>
        <v>II.2.2.027</v>
      </c>
      <c r="B308" s="321">
        <v>7</v>
      </c>
      <c r="C308" s="320" t="str">
        <f>IFERROR(VLOOKUP(A308,[3]DOORSCRIEFT!$A$2:$G$6834,2,FALSE),"")</f>
        <v/>
      </c>
      <c r="D308" s="481" t="str">
        <f>IFERROR(VLOOKUP(A308,[3]DOORSCRIEFT!$A$2:$G$6834,3,FALSE),"")</f>
        <v/>
      </c>
      <c r="E308" s="480" t="str">
        <f>IFERROR(VLOOKUP(A308,[3]DOORSCRIEFT!$A$2:$G$6834,4,FALSE),"")</f>
        <v/>
      </c>
      <c r="F308" s="405" t="str">
        <f>IFERROR(VLOOKUP(A308,[3]DOORSCRIEFT!$A$2:$G$6834,7,FALSE),"")</f>
        <v/>
      </c>
      <c r="G308" s="315"/>
    </row>
    <row r="309" spans="1:7" x14ac:dyDescent="0.25">
      <c r="A309" s="321" t="str">
        <f t="shared" si="9"/>
        <v>II.2.2.028</v>
      </c>
      <c r="B309" s="321">
        <v>8</v>
      </c>
      <c r="C309" s="320" t="str">
        <f>IFERROR(VLOOKUP(A309,[3]DOORSCRIEFT!$A$2:$G$6834,2,FALSE),"")</f>
        <v/>
      </c>
      <c r="D309" s="481" t="str">
        <f>IFERROR(VLOOKUP(A309,[3]DOORSCRIEFT!$A$2:$G$6834,3,FALSE),"")</f>
        <v/>
      </c>
      <c r="E309" s="480" t="str">
        <f>IFERROR(VLOOKUP(A309,[3]DOORSCRIEFT!$A$2:$G$6834,4,FALSE),"")</f>
        <v/>
      </c>
      <c r="F309" s="405" t="str">
        <f>IFERROR(VLOOKUP(A309,[3]DOORSCRIEFT!$A$2:$G$6834,7,FALSE),"")</f>
        <v/>
      </c>
      <c r="G309" s="315"/>
    </row>
    <row r="310" spans="1:7" x14ac:dyDescent="0.25">
      <c r="A310" s="321" t="str">
        <f t="shared" si="9"/>
        <v>II.2.2.029</v>
      </c>
      <c r="B310" s="321">
        <v>9</v>
      </c>
      <c r="C310" s="320" t="str">
        <f>IFERROR(VLOOKUP(A310,[3]DOORSCRIEFT!$A$2:$G$6834,2,FALSE),"")</f>
        <v/>
      </c>
      <c r="D310" s="481" t="str">
        <f>IFERROR(VLOOKUP(A310,[3]DOORSCRIEFT!$A$2:$G$6834,3,FALSE),"")</f>
        <v/>
      </c>
      <c r="E310" s="480" t="str">
        <f>IFERROR(VLOOKUP(A310,[3]DOORSCRIEFT!$A$2:$G$6834,4,FALSE),"")</f>
        <v/>
      </c>
      <c r="F310" s="405" t="str">
        <f>IFERROR(VLOOKUP(A310,[3]DOORSCRIEFT!$A$2:$G$6834,7,FALSE),"")</f>
        <v/>
      </c>
      <c r="G310" s="315"/>
    </row>
    <row r="311" spans="1:7" x14ac:dyDescent="0.25">
      <c r="A311" s="321" t="str">
        <f t="shared" si="9"/>
        <v>II.2.2.0210</v>
      </c>
      <c r="B311" s="321">
        <v>10</v>
      </c>
      <c r="C311" s="320" t="str">
        <f>IFERROR(VLOOKUP(A311,[3]DOORSCRIEFT!$A$2:$G$6834,2,FALSE),"")</f>
        <v/>
      </c>
      <c r="D311" s="481" t="str">
        <f>IFERROR(VLOOKUP(A311,[3]DOORSCRIEFT!$A$2:$G$6834,3,FALSE),"")</f>
        <v/>
      </c>
      <c r="E311" s="480" t="str">
        <f>IFERROR(VLOOKUP(A311,[3]DOORSCRIEFT!$A$2:$G$6834,4,FALSE),"")</f>
        <v/>
      </c>
      <c r="F311" s="405" t="str">
        <f>IFERROR(VLOOKUP(A311,[3]DOORSCRIEFT!$A$2:$G$6834,7,FALSE),"")</f>
        <v/>
      </c>
      <c r="G311" s="315"/>
    </row>
    <row r="312" spans="1:7" x14ac:dyDescent="0.25">
      <c r="A312" s="321" t="str">
        <f t="shared" si="9"/>
        <v>II.2.2.0211</v>
      </c>
      <c r="B312" s="321">
        <v>11</v>
      </c>
      <c r="C312" s="320" t="str">
        <f>IFERROR(VLOOKUP(A312,[3]DOORSCRIEFT!$A$2:$G$6834,2,FALSE),"")</f>
        <v/>
      </c>
      <c r="D312" s="481" t="str">
        <f>IFERROR(VLOOKUP(A312,[3]DOORSCRIEFT!$A$2:$G$6834,3,FALSE),"")</f>
        <v/>
      </c>
      <c r="E312" s="480" t="str">
        <f>IFERROR(VLOOKUP(A312,[3]DOORSCRIEFT!$A$2:$G$6834,4,FALSE),"")</f>
        <v/>
      </c>
      <c r="F312" s="405" t="str">
        <f>IFERROR(VLOOKUP(A312,[3]DOORSCRIEFT!$A$2:$G$6834,7,FALSE),"")</f>
        <v/>
      </c>
      <c r="G312" s="315"/>
    </row>
    <row r="313" spans="1:7" x14ac:dyDescent="0.25">
      <c r="A313" s="321" t="str">
        <f t="shared" si="9"/>
        <v>II.2.2.0212</v>
      </c>
      <c r="B313" s="321">
        <v>12</v>
      </c>
      <c r="C313" s="320" t="str">
        <f>IFERROR(VLOOKUP(A313,[3]DOORSCRIEFT!$A$2:$G$6834,2,FALSE),"")</f>
        <v/>
      </c>
      <c r="D313" s="481" t="str">
        <f>IFERROR(VLOOKUP(A313,[3]DOORSCRIEFT!$A$2:$G$6834,3,FALSE),"")</f>
        <v/>
      </c>
      <c r="E313" s="480" t="str">
        <f>IFERROR(VLOOKUP(A313,[3]DOORSCRIEFT!$A$2:$G$6834,4,FALSE),"")</f>
        <v/>
      </c>
      <c r="F313" s="405" t="str">
        <f>IFERROR(VLOOKUP(A313,[3]DOORSCRIEFT!$A$2:$G$6834,7,FALSE),"")</f>
        <v/>
      </c>
      <c r="G313" s="315"/>
    </row>
    <row r="314" spans="1:7" x14ac:dyDescent="0.25">
      <c r="A314" s="321" t="str">
        <f t="shared" si="9"/>
        <v>II.2.2.0213</v>
      </c>
      <c r="B314" s="321">
        <v>13</v>
      </c>
      <c r="C314" s="320" t="str">
        <f>IFERROR(VLOOKUP(A314,[3]DOORSCRIEFT!$A$2:$G$6834,2,FALSE),"")</f>
        <v/>
      </c>
      <c r="D314" s="481" t="str">
        <f>IFERROR(VLOOKUP(A314,[3]DOORSCRIEFT!$A$2:$G$6834,3,FALSE),"")</f>
        <v/>
      </c>
      <c r="E314" s="480" t="str">
        <f>IFERROR(VLOOKUP(A314,[3]DOORSCRIEFT!$A$2:$G$6834,4,FALSE),"")</f>
        <v/>
      </c>
      <c r="F314" s="405" t="str">
        <f>IFERROR(VLOOKUP(A314,[3]DOORSCRIEFT!$A$2:$G$6834,7,FALSE),"")</f>
        <v/>
      </c>
      <c r="G314" s="315"/>
    </row>
    <row r="315" spans="1:7" x14ac:dyDescent="0.25">
      <c r="A315" s="321" t="str">
        <f t="shared" si="9"/>
        <v>II.2.2.0214</v>
      </c>
      <c r="B315" s="321">
        <v>14</v>
      </c>
      <c r="C315" s="320" t="str">
        <f>IFERROR(VLOOKUP(A315,[3]DOORSCRIEFT!$A$2:$G$6834,2,FALSE),"")</f>
        <v/>
      </c>
      <c r="D315" s="481" t="str">
        <f>IFERROR(VLOOKUP(A315,[3]DOORSCRIEFT!$A$2:$G$6834,3,FALSE),"")</f>
        <v/>
      </c>
      <c r="E315" s="480" t="str">
        <f>IFERROR(VLOOKUP(A315,[3]DOORSCRIEFT!$A$2:$G$6834,4,FALSE),"")</f>
        <v/>
      </c>
      <c r="F315" s="405" t="str">
        <f>IFERROR(VLOOKUP(A315,[3]DOORSCRIEFT!$A$2:$G$6834,7,FALSE),"")</f>
        <v/>
      </c>
      <c r="G315" s="315"/>
    </row>
    <row r="316" spans="1:7" x14ac:dyDescent="0.25">
      <c r="A316" s="321" t="str">
        <f t="shared" si="9"/>
        <v>II.2.2.0215</v>
      </c>
      <c r="B316" s="321">
        <v>15</v>
      </c>
      <c r="C316" s="320" t="str">
        <f>IFERROR(VLOOKUP(A316,[3]DOORSCRIEFT!$A$2:$G$6834,2,FALSE),"")</f>
        <v/>
      </c>
      <c r="D316" s="481" t="str">
        <f>IFERROR(VLOOKUP(A316,[3]DOORSCRIEFT!$A$2:$G$6834,3,FALSE),"")</f>
        <v/>
      </c>
      <c r="E316" s="480" t="str">
        <f>IFERROR(VLOOKUP(A316,[3]DOORSCRIEFT!$A$2:$G$6834,4,FALSE),"")</f>
        <v/>
      </c>
      <c r="F316" s="405" t="str">
        <f>IFERROR(VLOOKUP(A316,[3]DOORSCRIEFT!$A$2:$G$6834,7,FALSE),"")</f>
        <v/>
      </c>
      <c r="G316" s="315"/>
    </row>
    <row r="317" spans="1:7" x14ac:dyDescent="0.25">
      <c r="A317" s="321" t="str">
        <f t="shared" si="9"/>
        <v>II.2.2.0216</v>
      </c>
      <c r="B317" s="321">
        <v>16</v>
      </c>
      <c r="C317" s="320" t="str">
        <f>IFERROR(VLOOKUP(A317,[3]DOORSCRIEFT!$A$2:$G$6834,2,FALSE),"")</f>
        <v/>
      </c>
      <c r="D317" s="481" t="str">
        <f>IFERROR(VLOOKUP(A317,[3]DOORSCRIEFT!$A$2:$G$6834,3,FALSE),"")</f>
        <v/>
      </c>
      <c r="E317" s="480" t="str">
        <f>IFERROR(VLOOKUP(A317,[3]DOORSCRIEFT!$A$2:$G$6834,4,FALSE),"")</f>
        <v/>
      </c>
      <c r="F317" s="405" t="str">
        <f>IFERROR(VLOOKUP(A317,[3]DOORSCRIEFT!$A$2:$G$6834,7,FALSE),"")</f>
        <v/>
      </c>
      <c r="G317" s="315"/>
    </row>
    <row r="318" spans="1:7" x14ac:dyDescent="0.25">
      <c r="A318" s="321" t="str">
        <f t="shared" si="9"/>
        <v>II.2.2.0217</v>
      </c>
      <c r="B318" s="321">
        <v>17</v>
      </c>
      <c r="C318" s="320" t="str">
        <f>IFERROR(VLOOKUP(A318,[3]DOORSCRIEFT!$A$2:$G$6834,2,FALSE),"")</f>
        <v/>
      </c>
      <c r="D318" s="481" t="str">
        <f>IFERROR(VLOOKUP(A318,[3]DOORSCRIEFT!$A$2:$G$6834,3,FALSE),"")</f>
        <v/>
      </c>
      <c r="E318" s="480" t="str">
        <f>IFERROR(VLOOKUP(A318,[3]DOORSCRIEFT!$A$2:$G$6834,4,FALSE),"")</f>
        <v/>
      </c>
      <c r="F318" s="405" t="str">
        <f>IFERROR(VLOOKUP(A318,[3]DOORSCRIEFT!$A$2:$G$6834,7,FALSE),"")</f>
        <v/>
      </c>
      <c r="G318" s="315"/>
    </row>
    <row r="319" spans="1:7" x14ac:dyDescent="0.25">
      <c r="A319" s="321" t="str">
        <f t="shared" si="9"/>
        <v>II.2.2.0218</v>
      </c>
      <c r="B319" s="321">
        <v>18</v>
      </c>
      <c r="C319" s="320" t="str">
        <f>IFERROR(VLOOKUP(A319,[3]DOORSCRIEFT!$A$2:$G$6834,2,FALSE),"")</f>
        <v/>
      </c>
      <c r="D319" s="481" t="str">
        <f>IFERROR(VLOOKUP(A319,[3]DOORSCRIEFT!$A$2:$G$6834,3,FALSE),"")</f>
        <v/>
      </c>
      <c r="E319" s="480" t="str">
        <f>IFERROR(VLOOKUP(A319,[3]DOORSCRIEFT!$A$2:$G$6834,4,FALSE),"")</f>
        <v/>
      </c>
      <c r="F319" s="405" t="str">
        <f>IFERROR(VLOOKUP(A319,[3]DOORSCRIEFT!$A$2:$G$6834,7,FALSE),"")</f>
        <v/>
      </c>
      <c r="G319" s="315"/>
    </row>
    <row r="320" spans="1:7" x14ac:dyDescent="0.25">
      <c r="A320" s="321" t="str">
        <f t="shared" si="9"/>
        <v>II.2.2.0219</v>
      </c>
      <c r="B320" s="321">
        <v>19</v>
      </c>
      <c r="C320" s="320" t="str">
        <f>IFERROR(VLOOKUP(A320,[3]DOORSCRIEFT!$A$2:$G$6834,2,FALSE),"")</f>
        <v/>
      </c>
      <c r="D320" s="481" t="str">
        <f>IFERROR(VLOOKUP(A320,[3]DOORSCRIEFT!$A$2:$G$6834,3,FALSE),"")</f>
        <v/>
      </c>
      <c r="E320" s="480" t="str">
        <f>IFERROR(VLOOKUP(A320,[3]DOORSCRIEFT!$A$2:$G$6834,4,FALSE),"")</f>
        <v/>
      </c>
      <c r="F320" s="405" t="str">
        <f>IFERROR(VLOOKUP(A320,[3]DOORSCRIEFT!$A$2:$G$6834,7,FALSE),"")</f>
        <v/>
      </c>
      <c r="G320" s="315"/>
    </row>
    <row r="321" spans="1:7" x14ac:dyDescent="0.25">
      <c r="A321" s="321" t="str">
        <f t="shared" si="9"/>
        <v>II.2.2.0220</v>
      </c>
      <c r="B321" s="321">
        <v>20</v>
      </c>
      <c r="C321" s="320" t="str">
        <f>IFERROR(VLOOKUP(A321,[3]DOORSCRIEFT!$A$2:$G$6834,2,FALSE),"")</f>
        <v/>
      </c>
      <c r="D321" s="481" t="str">
        <f>IFERROR(VLOOKUP(A321,[3]DOORSCRIEFT!$A$2:$G$6834,3,FALSE),"")</f>
        <v/>
      </c>
      <c r="E321" s="480" t="str">
        <f>IFERROR(VLOOKUP(A321,[3]DOORSCRIEFT!$A$2:$G$6834,4,FALSE),"")</f>
        <v/>
      </c>
      <c r="F321" s="405" t="str">
        <f>IFERROR(VLOOKUP(A321,[3]DOORSCRIEFT!$A$2:$G$6834,7,FALSE),"")</f>
        <v/>
      </c>
      <c r="G321" s="315"/>
    </row>
    <row r="322" spans="1:7" x14ac:dyDescent="0.25">
      <c r="A322" s="321" t="str">
        <f t="shared" si="9"/>
        <v>II.2.2.0221</v>
      </c>
      <c r="B322" s="321">
        <v>21</v>
      </c>
      <c r="C322" s="320" t="str">
        <f>IFERROR(VLOOKUP(A322,[3]DOORSCRIEFT!$A$2:$G$6834,2,FALSE),"")</f>
        <v/>
      </c>
      <c r="D322" s="481" t="str">
        <f>IFERROR(VLOOKUP(A322,[3]DOORSCRIEFT!$A$2:$G$6834,3,FALSE),"")</f>
        <v/>
      </c>
      <c r="E322" s="480" t="str">
        <f>IFERROR(VLOOKUP(A322,[3]DOORSCRIEFT!$A$2:$G$6834,4,FALSE),"")</f>
        <v/>
      </c>
      <c r="F322" s="405" t="str">
        <f>IFERROR(VLOOKUP(A322,[3]DOORSCRIEFT!$A$2:$G$6834,7,FALSE),"")</f>
        <v/>
      </c>
      <c r="G322" s="315"/>
    </row>
    <row r="323" spans="1:7" x14ac:dyDescent="0.25">
      <c r="A323" s="321" t="str">
        <f t="shared" si="9"/>
        <v>II.2.2.0222</v>
      </c>
      <c r="B323" s="321">
        <v>22</v>
      </c>
      <c r="C323" s="320" t="str">
        <f>IFERROR(VLOOKUP(A323,[3]DOORSCRIEFT!$A$2:$G$6834,2,FALSE),"")</f>
        <v/>
      </c>
      <c r="D323" s="481" t="str">
        <f>IFERROR(VLOOKUP(A323,[3]DOORSCRIEFT!$A$2:$G$6834,3,FALSE),"")</f>
        <v/>
      </c>
      <c r="E323" s="480" t="str">
        <f>IFERROR(VLOOKUP(A323,[3]DOORSCRIEFT!$A$2:$G$6834,4,FALSE),"")</f>
        <v/>
      </c>
      <c r="F323" s="405" t="str">
        <f>IFERROR(VLOOKUP(A323,[3]DOORSCRIEFT!$A$2:$G$6834,7,FALSE),"")</f>
        <v/>
      </c>
      <c r="G323" s="315"/>
    </row>
    <row r="324" spans="1:7" x14ac:dyDescent="0.25">
      <c r="A324" s="321" t="str">
        <f t="shared" si="9"/>
        <v>II.2.2.0223</v>
      </c>
      <c r="B324" s="321">
        <v>23</v>
      </c>
      <c r="C324" s="320" t="str">
        <f>IFERROR(VLOOKUP(A324,[3]DOORSCRIEFT!$A$2:$G$6834,2,FALSE),"")</f>
        <v/>
      </c>
      <c r="D324" s="481" t="str">
        <f>IFERROR(VLOOKUP(A324,[3]DOORSCRIEFT!$A$2:$G$6834,3,FALSE),"")</f>
        <v/>
      </c>
      <c r="E324" s="480" t="str">
        <f>IFERROR(VLOOKUP(A324,[3]DOORSCRIEFT!$A$2:$G$6834,4,FALSE),"")</f>
        <v/>
      </c>
      <c r="F324" s="405" t="str">
        <f>IFERROR(VLOOKUP(A324,[3]DOORSCRIEFT!$A$2:$G$6834,7,FALSE),"")</f>
        <v/>
      </c>
      <c r="G324" s="315"/>
    </row>
    <row r="325" spans="1:7" x14ac:dyDescent="0.25">
      <c r="A325" s="321" t="str">
        <f t="shared" si="9"/>
        <v>II.2.2.0224</v>
      </c>
      <c r="B325" s="321">
        <v>24</v>
      </c>
      <c r="C325" s="320" t="str">
        <f>IFERROR(VLOOKUP(A325,[3]DOORSCRIEFT!$A$2:$G$6834,2,FALSE),"")</f>
        <v/>
      </c>
      <c r="D325" s="481" t="str">
        <f>IFERROR(VLOOKUP(A325,[3]DOORSCRIEFT!$A$2:$G$6834,3,FALSE),"")</f>
        <v/>
      </c>
      <c r="E325" s="480" t="str">
        <f>IFERROR(VLOOKUP(A325,[3]DOORSCRIEFT!$A$2:$G$6834,4,FALSE),"")</f>
        <v/>
      </c>
      <c r="F325" s="405" t="str">
        <f>IFERROR(VLOOKUP(A325,[3]DOORSCRIEFT!$A$2:$G$6834,7,FALSE),"")</f>
        <v/>
      </c>
      <c r="G325" s="315"/>
    </row>
    <row r="326" spans="1:7" x14ac:dyDescent="0.25">
      <c r="A326" s="321" t="str">
        <f t="shared" si="9"/>
        <v>II.2.2.0225</v>
      </c>
      <c r="B326" s="321">
        <v>25</v>
      </c>
      <c r="C326" s="320" t="str">
        <f>IFERROR(VLOOKUP(A326,[3]DOORSCRIEFT!$A$2:$G$6834,2,FALSE),"")</f>
        <v/>
      </c>
      <c r="D326" s="481" t="str">
        <f>IFERROR(VLOOKUP(A326,[3]DOORSCRIEFT!$A$2:$G$6834,3,FALSE),"")</f>
        <v/>
      </c>
      <c r="E326" s="480" t="str">
        <f>IFERROR(VLOOKUP(A326,[3]DOORSCRIEFT!$A$2:$G$6834,4,FALSE),"")</f>
        <v/>
      </c>
      <c r="F326" s="405" t="str">
        <f>IFERROR(VLOOKUP(A326,[3]DOORSCRIEFT!$A$2:$G$6834,7,FALSE),"")</f>
        <v/>
      </c>
      <c r="G326" s="315"/>
    </row>
    <row r="327" spans="1:7" x14ac:dyDescent="0.25">
      <c r="A327" s="321" t="str">
        <f t="shared" si="9"/>
        <v>II.2.2.0226</v>
      </c>
      <c r="B327" s="321">
        <v>26</v>
      </c>
      <c r="C327" s="320" t="str">
        <f>IFERROR(VLOOKUP(A327,[3]DOORSCRIEFT!$A$2:$G$6834,2,FALSE),"")</f>
        <v/>
      </c>
      <c r="D327" s="481" t="str">
        <f>IFERROR(VLOOKUP(A327,[3]DOORSCRIEFT!$A$2:$G$6834,3,FALSE),"")</f>
        <v/>
      </c>
      <c r="E327" s="480" t="str">
        <f>IFERROR(VLOOKUP(A327,[3]DOORSCRIEFT!$A$2:$G$6834,4,FALSE),"")</f>
        <v/>
      </c>
      <c r="F327" s="405" t="str">
        <f>IFERROR(VLOOKUP(A327,[3]DOORSCRIEFT!$A$2:$G$6834,7,FALSE),"")</f>
        <v/>
      </c>
      <c r="G327" s="315"/>
    </row>
    <row r="328" spans="1:7" ht="15.75" thickBot="1" x14ac:dyDescent="0.3">
      <c r="A328" s="342" t="str">
        <f t="shared" si="9"/>
        <v>II.2.2.0227</v>
      </c>
      <c r="B328" s="342">
        <v>27</v>
      </c>
      <c r="C328" s="320" t="str">
        <f>IFERROR(VLOOKUP(A328,[3]DOORSCRIEFT!$A$2:$G$6834,2,FALSE),"")</f>
        <v/>
      </c>
      <c r="D328" s="481" t="str">
        <f>IFERROR(VLOOKUP(A328,[3]DOORSCRIEFT!$A$2:$G$6834,3,FALSE),"")</f>
        <v/>
      </c>
      <c r="E328" s="480" t="str">
        <f>IFERROR(VLOOKUP(A328,[3]DOORSCRIEFT!$A$2:$G$6834,4,FALSE),"")</f>
        <v/>
      </c>
      <c r="F328" s="405" t="str">
        <f>IFERROR(VLOOKUP(A328,[3]DOORSCRIEFT!$A$2:$G$6834,7,FALSE),"")</f>
        <v/>
      </c>
      <c r="G328" s="315"/>
    </row>
    <row r="329" spans="1:7" ht="15.75" thickBot="1" x14ac:dyDescent="0.3">
      <c r="A329" s="341"/>
      <c r="B329" s="340"/>
      <c r="C329" s="336"/>
      <c r="D329" s="486"/>
      <c r="E329" s="340" t="s">
        <v>644</v>
      </c>
      <c r="F329" s="310">
        <f>SUM(F302:F328)</f>
        <v>950000</v>
      </c>
      <c r="G329" s="309">
        <f>SUM(G302:G328)</f>
        <v>0</v>
      </c>
    </row>
    <row r="330" spans="1:7" x14ac:dyDescent="0.25">
      <c r="C330" s="335"/>
      <c r="D330" s="485"/>
    </row>
    <row r="331" spans="1:7" x14ac:dyDescent="0.25">
      <c r="C331" s="335"/>
      <c r="D331" s="485"/>
    </row>
    <row r="332" spans="1:7" ht="15.75" x14ac:dyDescent="0.25">
      <c r="C332" s="334" t="s">
        <v>663</v>
      </c>
      <c r="D332" s="484"/>
      <c r="E332" s="333"/>
      <c r="F332" s="327" t="s">
        <v>607</v>
      </c>
      <c r="G332" s="327" t="s">
        <v>253</v>
      </c>
    </row>
    <row r="333" spans="1:7" ht="15.75" x14ac:dyDescent="0.25">
      <c r="C333" s="334"/>
      <c r="D333" s="484"/>
      <c r="E333" s="333"/>
      <c r="F333" s="327" t="s">
        <v>601</v>
      </c>
      <c r="G333" s="327" t="s">
        <v>252</v>
      </c>
    </row>
    <row r="334" spans="1:7" x14ac:dyDescent="0.25">
      <c r="C334" s="330"/>
      <c r="D334" s="482"/>
      <c r="E334" s="329"/>
      <c r="F334" s="327" t="s">
        <v>651</v>
      </c>
      <c r="G334" s="331">
        <f>[2]Sheet1!$D$234</f>
        <v>230400000</v>
      </c>
    </row>
    <row r="335" spans="1:7" ht="15.75" thickBot="1" x14ac:dyDescent="0.3">
      <c r="C335" s="330"/>
      <c r="D335" s="482"/>
      <c r="E335" s="329"/>
      <c r="F335" s="327" t="s">
        <v>650</v>
      </c>
      <c r="G335" s="326">
        <f>+F367-G334</f>
        <v>-162900000</v>
      </c>
    </row>
    <row r="336" spans="1:7" x14ac:dyDescent="0.25">
      <c r="A336" s="571" t="s">
        <v>655</v>
      </c>
      <c r="B336" s="573" t="s">
        <v>606</v>
      </c>
      <c r="C336" s="588" t="s">
        <v>649</v>
      </c>
      <c r="D336" s="599" t="s">
        <v>648</v>
      </c>
      <c r="E336" s="577" t="s">
        <v>647</v>
      </c>
      <c r="F336" s="577" t="s">
        <v>646</v>
      </c>
      <c r="G336" s="580" t="s">
        <v>645</v>
      </c>
    </row>
    <row r="337" spans="1:7" ht="15.75" thickBot="1" x14ac:dyDescent="0.3">
      <c r="A337" s="572"/>
      <c r="B337" s="574"/>
      <c r="C337" s="589"/>
      <c r="D337" s="600"/>
      <c r="E337" s="578"/>
      <c r="F337" s="578"/>
      <c r="G337" s="581"/>
    </row>
    <row r="338" spans="1:7" ht="15.75" thickBot="1" x14ac:dyDescent="0.3">
      <c r="A338" s="425">
        <v>1</v>
      </c>
      <c r="B338" s="425">
        <v>2</v>
      </c>
      <c r="C338" s="425">
        <v>3</v>
      </c>
      <c r="D338" s="425">
        <v>4</v>
      </c>
      <c r="E338" s="425">
        <v>5</v>
      </c>
      <c r="F338" s="425">
        <v>6</v>
      </c>
      <c r="G338" s="425">
        <v>7</v>
      </c>
    </row>
    <row r="339" spans="1:7" x14ac:dyDescent="0.25">
      <c r="A339" s="475" t="str">
        <f t="shared" ref="A339:A366" si="10">$G$332&amp;B339</f>
        <v>II.2.2.031</v>
      </c>
      <c r="B339" s="320">
        <v>1</v>
      </c>
      <c r="C339" s="320">
        <f>IFERROR(VLOOKUP(A339,[3]DOORSCRIEFT!$A$2:$G$6834,2,FALSE),"")</f>
        <v>138</v>
      </c>
      <c r="D339" s="481">
        <f>IFERROR(VLOOKUP(A339,[3]DOORSCRIEFT!$A$2:$G$6834,3,FALSE),"")</f>
        <v>46052</v>
      </c>
      <c r="E339" s="480" t="str">
        <f>IFERROR(VLOOKUP(A339,[3]DOORSCRIEFT!$A$2:$G$6834,4,FALSE),"")</f>
        <v>Bayar Insentif PHMJ dan MJ bulan Januari</v>
      </c>
      <c r="F339" s="405">
        <f>IFERROR(VLOOKUP(A339,[3]DOORSCRIEFT!$A$2:$G$6834,7,FALSE),"")</f>
        <v>17500000</v>
      </c>
      <c r="G339" s="322"/>
    </row>
    <row r="340" spans="1:7" x14ac:dyDescent="0.25">
      <c r="A340" s="496" t="str">
        <f t="shared" si="10"/>
        <v>II.2.2.032</v>
      </c>
      <c r="B340" s="321">
        <v>2</v>
      </c>
      <c r="C340" s="320">
        <f>IFERROR(VLOOKUP(A340,[3]DOORSCRIEFT!$A$2:$G$6834,2,FALSE),"")</f>
        <v>179</v>
      </c>
      <c r="D340" s="481">
        <f>IFERROR(VLOOKUP(A340,[3]DOORSCRIEFT!$A$2:$G$6834,3,FALSE),"")</f>
        <v>46061</v>
      </c>
      <c r="E340" s="480" t="str">
        <f>IFERROR(VLOOKUP(A340,[3]DOORSCRIEFT!$A$2:$G$6834,4,FALSE),"")</f>
        <v>Bayar Insentif KMJ dan Pendeta Jemaat bulan Februari</v>
      </c>
      <c r="F340" s="405">
        <f>IFERROR(VLOOKUP(A340,[3]DOORSCRIEFT!$A$2:$G$6834,7,FALSE),"")</f>
        <v>5000000</v>
      </c>
      <c r="G340" s="315"/>
    </row>
    <row r="341" spans="1:7" x14ac:dyDescent="0.25">
      <c r="A341" s="496" t="str">
        <f t="shared" si="10"/>
        <v>II.2.2.033</v>
      </c>
      <c r="B341" s="321">
        <v>3</v>
      </c>
      <c r="C341" s="320">
        <f>IFERROR(VLOOKUP(A341,[3]DOORSCRIEFT!$A$2:$G$6834,2,FALSE),"")</f>
        <v>239</v>
      </c>
      <c r="D341" s="481">
        <f>IFERROR(VLOOKUP(A341,[3]DOORSCRIEFT!$A$2:$G$6834,3,FALSE),"")</f>
        <v>46075</v>
      </c>
      <c r="E341" s="480" t="str">
        <f>IFERROR(VLOOKUP(A341,[3]DOORSCRIEFT!$A$2:$G$6834,4,FALSE),"")</f>
        <v>Bayar Insentif KMJ dan Pendeta Jemaat bulan Januari</v>
      </c>
      <c r="F341" s="405">
        <f>IFERROR(VLOOKUP(A341,[3]DOORSCRIEFT!$A$2:$G$6834,7,FALSE),"")</f>
        <v>5000000</v>
      </c>
      <c r="G341" s="315"/>
    </row>
    <row r="342" spans="1:7" x14ac:dyDescent="0.25">
      <c r="A342" s="496" t="str">
        <f t="shared" si="10"/>
        <v>II.2.2.034</v>
      </c>
      <c r="B342" s="321">
        <v>4</v>
      </c>
      <c r="C342" s="320">
        <f>IFERROR(VLOOKUP(A342,[3]DOORSCRIEFT!$A$2:$G$6834,2,FALSE),"")</f>
        <v>276</v>
      </c>
      <c r="D342" s="481">
        <f>IFERROR(VLOOKUP(A342,[3]DOORSCRIEFT!$A$2:$G$6834,3,FALSE),"")</f>
        <v>46082</v>
      </c>
      <c r="E342" s="480" t="str">
        <f>IFERROR(VLOOKUP(A342,[3]DOORSCRIEFT!$A$2:$G$6834,4,FALSE),"")</f>
        <v>Bayar Insentif KMJ dan Pendeta Jemaat bulan Maret</v>
      </c>
      <c r="F342" s="405">
        <f>IFERROR(VLOOKUP(A342,[3]DOORSCRIEFT!$A$2:$G$6834,7,FALSE),"")</f>
        <v>5000000</v>
      </c>
      <c r="G342" s="315"/>
    </row>
    <row r="343" spans="1:7" x14ac:dyDescent="0.25">
      <c r="A343" s="496" t="str">
        <f t="shared" si="10"/>
        <v>II.2.2.035</v>
      </c>
      <c r="B343" s="321">
        <v>5</v>
      </c>
      <c r="C343" s="320">
        <f>IFERROR(VLOOKUP(A343,[3]DOORSCRIEFT!$A$2:$G$6834,2,FALSE),"")</f>
        <v>401</v>
      </c>
      <c r="D343" s="481">
        <f>IFERROR(VLOOKUP(A343,[3]DOORSCRIEFT!$A$2:$G$6834,3,FALSE),"")</f>
        <v>46103</v>
      </c>
      <c r="E343" s="480" t="str">
        <f>IFERROR(VLOOKUP(A343,[3]DOORSCRIEFT!$A$2:$G$6834,4,FALSE),"")</f>
        <v>Bayar Insentif PHMJ dan MJ bulan Februari</v>
      </c>
      <c r="F343" s="405">
        <f>IFERROR(VLOOKUP(A343,[3]DOORSCRIEFT!$A$2:$G$6834,7,FALSE),"")</f>
        <v>17500000</v>
      </c>
      <c r="G343" s="315"/>
    </row>
    <row r="344" spans="1:7" x14ac:dyDescent="0.25">
      <c r="A344" s="496" t="str">
        <f t="shared" si="10"/>
        <v>II.2.2.036</v>
      </c>
      <c r="B344" s="321">
        <v>6</v>
      </c>
      <c r="C344" s="320">
        <f>IFERROR(VLOOKUP(A344,[3]DOORSCRIEFT!$A$2:$G$6834,2,FALSE),"")</f>
        <v>448</v>
      </c>
      <c r="D344" s="481">
        <f>IFERROR(VLOOKUP(A344,[3]DOORSCRIEFT!$A$2:$G$6834,3,FALSE),"")</f>
        <v>46110</v>
      </c>
      <c r="E344" s="480" t="str">
        <f>IFERROR(VLOOKUP(A344,[3]DOORSCRIEFT!$A$2:$G$6834,4,FALSE),"")</f>
        <v>Bayar Insentif PHMJ dan MJ bulan maret</v>
      </c>
      <c r="F344" s="405">
        <f>IFERROR(VLOOKUP(A344,[3]DOORSCRIEFT!$A$2:$G$6834,7,FALSE),"")</f>
        <v>17500000</v>
      </c>
      <c r="G344" s="315"/>
    </row>
    <row r="345" spans="1:7" x14ac:dyDescent="0.25">
      <c r="A345" s="496" t="str">
        <f t="shared" si="10"/>
        <v>II.2.2.037</v>
      </c>
      <c r="B345" s="321">
        <v>7</v>
      </c>
      <c r="C345" s="320" t="str">
        <f>IFERROR(VLOOKUP(A345,[3]DOORSCRIEFT!$A$2:$G$6834,2,FALSE),"")</f>
        <v/>
      </c>
      <c r="D345" s="481" t="str">
        <f>IFERROR(VLOOKUP(A345,[3]DOORSCRIEFT!$A$2:$G$6834,3,FALSE),"")</f>
        <v/>
      </c>
      <c r="E345" s="480" t="str">
        <f>IFERROR(VLOOKUP(A345,[3]DOORSCRIEFT!$A$2:$G$6834,4,FALSE),"")</f>
        <v/>
      </c>
      <c r="F345" s="405" t="str">
        <f>IFERROR(VLOOKUP(A345,[3]DOORSCRIEFT!$A$2:$G$6834,7,FALSE),"")</f>
        <v/>
      </c>
      <c r="G345" s="315"/>
    </row>
    <row r="346" spans="1:7" x14ac:dyDescent="0.25">
      <c r="A346" s="496" t="str">
        <f t="shared" si="10"/>
        <v>II.2.2.038</v>
      </c>
      <c r="B346" s="321">
        <v>8</v>
      </c>
      <c r="C346" s="320" t="str">
        <f>IFERROR(VLOOKUP(A346,[3]DOORSCRIEFT!$A$2:$G$6834,2,FALSE),"")</f>
        <v/>
      </c>
      <c r="D346" s="481" t="str">
        <f>IFERROR(VLOOKUP(A346,[3]DOORSCRIEFT!$A$2:$G$6834,3,FALSE),"")</f>
        <v/>
      </c>
      <c r="E346" s="480" t="str">
        <f>IFERROR(VLOOKUP(A346,[3]DOORSCRIEFT!$A$2:$G$6834,4,FALSE),"")</f>
        <v/>
      </c>
      <c r="F346" s="405" t="str">
        <f>IFERROR(VLOOKUP(A346,[3]DOORSCRIEFT!$A$2:$G$6834,7,FALSE),"")</f>
        <v/>
      </c>
      <c r="G346" s="315"/>
    </row>
    <row r="347" spans="1:7" x14ac:dyDescent="0.25">
      <c r="A347" s="496" t="str">
        <f t="shared" si="10"/>
        <v>II.2.2.039</v>
      </c>
      <c r="B347" s="321">
        <v>9</v>
      </c>
      <c r="C347" s="320" t="str">
        <f>IFERROR(VLOOKUP(A347,[3]DOORSCRIEFT!$A$2:$G$6834,2,FALSE),"")</f>
        <v/>
      </c>
      <c r="D347" s="481" t="str">
        <f>IFERROR(VLOOKUP(A347,[3]DOORSCRIEFT!$A$2:$G$6834,3,FALSE),"")</f>
        <v/>
      </c>
      <c r="E347" s="480" t="str">
        <f>IFERROR(VLOOKUP(A347,[3]DOORSCRIEFT!$A$2:$G$6834,4,FALSE),"")</f>
        <v/>
      </c>
      <c r="F347" s="405" t="str">
        <f>IFERROR(VLOOKUP(A347,[3]DOORSCRIEFT!$A$2:$G$6834,7,FALSE),"")</f>
        <v/>
      </c>
      <c r="G347" s="315"/>
    </row>
    <row r="348" spans="1:7" x14ac:dyDescent="0.25">
      <c r="A348" s="496" t="str">
        <f t="shared" si="10"/>
        <v>II.2.2.0310</v>
      </c>
      <c r="B348" s="321">
        <v>10</v>
      </c>
      <c r="C348" s="320" t="str">
        <f>IFERROR(VLOOKUP(A348,[3]DOORSCRIEFT!$A$2:$G$6834,2,FALSE),"")</f>
        <v/>
      </c>
      <c r="D348" s="481" t="str">
        <f>IFERROR(VLOOKUP(A348,[3]DOORSCRIEFT!$A$2:$G$6834,3,FALSE),"")</f>
        <v/>
      </c>
      <c r="E348" s="480" t="str">
        <f>IFERROR(VLOOKUP(A348,[3]DOORSCRIEFT!$A$2:$G$6834,4,FALSE),"")</f>
        <v/>
      </c>
      <c r="F348" s="405" t="str">
        <f>IFERROR(VLOOKUP(A348,[3]DOORSCRIEFT!$A$2:$G$6834,7,FALSE),"")</f>
        <v/>
      </c>
      <c r="G348" s="315"/>
    </row>
    <row r="349" spans="1:7" x14ac:dyDescent="0.25">
      <c r="A349" s="496" t="str">
        <f t="shared" si="10"/>
        <v>II.2.2.0311</v>
      </c>
      <c r="B349" s="321">
        <v>11</v>
      </c>
      <c r="C349" s="320" t="str">
        <f>IFERROR(VLOOKUP(A349,[3]DOORSCRIEFT!$A$2:$G$6834,2,FALSE),"")</f>
        <v/>
      </c>
      <c r="D349" s="481" t="str">
        <f>IFERROR(VLOOKUP(A349,[3]DOORSCRIEFT!$A$2:$G$6834,3,FALSE),"")</f>
        <v/>
      </c>
      <c r="E349" s="480" t="str">
        <f>IFERROR(VLOOKUP(A349,[3]DOORSCRIEFT!$A$2:$G$6834,4,FALSE),"")</f>
        <v/>
      </c>
      <c r="F349" s="405" t="str">
        <f>IFERROR(VLOOKUP(A349,[3]DOORSCRIEFT!$A$2:$G$6834,7,FALSE),"")</f>
        <v/>
      </c>
      <c r="G349" s="315"/>
    </row>
    <row r="350" spans="1:7" x14ac:dyDescent="0.25">
      <c r="A350" s="496" t="str">
        <f t="shared" si="10"/>
        <v>II.2.2.0312</v>
      </c>
      <c r="B350" s="321">
        <v>12</v>
      </c>
      <c r="C350" s="320" t="str">
        <f>IFERROR(VLOOKUP(A350,[3]DOORSCRIEFT!$A$2:$G$6834,2,FALSE),"")</f>
        <v/>
      </c>
      <c r="D350" s="481" t="str">
        <f>IFERROR(VLOOKUP(A350,[3]DOORSCRIEFT!$A$2:$G$6834,3,FALSE),"")</f>
        <v/>
      </c>
      <c r="E350" s="480" t="str">
        <f>IFERROR(VLOOKUP(A350,[3]DOORSCRIEFT!$A$2:$G$6834,4,FALSE),"")</f>
        <v/>
      </c>
      <c r="F350" s="405" t="str">
        <f>IFERROR(VLOOKUP(A350,[3]DOORSCRIEFT!$A$2:$G$6834,7,FALSE),"")</f>
        <v/>
      </c>
      <c r="G350" s="315"/>
    </row>
    <row r="351" spans="1:7" x14ac:dyDescent="0.25">
      <c r="A351" s="496" t="str">
        <f t="shared" si="10"/>
        <v>II.2.2.0313</v>
      </c>
      <c r="B351" s="321">
        <v>13</v>
      </c>
      <c r="C351" s="320" t="str">
        <f>IFERROR(VLOOKUP(A351,[3]DOORSCRIEFT!$A$2:$G$6834,2,FALSE),"")</f>
        <v/>
      </c>
      <c r="D351" s="481" t="str">
        <f>IFERROR(VLOOKUP(A351,[3]DOORSCRIEFT!$A$2:$G$6834,3,FALSE),"")</f>
        <v/>
      </c>
      <c r="E351" s="480" t="str">
        <f>IFERROR(VLOOKUP(A351,[3]DOORSCRIEFT!$A$2:$G$6834,4,FALSE),"")</f>
        <v/>
      </c>
      <c r="F351" s="405" t="str">
        <f>IFERROR(VLOOKUP(A351,[3]DOORSCRIEFT!$A$2:$G$6834,7,FALSE),"")</f>
        <v/>
      </c>
      <c r="G351" s="315"/>
    </row>
    <row r="352" spans="1:7" x14ac:dyDescent="0.25">
      <c r="A352" s="496" t="str">
        <f t="shared" si="10"/>
        <v>II.2.2.0314</v>
      </c>
      <c r="B352" s="321">
        <v>14</v>
      </c>
      <c r="C352" s="320" t="str">
        <f>IFERROR(VLOOKUP(A352,[3]DOORSCRIEFT!$A$2:$G$6834,2,FALSE),"")</f>
        <v/>
      </c>
      <c r="D352" s="481" t="str">
        <f>IFERROR(VLOOKUP(A352,[3]DOORSCRIEFT!$A$2:$G$6834,3,FALSE),"")</f>
        <v/>
      </c>
      <c r="E352" s="480" t="str">
        <f>IFERROR(VLOOKUP(A352,[3]DOORSCRIEFT!$A$2:$G$6834,4,FALSE),"")</f>
        <v/>
      </c>
      <c r="F352" s="405" t="str">
        <f>IFERROR(VLOOKUP(A352,[3]DOORSCRIEFT!$A$2:$G$6834,7,FALSE),"")</f>
        <v/>
      </c>
      <c r="G352" s="315"/>
    </row>
    <row r="353" spans="1:7" x14ac:dyDescent="0.25">
      <c r="A353" s="496" t="str">
        <f t="shared" si="10"/>
        <v>II.2.2.0315</v>
      </c>
      <c r="B353" s="321">
        <v>15</v>
      </c>
      <c r="C353" s="320" t="str">
        <f>IFERROR(VLOOKUP(A353,[3]DOORSCRIEFT!$A$2:$G$6834,2,FALSE),"")</f>
        <v/>
      </c>
      <c r="D353" s="481" t="str">
        <f>IFERROR(VLOOKUP(A353,[3]DOORSCRIEFT!$A$2:$G$6834,3,FALSE),"")</f>
        <v/>
      </c>
      <c r="E353" s="480" t="str">
        <f>IFERROR(VLOOKUP(A353,[3]DOORSCRIEFT!$A$2:$G$6834,4,FALSE),"")</f>
        <v/>
      </c>
      <c r="F353" s="405" t="str">
        <f>IFERROR(VLOOKUP(A353,[3]DOORSCRIEFT!$A$2:$G$6834,7,FALSE),"")</f>
        <v/>
      </c>
      <c r="G353" s="315"/>
    </row>
    <row r="354" spans="1:7" x14ac:dyDescent="0.25">
      <c r="A354" s="496" t="str">
        <f t="shared" si="10"/>
        <v>II.2.2.0316</v>
      </c>
      <c r="B354" s="321">
        <v>16</v>
      </c>
      <c r="C354" s="320" t="str">
        <f>IFERROR(VLOOKUP(A354,[3]DOORSCRIEFT!$A$2:$G$6834,2,FALSE),"")</f>
        <v/>
      </c>
      <c r="D354" s="481" t="str">
        <f>IFERROR(VLOOKUP(A354,[3]DOORSCRIEFT!$A$2:$G$6834,3,FALSE),"")</f>
        <v/>
      </c>
      <c r="E354" s="480" t="str">
        <f>IFERROR(VLOOKUP(A354,[3]DOORSCRIEFT!$A$2:$G$6834,4,FALSE),"")</f>
        <v/>
      </c>
      <c r="F354" s="405" t="str">
        <f>IFERROR(VLOOKUP(A354,[3]DOORSCRIEFT!$A$2:$G$6834,7,FALSE),"")</f>
        <v/>
      </c>
      <c r="G354" s="315"/>
    </row>
    <row r="355" spans="1:7" x14ac:dyDescent="0.25">
      <c r="A355" s="496" t="str">
        <f t="shared" si="10"/>
        <v>II.2.2.0317</v>
      </c>
      <c r="B355" s="321">
        <v>17</v>
      </c>
      <c r="C355" s="320" t="str">
        <f>IFERROR(VLOOKUP(A355,[3]DOORSCRIEFT!$A$2:$G$6834,2,FALSE),"")</f>
        <v/>
      </c>
      <c r="D355" s="481" t="str">
        <f>IFERROR(VLOOKUP(A355,[3]DOORSCRIEFT!$A$2:$G$6834,3,FALSE),"")</f>
        <v/>
      </c>
      <c r="E355" s="480" t="str">
        <f>IFERROR(VLOOKUP(A355,[3]DOORSCRIEFT!$A$2:$G$6834,4,FALSE),"")</f>
        <v/>
      </c>
      <c r="F355" s="405" t="str">
        <f>IFERROR(VLOOKUP(A355,[3]DOORSCRIEFT!$A$2:$G$6834,7,FALSE),"")</f>
        <v/>
      </c>
      <c r="G355" s="315"/>
    </row>
    <row r="356" spans="1:7" x14ac:dyDescent="0.25">
      <c r="A356" s="496" t="str">
        <f t="shared" si="10"/>
        <v>II.2.2.0318</v>
      </c>
      <c r="B356" s="321">
        <v>18</v>
      </c>
      <c r="C356" s="320" t="str">
        <f>IFERROR(VLOOKUP(A356,[3]DOORSCRIEFT!$A$2:$G$6834,2,FALSE),"")</f>
        <v/>
      </c>
      <c r="D356" s="481" t="str">
        <f>IFERROR(VLOOKUP(A356,[3]DOORSCRIEFT!$A$2:$G$6834,3,FALSE),"")</f>
        <v/>
      </c>
      <c r="E356" s="480" t="str">
        <f>IFERROR(VLOOKUP(A356,[3]DOORSCRIEFT!$A$2:$G$6834,4,FALSE),"")</f>
        <v/>
      </c>
      <c r="F356" s="405" t="str">
        <f>IFERROR(VLOOKUP(A356,[3]DOORSCRIEFT!$A$2:$G$6834,7,FALSE),"")</f>
        <v/>
      </c>
      <c r="G356" s="315"/>
    </row>
    <row r="357" spans="1:7" x14ac:dyDescent="0.25">
      <c r="A357" s="496" t="str">
        <f t="shared" si="10"/>
        <v>II.2.2.0319</v>
      </c>
      <c r="B357" s="321">
        <v>19</v>
      </c>
      <c r="C357" s="320" t="str">
        <f>IFERROR(VLOOKUP(A357,[3]DOORSCRIEFT!$A$2:$G$6834,2,FALSE),"")</f>
        <v/>
      </c>
      <c r="D357" s="481" t="str">
        <f>IFERROR(VLOOKUP(A357,[3]DOORSCRIEFT!$A$2:$G$6834,3,FALSE),"")</f>
        <v/>
      </c>
      <c r="E357" s="480" t="str">
        <f>IFERROR(VLOOKUP(A357,[3]DOORSCRIEFT!$A$2:$G$6834,4,FALSE),"")</f>
        <v/>
      </c>
      <c r="F357" s="405" t="str">
        <f>IFERROR(VLOOKUP(A357,[3]DOORSCRIEFT!$A$2:$G$6834,7,FALSE),"")</f>
        <v/>
      </c>
      <c r="G357" s="315"/>
    </row>
    <row r="358" spans="1:7" x14ac:dyDescent="0.25">
      <c r="A358" s="496" t="str">
        <f t="shared" si="10"/>
        <v>II.2.2.0320</v>
      </c>
      <c r="B358" s="321">
        <v>20</v>
      </c>
      <c r="C358" s="320" t="str">
        <f>IFERROR(VLOOKUP(A358,[3]DOORSCRIEFT!$A$2:$G$6834,2,FALSE),"")</f>
        <v/>
      </c>
      <c r="D358" s="481" t="str">
        <f>IFERROR(VLOOKUP(A358,[3]DOORSCRIEFT!$A$2:$G$6834,3,FALSE),"")</f>
        <v/>
      </c>
      <c r="E358" s="480" t="str">
        <f>IFERROR(VLOOKUP(A358,[3]DOORSCRIEFT!$A$2:$G$6834,4,FALSE),"")</f>
        <v/>
      </c>
      <c r="F358" s="405" t="str">
        <f>IFERROR(VLOOKUP(A358,[3]DOORSCRIEFT!$A$2:$G$6834,7,FALSE),"")</f>
        <v/>
      </c>
      <c r="G358" s="315"/>
    </row>
    <row r="359" spans="1:7" x14ac:dyDescent="0.25">
      <c r="A359" s="496" t="str">
        <f t="shared" si="10"/>
        <v>II.2.2.0321</v>
      </c>
      <c r="B359" s="321">
        <v>21</v>
      </c>
      <c r="C359" s="320" t="str">
        <f>IFERROR(VLOOKUP(A359,[3]DOORSCRIEFT!$A$2:$G$6834,2,FALSE),"")</f>
        <v/>
      </c>
      <c r="D359" s="481" t="str">
        <f>IFERROR(VLOOKUP(A359,[3]DOORSCRIEFT!$A$2:$G$6834,3,FALSE),"")</f>
        <v/>
      </c>
      <c r="E359" s="480" t="str">
        <f>IFERROR(VLOOKUP(A359,[3]DOORSCRIEFT!$A$2:$G$6834,4,FALSE),"")</f>
        <v/>
      </c>
      <c r="F359" s="405" t="str">
        <f>IFERROR(VLOOKUP(A359,[3]DOORSCRIEFT!$A$2:$G$6834,7,FALSE),"")</f>
        <v/>
      </c>
      <c r="G359" s="315"/>
    </row>
    <row r="360" spans="1:7" x14ac:dyDescent="0.25">
      <c r="A360" s="496" t="str">
        <f t="shared" si="10"/>
        <v>II.2.2.0322</v>
      </c>
      <c r="B360" s="321">
        <v>22</v>
      </c>
      <c r="C360" s="320" t="str">
        <f>IFERROR(VLOOKUP(A360,[3]DOORSCRIEFT!$A$2:$G$6834,2,FALSE),"")</f>
        <v/>
      </c>
      <c r="D360" s="481" t="str">
        <f>IFERROR(VLOOKUP(A360,[3]DOORSCRIEFT!$A$2:$G$6834,3,FALSE),"")</f>
        <v/>
      </c>
      <c r="E360" s="480" t="str">
        <f>IFERROR(VLOOKUP(A360,[3]DOORSCRIEFT!$A$2:$G$6834,4,FALSE),"")</f>
        <v/>
      </c>
      <c r="F360" s="405" t="str">
        <f>IFERROR(VLOOKUP(A360,[3]DOORSCRIEFT!$A$2:$G$6834,7,FALSE),"")</f>
        <v/>
      </c>
      <c r="G360" s="315"/>
    </row>
    <row r="361" spans="1:7" x14ac:dyDescent="0.25">
      <c r="A361" s="496" t="str">
        <f t="shared" si="10"/>
        <v>II.2.2.0323</v>
      </c>
      <c r="B361" s="321">
        <v>23</v>
      </c>
      <c r="C361" s="320" t="str">
        <f>IFERROR(VLOOKUP(A361,[3]DOORSCRIEFT!$A$2:$G$6834,2,FALSE),"")</f>
        <v/>
      </c>
      <c r="D361" s="481" t="str">
        <f>IFERROR(VLOOKUP(A361,[3]DOORSCRIEFT!$A$2:$G$6834,3,FALSE),"")</f>
        <v/>
      </c>
      <c r="E361" s="480" t="str">
        <f>IFERROR(VLOOKUP(A361,[3]DOORSCRIEFT!$A$2:$G$6834,4,FALSE),"")</f>
        <v/>
      </c>
      <c r="F361" s="405" t="str">
        <f>IFERROR(VLOOKUP(A361,[3]DOORSCRIEFT!$A$2:$G$6834,7,FALSE),"")</f>
        <v/>
      </c>
      <c r="G361" s="315"/>
    </row>
    <row r="362" spans="1:7" x14ac:dyDescent="0.25">
      <c r="A362" s="496" t="str">
        <f t="shared" si="10"/>
        <v>II.2.2.0324</v>
      </c>
      <c r="B362" s="321">
        <v>24</v>
      </c>
      <c r="C362" s="320" t="str">
        <f>IFERROR(VLOOKUP(A362,[3]DOORSCRIEFT!$A$2:$G$6834,2,FALSE),"")</f>
        <v/>
      </c>
      <c r="D362" s="481" t="str">
        <f>IFERROR(VLOOKUP(A362,[3]DOORSCRIEFT!$A$2:$G$6834,3,FALSE),"")</f>
        <v/>
      </c>
      <c r="E362" s="480" t="str">
        <f>IFERROR(VLOOKUP(A362,[3]DOORSCRIEFT!$A$2:$G$6834,4,FALSE),"")</f>
        <v/>
      </c>
      <c r="F362" s="405" t="str">
        <f>IFERROR(VLOOKUP(A362,[3]DOORSCRIEFT!$A$2:$G$6834,7,FALSE),"")</f>
        <v/>
      </c>
      <c r="G362" s="315"/>
    </row>
    <row r="363" spans="1:7" x14ac:dyDescent="0.25">
      <c r="A363" s="496" t="str">
        <f t="shared" si="10"/>
        <v>II.2.2.0325</v>
      </c>
      <c r="B363" s="321">
        <v>25</v>
      </c>
      <c r="C363" s="320" t="str">
        <f>IFERROR(VLOOKUP(A363,[3]DOORSCRIEFT!$A$2:$G$6834,2,FALSE),"")</f>
        <v/>
      </c>
      <c r="D363" s="481" t="str">
        <f>IFERROR(VLOOKUP(A363,[3]DOORSCRIEFT!$A$2:$G$6834,3,FALSE),"")</f>
        <v/>
      </c>
      <c r="E363" s="480" t="str">
        <f>IFERROR(VLOOKUP(A363,[3]DOORSCRIEFT!$A$2:$G$6834,4,FALSE),"")</f>
        <v/>
      </c>
      <c r="F363" s="405" t="str">
        <f>IFERROR(VLOOKUP(A363,[3]DOORSCRIEFT!$A$2:$G$6834,7,FALSE),"")</f>
        <v/>
      </c>
      <c r="G363" s="349"/>
    </row>
    <row r="364" spans="1:7" x14ac:dyDescent="0.25">
      <c r="A364" s="496" t="str">
        <f t="shared" si="10"/>
        <v>II.2.2.0326</v>
      </c>
      <c r="B364" s="321">
        <v>26</v>
      </c>
      <c r="C364" s="320" t="str">
        <f>IFERROR(VLOOKUP(A364,[3]DOORSCRIEFT!$A$2:$G$6834,2,FALSE),"")</f>
        <v/>
      </c>
      <c r="D364" s="481" t="str">
        <f>IFERROR(VLOOKUP(A364,[3]DOORSCRIEFT!$A$2:$G$6834,3,FALSE),"")</f>
        <v/>
      </c>
      <c r="E364" s="480" t="str">
        <f>IFERROR(VLOOKUP(A364,[3]DOORSCRIEFT!$A$2:$G$6834,4,FALSE),"")</f>
        <v/>
      </c>
      <c r="F364" s="405" t="str">
        <f>IFERROR(VLOOKUP(A364,[3]DOORSCRIEFT!$A$2:$G$6834,7,FALSE),"")</f>
        <v/>
      </c>
      <c r="G364" s="349"/>
    </row>
    <row r="365" spans="1:7" x14ac:dyDescent="0.25">
      <c r="A365" s="496" t="str">
        <f t="shared" si="10"/>
        <v>II.2.2.0327</v>
      </c>
      <c r="B365" s="321">
        <v>27</v>
      </c>
      <c r="C365" s="320" t="str">
        <f>IFERROR(VLOOKUP(A365,[3]DOORSCRIEFT!$A$2:$G$6834,2,FALSE),"")</f>
        <v/>
      </c>
      <c r="D365" s="481" t="str">
        <f>IFERROR(VLOOKUP(A365,[3]DOORSCRIEFT!$A$2:$G$6834,3,FALSE),"")</f>
        <v/>
      </c>
      <c r="E365" s="480" t="str">
        <f>IFERROR(VLOOKUP(A365,[3]DOORSCRIEFT!$A$2:$G$6834,4,FALSE),"")</f>
        <v/>
      </c>
      <c r="F365" s="405" t="str">
        <f>IFERROR(VLOOKUP(A365,[3]DOORSCRIEFT!$A$2:$G$6834,7,FALSE),"")</f>
        <v/>
      </c>
      <c r="G365" s="349"/>
    </row>
    <row r="366" spans="1:7" ht="15.75" thickBot="1" x14ac:dyDescent="0.3">
      <c r="A366" s="496" t="str">
        <f t="shared" si="10"/>
        <v>II.2.2.0328</v>
      </c>
      <c r="B366" s="321">
        <v>28</v>
      </c>
      <c r="C366" s="320" t="str">
        <f>IFERROR(VLOOKUP(A366,[3]DOORSCRIEFT!$A$2:$G$6834,2,FALSE),"")</f>
        <v/>
      </c>
      <c r="D366" s="481" t="str">
        <f>IFERROR(VLOOKUP(A366,[3]DOORSCRIEFT!$A$2:$G$6834,3,FALSE),"")</f>
        <v/>
      </c>
      <c r="E366" s="480" t="str">
        <f>IFERROR(VLOOKUP(A366,[3]DOORSCRIEFT!$A$2:$G$6834,4,FALSE),"")</f>
        <v/>
      </c>
      <c r="F366" s="405" t="str">
        <f>IFERROR(VLOOKUP(A366,[3]DOORSCRIEFT!$A$2:$G$6834,7,FALSE),"")</f>
        <v/>
      </c>
      <c r="G366" s="315"/>
    </row>
    <row r="367" spans="1:7" ht="15.75" thickBot="1" x14ac:dyDescent="0.3">
      <c r="A367" s="341"/>
      <c r="B367" s="340"/>
      <c r="C367" s="336"/>
      <c r="D367" s="486"/>
      <c r="E367" s="340" t="s">
        <v>644</v>
      </c>
      <c r="F367" s="310">
        <f>SUM(F339:F362)</f>
        <v>67500000</v>
      </c>
      <c r="G367" s="309">
        <f>SUM(G339:G362)</f>
        <v>0</v>
      </c>
    </row>
    <row r="368" spans="1:7" x14ac:dyDescent="0.25">
      <c r="C368" s="335"/>
      <c r="D368" s="485"/>
    </row>
    <row r="369" spans="1:7" x14ac:dyDescent="0.25">
      <c r="C369" s="335"/>
      <c r="D369" s="485"/>
    </row>
    <row r="370" spans="1:7" ht="15.75" x14ac:dyDescent="0.25">
      <c r="C370" s="334" t="s">
        <v>663</v>
      </c>
      <c r="D370" s="484"/>
      <c r="E370" s="333"/>
      <c r="F370" s="327" t="s">
        <v>607</v>
      </c>
      <c r="G370" s="327" t="s">
        <v>251</v>
      </c>
    </row>
    <row r="371" spans="1:7" ht="15.75" x14ac:dyDescent="0.25">
      <c r="C371" s="334"/>
      <c r="D371" s="484"/>
      <c r="E371" s="333"/>
      <c r="F371" s="327" t="s">
        <v>601</v>
      </c>
      <c r="G371" s="327" t="s">
        <v>250</v>
      </c>
    </row>
    <row r="372" spans="1:7" x14ac:dyDescent="0.25">
      <c r="C372" s="330"/>
      <c r="D372" s="482"/>
      <c r="E372" s="329"/>
      <c r="F372" s="327" t="s">
        <v>651</v>
      </c>
      <c r="G372" s="331">
        <f>[2]Sheet1!$D$242</f>
        <v>4800000</v>
      </c>
    </row>
    <row r="373" spans="1:7" ht="15.75" thickBot="1" x14ac:dyDescent="0.3">
      <c r="C373" s="330"/>
      <c r="D373" s="482"/>
      <c r="E373" s="329"/>
      <c r="F373" s="327" t="s">
        <v>650</v>
      </c>
      <c r="G373" s="326">
        <f>+F400-G372</f>
        <v>-4000000</v>
      </c>
    </row>
    <row r="374" spans="1:7" x14ac:dyDescent="0.25">
      <c r="A374" s="571" t="s">
        <v>655</v>
      </c>
      <c r="B374" s="573" t="s">
        <v>606</v>
      </c>
      <c r="C374" s="588" t="s">
        <v>649</v>
      </c>
      <c r="D374" s="599" t="s">
        <v>648</v>
      </c>
      <c r="E374" s="577" t="s">
        <v>647</v>
      </c>
      <c r="F374" s="577" t="s">
        <v>646</v>
      </c>
      <c r="G374" s="580" t="s">
        <v>645</v>
      </c>
    </row>
    <row r="375" spans="1:7" ht="15.75" thickBot="1" x14ac:dyDescent="0.3">
      <c r="A375" s="572"/>
      <c r="B375" s="574"/>
      <c r="C375" s="589"/>
      <c r="D375" s="600"/>
      <c r="E375" s="578"/>
      <c r="F375" s="578"/>
      <c r="G375" s="581"/>
    </row>
    <row r="376" spans="1:7" ht="15.75" thickBot="1" x14ac:dyDescent="0.3">
      <c r="A376" s="425">
        <v>1</v>
      </c>
      <c r="B376" s="425">
        <v>2</v>
      </c>
      <c r="C376" s="425">
        <v>3</v>
      </c>
      <c r="D376" s="425">
        <v>4</v>
      </c>
      <c r="E376" s="425">
        <v>5</v>
      </c>
      <c r="F376" s="425">
        <v>6</v>
      </c>
      <c r="G376" s="425">
        <v>7</v>
      </c>
    </row>
    <row r="377" spans="1:7" x14ac:dyDescent="0.25">
      <c r="A377" s="320" t="str">
        <f t="shared" ref="A377:A399" si="11">$G$370&amp;B377</f>
        <v>II.2.2.041</v>
      </c>
      <c r="B377" s="320">
        <v>1</v>
      </c>
      <c r="C377" s="320">
        <f>IFERROR(VLOOKUP(A377,[3]DOORSCRIEFT!$A$2:$G$6834,2,FALSE),"")</f>
        <v>141</v>
      </c>
      <c r="D377" s="481">
        <f>IFERROR(VLOOKUP(A377,[3]DOORSCRIEFT!$A$2:$G$6834,3,FALSE),"")</f>
        <v>46052</v>
      </c>
      <c r="E377" s="480" t="str">
        <f>IFERROR(VLOOKUP(A377,[3]DOORSCRIEFT!$A$2:$G$6834,4,FALSE),"")</f>
        <v>Insentif Pengelola Keuangan bulan januari</v>
      </c>
      <c r="F377" s="405">
        <f>IFERROR(VLOOKUP(A377,[3]DOORSCRIEFT!$A$2:$G$6834,7,FALSE),"")</f>
        <v>400000</v>
      </c>
      <c r="G377" s="322"/>
    </row>
    <row r="378" spans="1:7" x14ac:dyDescent="0.25">
      <c r="A378" s="321" t="str">
        <f t="shared" si="11"/>
        <v>II.2.2.042</v>
      </c>
      <c r="B378" s="321">
        <v>2</v>
      </c>
      <c r="C378" s="320">
        <f>IFERROR(VLOOKUP(A378,[3]DOORSCRIEFT!$A$2:$G$6834,2,FALSE),"")</f>
        <v>405</v>
      </c>
      <c r="D378" s="481">
        <f>IFERROR(VLOOKUP(A378,[3]DOORSCRIEFT!$A$2:$G$6834,3,FALSE),"")</f>
        <v>46103</v>
      </c>
      <c r="E378" s="480" t="str">
        <f>IFERROR(VLOOKUP(A378,[3]DOORSCRIEFT!$A$2:$G$6834,4,FALSE),"")</f>
        <v>Bayar Insentif Pengelola Keuangan bulan Februari</v>
      </c>
      <c r="F378" s="405">
        <f>IFERROR(VLOOKUP(A378,[3]DOORSCRIEFT!$A$2:$G$6834,7,FALSE),"")</f>
        <v>400000</v>
      </c>
      <c r="G378" s="315"/>
    </row>
    <row r="379" spans="1:7" x14ac:dyDescent="0.25">
      <c r="A379" s="321" t="str">
        <f t="shared" si="11"/>
        <v>II.2.2.043</v>
      </c>
      <c r="B379" s="321">
        <v>3</v>
      </c>
      <c r="C379" s="320" t="str">
        <f>IFERROR(VLOOKUP(A379,[3]DOORSCRIEFT!$A$2:$G$6834,2,FALSE),"")</f>
        <v/>
      </c>
      <c r="D379" s="481" t="str">
        <f>IFERROR(VLOOKUP(A379,[3]DOORSCRIEFT!$A$2:$G$6834,3,FALSE),"")</f>
        <v/>
      </c>
      <c r="E379" s="480" t="str">
        <f>IFERROR(VLOOKUP(A379,[3]DOORSCRIEFT!$A$2:$G$6834,4,FALSE),"")</f>
        <v/>
      </c>
      <c r="F379" s="405" t="str">
        <f>IFERROR(VLOOKUP(A379,[3]DOORSCRIEFT!$A$2:$G$6834,7,FALSE),"")</f>
        <v/>
      </c>
      <c r="G379" s="315"/>
    </row>
    <row r="380" spans="1:7" x14ac:dyDescent="0.25">
      <c r="A380" s="321" t="str">
        <f t="shared" si="11"/>
        <v>II.2.2.044</v>
      </c>
      <c r="B380" s="321">
        <v>4</v>
      </c>
      <c r="C380" s="320" t="str">
        <f>IFERROR(VLOOKUP(A380,[3]DOORSCRIEFT!$A$2:$G$6834,2,FALSE),"")</f>
        <v/>
      </c>
      <c r="D380" s="481" t="str">
        <f>IFERROR(VLOOKUP(A380,[3]DOORSCRIEFT!$A$2:$G$6834,3,FALSE),"")</f>
        <v/>
      </c>
      <c r="E380" s="480" t="str">
        <f>IFERROR(VLOOKUP(A380,[3]DOORSCRIEFT!$A$2:$G$6834,4,FALSE),"")</f>
        <v/>
      </c>
      <c r="F380" s="405" t="str">
        <f>IFERROR(VLOOKUP(A380,[3]DOORSCRIEFT!$A$2:$G$6834,7,FALSE),"")</f>
        <v/>
      </c>
      <c r="G380" s="315"/>
    </row>
    <row r="381" spans="1:7" x14ac:dyDescent="0.25">
      <c r="A381" s="321" t="str">
        <f t="shared" si="11"/>
        <v>II.2.2.045</v>
      </c>
      <c r="B381" s="321">
        <v>5</v>
      </c>
      <c r="C381" s="320" t="str">
        <f>IFERROR(VLOOKUP(A381,[3]DOORSCRIEFT!$A$2:$G$6834,2,FALSE),"")</f>
        <v/>
      </c>
      <c r="D381" s="481" t="str">
        <f>IFERROR(VLOOKUP(A381,[3]DOORSCRIEFT!$A$2:$G$6834,3,FALSE),"")</f>
        <v/>
      </c>
      <c r="E381" s="480" t="str">
        <f>IFERROR(VLOOKUP(A381,[3]DOORSCRIEFT!$A$2:$G$6834,4,FALSE),"")</f>
        <v/>
      </c>
      <c r="F381" s="405" t="str">
        <f>IFERROR(VLOOKUP(A381,[3]DOORSCRIEFT!$A$2:$G$6834,7,FALSE),"")</f>
        <v/>
      </c>
      <c r="G381" s="315"/>
    </row>
    <row r="382" spans="1:7" x14ac:dyDescent="0.25">
      <c r="A382" s="321" t="str">
        <f t="shared" si="11"/>
        <v>II.2.2.046</v>
      </c>
      <c r="B382" s="321">
        <v>6</v>
      </c>
      <c r="C382" s="320" t="str">
        <f>IFERROR(VLOOKUP(A382,[3]DOORSCRIEFT!$A$2:$G$6834,2,FALSE),"")</f>
        <v/>
      </c>
      <c r="D382" s="481" t="str">
        <f>IFERROR(VLOOKUP(A382,[3]DOORSCRIEFT!$A$2:$G$6834,3,FALSE),"")</f>
        <v/>
      </c>
      <c r="E382" s="480" t="str">
        <f>IFERROR(VLOOKUP(A382,[3]DOORSCRIEFT!$A$2:$G$6834,4,FALSE),"")</f>
        <v/>
      </c>
      <c r="F382" s="405" t="str">
        <f>IFERROR(VLOOKUP(A382,[3]DOORSCRIEFT!$A$2:$G$6834,7,FALSE),"")</f>
        <v/>
      </c>
      <c r="G382" s="315"/>
    </row>
    <row r="383" spans="1:7" x14ac:dyDescent="0.25">
      <c r="A383" s="321" t="str">
        <f t="shared" si="11"/>
        <v>II.2.2.047</v>
      </c>
      <c r="B383" s="321">
        <v>7</v>
      </c>
      <c r="C383" s="320" t="str">
        <f>IFERROR(VLOOKUP(A383,[3]DOORSCRIEFT!$A$2:$G$6834,2,FALSE),"")</f>
        <v/>
      </c>
      <c r="D383" s="481" t="str">
        <f>IFERROR(VLOOKUP(A383,[3]DOORSCRIEFT!$A$2:$G$6834,3,FALSE),"")</f>
        <v/>
      </c>
      <c r="E383" s="480" t="str">
        <f>IFERROR(VLOOKUP(A383,[3]DOORSCRIEFT!$A$2:$G$6834,4,FALSE),"")</f>
        <v/>
      </c>
      <c r="F383" s="405" t="str">
        <f>IFERROR(VLOOKUP(A383,[3]DOORSCRIEFT!$A$2:$G$6834,7,FALSE),"")</f>
        <v/>
      </c>
      <c r="G383" s="315"/>
    </row>
    <row r="384" spans="1:7" x14ac:dyDescent="0.25">
      <c r="A384" s="321" t="str">
        <f t="shared" si="11"/>
        <v>II.2.2.048</v>
      </c>
      <c r="B384" s="321">
        <v>8</v>
      </c>
      <c r="C384" s="320" t="str">
        <f>IFERROR(VLOOKUP(A384,[3]DOORSCRIEFT!$A$2:$G$6834,2,FALSE),"")</f>
        <v/>
      </c>
      <c r="D384" s="481" t="str">
        <f>IFERROR(VLOOKUP(A384,[3]DOORSCRIEFT!$A$2:$G$6834,3,FALSE),"")</f>
        <v/>
      </c>
      <c r="E384" s="480" t="str">
        <f>IFERROR(VLOOKUP(A384,[3]DOORSCRIEFT!$A$2:$G$6834,4,FALSE),"")</f>
        <v/>
      </c>
      <c r="F384" s="405" t="str">
        <f>IFERROR(VLOOKUP(A384,[3]DOORSCRIEFT!$A$2:$G$6834,7,FALSE),"")</f>
        <v/>
      </c>
      <c r="G384" s="315"/>
    </row>
    <row r="385" spans="1:7" x14ac:dyDescent="0.25">
      <c r="A385" s="321" t="str">
        <f t="shared" si="11"/>
        <v>II.2.2.049</v>
      </c>
      <c r="B385" s="321">
        <v>9</v>
      </c>
      <c r="C385" s="320" t="str">
        <f>IFERROR(VLOOKUP(A385,[3]DOORSCRIEFT!$A$2:$G$6834,2,FALSE),"")</f>
        <v/>
      </c>
      <c r="D385" s="481" t="str">
        <f>IFERROR(VLOOKUP(A385,[3]DOORSCRIEFT!$A$2:$G$6834,3,FALSE),"")</f>
        <v/>
      </c>
      <c r="E385" s="480" t="str">
        <f>IFERROR(VLOOKUP(A385,[3]DOORSCRIEFT!$A$2:$G$6834,4,FALSE),"")</f>
        <v/>
      </c>
      <c r="F385" s="405" t="str">
        <f>IFERROR(VLOOKUP(A385,[3]DOORSCRIEFT!$A$2:$G$6834,7,FALSE),"")</f>
        <v/>
      </c>
      <c r="G385" s="315"/>
    </row>
    <row r="386" spans="1:7" x14ac:dyDescent="0.25">
      <c r="A386" s="321" t="str">
        <f t="shared" si="11"/>
        <v>II.2.2.0410</v>
      </c>
      <c r="B386" s="321">
        <v>10</v>
      </c>
      <c r="C386" s="320" t="str">
        <f>IFERROR(VLOOKUP(A386,[3]DOORSCRIEFT!$A$2:$G$6834,2,FALSE),"")</f>
        <v/>
      </c>
      <c r="D386" s="481" t="str">
        <f>IFERROR(VLOOKUP(A386,[3]DOORSCRIEFT!$A$2:$G$6834,3,FALSE),"")</f>
        <v/>
      </c>
      <c r="E386" s="480" t="str">
        <f>IFERROR(VLOOKUP(A386,[3]DOORSCRIEFT!$A$2:$G$6834,4,FALSE),"")</f>
        <v/>
      </c>
      <c r="F386" s="405" t="str">
        <f>IFERROR(VLOOKUP(A386,[3]DOORSCRIEFT!$A$2:$G$6834,7,FALSE),"")</f>
        <v/>
      </c>
      <c r="G386" s="315"/>
    </row>
    <row r="387" spans="1:7" x14ac:dyDescent="0.25">
      <c r="A387" s="321" t="str">
        <f t="shared" si="11"/>
        <v>II.2.2.0411</v>
      </c>
      <c r="B387" s="321">
        <v>11</v>
      </c>
      <c r="C387" s="320" t="str">
        <f>IFERROR(VLOOKUP(A387,[3]DOORSCRIEFT!$A$2:$G$6834,2,FALSE),"")</f>
        <v/>
      </c>
      <c r="D387" s="481" t="str">
        <f>IFERROR(VLOOKUP(A387,[3]DOORSCRIEFT!$A$2:$G$6834,3,FALSE),"")</f>
        <v/>
      </c>
      <c r="E387" s="480" t="str">
        <f>IFERROR(VLOOKUP(A387,[3]DOORSCRIEFT!$A$2:$G$6834,4,FALSE),"")</f>
        <v/>
      </c>
      <c r="F387" s="405" t="str">
        <f>IFERROR(VLOOKUP(A387,[3]DOORSCRIEFT!$A$2:$G$6834,7,FALSE),"")</f>
        <v/>
      </c>
      <c r="G387" s="315"/>
    </row>
    <row r="388" spans="1:7" x14ac:dyDescent="0.25">
      <c r="A388" s="321" t="str">
        <f t="shared" si="11"/>
        <v>II.2.2.0412</v>
      </c>
      <c r="B388" s="321">
        <v>12</v>
      </c>
      <c r="C388" s="320" t="str">
        <f>IFERROR(VLOOKUP(A388,[3]DOORSCRIEFT!$A$2:$G$6834,2,FALSE),"")</f>
        <v/>
      </c>
      <c r="D388" s="481" t="str">
        <f>IFERROR(VLOOKUP(A388,[3]DOORSCRIEFT!$A$2:$G$6834,3,FALSE),"")</f>
        <v/>
      </c>
      <c r="E388" s="480" t="str">
        <f>IFERROR(VLOOKUP(A388,[3]DOORSCRIEFT!$A$2:$G$6834,4,FALSE),"")</f>
        <v/>
      </c>
      <c r="F388" s="405" t="str">
        <f>IFERROR(VLOOKUP(A388,[3]DOORSCRIEFT!$A$2:$G$6834,7,FALSE),"")</f>
        <v/>
      </c>
      <c r="G388" s="315"/>
    </row>
    <row r="389" spans="1:7" x14ac:dyDescent="0.25">
      <c r="A389" s="321" t="str">
        <f t="shared" si="11"/>
        <v>II.2.2.0413</v>
      </c>
      <c r="B389" s="321">
        <v>13</v>
      </c>
      <c r="C389" s="320" t="str">
        <f>IFERROR(VLOOKUP(A389,[3]DOORSCRIEFT!$A$2:$G$6834,2,FALSE),"")</f>
        <v/>
      </c>
      <c r="D389" s="481" t="str">
        <f>IFERROR(VLOOKUP(A389,[3]DOORSCRIEFT!$A$2:$G$6834,3,FALSE),"")</f>
        <v/>
      </c>
      <c r="E389" s="480" t="str">
        <f>IFERROR(VLOOKUP(A389,[3]DOORSCRIEFT!$A$2:$G$6834,4,FALSE),"")</f>
        <v/>
      </c>
      <c r="F389" s="405" t="str">
        <f>IFERROR(VLOOKUP(A389,[3]DOORSCRIEFT!$A$2:$G$6834,7,FALSE),"")</f>
        <v/>
      </c>
      <c r="G389" s="315"/>
    </row>
    <row r="390" spans="1:7" x14ac:dyDescent="0.25">
      <c r="A390" s="321" t="str">
        <f t="shared" si="11"/>
        <v>II.2.2.0414</v>
      </c>
      <c r="B390" s="321">
        <v>14</v>
      </c>
      <c r="C390" s="320" t="str">
        <f>IFERROR(VLOOKUP(A390,[3]DOORSCRIEFT!$A$2:$G$6834,2,FALSE),"")</f>
        <v/>
      </c>
      <c r="D390" s="481" t="str">
        <f>IFERROR(VLOOKUP(A390,[3]DOORSCRIEFT!$A$2:$G$6834,3,FALSE),"")</f>
        <v/>
      </c>
      <c r="E390" s="480" t="str">
        <f>IFERROR(VLOOKUP(A390,[3]DOORSCRIEFT!$A$2:$G$6834,4,FALSE),"")</f>
        <v/>
      </c>
      <c r="F390" s="405" t="str">
        <f>IFERROR(VLOOKUP(A390,[3]DOORSCRIEFT!$A$2:$G$6834,7,FALSE),"")</f>
        <v/>
      </c>
      <c r="G390" s="315"/>
    </row>
    <row r="391" spans="1:7" x14ac:dyDescent="0.25">
      <c r="A391" s="321" t="str">
        <f t="shared" si="11"/>
        <v>II.2.2.0415</v>
      </c>
      <c r="B391" s="321">
        <v>15</v>
      </c>
      <c r="C391" s="320" t="str">
        <f>IFERROR(VLOOKUP(A391,[3]DOORSCRIEFT!$A$2:$G$6834,2,FALSE),"")</f>
        <v/>
      </c>
      <c r="D391" s="481" t="str">
        <f>IFERROR(VLOOKUP(A391,[3]DOORSCRIEFT!$A$2:$G$6834,3,FALSE),"")</f>
        <v/>
      </c>
      <c r="E391" s="480" t="str">
        <f>IFERROR(VLOOKUP(A391,[3]DOORSCRIEFT!$A$2:$G$6834,4,FALSE),"")</f>
        <v/>
      </c>
      <c r="F391" s="405" t="str">
        <f>IFERROR(VLOOKUP(A391,[3]DOORSCRIEFT!$A$2:$G$6834,7,FALSE),"")</f>
        <v/>
      </c>
      <c r="G391" s="315"/>
    </row>
    <row r="392" spans="1:7" x14ac:dyDescent="0.25">
      <c r="A392" s="321" t="str">
        <f t="shared" si="11"/>
        <v>II.2.2.0416</v>
      </c>
      <c r="B392" s="321">
        <v>16</v>
      </c>
      <c r="C392" s="320" t="str">
        <f>IFERROR(VLOOKUP(A392,[3]DOORSCRIEFT!$A$2:$G$6834,2,FALSE),"")</f>
        <v/>
      </c>
      <c r="D392" s="481" t="str">
        <f>IFERROR(VLOOKUP(A392,[3]DOORSCRIEFT!$A$2:$G$6834,3,FALSE),"")</f>
        <v/>
      </c>
      <c r="E392" s="480" t="str">
        <f>IFERROR(VLOOKUP(A392,[3]DOORSCRIEFT!$A$2:$G$6834,4,FALSE),"")</f>
        <v/>
      </c>
      <c r="F392" s="405" t="str">
        <f>IFERROR(VLOOKUP(A392,[3]DOORSCRIEFT!$A$2:$G$6834,7,FALSE),"")</f>
        <v/>
      </c>
      <c r="G392" s="315"/>
    </row>
    <row r="393" spans="1:7" x14ac:dyDescent="0.25">
      <c r="A393" s="321" t="str">
        <f t="shared" si="11"/>
        <v>II.2.2.0417</v>
      </c>
      <c r="B393" s="321">
        <v>17</v>
      </c>
      <c r="C393" s="320" t="str">
        <f>IFERROR(VLOOKUP(A393,[3]DOORSCRIEFT!$A$2:$G$6834,2,FALSE),"")</f>
        <v/>
      </c>
      <c r="D393" s="481" t="str">
        <f>IFERROR(VLOOKUP(A393,[3]DOORSCRIEFT!$A$2:$G$6834,3,FALSE),"")</f>
        <v/>
      </c>
      <c r="E393" s="480" t="str">
        <f>IFERROR(VLOOKUP(A393,[3]DOORSCRIEFT!$A$2:$G$6834,4,FALSE),"")</f>
        <v/>
      </c>
      <c r="F393" s="405" t="str">
        <f>IFERROR(VLOOKUP(A393,[3]DOORSCRIEFT!$A$2:$G$6834,7,FALSE),"")</f>
        <v/>
      </c>
      <c r="G393" s="315"/>
    </row>
    <row r="394" spans="1:7" x14ac:dyDescent="0.25">
      <c r="A394" s="321" t="str">
        <f t="shared" si="11"/>
        <v>II.2.2.0418</v>
      </c>
      <c r="B394" s="321">
        <v>18</v>
      </c>
      <c r="C394" s="320" t="str">
        <f>IFERROR(VLOOKUP(A394,[3]DOORSCRIEFT!$A$2:$G$6834,2,FALSE),"")</f>
        <v/>
      </c>
      <c r="D394" s="481" t="str">
        <f>IFERROR(VLOOKUP(A394,[3]DOORSCRIEFT!$A$2:$G$6834,3,FALSE),"")</f>
        <v/>
      </c>
      <c r="E394" s="480" t="str">
        <f>IFERROR(VLOOKUP(A394,[3]DOORSCRIEFT!$A$2:$G$6834,4,FALSE),"")</f>
        <v/>
      </c>
      <c r="F394" s="405" t="str">
        <f>IFERROR(VLOOKUP(A394,[3]DOORSCRIEFT!$A$2:$G$6834,7,FALSE),"")</f>
        <v/>
      </c>
      <c r="G394" s="315"/>
    </row>
    <row r="395" spans="1:7" x14ac:dyDescent="0.25">
      <c r="A395" s="321" t="str">
        <f t="shared" si="11"/>
        <v>II.2.2.0419</v>
      </c>
      <c r="B395" s="321">
        <v>19</v>
      </c>
      <c r="C395" s="320" t="str">
        <f>IFERROR(VLOOKUP(A395,[3]DOORSCRIEFT!$A$2:$G$6834,2,FALSE),"")</f>
        <v/>
      </c>
      <c r="D395" s="481" t="str">
        <f>IFERROR(VLOOKUP(A395,[3]DOORSCRIEFT!$A$2:$G$6834,3,FALSE),"")</f>
        <v/>
      </c>
      <c r="E395" s="480" t="str">
        <f>IFERROR(VLOOKUP(A395,[3]DOORSCRIEFT!$A$2:$G$6834,4,FALSE),"")</f>
        <v/>
      </c>
      <c r="F395" s="405" t="str">
        <f>IFERROR(VLOOKUP(A395,[3]DOORSCRIEFT!$A$2:$G$6834,7,FALSE),"")</f>
        <v/>
      </c>
      <c r="G395" s="315"/>
    </row>
    <row r="396" spans="1:7" x14ac:dyDescent="0.25">
      <c r="A396" s="321" t="str">
        <f t="shared" si="11"/>
        <v>II.2.2.0420</v>
      </c>
      <c r="B396" s="321">
        <v>20</v>
      </c>
      <c r="C396" s="320" t="str">
        <f>IFERROR(VLOOKUP(A396,[3]DOORSCRIEFT!$A$2:$G$6834,2,FALSE),"")</f>
        <v/>
      </c>
      <c r="D396" s="481" t="str">
        <f>IFERROR(VLOOKUP(A396,[3]DOORSCRIEFT!$A$2:$G$6834,3,FALSE),"")</f>
        <v/>
      </c>
      <c r="E396" s="480" t="str">
        <f>IFERROR(VLOOKUP(A396,[3]DOORSCRIEFT!$A$2:$G$6834,4,FALSE),"")</f>
        <v/>
      </c>
      <c r="F396" s="405" t="str">
        <f>IFERROR(VLOOKUP(A396,[3]DOORSCRIEFT!$A$2:$G$6834,7,FALSE),"")</f>
        <v/>
      </c>
      <c r="G396" s="315"/>
    </row>
    <row r="397" spans="1:7" x14ac:dyDescent="0.25">
      <c r="A397" s="321" t="str">
        <f t="shared" si="11"/>
        <v>II.2.2.0421</v>
      </c>
      <c r="B397" s="321">
        <v>21</v>
      </c>
      <c r="C397" s="320" t="str">
        <f>IFERROR(VLOOKUP(A397,[3]DOORSCRIEFT!$A$2:$G$6834,2,FALSE),"")</f>
        <v/>
      </c>
      <c r="D397" s="481" t="str">
        <f>IFERROR(VLOOKUP(A397,[3]DOORSCRIEFT!$A$2:$G$6834,3,FALSE),"")</f>
        <v/>
      </c>
      <c r="E397" s="480" t="str">
        <f>IFERROR(VLOOKUP(A397,[3]DOORSCRIEFT!$A$2:$G$6834,4,FALSE),"")</f>
        <v/>
      </c>
      <c r="F397" s="405" t="str">
        <f>IFERROR(VLOOKUP(A397,[3]DOORSCRIEFT!$A$2:$G$6834,7,FALSE),"")</f>
        <v/>
      </c>
      <c r="G397" s="315"/>
    </row>
    <row r="398" spans="1:7" x14ac:dyDescent="0.25">
      <c r="A398" s="321" t="str">
        <f t="shared" si="11"/>
        <v>II.2.2.0422</v>
      </c>
      <c r="B398" s="321">
        <v>22</v>
      </c>
      <c r="C398" s="320" t="str">
        <f>IFERROR(VLOOKUP(A398,[3]DOORSCRIEFT!$A$2:$G$6834,2,FALSE),"")</f>
        <v/>
      </c>
      <c r="D398" s="481" t="str">
        <f>IFERROR(VLOOKUP(A398,[3]DOORSCRIEFT!$A$2:$G$6834,3,FALSE),"")</f>
        <v/>
      </c>
      <c r="E398" s="480" t="str">
        <f>IFERROR(VLOOKUP(A398,[3]DOORSCRIEFT!$A$2:$G$6834,4,FALSE),"")</f>
        <v/>
      </c>
      <c r="F398" s="405" t="str">
        <f>IFERROR(VLOOKUP(A398,[3]DOORSCRIEFT!$A$2:$G$6834,7,FALSE),"")</f>
        <v/>
      </c>
      <c r="G398" s="315"/>
    </row>
    <row r="399" spans="1:7" ht="15.75" thickBot="1" x14ac:dyDescent="0.3">
      <c r="A399" s="342" t="str">
        <f t="shared" si="11"/>
        <v>II.2.2.0423</v>
      </c>
      <c r="B399" s="342">
        <v>23</v>
      </c>
      <c r="C399" s="320" t="str">
        <f>IFERROR(VLOOKUP(A399,[3]DOORSCRIEFT!$A$2:$G$6834,2,FALSE),"")</f>
        <v/>
      </c>
      <c r="D399" s="481" t="str">
        <f>IFERROR(VLOOKUP(A399,[3]DOORSCRIEFT!$A$2:$G$6834,3,FALSE),"")</f>
        <v/>
      </c>
      <c r="E399" s="480" t="str">
        <f>IFERROR(VLOOKUP(A399,[3]DOORSCRIEFT!$A$2:$G$6834,4,FALSE),"")</f>
        <v/>
      </c>
      <c r="F399" s="405" t="str">
        <f>IFERROR(VLOOKUP(A399,[3]DOORSCRIEFT!$A$2:$G$6834,7,FALSE),"")</f>
        <v/>
      </c>
      <c r="G399" s="315"/>
    </row>
    <row r="400" spans="1:7" ht="15.75" thickBot="1" x14ac:dyDescent="0.3">
      <c r="A400" s="341"/>
      <c r="B400" s="340"/>
      <c r="C400" s="336"/>
      <c r="D400" s="486"/>
      <c r="E400" s="340" t="s">
        <v>644</v>
      </c>
      <c r="F400" s="310">
        <f>SUM(F377:F399)</f>
        <v>800000</v>
      </c>
      <c r="G400" s="309">
        <f>SUM(G377:G399)</f>
        <v>0</v>
      </c>
    </row>
    <row r="401" spans="1:7" x14ac:dyDescent="0.25">
      <c r="C401" s="335"/>
      <c r="D401" s="485"/>
    </row>
    <row r="402" spans="1:7" x14ac:dyDescent="0.25">
      <c r="C402" s="335"/>
      <c r="D402" s="485"/>
    </row>
    <row r="403" spans="1:7" ht="15.75" x14ac:dyDescent="0.25">
      <c r="C403" s="334" t="s">
        <v>663</v>
      </c>
      <c r="D403" s="484"/>
      <c r="E403" s="333"/>
      <c r="F403" s="327" t="s">
        <v>607</v>
      </c>
      <c r="G403" s="327" t="s">
        <v>249</v>
      </c>
    </row>
    <row r="404" spans="1:7" ht="15.75" x14ac:dyDescent="0.25">
      <c r="C404" s="334"/>
      <c r="D404" s="484"/>
      <c r="E404" s="333"/>
      <c r="F404" s="327" t="s">
        <v>601</v>
      </c>
      <c r="G404" s="327" t="s">
        <v>248</v>
      </c>
    </row>
    <row r="405" spans="1:7" x14ac:dyDescent="0.25">
      <c r="C405" s="330"/>
      <c r="D405" s="482"/>
      <c r="E405" s="329"/>
      <c r="F405" s="327" t="s">
        <v>651</v>
      </c>
      <c r="G405" s="331">
        <f>[2]Sheet1!$D$243</f>
        <v>36000000</v>
      </c>
    </row>
    <row r="406" spans="1:7" ht="15.75" thickBot="1" x14ac:dyDescent="0.3">
      <c r="C406" s="330"/>
      <c r="D406" s="482"/>
      <c r="E406" s="329"/>
      <c r="F406" s="327" t="s">
        <v>650</v>
      </c>
      <c r="G406" s="326">
        <f>+F433-G405</f>
        <v>-26100000</v>
      </c>
    </row>
    <row r="407" spans="1:7" x14ac:dyDescent="0.25">
      <c r="A407" s="571" t="s">
        <v>655</v>
      </c>
      <c r="B407" s="573" t="s">
        <v>606</v>
      </c>
      <c r="C407" s="588" t="s">
        <v>649</v>
      </c>
      <c r="D407" s="599" t="s">
        <v>648</v>
      </c>
      <c r="E407" s="577" t="s">
        <v>647</v>
      </c>
      <c r="F407" s="577" t="s">
        <v>646</v>
      </c>
      <c r="G407" s="580" t="s">
        <v>645</v>
      </c>
    </row>
    <row r="408" spans="1:7" ht="15.75" thickBot="1" x14ac:dyDescent="0.3">
      <c r="A408" s="572"/>
      <c r="B408" s="574"/>
      <c r="C408" s="589"/>
      <c r="D408" s="600"/>
      <c r="E408" s="578"/>
      <c r="F408" s="578"/>
      <c r="G408" s="581"/>
    </row>
    <row r="409" spans="1:7" ht="15.75" thickBot="1" x14ac:dyDescent="0.3">
      <c r="A409" s="425">
        <v>1</v>
      </c>
      <c r="B409" s="425">
        <v>2</v>
      </c>
      <c r="C409" s="425">
        <v>3</v>
      </c>
      <c r="D409" s="425">
        <v>4</v>
      </c>
      <c r="E409" s="425">
        <v>5</v>
      </c>
      <c r="F409" s="425">
        <v>6</v>
      </c>
      <c r="G409" s="425">
        <v>7</v>
      </c>
    </row>
    <row r="410" spans="1:7" x14ac:dyDescent="0.25">
      <c r="A410" s="320" t="str">
        <f t="shared" ref="A410:A432" si="12">$G$403&amp;B410</f>
        <v>II.2.2.051</v>
      </c>
      <c r="B410" s="320">
        <v>1</v>
      </c>
      <c r="C410" s="320">
        <f>IFERROR(VLOOKUP(A410,[3]DOORSCRIEFT!$A$2:$G$6834,2,FALSE),"")</f>
        <v>140</v>
      </c>
      <c r="D410" s="481">
        <f>IFERROR(VLOOKUP(A410,[3]DOORSCRIEFT!$A$2:$G$6834,3,FALSE),"")</f>
        <v>46052</v>
      </c>
      <c r="E410" s="480" t="str">
        <f>IFERROR(VLOOKUP(A410,[3]DOORSCRIEFT!$A$2:$G$6834,4,FALSE),"")</f>
        <v>Insentif Tuagama bulan Januari</v>
      </c>
      <c r="F410" s="405">
        <f>IFERROR(VLOOKUP(A410,[3]DOORSCRIEFT!$A$2:$G$6834,7,FALSE),"")</f>
        <v>3300000</v>
      </c>
      <c r="G410" s="322"/>
    </row>
    <row r="411" spans="1:7" x14ac:dyDescent="0.25">
      <c r="A411" s="321" t="str">
        <f t="shared" si="12"/>
        <v>II.2.2.052</v>
      </c>
      <c r="B411" s="321">
        <v>2</v>
      </c>
      <c r="C411" s="320">
        <f>IFERROR(VLOOKUP(A411,[3]DOORSCRIEFT!$A$2:$G$6834,2,FALSE),"")</f>
        <v>403</v>
      </c>
      <c r="D411" s="481">
        <f>IFERROR(VLOOKUP(A411,[3]DOORSCRIEFT!$A$2:$G$6834,3,FALSE),"")</f>
        <v>46103</v>
      </c>
      <c r="E411" s="480" t="str">
        <f>IFERROR(VLOOKUP(A411,[3]DOORSCRIEFT!$A$2:$G$6834,4,FALSE),"")</f>
        <v>Bayar Insentif Tuagama bulan Februari</v>
      </c>
      <c r="F411" s="405">
        <f>IFERROR(VLOOKUP(A411,[3]DOORSCRIEFT!$A$2:$G$6834,7,FALSE),"")</f>
        <v>3300000</v>
      </c>
      <c r="G411" s="315"/>
    </row>
    <row r="412" spans="1:7" x14ac:dyDescent="0.25">
      <c r="A412" s="321" t="str">
        <f t="shared" si="12"/>
        <v>II.2.2.053</v>
      </c>
      <c r="B412" s="321">
        <v>3</v>
      </c>
      <c r="C412" s="320">
        <f>IFERROR(VLOOKUP(A412,[3]DOORSCRIEFT!$A$2:$G$6834,2,FALSE),"")</f>
        <v>450</v>
      </c>
      <c r="D412" s="481">
        <f>IFERROR(VLOOKUP(A412,[3]DOORSCRIEFT!$A$2:$G$6834,3,FALSE),"")</f>
        <v>46110</v>
      </c>
      <c r="E412" s="480" t="str">
        <f>IFERROR(VLOOKUP(A412,[3]DOORSCRIEFT!$A$2:$G$6834,4,FALSE),"")</f>
        <v>Bayar Insentif Tuagama bulan Maret</v>
      </c>
      <c r="F412" s="405">
        <f>IFERROR(VLOOKUP(A412,[3]DOORSCRIEFT!$A$2:$G$6834,7,FALSE),"")</f>
        <v>3300000</v>
      </c>
      <c r="G412" s="315"/>
    </row>
    <row r="413" spans="1:7" x14ac:dyDescent="0.25">
      <c r="A413" s="321" t="str">
        <f t="shared" si="12"/>
        <v>II.2.2.054</v>
      </c>
      <c r="B413" s="321">
        <v>4</v>
      </c>
      <c r="C413" s="320" t="str">
        <f>IFERROR(VLOOKUP(A413,[3]DOORSCRIEFT!$A$2:$G$6834,2,FALSE),"")</f>
        <v/>
      </c>
      <c r="D413" s="481" t="str">
        <f>IFERROR(VLOOKUP(A413,[3]DOORSCRIEFT!$A$2:$G$6834,3,FALSE),"")</f>
        <v/>
      </c>
      <c r="E413" s="480" t="str">
        <f>IFERROR(VLOOKUP(A413,[3]DOORSCRIEFT!$A$2:$G$6834,4,FALSE),"")</f>
        <v/>
      </c>
      <c r="F413" s="405" t="str">
        <f>IFERROR(VLOOKUP(A413,[3]DOORSCRIEFT!$A$2:$G$6834,7,FALSE),"")</f>
        <v/>
      </c>
      <c r="G413" s="315"/>
    </row>
    <row r="414" spans="1:7" x14ac:dyDescent="0.25">
      <c r="A414" s="321" t="str">
        <f t="shared" si="12"/>
        <v>II.2.2.055</v>
      </c>
      <c r="B414" s="321">
        <v>5</v>
      </c>
      <c r="C414" s="320" t="str">
        <f>IFERROR(VLOOKUP(A414,[3]DOORSCRIEFT!$A$2:$G$6834,2,FALSE),"")</f>
        <v/>
      </c>
      <c r="D414" s="481" t="str">
        <f>IFERROR(VLOOKUP(A414,[3]DOORSCRIEFT!$A$2:$G$6834,3,FALSE),"")</f>
        <v/>
      </c>
      <c r="E414" s="480" t="str">
        <f>IFERROR(VLOOKUP(A414,[3]DOORSCRIEFT!$A$2:$G$6834,4,FALSE),"")</f>
        <v/>
      </c>
      <c r="F414" s="405" t="str">
        <f>IFERROR(VLOOKUP(A414,[3]DOORSCRIEFT!$A$2:$G$6834,7,FALSE),"")</f>
        <v/>
      </c>
      <c r="G414" s="315"/>
    </row>
    <row r="415" spans="1:7" x14ac:dyDescent="0.25">
      <c r="A415" s="321" t="str">
        <f t="shared" si="12"/>
        <v>II.2.2.056</v>
      </c>
      <c r="B415" s="321">
        <v>6</v>
      </c>
      <c r="C415" s="320" t="str">
        <f>IFERROR(VLOOKUP(A415,[3]DOORSCRIEFT!$A$2:$G$6834,2,FALSE),"")</f>
        <v/>
      </c>
      <c r="D415" s="481" t="str">
        <f>IFERROR(VLOOKUP(A415,[3]DOORSCRIEFT!$A$2:$G$6834,3,FALSE),"")</f>
        <v/>
      </c>
      <c r="E415" s="480" t="str">
        <f>IFERROR(VLOOKUP(A415,[3]DOORSCRIEFT!$A$2:$G$6834,4,FALSE),"")</f>
        <v/>
      </c>
      <c r="F415" s="405" t="str">
        <f>IFERROR(VLOOKUP(A415,[3]DOORSCRIEFT!$A$2:$G$6834,7,FALSE),"")</f>
        <v/>
      </c>
      <c r="G415" s="315"/>
    </row>
    <row r="416" spans="1:7" x14ac:dyDescent="0.25">
      <c r="A416" s="321" t="str">
        <f t="shared" si="12"/>
        <v>II.2.2.057</v>
      </c>
      <c r="B416" s="321">
        <v>7</v>
      </c>
      <c r="C416" s="320" t="str">
        <f>IFERROR(VLOOKUP(A416,[3]DOORSCRIEFT!$A$2:$G$6834,2,FALSE),"")</f>
        <v/>
      </c>
      <c r="D416" s="481" t="str">
        <f>IFERROR(VLOOKUP(A416,[3]DOORSCRIEFT!$A$2:$G$6834,3,FALSE),"")</f>
        <v/>
      </c>
      <c r="E416" s="480" t="str">
        <f>IFERROR(VLOOKUP(A416,[3]DOORSCRIEFT!$A$2:$G$6834,4,FALSE),"")</f>
        <v/>
      </c>
      <c r="F416" s="405" t="str">
        <f>IFERROR(VLOOKUP(A416,[3]DOORSCRIEFT!$A$2:$G$6834,7,FALSE),"")</f>
        <v/>
      </c>
      <c r="G416" s="315"/>
    </row>
    <row r="417" spans="1:7" x14ac:dyDescent="0.25">
      <c r="A417" s="321" t="str">
        <f t="shared" si="12"/>
        <v>II.2.2.058</v>
      </c>
      <c r="B417" s="321">
        <v>8</v>
      </c>
      <c r="C417" s="320" t="str">
        <f>IFERROR(VLOOKUP(A417,[3]DOORSCRIEFT!$A$2:$G$6834,2,FALSE),"")</f>
        <v/>
      </c>
      <c r="D417" s="481" t="str">
        <f>IFERROR(VLOOKUP(A417,[3]DOORSCRIEFT!$A$2:$G$6834,3,FALSE),"")</f>
        <v/>
      </c>
      <c r="E417" s="480" t="str">
        <f>IFERROR(VLOOKUP(A417,[3]DOORSCRIEFT!$A$2:$G$6834,4,FALSE),"")</f>
        <v/>
      </c>
      <c r="F417" s="405" t="str">
        <f>IFERROR(VLOOKUP(A417,[3]DOORSCRIEFT!$A$2:$G$6834,7,FALSE),"")</f>
        <v/>
      </c>
      <c r="G417" s="315"/>
    </row>
    <row r="418" spans="1:7" x14ac:dyDescent="0.25">
      <c r="A418" s="321" t="str">
        <f t="shared" si="12"/>
        <v>II.2.2.059</v>
      </c>
      <c r="B418" s="321">
        <v>9</v>
      </c>
      <c r="C418" s="320" t="str">
        <f>IFERROR(VLOOKUP(A418,[3]DOORSCRIEFT!$A$2:$G$6834,2,FALSE),"")</f>
        <v/>
      </c>
      <c r="D418" s="481" t="str">
        <f>IFERROR(VLOOKUP(A418,[3]DOORSCRIEFT!$A$2:$G$6834,3,FALSE),"")</f>
        <v/>
      </c>
      <c r="E418" s="480" t="str">
        <f>IFERROR(VLOOKUP(A418,[3]DOORSCRIEFT!$A$2:$G$6834,4,FALSE),"")</f>
        <v/>
      </c>
      <c r="F418" s="405" t="str">
        <f>IFERROR(VLOOKUP(A418,[3]DOORSCRIEFT!$A$2:$G$6834,7,FALSE),"")</f>
        <v/>
      </c>
      <c r="G418" s="315"/>
    </row>
    <row r="419" spans="1:7" x14ac:dyDescent="0.25">
      <c r="A419" s="321" t="str">
        <f t="shared" si="12"/>
        <v>II.2.2.0510</v>
      </c>
      <c r="B419" s="321">
        <v>10</v>
      </c>
      <c r="C419" s="320" t="str">
        <f>IFERROR(VLOOKUP(A419,[3]DOORSCRIEFT!$A$2:$G$6834,2,FALSE),"")</f>
        <v/>
      </c>
      <c r="D419" s="481" t="str">
        <f>IFERROR(VLOOKUP(A419,[3]DOORSCRIEFT!$A$2:$G$6834,3,FALSE),"")</f>
        <v/>
      </c>
      <c r="E419" s="480" t="str">
        <f>IFERROR(VLOOKUP(A419,[3]DOORSCRIEFT!$A$2:$G$6834,4,FALSE),"")</f>
        <v/>
      </c>
      <c r="F419" s="405" t="str">
        <f>IFERROR(VLOOKUP(A419,[3]DOORSCRIEFT!$A$2:$G$6834,7,FALSE),"")</f>
        <v/>
      </c>
      <c r="G419" s="315"/>
    </row>
    <row r="420" spans="1:7" x14ac:dyDescent="0.25">
      <c r="A420" s="321" t="str">
        <f t="shared" si="12"/>
        <v>II.2.2.0511</v>
      </c>
      <c r="B420" s="321">
        <v>11</v>
      </c>
      <c r="C420" s="320" t="str">
        <f>IFERROR(VLOOKUP(A420,[3]DOORSCRIEFT!$A$2:$G$6834,2,FALSE),"")</f>
        <v/>
      </c>
      <c r="D420" s="481" t="str">
        <f>IFERROR(VLOOKUP(A420,[3]DOORSCRIEFT!$A$2:$G$6834,3,FALSE),"")</f>
        <v/>
      </c>
      <c r="E420" s="480" t="str">
        <f>IFERROR(VLOOKUP(A420,[3]DOORSCRIEFT!$A$2:$G$6834,4,FALSE),"")</f>
        <v/>
      </c>
      <c r="F420" s="405" t="str">
        <f>IFERROR(VLOOKUP(A420,[3]DOORSCRIEFT!$A$2:$G$6834,7,FALSE),"")</f>
        <v/>
      </c>
      <c r="G420" s="315"/>
    </row>
    <row r="421" spans="1:7" x14ac:dyDescent="0.25">
      <c r="A421" s="321" t="str">
        <f t="shared" si="12"/>
        <v>II.2.2.0512</v>
      </c>
      <c r="B421" s="321">
        <v>12</v>
      </c>
      <c r="C421" s="320" t="str">
        <f>IFERROR(VLOOKUP(A421,[3]DOORSCRIEFT!$A$2:$G$6834,2,FALSE),"")</f>
        <v/>
      </c>
      <c r="D421" s="481" t="str">
        <f>IFERROR(VLOOKUP(A421,[3]DOORSCRIEFT!$A$2:$G$6834,3,FALSE),"")</f>
        <v/>
      </c>
      <c r="E421" s="480" t="str">
        <f>IFERROR(VLOOKUP(A421,[3]DOORSCRIEFT!$A$2:$G$6834,4,FALSE),"")</f>
        <v/>
      </c>
      <c r="F421" s="405" t="str">
        <f>IFERROR(VLOOKUP(A421,[3]DOORSCRIEFT!$A$2:$G$6834,7,FALSE),"")</f>
        <v/>
      </c>
      <c r="G421" s="315"/>
    </row>
    <row r="422" spans="1:7" x14ac:dyDescent="0.25">
      <c r="A422" s="321" t="str">
        <f t="shared" si="12"/>
        <v>II.2.2.0513</v>
      </c>
      <c r="B422" s="321">
        <v>13</v>
      </c>
      <c r="C422" s="320" t="str">
        <f>IFERROR(VLOOKUP(A422,[3]DOORSCRIEFT!$A$2:$G$6834,2,FALSE),"")</f>
        <v/>
      </c>
      <c r="D422" s="481" t="str">
        <f>IFERROR(VLOOKUP(A422,[3]DOORSCRIEFT!$A$2:$G$6834,3,FALSE),"")</f>
        <v/>
      </c>
      <c r="E422" s="480" t="str">
        <f>IFERROR(VLOOKUP(A422,[3]DOORSCRIEFT!$A$2:$G$6834,4,FALSE),"")</f>
        <v/>
      </c>
      <c r="F422" s="405" t="str">
        <f>IFERROR(VLOOKUP(A422,[3]DOORSCRIEFT!$A$2:$G$6834,7,FALSE),"")</f>
        <v/>
      </c>
      <c r="G422" s="315"/>
    </row>
    <row r="423" spans="1:7" x14ac:dyDescent="0.25">
      <c r="A423" s="321" t="str">
        <f t="shared" si="12"/>
        <v>II.2.2.0514</v>
      </c>
      <c r="B423" s="321">
        <v>14</v>
      </c>
      <c r="C423" s="320" t="str">
        <f>IFERROR(VLOOKUP(A423,[3]DOORSCRIEFT!$A$2:$G$6834,2,FALSE),"")</f>
        <v/>
      </c>
      <c r="D423" s="481" t="str">
        <f>IFERROR(VLOOKUP(A423,[3]DOORSCRIEFT!$A$2:$G$6834,3,FALSE),"")</f>
        <v/>
      </c>
      <c r="E423" s="480" t="str">
        <f>IFERROR(VLOOKUP(A423,[3]DOORSCRIEFT!$A$2:$G$6834,4,FALSE),"")</f>
        <v/>
      </c>
      <c r="F423" s="405" t="str">
        <f>IFERROR(VLOOKUP(A423,[3]DOORSCRIEFT!$A$2:$G$6834,7,FALSE),"")</f>
        <v/>
      </c>
      <c r="G423" s="315"/>
    </row>
    <row r="424" spans="1:7" x14ac:dyDescent="0.25">
      <c r="A424" s="321" t="str">
        <f t="shared" si="12"/>
        <v>II.2.2.0515</v>
      </c>
      <c r="B424" s="321">
        <v>15</v>
      </c>
      <c r="C424" s="320" t="str">
        <f>IFERROR(VLOOKUP(A424,[3]DOORSCRIEFT!$A$2:$G$6834,2,FALSE),"")</f>
        <v/>
      </c>
      <c r="D424" s="481" t="str">
        <f>IFERROR(VLOOKUP(A424,[3]DOORSCRIEFT!$A$2:$G$6834,3,FALSE),"")</f>
        <v/>
      </c>
      <c r="E424" s="480" t="str">
        <f>IFERROR(VLOOKUP(A424,[3]DOORSCRIEFT!$A$2:$G$6834,4,FALSE),"")</f>
        <v/>
      </c>
      <c r="F424" s="405" t="str">
        <f>IFERROR(VLOOKUP(A424,[3]DOORSCRIEFT!$A$2:$G$6834,7,FALSE),"")</f>
        <v/>
      </c>
      <c r="G424" s="315"/>
    </row>
    <row r="425" spans="1:7" x14ac:dyDescent="0.25">
      <c r="A425" s="321" t="str">
        <f t="shared" si="12"/>
        <v>II.2.2.0516</v>
      </c>
      <c r="B425" s="321">
        <v>16</v>
      </c>
      <c r="C425" s="320" t="str">
        <f>IFERROR(VLOOKUP(A425,[3]DOORSCRIEFT!$A$2:$G$6834,2,FALSE),"")</f>
        <v/>
      </c>
      <c r="D425" s="481" t="str">
        <f>IFERROR(VLOOKUP(A425,[3]DOORSCRIEFT!$A$2:$G$6834,3,FALSE),"")</f>
        <v/>
      </c>
      <c r="E425" s="480" t="str">
        <f>IFERROR(VLOOKUP(A425,[3]DOORSCRIEFT!$A$2:$G$6834,4,FALSE),"")</f>
        <v/>
      </c>
      <c r="F425" s="405" t="str">
        <f>IFERROR(VLOOKUP(A425,[3]DOORSCRIEFT!$A$2:$G$6834,7,FALSE),"")</f>
        <v/>
      </c>
      <c r="G425" s="315"/>
    </row>
    <row r="426" spans="1:7" x14ac:dyDescent="0.25">
      <c r="A426" s="321" t="str">
        <f t="shared" si="12"/>
        <v>II.2.2.0517</v>
      </c>
      <c r="B426" s="321">
        <v>17</v>
      </c>
      <c r="C426" s="320" t="str">
        <f>IFERROR(VLOOKUP(A426,[3]DOORSCRIEFT!$A$2:$G$6834,2,FALSE),"")</f>
        <v/>
      </c>
      <c r="D426" s="481" t="str">
        <f>IFERROR(VLOOKUP(A426,[3]DOORSCRIEFT!$A$2:$G$6834,3,FALSE),"")</f>
        <v/>
      </c>
      <c r="E426" s="480" t="str">
        <f>IFERROR(VLOOKUP(A426,[3]DOORSCRIEFT!$A$2:$G$6834,4,FALSE),"")</f>
        <v/>
      </c>
      <c r="F426" s="405" t="str">
        <f>IFERROR(VLOOKUP(A426,[3]DOORSCRIEFT!$A$2:$G$6834,7,FALSE),"")</f>
        <v/>
      </c>
      <c r="G426" s="315"/>
    </row>
    <row r="427" spans="1:7" x14ac:dyDescent="0.25">
      <c r="A427" s="321" t="str">
        <f t="shared" si="12"/>
        <v>II.2.2.0518</v>
      </c>
      <c r="B427" s="321">
        <v>18</v>
      </c>
      <c r="C427" s="320" t="str">
        <f>IFERROR(VLOOKUP(A427,[3]DOORSCRIEFT!$A$2:$G$6834,2,FALSE),"")</f>
        <v/>
      </c>
      <c r="D427" s="481" t="str">
        <f>IFERROR(VLOOKUP(A427,[3]DOORSCRIEFT!$A$2:$G$6834,3,FALSE),"")</f>
        <v/>
      </c>
      <c r="E427" s="480" t="str">
        <f>IFERROR(VLOOKUP(A427,[3]DOORSCRIEFT!$A$2:$G$6834,4,FALSE),"")</f>
        <v/>
      </c>
      <c r="F427" s="405" t="str">
        <f>IFERROR(VLOOKUP(A427,[3]DOORSCRIEFT!$A$2:$G$6834,7,FALSE),"")</f>
        <v/>
      </c>
      <c r="G427" s="315"/>
    </row>
    <row r="428" spans="1:7" x14ac:dyDescent="0.25">
      <c r="A428" s="321" t="str">
        <f t="shared" si="12"/>
        <v>II.2.2.0519</v>
      </c>
      <c r="B428" s="321">
        <v>19</v>
      </c>
      <c r="C428" s="320" t="str">
        <f>IFERROR(VLOOKUP(A428,[3]DOORSCRIEFT!$A$2:$G$6834,2,FALSE),"")</f>
        <v/>
      </c>
      <c r="D428" s="481" t="str">
        <f>IFERROR(VLOOKUP(A428,[3]DOORSCRIEFT!$A$2:$G$6834,3,FALSE),"")</f>
        <v/>
      </c>
      <c r="E428" s="480" t="str">
        <f>IFERROR(VLOOKUP(A428,[3]DOORSCRIEFT!$A$2:$G$6834,4,FALSE),"")</f>
        <v/>
      </c>
      <c r="F428" s="405" t="str">
        <f>IFERROR(VLOOKUP(A428,[3]DOORSCRIEFT!$A$2:$G$6834,7,FALSE),"")</f>
        <v/>
      </c>
      <c r="G428" s="315"/>
    </row>
    <row r="429" spans="1:7" x14ac:dyDescent="0.25">
      <c r="A429" s="321" t="str">
        <f t="shared" si="12"/>
        <v>II.2.2.0520</v>
      </c>
      <c r="B429" s="321">
        <v>20</v>
      </c>
      <c r="C429" s="320" t="str">
        <f>IFERROR(VLOOKUP(A429,[3]DOORSCRIEFT!$A$2:$G$6834,2,FALSE),"")</f>
        <v/>
      </c>
      <c r="D429" s="481" t="str">
        <f>IFERROR(VLOOKUP(A429,[3]DOORSCRIEFT!$A$2:$G$6834,3,FALSE),"")</f>
        <v/>
      </c>
      <c r="E429" s="480" t="str">
        <f>IFERROR(VLOOKUP(A429,[3]DOORSCRIEFT!$A$2:$G$6834,4,FALSE),"")</f>
        <v/>
      </c>
      <c r="F429" s="405" t="str">
        <f>IFERROR(VLOOKUP(A429,[3]DOORSCRIEFT!$A$2:$G$6834,7,FALSE),"")</f>
        <v/>
      </c>
      <c r="G429" s="315"/>
    </row>
    <row r="430" spans="1:7" x14ac:dyDescent="0.25">
      <c r="A430" s="321" t="str">
        <f t="shared" si="12"/>
        <v>II.2.2.0521</v>
      </c>
      <c r="B430" s="321">
        <v>21</v>
      </c>
      <c r="C430" s="320" t="str">
        <f>IFERROR(VLOOKUP(A430,[3]DOORSCRIEFT!$A$2:$G$6834,2,FALSE),"")</f>
        <v/>
      </c>
      <c r="D430" s="481" t="str">
        <f>IFERROR(VLOOKUP(A430,[3]DOORSCRIEFT!$A$2:$G$6834,3,FALSE),"")</f>
        <v/>
      </c>
      <c r="E430" s="480" t="str">
        <f>IFERROR(VLOOKUP(A430,[3]DOORSCRIEFT!$A$2:$G$6834,4,FALSE),"")</f>
        <v/>
      </c>
      <c r="F430" s="405" t="str">
        <f>IFERROR(VLOOKUP(A430,[3]DOORSCRIEFT!$A$2:$G$6834,7,FALSE),"")</f>
        <v/>
      </c>
      <c r="G430" s="315"/>
    </row>
    <row r="431" spans="1:7" x14ac:dyDescent="0.25">
      <c r="A431" s="321" t="str">
        <f t="shared" si="12"/>
        <v>II.2.2.0522</v>
      </c>
      <c r="B431" s="321">
        <v>22</v>
      </c>
      <c r="C431" s="320" t="str">
        <f>IFERROR(VLOOKUP(A431,[3]DOORSCRIEFT!$A$2:$G$6834,2,FALSE),"")</f>
        <v/>
      </c>
      <c r="D431" s="481" t="str">
        <f>IFERROR(VLOOKUP(A431,[3]DOORSCRIEFT!$A$2:$G$6834,3,FALSE),"")</f>
        <v/>
      </c>
      <c r="E431" s="480" t="str">
        <f>IFERROR(VLOOKUP(A431,[3]DOORSCRIEFT!$A$2:$G$6834,4,FALSE),"")</f>
        <v/>
      </c>
      <c r="F431" s="405" t="str">
        <f>IFERROR(VLOOKUP(A431,[3]DOORSCRIEFT!$A$2:$G$6834,7,FALSE),"")</f>
        <v/>
      </c>
      <c r="G431" s="315"/>
    </row>
    <row r="432" spans="1:7" ht="15.75" thickBot="1" x14ac:dyDescent="0.3">
      <c r="A432" s="342" t="str">
        <f t="shared" si="12"/>
        <v>II.2.2.0523</v>
      </c>
      <c r="B432" s="342">
        <v>23</v>
      </c>
      <c r="C432" s="320" t="str">
        <f>IFERROR(VLOOKUP(A432,[3]DOORSCRIEFT!$A$2:$G$6834,2,FALSE),"")</f>
        <v/>
      </c>
      <c r="D432" s="481" t="str">
        <f>IFERROR(VLOOKUP(A432,[3]DOORSCRIEFT!$A$2:$G$6834,3,FALSE),"")</f>
        <v/>
      </c>
      <c r="E432" s="480" t="str">
        <f>IFERROR(VLOOKUP(A432,[3]DOORSCRIEFT!$A$2:$G$6834,4,FALSE),"")</f>
        <v/>
      </c>
      <c r="F432" s="405" t="str">
        <f>IFERROR(VLOOKUP(A432,[3]DOORSCRIEFT!$A$2:$G$6834,7,FALSE),"")</f>
        <v/>
      </c>
      <c r="G432" s="315"/>
    </row>
    <row r="433" spans="1:7" ht="15.75" thickBot="1" x14ac:dyDescent="0.3">
      <c r="A433" s="341"/>
      <c r="B433" s="340"/>
      <c r="C433" s="336"/>
      <c r="D433" s="486"/>
      <c r="E433" s="340" t="s">
        <v>644</v>
      </c>
      <c r="F433" s="310">
        <f>SUM(F410:F432)</f>
        <v>9900000</v>
      </c>
      <c r="G433" s="309">
        <f>SUM(G410:G432)</f>
        <v>0</v>
      </c>
    </row>
    <row r="434" spans="1:7" x14ac:dyDescent="0.25">
      <c r="C434" s="335"/>
      <c r="D434" s="485"/>
    </row>
    <row r="435" spans="1:7" x14ac:dyDescent="0.25">
      <c r="C435" s="335"/>
      <c r="D435" s="485"/>
    </row>
    <row r="436" spans="1:7" ht="15.75" x14ac:dyDescent="0.25">
      <c r="C436" s="334" t="s">
        <v>663</v>
      </c>
      <c r="D436" s="484"/>
      <c r="E436" s="333"/>
      <c r="F436" s="327" t="s">
        <v>607</v>
      </c>
      <c r="G436" s="327" t="s">
        <v>247</v>
      </c>
    </row>
    <row r="437" spans="1:7" ht="15.75" x14ac:dyDescent="0.25">
      <c r="C437" s="334"/>
      <c r="D437" s="484"/>
      <c r="E437" s="333"/>
      <c r="F437" s="327" t="s">
        <v>601</v>
      </c>
      <c r="G437" s="327" t="s">
        <v>246</v>
      </c>
    </row>
    <row r="438" spans="1:7" x14ac:dyDescent="0.25">
      <c r="C438" s="330"/>
      <c r="D438" s="482"/>
      <c r="E438" s="329"/>
      <c r="F438" s="327" t="s">
        <v>651</v>
      </c>
      <c r="G438" s="331">
        <f>[2]Sheet1!$D$244</f>
        <v>0</v>
      </c>
    </row>
    <row r="439" spans="1:7" ht="15.75" thickBot="1" x14ac:dyDescent="0.3">
      <c r="C439" s="330"/>
      <c r="D439" s="482"/>
      <c r="E439" s="329"/>
      <c r="F439" s="327" t="s">
        <v>650</v>
      </c>
      <c r="G439" s="326">
        <f>+F458-G438</f>
        <v>0</v>
      </c>
    </row>
    <row r="440" spans="1:7" x14ac:dyDescent="0.25">
      <c r="A440" s="571" t="s">
        <v>655</v>
      </c>
      <c r="B440" s="573" t="s">
        <v>606</v>
      </c>
      <c r="C440" s="588" t="s">
        <v>649</v>
      </c>
      <c r="D440" s="599" t="s">
        <v>648</v>
      </c>
      <c r="E440" s="577" t="s">
        <v>647</v>
      </c>
      <c r="F440" s="577" t="s">
        <v>646</v>
      </c>
      <c r="G440" s="580" t="s">
        <v>645</v>
      </c>
    </row>
    <row r="441" spans="1:7" ht="15.75" thickBot="1" x14ac:dyDescent="0.3">
      <c r="A441" s="572"/>
      <c r="B441" s="574"/>
      <c r="C441" s="589"/>
      <c r="D441" s="600"/>
      <c r="E441" s="578"/>
      <c r="F441" s="578"/>
      <c r="G441" s="581"/>
    </row>
    <row r="442" spans="1:7" ht="15.75" thickBot="1" x14ac:dyDescent="0.3">
      <c r="A442" s="425">
        <v>1</v>
      </c>
      <c r="B442" s="425">
        <v>2</v>
      </c>
      <c r="C442" s="425">
        <v>3</v>
      </c>
      <c r="D442" s="425">
        <v>4</v>
      </c>
      <c r="E442" s="425">
        <v>5</v>
      </c>
      <c r="F442" s="425">
        <v>6</v>
      </c>
      <c r="G442" s="425">
        <v>7</v>
      </c>
    </row>
    <row r="443" spans="1:7" x14ac:dyDescent="0.25">
      <c r="A443" s="320" t="str">
        <f t="shared" ref="A443:A457" si="13">$G$436&amp;B443</f>
        <v>II.2.2.061</v>
      </c>
      <c r="B443" s="320">
        <v>1</v>
      </c>
      <c r="C443" s="320" t="str">
        <f>IFERROR(VLOOKUP(A443,[3]DOORSCRIEFT!$A$2:$G$6834,2,FALSE),"")</f>
        <v/>
      </c>
      <c r="D443" s="481" t="str">
        <f>IFERROR(VLOOKUP(A443,[3]DOORSCRIEFT!$A$2:$G$6834,3,FALSE),"")</f>
        <v/>
      </c>
      <c r="E443" s="480" t="str">
        <f>IFERROR(VLOOKUP(A443,[3]DOORSCRIEFT!$A$2:$G$6834,4,FALSE),"")</f>
        <v/>
      </c>
      <c r="F443" s="405" t="str">
        <f>IFERROR(VLOOKUP(A443,[3]DOORSCRIEFT!$A$2:$G$6834,7,FALSE),"")</f>
        <v/>
      </c>
      <c r="G443" s="322"/>
    </row>
    <row r="444" spans="1:7" x14ac:dyDescent="0.25">
      <c r="A444" s="321" t="str">
        <f t="shared" si="13"/>
        <v>II.2.2.062</v>
      </c>
      <c r="B444" s="321">
        <v>2</v>
      </c>
      <c r="C444" s="320" t="str">
        <f>IFERROR(VLOOKUP(A444,[3]DOORSCRIEFT!$A$2:$G$6834,2,FALSE),"")</f>
        <v/>
      </c>
      <c r="D444" s="481" t="str">
        <f>IFERROR(VLOOKUP(A444,[3]DOORSCRIEFT!$A$2:$G$6834,3,FALSE),"")</f>
        <v/>
      </c>
      <c r="E444" s="480" t="str">
        <f>IFERROR(VLOOKUP(A444,[3]DOORSCRIEFT!$A$2:$G$6834,4,FALSE),"")</f>
        <v/>
      </c>
      <c r="F444" s="405" t="str">
        <f>IFERROR(VLOOKUP(A444,[3]DOORSCRIEFT!$A$2:$G$6834,7,FALSE),"")</f>
        <v/>
      </c>
      <c r="G444" s="315"/>
    </row>
    <row r="445" spans="1:7" x14ac:dyDescent="0.25">
      <c r="A445" s="321" t="str">
        <f t="shared" si="13"/>
        <v>II.2.2.063</v>
      </c>
      <c r="B445" s="321">
        <v>3</v>
      </c>
      <c r="C445" s="320" t="str">
        <f>IFERROR(VLOOKUP(A445,[3]DOORSCRIEFT!$A$2:$G$6834,2,FALSE),"")</f>
        <v/>
      </c>
      <c r="D445" s="481" t="str">
        <f>IFERROR(VLOOKUP(A445,[3]DOORSCRIEFT!$A$2:$G$6834,3,FALSE),"")</f>
        <v/>
      </c>
      <c r="E445" s="480" t="str">
        <f>IFERROR(VLOOKUP(A445,[3]DOORSCRIEFT!$A$2:$G$6834,4,FALSE),"")</f>
        <v/>
      </c>
      <c r="F445" s="405" t="str">
        <f>IFERROR(VLOOKUP(A445,[3]DOORSCRIEFT!$A$2:$G$6834,7,FALSE),"")</f>
        <v/>
      </c>
      <c r="G445" s="315"/>
    </row>
    <row r="446" spans="1:7" x14ac:dyDescent="0.25">
      <c r="A446" s="321" t="str">
        <f t="shared" si="13"/>
        <v>II.2.2.064</v>
      </c>
      <c r="B446" s="321">
        <v>4</v>
      </c>
      <c r="C446" s="320" t="str">
        <f>IFERROR(VLOOKUP(A446,[3]DOORSCRIEFT!$A$2:$G$6834,2,FALSE),"")</f>
        <v/>
      </c>
      <c r="D446" s="481" t="str">
        <f>IFERROR(VLOOKUP(A446,[3]DOORSCRIEFT!$A$2:$G$6834,3,FALSE),"")</f>
        <v/>
      </c>
      <c r="E446" s="480" t="str">
        <f>IFERROR(VLOOKUP(A446,[3]DOORSCRIEFT!$A$2:$G$6834,4,FALSE),"")</f>
        <v/>
      </c>
      <c r="F446" s="405" t="str">
        <f>IFERROR(VLOOKUP(A446,[3]DOORSCRIEFT!$A$2:$G$6834,7,FALSE),"")</f>
        <v/>
      </c>
      <c r="G446" s="315"/>
    </row>
    <row r="447" spans="1:7" x14ac:dyDescent="0.25">
      <c r="A447" s="321" t="str">
        <f t="shared" si="13"/>
        <v>II.2.2.065</v>
      </c>
      <c r="B447" s="321">
        <v>5</v>
      </c>
      <c r="C447" s="320" t="str">
        <f>IFERROR(VLOOKUP(A447,[3]DOORSCRIEFT!$A$2:$G$6834,2,FALSE),"")</f>
        <v/>
      </c>
      <c r="D447" s="481" t="str">
        <f>IFERROR(VLOOKUP(A447,[3]DOORSCRIEFT!$A$2:$G$6834,3,FALSE),"")</f>
        <v/>
      </c>
      <c r="E447" s="480" t="str">
        <f>IFERROR(VLOOKUP(A447,[3]DOORSCRIEFT!$A$2:$G$6834,4,FALSE),"")</f>
        <v/>
      </c>
      <c r="F447" s="405" t="str">
        <f>IFERROR(VLOOKUP(A447,[3]DOORSCRIEFT!$A$2:$G$6834,7,FALSE),"")</f>
        <v/>
      </c>
      <c r="G447" s="315"/>
    </row>
    <row r="448" spans="1:7" x14ac:dyDescent="0.25">
      <c r="A448" s="321" t="str">
        <f t="shared" si="13"/>
        <v>II.2.2.066</v>
      </c>
      <c r="B448" s="321">
        <v>6</v>
      </c>
      <c r="C448" s="320" t="str">
        <f>IFERROR(VLOOKUP(A448,[3]DOORSCRIEFT!$A$2:$G$6834,2,FALSE),"")</f>
        <v/>
      </c>
      <c r="D448" s="481" t="str">
        <f>IFERROR(VLOOKUP(A448,[3]DOORSCRIEFT!$A$2:$G$6834,3,FALSE),"")</f>
        <v/>
      </c>
      <c r="E448" s="480" t="str">
        <f>IFERROR(VLOOKUP(A448,[3]DOORSCRIEFT!$A$2:$G$6834,4,FALSE),"")</f>
        <v/>
      </c>
      <c r="F448" s="405" t="str">
        <f>IFERROR(VLOOKUP(A448,[3]DOORSCRIEFT!$A$2:$G$6834,7,FALSE),"")</f>
        <v/>
      </c>
      <c r="G448" s="315"/>
    </row>
    <row r="449" spans="1:7" x14ac:dyDescent="0.25">
      <c r="A449" s="321" t="str">
        <f t="shared" si="13"/>
        <v>II.2.2.067</v>
      </c>
      <c r="B449" s="321">
        <v>7</v>
      </c>
      <c r="C449" s="320" t="str">
        <f>IFERROR(VLOOKUP(A449,[3]DOORSCRIEFT!$A$2:$G$6834,2,FALSE),"")</f>
        <v/>
      </c>
      <c r="D449" s="481" t="str">
        <f>IFERROR(VLOOKUP(A449,[3]DOORSCRIEFT!$A$2:$G$6834,3,FALSE),"")</f>
        <v/>
      </c>
      <c r="E449" s="480" t="str">
        <f>IFERROR(VLOOKUP(A449,[3]DOORSCRIEFT!$A$2:$G$6834,4,FALSE),"")</f>
        <v/>
      </c>
      <c r="F449" s="405" t="str">
        <f>IFERROR(VLOOKUP(A449,[3]DOORSCRIEFT!$A$2:$G$6834,7,FALSE),"")</f>
        <v/>
      </c>
      <c r="G449" s="315"/>
    </row>
    <row r="450" spans="1:7" x14ac:dyDescent="0.25">
      <c r="A450" s="321" t="str">
        <f t="shared" si="13"/>
        <v>II.2.2.068</v>
      </c>
      <c r="B450" s="321">
        <v>8</v>
      </c>
      <c r="C450" s="320" t="str">
        <f>IFERROR(VLOOKUP(A450,[3]DOORSCRIEFT!$A$2:$G$6834,2,FALSE),"")</f>
        <v/>
      </c>
      <c r="D450" s="481" t="str">
        <f>IFERROR(VLOOKUP(A450,[3]DOORSCRIEFT!$A$2:$G$6834,3,FALSE),"")</f>
        <v/>
      </c>
      <c r="E450" s="480" t="str">
        <f>IFERROR(VLOOKUP(A450,[3]DOORSCRIEFT!$A$2:$G$6834,4,FALSE),"")</f>
        <v/>
      </c>
      <c r="F450" s="405" t="str">
        <f>IFERROR(VLOOKUP(A450,[3]DOORSCRIEFT!$A$2:$G$6834,7,FALSE),"")</f>
        <v/>
      </c>
      <c r="G450" s="315"/>
    </row>
    <row r="451" spans="1:7" x14ac:dyDescent="0.25">
      <c r="A451" s="321" t="str">
        <f t="shared" si="13"/>
        <v>II.2.2.069</v>
      </c>
      <c r="B451" s="321">
        <v>9</v>
      </c>
      <c r="C451" s="320" t="str">
        <f>IFERROR(VLOOKUP(A451,[3]DOORSCRIEFT!$A$2:$G$6834,2,FALSE),"")</f>
        <v/>
      </c>
      <c r="D451" s="481" t="str">
        <f>IFERROR(VLOOKUP(A451,[3]DOORSCRIEFT!$A$2:$G$6834,3,FALSE),"")</f>
        <v/>
      </c>
      <c r="E451" s="480" t="str">
        <f>IFERROR(VLOOKUP(A451,[3]DOORSCRIEFT!$A$2:$G$6834,4,FALSE),"")</f>
        <v/>
      </c>
      <c r="F451" s="405" t="str">
        <f>IFERROR(VLOOKUP(A451,[3]DOORSCRIEFT!$A$2:$G$6834,7,FALSE),"")</f>
        <v/>
      </c>
      <c r="G451" s="315"/>
    </row>
    <row r="452" spans="1:7" x14ac:dyDescent="0.25">
      <c r="A452" s="321" t="str">
        <f t="shared" si="13"/>
        <v>II.2.2.0610</v>
      </c>
      <c r="B452" s="321">
        <v>10</v>
      </c>
      <c r="C452" s="320" t="str">
        <f>IFERROR(VLOOKUP(A452,[3]DOORSCRIEFT!$A$2:$G$6834,2,FALSE),"")</f>
        <v/>
      </c>
      <c r="D452" s="481" t="str">
        <f>IFERROR(VLOOKUP(A452,[3]DOORSCRIEFT!$A$2:$G$6834,3,FALSE),"")</f>
        <v/>
      </c>
      <c r="E452" s="480" t="str">
        <f>IFERROR(VLOOKUP(A452,[3]DOORSCRIEFT!$A$2:$G$6834,4,FALSE),"")</f>
        <v/>
      </c>
      <c r="F452" s="405" t="str">
        <f>IFERROR(VLOOKUP(A452,[3]DOORSCRIEFT!$A$2:$G$6834,7,FALSE),"")</f>
        <v/>
      </c>
      <c r="G452" s="315"/>
    </row>
    <row r="453" spans="1:7" x14ac:dyDescent="0.25">
      <c r="A453" s="321" t="str">
        <f t="shared" si="13"/>
        <v>II.2.2.0611</v>
      </c>
      <c r="B453" s="321">
        <v>11</v>
      </c>
      <c r="C453" s="320" t="str">
        <f>IFERROR(VLOOKUP(A453,[3]DOORSCRIEFT!$A$2:$G$6834,2,FALSE),"")</f>
        <v/>
      </c>
      <c r="D453" s="481" t="str">
        <f>IFERROR(VLOOKUP(A453,[3]DOORSCRIEFT!$A$2:$G$6834,3,FALSE),"")</f>
        <v/>
      </c>
      <c r="E453" s="480" t="str">
        <f>IFERROR(VLOOKUP(A453,[3]DOORSCRIEFT!$A$2:$G$6834,4,FALSE),"")</f>
        <v/>
      </c>
      <c r="F453" s="405" t="str">
        <f>IFERROR(VLOOKUP(A453,[3]DOORSCRIEFT!$A$2:$G$6834,7,FALSE),"")</f>
        <v/>
      </c>
      <c r="G453" s="315"/>
    </row>
    <row r="454" spans="1:7" x14ac:dyDescent="0.25">
      <c r="A454" s="321" t="str">
        <f t="shared" si="13"/>
        <v>II.2.2.0612</v>
      </c>
      <c r="B454" s="321">
        <v>12</v>
      </c>
      <c r="C454" s="320" t="str">
        <f>IFERROR(VLOOKUP(A454,[3]DOORSCRIEFT!$A$2:$G$6834,2,FALSE),"")</f>
        <v/>
      </c>
      <c r="D454" s="481" t="str">
        <f>IFERROR(VLOOKUP(A454,[3]DOORSCRIEFT!$A$2:$G$6834,3,FALSE),"")</f>
        <v/>
      </c>
      <c r="E454" s="480" t="str">
        <f>IFERROR(VLOOKUP(A454,[3]DOORSCRIEFT!$A$2:$G$6834,4,FALSE),"")</f>
        <v/>
      </c>
      <c r="F454" s="405" t="str">
        <f>IFERROR(VLOOKUP(A454,[3]DOORSCRIEFT!$A$2:$G$6834,7,FALSE),"")</f>
        <v/>
      </c>
      <c r="G454" s="315"/>
    </row>
    <row r="455" spans="1:7" x14ac:dyDescent="0.25">
      <c r="A455" s="321" t="str">
        <f t="shared" si="13"/>
        <v>II.2.2.0613</v>
      </c>
      <c r="B455" s="321">
        <v>13</v>
      </c>
      <c r="C455" s="320" t="str">
        <f>IFERROR(VLOOKUP(A455,[3]DOORSCRIEFT!$A$2:$G$6834,2,FALSE),"")</f>
        <v/>
      </c>
      <c r="D455" s="481" t="str">
        <f>IFERROR(VLOOKUP(A455,[3]DOORSCRIEFT!$A$2:$G$6834,3,FALSE),"")</f>
        <v/>
      </c>
      <c r="E455" s="480" t="str">
        <f>IFERROR(VLOOKUP(A455,[3]DOORSCRIEFT!$A$2:$G$6834,4,FALSE),"")</f>
        <v/>
      </c>
      <c r="F455" s="405" t="str">
        <f>IFERROR(VLOOKUP(A455,[3]DOORSCRIEFT!$A$2:$G$6834,7,FALSE),"")</f>
        <v/>
      </c>
      <c r="G455" s="315"/>
    </row>
    <row r="456" spans="1:7" x14ac:dyDescent="0.25">
      <c r="A456" s="321" t="str">
        <f t="shared" si="13"/>
        <v>II.2.2.0614</v>
      </c>
      <c r="B456" s="321">
        <v>14</v>
      </c>
      <c r="C456" s="320" t="str">
        <f>IFERROR(VLOOKUP(A456,[3]DOORSCRIEFT!$A$2:$G$6834,2,FALSE),"")</f>
        <v/>
      </c>
      <c r="D456" s="481" t="str">
        <f>IFERROR(VLOOKUP(A456,[3]DOORSCRIEFT!$A$2:$G$6834,3,FALSE),"")</f>
        <v/>
      </c>
      <c r="E456" s="480" t="str">
        <f>IFERROR(VLOOKUP(A456,[3]DOORSCRIEFT!$A$2:$G$6834,4,FALSE),"")</f>
        <v/>
      </c>
      <c r="F456" s="405" t="str">
        <f>IFERROR(VLOOKUP(A456,[3]DOORSCRIEFT!$A$2:$G$6834,7,FALSE),"")</f>
        <v/>
      </c>
      <c r="G456" s="315"/>
    </row>
    <row r="457" spans="1:7" ht="15.75" thickBot="1" x14ac:dyDescent="0.3">
      <c r="A457" s="342" t="str">
        <f t="shared" si="13"/>
        <v>II.2.2.0615</v>
      </c>
      <c r="B457" s="342">
        <v>15</v>
      </c>
      <c r="C457" s="320" t="str">
        <f>IFERROR(VLOOKUP(A457,[3]DOORSCRIEFT!$A$2:$G$6834,2,FALSE),"")</f>
        <v/>
      </c>
      <c r="D457" s="481" t="str">
        <f>IFERROR(VLOOKUP(A457,[3]DOORSCRIEFT!$A$2:$G$6834,3,FALSE),"")</f>
        <v/>
      </c>
      <c r="E457" s="480" t="str">
        <f>IFERROR(VLOOKUP(A457,[3]DOORSCRIEFT!$A$2:$G$6834,4,FALSE),"")</f>
        <v/>
      </c>
      <c r="F457" s="405" t="str">
        <f>IFERROR(VLOOKUP(A457,[3]DOORSCRIEFT!$A$2:$G$6834,7,FALSE),"")</f>
        <v/>
      </c>
      <c r="G457" s="315"/>
    </row>
    <row r="458" spans="1:7" ht="15.75" thickBot="1" x14ac:dyDescent="0.3">
      <c r="A458" s="341"/>
      <c r="B458" s="340"/>
      <c r="C458" s="336"/>
      <c r="D458" s="486"/>
      <c r="E458" s="340" t="s">
        <v>644</v>
      </c>
      <c r="F458" s="310">
        <f>SUM(F443:F457)</f>
        <v>0</v>
      </c>
      <c r="G458" s="309">
        <f>SUM(G443:G457)</f>
        <v>0</v>
      </c>
    </row>
    <row r="459" spans="1:7" x14ac:dyDescent="0.25">
      <c r="C459" s="335"/>
      <c r="D459" s="485"/>
    </row>
    <row r="460" spans="1:7" x14ac:dyDescent="0.25">
      <c r="C460" s="335"/>
      <c r="D460" s="485"/>
    </row>
    <row r="461" spans="1:7" ht="15.75" x14ac:dyDescent="0.25">
      <c r="C461" s="334" t="s">
        <v>663</v>
      </c>
      <c r="D461" s="484"/>
      <c r="E461" s="333"/>
      <c r="F461" s="327" t="s">
        <v>607</v>
      </c>
      <c r="G461" s="327" t="s">
        <v>245</v>
      </c>
    </row>
    <row r="462" spans="1:7" ht="15.75" x14ac:dyDescent="0.25">
      <c r="C462" s="334"/>
      <c r="D462" s="484"/>
      <c r="E462" s="333"/>
      <c r="F462" s="327" t="s">
        <v>601</v>
      </c>
      <c r="G462" s="327" t="s">
        <v>244</v>
      </c>
    </row>
    <row r="463" spans="1:7" x14ac:dyDescent="0.25">
      <c r="C463" s="330"/>
      <c r="D463" s="482"/>
      <c r="E463" s="329"/>
      <c r="F463" s="327" t="s">
        <v>651</v>
      </c>
      <c r="G463" s="331">
        <f>[2]Sheet1!$D$245</f>
        <v>0</v>
      </c>
    </row>
    <row r="464" spans="1:7" ht="15.75" thickBot="1" x14ac:dyDescent="0.3">
      <c r="C464" s="330"/>
      <c r="D464" s="482"/>
      <c r="E464" s="329"/>
      <c r="F464" s="327" t="s">
        <v>650</v>
      </c>
      <c r="G464" s="326">
        <f>+F483-G463</f>
        <v>0</v>
      </c>
    </row>
    <row r="465" spans="1:7" x14ac:dyDescent="0.25">
      <c r="A465" s="571" t="s">
        <v>655</v>
      </c>
      <c r="B465" s="573" t="s">
        <v>606</v>
      </c>
      <c r="C465" s="588" t="s">
        <v>649</v>
      </c>
      <c r="D465" s="599" t="s">
        <v>648</v>
      </c>
      <c r="E465" s="577" t="s">
        <v>647</v>
      </c>
      <c r="F465" s="577" t="s">
        <v>646</v>
      </c>
      <c r="G465" s="580" t="s">
        <v>645</v>
      </c>
    </row>
    <row r="466" spans="1:7" ht="15.75" thickBot="1" x14ac:dyDescent="0.3">
      <c r="A466" s="572"/>
      <c r="B466" s="574"/>
      <c r="C466" s="589"/>
      <c r="D466" s="600"/>
      <c r="E466" s="578"/>
      <c r="F466" s="578"/>
      <c r="G466" s="581"/>
    </row>
    <row r="467" spans="1:7" ht="15.75" thickBot="1" x14ac:dyDescent="0.3">
      <c r="A467" s="425">
        <v>1</v>
      </c>
      <c r="B467" s="425">
        <v>2</v>
      </c>
      <c r="C467" s="425">
        <v>3</v>
      </c>
      <c r="D467" s="425">
        <v>4</v>
      </c>
      <c r="E467" s="425">
        <v>5</v>
      </c>
      <c r="F467" s="425">
        <v>6</v>
      </c>
      <c r="G467" s="425">
        <v>7</v>
      </c>
    </row>
    <row r="468" spans="1:7" x14ac:dyDescent="0.25">
      <c r="A468" s="320" t="str">
        <f t="shared" ref="A468:A482" si="14">$G$461&amp;B468</f>
        <v>II.2.2.071</v>
      </c>
      <c r="B468" s="320">
        <v>1</v>
      </c>
      <c r="C468" s="320" t="str">
        <f>IFERROR(VLOOKUP(A468,[3]DOORSCRIEFT!$A$2:$G$6834,2,FALSE),"")</f>
        <v/>
      </c>
      <c r="D468" s="481" t="str">
        <f>IFERROR(VLOOKUP(A468,[3]DOORSCRIEFT!$A$2:$G$6834,3,FALSE),"")</f>
        <v/>
      </c>
      <c r="E468" s="480" t="str">
        <f>IFERROR(VLOOKUP(A468,[3]DOORSCRIEFT!$A$2:$G$6834,4,FALSE),"")</f>
        <v/>
      </c>
      <c r="F468" s="405" t="str">
        <f>IFERROR(VLOOKUP(A468,[3]DOORSCRIEFT!$A$2:$G$6834,7,FALSE),"")</f>
        <v/>
      </c>
      <c r="G468" s="322"/>
    </row>
    <row r="469" spans="1:7" x14ac:dyDescent="0.25">
      <c r="A469" s="321" t="str">
        <f t="shared" si="14"/>
        <v>II.2.2.072</v>
      </c>
      <c r="B469" s="321">
        <v>2</v>
      </c>
      <c r="C469" s="320" t="str">
        <f>IFERROR(VLOOKUP(A469,[3]DOORSCRIEFT!$A$2:$G$6834,2,FALSE),"")</f>
        <v/>
      </c>
      <c r="D469" s="481" t="str">
        <f>IFERROR(VLOOKUP(A469,[3]DOORSCRIEFT!$A$2:$G$6834,3,FALSE),"")</f>
        <v/>
      </c>
      <c r="E469" s="480" t="str">
        <f>IFERROR(VLOOKUP(A469,[3]DOORSCRIEFT!$A$2:$G$6834,4,FALSE),"")</f>
        <v/>
      </c>
      <c r="F469" s="405" t="str">
        <f>IFERROR(VLOOKUP(A469,[3]DOORSCRIEFT!$A$2:$G$6834,7,FALSE),"")</f>
        <v/>
      </c>
      <c r="G469" s="315"/>
    </row>
    <row r="470" spans="1:7" x14ac:dyDescent="0.25">
      <c r="A470" s="321" t="str">
        <f t="shared" si="14"/>
        <v>II.2.2.073</v>
      </c>
      <c r="B470" s="321">
        <v>3</v>
      </c>
      <c r="C470" s="320" t="str">
        <f>IFERROR(VLOOKUP(A470,[3]DOORSCRIEFT!$A$2:$G$6834,2,FALSE),"")</f>
        <v/>
      </c>
      <c r="D470" s="481" t="str">
        <f>IFERROR(VLOOKUP(A470,[3]DOORSCRIEFT!$A$2:$G$6834,3,FALSE),"")</f>
        <v/>
      </c>
      <c r="E470" s="480" t="str">
        <f>IFERROR(VLOOKUP(A470,[3]DOORSCRIEFT!$A$2:$G$6834,4,FALSE),"")</f>
        <v/>
      </c>
      <c r="F470" s="405" t="str">
        <f>IFERROR(VLOOKUP(A470,[3]DOORSCRIEFT!$A$2:$G$6834,7,FALSE),"")</f>
        <v/>
      </c>
      <c r="G470" s="315"/>
    </row>
    <row r="471" spans="1:7" x14ac:dyDescent="0.25">
      <c r="A471" s="321" t="str">
        <f t="shared" si="14"/>
        <v>II.2.2.074</v>
      </c>
      <c r="B471" s="321">
        <v>4</v>
      </c>
      <c r="C471" s="320" t="str">
        <f>IFERROR(VLOOKUP(A471,[3]DOORSCRIEFT!$A$2:$G$6834,2,FALSE),"")</f>
        <v/>
      </c>
      <c r="D471" s="481" t="str">
        <f>IFERROR(VLOOKUP(A471,[3]DOORSCRIEFT!$A$2:$G$6834,3,FALSE),"")</f>
        <v/>
      </c>
      <c r="E471" s="480" t="str">
        <f>IFERROR(VLOOKUP(A471,[3]DOORSCRIEFT!$A$2:$G$6834,4,FALSE),"")</f>
        <v/>
      </c>
      <c r="F471" s="405" t="str">
        <f>IFERROR(VLOOKUP(A471,[3]DOORSCRIEFT!$A$2:$G$6834,7,FALSE),"")</f>
        <v/>
      </c>
      <c r="G471" s="315"/>
    </row>
    <row r="472" spans="1:7" x14ac:dyDescent="0.25">
      <c r="A472" s="321" t="str">
        <f t="shared" si="14"/>
        <v>II.2.2.075</v>
      </c>
      <c r="B472" s="321">
        <v>5</v>
      </c>
      <c r="C472" s="320" t="str">
        <f>IFERROR(VLOOKUP(A472,[3]DOORSCRIEFT!$A$2:$G$6834,2,FALSE),"")</f>
        <v/>
      </c>
      <c r="D472" s="481" t="str">
        <f>IFERROR(VLOOKUP(A472,[3]DOORSCRIEFT!$A$2:$G$6834,3,FALSE),"")</f>
        <v/>
      </c>
      <c r="E472" s="480" t="str">
        <f>IFERROR(VLOOKUP(A472,[3]DOORSCRIEFT!$A$2:$G$6834,4,FALSE),"")</f>
        <v/>
      </c>
      <c r="F472" s="405" t="str">
        <f>IFERROR(VLOOKUP(A472,[3]DOORSCRIEFT!$A$2:$G$6834,7,FALSE),"")</f>
        <v/>
      </c>
      <c r="G472" s="315"/>
    </row>
    <row r="473" spans="1:7" x14ac:dyDescent="0.25">
      <c r="A473" s="321" t="str">
        <f t="shared" si="14"/>
        <v>II.2.2.076</v>
      </c>
      <c r="B473" s="321">
        <v>6</v>
      </c>
      <c r="C473" s="320" t="str">
        <f>IFERROR(VLOOKUP(A473,[3]DOORSCRIEFT!$A$2:$G$6834,2,FALSE),"")</f>
        <v/>
      </c>
      <c r="D473" s="481" t="str">
        <f>IFERROR(VLOOKUP(A473,[3]DOORSCRIEFT!$A$2:$G$6834,3,FALSE),"")</f>
        <v/>
      </c>
      <c r="E473" s="480" t="str">
        <f>IFERROR(VLOOKUP(A473,[3]DOORSCRIEFT!$A$2:$G$6834,4,FALSE),"")</f>
        <v/>
      </c>
      <c r="F473" s="405" t="str">
        <f>IFERROR(VLOOKUP(A473,[3]DOORSCRIEFT!$A$2:$G$6834,7,FALSE),"")</f>
        <v/>
      </c>
      <c r="G473" s="315"/>
    </row>
    <row r="474" spans="1:7" x14ac:dyDescent="0.25">
      <c r="A474" s="321" t="str">
        <f t="shared" si="14"/>
        <v>II.2.2.077</v>
      </c>
      <c r="B474" s="321">
        <v>7</v>
      </c>
      <c r="C474" s="320" t="str">
        <f>IFERROR(VLOOKUP(A474,[3]DOORSCRIEFT!$A$2:$G$6834,2,FALSE),"")</f>
        <v/>
      </c>
      <c r="D474" s="481" t="str">
        <f>IFERROR(VLOOKUP(A474,[3]DOORSCRIEFT!$A$2:$G$6834,3,FALSE),"")</f>
        <v/>
      </c>
      <c r="E474" s="480" t="str">
        <f>IFERROR(VLOOKUP(A474,[3]DOORSCRIEFT!$A$2:$G$6834,4,FALSE),"")</f>
        <v/>
      </c>
      <c r="F474" s="405" t="str">
        <f>IFERROR(VLOOKUP(A474,[3]DOORSCRIEFT!$A$2:$G$6834,7,FALSE),"")</f>
        <v/>
      </c>
      <c r="G474" s="315"/>
    </row>
    <row r="475" spans="1:7" x14ac:dyDescent="0.25">
      <c r="A475" s="321" t="str">
        <f t="shared" si="14"/>
        <v>II.2.2.078</v>
      </c>
      <c r="B475" s="321">
        <v>8</v>
      </c>
      <c r="C475" s="320" t="str">
        <f>IFERROR(VLOOKUP(A475,[3]DOORSCRIEFT!$A$2:$G$6834,2,FALSE),"")</f>
        <v/>
      </c>
      <c r="D475" s="481" t="str">
        <f>IFERROR(VLOOKUP(A475,[3]DOORSCRIEFT!$A$2:$G$6834,3,FALSE),"")</f>
        <v/>
      </c>
      <c r="E475" s="480" t="str">
        <f>IFERROR(VLOOKUP(A475,[3]DOORSCRIEFT!$A$2:$G$6834,4,FALSE),"")</f>
        <v/>
      </c>
      <c r="F475" s="405" t="str">
        <f>IFERROR(VLOOKUP(A475,[3]DOORSCRIEFT!$A$2:$G$6834,7,FALSE),"")</f>
        <v/>
      </c>
      <c r="G475" s="315"/>
    </row>
    <row r="476" spans="1:7" x14ac:dyDescent="0.25">
      <c r="A476" s="321" t="str">
        <f t="shared" si="14"/>
        <v>II.2.2.079</v>
      </c>
      <c r="B476" s="321">
        <v>9</v>
      </c>
      <c r="C476" s="320" t="str">
        <f>IFERROR(VLOOKUP(A476,[3]DOORSCRIEFT!$A$2:$G$6834,2,FALSE),"")</f>
        <v/>
      </c>
      <c r="D476" s="481" t="str">
        <f>IFERROR(VLOOKUP(A476,[3]DOORSCRIEFT!$A$2:$G$6834,3,FALSE),"")</f>
        <v/>
      </c>
      <c r="E476" s="480" t="str">
        <f>IFERROR(VLOOKUP(A476,[3]DOORSCRIEFT!$A$2:$G$6834,4,FALSE),"")</f>
        <v/>
      </c>
      <c r="F476" s="405" t="str">
        <f>IFERROR(VLOOKUP(A476,[3]DOORSCRIEFT!$A$2:$G$6834,7,FALSE),"")</f>
        <v/>
      </c>
      <c r="G476" s="315"/>
    </row>
    <row r="477" spans="1:7" x14ac:dyDescent="0.25">
      <c r="A477" s="321" t="str">
        <f t="shared" si="14"/>
        <v>II.2.2.0710</v>
      </c>
      <c r="B477" s="321">
        <v>10</v>
      </c>
      <c r="C477" s="320" t="str">
        <f>IFERROR(VLOOKUP(A477,[3]DOORSCRIEFT!$A$2:$G$6834,2,FALSE),"")</f>
        <v/>
      </c>
      <c r="D477" s="481" t="str">
        <f>IFERROR(VLOOKUP(A477,[3]DOORSCRIEFT!$A$2:$G$6834,3,FALSE),"")</f>
        <v/>
      </c>
      <c r="E477" s="480" t="str">
        <f>IFERROR(VLOOKUP(A477,[3]DOORSCRIEFT!$A$2:$G$6834,4,FALSE),"")</f>
        <v/>
      </c>
      <c r="F477" s="405" t="str">
        <f>IFERROR(VLOOKUP(A477,[3]DOORSCRIEFT!$A$2:$G$6834,7,FALSE),"")</f>
        <v/>
      </c>
      <c r="G477" s="315"/>
    </row>
    <row r="478" spans="1:7" x14ac:dyDescent="0.25">
      <c r="A478" s="321" t="str">
        <f t="shared" si="14"/>
        <v>II.2.2.0711</v>
      </c>
      <c r="B478" s="321">
        <v>11</v>
      </c>
      <c r="C478" s="320" t="str">
        <f>IFERROR(VLOOKUP(A478,[3]DOORSCRIEFT!$A$2:$G$6834,2,FALSE),"")</f>
        <v/>
      </c>
      <c r="D478" s="481" t="str">
        <f>IFERROR(VLOOKUP(A478,[3]DOORSCRIEFT!$A$2:$G$6834,3,FALSE),"")</f>
        <v/>
      </c>
      <c r="E478" s="480" t="str">
        <f>IFERROR(VLOOKUP(A478,[3]DOORSCRIEFT!$A$2:$G$6834,4,FALSE),"")</f>
        <v/>
      </c>
      <c r="F478" s="405" t="str">
        <f>IFERROR(VLOOKUP(A478,[3]DOORSCRIEFT!$A$2:$G$6834,7,FALSE),"")</f>
        <v/>
      </c>
      <c r="G478" s="315"/>
    </row>
    <row r="479" spans="1:7" x14ac:dyDescent="0.25">
      <c r="A479" s="321" t="str">
        <f t="shared" si="14"/>
        <v>II.2.2.0712</v>
      </c>
      <c r="B479" s="321">
        <v>12</v>
      </c>
      <c r="C479" s="320" t="str">
        <f>IFERROR(VLOOKUP(A479,[3]DOORSCRIEFT!$A$2:$G$6834,2,FALSE),"")</f>
        <v/>
      </c>
      <c r="D479" s="481" t="str">
        <f>IFERROR(VLOOKUP(A479,[3]DOORSCRIEFT!$A$2:$G$6834,3,FALSE),"")</f>
        <v/>
      </c>
      <c r="E479" s="480" t="str">
        <f>IFERROR(VLOOKUP(A479,[3]DOORSCRIEFT!$A$2:$G$6834,4,FALSE),"")</f>
        <v/>
      </c>
      <c r="F479" s="405" t="str">
        <f>IFERROR(VLOOKUP(A479,[3]DOORSCRIEFT!$A$2:$G$6834,7,FALSE),"")</f>
        <v/>
      </c>
      <c r="G479" s="315"/>
    </row>
    <row r="480" spans="1:7" x14ac:dyDescent="0.25">
      <c r="A480" s="321" t="str">
        <f t="shared" si="14"/>
        <v>II.2.2.0713</v>
      </c>
      <c r="B480" s="321">
        <v>13</v>
      </c>
      <c r="C480" s="320" t="str">
        <f>IFERROR(VLOOKUP(A480,[3]DOORSCRIEFT!$A$2:$G$6834,2,FALSE),"")</f>
        <v/>
      </c>
      <c r="D480" s="481" t="str">
        <f>IFERROR(VLOOKUP(A480,[3]DOORSCRIEFT!$A$2:$G$6834,3,FALSE),"")</f>
        <v/>
      </c>
      <c r="E480" s="480" t="str">
        <f>IFERROR(VLOOKUP(A480,[3]DOORSCRIEFT!$A$2:$G$6834,4,FALSE),"")</f>
        <v/>
      </c>
      <c r="F480" s="405" t="str">
        <f>IFERROR(VLOOKUP(A480,[3]DOORSCRIEFT!$A$2:$G$6834,7,FALSE),"")</f>
        <v/>
      </c>
      <c r="G480" s="315"/>
    </row>
    <row r="481" spans="1:7" x14ac:dyDescent="0.25">
      <c r="A481" s="321" t="str">
        <f t="shared" si="14"/>
        <v>II.2.2.0714</v>
      </c>
      <c r="B481" s="321">
        <v>14</v>
      </c>
      <c r="C481" s="320" t="str">
        <f>IFERROR(VLOOKUP(A481,[3]DOORSCRIEFT!$A$2:$G$6834,2,FALSE),"")</f>
        <v/>
      </c>
      <c r="D481" s="481" t="str">
        <f>IFERROR(VLOOKUP(A481,[3]DOORSCRIEFT!$A$2:$G$6834,3,FALSE),"")</f>
        <v/>
      </c>
      <c r="E481" s="480" t="str">
        <f>IFERROR(VLOOKUP(A481,[3]DOORSCRIEFT!$A$2:$G$6834,4,FALSE),"")</f>
        <v/>
      </c>
      <c r="F481" s="405" t="str">
        <f>IFERROR(VLOOKUP(A481,[3]DOORSCRIEFT!$A$2:$G$6834,7,FALSE),"")</f>
        <v/>
      </c>
      <c r="G481" s="315"/>
    </row>
    <row r="482" spans="1:7" ht="15.75" thickBot="1" x14ac:dyDescent="0.3">
      <c r="A482" s="342" t="str">
        <f t="shared" si="14"/>
        <v>II.2.2.0715</v>
      </c>
      <c r="B482" s="342">
        <v>15</v>
      </c>
      <c r="C482" s="320" t="str">
        <f>IFERROR(VLOOKUP(A482,[3]DOORSCRIEFT!$A$2:$G$6834,2,FALSE),"")</f>
        <v/>
      </c>
      <c r="D482" s="481" t="str">
        <f>IFERROR(VLOOKUP(A482,[3]DOORSCRIEFT!$A$2:$G$6834,3,FALSE),"")</f>
        <v/>
      </c>
      <c r="E482" s="480" t="str">
        <f>IFERROR(VLOOKUP(A482,[3]DOORSCRIEFT!$A$2:$G$6834,4,FALSE),"")</f>
        <v/>
      </c>
      <c r="F482" s="405" t="str">
        <f>IFERROR(VLOOKUP(A482,[3]DOORSCRIEFT!$A$2:$G$6834,7,FALSE),"")</f>
        <v/>
      </c>
      <c r="G482" s="315"/>
    </row>
    <row r="483" spans="1:7" ht="15.75" thickBot="1" x14ac:dyDescent="0.3">
      <c r="A483" s="341"/>
      <c r="B483" s="340"/>
      <c r="C483" s="336"/>
      <c r="D483" s="486"/>
      <c r="E483" s="340" t="s">
        <v>644</v>
      </c>
      <c r="F483" s="310">
        <f>SUM(F468:F482)</f>
        <v>0</v>
      </c>
      <c r="G483" s="309">
        <f>SUM(G468:G482)</f>
        <v>0</v>
      </c>
    </row>
    <row r="484" spans="1:7" x14ac:dyDescent="0.25">
      <c r="C484" s="335"/>
      <c r="D484" s="485"/>
    </row>
    <row r="485" spans="1:7" x14ac:dyDescent="0.25">
      <c r="C485" s="335"/>
      <c r="D485" s="485"/>
    </row>
    <row r="486" spans="1:7" ht="15.75" x14ac:dyDescent="0.25">
      <c r="C486" s="334" t="s">
        <v>663</v>
      </c>
      <c r="D486" s="484"/>
      <c r="E486" s="333"/>
      <c r="F486" s="327" t="s">
        <v>607</v>
      </c>
      <c r="G486" s="327" t="s">
        <v>243</v>
      </c>
    </row>
    <row r="487" spans="1:7" ht="15.75" x14ac:dyDescent="0.25">
      <c r="C487" s="334"/>
      <c r="D487" s="484"/>
      <c r="E487" s="333"/>
      <c r="F487" s="327" t="s">
        <v>601</v>
      </c>
      <c r="G487" s="327" t="s">
        <v>242</v>
      </c>
    </row>
    <row r="488" spans="1:7" x14ac:dyDescent="0.25">
      <c r="C488" s="330"/>
      <c r="D488" s="482"/>
      <c r="E488" s="329"/>
      <c r="F488" s="327" t="s">
        <v>651</v>
      </c>
      <c r="G488" s="331">
        <f>[2]Sheet1!$D$246</f>
        <v>20750000</v>
      </c>
    </row>
    <row r="489" spans="1:7" ht="15.75" thickBot="1" x14ac:dyDescent="0.3">
      <c r="C489" s="330"/>
      <c r="D489" s="482"/>
      <c r="E489" s="329"/>
      <c r="F489" s="327" t="s">
        <v>650</v>
      </c>
      <c r="G489" s="326">
        <f>+F508-G488</f>
        <v>-20750000</v>
      </c>
    </row>
    <row r="490" spans="1:7" x14ac:dyDescent="0.25">
      <c r="A490" s="571" t="s">
        <v>655</v>
      </c>
      <c r="B490" s="573" t="s">
        <v>606</v>
      </c>
      <c r="C490" s="588" t="s">
        <v>649</v>
      </c>
      <c r="D490" s="599" t="s">
        <v>648</v>
      </c>
      <c r="E490" s="577" t="s">
        <v>647</v>
      </c>
      <c r="F490" s="577" t="s">
        <v>646</v>
      </c>
      <c r="G490" s="580" t="s">
        <v>645</v>
      </c>
    </row>
    <row r="491" spans="1:7" ht="15.75" thickBot="1" x14ac:dyDescent="0.3">
      <c r="A491" s="572"/>
      <c r="B491" s="574"/>
      <c r="C491" s="589"/>
      <c r="D491" s="600"/>
      <c r="E491" s="578"/>
      <c r="F491" s="578"/>
      <c r="G491" s="581"/>
    </row>
    <row r="492" spans="1:7" ht="15.75" thickBot="1" x14ac:dyDescent="0.3">
      <c r="A492" s="425">
        <v>1</v>
      </c>
      <c r="B492" s="425">
        <v>2</v>
      </c>
      <c r="C492" s="425">
        <v>3</v>
      </c>
      <c r="D492" s="425">
        <v>4</v>
      </c>
      <c r="E492" s="425">
        <v>5</v>
      </c>
      <c r="F492" s="425">
        <v>6</v>
      </c>
      <c r="G492" s="425">
        <v>7</v>
      </c>
    </row>
    <row r="493" spans="1:7" x14ac:dyDescent="0.25">
      <c r="A493" s="320" t="str">
        <f t="shared" ref="A493:A507" si="15">$G$486&amp;B493</f>
        <v>II.2.2.081</v>
      </c>
      <c r="B493" s="320">
        <v>1</v>
      </c>
      <c r="C493" s="320" t="str">
        <f>IFERROR(VLOOKUP(A493,[3]DOORSCRIEFT!$A$2:$G$6834,2,FALSE),"")</f>
        <v/>
      </c>
      <c r="D493" s="481" t="str">
        <f>IFERROR(VLOOKUP(A493,[3]DOORSCRIEFT!$A$2:$G$6834,3,FALSE),"")</f>
        <v/>
      </c>
      <c r="E493" s="480" t="str">
        <f>IFERROR(VLOOKUP(A493,[3]DOORSCRIEFT!$A$2:$G$6834,4,FALSE),"")</f>
        <v/>
      </c>
      <c r="F493" s="405" t="str">
        <f>IFERROR(VLOOKUP(A493,[3]DOORSCRIEFT!$A$2:$G$6834,7,FALSE),"")</f>
        <v/>
      </c>
      <c r="G493" s="322"/>
    </row>
    <row r="494" spans="1:7" x14ac:dyDescent="0.25">
      <c r="A494" s="321" t="str">
        <f t="shared" si="15"/>
        <v>II.2.2.082</v>
      </c>
      <c r="B494" s="321">
        <v>2</v>
      </c>
      <c r="C494" s="320" t="str">
        <f>IFERROR(VLOOKUP(A494,[3]DOORSCRIEFT!$A$2:$G$6834,2,FALSE),"")</f>
        <v/>
      </c>
      <c r="D494" s="481" t="str">
        <f>IFERROR(VLOOKUP(A494,[3]DOORSCRIEFT!$A$2:$G$6834,3,FALSE),"")</f>
        <v/>
      </c>
      <c r="E494" s="480" t="str">
        <f>IFERROR(VLOOKUP(A494,[3]DOORSCRIEFT!$A$2:$G$6834,4,FALSE),"")</f>
        <v/>
      </c>
      <c r="F494" s="405" t="str">
        <f>IFERROR(VLOOKUP(A494,[3]DOORSCRIEFT!$A$2:$G$6834,7,FALSE),"")</f>
        <v/>
      </c>
      <c r="G494" s="315"/>
    </row>
    <row r="495" spans="1:7" x14ac:dyDescent="0.25">
      <c r="A495" s="321" t="str">
        <f t="shared" si="15"/>
        <v>II.2.2.083</v>
      </c>
      <c r="B495" s="321">
        <v>3</v>
      </c>
      <c r="C495" s="320" t="str">
        <f>IFERROR(VLOOKUP(A495,[3]DOORSCRIEFT!$A$2:$G$6834,2,FALSE),"")</f>
        <v/>
      </c>
      <c r="D495" s="481" t="str">
        <f>IFERROR(VLOOKUP(A495,[3]DOORSCRIEFT!$A$2:$G$6834,3,FALSE),"")</f>
        <v/>
      </c>
      <c r="E495" s="480" t="str">
        <f>IFERROR(VLOOKUP(A495,[3]DOORSCRIEFT!$A$2:$G$6834,4,FALSE),"")</f>
        <v/>
      </c>
      <c r="F495" s="405" t="str">
        <f>IFERROR(VLOOKUP(A495,[3]DOORSCRIEFT!$A$2:$G$6834,7,FALSE),"")</f>
        <v/>
      </c>
      <c r="G495" s="315"/>
    </row>
    <row r="496" spans="1:7" x14ac:dyDescent="0.25">
      <c r="A496" s="321" t="str">
        <f t="shared" si="15"/>
        <v>II.2.2.084</v>
      </c>
      <c r="B496" s="321">
        <v>4</v>
      </c>
      <c r="C496" s="320" t="str">
        <f>IFERROR(VLOOKUP(A496,[3]DOORSCRIEFT!$A$2:$G$6834,2,FALSE),"")</f>
        <v/>
      </c>
      <c r="D496" s="481" t="str">
        <f>IFERROR(VLOOKUP(A496,[3]DOORSCRIEFT!$A$2:$G$6834,3,FALSE),"")</f>
        <v/>
      </c>
      <c r="E496" s="480" t="str">
        <f>IFERROR(VLOOKUP(A496,[3]DOORSCRIEFT!$A$2:$G$6834,4,FALSE),"")</f>
        <v/>
      </c>
      <c r="F496" s="405" t="str">
        <f>IFERROR(VLOOKUP(A496,[3]DOORSCRIEFT!$A$2:$G$6834,7,FALSE),"")</f>
        <v/>
      </c>
      <c r="G496" s="315"/>
    </row>
    <row r="497" spans="1:7" x14ac:dyDescent="0.25">
      <c r="A497" s="321" t="str">
        <f t="shared" si="15"/>
        <v>II.2.2.085</v>
      </c>
      <c r="B497" s="321">
        <v>5</v>
      </c>
      <c r="C497" s="320" t="str">
        <f>IFERROR(VLOOKUP(A497,[3]DOORSCRIEFT!$A$2:$G$6834,2,FALSE),"")</f>
        <v/>
      </c>
      <c r="D497" s="481" t="str">
        <f>IFERROR(VLOOKUP(A497,[3]DOORSCRIEFT!$A$2:$G$6834,3,FALSE),"")</f>
        <v/>
      </c>
      <c r="E497" s="480" t="str">
        <f>IFERROR(VLOOKUP(A497,[3]DOORSCRIEFT!$A$2:$G$6834,4,FALSE),"")</f>
        <v/>
      </c>
      <c r="F497" s="405" t="str">
        <f>IFERROR(VLOOKUP(A497,[3]DOORSCRIEFT!$A$2:$G$6834,7,FALSE),"")</f>
        <v/>
      </c>
      <c r="G497" s="315"/>
    </row>
    <row r="498" spans="1:7" x14ac:dyDescent="0.25">
      <c r="A498" s="321" t="str">
        <f t="shared" si="15"/>
        <v>II.2.2.086</v>
      </c>
      <c r="B498" s="321">
        <v>6</v>
      </c>
      <c r="C498" s="320" t="str">
        <f>IFERROR(VLOOKUP(A498,[3]DOORSCRIEFT!$A$2:$G$6834,2,FALSE),"")</f>
        <v/>
      </c>
      <c r="D498" s="481" t="str">
        <f>IFERROR(VLOOKUP(A498,[3]DOORSCRIEFT!$A$2:$G$6834,3,FALSE),"")</f>
        <v/>
      </c>
      <c r="E498" s="480" t="str">
        <f>IFERROR(VLOOKUP(A498,[3]DOORSCRIEFT!$A$2:$G$6834,4,FALSE),"")</f>
        <v/>
      </c>
      <c r="F498" s="405" t="str">
        <f>IFERROR(VLOOKUP(A498,[3]DOORSCRIEFT!$A$2:$G$6834,7,FALSE),"")</f>
        <v/>
      </c>
      <c r="G498" s="315"/>
    </row>
    <row r="499" spans="1:7" x14ac:dyDescent="0.25">
      <c r="A499" s="321" t="str">
        <f t="shared" si="15"/>
        <v>II.2.2.087</v>
      </c>
      <c r="B499" s="321">
        <v>7</v>
      </c>
      <c r="C499" s="320" t="str">
        <f>IFERROR(VLOOKUP(A499,[3]DOORSCRIEFT!$A$2:$G$6834,2,FALSE),"")</f>
        <v/>
      </c>
      <c r="D499" s="481" t="str">
        <f>IFERROR(VLOOKUP(A499,[3]DOORSCRIEFT!$A$2:$G$6834,3,FALSE),"")</f>
        <v/>
      </c>
      <c r="E499" s="480" t="str">
        <f>IFERROR(VLOOKUP(A499,[3]DOORSCRIEFT!$A$2:$G$6834,4,FALSE),"")</f>
        <v/>
      </c>
      <c r="F499" s="405" t="str">
        <f>IFERROR(VLOOKUP(A499,[3]DOORSCRIEFT!$A$2:$G$6834,7,FALSE),"")</f>
        <v/>
      </c>
      <c r="G499" s="315"/>
    </row>
    <row r="500" spans="1:7" x14ac:dyDescent="0.25">
      <c r="A500" s="321" t="str">
        <f t="shared" si="15"/>
        <v>II.2.2.088</v>
      </c>
      <c r="B500" s="321">
        <v>8</v>
      </c>
      <c r="C500" s="320" t="str">
        <f>IFERROR(VLOOKUP(A500,[3]DOORSCRIEFT!$A$2:$G$6834,2,FALSE),"")</f>
        <v/>
      </c>
      <c r="D500" s="481" t="str">
        <f>IFERROR(VLOOKUP(A500,[3]DOORSCRIEFT!$A$2:$G$6834,3,FALSE),"")</f>
        <v/>
      </c>
      <c r="E500" s="480" t="str">
        <f>IFERROR(VLOOKUP(A500,[3]DOORSCRIEFT!$A$2:$G$6834,4,FALSE),"")</f>
        <v/>
      </c>
      <c r="F500" s="405" t="str">
        <f>IFERROR(VLOOKUP(A500,[3]DOORSCRIEFT!$A$2:$G$6834,7,FALSE),"")</f>
        <v/>
      </c>
      <c r="G500" s="315"/>
    </row>
    <row r="501" spans="1:7" x14ac:dyDescent="0.25">
      <c r="A501" s="321" t="str">
        <f t="shared" si="15"/>
        <v>II.2.2.089</v>
      </c>
      <c r="B501" s="321">
        <v>9</v>
      </c>
      <c r="C501" s="320" t="str">
        <f>IFERROR(VLOOKUP(A501,[3]DOORSCRIEFT!$A$2:$G$6834,2,FALSE),"")</f>
        <v/>
      </c>
      <c r="D501" s="481" t="str">
        <f>IFERROR(VLOOKUP(A501,[3]DOORSCRIEFT!$A$2:$G$6834,3,FALSE),"")</f>
        <v/>
      </c>
      <c r="E501" s="480" t="str">
        <f>IFERROR(VLOOKUP(A501,[3]DOORSCRIEFT!$A$2:$G$6834,4,FALSE),"")</f>
        <v/>
      </c>
      <c r="F501" s="405" t="str">
        <f>IFERROR(VLOOKUP(A501,[3]DOORSCRIEFT!$A$2:$G$6834,7,FALSE),"")</f>
        <v/>
      </c>
      <c r="G501" s="315"/>
    </row>
    <row r="502" spans="1:7" x14ac:dyDescent="0.25">
      <c r="A502" s="321" t="str">
        <f t="shared" si="15"/>
        <v>II.2.2.0810</v>
      </c>
      <c r="B502" s="321">
        <v>10</v>
      </c>
      <c r="C502" s="320" t="str">
        <f>IFERROR(VLOOKUP(A502,[3]DOORSCRIEFT!$A$2:$G$6834,2,FALSE),"")</f>
        <v/>
      </c>
      <c r="D502" s="481" t="str">
        <f>IFERROR(VLOOKUP(A502,[3]DOORSCRIEFT!$A$2:$G$6834,3,FALSE),"")</f>
        <v/>
      </c>
      <c r="E502" s="480" t="str">
        <f>IFERROR(VLOOKUP(A502,[3]DOORSCRIEFT!$A$2:$G$6834,4,FALSE),"")</f>
        <v/>
      </c>
      <c r="F502" s="405" t="str">
        <f>IFERROR(VLOOKUP(A502,[3]DOORSCRIEFT!$A$2:$G$6834,7,FALSE),"")</f>
        <v/>
      </c>
      <c r="G502" s="315"/>
    </row>
    <row r="503" spans="1:7" x14ac:dyDescent="0.25">
      <c r="A503" s="321" t="str">
        <f t="shared" si="15"/>
        <v>II.2.2.0811</v>
      </c>
      <c r="B503" s="321">
        <v>11</v>
      </c>
      <c r="C503" s="320" t="str">
        <f>IFERROR(VLOOKUP(A503,[3]DOORSCRIEFT!$A$2:$G$6834,2,FALSE),"")</f>
        <v/>
      </c>
      <c r="D503" s="481" t="str">
        <f>IFERROR(VLOOKUP(A503,[3]DOORSCRIEFT!$A$2:$G$6834,3,FALSE),"")</f>
        <v/>
      </c>
      <c r="E503" s="480" t="str">
        <f>IFERROR(VLOOKUP(A503,[3]DOORSCRIEFT!$A$2:$G$6834,4,FALSE),"")</f>
        <v/>
      </c>
      <c r="F503" s="405" t="str">
        <f>IFERROR(VLOOKUP(A503,[3]DOORSCRIEFT!$A$2:$G$6834,7,FALSE),"")</f>
        <v/>
      </c>
      <c r="G503" s="315"/>
    </row>
    <row r="504" spans="1:7" x14ac:dyDescent="0.25">
      <c r="A504" s="321" t="str">
        <f t="shared" si="15"/>
        <v>II.2.2.0812</v>
      </c>
      <c r="B504" s="321">
        <v>12</v>
      </c>
      <c r="C504" s="320" t="str">
        <f>IFERROR(VLOOKUP(A504,[3]DOORSCRIEFT!$A$2:$G$6834,2,FALSE),"")</f>
        <v/>
      </c>
      <c r="D504" s="481" t="str">
        <f>IFERROR(VLOOKUP(A504,[3]DOORSCRIEFT!$A$2:$G$6834,3,FALSE),"")</f>
        <v/>
      </c>
      <c r="E504" s="480" t="str">
        <f>IFERROR(VLOOKUP(A504,[3]DOORSCRIEFT!$A$2:$G$6834,4,FALSE),"")</f>
        <v/>
      </c>
      <c r="F504" s="405" t="str">
        <f>IFERROR(VLOOKUP(A504,[3]DOORSCRIEFT!$A$2:$G$6834,7,FALSE),"")</f>
        <v/>
      </c>
      <c r="G504" s="315"/>
    </row>
    <row r="505" spans="1:7" x14ac:dyDescent="0.25">
      <c r="A505" s="321" t="str">
        <f t="shared" si="15"/>
        <v>II.2.2.0813</v>
      </c>
      <c r="B505" s="321">
        <v>13</v>
      </c>
      <c r="C505" s="320" t="str">
        <f>IFERROR(VLOOKUP(A505,[3]DOORSCRIEFT!$A$2:$G$6834,2,FALSE),"")</f>
        <v/>
      </c>
      <c r="D505" s="481" t="str">
        <f>IFERROR(VLOOKUP(A505,[3]DOORSCRIEFT!$A$2:$G$6834,3,FALSE),"")</f>
        <v/>
      </c>
      <c r="E505" s="480" t="str">
        <f>IFERROR(VLOOKUP(A505,[3]DOORSCRIEFT!$A$2:$G$6834,4,FALSE),"")</f>
        <v/>
      </c>
      <c r="F505" s="405" t="str">
        <f>IFERROR(VLOOKUP(A505,[3]DOORSCRIEFT!$A$2:$G$6834,7,FALSE),"")</f>
        <v/>
      </c>
      <c r="G505" s="315"/>
    </row>
    <row r="506" spans="1:7" x14ac:dyDescent="0.25">
      <c r="A506" s="321" t="str">
        <f t="shared" si="15"/>
        <v>II.2.2.0814</v>
      </c>
      <c r="B506" s="321">
        <v>14</v>
      </c>
      <c r="C506" s="320" t="str">
        <f>IFERROR(VLOOKUP(A506,[3]DOORSCRIEFT!$A$2:$G$6834,2,FALSE),"")</f>
        <v/>
      </c>
      <c r="D506" s="481" t="str">
        <f>IFERROR(VLOOKUP(A506,[3]DOORSCRIEFT!$A$2:$G$6834,3,FALSE),"")</f>
        <v/>
      </c>
      <c r="E506" s="480" t="str">
        <f>IFERROR(VLOOKUP(A506,[3]DOORSCRIEFT!$A$2:$G$6834,4,FALSE),"")</f>
        <v/>
      </c>
      <c r="F506" s="405" t="str">
        <f>IFERROR(VLOOKUP(A506,[3]DOORSCRIEFT!$A$2:$G$6834,7,FALSE),"")</f>
        <v/>
      </c>
      <c r="G506" s="315"/>
    </row>
    <row r="507" spans="1:7" ht="15.75" thickBot="1" x14ac:dyDescent="0.3">
      <c r="A507" s="342" t="str">
        <f t="shared" si="15"/>
        <v>II.2.2.0815</v>
      </c>
      <c r="B507" s="342">
        <v>15</v>
      </c>
      <c r="C507" s="320" t="str">
        <f>IFERROR(VLOOKUP(A507,[3]DOORSCRIEFT!$A$2:$G$6834,2,FALSE),"")</f>
        <v/>
      </c>
      <c r="D507" s="481" t="str">
        <f>IFERROR(VLOOKUP(A507,[3]DOORSCRIEFT!$A$2:$G$6834,3,FALSE),"")</f>
        <v/>
      </c>
      <c r="E507" s="480" t="str">
        <f>IFERROR(VLOOKUP(A507,[3]DOORSCRIEFT!$A$2:$G$6834,4,FALSE),"")</f>
        <v/>
      </c>
      <c r="F507" s="405" t="str">
        <f>IFERROR(VLOOKUP(A507,[3]DOORSCRIEFT!$A$2:$G$6834,7,FALSE),"")</f>
        <v/>
      </c>
      <c r="G507" s="315"/>
    </row>
    <row r="508" spans="1:7" ht="15.75" thickBot="1" x14ac:dyDescent="0.3">
      <c r="A508" s="341"/>
      <c r="B508" s="340"/>
      <c r="C508" s="336"/>
      <c r="D508" s="486"/>
      <c r="E508" s="340" t="s">
        <v>644</v>
      </c>
      <c r="F508" s="310">
        <f>SUM(F493:F507)</f>
        <v>0</v>
      </c>
      <c r="G508" s="309">
        <f>SUM(G493:G507)</f>
        <v>0</v>
      </c>
    </row>
    <row r="509" spans="1:7" x14ac:dyDescent="0.25">
      <c r="C509" s="335"/>
      <c r="D509" s="485"/>
    </row>
    <row r="510" spans="1:7" x14ac:dyDescent="0.25">
      <c r="C510" s="335"/>
      <c r="D510" s="485"/>
    </row>
    <row r="511" spans="1:7" ht="15.75" x14ac:dyDescent="0.25">
      <c r="C511" s="334" t="s">
        <v>663</v>
      </c>
      <c r="D511" s="484"/>
      <c r="E511" s="333"/>
      <c r="F511" s="327" t="s">
        <v>607</v>
      </c>
      <c r="G511" s="327" t="s">
        <v>238</v>
      </c>
    </row>
    <row r="512" spans="1:7" ht="15.75" x14ac:dyDescent="0.25">
      <c r="C512" s="334"/>
      <c r="D512" s="484"/>
      <c r="E512" s="333"/>
      <c r="F512" s="327" t="s">
        <v>601</v>
      </c>
      <c r="G512" s="327" t="s">
        <v>237</v>
      </c>
    </row>
    <row r="513" spans="1:7" x14ac:dyDescent="0.25">
      <c r="C513" s="330"/>
      <c r="D513" s="482"/>
      <c r="E513" s="329"/>
      <c r="F513" s="327" t="s">
        <v>651</v>
      </c>
      <c r="G513" s="331">
        <f>[2]Sheet1!$D$254</f>
        <v>18601000</v>
      </c>
    </row>
    <row r="514" spans="1:7" ht="15.75" thickBot="1" x14ac:dyDescent="0.3">
      <c r="C514" s="330"/>
      <c r="D514" s="482"/>
      <c r="E514" s="329"/>
      <c r="F514" s="327" t="s">
        <v>650</v>
      </c>
      <c r="G514" s="326">
        <f>+F541-G513</f>
        <v>-14131000</v>
      </c>
    </row>
    <row r="515" spans="1:7" x14ac:dyDescent="0.25">
      <c r="A515" s="571" t="s">
        <v>655</v>
      </c>
      <c r="B515" s="573" t="s">
        <v>606</v>
      </c>
      <c r="C515" s="588" t="s">
        <v>649</v>
      </c>
      <c r="D515" s="599" t="s">
        <v>648</v>
      </c>
      <c r="E515" s="577" t="s">
        <v>647</v>
      </c>
      <c r="F515" s="577" t="s">
        <v>646</v>
      </c>
      <c r="G515" s="580" t="s">
        <v>645</v>
      </c>
    </row>
    <row r="516" spans="1:7" ht="15.75" thickBot="1" x14ac:dyDescent="0.3">
      <c r="A516" s="572"/>
      <c r="B516" s="574"/>
      <c r="C516" s="589"/>
      <c r="D516" s="600"/>
      <c r="E516" s="578"/>
      <c r="F516" s="578"/>
      <c r="G516" s="581"/>
    </row>
    <row r="517" spans="1:7" ht="15.75" thickBot="1" x14ac:dyDescent="0.3">
      <c r="A517" s="425">
        <v>1</v>
      </c>
      <c r="B517" s="425">
        <v>2</v>
      </c>
      <c r="C517" s="425">
        <v>3</v>
      </c>
      <c r="D517" s="425">
        <v>4</v>
      </c>
      <c r="E517" s="425">
        <v>5</v>
      </c>
      <c r="F517" s="425">
        <v>6</v>
      </c>
      <c r="G517" s="425">
        <v>7</v>
      </c>
    </row>
    <row r="518" spans="1:7" x14ac:dyDescent="0.25">
      <c r="A518" s="320" t="str">
        <f t="shared" ref="A518:A540" si="16">$G$511&amp;B518</f>
        <v>II.2.3.011</v>
      </c>
      <c r="B518" s="320">
        <v>1</v>
      </c>
      <c r="C518" s="320">
        <f>IFERROR(VLOOKUP(A518,[3]DOORSCRIEFT!$A$2:$G$6834,2,FALSE),"")</f>
        <v>111</v>
      </c>
      <c r="D518" s="481">
        <f>IFERROR(VLOOKUP(A518,[3]DOORSCRIEFT!$A$2:$G$6834,3,FALSE),"")</f>
        <v>46047</v>
      </c>
      <c r="E518" s="480" t="str">
        <f>IFERROR(VLOOKUP(A518,[3]DOORSCRIEFT!$A$2:$G$6834,4,FALSE),"")</f>
        <v>Beli Kertas 1 karton dan spidol</v>
      </c>
      <c r="F518" s="405">
        <f>IFERROR(VLOOKUP(A518,[3]DOORSCRIEFT!$A$2:$G$6834,7,FALSE),"")</f>
        <v>320000</v>
      </c>
      <c r="G518" s="322"/>
    </row>
    <row r="519" spans="1:7" x14ac:dyDescent="0.25">
      <c r="A519" s="321" t="str">
        <f t="shared" si="16"/>
        <v>II.2.3.012</v>
      </c>
      <c r="B519" s="321">
        <v>2</v>
      </c>
      <c r="C519" s="320">
        <f>IFERROR(VLOOKUP(A519,[3]DOORSCRIEFT!$A$2:$G$6834,2,FALSE),"")</f>
        <v>150</v>
      </c>
      <c r="D519" s="481">
        <f>IFERROR(VLOOKUP(A519,[3]DOORSCRIEFT!$A$2:$G$6834,3,FALSE),"")</f>
        <v>46054</v>
      </c>
      <c r="E519" s="480" t="str">
        <f>IFERROR(VLOOKUP(A519,[3]DOORSCRIEFT!$A$2:$G$6834,4,FALSE),"")</f>
        <v>Belanja ATK bulan Februari</v>
      </c>
      <c r="F519" s="405">
        <f>IFERROR(VLOOKUP(A519,[3]DOORSCRIEFT!$A$2:$G$6834,7,FALSE),"")</f>
        <v>1250000</v>
      </c>
      <c r="G519" s="315"/>
    </row>
    <row r="520" spans="1:7" x14ac:dyDescent="0.25">
      <c r="A520" s="321" t="str">
        <f t="shared" si="16"/>
        <v>II.2.3.013</v>
      </c>
      <c r="B520" s="321">
        <v>3</v>
      </c>
      <c r="C520" s="320">
        <f>IFERROR(VLOOKUP(A520,[3]DOORSCRIEFT!$A$2:$G$6834,2,FALSE),"")</f>
        <v>324</v>
      </c>
      <c r="D520" s="481">
        <f>IFERROR(VLOOKUP(A520,[3]DOORSCRIEFT!$A$2:$G$6834,3,FALSE),"")</f>
        <v>46089</v>
      </c>
      <c r="E520" s="480" t="str">
        <f>IFERROR(VLOOKUP(A520,[3]DOORSCRIEFT!$A$2:$G$6834,4,FALSE),"")</f>
        <v>Beli Tinta print Epson Hitam dan Karet</v>
      </c>
      <c r="F520" s="405">
        <f>IFERROR(VLOOKUP(A520,[3]DOORSCRIEFT!$A$2:$G$6834,7,FALSE),"")</f>
        <v>150000</v>
      </c>
      <c r="G520" s="315"/>
    </row>
    <row r="521" spans="1:7" x14ac:dyDescent="0.25">
      <c r="A521" s="321" t="str">
        <f t="shared" si="16"/>
        <v>II.2.3.014</v>
      </c>
      <c r="B521" s="321">
        <v>4</v>
      </c>
      <c r="C521" s="320">
        <f>IFERROR(VLOOKUP(A521,[3]DOORSCRIEFT!$A$2:$G$6834,2,FALSE),"")</f>
        <v>369</v>
      </c>
      <c r="D521" s="481">
        <f>IFERROR(VLOOKUP(A521,[3]DOORSCRIEFT!$A$2:$G$6834,3,FALSE),"")</f>
        <v>53036</v>
      </c>
      <c r="E521" s="480" t="str">
        <f>IFERROR(VLOOKUP(A521,[3]DOORSCRIEFT!$A$2:$G$6834,4,FALSE),"")</f>
        <v>Belanja ATK bulan Maret</v>
      </c>
      <c r="F521" s="405">
        <f>IFERROR(VLOOKUP(A521,[3]DOORSCRIEFT!$A$2:$G$6834,7,FALSE),"")</f>
        <v>2750000</v>
      </c>
      <c r="G521" s="315"/>
    </row>
    <row r="522" spans="1:7" x14ac:dyDescent="0.25">
      <c r="A522" s="321" t="str">
        <f t="shared" si="16"/>
        <v>II.2.3.015</v>
      </c>
      <c r="B522" s="321">
        <v>5</v>
      </c>
      <c r="C522" s="320" t="str">
        <f>IFERROR(VLOOKUP(A522,[3]DOORSCRIEFT!$A$2:$G$6834,2,FALSE),"")</f>
        <v/>
      </c>
      <c r="D522" s="481" t="str">
        <f>IFERROR(VLOOKUP(A522,[3]DOORSCRIEFT!$A$2:$G$6834,3,FALSE),"")</f>
        <v/>
      </c>
      <c r="E522" s="480" t="str">
        <f>IFERROR(VLOOKUP(A522,[3]DOORSCRIEFT!$A$2:$G$6834,4,FALSE),"")</f>
        <v/>
      </c>
      <c r="F522" s="405" t="str">
        <f>IFERROR(VLOOKUP(A522,[3]DOORSCRIEFT!$A$2:$G$6834,7,FALSE),"")</f>
        <v/>
      </c>
      <c r="G522" s="315"/>
    </row>
    <row r="523" spans="1:7" x14ac:dyDescent="0.25">
      <c r="A523" s="321" t="str">
        <f t="shared" si="16"/>
        <v>II.2.3.016</v>
      </c>
      <c r="B523" s="321">
        <v>6</v>
      </c>
      <c r="C523" s="320" t="str">
        <f>IFERROR(VLOOKUP(A523,[3]DOORSCRIEFT!$A$2:$G$6834,2,FALSE),"")</f>
        <v/>
      </c>
      <c r="D523" s="481" t="str">
        <f>IFERROR(VLOOKUP(A523,[3]DOORSCRIEFT!$A$2:$G$6834,3,FALSE),"")</f>
        <v/>
      </c>
      <c r="E523" s="480" t="str">
        <f>IFERROR(VLOOKUP(A523,[3]DOORSCRIEFT!$A$2:$G$6834,4,FALSE),"")</f>
        <v/>
      </c>
      <c r="F523" s="405" t="str">
        <f>IFERROR(VLOOKUP(A523,[3]DOORSCRIEFT!$A$2:$G$6834,7,FALSE),"")</f>
        <v/>
      </c>
      <c r="G523" s="315"/>
    </row>
    <row r="524" spans="1:7" x14ac:dyDescent="0.25">
      <c r="A524" s="321" t="str">
        <f t="shared" si="16"/>
        <v>II.2.3.017</v>
      </c>
      <c r="B524" s="321">
        <v>7</v>
      </c>
      <c r="C524" s="320" t="str">
        <f>IFERROR(VLOOKUP(A524,[3]DOORSCRIEFT!$A$2:$G$6834,2,FALSE),"")</f>
        <v/>
      </c>
      <c r="D524" s="481" t="str">
        <f>IFERROR(VLOOKUP(A524,[3]DOORSCRIEFT!$A$2:$G$6834,3,FALSE),"")</f>
        <v/>
      </c>
      <c r="E524" s="480" t="str">
        <f>IFERROR(VLOOKUP(A524,[3]DOORSCRIEFT!$A$2:$G$6834,4,FALSE),"")</f>
        <v/>
      </c>
      <c r="F524" s="405" t="str">
        <f>IFERROR(VLOOKUP(A524,[3]DOORSCRIEFT!$A$2:$G$6834,7,FALSE),"")</f>
        <v/>
      </c>
      <c r="G524" s="315"/>
    </row>
    <row r="525" spans="1:7" x14ac:dyDescent="0.25">
      <c r="A525" s="321" t="str">
        <f t="shared" si="16"/>
        <v>II.2.3.018</v>
      </c>
      <c r="B525" s="321">
        <v>8</v>
      </c>
      <c r="C525" s="320" t="str">
        <f>IFERROR(VLOOKUP(A525,[3]DOORSCRIEFT!$A$2:$G$6834,2,FALSE),"")</f>
        <v/>
      </c>
      <c r="D525" s="481" t="str">
        <f>IFERROR(VLOOKUP(A525,[3]DOORSCRIEFT!$A$2:$G$6834,3,FALSE),"")</f>
        <v/>
      </c>
      <c r="E525" s="480" t="str">
        <f>IFERROR(VLOOKUP(A525,[3]DOORSCRIEFT!$A$2:$G$6834,4,FALSE),"")</f>
        <v/>
      </c>
      <c r="F525" s="405" t="str">
        <f>IFERROR(VLOOKUP(A525,[3]DOORSCRIEFT!$A$2:$G$6834,7,FALSE),"")</f>
        <v/>
      </c>
      <c r="G525" s="315"/>
    </row>
    <row r="526" spans="1:7" x14ac:dyDescent="0.25">
      <c r="A526" s="321" t="str">
        <f t="shared" si="16"/>
        <v>II.2.3.019</v>
      </c>
      <c r="B526" s="321">
        <v>9</v>
      </c>
      <c r="C526" s="320" t="str">
        <f>IFERROR(VLOOKUP(A526,[3]DOORSCRIEFT!$A$2:$G$6834,2,FALSE),"")</f>
        <v/>
      </c>
      <c r="D526" s="481" t="str">
        <f>IFERROR(VLOOKUP(A526,[3]DOORSCRIEFT!$A$2:$G$6834,3,FALSE),"")</f>
        <v/>
      </c>
      <c r="E526" s="480" t="str">
        <f>IFERROR(VLOOKUP(A526,[3]DOORSCRIEFT!$A$2:$G$6834,4,FALSE),"")</f>
        <v/>
      </c>
      <c r="F526" s="405" t="str">
        <f>IFERROR(VLOOKUP(A526,[3]DOORSCRIEFT!$A$2:$G$6834,7,FALSE),"")</f>
        <v/>
      </c>
      <c r="G526" s="315"/>
    </row>
    <row r="527" spans="1:7" x14ac:dyDescent="0.25">
      <c r="A527" s="321" t="str">
        <f t="shared" si="16"/>
        <v>II.2.3.0110</v>
      </c>
      <c r="B527" s="321">
        <v>10</v>
      </c>
      <c r="C527" s="320" t="str">
        <f>IFERROR(VLOOKUP(A527,[3]DOORSCRIEFT!$A$2:$G$6834,2,FALSE),"")</f>
        <v/>
      </c>
      <c r="D527" s="481" t="str">
        <f>IFERROR(VLOOKUP(A527,[3]DOORSCRIEFT!$A$2:$G$6834,3,FALSE),"")</f>
        <v/>
      </c>
      <c r="E527" s="480" t="str">
        <f>IFERROR(VLOOKUP(A527,[3]DOORSCRIEFT!$A$2:$G$6834,4,FALSE),"")</f>
        <v/>
      </c>
      <c r="F527" s="405" t="str">
        <f>IFERROR(VLOOKUP(A527,[3]DOORSCRIEFT!$A$2:$G$6834,7,FALSE),"")</f>
        <v/>
      </c>
      <c r="G527" s="315"/>
    </row>
    <row r="528" spans="1:7" x14ac:dyDescent="0.25">
      <c r="A528" s="321" t="str">
        <f t="shared" si="16"/>
        <v>II.2.3.0111</v>
      </c>
      <c r="B528" s="321">
        <v>11</v>
      </c>
      <c r="C528" s="320" t="str">
        <f>IFERROR(VLOOKUP(A528,[3]DOORSCRIEFT!$A$2:$G$6834,2,FALSE),"")</f>
        <v/>
      </c>
      <c r="D528" s="481" t="str">
        <f>IFERROR(VLOOKUP(A528,[3]DOORSCRIEFT!$A$2:$G$6834,3,FALSE),"")</f>
        <v/>
      </c>
      <c r="E528" s="480" t="str">
        <f>IFERROR(VLOOKUP(A528,[3]DOORSCRIEFT!$A$2:$G$6834,4,FALSE),"")</f>
        <v/>
      </c>
      <c r="F528" s="405" t="str">
        <f>IFERROR(VLOOKUP(A528,[3]DOORSCRIEFT!$A$2:$G$6834,7,FALSE),"")</f>
        <v/>
      </c>
      <c r="G528" s="315"/>
    </row>
    <row r="529" spans="1:7" x14ac:dyDescent="0.25">
      <c r="A529" s="321" t="str">
        <f t="shared" si="16"/>
        <v>II.2.3.0112</v>
      </c>
      <c r="B529" s="321">
        <v>12</v>
      </c>
      <c r="C529" s="320" t="str">
        <f>IFERROR(VLOOKUP(A529,[3]DOORSCRIEFT!$A$2:$G$6834,2,FALSE),"")</f>
        <v/>
      </c>
      <c r="D529" s="481" t="str">
        <f>IFERROR(VLOOKUP(A529,[3]DOORSCRIEFT!$A$2:$G$6834,3,FALSE),"")</f>
        <v/>
      </c>
      <c r="E529" s="480" t="str">
        <f>IFERROR(VLOOKUP(A529,[3]DOORSCRIEFT!$A$2:$G$6834,4,FALSE),"")</f>
        <v/>
      </c>
      <c r="F529" s="405" t="str">
        <f>IFERROR(VLOOKUP(A529,[3]DOORSCRIEFT!$A$2:$G$6834,7,FALSE),"")</f>
        <v/>
      </c>
      <c r="G529" s="315"/>
    </row>
    <row r="530" spans="1:7" x14ac:dyDescent="0.25">
      <c r="A530" s="321" t="str">
        <f t="shared" si="16"/>
        <v>II.2.3.0113</v>
      </c>
      <c r="B530" s="321">
        <v>13</v>
      </c>
      <c r="C530" s="320" t="str">
        <f>IFERROR(VLOOKUP(A530,[3]DOORSCRIEFT!$A$2:$G$6834,2,FALSE),"")</f>
        <v/>
      </c>
      <c r="D530" s="481" t="str">
        <f>IFERROR(VLOOKUP(A530,[3]DOORSCRIEFT!$A$2:$G$6834,3,FALSE),"")</f>
        <v/>
      </c>
      <c r="E530" s="480" t="str">
        <f>IFERROR(VLOOKUP(A530,[3]DOORSCRIEFT!$A$2:$G$6834,4,FALSE),"")</f>
        <v/>
      </c>
      <c r="F530" s="405" t="str">
        <f>IFERROR(VLOOKUP(A530,[3]DOORSCRIEFT!$A$2:$G$6834,7,FALSE),"")</f>
        <v/>
      </c>
      <c r="G530" s="315"/>
    </row>
    <row r="531" spans="1:7" x14ac:dyDescent="0.25">
      <c r="A531" s="321" t="str">
        <f t="shared" si="16"/>
        <v>II.2.3.0114</v>
      </c>
      <c r="B531" s="321">
        <v>14</v>
      </c>
      <c r="C531" s="320" t="str">
        <f>IFERROR(VLOOKUP(A531,[3]DOORSCRIEFT!$A$2:$G$6834,2,FALSE),"")</f>
        <v/>
      </c>
      <c r="D531" s="481" t="str">
        <f>IFERROR(VLOOKUP(A531,[3]DOORSCRIEFT!$A$2:$G$6834,3,FALSE),"")</f>
        <v/>
      </c>
      <c r="E531" s="480" t="str">
        <f>IFERROR(VLOOKUP(A531,[3]DOORSCRIEFT!$A$2:$G$6834,4,FALSE),"")</f>
        <v/>
      </c>
      <c r="F531" s="405" t="str">
        <f>IFERROR(VLOOKUP(A531,[3]DOORSCRIEFT!$A$2:$G$6834,7,FALSE),"")</f>
        <v/>
      </c>
      <c r="G531" s="315"/>
    </row>
    <row r="532" spans="1:7" x14ac:dyDescent="0.25">
      <c r="A532" s="321" t="str">
        <f t="shared" si="16"/>
        <v>II.2.3.0115</v>
      </c>
      <c r="B532" s="321">
        <v>15</v>
      </c>
      <c r="C532" s="320" t="str">
        <f>IFERROR(VLOOKUP(A532,[3]DOORSCRIEFT!$A$2:$G$6834,2,FALSE),"")</f>
        <v/>
      </c>
      <c r="D532" s="481" t="str">
        <f>IFERROR(VLOOKUP(A532,[3]DOORSCRIEFT!$A$2:$G$6834,3,FALSE),"")</f>
        <v/>
      </c>
      <c r="E532" s="480" t="str">
        <f>IFERROR(VLOOKUP(A532,[3]DOORSCRIEFT!$A$2:$G$6834,4,FALSE),"")</f>
        <v/>
      </c>
      <c r="F532" s="405" t="str">
        <f>IFERROR(VLOOKUP(A532,[3]DOORSCRIEFT!$A$2:$G$6834,7,FALSE),"")</f>
        <v/>
      </c>
      <c r="G532" s="315"/>
    </row>
    <row r="533" spans="1:7" x14ac:dyDescent="0.25">
      <c r="A533" s="321" t="str">
        <f t="shared" si="16"/>
        <v>II.2.3.0116</v>
      </c>
      <c r="B533" s="321">
        <v>16</v>
      </c>
      <c r="C533" s="320" t="str">
        <f>IFERROR(VLOOKUP(A533,[3]DOORSCRIEFT!$A$2:$G$6834,2,FALSE),"")</f>
        <v/>
      </c>
      <c r="D533" s="481" t="str">
        <f>IFERROR(VLOOKUP(A533,[3]DOORSCRIEFT!$A$2:$G$6834,3,FALSE),"")</f>
        <v/>
      </c>
      <c r="E533" s="480" t="str">
        <f>IFERROR(VLOOKUP(A533,[3]DOORSCRIEFT!$A$2:$G$6834,4,FALSE),"")</f>
        <v/>
      </c>
      <c r="F533" s="405" t="str">
        <f>IFERROR(VLOOKUP(A533,[3]DOORSCRIEFT!$A$2:$G$6834,7,FALSE),"")</f>
        <v/>
      </c>
      <c r="G533" s="315"/>
    </row>
    <row r="534" spans="1:7" x14ac:dyDescent="0.25">
      <c r="A534" s="321" t="str">
        <f t="shared" si="16"/>
        <v>II.2.3.0117</v>
      </c>
      <c r="B534" s="321">
        <v>17</v>
      </c>
      <c r="C534" s="320" t="str">
        <f>IFERROR(VLOOKUP(A534,[3]DOORSCRIEFT!$A$2:$G$6834,2,FALSE),"")</f>
        <v/>
      </c>
      <c r="D534" s="481" t="str">
        <f>IFERROR(VLOOKUP(A534,[3]DOORSCRIEFT!$A$2:$G$6834,3,FALSE),"")</f>
        <v/>
      </c>
      <c r="E534" s="480" t="str">
        <f>IFERROR(VLOOKUP(A534,[3]DOORSCRIEFT!$A$2:$G$6834,4,FALSE),"")</f>
        <v/>
      </c>
      <c r="F534" s="405" t="str">
        <f>IFERROR(VLOOKUP(A534,[3]DOORSCRIEFT!$A$2:$G$6834,7,FALSE),"")</f>
        <v/>
      </c>
      <c r="G534" s="315"/>
    </row>
    <row r="535" spans="1:7" x14ac:dyDescent="0.25">
      <c r="A535" s="321" t="str">
        <f t="shared" si="16"/>
        <v>II.2.3.0118</v>
      </c>
      <c r="B535" s="321">
        <v>18</v>
      </c>
      <c r="C535" s="320" t="str">
        <f>IFERROR(VLOOKUP(A535,[3]DOORSCRIEFT!$A$2:$G$6834,2,FALSE),"")</f>
        <v/>
      </c>
      <c r="D535" s="481" t="str">
        <f>IFERROR(VLOOKUP(A535,[3]DOORSCRIEFT!$A$2:$G$6834,3,FALSE),"")</f>
        <v/>
      </c>
      <c r="E535" s="480" t="str">
        <f>IFERROR(VLOOKUP(A535,[3]DOORSCRIEFT!$A$2:$G$6834,4,FALSE),"")</f>
        <v/>
      </c>
      <c r="F535" s="405" t="str">
        <f>IFERROR(VLOOKUP(A535,[3]DOORSCRIEFT!$A$2:$G$6834,7,FALSE),"")</f>
        <v/>
      </c>
      <c r="G535" s="315"/>
    </row>
    <row r="536" spans="1:7" x14ac:dyDescent="0.25">
      <c r="A536" s="321" t="str">
        <f t="shared" si="16"/>
        <v>II.2.3.0119</v>
      </c>
      <c r="B536" s="321">
        <v>19</v>
      </c>
      <c r="C536" s="320" t="str">
        <f>IFERROR(VLOOKUP(A536,[3]DOORSCRIEFT!$A$2:$G$6834,2,FALSE),"")</f>
        <v/>
      </c>
      <c r="D536" s="481" t="str">
        <f>IFERROR(VLOOKUP(A536,[3]DOORSCRIEFT!$A$2:$G$6834,3,FALSE),"")</f>
        <v/>
      </c>
      <c r="E536" s="480" t="str">
        <f>IFERROR(VLOOKUP(A536,[3]DOORSCRIEFT!$A$2:$G$6834,4,FALSE),"")</f>
        <v/>
      </c>
      <c r="F536" s="405" t="str">
        <f>IFERROR(VLOOKUP(A536,[3]DOORSCRIEFT!$A$2:$G$6834,7,FALSE),"")</f>
        <v/>
      </c>
      <c r="G536" s="315"/>
    </row>
    <row r="537" spans="1:7" x14ac:dyDescent="0.25">
      <c r="A537" s="321" t="str">
        <f t="shared" si="16"/>
        <v>II.2.3.0120</v>
      </c>
      <c r="B537" s="321">
        <v>20</v>
      </c>
      <c r="C537" s="320" t="str">
        <f>IFERROR(VLOOKUP(A537,[3]DOORSCRIEFT!$A$2:$G$6834,2,FALSE),"")</f>
        <v/>
      </c>
      <c r="D537" s="481" t="str">
        <f>IFERROR(VLOOKUP(A537,[3]DOORSCRIEFT!$A$2:$G$6834,3,FALSE),"")</f>
        <v/>
      </c>
      <c r="E537" s="480" t="str">
        <f>IFERROR(VLOOKUP(A537,[3]DOORSCRIEFT!$A$2:$G$6834,4,FALSE),"")</f>
        <v/>
      </c>
      <c r="F537" s="405" t="str">
        <f>IFERROR(VLOOKUP(A537,[3]DOORSCRIEFT!$A$2:$G$6834,7,FALSE),"")</f>
        <v/>
      </c>
      <c r="G537" s="315"/>
    </row>
    <row r="538" spans="1:7" x14ac:dyDescent="0.25">
      <c r="A538" s="321" t="str">
        <f t="shared" si="16"/>
        <v>II.2.3.0121</v>
      </c>
      <c r="B538" s="321">
        <v>21</v>
      </c>
      <c r="C538" s="320" t="str">
        <f>IFERROR(VLOOKUP(A538,[3]DOORSCRIEFT!$A$2:$G$6834,2,FALSE),"")</f>
        <v/>
      </c>
      <c r="D538" s="481" t="str">
        <f>IFERROR(VLOOKUP(A538,[3]DOORSCRIEFT!$A$2:$G$6834,3,FALSE),"")</f>
        <v/>
      </c>
      <c r="E538" s="480" t="str">
        <f>IFERROR(VLOOKUP(A538,[3]DOORSCRIEFT!$A$2:$G$6834,4,FALSE),"")</f>
        <v/>
      </c>
      <c r="F538" s="405" t="str">
        <f>IFERROR(VLOOKUP(A538,[3]DOORSCRIEFT!$A$2:$G$6834,7,FALSE),"")</f>
        <v/>
      </c>
      <c r="G538" s="315"/>
    </row>
    <row r="539" spans="1:7" x14ac:dyDescent="0.25">
      <c r="A539" s="321" t="str">
        <f t="shared" si="16"/>
        <v>II.2.3.0122</v>
      </c>
      <c r="B539" s="321">
        <v>22</v>
      </c>
      <c r="C539" s="320" t="str">
        <f>IFERROR(VLOOKUP(A539,[3]DOORSCRIEFT!$A$2:$G$6834,2,FALSE),"")</f>
        <v/>
      </c>
      <c r="D539" s="481" t="str">
        <f>IFERROR(VLOOKUP(A539,[3]DOORSCRIEFT!$A$2:$G$6834,3,FALSE),"")</f>
        <v/>
      </c>
      <c r="E539" s="480" t="str">
        <f>IFERROR(VLOOKUP(A539,[3]DOORSCRIEFT!$A$2:$G$6834,4,FALSE),"")</f>
        <v/>
      </c>
      <c r="F539" s="405" t="str">
        <f>IFERROR(VLOOKUP(A539,[3]DOORSCRIEFT!$A$2:$G$6834,7,FALSE),"")</f>
        <v/>
      </c>
      <c r="G539" s="315"/>
    </row>
    <row r="540" spans="1:7" ht="15.75" thickBot="1" x14ac:dyDescent="0.3">
      <c r="A540" s="342" t="str">
        <f t="shared" si="16"/>
        <v>II.2.3.0123</v>
      </c>
      <c r="B540" s="342">
        <v>23</v>
      </c>
      <c r="C540" s="320" t="str">
        <f>IFERROR(VLOOKUP(A540,[3]DOORSCRIEFT!$A$2:$G$6834,2,FALSE),"")</f>
        <v/>
      </c>
      <c r="D540" s="481" t="str">
        <f>IFERROR(VLOOKUP(A540,[3]DOORSCRIEFT!$A$2:$G$6834,3,FALSE),"")</f>
        <v/>
      </c>
      <c r="E540" s="480" t="str">
        <f>IFERROR(VLOOKUP(A540,[3]DOORSCRIEFT!$A$2:$G$6834,4,FALSE),"")</f>
        <v/>
      </c>
      <c r="F540" s="405" t="str">
        <f>IFERROR(VLOOKUP(A540,[3]DOORSCRIEFT!$A$2:$G$6834,7,FALSE),"")</f>
        <v/>
      </c>
      <c r="G540" s="315"/>
    </row>
    <row r="541" spans="1:7" ht="15.75" thickBot="1" x14ac:dyDescent="0.3">
      <c r="A541" s="341"/>
      <c r="B541" s="340"/>
      <c r="C541" s="336"/>
      <c r="D541" s="486"/>
      <c r="E541" s="340" t="s">
        <v>644</v>
      </c>
      <c r="F541" s="310">
        <f>SUM(F518:F540)</f>
        <v>4470000</v>
      </c>
      <c r="G541" s="309">
        <f>SUM(G518:G540)</f>
        <v>0</v>
      </c>
    </row>
    <row r="542" spans="1:7" x14ac:dyDescent="0.25">
      <c r="C542" s="335"/>
      <c r="D542" s="485"/>
    </row>
    <row r="543" spans="1:7" x14ac:dyDescent="0.25">
      <c r="C543" s="335"/>
      <c r="D543" s="485"/>
    </row>
    <row r="544" spans="1:7" ht="15.75" x14ac:dyDescent="0.25">
      <c r="C544" s="334" t="s">
        <v>663</v>
      </c>
      <c r="D544" s="484"/>
      <c r="E544" s="333"/>
      <c r="F544" s="327" t="s">
        <v>607</v>
      </c>
      <c r="G544" s="327" t="s">
        <v>236</v>
      </c>
    </row>
    <row r="545" spans="1:7" ht="15.75" x14ac:dyDescent="0.25">
      <c r="C545" s="334"/>
      <c r="D545" s="484"/>
      <c r="E545" s="333"/>
      <c r="F545" s="327" t="s">
        <v>601</v>
      </c>
      <c r="G545" s="327" t="s">
        <v>235</v>
      </c>
    </row>
    <row r="546" spans="1:7" x14ac:dyDescent="0.25">
      <c r="C546" s="330"/>
      <c r="D546" s="482"/>
      <c r="E546" s="329"/>
      <c r="F546" s="327" t="s">
        <v>651</v>
      </c>
      <c r="G546" s="331">
        <f>[2]Sheet1!$D$259</f>
        <v>3000000</v>
      </c>
    </row>
    <row r="547" spans="1:7" ht="15.75" thickBot="1" x14ac:dyDescent="0.3">
      <c r="C547" s="330"/>
      <c r="D547" s="482"/>
      <c r="E547" s="329"/>
      <c r="F547" s="327" t="s">
        <v>650</v>
      </c>
      <c r="G547" s="326">
        <f>+F571-G546</f>
        <v>-2780000</v>
      </c>
    </row>
    <row r="548" spans="1:7" x14ac:dyDescent="0.25">
      <c r="A548" s="571" t="s">
        <v>655</v>
      </c>
      <c r="B548" s="573" t="s">
        <v>606</v>
      </c>
      <c r="C548" s="588" t="s">
        <v>649</v>
      </c>
      <c r="D548" s="599" t="s">
        <v>648</v>
      </c>
      <c r="E548" s="577" t="s">
        <v>647</v>
      </c>
      <c r="F548" s="577" t="s">
        <v>646</v>
      </c>
      <c r="G548" s="580" t="s">
        <v>645</v>
      </c>
    </row>
    <row r="549" spans="1:7" ht="15.75" thickBot="1" x14ac:dyDescent="0.3">
      <c r="A549" s="572"/>
      <c r="B549" s="574"/>
      <c r="C549" s="589"/>
      <c r="D549" s="600"/>
      <c r="E549" s="578"/>
      <c r="F549" s="578"/>
      <c r="G549" s="581"/>
    </row>
    <row r="550" spans="1:7" ht="15.75" thickBot="1" x14ac:dyDescent="0.3">
      <c r="A550" s="425">
        <v>1</v>
      </c>
      <c r="B550" s="425">
        <v>2</v>
      </c>
      <c r="C550" s="425">
        <v>3</v>
      </c>
      <c r="D550" s="425">
        <v>4</v>
      </c>
      <c r="E550" s="425">
        <v>5</v>
      </c>
      <c r="F550" s="425">
        <v>6</v>
      </c>
      <c r="G550" s="425">
        <v>7</v>
      </c>
    </row>
    <row r="551" spans="1:7" x14ac:dyDescent="0.25">
      <c r="A551" s="320" t="str">
        <f t="shared" ref="A551:A570" si="17">$G$544&amp;B551</f>
        <v>II.2.3.021</v>
      </c>
      <c r="B551" s="320">
        <v>1</v>
      </c>
      <c r="C551" s="320">
        <f>IFERROR(VLOOKUP(A551,[3]DOORSCRIEFT!$A$2:$G$6834,2,FALSE),"")</f>
        <v>113</v>
      </c>
      <c r="D551" s="481">
        <f>IFERROR(VLOOKUP(A551,[3]DOORSCRIEFT!$A$2:$G$6834,3,FALSE),"")</f>
        <v>46047</v>
      </c>
      <c r="E551" s="480" t="str">
        <f>IFERROR(VLOOKUP(A551,[3]DOORSCRIEFT!$A$2:$G$6834,4,FALSE),"")</f>
        <v>Biaya Tamu gereja</v>
      </c>
      <c r="F551" s="405">
        <f>IFERROR(VLOOKUP(A551,[3]DOORSCRIEFT!$A$2:$G$6834,7,FALSE),"")</f>
        <v>220000</v>
      </c>
      <c r="G551" s="322"/>
    </row>
    <row r="552" spans="1:7" x14ac:dyDescent="0.25">
      <c r="A552" s="321" t="str">
        <f t="shared" si="17"/>
        <v>II.2.3.022</v>
      </c>
      <c r="B552" s="321">
        <v>2</v>
      </c>
      <c r="C552" s="320" t="str">
        <f>IFERROR(VLOOKUP(A552,[3]DOORSCRIEFT!$A$2:$G$6834,2,FALSE),"")</f>
        <v/>
      </c>
      <c r="D552" s="481" t="str">
        <f>IFERROR(VLOOKUP(A552,[3]DOORSCRIEFT!$A$2:$G$6834,3,FALSE),"")</f>
        <v/>
      </c>
      <c r="E552" s="480" t="str">
        <f>IFERROR(VLOOKUP(A552,[3]DOORSCRIEFT!$A$2:$G$6834,4,FALSE),"")</f>
        <v/>
      </c>
      <c r="F552" s="405" t="str">
        <f>IFERROR(VLOOKUP(A552,[3]DOORSCRIEFT!$A$2:$G$6834,7,FALSE),"")</f>
        <v/>
      </c>
      <c r="G552" s="315"/>
    </row>
    <row r="553" spans="1:7" x14ac:dyDescent="0.25">
      <c r="A553" s="321" t="str">
        <f t="shared" si="17"/>
        <v>II.2.3.023</v>
      </c>
      <c r="B553" s="321">
        <v>3</v>
      </c>
      <c r="C553" s="320" t="str">
        <f>IFERROR(VLOOKUP(A553,[3]DOORSCRIEFT!$A$2:$G$6834,2,FALSE),"")</f>
        <v/>
      </c>
      <c r="D553" s="481" t="str">
        <f>IFERROR(VLOOKUP(A553,[3]DOORSCRIEFT!$A$2:$G$6834,3,FALSE),"")</f>
        <v/>
      </c>
      <c r="E553" s="480" t="str">
        <f>IFERROR(VLOOKUP(A553,[3]DOORSCRIEFT!$A$2:$G$6834,4,FALSE),"")</f>
        <v/>
      </c>
      <c r="F553" s="405" t="str">
        <f>IFERROR(VLOOKUP(A553,[3]DOORSCRIEFT!$A$2:$G$6834,7,FALSE),"")</f>
        <v/>
      </c>
      <c r="G553" s="315"/>
    </row>
    <row r="554" spans="1:7" x14ac:dyDescent="0.25">
      <c r="A554" s="321" t="str">
        <f t="shared" si="17"/>
        <v>II.2.3.024</v>
      </c>
      <c r="B554" s="321">
        <v>4</v>
      </c>
      <c r="C554" s="320" t="str">
        <f>IFERROR(VLOOKUP(A554,[3]DOORSCRIEFT!$A$2:$G$6834,2,FALSE),"")</f>
        <v/>
      </c>
      <c r="D554" s="481" t="str">
        <f>IFERROR(VLOOKUP(A554,[3]DOORSCRIEFT!$A$2:$G$6834,3,FALSE),"")</f>
        <v/>
      </c>
      <c r="E554" s="480" t="str">
        <f>IFERROR(VLOOKUP(A554,[3]DOORSCRIEFT!$A$2:$G$6834,4,FALSE),"")</f>
        <v/>
      </c>
      <c r="F554" s="405" t="str">
        <f>IFERROR(VLOOKUP(A554,[3]DOORSCRIEFT!$A$2:$G$6834,7,FALSE),"")</f>
        <v/>
      </c>
      <c r="G554" s="315"/>
    </row>
    <row r="555" spans="1:7" x14ac:dyDescent="0.25">
      <c r="A555" s="321" t="str">
        <f t="shared" si="17"/>
        <v>II.2.3.025</v>
      </c>
      <c r="B555" s="321">
        <v>5</v>
      </c>
      <c r="C555" s="320" t="str">
        <f>IFERROR(VLOOKUP(A555,[3]DOORSCRIEFT!$A$2:$G$6834,2,FALSE),"")</f>
        <v/>
      </c>
      <c r="D555" s="481" t="str">
        <f>IFERROR(VLOOKUP(A555,[3]DOORSCRIEFT!$A$2:$G$6834,3,FALSE),"")</f>
        <v/>
      </c>
      <c r="E555" s="480" t="str">
        <f>IFERROR(VLOOKUP(A555,[3]DOORSCRIEFT!$A$2:$G$6834,4,FALSE),"")</f>
        <v/>
      </c>
      <c r="F555" s="405" t="str">
        <f>IFERROR(VLOOKUP(A555,[3]DOORSCRIEFT!$A$2:$G$6834,7,FALSE),"")</f>
        <v/>
      </c>
      <c r="G555" s="315"/>
    </row>
    <row r="556" spans="1:7" x14ac:dyDescent="0.25">
      <c r="A556" s="321" t="str">
        <f t="shared" si="17"/>
        <v>II.2.3.026</v>
      </c>
      <c r="B556" s="321">
        <v>6</v>
      </c>
      <c r="C556" s="320" t="str">
        <f>IFERROR(VLOOKUP(A556,[3]DOORSCRIEFT!$A$2:$G$6834,2,FALSE),"")</f>
        <v/>
      </c>
      <c r="D556" s="481" t="str">
        <f>IFERROR(VLOOKUP(A556,[3]DOORSCRIEFT!$A$2:$G$6834,3,FALSE),"")</f>
        <v/>
      </c>
      <c r="E556" s="480" t="str">
        <f>IFERROR(VLOOKUP(A556,[3]DOORSCRIEFT!$A$2:$G$6834,4,FALSE),"")</f>
        <v/>
      </c>
      <c r="F556" s="405" t="str">
        <f>IFERROR(VLOOKUP(A556,[3]DOORSCRIEFT!$A$2:$G$6834,7,FALSE),"")</f>
        <v/>
      </c>
      <c r="G556" s="315"/>
    </row>
    <row r="557" spans="1:7" x14ac:dyDescent="0.25">
      <c r="A557" s="321" t="str">
        <f t="shared" si="17"/>
        <v>II.2.3.027</v>
      </c>
      <c r="B557" s="321">
        <v>7</v>
      </c>
      <c r="C557" s="320" t="str">
        <f>IFERROR(VLOOKUP(A557,[3]DOORSCRIEFT!$A$2:$G$6834,2,FALSE),"")</f>
        <v/>
      </c>
      <c r="D557" s="481" t="str">
        <f>IFERROR(VLOOKUP(A557,[3]DOORSCRIEFT!$A$2:$G$6834,3,FALSE),"")</f>
        <v/>
      </c>
      <c r="E557" s="480" t="str">
        <f>IFERROR(VLOOKUP(A557,[3]DOORSCRIEFT!$A$2:$G$6834,4,FALSE),"")</f>
        <v/>
      </c>
      <c r="F557" s="405" t="str">
        <f>IFERROR(VLOOKUP(A557,[3]DOORSCRIEFT!$A$2:$G$6834,7,FALSE),"")</f>
        <v/>
      </c>
      <c r="G557" s="315"/>
    </row>
    <row r="558" spans="1:7" x14ac:dyDescent="0.25">
      <c r="A558" s="321" t="str">
        <f t="shared" si="17"/>
        <v>II.2.3.028</v>
      </c>
      <c r="B558" s="321">
        <v>8</v>
      </c>
      <c r="C558" s="320" t="str">
        <f>IFERROR(VLOOKUP(A558,[3]DOORSCRIEFT!$A$2:$G$6834,2,FALSE),"")</f>
        <v/>
      </c>
      <c r="D558" s="481" t="str">
        <f>IFERROR(VLOOKUP(A558,[3]DOORSCRIEFT!$A$2:$G$6834,3,FALSE),"")</f>
        <v/>
      </c>
      <c r="E558" s="480" t="str">
        <f>IFERROR(VLOOKUP(A558,[3]DOORSCRIEFT!$A$2:$G$6834,4,FALSE),"")</f>
        <v/>
      </c>
      <c r="F558" s="405" t="str">
        <f>IFERROR(VLOOKUP(A558,[3]DOORSCRIEFT!$A$2:$G$6834,7,FALSE),"")</f>
        <v/>
      </c>
      <c r="G558" s="315"/>
    </row>
    <row r="559" spans="1:7" x14ac:dyDescent="0.25">
      <c r="A559" s="321" t="str">
        <f t="shared" si="17"/>
        <v>II.2.3.029</v>
      </c>
      <c r="B559" s="321">
        <v>9</v>
      </c>
      <c r="C559" s="320" t="str">
        <f>IFERROR(VLOOKUP(A559,[3]DOORSCRIEFT!$A$2:$G$6834,2,FALSE),"")</f>
        <v/>
      </c>
      <c r="D559" s="481" t="str">
        <f>IFERROR(VLOOKUP(A559,[3]DOORSCRIEFT!$A$2:$G$6834,3,FALSE),"")</f>
        <v/>
      </c>
      <c r="E559" s="480" t="str">
        <f>IFERROR(VLOOKUP(A559,[3]DOORSCRIEFT!$A$2:$G$6834,4,FALSE),"")</f>
        <v/>
      </c>
      <c r="F559" s="405" t="str">
        <f>IFERROR(VLOOKUP(A559,[3]DOORSCRIEFT!$A$2:$G$6834,7,FALSE),"")</f>
        <v/>
      </c>
      <c r="G559" s="315"/>
    </row>
    <row r="560" spans="1:7" x14ac:dyDescent="0.25">
      <c r="A560" s="321" t="str">
        <f t="shared" si="17"/>
        <v>II.2.3.0210</v>
      </c>
      <c r="B560" s="321">
        <v>10</v>
      </c>
      <c r="C560" s="320" t="str">
        <f>IFERROR(VLOOKUP(A560,[3]DOORSCRIEFT!$A$2:$G$6834,2,FALSE),"")</f>
        <v/>
      </c>
      <c r="D560" s="481" t="str">
        <f>IFERROR(VLOOKUP(A560,[3]DOORSCRIEFT!$A$2:$G$6834,3,FALSE),"")</f>
        <v/>
      </c>
      <c r="E560" s="480" t="str">
        <f>IFERROR(VLOOKUP(A560,[3]DOORSCRIEFT!$A$2:$G$6834,4,FALSE),"")</f>
        <v/>
      </c>
      <c r="F560" s="405" t="str">
        <f>IFERROR(VLOOKUP(A560,[3]DOORSCRIEFT!$A$2:$G$6834,7,FALSE),"")</f>
        <v/>
      </c>
      <c r="G560" s="315"/>
    </row>
    <row r="561" spans="1:7" x14ac:dyDescent="0.25">
      <c r="A561" s="321" t="str">
        <f t="shared" si="17"/>
        <v>II.2.3.0211</v>
      </c>
      <c r="B561" s="321">
        <v>11</v>
      </c>
      <c r="C561" s="320" t="str">
        <f>IFERROR(VLOOKUP(A561,[3]DOORSCRIEFT!$A$2:$G$6834,2,FALSE),"")</f>
        <v/>
      </c>
      <c r="D561" s="481" t="str">
        <f>IFERROR(VLOOKUP(A561,[3]DOORSCRIEFT!$A$2:$G$6834,3,FALSE),"")</f>
        <v/>
      </c>
      <c r="E561" s="480" t="str">
        <f>IFERROR(VLOOKUP(A561,[3]DOORSCRIEFT!$A$2:$G$6834,4,FALSE),"")</f>
        <v/>
      </c>
      <c r="F561" s="405" t="str">
        <f>IFERROR(VLOOKUP(A561,[3]DOORSCRIEFT!$A$2:$G$6834,7,FALSE),"")</f>
        <v/>
      </c>
      <c r="G561" s="315"/>
    </row>
    <row r="562" spans="1:7" x14ac:dyDescent="0.25">
      <c r="A562" s="321" t="str">
        <f t="shared" si="17"/>
        <v>II.2.3.0212</v>
      </c>
      <c r="B562" s="321">
        <v>12</v>
      </c>
      <c r="C562" s="320" t="str">
        <f>IFERROR(VLOOKUP(A562,[3]DOORSCRIEFT!$A$2:$G$6834,2,FALSE),"")</f>
        <v/>
      </c>
      <c r="D562" s="481" t="str">
        <f>IFERROR(VLOOKUP(A562,[3]DOORSCRIEFT!$A$2:$G$6834,3,FALSE),"")</f>
        <v/>
      </c>
      <c r="E562" s="480" t="str">
        <f>IFERROR(VLOOKUP(A562,[3]DOORSCRIEFT!$A$2:$G$6834,4,FALSE),"")</f>
        <v/>
      </c>
      <c r="F562" s="405" t="str">
        <f>IFERROR(VLOOKUP(A562,[3]DOORSCRIEFT!$A$2:$G$6834,7,FALSE),"")</f>
        <v/>
      </c>
      <c r="G562" s="315"/>
    </row>
    <row r="563" spans="1:7" x14ac:dyDescent="0.25">
      <c r="A563" s="321" t="str">
        <f t="shared" si="17"/>
        <v>II.2.3.0213</v>
      </c>
      <c r="B563" s="321">
        <v>13</v>
      </c>
      <c r="C563" s="320" t="str">
        <f>IFERROR(VLOOKUP(A563,[3]DOORSCRIEFT!$A$2:$G$6834,2,FALSE),"")</f>
        <v/>
      </c>
      <c r="D563" s="481" t="str">
        <f>IFERROR(VLOOKUP(A563,[3]DOORSCRIEFT!$A$2:$G$6834,3,FALSE),"")</f>
        <v/>
      </c>
      <c r="E563" s="480" t="str">
        <f>IFERROR(VLOOKUP(A563,[3]DOORSCRIEFT!$A$2:$G$6834,4,FALSE),"")</f>
        <v/>
      </c>
      <c r="F563" s="405" t="str">
        <f>IFERROR(VLOOKUP(A563,[3]DOORSCRIEFT!$A$2:$G$6834,7,FALSE),"")</f>
        <v/>
      </c>
      <c r="G563" s="315"/>
    </row>
    <row r="564" spans="1:7" x14ac:dyDescent="0.25">
      <c r="A564" s="321" t="str">
        <f t="shared" si="17"/>
        <v>II.2.3.0214</v>
      </c>
      <c r="B564" s="321">
        <v>14</v>
      </c>
      <c r="C564" s="320" t="str">
        <f>IFERROR(VLOOKUP(A564,[3]DOORSCRIEFT!$A$2:$G$6834,2,FALSE),"")</f>
        <v/>
      </c>
      <c r="D564" s="481" t="str">
        <f>IFERROR(VLOOKUP(A564,[3]DOORSCRIEFT!$A$2:$G$6834,3,FALSE),"")</f>
        <v/>
      </c>
      <c r="E564" s="480" t="str">
        <f>IFERROR(VLOOKUP(A564,[3]DOORSCRIEFT!$A$2:$G$6834,4,FALSE),"")</f>
        <v/>
      </c>
      <c r="F564" s="405" t="str">
        <f>IFERROR(VLOOKUP(A564,[3]DOORSCRIEFT!$A$2:$G$6834,7,FALSE),"")</f>
        <v/>
      </c>
      <c r="G564" s="315"/>
    </row>
    <row r="565" spans="1:7" x14ac:dyDescent="0.25">
      <c r="A565" s="342" t="str">
        <f t="shared" si="17"/>
        <v>II.2.3.0215</v>
      </c>
      <c r="B565" s="342">
        <v>15</v>
      </c>
      <c r="C565" s="320" t="str">
        <f>IFERROR(VLOOKUP(A565,[3]DOORSCRIEFT!$A$2:$G$6834,2,FALSE),"")</f>
        <v/>
      </c>
      <c r="D565" s="481" t="str">
        <f>IFERROR(VLOOKUP(A565,[3]DOORSCRIEFT!$A$2:$G$6834,3,FALSE),"")</f>
        <v/>
      </c>
      <c r="E565" s="480" t="str">
        <f>IFERROR(VLOOKUP(A565,[3]DOORSCRIEFT!$A$2:$G$6834,4,FALSE),"")</f>
        <v/>
      </c>
      <c r="F565" s="405" t="str">
        <f>IFERROR(VLOOKUP(A565,[3]DOORSCRIEFT!$A$2:$G$6834,7,FALSE),"")</f>
        <v/>
      </c>
      <c r="G565" s="315"/>
    </row>
    <row r="566" spans="1:7" x14ac:dyDescent="0.25">
      <c r="A566" s="342" t="str">
        <f t="shared" si="17"/>
        <v>II.2.3.0216</v>
      </c>
      <c r="B566" s="321">
        <v>16</v>
      </c>
      <c r="C566" s="320" t="str">
        <f>IFERROR(VLOOKUP(A566,[3]DOORSCRIEFT!$A$2:$G$6834,2,FALSE),"")</f>
        <v/>
      </c>
      <c r="D566" s="481" t="str">
        <f>IFERROR(VLOOKUP(A566,[3]DOORSCRIEFT!$A$2:$G$6834,3,FALSE),"")</f>
        <v/>
      </c>
      <c r="E566" s="480" t="str">
        <f>IFERROR(VLOOKUP(A566,[3]DOORSCRIEFT!$A$2:$G$6834,4,FALSE),"")</f>
        <v/>
      </c>
      <c r="F566" s="405" t="str">
        <f>IFERROR(VLOOKUP(A566,[3]DOORSCRIEFT!$A$2:$G$6834,7,FALSE),"")</f>
        <v/>
      </c>
      <c r="G566" s="315"/>
    </row>
    <row r="567" spans="1:7" x14ac:dyDescent="0.25">
      <c r="A567" s="342" t="str">
        <f t="shared" si="17"/>
        <v>II.2.3.0217</v>
      </c>
      <c r="B567" s="342">
        <v>17</v>
      </c>
      <c r="C567" s="320" t="str">
        <f>IFERROR(VLOOKUP(A567,[3]DOORSCRIEFT!$A$2:$G$6834,2,FALSE),"")</f>
        <v/>
      </c>
      <c r="D567" s="481" t="str">
        <f>IFERROR(VLOOKUP(A567,[3]DOORSCRIEFT!$A$2:$G$6834,3,FALSE),"")</f>
        <v/>
      </c>
      <c r="E567" s="480" t="str">
        <f>IFERROR(VLOOKUP(A567,[3]DOORSCRIEFT!$A$2:$G$6834,4,FALSE),"")</f>
        <v/>
      </c>
      <c r="F567" s="405" t="str">
        <f>IFERROR(VLOOKUP(A567,[3]DOORSCRIEFT!$A$2:$G$6834,7,FALSE),"")</f>
        <v/>
      </c>
      <c r="G567" s="315"/>
    </row>
    <row r="568" spans="1:7" x14ac:dyDescent="0.25">
      <c r="A568" s="342" t="str">
        <f t="shared" si="17"/>
        <v>II.2.3.0218</v>
      </c>
      <c r="B568" s="321">
        <v>18</v>
      </c>
      <c r="C568" s="320" t="str">
        <f>IFERROR(VLOOKUP(A568,[3]DOORSCRIEFT!$A$2:$G$6834,2,FALSE),"")</f>
        <v/>
      </c>
      <c r="D568" s="481" t="str">
        <f>IFERROR(VLOOKUP(A568,[3]DOORSCRIEFT!$A$2:$G$6834,3,FALSE),"")</f>
        <v/>
      </c>
      <c r="E568" s="480" t="str">
        <f>IFERROR(VLOOKUP(A568,[3]DOORSCRIEFT!$A$2:$G$6834,4,FALSE),"")</f>
        <v/>
      </c>
      <c r="F568" s="405" t="str">
        <f>IFERROR(VLOOKUP(A568,[3]DOORSCRIEFT!$A$2:$G$6834,7,FALSE),"")</f>
        <v/>
      </c>
      <c r="G568" s="315"/>
    </row>
    <row r="569" spans="1:7" x14ac:dyDescent="0.25">
      <c r="A569" s="342" t="str">
        <f t="shared" si="17"/>
        <v>II.2.3.0219</v>
      </c>
      <c r="B569" s="342">
        <v>19</v>
      </c>
      <c r="C569" s="320" t="str">
        <f>IFERROR(VLOOKUP(A569,[3]DOORSCRIEFT!$A$2:$G$6834,2,FALSE),"")</f>
        <v/>
      </c>
      <c r="D569" s="481" t="str">
        <f>IFERROR(VLOOKUP(A569,[3]DOORSCRIEFT!$A$2:$G$6834,3,FALSE),"")</f>
        <v/>
      </c>
      <c r="E569" s="480" t="str">
        <f>IFERROR(VLOOKUP(A569,[3]DOORSCRIEFT!$A$2:$G$6834,4,FALSE),"")</f>
        <v/>
      </c>
      <c r="F569" s="405" t="str">
        <f>IFERROR(VLOOKUP(A569,[3]DOORSCRIEFT!$A$2:$G$6834,7,FALSE),"")</f>
        <v/>
      </c>
      <c r="G569" s="315"/>
    </row>
    <row r="570" spans="1:7" ht="15.75" thickBot="1" x14ac:dyDescent="0.3">
      <c r="A570" s="342" t="str">
        <f t="shared" si="17"/>
        <v>II.2.3.0220</v>
      </c>
      <c r="B570" s="321">
        <v>20</v>
      </c>
      <c r="C570" s="320" t="str">
        <f>IFERROR(VLOOKUP(A570,[3]DOORSCRIEFT!$A$2:$G$6834,2,FALSE),"")</f>
        <v/>
      </c>
      <c r="D570" s="481" t="str">
        <f>IFERROR(VLOOKUP(A570,[3]DOORSCRIEFT!$A$2:$G$6834,3,FALSE),"")</f>
        <v/>
      </c>
      <c r="E570" s="480" t="str">
        <f>IFERROR(VLOOKUP(A570,[3]DOORSCRIEFT!$A$2:$G$6834,4,FALSE),"")</f>
        <v/>
      </c>
      <c r="F570" s="405" t="str">
        <f>IFERROR(VLOOKUP(A570,[3]DOORSCRIEFT!$A$2:$G$6834,7,FALSE),"")</f>
        <v/>
      </c>
      <c r="G570" s="315"/>
    </row>
    <row r="571" spans="1:7" ht="15.75" thickBot="1" x14ac:dyDescent="0.3">
      <c r="A571" s="341"/>
      <c r="B571" s="340"/>
      <c r="C571" s="336"/>
      <c r="D571" s="486"/>
      <c r="E571" s="340" t="s">
        <v>644</v>
      </c>
      <c r="F571" s="310">
        <f>SUM(F551:F565)</f>
        <v>220000</v>
      </c>
      <c r="G571" s="309">
        <f>SUM(G551:G565)</f>
        <v>0</v>
      </c>
    </row>
    <row r="572" spans="1:7" x14ac:dyDescent="0.25">
      <c r="C572" s="335"/>
      <c r="D572" s="485"/>
    </row>
    <row r="573" spans="1:7" x14ac:dyDescent="0.25">
      <c r="C573" s="335"/>
      <c r="D573" s="485"/>
    </row>
    <row r="574" spans="1:7" ht="15.75" x14ac:dyDescent="0.25">
      <c r="C574" s="334" t="s">
        <v>663</v>
      </c>
      <c r="D574" s="484"/>
      <c r="E574" s="333"/>
      <c r="F574" s="327" t="s">
        <v>607</v>
      </c>
      <c r="G574" s="327" t="s">
        <v>234</v>
      </c>
    </row>
    <row r="575" spans="1:7" ht="15.75" x14ac:dyDescent="0.25">
      <c r="C575" s="334"/>
      <c r="D575" s="484"/>
      <c r="E575" s="333"/>
      <c r="F575" s="327" t="s">
        <v>601</v>
      </c>
      <c r="G575" s="327" t="s">
        <v>233</v>
      </c>
    </row>
    <row r="576" spans="1:7" x14ac:dyDescent="0.25">
      <c r="C576" s="330"/>
      <c r="D576" s="482"/>
      <c r="E576" s="329"/>
      <c r="F576" s="327" t="s">
        <v>651</v>
      </c>
      <c r="G576" s="331">
        <f>[2]Sheet1!$D$260</f>
        <v>43200000</v>
      </c>
    </row>
    <row r="577" spans="1:7" ht="15.75" thickBot="1" x14ac:dyDescent="0.3">
      <c r="C577" s="330"/>
      <c r="D577" s="482"/>
      <c r="E577" s="329"/>
      <c r="F577" s="327" t="s">
        <v>650</v>
      </c>
      <c r="G577" s="326">
        <f>+F604-G576</f>
        <v>-29409609</v>
      </c>
    </row>
    <row r="578" spans="1:7" x14ac:dyDescent="0.25">
      <c r="A578" s="571" t="s">
        <v>655</v>
      </c>
      <c r="B578" s="573" t="s">
        <v>606</v>
      </c>
      <c r="C578" s="588" t="s">
        <v>649</v>
      </c>
      <c r="D578" s="599" t="s">
        <v>648</v>
      </c>
      <c r="E578" s="577" t="s">
        <v>647</v>
      </c>
      <c r="F578" s="577" t="s">
        <v>646</v>
      </c>
      <c r="G578" s="580" t="s">
        <v>645</v>
      </c>
    </row>
    <row r="579" spans="1:7" ht="15.75" thickBot="1" x14ac:dyDescent="0.3">
      <c r="A579" s="572"/>
      <c r="B579" s="574"/>
      <c r="C579" s="589"/>
      <c r="D579" s="600"/>
      <c r="E579" s="578"/>
      <c r="F579" s="578"/>
      <c r="G579" s="581"/>
    </row>
    <row r="580" spans="1:7" ht="15.75" thickBot="1" x14ac:dyDescent="0.3">
      <c r="A580" s="504">
        <v>1</v>
      </c>
      <c r="B580" s="504">
        <v>2</v>
      </c>
      <c r="C580" s="425">
        <v>3</v>
      </c>
      <c r="D580" s="425">
        <v>4</v>
      </c>
      <c r="E580" s="425">
        <v>5</v>
      </c>
      <c r="F580" s="425">
        <v>6</v>
      </c>
      <c r="G580" s="425">
        <v>7</v>
      </c>
    </row>
    <row r="581" spans="1:7" x14ac:dyDescent="0.25">
      <c r="A581" s="321" t="str">
        <f t="shared" ref="A581:A603" si="18">$G$574&amp;B581</f>
        <v>II.2.3.031</v>
      </c>
      <c r="B581" s="321">
        <v>1</v>
      </c>
      <c r="C581" s="320">
        <f>IFERROR(VLOOKUP(A581,[3]DOORSCRIEFT!$A$2:$G$6834,2,FALSE),"")</f>
        <v>94</v>
      </c>
      <c r="D581" s="481">
        <f>IFERROR(VLOOKUP(A581,[3]DOORSCRIEFT!$A$2:$G$6834,3,FALSE),"")</f>
        <v>46045</v>
      </c>
      <c r="E581" s="480" t="str">
        <f>IFERROR(VLOOKUP(A581,[3]DOORSCRIEFT!$A$2:$G$6834,4,FALSE),"")</f>
        <v>Bayar Listrik Gereja dan Pastori bulan Januari</v>
      </c>
      <c r="F581" s="405">
        <f>IFERROR(VLOOKUP(A581,[3]DOORSCRIEFT!$A$2:$G$6834,7,FALSE),"")</f>
        <v>4572417</v>
      </c>
      <c r="G581" s="349"/>
    </row>
    <row r="582" spans="1:7" x14ac:dyDescent="0.25">
      <c r="A582" s="321" t="str">
        <f t="shared" si="18"/>
        <v>II.2.3.032</v>
      </c>
      <c r="B582" s="321">
        <v>2</v>
      </c>
      <c r="C582" s="320">
        <f>IFERROR(VLOOKUP(A582,[3]DOORSCRIEFT!$A$2:$G$6834,2,FALSE),"")</f>
        <v>204</v>
      </c>
      <c r="D582" s="481">
        <f>IFERROR(VLOOKUP(A582,[3]DOORSCRIEFT!$A$2:$G$6834,3,FALSE),"")</f>
        <v>46068</v>
      </c>
      <c r="E582" s="480" t="str">
        <f>IFERROR(VLOOKUP(A582,[3]DOORSCRIEFT!$A$2:$G$6834,4,FALSE),"")</f>
        <v>Bayar Rekening Listrik Gereja dan Pastori bulan Februari</v>
      </c>
      <c r="F582" s="405">
        <f>IFERROR(VLOOKUP(A582,[3]DOORSCRIEFT!$A$2:$G$6834,7,FALSE),"")</f>
        <v>4955148</v>
      </c>
      <c r="G582" s="315"/>
    </row>
    <row r="583" spans="1:7" x14ac:dyDescent="0.25">
      <c r="A583" s="321" t="str">
        <f t="shared" si="18"/>
        <v>II.2.3.033</v>
      </c>
      <c r="B583" s="321">
        <v>3</v>
      </c>
      <c r="C583" s="320">
        <f>IFERROR(VLOOKUP(A583,[3]DOORSCRIEFT!$A$2:$G$6834,2,FALSE),"")</f>
        <v>367</v>
      </c>
      <c r="D583" s="481">
        <f>IFERROR(VLOOKUP(A583,[3]DOORSCRIEFT!$A$2:$G$6834,3,FALSE),"")</f>
        <v>52305</v>
      </c>
      <c r="E583" s="480" t="str">
        <f>IFERROR(VLOOKUP(A583,[3]DOORSCRIEFT!$A$2:$G$6834,4,FALSE),"")</f>
        <v>Bayar Rekening Listrik Gereja dan Pastori bulan Maret</v>
      </c>
      <c r="F583" s="405">
        <f>IFERROR(VLOOKUP(A583,[3]DOORSCRIEFT!$A$2:$G$6834,7,FALSE),"")</f>
        <v>4062826</v>
      </c>
      <c r="G583" s="315"/>
    </row>
    <row r="584" spans="1:7" x14ac:dyDescent="0.25">
      <c r="A584" s="321" t="str">
        <f t="shared" si="18"/>
        <v>II.2.3.034</v>
      </c>
      <c r="B584" s="321">
        <v>4</v>
      </c>
      <c r="C584" s="320">
        <f>IFERROR(VLOOKUP(A584,[3]DOORSCRIEFT!$A$2:$G$6834,2,FALSE),"")</f>
        <v>377</v>
      </c>
      <c r="D584" s="481">
        <f>IFERROR(VLOOKUP(A584,[3]DOORSCRIEFT!$A$2:$G$6834,3,FALSE),"")</f>
        <v>55958</v>
      </c>
      <c r="E584" s="480" t="str">
        <f>IFERROR(VLOOKUP(A584,[3]DOORSCRIEFT!$A$2:$G$6834,4,FALSE),"")</f>
        <v>Beli Pulsa Listrik untuk Pastori III</v>
      </c>
      <c r="F584" s="405">
        <f>IFERROR(VLOOKUP(A584,[3]DOORSCRIEFT!$A$2:$G$6834,7,FALSE),"")</f>
        <v>200000</v>
      </c>
      <c r="G584" s="315"/>
    </row>
    <row r="585" spans="1:7" x14ac:dyDescent="0.25">
      <c r="A585" s="321" t="str">
        <f t="shared" si="18"/>
        <v>II.2.3.035</v>
      </c>
      <c r="B585" s="321">
        <v>5</v>
      </c>
      <c r="C585" s="320" t="str">
        <f>IFERROR(VLOOKUP(A585,[3]DOORSCRIEFT!$A$2:$G$6834,2,FALSE),"")</f>
        <v/>
      </c>
      <c r="D585" s="481" t="str">
        <f>IFERROR(VLOOKUP(A585,[3]DOORSCRIEFT!$A$2:$G$6834,3,FALSE),"")</f>
        <v/>
      </c>
      <c r="E585" s="480" t="str">
        <f>IFERROR(VLOOKUP(A585,[3]DOORSCRIEFT!$A$2:$G$6834,4,FALSE),"")</f>
        <v/>
      </c>
      <c r="F585" s="405" t="str">
        <f>IFERROR(VLOOKUP(A585,[3]DOORSCRIEFT!$A$2:$G$6834,7,FALSE),"")</f>
        <v/>
      </c>
      <c r="G585" s="315"/>
    </row>
    <row r="586" spans="1:7" x14ac:dyDescent="0.25">
      <c r="A586" s="321" t="str">
        <f t="shared" si="18"/>
        <v>II.2.3.036</v>
      </c>
      <c r="B586" s="321">
        <v>6</v>
      </c>
      <c r="C586" s="320" t="str">
        <f>IFERROR(VLOOKUP(A586,[3]DOORSCRIEFT!$A$2:$G$6834,2,FALSE),"")</f>
        <v/>
      </c>
      <c r="D586" s="481" t="str">
        <f>IFERROR(VLOOKUP(A586,[3]DOORSCRIEFT!$A$2:$G$6834,3,FALSE),"")</f>
        <v/>
      </c>
      <c r="E586" s="480" t="str">
        <f>IFERROR(VLOOKUP(A586,[3]DOORSCRIEFT!$A$2:$G$6834,4,FALSE),"")</f>
        <v/>
      </c>
      <c r="F586" s="405" t="str">
        <f>IFERROR(VLOOKUP(A586,[3]DOORSCRIEFT!$A$2:$G$6834,7,FALSE),"")</f>
        <v/>
      </c>
      <c r="G586" s="315"/>
    </row>
    <row r="587" spans="1:7" x14ac:dyDescent="0.25">
      <c r="A587" s="321" t="str">
        <f t="shared" si="18"/>
        <v>II.2.3.037</v>
      </c>
      <c r="B587" s="321">
        <v>7</v>
      </c>
      <c r="C587" s="320" t="str">
        <f>IFERROR(VLOOKUP(A587,[3]DOORSCRIEFT!$A$2:$G$6834,2,FALSE),"")</f>
        <v/>
      </c>
      <c r="D587" s="481" t="str">
        <f>IFERROR(VLOOKUP(A587,[3]DOORSCRIEFT!$A$2:$G$6834,3,FALSE),"")</f>
        <v/>
      </c>
      <c r="E587" s="480" t="str">
        <f>IFERROR(VLOOKUP(A587,[3]DOORSCRIEFT!$A$2:$G$6834,4,FALSE),"")</f>
        <v/>
      </c>
      <c r="F587" s="405" t="str">
        <f>IFERROR(VLOOKUP(A587,[3]DOORSCRIEFT!$A$2:$G$6834,7,FALSE),"")</f>
        <v/>
      </c>
      <c r="G587" s="315"/>
    </row>
    <row r="588" spans="1:7" x14ac:dyDescent="0.25">
      <c r="A588" s="321" t="str">
        <f t="shared" si="18"/>
        <v>II.2.3.038</v>
      </c>
      <c r="B588" s="321">
        <v>8</v>
      </c>
      <c r="C588" s="320" t="str">
        <f>IFERROR(VLOOKUP(A588,[3]DOORSCRIEFT!$A$2:$G$6834,2,FALSE),"")</f>
        <v/>
      </c>
      <c r="D588" s="481" t="str">
        <f>IFERROR(VLOOKUP(A588,[3]DOORSCRIEFT!$A$2:$G$6834,3,FALSE),"")</f>
        <v/>
      </c>
      <c r="E588" s="480" t="str">
        <f>IFERROR(VLOOKUP(A588,[3]DOORSCRIEFT!$A$2:$G$6834,4,FALSE),"")</f>
        <v/>
      </c>
      <c r="F588" s="405" t="str">
        <f>IFERROR(VLOOKUP(A588,[3]DOORSCRIEFT!$A$2:$G$6834,7,FALSE),"")</f>
        <v/>
      </c>
      <c r="G588" s="315"/>
    </row>
    <row r="589" spans="1:7" x14ac:dyDescent="0.25">
      <c r="A589" s="321" t="str">
        <f t="shared" si="18"/>
        <v>II.2.3.039</v>
      </c>
      <c r="B589" s="321">
        <v>9</v>
      </c>
      <c r="C589" s="320" t="str">
        <f>IFERROR(VLOOKUP(A589,[3]DOORSCRIEFT!$A$2:$G$6834,2,FALSE),"")</f>
        <v/>
      </c>
      <c r="D589" s="481" t="str">
        <f>IFERROR(VLOOKUP(A589,[3]DOORSCRIEFT!$A$2:$G$6834,3,FALSE),"")</f>
        <v/>
      </c>
      <c r="E589" s="480" t="str">
        <f>IFERROR(VLOOKUP(A589,[3]DOORSCRIEFT!$A$2:$G$6834,4,FALSE),"")</f>
        <v/>
      </c>
      <c r="F589" s="405" t="str">
        <f>IFERROR(VLOOKUP(A589,[3]DOORSCRIEFT!$A$2:$G$6834,7,FALSE),"")</f>
        <v/>
      </c>
      <c r="G589" s="315"/>
    </row>
    <row r="590" spans="1:7" x14ac:dyDescent="0.25">
      <c r="A590" s="321" t="str">
        <f t="shared" si="18"/>
        <v>II.2.3.0310</v>
      </c>
      <c r="B590" s="321">
        <v>10</v>
      </c>
      <c r="C590" s="320" t="str">
        <f>IFERROR(VLOOKUP(A590,[3]DOORSCRIEFT!$A$2:$G$6834,2,FALSE),"")</f>
        <v/>
      </c>
      <c r="D590" s="481" t="str">
        <f>IFERROR(VLOOKUP(A590,[3]DOORSCRIEFT!$A$2:$G$6834,3,FALSE),"")</f>
        <v/>
      </c>
      <c r="E590" s="480" t="str">
        <f>IFERROR(VLOOKUP(A590,[3]DOORSCRIEFT!$A$2:$G$6834,4,FALSE),"")</f>
        <v/>
      </c>
      <c r="F590" s="405" t="str">
        <f>IFERROR(VLOOKUP(A590,[3]DOORSCRIEFT!$A$2:$G$6834,7,FALSE),"")</f>
        <v/>
      </c>
      <c r="G590" s="315"/>
    </row>
    <row r="591" spans="1:7" x14ac:dyDescent="0.25">
      <c r="A591" s="321" t="str">
        <f t="shared" si="18"/>
        <v>II.2.3.0311</v>
      </c>
      <c r="B591" s="321">
        <v>11</v>
      </c>
      <c r="C591" s="320" t="str">
        <f>IFERROR(VLOOKUP(A591,[3]DOORSCRIEFT!$A$2:$G$6834,2,FALSE),"")</f>
        <v/>
      </c>
      <c r="D591" s="481" t="str">
        <f>IFERROR(VLOOKUP(A591,[3]DOORSCRIEFT!$A$2:$G$6834,3,FALSE),"")</f>
        <v/>
      </c>
      <c r="E591" s="480" t="str">
        <f>IFERROR(VLOOKUP(A591,[3]DOORSCRIEFT!$A$2:$G$6834,4,FALSE),"")</f>
        <v/>
      </c>
      <c r="F591" s="405" t="str">
        <f>IFERROR(VLOOKUP(A591,[3]DOORSCRIEFT!$A$2:$G$6834,7,FALSE),"")</f>
        <v/>
      </c>
      <c r="G591" s="315"/>
    </row>
    <row r="592" spans="1:7" x14ac:dyDescent="0.25">
      <c r="A592" s="321" t="str">
        <f t="shared" si="18"/>
        <v>II.2.3.0312</v>
      </c>
      <c r="B592" s="321">
        <v>12</v>
      </c>
      <c r="C592" s="320" t="str">
        <f>IFERROR(VLOOKUP(A592,[3]DOORSCRIEFT!$A$2:$G$6834,2,FALSE),"")</f>
        <v/>
      </c>
      <c r="D592" s="481" t="str">
        <f>IFERROR(VLOOKUP(A592,[3]DOORSCRIEFT!$A$2:$G$6834,3,FALSE),"")</f>
        <v/>
      </c>
      <c r="E592" s="480" t="str">
        <f>IFERROR(VLOOKUP(A592,[3]DOORSCRIEFT!$A$2:$G$6834,4,FALSE),"")</f>
        <v/>
      </c>
      <c r="F592" s="405" t="str">
        <f>IFERROR(VLOOKUP(A592,[3]DOORSCRIEFT!$A$2:$G$6834,7,FALSE),"")</f>
        <v/>
      </c>
      <c r="G592" s="315"/>
    </row>
    <row r="593" spans="1:7" x14ac:dyDescent="0.25">
      <c r="A593" s="321" t="str">
        <f t="shared" si="18"/>
        <v>II.2.3.0313</v>
      </c>
      <c r="B593" s="321">
        <v>13</v>
      </c>
      <c r="C593" s="320" t="str">
        <f>IFERROR(VLOOKUP(A593,[3]DOORSCRIEFT!$A$2:$G$6834,2,FALSE),"")</f>
        <v/>
      </c>
      <c r="D593" s="481" t="str">
        <f>IFERROR(VLOOKUP(A593,[3]DOORSCRIEFT!$A$2:$G$6834,3,FALSE),"")</f>
        <v/>
      </c>
      <c r="E593" s="480" t="str">
        <f>IFERROR(VLOOKUP(A593,[3]DOORSCRIEFT!$A$2:$G$6834,4,FALSE),"")</f>
        <v/>
      </c>
      <c r="F593" s="405" t="str">
        <f>IFERROR(VLOOKUP(A593,[3]DOORSCRIEFT!$A$2:$G$6834,7,FALSE),"")</f>
        <v/>
      </c>
      <c r="G593" s="315"/>
    </row>
    <row r="594" spans="1:7" x14ac:dyDescent="0.25">
      <c r="A594" s="321" t="str">
        <f t="shared" si="18"/>
        <v>II.2.3.0314</v>
      </c>
      <c r="B594" s="321">
        <v>14</v>
      </c>
      <c r="C594" s="320" t="str">
        <f>IFERROR(VLOOKUP(A594,[3]DOORSCRIEFT!$A$2:$G$6834,2,FALSE),"")</f>
        <v/>
      </c>
      <c r="D594" s="481" t="str">
        <f>IFERROR(VLOOKUP(A594,[3]DOORSCRIEFT!$A$2:$G$6834,3,FALSE),"")</f>
        <v/>
      </c>
      <c r="E594" s="480" t="str">
        <f>IFERROR(VLOOKUP(A594,[3]DOORSCRIEFT!$A$2:$G$6834,4,FALSE),"")</f>
        <v/>
      </c>
      <c r="F594" s="405" t="str">
        <f>IFERROR(VLOOKUP(A594,[3]DOORSCRIEFT!$A$2:$G$6834,7,FALSE),"")</f>
        <v/>
      </c>
      <c r="G594" s="315"/>
    </row>
    <row r="595" spans="1:7" x14ac:dyDescent="0.25">
      <c r="A595" s="321" t="str">
        <f t="shared" si="18"/>
        <v>II.2.3.0315</v>
      </c>
      <c r="B595" s="321">
        <v>15</v>
      </c>
      <c r="C595" s="320" t="str">
        <f>IFERROR(VLOOKUP(A595,[3]DOORSCRIEFT!$A$2:$G$6834,2,FALSE),"")</f>
        <v/>
      </c>
      <c r="D595" s="481" t="str">
        <f>IFERROR(VLOOKUP(A595,[3]DOORSCRIEFT!$A$2:$G$6834,3,FALSE),"")</f>
        <v/>
      </c>
      <c r="E595" s="480" t="str">
        <f>IFERROR(VLOOKUP(A595,[3]DOORSCRIEFT!$A$2:$G$6834,4,FALSE),"")</f>
        <v/>
      </c>
      <c r="F595" s="405" t="str">
        <f>IFERROR(VLOOKUP(A595,[3]DOORSCRIEFT!$A$2:$G$6834,7,FALSE),"")</f>
        <v/>
      </c>
      <c r="G595" s="315"/>
    </row>
    <row r="596" spans="1:7" x14ac:dyDescent="0.25">
      <c r="A596" s="321" t="str">
        <f t="shared" si="18"/>
        <v>II.2.3.0316</v>
      </c>
      <c r="B596" s="321">
        <v>16</v>
      </c>
      <c r="C596" s="320" t="str">
        <f>IFERROR(VLOOKUP(A596,[3]DOORSCRIEFT!$A$2:$G$6834,2,FALSE),"")</f>
        <v/>
      </c>
      <c r="D596" s="481" t="str">
        <f>IFERROR(VLOOKUP(A596,[3]DOORSCRIEFT!$A$2:$G$6834,3,FALSE),"")</f>
        <v/>
      </c>
      <c r="E596" s="480" t="str">
        <f>IFERROR(VLOOKUP(A596,[3]DOORSCRIEFT!$A$2:$G$6834,4,FALSE),"")</f>
        <v/>
      </c>
      <c r="F596" s="405" t="str">
        <f>IFERROR(VLOOKUP(A596,[3]DOORSCRIEFT!$A$2:$G$6834,7,FALSE),"")</f>
        <v/>
      </c>
      <c r="G596" s="315"/>
    </row>
    <row r="597" spans="1:7" x14ac:dyDescent="0.25">
      <c r="A597" s="321" t="str">
        <f t="shared" si="18"/>
        <v>II.2.3.0317</v>
      </c>
      <c r="B597" s="321">
        <v>17</v>
      </c>
      <c r="C597" s="320" t="str">
        <f>IFERROR(VLOOKUP(A597,[3]DOORSCRIEFT!$A$2:$G$6834,2,FALSE),"")</f>
        <v/>
      </c>
      <c r="D597" s="481" t="str">
        <f>IFERROR(VLOOKUP(A597,[3]DOORSCRIEFT!$A$2:$G$6834,3,FALSE),"")</f>
        <v/>
      </c>
      <c r="E597" s="480" t="str">
        <f>IFERROR(VLOOKUP(A597,[3]DOORSCRIEFT!$A$2:$G$6834,4,FALSE),"")</f>
        <v/>
      </c>
      <c r="F597" s="405" t="str">
        <f>IFERROR(VLOOKUP(A597,[3]DOORSCRIEFT!$A$2:$G$6834,7,FALSE),"")</f>
        <v/>
      </c>
      <c r="G597" s="315"/>
    </row>
    <row r="598" spans="1:7" x14ac:dyDescent="0.25">
      <c r="A598" s="321" t="str">
        <f t="shared" si="18"/>
        <v>II.2.3.0318</v>
      </c>
      <c r="B598" s="321">
        <v>18</v>
      </c>
      <c r="C598" s="320" t="str">
        <f>IFERROR(VLOOKUP(A598,[3]DOORSCRIEFT!$A$2:$G$6834,2,FALSE),"")</f>
        <v/>
      </c>
      <c r="D598" s="481" t="str">
        <f>IFERROR(VLOOKUP(A598,[3]DOORSCRIEFT!$A$2:$G$6834,3,FALSE),"")</f>
        <v/>
      </c>
      <c r="E598" s="480" t="str">
        <f>IFERROR(VLOOKUP(A598,[3]DOORSCRIEFT!$A$2:$G$6834,4,FALSE),"")</f>
        <v/>
      </c>
      <c r="F598" s="405" t="str">
        <f>IFERROR(VLOOKUP(A598,[3]DOORSCRIEFT!$A$2:$G$6834,7,FALSE),"")</f>
        <v/>
      </c>
      <c r="G598" s="315"/>
    </row>
    <row r="599" spans="1:7" x14ac:dyDescent="0.25">
      <c r="A599" s="321" t="str">
        <f t="shared" si="18"/>
        <v>II.2.3.0319</v>
      </c>
      <c r="B599" s="321">
        <v>19</v>
      </c>
      <c r="C599" s="320" t="str">
        <f>IFERROR(VLOOKUP(A599,[3]DOORSCRIEFT!$A$2:$G$6834,2,FALSE),"")</f>
        <v/>
      </c>
      <c r="D599" s="481" t="str">
        <f>IFERROR(VLOOKUP(A599,[3]DOORSCRIEFT!$A$2:$G$6834,3,FALSE),"")</f>
        <v/>
      </c>
      <c r="E599" s="480" t="str">
        <f>IFERROR(VLOOKUP(A599,[3]DOORSCRIEFT!$A$2:$G$6834,4,FALSE),"")</f>
        <v/>
      </c>
      <c r="F599" s="405" t="str">
        <f>IFERROR(VLOOKUP(A599,[3]DOORSCRIEFT!$A$2:$G$6834,7,FALSE),"")</f>
        <v/>
      </c>
      <c r="G599" s="315"/>
    </row>
    <row r="600" spans="1:7" x14ac:dyDescent="0.25">
      <c r="A600" s="321" t="str">
        <f t="shared" si="18"/>
        <v>II.2.3.0320</v>
      </c>
      <c r="B600" s="321">
        <v>20</v>
      </c>
      <c r="C600" s="320" t="str">
        <f>IFERROR(VLOOKUP(A600,[3]DOORSCRIEFT!$A$2:$G$6834,2,FALSE),"")</f>
        <v/>
      </c>
      <c r="D600" s="481" t="str">
        <f>IFERROR(VLOOKUP(A600,[3]DOORSCRIEFT!$A$2:$G$6834,3,FALSE),"")</f>
        <v/>
      </c>
      <c r="E600" s="480" t="str">
        <f>IFERROR(VLOOKUP(A600,[3]DOORSCRIEFT!$A$2:$G$6834,4,FALSE),"")</f>
        <v/>
      </c>
      <c r="F600" s="405" t="str">
        <f>IFERROR(VLOOKUP(A600,[3]DOORSCRIEFT!$A$2:$G$6834,7,FALSE),"")</f>
        <v/>
      </c>
      <c r="G600" s="315"/>
    </row>
    <row r="601" spans="1:7" x14ac:dyDescent="0.25">
      <c r="A601" s="321" t="str">
        <f t="shared" si="18"/>
        <v>II.2.3.0321</v>
      </c>
      <c r="B601" s="321">
        <v>21</v>
      </c>
      <c r="C601" s="320" t="str">
        <f>IFERROR(VLOOKUP(A601,[3]DOORSCRIEFT!$A$2:$G$6834,2,FALSE),"")</f>
        <v/>
      </c>
      <c r="D601" s="481" t="str">
        <f>IFERROR(VLOOKUP(A601,[3]DOORSCRIEFT!$A$2:$G$6834,3,FALSE),"")</f>
        <v/>
      </c>
      <c r="E601" s="480" t="str">
        <f>IFERROR(VLOOKUP(A601,[3]DOORSCRIEFT!$A$2:$G$6834,4,FALSE),"")</f>
        <v/>
      </c>
      <c r="F601" s="405" t="str">
        <f>IFERROR(VLOOKUP(A601,[3]DOORSCRIEFT!$A$2:$G$6834,7,FALSE),"")</f>
        <v/>
      </c>
      <c r="G601" s="315"/>
    </row>
    <row r="602" spans="1:7" x14ac:dyDescent="0.25">
      <c r="A602" s="321" t="str">
        <f t="shared" si="18"/>
        <v>II.2.3.0322</v>
      </c>
      <c r="B602" s="321">
        <v>22</v>
      </c>
      <c r="C602" s="320" t="str">
        <f>IFERROR(VLOOKUP(A602,[3]DOORSCRIEFT!$A$2:$G$6834,2,FALSE),"")</f>
        <v/>
      </c>
      <c r="D602" s="481" t="str">
        <f>IFERROR(VLOOKUP(A602,[3]DOORSCRIEFT!$A$2:$G$6834,3,FALSE),"")</f>
        <v/>
      </c>
      <c r="E602" s="480" t="str">
        <f>IFERROR(VLOOKUP(A602,[3]DOORSCRIEFT!$A$2:$G$6834,4,FALSE),"")</f>
        <v/>
      </c>
      <c r="F602" s="405" t="str">
        <f>IFERROR(VLOOKUP(A602,[3]DOORSCRIEFT!$A$2:$G$6834,7,FALSE),"")</f>
        <v/>
      </c>
      <c r="G602" s="315"/>
    </row>
    <row r="603" spans="1:7" ht="15.75" thickBot="1" x14ac:dyDescent="0.3">
      <c r="A603" s="321" t="str">
        <f t="shared" si="18"/>
        <v>II.2.3.0323</v>
      </c>
      <c r="B603" s="321">
        <v>23</v>
      </c>
      <c r="C603" s="320" t="str">
        <f>IFERROR(VLOOKUP(A603,[3]DOORSCRIEFT!$A$2:$G$6834,2,FALSE),"")</f>
        <v/>
      </c>
      <c r="D603" s="481" t="str">
        <f>IFERROR(VLOOKUP(A603,[3]DOORSCRIEFT!$A$2:$G$6834,3,FALSE),"")</f>
        <v/>
      </c>
      <c r="E603" s="480" t="str">
        <f>IFERROR(VLOOKUP(A603,[3]DOORSCRIEFT!$A$2:$G$6834,4,FALSE),"")</f>
        <v/>
      </c>
      <c r="F603" s="405" t="str">
        <f>IFERROR(VLOOKUP(A603,[3]DOORSCRIEFT!$A$2:$G$6834,7,FALSE),"")</f>
        <v/>
      </c>
      <c r="G603" s="315"/>
    </row>
    <row r="604" spans="1:7" ht="15.75" thickBot="1" x14ac:dyDescent="0.3">
      <c r="A604" s="488"/>
      <c r="B604" s="488"/>
      <c r="C604" s="336"/>
      <c r="D604" s="486"/>
      <c r="E604" s="340" t="s">
        <v>644</v>
      </c>
      <c r="F604" s="310">
        <f>SUM(F581:F603)</f>
        <v>13790391</v>
      </c>
      <c r="G604" s="309">
        <f>SUM(G581:G603)</f>
        <v>0</v>
      </c>
    </row>
    <row r="605" spans="1:7" x14ac:dyDescent="0.25">
      <c r="C605" s="335"/>
      <c r="D605" s="485"/>
    </row>
    <row r="606" spans="1:7" x14ac:dyDescent="0.25">
      <c r="C606" s="335"/>
      <c r="D606" s="485"/>
    </row>
    <row r="607" spans="1:7" ht="15.75" x14ac:dyDescent="0.25">
      <c r="C607" s="334" t="s">
        <v>663</v>
      </c>
      <c r="D607" s="484"/>
      <c r="E607" s="333"/>
      <c r="F607" s="327" t="s">
        <v>607</v>
      </c>
      <c r="G607" s="327" t="s">
        <v>232</v>
      </c>
    </row>
    <row r="608" spans="1:7" ht="15.75" x14ac:dyDescent="0.25">
      <c r="C608" s="334"/>
      <c r="D608" s="484"/>
      <c r="E608" s="333"/>
      <c r="F608" s="327" t="s">
        <v>601</v>
      </c>
      <c r="G608" s="327" t="s">
        <v>231</v>
      </c>
    </row>
    <row r="609" spans="1:7" x14ac:dyDescent="0.25">
      <c r="C609" s="330"/>
      <c r="D609" s="482"/>
      <c r="E609" s="329"/>
      <c r="F609" s="327" t="s">
        <v>651</v>
      </c>
      <c r="G609" s="331">
        <v>96737106</v>
      </c>
    </row>
    <row r="610" spans="1:7" ht="15.75" thickBot="1" x14ac:dyDescent="0.3">
      <c r="C610" s="330"/>
      <c r="D610" s="482"/>
      <c r="E610" s="329"/>
      <c r="F610" s="327" t="s">
        <v>650</v>
      </c>
      <c r="G610" s="326">
        <f>+F644-G609</f>
        <v>-92565006</v>
      </c>
    </row>
    <row r="611" spans="1:7" x14ac:dyDescent="0.25">
      <c r="A611" s="571" t="s">
        <v>655</v>
      </c>
      <c r="B611" s="573" t="s">
        <v>606</v>
      </c>
      <c r="C611" s="588" t="s">
        <v>649</v>
      </c>
      <c r="D611" s="599" t="s">
        <v>648</v>
      </c>
      <c r="E611" s="577" t="s">
        <v>647</v>
      </c>
      <c r="F611" s="577" t="s">
        <v>646</v>
      </c>
      <c r="G611" s="580" t="s">
        <v>645</v>
      </c>
    </row>
    <row r="612" spans="1:7" ht="15.75" thickBot="1" x14ac:dyDescent="0.3">
      <c r="A612" s="572"/>
      <c r="B612" s="574"/>
      <c r="C612" s="589"/>
      <c r="D612" s="600"/>
      <c r="E612" s="578"/>
      <c r="F612" s="578"/>
      <c r="G612" s="581"/>
    </row>
    <row r="613" spans="1:7" ht="15.75" thickBot="1" x14ac:dyDescent="0.3">
      <c r="A613" s="504">
        <v>1</v>
      </c>
      <c r="B613" s="504">
        <v>2</v>
      </c>
      <c r="C613" s="425">
        <v>3</v>
      </c>
      <c r="D613" s="425">
        <v>4</v>
      </c>
      <c r="E613" s="425">
        <v>5</v>
      </c>
      <c r="F613" s="425">
        <v>6</v>
      </c>
      <c r="G613" s="425">
        <v>7</v>
      </c>
    </row>
    <row r="614" spans="1:7" x14ac:dyDescent="0.25">
      <c r="A614" s="321" t="str">
        <f t="shared" ref="A614:A643" si="19">$G$607&amp;B614</f>
        <v>II.2.3.041</v>
      </c>
      <c r="B614" s="321">
        <v>1</v>
      </c>
      <c r="C614" s="320">
        <f>IFERROR(VLOOKUP(A614,[3]DOORSCRIEFT!$A$2:$G$6834,2,FALSE),"")</f>
        <v>95</v>
      </c>
      <c r="D614" s="481">
        <f>IFERROR(VLOOKUP(A614,[3]DOORSCRIEFT!$A$2:$G$6834,3,FALSE),"")</f>
        <v>46045</v>
      </c>
      <c r="E614" s="480" t="str">
        <f>IFERROR(VLOOKUP(A614,[3]DOORSCRIEFT!$A$2:$G$6834,4,FALSE),"")</f>
        <v>Bayar Wifi Gereja Baitrafa dan SK bulan januari</v>
      </c>
      <c r="F614" s="405">
        <f>IFERROR(VLOOKUP(A614,[3]DOORSCRIEFT!$A$2:$G$6834,7,FALSE),"")</f>
        <v>788550</v>
      </c>
      <c r="G614" s="349"/>
    </row>
    <row r="615" spans="1:7" x14ac:dyDescent="0.25">
      <c r="A615" s="321" t="str">
        <f t="shared" si="19"/>
        <v>II.2.3.042</v>
      </c>
      <c r="B615" s="321">
        <v>2</v>
      </c>
      <c r="C615" s="320">
        <f>IFERROR(VLOOKUP(A615,[3]DOORSCRIEFT!$A$2:$G$6834,2,FALSE),"")</f>
        <v>180</v>
      </c>
      <c r="D615" s="481">
        <f>IFERROR(VLOOKUP(A615,[3]DOORSCRIEFT!$A$2:$G$6834,3,FALSE),"")</f>
        <v>46061</v>
      </c>
      <c r="E615" s="480" t="str">
        <f>IFERROR(VLOOKUP(A615,[3]DOORSCRIEFT!$A$2:$G$6834,4,FALSE),"")</f>
        <v>Biaya Telepon 3 pendeta bulan februari</v>
      </c>
      <c r="F615" s="405">
        <f>IFERROR(VLOOKUP(A615,[3]DOORSCRIEFT!$A$2:$G$6834,7,FALSE),"")</f>
        <v>600000</v>
      </c>
      <c r="G615" s="315"/>
    </row>
    <row r="616" spans="1:7" x14ac:dyDescent="0.25">
      <c r="A616" s="321" t="str">
        <f t="shared" si="19"/>
        <v>II.2.3.043</v>
      </c>
      <c r="B616" s="321">
        <v>3</v>
      </c>
      <c r="C616" s="320">
        <f>IFERROR(VLOOKUP(A616,[3]DOORSCRIEFT!$A$2:$G$6834,2,FALSE),"")</f>
        <v>205</v>
      </c>
      <c r="D616" s="481">
        <f>IFERROR(VLOOKUP(A616,[3]DOORSCRIEFT!$A$2:$G$6834,3,FALSE),"")</f>
        <v>46068</v>
      </c>
      <c r="E616" s="480" t="str">
        <f>IFERROR(VLOOKUP(A616,[3]DOORSCRIEFT!$A$2:$G$6834,4,FALSE),"")</f>
        <v>Bayar Wifi Gereja Baitrafa dan SK bulan Februari</v>
      </c>
      <c r="F616" s="405">
        <f>IFERROR(VLOOKUP(A616,[3]DOORSCRIEFT!$A$2:$G$6834,7,FALSE),"")</f>
        <v>810550</v>
      </c>
      <c r="G616" s="315"/>
    </row>
    <row r="617" spans="1:7" x14ac:dyDescent="0.25">
      <c r="A617" s="321" t="str">
        <f t="shared" si="19"/>
        <v>II.2.3.044</v>
      </c>
      <c r="B617" s="321">
        <v>4</v>
      </c>
      <c r="C617" s="320">
        <f>IFERROR(VLOOKUP(A617,[3]DOORSCRIEFT!$A$2:$G$6834,2,FALSE),"")</f>
        <v>240</v>
      </c>
      <c r="D617" s="481">
        <f>IFERROR(VLOOKUP(A617,[3]DOORSCRIEFT!$A$2:$G$6834,3,FALSE),"")</f>
        <v>46075</v>
      </c>
      <c r="E617" s="480" t="str">
        <f>IFERROR(VLOOKUP(A617,[3]DOORSCRIEFT!$A$2:$G$6834,4,FALSE),"")</f>
        <v>Biaya Telepon 3 pendeta bulan januari</v>
      </c>
      <c r="F617" s="405">
        <f>IFERROR(VLOOKUP(A617,[3]DOORSCRIEFT!$A$2:$G$6834,7,FALSE),"")</f>
        <v>600000</v>
      </c>
      <c r="G617" s="315"/>
    </row>
    <row r="618" spans="1:7" x14ac:dyDescent="0.25">
      <c r="A618" s="321" t="str">
        <f t="shared" si="19"/>
        <v>II.2.3.045</v>
      </c>
      <c r="B618" s="321">
        <v>5</v>
      </c>
      <c r="C618" s="320">
        <f>IFERROR(VLOOKUP(A618,[3]DOORSCRIEFT!$A$2:$G$6834,2,FALSE),"")</f>
        <v>277</v>
      </c>
      <c r="D618" s="481">
        <f>IFERROR(VLOOKUP(A618,[3]DOORSCRIEFT!$A$2:$G$6834,3,FALSE),"")</f>
        <v>46082</v>
      </c>
      <c r="E618" s="480" t="str">
        <f>IFERROR(VLOOKUP(A618,[3]DOORSCRIEFT!$A$2:$G$6834,4,FALSE),"")</f>
        <v>Biaya Telepon 3 orang Pendeta bulan Maret</v>
      </c>
      <c r="F618" s="405">
        <f>IFERROR(VLOOKUP(A618,[3]DOORSCRIEFT!$A$2:$G$6834,7,FALSE),"")</f>
        <v>600000</v>
      </c>
      <c r="G618" s="315"/>
    </row>
    <row r="619" spans="1:7" x14ac:dyDescent="0.25">
      <c r="A619" s="321" t="str">
        <f t="shared" si="19"/>
        <v>II.2.3.046</v>
      </c>
      <c r="B619" s="321">
        <v>6</v>
      </c>
      <c r="C619" s="320">
        <f>IFERROR(VLOOKUP(A619,[3]DOORSCRIEFT!$A$2:$G$6834,2,FALSE),"")</f>
        <v>368</v>
      </c>
      <c r="D619" s="481">
        <f>IFERROR(VLOOKUP(A619,[3]DOORSCRIEFT!$A$2:$G$6834,3,FALSE),"")</f>
        <v>52671</v>
      </c>
      <c r="E619" s="480" t="str">
        <f>IFERROR(VLOOKUP(A619,[3]DOORSCRIEFT!$A$2:$G$6834,4,FALSE),"")</f>
        <v>Bayar Wifi Gereja Baitrafa dan SK bulan Maret</v>
      </c>
      <c r="F619" s="405">
        <f>IFERROR(VLOOKUP(A619,[3]DOORSCRIEFT!$A$2:$G$6834,7,FALSE),"")</f>
        <v>773000</v>
      </c>
      <c r="G619" s="315"/>
    </row>
    <row r="620" spans="1:7" x14ac:dyDescent="0.25">
      <c r="A620" s="321" t="str">
        <f t="shared" si="19"/>
        <v>II.2.3.047</v>
      </c>
      <c r="B620" s="321">
        <v>7</v>
      </c>
      <c r="C620" s="320" t="str">
        <f>IFERROR(VLOOKUP(A620,[3]DOORSCRIEFT!$A$2:$G$6834,2,FALSE),"")</f>
        <v/>
      </c>
      <c r="D620" s="481" t="str">
        <f>IFERROR(VLOOKUP(A620,[3]DOORSCRIEFT!$A$2:$G$6834,3,FALSE),"")</f>
        <v/>
      </c>
      <c r="E620" s="480" t="str">
        <f>IFERROR(VLOOKUP(A620,[3]DOORSCRIEFT!$A$2:$G$6834,4,FALSE),"")</f>
        <v/>
      </c>
      <c r="F620" s="405" t="str">
        <f>IFERROR(VLOOKUP(A620,[3]DOORSCRIEFT!$A$2:$G$6834,7,FALSE),"")</f>
        <v/>
      </c>
      <c r="G620" s="315"/>
    </row>
    <row r="621" spans="1:7" x14ac:dyDescent="0.25">
      <c r="A621" s="321" t="str">
        <f t="shared" si="19"/>
        <v>II.2.3.048</v>
      </c>
      <c r="B621" s="321">
        <v>8</v>
      </c>
      <c r="C621" s="320" t="str">
        <f>IFERROR(VLOOKUP(A621,[3]DOORSCRIEFT!$A$2:$G$6834,2,FALSE),"")</f>
        <v/>
      </c>
      <c r="D621" s="481" t="str">
        <f>IFERROR(VLOOKUP(A621,[3]DOORSCRIEFT!$A$2:$G$6834,3,FALSE),"")</f>
        <v/>
      </c>
      <c r="E621" s="480" t="str">
        <f>IFERROR(VLOOKUP(A621,[3]DOORSCRIEFT!$A$2:$G$6834,4,FALSE),"")</f>
        <v/>
      </c>
      <c r="F621" s="405" t="str">
        <f>IFERROR(VLOOKUP(A621,[3]DOORSCRIEFT!$A$2:$G$6834,7,FALSE),"")</f>
        <v/>
      </c>
      <c r="G621" s="315"/>
    </row>
    <row r="622" spans="1:7" x14ac:dyDescent="0.25">
      <c r="A622" s="321" t="str">
        <f t="shared" si="19"/>
        <v>II.2.3.049</v>
      </c>
      <c r="B622" s="321">
        <v>9</v>
      </c>
      <c r="C622" s="320" t="str">
        <f>IFERROR(VLOOKUP(A622,[3]DOORSCRIEFT!$A$2:$G$6834,2,FALSE),"")</f>
        <v/>
      </c>
      <c r="D622" s="481" t="str">
        <f>IFERROR(VLOOKUP(A622,[3]DOORSCRIEFT!$A$2:$G$6834,3,FALSE),"")</f>
        <v/>
      </c>
      <c r="E622" s="480" t="str">
        <f>IFERROR(VLOOKUP(A622,[3]DOORSCRIEFT!$A$2:$G$6834,4,FALSE),"")</f>
        <v/>
      </c>
      <c r="F622" s="405" t="str">
        <f>IFERROR(VLOOKUP(A622,[3]DOORSCRIEFT!$A$2:$G$6834,7,FALSE),"")</f>
        <v/>
      </c>
      <c r="G622" s="315"/>
    </row>
    <row r="623" spans="1:7" x14ac:dyDescent="0.25">
      <c r="A623" s="321" t="str">
        <f t="shared" si="19"/>
        <v>II.2.3.0410</v>
      </c>
      <c r="B623" s="321">
        <v>10</v>
      </c>
      <c r="C623" s="320" t="str">
        <f>IFERROR(VLOOKUP(A623,[3]DOORSCRIEFT!$A$2:$G$6834,2,FALSE),"")</f>
        <v/>
      </c>
      <c r="D623" s="481" t="str">
        <f>IFERROR(VLOOKUP(A623,[3]DOORSCRIEFT!$A$2:$G$6834,3,FALSE),"")</f>
        <v/>
      </c>
      <c r="E623" s="480" t="str">
        <f>IFERROR(VLOOKUP(A623,[3]DOORSCRIEFT!$A$2:$G$6834,4,FALSE),"")</f>
        <v/>
      </c>
      <c r="F623" s="405" t="str">
        <f>IFERROR(VLOOKUP(A623,[3]DOORSCRIEFT!$A$2:$G$6834,7,FALSE),"")</f>
        <v/>
      </c>
      <c r="G623" s="315"/>
    </row>
    <row r="624" spans="1:7" x14ac:dyDescent="0.25">
      <c r="A624" s="321" t="str">
        <f t="shared" si="19"/>
        <v>II.2.3.0411</v>
      </c>
      <c r="B624" s="321">
        <v>11</v>
      </c>
      <c r="C624" s="320" t="str">
        <f>IFERROR(VLOOKUP(A624,[3]DOORSCRIEFT!$A$2:$G$6834,2,FALSE),"")</f>
        <v/>
      </c>
      <c r="D624" s="481" t="str">
        <f>IFERROR(VLOOKUP(A624,[3]DOORSCRIEFT!$A$2:$G$6834,3,FALSE),"")</f>
        <v/>
      </c>
      <c r="E624" s="480" t="str">
        <f>IFERROR(VLOOKUP(A624,[3]DOORSCRIEFT!$A$2:$G$6834,4,FALSE),"")</f>
        <v/>
      </c>
      <c r="F624" s="405" t="str">
        <f>IFERROR(VLOOKUP(A624,[3]DOORSCRIEFT!$A$2:$G$6834,7,FALSE),"")</f>
        <v/>
      </c>
      <c r="G624" s="315"/>
    </row>
    <row r="625" spans="1:7" x14ac:dyDescent="0.25">
      <c r="A625" s="321" t="str">
        <f t="shared" si="19"/>
        <v>II.2.3.0412</v>
      </c>
      <c r="B625" s="321">
        <v>12</v>
      </c>
      <c r="C625" s="320" t="str">
        <f>IFERROR(VLOOKUP(A625,[3]DOORSCRIEFT!$A$2:$G$6834,2,FALSE),"")</f>
        <v/>
      </c>
      <c r="D625" s="481" t="str">
        <f>IFERROR(VLOOKUP(A625,[3]DOORSCRIEFT!$A$2:$G$6834,3,FALSE),"")</f>
        <v/>
      </c>
      <c r="E625" s="480" t="str">
        <f>IFERROR(VLOOKUP(A625,[3]DOORSCRIEFT!$A$2:$G$6834,4,FALSE),"")</f>
        <v/>
      </c>
      <c r="F625" s="405" t="str">
        <f>IFERROR(VLOOKUP(A625,[3]DOORSCRIEFT!$A$2:$G$6834,7,FALSE),"")</f>
        <v/>
      </c>
      <c r="G625" s="315"/>
    </row>
    <row r="626" spans="1:7" x14ac:dyDescent="0.25">
      <c r="A626" s="321" t="str">
        <f t="shared" si="19"/>
        <v>II.2.3.0413</v>
      </c>
      <c r="B626" s="321">
        <v>13</v>
      </c>
      <c r="C626" s="320" t="str">
        <f>IFERROR(VLOOKUP(A626,[3]DOORSCRIEFT!$A$2:$G$6834,2,FALSE),"")</f>
        <v/>
      </c>
      <c r="D626" s="481" t="str">
        <f>IFERROR(VLOOKUP(A626,[3]DOORSCRIEFT!$A$2:$G$6834,3,FALSE),"")</f>
        <v/>
      </c>
      <c r="E626" s="480" t="str">
        <f>IFERROR(VLOOKUP(A626,[3]DOORSCRIEFT!$A$2:$G$6834,4,FALSE),"")</f>
        <v/>
      </c>
      <c r="F626" s="405" t="str">
        <f>IFERROR(VLOOKUP(A626,[3]DOORSCRIEFT!$A$2:$G$6834,7,FALSE),"")</f>
        <v/>
      </c>
      <c r="G626" s="315"/>
    </row>
    <row r="627" spans="1:7" x14ac:dyDescent="0.25">
      <c r="A627" s="321" t="str">
        <f t="shared" si="19"/>
        <v>II.2.3.0414</v>
      </c>
      <c r="B627" s="321">
        <v>14</v>
      </c>
      <c r="C627" s="320" t="str">
        <f>IFERROR(VLOOKUP(A627,[3]DOORSCRIEFT!$A$2:$G$6834,2,FALSE),"")</f>
        <v/>
      </c>
      <c r="D627" s="481" t="str">
        <f>IFERROR(VLOOKUP(A627,[3]DOORSCRIEFT!$A$2:$G$6834,3,FALSE),"")</f>
        <v/>
      </c>
      <c r="E627" s="480" t="str">
        <f>IFERROR(VLOOKUP(A627,[3]DOORSCRIEFT!$A$2:$G$6834,4,FALSE),"")</f>
        <v/>
      </c>
      <c r="F627" s="405" t="str">
        <f>IFERROR(VLOOKUP(A627,[3]DOORSCRIEFT!$A$2:$G$6834,7,FALSE),"")</f>
        <v/>
      </c>
      <c r="G627" s="315"/>
    </row>
    <row r="628" spans="1:7" x14ac:dyDescent="0.25">
      <c r="A628" s="321" t="str">
        <f t="shared" si="19"/>
        <v>II.2.3.0415</v>
      </c>
      <c r="B628" s="321">
        <v>15</v>
      </c>
      <c r="C628" s="320" t="str">
        <f>IFERROR(VLOOKUP(A628,[3]DOORSCRIEFT!$A$2:$G$6834,2,FALSE),"")</f>
        <v/>
      </c>
      <c r="D628" s="481" t="str">
        <f>IFERROR(VLOOKUP(A628,[3]DOORSCRIEFT!$A$2:$G$6834,3,FALSE),"")</f>
        <v/>
      </c>
      <c r="E628" s="480" t="str">
        <f>IFERROR(VLOOKUP(A628,[3]DOORSCRIEFT!$A$2:$G$6834,4,FALSE),"")</f>
        <v/>
      </c>
      <c r="F628" s="405" t="str">
        <f>IFERROR(VLOOKUP(A628,[3]DOORSCRIEFT!$A$2:$G$6834,7,FALSE),"")</f>
        <v/>
      </c>
      <c r="G628" s="315"/>
    </row>
    <row r="629" spans="1:7" x14ac:dyDescent="0.25">
      <c r="A629" s="321" t="str">
        <f t="shared" si="19"/>
        <v>II.2.3.0416</v>
      </c>
      <c r="B629" s="321">
        <v>16</v>
      </c>
      <c r="C629" s="320" t="str">
        <f>IFERROR(VLOOKUP(A629,[3]DOORSCRIEFT!$A$2:$G$6834,2,FALSE),"")</f>
        <v/>
      </c>
      <c r="D629" s="481" t="str">
        <f>IFERROR(VLOOKUP(A629,[3]DOORSCRIEFT!$A$2:$G$6834,3,FALSE),"")</f>
        <v/>
      </c>
      <c r="E629" s="480" t="str">
        <f>IFERROR(VLOOKUP(A629,[3]DOORSCRIEFT!$A$2:$G$6834,4,FALSE),"")</f>
        <v/>
      </c>
      <c r="F629" s="405" t="str">
        <f>IFERROR(VLOOKUP(A629,[3]DOORSCRIEFT!$A$2:$G$6834,7,FALSE),"")</f>
        <v/>
      </c>
      <c r="G629" s="315"/>
    </row>
    <row r="630" spans="1:7" x14ac:dyDescent="0.25">
      <c r="A630" s="321" t="str">
        <f t="shared" si="19"/>
        <v>II.2.3.0417</v>
      </c>
      <c r="B630" s="321">
        <v>17</v>
      </c>
      <c r="C630" s="320" t="str">
        <f>IFERROR(VLOOKUP(A630,[3]DOORSCRIEFT!$A$2:$G$6834,2,FALSE),"")</f>
        <v/>
      </c>
      <c r="D630" s="481" t="str">
        <f>IFERROR(VLOOKUP(A630,[3]DOORSCRIEFT!$A$2:$G$6834,3,FALSE),"")</f>
        <v/>
      </c>
      <c r="E630" s="480" t="str">
        <f>IFERROR(VLOOKUP(A630,[3]DOORSCRIEFT!$A$2:$G$6834,4,FALSE),"")</f>
        <v/>
      </c>
      <c r="F630" s="405" t="str">
        <f>IFERROR(VLOOKUP(A630,[3]DOORSCRIEFT!$A$2:$G$6834,7,FALSE),"")</f>
        <v/>
      </c>
      <c r="G630" s="315"/>
    </row>
    <row r="631" spans="1:7" x14ac:dyDescent="0.25">
      <c r="A631" s="321" t="str">
        <f t="shared" si="19"/>
        <v>II.2.3.0418</v>
      </c>
      <c r="B631" s="321">
        <v>18</v>
      </c>
      <c r="C631" s="320" t="str">
        <f>IFERROR(VLOOKUP(A631,[3]DOORSCRIEFT!$A$2:$G$6834,2,FALSE),"")</f>
        <v/>
      </c>
      <c r="D631" s="481" t="str">
        <f>IFERROR(VLOOKUP(A631,[3]DOORSCRIEFT!$A$2:$G$6834,3,FALSE),"")</f>
        <v/>
      </c>
      <c r="E631" s="480" t="str">
        <f>IFERROR(VLOOKUP(A631,[3]DOORSCRIEFT!$A$2:$G$6834,4,FALSE),"")</f>
        <v/>
      </c>
      <c r="F631" s="405" t="str">
        <f>IFERROR(VLOOKUP(A631,[3]DOORSCRIEFT!$A$2:$G$6834,7,FALSE),"")</f>
        <v/>
      </c>
      <c r="G631" s="315"/>
    </row>
    <row r="632" spans="1:7" x14ac:dyDescent="0.25">
      <c r="A632" s="321" t="str">
        <f t="shared" si="19"/>
        <v>II.2.3.0419</v>
      </c>
      <c r="B632" s="321">
        <v>19</v>
      </c>
      <c r="C632" s="320" t="str">
        <f>IFERROR(VLOOKUP(A632,[3]DOORSCRIEFT!$A$2:$G$6834,2,FALSE),"")</f>
        <v/>
      </c>
      <c r="D632" s="481" t="str">
        <f>IFERROR(VLOOKUP(A632,[3]DOORSCRIEFT!$A$2:$G$6834,3,FALSE),"")</f>
        <v/>
      </c>
      <c r="E632" s="480" t="str">
        <f>IFERROR(VLOOKUP(A632,[3]DOORSCRIEFT!$A$2:$G$6834,4,FALSE),"")</f>
        <v/>
      </c>
      <c r="F632" s="405" t="str">
        <f>IFERROR(VLOOKUP(A632,[3]DOORSCRIEFT!$A$2:$G$6834,7,FALSE),"")</f>
        <v/>
      </c>
      <c r="G632" s="315"/>
    </row>
    <row r="633" spans="1:7" x14ac:dyDescent="0.25">
      <c r="A633" s="321" t="str">
        <f t="shared" si="19"/>
        <v>II.2.3.0420</v>
      </c>
      <c r="B633" s="321">
        <v>20</v>
      </c>
      <c r="C633" s="320" t="str">
        <f>IFERROR(VLOOKUP(A633,[3]DOORSCRIEFT!$A$2:$G$6834,2,FALSE),"")</f>
        <v/>
      </c>
      <c r="D633" s="481" t="str">
        <f>IFERROR(VLOOKUP(A633,[3]DOORSCRIEFT!$A$2:$G$6834,3,FALSE),"")</f>
        <v/>
      </c>
      <c r="E633" s="480" t="str">
        <f>IFERROR(VLOOKUP(A633,[3]DOORSCRIEFT!$A$2:$G$6834,4,FALSE),"")</f>
        <v/>
      </c>
      <c r="F633" s="405" t="str">
        <f>IFERROR(VLOOKUP(A633,[3]DOORSCRIEFT!$A$2:$G$6834,7,FALSE),"")</f>
        <v/>
      </c>
      <c r="G633" s="315"/>
    </row>
    <row r="634" spans="1:7" x14ac:dyDescent="0.25">
      <c r="A634" s="321" t="str">
        <f t="shared" si="19"/>
        <v>II.2.3.0421</v>
      </c>
      <c r="B634" s="321">
        <v>21</v>
      </c>
      <c r="C634" s="320" t="str">
        <f>IFERROR(VLOOKUP(A634,[3]DOORSCRIEFT!$A$2:$G$6834,2,FALSE),"")</f>
        <v/>
      </c>
      <c r="D634" s="481" t="str">
        <f>IFERROR(VLOOKUP(A634,[3]DOORSCRIEFT!$A$2:$G$6834,3,FALSE),"")</f>
        <v/>
      </c>
      <c r="E634" s="480" t="str">
        <f>IFERROR(VLOOKUP(A634,[3]DOORSCRIEFT!$A$2:$G$6834,4,FALSE),"")</f>
        <v/>
      </c>
      <c r="F634" s="405" t="str">
        <f>IFERROR(VLOOKUP(A634,[3]DOORSCRIEFT!$A$2:$G$6834,7,FALSE),"")</f>
        <v/>
      </c>
      <c r="G634" s="315"/>
    </row>
    <row r="635" spans="1:7" x14ac:dyDescent="0.25">
      <c r="A635" s="321" t="str">
        <f t="shared" si="19"/>
        <v>II.2.3.0422</v>
      </c>
      <c r="B635" s="321">
        <v>22</v>
      </c>
      <c r="C635" s="320" t="str">
        <f>IFERROR(VLOOKUP(A635,[3]DOORSCRIEFT!$A$2:$G$6834,2,FALSE),"")</f>
        <v/>
      </c>
      <c r="D635" s="481" t="str">
        <f>IFERROR(VLOOKUP(A635,[3]DOORSCRIEFT!$A$2:$G$6834,3,FALSE),"")</f>
        <v/>
      </c>
      <c r="E635" s="480" t="str">
        <f>IFERROR(VLOOKUP(A635,[3]DOORSCRIEFT!$A$2:$G$6834,4,FALSE),"")</f>
        <v/>
      </c>
      <c r="F635" s="405" t="str">
        <f>IFERROR(VLOOKUP(A635,[3]DOORSCRIEFT!$A$2:$G$6834,7,FALSE),"")</f>
        <v/>
      </c>
      <c r="G635" s="315"/>
    </row>
    <row r="636" spans="1:7" x14ac:dyDescent="0.25">
      <c r="A636" s="321" t="str">
        <f t="shared" si="19"/>
        <v>II.2.3.0423</v>
      </c>
      <c r="B636" s="321">
        <v>23</v>
      </c>
      <c r="C636" s="320" t="str">
        <f>IFERROR(VLOOKUP(A636,[3]DOORSCRIEFT!$A$2:$G$6834,2,FALSE),"")</f>
        <v/>
      </c>
      <c r="D636" s="481" t="str">
        <f>IFERROR(VLOOKUP(A636,[3]DOORSCRIEFT!$A$2:$G$6834,3,FALSE),"")</f>
        <v/>
      </c>
      <c r="E636" s="480" t="str">
        <f>IFERROR(VLOOKUP(A636,[3]DOORSCRIEFT!$A$2:$G$6834,4,FALSE),"")</f>
        <v/>
      </c>
      <c r="F636" s="405" t="str">
        <f>IFERROR(VLOOKUP(A636,[3]DOORSCRIEFT!$A$2:$G$6834,7,FALSE),"")</f>
        <v/>
      </c>
      <c r="G636" s="315"/>
    </row>
    <row r="637" spans="1:7" x14ac:dyDescent="0.25">
      <c r="A637" s="321" t="str">
        <f t="shared" si="19"/>
        <v>II.2.3.0424</v>
      </c>
      <c r="B637" s="321">
        <v>24</v>
      </c>
      <c r="C637" s="320" t="str">
        <f>IFERROR(VLOOKUP(A637,[3]DOORSCRIEFT!$A$2:$G$6834,2,FALSE),"")</f>
        <v/>
      </c>
      <c r="D637" s="481" t="str">
        <f>IFERROR(VLOOKUP(A637,[3]DOORSCRIEFT!$A$2:$G$6834,3,FALSE),"")</f>
        <v/>
      </c>
      <c r="E637" s="480" t="str">
        <f>IFERROR(VLOOKUP(A637,[3]DOORSCRIEFT!$A$2:$G$6834,4,FALSE),"")</f>
        <v/>
      </c>
      <c r="F637" s="405" t="str">
        <f>IFERROR(VLOOKUP(A637,[3]DOORSCRIEFT!$A$2:$G$6834,7,FALSE),"")</f>
        <v/>
      </c>
      <c r="G637" s="315"/>
    </row>
    <row r="638" spans="1:7" x14ac:dyDescent="0.25">
      <c r="A638" s="321" t="str">
        <f t="shared" si="19"/>
        <v>II.2.3.0425</v>
      </c>
      <c r="B638" s="321">
        <v>25</v>
      </c>
      <c r="C638" s="320" t="str">
        <f>IFERROR(VLOOKUP(A638,[3]DOORSCRIEFT!$A$2:$G$6834,2,FALSE),"")</f>
        <v/>
      </c>
      <c r="D638" s="481" t="str">
        <f>IFERROR(VLOOKUP(A638,[3]DOORSCRIEFT!$A$2:$G$6834,3,FALSE),"")</f>
        <v/>
      </c>
      <c r="E638" s="480" t="str">
        <f>IFERROR(VLOOKUP(A638,[3]DOORSCRIEFT!$A$2:$G$6834,4,FALSE),"")</f>
        <v/>
      </c>
      <c r="F638" s="405" t="str">
        <f>IFERROR(VLOOKUP(A638,[3]DOORSCRIEFT!$A$2:$G$6834,7,FALSE),"")</f>
        <v/>
      </c>
      <c r="G638" s="315"/>
    </row>
    <row r="639" spans="1:7" x14ac:dyDescent="0.25">
      <c r="A639" s="321" t="str">
        <f t="shared" si="19"/>
        <v>II.2.3.0426</v>
      </c>
      <c r="B639" s="321">
        <v>26</v>
      </c>
      <c r="C639" s="320" t="str">
        <f>IFERROR(VLOOKUP(A639,[3]DOORSCRIEFT!$A$2:$G$6834,2,FALSE),"")</f>
        <v/>
      </c>
      <c r="D639" s="481" t="str">
        <f>IFERROR(VLOOKUP(A639,[3]DOORSCRIEFT!$A$2:$G$6834,3,FALSE),"")</f>
        <v/>
      </c>
      <c r="E639" s="480" t="str">
        <f>IFERROR(VLOOKUP(A639,[3]DOORSCRIEFT!$A$2:$G$6834,4,FALSE),"")</f>
        <v/>
      </c>
      <c r="F639" s="405" t="str">
        <f>IFERROR(VLOOKUP(A639,[3]DOORSCRIEFT!$A$2:$G$6834,7,FALSE),"")</f>
        <v/>
      </c>
      <c r="G639" s="315"/>
    </row>
    <row r="640" spans="1:7" x14ac:dyDescent="0.25">
      <c r="A640" s="321" t="str">
        <f t="shared" si="19"/>
        <v>II.2.3.0427</v>
      </c>
      <c r="B640" s="321">
        <v>27</v>
      </c>
      <c r="C640" s="320" t="str">
        <f>IFERROR(VLOOKUP(A640,[3]DOORSCRIEFT!$A$2:$G$6834,2,FALSE),"")</f>
        <v/>
      </c>
      <c r="D640" s="481" t="str">
        <f>IFERROR(VLOOKUP(A640,[3]DOORSCRIEFT!$A$2:$G$6834,3,FALSE),"")</f>
        <v/>
      </c>
      <c r="E640" s="480" t="str">
        <f>IFERROR(VLOOKUP(A640,[3]DOORSCRIEFT!$A$2:$G$6834,4,FALSE),"")</f>
        <v/>
      </c>
      <c r="F640" s="405" t="str">
        <f>IFERROR(VLOOKUP(A640,[3]DOORSCRIEFT!$A$2:$G$6834,7,FALSE),"")</f>
        <v/>
      </c>
      <c r="G640" s="315"/>
    </row>
    <row r="641" spans="1:7" x14ac:dyDescent="0.25">
      <c r="A641" s="321" t="str">
        <f t="shared" si="19"/>
        <v>II.2.3.0428</v>
      </c>
      <c r="B641" s="321">
        <v>28</v>
      </c>
      <c r="C641" s="320" t="str">
        <f>IFERROR(VLOOKUP(A641,[3]DOORSCRIEFT!$A$2:$G$6834,2,FALSE),"")</f>
        <v/>
      </c>
      <c r="D641" s="481" t="str">
        <f>IFERROR(VLOOKUP(A641,[3]DOORSCRIEFT!$A$2:$G$6834,3,FALSE),"")</f>
        <v/>
      </c>
      <c r="E641" s="480" t="str">
        <f>IFERROR(VLOOKUP(A641,[3]DOORSCRIEFT!$A$2:$G$6834,4,FALSE),"")</f>
        <v/>
      </c>
      <c r="F641" s="405" t="str">
        <f>IFERROR(VLOOKUP(A641,[3]DOORSCRIEFT!$A$2:$G$6834,7,FALSE),"")</f>
        <v/>
      </c>
      <c r="G641" s="315"/>
    </row>
    <row r="642" spans="1:7" x14ac:dyDescent="0.25">
      <c r="A642" s="321" t="str">
        <f t="shared" si="19"/>
        <v>II.2.3.0429</v>
      </c>
      <c r="B642" s="321">
        <v>29</v>
      </c>
      <c r="C642" s="320" t="str">
        <f>IFERROR(VLOOKUP(A642,[3]DOORSCRIEFT!$A$2:$G$6834,2,FALSE),"")</f>
        <v/>
      </c>
      <c r="D642" s="481" t="str">
        <f>IFERROR(VLOOKUP(A642,[3]DOORSCRIEFT!$A$2:$G$6834,3,FALSE),"")</f>
        <v/>
      </c>
      <c r="E642" s="480" t="str">
        <f>IFERROR(VLOOKUP(A642,[3]DOORSCRIEFT!$A$2:$G$6834,4,FALSE),"")</f>
        <v/>
      </c>
      <c r="F642" s="405" t="str">
        <f>IFERROR(VLOOKUP(A642,[3]DOORSCRIEFT!$A$2:$G$6834,7,FALSE),"")</f>
        <v/>
      </c>
      <c r="G642" s="315"/>
    </row>
    <row r="643" spans="1:7" ht="15.75" thickBot="1" x14ac:dyDescent="0.3">
      <c r="A643" s="342" t="str">
        <f t="shared" si="19"/>
        <v>II.2.3.0430</v>
      </c>
      <c r="B643" s="342">
        <v>30</v>
      </c>
      <c r="C643" s="320" t="str">
        <f>IFERROR(VLOOKUP(A643,[3]DOORSCRIEFT!$A$2:$G$6834,2,FALSE),"")</f>
        <v/>
      </c>
      <c r="D643" s="481" t="str">
        <f>IFERROR(VLOOKUP(A643,[3]DOORSCRIEFT!$A$2:$G$6834,3,FALSE),"")</f>
        <v/>
      </c>
      <c r="E643" s="480" t="str">
        <f>IFERROR(VLOOKUP(A643,[3]DOORSCRIEFT!$A$2:$G$6834,4,FALSE),"")</f>
        <v/>
      </c>
      <c r="F643" s="405" t="str">
        <f>IFERROR(VLOOKUP(A643,[3]DOORSCRIEFT!$A$2:$G$6834,7,FALSE),"")</f>
        <v/>
      </c>
      <c r="G643" s="315"/>
    </row>
    <row r="644" spans="1:7" ht="15.75" thickBot="1" x14ac:dyDescent="0.3">
      <c r="A644" s="341"/>
      <c r="B644" s="340"/>
      <c r="C644" s="336"/>
      <c r="D644" s="486"/>
      <c r="E644" s="340" t="s">
        <v>644</v>
      </c>
      <c r="F644" s="310">
        <f>SUM(F614:F643)</f>
        <v>4172100</v>
      </c>
      <c r="G644" s="309">
        <f>SUM(G614:G643)</f>
        <v>0</v>
      </c>
    </row>
    <row r="645" spans="1:7" x14ac:dyDescent="0.25">
      <c r="C645" s="335"/>
      <c r="D645" s="485"/>
    </row>
    <row r="646" spans="1:7" x14ac:dyDescent="0.25">
      <c r="C646" s="335"/>
      <c r="D646" s="485"/>
    </row>
    <row r="647" spans="1:7" ht="15.75" x14ac:dyDescent="0.25">
      <c r="C647" s="334" t="s">
        <v>663</v>
      </c>
      <c r="D647" s="484"/>
      <c r="E647" s="333"/>
      <c r="F647" s="327" t="s">
        <v>607</v>
      </c>
      <c r="G647" s="327" t="s">
        <v>230</v>
      </c>
    </row>
    <row r="648" spans="1:7" ht="15.75" x14ac:dyDescent="0.25">
      <c r="C648" s="334"/>
      <c r="D648" s="484"/>
      <c r="E648" s="333"/>
      <c r="F648" s="327" t="s">
        <v>601</v>
      </c>
      <c r="G648" s="327" t="s">
        <v>229</v>
      </c>
    </row>
    <row r="649" spans="1:7" x14ac:dyDescent="0.25">
      <c r="C649" s="330"/>
      <c r="D649" s="482"/>
      <c r="E649" s="329"/>
      <c r="F649" s="327" t="s">
        <v>651</v>
      </c>
      <c r="G649" s="331">
        <f>[2]Sheet1!$D$263</f>
        <v>1000000</v>
      </c>
    </row>
    <row r="650" spans="1:7" ht="15.75" thickBot="1" x14ac:dyDescent="0.3">
      <c r="C650" s="330"/>
      <c r="D650" s="482"/>
      <c r="E650" s="329"/>
      <c r="F650" s="327" t="s">
        <v>650</v>
      </c>
      <c r="G650" s="326">
        <f>+F669-G649</f>
        <v>-550000</v>
      </c>
    </row>
    <row r="651" spans="1:7" x14ac:dyDescent="0.25">
      <c r="A651" s="571" t="s">
        <v>655</v>
      </c>
      <c r="B651" s="573" t="s">
        <v>606</v>
      </c>
      <c r="C651" s="588" t="s">
        <v>649</v>
      </c>
      <c r="D651" s="599" t="s">
        <v>648</v>
      </c>
      <c r="E651" s="577" t="s">
        <v>647</v>
      </c>
      <c r="F651" s="577" t="s">
        <v>646</v>
      </c>
      <c r="G651" s="580" t="s">
        <v>645</v>
      </c>
    </row>
    <row r="652" spans="1:7" ht="15.75" thickBot="1" x14ac:dyDescent="0.3">
      <c r="A652" s="572"/>
      <c r="B652" s="574"/>
      <c r="C652" s="589"/>
      <c r="D652" s="600"/>
      <c r="E652" s="578"/>
      <c r="F652" s="578"/>
      <c r="G652" s="581"/>
    </row>
    <row r="653" spans="1:7" ht="15.75" thickBot="1" x14ac:dyDescent="0.3">
      <c r="A653" s="425">
        <v>1</v>
      </c>
      <c r="B653" s="425">
        <v>2</v>
      </c>
      <c r="C653" s="425">
        <v>3</v>
      </c>
      <c r="D653" s="425">
        <v>4</v>
      </c>
      <c r="E653" s="425">
        <v>5</v>
      </c>
      <c r="F653" s="425">
        <v>6</v>
      </c>
      <c r="G653" s="425">
        <v>7</v>
      </c>
    </row>
    <row r="654" spans="1:7" x14ac:dyDescent="0.25">
      <c r="A654" s="320" t="str">
        <f t="shared" ref="A654:A668" si="20">$G$647&amp;B654</f>
        <v>II.2.3.051</v>
      </c>
      <c r="B654" s="320">
        <v>1</v>
      </c>
      <c r="C654" s="320">
        <f>IFERROR(VLOOKUP(A654,[3]DOORSCRIEFT!$A$2:$G$6834,2,FALSE),"")</f>
        <v>87</v>
      </c>
      <c r="D654" s="481">
        <f>IFERROR(VLOOKUP(A654,[3]DOORSCRIEFT!$A$2:$G$6834,3,FALSE),"")</f>
        <v>46040</v>
      </c>
      <c r="E654" s="480" t="str">
        <f>IFERROR(VLOOKUP(A654,[3]DOORSCRIEFT!$A$2:$G$6834,4,FALSE),"")</f>
        <v>Beli air 1 tangki di gereja SK</v>
      </c>
      <c r="F654" s="405">
        <f>IFERROR(VLOOKUP(A654,[3]DOORSCRIEFT!$A$2:$G$6834,7,FALSE),"")</f>
        <v>150000</v>
      </c>
      <c r="G654" s="322"/>
    </row>
    <row r="655" spans="1:7" x14ac:dyDescent="0.25">
      <c r="A655" s="321" t="str">
        <f t="shared" si="20"/>
        <v>II.2.3.052</v>
      </c>
      <c r="B655" s="321">
        <v>2</v>
      </c>
      <c r="C655" s="320">
        <f>IFERROR(VLOOKUP(A655,[3]DOORSCRIEFT!$A$2:$G$6834,2,FALSE),"")</f>
        <v>414</v>
      </c>
      <c r="D655" s="481">
        <f>IFERROR(VLOOKUP(A655,[3]DOORSCRIEFT!$A$2:$G$6834,3,FALSE),"")</f>
        <v>46103</v>
      </c>
      <c r="E655" s="480" t="str">
        <f>IFERROR(VLOOKUP(A655,[3]DOORSCRIEFT!$A$2:$G$6834,4,FALSE),"")</f>
        <v>Beli air 1 tangki untuk Gereja SK</v>
      </c>
      <c r="F655" s="405">
        <f>IFERROR(VLOOKUP(A655,[3]DOORSCRIEFT!$A$2:$G$6834,7,FALSE),"")</f>
        <v>150000</v>
      </c>
      <c r="G655" s="315"/>
    </row>
    <row r="656" spans="1:7" x14ac:dyDescent="0.25">
      <c r="A656" s="321" t="str">
        <f t="shared" si="20"/>
        <v>II.2.3.053</v>
      </c>
      <c r="B656" s="321">
        <v>3</v>
      </c>
      <c r="C656" s="320">
        <f>IFERROR(VLOOKUP(A656,[3]DOORSCRIEFT!$A$2:$G$6834,2,FALSE),"")</f>
        <v>456</v>
      </c>
      <c r="D656" s="481">
        <f>IFERROR(VLOOKUP(A656,[3]DOORSCRIEFT!$A$2:$G$6834,3,FALSE),"")</f>
        <v>46110</v>
      </c>
      <c r="E656" s="480" t="str">
        <f>IFERROR(VLOOKUP(A656,[3]DOORSCRIEFT!$A$2:$G$6834,4,FALSE),"")</f>
        <v>Beli air 1 tangki untuk Gereja Sumber Kasih</v>
      </c>
      <c r="F656" s="405">
        <f>IFERROR(VLOOKUP(A656,[3]DOORSCRIEFT!$A$2:$G$6834,7,FALSE),"")</f>
        <v>150000</v>
      </c>
      <c r="G656" s="315"/>
    </row>
    <row r="657" spans="1:7" x14ac:dyDescent="0.25">
      <c r="A657" s="321" t="str">
        <f t="shared" si="20"/>
        <v>II.2.3.054</v>
      </c>
      <c r="B657" s="321">
        <v>4</v>
      </c>
      <c r="C657" s="320" t="str">
        <f>IFERROR(VLOOKUP(A657,[3]DOORSCRIEFT!$A$2:$G$6834,2,FALSE),"")</f>
        <v/>
      </c>
      <c r="D657" s="481" t="str">
        <f>IFERROR(VLOOKUP(A657,[3]DOORSCRIEFT!$A$2:$G$6834,3,FALSE),"")</f>
        <v/>
      </c>
      <c r="E657" s="480" t="str">
        <f>IFERROR(VLOOKUP(A657,[3]DOORSCRIEFT!$A$2:$G$6834,4,FALSE),"")</f>
        <v/>
      </c>
      <c r="F657" s="405" t="str">
        <f>IFERROR(VLOOKUP(A657,[3]DOORSCRIEFT!$A$2:$G$6834,7,FALSE),"")</f>
        <v/>
      </c>
      <c r="G657" s="315"/>
    </row>
    <row r="658" spans="1:7" x14ac:dyDescent="0.25">
      <c r="A658" s="321" t="str">
        <f t="shared" si="20"/>
        <v>II.2.3.055</v>
      </c>
      <c r="B658" s="321">
        <v>5</v>
      </c>
      <c r="C658" s="320" t="str">
        <f>IFERROR(VLOOKUP(A658,[3]DOORSCRIEFT!$A$2:$G$6834,2,FALSE),"")</f>
        <v/>
      </c>
      <c r="D658" s="481" t="str">
        <f>IFERROR(VLOOKUP(A658,[3]DOORSCRIEFT!$A$2:$G$6834,3,FALSE),"")</f>
        <v/>
      </c>
      <c r="E658" s="480" t="str">
        <f>IFERROR(VLOOKUP(A658,[3]DOORSCRIEFT!$A$2:$G$6834,4,FALSE),"")</f>
        <v/>
      </c>
      <c r="F658" s="405" t="str">
        <f>IFERROR(VLOOKUP(A658,[3]DOORSCRIEFT!$A$2:$G$6834,7,FALSE),"")</f>
        <v/>
      </c>
      <c r="G658" s="315"/>
    </row>
    <row r="659" spans="1:7" x14ac:dyDescent="0.25">
      <c r="A659" s="321" t="str">
        <f t="shared" si="20"/>
        <v>II.2.3.056</v>
      </c>
      <c r="B659" s="321">
        <v>6</v>
      </c>
      <c r="C659" s="320" t="str">
        <f>IFERROR(VLOOKUP(A659,[3]DOORSCRIEFT!$A$2:$G$6834,2,FALSE),"")</f>
        <v/>
      </c>
      <c r="D659" s="481" t="str">
        <f>IFERROR(VLOOKUP(A659,[3]DOORSCRIEFT!$A$2:$G$6834,3,FALSE),"")</f>
        <v/>
      </c>
      <c r="E659" s="480" t="str">
        <f>IFERROR(VLOOKUP(A659,[3]DOORSCRIEFT!$A$2:$G$6834,4,FALSE),"")</f>
        <v/>
      </c>
      <c r="F659" s="405" t="str">
        <f>IFERROR(VLOOKUP(A659,[3]DOORSCRIEFT!$A$2:$G$6834,7,FALSE),"")</f>
        <v/>
      </c>
      <c r="G659" s="315"/>
    </row>
    <row r="660" spans="1:7" x14ac:dyDescent="0.25">
      <c r="A660" s="321" t="str">
        <f t="shared" si="20"/>
        <v>II.2.3.057</v>
      </c>
      <c r="B660" s="321">
        <v>7</v>
      </c>
      <c r="C660" s="320" t="str">
        <f>IFERROR(VLOOKUP(A660,[3]DOORSCRIEFT!$A$2:$G$6834,2,FALSE),"")</f>
        <v/>
      </c>
      <c r="D660" s="481" t="str">
        <f>IFERROR(VLOOKUP(A660,[3]DOORSCRIEFT!$A$2:$G$6834,3,FALSE),"")</f>
        <v/>
      </c>
      <c r="E660" s="480" t="str">
        <f>IFERROR(VLOOKUP(A660,[3]DOORSCRIEFT!$A$2:$G$6834,4,FALSE),"")</f>
        <v/>
      </c>
      <c r="F660" s="405" t="str">
        <f>IFERROR(VLOOKUP(A660,[3]DOORSCRIEFT!$A$2:$G$6834,7,FALSE),"")</f>
        <v/>
      </c>
      <c r="G660" s="315"/>
    </row>
    <row r="661" spans="1:7" x14ac:dyDescent="0.25">
      <c r="A661" s="321" t="str">
        <f t="shared" si="20"/>
        <v>II.2.3.058</v>
      </c>
      <c r="B661" s="321">
        <v>8</v>
      </c>
      <c r="C661" s="320" t="str">
        <f>IFERROR(VLOOKUP(A661,[3]DOORSCRIEFT!$A$2:$G$6834,2,FALSE),"")</f>
        <v/>
      </c>
      <c r="D661" s="481" t="str">
        <f>IFERROR(VLOOKUP(A661,[3]DOORSCRIEFT!$A$2:$G$6834,3,FALSE),"")</f>
        <v/>
      </c>
      <c r="E661" s="480" t="str">
        <f>IFERROR(VLOOKUP(A661,[3]DOORSCRIEFT!$A$2:$G$6834,4,FALSE),"")</f>
        <v/>
      </c>
      <c r="F661" s="405" t="str">
        <f>IFERROR(VLOOKUP(A661,[3]DOORSCRIEFT!$A$2:$G$6834,7,FALSE),"")</f>
        <v/>
      </c>
      <c r="G661" s="315"/>
    </row>
    <row r="662" spans="1:7" x14ac:dyDescent="0.25">
      <c r="A662" s="321" t="str">
        <f t="shared" si="20"/>
        <v>II.2.3.059</v>
      </c>
      <c r="B662" s="321">
        <v>9</v>
      </c>
      <c r="C662" s="320" t="str">
        <f>IFERROR(VLOOKUP(A662,[3]DOORSCRIEFT!$A$2:$G$6834,2,FALSE),"")</f>
        <v/>
      </c>
      <c r="D662" s="481" t="str">
        <f>IFERROR(VLOOKUP(A662,[3]DOORSCRIEFT!$A$2:$G$6834,3,FALSE),"")</f>
        <v/>
      </c>
      <c r="E662" s="480" t="str">
        <f>IFERROR(VLOOKUP(A662,[3]DOORSCRIEFT!$A$2:$G$6834,4,FALSE),"")</f>
        <v/>
      </c>
      <c r="F662" s="405" t="str">
        <f>IFERROR(VLOOKUP(A662,[3]DOORSCRIEFT!$A$2:$G$6834,7,FALSE),"")</f>
        <v/>
      </c>
      <c r="G662" s="315"/>
    </row>
    <row r="663" spans="1:7" x14ac:dyDescent="0.25">
      <c r="A663" s="321" t="str">
        <f t="shared" si="20"/>
        <v>II.2.3.0510</v>
      </c>
      <c r="B663" s="321">
        <v>10</v>
      </c>
      <c r="C663" s="320" t="str">
        <f>IFERROR(VLOOKUP(A663,[3]DOORSCRIEFT!$A$2:$G$6834,2,FALSE),"")</f>
        <v/>
      </c>
      <c r="D663" s="481" t="str">
        <f>IFERROR(VLOOKUP(A663,[3]DOORSCRIEFT!$A$2:$G$6834,3,FALSE),"")</f>
        <v/>
      </c>
      <c r="E663" s="480" t="str">
        <f>IFERROR(VLOOKUP(A663,[3]DOORSCRIEFT!$A$2:$G$6834,4,FALSE),"")</f>
        <v/>
      </c>
      <c r="F663" s="405" t="str">
        <f>IFERROR(VLOOKUP(A663,[3]DOORSCRIEFT!$A$2:$G$6834,7,FALSE),"")</f>
        <v/>
      </c>
      <c r="G663" s="315"/>
    </row>
    <row r="664" spans="1:7" x14ac:dyDescent="0.25">
      <c r="A664" s="321" t="str">
        <f t="shared" si="20"/>
        <v>II.2.3.0511</v>
      </c>
      <c r="B664" s="321">
        <v>11</v>
      </c>
      <c r="C664" s="320" t="str">
        <f>IFERROR(VLOOKUP(A664,[3]DOORSCRIEFT!$A$2:$G$6834,2,FALSE),"")</f>
        <v/>
      </c>
      <c r="D664" s="481" t="str">
        <f>IFERROR(VLOOKUP(A664,[3]DOORSCRIEFT!$A$2:$G$6834,3,FALSE),"")</f>
        <v/>
      </c>
      <c r="E664" s="480" t="str">
        <f>IFERROR(VLOOKUP(A664,[3]DOORSCRIEFT!$A$2:$G$6834,4,FALSE),"")</f>
        <v/>
      </c>
      <c r="F664" s="405" t="str">
        <f>IFERROR(VLOOKUP(A664,[3]DOORSCRIEFT!$A$2:$G$6834,7,FALSE),"")</f>
        <v/>
      </c>
      <c r="G664" s="315"/>
    </row>
    <row r="665" spans="1:7" x14ac:dyDescent="0.25">
      <c r="A665" s="321" t="str">
        <f t="shared" si="20"/>
        <v>II.2.3.0512</v>
      </c>
      <c r="B665" s="321">
        <v>12</v>
      </c>
      <c r="C665" s="320" t="str">
        <f>IFERROR(VLOOKUP(A665,[3]DOORSCRIEFT!$A$2:$G$6834,2,FALSE),"")</f>
        <v/>
      </c>
      <c r="D665" s="481" t="str">
        <f>IFERROR(VLOOKUP(A665,[3]DOORSCRIEFT!$A$2:$G$6834,3,FALSE),"")</f>
        <v/>
      </c>
      <c r="E665" s="480" t="str">
        <f>IFERROR(VLOOKUP(A665,[3]DOORSCRIEFT!$A$2:$G$6834,4,FALSE),"")</f>
        <v/>
      </c>
      <c r="F665" s="405" t="str">
        <f>IFERROR(VLOOKUP(A665,[3]DOORSCRIEFT!$A$2:$G$6834,7,FALSE),"")</f>
        <v/>
      </c>
      <c r="G665" s="315"/>
    </row>
    <row r="666" spans="1:7" x14ac:dyDescent="0.25">
      <c r="A666" s="321" t="str">
        <f t="shared" si="20"/>
        <v>II.2.3.0513</v>
      </c>
      <c r="B666" s="321">
        <v>13</v>
      </c>
      <c r="C666" s="320" t="str">
        <f>IFERROR(VLOOKUP(A666,[3]DOORSCRIEFT!$A$2:$G$6834,2,FALSE),"")</f>
        <v/>
      </c>
      <c r="D666" s="481" t="str">
        <f>IFERROR(VLOOKUP(A666,[3]DOORSCRIEFT!$A$2:$G$6834,3,FALSE),"")</f>
        <v/>
      </c>
      <c r="E666" s="480" t="str">
        <f>IFERROR(VLOOKUP(A666,[3]DOORSCRIEFT!$A$2:$G$6834,4,FALSE),"")</f>
        <v/>
      </c>
      <c r="F666" s="405" t="str">
        <f>IFERROR(VLOOKUP(A666,[3]DOORSCRIEFT!$A$2:$G$6834,7,FALSE),"")</f>
        <v/>
      </c>
      <c r="G666" s="315"/>
    </row>
    <row r="667" spans="1:7" x14ac:dyDescent="0.25">
      <c r="A667" s="321" t="str">
        <f t="shared" si="20"/>
        <v>II.2.3.0514</v>
      </c>
      <c r="B667" s="321">
        <v>14</v>
      </c>
      <c r="C667" s="320" t="str">
        <f>IFERROR(VLOOKUP(A667,[3]DOORSCRIEFT!$A$2:$G$6834,2,FALSE),"")</f>
        <v/>
      </c>
      <c r="D667" s="481" t="str">
        <f>IFERROR(VLOOKUP(A667,[3]DOORSCRIEFT!$A$2:$G$6834,3,FALSE),"")</f>
        <v/>
      </c>
      <c r="E667" s="480" t="str">
        <f>IFERROR(VLOOKUP(A667,[3]DOORSCRIEFT!$A$2:$G$6834,4,FALSE),"")</f>
        <v/>
      </c>
      <c r="F667" s="405" t="str">
        <f>IFERROR(VLOOKUP(A667,[3]DOORSCRIEFT!$A$2:$G$6834,7,FALSE),"")</f>
        <v/>
      </c>
      <c r="G667" s="315"/>
    </row>
    <row r="668" spans="1:7" ht="15.75" thickBot="1" x14ac:dyDescent="0.3">
      <c r="A668" s="342" t="str">
        <f t="shared" si="20"/>
        <v>II.2.3.0515</v>
      </c>
      <c r="B668" s="342">
        <v>15</v>
      </c>
      <c r="C668" s="320" t="str">
        <f>IFERROR(VLOOKUP(A668,[3]DOORSCRIEFT!$A$2:$G$6834,2,FALSE),"")</f>
        <v/>
      </c>
      <c r="D668" s="481" t="str">
        <f>IFERROR(VLOOKUP(A668,[3]DOORSCRIEFT!$A$2:$G$6834,3,FALSE),"")</f>
        <v/>
      </c>
      <c r="E668" s="480" t="str">
        <f>IFERROR(VLOOKUP(A668,[3]DOORSCRIEFT!$A$2:$G$6834,4,FALSE),"")</f>
        <v/>
      </c>
      <c r="F668" s="405" t="str">
        <f>IFERROR(VLOOKUP(A668,[3]DOORSCRIEFT!$A$2:$G$6834,7,FALSE),"")</f>
        <v/>
      </c>
      <c r="G668" s="315"/>
    </row>
    <row r="669" spans="1:7" ht="15.75" thickBot="1" x14ac:dyDescent="0.3">
      <c r="A669" s="341"/>
      <c r="B669" s="340"/>
      <c r="C669" s="336"/>
      <c r="D669" s="486"/>
      <c r="E669" s="340" t="s">
        <v>644</v>
      </c>
      <c r="F669" s="310">
        <f>SUM(F654:F668)</f>
        <v>450000</v>
      </c>
      <c r="G669" s="309">
        <f>SUM(G654:G668)</f>
        <v>0</v>
      </c>
    </row>
    <row r="670" spans="1:7" x14ac:dyDescent="0.25">
      <c r="C670" s="335"/>
      <c r="D670" s="485"/>
    </row>
    <row r="671" spans="1:7" x14ac:dyDescent="0.25">
      <c r="C671" s="335"/>
      <c r="D671" s="485"/>
    </row>
    <row r="672" spans="1:7" ht="15.75" x14ac:dyDescent="0.25">
      <c r="C672" s="334" t="s">
        <v>663</v>
      </c>
      <c r="D672" s="484"/>
      <c r="E672" s="333"/>
      <c r="F672" s="327" t="s">
        <v>607</v>
      </c>
      <c r="G672" s="327" t="s">
        <v>228</v>
      </c>
    </row>
    <row r="673" spans="1:7" ht="15.75" x14ac:dyDescent="0.25">
      <c r="C673" s="334"/>
      <c r="D673" s="484"/>
      <c r="E673" s="333"/>
      <c r="F673" s="327" t="s">
        <v>601</v>
      </c>
      <c r="G673" s="327" t="s">
        <v>227</v>
      </c>
    </row>
    <row r="674" spans="1:7" x14ac:dyDescent="0.25">
      <c r="C674" s="330"/>
      <c r="D674" s="482"/>
      <c r="E674" s="329"/>
      <c r="F674" s="327" t="s">
        <v>651</v>
      </c>
      <c r="G674" s="331">
        <f>[2]Sheet1!$D$264</f>
        <v>0</v>
      </c>
    </row>
    <row r="675" spans="1:7" ht="15.75" thickBot="1" x14ac:dyDescent="0.3">
      <c r="C675" s="330"/>
      <c r="D675" s="482"/>
      <c r="E675" s="329"/>
      <c r="F675" s="327" t="s">
        <v>650</v>
      </c>
      <c r="G675" s="326">
        <f>+F694-G674</f>
        <v>0</v>
      </c>
    </row>
    <row r="676" spans="1:7" x14ac:dyDescent="0.25">
      <c r="A676" s="571" t="s">
        <v>655</v>
      </c>
      <c r="B676" s="573" t="s">
        <v>606</v>
      </c>
      <c r="C676" s="588" t="s">
        <v>649</v>
      </c>
      <c r="D676" s="599" t="s">
        <v>648</v>
      </c>
      <c r="E676" s="577" t="s">
        <v>647</v>
      </c>
      <c r="F676" s="577" t="s">
        <v>646</v>
      </c>
      <c r="G676" s="580" t="s">
        <v>645</v>
      </c>
    </row>
    <row r="677" spans="1:7" ht="15.75" thickBot="1" x14ac:dyDescent="0.3">
      <c r="A677" s="572"/>
      <c r="B677" s="574"/>
      <c r="C677" s="589"/>
      <c r="D677" s="600"/>
      <c r="E677" s="578"/>
      <c r="F677" s="578"/>
      <c r="G677" s="581"/>
    </row>
    <row r="678" spans="1:7" ht="15.75" thickBot="1" x14ac:dyDescent="0.3">
      <c r="A678" s="425">
        <v>1</v>
      </c>
      <c r="B678" s="425">
        <v>2</v>
      </c>
      <c r="C678" s="425">
        <v>3</v>
      </c>
      <c r="D678" s="425">
        <v>4</v>
      </c>
      <c r="E678" s="425">
        <v>5</v>
      </c>
      <c r="F678" s="425">
        <v>6</v>
      </c>
      <c r="G678" s="425">
        <v>7</v>
      </c>
    </row>
    <row r="679" spans="1:7" x14ac:dyDescent="0.25">
      <c r="A679" s="320" t="str">
        <f t="shared" ref="A679:A693" si="21">$G$672&amp;B679</f>
        <v>II.2.3.061</v>
      </c>
      <c r="B679" s="320">
        <v>1</v>
      </c>
      <c r="C679" s="320" t="str">
        <f>IFERROR(VLOOKUP(A679,[3]DOORSCRIEFT!$A$2:$G$6834,2,FALSE),"")</f>
        <v/>
      </c>
      <c r="D679" s="481" t="str">
        <f>IFERROR(VLOOKUP(A679,[3]DOORSCRIEFT!$A$2:$G$6834,3,FALSE),"")</f>
        <v/>
      </c>
      <c r="E679" s="480" t="str">
        <f>IFERROR(VLOOKUP(A679,[3]DOORSCRIEFT!$A$2:$G$6834,4,FALSE),"")</f>
        <v/>
      </c>
      <c r="F679" s="405" t="str">
        <f>IFERROR(VLOOKUP(A679,[3]DOORSCRIEFT!$A$2:$G$6834,7,FALSE),"")</f>
        <v/>
      </c>
      <c r="G679" s="322"/>
    </row>
    <row r="680" spans="1:7" x14ac:dyDescent="0.25">
      <c r="A680" s="321" t="str">
        <f t="shared" si="21"/>
        <v>II.2.3.062</v>
      </c>
      <c r="B680" s="321">
        <v>2</v>
      </c>
      <c r="C680" s="320" t="str">
        <f>IFERROR(VLOOKUP(A680,[3]DOORSCRIEFT!$A$2:$G$6834,2,FALSE),"")</f>
        <v/>
      </c>
      <c r="D680" s="481" t="str">
        <f>IFERROR(VLOOKUP(A680,[3]DOORSCRIEFT!$A$2:$G$6834,3,FALSE),"")</f>
        <v/>
      </c>
      <c r="E680" s="480" t="str">
        <f>IFERROR(VLOOKUP(A680,[3]DOORSCRIEFT!$A$2:$G$6834,4,FALSE),"")</f>
        <v/>
      </c>
      <c r="F680" s="405" t="str">
        <f>IFERROR(VLOOKUP(A680,[3]DOORSCRIEFT!$A$2:$G$6834,7,FALSE),"")</f>
        <v/>
      </c>
      <c r="G680" s="315"/>
    </row>
    <row r="681" spans="1:7" x14ac:dyDescent="0.25">
      <c r="A681" s="321" t="str">
        <f t="shared" si="21"/>
        <v>II.2.3.063</v>
      </c>
      <c r="B681" s="321">
        <v>3</v>
      </c>
      <c r="C681" s="320" t="str">
        <f>IFERROR(VLOOKUP(A681,[3]DOORSCRIEFT!$A$2:$G$6834,2,FALSE),"")</f>
        <v/>
      </c>
      <c r="D681" s="481" t="str">
        <f>IFERROR(VLOOKUP(A681,[3]DOORSCRIEFT!$A$2:$G$6834,3,FALSE),"")</f>
        <v/>
      </c>
      <c r="E681" s="480" t="str">
        <f>IFERROR(VLOOKUP(A681,[3]DOORSCRIEFT!$A$2:$G$6834,4,FALSE),"")</f>
        <v/>
      </c>
      <c r="F681" s="405" t="str">
        <f>IFERROR(VLOOKUP(A681,[3]DOORSCRIEFT!$A$2:$G$6834,7,FALSE),"")</f>
        <v/>
      </c>
      <c r="G681" s="315"/>
    </row>
    <row r="682" spans="1:7" x14ac:dyDescent="0.25">
      <c r="A682" s="321" t="str">
        <f t="shared" si="21"/>
        <v>II.2.3.064</v>
      </c>
      <c r="B682" s="321">
        <v>4</v>
      </c>
      <c r="C682" s="320" t="str">
        <f>IFERROR(VLOOKUP(A682,[3]DOORSCRIEFT!$A$2:$G$6834,2,FALSE),"")</f>
        <v/>
      </c>
      <c r="D682" s="481" t="str">
        <f>IFERROR(VLOOKUP(A682,[3]DOORSCRIEFT!$A$2:$G$6834,3,FALSE),"")</f>
        <v/>
      </c>
      <c r="E682" s="480" t="str">
        <f>IFERROR(VLOOKUP(A682,[3]DOORSCRIEFT!$A$2:$G$6834,4,FALSE),"")</f>
        <v/>
      </c>
      <c r="F682" s="405" t="str">
        <f>IFERROR(VLOOKUP(A682,[3]DOORSCRIEFT!$A$2:$G$6834,7,FALSE),"")</f>
        <v/>
      </c>
      <c r="G682" s="315"/>
    </row>
    <row r="683" spans="1:7" x14ac:dyDescent="0.25">
      <c r="A683" s="321" t="str">
        <f t="shared" si="21"/>
        <v>II.2.3.065</v>
      </c>
      <c r="B683" s="321">
        <v>5</v>
      </c>
      <c r="C683" s="320" t="str">
        <f>IFERROR(VLOOKUP(A683,[3]DOORSCRIEFT!$A$2:$G$6834,2,FALSE),"")</f>
        <v/>
      </c>
      <c r="D683" s="481" t="str">
        <f>IFERROR(VLOOKUP(A683,[3]DOORSCRIEFT!$A$2:$G$6834,3,FALSE),"")</f>
        <v/>
      </c>
      <c r="E683" s="480" t="str">
        <f>IFERROR(VLOOKUP(A683,[3]DOORSCRIEFT!$A$2:$G$6834,4,FALSE),"")</f>
        <v/>
      </c>
      <c r="F683" s="405" t="str">
        <f>IFERROR(VLOOKUP(A683,[3]DOORSCRIEFT!$A$2:$G$6834,7,FALSE),"")</f>
        <v/>
      </c>
      <c r="G683" s="315"/>
    </row>
    <row r="684" spans="1:7" x14ac:dyDescent="0.25">
      <c r="A684" s="321" t="str">
        <f t="shared" si="21"/>
        <v>II.2.3.066</v>
      </c>
      <c r="B684" s="321">
        <v>6</v>
      </c>
      <c r="C684" s="320" t="str">
        <f>IFERROR(VLOOKUP(A684,[3]DOORSCRIEFT!$A$2:$G$6834,2,FALSE),"")</f>
        <v/>
      </c>
      <c r="D684" s="481" t="str">
        <f>IFERROR(VLOOKUP(A684,[3]DOORSCRIEFT!$A$2:$G$6834,3,FALSE),"")</f>
        <v/>
      </c>
      <c r="E684" s="480" t="str">
        <f>IFERROR(VLOOKUP(A684,[3]DOORSCRIEFT!$A$2:$G$6834,4,FALSE),"")</f>
        <v/>
      </c>
      <c r="F684" s="405" t="str">
        <f>IFERROR(VLOOKUP(A684,[3]DOORSCRIEFT!$A$2:$G$6834,7,FALSE),"")</f>
        <v/>
      </c>
      <c r="G684" s="315"/>
    </row>
    <row r="685" spans="1:7" x14ac:dyDescent="0.25">
      <c r="A685" s="321" t="str">
        <f t="shared" si="21"/>
        <v>II.2.3.067</v>
      </c>
      <c r="B685" s="321">
        <v>7</v>
      </c>
      <c r="C685" s="320" t="str">
        <f>IFERROR(VLOOKUP(A685,[3]DOORSCRIEFT!$A$2:$G$6834,2,FALSE),"")</f>
        <v/>
      </c>
      <c r="D685" s="481" t="str">
        <f>IFERROR(VLOOKUP(A685,[3]DOORSCRIEFT!$A$2:$G$6834,3,FALSE),"")</f>
        <v/>
      </c>
      <c r="E685" s="480" t="str">
        <f>IFERROR(VLOOKUP(A685,[3]DOORSCRIEFT!$A$2:$G$6834,4,FALSE),"")</f>
        <v/>
      </c>
      <c r="F685" s="405" t="str">
        <f>IFERROR(VLOOKUP(A685,[3]DOORSCRIEFT!$A$2:$G$6834,7,FALSE),"")</f>
        <v/>
      </c>
      <c r="G685" s="315"/>
    </row>
    <row r="686" spans="1:7" x14ac:dyDescent="0.25">
      <c r="A686" s="321" t="str">
        <f t="shared" si="21"/>
        <v>II.2.3.068</v>
      </c>
      <c r="B686" s="321">
        <v>8</v>
      </c>
      <c r="C686" s="320" t="str">
        <f>IFERROR(VLOOKUP(A686,[3]DOORSCRIEFT!$A$2:$G$6834,2,FALSE),"")</f>
        <v/>
      </c>
      <c r="D686" s="481" t="str">
        <f>IFERROR(VLOOKUP(A686,[3]DOORSCRIEFT!$A$2:$G$6834,3,FALSE),"")</f>
        <v/>
      </c>
      <c r="E686" s="480" t="str">
        <f>IFERROR(VLOOKUP(A686,[3]DOORSCRIEFT!$A$2:$G$6834,4,FALSE),"")</f>
        <v/>
      </c>
      <c r="F686" s="405" t="str">
        <f>IFERROR(VLOOKUP(A686,[3]DOORSCRIEFT!$A$2:$G$6834,7,FALSE),"")</f>
        <v/>
      </c>
      <c r="G686" s="315"/>
    </row>
    <row r="687" spans="1:7" x14ac:dyDescent="0.25">
      <c r="A687" s="321" t="str">
        <f t="shared" si="21"/>
        <v>II.2.3.069</v>
      </c>
      <c r="B687" s="321">
        <v>9</v>
      </c>
      <c r="C687" s="320" t="str">
        <f>IFERROR(VLOOKUP(A687,[3]DOORSCRIEFT!$A$2:$G$6834,2,FALSE),"")</f>
        <v/>
      </c>
      <c r="D687" s="481" t="str">
        <f>IFERROR(VLOOKUP(A687,[3]DOORSCRIEFT!$A$2:$G$6834,3,FALSE),"")</f>
        <v/>
      </c>
      <c r="E687" s="480" t="str">
        <f>IFERROR(VLOOKUP(A687,[3]DOORSCRIEFT!$A$2:$G$6834,4,FALSE),"")</f>
        <v/>
      </c>
      <c r="F687" s="405" t="str">
        <f>IFERROR(VLOOKUP(A687,[3]DOORSCRIEFT!$A$2:$G$6834,7,FALSE),"")</f>
        <v/>
      </c>
      <c r="G687" s="315"/>
    </row>
    <row r="688" spans="1:7" x14ac:dyDescent="0.25">
      <c r="A688" s="321" t="str">
        <f t="shared" si="21"/>
        <v>II.2.3.0610</v>
      </c>
      <c r="B688" s="321">
        <v>10</v>
      </c>
      <c r="C688" s="320" t="str">
        <f>IFERROR(VLOOKUP(A688,[3]DOORSCRIEFT!$A$2:$G$6834,2,FALSE),"")</f>
        <v/>
      </c>
      <c r="D688" s="481" t="str">
        <f>IFERROR(VLOOKUP(A688,[3]DOORSCRIEFT!$A$2:$G$6834,3,FALSE),"")</f>
        <v/>
      </c>
      <c r="E688" s="480" t="str">
        <f>IFERROR(VLOOKUP(A688,[3]DOORSCRIEFT!$A$2:$G$6834,4,FALSE),"")</f>
        <v/>
      </c>
      <c r="F688" s="405" t="str">
        <f>IFERROR(VLOOKUP(A688,[3]DOORSCRIEFT!$A$2:$G$6834,7,FALSE),"")</f>
        <v/>
      </c>
      <c r="G688" s="315"/>
    </row>
    <row r="689" spans="1:7" x14ac:dyDescent="0.25">
      <c r="A689" s="321" t="str">
        <f t="shared" si="21"/>
        <v>II.2.3.0611</v>
      </c>
      <c r="B689" s="321">
        <v>11</v>
      </c>
      <c r="C689" s="320" t="str">
        <f>IFERROR(VLOOKUP(A689,[3]DOORSCRIEFT!$A$2:$G$6834,2,FALSE),"")</f>
        <v/>
      </c>
      <c r="D689" s="481" t="str">
        <f>IFERROR(VLOOKUP(A689,[3]DOORSCRIEFT!$A$2:$G$6834,3,FALSE),"")</f>
        <v/>
      </c>
      <c r="E689" s="480" t="str">
        <f>IFERROR(VLOOKUP(A689,[3]DOORSCRIEFT!$A$2:$G$6834,4,FALSE),"")</f>
        <v/>
      </c>
      <c r="F689" s="405" t="str">
        <f>IFERROR(VLOOKUP(A689,[3]DOORSCRIEFT!$A$2:$G$6834,7,FALSE),"")</f>
        <v/>
      </c>
      <c r="G689" s="315"/>
    </row>
    <row r="690" spans="1:7" x14ac:dyDescent="0.25">
      <c r="A690" s="321" t="str">
        <f t="shared" si="21"/>
        <v>II.2.3.0612</v>
      </c>
      <c r="B690" s="321">
        <v>12</v>
      </c>
      <c r="C690" s="320" t="str">
        <f>IFERROR(VLOOKUP(A690,[3]DOORSCRIEFT!$A$2:$G$6834,2,FALSE),"")</f>
        <v/>
      </c>
      <c r="D690" s="481" t="str">
        <f>IFERROR(VLOOKUP(A690,[3]DOORSCRIEFT!$A$2:$G$6834,3,FALSE),"")</f>
        <v/>
      </c>
      <c r="E690" s="480" t="str">
        <f>IFERROR(VLOOKUP(A690,[3]DOORSCRIEFT!$A$2:$G$6834,4,FALSE),"")</f>
        <v/>
      </c>
      <c r="F690" s="405" t="str">
        <f>IFERROR(VLOOKUP(A690,[3]DOORSCRIEFT!$A$2:$G$6834,7,FALSE),"")</f>
        <v/>
      </c>
      <c r="G690" s="315"/>
    </row>
    <row r="691" spans="1:7" x14ac:dyDescent="0.25">
      <c r="A691" s="321" t="str">
        <f t="shared" si="21"/>
        <v>II.2.3.0613</v>
      </c>
      <c r="B691" s="321">
        <v>13</v>
      </c>
      <c r="C691" s="320" t="str">
        <f>IFERROR(VLOOKUP(A691,[3]DOORSCRIEFT!$A$2:$G$6834,2,FALSE),"")</f>
        <v/>
      </c>
      <c r="D691" s="481" t="str">
        <f>IFERROR(VLOOKUP(A691,[3]DOORSCRIEFT!$A$2:$G$6834,3,FALSE),"")</f>
        <v/>
      </c>
      <c r="E691" s="480" t="str">
        <f>IFERROR(VLOOKUP(A691,[3]DOORSCRIEFT!$A$2:$G$6834,4,FALSE),"")</f>
        <v/>
      </c>
      <c r="F691" s="405" t="str">
        <f>IFERROR(VLOOKUP(A691,[3]DOORSCRIEFT!$A$2:$G$6834,7,FALSE),"")</f>
        <v/>
      </c>
      <c r="G691" s="315"/>
    </row>
    <row r="692" spans="1:7" x14ac:dyDescent="0.25">
      <c r="A692" s="321" t="str">
        <f t="shared" si="21"/>
        <v>II.2.3.0614</v>
      </c>
      <c r="B692" s="321">
        <v>14</v>
      </c>
      <c r="C692" s="320" t="str">
        <f>IFERROR(VLOOKUP(A692,[3]DOORSCRIEFT!$A$2:$G$6834,2,FALSE),"")</f>
        <v/>
      </c>
      <c r="D692" s="481" t="str">
        <f>IFERROR(VLOOKUP(A692,[3]DOORSCRIEFT!$A$2:$G$6834,3,FALSE),"")</f>
        <v/>
      </c>
      <c r="E692" s="480" t="str">
        <f>IFERROR(VLOOKUP(A692,[3]DOORSCRIEFT!$A$2:$G$6834,4,FALSE),"")</f>
        <v/>
      </c>
      <c r="F692" s="405" t="str">
        <f>IFERROR(VLOOKUP(A692,[3]DOORSCRIEFT!$A$2:$G$6834,7,FALSE),"")</f>
        <v/>
      </c>
      <c r="G692" s="315"/>
    </row>
    <row r="693" spans="1:7" ht="15.75" thickBot="1" x14ac:dyDescent="0.3">
      <c r="A693" s="342" t="str">
        <f t="shared" si="21"/>
        <v>II.2.3.0615</v>
      </c>
      <c r="B693" s="342">
        <v>15</v>
      </c>
      <c r="C693" s="320" t="str">
        <f>IFERROR(VLOOKUP(A693,[3]DOORSCRIEFT!$A$2:$G$6834,2,FALSE),"")</f>
        <v/>
      </c>
      <c r="D693" s="481" t="str">
        <f>IFERROR(VLOOKUP(A693,[3]DOORSCRIEFT!$A$2:$G$6834,3,FALSE),"")</f>
        <v/>
      </c>
      <c r="E693" s="480" t="str">
        <f>IFERROR(VLOOKUP(A693,[3]DOORSCRIEFT!$A$2:$G$6834,4,FALSE),"")</f>
        <v/>
      </c>
      <c r="F693" s="405" t="str">
        <f>IFERROR(VLOOKUP(A693,[3]DOORSCRIEFT!$A$2:$G$6834,7,FALSE),"")</f>
        <v/>
      </c>
      <c r="G693" s="315"/>
    </row>
    <row r="694" spans="1:7" ht="15.75" thickBot="1" x14ac:dyDescent="0.3">
      <c r="A694" s="341"/>
      <c r="B694" s="340"/>
      <c r="C694" s="336"/>
      <c r="D694" s="486"/>
      <c r="E694" s="340" t="s">
        <v>644</v>
      </c>
      <c r="F694" s="310">
        <f>SUM(F679:F693)</f>
        <v>0</v>
      </c>
      <c r="G694" s="309">
        <f>SUM(G679:G693)</f>
        <v>0</v>
      </c>
    </row>
    <row r="695" spans="1:7" x14ac:dyDescent="0.25">
      <c r="C695" s="335"/>
      <c r="D695" s="485"/>
    </row>
    <row r="696" spans="1:7" x14ac:dyDescent="0.25">
      <c r="C696" s="335"/>
      <c r="D696" s="485"/>
    </row>
    <row r="697" spans="1:7" ht="15.75" x14ac:dyDescent="0.25">
      <c r="C697" s="334" t="s">
        <v>663</v>
      </c>
      <c r="D697" s="484"/>
      <c r="E697" s="333"/>
      <c r="F697" s="327" t="s">
        <v>607</v>
      </c>
      <c r="G697" s="327" t="s">
        <v>226</v>
      </c>
    </row>
    <row r="698" spans="1:7" ht="15.75" x14ac:dyDescent="0.25">
      <c r="C698" s="334"/>
      <c r="D698" s="484"/>
      <c r="E698" s="333"/>
      <c r="F698" s="327" t="s">
        <v>601</v>
      </c>
      <c r="G698" s="327" t="s">
        <v>225</v>
      </c>
    </row>
    <row r="699" spans="1:7" x14ac:dyDescent="0.25">
      <c r="C699" s="330"/>
      <c r="D699" s="482"/>
      <c r="E699" s="329"/>
      <c r="F699" s="327" t="s">
        <v>651</v>
      </c>
      <c r="G699" s="331">
        <f>[2]Sheet1!$D$265</f>
        <v>1520000</v>
      </c>
    </row>
    <row r="700" spans="1:7" ht="15.75" thickBot="1" x14ac:dyDescent="0.3">
      <c r="C700" s="330"/>
      <c r="D700" s="482"/>
      <c r="E700" s="329"/>
      <c r="F700" s="327" t="s">
        <v>650</v>
      </c>
      <c r="G700" s="326">
        <f>+F719-G699</f>
        <v>-1520000</v>
      </c>
    </row>
    <row r="701" spans="1:7" x14ac:dyDescent="0.25">
      <c r="A701" s="571" t="s">
        <v>655</v>
      </c>
      <c r="B701" s="573" t="s">
        <v>606</v>
      </c>
      <c r="C701" s="588" t="s">
        <v>649</v>
      </c>
      <c r="D701" s="599" t="s">
        <v>648</v>
      </c>
      <c r="E701" s="577" t="s">
        <v>647</v>
      </c>
      <c r="F701" s="577" t="s">
        <v>646</v>
      </c>
      <c r="G701" s="580" t="s">
        <v>645</v>
      </c>
    </row>
    <row r="702" spans="1:7" ht="15.75" thickBot="1" x14ac:dyDescent="0.3">
      <c r="A702" s="572"/>
      <c r="B702" s="574"/>
      <c r="C702" s="589"/>
      <c r="D702" s="600"/>
      <c r="E702" s="578"/>
      <c r="F702" s="578"/>
      <c r="G702" s="581"/>
    </row>
    <row r="703" spans="1:7" ht="15.75" thickBot="1" x14ac:dyDescent="0.3">
      <c r="A703" s="425">
        <v>1</v>
      </c>
      <c r="B703" s="425">
        <v>2</v>
      </c>
      <c r="C703" s="425">
        <v>3</v>
      </c>
      <c r="D703" s="425">
        <v>4</v>
      </c>
      <c r="E703" s="425">
        <v>5</v>
      </c>
      <c r="F703" s="425">
        <v>6</v>
      </c>
      <c r="G703" s="425">
        <v>7</v>
      </c>
    </row>
    <row r="704" spans="1:7" x14ac:dyDescent="0.25">
      <c r="A704" s="320" t="str">
        <f t="shared" ref="A704:A718" si="22">$G$697&amp;B704</f>
        <v>II.2.3.071</v>
      </c>
      <c r="B704" s="320">
        <v>1</v>
      </c>
      <c r="C704" s="339" t="str">
        <f>IFERROR(VLOOKUP(A704,[3]DOORSCRIEFT!$A$2:$G$6834,2,FALSE),"")</f>
        <v/>
      </c>
      <c r="D704" s="481" t="str">
        <f>IFERROR(VLOOKUP(A704,[3]DOORSCRIEFT!$A$2:$G$6834,3,FALSE),"")</f>
        <v/>
      </c>
      <c r="E704" s="480" t="str">
        <f>IFERROR(VLOOKUP(A704,[3]DOORSCRIEFT!$A$2:$G$6834,4,FALSE),"")</f>
        <v/>
      </c>
      <c r="F704" s="405" t="str">
        <f>IFERROR(VLOOKUP(A704,[3]DOORSCRIEFT!$A$2:$G$6834,7,FALSE),"")</f>
        <v/>
      </c>
      <c r="G704" s="322"/>
    </row>
    <row r="705" spans="1:7" x14ac:dyDescent="0.25">
      <c r="A705" s="321" t="str">
        <f t="shared" si="22"/>
        <v>II.2.3.072</v>
      </c>
      <c r="B705" s="321">
        <v>2</v>
      </c>
      <c r="C705" s="339" t="str">
        <f>IFERROR(VLOOKUP(A705,[3]DOORSCRIEFT!$A$2:$G$6834,2,FALSE),"")</f>
        <v/>
      </c>
      <c r="D705" s="481" t="str">
        <f>IFERROR(VLOOKUP(A705,[3]DOORSCRIEFT!$A$2:$G$6834,3,FALSE),"")</f>
        <v/>
      </c>
      <c r="E705" s="480" t="str">
        <f>IFERROR(VLOOKUP(A705,[3]DOORSCRIEFT!$A$2:$G$6834,4,FALSE),"")</f>
        <v/>
      </c>
      <c r="F705" s="405" t="str">
        <f>IFERROR(VLOOKUP(A705,[3]DOORSCRIEFT!$A$2:$G$6834,7,FALSE),"")</f>
        <v/>
      </c>
      <c r="G705" s="315"/>
    </row>
    <row r="706" spans="1:7" x14ac:dyDescent="0.25">
      <c r="A706" s="321" t="str">
        <f t="shared" si="22"/>
        <v>II.2.3.073</v>
      </c>
      <c r="B706" s="321">
        <v>3</v>
      </c>
      <c r="C706" s="339" t="str">
        <f>IFERROR(VLOOKUP(A706,[3]DOORSCRIEFT!$A$2:$G$6834,2,FALSE),"")</f>
        <v/>
      </c>
      <c r="D706" s="481" t="str">
        <f>IFERROR(VLOOKUP(A706,[3]DOORSCRIEFT!$A$2:$G$6834,3,FALSE),"")</f>
        <v/>
      </c>
      <c r="E706" s="480" t="str">
        <f>IFERROR(VLOOKUP(A706,[3]DOORSCRIEFT!$A$2:$G$6834,4,FALSE),"")</f>
        <v/>
      </c>
      <c r="F706" s="405" t="str">
        <f>IFERROR(VLOOKUP(A706,[3]DOORSCRIEFT!$A$2:$G$6834,7,FALSE),"")</f>
        <v/>
      </c>
      <c r="G706" s="315"/>
    </row>
    <row r="707" spans="1:7" x14ac:dyDescent="0.25">
      <c r="A707" s="321" t="str">
        <f t="shared" si="22"/>
        <v>II.2.3.074</v>
      </c>
      <c r="B707" s="321">
        <v>4</v>
      </c>
      <c r="C707" s="339" t="str">
        <f>IFERROR(VLOOKUP(A707,[3]DOORSCRIEFT!$A$2:$G$6834,2,FALSE),"")</f>
        <v/>
      </c>
      <c r="D707" s="481" t="str">
        <f>IFERROR(VLOOKUP(A707,[3]DOORSCRIEFT!$A$2:$G$6834,3,FALSE),"")</f>
        <v/>
      </c>
      <c r="E707" s="480" t="str">
        <f>IFERROR(VLOOKUP(A707,[3]DOORSCRIEFT!$A$2:$G$6834,4,FALSE),"")</f>
        <v/>
      </c>
      <c r="F707" s="405" t="str">
        <f>IFERROR(VLOOKUP(A707,[3]DOORSCRIEFT!$A$2:$G$6834,7,FALSE),"")</f>
        <v/>
      </c>
      <c r="G707" s="315"/>
    </row>
    <row r="708" spans="1:7" x14ac:dyDescent="0.25">
      <c r="A708" s="321" t="str">
        <f t="shared" si="22"/>
        <v>II.2.3.075</v>
      </c>
      <c r="B708" s="321">
        <v>5</v>
      </c>
      <c r="C708" s="339" t="str">
        <f>IFERROR(VLOOKUP(A708,[3]DOORSCRIEFT!$A$2:$G$6834,2,FALSE),"")</f>
        <v/>
      </c>
      <c r="D708" s="481" t="str">
        <f>IFERROR(VLOOKUP(A708,[3]DOORSCRIEFT!$A$2:$G$6834,3,FALSE),"")</f>
        <v/>
      </c>
      <c r="E708" s="480" t="str">
        <f>IFERROR(VLOOKUP(A708,[3]DOORSCRIEFT!$A$2:$G$6834,4,FALSE),"")</f>
        <v/>
      </c>
      <c r="F708" s="405" t="str">
        <f>IFERROR(VLOOKUP(A708,[3]DOORSCRIEFT!$A$2:$G$6834,7,FALSE),"")</f>
        <v/>
      </c>
      <c r="G708" s="315"/>
    </row>
    <row r="709" spans="1:7" x14ac:dyDescent="0.25">
      <c r="A709" s="321" t="str">
        <f t="shared" si="22"/>
        <v>II.2.3.076</v>
      </c>
      <c r="B709" s="321">
        <v>6</v>
      </c>
      <c r="C709" s="339" t="str">
        <f>IFERROR(VLOOKUP(A709,[3]DOORSCRIEFT!$A$2:$G$6834,2,FALSE),"")</f>
        <v/>
      </c>
      <c r="D709" s="481" t="str">
        <f>IFERROR(VLOOKUP(A709,[3]DOORSCRIEFT!$A$2:$G$6834,3,FALSE),"")</f>
        <v/>
      </c>
      <c r="E709" s="480" t="str">
        <f>IFERROR(VLOOKUP(A709,[3]DOORSCRIEFT!$A$2:$G$6834,4,FALSE),"")</f>
        <v/>
      </c>
      <c r="F709" s="405" t="str">
        <f>IFERROR(VLOOKUP(A709,[3]DOORSCRIEFT!$A$2:$G$6834,7,FALSE),"")</f>
        <v/>
      </c>
      <c r="G709" s="315"/>
    </row>
    <row r="710" spans="1:7" x14ac:dyDescent="0.25">
      <c r="A710" s="321" t="str">
        <f t="shared" si="22"/>
        <v>II.2.3.077</v>
      </c>
      <c r="B710" s="321">
        <v>7</v>
      </c>
      <c r="C710" s="339" t="str">
        <f>IFERROR(VLOOKUP(A710,[3]DOORSCRIEFT!$A$2:$G$6834,2,FALSE),"")</f>
        <v/>
      </c>
      <c r="D710" s="481" t="str">
        <f>IFERROR(VLOOKUP(A710,[3]DOORSCRIEFT!$A$2:$G$6834,3,FALSE),"")</f>
        <v/>
      </c>
      <c r="E710" s="480" t="str">
        <f>IFERROR(VLOOKUP(A710,[3]DOORSCRIEFT!$A$2:$G$6834,4,FALSE),"")</f>
        <v/>
      </c>
      <c r="F710" s="405" t="str">
        <f>IFERROR(VLOOKUP(A710,[3]DOORSCRIEFT!$A$2:$G$6834,7,FALSE),"")</f>
        <v/>
      </c>
      <c r="G710" s="315"/>
    </row>
    <row r="711" spans="1:7" x14ac:dyDescent="0.25">
      <c r="A711" s="321" t="str">
        <f t="shared" si="22"/>
        <v>II.2.3.078</v>
      </c>
      <c r="B711" s="321">
        <v>8</v>
      </c>
      <c r="C711" s="339" t="str">
        <f>IFERROR(VLOOKUP(A711,[3]DOORSCRIEFT!$A$2:$G$6834,2,FALSE),"")</f>
        <v/>
      </c>
      <c r="D711" s="481" t="str">
        <f>IFERROR(VLOOKUP(A711,[3]DOORSCRIEFT!$A$2:$G$6834,3,FALSE),"")</f>
        <v/>
      </c>
      <c r="E711" s="480" t="str">
        <f>IFERROR(VLOOKUP(A711,[3]DOORSCRIEFT!$A$2:$G$6834,4,FALSE),"")</f>
        <v/>
      </c>
      <c r="F711" s="405" t="str">
        <f>IFERROR(VLOOKUP(A711,[3]DOORSCRIEFT!$A$2:$G$6834,7,FALSE),"")</f>
        <v/>
      </c>
      <c r="G711" s="315"/>
    </row>
    <row r="712" spans="1:7" x14ac:dyDescent="0.25">
      <c r="A712" s="321" t="str">
        <f t="shared" si="22"/>
        <v>II.2.3.079</v>
      </c>
      <c r="B712" s="321">
        <v>9</v>
      </c>
      <c r="C712" s="339" t="str">
        <f>IFERROR(VLOOKUP(A712,[3]DOORSCRIEFT!$A$2:$G$6834,2,FALSE),"")</f>
        <v/>
      </c>
      <c r="D712" s="481" t="str">
        <f>IFERROR(VLOOKUP(A712,[3]DOORSCRIEFT!$A$2:$G$6834,3,FALSE),"")</f>
        <v/>
      </c>
      <c r="E712" s="480" t="str">
        <f>IFERROR(VLOOKUP(A712,[3]DOORSCRIEFT!$A$2:$G$6834,4,FALSE),"")</f>
        <v/>
      </c>
      <c r="F712" s="405" t="str">
        <f>IFERROR(VLOOKUP(A712,[3]DOORSCRIEFT!$A$2:$G$6834,7,FALSE),"")</f>
        <v/>
      </c>
      <c r="G712" s="315"/>
    </row>
    <row r="713" spans="1:7" x14ac:dyDescent="0.25">
      <c r="A713" s="321" t="str">
        <f t="shared" si="22"/>
        <v>II.2.3.0710</v>
      </c>
      <c r="B713" s="321">
        <v>10</v>
      </c>
      <c r="C713" s="339" t="str">
        <f>IFERROR(VLOOKUP(A713,[3]DOORSCRIEFT!$A$2:$G$6834,2,FALSE),"")</f>
        <v/>
      </c>
      <c r="D713" s="481" t="str">
        <f>IFERROR(VLOOKUP(A713,[3]DOORSCRIEFT!$A$2:$G$6834,3,FALSE),"")</f>
        <v/>
      </c>
      <c r="E713" s="480" t="str">
        <f>IFERROR(VLOOKUP(A713,[3]DOORSCRIEFT!$A$2:$G$6834,4,FALSE),"")</f>
        <v/>
      </c>
      <c r="F713" s="405" t="str">
        <f>IFERROR(VLOOKUP(A713,[3]DOORSCRIEFT!$A$2:$G$6834,7,FALSE),"")</f>
        <v/>
      </c>
      <c r="G713" s="315"/>
    </row>
    <row r="714" spans="1:7" x14ac:dyDescent="0.25">
      <c r="A714" s="321" t="str">
        <f t="shared" si="22"/>
        <v>II.2.3.0711</v>
      </c>
      <c r="B714" s="321">
        <v>11</v>
      </c>
      <c r="C714" s="339" t="str">
        <f>IFERROR(VLOOKUP(A714,[3]DOORSCRIEFT!$A$2:$G$6834,2,FALSE),"")</f>
        <v/>
      </c>
      <c r="D714" s="481" t="str">
        <f>IFERROR(VLOOKUP(A714,[3]DOORSCRIEFT!$A$2:$G$6834,3,FALSE),"")</f>
        <v/>
      </c>
      <c r="E714" s="480" t="str">
        <f>IFERROR(VLOOKUP(A714,[3]DOORSCRIEFT!$A$2:$G$6834,4,FALSE),"")</f>
        <v/>
      </c>
      <c r="F714" s="405" t="str">
        <f>IFERROR(VLOOKUP(A714,[3]DOORSCRIEFT!$A$2:$G$6834,7,FALSE),"")</f>
        <v/>
      </c>
      <c r="G714" s="315"/>
    </row>
    <row r="715" spans="1:7" x14ac:dyDescent="0.25">
      <c r="A715" s="321" t="str">
        <f t="shared" si="22"/>
        <v>II.2.3.0712</v>
      </c>
      <c r="B715" s="321">
        <v>12</v>
      </c>
      <c r="C715" s="339" t="str">
        <f>IFERROR(VLOOKUP(A715,[3]DOORSCRIEFT!$A$2:$G$6834,2,FALSE),"")</f>
        <v/>
      </c>
      <c r="D715" s="481" t="str">
        <f>IFERROR(VLOOKUP(A715,[3]DOORSCRIEFT!$A$2:$G$6834,3,FALSE),"")</f>
        <v/>
      </c>
      <c r="E715" s="480" t="str">
        <f>IFERROR(VLOOKUP(A715,[3]DOORSCRIEFT!$A$2:$G$6834,4,FALSE),"")</f>
        <v/>
      </c>
      <c r="F715" s="405" t="str">
        <f>IFERROR(VLOOKUP(A715,[3]DOORSCRIEFT!$A$2:$G$6834,7,FALSE),"")</f>
        <v/>
      </c>
      <c r="G715" s="315"/>
    </row>
    <row r="716" spans="1:7" x14ac:dyDescent="0.25">
      <c r="A716" s="321" t="str">
        <f t="shared" si="22"/>
        <v>II.2.3.0713</v>
      </c>
      <c r="B716" s="321">
        <v>13</v>
      </c>
      <c r="C716" s="339" t="str">
        <f>IFERROR(VLOOKUP(A716,[3]DOORSCRIEFT!$A$2:$G$6834,2,FALSE),"")</f>
        <v/>
      </c>
      <c r="D716" s="481" t="str">
        <f>IFERROR(VLOOKUP(A716,[3]DOORSCRIEFT!$A$2:$G$6834,3,FALSE),"")</f>
        <v/>
      </c>
      <c r="E716" s="480" t="str">
        <f>IFERROR(VLOOKUP(A716,[3]DOORSCRIEFT!$A$2:$G$6834,4,FALSE),"")</f>
        <v/>
      </c>
      <c r="F716" s="405" t="str">
        <f>IFERROR(VLOOKUP(A716,[3]DOORSCRIEFT!$A$2:$G$6834,7,FALSE),"")</f>
        <v/>
      </c>
      <c r="G716" s="315"/>
    </row>
    <row r="717" spans="1:7" x14ac:dyDescent="0.25">
      <c r="A717" s="321" t="str">
        <f t="shared" si="22"/>
        <v>II.2.3.0714</v>
      </c>
      <c r="B717" s="321">
        <v>14</v>
      </c>
      <c r="C717" s="339" t="str">
        <f>IFERROR(VLOOKUP(A717,[3]DOORSCRIEFT!$A$2:$G$6834,2,FALSE),"")</f>
        <v/>
      </c>
      <c r="D717" s="481" t="str">
        <f>IFERROR(VLOOKUP(A717,[3]DOORSCRIEFT!$A$2:$G$6834,3,FALSE),"")</f>
        <v/>
      </c>
      <c r="E717" s="480" t="str">
        <f>IFERROR(VLOOKUP(A717,[3]DOORSCRIEFT!$A$2:$G$6834,4,FALSE),"")</f>
        <v/>
      </c>
      <c r="F717" s="405" t="str">
        <f>IFERROR(VLOOKUP(A717,[3]DOORSCRIEFT!$A$2:$G$6834,7,FALSE),"")</f>
        <v/>
      </c>
      <c r="G717" s="315"/>
    </row>
    <row r="718" spans="1:7" ht="15.75" thickBot="1" x14ac:dyDescent="0.3">
      <c r="A718" s="342" t="str">
        <f t="shared" si="22"/>
        <v>II.2.3.0715</v>
      </c>
      <c r="B718" s="342">
        <v>15</v>
      </c>
      <c r="C718" s="339" t="str">
        <f>IFERROR(VLOOKUP(A718,[3]DOORSCRIEFT!$A$2:$G$6834,2,FALSE),"")</f>
        <v/>
      </c>
      <c r="D718" s="481" t="str">
        <f>IFERROR(VLOOKUP(A718,[3]DOORSCRIEFT!$A$2:$G$6834,3,FALSE),"")</f>
        <v/>
      </c>
      <c r="E718" s="480" t="str">
        <f>IFERROR(VLOOKUP(A718,[3]DOORSCRIEFT!$A$2:$G$6834,4,FALSE),"")</f>
        <v/>
      </c>
      <c r="F718" s="405" t="str">
        <f>IFERROR(VLOOKUP(A718,[3]DOORSCRIEFT!$A$2:$G$6834,7,FALSE),"")</f>
        <v/>
      </c>
      <c r="G718" s="315"/>
    </row>
    <row r="719" spans="1:7" ht="15.75" thickBot="1" x14ac:dyDescent="0.3">
      <c r="A719" s="341"/>
      <c r="B719" s="340"/>
      <c r="C719" s="336"/>
      <c r="D719" s="486"/>
      <c r="E719" s="340" t="s">
        <v>644</v>
      </c>
      <c r="F719" s="310">
        <f>SUM(F704:F718)</f>
        <v>0</v>
      </c>
      <c r="G719" s="309">
        <f>SUM(G704:G718)</f>
        <v>0</v>
      </c>
    </row>
    <row r="720" spans="1:7" x14ac:dyDescent="0.25">
      <c r="C720" s="335"/>
      <c r="D720" s="485"/>
    </row>
    <row r="721" spans="1:7" x14ac:dyDescent="0.25">
      <c r="C721" s="335"/>
      <c r="D721" s="485"/>
    </row>
    <row r="722" spans="1:7" ht="15.75" x14ac:dyDescent="0.25">
      <c r="C722" s="334" t="s">
        <v>663</v>
      </c>
      <c r="D722" s="484"/>
      <c r="E722" s="333"/>
      <c r="F722" s="327" t="s">
        <v>607</v>
      </c>
      <c r="G722" s="327" t="s">
        <v>221</v>
      </c>
    </row>
    <row r="723" spans="1:7" ht="15.75" x14ac:dyDescent="0.25">
      <c r="C723" s="334"/>
      <c r="D723" s="484"/>
      <c r="E723" s="333"/>
      <c r="F723" s="327" t="s">
        <v>601</v>
      </c>
      <c r="G723" s="327" t="s">
        <v>220</v>
      </c>
    </row>
    <row r="724" spans="1:7" x14ac:dyDescent="0.25">
      <c r="C724" s="330"/>
      <c r="D724" s="482"/>
      <c r="E724" s="329"/>
      <c r="F724" s="327" t="s">
        <v>651</v>
      </c>
      <c r="G724" s="331">
        <f>[2]Sheet1!$D$268</f>
        <v>52000000</v>
      </c>
    </row>
    <row r="725" spans="1:7" ht="15.75" thickBot="1" x14ac:dyDescent="0.3">
      <c r="C725" s="330"/>
      <c r="D725" s="482"/>
      <c r="E725" s="329"/>
      <c r="F725" s="327" t="s">
        <v>650</v>
      </c>
      <c r="G725" s="326">
        <f>+F754-G724</f>
        <v>-48400000</v>
      </c>
    </row>
    <row r="726" spans="1:7" x14ac:dyDescent="0.25">
      <c r="A726" s="571" t="s">
        <v>655</v>
      </c>
      <c r="B726" s="573" t="s">
        <v>606</v>
      </c>
      <c r="C726" s="588" t="s">
        <v>649</v>
      </c>
      <c r="D726" s="599" t="s">
        <v>648</v>
      </c>
      <c r="E726" s="577" t="s">
        <v>647</v>
      </c>
      <c r="F726" s="577" t="s">
        <v>646</v>
      </c>
      <c r="G726" s="580" t="s">
        <v>645</v>
      </c>
    </row>
    <row r="727" spans="1:7" ht="15.75" thickBot="1" x14ac:dyDescent="0.3">
      <c r="A727" s="572"/>
      <c r="B727" s="574"/>
      <c r="C727" s="589"/>
      <c r="D727" s="600"/>
      <c r="E727" s="578"/>
      <c r="F727" s="578"/>
      <c r="G727" s="581"/>
    </row>
    <row r="728" spans="1:7" ht="15.75" thickBot="1" x14ac:dyDescent="0.3">
      <c r="A728" s="425">
        <v>1</v>
      </c>
      <c r="B728" s="425">
        <v>2</v>
      </c>
      <c r="C728" s="425">
        <v>3</v>
      </c>
      <c r="D728" s="425">
        <v>4</v>
      </c>
      <c r="E728" s="425">
        <v>5</v>
      </c>
      <c r="F728" s="425">
        <v>6</v>
      </c>
      <c r="G728" s="425">
        <v>7</v>
      </c>
    </row>
    <row r="729" spans="1:7" x14ac:dyDescent="0.25">
      <c r="A729" s="320" t="str">
        <f t="shared" ref="A729:A753" si="23">$G$722&amp;B729</f>
        <v>II.2.4.011</v>
      </c>
      <c r="B729" s="320">
        <v>1</v>
      </c>
      <c r="C729" s="339">
        <f>IFERROR(VLOOKUP(A729,[3]DOORSCRIEFT!$A$2:$G$6834,2,FALSE),"")</f>
        <v>242</v>
      </c>
      <c r="D729" s="481">
        <f>IFERROR(VLOOKUP(A729,[3]DOORSCRIEFT!$A$2:$G$6834,3,FALSE),"")</f>
        <v>46075</v>
      </c>
      <c r="E729" s="480" t="str">
        <f>IFERROR(VLOOKUP(A729,[3]DOORSCRIEFT!$A$2:$G$6834,4,FALSE),"")</f>
        <v>Beli Kipas angin 2 buah untuk Gedung Serbaguna dan Transport</v>
      </c>
      <c r="F729" s="405">
        <f>IFERROR(VLOOKUP(A729,[3]DOORSCRIEFT!$A$2:$G$6834,7,FALSE),"")</f>
        <v>2700000</v>
      </c>
      <c r="G729" s="322"/>
    </row>
    <row r="730" spans="1:7" x14ac:dyDescent="0.25">
      <c r="A730" s="321" t="str">
        <f t="shared" si="23"/>
        <v>II.2.4.012</v>
      </c>
      <c r="B730" s="321">
        <v>2</v>
      </c>
      <c r="C730" s="339">
        <f>IFERROR(VLOOKUP(A730,[3]DOORSCRIEFT!$A$2:$G$6834,2,FALSE),"")</f>
        <v>412</v>
      </c>
      <c r="D730" s="481">
        <f>IFERROR(VLOOKUP(A730,[3]DOORSCRIEFT!$A$2:$G$6834,3,FALSE),"")</f>
        <v>46103</v>
      </c>
      <c r="E730" s="480" t="str">
        <f>IFERROR(VLOOKUP(A730,[3]DOORSCRIEFT!$A$2:$G$6834,4,FALSE),"")</f>
        <v>Beli Kabel HDMI</v>
      </c>
      <c r="F730" s="405">
        <f>IFERROR(VLOOKUP(A730,[3]DOORSCRIEFT!$A$2:$G$6834,7,FALSE),"")</f>
        <v>900000</v>
      </c>
      <c r="G730" s="315"/>
    </row>
    <row r="731" spans="1:7" x14ac:dyDescent="0.25">
      <c r="A731" s="321" t="str">
        <f t="shared" si="23"/>
        <v>II.2.4.013</v>
      </c>
      <c r="B731" s="321">
        <v>3</v>
      </c>
      <c r="C731" s="339" t="str">
        <f>IFERROR(VLOOKUP(A731,[3]DOORSCRIEFT!$A$2:$G$6834,2,FALSE),"")</f>
        <v/>
      </c>
      <c r="D731" s="481" t="str">
        <f>IFERROR(VLOOKUP(A731,[3]DOORSCRIEFT!$A$2:$G$6834,3,FALSE),"")</f>
        <v/>
      </c>
      <c r="E731" s="480" t="str">
        <f>IFERROR(VLOOKUP(A731,[3]DOORSCRIEFT!$A$2:$G$6834,4,FALSE),"")</f>
        <v/>
      </c>
      <c r="F731" s="405" t="str">
        <f>IFERROR(VLOOKUP(A731,[3]DOORSCRIEFT!$A$2:$G$6834,7,FALSE),"")</f>
        <v/>
      </c>
      <c r="G731" s="315"/>
    </row>
    <row r="732" spans="1:7" x14ac:dyDescent="0.25">
      <c r="A732" s="321" t="str">
        <f t="shared" si="23"/>
        <v>II.2.4.014</v>
      </c>
      <c r="B732" s="321">
        <v>4</v>
      </c>
      <c r="C732" s="339" t="str">
        <f>IFERROR(VLOOKUP(A732,[3]DOORSCRIEFT!$A$2:$G$6834,2,FALSE),"")</f>
        <v/>
      </c>
      <c r="D732" s="481" t="str">
        <f>IFERROR(VLOOKUP(A732,[3]DOORSCRIEFT!$A$2:$G$6834,3,FALSE),"")</f>
        <v/>
      </c>
      <c r="E732" s="480" t="str">
        <f>IFERROR(VLOOKUP(A732,[3]DOORSCRIEFT!$A$2:$G$6834,4,FALSE),"")</f>
        <v/>
      </c>
      <c r="F732" s="405" t="str">
        <f>IFERROR(VLOOKUP(A732,[3]DOORSCRIEFT!$A$2:$G$6834,7,FALSE),"")</f>
        <v/>
      </c>
      <c r="G732" s="315"/>
    </row>
    <row r="733" spans="1:7" x14ac:dyDescent="0.25">
      <c r="A733" s="321" t="str">
        <f t="shared" si="23"/>
        <v>II.2.4.015</v>
      </c>
      <c r="B733" s="321">
        <v>5</v>
      </c>
      <c r="C733" s="339" t="str">
        <f>IFERROR(VLOOKUP(A733,[3]DOORSCRIEFT!$A$2:$G$6834,2,FALSE),"")</f>
        <v/>
      </c>
      <c r="D733" s="481" t="str">
        <f>IFERROR(VLOOKUP(A733,[3]DOORSCRIEFT!$A$2:$G$6834,3,FALSE),"")</f>
        <v/>
      </c>
      <c r="E733" s="480" t="str">
        <f>IFERROR(VLOOKUP(A733,[3]DOORSCRIEFT!$A$2:$G$6834,4,FALSE),"")</f>
        <v/>
      </c>
      <c r="F733" s="405" t="str">
        <f>IFERROR(VLOOKUP(A733,[3]DOORSCRIEFT!$A$2:$G$6834,7,FALSE),"")</f>
        <v/>
      </c>
      <c r="G733" s="315"/>
    </row>
    <row r="734" spans="1:7" x14ac:dyDescent="0.25">
      <c r="A734" s="321" t="str">
        <f t="shared" si="23"/>
        <v>II.2.4.016</v>
      </c>
      <c r="B734" s="321">
        <v>6</v>
      </c>
      <c r="C734" s="339" t="str">
        <f>IFERROR(VLOOKUP(A734,[3]DOORSCRIEFT!$A$2:$G$6834,2,FALSE),"")</f>
        <v/>
      </c>
      <c r="D734" s="481" t="str">
        <f>IFERROR(VLOOKUP(A734,[3]DOORSCRIEFT!$A$2:$G$6834,3,FALSE),"")</f>
        <v/>
      </c>
      <c r="E734" s="480" t="str">
        <f>IFERROR(VLOOKUP(A734,[3]DOORSCRIEFT!$A$2:$G$6834,4,FALSE),"")</f>
        <v/>
      </c>
      <c r="F734" s="405" t="str">
        <f>IFERROR(VLOOKUP(A734,[3]DOORSCRIEFT!$A$2:$G$6834,7,FALSE),"")</f>
        <v/>
      </c>
      <c r="G734" s="315"/>
    </row>
    <row r="735" spans="1:7" x14ac:dyDescent="0.25">
      <c r="A735" s="321" t="str">
        <f t="shared" si="23"/>
        <v>II.2.4.017</v>
      </c>
      <c r="B735" s="321">
        <v>7</v>
      </c>
      <c r="C735" s="339" t="str">
        <f>IFERROR(VLOOKUP(A735,[3]DOORSCRIEFT!$A$2:$G$6834,2,FALSE),"")</f>
        <v/>
      </c>
      <c r="D735" s="481" t="str">
        <f>IFERROR(VLOOKUP(A735,[3]DOORSCRIEFT!$A$2:$G$6834,3,FALSE),"")</f>
        <v/>
      </c>
      <c r="E735" s="480" t="str">
        <f>IFERROR(VLOOKUP(A735,[3]DOORSCRIEFT!$A$2:$G$6834,4,FALSE),"")</f>
        <v/>
      </c>
      <c r="F735" s="405" t="str">
        <f>IFERROR(VLOOKUP(A735,[3]DOORSCRIEFT!$A$2:$G$6834,7,FALSE),"")</f>
        <v/>
      </c>
      <c r="G735" s="315"/>
    </row>
    <row r="736" spans="1:7" x14ac:dyDescent="0.25">
      <c r="A736" s="321" t="str">
        <f t="shared" si="23"/>
        <v>II.2.4.018</v>
      </c>
      <c r="B736" s="321">
        <v>8</v>
      </c>
      <c r="C736" s="339" t="str">
        <f>IFERROR(VLOOKUP(A736,[3]DOORSCRIEFT!$A$2:$G$6834,2,FALSE),"")</f>
        <v/>
      </c>
      <c r="D736" s="481" t="str">
        <f>IFERROR(VLOOKUP(A736,[3]DOORSCRIEFT!$A$2:$G$6834,3,FALSE),"")</f>
        <v/>
      </c>
      <c r="E736" s="480" t="str">
        <f>IFERROR(VLOOKUP(A736,[3]DOORSCRIEFT!$A$2:$G$6834,4,FALSE),"")</f>
        <v/>
      </c>
      <c r="F736" s="405" t="str">
        <f>IFERROR(VLOOKUP(A736,[3]DOORSCRIEFT!$A$2:$G$6834,7,FALSE),"")</f>
        <v/>
      </c>
      <c r="G736" s="315"/>
    </row>
    <row r="737" spans="1:7" x14ac:dyDescent="0.25">
      <c r="A737" s="321" t="str">
        <f t="shared" si="23"/>
        <v>II.2.4.019</v>
      </c>
      <c r="B737" s="321">
        <v>9</v>
      </c>
      <c r="C737" s="339" t="str">
        <f>IFERROR(VLOOKUP(A737,[3]DOORSCRIEFT!$A$2:$G$6834,2,FALSE),"")</f>
        <v/>
      </c>
      <c r="D737" s="481" t="str">
        <f>IFERROR(VLOOKUP(A737,[3]DOORSCRIEFT!$A$2:$G$6834,3,FALSE),"")</f>
        <v/>
      </c>
      <c r="E737" s="480" t="str">
        <f>IFERROR(VLOOKUP(A737,[3]DOORSCRIEFT!$A$2:$G$6834,4,FALSE),"")</f>
        <v/>
      </c>
      <c r="F737" s="405" t="str">
        <f>IFERROR(VLOOKUP(A737,[3]DOORSCRIEFT!$A$2:$G$6834,7,FALSE),"")</f>
        <v/>
      </c>
      <c r="G737" s="315"/>
    </row>
    <row r="738" spans="1:7" x14ac:dyDescent="0.25">
      <c r="A738" s="321" t="str">
        <f t="shared" si="23"/>
        <v>II.2.4.0110</v>
      </c>
      <c r="B738" s="321">
        <v>10</v>
      </c>
      <c r="C738" s="339" t="str">
        <f>IFERROR(VLOOKUP(A738,[3]DOORSCRIEFT!$A$2:$G$6834,2,FALSE),"")</f>
        <v/>
      </c>
      <c r="D738" s="481" t="str">
        <f>IFERROR(VLOOKUP(A738,[3]DOORSCRIEFT!$A$2:$G$6834,3,FALSE),"")</f>
        <v/>
      </c>
      <c r="E738" s="480" t="str">
        <f>IFERROR(VLOOKUP(A738,[3]DOORSCRIEFT!$A$2:$G$6834,4,FALSE),"")</f>
        <v/>
      </c>
      <c r="F738" s="405" t="str">
        <f>IFERROR(VLOOKUP(A738,[3]DOORSCRIEFT!$A$2:$G$6834,7,FALSE),"")</f>
        <v/>
      </c>
      <c r="G738" s="315"/>
    </row>
    <row r="739" spans="1:7" x14ac:dyDescent="0.25">
      <c r="A739" s="321" t="str">
        <f t="shared" si="23"/>
        <v>II.2.4.0111</v>
      </c>
      <c r="B739" s="321">
        <v>11</v>
      </c>
      <c r="C739" s="339" t="str">
        <f>IFERROR(VLOOKUP(A739,[3]DOORSCRIEFT!$A$2:$G$6834,2,FALSE),"")</f>
        <v/>
      </c>
      <c r="D739" s="481" t="str">
        <f>IFERROR(VLOOKUP(A739,[3]DOORSCRIEFT!$A$2:$G$6834,3,FALSE),"")</f>
        <v/>
      </c>
      <c r="E739" s="480" t="str">
        <f>IFERROR(VLOOKUP(A739,[3]DOORSCRIEFT!$A$2:$G$6834,4,FALSE),"")</f>
        <v/>
      </c>
      <c r="F739" s="405" t="str">
        <f>IFERROR(VLOOKUP(A739,[3]DOORSCRIEFT!$A$2:$G$6834,7,FALSE),"")</f>
        <v/>
      </c>
      <c r="G739" s="315"/>
    </row>
    <row r="740" spans="1:7" x14ac:dyDescent="0.25">
      <c r="A740" s="321" t="str">
        <f t="shared" si="23"/>
        <v>II.2.4.0112</v>
      </c>
      <c r="B740" s="321">
        <v>12</v>
      </c>
      <c r="C740" s="339" t="str">
        <f>IFERROR(VLOOKUP(A740,[3]DOORSCRIEFT!$A$2:$G$6834,2,FALSE),"")</f>
        <v/>
      </c>
      <c r="D740" s="481" t="str">
        <f>IFERROR(VLOOKUP(A740,[3]DOORSCRIEFT!$A$2:$G$6834,3,FALSE),"")</f>
        <v/>
      </c>
      <c r="E740" s="480" t="str">
        <f>IFERROR(VLOOKUP(A740,[3]DOORSCRIEFT!$A$2:$G$6834,4,FALSE),"")</f>
        <v/>
      </c>
      <c r="F740" s="405" t="str">
        <f>IFERROR(VLOOKUP(A740,[3]DOORSCRIEFT!$A$2:$G$6834,7,FALSE),"")</f>
        <v/>
      </c>
      <c r="G740" s="315"/>
    </row>
    <row r="741" spans="1:7" x14ac:dyDescent="0.25">
      <c r="A741" s="321" t="str">
        <f t="shared" si="23"/>
        <v>II.2.4.0113</v>
      </c>
      <c r="B741" s="321">
        <v>13</v>
      </c>
      <c r="C741" s="339" t="str">
        <f>IFERROR(VLOOKUP(A741,[3]DOORSCRIEFT!$A$2:$G$6834,2,FALSE),"")</f>
        <v/>
      </c>
      <c r="D741" s="481" t="str">
        <f>IFERROR(VLOOKUP(A741,[3]DOORSCRIEFT!$A$2:$G$6834,3,FALSE),"")</f>
        <v/>
      </c>
      <c r="E741" s="480" t="str">
        <f>IFERROR(VLOOKUP(A741,[3]DOORSCRIEFT!$A$2:$G$6834,4,FALSE),"")</f>
        <v/>
      </c>
      <c r="F741" s="405" t="str">
        <f>IFERROR(VLOOKUP(A741,[3]DOORSCRIEFT!$A$2:$G$6834,7,FALSE),"")</f>
        <v/>
      </c>
      <c r="G741" s="315"/>
    </row>
    <row r="742" spans="1:7" x14ac:dyDescent="0.25">
      <c r="A742" s="321" t="str">
        <f t="shared" si="23"/>
        <v>II.2.4.0114</v>
      </c>
      <c r="B742" s="321">
        <v>14</v>
      </c>
      <c r="C742" s="339" t="str">
        <f>IFERROR(VLOOKUP(A742,[3]DOORSCRIEFT!$A$2:$G$6834,2,FALSE),"")</f>
        <v/>
      </c>
      <c r="D742" s="481" t="str">
        <f>IFERROR(VLOOKUP(A742,[3]DOORSCRIEFT!$A$2:$G$6834,3,FALSE),"")</f>
        <v/>
      </c>
      <c r="E742" s="480" t="str">
        <f>IFERROR(VLOOKUP(A742,[3]DOORSCRIEFT!$A$2:$G$6834,4,FALSE),"")</f>
        <v/>
      </c>
      <c r="F742" s="405" t="str">
        <f>IFERROR(VLOOKUP(A742,[3]DOORSCRIEFT!$A$2:$G$6834,7,FALSE),"")</f>
        <v/>
      </c>
      <c r="G742" s="315"/>
    </row>
    <row r="743" spans="1:7" x14ac:dyDescent="0.25">
      <c r="A743" s="321" t="str">
        <f t="shared" si="23"/>
        <v>II.2.4.0115</v>
      </c>
      <c r="B743" s="321">
        <v>15</v>
      </c>
      <c r="C743" s="339" t="str">
        <f>IFERROR(VLOOKUP(A743,[3]DOORSCRIEFT!$A$2:$G$6834,2,FALSE),"")</f>
        <v/>
      </c>
      <c r="D743" s="481" t="str">
        <f>IFERROR(VLOOKUP(A743,[3]DOORSCRIEFT!$A$2:$G$6834,3,FALSE),"")</f>
        <v/>
      </c>
      <c r="E743" s="480" t="str">
        <f>IFERROR(VLOOKUP(A743,[3]DOORSCRIEFT!$A$2:$G$6834,4,FALSE),"")</f>
        <v/>
      </c>
      <c r="F743" s="405" t="str">
        <f>IFERROR(VLOOKUP(A743,[3]DOORSCRIEFT!$A$2:$G$6834,7,FALSE),"")</f>
        <v/>
      </c>
      <c r="G743" s="315"/>
    </row>
    <row r="744" spans="1:7" x14ac:dyDescent="0.25">
      <c r="A744" s="321" t="str">
        <f t="shared" si="23"/>
        <v>II.2.4.0116</v>
      </c>
      <c r="B744" s="321">
        <v>16</v>
      </c>
      <c r="C744" s="339" t="str">
        <f>IFERROR(VLOOKUP(A744,[3]DOORSCRIEFT!$A$2:$G$6834,2,FALSE),"")</f>
        <v/>
      </c>
      <c r="D744" s="481" t="str">
        <f>IFERROR(VLOOKUP(A744,[3]DOORSCRIEFT!$A$2:$G$6834,3,FALSE),"")</f>
        <v/>
      </c>
      <c r="E744" s="480" t="str">
        <f>IFERROR(VLOOKUP(A744,[3]DOORSCRIEFT!$A$2:$G$6834,4,FALSE),"")</f>
        <v/>
      </c>
      <c r="F744" s="405" t="str">
        <f>IFERROR(VLOOKUP(A744,[3]DOORSCRIEFT!$A$2:$G$6834,7,FALSE),"")</f>
        <v/>
      </c>
      <c r="G744" s="315"/>
    </row>
    <row r="745" spans="1:7" x14ac:dyDescent="0.25">
      <c r="A745" s="321" t="str">
        <f t="shared" si="23"/>
        <v>II.2.4.0117</v>
      </c>
      <c r="B745" s="321">
        <v>17</v>
      </c>
      <c r="C745" s="339" t="str">
        <f>IFERROR(VLOOKUP(A745,[3]DOORSCRIEFT!$A$2:$G$6834,2,FALSE),"")</f>
        <v/>
      </c>
      <c r="D745" s="481" t="str">
        <f>IFERROR(VLOOKUP(A745,[3]DOORSCRIEFT!$A$2:$G$6834,3,FALSE),"")</f>
        <v/>
      </c>
      <c r="E745" s="480" t="str">
        <f>IFERROR(VLOOKUP(A745,[3]DOORSCRIEFT!$A$2:$G$6834,4,FALSE),"")</f>
        <v/>
      </c>
      <c r="F745" s="405" t="str">
        <f>IFERROR(VLOOKUP(A745,[3]DOORSCRIEFT!$A$2:$G$6834,7,FALSE),"")</f>
        <v/>
      </c>
      <c r="G745" s="315"/>
    </row>
    <row r="746" spans="1:7" x14ac:dyDescent="0.25">
      <c r="A746" s="321" t="str">
        <f t="shared" si="23"/>
        <v>II.2.4.0118</v>
      </c>
      <c r="B746" s="321">
        <v>18</v>
      </c>
      <c r="C746" s="339" t="str">
        <f>IFERROR(VLOOKUP(A746,[3]DOORSCRIEFT!$A$2:$G$6834,2,FALSE),"")</f>
        <v/>
      </c>
      <c r="D746" s="481" t="str">
        <f>IFERROR(VLOOKUP(A746,[3]DOORSCRIEFT!$A$2:$G$6834,3,FALSE),"")</f>
        <v/>
      </c>
      <c r="E746" s="480" t="str">
        <f>IFERROR(VLOOKUP(A746,[3]DOORSCRIEFT!$A$2:$G$6834,4,FALSE),"")</f>
        <v/>
      </c>
      <c r="F746" s="405" t="str">
        <f>IFERROR(VLOOKUP(A746,[3]DOORSCRIEFT!$A$2:$G$6834,7,FALSE),"")</f>
        <v/>
      </c>
      <c r="G746" s="315"/>
    </row>
    <row r="747" spans="1:7" x14ac:dyDescent="0.25">
      <c r="A747" s="321" t="str">
        <f t="shared" si="23"/>
        <v>II.2.4.0119</v>
      </c>
      <c r="B747" s="321">
        <v>19</v>
      </c>
      <c r="C747" s="339" t="str">
        <f>IFERROR(VLOOKUP(A747,[3]DOORSCRIEFT!$A$2:$G$6834,2,FALSE),"")</f>
        <v/>
      </c>
      <c r="D747" s="481" t="str">
        <f>IFERROR(VLOOKUP(A747,[3]DOORSCRIEFT!$A$2:$G$6834,3,FALSE),"")</f>
        <v/>
      </c>
      <c r="E747" s="480" t="str">
        <f>IFERROR(VLOOKUP(A747,[3]DOORSCRIEFT!$A$2:$G$6834,4,FALSE),"")</f>
        <v/>
      </c>
      <c r="F747" s="405" t="str">
        <f>IFERROR(VLOOKUP(A747,[3]DOORSCRIEFT!$A$2:$G$6834,7,FALSE),"")</f>
        <v/>
      </c>
      <c r="G747" s="315"/>
    </row>
    <row r="748" spans="1:7" x14ac:dyDescent="0.25">
      <c r="A748" s="321" t="str">
        <f t="shared" si="23"/>
        <v>II.2.4.0120</v>
      </c>
      <c r="B748" s="321">
        <v>20</v>
      </c>
      <c r="C748" s="339" t="str">
        <f>IFERROR(VLOOKUP(A748,[3]DOORSCRIEFT!$A$2:$G$6834,2,FALSE),"")</f>
        <v/>
      </c>
      <c r="D748" s="481" t="str">
        <f>IFERROR(VLOOKUP(A748,[3]DOORSCRIEFT!$A$2:$G$6834,3,FALSE),"")</f>
        <v/>
      </c>
      <c r="E748" s="480" t="str">
        <f>IFERROR(VLOOKUP(A748,[3]DOORSCRIEFT!$A$2:$G$6834,4,FALSE),"")</f>
        <v/>
      </c>
      <c r="F748" s="405" t="str">
        <f>IFERROR(VLOOKUP(A748,[3]DOORSCRIEFT!$A$2:$G$6834,7,FALSE),"")</f>
        <v/>
      </c>
      <c r="G748" s="315"/>
    </row>
    <row r="749" spans="1:7" x14ac:dyDescent="0.25">
      <c r="A749" s="321" t="str">
        <f t="shared" si="23"/>
        <v>II.2.4.0121</v>
      </c>
      <c r="B749" s="321">
        <v>21</v>
      </c>
      <c r="C749" s="339" t="str">
        <f>IFERROR(VLOOKUP(A749,[3]DOORSCRIEFT!$A$2:$G$6834,2,FALSE),"")</f>
        <v/>
      </c>
      <c r="D749" s="481" t="str">
        <f>IFERROR(VLOOKUP(A749,[3]DOORSCRIEFT!$A$2:$G$6834,3,FALSE),"")</f>
        <v/>
      </c>
      <c r="E749" s="480" t="str">
        <f>IFERROR(VLOOKUP(A749,[3]DOORSCRIEFT!$A$2:$G$6834,4,FALSE),"")</f>
        <v/>
      </c>
      <c r="F749" s="405" t="str">
        <f>IFERROR(VLOOKUP(A749,[3]DOORSCRIEFT!$A$2:$G$6834,7,FALSE),"")</f>
        <v/>
      </c>
      <c r="G749" s="315"/>
    </row>
    <row r="750" spans="1:7" x14ac:dyDescent="0.25">
      <c r="A750" s="321" t="str">
        <f t="shared" si="23"/>
        <v>II.2.4.0122</v>
      </c>
      <c r="B750" s="321">
        <v>22</v>
      </c>
      <c r="C750" s="339" t="str">
        <f>IFERROR(VLOOKUP(A750,[3]DOORSCRIEFT!$A$2:$G$6834,2,FALSE),"")</f>
        <v/>
      </c>
      <c r="D750" s="481" t="str">
        <f>IFERROR(VLOOKUP(A750,[3]DOORSCRIEFT!$A$2:$G$6834,3,FALSE),"")</f>
        <v/>
      </c>
      <c r="E750" s="480" t="str">
        <f>IFERROR(VLOOKUP(A750,[3]DOORSCRIEFT!$A$2:$G$6834,4,FALSE),"")</f>
        <v/>
      </c>
      <c r="F750" s="405" t="str">
        <f>IFERROR(VLOOKUP(A750,[3]DOORSCRIEFT!$A$2:$G$6834,7,FALSE),"")</f>
        <v/>
      </c>
      <c r="G750" s="315"/>
    </row>
    <row r="751" spans="1:7" x14ac:dyDescent="0.25">
      <c r="A751" s="321" t="str">
        <f t="shared" si="23"/>
        <v>II.2.4.0123</v>
      </c>
      <c r="B751" s="321">
        <v>23</v>
      </c>
      <c r="C751" s="339" t="str">
        <f>IFERROR(VLOOKUP(A751,[3]DOORSCRIEFT!$A$2:$G$6834,2,FALSE),"")</f>
        <v/>
      </c>
      <c r="D751" s="481" t="str">
        <f>IFERROR(VLOOKUP(A751,[3]DOORSCRIEFT!$A$2:$G$6834,3,FALSE),"")</f>
        <v/>
      </c>
      <c r="E751" s="480" t="str">
        <f>IFERROR(VLOOKUP(A751,[3]DOORSCRIEFT!$A$2:$G$6834,4,FALSE),"")</f>
        <v/>
      </c>
      <c r="F751" s="405" t="str">
        <f>IFERROR(VLOOKUP(A751,[3]DOORSCRIEFT!$A$2:$G$6834,7,FALSE),"")</f>
        <v/>
      </c>
      <c r="G751" s="315"/>
    </row>
    <row r="752" spans="1:7" x14ac:dyDescent="0.25">
      <c r="A752" s="321" t="str">
        <f t="shared" si="23"/>
        <v>II.2.4.0124</v>
      </c>
      <c r="B752" s="321">
        <v>24</v>
      </c>
      <c r="C752" s="339" t="str">
        <f>IFERROR(VLOOKUP(A752,[3]DOORSCRIEFT!$A$2:$G$6834,2,FALSE),"")</f>
        <v/>
      </c>
      <c r="D752" s="481" t="str">
        <f>IFERROR(VLOOKUP(A752,[3]DOORSCRIEFT!$A$2:$G$6834,3,FALSE),"")</f>
        <v/>
      </c>
      <c r="E752" s="480" t="str">
        <f>IFERROR(VLOOKUP(A752,[3]DOORSCRIEFT!$A$2:$G$6834,4,FALSE),"")</f>
        <v/>
      </c>
      <c r="F752" s="405" t="str">
        <f>IFERROR(VLOOKUP(A752,[3]DOORSCRIEFT!$A$2:$G$6834,7,FALSE),"")</f>
        <v/>
      </c>
      <c r="G752" s="315"/>
    </row>
    <row r="753" spans="1:7" ht="15.75" thickBot="1" x14ac:dyDescent="0.3">
      <c r="A753" s="342" t="str">
        <f t="shared" si="23"/>
        <v>II.2.4.0125</v>
      </c>
      <c r="B753" s="342">
        <v>25</v>
      </c>
      <c r="C753" s="339" t="str">
        <f>IFERROR(VLOOKUP(A753,[3]DOORSCRIEFT!$A$2:$G$6834,2,FALSE),"")</f>
        <v/>
      </c>
      <c r="D753" s="481" t="str">
        <f>IFERROR(VLOOKUP(A753,[3]DOORSCRIEFT!$A$2:$G$6834,3,FALSE),"")</f>
        <v/>
      </c>
      <c r="E753" s="480" t="str">
        <f>IFERROR(VLOOKUP(A753,[3]DOORSCRIEFT!$A$2:$G$6834,4,FALSE),"")</f>
        <v/>
      </c>
      <c r="F753" s="405" t="str">
        <f>IFERROR(VLOOKUP(A753,[3]DOORSCRIEFT!$A$2:$G$6834,7,FALSE),"")</f>
        <v/>
      </c>
      <c r="G753" s="315"/>
    </row>
    <row r="754" spans="1:7" ht="15.75" thickBot="1" x14ac:dyDescent="0.3">
      <c r="A754" s="341"/>
      <c r="B754" s="340"/>
      <c r="C754" s="336"/>
      <c r="D754" s="486"/>
      <c r="E754" s="340" t="s">
        <v>644</v>
      </c>
      <c r="F754" s="310">
        <f>SUM(F729:F753)</f>
        <v>3600000</v>
      </c>
      <c r="G754" s="309">
        <f>SUM(G729:G753)</f>
        <v>0</v>
      </c>
    </row>
    <row r="755" spans="1:7" x14ac:dyDescent="0.25">
      <c r="C755" s="335"/>
      <c r="D755" s="485"/>
    </row>
    <row r="756" spans="1:7" x14ac:dyDescent="0.25">
      <c r="C756" s="335"/>
      <c r="D756" s="485"/>
    </row>
    <row r="757" spans="1:7" ht="15.75" x14ac:dyDescent="0.25">
      <c r="C757" s="334" t="s">
        <v>663</v>
      </c>
      <c r="D757" s="484"/>
      <c r="E757" s="333"/>
      <c r="F757" s="327" t="s">
        <v>607</v>
      </c>
      <c r="G757" s="327" t="s">
        <v>219</v>
      </c>
    </row>
    <row r="758" spans="1:7" ht="15.75" x14ac:dyDescent="0.25">
      <c r="C758" s="334"/>
      <c r="D758" s="484"/>
      <c r="E758" s="333"/>
      <c r="F758" s="327" t="s">
        <v>601</v>
      </c>
      <c r="G758" s="327" t="s">
        <v>218</v>
      </c>
    </row>
    <row r="759" spans="1:7" x14ac:dyDescent="0.25">
      <c r="C759" s="330"/>
      <c r="D759" s="482"/>
      <c r="E759" s="329"/>
      <c r="F759" s="327" t="s">
        <v>651</v>
      </c>
      <c r="G759" s="331">
        <f>[2]Sheet1!$D$277</f>
        <v>9000000</v>
      </c>
    </row>
    <row r="760" spans="1:7" ht="15.75" thickBot="1" x14ac:dyDescent="0.3">
      <c r="C760" s="330"/>
      <c r="D760" s="482"/>
      <c r="E760" s="329"/>
      <c r="F760" s="327" t="s">
        <v>650</v>
      </c>
      <c r="G760" s="326">
        <f>+F779-G759</f>
        <v>-5850000</v>
      </c>
    </row>
    <row r="761" spans="1:7" x14ac:dyDescent="0.25">
      <c r="A761" s="571" t="s">
        <v>655</v>
      </c>
      <c r="B761" s="573" t="s">
        <v>606</v>
      </c>
      <c r="C761" s="588" t="s">
        <v>649</v>
      </c>
      <c r="D761" s="599" t="s">
        <v>648</v>
      </c>
      <c r="E761" s="577" t="s">
        <v>647</v>
      </c>
      <c r="F761" s="577" t="s">
        <v>646</v>
      </c>
      <c r="G761" s="580" t="s">
        <v>645</v>
      </c>
    </row>
    <row r="762" spans="1:7" ht="15.75" thickBot="1" x14ac:dyDescent="0.3">
      <c r="A762" s="572"/>
      <c r="B762" s="574"/>
      <c r="C762" s="589"/>
      <c r="D762" s="600"/>
      <c r="E762" s="578"/>
      <c r="F762" s="578"/>
      <c r="G762" s="581"/>
    </row>
    <row r="763" spans="1:7" ht="15.75" thickBot="1" x14ac:dyDescent="0.3">
      <c r="A763" s="425">
        <v>1</v>
      </c>
      <c r="B763" s="425">
        <v>2</v>
      </c>
      <c r="C763" s="425">
        <v>3</v>
      </c>
      <c r="D763" s="425">
        <v>4</v>
      </c>
      <c r="E763" s="425">
        <v>5</v>
      </c>
      <c r="F763" s="425">
        <v>6</v>
      </c>
      <c r="G763" s="425">
        <v>7</v>
      </c>
    </row>
    <row r="764" spans="1:7" x14ac:dyDescent="0.25">
      <c r="A764" s="320" t="str">
        <f t="shared" ref="A764:A778" si="24">$G$757&amp;B764</f>
        <v>II.2.4.021</v>
      </c>
      <c r="B764" s="320">
        <v>1</v>
      </c>
      <c r="C764" s="339">
        <f>IFERROR(VLOOKUP(A764,[3]DOORSCRIEFT!$A$2:$G$6834,2,FALSE),"")</f>
        <v>413</v>
      </c>
      <c r="D764" s="481">
        <f>IFERROR(VLOOKUP(A764,[3]DOORSCRIEFT!$A$2:$G$6834,3,FALSE),"")</f>
        <v>46103</v>
      </c>
      <c r="E764" s="480" t="str">
        <f>IFERROR(VLOOKUP(A764,[3]DOORSCRIEFT!$A$2:$G$6834,4,FALSE),"")</f>
        <v>Beli Kulkas 2 pintu di Pastori 3 dan transport</v>
      </c>
      <c r="F764" s="405">
        <f>IFERROR(VLOOKUP(A764,[3]DOORSCRIEFT!$A$2:$G$6834,7,FALSE),"")</f>
        <v>3150000</v>
      </c>
      <c r="G764" s="322"/>
    </row>
    <row r="765" spans="1:7" x14ac:dyDescent="0.25">
      <c r="A765" s="321" t="str">
        <f t="shared" si="24"/>
        <v>II.2.4.022</v>
      </c>
      <c r="B765" s="321">
        <v>2</v>
      </c>
      <c r="C765" s="339" t="str">
        <f>IFERROR(VLOOKUP(A765,[3]DOORSCRIEFT!$A$2:$G$6834,2,FALSE),"")</f>
        <v/>
      </c>
      <c r="D765" s="481" t="str">
        <f>IFERROR(VLOOKUP(A765,[3]DOORSCRIEFT!$A$2:$G$6834,3,FALSE),"")</f>
        <v/>
      </c>
      <c r="E765" s="480" t="str">
        <f>IFERROR(VLOOKUP(A765,[3]DOORSCRIEFT!$A$2:$G$6834,4,FALSE),"")</f>
        <v/>
      </c>
      <c r="F765" s="405" t="str">
        <f>IFERROR(VLOOKUP(A765,[3]DOORSCRIEFT!$A$2:$G$6834,7,FALSE),"")</f>
        <v/>
      </c>
      <c r="G765" s="315"/>
    </row>
    <row r="766" spans="1:7" x14ac:dyDescent="0.25">
      <c r="A766" s="321" t="str">
        <f t="shared" si="24"/>
        <v>II.2.4.023</v>
      </c>
      <c r="B766" s="321">
        <v>3</v>
      </c>
      <c r="C766" s="339" t="str">
        <f>IFERROR(VLOOKUP(A766,[3]DOORSCRIEFT!$A$2:$G$6834,2,FALSE),"")</f>
        <v/>
      </c>
      <c r="D766" s="481" t="str">
        <f>IFERROR(VLOOKUP(A766,[3]DOORSCRIEFT!$A$2:$G$6834,3,FALSE),"")</f>
        <v/>
      </c>
      <c r="E766" s="480" t="str">
        <f>IFERROR(VLOOKUP(A766,[3]DOORSCRIEFT!$A$2:$G$6834,4,FALSE),"")</f>
        <v/>
      </c>
      <c r="F766" s="405" t="str">
        <f>IFERROR(VLOOKUP(A766,[3]DOORSCRIEFT!$A$2:$G$6834,7,FALSE),"")</f>
        <v/>
      </c>
      <c r="G766" s="315"/>
    </row>
    <row r="767" spans="1:7" x14ac:dyDescent="0.25">
      <c r="A767" s="321" t="str">
        <f t="shared" si="24"/>
        <v>II.2.4.024</v>
      </c>
      <c r="B767" s="321">
        <v>4</v>
      </c>
      <c r="C767" s="339" t="str">
        <f>IFERROR(VLOOKUP(A767,[3]DOORSCRIEFT!$A$2:$G$6834,2,FALSE),"")</f>
        <v/>
      </c>
      <c r="D767" s="481" t="str">
        <f>IFERROR(VLOOKUP(A767,[3]DOORSCRIEFT!$A$2:$G$6834,3,FALSE),"")</f>
        <v/>
      </c>
      <c r="E767" s="480" t="str">
        <f>IFERROR(VLOOKUP(A767,[3]DOORSCRIEFT!$A$2:$G$6834,4,FALSE),"")</f>
        <v/>
      </c>
      <c r="F767" s="405" t="str">
        <f>IFERROR(VLOOKUP(A767,[3]DOORSCRIEFT!$A$2:$G$6834,7,FALSE),"")</f>
        <v/>
      </c>
      <c r="G767" s="315"/>
    </row>
    <row r="768" spans="1:7" x14ac:dyDescent="0.25">
      <c r="A768" s="321" t="str">
        <f t="shared" si="24"/>
        <v>II.2.4.025</v>
      </c>
      <c r="B768" s="321">
        <v>5</v>
      </c>
      <c r="C768" s="339" t="str">
        <f>IFERROR(VLOOKUP(A768,[3]DOORSCRIEFT!$A$2:$G$6834,2,FALSE),"")</f>
        <v/>
      </c>
      <c r="D768" s="481" t="str">
        <f>IFERROR(VLOOKUP(A768,[3]DOORSCRIEFT!$A$2:$G$6834,3,FALSE),"")</f>
        <v/>
      </c>
      <c r="E768" s="480" t="str">
        <f>IFERROR(VLOOKUP(A768,[3]DOORSCRIEFT!$A$2:$G$6834,4,FALSE),"")</f>
        <v/>
      </c>
      <c r="F768" s="405" t="str">
        <f>IFERROR(VLOOKUP(A768,[3]DOORSCRIEFT!$A$2:$G$6834,7,FALSE),"")</f>
        <v/>
      </c>
      <c r="G768" s="315"/>
    </row>
    <row r="769" spans="1:7" x14ac:dyDescent="0.25">
      <c r="A769" s="321" t="str">
        <f t="shared" si="24"/>
        <v>II.2.4.026</v>
      </c>
      <c r="B769" s="321">
        <v>6</v>
      </c>
      <c r="C769" s="339" t="str">
        <f>IFERROR(VLOOKUP(A769,[3]DOORSCRIEFT!$A$2:$G$6834,2,FALSE),"")</f>
        <v/>
      </c>
      <c r="D769" s="481" t="str">
        <f>IFERROR(VLOOKUP(A769,[3]DOORSCRIEFT!$A$2:$G$6834,3,FALSE),"")</f>
        <v/>
      </c>
      <c r="E769" s="480" t="str">
        <f>IFERROR(VLOOKUP(A769,[3]DOORSCRIEFT!$A$2:$G$6834,4,FALSE),"")</f>
        <v/>
      </c>
      <c r="F769" s="405" t="str">
        <f>IFERROR(VLOOKUP(A769,[3]DOORSCRIEFT!$A$2:$G$6834,7,FALSE),"")</f>
        <v/>
      </c>
      <c r="G769" s="315"/>
    </row>
    <row r="770" spans="1:7" x14ac:dyDescent="0.25">
      <c r="A770" s="321" t="str">
        <f t="shared" si="24"/>
        <v>II.2.4.027</v>
      </c>
      <c r="B770" s="321">
        <v>7</v>
      </c>
      <c r="C770" s="339" t="str">
        <f>IFERROR(VLOOKUP(A770,[3]DOORSCRIEFT!$A$2:$G$6834,2,FALSE),"")</f>
        <v/>
      </c>
      <c r="D770" s="481" t="str">
        <f>IFERROR(VLOOKUP(A770,[3]DOORSCRIEFT!$A$2:$G$6834,3,FALSE),"")</f>
        <v/>
      </c>
      <c r="E770" s="480" t="str">
        <f>IFERROR(VLOOKUP(A770,[3]DOORSCRIEFT!$A$2:$G$6834,4,FALSE),"")</f>
        <v/>
      </c>
      <c r="F770" s="405" t="str">
        <f>IFERROR(VLOOKUP(A770,[3]DOORSCRIEFT!$A$2:$G$6834,7,FALSE),"")</f>
        <v/>
      </c>
      <c r="G770" s="315"/>
    </row>
    <row r="771" spans="1:7" x14ac:dyDescent="0.25">
      <c r="A771" s="321" t="str">
        <f t="shared" si="24"/>
        <v>II.2.4.028</v>
      </c>
      <c r="B771" s="321">
        <v>8</v>
      </c>
      <c r="C771" s="339" t="str">
        <f>IFERROR(VLOOKUP(A771,[3]DOORSCRIEFT!$A$2:$G$6834,2,FALSE),"")</f>
        <v/>
      </c>
      <c r="D771" s="481" t="str">
        <f>IFERROR(VLOOKUP(A771,[3]DOORSCRIEFT!$A$2:$G$6834,3,FALSE),"")</f>
        <v/>
      </c>
      <c r="E771" s="480" t="str">
        <f>IFERROR(VLOOKUP(A771,[3]DOORSCRIEFT!$A$2:$G$6834,4,FALSE),"")</f>
        <v/>
      </c>
      <c r="F771" s="405" t="str">
        <f>IFERROR(VLOOKUP(A771,[3]DOORSCRIEFT!$A$2:$G$6834,7,FALSE),"")</f>
        <v/>
      </c>
      <c r="G771" s="315"/>
    </row>
    <row r="772" spans="1:7" x14ac:dyDescent="0.25">
      <c r="A772" s="321" t="str">
        <f t="shared" si="24"/>
        <v>II.2.4.029</v>
      </c>
      <c r="B772" s="321">
        <v>9</v>
      </c>
      <c r="C772" s="339" t="str">
        <f>IFERROR(VLOOKUP(A772,[3]DOORSCRIEFT!$A$2:$G$6834,2,FALSE),"")</f>
        <v/>
      </c>
      <c r="D772" s="481" t="str">
        <f>IFERROR(VLOOKUP(A772,[3]DOORSCRIEFT!$A$2:$G$6834,3,FALSE),"")</f>
        <v/>
      </c>
      <c r="E772" s="480" t="str">
        <f>IFERROR(VLOOKUP(A772,[3]DOORSCRIEFT!$A$2:$G$6834,4,FALSE),"")</f>
        <v/>
      </c>
      <c r="F772" s="405" t="str">
        <f>IFERROR(VLOOKUP(A772,[3]DOORSCRIEFT!$A$2:$G$6834,7,FALSE),"")</f>
        <v/>
      </c>
      <c r="G772" s="315"/>
    </row>
    <row r="773" spans="1:7" x14ac:dyDescent="0.25">
      <c r="A773" s="321" t="str">
        <f t="shared" si="24"/>
        <v>II.2.4.0210</v>
      </c>
      <c r="B773" s="321">
        <v>10</v>
      </c>
      <c r="C773" s="339" t="str">
        <f>IFERROR(VLOOKUP(A773,[3]DOORSCRIEFT!$A$2:$G$6834,2,FALSE),"")</f>
        <v/>
      </c>
      <c r="D773" s="481" t="str">
        <f>IFERROR(VLOOKUP(A773,[3]DOORSCRIEFT!$A$2:$G$6834,3,FALSE),"")</f>
        <v/>
      </c>
      <c r="E773" s="480" t="str">
        <f>IFERROR(VLOOKUP(A773,[3]DOORSCRIEFT!$A$2:$G$6834,4,FALSE),"")</f>
        <v/>
      </c>
      <c r="F773" s="405" t="str">
        <f>IFERROR(VLOOKUP(A773,[3]DOORSCRIEFT!$A$2:$G$6834,7,FALSE),"")</f>
        <v/>
      </c>
      <c r="G773" s="315"/>
    </row>
    <row r="774" spans="1:7" x14ac:dyDescent="0.25">
      <c r="A774" s="321" t="str">
        <f t="shared" si="24"/>
        <v>II.2.4.0211</v>
      </c>
      <c r="B774" s="321">
        <v>11</v>
      </c>
      <c r="C774" s="339" t="str">
        <f>IFERROR(VLOOKUP(A774,[3]DOORSCRIEFT!$A$2:$G$6834,2,FALSE),"")</f>
        <v/>
      </c>
      <c r="D774" s="481" t="str">
        <f>IFERROR(VLOOKUP(A774,[3]DOORSCRIEFT!$A$2:$G$6834,3,FALSE),"")</f>
        <v/>
      </c>
      <c r="E774" s="480" t="str">
        <f>IFERROR(VLOOKUP(A774,[3]DOORSCRIEFT!$A$2:$G$6834,4,FALSE),"")</f>
        <v/>
      </c>
      <c r="F774" s="405" t="str">
        <f>IFERROR(VLOOKUP(A774,[3]DOORSCRIEFT!$A$2:$G$6834,7,FALSE),"")</f>
        <v/>
      </c>
      <c r="G774" s="315"/>
    </row>
    <row r="775" spans="1:7" x14ac:dyDescent="0.25">
      <c r="A775" s="321" t="str">
        <f t="shared" si="24"/>
        <v>II.2.4.0212</v>
      </c>
      <c r="B775" s="321">
        <v>12</v>
      </c>
      <c r="C775" s="339" t="str">
        <f>IFERROR(VLOOKUP(A775,[3]DOORSCRIEFT!$A$2:$G$6834,2,FALSE),"")</f>
        <v/>
      </c>
      <c r="D775" s="481" t="str">
        <f>IFERROR(VLOOKUP(A775,[3]DOORSCRIEFT!$A$2:$G$6834,3,FALSE),"")</f>
        <v/>
      </c>
      <c r="E775" s="480" t="str">
        <f>IFERROR(VLOOKUP(A775,[3]DOORSCRIEFT!$A$2:$G$6834,4,FALSE),"")</f>
        <v/>
      </c>
      <c r="F775" s="405" t="str">
        <f>IFERROR(VLOOKUP(A775,[3]DOORSCRIEFT!$A$2:$G$6834,7,FALSE),"")</f>
        <v/>
      </c>
      <c r="G775" s="315"/>
    </row>
    <row r="776" spans="1:7" x14ac:dyDescent="0.25">
      <c r="A776" s="321" t="str">
        <f t="shared" si="24"/>
        <v>II.2.4.0213</v>
      </c>
      <c r="B776" s="321">
        <v>13</v>
      </c>
      <c r="C776" s="339" t="str">
        <f>IFERROR(VLOOKUP(A776,[3]DOORSCRIEFT!$A$2:$G$6834,2,FALSE),"")</f>
        <v/>
      </c>
      <c r="D776" s="481" t="str">
        <f>IFERROR(VLOOKUP(A776,[3]DOORSCRIEFT!$A$2:$G$6834,3,FALSE),"")</f>
        <v/>
      </c>
      <c r="E776" s="480" t="str">
        <f>IFERROR(VLOOKUP(A776,[3]DOORSCRIEFT!$A$2:$G$6834,4,FALSE),"")</f>
        <v/>
      </c>
      <c r="F776" s="405" t="str">
        <f>IFERROR(VLOOKUP(A776,[3]DOORSCRIEFT!$A$2:$G$6834,7,FALSE),"")</f>
        <v/>
      </c>
      <c r="G776" s="315"/>
    </row>
    <row r="777" spans="1:7" x14ac:dyDescent="0.25">
      <c r="A777" s="321" t="str">
        <f t="shared" si="24"/>
        <v>II.2.4.0214</v>
      </c>
      <c r="B777" s="321">
        <v>14</v>
      </c>
      <c r="C777" s="339" t="str">
        <f>IFERROR(VLOOKUP(A777,[3]DOORSCRIEFT!$A$2:$G$6834,2,FALSE),"")</f>
        <v/>
      </c>
      <c r="D777" s="481" t="str">
        <f>IFERROR(VLOOKUP(A777,[3]DOORSCRIEFT!$A$2:$G$6834,3,FALSE),"")</f>
        <v/>
      </c>
      <c r="E777" s="480" t="str">
        <f>IFERROR(VLOOKUP(A777,[3]DOORSCRIEFT!$A$2:$G$6834,4,FALSE),"")</f>
        <v/>
      </c>
      <c r="F777" s="405" t="str">
        <f>IFERROR(VLOOKUP(A777,[3]DOORSCRIEFT!$A$2:$G$6834,7,FALSE),"")</f>
        <v/>
      </c>
      <c r="G777" s="315"/>
    </row>
    <row r="778" spans="1:7" ht="15.75" thickBot="1" x14ac:dyDescent="0.3">
      <c r="A778" s="342" t="str">
        <f t="shared" si="24"/>
        <v>II.2.4.0215</v>
      </c>
      <c r="B778" s="342">
        <v>15</v>
      </c>
      <c r="C778" s="339" t="str">
        <f>IFERROR(VLOOKUP(A778,[3]DOORSCRIEFT!$A$2:$G$6834,2,FALSE),"")</f>
        <v/>
      </c>
      <c r="D778" s="481" t="str">
        <f>IFERROR(VLOOKUP(A778,[3]DOORSCRIEFT!$A$2:$G$6834,3,FALSE),"")</f>
        <v/>
      </c>
      <c r="E778" s="480" t="str">
        <f>IFERROR(VLOOKUP(A778,[3]DOORSCRIEFT!$A$2:$G$6834,4,FALSE),"")</f>
        <v/>
      </c>
      <c r="F778" s="405" t="str">
        <f>IFERROR(VLOOKUP(A778,[3]DOORSCRIEFT!$A$2:$G$6834,7,FALSE),"")</f>
        <v/>
      </c>
      <c r="G778" s="315"/>
    </row>
    <row r="779" spans="1:7" ht="15.75" thickBot="1" x14ac:dyDescent="0.3">
      <c r="A779" s="341"/>
      <c r="B779" s="340"/>
      <c r="C779" s="336"/>
      <c r="D779" s="486"/>
      <c r="E779" s="340" t="s">
        <v>644</v>
      </c>
      <c r="F779" s="310">
        <f>SUM(F764:F778)</f>
        <v>3150000</v>
      </c>
      <c r="G779" s="309">
        <f>SUM(G764:G778)</f>
        <v>0</v>
      </c>
    </row>
    <row r="780" spans="1:7" x14ac:dyDescent="0.25">
      <c r="C780" s="335"/>
      <c r="D780" s="485"/>
    </row>
    <row r="781" spans="1:7" x14ac:dyDescent="0.25">
      <c r="C781" s="335"/>
      <c r="D781" s="485"/>
    </row>
    <row r="782" spans="1:7" ht="15.75" x14ac:dyDescent="0.25">
      <c r="C782" s="334" t="s">
        <v>663</v>
      </c>
      <c r="D782" s="484"/>
      <c r="E782" s="333"/>
      <c r="F782" s="327" t="s">
        <v>607</v>
      </c>
      <c r="G782" s="327" t="s">
        <v>214</v>
      </c>
    </row>
    <row r="783" spans="1:7" ht="15.75" x14ac:dyDescent="0.25">
      <c r="C783" s="334"/>
      <c r="D783" s="484"/>
      <c r="E783" s="333"/>
      <c r="F783" s="327" t="s">
        <v>601</v>
      </c>
      <c r="G783" s="327" t="s">
        <v>213</v>
      </c>
    </row>
    <row r="784" spans="1:7" x14ac:dyDescent="0.25">
      <c r="C784" s="330"/>
      <c r="D784" s="482"/>
      <c r="E784" s="329"/>
      <c r="F784" s="327" t="s">
        <v>651</v>
      </c>
      <c r="G784" s="331">
        <f>[2]Sheet1!$D$284</f>
        <v>45000000</v>
      </c>
    </row>
    <row r="785" spans="1:7" ht="15.75" thickBot="1" x14ac:dyDescent="0.3">
      <c r="C785" s="330"/>
      <c r="D785" s="482"/>
      <c r="E785" s="329"/>
      <c r="F785" s="327" t="s">
        <v>650</v>
      </c>
      <c r="G785" s="326">
        <f>+F813-G784</f>
        <v>-34165000</v>
      </c>
    </row>
    <row r="786" spans="1:7" x14ac:dyDescent="0.25">
      <c r="A786" s="571" t="s">
        <v>655</v>
      </c>
      <c r="B786" s="573" t="s">
        <v>606</v>
      </c>
      <c r="C786" s="588" t="s">
        <v>649</v>
      </c>
      <c r="D786" s="599" t="s">
        <v>648</v>
      </c>
      <c r="E786" s="577" t="s">
        <v>647</v>
      </c>
      <c r="F786" s="577" t="s">
        <v>646</v>
      </c>
      <c r="G786" s="580" t="s">
        <v>645</v>
      </c>
    </row>
    <row r="787" spans="1:7" ht="15.75" thickBot="1" x14ac:dyDescent="0.3">
      <c r="A787" s="572"/>
      <c r="B787" s="574"/>
      <c r="C787" s="589"/>
      <c r="D787" s="600"/>
      <c r="E787" s="578"/>
      <c r="F787" s="578"/>
      <c r="G787" s="581"/>
    </row>
    <row r="788" spans="1:7" ht="15.75" thickBot="1" x14ac:dyDescent="0.3">
      <c r="A788" s="425">
        <v>1</v>
      </c>
      <c r="B788" s="425">
        <v>2</v>
      </c>
      <c r="C788" s="425">
        <v>3</v>
      </c>
      <c r="D788" s="425">
        <v>4</v>
      </c>
      <c r="E788" s="425">
        <v>5</v>
      </c>
      <c r="F788" s="425">
        <v>6</v>
      </c>
      <c r="G788" s="425">
        <v>7</v>
      </c>
    </row>
    <row r="789" spans="1:7" x14ac:dyDescent="0.25">
      <c r="A789" s="320" t="str">
        <f t="shared" ref="A789:A812" si="25">$G$782&amp;B789</f>
        <v>II.2.5.011</v>
      </c>
      <c r="B789" s="320">
        <v>1</v>
      </c>
      <c r="C789" s="339">
        <f>IFERROR(VLOOKUP(A789,[3]DOORSCRIEFT!$A$2:$G$6834,2,FALSE),"")</f>
        <v>86</v>
      </c>
      <c r="D789" s="481">
        <f>IFERROR(VLOOKUP(A789,[3]DOORSCRIEFT!$A$2:$G$6834,3,FALSE),"")</f>
        <v>46040</v>
      </c>
      <c r="E789" s="480" t="str">
        <f>IFERROR(VLOOKUP(A789,[3]DOORSCRIEFT!$A$2:$G$6834,4,FALSE),"")</f>
        <v>Biaya potong rumput Gereja SK</v>
      </c>
      <c r="F789" s="405">
        <f>IFERROR(VLOOKUP(A789,[3]DOORSCRIEFT!$A$2:$G$6834,7,FALSE),"")</f>
        <v>150000</v>
      </c>
      <c r="G789" s="322"/>
    </row>
    <row r="790" spans="1:7" x14ac:dyDescent="0.25">
      <c r="A790" s="321" t="str">
        <f t="shared" si="25"/>
        <v>II.2.5.012</v>
      </c>
      <c r="B790" s="321">
        <v>2</v>
      </c>
      <c r="C790" s="339">
        <f>IFERROR(VLOOKUP(A790,[3]DOORSCRIEFT!$A$2:$G$6834,2,FALSE),"")</f>
        <v>112</v>
      </c>
      <c r="D790" s="481">
        <f>IFERROR(VLOOKUP(A790,[3]DOORSCRIEFT!$A$2:$G$6834,3,FALSE),"")</f>
        <v>46047</v>
      </c>
      <c r="E790" s="480" t="str">
        <f>IFERROR(VLOOKUP(A790,[3]DOORSCRIEFT!$A$2:$G$6834,4,FALSE),"")</f>
        <v>Beli 1 buah senk dan paku senk</v>
      </c>
      <c r="F790" s="405">
        <f>IFERROR(VLOOKUP(A790,[3]DOORSCRIEFT!$A$2:$G$6834,7,FALSE),"")</f>
        <v>150000</v>
      </c>
      <c r="G790" s="315"/>
    </row>
    <row r="791" spans="1:7" x14ac:dyDescent="0.25">
      <c r="A791" s="321" t="str">
        <f t="shared" si="25"/>
        <v>II.2.5.013</v>
      </c>
      <c r="B791" s="321">
        <v>3</v>
      </c>
      <c r="C791" s="339">
        <f>IFERROR(VLOOKUP(A791,[3]DOORSCRIEFT!$A$2:$G$6834,2,FALSE),"")</f>
        <v>322</v>
      </c>
      <c r="D791" s="481">
        <f>IFERROR(VLOOKUP(A791,[3]DOORSCRIEFT!$A$2:$G$6834,3,FALSE),"")</f>
        <v>46089</v>
      </c>
      <c r="E791" s="480" t="str">
        <f>IFERROR(VLOOKUP(A791,[3]DOORSCRIEFT!$A$2:$G$6834,4,FALSE),"")</f>
        <v>Biaya Potong rumput di Gereja SK dan beli Oli</v>
      </c>
      <c r="F791" s="405">
        <f>IFERROR(VLOOKUP(A791,[3]DOORSCRIEFT!$A$2:$G$6834,7,FALSE),"")</f>
        <v>250000</v>
      </c>
      <c r="G791" s="315"/>
    </row>
    <row r="792" spans="1:7" x14ac:dyDescent="0.25">
      <c r="A792" s="321" t="str">
        <f t="shared" si="25"/>
        <v>II.2.5.014</v>
      </c>
      <c r="B792" s="321">
        <v>4</v>
      </c>
      <c r="C792" s="339">
        <f>IFERROR(VLOOKUP(A792,[3]DOORSCRIEFT!$A$2:$G$6834,2,FALSE),"")</f>
        <v>410</v>
      </c>
      <c r="D792" s="481">
        <f>IFERROR(VLOOKUP(A792,[3]DOORSCRIEFT!$A$2:$G$6834,3,FALSE),"")</f>
        <v>46103</v>
      </c>
      <c r="E792" s="480" t="str">
        <f>IFERROR(VLOOKUP(A792,[3]DOORSCRIEFT!$A$2:$G$6834,4,FALSE),"")</f>
        <v>Beli Bohlamp Gereja</v>
      </c>
      <c r="F792" s="405">
        <f>IFERROR(VLOOKUP(A792,[3]DOORSCRIEFT!$A$2:$G$6834,7,FALSE),"")</f>
        <v>1000000</v>
      </c>
      <c r="G792" s="315"/>
    </row>
    <row r="793" spans="1:7" x14ac:dyDescent="0.25">
      <c r="A793" s="321" t="str">
        <f t="shared" si="25"/>
        <v>II.2.5.015</v>
      </c>
      <c r="B793" s="321">
        <v>5</v>
      </c>
      <c r="C793" s="339">
        <f>IFERROR(VLOOKUP(A793,[3]DOORSCRIEFT!$A$2:$G$6834,2,FALSE),"")</f>
        <v>411</v>
      </c>
      <c r="D793" s="481">
        <f>IFERROR(VLOOKUP(A793,[3]DOORSCRIEFT!$A$2:$G$6834,3,FALSE),"")</f>
        <v>46103</v>
      </c>
      <c r="E793" s="480" t="str">
        <f>IFERROR(VLOOKUP(A793,[3]DOORSCRIEFT!$A$2:$G$6834,4,FALSE),"")</f>
        <v>Biaya Tambah Daya Listrik Gereja Baitrafa</v>
      </c>
      <c r="F793" s="405">
        <f>IFERROR(VLOOKUP(A793,[3]DOORSCRIEFT!$A$2:$G$6834,7,FALSE),"")</f>
        <v>9285000</v>
      </c>
      <c r="G793" s="315"/>
    </row>
    <row r="794" spans="1:7" x14ac:dyDescent="0.25">
      <c r="A794" s="321" t="str">
        <f t="shared" si="25"/>
        <v>II.2.5.016</v>
      </c>
      <c r="B794" s="321">
        <v>6</v>
      </c>
      <c r="C794" s="339" t="str">
        <f>IFERROR(VLOOKUP(A794,[3]DOORSCRIEFT!$A$2:$G$6834,2,FALSE),"")</f>
        <v/>
      </c>
      <c r="D794" s="481" t="str">
        <f>IFERROR(VLOOKUP(A794,[3]DOORSCRIEFT!$A$2:$G$6834,3,FALSE),"")</f>
        <v/>
      </c>
      <c r="E794" s="480" t="str">
        <f>IFERROR(VLOOKUP(A794,[3]DOORSCRIEFT!$A$2:$G$6834,4,FALSE),"")</f>
        <v/>
      </c>
      <c r="F794" s="405" t="str">
        <f>IFERROR(VLOOKUP(A794,[3]DOORSCRIEFT!$A$2:$G$6834,7,FALSE),"")</f>
        <v/>
      </c>
      <c r="G794" s="315"/>
    </row>
    <row r="795" spans="1:7" x14ac:dyDescent="0.25">
      <c r="A795" s="321" t="str">
        <f t="shared" si="25"/>
        <v>II.2.5.017</v>
      </c>
      <c r="B795" s="321">
        <v>7</v>
      </c>
      <c r="C795" s="339" t="str">
        <f>IFERROR(VLOOKUP(A795,[3]DOORSCRIEFT!$A$2:$G$6834,2,FALSE),"")</f>
        <v/>
      </c>
      <c r="D795" s="481" t="str">
        <f>IFERROR(VLOOKUP(A795,[3]DOORSCRIEFT!$A$2:$G$6834,3,FALSE),"")</f>
        <v/>
      </c>
      <c r="E795" s="480" t="str">
        <f>IFERROR(VLOOKUP(A795,[3]DOORSCRIEFT!$A$2:$G$6834,4,FALSE),"")</f>
        <v/>
      </c>
      <c r="F795" s="405" t="str">
        <f>IFERROR(VLOOKUP(A795,[3]DOORSCRIEFT!$A$2:$G$6834,7,FALSE),"")</f>
        <v/>
      </c>
      <c r="G795" s="315"/>
    </row>
    <row r="796" spans="1:7" x14ac:dyDescent="0.25">
      <c r="A796" s="321" t="str">
        <f t="shared" si="25"/>
        <v>II.2.5.018</v>
      </c>
      <c r="B796" s="321">
        <v>8</v>
      </c>
      <c r="C796" s="339" t="str">
        <f>IFERROR(VLOOKUP(A796,[3]DOORSCRIEFT!$A$2:$G$6834,2,FALSE),"")</f>
        <v/>
      </c>
      <c r="D796" s="481" t="str">
        <f>IFERROR(VLOOKUP(A796,[3]DOORSCRIEFT!$A$2:$G$6834,3,FALSE),"")</f>
        <v/>
      </c>
      <c r="E796" s="480" t="str">
        <f>IFERROR(VLOOKUP(A796,[3]DOORSCRIEFT!$A$2:$G$6834,4,FALSE),"")</f>
        <v/>
      </c>
      <c r="F796" s="405" t="str">
        <f>IFERROR(VLOOKUP(A796,[3]DOORSCRIEFT!$A$2:$G$6834,7,FALSE),"")</f>
        <v/>
      </c>
      <c r="G796" s="315"/>
    </row>
    <row r="797" spans="1:7" x14ac:dyDescent="0.25">
      <c r="A797" s="321" t="str">
        <f t="shared" si="25"/>
        <v>II.2.5.019</v>
      </c>
      <c r="B797" s="321">
        <v>9</v>
      </c>
      <c r="C797" s="339" t="str">
        <f>IFERROR(VLOOKUP(A797,[3]DOORSCRIEFT!$A$2:$G$6834,2,FALSE),"")</f>
        <v/>
      </c>
      <c r="D797" s="481" t="str">
        <f>IFERROR(VLOOKUP(A797,[3]DOORSCRIEFT!$A$2:$G$6834,3,FALSE),"")</f>
        <v/>
      </c>
      <c r="E797" s="480" t="str">
        <f>IFERROR(VLOOKUP(A797,[3]DOORSCRIEFT!$A$2:$G$6834,4,FALSE),"")</f>
        <v/>
      </c>
      <c r="F797" s="405" t="str">
        <f>IFERROR(VLOOKUP(A797,[3]DOORSCRIEFT!$A$2:$G$6834,7,FALSE),"")</f>
        <v/>
      </c>
      <c r="G797" s="315"/>
    </row>
    <row r="798" spans="1:7" x14ac:dyDescent="0.25">
      <c r="A798" s="321" t="str">
        <f t="shared" si="25"/>
        <v>II.2.5.0110</v>
      </c>
      <c r="B798" s="321">
        <v>10</v>
      </c>
      <c r="C798" s="339" t="str">
        <f>IFERROR(VLOOKUP(A798,[3]DOORSCRIEFT!$A$2:$G$6834,2,FALSE),"")</f>
        <v/>
      </c>
      <c r="D798" s="481" t="str">
        <f>IFERROR(VLOOKUP(A798,[3]DOORSCRIEFT!$A$2:$G$6834,3,FALSE),"")</f>
        <v/>
      </c>
      <c r="E798" s="480" t="str">
        <f>IFERROR(VLOOKUP(A798,[3]DOORSCRIEFT!$A$2:$G$6834,4,FALSE),"")</f>
        <v/>
      </c>
      <c r="F798" s="405" t="str">
        <f>IFERROR(VLOOKUP(A798,[3]DOORSCRIEFT!$A$2:$G$6834,7,FALSE),"")</f>
        <v/>
      </c>
      <c r="G798" s="315"/>
    </row>
    <row r="799" spans="1:7" x14ac:dyDescent="0.25">
      <c r="A799" s="321" t="str">
        <f t="shared" si="25"/>
        <v>II.2.5.0111</v>
      </c>
      <c r="B799" s="321">
        <v>11</v>
      </c>
      <c r="C799" s="339" t="str">
        <f>IFERROR(VLOOKUP(A799,[3]DOORSCRIEFT!$A$2:$G$6834,2,FALSE),"")</f>
        <v/>
      </c>
      <c r="D799" s="481" t="str">
        <f>IFERROR(VLOOKUP(A799,[3]DOORSCRIEFT!$A$2:$G$6834,3,FALSE),"")</f>
        <v/>
      </c>
      <c r="E799" s="480" t="str">
        <f>IFERROR(VLOOKUP(A799,[3]DOORSCRIEFT!$A$2:$G$6834,4,FALSE),"")</f>
        <v/>
      </c>
      <c r="F799" s="405" t="str">
        <f>IFERROR(VLOOKUP(A799,[3]DOORSCRIEFT!$A$2:$G$6834,7,FALSE),"")</f>
        <v/>
      </c>
      <c r="G799" s="315"/>
    </row>
    <row r="800" spans="1:7" x14ac:dyDescent="0.25">
      <c r="A800" s="321" t="str">
        <f t="shared" si="25"/>
        <v>II.2.5.0112</v>
      </c>
      <c r="B800" s="321">
        <v>12</v>
      </c>
      <c r="C800" s="339" t="str">
        <f>IFERROR(VLOOKUP(A800,[3]DOORSCRIEFT!$A$2:$G$6834,2,FALSE),"")</f>
        <v/>
      </c>
      <c r="D800" s="481" t="str">
        <f>IFERROR(VLOOKUP(A800,[3]DOORSCRIEFT!$A$2:$G$6834,3,FALSE),"")</f>
        <v/>
      </c>
      <c r="E800" s="480" t="str">
        <f>IFERROR(VLOOKUP(A800,[3]DOORSCRIEFT!$A$2:$G$6834,4,FALSE),"")</f>
        <v/>
      </c>
      <c r="F800" s="405" t="str">
        <f>IFERROR(VLOOKUP(A800,[3]DOORSCRIEFT!$A$2:$G$6834,7,FALSE),"")</f>
        <v/>
      </c>
      <c r="G800" s="315"/>
    </row>
    <row r="801" spans="1:7" x14ac:dyDescent="0.25">
      <c r="A801" s="321" t="str">
        <f t="shared" si="25"/>
        <v>II.2.5.0113</v>
      </c>
      <c r="B801" s="321">
        <v>13</v>
      </c>
      <c r="C801" s="339" t="str">
        <f>IFERROR(VLOOKUP(A801,[3]DOORSCRIEFT!$A$2:$G$6834,2,FALSE),"")</f>
        <v/>
      </c>
      <c r="D801" s="481" t="str">
        <f>IFERROR(VLOOKUP(A801,[3]DOORSCRIEFT!$A$2:$G$6834,3,FALSE),"")</f>
        <v/>
      </c>
      <c r="E801" s="480" t="str">
        <f>IFERROR(VLOOKUP(A801,[3]DOORSCRIEFT!$A$2:$G$6834,4,FALSE),"")</f>
        <v/>
      </c>
      <c r="F801" s="405" t="str">
        <f>IFERROR(VLOOKUP(A801,[3]DOORSCRIEFT!$A$2:$G$6834,7,FALSE),"")</f>
        <v/>
      </c>
      <c r="G801" s="315"/>
    </row>
    <row r="802" spans="1:7" x14ac:dyDescent="0.25">
      <c r="A802" s="321" t="str">
        <f t="shared" si="25"/>
        <v>II.2.5.0114</v>
      </c>
      <c r="B802" s="321">
        <v>14</v>
      </c>
      <c r="C802" s="339" t="str">
        <f>IFERROR(VLOOKUP(A802,[3]DOORSCRIEFT!$A$2:$G$6834,2,FALSE),"")</f>
        <v/>
      </c>
      <c r="D802" s="481" t="str">
        <f>IFERROR(VLOOKUP(A802,[3]DOORSCRIEFT!$A$2:$G$6834,3,FALSE),"")</f>
        <v/>
      </c>
      <c r="E802" s="480" t="str">
        <f>IFERROR(VLOOKUP(A802,[3]DOORSCRIEFT!$A$2:$G$6834,4,FALSE),"")</f>
        <v/>
      </c>
      <c r="F802" s="405" t="str">
        <f>IFERROR(VLOOKUP(A802,[3]DOORSCRIEFT!$A$2:$G$6834,7,FALSE),"")</f>
        <v/>
      </c>
      <c r="G802" s="315"/>
    </row>
    <row r="803" spans="1:7" x14ac:dyDescent="0.25">
      <c r="A803" s="321" t="str">
        <f t="shared" si="25"/>
        <v>II.2.5.0115</v>
      </c>
      <c r="B803" s="321">
        <v>15</v>
      </c>
      <c r="C803" s="339" t="str">
        <f>IFERROR(VLOOKUP(A803,[3]DOORSCRIEFT!$A$2:$G$6834,2,FALSE),"")</f>
        <v/>
      </c>
      <c r="D803" s="481" t="str">
        <f>IFERROR(VLOOKUP(A803,[3]DOORSCRIEFT!$A$2:$G$6834,3,FALSE),"")</f>
        <v/>
      </c>
      <c r="E803" s="480" t="str">
        <f>IFERROR(VLOOKUP(A803,[3]DOORSCRIEFT!$A$2:$G$6834,4,FALSE),"")</f>
        <v/>
      </c>
      <c r="F803" s="405" t="str">
        <f>IFERROR(VLOOKUP(A803,[3]DOORSCRIEFT!$A$2:$G$6834,7,FALSE),"")</f>
        <v/>
      </c>
      <c r="G803" s="315"/>
    </row>
    <row r="804" spans="1:7" x14ac:dyDescent="0.25">
      <c r="A804" s="321" t="str">
        <f t="shared" si="25"/>
        <v>II.2.5.0116</v>
      </c>
      <c r="B804" s="321">
        <v>16</v>
      </c>
      <c r="C804" s="339" t="str">
        <f>IFERROR(VLOOKUP(A804,[3]DOORSCRIEFT!$A$2:$G$6834,2,FALSE),"")</f>
        <v/>
      </c>
      <c r="D804" s="481" t="str">
        <f>IFERROR(VLOOKUP(A804,[3]DOORSCRIEFT!$A$2:$G$6834,3,FALSE),"")</f>
        <v/>
      </c>
      <c r="E804" s="480" t="str">
        <f>IFERROR(VLOOKUP(A804,[3]DOORSCRIEFT!$A$2:$G$6834,4,FALSE),"")</f>
        <v/>
      </c>
      <c r="F804" s="405" t="str">
        <f>IFERROR(VLOOKUP(A804,[3]DOORSCRIEFT!$A$2:$G$6834,7,FALSE),"")</f>
        <v/>
      </c>
      <c r="G804" s="315"/>
    </row>
    <row r="805" spans="1:7" x14ac:dyDescent="0.25">
      <c r="A805" s="321" t="str">
        <f t="shared" si="25"/>
        <v>II.2.5.0117</v>
      </c>
      <c r="B805" s="321">
        <v>17</v>
      </c>
      <c r="C805" s="339" t="str">
        <f>IFERROR(VLOOKUP(A805,[3]DOORSCRIEFT!$A$2:$G$6834,2,FALSE),"")</f>
        <v/>
      </c>
      <c r="D805" s="481" t="str">
        <f>IFERROR(VLOOKUP(A805,[3]DOORSCRIEFT!$A$2:$G$6834,3,FALSE),"")</f>
        <v/>
      </c>
      <c r="E805" s="480" t="str">
        <f>IFERROR(VLOOKUP(A805,[3]DOORSCRIEFT!$A$2:$G$6834,4,FALSE),"")</f>
        <v/>
      </c>
      <c r="F805" s="405" t="str">
        <f>IFERROR(VLOOKUP(A805,[3]DOORSCRIEFT!$A$2:$G$6834,7,FALSE),"")</f>
        <v/>
      </c>
      <c r="G805" s="315"/>
    </row>
    <row r="806" spans="1:7" x14ac:dyDescent="0.25">
      <c r="A806" s="321" t="str">
        <f t="shared" si="25"/>
        <v>II.2.5.0118</v>
      </c>
      <c r="B806" s="321">
        <v>18</v>
      </c>
      <c r="C806" s="339" t="str">
        <f>IFERROR(VLOOKUP(A806,[3]DOORSCRIEFT!$A$2:$G$6834,2,FALSE),"")</f>
        <v/>
      </c>
      <c r="D806" s="481" t="str">
        <f>IFERROR(VLOOKUP(A806,[3]DOORSCRIEFT!$A$2:$G$6834,3,FALSE),"")</f>
        <v/>
      </c>
      <c r="E806" s="480" t="str">
        <f>IFERROR(VLOOKUP(A806,[3]DOORSCRIEFT!$A$2:$G$6834,4,FALSE),"")</f>
        <v/>
      </c>
      <c r="F806" s="405" t="str">
        <f>IFERROR(VLOOKUP(A806,[3]DOORSCRIEFT!$A$2:$G$6834,7,FALSE),"")</f>
        <v/>
      </c>
      <c r="G806" s="315"/>
    </row>
    <row r="807" spans="1:7" x14ac:dyDescent="0.25">
      <c r="A807" s="321" t="str">
        <f t="shared" si="25"/>
        <v>II.2.5.0119</v>
      </c>
      <c r="B807" s="321">
        <v>19</v>
      </c>
      <c r="C807" s="339" t="str">
        <f>IFERROR(VLOOKUP(A807,[3]DOORSCRIEFT!$A$2:$G$6834,2,FALSE),"")</f>
        <v/>
      </c>
      <c r="D807" s="481" t="str">
        <f>IFERROR(VLOOKUP(A807,[3]DOORSCRIEFT!$A$2:$G$6834,3,FALSE),"")</f>
        <v/>
      </c>
      <c r="E807" s="480" t="str">
        <f>IFERROR(VLOOKUP(A807,[3]DOORSCRIEFT!$A$2:$G$6834,4,FALSE),"")</f>
        <v/>
      </c>
      <c r="F807" s="405" t="str">
        <f>IFERROR(VLOOKUP(A807,[3]DOORSCRIEFT!$A$2:$G$6834,7,FALSE),"")</f>
        <v/>
      </c>
      <c r="G807" s="315"/>
    </row>
    <row r="808" spans="1:7" x14ac:dyDescent="0.25">
      <c r="A808" s="321" t="str">
        <f t="shared" si="25"/>
        <v>II.2.5.0120</v>
      </c>
      <c r="B808" s="321">
        <v>20</v>
      </c>
      <c r="C808" s="339" t="str">
        <f>IFERROR(VLOOKUP(A808,[3]DOORSCRIEFT!$A$2:$G$6834,2,FALSE),"")</f>
        <v/>
      </c>
      <c r="D808" s="481" t="str">
        <f>IFERROR(VLOOKUP(A808,[3]DOORSCRIEFT!$A$2:$G$6834,3,FALSE),"")</f>
        <v/>
      </c>
      <c r="E808" s="480" t="str">
        <f>IFERROR(VLOOKUP(A808,[3]DOORSCRIEFT!$A$2:$G$6834,4,FALSE),"")</f>
        <v/>
      </c>
      <c r="F808" s="405" t="str">
        <f>IFERROR(VLOOKUP(A808,[3]DOORSCRIEFT!$A$2:$G$6834,7,FALSE),"")</f>
        <v/>
      </c>
      <c r="G808" s="315"/>
    </row>
    <row r="809" spans="1:7" x14ac:dyDescent="0.25">
      <c r="A809" s="321" t="str">
        <f t="shared" si="25"/>
        <v>II.2.5.0121</v>
      </c>
      <c r="B809" s="321">
        <v>21</v>
      </c>
      <c r="C809" s="339" t="str">
        <f>IFERROR(VLOOKUP(A809,[3]DOORSCRIEFT!$A$2:$G$6834,2,FALSE),"")</f>
        <v/>
      </c>
      <c r="D809" s="481" t="str">
        <f>IFERROR(VLOOKUP(A809,[3]DOORSCRIEFT!$A$2:$G$6834,3,FALSE),"")</f>
        <v/>
      </c>
      <c r="E809" s="480" t="str">
        <f>IFERROR(VLOOKUP(A809,[3]DOORSCRIEFT!$A$2:$G$6834,4,FALSE),"")</f>
        <v/>
      </c>
      <c r="F809" s="405" t="str">
        <f>IFERROR(VLOOKUP(A809,[3]DOORSCRIEFT!$A$2:$G$6834,7,FALSE),"")</f>
        <v/>
      </c>
      <c r="G809" s="315"/>
    </row>
    <row r="810" spans="1:7" x14ac:dyDescent="0.25">
      <c r="A810" s="321" t="str">
        <f t="shared" si="25"/>
        <v>II.2.5.0122</v>
      </c>
      <c r="B810" s="321">
        <v>22</v>
      </c>
      <c r="C810" s="339" t="str">
        <f>IFERROR(VLOOKUP(A810,[3]DOORSCRIEFT!$A$2:$G$6834,2,FALSE),"")</f>
        <v/>
      </c>
      <c r="D810" s="481" t="str">
        <f>IFERROR(VLOOKUP(A810,[3]DOORSCRIEFT!$A$2:$G$6834,3,FALSE),"")</f>
        <v/>
      </c>
      <c r="E810" s="480" t="str">
        <f>IFERROR(VLOOKUP(A810,[3]DOORSCRIEFT!$A$2:$G$6834,4,FALSE),"")</f>
        <v/>
      </c>
      <c r="F810" s="405" t="str">
        <f>IFERROR(VLOOKUP(A810,[3]DOORSCRIEFT!$A$2:$G$6834,7,FALSE),"")</f>
        <v/>
      </c>
      <c r="G810" s="315"/>
    </row>
    <row r="811" spans="1:7" x14ac:dyDescent="0.25">
      <c r="A811" s="321" t="str">
        <f t="shared" si="25"/>
        <v>II.2.5.0123</v>
      </c>
      <c r="B811" s="321">
        <v>23</v>
      </c>
      <c r="C811" s="339" t="str">
        <f>IFERROR(VLOOKUP(A811,[3]DOORSCRIEFT!$A$2:$G$6834,2,FALSE),"")</f>
        <v/>
      </c>
      <c r="D811" s="481" t="str">
        <f>IFERROR(VLOOKUP(A811,[3]DOORSCRIEFT!$A$2:$G$6834,3,FALSE),"")</f>
        <v/>
      </c>
      <c r="E811" s="480" t="str">
        <f>IFERROR(VLOOKUP(A811,[3]DOORSCRIEFT!$A$2:$G$6834,4,FALSE),"")</f>
        <v/>
      </c>
      <c r="F811" s="405" t="str">
        <f>IFERROR(VLOOKUP(A811,[3]DOORSCRIEFT!$A$2:$G$6834,7,FALSE),"")</f>
        <v/>
      </c>
      <c r="G811" s="315"/>
    </row>
    <row r="812" spans="1:7" ht="15.75" thickBot="1" x14ac:dyDescent="0.3">
      <c r="A812" s="342" t="str">
        <f t="shared" si="25"/>
        <v>II.2.5.0124</v>
      </c>
      <c r="B812" s="342">
        <v>24</v>
      </c>
      <c r="C812" s="339" t="str">
        <f>IFERROR(VLOOKUP(A812,[3]DOORSCRIEFT!$A$2:$G$6834,2,FALSE),"")</f>
        <v/>
      </c>
      <c r="D812" s="481" t="str">
        <f>IFERROR(VLOOKUP(A812,[3]DOORSCRIEFT!$A$2:$G$6834,3,FALSE),"")</f>
        <v/>
      </c>
      <c r="E812" s="480" t="str">
        <f>IFERROR(VLOOKUP(A812,[3]DOORSCRIEFT!$A$2:$G$6834,4,FALSE),"")</f>
        <v/>
      </c>
      <c r="F812" s="405" t="str">
        <f>IFERROR(VLOOKUP(A812,[3]DOORSCRIEFT!$A$2:$G$6834,7,FALSE),"")</f>
        <v/>
      </c>
      <c r="G812" s="315"/>
    </row>
    <row r="813" spans="1:7" ht="15.75" thickBot="1" x14ac:dyDescent="0.3">
      <c r="A813" s="314"/>
      <c r="B813" s="312"/>
      <c r="C813" s="336"/>
      <c r="D813" s="486"/>
      <c r="E813" s="340" t="s">
        <v>644</v>
      </c>
      <c r="F813" s="310">
        <f>SUM(F789:F812)</f>
        <v>10835000</v>
      </c>
      <c r="G813" s="309">
        <f>SUM(G789:G812)</f>
        <v>0</v>
      </c>
    </row>
    <row r="814" spans="1:7" x14ac:dyDescent="0.25">
      <c r="C814" s="335"/>
      <c r="D814" s="485"/>
    </row>
    <row r="815" spans="1:7" x14ac:dyDescent="0.25">
      <c r="C815" s="335"/>
      <c r="D815" s="485"/>
    </row>
    <row r="816" spans="1:7" ht="15.75" x14ac:dyDescent="0.25">
      <c r="C816" s="334" t="s">
        <v>663</v>
      </c>
      <c r="D816" s="484"/>
      <c r="E816" s="333"/>
      <c r="F816" s="327" t="s">
        <v>607</v>
      </c>
      <c r="G816" s="327" t="s">
        <v>212</v>
      </c>
    </row>
    <row r="817" spans="1:7" ht="15.75" x14ac:dyDescent="0.25">
      <c r="C817" s="334"/>
      <c r="D817" s="484"/>
      <c r="E817" s="333"/>
      <c r="F817" s="327" t="s">
        <v>601</v>
      </c>
      <c r="G817" s="327" t="s">
        <v>211</v>
      </c>
    </row>
    <row r="818" spans="1:7" x14ac:dyDescent="0.25">
      <c r="C818" s="330"/>
      <c r="D818" s="482"/>
      <c r="E818" s="329"/>
      <c r="F818" s="327" t="s">
        <v>651</v>
      </c>
      <c r="G818" s="331">
        <f>[2]Sheet1!$D$287</f>
        <v>0</v>
      </c>
    </row>
    <row r="819" spans="1:7" ht="15.75" thickBot="1" x14ac:dyDescent="0.3">
      <c r="C819" s="330"/>
      <c r="D819" s="482"/>
      <c r="E819" s="329"/>
      <c r="F819" s="327" t="s">
        <v>650</v>
      </c>
      <c r="G819" s="326">
        <f>+F838-G818</f>
        <v>0</v>
      </c>
    </row>
    <row r="820" spans="1:7" x14ac:dyDescent="0.25">
      <c r="A820" s="571" t="s">
        <v>655</v>
      </c>
      <c r="B820" s="573" t="s">
        <v>606</v>
      </c>
      <c r="C820" s="588" t="s">
        <v>649</v>
      </c>
      <c r="D820" s="599" t="s">
        <v>648</v>
      </c>
      <c r="E820" s="577" t="s">
        <v>647</v>
      </c>
      <c r="F820" s="577" t="s">
        <v>646</v>
      </c>
      <c r="G820" s="580" t="s">
        <v>645</v>
      </c>
    </row>
    <row r="821" spans="1:7" ht="15.75" thickBot="1" x14ac:dyDescent="0.3">
      <c r="A821" s="572"/>
      <c r="B821" s="574"/>
      <c r="C821" s="589"/>
      <c r="D821" s="600"/>
      <c r="E821" s="578"/>
      <c r="F821" s="578"/>
      <c r="G821" s="581"/>
    </row>
    <row r="822" spans="1:7" ht="15.75" thickBot="1" x14ac:dyDescent="0.3">
      <c r="A822" s="425">
        <v>1</v>
      </c>
      <c r="B822" s="425">
        <v>2</v>
      </c>
      <c r="C822" s="425">
        <v>3</v>
      </c>
      <c r="D822" s="425">
        <v>4</v>
      </c>
      <c r="E822" s="425">
        <v>5</v>
      </c>
      <c r="F822" s="425">
        <v>6</v>
      </c>
      <c r="G822" s="425">
        <v>7</v>
      </c>
    </row>
    <row r="823" spans="1:7" x14ac:dyDescent="0.25">
      <c r="A823" s="320" t="str">
        <f t="shared" ref="A823:A837" si="26">$G$816&amp;B823</f>
        <v>II.2.5.021</v>
      </c>
      <c r="B823" s="320">
        <v>1</v>
      </c>
      <c r="C823" s="339" t="str">
        <f>IFERROR(VLOOKUP(A823,[3]DOORSCRIEFT!$A$2:$G$6834,2,FALSE),"")</f>
        <v/>
      </c>
      <c r="D823" s="481" t="str">
        <f>IFERROR(VLOOKUP(A823,[3]DOORSCRIEFT!$A$2:$G$6834,3,FALSE),"")</f>
        <v/>
      </c>
      <c r="E823" s="480" t="str">
        <f>IFERROR(VLOOKUP(A823,[3]DOORSCRIEFT!$A$2:$G$6834,4,FALSE),"")</f>
        <v/>
      </c>
      <c r="F823" s="405" t="str">
        <f>IFERROR(VLOOKUP(A823,[3]DOORSCRIEFT!$A$2:$G$6834,7,FALSE),"")</f>
        <v/>
      </c>
      <c r="G823" s="322"/>
    </row>
    <row r="824" spans="1:7" x14ac:dyDescent="0.25">
      <c r="A824" s="321" t="str">
        <f t="shared" si="26"/>
        <v>II.2.5.022</v>
      </c>
      <c r="B824" s="321">
        <v>2</v>
      </c>
      <c r="C824" s="339" t="str">
        <f>IFERROR(VLOOKUP(A824,[3]DOORSCRIEFT!$A$2:$G$6834,2,FALSE),"")</f>
        <v/>
      </c>
      <c r="D824" s="481" t="str">
        <f>IFERROR(VLOOKUP(A824,[3]DOORSCRIEFT!$A$2:$G$6834,3,FALSE),"")</f>
        <v/>
      </c>
      <c r="E824" s="480" t="str">
        <f>IFERROR(VLOOKUP(A824,[3]DOORSCRIEFT!$A$2:$G$6834,4,FALSE),"")</f>
        <v/>
      </c>
      <c r="F824" s="405" t="str">
        <f>IFERROR(VLOOKUP(A824,[3]DOORSCRIEFT!$A$2:$G$6834,7,FALSE),"")</f>
        <v/>
      </c>
      <c r="G824" s="315"/>
    </row>
    <row r="825" spans="1:7" x14ac:dyDescent="0.25">
      <c r="A825" s="321" t="str">
        <f t="shared" si="26"/>
        <v>II.2.5.023</v>
      </c>
      <c r="B825" s="321">
        <v>3</v>
      </c>
      <c r="C825" s="339" t="str">
        <f>IFERROR(VLOOKUP(A825,[3]DOORSCRIEFT!$A$2:$G$6834,2,FALSE),"")</f>
        <v/>
      </c>
      <c r="D825" s="481" t="str">
        <f>IFERROR(VLOOKUP(A825,[3]DOORSCRIEFT!$A$2:$G$6834,3,FALSE),"")</f>
        <v/>
      </c>
      <c r="E825" s="480" t="str">
        <f>IFERROR(VLOOKUP(A825,[3]DOORSCRIEFT!$A$2:$G$6834,4,FALSE),"")</f>
        <v/>
      </c>
      <c r="F825" s="405" t="str">
        <f>IFERROR(VLOOKUP(A825,[3]DOORSCRIEFT!$A$2:$G$6834,7,FALSE),"")</f>
        <v/>
      </c>
      <c r="G825" s="315"/>
    </row>
    <row r="826" spans="1:7" x14ac:dyDescent="0.25">
      <c r="A826" s="321" t="str">
        <f t="shared" si="26"/>
        <v>II.2.5.024</v>
      </c>
      <c r="B826" s="321">
        <v>4</v>
      </c>
      <c r="C826" s="339" t="str">
        <f>IFERROR(VLOOKUP(A826,[3]DOORSCRIEFT!$A$2:$G$6834,2,FALSE),"")</f>
        <v/>
      </c>
      <c r="D826" s="481" t="str">
        <f>IFERROR(VLOOKUP(A826,[3]DOORSCRIEFT!$A$2:$G$6834,3,FALSE),"")</f>
        <v/>
      </c>
      <c r="E826" s="480" t="str">
        <f>IFERROR(VLOOKUP(A826,[3]DOORSCRIEFT!$A$2:$G$6834,4,FALSE),"")</f>
        <v/>
      </c>
      <c r="F826" s="405" t="str">
        <f>IFERROR(VLOOKUP(A826,[3]DOORSCRIEFT!$A$2:$G$6834,7,FALSE),"")</f>
        <v/>
      </c>
      <c r="G826" s="315"/>
    </row>
    <row r="827" spans="1:7" x14ac:dyDescent="0.25">
      <c r="A827" s="321" t="str">
        <f t="shared" si="26"/>
        <v>II.2.5.025</v>
      </c>
      <c r="B827" s="321">
        <v>5</v>
      </c>
      <c r="C827" s="339" t="str">
        <f>IFERROR(VLOOKUP(A827,[3]DOORSCRIEFT!$A$2:$G$6834,2,FALSE),"")</f>
        <v/>
      </c>
      <c r="D827" s="481" t="str">
        <f>IFERROR(VLOOKUP(A827,[3]DOORSCRIEFT!$A$2:$G$6834,3,FALSE),"")</f>
        <v/>
      </c>
      <c r="E827" s="480" t="str">
        <f>IFERROR(VLOOKUP(A827,[3]DOORSCRIEFT!$A$2:$G$6834,4,FALSE),"")</f>
        <v/>
      </c>
      <c r="F827" s="405" t="str">
        <f>IFERROR(VLOOKUP(A827,[3]DOORSCRIEFT!$A$2:$G$6834,7,FALSE),"")</f>
        <v/>
      </c>
      <c r="G827" s="315"/>
    </row>
    <row r="828" spans="1:7" x14ac:dyDescent="0.25">
      <c r="A828" s="321" t="str">
        <f t="shared" si="26"/>
        <v>II.2.5.026</v>
      </c>
      <c r="B828" s="321">
        <v>6</v>
      </c>
      <c r="C828" s="339" t="str">
        <f>IFERROR(VLOOKUP(A828,[3]DOORSCRIEFT!$A$2:$G$6834,2,FALSE),"")</f>
        <v/>
      </c>
      <c r="D828" s="481" t="str">
        <f>IFERROR(VLOOKUP(A828,[3]DOORSCRIEFT!$A$2:$G$6834,3,FALSE),"")</f>
        <v/>
      </c>
      <c r="E828" s="480" t="str">
        <f>IFERROR(VLOOKUP(A828,[3]DOORSCRIEFT!$A$2:$G$6834,4,FALSE),"")</f>
        <v/>
      </c>
      <c r="F828" s="405" t="str">
        <f>IFERROR(VLOOKUP(A828,[3]DOORSCRIEFT!$A$2:$G$6834,7,FALSE),"")</f>
        <v/>
      </c>
      <c r="G828" s="315"/>
    </row>
    <row r="829" spans="1:7" x14ac:dyDescent="0.25">
      <c r="A829" s="321" t="str">
        <f t="shared" si="26"/>
        <v>II.2.5.027</v>
      </c>
      <c r="B829" s="321">
        <v>7</v>
      </c>
      <c r="C829" s="339" t="str">
        <f>IFERROR(VLOOKUP(A829,[3]DOORSCRIEFT!$A$2:$G$6834,2,FALSE),"")</f>
        <v/>
      </c>
      <c r="D829" s="481" t="str">
        <f>IFERROR(VLOOKUP(A829,[3]DOORSCRIEFT!$A$2:$G$6834,3,FALSE),"")</f>
        <v/>
      </c>
      <c r="E829" s="480" t="str">
        <f>IFERROR(VLOOKUP(A829,[3]DOORSCRIEFT!$A$2:$G$6834,4,FALSE),"")</f>
        <v/>
      </c>
      <c r="F829" s="405" t="str">
        <f>IFERROR(VLOOKUP(A829,[3]DOORSCRIEFT!$A$2:$G$6834,7,FALSE),"")</f>
        <v/>
      </c>
      <c r="G829" s="315"/>
    </row>
    <row r="830" spans="1:7" x14ac:dyDescent="0.25">
      <c r="A830" s="321" t="str">
        <f t="shared" si="26"/>
        <v>II.2.5.028</v>
      </c>
      <c r="B830" s="321">
        <v>8</v>
      </c>
      <c r="C830" s="339" t="str">
        <f>IFERROR(VLOOKUP(A830,[3]DOORSCRIEFT!$A$2:$G$6834,2,FALSE),"")</f>
        <v/>
      </c>
      <c r="D830" s="481" t="str">
        <f>IFERROR(VLOOKUP(A830,[3]DOORSCRIEFT!$A$2:$G$6834,3,FALSE),"")</f>
        <v/>
      </c>
      <c r="E830" s="480" t="str">
        <f>IFERROR(VLOOKUP(A830,[3]DOORSCRIEFT!$A$2:$G$6834,4,FALSE),"")</f>
        <v/>
      </c>
      <c r="F830" s="405" t="str">
        <f>IFERROR(VLOOKUP(A830,[3]DOORSCRIEFT!$A$2:$G$6834,7,FALSE),"")</f>
        <v/>
      </c>
      <c r="G830" s="315"/>
    </row>
    <row r="831" spans="1:7" x14ac:dyDescent="0.25">
      <c r="A831" s="321" t="str">
        <f t="shared" si="26"/>
        <v>II.2.5.029</v>
      </c>
      <c r="B831" s="321">
        <v>9</v>
      </c>
      <c r="C831" s="339" t="str">
        <f>IFERROR(VLOOKUP(A831,[3]DOORSCRIEFT!$A$2:$G$6834,2,FALSE),"")</f>
        <v/>
      </c>
      <c r="D831" s="481" t="str">
        <f>IFERROR(VLOOKUP(A831,[3]DOORSCRIEFT!$A$2:$G$6834,3,FALSE),"")</f>
        <v/>
      </c>
      <c r="E831" s="480" t="str">
        <f>IFERROR(VLOOKUP(A831,[3]DOORSCRIEFT!$A$2:$G$6834,4,FALSE),"")</f>
        <v/>
      </c>
      <c r="F831" s="405" t="str">
        <f>IFERROR(VLOOKUP(A831,[3]DOORSCRIEFT!$A$2:$G$6834,7,FALSE),"")</f>
        <v/>
      </c>
      <c r="G831" s="315"/>
    </row>
    <row r="832" spans="1:7" x14ac:dyDescent="0.25">
      <c r="A832" s="321" t="str">
        <f t="shared" si="26"/>
        <v>II.2.5.0210</v>
      </c>
      <c r="B832" s="321">
        <v>10</v>
      </c>
      <c r="C832" s="339" t="str">
        <f>IFERROR(VLOOKUP(A832,[3]DOORSCRIEFT!$A$2:$G$6834,2,FALSE),"")</f>
        <v/>
      </c>
      <c r="D832" s="481" t="str">
        <f>IFERROR(VLOOKUP(A832,[3]DOORSCRIEFT!$A$2:$G$6834,3,FALSE),"")</f>
        <v/>
      </c>
      <c r="E832" s="480" t="str">
        <f>IFERROR(VLOOKUP(A832,[3]DOORSCRIEFT!$A$2:$G$6834,4,FALSE),"")</f>
        <v/>
      </c>
      <c r="F832" s="405" t="str">
        <f>IFERROR(VLOOKUP(A832,[3]DOORSCRIEFT!$A$2:$G$6834,7,FALSE),"")</f>
        <v/>
      </c>
      <c r="G832" s="315"/>
    </row>
    <row r="833" spans="1:7" x14ac:dyDescent="0.25">
      <c r="A833" s="321" t="str">
        <f t="shared" si="26"/>
        <v>II.2.5.0211</v>
      </c>
      <c r="B833" s="321">
        <v>11</v>
      </c>
      <c r="C833" s="339" t="str">
        <f>IFERROR(VLOOKUP(A833,[3]DOORSCRIEFT!$A$2:$G$6834,2,FALSE),"")</f>
        <v/>
      </c>
      <c r="D833" s="481" t="str">
        <f>IFERROR(VLOOKUP(A833,[3]DOORSCRIEFT!$A$2:$G$6834,3,FALSE),"")</f>
        <v/>
      </c>
      <c r="E833" s="480" t="str">
        <f>IFERROR(VLOOKUP(A833,[3]DOORSCRIEFT!$A$2:$G$6834,4,FALSE),"")</f>
        <v/>
      </c>
      <c r="F833" s="405" t="str">
        <f>IFERROR(VLOOKUP(A833,[3]DOORSCRIEFT!$A$2:$G$6834,7,FALSE),"")</f>
        <v/>
      </c>
      <c r="G833" s="315"/>
    </row>
    <row r="834" spans="1:7" x14ac:dyDescent="0.25">
      <c r="A834" s="321" t="str">
        <f t="shared" si="26"/>
        <v>II.2.5.0212</v>
      </c>
      <c r="B834" s="321">
        <v>12</v>
      </c>
      <c r="C834" s="339" t="str">
        <f>IFERROR(VLOOKUP(A834,[3]DOORSCRIEFT!$A$2:$G$6834,2,FALSE),"")</f>
        <v/>
      </c>
      <c r="D834" s="481" t="str">
        <f>IFERROR(VLOOKUP(A834,[3]DOORSCRIEFT!$A$2:$G$6834,3,FALSE),"")</f>
        <v/>
      </c>
      <c r="E834" s="480" t="str">
        <f>IFERROR(VLOOKUP(A834,[3]DOORSCRIEFT!$A$2:$G$6834,4,FALSE),"")</f>
        <v/>
      </c>
      <c r="F834" s="405" t="str">
        <f>IFERROR(VLOOKUP(A834,[3]DOORSCRIEFT!$A$2:$G$6834,7,FALSE),"")</f>
        <v/>
      </c>
      <c r="G834" s="315"/>
    </row>
    <row r="835" spans="1:7" x14ac:dyDescent="0.25">
      <c r="A835" s="321" t="str">
        <f t="shared" si="26"/>
        <v>II.2.5.0213</v>
      </c>
      <c r="B835" s="321">
        <v>13</v>
      </c>
      <c r="C835" s="339" t="str">
        <f>IFERROR(VLOOKUP(A835,[3]DOORSCRIEFT!$A$2:$G$6834,2,FALSE),"")</f>
        <v/>
      </c>
      <c r="D835" s="481" t="str">
        <f>IFERROR(VLOOKUP(A835,[3]DOORSCRIEFT!$A$2:$G$6834,3,FALSE),"")</f>
        <v/>
      </c>
      <c r="E835" s="480" t="str">
        <f>IFERROR(VLOOKUP(A835,[3]DOORSCRIEFT!$A$2:$G$6834,4,FALSE),"")</f>
        <v/>
      </c>
      <c r="F835" s="405" t="str">
        <f>IFERROR(VLOOKUP(A835,[3]DOORSCRIEFT!$A$2:$G$6834,7,FALSE),"")</f>
        <v/>
      </c>
      <c r="G835" s="315"/>
    </row>
    <row r="836" spans="1:7" x14ac:dyDescent="0.25">
      <c r="A836" s="321" t="str">
        <f t="shared" si="26"/>
        <v>II.2.5.0214</v>
      </c>
      <c r="B836" s="321">
        <v>14</v>
      </c>
      <c r="C836" s="339" t="str">
        <f>IFERROR(VLOOKUP(A836,[3]DOORSCRIEFT!$A$2:$G$6834,2,FALSE),"")</f>
        <v/>
      </c>
      <c r="D836" s="481" t="str">
        <f>IFERROR(VLOOKUP(A836,[3]DOORSCRIEFT!$A$2:$G$6834,3,FALSE),"")</f>
        <v/>
      </c>
      <c r="E836" s="480" t="str">
        <f>IFERROR(VLOOKUP(A836,[3]DOORSCRIEFT!$A$2:$G$6834,4,FALSE),"")</f>
        <v/>
      </c>
      <c r="F836" s="405" t="str">
        <f>IFERROR(VLOOKUP(A836,[3]DOORSCRIEFT!$A$2:$G$6834,7,FALSE),"")</f>
        <v/>
      </c>
      <c r="G836" s="315"/>
    </row>
    <row r="837" spans="1:7" ht="15.75" thickBot="1" x14ac:dyDescent="0.3">
      <c r="A837" s="342" t="str">
        <f t="shared" si="26"/>
        <v>II.2.5.0215</v>
      </c>
      <c r="B837" s="342">
        <v>15</v>
      </c>
      <c r="C837" s="339" t="str">
        <f>IFERROR(VLOOKUP(A837,[3]DOORSCRIEFT!$A$2:$G$6834,2,FALSE),"")</f>
        <v/>
      </c>
      <c r="D837" s="481" t="str">
        <f>IFERROR(VLOOKUP(A837,[3]DOORSCRIEFT!$A$2:$G$6834,3,FALSE),"")</f>
        <v/>
      </c>
      <c r="E837" s="480" t="str">
        <f>IFERROR(VLOOKUP(A837,[3]DOORSCRIEFT!$A$2:$G$6834,4,FALSE),"")</f>
        <v/>
      </c>
      <c r="F837" s="405" t="str">
        <f>IFERROR(VLOOKUP(A837,[3]DOORSCRIEFT!$A$2:$G$6834,7,FALSE),"")</f>
        <v/>
      </c>
      <c r="G837" s="315"/>
    </row>
    <row r="838" spans="1:7" ht="15.75" thickBot="1" x14ac:dyDescent="0.3">
      <c r="A838" s="341"/>
      <c r="B838" s="340"/>
      <c r="C838" s="336"/>
      <c r="D838" s="486"/>
      <c r="E838" s="340" t="s">
        <v>644</v>
      </c>
      <c r="F838" s="310">
        <f>SUM(F823:F837)</f>
        <v>0</v>
      </c>
      <c r="G838" s="309">
        <f>SUM(G823:G837)</f>
        <v>0</v>
      </c>
    </row>
    <row r="839" spans="1:7" x14ac:dyDescent="0.25">
      <c r="C839" s="335"/>
      <c r="D839" s="485"/>
    </row>
    <row r="840" spans="1:7" x14ac:dyDescent="0.25">
      <c r="C840" s="335"/>
      <c r="D840" s="485"/>
    </row>
    <row r="841" spans="1:7" ht="15.75" x14ac:dyDescent="0.25">
      <c r="C841" s="334" t="s">
        <v>663</v>
      </c>
      <c r="D841" s="484"/>
      <c r="E841" s="333"/>
      <c r="F841" s="327" t="s">
        <v>607</v>
      </c>
      <c r="G841" s="327" t="s">
        <v>210</v>
      </c>
    </row>
    <row r="842" spans="1:7" ht="15.75" x14ac:dyDescent="0.25">
      <c r="C842" s="334"/>
      <c r="D842" s="484"/>
      <c r="E842" s="333"/>
      <c r="F842" s="327" t="s">
        <v>601</v>
      </c>
      <c r="G842" s="327" t="s">
        <v>209</v>
      </c>
    </row>
    <row r="843" spans="1:7" x14ac:dyDescent="0.25">
      <c r="C843" s="330"/>
      <c r="D843" s="482"/>
      <c r="E843" s="329"/>
      <c r="F843" s="327" t="s">
        <v>651</v>
      </c>
      <c r="G843" s="331">
        <f>[2]Sheet1!$D$288</f>
        <v>8500000</v>
      </c>
    </row>
    <row r="844" spans="1:7" ht="15.75" thickBot="1" x14ac:dyDescent="0.3">
      <c r="C844" s="330"/>
      <c r="D844" s="482"/>
      <c r="E844" s="329"/>
      <c r="F844" s="327" t="s">
        <v>650</v>
      </c>
      <c r="G844" s="326">
        <f>+F880-G843</f>
        <v>1425000</v>
      </c>
    </row>
    <row r="845" spans="1:7" x14ac:dyDescent="0.25">
      <c r="A845" s="571" t="s">
        <v>655</v>
      </c>
      <c r="B845" s="573" t="s">
        <v>606</v>
      </c>
      <c r="C845" s="588" t="s">
        <v>649</v>
      </c>
      <c r="D845" s="599" t="s">
        <v>648</v>
      </c>
      <c r="E845" s="577" t="s">
        <v>647</v>
      </c>
      <c r="F845" s="577" t="s">
        <v>646</v>
      </c>
      <c r="G845" s="580" t="s">
        <v>645</v>
      </c>
    </row>
    <row r="846" spans="1:7" ht="15.75" thickBot="1" x14ac:dyDescent="0.3">
      <c r="A846" s="572"/>
      <c r="B846" s="574"/>
      <c r="C846" s="589"/>
      <c r="D846" s="600"/>
      <c r="E846" s="578"/>
      <c r="F846" s="578"/>
      <c r="G846" s="581"/>
    </row>
    <row r="847" spans="1:7" ht="15.75" thickBot="1" x14ac:dyDescent="0.3">
      <c r="A847" s="425">
        <v>1</v>
      </c>
      <c r="B847" s="425">
        <v>2</v>
      </c>
      <c r="C847" s="425">
        <v>3</v>
      </c>
      <c r="D847" s="425">
        <v>4</v>
      </c>
      <c r="E847" s="425">
        <v>5</v>
      </c>
      <c r="F847" s="425">
        <v>6</v>
      </c>
      <c r="G847" s="425">
        <v>7</v>
      </c>
    </row>
    <row r="848" spans="1:7" x14ac:dyDescent="0.25">
      <c r="A848" s="320" t="str">
        <f t="shared" ref="A848:A879" si="27">$G$841&amp;B848</f>
        <v>II.2.5.031</v>
      </c>
      <c r="B848" s="320">
        <v>1</v>
      </c>
      <c r="C848" s="339">
        <f>IFERROR(VLOOKUP(A848,[3]DOORSCRIEFT!$A$2:$G$6834,2,FALSE),"")</f>
        <v>24</v>
      </c>
      <c r="D848" s="481">
        <f>IFERROR(VLOOKUP(A848,[3]DOORSCRIEFT!$A$2:$G$6834,3,FALSE),"")</f>
        <v>46028</v>
      </c>
      <c r="E848" s="480" t="str">
        <f>IFERROR(VLOOKUP(A848,[3]DOORSCRIEFT!$A$2:$G$6834,4,FALSE),"")</f>
        <v>Biaya Kerja Speaker Gereja SK</v>
      </c>
      <c r="F848" s="405">
        <f>IFERROR(VLOOKUP(A848,[3]DOORSCRIEFT!$A$2:$G$6834,7,FALSE),"")</f>
        <v>300000</v>
      </c>
      <c r="G848" s="322"/>
    </row>
    <row r="849" spans="1:7" x14ac:dyDescent="0.25">
      <c r="A849" s="321" t="str">
        <f t="shared" si="27"/>
        <v>II.2.5.032</v>
      </c>
      <c r="B849" s="321">
        <v>2</v>
      </c>
      <c r="C849" s="339">
        <f>IFERROR(VLOOKUP(A849,[3]DOORSCRIEFT!$A$2:$G$6834,2,FALSE),"")</f>
        <v>45</v>
      </c>
      <c r="D849" s="481">
        <f>IFERROR(VLOOKUP(A849,[3]DOORSCRIEFT!$A$2:$G$6834,3,FALSE),"")</f>
        <v>46033</v>
      </c>
      <c r="E849" s="480" t="str">
        <f>IFERROR(VLOOKUP(A849,[3]DOORSCRIEFT!$A$2:$G$6834,4,FALSE),"")</f>
        <v>Biaya Cuci Pakaian Gereja</v>
      </c>
      <c r="F849" s="405">
        <f>IFERROR(VLOOKUP(A849,[3]DOORSCRIEFT!$A$2:$G$6834,7,FALSE),"")</f>
        <v>100000</v>
      </c>
      <c r="G849" s="315"/>
    </row>
    <row r="850" spans="1:7" x14ac:dyDescent="0.25">
      <c r="A850" s="321" t="str">
        <f t="shared" si="27"/>
        <v>II.2.5.033</v>
      </c>
      <c r="B850" s="321">
        <v>3</v>
      </c>
      <c r="C850" s="339">
        <f>IFERROR(VLOOKUP(A850,[3]DOORSCRIEFT!$A$2:$G$6834,2,FALSE),"")</f>
        <v>80</v>
      </c>
      <c r="D850" s="481">
        <f>IFERROR(VLOOKUP(A850,[3]DOORSCRIEFT!$A$2:$G$6834,3,FALSE),"")</f>
        <v>46040</v>
      </c>
      <c r="E850" s="480" t="str">
        <f>IFERROR(VLOOKUP(A850,[3]DOORSCRIEFT!$A$2:$G$6834,4,FALSE),"")</f>
        <v>Biaya service Ac Gereja Baitrafa dan Pastori I</v>
      </c>
      <c r="F850" s="405">
        <f>IFERROR(VLOOKUP(A850,[3]DOORSCRIEFT!$A$2:$G$6834,7,FALSE),"")</f>
        <v>2500000</v>
      </c>
      <c r="G850" s="315"/>
    </row>
    <row r="851" spans="1:7" x14ac:dyDescent="0.25">
      <c r="A851" s="321" t="str">
        <f t="shared" si="27"/>
        <v>II.2.5.034</v>
      </c>
      <c r="B851" s="321">
        <v>4</v>
      </c>
      <c r="C851" s="339">
        <f>IFERROR(VLOOKUP(A851,[3]DOORSCRIEFT!$A$2:$G$6834,2,FALSE),"")</f>
        <v>81</v>
      </c>
      <c r="D851" s="481">
        <f>IFERROR(VLOOKUP(A851,[3]DOORSCRIEFT!$A$2:$G$6834,3,FALSE),"")</f>
        <v>46040</v>
      </c>
      <c r="E851" s="480" t="str">
        <f>IFERROR(VLOOKUP(A851,[3]DOORSCRIEFT!$A$2:$G$6834,4,FALSE),"")</f>
        <v>Biaya Cuci pakaian Gereja</v>
      </c>
      <c r="F851" s="405">
        <f>IFERROR(VLOOKUP(A851,[3]DOORSCRIEFT!$A$2:$G$6834,7,FALSE),"")</f>
        <v>50000</v>
      </c>
      <c r="G851" s="315"/>
    </row>
    <row r="852" spans="1:7" x14ac:dyDescent="0.25">
      <c r="A852" s="321" t="str">
        <f t="shared" si="27"/>
        <v>II.2.5.035</v>
      </c>
      <c r="B852" s="321">
        <v>5</v>
      </c>
      <c r="C852" s="339">
        <f>IFERROR(VLOOKUP(A852,[3]DOORSCRIEFT!$A$2:$G$6834,2,FALSE),"")</f>
        <v>116</v>
      </c>
      <c r="D852" s="481">
        <f>IFERROR(VLOOKUP(A852,[3]DOORSCRIEFT!$A$2:$G$6834,3,FALSE),"")</f>
        <v>46047</v>
      </c>
      <c r="E852" s="480" t="str">
        <f>IFERROR(VLOOKUP(A852,[3]DOORSCRIEFT!$A$2:$G$6834,4,FALSE),"")</f>
        <v>Biaya Cuci Pakaian Gereja</v>
      </c>
      <c r="F852" s="405">
        <f>IFERROR(VLOOKUP(A852,[3]DOORSCRIEFT!$A$2:$G$6834,7,FALSE),"")</f>
        <v>50000</v>
      </c>
      <c r="G852" s="315"/>
    </row>
    <row r="853" spans="1:7" x14ac:dyDescent="0.25">
      <c r="A853" s="321" t="str">
        <f t="shared" si="27"/>
        <v>II.2.5.036</v>
      </c>
      <c r="B853" s="321">
        <v>6</v>
      </c>
      <c r="C853" s="339">
        <f>IFERROR(VLOOKUP(A853,[3]DOORSCRIEFT!$A$2:$G$6834,2,FALSE),"")</f>
        <v>117</v>
      </c>
      <c r="D853" s="481">
        <f>IFERROR(VLOOKUP(A853,[3]DOORSCRIEFT!$A$2:$G$6834,3,FALSE),"")</f>
        <v>46047</v>
      </c>
      <c r="E853" s="480" t="str">
        <f>IFERROR(VLOOKUP(A853,[3]DOORSCRIEFT!$A$2:$G$6834,4,FALSE),"")</f>
        <v>Biaya Servici Komputer</v>
      </c>
      <c r="F853" s="405">
        <f>IFERROR(VLOOKUP(A853,[3]DOORSCRIEFT!$A$2:$G$6834,7,FALSE),"")</f>
        <v>50000</v>
      </c>
      <c r="G853" s="315"/>
    </row>
    <row r="854" spans="1:7" x14ac:dyDescent="0.25">
      <c r="A854" s="321" t="str">
        <f t="shared" si="27"/>
        <v>II.2.5.037</v>
      </c>
      <c r="B854" s="321">
        <v>7</v>
      </c>
      <c r="C854" s="339">
        <f>IFERROR(VLOOKUP(A854,[3]DOORSCRIEFT!$A$2:$G$6834,2,FALSE),"")</f>
        <v>119</v>
      </c>
      <c r="D854" s="481">
        <f>IFERROR(VLOOKUP(A854,[3]DOORSCRIEFT!$A$2:$G$6834,3,FALSE),"")</f>
        <v>46047</v>
      </c>
      <c r="E854" s="480" t="str">
        <f>IFERROR(VLOOKUP(A854,[3]DOORSCRIEFT!$A$2:$G$6834,4,FALSE),"")</f>
        <v>Biaya service AC gereja SK dan Beli barang AC</v>
      </c>
      <c r="F854" s="405">
        <f>IFERROR(VLOOKUP(A854,[3]DOORSCRIEFT!$A$2:$G$6834,7,FALSE),"")</f>
        <v>1150000</v>
      </c>
      <c r="G854" s="315"/>
    </row>
    <row r="855" spans="1:7" x14ac:dyDescent="0.25">
      <c r="A855" s="321" t="str">
        <f t="shared" si="27"/>
        <v>II.2.5.038</v>
      </c>
      <c r="B855" s="321">
        <v>8</v>
      </c>
      <c r="C855" s="339">
        <f>IFERROR(VLOOKUP(A855,[3]DOORSCRIEFT!$A$2:$G$6834,2,FALSE),"")</f>
        <v>151</v>
      </c>
      <c r="D855" s="481">
        <f>IFERROR(VLOOKUP(A855,[3]DOORSCRIEFT!$A$2:$G$6834,3,FALSE),"")</f>
        <v>46054</v>
      </c>
      <c r="E855" s="480" t="str">
        <f>IFERROR(VLOOKUP(A855,[3]DOORSCRIEFT!$A$2:$G$6834,4,FALSE),"")</f>
        <v>Biaya cuci pakaian Gereja</v>
      </c>
      <c r="F855" s="405">
        <f>IFERROR(VLOOKUP(A855,[3]DOORSCRIEFT!$A$2:$G$6834,7,FALSE),"")</f>
        <v>200000</v>
      </c>
      <c r="G855" s="315"/>
    </row>
    <row r="856" spans="1:7" x14ac:dyDescent="0.25">
      <c r="A856" s="321" t="str">
        <f t="shared" si="27"/>
        <v>II.2.5.039</v>
      </c>
      <c r="B856" s="321">
        <v>9</v>
      </c>
      <c r="C856" s="339">
        <f>IFERROR(VLOOKUP(A856,[3]DOORSCRIEFT!$A$2:$G$6834,2,FALSE),"")</f>
        <v>153</v>
      </c>
      <c r="D856" s="481">
        <f>IFERROR(VLOOKUP(A856,[3]DOORSCRIEFT!$A$2:$G$6834,3,FALSE),"")</f>
        <v>46054</v>
      </c>
      <c r="E856" s="480" t="str">
        <f>IFERROR(VLOOKUP(A856,[3]DOORSCRIEFT!$A$2:$G$6834,4,FALSE),"")</f>
        <v>Beli solar untuk mesin genset dan transport</v>
      </c>
      <c r="F856" s="405">
        <f>IFERROR(VLOOKUP(A856,[3]DOORSCRIEFT!$A$2:$G$6834,7,FALSE),"")</f>
        <v>320000</v>
      </c>
      <c r="G856" s="315"/>
    </row>
    <row r="857" spans="1:7" x14ac:dyDescent="0.25">
      <c r="A857" s="321" t="str">
        <f t="shared" si="27"/>
        <v>II.2.5.0310</v>
      </c>
      <c r="B857" s="321">
        <v>10</v>
      </c>
      <c r="C857" s="339">
        <f>IFERROR(VLOOKUP(A857,[3]DOORSCRIEFT!$A$2:$G$6834,2,FALSE),"")</f>
        <v>187</v>
      </c>
      <c r="D857" s="481">
        <f>IFERROR(VLOOKUP(A857,[3]DOORSCRIEFT!$A$2:$G$6834,3,FALSE),"")</f>
        <v>46061</v>
      </c>
      <c r="E857" s="480" t="str">
        <f>IFERROR(VLOOKUP(A857,[3]DOORSCRIEFT!$A$2:$G$6834,4,FALSE),"")</f>
        <v>Biaya cuci pakaian Gereja</v>
      </c>
      <c r="F857" s="405">
        <f>IFERROR(VLOOKUP(A857,[3]DOORSCRIEFT!$A$2:$G$6834,7,FALSE),"")</f>
        <v>70000</v>
      </c>
      <c r="G857" s="315"/>
    </row>
    <row r="858" spans="1:7" x14ac:dyDescent="0.25">
      <c r="A858" s="321" t="str">
        <f t="shared" si="27"/>
        <v>II.2.5.0311</v>
      </c>
      <c r="B858" s="321">
        <v>11</v>
      </c>
      <c r="C858" s="339">
        <f>IFERROR(VLOOKUP(A858,[3]DOORSCRIEFT!$A$2:$G$6834,2,FALSE),"")</f>
        <v>206</v>
      </c>
      <c r="D858" s="481">
        <f>IFERROR(VLOOKUP(A858,[3]DOORSCRIEFT!$A$2:$G$6834,3,FALSE),"")</f>
        <v>46068</v>
      </c>
      <c r="E858" s="480" t="str">
        <f>IFERROR(VLOOKUP(A858,[3]DOORSCRIEFT!$A$2:$G$6834,4,FALSE),"")</f>
        <v>Biaya Kontrak Mesin Cetak tahun 2026</v>
      </c>
      <c r="F858" s="405">
        <f>IFERROR(VLOOKUP(A858,[3]DOORSCRIEFT!$A$2:$G$6834,7,FALSE),"")</f>
        <v>1685000</v>
      </c>
      <c r="G858" s="315"/>
    </row>
    <row r="859" spans="1:7" x14ac:dyDescent="0.25">
      <c r="A859" s="321" t="str">
        <f t="shared" si="27"/>
        <v>II.2.5.0312</v>
      </c>
      <c r="B859" s="321">
        <v>12</v>
      </c>
      <c r="C859" s="339">
        <f>IFERROR(VLOOKUP(A859,[3]DOORSCRIEFT!$A$2:$G$6834,2,FALSE),"")</f>
        <v>209</v>
      </c>
      <c r="D859" s="481">
        <f>IFERROR(VLOOKUP(A859,[3]DOORSCRIEFT!$A$2:$G$6834,3,FALSE),"")</f>
        <v>46068</v>
      </c>
      <c r="E859" s="480" t="str">
        <f>IFERROR(VLOOKUP(A859,[3]DOORSCRIEFT!$A$2:$G$6834,4,FALSE),"")</f>
        <v>Biaya Laundry Pakaian Gereja</v>
      </c>
      <c r="F859" s="405">
        <f>IFERROR(VLOOKUP(A859,[3]DOORSCRIEFT!$A$2:$G$6834,7,FALSE),"")</f>
        <v>50000</v>
      </c>
      <c r="G859" s="315"/>
    </row>
    <row r="860" spans="1:7" x14ac:dyDescent="0.25">
      <c r="A860" s="321" t="str">
        <f t="shared" si="27"/>
        <v>II.2.5.0313</v>
      </c>
      <c r="B860" s="321">
        <v>13</v>
      </c>
      <c r="C860" s="339">
        <f>IFERROR(VLOOKUP(A860,[3]DOORSCRIEFT!$A$2:$G$6834,2,FALSE),"")</f>
        <v>278</v>
      </c>
      <c r="D860" s="481">
        <f>IFERROR(VLOOKUP(A860,[3]DOORSCRIEFT!$A$2:$G$6834,3,FALSE),"")</f>
        <v>46082</v>
      </c>
      <c r="E860" s="480" t="str">
        <f>IFERROR(VLOOKUP(A860,[3]DOORSCRIEFT!$A$2:$G$6834,4,FALSE),"")</f>
        <v>Biaya Cuci Pakaian Gereja</v>
      </c>
      <c r="F860" s="405">
        <f>IFERROR(VLOOKUP(A860,[3]DOORSCRIEFT!$A$2:$G$6834,7,FALSE),"")</f>
        <v>100000</v>
      </c>
      <c r="G860" s="315"/>
    </row>
    <row r="861" spans="1:7" x14ac:dyDescent="0.25">
      <c r="A861" s="321" t="str">
        <f t="shared" si="27"/>
        <v>II.2.5.0314</v>
      </c>
      <c r="B861" s="321">
        <v>14</v>
      </c>
      <c r="C861" s="339">
        <f>IFERROR(VLOOKUP(A861,[3]DOORSCRIEFT!$A$2:$G$6834,2,FALSE),"")</f>
        <v>279</v>
      </c>
      <c r="D861" s="481">
        <f>IFERROR(VLOOKUP(A861,[3]DOORSCRIEFT!$A$2:$G$6834,3,FALSE),"")</f>
        <v>46082</v>
      </c>
      <c r="E861" s="480" t="str">
        <f>IFERROR(VLOOKUP(A861,[3]DOORSCRIEFT!$A$2:$G$6834,4,FALSE),"")</f>
        <v>Biaya Service Laptop</v>
      </c>
      <c r="F861" s="405">
        <f>IFERROR(VLOOKUP(A861,[3]DOORSCRIEFT!$A$2:$G$6834,7,FALSE),"")</f>
        <v>500000</v>
      </c>
      <c r="G861" s="315"/>
    </row>
    <row r="862" spans="1:7" x14ac:dyDescent="0.25">
      <c r="A862" s="321" t="str">
        <f t="shared" si="27"/>
        <v>II.2.5.0315</v>
      </c>
      <c r="B862" s="321">
        <v>15</v>
      </c>
      <c r="C862" s="339">
        <f>IFERROR(VLOOKUP(A862,[3]DOORSCRIEFT!$A$2:$G$6834,2,FALSE),"")</f>
        <v>318</v>
      </c>
      <c r="D862" s="481">
        <f>IFERROR(VLOOKUP(A862,[3]DOORSCRIEFT!$A$2:$G$6834,3,FALSE),"")</f>
        <v>46089</v>
      </c>
      <c r="E862" s="480" t="str">
        <f>IFERROR(VLOOKUP(A862,[3]DOORSCRIEFT!$A$2:$G$6834,4,FALSE),"")</f>
        <v>Biaya Pemeliharaan Lampu Paskah dan Beli Kabel</v>
      </c>
      <c r="F862" s="405">
        <f>IFERROR(VLOOKUP(A862,[3]DOORSCRIEFT!$A$2:$G$6834,7,FALSE),"")</f>
        <v>2500000</v>
      </c>
      <c r="G862" s="315"/>
    </row>
    <row r="863" spans="1:7" x14ac:dyDescent="0.25">
      <c r="A863" s="321" t="str">
        <f t="shared" si="27"/>
        <v>II.2.5.0316</v>
      </c>
      <c r="B863" s="321">
        <v>16</v>
      </c>
      <c r="C863" s="339">
        <f>IFERROR(VLOOKUP(A863,[3]DOORSCRIEFT!$A$2:$G$6834,2,FALSE),"")</f>
        <v>457</v>
      </c>
      <c r="D863" s="481">
        <f>IFERROR(VLOOKUP(A863,[3]DOORSCRIEFT!$A$2:$G$6834,3,FALSE),"")</f>
        <v>46110</v>
      </c>
      <c r="E863" s="480" t="str">
        <f>IFERROR(VLOOKUP(A863,[3]DOORSCRIEFT!$A$2:$G$6834,4,FALSE),"")</f>
        <v>Biaya Cuci Pakaian Gereja</v>
      </c>
      <c r="F863" s="405">
        <f>IFERROR(VLOOKUP(A863,[3]DOORSCRIEFT!$A$2:$G$6834,7,FALSE),"")</f>
        <v>300000</v>
      </c>
      <c r="G863" s="315"/>
    </row>
    <row r="864" spans="1:7" x14ac:dyDescent="0.25">
      <c r="A864" s="321" t="str">
        <f t="shared" si="27"/>
        <v>II.2.5.0317</v>
      </c>
      <c r="B864" s="321">
        <v>17</v>
      </c>
      <c r="C864" s="339" t="str">
        <f>IFERROR(VLOOKUP(A864,[3]DOORSCRIEFT!$A$2:$G$6834,2,FALSE),"")</f>
        <v/>
      </c>
      <c r="D864" s="481" t="str">
        <f>IFERROR(VLOOKUP(A864,[3]DOORSCRIEFT!$A$2:$G$6834,3,FALSE),"")</f>
        <v/>
      </c>
      <c r="E864" s="480" t="str">
        <f>IFERROR(VLOOKUP(A864,[3]DOORSCRIEFT!$A$2:$G$6834,4,FALSE),"")</f>
        <v/>
      </c>
      <c r="F864" s="405" t="str">
        <f>IFERROR(VLOOKUP(A864,[3]DOORSCRIEFT!$A$2:$G$6834,7,FALSE),"")</f>
        <v/>
      </c>
      <c r="G864" s="315"/>
    </row>
    <row r="865" spans="1:7" x14ac:dyDescent="0.25">
      <c r="A865" s="321" t="str">
        <f t="shared" si="27"/>
        <v>II.2.5.0318</v>
      </c>
      <c r="B865" s="321">
        <v>18</v>
      </c>
      <c r="C865" s="339" t="str">
        <f>IFERROR(VLOOKUP(A865,[3]DOORSCRIEFT!$A$2:$G$6834,2,FALSE),"")</f>
        <v/>
      </c>
      <c r="D865" s="481" t="str">
        <f>IFERROR(VLOOKUP(A865,[3]DOORSCRIEFT!$A$2:$G$6834,3,FALSE),"")</f>
        <v/>
      </c>
      <c r="E865" s="480" t="str">
        <f>IFERROR(VLOOKUP(A865,[3]DOORSCRIEFT!$A$2:$G$6834,4,FALSE),"")</f>
        <v/>
      </c>
      <c r="F865" s="405" t="str">
        <f>IFERROR(VLOOKUP(A865,[3]DOORSCRIEFT!$A$2:$G$6834,7,FALSE),"")</f>
        <v/>
      </c>
      <c r="G865" s="315"/>
    </row>
    <row r="866" spans="1:7" x14ac:dyDescent="0.25">
      <c r="A866" s="321" t="str">
        <f t="shared" si="27"/>
        <v>II.2.5.0319</v>
      </c>
      <c r="B866" s="321">
        <v>19</v>
      </c>
      <c r="C866" s="339" t="str">
        <f>IFERROR(VLOOKUP(A866,[3]DOORSCRIEFT!$A$2:$G$6834,2,FALSE),"")</f>
        <v/>
      </c>
      <c r="D866" s="481" t="str">
        <f>IFERROR(VLOOKUP(A866,[3]DOORSCRIEFT!$A$2:$G$6834,3,FALSE),"")</f>
        <v/>
      </c>
      <c r="E866" s="480" t="str">
        <f>IFERROR(VLOOKUP(A866,[3]DOORSCRIEFT!$A$2:$G$6834,4,FALSE),"")</f>
        <v/>
      </c>
      <c r="F866" s="405" t="str">
        <f>IFERROR(VLOOKUP(A866,[3]DOORSCRIEFT!$A$2:$G$6834,7,FALSE),"")</f>
        <v/>
      </c>
      <c r="G866" s="315"/>
    </row>
    <row r="867" spans="1:7" x14ac:dyDescent="0.25">
      <c r="A867" s="321" t="str">
        <f t="shared" si="27"/>
        <v>II.2.5.0320</v>
      </c>
      <c r="B867" s="321">
        <v>20</v>
      </c>
      <c r="C867" s="339" t="str">
        <f>IFERROR(VLOOKUP(A867,[3]DOORSCRIEFT!$A$2:$G$6834,2,FALSE),"")</f>
        <v/>
      </c>
      <c r="D867" s="481" t="str">
        <f>IFERROR(VLOOKUP(A867,[3]DOORSCRIEFT!$A$2:$G$6834,3,FALSE),"")</f>
        <v/>
      </c>
      <c r="E867" s="480" t="str">
        <f>IFERROR(VLOOKUP(A867,[3]DOORSCRIEFT!$A$2:$G$6834,4,FALSE),"")</f>
        <v/>
      </c>
      <c r="F867" s="405" t="str">
        <f>IFERROR(VLOOKUP(A867,[3]DOORSCRIEFT!$A$2:$G$6834,7,FALSE),"")</f>
        <v/>
      </c>
      <c r="G867" s="315"/>
    </row>
    <row r="868" spans="1:7" x14ac:dyDescent="0.25">
      <c r="A868" s="321" t="str">
        <f t="shared" si="27"/>
        <v>II.2.5.0321</v>
      </c>
      <c r="B868" s="321">
        <v>21</v>
      </c>
      <c r="C868" s="339" t="str">
        <f>IFERROR(VLOOKUP(A868,[3]DOORSCRIEFT!$A$2:$G$6834,2,FALSE),"")</f>
        <v/>
      </c>
      <c r="D868" s="481" t="str">
        <f>IFERROR(VLOOKUP(A868,[3]DOORSCRIEFT!$A$2:$G$6834,3,FALSE),"")</f>
        <v/>
      </c>
      <c r="E868" s="480" t="str">
        <f>IFERROR(VLOOKUP(A868,[3]DOORSCRIEFT!$A$2:$G$6834,4,FALSE),"")</f>
        <v/>
      </c>
      <c r="F868" s="405" t="str">
        <f>IFERROR(VLOOKUP(A868,[3]DOORSCRIEFT!$A$2:$G$6834,7,FALSE),"")</f>
        <v/>
      </c>
      <c r="G868" s="315"/>
    </row>
    <row r="869" spans="1:7" x14ac:dyDescent="0.25">
      <c r="A869" s="321" t="str">
        <f t="shared" si="27"/>
        <v>II.2.5.0322</v>
      </c>
      <c r="B869" s="321">
        <v>22</v>
      </c>
      <c r="C869" s="339" t="str">
        <f>IFERROR(VLOOKUP(A869,[3]DOORSCRIEFT!$A$2:$G$6834,2,FALSE),"")</f>
        <v/>
      </c>
      <c r="D869" s="481" t="str">
        <f>IFERROR(VLOOKUP(A869,[3]DOORSCRIEFT!$A$2:$G$6834,3,FALSE),"")</f>
        <v/>
      </c>
      <c r="E869" s="480" t="str">
        <f>IFERROR(VLOOKUP(A869,[3]DOORSCRIEFT!$A$2:$G$6834,4,FALSE),"")</f>
        <v/>
      </c>
      <c r="F869" s="405" t="str">
        <f>IFERROR(VLOOKUP(A869,[3]DOORSCRIEFT!$A$2:$G$6834,7,FALSE),"")</f>
        <v/>
      </c>
      <c r="G869" s="315"/>
    </row>
    <row r="870" spans="1:7" x14ac:dyDescent="0.25">
      <c r="A870" s="321" t="str">
        <f t="shared" si="27"/>
        <v>II.2.5.0323</v>
      </c>
      <c r="B870" s="321">
        <v>23</v>
      </c>
      <c r="C870" s="339" t="str">
        <f>IFERROR(VLOOKUP(A870,[3]DOORSCRIEFT!$A$2:$G$6834,2,FALSE),"")</f>
        <v/>
      </c>
      <c r="D870" s="481" t="str">
        <f>IFERROR(VLOOKUP(A870,[3]DOORSCRIEFT!$A$2:$G$6834,3,FALSE),"")</f>
        <v/>
      </c>
      <c r="E870" s="480" t="str">
        <f>IFERROR(VLOOKUP(A870,[3]DOORSCRIEFT!$A$2:$G$6834,4,FALSE),"")</f>
        <v/>
      </c>
      <c r="F870" s="405" t="str">
        <f>IFERROR(VLOOKUP(A870,[3]DOORSCRIEFT!$A$2:$G$6834,7,FALSE),"")</f>
        <v/>
      </c>
      <c r="G870" s="315"/>
    </row>
    <row r="871" spans="1:7" x14ac:dyDescent="0.25">
      <c r="A871" s="321" t="str">
        <f t="shared" si="27"/>
        <v>II.2.5.0324</v>
      </c>
      <c r="B871" s="321">
        <v>24</v>
      </c>
      <c r="C871" s="339" t="str">
        <f>IFERROR(VLOOKUP(A871,[3]DOORSCRIEFT!$A$2:$G$6834,2,FALSE),"")</f>
        <v/>
      </c>
      <c r="D871" s="481" t="str">
        <f>IFERROR(VLOOKUP(A871,[3]DOORSCRIEFT!$A$2:$G$6834,3,FALSE),"")</f>
        <v/>
      </c>
      <c r="E871" s="480" t="str">
        <f>IFERROR(VLOOKUP(A871,[3]DOORSCRIEFT!$A$2:$G$6834,4,FALSE),"")</f>
        <v/>
      </c>
      <c r="F871" s="405" t="str">
        <f>IFERROR(VLOOKUP(A871,[3]DOORSCRIEFT!$A$2:$G$6834,7,FALSE),"")</f>
        <v/>
      </c>
      <c r="G871" s="315"/>
    </row>
    <row r="872" spans="1:7" x14ac:dyDescent="0.25">
      <c r="A872" s="321" t="str">
        <f t="shared" si="27"/>
        <v>II.2.5.0325</v>
      </c>
      <c r="B872" s="321">
        <v>25</v>
      </c>
      <c r="C872" s="339" t="str">
        <f>IFERROR(VLOOKUP(A872,[3]DOORSCRIEFT!$A$2:$G$6834,2,FALSE),"")</f>
        <v/>
      </c>
      <c r="D872" s="481" t="str">
        <f>IFERROR(VLOOKUP(A872,[3]DOORSCRIEFT!$A$2:$G$6834,3,FALSE),"")</f>
        <v/>
      </c>
      <c r="E872" s="480" t="str">
        <f>IFERROR(VLOOKUP(A872,[3]DOORSCRIEFT!$A$2:$G$6834,4,FALSE),"")</f>
        <v/>
      </c>
      <c r="F872" s="405" t="str">
        <f>IFERROR(VLOOKUP(A872,[3]DOORSCRIEFT!$A$2:$G$6834,7,FALSE),"")</f>
        <v/>
      </c>
      <c r="G872" s="315"/>
    </row>
    <row r="873" spans="1:7" x14ac:dyDescent="0.25">
      <c r="A873" s="321" t="str">
        <f t="shared" si="27"/>
        <v>II.2.5.0326</v>
      </c>
      <c r="B873" s="321">
        <v>26</v>
      </c>
      <c r="C873" s="339" t="str">
        <f>IFERROR(VLOOKUP(A873,[3]DOORSCRIEFT!$A$2:$G$6834,2,FALSE),"")</f>
        <v/>
      </c>
      <c r="D873" s="481" t="str">
        <f>IFERROR(VLOOKUP(A873,[3]DOORSCRIEFT!$A$2:$G$6834,3,FALSE),"")</f>
        <v/>
      </c>
      <c r="E873" s="480" t="str">
        <f>IFERROR(VLOOKUP(A873,[3]DOORSCRIEFT!$A$2:$G$6834,4,FALSE),"")</f>
        <v/>
      </c>
      <c r="F873" s="405" t="str">
        <f>IFERROR(VLOOKUP(A873,[3]DOORSCRIEFT!$A$2:$G$6834,7,FALSE),"")</f>
        <v/>
      </c>
      <c r="G873" s="315"/>
    </row>
    <row r="874" spans="1:7" x14ac:dyDescent="0.25">
      <c r="A874" s="321" t="str">
        <f t="shared" si="27"/>
        <v>II.2.5.0327</v>
      </c>
      <c r="B874" s="321">
        <v>27</v>
      </c>
      <c r="C874" s="339" t="str">
        <f>IFERROR(VLOOKUP(A874,[3]DOORSCRIEFT!$A$2:$G$6834,2,FALSE),"")</f>
        <v/>
      </c>
      <c r="D874" s="481" t="str">
        <f>IFERROR(VLOOKUP(A874,[3]DOORSCRIEFT!$A$2:$G$6834,3,FALSE),"")</f>
        <v/>
      </c>
      <c r="E874" s="480" t="str">
        <f>IFERROR(VLOOKUP(A874,[3]DOORSCRIEFT!$A$2:$G$6834,4,FALSE),"")</f>
        <v/>
      </c>
      <c r="F874" s="405" t="str">
        <f>IFERROR(VLOOKUP(A874,[3]DOORSCRIEFT!$A$2:$G$6834,7,FALSE),"")</f>
        <v/>
      </c>
      <c r="G874" s="315"/>
    </row>
    <row r="875" spans="1:7" x14ac:dyDescent="0.25">
      <c r="A875" s="321" t="str">
        <f t="shared" si="27"/>
        <v>II.2.5.0328</v>
      </c>
      <c r="B875" s="321">
        <v>28</v>
      </c>
      <c r="C875" s="339" t="str">
        <f>IFERROR(VLOOKUP(A875,[3]DOORSCRIEFT!$A$2:$G$6834,2,FALSE),"")</f>
        <v/>
      </c>
      <c r="D875" s="481" t="str">
        <f>IFERROR(VLOOKUP(A875,[3]DOORSCRIEFT!$A$2:$G$6834,3,FALSE),"")</f>
        <v/>
      </c>
      <c r="E875" s="480" t="str">
        <f>IFERROR(VLOOKUP(A875,[3]DOORSCRIEFT!$A$2:$G$6834,4,FALSE),"")</f>
        <v/>
      </c>
      <c r="F875" s="405" t="str">
        <f>IFERROR(VLOOKUP(A875,[3]DOORSCRIEFT!$A$2:$G$6834,7,FALSE),"")</f>
        <v/>
      </c>
      <c r="G875" s="315"/>
    </row>
    <row r="876" spans="1:7" x14ac:dyDescent="0.25">
      <c r="A876" s="321" t="str">
        <f t="shared" si="27"/>
        <v>II.2.5.0329</v>
      </c>
      <c r="B876" s="321">
        <v>29</v>
      </c>
      <c r="C876" s="339" t="str">
        <f>IFERROR(VLOOKUP(A876,[3]DOORSCRIEFT!$A$2:$G$6834,2,FALSE),"")</f>
        <v/>
      </c>
      <c r="D876" s="481" t="str">
        <f>IFERROR(VLOOKUP(A876,[3]DOORSCRIEFT!$A$2:$G$6834,3,FALSE),"")</f>
        <v/>
      </c>
      <c r="E876" s="480" t="str">
        <f>IFERROR(VLOOKUP(A876,[3]DOORSCRIEFT!$A$2:$G$6834,4,FALSE),"")</f>
        <v/>
      </c>
      <c r="F876" s="405" t="str">
        <f>IFERROR(VLOOKUP(A876,[3]DOORSCRIEFT!$A$2:$G$6834,7,FALSE),"")</f>
        <v/>
      </c>
      <c r="G876" s="315"/>
    </row>
    <row r="877" spans="1:7" x14ac:dyDescent="0.25">
      <c r="A877" s="321" t="str">
        <f t="shared" si="27"/>
        <v>II.2.5.0330</v>
      </c>
      <c r="B877" s="321">
        <v>30</v>
      </c>
      <c r="C877" s="339" t="str">
        <f>IFERROR(VLOOKUP(A877,[3]DOORSCRIEFT!$A$2:$G$6834,2,FALSE),"")</f>
        <v/>
      </c>
      <c r="D877" s="481" t="str">
        <f>IFERROR(VLOOKUP(A877,[3]DOORSCRIEFT!$A$2:$G$6834,3,FALSE),"")</f>
        <v/>
      </c>
      <c r="E877" s="480" t="str">
        <f>IFERROR(VLOOKUP(A877,[3]DOORSCRIEFT!$A$2:$G$6834,4,FALSE),"")</f>
        <v/>
      </c>
      <c r="F877" s="405" t="str">
        <f>IFERROR(VLOOKUP(A877,[3]DOORSCRIEFT!$A$2:$G$6834,7,FALSE),"")</f>
        <v/>
      </c>
      <c r="G877" s="315"/>
    </row>
    <row r="878" spans="1:7" x14ac:dyDescent="0.25">
      <c r="A878" s="321" t="str">
        <f t="shared" si="27"/>
        <v>II.2.5.0331</v>
      </c>
      <c r="B878" s="321">
        <v>31</v>
      </c>
      <c r="C878" s="339" t="str">
        <f>IFERROR(VLOOKUP(A878,[3]DOORSCRIEFT!$A$2:$G$6834,2,FALSE),"")</f>
        <v/>
      </c>
      <c r="D878" s="481" t="str">
        <f>IFERROR(VLOOKUP(A878,[3]DOORSCRIEFT!$A$2:$G$6834,3,FALSE),"")</f>
        <v/>
      </c>
      <c r="E878" s="480" t="str">
        <f>IFERROR(VLOOKUP(A878,[3]DOORSCRIEFT!$A$2:$G$6834,4,FALSE),"")</f>
        <v/>
      </c>
      <c r="F878" s="405" t="str">
        <f>IFERROR(VLOOKUP(A878,[3]DOORSCRIEFT!$A$2:$G$6834,7,FALSE),"")</f>
        <v/>
      </c>
      <c r="G878" s="315"/>
    </row>
    <row r="879" spans="1:7" ht="15.75" thickBot="1" x14ac:dyDescent="0.3">
      <c r="A879" s="342" t="str">
        <f t="shared" si="27"/>
        <v>II.2.5.0332</v>
      </c>
      <c r="B879" s="342">
        <v>32</v>
      </c>
      <c r="C879" s="339" t="str">
        <f>IFERROR(VLOOKUP(A879,[3]DOORSCRIEFT!$A$2:$G$6834,2,FALSE),"")</f>
        <v/>
      </c>
      <c r="D879" s="481" t="str">
        <f>IFERROR(VLOOKUP(A879,[3]DOORSCRIEFT!$A$2:$G$6834,3,FALSE),"")</f>
        <v/>
      </c>
      <c r="E879" s="480" t="str">
        <f>IFERROR(VLOOKUP(A879,[3]DOORSCRIEFT!$A$2:$G$6834,4,FALSE),"")</f>
        <v/>
      </c>
      <c r="F879" s="405" t="str">
        <f>IFERROR(VLOOKUP(A879,[3]DOORSCRIEFT!$A$2:$G$6834,7,FALSE),"")</f>
        <v/>
      </c>
      <c r="G879" s="315"/>
    </row>
    <row r="880" spans="1:7" ht="15.75" thickBot="1" x14ac:dyDescent="0.3">
      <c r="A880" s="341"/>
      <c r="B880" s="340"/>
      <c r="C880" s="336"/>
      <c r="D880" s="486"/>
      <c r="E880" s="340" t="s">
        <v>644</v>
      </c>
      <c r="F880" s="310">
        <f>SUM(F848:F879)</f>
        <v>9925000</v>
      </c>
      <c r="G880" s="309">
        <f>SUM(G848:G879)</f>
        <v>0</v>
      </c>
    </row>
    <row r="881" spans="1:7" x14ac:dyDescent="0.25">
      <c r="C881" s="335"/>
      <c r="D881" s="485"/>
    </row>
    <row r="882" spans="1:7" x14ac:dyDescent="0.25">
      <c r="C882" s="335"/>
      <c r="D882" s="485"/>
    </row>
    <row r="883" spans="1:7" ht="15.75" x14ac:dyDescent="0.25">
      <c r="C883" s="334" t="s">
        <v>663</v>
      </c>
      <c r="D883" s="484"/>
      <c r="E883" s="333"/>
      <c r="F883" s="327" t="s">
        <v>607</v>
      </c>
      <c r="G883" s="327" t="s">
        <v>208</v>
      </c>
    </row>
    <row r="884" spans="1:7" ht="15.75" x14ac:dyDescent="0.25">
      <c r="C884" s="334"/>
      <c r="D884" s="484"/>
      <c r="E884" s="333"/>
      <c r="F884" s="327" t="s">
        <v>601</v>
      </c>
      <c r="G884" s="327" t="s">
        <v>207</v>
      </c>
    </row>
    <row r="885" spans="1:7" x14ac:dyDescent="0.25">
      <c r="C885" s="330"/>
      <c r="D885" s="482"/>
      <c r="E885" s="329"/>
      <c r="F885" s="327" t="s">
        <v>651</v>
      </c>
      <c r="G885" s="331">
        <f>[2]Sheet1!$D$292</f>
        <v>750000</v>
      </c>
    </row>
    <row r="886" spans="1:7" ht="15.75" thickBot="1" x14ac:dyDescent="0.3">
      <c r="C886" s="330"/>
      <c r="D886" s="482"/>
      <c r="E886" s="329"/>
      <c r="F886" s="327" t="s">
        <v>650</v>
      </c>
      <c r="G886" s="326">
        <f>+F905-G885</f>
        <v>-750000</v>
      </c>
    </row>
    <row r="887" spans="1:7" x14ac:dyDescent="0.25">
      <c r="A887" s="571" t="s">
        <v>655</v>
      </c>
      <c r="B887" s="573" t="s">
        <v>606</v>
      </c>
      <c r="C887" s="588" t="s">
        <v>649</v>
      </c>
      <c r="D887" s="599" t="s">
        <v>648</v>
      </c>
      <c r="E887" s="577" t="s">
        <v>647</v>
      </c>
      <c r="F887" s="577" t="s">
        <v>646</v>
      </c>
      <c r="G887" s="580" t="s">
        <v>645</v>
      </c>
    </row>
    <row r="888" spans="1:7" ht="15.75" thickBot="1" x14ac:dyDescent="0.3">
      <c r="A888" s="572"/>
      <c r="B888" s="574"/>
      <c r="C888" s="589"/>
      <c r="D888" s="600"/>
      <c r="E888" s="578"/>
      <c r="F888" s="578"/>
      <c r="G888" s="581"/>
    </row>
    <row r="889" spans="1:7" ht="15.75" thickBot="1" x14ac:dyDescent="0.3">
      <c r="A889" s="425">
        <v>1</v>
      </c>
      <c r="B889" s="425">
        <v>2</v>
      </c>
      <c r="C889" s="425">
        <v>3</v>
      </c>
      <c r="D889" s="425">
        <v>4</v>
      </c>
      <c r="E889" s="425">
        <v>5</v>
      </c>
      <c r="F889" s="425">
        <v>6</v>
      </c>
      <c r="G889" s="425">
        <v>7</v>
      </c>
    </row>
    <row r="890" spans="1:7" x14ac:dyDescent="0.25">
      <c r="A890" s="320" t="str">
        <f t="shared" ref="A890:A904" si="28">$G$883&amp;B890</f>
        <v>II.2.5.041</v>
      </c>
      <c r="B890" s="320">
        <v>1</v>
      </c>
      <c r="C890" s="480" t="str">
        <f>IFERROR(VLOOKUP(A890,[3]DOORSCRIEFT!$A$2:$G$6834,2,FALSE),"")</f>
        <v/>
      </c>
      <c r="D890" s="481" t="str">
        <f>IFERROR(VLOOKUP(A890,[3]DOORSCRIEFT!$A$2:$G$6834,3,FALSE),"")</f>
        <v/>
      </c>
      <c r="E890" s="480" t="str">
        <f>IFERROR(VLOOKUP(A890,[3]DOORSCRIEFT!$A$2:$G$6834,4,FALSE),"")</f>
        <v/>
      </c>
      <c r="F890" s="405" t="str">
        <f>IFERROR(VLOOKUP(A890,[3]DOORSCRIEFT!$A$2:$G$6834,7,FALSE),"")</f>
        <v/>
      </c>
      <c r="G890" s="322"/>
    </row>
    <row r="891" spans="1:7" x14ac:dyDescent="0.25">
      <c r="A891" s="321" t="str">
        <f t="shared" si="28"/>
        <v>II.2.5.042</v>
      </c>
      <c r="B891" s="321">
        <v>2</v>
      </c>
      <c r="C891" s="480" t="str">
        <f>IFERROR(VLOOKUP(A891,[3]DOORSCRIEFT!$A$2:$G$6834,2,FALSE),"")</f>
        <v/>
      </c>
      <c r="D891" s="481" t="str">
        <f>IFERROR(VLOOKUP(A891,[3]DOORSCRIEFT!$A$2:$G$6834,3,FALSE),"")</f>
        <v/>
      </c>
      <c r="E891" s="480" t="str">
        <f>IFERROR(VLOOKUP(A891,[3]DOORSCRIEFT!$A$2:$G$6834,4,FALSE),"")</f>
        <v/>
      </c>
      <c r="F891" s="405" t="str">
        <f>IFERROR(VLOOKUP(A891,[3]DOORSCRIEFT!$A$2:$G$6834,7,FALSE),"")</f>
        <v/>
      </c>
      <c r="G891" s="315"/>
    </row>
    <row r="892" spans="1:7" x14ac:dyDescent="0.25">
      <c r="A892" s="321" t="str">
        <f t="shared" si="28"/>
        <v>II.2.5.043</v>
      </c>
      <c r="B892" s="321">
        <v>3</v>
      </c>
      <c r="C892" s="480" t="str">
        <f>IFERROR(VLOOKUP(A892,[3]DOORSCRIEFT!$A$2:$G$6834,2,FALSE),"")</f>
        <v/>
      </c>
      <c r="D892" s="481" t="str">
        <f>IFERROR(VLOOKUP(A892,[3]DOORSCRIEFT!$A$2:$G$6834,3,FALSE),"")</f>
        <v/>
      </c>
      <c r="E892" s="480" t="str">
        <f>IFERROR(VLOOKUP(A892,[3]DOORSCRIEFT!$A$2:$G$6834,4,FALSE),"")</f>
        <v/>
      </c>
      <c r="F892" s="405" t="str">
        <f>IFERROR(VLOOKUP(A892,[3]DOORSCRIEFT!$A$2:$G$6834,7,FALSE),"")</f>
        <v/>
      </c>
      <c r="G892" s="315"/>
    </row>
    <row r="893" spans="1:7" x14ac:dyDescent="0.25">
      <c r="A893" s="321" t="str">
        <f t="shared" si="28"/>
        <v>II.2.5.044</v>
      </c>
      <c r="B893" s="321">
        <v>4</v>
      </c>
      <c r="C893" s="480" t="str">
        <f>IFERROR(VLOOKUP(A893,[3]DOORSCRIEFT!$A$2:$G$6834,2,FALSE),"")</f>
        <v/>
      </c>
      <c r="D893" s="481" t="str">
        <f>IFERROR(VLOOKUP(A893,[3]DOORSCRIEFT!$A$2:$G$6834,3,FALSE),"")</f>
        <v/>
      </c>
      <c r="E893" s="480" t="str">
        <f>IFERROR(VLOOKUP(A893,[3]DOORSCRIEFT!$A$2:$G$6834,4,FALSE),"")</f>
        <v/>
      </c>
      <c r="F893" s="405" t="str">
        <f>IFERROR(VLOOKUP(A893,[3]DOORSCRIEFT!$A$2:$G$6834,7,FALSE),"")</f>
        <v/>
      </c>
      <c r="G893" s="315"/>
    </row>
    <row r="894" spans="1:7" x14ac:dyDescent="0.25">
      <c r="A894" s="321" t="str">
        <f t="shared" si="28"/>
        <v>II.2.5.045</v>
      </c>
      <c r="B894" s="321">
        <v>5</v>
      </c>
      <c r="C894" s="480" t="str">
        <f>IFERROR(VLOOKUP(A894,[3]DOORSCRIEFT!$A$2:$G$6834,2,FALSE),"")</f>
        <v/>
      </c>
      <c r="D894" s="481" t="str">
        <f>IFERROR(VLOOKUP(A894,[3]DOORSCRIEFT!$A$2:$G$6834,3,FALSE),"")</f>
        <v/>
      </c>
      <c r="E894" s="480" t="str">
        <f>IFERROR(VLOOKUP(A894,[3]DOORSCRIEFT!$A$2:$G$6834,4,FALSE),"")</f>
        <v/>
      </c>
      <c r="F894" s="405" t="str">
        <f>IFERROR(VLOOKUP(A894,[3]DOORSCRIEFT!$A$2:$G$6834,7,FALSE),"")</f>
        <v/>
      </c>
      <c r="G894" s="315"/>
    </row>
    <row r="895" spans="1:7" x14ac:dyDescent="0.25">
      <c r="A895" s="321" t="str">
        <f t="shared" si="28"/>
        <v>II.2.5.046</v>
      </c>
      <c r="B895" s="321">
        <v>6</v>
      </c>
      <c r="C895" s="480" t="str">
        <f>IFERROR(VLOOKUP(A895,[3]DOORSCRIEFT!$A$2:$G$6834,2,FALSE),"")</f>
        <v/>
      </c>
      <c r="D895" s="481" t="str">
        <f>IFERROR(VLOOKUP(A895,[3]DOORSCRIEFT!$A$2:$G$6834,3,FALSE),"")</f>
        <v/>
      </c>
      <c r="E895" s="480" t="str">
        <f>IFERROR(VLOOKUP(A895,[3]DOORSCRIEFT!$A$2:$G$6834,4,FALSE),"")</f>
        <v/>
      </c>
      <c r="F895" s="405" t="str">
        <f>IFERROR(VLOOKUP(A895,[3]DOORSCRIEFT!$A$2:$G$6834,7,FALSE),"")</f>
        <v/>
      </c>
      <c r="G895" s="315"/>
    </row>
    <row r="896" spans="1:7" x14ac:dyDescent="0.25">
      <c r="A896" s="321" t="str">
        <f t="shared" si="28"/>
        <v>II.2.5.047</v>
      </c>
      <c r="B896" s="321">
        <v>7</v>
      </c>
      <c r="C896" s="480" t="str">
        <f>IFERROR(VLOOKUP(A896,[3]DOORSCRIEFT!$A$2:$G$6834,2,FALSE),"")</f>
        <v/>
      </c>
      <c r="D896" s="481" t="str">
        <f>IFERROR(VLOOKUP(A896,[3]DOORSCRIEFT!$A$2:$G$6834,3,FALSE),"")</f>
        <v/>
      </c>
      <c r="E896" s="480" t="str">
        <f>IFERROR(VLOOKUP(A896,[3]DOORSCRIEFT!$A$2:$G$6834,4,FALSE),"")</f>
        <v/>
      </c>
      <c r="F896" s="405" t="str">
        <f>IFERROR(VLOOKUP(A896,[3]DOORSCRIEFT!$A$2:$G$6834,7,FALSE),"")</f>
        <v/>
      </c>
      <c r="G896" s="315"/>
    </row>
    <row r="897" spans="1:7" x14ac:dyDescent="0.25">
      <c r="A897" s="321" t="str">
        <f t="shared" si="28"/>
        <v>II.2.5.048</v>
      </c>
      <c r="B897" s="321">
        <v>8</v>
      </c>
      <c r="C897" s="480" t="str">
        <f>IFERROR(VLOOKUP(A897,[3]DOORSCRIEFT!$A$2:$G$6834,2,FALSE),"")</f>
        <v/>
      </c>
      <c r="D897" s="481" t="str">
        <f>IFERROR(VLOOKUP(A897,[3]DOORSCRIEFT!$A$2:$G$6834,3,FALSE),"")</f>
        <v/>
      </c>
      <c r="E897" s="480" t="str">
        <f>IFERROR(VLOOKUP(A897,[3]DOORSCRIEFT!$A$2:$G$6834,4,FALSE),"")</f>
        <v/>
      </c>
      <c r="F897" s="405" t="str">
        <f>IFERROR(VLOOKUP(A897,[3]DOORSCRIEFT!$A$2:$G$6834,7,FALSE),"")</f>
        <v/>
      </c>
      <c r="G897" s="315"/>
    </row>
    <row r="898" spans="1:7" x14ac:dyDescent="0.25">
      <c r="A898" s="321" t="str">
        <f t="shared" si="28"/>
        <v>II.2.5.049</v>
      </c>
      <c r="B898" s="321">
        <v>9</v>
      </c>
      <c r="C898" s="480" t="str">
        <f>IFERROR(VLOOKUP(A898,[3]DOORSCRIEFT!$A$2:$G$6834,2,FALSE),"")</f>
        <v/>
      </c>
      <c r="D898" s="481" t="str">
        <f>IFERROR(VLOOKUP(A898,[3]DOORSCRIEFT!$A$2:$G$6834,3,FALSE),"")</f>
        <v/>
      </c>
      <c r="E898" s="480" t="str">
        <f>IFERROR(VLOOKUP(A898,[3]DOORSCRIEFT!$A$2:$G$6834,4,FALSE),"")</f>
        <v/>
      </c>
      <c r="F898" s="405" t="str">
        <f>IFERROR(VLOOKUP(A898,[3]DOORSCRIEFT!$A$2:$G$6834,7,FALSE),"")</f>
        <v/>
      </c>
      <c r="G898" s="315"/>
    </row>
    <row r="899" spans="1:7" x14ac:dyDescent="0.25">
      <c r="A899" s="321" t="str">
        <f t="shared" si="28"/>
        <v>II.2.5.0410</v>
      </c>
      <c r="B899" s="321">
        <v>10</v>
      </c>
      <c r="C899" s="480" t="str">
        <f>IFERROR(VLOOKUP(A899,[3]DOORSCRIEFT!$A$2:$G$6834,2,FALSE),"")</f>
        <v/>
      </c>
      <c r="D899" s="481" t="str">
        <f>IFERROR(VLOOKUP(A899,[3]DOORSCRIEFT!$A$2:$G$6834,3,FALSE),"")</f>
        <v/>
      </c>
      <c r="E899" s="480" t="str">
        <f>IFERROR(VLOOKUP(A899,[3]DOORSCRIEFT!$A$2:$G$6834,4,FALSE),"")</f>
        <v/>
      </c>
      <c r="F899" s="405" t="str">
        <f>IFERROR(VLOOKUP(A899,[3]DOORSCRIEFT!$A$2:$G$6834,7,FALSE),"")</f>
        <v/>
      </c>
      <c r="G899" s="315"/>
    </row>
    <row r="900" spans="1:7" x14ac:dyDescent="0.25">
      <c r="A900" s="321" t="str">
        <f t="shared" si="28"/>
        <v>II.2.5.0411</v>
      </c>
      <c r="B900" s="321">
        <v>11</v>
      </c>
      <c r="C900" s="480" t="str">
        <f>IFERROR(VLOOKUP(A900,[3]DOORSCRIEFT!$A$2:$G$6834,2,FALSE),"")</f>
        <v/>
      </c>
      <c r="D900" s="481" t="str">
        <f>IFERROR(VLOOKUP(A900,[3]DOORSCRIEFT!$A$2:$G$6834,3,FALSE),"")</f>
        <v/>
      </c>
      <c r="E900" s="480" t="str">
        <f>IFERROR(VLOOKUP(A900,[3]DOORSCRIEFT!$A$2:$G$6834,4,FALSE),"")</f>
        <v/>
      </c>
      <c r="F900" s="405" t="str">
        <f>IFERROR(VLOOKUP(A900,[3]DOORSCRIEFT!$A$2:$G$6834,7,FALSE),"")</f>
        <v/>
      </c>
      <c r="G900" s="315"/>
    </row>
    <row r="901" spans="1:7" x14ac:dyDescent="0.25">
      <c r="A901" s="321" t="str">
        <f t="shared" si="28"/>
        <v>II.2.5.0412</v>
      </c>
      <c r="B901" s="321">
        <v>12</v>
      </c>
      <c r="C901" s="480" t="str">
        <f>IFERROR(VLOOKUP(A901,[3]DOORSCRIEFT!$A$2:$G$6834,2,FALSE),"")</f>
        <v/>
      </c>
      <c r="D901" s="481" t="str">
        <f>IFERROR(VLOOKUP(A901,[3]DOORSCRIEFT!$A$2:$G$6834,3,FALSE),"")</f>
        <v/>
      </c>
      <c r="E901" s="480" t="str">
        <f>IFERROR(VLOOKUP(A901,[3]DOORSCRIEFT!$A$2:$G$6834,4,FALSE),"")</f>
        <v/>
      </c>
      <c r="F901" s="405" t="str">
        <f>IFERROR(VLOOKUP(A901,[3]DOORSCRIEFT!$A$2:$G$6834,7,FALSE),"")</f>
        <v/>
      </c>
      <c r="G901" s="315"/>
    </row>
    <row r="902" spans="1:7" x14ac:dyDescent="0.25">
      <c r="A902" s="321" t="str">
        <f t="shared" si="28"/>
        <v>II.2.5.0413</v>
      </c>
      <c r="B902" s="321">
        <v>13</v>
      </c>
      <c r="C902" s="480" t="str">
        <f>IFERROR(VLOOKUP(A902,[3]DOORSCRIEFT!$A$2:$G$6834,2,FALSE),"")</f>
        <v/>
      </c>
      <c r="D902" s="481" t="str">
        <f>IFERROR(VLOOKUP(A902,[3]DOORSCRIEFT!$A$2:$G$6834,3,FALSE),"")</f>
        <v/>
      </c>
      <c r="E902" s="480" t="str">
        <f>IFERROR(VLOOKUP(A902,[3]DOORSCRIEFT!$A$2:$G$6834,4,FALSE),"")</f>
        <v/>
      </c>
      <c r="F902" s="405" t="str">
        <f>IFERROR(VLOOKUP(A902,[3]DOORSCRIEFT!$A$2:$G$6834,7,FALSE),"")</f>
        <v/>
      </c>
      <c r="G902" s="315"/>
    </row>
    <row r="903" spans="1:7" x14ac:dyDescent="0.25">
      <c r="A903" s="321" t="str">
        <f t="shared" si="28"/>
        <v>II.2.5.0414</v>
      </c>
      <c r="B903" s="321">
        <v>14</v>
      </c>
      <c r="C903" s="480" t="str">
        <f>IFERROR(VLOOKUP(A903,[3]DOORSCRIEFT!$A$2:$G$6834,2,FALSE),"")</f>
        <v/>
      </c>
      <c r="D903" s="481" t="str">
        <f>IFERROR(VLOOKUP(A903,[3]DOORSCRIEFT!$A$2:$G$6834,3,FALSE),"")</f>
        <v/>
      </c>
      <c r="E903" s="480" t="str">
        <f>IFERROR(VLOOKUP(A903,[3]DOORSCRIEFT!$A$2:$G$6834,4,FALSE),"")</f>
        <v/>
      </c>
      <c r="F903" s="405" t="str">
        <f>IFERROR(VLOOKUP(A903,[3]DOORSCRIEFT!$A$2:$G$6834,7,FALSE),"")</f>
        <v/>
      </c>
      <c r="G903" s="315"/>
    </row>
    <row r="904" spans="1:7" ht="15.75" thickBot="1" x14ac:dyDescent="0.3">
      <c r="A904" s="342" t="str">
        <f t="shared" si="28"/>
        <v>II.2.5.0415</v>
      </c>
      <c r="B904" s="342">
        <v>15</v>
      </c>
      <c r="C904" s="480" t="str">
        <f>IFERROR(VLOOKUP(A904,[3]DOORSCRIEFT!$A$2:$G$6834,2,FALSE),"")</f>
        <v/>
      </c>
      <c r="D904" s="481" t="str">
        <f>IFERROR(VLOOKUP(A904,[3]DOORSCRIEFT!$A$2:$G$6834,3,FALSE),"")</f>
        <v/>
      </c>
      <c r="E904" s="480" t="str">
        <f>IFERROR(VLOOKUP(A904,[3]DOORSCRIEFT!$A$2:$G$6834,4,FALSE),"")</f>
        <v/>
      </c>
      <c r="F904" s="405" t="str">
        <f>IFERROR(VLOOKUP(A904,[3]DOORSCRIEFT!$A$2:$G$6834,7,FALSE),"")</f>
        <v/>
      </c>
      <c r="G904" s="315"/>
    </row>
    <row r="905" spans="1:7" ht="15.75" thickBot="1" x14ac:dyDescent="0.3">
      <c r="A905" s="314"/>
      <c r="B905" s="312"/>
      <c r="C905" s="336"/>
      <c r="D905" s="486"/>
      <c r="E905" s="340" t="s">
        <v>644</v>
      </c>
      <c r="F905" s="310">
        <f>SUM(F890:F904)</f>
        <v>0</v>
      </c>
      <c r="G905" s="309">
        <f>SUM(G890:G904)</f>
        <v>0</v>
      </c>
    </row>
    <row r="906" spans="1:7" x14ac:dyDescent="0.25">
      <c r="C906" s="335"/>
      <c r="D906" s="485"/>
    </row>
    <row r="907" spans="1:7" x14ac:dyDescent="0.25">
      <c r="C907" s="335"/>
      <c r="D907" s="485"/>
    </row>
    <row r="908" spans="1:7" ht="15.75" x14ac:dyDescent="0.25">
      <c r="C908" s="334" t="s">
        <v>663</v>
      </c>
      <c r="D908" s="484"/>
      <c r="E908" s="333"/>
      <c r="F908" s="327" t="s">
        <v>607</v>
      </c>
      <c r="G908" s="327" t="s">
        <v>206</v>
      </c>
    </row>
    <row r="909" spans="1:7" ht="15.75" x14ac:dyDescent="0.25">
      <c r="C909" s="334"/>
      <c r="D909" s="484"/>
      <c r="E909" s="333"/>
      <c r="F909" s="327" t="s">
        <v>601</v>
      </c>
      <c r="G909" s="327" t="s">
        <v>205</v>
      </c>
    </row>
    <row r="910" spans="1:7" x14ac:dyDescent="0.25">
      <c r="C910" s="330"/>
      <c r="D910" s="482"/>
      <c r="E910" s="329"/>
      <c r="F910" s="327" t="s">
        <v>651</v>
      </c>
      <c r="G910" s="331">
        <f>[2]Sheet1!$D$293</f>
        <v>24000000</v>
      </c>
    </row>
    <row r="911" spans="1:7" ht="15.75" thickBot="1" x14ac:dyDescent="0.3">
      <c r="C911" s="330"/>
      <c r="D911" s="482"/>
      <c r="E911" s="329"/>
      <c r="F911" s="327" t="s">
        <v>650</v>
      </c>
      <c r="G911" s="326">
        <f>+F955-G910</f>
        <v>-16235000</v>
      </c>
    </row>
    <row r="912" spans="1:7" x14ac:dyDescent="0.25">
      <c r="A912" s="571" t="s">
        <v>655</v>
      </c>
      <c r="B912" s="573" t="s">
        <v>606</v>
      </c>
      <c r="C912" s="588" t="s">
        <v>649</v>
      </c>
      <c r="D912" s="599" t="s">
        <v>648</v>
      </c>
      <c r="E912" s="577" t="s">
        <v>647</v>
      </c>
      <c r="F912" s="577" t="s">
        <v>646</v>
      </c>
      <c r="G912" s="580" t="s">
        <v>645</v>
      </c>
    </row>
    <row r="913" spans="1:7" ht="15.75" thickBot="1" x14ac:dyDescent="0.3">
      <c r="A913" s="572"/>
      <c r="B913" s="574"/>
      <c r="C913" s="589"/>
      <c r="D913" s="600"/>
      <c r="E913" s="578"/>
      <c r="F913" s="578"/>
      <c r="G913" s="581"/>
    </row>
    <row r="914" spans="1:7" ht="15.75" thickBot="1" x14ac:dyDescent="0.3">
      <c r="A914" s="425">
        <v>1</v>
      </c>
      <c r="B914" s="425">
        <v>2</v>
      </c>
      <c r="C914" s="425">
        <v>3</v>
      </c>
      <c r="D914" s="425">
        <v>4</v>
      </c>
      <c r="E914" s="425">
        <v>5</v>
      </c>
      <c r="F914" s="425">
        <v>6</v>
      </c>
      <c r="G914" s="425">
        <v>7</v>
      </c>
    </row>
    <row r="915" spans="1:7" x14ac:dyDescent="0.25">
      <c r="A915" s="320" t="str">
        <f t="shared" ref="A915:A954" si="29">$G$908&amp;B915</f>
        <v>II.2.5.051</v>
      </c>
      <c r="B915" s="320">
        <v>1</v>
      </c>
      <c r="C915" s="339">
        <f>IFERROR(VLOOKUP(A915,[3]DOORSCRIEFT!$A$2:$G$6834,2,FALSE),"")</f>
        <v>23</v>
      </c>
      <c r="D915" s="481">
        <f>IFERROR(VLOOKUP(A915,[3]DOORSCRIEFT!$A$2:$G$6834,3,FALSE),"")</f>
        <v>46028</v>
      </c>
      <c r="E915" s="480" t="str">
        <f>IFERROR(VLOOKUP(A915,[3]DOORSCRIEFT!$A$2:$G$6834,4,FALSE),"")</f>
        <v>Beli Pertalite untuk mobil gereja</v>
      </c>
      <c r="F915" s="405">
        <f>IFERROR(VLOOKUP(A915,[3]DOORSCRIEFT!$A$2:$G$6834,7,FALSE),"")</f>
        <v>300000</v>
      </c>
      <c r="G915" s="322"/>
    </row>
    <row r="916" spans="1:7" x14ac:dyDescent="0.25">
      <c r="A916" s="321" t="str">
        <f t="shared" si="29"/>
        <v>II.2.5.052</v>
      </c>
      <c r="B916" s="321">
        <v>2</v>
      </c>
      <c r="C916" s="339">
        <f>IFERROR(VLOOKUP(A916,[3]DOORSCRIEFT!$A$2:$G$6834,2,FALSE),"")</f>
        <v>48</v>
      </c>
      <c r="D916" s="481">
        <f>IFERROR(VLOOKUP(A916,[3]DOORSCRIEFT!$A$2:$G$6834,3,FALSE),"")</f>
        <v>46033</v>
      </c>
      <c r="E916" s="480" t="str">
        <f>IFERROR(VLOOKUP(A916,[3]DOORSCRIEFT!$A$2:$G$6834,4,FALSE),"")</f>
        <v>Beli Pertamax untuk mobil Gereja</v>
      </c>
      <c r="F916" s="405">
        <f>IFERROR(VLOOKUP(A916,[3]DOORSCRIEFT!$A$2:$G$6834,7,FALSE),"")</f>
        <v>300000</v>
      </c>
      <c r="G916" s="315"/>
    </row>
    <row r="917" spans="1:7" x14ac:dyDescent="0.25">
      <c r="A917" s="321" t="str">
        <f t="shared" si="29"/>
        <v>II.2.5.053</v>
      </c>
      <c r="B917" s="321">
        <v>3</v>
      </c>
      <c r="C917" s="339">
        <f>IFERROR(VLOOKUP(A917,[3]DOORSCRIEFT!$A$2:$G$6834,2,FALSE),"")</f>
        <v>83</v>
      </c>
      <c r="D917" s="481">
        <f>IFERROR(VLOOKUP(A917,[3]DOORSCRIEFT!$A$2:$G$6834,3,FALSE),"")</f>
        <v>46040</v>
      </c>
      <c r="E917" s="480" t="str">
        <f>IFERROR(VLOOKUP(A917,[3]DOORSCRIEFT!$A$2:$G$6834,4,FALSE),"")</f>
        <v>Beli Pertalite untuk mobil Gereja</v>
      </c>
      <c r="F917" s="405">
        <f>IFERROR(VLOOKUP(A917,[3]DOORSCRIEFT!$A$2:$G$6834,7,FALSE),"")</f>
        <v>300000</v>
      </c>
      <c r="G917" s="315"/>
    </row>
    <row r="918" spans="1:7" x14ac:dyDescent="0.25">
      <c r="A918" s="321" t="str">
        <f t="shared" si="29"/>
        <v>II.2.5.054</v>
      </c>
      <c r="B918" s="321">
        <v>4</v>
      </c>
      <c r="C918" s="339">
        <f>IFERROR(VLOOKUP(A918,[3]DOORSCRIEFT!$A$2:$G$6834,2,FALSE),"")</f>
        <v>99</v>
      </c>
      <c r="D918" s="481">
        <f>IFERROR(VLOOKUP(A918,[3]DOORSCRIEFT!$A$2:$G$6834,3,FALSE),"")</f>
        <v>46045</v>
      </c>
      <c r="E918" s="480" t="str">
        <f>IFERROR(VLOOKUP(A918,[3]DOORSCRIEFT!$A$2:$G$6834,4,FALSE),"")</f>
        <v>Biaya Ganti Oli Mobil Gereja</v>
      </c>
      <c r="F918" s="405">
        <f>IFERROR(VLOOKUP(A918,[3]DOORSCRIEFT!$A$2:$G$6834,7,FALSE),"")</f>
        <v>865000</v>
      </c>
      <c r="G918" s="315"/>
    </row>
    <row r="919" spans="1:7" x14ac:dyDescent="0.25">
      <c r="A919" s="321" t="str">
        <f t="shared" si="29"/>
        <v>II.2.5.055</v>
      </c>
      <c r="B919" s="321">
        <v>5</v>
      </c>
      <c r="C919" s="339">
        <f>IFERROR(VLOOKUP(A919,[3]DOORSCRIEFT!$A$2:$G$6834,2,FALSE),"")</f>
        <v>319</v>
      </c>
      <c r="D919" s="481">
        <f>IFERROR(VLOOKUP(A919,[3]DOORSCRIEFT!$A$2:$G$6834,3,FALSE),"")</f>
        <v>46089</v>
      </c>
      <c r="E919" s="480" t="str">
        <f>IFERROR(VLOOKUP(A919,[3]DOORSCRIEFT!$A$2:$G$6834,4,FALSE),"")</f>
        <v>Biaya Service Mobil Gereja</v>
      </c>
      <c r="F919" s="405">
        <f>IFERROR(VLOOKUP(A919,[3]DOORSCRIEFT!$A$2:$G$6834,7,FALSE),"")</f>
        <v>5700000</v>
      </c>
      <c r="G919" s="315"/>
    </row>
    <row r="920" spans="1:7" x14ac:dyDescent="0.25">
      <c r="A920" s="321" t="str">
        <f t="shared" si="29"/>
        <v>II.2.5.056</v>
      </c>
      <c r="B920" s="321">
        <v>6</v>
      </c>
      <c r="C920" s="339">
        <f>IFERROR(VLOOKUP(A920,[3]DOORSCRIEFT!$A$2:$G$6834,2,FALSE),"")</f>
        <v>327</v>
      </c>
      <c r="D920" s="481">
        <f>IFERROR(VLOOKUP(A920,[3]DOORSCRIEFT!$A$2:$G$6834,3,FALSE),"")</f>
        <v>46089</v>
      </c>
      <c r="E920" s="480" t="str">
        <f>IFERROR(VLOOKUP(A920,[3]DOORSCRIEFT!$A$2:$G$6834,4,FALSE),"")</f>
        <v>Beli bensin untuk mobil gereja</v>
      </c>
      <c r="F920" s="405">
        <f>IFERROR(VLOOKUP(A920,[3]DOORSCRIEFT!$A$2:$G$6834,7,FALSE),"")</f>
        <v>300000</v>
      </c>
      <c r="G920" s="315"/>
    </row>
    <row r="921" spans="1:7" x14ac:dyDescent="0.25">
      <c r="A921" s="321" t="str">
        <f t="shared" si="29"/>
        <v>II.2.5.057</v>
      </c>
      <c r="B921" s="321">
        <v>7</v>
      </c>
      <c r="C921" s="339" t="str">
        <f>IFERROR(VLOOKUP(A921,[3]DOORSCRIEFT!$A$2:$G$6834,2,FALSE),"")</f>
        <v/>
      </c>
      <c r="D921" s="481" t="str">
        <f>IFERROR(VLOOKUP(A921,[3]DOORSCRIEFT!$A$2:$G$6834,3,FALSE),"")</f>
        <v/>
      </c>
      <c r="E921" s="480" t="str">
        <f>IFERROR(VLOOKUP(A921,[3]DOORSCRIEFT!$A$2:$G$6834,4,FALSE),"")</f>
        <v/>
      </c>
      <c r="F921" s="405" t="str">
        <f>IFERROR(VLOOKUP(A921,[3]DOORSCRIEFT!$A$2:$G$6834,7,FALSE),"")</f>
        <v/>
      </c>
      <c r="G921" s="315"/>
    </row>
    <row r="922" spans="1:7" x14ac:dyDescent="0.25">
      <c r="A922" s="321" t="str">
        <f t="shared" si="29"/>
        <v>II.2.5.058</v>
      </c>
      <c r="B922" s="321">
        <v>8</v>
      </c>
      <c r="C922" s="339" t="str">
        <f>IFERROR(VLOOKUP(A922,[3]DOORSCRIEFT!$A$2:$G$6834,2,FALSE),"")</f>
        <v/>
      </c>
      <c r="D922" s="481" t="str">
        <f>IFERROR(VLOOKUP(A922,[3]DOORSCRIEFT!$A$2:$G$6834,3,FALSE),"")</f>
        <v/>
      </c>
      <c r="E922" s="480" t="str">
        <f>IFERROR(VLOOKUP(A922,[3]DOORSCRIEFT!$A$2:$G$6834,4,FALSE),"")</f>
        <v/>
      </c>
      <c r="F922" s="405" t="str">
        <f>IFERROR(VLOOKUP(A922,[3]DOORSCRIEFT!$A$2:$G$6834,7,FALSE),"")</f>
        <v/>
      </c>
      <c r="G922" s="315"/>
    </row>
    <row r="923" spans="1:7" x14ac:dyDescent="0.25">
      <c r="A923" s="321" t="str">
        <f t="shared" si="29"/>
        <v>II.2.5.059</v>
      </c>
      <c r="B923" s="321">
        <v>9</v>
      </c>
      <c r="C923" s="339" t="str">
        <f>IFERROR(VLOOKUP(A923,[3]DOORSCRIEFT!$A$2:$G$6834,2,FALSE),"")</f>
        <v/>
      </c>
      <c r="D923" s="481" t="str">
        <f>IFERROR(VLOOKUP(A923,[3]DOORSCRIEFT!$A$2:$G$6834,3,FALSE),"")</f>
        <v/>
      </c>
      <c r="E923" s="480" t="str">
        <f>IFERROR(VLOOKUP(A923,[3]DOORSCRIEFT!$A$2:$G$6834,4,FALSE),"")</f>
        <v/>
      </c>
      <c r="F923" s="405" t="str">
        <f>IFERROR(VLOOKUP(A923,[3]DOORSCRIEFT!$A$2:$G$6834,7,FALSE),"")</f>
        <v/>
      </c>
      <c r="G923" s="315"/>
    </row>
    <row r="924" spans="1:7" x14ac:dyDescent="0.25">
      <c r="A924" s="321" t="str">
        <f t="shared" si="29"/>
        <v>II.2.5.0510</v>
      </c>
      <c r="B924" s="321">
        <v>10</v>
      </c>
      <c r="C924" s="339" t="str">
        <f>IFERROR(VLOOKUP(A924,[3]DOORSCRIEFT!$A$2:$G$6834,2,FALSE),"")</f>
        <v/>
      </c>
      <c r="D924" s="481" t="str">
        <f>IFERROR(VLOOKUP(A924,[3]DOORSCRIEFT!$A$2:$G$6834,3,FALSE),"")</f>
        <v/>
      </c>
      <c r="E924" s="480" t="str">
        <f>IFERROR(VLOOKUP(A924,[3]DOORSCRIEFT!$A$2:$G$6834,4,FALSE),"")</f>
        <v/>
      </c>
      <c r="F924" s="405" t="str">
        <f>IFERROR(VLOOKUP(A924,[3]DOORSCRIEFT!$A$2:$G$6834,7,FALSE),"")</f>
        <v/>
      </c>
      <c r="G924" s="315"/>
    </row>
    <row r="925" spans="1:7" x14ac:dyDescent="0.25">
      <c r="A925" s="321" t="str">
        <f t="shared" si="29"/>
        <v>II.2.5.0511</v>
      </c>
      <c r="B925" s="321">
        <v>11</v>
      </c>
      <c r="C925" s="339" t="str">
        <f>IFERROR(VLOOKUP(A925,[3]DOORSCRIEFT!$A$2:$G$6834,2,FALSE),"")</f>
        <v/>
      </c>
      <c r="D925" s="481" t="str">
        <f>IFERROR(VLOOKUP(A925,[3]DOORSCRIEFT!$A$2:$G$6834,3,FALSE),"")</f>
        <v/>
      </c>
      <c r="E925" s="480" t="str">
        <f>IFERROR(VLOOKUP(A925,[3]DOORSCRIEFT!$A$2:$G$6834,4,FALSE),"")</f>
        <v/>
      </c>
      <c r="F925" s="405" t="str">
        <f>IFERROR(VLOOKUP(A925,[3]DOORSCRIEFT!$A$2:$G$6834,7,FALSE),"")</f>
        <v/>
      </c>
      <c r="G925" s="315"/>
    </row>
    <row r="926" spans="1:7" x14ac:dyDescent="0.25">
      <c r="A926" s="321" t="str">
        <f t="shared" si="29"/>
        <v>II.2.5.0512</v>
      </c>
      <c r="B926" s="321">
        <v>12</v>
      </c>
      <c r="C926" s="339" t="str">
        <f>IFERROR(VLOOKUP(A926,[3]DOORSCRIEFT!$A$2:$G$6834,2,FALSE),"")</f>
        <v/>
      </c>
      <c r="D926" s="481" t="str">
        <f>IFERROR(VLOOKUP(A926,[3]DOORSCRIEFT!$A$2:$G$6834,3,FALSE),"")</f>
        <v/>
      </c>
      <c r="E926" s="480" t="str">
        <f>IFERROR(VLOOKUP(A926,[3]DOORSCRIEFT!$A$2:$G$6834,4,FALSE),"")</f>
        <v/>
      </c>
      <c r="F926" s="405" t="str">
        <f>IFERROR(VLOOKUP(A926,[3]DOORSCRIEFT!$A$2:$G$6834,7,FALSE),"")</f>
        <v/>
      </c>
      <c r="G926" s="315"/>
    </row>
    <row r="927" spans="1:7" x14ac:dyDescent="0.25">
      <c r="A927" s="321" t="str">
        <f t="shared" si="29"/>
        <v>II.2.5.0513</v>
      </c>
      <c r="B927" s="321">
        <v>13</v>
      </c>
      <c r="C927" s="339" t="str">
        <f>IFERROR(VLOOKUP(A927,[3]DOORSCRIEFT!$A$2:$G$6834,2,FALSE),"")</f>
        <v/>
      </c>
      <c r="D927" s="481" t="str">
        <f>IFERROR(VLOOKUP(A927,[3]DOORSCRIEFT!$A$2:$G$6834,3,FALSE),"")</f>
        <v/>
      </c>
      <c r="E927" s="480" t="str">
        <f>IFERROR(VLOOKUP(A927,[3]DOORSCRIEFT!$A$2:$G$6834,4,FALSE),"")</f>
        <v/>
      </c>
      <c r="F927" s="405" t="str">
        <f>IFERROR(VLOOKUP(A927,[3]DOORSCRIEFT!$A$2:$G$6834,7,FALSE),"")</f>
        <v/>
      </c>
      <c r="G927" s="315"/>
    </row>
    <row r="928" spans="1:7" x14ac:dyDescent="0.25">
      <c r="A928" s="321" t="str">
        <f t="shared" si="29"/>
        <v>II.2.5.0514</v>
      </c>
      <c r="B928" s="321">
        <v>14</v>
      </c>
      <c r="C928" s="339" t="str">
        <f>IFERROR(VLOOKUP(A928,[3]DOORSCRIEFT!$A$2:$G$6834,2,FALSE),"")</f>
        <v/>
      </c>
      <c r="D928" s="481" t="str">
        <f>IFERROR(VLOOKUP(A928,[3]DOORSCRIEFT!$A$2:$G$6834,3,FALSE),"")</f>
        <v/>
      </c>
      <c r="E928" s="480" t="str">
        <f>IFERROR(VLOOKUP(A928,[3]DOORSCRIEFT!$A$2:$G$6834,4,FALSE),"")</f>
        <v/>
      </c>
      <c r="F928" s="405" t="str">
        <f>IFERROR(VLOOKUP(A928,[3]DOORSCRIEFT!$A$2:$G$6834,7,FALSE),"")</f>
        <v/>
      </c>
      <c r="G928" s="315"/>
    </row>
    <row r="929" spans="1:7" x14ac:dyDescent="0.25">
      <c r="A929" s="321" t="str">
        <f t="shared" si="29"/>
        <v>II.2.5.0515</v>
      </c>
      <c r="B929" s="321">
        <v>15</v>
      </c>
      <c r="C929" s="339" t="str">
        <f>IFERROR(VLOOKUP(A929,[3]DOORSCRIEFT!$A$2:$G$6834,2,FALSE),"")</f>
        <v/>
      </c>
      <c r="D929" s="481" t="str">
        <f>IFERROR(VLOOKUP(A929,[3]DOORSCRIEFT!$A$2:$G$6834,3,FALSE),"")</f>
        <v/>
      </c>
      <c r="E929" s="480" t="str">
        <f>IFERROR(VLOOKUP(A929,[3]DOORSCRIEFT!$A$2:$G$6834,4,FALSE),"")</f>
        <v/>
      </c>
      <c r="F929" s="405" t="str">
        <f>IFERROR(VLOOKUP(A929,[3]DOORSCRIEFT!$A$2:$G$6834,7,FALSE),"")</f>
        <v/>
      </c>
      <c r="G929" s="315"/>
    </row>
    <row r="930" spans="1:7" x14ac:dyDescent="0.25">
      <c r="A930" s="321" t="str">
        <f t="shared" si="29"/>
        <v>II.2.5.0516</v>
      </c>
      <c r="B930" s="321">
        <v>16</v>
      </c>
      <c r="C930" s="339" t="str">
        <f>IFERROR(VLOOKUP(A930,[3]DOORSCRIEFT!$A$2:$G$6834,2,FALSE),"")</f>
        <v/>
      </c>
      <c r="D930" s="481" t="str">
        <f>IFERROR(VLOOKUP(A930,[3]DOORSCRIEFT!$A$2:$G$6834,3,FALSE),"")</f>
        <v/>
      </c>
      <c r="E930" s="480" t="str">
        <f>IFERROR(VLOOKUP(A930,[3]DOORSCRIEFT!$A$2:$G$6834,4,FALSE),"")</f>
        <v/>
      </c>
      <c r="F930" s="405" t="str">
        <f>IFERROR(VLOOKUP(A930,[3]DOORSCRIEFT!$A$2:$G$6834,7,FALSE),"")</f>
        <v/>
      </c>
      <c r="G930" s="315"/>
    </row>
    <row r="931" spans="1:7" x14ac:dyDescent="0.25">
      <c r="A931" s="321" t="str">
        <f t="shared" si="29"/>
        <v>II.2.5.0517</v>
      </c>
      <c r="B931" s="321">
        <v>17</v>
      </c>
      <c r="C931" s="339" t="str">
        <f>IFERROR(VLOOKUP(A931,[3]DOORSCRIEFT!$A$2:$G$6834,2,FALSE),"")</f>
        <v/>
      </c>
      <c r="D931" s="481" t="str">
        <f>IFERROR(VLOOKUP(A931,[3]DOORSCRIEFT!$A$2:$G$6834,3,FALSE),"")</f>
        <v/>
      </c>
      <c r="E931" s="480" t="str">
        <f>IFERROR(VLOOKUP(A931,[3]DOORSCRIEFT!$A$2:$G$6834,4,FALSE),"")</f>
        <v/>
      </c>
      <c r="F931" s="405" t="str">
        <f>IFERROR(VLOOKUP(A931,[3]DOORSCRIEFT!$A$2:$G$6834,7,FALSE),"")</f>
        <v/>
      </c>
      <c r="G931" s="315"/>
    </row>
    <row r="932" spans="1:7" x14ac:dyDescent="0.25">
      <c r="A932" s="321" t="str">
        <f t="shared" si="29"/>
        <v>II.2.5.0518</v>
      </c>
      <c r="B932" s="321">
        <v>18</v>
      </c>
      <c r="C932" s="339" t="str">
        <f>IFERROR(VLOOKUP(A932,[3]DOORSCRIEFT!$A$2:$G$6834,2,FALSE),"")</f>
        <v/>
      </c>
      <c r="D932" s="481" t="str">
        <f>IFERROR(VLOOKUP(A932,[3]DOORSCRIEFT!$A$2:$G$6834,3,FALSE),"")</f>
        <v/>
      </c>
      <c r="E932" s="480" t="str">
        <f>IFERROR(VLOOKUP(A932,[3]DOORSCRIEFT!$A$2:$G$6834,4,FALSE),"")</f>
        <v/>
      </c>
      <c r="F932" s="405" t="str">
        <f>IFERROR(VLOOKUP(A932,[3]DOORSCRIEFT!$A$2:$G$6834,7,FALSE),"")</f>
        <v/>
      </c>
      <c r="G932" s="315"/>
    </row>
    <row r="933" spans="1:7" x14ac:dyDescent="0.25">
      <c r="A933" s="321" t="str">
        <f t="shared" si="29"/>
        <v>II.2.5.0519</v>
      </c>
      <c r="B933" s="321">
        <v>19</v>
      </c>
      <c r="C933" s="339" t="str">
        <f>IFERROR(VLOOKUP(A933,[3]DOORSCRIEFT!$A$2:$G$6834,2,FALSE),"")</f>
        <v/>
      </c>
      <c r="D933" s="481" t="str">
        <f>IFERROR(VLOOKUP(A933,[3]DOORSCRIEFT!$A$2:$G$6834,3,FALSE),"")</f>
        <v/>
      </c>
      <c r="E933" s="480" t="str">
        <f>IFERROR(VLOOKUP(A933,[3]DOORSCRIEFT!$A$2:$G$6834,4,FALSE),"")</f>
        <v/>
      </c>
      <c r="F933" s="405" t="str">
        <f>IFERROR(VLOOKUP(A933,[3]DOORSCRIEFT!$A$2:$G$6834,7,FALSE),"")</f>
        <v/>
      </c>
      <c r="G933" s="315"/>
    </row>
    <row r="934" spans="1:7" x14ac:dyDescent="0.25">
      <c r="A934" s="321" t="str">
        <f t="shared" si="29"/>
        <v>II.2.5.0520</v>
      </c>
      <c r="B934" s="321">
        <v>20</v>
      </c>
      <c r="C934" s="339" t="str">
        <f>IFERROR(VLOOKUP(A934,[3]DOORSCRIEFT!$A$2:$G$6834,2,FALSE),"")</f>
        <v/>
      </c>
      <c r="D934" s="481" t="str">
        <f>IFERROR(VLOOKUP(A934,[3]DOORSCRIEFT!$A$2:$G$6834,3,FALSE),"")</f>
        <v/>
      </c>
      <c r="E934" s="480" t="str">
        <f>IFERROR(VLOOKUP(A934,[3]DOORSCRIEFT!$A$2:$G$6834,4,FALSE),"")</f>
        <v/>
      </c>
      <c r="F934" s="405" t="str">
        <f>IFERROR(VLOOKUP(A934,[3]DOORSCRIEFT!$A$2:$G$6834,7,FALSE),"")</f>
        <v/>
      </c>
      <c r="G934" s="315"/>
    </row>
    <row r="935" spans="1:7" x14ac:dyDescent="0.25">
      <c r="A935" s="321" t="str">
        <f t="shared" si="29"/>
        <v>II.2.5.0521</v>
      </c>
      <c r="B935" s="321">
        <v>21</v>
      </c>
      <c r="C935" s="339" t="str">
        <f>IFERROR(VLOOKUP(A935,[3]DOORSCRIEFT!$A$2:$G$6834,2,FALSE),"")</f>
        <v/>
      </c>
      <c r="D935" s="481" t="str">
        <f>IFERROR(VLOOKUP(A935,[3]DOORSCRIEFT!$A$2:$G$6834,3,FALSE),"")</f>
        <v/>
      </c>
      <c r="E935" s="480" t="str">
        <f>IFERROR(VLOOKUP(A935,[3]DOORSCRIEFT!$A$2:$G$6834,4,FALSE),"")</f>
        <v/>
      </c>
      <c r="F935" s="405" t="str">
        <f>IFERROR(VLOOKUP(A935,[3]DOORSCRIEFT!$A$2:$G$6834,7,FALSE),"")</f>
        <v/>
      </c>
      <c r="G935" s="315"/>
    </row>
    <row r="936" spans="1:7" x14ac:dyDescent="0.25">
      <c r="A936" s="321" t="str">
        <f t="shared" si="29"/>
        <v>II.2.5.0522</v>
      </c>
      <c r="B936" s="321">
        <v>22</v>
      </c>
      <c r="C936" s="339" t="str">
        <f>IFERROR(VLOOKUP(A936,[3]DOORSCRIEFT!$A$2:$G$6834,2,FALSE),"")</f>
        <v/>
      </c>
      <c r="D936" s="481" t="str">
        <f>IFERROR(VLOOKUP(A936,[3]DOORSCRIEFT!$A$2:$G$6834,3,FALSE),"")</f>
        <v/>
      </c>
      <c r="E936" s="480" t="str">
        <f>IFERROR(VLOOKUP(A936,[3]DOORSCRIEFT!$A$2:$G$6834,4,FALSE),"")</f>
        <v/>
      </c>
      <c r="F936" s="405" t="str">
        <f>IFERROR(VLOOKUP(A936,[3]DOORSCRIEFT!$A$2:$G$6834,7,FALSE),"")</f>
        <v/>
      </c>
      <c r="G936" s="315"/>
    </row>
    <row r="937" spans="1:7" x14ac:dyDescent="0.25">
      <c r="A937" s="321" t="str">
        <f t="shared" si="29"/>
        <v>II.2.5.0523</v>
      </c>
      <c r="B937" s="321">
        <v>23</v>
      </c>
      <c r="C937" s="339" t="str">
        <f>IFERROR(VLOOKUP(A937,[3]DOORSCRIEFT!$A$2:$G$6834,2,FALSE),"")</f>
        <v/>
      </c>
      <c r="D937" s="481" t="str">
        <f>IFERROR(VLOOKUP(A937,[3]DOORSCRIEFT!$A$2:$G$6834,3,FALSE),"")</f>
        <v/>
      </c>
      <c r="E937" s="480" t="str">
        <f>IFERROR(VLOOKUP(A937,[3]DOORSCRIEFT!$A$2:$G$6834,4,FALSE),"")</f>
        <v/>
      </c>
      <c r="F937" s="405" t="str">
        <f>IFERROR(VLOOKUP(A937,[3]DOORSCRIEFT!$A$2:$G$6834,7,FALSE),"")</f>
        <v/>
      </c>
      <c r="G937" s="315"/>
    </row>
    <row r="938" spans="1:7" x14ac:dyDescent="0.25">
      <c r="A938" s="321" t="str">
        <f t="shared" si="29"/>
        <v>II.2.5.0524</v>
      </c>
      <c r="B938" s="321">
        <v>24</v>
      </c>
      <c r="C938" s="339" t="str">
        <f>IFERROR(VLOOKUP(A938,[3]DOORSCRIEFT!$A$2:$G$6834,2,FALSE),"")</f>
        <v/>
      </c>
      <c r="D938" s="481" t="str">
        <f>IFERROR(VLOOKUP(A938,[3]DOORSCRIEFT!$A$2:$G$6834,3,FALSE),"")</f>
        <v/>
      </c>
      <c r="E938" s="480" t="str">
        <f>IFERROR(VLOOKUP(A938,[3]DOORSCRIEFT!$A$2:$G$6834,4,FALSE),"")</f>
        <v/>
      </c>
      <c r="F938" s="405" t="str">
        <f>IFERROR(VLOOKUP(A938,[3]DOORSCRIEFT!$A$2:$G$6834,7,FALSE),"")</f>
        <v/>
      </c>
      <c r="G938" s="315"/>
    </row>
    <row r="939" spans="1:7" x14ac:dyDescent="0.25">
      <c r="A939" s="321" t="str">
        <f t="shared" si="29"/>
        <v>II.2.5.0525</v>
      </c>
      <c r="B939" s="321">
        <v>25</v>
      </c>
      <c r="C939" s="339" t="str">
        <f>IFERROR(VLOOKUP(A939,[3]DOORSCRIEFT!$A$2:$G$6834,2,FALSE),"")</f>
        <v/>
      </c>
      <c r="D939" s="481" t="str">
        <f>IFERROR(VLOOKUP(A939,[3]DOORSCRIEFT!$A$2:$G$6834,3,FALSE),"")</f>
        <v/>
      </c>
      <c r="E939" s="480" t="str">
        <f>IFERROR(VLOOKUP(A939,[3]DOORSCRIEFT!$A$2:$G$6834,4,FALSE),"")</f>
        <v/>
      </c>
      <c r="F939" s="405" t="str">
        <f>IFERROR(VLOOKUP(A939,[3]DOORSCRIEFT!$A$2:$G$6834,7,FALSE),"")</f>
        <v/>
      </c>
      <c r="G939" s="315"/>
    </row>
    <row r="940" spans="1:7" x14ac:dyDescent="0.25">
      <c r="A940" s="321" t="str">
        <f t="shared" si="29"/>
        <v>II.2.5.0526</v>
      </c>
      <c r="B940" s="321">
        <v>26</v>
      </c>
      <c r="C940" s="339" t="str">
        <f>IFERROR(VLOOKUP(A940,[3]DOORSCRIEFT!$A$2:$G$6834,2,FALSE),"")</f>
        <v/>
      </c>
      <c r="D940" s="481" t="str">
        <f>IFERROR(VLOOKUP(A940,[3]DOORSCRIEFT!$A$2:$G$6834,3,FALSE),"")</f>
        <v/>
      </c>
      <c r="E940" s="480" t="str">
        <f>IFERROR(VLOOKUP(A940,[3]DOORSCRIEFT!$A$2:$G$6834,4,FALSE),"")</f>
        <v/>
      </c>
      <c r="F940" s="405" t="str">
        <f>IFERROR(VLOOKUP(A940,[3]DOORSCRIEFT!$A$2:$G$6834,7,FALSE),"")</f>
        <v/>
      </c>
      <c r="G940" s="315"/>
    </row>
    <row r="941" spans="1:7" x14ac:dyDescent="0.25">
      <c r="A941" s="321" t="str">
        <f t="shared" si="29"/>
        <v>II.2.5.0527</v>
      </c>
      <c r="B941" s="321">
        <v>27</v>
      </c>
      <c r="C941" s="339" t="str">
        <f>IFERROR(VLOOKUP(A941,[3]DOORSCRIEFT!$A$2:$G$6834,2,FALSE),"")</f>
        <v/>
      </c>
      <c r="D941" s="481" t="str">
        <f>IFERROR(VLOOKUP(A941,[3]DOORSCRIEFT!$A$2:$G$6834,3,FALSE),"")</f>
        <v/>
      </c>
      <c r="E941" s="480" t="str">
        <f>IFERROR(VLOOKUP(A941,[3]DOORSCRIEFT!$A$2:$G$6834,4,FALSE),"")</f>
        <v/>
      </c>
      <c r="F941" s="405" t="str">
        <f>IFERROR(VLOOKUP(A941,[3]DOORSCRIEFT!$A$2:$G$6834,7,FALSE),"")</f>
        <v/>
      </c>
      <c r="G941" s="315"/>
    </row>
    <row r="942" spans="1:7" x14ac:dyDescent="0.25">
      <c r="A942" s="321" t="str">
        <f t="shared" si="29"/>
        <v>II.2.5.0528</v>
      </c>
      <c r="B942" s="321">
        <v>28</v>
      </c>
      <c r="C942" s="339" t="str">
        <f>IFERROR(VLOOKUP(A942,[3]DOORSCRIEFT!$A$2:$G$6834,2,FALSE),"")</f>
        <v/>
      </c>
      <c r="D942" s="481" t="str">
        <f>IFERROR(VLOOKUP(A942,[3]DOORSCRIEFT!$A$2:$G$6834,3,FALSE),"")</f>
        <v/>
      </c>
      <c r="E942" s="480" t="str">
        <f>IFERROR(VLOOKUP(A942,[3]DOORSCRIEFT!$A$2:$G$6834,4,FALSE),"")</f>
        <v/>
      </c>
      <c r="F942" s="405" t="str">
        <f>IFERROR(VLOOKUP(A942,[3]DOORSCRIEFT!$A$2:$G$6834,7,FALSE),"")</f>
        <v/>
      </c>
      <c r="G942" s="315"/>
    </row>
    <row r="943" spans="1:7" x14ac:dyDescent="0.25">
      <c r="A943" s="321" t="str">
        <f t="shared" si="29"/>
        <v>II.2.5.0529</v>
      </c>
      <c r="B943" s="321">
        <v>29</v>
      </c>
      <c r="C943" s="339" t="str">
        <f>IFERROR(VLOOKUP(A943,[3]DOORSCRIEFT!$A$2:$G$6834,2,FALSE),"")</f>
        <v/>
      </c>
      <c r="D943" s="481" t="str">
        <f>IFERROR(VLOOKUP(A943,[3]DOORSCRIEFT!$A$2:$G$6834,3,FALSE),"")</f>
        <v/>
      </c>
      <c r="E943" s="480" t="str">
        <f>IFERROR(VLOOKUP(A943,[3]DOORSCRIEFT!$A$2:$G$6834,4,FALSE),"")</f>
        <v/>
      </c>
      <c r="F943" s="405" t="str">
        <f>IFERROR(VLOOKUP(A943,[3]DOORSCRIEFT!$A$2:$G$6834,7,FALSE),"")</f>
        <v/>
      </c>
      <c r="G943" s="315"/>
    </row>
    <row r="944" spans="1:7" x14ac:dyDescent="0.25">
      <c r="A944" s="321" t="str">
        <f t="shared" si="29"/>
        <v>II.2.5.0530</v>
      </c>
      <c r="B944" s="321">
        <v>30</v>
      </c>
      <c r="C944" s="339" t="str">
        <f>IFERROR(VLOOKUP(A944,[3]DOORSCRIEFT!$A$2:$G$6834,2,FALSE),"")</f>
        <v/>
      </c>
      <c r="D944" s="481" t="str">
        <f>IFERROR(VLOOKUP(A944,[3]DOORSCRIEFT!$A$2:$G$6834,3,FALSE),"")</f>
        <v/>
      </c>
      <c r="E944" s="480" t="str">
        <f>IFERROR(VLOOKUP(A944,[3]DOORSCRIEFT!$A$2:$G$6834,4,FALSE),"")</f>
        <v/>
      </c>
      <c r="F944" s="405" t="str">
        <f>IFERROR(VLOOKUP(A944,[3]DOORSCRIEFT!$A$2:$G$6834,7,FALSE),"")</f>
        <v/>
      </c>
      <c r="G944" s="315"/>
    </row>
    <row r="945" spans="1:7" x14ac:dyDescent="0.25">
      <c r="A945" s="321" t="str">
        <f t="shared" si="29"/>
        <v>II.2.5.0531</v>
      </c>
      <c r="B945" s="321">
        <v>31</v>
      </c>
      <c r="C945" s="339" t="str">
        <f>IFERROR(VLOOKUP(A945,[3]DOORSCRIEFT!$A$2:$G$6834,2,FALSE),"")</f>
        <v/>
      </c>
      <c r="D945" s="481" t="str">
        <f>IFERROR(VLOOKUP(A945,[3]DOORSCRIEFT!$A$2:$G$6834,3,FALSE),"")</f>
        <v/>
      </c>
      <c r="E945" s="480" t="str">
        <f>IFERROR(VLOOKUP(A945,[3]DOORSCRIEFT!$A$2:$G$6834,4,FALSE),"")</f>
        <v/>
      </c>
      <c r="F945" s="405" t="str">
        <f>IFERROR(VLOOKUP(A945,[3]DOORSCRIEFT!$A$2:$G$6834,7,FALSE),"")</f>
        <v/>
      </c>
      <c r="G945" s="315"/>
    </row>
    <row r="946" spans="1:7" x14ac:dyDescent="0.25">
      <c r="A946" s="321" t="str">
        <f t="shared" si="29"/>
        <v>II.2.5.0532</v>
      </c>
      <c r="B946" s="321">
        <v>32</v>
      </c>
      <c r="C946" s="339" t="str">
        <f>IFERROR(VLOOKUP(A946,[3]DOORSCRIEFT!$A$2:$G$6834,2,FALSE),"")</f>
        <v/>
      </c>
      <c r="D946" s="481" t="str">
        <f>IFERROR(VLOOKUP(A946,[3]DOORSCRIEFT!$A$2:$G$6834,3,FALSE),"")</f>
        <v/>
      </c>
      <c r="E946" s="480" t="str">
        <f>IFERROR(VLOOKUP(A946,[3]DOORSCRIEFT!$A$2:$G$6834,4,FALSE),"")</f>
        <v/>
      </c>
      <c r="F946" s="405" t="str">
        <f>IFERROR(VLOOKUP(A946,[3]DOORSCRIEFT!$A$2:$G$6834,7,FALSE),"")</f>
        <v/>
      </c>
      <c r="G946" s="315"/>
    </row>
    <row r="947" spans="1:7" x14ac:dyDescent="0.25">
      <c r="A947" s="321" t="str">
        <f t="shared" si="29"/>
        <v>II.2.5.0533</v>
      </c>
      <c r="B947" s="321">
        <v>33</v>
      </c>
      <c r="C947" s="339" t="str">
        <f>IFERROR(VLOOKUP(A947,[3]DOORSCRIEFT!$A$2:$G$6834,2,FALSE),"")</f>
        <v/>
      </c>
      <c r="D947" s="481" t="str">
        <f>IFERROR(VLOOKUP(A947,[3]DOORSCRIEFT!$A$2:$G$6834,3,FALSE),"")</f>
        <v/>
      </c>
      <c r="E947" s="480" t="str">
        <f>IFERROR(VLOOKUP(A947,[3]DOORSCRIEFT!$A$2:$G$6834,4,FALSE),"")</f>
        <v/>
      </c>
      <c r="F947" s="405" t="str">
        <f>IFERROR(VLOOKUP(A947,[3]DOORSCRIEFT!$A$2:$G$6834,7,FALSE),"")</f>
        <v/>
      </c>
      <c r="G947" s="315"/>
    </row>
    <row r="948" spans="1:7" x14ac:dyDescent="0.25">
      <c r="A948" s="321" t="str">
        <f t="shared" si="29"/>
        <v>II.2.5.0534</v>
      </c>
      <c r="B948" s="321">
        <v>34</v>
      </c>
      <c r="C948" s="339" t="str">
        <f>IFERROR(VLOOKUP(A948,[3]DOORSCRIEFT!$A$2:$G$6834,2,FALSE),"")</f>
        <v/>
      </c>
      <c r="D948" s="481" t="str">
        <f>IFERROR(VLOOKUP(A948,[3]DOORSCRIEFT!$A$2:$G$6834,3,FALSE),"")</f>
        <v/>
      </c>
      <c r="E948" s="480" t="str">
        <f>IFERROR(VLOOKUP(A948,[3]DOORSCRIEFT!$A$2:$G$6834,4,FALSE),"")</f>
        <v/>
      </c>
      <c r="F948" s="405" t="str">
        <f>IFERROR(VLOOKUP(A948,[3]DOORSCRIEFT!$A$2:$G$6834,7,FALSE),"")</f>
        <v/>
      </c>
      <c r="G948" s="315"/>
    </row>
    <row r="949" spans="1:7" x14ac:dyDescent="0.25">
      <c r="A949" s="321" t="str">
        <f t="shared" si="29"/>
        <v>II.2.5.0535</v>
      </c>
      <c r="B949" s="321">
        <v>35</v>
      </c>
      <c r="C949" s="339" t="str">
        <f>IFERROR(VLOOKUP(A949,[3]DOORSCRIEFT!$A$2:$G$6834,2,FALSE),"")</f>
        <v/>
      </c>
      <c r="D949" s="481" t="str">
        <f>IFERROR(VLOOKUP(A949,[3]DOORSCRIEFT!$A$2:$G$6834,3,FALSE),"")</f>
        <v/>
      </c>
      <c r="E949" s="480" t="str">
        <f>IFERROR(VLOOKUP(A949,[3]DOORSCRIEFT!$A$2:$G$6834,4,FALSE),"")</f>
        <v/>
      </c>
      <c r="F949" s="405" t="str">
        <f>IFERROR(VLOOKUP(A949,[3]DOORSCRIEFT!$A$2:$G$6834,7,FALSE),"")</f>
        <v/>
      </c>
      <c r="G949" s="315"/>
    </row>
    <row r="950" spans="1:7" x14ac:dyDescent="0.25">
      <c r="A950" s="321" t="str">
        <f t="shared" si="29"/>
        <v>II.2.5.0536</v>
      </c>
      <c r="B950" s="321">
        <v>36</v>
      </c>
      <c r="C950" s="339" t="str">
        <f>IFERROR(VLOOKUP(A950,[3]DOORSCRIEFT!$A$2:$G$6834,2,FALSE),"")</f>
        <v/>
      </c>
      <c r="D950" s="481" t="str">
        <f>IFERROR(VLOOKUP(A950,[3]DOORSCRIEFT!$A$2:$G$6834,3,FALSE),"")</f>
        <v/>
      </c>
      <c r="E950" s="480" t="str">
        <f>IFERROR(VLOOKUP(A950,[3]DOORSCRIEFT!$A$2:$G$6834,4,FALSE),"")</f>
        <v/>
      </c>
      <c r="F950" s="405" t="str">
        <f>IFERROR(VLOOKUP(A950,[3]DOORSCRIEFT!$A$2:$G$6834,7,FALSE),"")</f>
        <v/>
      </c>
      <c r="G950" s="315"/>
    </row>
    <row r="951" spans="1:7" x14ac:dyDescent="0.25">
      <c r="A951" s="321" t="str">
        <f t="shared" si="29"/>
        <v>II.2.5.0537</v>
      </c>
      <c r="B951" s="321">
        <v>37</v>
      </c>
      <c r="C951" s="339" t="str">
        <f>IFERROR(VLOOKUP(A951,[3]DOORSCRIEFT!$A$2:$G$6834,2,FALSE),"")</f>
        <v/>
      </c>
      <c r="D951" s="481" t="str">
        <f>IFERROR(VLOOKUP(A951,[3]DOORSCRIEFT!$A$2:$G$6834,3,FALSE),"")</f>
        <v/>
      </c>
      <c r="E951" s="480" t="str">
        <f>IFERROR(VLOOKUP(A951,[3]DOORSCRIEFT!$A$2:$G$6834,4,FALSE),"")</f>
        <v/>
      </c>
      <c r="F951" s="405" t="str">
        <f>IFERROR(VLOOKUP(A951,[3]DOORSCRIEFT!$A$2:$G$6834,7,FALSE),"")</f>
        <v/>
      </c>
      <c r="G951" s="315"/>
    </row>
    <row r="952" spans="1:7" x14ac:dyDescent="0.25">
      <c r="A952" s="321" t="str">
        <f t="shared" si="29"/>
        <v>II.2.5.0538</v>
      </c>
      <c r="B952" s="321">
        <v>38</v>
      </c>
      <c r="C952" s="339" t="str">
        <f>IFERROR(VLOOKUP(A952,[3]DOORSCRIEFT!$A$2:$G$6834,2,FALSE),"")</f>
        <v/>
      </c>
      <c r="D952" s="481" t="str">
        <f>IFERROR(VLOOKUP(A952,[3]DOORSCRIEFT!$A$2:$G$6834,3,FALSE),"")</f>
        <v/>
      </c>
      <c r="E952" s="480" t="str">
        <f>IFERROR(VLOOKUP(A952,[3]DOORSCRIEFT!$A$2:$G$6834,4,FALSE),"")</f>
        <v/>
      </c>
      <c r="F952" s="405" t="str">
        <f>IFERROR(VLOOKUP(A952,[3]DOORSCRIEFT!$A$2:$G$6834,7,FALSE),"")</f>
        <v/>
      </c>
      <c r="G952" s="315"/>
    </row>
    <row r="953" spans="1:7" x14ac:dyDescent="0.25">
      <c r="A953" s="321" t="str">
        <f t="shared" si="29"/>
        <v>II.2.5.0539</v>
      </c>
      <c r="B953" s="321">
        <v>39</v>
      </c>
      <c r="C953" s="339" t="str">
        <f>IFERROR(VLOOKUP(A953,[3]DOORSCRIEFT!$A$2:$G$6834,2,FALSE),"")</f>
        <v/>
      </c>
      <c r="D953" s="481" t="str">
        <f>IFERROR(VLOOKUP(A953,[3]DOORSCRIEFT!$A$2:$G$6834,3,FALSE),"")</f>
        <v/>
      </c>
      <c r="E953" s="480" t="str">
        <f>IFERROR(VLOOKUP(A953,[3]DOORSCRIEFT!$A$2:$G$6834,4,FALSE),"")</f>
        <v/>
      </c>
      <c r="F953" s="405" t="str">
        <f>IFERROR(VLOOKUP(A953,[3]DOORSCRIEFT!$A$2:$G$6834,7,FALSE),"")</f>
        <v/>
      </c>
      <c r="G953" s="315"/>
    </row>
    <row r="954" spans="1:7" ht="15.75" thickBot="1" x14ac:dyDescent="0.3">
      <c r="A954" s="342" t="str">
        <f t="shared" si="29"/>
        <v>II.2.5.0540</v>
      </c>
      <c r="B954" s="342">
        <v>40</v>
      </c>
      <c r="C954" s="339" t="str">
        <f>IFERROR(VLOOKUP(A954,[3]DOORSCRIEFT!$A$2:$G$6834,2,FALSE),"")</f>
        <v/>
      </c>
      <c r="D954" s="481" t="str">
        <f>IFERROR(VLOOKUP(A954,[3]DOORSCRIEFT!$A$2:$G$6834,3,FALSE),"")</f>
        <v/>
      </c>
      <c r="E954" s="480" t="str">
        <f>IFERROR(VLOOKUP(A954,[3]DOORSCRIEFT!$A$2:$G$6834,4,FALSE),"")</f>
        <v/>
      </c>
      <c r="F954" s="405" t="str">
        <f>IFERROR(VLOOKUP(A954,[3]DOORSCRIEFT!$A$2:$G$6834,7,FALSE),"")</f>
        <v/>
      </c>
      <c r="G954" s="315"/>
    </row>
    <row r="955" spans="1:7" ht="15.75" thickBot="1" x14ac:dyDescent="0.3">
      <c r="A955" s="314"/>
      <c r="B955" s="312"/>
      <c r="C955" s="336"/>
      <c r="D955" s="486"/>
      <c r="E955" s="340" t="s">
        <v>644</v>
      </c>
      <c r="F955" s="310">
        <f>SUM(F915:F954)</f>
        <v>7765000</v>
      </c>
      <c r="G955" s="309"/>
    </row>
    <row r="956" spans="1:7" x14ac:dyDescent="0.25">
      <c r="C956" s="335"/>
      <c r="D956" s="485"/>
    </row>
    <row r="957" spans="1:7" x14ac:dyDescent="0.25">
      <c r="C957" s="335"/>
      <c r="D957" s="485"/>
    </row>
    <row r="958" spans="1:7" ht="15.75" x14ac:dyDescent="0.25">
      <c r="C958" s="334" t="s">
        <v>663</v>
      </c>
      <c r="D958" s="484"/>
      <c r="E958" s="333"/>
      <c r="F958" s="327" t="s">
        <v>607</v>
      </c>
      <c r="G958" s="327" t="s">
        <v>201</v>
      </c>
    </row>
    <row r="959" spans="1:7" ht="15.75" x14ac:dyDescent="0.25">
      <c r="C959" s="334"/>
      <c r="D959" s="484"/>
      <c r="E959" s="333"/>
      <c r="F959" s="327" t="s">
        <v>601</v>
      </c>
      <c r="G959" s="327" t="s">
        <v>200</v>
      </c>
    </row>
    <row r="960" spans="1:7" x14ac:dyDescent="0.25">
      <c r="C960" s="330"/>
      <c r="D960" s="482"/>
      <c r="E960" s="329"/>
      <c r="F960" s="327" t="s">
        <v>651</v>
      </c>
      <c r="G960" s="331">
        <f>[2]Sheet1!$D$296</f>
        <v>5000000</v>
      </c>
    </row>
    <row r="961" spans="1:7" ht="15.75" thickBot="1" x14ac:dyDescent="0.3">
      <c r="C961" s="330"/>
      <c r="D961" s="482"/>
      <c r="E961" s="329"/>
      <c r="F961" s="327" t="s">
        <v>650</v>
      </c>
      <c r="G961" s="326">
        <f>+F991-G960</f>
        <v>-5000000</v>
      </c>
    </row>
    <row r="962" spans="1:7" x14ac:dyDescent="0.25">
      <c r="A962" s="571" t="s">
        <v>655</v>
      </c>
      <c r="B962" s="573" t="s">
        <v>606</v>
      </c>
      <c r="C962" s="588" t="s">
        <v>649</v>
      </c>
      <c r="D962" s="599" t="s">
        <v>648</v>
      </c>
      <c r="E962" s="577" t="s">
        <v>647</v>
      </c>
      <c r="F962" s="577" t="s">
        <v>646</v>
      </c>
      <c r="G962" s="580" t="s">
        <v>645</v>
      </c>
    </row>
    <row r="963" spans="1:7" ht="15.75" thickBot="1" x14ac:dyDescent="0.3">
      <c r="A963" s="572"/>
      <c r="B963" s="574"/>
      <c r="C963" s="589"/>
      <c r="D963" s="600"/>
      <c r="E963" s="578"/>
      <c r="F963" s="578"/>
      <c r="G963" s="581"/>
    </row>
    <row r="964" spans="1:7" ht="15.75" thickBot="1" x14ac:dyDescent="0.3">
      <c r="A964" s="425">
        <v>1</v>
      </c>
      <c r="B964" s="425">
        <v>2</v>
      </c>
      <c r="C964" s="425">
        <v>3</v>
      </c>
      <c r="D964" s="425">
        <v>4</v>
      </c>
      <c r="E964" s="425">
        <v>5</v>
      </c>
      <c r="F964" s="425">
        <v>6</v>
      </c>
      <c r="G964" s="425">
        <v>7</v>
      </c>
    </row>
    <row r="965" spans="1:7" x14ac:dyDescent="0.25">
      <c r="A965" s="320" t="str">
        <f t="shared" ref="A965:A990" si="30">$G$958&amp;B965</f>
        <v>II.2.6.011</v>
      </c>
      <c r="B965" s="320">
        <v>1</v>
      </c>
      <c r="C965" s="480" t="str">
        <f>IFERROR(VLOOKUP(A965,[3]DOORSCRIEFT!$A$2:$G$6834,2,FALSE),"")</f>
        <v/>
      </c>
      <c r="D965" s="481" t="str">
        <f>IFERROR(VLOOKUP(A965,[3]DOORSCRIEFT!$A$2:$G$6834,3,FALSE),"")</f>
        <v/>
      </c>
      <c r="E965" s="480" t="str">
        <f>IFERROR(VLOOKUP(A965,[3]DOORSCRIEFT!$A$2:$G$6834,4,FALSE),"")</f>
        <v/>
      </c>
      <c r="F965" s="405" t="str">
        <f>IFERROR(VLOOKUP(A965,[3]DOORSCRIEFT!$A$2:$G$6834,7,FALSE),"")</f>
        <v/>
      </c>
      <c r="G965" s="322"/>
    </row>
    <row r="966" spans="1:7" x14ac:dyDescent="0.25">
      <c r="A966" s="321" t="str">
        <f t="shared" si="30"/>
        <v>II.2.6.012</v>
      </c>
      <c r="B966" s="321">
        <v>2</v>
      </c>
      <c r="C966" s="480" t="str">
        <f>IFERROR(VLOOKUP(A966,[3]DOORSCRIEFT!$A$2:$G$6834,2,FALSE),"")</f>
        <v/>
      </c>
      <c r="D966" s="481" t="str">
        <f>IFERROR(VLOOKUP(A966,[3]DOORSCRIEFT!$A$2:$G$6834,3,FALSE),"")</f>
        <v/>
      </c>
      <c r="E966" s="480" t="str">
        <f>IFERROR(VLOOKUP(A966,[3]DOORSCRIEFT!$A$2:$G$6834,4,FALSE),"")</f>
        <v/>
      </c>
      <c r="F966" s="405" t="str">
        <f>IFERROR(VLOOKUP(A966,[3]DOORSCRIEFT!$A$2:$G$6834,7,FALSE),"")</f>
        <v/>
      </c>
      <c r="G966" s="315"/>
    </row>
    <row r="967" spans="1:7" x14ac:dyDescent="0.25">
      <c r="A967" s="321" t="str">
        <f t="shared" si="30"/>
        <v>II.2.6.013</v>
      </c>
      <c r="B967" s="321">
        <v>3</v>
      </c>
      <c r="C967" s="480" t="str">
        <f>IFERROR(VLOOKUP(A967,[3]DOORSCRIEFT!$A$2:$G$6834,2,FALSE),"")</f>
        <v/>
      </c>
      <c r="D967" s="481" t="str">
        <f>IFERROR(VLOOKUP(A967,[3]DOORSCRIEFT!$A$2:$G$6834,3,FALSE),"")</f>
        <v/>
      </c>
      <c r="E967" s="480" t="str">
        <f>IFERROR(VLOOKUP(A967,[3]DOORSCRIEFT!$A$2:$G$6834,4,FALSE),"")</f>
        <v/>
      </c>
      <c r="F967" s="405" t="str">
        <f>IFERROR(VLOOKUP(A967,[3]DOORSCRIEFT!$A$2:$G$6834,7,FALSE),"")</f>
        <v/>
      </c>
      <c r="G967" s="315"/>
    </row>
    <row r="968" spans="1:7" x14ac:dyDescent="0.25">
      <c r="A968" s="321" t="str">
        <f t="shared" si="30"/>
        <v>II.2.6.014</v>
      </c>
      <c r="B968" s="321">
        <v>4</v>
      </c>
      <c r="C968" s="480" t="str">
        <f>IFERROR(VLOOKUP(A968,[3]DOORSCRIEFT!$A$2:$G$6834,2,FALSE),"")</f>
        <v/>
      </c>
      <c r="D968" s="481" t="str">
        <f>IFERROR(VLOOKUP(A968,[3]DOORSCRIEFT!$A$2:$G$6834,3,FALSE),"")</f>
        <v/>
      </c>
      <c r="E968" s="480" t="str">
        <f>IFERROR(VLOOKUP(A968,[3]DOORSCRIEFT!$A$2:$G$6834,4,FALSE),"")</f>
        <v/>
      </c>
      <c r="F968" s="405" t="str">
        <f>IFERROR(VLOOKUP(A968,[3]DOORSCRIEFT!$A$2:$G$6834,7,FALSE),"")</f>
        <v/>
      </c>
      <c r="G968" s="315"/>
    </row>
    <row r="969" spans="1:7" x14ac:dyDescent="0.25">
      <c r="A969" s="321" t="str">
        <f t="shared" si="30"/>
        <v>II.2.6.015</v>
      </c>
      <c r="B969" s="321">
        <v>5</v>
      </c>
      <c r="C969" s="480" t="str">
        <f>IFERROR(VLOOKUP(A969,[3]DOORSCRIEFT!$A$2:$G$6834,2,FALSE),"")</f>
        <v/>
      </c>
      <c r="D969" s="481" t="str">
        <f>IFERROR(VLOOKUP(A969,[3]DOORSCRIEFT!$A$2:$G$6834,3,FALSE),"")</f>
        <v/>
      </c>
      <c r="E969" s="480" t="str">
        <f>IFERROR(VLOOKUP(A969,[3]DOORSCRIEFT!$A$2:$G$6834,4,FALSE),"")</f>
        <v/>
      </c>
      <c r="F969" s="405" t="str">
        <f>IFERROR(VLOOKUP(A969,[3]DOORSCRIEFT!$A$2:$G$6834,7,FALSE),"")</f>
        <v/>
      </c>
      <c r="G969" s="315"/>
    </row>
    <row r="970" spans="1:7" x14ac:dyDescent="0.25">
      <c r="A970" s="321" t="str">
        <f t="shared" si="30"/>
        <v>II.2.6.016</v>
      </c>
      <c r="B970" s="321">
        <v>6</v>
      </c>
      <c r="C970" s="480" t="str">
        <f>IFERROR(VLOOKUP(A970,[3]DOORSCRIEFT!$A$2:$G$6834,2,FALSE),"")</f>
        <v/>
      </c>
      <c r="D970" s="481" t="str">
        <f>IFERROR(VLOOKUP(A970,[3]DOORSCRIEFT!$A$2:$G$6834,3,FALSE),"")</f>
        <v/>
      </c>
      <c r="E970" s="480" t="str">
        <f>IFERROR(VLOOKUP(A970,[3]DOORSCRIEFT!$A$2:$G$6834,4,FALSE),"")</f>
        <v/>
      </c>
      <c r="F970" s="405" t="str">
        <f>IFERROR(VLOOKUP(A970,[3]DOORSCRIEFT!$A$2:$G$6834,7,FALSE),"")</f>
        <v/>
      </c>
      <c r="G970" s="315"/>
    </row>
    <row r="971" spans="1:7" x14ac:dyDescent="0.25">
      <c r="A971" s="321" t="str">
        <f t="shared" si="30"/>
        <v>II.2.6.017</v>
      </c>
      <c r="B971" s="321">
        <v>7</v>
      </c>
      <c r="C971" s="480" t="str">
        <f>IFERROR(VLOOKUP(A971,[3]DOORSCRIEFT!$A$2:$G$6834,2,FALSE),"")</f>
        <v/>
      </c>
      <c r="D971" s="481" t="str">
        <f>IFERROR(VLOOKUP(A971,[3]DOORSCRIEFT!$A$2:$G$6834,3,FALSE),"")</f>
        <v/>
      </c>
      <c r="E971" s="480" t="str">
        <f>IFERROR(VLOOKUP(A971,[3]DOORSCRIEFT!$A$2:$G$6834,4,FALSE),"")</f>
        <v/>
      </c>
      <c r="F971" s="405" t="str">
        <f>IFERROR(VLOOKUP(A971,[3]DOORSCRIEFT!$A$2:$G$6834,7,FALSE),"")</f>
        <v/>
      </c>
      <c r="G971" s="315"/>
    </row>
    <row r="972" spans="1:7" x14ac:dyDescent="0.25">
      <c r="A972" s="321" t="str">
        <f t="shared" si="30"/>
        <v>II.2.6.018</v>
      </c>
      <c r="B972" s="321">
        <v>8</v>
      </c>
      <c r="C972" s="480" t="str">
        <f>IFERROR(VLOOKUP(A972,[3]DOORSCRIEFT!$A$2:$G$6834,2,FALSE),"")</f>
        <v/>
      </c>
      <c r="D972" s="481" t="str">
        <f>IFERROR(VLOOKUP(A972,[3]DOORSCRIEFT!$A$2:$G$6834,3,FALSE),"")</f>
        <v/>
      </c>
      <c r="E972" s="480" t="str">
        <f>IFERROR(VLOOKUP(A972,[3]DOORSCRIEFT!$A$2:$G$6834,4,FALSE),"")</f>
        <v/>
      </c>
      <c r="F972" s="405" t="str">
        <f>IFERROR(VLOOKUP(A972,[3]DOORSCRIEFT!$A$2:$G$6834,7,FALSE),"")</f>
        <v/>
      </c>
      <c r="G972" s="315"/>
    </row>
    <row r="973" spans="1:7" x14ac:dyDescent="0.25">
      <c r="A973" s="321" t="str">
        <f t="shared" si="30"/>
        <v>II.2.6.019</v>
      </c>
      <c r="B973" s="321">
        <v>9</v>
      </c>
      <c r="C973" s="480" t="str">
        <f>IFERROR(VLOOKUP(A973,[3]DOORSCRIEFT!$A$2:$G$6834,2,FALSE),"")</f>
        <v/>
      </c>
      <c r="D973" s="481" t="str">
        <f>IFERROR(VLOOKUP(A973,[3]DOORSCRIEFT!$A$2:$G$6834,3,FALSE),"")</f>
        <v/>
      </c>
      <c r="E973" s="480" t="str">
        <f>IFERROR(VLOOKUP(A973,[3]DOORSCRIEFT!$A$2:$G$6834,4,FALSE),"")</f>
        <v/>
      </c>
      <c r="F973" s="405" t="str">
        <f>IFERROR(VLOOKUP(A973,[3]DOORSCRIEFT!$A$2:$G$6834,7,FALSE),"")</f>
        <v/>
      </c>
      <c r="G973" s="315"/>
    </row>
    <row r="974" spans="1:7" x14ac:dyDescent="0.25">
      <c r="A974" s="321" t="str">
        <f t="shared" si="30"/>
        <v>II.2.6.0110</v>
      </c>
      <c r="B974" s="321">
        <v>10</v>
      </c>
      <c r="C974" s="480" t="str">
        <f>IFERROR(VLOOKUP(A974,[3]DOORSCRIEFT!$A$2:$G$6834,2,FALSE),"")</f>
        <v/>
      </c>
      <c r="D974" s="481" t="str">
        <f>IFERROR(VLOOKUP(A974,[3]DOORSCRIEFT!$A$2:$G$6834,3,FALSE),"")</f>
        <v/>
      </c>
      <c r="E974" s="480" t="str">
        <f>IFERROR(VLOOKUP(A974,[3]DOORSCRIEFT!$A$2:$G$6834,4,FALSE),"")</f>
        <v/>
      </c>
      <c r="F974" s="405" t="str">
        <f>IFERROR(VLOOKUP(A974,[3]DOORSCRIEFT!$A$2:$G$6834,7,FALSE),"")</f>
        <v/>
      </c>
      <c r="G974" s="315"/>
    </row>
    <row r="975" spans="1:7" x14ac:dyDescent="0.25">
      <c r="A975" s="321" t="str">
        <f t="shared" si="30"/>
        <v>II.2.6.0111</v>
      </c>
      <c r="B975" s="321">
        <v>11</v>
      </c>
      <c r="C975" s="480" t="str">
        <f>IFERROR(VLOOKUP(A975,[3]DOORSCRIEFT!$A$2:$G$6834,2,FALSE),"")</f>
        <v/>
      </c>
      <c r="D975" s="481" t="str">
        <f>IFERROR(VLOOKUP(A975,[3]DOORSCRIEFT!$A$2:$G$6834,3,FALSE),"")</f>
        <v/>
      </c>
      <c r="E975" s="480" t="str">
        <f>IFERROR(VLOOKUP(A975,[3]DOORSCRIEFT!$A$2:$G$6834,4,FALSE),"")</f>
        <v/>
      </c>
      <c r="F975" s="405" t="str">
        <f>IFERROR(VLOOKUP(A975,[3]DOORSCRIEFT!$A$2:$G$6834,7,FALSE),"")</f>
        <v/>
      </c>
      <c r="G975" s="315"/>
    </row>
    <row r="976" spans="1:7" x14ac:dyDescent="0.25">
      <c r="A976" s="321" t="str">
        <f t="shared" si="30"/>
        <v>II.2.6.0112</v>
      </c>
      <c r="B976" s="321">
        <v>12</v>
      </c>
      <c r="C976" s="480" t="str">
        <f>IFERROR(VLOOKUP(A976,[3]DOORSCRIEFT!$A$2:$G$6834,2,FALSE),"")</f>
        <v/>
      </c>
      <c r="D976" s="481" t="str">
        <f>IFERROR(VLOOKUP(A976,[3]DOORSCRIEFT!$A$2:$G$6834,3,FALSE),"")</f>
        <v/>
      </c>
      <c r="E976" s="480" t="str">
        <f>IFERROR(VLOOKUP(A976,[3]DOORSCRIEFT!$A$2:$G$6834,4,FALSE),"")</f>
        <v/>
      </c>
      <c r="F976" s="405" t="str">
        <f>IFERROR(VLOOKUP(A976,[3]DOORSCRIEFT!$A$2:$G$6834,7,FALSE),"")</f>
        <v/>
      </c>
      <c r="G976" s="315"/>
    </row>
    <row r="977" spans="1:7" x14ac:dyDescent="0.25">
      <c r="A977" s="321" t="str">
        <f t="shared" si="30"/>
        <v>II.2.6.0113</v>
      </c>
      <c r="B977" s="321">
        <v>13</v>
      </c>
      <c r="C977" s="480" t="str">
        <f>IFERROR(VLOOKUP(A977,[3]DOORSCRIEFT!$A$2:$G$6834,2,FALSE),"")</f>
        <v/>
      </c>
      <c r="D977" s="481" t="str">
        <f>IFERROR(VLOOKUP(A977,[3]DOORSCRIEFT!$A$2:$G$6834,3,FALSE),"")</f>
        <v/>
      </c>
      <c r="E977" s="480" t="str">
        <f>IFERROR(VLOOKUP(A977,[3]DOORSCRIEFT!$A$2:$G$6834,4,FALSE),"")</f>
        <v/>
      </c>
      <c r="F977" s="405" t="str">
        <f>IFERROR(VLOOKUP(A977,[3]DOORSCRIEFT!$A$2:$G$6834,7,FALSE),"")</f>
        <v/>
      </c>
      <c r="G977" s="315"/>
    </row>
    <row r="978" spans="1:7" x14ac:dyDescent="0.25">
      <c r="A978" s="321" t="str">
        <f t="shared" si="30"/>
        <v>II.2.6.0114</v>
      </c>
      <c r="B978" s="321">
        <v>14</v>
      </c>
      <c r="C978" s="480" t="str">
        <f>IFERROR(VLOOKUP(A978,[3]DOORSCRIEFT!$A$2:$G$6834,2,FALSE),"")</f>
        <v/>
      </c>
      <c r="D978" s="481" t="str">
        <f>IFERROR(VLOOKUP(A978,[3]DOORSCRIEFT!$A$2:$G$6834,3,FALSE),"")</f>
        <v/>
      </c>
      <c r="E978" s="480" t="str">
        <f>IFERROR(VLOOKUP(A978,[3]DOORSCRIEFT!$A$2:$G$6834,4,FALSE),"")</f>
        <v/>
      </c>
      <c r="F978" s="405" t="str">
        <f>IFERROR(VLOOKUP(A978,[3]DOORSCRIEFT!$A$2:$G$6834,7,FALSE),"")</f>
        <v/>
      </c>
      <c r="G978" s="315"/>
    </row>
    <row r="979" spans="1:7" x14ac:dyDescent="0.25">
      <c r="A979" s="321" t="str">
        <f t="shared" si="30"/>
        <v>II.2.6.0115</v>
      </c>
      <c r="B979" s="321">
        <v>15</v>
      </c>
      <c r="C979" s="480" t="str">
        <f>IFERROR(VLOOKUP(A979,[3]DOORSCRIEFT!$A$2:$G$6834,2,FALSE),"")</f>
        <v/>
      </c>
      <c r="D979" s="481" t="str">
        <f>IFERROR(VLOOKUP(A979,[3]DOORSCRIEFT!$A$2:$G$6834,3,FALSE),"")</f>
        <v/>
      </c>
      <c r="E979" s="480" t="str">
        <f>IFERROR(VLOOKUP(A979,[3]DOORSCRIEFT!$A$2:$G$6834,4,FALSE),"")</f>
        <v/>
      </c>
      <c r="F979" s="405" t="str">
        <f>IFERROR(VLOOKUP(A979,[3]DOORSCRIEFT!$A$2:$G$6834,7,FALSE),"")</f>
        <v/>
      </c>
      <c r="G979" s="315"/>
    </row>
    <row r="980" spans="1:7" x14ac:dyDescent="0.25">
      <c r="A980" s="321" t="str">
        <f t="shared" si="30"/>
        <v>II.2.6.0116</v>
      </c>
      <c r="B980" s="321">
        <v>16</v>
      </c>
      <c r="C980" s="480" t="str">
        <f>IFERROR(VLOOKUP(A980,[3]DOORSCRIEFT!$A$2:$G$6834,2,FALSE),"")</f>
        <v/>
      </c>
      <c r="D980" s="481" t="str">
        <f>IFERROR(VLOOKUP(A980,[3]DOORSCRIEFT!$A$2:$G$6834,3,FALSE),"")</f>
        <v/>
      </c>
      <c r="E980" s="480" t="str">
        <f>IFERROR(VLOOKUP(A980,[3]DOORSCRIEFT!$A$2:$G$6834,4,FALSE),"")</f>
        <v/>
      </c>
      <c r="F980" s="405" t="str">
        <f>IFERROR(VLOOKUP(A980,[3]DOORSCRIEFT!$A$2:$G$6834,7,FALSE),"")</f>
        <v/>
      </c>
      <c r="G980" s="315"/>
    </row>
    <row r="981" spans="1:7" x14ac:dyDescent="0.25">
      <c r="A981" s="321" t="str">
        <f t="shared" si="30"/>
        <v>II.2.6.0117</v>
      </c>
      <c r="B981" s="321">
        <v>17</v>
      </c>
      <c r="C981" s="480" t="str">
        <f>IFERROR(VLOOKUP(A981,[3]DOORSCRIEFT!$A$2:$G$6834,2,FALSE),"")</f>
        <v/>
      </c>
      <c r="D981" s="481" t="str">
        <f>IFERROR(VLOOKUP(A981,[3]DOORSCRIEFT!$A$2:$G$6834,3,FALSE),"")</f>
        <v/>
      </c>
      <c r="E981" s="480" t="str">
        <f>IFERROR(VLOOKUP(A981,[3]DOORSCRIEFT!$A$2:$G$6834,4,FALSE),"")</f>
        <v/>
      </c>
      <c r="F981" s="405" t="str">
        <f>IFERROR(VLOOKUP(A981,[3]DOORSCRIEFT!$A$2:$G$6834,7,FALSE),"")</f>
        <v/>
      </c>
      <c r="G981" s="315"/>
    </row>
    <row r="982" spans="1:7" x14ac:dyDescent="0.25">
      <c r="A982" s="321" t="str">
        <f t="shared" si="30"/>
        <v>II.2.6.0118</v>
      </c>
      <c r="B982" s="321">
        <v>18</v>
      </c>
      <c r="C982" s="480" t="str">
        <f>IFERROR(VLOOKUP(A982,[3]DOORSCRIEFT!$A$2:$G$6834,2,FALSE),"")</f>
        <v/>
      </c>
      <c r="D982" s="481" t="str">
        <f>IFERROR(VLOOKUP(A982,[3]DOORSCRIEFT!$A$2:$G$6834,3,FALSE),"")</f>
        <v/>
      </c>
      <c r="E982" s="480" t="str">
        <f>IFERROR(VLOOKUP(A982,[3]DOORSCRIEFT!$A$2:$G$6834,4,FALSE),"")</f>
        <v/>
      </c>
      <c r="F982" s="405" t="str">
        <f>IFERROR(VLOOKUP(A982,[3]DOORSCRIEFT!$A$2:$G$6834,7,FALSE),"")</f>
        <v/>
      </c>
      <c r="G982" s="315"/>
    </row>
    <row r="983" spans="1:7" x14ac:dyDescent="0.25">
      <c r="A983" s="321" t="str">
        <f t="shared" si="30"/>
        <v>II.2.6.0119</v>
      </c>
      <c r="B983" s="321">
        <v>19</v>
      </c>
      <c r="C983" s="480" t="str">
        <f>IFERROR(VLOOKUP(A983,[3]DOORSCRIEFT!$A$2:$G$6834,2,FALSE),"")</f>
        <v/>
      </c>
      <c r="D983" s="481" t="str">
        <f>IFERROR(VLOOKUP(A983,[3]DOORSCRIEFT!$A$2:$G$6834,3,FALSE),"")</f>
        <v/>
      </c>
      <c r="E983" s="480" t="str">
        <f>IFERROR(VLOOKUP(A983,[3]DOORSCRIEFT!$A$2:$G$6834,4,FALSE),"")</f>
        <v/>
      </c>
      <c r="F983" s="405" t="str">
        <f>IFERROR(VLOOKUP(A983,[3]DOORSCRIEFT!$A$2:$G$6834,7,FALSE),"")</f>
        <v/>
      </c>
      <c r="G983" s="315"/>
    </row>
    <row r="984" spans="1:7" x14ac:dyDescent="0.25">
      <c r="A984" s="321" t="str">
        <f t="shared" si="30"/>
        <v>II.2.6.0120</v>
      </c>
      <c r="B984" s="321">
        <v>20</v>
      </c>
      <c r="C984" s="480" t="str">
        <f>IFERROR(VLOOKUP(A984,[3]DOORSCRIEFT!$A$2:$G$6834,2,FALSE),"")</f>
        <v/>
      </c>
      <c r="D984" s="481" t="str">
        <f>IFERROR(VLOOKUP(A984,[3]DOORSCRIEFT!$A$2:$G$6834,3,FALSE),"")</f>
        <v/>
      </c>
      <c r="E984" s="480" t="str">
        <f>IFERROR(VLOOKUP(A984,[3]DOORSCRIEFT!$A$2:$G$6834,4,FALSE),"")</f>
        <v/>
      </c>
      <c r="F984" s="405" t="str">
        <f>IFERROR(VLOOKUP(A984,[3]DOORSCRIEFT!$A$2:$G$6834,7,FALSE),"")</f>
        <v/>
      </c>
      <c r="G984" s="315"/>
    </row>
    <row r="985" spans="1:7" x14ac:dyDescent="0.25">
      <c r="A985" s="321" t="str">
        <f t="shared" si="30"/>
        <v>II.2.6.0121</v>
      </c>
      <c r="B985" s="321">
        <v>21</v>
      </c>
      <c r="C985" s="480" t="str">
        <f>IFERROR(VLOOKUP(A985,[3]DOORSCRIEFT!$A$2:$G$6834,2,FALSE),"")</f>
        <v/>
      </c>
      <c r="D985" s="481" t="str">
        <f>IFERROR(VLOOKUP(A985,[3]DOORSCRIEFT!$A$2:$G$6834,3,FALSE),"")</f>
        <v/>
      </c>
      <c r="E985" s="480" t="str">
        <f>IFERROR(VLOOKUP(A985,[3]DOORSCRIEFT!$A$2:$G$6834,4,FALSE),"")</f>
        <v/>
      </c>
      <c r="F985" s="405" t="str">
        <f>IFERROR(VLOOKUP(A985,[3]DOORSCRIEFT!$A$2:$G$6834,7,FALSE),"")</f>
        <v/>
      </c>
      <c r="G985" s="315"/>
    </row>
    <row r="986" spans="1:7" x14ac:dyDescent="0.25">
      <c r="A986" s="321" t="str">
        <f t="shared" si="30"/>
        <v>II.2.6.0122</v>
      </c>
      <c r="B986" s="321">
        <v>22</v>
      </c>
      <c r="C986" s="480" t="str">
        <f>IFERROR(VLOOKUP(A986,[3]DOORSCRIEFT!$A$2:$G$6834,2,FALSE),"")</f>
        <v/>
      </c>
      <c r="D986" s="481" t="str">
        <f>IFERROR(VLOOKUP(A986,[3]DOORSCRIEFT!$A$2:$G$6834,3,FALSE),"")</f>
        <v/>
      </c>
      <c r="E986" s="480" t="str">
        <f>IFERROR(VLOOKUP(A986,[3]DOORSCRIEFT!$A$2:$G$6834,4,FALSE),"")</f>
        <v/>
      </c>
      <c r="F986" s="405" t="str">
        <f>IFERROR(VLOOKUP(A986,[3]DOORSCRIEFT!$A$2:$G$6834,7,FALSE),"")</f>
        <v/>
      </c>
      <c r="G986" s="315"/>
    </row>
    <row r="987" spans="1:7" x14ac:dyDescent="0.25">
      <c r="A987" s="321" t="str">
        <f t="shared" si="30"/>
        <v>II.2.6.0123</v>
      </c>
      <c r="B987" s="321">
        <v>23</v>
      </c>
      <c r="C987" s="480" t="str">
        <f>IFERROR(VLOOKUP(A987,[3]DOORSCRIEFT!$A$2:$G$6834,2,FALSE),"")</f>
        <v/>
      </c>
      <c r="D987" s="481" t="str">
        <f>IFERROR(VLOOKUP(A987,[3]DOORSCRIEFT!$A$2:$G$6834,3,FALSE),"")</f>
        <v/>
      </c>
      <c r="E987" s="480" t="str">
        <f>IFERROR(VLOOKUP(A987,[3]DOORSCRIEFT!$A$2:$G$6834,4,FALSE),"")</f>
        <v/>
      </c>
      <c r="F987" s="405" t="str">
        <f>IFERROR(VLOOKUP(A987,[3]DOORSCRIEFT!$A$2:$G$6834,7,FALSE),"")</f>
        <v/>
      </c>
      <c r="G987" s="315"/>
    </row>
    <row r="988" spans="1:7" x14ac:dyDescent="0.25">
      <c r="A988" s="321" t="str">
        <f t="shared" si="30"/>
        <v>II.2.6.0124</v>
      </c>
      <c r="B988" s="321">
        <v>24</v>
      </c>
      <c r="C988" s="480" t="str">
        <f>IFERROR(VLOOKUP(A988,[3]DOORSCRIEFT!$A$2:$G$6834,2,FALSE),"")</f>
        <v/>
      </c>
      <c r="D988" s="481" t="str">
        <f>IFERROR(VLOOKUP(A988,[3]DOORSCRIEFT!$A$2:$G$6834,3,FALSE),"")</f>
        <v/>
      </c>
      <c r="E988" s="480" t="str">
        <f>IFERROR(VLOOKUP(A988,[3]DOORSCRIEFT!$A$2:$G$6834,4,FALSE),"")</f>
        <v/>
      </c>
      <c r="F988" s="405" t="str">
        <f>IFERROR(VLOOKUP(A988,[3]DOORSCRIEFT!$A$2:$G$6834,7,FALSE),"")</f>
        <v/>
      </c>
      <c r="G988" s="315"/>
    </row>
    <row r="989" spans="1:7" x14ac:dyDescent="0.25">
      <c r="A989" s="321" t="str">
        <f t="shared" si="30"/>
        <v>II.2.6.0125</v>
      </c>
      <c r="B989" s="321">
        <v>25</v>
      </c>
      <c r="C989" s="480" t="str">
        <f>IFERROR(VLOOKUP(A989,[3]DOORSCRIEFT!$A$2:$G$6834,2,FALSE),"")</f>
        <v/>
      </c>
      <c r="D989" s="481" t="str">
        <f>IFERROR(VLOOKUP(A989,[3]DOORSCRIEFT!$A$2:$G$6834,3,FALSE),"")</f>
        <v/>
      </c>
      <c r="E989" s="480" t="str">
        <f>IFERROR(VLOOKUP(A989,[3]DOORSCRIEFT!$A$2:$G$6834,4,FALSE),"")</f>
        <v/>
      </c>
      <c r="F989" s="405" t="str">
        <f>IFERROR(VLOOKUP(A989,[3]DOORSCRIEFT!$A$2:$G$6834,7,FALSE),"")</f>
        <v/>
      </c>
      <c r="G989" s="315"/>
    </row>
    <row r="990" spans="1:7" ht="15.75" thickBot="1" x14ac:dyDescent="0.3">
      <c r="A990" s="342" t="str">
        <f t="shared" si="30"/>
        <v>II.2.6.0126</v>
      </c>
      <c r="B990" s="342">
        <v>26</v>
      </c>
      <c r="C990" s="480" t="str">
        <f>IFERROR(VLOOKUP(A990,[3]DOORSCRIEFT!$A$2:$G$6834,2,FALSE),"")</f>
        <v/>
      </c>
      <c r="D990" s="481" t="str">
        <f>IFERROR(VLOOKUP(A990,[3]DOORSCRIEFT!$A$2:$G$6834,3,FALSE),"")</f>
        <v/>
      </c>
      <c r="E990" s="480" t="str">
        <f>IFERROR(VLOOKUP(A990,[3]DOORSCRIEFT!$A$2:$G$6834,4,FALSE),"")</f>
        <v/>
      </c>
      <c r="F990" s="405" t="str">
        <f>IFERROR(VLOOKUP(A990,[3]DOORSCRIEFT!$A$2:$G$6834,7,FALSE),"")</f>
        <v/>
      </c>
      <c r="G990" s="315"/>
    </row>
    <row r="991" spans="1:7" ht="15.75" thickBot="1" x14ac:dyDescent="0.3">
      <c r="A991" s="341"/>
      <c r="B991" s="340"/>
      <c r="C991" s="336"/>
      <c r="D991" s="486"/>
      <c r="E991" s="340" t="s">
        <v>644</v>
      </c>
      <c r="F991" s="310">
        <f>SUM(F965:F990)</f>
        <v>0</v>
      </c>
      <c r="G991" s="309">
        <f>SUM(G965:G990)</f>
        <v>0</v>
      </c>
    </row>
    <row r="992" spans="1:7" x14ac:dyDescent="0.25">
      <c r="C992" s="335"/>
      <c r="D992" s="485"/>
    </row>
    <row r="993" spans="1:7" x14ac:dyDescent="0.25">
      <c r="C993" s="335"/>
      <c r="D993" s="485"/>
    </row>
    <row r="994" spans="1:7" ht="15.75" x14ac:dyDescent="0.25">
      <c r="C994" s="334" t="s">
        <v>663</v>
      </c>
      <c r="D994" s="484"/>
      <c r="E994" s="333"/>
      <c r="F994" s="327" t="s">
        <v>607</v>
      </c>
      <c r="G994" s="327" t="s">
        <v>199</v>
      </c>
    </row>
    <row r="995" spans="1:7" ht="15.75" x14ac:dyDescent="0.25">
      <c r="C995" s="334"/>
      <c r="D995" s="484"/>
      <c r="E995" s="333"/>
      <c r="F995" s="327" t="s">
        <v>601</v>
      </c>
      <c r="G995" s="327" t="s">
        <v>198</v>
      </c>
    </row>
    <row r="996" spans="1:7" x14ac:dyDescent="0.25">
      <c r="C996" s="330"/>
      <c r="D996" s="482"/>
      <c r="E996" s="329"/>
      <c r="F996" s="327" t="s">
        <v>651</v>
      </c>
      <c r="G996" s="331">
        <f>[2]Sheet1!$D$299</f>
        <v>6000000</v>
      </c>
    </row>
    <row r="997" spans="1:7" ht="15.75" thickBot="1" x14ac:dyDescent="0.3">
      <c r="C997" s="330"/>
      <c r="D997" s="482"/>
      <c r="E997" s="329"/>
      <c r="F997" s="327" t="s">
        <v>650</v>
      </c>
      <c r="G997" s="326">
        <f>+F1016-G996</f>
        <v>-2400000</v>
      </c>
    </row>
    <row r="998" spans="1:7" x14ac:dyDescent="0.25">
      <c r="A998" s="571" t="s">
        <v>655</v>
      </c>
      <c r="B998" s="573" t="s">
        <v>606</v>
      </c>
      <c r="C998" s="588" t="s">
        <v>649</v>
      </c>
      <c r="D998" s="599" t="s">
        <v>648</v>
      </c>
      <c r="E998" s="577" t="s">
        <v>647</v>
      </c>
      <c r="F998" s="577" t="s">
        <v>646</v>
      </c>
      <c r="G998" s="580" t="s">
        <v>645</v>
      </c>
    </row>
    <row r="999" spans="1:7" ht="15.75" thickBot="1" x14ac:dyDescent="0.3">
      <c r="A999" s="572"/>
      <c r="B999" s="574"/>
      <c r="C999" s="589"/>
      <c r="D999" s="600"/>
      <c r="E999" s="578"/>
      <c r="F999" s="578"/>
      <c r="G999" s="581"/>
    </row>
    <row r="1000" spans="1:7" ht="15.75" thickBot="1" x14ac:dyDescent="0.3">
      <c r="A1000" s="425">
        <v>1</v>
      </c>
      <c r="B1000" s="425">
        <v>2</v>
      </c>
      <c r="C1000" s="425">
        <v>3</v>
      </c>
      <c r="D1000" s="425">
        <v>4</v>
      </c>
      <c r="E1000" s="425">
        <v>5</v>
      </c>
      <c r="F1000" s="425">
        <v>6</v>
      </c>
      <c r="G1000" s="425">
        <v>7</v>
      </c>
    </row>
    <row r="1001" spans="1:7" x14ac:dyDescent="0.25">
      <c r="A1001" s="320" t="str">
        <f t="shared" ref="A1001:A1015" si="31">$G$994&amp;B1001</f>
        <v>II.2.6.021</v>
      </c>
      <c r="B1001" s="320">
        <v>1</v>
      </c>
      <c r="C1001" s="339">
        <f>IFERROR(VLOOKUP(A1001,[3]DOORSCRIEFT!$A$2:$G$6834,2,FALSE),"")</f>
        <v>210</v>
      </c>
      <c r="D1001" s="481">
        <f>IFERROR(VLOOKUP(A1001,[3]DOORSCRIEFT!$A$2:$G$6834,3,FALSE),"")</f>
        <v>46068</v>
      </c>
      <c r="E1001" s="480" t="str">
        <f>IFERROR(VLOOKUP(A1001,[3]DOORSCRIEFT!$A$2:$G$6834,4,FALSE),"")</f>
        <v>Transport Peserta Sidang Klasis 6 org untuk pra sidang di Jemaat Rutong</v>
      </c>
      <c r="F1001" s="405">
        <f>IFERROR(VLOOKUP(A1001,[3]DOORSCRIEFT!$A$2:$G$6834,7,FALSE),"")</f>
        <v>1800000</v>
      </c>
      <c r="G1001" s="322"/>
    </row>
    <row r="1002" spans="1:7" x14ac:dyDescent="0.25">
      <c r="A1002" s="321" t="str">
        <f t="shared" si="31"/>
        <v>II.2.6.022</v>
      </c>
      <c r="B1002" s="321">
        <v>2</v>
      </c>
      <c r="C1002" s="339">
        <f>IFERROR(VLOOKUP(A1002,[3]DOORSCRIEFT!$A$2:$G$6834,2,FALSE),"")</f>
        <v>283</v>
      </c>
      <c r="D1002" s="481">
        <f>IFERROR(VLOOKUP(A1002,[3]DOORSCRIEFT!$A$2:$G$6834,3,FALSE),"")</f>
        <v>46082</v>
      </c>
      <c r="E1002" s="480" t="str">
        <f>IFERROR(VLOOKUP(A1002,[3]DOORSCRIEFT!$A$2:$G$6834,4,FALSE),"")</f>
        <v>Transport peserta sidang Klasis 6 org</v>
      </c>
      <c r="F1002" s="405">
        <f>IFERROR(VLOOKUP(A1002,[3]DOORSCRIEFT!$A$2:$G$6834,7,FALSE),"")</f>
        <v>1800000</v>
      </c>
      <c r="G1002" s="315"/>
    </row>
    <row r="1003" spans="1:7" x14ac:dyDescent="0.25">
      <c r="A1003" s="321" t="str">
        <f t="shared" si="31"/>
        <v>II.2.6.023</v>
      </c>
      <c r="B1003" s="321">
        <v>3</v>
      </c>
      <c r="C1003" s="339" t="str">
        <f>IFERROR(VLOOKUP(A1003,[3]DOORSCRIEFT!$A$2:$G$6834,2,FALSE),"")</f>
        <v/>
      </c>
      <c r="D1003" s="481" t="str">
        <f>IFERROR(VLOOKUP(A1003,[3]DOORSCRIEFT!$A$2:$G$6834,3,FALSE),"")</f>
        <v/>
      </c>
      <c r="E1003" s="480" t="str">
        <f>IFERROR(VLOOKUP(A1003,[3]DOORSCRIEFT!$A$2:$G$6834,4,FALSE),"")</f>
        <v/>
      </c>
      <c r="F1003" s="405" t="str">
        <f>IFERROR(VLOOKUP(A1003,[3]DOORSCRIEFT!$A$2:$G$6834,7,FALSE),"")</f>
        <v/>
      </c>
      <c r="G1003" s="315"/>
    </row>
    <row r="1004" spans="1:7" x14ac:dyDescent="0.25">
      <c r="A1004" s="321" t="str">
        <f t="shared" si="31"/>
        <v>II.2.6.024</v>
      </c>
      <c r="B1004" s="321">
        <v>4</v>
      </c>
      <c r="C1004" s="339" t="str">
        <f>IFERROR(VLOOKUP(A1004,[3]DOORSCRIEFT!$A$2:$G$6834,2,FALSE),"")</f>
        <v/>
      </c>
      <c r="D1004" s="481" t="str">
        <f>IFERROR(VLOOKUP(A1004,[3]DOORSCRIEFT!$A$2:$G$6834,3,FALSE),"")</f>
        <v/>
      </c>
      <c r="E1004" s="480" t="str">
        <f>IFERROR(VLOOKUP(A1004,[3]DOORSCRIEFT!$A$2:$G$6834,4,FALSE),"")</f>
        <v/>
      </c>
      <c r="F1004" s="405" t="str">
        <f>IFERROR(VLOOKUP(A1004,[3]DOORSCRIEFT!$A$2:$G$6834,7,FALSE),"")</f>
        <v/>
      </c>
      <c r="G1004" s="315"/>
    </row>
    <row r="1005" spans="1:7" x14ac:dyDescent="0.25">
      <c r="A1005" s="321" t="str">
        <f t="shared" si="31"/>
        <v>II.2.6.025</v>
      </c>
      <c r="B1005" s="321">
        <v>5</v>
      </c>
      <c r="C1005" s="339" t="str">
        <f>IFERROR(VLOOKUP(A1005,[3]DOORSCRIEFT!$A$2:$G$6834,2,FALSE),"")</f>
        <v/>
      </c>
      <c r="D1005" s="481" t="str">
        <f>IFERROR(VLOOKUP(A1005,[3]DOORSCRIEFT!$A$2:$G$6834,3,FALSE),"")</f>
        <v/>
      </c>
      <c r="E1005" s="480" t="str">
        <f>IFERROR(VLOOKUP(A1005,[3]DOORSCRIEFT!$A$2:$G$6834,4,FALSE),"")</f>
        <v/>
      </c>
      <c r="F1005" s="405" t="str">
        <f>IFERROR(VLOOKUP(A1005,[3]DOORSCRIEFT!$A$2:$G$6834,7,FALSE),"")</f>
        <v/>
      </c>
      <c r="G1005" s="315"/>
    </row>
    <row r="1006" spans="1:7" x14ac:dyDescent="0.25">
      <c r="A1006" s="321" t="str">
        <f t="shared" si="31"/>
        <v>II.2.6.026</v>
      </c>
      <c r="B1006" s="321">
        <v>6</v>
      </c>
      <c r="C1006" s="339" t="str">
        <f>IFERROR(VLOOKUP(A1006,[3]DOORSCRIEFT!$A$2:$G$6834,2,FALSE),"")</f>
        <v/>
      </c>
      <c r="D1006" s="481" t="str">
        <f>IFERROR(VLOOKUP(A1006,[3]DOORSCRIEFT!$A$2:$G$6834,3,FALSE),"")</f>
        <v/>
      </c>
      <c r="E1006" s="480" t="str">
        <f>IFERROR(VLOOKUP(A1006,[3]DOORSCRIEFT!$A$2:$G$6834,4,FALSE),"")</f>
        <v/>
      </c>
      <c r="F1006" s="405" t="str">
        <f>IFERROR(VLOOKUP(A1006,[3]DOORSCRIEFT!$A$2:$G$6834,7,FALSE),"")</f>
        <v/>
      </c>
      <c r="G1006" s="315"/>
    </row>
    <row r="1007" spans="1:7" x14ac:dyDescent="0.25">
      <c r="A1007" s="321" t="str">
        <f t="shared" si="31"/>
        <v>II.2.6.027</v>
      </c>
      <c r="B1007" s="321">
        <v>7</v>
      </c>
      <c r="C1007" s="339" t="str">
        <f>IFERROR(VLOOKUP(A1007,[3]DOORSCRIEFT!$A$2:$G$6834,2,FALSE),"")</f>
        <v/>
      </c>
      <c r="D1007" s="481" t="str">
        <f>IFERROR(VLOOKUP(A1007,[3]DOORSCRIEFT!$A$2:$G$6834,3,FALSE),"")</f>
        <v/>
      </c>
      <c r="E1007" s="480" t="str">
        <f>IFERROR(VLOOKUP(A1007,[3]DOORSCRIEFT!$A$2:$G$6834,4,FALSE),"")</f>
        <v/>
      </c>
      <c r="F1007" s="405" t="str">
        <f>IFERROR(VLOOKUP(A1007,[3]DOORSCRIEFT!$A$2:$G$6834,7,FALSE),"")</f>
        <v/>
      </c>
      <c r="G1007" s="315"/>
    </row>
    <row r="1008" spans="1:7" x14ac:dyDescent="0.25">
      <c r="A1008" s="321" t="str">
        <f t="shared" si="31"/>
        <v>II.2.6.028</v>
      </c>
      <c r="B1008" s="321">
        <v>8</v>
      </c>
      <c r="C1008" s="339" t="str">
        <f>IFERROR(VLOOKUP(A1008,[3]DOORSCRIEFT!$A$2:$G$6834,2,FALSE),"")</f>
        <v/>
      </c>
      <c r="D1008" s="481" t="str">
        <f>IFERROR(VLOOKUP(A1008,[3]DOORSCRIEFT!$A$2:$G$6834,3,FALSE),"")</f>
        <v/>
      </c>
      <c r="E1008" s="480" t="str">
        <f>IFERROR(VLOOKUP(A1008,[3]DOORSCRIEFT!$A$2:$G$6834,4,FALSE),"")</f>
        <v/>
      </c>
      <c r="F1008" s="405" t="str">
        <f>IFERROR(VLOOKUP(A1008,[3]DOORSCRIEFT!$A$2:$G$6834,7,FALSE),"")</f>
        <v/>
      </c>
      <c r="G1008" s="315"/>
    </row>
    <row r="1009" spans="1:7" x14ac:dyDescent="0.25">
      <c r="A1009" s="321" t="str">
        <f t="shared" si="31"/>
        <v>II.2.6.029</v>
      </c>
      <c r="B1009" s="321">
        <v>9</v>
      </c>
      <c r="C1009" s="339" t="str">
        <f>IFERROR(VLOOKUP(A1009,[3]DOORSCRIEFT!$A$2:$G$6834,2,FALSE),"")</f>
        <v/>
      </c>
      <c r="D1009" s="481" t="str">
        <f>IFERROR(VLOOKUP(A1009,[3]DOORSCRIEFT!$A$2:$G$6834,3,FALSE),"")</f>
        <v/>
      </c>
      <c r="E1009" s="480" t="str">
        <f>IFERROR(VLOOKUP(A1009,[3]DOORSCRIEFT!$A$2:$G$6834,4,FALSE),"")</f>
        <v/>
      </c>
      <c r="F1009" s="405" t="str">
        <f>IFERROR(VLOOKUP(A1009,[3]DOORSCRIEFT!$A$2:$G$6834,7,FALSE),"")</f>
        <v/>
      </c>
      <c r="G1009" s="315"/>
    </row>
    <row r="1010" spans="1:7" x14ac:dyDescent="0.25">
      <c r="A1010" s="321" t="str">
        <f t="shared" si="31"/>
        <v>II.2.6.0210</v>
      </c>
      <c r="B1010" s="321">
        <v>10</v>
      </c>
      <c r="C1010" s="339" t="str">
        <f>IFERROR(VLOOKUP(A1010,[3]DOORSCRIEFT!$A$2:$G$6834,2,FALSE),"")</f>
        <v/>
      </c>
      <c r="D1010" s="481" t="str">
        <f>IFERROR(VLOOKUP(A1010,[3]DOORSCRIEFT!$A$2:$G$6834,3,FALSE),"")</f>
        <v/>
      </c>
      <c r="E1010" s="480" t="str">
        <f>IFERROR(VLOOKUP(A1010,[3]DOORSCRIEFT!$A$2:$G$6834,4,FALSE),"")</f>
        <v/>
      </c>
      <c r="F1010" s="405" t="str">
        <f>IFERROR(VLOOKUP(A1010,[3]DOORSCRIEFT!$A$2:$G$6834,7,FALSE),"")</f>
        <v/>
      </c>
      <c r="G1010" s="315"/>
    </row>
    <row r="1011" spans="1:7" x14ac:dyDescent="0.25">
      <c r="A1011" s="321" t="str">
        <f t="shared" si="31"/>
        <v>II.2.6.0211</v>
      </c>
      <c r="B1011" s="321">
        <v>11</v>
      </c>
      <c r="C1011" s="339" t="str">
        <f>IFERROR(VLOOKUP(A1011,[3]DOORSCRIEFT!$A$2:$G$6834,2,FALSE),"")</f>
        <v/>
      </c>
      <c r="D1011" s="481" t="str">
        <f>IFERROR(VLOOKUP(A1011,[3]DOORSCRIEFT!$A$2:$G$6834,3,FALSE),"")</f>
        <v/>
      </c>
      <c r="E1011" s="480" t="str">
        <f>IFERROR(VLOOKUP(A1011,[3]DOORSCRIEFT!$A$2:$G$6834,4,FALSE),"")</f>
        <v/>
      </c>
      <c r="F1011" s="405" t="str">
        <f>IFERROR(VLOOKUP(A1011,[3]DOORSCRIEFT!$A$2:$G$6834,7,FALSE),"")</f>
        <v/>
      </c>
      <c r="G1011" s="315"/>
    </row>
    <row r="1012" spans="1:7" x14ac:dyDescent="0.25">
      <c r="A1012" s="321" t="str">
        <f t="shared" si="31"/>
        <v>II.2.6.0212</v>
      </c>
      <c r="B1012" s="321">
        <v>12</v>
      </c>
      <c r="C1012" s="339" t="str">
        <f>IFERROR(VLOOKUP(A1012,[3]DOORSCRIEFT!$A$2:$G$6834,2,FALSE),"")</f>
        <v/>
      </c>
      <c r="D1012" s="481" t="str">
        <f>IFERROR(VLOOKUP(A1012,[3]DOORSCRIEFT!$A$2:$G$6834,3,FALSE),"")</f>
        <v/>
      </c>
      <c r="E1012" s="480" t="str">
        <f>IFERROR(VLOOKUP(A1012,[3]DOORSCRIEFT!$A$2:$G$6834,4,FALSE),"")</f>
        <v/>
      </c>
      <c r="F1012" s="405" t="str">
        <f>IFERROR(VLOOKUP(A1012,[3]DOORSCRIEFT!$A$2:$G$6834,7,FALSE),"")</f>
        <v/>
      </c>
      <c r="G1012" s="315"/>
    </row>
    <row r="1013" spans="1:7" x14ac:dyDescent="0.25">
      <c r="A1013" s="321" t="str">
        <f t="shared" si="31"/>
        <v>II.2.6.0213</v>
      </c>
      <c r="B1013" s="321">
        <v>13</v>
      </c>
      <c r="C1013" s="339" t="str">
        <f>IFERROR(VLOOKUP(A1013,[3]DOORSCRIEFT!$A$2:$G$6834,2,FALSE),"")</f>
        <v/>
      </c>
      <c r="D1013" s="481" t="str">
        <f>IFERROR(VLOOKUP(A1013,[3]DOORSCRIEFT!$A$2:$G$6834,3,FALSE),"")</f>
        <v/>
      </c>
      <c r="E1013" s="480" t="str">
        <f>IFERROR(VLOOKUP(A1013,[3]DOORSCRIEFT!$A$2:$G$6834,4,FALSE),"")</f>
        <v/>
      </c>
      <c r="F1013" s="405" t="str">
        <f>IFERROR(VLOOKUP(A1013,[3]DOORSCRIEFT!$A$2:$G$6834,7,FALSE),"")</f>
        <v/>
      </c>
      <c r="G1013" s="315"/>
    </row>
    <row r="1014" spans="1:7" x14ac:dyDescent="0.25">
      <c r="A1014" s="321" t="str">
        <f t="shared" si="31"/>
        <v>II.2.6.0214</v>
      </c>
      <c r="B1014" s="321">
        <v>14</v>
      </c>
      <c r="C1014" s="339" t="str">
        <f>IFERROR(VLOOKUP(A1014,[3]DOORSCRIEFT!$A$2:$G$6834,2,FALSE),"")</f>
        <v/>
      </c>
      <c r="D1014" s="481" t="str">
        <f>IFERROR(VLOOKUP(A1014,[3]DOORSCRIEFT!$A$2:$G$6834,3,FALSE),"")</f>
        <v/>
      </c>
      <c r="E1014" s="480" t="str">
        <f>IFERROR(VLOOKUP(A1014,[3]DOORSCRIEFT!$A$2:$G$6834,4,FALSE),"")</f>
        <v/>
      </c>
      <c r="F1014" s="405" t="str">
        <f>IFERROR(VLOOKUP(A1014,[3]DOORSCRIEFT!$A$2:$G$6834,7,FALSE),"")</f>
        <v/>
      </c>
      <c r="G1014" s="315"/>
    </row>
    <row r="1015" spans="1:7" ht="15.75" thickBot="1" x14ac:dyDescent="0.3">
      <c r="A1015" s="342" t="str">
        <f t="shared" si="31"/>
        <v>II.2.6.0215</v>
      </c>
      <c r="B1015" s="342">
        <v>15</v>
      </c>
      <c r="C1015" s="339" t="str">
        <f>IFERROR(VLOOKUP(A1015,[3]DOORSCRIEFT!$A$2:$G$6834,2,FALSE),"")</f>
        <v/>
      </c>
      <c r="D1015" s="481" t="str">
        <f>IFERROR(VLOOKUP(A1015,[3]DOORSCRIEFT!$A$2:$G$6834,3,FALSE),"")</f>
        <v/>
      </c>
      <c r="E1015" s="480" t="str">
        <f>IFERROR(VLOOKUP(A1015,[3]DOORSCRIEFT!$A$2:$G$6834,4,FALSE),"")</f>
        <v/>
      </c>
      <c r="F1015" s="405" t="str">
        <f>IFERROR(VLOOKUP(A1015,[3]DOORSCRIEFT!$A$2:$G$6834,7,FALSE),"")</f>
        <v/>
      </c>
      <c r="G1015" s="315"/>
    </row>
    <row r="1016" spans="1:7" ht="15.75" thickBot="1" x14ac:dyDescent="0.3">
      <c r="A1016" s="341"/>
      <c r="B1016" s="340"/>
      <c r="C1016" s="336"/>
      <c r="D1016" s="486"/>
      <c r="E1016" s="340" t="s">
        <v>644</v>
      </c>
      <c r="F1016" s="310">
        <f>SUM(F1001:F1015)</f>
        <v>3600000</v>
      </c>
      <c r="G1016" s="309">
        <f>SUM(G1001:G1015)</f>
        <v>0</v>
      </c>
    </row>
    <row r="1017" spans="1:7" x14ac:dyDescent="0.25">
      <c r="C1017" s="335"/>
      <c r="D1017" s="485"/>
    </row>
    <row r="1018" spans="1:7" x14ac:dyDescent="0.25">
      <c r="C1018" s="335"/>
      <c r="D1018" s="485"/>
    </row>
    <row r="1019" spans="1:7" ht="15.75" x14ac:dyDescent="0.25">
      <c r="C1019" s="334" t="s">
        <v>663</v>
      </c>
      <c r="D1019" s="484"/>
      <c r="E1019" s="333"/>
      <c r="F1019" s="327" t="s">
        <v>607</v>
      </c>
      <c r="G1019" s="327" t="s">
        <v>197</v>
      </c>
    </row>
    <row r="1020" spans="1:7" ht="15.75" x14ac:dyDescent="0.25">
      <c r="C1020" s="334"/>
      <c r="D1020" s="484"/>
      <c r="E1020" s="333"/>
      <c r="F1020" s="327" t="s">
        <v>601</v>
      </c>
      <c r="G1020" s="327" t="s">
        <v>196</v>
      </c>
    </row>
    <row r="1021" spans="1:7" x14ac:dyDescent="0.25">
      <c r="C1021" s="330"/>
      <c r="D1021" s="482"/>
      <c r="E1021" s="329"/>
      <c r="F1021" s="327" t="s">
        <v>651</v>
      </c>
      <c r="G1021" s="331">
        <f>[2]Sheet1!$D$300</f>
        <v>2000000</v>
      </c>
    </row>
    <row r="1022" spans="1:7" ht="15.75" thickBot="1" x14ac:dyDescent="0.3">
      <c r="C1022" s="330"/>
      <c r="D1022" s="482"/>
      <c r="E1022" s="329"/>
      <c r="F1022" s="327" t="s">
        <v>650</v>
      </c>
      <c r="G1022" s="326">
        <f>+F1041-G1021</f>
        <v>-2000000</v>
      </c>
    </row>
    <row r="1023" spans="1:7" x14ac:dyDescent="0.25">
      <c r="A1023" s="571" t="s">
        <v>655</v>
      </c>
      <c r="B1023" s="573" t="s">
        <v>606</v>
      </c>
      <c r="C1023" s="588" t="s">
        <v>649</v>
      </c>
      <c r="D1023" s="599" t="s">
        <v>648</v>
      </c>
      <c r="E1023" s="577" t="s">
        <v>647</v>
      </c>
      <c r="F1023" s="577" t="s">
        <v>646</v>
      </c>
      <c r="G1023" s="580" t="s">
        <v>645</v>
      </c>
    </row>
    <row r="1024" spans="1:7" ht="15.75" thickBot="1" x14ac:dyDescent="0.3">
      <c r="A1024" s="572"/>
      <c r="B1024" s="574"/>
      <c r="C1024" s="589"/>
      <c r="D1024" s="600"/>
      <c r="E1024" s="578"/>
      <c r="F1024" s="578"/>
      <c r="G1024" s="581"/>
    </row>
    <row r="1025" spans="1:7" ht="15.75" thickBot="1" x14ac:dyDescent="0.3">
      <c r="A1025" s="425">
        <v>1</v>
      </c>
      <c r="B1025" s="425">
        <v>2</v>
      </c>
      <c r="C1025" s="425">
        <v>3</v>
      </c>
      <c r="D1025" s="425">
        <v>4</v>
      </c>
      <c r="E1025" s="425">
        <v>5</v>
      </c>
      <c r="F1025" s="425">
        <v>6</v>
      </c>
      <c r="G1025" s="425">
        <v>7</v>
      </c>
    </row>
    <row r="1026" spans="1:7" x14ac:dyDescent="0.25">
      <c r="A1026" s="320" t="str">
        <f t="shared" ref="A1026:A1040" si="32">$G$1019&amp;B1026</f>
        <v>II.2.6.031</v>
      </c>
      <c r="B1026" s="320">
        <v>1</v>
      </c>
      <c r="C1026" s="480" t="str">
        <f>IFERROR(VLOOKUP(A1026,[3]DOORSCRIEFT!$A$2:$G$6834,2,FALSE),"")</f>
        <v/>
      </c>
      <c r="D1026" s="481" t="str">
        <f>IFERROR(VLOOKUP(A1026,[3]DOORSCRIEFT!$A$2:$G$6834,3,FALSE),"")</f>
        <v/>
      </c>
      <c r="E1026" s="480" t="str">
        <f>IFERROR(VLOOKUP(A1026,[3]DOORSCRIEFT!$A$2:$G$6834,4,FALSE),"")</f>
        <v/>
      </c>
      <c r="F1026" s="405" t="str">
        <f>IFERROR(VLOOKUP(A1026,[3]DOORSCRIEFT!$A$2:$G$6834,7,FALSE),"")</f>
        <v/>
      </c>
      <c r="G1026" s="322"/>
    </row>
    <row r="1027" spans="1:7" x14ac:dyDescent="0.25">
      <c r="A1027" s="321" t="str">
        <f t="shared" si="32"/>
        <v>II.2.6.032</v>
      </c>
      <c r="B1027" s="321">
        <v>2</v>
      </c>
      <c r="C1027" s="480" t="str">
        <f>IFERROR(VLOOKUP(A1027,[3]DOORSCRIEFT!$A$2:$G$6834,2,FALSE),"")</f>
        <v/>
      </c>
      <c r="D1027" s="481" t="str">
        <f>IFERROR(VLOOKUP(A1027,[3]DOORSCRIEFT!$A$2:$G$6834,3,FALSE),"")</f>
        <v/>
      </c>
      <c r="E1027" s="480" t="str">
        <f>IFERROR(VLOOKUP(A1027,[3]DOORSCRIEFT!$A$2:$G$6834,4,FALSE),"")</f>
        <v/>
      </c>
      <c r="F1027" s="405" t="str">
        <f>IFERROR(VLOOKUP(A1027,[3]DOORSCRIEFT!$A$2:$G$6834,7,FALSE),"")</f>
        <v/>
      </c>
      <c r="G1027" s="322"/>
    </row>
    <row r="1028" spans="1:7" x14ac:dyDescent="0.25">
      <c r="A1028" s="321" t="str">
        <f t="shared" si="32"/>
        <v>II.2.6.033</v>
      </c>
      <c r="B1028" s="321">
        <v>3</v>
      </c>
      <c r="C1028" s="480" t="str">
        <f>IFERROR(VLOOKUP(A1028,[3]DOORSCRIEFT!$A$2:$G$6834,2,FALSE),"")</f>
        <v/>
      </c>
      <c r="D1028" s="481" t="str">
        <f>IFERROR(VLOOKUP(A1028,[3]DOORSCRIEFT!$A$2:$G$6834,3,FALSE),"")</f>
        <v/>
      </c>
      <c r="E1028" s="480" t="str">
        <f>IFERROR(VLOOKUP(A1028,[3]DOORSCRIEFT!$A$2:$G$6834,4,FALSE),"")</f>
        <v/>
      </c>
      <c r="F1028" s="405" t="str">
        <f>IFERROR(VLOOKUP(A1028,[3]DOORSCRIEFT!$A$2:$G$6834,7,FALSE),"")</f>
        <v/>
      </c>
      <c r="G1028" s="322"/>
    </row>
    <row r="1029" spans="1:7" x14ac:dyDescent="0.25">
      <c r="A1029" s="321" t="str">
        <f t="shared" si="32"/>
        <v>II.2.6.034</v>
      </c>
      <c r="B1029" s="321">
        <v>4</v>
      </c>
      <c r="C1029" s="480" t="str">
        <f>IFERROR(VLOOKUP(A1029,[3]DOORSCRIEFT!$A$2:$G$6834,2,FALSE),"")</f>
        <v/>
      </c>
      <c r="D1029" s="481" t="str">
        <f>IFERROR(VLOOKUP(A1029,[3]DOORSCRIEFT!$A$2:$G$6834,3,FALSE),"")</f>
        <v/>
      </c>
      <c r="E1029" s="480" t="str">
        <f>IFERROR(VLOOKUP(A1029,[3]DOORSCRIEFT!$A$2:$G$6834,4,FALSE),"")</f>
        <v/>
      </c>
      <c r="F1029" s="405" t="str">
        <f>IFERROR(VLOOKUP(A1029,[3]DOORSCRIEFT!$A$2:$G$6834,7,FALSE),"")</f>
        <v/>
      </c>
      <c r="G1029" s="322"/>
    </row>
    <row r="1030" spans="1:7" x14ac:dyDescent="0.25">
      <c r="A1030" s="321" t="str">
        <f t="shared" si="32"/>
        <v>II.2.6.035</v>
      </c>
      <c r="B1030" s="321">
        <v>5</v>
      </c>
      <c r="C1030" s="480" t="str">
        <f>IFERROR(VLOOKUP(A1030,[3]DOORSCRIEFT!$A$2:$G$6834,2,FALSE),"")</f>
        <v/>
      </c>
      <c r="D1030" s="481" t="str">
        <f>IFERROR(VLOOKUP(A1030,[3]DOORSCRIEFT!$A$2:$G$6834,3,FALSE),"")</f>
        <v/>
      </c>
      <c r="E1030" s="480" t="str">
        <f>IFERROR(VLOOKUP(A1030,[3]DOORSCRIEFT!$A$2:$G$6834,4,FALSE),"")</f>
        <v/>
      </c>
      <c r="F1030" s="405" t="str">
        <f>IFERROR(VLOOKUP(A1030,[3]DOORSCRIEFT!$A$2:$G$6834,7,FALSE),"")</f>
        <v/>
      </c>
      <c r="G1030" s="322"/>
    </row>
    <row r="1031" spans="1:7" x14ac:dyDescent="0.25">
      <c r="A1031" s="321" t="str">
        <f t="shared" si="32"/>
        <v>II.2.6.036</v>
      </c>
      <c r="B1031" s="321">
        <v>6</v>
      </c>
      <c r="C1031" s="480" t="str">
        <f>IFERROR(VLOOKUP(A1031,[3]DOORSCRIEFT!$A$2:$G$6834,2,FALSE),"")</f>
        <v/>
      </c>
      <c r="D1031" s="481" t="str">
        <f>IFERROR(VLOOKUP(A1031,[3]DOORSCRIEFT!$A$2:$G$6834,3,FALSE),"")</f>
        <v/>
      </c>
      <c r="E1031" s="480" t="str">
        <f>IFERROR(VLOOKUP(A1031,[3]DOORSCRIEFT!$A$2:$G$6834,4,FALSE),"")</f>
        <v/>
      </c>
      <c r="F1031" s="405" t="str">
        <f>IFERROR(VLOOKUP(A1031,[3]DOORSCRIEFT!$A$2:$G$6834,7,FALSE),"")</f>
        <v/>
      </c>
      <c r="G1031" s="322"/>
    </row>
    <row r="1032" spans="1:7" x14ac:dyDescent="0.25">
      <c r="A1032" s="321" t="str">
        <f t="shared" si="32"/>
        <v>II.2.6.037</v>
      </c>
      <c r="B1032" s="321">
        <v>7</v>
      </c>
      <c r="C1032" s="480" t="str">
        <f>IFERROR(VLOOKUP(A1032,[3]DOORSCRIEFT!$A$2:$G$6834,2,FALSE),"")</f>
        <v/>
      </c>
      <c r="D1032" s="481" t="str">
        <f>IFERROR(VLOOKUP(A1032,[3]DOORSCRIEFT!$A$2:$G$6834,3,FALSE),"")</f>
        <v/>
      </c>
      <c r="E1032" s="480" t="str">
        <f>IFERROR(VLOOKUP(A1032,[3]DOORSCRIEFT!$A$2:$G$6834,4,FALSE),"")</f>
        <v/>
      </c>
      <c r="F1032" s="405" t="str">
        <f>IFERROR(VLOOKUP(A1032,[3]DOORSCRIEFT!$A$2:$G$6834,7,FALSE),"")</f>
        <v/>
      </c>
      <c r="G1032" s="322"/>
    </row>
    <row r="1033" spans="1:7" x14ac:dyDescent="0.25">
      <c r="A1033" s="321" t="str">
        <f t="shared" si="32"/>
        <v>II.2.6.038</v>
      </c>
      <c r="B1033" s="321">
        <v>8</v>
      </c>
      <c r="C1033" s="480" t="str">
        <f>IFERROR(VLOOKUP(A1033,[3]DOORSCRIEFT!$A$2:$G$6834,2,FALSE),"")</f>
        <v/>
      </c>
      <c r="D1033" s="481" t="str">
        <f>IFERROR(VLOOKUP(A1033,[3]DOORSCRIEFT!$A$2:$G$6834,3,FALSE),"")</f>
        <v/>
      </c>
      <c r="E1033" s="480" t="str">
        <f>IFERROR(VLOOKUP(A1033,[3]DOORSCRIEFT!$A$2:$G$6834,4,FALSE),"")</f>
        <v/>
      </c>
      <c r="F1033" s="405" t="str">
        <f>IFERROR(VLOOKUP(A1033,[3]DOORSCRIEFT!$A$2:$G$6834,7,FALSE),"")</f>
        <v/>
      </c>
      <c r="G1033" s="322"/>
    </row>
    <row r="1034" spans="1:7" x14ac:dyDescent="0.25">
      <c r="A1034" s="321" t="str">
        <f t="shared" si="32"/>
        <v>II.2.6.039</v>
      </c>
      <c r="B1034" s="321">
        <v>9</v>
      </c>
      <c r="C1034" s="480" t="str">
        <f>IFERROR(VLOOKUP(A1034,[3]DOORSCRIEFT!$A$2:$G$6834,2,FALSE),"")</f>
        <v/>
      </c>
      <c r="D1034" s="481" t="str">
        <f>IFERROR(VLOOKUP(A1034,[3]DOORSCRIEFT!$A$2:$G$6834,3,FALSE),"")</f>
        <v/>
      </c>
      <c r="E1034" s="480" t="str">
        <f>IFERROR(VLOOKUP(A1034,[3]DOORSCRIEFT!$A$2:$G$6834,4,FALSE),"")</f>
        <v/>
      </c>
      <c r="F1034" s="405" t="str">
        <f>IFERROR(VLOOKUP(A1034,[3]DOORSCRIEFT!$A$2:$G$6834,7,FALSE),"")</f>
        <v/>
      </c>
      <c r="G1034" s="322"/>
    </row>
    <row r="1035" spans="1:7" x14ac:dyDescent="0.25">
      <c r="A1035" s="321" t="str">
        <f t="shared" si="32"/>
        <v>II.2.6.0310</v>
      </c>
      <c r="B1035" s="321">
        <v>10</v>
      </c>
      <c r="C1035" s="480" t="str">
        <f>IFERROR(VLOOKUP(A1035,[3]DOORSCRIEFT!$A$2:$G$6834,2,FALSE),"")</f>
        <v/>
      </c>
      <c r="D1035" s="481" t="str">
        <f>IFERROR(VLOOKUP(A1035,[3]DOORSCRIEFT!$A$2:$G$6834,3,FALSE),"")</f>
        <v/>
      </c>
      <c r="E1035" s="480" t="str">
        <f>IFERROR(VLOOKUP(A1035,[3]DOORSCRIEFT!$A$2:$G$6834,4,FALSE),"")</f>
        <v/>
      </c>
      <c r="F1035" s="405" t="str">
        <f>IFERROR(VLOOKUP(A1035,[3]DOORSCRIEFT!$A$2:$G$6834,7,FALSE),"")</f>
        <v/>
      </c>
      <c r="G1035" s="322"/>
    </row>
    <row r="1036" spans="1:7" x14ac:dyDescent="0.25">
      <c r="A1036" s="321" t="str">
        <f t="shared" si="32"/>
        <v>II.2.6.0311</v>
      </c>
      <c r="B1036" s="321">
        <v>11</v>
      </c>
      <c r="C1036" s="480" t="str">
        <f>IFERROR(VLOOKUP(A1036,[3]DOORSCRIEFT!$A$2:$G$6834,2,FALSE),"")</f>
        <v/>
      </c>
      <c r="D1036" s="481" t="str">
        <f>IFERROR(VLOOKUP(A1036,[3]DOORSCRIEFT!$A$2:$G$6834,3,FALSE),"")</f>
        <v/>
      </c>
      <c r="E1036" s="480" t="str">
        <f>IFERROR(VLOOKUP(A1036,[3]DOORSCRIEFT!$A$2:$G$6834,4,FALSE),"")</f>
        <v/>
      </c>
      <c r="F1036" s="405" t="str">
        <f>IFERROR(VLOOKUP(A1036,[3]DOORSCRIEFT!$A$2:$G$6834,7,FALSE),"")</f>
        <v/>
      </c>
      <c r="G1036" s="322"/>
    </row>
    <row r="1037" spans="1:7" x14ac:dyDescent="0.25">
      <c r="A1037" s="321" t="str">
        <f t="shared" si="32"/>
        <v>II.2.6.0312</v>
      </c>
      <c r="B1037" s="321">
        <v>12</v>
      </c>
      <c r="C1037" s="480" t="str">
        <f>IFERROR(VLOOKUP(A1037,[3]DOORSCRIEFT!$A$2:$G$6834,2,FALSE),"")</f>
        <v/>
      </c>
      <c r="D1037" s="481" t="str">
        <f>IFERROR(VLOOKUP(A1037,[3]DOORSCRIEFT!$A$2:$G$6834,3,FALSE),"")</f>
        <v/>
      </c>
      <c r="E1037" s="480" t="str">
        <f>IFERROR(VLOOKUP(A1037,[3]DOORSCRIEFT!$A$2:$G$6834,4,FALSE),"")</f>
        <v/>
      </c>
      <c r="F1037" s="405" t="str">
        <f>IFERROR(VLOOKUP(A1037,[3]DOORSCRIEFT!$A$2:$G$6834,7,FALSE),"")</f>
        <v/>
      </c>
      <c r="G1037" s="322"/>
    </row>
    <row r="1038" spans="1:7" x14ac:dyDescent="0.25">
      <c r="A1038" s="321" t="str">
        <f t="shared" si="32"/>
        <v>II.2.6.0313</v>
      </c>
      <c r="B1038" s="321">
        <v>13</v>
      </c>
      <c r="C1038" s="480" t="str">
        <f>IFERROR(VLOOKUP(A1038,[3]DOORSCRIEFT!$A$2:$G$6834,2,FALSE),"")</f>
        <v/>
      </c>
      <c r="D1038" s="481" t="str">
        <f>IFERROR(VLOOKUP(A1038,[3]DOORSCRIEFT!$A$2:$G$6834,3,FALSE),"")</f>
        <v/>
      </c>
      <c r="E1038" s="480" t="str">
        <f>IFERROR(VLOOKUP(A1038,[3]DOORSCRIEFT!$A$2:$G$6834,4,FALSE),"")</f>
        <v/>
      </c>
      <c r="F1038" s="405" t="str">
        <f>IFERROR(VLOOKUP(A1038,[3]DOORSCRIEFT!$A$2:$G$6834,7,FALSE),"")</f>
        <v/>
      </c>
      <c r="G1038" s="322"/>
    </row>
    <row r="1039" spans="1:7" x14ac:dyDescent="0.25">
      <c r="A1039" s="321" t="str">
        <f t="shared" si="32"/>
        <v>II.2.6.0314</v>
      </c>
      <c r="B1039" s="321">
        <v>14</v>
      </c>
      <c r="C1039" s="480" t="str">
        <f>IFERROR(VLOOKUP(A1039,[3]DOORSCRIEFT!$A$2:$G$6834,2,FALSE),"")</f>
        <v/>
      </c>
      <c r="D1039" s="481" t="str">
        <f>IFERROR(VLOOKUP(A1039,[3]DOORSCRIEFT!$A$2:$G$6834,3,FALSE),"")</f>
        <v/>
      </c>
      <c r="E1039" s="480" t="str">
        <f>IFERROR(VLOOKUP(A1039,[3]DOORSCRIEFT!$A$2:$G$6834,4,FALSE),"")</f>
        <v/>
      </c>
      <c r="F1039" s="405" t="str">
        <f>IFERROR(VLOOKUP(A1039,[3]DOORSCRIEFT!$A$2:$G$6834,7,FALSE),"")</f>
        <v/>
      </c>
      <c r="G1039" s="322"/>
    </row>
    <row r="1040" spans="1:7" ht="15.75" thickBot="1" x14ac:dyDescent="0.3">
      <c r="A1040" s="342" t="str">
        <f t="shared" si="32"/>
        <v>II.2.6.0315</v>
      </c>
      <c r="B1040" s="342">
        <v>15</v>
      </c>
      <c r="C1040" s="480" t="str">
        <f>IFERROR(VLOOKUP(A1040,[3]DOORSCRIEFT!$A$2:$G$6834,2,FALSE),"")</f>
        <v/>
      </c>
      <c r="D1040" s="481" t="str">
        <f>IFERROR(VLOOKUP(A1040,[3]DOORSCRIEFT!$A$2:$G$6834,3,FALSE),"")</f>
        <v/>
      </c>
      <c r="E1040" s="480" t="str">
        <f>IFERROR(VLOOKUP(A1040,[3]DOORSCRIEFT!$A$2:$G$6834,4,FALSE),"")</f>
        <v/>
      </c>
      <c r="F1040" s="405" t="str">
        <f>IFERROR(VLOOKUP(A1040,[3]DOORSCRIEFT!$A$2:$G$6834,7,FALSE),"")</f>
        <v/>
      </c>
      <c r="G1040" s="322"/>
    </row>
    <row r="1041" spans="1:7" ht="15.75" thickBot="1" x14ac:dyDescent="0.3">
      <c r="A1041" s="341"/>
      <c r="B1041" s="340"/>
      <c r="C1041" s="336"/>
      <c r="D1041" s="486"/>
      <c r="E1041" s="340" t="s">
        <v>644</v>
      </c>
      <c r="F1041" s="310">
        <f>SUM(F1026:F1040)</f>
        <v>0</v>
      </c>
      <c r="G1041" s="309">
        <f>SUM(G1026:G1040)</f>
        <v>0</v>
      </c>
    </row>
    <row r="1042" spans="1:7" x14ac:dyDescent="0.25">
      <c r="C1042" s="335"/>
      <c r="D1042" s="485"/>
    </row>
    <row r="1043" spans="1:7" x14ac:dyDescent="0.25">
      <c r="C1043" s="335"/>
      <c r="D1043" s="485"/>
    </row>
    <row r="1044" spans="1:7" ht="15.75" x14ac:dyDescent="0.25">
      <c r="C1044" s="334" t="s">
        <v>663</v>
      </c>
      <c r="D1044" s="484"/>
      <c r="E1044" s="333"/>
      <c r="F1044" s="327" t="s">
        <v>607</v>
      </c>
      <c r="G1044" s="327" t="s">
        <v>195</v>
      </c>
    </row>
    <row r="1045" spans="1:7" ht="15.75" x14ac:dyDescent="0.25">
      <c r="C1045" s="334"/>
      <c r="D1045" s="484"/>
      <c r="E1045" s="333"/>
      <c r="F1045" s="327" t="s">
        <v>601</v>
      </c>
      <c r="G1045" s="327" t="s">
        <v>194</v>
      </c>
    </row>
    <row r="1046" spans="1:7" x14ac:dyDescent="0.25">
      <c r="C1046" s="330"/>
      <c r="D1046" s="482"/>
      <c r="E1046" s="329"/>
      <c r="F1046" s="327" t="s">
        <v>651</v>
      </c>
      <c r="G1046" s="331">
        <f>[2]Sheet1!$D$301</f>
        <v>7500000</v>
      </c>
    </row>
    <row r="1047" spans="1:7" ht="15.75" thickBot="1" x14ac:dyDescent="0.3">
      <c r="C1047" s="330"/>
      <c r="D1047" s="482"/>
      <c r="E1047" s="329"/>
      <c r="F1047" s="327" t="s">
        <v>650</v>
      </c>
      <c r="G1047" s="326">
        <f>+F1066-G1046</f>
        <v>0</v>
      </c>
    </row>
    <row r="1048" spans="1:7" x14ac:dyDescent="0.25">
      <c r="A1048" s="571" t="s">
        <v>655</v>
      </c>
      <c r="B1048" s="573" t="s">
        <v>606</v>
      </c>
      <c r="C1048" s="588" t="s">
        <v>649</v>
      </c>
      <c r="D1048" s="599" t="s">
        <v>648</v>
      </c>
      <c r="E1048" s="577" t="s">
        <v>647</v>
      </c>
      <c r="F1048" s="577" t="s">
        <v>646</v>
      </c>
      <c r="G1048" s="580" t="s">
        <v>645</v>
      </c>
    </row>
    <row r="1049" spans="1:7" ht="15.75" thickBot="1" x14ac:dyDescent="0.3">
      <c r="A1049" s="572"/>
      <c r="B1049" s="574"/>
      <c r="C1049" s="589"/>
      <c r="D1049" s="600"/>
      <c r="E1049" s="578"/>
      <c r="F1049" s="578"/>
      <c r="G1049" s="581"/>
    </row>
    <row r="1050" spans="1:7" ht="15.75" thickBot="1" x14ac:dyDescent="0.3">
      <c r="A1050" s="425">
        <v>1</v>
      </c>
      <c r="B1050" s="425">
        <v>2</v>
      </c>
      <c r="C1050" s="425">
        <v>3</v>
      </c>
      <c r="D1050" s="425">
        <v>4</v>
      </c>
      <c r="E1050" s="425">
        <v>5</v>
      </c>
      <c r="F1050" s="425">
        <v>6</v>
      </c>
      <c r="G1050" s="425">
        <v>7</v>
      </c>
    </row>
    <row r="1051" spans="1:7" x14ac:dyDescent="0.25">
      <c r="A1051" s="320" t="str">
        <f t="shared" ref="A1051:A1065" si="33">$G$1044&amp;B1051</f>
        <v>II.2.6.041</v>
      </c>
      <c r="B1051" s="320">
        <v>1</v>
      </c>
      <c r="C1051" s="480">
        <f>IFERROR(VLOOKUP(A1051,[3]DOORSCRIEFT!$A$2:$G$6834,2,FALSE),"")</f>
        <v>365</v>
      </c>
      <c r="D1051" s="481">
        <f>IFERROR(VLOOKUP(A1051,[3]DOORSCRIEFT!$A$2:$G$6834,3,FALSE),"")</f>
        <v>51575</v>
      </c>
      <c r="E1051" s="480" t="str">
        <f>IFERROR(VLOOKUP(A1051,[3]DOORSCRIEFT!$A$2:$G$6834,4,FALSE),"")</f>
        <v>Subsidi Panitia Sidang Jemaat ke 48 Sektor Horeb</v>
      </c>
      <c r="F1051" s="405">
        <f>IFERROR(VLOOKUP(A1051,[3]DOORSCRIEFT!$A$2:$G$6834,7,FALSE),"")</f>
        <v>7500000</v>
      </c>
      <c r="G1051" s="322"/>
    </row>
    <row r="1052" spans="1:7" x14ac:dyDescent="0.25">
      <c r="A1052" s="321" t="str">
        <f t="shared" si="33"/>
        <v>II.2.6.042</v>
      </c>
      <c r="B1052" s="321">
        <v>2</v>
      </c>
      <c r="C1052" s="480" t="str">
        <f>IFERROR(VLOOKUP(A1052,[3]DOORSCRIEFT!$A$2:$G$6834,2,FALSE),"")</f>
        <v/>
      </c>
      <c r="D1052" s="481" t="str">
        <f>IFERROR(VLOOKUP(A1052,[3]DOORSCRIEFT!$A$2:$G$6834,3,FALSE),"")</f>
        <v/>
      </c>
      <c r="E1052" s="480" t="str">
        <f>IFERROR(VLOOKUP(A1052,[3]DOORSCRIEFT!$A$2:$G$6834,4,FALSE),"")</f>
        <v/>
      </c>
      <c r="F1052" s="405" t="str">
        <f>IFERROR(VLOOKUP(A1052,[3]DOORSCRIEFT!$A$2:$G$6834,7,FALSE),"")</f>
        <v/>
      </c>
      <c r="G1052" s="315"/>
    </row>
    <row r="1053" spans="1:7" x14ac:dyDescent="0.25">
      <c r="A1053" s="321" t="str">
        <f t="shared" si="33"/>
        <v>II.2.6.043</v>
      </c>
      <c r="B1053" s="321">
        <v>3</v>
      </c>
      <c r="C1053" s="480" t="str">
        <f>IFERROR(VLOOKUP(A1053,[3]DOORSCRIEFT!$A$2:$G$6834,2,FALSE),"")</f>
        <v/>
      </c>
      <c r="D1053" s="481" t="str">
        <f>IFERROR(VLOOKUP(A1053,[3]DOORSCRIEFT!$A$2:$G$6834,3,FALSE),"")</f>
        <v/>
      </c>
      <c r="E1053" s="480" t="str">
        <f>IFERROR(VLOOKUP(A1053,[3]DOORSCRIEFT!$A$2:$G$6834,4,FALSE),"")</f>
        <v/>
      </c>
      <c r="F1053" s="405" t="str">
        <f>IFERROR(VLOOKUP(A1053,[3]DOORSCRIEFT!$A$2:$G$6834,7,FALSE),"")</f>
        <v/>
      </c>
      <c r="G1053" s="315"/>
    </row>
    <row r="1054" spans="1:7" x14ac:dyDescent="0.25">
      <c r="A1054" s="321" t="str">
        <f t="shared" si="33"/>
        <v>II.2.6.044</v>
      </c>
      <c r="B1054" s="321">
        <v>4</v>
      </c>
      <c r="C1054" s="480" t="str">
        <f>IFERROR(VLOOKUP(A1054,[3]DOORSCRIEFT!$A$2:$G$6834,2,FALSE),"")</f>
        <v/>
      </c>
      <c r="D1054" s="481" t="str">
        <f>IFERROR(VLOOKUP(A1054,[3]DOORSCRIEFT!$A$2:$G$6834,3,FALSE),"")</f>
        <v/>
      </c>
      <c r="E1054" s="480" t="str">
        <f>IFERROR(VLOOKUP(A1054,[3]DOORSCRIEFT!$A$2:$G$6834,4,FALSE),"")</f>
        <v/>
      </c>
      <c r="F1054" s="405" t="str">
        <f>IFERROR(VLOOKUP(A1054,[3]DOORSCRIEFT!$A$2:$G$6834,7,FALSE),"")</f>
        <v/>
      </c>
      <c r="G1054" s="315"/>
    </row>
    <row r="1055" spans="1:7" x14ac:dyDescent="0.25">
      <c r="A1055" s="321" t="str">
        <f t="shared" si="33"/>
        <v>II.2.6.045</v>
      </c>
      <c r="B1055" s="321">
        <v>5</v>
      </c>
      <c r="C1055" s="480" t="str">
        <f>IFERROR(VLOOKUP(A1055,[3]DOORSCRIEFT!$A$2:$G$6834,2,FALSE),"")</f>
        <v/>
      </c>
      <c r="D1055" s="481" t="str">
        <f>IFERROR(VLOOKUP(A1055,[3]DOORSCRIEFT!$A$2:$G$6834,3,FALSE),"")</f>
        <v/>
      </c>
      <c r="E1055" s="480" t="str">
        <f>IFERROR(VLOOKUP(A1055,[3]DOORSCRIEFT!$A$2:$G$6834,4,FALSE),"")</f>
        <v/>
      </c>
      <c r="F1055" s="405" t="str">
        <f>IFERROR(VLOOKUP(A1055,[3]DOORSCRIEFT!$A$2:$G$6834,7,FALSE),"")</f>
        <v/>
      </c>
      <c r="G1055" s="315"/>
    </row>
    <row r="1056" spans="1:7" x14ac:dyDescent="0.25">
      <c r="A1056" s="321" t="str">
        <f t="shared" si="33"/>
        <v>II.2.6.046</v>
      </c>
      <c r="B1056" s="321">
        <v>6</v>
      </c>
      <c r="C1056" s="480" t="str">
        <f>IFERROR(VLOOKUP(A1056,[3]DOORSCRIEFT!$A$2:$G$6834,2,FALSE),"")</f>
        <v/>
      </c>
      <c r="D1056" s="481" t="str">
        <f>IFERROR(VLOOKUP(A1056,[3]DOORSCRIEFT!$A$2:$G$6834,3,FALSE),"")</f>
        <v/>
      </c>
      <c r="E1056" s="480" t="str">
        <f>IFERROR(VLOOKUP(A1056,[3]DOORSCRIEFT!$A$2:$G$6834,4,FALSE),"")</f>
        <v/>
      </c>
      <c r="F1056" s="405" t="str">
        <f>IFERROR(VLOOKUP(A1056,[3]DOORSCRIEFT!$A$2:$G$6834,7,FALSE),"")</f>
        <v/>
      </c>
      <c r="G1056" s="315"/>
    </row>
    <row r="1057" spans="1:7" x14ac:dyDescent="0.25">
      <c r="A1057" s="321" t="str">
        <f t="shared" si="33"/>
        <v>II.2.6.047</v>
      </c>
      <c r="B1057" s="321">
        <v>7</v>
      </c>
      <c r="C1057" s="480" t="str">
        <f>IFERROR(VLOOKUP(A1057,[3]DOORSCRIEFT!$A$2:$G$6834,2,FALSE),"")</f>
        <v/>
      </c>
      <c r="D1057" s="481" t="str">
        <f>IFERROR(VLOOKUP(A1057,[3]DOORSCRIEFT!$A$2:$G$6834,3,FALSE),"")</f>
        <v/>
      </c>
      <c r="E1057" s="480" t="str">
        <f>IFERROR(VLOOKUP(A1057,[3]DOORSCRIEFT!$A$2:$G$6834,4,FALSE),"")</f>
        <v/>
      </c>
      <c r="F1057" s="405" t="str">
        <f>IFERROR(VLOOKUP(A1057,[3]DOORSCRIEFT!$A$2:$G$6834,7,FALSE),"")</f>
        <v/>
      </c>
      <c r="G1057" s="315"/>
    </row>
    <row r="1058" spans="1:7" x14ac:dyDescent="0.25">
      <c r="A1058" s="321" t="str">
        <f t="shared" si="33"/>
        <v>II.2.6.048</v>
      </c>
      <c r="B1058" s="321">
        <v>8</v>
      </c>
      <c r="C1058" s="480" t="str">
        <f>IFERROR(VLOOKUP(A1058,[3]DOORSCRIEFT!$A$2:$G$6834,2,FALSE),"")</f>
        <v/>
      </c>
      <c r="D1058" s="481" t="str">
        <f>IFERROR(VLOOKUP(A1058,[3]DOORSCRIEFT!$A$2:$G$6834,3,FALSE),"")</f>
        <v/>
      </c>
      <c r="E1058" s="480" t="str">
        <f>IFERROR(VLOOKUP(A1058,[3]DOORSCRIEFT!$A$2:$G$6834,4,FALSE),"")</f>
        <v/>
      </c>
      <c r="F1058" s="405" t="str">
        <f>IFERROR(VLOOKUP(A1058,[3]DOORSCRIEFT!$A$2:$G$6834,7,FALSE),"")</f>
        <v/>
      </c>
      <c r="G1058" s="315"/>
    </row>
    <row r="1059" spans="1:7" x14ac:dyDescent="0.25">
      <c r="A1059" s="321" t="str">
        <f t="shared" si="33"/>
        <v>II.2.6.049</v>
      </c>
      <c r="B1059" s="321">
        <v>9</v>
      </c>
      <c r="C1059" s="480" t="str">
        <f>IFERROR(VLOOKUP(A1059,[3]DOORSCRIEFT!$A$2:$G$6834,2,FALSE),"")</f>
        <v/>
      </c>
      <c r="D1059" s="481" t="str">
        <f>IFERROR(VLOOKUP(A1059,[3]DOORSCRIEFT!$A$2:$G$6834,3,FALSE),"")</f>
        <v/>
      </c>
      <c r="E1059" s="480" t="str">
        <f>IFERROR(VLOOKUP(A1059,[3]DOORSCRIEFT!$A$2:$G$6834,4,FALSE),"")</f>
        <v/>
      </c>
      <c r="F1059" s="405" t="str">
        <f>IFERROR(VLOOKUP(A1059,[3]DOORSCRIEFT!$A$2:$G$6834,7,FALSE),"")</f>
        <v/>
      </c>
      <c r="G1059" s="315"/>
    </row>
    <row r="1060" spans="1:7" x14ac:dyDescent="0.25">
      <c r="A1060" s="321" t="str">
        <f t="shared" si="33"/>
        <v>II.2.6.0410</v>
      </c>
      <c r="B1060" s="321">
        <v>10</v>
      </c>
      <c r="C1060" s="480" t="str">
        <f>IFERROR(VLOOKUP(A1060,[3]DOORSCRIEFT!$A$2:$G$6834,2,FALSE),"")</f>
        <v/>
      </c>
      <c r="D1060" s="481" t="str">
        <f>IFERROR(VLOOKUP(A1060,[3]DOORSCRIEFT!$A$2:$G$6834,3,FALSE),"")</f>
        <v/>
      </c>
      <c r="E1060" s="480" t="str">
        <f>IFERROR(VLOOKUP(A1060,[3]DOORSCRIEFT!$A$2:$G$6834,4,FALSE),"")</f>
        <v/>
      </c>
      <c r="F1060" s="405" t="str">
        <f>IFERROR(VLOOKUP(A1060,[3]DOORSCRIEFT!$A$2:$G$6834,7,FALSE),"")</f>
        <v/>
      </c>
      <c r="G1060" s="315"/>
    </row>
    <row r="1061" spans="1:7" x14ac:dyDescent="0.25">
      <c r="A1061" s="321" t="str">
        <f t="shared" si="33"/>
        <v>II.2.6.0411</v>
      </c>
      <c r="B1061" s="321">
        <v>11</v>
      </c>
      <c r="C1061" s="480" t="str">
        <f>IFERROR(VLOOKUP(A1061,[3]DOORSCRIEFT!$A$2:$G$6834,2,FALSE),"")</f>
        <v/>
      </c>
      <c r="D1061" s="481" t="str">
        <f>IFERROR(VLOOKUP(A1061,[3]DOORSCRIEFT!$A$2:$G$6834,3,FALSE),"")</f>
        <v/>
      </c>
      <c r="E1061" s="480" t="str">
        <f>IFERROR(VLOOKUP(A1061,[3]DOORSCRIEFT!$A$2:$G$6834,4,FALSE),"")</f>
        <v/>
      </c>
      <c r="F1061" s="405" t="str">
        <f>IFERROR(VLOOKUP(A1061,[3]DOORSCRIEFT!$A$2:$G$6834,7,FALSE),"")</f>
        <v/>
      </c>
      <c r="G1061" s="315"/>
    </row>
    <row r="1062" spans="1:7" x14ac:dyDescent="0.25">
      <c r="A1062" s="321" t="str">
        <f t="shared" si="33"/>
        <v>II.2.6.0412</v>
      </c>
      <c r="B1062" s="321">
        <v>12</v>
      </c>
      <c r="C1062" s="480" t="str">
        <f>IFERROR(VLOOKUP(A1062,[3]DOORSCRIEFT!$A$2:$G$6834,2,FALSE),"")</f>
        <v/>
      </c>
      <c r="D1062" s="481" t="str">
        <f>IFERROR(VLOOKUP(A1062,[3]DOORSCRIEFT!$A$2:$G$6834,3,FALSE),"")</f>
        <v/>
      </c>
      <c r="E1062" s="480" t="str">
        <f>IFERROR(VLOOKUP(A1062,[3]DOORSCRIEFT!$A$2:$G$6834,4,FALSE),"")</f>
        <v/>
      </c>
      <c r="F1062" s="405" t="str">
        <f>IFERROR(VLOOKUP(A1062,[3]DOORSCRIEFT!$A$2:$G$6834,7,FALSE),"")</f>
        <v/>
      </c>
      <c r="G1062" s="315"/>
    </row>
    <row r="1063" spans="1:7" x14ac:dyDescent="0.25">
      <c r="A1063" s="321" t="str">
        <f t="shared" si="33"/>
        <v>II.2.6.0413</v>
      </c>
      <c r="B1063" s="321">
        <v>13</v>
      </c>
      <c r="C1063" s="480" t="str">
        <f>IFERROR(VLOOKUP(A1063,[3]DOORSCRIEFT!$A$2:$G$6834,2,FALSE),"")</f>
        <v/>
      </c>
      <c r="D1063" s="481" t="str">
        <f>IFERROR(VLOOKUP(A1063,[3]DOORSCRIEFT!$A$2:$G$6834,3,FALSE),"")</f>
        <v/>
      </c>
      <c r="E1063" s="480" t="str">
        <f>IFERROR(VLOOKUP(A1063,[3]DOORSCRIEFT!$A$2:$G$6834,4,FALSE),"")</f>
        <v/>
      </c>
      <c r="F1063" s="405" t="str">
        <f>IFERROR(VLOOKUP(A1063,[3]DOORSCRIEFT!$A$2:$G$6834,7,FALSE),"")</f>
        <v/>
      </c>
      <c r="G1063" s="315"/>
    </row>
    <row r="1064" spans="1:7" x14ac:dyDescent="0.25">
      <c r="A1064" s="321" t="str">
        <f t="shared" si="33"/>
        <v>II.2.6.0414</v>
      </c>
      <c r="B1064" s="321">
        <v>14</v>
      </c>
      <c r="C1064" s="480" t="str">
        <f>IFERROR(VLOOKUP(A1064,[3]DOORSCRIEFT!$A$2:$G$6834,2,FALSE),"")</f>
        <v/>
      </c>
      <c r="D1064" s="481" t="str">
        <f>IFERROR(VLOOKUP(A1064,[3]DOORSCRIEFT!$A$2:$G$6834,3,FALSE),"")</f>
        <v/>
      </c>
      <c r="E1064" s="480" t="str">
        <f>IFERROR(VLOOKUP(A1064,[3]DOORSCRIEFT!$A$2:$G$6834,4,FALSE),"")</f>
        <v/>
      </c>
      <c r="F1064" s="405" t="str">
        <f>IFERROR(VLOOKUP(A1064,[3]DOORSCRIEFT!$A$2:$G$6834,7,FALSE),"")</f>
        <v/>
      </c>
      <c r="G1064" s="315"/>
    </row>
    <row r="1065" spans="1:7" ht="15.75" thickBot="1" x14ac:dyDescent="0.3">
      <c r="A1065" s="342" t="str">
        <f t="shared" si="33"/>
        <v>II.2.6.0415</v>
      </c>
      <c r="B1065" s="342">
        <v>15</v>
      </c>
      <c r="C1065" s="480" t="str">
        <f>IFERROR(VLOOKUP(A1065,[3]DOORSCRIEFT!$A$2:$G$6834,2,FALSE),"")</f>
        <v/>
      </c>
      <c r="D1065" s="481" t="str">
        <f>IFERROR(VLOOKUP(A1065,[3]DOORSCRIEFT!$A$2:$G$6834,3,FALSE),"")</f>
        <v/>
      </c>
      <c r="E1065" s="480" t="str">
        <f>IFERROR(VLOOKUP(A1065,[3]DOORSCRIEFT!$A$2:$G$6834,4,FALSE),"")</f>
        <v/>
      </c>
      <c r="F1065" s="405" t="str">
        <f>IFERROR(VLOOKUP(A1065,[3]DOORSCRIEFT!$A$2:$G$6834,7,FALSE),"")</f>
        <v/>
      </c>
      <c r="G1065" s="315"/>
    </row>
    <row r="1066" spans="1:7" ht="15.75" thickBot="1" x14ac:dyDescent="0.3">
      <c r="A1066" s="341"/>
      <c r="B1066" s="340"/>
      <c r="C1066" s="336"/>
      <c r="D1066" s="486"/>
      <c r="E1066" s="340" t="s">
        <v>644</v>
      </c>
      <c r="F1066" s="310">
        <f>SUM(F1051:F1065)</f>
        <v>7500000</v>
      </c>
      <c r="G1066" s="309">
        <f>SUM(G1051:G1065)</f>
        <v>0</v>
      </c>
    </row>
    <row r="1067" spans="1:7" x14ac:dyDescent="0.25">
      <c r="C1067" s="335"/>
      <c r="D1067" s="485"/>
    </row>
    <row r="1068" spans="1:7" x14ac:dyDescent="0.25">
      <c r="C1068" s="335"/>
      <c r="D1068" s="485"/>
    </row>
    <row r="1069" spans="1:7" ht="15.75" x14ac:dyDescent="0.25">
      <c r="C1069" s="334" t="s">
        <v>663</v>
      </c>
      <c r="D1069" s="484"/>
      <c r="E1069" s="333"/>
      <c r="F1069" s="327" t="s">
        <v>607</v>
      </c>
      <c r="G1069" s="327" t="s">
        <v>190</v>
      </c>
    </row>
    <row r="1070" spans="1:7" ht="15.75" x14ac:dyDescent="0.25">
      <c r="C1070" s="334"/>
      <c r="D1070" s="484"/>
      <c r="E1070" s="333"/>
      <c r="F1070" s="327" t="s">
        <v>601</v>
      </c>
      <c r="G1070" s="327" t="s">
        <v>189</v>
      </c>
    </row>
    <row r="1071" spans="1:7" x14ac:dyDescent="0.25">
      <c r="C1071" s="330"/>
      <c r="D1071" s="482"/>
      <c r="E1071" s="329"/>
      <c r="F1071" s="327" t="s">
        <v>651</v>
      </c>
      <c r="G1071" s="331">
        <f>[2]Sheet1!$D$304</f>
        <v>5000000</v>
      </c>
    </row>
    <row r="1072" spans="1:7" ht="15.75" thickBot="1" x14ac:dyDescent="0.3">
      <c r="C1072" s="330"/>
      <c r="D1072" s="482"/>
      <c r="E1072" s="329"/>
      <c r="F1072" s="327" t="s">
        <v>650</v>
      </c>
      <c r="G1072" s="326">
        <f>+F1091-G1071</f>
        <v>-4700000</v>
      </c>
    </row>
    <row r="1073" spans="1:7" x14ac:dyDescent="0.25">
      <c r="A1073" s="571" t="s">
        <v>655</v>
      </c>
      <c r="B1073" s="573" t="s">
        <v>606</v>
      </c>
      <c r="C1073" s="588" t="s">
        <v>649</v>
      </c>
      <c r="D1073" s="599" t="s">
        <v>648</v>
      </c>
      <c r="E1073" s="577" t="s">
        <v>647</v>
      </c>
      <c r="F1073" s="577" t="s">
        <v>646</v>
      </c>
      <c r="G1073" s="580" t="s">
        <v>645</v>
      </c>
    </row>
    <row r="1074" spans="1:7" ht="15.75" thickBot="1" x14ac:dyDescent="0.3">
      <c r="A1074" s="572"/>
      <c r="B1074" s="574"/>
      <c r="C1074" s="589"/>
      <c r="D1074" s="600"/>
      <c r="E1074" s="578"/>
      <c r="F1074" s="578"/>
      <c r="G1074" s="581"/>
    </row>
    <row r="1075" spans="1:7" ht="15.75" thickBot="1" x14ac:dyDescent="0.3">
      <c r="A1075" s="425">
        <v>1</v>
      </c>
      <c r="B1075" s="425">
        <v>2</v>
      </c>
      <c r="C1075" s="425">
        <v>3</v>
      </c>
      <c r="D1075" s="425">
        <v>4</v>
      </c>
      <c r="E1075" s="425">
        <v>5</v>
      </c>
      <c r="F1075" s="425">
        <v>6</v>
      </c>
      <c r="G1075" s="425">
        <v>7</v>
      </c>
    </row>
    <row r="1076" spans="1:7" x14ac:dyDescent="0.25">
      <c r="A1076" s="320" t="str">
        <f t="shared" ref="A1076:A1090" si="34">$G$1069&amp;B1076</f>
        <v>II.2.7.011</v>
      </c>
      <c r="B1076" s="320">
        <v>1</v>
      </c>
      <c r="C1076" s="339">
        <f>IFERROR(VLOOKUP(A1076,[3]DOORSCRIEFT!$A$2:$G$6834,2,FALSE),"")</f>
        <v>321</v>
      </c>
      <c r="D1076" s="481">
        <f>IFERROR(VLOOKUP(A1076,[3]DOORSCRIEFT!$A$2:$G$6834,3,FALSE),"")</f>
        <v>46089</v>
      </c>
      <c r="E1076" s="480" t="str">
        <f>IFERROR(VLOOKUP(A1076,[3]DOORSCRIEFT!$A$2:$G$6834,4,FALSE),"")</f>
        <v>Belanja Taktis Pimpinan</v>
      </c>
      <c r="F1076" s="405">
        <f>IFERROR(VLOOKUP(A1076,[3]DOORSCRIEFT!$A$2:$G$6834,7,FALSE),"")</f>
        <v>300000</v>
      </c>
      <c r="G1076" s="322"/>
    </row>
    <row r="1077" spans="1:7" x14ac:dyDescent="0.25">
      <c r="A1077" s="321" t="str">
        <f t="shared" si="34"/>
        <v>II.2.7.012</v>
      </c>
      <c r="B1077" s="321">
        <v>2</v>
      </c>
      <c r="C1077" s="339" t="str">
        <f>IFERROR(VLOOKUP(A1077,[3]DOORSCRIEFT!$A$2:$G$6834,2,FALSE),"")</f>
        <v/>
      </c>
      <c r="D1077" s="481" t="str">
        <f>IFERROR(VLOOKUP(A1077,[3]DOORSCRIEFT!$A$2:$G$6834,3,FALSE),"")</f>
        <v/>
      </c>
      <c r="E1077" s="480" t="str">
        <f>IFERROR(VLOOKUP(A1077,[3]DOORSCRIEFT!$A$2:$G$6834,4,FALSE),"")</f>
        <v/>
      </c>
      <c r="F1077" s="405" t="str">
        <f>IFERROR(VLOOKUP(A1077,[3]DOORSCRIEFT!$A$2:$G$6834,7,FALSE),"")</f>
        <v/>
      </c>
      <c r="G1077" s="315"/>
    </row>
    <row r="1078" spans="1:7" x14ac:dyDescent="0.25">
      <c r="A1078" s="321" t="str">
        <f t="shared" si="34"/>
        <v>II.2.7.013</v>
      </c>
      <c r="B1078" s="321">
        <v>3</v>
      </c>
      <c r="C1078" s="339" t="str">
        <f>IFERROR(VLOOKUP(A1078,[3]DOORSCRIEFT!$A$2:$G$6834,2,FALSE),"")</f>
        <v/>
      </c>
      <c r="D1078" s="481" t="str">
        <f>IFERROR(VLOOKUP(A1078,[3]DOORSCRIEFT!$A$2:$G$6834,3,FALSE),"")</f>
        <v/>
      </c>
      <c r="E1078" s="480" t="str">
        <f>IFERROR(VLOOKUP(A1078,[3]DOORSCRIEFT!$A$2:$G$6834,4,FALSE),"")</f>
        <v/>
      </c>
      <c r="F1078" s="405" t="str">
        <f>IFERROR(VLOOKUP(A1078,[3]DOORSCRIEFT!$A$2:$G$6834,7,FALSE),"")</f>
        <v/>
      </c>
      <c r="G1078" s="315"/>
    </row>
    <row r="1079" spans="1:7" x14ac:dyDescent="0.25">
      <c r="A1079" s="321" t="str">
        <f t="shared" si="34"/>
        <v>II.2.7.014</v>
      </c>
      <c r="B1079" s="321">
        <v>4</v>
      </c>
      <c r="C1079" s="339" t="str">
        <f>IFERROR(VLOOKUP(A1079,[3]DOORSCRIEFT!$A$2:$G$6834,2,FALSE),"")</f>
        <v/>
      </c>
      <c r="D1079" s="481" t="str">
        <f>IFERROR(VLOOKUP(A1079,[3]DOORSCRIEFT!$A$2:$G$6834,3,FALSE),"")</f>
        <v/>
      </c>
      <c r="E1079" s="480" t="str">
        <f>IFERROR(VLOOKUP(A1079,[3]DOORSCRIEFT!$A$2:$G$6834,4,FALSE),"")</f>
        <v/>
      </c>
      <c r="F1079" s="405" t="str">
        <f>IFERROR(VLOOKUP(A1079,[3]DOORSCRIEFT!$A$2:$G$6834,7,FALSE),"")</f>
        <v/>
      </c>
      <c r="G1079" s="315"/>
    </row>
    <row r="1080" spans="1:7" x14ac:dyDescent="0.25">
      <c r="A1080" s="321" t="str">
        <f t="shared" si="34"/>
        <v>II.2.7.015</v>
      </c>
      <c r="B1080" s="321">
        <v>5</v>
      </c>
      <c r="C1080" s="339" t="str">
        <f>IFERROR(VLOOKUP(A1080,[3]DOORSCRIEFT!$A$2:$G$6834,2,FALSE),"")</f>
        <v/>
      </c>
      <c r="D1080" s="481" t="str">
        <f>IFERROR(VLOOKUP(A1080,[3]DOORSCRIEFT!$A$2:$G$6834,3,FALSE),"")</f>
        <v/>
      </c>
      <c r="E1080" s="480" t="str">
        <f>IFERROR(VLOOKUP(A1080,[3]DOORSCRIEFT!$A$2:$G$6834,4,FALSE),"")</f>
        <v/>
      </c>
      <c r="F1080" s="405" t="str">
        <f>IFERROR(VLOOKUP(A1080,[3]DOORSCRIEFT!$A$2:$G$6834,7,FALSE),"")</f>
        <v/>
      </c>
      <c r="G1080" s="315"/>
    </row>
    <row r="1081" spans="1:7" x14ac:dyDescent="0.25">
      <c r="A1081" s="321" t="str">
        <f t="shared" si="34"/>
        <v>II.2.7.016</v>
      </c>
      <c r="B1081" s="321">
        <v>6</v>
      </c>
      <c r="C1081" s="339" t="str">
        <f>IFERROR(VLOOKUP(A1081,[3]DOORSCRIEFT!$A$2:$G$6834,2,FALSE),"")</f>
        <v/>
      </c>
      <c r="D1081" s="481" t="str">
        <f>IFERROR(VLOOKUP(A1081,[3]DOORSCRIEFT!$A$2:$G$6834,3,FALSE),"")</f>
        <v/>
      </c>
      <c r="E1081" s="480" t="str">
        <f>IFERROR(VLOOKUP(A1081,[3]DOORSCRIEFT!$A$2:$G$6834,4,FALSE),"")</f>
        <v/>
      </c>
      <c r="F1081" s="405" t="str">
        <f>IFERROR(VLOOKUP(A1081,[3]DOORSCRIEFT!$A$2:$G$6834,7,FALSE),"")</f>
        <v/>
      </c>
      <c r="G1081" s="315"/>
    </row>
    <row r="1082" spans="1:7" x14ac:dyDescent="0.25">
      <c r="A1082" s="321" t="str">
        <f t="shared" si="34"/>
        <v>II.2.7.017</v>
      </c>
      <c r="B1082" s="321">
        <v>7</v>
      </c>
      <c r="C1082" s="339" t="str">
        <f>IFERROR(VLOOKUP(A1082,[3]DOORSCRIEFT!$A$2:$G$6834,2,FALSE),"")</f>
        <v/>
      </c>
      <c r="D1082" s="481" t="str">
        <f>IFERROR(VLOOKUP(A1082,[3]DOORSCRIEFT!$A$2:$G$6834,3,FALSE),"")</f>
        <v/>
      </c>
      <c r="E1082" s="480" t="str">
        <f>IFERROR(VLOOKUP(A1082,[3]DOORSCRIEFT!$A$2:$G$6834,4,FALSE),"")</f>
        <v/>
      </c>
      <c r="F1082" s="405" t="str">
        <f>IFERROR(VLOOKUP(A1082,[3]DOORSCRIEFT!$A$2:$G$6834,7,FALSE),"")</f>
        <v/>
      </c>
      <c r="G1082" s="315"/>
    </row>
    <row r="1083" spans="1:7" x14ac:dyDescent="0.25">
      <c r="A1083" s="321" t="str">
        <f t="shared" si="34"/>
        <v>II.2.7.018</v>
      </c>
      <c r="B1083" s="321">
        <v>8</v>
      </c>
      <c r="C1083" s="339" t="str">
        <f>IFERROR(VLOOKUP(A1083,[3]DOORSCRIEFT!$A$2:$G$6834,2,FALSE),"")</f>
        <v/>
      </c>
      <c r="D1083" s="481" t="str">
        <f>IFERROR(VLOOKUP(A1083,[3]DOORSCRIEFT!$A$2:$G$6834,3,FALSE),"")</f>
        <v/>
      </c>
      <c r="E1083" s="480" t="str">
        <f>IFERROR(VLOOKUP(A1083,[3]DOORSCRIEFT!$A$2:$G$6834,4,FALSE),"")</f>
        <v/>
      </c>
      <c r="F1083" s="405" t="str">
        <f>IFERROR(VLOOKUP(A1083,[3]DOORSCRIEFT!$A$2:$G$6834,7,FALSE),"")</f>
        <v/>
      </c>
      <c r="G1083" s="315"/>
    </row>
    <row r="1084" spans="1:7" x14ac:dyDescent="0.25">
      <c r="A1084" s="321" t="str">
        <f t="shared" si="34"/>
        <v>II.2.7.019</v>
      </c>
      <c r="B1084" s="321">
        <v>9</v>
      </c>
      <c r="C1084" s="339" t="str">
        <f>IFERROR(VLOOKUP(A1084,[3]DOORSCRIEFT!$A$2:$G$6834,2,FALSE),"")</f>
        <v/>
      </c>
      <c r="D1084" s="481" t="str">
        <f>IFERROR(VLOOKUP(A1084,[3]DOORSCRIEFT!$A$2:$G$6834,3,FALSE),"")</f>
        <v/>
      </c>
      <c r="E1084" s="480" t="str">
        <f>IFERROR(VLOOKUP(A1084,[3]DOORSCRIEFT!$A$2:$G$6834,4,FALSE),"")</f>
        <v/>
      </c>
      <c r="F1084" s="405" t="str">
        <f>IFERROR(VLOOKUP(A1084,[3]DOORSCRIEFT!$A$2:$G$6834,7,FALSE),"")</f>
        <v/>
      </c>
      <c r="G1084" s="315"/>
    </row>
    <row r="1085" spans="1:7" x14ac:dyDescent="0.25">
      <c r="A1085" s="321" t="str">
        <f t="shared" si="34"/>
        <v>II.2.7.0110</v>
      </c>
      <c r="B1085" s="321">
        <v>10</v>
      </c>
      <c r="C1085" s="339" t="str">
        <f>IFERROR(VLOOKUP(A1085,[3]DOORSCRIEFT!$A$2:$G$6834,2,FALSE),"")</f>
        <v/>
      </c>
      <c r="D1085" s="481" t="str">
        <f>IFERROR(VLOOKUP(A1085,[3]DOORSCRIEFT!$A$2:$G$6834,3,FALSE),"")</f>
        <v/>
      </c>
      <c r="E1085" s="480" t="str">
        <f>IFERROR(VLOOKUP(A1085,[3]DOORSCRIEFT!$A$2:$G$6834,4,FALSE),"")</f>
        <v/>
      </c>
      <c r="F1085" s="405" t="str">
        <f>IFERROR(VLOOKUP(A1085,[3]DOORSCRIEFT!$A$2:$G$6834,7,FALSE),"")</f>
        <v/>
      </c>
      <c r="G1085" s="315"/>
    </row>
    <row r="1086" spans="1:7" x14ac:dyDescent="0.25">
      <c r="A1086" s="321" t="str">
        <f t="shared" si="34"/>
        <v>II.2.7.0111</v>
      </c>
      <c r="B1086" s="321">
        <v>11</v>
      </c>
      <c r="C1086" s="339" t="str">
        <f>IFERROR(VLOOKUP(A1086,[3]DOORSCRIEFT!$A$2:$G$6834,2,FALSE),"")</f>
        <v/>
      </c>
      <c r="D1086" s="481" t="str">
        <f>IFERROR(VLOOKUP(A1086,[3]DOORSCRIEFT!$A$2:$G$6834,3,FALSE),"")</f>
        <v/>
      </c>
      <c r="E1086" s="480" t="str">
        <f>IFERROR(VLOOKUP(A1086,[3]DOORSCRIEFT!$A$2:$G$6834,4,FALSE),"")</f>
        <v/>
      </c>
      <c r="F1086" s="405" t="str">
        <f>IFERROR(VLOOKUP(A1086,[3]DOORSCRIEFT!$A$2:$G$6834,7,FALSE),"")</f>
        <v/>
      </c>
      <c r="G1086" s="315"/>
    </row>
    <row r="1087" spans="1:7" x14ac:dyDescent="0.25">
      <c r="A1087" s="321" t="str">
        <f t="shared" si="34"/>
        <v>II.2.7.0112</v>
      </c>
      <c r="B1087" s="321">
        <v>12</v>
      </c>
      <c r="C1087" s="339" t="str">
        <f>IFERROR(VLOOKUP(A1087,[3]DOORSCRIEFT!$A$2:$G$6834,2,FALSE),"")</f>
        <v/>
      </c>
      <c r="D1087" s="481" t="str">
        <f>IFERROR(VLOOKUP(A1087,[3]DOORSCRIEFT!$A$2:$G$6834,3,FALSE),"")</f>
        <v/>
      </c>
      <c r="E1087" s="480" t="str">
        <f>IFERROR(VLOOKUP(A1087,[3]DOORSCRIEFT!$A$2:$G$6834,4,FALSE),"")</f>
        <v/>
      </c>
      <c r="F1087" s="405" t="str">
        <f>IFERROR(VLOOKUP(A1087,[3]DOORSCRIEFT!$A$2:$G$6834,7,FALSE),"")</f>
        <v/>
      </c>
      <c r="G1087" s="315"/>
    </row>
    <row r="1088" spans="1:7" x14ac:dyDescent="0.25">
      <c r="A1088" s="321" t="str">
        <f t="shared" si="34"/>
        <v>II.2.7.0113</v>
      </c>
      <c r="B1088" s="321">
        <v>13</v>
      </c>
      <c r="C1088" s="339" t="str">
        <f>IFERROR(VLOOKUP(A1088,[3]DOORSCRIEFT!$A$2:$G$6834,2,FALSE),"")</f>
        <v/>
      </c>
      <c r="D1088" s="481" t="str">
        <f>IFERROR(VLOOKUP(A1088,[3]DOORSCRIEFT!$A$2:$G$6834,3,FALSE),"")</f>
        <v/>
      </c>
      <c r="E1088" s="480" t="str">
        <f>IFERROR(VLOOKUP(A1088,[3]DOORSCRIEFT!$A$2:$G$6834,4,FALSE),"")</f>
        <v/>
      </c>
      <c r="F1088" s="405" t="str">
        <f>IFERROR(VLOOKUP(A1088,[3]DOORSCRIEFT!$A$2:$G$6834,7,FALSE),"")</f>
        <v/>
      </c>
      <c r="G1088" s="315"/>
    </row>
    <row r="1089" spans="1:7" x14ac:dyDescent="0.25">
      <c r="A1089" s="321" t="str">
        <f t="shared" si="34"/>
        <v>II.2.7.0114</v>
      </c>
      <c r="B1089" s="321">
        <v>14</v>
      </c>
      <c r="C1089" s="339" t="str">
        <f>IFERROR(VLOOKUP(A1089,[3]DOORSCRIEFT!$A$2:$G$6834,2,FALSE),"")</f>
        <v/>
      </c>
      <c r="D1089" s="481" t="str">
        <f>IFERROR(VLOOKUP(A1089,[3]DOORSCRIEFT!$A$2:$G$6834,3,FALSE),"")</f>
        <v/>
      </c>
      <c r="E1089" s="480" t="str">
        <f>IFERROR(VLOOKUP(A1089,[3]DOORSCRIEFT!$A$2:$G$6834,4,FALSE),"")</f>
        <v/>
      </c>
      <c r="F1089" s="405" t="str">
        <f>IFERROR(VLOOKUP(A1089,[3]DOORSCRIEFT!$A$2:$G$6834,7,FALSE),"")</f>
        <v/>
      </c>
      <c r="G1089" s="315"/>
    </row>
    <row r="1090" spans="1:7" ht="15.75" thickBot="1" x14ac:dyDescent="0.3">
      <c r="A1090" s="342" t="str">
        <f t="shared" si="34"/>
        <v>II.2.7.0115</v>
      </c>
      <c r="B1090" s="342">
        <v>15</v>
      </c>
      <c r="C1090" s="339" t="str">
        <f>IFERROR(VLOOKUP(A1090,[3]DOORSCRIEFT!$A$2:$G$6834,2,FALSE),"")</f>
        <v/>
      </c>
      <c r="D1090" s="481" t="str">
        <f>IFERROR(VLOOKUP(A1090,[3]DOORSCRIEFT!$A$2:$G$6834,3,FALSE),"")</f>
        <v/>
      </c>
      <c r="E1090" s="480" t="str">
        <f>IFERROR(VLOOKUP(A1090,[3]DOORSCRIEFT!$A$2:$G$6834,4,FALSE),"")</f>
        <v/>
      </c>
      <c r="F1090" s="405" t="str">
        <f>IFERROR(VLOOKUP(A1090,[3]DOORSCRIEFT!$A$2:$G$6834,7,FALSE),"")</f>
        <v/>
      </c>
      <c r="G1090" s="315"/>
    </row>
    <row r="1091" spans="1:7" ht="15.75" thickBot="1" x14ac:dyDescent="0.3">
      <c r="A1091" s="341"/>
      <c r="B1091" s="340"/>
      <c r="C1091" s="336"/>
      <c r="D1091" s="486"/>
      <c r="E1091" s="340" t="s">
        <v>644</v>
      </c>
      <c r="F1091" s="310">
        <f>SUM(F1076:F1090)</f>
        <v>300000</v>
      </c>
      <c r="G1091" s="309">
        <f>SUM(G1076:G1090)</f>
        <v>0</v>
      </c>
    </row>
    <row r="1092" spans="1:7" x14ac:dyDescent="0.25">
      <c r="C1092" s="335"/>
      <c r="D1092" s="485"/>
    </row>
    <row r="1093" spans="1:7" x14ac:dyDescent="0.25">
      <c r="C1093" s="335"/>
      <c r="D1093" s="485"/>
    </row>
    <row r="1094" spans="1:7" ht="15.75" x14ac:dyDescent="0.25">
      <c r="C1094" s="334" t="s">
        <v>663</v>
      </c>
      <c r="D1094" s="484"/>
      <c r="E1094" s="333"/>
      <c r="F1094" s="327" t="s">
        <v>607</v>
      </c>
      <c r="G1094" s="327" t="s">
        <v>185</v>
      </c>
    </row>
    <row r="1095" spans="1:7" ht="15.75" x14ac:dyDescent="0.25">
      <c r="C1095" s="334"/>
      <c r="D1095" s="484"/>
      <c r="E1095" s="333"/>
      <c r="F1095" s="327" t="s">
        <v>601</v>
      </c>
      <c r="G1095" s="327" t="s">
        <v>184</v>
      </c>
    </row>
    <row r="1096" spans="1:7" x14ac:dyDescent="0.25">
      <c r="C1096" s="330"/>
      <c r="D1096" s="482"/>
      <c r="E1096" s="329"/>
      <c r="F1096" s="327" t="s">
        <v>651</v>
      </c>
      <c r="G1096" s="331">
        <f>[2]Sheet1!$D$307</f>
        <v>17000000</v>
      </c>
    </row>
    <row r="1097" spans="1:7" ht="15.75" thickBot="1" x14ac:dyDescent="0.3">
      <c r="C1097" s="330"/>
      <c r="D1097" s="482"/>
      <c r="E1097" s="329"/>
      <c r="F1097" s="327" t="s">
        <v>650</v>
      </c>
      <c r="G1097" s="326">
        <f>+F1165-G1096</f>
        <v>-15700000</v>
      </c>
    </row>
    <row r="1098" spans="1:7" x14ac:dyDescent="0.25">
      <c r="A1098" s="571" t="s">
        <v>655</v>
      </c>
      <c r="B1098" s="573" t="s">
        <v>606</v>
      </c>
      <c r="C1098" s="588" t="s">
        <v>649</v>
      </c>
      <c r="D1098" s="599" t="s">
        <v>648</v>
      </c>
      <c r="E1098" s="577" t="s">
        <v>647</v>
      </c>
      <c r="F1098" s="577" t="s">
        <v>646</v>
      </c>
      <c r="G1098" s="580" t="s">
        <v>645</v>
      </c>
    </row>
    <row r="1099" spans="1:7" ht="15.75" thickBot="1" x14ac:dyDescent="0.3">
      <c r="A1099" s="572"/>
      <c r="B1099" s="574"/>
      <c r="C1099" s="589"/>
      <c r="D1099" s="600"/>
      <c r="E1099" s="578"/>
      <c r="F1099" s="578"/>
      <c r="G1099" s="581"/>
    </row>
    <row r="1100" spans="1:7" ht="15.75" thickBot="1" x14ac:dyDescent="0.3">
      <c r="A1100" s="425">
        <v>1</v>
      </c>
      <c r="B1100" s="425">
        <v>2</v>
      </c>
      <c r="C1100" s="425">
        <v>3</v>
      </c>
      <c r="D1100" s="425">
        <v>4</v>
      </c>
      <c r="E1100" s="425">
        <v>5</v>
      </c>
      <c r="F1100" s="425">
        <v>6</v>
      </c>
      <c r="G1100" s="425">
        <v>7</v>
      </c>
    </row>
    <row r="1101" spans="1:7" x14ac:dyDescent="0.25">
      <c r="A1101" s="320" t="str">
        <f t="shared" ref="A1101:A1132" si="35">$G$1094&amp;B1101</f>
        <v>II.2.8.011</v>
      </c>
      <c r="B1101" s="320">
        <v>1</v>
      </c>
      <c r="C1101" s="339">
        <f>IFERROR(VLOOKUP(A1101,[3]DOORSCRIEFT!$A$2:$G$6834,2,FALSE),"")</f>
        <v>69</v>
      </c>
      <c r="D1101" s="481">
        <f>IFERROR(VLOOKUP(A1101,[3]DOORSCRIEFT!$A$2:$G$6834,3,FALSE),"")</f>
        <v>46038</v>
      </c>
      <c r="E1101" s="480" t="str">
        <f>IFERROR(VLOOKUP(A1101,[3]DOORSCRIEFT!$A$2:$G$6834,4,FALSE),"")</f>
        <v>biaya transport rekon 3 orang</v>
      </c>
      <c r="F1101" s="405">
        <f>IFERROR(VLOOKUP(A1101,[3]DOORSCRIEFT!$A$2:$G$6834,7,FALSE),"")</f>
        <v>600000</v>
      </c>
      <c r="G1101" s="322"/>
    </row>
    <row r="1102" spans="1:7" x14ac:dyDescent="0.25">
      <c r="A1102" s="321" t="str">
        <f t="shared" si="35"/>
        <v>II.2.8.012</v>
      </c>
      <c r="B1102" s="321">
        <v>2</v>
      </c>
      <c r="C1102" s="339">
        <f>IFERROR(VLOOKUP(A1102,[3]DOORSCRIEFT!$A$2:$G$6834,2,FALSE),"")</f>
        <v>97</v>
      </c>
      <c r="D1102" s="481">
        <f>IFERROR(VLOOKUP(A1102,[3]DOORSCRIEFT!$A$2:$G$6834,3,FALSE),"")</f>
        <v>46045</v>
      </c>
      <c r="E1102" s="480" t="str">
        <f>IFERROR(VLOOKUP(A1102,[3]DOORSCRIEFT!$A$2:$G$6834,4,FALSE),"")</f>
        <v>Biaya Transport ke KPAT koordinasi Peresmian Gedung Serbaguna</v>
      </c>
      <c r="F1102" s="405">
        <f>IFERROR(VLOOKUP(A1102,[3]DOORSCRIEFT!$A$2:$G$6834,7,FALSE),"")</f>
        <v>300000</v>
      </c>
      <c r="G1102" s="315"/>
    </row>
    <row r="1103" spans="1:7" x14ac:dyDescent="0.25">
      <c r="A1103" s="321" t="str">
        <f t="shared" si="35"/>
        <v>II.2.8.013</v>
      </c>
      <c r="B1103" s="321">
        <v>3</v>
      </c>
      <c r="C1103" s="339">
        <f>IFERROR(VLOOKUP(A1103,[3]DOORSCRIEFT!$A$2:$G$6834,2,FALSE),"")</f>
        <v>185</v>
      </c>
      <c r="D1103" s="481">
        <f>IFERROR(VLOOKUP(A1103,[3]DOORSCRIEFT!$A$2:$G$6834,3,FALSE),"")</f>
        <v>46061</v>
      </c>
      <c r="E1103" s="480" t="str">
        <f>IFERROR(VLOOKUP(A1103,[3]DOORSCRIEFT!$A$2:$G$6834,4,FALSE),"")</f>
        <v>Biaya sewa mobil untuk ambil Natura di Sinode</v>
      </c>
      <c r="F1103" s="405">
        <f>IFERROR(VLOOKUP(A1103,[3]DOORSCRIEFT!$A$2:$G$6834,7,FALSE),"")</f>
        <v>350000</v>
      </c>
      <c r="G1103" s="315"/>
    </row>
    <row r="1104" spans="1:7" x14ac:dyDescent="0.25">
      <c r="A1104" s="321" t="str">
        <f t="shared" si="35"/>
        <v>II.2.8.014</v>
      </c>
      <c r="B1104" s="321">
        <v>4</v>
      </c>
      <c r="C1104" s="339">
        <f>IFERROR(VLOOKUP(A1104,[3]DOORSCRIEFT!$A$2:$G$6834,2,FALSE),"")</f>
        <v>198</v>
      </c>
      <c r="D1104" s="481">
        <f>IFERROR(VLOOKUP(A1104,[3]DOORSCRIEFT!$A$2:$G$6834,3,FALSE),"")</f>
        <v>46066</v>
      </c>
      <c r="E1104" s="480" t="str">
        <f>IFERROR(VLOOKUP(A1104,[3]DOORSCRIEFT!$A$2:$G$6834,4,FALSE),"")</f>
        <v>Transport Bayar Tapel</v>
      </c>
      <c r="F1104" s="405">
        <f>IFERROR(VLOOKUP(A1104,[3]DOORSCRIEFT!$A$2:$G$6834,7,FALSE),"")</f>
        <v>50000</v>
      </c>
      <c r="G1104" s="315"/>
    </row>
    <row r="1105" spans="1:7" x14ac:dyDescent="0.25">
      <c r="A1105" s="321" t="str">
        <f t="shared" si="35"/>
        <v>II.2.8.015</v>
      </c>
      <c r="B1105" s="321">
        <v>5</v>
      </c>
      <c r="C1105" s="339" t="str">
        <f>IFERROR(VLOOKUP(A1105,[3]DOORSCRIEFT!$A$2:$G$6834,2,FALSE),"")</f>
        <v/>
      </c>
      <c r="D1105" s="481" t="str">
        <f>IFERROR(VLOOKUP(A1105,[3]DOORSCRIEFT!$A$2:$G$6834,3,FALSE),"")</f>
        <v/>
      </c>
      <c r="E1105" s="480" t="str">
        <f>IFERROR(VLOOKUP(A1105,[3]DOORSCRIEFT!$A$2:$G$6834,4,FALSE),"")</f>
        <v/>
      </c>
      <c r="F1105" s="405" t="str">
        <f>IFERROR(VLOOKUP(A1105,[3]DOORSCRIEFT!$A$2:$G$6834,7,FALSE),"")</f>
        <v/>
      </c>
      <c r="G1105" s="315"/>
    </row>
    <row r="1106" spans="1:7" x14ac:dyDescent="0.25">
      <c r="A1106" s="321" t="str">
        <f t="shared" si="35"/>
        <v>II.2.8.016</v>
      </c>
      <c r="B1106" s="321">
        <v>6</v>
      </c>
      <c r="C1106" s="339" t="str">
        <f>IFERROR(VLOOKUP(A1106,[3]DOORSCRIEFT!$A$2:$G$6834,2,FALSE),"")</f>
        <v/>
      </c>
      <c r="D1106" s="481" t="str">
        <f>IFERROR(VLOOKUP(A1106,[3]DOORSCRIEFT!$A$2:$G$6834,3,FALSE),"")</f>
        <v/>
      </c>
      <c r="E1106" s="480" t="str">
        <f>IFERROR(VLOOKUP(A1106,[3]DOORSCRIEFT!$A$2:$G$6834,4,FALSE),"")</f>
        <v/>
      </c>
      <c r="F1106" s="405" t="str">
        <f>IFERROR(VLOOKUP(A1106,[3]DOORSCRIEFT!$A$2:$G$6834,7,FALSE),"")</f>
        <v/>
      </c>
      <c r="G1106" s="315"/>
    </row>
    <row r="1107" spans="1:7" x14ac:dyDescent="0.25">
      <c r="A1107" s="321" t="str">
        <f t="shared" si="35"/>
        <v>II.2.8.017</v>
      </c>
      <c r="B1107" s="321">
        <v>7</v>
      </c>
      <c r="C1107" s="339" t="str">
        <f>IFERROR(VLOOKUP(A1107,[3]DOORSCRIEFT!$A$2:$G$6834,2,FALSE),"")</f>
        <v/>
      </c>
      <c r="D1107" s="481" t="str">
        <f>IFERROR(VLOOKUP(A1107,[3]DOORSCRIEFT!$A$2:$G$6834,3,FALSE),"")</f>
        <v/>
      </c>
      <c r="E1107" s="480" t="str">
        <f>IFERROR(VLOOKUP(A1107,[3]DOORSCRIEFT!$A$2:$G$6834,4,FALSE),"")</f>
        <v/>
      </c>
      <c r="F1107" s="405" t="str">
        <f>IFERROR(VLOOKUP(A1107,[3]DOORSCRIEFT!$A$2:$G$6834,7,FALSE),"")</f>
        <v/>
      </c>
      <c r="G1107" s="315"/>
    </row>
    <row r="1108" spans="1:7" x14ac:dyDescent="0.25">
      <c r="A1108" s="321" t="str">
        <f t="shared" si="35"/>
        <v>II.2.8.018</v>
      </c>
      <c r="B1108" s="321">
        <v>8</v>
      </c>
      <c r="C1108" s="339" t="str">
        <f>IFERROR(VLOOKUP(A1108,[3]DOORSCRIEFT!$A$2:$G$6834,2,FALSE),"")</f>
        <v/>
      </c>
      <c r="D1108" s="481" t="str">
        <f>IFERROR(VLOOKUP(A1108,[3]DOORSCRIEFT!$A$2:$G$6834,3,FALSE),"")</f>
        <v/>
      </c>
      <c r="E1108" s="480" t="str">
        <f>IFERROR(VLOOKUP(A1108,[3]DOORSCRIEFT!$A$2:$G$6834,4,FALSE),"")</f>
        <v/>
      </c>
      <c r="F1108" s="405" t="str">
        <f>IFERROR(VLOOKUP(A1108,[3]DOORSCRIEFT!$A$2:$G$6834,7,FALSE),"")</f>
        <v/>
      </c>
      <c r="G1108" s="315"/>
    </row>
    <row r="1109" spans="1:7" x14ac:dyDescent="0.25">
      <c r="A1109" s="321" t="str">
        <f t="shared" si="35"/>
        <v>II.2.8.019</v>
      </c>
      <c r="B1109" s="321">
        <v>9</v>
      </c>
      <c r="C1109" s="339" t="str">
        <f>IFERROR(VLOOKUP(A1109,[3]DOORSCRIEFT!$A$2:$G$6834,2,FALSE),"")</f>
        <v/>
      </c>
      <c r="D1109" s="481" t="str">
        <f>IFERROR(VLOOKUP(A1109,[3]DOORSCRIEFT!$A$2:$G$6834,3,FALSE),"")</f>
        <v/>
      </c>
      <c r="E1109" s="480" t="str">
        <f>IFERROR(VLOOKUP(A1109,[3]DOORSCRIEFT!$A$2:$G$6834,4,FALSE),"")</f>
        <v/>
      </c>
      <c r="F1109" s="405" t="str">
        <f>IFERROR(VLOOKUP(A1109,[3]DOORSCRIEFT!$A$2:$G$6834,7,FALSE),"")</f>
        <v/>
      </c>
      <c r="G1109" s="315"/>
    </row>
    <row r="1110" spans="1:7" x14ac:dyDescent="0.25">
      <c r="A1110" s="321" t="str">
        <f t="shared" si="35"/>
        <v>II.2.8.0110</v>
      </c>
      <c r="B1110" s="321">
        <v>10</v>
      </c>
      <c r="C1110" s="339" t="str">
        <f>IFERROR(VLOOKUP(A1110,[3]DOORSCRIEFT!$A$2:$G$6834,2,FALSE),"")</f>
        <v/>
      </c>
      <c r="D1110" s="481" t="str">
        <f>IFERROR(VLOOKUP(A1110,[3]DOORSCRIEFT!$A$2:$G$6834,3,FALSE),"")</f>
        <v/>
      </c>
      <c r="E1110" s="480" t="str">
        <f>IFERROR(VLOOKUP(A1110,[3]DOORSCRIEFT!$A$2:$G$6834,4,FALSE),"")</f>
        <v/>
      </c>
      <c r="F1110" s="405" t="str">
        <f>IFERROR(VLOOKUP(A1110,[3]DOORSCRIEFT!$A$2:$G$6834,7,FALSE),"")</f>
        <v/>
      </c>
      <c r="G1110" s="315"/>
    </row>
    <row r="1111" spans="1:7" x14ac:dyDescent="0.25">
      <c r="A1111" s="321" t="str">
        <f t="shared" si="35"/>
        <v>II.2.8.0111</v>
      </c>
      <c r="B1111" s="321">
        <v>11</v>
      </c>
      <c r="C1111" s="339" t="str">
        <f>IFERROR(VLOOKUP(A1111,[3]DOORSCRIEFT!$A$2:$G$6834,2,FALSE),"")</f>
        <v/>
      </c>
      <c r="D1111" s="481" t="str">
        <f>IFERROR(VLOOKUP(A1111,[3]DOORSCRIEFT!$A$2:$G$6834,3,FALSE),"")</f>
        <v/>
      </c>
      <c r="E1111" s="480" t="str">
        <f>IFERROR(VLOOKUP(A1111,[3]DOORSCRIEFT!$A$2:$G$6834,4,FALSE),"")</f>
        <v/>
      </c>
      <c r="F1111" s="405" t="str">
        <f>IFERROR(VLOOKUP(A1111,[3]DOORSCRIEFT!$A$2:$G$6834,7,FALSE),"")</f>
        <v/>
      </c>
      <c r="G1111" s="315"/>
    </row>
    <row r="1112" spans="1:7" x14ac:dyDescent="0.25">
      <c r="A1112" s="321" t="str">
        <f t="shared" si="35"/>
        <v>II.2.8.0112</v>
      </c>
      <c r="B1112" s="321">
        <v>12</v>
      </c>
      <c r="C1112" s="339" t="str">
        <f>IFERROR(VLOOKUP(A1112,[3]DOORSCRIEFT!$A$2:$G$6834,2,FALSE),"")</f>
        <v/>
      </c>
      <c r="D1112" s="481" t="str">
        <f>IFERROR(VLOOKUP(A1112,[3]DOORSCRIEFT!$A$2:$G$6834,3,FALSE),"")</f>
        <v/>
      </c>
      <c r="E1112" s="480" t="str">
        <f>IFERROR(VLOOKUP(A1112,[3]DOORSCRIEFT!$A$2:$G$6834,4,FALSE),"")</f>
        <v/>
      </c>
      <c r="F1112" s="405" t="str">
        <f>IFERROR(VLOOKUP(A1112,[3]DOORSCRIEFT!$A$2:$G$6834,7,FALSE),"")</f>
        <v/>
      </c>
      <c r="G1112" s="315"/>
    </row>
    <row r="1113" spans="1:7" x14ac:dyDescent="0.25">
      <c r="A1113" s="321" t="str">
        <f t="shared" si="35"/>
        <v>II.2.8.0113</v>
      </c>
      <c r="B1113" s="321">
        <v>13</v>
      </c>
      <c r="C1113" s="339" t="str">
        <f>IFERROR(VLOOKUP(A1113,[3]DOORSCRIEFT!$A$2:$G$6834,2,FALSE),"")</f>
        <v/>
      </c>
      <c r="D1113" s="481" t="str">
        <f>IFERROR(VLOOKUP(A1113,[3]DOORSCRIEFT!$A$2:$G$6834,3,FALSE),"")</f>
        <v/>
      </c>
      <c r="E1113" s="480" t="str">
        <f>IFERROR(VLOOKUP(A1113,[3]DOORSCRIEFT!$A$2:$G$6834,4,FALSE),"")</f>
        <v/>
      </c>
      <c r="F1113" s="405" t="str">
        <f>IFERROR(VLOOKUP(A1113,[3]DOORSCRIEFT!$A$2:$G$6834,7,FALSE),"")</f>
        <v/>
      </c>
      <c r="G1113" s="315"/>
    </row>
    <row r="1114" spans="1:7" x14ac:dyDescent="0.25">
      <c r="A1114" s="321" t="str">
        <f t="shared" si="35"/>
        <v>II.2.8.0114</v>
      </c>
      <c r="B1114" s="321">
        <v>14</v>
      </c>
      <c r="C1114" s="339" t="str">
        <f>IFERROR(VLOOKUP(A1114,[3]DOORSCRIEFT!$A$2:$G$6834,2,FALSE),"")</f>
        <v/>
      </c>
      <c r="D1114" s="481" t="str">
        <f>IFERROR(VLOOKUP(A1114,[3]DOORSCRIEFT!$A$2:$G$6834,3,FALSE),"")</f>
        <v/>
      </c>
      <c r="E1114" s="480" t="str">
        <f>IFERROR(VLOOKUP(A1114,[3]DOORSCRIEFT!$A$2:$G$6834,4,FALSE),"")</f>
        <v/>
      </c>
      <c r="F1114" s="405" t="str">
        <f>IFERROR(VLOOKUP(A1114,[3]DOORSCRIEFT!$A$2:$G$6834,7,FALSE),"")</f>
        <v/>
      </c>
      <c r="G1114" s="315"/>
    </row>
    <row r="1115" spans="1:7" x14ac:dyDescent="0.25">
      <c r="A1115" s="321" t="str">
        <f t="shared" si="35"/>
        <v>II.2.8.0115</v>
      </c>
      <c r="B1115" s="321">
        <v>15</v>
      </c>
      <c r="C1115" s="339" t="str">
        <f>IFERROR(VLOOKUP(A1115,[3]DOORSCRIEFT!$A$2:$G$6834,2,FALSE),"")</f>
        <v/>
      </c>
      <c r="D1115" s="481" t="str">
        <f>IFERROR(VLOOKUP(A1115,[3]DOORSCRIEFT!$A$2:$G$6834,3,FALSE),"")</f>
        <v/>
      </c>
      <c r="E1115" s="480" t="str">
        <f>IFERROR(VLOOKUP(A1115,[3]DOORSCRIEFT!$A$2:$G$6834,4,FALSE),"")</f>
        <v/>
      </c>
      <c r="F1115" s="405" t="str">
        <f>IFERROR(VLOOKUP(A1115,[3]DOORSCRIEFT!$A$2:$G$6834,7,FALSE),"")</f>
        <v/>
      </c>
      <c r="G1115" s="315"/>
    </row>
    <row r="1116" spans="1:7" x14ac:dyDescent="0.25">
      <c r="A1116" s="321" t="str">
        <f t="shared" si="35"/>
        <v>II.2.8.0116</v>
      </c>
      <c r="B1116" s="321">
        <v>16</v>
      </c>
      <c r="C1116" s="339" t="str">
        <f>IFERROR(VLOOKUP(A1116,[3]DOORSCRIEFT!$A$2:$G$6834,2,FALSE),"")</f>
        <v/>
      </c>
      <c r="D1116" s="481" t="str">
        <f>IFERROR(VLOOKUP(A1116,[3]DOORSCRIEFT!$A$2:$G$6834,3,FALSE),"")</f>
        <v/>
      </c>
      <c r="E1116" s="480" t="str">
        <f>IFERROR(VLOOKUP(A1116,[3]DOORSCRIEFT!$A$2:$G$6834,4,FALSE),"")</f>
        <v/>
      </c>
      <c r="F1116" s="405" t="str">
        <f>IFERROR(VLOOKUP(A1116,[3]DOORSCRIEFT!$A$2:$G$6834,7,FALSE),"")</f>
        <v/>
      </c>
      <c r="G1116" s="315"/>
    </row>
    <row r="1117" spans="1:7" x14ac:dyDescent="0.25">
      <c r="A1117" s="321" t="str">
        <f t="shared" si="35"/>
        <v>II.2.8.0117</v>
      </c>
      <c r="B1117" s="321">
        <v>17</v>
      </c>
      <c r="C1117" s="339" t="str">
        <f>IFERROR(VLOOKUP(A1117,[3]DOORSCRIEFT!$A$2:$G$6834,2,FALSE),"")</f>
        <v/>
      </c>
      <c r="D1117" s="481" t="str">
        <f>IFERROR(VLOOKUP(A1117,[3]DOORSCRIEFT!$A$2:$G$6834,3,FALSE),"")</f>
        <v/>
      </c>
      <c r="E1117" s="480" t="str">
        <f>IFERROR(VLOOKUP(A1117,[3]DOORSCRIEFT!$A$2:$G$6834,4,FALSE),"")</f>
        <v/>
      </c>
      <c r="F1117" s="405" t="str">
        <f>IFERROR(VLOOKUP(A1117,[3]DOORSCRIEFT!$A$2:$G$6834,7,FALSE),"")</f>
        <v/>
      </c>
      <c r="G1117" s="315"/>
    </row>
    <row r="1118" spans="1:7" x14ac:dyDescent="0.25">
      <c r="A1118" s="321" t="str">
        <f t="shared" si="35"/>
        <v>II.2.8.0118</v>
      </c>
      <c r="B1118" s="321">
        <v>18</v>
      </c>
      <c r="C1118" s="339" t="str">
        <f>IFERROR(VLOOKUP(A1118,[3]DOORSCRIEFT!$A$2:$G$6834,2,FALSE),"")</f>
        <v/>
      </c>
      <c r="D1118" s="481" t="str">
        <f>IFERROR(VLOOKUP(A1118,[3]DOORSCRIEFT!$A$2:$G$6834,3,FALSE),"")</f>
        <v/>
      </c>
      <c r="E1118" s="480" t="str">
        <f>IFERROR(VLOOKUP(A1118,[3]DOORSCRIEFT!$A$2:$G$6834,4,FALSE),"")</f>
        <v/>
      </c>
      <c r="F1118" s="405" t="str">
        <f>IFERROR(VLOOKUP(A1118,[3]DOORSCRIEFT!$A$2:$G$6834,7,FALSE),"")</f>
        <v/>
      </c>
      <c r="G1118" s="315"/>
    </row>
    <row r="1119" spans="1:7" x14ac:dyDescent="0.25">
      <c r="A1119" s="321" t="str">
        <f t="shared" si="35"/>
        <v>II.2.8.0119</v>
      </c>
      <c r="B1119" s="321">
        <v>19</v>
      </c>
      <c r="C1119" s="339" t="str">
        <f>IFERROR(VLOOKUP(A1119,[3]DOORSCRIEFT!$A$2:$G$6834,2,FALSE),"")</f>
        <v/>
      </c>
      <c r="D1119" s="481" t="str">
        <f>IFERROR(VLOOKUP(A1119,[3]DOORSCRIEFT!$A$2:$G$6834,3,FALSE),"")</f>
        <v/>
      </c>
      <c r="E1119" s="480" t="str">
        <f>IFERROR(VLOOKUP(A1119,[3]DOORSCRIEFT!$A$2:$G$6834,4,FALSE),"")</f>
        <v/>
      </c>
      <c r="F1119" s="405" t="str">
        <f>IFERROR(VLOOKUP(A1119,[3]DOORSCRIEFT!$A$2:$G$6834,7,FALSE),"")</f>
        <v/>
      </c>
      <c r="G1119" s="315"/>
    </row>
    <row r="1120" spans="1:7" x14ac:dyDescent="0.25">
      <c r="A1120" s="321" t="str">
        <f t="shared" si="35"/>
        <v>II.2.8.0120</v>
      </c>
      <c r="B1120" s="321">
        <v>20</v>
      </c>
      <c r="C1120" s="339" t="str">
        <f>IFERROR(VLOOKUP(A1120,[3]DOORSCRIEFT!$A$2:$G$6834,2,FALSE),"")</f>
        <v/>
      </c>
      <c r="D1120" s="481" t="str">
        <f>IFERROR(VLOOKUP(A1120,[3]DOORSCRIEFT!$A$2:$G$6834,3,FALSE),"")</f>
        <v/>
      </c>
      <c r="E1120" s="480" t="str">
        <f>IFERROR(VLOOKUP(A1120,[3]DOORSCRIEFT!$A$2:$G$6834,4,FALSE),"")</f>
        <v/>
      </c>
      <c r="F1120" s="405" t="str">
        <f>IFERROR(VLOOKUP(A1120,[3]DOORSCRIEFT!$A$2:$G$6834,7,FALSE),"")</f>
        <v/>
      </c>
      <c r="G1120" s="315"/>
    </row>
    <row r="1121" spans="1:7" x14ac:dyDescent="0.25">
      <c r="A1121" s="321" t="str">
        <f t="shared" si="35"/>
        <v>II.2.8.0121</v>
      </c>
      <c r="B1121" s="321">
        <v>21</v>
      </c>
      <c r="C1121" s="339" t="str">
        <f>IFERROR(VLOOKUP(A1121,[3]DOORSCRIEFT!$A$2:$G$6834,2,FALSE),"")</f>
        <v/>
      </c>
      <c r="D1121" s="481" t="str">
        <f>IFERROR(VLOOKUP(A1121,[3]DOORSCRIEFT!$A$2:$G$6834,3,FALSE),"")</f>
        <v/>
      </c>
      <c r="E1121" s="480" t="str">
        <f>IFERROR(VLOOKUP(A1121,[3]DOORSCRIEFT!$A$2:$G$6834,4,FALSE),"")</f>
        <v/>
      </c>
      <c r="F1121" s="405" t="str">
        <f>IFERROR(VLOOKUP(A1121,[3]DOORSCRIEFT!$A$2:$G$6834,7,FALSE),"")</f>
        <v/>
      </c>
      <c r="G1121" s="315"/>
    </row>
    <row r="1122" spans="1:7" x14ac:dyDescent="0.25">
      <c r="A1122" s="321" t="str">
        <f t="shared" si="35"/>
        <v>II.2.8.0122</v>
      </c>
      <c r="B1122" s="321">
        <v>22</v>
      </c>
      <c r="C1122" s="339" t="str">
        <f>IFERROR(VLOOKUP(A1122,[3]DOORSCRIEFT!$A$2:$G$6834,2,FALSE),"")</f>
        <v/>
      </c>
      <c r="D1122" s="481" t="str">
        <f>IFERROR(VLOOKUP(A1122,[3]DOORSCRIEFT!$A$2:$G$6834,3,FALSE),"")</f>
        <v/>
      </c>
      <c r="E1122" s="480" t="str">
        <f>IFERROR(VLOOKUP(A1122,[3]DOORSCRIEFT!$A$2:$G$6834,4,FALSE),"")</f>
        <v/>
      </c>
      <c r="F1122" s="405" t="str">
        <f>IFERROR(VLOOKUP(A1122,[3]DOORSCRIEFT!$A$2:$G$6834,7,FALSE),"")</f>
        <v/>
      </c>
      <c r="G1122" s="315"/>
    </row>
    <row r="1123" spans="1:7" x14ac:dyDescent="0.25">
      <c r="A1123" s="321" t="str">
        <f t="shared" si="35"/>
        <v>II.2.8.0123</v>
      </c>
      <c r="B1123" s="321">
        <v>23</v>
      </c>
      <c r="C1123" s="339" t="str">
        <f>IFERROR(VLOOKUP(A1123,[3]DOORSCRIEFT!$A$2:$G$6834,2,FALSE),"")</f>
        <v/>
      </c>
      <c r="D1123" s="481" t="str">
        <f>IFERROR(VLOOKUP(A1123,[3]DOORSCRIEFT!$A$2:$G$6834,3,FALSE),"")</f>
        <v/>
      </c>
      <c r="E1123" s="480" t="str">
        <f>IFERROR(VLOOKUP(A1123,[3]DOORSCRIEFT!$A$2:$G$6834,4,FALSE),"")</f>
        <v/>
      </c>
      <c r="F1123" s="405" t="str">
        <f>IFERROR(VLOOKUP(A1123,[3]DOORSCRIEFT!$A$2:$G$6834,7,FALSE),"")</f>
        <v/>
      </c>
      <c r="G1123" s="315"/>
    </row>
    <row r="1124" spans="1:7" x14ac:dyDescent="0.25">
      <c r="A1124" s="321" t="str">
        <f t="shared" si="35"/>
        <v>II.2.8.0124</v>
      </c>
      <c r="B1124" s="321">
        <v>24</v>
      </c>
      <c r="C1124" s="339" t="str">
        <f>IFERROR(VLOOKUP(A1124,[3]DOORSCRIEFT!$A$2:$G$6834,2,FALSE),"")</f>
        <v/>
      </c>
      <c r="D1124" s="481" t="str">
        <f>IFERROR(VLOOKUP(A1124,[3]DOORSCRIEFT!$A$2:$G$6834,3,FALSE),"")</f>
        <v/>
      </c>
      <c r="E1124" s="480" t="str">
        <f>IFERROR(VLOOKUP(A1124,[3]DOORSCRIEFT!$A$2:$G$6834,4,FALSE),"")</f>
        <v/>
      </c>
      <c r="F1124" s="405" t="str">
        <f>IFERROR(VLOOKUP(A1124,[3]DOORSCRIEFT!$A$2:$G$6834,7,FALSE),"")</f>
        <v/>
      </c>
      <c r="G1124" s="315"/>
    </row>
    <row r="1125" spans="1:7" x14ac:dyDescent="0.25">
      <c r="A1125" s="321" t="str">
        <f t="shared" si="35"/>
        <v>II.2.8.0125</v>
      </c>
      <c r="B1125" s="321">
        <v>25</v>
      </c>
      <c r="C1125" s="339" t="str">
        <f>IFERROR(VLOOKUP(A1125,[3]DOORSCRIEFT!$A$2:$G$6834,2,FALSE),"")</f>
        <v/>
      </c>
      <c r="D1125" s="481" t="str">
        <f>IFERROR(VLOOKUP(A1125,[3]DOORSCRIEFT!$A$2:$G$6834,3,FALSE),"")</f>
        <v/>
      </c>
      <c r="E1125" s="480" t="str">
        <f>IFERROR(VLOOKUP(A1125,[3]DOORSCRIEFT!$A$2:$G$6834,4,FALSE),"")</f>
        <v/>
      </c>
      <c r="F1125" s="405" t="str">
        <f>IFERROR(VLOOKUP(A1125,[3]DOORSCRIEFT!$A$2:$G$6834,7,FALSE),"")</f>
        <v/>
      </c>
      <c r="G1125" s="315"/>
    </row>
    <row r="1126" spans="1:7" x14ac:dyDescent="0.25">
      <c r="A1126" s="321" t="str">
        <f t="shared" si="35"/>
        <v>II.2.8.0126</v>
      </c>
      <c r="B1126" s="321">
        <v>26</v>
      </c>
      <c r="C1126" s="339" t="str">
        <f>IFERROR(VLOOKUP(A1126,[3]DOORSCRIEFT!$A$2:$G$6834,2,FALSE),"")</f>
        <v/>
      </c>
      <c r="D1126" s="481" t="str">
        <f>IFERROR(VLOOKUP(A1126,[3]DOORSCRIEFT!$A$2:$G$6834,3,FALSE),"")</f>
        <v/>
      </c>
      <c r="E1126" s="480" t="str">
        <f>IFERROR(VLOOKUP(A1126,[3]DOORSCRIEFT!$A$2:$G$6834,4,FALSE),"")</f>
        <v/>
      </c>
      <c r="F1126" s="405" t="str">
        <f>IFERROR(VLOOKUP(A1126,[3]DOORSCRIEFT!$A$2:$G$6834,7,FALSE),"")</f>
        <v/>
      </c>
      <c r="G1126" s="315"/>
    </row>
    <row r="1127" spans="1:7" x14ac:dyDescent="0.25">
      <c r="A1127" s="321" t="str">
        <f t="shared" si="35"/>
        <v>II.2.8.0127</v>
      </c>
      <c r="B1127" s="321">
        <v>27</v>
      </c>
      <c r="C1127" s="339" t="str">
        <f>IFERROR(VLOOKUP(A1127,[3]DOORSCRIEFT!$A$2:$G$6834,2,FALSE),"")</f>
        <v/>
      </c>
      <c r="D1127" s="481" t="str">
        <f>IFERROR(VLOOKUP(A1127,[3]DOORSCRIEFT!$A$2:$G$6834,3,FALSE),"")</f>
        <v/>
      </c>
      <c r="E1127" s="480" t="str">
        <f>IFERROR(VLOOKUP(A1127,[3]DOORSCRIEFT!$A$2:$G$6834,4,FALSE),"")</f>
        <v/>
      </c>
      <c r="F1127" s="405" t="str">
        <f>IFERROR(VLOOKUP(A1127,[3]DOORSCRIEFT!$A$2:$G$6834,7,FALSE),"")</f>
        <v/>
      </c>
      <c r="G1127" s="315"/>
    </row>
    <row r="1128" spans="1:7" x14ac:dyDescent="0.25">
      <c r="A1128" s="321" t="str">
        <f t="shared" si="35"/>
        <v>II.2.8.0128</v>
      </c>
      <c r="B1128" s="321">
        <v>28</v>
      </c>
      <c r="C1128" s="339" t="str">
        <f>IFERROR(VLOOKUP(A1128,[3]DOORSCRIEFT!$A$2:$G$6834,2,FALSE),"")</f>
        <v/>
      </c>
      <c r="D1128" s="481" t="str">
        <f>IFERROR(VLOOKUP(A1128,[3]DOORSCRIEFT!$A$2:$G$6834,3,FALSE),"")</f>
        <v/>
      </c>
      <c r="E1128" s="480" t="str">
        <f>IFERROR(VLOOKUP(A1128,[3]DOORSCRIEFT!$A$2:$G$6834,4,FALSE),"")</f>
        <v/>
      </c>
      <c r="F1128" s="405" t="str">
        <f>IFERROR(VLOOKUP(A1128,[3]DOORSCRIEFT!$A$2:$G$6834,7,FALSE),"")</f>
        <v/>
      </c>
      <c r="G1128" s="315"/>
    </row>
    <row r="1129" spans="1:7" x14ac:dyDescent="0.25">
      <c r="A1129" s="321" t="str">
        <f t="shared" si="35"/>
        <v>II.2.8.0129</v>
      </c>
      <c r="B1129" s="321">
        <v>29</v>
      </c>
      <c r="C1129" s="339" t="str">
        <f>IFERROR(VLOOKUP(A1129,[3]DOORSCRIEFT!$A$2:$G$6834,2,FALSE),"")</f>
        <v/>
      </c>
      <c r="D1129" s="481" t="str">
        <f>IFERROR(VLOOKUP(A1129,[3]DOORSCRIEFT!$A$2:$G$6834,3,FALSE),"")</f>
        <v/>
      </c>
      <c r="E1129" s="480" t="str">
        <f>IFERROR(VLOOKUP(A1129,[3]DOORSCRIEFT!$A$2:$G$6834,4,FALSE),"")</f>
        <v/>
      </c>
      <c r="F1129" s="405" t="str">
        <f>IFERROR(VLOOKUP(A1129,[3]DOORSCRIEFT!$A$2:$G$6834,7,FALSE),"")</f>
        <v/>
      </c>
      <c r="G1129" s="315"/>
    </row>
    <row r="1130" spans="1:7" x14ac:dyDescent="0.25">
      <c r="A1130" s="342" t="str">
        <f t="shared" si="35"/>
        <v>II.2.8.0130</v>
      </c>
      <c r="B1130" s="342">
        <v>30</v>
      </c>
      <c r="C1130" s="339" t="str">
        <f>IFERROR(VLOOKUP(A1130,[3]DOORSCRIEFT!$A$2:$G$6834,2,FALSE),"")</f>
        <v/>
      </c>
      <c r="D1130" s="481" t="str">
        <f>IFERROR(VLOOKUP(A1130,[3]DOORSCRIEFT!$A$2:$G$6834,3,FALSE),"")</f>
        <v/>
      </c>
      <c r="E1130" s="480" t="str">
        <f>IFERROR(VLOOKUP(A1130,[3]DOORSCRIEFT!$A$2:$G$6834,4,FALSE),"")</f>
        <v/>
      </c>
      <c r="F1130" s="405" t="str">
        <f>IFERROR(VLOOKUP(A1130,[3]DOORSCRIEFT!$A$2:$G$6834,7,FALSE),"")</f>
        <v/>
      </c>
      <c r="G1130" s="315"/>
    </row>
    <row r="1131" spans="1:7" x14ac:dyDescent="0.25">
      <c r="A1131" s="342" t="str">
        <f t="shared" si="35"/>
        <v>II.2.8.0131</v>
      </c>
      <c r="B1131" s="321">
        <v>31</v>
      </c>
      <c r="C1131" s="339" t="str">
        <f>IFERROR(VLOOKUP(A1131,[3]DOORSCRIEFT!$A$2:$G$6834,2,FALSE),"")</f>
        <v/>
      </c>
      <c r="D1131" s="481" t="str">
        <f>IFERROR(VLOOKUP(A1131,[3]DOORSCRIEFT!$A$2:$G$6834,3,FALSE),"")</f>
        <v/>
      </c>
      <c r="E1131" s="480" t="str">
        <f>IFERROR(VLOOKUP(A1131,[3]DOORSCRIEFT!$A$2:$G$6834,4,FALSE),"")</f>
        <v/>
      </c>
      <c r="F1131" s="405" t="str">
        <f>IFERROR(VLOOKUP(A1131,[3]DOORSCRIEFT!$A$2:$G$6834,7,FALSE),"")</f>
        <v/>
      </c>
      <c r="G1131" s="315"/>
    </row>
    <row r="1132" spans="1:7" x14ac:dyDescent="0.25">
      <c r="A1132" s="342" t="str">
        <f t="shared" si="35"/>
        <v>II.2.8.0132</v>
      </c>
      <c r="B1132" s="342">
        <v>32</v>
      </c>
      <c r="C1132" s="339" t="str">
        <f>IFERROR(VLOOKUP(A1132,[3]DOORSCRIEFT!$A$2:$G$6834,2,FALSE),"")</f>
        <v/>
      </c>
      <c r="D1132" s="481" t="str">
        <f>IFERROR(VLOOKUP(A1132,[3]DOORSCRIEFT!$A$2:$G$6834,3,FALSE),"")</f>
        <v/>
      </c>
      <c r="E1132" s="480" t="str">
        <f>IFERROR(VLOOKUP(A1132,[3]DOORSCRIEFT!$A$2:$G$6834,4,FALSE),"")</f>
        <v/>
      </c>
      <c r="F1132" s="405" t="str">
        <f>IFERROR(VLOOKUP(A1132,[3]DOORSCRIEFT!$A$2:$G$6834,7,FALSE),"")</f>
        <v/>
      </c>
      <c r="G1132" s="315"/>
    </row>
    <row r="1133" spans="1:7" x14ac:dyDescent="0.25">
      <c r="A1133" s="342" t="str">
        <f t="shared" ref="A1133:A1164" si="36">$G$1094&amp;B1133</f>
        <v>II.2.8.0133</v>
      </c>
      <c r="B1133" s="321">
        <v>33</v>
      </c>
      <c r="C1133" s="339" t="str">
        <f>IFERROR(VLOOKUP(A1133,[3]DOORSCRIEFT!$A$2:$G$6834,2,FALSE),"")</f>
        <v/>
      </c>
      <c r="D1133" s="481" t="str">
        <f>IFERROR(VLOOKUP(A1133,[3]DOORSCRIEFT!$A$2:$G$6834,3,FALSE),"")</f>
        <v/>
      </c>
      <c r="E1133" s="480" t="str">
        <f>IFERROR(VLOOKUP(A1133,[3]DOORSCRIEFT!$A$2:$G$6834,4,FALSE),"")</f>
        <v/>
      </c>
      <c r="F1133" s="405" t="str">
        <f>IFERROR(VLOOKUP(A1133,[3]DOORSCRIEFT!$A$2:$G$6834,7,FALSE),"")</f>
        <v/>
      </c>
      <c r="G1133" s="315"/>
    </row>
    <row r="1134" spans="1:7" x14ac:dyDescent="0.25">
      <c r="A1134" s="342" t="str">
        <f t="shared" si="36"/>
        <v>II.2.8.0134</v>
      </c>
      <c r="B1134" s="342">
        <v>34</v>
      </c>
      <c r="C1134" s="339" t="str">
        <f>IFERROR(VLOOKUP(A1134,[3]DOORSCRIEFT!$A$2:$G$6834,2,FALSE),"")</f>
        <v/>
      </c>
      <c r="D1134" s="481" t="str">
        <f>IFERROR(VLOOKUP(A1134,[3]DOORSCRIEFT!$A$2:$G$6834,3,FALSE),"")</f>
        <v/>
      </c>
      <c r="E1134" s="480" t="str">
        <f>IFERROR(VLOOKUP(A1134,[3]DOORSCRIEFT!$A$2:$G$6834,4,FALSE),"")</f>
        <v/>
      </c>
      <c r="F1134" s="405" t="str">
        <f>IFERROR(VLOOKUP(A1134,[3]DOORSCRIEFT!$A$2:$G$6834,7,FALSE),"")</f>
        <v/>
      </c>
      <c r="G1134" s="315"/>
    </row>
    <row r="1135" spans="1:7" x14ac:dyDescent="0.25">
      <c r="A1135" s="342" t="str">
        <f t="shared" si="36"/>
        <v>II.2.8.0135</v>
      </c>
      <c r="B1135" s="321">
        <v>35</v>
      </c>
      <c r="C1135" s="339" t="str">
        <f>IFERROR(VLOOKUP(A1135,[3]DOORSCRIEFT!$A$2:$G$6834,2,FALSE),"")</f>
        <v/>
      </c>
      <c r="D1135" s="481" t="str">
        <f>IFERROR(VLOOKUP(A1135,[3]DOORSCRIEFT!$A$2:$G$6834,3,FALSE),"")</f>
        <v/>
      </c>
      <c r="E1135" s="480" t="str">
        <f>IFERROR(VLOOKUP(A1135,[3]DOORSCRIEFT!$A$2:$G$6834,4,FALSE),"")</f>
        <v/>
      </c>
      <c r="F1135" s="405" t="str">
        <f>IFERROR(VLOOKUP(A1135,[3]DOORSCRIEFT!$A$2:$G$6834,7,FALSE),"")</f>
        <v/>
      </c>
      <c r="G1135" s="315"/>
    </row>
    <row r="1136" spans="1:7" x14ac:dyDescent="0.25">
      <c r="A1136" s="342" t="str">
        <f t="shared" si="36"/>
        <v>II.2.8.0136</v>
      </c>
      <c r="B1136" s="342">
        <v>36</v>
      </c>
      <c r="C1136" s="339" t="str">
        <f>IFERROR(VLOOKUP(A1136,[3]DOORSCRIEFT!$A$2:$G$6834,2,FALSE),"")</f>
        <v/>
      </c>
      <c r="D1136" s="481" t="str">
        <f>IFERROR(VLOOKUP(A1136,[3]DOORSCRIEFT!$A$2:$G$6834,3,FALSE),"")</f>
        <v/>
      </c>
      <c r="E1136" s="480" t="str">
        <f>IFERROR(VLOOKUP(A1136,[3]DOORSCRIEFT!$A$2:$G$6834,4,FALSE),"")</f>
        <v/>
      </c>
      <c r="F1136" s="405" t="str">
        <f>IFERROR(VLOOKUP(A1136,[3]DOORSCRIEFT!$A$2:$G$6834,7,FALSE),"")</f>
        <v/>
      </c>
      <c r="G1136" s="315"/>
    </row>
    <row r="1137" spans="1:7" x14ac:dyDescent="0.25">
      <c r="A1137" s="342" t="str">
        <f t="shared" si="36"/>
        <v>II.2.8.0137</v>
      </c>
      <c r="B1137" s="321">
        <v>37</v>
      </c>
      <c r="C1137" s="339" t="str">
        <f>IFERROR(VLOOKUP(A1137,[3]DOORSCRIEFT!$A$2:$G$6834,2,FALSE),"")</f>
        <v/>
      </c>
      <c r="D1137" s="481" t="str">
        <f>IFERROR(VLOOKUP(A1137,[3]DOORSCRIEFT!$A$2:$G$6834,3,FALSE),"")</f>
        <v/>
      </c>
      <c r="E1137" s="480" t="str">
        <f>IFERROR(VLOOKUP(A1137,[3]DOORSCRIEFT!$A$2:$G$6834,4,FALSE),"")</f>
        <v/>
      </c>
      <c r="F1137" s="405" t="str">
        <f>IFERROR(VLOOKUP(A1137,[3]DOORSCRIEFT!$A$2:$G$6834,7,FALSE),"")</f>
        <v/>
      </c>
      <c r="G1137" s="315"/>
    </row>
    <row r="1138" spans="1:7" x14ac:dyDescent="0.25">
      <c r="A1138" s="342" t="str">
        <f t="shared" si="36"/>
        <v>II.2.8.0138</v>
      </c>
      <c r="B1138" s="342">
        <v>38</v>
      </c>
      <c r="C1138" s="339" t="str">
        <f>IFERROR(VLOOKUP(A1138,[3]DOORSCRIEFT!$A$2:$G$6834,2,FALSE),"")</f>
        <v/>
      </c>
      <c r="D1138" s="481" t="str">
        <f>IFERROR(VLOOKUP(A1138,[3]DOORSCRIEFT!$A$2:$G$6834,3,FALSE),"")</f>
        <v/>
      </c>
      <c r="E1138" s="480" t="str">
        <f>IFERROR(VLOOKUP(A1138,[3]DOORSCRIEFT!$A$2:$G$6834,4,FALSE),"")</f>
        <v/>
      </c>
      <c r="F1138" s="405" t="str">
        <f>IFERROR(VLOOKUP(A1138,[3]DOORSCRIEFT!$A$2:$G$6834,7,FALSE),"")</f>
        <v/>
      </c>
      <c r="G1138" s="315"/>
    </row>
    <row r="1139" spans="1:7" x14ac:dyDescent="0.25">
      <c r="A1139" s="342" t="str">
        <f t="shared" si="36"/>
        <v>II.2.8.0139</v>
      </c>
      <c r="B1139" s="321">
        <v>39</v>
      </c>
      <c r="C1139" s="339" t="str">
        <f>IFERROR(VLOOKUP(A1139,[3]DOORSCRIEFT!$A$2:$G$6834,2,FALSE),"")</f>
        <v/>
      </c>
      <c r="D1139" s="481" t="str">
        <f>IFERROR(VLOOKUP(A1139,[3]DOORSCRIEFT!$A$2:$G$6834,3,FALSE),"")</f>
        <v/>
      </c>
      <c r="E1139" s="480" t="str">
        <f>IFERROR(VLOOKUP(A1139,[3]DOORSCRIEFT!$A$2:$G$6834,4,FALSE),"")</f>
        <v/>
      </c>
      <c r="F1139" s="405" t="str">
        <f>IFERROR(VLOOKUP(A1139,[3]DOORSCRIEFT!$A$2:$G$6834,7,FALSE),"")</f>
        <v/>
      </c>
      <c r="G1139" s="315"/>
    </row>
    <row r="1140" spans="1:7" x14ac:dyDescent="0.25">
      <c r="A1140" s="342" t="str">
        <f t="shared" si="36"/>
        <v>II.2.8.0140</v>
      </c>
      <c r="B1140" s="342">
        <v>40</v>
      </c>
      <c r="C1140" s="339" t="str">
        <f>IFERROR(VLOOKUP(A1140,[3]DOORSCRIEFT!$A$2:$G$6834,2,FALSE),"")</f>
        <v/>
      </c>
      <c r="D1140" s="481" t="str">
        <f>IFERROR(VLOOKUP(A1140,[3]DOORSCRIEFT!$A$2:$G$6834,3,FALSE),"")</f>
        <v/>
      </c>
      <c r="E1140" s="480" t="str">
        <f>IFERROR(VLOOKUP(A1140,[3]DOORSCRIEFT!$A$2:$G$6834,4,FALSE),"")</f>
        <v/>
      </c>
      <c r="F1140" s="405" t="str">
        <f>IFERROR(VLOOKUP(A1140,[3]DOORSCRIEFT!$A$2:$G$6834,7,FALSE),"")</f>
        <v/>
      </c>
      <c r="G1140" s="315"/>
    </row>
    <row r="1141" spans="1:7" x14ac:dyDescent="0.25">
      <c r="A1141" s="342" t="str">
        <f t="shared" si="36"/>
        <v>II.2.8.0141</v>
      </c>
      <c r="B1141" s="321">
        <v>41</v>
      </c>
      <c r="C1141" s="339" t="str">
        <f>IFERROR(VLOOKUP(A1141,[3]DOORSCRIEFT!$A$2:$G$6834,2,FALSE),"")</f>
        <v/>
      </c>
      <c r="D1141" s="481" t="str">
        <f>IFERROR(VLOOKUP(A1141,[3]DOORSCRIEFT!$A$2:$G$6834,3,FALSE),"")</f>
        <v/>
      </c>
      <c r="E1141" s="480" t="str">
        <f>IFERROR(VLOOKUP(A1141,[3]DOORSCRIEFT!$A$2:$G$6834,4,FALSE),"")</f>
        <v/>
      </c>
      <c r="F1141" s="405" t="str">
        <f>IFERROR(VLOOKUP(A1141,[3]DOORSCRIEFT!$A$2:$G$6834,7,FALSE),"")</f>
        <v/>
      </c>
      <c r="G1141" s="315"/>
    </row>
    <row r="1142" spans="1:7" x14ac:dyDescent="0.25">
      <c r="A1142" s="342" t="str">
        <f t="shared" si="36"/>
        <v>II.2.8.0142</v>
      </c>
      <c r="B1142" s="342">
        <v>42</v>
      </c>
      <c r="C1142" s="339" t="str">
        <f>IFERROR(VLOOKUP(A1142,[3]DOORSCRIEFT!$A$2:$G$6834,2,FALSE),"")</f>
        <v/>
      </c>
      <c r="D1142" s="481" t="str">
        <f>IFERROR(VLOOKUP(A1142,[3]DOORSCRIEFT!$A$2:$G$6834,3,FALSE),"")</f>
        <v/>
      </c>
      <c r="E1142" s="480" t="str">
        <f>IFERROR(VLOOKUP(A1142,[3]DOORSCRIEFT!$A$2:$G$6834,4,FALSE),"")</f>
        <v/>
      </c>
      <c r="F1142" s="405" t="str">
        <f>IFERROR(VLOOKUP(A1142,[3]DOORSCRIEFT!$A$2:$G$6834,7,FALSE),"")</f>
        <v/>
      </c>
      <c r="G1142" s="315"/>
    </row>
    <row r="1143" spans="1:7" x14ac:dyDescent="0.25">
      <c r="A1143" s="342" t="str">
        <f t="shared" si="36"/>
        <v>II.2.8.0143</v>
      </c>
      <c r="B1143" s="321">
        <v>43</v>
      </c>
      <c r="C1143" s="339" t="str">
        <f>IFERROR(VLOOKUP(A1143,[3]DOORSCRIEFT!$A$2:$G$6834,2,FALSE),"")</f>
        <v/>
      </c>
      <c r="D1143" s="481" t="str">
        <f>IFERROR(VLOOKUP(A1143,[3]DOORSCRIEFT!$A$2:$G$6834,3,FALSE),"")</f>
        <v/>
      </c>
      <c r="E1143" s="480" t="str">
        <f>IFERROR(VLOOKUP(A1143,[3]DOORSCRIEFT!$A$2:$G$6834,4,FALSE),"")</f>
        <v/>
      </c>
      <c r="F1143" s="405" t="str">
        <f>IFERROR(VLOOKUP(A1143,[3]DOORSCRIEFT!$A$2:$G$6834,7,FALSE),"")</f>
        <v/>
      </c>
      <c r="G1143" s="315"/>
    </row>
    <row r="1144" spans="1:7" x14ac:dyDescent="0.25">
      <c r="A1144" s="342" t="str">
        <f t="shared" si="36"/>
        <v>II.2.8.0144</v>
      </c>
      <c r="B1144" s="342">
        <v>44</v>
      </c>
      <c r="C1144" s="339" t="str">
        <f>IFERROR(VLOOKUP(A1144,[3]DOORSCRIEFT!$A$2:$G$6834,2,FALSE),"")</f>
        <v/>
      </c>
      <c r="D1144" s="481" t="str">
        <f>IFERROR(VLOOKUP(A1144,[3]DOORSCRIEFT!$A$2:$G$6834,3,FALSE),"")</f>
        <v/>
      </c>
      <c r="E1144" s="480" t="str">
        <f>IFERROR(VLOOKUP(A1144,[3]DOORSCRIEFT!$A$2:$G$6834,4,FALSE),"")</f>
        <v/>
      </c>
      <c r="F1144" s="405" t="str">
        <f>IFERROR(VLOOKUP(A1144,[3]DOORSCRIEFT!$A$2:$G$6834,7,FALSE),"")</f>
        <v/>
      </c>
      <c r="G1144" s="315"/>
    </row>
    <row r="1145" spans="1:7" x14ac:dyDescent="0.25">
      <c r="A1145" s="342" t="str">
        <f t="shared" si="36"/>
        <v>II.2.8.0145</v>
      </c>
      <c r="B1145" s="321">
        <v>45</v>
      </c>
      <c r="C1145" s="339" t="str">
        <f>IFERROR(VLOOKUP(A1145,[3]DOORSCRIEFT!$A$2:$G$6834,2,FALSE),"")</f>
        <v/>
      </c>
      <c r="D1145" s="481" t="str">
        <f>IFERROR(VLOOKUP(A1145,[3]DOORSCRIEFT!$A$2:$G$6834,3,FALSE),"")</f>
        <v/>
      </c>
      <c r="E1145" s="480" t="str">
        <f>IFERROR(VLOOKUP(A1145,[3]DOORSCRIEFT!$A$2:$G$6834,4,FALSE),"")</f>
        <v/>
      </c>
      <c r="F1145" s="405" t="str">
        <f>IFERROR(VLOOKUP(A1145,[3]DOORSCRIEFT!$A$2:$G$6834,7,FALSE),"")</f>
        <v/>
      </c>
      <c r="G1145" s="315"/>
    </row>
    <row r="1146" spans="1:7" x14ac:dyDescent="0.25">
      <c r="A1146" s="342" t="str">
        <f t="shared" si="36"/>
        <v>II.2.8.0146</v>
      </c>
      <c r="B1146" s="342">
        <v>46</v>
      </c>
      <c r="C1146" s="339" t="str">
        <f>IFERROR(VLOOKUP(A1146,[3]DOORSCRIEFT!$A$2:$G$6834,2,FALSE),"")</f>
        <v/>
      </c>
      <c r="D1146" s="481" t="str">
        <f>IFERROR(VLOOKUP(A1146,[3]DOORSCRIEFT!$A$2:$G$6834,3,FALSE),"")</f>
        <v/>
      </c>
      <c r="E1146" s="480" t="str">
        <f>IFERROR(VLOOKUP(A1146,[3]DOORSCRIEFT!$A$2:$G$6834,4,FALSE),"")</f>
        <v/>
      </c>
      <c r="F1146" s="405" t="str">
        <f>IFERROR(VLOOKUP(A1146,[3]DOORSCRIEFT!$A$2:$G$6834,7,FALSE),"")</f>
        <v/>
      </c>
      <c r="G1146" s="315"/>
    </row>
    <row r="1147" spans="1:7" x14ac:dyDescent="0.25">
      <c r="A1147" s="342" t="str">
        <f t="shared" si="36"/>
        <v>II.2.8.0147</v>
      </c>
      <c r="B1147" s="321">
        <v>47</v>
      </c>
      <c r="C1147" s="339" t="str">
        <f>IFERROR(VLOOKUP(A1147,[3]DOORSCRIEFT!$A$2:$G$6834,2,FALSE),"")</f>
        <v/>
      </c>
      <c r="D1147" s="481" t="str">
        <f>IFERROR(VLOOKUP(A1147,[3]DOORSCRIEFT!$A$2:$G$6834,3,FALSE),"")</f>
        <v/>
      </c>
      <c r="E1147" s="480" t="str">
        <f>IFERROR(VLOOKUP(A1147,[3]DOORSCRIEFT!$A$2:$G$6834,4,FALSE),"")</f>
        <v/>
      </c>
      <c r="F1147" s="405" t="str">
        <f>IFERROR(VLOOKUP(A1147,[3]DOORSCRIEFT!$A$2:$G$6834,7,FALSE),"")</f>
        <v/>
      </c>
      <c r="G1147" s="315"/>
    </row>
    <row r="1148" spans="1:7" x14ac:dyDescent="0.25">
      <c r="A1148" s="342" t="str">
        <f t="shared" si="36"/>
        <v>II.2.8.0148</v>
      </c>
      <c r="B1148" s="342">
        <v>48</v>
      </c>
      <c r="C1148" s="339" t="str">
        <f>IFERROR(VLOOKUP(A1148,[3]DOORSCRIEFT!$A$2:$G$6834,2,FALSE),"")</f>
        <v/>
      </c>
      <c r="D1148" s="481" t="str">
        <f>IFERROR(VLOOKUP(A1148,[3]DOORSCRIEFT!$A$2:$G$6834,3,FALSE),"")</f>
        <v/>
      </c>
      <c r="E1148" s="480" t="str">
        <f>IFERROR(VLOOKUP(A1148,[3]DOORSCRIEFT!$A$2:$G$6834,4,FALSE),"")</f>
        <v/>
      </c>
      <c r="F1148" s="405" t="str">
        <f>IFERROR(VLOOKUP(A1148,[3]DOORSCRIEFT!$A$2:$G$6834,7,FALSE),"")</f>
        <v/>
      </c>
      <c r="G1148" s="315"/>
    </row>
    <row r="1149" spans="1:7" x14ac:dyDescent="0.25">
      <c r="A1149" s="342" t="str">
        <f t="shared" si="36"/>
        <v>II.2.8.0149</v>
      </c>
      <c r="B1149" s="321">
        <v>49</v>
      </c>
      <c r="C1149" s="339" t="str">
        <f>IFERROR(VLOOKUP(A1149,[3]DOORSCRIEFT!$A$2:$G$6834,2,FALSE),"")</f>
        <v/>
      </c>
      <c r="D1149" s="481" t="str">
        <f>IFERROR(VLOOKUP(A1149,[3]DOORSCRIEFT!$A$2:$G$6834,3,FALSE),"")</f>
        <v/>
      </c>
      <c r="E1149" s="480" t="str">
        <f>IFERROR(VLOOKUP(A1149,[3]DOORSCRIEFT!$A$2:$G$6834,4,FALSE),"")</f>
        <v/>
      </c>
      <c r="F1149" s="405" t="str">
        <f>IFERROR(VLOOKUP(A1149,[3]DOORSCRIEFT!$A$2:$G$6834,7,FALSE),"")</f>
        <v/>
      </c>
      <c r="G1149" s="315"/>
    </row>
    <row r="1150" spans="1:7" x14ac:dyDescent="0.25">
      <c r="A1150" s="342" t="str">
        <f t="shared" si="36"/>
        <v>II.2.8.0150</v>
      </c>
      <c r="B1150" s="342">
        <v>50</v>
      </c>
      <c r="C1150" s="339" t="str">
        <f>IFERROR(VLOOKUP(A1150,[3]DOORSCRIEFT!$A$2:$G$6834,2,FALSE),"")</f>
        <v/>
      </c>
      <c r="D1150" s="481" t="str">
        <f>IFERROR(VLOOKUP(A1150,[3]DOORSCRIEFT!$A$2:$G$6834,3,FALSE),"")</f>
        <v/>
      </c>
      <c r="E1150" s="480" t="str">
        <f>IFERROR(VLOOKUP(A1150,[3]DOORSCRIEFT!$A$2:$G$6834,4,FALSE),"")</f>
        <v/>
      </c>
      <c r="F1150" s="405" t="str">
        <f>IFERROR(VLOOKUP(A1150,[3]DOORSCRIEFT!$A$2:$G$6834,7,FALSE),"")</f>
        <v/>
      </c>
      <c r="G1150" s="315"/>
    </row>
    <row r="1151" spans="1:7" x14ac:dyDescent="0.25">
      <c r="A1151" s="342" t="str">
        <f t="shared" si="36"/>
        <v>II.2.8.0151</v>
      </c>
      <c r="B1151" s="321">
        <v>51</v>
      </c>
      <c r="C1151" s="339" t="str">
        <f>IFERROR(VLOOKUP(A1151,[3]DOORSCRIEFT!$A$2:$G$6834,2,FALSE),"")</f>
        <v/>
      </c>
      <c r="D1151" s="481" t="str">
        <f>IFERROR(VLOOKUP(A1151,[3]DOORSCRIEFT!$A$2:$G$6834,3,FALSE),"")</f>
        <v/>
      </c>
      <c r="E1151" s="480" t="str">
        <f>IFERROR(VLOOKUP(A1151,[3]DOORSCRIEFT!$A$2:$G$6834,4,FALSE),"")</f>
        <v/>
      </c>
      <c r="F1151" s="405" t="str">
        <f>IFERROR(VLOOKUP(A1151,[3]DOORSCRIEFT!$A$2:$G$6834,7,FALSE),"")</f>
        <v/>
      </c>
      <c r="G1151" s="315"/>
    </row>
    <row r="1152" spans="1:7" x14ac:dyDescent="0.25">
      <c r="A1152" s="342" t="str">
        <f t="shared" si="36"/>
        <v>II.2.8.0152</v>
      </c>
      <c r="B1152" s="342">
        <v>52</v>
      </c>
      <c r="C1152" s="339" t="str">
        <f>IFERROR(VLOOKUP(A1152,[3]DOORSCRIEFT!$A$2:$G$6834,2,FALSE),"")</f>
        <v/>
      </c>
      <c r="D1152" s="481" t="str">
        <f>IFERROR(VLOOKUP(A1152,[3]DOORSCRIEFT!$A$2:$G$6834,3,FALSE),"")</f>
        <v/>
      </c>
      <c r="E1152" s="480" t="str">
        <f>IFERROR(VLOOKUP(A1152,[3]DOORSCRIEFT!$A$2:$G$6834,4,FALSE),"")</f>
        <v/>
      </c>
      <c r="F1152" s="405" t="str">
        <f>IFERROR(VLOOKUP(A1152,[3]DOORSCRIEFT!$A$2:$G$6834,7,FALSE),"")</f>
        <v/>
      </c>
      <c r="G1152" s="315"/>
    </row>
    <row r="1153" spans="1:7" x14ac:dyDescent="0.25">
      <c r="A1153" s="342" t="str">
        <f t="shared" si="36"/>
        <v>II.2.8.0153</v>
      </c>
      <c r="B1153" s="321">
        <v>53</v>
      </c>
      <c r="C1153" s="339" t="str">
        <f>IFERROR(VLOOKUP(A1153,[3]DOORSCRIEFT!$A$2:$G$6834,2,FALSE),"")</f>
        <v/>
      </c>
      <c r="D1153" s="481" t="str">
        <f>IFERROR(VLOOKUP(A1153,[3]DOORSCRIEFT!$A$2:$G$6834,3,FALSE),"")</f>
        <v/>
      </c>
      <c r="E1153" s="480" t="str">
        <f>IFERROR(VLOOKUP(A1153,[3]DOORSCRIEFT!$A$2:$G$6834,4,FALSE),"")</f>
        <v/>
      </c>
      <c r="F1153" s="405" t="str">
        <f>IFERROR(VLOOKUP(A1153,[3]DOORSCRIEFT!$A$2:$G$6834,7,FALSE),"")</f>
        <v/>
      </c>
      <c r="G1153" s="315"/>
    </row>
    <row r="1154" spans="1:7" x14ac:dyDescent="0.25">
      <c r="A1154" s="342" t="str">
        <f t="shared" si="36"/>
        <v>II.2.8.0154</v>
      </c>
      <c r="B1154" s="342">
        <v>54</v>
      </c>
      <c r="C1154" s="339" t="str">
        <f>IFERROR(VLOOKUP(A1154,[3]DOORSCRIEFT!$A$2:$G$6834,2,FALSE),"")</f>
        <v/>
      </c>
      <c r="D1154" s="481" t="str">
        <f>IFERROR(VLOOKUP(A1154,[3]DOORSCRIEFT!$A$2:$G$6834,3,FALSE),"")</f>
        <v/>
      </c>
      <c r="E1154" s="480" t="str">
        <f>IFERROR(VLOOKUP(A1154,[3]DOORSCRIEFT!$A$2:$G$6834,4,FALSE),"")</f>
        <v/>
      </c>
      <c r="F1154" s="405" t="str">
        <f>IFERROR(VLOOKUP(A1154,[3]DOORSCRIEFT!$A$2:$G$6834,7,FALSE),"")</f>
        <v/>
      </c>
      <c r="G1154" s="315"/>
    </row>
    <row r="1155" spans="1:7" x14ac:dyDescent="0.25">
      <c r="A1155" s="342" t="str">
        <f t="shared" si="36"/>
        <v>II.2.8.0155</v>
      </c>
      <c r="B1155" s="321">
        <v>55</v>
      </c>
      <c r="C1155" s="339" t="str">
        <f>IFERROR(VLOOKUP(A1155,[3]DOORSCRIEFT!$A$2:$G$6834,2,FALSE),"")</f>
        <v/>
      </c>
      <c r="D1155" s="481" t="str">
        <f>IFERROR(VLOOKUP(A1155,[3]DOORSCRIEFT!$A$2:$G$6834,3,FALSE),"")</f>
        <v/>
      </c>
      <c r="E1155" s="480" t="str">
        <f>IFERROR(VLOOKUP(A1155,[3]DOORSCRIEFT!$A$2:$G$6834,4,FALSE),"")</f>
        <v/>
      </c>
      <c r="F1155" s="405" t="str">
        <f>IFERROR(VLOOKUP(A1155,[3]DOORSCRIEFT!$A$2:$G$6834,7,FALSE),"")</f>
        <v/>
      </c>
      <c r="G1155" s="315"/>
    </row>
    <row r="1156" spans="1:7" x14ac:dyDescent="0.25">
      <c r="A1156" s="342" t="str">
        <f t="shared" si="36"/>
        <v>II.2.8.0156</v>
      </c>
      <c r="B1156" s="342">
        <v>56</v>
      </c>
      <c r="C1156" s="339" t="str">
        <f>IFERROR(VLOOKUP(A1156,[3]DOORSCRIEFT!$A$2:$G$6834,2,FALSE),"")</f>
        <v/>
      </c>
      <c r="D1156" s="481" t="str">
        <f>IFERROR(VLOOKUP(A1156,[3]DOORSCRIEFT!$A$2:$G$6834,3,FALSE),"")</f>
        <v/>
      </c>
      <c r="E1156" s="480" t="str">
        <f>IFERROR(VLOOKUP(A1156,[3]DOORSCRIEFT!$A$2:$G$6834,4,FALSE),"")</f>
        <v/>
      </c>
      <c r="F1156" s="405" t="str">
        <f>IFERROR(VLOOKUP(A1156,[3]DOORSCRIEFT!$A$2:$G$6834,7,FALSE),"")</f>
        <v/>
      </c>
      <c r="G1156" s="315"/>
    </row>
    <row r="1157" spans="1:7" x14ac:dyDescent="0.25">
      <c r="A1157" s="342" t="str">
        <f t="shared" si="36"/>
        <v>II.2.8.0157</v>
      </c>
      <c r="B1157" s="321">
        <v>57</v>
      </c>
      <c r="C1157" s="339" t="str">
        <f>IFERROR(VLOOKUP(A1157,[3]DOORSCRIEFT!$A$2:$G$6834,2,FALSE),"")</f>
        <v/>
      </c>
      <c r="D1157" s="481" t="str">
        <f>IFERROR(VLOOKUP(A1157,[3]DOORSCRIEFT!$A$2:$G$6834,3,FALSE),"")</f>
        <v/>
      </c>
      <c r="E1157" s="480" t="str">
        <f>IFERROR(VLOOKUP(A1157,[3]DOORSCRIEFT!$A$2:$G$6834,4,FALSE),"")</f>
        <v/>
      </c>
      <c r="F1157" s="405" t="str">
        <f>IFERROR(VLOOKUP(A1157,[3]DOORSCRIEFT!$A$2:$G$6834,7,FALSE),"")</f>
        <v/>
      </c>
      <c r="G1157" s="315"/>
    </row>
    <row r="1158" spans="1:7" x14ac:dyDescent="0.25">
      <c r="A1158" s="342" t="str">
        <f t="shared" si="36"/>
        <v>II.2.8.0158</v>
      </c>
      <c r="B1158" s="342">
        <v>58</v>
      </c>
      <c r="C1158" s="339" t="str">
        <f>IFERROR(VLOOKUP(A1158,[3]DOORSCRIEFT!$A$2:$G$6834,2,FALSE),"")</f>
        <v/>
      </c>
      <c r="D1158" s="481" t="str">
        <f>IFERROR(VLOOKUP(A1158,[3]DOORSCRIEFT!$A$2:$G$6834,3,FALSE),"")</f>
        <v/>
      </c>
      <c r="E1158" s="480" t="str">
        <f>IFERROR(VLOOKUP(A1158,[3]DOORSCRIEFT!$A$2:$G$6834,4,FALSE),"")</f>
        <v/>
      </c>
      <c r="F1158" s="405" t="str">
        <f>IFERROR(VLOOKUP(A1158,[3]DOORSCRIEFT!$A$2:$G$6834,7,FALSE),"")</f>
        <v/>
      </c>
      <c r="G1158" s="315"/>
    </row>
    <row r="1159" spans="1:7" x14ac:dyDescent="0.25">
      <c r="A1159" s="342" t="str">
        <f t="shared" si="36"/>
        <v>II.2.8.0159</v>
      </c>
      <c r="B1159" s="321">
        <v>59</v>
      </c>
      <c r="C1159" s="339" t="str">
        <f>IFERROR(VLOOKUP(A1159,[3]DOORSCRIEFT!$A$2:$G$6834,2,FALSE),"")</f>
        <v/>
      </c>
      <c r="D1159" s="481" t="str">
        <f>IFERROR(VLOOKUP(A1159,[3]DOORSCRIEFT!$A$2:$G$6834,3,FALSE),"")</f>
        <v/>
      </c>
      <c r="E1159" s="480" t="str">
        <f>IFERROR(VLOOKUP(A1159,[3]DOORSCRIEFT!$A$2:$G$6834,4,FALSE),"")</f>
        <v/>
      </c>
      <c r="F1159" s="405" t="str">
        <f>IFERROR(VLOOKUP(A1159,[3]DOORSCRIEFT!$A$2:$G$6834,7,FALSE),"")</f>
        <v/>
      </c>
      <c r="G1159" s="315"/>
    </row>
    <row r="1160" spans="1:7" x14ac:dyDescent="0.25">
      <c r="A1160" s="342" t="str">
        <f t="shared" si="36"/>
        <v>II.2.8.0160</v>
      </c>
      <c r="B1160" s="342">
        <v>60</v>
      </c>
      <c r="C1160" s="339" t="str">
        <f>IFERROR(VLOOKUP(A1160,[3]DOORSCRIEFT!$A$2:$G$6834,2,FALSE),"")</f>
        <v/>
      </c>
      <c r="D1160" s="481" t="str">
        <f>IFERROR(VLOOKUP(A1160,[3]DOORSCRIEFT!$A$2:$G$6834,3,FALSE),"")</f>
        <v/>
      </c>
      <c r="E1160" s="480" t="str">
        <f>IFERROR(VLOOKUP(A1160,[3]DOORSCRIEFT!$A$2:$G$6834,4,FALSE),"")</f>
        <v/>
      </c>
      <c r="F1160" s="405" t="str">
        <f>IFERROR(VLOOKUP(A1160,[3]DOORSCRIEFT!$A$2:$G$6834,7,FALSE),"")</f>
        <v/>
      </c>
      <c r="G1160" s="315"/>
    </row>
    <row r="1161" spans="1:7" x14ac:dyDescent="0.25">
      <c r="A1161" s="342" t="str">
        <f t="shared" si="36"/>
        <v>II.2.8.0161</v>
      </c>
      <c r="B1161" s="321">
        <v>61</v>
      </c>
      <c r="C1161" s="339" t="str">
        <f>IFERROR(VLOOKUP(A1161,[3]DOORSCRIEFT!$A$2:$G$6834,2,FALSE),"")</f>
        <v/>
      </c>
      <c r="D1161" s="481" t="str">
        <f>IFERROR(VLOOKUP(A1161,[3]DOORSCRIEFT!$A$2:$G$6834,3,FALSE),"")</f>
        <v/>
      </c>
      <c r="E1161" s="480" t="str">
        <f>IFERROR(VLOOKUP(A1161,[3]DOORSCRIEFT!$A$2:$G$6834,4,FALSE),"")</f>
        <v/>
      </c>
      <c r="F1161" s="405" t="str">
        <f>IFERROR(VLOOKUP(A1161,[3]DOORSCRIEFT!$A$2:$G$6834,7,FALSE),"")</f>
        <v/>
      </c>
      <c r="G1161" s="315"/>
    </row>
    <row r="1162" spans="1:7" x14ac:dyDescent="0.25">
      <c r="A1162" s="342" t="str">
        <f t="shared" si="36"/>
        <v>II.2.8.0162</v>
      </c>
      <c r="B1162" s="342">
        <v>62</v>
      </c>
      <c r="C1162" s="339" t="str">
        <f>IFERROR(VLOOKUP(A1162,[3]DOORSCRIEFT!$A$2:$G$6834,2,FALSE),"")</f>
        <v/>
      </c>
      <c r="D1162" s="481" t="str">
        <f>IFERROR(VLOOKUP(A1162,[3]DOORSCRIEFT!$A$2:$G$6834,3,FALSE),"")</f>
        <v/>
      </c>
      <c r="E1162" s="480" t="str">
        <f>IFERROR(VLOOKUP(A1162,[3]DOORSCRIEFT!$A$2:$G$6834,4,FALSE),"")</f>
        <v/>
      </c>
      <c r="F1162" s="405" t="str">
        <f>IFERROR(VLOOKUP(A1162,[3]DOORSCRIEFT!$A$2:$G$6834,7,FALSE),"")</f>
        <v/>
      </c>
      <c r="G1162" s="315"/>
    </row>
    <row r="1163" spans="1:7" x14ac:dyDescent="0.25">
      <c r="A1163" s="342" t="str">
        <f t="shared" si="36"/>
        <v>II.2.8.0163</v>
      </c>
      <c r="B1163" s="321">
        <v>63</v>
      </c>
      <c r="C1163" s="339" t="str">
        <f>IFERROR(VLOOKUP(A1163,[3]DOORSCRIEFT!$A$2:$G$6834,2,FALSE),"")</f>
        <v/>
      </c>
      <c r="D1163" s="481" t="str">
        <f>IFERROR(VLOOKUP(A1163,[3]DOORSCRIEFT!$A$2:$G$6834,3,FALSE),"")</f>
        <v/>
      </c>
      <c r="E1163" s="480" t="str">
        <f>IFERROR(VLOOKUP(A1163,[3]DOORSCRIEFT!$A$2:$G$6834,4,FALSE),"")</f>
        <v/>
      </c>
      <c r="F1163" s="405" t="str">
        <f>IFERROR(VLOOKUP(A1163,[3]DOORSCRIEFT!$A$2:$G$6834,7,FALSE),"")</f>
        <v/>
      </c>
      <c r="G1163" s="315"/>
    </row>
    <row r="1164" spans="1:7" ht="15.75" thickBot="1" x14ac:dyDescent="0.3">
      <c r="A1164" s="342" t="str">
        <f t="shared" si="36"/>
        <v>II.2.8.0164</v>
      </c>
      <c r="B1164" s="342">
        <v>64</v>
      </c>
      <c r="C1164" s="339" t="str">
        <f>IFERROR(VLOOKUP(A1164,[3]DOORSCRIEFT!$A$2:$G$6834,2,FALSE),"")</f>
        <v/>
      </c>
      <c r="D1164" s="481" t="str">
        <f>IFERROR(VLOOKUP(A1164,[3]DOORSCRIEFT!$A$2:$G$6834,3,FALSE),"")</f>
        <v/>
      </c>
      <c r="E1164" s="480" t="str">
        <f>IFERROR(VLOOKUP(A1164,[3]DOORSCRIEFT!$A$2:$G$6834,4,FALSE),"")</f>
        <v/>
      </c>
      <c r="F1164" s="405" t="str">
        <f>IFERROR(VLOOKUP(A1164,[3]DOORSCRIEFT!$A$2:$G$6834,7,FALSE),"")</f>
        <v/>
      </c>
      <c r="G1164" s="315"/>
    </row>
    <row r="1165" spans="1:7" ht="15.75" thickBot="1" x14ac:dyDescent="0.3">
      <c r="A1165" s="341"/>
      <c r="B1165" s="340"/>
      <c r="C1165" s="336"/>
      <c r="D1165" s="486"/>
      <c r="E1165" s="340" t="s">
        <v>644</v>
      </c>
      <c r="F1165" s="310">
        <f>SUM(F1101:F1130)</f>
        <v>1300000</v>
      </c>
      <c r="G1165" s="309">
        <f>SUM(G1101:G1130)</f>
        <v>0</v>
      </c>
    </row>
    <row r="1166" spans="1:7" x14ac:dyDescent="0.25">
      <c r="C1166" s="335"/>
      <c r="D1166" s="485"/>
    </row>
    <row r="1167" spans="1:7" x14ac:dyDescent="0.25">
      <c r="C1167" s="335"/>
      <c r="D1167" s="485"/>
    </row>
    <row r="1168" spans="1:7" ht="15.75" x14ac:dyDescent="0.25">
      <c r="C1168" s="334" t="s">
        <v>663</v>
      </c>
      <c r="D1168" s="484"/>
      <c r="E1168" s="333"/>
      <c r="F1168" s="327" t="s">
        <v>607</v>
      </c>
      <c r="G1168" s="327" t="s">
        <v>183</v>
      </c>
    </row>
    <row r="1169" spans="1:7" ht="15.75" x14ac:dyDescent="0.25">
      <c r="C1169" s="334"/>
      <c r="D1169" s="484"/>
      <c r="E1169" s="333"/>
      <c r="F1169" s="327" t="s">
        <v>601</v>
      </c>
      <c r="G1169" s="327" t="s">
        <v>182</v>
      </c>
    </row>
    <row r="1170" spans="1:7" x14ac:dyDescent="0.25">
      <c r="C1170" s="330"/>
      <c r="D1170" s="482"/>
      <c r="E1170" s="329"/>
      <c r="F1170" s="327" t="s">
        <v>651</v>
      </c>
      <c r="G1170" s="331">
        <f>[2]Sheet1!$D$308</f>
        <v>2000000</v>
      </c>
    </row>
    <row r="1171" spans="1:7" ht="15.75" thickBot="1" x14ac:dyDescent="0.3">
      <c r="C1171" s="330"/>
      <c r="D1171" s="482"/>
      <c r="E1171" s="329"/>
      <c r="F1171" s="327" t="s">
        <v>650</v>
      </c>
      <c r="G1171" s="326">
        <f>+F1190-G1170</f>
        <v>820000</v>
      </c>
    </row>
    <row r="1172" spans="1:7" x14ac:dyDescent="0.25">
      <c r="A1172" s="571" t="s">
        <v>655</v>
      </c>
      <c r="B1172" s="573" t="s">
        <v>606</v>
      </c>
      <c r="C1172" s="588" t="s">
        <v>649</v>
      </c>
      <c r="D1172" s="599" t="s">
        <v>648</v>
      </c>
      <c r="E1172" s="577" t="s">
        <v>647</v>
      </c>
      <c r="F1172" s="577" t="s">
        <v>646</v>
      </c>
      <c r="G1172" s="580" t="s">
        <v>645</v>
      </c>
    </row>
    <row r="1173" spans="1:7" ht="15.75" thickBot="1" x14ac:dyDescent="0.3">
      <c r="A1173" s="572"/>
      <c r="B1173" s="574"/>
      <c r="C1173" s="589"/>
      <c r="D1173" s="600"/>
      <c r="E1173" s="578"/>
      <c r="F1173" s="578"/>
      <c r="G1173" s="581"/>
    </row>
    <row r="1174" spans="1:7" ht="15.75" thickBot="1" x14ac:dyDescent="0.3">
      <c r="A1174" s="425">
        <v>1</v>
      </c>
      <c r="B1174" s="425">
        <v>2</v>
      </c>
      <c r="C1174" s="425">
        <v>3</v>
      </c>
      <c r="D1174" s="425">
        <v>4</v>
      </c>
      <c r="E1174" s="425">
        <v>5</v>
      </c>
      <c r="F1174" s="425">
        <v>6</v>
      </c>
      <c r="G1174" s="425">
        <v>7</v>
      </c>
    </row>
    <row r="1175" spans="1:7" x14ac:dyDescent="0.25">
      <c r="A1175" s="339" t="str">
        <f t="shared" ref="A1175:A1189" si="37">$G$1168&amp;B1175</f>
        <v>II.2.8.021</v>
      </c>
      <c r="B1175" s="320">
        <v>1</v>
      </c>
      <c r="C1175" s="339">
        <f>IFERROR(VLOOKUP(A1175,[3]DOORSCRIEFT!$A$2:$G$6834,2,FALSE),"")</f>
        <v>320</v>
      </c>
      <c r="D1175" s="481">
        <f>IFERROR(VLOOKUP(A1175,[3]DOORSCRIEFT!$A$2:$G$6834,3,FALSE),"")</f>
        <v>46089</v>
      </c>
      <c r="E1175" s="480" t="str">
        <f>IFERROR(VLOOKUP(A1175,[3]DOORSCRIEFT!$A$2:$G$6834,4,FALSE),"")</f>
        <v>Biaya Perjalanan Dinas 3 Pendeta ke Masohi</v>
      </c>
      <c r="F1175" s="405">
        <f>IFERROR(VLOOKUP(A1175,[3]DOORSCRIEFT!$A$2:$G$6834,7,FALSE),"")</f>
        <v>2820000</v>
      </c>
      <c r="G1175" s="322"/>
    </row>
    <row r="1176" spans="1:7" x14ac:dyDescent="0.25">
      <c r="A1176" s="321" t="str">
        <f t="shared" si="37"/>
        <v>II.2.8.022</v>
      </c>
      <c r="B1176" s="321">
        <v>2</v>
      </c>
      <c r="C1176" s="339" t="str">
        <f>IFERROR(VLOOKUP(A1176,[3]DOORSCRIEFT!$A$2:$G$6834,2,FALSE),"")</f>
        <v/>
      </c>
      <c r="D1176" s="481" t="str">
        <f>IFERROR(VLOOKUP(A1176,[3]DOORSCRIEFT!$A$2:$G$6834,3,FALSE),"")</f>
        <v/>
      </c>
      <c r="E1176" s="480" t="str">
        <f>IFERROR(VLOOKUP(A1176,[3]DOORSCRIEFT!$A$2:$G$6834,4,FALSE),"")</f>
        <v/>
      </c>
      <c r="F1176" s="405" t="str">
        <f>IFERROR(VLOOKUP(A1176,[3]DOORSCRIEFT!$A$2:$G$6834,7,FALSE),"")</f>
        <v/>
      </c>
      <c r="G1176" s="315"/>
    </row>
    <row r="1177" spans="1:7" x14ac:dyDescent="0.25">
      <c r="A1177" s="321" t="str">
        <f t="shared" si="37"/>
        <v>II.2.8.023</v>
      </c>
      <c r="B1177" s="321">
        <v>3</v>
      </c>
      <c r="C1177" s="339" t="str">
        <f>IFERROR(VLOOKUP(A1177,[3]DOORSCRIEFT!$A$2:$G$6834,2,FALSE),"")</f>
        <v/>
      </c>
      <c r="D1177" s="481" t="str">
        <f>IFERROR(VLOOKUP(A1177,[3]DOORSCRIEFT!$A$2:$G$6834,3,FALSE),"")</f>
        <v/>
      </c>
      <c r="E1177" s="480" t="str">
        <f>IFERROR(VLOOKUP(A1177,[3]DOORSCRIEFT!$A$2:$G$6834,4,FALSE),"")</f>
        <v/>
      </c>
      <c r="F1177" s="405" t="str">
        <f>IFERROR(VLOOKUP(A1177,[3]DOORSCRIEFT!$A$2:$G$6834,7,FALSE),"")</f>
        <v/>
      </c>
      <c r="G1177" s="315"/>
    </row>
    <row r="1178" spans="1:7" x14ac:dyDescent="0.25">
      <c r="A1178" s="321" t="str">
        <f t="shared" si="37"/>
        <v>II.2.8.024</v>
      </c>
      <c r="B1178" s="321">
        <v>4</v>
      </c>
      <c r="C1178" s="339" t="str">
        <f>IFERROR(VLOOKUP(A1178,[3]DOORSCRIEFT!$A$2:$G$6834,2,FALSE),"")</f>
        <v/>
      </c>
      <c r="D1178" s="481" t="str">
        <f>IFERROR(VLOOKUP(A1178,[3]DOORSCRIEFT!$A$2:$G$6834,3,FALSE),"")</f>
        <v/>
      </c>
      <c r="E1178" s="480" t="str">
        <f>IFERROR(VLOOKUP(A1178,[3]DOORSCRIEFT!$A$2:$G$6834,4,FALSE),"")</f>
        <v/>
      </c>
      <c r="F1178" s="405" t="str">
        <f>IFERROR(VLOOKUP(A1178,[3]DOORSCRIEFT!$A$2:$G$6834,7,FALSE),"")</f>
        <v/>
      </c>
      <c r="G1178" s="315"/>
    </row>
    <row r="1179" spans="1:7" x14ac:dyDescent="0.25">
      <c r="A1179" s="321" t="str">
        <f t="shared" si="37"/>
        <v>II.2.8.025</v>
      </c>
      <c r="B1179" s="321">
        <v>5</v>
      </c>
      <c r="C1179" s="339" t="str">
        <f>IFERROR(VLOOKUP(A1179,[3]DOORSCRIEFT!$A$2:$G$6834,2,FALSE),"")</f>
        <v/>
      </c>
      <c r="D1179" s="481" t="str">
        <f>IFERROR(VLOOKUP(A1179,[3]DOORSCRIEFT!$A$2:$G$6834,3,FALSE),"")</f>
        <v/>
      </c>
      <c r="E1179" s="480" t="str">
        <f>IFERROR(VLOOKUP(A1179,[3]DOORSCRIEFT!$A$2:$G$6834,4,FALSE),"")</f>
        <v/>
      </c>
      <c r="F1179" s="405" t="str">
        <f>IFERROR(VLOOKUP(A1179,[3]DOORSCRIEFT!$A$2:$G$6834,7,FALSE),"")</f>
        <v/>
      </c>
      <c r="G1179" s="315"/>
    </row>
    <row r="1180" spans="1:7" x14ac:dyDescent="0.25">
      <c r="A1180" s="321" t="str">
        <f t="shared" si="37"/>
        <v>II.2.8.026</v>
      </c>
      <c r="B1180" s="321">
        <v>6</v>
      </c>
      <c r="C1180" s="339" t="str">
        <f>IFERROR(VLOOKUP(A1180,[3]DOORSCRIEFT!$A$2:$G$6834,2,FALSE),"")</f>
        <v/>
      </c>
      <c r="D1180" s="481" t="str">
        <f>IFERROR(VLOOKUP(A1180,[3]DOORSCRIEFT!$A$2:$G$6834,3,FALSE),"")</f>
        <v/>
      </c>
      <c r="E1180" s="480" t="str">
        <f>IFERROR(VLOOKUP(A1180,[3]DOORSCRIEFT!$A$2:$G$6834,4,FALSE),"")</f>
        <v/>
      </c>
      <c r="F1180" s="405" t="str">
        <f>IFERROR(VLOOKUP(A1180,[3]DOORSCRIEFT!$A$2:$G$6834,7,FALSE),"")</f>
        <v/>
      </c>
      <c r="G1180" s="315"/>
    </row>
    <row r="1181" spans="1:7" x14ac:dyDescent="0.25">
      <c r="A1181" s="321" t="str">
        <f t="shared" si="37"/>
        <v>II.2.8.027</v>
      </c>
      <c r="B1181" s="321">
        <v>7</v>
      </c>
      <c r="C1181" s="339" t="str">
        <f>IFERROR(VLOOKUP(A1181,[3]DOORSCRIEFT!$A$2:$G$6834,2,FALSE),"")</f>
        <v/>
      </c>
      <c r="D1181" s="481" t="str">
        <f>IFERROR(VLOOKUP(A1181,[3]DOORSCRIEFT!$A$2:$G$6834,3,FALSE),"")</f>
        <v/>
      </c>
      <c r="E1181" s="480" t="str">
        <f>IFERROR(VLOOKUP(A1181,[3]DOORSCRIEFT!$A$2:$G$6834,4,FALSE),"")</f>
        <v/>
      </c>
      <c r="F1181" s="405" t="str">
        <f>IFERROR(VLOOKUP(A1181,[3]DOORSCRIEFT!$A$2:$G$6834,7,FALSE),"")</f>
        <v/>
      </c>
      <c r="G1181" s="315"/>
    </row>
    <row r="1182" spans="1:7" x14ac:dyDescent="0.25">
      <c r="A1182" s="321" t="str">
        <f t="shared" si="37"/>
        <v>II.2.8.028</v>
      </c>
      <c r="B1182" s="321">
        <v>8</v>
      </c>
      <c r="C1182" s="339" t="str">
        <f>IFERROR(VLOOKUP(A1182,[3]DOORSCRIEFT!$A$2:$G$6834,2,FALSE),"")</f>
        <v/>
      </c>
      <c r="D1182" s="481" t="str">
        <f>IFERROR(VLOOKUP(A1182,[3]DOORSCRIEFT!$A$2:$G$6834,3,FALSE),"")</f>
        <v/>
      </c>
      <c r="E1182" s="480" t="str">
        <f>IFERROR(VLOOKUP(A1182,[3]DOORSCRIEFT!$A$2:$G$6834,4,FALSE),"")</f>
        <v/>
      </c>
      <c r="F1182" s="405" t="str">
        <f>IFERROR(VLOOKUP(A1182,[3]DOORSCRIEFT!$A$2:$G$6834,7,FALSE),"")</f>
        <v/>
      </c>
      <c r="G1182" s="315"/>
    </row>
    <row r="1183" spans="1:7" x14ac:dyDescent="0.25">
      <c r="A1183" s="321" t="str">
        <f t="shared" si="37"/>
        <v>II.2.8.029</v>
      </c>
      <c r="B1183" s="321">
        <v>9</v>
      </c>
      <c r="C1183" s="339" t="str">
        <f>IFERROR(VLOOKUP(A1183,[3]DOORSCRIEFT!$A$2:$G$6834,2,FALSE),"")</f>
        <v/>
      </c>
      <c r="D1183" s="481" t="str">
        <f>IFERROR(VLOOKUP(A1183,[3]DOORSCRIEFT!$A$2:$G$6834,3,FALSE),"")</f>
        <v/>
      </c>
      <c r="E1183" s="480" t="str">
        <f>IFERROR(VLOOKUP(A1183,[3]DOORSCRIEFT!$A$2:$G$6834,4,FALSE),"")</f>
        <v/>
      </c>
      <c r="F1183" s="405" t="str">
        <f>IFERROR(VLOOKUP(A1183,[3]DOORSCRIEFT!$A$2:$G$6834,7,FALSE),"")</f>
        <v/>
      </c>
      <c r="G1183" s="315"/>
    </row>
    <row r="1184" spans="1:7" x14ac:dyDescent="0.25">
      <c r="A1184" s="321" t="str">
        <f t="shared" si="37"/>
        <v>II.2.8.0210</v>
      </c>
      <c r="B1184" s="321">
        <v>10</v>
      </c>
      <c r="C1184" s="339" t="str">
        <f>IFERROR(VLOOKUP(A1184,[3]DOORSCRIEFT!$A$2:$G$6834,2,FALSE),"")</f>
        <v/>
      </c>
      <c r="D1184" s="481" t="str">
        <f>IFERROR(VLOOKUP(A1184,[3]DOORSCRIEFT!$A$2:$G$6834,3,FALSE),"")</f>
        <v/>
      </c>
      <c r="E1184" s="480" t="str">
        <f>IFERROR(VLOOKUP(A1184,[3]DOORSCRIEFT!$A$2:$G$6834,4,FALSE),"")</f>
        <v/>
      </c>
      <c r="F1184" s="405" t="str">
        <f>IFERROR(VLOOKUP(A1184,[3]DOORSCRIEFT!$A$2:$G$6834,7,FALSE),"")</f>
        <v/>
      </c>
      <c r="G1184" s="315"/>
    </row>
    <row r="1185" spans="1:7" x14ac:dyDescent="0.25">
      <c r="A1185" s="321" t="str">
        <f t="shared" si="37"/>
        <v>II.2.8.0211</v>
      </c>
      <c r="B1185" s="321">
        <v>11</v>
      </c>
      <c r="C1185" s="339" t="str">
        <f>IFERROR(VLOOKUP(A1185,[3]DOORSCRIEFT!$A$2:$G$6834,2,FALSE),"")</f>
        <v/>
      </c>
      <c r="D1185" s="481" t="str">
        <f>IFERROR(VLOOKUP(A1185,[3]DOORSCRIEFT!$A$2:$G$6834,3,FALSE),"")</f>
        <v/>
      </c>
      <c r="E1185" s="480" t="str">
        <f>IFERROR(VLOOKUP(A1185,[3]DOORSCRIEFT!$A$2:$G$6834,4,FALSE),"")</f>
        <v/>
      </c>
      <c r="F1185" s="405" t="str">
        <f>IFERROR(VLOOKUP(A1185,[3]DOORSCRIEFT!$A$2:$G$6834,7,FALSE),"")</f>
        <v/>
      </c>
      <c r="G1185" s="315"/>
    </row>
    <row r="1186" spans="1:7" x14ac:dyDescent="0.25">
      <c r="A1186" s="321" t="str">
        <f t="shared" si="37"/>
        <v>II.2.8.0212</v>
      </c>
      <c r="B1186" s="321">
        <v>12</v>
      </c>
      <c r="C1186" s="339" t="str">
        <f>IFERROR(VLOOKUP(A1186,[3]DOORSCRIEFT!$A$2:$G$6834,2,FALSE),"")</f>
        <v/>
      </c>
      <c r="D1186" s="481" t="str">
        <f>IFERROR(VLOOKUP(A1186,[3]DOORSCRIEFT!$A$2:$G$6834,3,FALSE),"")</f>
        <v/>
      </c>
      <c r="E1186" s="480" t="str">
        <f>IFERROR(VLOOKUP(A1186,[3]DOORSCRIEFT!$A$2:$G$6834,4,FALSE),"")</f>
        <v/>
      </c>
      <c r="F1186" s="405" t="str">
        <f>IFERROR(VLOOKUP(A1186,[3]DOORSCRIEFT!$A$2:$G$6834,7,FALSE),"")</f>
        <v/>
      </c>
      <c r="G1186" s="315"/>
    </row>
    <row r="1187" spans="1:7" x14ac:dyDescent="0.25">
      <c r="A1187" s="321" t="str">
        <f t="shared" si="37"/>
        <v>II.2.8.0213</v>
      </c>
      <c r="B1187" s="321">
        <v>13</v>
      </c>
      <c r="C1187" s="339" t="str">
        <f>IFERROR(VLOOKUP(A1187,[3]DOORSCRIEFT!$A$2:$G$6834,2,FALSE),"")</f>
        <v/>
      </c>
      <c r="D1187" s="481" t="str">
        <f>IFERROR(VLOOKUP(A1187,[3]DOORSCRIEFT!$A$2:$G$6834,3,FALSE),"")</f>
        <v/>
      </c>
      <c r="E1187" s="480" t="str">
        <f>IFERROR(VLOOKUP(A1187,[3]DOORSCRIEFT!$A$2:$G$6834,4,FALSE),"")</f>
        <v/>
      </c>
      <c r="F1187" s="405" t="str">
        <f>IFERROR(VLOOKUP(A1187,[3]DOORSCRIEFT!$A$2:$G$6834,7,FALSE),"")</f>
        <v/>
      </c>
      <c r="G1187" s="315"/>
    </row>
    <row r="1188" spans="1:7" x14ac:dyDescent="0.25">
      <c r="A1188" s="321" t="str">
        <f t="shared" si="37"/>
        <v>II.2.8.0214</v>
      </c>
      <c r="B1188" s="321">
        <v>14</v>
      </c>
      <c r="C1188" s="339" t="str">
        <f>IFERROR(VLOOKUP(A1188,[3]DOORSCRIEFT!$A$2:$G$6834,2,FALSE),"")</f>
        <v/>
      </c>
      <c r="D1188" s="481" t="str">
        <f>IFERROR(VLOOKUP(A1188,[3]DOORSCRIEFT!$A$2:$G$6834,3,FALSE),"")</f>
        <v/>
      </c>
      <c r="E1188" s="480" t="str">
        <f>IFERROR(VLOOKUP(A1188,[3]DOORSCRIEFT!$A$2:$G$6834,4,FALSE),"")</f>
        <v/>
      </c>
      <c r="F1188" s="405" t="str">
        <f>IFERROR(VLOOKUP(A1188,[3]DOORSCRIEFT!$A$2:$G$6834,7,FALSE),"")</f>
        <v/>
      </c>
      <c r="G1188" s="315"/>
    </row>
    <row r="1189" spans="1:7" ht="15.75" thickBot="1" x14ac:dyDescent="0.3">
      <c r="A1189" s="342" t="str">
        <f t="shared" si="37"/>
        <v>II.2.8.0215</v>
      </c>
      <c r="B1189" s="342">
        <v>15</v>
      </c>
      <c r="C1189" s="339" t="str">
        <f>IFERROR(VLOOKUP(A1189,[3]DOORSCRIEFT!$A$2:$G$6834,2,FALSE),"")</f>
        <v/>
      </c>
      <c r="D1189" s="481" t="str">
        <f>IFERROR(VLOOKUP(A1189,[3]DOORSCRIEFT!$A$2:$G$6834,3,FALSE),"")</f>
        <v/>
      </c>
      <c r="E1189" s="480" t="str">
        <f>IFERROR(VLOOKUP(A1189,[3]DOORSCRIEFT!$A$2:$G$6834,4,FALSE),"")</f>
        <v/>
      </c>
      <c r="F1189" s="405" t="str">
        <f>IFERROR(VLOOKUP(A1189,[3]DOORSCRIEFT!$A$2:$G$6834,7,FALSE),"")</f>
        <v/>
      </c>
      <c r="G1189" s="315"/>
    </row>
    <row r="1190" spans="1:7" ht="15.75" thickBot="1" x14ac:dyDescent="0.3">
      <c r="A1190" s="341"/>
      <c r="B1190" s="340"/>
      <c r="C1190" s="336"/>
      <c r="D1190" s="486"/>
      <c r="E1190" s="340" t="s">
        <v>644</v>
      </c>
      <c r="F1190" s="310">
        <f>SUM(F1175:F1189)</f>
        <v>2820000</v>
      </c>
      <c r="G1190" s="309">
        <f>SUM(G1175:G1189)</f>
        <v>0</v>
      </c>
    </row>
    <row r="1191" spans="1:7" x14ac:dyDescent="0.25">
      <c r="C1191" s="335"/>
      <c r="D1191" s="485"/>
    </row>
    <row r="1192" spans="1:7" x14ac:dyDescent="0.25">
      <c r="C1192" s="335"/>
      <c r="D1192" s="485"/>
    </row>
    <row r="1193" spans="1:7" ht="15.75" x14ac:dyDescent="0.25">
      <c r="C1193" s="334" t="s">
        <v>663</v>
      </c>
      <c r="D1193" s="484"/>
      <c r="E1193" s="333"/>
      <c r="F1193" s="327" t="s">
        <v>607</v>
      </c>
      <c r="G1193" s="327" t="s">
        <v>181</v>
      </c>
    </row>
    <row r="1194" spans="1:7" ht="15.75" x14ac:dyDescent="0.25">
      <c r="C1194" s="334"/>
      <c r="D1194" s="484"/>
      <c r="E1194" s="333"/>
      <c r="F1194" s="327" t="s">
        <v>601</v>
      </c>
      <c r="G1194" s="327" t="s">
        <v>180</v>
      </c>
    </row>
    <row r="1195" spans="1:7" x14ac:dyDescent="0.25">
      <c r="C1195" s="330"/>
      <c r="D1195" s="482"/>
      <c r="E1195" s="329"/>
      <c r="F1195" s="327" t="s">
        <v>651</v>
      </c>
      <c r="G1195" s="331">
        <f>[2]Sheet1!$D$309</f>
        <v>0</v>
      </c>
    </row>
    <row r="1196" spans="1:7" ht="15.75" thickBot="1" x14ac:dyDescent="0.3">
      <c r="C1196" s="330"/>
      <c r="D1196" s="482"/>
      <c r="E1196" s="329"/>
      <c r="F1196" s="327" t="s">
        <v>650</v>
      </c>
      <c r="G1196" s="326">
        <f>+F1215-G1195</f>
        <v>0</v>
      </c>
    </row>
    <row r="1197" spans="1:7" x14ac:dyDescent="0.25">
      <c r="A1197" s="571" t="s">
        <v>655</v>
      </c>
      <c r="B1197" s="573" t="s">
        <v>606</v>
      </c>
      <c r="C1197" s="588" t="s">
        <v>649</v>
      </c>
      <c r="D1197" s="599" t="s">
        <v>648</v>
      </c>
      <c r="E1197" s="577" t="s">
        <v>647</v>
      </c>
      <c r="F1197" s="577" t="s">
        <v>646</v>
      </c>
      <c r="G1197" s="580" t="s">
        <v>645</v>
      </c>
    </row>
    <row r="1198" spans="1:7" ht="15.75" thickBot="1" x14ac:dyDescent="0.3">
      <c r="A1198" s="572"/>
      <c r="B1198" s="574"/>
      <c r="C1198" s="589"/>
      <c r="D1198" s="600"/>
      <c r="E1198" s="578"/>
      <c r="F1198" s="578"/>
      <c r="G1198" s="581"/>
    </row>
    <row r="1199" spans="1:7" ht="15.75" thickBot="1" x14ac:dyDescent="0.3">
      <c r="A1199" s="425">
        <v>1</v>
      </c>
      <c r="B1199" s="425">
        <v>2</v>
      </c>
      <c r="C1199" s="425">
        <v>3</v>
      </c>
      <c r="D1199" s="425">
        <v>4</v>
      </c>
      <c r="E1199" s="425">
        <v>5</v>
      </c>
      <c r="F1199" s="425">
        <v>6</v>
      </c>
      <c r="G1199" s="425">
        <v>7</v>
      </c>
    </row>
    <row r="1200" spans="1:7" x14ac:dyDescent="0.25">
      <c r="A1200" s="320" t="str">
        <f t="shared" ref="A1200:A1214" si="38">$G$1193&amp;B1200</f>
        <v>II.2.8.031</v>
      </c>
      <c r="B1200" s="320">
        <v>1</v>
      </c>
      <c r="C1200" s="339" t="str">
        <f>IFERROR(VLOOKUP(A1200,[3]DOORSCRIEFT!$A$2:$G$6834,2,FALSE),"")</f>
        <v/>
      </c>
      <c r="D1200" s="481" t="str">
        <f>IFERROR(VLOOKUP(A1200,[3]DOORSCRIEFT!$A$2:$G$6834,3,FALSE),"")</f>
        <v/>
      </c>
      <c r="E1200" s="480" t="str">
        <f>IFERROR(VLOOKUP(A1200,[3]DOORSCRIEFT!$A$2:$G$6834,4,FALSE),"")</f>
        <v/>
      </c>
      <c r="F1200" s="405" t="str">
        <f>IFERROR(VLOOKUP(A1200,[3]DOORSCRIEFT!$A$2:$G$6834,7,FALSE),"")</f>
        <v/>
      </c>
      <c r="G1200" s="322"/>
    </row>
    <row r="1201" spans="1:7" x14ac:dyDescent="0.25">
      <c r="A1201" s="321" t="str">
        <f t="shared" si="38"/>
        <v>II.2.8.032</v>
      </c>
      <c r="B1201" s="321">
        <v>2</v>
      </c>
      <c r="C1201" s="339" t="str">
        <f>IFERROR(VLOOKUP(A1201,[3]DOORSCRIEFT!$A$2:$G$6834,2,FALSE),"")</f>
        <v/>
      </c>
      <c r="D1201" s="481" t="str">
        <f>IFERROR(VLOOKUP(A1201,[3]DOORSCRIEFT!$A$2:$G$6834,3,FALSE),"")</f>
        <v/>
      </c>
      <c r="E1201" s="480" t="str">
        <f>IFERROR(VLOOKUP(A1201,[3]DOORSCRIEFT!$A$2:$G$6834,4,FALSE),"")</f>
        <v/>
      </c>
      <c r="F1201" s="405" t="str">
        <f>IFERROR(VLOOKUP(A1201,[3]DOORSCRIEFT!$A$2:$G$6834,7,FALSE),"")</f>
        <v/>
      </c>
      <c r="G1201" s="315"/>
    </row>
    <row r="1202" spans="1:7" x14ac:dyDescent="0.25">
      <c r="A1202" s="321" t="str">
        <f t="shared" si="38"/>
        <v>II.2.8.033</v>
      </c>
      <c r="B1202" s="321">
        <v>3</v>
      </c>
      <c r="C1202" s="339" t="str">
        <f>IFERROR(VLOOKUP(A1202,[3]DOORSCRIEFT!$A$2:$G$6834,2,FALSE),"")</f>
        <v/>
      </c>
      <c r="D1202" s="481" t="str">
        <f>IFERROR(VLOOKUP(A1202,[3]DOORSCRIEFT!$A$2:$G$6834,3,FALSE),"")</f>
        <v/>
      </c>
      <c r="E1202" s="480" t="str">
        <f>IFERROR(VLOOKUP(A1202,[3]DOORSCRIEFT!$A$2:$G$6834,4,FALSE),"")</f>
        <v/>
      </c>
      <c r="F1202" s="405" t="str">
        <f>IFERROR(VLOOKUP(A1202,[3]DOORSCRIEFT!$A$2:$G$6834,7,FALSE),"")</f>
        <v/>
      </c>
      <c r="G1202" s="315"/>
    </row>
    <row r="1203" spans="1:7" x14ac:dyDescent="0.25">
      <c r="A1203" s="321" t="str">
        <f t="shared" si="38"/>
        <v>II.2.8.034</v>
      </c>
      <c r="B1203" s="321">
        <v>4</v>
      </c>
      <c r="C1203" s="339" t="str">
        <f>IFERROR(VLOOKUP(A1203,[3]DOORSCRIEFT!$A$2:$G$6834,2,FALSE),"")</f>
        <v/>
      </c>
      <c r="D1203" s="481" t="str">
        <f>IFERROR(VLOOKUP(A1203,[3]DOORSCRIEFT!$A$2:$G$6834,3,FALSE),"")</f>
        <v/>
      </c>
      <c r="E1203" s="480" t="str">
        <f>IFERROR(VLOOKUP(A1203,[3]DOORSCRIEFT!$A$2:$G$6834,4,FALSE),"")</f>
        <v/>
      </c>
      <c r="F1203" s="405" t="str">
        <f>IFERROR(VLOOKUP(A1203,[3]DOORSCRIEFT!$A$2:$G$6834,7,FALSE),"")</f>
        <v/>
      </c>
      <c r="G1203" s="315"/>
    </row>
    <row r="1204" spans="1:7" x14ac:dyDescent="0.25">
      <c r="A1204" s="321" t="str">
        <f t="shared" si="38"/>
        <v>II.2.8.035</v>
      </c>
      <c r="B1204" s="321">
        <v>5</v>
      </c>
      <c r="C1204" s="339" t="str">
        <f>IFERROR(VLOOKUP(A1204,[3]DOORSCRIEFT!$A$2:$G$6834,2,FALSE),"")</f>
        <v/>
      </c>
      <c r="D1204" s="481" t="str">
        <f>IFERROR(VLOOKUP(A1204,[3]DOORSCRIEFT!$A$2:$G$6834,3,FALSE),"")</f>
        <v/>
      </c>
      <c r="E1204" s="480" t="str">
        <f>IFERROR(VLOOKUP(A1204,[3]DOORSCRIEFT!$A$2:$G$6834,4,FALSE),"")</f>
        <v/>
      </c>
      <c r="F1204" s="405" t="str">
        <f>IFERROR(VLOOKUP(A1204,[3]DOORSCRIEFT!$A$2:$G$6834,7,FALSE),"")</f>
        <v/>
      </c>
      <c r="G1204" s="315"/>
    </row>
    <row r="1205" spans="1:7" x14ac:dyDescent="0.25">
      <c r="A1205" s="321" t="str">
        <f t="shared" si="38"/>
        <v>II.2.8.036</v>
      </c>
      <c r="B1205" s="321">
        <v>6</v>
      </c>
      <c r="C1205" s="339" t="str">
        <f>IFERROR(VLOOKUP(A1205,[3]DOORSCRIEFT!$A$2:$G$6834,2,FALSE),"")</f>
        <v/>
      </c>
      <c r="D1205" s="481" t="str">
        <f>IFERROR(VLOOKUP(A1205,[3]DOORSCRIEFT!$A$2:$G$6834,3,FALSE),"")</f>
        <v/>
      </c>
      <c r="E1205" s="480" t="str">
        <f>IFERROR(VLOOKUP(A1205,[3]DOORSCRIEFT!$A$2:$G$6834,4,FALSE),"")</f>
        <v/>
      </c>
      <c r="F1205" s="405" t="str">
        <f>IFERROR(VLOOKUP(A1205,[3]DOORSCRIEFT!$A$2:$G$6834,7,FALSE),"")</f>
        <v/>
      </c>
      <c r="G1205" s="315"/>
    </row>
    <row r="1206" spans="1:7" x14ac:dyDescent="0.25">
      <c r="A1206" s="321" t="str">
        <f t="shared" si="38"/>
        <v>II.2.8.037</v>
      </c>
      <c r="B1206" s="321">
        <v>7</v>
      </c>
      <c r="C1206" s="339" t="str">
        <f>IFERROR(VLOOKUP(A1206,[3]DOORSCRIEFT!$A$2:$G$6834,2,FALSE),"")</f>
        <v/>
      </c>
      <c r="D1206" s="481" t="str">
        <f>IFERROR(VLOOKUP(A1206,[3]DOORSCRIEFT!$A$2:$G$6834,3,FALSE),"")</f>
        <v/>
      </c>
      <c r="E1206" s="480" t="str">
        <f>IFERROR(VLOOKUP(A1206,[3]DOORSCRIEFT!$A$2:$G$6834,4,FALSE),"")</f>
        <v/>
      </c>
      <c r="F1206" s="405" t="str">
        <f>IFERROR(VLOOKUP(A1206,[3]DOORSCRIEFT!$A$2:$G$6834,7,FALSE),"")</f>
        <v/>
      </c>
      <c r="G1206" s="315"/>
    </row>
    <row r="1207" spans="1:7" x14ac:dyDescent="0.25">
      <c r="A1207" s="321" t="str">
        <f t="shared" si="38"/>
        <v>II.2.8.038</v>
      </c>
      <c r="B1207" s="321">
        <v>8</v>
      </c>
      <c r="C1207" s="339" t="str">
        <f>IFERROR(VLOOKUP(A1207,[3]DOORSCRIEFT!$A$2:$G$6834,2,FALSE),"")</f>
        <v/>
      </c>
      <c r="D1207" s="481" t="str">
        <f>IFERROR(VLOOKUP(A1207,[3]DOORSCRIEFT!$A$2:$G$6834,3,FALSE),"")</f>
        <v/>
      </c>
      <c r="E1207" s="480" t="str">
        <f>IFERROR(VLOOKUP(A1207,[3]DOORSCRIEFT!$A$2:$G$6834,4,FALSE),"")</f>
        <v/>
      </c>
      <c r="F1207" s="405" t="str">
        <f>IFERROR(VLOOKUP(A1207,[3]DOORSCRIEFT!$A$2:$G$6834,7,FALSE),"")</f>
        <v/>
      </c>
      <c r="G1207" s="315"/>
    </row>
    <row r="1208" spans="1:7" x14ac:dyDescent="0.25">
      <c r="A1208" s="321" t="str">
        <f t="shared" si="38"/>
        <v>II.2.8.039</v>
      </c>
      <c r="B1208" s="321">
        <v>9</v>
      </c>
      <c r="C1208" s="339" t="str">
        <f>IFERROR(VLOOKUP(A1208,[3]DOORSCRIEFT!$A$2:$G$6834,2,FALSE),"")</f>
        <v/>
      </c>
      <c r="D1208" s="481" t="str">
        <f>IFERROR(VLOOKUP(A1208,[3]DOORSCRIEFT!$A$2:$G$6834,3,FALSE),"")</f>
        <v/>
      </c>
      <c r="E1208" s="480" t="str">
        <f>IFERROR(VLOOKUP(A1208,[3]DOORSCRIEFT!$A$2:$G$6834,4,FALSE),"")</f>
        <v/>
      </c>
      <c r="F1208" s="405" t="str">
        <f>IFERROR(VLOOKUP(A1208,[3]DOORSCRIEFT!$A$2:$G$6834,7,FALSE),"")</f>
        <v/>
      </c>
      <c r="G1208" s="315"/>
    </row>
    <row r="1209" spans="1:7" x14ac:dyDescent="0.25">
      <c r="A1209" s="321" t="str">
        <f t="shared" si="38"/>
        <v>II.2.8.0310</v>
      </c>
      <c r="B1209" s="321">
        <v>10</v>
      </c>
      <c r="C1209" s="339" t="str">
        <f>IFERROR(VLOOKUP(A1209,[3]DOORSCRIEFT!$A$2:$G$6834,2,FALSE),"")</f>
        <v/>
      </c>
      <c r="D1209" s="481" t="str">
        <f>IFERROR(VLOOKUP(A1209,[3]DOORSCRIEFT!$A$2:$G$6834,3,FALSE),"")</f>
        <v/>
      </c>
      <c r="E1209" s="480" t="str">
        <f>IFERROR(VLOOKUP(A1209,[3]DOORSCRIEFT!$A$2:$G$6834,4,FALSE),"")</f>
        <v/>
      </c>
      <c r="F1209" s="405" t="str">
        <f>IFERROR(VLOOKUP(A1209,[3]DOORSCRIEFT!$A$2:$G$6834,7,FALSE),"")</f>
        <v/>
      </c>
      <c r="G1209" s="315"/>
    </row>
    <row r="1210" spans="1:7" x14ac:dyDescent="0.25">
      <c r="A1210" s="321" t="str">
        <f t="shared" si="38"/>
        <v>II.2.8.0311</v>
      </c>
      <c r="B1210" s="321">
        <v>11</v>
      </c>
      <c r="C1210" s="339" t="str">
        <f>IFERROR(VLOOKUP(A1210,[3]DOORSCRIEFT!$A$2:$G$6834,2,FALSE),"")</f>
        <v/>
      </c>
      <c r="D1210" s="481" t="str">
        <f>IFERROR(VLOOKUP(A1210,[3]DOORSCRIEFT!$A$2:$G$6834,3,FALSE),"")</f>
        <v/>
      </c>
      <c r="E1210" s="480" t="str">
        <f>IFERROR(VLOOKUP(A1210,[3]DOORSCRIEFT!$A$2:$G$6834,4,FALSE),"")</f>
        <v/>
      </c>
      <c r="F1210" s="405" t="str">
        <f>IFERROR(VLOOKUP(A1210,[3]DOORSCRIEFT!$A$2:$G$6834,7,FALSE),"")</f>
        <v/>
      </c>
      <c r="G1210" s="315"/>
    </row>
    <row r="1211" spans="1:7" x14ac:dyDescent="0.25">
      <c r="A1211" s="321" t="str">
        <f t="shared" si="38"/>
        <v>II.2.8.0312</v>
      </c>
      <c r="B1211" s="321">
        <v>12</v>
      </c>
      <c r="C1211" s="339" t="str">
        <f>IFERROR(VLOOKUP(A1211,[3]DOORSCRIEFT!$A$2:$G$6834,2,FALSE),"")</f>
        <v/>
      </c>
      <c r="D1211" s="481" t="str">
        <f>IFERROR(VLOOKUP(A1211,[3]DOORSCRIEFT!$A$2:$G$6834,3,FALSE),"")</f>
        <v/>
      </c>
      <c r="E1211" s="480" t="str">
        <f>IFERROR(VLOOKUP(A1211,[3]DOORSCRIEFT!$A$2:$G$6834,4,FALSE),"")</f>
        <v/>
      </c>
      <c r="F1211" s="405" t="str">
        <f>IFERROR(VLOOKUP(A1211,[3]DOORSCRIEFT!$A$2:$G$6834,7,FALSE),"")</f>
        <v/>
      </c>
      <c r="G1211" s="315"/>
    </row>
    <row r="1212" spans="1:7" x14ac:dyDescent="0.25">
      <c r="A1212" s="321" t="str">
        <f t="shared" si="38"/>
        <v>II.2.8.0313</v>
      </c>
      <c r="B1212" s="321">
        <v>13</v>
      </c>
      <c r="C1212" s="339" t="str">
        <f>IFERROR(VLOOKUP(A1212,[3]DOORSCRIEFT!$A$2:$G$6834,2,FALSE),"")</f>
        <v/>
      </c>
      <c r="D1212" s="481" t="str">
        <f>IFERROR(VLOOKUP(A1212,[3]DOORSCRIEFT!$A$2:$G$6834,3,FALSE),"")</f>
        <v/>
      </c>
      <c r="E1212" s="480" t="str">
        <f>IFERROR(VLOOKUP(A1212,[3]DOORSCRIEFT!$A$2:$G$6834,4,FALSE),"")</f>
        <v/>
      </c>
      <c r="F1212" s="405" t="str">
        <f>IFERROR(VLOOKUP(A1212,[3]DOORSCRIEFT!$A$2:$G$6834,7,FALSE),"")</f>
        <v/>
      </c>
      <c r="G1212" s="315"/>
    </row>
    <row r="1213" spans="1:7" x14ac:dyDescent="0.25">
      <c r="A1213" s="321" t="str">
        <f t="shared" si="38"/>
        <v>II.2.8.0314</v>
      </c>
      <c r="B1213" s="321">
        <v>14</v>
      </c>
      <c r="C1213" s="339" t="str">
        <f>IFERROR(VLOOKUP(A1213,[3]DOORSCRIEFT!$A$2:$G$6834,2,FALSE),"")</f>
        <v/>
      </c>
      <c r="D1213" s="481" t="str">
        <f>IFERROR(VLOOKUP(A1213,[3]DOORSCRIEFT!$A$2:$G$6834,3,FALSE),"")</f>
        <v/>
      </c>
      <c r="E1213" s="480" t="str">
        <f>IFERROR(VLOOKUP(A1213,[3]DOORSCRIEFT!$A$2:$G$6834,4,FALSE),"")</f>
        <v/>
      </c>
      <c r="F1213" s="405" t="str">
        <f>IFERROR(VLOOKUP(A1213,[3]DOORSCRIEFT!$A$2:$G$6834,7,FALSE),"")</f>
        <v/>
      </c>
      <c r="G1213" s="315"/>
    </row>
    <row r="1214" spans="1:7" ht="15.75" thickBot="1" x14ac:dyDescent="0.3">
      <c r="A1214" s="342" t="str">
        <f t="shared" si="38"/>
        <v>II.2.8.0315</v>
      </c>
      <c r="B1214" s="342">
        <v>15</v>
      </c>
      <c r="C1214" s="339" t="str">
        <f>IFERROR(VLOOKUP(A1214,[3]DOORSCRIEFT!$A$2:$G$6834,2,FALSE),"")</f>
        <v/>
      </c>
      <c r="D1214" s="481" t="str">
        <f>IFERROR(VLOOKUP(A1214,[3]DOORSCRIEFT!$A$2:$G$6834,3,FALSE),"")</f>
        <v/>
      </c>
      <c r="E1214" s="480" t="str">
        <f>IFERROR(VLOOKUP(A1214,[3]DOORSCRIEFT!$A$2:$G$6834,4,FALSE),"")</f>
        <v/>
      </c>
      <c r="F1214" s="405" t="str">
        <f>IFERROR(VLOOKUP(A1214,[3]DOORSCRIEFT!$A$2:$G$6834,7,FALSE),"")</f>
        <v/>
      </c>
      <c r="G1214" s="315"/>
    </row>
    <row r="1215" spans="1:7" ht="15.75" thickBot="1" x14ac:dyDescent="0.3">
      <c r="A1215" s="341"/>
      <c r="B1215" s="340"/>
      <c r="C1215" s="336"/>
      <c r="D1215" s="486"/>
      <c r="E1215" s="340" t="s">
        <v>644</v>
      </c>
      <c r="F1215" s="310">
        <f>SUM(F1200:F1214)</f>
        <v>0</v>
      </c>
      <c r="G1215" s="309">
        <f>SUM(G1200:G1214)</f>
        <v>0</v>
      </c>
    </row>
    <row r="1216" spans="1:7" x14ac:dyDescent="0.25">
      <c r="C1216" s="335"/>
      <c r="D1216" s="485"/>
    </row>
    <row r="1217" spans="1:7" x14ac:dyDescent="0.25">
      <c r="C1217" s="335"/>
      <c r="D1217" s="485"/>
    </row>
    <row r="1218" spans="1:7" ht="15.75" x14ac:dyDescent="0.25">
      <c r="C1218" s="334" t="s">
        <v>663</v>
      </c>
      <c r="D1218" s="484"/>
      <c r="E1218" s="333"/>
      <c r="F1218" s="327" t="s">
        <v>607</v>
      </c>
      <c r="G1218" s="327" t="s">
        <v>169</v>
      </c>
    </row>
    <row r="1219" spans="1:7" ht="15.75" x14ac:dyDescent="0.25">
      <c r="C1219" s="334"/>
      <c r="D1219" s="484"/>
      <c r="E1219" s="333"/>
      <c r="F1219" s="327" t="s">
        <v>601</v>
      </c>
      <c r="G1219" s="327" t="s">
        <v>168</v>
      </c>
    </row>
    <row r="1220" spans="1:7" x14ac:dyDescent="0.25">
      <c r="C1220" s="330"/>
      <c r="D1220" s="482"/>
      <c r="E1220" s="329"/>
      <c r="F1220" s="327" t="s">
        <v>651</v>
      </c>
      <c r="G1220" s="331">
        <f>[2]Sheet1!$D$316</f>
        <v>31642500</v>
      </c>
    </row>
    <row r="1221" spans="1:7" ht="15.75" thickBot="1" x14ac:dyDescent="0.3">
      <c r="C1221" s="330"/>
      <c r="D1221" s="482"/>
      <c r="E1221" s="329"/>
      <c r="F1221" s="327" t="s">
        <v>650</v>
      </c>
      <c r="G1221" s="326">
        <f>+F1245-G1220</f>
        <v>-31242500</v>
      </c>
    </row>
    <row r="1222" spans="1:7" x14ac:dyDescent="0.25">
      <c r="A1222" s="571" t="s">
        <v>655</v>
      </c>
      <c r="B1222" s="573" t="s">
        <v>606</v>
      </c>
      <c r="C1222" s="588" t="s">
        <v>649</v>
      </c>
      <c r="D1222" s="599" t="s">
        <v>648</v>
      </c>
      <c r="E1222" s="577" t="s">
        <v>647</v>
      </c>
      <c r="F1222" s="577" t="s">
        <v>646</v>
      </c>
      <c r="G1222" s="580" t="s">
        <v>645</v>
      </c>
    </row>
    <row r="1223" spans="1:7" ht="15.75" thickBot="1" x14ac:dyDescent="0.3">
      <c r="A1223" s="572"/>
      <c r="B1223" s="574"/>
      <c r="C1223" s="589"/>
      <c r="D1223" s="600"/>
      <c r="E1223" s="578"/>
      <c r="F1223" s="578"/>
      <c r="G1223" s="581"/>
    </row>
    <row r="1224" spans="1:7" ht="15.75" thickBot="1" x14ac:dyDescent="0.3">
      <c r="A1224" s="425">
        <v>1</v>
      </c>
      <c r="B1224" s="425">
        <v>2</v>
      </c>
      <c r="C1224" s="425">
        <v>3</v>
      </c>
      <c r="D1224" s="425">
        <v>4</v>
      </c>
      <c r="E1224" s="425">
        <v>5</v>
      </c>
      <c r="F1224" s="425">
        <v>6</v>
      </c>
      <c r="G1224" s="425">
        <v>7</v>
      </c>
    </row>
    <row r="1225" spans="1:7" x14ac:dyDescent="0.25">
      <c r="A1225" s="320" t="str">
        <f t="shared" ref="A1225:A1244" si="39">$G$1218&amp;B1225</f>
        <v>II.3.1.1.01.0011</v>
      </c>
      <c r="B1225" s="320">
        <v>1</v>
      </c>
      <c r="C1225" s="339">
        <f>IFERROR(VLOOKUP(A1225,[3]DOORSCRIEFT!$A$2:$G$6834,2,FALSE),"")</f>
        <v>371</v>
      </c>
      <c r="D1225" s="481">
        <f>IFERROR(VLOOKUP(A1225,[3]DOORSCRIEFT!$A$2:$G$6834,3,FALSE),"")</f>
        <v>53766</v>
      </c>
      <c r="E1225" s="480" t="str">
        <f>IFERROR(VLOOKUP(A1225,[3]DOORSCRIEFT!$A$2:$G$6834,4,FALSE),"")</f>
        <v>Biaya Kegiatan Malam Bedah diri</v>
      </c>
      <c r="F1225" s="405">
        <f>IFERROR(VLOOKUP(A1225,[3]DOORSCRIEFT!$A$2:$G$6834,7,FALSE),"")</f>
        <v>400000</v>
      </c>
      <c r="G1225" s="322"/>
    </row>
    <row r="1226" spans="1:7" x14ac:dyDescent="0.25">
      <c r="A1226" s="321" t="str">
        <f t="shared" si="39"/>
        <v>II.3.1.1.01.0012</v>
      </c>
      <c r="B1226" s="321">
        <v>2</v>
      </c>
      <c r="C1226" s="339" t="str">
        <f>IFERROR(VLOOKUP(A1226,[3]DOORSCRIEFT!$A$2:$G$6834,2,FALSE),"")</f>
        <v/>
      </c>
      <c r="D1226" s="481" t="str">
        <f>IFERROR(VLOOKUP(A1226,[3]DOORSCRIEFT!$A$2:$G$6834,3,FALSE),"")</f>
        <v/>
      </c>
      <c r="E1226" s="480" t="str">
        <f>IFERROR(VLOOKUP(A1226,[3]DOORSCRIEFT!$A$2:$G$6834,4,FALSE),"")</f>
        <v/>
      </c>
      <c r="F1226" s="405" t="str">
        <f>IFERROR(VLOOKUP(A1226,[3]DOORSCRIEFT!$A$2:$G$6834,7,FALSE),"")</f>
        <v/>
      </c>
      <c r="G1226" s="315"/>
    </row>
    <row r="1227" spans="1:7" x14ac:dyDescent="0.25">
      <c r="A1227" s="321" t="str">
        <f t="shared" si="39"/>
        <v>II.3.1.1.01.0013</v>
      </c>
      <c r="B1227" s="321">
        <v>3</v>
      </c>
      <c r="C1227" s="339" t="str">
        <f>IFERROR(VLOOKUP(A1227,[3]DOORSCRIEFT!$A$2:$G$6834,2,FALSE),"")</f>
        <v/>
      </c>
      <c r="D1227" s="481" t="str">
        <f>IFERROR(VLOOKUP(A1227,[3]DOORSCRIEFT!$A$2:$G$6834,3,FALSE),"")</f>
        <v/>
      </c>
      <c r="E1227" s="480" t="str">
        <f>IFERROR(VLOOKUP(A1227,[3]DOORSCRIEFT!$A$2:$G$6834,4,FALSE),"")</f>
        <v/>
      </c>
      <c r="F1227" s="405" t="str">
        <f>IFERROR(VLOOKUP(A1227,[3]DOORSCRIEFT!$A$2:$G$6834,7,FALSE),"")</f>
        <v/>
      </c>
      <c r="G1227" s="315"/>
    </row>
    <row r="1228" spans="1:7" x14ac:dyDescent="0.25">
      <c r="A1228" s="321" t="str">
        <f t="shared" si="39"/>
        <v>II.3.1.1.01.0014</v>
      </c>
      <c r="B1228" s="321">
        <v>4</v>
      </c>
      <c r="C1228" s="339" t="str">
        <f>IFERROR(VLOOKUP(A1228,[3]DOORSCRIEFT!$A$2:$G$6834,2,FALSE),"")</f>
        <v/>
      </c>
      <c r="D1228" s="481" t="str">
        <f>IFERROR(VLOOKUP(A1228,[3]DOORSCRIEFT!$A$2:$G$6834,3,FALSE),"")</f>
        <v/>
      </c>
      <c r="E1228" s="480" t="str">
        <f>IFERROR(VLOOKUP(A1228,[3]DOORSCRIEFT!$A$2:$G$6834,4,FALSE),"")</f>
        <v/>
      </c>
      <c r="F1228" s="405" t="str">
        <f>IFERROR(VLOOKUP(A1228,[3]DOORSCRIEFT!$A$2:$G$6834,7,FALSE),"")</f>
        <v/>
      </c>
      <c r="G1228" s="315"/>
    </row>
    <row r="1229" spans="1:7" x14ac:dyDescent="0.25">
      <c r="A1229" s="321" t="str">
        <f t="shared" si="39"/>
        <v>II.3.1.1.01.0015</v>
      </c>
      <c r="B1229" s="321">
        <v>5</v>
      </c>
      <c r="C1229" s="339" t="str">
        <f>IFERROR(VLOOKUP(A1229,[3]DOORSCRIEFT!$A$2:$G$6834,2,FALSE),"")</f>
        <v/>
      </c>
      <c r="D1229" s="481" t="str">
        <f>IFERROR(VLOOKUP(A1229,[3]DOORSCRIEFT!$A$2:$G$6834,3,FALSE),"")</f>
        <v/>
      </c>
      <c r="E1229" s="480" t="str">
        <f>IFERROR(VLOOKUP(A1229,[3]DOORSCRIEFT!$A$2:$G$6834,4,FALSE),"")</f>
        <v/>
      </c>
      <c r="F1229" s="405" t="str">
        <f>IFERROR(VLOOKUP(A1229,[3]DOORSCRIEFT!$A$2:$G$6834,7,FALSE),"")</f>
        <v/>
      </c>
      <c r="G1229" s="315"/>
    </row>
    <row r="1230" spans="1:7" x14ac:dyDescent="0.25">
      <c r="A1230" s="321" t="str">
        <f t="shared" si="39"/>
        <v>II.3.1.1.01.0016</v>
      </c>
      <c r="B1230" s="321">
        <v>6</v>
      </c>
      <c r="C1230" s="339" t="str">
        <f>IFERROR(VLOOKUP(A1230,[3]DOORSCRIEFT!$A$2:$G$6834,2,FALSE),"")</f>
        <v/>
      </c>
      <c r="D1230" s="481" t="str">
        <f>IFERROR(VLOOKUP(A1230,[3]DOORSCRIEFT!$A$2:$G$6834,3,FALSE),"")</f>
        <v/>
      </c>
      <c r="E1230" s="480" t="str">
        <f>IFERROR(VLOOKUP(A1230,[3]DOORSCRIEFT!$A$2:$G$6834,4,FALSE),"")</f>
        <v/>
      </c>
      <c r="F1230" s="405" t="str">
        <f>IFERROR(VLOOKUP(A1230,[3]DOORSCRIEFT!$A$2:$G$6834,7,FALSE),"")</f>
        <v/>
      </c>
      <c r="G1230" s="315"/>
    </row>
    <row r="1231" spans="1:7" x14ac:dyDescent="0.25">
      <c r="A1231" s="321" t="str">
        <f t="shared" si="39"/>
        <v>II.3.1.1.01.0017</v>
      </c>
      <c r="B1231" s="321">
        <v>7</v>
      </c>
      <c r="C1231" s="339" t="str">
        <f>IFERROR(VLOOKUP(A1231,[3]DOORSCRIEFT!$A$2:$G$6834,2,FALSE),"")</f>
        <v/>
      </c>
      <c r="D1231" s="481" t="str">
        <f>IFERROR(VLOOKUP(A1231,[3]DOORSCRIEFT!$A$2:$G$6834,3,FALSE),"")</f>
        <v/>
      </c>
      <c r="E1231" s="480" t="str">
        <f>IFERROR(VLOOKUP(A1231,[3]DOORSCRIEFT!$A$2:$G$6834,4,FALSE),"")</f>
        <v/>
      </c>
      <c r="F1231" s="405" t="str">
        <f>IFERROR(VLOOKUP(A1231,[3]DOORSCRIEFT!$A$2:$G$6834,7,FALSE),"")</f>
        <v/>
      </c>
      <c r="G1231" s="315"/>
    </row>
    <row r="1232" spans="1:7" x14ac:dyDescent="0.25">
      <c r="A1232" s="321" t="str">
        <f t="shared" si="39"/>
        <v>II.3.1.1.01.0018</v>
      </c>
      <c r="B1232" s="321">
        <v>8</v>
      </c>
      <c r="C1232" s="339" t="str">
        <f>IFERROR(VLOOKUP(A1232,[3]DOORSCRIEFT!$A$2:$G$6834,2,FALSE),"")</f>
        <v/>
      </c>
      <c r="D1232" s="481" t="str">
        <f>IFERROR(VLOOKUP(A1232,[3]DOORSCRIEFT!$A$2:$G$6834,3,FALSE),"")</f>
        <v/>
      </c>
      <c r="E1232" s="480" t="str">
        <f>IFERROR(VLOOKUP(A1232,[3]DOORSCRIEFT!$A$2:$G$6834,4,FALSE),"")</f>
        <v/>
      </c>
      <c r="F1232" s="405" t="str">
        <f>IFERROR(VLOOKUP(A1232,[3]DOORSCRIEFT!$A$2:$G$6834,7,FALSE),"")</f>
        <v/>
      </c>
      <c r="G1232" s="315"/>
    </row>
    <row r="1233" spans="1:7" x14ac:dyDescent="0.25">
      <c r="A1233" s="321" t="str">
        <f t="shared" si="39"/>
        <v>II.3.1.1.01.0019</v>
      </c>
      <c r="B1233" s="321">
        <v>9</v>
      </c>
      <c r="C1233" s="339" t="str">
        <f>IFERROR(VLOOKUP(A1233,[3]DOORSCRIEFT!$A$2:$G$6834,2,FALSE),"")</f>
        <v/>
      </c>
      <c r="D1233" s="481" t="str">
        <f>IFERROR(VLOOKUP(A1233,[3]DOORSCRIEFT!$A$2:$G$6834,3,FALSE),"")</f>
        <v/>
      </c>
      <c r="E1233" s="480" t="str">
        <f>IFERROR(VLOOKUP(A1233,[3]DOORSCRIEFT!$A$2:$G$6834,4,FALSE),"")</f>
        <v/>
      </c>
      <c r="F1233" s="405" t="str">
        <f>IFERROR(VLOOKUP(A1233,[3]DOORSCRIEFT!$A$2:$G$6834,7,FALSE),"")</f>
        <v/>
      </c>
      <c r="G1233" s="315"/>
    </row>
    <row r="1234" spans="1:7" x14ac:dyDescent="0.25">
      <c r="A1234" s="321" t="str">
        <f t="shared" si="39"/>
        <v>II.3.1.1.01.00110</v>
      </c>
      <c r="B1234" s="321">
        <v>10</v>
      </c>
      <c r="C1234" s="339" t="str">
        <f>IFERROR(VLOOKUP(A1234,[3]DOORSCRIEFT!$A$2:$G$6834,2,FALSE),"")</f>
        <v/>
      </c>
      <c r="D1234" s="481" t="str">
        <f>IFERROR(VLOOKUP(A1234,[3]DOORSCRIEFT!$A$2:$G$6834,3,FALSE),"")</f>
        <v/>
      </c>
      <c r="E1234" s="480" t="str">
        <f>IFERROR(VLOOKUP(A1234,[3]DOORSCRIEFT!$A$2:$G$6834,4,FALSE),"")</f>
        <v/>
      </c>
      <c r="F1234" s="405" t="str">
        <f>IFERROR(VLOOKUP(A1234,[3]DOORSCRIEFT!$A$2:$G$6834,7,FALSE),"")</f>
        <v/>
      </c>
      <c r="G1234" s="315"/>
    </row>
    <row r="1235" spans="1:7" x14ac:dyDescent="0.25">
      <c r="A1235" s="321" t="str">
        <f t="shared" si="39"/>
        <v>II.3.1.1.01.00111</v>
      </c>
      <c r="B1235" s="321">
        <v>11</v>
      </c>
      <c r="C1235" s="339" t="str">
        <f>IFERROR(VLOOKUP(A1235,[3]DOORSCRIEFT!$A$2:$G$6834,2,FALSE),"")</f>
        <v/>
      </c>
      <c r="D1235" s="481" t="str">
        <f>IFERROR(VLOOKUP(A1235,[3]DOORSCRIEFT!$A$2:$G$6834,3,FALSE),"")</f>
        <v/>
      </c>
      <c r="E1235" s="480" t="str">
        <f>IFERROR(VLOOKUP(A1235,[3]DOORSCRIEFT!$A$2:$G$6834,4,FALSE),"")</f>
        <v/>
      </c>
      <c r="F1235" s="405" t="str">
        <f>IFERROR(VLOOKUP(A1235,[3]DOORSCRIEFT!$A$2:$G$6834,7,FALSE),"")</f>
        <v/>
      </c>
      <c r="G1235" s="315"/>
    </row>
    <row r="1236" spans="1:7" x14ac:dyDescent="0.25">
      <c r="A1236" s="321" t="str">
        <f t="shared" si="39"/>
        <v>II.3.1.1.01.00112</v>
      </c>
      <c r="B1236" s="321">
        <v>12</v>
      </c>
      <c r="C1236" s="339" t="str">
        <f>IFERROR(VLOOKUP(A1236,[3]DOORSCRIEFT!$A$2:$G$6834,2,FALSE),"")</f>
        <v/>
      </c>
      <c r="D1236" s="481" t="str">
        <f>IFERROR(VLOOKUP(A1236,[3]DOORSCRIEFT!$A$2:$G$6834,3,FALSE),"")</f>
        <v/>
      </c>
      <c r="E1236" s="480" t="str">
        <f>IFERROR(VLOOKUP(A1236,[3]DOORSCRIEFT!$A$2:$G$6834,4,FALSE),"")</f>
        <v/>
      </c>
      <c r="F1236" s="405" t="str">
        <f>IFERROR(VLOOKUP(A1236,[3]DOORSCRIEFT!$A$2:$G$6834,7,FALSE),"")</f>
        <v/>
      </c>
      <c r="G1236" s="315"/>
    </row>
    <row r="1237" spans="1:7" x14ac:dyDescent="0.25">
      <c r="A1237" s="321" t="str">
        <f t="shared" si="39"/>
        <v>II.3.1.1.01.00113</v>
      </c>
      <c r="B1237" s="321">
        <v>13</v>
      </c>
      <c r="C1237" s="339" t="str">
        <f>IFERROR(VLOOKUP(A1237,[3]DOORSCRIEFT!$A$2:$G$6834,2,FALSE),"")</f>
        <v/>
      </c>
      <c r="D1237" s="481" t="str">
        <f>IFERROR(VLOOKUP(A1237,[3]DOORSCRIEFT!$A$2:$G$6834,3,FALSE),"")</f>
        <v/>
      </c>
      <c r="E1237" s="480" t="str">
        <f>IFERROR(VLOOKUP(A1237,[3]DOORSCRIEFT!$A$2:$G$6834,4,FALSE),"")</f>
        <v/>
      </c>
      <c r="F1237" s="405" t="str">
        <f>IFERROR(VLOOKUP(A1237,[3]DOORSCRIEFT!$A$2:$G$6834,7,FALSE),"")</f>
        <v/>
      </c>
      <c r="G1237" s="315"/>
    </row>
    <row r="1238" spans="1:7" x14ac:dyDescent="0.25">
      <c r="A1238" s="321" t="str">
        <f t="shared" si="39"/>
        <v>II.3.1.1.01.00114</v>
      </c>
      <c r="B1238" s="321">
        <v>14</v>
      </c>
      <c r="C1238" s="339" t="str">
        <f>IFERROR(VLOOKUP(A1238,[3]DOORSCRIEFT!$A$2:$G$6834,2,FALSE),"")</f>
        <v/>
      </c>
      <c r="D1238" s="481" t="str">
        <f>IFERROR(VLOOKUP(A1238,[3]DOORSCRIEFT!$A$2:$G$6834,3,FALSE),"")</f>
        <v/>
      </c>
      <c r="E1238" s="480" t="str">
        <f>IFERROR(VLOOKUP(A1238,[3]DOORSCRIEFT!$A$2:$G$6834,4,FALSE),"")</f>
        <v/>
      </c>
      <c r="F1238" s="405" t="str">
        <f>IFERROR(VLOOKUP(A1238,[3]DOORSCRIEFT!$A$2:$G$6834,7,FALSE),"")</f>
        <v/>
      </c>
      <c r="G1238" s="315"/>
    </row>
    <row r="1239" spans="1:7" x14ac:dyDescent="0.25">
      <c r="A1239" s="321" t="str">
        <f t="shared" si="39"/>
        <v>II.3.1.1.01.00115</v>
      </c>
      <c r="B1239" s="321">
        <v>15</v>
      </c>
      <c r="C1239" s="339" t="str">
        <f>IFERROR(VLOOKUP(A1239,[3]DOORSCRIEFT!$A$2:$G$6834,2,FALSE),"")</f>
        <v/>
      </c>
      <c r="D1239" s="481" t="str">
        <f>IFERROR(VLOOKUP(A1239,[3]DOORSCRIEFT!$A$2:$G$6834,3,FALSE),"")</f>
        <v/>
      </c>
      <c r="E1239" s="480" t="str">
        <f>IFERROR(VLOOKUP(A1239,[3]DOORSCRIEFT!$A$2:$G$6834,4,FALSE),"")</f>
        <v/>
      </c>
      <c r="F1239" s="405" t="str">
        <f>IFERROR(VLOOKUP(A1239,[3]DOORSCRIEFT!$A$2:$G$6834,7,FALSE),"")</f>
        <v/>
      </c>
      <c r="G1239" s="315"/>
    </row>
    <row r="1240" spans="1:7" x14ac:dyDescent="0.25">
      <c r="A1240" s="321" t="str">
        <f t="shared" si="39"/>
        <v>II.3.1.1.01.00116</v>
      </c>
      <c r="B1240" s="321">
        <v>16</v>
      </c>
      <c r="C1240" s="339" t="str">
        <f>IFERROR(VLOOKUP(A1240,[3]DOORSCRIEFT!$A$2:$G$6834,2,FALSE),"")</f>
        <v/>
      </c>
      <c r="D1240" s="481" t="str">
        <f>IFERROR(VLOOKUP(A1240,[3]DOORSCRIEFT!$A$2:$G$6834,3,FALSE),"")</f>
        <v/>
      </c>
      <c r="E1240" s="480" t="str">
        <f>IFERROR(VLOOKUP(A1240,[3]DOORSCRIEFT!$A$2:$G$6834,4,FALSE),"")</f>
        <v/>
      </c>
      <c r="F1240" s="405" t="str">
        <f>IFERROR(VLOOKUP(A1240,[3]DOORSCRIEFT!$A$2:$G$6834,7,FALSE),"")</f>
        <v/>
      </c>
      <c r="G1240" s="315"/>
    </row>
    <row r="1241" spans="1:7" x14ac:dyDescent="0.25">
      <c r="A1241" s="321" t="str">
        <f t="shared" si="39"/>
        <v>II.3.1.1.01.00117</v>
      </c>
      <c r="B1241" s="321">
        <v>17</v>
      </c>
      <c r="C1241" s="339" t="str">
        <f>IFERROR(VLOOKUP(A1241,[3]DOORSCRIEFT!$A$2:$G$6834,2,FALSE),"")</f>
        <v/>
      </c>
      <c r="D1241" s="481" t="str">
        <f>IFERROR(VLOOKUP(A1241,[3]DOORSCRIEFT!$A$2:$G$6834,3,FALSE),"")</f>
        <v/>
      </c>
      <c r="E1241" s="480" t="str">
        <f>IFERROR(VLOOKUP(A1241,[3]DOORSCRIEFT!$A$2:$G$6834,4,FALSE),"")</f>
        <v/>
      </c>
      <c r="F1241" s="405" t="str">
        <f>IFERROR(VLOOKUP(A1241,[3]DOORSCRIEFT!$A$2:$G$6834,7,FALSE),"")</f>
        <v/>
      </c>
      <c r="G1241" s="315"/>
    </row>
    <row r="1242" spans="1:7" x14ac:dyDescent="0.25">
      <c r="A1242" s="321" t="str">
        <f t="shared" si="39"/>
        <v>II.3.1.1.01.00118</v>
      </c>
      <c r="B1242" s="321">
        <v>18</v>
      </c>
      <c r="C1242" s="339" t="str">
        <f>IFERROR(VLOOKUP(A1242,[3]DOORSCRIEFT!$A$2:$G$6834,2,FALSE),"")</f>
        <v/>
      </c>
      <c r="D1242" s="481" t="str">
        <f>IFERROR(VLOOKUP(A1242,[3]DOORSCRIEFT!$A$2:$G$6834,3,FALSE),"")</f>
        <v/>
      </c>
      <c r="E1242" s="480" t="str">
        <f>IFERROR(VLOOKUP(A1242,[3]DOORSCRIEFT!$A$2:$G$6834,4,FALSE),"")</f>
        <v/>
      </c>
      <c r="F1242" s="405" t="str">
        <f>IFERROR(VLOOKUP(A1242,[3]DOORSCRIEFT!$A$2:$G$6834,7,FALSE),"")</f>
        <v/>
      </c>
      <c r="G1242" s="315"/>
    </row>
    <row r="1243" spans="1:7" x14ac:dyDescent="0.25">
      <c r="A1243" s="321" t="str">
        <f t="shared" si="39"/>
        <v>II.3.1.1.01.00119</v>
      </c>
      <c r="B1243" s="321">
        <v>19</v>
      </c>
      <c r="C1243" s="339" t="str">
        <f>IFERROR(VLOOKUP(A1243,[3]DOORSCRIEFT!$A$2:$G$6834,2,FALSE),"")</f>
        <v/>
      </c>
      <c r="D1243" s="481" t="str">
        <f>IFERROR(VLOOKUP(A1243,[3]DOORSCRIEFT!$A$2:$G$6834,3,FALSE),"")</f>
        <v/>
      </c>
      <c r="E1243" s="480" t="str">
        <f>IFERROR(VLOOKUP(A1243,[3]DOORSCRIEFT!$A$2:$G$6834,4,FALSE),"")</f>
        <v/>
      </c>
      <c r="F1243" s="405" t="str">
        <f>IFERROR(VLOOKUP(A1243,[3]DOORSCRIEFT!$A$2:$G$6834,7,FALSE),"")</f>
        <v/>
      </c>
      <c r="G1243" s="315"/>
    </row>
    <row r="1244" spans="1:7" ht="15.75" thickBot="1" x14ac:dyDescent="0.3">
      <c r="A1244" s="342" t="str">
        <f t="shared" si="39"/>
        <v>II.3.1.1.01.00120</v>
      </c>
      <c r="B1244" s="342">
        <v>20</v>
      </c>
      <c r="C1244" s="339" t="str">
        <f>IFERROR(VLOOKUP(A1244,[3]DOORSCRIEFT!$A$2:$G$6834,2,FALSE),"")</f>
        <v/>
      </c>
      <c r="D1244" s="481" t="str">
        <f>IFERROR(VLOOKUP(A1244,[3]DOORSCRIEFT!$A$2:$G$6834,3,FALSE),"")</f>
        <v/>
      </c>
      <c r="E1244" s="480" t="str">
        <f>IFERROR(VLOOKUP(A1244,[3]DOORSCRIEFT!$A$2:$G$6834,4,FALSE),"")</f>
        <v/>
      </c>
      <c r="F1244" s="405" t="str">
        <f>IFERROR(VLOOKUP(A1244,[3]DOORSCRIEFT!$A$2:$G$6834,7,FALSE),"")</f>
        <v/>
      </c>
      <c r="G1244" s="315"/>
    </row>
    <row r="1245" spans="1:7" ht="15.75" thickBot="1" x14ac:dyDescent="0.3">
      <c r="A1245" s="341"/>
      <c r="B1245" s="340"/>
      <c r="C1245" s="336"/>
      <c r="D1245" s="486"/>
      <c r="E1245" s="340" t="s">
        <v>644</v>
      </c>
      <c r="F1245" s="310">
        <f>SUM(F1225:F1244)</f>
        <v>400000</v>
      </c>
      <c r="G1245" s="309">
        <f>SUM(G1225:G1244)</f>
        <v>0</v>
      </c>
    </row>
    <row r="1246" spans="1:7" x14ac:dyDescent="0.25">
      <c r="C1246" s="335"/>
      <c r="D1246" s="485"/>
    </row>
    <row r="1247" spans="1:7" x14ac:dyDescent="0.25">
      <c r="C1247" s="335"/>
      <c r="D1247" s="485"/>
    </row>
    <row r="1248" spans="1:7" ht="15.75" x14ac:dyDescent="0.25">
      <c r="C1248" s="334" t="s">
        <v>663</v>
      </c>
      <c r="D1248" s="484"/>
      <c r="E1248" s="333"/>
      <c r="F1248" s="327" t="s">
        <v>607</v>
      </c>
      <c r="G1248" s="327" t="s">
        <v>167</v>
      </c>
    </row>
    <row r="1249" spans="1:7" ht="15.75" x14ac:dyDescent="0.25">
      <c r="C1249" s="334"/>
      <c r="D1249" s="484"/>
      <c r="E1249" s="333"/>
      <c r="F1249" s="327" t="s">
        <v>601</v>
      </c>
      <c r="G1249" s="327" t="s">
        <v>166</v>
      </c>
    </row>
    <row r="1250" spans="1:7" x14ac:dyDescent="0.25">
      <c r="C1250" s="330"/>
      <c r="D1250" s="482"/>
      <c r="E1250" s="329"/>
      <c r="F1250" s="327" t="s">
        <v>651</v>
      </c>
      <c r="G1250" s="331">
        <f>[2]Sheet1!$D$338</f>
        <v>6250000</v>
      </c>
    </row>
    <row r="1251" spans="1:7" ht="15.75" thickBot="1" x14ac:dyDescent="0.3">
      <c r="C1251" s="330"/>
      <c r="D1251" s="482"/>
      <c r="E1251" s="329"/>
      <c r="F1251" s="327" t="s">
        <v>650</v>
      </c>
      <c r="G1251" s="326">
        <f>+F1279-G1250</f>
        <v>-2650000</v>
      </c>
    </row>
    <row r="1252" spans="1:7" x14ac:dyDescent="0.25">
      <c r="A1252" s="571" t="s">
        <v>655</v>
      </c>
      <c r="B1252" s="573" t="s">
        <v>606</v>
      </c>
      <c r="C1252" s="588" t="s">
        <v>649</v>
      </c>
      <c r="D1252" s="599" t="s">
        <v>648</v>
      </c>
      <c r="E1252" s="577" t="s">
        <v>647</v>
      </c>
      <c r="F1252" s="577" t="s">
        <v>646</v>
      </c>
      <c r="G1252" s="580" t="s">
        <v>645</v>
      </c>
    </row>
    <row r="1253" spans="1:7" ht="15.75" thickBot="1" x14ac:dyDescent="0.3">
      <c r="A1253" s="572"/>
      <c r="B1253" s="574"/>
      <c r="C1253" s="589"/>
      <c r="D1253" s="600"/>
      <c r="E1253" s="578"/>
      <c r="F1253" s="578"/>
      <c r="G1253" s="581"/>
    </row>
    <row r="1254" spans="1:7" ht="15.75" thickBot="1" x14ac:dyDescent="0.3">
      <c r="A1254" s="425">
        <v>1</v>
      </c>
      <c r="B1254" s="425">
        <v>2</v>
      </c>
      <c r="C1254" s="425">
        <v>3</v>
      </c>
      <c r="D1254" s="425">
        <v>4</v>
      </c>
      <c r="E1254" s="425">
        <v>5</v>
      </c>
      <c r="F1254" s="425">
        <v>6</v>
      </c>
      <c r="G1254" s="425">
        <v>7</v>
      </c>
    </row>
    <row r="1255" spans="1:7" x14ac:dyDescent="0.25">
      <c r="A1255" s="320" t="str">
        <f t="shared" ref="A1255:A1278" si="40">$G$1248&amp;B1255</f>
        <v>II.3.1.1.01.0021</v>
      </c>
      <c r="B1255" s="320">
        <v>1</v>
      </c>
      <c r="C1255" s="339">
        <f>IFERROR(VLOOKUP(A1255,[3]DOORSCRIEFT!$A$2:$G$6834,2,FALSE),"")</f>
        <v>314</v>
      </c>
      <c r="D1255" s="481">
        <f>IFERROR(VLOOKUP(A1255,[3]DOORSCRIEFT!$A$2:$G$6834,3,FALSE),"")</f>
        <v>46089</v>
      </c>
      <c r="E1255" s="480" t="str">
        <f>IFERROR(VLOOKUP(A1255,[3]DOORSCRIEFT!$A$2:$G$6834,4,FALSE),"")</f>
        <v xml:space="preserve">Biaya kegiatan sosialisasi bagi siswa katekisasi </v>
      </c>
      <c r="F1255" s="405">
        <f>IFERROR(VLOOKUP(A1255,[3]DOORSCRIEFT!$A$2:$G$6834,7,FALSE),"")</f>
        <v>250000</v>
      </c>
      <c r="G1255" s="322"/>
    </row>
    <row r="1256" spans="1:7" x14ac:dyDescent="0.25">
      <c r="A1256" s="321" t="str">
        <f t="shared" si="40"/>
        <v>II.3.1.1.01.0022</v>
      </c>
      <c r="B1256" s="321">
        <v>2</v>
      </c>
      <c r="C1256" s="339">
        <f>IFERROR(VLOOKUP(A1256,[3]DOORSCRIEFT!$A$2:$G$6834,2,FALSE),"")</f>
        <v>316</v>
      </c>
      <c r="D1256" s="481">
        <f>IFERROR(VLOOKUP(A1256,[3]DOORSCRIEFT!$A$2:$G$6834,3,FALSE),"")</f>
        <v>46089</v>
      </c>
      <c r="E1256" s="480" t="str">
        <f>IFERROR(VLOOKUP(A1256,[3]DOORSCRIEFT!$A$2:$G$6834,4,FALSE),"")</f>
        <v>Biaya kegiatan Jalan Salib</v>
      </c>
      <c r="F1256" s="405">
        <f>IFERROR(VLOOKUP(A1256,[3]DOORSCRIEFT!$A$2:$G$6834,7,FALSE),"")</f>
        <v>3000000</v>
      </c>
      <c r="G1256" s="315"/>
    </row>
    <row r="1257" spans="1:7" x14ac:dyDescent="0.25">
      <c r="A1257" s="321" t="str">
        <f t="shared" si="40"/>
        <v>II.3.1.1.01.0023</v>
      </c>
      <c r="B1257" s="321">
        <v>3</v>
      </c>
      <c r="C1257" s="339">
        <f>IFERROR(VLOOKUP(A1257,[3]DOORSCRIEFT!$A$2:$G$6834,2,FALSE),"")</f>
        <v>408</v>
      </c>
      <c r="D1257" s="481">
        <f>IFERROR(VLOOKUP(A1257,[3]DOORSCRIEFT!$A$2:$G$6834,3,FALSE),"")</f>
        <v>46103</v>
      </c>
      <c r="E1257" s="480" t="str">
        <f>IFERROR(VLOOKUP(A1257,[3]DOORSCRIEFT!$A$2:$G$6834,4,FALSE),"")</f>
        <v>Biaya Kebaktian Pemuda</v>
      </c>
      <c r="F1257" s="405">
        <f>IFERROR(VLOOKUP(A1257,[3]DOORSCRIEFT!$A$2:$G$6834,7,FALSE),"")</f>
        <v>350000</v>
      </c>
      <c r="G1257" s="315"/>
    </row>
    <row r="1258" spans="1:7" x14ac:dyDescent="0.25">
      <c r="A1258" s="321" t="str">
        <f t="shared" si="40"/>
        <v>II.3.1.1.01.0024</v>
      </c>
      <c r="B1258" s="321">
        <v>4</v>
      </c>
      <c r="C1258" s="339" t="str">
        <f>IFERROR(VLOOKUP(A1258,[3]DOORSCRIEFT!$A$2:$G$6834,2,FALSE),"")</f>
        <v/>
      </c>
      <c r="D1258" s="481" t="str">
        <f>IFERROR(VLOOKUP(A1258,[3]DOORSCRIEFT!$A$2:$G$6834,3,FALSE),"")</f>
        <v/>
      </c>
      <c r="E1258" s="480" t="str">
        <f>IFERROR(VLOOKUP(A1258,[3]DOORSCRIEFT!$A$2:$G$6834,4,FALSE),"")</f>
        <v/>
      </c>
      <c r="F1258" s="405" t="str">
        <f>IFERROR(VLOOKUP(A1258,[3]DOORSCRIEFT!$A$2:$G$6834,7,FALSE),"")</f>
        <v/>
      </c>
      <c r="G1258" s="315"/>
    </row>
    <row r="1259" spans="1:7" x14ac:dyDescent="0.25">
      <c r="A1259" s="321" t="str">
        <f t="shared" si="40"/>
        <v>II.3.1.1.01.0025</v>
      </c>
      <c r="B1259" s="321">
        <v>5</v>
      </c>
      <c r="C1259" s="339" t="str">
        <f>IFERROR(VLOOKUP(A1259,[3]DOORSCRIEFT!$A$2:$G$6834,2,FALSE),"")</f>
        <v/>
      </c>
      <c r="D1259" s="481" t="str">
        <f>IFERROR(VLOOKUP(A1259,[3]DOORSCRIEFT!$A$2:$G$6834,3,FALSE),"")</f>
        <v/>
      </c>
      <c r="E1259" s="480" t="str">
        <f>IFERROR(VLOOKUP(A1259,[3]DOORSCRIEFT!$A$2:$G$6834,4,FALSE),"")</f>
        <v/>
      </c>
      <c r="F1259" s="405" t="str">
        <f>IFERROR(VLOOKUP(A1259,[3]DOORSCRIEFT!$A$2:$G$6834,7,FALSE),"")</f>
        <v/>
      </c>
      <c r="G1259" s="315"/>
    </row>
    <row r="1260" spans="1:7" x14ac:dyDescent="0.25">
      <c r="A1260" s="321" t="str">
        <f t="shared" si="40"/>
        <v>II.3.1.1.01.0026</v>
      </c>
      <c r="B1260" s="321">
        <v>6</v>
      </c>
      <c r="C1260" s="339" t="str">
        <f>IFERROR(VLOOKUP(A1260,[3]DOORSCRIEFT!$A$2:$G$6834,2,FALSE),"")</f>
        <v/>
      </c>
      <c r="D1260" s="481" t="str">
        <f>IFERROR(VLOOKUP(A1260,[3]DOORSCRIEFT!$A$2:$G$6834,3,FALSE),"")</f>
        <v/>
      </c>
      <c r="E1260" s="480" t="str">
        <f>IFERROR(VLOOKUP(A1260,[3]DOORSCRIEFT!$A$2:$G$6834,4,FALSE),"")</f>
        <v/>
      </c>
      <c r="F1260" s="405" t="str">
        <f>IFERROR(VLOOKUP(A1260,[3]DOORSCRIEFT!$A$2:$G$6834,7,FALSE),"")</f>
        <v/>
      </c>
      <c r="G1260" s="315"/>
    </row>
    <row r="1261" spans="1:7" x14ac:dyDescent="0.25">
      <c r="A1261" s="321" t="str">
        <f t="shared" si="40"/>
        <v>II.3.1.1.01.0027</v>
      </c>
      <c r="B1261" s="321">
        <v>7</v>
      </c>
      <c r="C1261" s="339" t="str">
        <f>IFERROR(VLOOKUP(A1261,[3]DOORSCRIEFT!$A$2:$G$6834,2,FALSE),"")</f>
        <v/>
      </c>
      <c r="D1261" s="481" t="str">
        <f>IFERROR(VLOOKUP(A1261,[3]DOORSCRIEFT!$A$2:$G$6834,3,FALSE),"")</f>
        <v/>
      </c>
      <c r="E1261" s="480" t="str">
        <f>IFERROR(VLOOKUP(A1261,[3]DOORSCRIEFT!$A$2:$G$6834,4,FALSE),"")</f>
        <v/>
      </c>
      <c r="F1261" s="405" t="str">
        <f>IFERROR(VLOOKUP(A1261,[3]DOORSCRIEFT!$A$2:$G$6834,7,FALSE),"")</f>
        <v/>
      </c>
      <c r="G1261" s="315"/>
    </row>
    <row r="1262" spans="1:7" x14ac:dyDescent="0.25">
      <c r="A1262" s="321" t="str">
        <f t="shared" si="40"/>
        <v>II.3.1.1.01.0028</v>
      </c>
      <c r="B1262" s="321">
        <v>8</v>
      </c>
      <c r="C1262" s="339" t="str">
        <f>IFERROR(VLOOKUP(A1262,[3]DOORSCRIEFT!$A$2:$G$6834,2,FALSE),"")</f>
        <v/>
      </c>
      <c r="D1262" s="481" t="str">
        <f>IFERROR(VLOOKUP(A1262,[3]DOORSCRIEFT!$A$2:$G$6834,3,FALSE),"")</f>
        <v/>
      </c>
      <c r="E1262" s="480" t="str">
        <f>IFERROR(VLOOKUP(A1262,[3]DOORSCRIEFT!$A$2:$G$6834,4,FALSE),"")</f>
        <v/>
      </c>
      <c r="F1262" s="405" t="str">
        <f>IFERROR(VLOOKUP(A1262,[3]DOORSCRIEFT!$A$2:$G$6834,7,FALSE),"")</f>
        <v/>
      </c>
      <c r="G1262" s="315"/>
    </row>
    <row r="1263" spans="1:7" x14ac:dyDescent="0.25">
      <c r="A1263" s="321" t="str">
        <f t="shared" si="40"/>
        <v>II.3.1.1.01.0029</v>
      </c>
      <c r="B1263" s="321">
        <v>9</v>
      </c>
      <c r="C1263" s="339" t="str">
        <f>IFERROR(VLOOKUP(A1263,[3]DOORSCRIEFT!$A$2:$G$6834,2,FALSE),"")</f>
        <v/>
      </c>
      <c r="D1263" s="481" t="str">
        <f>IFERROR(VLOOKUP(A1263,[3]DOORSCRIEFT!$A$2:$G$6834,3,FALSE),"")</f>
        <v/>
      </c>
      <c r="E1263" s="480" t="str">
        <f>IFERROR(VLOOKUP(A1263,[3]DOORSCRIEFT!$A$2:$G$6834,4,FALSE),"")</f>
        <v/>
      </c>
      <c r="F1263" s="405" t="str">
        <f>IFERROR(VLOOKUP(A1263,[3]DOORSCRIEFT!$A$2:$G$6834,7,FALSE),"")</f>
        <v/>
      </c>
      <c r="G1263" s="315"/>
    </row>
    <row r="1264" spans="1:7" x14ac:dyDescent="0.25">
      <c r="A1264" s="321" t="str">
        <f t="shared" si="40"/>
        <v>II.3.1.1.01.00210</v>
      </c>
      <c r="B1264" s="321">
        <v>10</v>
      </c>
      <c r="C1264" s="339" t="str">
        <f>IFERROR(VLOOKUP(A1264,[3]DOORSCRIEFT!$A$2:$G$6834,2,FALSE),"")</f>
        <v/>
      </c>
      <c r="D1264" s="481" t="str">
        <f>IFERROR(VLOOKUP(A1264,[3]DOORSCRIEFT!$A$2:$G$6834,3,FALSE),"")</f>
        <v/>
      </c>
      <c r="E1264" s="480" t="str">
        <f>IFERROR(VLOOKUP(A1264,[3]DOORSCRIEFT!$A$2:$G$6834,4,FALSE),"")</f>
        <v/>
      </c>
      <c r="F1264" s="405" t="str">
        <f>IFERROR(VLOOKUP(A1264,[3]DOORSCRIEFT!$A$2:$G$6834,7,FALSE),"")</f>
        <v/>
      </c>
      <c r="G1264" s="315"/>
    </row>
    <row r="1265" spans="1:7" x14ac:dyDescent="0.25">
      <c r="A1265" s="321" t="str">
        <f t="shared" si="40"/>
        <v>II.3.1.1.01.00211</v>
      </c>
      <c r="B1265" s="321">
        <v>11</v>
      </c>
      <c r="C1265" s="339" t="str">
        <f>IFERROR(VLOOKUP(A1265,[3]DOORSCRIEFT!$A$2:$G$6834,2,FALSE),"")</f>
        <v/>
      </c>
      <c r="D1265" s="481" t="str">
        <f>IFERROR(VLOOKUP(A1265,[3]DOORSCRIEFT!$A$2:$G$6834,3,FALSE),"")</f>
        <v/>
      </c>
      <c r="E1265" s="480" t="str">
        <f>IFERROR(VLOOKUP(A1265,[3]DOORSCRIEFT!$A$2:$G$6834,4,FALSE),"")</f>
        <v/>
      </c>
      <c r="F1265" s="405" t="str">
        <f>IFERROR(VLOOKUP(A1265,[3]DOORSCRIEFT!$A$2:$G$6834,7,FALSE),"")</f>
        <v/>
      </c>
      <c r="G1265" s="315"/>
    </row>
    <row r="1266" spans="1:7" x14ac:dyDescent="0.25">
      <c r="A1266" s="321" t="str">
        <f t="shared" si="40"/>
        <v>II.3.1.1.01.00212</v>
      </c>
      <c r="B1266" s="321">
        <v>12</v>
      </c>
      <c r="C1266" s="339" t="str">
        <f>IFERROR(VLOOKUP(A1266,[3]DOORSCRIEFT!$A$2:$G$6834,2,FALSE),"")</f>
        <v/>
      </c>
      <c r="D1266" s="481" t="str">
        <f>IFERROR(VLOOKUP(A1266,[3]DOORSCRIEFT!$A$2:$G$6834,3,FALSE),"")</f>
        <v/>
      </c>
      <c r="E1266" s="480" t="str">
        <f>IFERROR(VLOOKUP(A1266,[3]DOORSCRIEFT!$A$2:$G$6834,4,FALSE),"")</f>
        <v/>
      </c>
      <c r="F1266" s="405" t="str">
        <f>IFERROR(VLOOKUP(A1266,[3]DOORSCRIEFT!$A$2:$G$6834,7,FALSE),"")</f>
        <v/>
      </c>
      <c r="G1266" s="315"/>
    </row>
    <row r="1267" spans="1:7" x14ac:dyDescent="0.25">
      <c r="A1267" s="321" t="str">
        <f t="shared" si="40"/>
        <v>II.3.1.1.01.00213</v>
      </c>
      <c r="B1267" s="321">
        <v>13</v>
      </c>
      <c r="C1267" s="339" t="str">
        <f>IFERROR(VLOOKUP(A1267,[3]DOORSCRIEFT!$A$2:$G$6834,2,FALSE),"")</f>
        <v/>
      </c>
      <c r="D1267" s="481" t="str">
        <f>IFERROR(VLOOKUP(A1267,[3]DOORSCRIEFT!$A$2:$G$6834,3,FALSE),"")</f>
        <v/>
      </c>
      <c r="E1267" s="480" t="str">
        <f>IFERROR(VLOOKUP(A1267,[3]DOORSCRIEFT!$A$2:$G$6834,4,FALSE),"")</f>
        <v/>
      </c>
      <c r="F1267" s="405" t="str">
        <f>IFERROR(VLOOKUP(A1267,[3]DOORSCRIEFT!$A$2:$G$6834,7,FALSE),"")</f>
        <v/>
      </c>
      <c r="G1267" s="315"/>
    </row>
    <row r="1268" spans="1:7" x14ac:dyDescent="0.25">
      <c r="A1268" s="321" t="str">
        <f t="shared" si="40"/>
        <v>II.3.1.1.01.00214</v>
      </c>
      <c r="B1268" s="321">
        <v>14</v>
      </c>
      <c r="C1268" s="339" t="str">
        <f>IFERROR(VLOOKUP(A1268,[3]DOORSCRIEFT!$A$2:$G$6834,2,FALSE),"")</f>
        <v/>
      </c>
      <c r="D1268" s="481" t="str">
        <f>IFERROR(VLOOKUP(A1268,[3]DOORSCRIEFT!$A$2:$G$6834,3,FALSE),"")</f>
        <v/>
      </c>
      <c r="E1268" s="480" t="str">
        <f>IFERROR(VLOOKUP(A1268,[3]DOORSCRIEFT!$A$2:$G$6834,4,FALSE),"")</f>
        <v/>
      </c>
      <c r="F1268" s="405" t="str">
        <f>IFERROR(VLOOKUP(A1268,[3]DOORSCRIEFT!$A$2:$G$6834,7,FALSE),"")</f>
        <v/>
      </c>
      <c r="G1268" s="315"/>
    </row>
    <row r="1269" spans="1:7" x14ac:dyDescent="0.25">
      <c r="A1269" s="321" t="str">
        <f t="shared" si="40"/>
        <v>II.3.1.1.01.00215</v>
      </c>
      <c r="B1269" s="321">
        <v>15</v>
      </c>
      <c r="C1269" s="339" t="str">
        <f>IFERROR(VLOOKUP(A1269,[3]DOORSCRIEFT!$A$2:$G$6834,2,FALSE),"")</f>
        <v/>
      </c>
      <c r="D1269" s="481" t="str">
        <f>IFERROR(VLOOKUP(A1269,[3]DOORSCRIEFT!$A$2:$G$6834,3,FALSE),"")</f>
        <v/>
      </c>
      <c r="E1269" s="480" t="str">
        <f>IFERROR(VLOOKUP(A1269,[3]DOORSCRIEFT!$A$2:$G$6834,4,FALSE),"")</f>
        <v/>
      </c>
      <c r="F1269" s="405" t="str">
        <f>IFERROR(VLOOKUP(A1269,[3]DOORSCRIEFT!$A$2:$G$6834,7,FALSE),"")</f>
        <v/>
      </c>
      <c r="G1269" s="315"/>
    </row>
    <row r="1270" spans="1:7" x14ac:dyDescent="0.25">
      <c r="A1270" s="321" t="str">
        <f t="shared" si="40"/>
        <v>II.3.1.1.01.00216</v>
      </c>
      <c r="B1270" s="321">
        <v>16</v>
      </c>
      <c r="C1270" s="339" t="str">
        <f>IFERROR(VLOOKUP(A1270,[3]DOORSCRIEFT!$A$2:$G$6834,2,FALSE),"")</f>
        <v/>
      </c>
      <c r="D1270" s="481" t="str">
        <f>IFERROR(VLOOKUP(A1270,[3]DOORSCRIEFT!$A$2:$G$6834,3,FALSE),"")</f>
        <v/>
      </c>
      <c r="E1270" s="480" t="str">
        <f>IFERROR(VLOOKUP(A1270,[3]DOORSCRIEFT!$A$2:$G$6834,4,FALSE),"")</f>
        <v/>
      </c>
      <c r="F1270" s="405" t="str">
        <f>IFERROR(VLOOKUP(A1270,[3]DOORSCRIEFT!$A$2:$G$6834,7,FALSE),"")</f>
        <v/>
      </c>
      <c r="G1270" s="315"/>
    </row>
    <row r="1271" spans="1:7" x14ac:dyDescent="0.25">
      <c r="A1271" s="321" t="str">
        <f t="shared" si="40"/>
        <v>II.3.1.1.01.00217</v>
      </c>
      <c r="B1271" s="321">
        <v>17</v>
      </c>
      <c r="C1271" s="339" t="str">
        <f>IFERROR(VLOOKUP(A1271,[3]DOORSCRIEFT!$A$2:$G$6834,2,FALSE),"")</f>
        <v/>
      </c>
      <c r="D1271" s="481" t="str">
        <f>IFERROR(VLOOKUP(A1271,[3]DOORSCRIEFT!$A$2:$G$6834,3,FALSE),"")</f>
        <v/>
      </c>
      <c r="E1271" s="480" t="str">
        <f>IFERROR(VLOOKUP(A1271,[3]DOORSCRIEFT!$A$2:$G$6834,4,FALSE),"")</f>
        <v/>
      </c>
      <c r="F1271" s="405" t="str">
        <f>IFERROR(VLOOKUP(A1271,[3]DOORSCRIEFT!$A$2:$G$6834,7,FALSE),"")</f>
        <v/>
      </c>
      <c r="G1271" s="315"/>
    </row>
    <row r="1272" spans="1:7" x14ac:dyDescent="0.25">
      <c r="A1272" s="321" t="str">
        <f t="shared" si="40"/>
        <v>II.3.1.1.01.00218</v>
      </c>
      <c r="B1272" s="321">
        <v>18</v>
      </c>
      <c r="C1272" s="339" t="str">
        <f>IFERROR(VLOOKUP(A1272,[3]DOORSCRIEFT!$A$2:$G$6834,2,FALSE),"")</f>
        <v/>
      </c>
      <c r="D1272" s="481" t="str">
        <f>IFERROR(VLOOKUP(A1272,[3]DOORSCRIEFT!$A$2:$G$6834,3,FALSE),"")</f>
        <v/>
      </c>
      <c r="E1272" s="480" t="str">
        <f>IFERROR(VLOOKUP(A1272,[3]DOORSCRIEFT!$A$2:$G$6834,4,FALSE),"")</f>
        <v/>
      </c>
      <c r="F1272" s="405" t="str">
        <f>IFERROR(VLOOKUP(A1272,[3]DOORSCRIEFT!$A$2:$G$6834,7,FALSE),"")</f>
        <v/>
      </c>
      <c r="G1272" s="315"/>
    </row>
    <row r="1273" spans="1:7" x14ac:dyDescent="0.25">
      <c r="A1273" s="321" t="str">
        <f t="shared" si="40"/>
        <v>II.3.1.1.01.00219</v>
      </c>
      <c r="B1273" s="321">
        <v>19</v>
      </c>
      <c r="C1273" s="339" t="str">
        <f>IFERROR(VLOOKUP(A1273,[3]DOORSCRIEFT!$A$2:$G$6834,2,FALSE),"")</f>
        <v/>
      </c>
      <c r="D1273" s="481" t="str">
        <f>IFERROR(VLOOKUP(A1273,[3]DOORSCRIEFT!$A$2:$G$6834,3,FALSE),"")</f>
        <v/>
      </c>
      <c r="E1273" s="480" t="str">
        <f>IFERROR(VLOOKUP(A1273,[3]DOORSCRIEFT!$A$2:$G$6834,4,FALSE),"")</f>
        <v/>
      </c>
      <c r="F1273" s="405" t="str">
        <f>IFERROR(VLOOKUP(A1273,[3]DOORSCRIEFT!$A$2:$G$6834,7,FALSE),"")</f>
        <v/>
      </c>
      <c r="G1273" s="315"/>
    </row>
    <row r="1274" spans="1:7" x14ac:dyDescent="0.25">
      <c r="A1274" s="321" t="str">
        <f t="shared" si="40"/>
        <v>II.3.1.1.01.00220</v>
      </c>
      <c r="B1274" s="321">
        <v>20</v>
      </c>
      <c r="C1274" s="339" t="str">
        <f>IFERROR(VLOOKUP(A1274,[3]DOORSCRIEFT!$A$2:$G$6834,2,FALSE),"")</f>
        <v/>
      </c>
      <c r="D1274" s="481" t="str">
        <f>IFERROR(VLOOKUP(A1274,[3]DOORSCRIEFT!$A$2:$G$6834,3,FALSE),"")</f>
        <v/>
      </c>
      <c r="E1274" s="480" t="str">
        <f>IFERROR(VLOOKUP(A1274,[3]DOORSCRIEFT!$A$2:$G$6834,4,FALSE),"")</f>
        <v/>
      </c>
      <c r="F1274" s="405" t="str">
        <f>IFERROR(VLOOKUP(A1274,[3]DOORSCRIEFT!$A$2:$G$6834,7,FALSE),"")</f>
        <v/>
      </c>
      <c r="G1274" s="315"/>
    </row>
    <row r="1275" spans="1:7" x14ac:dyDescent="0.25">
      <c r="A1275" s="321" t="str">
        <f t="shared" si="40"/>
        <v>II.3.1.1.01.00221</v>
      </c>
      <c r="B1275" s="321">
        <v>21</v>
      </c>
      <c r="C1275" s="339" t="str">
        <f>IFERROR(VLOOKUP(A1275,[3]DOORSCRIEFT!$A$2:$G$6834,2,FALSE),"")</f>
        <v/>
      </c>
      <c r="D1275" s="481" t="str">
        <f>IFERROR(VLOOKUP(A1275,[3]DOORSCRIEFT!$A$2:$G$6834,3,FALSE),"")</f>
        <v/>
      </c>
      <c r="E1275" s="480" t="str">
        <f>IFERROR(VLOOKUP(A1275,[3]DOORSCRIEFT!$A$2:$G$6834,4,FALSE),"")</f>
        <v/>
      </c>
      <c r="F1275" s="405" t="str">
        <f>IFERROR(VLOOKUP(A1275,[3]DOORSCRIEFT!$A$2:$G$6834,7,FALSE),"")</f>
        <v/>
      </c>
      <c r="G1275" s="315"/>
    </row>
    <row r="1276" spans="1:7" x14ac:dyDescent="0.25">
      <c r="A1276" s="321" t="str">
        <f t="shared" si="40"/>
        <v>II.3.1.1.01.00222</v>
      </c>
      <c r="B1276" s="321">
        <v>22</v>
      </c>
      <c r="C1276" s="339" t="str">
        <f>IFERROR(VLOOKUP(A1276,[3]DOORSCRIEFT!$A$2:$G$6834,2,FALSE),"")</f>
        <v/>
      </c>
      <c r="D1276" s="481" t="str">
        <f>IFERROR(VLOOKUP(A1276,[3]DOORSCRIEFT!$A$2:$G$6834,3,FALSE),"")</f>
        <v/>
      </c>
      <c r="E1276" s="480" t="str">
        <f>IFERROR(VLOOKUP(A1276,[3]DOORSCRIEFT!$A$2:$G$6834,4,FALSE),"")</f>
        <v/>
      </c>
      <c r="F1276" s="405" t="str">
        <f>IFERROR(VLOOKUP(A1276,[3]DOORSCRIEFT!$A$2:$G$6834,7,FALSE),"")</f>
        <v/>
      </c>
      <c r="G1276" s="315"/>
    </row>
    <row r="1277" spans="1:7" x14ac:dyDescent="0.25">
      <c r="A1277" s="321" t="str">
        <f t="shared" si="40"/>
        <v>II.3.1.1.01.00223</v>
      </c>
      <c r="B1277" s="321">
        <v>23</v>
      </c>
      <c r="C1277" s="339" t="str">
        <f>IFERROR(VLOOKUP(A1277,[3]DOORSCRIEFT!$A$2:$G$6834,2,FALSE),"")</f>
        <v/>
      </c>
      <c r="D1277" s="481" t="str">
        <f>IFERROR(VLOOKUP(A1277,[3]DOORSCRIEFT!$A$2:$G$6834,3,FALSE),"")</f>
        <v/>
      </c>
      <c r="E1277" s="480" t="str">
        <f>IFERROR(VLOOKUP(A1277,[3]DOORSCRIEFT!$A$2:$G$6834,4,FALSE),"")</f>
        <v/>
      </c>
      <c r="F1277" s="405" t="str">
        <f>IFERROR(VLOOKUP(A1277,[3]DOORSCRIEFT!$A$2:$G$6834,7,FALSE),"")</f>
        <v/>
      </c>
      <c r="G1277" s="315"/>
    </row>
    <row r="1278" spans="1:7" ht="15.75" thickBot="1" x14ac:dyDescent="0.3">
      <c r="A1278" s="342" t="str">
        <f t="shared" si="40"/>
        <v>II.3.1.1.01.00224</v>
      </c>
      <c r="B1278" s="342">
        <v>24</v>
      </c>
      <c r="C1278" s="339" t="str">
        <f>IFERROR(VLOOKUP(A1278,[3]DOORSCRIEFT!$A$2:$G$6834,2,FALSE),"")</f>
        <v/>
      </c>
      <c r="D1278" s="481" t="str">
        <f>IFERROR(VLOOKUP(A1278,[3]DOORSCRIEFT!$A$2:$G$6834,3,FALSE),"")</f>
        <v/>
      </c>
      <c r="E1278" s="480" t="str">
        <f>IFERROR(VLOOKUP(A1278,[3]DOORSCRIEFT!$A$2:$G$6834,4,FALSE),"")</f>
        <v/>
      </c>
      <c r="F1278" s="405" t="str">
        <f>IFERROR(VLOOKUP(A1278,[3]DOORSCRIEFT!$A$2:$G$6834,7,FALSE),"")</f>
        <v/>
      </c>
      <c r="G1278" s="315"/>
    </row>
    <row r="1279" spans="1:7" ht="15.75" thickBot="1" x14ac:dyDescent="0.3">
      <c r="A1279" s="341"/>
      <c r="B1279" s="340"/>
      <c r="C1279" s="336"/>
      <c r="D1279" s="486"/>
      <c r="E1279" s="340" t="s">
        <v>644</v>
      </c>
      <c r="F1279" s="310">
        <f>SUM(F1255:F1278)</f>
        <v>3600000</v>
      </c>
      <c r="G1279" s="309">
        <f>SUM(G1255:G1278)</f>
        <v>0</v>
      </c>
    </row>
    <row r="1280" spans="1:7" x14ac:dyDescent="0.25">
      <c r="C1280" s="335"/>
      <c r="D1280" s="485"/>
    </row>
    <row r="1281" spans="1:7" x14ac:dyDescent="0.25">
      <c r="C1281" s="335"/>
      <c r="D1281" s="485"/>
    </row>
    <row r="1282" spans="1:7" ht="15.75" x14ac:dyDescent="0.25">
      <c r="C1282" s="334" t="s">
        <v>663</v>
      </c>
      <c r="D1282" s="484"/>
      <c r="E1282" s="333"/>
      <c r="F1282" s="327" t="s">
        <v>607</v>
      </c>
      <c r="G1282" s="327" t="s">
        <v>165</v>
      </c>
    </row>
    <row r="1283" spans="1:7" ht="15.75" x14ac:dyDescent="0.25">
      <c r="C1283" s="334"/>
      <c r="D1283" s="484"/>
      <c r="E1283" s="333"/>
      <c r="F1283" s="327" t="s">
        <v>601</v>
      </c>
      <c r="G1283" s="327" t="s">
        <v>164</v>
      </c>
    </row>
    <row r="1284" spans="1:7" x14ac:dyDescent="0.25">
      <c r="C1284" s="330"/>
      <c r="D1284" s="482"/>
      <c r="E1284" s="329"/>
      <c r="F1284" s="327" t="s">
        <v>651</v>
      </c>
      <c r="G1284" s="331">
        <f>[2]Sheet1!$D$348</f>
        <v>17500000</v>
      </c>
    </row>
    <row r="1285" spans="1:7" ht="15.75" thickBot="1" x14ac:dyDescent="0.3">
      <c r="C1285" s="330"/>
      <c r="D1285" s="482"/>
      <c r="E1285" s="329"/>
      <c r="F1285" s="327" t="s">
        <v>650</v>
      </c>
      <c r="G1285" s="326">
        <f>+F1304-G1284</f>
        <v>-17500000</v>
      </c>
    </row>
    <row r="1286" spans="1:7" x14ac:dyDescent="0.25">
      <c r="A1286" s="571" t="s">
        <v>655</v>
      </c>
      <c r="B1286" s="573" t="s">
        <v>606</v>
      </c>
      <c r="C1286" s="588" t="s">
        <v>649</v>
      </c>
      <c r="D1286" s="599" t="s">
        <v>648</v>
      </c>
      <c r="E1286" s="577" t="s">
        <v>647</v>
      </c>
      <c r="F1286" s="577" t="s">
        <v>646</v>
      </c>
      <c r="G1286" s="580" t="s">
        <v>645</v>
      </c>
    </row>
    <row r="1287" spans="1:7" ht="15.75" thickBot="1" x14ac:dyDescent="0.3">
      <c r="A1287" s="572"/>
      <c r="B1287" s="574"/>
      <c r="C1287" s="589"/>
      <c r="D1287" s="600"/>
      <c r="E1287" s="578"/>
      <c r="F1287" s="578"/>
      <c r="G1287" s="581"/>
    </row>
    <row r="1288" spans="1:7" ht="15.75" thickBot="1" x14ac:dyDescent="0.3">
      <c r="A1288" s="425">
        <v>1</v>
      </c>
      <c r="B1288" s="425">
        <v>2</v>
      </c>
      <c r="C1288" s="425">
        <v>3</v>
      </c>
      <c r="D1288" s="425">
        <v>4</v>
      </c>
      <c r="E1288" s="425">
        <v>5</v>
      </c>
      <c r="F1288" s="425">
        <v>6</v>
      </c>
      <c r="G1288" s="425">
        <v>7</v>
      </c>
    </row>
    <row r="1289" spans="1:7" x14ac:dyDescent="0.25">
      <c r="A1289" s="320" t="str">
        <f t="shared" ref="A1289:A1303" si="41">$G$1282&amp;B1289</f>
        <v>II.3.1.1.01.0031</v>
      </c>
      <c r="B1289" s="320">
        <v>1</v>
      </c>
      <c r="C1289" s="339" t="str">
        <f>IFERROR(VLOOKUP(A1289,[3]DOORSCRIEFT!$A$2:$G$6834,2,FALSE),"")</f>
        <v/>
      </c>
      <c r="D1289" s="481" t="str">
        <f>IFERROR(VLOOKUP(A1289,[3]DOORSCRIEFT!$A$2:$G$6834,3,FALSE),"")</f>
        <v/>
      </c>
      <c r="E1289" s="480" t="str">
        <f>IFERROR(VLOOKUP(A1289,[3]DOORSCRIEFT!$A$2:$G$6834,4,FALSE),"")</f>
        <v/>
      </c>
      <c r="F1289" s="405" t="str">
        <f>IFERROR(VLOOKUP(A1289,[3]DOORSCRIEFT!$A$2:$G$6834,7,FALSE),"")</f>
        <v/>
      </c>
      <c r="G1289" s="322"/>
    </row>
    <row r="1290" spans="1:7" x14ac:dyDescent="0.25">
      <c r="A1290" s="321" t="str">
        <f t="shared" si="41"/>
        <v>II.3.1.1.01.0032</v>
      </c>
      <c r="B1290" s="321">
        <v>2</v>
      </c>
      <c r="C1290" s="339" t="str">
        <f>IFERROR(VLOOKUP(A1290,[3]DOORSCRIEFT!$A$2:$G$6834,2,FALSE),"")</f>
        <v/>
      </c>
      <c r="D1290" s="481" t="str">
        <f>IFERROR(VLOOKUP(A1290,[3]DOORSCRIEFT!$A$2:$G$6834,3,FALSE),"")</f>
        <v/>
      </c>
      <c r="E1290" s="480" t="str">
        <f>IFERROR(VLOOKUP(A1290,[3]DOORSCRIEFT!$A$2:$G$6834,4,FALSE),"")</f>
        <v/>
      </c>
      <c r="F1290" s="405" t="str">
        <f>IFERROR(VLOOKUP(A1290,[3]DOORSCRIEFT!$A$2:$G$6834,7,FALSE),"")</f>
        <v/>
      </c>
      <c r="G1290" s="315"/>
    </row>
    <row r="1291" spans="1:7" x14ac:dyDescent="0.25">
      <c r="A1291" s="321" t="str">
        <f t="shared" si="41"/>
        <v>II.3.1.1.01.0033</v>
      </c>
      <c r="B1291" s="321">
        <v>3</v>
      </c>
      <c r="C1291" s="339" t="str">
        <f>IFERROR(VLOOKUP(A1291,[3]DOORSCRIEFT!$A$2:$G$6834,2,FALSE),"")</f>
        <v/>
      </c>
      <c r="D1291" s="481" t="str">
        <f>IFERROR(VLOOKUP(A1291,[3]DOORSCRIEFT!$A$2:$G$6834,3,FALSE),"")</f>
        <v/>
      </c>
      <c r="E1291" s="480" t="str">
        <f>IFERROR(VLOOKUP(A1291,[3]DOORSCRIEFT!$A$2:$G$6834,4,FALSE),"")</f>
        <v/>
      </c>
      <c r="F1291" s="405" t="str">
        <f>IFERROR(VLOOKUP(A1291,[3]DOORSCRIEFT!$A$2:$G$6834,7,FALSE),"")</f>
        <v/>
      </c>
      <c r="G1291" s="315"/>
    </row>
    <row r="1292" spans="1:7" x14ac:dyDescent="0.25">
      <c r="A1292" s="321" t="str">
        <f t="shared" si="41"/>
        <v>II.3.1.1.01.0034</v>
      </c>
      <c r="B1292" s="321">
        <v>4</v>
      </c>
      <c r="C1292" s="339" t="str">
        <f>IFERROR(VLOOKUP(A1292,[3]DOORSCRIEFT!$A$2:$G$6834,2,FALSE),"")</f>
        <v/>
      </c>
      <c r="D1292" s="481" t="str">
        <f>IFERROR(VLOOKUP(A1292,[3]DOORSCRIEFT!$A$2:$G$6834,3,FALSE),"")</f>
        <v/>
      </c>
      <c r="E1292" s="480" t="str">
        <f>IFERROR(VLOOKUP(A1292,[3]DOORSCRIEFT!$A$2:$G$6834,4,FALSE),"")</f>
        <v/>
      </c>
      <c r="F1292" s="405" t="str">
        <f>IFERROR(VLOOKUP(A1292,[3]DOORSCRIEFT!$A$2:$G$6834,7,FALSE),"")</f>
        <v/>
      </c>
      <c r="G1292" s="315"/>
    </row>
    <row r="1293" spans="1:7" x14ac:dyDescent="0.25">
      <c r="A1293" s="321" t="str">
        <f t="shared" si="41"/>
        <v>II.3.1.1.01.0035</v>
      </c>
      <c r="B1293" s="321">
        <v>5</v>
      </c>
      <c r="C1293" s="339" t="str">
        <f>IFERROR(VLOOKUP(A1293,[3]DOORSCRIEFT!$A$2:$G$6834,2,FALSE),"")</f>
        <v/>
      </c>
      <c r="D1293" s="481" t="str">
        <f>IFERROR(VLOOKUP(A1293,[3]DOORSCRIEFT!$A$2:$G$6834,3,FALSE),"")</f>
        <v/>
      </c>
      <c r="E1293" s="480" t="str">
        <f>IFERROR(VLOOKUP(A1293,[3]DOORSCRIEFT!$A$2:$G$6834,4,FALSE),"")</f>
        <v/>
      </c>
      <c r="F1293" s="405" t="str">
        <f>IFERROR(VLOOKUP(A1293,[3]DOORSCRIEFT!$A$2:$G$6834,7,FALSE),"")</f>
        <v/>
      </c>
      <c r="G1293" s="315"/>
    </row>
    <row r="1294" spans="1:7" x14ac:dyDescent="0.25">
      <c r="A1294" s="321" t="str">
        <f t="shared" si="41"/>
        <v>II.3.1.1.01.0036</v>
      </c>
      <c r="B1294" s="321">
        <v>6</v>
      </c>
      <c r="C1294" s="339" t="str">
        <f>IFERROR(VLOOKUP(A1294,[3]DOORSCRIEFT!$A$2:$G$6834,2,FALSE),"")</f>
        <v/>
      </c>
      <c r="D1294" s="481" t="str">
        <f>IFERROR(VLOOKUP(A1294,[3]DOORSCRIEFT!$A$2:$G$6834,3,FALSE),"")</f>
        <v/>
      </c>
      <c r="E1294" s="480" t="str">
        <f>IFERROR(VLOOKUP(A1294,[3]DOORSCRIEFT!$A$2:$G$6834,4,FALSE),"")</f>
        <v/>
      </c>
      <c r="F1294" s="405" t="str">
        <f>IFERROR(VLOOKUP(A1294,[3]DOORSCRIEFT!$A$2:$G$6834,7,FALSE),"")</f>
        <v/>
      </c>
      <c r="G1294" s="315"/>
    </row>
    <row r="1295" spans="1:7" x14ac:dyDescent="0.25">
      <c r="A1295" s="321" t="str">
        <f t="shared" si="41"/>
        <v>II.3.1.1.01.0037</v>
      </c>
      <c r="B1295" s="321">
        <v>7</v>
      </c>
      <c r="C1295" s="339" t="str">
        <f>IFERROR(VLOOKUP(A1295,[3]DOORSCRIEFT!$A$2:$G$6834,2,FALSE),"")</f>
        <v/>
      </c>
      <c r="D1295" s="481" t="str">
        <f>IFERROR(VLOOKUP(A1295,[3]DOORSCRIEFT!$A$2:$G$6834,3,FALSE),"")</f>
        <v/>
      </c>
      <c r="E1295" s="480" t="str">
        <f>IFERROR(VLOOKUP(A1295,[3]DOORSCRIEFT!$A$2:$G$6834,4,FALSE),"")</f>
        <v/>
      </c>
      <c r="F1295" s="405" t="str">
        <f>IFERROR(VLOOKUP(A1295,[3]DOORSCRIEFT!$A$2:$G$6834,7,FALSE),"")</f>
        <v/>
      </c>
      <c r="G1295" s="315"/>
    </row>
    <row r="1296" spans="1:7" x14ac:dyDescent="0.25">
      <c r="A1296" s="321" t="str">
        <f t="shared" si="41"/>
        <v>II.3.1.1.01.0038</v>
      </c>
      <c r="B1296" s="321">
        <v>8</v>
      </c>
      <c r="C1296" s="339" t="str">
        <f>IFERROR(VLOOKUP(A1296,[3]DOORSCRIEFT!$A$2:$G$6834,2,FALSE),"")</f>
        <v/>
      </c>
      <c r="D1296" s="481" t="str">
        <f>IFERROR(VLOOKUP(A1296,[3]DOORSCRIEFT!$A$2:$G$6834,3,FALSE),"")</f>
        <v/>
      </c>
      <c r="E1296" s="480" t="str">
        <f>IFERROR(VLOOKUP(A1296,[3]DOORSCRIEFT!$A$2:$G$6834,4,FALSE),"")</f>
        <v/>
      </c>
      <c r="F1296" s="405" t="str">
        <f>IFERROR(VLOOKUP(A1296,[3]DOORSCRIEFT!$A$2:$G$6834,7,FALSE),"")</f>
        <v/>
      </c>
      <c r="G1296" s="315"/>
    </row>
    <row r="1297" spans="1:7" x14ac:dyDescent="0.25">
      <c r="A1297" s="321" t="str">
        <f t="shared" si="41"/>
        <v>II.3.1.1.01.0039</v>
      </c>
      <c r="B1297" s="321">
        <v>9</v>
      </c>
      <c r="C1297" s="339" t="str">
        <f>IFERROR(VLOOKUP(A1297,[3]DOORSCRIEFT!$A$2:$G$6834,2,FALSE),"")</f>
        <v/>
      </c>
      <c r="D1297" s="481" t="str">
        <f>IFERROR(VLOOKUP(A1297,[3]DOORSCRIEFT!$A$2:$G$6834,3,FALSE),"")</f>
        <v/>
      </c>
      <c r="E1297" s="480" t="str">
        <f>IFERROR(VLOOKUP(A1297,[3]DOORSCRIEFT!$A$2:$G$6834,4,FALSE),"")</f>
        <v/>
      </c>
      <c r="F1297" s="405" t="str">
        <f>IFERROR(VLOOKUP(A1297,[3]DOORSCRIEFT!$A$2:$G$6834,7,FALSE),"")</f>
        <v/>
      </c>
      <c r="G1297" s="315"/>
    </row>
    <row r="1298" spans="1:7" x14ac:dyDescent="0.25">
      <c r="A1298" s="321" t="str">
        <f t="shared" si="41"/>
        <v>II.3.1.1.01.00310</v>
      </c>
      <c r="B1298" s="321">
        <v>10</v>
      </c>
      <c r="C1298" s="339" t="str">
        <f>IFERROR(VLOOKUP(A1298,[3]DOORSCRIEFT!$A$2:$G$6834,2,FALSE),"")</f>
        <v/>
      </c>
      <c r="D1298" s="481" t="str">
        <f>IFERROR(VLOOKUP(A1298,[3]DOORSCRIEFT!$A$2:$G$6834,3,FALSE),"")</f>
        <v/>
      </c>
      <c r="E1298" s="480" t="str">
        <f>IFERROR(VLOOKUP(A1298,[3]DOORSCRIEFT!$A$2:$G$6834,4,FALSE),"")</f>
        <v/>
      </c>
      <c r="F1298" s="405" t="str">
        <f>IFERROR(VLOOKUP(A1298,[3]DOORSCRIEFT!$A$2:$G$6834,7,FALSE),"")</f>
        <v/>
      </c>
      <c r="G1298" s="315"/>
    </row>
    <row r="1299" spans="1:7" x14ac:dyDescent="0.25">
      <c r="A1299" s="321" t="str">
        <f t="shared" si="41"/>
        <v>II.3.1.1.01.00311</v>
      </c>
      <c r="B1299" s="321">
        <v>11</v>
      </c>
      <c r="C1299" s="339" t="str">
        <f>IFERROR(VLOOKUP(A1299,[3]DOORSCRIEFT!$A$2:$G$6834,2,FALSE),"")</f>
        <v/>
      </c>
      <c r="D1299" s="481" t="str">
        <f>IFERROR(VLOOKUP(A1299,[3]DOORSCRIEFT!$A$2:$G$6834,3,FALSE),"")</f>
        <v/>
      </c>
      <c r="E1299" s="480" t="str">
        <f>IFERROR(VLOOKUP(A1299,[3]DOORSCRIEFT!$A$2:$G$6834,4,FALSE),"")</f>
        <v/>
      </c>
      <c r="F1299" s="405" t="str">
        <f>IFERROR(VLOOKUP(A1299,[3]DOORSCRIEFT!$A$2:$G$6834,7,FALSE),"")</f>
        <v/>
      </c>
      <c r="G1299" s="315"/>
    </row>
    <row r="1300" spans="1:7" x14ac:dyDescent="0.25">
      <c r="A1300" s="321" t="str">
        <f t="shared" si="41"/>
        <v>II.3.1.1.01.00312</v>
      </c>
      <c r="B1300" s="321">
        <v>12</v>
      </c>
      <c r="C1300" s="339" t="str">
        <f>IFERROR(VLOOKUP(A1300,[3]DOORSCRIEFT!$A$2:$G$6834,2,FALSE),"")</f>
        <v/>
      </c>
      <c r="D1300" s="481" t="str">
        <f>IFERROR(VLOOKUP(A1300,[3]DOORSCRIEFT!$A$2:$G$6834,3,FALSE),"")</f>
        <v/>
      </c>
      <c r="E1300" s="480" t="str">
        <f>IFERROR(VLOOKUP(A1300,[3]DOORSCRIEFT!$A$2:$G$6834,4,FALSE),"")</f>
        <v/>
      </c>
      <c r="F1300" s="405" t="str">
        <f>IFERROR(VLOOKUP(A1300,[3]DOORSCRIEFT!$A$2:$G$6834,7,FALSE),"")</f>
        <v/>
      </c>
      <c r="G1300" s="315"/>
    </row>
    <row r="1301" spans="1:7" x14ac:dyDescent="0.25">
      <c r="A1301" s="321" t="str">
        <f t="shared" si="41"/>
        <v>II.3.1.1.01.00313</v>
      </c>
      <c r="B1301" s="321">
        <v>13</v>
      </c>
      <c r="C1301" s="339" t="str">
        <f>IFERROR(VLOOKUP(A1301,[3]DOORSCRIEFT!$A$2:$G$6834,2,FALSE),"")</f>
        <v/>
      </c>
      <c r="D1301" s="481" t="str">
        <f>IFERROR(VLOOKUP(A1301,[3]DOORSCRIEFT!$A$2:$G$6834,3,FALSE),"")</f>
        <v/>
      </c>
      <c r="E1301" s="480" t="str">
        <f>IFERROR(VLOOKUP(A1301,[3]DOORSCRIEFT!$A$2:$G$6834,4,FALSE),"")</f>
        <v/>
      </c>
      <c r="F1301" s="405" t="str">
        <f>IFERROR(VLOOKUP(A1301,[3]DOORSCRIEFT!$A$2:$G$6834,7,FALSE),"")</f>
        <v/>
      </c>
      <c r="G1301" s="315"/>
    </row>
    <row r="1302" spans="1:7" x14ac:dyDescent="0.25">
      <c r="A1302" s="321" t="str">
        <f t="shared" si="41"/>
        <v>II.3.1.1.01.00314</v>
      </c>
      <c r="B1302" s="321">
        <v>14</v>
      </c>
      <c r="C1302" s="339" t="str">
        <f>IFERROR(VLOOKUP(A1302,[3]DOORSCRIEFT!$A$2:$G$6834,2,FALSE),"")</f>
        <v/>
      </c>
      <c r="D1302" s="481" t="str">
        <f>IFERROR(VLOOKUP(A1302,[3]DOORSCRIEFT!$A$2:$G$6834,3,FALSE),"")</f>
        <v/>
      </c>
      <c r="E1302" s="480" t="str">
        <f>IFERROR(VLOOKUP(A1302,[3]DOORSCRIEFT!$A$2:$G$6834,4,FALSE),"")</f>
        <v/>
      </c>
      <c r="F1302" s="405" t="str">
        <f>IFERROR(VLOOKUP(A1302,[3]DOORSCRIEFT!$A$2:$G$6834,7,FALSE),"")</f>
        <v/>
      </c>
      <c r="G1302" s="315"/>
    </row>
    <row r="1303" spans="1:7" ht="15.75" thickBot="1" x14ac:dyDescent="0.3">
      <c r="A1303" s="342" t="str">
        <f t="shared" si="41"/>
        <v>II.3.1.1.01.00315</v>
      </c>
      <c r="B1303" s="342">
        <v>15</v>
      </c>
      <c r="C1303" s="339" t="str">
        <f>IFERROR(VLOOKUP(A1303,[3]DOORSCRIEFT!$A$2:$G$6834,2,FALSE),"")</f>
        <v/>
      </c>
      <c r="D1303" s="481" t="str">
        <f>IFERROR(VLOOKUP(A1303,[3]DOORSCRIEFT!$A$2:$G$6834,3,FALSE),"")</f>
        <v/>
      </c>
      <c r="E1303" s="480" t="str">
        <f>IFERROR(VLOOKUP(A1303,[3]DOORSCRIEFT!$A$2:$G$6834,4,FALSE),"")</f>
        <v/>
      </c>
      <c r="F1303" s="405" t="str">
        <f>IFERROR(VLOOKUP(A1303,[3]DOORSCRIEFT!$A$2:$G$6834,7,FALSE),"")</f>
        <v/>
      </c>
      <c r="G1303" s="315"/>
    </row>
    <row r="1304" spans="1:7" ht="15.75" thickBot="1" x14ac:dyDescent="0.3">
      <c r="A1304" s="341"/>
      <c r="B1304" s="340"/>
      <c r="C1304" s="336"/>
      <c r="D1304" s="486"/>
      <c r="E1304" s="340" t="s">
        <v>644</v>
      </c>
      <c r="F1304" s="310">
        <f>SUM(F1289:F1303)</f>
        <v>0</v>
      </c>
      <c r="G1304" s="309">
        <f>SUM(G1289:G1303)</f>
        <v>0</v>
      </c>
    </row>
    <row r="1305" spans="1:7" x14ac:dyDescent="0.25">
      <c r="C1305" s="335"/>
      <c r="D1305" s="485"/>
    </row>
    <row r="1306" spans="1:7" x14ac:dyDescent="0.25">
      <c r="C1306" s="335"/>
      <c r="D1306" s="485"/>
    </row>
    <row r="1307" spans="1:7" ht="15.75" x14ac:dyDescent="0.25">
      <c r="C1307" s="334" t="s">
        <v>663</v>
      </c>
      <c r="D1307" s="484"/>
      <c r="E1307" s="333"/>
      <c r="F1307" s="327" t="s">
        <v>607</v>
      </c>
      <c r="G1307" s="327" t="s">
        <v>163</v>
      </c>
    </row>
    <row r="1308" spans="1:7" ht="15.75" x14ac:dyDescent="0.25">
      <c r="C1308" s="334"/>
      <c r="D1308" s="484"/>
      <c r="E1308" s="333"/>
      <c r="F1308" s="327" t="s">
        <v>601</v>
      </c>
      <c r="G1308" s="327" t="s">
        <v>162</v>
      </c>
    </row>
    <row r="1309" spans="1:7" x14ac:dyDescent="0.25">
      <c r="C1309" s="330"/>
      <c r="D1309" s="482"/>
      <c r="E1309" s="329"/>
      <c r="F1309" s="327" t="s">
        <v>651</v>
      </c>
      <c r="G1309" s="331">
        <f>[2]Sheet1!$D$368</f>
        <v>16100000</v>
      </c>
    </row>
    <row r="1310" spans="1:7" ht="15.75" thickBot="1" x14ac:dyDescent="0.3">
      <c r="C1310" s="330"/>
      <c r="D1310" s="482"/>
      <c r="E1310" s="329"/>
      <c r="F1310" s="327" t="s">
        <v>650</v>
      </c>
      <c r="G1310" s="326">
        <f>+F1338-G1309</f>
        <v>-16100000</v>
      </c>
    </row>
    <row r="1311" spans="1:7" x14ac:dyDescent="0.25">
      <c r="A1311" s="571" t="s">
        <v>655</v>
      </c>
      <c r="B1311" s="573" t="s">
        <v>606</v>
      </c>
      <c r="C1311" s="588" t="s">
        <v>649</v>
      </c>
      <c r="D1311" s="599" t="s">
        <v>648</v>
      </c>
      <c r="E1311" s="577" t="s">
        <v>647</v>
      </c>
      <c r="F1311" s="577" t="s">
        <v>646</v>
      </c>
      <c r="G1311" s="580" t="s">
        <v>645</v>
      </c>
    </row>
    <row r="1312" spans="1:7" ht="15.75" thickBot="1" x14ac:dyDescent="0.3">
      <c r="A1312" s="572"/>
      <c r="B1312" s="574"/>
      <c r="C1312" s="589"/>
      <c r="D1312" s="600"/>
      <c r="E1312" s="578"/>
      <c r="F1312" s="578"/>
      <c r="G1312" s="581"/>
    </row>
    <row r="1313" spans="1:7" ht="15.75" thickBot="1" x14ac:dyDescent="0.3">
      <c r="A1313" s="425">
        <v>1</v>
      </c>
      <c r="B1313" s="425">
        <v>2</v>
      </c>
      <c r="C1313" s="425">
        <v>3</v>
      </c>
      <c r="D1313" s="425">
        <v>4</v>
      </c>
      <c r="E1313" s="425">
        <v>5</v>
      </c>
      <c r="F1313" s="425">
        <v>6</v>
      </c>
      <c r="G1313" s="425">
        <v>7</v>
      </c>
    </row>
    <row r="1314" spans="1:7" x14ac:dyDescent="0.25">
      <c r="A1314" s="320" t="str">
        <f t="shared" ref="A1314:A1337" si="42">$G$1307&amp;B1314</f>
        <v>II.3.1.1.01.0041</v>
      </c>
      <c r="B1314" s="320">
        <v>1</v>
      </c>
      <c r="C1314" s="339" t="str">
        <f>IFERROR(VLOOKUP(A1314,[3]DOORSCRIEFT!$A$2:$G$6834,2,FALSE),"")</f>
        <v/>
      </c>
      <c r="D1314" s="481" t="str">
        <f>IFERROR(VLOOKUP(A1314,[3]DOORSCRIEFT!$A$2:$G$6834,3,FALSE),"")</f>
        <v/>
      </c>
      <c r="E1314" s="480" t="str">
        <f>IFERROR(VLOOKUP(A1314,[3]DOORSCRIEFT!$A$2:$G$6834,4,FALSE),"")</f>
        <v/>
      </c>
      <c r="F1314" s="405" t="str">
        <f>IFERROR(VLOOKUP(A1314,[3]DOORSCRIEFT!$A$2:$G$6834,7,FALSE),"")</f>
        <v/>
      </c>
      <c r="G1314" s="322"/>
    </row>
    <row r="1315" spans="1:7" x14ac:dyDescent="0.25">
      <c r="A1315" s="321" t="str">
        <f t="shared" si="42"/>
        <v>II.3.1.1.01.0042</v>
      </c>
      <c r="B1315" s="321">
        <v>2</v>
      </c>
      <c r="C1315" s="339" t="str">
        <f>IFERROR(VLOOKUP(A1315,[3]DOORSCRIEFT!$A$2:$G$6834,2,FALSE),"")</f>
        <v/>
      </c>
      <c r="D1315" s="481" t="str">
        <f>IFERROR(VLOOKUP(A1315,[3]DOORSCRIEFT!$A$2:$G$6834,3,FALSE),"")</f>
        <v/>
      </c>
      <c r="E1315" s="480" t="str">
        <f>IFERROR(VLOOKUP(A1315,[3]DOORSCRIEFT!$A$2:$G$6834,4,FALSE),"")</f>
        <v/>
      </c>
      <c r="F1315" s="405" t="str">
        <f>IFERROR(VLOOKUP(A1315,[3]DOORSCRIEFT!$A$2:$G$6834,7,FALSE),"")</f>
        <v/>
      </c>
      <c r="G1315" s="315"/>
    </row>
    <row r="1316" spans="1:7" x14ac:dyDescent="0.25">
      <c r="A1316" s="321" t="str">
        <f t="shared" si="42"/>
        <v>II.3.1.1.01.0043</v>
      </c>
      <c r="B1316" s="321">
        <v>3</v>
      </c>
      <c r="C1316" s="339" t="str">
        <f>IFERROR(VLOOKUP(A1316,[3]DOORSCRIEFT!$A$2:$G$6834,2,FALSE),"")</f>
        <v/>
      </c>
      <c r="D1316" s="481" t="str">
        <f>IFERROR(VLOOKUP(A1316,[3]DOORSCRIEFT!$A$2:$G$6834,3,FALSE),"")</f>
        <v/>
      </c>
      <c r="E1316" s="480" t="str">
        <f>IFERROR(VLOOKUP(A1316,[3]DOORSCRIEFT!$A$2:$G$6834,4,FALSE),"")</f>
        <v/>
      </c>
      <c r="F1316" s="405" t="str">
        <f>IFERROR(VLOOKUP(A1316,[3]DOORSCRIEFT!$A$2:$G$6834,7,FALSE),"")</f>
        <v/>
      </c>
      <c r="G1316" s="315"/>
    </row>
    <row r="1317" spans="1:7" x14ac:dyDescent="0.25">
      <c r="A1317" s="321" t="str">
        <f t="shared" si="42"/>
        <v>II.3.1.1.01.0044</v>
      </c>
      <c r="B1317" s="321">
        <v>4</v>
      </c>
      <c r="C1317" s="339" t="str">
        <f>IFERROR(VLOOKUP(A1317,[3]DOORSCRIEFT!$A$2:$G$6834,2,FALSE),"")</f>
        <v/>
      </c>
      <c r="D1317" s="481" t="str">
        <f>IFERROR(VLOOKUP(A1317,[3]DOORSCRIEFT!$A$2:$G$6834,3,FALSE),"")</f>
        <v/>
      </c>
      <c r="E1317" s="480" t="str">
        <f>IFERROR(VLOOKUP(A1317,[3]DOORSCRIEFT!$A$2:$G$6834,4,FALSE),"")</f>
        <v/>
      </c>
      <c r="F1317" s="405" t="str">
        <f>IFERROR(VLOOKUP(A1317,[3]DOORSCRIEFT!$A$2:$G$6834,7,FALSE),"")</f>
        <v/>
      </c>
      <c r="G1317" s="315"/>
    </row>
    <row r="1318" spans="1:7" x14ac:dyDescent="0.25">
      <c r="A1318" s="321" t="str">
        <f t="shared" si="42"/>
        <v>II.3.1.1.01.0045</v>
      </c>
      <c r="B1318" s="321">
        <v>5</v>
      </c>
      <c r="C1318" s="339" t="str">
        <f>IFERROR(VLOOKUP(A1318,[3]DOORSCRIEFT!$A$2:$G$6834,2,FALSE),"")</f>
        <v/>
      </c>
      <c r="D1318" s="481" t="str">
        <f>IFERROR(VLOOKUP(A1318,[3]DOORSCRIEFT!$A$2:$G$6834,3,FALSE),"")</f>
        <v/>
      </c>
      <c r="E1318" s="480" t="str">
        <f>IFERROR(VLOOKUP(A1318,[3]DOORSCRIEFT!$A$2:$G$6834,4,FALSE),"")</f>
        <v/>
      </c>
      <c r="F1318" s="405" t="str">
        <f>IFERROR(VLOOKUP(A1318,[3]DOORSCRIEFT!$A$2:$G$6834,7,FALSE),"")</f>
        <v/>
      </c>
      <c r="G1318" s="315"/>
    </row>
    <row r="1319" spans="1:7" x14ac:dyDescent="0.25">
      <c r="A1319" s="321" t="str">
        <f t="shared" si="42"/>
        <v>II.3.1.1.01.0046</v>
      </c>
      <c r="B1319" s="321">
        <v>6</v>
      </c>
      <c r="C1319" s="339" t="str">
        <f>IFERROR(VLOOKUP(A1319,[3]DOORSCRIEFT!$A$2:$G$6834,2,FALSE),"")</f>
        <v/>
      </c>
      <c r="D1319" s="481" t="str">
        <f>IFERROR(VLOOKUP(A1319,[3]DOORSCRIEFT!$A$2:$G$6834,3,FALSE),"")</f>
        <v/>
      </c>
      <c r="E1319" s="480" t="str">
        <f>IFERROR(VLOOKUP(A1319,[3]DOORSCRIEFT!$A$2:$G$6834,4,FALSE),"")</f>
        <v/>
      </c>
      <c r="F1319" s="405" t="str">
        <f>IFERROR(VLOOKUP(A1319,[3]DOORSCRIEFT!$A$2:$G$6834,7,FALSE),"")</f>
        <v/>
      </c>
      <c r="G1319" s="315"/>
    </row>
    <row r="1320" spans="1:7" x14ac:dyDescent="0.25">
      <c r="A1320" s="321" t="str">
        <f t="shared" si="42"/>
        <v>II.3.1.1.01.0047</v>
      </c>
      <c r="B1320" s="321">
        <v>7</v>
      </c>
      <c r="C1320" s="339" t="str">
        <f>IFERROR(VLOOKUP(A1320,[3]DOORSCRIEFT!$A$2:$G$6834,2,FALSE),"")</f>
        <v/>
      </c>
      <c r="D1320" s="481" t="str">
        <f>IFERROR(VLOOKUP(A1320,[3]DOORSCRIEFT!$A$2:$G$6834,3,FALSE),"")</f>
        <v/>
      </c>
      <c r="E1320" s="480" t="str">
        <f>IFERROR(VLOOKUP(A1320,[3]DOORSCRIEFT!$A$2:$G$6834,4,FALSE),"")</f>
        <v/>
      </c>
      <c r="F1320" s="405" t="str">
        <f>IFERROR(VLOOKUP(A1320,[3]DOORSCRIEFT!$A$2:$G$6834,7,FALSE),"")</f>
        <v/>
      </c>
      <c r="G1320" s="315"/>
    </row>
    <row r="1321" spans="1:7" x14ac:dyDescent="0.25">
      <c r="A1321" s="321" t="str">
        <f t="shared" si="42"/>
        <v>II.3.1.1.01.0048</v>
      </c>
      <c r="B1321" s="321">
        <v>8</v>
      </c>
      <c r="C1321" s="339" t="str">
        <f>IFERROR(VLOOKUP(A1321,[3]DOORSCRIEFT!$A$2:$G$6834,2,FALSE),"")</f>
        <v/>
      </c>
      <c r="D1321" s="481" t="str">
        <f>IFERROR(VLOOKUP(A1321,[3]DOORSCRIEFT!$A$2:$G$6834,3,FALSE),"")</f>
        <v/>
      </c>
      <c r="E1321" s="480" t="str">
        <f>IFERROR(VLOOKUP(A1321,[3]DOORSCRIEFT!$A$2:$G$6834,4,FALSE),"")</f>
        <v/>
      </c>
      <c r="F1321" s="405" t="str">
        <f>IFERROR(VLOOKUP(A1321,[3]DOORSCRIEFT!$A$2:$G$6834,7,FALSE),"")</f>
        <v/>
      </c>
      <c r="G1321" s="315"/>
    </row>
    <row r="1322" spans="1:7" x14ac:dyDescent="0.25">
      <c r="A1322" s="321" t="str">
        <f t="shared" si="42"/>
        <v>II.3.1.1.01.0049</v>
      </c>
      <c r="B1322" s="321">
        <v>9</v>
      </c>
      <c r="C1322" s="339" t="str">
        <f>IFERROR(VLOOKUP(A1322,[3]DOORSCRIEFT!$A$2:$G$6834,2,FALSE),"")</f>
        <v/>
      </c>
      <c r="D1322" s="481" t="str">
        <f>IFERROR(VLOOKUP(A1322,[3]DOORSCRIEFT!$A$2:$G$6834,3,FALSE),"")</f>
        <v/>
      </c>
      <c r="E1322" s="480" t="str">
        <f>IFERROR(VLOOKUP(A1322,[3]DOORSCRIEFT!$A$2:$G$6834,4,FALSE),"")</f>
        <v/>
      </c>
      <c r="F1322" s="405" t="str">
        <f>IFERROR(VLOOKUP(A1322,[3]DOORSCRIEFT!$A$2:$G$6834,7,FALSE),"")</f>
        <v/>
      </c>
      <c r="G1322" s="315"/>
    </row>
    <row r="1323" spans="1:7" x14ac:dyDescent="0.25">
      <c r="A1323" s="321" t="str">
        <f t="shared" si="42"/>
        <v>II.3.1.1.01.00410</v>
      </c>
      <c r="B1323" s="321">
        <v>10</v>
      </c>
      <c r="C1323" s="339" t="str">
        <f>IFERROR(VLOOKUP(A1323,[3]DOORSCRIEFT!$A$2:$G$6834,2,FALSE),"")</f>
        <v/>
      </c>
      <c r="D1323" s="481" t="str">
        <f>IFERROR(VLOOKUP(A1323,[3]DOORSCRIEFT!$A$2:$G$6834,3,FALSE),"")</f>
        <v/>
      </c>
      <c r="E1323" s="480" t="str">
        <f>IFERROR(VLOOKUP(A1323,[3]DOORSCRIEFT!$A$2:$G$6834,4,FALSE),"")</f>
        <v/>
      </c>
      <c r="F1323" s="405" t="str">
        <f>IFERROR(VLOOKUP(A1323,[3]DOORSCRIEFT!$A$2:$G$6834,7,FALSE),"")</f>
        <v/>
      </c>
      <c r="G1323" s="315"/>
    </row>
    <row r="1324" spans="1:7" x14ac:dyDescent="0.25">
      <c r="A1324" s="321" t="str">
        <f t="shared" si="42"/>
        <v>II.3.1.1.01.00411</v>
      </c>
      <c r="B1324" s="321">
        <v>11</v>
      </c>
      <c r="C1324" s="339" t="str">
        <f>IFERROR(VLOOKUP(A1324,[3]DOORSCRIEFT!$A$2:$G$6834,2,FALSE),"")</f>
        <v/>
      </c>
      <c r="D1324" s="481" t="str">
        <f>IFERROR(VLOOKUP(A1324,[3]DOORSCRIEFT!$A$2:$G$6834,3,FALSE),"")</f>
        <v/>
      </c>
      <c r="E1324" s="480" t="str">
        <f>IFERROR(VLOOKUP(A1324,[3]DOORSCRIEFT!$A$2:$G$6834,4,FALSE),"")</f>
        <v/>
      </c>
      <c r="F1324" s="405" t="str">
        <f>IFERROR(VLOOKUP(A1324,[3]DOORSCRIEFT!$A$2:$G$6834,7,FALSE),"")</f>
        <v/>
      </c>
      <c r="G1324" s="315"/>
    </row>
    <row r="1325" spans="1:7" x14ac:dyDescent="0.25">
      <c r="A1325" s="321" t="str">
        <f t="shared" si="42"/>
        <v>II.3.1.1.01.00412</v>
      </c>
      <c r="B1325" s="321">
        <v>12</v>
      </c>
      <c r="C1325" s="339" t="str">
        <f>IFERROR(VLOOKUP(A1325,[3]DOORSCRIEFT!$A$2:$G$6834,2,FALSE),"")</f>
        <v/>
      </c>
      <c r="D1325" s="481" t="str">
        <f>IFERROR(VLOOKUP(A1325,[3]DOORSCRIEFT!$A$2:$G$6834,3,FALSE),"")</f>
        <v/>
      </c>
      <c r="E1325" s="480" t="str">
        <f>IFERROR(VLOOKUP(A1325,[3]DOORSCRIEFT!$A$2:$G$6834,4,FALSE),"")</f>
        <v/>
      </c>
      <c r="F1325" s="405" t="str">
        <f>IFERROR(VLOOKUP(A1325,[3]DOORSCRIEFT!$A$2:$G$6834,7,FALSE),"")</f>
        <v/>
      </c>
      <c r="G1325" s="315"/>
    </row>
    <row r="1326" spans="1:7" x14ac:dyDescent="0.25">
      <c r="A1326" s="321" t="str">
        <f t="shared" si="42"/>
        <v>II.3.1.1.01.00413</v>
      </c>
      <c r="B1326" s="321">
        <v>13</v>
      </c>
      <c r="C1326" s="339" t="str">
        <f>IFERROR(VLOOKUP(A1326,[3]DOORSCRIEFT!$A$2:$G$6834,2,FALSE),"")</f>
        <v/>
      </c>
      <c r="D1326" s="481" t="str">
        <f>IFERROR(VLOOKUP(A1326,[3]DOORSCRIEFT!$A$2:$G$6834,3,FALSE),"")</f>
        <v/>
      </c>
      <c r="E1326" s="480" t="str">
        <f>IFERROR(VLOOKUP(A1326,[3]DOORSCRIEFT!$A$2:$G$6834,4,FALSE),"")</f>
        <v/>
      </c>
      <c r="F1326" s="405" t="str">
        <f>IFERROR(VLOOKUP(A1326,[3]DOORSCRIEFT!$A$2:$G$6834,7,FALSE),"")</f>
        <v/>
      </c>
      <c r="G1326" s="315"/>
    </row>
    <row r="1327" spans="1:7" x14ac:dyDescent="0.25">
      <c r="A1327" s="321" t="str">
        <f t="shared" si="42"/>
        <v>II.3.1.1.01.00414</v>
      </c>
      <c r="B1327" s="321">
        <v>14</v>
      </c>
      <c r="C1327" s="339" t="str">
        <f>IFERROR(VLOOKUP(A1327,[3]DOORSCRIEFT!$A$2:$G$6834,2,FALSE),"")</f>
        <v/>
      </c>
      <c r="D1327" s="481" t="str">
        <f>IFERROR(VLOOKUP(A1327,[3]DOORSCRIEFT!$A$2:$G$6834,3,FALSE),"")</f>
        <v/>
      </c>
      <c r="E1327" s="480" t="str">
        <f>IFERROR(VLOOKUP(A1327,[3]DOORSCRIEFT!$A$2:$G$6834,4,FALSE),"")</f>
        <v/>
      </c>
      <c r="F1327" s="405" t="str">
        <f>IFERROR(VLOOKUP(A1327,[3]DOORSCRIEFT!$A$2:$G$6834,7,FALSE),"")</f>
        <v/>
      </c>
      <c r="G1327" s="315"/>
    </row>
    <row r="1328" spans="1:7" x14ac:dyDescent="0.25">
      <c r="A1328" s="321" t="str">
        <f t="shared" si="42"/>
        <v>II.3.1.1.01.00415</v>
      </c>
      <c r="B1328" s="321">
        <v>15</v>
      </c>
      <c r="C1328" s="339" t="str">
        <f>IFERROR(VLOOKUP(A1328,[3]DOORSCRIEFT!$A$2:$G$6834,2,FALSE),"")</f>
        <v/>
      </c>
      <c r="D1328" s="481" t="str">
        <f>IFERROR(VLOOKUP(A1328,[3]DOORSCRIEFT!$A$2:$G$6834,3,FALSE),"")</f>
        <v/>
      </c>
      <c r="E1328" s="480" t="str">
        <f>IFERROR(VLOOKUP(A1328,[3]DOORSCRIEFT!$A$2:$G$6834,4,FALSE),"")</f>
        <v/>
      </c>
      <c r="F1328" s="405" t="str">
        <f>IFERROR(VLOOKUP(A1328,[3]DOORSCRIEFT!$A$2:$G$6834,7,FALSE),"")</f>
        <v/>
      </c>
      <c r="G1328" s="315"/>
    </row>
    <row r="1329" spans="1:7" x14ac:dyDescent="0.25">
      <c r="A1329" s="321" t="str">
        <f t="shared" si="42"/>
        <v>II.3.1.1.01.00416</v>
      </c>
      <c r="B1329" s="321">
        <v>16</v>
      </c>
      <c r="C1329" s="339" t="str">
        <f>IFERROR(VLOOKUP(A1329,[3]DOORSCRIEFT!$A$2:$G$6834,2,FALSE),"")</f>
        <v/>
      </c>
      <c r="D1329" s="481" t="str">
        <f>IFERROR(VLOOKUP(A1329,[3]DOORSCRIEFT!$A$2:$G$6834,3,FALSE),"")</f>
        <v/>
      </c>
      <c r="E1329" s="480" t="str">
        <f>IFERROR(VLOOKUP(A1329,[3]DOORSCRIEFT!$A$2:$G$6834,4,FALSE),"")</f>
        <v/>
      </c>
      <c r="F1329" s="405" t="str">
        <f>IFERROR(VLOOKUP(A1329,[3]DOORSCRIEFT!$A$2:$G$6834,7,FALSE),"")</f>
        <v/>
      </c>
      <c r="G1329" s="315"/>
    </row>
    <row r="1330" spans="1:7" x14ac:dyDescent="0.25">
      <c r="A1330" s="321" t="str">
        <f t="shared" si="42"/>
        <v>II.3.1.1.01.00417</v>
      </c>
      <c r="B1330" s="321">
        <v>17</v>
      </c>
      <c r="C1330" s="339" t="str">
        <f>IFERROR(VLOOKUP(A1330,[3]DOORSCRIEFT!$A$2:$G$6834,2,FALSE),"")</f>
        <v/>
      </c>
      <c r="D1330" s="481" t="str">
        <f>IFERROR(VLOOKUP(A1330,[3]DOORSCRIEFT!$A$2:$G$6834,3,FALSE),"")</f>
        <v/>
      </c>
      <c r="E1330" s="480" t="str">
        <f>IFERROR(VLOOKUP(A1330,[3]DOORSCRIEFT!$A$2:$G$6834,4,FALSE),"")</f>
        <v/>
      </c>
      <c r="F1330" s="405" t="str">
        <f>IFERROR(VLOOKUP(A1330,[3]DOORSCRIEFT!$A$2:$G$6834,7,FALSE),"")</f>
        <v/>
      </c>
      <c r="G1330" s="315"/>
    </row>
    <row r="1331" spans="1:7" x14ac:dyDescent="0.25">
      <c r="A1331" s="321" t="str">
        <f t="shared" si="42"/>
        <v>II.3.1.1.01.00418</v>
      </c>
      <c r="B1331" s="321">
        <v>18</v>
      </c>
      <c r="C1331" s="339" t="str">
        <f>IFERROR(VLOOKUP(A1331,[3]DOORSCRIEFT!$A$2:$G$6834,2,FALSE),"")</f>
        <v/>
      </c>
      <c r="D1331" s="481" t="str">
        <f>IFERROR(VLOOKUP(A1331,[3]DOORSCRIEFT!$A$2:$G$6834,3,FALSE),"")</f>
        <v/>
      </c>
      <c r="E1331" s="480" t="str">
        <f>IFERROR(VLOOKUP(A1331,[3]DOORSCRIEFT!$A$2:$G$6834,4,FALSE),"")</f>
        <v/>
      </c>
      <c r="F1331" s="405" t="str">
        <f>IFERROR(VLOOKUP(A1331,[3]DOORSCRIEFT!$A$2:$G$6834,7,FALSE),"")</f>
        <v/>
      </c>
      <c r="G1331" s="315"/>
    </row>
    <row r="1332" spans="1:7" x14ac:dyDescent="0.25">
      <c r="A1332" s="321" t="str">
        <f t="shared" si="42"/>
        <v>II.3.1.1.01.00419</v>
      </c>
      <c r="B1332" s="321">
        <v>19</v>
      </c>
      <c r="C1332" s="339" t="str">
        <f>IFERROR(VLOOKUP(A1332,[3]DOORSCRIEFT!$A$2:$G$6834,2,FALSE),"")</f>
        <v/>
      </c>
      <c r="D1332" s="481" t="str">
        <f>IFERROR(VLOOKUP(A1332,[3]DOORSCRIEFT!$A$2:$G$6834,3,FALSE),"")</f>
        <v/>
      </c>
      <c r="E1332" s="480" t="str">
        <f>IFERROR(VLOOKUP(A1332,[3]DOORSCRIEFT!$A$2:$G$6834,4,FALSE),"")</f>
        <v/>
      </c>
      <c r="F1332" s="405" t="str">
        <f>IFERROR(VLOOKUP(A1332,[3]DOORSCRIEFT!$A$2:$G$6834,7,FALSE),"")</f>
        <v/>
      </c>
      <c r="G1332" s="315"/>
    </row>
    <row r="1333" spans="1:7" x14ac:dyDescent="0.25">
      <c r="A1333" s="321" t="str">
        <f t="shared" si="42"/>
        <v>II.3.1.1.01.00420</v>
      </c>
      <c r="B1333" s="321">
        <v>20</v>
      </c>
      <c r="C1333" s="339" t="str">
        <f>IFERROR(VLOOKUP(A1333,[3]DOORSCRIEFT!$A$2:$G$6834,2,FALSE),"")</f>
        <v/>
      </c>
      <c r="D1333" s="481" t="str">
        <f>IFERROR(VLOOKUP(A1333,[3]DOORSCRIEFT!$A$2:$G$6834,3,FALSE),"")</f>
        <v/>
      </c>
      <c r="E1333" s="480" t="str">
        <f>IFERROR(VLOOKUP(A1333,[3]DOORSCRIEFT!$A$2:$G$6834,4,FALSE),"")</f>
        <v/>
      </c>
      <c r="F1333" s="405" t="str">
        <f>IFERROR(VLOOKUP(A1333,[3]DOORSCRIEFT!$A$2:$G$6834,7,FALSE),"")</f>
        <v/>
      </c>
      <c r="G1333" s="315"/>
    </row>
    <row r="1334" spans="1:7" x14ac:dyDescent="0.25">
      <c r="A1334" s="321" t="str">
        <f t="shared" si="42"/>
        <v>II.3.1.1.01.00421</v>
      </c>
      <c r="B1334" s="321">
        <v>21</v>
      </c>
      <c r="C1334" s="339" t="str">
        <f>IFERROR(VLOOKUP(A1334,[3]DOORSCRIEFT!$A$2:$G$6834,2,FALSE),"")</f>
        <v/>
      </c>
      <c r="D1334" s="481" t="str">
        <f>IFERROR(VLOOKUP(A1334,[3]DOORSCRIEFT!$A$2:$G$6834,3,FALSE),"")</f>
        <v/>
      </c>
      <c r="E1334" s="480" t="str">
        <f>IFERROR(VLOOKUP(A1334,[3]DOORSCRIEFT!$A$2:$G$6834,4,FALSE),"")</f>
        <v/>
      </c>
      <c r="F1334" s="405" t="str">
        <f>IFERROR(VLOOKUP(A1334,[3]DOORSCRIEFT!$A$2:$G$6834,7,FALSE),"")</f>
        <v/>
      </c>
      <c r="G1334" s="315"/>
    </row>
    <row r="1335" spans="1:7" x14ac:dyDescent="0.25">
      <c r="A1335" s="321" t="str">
        <f t="shared" si="42"/>
        <v>II.3.1.1.01.00422</v>
      </c>
      <c r="B1335" s="321">
        <v>22</v>
      </c>
      <c r="C1335" s="339" t="str">
        <f>IFERROR(VLOOKUP(A1335,[3]DOORSCRIEFT!$A$2:$G$6834,2,FALSE),"")</f>
        <v/>
      </c>
      <c r="D1335" s="481" t="str">
        <f>IFERROR(VLOOKUP(A1335,[3]DOORSCRIEFT!$A$2:$G$6834,3,FALSE),"")</f>
        <v/>
      </c>
      <c r="E1335" s="480" t="str">
        <f>IFERROR(VLOOKUP(A1335,[3]DOORSCRIEFT!$A$2:$G$6834,4,FALSE),"")</f>
        <v/>
      </c>
      <c r="F1335" s="405" t="str">
        <f>IFERROR(VLOOKUP(A1335,[3]DOORSCRIEFT!$A$2:$G$6834,7,FALSE),"")</f>
        <v/>
      </c>
      <c r="G1335" s="315"/>
    </row>
    <row r="1336" spans="1:7" x14ac:dyDescent="0.25">
      <c r="A1336" s="321" t="str">
        <f t="shared" si="42"/>
        <v>II.3.1.1.01.00423</v>
      </c>
      <c r="B1336" s="321">
        <v>23</v>
      </c>
      <c r="C1336" s="339" t="str">
        <f>IFERROR(VLOOKUP(A1336,[3]DOORSCRIEFT!$A$2:$G$6834,2,FALSE),"")</f>
        <v/>
      </c>
      <c r="D1336" s="481" t="str">
        <f>IFERROR(VLOOKUP(A1336,[3]DOORSCRIEFT!$A$2:$G$6834,3,FALSE),"")</f>
        <v/>
      </c>
      <c r="E1336" s="480" t="str">
        <f>IFERROR(VLOOKUP(A1336,[3]DOORSCRIEFT!$A$2:$G$6834,4,FALSE),"")</f>
        <v/>
      </c>
      <c r="F1336" s="405" t="str">
        <f>IFERROR(VLOOKUP(A1336,[3]DOORSCRIEFT!$A$2:$G$6834,7,FALSE),"")</f>
        <v/>
      </c>
      <c r="G1336" s="315"/>
    </row>
    <row r="1337" spans="1:7" ht="15.75" thickBot="1" x14ac:dyDescent="0.3">
      <c r="A1337" s="342" t="str">
        <f t="shared" si="42"/>
        <v>II.3.1.1.01.00424</v>
      </c>
      <c r="B1337" s="342">
        <v>24</v>
      </c>
      <c r="C1337" s="339" t="str">
        <f>IFERROR(VLOOKUP(A1337,[3]DOORSCRIEFT!$A$2:$G$6834,2,FALSE),"")</f>
        <v/>
      </c>
      <c r="D1337" s="481" t="str">
        <f>IFERROR(VLOOKUP(A1337,[3]DOORSCRIEFT!$A$2:$G$6834,3,FALSE),"")</f>
        <v/>
      </c>
      <c r="E1337" s="480" t="str">
        <f>IFERROR(VLOOKUP(A1337,[3]DOORSCRIEFT!$A$2:$G$6834,4,FALSE),"")</f>
        <v/>
      </c>
      <c r="F1337" s="405" t="str">
        <f>IFERROR(VLOOKUP(A1337,[3]DOORSCRIEFT!$A$2:$G$6834,7,FALSE),"")</f>
        <v/>
      </c>
      <c r="G1337" s="315"/>
    </row>
    <row r="1338" spans="1:7" ht="15.75" thickBot="1" x14ac:dyDescent="0.3">
      <c r="A1338" s="341"/>
      <c r="B1338" s="340"/>
      <c r="C1338" s="336"/>
      <c r="D1338" s="486"/>
      <c r="E1338" s="340" t="s">
        <v>644</v>
      </c>
      <c r="F1338" s="310">
        <f>SUM(F1314:F1337)</f>
        <v>0</v>
      </c>
      <c r="G1338" s="309">
        <f>SUM(G1314:G1337)</f>
        <v>0</v>
      </c>
    </row>
    <row r="1339" spans="1:7" x14ac:dyDescent="0.25">
      <c r="C1339" s="335"/>
      <c r="D1339" s="485"/>
    </row>
    <row r="1340" spans="1:7" x14ac:dyDescent="0.25">
      <c r="C1340" s="335"/>
      <c r="D1340" s="485"/>
    </row>
    <row r="1341" spans="1:7" ht="15.75" x14ac:dyDescent="0.25">
      <c r="C1341" s="334" t="s">
        <v>663</v>
      </c>
      <c r="D1341" s="484"/>
      <c r="E1341" s="333"/>
      <c r="F1341" s="327" t="s">
        <v>607</v>
      </c>
      <c r="G1341" s="327" t="s">
        <v>161</v>
      </c>
    </row>
    <row r="1342" spans="1:7" ht="15.75" x14ac:dyDescent="0.25">
      <c r="C1342" s="334"/>
      <c r="D1342" s="484"/>
      <c r="E1342" s="333"/>
      <c r="F1342" s="327" t="s">
        <v>601</v>
      </c>
      <c r="G1342" s="327" t="s">
        <v>160</v>
      </c>
    </row>
    <row r="1343" spans="1:7" x14ac:dyDescent="0.25">
      <c r="C1343" s="330"/>
      <c r="D1343" s="482"/>
      <c r="E1343" s="329"/>
      <c r="F1343" s="327" t="s">
        <v>651</v>
      </c>
      <c r="G1343" s="331">
        <f>[2]Sheet1!$D$390</f>
        <v>17735000</v>
      </c>
    </row>
    <row r="1344" spans="1:7" ht="15.75" thickBot="1" x14ac:dyDescent="0.3">
      <c r="C1344" s="330"/>
      <c r="D1344" s="482"/>
      <c r="E1344" s="329"/>
      <c r="F1344" s="327" t="s">
        <v>650</v>
      </c>
      <c r="G1344" s="326">
        <f>+F1373-G1343</f>
        <v>-15735000</v>
      </c>
    </row>
    <row r="1345" spans="1:7" x14ac:dyDescent="0.25">
      <c r="A1345" s="571" t="s">
        <v>655</v>
      </c>
      <c r="B1345" s="573" t="s">
        <v>606</v>
      </c>
      <c r="C1345" s="588" t="s">
        <v>649</v>
      </c>
      <c r="D1345" s="599" t="s">
        <v>648</v>
      </c>
      <c r="E1345" s="577" t="s">
        <v>647</v>
      </c>
      <c r="F1345" s="577" t="s">
        <v>646</v>
      </c>
      <c r="G1345" s="580" t="s">
        <v>645</v>
      </c>
    </row>
    <row r="1346" spans="1:7" ht="15.75" thickBot="1" x14ac:dyDescent="0.3">
      <c r="A1346" s="572"/>
      <c r="B1346" s="574"/>
      <c r="C1346" s="589"/>
      <c r="D1346" s="600"/>
      <c r="E1346" s="578"/>
      <c r="F1346" s="578"/>
      <c r="G1346" s="581"/>
    </row>
    <row r="1347" spans="1:7" ht="15.75" thickBot="1" x14ac:dyDescent="0.3">
      <c r="A1347" s="425">
        <v>1</v>
      </c>
      <c r="B1347" s="425">
        <v>2</v>
      </c>
      <c r="C1347" s="425">
        <v>3</v>
      </c>
      <c r="D1347" s="425">
        <v>4</v>
      </c>
      <c r="E1347" s="425">
        <v>5</v>
      </c>
      <c r="F1347" s="425">
        <v>6</v>
      </c>
      <c r="G1347" s="425">
        <v>7</v>
      </c>
    </row>
    <row r="1348" spans="1:7" x14ac:dyDescent="0.25">
      <c r="A1348" s="320" t="str">
        <f t="shared" ref="A1348:A1372" si="43">$G$1341&amp;B1348</f>
        <v>II.3.1.1.01.0051</v>
      </c>
      <c r="B1348" s="320">
        <v>1</v>
      </c>
      <c r="C1348" s="339">
        <f>IFERROR(VLOOKUP(A1348,[3]DOORSCRIEFT!$A$2:$G$6834,2,FALSE),"")</f>
        <v>21</v>
      </c>
      <c r="D1348" s="481">
        <f>IFERROR(VLOOKUP(A1348,[3]DOORSCRIEFT!$A$2:$G$6834,3,FALSE),"")</f>
        <v>46026</v>
      </c>
      <c r="E1348" s="480" t="str">
        <f>IFERROR(VLOOKUP(A1348,[3]DOORSCRIEFT!$A$2:$G$6834,4,FALSE),"")</f>
        <v>Beli Buku SHK, Bina Khotbah dan Bina Umat dan Transport</v>
      </c>
      <c r="F1348" s="405">
        <f>IFERROR(VLOOKUP(A1348,[3]DOORSCRIEFT!$A$2:$G$6834,7,FALSE),"")</f>
        <v>650000</v>
      </c>
      <c r="G1348" s="322"/>
    </row>
    <row r="1349" spans="1:7" x14ac:dyDescent="0.25">
      <c r="A1349" s="321" t="str">
        <f t="shared" si="43"/>
        <v>II.3.1.1.01.0052</v>
      </c>
      <c r="B1349" s="321">
        <v>2</v>
      </c>
      <c r="C1349" s="339">
        <f>IFERROR(VLOOKUP(A1349,[3]DOORSCRIEFT!$A$2:$G$6834,2,FALSE),"")</f>
        <v>207</v>
      </c>
      <c r="D1349" s="481">
        <f>IFERROR(VLOOKUP(A1349,[3]DOORSCRIEFT!$A$2:$G$6834,3,FALSE),"")</f>
        <v>46068</v>
      </c>
      <c r="E1349" s="480" t="str">
        <f>IFERROR(VLOOKUP(A1349,[3]DOORSCRIEFT!$A$2:$G$6834,4,FALSE),"")</f>
        <v>Beli Alkitab Nikah 5 buah</v>
      </c>
      <c r="F1349" s="405">
        <f>IFERROR(VLOOKUP(A1349,[3]DOORSCRIEFT!$A$2:$G$6834,7,FALSE),"")</f>
        <v>750000</v>
      </c>
      <c r="G1349" s="315"/>
    </row>
    <row r="1350" spans="1:7" x14ac:dyDescent="0.25">
      <c r="A1350" s="321" t="str">
        <f t="shared" si="43"/>
        <v>II.3.1.1.01.0053</v>
      </c>
      <c r="B1350" s="321">
        <v>3</v>
      </c>
      <c r="C1350" s="339">
        <f>IFERROR(VLOOKUP(A1350,[3]DOORSCRIEFT!$A$2:$G$6834,2,FALSE),"")</f>
        <v>372</v>
      </c>
      <c r="D1350" s="481">
        <f>IFERROR(VLOOKUP(A1350,[3]DOORSCRIEFT!$A$2:$G$6834,3,FALSE),"")</f>
        <v>54132</v>
      </c>
      <c r="E1350" s="480" t="str">
        <f>IFERROR(VLOOKUP(A1350,[3]DOORSCRIEFT!$A$2:$G$6834,4,FALSE),"")</f>
        <v>Beli Alkitab Nikah 4 buah</v>
      </c>
      <c r="F1350" s="405">
        <f>IFERROR(VLOOKUP(A1350,[3]DOORSCRIEFT!$A$2:$G$6834,7,FALSE),"")</f>
        <v>600000</v>
      </c>
      <c r="G1350" s="315"/>
    </row>
    <row r="1351" spans="1:7" x14ac:dyDescent="0.25">
      <c r="A1351" s="321" t="str">
        <f t="shared" si="43"/>
        <v>II.3.1.1.01.0054</v>
      </c>
      <c r="B1351" s="321">
        <v>4</v>
      </c>
      <c r="C1351" s="339" t="str">
        <f>IFERROR(VLOOKUP(A1351,[3]DOORSCRIEFT!$A$2:$G$6834,2,FALSE),"")</f>
        <v/>
      </c>
      <c r="D1351" s="481" t="str">
        <f>IFERROR(VLOOKUP(A1351,[3]DOORSCRIEFT!$A$2:$G$6834,3,FALSE),"")</f>
        <v/>
      </c>
      <c r="E1351" s="480" t="str">
        <f>IFERROR(VLOOKUP(A1351,[3]DOORSCRIEFT!$A$2:$G$6834,4,FALSE),"")</f>
        <v/>
      </c>
      <c r="F1351" s="405" t="str">
        <f>IFERROR(VLOOKUP(A1351,[3]DOORSCRIEFT!$A$2:$G$6834,7,FALSE),"")</f>
        <v/>
      </c>
      <c r="G1351" s="315"/>
    </row>
    <row r="1352" spans="1:7" x14ac:dyDescent="0.25">
      <c r="A1352" s="321" t="str">
        <f t="shared" si="43"/>
        <v>II.3.1.1.01.0055</v>
      </c>
      <c r="B1352" s="321">
        <v>5</v>
      </c>
      <c r="C1352" s="339" t="str">
        <f>IFERROR(VLOOKUP(A1352,[3]DOORSCRIEFT!$A$2:$G$6834,2,FALSE),"")</f>
        <v/>
      </c>
      <c r="D1352" s="481" t="str">
        <f>IFERROR(VLOOKUP(A1352,[3]DOORSCRIEFT!$A$2:$G$6834,3,FALSE),"")</f>
        <v/>
      </c>
      <c r="E1352" s="480" t="str">
        <f>IFERROR(VLOOKUP(A1352,[3]DOORSCRIEFT!$A$2:$G$6834,4,FALSE),"")</f>
        <v/>
      </c>
      <c r="F1352" s="405" t="str">
        <f>IFERROR(VLOOKUP(A1352,[3]DOORSCRIEFT!$A$2:$G$6834,7,FALSE),"")</f>
        <v/>
      </c>
      <c r="G1352" s="315"/>
    </row>
    <row r="1353" spans="1:7" x14ac:dyDescent="0.25">
      <c r="A1353" s="321" t="str">
        <f t="shared" si="43"/>
        <v>II.3.1.1.01.0056</v>
      </c>
      <c r="B1353" s="321">
        <v>6</v>
      </c>
      <c r="C1353" s="339" t="str">
        <f>IFERROR(VLOOKUP(A1353,[3]DOORSCRIEFT!$A$2:$G$6834,2,FALSE),"")</f>
        <v/>
      </c>
      <c r="D1353" s="481" t="str">
        <f>IFERROR(VLOOKUP(A1353,[3]DOORSCRIEFT!$A$2:$G$6834,3,FALSE),"")</f>
        <v/>
      </c>
      <c r="E1353" s="480" t="str">
        <f>IFERROR(VLOOKUP(A1353,[3]DOORSCRIEFT!$A$2:$G$6834,4,FALSE),"")</f>
        <v/>
      </c>
      <c r="F1353" s="405" t="str">
        <f>IFERROR(VLOOKUP(A1353,[3]DOORSCRIEFT!$A$2:$G$6834,7,FALSE),"")</f>
        <v/>
      </c>
      <c r="G1353" s="315"/>
    </row>
    <row r="1354" spans="1:7" x14ac:dyDescent="0.25">
      <c r="A1354" s="321" t="str">
        <f t="shared" si="43"/>
        <v>II.3.1.1.01.0057</v>
      </c>
      <c r="B1354" s="321">
        <v>7</v>
      </c>
      <c r="C1354" s="339" t="str">
        <f>IFERROR(VLOOKUP(A1354,[3]DOORSCRIEFT!$A$2:$G$6834,2,FALSE),"")</f>
        <v/>
      </c>
      <c r="D1354" s="481" t="str">
        <f>IFERROR(VLOOKUP(A1354,[3]DOORSCRIEFT!$A$2:$G$6834,3,FALSE),"")</f>
        <v/>
      </c>
      <c r="E1354" s="480" t="str">
        <f>IFERROR(VLOOKUP(A1354,[3]DOORSCRIEFT!$A$2:$G$6834,4,FALSE),"")</f>
        <v/>
      </c>
      <c r="F1354" s="405" t="str">
        <f>IFERROR(VLOOKUP(A1354,[3]DOORSCRIEFT!$A$2:$G$6834,7,FALSE),"")</f>
        <v/>
      </c>
      <c r="G1354" s="315"/>
    </row>
    <row r="1355" spans="1:7" x14ac:dyDescent="0.25">
      <c r="A1355" s="321" t="str">
        <f t="shared" si="43"/>
        <v>II.3.1.1.01.0058</v>
      </c>
      <c r="B1355" s="321">
        <v>8</v>
      </c>
      <c r="C1355" s="339" t="str">
        <f>IFERROR(VLOOKUP(A1355,[3]DOORSCRIEFT!$A$2:$G$6834,2,FALSE),"")</f>
        <v/>
      </c>
      <c r="D1355" s="481" t="str">
        <f>IFERROR(VLOOKUP(A1355,[3]DOORSCRIEFT!$A$2:$G$6834,3,FALSE),"")</f>
        <v/>
      </c>
      <c r="E1355" s="480" t="str">
        <f>IFERROR(VLOOKUP(A1355,[3]DOORSCRIEFT!$A$2:$G$6834,4,FALSE),"")</f>
        <v/>
      </c>
      <c r="F1355" s="405" t="str">
        <f>IFERROR(VLOOKUP(A1355,[3]DOORSCRIEFT!$A$2:$G$6834,7,FALSE),"")</f>
        <v/>
      </c>
      <c r="G1355" s="315"/>
    </row>
    <row r="1356" spans="1:7" x14ac:dyDescent="0.25">
      <c r="A1356" s="321" t="str">
        <f t="shared" si="43"/>
        <v>II.3.1.1.01.0059</v>
      </c>
      <c r="B1356" s="321">
        <v>9</v>
      </c>
      <c r="C1356" s="339" t="str">
        <f>IFERROR(VLOOKUP(A1356,[3]DOORSCRIEFT!$A$2:$G$6834,2,FALSE),"")</f>
        <v/>
      </c>
      <c r="D1356" s="481" t="str">
        <f>IFERROR(VLOOKUP(A1356,[3]DOORSCRIEFT!$A$2:$G$6834,3,FALSE),"")</f>
        <v/>
      </c>
      <c r="E1356" s="480" t="str">
        <f>IFERROR(VLOOKUP(A1356,[3]DOORSCRIEFT!$A$2:$G$6834,4,FALSE),"")</f>
        <v/>
      </c>
      <c r="F1356" s="405" t="str">
        <f>IFERROR(VLOOKUP(A1356,[3]DOORSCRIEFT!$A$2:$G$6834,7,FALSE),"")</f>
        <v/>
      </c>
      <c r="G1356" s="315"/>
    </row>
    <row r="1357" spans="1:7" x14ac:dyDescent="0.25">
      <c r="A1357" s="321" t="str">
        <f t="shared" si="43"/>
        <v>II.3.1.1.01.00510</v>
      </c>
      <c r="B1357" s="321">
        <v>10</v>
      </c>
      <c r="C1357" s="339" t="str">
        <f>IFERROR(VLOOKUP(A1357,[3]DOORSCRIEFT!$A$2:$G$6834,2,FALSE),"")</f>
        <v/>
      </c>
      <c r="D1357" s="481" t="str">
        <f>IFERROR(VLOOKUP(A1357,[3]DOORSCRIEFT!$A$2:$G$6834,3,FALSE),"")</f>
        <v/>
      </c>
      <c r="E1357" s="480" t="str">
        <f>IFERROR(VLOOKUP(A1357,[3]DOORSCRIEFT!$A$2:$G$6834,4,FALSE),"")</f>
        <v/>
      </c>
      <c r="F1357" s="405" t="str">
        <f>IFERROR(VLOOKUP(A1357,[3]DOORSCRIEFT!$A$2:$G$6834,7,FALSE),"")</f>
        <v/>
      </c>
      <c r="G1357" s="315"/>
    </row>
    <row r="1358" spans="1:7" x14ac:dyDescent="0.25">
      <c r="A1358" s="321" t="str">
        <f t="shared" si="43"/>
        <v>II.3.1.1.01.00511</v>
      </c>
      <c r="B1358" s="321">
        <v>11</v>
      </c>
      <c r="C1358" s="339" t="str">
        <f>IFERROR(VLOOKUP(A1358,[3]DOORSCRIEFT!$A$2:$G$6834,2,FALSE),"")</f>
        <v/>
      </c>
      <c r="D1358" s="481" t="str">
        <f>IFERROR(VLOOKUP(A1358,[3]DOORSCRIEFT!$A$2:$G$6834,3,FALSE),"")</f>
        <v/>
      </c>
      <c r="E1358" s="480" t="str">
        <f>IFERROR(VLOOKUP(A1358,[3]DOORSCRIEFT!$A$2:$G$6834,4,FALSE),"")</f>
        <v/>
      </c>
      <c r="F1358" s="405" t="str">
        <f>IFERROR(VLOOKUP(A1358,[3]DOORSCRIEFT!$A$2:$G$6834,7,FALSE),"")</f>
        <v/>
      </c>
      <c r="G1358" s="315"/>
    </row>
    <row r="1359" spans="1:7" x14ac:dyDescent="0.25">
      <c r="A1359" s="321" t="str">
        <f t="shared" si="43"/>
        <v>II.3.1.1.01.00512</v>
      </c>
      <c r="B1359" s="321">
        <v>12</v>
      </c>
      <c r="C1359" s="339" t="str">
        <f>IFERROR(VLOOKUP(A1359,[3]DOORSCRIEFT!$A$2:$G$6834,2,FALSE),"")</f>
        <v/>
      </c>
      <c r="D1359" s="481" t="str">
        <f>IFERROR(VLOOKUP(A1359,[3]DOORSCRIEFT!$A$2:$G$6834,3,FALSE),"")</f>
        <v/>
      </c>
      <c r="E1359" s="480" t="str">
        <f>IFERROR(VLOOKUP(A1359,[3]DOORSCRIEFT!$A$2:$G$6834,4,FALSE),"")</f>
        <v/>
      </c>
      <c r="F1359" s="405" t="str">
        <f>IFERROR(VLOOKUP(A1359,[3]DOORSCRIEFT!$A$2:$G$6834,7,FALSE),"")</f>
        <v/>
      </c>
      <c r="G1359" s="315"/>
    </row>
    <row r="1360" spans="1:7" x14ac:dyDescent="0.25">
      <c r="A1360" s="321" t="str">
        <f t="shared" si="43"/>
        <v>II.3.1.1.01.00513</v>
      </c>
      <c r="B1360" s="321">
        <v>13</v>
      </c>
      <c r="C1360" s="339" t="str">
        <f>IFERROR(VLOOKUP(A1360,[3]DOORSCRIEFT!$A$2:$G$6834,2,FALSE),"")</f>
        <v/>
      </c>
      <c r="D1360" s="481" t="str">
        <f>IFERROR(VLOOKUP(A1360,[3]DOORSCRIEFT!$A$2:$G$6834,3,FALSE),"")</f>
        <v/>
      </c>
      <c r="E1360" s="480" t="str">
        <f>IFERROR(VLOOKUP(A1360,[3]DOORSCRIEFT!$A$2:$G$6834,4,FALSE),"")</f>
        <v/>
      </c>
      <c r="F1360" s="405" t="str">
        <f>IFERROR(VLOOKUP(A1360,[3]DOORSCRIEFT!$A$2:$G$6834,7,FALSE),"")</f>
        <v/>
      </c>
      <c r="G1360" s="315"/>
    </row>
    <row r="1361" spans="1:7" x14ac:dyDescent="0.25">
      <c r="A1361" s="321" t="str">
        <f t="shared" si="43"/>
        <v>II.3.1.1.01.00514</v>
      </c>
      <c r="B1361" s="321">
        <v>14</v>
      </c>
      <c r="C1361" s="339" t="str">
        <f>IFERROR(VLOOKUP(A1361,[3]DOORSCRIEFT!$A$2:$G$6834,2,FALSE),"")</f>
        <v/>
      </c>
      <c r="D1361" s="481" t="str">
        <f>IFERROR(VLOOKUP(A1361,[3]DOORSCRIEFT!$A$2:$G$6834,3,FALSE),"")</f>
        <v/>
      </c>
      <c r="E1361" s="480" t="str">
        <f>IFERROR(VLOOKUP(A1361,[3]DOORSCRIEFT!$A$2:$G$6834,4,FALSE),"")</f>
        <v/>
      </c>
      <c r="F1361" s="405" t="str">
        <f>IFERROR(VLOOKUP(A1361,[3]DOORSCRIEFT!$A$2:$G$6834,7,FALSE),"")</f>
        <v/>
      </c>
      <c r="G1361" s="315"/>
    </row>
    <row r="1362" spans="1:7" x14ac:dyDescent="0.25">
      <c r="A1362" s="321" t="str">
        <f t="shared" si="43"/>
        <v>II.3.1.1.01.00515</v>
      </c>
      <c r="B1362" s="321">
        <v>15</v>
      </c>
      <c r="C1362" s="339" t="str">
        <f>IFERROR(VLOOKUP(A1362,[3]DOORSCRIEFT!$A$2:$G$6834,2,FALSE),"")</f>
        <v/>
      </c>
      <c r="D1362" s="481" t="str">
        <f>IFERROR(VLOOKUP(A1362,[3]DOORSCRIEFT!$A$2:$G$6834,3,FALSE),"")</f>
        <v/>
      </c>
      <c r="E1362" s="480" t="str">
        <f>IFERROR(VLOOKUP(A1362,[3]DOORSCRIEFT!$A$2:$G$6834,4,FALSE),"")</f>
        <v/>
      </c>
      <c r="F1362" s="405" t="str">
        <f>IFERROR(VLOOKUP(A1362,[3]DOORSCRIEFT!$A$2:$G$6834,7,FALSE),"")</f>
        <v/>
      </c>
      <c r="G1362" s="315"/>
    </row>
    <row r="1363" spans="1:7" x14ac:dyDescent="0.25">
      <c r="A1363" s="321" t="str">
        <f t="shared" si="43"/>
        <v>II.3.1.1.01.00516</v>
      </c>
      <c r="B1363" s="321">
        <v>16</v>
      </c>
      <c r="C1363" s="339" t="str">
        <f>IFERROR(VLOOKUP(A1363,[3]DOORSCRIEFT!$A$2:$G$6834,2,FALSE),"")</f>
        <v/>
      </c>
      <c r="D1363" s="481" t="str">
        <f>IFERROR(VLOOKUP(A1363,[3]DOORSCRIEFT!$A$2:$G$6834,3,FALSE),"")</f>
        <v/>
      </c>
      <c r="E1363" s="480" t="str">
        <f>IFERROR(VLOOKUP(A1363,[3]DOORSCRIEFT!$A$2:$G$6834,4,FALSE),"")</f>
        <v/>
      </c>
      <c r="F1363" s="405" t="str">
        <f>IFERROR(VLOOKUP(A1363,[3]DOORSCRIEFT!$A$2:$G$6834,7,FALSE),"")</f>
        <v/>
      </c>
      <c r="G1363" s="315"/>
    </row>
    <row r="1364" spans="1:7" x14ac:dyDescent="0.25">
      <c r="A1364" s="321" t="str">
        <f t="shared" si="43"/>
        <v>II.3.1.1.01.00517</v>
      </c>
      <c r="B1364" s="321">
        <v>17</v>
      </c>
      <c r="C1364" s="339" t="str">
        <f>IFERROR(VLOOKUP(A1364,[3]DOORSCRIEFT!$A$2:$G$6834,2,FALSE),"")</f>
        <v/>
      </c>
      <c r="D1364" s="481" t="str">
        <f>IFERROR(VLOOKUP(A1364,[3]DOORSCRIEFT!$A$2:$G$6834,3,FALSE),"")</f>
        <v/>
      </c>
      <c r="E1364" s="480" t="str">
        <f>IFERROR(VLOOKUP(A1364,[3]DOORSCRIEFT!$A$2:$G$6834,4,FALSE),"")</f>
        <v/>
      </c>
      <c r="F1364" s="405" t="str">
        <f>IFERROR(VLOOKUP(A1364,[3]DOORSCRIEFT!$A$2:$G$6834,7,FALSE),"")</f>
        <v/>
      </c>
      <c r="G1364" s="315"/>
    </row>
    <row r="1365" spans="1:7" x14ac:dyDescent="0.25">
      <c r="A1365" s="321" t="str">
        <f t="shared" si="43"/>
        <v>II.3.1.1.01.00518</v>
      </c>
      <c r="B1365" s="321">
        <v>18</v>
      </c>
      <c r="C1365" s="339" t="str">
        <f>IFERROR(VLOOKUP(A1365,[3]DOORSCRIEFT!$A$2:$G$6834,2,FALSE),"")</f>
        <v/>
      </c>
      <c r="D1365" s="481" t="str">
        <f>IFERROR(VLOOKUP(A1365,[3]DOORSCRIEFT!$A$2:$G$6834,3,FALSE),"")</f>
        <v/>
      </c>
      <c r="E1365" s="480" t="str">
        <f>IFERROR(VLOOKUP(A1365,[3]DOORSCRIEFT!$A$2:$G$6834,4,FALSE),"")</f>
        <v/>
      </c>
      <c r="F1365" s="405" t="str">
        <f>IFERROR(VLOOKUP(A1365,[3]DOORSCRIEFT!$A$2:$G$6834,7,FALSE),"")</f>
        <v/>
      </c>
      <c r="G1365" s="315"/>
    </row>
    <row r="1366" spans="1:7" x14ac:dyDescent="0.25">
      <c r="A1366" s="321" t="str">
        <f t="shared" si="43"/>
        <v>II.3.1.1.01.00519</v>
      </c>
      <c r="B1366" s="321">
        <v>19</v>
      </c>
      <c r="C1366" s="339" t="str">
        <f>IFERROR(VLOOKUP(A1366,[3]DOORSCRIEFT!$A$2:$G$6834,2,FALSE),"")</f>
        <v/>
      </c>
      <c r="D1366" s="481" t="str">
        <f>IFERROR(VLOOKUP(A1366,[3]DOORSCRIEFT!$A$2:$G$6834,3,FALSE),"")</f>
        <v/>
      </c>
      <c r="E1366" s="480" t="str">
        <f>IFERROR(VLOOKUP(A1366,[3]DOORSCRIEFT!$A$2:$G$6834,4,FALSE),"")</f>
        <v/>
      </c>
      <c r="F1366" s="405" t="str">
        <f>IFERROR(VLOOKUP(A1366,[3]DOORSCRIEFT!$A$2:$G$6834,7,FALSE),"")</f>
        <v/>
      </c>
      <c r="G1366" s="315"/>
    </row>
    <row r="1367" spans="1:7" x14ac:dyDescent="0.25">
      <c r="A1367" s="321" t="str">
        <f t="shared" si="43"/>
        <v>II.3.1.1.01.00520</v>
      </c>
      <c r="B1367" s="321">
        <v>20</v>
      </c>
      <c r="C1367" s="339" t="str">
        <f>IFERROR(VLOOKUP(A1367,[3]DOORSCRIEFT!$A$2:$G$6834,2,FALSE),"")</f>
        <v/>
      </c>
      <c r="D1367" s="481" t="str">
        <f>IFERROR(VLOOKUP(A1367,[3]DOORSCRIEFT!$A$2:$G$6834,3,FALSE),"")</f>
        <v/>
      </c>
      <c r="E1367" s="480" t="str">
        <f>IFERROR(VLOOKUP(A1367,[3]DOORSCRIEFT!$A$2:$G$6834,4,FALSE),"")</f>
        <v/>
      </c>
      <c r="F1367" s="405" t="str">
        <f>IFERROR(VLOOKUP(A1367,[3]DOORSCRIEFT!$A$2:$G$6834,7,FALSE),"")</f>
        <v/>
      </c>
      <c r="G1367" s="315"/>
    </row>
    <row r="1368" spans="1:7" x14ac:dyDescent="0.25">
      <c r="A1368" s="321" t="str">
        <f t="shared" si="43"/>
        <v>II.3.1.1.01.00521</v>
      </c>
      <c r="B1368" s="321">
        <v>21</v>
      </c>
      <c r="C1368" s="339" t="str">
        <f>IFERROR(VLOOKUP(A1368,[3]DOORSCRIEFT!$A$2:$G$6834,2,FALSE),"")</f>
        <v/>
      </c>
      <c r="D1368" s="481" t="str">
        <f>IFERROR(VLOOKUP(A1368,[3]DOORSCRIEFT!$A$2:$G$6834,3,FALSE),"")</f>
        <v/>
      </c>
      <c r="E1368" s="480" t="str">
        <f>IFERROR(VLOOKUP(A1368,[3]DOORSCRIEFT!$A$2:$G$6834,4,FALSE),"")</f>
        <v/>
      </c>
      <c r="F1368" s="405" t="str">
        <f>IFERROR(VLOOKUP(A1368,[3]DOORSCRIEFT!$A$2:$G$6834,7,FALSE),"")</f>
        <v/>
      </c>
      <c r="G1368" s="315"/>
    </row>
    <row r="1369" spans="1:7" x14ac:dyDescent="0.25">
      <c r="A1369" s="321" t="str">
        <f t="shared" si="43"/>
        <v>II.3.1.1.01.00522</v>
      </c>
      <c r="B1369" s="321">
        <v>22</v>
      </c>
      <c r="C1369" s="339" t="str">
        <f>IFERROR(VLOOKUP(A1369,[3]DOORSCRIEFT!$A$2:$G$6834,2,FALSE),"")</f>
        <v/>
      </c>
      <c r="D1369" s="481" t="str">
        <f>IFERROR(VLOOKUP(A1369,[3]DOORSCRIEFT!$A$2:$G$6834,3,FALSE),"")</f>
        <v/>
      </c>
      <c r="E1369" s="480" t="str">
        <f>IFERROR(VLOOKUP(A1369,[3]DOORSCRIEFT!$A$2:$G$6834,4,FALSE),"")</f>
        <v/>
      </c>
      <c r="F1369" s="405" t="str">
        <f>IFERROR(VLOOKUP(A1369,[3]DOORSCRIEFT!$A$2:$G$6834,7,FALSE),"")</f>
        <v/>
      </c>
      <c r="G1369" s="315"/>
    </row>
    <row r="1370" spans="1:7" x14ac:dyDescent="0.25">
      <c r="A1370" s="321" t="str">
        <f t="shared" si="43"/>
        <v>II.3.1.1.01.00523</v>
      </c>
      <c r="B1370" s="321">
        <v>23</v>
      </c>
      <c r="C1370" s="339" t="str">
        <f>IFERROR(VLOOKUP(A1370,[3]DOORSCRIEFT!$A$2:$G$6834,2,FALSE),"")</f>
        <v/>
      </c>
      <c r="D1370" s="481" t="str">
        <f>IFERROR(VLOOKUP(A1370,[3]DOORSCRIEFT!$A$2:$G$6834,3,FALSE),"")</f>
        <v/>
      </c>
      <c r="E1370" s="480" t="str">
        <f>IFERROR(VLOOKUP(A1370,[3]DOORSCRIEFT!$A$2:$G$6834,4,FALSE),"")</f>
        <v/>
      </c>
      <c r="F1370" s="405" t="str">
        <f>IFERROR(VLOOKUP(A1370,[3]DOORSCRIEFT!$A$2:$G$6834,7,FALSE),"")</f>
        <v/>
      </c>
      <c r="G1370" s="315"/>
    </row>
    <row r="1371" spans="1:7" x14ac:dyDescent="0.25">
      <c r="A1371" s="321" t="str">
        <f t="shared" si="43"/>
        <v>II.3.1.1.01.00524</v>
      </c>
      <c r="B1371" s="321">
        <v>24</v>
      </c>
      <c r="C1371" s="339" t="str">
        <f>IFERROR(VLOOKUP(A1371,[3]DOORSCRIEFT!$A$2:$G$6834,2,FALSE),"")</f>
        <v/>
      </c>
      <c r="D1371" s="481" t="str">
        <f>IFERROR(VLOOKUP(A1371,[3]DOORSCRIEFT!$A$2:$G$6834,3,FALSE),"")</f>
        <v/>
      </c>
      <c r="E1371" s="480" t="str">
        <f>IFERROR(VLOOKUP(A1371,[3]DOORSCRIEFT!$A$2:$G$6834,4,FALSE),"")</f>
        <v/>
      </c>
      <c r="F1371" s="405" t="str">
        <f>IFERROR(VLOOKUP(A1371,[3]DOORSCRIEFT!$A$2:$G$6834,7,FALSE),"")</f>
        <v/>
      </c>
      <c r="G1371" s="315"/>
    </row>
    <row r="1372" spans="1:7" ht="15.75" thickBot="1" x14ac:dyDescent="0.3">
      <c r="A1372" s="342" t="str">
        <f t="shared" si="43"/>
        <v>II.3.1.1.01.00525</v>
      </c>
      <c r="B1372" s="342">
        <v>25</v>
      </c>
      <c r="C1372" s="339" t="str">
        <f>IFERROR(VLOOKUP(A1372,[3]DOORSCRIEFT!$A$2:$G$6834,2,FALSE),"")</f>
        <v/>
      </c>
      <c r="D1372" s="481" t="str">
        <f>IFERROR(VLOOKUP(A1372,[3]DOORSCRIEFT!$A$2:$G$6834,3,FALSE),"")</f>
        <v/>
      </c>
      <c r="E1372" s="480" t="str">
        <f>IFERROR(VLOOKUP(A1372,[3]DOORSCRIEFT!$A$2:$G$6834,4,FALSE),"")</f>
        <v/>
      </c>
      <c r="F1372" s="405" t="str">
        <f>IFERROR(VLOOKUP(A1372,[3]DOORSCRIEFT!$A$2:$G$6834,7,FALSE),"")</f>
        <v/>
      </c>
      <c r="G1372" s="315"/>
    </row>
    <row r="1373" spans="1:7" ht="15.75" thickBot="1" x14ac:dyDescent="0.3">
      <c r="A1373" s="341"/>
      <c r="B1373" s="340"/>
      <c r="C1373" s="336"/>
      <c r="D1373" s="486"/>
      <c r="E1373" s="340" t="s">
        <v>644</v>
      </c>
      <c r="F1373" s="310">
        <f>SUM(F1348:F1372)</f>
        <v>2000000</v>
      </c>
      <c r="G1373" s="309">
        <f>SUM(G1348:G1372)</f>
        <v>0</v>
      </c>
    </row>
    <row r="1374" spans="1:7" x14ac:dyDescent="0.25">
      <c r="C1374" s="335"/>
      <c r="D1374" s="485"/>
    </row>
    <row r="1375" spans="1:7" x14ac:dyDescent="0.25">
      <c r="C1375" s="335"/>
      <c r="D1375" s="485"/>
    </row>
    <row r="1376" spans="1:7" ht="15.75" x14ac:dyDescent="0.25">
      <c r="C1376" s="334" t="s">
        <v>663</v>
      </c>
      <c r="D1376" s="484"/>
      <c r="E1376" s="333"/>
      <c r="F1376" s="327" t="s">
        <v>607</v>
      </c>
      <c r="G1376" s="327" t="s">
        <v>159</v>
      </c>
    </row>
    <row r="1377" spans="1:7" ht="15.75" x14ac:dyDescent="0.25">
      <c r="C1377" s="334"/>
      <c r="D1377" s="484"/>
      <c r="E1377" s="333"/>
      <c r="F1377" s="327" t="s">
        <v>601</v>
      </c>
      <c r="G1377" s="327" t="s">
        <v>158</v>
      </c>
    </row>
    <row r="1378" spans="1:7" x14ac:dyDescent="0.25">
      <c r="C1378" s="330"/>
      <c r="D1378" s="482"/>
      <c r="E1378" s="329"/>
      <c r="F1378" s="327" t="s">
        <v>651</v>
      </c>
      <c r="G1378" s="331">
        <f>[2]Sheet1!$D$399</f>
        <v>8840000</v>
      </c>
    </row>
    <row r="1379" spans="1:7" ht="15.75" thickBot="1" x14ac:dyDescent="0.3">
      <c r="C1379" s="330"/>
      <c r="D1379" s="482"/>
      <c r="E1379" s="329"/>
      <c r="F1379" s="327" t="s">
        <v>650</v>
      </c>
      <c r="G1379" s="326">
        <f>+F1407-G1378</f>
        <v>-8840000</v>
      </c>
    </row>
    <row r="1380" spans="1:7" x14ac:dyDescent="0.25">
      <c r="A1380" s="571" t="s">
        <v>655</v>
      </c>
      <c r="B1380" s="573" t="s">
        <v>606</v>
      </c>
      <c r="C1380" s="588" t="s">
        <v>649</v>
      </c>
      <c r="D1380" s="599" t="s">
        <v>648</v>
      </c>
      <c r="E1380" s="577" t="s">
        <v>647</v>
      </c>
      <c r="F1380" s="577" t="s">
        <v>646</v>
      </c>
      <c r="G1380" s="580" t="s">
        <v>645</v>
      </c>
    </row>
    <row r="1381" spans="1:7" ht="15.75" thickBot="1" x14ac:dyDescent="0.3">
      <c r="A1381" s="572"/>
      <c r="B1381" s="574"/>
      <c r="C1381" s="589"/>
      <c r="D1381" s="600"/>
      <c r="E1381" s="578"/>
      <c r="F1381" s="578"/>
      <c r="G1381" s="581"/>
    </row>
    <row r="1382" spans="1:7" ht="15.75" thickBot="1" x14ac:dyDescent="0.3">
      <c r="A1382" s="425">
        <v>1</v>
      </c>
      <c r="B1382" s="425">
        <v>2</v>
      </c>
      <c r="C1382" s="425">
        <v>3</v>
      </c>
      <c r="D1382" s="425">
        <v>4</v>
      </c>
      <c r="E1382" s="425">
        <v>5</v>
      </c>
      <c r="F1382" s="425">
        <v>6</v>
      </c>
      <c r="G1382" s="425">
        <v>7</v>
      </c>
    </row>
    <row r="1383" spans="1:7" x14ac:dyDescent="0.25">
      <c r="A1383" s="320" t="str">
        <f t="shared" ref="A1383:A1406" si="44">$G$1376&amp;B1383</f>
        <v>II.3.1.1.01.0061</v>
      </c>
      <c r="B1383" s="320">
        <v>1</v>
      </c>
      <c r="C1383" s="339" t="str">
        <f>IFERROR(VLOOKUP(A1383,[3]DOORSCRIEFT!$A$2:$G$6834,2,FALSE),"")</f>
        <v/>
      </c>
      <c r="D1383" s="481" t="str">
        <f>IFERROR(VLOOKUP(A1383,[3]DOORSCRIEFT!$A$2:$G$6834,3,FALSE),"")</f>
        <v/>
      </c>
      <c r="E1383" s="480" t="str">
        <f>IFERROR(VLOOKUP(A1383,[3]DOORSCRIEFT!$A$2:$G$6834,4,FALSE),"")</f>
        <v/>
      </c>
      <c r="F1383" s="405" t="str">
        <f>IFERROR(VLOOKUP(A1383,[3]DOORSCRIEFT!$A$2:$G$6834,7,FALSE),"")</f>
        <v/>
      </c>
      <c r="G1383" s="322"/>
    </row>
    <row r="1384" spans="1:7" x14ac:dyDescent="0.25">
      <c r="A1384" s="321" t="str">
        <f t="shared" si="44"/>
        <v>II.3.1.1.01.0062</v>
      </c>
      <c r="B1384" s="321">
        <v>2</v>
      </c>
      <c r="C1384" s="339" t="str">
        <f>IFERROR(VLOOKUP(A1384,[3]DOORSCRIEFT!$A$2:$G$6834,2,FALSE),"")</f>
        <v/>
      </c>
      <c r="D1384" s="481" t="str">
        <f>IFERROR(VLOOKUP(A1384,[3]DOORSCRIEFT!$A$2:$G$6834,3,FALSE),"")</f>
        <v/>
      </c>
      <c r="E1384" s="480" t="str">
        <f>IFERROR(VLOOKUP(A1384,[3]DOORSCRIEFT!$A$2:$G$6834,4,FALSE),"")</f>
        <v/>
      </c>
      <c r="F1384" s="405" t="str">
        <f>IFERROR(VLOOKUP(A1384,[3]DOORSCRIEFT!$A$2:$G$6834,7,FALSE),"")</f>
        <v/>
      </c>
      <c r="G1384" s="315"/>
    </row>
    <row r="1385" spans="1:7" x14ac:dyDescent="0.25">
      <c r="A1385" s="321" t="str">
        <f t="shared" si="44"/>
        <v>II.3.1.1.01.0063</v>
      </c>
      <c r="B1385" s="321">
        <v>3</v>
      </c>
      <c r="C1385" s="339" t="str">
        <f>IFERROR(VLOOKUP(A1385,[3]DOORSCRIEFT!$A$2:$G$6834,2,FALSE),"")</f>
        <v/>
      </c>
      <c r="D1385" s="481" t="str">
        <f>IFERROR(VLOOKUP(A1385,[3]DOORSCRIEFT!$A$2:$G$6834,3,FALSE),"")</f>
        <v/>
      </c>
      <c r="E1385" s="480" t="str">
        <f>IFERROR(VLOOKUP(A1385,[3]DOORSCRIEFT!$A$2:$G$6834,4,FALSE),"")</f>
        <v/>
      </c>
      <c r="F1385" s="405" t="str">
        <f>IFERROR(VLOOKUP(A1385,[3]DOORSCRIEFT!$A$2:$G$6834,7,FALSE),"")</f>
        <v/>
      </c>
      <c r="G1385" s="315"/>
    </row>
    <row r="1386" spans="1:7" x14ac:dyDescent="0.25">
      <c r="A1386" s="321" t="str">
        <f t="shared" si="44"/>
        <v>II.3.1.1.01.0064</v>
      </c>
      <c r="B1386" s="321">
        <v>4</v>
      </c>
      <c r="C1386" s="339" t="str">
        <f>IFERROR(VLOOKUP(A1386,[3]DOORSCRIEFT!$A$2:$G$6834,2,FALSE),"")</f>
        <v/>
      </c>
      <c r="D1386" s="481" t="str">
        <f>IFERROR(VLOOKUP(A1386,[3]DOORSCRIEFT!$A$2:$G$6834,3,FALSE),"")</f>
        <v/>
      </c>
      <c r="E1386" s="480" t="str">
        <f>IFERROR(VLOOKUP(A1386,[3]DOORSCRIEFT!$A$2:$G$6834,4,FALSE),"")</f>
        <v/>
      </c>
      <c r="F1386" s="405" t="str">
        <f>IFERROR(VLOOKUP(A1386,[3]DOORSCRIEFT!$A$2:$G$6834,7,FALSE),"")</f>
        <v/>
      </c>
      <c r="G1386" s="315"/>
    </row>
    <row r="1387" spans="1:7" x14ac:dyDescent="0.25">
      <c r="A1387" s="321" t="str">
        <f t="shared" si="44"/>
        <v>II.3.1.1.01.0065</v>
      </c>
      <c r="B1387" s="321">
        <v>5</v>
      </c>
      <c r="C1387" s="339" t="str">
        <f>IFERROR(VLOOKUP(A1387,[3]DOORSCRIEFT!$A$2:$G$6834,2,FALSE),"")</f>
        <v/>
      </c>
      <c r="D1387" s="481" t="str">
        <f>IFERROR(VLOOKUP(A1387,[3]DOORSCRIEFT!$A$2:$G$6834,3,FALSE),"")</f>
        <v/>
      </c>
      <c r="E1387" s="480" t="str">
        <f>IFERROR(VLOOKUP(A1387,[3]DOORSCRIEFT!$A$2:$G$6834,4,FALSE),"")</f>
        <v/>
      </c>
      <c r="F1387" s="405" t="str">
        <f>IFERROR(VLOOKUP(A1387,[3]DOORSCRIEFT!$A$2:$G$6834,7,FALSE),"")</f>
        <v/>
      </c>
      <c r="G1387" s="315"/>
    </row>
    <row r="1388" spans="1:7" x14ac:dyDescent="0.25">
      <c r="A1388" s="321" t="str">
        <f t="shared" si="44"/>
        <v>II.3.1.1.01.0066</v>
      </c>
      <c r="B1388" s="321">
        <v>6</v>
      </c>
      <c r="C1388" s="339" t="str">
        <f>IFERROR(VLOOKUP(A1388,[3]DOORSCRIEFT!$A$2:$G$6834,2,FALSE),"")</f>
        <v/>
      </c>
      <c r="D1388" s="481" t="str">
        <f>IFERROR(VLOOKUP(A1388,[3]DOORSCRIEFT!$A$2:$G$6834,3,FALSE),"")</f>
        <v/>
      </c>
      <c r="E1388" s="480" t="str">
        <f>IFERROR(VLOOKUP(A1388,[3]DOORSCRIEFT!$A$2:$G$6834,4,FALSE),"")</f>
        <v/>
      </c>
      <c r="F1388" s="405" t="str">
        <f>IFERROR(VLOOKUP(A1388,[3]DOORSCRIEFT!$A$2:$G$6834,7,FALSE),"")</f>
        <v/>
      </c>
      <c r="G1388" s="315"/>
    </row>
    <row r="1389" spans="1:7" x14ac:dyDescent="0.25">
      <c r="A1389" s="321" t="str">
        <f t="shared" si="44"/>
        <v>II.3.1.1.01.0067</v>
      </c>
      <c r="B1389" s="321">
        <v>7</v>
      </c>
      <c r="C1389" s="339" t="str">
        <f>IFERROR(VLOOKUP(A1389,[3]DOORSCRIEFT!$A$2:$G$6834,2,FALSE),"")</f>
        <v/>
      </c>
      <c r="D1389" s="481" t="str">
        <f>IFERROR(VLOOKUP(A1389,[3]DOORSCRIEFT!$A$2:$G$6834,3,FALSE),"")</f>
        <v/>
      </c>
      <c r="E1389" s="480" t="str">
        <f>IFERROR(VLOOKUP(A1389,[3]DOORSCRIEFT!$A$2:$G$6834,4,FALSE),"")</f>
        <v/>
      </c>
      <c r="F1389" s="405" t="str">
        <f>IFERROR(VLOOKUP(A1389,[3]DOORSCRIEFT!$A$2:$G$6834,7,FALSE),"")</f>
        <v/>
      </c>
      <c r="G1389" s="315"/>
    </row>
    <row r="1390" spans="1:7" x14ac:dyDescent="0.25">
      <c r="A1390" s="321" t="str">
        <f t="shared" si="44"/>
        <v>II.3.1.1.01.0068</v>
      </c>
      <c r="B1390" s="321">
        <v>8</v>
      </c>
      <c r="C1390" s="339" t="str">
        <f>IFERROR(VLOOKUP(A1390,[3]DOORSCRIEFT!$A$2:$G$6834,2,FALSE),"")</f>
        <v/>
      </c>
      <c r="D1390" s="481" t="str">
        <f>IFERROR(VLOOKUP(A1390,[3]DOORSCRIEFT!$A$2:$G$6834,3,FALSE),"")</f>
        <v/>
      </c>
      <c r="E1390" s="480" t="str">
        <f>IFERROR(VLOOKUP(A1390,[3]DOORSCRIEFT!$A$2:$G$6834,4,FALSE),"")</f>
        <v/>
      </c>
      <c r="F1390" s="405" t="str">
        <f>IFERROR(VLOOKUP(A1390,[3]DOORSCRIEFT!$A$2:$G$6834,7,FALSE),"")</f>
        <v/>
      </c>
      <c r="G1390" s="315"/>
    </row>
    <row r="1391" spans="1:7" x14ac:dyDescent="0.25">
      <c r="A1391" s="321" t="str">
        <f t="shared" si="44"/>
        <v>II.3.1.1.01.0069</v>
      </c>
      <c r="B1391" s="321">
        <v>9</v>
      </c>
      <c r="C1391" s="339" t="str">
        <f>IFERROR(VLOOKUP(A1391,[3]DOORSCRIEFT!$A$2:$G$6834,2,FALSE),"")</f>
        <v/>
      </c>
      <c r="D1391" s="481" t="str">
        <f>IFERROR(VLOOKUP(A1391,[3]DOORSCRIEFT!$A$2:$G$6834,3,FALSE),"")</f>
        <v/>
      </c>
      <c r="E1391" s="480" t="str">
        <f>IFERROR(VLOOKUP(A1391,[3]DOORSCRIEFT!$A$2:$G$6834,4,FALSE),"")</f>
        <v/>
      </c>
      <c r="F1391" s="405" t="str">
        <f>IFERROR(VLOOKUP(A1391,[3]DOORSCRIEFT!$A$2:$G$6834,7,FALSE),"")</f>
        <v/>
      </c>
      <c r="G1391" s="315"/>
    </row>
    <row r="1392" spans="1:7" x14ac:dyDescent="0.25">
      <c r="A1392" s="321" t="str">
        <f t="shared" si="44"/>
        <v>II.3.1.1.01.00610</v>
      </c>
      <c r="B1392" s="321">
        <v>10</v>
      </c>
      <c r="C1392" s="339" t="str">
        <f>IFERROR(VLOOKUP(A1392,[3]DOORSCRIEFT!$A$2:$G$6834,2,FALSE),"")</f>
        <v/>
      </c>
      <c r="D1392" s="481" t="str">
        <f>IFERROR(VLOOKUP(A1392,[3]DOORSCRIEFT!$A$2:$G$6834,3,FALSE),"")</f>
        <v/>
      </c>
      <c r="E1392" s="480" t="str">
        <f>IFERROR(VLOOKUP(A1392,[3]DOORSCRIEFT!$A$2:$G$6834,4,FALSE),"")</f>
        <v/>
      </c>
      <c r="F1392" s="405" t="str">
        <f>IFERROR(VLOOKUP(A1392,[3]DOORSCRIEFT!$A$2:$G$6834,7,FALSE),"")</f>
        <v/>
      </c>
      <c r="G1392" s="315"/>
    </row>
    <row r="1393" spans="1:7" x14ac:dyDescent="0.25">
      <c r="A1393" s="321" t="str">
        <f t="shared" si="44"/>
        <v>II.3.1.1.01.00611</v>
      </c>
      <c r="B1393" s="321">
        <v>11</v>
      </c>
      <c r="C1393" s="339" t="str">
        <f>IFERROR(VLOOKUP(A1393,[3]DOORSCRIEFT!$A$2:$G$6834,2,FALSE),"")</f>
        <v/>
      </c>
      <c r="D1393" s="481" t="str">
        <f>IFERROR(VLOOKUP(A1393,[3]DOORSCRIEFT!$A$2:$G$6834,3,FALSE),"")</f>
        <v/>
      </c>
      <c r="E1393" s="480" t="str">
        <f>IFERROR(VLOOKUP(A1393,[3]DOORSCRIEFT!$A$2:$G$6834,4,FALSE),"")</f>
        <v/>
      </c>
      <c r="F1393" s="405" t="str">
        <f>IFERROR(VLOOKUP(A1393,[3]DOORSCRIEFT!$A$2:$G$6834,7,FALSE),"")</f>
        <v/>
      </c>
      <c r="G1393" s="315"/>
    </row>
    <row r="1394" spans="1:7" x14ac:dyDescent="0.25">
      <c r="A1394" s="321" t="str">
        <f t="shared" si="44"/>
        <v>II.3.1.1.01.00612</v>
      </c>
      <c r="B1394" s="321">
        <v>12</v>
      </c>
      <c r="C1394" s="339" t="str">
        <f>IFERROR(VLOOKUP(A1394,[3]DOORSCRIEFT!$A$2:$G$6834,2,FALSE),"")</f>
        <v/>
      </c>
      <c r="D1394" s="481" t="str">
        <f>IFERROR(VLOOKUP(A1394,[3]DOORSCRIEFT!$A$2:$G$6834,3,FALSE),"")</f>
        <v/>
      </c>
      <c r="E1394" s="480" t="str">
        <f>IFERROR(VLOOKUP(A1394,[3]DOORSCRIEFT!$A$2:$G$6834,4,FALSE),"")</f>
        <v/>
      </c>
      <c r="F1394" s="405" t="str">
        <f>IFERROR(VLOOKUP(A1394,[3]DOORSCRIEFT!$A$2:$G$6834,7,FALSE),"")</f>
        <v/>
      </c>
      <c r="G1394" s="315"/>
    </row>
    <row r="1395" spans="1:7" x14ac:dyDescent="0.25">
      <c r="A1395" s="321" t="str">
        <f t="shared" si="44"/>
        <v>II.3.1.1.01.00613</v>
      </c>
      <c r="B1395" s="321">
        <v>13</v>
      </c>
      <c r="C1395" s="339" t="str">
        <f>IFERROR(VLOOKUP(A1395,[3]DOORSCRIEFT!$A$2:$G$6834,2,FALSE),"")</f>
        <v/>
      </c>
      <c r="D1395" s="481" t="str">
        <f>IFERROR(VLOOKUP(A1395,[3]DOORSCRIEFT!$A$2:$G$6834,3,FALSE),"")</f>
        <v/>
      </c>
      <c r="E1395" s="480" t="str">
        <f>IFERROR(VLOOKUP(A1395,[3]DOORSCRIEFT!$A$2:$G$6834,4,FALSE),"")</f>
        <v/>
      </c>
      <c r="F1395" s="405" t="str">
        <f>IFERROR(VLOOKUP(A1395,[3]DOORSCRIEFT!$A$2:$G$6834,7,FALSE),"")</f>
        <v/>
      </c>
      <c r="G1395" s="315"/>
    </row>
    <row r="1396" spans="1:7" x14ac:dyDescent="0.25">
      <c r="A1396" s="321" t="str">
        <f t="shared" si="44"/>
        <v>II.3.1.1.01.00614</v>
      </c>
      <c r="B1396" s="321">
        <v>14</v>
      </c>
      <c r="C1396" s="339" t="str">
        <f>IFERROR(VLOOKUP(A1396,[3]DOORSCRIEFT!$A$2:$G$6834,2,FALSE),"")</f>
        <v/>
      </c>
      <c r="D1396" s="481" t="str">
        <f>IFERROR(VLOOKUP(A1396,[3]DOORSCRIEFT!$A$2:$G$6834,3,FALSE),"")</f>
        <v/>
      </c>
      <c r="E1396" s="480" t="str">
        <f>IFERROR(VLOOKUP(A1396,[3]DOORSCRIEFT!$A$2:$G$6834,4,FALSE),"")</f>
        <v/>
      </c>
      <c r="F1396" s="405" t="str">
        <f>IFERROR(VLOOKUP(A1396,[3]DOORSCRIEFT!$A$2:$G$6834,7,FALSE),"")</f>
        <v/>
      </c>
      <c r="G1396" s="315"/>
    </row>
    <row r="1397" spans="1:7" x14ac:dyDescent="0.25">
      <c r="A1397" s="321" t="str">
        <f t="shared" si="44"/>
        <v>II.3.1.1.01.00615</v>
      </c>
      <c r="B1397" s="321">
        <v>15</v>
      </c>
      <c r="C1397" s="339" t="str">
        <f>IFERROR(VLOOKUP(A1397,[3]DOORSCRIEFT!$A$2:$G$6834,2,FALSE),"")</f>
        <v/>
      </c>
      <c r="D1397" s="481" t="str">
        <f>IFERROR(VLOOKUP(A1397,[3]DOORSCRIEFT!$A$2:$G$6834,3,FALSE),"")</f>
        <v/>
      </c>
      <c r="E1397" s="480" t="str">
        <f>IFERROR(VLOOKUP(A1397,[3]DOORSCRIEFT!$A$2:$G$6834,4,FALSE),"")</f>
        <v/>
      </c>
      <c r="F1397" s="405" t="str">
        <f>IFERROR(VLOOKUP(A1397,[3]DOORSCRIEFT!$A$2:$G$6834,7,FALSE),"")</f>
        <v/>
      </c>
      <c r="G1397" s="315"/>
    </row>
    <row r="1398" spans="1:7" x14ac:dyDescent="0.25">
      <c r="A1398" s="321" t="str">
        <f t="shared" si="44"/>
        <v>II.3.1.1.01.00616</v>
      </c>
      <c r="B1398" s="321">
        <v>16</v>
      </c>
      <c r="C1398" s="339" t="str">
        <f>IFERROR(VLOOKUP(A1398,[3]DOORSCRIEFT!$A$2:$G$6834,2,FALSE),"")</f>
        <v/>
      </c>
      <c r="D1398" s="481" t="str">
        <f>IFERROR(VLOOKUP(A1398,[3]DOORSCRIEFT!$A$2:$G$6834,3,FALSE),"")</f>
        <v/>
      </c>
      <c r="E1398" s="480" t="str">
        <f>IFERROR(VLOOKUP(A1398,[3]DOORSCRIEFT!$A$2:$G$6834,4,FALSE),"")</f>
        <v/>
      </c>
      <c r="F1398" s="405" t="str">
        <f>IFERROR(VLOOKUP(A1398,[3]DOORSCRIEFT!$A$2:$G$6834,7,FALSE),"")</f>
        <v/>
      </c>
      <c r="G1398" s="315"/>
    </row>
    <row r="1399" spans="1:7" x14ac:dyDescent="0.25">
      <c r="A1399" s="321" t="str">
        <f t="shared" si="44"/>
        <v>II.3.1.1.01.00617</v>
      </c>
      <c r="B1399" s="321">
        <v>17</v>
      </c>
      <c r="C1399" s="339" t="str">
        <f>IFERROR(VLOOKUP(A1399,[3]DOORSCRIEFT!$A$2:$G$6834,2,FALSE),"")</f>
        <v/>
      </c>
      <c r="D1399" s="481" t="str">
        <f>IFERROR(VLOOKUP(A1399,[3]DOORSCRIEFT!$A$2:$G$6834,3,FALSE),"")</f>
        <v/>
      </c>
      <c r="E1399" s="480" t="str">
        <f>IFERROR(VLOOKUP(A1399,[3]DOORSCRIEFT!$A$2:$G$6834,4,FALSE),"")</f>
        <v/>
      </c>
      <c r="F1399" s="405" t="str">
        <f>IFERROR(VLOOKUP(A1399,[3]DOORSCRIEFT!$A$2:$G$6834,7,FALSE),"")</f>
        <v/>
      </c>
      <c r="G1399" s="315"/>
    </row>
    <row r="1400" spans="1:7" x14ac:dyDescent="0.25">
      <c r="A1400" s="321" t="str">
        <f t="shared" si="44"/>
        <v>II.3.1.1.01.00618</v>
      </c>
      <c r="B1400" s="321">
        <v>18</v>
      </c>
      <c r="C1400" s="339" t="str">
        <f>IFERROR(VLOOKUP(A1400,[3]DOORSCRIEFT!$A$2:$G$6834,2,FALSE),"")</f>
        <v/>
      </c>
      <c r="D1400" s="481" t="str">
        <f>IFERROR(VLOOKUP(A1400,[3]DOORSCRIEFT!$A$2:$G$6834,3,FALSE),"")</f>
        <v/>
      </c>
      <c r="E1400" s="480" t="str">
        <f>IFERROR(VLOOKUP(A1400,[3]DOORSCRIEFT!$A$2:$G$6834,4,FALSE),"")</f>
        <v/>
      </c>
      <c r="F1400" s="405" t="str">
        <f>IFERROR(VLOOKUP(A1400,[3]DOORSCRIEFT!$A$2:$G$6834,7,FALSE),"")</f>
        <v/>
      </c>
      <c r="G1400" s="315"/>
    </row>
    <row r="1401" spans="1:7" x14ac:dyDescent="0.25">
      <c r="A1401" s="321" t="str">
        <f t="shared" si="44"/>
        <v>II.3.1.1.01.00619</v>
      </c>
      <c r="B1401" s="321">
        <v>19</v>
      </c>
      <c r="C1401" s="339" t="str">
        <f>IFERROR(VLOOKUP(A1401,[3]DOORSCRIEFT!$A$2:$G$6834,2,FALSE),"")</f>
        <v/>
      </c>
      <c r="D1401" s="481" t="str">
        <f>IFERROR(VLOOKUP(A1401,[3]DOORSCRIEFT!$A$2:$G$6834,3,FALSE),"")</f>
        <v/>
      </c>
      <c r="E1401" s="480" t="str">
        <f>IFERROR(VLOOKUP(A1401,[3]DOORSCRIEFT!$A$2:$G$6834,4,FALSE),"")</f>
        <v/>
      </c>
      <c r="F1401" s="405" t="str">
        <f>IFERROR(VLOOKUP(A1401,[3]DOORSCRIEFT!$A$2:$G$6834,7,FALSE),"")</f>
        <v/>
      </c>
      <c r="G1401" s="315"/>
    </row>
    <row r="1402" spans="1:7" x14ac:dyDescent="0.25">
      <c r="A1402" s="321" t="str">
        <f t="shared" si="44"/>
        <v>II.3.1.1.01.00620</v>
      </c>
      <c r="B1402" s="321">
        <v>20</v>
      </c>
      <c r="C1402" s="339" t="str">
        <f>IFERROR(VLOOKUP(A1402,[3]DOORSCRIEFT!$A$2:$G$6834,2,FALSE),"")</f>
        <v/>
      </c>
      <c r="D1402" s="481" t="str">
        <f>IFERROR(VLOOKUP(A1402,[3]DOORSCRIEFT!$A$2:$G$6834,3,FALSE),"")</f>
        <v/>
      </c>
      <c r="E1402" s="480" t="str">
        <f>IFERROR(VLOOKUP(A1402,[3]DOORSCRIEFT!$A$2:$G$6834,4,FALSE),"")</f>
        <v/>
      </c>
      <c r="F1402" s="405" t="str">
        <f>IFERROR(VLOOKUP(A1402,[3]DOORSCRIEFT!$A$2:$G$6834,7,FALSE),"")</f>
        <v/>
      </c>
      <c r="G1402" s="315"/>
    </row>
    <row r="1403" spans="1:7" x14ac:dyDescent="0.25">
      <c r="A1403" s="321" t="str">
        <f t="shared" si="44"/>
        <v>II.3.1.1.01.00621</v>
      </c>
      <c r="B1403" s="321">
        <v>21</v>
      </c>
      <c r="C1403" s="339" t="str">
        <f>IFERROR(VLOOKUP(A1403,[3]DOORSCRIEFT!$A$2:$G$6834,2,FALSE),"")</f>
        <v/>
      </c>
      <c r="D1403" s="481" t="str">
        <f>IFERROR(VLOOKUP(A1403,[3]DOORSCRIEFT!$A$2:$G$6834,3,FALSE),"")</f>
        <v/>
      </c>
      <c r="E1403" s="480" t="str">
        <f>IFERROR(VLOOKUP(A1403,[3]DOORSCRIEFT!$A$2:$G$6834,4,FALSE),"")</f>
        <v/>
      </c>
      <c r="F1403" s="405" t="str">
        <f>IFERROR(VLOOKUP(A1403,[3]DOORSCRIEFT!$A$2:$G$6834,7,FALSE),"")</f>
        <v/>
      </c>
      <c r="G1403" s="315"/>
    </row>
    <row r="1404" spans="1:7" x14ac:dyDescent="0.25">
      <c r="A1404" s="321" t="str">
        <f t="shared" si="44"/>
        <v>II.3.1.1.01.00622</v>
      </c>
      <c r="B1404" s="321">
        <v>22</v>
      </c>
      <c r="C1404" s="339" t="str">
        <f>IFERROR(VLOOKUP(A1404,[3]DOORSCRIEFT!$A$2:$G$6834,2,FALSE),"")</f>
        <v/>
      </c>
      <c r="D1404" s="481" t="str">
        <f>IFERROR(VLOOKUP(A1404,[3]DOORSCRIEFT!$A$2:$G$6834,3,FALSE),"")</f>
        <v/>
      </c>
      <c r="E1404" s="480" t="str">
        <f>IFERROR(VLOOKUP(A1404,[3]DOORSCRIEFT!$A$2:$G$6834,4,FALSE),"")</f>
        <v/>
      </c>
      <c r="F1404" s="405" t="str">
        <f>IFERROR(VLOOKUP(A1404,[3]DOORSCRIEFT!$A$2:$G$6834,7,FALSE),"")</f>
        <v/>
      </c>
      <c r="G1404" s="315"/>
    </row>
    <row r="1405" spans="1:7" x14ac:dyDescent="0.25">
      <c r="A1405" s="321" t="str">
        <f t="shared" si="44"/>
        <v>II.3.1.1.01.00623</v>
      </c>
      <c r="B1405" s="321">
        <v>23</v>
      </c>
      <c r="C1405" s="339" t="str">
        <f>IFERROR(VLOOKUP(A1405,[3]DOORSCRIEFT!$A$2:$G$6834,2,FALSE),"")</f>
        <v/>
      </c>
      <c r="D1405" s="481" t="str">
        <f>IFERROR(VLOOKUP(A1405,[3]DOORSCRIEFT!$A$2:$G$6834,3,FALSE),"")</f>
        <v/>
      </c>
      <c r="E1405" s="480" t="str">
        <f>IFERROR(VLOOKUP(A1405,[3]DOORSCRIEFT!$A$2:$G$6834,4,FALSE),"")</f>
        <v/>
      </c>
      <c r="F1405" s="405" t="str">
        <f>IFERROR(VLOOKUP(A1405,[3]DOORSCRIEFT!$A$2:$G$6834,7,FALSE),"")</f>
        <v/>
      </c>
      <c r="G1405" s="315"/>
    </row>
    <row r="1406" spans="1:7" ht="15.75" thickBot="1" x14ac:dyDescent="0.3">
      <c r="A1406" s="342" t="str">
        <f t="shared" si="44"/>
        <v>II.3.1.1.01.00624</v>
      </c>
      <c r="B1406" s="342">
        <v>24</v>
      </c>
      <c r="C1406" s="339" t="str">
        <f>IFERROR(VLOOKUP(A1406,[3]DOORSCRIEFT!$A$2:$G$6834,2,FALSE),"")</f>
        <v/>
      </c>
      <c r="D1406" s="481" t="str">
        <f>IFERROR(VLOOKUP(A1406,[3]DOORSCRIEFT!$A$2:$G$6834,3,FALSE),"")</f>
        <v/>
      </c>
      <c r="E1406" s="480" t="str">
        <f>IFERROR(VLOOKUP(A1406,[3]DOORSCRIEFT!$A$2:$G$6834,4,FALSE),"")</f>
        <v/>
      </c>
      <c r="F1406" s="405" t="str">
        <f>IFERROR(VLOOKUP(A1406,[3]DOORSCRIEFT!$A$2:$G$6834,7,FALSE),"")</f>
        <v/>
      </c>
      <c r="G1406" s="315"/>
    </row>
    <row r="1407" spans="1:7" ht="15.75" thickBot="1" x14ac:dyDescent="0.3">
      <c r="A1407" s="341"/>
      <c r="B1407" s="340"/>
      <c r="C1407" s="336"/>
      <c r="D1407" s="486"/>
      <c r="E1407" s="340" t="s">
        <v>644</v>
      </c>
      <c r="F1407" s="310">
        <f>SUM(F1383:F1406)</f>
        <v>0</v>
      </c>
      <c r="G1407" s="309">
        <f>SUM(G1383:G1406)</f>
        <v>0</v>
      </c>
    </row>
    <row r="1408" spans="1:7" x14ac:dyDescent="0.25">
      <c r="C1408" s="335"/>
      <c r="D1408" s="485"/>
    </row>
    <row r="1409" spans="1:7" x14ac:dyDescent="0.25">
      <c r="C1409" s="335"/>
      <c r="D1409" s="485"/>
    </row>
    <row r="1410" spans="1:7" ht="15.75" x14ac:dyDescent="0.25">
      <c r="C1410" s="334" t="s">
        <v>663</v>
      </c>
      <c r="D1410" s="484"/>
      <c r="E1410" s="333"/>
      <c r="F1410" s="327" t="s">
        <v>607</v>
      </c>
      <c r="G1410" s="327" t="s">
        <v>155</v>
      </c>
    </row>
    <row r="1411" spans="1:7" ht="15.75" x14ac:dyDescent="0.25">
      <c r="C1411" s="334"/>
      <c r="D1411" s="484"/>
      <c r="E1411" s="333"/>
      <c r="F1411" s="327" t="s">
        <v>601</v>
      </c>
      <c r="G1411" s="327" t="s">
        <v>154</v>
      </c>
    </row>
    <row r="1412" spans="1:7" x14ac:dyDescent="0.25">
      <c r="C1412" s="330"/>
      <c r="D1412" s="482"/>
      <c r="E1412" s="329"/>
      <c r="F1412" s="327" t="s">
        <v>651</v>
      </c>
      <c r="G1412" s="331">
        <f>[2]Sheet1!$D$411</f>
        <v>2000000</v>
      </c>
    </row>
    <row r="1413" spans="1:7" ht="15.75" thickBot="1" x14ac:dyDescent="0.3">
      <c r="C1413" s="330"/>
      <c r="D1413" s="482"/>
      <c r="E1413" s="329"/>
      <c r="F1413" s="327" t="s">
        <v>650</v>
      </c>
      <c r="G1413" s="326">
        <f>+F1440-G1412</f>
        <v>-2000000</v>
      </c>
    </row>
    <row r="1414" spans="1:7" x14ac:dyDescent="0.25">
      <c r="A1414" s="571" t="s">
        <v>655</v>
      </c>
      <c r="B1414" s="573" t="s">
        <v>606</v>
      </c>
      <c r="C1414" s="588" t="s">
        <v>649</v>
      </c>
      <c r="D1414" s="599" t="s">
        <v>648</v>
      </c>
      <c r="E1414" s="577" t="s">
        <v>647</v>
      </c>
      <c r="F1414" s="577" t="s">
        <v>646</v>
      </c>
      <c r="G1414" s="580" t="s">
        <v>645</v>
      </c>
    </row>
    <row r="1415" spans="1:7" ht="15.75" thickBot="1" x14ac:dyDescent="0.3">
      <c r="A1415" s="572"/>
      <c r="B1415" s="574"/>
      <c r="C1415" s="589"/>
      <c r="D1415" s="600"/>
      <c r="E1415" s="578"/>
      <c r="F1415" s="578"/>
      <c r="G1415" s="581"/>
    </row>
    <row r="1416" spans="1:7" ht="15.75" thickBot="1" x14ac:dyDescent="0.3">
      <c r="A1416" s="425">
        <v>1</v>
      </c>
      <c r="B1416" s="425">
        <v>2</v>
      </c>
      <c r="C1416" s="425">
        <v>3</v>
      </c>
      <c r="D1416" s="425">
        <v>4</v>
      </c>
      <c r="E1416" s="425">
        <v>5</v>
      </c>
      <c r="F1416" s="425">
        <v>6</v>
      </c>
      <c r="G1416" s="425">
        <v>7</v>
      </c>
    </row>
    <row r="1417" spans="1:7" x14ac:dyDescent="0.25">
      <c r="A1417" s="320" t="str">
        <f t="shared" ref="A1417:A1439" si="45">$G$1410&amp;B1417</f>
        <v>II.3.1.1.02.0011</v>
      </c>
      <c r="B1417" s="320">
        <v>1</v>
      </c>
      <c r="C1417" s="339" t="str">
        <f>IFERROR(VLOOKUP(A1417,[3]DOORSCRIEFT!$A$2:$G$6834,2,FALSE),"")</f>
        <v/>
      </c>
      <c r="D1417" s="481" t="str">
        <f>IFERROR(VLOOKUP(A1417,[3]DOORSCRIEFT!$A$2:$G$6834,3,FALSE),"")</f>
        <v/>
      </c>
      <c r="E1417" s="480" t="str">
        <f>IFERROR(VLOOKUP(A1417,[3]DOORSCRIEFT!$A$2:$G$6834,4,FALSE),"")</f>
        <v/>
      </c>
      <c r="F1417" s="405" t="str">
        <f>IFERROR(VLOOKUP(A1417,[3]DOORSCRIEFT!$A$2:$G$6834,7,FALSE),"")</f>
        <v/>
      </c>
      <c r="G1417" s="322"/>
    </row>
    <row r="1418" spans="1:7" x14ac:dyDescent="0.25">
      <c r="A1418" s="321" t="str">
        <f t="shared" si="45"/>
        <v>II.3.1.1.02.0012</v>
      </c>
      <c r="B1418" s="321">
        <v>2</v>
      </c>
      <c r="C1418" s="339" t="str">
        <f>IFERROR(VLOOKUP(A1418,[3]DOORSCRIEFT!$A$2:$G$6834,2,FALSE),"")</f>
        <v/>
      </c>
      <c r="D1418" s="481" t="str">
        <f>IFERROR(VLOOKUP(A1418,[3]DOORSCRIEFT!$A$2:$G$6834,3,FALSE),"")</f>
        <v/>
      </c>
      <c r="E1418" s="480" t="str">
        <f>IFERROR(VLOOKUP(A1418,[3]DOORSCRIEFT!$A$2:$G$6834,4,FALSE),"")</f>
        <v/>
      </c>
      <c r="F1418" s="405" t="str">
        <f>IFERROR(VLOOKUP(A1418,[3]DOORSCRIEFT!$A$2:$G$6834,7,FALSE),"")</f>
        <v/>
      </c>
      <c r="G1418" s="315"/>
    </row>
    <row r="1419" spans="1:7" x14ac:dyDescent="0.25">
      <c r="A1419" s="321" t="str">
        <f t="shared" si="45"/>
        <v>II.3.1.1.02.0013</v>
      </c>
      <c r="B1419" s="321">
        <v>3</v>
      </c>
      <c r="C1419" s="339" t="str">
        <f>IFERROR(VLOOKUP(A1419,[3]DOORSCRIEFT!$A$2:$G$6834,2,FALSE),"")</f>
        <v/>
      </c>
      <c r="D1419" s="481" t="str">
        <f>IFERROR(VLOOKUP(A1419,[3]DOORSCRIEFT!$A$2:$G$6834,3,FALSE),"")</f>
        <v/>
      </c>
      <c r="E1419" s="480" t="str">
        <f>IFERROR(VLOOKUP(A1419,[3]DOORSCRIEFT!$A$2:$G$6834,4,FALSE),"")</f>
        <v/>
      </c>
      <c r="F1419" s="405" t="str">
        <f>IFERROR(VLOOKUP(A1419,[3]DOORSCRIEFT!$A$2:$G$6834,7,FALSE),"")</f>
        <v/>
      </c>
      <c r="G1419" s="315"/>
    </row>
    <row r="1420" spans="1:7" x14ac:dyDescent="0.25">
      <c r="A1420" s="321" t="str">
        <f t="shared" si="45"/>
        <v>II.3.1.1.02.0014</v>
      </c>
      <c r="B1420" s="321">
        <v>4</v>
      </c>
      <c r="C1420" s="339" t="str">
        <f>IFERROR(VLOOKUP(A1420,[3]DOORSCRIEFT!$A$2:$G$6834,2,FALSE),"")</f>
        <v/>
      </c>
      <c r="D1420" s="481" t="str">
        <f>IFERROR(VLOOKUP(A1420,[3]DOORSCRIEFT!$A$2:$G$6834,3,FALSE),"")</f>
        <v/>
      </c>
      <c r="E1420" s="480" t="str">
        <f>IFERROR(VLOOKUP(A1420,[3]DOORSCRIEFT!$A$2:$G$6834,4,FALSE),"")</f>
        <v/>
      </c>
      <c r="F1420" s="405" t="str">
        <f>IFERROR(VLOOKUP(A1420,[3]DOORSCRIEFT!$A$2:$G$6834,7,FALSE),"")</f>
        <v/>
      </c>
      <c r="G1420" s="315"/>
    </row>
    <row r="1421" spans="1:7" x14ac:dyDescent="0.25">
      <c r="A1421" s="321" t="str">
        <f t="shared" si="45"/>
        <v>II.3.1.1.02.0015</v>
      </c>
      <c r="B1421" s="321">
        <v>5</v>
      </c>
      <c r="C1421" s="339" t="str">
        <f>IFERROR(VLOOKUP(A1421,[3]DOORSCRIEFT!$A$2:$G$6834,2,FALSE),"")</f>
        <v/>
      </c>
      <c r="D1421" s="481" t="str">
        <f>IFERROR(VLOOKUP(A1421,[3]DOORSCRIEFT!$A$2:$G$6834,3,FALSE),"")</f>
        <v/>
      </c>
      <c r="E1421" s="480" t="str">
        <f>IFERROR(VLOOKUP(A1421,[3]DOORSCRIEFT!$A$2:$G$6834,4,FALSE),"")</f>
        <v/>
      </c>
      <c r="F1421" s="405" t="str">
        <f>IFERROR(VLOOKUP(A1421,[3]DOORSCRIEFT!$A$2:$G$6834,7,FALSE),"")</f>
        <v/>
      </c>
      <c r="G1421" s="315"/>
    </row>
    <row r="1422" spans="1:7" x14ac:dyDescent="0.25">
      <c r="A1422" s="321" t="str">
        <f t="shared" si="45"/>
        <v>II.3.1.1.02.0016</v>
      </c>
      <c r="B1422" s="321">
        <v>6</v>
      </c>
      <c r="C1422" s="339" t="str">
        <f>IFERROR(VLOOKUP(A1422,[3]DOORSCRIEFT!$A$2:$G$6834,2,FALSE),"")</f>
        <v/>
      </c>
      <c r="D1422" s="481" t="str">
        <f>IFERROR(VLOOKUP(A1422,[3]DOORSCRIEFT!$A$2:$G$6834,3,FALSE),"")</f>
        <v/>
      </c>
      <c r="E1422" s="480" t="str">
        <f>IFERROR(VLOOKUP(A1422,[3]DOORSCRIEFT!$A$2:$G$6834,4,FALSE),"")</f>
        <v/>
      </c>
      <c r="F1422" s="405" t="str">
        <f>IFERROR(VLOOKUP(A1422,[3]DOORSCRIEFT!$A$2:$G$6834,7,FALSE),"")</f>
        <v/>
      </c>
      <c r="G1422" s="315"/>
    </row>
    <row r="1423" spans="1:7" x14ac:dyDescent="0.25">
      <c r="A1423" s="321" t="str">
        <f t="shared" si="45"/>
        <v>II.3.1.1.02.0017</v>
      </c>
      <c r="B1423" s="321">
        <v>7</v>
      </c>
      <c r="C1423" s="339" t="str">
        <f>IFERROR(VLOOKUP(A1423,[3]DOORSCRIEFT!$A$2:$G$6834,2,FALSE),"")</f>
        <v/>
      </c>
      <c r="D1423" s="481" t="str">
        <f>IFERROR(VLOOKUP(A1423,[3]DOORSCRIEFT!$A$2:$G$6834,3,FALSE),"")</f>
        <v/>
      </c>
      <c r="E1423" s="480" t="str">
        <f>IFERROR(VLOOKUP(A1423,[3]DOORSCRIEFT!$A$2:$G$6834,4,FALSE),"")</f>
        <v/>
      </c>
      <c r="F1423" s="405" t="str">
        <f>IFERROR(VLOOKUP(A1423,[3]DOORSCRIEFT!$A$2:$G$6834,7,FALSE),"")</f>
        <v/>
      </c>
      <c r="G1423" s="315"/>
    </row>
    <row r="1424" spans="1:7" x14ac:dyDescent="0.25">
      <c r="A1424" s="321" t="str">
        <f t="shared" si="45"/>
        <v>II.3.1.1.02.0018</v>
      </c>
      <c r="B1424" s="321">
        <v>8</v>
      </c>
      <c r="C1424" s="339" t="str">
        <f>IFERROR(VLOOKUP(A1424,[3]DOORSCRIEFT!$A$2:$G$6834,2,FALSE),"")</f>
        <v/>
      </c>
      <c r="D1424" s="481" t="str">
        <f>IFERROR(VLOOKUP(A1424,[3]DOORSCRIEFT!$A$2:$G$6834,3,FALSE),"")</f>
        <v/>
      </c>
      <c r="E1424" s="480" t="str">
        <f>IFERROR(VLOOKUP(A1424,[3]DOORSCRIEFT!$A$2:$G$6834,4,FALSE),"")</f>
        <v/>
      </c>
      <c r="F1424" s="405" t="str">
        <f>IFERROR(VLOOKUP(A1424,[3]DOORSCRIEFT!$A$2:$G$6834,7,FALSE),"")</f>
        <v/>
      </c>
      <c r="G1424" s="315"/>
    </row>
    <row r="1425" spans="1:7" x14ac:dyDescent="0.25">
      <c r="A1425" s="321" t="str">
        <f t="shared" si="45"/>
        <v>II.3.1.1.02.0019</v>
      </c>
      <c r="B1425" s="321">
        <v>9</v>
      </c>
      <c r="C1425" s="339" t="str">
        <f>IFERROR(VLOOKUP(A1425,[3]DOORSCRIEFT!$A$2:$G$6834,2,FALSE),"")</f>
        <v/>
      </c>
      <c r="D1425" s="481" t="str">
        <f>IFERROR(VLOOKUP(A1425,[3]DOORSCRIEFT!$A$2:$G$6834,3,FALSE),"")</f>
        <v/>
      </c>
      <c r="E1425" s="480" t="str">
        <f>IFERROR(VLOOKUP(A1425,[3]DOORSCRIEFT!$A$2:$G$6834,4,FALSE),"")</f>
        <v/>
      </c>
      <c r="F1425" s="405" t="str">
        <f>IFERROR(VLOOKUP(A1425,[3]DOORSCRIEFT!$A$2:$G$6834,7,FALSE),"")</f>
        <v/>
      </c>
      <c r="G1425" s="315"/>
    </row>
    <row r="1426" spans="1:7" x14ac:dyDescent="0.25">
      <c r="A1426" s="321" t="str">
        <f t="shared" si="45"/>
        <v>II.3.1.1.02.00110</v>
      </c>
      <c r="B1426" s="321">
        <v>10</v>
      </c>
      <c r="C1426" s="339" t="str">
        <f>IFERROR(VLOOKUP(A1426,[3]DOORSCRIEFT!$A$2:$G$6834,2,FALSE),"")</f>
        <v/>
      </c>
      <c r="D1426" s="481" t="str">
        <f>IFERROR(VLOOKUP(A1426,[3]DOORSCRIEFT!$A$2:$G$6834,3,FALSE),"")</f>
        <v/>
      </c>
      <c r="E1426" s="480" t="str">
        <f>IFERROR(VLOOKUP(A1426,[3]DOORSCRIEFT!$A$2:$G$6834,4,FALSE),"")</f>
        <v/>
      </c>
      <c r="F1426" s="405" t="str">
        <f>IFERROR(VLOOKUP(A1426,[3]DOORSCRIEFT!$A$2:$G$6834,7,FALSE),"")</f>
        <v/>
      </c>
      <c r="G1426" s="315"/>
    </row>
    <row r="1427" spans="1:7" x14ac:dyDescent="0.25">
      <c r="A1427" s="321" t="str">
        <f t="shared" si="45"/>
        <v>II.3.1.1.02.00111</v>
      </c>
      <c r="B1427" s="321">
        <v>11</v>
      </c>
      <c r="C1427" s="339" t="str">
        <f>IFERROR(VLOOKUP(A1427,[3]DOORSCRIEFT!$A$2:$G$6834,2,FALSE),"")</f>
        <v/>
      </c>
      <c r="D1427" s="481" t="str">
        <f>IFERROR(VLOOKUP(A1427,[3]DOORSCRIEFT!$A$2:$G$6834,3,FALSE),"")</f>
        <v/>
      </c>
      <c r="E1427" s="480" t="str">
        <f>IFERROR(VLOOKUP(A1427,[3]DOORSCRIEFT!$A$2:$G$6834,4,FALSE),"")</f>
        <v/>
      </c>
      <c r="F1427" s="405" t="str">
        <f>IFERROR(VLOOKUP(A1427,[3]DOORSCRIEFT!$A$2:$G$6834,7,FALSE),"")</f>
        <v/>
      </c>
      <c r="G1427" s="315"/>
    </row>
    <row r="1428" spans="1:7" x14ac:dyDescent="0.25">
      <c r="A1428" s="321" t="str">
        <f t="shared" si="45"/>
        <v>II.3.1.1.02.00112</v>
      </c>
      <c r="B1428" s="321">
        <v>12</v>
      </c>
      <c r="C1428" s="339" t="str">
        <f>IFERROR(VLOOKUP(A1428,[3]DOORSCRIEFT!$A$2:$G$6834,2,FALSE),"")</f>
        <v/>
      </c>
      <c r="D1428" s="481" t="str">
        <f>IFERROR(VLOOKUP(A1428,[3]DOORSCRIEFT!$A$2:$G$6834,3,FALSE),"")</f>
        <v/>
      </c>
      <c r="E1428" s="480" t="str">
        <f>IFERROR(VLOOKUP(A1428,[3]DOORSCRIEFT!$A$2:$G$6834,4,FALSE),"")</f>
        <v/>
      </c>
      <c r="F1428" s="405" t="str">
        <f>IFERROR(VLOOKUP(A1428,[3]DOORSCRIEFT!$A$2:$G$6834,7,FALSE),"")</f>
        <v/>
      </c>
      <c r="G1428" s="315"/>
    </row>
    <row r="1429" spans="1:7" x14ac:dyDescent="0.25">
      <c r="A1429" s="321" t="str">
        <f t="shared" si="45"/>
        <v>II.3.1.1.02.00113</v>
      </c>
      <c r="B1429" s="321">
        <v>13</v>
      </c>
      <c r="C1429" s="339" t="str">
        <f>IFERROR(VLOOKUP(A1429,[3]DOORSCRIEFT!$A$2:$G$6834,2,FALSE),"")</f>
        <v/>
      </c>
      <c r="D1429" s="481" t="str">
        <f>IFERROR(VLOOKUP(A1429,[3]DOORSCRIEFT!$A$2:$G$6834,3,FALSE),"")</f>
        <v/>
      </c>
      <c r="E1429" s="480" t="str">
        <f>IFERROR(VLOOKUP(A1429,[3]DOORSCRIEFT!$A$2:$G$6834,4,FALSE),"")</f>
        <v/>
      </c>
      <c r="F1429" s="405" t="str">
        <f>IFERROR(VLOOKUP(A1429,[3]DOORSCRIEFT!$A$2:$G$6834,7,FALSE),"")</f>
        <v/>
      </c>
      <c r="G1429" s="315"/>
    </row>
    <row r="1430" spans="1:7" x14ac:dyDescent="0.25">
      <c r="A1430" s="321" t="str">
        <f t="shared" si="45"/>
        <v>II.3.1.1.02.00114</v>
      </c>
      <c r="B1430" s="321">
        <v>14</v>
      </c>
      <c r="C1430" s="339" t="str">
        <f>IFERROR(VLOOKUP(A1430,[3]DOORSCRIEFT!$A$2:$G$6834,2,FALSE),"")</f>
        <v/>
      </c>
      <c r="D1430" s="481" t="str">
        <f>IFERROR(VLOOKUP(A1430,[3]DOORSCRIEFT!$A$2:$G$6834,3,FALSE),"")</f>
        <v/>
      </c>
      <c r="E1430" s="480" t="str">
        <f>IFERROR(VLOOKUP(A1430,[3]DOORSCRIEFT!$A$2:$G$6834,4,FALSE),"")</f>
        <v/>
      </c>
      <c r="F1430" s="405" t="str">
        <f>IFERROR(VLOOKUP(A1430,[3]DOORSCRIEFT!$A$2:$G$6834,7,FALSE),"")</f>
        <v/>
      </c>
      <c r="G1430" s="315"/>
    </row>
    <row r="1431" spans="1:7" x14ac:dyDescent="0.25">
      <c r="A1431" s="321" t="str">
        <f t="shared" si="45"/>
        <v>II.3.1.1.02.00115</v>
      </c>
      <c r="B1431" s="321">
        <v>15</v>
      </c>
      <c r="C1431" s="339" t="str">
        <f>IFERROR(VLOOKUP(A1431,[3]DOORSCRIEFT!$A$2:$G$6834,2,FALSE),"")</f>
        <v/>
      </c>
      <c r="D1431" s="481" t="str">
        <f>IFERROR(VLOOKUP(A1431,[3]DOORSCRIEFT!$A$2:$G$6834,3,FALSE),"")</f>
        <v/>
      </c>
      <c r="E1431" s="480" t="str">
        <f>IFERROR(VLOOKUP(A1431,[3]DOORSCRIEFT!$A$2:$G$6834,4,FALSE),"")</f>
        <v/>
      </c>
      <c r="F1431" s="405" t="str">
        <f>IFERROR(VLOOKUP(A1431,[3]DOORSCRIEFT!$A$2:$G$6834,7,FALSE),"")</f>
        <v/>
      </c>
      <c r="G1431" s="315"/>
    </row>
    <row r="1432" spans="1:7" x14ac:dyDescent="0.25">
      <c r="A1432" s="321" t="str">
        <f t="shared" si="45"/>
        <v>II.3.1.1.02.00116</v>
      </c>
      <c r="B1432" s="321">
        <v>16</v>
      </c>
      <c r="C1432" s="339" t="str">
        <f>IFERROR(VLOOKUP(A1432,[3]DOORSCRIEFT!$A$2:$G$6834,2,FALSE),"")</f>
        <v/>
      </c>
      <c r="D1432" s="481" t="str">
        <f>IFERROR(VLOOKUP(A1432,[3]DOORSCRIEFT!$A$2:$G$6834,3,FALSE),"")</f>
        <v/>
      </c>
      <c r="E1432" s="480" t="str">
        <f>IFERROR(VLOOKUP(A1432,[3]DOORSCRIEFT!$A$2:$G$6834,4,FALSE),"")</f>
        <v/>
      </c>
      <c r="F1432" s="405" t="str">
        <f>IFERROR(VLOOKUP(A1432,[3]DOORSCRIEFT!$A$2:$G$6834,7,FALSE),"")</f>
        <v/>
      </c>
      <c r="G1432" s="315"/>
    </row>
    <row r="1433" spans="1:7" x14ac:dyDescent="0.25">
      <c r="A1433" s="321" t="str">
        <f t="shared" si="45"/>
        <v>II.3.1.1.02.00117</v>
      </c>
      <c r="B1433" s="321">
        <v>17</v>
      </c>
      <c r="C1433" s="339" t="str">
        <f>IFERROR(VLOOKUP(A1433,[3]DOORSCRIEFT!$A$2:$G$6834,2,FALSE),"")</f>
        <v/>
      </c>
      <c r="D1433" s="481" t="str">
        <f>IFERROR(VLOOKUP(A1433,[3]DOORSCRIEFT!$A$2:$G$6834,3,FALSE),"")</f>
        <v/>
      </c>
      <c r="E1433" s="480" t="str">
        <f>IFERROR(VLOOKUP(A1433,[3]DOORSCRIEFT!$A$2:$G$6834,4,FALSE),"")</f>
        <v/>
      </c>
      <c r="F1433" s="405" t="str">
        <f>IFERROR(VLOOKUP(A1433,[3]DOORSCRIEFT!$A$2:$G$6834,7,FALSE),"")</f>
        <v/>
      </c>
      <c r="G1433" s="315"/>
    </row>
    <row r="1434" spans="1:7" x14ac:dyDescent="0.25">
      <c r="A1434" s="321" t="str">
        <f t="shared" si="45"/>
        <v>II.3.1.1.02.00118</v>
      </c>
      <c r="B1434" s="321">
        <v>18</v>
      </c>
      <c r="C1434" s="339" t="str">
        <f>IFERROR(VLOOKUP(A1434,[3]DOORSCRIEFT!$A$2:$G$6834,2,FALSE),"")</f>
        <v/>
      </c>
      <c r="D1434" s="481" t="str">
        <f>IFERROR(VLOOKUP(A1434,[3]DOORSCRIEFT!$A$2:$G$6834,3,FALSE),"")</f>
        <v/>
      </c>
      <c r="E1434" s="480" t="str">
        <f>IFERROR(VLOOKUP(A1434,[3]DOORSCRIEFT!$A$2:$G$6834,4,FALSE),"")</f>
        <v/>
      </c>
      <c r="F1434" s="405" t="str">
        <f>IFERROR(VLOOKUP(A1434,[3]DOORSCRIEFT!$A$2:$G$6834,7,FALSE),"")</f>
        <v/>
      </c>
      <c r="G1434" s="315"/>
    </row>
    <row r="1435" spans="1:7" x14ac:dyDescent="0.25">
      <c r="A1435" s="321" t="str">
        <f t="shared" si="45"/>
        <v>II.3.1.1.02.00119</v>
      </c>
      <c r="B1435" s="321">
        <v>19</v>
      </c>
      <c r="C1435" s="339" t="str">
        <f>IFERROR(VLOOKUP(A1435,[3]DOORSCRIEFT!$A$2:$G$6834,2,FALSE),"")</f>
        <v/>
      </c>
      <c r="D1435" s="481" t="str">
        <f>IFERROR(VLOOKUP(A1435,[3]DOORSCRIEFT!$A$2:$G$6834,3,FALSE),"")</f>
        <v/>
      </c>
      <c r="E1435" s="480" t="str">
        <f>IFERROR(VLOOKUP(A1435,[3]DOORSCRIEFT!$A$2:$G$6834,4,FALSE),"")</f>
        <v/>
      </c>
      <c r="F1435" s="405" t="str">
        <f>IFERROR(VLOOKUP(A1435,[3]DOORSCRIEFT!$A$2:$G$6834,7,FALSE),"")</f>
        <v/>
      </c>
      <c r="G1435" s="315"/>
    </row>
    <row r="1436" spans="1:7" x14ac:dyDescent="0.25">
      <c r="A1436" s="321" t="str">
        <f t="shared" si="45"/>
        <v>II.3.1.1.02.00120</v>
      </c>
      <c r="B1436" s="321">
        <v>20</v>
      </c>
      <c r="C1436" s="339" t="str">
        <f>IFERROR(VLOOKUP(A1436,[3]DOORSCRIEFT!$A$2:$G$6834,2,FALSE),"")</f>
        <v/>
      </c>
      <c r="D1436" s="481" t="str">
        <f>IFERROR(VLOOKUP(A1436,[3]DOORSCRIEFT!$A$2:$G$6834,3,FALSE),"")</f>
        <v/>
      </c>
      <c r="E1436" s="480" t="str">
        <f>IFERROR(VLOOKUP(A1436,[3]DOORSCRIEFT!$A$2:$G$6834,4,FALSE),"")</f>
        <v/>
      </c>
      <c r="F1436" s="405" t="str">
        <f>IFERROR(VLOOKUP(A1436,[3]DOORSCRIEFT!$A$2:$G$6834,7,FALSE),"")</f>
        <v/>
      </c>
      <c r="G1436" s="315"/>
    </row>
    <row r="1437" spans="1:7" x14ac:dyDescent="0.25">
      <c r="A1437" s="321" t="str">
        <f t="shared" si="45"/>
        <v>II.3.1.1.02.00121</v>
      </c>
      <c r="B1437" s="321">
        <v>21</v>
      </c>
      <c r="C1437" s="339" t="str">
        <f>IFERROR(VLOOKUP(A1437,[3]DOORSCRIEFT!$A$2:$G$6834,2,FALSE),"")</f>
        <v/>
      </c>
      <c r="D1437" s="481" t="str">
        <f>IFERROR(VLOOKUP(A1437,[3]DOORSCRIEFT!$A$2:$G$6834,3,FALSE),"")</f>
        <v/>
      </c>
      <c r="E1437" s="480" t="str">
        <f>IFERROR(VLOOKUP(A1437,[3]DOORSCRIEFT!$A$2:$G$6834,4,FALSE),"")</f>
        <v/>
      </c>
      <c r="F1437" s="405" t="str">
        <f>IFERROR(VLOOKUP(A1437,[3]DOORSCRIEFT!$A$2:$G$6834,7,FALSE),"")</f>
        <v/>
      </c>
      <c r="G1437" s="315"/>
    </row>
    <row r="1438" spans="1:7" x14ac:dyDescent="0.25">
      <c r="A1438" s="321" t="str">
        <f t="shared" si="45"/>
        <v>II.3.1.1.02.00122</v>
      </c>
      <c r="B1438" s="321">
        <v>22</v>
      </c>
      <c r="C1438" s="339" t="str">
        <f>IFERROR(VLOOKUP(A1438,[3]DOORSCRIEFT!$A$2:$G$6834,2,FALSE),"")</f>
        <v/>
      </c>
      <c r="D1438" s="481" t="str">
        <f>IFERROR(VLOOKUP(A1438,[3]DOORSCRIEFT!$A$2:$G$6834,3,FALSE),"")</f>
        <v/>
      </c>
      <c r="E1438" s="480" t="str">
        <f>IFERROR(VLOOKUP(A1438,[3]DOORSCRIEFT!$A$2:$G$6834,4,FALSE),"")</f>
        <v/>
      </c>
      <c r="F1438" s="405" t="str">
        <f>IFERROR(VLOOKUP(A1438,[3]DOORSCRIEFT!$A$2:$G$6834,7,FALSE),"")</f>
        <v/>
      </c>
      <c r="G1438" s="315"/>
    </row>
    <row r="1439" spans="1:7" ht="15.75" thickBot="1" x14ac:dyDescent="0.3">
      <c r="A1439" s="342" t="str">
        <f t="shared" si="45"/>
        <v>II.3.1.1.02.00123</v>
      </c>
      <c r="B1439" s="342">
        <v>23</v>
      </c>
      <c r="C1439" s="339" t="str">
        <f>IFERROR(VLOOKUP(A1439,[3]DOORSCRIEFT!$A$2:$G$6834,2,FALSE),"")</f>
        <v/>
      </c>
      <c r="D1439" s="481" t="str">
        <f>IFERROR(VLOOKUP(A1439,[3]DOORSCRIEFT!$A$2:$G$6834,3,FALSE),"")</f>
        <v/>
      </c>
      <c r="E1439" s="480" t="str">
        <f>IFERROR(VLOOKUP(A1439,[3]DOORSCRIEFT!$A$2:$G$6834,4,FALSE),"")</f>
        <v/>
      </c>
      <c r="F1439" s="405" t="str">
        <f>IFERROR(VLOOKUP(A1439,[3]DOORSCRIEFT!$A$2:$G$6834,7,FALSE),"")</f>
        <v/>
      </c>
      <c r="G1439" s="315"/>
    </row>
    <row r="1440" spans="1:7" ht="15.75" thickBot="1" x14ac:dyDescent="0.3">
      <c r="A1440" s="341"/>
      <c r="B1440" s="340"/>
      <c r="C1440" s="336"/>
      <c r="D1440" s="486"/>
      <c r="E1440" s="340" t="s">
        <v>644</v>
      </c>
      <c r="F1440" s="310">
        <f>SUM(F1417:F1439)</f>
        <v>0</v>
      </c>
      <c r="G1440" s="309">
        <f>SUM(G1417:G1439)</f>
        <v>0</v>
      </c>
    </row>
    <row r="1441" spans="1:7" x14ac:dyDescent="0.25">
      <c r="C1441" s="335"/>
      <c r="D1441" s="485"/>
    </row>
    <row r="1442" spans="1:7" x14ac:dyDescent="0.25">
      <c r="C1442" s="335"/>
      <c r="D1442" s="485"/>
    </row>
    <row r="1443" spans="1:7" ht="15.75" x14ac:dyDescent="0.25">
      <c r="C1443" s="334" t="s">
        <v>663</v>
      </c>
      <c r="D1443" s="484"/>
      <c r="E1443" s="333"/>
      <c r="F1443" s="327" t="s">
        <v>607</v>
      </c>
      <c r="G1443" s="327" t="s">
        <v>153</v>
      </c>
    </row>
    <row r="1444" spans="1:7" ht="15.75" x14ac:dyDescent="0.25">
      <c r="C1444" s="334"/>
      <c r="D1444" s="484"/>
      <c r="E1444" s="333"/>
      <c r="F1444" s="327" t="s">
        <v>601</v>
      </c>
      <c r="G1444" s="327" t="s">
        <v>152</v>
      </c>
    </row>
    <row r="1445" spans="1:7" x14ac:dyDescent="0.25">
      <c r="C1445" s="330"/>
      <c r="D1445" s="482"/>
      <c r="E1445" s="329"/>
      <c r="F1445" s="327" t="s">
        <v>651</v>
      </c>
      <c r="G1445" s="331">
        <f>[2]Sheet1!$D$419</f>
        <v>2200000</v>
      </c>
    </row>
    <row r="1446" spans="1:7" ht="15.75" thickBot="1" x14ac:dyDescent="0.3">
      <c r="C1446" s="330"/>
      <c r="D1446" s="482"/>
      <c r="E1446" s="329"/>
      <c r="F1446" s="327" t="s">
        <v>650</v>
      </c>
      <c r="G1446" s="326">
        <f>+F1465-G1445</f>
        <v>-600000</v>
      </c>
    </row>
    <row r="1447" spans="1:7" x14ac:dyDescent="0.25">
      <c r="A1447" s="571" t="s">
        <v>655</v>
      </c>
      <c r="B1447" s="573" t="s">
        <v>606</v>
      </c>
      <c r="C1447" s="588" t="s">
        <v>649</v>
      </c>
      <c r="D1447" s="599" t="s">
        <v>648</v>
      </c>
      <c r="E1447" s="577" t="s">
        <v>647</v>
      </c>
      <c r="F1447" s="577" t="s">
        <v>646</v>
      </c>
      <c r="G1447" s="580" t="s">
        <v>645</v>
      </c>
    </row>
    <row r="1448" spans="1:7" ht="15.75" thickBot="1" x14ac:dyDescent="0.3">
      <c r="A1448" s="572"/>
      <c r="B1448" s="574"/>
      <c r="C1448" s="589"/>
      <c r="D1448" s="600"/>
      <c r="E1448" s="578"/>
      <c r="F1448" s="578"/>
      <c r="G1448" s="581"/>
    </row>
    <row r="1449" spans="1:7" ht="15.75" thickBot="1" x14ac:dyDescent="0.3">
      <c r="A1449" s="425">
        <v>1</v>
      </c>
      <c r="B1449" s="425">
        <v>2</v>
      </c>
      <c r="C1449" s="425">
        <v>3</v>
      </c>
      <c r="D1449" s="425">
        <v>4</v>
      </c>
      <c r="E1449" s="425">
        <v>5</v>
      </c>
      <c r="F1449" s="425">
        <v>6</v>
      </c>
      <c r="G1449" s="425">
        <v>7</v>
      </c>
    </row>
    <row r="1450" spans="1:7" x14ac:dyDescent="0.25">
      <c r="A1450" s="320" t="str">
        <f t="shared" ref="A1450:A1464" si="46">$G$1443&amp;B1450</f>
        <v>II.3.1.1.02.0021</v>
      </c>
      <c r="B1450" s="320">
        <v>1</v>
      </c>
      <c r="C1450" s="339">
        <f>IFERROR(VLOOKUP(A1450,[3]DOORSCRIEFT!$A$2:$G$6834,2,FALSE),"")</f>
        <v>44</v>
      </c>
      <c r="D1450" s="481">
        <f>IFERROR(VLOOKUP(A1450,[3]DOORSCRIEFT!$A$2:$G$6834,3,FALSE),"")</f>
        <v>46033</v>
      </c>
      <c r="E1450" s="480" t="str">
        <f>IFERROR(VLOOKUP(A1450,[3]DOORSCRIEFT!$A$2:$G$6834,4,FALSE),"")</f>
        <v>Sumbangan Pelayanan Lapas 4 orang</v>
      </c>
      <c r="F1450" s="405">
        <f>IFERROR(VLOOKUP(A1450,[3]DOORSCRIEFT!$A$2:$G$6834,7,FALSE),"")</f>
        <v>400000</v>
      </c>
      <c r="G1450" s="322"/>
    </row>
    <row r="1451" spans="1:7" x14ac:dyDescent="0.25">
      <c r="A1451" s="321" t="str">
        <f t="shared" si="46"/>
        <v>II.3.1.1.02.0022</v>
      </c>
      <c r="B1451" s="321">
        <v>2</v>
      </c>
      <c r="C1451" s="339">
        <f>IFERROR(VLOOKUP(A1451,[3]DOORSCRIEFT!$A$2:$G$6834,2,FALSE),"")</f>
        <v>241</v>
      </c>
      <c r="D1451" s="481">
        <f>IFERROR(VLOOKUP(A1451,[3]DOORSCRIEFT!$A$2:$G$6834,3,FALSE),"")</f>
        <v>46075</v>
      </c>
      <c r="E1451" s="480" t="str">
        <f>IFERROR(VLOOKUP(A1451,[3]DOORSCRIEFT!$A$2:$G$6834,4,FALSE),"")</f>
        <v>Sumbangan Pelayanan Lapas 4 org dan transport</v>
      </c>
      <c r="F1451" s="405">
        <f>IFERROR(VLOOKUP(A1451,[3]DOORSCRIEFT!$A$2:$G$6834,7,FALSE),"")</f>
        <v>600000</v>
      </c>
      <c r="G1451" s="315"/>
    </row>
    <row r="1452" spans="1:7" x14ac:dyDescent="0.25">
      <c r="A1452" s="321" t="str">
        <f t="shared" si="46"/>
        <v>II.3.1.1.02.0023</v>
      </c>
      <c r="B1452" s="321">
        <v>3</v>
      </c>
      <c r="C1452" s="339">
        <f>IFERROR(VLOOKUP(A1452,[3]DOORSCRIEFT!$A$2:$G$6834,2,FALSE),"")</f>
        <v>308</v>
      </c>
      <c r="D1452" s="481">
        <f>IFERROR(VLOOKUP(A1452,[3]DOORSCRIEFT!$A$2:$G$6834,3,FALSE),"")</f>
        <v>46089</v>
      </c>
      <c r="E1452" s="480" t="str">
        <f>IFERROR(VLOOKUP(A1452,[3]DOORSCRIEFT!$A$2:$G$6834,4,FALSE),"")</f>
        <v>Sumbangan Pelayanan Lapas 4 org dan transport</v>
      </c>
      <c r="F1452" s="405">
        <f>IFERROR(VLOOKUP(A1452,[3]DOORSCRIEFT!$A$2:$G$6834,7,FALSE),"")</f>
        <v>600000</v>
      </c>
      <c r="G1452" s="315"/>
    </row>
    <row r="1453" spans="1:7" x14ac:dyDescent="0.25">
      <c r="A1453" s="321" t="str">
        <f t="shared" si="46"/>
        <v>II.3.1.1.02.0024</v>
      </c>
      <c r="B1453" s="321">
        <v>4</v>
      </c>
      <c r="C1453" s="339" t="str">
        <f>IFERROR(VLOOKUP(A1453,[3]DOORSCRIEFT!$A$2:$G$6834,2,FALSE),"")</f>
        <v/>
      </c>
      <c r="D1453" s="481" t="str">
        <f>IFERROR(VLOOKUP(A1453,[3]DOORSCRIEFT!$A$2:$G$6834,3,FALSE),"")</f>
        <v/>
      </c>
      <c r="E1453" s="480" t="str">
        <f>IFERROR(VLOOKUP(A1453,[3]DOORSCRIEFT!$A$2:$G$6834,4,FALSE),"")</f>
        <v/>
      </c>
      <c r="F1453" s="405" t="str">
        <f>IFERROR(VLOOKUP(A1453,[3]DOORSCRIEFT!$A$2:$G$6834,7,FALSE),"")</f>
        <v/>
      </c>
      <c r="G1453" s="315"/>
    </row>
    <row r="1454" spans="1:7" x14ac:dyDescent="0.25">
      <c r="A1454" s="321" t="str">
        <f t="shared" si="46"/>
        <v>II.3.1.1.02.0025</v>
      </c>
      <c r="B1454" s="321">
        <v>5</v>
      </c>
      <c r="C1454" s="339" t="str">
        <f>IFERROR(VLOOKUP(A1454,[3]DOORSCRIEFT!$A$2:$G$6834,2,FALSE),"")</f>
        <v/>
      </c>
      <c r="D1454" s="481" t="str">
        <f>IFERROR(VLOOKUP(A1454,[3]DOORSCRIEFT!$A$2:$G$6834,3,FALSE),"")</f>
        <v/>
      </c>
      <c r="E1454" s="480" t="str">
        <f>IFERROR(VLOOKUP(A1454,[3]DOORSCRIEFT!$A$2:$G$6834,4,FALSE),"")</f>
        <v/>
      </c>
      <c r="F1454" s="405" t="str">
        <f>IFERROR(VLOOKUP(A1454,[3]DOORSCRIEFT!$A$2:$G$6834,7,FALSE),"")</f>
        <v/>
      </c>
      <c r="G1454" s="315"/>
    </row>
    <row r="1455" spans="1:7" x14ac:dyDescent="0.25">
      <c r="A1455" s="321" t="str">
        <f t="shared" si="46"/>
        <v>II.3.1.1.02.0026</v>
      </c>
      <c r="B1455" s="321">
        <v>6</v>
      </c>
      <c r="C1455" s="339" t="str">
        <f>IFERROR(VLOOKUP(A1455,[3]DOORSCRIEFT!$A$2:$G$6834,2,FALSE),"")</f>
        <v/>
      </c>
      <c r="D1455" s="481" t="str">
        <f>IFERROR(VLOOKUP(A1455,[3]DOORSCRIEFT!$A$2:$G$6834,3,FALSE),"")</f>
        <v/>
      </c>
      <c r="E1455" s="480" t="str">
        <f>IFERROR(VLOOKUP(A1455,[3]DOORSCRIEFT!$A$2:$G$6834,4,FALSE),"")</f>
        <v/>
      </c>
      <c r="F1455" s="405" t="str">
        <f>IFERROR(VLOOKUP(A1455,[3]DOORSCRIEFT!$A$2:$G$6834,7,FALSE),"")</f>
        <v/>
      </c>
      <c r="G1455" s="315"/>
    </row>
    <row r="1456" spans="1:7" x14ac:dyDescent="0.25">
      <c r="A1456" s="321" t="str">
        <f t="shared" si="46"/>
        <v>II.3.1.1.02.0027</v>
      </c>
      <c r="B1456" s="321">
        <v>7</v>
      </c>
      <c r="C1456" s="339" t="str">
        <f>IFERROR(VLOOKUP(A1456,[3]DOORSCRIEFT!$A$2:$G$6834,2,FALSE),"")</f>
        <v/>
      </c>
      <c r="D1456" s="481" t="str">
        <f>IFERROR(VLOOKUP(A1456,[3]DOORSCRIEFT!$A$2:$G$6834,3,FALSE),"")</f>
        <v/>
      </c>
      <c r="E1456" s="480" t="str">
        <f>IFERROR(VLOOKUP(A1456,[3]DOORSCRIEFT!$A$2:$G$6834,4,FALSE),"")</f>
        <v/>
      </c>
      <c r="F1456" s="405" t="str">
        <f>IFERROR(VLOOKUP(A1456,[3]DOORSCRIEFT!$A$2:$G$6834,7,FALSE),"")</f>
        <v/>
      </c>
      <c r="G1456" s="315"/>
    </row>
    <row r="1457" spans="1:7" x14ac:dyDescent="0.25">
      <c r="A1457" s="321" t="str">
        <f t="shared" si="46"/>
        <v>II.3.1.1.02.0028</v>
      </c>
      <c r="B1457" s="321">
        <v>8</v>
      </c>
      <c r="C1457" s="339" t="str">
        <f>IFERROR(VLOOKUP(A1457,[3]DOORSCRIEFT!$A$2:$G$6834,2,FALSE),"")</f>
        <v/>
      </c>
      <c r="D1457" s="481" t="str">
        <f>IFERROR(VLOOKUP(A1457,[3]DOORSCRIEFT!$A$2:$G$6834,3,FALSE),"")</f>
        <v/>
      </c>
      <c r="E1457" s="480" t="str">
        <f>IFERROR(VLOOKUP(A1457,[3]DOORSCRIEFT!$A$2:$G$6834,4,FALSE),"")</f>
        <v/>
      </c>
      <c r="F1457" s="405" t="str">
        <f>IFERROR(VLOOKUP(A1457,[3]DOORSCRIEFT!$A$2:$G$6834,7,FALSE),"")</f>
        <v/>
      </c>
      <c r="G1457" s="315"/>
    </row>
    <row r="1458" spans="1:7" x14ac:dyDescent="0.25">
      <c r="A1458" s="321" t="str">
        <f t="shared" si="46"/>
        <v>II.3.1.1.02.0029</v>
      </c>
      <c r="B1458" s="321">
        <v>9</v>
      </c>
      <c r="C1458" s="339" t="str">
        <f>IFERROR(VLOOKUP(A1458,[3]DOORSCRIEFT!$A$2:$G$6834,2,FALSE),"")</f>
        <v/>
      </c>
      <c r="D1458" s="481" t="str">
        <f>IFERROR(VLOOKUP(A1458,[3]DOORSCRIEFT!$A$2:$G$6834,3,FALSE),"")</f>
        <v/>
      </c>
      <c r="E1458" s="480" t="str">
        <f>IFERROR(VLOOKUP(A1458,[3]DOORSCRIEFT!$A$2:$G$6834,4,FALSE),"")</f>
        <v/>
      </c>
      <c r="F1458" s="405" t="str">
        <f>IFERROR(VLOOKUP(A1458,[3]DOORSCRIEFT!$A$2:$G$6834,7,FALSE),"")</f>
        <v/>
      </c>
      <c r="G1458" s="315"/>
    </row>
    <row r="1459" spans="1:7" x14ac:dyDescent="0.25">
      <c r="A1459" s="321" t="str">
        <f t="shared" si="46"/>
        <v>II.3.1.1.02.00210</v>
      </c>
      <c r="B1459" s="321">
        <v>10</v>
      </c>
      <c r="C1459" s="339" t="str">
        <f>IFERROR(VLOOKUP(A1459,[3]DOORSCRIEFT!$A$2:$G$6834,2,FALSE),"")</f>
        <v/>
      </c>
      <c r="D1459" s="481" t="str">
        <f>IFERROR(VLOOKUP(A1459,[3]DOORSCRIEFT!$A$2:$G$6834,3,FALSE),"")</f>
        <v/>
      </c>
      <c r="E1459" s="480" t="str">
        <f>IFERROR(VLOOKUP(A1459,[3]DOORSCRIEFT!$A$2:$G$6834,4,FALSE),"")</f>
        <v/>
      </c>
      <c r="F1459" s="405" t="str">
        <f>IFERROR(VLOOKUP(A1459,[3]DOORSCRIEFT!$A$2:$G$6834,7,FALSE),"")</f>
        <v/>
      </c>
      <c r="G1459" s="315"/>
    </row>
    <row r="1460" spans="1:7" x14ac:dyDescent="0.25">
      <c r="A1460" s="321" t="str">
        <f t="shared" si="46"/>
        <v>II.3.1.1.02.00211</v>
      </c>
      <c r="B1460" s="321">
        <v>11</v>
      </c>
      <c r="C1460" s="339" t="str">
        <f>IFERROR(VLOOKUP(A1460,[3]DOORSCRIEFT!$A$2:$G$6834,2,FALSE),"")</f>
        <v/>
      </c>
      <c r="D1460" s="481" t="str">
        <f>IFERROR(VLOOKUP(A1460,[3]DOORSCRIEFT!$A$2:$G$6834,3,FALSE),"")</f>
        <v/>
      </c>
      <c r="E1460" s="480" t="str">
        <f>IFERROR(VLOOKUP(A1460,[3]DOORSCRIEFT!$A$2:$G$6834,4,FALSE),"")</f>
        <v/>
      </c>
      <c r="F1460" s="405" t="str">
        <f>IFERROR(VLOOKUP(A1460,[3]DOORSCRIEFT!$A$2:$G$6834,7,FALSE),"")</f>
        <v/>
      </c>
      <c r="G1460" s="315"/>
    </row>
    <row r="1461" spans="1:7" x14ac:dyDescent="0.25">
      <c r="A1461" s="321" t="str">
        <f t="shared" si="46"/>
        <v>II.3.1.1.02.00212</v>
      </c>
      <c r="B1461" s="321">
        <v>12</v>
      </c>
      <c r="C1461" s="339" t="str">
        <f>IFERROR(VLOOKUP(A1461,[3]DOORSCRIEFT!$A$2:$G$6834,2,FALSE),"")</f>
        <v/>
      </c>
      <c r="D1461" s="481" t="str">
        <f>IFERROR(VLOOKUP(A1461,[3]DOORSCRIEFT!$A$2:$G$6834,3,FALSE),"")</f>
        <v/>
      </c>
      <c r="E1461" s="480" t="str">
        <f>IFERROR(VLOOKUP(A1461,[3]DOORSCRIEFT!$A$2:$G$6834,4,FALSE),"")</f>
        <v/>
      </c>
      <c r="F1461" s="405" t="str">
        <f>IFERROR(VLOOKUP(A1461,[3]DOORSCRIEFT!$A$2:$G$6834,7,FALSE),"")</f>
        <v/>
      </c>
      <c r="G1461" s="315"/>
    </row>
    <row r="1462" spans="1:7" x14ac:dyDescent="0.25">
      <c r="A1462" s="321" t="str">
        <f t="shared" si="46"/>
        <v>II.3.1.1.02.00213</v>
      </c>
      <c r="B1462" s="321">
        <v>13</v>
      </c>
      <c r="C1462" s="339" t="str">
        <f>IFERROR(VLOOKUP(A1462,[3]DOORSCRIEFT!$A$2:$G$6834,2,FALSE),"")</f>
        <v/>
      </c>
      <c r="D1462" s="481" t="str">
        <f>IFERROR(VLOOKUP(A1462,[3]DOORSCRIEFT!$A$2:$G$6834,3,FALSE),"")</f>
        <v/>
      </c>
      <c r="E1462" s="480" t="str">
        <f>IFERROR(VLOOKUP(A1462,[3]DOORSCRIEFT!$A$2:$G$6834,4,FALSE),"")</f>
        <v/>
      </c>
      <c r="F1462" s="405" t="str">
        <f>IFERROR(VLOOKUP(A1462,[3]DOORSCRIEFT!$A$2:$G$6834,7,FALSE),"")</f>
        <v/>
      </c>
      <c r="G1462" s="315"/>
    </row>
    <row r="1463" spans="1:7" x14ac:dyDescent="0.25">
      <c r="A1463" s="321" t="str">
        <f t="shared" si="46"/>
        <v>II.3.1.1.02.00214</v>
      </c>
      <c r="B1463" s="321">
        <v>14</v>
      </c>
      <c r="C1463" s="339" t="str">
        <f>IFERROR(VLOOKUP(A1463,[3]DOORSCRIEFT!$A$2:$G$6834,2,FALSE),"")</f>
        <v/>
      </c>
      <c r="D1463" s="481" t="str">
        <f>IFERROR(VLOOKUP(A1463,[3]DOORSCRIEFT!$A$2:$G$6834,3,FALSE),"")</f>
        <v/>
      </c>
      <c r="E1463" s="480" t="str">
        <f>IFERROR(VLOOKUP(A1463,[3]DOORSCRIEFT!$A$2:$G$6834,4,FALSE),"")</f>
        <v/>
      </c>
      <c r="F1463" s="405" t="str">
        <f>IFERROR(VLOOKUP(A1463,[3]DOORSCRIEFT!$A$2:$G$6834,7,FALSE),"")</f>
        <v/>
      </c>
      <c r="G1463" s="315"/>
    </row>
    <row r="1464" spans="1:7" ht="15.75" thickBot="1" x14ac:dyDescent="0.3">
      <c r="A1464" s="342" t="str">
        <f t="shared" si="46"/>
        <v>II.3.1.1.02.00215</v>
      </c>
      <c r="B1464" s="342">
        <v>15</v>
      </c>
      <c r="C1464" s="339" t="str">
        <f>IFERROR(VLOOKUP(A1464,[3]DOORSCRIEFT!$A$2:$G$6834,2,FALSE),"")</f>
        <v/>
      </c>
      <c r="D1464" s="481" t="str">
        <f>IFERROR(VLOOKUP(A1464,[3]DOORSCRIEFT!$A$2:$G$6834,3,FALSE),"")</f>
        <v/>
      </c>
      <c r="E1464" s="480" t="str">
        <f>IFERROR(VLOOKUP(A1464,[3]DOORSCRIEFT!$A$2:$G$6834,4,FALSE),"")</f>
        <v/>
      </c>
      <c r="F1464" s="405" t="str">
        <f>IFERROR(VLOOKUP(A1464,[3]DOORSCRIEFT!$A$2:$G$6834,7,FALSE),"")</f>
        <v/>
      </c>
      <c r="G1464" s="315"/>
    </row>
    <row r="1465" spans="1:7" ht="15.75" thickBot="1" x14ac:dyDescent="0.3">
      <c r="A1465" s="341"/>
      <c r="B1465" s="340"/>
      <c r="C1465" s="336"/>
      <c r="D1465" s="486"/>
      <c r="E1465" s="340" t="s">
        <v>644</v>
      </c>
      <c r="F1465" s="310">
        <f>SUM(F1450:F1464)</f>
        <v>1600000</v>
      </c>
      <c r="G1465" s="309">
        <f>SUM(G1450:G1464)</f>
        <v>0</v>
      </c>
    </row>
    <row r="1466" spans="1:7" x14ac:dyDescent="0.25">
      <c r="C1466" s="335"/>
      <c r="D1466" s="485"/>
    </row>
    <row r="1467" spans="1:7" x14ac:dyDescent="0.25">
      <c r="C1467" s="335"/>
      <c r="D1467" s="485"/>
    </row>
    <row r="1468" spans="1:7" ht="15.75" x14ac:dyDescent="0.25">
      <c r="C1468" s="334" t="s">
        <v>663</v>
      </c>
      <c r="D1468" s="484"/>
      <c r="E1468" s="333"/>
      <c r="F1468" s="327" t="s">
        <v>607</v>
      </c>
      <c r="G1468" s="327" t="s">
        <v>146</v>
      </c>
    </row>
    <row r="1469" spans="1:7" ht="15.75" x14ac:dyDescent="0.25">
      <c r="C1469" s="334"/>
      <c r="D1469" s="484"/>
      <c r="E1469" s="333"/>
      <c r="F1469" s="327" t="s">
        <v>601</v>
      </c>
      <c r="G1469" s="327" t="s">
        <v>145</v>
      </c>
    </row>
    <row r="1470" spans="1:7" x14ac:dyDescent="0.25">
      <c r="C1470" s="330"/>
      <c r="D1470" s="482"/>
      <c r="E1470" s="329"/>
      <c r="F1470" s="327" t="s">
        <v>651</v>
      </c>
      <c r="G1470" s="331">
        <f>[2]Sheet1!$D$430</f>
        <v>14850000</v>
      </c>
    </row>
    <row r="1471" spans="1:7" ht="15.75" thickBot="1" x14ac:dyDescent="0.3">
      <c r="C1471" s="330"/>
      <c r="D1471" s="482"/>
      <c r="E1471" s="329"/>
      <c r="F1471" s="327" t="s">
        <v>650</v>
      </c>
      <c r="G1471" s="326">
        <f>+F1490-G1470</f>
        <v>-14350000</v>
      </c>
    </row>
    <row r="1472" spans="1:7" x14ac:dyDescent="0.25">
      <c r="A1472" s="571" t="s">
        <v>655</v>
      </c>
      <c r="B1472" s="573" t="s">
        <v>606</v>
      </c>
      <c r="C1472" s="588" t="s">
        <v>649</v>
      </c>
      <c r="D1472" s="599" t="s">
        <v>648</v>
      </c>
      <c r="E1472" s="577" t="s">
        <v>647</v>
      </c>
      <c r="F1472" s="577" t="s">
        <v>646</v>
      </c>
      <c r="G1472" s="580" t="s">
        <v>645</v>
      </c>
    </row>
    <row r="1473" spans="1:7" ht="15.75" thickBot="1" x14ac:dyDescent="0.3">
      <c r="A1473" s="572"/>
      <c r="B1473" s="574"/>
      <c r="C1473" s="589"/>
      <c r="D1473" s="600"/>
      <c r="E1473" s="578"/>
      <c r="F1473" s="578"/>
      <c r="G1473" s="581"/>
    </row>
    <row r="1474" spans="1:7" ht="15.75" thickBot="1" x14ac:dyDescent="0.3">
      <c r="A1474" s="425">
        <v>1</v>
      </c>
      <c r="B1474" s="425">
        <v>2</v>
      </c>
      <c r="C1474" s="425">
        <v>3</v>
      </c>
      <c r="D1474" s="425">
        <v>4</v>
      </c>
      <c r="E1474" s="425">
        <v>5</v>
      </c>
      <c r="F1474" s="425">
        <v>6</v>
      </c>
      <c r="G1474" s="425">
        <v>7</v>
      </c>
    </row>
    <row r="1475" spans="1:7" x14ac:dyDescent="0.25">
      <c r="A1475" s="320" t="str">
        <f t="shared" ref="A1475:A1489" si="47">$G$1468&amp;B1475</f>
        <v>II.3.1.2.01.0011</v>
      </c>
      <c r="B1475" s="320">
        <v>1</v>
      </c>
      <c r="C1475" s="339">
        <f>IFERROR(VLOOKUP(A1475,[3]DOORSCRIEFT!$A$2:$G$6834,2,FALSE),"")</f>
        <v>326</v>
      </c>
      <c r="D1475" s="481">
        <f>IFERROR(VLOOKUP(A1475,[3]DOORSCRIEFT!$A$2:$G$6834,3,FALSE),"")</f>
        <v>46089</v>
      </c>
      <c r="E1475" s="480" t="str">
        <f>IFERROR(VLOOKUP(A1475,[3]DOORSCRIEFT!$A$2:$G$6834,4,FALSE),"")</f>
        <v>Biaya Transport ibadah Kring PI Mercusuar</v>
      </c>
      <c r="F1475" s="405">
        <f>IFERROR(VLOOKUP(A1475,[3]DOORSCRIEFT!$A$2:$G$6834,7,FALSE),"")</f>
        <v>200000</v>
      </c>
      <c r="G1475" s="322"/>
    </row>
    <row r="1476" spans="1:7" x14ac:dyDescent="0.25">
      <c r="A1476" s="321" t="str">
        <f t="shared" si="47"/>
        <v>II.3.1.2.01.0012</v>
      </c>
      <c r="B1476" s="321">
        <v>2</v>
      </c>
      <c r="C1476" s="339">
        <f>IFERROR(VLOOKUP(A1476,[3]DOORSCRIEFT!$A$2:$G$6834,2,FALSE),"")</f>
        <v>370</v>
      </c>
      <c r="D1476" s="481">
        <f>IFERROR(VLOOKUP(A1476,[3]DOORSCRIEFT!$A$2:$G$6834,3,FALSE),"")</f>
        <v>53401</v>
      </c>
      <c r="E1476" s="480" t="str">
        <f>IFERROR(VLOOKUP(A1476,[3]DOORSCRIEFT!$A$2:$G$6834,4,FALSE),"")</f>
        <v>Biaya Tanggungan Kring PI Mercusuar</v>
      </c>
      <c r="F1476" s="405">
        <f>IFERROR(VLOOKUP(A1476,[3]DOORSCRIEFT!$A$2:$G$6834,7,FALSE),"")</f>
        <v>300000</v>
      </c>
      <c r="G1476" s="315"/>
    </row>
    <row r="1477" spans="1:7" x14ac:dyDescent="0.25">
      <c r="A1477" s="321" t="str">
        <f t="shared" si="47"/>
        <v>II.3.1.2.01.0013</v>
      </c>
      <c r="B1477" s="321">
        <v>3</v>
      </c>
      <c r="C1477" s="339" t="str">
        <f>IFERROR(VLOOKUP(A1477,[3]DOORSCRIEFT!$A$2:$G$6834,2,FALSE),"")</f>
        <v/>
      </c>
      <c r="D1477" s="481" t="str">
        <f>IFERROR(VLOOKUP(A1477,[3]DOORSCRIEFT!$A$2:$G$6834,3,FALSE),"")</f>
        <v/>
      </c>
      <c r="E1477" s="480" t="str">
        <f>IFERROR(VLOOKUP(A1477,[3]DOORSCRIEFT!$A$2:$G$6834,4,FALSE),"")</f>
        <v/>
      </c>
      <c r="F1477" s="405" t="str">
        <f>IFERROR(VLOOKUP(A1477,[3]DOORSCRIEFT!$A$2:$G$6834,7,FALSE),"")</f>
        <v/>
      </c>
      <c r="G1477" s="315"/>
    </row>
    <row r="1478" spans="1:7" x14ac:dyDescent="0.25">
      <c r="A1478" s="321" t="str">
        <f t="shared" si="47"/>
        <v>II.3.1.2.01.0014</v>
      </c>
      <c r="B1478" s="321">
        <v>4</v>
      </c>
      <c r="C1478" s="339" t="str">
        <f>IFERROR(VLOOKUP(A1478,[3]DOORSCRIEFT!$A$2:$G$6834,2,FALSE),"")</f>
        <v/>
      </c>
      <c r="D1478" s="481" t="str">
        <f>IFERROR(VLOOKUP(A1478,[3]DOORSCRIEFT!$A$2:$G$6834,3,FALSE),"")</f>
        <v/>
      </c>
      <c r="E1478" s="480" t="str">
        <f>IFERROR(VLOOKUP(A1478,[3]DOORSCRIEFT!$A$2:$G$6834,4,FALSE),"")</f>
        <v/>
      </c>
      <c r="F1478" s="405" t="str">
        <f>IFERROR(VLOOKUP(A1478,[3]DOORSCRIEFT!$A$2:$G$6834,7,FALSE),"")</f>
        <v/>
      </c>
      <c r="G1478" s="315"/>
    </row>
    <row r="1479" spans="1:7" x14ac:dyDescent="0.25">
      <c r="A1479" s="321" t="str">
        <f t="shared" si="47"/>
        <v>II.3.1.2.01.0015</v>
      </c>
      <c r="B1479" s="321">
        <v>5</v>
      </c>
      <c r="C1479" s="339" t="str">
        <f>IFERROR(VLOOKUP(A1479,[3]DOORSCRIEFT!$A$2:$G$6834,2,FALSE),"")</f>
        <v/>
      </c>
      <c r="D1479" s="481" t="str">
        <f>IFERROR(VLOOKUP(A1479,[3]DOORSCRIEFT!$A$2:$G$6834,3,FALSE),"")</f>
        <v/>
      </c>
      <c r="E1479" s="480" t="str">
        <f>IFERROR(VLOOKUP(A1479,[3]DOORSCRIEFT!$A$2:$G$6834,4,FALSE),"")</f>
        <v/>
      </c>
      <c r="F1479" s="405" t="str">
        <f>IFERROR(VLOOKUP(A1479,[3]DOORSCRIEFT!$A$2:$G$6834,7,FALSE),"")</f>
        <v/>
      </c>
      <c r="G1479" s="315"/>
    </row>
    <row r="1480" spans="1:7" x14ac:dyDescent="0.25">
      <c r="A1480" s="321" t="str">
        <f t="shared" si="47"/>
        <v>II.3.1.2.01.0016</v>
      </c>
      <c r="B1480" s="321">
        <v>6</v>
      </c>
      <c r="C1480" s="339" t="str">
        <f>IFERROR(VLOOKUP(A1480,[3]DOORSCRIEFT!$A$2:$G$6834,2,FALSE),"")</f>
        <v/>
      </c>
      <c r="D1480" s="481" t="str">
        <f>IFERROR(VLOOKUP(A1480,[3]DOORSCRIEFT!$A$2:$G$6834,3,FALSE),"")</f>
        <v/>
      </c>
      <c r="E1480" s="480" t="str">
        <f>IFERROR(VLOOKUP(A1480,[3]DOORSCRIEFT!$A$2:$G$6834,4,FALSE),"")</f>
        <v/>
      </c>
      <c r="F1480" s="405" t="str">
        <f>IFERROR(VLOOKUP(A1480,[3]DOORSCRIEFT!$A$2:$G$6834,7,FALSE),"")</f>
        <v/>
      </c>
      <c r="G1480" s="315"/>
    </row>
    <row r="1481" spans="1:7" x14ac:dyDescent="0.25">
      <c r="A1481" s="321" t="str">
        <f t="shared" si="47"/>
        <v>II.3.1.2.01.0017</v>
      </c>
      <c r="B1481" s="321">
        <v>7</v>
      </c>
      <c r="C1481" s="339" t="str">
        <f>IFERROR(VLOOKUP(A1481,[3]DOORSCRIEFT!$A$2:$G$6834,2,FALSE),"")</f>
        <v/>
      </c>
      <c r="D1481" s="481" t="str">
        <f>IFERROR(VLOOKUP(A1481,[3]DOORSCRIEFT!$A$2:$G$6834,3,FALSE),"")</f>
        <v/>
      </c>
      <c r="E1481" s="480" t="str">
        <f>IFERROR(VLOOKUP(A1481,[3]DOORSCRIEFT!$A$2:$G$6834,4,FALSE),"")</f>
        <v/>
      </c>
      <c r="F1481" s="405" t="str">
        <f>IFERROR(VLOOKUP(A1481,[3]DOORSCRIEFT!$A$2:$G$6834,7,FALSE),"")</f>
        <v/>
      </c>
      <c r="G1481" s="315"/>
    </row>
    <row r="1482" spans="1:7" x14ac:dyDescent="0.25">
      <c r="A1482" s="321" t="str">
        <f t="shared" si="47"/>
        <v>II.3.1.2.01.0018</v>
      </c>
      <c r="B1482" s="321">
        <v>8</v>
      </c>
      <c r="C1482" s="339" t="str">
        <f>IFERROR(VLOOKUP(A1482,[3]DOORSCRIEFT!$A$2:$G$6834,2,FALSE),"")</f>
        <v/>
      </c>
      <c r="D1482" s="481" t="str">
        <f>IFERROR(VLOOKUP(A1482,[3]DOORSCRIEFT!$A$2:$G$6834,3,FALSE),"")</f>
        <v/>
      </c>
      <c r="E1482" s="480" t="str">
        <f>IFERROR(VLOOKUP(A1482,[3]DOORSCRIEFT!$A$2:$G$6834,4,FALSE),"")</f>
        <v/>
      </c>
      <c r="F1482" s="405" t="str">
        <f>IFERROR(VLOOKUP(A1482,[3]DOORSCRIEFT!$A$2:$G$6834,7,FALSE),"")</f>
        <v/>
      </c>
      <c r="G1482" s="315"/>
    </row>
    <row r="1483" spans="1:7" x14ac:dyDescent="0.25">
      <c r="A1483" s="321" t="str">
        <f t="shared" si="47"/>
        <v>II.3.1.2.01.0019</v>
      </c>
      <c r="B1483" s="321">
        <v>9</v>
      </c>
      <c r="C1483" s="339" t="str">
        <f>IFERROR(VLOOKUP(A1483,[3]DOORSCRIEFT!$A$2:$G$6834,2,FALSE),"")</f>
        <v/>
      </c>
      <c r="D1483" s="481" t="str">
        <f>IFERROR(VLOOKUP(A1483,[3]DOORSCRIEFT!$A$2:$G$6834,3,FALSE),"")</f>
        <v/>
      </c>
      <c r="E1483" s="480" t="str">
        <f>IFERROR(VLOOKUP(A1483,[3]DOORSCRIEFT!$A$2:$G$6834,4,FALSE),"")</f>
        <v/>
      </c>
      <c r="F1483" s="405" t="str">
        <f>IFERROR(VLOOKUP(A1483,[3]DOORSCRIEFT!$A$2:$G$6834,7,FALSE),"")</f>
        <v/>
      </c>
      <c r="G1483" s="315"/>
    </row>
    <row r="1484" spans="1:7" x14ac:dyDescent="0.25">
      <c r="A1484" s="321" t="str">
        <f t="shared" si="47"/>
        <v>II.3.1.2.01.00110</v>
      </c>
      <c r="B1484" s="321">
        <v>10</v>
      </c>
      <c r="C1484" s="339" t="str">
        <f>IFERROR(VLOOKUP(A1484,[3]DOORSCRIEFT!$A$2:$G$6834,2,FALSE),"")</f>
        <v/>
      </c>
      <c r="D1484" s="481" t="str">
        <f>IFERROR(VLOOKUP(A1484,[3]DOORSCRIEFT!$A$2:$G$6834,3,FALSE),"")</f>
        <v/>
      </c>
      <c r="E1484" s="480" t="str">
        <f>IFERROR(VLOOKUP(A1484,[3]DOORSCRIEFT!$A$2:$G$6834,4,FALSE),"")</f>
        <v/>
      </c>
      <c r="F1484" s="405" t="str">
        <f>IFERROR(VLOOKUP(A1484,[3]DOORSCRIEFT!$A$2:$G$6834,7,FALSE),"")</f>
        <v/>
      </c>
      <c r="G1484" s="315"/>
    </row>
    <row r="1485" spans="1:7" x14ac:dyDescent="0.25">
      <c r="A1485" s="321" t="str">
        <f t="shared" si="47"/>
        <v>II.3.1.2.01.00111</v>
      </c>
      <c r="B1485" s="321">
        <v>11</v>
      </c>
      <c r="C1485" s="339" t="str">
        <f>IFERROR(VLOOKUP(A1485,[3]DOORSCRIEFT!$A$2:$G$6834,2,FALSE),"")</f>
        <v/>
      </c>
      <c r="D1485" s="481" t="str">
        <f>IFERROR(VLOOKUP(A1485,[3]DOORSCRIEFT!$A$2:$G$6834,3,FALSE),"")</f>
        <v/>
      </c>
      <c r="E1485" s="480" t="str">
        <f>IFERROR(VLOOKUP(A1485,[3]DOORSCRIEFT!$A$2:$G$6834,4,FALSE),"")</f>
        <v/>
      </c>
      <c r="F1485" s="405" t="str">
        <f>IFERROR(VLOOKUP(A1485,[3]DOORSCRIEFT!$A$2:$G$6834,7,FALSE),"")</f>
        <v/>
      </c>
      <c r="G1485" s="315"/>
    </row>
    <row r="1486" spans="1:7" x14ac:dyDescent="0.25">
      <c r="A1486" s="321" t="str">
        <f t="shared" si="47"/>
        <v>II.3.1.2.01.00112</v>
      </c>
      <c r="B1486" s="321">
        <v>12</v>
      </c>
      <c r="C1486" s="339" t="str">
        <f>IFERROR(VLOOKUP(A1486,[3]DOORSCRIEFT!$A$2:$G$6834,2,FALSE),"")</f>
        <v/>
      </c>
      <c r="D1486" s="481" t="str">
        <f>IFERROR(VLOOKUP(A1486,[3]DOORSCRIEFT!$A$2:$G$6834,3,FALSE),"")</f>
        <v/>
      </c>
      <c r="E1486" s="480" t="str">
        <f>IFERROR(VLOOKUP(A1486,[3]DOORSCRIEFT!$A$2:$G$6834,4,FALSE),"")</f>
        <v/>
      </c>
      <c r="F1486" s="405" t="str">
        <f>IFERROR(VLOOKUP(A1486,[3]DOORSCRIEFT!$A$2:$G$6834,7,FALSE),"")</f>
        <v/>
      </c>
      <c r="G1486" s="315"/>
    </row>
    <row r="1487" spans="1:7" x14ac:dyDescent="0.25">
      <c r="A1487" s="321" t="str">
        <f t="shared" si="47"/>
        <v>II.3.1.2.01.00113</v>
      </c>
      <c r="B1487" s="321">
        <v>13</v>
      </c>
      <c r="C1487" s="339" t="str">
        <f>IFERROR(VLOOKUP(A1487,[3]DOORSCRIEFT!$A$2:$G$6834,2,FALSE),"")</f>
        <v/>
      </c>
      <c r="D1487" s="481" t="str">
        <f>IFERROR(VLOOKUP(A1487,[3]DOORSCRIEFT!$A$2:$G$6834,3,FALSE),"")</f>
        <v/>
      </c>
      <c r="E1487" s="480" t="str">
        <f>IFERROR(VLOOKUP(A1487,[3]DOORSCRIEFT!$A$2:$G$6834,4,FALSE),"")</f>
        <v/>
      </c>
      <c r="F1487" s="405" t="str">
        <f>IFERROR(VLOOKUP(A1487,[3]DOORSCRIEFT!$A$2:$G$6834,7,FALSE),"")</f>
        <v/>
      </c>
      <c r="G1487" s="315"/>
    </row>
    <row r="1488" spans="1:7" x14ac:dyDescent="0.25">
      <c r="A1488" s="321" t="str">
        <f t="shared" si="47"/>
        <v>II.3.1.2.01.00114</v>
      </c>
      <c r="B1488" s="321">
        <v>14</v>
      </c>
      <c r="C1488" s="339" t="str">
        <f>IFERROR(VLOOKUP(A1488,[3]DOORSCRIEFT!$A$2:$G$6834,2,FALSE),"")</f>
        <v/>
      </c>
      <c r="D1488" s="481" t="str">
        <f>IFERROR(VLOOKUP(A1488,[3]DOORSCRIEFT!$A$2:$G$6834,3,FALSE),"")</f>
        <v/>
      </c>
      <c r="E1488" s="480" t="str">
        <f>IFERROR(VLOOKUP(A1488,[3]DOORSCRIEFT!$A$2:$G$6834,4,FALSE),"")</f>
        <v/>
      </c>
      <c r="F1488" s="405" t="str">
        <f>IFERROR(VLOOKUP(A1488,[3]DOORSCRIEFT!$A$2:$G$6834,7,FALSE),"")</f>
        <v/>
      </c>
      <c r="G1488" s="315"/>
    </row>
    <row r="1489" spans="1:7" ht="15.75" thickBot="1" x14ac:dyDescent="0.3">
      <c r="A1489" s="342" t="str">
        <f t="shared" si="47"/>
        <v>II.3.1.2.01.00115</v>
      </c>
      <c r="B1489" s="342">
        <v>15</v>
      </c>
      <c r="C1489" s="339" t="str">
        <f>IFERROR(VLOOKUP(A1489,[3]DOORSCRIEFT!$A$2:$G$6834,2,FALSE),"")</f>
        <v/>
      </c>
      <c r="D1489" s="481" t="str">
        <f>IFERROR(VLOOKUP(A1489,[3]DOORSCRIEFT!$A$2:$G$6834,3,FALSE),"")</f>
        <v/>
      </c>
      <c r="E1489" s="480" t="str">
        <f>IFERROR(VLOOKUP(A1489,[3]DOORSCRIEFT!$A$2:$G$6834,4,FALSE),"")</f>
        <v/>
      </c>
      <c r="F1489" s="405" t="str">
        <f>IFERROR(VLOOKUP(A1489,[3]DOORSCRIEFT!$A$2:$G$6834,7,FALSE),"")</f>
        <v/>
      </c>
      <c r="G1489" s="315"/>
    </row>
    <row r="1490" spans="1:7" ht="15.75" thickBot="1" x14ac:dyDescent="0.3">
      <c r="A1490" s="341"/>
      <c r="B1490" s="340"/>
      <c r="C1490" s="336"/>
      <c r="D1490" s="486"/>
      <c r="E1490" s="340" t="s">
        <v>644</v>
      </c>
      <c r="F1490" s="310">
        <f>SUM(F1475:F1489)</f>
        <v>500000</v>
      </c>
      <c r="G1490" s="309">
        <f>SUM(G1475:G1489)</f>
        <v>0</v>
      </c>
    </row>
    <row r="1491" spans="1:7" x14ac:dyDescent="0.25">
      <c r="C1491" s="335"/>
      <c r="D1491" s="485"/>
    </row>
    <row r="1492" spans="1:7" x14ac:dyDescent="0.25">
      <c r="C1492" s="335"/>
      <c r="D1492" s="485"/>
    </row>
    <row r="1493" spans="1:7" ht="15.75" x14ac:dyDescent="0.25">
      <c r="C1493" s="334" t="s">
        <v>663</v>
      </c>
      <c r="D1493" s="484"/>
      <c r="E1493" s="333"/>
      <c r="F1493" s="327" t="s">
        <v>607</v>
      </c>
      <c r="G1493" s="327" t="s">
        <v>142</v>
      </c>
    </row>
    <row r="1494" spans="1:7" ht="15.75" x14ac:dyDescent="0.25">
      <c r="C1494" s="334"/>
      <c r="D1494" s="484"/>
      <c r="E1494" s="333"/>
      <c r="F1494" s="327" t="s">
        <v>601</v>
      </c>
      <c r="G1494" s="327" t="s">
        <v>141</v>
      </c>
    </row>
    <row r="1495" spans="1:7" x14ac:dyDescent="0.25">
      <c r="C1495" s="330"/>
      <c r="D1495" s="482"/>
      <c r="E1495" s="329"/>
      <c r="F1495" s="327" t="s">
        <v>651</v>
      </c>
      <c r="G1495" s="331">
        <f>[2]Sheet1!$D$448</f>
        <v>6100000</v>
      </c>
    </row>
    <row r="1496" spans="1:7" ht="15.75" thickBot="1" x14ac:dyDescent="0.3">
      <c r="C1496" s="330"/>
      <c r="D1496" s="482"/>
      <c r="E1496" s="329"/>
      <c r="F1496" s="327" t="s">
        <v>650</v>
      </c>
      <c r="G1496" s="326">
        <f>+F1515-G1495</f>
        <v>-6100000</v>
      </c>
    </row>
    <row r="1497" spans="1:7" x14ac:dyDescent="0.25">
      <c r="A1497" s="571" t="s">
        <v>655</v>
      </c>
      <c r="B1497" s="573" t="s">
        <v>606</v>
      </c>
      <c r="C1497" s="588" t="s">
        <v>649</v>
      </c>
      <c r="D1497" s="599" t="s">
        <v>648</v>
      </c>
      <c r="E1497" s="577" t="s">
        <v>647</v>
      </c>
      <c r="F1497" s="577" t="s">
        <v>646</v>
      </c>
      <c r="G1497" s="580" t="s">
        <v>645</v>
      </c>
    </row>
    <row r="1498" spans="1:7" ht="15.75" thickBot="1" x14ac:dyDescent="0.3">
      <c r="A1498" s="572"/>
      <c r="B1498" s="574"/>
      <c r="C1498" s="589"/>
      <c r="D1498" s="600"/>
      <c r="E1498" s="578"/>
      <c r="F1498" s="578"/>
      <c r="G1498" s="581"/>
    </row>
    <row r="1499" spans="1:7" ht="15.75" thickBot="1" x14ac:dyDescent="0.3">
      <c r="A1499" s="425">
        <v>1</v>
      </c>
      <c r="B1499" s="425">
        <v>2</v>
      </c>
      <c r="C1499" s="425">
        <v>3</v>
      </c>
      <c r="D1499" s="425">
        <v>4</v>
      </c>
      <c r="E1499" s="425">
        <v>5</v>
      </c>
      <c r="F1499" s="425">
        <v>6</v>
      </c>
      <c r="G1499" s="425">
        <v>7</v>
      </c>
    </row>
    <row r="1500" spans="1:7" x14ac:dyDescent="0.25">
      <c r="A1500" s="320" t="str">
        <f t="shared" ref="A1500:A1514" si="48">$G$1493&amp;B1500</f>
        <v>II.3.1.2.02.0011</v>
      </c>
      <c r="B1500" s="320">
        <v>1</v>
      </c>
      <c r="C1500" s="339" t="str">
        <f>IFERROR(VLOOKUP(A1500,[3]DOORSCRIEFT!$A$2:$G$6834,2,FALSE),"")</f>
        <v/>
      </c>
      <c r="D1500" s="481" t="str">
        <f>IFERROR(VLOOKUP(A1500,[3]DOORSCRIEFT!$A$2:$G$6834,3,FALSE),"")</f>
        <v/>
      </c>
      <c r="E1500" s="480" t="str">
        <f>IFERROR(VLOOKUP(A1500,[3]DOORSCRIEFT!$A$2:$G$6834,4,FALSE),"")</f>
        <v/>
      </c>
      <c r="F1500" s="405" t="str">
        <f>IFERROR(VLOOKUP(A1500,[3]DOORSCRIEFT!$A$2:$G$6834,7,FALSE),"")</f>
        <v/>
      </c>
      <c r="G1500" s="322"/>
    </row>
    <row r="1501" spans="1:7" x14ac:dyDescent="0.25">
      <c r="A1501" s="321" t="str">
        <f t="shared" si="48"/>
        <v>II.3.1.2.02.0012</v>
      </c>
      <c r="B1501" s="321">
        <v>2</v>
      </c>
      <c r="C1501" s="339" t="str">
        <f>IFERROR(VLOOKUP(A1501,[3]DOORSCRIEFT!$A$2:$G$6834,2,FALSE),"")</f>
        <v/>
      </c>
      <c r="D1501" s="481" t="str">
        <f>IFERROR(VLOOKUP(A1501,[3]DOORSCRIEFT!$A$2:$G$6834,3,FALSE),"")</f>
        <v/>
      </c>
      <c r="E1501" s="480" t="str">
        <f>IFERROR(VLOOKUP(A1501,[3]DOORSCRIEFT!$A$2:$G$6834,4,FALSE),"")</f>
        <v/>
      </c>
      <c r="F1501" s="405" t="str">
        <f>IFERROR(VLOOKUP(A1501,[3]DOORSCRIEFT!$A$2:$G$6834,7,FALSE),"")</f>
        <v/>
      </c>
      <c r="G1501" s="315"/>
    </row>
    <row r="1502" spans="1:7" x14ac:dyDescent="0.25">
      <c r="A1502" s="321" t="str">
        <f t="shared" si="48"/>
        <v>II.3.1.2.02.0013</v>
      </c>
      <c r="B1502" s="321">
        <v>3</v>
      </c>
      <c r="C1502" s="339" t="str">
        <f>IFERROR(VLOOKUP(A1502,[3]DOORSCRIEFT!$A$2:$G$6834,2,FALSE),"")</f>
        <v/>
      </c>
      <c r="D1502" s="481" t="str">
        <f>IFERROR(VLOOKUP(A1502,[3]DOORSCRIEFT!$A$2:$G$6834,3,FALSE),"")</f>
        <v/>
      </c>
      <c r="E1502" s="480" t="str">
        <f>IFERROR(VLOOKUP(A1502,[3]DOORSCRIEFT!$A$2:$G$6834,4,FALSE),"")</f>
        <v/>
      </c>
      <c r="F1502" s="405" t="str">
        <f>IFERROR(VLOOKUP(A1502,[3]DOORSCRIEFT!$A$2:$G$6834,7,FALSE),"")</f>
        <v/>
      </c>
      <c r="G1502" s="315"/>
    </row>
    <row r="1503" spans="1:7" x14ac:dyDescent="0.25">
      <c r="A1503" s="321" t="str">
        <f t="shared" si="48"/>
        <v>II.3.1.2.02.0014</v>
      </c>
      <c r="B1503" s="321">
        <v>4</v>
      </c>
      <c r="C1503" s="339" t="str">
        <f>IFERROR(VLOOKUP(A1503,[3]DOORSCRIEFT!$A$2:$G$6834,2,FALSE),"")</f>
        <v/>
      </c>
      <c r="D1503" s="481" t="str">
        <f>IFERROR(VLOOKUP(A1503,[3]DOORSCRIEFT!$A$2:$G$6834,3,FALSE),"")</f>
        <v/>
      </c>
      <c r="E1503" s="480" t="str">
        <f>IFERROR(VLOOKUP(A1503,[3]DOORSCRIEFT!$A$2:$G$6834,4,FALSE),"")</f>
        <v/>
      </c>
      <c r="F1503" s="405" t="str">
        <f>IFERROR(VLOOKUP(A1503,[3]DOORSCRIEFT!$A$2:$G$6834,7,FALSE),"")</f>
        <v/>
      </c>
      <c r="G1503" s="315"/>
    </row>
    <row r="1504" spans="1:7" x14ac:dyDescent="0.25">
      <c r="A1504" s="321" t="str">
        <f t="shared" si="48"/>
        <v>II.3.1.2.02.0015</v>
      </c>
      <c r="B1504" s="321">
        <v>5</v>
      </c>
      <c r="C1504" s="339" t="str">
        <f>IFERROR(VLOOKUP(A1504,[3]DOORSCRIEFT!$A$2:$G$6834,2,FALSE),"")</f>
        <v/>
      </c>
      <c r="D1504" s="481" t="str">
        <f>IFERROR(VLOOKUP(A1504,[3]DOORSCRIEFT!$A$2:$G$6834,3,FALSE),"")</f>
        <v/>
      </c>
      <c r="E1504" s="480" t="str">
        <f>IFERROR(VLOOKUP(A1504,[3]DOORSCRIEFT!$A$2:$G$6834,4,FALSE),"")</f>
        <v/>
      </c>
      <c r="F1504" s="405" t="str">
        <f>IFERROR(VLOOKUP(A1504,[3]DOORSCRIEFT!$A$2:$G$6834,7,FALSE),"")</f>
        <v/>
      </c>
      <c r="G1504" s="315"/>
    </row>
    <row r="1505" spans="1:7" x14ac:dyDescent="0.25">
      <c r="A1505" s="321" t="str">
        <f t="shared" si="48"/>
        <v>II.3.1.2.02.0016</v>
      </c>
      <c r="B1505" s="321">
        <v>6</v>
      </c>
      <c r="C1505" s="339" t="str">
        <f>IFERROR(VLOOKUP(A1505,[3]DOORSCRIEFT!$A$2:$G$6834,2,FALSE),"")</f>
        <v/>
      </c>
      <c r="D1505" s="481" t="str">
        <f>IFERROR(VLOOKUP(A1505,[3]DOORSCRIEFT!$A$2:$G$6834,3,FALSE),"")</f>
        <v/>
      </c>
      <c r="E1505" s="480" t="str">
        <f>IFERROR(VLOOKUP(A1505,[3]DOORSCRIEFT!$A$2:$G$6834,4,FALSE),"")</f>
        <v/>
      </c>
      <c r="F1505" s="405" t="str">
        <f>IFERROR(VLOOKUP(A1505,[3]DOORSCRIEFT!$A$2:$G$6834,7,FALSE),"")</f>
        <v/>
      </c>
      <c r="G1505" s="315"/>
    </row>
    <row r="1506" spans="1:7" x14ac:dyDescent="0.25">
      <c r="A1506" s="321" t="str">
        <f t="shared" si="48"/>
        <v>II.3.1.2.02.0017</v>
      </c>
      <c r="B1506" s="321">
        <v>7</v>
      </c>
      <c r="C1506" s="339" t="str">
        <f>IFERROR(VLOOKUP(A1506,[3]DOORSCRIEFT!$A$2:$G$6834,2,FALSE),"")</f>
        <v/>
      </c>
      <c r="D1506" s="481" t="str">
        <f>IFERROR(VLOOKUP(A1506,[3]DOORSCRIEFT!$A$2:$G$6834,3,FALSE),"")</f>
        <v/>
      </c>
      <c r="E1506" s="480" t="str">
        <f>IFERROR(VLOOKUP(A1506,[3]DOORSCRIEFT!$A$2:$G$6834,4,FALSE),"")</f>
        <v/>
      </c>
      <c r="F1506" s="405" t="str">
        <f>IFERROR(VLOOKUP(A1506,[3]DOORSCRIEFT!$A$2:$G$6834,7,FALSE),"")</f>
        <v/>
      </c>
      <c r="G1506" s="315"/>
    </row>
    <row r="1507" spans="1:7" x14ac:dyDescent="0.25">
      <c r="A1507" s="321" t="str">
        <f t="shared" si="48"/>
        <v>II.3.1.2.02.0018</v>
      </c>
      <c r="B1507" s="321">
        <v>8</v>
      </c>
      <c r="C1507" s="339" t="str">
        <f>IFERROR(VLOOKUP(A1507,[3]DOORSCRIEFT!$A$2:$G$6834,2,FALSE),"")</f>
        <v/>
      </c>
      <c r="D1507" s="481" t="str">
        <f>IFERROR(VLOOKUP(A1507,[3]DOORSCRIEFT!$A$2:$G$6834,3,FALSE),"")</f>
        <v/>
      </c>
      <c r="E1507" s="480" t="str">
        <f>IFERROR(VLOOKUP(A1507,[3]DOORSCRIEFT!$A$2:$G$6834,4,FALSE),"")</f>
        <v/>
      </c>
      <c r="F1507" s="405" t="str">
        <f>IFERROR(VLOOKUP(A1507,[3]DOORSCRIEFT!$A$2:$G$6834,7,FALSE),"")</f>
        <v/>
      </c>
      <c r="G1507" s="315"/>
    </row>
    <row r="1508" spans="1:7" x14ac:dyDescent="0.25">
      <c r="A1508" s="321" t="str">
        <f t="shared" si="48"/>
        <v>II.3.1.2.02.0019</v>
      </c>
      <c r="B1508" s="321">
        <v>9</v>
      </c>
      <c r="C1508" s="339" t="str">
        <f>IFERROR(VLOOKUP(A1508,[3]DOORSCRIEFT!$A$2:$G$6834,2,FALSE),"")</f>
        <v/>
      </c>
      <c r="D1508" s="481" t="str">
        <f>IFERROR(VLOOKUP(A1508,[3]DOORSCRIEFT!$A$2:$G$6834,3,FALSE),"")</f>
        <v/>
      </c>
      <c r="E1508" s="480" t="str">
        <f>IFERROR(VLOOKUP(A1508,[3]DOORSCRIEFT!$A$2:$G$6834,4,FALSE),"")</f>
        <v/>
      </c>
      <c r="F1508" s="405" t="str">
        <f>IFERROR(VLOOKUP(A1508,[3]DOORSCRIEFT!$A$2:$G$6834,7,FALSE),"")</f>
        <v/>
      </c>
      <c r="G1508" s="315"/>
    </row>
    <row r="1509" spans="1:7" x14ac:dyDescent="0.25">
      <c r="A1509" s="321" t="str">
        <f t="shared" si="48"/>
        <v>II.3.1.2.02.00110</v>
      </c>
      <c r="B1509" s="321">
        <v>10</v>
      </c>
      <c r="C1509" s="339" t="str">
        <f>IFERROR(VLOOKUP(A1509,[3]DOORSCRIEFT!$A$2:$G$6834,2,FALSE),"")</f>
        <v/>
      </c>
      <c r="D1509" s="481" t="str">
        <f>IFERROR(VLOOKUP(A1509,[3]DOORSCRIEFT!$A$2:$G$6834,3,FALSE),"")</f>
        <v/>
      </c>
      <c r="E1509" s="480" t="str">
        <f>IFERROR(VLOOKUP(A1509,[3]DOORSCRIEFT!$A$2:$G$6834,4,FALSE),"")</f>
        <v/>
      </c>
      <c r="F1509" s="405" t="str">
        <f>IFERROR(VLOOKUP(A1509,[3]DOORSCRIEFT!$A$2:$G$6834,7,FALSE),"")</f>
        <v/>
      </c>
      <c r="G1509" s="315"/>
    </row>
    <row r="1510" spans="1:7" x14ac:dyDescent="0.25">
      <c r="A1510" s="321" t="str">
        <f t="shared" si="48"/>
        <v>II.3.1.2.02.00111</v>
      </c>
      <c r="B1510" s="321">
        <v>11</v>
      </c>
      <c r="C1510" s="339" t="str">
        <f>IFERROR(VLOOKUP(A1510,[3]DOORSCRIEFT!$A$2:$G$6834,2,FALSE),"")</f>
        <v/>
      </c>
      <c r="D1510" s="481" t="str">
        <f>IFERROR(VLOOKUP(A1510,[3]DOORSCRIEFT!$A$2:$G$6834,3,FALSE),"")</f>
        <v/>
      </c>
      <c r="E1510" s="480" t="str">
        <f>IFERROR(VLOOKUP(A1510,[3]DOORSCRIEFT!$A$2:$G$6834,4,FALSE),"")</f>
        <v/>
      </c>
      <c r="F1510" s="405" t="str">
        <f>IFERROR(VLOOKUP(A1510,[3]DOORSCRIEFT!$A$2:$G$6834,7,FALSE),"")</f>
        <v/>
      </c>
      <c r="G1510" s="315"/>
    </row>
    <row r="1511" spans="1:7" x14ac:dyDescent="0.25">
      <c r="A1511" s="321" t="str">
        <f t="shared" si="48"/>
        <v>II.3.1.2.02.00112</v>
      </c>
      <c r="B1511" s="321">
        <v>12</v>
      </c>
      <c r="C1511" s="339" t="str">
        <f>IFERROR(VLOOKUP(A1511,[3]DOORSCRIEFT!$A$2:$G$6834,2,FALSE),"")</f>
        <v/>
      </c>
      <c r="D1511" s="481" t="str">
        <f>IFERROR(VLOOKUP(A1511,[3]DOORSCRIEFT!$A$2:$G$6834,3,FALSE),"")</f>
        <v/>
      </c>
      <c r="E1511" s="480" t="str">
        <f>IFERROR(VLOOKUP(A1511,[3]DOORSCRIEFT!$A$2:$G$6834,4,FALSE),"")</f>
        <v/>
      </c>
      <c r="F1511" s="405" t="str">
        <f>IFERROR(VLOOKUP(A1511,[3]DOORSCRIEFT!$A$2:$G$6834,7,FALSE),"")</f>
        <v/>
      </c>
      <c r="G1511" s="315"/>
    </row>
    <row r="1512" spans="1:7" x14ac:dyDescent="0.25">
      <c r="A1512" s="321" t="str">
        <f t="shared" si="48"/>
        <v>II.3.1.2.02.00113</v>
      </c>
      <c r="B1512" s="321">
        <v>13</v>
      </c>
      <c r="C1512" s="339" t="str">
        <f>IFERROR(VLOOKUP(A1512,[3]DOORSCRIEFT!$A$2:$G$6834,2,FALSE),"")</f>
        <v/>
      </c>
      <c r="D1512" s="481" t="str">
        <f>IFERROR(VLOOKUP(A1512,[3]DOORSCRIEFT!$A$2:$G$6834,3,FALSE),"")</f>
        <v/>
      </c>
      <c r="E1512" s="480" t="str">
        <f>IFERROR(VLOOKUP(A1512,[3]DOORSCRIEFT!$A$2:$G$6834,4,FALSE),"")</f>
        <v/>
      </c>
      <c r="F1512" s="405" t="str">
        <f>IFERROR(VLOOKUP(A1512,[3]DOORSCRIEFT!$A$2:$G$6834,7,FALSE),"")</f>
        <v/>
      </c>
      <c r="G1512" s="315"/>
    </row>
    <row r="1513" spans="1:7" x14ac:dyDescent="0.25">
      <c r="A1513" s="321" t="str">
        <f t="shared" si="48"/>
        <v>II.3.1.2.02.00114</v>
      </c>
      <c r="B1513" s="321">
        <v>14</v>
      </c>
      <c r="C1513" s="339" t="str">
        <f>IFERROR(VLOOKUP(A1513,[3]DOORSCRIEFT!$A$2:$G$6834,2,FALSE),"")</f>
        <v/>
      </c>
      <c r="D1513" s="481" t="str">
        <f>IFERROR(VLOOKUP(A1513,[3]DOORSCRIEFT!$A$2:$G$6834,3,FALSE),"")</f>
        <v/>
      </c>
      <c r="E1513" s="480" t="str">
        <f>IFERROR(VLOOKUP(A1513,[3]DOORSCRIEFT!$A$2:$G$6834,4,FALSE),"")</f>
        <v/>
      </c>
      <c r="F1513" s="405" t="str">
        <f>IFERROR(VLOOKUP(A1513,[3]DOORSCRIEFT!$A$2:$G$6834,7,FALSE),"")</f>
        <v/>
      </c>
      <c r="G1513" s="315"/>
    </row>
    <row r="1514" spans="1:7" ht="15.75" thickBot="1" x14ac:dyDescent="0.3">
      <c r="A1514" s="342" t="str">
        <f t="shared" si="48"/>
        <v>II.3.1.2.02.00115</v>
      </c>
      <c r="B1514" s="342">
        <v>15</v>
      </c>
      <c r="C1514" s="339" t="str">
        <f>IFERROR(VLOOKUP(A1514,[3]DOORSCRIEFT!$A$2:$G$6834,2,FALSE),"")</f>
        <v/>
      </c>
      <c r="D1514" s="481" t="str">
        <f>IFERROR(VLOOKUP(A1514,[3]DOORSCRIEFT!$A$2:$G$6834,3,FALSE),"")</f>
        <v/>
      </c>
      <c r="E1514" s="480" t="str">
        <f>IFERROR(VLOOKUP(A1514,[3]DOORSCRIEFT!$A$2:$G$6834,4,FALSE),"")</f>
        <v/>
      </c>
      <c r="F1514" s="405" t="str">
        <f>IFERROR(VLOOKUP(A1514,[3]DOORSCRIEFT!$A$2:$G$6834,7,FALSE),"")</f>
        <v/>
      </c>
      <c r="G1514" s="315"/>
    </row>
    <row r="1515" spans="1:7" ht="15.75" thickBot="1" x14ac:dyDescent="0.3">
      <c r="A1515" s="341"/>
      <c r="B1515" s="340"/>
      <c r="C1515" s="336"/>
      <c r="D1515" s="486"/>
      <c r="E1515" s="340" t="s">
        <v>644</v>
      </c>
      <c r="F1515" s="310">
        <f>SUM(F1500:F1514)</f>
        <v>0</v>
      </c>
      <c r="G1515" s="309">
        <f>SUM(G1500:G1514)</f>
        <v>0</v>
      </c>
    </row>
    <row r="1516" spans="1:7" x14ac:dyDescent="0.25">
      <c r="C1516" s="335"/>
      <c r="D1516" s="485"/>
    </row>
    <row r="1517" spans="1:7" x14ac:dyDescent="0.25">
      <c r="C1517" s="335"/>
      <c r="D1517" s="485"/>
    </row>
    <row r="1518" spans="1:7" ht="15.75" x14ac:dyDescent="0.25">
      <c r="C1518" s="334" t="s">
        <v>663</v>
      </c>
      <c r="D1518" s="484"/>
      <c r="E1518" s="333"/>
      <c r="F1518" s="327" t="s">
        <v>607</v>
      </c>
      <c r="G1518" s="327" t="s">
        <v>140</v>
      </c>
    </row>
    <row r="1519" spans="1:7" ht="15.75" x14ac:dyDescent="0.25">
      <c r="C1519" s="334"/>
      <c r="D1519" s="484"/>
      <c r="E1519" s="333"/>
      <c r="F1519" s="327" t="s">
        <v>601</v>
      </c>
      <c r="G1519" s="327" t="s">
        <v>139</v>
      </c>
    </row>
    <row r="1520" spans="1:7" x14ac:dyDescent="0.25">
      <c r="C1520" s="330"/>
      <c r="D1520" s="482"/>
      <c r="E1520" s="329"/>
      <c r="F1520" s="327" t="s">
        <v>651</v>
      </c>
      <c r="G1520" s="331">
        <f>[2]Sheet1!$D$453</f>
        <v>0</v>
      </c>
    </row>
    <row r="1521" spans="1:7" ht="15.75" thickBot="1" x14ac:dyDescent="0.3">
      <c r="C1521" s="330"/>
      <c r="D1521" s="482"/>
      <c r="E1521" s="329"/>
      <c r="F1521" s="327" t="s">
        <v>650</v>
      </c>
      <c r="G1521" s="326">
        <f>+F1540-G1520</f>
        <v>0</v>
      </c>
    </row>
    <row r="1522" spans="1:7" x14ac:dyDescent="0.25">
      <c r="A1522" s="571" t="s">
        <v>655</v>
      </c>
      <c r="B1522" s="573" t="s">
        <v>606</v>
      </c>
      <c r="C1522" s="588" t="s">
        <v>649</v>
      </c>
      <c r="D1522" s="599" t="s">
        <v>648</v>
      </c>
      <c r="E1522" s="577" t="s">
        <v>647</v>
      </c>
      <c r="F1522" s="577" t="s">
        <v>646</v>
      </c>
      <c r="G1522" s="580" t="s">
        <v>645</v>
      </c>
    </row>
    <row r="1523" spans="1:7" ht="15.75" thickBot="1" x14ac:dyDescent="0.3">
      <c r="A1523" s="572"/>
      <c r="B1523" s="574"/>
      <c r="C1523" s="589"/>
      <c r="D1523" s="600"/>
      <c r="E1523" s="578"/>
      <c r="F1523" s="578"/>
      <c r="G1523" s="581"/>
    </row>
    <row r="1524" spans="1:7" ht="15.75" thickBot="1" x14ac:dyDescent="0.3">
      <c r="A1524" s="425">
        <v>1</v>
      </c>
      <c r="B1524" s="425">
        <v>2</v>
      </c>
      <c r="C1524" s="425">
        <v>3</v>
      </c>
      <c r="D1524" s="425">
        <v>4</v>
      </c>
      <c r="E1524" s="425">
        <v>5</v>
      </c>
      <c r="F1524" s="425">
        <v>6</v>
      </c>
      <c r="G1524" s="425">
        <v>7</v>
      </c>
    </row>
    <row r="1525" spans="1:7" x14ac:dyDescent="0.25">
      <c r="A1525" s="320" t="str">
        <f t="shared" ref="A1525:A1539" si="49">$G$1518&amp;B1525</f>
        <v>II.3.1.2.02.0021</v>
      </c>
      <c r="B1525" s="320">
        <v>1</v>
      </c>
      <c r="C1525" s="339" t="str">
        <f>IFERROR(VLOOKUP(A1525,[3]DOORSCRIEFT!$A$2:$G$6834,2,FALSE),"")</f>
        <v/>
      </c>
      <c r="D1525" s="481" t="str">
        <f>IFERROR(VLOOKUP(A1525,[3]DOORSCRIEFT!$A$2:$G$6834,3,FALSE),"")</f>
        <v/>
      </c>
      <c r="E1525" s="480" t="str">
        <f>IFERROR(VLOOKUP(A1525,[3]DOORSCRIEFT!$A$2:$G$6834,4,FALSE),"")</f>
        <v/>
      </c>
      <c r="F1525" s="405" t="str">
        <f>IFERROR(VLOOKUP(A1525,[3]DOORSCRIEFT!$A$2:$G$6834,7,FALSE),"")</f>
        <v/>
      </c>
      <c r="G1525" s="322"/>
    </row>
    <row r="1526" spans="1:7" x14ac:dyDescent="0.25">
      <c r="A1526" s="321" t="str">
        <f t="shared" si="49"/>
        <v>II.3.1.2.02.0022</v>
      </c>
      <c r="B1526" s="321">
        <v>2</v>
      </c>
      <c r="C1526" s="339" t="str">
        <f>IFERROR(VLOOKUP(A1526,[3]DOORSCRIEFT!$A$2:$G$6834,2,FALSE),"")</f>
        <v/>
      </c>
      <c r="D1526" s="481" t="str">
        <f>IFERROR(VLOOKUP(A1526,[3]DOORSCRIEFT!$A$2:$G$6834,3,FALSE),"")</f>
        <v/>
      </c>
      <c r="E1526" s="480" t="str">
        <f>IFERROR(VLOOKUP(A1526,[3]DOORSCRIEFT!$A$2:$G$6834,4,FALSE),"")</f>
        <v/>
      </c>
      <c r="F1526" s="405" t="str">
        <f>IFERROR(VLOOKUP(A1526,[3]DOORSCRIEFT!$A$2:$G$6834,7,FALSE),"")</f>
        <v/>
      </c>
      <c r="G1526" s="315"/>
    </row>
    <row r="1527" spans="1:7" x14ac:dyDescent="0.25">
      <c r="A1527" s="321" t="str">
        <f t="shared" si="49"/>
        <v>II.3.1.2.02.0023</v>
      </c>
      <c r="B1527" s="321">
        <v>3</v>
      </c>
      <c r="C1527" s="339" t="str">
        <f>IFERROR(VLOOKUP(A1527,[3]DOORSCRIEFT!$A$2:$G$6834,2,FALSE),"")</f>
        <v/>
      </c>
      <c r="D1527" s="481" t="str">
        <f>IFERROR(VLOOKUP(A1527,[3]DOORSCRIEFT!$A$2:$G$6834,3,FALSE),"")</f>
        <v/>
      </c>
      <c r="E1527" s="480" t="str">
        <f>IFERROR(VLOOKUP(A1527,[3]DOORSCRIEFT!$A$2:$G$6834,4,FALSE),"")</f>
        <v/>
      </c>
      <c r="F1527" s="405" t="str">
        <f>IFERROR(VLOOKUP(A1527,[3]DOORSCRIEFT!$A$2:$G$6834,7,FALSE),"")</f>
        <v/>
      </c>
      <c r="G1527" s="315"/>
    </row>
    <row r="1528" spans="1:7" x14ac:dyDescent="0.25">
      <c r="A1528" s="321" t="str">
        <f t="shared" si="49"/>
        <v>II.3.1.2.02.0024</v>
      </c>
      <c r="B1528" s="321">
        <v>4</v>
      </c>
      <c r="C1528" s="339" t="str">
        <f>IFERROR(VLOOKUP(A1528,[3]DOORSCRIEFT!$A$2:$G$6834,2,FALSE),"")</f>
        <v/>
      </c>
      <c r="D1528" s="481" t="str">
        <f>IFERROR(VLOOKUP(A1528,[3]DOORSCRIEFT!$A$2:$G$6834,3,FALSE),"")</f>
        <v/>
      </c>
      <c r="E1528" s="480" t="str">
        <f>IFERROR(VLOOKUP(A1528,[3]DOORSCRIEFT!$A$2:$G$6834,4,FALSE),"")</f>
        <v/>
      </c>
      <c r="F1528" s="405" t="str">
        <f>IFERROR(VLOOKUP(A1528,[3]DOORSCRIEFT!$A$2:$G$6834,7,FALSE),"")</f>
        <v/>
      </c>
      <c r="G1528" s="315"/>
    </row>
    <row r="1529" spans="1:7" x14ac:dyDescent="0.25">
      <c r="A1529" s="321" t="str">
        <f t="shared" si="49"/>
        <v>II.3.1.2.02.0025</v>
      </c>
      <c r="B1529" s="321">
        <v>5</v>
      </c>
      <c r="C1529" s="339" t="str">
        <f>IFERROR(VLOOKUP(A1529,[3]DOORSCRIEFT!$A$2:$G$6834,2,FALSE),"")</f>
        <v/>
      </c>
      <c r="D1529" s="481" t="str">
        <f>IFERROR(VLOOKUP(A1529,[3]DOORSCRIEFT!$A$2:$G$6834,3,FALSE),"")</f>
        <v/>
      </c>
      <c r="E1529" s="480" t="str">
        <f>IFERROR(VLOOKUP(A1529,[3]DOORSCRIEFT!$A$2:$G$6834,4,FALSE),"")</f>
        <v/>
      </c>
      <c r="F1529" s="405" t="str">
        <f>IFERROR(VLOOKUP(A1529,[3]DOORSCRIEFT!$A$2:$G$6834,7,FALSE),"")</f>
        <v/>
      </c>
      <c r="G1529" s="315"/>
    </row>
    <row r="1530" spans="1:7" x14ac:dyDescent="0.25">
      <c r="A1530" s="321" t="str">
        <f t="shared" si="49"/>
        <v>II.3.1.2.02.0026</v>
      </c>
      <c r="B1530" s="321">
        <v>6</v>
      </c>
      <c r="C1530" s="339" t="str">
        <f>IFERROR(VLOOKUP(A1530,[3]DOORSCRIEFT!$A$2:$G$6834,2,FALSE),"")</f>
        <v/>
      </c>
      <c r="D1530" s="481" t="str">
        <f>IFERROR(VLOOKUP(A1530,[3]DOORSCRIEFT!$A$2:$G$6834,3,FALSE),"")</f>
        <v/>
      </c>
      <c r="E1530" s="480" t="str">
        <f>IFERROR(VLOOKUP(A1530,[3]DOORSCRIEFT!$A$2:$G$6834,4,FALSE),"")</f>
        <v/>
      </c>
      <c r="F1530" s="405" t="str">
        <f>IFERROR(VLOOKUP(A1530,[3]DOORSCRIEFT!$A$2:$G$6834,7,FALSE),"")</f>
        <v/>
      </c>
      <c r="G1530" s="315"/>
    </row>
    <row r="1531" spans="1:7" x14ac:dyDescent="0.25">
      <c r="A1531" s="321" t="str">
        <f t="shared" si="49"/>
        <v>II.3.1.2.02.0027</v>
      </c>
      <c r="B1531" s="321">
        <v>7</v>
      </c>
      <c r="C1531" s="339" t="str">
        <f>IFERROR(VLOOKUP(A1531,[3]DOORSCRIEFT!$A$2:$G$6834,2,FALSE),"")</f>
        <v/>
      </c>
      <c r="D1531" s="481" t="str">
        <f>IFERROR(VLOOKUP(A1531,[3]DOORSCRIEFT!$A$2:$G$6834,3,FALSE),"")</f>
        <v/>
      </c>
      <c r="E1531" s="480" t="str">
        <f>IFERROR(VLOOKUP(A1531,[3]DOORSCRIEFT!$A$2:$G$6834,4,FALSE),"")</f>
        <v/>
      </c>
      <c r="F1531" s="405" t="str">
        <f>IFERROR(VLOOKUP(A1531,[3]DOORSCRIEFT!$A$2:$G$6834,7,FALSE),"")</f>
        <v/>
      </c>
      <c r="G1531" s="315"/>
    </row>
    <row r="1532" spans="1:7" x14ac:dyDescent="0.25">
      <c r="A1532" s="321" t="str">
        <f t="shared" si="49"/>
        <v>II.3.1.2.02.0028</v>
      </c>
      <c r="B1532" s="321">
        <v>8</v>
      </c>
      <c r="C1532" s="339" t="str">
        <f>IFERROR(VLOOKUP(A1532,[3]DOORSCRIEFT!$A$2:$G$6834,2,FALSE),"")</f>
        <v/>
      </c>
      <c r="D1532" s="481" t="str">
        <f>IFERROR(VLOOKUP(A1532,[3]DOORSCRIEFT!$A$2:$G$6834,3,FALSE),"")</f>
        <v/>
      </c>
      <c r="E1532" s="480" t="str">
        <f>IFERROR(VLOOKUP(A1532,[3]DOORSCRIEFT!$A$2:$G$6834,4,FALSE),"")</f>
        <v/>
      </c>
      <c r="F1532" s="405" t="str">
        <f>IFERROR(VLOOKUP(A1532,[3]DOORSCRIEFT!$A$2:$G$6834,7,FALSE),"")</f>
        <v/>
      </c>
      <c r="G1532" s="315"/>
    </row>
    <row r="1533" spans="1:7" x14ac:dyDescent="0.25">
      <c r="A1533" s="321" t="str">
        <f t="shared" si="49"/>
        <v>II.3.1.2.02.0029</v>
      </c>
      <c r="B1533" s="321">
        <v>9</v>
      </c>
      <c r="C1533" s="339" t="str">
        <f>IFERROR(VLOOKUP(A1533,[3]DOORSCRIEFT!$A$2:$G$6834,2,FALSE),"")</f>
        <v/>
      </c>
      <c r="D1533" s="481" t="str">
        <f>IFERROR(VLOOKUP(A1533,[3]DOORSCRIEFT!$A$2:$G$6834,3,FALSE),"")</f>
        <v/>
      </c>
      <c r="E1533" s="480" t="str">
        <f>IFERROR(VLOOKUP(A1533,[3]DOORSCRIEFT!$A$2:$G$6834,4,FALSE),"")</f>
        <v/>
      </c>
      <c r="F1533" s="405" t="str">
        <f>IFERROR(VLOOKUP(A1533,[3]DOORSCRIEFT!$A$2:$G$6834,7,FALSE),"")</f>
        <v/>
      </c>
      <c r="G1533" s="315"/>
    </row>
    <row r="1534" spans="1:7" x14ac:dyDescent="0.25">
      <c r="A1534" s="321" t="str">
        <f t="shared" si="49"/>
        <v>II.3.1.2.02.00210</v>
      </c>
      <c r="B1534" s="321">
        <v>10</v>
      </c>
      <c r="C1534" s="339" t="str">
        <f>IFERROR(VLOOKUP(A1534,[3]DOORSCRIEFT!$A$2:$G$6834,2,FALSE),"")</f>
        <v/>
      </c>
      <c r="D1534" s="481" t="str">
        <f>IFERROR(VLOOKUP(A1534,[3]DOORSCRIEFT!$A$2:$G$6834,3,FALSE),"")</f>
        <v/>
      </c>
      <c r="E1534" s="480" t="str">
        <f>IFERROR(VLOOKUP(A1534,[3]DOORSCRIEFT!$A$2:$G$6834,4,FALSE),"")</f>
        <v/>
      </c>
      <c r="F1534" s="405" t="str">
        <f>IFERROR(VLOOKUP(A1534,[3]DOORSCRIEFT!$A$2:$G$6834,7,FALSE),"")</f>
        <v/>
      </c>
      <c r="G1534" s="315"/>
    </row>
    <row r="1535" spans="1:7" x14ac:dyDescent="0.25">
      <c r="A1535" s="321" t="str">
        <f t="shared" si="49"/>
        <v>II.3.1.2.02.00211</v>
      </c>
      <c r="B1535" s="321">
        <v>11</v>
      </c>
      <c r="C1535" s="339" t="str">
        <f>IFERROR(VLOOKUP(A1535,[3]DOORSCRIEFT!$A$2:$G$6834,2,FALSE),"")</f>
        <v/>
      </c>
      <c r="D1535" s="481" t="str">
        <f>IFERROR(VLOOKUP(A1535,[3]DOORSCRIEFT!$A$2:$G$6834,3,FALSE),"")</f>
        <v/>
      </c>
      <c r="E1535" s="480" t="str">
        <f>IFERROR(VLOOKUP(A1535,[3]DOORSCRIEFT!$A$2:$G$6834,4,FALSE),"")</f>
        <v/>
      </c>
      <c r="F1535" s="405" t="str">
        <f>IFERROR(VLOOKUP(A1535,[3]DOORSCRIEFT!$A$2:$G$6834,7,FALSE),"")</f>
        <v/>
      </c>
      <c r="G1535" s="315"/>
    </row>
    <row r="1536" spans="1:7" x14ac:dyDescent="0.25">
      <c r="A1536" s="321" t="str">
        <f t="shared" si="49"/>
        <v>II.3.1.2.02.00212</v>
      </c>
      <c r="B1536" s="321">
        <v>12</v>
      </c>
      <c r="C1536" s="339" t="str">
        <f>IFERROR(VLOOKUP(A1536,[3]DOORSCRIEFT!$A$2:$G$6834,2,FALSE),"")</f>
        <v/>
      </c>
      <c r="D1536" s="481" t="str">
        <f>IFERROR(VLOOKUP(A1536,[3]DOORSCRIEFT!$A$2:$G$6834,3,FALSE),"")</f>
        <v/>
      </c>
      <c r="E1536" s="480" t="str">
        <f>IFERROR(VLOOKUP(A1536,[3]DOORSCRIEFT!$A$2:$G$6834,4,FALSE),"")</f>
        <v/>
      </c>
      <c r="F1536" s="405" t="str">
        <f>IFERROR(VLOOKUP(A1536,[3]DOORSCRIEFT!$A$2:$G$6834,7,FALSE),"")</f>
        <v/>
      </c>
      <c r="G1536" s="315"/>
    </row>
    <row r="1537" spans="1:7" x14ac:dyDescent="0.25">
      <c r="A1537" s="321" t="str">
        <f t="shared" si="49"/>
        <v>II.3.1.2.02.00213</v>
      </c>
      <c r="B1537" s="321">
        <v>13</v>
      </c>
      <c r="C1537" s="339" t="str">
        <f>IFERROR(VLOOKUP(A1537,[3]DOORSCRIEFT!$A$2:$G$6834,2,FALSE),"")</f>
        <v/>
      </c>
      <c r="D1537" s="481" t="str">
        <f>IFERROR(VLOOKUP(A1537,[3]DOORSCRIEFT!$A$2:$G$6834,3,FALSE),"")</f>
        <v/>
      </c>
      <c r="E1537" s="480" t="str">
        <f>IFERROR(VLOOKUP(A1537,[3]DOORSCRIEFT!$A$2:$G$6834,4,FALSE),"")</f>
        <v/>
      </c>
      <c r="F1537" s="405" t="str">
        <f>IFERROR(VLOOKUP(A1537,[3]DOORSCRIEFT!$A$2:$G$6834,7,FALSE),"")</f>
        <v/>
      </c>
      <c r="G1537" s="315"/>
    </row>
    <row r="1538" spans="1:7" x14ac:dyDescent="0.25">
      <c r="A1538" s="321" t="str">
        <f t="shared" si="49"/>
        <v>II.3.1.2.02.00214</v>
      </c>
      <c r="B1538" s="321">
        <v>14</v>
      </c>
      <c r="C1538" s="339" t="str">
        <f>IFERROR(VLOOKUP(A1538,[3]DOORSCRIEFT!$A$2:$G$6834,2,FALSE),"")</f>
        <v/>
      </c>
      <c r="D1538" s="481" t="str">
        <f>IFERROR(VLOOKUP(A1538,[3]DOORSCRIEFT!$A$2:$G$6834,3,FALSE),"")</f>
        <v/>
      </c>
      <c r="E1538" s="480" t="str">
        <f>IFERROR(VLOOKUP(A1538,[3]DOORSCRIEFT!$A$2:$G$6834,4,FALSE),"")</f>
        <v/>
      </c>
      <c r="F1538" s="405" t="str">
        <f>IFERROR(VLOOKUP(A1538,[3]DOORSCRIEFT!$A$2:$G$6834,7,FALSE),"")</f>
        <v/>
      </c>
      <c r="G1538" s="315"/>
    </row>
    <row r="1539" spans="1:7" ht="15.75" thickBot="1" x14ac:dyDescent="0.3">
      <c r="A1539" s="342" t="str">
        <f t="shared" si="49"/>
        <v>II.3.1.2.02.00215</v>
      </c>
      <c r="B1539" s="342">
        <v>15</v>
      </c>
      <c r="C1539" s="339" t="str">
        <f>IFERROR(VLOOKUP(A1539,[3]DOORSCRIEFT!$A$2:$G$6834,2,FALSE),"")</f>
        <v/>
      </c>
      <c r="D1539" s="481" t="str">
        <f>IFERROR(VLOOKUP(A1539,[3]DOORSCRIEFT!$A$2:$G$6834,3,FALSE),"")</f>
        <v/>
      </c>
      <c r="E1539" s="480" t="str">
        <f>IFERROR(VLOOKUP(A1539,[3]DOORSCRIEFT!$A$2:$G$6834,4,FALSE),"")</f>
        <v/>
      </c>
      <c r="F1539" s="405" t="str">
        <f>IFERROR(VLOOKUP(A1539,[3]DOORSCRIEFT!$A$2:$G$6834,7,FALSE),"")</f>
        <v/>
      </c>
      <c r="G1539" s="315"/>
    </row>
    <row r="1540" spans="1:7" ht="15.75" thickBot="1" x14ac:dyDescent="0.3">
      <c r="A1540" s="341"/>
      <c r="B1540" s="340"/>
      <c r="C1540" s="336"/>
      <c r="D1540" s="486"/>
      <c r="E1540" s="340" t="s">
        <v>644</v>
      </c>
      <c r="F1540" s="310">
        <f>SUM(F1525:F1539)</f>
        <v>0</v>
      </c>
      <c r="G1540" s="309">
        <f>SUM(G1525:G1539)</f>
        <v>0</v>
      </c>
    </row>
    <row r="1541" spans="1:7" x14ac:dyDescent="0.25">
      <c r="C1541" s="335"/>
      <c r="D1541" s="485"/>
    </row>
    <row r="1542" spans="1:7" x14ac:dyDescent="0.25">
      <c r="C1542" s="335"/>
      <c r="D1542" s="485"/>
    </row>
    <row r="1543" spans="1:7" ht="15.75" x14ac:dyDescent="0.25">
      <c r="C1543" s="334" t="s">
        <v>663</v>
      </c>
      <c r="D1543" s="484"/>
      <c r="E1543" s="333"/>
      <c r="F1543" s="327" t="s">
        <v>607</v>
      </c>
      <c r="G1543" s="327" t="s">
        <v>138</v>
      </c>
    </row>
    <row r="1544" spans="1:7" ht="15.75" x14ac:dyDescent="0.25">
      <c r="C1544" s="334"/>
      <c r="D1544" s="484"/>
      <c r="E1544" s="333"/>
      <c r="F1544" s="327" t="s">
        <v>601</v>
      </c>
      <c r="G1544" s="327" t="s">
        <v>137</v>
      </c>
    </row>
    <row r="1545" spans="1:7" x14ac:dyDescent="0.25">
      <c r="C1545" s="330"/>
      <c r="D1545" s="482"/>
      <c r="E1545" s="329"/>
      <c r="F1545" s="327" t="s">
        <v>651</v>
      </c>
      <c r="G1545" s="331">
        <f>[2]Sheet1!$D$455</f>
        <v>0</v>
      </c>
    </row>
    <row r="1546" spans="1:7" ht="15.75" thickBot="1" x14ac:dyDescent="0.3">
      <c r="C1546" s="330"/>
      <c r="D1546" s="482"/>
      <c r="E1546" s="329"/>
      <c r="F1546" s="327" t="s">
        <v>650</v>
      </c>
      <c r="G1546" s="326">
        <f>+F1565-G1545</f>
        <v>0</v>
      </c>
    </row>
    <row r="1547" spans="1:7" x14ac:dyDescent="0.25">
      <c r="A1547" s="571" t="s">
        <v>655</v>
      </c>
      <c r="B1547" s="573" t="s">
        <v>606</v>
      </c>
      <c r="C1547" s="588" t="s">
        <v>649</v>
      </c>
      <c r="D1547" s="599" t="s">
        <v>648</v>
      </c>
      <c r="E1547" s="577" t="s">
        <v>647</v>
      </c>
      <c r="F1547" s="577" t="s">
        <v>646</v>
      </c>
      <c r="G1547" s="580" t="s">
        <v>645</v>
      </c>
    </row>
    <row r="1548" spans="1:7" ht="15.75" thickBot="1" x14ac:dyDescent="0.3">
      <c r="A1548" s="572"/>
      <c r="B1548" s="574"/>
      <c r="C1548" s="589"/>
      <c r="D1548" s="600"/>
      <c r="E1548" s="578"/>
      <c r="F1548" s="578"/>
      <c r="G1548" s="581"/>
    </row>
    <row r="1549" spans="1:7" ht="15.75" thickBot="1" x14ac:dyDescent="0.3">
      <c r="A1549" s="425">
        <v>1</v>
      </c>
      <c r="B1549" s="425">
        <v>2</v>
      </c>
      <c r="C1549" s="425">
        <v>3</v>
      </c>
      <c r="D1549" s="425">
        <v>4</v>
      </c>
      <c r="E1549" s="425">
        <v>5</v>
      </c>
      <c r="F1549" s="425">
        <v>6</v>
      </c>
      <c r="G1549" s="425">
        <v>7</v>
      </c>
    </row>
    <row r="1550" spans="1:7" x14ac:dyDescent="0.25">
      <c r="A1550" s="320" t="str">
        <f t="shared" ref="A1550:A1564" si="50">$G$1543&amp;B1550</f>
        <v>II.3.1.2.02.0031</v>
      </c>
      <c r="B1550" s="320">
        <v>1</v>
      </c>
      <c r="C1550" s="339" t="str">
        <f>IFERROR(VLOOKUP(A1550,[3]DOORSCRIEFT!$A$2:$G$6834,2,FALSE),"")</f>
        <v/>
      </c>
      <c r="D1550" s="481" t="str">
        <f>IFERROR(VLOOKUP(A1550,[3]DOORSCRIEFT!$A$2:$G$6834,3,FALSE),"")</f>
        <v/>
      </c>
      <c r="E1550" s="480" t="str">
        <f>IFERROR(VLOOKUP(A1550,[3]DOORSCRIEFT!$A$2:$G$6834,4,FALSE),"")</f>
        <v/>
      </c>
      <c r="F1550" s="405" t="str">
        <f>IFERROR(VLOOKUP(A1550,[3]DOORSCRIEFT!$A$2:$G$6834,7,FALSE),"")</f>
        <v/>
      </c>
      <c r="G1550" s="322"/>
    </row>
    <row r="1551" spans="1:7" x14ac:dyDescent="0.25">
      <c r="A1551" s="321" t="str">
        <f t="shared" si="50"/>
        <v>II.3.1.2.02.0032</v>
      </c>
      <c r="B1551" s="321">
        <v>2</v>
      </c>
      <c r="C1551" s="339" t="str">
        <f>IFERROR(VLOOKUP(A1551,[3]DOORSCRIEFT!$A$2:$G$6834,2,FALSE),"")</f>
        <v/>
      </c>
      <c r="D1551" s="481" t="str">
        <f>IFERROR(VLOOKUP(A1551,[3]DOORSCRIEFT!$A$2:$G$6834,3,FALSE),"")</f>
        <v/>
      </c>
      <c r="E1551" s="480" t="str">
        <f>IFERROR(VLOOKUP(A1551,[3]DOORSCRIEFT!$A$2:$G$6834,4,FALSE),"")</f>
        <v/>
      </c>
      <c r="F1551" s="405" t="str">
        <f>IFERROR(VLOOKUP(A1551,[3]DOORSCRIEFT!$A$2:$G$6834,7,FALSE),"")</f>
        <v/>
      </c>
      <c r="G1551" s="315"/>
    </row>
    <row r="1552" spans="1:7" x14ac:dyDescent="0.25">
      <c r="A1552" s="321" t="str">
        <f t="shared" si="50"/>
        <v>II.3.1.2.02.0033</v>
      </c>
      <c r="B1552" s="321">
        <v>3</v>
      </c>
      <c r="C1552" s="339" t="str">
        <f>IFERROR(VLOOKUP(A1552,[3]DOORSCRIEFT!$A$2:$G$6834,2,FALSE),"")</f>
        <v/>
      </c>
      <c r="D1552" s="481" t="str">
        <f>IFERROR(VLOOKUP(A1552,[3]DOORSCRIEFT!$A$2:$G$6834,3,FALSE),"")</f>
        <v/>
      </c>
      <c r="E1552" s="480" t="str">
        <f>IFERROR(VLOOKUP(A1552,[3]DOORSCRIEFT!$A$2:$G$6834,4,FALSE),"")</f>
        <v/>
      </c>
      <c r="F1552" s="405" t="str">
        <f>IFERROR(VLOOKUP(A1552,[3]DOORSCRIEFT!$A$2:$G$6834,7,FALSE),"")</f>
        <v/>
      </c>
      <c r="G1552" s="315"/>
    </row>
    <row r="1553" spans="1:7" x14ac:dyDescent="0.25">
      <c r="A1553" s="321" t="str">
        <f t="shared" si="50"/>
        <v>II.3.1.2.02.0034</v>
      </c>
      <c r="B1553" s="321">
        <v>4</v>
      </c>
      <c r="C1553" s="339" t="str">
        <f>IFERROR(VLOOKUP(A1553,[3]DOORSCRIEFT!$A$2:$G$6834,2,FALSE),"")</f>
        <v/>
      </c>
      <c r="D1553" s="481" t="str">
        <f>IFERROR(VLOOKUP(A1553,[3]DOORSCRIEFT!$A$2:$G$6834,3,FALSE),"")</f>
        <v/>
      </c>
      <c r="E1553" s="480" t="str">
        <f>IFERROR(VLOOKUP(A1553,[3]DOORSCRIEFT!$A$2:$G$6834,4,FALSE),"")</f>
        <v/>
      </c>
      <c r="F1553" s="405" t="str">
        <f>IFERROR(VLOOKUP(A1553,[3]DOORSCRIEFT!$A$2:$G$6834,7,FALSE),"")</f>
        <v/>
      </c>
      <c r="G1553" s="315"/>
    </row>
    <row r="1554" spans="1:7" x14ac:dyDescent="0.25">
      <c r="A1554" s="321" t="str">
        <f t="shared" si="50"/>
        <v>II.3.1.2.02.0035</v>
      </c>
      <c r="B1554" s="321">
        <v>5</v>
      </c>
      <c r="C1554" s="339" t="str">
        <f>IFERROR(VLOOKUP(A1554,[3]DOORSCRIEFT!$A$2:$G$6834,2,FALSE),"")</f>
        <v/>
      </c>
      <c r="D1554" s="481" t="str">
        <f>IFERROR(VLOOKUP(A1554,[3]DOORSCRIEFT!$A$2:$G$6834,3,FALSE),"")</f>
        <v/>
      </c>
      <c r="E1554" s="480" t="str">
        <f>IFERROR(VLOOKUP(A1554,[3]DOORSCRIEFT!$A$2:$G$6834,4,FALSE),"")</f>
        <v/>
      </c>
      <c r="F1554" s="405" t="str">
        <f>IFERROR(VLOOKUP(A1554,[3]DOORSCRIEFT!$A$2:$G$6834,7,FALSE),"")</f>
        <v/>
      </c>
      <c r="G1554" s="315"/>
    </row>
    <row r="1555" spans="1:7" x14ac:dyDescent="0.25">
      <c r="A1555" s="321" t="str">
        <f t="shared" si="50"/>
        <v>II.3.1.2.02.0036</v>
      </c>
      <c r="B1555" s="321">
        <v>6</v>
      </c>
      <c r="C1555" s="339" t="str">
        <f>IFERROR(VLOOKUP(A1555,[3]DOORSCRIEFT!$A$2:$G$6834,2,FALSE),"")</f>
        <v/>
      </c>
      <c r="D1555" s="481" t="str">
        <f>IFERROR(VLOOKUP(A1555,[3]DOORSCRIEFT!$A$2:$G$6834,3,FALSE),"")</f>
        <v/>
      </c>
      <c r="E1555" s="480" t="str">
        <f>IFERROR(VLOOKUP(A1555,[3]DOORSCRIEFT!$A$2:$G$6834,4,FALSE),"")</f>
        <v/>
      </c>
      <c r="F1555" s="405" t="str">
        <f>IFERROR(VLOOKUP(A1555,[3]DOORSCRIEFT!$A$2:$G$6834,7,FALSE),"")</f>
        <v/>
      </c>
      <c r="G1555" s="315"/>
    </row>
    <row r="1556" spans="1:7" x14ac:dyDescent="0.25">
      <c r="A1556" s="321" t="str">
        <f t="shared" si="50"/>
        <v>II.3.1.2.02.0037</v>
      </c>
      <c r="B1556" s="321">
        <v>7</v>
      </c>
      <c r="C1556" s="339" t="str">
        <f>IFERROR(VLOOKUP(A1556,[3]DOORSCRIEFT!$A$2:$G$6834,2,FALSE),"")</f>
        <v/>
      </c>
      <c r="D1556" s="481" t="str">
        <f>IFERROR(VLOOKUP(A1556,[3]DOORSCRIEFT!$A$2:$G$6834,3,FALSE),"")</f>
        <v/>
      </c>
      <c r="E1556" s="480" t="str">
        <f>IFERROR(VLOOKUP(A1556,[3]DOORSCRIEFT!$A$2:$G$6834,4,FALSE),"")</f>
        <v/>
      </c>
      <c r="F1556" s="405" t="str">
        <f>IFERROR(VLOOKUP(A1556,[3]DOORSCRIEFT!$A$2:$G$6834,7,FALSE),"")</f>
        <v/>
      </c>
      <c r="G1556" s="315"/>
    </row>
    <row r="1557" spans="1:7" x14ac:dyDescent="0.25">
      <c r="A1557" s="321" t="str">
        <f t="shared" si="50"/>
        <v>II.3.1.2.02.0038</v>
      </c>
      <c r="B1557" s="321">
        <v>8</v>
      </c>
      <c r="C1557" s="339" t="str">
        <f>IFERROR(VLOOKUP(A1557,[3]DOORSCRIEFT!$A$2:$G$6834,2,FALSE),"")</f>
        <v/>
      </c>
      <c r="D1557" s="481" t="str">
        <f>IFERROR(VLOOKUP(A1557,[3]DOORSCRIEFT!$A$2:$G$6834,3,FALSE),"")</f>
        <v/>
      </c>
      <c r="E1557" s="480" t="str">
        <f>IFERROR(VLOOKUP(A1557,[3]DOORSCRIEFT!$A$2:$G$6834,4,FALSE),"")</f>
        <v/>
      </c>
      <c r="F1557" s="405" t="str">
        <f>IFERROR(VLOOKUP(A1557,[3]DOORSCRIEFT!$A$2:$G$6834,7,FALSE),"")</f>
        <v/>
      </c>
      <c r="G1557" s="315"/>
    </row>
    <row r="1558" spans="1:7" x14ac:dyDescent="0.25">
      <c r="A1558" s="321" t="str">
        <f t="shared" si="50"/>
        <v>II.3.1.2.02.0039</v>
      </c>
      <c r="B1558" s="321">
        <v>9</v>
      </c>
      <c r="C1558" s="339" t="str">
        <f>IFERROR(VLOOKUP(A1558,[3]DOORSCRIEFT!$A$2:$G$6834,2,FALSE),"")</f>
        <v/>
      </c>
      <c r="D1558" s="481" t="str">
        <f>IFERROR(VLOOKUP(A1558,[3]DOORSCRIEFT!$A$2:$G$6834,3,FALSE),"")</f>
        <v/>
      </c>
      <c r="E1558" s="480" t="str">
        <f>IFERROR(VLOOKUP(A1558,[3]DOORSCRIEFT!$A$2:$G$6834,4,FALSE),"")</f>
        <v/>
      </c>
      <c r="F1558" s="405" t="str">
        <f>IFERROR(VLOOKUP(A1558,[3]DOORSCRIEFT!$A$2:$G$6834,7,FALSE),"")</f>
        <v/>
      </c>
      <c r="G1558" s="315"/>
    </row>
    <row r="1559" spans="1:7" x14ac:dyDescent="0.25">
      <c r="A1559" s="321" t="str">
        <f t="shared" si="50"/>
        <v>II.3.1.2.02.00310</v>
      </c>
      <c r="B1559" s="321">
        <v>10</v>
      </c>
      <c r="C1559" s="339" t="str">
        <f>IFERROR(VLOOKUP(A1559,[3]DOORSCRIEFT!$A$2:$G$6834,2,FALSE),"")</f>
        <v/>
      </c>
      <c r="D1559" s="481" t="str">
        <f>IFERROR(VLOOKUP(A1559,[3]DOORSCRIEFT!$A$2:$G$6834,3,FALSE),"")</f>
        <v/>
      </c>
      <c r="E1559" s="480" t="str">
        <f>IFERROR(VLOOKUP(A1559,[3]DOORSCRIEFT!$A$2:$G$6834,4,FALSE),"")</f>
        <v/>
      </c>
      <c r="F1559" s="405" t="str">
        <f>IFERROR(VLOOKUP(A1559,[3]DOORSCRIEFT!$A$2:$G$6834,7,FALSE),"")</f>
        <v/>
      </c>
      <c r="G1559" s="315"/>
    </row>
    <row r="1560" spans="1:7" x14ac:dyDescent="0.25">
      <c r="A1560" s="321" t="str">
        <f t="shared" si="50"/>
        <v>II.3.1.2.02.00311</v>
      </c>
      <c r="B1560" s="321">
        <v>11</v>
      </c>
      <c r="C1560" s="339" t="str">
        <f>IFERROR(VLOOKUP(A1560,[3]DOORSCRIEFT!$A$2:$G$6834,2,FALSE),"")</f>
        <v/>
      </c>
      <c r="D1560" s="481" t="str">
        <f>IFERROR(VLOOKUP(A1560,[3]DOORSCRIEFT!$A$2:$G$6834,3,FALSE),"")</f>
        <v/>
      </c>
      <c r="E1560" s="480" t="str">
        <f>IFERROR(VLOOKUP(A1560,[3]DOORSCRIEFT!$A$2:$G$6834,4,FALSE),"")</f>
        <v/>
      </c>
      <c r="F1560" s="405" t="str">
        <f>IFERROR(VLOOKUP(A1560,[3]DOORSCRIEFT!$A$2:$G$6834,7,FALSE),"")</f>
        <v/>
      </c>
      <c r="G1560" s="315"/>
    </row>
    <row r="1561" spans="1:7" x14ac:dyDescent="0.25">
      <c r="A1561" s="321" t="str">
        <f t="shared" si="50"/>
        <v>II.3.1.2.02.00312</v>
      </c>
      <c r="B1561" s="321">
        <v>12</v>
      </c>
      <c r="C1561" s="339" t="str">
        <f>IFERROR(VLOOKUP(A1561,[3]DOORSCRIEFT!$A$2:$G$6834,2,FALSE),"")</f>
        <v/>
      </c>
      <c r="D1561" s="481" t="str">
        <f>IFERROR(VLOOKUP(A1561,[3]DOORSCRIEFT!$A$2:$G$6834,3,FALSE),"")</f>
        <v/>
      </c>
      <c r="E1561" s="480" t="str">
        <f>IFERROR(VLOOKUP(A1561,[3]DOORSCRIEFT!$A$2:$G$6834,4,FALSE),"")</f>
        <v/>
      </c>
      <c r="F1561" s="405" t="str">
        <f>IFERROR(VLOOKUP(A1561,[3]DOORSCRIEFT!$A$2:$G$6834,7,FALSE),"")</f>
        <v/>
      </c>
      <c r="G1561" s="315"/>
    </row>
    <row r="1562" spans="1:7" x14ac:dyDescent="0.25">
      <c r="A1562" s="321" t="str">
        <f t="shared" si="50"/>
        <v>II.3.1.2.02.00313</v>
      </c>
      <c r="B1562" s="321">
        <v>13</v>
      </c>
      <c r="C1562" s="339" t="str">
        <f>IFERROR(VLOOKUP(A1562,[3]DOORSCRIEFT!$A$2:$G$6834,2,FALSE),"")</f>
        <v/>
      </c>
      <c r="D1562" s="481" t="str">
        <f>IFERROR(VLOOKUP(A1562,[3]DOORSCRIEFT!$A$2:$G$6834,3,FALSE),"")</f>
        <v/>
      </c>
      <c r="E1562" s="480" t="str">
        <f>IFERROR(VLOOKUP(A1562,[3]DOORSCRIEFT!$A$2:$G$6834,4,FALSE),"")</f>
        <v/>
      </c>
      <c r="F1562" s="405" t="str">
        <f>IFERROR(VLOOKUP(A1562,[3]DOORSCRIEFT!$A$2:$G$6834,7,FALSE),"")</f>
        <v/>
      </c>
      <c r="G1562" s="315"/>
    </row>
    <row r="1563" spans="1:7" x14ac:dyDescent="0.25">
      <c r="A1563" s="321" t="str">
        <f t="shared" si="50"/>
        <v>II.3.1.2.02.00314</v>
      </c>
      <c r="B1563" s="321">
        <v>14</v>
      </c>
      <c r="C1563" s="339" t="str">
        <f>IFERROR(VLOOKUP(A1563,[3]DOORSCRIEFT!$A$2:$G$6834,2,FALSE),"")</f>
        <v/>
      </c>
      <c r="D1563" s="481" t="str">
        <f>IFERROR(VLOOKUP(A1563,[3]DOORSCRIEFT!$A$2:$G$6834,3,FALSE),"")</f>
        <v/>
      </c>
      <c r="E1563" s="480" t="str">
        <f>IFERROR(VLOOKUP(A1563,[3]DOORSCRIEFT!$A$2:$G$6834,4,FALSE),"")</f>
        <v/>
      </c>
      <c r="F1563" s="405" t="str">
        <f>IFERROR(VLOOKUP(A1563,[3]DOORSCRIEFT!$A$2:$G$6834,7,FALSE),"")</f>
        <v/>
      </c>
      <c r="G1563" s="315"/>
    </row>
    <row r="1564" spans="1:7" ht="15.75" thickBot="1" x14ac:dyDescent="0.3">
      <c r="A1564" s="342" t="str">
        <f t="shared" si="50"/>
        <v>II.3.1.2.02.00315</v>
      </c>
      <c r="B1564" s="342">
        <v>15</v>
      </c>
      <c r="C1564" s="339" t="str">
        <f>IFERROR(VLOOKUP(A1564,[3]DOORSCRIEFT!$A$2:$G$6834,2,FALSE),"")</f>
        <v/>
      </c>
      <c r="D1564" s="481" t="str">
        <f>IFERROR(VLOOKUP(A1564,[3]DOORSCRIEFT!$A$2:$G$6834,3,FALSE),"")</f>
        <v/>
      </c>
      <c r="E1564" s="480" t="str">
        <f>IFERROR(VLOOKUP(A1564,[3]DOORSCRIEFT!$A$2:$G$6834,4,FALSE),"")</f>
        <v/>
      </c>
      <c r="F1564" s="405" t="str">
        <f>IFERROR(VLOOKUP(A1564,[3]DOORSCRIEFT!$A$2:$G$6834,7,FALSE),"")</f>
        <v/>
      </c>
      <c r="G1564" s="315"/>
    </row>
    <row r="1565" spans="1:7" ht="15.75" thickBot="1" x14ac:dyDescent="0.3">
      <c r="A1565" s="341"/>
      <c r="B1565" s="340"/>
      <c r="C1565" s="336"/>
      <c r="D1565" s="486"/>
      <c r="E1565" s="340" t="s">
        <v>644</v>
      </c>
      <c r="F1565" s="310">
        <f>SUM(F1550:F1564)</f>
        <v>0</v>
      </c>
      <c r="G1565" s="309">
        <f>SUM(G1550:G1564)</f>
        <v>0</v>
      </c>
    </row>
    <row r="1566" spans="1:7" x14ac:dyDescent="0.25">
      <c r="C1566" s="335"/>
      <c r="D1566" s="485"/>
    </row>
    <row r="1567" spans="1:7" x14ac:dyDescent="0.25">
      <c r="C1567" s="335"/>
      <c r="D1567" s="485"/>
    </row>
    <row r="1568" spans="1:7" ht="15.75" x14ac:dyDescent="0.25">
      <c r="C1568" s="334" t="s">
        <v>663</v>
      </c>
      <c r="D1568" s="484"/>
      <c r="E1568" s="333"/>
      <c r="F1568" s="327" t="s">
        <v>607</v>
      </c>
      <c r="G1568" s="327" t="s">
        <v>136</v>
      </c>
    </row>
    <row r="1569" spans="1:7" ht="15.75" x14ac:dyDescent="0.25">
      <c r="C1569" s="334"/>
      <c r="D1569" s="484"/>
      <c r="E1569" s="333"/>
      <c r="F1569" s="327" t="s">
        <v>601</v>
      </c>
      <c r="G1569" s="327" t="s">
        <v>135</v>
      </c>
    </row>
    <row r="1570" spans="1:7" x14ac:dyDescent="0.25">
      <c r="C1570" s="330"/>
      <c r="D1570" s="482"/>
      <c r="E1570" s="329"/>
      <c r="F1570" s="327" t="s">
        <v>651</v>
      </c>
      <c r="G1570" s="331">
        <f>[2]Sheet1!$D$460</f>
        <v>0</v>
      </c>
    </row>
    <row r="1571" spans="1:7" ht="15.75" thickBot="1" x14ac:dyDescent="0.3">
      <c r="C1571" s="330"/>
      <c r="D1571" s="482"/>
      <c r="E1571" s="329"/>
      <c r="F1571" s="327" t="s">
        <v>650</v>
      </c>
      <c r="G1571" s="326">
        <f>+F1590-G1570</f>
        <v>0</v>
      </c>
    </row>
    <row r="1572" spans="1:7" x14ac:dyDescent="0.25">
      <c r="A1572" s="571" t="s">
        <v>655</v>
      </c>
      <c r="B1572" s="573" t="s">
        <v>606</v>
      </c>
      <c r="C1572" s="588" t="s">
        <v>649</v>
      </c>
      <c r="D1572" s="599" t="s">
        <v>648</v>
      </c>
      <c r="E1572" s="577" t="s">
        <v>647</v>
      </c>
      <c r="F1572" s="577" t="s">
        <v>646</v>
      </c>
      <c r="G1572" s="580" t="s">
        <v>645</v>
      </c>
    </row>
    <row r="1573" spans="1:7" ht="15.75" thickBot="1" x14ac:dyDescent="0.3">
      <c r="A1573" s="572"/>
      <c r="B1573" s="574"/>
      <c r="C1573" s="589"/>
      <c r="D1573" s="600"/>
      <c r="E1573" s="578"/>
      <c r="F1573" s="578"/>
      <c r="G1573" s="581"/>
    </row>
    <row r="1574" spans="1:7" ht="15.75" thickBot="1" x14ac:dyDescent="0.3">
      <c r="A1574" s="425">
        <v>1</v>
      </c>
      <c r="B1574" s="425">
        <v>2</v>
      </c>
      <c r="C1574" s="425">
        <v>3</v>
      </c>
      <c r="D1574" s="425">
        <v>4</v>
      </c>
      <c r="E1574" s="425">
        <v>5</v>
      </c>
      <c r="F1574" s="425">
        <v>6</v>
      </c>
      <c r="G1574" s="425">
        <v>7</v>
      </c>
    </row>
    <row r="1575" spans="1:7" x14ac:dyDescent="0.25">
      <c r="A1575" s="320" t="str">
        <f t="shared" ref="A1575:A1589" si="51">$G$1568&amp;B1575</f>
        <v>II.3.1.2.02.0041</v>
      </c>
      <c r="B1575" s="320">
        <v>1</v>
      </c>
      <c r="C1575" s="339" t="str">
        <f>IFERROR(VLOOKUP(A1575,[3]DOORSCRIEFT!$A$2:$G$6834,2,FALSE),"")</f>
        <v/>
      </c>
      <c r="D1575" s="481" t="str">
        <f>IFERROR(VLOOKUP(A1575,[3]DOORSCRIEFT!$A$2:$G$6834,3,FALSE),"")</f>
        <v/>
      </c>
      <c r="E1575" s="480" t="str">
        <f>IFERROR(VLOOKUP(A1575,[3]DOORSCRIEFT!$A$2:$G$6834,4,FALSE),"")</f>
        <v/>
      </c>
      <c r="F1575" s="405" t="str">
        <f>IFERROR(VLOOKUP(A1575,[3]DOORSCRIEFT!$A$2:$G$6834,7,FALSE),"")</f>
        <v/>
      </c>
      <c r="G1575" s="322"/>
    </row>
    <row r="1576" spans="1:7" x14ac:dyDescent="0.25">
      <c r="A1576" s="321" t="str">
        <f t="shared" si="51"/>
        <v>II.3.1.2.02.0042</v>
      </c>
      <c r="B1576" s="321">
        <v>2</v>
      </c>
      <c r="C1576" s="339" t="str">
        <f>IFERROR(VLOOKUP(A1576,[3]DOORSCRIEFT!$A$2:$G$6834,2,FALSE),"")</f>
        <v/>
      </c>
      <c r="D1576" s="481" t="str">
        <f>IFERROR(VLOOKUP(A1576,[3]DOORSCRIEFT!$A$2:$G$6834,3,FALSE),"")</f>
        <v/>
      </c>
      <c r="E1576" s="480" t="str">
        <f>IFERROR(VLOOKUP(A1576,[3]DOORSCRIEFT!$A$2:$G$6834,4,FALSE),"")</f>
        <v/>
      </c>
      <c r="F1576" s="405" t="str">
        <f>IFERROR(VLOOKUP(A1576,[3]DOORSCRIEFT!$A$2:$G$6834,7,FALSE),"")</f>
        <v/>
      </c>
      <c r="G1576" s="315"/>
    </row>
    <row r="1577" spans="1:7" x14ac:dyDescent="0.25">
      <c r="A1577" s="321" t="str">
        <f t="shared" si="51"/>
        <v>II.3.1.2.02.0043</v>
      </c>
      <c r="B1577" s="321">
        <v>3</v>
      </c>
      <c r="C1577" s="339" t="str">
        <f>IFERROR(VLOOKUP(A1577,[3]DOORSCRIEFT!$A$2:$G$6834,2,FALSE),"")</f>
        <v/>
      </c>
      <c r="D1577" s="481" t="str">
        <f>IFERROR(VLOOKUP(A1577,[3]DOORSCRIEFT!$A$2:$G$6834,3,FALSE),"")</f>
        <v/>
      </c>
      <c r="E1577" s="480" t="str">
        <f>IFERROR(VLOOKUP(A1577,[3]DOORSCRIEFT!$A$2:$G$6834,4,FALSE),"")</f>
        <v/>
      </c>
      <c r="F1577" s="405" t="str">
        <f>IFERROR(VLOOKUP(A1577,[3]DOORSCRIEFT!$A$2:$G$6834,7,FALSE),"")</f>
        <v/>
      </c>
      <c r="G1577" s="315"/>
    </row>
    <row r="1578" spans="1:7" x14ac:dyDescent="0.25">
      <c r="A1578" s="321" t="str">
        <f t="shared" si="51"/>
        <v>II.3.1.2.02.0044</v>
      </c>
      <c r="B1578" s="321">
        <v>4</v>
      </c>
      <c r="C1578" s="339" t="str">
        <f>IFERROR(VLOOKUP(A1578,[3]DOORSCRIEFT!$A$2:$G$6834,2,FALSE),"")</f>
        <v/>
      </c>
      <c r="D1578" s="481" t="str">
        <f>IFERROR(VLOOKUP(A1578,[3]DOORSCRIEFT!$A$2:$G$6834,3,FALSE),"")</f>
        <v/>
      </c>
      <c r="E1578" s="480" t="str">
        <f>IFERROR(VLOOKUP(A1578,[3]DOORSCRIEFT!$A$2:$G$6834,4,FALSE),"")</f>
        <v/>
      </c>
      <c r="F1578" s="405" t="str">
        <f>IFERROR(VLOOKUP(A1578,[3]DOORSCRIEFT!$A$2:$G$6834,7,FALSE),"")</f>
        <v/>
      </c>
      <c r="G1578" s="315"/>
    </row>
    <row r="1579" spans="1:7" x14ac:dyDescent="0.25">
      <c r="A1579" s="321" t="str">
        <f t="shared" si="51"/>
        <v>II.3.1.2.02.0045</v>
      </c>
      <c r="B1579" s="321">
        <v>5</v>
      </c>
      <c r="C1579" s="339" t="str">
        <f>IFERROR(VLOOKUP(A1579,[3]DOORSCRIEFT!$A$2:$G$6834,2,FALSE),"")</f>
        <v/>
      </c>
      <c r="D1579" s="481" t="str">
        <f>IFERROR(VLOOKUP(A1579,[3]DOORSCRIEFT!$A$2:$G$6834,3,FALSE),"")</f>
        <v/>
      </c>
      <c r="E1579" s="480" t="str">
        <f>IFERROR(VLOOKUP(A1579,[3]DOORSCRIEFT!$A$2:$G$6834,4,FALSE),"")</f>
        <v/>
      </c>
      <c r="F1579" s="405" t="str">
        <f>IFERROR(VLOOKUP(A1579,[3]DOORSCRIEFT!$A$2:$G$6834,7,FALSE),"")</f>
        <v/>
      </c>
      <c r="G1579" s="315"/>
    </row>
    <row r="1580" spans="1:7" x14ac:dyDescent="0.25">
      <c r="A1580" s="321" t="str">
        <f t="shared" si="51"/>
        <v>II.3.1.2.02.0046</v>
      </c>
      <c r="B1580" s="321">
        <v>6</v>
      </c>
      <c r="C1580" s="339" t="str">
        <f>IFERROR(VLOOKUP(A1580,[3]DOORSCRIEFT!$A$2:$G$6834,2,FALSE),"")</f>
        <v/>
      </c>
      <c r="D1580" s="481" t="str">
        <f>IFERROR(VLOOKUP(A1580,[3]DOORSCRIEFT!$A$2:$G$6834,3,FALSE),"")</f>
        <v/>
      </c>
      <c r="E1580" s="480" t="str">
        <f>IFERROR(VLOOKUP(A1580,[3]DOORSCRIEFT!$A$2:$G$6834,4,FALSE),"")</f>
        <v/>
      </c>
      <c r="F1580" s="405" t="str">
        <f>IFERROR(VLOOKUP(A1580,[3]DOORSCRIEFT!$A$2:$G$6834,7,FALSE),"")</f>
        <v/>
      </c>
      <c r="G1580" s="315"/>
    </row>
    <row r="1581" spans="1:7" x14ac:dyDescent="0.25">
      <c r="A1581" s="321" t="str">
        <f t="shared" si="51"/>
        <v>II.3.1.2.02.0047</v>
      </c>
      <c r="B1581" s="321">
        <v>7</v>
      </c>
      <c r="C1581" s="339" t="str">
        <f>IFERROR(VLOOKUP(A1581,[3]DOORSCRIEFT!$A$2:$G$6834,2,FALSE),"")</f>
        <v/>
      </c>
      <c r="D1581" s="481" t="str">
        <f>IFERROR(VLOOKUP(A1581,[3]DOORSCRIEFT!$A$2:$G$6834,3,FALSE),"")</f>
        <v/>
      </c>
      <c r="E1581" s="480" t="str">
        <f>IFERROR(VLOOKUP(A1581,[3]DOORSCRIEFT!$A$2:$G$6834,4,FALSE),"")</f>
        <v/>
      </c>
      <c r="F1581" s="405" t="str">
        <f>IFERROR(VLOOKUP(A1581,[3]DOORSCRIEFT!$A$2:$G$6834,7,FALSE),"")</f>
        <v/>
      </c>
      <c r="G1581" s="315"/>
    </row>
    <row r="1582" spans="1:7" x14ac:dyDescent="0.25">
      <c r="A1582" s="321" t="str">
        <f t="shared" si="51"/>
        <v>II.3.1.2.02.0048</v>
      </c>
      <c r="B1582" s="321">
        <v>8</v>
      </c>
      <c r="C1582" s="339" t="str">
        <f>IFERROR(VLOOKUP(A1582,[3]DOORSCRIEFT!$A$2:$G$6834,2,FALSE),"")</f>
        <v/>
      </c>
      <c r="D1582" s="481" t="str">
        <f>IFERROR(VLOOKUP(A1582,[3]DOORSCRIEFT!$A$2:$G$6834,3,FALSE),"")</f>
        <v/>
      </c>
      <c r="E1582" s="480" t="str">
        <f>IFERROR(VLOOKUP(A1582,[3]DOORSCRIEFT!$A$2:$G$6834,4,FALSE),"")</f>
        <v/>
      </c>
      <c r="F1582" s="405" t="str">
        <f>IFERROR(VLOOKUP(A1582,[3]DOORSCRIEFT!$A$2:$G$6834,7,FALSE),"")</f>
        <v/>
      </c>
      <c r="G1582" s="315"/>
    </row>
    <row r="1583" spans="1:7" x14ac:dyDescent="0.25">
      <c r="A1583" s="321" t="str">
        <f t="shared" si="51"/>
        <v>II.3.1.2.02.0049</v>
      </c>
      <c r="B1583" s="321">
        <v>9</v>
      </c>
      <c r="C1583" s="339" t="str">
        <f>IFERROR(VLOOKUP(A1583,[3]DOORSCRIEFT!$A$2:$G$6834,2,FALSE),"")</f>
        <v/>
      </c>
      <c r="D1583" s="481" t="str">
        <f>IFERROR(VLOOKUP(A1583,[3]DOORSCRIEFT!$A$2:$G$6834,3,FALSE),"")</f>
        <v/>
      </c>
      <c r="E1583" s="480" t="str">
        <f>IFERROR(VLOOKUP(A1583,[3]DOORSCRIEFT!$A$2:$G$6834,4,FALSE),"")</f>
        <v/>
      </c>
      <c r="F1583" s="405" t="str">
        <f>IFERROR(VLOOKUP(A1583,[3]DOORSCRIEFT!$A$2:$G$6834,7,FALSE),"")</f>
        <v/>
      </c>
      <c r="G1583" s="315"/>
    </row>
    <row r="1584" spans="1:7" x14ac:dyDescent="0.25">
      <c r="A1584" s="321" t="str">
        <f t="shared" si="51"/>
        <v>II.3.1.2.02.00410</v>
      </c>
      <c r="B1584" s="321">
        <v>10</v>
      </c>
      <c r="C1584" s="339" t="str">
        <f>IFERROR(VLOOKUP(A1584,[3]DOORSCRIEFT!$A$2:$G$6834,2,FALSE),"")</f>
        <v/>
      </c>
      <c r="D1584" s="481" t="str">
        <f>IFERROR(VLOOKUP(A1584,[3]DOORSCRIEFT!$A$2:$G$6834,3,FALSE),"")</f>
        <v/>
      </c>
      <c r="E1584" s="480" t="str">
        <f>IFERROR(VLOOKUP(A1584,[3]DOORSCRIEFT!$A$2:$G$6834,4,FALSE),"")</f>
        <v/>
      </c>
      <c r="F1584" s="405" t="str">
        <f>IFERROR(VLOOKUP(A1584,[3]DOORSCRIEFT!$A$2:$G$6834,7,FALSE),"")</f>
        <v/>
      </c>
      <c r="G1584" s="315"/>
    </row>
    <row r="1585" spans="1:7" x14ac:dyDescent="0.25">
      <c r="A1585" s="321" t="str">
        <f t="shared" si="51"/>
        <v>II.3.1.2.02.00411</v>
      </c>
      <c r="B1585" s="321">
        <v>11</v>
      </c>
      <c r="C1585" s="339" t="str">
        <f>IFERROR(VLOOKUP(A1585,[3]DOORSCRIEFT!$A$2:$G$6834,2,FALSE),"")</f>
        <v/>
      </c>
      <c r="D1585" s="481" t="str">
        <f>IFERROR(VLOOKUP(A1585,[3]DOORSCRIEFT!$A$2:$G$6834,3,FALSE),"")</f>
        <v/>
      </c>
      <c r="E1585" s="480" t="str">
        <f>IFERROR(VLOOKUP(A1585,[3]DOORSCRIEFT!$A$2:$G$6834,4,FALSE),"")</f>
        <v/>
      </c>
      <c r="F1585" s="405" t="str">
        <f>IFERROR(VLOOKUP(A1585,[3]DOORSCRIEFT!$A$2:$G$6834,7,FALSE),"")</f>
        <v/>
      </c>
      <c r="G1585" s="315"/>
    </row>
    <row r="1586" spans="1:7" x14ac:dyDescent="0.25">
      <c r="A1586" s="321" t="str">
        <f t="shared" si="51"/>
        <v>II.3.1.2.02.00412</v>
      </c>
      <c r="B1586" s="321">
        <v>12</v>
      </c>
      <c r="C1586" s="339" t="str">
        <f>IFERROR(VLOOKUP(A1586,[3]DOORSCRIEFT!$A$2:$G$6834,2,FALSE),"")</f>
        <v/>
      </c>
      <c r="D1586" s="481" t="str">
        <f>IFERROR(VLOOKUP(A1586,[3]DOORSCRIEFT!$A$2:$G$6834,3,FALSE),"")</f>
        <v/>
      </c>
      <c r="E1586" s="480" t="str">
        <f>IFERROR(VLOOKUP(A1586,[3]DOORSCRIEFT!$A$2:$G$6834,4,FALSE),"")</f>
        <v/>
      </c>
      <c r="F1586" s="405" t="str">
        <f>IFERROR(VLOOKUP(A1586,[3]DOORSCRIEFT!$A$2:$G$6834,7,FALSE),"")</f>
        <v/>
      </c>
      <c r="G1586" s="315"/>
    </row>
    <row r="1587" spans="1:7" x14ac:dyDescent="0.25">
      <c r="A1587" s="321" t="str">
        <f t="shared" si="51"/>
        <v>II.3.1.2.02.00413</v>
      </c>
      <c r="B1587" s="321">
        <v>13</v>
      </c>
      <c r="C1587" s="339" t="str">
        <f>IFERROR(VLOOKUP(A1587,[3]DOORSCRIEFT!$A$2:$G$6834,2,FALSE),"")</f>
        <v/>
      </c>
      <c r="D1587" s="481" t="str">
        <f>IFERROR(VLOOKUP(A1587,[3]DOORSCRIEFT!$A$2:$G$6834,3,FALSE),"")</f>
        <v/>
      </c>
      <c r="E1587" s="480" t="str">
        <f>IFERROR(VLOOKUP(A1587,[3]DOORSCRIEFT!$A$2:$G$6834,4,FALSE),"")</f>
        <v/>
      </c>
      <c r="F1587" s="405" t="str">
        <f>IFERROR(VLOOKUP(A1587,[3]DOORSCRIEFT!$A$2:$G$6834,7,FALSE),"")</f>
        <v/>
      </c>
      <c r="G1587" s="315"/>
    </row>
    <row r="1588" spans="1:7" x14ac:dyDescent="0.25">
      <c r="A1588" s="321" t="str">
        <f t="shared" si="51"/>
        <v>II.3.1.2.02.00414</v>
      </c>
      <c r="B1588" s="321">
        <v>14</v>
      </c>
      <c r="C1588" s="339" t="str">
        <f>IFERROR(VLOOKUP(A1588,[3]DOORSCRIEFT!$A$2:$G$6834,2,FALSE),"")</f>
        <v/>
      </c>
      <c r="D1588" s="481" t="str">
        <f>IFERROR(VLOOKUP(A1588,[3]DOORSCRIEFT!$A$2:$G$6834,3,FALSE),"")</f>
        <v/>
      </c>
      <c r="E1588" s="480" t="str">
        <f>IFERROR(VLOOKUP(A1588,[3]DOORSCRIEFT!$A$2:$G$6834,4,FALSE),"")</f>
        <v/>
      </c>
      <c r="F1588" s="405" t="str">
        <f>IFERROR(VLOOKUP(A1588,[3]DOORSCRIEFT!$A$2:$G$6834,7,FALSE),"")</f>
        <v/>
      </c>
      <c r="G1588" s="315"/>
    </row>
    <row r="1589" spans="1:7" ht="15.75" thickBot="1" x14ac:dyDescent="0.3">
      <c r="A1589" s="342" t="str">
        <f t="shared" si="51"/>
        <v>II.3.1.2.02.00415</v>
      </c>
      <c r="B1589" s="342">
        <v>15</v>
      </c>
      <c r="C1589" s="339" t="str">
        <f>IFERROR(VLOOKUP(A1589,[3]DOORSCRIEFT!$A$2:$G$6834,2,FALSE),"")</f>
        <v/>
      </c>
      <c r="D1589" s="481" t="str">
        <f>IFERROR(VLOOKUP(A1589,[3]DOORSCRIEFT!$A$2:$G$6834,3,FALSE),"")</f>
        <v/>
      </c>
      <c r="E1589" s="480" t="str">
        <f>IFERROR(VLOOKUP(A1589,[3]DOORSCRIEFT!$A$2:$G$6834,4,FALSE),"")</f>
        <v/>
      </c>
      <c r="F1589" s="405" t="str">
        <f>IFERROR(VLOOKUP(A1589,[3]DOORSCRIEFT!$A$2:$G$6834,7,FALSE),"")</f>
        <v/>
      </c>
      <c r="G1589" s="315"/>
    </row>
    <row r="1590" spans="1:7" ht="15.75" thickBot="1" x14ac:dyDescent="0.3">
      <c r="A1590" s="341"/>
      <c r="B1590" s="340"/>
      <c r="C1590" s="336"/>
      <c r="D1590" s="486"/>
      <c r="E1590" s="340" t="s">
        <v>644</v>
      </c>
      <c r="F1590" s="310">
        <f>SUM(F1575:F1589)</f>
        <v>0</v>
      </c>
      <c r="G1590" s="309">
        <f>SUM(G1575:G1589)</f>
        <v>0</v>
      </c>
    </row>
    <row r="1591" spans="1:7" x14ac:dyDescent="0.25">
      <c r="C1591" s="335"/>
      <c r="D1591" s="485"/>
    </row>
    <row r="1592" spans="1:7" x14ac:dyDescent="0.25">
      <c r="C1592" s="335"/>
      <c r="D1592" s="485"/>
    </row>
    <row r="1593" spans="1:7" ht="15.75" x14ac:dyDescent="0.25">
      <c r="C1593" s="334" t="s">
        <v>663</v>
      </c>
      <c r="D1593" s="484"/>
      <c r="E1593" s="333"/>
      <c r="F1593" s="327" t="s">
        <v>607</v>
      </c>
      <c r="G1593" s="327" t="s">
        <v>134</v>
      </c>
    </row>
    <row r="1594" spans="1:7" ht="15.75" x14ac:dyDescent="0.25">
      <c r="C1594" s="334"/>
      <c r="D1594" s="484"/>
      <c r="E1594" s="333"/>
      <c r="F1594" s="327" t="s">
        <v>601</v>
      </c>
      <c r="G1594" s="327" t="s">
        <v>133</v>
      </c>
    </row>
    <row r="1595" spans="1:7" x14ac:dyDescent="0.25">
      <c r="C1595" s="330"/>
      <c r="D1595" s="482"/>
      <c r="E1595" s="329"/>
      <c r="F1595" s="327" t="s">
        <v>651</v>
      </c>
      <c r="G1595" s="331">
        <f>[2]Sheet1!$D$461</f>
        <v>0</v>
      </c>
    </row>
    <row r="1596" spans="1:7" ht="15.75" thickBot="1" x14ac:dyDescent="0.3">
      <c r="C1596" s="330"/>
      <c r="D1596" s="482"/>
      <c r="E1596" s="329"/>
      <c r="F1596" s="327" t="s">
        <v>650</v>
      </c>
      <c r="G1596" s="326">
        <f>+F1615-G1595</f>
        <v>0</v>
      </c>
    </row>
    <row r="1597" spans="1:7" x14ac:dyDescent="0.25">
      <c r="A1597" s="571" t="s">
        <v>655</v>
      </c>
      <c r="B1597" s="573" t="s">
        <v>606</v>
      </c>
      <c r="C1597" s="588" t="s">
        <v>649</v>
      </c>
      <c r="D1597" s="599" t="s">
        <v>648</v>
      </c>
      <c r="E1597" s="577" t="s">
        <v>647</v>
      </c>
      <c r="F1597" s="577" t="s">
        <v>646</v>
      </c>
      <c r="G1597" s="580" t="s">
        <v>645</v>
      </c>
    </row>
    <row r="1598" spans="1:7" ht="15.75" thickBot="1" x14ac:dyDescent="0.3">
      <c r="A1598" s="572"/>
      <c r="B1598" s="574"/>
      <c r="C1598" s="589"/>
      <c r="D1598" s="600"/>
      <c r="E1598" s="578"/>
      <c r="F1598" s="578"/>
      <c r="G1598" s="581"/>
    </row>
    <row r="1599" spans="1:7" ht="15.75" thickBot="1" x14ac:dyDescent="0.3">
      <c r="A1599" s="425">
        <v>1</v>
      </c>
      <c r="B1599" s="425">
        <v>2</v>
      </c>
      <c r="C1599" s="425">
        <v>3</v>
      </c>
      <c r="D1599" s="425">
        <v>4</v>
      </c>
      <c r="E1599" s="425">
        <v>5</v>
      </c>
      <c r="F1599" s="425">
        <v>6</v>
      </c>
      <c r="G1599" s="425">
        <v>7</v>
      </c>
    </row>
    <row r="1600" spans="1:7" x14ac:dyDescent="0.25">
      <c r="A1600" s="320" t="str">
        <f t="shared" ref="A1600:A1614" si="52">$G$1593&amp;B1600</f>
        <v>II.3.1.2.02.0051</v>
      </c>
      <c r="B1600" s="320">
        <v>1</v>
      </c>
      <c r="C1600" s="339" t="str">
        <f>IFERROR(VLOOKUP(A1600,[3]DOORSCRIEFT!$A$2:$G$6834,2,FALSE),"")</f>
        <v/>
      </c>
      <c r="D1600" s="481" t="str">
        <f>IFERROR(VLOOKUP(A1600,[3]DOORSCRIEFT!$A$2:$G$6834,3,FALSE),"")</f>
        <v/>
      </c>
      <c r="E1600" s="480" t="str">
        <f>IFERROR(VLOOKUP(A1600,[3]DOORSCRIEFT!$A$2:$G$6834,4,FALSE),"")</f>
        <v/>
      </c>
      <c r="F1600" s="405" t="str">
        <f>IFERROR(VLOOKUP(A1600,[3]DOORSCRIEFT!$A$2:$G$6834,7,FALSE),"")</f>
        <v/>
      </c>
      <c r="G1600" s="322"/>
    </row>
    <row r="1601" spans="1:7" x14ac:dyDescent="0.25">
      <c r="A1601" s="321" t="str">
        <f t="shared" si="52"/>
        <v>II.3.1.2.02.0052</v>
      </c>
      <c r="B1601" s="321">
        <v>2</v>
      </c>
      <c r="C1601" s="339" t="str">
        <f>IFERROR(VLOOKUP(A1601,[3]DOORSCRIEFT!$A$2:$G$6834,2,FALSE),"")</f>
        <v/>
      </c>
      <c r="D1601" s="481" t="str">
        <f>IFERROR(VLOOKUP(A1601,[3]DOORSCRIEFT!$A$2:$G$6834,3,FALSE),"")</f>
        <v/>
      </c>
      <c r="E1601" s="480" t="str">
        <f>IFERROR(VLOOKUP(A1601,[3]DOORSCRIEFT!$A$2:$G$6834,4,FALSE),"")</f>
        <v/>
      </c>
      <c r="F1601" s="405" t="str">
        <f>IFERROR(VLOOKUP(A1601,[3]DOORSCRIEFT!$A$2:$G$6834,7,FALSE),"")</f>
        <v/>
      </c>
      <c r="G1601" s="315"/>
    </row>
    <row r="1602" spans="1:7" x14ac:dyDescent="0.25">
      <c r="A1602" s="321" t="str">
        <f t="shared" si="52"/>
        <v>II.3.1.2.02.0053</v>
      </c>
      <c r="B1602" s="321">
        <v>3</v>
      </c>
      <c r="C1602" s="339" t="str">
        <f>IFERROR(VLOOKUP(A1602,[3]DOORSCRIEFT!$A$2:$G$6834,2,FALSE),"")</f>
        <v/>
      </c>
      <c r="D1602" s="481" t="str">
        <f>IFERROR(VLOOKUP(A1602,[3]DOORSCRIEFT!$A$2:$G$6834,3,FALSE),"")</f>
        <v/>
      </c>
      <c r="E1602" s="480" t="str">
        <f>IFERROR(VLOOKUP(A1602,[3]DOORSCRIEFT!$A$2:$G$6834,4,FALSE),"")</f>
        <v/>
      </c>
      <c r="F1602" s="405" t="str">
        <f>IFERROR(VLOOKUP(A1602,[3]DOORSCRIEFT!$A$2:$G$6834,7,FALSE),"")</f>
        <v/>
      </c>
      <c r="G1602" s="315"/>
    </row>
    <row r="1603" spans="1:7" x14ac:dyDescent="0.25">
      <c r="A1603" s="321" t="str">
        <f t="shared" si="52"/>
        <v>II.3.1.2.02.0054</v>
      </c>
      <c r="B1603" s="321">
        <v>4</v>
      </c>
      <c r="C1603" s="339" t="str">
        <f>IFERROR(VLOOKUP(A1603,[3]DOORSCRIEFT!$A$2:$G$6834,2,FALSE),"")</f>
        <v/>
      </c>
      <c r="D1603" s="481" t="str">
        <f>IFERROR(VLOOKUP(A1603,[3]DOORSCRIEFT!$A$2:$G$6834,3,FALSE),"")</f>
        <v/>
      </c>
      <c r="E1603" s="480" t="str">
        <f>IFERROR(VLOOKUP(A1603,[3]DOORSCRIEFT!$A$2:$G$6834,4,FALSE),"")</f>
        <v/>
      </c>
      <c r="F1603" s="405" t="str">
        <f>IFERROR(VLOOKUP(A1603,[3]DOORSCRIEFT!$A$2:$G$6834,7,FALSE),"")</f>
        <v/>
      </c>
      <c r="G1603" s="315"/>
    </row>
    <row r="1604" spans="1:7" x14ac:dyDescent="0.25">
      <c r="A1604" s="321" t="str">
        <f t="shared" si="52"/>
        <v>II.3.1.2.02.0055</v>
      </c>
      <c r="B1604" s="321">
        <v>5</v>
      </c>
      <c r="C1604" s="339" t="str">
        <f>IFERROR(VLOOKUP(A1604,[3]DOORSCRIEFT!$A$2:$G$6834,2,FALSE),"")</f>
        <v/>
      </c>
      <c r="D1604" s="481" t="str">
        <f>IFERROR(VLOOKUP(A1604,[3]DOORSCRIEFT!$A$2:$G$6834,3,FALSE),"")</f>
        <v/>
      </c>
      <c r="E1604" s="480" t="str">
        <f>IFERROR(VLOOKUP(A1604,[3]DOORSCRIEFT!$A$2:$G$6834,4,FALSE),"")</f>
        <v/>
      </c>
      <c r="F1604" s="405" t="str">
        <f>IFERROR(VLOOKUP(A1604,[3]DOORSCRIEFT!$A$2:$G$6834,7,FALSE),"")</f>
        <v/>
      </c>
      <c r="G1604" s="315"/>
    </row>
    <row r="1605" spans="1:7" x14ac:dyDescent="0.25">
      <c r="A1605" s="321" t="str">
        <f t="shared" si="52"/>
        <v>II.3.1.2.02.0056</v>
      </c>
      <c r="B1605" s="321">
        <v>6</v>
      </c>
      <c r="C1605" s="339" t="str">
        <f>IFERROR(VLOOKUP(A1605,[3]DOORSCRIEFT!$A$2:$G$6834,2,FALSE),"")</f>
        <v/>
      </c>
      <c r="D1605" s="481" t="str">
        <f>IFERROR(VLOOKUP(A1605,[3]DOORSCRIEFT!$A$2:$G$6834,3,FALSE),"")</f>
        <v/>
      </c>
      <c r="E1605" s="480" t="str">
        <f>IFERROR(VLOOKUP(A1605,[3]DOORSCRIEFT!$A$2:$G$6834,4,FALSE),"")</f>
        <v/>
      </c>
      <c r="F1605" s="405" t="str">
        <f>IFERROR(VLOOKUP(A1605,[3]DOORSCRIEFT!$A$2:$G$6834,7,FALSE),"")</f>
        <v/>
      </c>
      <c r="G1605" s="315"/>
    </row>
    <row r="1606" spans="1:7" x14ac:dyDescent="0.25">
      <c r="A1606" s="321" t="str">
        <f t="shared" si="52"/>
        <v>II.3.1.2.02.0057</v>
      </c>
      <c r="B1606" s="321">
        <v>7</v>
      </c>
      <c r="C1606" s="339" t="str">
        <f>IFERROR(VLOOKUP(A1606,[3]DOORSCRIEFT!$A$2:$G$6834,2,FALSE),"")</f>
        <v/>
      </c>
      <c r="D1606" s="481" t="str">
        <f>IFERROR(VLOOKUP(A1606,[3]DOORSCRIEFT!$A$2:$G$6834,3,FALSE),"")</f>
        <v/>
      </c>
      <c r="E1606" s="480" t="str">
        <f>IFERROR(VLOOKUP(A1606,[3]DOORSCRIEFT!$A$2:$G$6834,4,FALSE),"")</f>
        <v/>
      </c>
      <c r="F1606" s="405" t="str">
        <f>IFERROR(VLOOKUP(A1606,[3]DOORSCRIEFT!$A$2:$G$6834,7,FALSE),"")</f>
        <v/>
      </c>
      <c r="G1606" s="315"/>
    </row>
    <row r="1607" spans="1:7" x14ac:dyDescent="0.25">
      <c r="A1607" s="321" t="str">
        <f t="shared" si="52"/>
        <v>II.3.1.2.02.0058</v>
      </c>
      <c r="B1607" s="321">
        <v>8</v>
      </c>
      <c r="C1607" s="339" t="str">
        <f>IFERROR(VLOOKUP(A1607,[3]DOORSCRIEFT!$A$2:$G$6834,2,FALSE),"")</f>
        <v/>
      </c>
      <c r="D1607" s="481" t="str">
        <f>IFERROR(VLOOKUP(A1607,[3]DOORSCRIEFT!$A$2:$G$6834,3,FALSE),"")</f>
        <v/>
      </c>
      <c r="E1607" s="480" t="str">
        <f>IFERROR(VLOOKUP(A1607,[3]DOORSCRIEFT!$A$2:$G$6834,4,FALSE),"")</f>
        <v/>
      </c>
      <c r="F1607" s="405" t="str">
        <f>IFERROR(VLOOKUP(A1607,[3]DOORSCRIEFT!$A$2:$G$6834,7,FALSE),"")</f>
        <v/>
      </c>
      <c r="G1607" s="315"/>
    </row>
    <row r="1608" spans="1:7" x14ac:dyDescent="0.25">
      <c r="A1608" s="321" t="str">
        <f t="shared" si="52"/>
        <v>II.3.1.2.02.0059</v>
      </c>
      <c r="B1608" s="321">
        <v>9</v>
      </c>
      <c r="C1608" s="339" t="str">
        <f>IFERROR(VLOOKUP(A1608,[3]DOORSCRIEFT!$A$2:$G$6834,2,FALSE),"")</f>
        <v/>
      </c>
      <c r="D1608" s="481" t="str">
        <f>IFERROR(VLOOKUP(A1608,[3]DOORSCRIEFT!$A$2:$G$6834,3,FALSE),"")</f>
        <v/>
      </c>
      <c r="E1608" s="480" t="str">
        <f>IFERROR(VLOOKUP(A1608,[3]DOORSCRIEFT!$A$2:$G$6834,4,FALSE),"")</f>
        <v/>
      </c>
      <c r="F1608" s="405" t="str">
        <f>IFERROR(VLOOKUP(A1608,[3]DOORSCRIEFT!$A$2:$G$6834,7,FALSE),"")</f>
        <v/>
      </c>
      <c r="G1608" s="315"/>
    </row>
    <row r="1609" spans="1:7" x14ac:dyDescent="0.25">
      <c r="A1609" s="321" t="str">
        <f t="shared" si="52"/>
        <v>II.3.1.2.02.00510</v>
      </c>
      <c r="B1609" s="321">
        <v>10</v>
      </c>
      <c r="C1609" s="339" t="str">
        <f>IFERROR(VLOOKUP(A1609,[3]DOORSCRIEFT!$A$2:$G$6834,2,FALSE),"")</f>
        <v/>
      </c>
      <c r="D1609" s="481" t="str">
        <f>IFERROR(VLOOKUP(A1609,[3]DOORSCRIEFT!$A$2:$G$6834,3,FALSE),"")</f>
        <v/>
      </c>
      <c r="E1609" s="480" t="str">
        <f>IFERROR(VLOOKUP(A1609,[3]DOORSCRIEFT!$A$2:$G$6834,4,FALSE),"")</f>
        <v/>
      </c>
      <c r="F1609" s="405" t="str">
        <f>IFERROR(VLOOKUP(A1609,[3]DOORSCRIEFT!$A$2:$G$6834,7,FALSE),"")</f>
        <v/>
      </c>
      <c r="G1609" s="315"/>
    </row>
    <row r="1610" spans="1:7" x14ac:dyDescent="0.25">
      <c r="A1610" s="321" t="str">
        <f t="shared" si="52"/>
        <v>II.3.1.2.02.00511</v>
      </c>
      <c r="B1610" s="321">
        <v>11</v>
      </c>
      <c r="C1610" s="339" t="str">
        <f>IFERROR(VLOOKUP(A1610,[3]DOORSCRIEFT!$A$2:$G$6834,2,FALSE),"")</f>
        <v/>
      </c>
      <c r="D1610" s="481" t="str">
        <f>IFERROR(VLOOKUP(A1610,[3]DOORSCRIEFT!$A$2:$G$6834,3,FALSE),"")</f>
        <v/>
      </c>
      <c r="E1610" s="480" t="str">
        <f>IFERROR(VLOOKUP(A1610,[3]DOORSCRIEFT!$A$2:$G$6834,4,FALSE),"")</f>
        <v/>
      </c>
      <c r="F1610" s="405" t="str">
        <f>IFERROR(VLOOKUP(A1610,[3]DOORSCRIEFT!$A$2:$G$6834,7,FALSE),"")</f>
        <v/>
      </c>
      <c r="G1610" s="315"/>
    </row>
    <row r="1611" spans="1:7" x14ac:dyDescent="0.25">
      <c r="A1611" s="321" t="str">
        <f t="shared" si="52"/>
        <v>II.3.1.2.02.00512</v>
      </c>
      <c r="B1611" s="321">
        <v>12</v>
      </c>
      <c r="C1611" s="339" t="str">
        <f>IFERROR(VLOOKUP(A1611,[3]DOORSCRIEFT!$A$2:$G$6834,2,FALSE),"")</f>
        <v/>
      </c>
      <c r="D1611" s="481" t="str">
        <f>IFERROR(VLOOKUP(A1611,[3]DOORSCRIEFT!$A$2:$G$6834,3,FALSE),"")</f>
        <v/>
      </c>
      <c r="E1611" s="480" t="str">
        <f>IFERROR(VLOOKUP(A1611,[3]DOORSCRIEFT!$A$2:$G$6834,4,FALSE),"")</f>
        <v/>
      </c>
      <c r="F1611" s="405" t="str">
        <f>IFERROR(VLOOKUP(A1611,[3]DOORSCRIEFT!$A$2:$G$6834,7,FALSE),"")</f>
        <v/>
      </c>
      <c r="G1611" s="315"/>
    </row>
    <row r="1612" spans="1:7" x14ac:dyDescent="0.25">
      <c r="A1612" s="321" t="str">
        <f t="shared" si="52"/>
        <v>II.3.1.2.02.00513</v>
      </c>
      <c r="B1612" s="321">
        <v>13</v>
      </c>
      <c r="C1612" s="339" t="str">
        <f>IFERROR(VLOOKUP(A1612,[3]DOORSCRIEFT!$A$2:$G$6834,2,FALSE),"")</f>
        <v/>
      </c>
      <c r="D1612" s="481" t="str">
        <f>IFERROR(VLOOKUP(A1612,[3]DOORSCRIEFT!$A$2:$G$6834,3,FALSE),"")</f>
        <v/>
      </c>
      <c r="E1612" s="480" t="str">
        <f>IFERROR(VLOOKUP(A1612,[3]DOORSCRIEFT!$A$2:$G$6834,4,FALSE),"")</f>
        <v/>
      </c>
      <c r="F1612" s="405" t="str">
        <f>IFERROR(VLOOKUP(A1612,[3]DOORSCRIEFT!$A$2:$G$6834,7,FALSE),"")</f>
        <v/>
      </c>
      <c r="G1612" s="315"/>
    </row>
    <row r="1613" spans="1:7" x14ac:dyDescent="0.25">
      <c r="A1613" s="321" t="str">
        <f t="shared" si="52"/>
        <v>II.3.1.2.02.00514</v>
      </c>
      <c r="B1613" s="321">
        <v>14</v>
      </c>
      <c r="C1613" s="339" t="str">
        <f>IFERROR(VLOOKUP(A1613,[3]DOORSCRIEFT!$A$2:$G$6834,2,FALSE),"")</f>
        <v/>
      </c>
      <c r="D1613" s="481" t="str">
        <f>IFERROR(VLOOKUP(A1613,[3]DOORSCRIEFT!$A$2:$G$6834,3,FALSE),"")</f>
        <v/>
      </c>
      <c r="E1613" s="480" t="str">
        <f>IFERROR(VLOOKUP(A1613,[3]DOORSCRIEFT!$A$2:$G$6834,4,FALSE),"")</f>
        <v/>
      </c>
      <c r="F1613" s="405" t="str">
        <f>IFERROR(VLOOKUP(A1613,[3]DOORSCRIEFT!$A$2:$G$6834,7,FALSE),"")</f>
        <v/>
      </c>
      <c r="G1613" s="315"/>
    </row>
    <row r="1614" spans="1:7" ht="15.75" thickBot="1" x14ac:dyDescent="0.3">
      <c r="A1614" s="342" t="str">
        <f t="shared" si="52"/>
        <v>II.3.1.2.02.00515</v>
      </c>
      <c r="B1614" s="342">
        <v>15</v>
      </c>
      <c r="C1614" s="339" t="str">
        <f>IFERROR(VLOOKUP(A1614,[3]DOORSCRIEFT!$A$2:$G$6834,2,FALSE),"")</f>
        <v/>
      </c>
      <c r="D1614" s="481" t="str">
        <f>IFERROR(VLOOKUP(A1614,[3]DOORSCRIEFT!$A$2:$G$6834,3,FALSE),"")</f>
        <v/>
      </c>
      <c r="E1614" s="480" t="str">
        <f>IFERROR(VLOOKUP(A1614,[3]DOORSCRIEFT!$A$2:$G$6834,4,FALSE),"")</f>
        <v/>
      </c>
      <c r="F1614" s="405" t="str">
        <f>IFERROR(VLOOKUP(A1614,[3]DOORSCRIEFT!$A$2:$G$6834,7,FALSE),"")</f>
        <v/>
      </c>
      <c r="G1614" s="315"/>
    </row>
    <row r="1615" spans="1:7" ht="15.75" thickBot="1" x14ac:dyDescent="0.3">
      <c r="A1615" s="341"/>
      <c r="B1615" s="340"/>
      <c r="C1615" s="336"/>
      <c r="D1615" s="486"/>
      <c r="E1615" s="340" t="s">
        <v>644</v>
      </c>
      <c r="F1615" s="310">
        <f>SUM(F1600:F1614)</f>
        <v>0</v>
      </c>
      <c r="G1615" s="309">
        <f>SUM(G1600:G1614)</f>
        <v>0</v>
      </c>
    </row>
    <row r="1616" spans="1:7" x14ac:dyDescent="0.25">
      <c r="C1616" s="335"/>
      <c r="D1616" s="485"/>
    </row>
    <row r="1617" spans="1:7" x14ac:dyDescent="0.25">
      <c r="C1617" s="335"/>
      <c r="D1617" s="485"/>
    </row>
    <row r="1618" spans="1:7" ht="15.75" x14ac:dyDescent="0.25">
      <c r="C1618" s="334" t="s">
        <v>663</v>
      </c>
      <c r="D1618" s="484"/>
      <c r="E1618" s="333"/>
      <c r="F1618" s="327" t="s">
        <v>607</v>
      </c>
      <c r="G1618" s="327" t="s">
        <v>127</v>
      </c>
    </row>
    <row r="1619" spans="1:7" ht="15.75" x14ac:dyDescent="0.25">
      <c r="C1619" s="334"/>
      <c r="D1619" s="484"/>
      <c r="E1619" s="333"/>
      <c r="F1619" s="327" t="s">
        <v>601</v>
      </c>
      <c r="G1619" s="327" t="s">
        <v>126</v>
      </c>
    </row>
    <row r="1620" spans="1:7" x14ac:dyDescent="0.25">
      <c r="C1620" s="330"/>
      <c r="D1620" s="482"/>
      <c r="E1620" s="329"/>
      <c r="F1620" s="327" t="s">
        <v>651</v>
      </c>
      <c r="G1620" s="331">
        <f>[2]Sheet1!$D$466</f>
        <v>0</v>
      </c>
    </row>
    <row r="1621" spans="1:7" ht="15.75" thickBot="1" x14ac:dyDescent="0.3">
      <c r="C1621" s="330"/>
      <c r="D1621" s="482"/>
      <c r="E1621" s="329"/>
      <c r="F1621" s="327" t="s">
        <v>650</v>
      </c>
      <c r="G1621" s="326">
        <f>+F1640-G1620</f>
        <v>0</v>
      </c>
    </row>
    <row r="1622" spans="1:7" x14ac:dyDescent="0.25">
      <c r="A1622" s="571" t="s">
        <v>655</v>
      </c>
      <c r="B1622" s="573" t="s">
        <v>606</v>
      </c>
      <c r="C1622" s="588" t="s">
        <v>649</v>
      </c>
      <c r="D1622" s="599" t="s">
        <v>648</v>
      </c>
      <c r="E1622" s="577" t="s">
        <v>647</v>
      </c>
      <c r="F1622" s="577" t="s">
        <v>646</v>
      </c>
      <c r="G1622" s="580" t="s">
        <v>645</v>
      </c>
    </row>
    <row r="1623" spans="1:7" ht="15.75" thickBot="1" x14ac:dyDescent="0.3">
      <c r="A1623" s="572"/>
      <c r="B1623" s="574"/>
      <c r="C1623" s="589"/>
      <c r="D1623" s="600"/>
      <c r="E1623" s="578"/>
      <c r="F1623" s="578"/>
      <c r="G1623" s="581"/>
    </row>
    <row r="1624" spans="1:7" ht="15.75" thickBot="1" x14ac:dyDescent="0.3">
      <c r="A1624" s="425">
        <v>1</v>
      </c>
      <c r="B1624" s="425">
        <v>2</v>
      </c>
      <c r="C1624" s="425">
        <v>3</v>
      </c>
      <c r="D1624" s="425">
        <v>4</v>
      </c>
      <c r="E1624" s="425">
        <v>5</v>
      </c>
      <c r="F1624" s="425">
        <v>6</v>
      </c>
      <c r="G1624" s="425">
        <v>7</v>
      </c>
    </row>
    <row r="1625" spans="1:7" x14ac:dyDescent="0.25">
      <c r="A1625" s="320" t="str">
        <f t="shared" ref="A1625:A1639" si="53">$G$1618&amp;B1625</f>
        <v>II.3.1.3.01.0011</v>
      </c>
      <c r="B1625" s="320">
        <v>1</v>
      </c>
      <c r="C1625" s="339" t="str">
        <f>IFERROR(VLOOKUP(A1625,[3]DOORSCRIEFT!$A$2:$G$6834,2,FALSE),"")</f>
        <v/>
      </c>
      <c r="D1625" s="481" t="str">
        <f>IFERROR(VLOOKUP(A1625,[3]DOORSCRIEFT!$A$2:$G$6834,3,FALSE),"")</f>
        <v/>
      </c>
      <c r="E1625" s="480" t="str">
        <f>IFERROR(VLOOKUP(A1625,[3]DOORSCRIEFT!$A$2:$G$6834,4,FALSE),"")</f>
        <v/>
      </c>
      <c r="F1625" s="405" t="str">
        <f>IFERROR(VLOOKUP(A1625,[3]DOORSCRIEFT!$A$2:$G$6834,7,FALSE),"")</f>
        <v/>
      </c>
      <c r="G1625" s="322"/>
    </row>
    <row r="1626" spans="1:7" x14ac:dyDescent="0.25">
      <c r="A1626" s="321" t="str">
        <f t="shared" si="53"/>
        <v>II.3.1.3.01.0012</v>
      </c>
      <c r="B1626" s="321">
        <v>2</v>
      </c>
      <c r="C1626" s="339" t="str">
        <f>IFERROR(VLOOKUP(A1626,[3]DOORSCRIEFT!$A$2:$G$6834,2,FALSE),"")</f>
        <v/>
      </c>
      <c r="D1626" s="481" t="str">
        <f>IFERROR(VLOOKUP(A1626,[3]DOORSCRIEFT!$A$2:$G$6834,3,FALSE),"")</f>
        <v/>
      </c>
      <c r="E1626" s="480" t="str">
        <f>IFERROR(VLOOKUP(A1626,[3]DOORSCRIEFT!$A$2:$G$6834,4,FALSE),"")</f>
        <v/>
      </c>
      <c r="F1626" s="405" t="str">
        <f>IFERROR(VLOOKUP(A1626,[3]DOORSCRIEFT!$A$2:$G$6834,7,FALSE),"")</f>
        <v/>
      </c>
      <c r="G1626" s="315"/>
    </row>
    <row r="1627" spans="1:7" x14ac:dyDescent="0.25">
      <c r="A1627" s="321" t="str">
        <f t="shared" si="53"/>
        <v>II.3.1.3.01.0013</v>
      </c>
      <c r="B1627" s="321">
        <v>3</v>
      </c>
      <c r="C1627" s="339" t="str">
        <f>IFERROR(VLOOKUP(A1627,[3]DOORSCRIEFT!$A$2:$G$6834,2,FALSE),"")</f>
        <v/>
      </c>
      <c r="D1627" s="481" t="str">
        <f>IFERROR(VLOOKUP(A1627,[3]DOORSCRIEFT!$A$2:$G$6834,3,FALSE),"")</f>
        <v/>
      </c>
      <c r="E1627" s="480" t="str">
        <f>IFERROR(VLOOKUP(A1627,[3]DOORSCRIEFT!$A$2:$G$6834,4,FALSE),"")</f>
        <v/>
      </c>
      <c r="F1627" s="405" t="str">
        <f>IFERROR(VLOOKUP(A1627,[3]DOORSCRIEFT!$A$2:$G$6834,7,FALSE),"")</f>
        <v/>
      </c>
      <c r="G1627" s="315"/>
    </row>
    <row r="1628" spans="1:7" x14ac:dyDescent="0.25">
      <c r="A1628" s="321" t="str">
        <f t="shared" si="53"/>
        <v>II.3.1.3.01.0014</v>
      </c>
      <c r="B1628" s="321">
        <v>4</v>
      </c>
      <c r="C1628" s="339" t="str">
        <f>IFERROR(VLOOKUP(A1628,[3]DOORSCRIEFT!$A$2:$G$6834,2,FALSE),"")</f>
        <v/>
      </c>
      <c r="D1628" s="481" t="str">
        <f>IFERROR(VLOOKUP(A1628,[3]DOORSCRIEFT!$A$2:$G$6834,3,FALSE),"")</f>
        <v/>
      </c>
      <c r="E1628" s="480" t="str">
        <f>IFERROR(VLOOKUP(A1628,[3]DOORSCRIEFT!$A$2:$G$6834,4,FALSE),"")</f>
        <v/>
      </c>
      <c r="F1628" s="405" t="str">
        <f>IFERROR(VLOOKUP(A1628,[3]DOORSCRIEFT!$A$2:$G$6834,7,FALSE),"")</f>
        <v/>
      </c>
      <c r="G1628" s="315"/>
    </row>
    <row r="1629" spans="1:7" x14ac:dyDescent="0.25">
      <c r="A1629" s="321" t="str">
        <f t="shared" si="53"/>
        <v>II.3.1.3.01.0015</v>
      </c>
      <c r="B1629" s="321">
        <v>5</v>
      </c>
      <c r="C1629" s="339" t="str">
        <f>IFERROR(VLOOKUP(A1629,[3]DOORSCRIEFT!$A$2:$G$6834,2,FALSE),"")</f>
        <v/>
      </c>
      <c r="D1629" s="481" t="str">
        <f>IFERROR(VLOOKUP(A1629,[3]DOORSCRIEFT!$A$2:$G$6834,3,FALSE),"")</f>
        <v/>
      </c>
      <c r="E1629" s="480" t="str">
        <f>IFERROR(VLOOKUP(A1629,[3]DOORSCRIEFT!$A$2:$G$6834,4,FALSE),"")</f>
        <v/>
      </c>
      <c r="F1629" s="405" t="str">
        <f>IFERROR(VLOOKUP(A1629,[3]DOORSCRIEFT!$A$2:$G$6834,7,FALSE),"")</f>
        <v/>
      </c>
      <c r="G1629" s="315"/>
    </row>
    <row r="1630" spans="1:7" x14ac:dyDescent="0.25">
      <c r="A1630" s="321" t="str">
        <f t="shared" si="53"/>
        <v>II.3.1.3.01.0016</v>
      </c>
      <c r="B1630" s="321">
        <v>6</v>
      </c>
      <c r="C1630" s="339" t="str">
        <f>IFERROR(VLOOKUP(A1630,[3]DOORSCRIEFT!$A$2:$G$6834,2,FALSE),"")</f>
        <v/>
      </c>
      <c r="D1630" s="481" t="str">
        <f>IFERROR(VLOOKUP(A1630,[3]DOORSCRIEFT!$A$2:$G$6834,3,FALSE),"")</f>
        <v/>
      </c>
      <c r="E1630" s="480" t="str">
        <f>IFERROR(VLOOKUP(A1630,[3]DOORSCRIEFT!$A$2:$G$6834,4,FALSE),"")</f>
        <v/>
      </c>
      <c r="F1630" s="405" t="str">
        <f>IFERROR(VLOOKUP(A1630,[3]DOORSCRIEFT!$A$2:$G$6834,7,FALSE),"")</f>
        <v/>
      </c>
      <c r="G1630" s="315"/>
    </row>
    <row r="1631" spans="1:7" x14ac:dyDescent="0.25">
      <c r="A1631" s="321" t="str">
        <f t="shared" si="53"/>
        <v>II.3.1.3.01.0017</v>
      </c>
      <c r="B1631" s="321">
        <v>7</v>
      </c>
      <c r="C1631" s="339" t="str">
        <f>IFERROR(VLOOKUP(A1631,[3]DOORSCRIEFT!$A$2:$G$6834,2,FALSE),"")</f>
        <v/>
      </c>
      <c r="D1631" s="481" t="str">
        <f>IFERROR(VLOOKUP(A1631,[3]DOORSCRIEFT!$A$2:$G$6834,3,FALSE),"")</f>
        <v/>
      </c>
      <c r="E1631" s="480" t="str">
        <f>IFERROR(VLOOKUP(A1631,[3]DOORSCRIEFT!$A$2:$G$6834,4,FALSE),"")</f>
        <v/>
      </c>
      <c r="F1631" s="405" t="str">
        <f>IFERROR(VLOOKUP(A1631,[3]DOORSCRIEFT!$A$2:$G$6834,7,FALSE),"")</f>
        <v/>
      </c>
      <c r="G1631" s="315"/>
    </row>
    <row r="1632" spans="1:7" x14ac:dyDescent="0.25">
      <c r="A1632" s="321" t="str">
        <f t="shared" si="53"/>
        <v>II.3.1.3.01.0018</v>
      </c>
      <c r="B1632" s="321">
        <v>8</v>
      </c>
      <c r="C1632" s="339" t="str">
        <f>IFERROR(VLOOKUP(A1632,[3]DOORSCRIEFT!$A$2:$G$6834,2,FALSE),"")</f>
        <v/>
      </c>
      <c r="D1632" s="481" t="str">
        <f>IFERROR(VLOOKUP(A1632,[3]DOORSCRIEFT!$A$2:$G$6834,3,FALSE),"")</f>
        <v/>
      </c>
      <c r="E1632" s="480" t="str">
        <f>IFERROR(VLOOKUP(A1632,[3]DOORSCRIEFT!$A$2:$G$6834,4,FALSE),"")</f>
        <v/>
      </c>
      <c r="F1632" s="405" t="str">
        <f>IFERROR(VLOOKUP(A1632,[3]DOORSCRIEFT!$A$2:$G$6834,7,FALSE),"")</f>
        <v/>
      </c>
      <c r="G1632" s="315"/>
    </row>
    <row r="1633" spans="1:7" x14ac:dyDescent="0.25">
      <c r="A1633" s="321" t="str">
        <f t="shared" si="53"/>
        <v>II.3.1.3.01.0019</v>
      </c>
      <c r="B1633" s="321">
        <v>9</v>
      </c>
      <c r="C1633" s="339" t="str">
        <f>IFERROR(VLOOKUP(A1633,[3]DOORSCRIEFT!$A$2:$G$6834,2,FALSE),"")</f>
        <v/>
      </c>
      <c r="D1633" s="481" t="str">
        <f>IFERROR(VLOOKUP(A1633,[3]DOORSCRIEFT!$A$2:$G$6834,3,FALSE),"")</f>
        <v/>
      </c>
      <c r="E1633" s="480" t="str">
        <f>IFERROR(VLOOKUP(A1633,[3]DOORSCRIEFT!$A$2:$G$6834,4,FALSE),"")</f>
        <v/>
      </c>
      <c r="F1633" s="405" t="str">
        <f>IFERROR(VLOOKUP(A1633,[3]DOORSCRIEFT!$A$2:$G$6834,7,FALSE),"")</f>
        <v/>
      </c>
      <c r="G1633" s="315"/>
    </row>
    <row r="1634" spans="1:7" x14ac:dyDescent="0.25">
      <c r="A1634" s="321" t="str">
        <f t="shared" si="53"/>
        <v>II.3.1.3.01.00110</v>
      </c>
      <c r="B1634" s="321">
        <v>10</v>
      </c>
      <c r="C1634" s="339" t="str">
        <f>IFERROR(VLOOKUP(A1634,[3]DOORSCRIEFT!$A$2:$G$6834,2,FALSE),"")</f>
        <v/>
      </c>
      <c r="D1634" s="481" t="str">
        <f>IFERROR(VLOOKUP(A1634,[3]DOORSCRIEFT!$A$2:$G$6834,3,FALSE),"")</f>
        <v/>
      </c>
      <c r="E1634" s="480" t="str">
        <f>IFERROR(VLOOKUP(A1634,[3]DOORSCRIEFT!$A$2:$G$6834,4,FALSE),"")</f>
        <v/>
      </c>
      <c r="F1634" s="405" t="str">
        <f>IFERROR(VLOOKUP(A1634,[3]DOORSCRIEFT!$A$2:$G$6834,7,FALSE),"")</f>
        <v/>
      </c>
      <c r="G1634" s="315"/>
    </row>
    <row r="1635" spans="1:7" x14ac:dyDescent="0.25">
      <c r="A1635" s="321" t="str">
        <f t="shared" si="53"/>
        <v>II.3.1.3.01.00111</v>
      </c>
      <c r="B1635" s="321">
        <v>11</v>
      </c>
      <c r="C1635" s="339" t="str">
        <f>IFERROR(VLOOKUP(A1635,[3]DOORSCRIEFT!$A$2:$G$6834,2,FALSE),"")</f>
        <v/>
      </c>
      <c r="D1635" s="481" t="str">
        <f>IFERROR(VLOOKUP(A1635,[3]DOORSCRIEFT!$A$2:$G$6834,3,FALSE),"")</f>
        <v/>
      </c>
      <c r="E1635" s="480" t="str">
        <f>IFERROR(VLOOKUP(A1635,[3]DOORSCRIEFT!$A$2:$G$6834,4,FALSE),"")</f>
        <v/>
      </c>
      <c r="F1635" s="405" t="str">
        <f>IFERROR(VLOOKUP(A1635,[3]DOORSCRIEFT!$A$2:$G$6834,7,FALSE),"")</f>
        <v/>
      </c>
      <c r="G1635" s="315"/>
    </row>
    <row r="1636" spans="1:7" x14ac:dyDescent="0.25">
      <c r="A1636" s="321" t="str">
        <f t="shared" si="53"/>
        <v>II.3.1.3.01.00112</v>
      </c>
      <c r="B1636" s="321">
        <v>12</v>
      </c>
      <c r="C1636" s="339" t="str">
        <f>IFERROR(VLOOKUP(A1636,[3]DOORSCRIEFT!$A$2:$G$6834,2,FALSE),"")</f>
        <v/>
      </c>
      <c r="D1636" s="481" t="str">
        <f>IFERROR(VLOOKUP(A1636,[3]DOORSCRIEFT!$A$2:$G$6834,3,FALSE),"")</f>
        <v/>
      </c>
      <c r="E1636" s="480" t="str">
        <f>IFERROR(VLOOKUP(A1636,[3]DOORSCRIEFT!$A$2:$G$6834,4,FALSE),"")</f>
        <v/>
      </c>
      <c r="F1636" s="405" t="str">
        <f>IFERROR(VLOOKUP(A1636,[3]DOORSCRIEFT!$A$2:$G$6834,7,FALSE),"")</f>
        <v/>
      </c>
      <c r="G1636" s="315"/>
    </row>
    <row r="1637" spans="1:7" x14ac:dyDescent="0.25">
      <c r="A1637" s="321" t="str">
        <f t="shared" si="53"/>
        <v>II.3.1.3.01.00113</v>
      </c>
      <c r="B1637" s="321">
        <v>13</v>
      </c>
      <c r="C1637" s="339" t="str">
        <f>IFERROR(VLOOKUP(A1637,[3]DOORSCRIEFT!$A$2:$G$6834,2,FALSE),"")</f>
        <v/>
      </c>
      <c r="D1637" s="481" t="str">
        <f>IFERROR(VLOOKUP(A1637,[3]DOORSCRIEFT!$A$2:$G$6834,3,FALSE),"")</f>
        <v/>
      </c>
      <c r="E1637" s="480" t="str">
        <f>IFERROR(VLOOKUP(A1637,[3]DOORSCRIEFT!$A$2:$G$6834,4,FALSE),"")</f>
        <v/>
      </c>
      <c r="F1637" s="405" t="str">
        <f>IFERROR(VLOOKUP(A1637,[3]DOORSCRIEFT!$A$2:$G$6834,7,FALSE),"")</f>
        <v/>
      </c>
      <c r="G1637" s="315"/>
    </row>
    <row r="1638" spans="1:7" x14ac:dyDescent="0.25">
      <c r="A1638" s="321" t="str">
        <f t="shared" si="53"/>
        <v>II.3.1.3.01.00114</v>
      </c>
      <c r="B1638" s="321">
        <v>14</v>
      </c>
      <c r="C1638" s="339" t="str">
        <f>IFERROR(VLOOKUP(A1638,[3]DOORSCRIEFT!$A$2:$G$6834,2,FALSE),"")</f>
        <v/>
      </c>
      <c r="D1638" s="481" t="str">
        <f>IFERROR(VLOOKUP(A1638,[3]DOORSCRIEFT!$A$2:$G$6834,3,FALSE),"")</f>
        <v/>
      </c>
      <c r="E1638" s="480" t="str">
        <f>IFERROR(VLOOKUP(A1638,[3]DOORSCRIEFT!$A$2:$G$6834,4,FALSE),"")</f>
        <v/>
      </c>
      <c r="F1638" s="405" t="str">
        <f>IFERROR(VLOOKUP(A1638,[3]DOORSCRIEFT!$A$2:$G$6834,7,FALSE),"")</f>
        <v/>
      </c>
      <c r="G1638" s="315"/>
    </row>
    <row r="1639" spans="1:7" ht="15.75" thickBot="1" x14ac:dyDescent="0.3">
      <c r="A1639" s="342" t="str">
        <f t="shared" si="53"/>
        <v>II.3.1.3.01.00115</v>
      </c>
      <c r="B1639" s="342">
        <v>15</v>
      </c>
      <c r="C1639" s="339" t="str">
        <f>IFERROR(VLOOKUP(A1639,[3]DOORSCRIEFT!$A$2:$G$6834,2,FALSE),"")</f>
        <v/>
      </c>
      <c r="D1639" s="481" t="str">
        <f>IFERROR(VLOOKUP(A1639,[3]DOORSCRIEFT!$A$2:$G$6834,3,FALSE),"")</f>
        <v/>
      </c>
      <c r="E1639" s="480" t="str">
        <f>IFERROR(VLOOKUP(A1639,[3]DOORSCRIEFT!$A$2:$G$6834,4,FALSE),"")</f>
        <v/>
      </c>
      <c r="F1639" s="405" t="str">
        <f>IFERROR(VLOOKUP(A1639,[3]DOORSCRIEFT!$A$2:$G$6834,7,FALSE),"")</f>
        <v/>
      </c>
      <c r="G1639" s="315"/>
    </row>
    <row r="1640" spans="1:7" ht="15.75" thickBot="1" x14ac:dyDescent="0.3">
      <c r="A1640" s="341"/>
      <c r="B1640" s="340"/>
      <c r="C1640" s="336"/>
      <c r="D1640" s="486"/>
      <c r="E1640" s="340" t="s">
        <v>644</v>
      </c>
      <c r="F1640" s="310">
        <f>SUM(F1625:F1639)</f>
        <v>0</v>
      </c>
      <c r="G1640" s="309">
        <f>SUM(G1625:G1639)</f>
        <v>0</v>
      </c>
    </row>
    <row r="1641" spans="1:7" x14ac:dyDescent="0.25">
      <c r="C1641" s="335"/>
      <c r="D1641" s="485"/>
    </row>
    <row r="1642" spans="1:7" x14ac:dyDescent="0.25">
      <c r="C1642" s="335"/>
      <c r="D1642" s="485"/>
    </row>
    <row r="1643" spans="1:7" ht="15.75" x14ac:dyDescent="0.25">
      <c r="C1643" s="334" t="s">
        <v>663</v>
      </c>
      <c r="D1643" s="484"/>
      <c r="E1643" s="333"/>
      <c r="F1643" s="327" t="s">
        <v>607</v>
      </c>
      <c r="G1643" s="327" t="s">
        <v>125</v>
      </c>
    </row>
    <row r="1644" spans="1:7" ht="15.75" x14ac:dyDescent="0.25">
      <c r="C1644" s="334"/>
      <c r="D1644" s="484"/>
      <c r="E1644" s="333"/>
      <c r="F1644" s="327" t="s">
        <v>601</v>
      </c>
      <c r="G1644" s="327" t="s">
        <v>124</v>
      </c>
    </row>
    <row r="1645" spans="1:7" x14ac:dyDescent="0.25">
      <c r="C1645" s="330"/>
      <c r="D1645" s="482"/>
      <c r="E1645" s="329"/>
      <c r="F1645" s="327" t="s">
        <v>651</v>
      </c>
      <c r="G1645" s="331">
        <f>[2]Sheet1!$D$467</f>
        <v>1000000</v>
      </c>
    </row>
    <row r="1646" spans="1:7" ht="15.75" thickBot="1" x14ac:dyDescent="0.3">
      <c r="C1646" s="330"/>
      <c r="D1646" s="482"/>
      <c r="E1646" s="329"/>
      <c r="F1646" s="327" t="s">
        <v>650</v>
      </c>
      <c r="G1646" s="326">
        <f>+F1665-G1645</f>
        <v>1300000</v>
      </c>
    </row>
    <row r="1647" spans="1:7" x14ac:dyDescent="0.25">
      <c r="A1647" s="571" t="s">
        <v>655</v>
      </c>
      <c r="B1647" s="573" t="s">
        <v>606</v>
      </c>
      <c r="C1647" s="588" t="s">
        <v>649</v>
      </c>
      <c r="D1647" s="599" t="s">
        <v>648</v>
      </c>
      <c r="E1647" s="577" t="s">
        <v>647</v>
      </c>
      <c r="F1647" s="577" t="s">
        <v>646</v>
      </c>
      <c r="G1647" s="580" t="s">
        <v>645</v>
      </c>
    </row>
    <row r="1648" spans="1:7" ht="15.75" thickBot="1" x14ac:dyDescent="0.3">
      <c r="A1648" s="572"/>
      <c r="B1648" s="574"/>
      <c r="C1648" s="589"/>
      <c r="D1648" s="600"/>
      <c r="E1648" s="578"/>
      <c r="F1648" s="578"/>
      <c r="G1648" s="581"/>
    </row>
    <row r="1649" spans="1:7" ht="15.75" thickBot="1" x14ac:dyDescent="0.3">
      <c r="A1649" s="425">
        <v>1</v>
      </c>
      <c r="B1649" s="425">
        <v>2</v>
      </c>
      <c r="C1649" s="425">
        <v>3</v>
      </c>
      <c r="D1649" s="425">
        <v>4</v>
      </c>
      <c r="E1649" s="425">
        <v>5</v>
      </c>
      <c r="F1649" s="425">
        <v>6</v>
      </c>
      <c r="G1649" s="425">
        <v>7</v>
      </c>
    </row>
    <row r="1650" spans="1:7" x14ac:dyDescent="0.25">
      <c r="A1650" s="320" t="str">
        <f t="shared" ref="A1650:A1664" si="54">$G$1643&amp;B1650</f>
        <v>II.3.1.3.01.0021</v>
      </c>
      <c r="B1650" s="320">
        <v>1</v>
      </c>
      <c r="C1650" s="339">
        <f>IFERROR(VLOOKUP(A1650,[3]DOORSCRIEFT!$A$2:$G$6834,2,FALSE),"")</f>
        <v>245</v>
      </c>
      <c r="D1650" s="481">
        <f>IFERROR(VLOOKUP(A1650,[3]DOORSCRIEFT!$A$2:$G$6834,3,FALSE),"")</f>
        <v>46075</v>
      </c>
      <c r="E1650" s="480" t="str">
        <f>IFERROR(VLOOKUP(A1650,[3]DOORSCRIEFT!$A$2:$G$6834,4,FALSE),"")</f>
        <v>Biaya Kegiatan buka bersama dengan saudara muslim di hanie dan transport</v>
      </c>
      <c r="F1650" s="405">
        <f>IFERROR(VLOOKUP(A1650,[3]DOORSCRIEFT!$A$2:$G$6834,7,FALSE),"")</f>
        <v>2300000</v>
      </c>
      <c r="G1650" s="322"/>
    </row>
    <row r="1651" spans="1:7" x14ac:dyDescent="0.25">
      <c r="A1651" s="321" t="str">
        <f t="shared" si="54"/>
        <v>II.3.1.3.01.0022</v>
      </c>
      <c r="B1651" s="321">
        <v>2</v>
      </c>
      <c r="C1651" s="339" t="str">
        <f>IFERROR(VLOOKUP(A1651,[3]DOORSCRIEFT!$A$2:$G$6834,2,FALSE),"")</f>
        <v/>
      </c>
      <c r="D1651" s="481" t="str">
        <f>IFERROR(VLOOKUP(A1651,[3]DOORSCRIEFT!$A$2:$G$6834,3,FALSE),"")</f>
        <v/>
      </c>
      <c r="E1651" s="480" t="str">
        <f>IFERROR(VLOOKUP(A1651,[3]DOORSCRIEFT!$A$2:$G$6834,4,FALSE),"")</f>
        <v/>
      </c>
      <c r="F1651" s="405" t="str">
        <f>IFERROR(VLOOKUP(A1651,[3]DOORSCRIEFT!$A$2:$G$6834,7,FALSE),"")</f>
        <v/>
      </c>
      <c r="G1651" s="315"/>
    </row>
    <row r="1652" spans="1:7" x14ac:dyDescent="0.25">
      <c r="A1652" s="321" t="str">
        <f t="shared" si="54"/>
        <v>II.3.1.3.01.0023</v>
      </c>
      <c r="B1652" s="321">
        <v>3</v>
      </c>
      <c r="C1652" s="339" t="str">
        <f>IFERROR(VLOOKUP(A1652,[3]DOORSCRIEFT!$A$2:$G$6834,2,FALSE),"")</f>
        <v/>
      </c>
      <c r="D1652" s="481" t="str">
        <f>IFERROR(VLOOKUP(A1652,[3]DOORSCRIEFT!$A$2:$G$6834,3,FALSE),"")</f>
        <v/>
      </c>
      <c r="E1652" s="480" t="str">
        <f>IFERROR(VLOOKUP(A1652,[3]DOORSCRIEFT!$A$2:$G$6834,4,FALSE),"")</f>
        <v/>
      </c>
      <c r="F1652" s="405" t="str">
        <f>IFERROR(VLOOKUP(A1652,[3]DOORSCRIEFT!$A$2:$G$6834,7,FALSE),"")</f>
        <v/>
      </c>
      <c r="G1652" s="315"/>
    </row>
    <row r="1653" spans="1:7" x14ac:dyDescent="0.25">
      <c r="A1653" s="321" t="str">
        <f t="shared" si="54"/>
        <v>II.3.1.3.01.0024</v>
      </c>
      <c r="B1653" s="321">
        <v>4</v>
      </c>
      <c r="C1653" s="339" t="str">
        <f>IFERROR(VLOOKUP(A1653,[3]DOORSCRIEFT!$A$2:$G$6834,2,FALSE),"")</f>
        <v/>
      </c>
      <c r="D1653" s="481" t="str">
        <f>IFERROR(VLOOKUP(A1653,[3]DOORSCRIEFT!$A$2:$G$6834,3,FALSE),"")</f>
        <v/>
      </c>
      <c r="E1653" s="480" t="str">
        <f>IFERROR(VLOOKUP(A1653,[3]DOORSCRIEFT!$A$2:$G$6834,4,FALSE),"")</f>
        <v/>
      </c>
      <c r="F1653" s="405" t="str">
        <f>IFERROR(VLOOKUP(A1653,[3]DOORSCRIEFT!$A$2:$G$6834,7,FALSE),"")</f>
        <v/>
      </c>
      <c r="G1653" s="315"/>
    </row>
    <row r="1654" spans="1:7" x14ac:dyDescent="0.25">
      <c r="A1654" s="321" t="str">
        <f t="shared" si="54"/>
        <v>II.3.1.3.01.0025</v>
      </c>
      <c r="B1654" s="321">
        <v>5</v>
      </c>
      <c r="C1654" s="339" t="str">
        <f>IFERROR(VLOOKUP(A1654,[3]DOORSCRIEFT!$A$2:$G$6834,2,FALSE),"")</f>
        <v/>
      </c>
      <c r="D1654" s="481" t="str">
        <f>IFERROR(VLOOKUP(A1654,[3]DOORSCRIEFT!$A$2:$G$6834,3,FALSE),"")</f>
        <v/>
      </c>
      <c r="E1654" s="480" t="str">
        <f>IFERROR(VLOOKUP(A1654,[3]DOORSCRIEFT!$A$2:$G$6834,4,FALSE),"")</f>
        <v/>
      </c>
      <c r="F1654" s="405" t="str">
        <f>IFERROR(VLOOKUP(A1654,[3]DOORSCRIEFT!$A$2:$G$6834,7,FALSE),"")</f>
        <v/>
      </c>
      <c r="G1654" s="315"/>
    </row>
    <row r="1655" spans="1:7" x14ac:dyDescent="0.25">
      <c r="A1655" s="321" t="str">
        <f t="shared" si="54"/>
        <v>II.3.1.3.01.0026</v>
      </c>
      <c r="B1655" s="321">
        <v>6</v>
      </c>
      <c r="C1655" s="339" t="str">
        <f>IFERROR(VLOOKUP(A1655,[3]DOORSCRIEFT!$A$2:$G$6834,2,FALSE),"")</f>
        <v/>
      </c>
      <c r="D1655" s="481" t="str">
        <f>IFERROR(VLOOKUP(A1655,[3]DOORSCRIEFT!$A$2:$G$6834,3,FALSE),"")</f>
        <v/>
      </c>
      <c r="E1655" s="480" t="str">
        <f>IFERROR(VLOOKUP(A1655,[3]DOORSCRIEFT!$A$2:$G$6834,4,FALSE),"")</f>
        <v/>
      </c>
      <c r="F1655" s="405" t="str">
        <f>IFERROR(VLOOKUP(A1655,[3]DOORSCRIEFT!$A$2:$G$6834,7,FALSE),"")</f>
        <v/>
      </c>
      <c r="G1655" s="315"/>
    </row>
    <row r="1656" spans="1:7" x14ac:dyDescent="0.25">
      <c r="A1656" s="321" t="str">
        <f t="shared" si="54"/>
        <v>II.3.1.3.01.0027</v>
      </c>
      <c r="B1656" s="321">
        <v>7</v>
      </c>
      <c r="C1656" s="339" t="str">
        <f>IFERROR(VLOOKUP(A1656,[3]DOORSCRIEFT!$A$2:$G$6834,2,FALSE),"")</f>
        <v/>
      </c>
      <c r="D1656" s="481" t="str">
        <f>IFERROR(VLOOKUP(A1656,[3]DOORSCRIEFT!$A$2:$G$6834,3,FALSE),"")</f>
        <v/>
      </c>
      <c r="E1656" s="480" t="str">
        <f>IFERROR(VLOOKUP(A1656,[3]DOORSCRIEFT!$A$2:$G$6834,4,FALSE),"")</f>
        <v/>
      </c>
      <c r="F1656" s="405" t="str">
        <f>IFERROR(VLOOKUP(A1656,[3]DOORSCRIEFT!$A$2:$G$6834,7,FALSE),"")</f>
        <v/>
      </c>
      <c r="G1656" s="315"/>
    </row>
    <row r="1657" spans="1:7" x14ac:dyDescent="0.25">
      <c r="A1657" s="321" t="str">
        <f t="shared" si="54"/>
        <v>II.3.1.3.01.0028</v>
      </c>
      <c r="B1657" s="321">
        <v>8</v>
      </c>
      <c r="C1657" s="339" t="str">
        <f>IFERROR(VLOOKUP(A1657,[3]DOORSCRIEFT!$A$2:$G$6834,2,FALSE),"")</f>
        <v/>
      </c>
      <c r="D1657" s="481" t="str">
        <f>IFERROR(VLOOKUP(A1657,[3]DOORSCRIEFT!$A$2:$G$6834,3,FALSE),"")</f>
        <v/>
      </c>
      <c r="E1657" s="480" t="str">
        <f>IFERROR(VLOOKUP(A1657,[3]DOORSCRIEFT!$A$2:$G$6834,4,FALSE),"")</f>
        <v/>
      </c>
      <c r="F1657" s="405" t="str">
        <f>IFERROR(VLOOKUP(A1657,[3]DOORSCRIEFT!$A$2:$G$6834,7,FALSE),"")</f>
        <v/>
      </c>
      <c r="G1657" s="315"/>
    </row>
    <row r="1658" spans="1:7" x14ac:dyDescent="0.25">
      <c r="A1658" s="321" t="str">
        <f t="shared" si="54"/>
        <v>II.3.1.3.01.0029</v>
      </c>
      <c r="B1658" s="321">
        <v>9</v>
      </c>
      <c r="C1658" s="339" t="str">
        <f>IFERROR(VLOOKUP(A1658,[3]DOORSCRIEFT!$A$2:$G$6834,2,FALSE),"")</f>
        <v/>
      </c>
      <c r="D1658" s="481" t="str">
        <f>IFERROR(VLOOKUP(A1658,[3]DOORSCRIEFT!$A$2:$G$6834,3,FALSE),"")</f>
        <v/>
      </c>
      <c r="E1658" s="480" t="str">
        <f>IFERROR(VLOOKUP(A1658,[3]DOORSCRIEFT!$A$2:$G$6834,4,FALSE),"")</f>
        <v/>
      </c>
      <c r="F1658" s="405" t="str">
        <f>IFERROR(VLOOKUP(A1658,[3]DOORSCRIEFT!$A$2:$G$6834,7,FALSE),"")</f>
        <v/>
      </c>
      <c r="G1658" s="315"/>
    </row>
    <row r="1659" spans="1:7" x14ac:dyDescent="0.25">
      <c r="A1659" s="321" t="str">
        <f t="shared" si="54"/>
        <v>II.3.1.3.01.00210</v>
      </c>
      <c r="B1659" s="321">
        <v>10</v>
      </c>
      <c r="C1659" s="339" t="str">
        <f>IFERROR(VLOOKUP(A1659,[3]DOORSCRIEFT!$A$2:$G$6834,2,FALSE),"")</f>
        <v/>
      </c>
      <c r="D1659" s="481" t="str">
        <f>IFERROR(VLOOKUP(A1659,[3]DOORSCRIEFT!$A$2:$G$6834,3,FALSE),"")</f>
        <v/>
      </c>
      <c r="E1659" s="480" t="str">
        <f>IFERROR(VLOOKUP(A1659,[3]DOORSCRIEFT!$A$2:$G$6834,4,FALSE),"")</f>
        <v/>
      </c>
      <c r="F1659" s="405" t="str">
        <f>IFERROR(VLOOKUP(A1659,[3]DOORSCRIEFT!$A$2:$G$6834,7,FALSE),"")</f>
        <v/>
      </c>
      <c r="G1659" s="315"/>
    </row>
    <row r="1660" spans="1:7" x14ac:dyDescent="0.25">
      <c r="A1660" s="321" t="str">
        <f t="shared" si="54"/>
        <v>II.3.1.3.01.00211</v>
      </c>
      <c r="B1660" s="321">
        <v>11</v>
      </c>
      <c r="C1660" s="339" t="str">
        <f>IFERROR(VLOOKUP(A1660,[3]DOORSCRIEFT!$A$2:$G$6834,2,FALSE),"")</f>
        <v/>
      </c>
      <c r="D1660" s="481" t="str">
        <f>IFERROR(VLOOKUP(A1660,[3]DOORSCRIEFT!$A$2:$G$6834,3,FALSE),"")</f>
        <v/>
      </c>
      <c r="E1660" s="480" t="str">
        <f>IFERROR(VLOOKUP(A1660,[3]DOORSCRIEFT!$A$2:$G$6834,4,FALSE),"")</f>
        <v/>
      </c>
      <c r="F1660" s="405" t="str">
        <f>IFERROR(VLOOKUP(A1660,[3]DOORSCRIEFT!$A$2:$G$6834,7,FALSE),"")</f>
        <v/>
      </c>
      <c r="G1660" s="315"/>
    </row>
    <row r="1661" spans="1:7" x14ac:dyDescent="0.25">
      <c r="A1661" s="321" t="str">
        <f t="shared" si="54"/>
        <v>II.3.1.3.01.00212</v>
      </c>
      <c r="B1661" s="321">
        <v>12</v>
      </c>
      <c r="C1661" s="339" t="str">
        <f>IFERROR(VLOOKUP(A1661,[3]DOORSCRIEFT!$A$2:$G$6834,2,FALSE),"")</f>
        <v/>
      </c>
      <c r="D1661" s="481" t="str">
        <f>IFERROR(VLOOKUP(A1661,[3]DOORSCRIEFT!$A$2:$G$6834,3,FALSE),"")</f>
        <v/>
      </c>
      <c r="E1661" s="480" t="str">
        <f>IFERROR(VLOOKUP(A1661,[3]DOORSCRIEFT!$A$2:$G$6834,4,FALSE),"")</f>
        <v/>
      </c>
      <c r="F1661" s="405" t="str">
        <f>IFERROR(VLOOKUP(A1661,[3]DOORSCRIEFT!$A$2:$G$6834,7,FALSE),"")</f>
        <v/>
      </c>
      <c r="G1661" s="315"/>
    </row>
    <row r="1662" spans="1:7" x14ac:dyDescent="0.25">
      <c r="A1662" s="321" t="str">
        <f t="shared" si="54"/>
        <v>II.3.1.3.01.00213</v>
      </c>
      <c r="B1662" s="321">
        <v>13</v>
      </c>
      <c r="C1662" s="339" t="str">
        <f>IFERROR(VLOOKUP(A1662,[3]DOORSCRIEFT!$A$2:$G$6834,2,FALSE),"")</f>
        <v/>
      </c>
      <c r="D1662" s="481" t="str">
        <f>IFERROR(VLOOKUP(A1662,[3]DOORSCRIEFT!$A$2:$G$6834,3,FALSE),"")</f>
        <v/>
      </c>
      <c r="E1662" s="480" t="str">
        <f>IFERROR(VLOOKUP(A1662,[3]DOORSCRIEFT!$A$2:$G$6834,4,FALSE),"")</f>
        <v/>
      </c>
      <c r="F1662" s="405" t="str">
        <f>IFERROR(VLOOKUP(A1662,[3]DOORSCRIEFT!$A$2:$G$6834,7,FALSE),"")</f>
        <v/>
      </c>
      <c r="G1662" s="315"/>
    </row>
    <row r="1663" spans="1:7" x14ac:dyDescent="0.25">
      <c r="A1663" s="321" t="str">
        <f t="shared" si="54"/>
        <v>II.3.1.3.01.00214</v>
      </c>
      <c r="B1663" s="321">
        <v>14</v>
      </c>
      <c r="C1663" s="339" t="str">
        <f>IFERROR(VLOOKUP(A1663,[3]DOORSCRIEFT!$A$2:$G$6834,2,FALSE),"")</f>
        <v/>
      </c>
      <c r="D1663" s="481" t="str">
        <f>IFERROR(VLOOKUP(A1663,[3]DOORSCRIEFT!$A$2:$G$6834,3,FALSE),"")</f>
        <v/>
      </c>
      <c r="E1663" s="480" t="str">
        <f>IFERROR(VLOOKUP(A1663,[3]DOORSCRIEFT!$A$2:$G$6834,4,FALSE),"")</f>
        <v/>
      </c>
      <c r="F1663" s="405" t="str">
        <f>IFERROR(VLOOKUP(A1663,[3]DOORSCRIEFT!$A$2:$G$6834,7,FALSE),"")</f>
        <v/>
      </c>
      <c r="G1663" s="315"/>
    </row>
    <row r="1664" spans="1:7" ht="15.75" thickBot="1" x14ac:dyDescent="0.3">
      <c r="A1664" s="342" t="str">
        <f t="shared" si="54"/>
        <v>II.3.1.3.01.00215</v>
      </c>
      <c r="B1664" s="342">
        <v>15</v>
      </c>
      <c r="C1664" s="339" t="str">
        <f>IFERROR(VLOOKUP(A1664,[3]DOORSCRIEFT!$A$2:$G$6834,2,FALSE),"")</f>
        <v/>
      </c>
      <c r="D1664" s="481" t="str">
        <f>IFERROR(VLOOKUP(A1664,[3]DOORSCRIEFT!$A$2:$G$6834,3,FALSE),"")</f>
        <v/>
      </c>
      <c r="E1664" s="480" t="str">
        <f>IFERROR(VLOOKUP(A1664,[3]DOORSCRIEFT!$A$2:$G$6834,4,FALSE),"")</f>
        <v/>
      </c>
      <c r="F1664" s="405" t="str">
        <f>IFERROR(VLOOKUP(A1664,[3]DOORSCRIEFT!$A$2:$G$6834,7,FALSE),"")</f>
        <v/>
      </c>
      <c r="G1664" s="315"/>
    </row>
    <row r="1665" spans="1:7" ht="15.75" thickBot="1" x14ac:dyDescent="0.3">
      <c r="A1665" s="341"/>
      <c r="B1665" s="340"/>
      <c r="C1665" s="336"/>
      <c r="D1665" s="486"/>
      <c r="E1665" s="340" t="s">
        <v>644</v>
      </c>
      <c r="F1665" s="310">
        <f>SUM(F1650:F1664)</f>
        <v>2300000</v>
      </c>
      <c r="G1665" s="309">
        <f>SUM(G1650:G1664)</f>
        <v>0</v>
      </c>
    </row>
    <row r="1666" spans="1:7" x14ac:dyDescent="0.25">
      <c r="C1666" s="335"/>
      <c r="D1666" s="485"/>
    </row>
    <row r="1667" spans="1:7" x14ac:dyDescent="0.25">
      <c r="C1667" s="335"/>
      <c r="D1667" s="485"/>
    </row>
    <row r="1668" spans="1:7" ht="15.75" x14ac:dyDescent="0.25">
      <c r="C1668" s="334" t="s">
        <v>663</v>
      </c>
      <c r="D1668" s="484"/>
      <c r="E1668" s="333"/>
      <c r="F1668" s="327" t="s">
        <v>607</v>
      </c>
      <c r="G1668" s="327" t="s">
        <v>121</v>
      </c>
    </row>
    <row r="1669" spans="1:7" ht="15.75" x14ac:dyDescent="0.25">
      <c r="C1669" s="334"/>
      <c r="D1669" s="484"/>
      <c r="E1669" s="333"/>
      <c r="F1669" s="327" t="s">
        <v>601</v>
      </c>
      <c r="G1669" s="327" t="s">
        <v>120</v>
      </c>
    </row>
    <row r="1670" spans="1:7" x14ac:dyDescent="0.25">
      <c r="C1670" s="330"/>
      <c r="D1670" s="482"/>
      <c r="E1670" s="329"/>
      <c r="F1670" s="327" t="s">
        <v>651</v>
      </c>
      <c r="G1670" s="331">
        <f>[2]Sheet1!$D$471</f>
        <v>1000000</v>
      </c>
    </row>
    <row r="1671" spans="1:7" ht="15.75" thickBot="1" x14ac:dyDescent="0.3">
      <c r="C1671" s="330"/>
      <c r="D1671" s="482"/>
      <c r="E1671" s="329"/>
      <c r="F1671" s="327" t="s">
        <v>650</v>
      </c>
      <c r="G1671" s="326">
        <f>+F1690-G1670</f>
        <v>1345000</v>
      </c>
    </row>
    <row r="1672" spans="1:7" x14ac:dyDescent="0.25">
      <c r="A1672" s="571" t="s">
        <v>655</v>
      </c>
      <c r="B1672" s="573" t="s">
        <v>606</v>
      </c>
      <c r="C1672" s="588" t="s">
        <v>649</v>
      </c>
      <c r="D1672" s="599" t="s">
        <v>648</v>
      </c>
      <c r="E1672" s="577" t="s">
        <v>647</v>
      </c>
      <c r="F1672" s="577" t="s">
        <v>646</v>
      </c>
      <c r="G1672" s="580" t="s">
        <v>645</v>
      </c>
    </row>
    <row r="1673" spans="1:7" ht="15.75" thickBot="1" x14ac:dyDescent="0.3">
      <c r="A1673" s="572"/>
      <c r="B1673" s="574"/>
      <c r="C1673" s="589"/>
      <c r="D1673" s="600"/>
      <c r="E1673" s="578"/>
      <c r="F1673" s="578"/>
      <c r="G1673" s="581"/>
    </row>
    <row r="1674" spans="1:7" ht="15.75" thickBot="1" x14ac:dyDescent="0.3">
      <c r="A1674" s="425">
        <v>1</v>
      </c>
      <c r="B1674" s="425">
        <v>2</v>
      </c>
      <c r="C1674" s="425">
        <v>3</v>
      </c>
      <c r="D1674" s="425">
        <v>4</v>
      </c>
      <c r="E1674" s="425">
        <v>5</v>
      </c>
      <c r="F1674" s="425">
        <v>6</v>
      </c>
      <c r="G1674" s="425">
        <v>7</v>
      </c>
    </row>
    <row r="1675" spans="1:7" x14ac:dyDescent="0.25">
      <c r="A1675" s="320" t="str">
        <f t="shared" ref="A1675:A1689" si="55">$G$1668&amp;B1675</f>
        <v>II.3.1.3.02.0011</v>
      </c>
      <c r="B1675" s="320">
        <v>1</v>
      </c>
      <c r="C1675" s="339">
        <f>IFERROR(VLOOKUP(A1675,[3]DOORSCRIEFT!$A$2:$G$6834,2,FALSE),"")</f>
        <v>315</v>
      </c>
      <c r="D1675" s="481">
        <f>IFERROR(VLOOKUP(A1675,[3]DOORSCRIEFT!$A$2:$G$6834,3,FALSE),"")</f>
        <v>46089</v>
      </c>
      <c r="E1675" s="480" t="str">
        <f>IFERROR(VLOOKUP(A1675,[3]DOORSCRIEFT!$A$2:$G$6834,4,FALSE),"")</f>
        <v>Biaya kegiatan pelatihan ECO Kids</v>
      </c>
      <c r="F1675" s="405">
        <f>IFERROR(VLOOKUP(A1675,[3]DOORSCRIEFT!$A$2:$G$6834,7,FALSE),"")</f>
        <v>2345000</v>
      </c>
      <c r="G1675" s="322"/>
    </row>
    <row r="1676" spans="1:7" x14ac:dyDescent="0.25">
      <c r="A1676" s="321" t="str">
        <f t="shared" si="55"/>
        <v>II.3.1.3.02.0012</v>
      </c>
      <c r="B1676" s="321">
        <v>2</v>
      </c>
      <c r="C1676" s="339" t="str">
        <f>IFERROR(VLOOKUP(A1676,[3]DOORSCRIEFT!$A$2:$G$6834,2,FALSE),"")</f>
        <v/>
      </c>
      <c r="D1676" s="481" t="str">
        <f>IFERROR(VLOOKUP(A1676,[3]DOORSCRIEFT!$A$2:$G$6834,3,FALSE),"")</f>
        <v/>
      </c>
      <c r="E1676" s="480" t="str">
        <f>IFERROR(VLOOKUP(A1676,[3]DOORSCRIEFT!$A$2:$G$6834,4,FALSE),"")</f>
        <v/>
      </c>
      <c r="F1676" s="405" t="str">
        <f>IFERROR(VLOOKUP(A1676,[3]DOORSCRIEFT!$A$2:$G$6834,7,FALSE),"")</f>
        <v/>
      </c>
      <c r="G1676" s="315"/>
    </row>
    <row r="1677" spans="1:7" x14ac:dyDescent="0.25">
      <c r="A1677" s="321" t="str">
        <f t="shared" si="55"/>
        <v>II.3.1.3.02.0013</v>
      </c>
      <c r="B1677" s="321">
        <v>3</v>
      </c>
      <c r="C1677" s="339" t="str">
        <f>IFERROR(VLOOKUP(A1677,[3]DOORSCRIEFT!$A$2:$G$6834,2,FALSE),"")</f>
        <v/>
      </c>
      <c r="D1677" s="481" t="str">
        <f>IFERROR(VLOOKUP(A1677,[3]DOORSCRIEFT!$A$2:$G$6834,3,FALSE),"")</f>
        <v/>
      </c>
      <c r="E1677" s="480" t="str">
        <f>IFERROR(VLOOKUP(A1677,[3]DOORSCRIEFT!$A$2:$G$6834,4,FALSE),"")</f>
        <v/>
      </c>
      <c r="F1677" s="405" t="str">
        <f>IFERROR(VLOOKUP(A1677,[3]DOORSCRIEFT!$A$2:$G$6834,7,FALSE),"")</f>
        <v/>
      </c>
      <c r="G1677" s="315"/>
    </row>
    <row r="1678" spans="1:7" x14ac:dyDescent="0.25">
      <c r="A1678" s="321" t="str">
        <f t="shared" si="55"/>
        <v>II.3.1.3.02.0014</v>
      </c>
      <c r="B1678" s="321">
        <v>4</v>
      </c>
      <c r="C1678" s="339" t="str">
        <f>IFERROR(VLOOKUP(A1678,[3]DOORSCRIEFT!$A$2:$G$6834,2,FALSE),"")</f>
        <v/>
      </c>
      <c r="D1678" s="481" t="str">
        <f>IFERROR(VLOOKUP(A1678,[3]DOORSCRIEFT!$A$2:$G$6834,3,FALSE),"")</f>
        <v/>
      </c>
      <c r="E1678" s="480" t="str">
        <f>IFERROR(VLOOKUP(A1678,[3]DOORSCRIEFT!$A$2:$G$6834,4,FALSE),"")</f>
        <v/>
      </c>
      <c r="F1678" s="405" t="str">
        <f>IFERROR(VLOOKUP(A1678,[3]DOORSCRIEFT!$A$2:$G$6834,7,FALSE),"")</f>
        <v/>
      </c>
      <c r="G1678" s="315"/>
    </row>
    <row r="1679" spans="1:7" x14ac:dyDescent="0.25">
      <c r="A1679" s="321" t="str">
        <f t="shared" si="55"/>
        <v>II.3.1.3.02.0015</v>
      </c>
      <c r="B1679" s="321">
        <v>5</v>
      </c>
      <c r="C1679" s="339" t="str">
        <f>IFERROR(VLOOKUP(A1679,[3]DOORSCRIEFT!$A$2:$G$6834,2,FALSE),"")</f>
        <v/>
      </c>
      <c r="D1679" s="481" t="str">
        <f>IFERROR(VLOOKUP(A1679,[3]DOORSCRIEFT!$A$2:$G$6834,3,FALSE),"")</f>
        <v/>
      </c>
      <c r="E1679" s="480" t="str">
        <f>IFERROR(VLOOKUP(A1679,[3]DOORSCRIEFT!$A$2:$G$6834,4,FALSE),"")</f>
        <v/>
      </c>
      <c r="F1679" s="405" t="str">
        <f>IFERROR(VLOOKUP(A1679,[3]DOORSCRIEFT!$A$2:$G$6834,7,FALSE),"")</f>
        <v/>
      </c>
      <c r="G1679" s="315"/>
    </row>
    <row r="1680" spans="1:7" x14ac:dyDescent="0.25">
      <c r="A1680" s="321" t="str">
        <f t="shared" si="55"/>
        <v>II.3.1.3.02.0016</v>
      </c>
      <c r="B1680" s="321">
        <v>6</v>
      </c>
      <c r="C1680" s="339" t="str">
        <f>IFERROR(VLOOKUP(A1680,[3]DOORSCRIEFT!$A$2:$G$6834,2,FALSE),"")</f>
        <v/>
      </c>
      <c r="D1680" s="481" t="str">
        <f>IFERROR(VLOOKUP(A1680,[3]DOORSCRIEFT!$A$2:$G$6834,3,FALSE),"")</f>
        <v/>
      </c>
      <c r="E1680" s="480" t="str">
        <f>IFERROR(VLOOKUP(A1680,[3]DOORSCRIEFT!$A$2:$G$6834,4,FALSE),"")</f>
        <v/>
      </c>
      <c r="F1680" s="405" t="str">
        <f>IFERROR(VLOOKUP(A1680,[3]DOORSCRIEFT!$A$2:$G$6834,7,FALSE),"")</f>
        <v/>
      </c>
      <c r="G1680" s="315"/>
    </row>
    <row r="1681" spans="1:7" x14ac:dyDescent="0.25">
      <c r="A1681" s="321" t="str">
        <f t="shared" si="55"/>
        <v>II.3.1.3.02.0017</v>
      </c>
      <c r="B1681" s="321">
        <v>7</v>
      </c>
      <c r="C1681" s="339" t="str">
        <f>IFERROR(VLOOKUP(A1681,[3]DOORSCRIEFT!$A$2:$G$6834,2,FALSE),"")</f>
        <v/>
      </c>
      <c r="D1681" s="481" t="str">
        <f>IFERROR(VLOOKUP(A1681,[3]DOORSCRIEFT!$A$2:$G$6834,3,FALSE),"")</f>
        <v/>
      </c>
      <c r="E1681" s="480" t="str">
        <f>IFERROR(VLOOKUP(A1681,[3]DOORSCRIEFT!$A$2:$G$6834,4,FALSE),"")</f>
        <v/>
      </c>
      <c r="F1681" s="405" t="str">
        <f>IFERROR(VLOOKUP(A1681,[3]DOORSCRIEFT!$A$2:$G$6834,7,FALSE),"")</f>
        <v/>
      </c>
      <c r="G1681" s="315"/>
    </row>
    <row r="1682" spans="1:7" x14ac:dyDescent="0.25">
      <c r="A1682" s="321" t="str">
        <f t="shared" si="55"/>
        <v>II.3.1.3.02.0018</v>
      </c>
      <c r="B1682" s="321">
        <v>8</v>
      </c>
      <c r="C1682" s="339" t="str">
        <f>IFERROR(VLOOKUP(A1682,[3]DOORSCRIEFT!$A$2:$G$6834,2,FALSE),"")</f>
        <v/>
      </c>
      <c r="D1682" s="481" t="str">
        <f>IFERROR(VLOOKUP(A1682,[3]DOORSCRIEFT!$A$2:$G$6834,3,FALSE),"")</f>
        <v/>
      </c>
      <c r="E1682" s="480" t="str">
        <f>IFERROR(VLOOKUP(A1682,[3]DOORSCRIEFT!$A$2:$G$6834,4,FALSE),"")</f>
        <v/>
      </c>
      <c r="F1682" s="405" t="str">
        <f>IFERROR(VLOOKUP(A1682,[3]DOORSCRIEFT!$A$2:$G$6834,7,FALSE),"")</f>
        <v/>
      </c>
      <c r="G1682" s="315"/>
    </row>
    <row r="1683" spans="1:7" x14ac:dyDescent="0.25">
      <c r="A1683" s="321" t="str">
        <f t="shared" si="55"/>
        <v>II.3.1.3.02.0019</v>
      </c>
      <c r="B1683" s="321">
        <v>9</v>
      </c>
      <c r="C1683" s="339" t="str">
        <f>IFERROR(VLOOKUP(A1683,[3]DOORSCRIEFT!$A$2:$G$6834,2,FALSE),"")</f>
        <v/>
      </c>
      <c r="D1683" s="481" t="str">
        <f>IFERROR(VLOOKUP(A1683,[3]DOORSCRIEFT!$A$2:$G$6834,3,FALSE),"")</f>
        <v/>
      </c>
      <c r="E1683" s="480" t="str">
        <f>IFERROR(VLOOKUP(A1683,[3]DOORSCRIEFT!$A$2:$G$6834,4,FALSE),"")</f>
        <v/>
      </c>
      <c r="F1683" s="405" t="str">
        <f>IFERROR(VLOOKUP(A1683,[3]DOORSCRIEFT!$A$2:$G$6834,7,FALSE),"")</f>
        <v/>
      </c>
      <c r="G1683" s="315"/>
    </row>
    <row r="1684" spans="1:7" x14ac:dyDescent="0.25">
      <c r="A1684" s="321" t="str">
        <f t="shared" si="55"/>
        <v>II.3.1.3.02.00110</v>
      </c>
      <c r="B1684" s="321">
        <v>10</v>
      </c>
      <c r="C1684" s="339" t="str">
        <f>IFERROR(VLOOKUP(A1684,[3]DOORSCRIEFT!$A$2:$G$6834,2,FALSE),"")</f>
        <v/>
      </c>
      <c r="D1684" s="481" t="str">
        <f>IFERROR(VLOOKUP(A1684,[3]DOORSCRIEFT!$A$2:$G$6834,3,FALSE),"")</f>
        <v/>
      </c>
      <c r="E1684" s="480" t="str">
        <f>IFERROR(VLOOKUP(A1684,[3]DOORSCRIEFT!$A$2:$G$6834,4,FALSE),"")</f>
        <v/>
      </c>
      <c r="F1684" s="405" t="str">
        <f>IFERROR(VLOOKUP(A1684,[3]DOORSCRIEFT!$A$2:$G$6834,7,FALSE),"")</f>
        <v/>
      </c>
      <c r="G1684" s="315"/>
    </row>
    <row r="1685" spans="1:7" x14ac:dyDescent="0.25">
      <c r="A1685" s="321" t="str">
        <f t="shared" si="55"/>
        <v>II.3.1.3.02.00111</v>
      </c>
      <c r="B1685" s="321">
        <v>11</v>
      </c>
      <c r="C1685" s="339" t="str">
        <f>IFERROR(VLOOKUP(A1685,[3]DOORSCRIEFT!$A$2:$G$6834,2,FALSE),"")</f>
        <v/>
      </c>
      <c r="D1685" s="481" t="str">
        <f>IFERROR(VLOOKUP(A1685,[3]DOORSCRIEFT!$A$2:$G$6834,3,FALSE),"")</f>
        <v/>
      </c>
      <c r="E1685" s="480" t="str">
        <f>IFERROR(VLOOKUP(A1685,[3]DOORSCRIEFT!$A$2:$G$6834,4,FALSE),"")</f>
        <v/>
      </c>
      <c r="F1685" s="405" t="str">
        <f>IFERROR(VLOOKUP(A1685,[3]DOORSCRIEFT!$A$2:$G$6834,7,FALSE),"")</f>
        <v/>
      </c>
      <c r="G1685" s="315"/>
    </row>
    <row r="1686" spans="1:7" x14ac:dyDescent="0.25">
      <c r="A1686" s="321" t="str">
        <f t="shared" si="55"/>
        <v>II.3.1.3.02.00112</v>
      </c>
      <c r="B1686" s="321">
        <v>12</v>
      </c>
      <c r="C1686" s="339" t="str">
        <f>IFERROR(VLOOKUP(A1686,[3]DOORSCRIEFT!$A$2:$G$6834,2,FALSE),"")</f>
        <v/>
      </c>
      <c r="D1686" s="481" t="str">
        <f>IFERROR(VLOOKUP(A1686,[3]DOORSCRIEFT!$A$2:$G$6834,3,FALSE),"")</f>
        <v/>
      </c>
      <c r="E1686" s="480" t="str">
        <f>IFERROR(VLOOKUP(A1686,[3]DOORSCRIEFT!$A$2:$G$6834,4,FALSE),"")</f>
        <v/>
      </c>
      <c r="F1686" s="405" t="str">
        <f>IFERROR(VLOOKUP(A1686,[3]DOORSCRIEFT!$A$2:$G$6834,7,FALSE),"")</f>
        <v/>
      </c>
      <c r="G1686" s="315"/>
    </row>
    <row r="1687" spans="1:7" x14ac:dyDescent="0.25">
      <c r="A1687" s="321" t="str">
        <f t="shared" si="55"/>
        <v>II.3.1.3.02.00113</v>
      </c>
      <c r="B1687" s="321">
        <v>13</v>
      </c>
      <c r="C1687" s="339" t="str">
        <f>IFERROR(VLOOKUP(A1687,[3]DOORSCRIEFT!$A$2:$G$6834,2,FALSE),"")</f>
        <v/>
      </c>
      <c r="D1687" s="481" t="str">
        <f>IFERROR(VLOOKUP(A1687,[3]DOORSCRIEFT!$A$2:$G$6834,3,FALSE),"")</f>
        <v/>
      </c>
      <c r="E1687" s="480" t="str">
        <f>IFERROR(VLOOKUP(A1687,[3]DOORSCRIEFT!$A$2:$G$6834,4,FALSE),"")</f>
        <v/>
      </c>
      <c r="F1687" s="405" t="str">
        <f>IFERROR(VLOOKUP(A1687,[3]DOORSCRIEFT!$A$2:$G$6834,7,FALSE),"")</f>
        <v/>
      </c>
      <c r="G1687" s="315"/>
    </row>
    <row r="1688" spans="1:7" x14ac:dyDescent="0.25">
      <c r="A1688" s="321" t="str">
        <f t="shared" si="55"/>
        <v>II.3.1.3.02.00114</v>
      </c>
      <c r="B1688" s="321">
        <v>14</v>
      </c>
      <c r="C1688" s="339" t="str">
        <f>IFERROR(VLOOKUP(A1688,[3]DOORSCRIEFT!$A$2:$G$6834,2,FALSE),"")</f>
        <v/>
      </c>
      <c r="D1688" s="481" t="str">
        <f>IFERROR(VLOOKUP(A1688,[3]DOORSCRIEFT!$A$2:$G$6834,3,FALSE),"")</f>
        <v/>
      </c>
      <c r="E1688" s="480" t="str">
        <f>IFERROR(VLOOKUP(A1688,[3]DOORSCRIEFT!$A$2:$G$6834,4,FALSE),"")</f>
        <v/>
      </c>
      <c r="F1688" s="405" t="str">
        <f>IFERROR(VLOOKUP(A1688,[3]DOORSCRIEFT!$A$2:$G$6834,7,FALSE),"")</f>
        <v/>
      </c>
      <c r="G1688" s="315"/>
    </row>
    <row r="1689" spans="1:7" ht="15.75" thickBot="1" x14ac:dyDescent="0.3">
      <c r="A1689" s="342" t="str">
        <f t="shared" si="55"/>
        <v>II.3.1.3.02.00115</v>
      </c>
      <c r="B1689" s="342">
        <v>15</v>
      </c>
      <c r="C1689" s="339" t="str">
        <f>IFERROR(VLOOKUP(A1689,[3]DOORSCRIEFT!$A$2:$G$6834,2,FALSE),"")</f>
        <v/>
      </c>
      <c r="D1689" s="481" t="str">
        <f>IFERROR(VLOOKUP(A1689,[3]DOORSCRIEFT!$A$2:$G$6834,3,FALSE),"")</f>
        <v/>
      </c>
      <c r="E1689" s="480" t="str">
        <f>IFERROR(VLOOKUP(A1689,[3]DOORSCRIEFT!$A$2:$G$6834,4,FALSE),"")</f>
        <v/>
      </c>
      <c r="F1689" s="405" t="str">
        <f>IFERROR(VLOOKUP(A1689,[3]DOORSCRIEFT!$A$2:$G$6834,7,FALSE),"")</f>
        <v/>
      </c>
      <c r="G1689" s="315"/>
    </row>
    <row r="1690" spans="1:7" ht="15.75" thickBot="1" x14ac:dyDescent="0.3">
      <c r="A1690" s="341"/>
      <c r="B1690" s="340"/>
      <c r="C1690" s="336"/>
      <c r="D1690" s="486"/>
      <c r="E1690" s="340" t="s">
        <v>644</v>
      </c>
      <c r="F1690" s="310">
        <f>SUM(F1675:F1689)</f>
        <v>2345000</v>
      </c>
      <c r="G1690" s="309">
        <f>SUM(G1675:G1689)</f>
        <v>0</v>
      </c>
    </row>
    <row r="1691" spans="1:7" x14ac:dyDescent="0.25">
      <c r="C1691" s="335"/>
      <c r="D1691" s="485"/>
    </row>
    <row r="1692" spans="1:7" x14ac:dyDescent="0.25">
      <c r="C1692" s="335"/>
      <c r="D1692" s="485"/>
    </row>
    <row r="1693" spans="1:7" ht="15.75" x14ac:dyDescent="0.25">
      <c r="C1693" s="334" t="s">
        <v>663</v>
      </c>
      <c r="D1693" s="484"/>
      <c r="E1693" s="333"/>
      <c r="F1693" s="327" t="s">
        <v>607</v>
      </c>
      <c r="G1693" s="327" t="s">
        <v>119</v>
      </c>
    </row>
    <row r="1694" spans="1:7" ht="15.75" x14ac:dyDescent="0.25">
      <c r="C1694" s="334"/>
      <c r="D1694" s="484"/>
      <c r="E1694" s="333"/>
      <c r="F1694" s="327" t="s">
        <v>601</v>
      </c>
      <c r="G1694" s="327" t="s">
        <v>118</v>
      </c>
    </row>
    <row r="1695" spans="1:7" x14ac:dyDescent="0.25">
      <c r="C1695" s="330"/>
      <c r="D1695" s="482"/>
      <c r="E1695" s="329"/>
      <c r="F1695" s="327" t="s">
        <v>651</v>
      </c>
      <c r="G1695" s="331">
        <f>[2]Sheet1!$D$479</f>
        <v>0</v>
      </c>
    </row>
    <row r="1696" spans="1:7" ht="15.75" thickBot="1" x14ac:dyDescent="0.3">
      <c r="C1696" s="330"/>
      <c r="D1696" s="482"/>
      <c r="E1696" s="329"/>
      <c r="F1696" s="327" t="s">
        <v>650</v>
      </c>
      <c r="G1696" s="326">
        <f>+F1715-G1695</f>
        <v>0</v>
      </c>
    </row>
    <row r="1697" spans="1:7" x14ac:dyDescent="0.25">
      <c r="A1697" s="571" t="s">
        <v>655</v>
      </c>
      <c r="B1697" s="573" t="s">
        <v>606</v>
      </c>
      <c r="C1697" s="588" t="s">
        <v>649</v>
      </c>
      <c r="D1697" s="599" t="s">
        <v>648</v>
      </c>
      <c r="E1697" s="577" t="s">
        <v>647</v>
      </c>
      <c r="F1697" s="577" t="s">
        <v>646</v>
      </c>
      <c r="G1697" s="580" t="s">
        <v>645</v>
      </c>
    </row>
    <row r="1698" spans="1:7" ht="15.75" thickBot="1" x14ac:dyDescent="0.3">
      <c r="A1698" s="572"/>
      <c r="B1698" s="574"/>
      <c r="C1698" s="589"/>
      <c r="D1698" s="600"/>
      <c r="E1698" s="578"/>
      <c r="F1698" s="578"/>
      <c r="G1698" s="581"/>
    </row>
    <row r="1699" spans="1:7" ht="15.75" thickBot="1" x14ac:dyDescent="0.3">
      <c r="A1699" s="425">
        <v>1</v>
      </c>
      <c r="B1699" s="425">
        <v>2</v>
      </c>
      <c r="C1699" s="425">
        <v>3</v>
      </c>
      <c r="D1699" s="425">
        <v>4</v>
      </c>
      <c r="E1699" s="425">
        <v>5</v>
      </c>
      <c r="F1699" s="425">
        <v>6</v>
      </c>
      <c r="G1699" s="425">
        <v>7</v>
      </c>
    </row>
    <row r="1700" spans="1:7" x14ac:dyDescent="0.25">
      <c r="A1700" s="320" t="str">
        <f t="shared" ref="A1700:A1714" si="56">$G$1693&amp;B1700</f>
        <v>II.3.1.3.02.0021</v>
      </c>
      <c r="B1700" s="320">
        <v>1</v>
      </c>
      <c r="C1700" s="339" t="str">
        <f>IFERROR(VLOOKUP(A1700,[3]DOORSCRIEFT!$A$2:$G$6834,2,FALSE),"")</f>
        <v/>
      </c>
      <c r="D1700" s="481" t="str">
        <f>IFERROR(VLOOKUP(A1700,[3]DOORSCRIEFT!$A$2:$G$6834,3,FALSE),"")</f>
        <v/>
      </c>
      <c r="E1700" s="480" t="str">
        <f>IFERROR(VLOOKUP(A1700,[3]DOORSCRIEFT!$A$2:$G$6834,4,FALSE),"")</f>
        <v/>
      </c>
      <c r="F1700" s="405" t="str">
        <f>IFERROR(VLOOKUP(A1700,[3]DOORSCRIEFT!$A$2:$G$6834,7,FALSE),"")</f>
        <v/>
      </c>
      <c r="G1700" s="322"/>
    </row>
    <row r="1701" spans="1:7" x14ac:dyDescent="0.25">
      <c r="A1701" s="321" t="str">
        <f t="shared" si="56"/>
        <v>II.3.1.3.02.0022</v>
      </c>
      <c r="B1701" s="321">
        <v>2</v>
      </c>
      <c r="C1701" s="339" t="str">
        <f>IFERROR(VLOOKUP(A1701,[3]DOORSCRIEFT!$A$2:$G$6834,2,FALSE),"")</f>
        <v/>
      </c>
      <c r="D1701" s="481" t="str">
        <f>IFERROR(VLOOKUP(A1701,[3]DOORSCRIEFT!$A$2:$G$6834,3,FALSE),"")</f>
        <v/>
      </c>
      <c r="E1701" s="480" t="str">
        <f>IFERROR(VLOOKUP(A1701,[3]DOORSCRIEFT!$A$2:$G$6834,4,FALSE),"")</f>
        <v/>
      </c>
      <c r="F1701" s="405" t="str">
        <f>IFERROR(VLOOKUP(A1701,[3]DOORSCRIEFT!$A$2:$G$6834,7,FALSE),"")</f>
        <v/>
      </c>
      <c r="G1701" s="315"/>
    </row>
    <row r="1702" spans="1:7" x14ac:dyDescent="0.25">
      <c r="A1702" s="321" t="str">
        <f t="shared" si="56"/>
        <v>II.3.1.3.02.0023</v>
      </c>
      <c r="B1702" s="321">
        <v>3</v>
      </c>
      <c r="C1702" s="339" t="str">
        <f>IFERROR(VLOOKUP(A1702,[3]DOORSCRIEFT!$A$2:$G$6834,2,FALSE),"")</f>
        <v/>
      </c>
      <c r="D1702" s="481" t="str">
        <f>IFERROR(VLOOKUP(A1702,[3]DOORSCRIEFT!$A$2:$G$6834,3,FALSE),"")</f>
        <v/>
      </c>
      <c r="E1702" s="480" t="str">
        <f>IFERROR(VLOOKUP(A1702,[3]DOORSCRIEFT!$A$2:$G$6834,4,FALSE),"")</f>
        <v/>
      </c>
      <c r="F1702" s="405" t="str">
        <f>IFERROR(VLOOKUP(A1702,[3]DOORSCRIEFT!$A$2:$G$6834,7,FALSE),"")</f>
        <v/>
      </c>
      <c r="G1702" s="315"/>
    </row>
    <row r="1703" spans="1:7" x14ac:dyDescent="0.25">
      <c r="A1703" s="321" t="str">
        <f t="shared" si="56"/>
        <v>II.3.1.3.02.0024</v>
      </c>
      <c r="B1703" s="321">
        <v>4</v>
      </c>
      <c r="C1703" s="339" t="str">
        <f>IFERROR(VLOOKUP(A1703,[3]DOORSCRIEFT!$A$2:$G$6834,2,FALSE),"")</f>
        <v/>
      </c>
      <c r="D1703" s="481" t="str">
        <f>IFERROR(VLOOKUP(A1703,[3]DOORSCRIEFT!$A$2:$G$6834,3,FALSE),"")</f>
        <v/>
      </c>
      <c r="E1703" s="480" t="str">
        <f>IFERROR(VLOOKUP(A1703,[3]DOORSCRIEFT!$A$2:$G$6834,4,FALSE),"")</f>
        <v/>
      </c>
      <c r="F1703" s="405" t="str">
        <f>IFERROR(VLOOKUP(A1703,[3]DOORSCRIEFT!$A$2:$G$6834,7,FALSE),"")</f>
        <v/>
      </c>
      <c r="G1703" s="315"/>
    </row>
    <row r="1704" spans="1:7" x14ac:dyDescent="0.25">
      <c r="A1704" s="321" t="str">
        <f t="shared" si="56"/>
        <v>II.3.1.3.02.0025</v>
      </c>
      <c r="B1704" s="321">
        <v>5</v>
      </c>
      <c r="C1704" s="339" t="str">
        <f>IFERROR(VLOOKUP(A1704,[3]DOORSCRIEFT!$A$2:$G$6834,2,FALSE),"")</f>
        <v/>
      </c>
      <c r="D1704" s="481" t="str">
        <f>IFERROR(VLOOKUP(A1704,[3]DOORSCRIEFT!$A$2:$G$6834,3,FALSE),"")</f>
        <v/>
      </c>
      <c r="E1704" s="480" t="str">
        <f>IFERROR(VLOOKUP(A1704,[3]DOORSCRIEFT!$A$2:$G$6834,4,FALSE),"")</f>
        <v/>
      </c>
      <c r="F1704" s="405" t="str">
        <f>IFERROR(VLOOKUP(A1704,[3]DOORSCRIEFT!$A$2:$G$6834,7,FALSE),"")</f>
        <v/>
      </c>
      <c r="G1704" s="315"/>
    </row>
    <row r="1705" spans="1:7" x14ac:dyDescent="0.25">
      <c r="A1705" s="321" t="str">
        <f t="shared" si="56"/>
        <v>II.3.1.3.02.0026</v>
      </c>
      <c r="B1705" s="321">
        <v>6</v>
      </c>
      <c r="C1705" s="339" t="str">
        <f>IFERROR(VLOOKUP(A1705,[3]DOORSCRIEFT!$A$2:$G$6834,2,FALSE),"")</f>
        <v/>
      </c>
      <c r="D1705" s="481" t="str">
        <f>IFERROR(VLOOKUP(A1705,[3]DOORSCRIEFT!$A$2:$G$6834,3,FALSE),"")</f>
        <v/>
      </c>
      <c r="E1705" s="480" t="str">
        <f>IFERROR(VLOOKUP(A1705,[3]DOORSCRIEFT!$A$2:$G$6834,4,FALSE),"")</f>
        <v/>
      </c>
      <c r="F1705" s="405" t="str">
        <f>IFERROR(VLOOKUP(A1705,[3]DOORSCRIEFT!$A$2:$G$6834,7,FALSE),"")</f>
        <v/>
      </c>
      <c r="G1705" s="315"/>
    </row>
    <row r="1706" spans="1:7" x14ac:dyDescent="0.25">
      <c r="A1706" s="321" t="str">
        <f t="shared" si="56"/>
        <v>II.3.1.3.02.0027</v>
      </c>
      <c r="B1706" s="321">
        <v>7</v>
      </c>
      <c r="C1706" s="339" t="str">
        <f>IFERROR(VLOOKUP(A1706,[3]DOORSCRIEFT!$A$2:$G$6834,2,FALSE),"")</f>
        <v/>
      </c>
      <c r="D1706" s="481" t="str">
        <f>IFERROR(VLOOKUP(A1706,[3]DOORSCRIEFT!$A$2:$G$6834,3,FALSE),"")</f>
        <v/>
      </c>
      <c r="E1706" s="480" t="str">
        <f>IFERROR(VLOOKUP(A1706,[3]DOORSCRIEFT!$A$2:$G$6834,4,FALSE),"")</f>
        <v/>
      </c>
      <c r="F1706" s="405" t="str">
        <f>IFERROR(VLOOKUP(A1706,[3]DOORSCRIEFT!$A$2:$G$6834,7,FALSE),"")</f>
        <v/>
      </c>
      <c r="G1706" s="315"/>
    </row>
    <row r="1707" spans="1:7" x14ac:dyDescent="0.25">
      <c r="A1707" s="321" t="str">
        <f t="shared" si="56"/>
        <v>II.3.1.3.02.0028</v>
      </c>
      <c r="B1707" s="321">
        <v>8</v>
      </c>
      <c r="C1707" s="339" t="str">
        <f>IFERROR(VLOOKUP(A1707,[3]DOORSCRIEFT!$A$2:$G$6834,2,FALSE),"")</f>
        <v/>
      </c>
      <c r="D1707" s="481" t="str">
        <f>IFERROR(VLOOKUP(A1707,[3]DOORSCRIEFT!$A$2:$G$6834,3,FALSE),"")</f>
        <v/>
      </c>
      <c r="E1707" s="480" t="str">
        <f>IFERROR(VLOOKUP(A1707,[3]DOORSCRIEFT!$A$2:$G$6834,4,FALSE),"")</f>
        <v/>
      </c>
      <c r="F1707" s="405" t="str">
        <f>IFERROR(VLOOKUP(A1707,[3]DOORSCRIEFT!$A$2:$G$6834,7,FALSE),"")</f>
        <v/>
      </c>
      <c r="G1707" s="315"/>
    </row>
    <row r="1708" spans="1:7" x14ac:dyDescent="0.25">
      <c r="A1708" s="321" t="str">
        <f t="shared" si="56"/>
        <v>II.3.1.3.02.0029</v>
      </c>
      <c r="B1708" s="321">
        <v>9</v>
      </c>
      <c r="C1708" s="339" t="str">
        <f>IFERROR(VLOOKUP(A1708,[3]DOORSCRIEFT!$A$2:$G$6834,2,FALSE),"")</f>
        <v/>
      </c>
      <c r="D1708" s="481" t="str">
        <f>IFERROR(VLOOKUP(A1708,[3]DOORSCRIEFT!$A$2:$G$6834,3,FALSE),"")</f>
        <v/>
      </c>
      <c r="E1708" s="480" t="str">
        <f>IFERROR(VLOOKUP(A1708,[3]DOORSCRIEFT!$A$2:$G$6834,4,FALSE),"")</f>
        <v/>
      </c>
      <c r="F1708" s="405" t="str">
        <f>IFERROR(VLOOKUP(A1708,[3]DOORSCRIEFT!$A$2:$G$6834,7,FALSE),"")</f>
        <v/>
      </c>
      <c r="G1708" s="315"/>
    </row>
    <row r="1709" spans="1:7" x14ac:dyDescent="0.25">
      <c r="A1709" s="321" t="str">
        <f t="shared" si="56"/>
        <v>II.3.1.3.02.00210</v>
      </c>
      <c r="B1709" s="321">
        <v>10</v>
      </c>
      <c r="C1709" s="339" t="str">
        <f>IFERROR(VLOOKUP(A1709,[3]DOORSCRIEFT!$A$2:$G$6834,2,FALSE),"")</f>
        <v/>
      </c>
      <c r="D1709" s="481" t="str">
        <f>IFERROR(VLOOKUP(A1709,[3]DOORSCRIEFT!$A$2:$G$6834,3,FALSE),"")</f>
        <v/>
      </c>
      <c r="E1709" s="480" t="str">
        <f>IFERROR(VLOOKUP(A1709,[3]DOORSCRIEFT!$A$2:$G$6834,4,FALSE),"")</f>
        <v/>
      </c>
      <c r="F1709" s="405" t="str">
        <f>IFERROR(VLOOKUP(A1709,[3]DOORSCRIEFT!$A$2:$G$6834,7,FALSE),"")</f>
        <v/>
      </c>
      <c r="G1709" s="315"/>
    </row>
    <row r="1710" spans="1:7" x14ac:dyDescent="0.25">
      <c r="A1710" s="321" t="str">
        <f t="shared" si="56"/>
        <v>II.3.1.3.02.00211</v>
      </c>
      <c r="B1710" s="321">
        <v>11</v>
      </c>
      <c r="C1710" s="339" t="str">
        <f>IFERROR(VLOOKUP(A1710,[3]DOORSCRIEFT!$A$2:$G$6834,2,FALSE),"")</f>
        <v/>
      </c>
      <c r="D1710" s="481" t="str">
        <f>IFERROR(VLOOKUP(A1710,[3]DOORSCRIEFT!$A$2:$G$6834,3,FALSE),"")</f>
        <v/>
      </c>
      <c r="E1710" s="480" t="str">
        <f>IFERROR(VLOOKUP(A1710,[3]DOORSCRIEFT!$A$2:$G$6834,4,FALSE),"")</f>
        <v/>
      </c>
      <c r="F1710" s="405" t="str">
        <f>IFERROR(VLOOKUP(A1710,[3]DOORSCRIEFT!$A$2:$G$6834,7,FALSE),"")</f>
        <v/>
      </c>
      <c r="G1710" s="315"/>
    </row>
    <row r="1711" spans="1:7" x14ac:dyDescent="0.25">
      <c r="A1711" s="321" t="str">
        <f t="shared" si="56"/>
        <v>II.3.1.3.02.00212</v>
      </c>
      <c r="B1711" s="321">
        <v>12</v>
      </c>
      <c r="C1711" s="339" t="str">
        <f>IFERROR(VLOOKUP(A1711,[3]DOORSCRIEFT!$A$2:$G$6834,2,FALSE),"")</f>
        <v/>
      </c>
      <c r="D1711" s="481" t="str">
        <f>IFERROR(VLOOKUP(A1711,[3]DOORSCRIEFT!$A$2:$G$6834,3,FALSE),"")</f>
        <v/>
      </c>
      <c r="E1711" s="480" t="str">
        <f>IFERROR(VLOOKUP(A1711,[3]DOORSCRIEFT!$A$2:$G$6834,4,FALSE),"")</f>
        <v/>
      </c>
      <c r="F1711" s="405" t="str">
        <f>IFERROR(VLOOKUP(A1711,[3]DOORSCRIEFT!$A$2:$G$6834,7,FALSE),"")</f>
        <v/>
      </c>
      <c r="G1711" s="315"/>
    </row>
    <row r="1712" spans="1:7" x14ac:dyDescent="0.25">
      <c r="A1712" s="321" t="str">
        <f t="shared" si="56"/>
        <v>II.3.1.3.02.00213</v>
      </c>
      <c r="B1712" s="321">
        <v>13</v>
      </c>
      <c r="C1712" s="339" t="str">
        <f>IFERROR(VLOOKUP(A1712,[3]DOORSCRIEFT!$A$2:$G$6834,2,FALSE),"")</f>
        <v/>
      </c>
      <c r="D1712" s="481" t="str">
        <f>IFERROR(VLOOKUP(A1712,[3]DOORSCRIEFT!$A$2:$G$6834,3,FALSE),"")</f>
        <v/>
      </c>
      <c r="E1712" s="480" t="str">
        <f>IFERROR(VLOOKUP(A1712,[3]DOORSCRIEFT!$A$2:$G$6834,4,FALSE),"")</f>
        <v/>
      </c>
      <c r="F1712" s="405" t="str">
        <f>IFERROR(VLOOKUP(A1712,[3]DOORSCRIEFT!$A$2:$G$6834,7,FALSE),"")</f>
        <v/>
      </c>
      <c r="G1712" s="315"/>
    </row>
    <row r="1713" spans="1:7" x14ac:dyDescent="0.25">
      <c r="A1713" s="321" t="str">
        <f t="shared" si="56"/>
        <v>II.3.1.3.02.00214</v>
      </c>
      <c r="B1713" s="321">
        <v>14</v>
      </c>
      <c r="C1713" s="339" t="str">
        <f>IFERROR(VLOOKUP(A1713,[3]DOORSCRIEFT!$A$2:$G$6834,2,FALSE),"")</f>
        <v/>
      </c>
      <c r="D1713" s="481" t="str">
        <f>IFERROR(VLOOKUP(A1713,[3]DOORSCRIEFT!$A$2:$G$6834,3,FALSE),"")</f>
        <v/>
      </c>
      <c r="E1713" s="480" t="str">
        <f>IFERROR(VLOOKUP(A1713,[3]DOORSCRIEFT!$A$2:$G$6834,4,FALSE),"")</f>
        <v/>
      </c>
      <c r="F1713" s="405" t="str">
        <f>IFERROR(VLOOKUP(A1713,[3]DOORSCRIEFT!$A$2:$G$6834,7,FALSE),"")</f>
        <v/>
      </c>
      <c r="G1713" s="315"/>
    </row>
    <row r="1714" spans="1:7" ht="15.75" thickBot="1" x14ac:dyDescent="0.3">
      <c r="A1714" s="342" t="str">
        <f t="shared" si="56"/>
        <v>II.3.1.3.02.00215</v>
      </c>
      <c r="B1714" s="342">
        <v>15</v>
      </c>
      <c r="C1714" s="339" t="str">
        <f>IFERROR(VLOOKUP(A1714,[3]DOORSCRIEFT!$A$2:$G$6834,2,FALSE),"")</f>
        <v/>
      </c>
      <c r="D1714" s="481" t="str">
        <f>IFERROR(VLOOKUP(A1714,[3]DOORSCRIEFT!$A$2:$G$6834,3,FALSE),"")</f>
        <v/>
      </c>
      <c r="E1714" s="480" t="str">
        <f>IFERROR(VLOOKUP(A1714,[3]DOORSCRIEFT!$A$2:$G$6834,4,FALSE),"")</f>
        <v/>
      </c>
      <c r="F1714" s="405" t="str">
        <f>IFERROR(VLOOKUP(A1714,[3]DOORSCRIEFT!$A$2:$G$6834,7,FALSE),"")</f>
        <v/>
      </c>
      <c r="G1714" s="315"/>
    </row>
    <row r="1715" spans="1:7" ht="15.75" thickBot="1" x14ac:dyDescent="0.3">
      <c r="A1715" s="341"/>
      <c r="B1715" s="340"/>
      <c r="C1715" s="336"/>
      <c r="D1715" s="486"/>
      <c r="E1715" s="340" t="s">
        <v>644</v>
      </c>
      <c r="F1715" s="310">
        <f>SUM(F1700:F1714)</f>
        <v>0</v>
      </c>
      <c r="G1715" s="309">
        <f>SUM(G1700:G1714)</f>
        <v>0</v>
      </c>
    </row>
    <row r="1716" spans="1:7" x14ac:dyDescent="0.25">
      <c r="C1716" s="335"/>
      <c r="D1716" s="485"/>
    </row>
    <row r="1717" spans="1:7" x14ac:dyDescent="0.25">
      <c r="C1717" s="335"/>
      <c r="D1717" s="485"/>
    </row>
    <row r="1718" spans="1:7" ht="15.75" x14ac:dyDescent="0.25">
      <c r="C1718" s="334" t="s">
        <v>663</v>
      </c>
      <c r="D1718" s="484"/>
      <c r="E1718" s="333"/>
      <c r="F1718" s="327" t="s">
        <v>607</v>
      </c>
      <c r="G1718" s="327" t="s">
        <v>112</v>
      </c>
    </row>
    <row r="1719" spans="1:7" ht="15.75" x14ac:dyDescent="0.25">
      <c r="C1719" s="334"/>
      <c r="D1719" s="484"/>
      <c r="E1719" s="333"/>
      <c r="F1719" s="327" t="s">
        <v>601</v>
      </c>
      <c r="G1719" s="327" t="s">
        <v>111</v>
      </c>
    </row>
    <row r="1720" spans="1:7" x14ac:dyDescent="0.25">
      <c r="C1720" s="330"/>
      <c r="D1720" s="482"/>
      <c r="E1720" s="329"/>
      <c r="F1720" s="327" t="s">
        <v>651</v>
      </c>
      <c r="G1720" s="331">
        <f>[2]Sheet1!$D$485</f>
        <v>0</v>
      </c>
    </row>
    <row r="1721" spans="1:7" ht="15.75" thickBot="1" x14ac:dyDescent="0.3">
      <c r="C1721" s="330"/>
      <c r="D1721" s="482"/>
      <c r="E1721" s="329"/>
      <c r="F1721" s="327" t="s">
        <v>650</v>
      </c>
      <c r="G1721" s="326">
        <f>+F1740-G1720</f>
        <v>0</v>
      </c>
    </row>
    <row r="1722" spans="1:7" x14ac:dyDescent="0.25">
      <c r="A1722" s="571" t="s">
        <v>655</v>
      </c>
      <c r="B1722" s="573" t="s">
        <v>606</v>
      </c>
      <c r="C1722" s="588" t="s">
        <v>649</v>
      </c>
      <c r="D1722" s="599" t="s">
        <v>648</v>
      </c>
      <c r="E1722" s="577" t="s">
        <v>647</v>
      </c>
      <c r="F1722" s="577" t="s">
        <v>646</v>
      </c>
      <c r="G1722" s="580" t="s">
        <v>645</v>
      </c>
    </row>
    <row r="1723" spans="1:7" ht="15.75" thickBot="1" x14ac:dyDescent="0.3">
      <c r="A1723" s="572"/>
      <c r="B1723" s="574"/>
      <c r="C1723" s="589"/>
      <c r="D1723" s="600"/>
      <c r="E1723" s="578"/>
      <c r="F1723" s="578"/>
      <c r="G1723" s="581"/>
    </row>
    <row r="1724" spans="1:7" ht="15.75" thickBot="1" x14ac:dyDescent="0.3">
      <c r="A1724" s="425">
        <v>1</v>
      </c>
      <c r="B1724" s="425">
        <v>2</v>
      </c>
      <c r="C1724" s="425">
        <v>3</v>
      </c>
      <c r="D1724" s="425">
        <v>4</v>
      </c>
      <c r="E1724" s="425">
        <v>5</v>
      </c>
      <c r="F1724" s="425">
        <v>6</v>
      </c>
      <c r="G1724" s="425">
        <v>7</v>
      </c>
    </row>
    <row r="1725" spans="1:7" x14ac:dyDescent="0.25">
      <c r="A1725" s="320" t="str">
        <f t="shared" ref="A1725:A1739" si="57">$G$1718&amp;B1725</f>
        <v>II.3.1.4.01.0011</v>
      </c>
      <c r="B1725" s="320">
        <v>1</v>
      </c>
      <c r="C1725" s="339" t="str">
        <f>IFERROR(VLOOKUP(A1725,[3]DOORSCRIEFT!$A$2:$G$6834,2,FALSE),"")</f>
        <v/>
      </c>
      <c r="D1725" s="481" t="str">
        <f>IFERROR(VLOOKUP(A1725,[3]DOORSCRIEFT!$A$2:$G$6834,3,FALSE),"")</f>
        <v/>
      </c>
      <c r="E1725" s="480" t="str">
        <f>IFERROR(VLOOKUP(A1725,[3]DOORSCRIEFT!$A$2:$G$6834,4,FALSE),"")</f>
        <v/>
      </c>
      <c r="F1725" s="405" t="str">
        <f>IFERROR(VLOOKUP(A1725,[3]DOORSCRIEFT!$A$2:$G$6834,7,FALSE),"")</f>
        <v/>
      </c>
      <c r="G1725" s="322"/>
    </row>
    <row r="1726" spans="1:7" x14ac:dyDescent="0.25">
      <c r="A1726" s="321" t="str">
        <f t="shared" si="57"/>
        <v>II.3.1.4.01.0012</v>
      </c>
      <c r="B1726" s="321">
        <v>2</v>
      </c>
      <c r="C1726" s="339" t="str">
        <f>IFERROR(VLOOKUP(A1726,[3]DOORSCRIEFT!$A$2:$G$6834,2,FALSE),"")</f>
        <v/>
      </c>
      <c r="D1726" s="481" t="str">
        <f>IFERROR(VLOOKUP(A1726,[3]DOORSCRIEFT!$A$2:$G$6834,3,FALSE),"")</f>
        <v/>
      </c>
      <c r="E1726" s="480" t="str">
        <f>IFERROR(VLOOKUP(A1726,[3]DOORSCRIEFT!$A$2:$G$6834,4,FALSE),"")</f>
        <v/>
      </c>
      <c r="F1726" s="405" t="str">
        <f>IFERROR(VLOOKUP(A1726,[3]DOORSCRIEFT!$A$2:$G$6834,7,FALSE),"")</f>
        <v/>
      </c>
      <c r="G1726" s="315"/>
    </row>
    <row r="1727" spans="1:7" x14ac:dyDescent="0.25">
      <c r="A1727" s="321" t="str">
        <f t="shared" si="57"/>
        <v>II.3.1.4.01.0013</v>
      </c>
      <c r="B1727" s="321">
        <v>3</v>
      </c>
      <c r="C1727" s="339" t="str">
        <f>IFERROR(VLOOKUP(A1727,[3]DOORSCRIEFT!$A$2:$G$6834,2,FALSE),"")</f>
        <v/>
      </c>
      <c r="D1727" s="481" t="str">
        <f>IFERROR(VLOOKUP(A1727,[3]DOORSCRIEFT!$A$2:$G$6834,3,FALSE),"")</f>
        <v/>
      </c>
      <c r="E1727" s="480" t="str">
        <f>IFERROR(VLOOKUP(A1727,[3]DOORSCRIEFT!$A$2:$G$6834,4,FALSE),"")</f>
        <v/>
      </c>
      <c r="F1727" s="405" t="str">
        <f>IFERROR(VLOOKUP(A1727,[3]DOORSCRIEFT!$A$2:$G$6834,7,FALSE),"")</f>
        <v/>
      </c>
      <c r="G1727" s="315"/>
    </row>
    <row r="1728" spans="1:7" x14ac:dyDescent="0.25">
      <c r="A1728" s="321" t="str">
        <f t="shared" si="57"/>
        <v>II.3.1.4.01.0014</v>
      </c>
      <c r="B1728" s="321">
        <v>4</v>
      </c>
      <c r="C1728" s="339" t="str">
        <f>IFERROR(VLOOKUP(A1728,[3]DOORSCRIEFT!$A$2:$G$6834,2,FALSE),"")</f>
        <v/>
      </c>
      <c r="D1728" s="481" t="str">
        <f>IFERROR(VLOOKUP(A1728,[3]DOORSCRIEFT!$A$2:$G$6834,3,FALSE),"")</f>
        <v/>
      </c>
      <c r="E1728" s="480" t="str">
        <f>IFERROR(VLOOKUP(A1728,[3]DOORSCRIEFT!$A$2:$G$6834,4,FALSE),"")</f>
        <v/>
      </c>
      <c r="F1728" s="405" t="str">
        <f>IFERROR(VLOOKUP(A1728,[3]DOORSCRIEFT!$A$2:$G$6834,7,FALSE),"")</f>
        <v/>
      </c>
      <c r="G1728" s="315"/>
    </row>
    <row r="1729" spans="1:7" x14ac:dyDescent="0.25">
      <c r="A1729" s="321" t="str">
        <f t="shared" si="57"/>
        <v>II.3.1.4.01.0015</v>
      </c>
      <c r="B1729" s="321">
        <v>5</v>
      </c>
      <c r="C1729" s="339" t="str">
        <f>IFERROR(VLOOKUP(A1729,[3]DOORSCRIEFT!$A$2:$G$6834,2,FALSE),"")</f>
        <v/>
      </c>
      <c r="D1729" s="481" t="str">
        <f>IFERROR(VLOOKUP(A1729,[3]DOORSCRIEFT!$A$2:$G$6834,3,FALSE),"")</f>
        <v/>
      </c>
      <c r="E1729" s="480" t="str">
        <f>IFERROR(VLOOKUP(A1729,[3]DOORSCRIEFT!$A$2:$G$6834,4,FALSE),"")</f>
        <v/>
      </c>
      <c r="F1729" s="405" t="str">
        <f>IFERROR(VLOOKUP(A1729,[3]DOORSCRIEFT!$A$2:$G$6834,7,FALSE),"")</f>
        <v/>
      </c>
      <c r="G1729" s="315"/>
    </row>
    <row r="1730" spans="1:7" x14ac:dyDescent="0.25">
      <c r="A1730" s="321" t="str">
        <f t="shared" si="57"/>
        <v>II.3.1.4.01.0016</v>
      </c>
      <c r="B1730" s="321">
        <v>6</v>
      </c>
      <c r="C1730" s="339" t="str">
        <f>IFERROR(VLOOKUP(A1730,[3]DOORSCRIEFT!$A$2:$G$6834,2,FALSE),"")</f>
        <v/>
      </c>
      <c r="D1730" s="481" t="str">
        <f>IFERROR(VLOOKUP(A1730,[3]DOORSCRIEFT!$A$2:$G$6834,3,FALSE),"")</f>
        <v/>
      </c>
      <c r="E1730" s="480" t="str">
        <f>IFERROR(VLOOKUP(A1730,[3]DOORSCRIEFT!$A$2:$G$6834,4,FALSE),"")</f>
        <v/>
      </c>
      <c r="F1730" s="405" t="str">
        <f>IFERROR(VLOOKUP(A1730,[3]DOORSCRIEFT!$A$2:$G$6834,7,FALSE),"")</f>
        <v/>
      </c>
      <c r="G1730" s="315"/>
    </row>
    <row r="1731" spans="1:7" x14ac:dyDescent="0.25">
      <c r="A1731" s="321" t="str">
        <f t="shared" si="57"/>
        <v>II.3.1.4.01.0017</v>
      </c>
      <c r="B1731" s="321">
        <v>7</v>
      </c>
      <c r="C1731" s="339" t="str">
        <f>IFERROR(VLOOKUP(A1731,[3]DOORSCRIEFT!$A$2:$G$6834,2,FALSE),"")</f>
        <v/>
      </c>
      <c r="D1731" s="481" t="str">
        <f>IFERROR(VLOOKUP(A1731,[3]DOORSCRIEFT!$A$2:$G$6834,3,FALSE),"")</f>
        <v/>
      </c>
      <c r="E1731" s="480" t="str">
        <f>IFERROR(VLOOKUP(A1731,[3]DOORSCRIEFT!$A$2:$G$6834,4,FALSE),"")</f>
        <v/>
      </c>
      <c r="F1731" s="405" t="str">
        <f>IFERROR(VLOOKUP(A1731,[3]DOORSCRIEFT!$A$2:$G$6834,7,FALSE),"")</f>
        <v/>
      </c>
      <c r="G1731" s="315"/>
    </row>
    <row r="1732" spans="1:7" x14ac:dyDescent="0.25">
      <c r="A1732" s="321" t="str">
        <f t="shared" si="57"/>
        <v>II.3.1.4.01.0018</v>
      </c>
      <c r="B1732" s="321">
        <v>8</v>
      </c>
      <c r="C1732" s="339" t="str">
        <f>IFERROR(VLOOKUP(A1732,[3]DOORSCRIEFT!$A$2:$G$6834,2,FALSE),"")</f>
        <v/>
      </c>
      <c r="D1732" s="481" t="str">
        <f>IFERROR(VLOOKUP(A1732,[3]DOORSCRIEFT!$A$2:$G$6834,3,FALSE),"")</f>
        <v/>
      </c>
      <c r="E1732" s="480" t="str">
        <f>IFERROR(VLOOKUP(A1732,[3]DOORSCRIEFT!$A$2:$G$6834,4,FALSE),"")</f>
        <v/>
      </c>
      <c r="F1732" s="405" t="str">
        <f>IFERROR(VLOOKUP(A1732,[3]DOORSCRIEFT!$A$2:$G$6834,7,FALSE),"")</f>
        <v/>
      </c>
      <c r="G1732" s="315"/>
    </row>
    <row r="1733" spans="1:7" x14ac:dyDescent="0.25">
      <c r="A1733" s="321" t="str">
        <f t="shared" si="57"/>
        <v>II.3.1.4.01.0019</v>
      </c>
      <c r="B1733" s="321">
        <v>9</v>
      </c>
      <c r="C1733" s="339" t="str">
        <f>IFERROR(VLOOKUP(A1733,[3]DOORSCRIEFT!$A$2:$G$6834,2,FALSE),"")</f>
        <v/>
      </c>
      <c r="D1733" s="481" t="str">
        <f>IFERROR(VLOOKUP(A1733,[3]DOORSCRIEFT!$A$2:$G$6834,3,FALSE),"")</f>
        <v/>
      </c>
      <c r="E1733" s="480" t="str">
        <f>IFERROR(VLOOKUP(A1733,[3]DOORSCRIEFT!$A$2:$G$6834,4,FALSE),"")</f>
        <v/>
      </c>
      <c r="F1733" s="405" t="str">
        <f>IFERROR(VLOOKUP(A1733,[3]DOORSCRIEFT!$A$2:$G$6834,7,FALSE),"")</f>
        <v/>
      </c>
      <c r="G1733" s="315"/>
    </row>
    <row r="1734" spans="1:7" x14ac:dyDescent="0.25">
      <c r="A1734" s="321" t="str">
        <f t="shared" si="57"/>
        <v>II.3.1.4.01.00110</v>
      </c>
      <c r="B1734" s="321">
        <v>10</v>
      </c>
      <c r="C1734" s="339" t="str">
        <f>IFERROR(VLOOKUP(A1734,[3]DOORSCRIEFT!$A$2:$G$6834,2,FALSE),"")</f>
        <v/>
      </c>
      <c r="D1734" s="481" t="str">
        <f>IFERROR(VLOOKUP(A1734,[3]DOORSCRIEFT!$A$2:$G$6834,3,FALSE),"")</f>
        <v/>
      </c>
      <c r="E1734" s="480" t="str">
        <f>IFERROR(VLOOKUP(A1734,[3]DOORSCRIEFT!$A$2:$G$6834,4,FALSE),"")</f>
        <v/>
      </c>
      <c r="F1734" s="405" t="str">
        <f>IFERROR(VLOOKUP(A1734,[3]DOORSCRIEFT!$A$2:$G$6834,7,FALSE),"")</f>
        <v/>
      </c>
      <c r="G1734" s="315"/>
    </row>
    <row r="1735" spans="1:7" x14ac:dyDescent="0.25">
      <c r="A1735" s="321" t="str">
        <f t="shared" si="57"/>
        <v>II.3.1.4.01.00111</v>
      </c>
      <c r="B1735" s="321">
        <v>11</v>
      </c>
      <c r="C1735" s="339" t="str">
        <f>IFERROR(VLOOKUP(A1735,[3]DOORSCRIEFT!$A$2:$G$6834,2,FALSE),"")</f>
        <v/>
      </c>
      <c r="D1735" s="481" t="str">
        <f>IFERROR(VLOOKUP(A1735,[3]DOORSCRIEFT!$A$2:$G$6834,3,FALSE),"")</f>
        <v/>
      </c>
      <c r="E1735" s="480" t="str">
        <f>IFERROR(VLOOKUP(A1735,[3]DOORSCRIEFT!$A$2:$G$6834,4,FALSE),"")</f>
        <v/>
      </c>
      <c r="F1735" s="405" t="str">
        <f>IFERROR(VLOOKUP(A1735,[3]DOORSCRIEFT!$A$2:$G$6834,7,FALSE),"")</f>
        <v/>
      </c>
      <c r="G1735" s="315"/>
    </row>
    <row r="1736" spans="1:7" x14ac:dyDescent="0.25">
      <c r="A1736" s="321" t="str">
        <f t="shared" si="57"/>
        <v>II.3.1.4.01.00112</v>
      </c>
      <c r="B1736" s="321">
        <v>12</v>
      </c>
      <c r="C1736" s="339" t="str">
        <f>IFERROR(VLOOKUP(A1736,[3]DOORSCRIEFT!$A$2:$G$6834,2,FALSE),"")</f>
        <v/>
      </c>
      <c r="D1736" s="481" t="str">
        <f>IFERROR(VLOOKUP(A1736,[3]DOORSCRIEFT!$A$2:$G$6834,3,FALSE),"")</f>
        <v/>
      </c>
      <c r="E1736" s="480" t="str">
        <f>IFERROR(VLOOKUP(A1736,[3]DOORSCRIEFT!$A$2:$G$6834,4,FALSE),"")</f>
        <v/>
      </c>
      <c r="F1736" s="405" t="str">
        <f>IFERROR(VLOOKUP(A1736,[3]DOORSCRIEFT!$A$2:$G$6834,7,FALSE),"")</f>
        <v/>
      </c>
      <c r="G1736" s="315"/>
    </row>
    <row r="1737" spans="1:7" x14ac:dyDescent="0.25">
      <c r="A1737" s="321" t="str">
        <f t="shared" si="57"/>
        <v>II.3.1.4.01.00113</v>
      </c>
      <c r="B1737" s="321">
        <v>13</v>
      </c>
      <c r="C1737" s="339" t="str">
        <f>IFERROR(VLOOKUP(A1737,[3]DOORSCRIEFT!$A$2:$G$6834,2,FALSE),"")</f>
        <v/>
      </c>
      <c r="D1737" s="481" t="str">
        <f>IFERROR(VLOOKUP(A1737,[3]DOORSCRIEFT!$A$2:$G$6834,3,FALSE),"")</f>
        <v/>
      </c>
      <c r="E1737" s="480" t="str">
        <f>IFERROR(VLOOKUP(A1737,[3]DOORSCRIEFT!$A$2:$G$6834,4,FALSE),"")</f>
        <v/>
      </c>
      <c r="F1737" s="405" t="str">
        <f>IFERROR(VLOOKUP(A1737,[3]DOORSCRIEFT!$A$2:$G$6834,7,FALSE),"")</f>
        <v/>
      </c>
      <c r="G1737" s="315"/>
    </row>
    <row r="1738" spans="1:7" x14ac:dyDescent="0.25">
      <c r="A1738" s="321" t="str">
        <f t="shared" si="57"/>
        <v>II.3.1.4.01.00114</v>
      </c>
      <c r="B1738" s="321">
        <v>14</v>
      </c>
      <c r="C1738" s="339" t="str">
        <f>IFERROR(VLOOKUP(A1738,[3]DOORSCRIEFT!$A$2:$G$6834,2,FALSE),"")</f>
        <v/>
      </c>
      <c r="D1738" s="481" t="str">
        <f>IFERROR(VLOOKUP(A1738,[3]DOORSCRIEFT!$A$2:$G$6834,3,FALSE),"")</f>
        <v/>
      </c>
      <c r="E1738" s="480" t="str">
        <f>IFERROR(VLOOKUP(A1738,[3]DOORSCRIEFT!$A$2:$G$6834,4,FALSE),"")</f>
        <v/>
      </c>
      <c r="F1738" s="405" t="str">
        <f>IFERROR(VLOOKUP(A1738,[3]DOORSCRIEFT!$A$2:$G$6834,7,FALSE),"")</f>
        <v/>
      </c>
      <c r="G1738" s="315"/>
    </row>
    <row r="1739" spans="1:7" ht="15.75" thickBot="1" x14ac:dyDescent="0.3">
      <c r="A1739" s="342" t="str">
        <f t="shared" si="57"/>
        <v>II.3.1.4.01.00115</v>
      </c>
      <c r="B1739" s="342">
        <v>15</v>
      </c>
      <c r="C1739" s="339" t="str">
        <f>IFERROR(VLOOKUP(A1739,[3]DOORSCRIEFT!$A$2:$G$6834,2,FALSE),"")</f>
        <v/>
      </c>
      <c r="D1739" s="481" t="str">
        <f>IFERROR(VLOOKUP(A1739,[3]DOORSCRIEFT!$A$2:$G$6834,3,FALSE),"")</f>
        <v/>
      </c>
      <c r="E1739" s="480" t="str">
        <f>IFERROR(VLOOKUP(A1739,[3]DOORSCRIEFT!$A$2:$G$6834,4,FALSE),"")</f>
        <v/>
      </c>
      <c r="F1739" s="405" t="str">
        <f>IFERROR(VLOOKUP(A1739,[3]DOORSCRIEFT!$A$2:$G$6834,7,FALSE),"")</f>
        <v/>
      </c>
      <c r="G1739" s="315"/>
    </row>
    <row r="1740" spans="1:7" ht="15.75" thickBot="1" x14ac:dyDescent="0.3">
      <c r="A1740" s="341"/>
      <c r="B1740" s="340"/>
      <c r="C1740" s="336"/>
      <c r="D1740" s="486"/>
      <c r="E1740" s="340" t="s">
        <v>644</v>
      </c>
      <c r="F1740" s="310">
        <f>SUM(F1725:F1739)</f>
        <v>0</v>
      </c>
      <c r="G1740" s="309">
        <f>SUM(G1725:G1739)</f>
        <v>0</v>
      </c>
    </row>
    <row r="1741" spans="1:7" x14ac:dyDescent="0.25">
      <c r="C1741" s="335"/>
      <c r="D1741" s="485"/>
    </row>
    <row r="1742" spans="1:7" x14ac:dyDescent="0.25">
      <c r="C1742" s="335"/>
      <c r="D1742" s="485"/>
    </row>
    <row r="1743" spans="1:7" ht="15.75" x14ac:dyDescent="0.25">
      <c r="C1743" s="334" t="s">
        <v>663</v>
      </c>
      <c r="D1743" s="484"/>
      <c r="E1743" s="333"/>
      <c r="F1743" s="327" t="s">
        <v>607</v>
      </c>
      <c r="G1743" s="327" t="s">
        <v>108</v>
      </c>
    </row>
    <row r="1744" spans="1:7" ht="15.75" x14ac:dyDescent="0.25">
      <c r="C1744" s="334"/>
      <c r="D1744" s="484"/>
      <c r="E1744" s="333"/>
      <c r="F1744" s="327" t="s">
        <v>601</v>
      </c>
      <c r="G1744" s="327" t="s">
        <v>107</v>
      </c>
    </row>
    <row r="1745" spans="1:7" x14ac:dyDescent="0.25">
      <c r="C1745" s="330"/>
      <c r="D1745" s="482"/>
      <c r="E1745" s="329"/>
      <c r="F1745" s="327" t="s">
        <v>651</v>
      </c>
      <c r="G1745" s="331">
        <f>[2]Sheet1!$D$487</f>
        <v>0</v>
      </c>
    </row>
    <row r="1746" spans="1:7" ht="15.75" thickBot="1" x14ac:dyDescent="0.3">
      <c r="C1746" s="330"/>
      <c r="D1746" s="482"/>
      <c r="E1746" s="329"/>
      <c r="F1746" s="327" t="s">
        <v>650</v>
      </c>
      <c r="G1746" s="326">
        <f>+F1765-G1745</f>
        <v>0</v>
      </c>
    </row>
    <row r="1747" spans="1:7" x14ac:dyDescent="0.25">
      <c r="A1747" s="571" t="s">
        <v>655</v>
      </c>
      <c r="B1747" s="573" t="s">
        <v>606</v>
      </c>
      <c r="C1747" s="588" t="s">
        <v>649</v>
      </c>
      <c r="D1747" s="599" t="s">
        <v>648</v>
      </c>
      <c r="E1747" s="577" t="s">
        <v>647</v>
      </c>
      <c r="F1747" s="577" t="s">
        <v>646</v>
      </c>
      <c r="G1747" s="580" t="s">
        <v>645</v>
      </c>
    </row>
    <row r="1748" spans="1:7" ht="15.75" thickBot="1" x14ac:dyDescent="0.3">
      <c r="A1748" s="572"/>
      <c r="B1748" s="574"/>
      <c r="C1748" s="589"/>
      <c r="D1748" s="600"/>
      <c r="E1748" s="578"/>
      <c r="F1748" s="578"/>
      <c r="G1748" s="581"/>
    </row>
    <row r="1749" spans="1:7" ht="15.75" thickBot="1" x14ac:dyDescent="0.3">
      <c r="A1749" s="425">
        <v>1</v>
      </c>
      <c r="B1749" s="425">
        <v>2</v>
      </c>
      <c r="C1749" s="425">
        <v>3</v>
      </c>
      <c r="D1749" s="425">
        <v>4</v>
      </c>
      <c r="E1749" s="425">
        <v>5</v>
      </c>
      <c r="F1749" s="425">
        <v>6</v>
      </c>
      <c r="G1749" s="425">
        <v>7</v>
      </c>
    </row>
    <row r="1750" spans="1:7" x14ac:dyDescent="0.25">
      <c r="A1750" s="320" t="str">
        <f t="shared" ref="A1750:A1764" si="58">$G$1743&amp;B1750</f>
        <v>II.3.1.4.02.0011</v>
      </c>
      <c r="B1750" s="320">
        <v>1</v>
      </c>
      <c r="C1750" s="339" t="str">
        <f>IFERROR(VLOOKUP(A1750,[3]DOORSCRIEFT!$A$2:$G$6834,2,FALSE),"")</f>
        <v/>
      </c>
      <c r="D1750" s="481" t="str">
        <f>IFERROR(VLOOKUP(A1750,[3]DOORSCRIEFT!$A$2:$G$6834,3,FALSE),"")</f>
        <v/>
      </c>
      <c r="E1750" s="480" t="str">
        <f>IFERROR(VLOOKUP(A1750,[3]DOORSCRIEFT!$A$2:$G$6834,4,FALSE),"")</f>
        <v/>
      </c>
      <c r="F1750" s="405" t="str">
        <f>IFERROR(VLOOKUP(A1750,[3]DOORSCRIEFT!$A$2:$G$6834,7,FALSE),"")</f>
        <v/>
      </c>
      <c r="G1750" s="322"/>
    </row>
    <row r="1751" spans="1:7" x14ac:dyDescent="0.25">
      <c r="A1751" s="321" t="str">
        <f t="shared" si="58"/>
        <v>II.3.1.4.02.0012</v>
      </c>
      <c r="B1751" s="321">
        <v>2</v>
      </c>
      <c r="C1751" s="339" t="str">
        <f>IFERROR(VLOOKUP(A1751,[3]DOORSCRIEFT!$A$2:$G$6834,2,FALSE),"")</f>
        <v/>
      </c>
      <c r="D1751" s="481" t="str">
        <f>IFERROR(VLOOKUP(A1751,[3]DOORSCRIEFT!$A$2:$G$6834,3,FALSE),"")</f>
        <v/>
      </c>
      <c r="E1751" s="480" t="str">
        <f>IFERROR(VLOOKUP(A1751,[3]DOORSCRIEFT!$A$2:$G$6834,4,FALSE),"")</f>
        <v/>
      </c>
      <c r="F1751" s="405" t="str">
        <f>IFERROR(VLOOKUP(A1751,[3]DOORSCRIEFT!$A$2:$G$6834,7,FALSE),"")</f>
        <v/>
      </c>
      <c r="G1751" s="315"/>
    </row>
    <row r="1752" spans="1:7" x14ac:dyDescent="0.25">
      <c r="A1752" s="321" t="str">
        <f t="shared" si="58"/>
        <v>II.3.1.4.02.0013</v>
      </c>
      <c r="B1752" s="321">
        <v>3</v>
      </c>
      <c r="C1752" s="339" t="str">
        <f>IFERROR(VLOOKUP(A1752,[3]DOORSCRIEFT!$A$2:$G$6834,2,FALSE),"")</f>
        <v/>
      </c>
      <c r="D1752" s="481" t="str">
        <f>IFERROR(VLOOKUP(A1752,[3]DOORSCRIEFT!$A$2:$G$6834,3,FALSE),"")</f>
        <v/>
      </c>
      <c r="E1752" s="480" t="str">
        <f>IFERROR(VLOOKUP(A1752,[3]DOORSCRIEFT!$A$2:$G$6834,4,FALSE),"")</f>
        <v/>
      </c>
      <c r="F1752" s="405" t="str">
        <f>IFERROR(VLOOKUP(A1752,[3]DOORSCRIEFT!$A$2:$G$6834,7,FALSE),"")</f>
        <v/>
      </c>
      <c r="G1752" s="315"/>
    </row>
    <row r="1753" spans="1:7" x14ac:dyDescent="0.25">
      <c r="A1753" s="321" t="str">
        <f t="shared" si="58"/>
        <v>II.3.1.4.02.0014</v>
      </c>
      <c r="B1753" s="321">
        <v>4</v>
      </c>
      <c r="C1753" s="339" t="str">
        <f>IFERROR(VLOOKUP(A1753,[3]DOORSCRIEFT!$A$2:$G$6834,2,FALSE),"")</f>
        <v/>
      </c>
      <c r="D1753" s="481" t="str">
        <f>IFERROR(VLOOKUP(A1753,[3]DOORSCRIEFT!$A$2:$G$6834,3,FALSE),"")</f>
        <v/>
      </c>
      <c r="E1753" s="480" t="str">
        <f>IFERROR(VLOOKUP(A1753,[3]DOORSCRIEFT!$A$2:$G$6834,4,FALSE),"")</f>
        <v/>
      </c>
      <c r="F1753" s="405" t="str">
        <f>IFERROR(VLOOKUP(A1753,[3]DOORSCRIEFT!$A$2:$G$6834,7,FALSE),"")</f>
        <v/>
      </c>
      <c r="G1753" s="315"/>
    </row>
    <row r="1754" spans="1:7" x14ac:dyDescent="0.25">
      <c r="A1754" s="321" t="str">
        <f t="shared" si="58"/>
        <v>II.3.1.4.02.0015</v>
      </c>
      <c r="B1754" s="321">
        <v>5</v>
      </c>
      <c r="C1754" s="339" t="str">
        <f>IFERROR(VLOOKUP(A1754,[3]DOORSCRIEFT!$A$2:$G$6834,2,FALSE),"")</f>
        <v/>
      </c>
      <c r="D1754" s="481" t="str">
        <f>IFERROR(VLOOKUP(A1754,[3]DOORSCRIEFT!$A$2:$G$6834,3,FALSE),"")</f>
        <v/>
      </c>
      <c r="E1754" s="480" t="str">
        <f>IFERROR(VLOOKUP(A1754,[3]DOORSCRIEFT!$A$2:$G$6834,4,FALSE),"")</f>
        <v/>
      </c>
      <c r="F1754" s="405" t="str">
        <f>IFERROR(VLOOKUP(A1754,[3]DOORSCRIEFT!$A$2:$G$6834,7,FALSE),"")</f>
        <v/>
      </c>
      <c r="G1754" s="315"/>
    </row>
    <row r="1755" spans="1:7" x14ac:dyDescent="0.25">
      <c r="A1755" s="321" t="str">
        <f t="shared" si="58"/>
        <v>II.3.1.4.02.0016</v>
      </c>
      <c r="B1755" s="321">
        <v>6</v>
      </c>
      <c r="C1755" s="339" t="str">
        <f>IFERROR(VLOOKUP(A1755,[3]DOORSCRIEFT!$A$2:$G$6834,2,FALSE),"")</f>
        <v/>
      </c>
      <c r="D1755" s="481" t="str">
        <f>IFERROR(VLOOKUP(A1755,[3]DOORSCRIEFT!$A$2:$G$6834,3,FALSE),"")</f>
        <v/>
      </c>
      <c r="E1755" s="480" t="str">
        <f>IFERROR(VLOOKUP(A1755,[3]DOORSCRIEFT!$A$2:$G$6834,4,FALSE),"")</f>
        <v/>
      </c>
      <c r="F1755" s="405" t="str">
        <f>IFERROR(VLOOKUP(A1755,[3]DOORSCRIEFT!$A$2:$G$6834,7,FALSE),"")</f>
        <v/>
      </c>
      <c r="G1755" s="315"/>
    </row>
    <row r="1756" spans="1:7" x14ac:dyDescent="0.25">
      <c r="A1756" s="321" t="str">
        <f t="shared" si="58"/>
        <v>II.3.1.4.02.0017</v>
      </c>
      <c r="B1756" s="321">
        <v>7</v>
      </c>
      <c r="C1756" s="339" t="str">
        <f>IFERROR(VLOOKUP(A1756,[3]DOORSCRIEFT!$A$2:$G$6834,2,FALSE),"")</f>
        <v/>
      </c>
      <c r="D1756" s="481" t="str">
        <f>IFERROR(VLOOKUP(A1756,[3]DOORSCRIEFT!$A$2:$G$6834,3,FALSE),"")</f>
        <v/>
      </c>
      <c r="E1756" s="480" t="str">
        <f>IFERROR(VLOOKUP(A1756,[3]DOORSCRIEFT!$A$2:$G$6834,4,FALSE),"")</f>
        <v/>
      </c>
      <c r="F1756" s="405" t="str">
        <f>IFERROR(VLOOKUP(A1756,[3]DOORSCRIEFT!$A$2:$G$6834,7,FALSE),"")</f>
        <v/>
      </c>
      <c r="G1756" s="315"/>
    </row>
    <row r="1757" spans="1:7" x14ac:dyDescent="0.25">
      <c r="A1757" s="321" t="str">
        <f t="shared" si="58"/>
        <v>II.3.1.4.02.0018</v>
      </c>
      <c r="B1757" s="321">
        <v>8</v>
      </c>
      <c r="C1757" s="339" t="str">
        <f>IFERROR(VLOOKUP(A1757,[3]DOORSCRIEFT!$A$2:$G$6834,2,FALSE),"")</f>
        <v/>
      </c>
      <c r="D1757" s="481" t="str">
        <f>IFERROR(VLOOKUP(A1757,[3]DOORSCRIEFT!$A$2:$G$6834,3,FALSE),"")</f>
        <v/>
      </c>
      <c r="E1757" s="480" t="str">
        <f>IFERROR(VLOOKUP(A1757,[3]DOORSCRIEFT!$A$2:$G$6834,4,FALSE),"")</f>
        <v/>
      </c>
      <c r="F1757" s="405" t="str">
        <f>IFERROR(VLOOKUP(A1757,[3]DOORSCRIEFT!$A$2:$G$6834,7,FALSE),"")</f>
        <v/>
      </c>
      <c r="G1757" s="315"/>
    </row>
    <row r="1758" spans="1:7" x14ac:dyDescent="0.25">
      <c r="A1758" s="321" t="str">
        <f t="shared" si="58"/>
        <v>II.3.1.4.02.0019</v>
      </c>
      <c r="B1758" s="321">
        <v>9</v>
      </c>
      <c r="C1758" s="339" t="str">
        <f>IFERROR(VLOOKUP(A1758,[3]DOORSCRIEFT!$A$2:$G$6834,2,FALSE),"")</f>
        <v/>
      </c>
      <c r="D1758" s="481" t="str">
        <f>IFERROR(VLOOKUP(A1758,[3]DOORSCRIEFT!$A$2:$G$6834,3,FALSE),"")</f>
        <v/>
      </c>
      <c r="E1758" s="480" t="str">
        <f>IFERROR(VLOOKUP(A1758,[3]DOORSCRIEFT!$A$2:$G$6834,4,FALSE),"")</f>
        <v/>
      </c>
      <c r="F1758" s="405" t="str">
        <f>IFERROR(VLOOKUP(A1758,[3]DOORSCRIEFT!$A$2:$G$6834,7,FALSE),"")</f>
        <v/>
      </c>
      <c r="G1758" s="315"/>
    </row>
    <row r="1759" spans="1:7" x14ac:dyDescent="0.25">
      <c r="A1759" s="321" t="str">
        <f t="shared" si="58"/>
        <v>II.3.1.4.02.00110</v>
      </c>
      <c r="B1759" s="321">
        <v>10</v>
      </c>
      <c r="C1759" s="339" t="str">
        <f>IFERROR(VLOOKUP(A1759,[3]DOORSCRIEFT!$A$2:$G$6834,2,FALSE),"")</f>
        <v/>
      </c>
      <c r="D1759" s="481" t="str">
        <f>IFERROR(VLOOKUP(A1759,[3]DOORSCRIEFT!$A$2:$G$6834,3,FALSE),"")</f>
        <v/>
      </c>
      <c r="E1759" s="480" t="str">
        <f>IFERROR(VLOOKUP(A1759,[3]DOORSCRIEFT!$A$2:$G$6834,4,FALSE),"")</f>
        <v/>
      </c>
      <c r="F1759" s="405" t="str">
        <f>IFERROR(VLOOKUP(A1759,[3]DOORSCRIEFT!$A$2:$G$6834,7,FALSE),"")</f>
        <v/>
      </c>
      <c r="G1759" s="315"/>
    </row>
    <row r="1760" spans="1:7" x14ac:dyDescent="0.25">
      <c r="A1760" s="321" t="str">
        <f t="shared" si="58"/>
        <v>II.3.1.4.02.00111</v>
      </c>
      <c r="B1760" s="321">
        <v>11</v>
      </c>
      <c r="C1760" s="339" t="str">
        <f>IFERROR(VLOOKUP(A1760,[3]DOORSCRIEFT!$A$2:$G$6834,2,FALSE),"")</f>
        <v/>
      </c>
      <c r="D1760" s="481" t="str">
        <f>IFERROR(VLOOKUP(A1760,[3]DOORSCRIEFT!$A$2:$G$6834,3,FALSE),"")</f>
        <v/>
      </c>
      <c r="E1760" s="480" t="str">
        <f>IFERROR(VLOOKUP(A1760,[3]DOORSCRIEFT!$A$2:$G$6834,4,FALSE),"")</f>
        <v/>
      </c>
      <c r="F1760" s="405" t="str">
        <f>IFERROR(VLOOKUP(A1760,[3]DOORSCRIEFT!$A$2:$G$6834,7,FALSE),"")</f>
        <v/>
      </c>
      <c r="G1760" s="315"/>
    </row>
    <row r="1761" spans="1:7" x14ac:dyDescent="0.25">
      <c r="A1761" s="321" t="str">
        <f t="shared" si="58"/>
        <v>II.3.1.4.02.00112</v>
      </c>
      <c r="B1761" s="321">
        <v>12</v>
      </c>
      <c r="C1761" s="339" t="str">
        <f>IFERROR(VLOOKUP(A1761,[3]DOORSCRIEFT!$A$2:$G$6834,2,FALSE),"")</f>
        <v/>
      </c>
      <c r="D1761" s="481" t="str">
        <f>IFERROR(VLOOKUP(A1761,[3]DOORSCRIEFT!$A$2:$G$6834,3,FALSE),"")</f>
        <v/>
      </c>
      <c r="E1761" s="480" t="str">
        <f>IFERROR(VLOOKUP(A1761,[3]DOORSCRIEFT!$A$2:$G$6834,4,FALSE),"")</f>
        <v/>
      </c>
      <c r="F1761" s="405" t="str">
        <f>IFERROR(VLOOKUP(A1761,[3]DOORSCRIEFT!$A$2:$G$6834,7,FALSE),"")</f>
        <v/>
      </c>
      <c r="G1761" s="315"/>
    </row>
    <row r="1762" spans="1:7" x14ac:dyDescent="0.25">
      <c r="A1762" s="321" t="str">
        <f t="shared" si="58"/>
        <v>II.3.1.4.02.00113</v>
      </c>
      <c r="B1762" s="321">
        <v>13</v>
      </c>
      <c r="C1762" s="339" t="str">
        <f>IFERROR(VLOOKUP(A1762,[3]DOORSCRIEFT!$A$2:$G$6834,2,FALSE),"")</f>
        <v/>
      </c>
      <c r="D1762" s="481" t="str">
        <f>IFERROR(VLOOKUP(A1762,[3]DOORSCRIEFT!$A$2:$G$6834,3,FALSE),"")</f>
        <v/>
      </c>
      <c r="E1762" s="480" t="str">
        <f>IFERROR(VLOOKUP(A1762,[3]DOORSCRIEFT!$A$2:$G$6834,4,FALSE),"")</f>
        <v/>
      </c>
      <c r="F1762" s="405" t="str">
        <f>IFERROR(VLOOKUP(A1762,[3]DOORSCRIEFT!$A$2:$G$6834,7,FALSE),"")</f>
        <v/>
      </c>
      <c r="G1762" s="315"/>
    </row>
    <row r="1763" spans="1:7" x14ac:dyDescent="0.25">
      <c r="A1763" s="321" t="str">
        <f t="shared" si="58"/>
        <v>II.3.1.4.02.00114</v>
      </c>
      <c r="B1763" s="321">
        <v>14</v>
      </c>
      <c r="C1763" s="339" t="str">
        <f>IFERROR(VLOOKUP(A1763,[3]DOORSCRIEFT!$A$2:$G$6834,2,FALSE),"")</f>
        <v/>
      </c>
      <c r="D1763" s="481" t="str">
        <f>IFERROR(VLOOKUP(A1763,[3]DOORSCRIEFT!$A$2:$G$6834,3,FALSE),"")</f>
        <v/>
      </c>
      <c r="E1763" s="480" t="str">
        <f>IFERROR(VLOOKUP(A1763,[3]DOORSCRIEFT!$A$2:$G$6834,4,FALSE),"")</f>
        <v/>
      </c>
      <c r="F1763" s="405" t="str">
        <f>IFERROR(VLOOKUP(A1763,[3]DOORSCRIEFT!$A$2:$G$6834,7,FALSE),"")</f>
        <v/>
      </c>
      <c r="G1763" s="315"/>
    </row>
    <row r="1764" spans="1:7" ht="15.75" thickBot="1" x14ac:dyDescent="0.3">
      <c r="A1764" s="342" t="str">
        <f t="shared" si="58"/>
        <v>II.3.1.4.02.00115</v>
      </c>
      <c r="B1764" s="342">
        <v>15</v>
      </c>
      <c r="C1764" s="339" t="str">
        <f>IFERROR(VLOOKUP(A1764,[3]DOORSCRIEFT!$A$2:$G$6834,2,FALSE),"")</f>
        <v/>
      </c>
      <c r="D1764" s="481" t="str">
        <f>IFERROR(VLOOKUP(A1764,[3]DOORSCRIEFT!$A$2:$G$6834,3,FALSE),"")</f>
        <v/>
      </c>
      <c r="E1764" s="480" t="str">
        <f>IFERROR(VLOOKUP(A1764,[3]DOORSCRIEFT!$A$2:$G$6834,4,FALSE),"")</f>
        <v/>
      </c>
      <c r="F1764" s="405" t="str">
        <f>IFERROR(VLOOKUP(A1764,[3]DOORSCRIEFT!$A$2:$G$6834,7,FALSE),"")</f>
        <v/>
      </c>
      <c r="G1764" s="315"/>
    </row>
    <row r="1765" spans="1:7" ht="15.75" thickBot="1" x14ac:dyDescent="0.3">
      <c r="A1765" s="341"/>
      <c r="B1765" s="340"/>
      <c r="C1765" s="336"/>
      <c r="D1765" s="486"/>
      <c r="E1765" s="340" t="s">
        <v>644</v>
      </c>
      <c r="F1765" s="310">
        <f>SUM(F1750:F1764)</f>
        <v>0</v>
      </c>
      <c r="G1765" s="309">
        <f>SUM(G1750:G1764)</f>
        <v>0</v>
      </c>
    </row>
    <row r="1766" spans="1:7" x14ac:dyDescent="0.25">
      <c r="C1766" s="335"/>
      <c r="D1766" s="485"/>
    </row>
    <row r="1767" spans="1:7" x14ac:dyDescent="0.25">
      <c r="C1767" s="335"/>
      <c r="D1767" s="485"/>
    </row>
    <row r="1768" spans="1:7" ht="15.75" x14ac:dyDescent="0.25">
      <c r="C1768" s="334" t="s">
        <v>663</v>
      </c>
      <c r="D1768" s="484"/>
      <c r="E1768" s="333"/>
      <c r="F1768" s="327" t="s">
        <v>607</v>
      </c>
      <c r="G1768" s="327" t="s">
        <v>106</v>
      </c>
    </row>
    <row r="1769" spans="1:7" ht="15.75" x14ac:dyDescent="0.25">
      <c r="C1769" s="334"/>
      <c r="D1769" s="484"/>
      <c r="E1769" s="333"/>
      <c r="F1769" s="327" t="s">
        <v>601</v>
      </c>
      <c r="G1769" s="327" t="s">
        <v>105</v>
      </c>
    </row>
    <row r="1770" spans="1:7" x14ac:dyDescent="0.25">
      <c r="C1770" s="330"/>
      <c r="D1770" s="482"/>
      <c r="E1770" s="329"/>
      <c r="F1770" s="327" t="s">
        <v>651</v>
      </c>
      <c r="G1770" s="331">
        <f>[2]Sheet1!$D$488</f>
        <v>0</v>
      </c>
    </row>
    <row r="1771" spans="1:7" ht="15.75" thickBot="1" x14ac:dyDescent="0.3">
      <c r="C1771" s="330"/>
      <c r="D1771" s="482"/>
      <c r="E1771" s="329"/>
      <c r="F1771" s="327" t="s">
        <v>650</v>
      </c>
      <c r="G1771" s="326">
        <f>+F1790-G1770</f>
        <v>0</v>
      </c>
    </row>
    <row r="1772" spans="1:7" x14ac:dyDescent="0.25">
      <c r="A1772" s="571" t="s">
        <v>655</v>
      </c>
      <c r="B1772" s="573" t="s">
        <v>606</v>
      </c>
      <c r="C1772" s="588" t="s">
        <v>649</v>
      </c>
      <c r="D1772" s="599" t="s">
        <v>648</v>
      </c>
      <c r="E1772" s="577" t="s">
        <v>647</v>
      </c>
      <c r="F1772" s="577" t="s">
        <v>646</v>
      </c>
      <c r="G1772" s="580" t="s">
        <v>645</v>
      </c>
    </row>
    <row r="1773" spans="1:7" ht="15.75" thickBot="1" x14ac:dyDescent="0.3">
      <c r="A1773" s="572"/>
      <c r="B1773" s="574"/>
      <c r="C1773" s="589"/>
      <c r="D1773" s="600"/>
      <c r="E1773" s="578"/>
      <c r="F1773" s="578"/>
      <c r="G1773" s="581"/>
    </row>
    <row r="1774" spans="1:7" ht="15.75" thickBot="1" x14ac:dyDescent="0.3">
      <c r="A1774" s="425">
        <v>1</v>
      </c>
      <c r="B1774" s="425">
        <v>2</v>
      </c>
      <c r="C1774" s="425">
        <v>3</v>
      </c>
      <c r="D1774" s="425">
        <v>4</v>
      </c>
      <c r="E1774" s="425">
        <v>5</v>
      </c>
      <c r="F1774" s="425">
        <v>6</v>
      </c>
      <c r="G1774" s="425">
        <v>7</v>
      </c>
    </row>
    <row r="1775" spans="1:7" x14ac:dyDescent="0.25">
      <c r="A1775" s="320" t="str">
        <f t="shared" ref="A1775:A1789" si="59">$G$1768&amp;B1775</f>
        <v>II.3.1.4.02.0021</v>
      </c>
      <c r="B1775" s="320">
        <v>1</v>
      </c>
      <c r="C1775" s="339" t="str">
        <f>IFERROR(VLOOKUP(A1775,[3]DOORSCRIEFT!$A$2:$G$6834,2,FALSE),"")</f>
        <v/>
      </c>
      <c r="D1775" s="481" t="str">
        <f>IFERROR(VLOOKUP(A1775,[3]DOORSCRIEFT!$A$2:$G$6834,3,FALSE),"")</f>
        <v/>
      </c>
      <c r="E1775" s="480" t="str">
        <f>IFERROR(VLOOKUP(A1775,[3]DOORSCRIEFT!$A$2:$G$6834,4,FALSE),"")</f>
        <v/>
      </c>
      <c r="F1775" s="405" t="str">
        <f>IFERROR(VLOOKUP(A1775,[3]DOORSCRIEFT!$A$2:$G$6834,7,FALSE),"")</f>
        <v/>
      </c>
      <c r="G1775" s="322"/>
    </row>
    <row r="1776" spans="1:7" x14ac:dyDescent="0.25">
      <c r="A1776" s="321" t="str">
        <f t="shared" si="59"/>
        <v>II.3.1.4.02.0022</v>
      </c>
      <c r="B1776" s="321">
        <v>2</v>
      </c>
      <c r="C1776" s="339" t="str">
        <f>IFERROR(VLOOKUP(A1776,[3]DOORSCRIEFT!$A$2:$G$6834,2,FALSE),"")</f>
        <v/>
      </c>
      <c r="D1776" s="481" t="str">
        <f>IFERROR(VLOOKUP(A1776,[3]DOORSCRIEFT!$A$2:$G$6834,3,FALSE),"")</f>
        <v/>
      </c>
      <c r="E1776" s="480" t="str">
        <f>IFERROR(VLOOKUP(A1776,[3]DOORSCRIEFT!$A$2:$G$6834,4,FALSE),"")</f>
        <v/>
      </c>
      <c r="F1776" s="405" t="str">
        <f>IFERROR(VLOOKUP(A1776,[3]DOORSCRIEFT!$A$2:$G$6834,7,FALSE),"")</f>
        <v/>
      </c>
      <c r="G1776" s="315"/>
    </row>
    <row r="1777" spans="1:7" x14ac:dyDescent="0.25">
      <c r="A1777" s="321" t="str">
        <f t="shared" si="59"/>
        <v>II.3.1.4.02.0023</v>
      </c>
      <c r="B1777" s="321">
        <v>3</v>
      </c>
      <c r="C1777" s="339" t="str">
        <f>IFERROR(VLOOKUP(A1777,[3]DOORSCRIEFT!$A$2:$G$6834,2,FALSE),"")</f>
        <v/>
      </c>
      <c r="D1777" s="481" t="str">
        <f>IFERROR(VLOOKUP(A1777,[3]DOORSCRIEFT!$A$2:$G$6834,3,FALSE),"")</f>
        <v/>
      </c>
      <c r="E1777" s="480" t="str">
        <f>IFERROR(VLOOKUP(A1777,[3]DOORSCRIEFT!$A$2:$G$6834,4,FALSE),"")</f>
        <v/>
      </c>
      <c r="F1777" s="405" t="str">
        <f>IFERROR(VLOOKUP(A1777,[3]DOORSCRIEFT!$A$2:$G$6834,7,FALSE),"")</f>
        <v/>
      </c>
      <c r="G1777" s="315"/>
    </row>
    <row r="1778" spans="1:7" x14ac:dyDescent="0.25">
      <c r="A1778" s="321" t="str">
        <f t="shared" si="59"/>
        <v>II.3.1.4.02.0024</v>
      </c>
      <c r="B1778" s="321">
        <v>4</v>
      </c>
      <c r="C1778" s="339" t="str">
        <f>IFERROR(VLOOKUP(A1778,[3]DOORSCRIEFT!$A$2:$G$6834,2,FALSE),"")</f>
        <v/>
      </c>
      <c r="D1778" s="481" t="str">
        <f>IFERROR(VLOOKUP(A1778,[3]DOORSCRIEFT!$A$2:$G$6834,3,FALSE),"")</f>
        <v/>
      </c>
      <c r="E1778" s="480" t="str">
        <f>IFERROR(VLOOKUP(A1778,[3]DOORSCRIEFT!$A$2:$G$6834,4,FALSE),"")</f>
        <v/>
      </c>
      <c r="F1778" s="405" t="str">
        <f>IFERROR(VLOOKUP(A1778,[3]DOORSCRIEFT!$A$2:$G$6834,7,FALSE),"")</f>
        <v/>
      </c>
      <c r="G1778" s="315"/>
    </row>
    <row r="1779" spans="1:7" x14ac:dyDescent="0.25">
      <c r="A1779" s="321" t="str">
        <f t="shared" si="59"/>
        <v>II.3.1.4.02.0025</v>
      </c>
      <c r="B1779" s="321">
        <v>5</v>
      </c>
      <c r="C1779" s="339" t="str">
        <f>IFERROR(VLOOKUP(A1779,[3]DOORSCRIEFT!$A$2:$G$6834,2,FALSE),"")</f>
        <v/>
      </c>
      <c r="D1779" s="481" t="str">
        <f>IFERROR(VLOOKUP(A1779,[3]DOORSCRIEFT!$A$2:$G$6834,3,FALSE),"")</f>
        <v/>
      </c>
      <c r="E1779" s="480" t="str">
        <f>IFERROR(VLOOKUP(A1779,[3]DOORSCRIEFT!$A$2:$G$6834,4,FALSE),"")</f>
        <v/>
      </c>
      <c r="F1779" s="405" t="str">
        <f>IFERROR(VLOOKUP(A1779,[3]DOORSCRIEFT!$A$2:$G$6834,7,FALSE),"")</f>
        <v/>
      </c>
      <c r="G1779" s="315"/>
    </row>
    <row r="1780" spans="1:7" x14ac:dyDescent="0.25">
      <c r="A1780" s="321" t="str">
        <f t="shared" si="59"/>
        <v>II.3.1.4.02.0026</v>
      </c>
      <c r="B1780" s="321">
        <v>6</v>
      </c>
      <c r="C1780" s="339" t="str">
        <f>IFERROR(VLOOKUP(A1780,[3]DOORSCRIEFT!$A$2:$G$6834,2,FALSE),"")</f>
        <v/>
      </c>
      <c r="D1780" s="481" t="str">
        <f>IFERROR(VLOOKUP(A1780,[3]DOORSCRIEFT!$A$2:$G$6834,3,FALSE),"")</f>
        <v/>
      </c>
      <c r="E1780" s="480" t="str">
        <f>IFERROR(VLOOKUP(A1780,[3]DOORSCRIEFT!$A$2:$G$6834,4,FALSE),"")</f>
        <v/>
      </c>
      <c r="F1780" s="405" t="str">
        <f>IFERROR(VLOOKUP(A1780,[3]DOORSCRIEFT!$A$2:$G$6834,7,FALSE),"")</f>
        <v/>
      </c>
      <c r="G1780" s="315"/>
    </row>
    <row r="1781" spans="1:7" x14ac:dyDescent="0.25">
      <c r="A1781" s="321" t="str">
        <f t="shared" si="59"/>
        <v>II.3.1.4.02.0027</v>
      </c>
      <c r="B1781" s="321">
        <v>7</v>
      </c>
      <c r="C1781" s="339" t="str">
        <f>IFERROR(VLOOKUP(A1781,[3]DOORSCRIEFT!$A$2:$G$6834,2,FALSE),"")</f>
        <v/>
      </c>
      <c r="D1781" s="481" t="str">
        <f>IFERROR(VLOOKUP(A1781,[3]DOORSCRIEFT!$A$2:$G$6834,3,FALSE),"")</f>
        <v/>
      </c>
      <c r="E1781" s="480" t="str">
        <f>IFERROR(VLOOKUP(A1781,[3]DOORSCRIEFT!$A$2:$G$6834,4,FALSE),"")</f>
        <v/>
      </c>
      <c r="F1781" s="405" t="str">
        <f>IFERROR(VLOOKUP(A1781,[3]DOORSCRIEFT!$A$2:$G$6834,7,FALSE),"")</f>
        <v/>
      </c>
      <c r="G1781" s="315"/>
    </row>
    <row r="1782" spans="1:7" x14ac:dyDescent="0.25">
      <c r="A1782" s="321" t="str">
        <f t="shared" si="59"/>
        <v>II.3.1.4.02.0028</v>
      </c>
      <c r="B1782" s="321">
        <v>8</v>
      </c>
      <c r="C1782" s="339" t="str">
        <f>IFERROR(VLOOKUP(A1782,[3]DOORSCRIEFT!$A$2:$G$6834,2,FALSE),"")</f>
        <v/>
      </c>
      <c r="D1782" s="481" t="str">
        <f>IFERROR(VLOOKUP(A1782,[3]DOORSCRIEFT!$A$2:$G$6834,3,FALSE),"")</f>
        <v/>
      </c>
      <c r="E1782" s="480" t="str">
        <f>IFERROR(VLOOKUP(A1782,[3]DOORSCRIEFT!$A$2:$G$6834,4,FALSE),"")</f>
        <v/>
      </c>
      <c r="F1782" s="405" t="str">
        <f>IFERROR(VLOOKUP(A1782,[3]DOORSCRIEFT!$A$2:$G$6834,7,FALSE),"")</f>
        <v/>
      </c>
      <c r="G1782" s="315"/>
    </row>
    <row r="1783" spans="1:7" x14ac:dyDescent="0.25">
      <c r="A1783" s="321" t="str">
        <f t="shared" si="59"/>
        <v>II.3.1.4.02.0029</v>
      </c>
      <c r="B1783" s="321">
        <v>9</v>
      </c>
      <c r="C1783" s="339" t="str">
        <f>IFERROR(VLOOKUP(A1783,[3]DOORSCRIEFT!$A$2:$G$6834,2,FALSE),"")</f>
        <v/>
      </c>
      <c r="D1783" s="481" t="str">
        <f>IFERROR(VLOOKUP(A1783,[3]DOORSCRIEFT!$A$2:$G$6834,3,FALSE),"")</f>
        <v/>
      </c>
      <c r="E1783" s="480" t="str">
        <f>IFERROR(VLOOKUP(A1783,[3]DOORSCRIEFT!$A$2:$G$6834,4,FALSE),"")</f>
        <v/>
      </c>
      <c r="F1783" s="405" t="str">
        <f>IFERROR(VLOOKUP(A1783,[3]DOORSCRIEFT!$A$2:$G$6834,7,FALSE),"")</f>
        <v/>
      </c>
      <c r="G1783" s="315"/>
    </row>
    <row r="1784" spans="1:7" x14ac:dyDescent="0.25">
      <c r="A1784" s="321" t="str">
        <f t="shared" si="59"/>
        <v>II.3.1.4.02.00210</v>
      </c>
      <c r="B1784" s="321">
        <v>10</v>
      </c>
      <c r="C1784" s="339" t="str">
        <f>IFERROR(VLOOKUP(A1784,[3]DOORSCRIEFT!$A$2:$G$6834,2,FALSE),"")</f>
        <v/>
      </c>
      <c r="D1784" s="481" t="str">
        <f>IFERROR(VLOOKUP(A1784,[3]DOORSCRIEFT!$A$2:$G$6834,3,FALSE),"")</f>
        <v/>
      </c>
      <c r="E1784" s="480" t="str">
        <f>IFERROR(VLOOKUP(A1784,[3]DOORSCRIEFT!$A$2:$G$6834,4,FALSE),"")</f>
        <v/>
      </c>
      <c r="F1784" s="405" t="str">
        <f>IFERROR(VLOOKUP(A1784,[3]DOORSCRIEFT!$A$2:$G$6834,7,FALSE),"")</f>
        <v/>
      </c>
      <c r="G1784" s="315"/>
    </row>
    <row r="1785" spans="1:7" x14ac:dyDescent="0.25">
      <c r="A1785" s="321" t="str">
        <f t="shared" si="59"/>
        <v>II.3.1.4.02.00211</v>
      </c>
      <c r="B1785" s="321">
        <v>11</v>
      </c>
      <c r="C1785" s="339" t="str">
        <f>IFERROR(VLOOKUP(A1785,[3]DOORSCRIEFT!$A$2:$G$6834,2,FALSE),"")</f>
        <v/>
      </c>
      <c r="D1785" s="481" t="str">
        <f>IFERROR(VLOOKUP(A1785,[3]DOORSCRIEFT!$A$2:$G$6834,3,FALSE),"")</f>
        <v/>
      </c>
      <c r="E1785" s="480" t="str">
        <f>IFERROR(VLOOKUP(A1785,[3]DOORSCRIEFT!$A$2:$G$6834,4,FALSE),"")</f>
        <v/>
      </c>
      <c r="F1785" s="405" t="str">
        <f>IFERROR(VLOOKUP(A1785,[3]DOORSCRIEFT!$A$2:$G$6834,7,FALSE),"")</f>
        <v/>
      </c>
      <c r="G1785" s="315"/>
    </row>
    <row r="1786" spans="1:7" x14ac:dyDescent="0.25">
      <c r="A1786" s="321" t="str">
        <f t="shared" si="59"/>
        <v>II.3.1.4.02.00212</v>
      </c>
      <c r="B1786" s="321">
        <v>12</v>
      </c>
      <c r="C1786" s="339" t="str">
        <f>IFERROR(VLOOKUP(A1786,[3]DOORSCRIEFT!$A$2:$G$6834,2,FALSE),"")</f>
        <v/>
      </c>
      <c r="D1786" s="481" t="str">
        <f>IFERROR(VLOOKUP(A1786,[3]DOORSCRIEFT!$A$2:$G$6834,3,FALSE),"")</f>
        <v/>
      </c>
      <c r="E1786" s="480" t="str">
        <f>IFERROR(VLOOKUP(A1786,[3]DOORSCRIEFT!$A$2:$G$6834,4,FALSE),"")</f>
        <v/>
      </c>
      <c r="F1786" s="405" t="str">
        <f>IFERROR(VLOOKUP(A1786,[3]DOORSCRIEFT!$A$2:$G$6834,7,FALSE),"")</f>
        <v/>
      </c>
      <c r="G1786" s="315"/>
    </row>
    <row r="1787" spans="1:7" x14ac:dyDescent="0.25">
      <c r="A1787" s="321" t="str">
        <f t="shared" si="59"/>
        <v>II.3.1.4.02.00213</v>
      </c>
      <c r="B1787" s="321">
        <v>13</v>
      </c>
      <c r="C1787" s="339" t="str">
        <f>IFERROR(VLOOKUP(A1787,[3]DOORSCRIEFT!$A$2:$G$6834,2,FALSE),"")</f>
        <v/>
      </c>
      <c r="D1787" s="481" t="str">
        <f>IFERROR(VLOOKUP(A1787,[3]DOORSCRIEFT!$A$2:$G$6834,3,FALSE),"")</f>
        <v/>
      </c>
      <c r="E1787" s="480" t="str">
        <f>IFERROR(VLOOKUP(A1787,[3]DOORSCRIEFT!$A$2:$G$6834,4,FALSE),"")</f>
        <v/>
      </c>
      <c r="F1787" s="405" t="str">
        <f>IFERROR(VLOOKUP(A1787,[3]DOORSCRIEFT!$A$2:$G$6834,7,FALSE),"")</f>
        <v/>
      </c>
      <c r="G1787" s="315"/>
    </row>
    <row r="1788" spans="1:7" x14ac:dyDescent="0.25">
      <c r="A1788" s="321" t="str">
        <f t="shared" si="59"/>
        <v>II.3.1.4.02.00214</v>
      </c>
      <c r="B1788" s="321">
        <v>14</v>
      </c>
      <c r="C1788" s="339" t="str">
        <f>IFERROR(VLOOKUP(A1788,[3]DOORSCRIEFT!$A$2:$G$6834,2,FALSE),"")</f>
        <v/>
      </c>
      <c r="D1788" s="481" t="str">
        <f>IFERROR(VLOOKUP(A1788,[3]DOORSCRIEFT!$A$2:$G$6834,3,FALSE),"")</f>
        <v/>
      </c>
      <c r="E1788" s="480" t="str">
        <f>IFERROR(VLOOKUP(A1788,[3]DOORSCRIEFT!$A$2:$G$6834,4,FALSE),"")</f>
        <v/>
      </c>
      <c r="F1788" s="405" t="str">
        <f>IFERROR(VLOOKUP(A1788,[3]DOORSCRIEFT!$A$2:$G$6834,7,FALSE),"")</f>
        <v/>
      </c>
      <c r="G1788" s="315"/>
    </row>
    <row r="1789" spans="1:7" ht="15.75" thickBot="1" x14ac:dyDescent="0.3">
      <c r="A1789" s="342" t="str">
        <f t="shared" si="59"/>
        <v>II.3.1.4.02.00215</v>
      </c>
      <c r="B1789" s="342">
        <v>15</v>
      </c>
      <c r="C1789" s="339" t="str">
        <f>IFERROR(VLOOKUP(A1789,[3]DOORSCRIEFT!$A$2:$G$6834,2,FALSE),"")</f>
        <v/>
      </c>
      <c r="D1789" s="481" t="str">
        <f>IFERROR(VLOOKUP(A1789,[3]DOORSCRIEFT!$A$2:$G$6834,3,FALSE),"")</f>
        <v/>
      </c>
      <c r="E1789" s="480" t="str">
        <f>IFERROR(VLOOKUP(A1789,[3]DOORSCRIEFT!$A$2:$G$6834,4,FALSE),"")</f>
        <v/>
      </c>
      <c r="F1789" s="405" t="str">
        <f>IFERROR(VLOOKUP(A1789,[3]DOORSCRIEFT!$A$2:$G$6834,7,FALSE),"")</f>
        <v/>
      </c>
      <c r="G1789" s="315"/>
    </row>
    <row r="1790" spans="1:7" ht="15.75" thickBot="1" x14ac:dyDescent="0.3">
      <c r="A1790" s="341"/>
      <c r="B1790" s="340"/>
      <c r="C1790" s="336"/>
      <c r="D1790" s="486"/>
      <c r="E1790" s="340" t="s">
        <v>644</v>
      </c>
      <c r="F1790" s="310">
        <f>SUM(F1775:F1789)</f>
        <v>0</v>
      </c>
      <c r="G1790" s="309">
        <f>SUM(G1775:G1789)</f>
        <v>0</v>
      </c>
    </row>
    <row r="1791" spans="1:7" x14ac:dyDescent="0.25">
      <c r="C1791" s="335"/>
      <c r="D1791" s="485"/>
    </row>
    <row r="1792" spans="1:7" x14ac:dyDescent="0.25">
      <c r="C1792" s="335"/>
      <c r="D1792" s="485"/>
    </row>
    <row r="1793" spans="1:7" ht="15.75" x14ac:dyDescent="0.25">
      <c r="C1793" s="334" t="s">
        <v>663</v>
      </c>
      <c r="D1793" s="484"/>
      <c r="E1793" s="333"/>
      <c r="F1793" s="327" t="s">
        <v>607</v>
      </c>
      <c r="G1793" s="327" t="s">
        <v>102</v>
      </c>
    </row>
    <row r="1794" spans="1:7" ht="15.75" x14ac:dyDescent="0.25">
      <c r="C1794" s="334"/>
      <c r="D1794" s="484"/>
      <c r="E1794" s="333"/>
      <c r="F1794" s="327" t="s">
        <v>601</v>
      </c>
      <c r="G1794" s="327" t="s">
        <v>101</v>
      </c>
    </row>
    <row r="1795" spans="1:7" x14ac:dyDescent="0.25">
      <c r="C1795" s="330"/>
      <c r="D1795" s="482"/>
      <c r="E1795" s="329"/>
      <c r="F1795" s="327" t="s">
        <v>651</v>
      </c>
      <c r="G1795" s="331">
        <f>[2]Sheet1!$D$490</f>
        <v>0</v>
      </c>
    </row>
    <row r="1796" spans="1:7" ht="15.75" thickBot="1" x14ac:dyDescent="0.3">
      <c r="C1796" s="330"/>
      <c r="D1796" s="482"/>
      <c r="E1796" s="329"/>
      <c r="F1796" s="327" t="s">
        <v>650</v>
      </c>
      <c r="G1796" s="326">
        <f>+F1815-G1795</f>
        <v>0</v>
      </c>
    </row>
    <row r="1797" spans="1:7" x14ac:dyDescent="0.25">
      <c r="A1797" s="571" t="s">
        <v>655</v>
      </c>
      <c r="B1797" s="573" t="s">
        <v>606</v>
      </c>
      <c r="C1797" s="588" t="s">
        <v>649</v>
      </c>
      <c r="D1797" s="599" t="s">
        <v>648</v>
      </c>
      <c r="E1797" s="577" t="s">
        <v>647</v>
      </c>
      <c r="F1797" s="577" t="s">
        <v>646</v>
      </c>
      <c r="G1797" s="580" t="s">
        <v>645</v>
      </c>
    </row>
    <row r="1798" spans="1:7" ht="15.75" thickBot="1" x14ac:dyDescent="0.3">
      <c r="A1798" s="572"/>
      <c r="B1798" s="574"/>
      <c r="C1798" s="589"/>
      <c r="D1798" s="600"/>
      <c r="E1798" s="578"/>
      <c r="F1798" s="578"/>
      <c r="G1798" s="581"/>
    </row>
    <row r="1799" spans="1:7" ht="15.75" thickBot="1" x14ac:dyDescent="0.3">
      <c r="A1799" s="425">
        <v>1</v>
      </c>
      <c r="B1799" s="425">
        <v>2</v>
      </c>
      <c r="C1799" s="425">
        <v>3</v>
      </c>
      <c r="D1799" s="425">
        <v>4</v>
      </c>
      <c r="E1799" s="425">
        <v>5</v>
      </c>
      <c r="F1799" s="425">
        <v>6</v>
      </c>
      <c r="G1799" s="425">
        <v>7</v>
      </c>
    </row>
    <row r="1800" spans="1:7" x14ac:dyDescent="0.25">
      <c r="A1800" s="320" t="str">
        <f t="shared" ref="A1800:A1814" si="60">$G$1793&amp;B1800</f>
        <v>II.3.1.4.03.0011</v>
      </c>
      <c r="B1800" s="320">
        <v>1</v>
      </c>
      <c r="C1800" s="339" t="str">
        <f>IFERROR(VLOOKUP(A1800,[3]DOORSCRIEFT!$A$2:$G$6834,2,FALSE),"")</f>
        <v/>
      </c>
      <c r="D1800" s="481" t="str">
        <f>IFERROR(VLOOKUP(A1800,[3]DOORSCRIEFT!$A$2:$G$6834,3,FALSE),"")</f>
        <v/>
      </c>
      <c r="E1800" s="480" t="str">
        <f>IFERROR(VLOOKUP(A1800,[3]DOORSCRIEFT!$A$2:$G$6834,4,FALSE),"")</f>
        <v/>
      </c>
      <c r="F1800" s="405" t="str">
        <f>IFERROR(VLOOKUP(A1800,[3]DOORSCRIEFT!$A$2:$G$6834,7,FALSE),"")</f>
        <v/>
      </c>
      <c r="G1800" s="322"/>
    </row>
    <row r="1801" spans="1:7" x14ac:dyDescent="0.25">
      <c r="A1801" s="321" t="str">
        <f t="shared" si="60"/>
        <v>II.3.1.4.03.0012</v>
      </c>
      <c r="B1801" s="321">
        <v>2</v>
      </c>
      <c r="C1801" s="339" t="str">
        <f>IFERROR(VLOOKUP(A1801,[3]DOORSCRIEFT!$A$2:$G$6834,2,FALSE),"")</f>
        <v/>
      </c>
      <c r="D1801" s="481" t="str">
        <f>IFERROR(VLOOKUP(A1801,[3]DOORSCRIEFT!$A$2:$G$6834,3,FALSE),"")</f>
        <v/>
      </c>
      <c r="E1801" s="480" t="str">
        <f>IFERROR(VLOOKUP(A1801,[3]DOORSCRIEFT!$A$2:$G$6834,4,FALSE),"")</f>
        <v/>
      </c>
      <c r="F1801" s="405" t="str">
        <f>IFERROR(VLOOKUP(A1801,[3]DOORSCRIEFT!$A$2:$G$6834,7,FALSE),"")</f>
        <v/>
      </c>
      <c r="G1801" s="315"/>
    </row>
    <row r="1802" spans="1:7" x14ac:dyDescent="0.25">
      <c r="A1802" s="321" t="str">
        <f t="shared" si="60"/>
        <v>II.3.1.4.03.0013</v>
      </c>
      <c r="B1802" s="321">
        <v>3</v>
      </c>
      <c r="C1802" s="339" t="str">
        <f>IFERROR(VLOOKUP(A1802,[3]DOORSCRIEFT!$A$2:$G$6834,2,FALSE),"")</f>
        <v/>
      </c>
      <c r="D1802" s="481" t="str">
        <f>IFERROR(VLOOKUP(A1802,[3]DOORSCRIEFT!$A$2:$G$6834,3,FALSE),"")</f>
        <v/>
      </c>
      <c r="E1802" s="480" t="str">
        <f>IFERROR(VLOOKUP(A1802,[3]DOORSCRIEFT!$A$2:$G$6834,4,FALSE),"")</f>
        <v/>
      </c>
      <c r="F1802" s="405" t="str">
        <f>IFERROR(VLOOKUP(A1802,[3]DOORSCRIEFT!$A$2:$G$6834,7,FALSE),"")</f>
        <v/>
      </c>
      <c r="G1802" s="315"/>
    </row>
    <row r="1803" spans="1:7" x14ac:dyDescent="0.25">
      <c r="A1803" s="321" t="str">
        <f t="shared" si="60"/>
        <v>II.3.1.4.03.0014</v>
      </c>
      <c r="B1803" s="321">
        <v>4</v>
      </c>
      <c r="C1803" s="339" t="str">
        <f>IFERROR(VLOOKUP(A1803,[3]DOORSCRIEFT!$A$2:$G$6834,2,FALSE),"")</f>
        <v/>
      </c>
      <c r="D1803" s="481" t="str">
        <f>IFERROR(VLOOKUP(A1803,[3]DOORSCRIEFT!$A$2:$G$6834,3,FALSE),"")</f>
        <v/>
      </c>
      <c r="E1803" s="480" t="str">
        <f>IFERROR(VLOOKUP(A1803,[3]DOORSCRIEFT!$A$2:$G$6834,4,FALSE),"")</f>
        <v/>
      </c>
      <c r="F1803" s="405" t="str">
        <f>IFERROR(VLOOKUP(A1803,[3]DOORSCRIEFT!$A$2:$G$6834,7,FALSE),"")</f>
        <v/>
      </c>
      <c r="G1803" s="315"/>
    </row>
    <row r="1804" spans="1:7" x14ac:dyDescent="0.25">
      <c r="A1804" s="321" t="str">
        <f t="shared" si="60"/>
        <v>II.3.1.4.03.0015</v>
      </c>
      <c r="B1804" s="321">
        <v>5</v>
      </c>
      <c r="C1804" s="339" t="str">
        <f>IFERROR(VLOOKUP(A1804,[3]DOORSCRIEFT!$A$2:$G$6834,2,FALSE),"")</f>
        <v/>
      </c>
      <c r="D1804" s="481" t="str">
        <f>IFERROR(VLOOKUP(A1804,[3]DOORSCRIEFT!$A$2:$G$6834,3,FALSE),"")</f>
        <v/>
      </c>
      <c r="E1804" s="480" t="str">
        <f>IFERROR(VLOOKUP(A1804,[3]DOORSCRIEFT!$A$2:$G$6834,4,FALSE),"")</f>
        <v/>
      </c>
      <c r="F1804" s="405" t="str">
        <f>IFERROR(VLOOKUP(A1804,[3]DOORSCRIEFT!$A$2:$G$6834,7,FALSE),"")</f>
        <v/>
      </c>
      <c r="G1804" s="315"/>
    </row>
    <row r="1805" spans="1:7" x14ac:dyDescent="0.25">
      <c r="A1805" s="321" t="str">
        <f t="shared" si="60"/>
        <v>II.3.1.4.03.0016</v>
      </c>
      <c r="B1805" s="321">
        <v>6</v>
      </c>
      <c r="C1805" s="339" t="str">
        <f>IFERROR(VLOOKUP(A1805,[3]DOORSCRIEFT!$A$2:$G$6834,2,FALSE),"")</f>
        <v/>
      </c>
      <c r="D1805" s="481" t="str">
        <f>IFERROR(VLOOKUP(A1805,[3]DOORSCRIEFT!$A$2:$G$6834,3,FALSE),"")</f>
        <v/>
      </c>
      <c r="E1805" s="480" t="str">
        <f>IFERROR(VLOOKUP(A1805,[3]DOORSCRIEFT!$A$2:$G$6834,4,FALSE),"")</f>
        <v/>
      </c>
      <c r="F1805" s="405" t="str">
        <f>IFERROR(VLOOKUP(A1805,[3]DOORSCRIEFT!$A$2:$G$6834,7,FALSE),"")</f>
        <v/>
      </c>
      <c r="G1805" s="315"/>
    </row>
    <row r="1806" spans="1:7" x14ac:dyDescent="0.25">
      <c r="A1806" s="321" t="str">
        <f t="shared" si="60"/>
        <v>II.3.1.4.03.0017</v>
      </c>
      <c r="B1806" s="321">
        <v>7</v>
      </c>
      <c r="C1806" s="339" t="str">
        <f>IFERROR(VLOOKUP(A1806,[3]DOORSCRIEFT!$A$2:$G$6834,2,FALSE),"")</f>
        <v/>
      </c>
      <c r="D1806" s="481" t="str">
        <f>IFERROR(VLOOKUP(A1806,[3]DOORSCRIEFT!$A$2:$G$6834,3,FALSE),"")</f>
        <v/>
      </c>
      <c r="E1806" s="480" t="str">
        <f>IFERROR(VLOOKUP(A1806,[3]DOORSCRIEFT!$A$2:$G$6834,4,FALSE),"")</f>
        <v/>
      </c>
      <c r="F1806" s="405" t="str">
        <f>IFERROR(VLOOKUP(A1806,[3]DOORSCRIEFT!$A$2:$G$6834,7,FALSE),"")</f>
        <v/>
      </c>
      <c r="G1806" s="315"/>
    </row>
    <row r="1807" spans="1:7" x14ac:dyDescent="0.25">
      <c r="A1807" s="321" t="str">
        <f t="shared" si="60"/>
        <v>II.3.1.4.03.0018</v>
      </c>
      <c r="B1807" s="321">
        <v>8</v>
      </c>
      <c r="C1807" s="339" t="str">
        <f>IFERROR(VLOOKUP(A1807,[3]DOORSCRIEFT!$A$2:$G$6834,2,FALSE),"")</f>
        <v/>
      </c>
      <c r="D1807" s="481" t="str">
        <f>IFERROR(VLOOKUP(A1807,[3]DOORSCRIEFT!$A$2:$G$6834,3,FALSE),"")</f>
        <v/>
      </c>
      <c r="E1807" s="480" t="str">
        <f>IFERROR(VLOOKUP(A1807,[3]DOORSCRIEFT!$A$2:$G$6834,4,FALSE),"")</f>
        <v/>
      </c>
      <c r="F1807" s="405" t="str">
        <f>IFERROR(VLOOKUP(A1807,[3]DOORSCRIEFT!$A$2:$G$6834,7,FALSE),"")</f>
        <v/>
      </c>
      <c r="G1807" s="315"/>
    </row>
    <row r="1808" spans="1:7" x14ac:dyDescent="0.25">
      <c r="A1808" s="321" t="str">
        <f t="shared" si="60"/>
        <v>II.3.1.4.03.0019</v>
      </c>
      <c r="B1808" s="321">
        <v>9</v>
      </c>
      <c r="C1808" s="339" t="str">
        <f>IFERROR(VLOOKUP(A1808,[3]DOORSCRIEFT!$A$2:$G$6834,2,FALSE),"")</f>
        <v/>
      </c>
      <c r="D1808" s="481" t="str">
        <f>IFERROR(VLOOKUP(A1808,[3]DOORSCRIEFT!$A$2:$G$6834,3,FALSE),"")</f>
        <v/>
      </c>
      <c r="E1808" s="480" t="str">
        <f>IFERROR(VLOOKUP(A1808,[3]DOORSCRIEFT!$A$2:$G$6834,4,FALSE),"")</f>
        <v/>
      </c>
      <c r="F1808" s="405" t="str">
        <f>IFERROR(VLOOKUP(A1808,[3]DOORSCRIEFT!$A$2:$G$6834,7,FALSE),"")</f>
        <v/>
      </c>
      <c r="G1808" s="315"/>
    </row>
    <row r="1809" spans="1:7" x14ac:dyDescent="0.25">
      <c r="A1809" s="321" t="str">
        <f t="shared" si="60"/>
        <v>II.3.1.4.03.00110</v>
      </c>
      <c r="B1809" s="321">
        <v>10</v>
      </c>
      <c r="C1809" s="339" t="str">
        <f>IFERROR(VLOOKUP(A1809,[3]DOORSCRIEFT!$A$2:$G$6834,2,FALSE),"")</f>
        <v/>
      </c>
      <c r="D1809" s="481" t="str">
        <f>IFERROR(VLOOKUP(A1809,[3]DOORSCRIEFT!$A$2:$G$6834,3,FALSE),"")</f>
        <v/>
      </c>
      <c r="E1809" s="480" t="str">
        <f>IFERROR(VLOOKUP(A1809,[3]DOORSCRIEFT!$A$2:$G$6834,4,FALSE),"")</f>
        <v/>
      </c>
      <c r="F1809" s="405" t="str">
        <f>IFERROR(VLOOKUP(A1809,[3]DOORSCRIEFT!$A$2:$G$6834,7,FALSE),"")</f>
        <v/>
      </c>
      <c r="G1809" s="315"/>
    </row>
    <row r="1810" spans="1:7" x14ac:dyDescent="0.25">
      <c r="A1810" s="321" t="str">
        <f t="shared" si="60"/>
        <v>II.3.1.4.03.00111</v>
      </c>
      <c r="B1810" s="321">
        <v>11</v>
      </c>
      <c r="C1810" s="339" t="str">
        <f>IFERROR(VLOOKUP(A1810,[3]DOORSCRIEFT!$A$2:$G$6834,2,FALSE),"")</f>
        <v/>
      </c>
      <c r="D1810" s="481" t="str">
        <f>IFERROR(VLOOKUP(A1810,[3]DOORSCRIEFT!$A$2:$G$6834,3,FALSE),"")</f>
        <v/>
      </c>
      <c r="E1810" s="480" t="str">
        <f>IFERROR(VLOOKUP(A1810,[3]DOORSCRIEFT!$A$2:$G$6834,4,FALSE),"")</f>
        <v/>
      </c>
      <c r="F1810" s="405" t="str">
        <f>IFERROR(VLOOKUP(A1810,[3]DOORSCRIEFT!$A$2:$G$6834,7,FALSE),"")</f>
        <v/>
      </c>
      <c r="G1810" s="315"/>
    </row>
    <row r="1811" spans="1:7" x14ac:dyDescent="0.25">
      <c r="A1811" s="321" t="str">
        <f t="shared" si="60"/>
        <v>II.3.1.4.03.00112</v>
      </c>
      <c r="B1811" s="321">
        <v>12</v>
      </c>
      <c r="C1811" s="339" t="str">
        <f>IFERROR(VLOOKUP(A1811,[3]DOORSCRIEFT!$A$2:$G$6834,2,FALSE),"")</f>
        <v/>
      </c>
      <c r="D1811" s="481" t="str">
        <f>IFERROR(VLOOKUP(A1811,[3]DOORSCRIEFT!$A$2:$G$6834,3,FALSE),"")</f>
        <v/>
      </c>
      <c r="E1811" s="480" t="str">
        <f>IFERROR(VLOOKUP(A1811,[3]DOORSCRIEFT!$A$2:$G$6834,4,FALSE),"")</f>
        <v/>
      </c>
      <c r="F1811" s="405" t="str">
        <f>IFERROR(VLOOKUP(A1811,[3]DOORSCRIEFT!$A$2:$G$6834,7,FALSE),"")</f>
        <v/>
      </c>
      <c r="G1811" s="315"/>
    </row>
    <row r="1812" spans="1:7" x14ac:dyDescent="0.25">
      <c r="A1812" s="321" t="str">
        <f t="shared" si="60"/>
        <v>II.3.1.4.03.00113</v>
      </c>
      <c r="B1812" s="321">
        <v>13</v>
      </c>
      <c r="C1812" s="339" t="str">
        <f>IFERROR(VLOOKUP(A1812,[3]DOORSCRIEFT!$A$2:$G$6834,2,FALSE),"")</f>
        <v/>
      </c>
      <c r="D1812" s="481" t="str">
        <f>IFERROR(VLOOKUP(A1812,[3]DOORSCRIEFT!$A$2:$G$6834,3,FALSE),"")</f>
        <v/>
      </c>
      <c r="E1812" s="480" t="str">
        <f>IFERROR(VLOOKUP(A1812,[3]DOORSCRIEFT!$A$2:$G$6834,4,FALSE),"")</f>
        <v/>
      </c>
      <c r="F1812" s="405" t="str">
        <f>IFERROR(VLOOKUP(A1812,[3]DOORSCRIEFT!$A$2:$G$6834,7,FALSE),"")</f>
        <v/>
      </c>
      <c r="G1812" s="315"/>
    </row>
    <row r="1813" spans="1:7" x14ac:dyDescent="0.25">
      <c r="A1813" s="321" t="str">
        <f t="shared" si="60"/>
        <v>II.3.1.4.03.00114</v>
      </c>
      <c r="B1813" s="321">
        <v>14</v>
      </c>
      <c r="C1813" s="339" t="str">
        <f>IFERROR(VLOOKUP(A1813,[3]DOORSCRIEFT!$A$2:$G$6834,2,FALSE),"")</f>
        <v/>
      </c>
      <c r="D1813" s="481" t="str">
        <f>IFERROR(VLOOKUP(A1813,[3]DOORSCRIEFT!$A$2:$G$6834,3,FALSE),"")</f>
        <v/>
      </c>
      <c r="E1813" s="480" t="str">
        <f>IFERROR(VLOOKUP(A1813,[3]DOORSCRIEFT!$A$2:$G$6834,4,FALSE),"")</f>
        <v/>
      </c>
      <c r="F1813" s="405" t="str">
        <f>IFERROR(VLOOKUP(A1813,[3]DOORSCRIEFT!$A$2:$G$6834,7,FALSE),"")</f>
        <v/>
      </c>
      <c r="G1813" s="315"/>
    </row>
    <row r="1814" spans="1:7" ht="15.75" thickBot="1" x14ac:dyDescent="0.3">
      <c r="A1814" s="342" t="str">
        <f t="shared" si="60"/>
        <v>II.3.1.4.03.00115</v>
      </c>
      <c r="B1814" s="342">
        <v>15</v>
      </c>
      <c r="C1814" s="339" t="str">
        <f>IFERROR(VLOOKUP(A1814,[3]DOORSCRIEFT!$A$2:$G$6834,2,FALSE),"")</f>
        <v/>
      </c>
      <c r="D1814" s="481" t="str">
        <f>IFERROR(VLOOKUP(A1814,[3]DOORSCRIEFT!$A$2:$G$6834,3,FALSE),"")</f>
        <v/>
      </c>
      <c r="E1814" s="480" t="str">
        <f>IFERROR(VLOOKUP(A1814,[3]DOORSCRIEFT!$A$2:$G$6834,4,FALSE),"")</f>
        <v/>
      </c>
      <c r="F1814" s="405" t="str">
        <f>IFERROR(VLOOKUP(A1814,[3]DOORSCRIEFT!$A$2:$G$6834,7,FALSE),"")</f>
        <v/>
      </c>
      <c r="G1814" s="315"/>
    </row>
    <row r="1815" spans="1:7" ht="15.75" thickBot="1" x14ac:dyDescent="0.3">
      <c r="A1815" s="341"/>
      <c r="B1815" s="340"/>
      <c r="C1815" s="336"/>
      <c r="D1815" s="486"/>
      <c r="E1815" s="340" t="s">
        <v>644</v>
      </c>
      <c r="F1815" s="310">
        <f>SUM(F1800:F1814)</f>
        <v>0</v>
      </c>
      <c r="G1815" s="309">
        <f>SUM(G1800:G1814)</f>
        <v>0</v>
      </c>
    </row>
    <row r="1816" spans="1:7" x14ac:dyDescent="0.25">
      <c r="C1816" s="335"/>
      <c r="D1816" s="485"/>
    </row>
    <row r="1817" spans="1:7" x14ac:dyDescent="0.25">
      <c r="C1817" s="335"/>
      <c r="D1817" s="485"/>
    </row>
    <row r="1818" spans="1:7" ht="15.75" x14ac:dyDescent="0.25">
      <c r="C1818" s="334" t="s">
        <v>663</v>
      </c>
      <c r="D1818" s="484"/>
      <c r="E1818" s="333"/>
      <c r="F1818" s="327" t="s">
        <v>607</v>
      </c>
      <c r="G1818" s="327" t="s">
        <v>100</v>
      </c>
    </row>
    <row r="1819" spans="1:7" ht="15.75" x14ac:dyDescent="0.25">
      <c r="C1819" s="334"/>
      <c r="D1819" s="484"/>
      <c r="E1819" s="333"/>
      <c r="F1819" s="327" t="s">
        <v>601</v>
      </c>
      <c r="G1819" s="327" t="s">
        <v>99</v>
      </c>
    </row>
    <row r="1820" spans="1:7" x14ac:dyDescent="0.25">
      <c r="C1820" s="330"/>
      <c r="D1820" s="482"/>
      <c r="E1820" s="329"/>
      <c r="F1820" s="327" t="s">
        <v>651</v>
      </c>
      <c r="G1820" s="331">
        <f>[2]Sheet1!$D$491</f>
        <v>1200000</v>
      </c>
    </row>
    <row r="1821" spans="1:7" ht="15.75" thickBot="1" x14ac:dyDescent="0.3">
      <c r="C1821" s="330"/>
      <c r="D1821" s="482"/>
      <c r="E1821" s="329"/>
      <c r="F1821" s="327" t="s">
        <v>650</v>
      </c>
      <c r="G1821" s="326">
        <f>+F1840-G1820</f>
        <v>-1200000</v>
      </c>
    </row>
    <row r="1822" spans="1:7" x14ac:dyDescent="0.25">
      <c r="A1822" s="571" t="s">
        <v>655</v>
      </c>
      <c r="B1822" s="573" t="s">
        <v>606</v>
      </c>
      <c r="C1822" s="588" t="s">
        <v>649</v>
      </c>
      <c r="D1822" s="599" t="s">
        <v>648</v>
      </c>
      <c r="E1822" s="577" t="s">
        <v>647</v>
      </c>
      <c r="F1822" s="577" t="s">
        <v>646</v>
      </c>
      <c r="G1822" s="580" t="s">
        <v>645</v>
      </c>
    </row>
    <row r="1823" spans="1:7" ht="15.75" thickBot="1" x14ac:dyDescent="0.3">
      <c r="A1823" s="572"/>
      <c r="B1823" s="574"/>
      <c r="C1823" s="589"/>
      <c r="D1823" s="600"/>
      <c r="E1823" s="578"/>
      <c r="F1823" s="578"/>
      <c r="G1823" s="581"/>
    </row>
    <row r="1824" spans="1:7" ht="15.75" thickBot="1" x14ac:dyDescent="0.3">
      <c r="A1824" s="425">
        <v>1</v>
      </c>
      <c r="B1824" s="425">
        <v>2</v>
      </c>
      <c r="C1824" s="425">
        <v>3</v>
      </c>
      <c r="D1824" s="425">
        <v>4</v>
      </c>
      <c r="E1824" s="425">
        <v>5</v>
      </c>
      <c r="F1824" s="425">
        <v>6</v>
      </c>
      <c r="G1824" s="425">
        <v>7</v>
      </c>
    </row>
    <row r="1825" spans="1:7" x14ac:dyDescent="0.25">
      <c r="A1825" s="320" t="str">
        <f t="shared" ref="A1825:A1839" si="61">$G$1818&amp;B1825</f>
        <v>II.3.1.4.03.0021</v>
      </c>
      <c r="B1825" s="320">
        <v>1</v>
      </c>
      <c r="C1825" s="339" t="str">
        <f>IFERROR(VLOOKUP(A1825,[3]DOORSCRIEFT!$A$2:$G$6834,2,FALSE),"")</f>
        <v/>
      </c>
      <c r="D1825" s="481" t="str">
        <f>IFERROR(VLOOKUP(A1825,[3]DOORSCRIEFT!$A$2:$G$6834,3,FALSE),"")</f>
        <v/>
      </c>
      <c r="E1825" s="480" t="str">
        <f>IFERROR(VLOOKUP(A1825,[3]DOORSCRIEFT!$A$2:$G$6834,4,FALSE),"")</f>
        <v/>
      </c>
      <c r="F1825" s="405" t="str">
        <f>IFERROR(VLOOKUP(A1825,[3]DOORSCRIEFT!$A$2:$G$6834,7,FALSE),"")</f>
        <v/>
      </c>
      <c r="G1825" s="322"/>
    </row>
    <row r="1826" spans="1:7" x14ac:dyDescent="0.25">
      <c r="A1826" s="321" t="str">
        <f t="shared" si="61"/>
        <v>II.3.1.4.03.0022</v>
      </c>
      <c r="B1826" s="321">
        <v>2</v>
      </c>
      <c r="C1826" s="339" t="str">
        <f>IFERROR(VLOOKUP(A1826,[3]DOORSCRIEFT!$A$2:$G$6834,2,FALSE),"")</f>
        <v/>
      </c>
      <c r="D1826" s="481" t="str">
        <f>IFERROR(VLOOKUP(A1826,[3]DOORSCRIEFT!$A$2:$G$6834,3,FALSE),"")</f>
        <v/>
      </c>
      <c r="E1826" s="480" t="str">
        <f>IFERROR(VLOOKUP(A1826,[3]DOORSCRIEFT!$A$2:$G$6834,4,FALSE),"")</f>
        <v/>
      </c>
      <c r="F1826" s="405" t="str">
        <f>IFERROR(VLOOKUP(A1826,[3]DOORSCRIEFT!$A$2:$G$6834,7,FALSE),"")</f>
        <v/>
      </c>
      <c r="G1826" s="315"/>
    </row>
    <row r="1827" spans="1:7" x14ac:dyDescent="0.25">
      <c r="A1827" s="321" t="str">
        <f t="shared" si="61"/>
        <v>II.3.1.4.03.0023</v>
      </c>
      <c r="B1827" s="321">
        <v>3</v>
      </c>
      <c r="C1827" s="339" t="str">
        <f>IFERROR(VLOOKUP(A1827,[3]DOORSCRIEFT!$A$2:$G$6834,2,FALSE),"")</f>
        <v/>
      </c>
      <c r="D1827" s="481" t="str">
        <f>IFERROR(VLOOKUP(A1827,[3]DOORSCRIEFT!$A$2:$G$6834,3,FALSE),"")</f>
        <v/>
      </c>
      <c r="E1827" s="480" t="str">
        <f>IFERROR(VLOOKUP(A1827,[3]DOORSCRIEFT!$A$2:$G$6834,4,FALSE),"")</f>
        <v/>
      </c>
      <c r="F1827" s="405" t="str">
        <f>IFERROR(VLOOKUP(A1827,[3]DOORSCRIEFT!$A$2:$G$6834,7,FALSE),"")</f>
        <v/>
      </c>
      <c r="G1827" s="315"/>
    </row>
    <row r="1828" spans="1:7" x14ac:dyDescent="0.25">
      <c r="A1828" s="321" t="str">
        <f t="shared" si="61"/>
        <v>II.3.1.4.03.0024</v>
      </c>
      <c r="B1828" s="321">
        <v>4</v>
      </c>
      <c r="C1828" s="339" t="str">
        <f>IFERROR(VLOOKUP(A1828,[3]DOORSCRIEFT!$A$2:$G$6834,2,FALSE),"")</f>
        <v/>
      </c>
      <c r="D1828" s="481" t="str">
        <f>IFERROR(VLOOKUP(A1828,[3]DOORSCRIEFT!$A$2:$G$6834,3,FALSE),"")</f>
        <v/>
      </c>
      <c r="E1828" s="480" t="str">
        <f>IFERROR(VLOOKUP(A1828,[3]DOORSCRIEFT!$A$2:$G$6834,4,FALSE),"")</f>
        <v/>
      </c>
      <c r="F1828" s="405" t="str">
        <f>IFERROR(VLOOKUP(A1828,[3]DOORSCRIEFT!$A$2:$G$6834,7,FALSE),"")</f>
        <v/>
      </c>
      <c r="G1828" s="315"/>
    </row>
    <row r="1829" spans="1:7" x14ac:dyDescent="0.25">
      <c r="A1829" s="321" t="str">
        <f t="shared" si="61"/>
        <v>II.3.1.4.03.0025</v>
      </c>
      <c r="B1829" s="321">
        <v>5</v>
      </c>
      <c r="C1829" s="339" t="str">
        <f>IFERROR(VLOOKUP(A1829,[3]DOORSCRIEFT!$A$2:$G$6834,2,FALSE),"")</f>
        <v/>
      </c>
      <c r="D1829" s="481" t="str">
        <f>IFERROR(VLOOKUP(A1829,[3]DOORSCRIEFT!$A$2:$G$6834,3,FALSE),"")</f>
        <v/>
      </c>
      <c r="E1829" s="480" t="str">
        <f>IFERROR(VLOOKUP(A1829,[3]DOORSCRIEFT!$A$2:$G$6834,4,FALSE),"")</f>
        <v/>
      </c>
      <c r="F1829" s="405" t="str">
        <f>IFERROR(VLOOKUP(A1829,[3]DOORSCRIEFT!$A$2:$G$6834,7,FALSE),"")</f>
        <v/>
      </c>
      <c r="G1829" s="315"/>
    </row>
    <row r="1830" spans="1:7" x14ac:dyDescent="0.25">
      <c r="A1830" s="321" t="str">
        <f t="shared" si="61"/>
        <v>II.3.1.4.03.0026</v>
      </c>
      <c r="B1830" s="321">
        <v>6</v>
      </c>
      <c r="C1830" s="339" t="str">
        <f>IFERROR(VLOOKUP(A1830,[3]DOORSCRIEFT!$A$2:$G$6834,2,FALSE),"")</f>
        <v/>
      </c>
      <c r="D1830" s="481" t="str">
        <f>IFERROR(VLOOKUP(A1830,[3]DOORSCRIEFT!$A$2:$G$6834,3,FALSE),"")</f>
        <v/>
      </c>
      <c r="E1830" s="480" t="str">
        <f>IFERROR(VLOOKUP(A1830,[3]DOORSCRIEFT!$A$2:$G$6834,4,FALSE),"")</f>
        <v/>
      </c>
      <c r="F1830" s="405" t="str">
        <f>IFERROR(VLOOKUP(A1830,[3]DOORSCRIEFT!$A$2:$G$6834,7,FALSE),"")</f>
        <v/>
      </c>
      <c r="G1830" s="315"/>
    </row>
    <row r="1831" spans="1:7" x14ac:dyDescent="0.25">
      <c r="A1831" s="321" t="str">
        <f t="shared" si="61"/>
        <v>II.3.1.4.03.0027</v>
      </c>
      <c r="B1831" s="321">
        <v>7</v>
      </c>
      <c r="C1831" s="339" t="str">
        <f>IFERROR(VLOOKUP(A1831,[3]DOORSCRIEFT!$A$2:$G$6834,2,FALSE),"")</f>
        <v/>
      </c>
      <c r="D1831" s="481" t="str">
        <f>IFERROR(VLOOKUP(A1831,[3]DOORSCRIEFT!$A$2:$G$6834,3,FALSE),"")</f>
        <v/>
      </c>
      <c r="E1831" s="480" t="str">
        <f>IFERROR(VLOOKUP(A1831,[3]DOORSCRIEFT!$A$2:$G$6834,4,FALSE),"")</f>
        <v/>
      </c>
      <c r="F1831" s="405" t="str">
        <f>IFERROR(VLOOKUP(A1831,[3]DOORSCRIEFT!$A$2:$G$6834,7,FALSE),"")</f>
        <v/>
      </c>
      <c r="G1831" s="315"/>
    </row>
    <row r="1832" spans="1:7" x14ac:dyDescent="0.25">
      <c r="A1832" s="321" t="str">
        <f t="shared" si="61"/>
        <v>II.3.1.4.03.0028</v>
      </c>
      <c r="B1832" s="321">
        <v>8</v>
      </c>
      <c r="C1832" s="339" t="str">
        <f>IFERROR(VLOOKUP(A1832,[3]DOORSCRIEFT!$A$2:$G$6834,2,FALSE),"")</f>
        <v/>
      </c>
      <c r="D1832" s="481" t="str">
        <f>IFERROR(VLOOKUP(A1832,[3]DOORSCRIEFT!$A$2:$G$6834,3,FALSE),"")</f>
        <v/>
      </c>
      <c r="E1832" s="480" t="str">
        <f>IFERROR(VLOOKUP(A1832,[3]DOORSCRIEFT!$A$2:$G$6834,4,FALSE),"")</f>
        <v/>
      </c>
      <c r="F1832" s="405" t="str">
        <f>IFERROR(VLOOKUP(A1832,[3]DOORSCRIEFT!$A$2:$G$6834,7,FALSE),"")</f>
        <v/>
      </c>
      <c r="G1832" s="315"/>
    </row>
    <row r="1833" spans="1:7" x14ac:dyDescent="0.25">
      <c r="A1833" s="321" t="str">
        <f t="shared" si="61"/>
        <v>II.3.1.4.03.0029</v>
      </c>
      <c r="B1833" s="321">
        <v>9</v>
      </c>
      <c r="C1833" s="339" t="str">
        <f>IFERROR(VLOOKUP(A1833,[3]DOORSCRIEFT!$A$2:$G$6834,2,FALSE),"")</f>
        <v/>
      </c>
      <c r="D1833" s="481" t="str">
        <f>IFERROR(VLOOKUP(A1833,[3]DOORSCRIEFT!$A$2:$G$6834,3,FALSE),"")</f>
        <v/>
      </c>
      <c r="E1833" s="480" t="str">
        <f>IFERROR(VLOOKUP(A1833,[3]DOORSCRIEFT!$A$2:$G$6834,4,FALSE),"")</f>
        <v/>
      </c>
      <c r="F1833" s="405" t="str">
        <f>IFERROR(VLOOKUP(A1833,[3]DOORSCRIEFT!$A$2:$G$6834,7,FALSE),"")</f>
        <v/>
      </c>
      <c r="G1833" s="315"/>
    </row>
    <row r="1834" spans="1:7" x14ac:dyDescent="0.25">
      <c r="A1834" s="321" t="str">
        <f t="shared" si="61"/>
        <v>II.3.1.4.03.00210</v>
      </c>
      <c r="B1834" s="321">
        <v>10</v>
      </c>
      <c r="C1834" s="339" t="str">
        <f>IFERROR(VLOOKUP(A1834,[3]DOORSCRIEFT!$A$2:$G$6834,2,FALSE),"")</f>
        <v/>
      </c>
      <c r="D1834" s="481" t="str">
        <f>IFERROR(VLOOKUP(A1834,[3]DOORSCRIEFT!$A$2:$G$6834,3,FALSE),"")</f>
        <v/>
      </c>
      <c r="E1834" s="480" t="str">
        <f>IFERROR(VLOOKUP(A1834,[3]DOORSCRIEFT!$A$2:$G$6834,4,FALSE),"")</f>
        <v/>
      </c>
      <c r="F1834" s="405" t="str">
        <f>IFERROR(VLOOKUP(A1834,[3]DOORSCRIEFT!$A$2:$G$6834,7,FALSE),"")</f>
        <v/>
      </c>
      <c r="G1834" s="315"/>
    </row>
    <row r="1835" spans="1:7" x14ac:dyDescent="0.25">
      <c r="A1835" s="321" t="str">
        <f t="shared" si="61"/>
        <v>II.3.1.4.03.00211</v>
      </c>
      <c r="B1835" s="321">
        <v>11</v>
      </c>
      <c r="C1835" s="339" t="str">
        <f>IFERROR(VLOOKUP(A1835,[3]DOORSCRIEFT!$A$2:$G$6834,2,FALSE),"")</f>
        <v/>
      </c>
      <c r="D1835" s="481" t="str">
        <f>IFERROR(VLOOKUP(A1835,[3]DOORSCRIEFT!$A$2:$G$6834,3,FALSE),"")</f>
        <v/>
      </c>
      <c r="E1835" s="480" t="str">
        <f>IFERROR(VLOOKUP(A1835,[3]DOORSCRIEFT!$A$2:$G$6834,4,FALSE),"")</f>
        <v/>
      </c>
      <c r="F1835" s="405" t="str">
        <f>IFERROR(VLOOKUP(A1835,[3]DOORSCRIEFT!$A$2:$G$6834,7,FALSE),"")</f>
        <v/>
      </c>
      <c r="G1835" s="315"/>
    </row>
    <row r="1836" spans="1:7" x14ac:dyDescent="0.25">
      <c r="A1836" s="321" t="str">
        <f t="shared" si="61"/>
        <v>II.3.1.4.03.00212</v>
      </c>
      <c r="B1836" s="321">
        <v>12</v>
      </c>
      <c r="C1836" s="339" t="str">
        <f>IFERROR(VLOOKUP(A1836,[3]DOORSCRIEFT!$A$2:$G$6834,2,FALSE),"")</f>
        <v/>
      </c>
      <c r="D1836" s="481" t="str">
        <f>IFERROR(VLOOKUP(A1836,[3]DOORSCRIEFT!$A$2:$G$6834,3,FALSE),"")</f>
        <v/>
      </c>
      <c r="E1836" s="480" t="str">
        <f>IFERROR(VLOOKUP(A1836,[3]DOORSCRIEFT!$A$2:$G$6834,4,FALSE),"")</f>
        <v/>
      </c>
      <c r="F1836" s="405" t="str">
        <f>IFERROR(VLOOKUP(A1836,[3]DOORSCRIEFT!$A$2:$G$6834,7,FALSE),"")</f>
        <v/>
      </c>
      <c r="G1836" s="315"/>
    </row>
    <row r="1837" spans="1:7" x14ac:dyDescent="0.25">
      <c r="A1837" s="321" t="str">
        <f t="shared" si="61"/>
        <v>II.3.1.4.03.00213</v>
      </c>
      <c r="B1837" s="321">
        <v>13</v>
      </c>
      <c r="C1837" s="339" t="str">
        <f>IFERROR(VLOOKUP(A1837,[3]DOORSCRIEFT!$A$2:$G$6834,2,FALSE),"")</f>
        <v/>
      </c>
      <c r="D1837" s="481" t="str">
        <f>IFERROR(VLOOKUP(A1837,[3]DOORSCRIEFT!$A$2:$G$6834,3,FALSE),"")</f>
        <v/>
      </c>
      <c r="E1837" s="480" t="str">
        <f>IFERROR(VLOOKUP(A1837,[3]DOORSCRIEFT!$A$2:$G$6834,4,FALSE),"")</f>
        <v/>
      </c>
      <c r="F1837" s="405" t="str">
        <f>IFERROR(VLOOKUP(A1837,[3]DOORSCRIEFT!$A$2:$G$6834,7,FALSE),"")</f>
        <v/>
      </c>
      <c r="G1837" s="315"/>
    </row>
    <row r="1838" spans="1:7" x14ac:dyDescent="0.25">
      <c r="A1838" s="321" t="str">
        <f t="shared" si="61"/>
        <v>II.3.1.4.03.00214</v>
      </c>
      <c r="B1838" s="321">
        <v>14</v>
      </c>
      <c r="C1838" s="339" t="str">
        <f>IFERROR(VLOOKUP(A1838,[3]DOORSCRIEFT!$A$2:$G$6834,2,FALSE),"")</f>
        <v/>
      </c>
      <c r="D1838" s="481" t="str">
        <f>IFERROR(VLOOKUP(A1838,[3]DOORSCRIEFT!$A$2:$G$6834,3,FALSE),"")</f>
        <v/>
      </c>
      <c r="E1838" s="480" t="str">
        <f>IFERROR(VLOOKUP(A1838,[3]DOORSCRIEFT!$A$2:$G$6834,4,FALSE),"")</f>
        <v/>
      </c>
      <c r="F1838" s="405" t="str">
        <f>IFERROR(VLOOKUP(A1838,[3]DOORSCRIEFT!$A$2:$G$6834,7,FALSE),"")</f>
        <v/>
      </c>
      <c r="G1838" s="315"/>
    </row>
    <row r="1839" spans="1:7" ht="15.75" thickBot="1" x14ac:dyDescent="0.3">
      <c r="A1839" s="342" t="str">
        <f t="shared" si="61"/>
        <v>II.3.1.4.03.00215</v>
      </c>
      <c r="B1839" s="342">
        <v>15</v>
      </c>
      <c r="C1839" s="339" t="str">
        <f>IFERROR(VLOOKUP(A1839,[3]DOORSCRIEFT!$A$2:$G$6834,2,FALSE),"")</f>
        <v/>
      </c>
      <c r="D1839" s="481" t="str">
        <f>IFERROR(VLOOKUP(A1839,[3]DOORSCRIEFT!$A$2:$G$6834,3,FALSE),"")</f>
        <v/>
      </c>
      <c r="E1839" s="480" t="str">
        <f>IFERROR(VLOOKUP(A1839,[3]DOORSCRIEFT!$A$2:$G$6834,4,FALSE),"")</f>
        <v/>
      </c>
      <c r="F1839" s="405" t="str">
        <f>IFERROR(VLOOKUP(A1839,[3]DOORSCRIEFT!$A$2:$G$6834,7,FALSE),"")</f>
        <v/>
      </c>
      <c r="G1839" s="315"/>
    </row>
    <row r="1840" spans="1:7" ht="15.75" thickBot="1" x14ac:dyDescent="0.3">
      <c r="A1840" s="341"/>
      <c r="B1840" s="340"/>
      <c r="C1840" s="336"/>
      <c r="D1840" s="486"/>
      <c r="E1840" s="340" t="s">
        <v>644</v>
      </c>
      <c r="F1840" s="310">
        <f>SUM(F1825:F1839)</f>
        <v>0</v>
      </c>
      <c r="G1840" s="309">
        <f>SUM(G1825:G1839)</f>
        <v>0</v>
      </c>
    </row>
    <row r="1841" spans="1:7" x14ac:dyDescent="0.25">
      <c r="C1841" s="335"/>
      <c r="D1841" s="485"/>
    </row>
    <row r="1842" spans="1:7" x14ac:dyDescent="0.25">
      <c r="C1842" s="335"/>
      <c r="D1842" s="485"/>
    </row>
    <row r="1843" spans="1:7" x14ac:dyDescent="0.25">
      <c r="C1843" s="335"/>
      <c r="D1843" s="485"/>
    </row>
    <row r="1844" spans="1:7" x14ac:dyDescent="0.25">
      <c r="C1844" s="335"/>
      <c r="D1844" s="485"/>
    </row>
    <row r="1845" spans="1:7" ht="15.75" x14ac:dyDescent="0.25">
      <c r="C1845" s="334" t="s">
        <v>663</v>
      </c>
      <c r="D1845" s="484"/>
      <c r="E1845" s="333"/>
      <c r="F1845" s="327" t="s">
        <v>607</v>
      </c>
      <c r="G1845" s="327" t="s">
        <v>98</v>
      </c>
    </row>
    <row r="1846" spans="1:7" ht="15.75" x14ac:dyDescent="0.25">
      <c r="C1846" s="334"/>
      <c r="D1846" s="484"/>
      <c r="E1846" s="333"/>
      <c r="F1846" s="327" t="s">
        <v>601</v>
      </c>
      <c r="G1846" s="327" t="s">
        <v>97</v>
      </c>
    </row>
    <row r="1847" spans="1:7" x14ac:dyDescent="0.25">
      <c r="C1847" s="330"/>
      <c r="D1847" s="482"/>
      <c r="E1847" s="329"/>
      <c r="F1847" s="327" t="s">
        <v>651</v>
      </c>
      <c r="G1847" s="331">
        <f>[2]Sheet1!$D$494</f>
        <v>5000000</v>
      </c>
    </row>
    <row r="1848" spans="1:7" ht="15.75" thickBot="1" x14ac:dyDescent="0.3">
      <c r="C1848" s="330"/>
      <c r="D1848" s="482"/>
      <c r="E1848" s="329"/>
      <c r="F1848" s="327" t="s">
        <v>650</v>
      </c>
      <c r="G1848" s="326">
        <f>+F1867-G1847</f>
        <v>-5000000</v>
      </c>
    </row>
    <row r="1849" spans="1:7" x14ac:dyDescent="0.25">
      <c r="A1849" s="571" t="s">
        <v>655</v>
      </c>
      <c r="B1849" s="573" t="s">
        <v>606</v>
      </c>
      <c r="C1849" s="588" t="s">
        <v>649</v>
      </c>
      <c r="D1849" s="599" t="s">
        <v>648</v>
      </c>
      <c r="E1849" s="577" t="s">
        <v>647</v>
      </c>
      <c r="F1849" s="577" t="s">
        <v>646</v>
      </c>
      <c r="G1849" s="580" t="s">
        <v>645</v>
      </c>
    </row>
    <row r="1850" spans="1:7" ht="15.75" thickBot="1" x14ac:dyDescent="0.3">
      <c r="A1850" s="572"/>
      <c r="B1850" s="574"/>
      <c r="C1850" s="589"/>
      <c r="D1850" s="600"/>
      <c r="E1850" s="578"/>
      <c r="F1850" s="578"/>
      <c r="G1850" s="581"/>
    </row>
    <row r="1851" spans="1:7" ht="15.75" thickBot="1" x14ac:dyDescent="0.3">
      <c r="A1851" s="425">
        <v>1</v>
      </c>
      <c r="B1851" s="425">
        <v>2</v>
      </c>
      <c r="C1851" s="425">
        <v>3</v>
      </c>
      <c r="D1851" s="425">
        <v>4</v>
      </c>
      <c r="E1851" s="425">
        <v>5</v>
      </c>
      <c r="F1851" s="425">
        <v>6</v>
      </c>
      <c r="G1851" s="425">
        <v>7</v>
      </c>
    </row>
    <row r="1852" spans="1:7" x14ac:dyDescent="0.25">
      <c r="A1852" s="320" t="str">
        <f t="shared" ref="A1852:A1866" si="62">$G$1845&amp;B1852</f>
        <v>II.3.1.4.03.0031</v>
      </c>
      <c r="B1852" s="320">
        <v>1</v>
      </c>
      <c r="C1852" s="339" t="str">
        <f>IFERROR(VLOOKUP(A1852,[3]DOORSCRIEFT!$A$2:$G$6834,2,FALSE),"")</f>
        <v/>
      </c>
      <c r="D1852" s="481" t="str">
        <f>IFERROR(VLOOKUP(A1852,[3]DOORSCRIEFT!$A$2:$G$6834,3,FALSE),"")</f>
        <v/>
      </c>
      <c r="E1852" s="480" t="str">
        <f>IFERROR(VLOOKUP(A1852,[3]DOORSCRIEFT!$A$2:$G$6834,4,FALSE),"")</f>
        <v/>
      </c>
      <c r="F1852" s="405" t="str">
        <f>IFERROR(VLOOKUP(A1852,[3]DOORSCRIEFT!$A$2:$G$6834,7,FALSE),"")</f>
        <v/>
      </c>
      <c r="G1852" s="322"/>
    </row>
    <row r="1853" spans="1:7" x14ac:dyDescent="0.25">
      <c r="A1853" s="321" t="str">
        <f t="shared" si="62"/>
        <v>II.3.1.4.03.0032</v>
      </c>
      <c r="B1853" s="321">
        <v>2</v>
      </c>
      <c r="C1853" s="339" t="str">
        <f>IFERROR(VLOOKUP(A1853,[3]DOORSCRIEFT!$A$2:$G$6834,2,FALSE),"")</f>
        <v/>
      </c>
      <c r="D1853" s="481" t="str">
        <f>IFERROR(VLOOKUP(A1853,[3]DOORSCRIEFT!$A$2:$G$6834,3,FALSE),"")</f>
        <v/>
      </c>
      <c r="E1853" s="480" t="str">
        <f>IFERROR(VLOOKUP(A1853,[3]DOORSCRIEFT!$A$2:$G$6834,4,FALSE),"")</f>
        <v/>
      </c>
      <c r="F1853" s="405" t="str">
        <f>IFERROR(VLOOKUP(A1853,[3]DOORSCRIEFT!$A$2:$G$6834,7,FALSE),"")</f>
        <v/>
      </c>
      <c r="G1853" s="315"/>
    </row>
    <row r="1854" spans="1:7" x14ac:dyDescent="0.25">
      <c r="A1854" s="321" t="str">
        <f t="shared" si="62"/>
        <v>II.3.1.4.03.0033</v>
      </c>
      <c r="B1854" s="321">
        <v>3</v>
      </c>
      <c r="C1854" s="339" t="str">
        <f>IFERROR(VLOOKUP(A1854,[3]DOORSCRIEFT!$A$2:$G$6834,2,FALSE),"")</f>
        <v/>
      </c>
      <c r="D1854" s="481" t="str">
        <f>IFERROR(VLOOKUP(A1854,[3]DOORSCRIEFT!$A$2:$G$6834,3,FALSE),"")</f>
        <v/>
      </c>
      <c r="E1854" s="480" t="str">
        <f>IFERROR(VLOOKUP(A1854,[3]DOORSCRIEFT!$A$2:$G$6834,4,FALSE),"")</f>
        <v/>
      </c>
      <c r="F1854" s="405" t="str">
        <f>IFERROR(VLOOKUP(A1854,[3]DOORSCRIEFT!$A$2:$G$6834,7,FALSE),"")</f>
        <v/>
      </c>
      <c r="G1854" s="315"/>
    </row>
    <row r="1855" spans="1:7" x14ac:dyDescent="0.25">
      <c r="A1855" s="321" t="str">
        <f t="shared" si="62"/>
        <v>II.3.1.4.03.0034</v>
      </c>
      <c r="B1855" s="321">
        <v>4</v>
      </c>
      <c r="C1855" s="339" t="str">
        <f>IFERROR(VLOOKUP(A1855,[3]DOORSCRIEFT!$A$2:$G$6834,2,FALSE),"")</f>
        <v/>
      </c>
      <c r="D1855" s="481" t="str">
        <f>IFERROR(VLOOKUP(A1855,[3]DOORSCRIEFT!$A$2:$G$6834,3,FALSE),"")</f>
        <v/>
      </c>
      <c r="E1855" s="480" t="str">
        <f>IFERROR(VLOOKUP(A1855,[3]DOORSCRIEFT!$A$2:$G$6834,4,FALSE),"")</f>
        <v/>
      </c>
      <c r="F1855" s="405" t="str">
        <f>IFERROR(VLOOKUP(A1855,[3]DOORSCRIEFT!$A$2:$G$6834,7,FALSE),"")</f>
        <v/>
      </c>
      <c r="G1855" s="315"/>
    </row>
    <row r="1856" spans="1:7" x14ac:dyDescent="0.25">
      <c r="A1856" s="321" t="str">
        <f t="shared" si="62"/>
        <v>II.3.1.4.03.0035</v>
      </c>
      <c r="B1856" s="321">
        <v>5</v>
      </c>
      <c r="C1856" s="339" t="str">
        <f>IFERROR(VLOOKUP(A1856,[3]DOORSCRIEFT!$A$2:$G$6834,2,FALSE),"")</f>
        <v/>
      </c>
      <c r="D1856" s="481" t="str">
        <f>IFERROR(VLOOKUP(A1856,[3]DOORSCRIEFT!$A$2:$G$6834,3,FALSE),"")</f>
        <v/>
      </c>
      <c r="E1856" s="480" t="str">
        <f>IFERROR(VLOOKUP(A1856,[3]DOORSCRIEFT!$A$2:$G$6834,4,FALSE),"")</f>
        <v/>
      </c>
      <c r="F1856" s="405" t="str">
        <f>IFERROR(VLOOKUP(A1856,[3]DOORSCRIEFT!$A$2:$G$6834,7,FALSE),"")</f>
        <v/>
      </c>
      <c r="G1856" s="315"/>
    </row>
    <row r="1857" spans="1:7" x14ac:dyDescent="0.25">
      <c r="A1857" s="321" t="str">
        <f t="shared" si="62"/>
        <v>II.3.1.4.03.0036</v>
      </c>
      <c r="B1857" s="321">
        <v>6</v>
      </c>
      <c r="C1857" s="339" t="str">
        <f>IFERROR(VLOOKUP(A1857,[3]DOORSCRIEFT!$A$2:$G$6834,2,FALSE),"")</f>
        <v/>
      </c>
      <c r="D1857" s="481" t="str">
        <f>IFERROR(VLOOKUP(A1857,[3]DOORSCRIEFT!$A$2:$G$6834,3,FALSE),"")</f>
        <v/>
      </c>
      <c r="E1857" s="480" t="str">
        <f>IFERROR(VLOOKUP(A1857,[3]DOORSCRIEFT!$A$2:$G$6834,4,FALSE),"")</f>
        <v/>
      </c>
      <c r="F1857" s="405" t="str">
        <f>IFERROR(VLOOKUP(A1857,[3]DOORSCRIEFT!$A$2:$G$6834,7,FALSE),"")</f>
        <v/>
      </c>
      <c r="G1857" s="315"/>
    </row>
    <row r="1858" spans="1:7" x14ac:dyDescent="0.25">
      <c r="A1858" s="321" t="str">
        <f t="shared" si="62"/>
        <v>II.3.1.4.03.0037</v>
      </c>
      <c r="B1858" s="321">
        <v>7</v>
      </c>
      <c r="C1858" s="339" t="str">
        <f>IFERROR(VLOOKUP(A1858,[3]DOORSCRIEFT!$A$2:$G$6834,2,FALSE),"")</f>
        <v/>
      </c>
      <c r="D1858" s="481" t="str">
        <f>IFERROR(VLOOKUP(A1858,[3]DOORSCRIEFT!$A$2:$G$6834,3,FALSE),"")</f>
        <v/>
      </c>
      <c r="E1858" s="480" t="str">
        <f>IFERROR(VLOOKUP(A1858,[3]DOORSCRIEFT!$A$2:$G$6834,4,FALSE),"")</f>
        <v/>
      </c>
      <c r="F1858" s="405" t="str">
        <f>IFERROR(VLOOKUP(A1858,[3]DOORSCRIEFT!$A$2:$G$6834,7,FALSE),"")</f>
        <v/>
      </c>
      <c r="G1858" s="315"/>
    </row>
    <row r="1859" spans="1:7" x14ac:dyDescent="0.25">
      <c r="A1859" s="321" t="str">
        <f t="shared" si="62"/>
        <v>II.3.1.4.03.0038</v>
      </c>
      <c r="B1859" s="321">
        <v>8</v>
      </c>
      <c r="C1859" s="339" t="str">
        <f>IFERROR(VLOOKUP(A1859,[3]DOORSCRIEFT!$A$2:$G$6834,2,FALSE),"")</f>
        <v/>
      </c>
      <c r="D1859" s="481" t="str">
        <f>IFERROR(VLOOKUP(A1859,[3]DOORSCRIEFT!$A$2:$G$6834,3,FALSE),"")</f>
        <v/>
      </c>
      <c r="E1859" s="480" t="str">
        <f>IFERROR(VLOOKUP(A1859,[3]DOORSCRIEFT!$A$2:$G$6834,4,FALSE),"")</f>
        <v/>
      </c>
      <c r="F1859" s="405" t="str">
        <f>IFERROR(VLOOKUP(A1859,[3]DOORSCRIEFT!$A$2:$G$6834,7,FALSE),"")</f>
        <v/>
      </c>
      <c r="G1859" s="315"/>
    </row>
    <row r="1860" spans="1:7" x14ac:dyDescent="0.25">
      <c r="A1860" s="321" t="str">
        <f t="shared" si="62"/>
        <v>II.3.1.4.03.0039</v>
      </c>
      <c r="B1860" s="321">
        <v>9</v>
      </c>
      <c r="C1860" s="339" t="str">
        <f>IFERROR(VLOOKUP(A1860,[3]DOORSCRIEFT!$A$2:$G$6834,2,FALSE),"")</f>
        <v/>
      </c>
      <c r="D1860" s="481" t="str">
        <f>IFERROR(VLOOKUP(A1860,[3]DOORSCRIEFT!$A$2:$G$6834,3,FALSE),"")</f>
        <v/>
      </c>
      <c r="E1860" s="480" t="str">
        <f>IFERROR(VLOOKUP(A1860,[3]DOORSCRIEFT!$A$2:$G$6834,4,FALSE),"")</f>
        <v/>
      </c>
      <c r="F1860" s="405" t="str">
        <f>IFERROR(VLOOKUP(A1860,[3]DOORSCRIEFT!$A$2:$G$6834,7,FALSE),"")</f>
        <v/>
      </c>
      <c r="G1860" s="315"/>
    </row>
    <row r="1861" spans="1:7" x14ac:dyDescent="0.25">
      <c r="A1861" s="321" t="str">
        <f t="shared" si="62"/>
        <v>II.3.1.4.03.00310</v>
      </c>
      <c r="B1861" s="321">
        <v>10</v>
      </c>
      <c r="C1861" s="339" t="str">
        <f>IFERROR(VLOOKUP(A1861,[3]DOORSCRIEFT!$A$2:$G$6834,2,FALSE),"")</f>
        <v/>
      </c>
      <c r="D1861" s="481" t="str">
        <f>IFERROR(VLOOKUP(A1861,[3]DOORSCRIEFT!$A$2:$G$6834,3,FALSE),"")</f>
        <v/>
      </c>
      <c r="E1861" s="480" t="str">
        <f>IFERROR(VLOOKUP(A1861,[3]DOORSCRIEFT!$A$2:$G$6834,4,FALSE),"")</f>
        <v/>
      </c>
      <c r="F1861" s="405" t="str">
        <f>IFERROR(VLOOKUP(A1861,[3]DOORSCRIEFT!$A$2:$G$6834,7,FALSE),"")</f>
        <v/>
      </c>
      <c r="G1861" s="315"/>
    </row>
    <row r="1862" spans="1:7" x14ac:dyDescent="0.25">
      <c r="A1862" s="321" t="str">
        <f t="shared" si="62"/>
        <v>II.3.1.4.03.00311</v>
      </c>
      <c r="B1862" s="321">
        <v>11</v>
      </c>
      <c r="C1862" s="339" t="str">
        <f>IFERROR(VLOOKUP(A1862,[3]DOORSCRIEFT!$A$2:$G$6834,2,FALSE),"")</f>
        <v/>
      </c>
      <c r="D1862" s="481" t="str">
        <f>IFERROR(VLOOKUP(A1862,[3]DOORSCRIEFT!$A$2:$G$6834,3,FALSE),"")</f>
        <v/>
      </c>
      <c r="E1862" s="480" t="str">
        <f>IFERROR(VLOOKUP(A1862,[3]DOORSCRIEFT!$A$2:$G$6834,4,FALSE),"")</f>
        <v/>
      </c>
      <c r="F1862" s="405" t="str">
        <f>IFERROR(VLOOKUP(A1862,[3]DOORSCRIEFT!$A$2:$G$6834,7,FALSE),"")</f>
        <v/>
      </c>
      <c r="G1862" s="315"/>
    </row>
    <row r="1863" spans="1:7" x14ac:dyDescent="0.25">
      <c r="A1863" s="321" t="str">
        <f t="shared" si="62"/>
        <v>II.3.1.4.03.00312</v>
      </c>
      <c r="B1863" s="321">
        <v>12</v>
      </c>
      <c r="C1863" s="339" t="str">
        <f>IFERROR(VLOOKUP(A1863,[3]DOORSCRIEFT!$A$2:$G$6834,2,FALSE),"")</f>
        <v/>
      </c>
      <c r="D1863" s="481" t="str">
        <f>IFERROR(VLOOKUP(A1863,[3]DOORSCRIEFT!$A$2:$G$6834,3,FALSE),"")</f>
        <v/>
      </c>
      <c r="E1863" s="480" t="str">
        <f>IFERROR(VLOOKUP(A1863,[3]DOORSCRIEFT!$A$2:$G$6834,4,FALSE),"")</f>
        <v/>
      </c>
      <c r="F1863" s="405" t="str">
        <f>IFERROR(VLOOKUP(A1863,[3]DOORSCRIEFT!$A$2:$G$6834,7,FALSE),"")</f>
        <v/>
      </c>
      <c r="G1863" s="315"/>
    </row>
    <row r="1864" spans="1:7" x14ac:dyDescent="0.25">
      <c r="A1864" s="321" t="str">
        <f t="shared" si="62"/>
        <v>II.3.1.4.03.00313</v>
      </c>
      <c r="B1864" s="321">
        <v>13</v>
      </c>
      <c r="C1864" s="339" t="str">
        <f>IFERROR(VLOOKUP(A1864,[3]DOORSCRIEFT!$A$2:$G$6834,2,FALSE),"")</f>
        <v/>
      </c>
      <c r="D1864" s="481" t="str">
        <f>IFERROR(VLOOKUP(A1864,[3]DOORSCRIEFT!$A$2:$G$6834,3,FALSE),"")</f>
        <v/>
      </c>
      <c r="E1864" s="480" t="str">
        <f>IFERROR(VLOOKUP(A1864,[3]DOORSCRIEFT!$A$2:$G$6834,4,FALSE),"")</f>
        <v/>
      </c>
      <c r="F1864" s="405" t="str">
        <f>IFERROR(VLOOKUP(A1864,[3]DOORSCRIEFT!$A$2:$G$6834,7,FALSE),"")</f>
        <v/>
      </c>
      <c r="G1864" s="315"/>
    </row>
    <row r="1865" spans="1:7" x14ac:dyDescent="0.25">
      <c r="A1865" s="321" t="str">
        <f t="shared" si="62"/>
        <v>II.3.1.4.03.00314</v>
      </c>
      <c r="B1865" s="321">
        <v>14</v>
      </c>
      <c r="C1865" s="339" t="str">
        <f>IFERROR(VLOOKUP(A1865,[3]DOORSCRIEFT!$A$2:$G$6834,2,FALSE),"")</f>
        <v/>
      </c>
      <c r="D1865" s="481" t="str">
        <f>IFERROR(VLOOKUP(A1865,[3]DOORSCRIEFT!$A$2:$G$6834,3,FALSE),"")</f>
        <v/>
      </c>
      <c r="E1865" s="480" t="str">
        <f>IFERROR(VLOOKUP(A1865,[3]DOORSCRIEFT!$A$2:$G$6834,4,FALSE),"")</f>
        <v/>
      </c>
      <c r="F1865" s="405" t="str">
        <f>IFERROR(VLOOKUP(A1865,[3]DOORSCRIEFT!$A$2:$G$6834,7,FALSE),"")</f>
        <v/>
      </c>
      <c r="G1865" s="315"/>
    </row>
    <row r="1866" spans="1:7" ht="15.75" thickBot="1" x14ac:dyDescent="0.3">
      <c r="A1866" s="342" t="str">
        <f t="shared" si="62"/>
        <v>II.3.1.4.03.00315</v>
      </c>
      <c r="B1866" s="342">
        <v>15</v>
      </c>
      <c r="C1866" s="339" t="str">
        <f>IFERROR(VLOOKUP(A1866,[3]DOORSCRIEFT!$A$2:$G$6834,2,FALSE),"")</f>
        <v/>
      </c>
      <c r="D1866" s="481" t="str">
        <f>IFERROR(VLOOKUP(A1866,[3]DOORSCRIEFT!$A$2:$G$6834,3,FALSE),"")</f>
        <v/>
      </c>
      <c r="E1866" s="480" t="str">
        <f>IFERROR(VLOOKUP(A1866,[3]DOORSCRIEFT!$A$2:$G$6834,4,FALSE),"")</f>
        <v/>
      </c>
      <c r="F1866" s="405" t="str">
        <f>IFERROR(VLOOKUP(A1866,[3]DOORSCRIEFT!$A$2:$G$6834,7,FALSE),"")</f>
        <v/>
      </c>
      <c r="G1866" s="315"/>
    </row>
    <row r="1867" spans="1:7" ht="15.75" thickBot="1" x14ac:dyDescent="0.3">
      <c r="A1867" s="341"/>
      <c r="B1867" s="340"/>
      <c r="C1867" s="336"/>
      <c r="D1867" s="486"/>
      <c r="E1867" s="340" t="s">
        <v>644</v>
      </c>
      <c r="F1867" s="310">
        <f>SUM(F1852:F1866)</f>
        <v>0</v>
      </c>
      <c r="G1867" s="309">
        <f>SUM(G1852:G1866)</f>
        <v>0</v>
      </c>
    </row>
    <row r="1868" spans="1:7" x14ac:dyDescent="0.25">
      <c r="C1868" s="335"/>
      <c r="D1868" s="485"/>
    </row>
    <row r="1869" spans="1:7" x14ac:dyDescent="0.25">
      <c r="C1869" s="335"/>
      <c r="D1869" s="485"/>
    </row>
    <row r="1870" spans="1:7" ht="15.75" x14ac:dyDescent="0.25">
      <c r="C1870" s="334" t="s">
        <v>663</v>
      </c>
      <c r="D1870" s="484"/>
      <c r="E1870" s="333"/>
      <c r="F1870" s="327" t="s">
        <v>607</v>
      </c>
      <c r="G1870" s="327" t="s">
        <v>94</v>
      </c>
    </row>
    <row r="1871" spans="1:7" ht="15.75" x14ac:dyDescent="0.25">
      <c r="C1871" s="334"/>
      <c r="D1871" s="484"/>
      <c r="E1871" s="333"/>
      <c r="F1871" s="327" t="s">
        <v>601</v>
      </c>
      <c r="G1871" s="327" t="s">
        <v>93</v>
      </c>
    </row>
    <row r="1872" spans="1:7" x14ac:dyDescent="0.25">
      <c r="C1872" s="330"/>
      <c r="D1872" s="482"/>
      <c r="E1872" s="329"/>
      <c r="F1872" s="327" t="s">
        <v>651</v>
      </c>
      <c r="G1872" s="331">
        <f>[2]Sheet1!$D$497</f>
        <v>48000000</v>
      </c>
    </row>
    <row r="1873" spans="1:7" ht="15.75" thickBot="1" x14ac:dyDescent="0.3">
      <c r="C1873" s="330"/>
      <c r="D1873" s="482"/>
      <c r="E1873" s="329"/>
      <c r="F1873" s="327" t="s">
        <v>650</v>
      </c>
      <c r="G1873" s="326">
        <f>+F1892-G1872</f>
        <v>-48000000</v>
      </c>
    </row>
    <row r="1874" spans="1:7" x14ac:dyDescent="0.25">
      <c r="A1874" s="571" t="s">
        <v>655</v>
      </c>
      <c r="B1874" s="573" t="s">
        <v>606</v>
      </c>
      <c r="C1874" s="588" t="s">
        <v>649</v>
      </c>
      <c r="D1874" s="599" t="s">
        <v>648</v>
      </c>
      <c r="E1874" s="577" t="s">
        <v>647</v>
      </c>
      <c r="F1874" s="577" t="s">
        <v>646</v>
      </c>
      <c r="G1874" s="580" t="s">
        <v>645</v>
      </c>
    </row>
    <row r="1875" spans="1:7" ht="15.75" thickBot="1" x14ac:dyDescent="0.3">
      <c r="A1875" s="572"/>
      <c r="B1875" s="574"/>
      <c r="C1875" s="589"/>
      <c r="D1875" s="600"/>
      <c r="E1875" s="578"/>
      <c r="F1875" s="578"/>
      <c r="G1875" s="581"/>
    </row>
    <row r="1876" spans="1:7" ht="15.75" thickBot="1" x14ac:dyDescent="0.3">
      <c r="A1876" s="425">
        <v>1</v>
      </c>
      <c r="B1876" s="425">
        <v>2</v>
      </c>
      <c r="C1876" s="425">
        <v>3</v>
      </c>
      <c r="D1876" s="425">
        <v>4</v>
      </c>
      <c r="E1876" s="425">
        <v>5</v>
      </c>
      <c r="F1876" s="425">
        <v>6</v>
      </c>
      <c r="G1876" s="425">
        <v>7</v>
      </c>
    </row>
    <row r="1877" spans="1:7" x14ac:dyDescent="0.25">
      <c r="A1877" s="320" t="str">
        <f t="shared" ref="A1877:A1891" si="63">$G$1870&amp;B1877</f>
        <v>II.3.1.4.04.0011</v>
      </c>
      <c r="B1877" s="320">
        <v>1</v>
      </c>
      <c r="C1877" s="339" t="str">
        <f>IFERROR(VLOOKUP(A1877,[3]DOORSCRIEFT!$A$2:$G$6834,2,FALSE),"")</f>
        <v/>
      </c>
      <c r="D1877" s="481" t="str">
        <f>IFERROR(VLOOKUP(A1877,[3]DOORSCRIEFT!$A$2:$G$6834,3,FALSE),"")</f>
        <v/>
      </c>
      <c r="E1877" s="480" t="str">
        <f>IFERROR(VLOOKUP(A1877,[3]DOORSCRIEFT!$A$2:$G$6834,4,FALSE),"")</f>
        <v/>
      </c>
      <c r="F1877" s="405" t="str">
        <f>IFERROR(VLOOKUP(A1877,[3]DOORSCRIEFT!$A$2:$G$6834,7,FALSE),"")</f>
        <v/>
      </c>
      <c r="G1877" s="322"/>
    </row>
    <row r="1878" spans="1:7" x14ac:dyDescent="0.25">
      <c r="A1878" s="321" t="str">
        <f t="shared" si="63"/>
        <v>II.3.1.4.04.0012</v>
      </c>
      <c r="B1878" s="321">
        <v>2</v>
      </c>
      <c r="C1878" s="339" t="str">
        <f>IFERROR(VLOOKUP(A1878,[3]DOORSCRIEFT!$A$2:$G$6834,2,FALSE),"")</f>
        <v/>
      </c>
      <c r="D1878" s="481" t="str">
        <f>IFERROR(VLOOKUP(A1878,[3]DOORSCRIEFT!$A$2:$G$6834,3,FALSE),"")</f>
        <v/>
      </c>
      <c r="E1878" s="480" t="str">
        <f>IFERROR(VLOOKUP(A1878,[3]DOORSCRIEFT!$A$2:$G$6834,4,FALSE),"")</f>
        <v/>
      </c>
      <c r="F1878" s="405" t="str">
        <f>IFERROR(VLOOKUP(A1878,[3]DOORSCRIEFT!$A$2:$G$6834,7,FALSE),"")</f>
        <v/>
      </c>
      <c r="G1878" s="315"/>
    </row>
    <row r="1879" spans="1:7" x14ac:dyDescent="0.25">
      <c r="A1879" s="321" t="str">
        <f t="shared" si="63"/>
        <v>II.3.1.4.04.0013</v>
      </c>
      <c r="B1879" s="321">
        <v>3</v>
      </c>
      <c r="C1879" s="339" t="str">
        <f>IFERROR(VLOOKUP(A1879,[3]DOORSCRIEFT!$A$2:$G$6834,2,FALSE),"")</f>
        <v/>
      </c>
      <c r="D1879" s="481" t="str">
        <f>IFERROR(VLOOKUP(A1879,[3]DOORSCRIEFT!$A$2:$G$6834,3,FALSE),"")</f>
        <v/>
      </c>
      <c r="E1879" s="480" t="str">
        <f>IFERROR(VLOOKUP(A1879,[3]DOORSCRIEFT!$A$2:$G$6834,4,FALSE),"")</f>
        <v/>
      </c>
      <c r="F1879" s="405" t="str">
        <f>IFERROR(VLOOKUP(A1879,[3]DOORSCRIEFT!$A$2:$G$6834,7,FALSE),"")</f>
        <v/>
      </c>
      <c r="G1879" s="315"/>
    </row>
    <row r="1880" spans="1:7" x14ac:dyDescent="0.25">
      <c r="A1880" s="321" t="str">
        <f t="shared" si="63"/>
        <v>II.3.1.4.04.0014</v>
      </c>
      <c r="B1880" s="321">
        <v>4</v>
      </c>
      <c r="C1880" s="339" t="str">
        <f>IFERROR(VLOOKUP(A1880,[3]DOORSCRIEFT!$A$2:$G$6834,2,FALSE),"")</f>
        <v/>
      </c>
      <c r="D1880" s="481" t="str">
        <f>IFERROR(VLOOKUP(A1880,[3]DOORSCRIEFT!$A$2:$G$6834,3,FALSE),"")</f>
        <v/>
      </c>
      <c r="E1880" s="480" t="str">
        <f>IFERROR(VLOOKUP(A1880,[3]DOORSCRIEFT!$A$2:$G$6834,4,FALSE),"")</f>
        <v/>
      </c>
      <c r="F1880" s="405" t="str">
        <f>IFERROR(VLOOKUP(A1880,[3]DOORSCRIEFT!$A$2:$G$6834,7,FALSE),"")</f>
        <v/>
      </c>
      <c r="G1880" s="315"/>
    </row>
    <row r="1881" spans="1:7" x14ac:dyDescent="0.25">
      <c r="A1881" s="321" t="str">
        <f t="shared" si="63"/>
        <v>II.3.1.4.04.0015</v>
      </c>
      <c r="B1881" s="321">
        <v>5</v>
      </c>
      <c r="C1881" s="339" t="str">
        <f>IFERROR(VLOOKUP(A1881,[3]DOORSCRIEFT!$A$2:$G$6834,2,FALSE),"")</f>
        <v/>
      </c>
      <c r="D1881" s="481" t="str">
        <f>IFERROR(VLOOKUP(A1881,[3]DOORSCRIEFT!$A$2:$G$6834,3,FALSE),"")</f>
        <v/>
      </c>
      <c r="E1881" s="480" t="str">
        <f>IFERROR(VLOOKUP(A1881,[3]DOORSCRIEFT!$A$2:$G$6834,4,FALSE),"")</f>
        <v/>
      </c>
      <c r="F1881" s="405" t="str">
        <f>IFERROR(VLOOKUP(A1881,[3]DOORSCRIEFT!$A$2:$G$6834,7,FALSE),"")</f>
        <v/>
      </c>
      <c r="G1881" s="315"/>
    </row>
    <row r="1882" spans="1:7" x14ac:dyDescent="0.25">
      <c r="A1882" s="321" t="str">
        <f t="shared" si="63"/>
        <v>II.3.1.4.04.0016</v>
      </c>
      <c r="B1882" s="321">
        <v>6</v>
      </c>
      <c r="C1882" s="339" t="str">
        <f>IFERROR(VLOOKUP(A1882,[3]DOORSCRIEFT!$A$2:$G$6834,2,FALSE),"")</f>
        <v/>
      </c>
      <c r="D1882" s="481" t="str">
        <f>IFERROR(VLOOKUP(A1882,[3]DOORSCRIEFT!$A$2:$G$6834,3,FALSE),"")</f>
        <v/>
      </c>
      <c r="E1882" s="480" t="str">
        <f>IFERROR(VLOOKUP(A1882,[3]DOORSCRIEFT!$A$2:$G$6834,4,FALSE),"")</f>
        <v/>
      </c>
      <c r="F1882" s="405" t="str">
        <f>IFERROR(VLOOKUP(A1882,[3]DOORSCRIEFT!$A$2:$G$6834,7,FALSE),"")</f>
        <v/>
      </c>
      <c r="G1882" s="315"/>
    </row>
    <row r="1883" spans="1:7" x14ac:dyDescent="0.25">
      <c r="A1883" s="321" t="str">
        <f t="shared" si="63"/>
        <v>II.3.1.4.04.0017</v>
      </c>
      <c r="B1883" s="321">
        <v>7</v>
      </c>
      <c r="C1883" s="339" t="str">
        <f>IFERROR(VLOOKUP(A1883,[3]DOORSCRIEFT!$A$2:$G$6834,2,FALSE),"")</f>
        <v/>
      </c>
      <c r="D1883" s="481" t="str">
        <f>IFERROR(VLOOKUP(A1883,[3]DOORSCRIEFT!$A$2:$G$6834,3,FALSE),"")</f>
        <v/>
      </c>
      <c r="E1883" s="480" t="str">
        <f>IFERROR(VLOOKUP(A1883,[3]DOORSCRIEFT!$A$2:$G$6834,4,FALSE),"")</f>
        <v/>
      </c>
      <c r="F1883" s="405" t="str">
        <f>IFERROR(VLOOKUP(A1883,[3]DOORSCRIEFT!$A$2:$G$6834,7,FALSE),"")</f>
        <v/>
      </c>
      <c r="G1883" s="315"/>
    </row>
    <row r="1884" spans="1:7" x14ac:dyDescent="0.25">
      <c r="A1884" s="321" t="str">
        <f t="shared" si="63"/>
        <v>II.3.1.4.04.0018</v>
      </c>
      <c r="B1884" s="321">
        <v>8</v>
      </c>
      <c r="C1884" s="339" t="str">
        <f>IFERROR(VLOOKUP(A1884,[3]DOORSCRIEFT!$A$2:$G$6834,2,FALSE),"")</f>
        <v/>
      </c>
      <c r="D1884" s="481" t="str">
        <f>IFERROR(VLOOKUP(A1884,[3]DOORSCRIEFT!$A$2:$G$6834,3,FALSE),"")</f>
        <v/>
      </c>
      <c r="E1884" s="480" t="str">
        <f>IFERROR(VLOOKUP(A1884,[3]DOORSCRIEFT!$A$2:$G$6834,4,FALSE),"")</f>
        <v/>
      </c>
      <c r="F1884" s="405" t="str">
        <f>IFERROR(VLOOKUP(A1884,[3]DOORSCRIEFT!$A$2:$G$6834,7,FALSE),"")</f>
        <v/>
      </c>
      <c r="G1884" s="315"/>
    </row>
    <row r="1885" spans="1:7" x14ac:dyDescent="0.25">
      <c r="A1885" s="321" t="str">
        <f t="shared" si="63"/>
        <v>II.3.1.4.04.0019</v>
      </c>
      <c r="B1885" s="321">
        <v>9</v>
      </c>
      <c r="C1885" s="339" t="str">
        <f>IFERROR(VLOOKUP(A1885,[3]DOORSCRIEFT!$A$2:$G$6834,2,FALSE),"")</f>
        <v/>
      </c>
      <c r="D1885" s="481" t="str">
        <f>IFERROR(VLOOKUP(A1885,[3]DOORSCRIEFT!$A$2:$G$6834,3,FALSE),"")</f>
        <v/>
      </c>
      <c r="E1885" s="480" t="str">
        <f>IFERROR(VLOOKUP(A1885,[3]DOORSCRIEFT!$A$2:$G$6834,4,FALSE),"")</f>
        <v/>
      </c>
      <c r="F1885" s="405" t="str">
        <f>IFERROR(VLOOKUP(A1885,[3]DOORSCRIEFT!$A$2:$G$6834,7,FALSE),"")</f>
        <v/>
      </c>
      <c r="G1885" s="315"/>
    </row>
    <row r="1886" spans="1:7" x14ac:dyDescent="0.25">
      <c r="A1886" s="321" t="str">
        <f t="shared" si="63"/>
        <v>II.3.1.4.04.00110</v>
      </c>
      <c r="B1886" s="321">
        <v>10</v>
      </c>
      <c r="C1886" s="339" t="str">
        <f>IFERROR(VLOOKUP(A1886,[3]DOORSCRIEFT!$A$2:$G$6834,2,FALSE),"")</f>
        <v/>
      </c>
      <c r="D1886" s="481" t="str">
        <f>IFERROR(VLOOKUP(A1886,[3]DOORSCRIEFT!$A$2:$G$6834,3,FALSE),"")</f>
        <v/>
      </c>
      <c r="E1886" s="480" t="str">
        <f>IFERROR(VLOOKUP(A1886,[3]DOORSCRIEFT!$A$2:$G$6834,4,FALSE),"")</f>
        <v/>
      </c>
      <c r="F1886" s="405" t="str">
        <f>IFERROR(VLOOKUP(A1886,[3]DOORSCRIEFT!$A$2:$G$6834,7,FALSE),"")</f>
        <v/>
      </c>
      <c r="G1886" s="315"/>
    </row>
    <row r="1887" spans="1:7" x14ac:dyDescent="0.25">
      <c r="A1887" s="321" t="str">
        <f t="shared" si="63"/>
        <v>II.3.1.4.04.00111</v>
      </c>
      <c r="B1887" s="321">
        <v>11</v>
      </c>
      <c r="C1887" s="339" t="str">
        <f>IFERROR(VLOOKUP(A1887,[3]DOORSCRIEFT!$A$2:$G$6834,2,FALSE),"")</f>
        <v/>
      </c>
      <c r="D1887" s="481" t="str">
        <f>IFERROR(VLOOKUP(A1887,[3]DOORSCRIEFT!$A$2:$G$6834,3,FALSE),"")</f>
        <v/>
      </c>
      <c r="E1887" s="480" t="str">
        <f>IFERROR(VLOOKUP(A1887,[3]DOORSCRIEFT!$A$2:$G$6834,4,FALSE),"")</f>
        <v/>
      </c>
      <c r="F1887" s="405" t="str">
        <f>IFERROR(VLOOKUP(A1887,[3]DOORSCRIEFT!$A$2:$G$6834,7,FALSE),"")</f>
        <v/>
      </c>
      <c r="G1887" s="315"/>
    </row>
    <row r="1888" spans="1:7" x14ac:dyDescent="0.25">
      <c r="A1888" s="321" t="str">
        <f t="shared" si="63"/>
        <v>II.3.1.4.04.00112</v>
      </c>
      <c r="B1888" s="321">
        <v>12</v>
      </c>
      <c r="C1888" s="339" t="str">
        <f>IFERROR(VLOOKUP(A1888,[3]DOORSCRIEFT!$A$2:$G$6834,2,FALSE),"")</f>
        <v/>
      </c>
      <c r="D1888" s="481" t="str">
        <f>IFERROR(VLOOKUP(A1888,[3]DOORSCRIEFT!$A$2:$G$6834,3,FALSE),"")</f>
        <v/>
      </c>
      <c r="E1888" s="480" t="str">
        <f>IFERROR(VLOOKUP(A1888,[3]DOORSCRIEFT!$A$2:$G$6834,4,FALSE),"")</f>
        <v/>
      </c>
      <c r="F1888" s="405" t="str">
        <f>IFERROR(VLOOKUP(A1888,[3]DOORSCRIEFT!$A$2:$G$6834,7,FALSE),"")</f>
        <v/>
      </c>
      <c r="G1888" s="315"/>
    </row>
    <row r="1889" spans="1:7" x14ac:dyDescent="0.25">
      <c r="A1889" s="321" t="str">
        <f t="shared" si="63"/>
        <v>II.3.1.4.04.00113</v>
      </c>
      <c r="B1889" s="321">
        <v>13</v>
      </c>
      <c r="C1889" s="339" t="str">
        <f>IFERROR(VLOOKUP(A1889,[3]DOORSCRIEFT!$A$2:$G$6834,2,FALSE),"")</f>
        <v/>
      </c>
      <c r="D1889" s="481" t="str">
        <f>IFERROR(VLOOKUP(A1889,[3]DOORSCRIEFT!$A$2:$G$6834,3,FALSE),"")</f>
        <v/>
      </c>
      <c r="E1889" s="480" t="str">
        <f>IFERROR(VLOOKUP(A1889,[3]DOORSCRIEFT!$A$2:$G$6834,4,FALSE),"")</f>
        <v/>
      </c>
      <c r="F1889" s="405" t="str">
        <f>IFERROR(VLOOKUP(A1889,[3]DOORSCRIEFT!$A$2:$G$6834,7,FALSE),"")</f>
        <v/>
      </c>
      <c r="G1889" s="315"/>
    </row>
    <row r="1890" spans="1:7" x14ac:dyDescent="0.25">
      <c r="A1890" s="321" t="str">
        <f t="shared" si="63"/>
        <v>II.3.1.4.04.00114</v>
      </c>
      <c r="B1890" s="321">
        <v>14</v>
      </c>
      <c r="C1890" s="339" t="str">
        <f>IFERROR(VLOOKUP(A1890,[3]DOORSCRIEFT!$A$2:$G$6834,2,FALSE),"")</f>
        <v/>
      </c>
      <c r="D1890" s="481" t="str">
        <f>IFERROR(VLOOKUP(A1890,[3]DOORSCRIEFT!$A$2:$G$6834,3,FALSE),"")</f>
        <v/>
      </c>
      <c r="E1890" s="480" t="str">
        <f>IFERROR(VLOOKUP(A1890,[3]DOORSCRIEFT!$A$2:$G$6834,4,FALSE),"")</f>
        <v/>
      </c>
      <c r="F1890" s="405" t="str">
        <f>IFERROR(VLOOKUP(A1890,[3]DOORSCRIEFT!$A$2:$G$6834,7,FALSE),"")</f>
        <v/>
      </c>
      <c r="G1890" s="315"/>
    </row>
    <row r="1891" spans="1:7" ht="15.75" thickBot="1" x14ac:dyDescent="0.3">
      <c r="A1891" s="342" t="str">
        <f t="shared" si="63"/>
        <v>II.3.1.4.04.00115</v>
      </c>
      <c r="B1891" s="342">
        <v>15</v>
      </c>
      <c r="C1891" s="339" t="str">
        <f>IFERROR(VLOOKUP(A1891,[3]DOORSCRIEFT!$A$2:$G$6834,2,FALSE),"")</f>
        <v/>
      </c>
      <c r="D1891" s="481" t="str">
        <f>IFERROR(VLOOKUP(A1891,[3]DOORSCRIEFT!$A$2:$G$6834,3,FALSE),"")</f>
        <v/>
      </c>
      <c r="E1891" s="480" t="str">
        <f>IFERROR(VLOOKUP(A1891,[3]DOORSCRIEFT!$A$2:$G$6834,4,FALSE),"")</f>
        <v/>
      </c>
      <c r="F1891" s="405" t="str">
        <f>IFERROR(VLOOKUP(A1891,[3]DOORSCRIEFT!$A$2:$G$6834,7,FALSE),"")</f>
        <v/>
      </c>
      <c r="G1891" s="315"/>
    </row>
    <row r="1892" spans="1:7" ht="15.75" thickBot="1" x14ac:dyDescent="0.3">
      <c r="A1892" s="341"/>
      <c r="B1892" s="340"/>
      <c r="C1892" s="336"/>
      <c r="D1892" s="486"/>
      <c r="E1892" s="340" t="s">
        <v>644</v>
      </c>
      <c r="F1892" s="310">
        <f>SUM(F1877:F1891)</f>
        <v>0</v>
      </c>
      <c r="G1892" s="309">
        <f>SUM(G1877:G1891)</f>
        <v>0</v>
      </c>
    </row>
    <row r="1893" spans="1:7" x14ac:dyDescent="0.25">
      <c r="C1893" s="335"/>
      <c r="D1893" s="485"/>
    </row>
    <row r="1894" spans="1:7" x14ac:dyDescent="0.25">
      <c r="C1894" s="335"/>
      <c r="D1894" s="485"/>
    </row>
    <row r="1895" spans="1:7" ht="15.75" x14ac:dyDescent="0.25">
      <c r="C1895" s="334" t="s">
        <v>663</v>
      </c>
      <c r="D1895" s="484"/>
      <c r="E1895" s="333"/>
      <c r="F1895" s="327" t="s">
        <v>607</v>
      </c>
      <c r="G1895" s="327" t="s">
        <v>90</v>
      </c>
    </row>
    <row r="1896" spans="1:7" ht="15.75" x14ac:dyDescent="0.25">
      <c r="C1896" s="334"/>
      <c r="D1896" s="484"/>
      <c r="E1896" s="333"/>
      <c r="F1896" s="327" t="s">
        <v>601</v>
      </c>
      <c r="G1896" s="327" t="s">
        <v>89</v>
      </c>
    </row>
    <row r="1897" spans="1:7" x14ac:dyDescent="0.25">
      <c r="C1897" s="330"/>
      <c r="D1897" s="482"/>
      <c r="E1897" s="329"/>
      <c r="F1897" s="327" t="s">
        <v>651</v>
      </c>
      <c r="G1897" s="331">
        <f>[2]Sheet1!$D$509</f>
        <v>0</v>
      </c>
    </row>
    <row r="1898" spans="1:7" ht="15.75" thickBot="1" x14ac:dyDescent="0.3">
      <c r="C1898" s="330"/>
      <c r="D1898" s="482"/>
      <c r="E1898" s="329"/>
      <c r="F1898" s="327" t="s">
        <v>650</v>
      </c>
      <c r="G1898" s="326">
        <f>+F1917-G1897</f>
        <v>0</v>
      </c>
    </row>
    <row r="1899" spans="1:7" x14ac:dyDescent="0.25">
      <c r="A1899" s="571" t="s">
        <v>655</v>
      </c>
      <c r="B1899" s="573" t="s">
        <v>606</v>
      </c>
      <c r="C1899" s="588" t="s">
        <v>649</v>
      </c>
      <c r="D1899" s="599" t="s">
        <v>648</v>
      </c>
      <c r="E1899" s="577" t="s">
        <v>647</v>
      </c>
      <c r="F1899" s="577" t="s">
        <v>646</v>
      </c>
      <c r="G1899" s="580" t="s">
        <v>645</v>
      </c>
    </row>
    <row r="1900" spans="1:7" ht="15.75" thickBot="1" x14ac:dyDescent="0.3">
      <c r="A1900" s="572"/>
      <c r="B1900" s="574"/>
      <c r="C1900" s="589"/>
      <c r="D1900" s="600"/>
      <c r="E1900" s="578"/>
      <c r="F1900" s="578"/>
      <c r="G1900" s="581"/>
    </row>
    <row r="1901" spans="1:7" ht="15.75" thickBot="1" x14ac:dyDescent="0.3">
      <c r="A1901" s="425">
        <v>1</v>
      </c>
      <c r="B1901" s="425">
        <v>2</v>
      </c>
      <c r="C1901" s="425">
        <v>3</v>
      </c>
      <c r="D1901" s="425">
        <v>4</v>
      </c>
      <c r="E1901" s="425">
        <v>5</v>
      </c>
      <c r="F1901" s="425">
        <v>6</v>
      </c>
      <c r="G1901" s="425">
        <v>7</v>
      </c>
    </row>
    <row r="1902" spans="1:7" x14ac:dyDescent="0.25">
      <c r="A1902" s="320" t="str">
        <f t="shared" ref="A1902:A1916" si="64">$G$1895&amp;B1902</f>
        <v>II.3.1.4.05.0011</v>
      </c>
      <c r="B1902" s="320">
        <v>1</v>
      </c>
      <c r="C1902" s="339" t="str">
        <f>IFERROR(VLOOKUP(A1902,[3]DOORSCRIEFT!$A$2:$G$6834,2,FALSE),"")</f>
        <v/>
      </c>
      <c r="D1902" s="481" t="str">
        <f>IFERROR(VLOOKUP(A1902,[3]DOORSCRIEFT!$A$2:$G$6834,3,FALSE),"")</f>
        <v/>
      </c>
      <c r="E1902" s="480" t="str">
        <f>IFERROR(VLOOKUP(A1902,[3]DOORSCRIEFT!$A$2:$G$6834,4,FALSE),"")</f>
        <v/>
      </c>
      <c r="F1902" s="405" t="str">
        <f>IFERROR(VLOOKUP(A1902,[3]DOORSCRIEFT!$A$2:$G$6834,7,FALSE),"")</f>
        <v/>
      </c>
      <c r="G1902" s="322"/>
    </row>
    <row r="1903" spans="1:7" x14ac:dyDescent="0.25">
      <c r="A1903" s="321" t="str">
        <f t="shared" si="64"/>
        <v>II.3.1.4.05.0012</v>
      </c>
      <c r="B1903" s="321">
        <v>2</v>
      </c>
      <c r="C1903" s="339" t="str">
        <f>IFERROR(VLOOKUP(A1903,[3]DOORSCRIEFT!$A$2:$G$6834,2,FALSE),"")</f>
        <v/>
      </c>
      <c r="D1903" s="481" t="str">
        <f>IFERROR(VLOOKUP(A1903,[3]DOORSCRIEFT!$A$2:$G$6834,3,FALSE),"")</f>
        <v/>
      </c>
      <c r="E1903" s="480" t="str">
        <f>IFERROR(VLOOKUP(A1903,[3]DOORSCRIEFT!$A$2:$G$6834,4,FALSE),"")</f>
        <v/>
      </c>
      <c r="F1903" s="405" t="str">
        <f>IFERROR(VLOOKUP(A1903,[3]DOORSCRIEFT!$A$2:$G$6834,7,FALSE),"")</f>
        <v/>
      </c>
      <c r="G1903" s="315"/>
    </row>
    <row r="1904" spans="1:7" x14ac:dyDescent="0.25">
      <c r="A1904" s="321" t="str">
        <f t="shared" si="64"/>
        <v>II.3.1.4.05.0013</v>
      </c>
      <c r="B1904" s="321">
        <v>3</v>
      </c>
      <c r="C1904" s="339" t="str">
        <f>IFERROR(VLOOKUP(A1904,[3]DOORSCRIEFT!$A$2:$G$6834,2,FALSE),"")</f>
        <v/>
      </c>
      <c r="D1904" s="481" t="str">
        <f>IFERROR(VLOOKUP(A1904,[3]DOORSCRIEFT!$A$2:$G$6834,3,FALSE),"")</f>
        <v/>
      </c>
      <c r="E1904" s="480" t="str">
        <f>IFERROR(VLOOKUP(A1904,[3]DOORSCRIEFT!$A$2:$G$6834,4,FALSE),"")</f>
        <v/>
      </c>
      <c r="F1904" s="405" t="str">
        <f>IFERROR(VLOOKUP(A1904,[3]DOORSCRIEFT!$A$2:$G$6834,7,FALSE),"")</f>
        <v/>
      </c>
      <c r="G1904" s="315"/>
    </row>
    <row r="1905" spans="1:7" x14ac:dyDescent="0.25">
      <c r="A1905" s="321" t="str">
        <f t="shared" si="64"/>
        <v>II.3.1.4.05.0014</v>
      </c>
      <c r="B1905" s="321">
        <v>4</v>
      </c>
      <c r="C1905" s="339" t="str">
        <f>IFERROR(VLOOKUP(A1905,[3]DOORSCRIEFT!$A$2:$G$6834,2,FALSE),"")</f>
        <v/>
      </c>
      <c r="D1905" s="481" t="str">
        <f>IFERROR(VLOOKUP(A1905,[3]DOORSCRIEFT!$A$2:$G$6834,3,FALSE),"")</f>
        <v/>
      </c>
      <c r="E1905" s="480" t="str">
        <f>IFERROR(VLOOKUP(A1905,[3]DOORSCRIEFT!$A$2:$G$6834,4,FALSE),"")</f>
        <v/>
      </c>
      <c r="F1905" s="405" t="str">
        <f>IFERROR(VLOOKUP(A1905,[3]DOORSCRIEFT!$A$2:$G$6834,7,FALSE),"")</f>
        <v/>
      </c>
      <c r="G1905" s="315"/>
    </row>
    <row r="1906" spans="1:7" x14ac:dyDescent="0.25">
      <c r="A1906" s="321" t="str">
        <f t="shared" si="64"/>
        <v>II.3.1.4.05.0015</v>
      </c>
      <c r="B1906" s="321">
        <v>5</v>
      </c>
      <c r="C1906" s="339" t="str">
        <f>IFERROR(VLOOKUP(A1906,[3]DOORSCRIEFT!$A$2:$G$6834,2,FALSE),"")</f>
        <v/>
      </c>
      <c r="D1906" s="481" t="str">
        <f>IFERROR(VLOOKUP(A1906,[3]DOORSCRIEFT!$A$2:$G$6834,3,FALSE),"")</f>
        <v/>
      </c>
      <c r="E1906" s="480" t="str">
        <f>IFERROR(VLOOKUP(A1906,[3]DOORSCRIEFT!$A$2:$G$6834,4,FALSE),"")</f>
        <v/>
      </c>
      <c r="F1906" s="405" t="str">
        <f>IFERROR(VLOOKUP(A1906,[3]DOORSCRIEFT!$A$2:$G$6834,7,FALSE),"")</f>
        <v/>
      </c>
      <c r="G1906" s="315"/>
    </row>
    <row r="1907" spans="1:7" x14ac:dyDescent="0.25">
      <c r="A1907" s="321" t="str">
        <f t="shared" si="64"/>
        <v>II.3.1.4.05.0016</v>
      </c>
      <c r="B1907" s="321">
        <v>6</v>
      </c>
      <c r="C1907" s="339" t="str">
        <f>IFERROR(VLOOKUP(A1907,[3]DOORSCRIEFT!$A$2:$G$6834,2,FALSE),"")</f>
        <v/>
      </c>
      <c r="D1907" s="481" t="str">
        <f>IFERROR(VLOOKUP(A1907,[3]DOORSCRIEFT!$A$2:$G$6834,3,FALSE),"")</f>
        <v/>
      </c>
      <c r="E1907" s="480" t="str">
        <f>IFERROR(VLOOKUP(A1907,[3]DOORSCRIEFT!$A$2:$G$6834,4,FALSE),"")</f>
        <v/>
      </c>
      <c r="F1907" s="405" t="str">
        <f>IFERROR(VLOOKUP(A1907,[3]DOORSCRIEFT!$A$2:$G$6834,7,FALSE),"")</f>
        <v/>
      </c>
      <c r="G1907" s="315"/>
    </row>
    <row r="1908" spans="1:7" x14ac:dyDescent="0.25">
      <c r="A1908" s="321" t="str">
        <f t="shared" si="64"/>
        <v>II.3.1.4.05.0017</v>
      </c>
      <c r="B1908" s="321">
        <v>7</v>
      </c>
      <c r="C1908" s="339" t="str">
        <f>IFERROR(VLOOKUP(A1908,[3]DOORSCRIEFT!$A$2:$G$6834,2,FALSE),"")</f>
        <v/>
      </c>
      <c r="D1908" s="481" t="str">
        <f>IFERROR(VLOOKUP(A1908,[3]DOORSCRIEFT!$A$2:$G$6834,3,FALSE),"")</f>
        <v/>
      </c>
      <c r="E1908" s="480" t="str">
        <f>IFERROR(VLOOKUP(A1908,[3]DOORSCRIEFT!$A$2:$G$6834,4,FALSE),"")</f>
        <v/>
      </c>
      <c r="F1908" s="405" t="str">
        <f>IFERROR(VLOOKUP(A1908,[3]DOORSCRIEFT!$A$2:$G$6834,7,FALSE),"")</f>
        <v/>
      </c>
      <c r="G1908" s="315"/>
    </row>
    <row r="1909" spans="1:7" x14ac:dyDescent="0.25">
      <c r="A1909" s="321" t="str">
        <f t="shared" si="64"/>
        <v>II.3.1.4.05.0018</v>
      </c>
      <c r="B1909" s="321">
        <v>8</v>
      </c>
      <c r="C1909" s="339" t="str">
        <f>IFERROR(VLOOKUP(A1909,[3]DOORSCRIEFT!$A$2:$G$6834,2,FALSE),"")</f>
        <v/>
      </c>
      <c r="D1909" s="481" t="str">
        <f>IFERROR(VLOOKUP(A1909,[3]DOORSCRIEFT!$A$2:$G$6834,3,FALSE),"")</f>
        <v/>
      </c>
      <c r="E1909" s="480" t="str">
        <f>IFERROR(VLOOKUP(A1909,[3]DOORSCRIEFT!$A$2:$G$6834,4,FALSE),"")</f>
        <v/>
      </c>
      <c r="F1909" s="405" t="str">
        <f>IFERROR(VLOOKUP(A1909,[3]DOORSCRIEFT!$A$2:$G$6834,7,FALSE),"")</f>
        <v/>
      </c>
      <c r="G1909" s="315"/>
    </row>
    <row r="1910" spans="1:7" x14ac:dyDescent="0.25">
      <c r="A1910" s="321" t="str">
        <f t="shared" si="64"/>
        <v>II.3.1.4.05.0019</v>
      </c>
      <c r="B1910" s="321">
        <v>9</v>
      </c>
      <c r="C1910" s="339" t="str">
        <f>IFERROR(VLOOKUP(A1910,[3]DOORSCRIEFT!$A$2:$G$6834,2,FALSE),"")</f>
        <v/>
      </c>
      <c r="D1910" s="481" t="str">
        <f>IFERROR(VLOOKUP(A1910,[3]DOORSCRIEFT!$A$2:$G$6834,3,FALSE),"")</f>
        <v/>
      </c>
      <c r="E1910" s="480" t="str">
        <f>IFERROR(VLOOKUP(A1910,[3]DOORSCRIEFT!$A$2:$G$6834,4,FALSE),"")</f>
        <v/>
      </c>
      <c r="F1910" s="405" t="str">
        <f>IFERROR(VLOOKUP(A1910,[3]DOORSCRIEFT!$A$2:$G$6834,7,FALSE),"")</f>
        <v/>
      </c>
      <c r="G1910" s="315"/>
    </row>
    <row r="1911" spans="1:7" x14ac:dyDescent="0.25">
      <c r="A1911" s="321" t="str">
        <f t="shared" si="64"/>
        <v>II.3.1.4.05.00110</v>
      </c>
      <c r="B1911" s="321">
        <v>10</v>
      </c>
      <c r="C1911" s="339" t="str">
        <f>IFERROR(VLOOKUP(A1911,[3]DOORSCRIEFT!$A$2:$G$6834,2,FALSE),"")</f>
        <v/>
      </c>
      <c r="D1911" s="481" t="str">
        <f>IFERROR(VLOOKUP(A1911,[3]DOORSCRIEFT!$A$2:$G$6834,3,FALSE),"")</f>
        <v/>
      </c>
      <c r="E1911" s="480" t="str">
        <f>IFERROR(VLOOKUP(A1911,[3]DOORSCRIEFT!$A$2:$G$6834,4,FALSE),"")</f>
        <v/>
      </c>
      <c r="F1911" s="405" t="str">
        <f>IFERROR(VLOOKUP(A1911,[3]DOORSCRIEFT!$A$2:$G$6834,7,FALSE),"")</f>
        <v/>
      </c>
      <c r="G1911" s="315"/>
    </row>
    <row r="1912" spans="1:7" x14ac:dyDescent="0.25">
      <c r="A1912" s="321" t="str">
        <f t="shared" si="64"/>
        <v>II.3.1.4.05.00111</v>
      </c>
      <c r="B1912" s="321">
        <v>11</v>
      </c>
      <c r="C1912" s="339" t="str">
        <f>IFERROR(VLOOKUP(A1912,[3]DOORSCRIEFT!$A$2:$G$6834,2,FALSE),"")</f>
        <v/>
      </c>
      <c r="D1912" s="481" t="str">
        <f>IFERROR(VLOOKUP(A1912,[3]DOORSCRIEFT!$A$2:$G$6834,3,FALSE),"")</f>
        <v/>
      </c>
      <c r="E1912" s="480" t="str">
        <f>IFERROR(VLOOKUP(A1912,[3]DOORSCRIEFT!$A$2:$G$6834,4,FALSE),"")</f>
        <v/>
      </c>
      <c r="F1912" s="405" t="str">
        <f>IFERROR(VLOOKUP(A1912,[3]DOORSCRIEFT!$A$2:$G$6834,7,FALSE),"")</f>
        <v/>
      </c>
      <c r="G1912" s="315"/>
    </row>
    <row r="1913" spans="1:7" x14ac:dyDescent="0.25">
      <c r="A1913" s="321" t="str">
        <f t="shared" si="64"/>
        <v>II.3.1.4.05.00112</v>
      </c>
      <c r="B1913" s="321">
        <v>12</v>
      </c>
      <c r="C1913" s="339" t="str">
        <f>IFERROR(VLOOKUP(A1913,[3]DOORSCRIEFT!$A$2:$G$6834,2,FALSE),"")</f>
        <v/>
      </c>
      <c r="D1913" s="481" t="str">
        <f>IFERROR(VLOOKUP(A1913,[3]DOORSCRIEFT!$A$2:$G$6834,3,FALSE),"")</f>
        <v/>
      </c>
      <c r="E1913" s="480" t="str">
        <f>IFERROR(VLOOKUP(A1913,[3]DOORSCRIEFT!$A$2:$G$6834,4,FALSE),"")</f>
        <v/>
      </c>
      <c r="F1913" s="405" t="str">
        <f>IFERROR(VLOOKUP(A1913,[3]DOORSCRIEFT!$A$2:$G$6834,7,FALSE),"")</f>
        <v/>
      </c>
      <c r="G1913" s="315"/>
    </row>
    <row r="1914" spans="1:7" x14ac:dyDescent="0.25">
      <c r="A1914" s="321" t="str">
        <f t="shared" si="64"/>
        <v>II.3.1.4.05.00113</v>
      </c>
      <c r="B1914" s="321">
        <v>13</v>
      </c>
      <c r="C1914" s="339" t="str">
        <f>IFERROR(VLOOKUP(A1914,[3]DOORSCRIEFT!$A$2:$G$6834,2,FALSE),"")</f>
        <v/>
      </c>
      <c r="D1914" s="481" t="str">
        <f>IFERROR(VLOOKUP(A1914,[3]DOORSCRIEFT!$A$2:$G$6834,3,FALSE),"")</f>
        <v/>
      </c>
      <c r="E1914" s="480" t="str">
        <f>IFERROR(VLOOKUP(A1914,[3]DOORSCRIEFT!$A$2:$G$6834,4,FALSE),"")</f>
        <v/>
      </c>
      <c r="F1914" s="405" t="str">
        <f>IFERROR(VLOOKUP(A1914,[3]DOORSCRIEFT!$A$2:$G$6834,7,FALSE),"")</f>
        <v/>
      </c>
      <c r="G1914" s="315"/>
    </row>
    <row r="1915" spans="1:7" x14ac:dyDescent="0.25">
      <c r="A1915" s="321" t="str">
        <f t="shared" si="64"/>
        <v>II.3.1.4.05.00114</v>
      </c>
      <c r="B1915" s="321">
        <v>14</v>
      </c>
      <c r="C1915" s="339" t="str">
        <f>IFERROR(VLOOKUP(A1915,[3]DOORSCRIEFT!$A$2:$G$6834,2,FALSE),"")</f>
        <v/>
      </c>
      <c r="D1915" s="481" t="str">
        <f>IFERROR(VLOOKUP(A1915,[3]DOORSCRIEFT!$A$2:$G$6834,3,FALSE),"")</f>
        <v/>
      </c>
      <c r="E1915" s="480" t="str">
        <f>IFERROR(VLOOKUP(A1915,[3]DOORSCRIEFT!$A$2:$G$6834,4,FALSE),"")</f>
        <v/>
      </c>
      <c r="F1915" s="405" t="str">
        <f>IFERROR(VLOOKUP(A1915,[3]DOORSCRIEFT!$A$2:$G$6834,7,FALSE),"")</f>
        <v/>
      </c>
      <c r="G1915" s="315"/>
    </row>
    <row r="1916" spans="1:7" ht="15.75" thickBot="1" x14ac:dyDescent="0.3">
      <c r="A1916" s="342" t="str">
        <f t="shared" si="64"/>
        <v>II.3.1.4.05.00115</v>
      </c>
      <c r="B1916" s="342">
        <v>15</v>
      </c>
      <c r="C1916" s="339" t="str">
        <f>IFERROR(VLOOKUP(A1916,[3]DOORSCRIEFT!$A$2:$G$6834,2,FALSE),"")</f>
        <v/>
      </c>
      <c r="D1916" s="481" t="str">
        <f>IFERROR(VLOOKUP(A1916,[3]DOORSCRIEFT!$A$2:$G$6834,3,FALSE),"")</f>
        <v/>
      </c>
      <c r="E1916" s="480" t="str">
        <f>IFERROR(VLOOKUP(A1916,[3]DOORSCRIEFT!$A$2:$G$6834,4,FALSE),"")</f>
        <v/>
      </c>
      <c r="F1916" s="405" t="str">
        <f>IFERROR(VLOOKUP(A1916,[3]DOORSCRIEFT!$A$2:$G$6834,7,FALSE),"")</f>
        <v/>
      </c>
      <c r="G1916" s="315"/>
    </row>
    <row r="1917" spans="1:7" ht="15.75" thickBot="1" x14ac:dyDescent="0.3">
      <c r="A1917" s="341"/>
      <c r="B1917" s="340"/>
      <c r="C1917" s="336"/>
      <c r="D1917" s="486"/>
      <c r="E1917" s="340" t="s">
        <v>644</v>
      </c>
      <c r="F1917" s="310">
        <f>SUM(F1902:F1916)</f>
        <v>0</v>
      </c>
      <c r="G1917" s="309">
        <f>SUM(G1902:G1916)</f>
        <v>0</v>
      </c>
    </row>
    <row r="1918" spans="1:7" x14ac:dyDescent="0.25">
      <c r="C1918" s="335"/>
      <c r="D1918" s="485"/>
    </row>
    <row r="1919" spans="1:7" x14ac:dyDescent="0.25">
      <c r="C1919" s="335"/>
      <c r="D1919" s="485"/>
    </row>
    <row r="1920" spans="1:7" ht="15.75" x14ac:dyDescent="0.25">
      <c r="C1920" s="334" t="s">
        <v>663</v>
      </c>
      <c r="D1920" s="484"/>
      <c r="E1920" s="333"/>
      <c r="F1920" s="327" t="s">
        <v>607</v>
      </c>
      <c r="G1920" s="327" t="s">
        <v>86</v>
      </c>
    </row>
    <row r="1921" spans="1:7" ht="15.75" x14ac:dyDescent="0.25">
      <c r="C1921" s="334"/>
      <c r="D1921" s="484"/>
      <c r="E1921" s="333"/>
      <c r="F1921" s="327" t="s">
        <v>601</v>
      </c>
      <c r="G1921" s="327" t="s">
        <v>85</v>
      </c>
    </row>
    <row r="1922" spans="1:7" x14ac:dyDescent="0.25">
      <c r="C1922" s="330"/>
      <c r="D1922" s="482"/>
      <c r="E1922" s="329"/>
      <c r="F1922" s="327" t="s">
        <v>651</v>
      </c>
      <c r="G1922" s="331">
        <f>[2]Sheet1!$D$523</f>
        <v>4760000</v>
      </c>
    </row>
    <row r="1923" spans="1:7" ht="15.75" thickBot="1" x14ac:dyDescent="0.3">
      <c r="C1923" s="330"/>
      <c r="D1923" s="482"/>
      <c r="E1923" s="329"/>
      <c r="F1923" s="327" t="s">
        <v>650</v>
      </c>
      <c r="G1923" s="326">
        <f>+F1943-G1922</f>
        <v>-4760000</v>
      </c>
    </row>
    <row r="1924" spans="1:7" x14ac:dyDescent="0.25">
      <c r="A1924" s="571" t="s">
        <v>655</v>
      </c>
      <c r="B1924" s="573" t="s">
        <v>606</v>
      </c>
      <c r="C1924" s="588" t="s">
        <v>649</v>
      </c>
      <c r="D1924" s="599" t="s">
        <v>648</v>
      </c>
      <c r="E1924" s="577" t="s">
        <v>647</v>
      </c>
      <c r="F1924" s="577" t="s">
        <v>646</v>
      </c>
      <c r="G1924" s="580" t="s">
        <v>645</v>
      </c>
    </row>
    <row r="1925" spans="1:7" ht="15.75" thickBot="1" x14ac:dyDescent="0.3">
      <c r="A1925" s="572"/>
      <c r="B1925" s="574"/>
      <c r="C1925" s="589"/>
      <c r="D1925" s="600"/>
      <c r="E1925" s="578"/>
      <c r="F1925" s="578"/>
      <c r="G1925" s="581"/>
    </row>
    <row r="1926" spans="1:7" ht="15.75" thickBot="1" x14ac:dyDescent="0.3">
      <c r="A1926" s="425">
        <v>1</v>
      </c>
      <c r="B1926" s="425">
        <v>2</v>
      </c>
      <c r="C1926" s="425">
        <v>3</v>
      </c>
      <c r="D1926" s="425">
        <v>4</v>
      </c>
      <c r="E1926" s="425">
        <v>5</v>
      </c>
      <c r="F1926" s="425">
        <v>6</v>
      </c>
      <c r="G1926" s="425">
        <v>7</v>
      </c>
    </row>
    <row r="1927" spans="1:7" x14ac:dyDescent="0.25">
      <c r="A1927" s="320" t="str">
        <f t="shared" ref="A1927:A1942" si="65">$G$1920&amp;B1927</f>
        <v>II.3.1.4.06.0011</v>
      </c>
      <c r="B1927" s="320">
        <v>1</v>
      </c>
      <c r="C1927" s="339" t="str">
        <f>IFERROR(VLOOKUP(A1927,[3]DOORSCRIEFT!$A$2:$G$6834,2,FALSE),"")</f>
        <v/>
      </c>
      <c r="D1927" s="481" t="str">
        <f>IFERROR(VLOOKUP(A1927,[3]DOORSCRIEFT!$A$2:$G$6834,3,FALSE),"")</f>
        <v/>
      </c>
      <c r="E1927" s="480" t="str">
        <f>IFERROR(VLOOKUP(A1927,[3]DOORSCRIEFT!$A$2:$G$6834,4,FALSE),"")</f>
        <v/>
      </c>
      <c r="F1927" s="405" t="str">
        <f>IFERROR(VLOOKUP(A1927,[3]DOORSCRIEFT!$A$2:$G$6834,7,FALSE),"")</f>
        <v/>
      </c>
      <c r="G1927" s="322"/>
    </row>
    <row r="1928" spans="1:7" x14ac:dyDescent="0.25">
      <c r="A1928" s="321" t="str">
        <f t="shared" si="65"/>
        <v>II.3.1.4.06.0012</v>
      </c>
      <c r="B1928" s="321">
        <v>2</v>
      </c>
      <c r="C1928" s="339" t="str">
        <f>IFERROR(VLOOKUP(A1928,[3]DOORSCRIEFT!$A$2:$G$6834,2,FALSE),"")</f>
        <v/>
      </c>
      <c r="D1928" s="481" t="str">
        <f>IFERROR(VLOOKUP(A1928,[3]DOORSCRIEFT!$A$2:$G$6834,3,FALSE),"")</f>
        <v/>
      </c>
      <c r="E1928" s="480" t="str">
        <f>IFERROR(VLOOKUP(A1928,[3]DOORSCRIEFT!$A$2:$G$6834,4,FALSE),"")</f>
        <v/>
      </c>
      <c r="F1928" s="405" t="str">
        <f>IFERROR(VLOOKUP(A1928,[3]DOORSCRIEFT!$A$2:$G$6834,7,FALSE),"")</f>
        <v/>
      </c>
      <c r="G1928" s="315"/>
    </row>
    <row r="1929" spans="1:7" x14ac:dyDescent="0.25">
      <c r="A1929" s="321" t="str">
        <f t="shared" si="65"/>
        <v>II.3.1.4.06.0013</v>
      </c>
      <c r="B1929" s="321">
        <v>3</v>
      </c>
      <c r="C1929" s="339" t="str">
        <f>IFERROR(VLOOKUP(A1929,[3]DOORSCRIEFT!$A$2:$G$6834,2,FALSE),"")</f>
        <v/>
      </c>
      <c r="D1929" s="481" t="str">
        <f>IFERROR(VLOOKUP(A1929,[3]DOORSCRIEFT!$A$2:$G$6834,3,FALSE),"")</f>
        <v/>
      </c>
      <c r="E1929" s="480" t="str">
        <f>IFERROR(VLOOKUP(A1929,[3]DOORSCRIEFT!$A$2:$G$6834,4,FALSE),"")</f>
        <v/>
      </c>
      <c r="F1929" s="405" t="str">
        <f>IFERROR(VLOOKUP(A1929,[3]DOORSCRIEFT!$A$2:$G$6834,7,FALSE),"")</f>
        <v/>
      </c>
      <c r="G1929" s="315"/>
    </row>
    <row r="1930" spans="1:7" x14ac:dyDescent="0.25">
      <c r="A1930" s="321" t="str">
        <f t="shared" si="65"/>
        <v>II.3.1.4.06.0014</v>
      </c>
      <c r="B1930" s="321">
        <v>4</v>
      </c>
      <c r="C1930" s="339" t="str">
        <f>IFERROR(VLOOKUP(A1930,[3]DOORSCRIEFT!$A$2:$G$6834,2,FALSE),"")</f>
        <v/>
      </c>
      <c r="D1930" s="481" t="str">
        <f>IFERROR(VLOOKUP(A1930,[3]DOORSCRIEFT!$A$2:$G$6834,3,FALSE),"")</f>
        <v/>
      </c>
      <c r="E1930" s="480" t="str">
        <f>IFERROR(VLOOKUP(A1930,[3]DOORSCRIEFT!$A$2:$G$6834,4,FALSE),"")</f>
        <v/>
      </c>
      <c r="F1930" s="405" t="str">
        <f>IFERROR(VLOOKUP(A1930,[3]DOORSCRIEFT!$A$2:$G$6834,7,FALSE),"")</f>
        <v/>
      </c>
      <c r="G1930" s="315"/>
    </row>
    <row r="1931" spans="1:7" x14ac:dyDescent="0.25">
      <c r="A1931" s="321" t="str">
        <f t="shared" si="65"/>
        <v>II.3.1.4.06.0015</v>
      </c>
      <c r="B1931" s="321">
        <v>5</v>
      </c>
      <c r="C1931" s="339" t="str">
        <f>IFERROR(VLOOKUP(A1931,[3]DOORSCRIEFT!$A$2:$G$6834,2,FALSE),"")</f>
        <v/>
      </c>
      <c r="D1931" s="481" t="str">
        <f>IFERROR(VLOOKUP(A1931,[3]DOORSCRIEFT!$A$2:$G$6834,3,FALSE),"")</f>
        <v/>
      </c>
      <c r="E1931" s="480" t="str">
        <f>IFERROR(VLOOKUP(A1931,[3]DOORSCRIEFT!$A$2:$G$6834,4,FALSE),"")</f>
        <v/>
      </c>
      <c r="F1931" s="405" t="str">
        <f>IFERROR(VLOOKUP(A1931,[3]DOORSCRIEFT!$A$2:$G$6834,7,FALSE),"")</f>
        <v/>
      </c>
      <c r="G1931" s="315"/>
    </row>
    <row r="1932" spans="1:7" x14ac:dyDescent="0.25">
      <c r="A1932" s="321" t="str">
        <f t="shared" si="65"/>
        <v>II.3.1.4.06.0016</v>
      </c>
      <c r="B1932" s="321">
        <v>6</v>
      </c>
      <c r="C1932" s="339" t="str">
        <f>IFERROR(VLOOKUP(A1932,[3]DOORSCRIEFT!$A$2:$G$6834,2,FALSE),"")</f>
        <v/>
      </c>
      <c r="D1932" s="481" t="str">
        <f>IFERROR(VLOOKUP(A1932,[3]DOORSCRIEFT!$A$2:$G$6834,3,FALSE),"")</f>
        <v/>
      </c>
      <c r="E1932" s="480" t="str">
        <f>IFERROR(VLOOKUP(A1932,[3]DOORSCRIEFT!$A$2:$G$6834,4,FALSE),"")</f>
        <v/>
      </c>
      <c r="F1932" s="405" t="str">
        <f>IFERROR(VLOOKUP(A1932,[3]DOORSCRIEFT!$A$2:$G$6834,7,FALSE),"")</f>
        <v/>
      </c>
      <c r="G1932" s="315"/>
    </row>
    <row r="1933" spans="1:7" x14ac:dyDescent="0.25">
      <c r="A1933" s="321" t="str">
        <f t="shared" si="65"/>
        <v>II.3.1.4.06.0017</v>
      </c>
      <c r="B1933" s="321">
        <v>7</v>
      </c>
      <c r="C1933" s="339" t="str">
        <f>IFERROR(VLOOKUP(A1933,[3]DOORSCRIEFT!$A$2:$G$6834,2,FALSE),"")</f>
        <v/>
      </c>
      <c r="D1933" s="481" t="str">
        <f>IFERROR(VLOOKUP(A1933,[3]DOORSCRIEFT!$A$2:$G$6834,3,FALSE),"")</f>
        <v/>
      </c>
      <c r="E1933" s="480" t="str">
        <f>IFERROR(VLOOKUP(A1933,[3]DOORSCRIEFT!$A$2:$G$6834,4,FALSE),"")</f>
        <v/>
      </c>
      <c r="F1933" s="405" t="str">
        <f>IFERROR(VLOOKUP(A1933,[3]DOORSCRIEFT!$A$2:$G$6834,7,FALSE),"")</f>
        <v/>
      </c>
      <c r="G1933" s="315"/>
    </row>
    <row r="1934" spans="1:7" x14ac:dyDescent="0.25">
      <c r="A1934" s="321" t="str">
        <f t="shared" si="65"/>
        <v>II.3.1.4.06.0018</v>
      </c>
      <c r="B1934" s="321">
        <v>8</v>
      </c>
      <c r="C1934" s="339" t="str">
        <f>IFERROR(VLOOKUP(A1934,[3]DOORSCRIEFT!$A$2:$G$6834,2,FALSE),"")</f>
        <v/>
      </c>
      <c r="D1934" s="481" t="str">
        <f>IFERROR(VLOOKUP(A1934,[3]DOORSCRIEFT!$A$2:$G$6834,3,FALSE),"")</f>
        <v/>
      </c>
      <c r="E1934" s="480" t="str">
        <f>IFERROR(VLOOKUP(A1934,[3]DOORSCRIEFT!$A$2:$G$6834,4,FALSE),"")</f>
        <v/>
      </c>
      <c r="F1934" s="405" t="str">
        <f>IFERROR(VLOOKUP(A1934,[3]DOORSCRIEFT!$A$2:$G$6834,7,FALSE),"")</f>
        <v/>
      </c>
      <c r="G1934" s="315"/>
    </row>
    <row r="1935" spans="1:7" x14ac:dyDescent="0.25">
      <c r="A1935" s="321" t="str">
        <f t="shared" si="65"/>
        <v>II.3.1.4.06.0019</v>
      </c>
      <c r="B1935" s="321">
        <v>9</v>
      </c>
      <c r="C1935" s="339" t="str">
        <f>IFERROR(VLOOKUP(A1935,[3]DOORSCRIEFT!$A$2:$G$6834,2,FALSE),"")</f>
        <v/>
      </c>
      <c r="D1935" s="481" t="str">
        <f>IFERROR(VLOOKUP(A1935,[3]DOORSCRIEFT!$A$2:$G$6834,3,FALSE),"")</f>
        <v/>
      </c>
      <c r="E1935" s="480" t="str">
        <f>IFERROR(VLOOKUP(A1935,[3]DOORSCRIEFT!$A$2:$G$6834,4,FALSE),"")</f>
        <v/>
      </c>
      <c r="F1935" s="405" t="str">
        <f>IFERROR(VLOOKUP(A1935,[3]DOORSCRIEFT!$A$2:$G$6834,7,FALSE),"")</f>
        <v/>
      </c>
      <c r="G1935" s="315"/>
    </row>
    <row r="1936" spans="1:7" x14ac:dyDescent="0.25">
      <c r="A1936" s="321" t="str">
        <f t="shared" si="65"/>
        <v>II.3.1.4.06.00110</v>
      </c>
      <c r="B1936" s="321">
        <v>10</v>
      </c>
      <c r="C1936" s="339" t="str">
        <f>IFERROR(VLOOKUP(A1936,[3]DOORSCRIEFT!$A$2:$G$6834,2,FALSE),"")</f>
        <v/>
      </c>
      <c r="D1936" s="481" t="str">
        <f>IFERROR(VLOOKUP(A1936,[3]DOORSCRIEFT!$A$2:$G$6834,3,FALSE),"")</f>
        <v/>
      </c>
      <c r="E1936" s="480" t="str">
        <f>IFERROR(VLOOKUP(A1936,[3]DOORSCRIEFT!$A$2:$G$6834,4,FALSE),"")</f>
        <v/>
      </c>
      <c r="F1936" s="405" t="str">
        <f>IFERROR(VLOOKUP(A1936,[3]DOORSCRIEFT!$A$2:$G$6834,7,FALSE),"")</f>
        <v/>
      </c>
      <c r="G1936" s="315"/>
    </row>
    <row r="1937" spans="1:7" x14ac:dyDescent="0.25">
      <c r="A1937" s="321" t="str">
        <f t="shared" si="65"/>
        <v>II.3.1.4.06.00111</v>
      </c>
      <c r="B1937" s="321">
        <v>11</v>
      </c>
      <c r="C1937" s="339" t="str">
        <f>IFERROR(VLOOKUP(A1937,[3]DOORSCRIEFT!$A$2:$G$6834,2,FALSE),"")</f>
        <v/>
      </c>
      <c r="D1937" s="481" t="str">
        <f>IFERROR(VLOOKUP(A1937,[3]DOORSCRIEFT!$A$2:$G$6834,3,FALSE),"")</f>
        <v/>
      </c>
      <c r="E1937" s="480" t="str">
        <f>IFERROR(VLOOKUP(A1937,[3]DOORSCRIEFT!$A$2:$G$6834,4,FALSE),"")</f>
        <v/>
      </c>
      <c r="F1937" s="405" t="str">
        <f>IFERROR(VLOOKUP(A1937,[3]DOORSCRIEFT!$A$2:$G$6834,7,FALSE),"")</f>
        <v/>
      </c>
      <c r="G1937" s="315"/>
    </row>
    <row r="1938" spans="1:7" x14ac:dyDescent="0.25">
      <c r="A1938" s="321" t="str">
        <f t="shared" si="65"/>
        <v>II.3.1.4.06.00112</v>
      </c>
      <c r="B1938" s="321">
        <v>12</v>
      </c>
      <c r="C1938" s="339" t="str">
        <f>IFERROR(VLOOKUP(A1938,[3]DOORSCRIEFT!$A$2:$G$6834,2,FALSE),"")</f>
        <v/>
      </c>
      <c r="D1938" s="481" t="str">
        <f>IFERROR(VLOOKUP(A1938,[3]DOORSCRIEFT!$A$2:$G$6834,3,FALSE),"")</f>
        <v/>
      </c>
      <c r="E1938" s="480" t="str">
        <f>IFERROR(VLOOKUP(A1938,[3]DOORSCRIEFT!$A$2:$G$6834,4,FALSE),"")</f>
        <v/>
      </c>
      <c r="F1938" s="405" t="str">
        <f>IFERROR(VLOOKUP(A1938,[3]DOORSCRIEFT!$A$2:$G$6834,7,FALSE),"")</f>
        <v/>
      </c>
      <c r="G1938" s="315"/>
    </row>
    <row r="1939" spans="1:7" x14ac:dyDescent="0.25">
      <c r="A1939" s="321" t="str">
        <f t="shared" si="65"/>
        <v>II.3.1.4.06.00113</v>
      </c>
      <c r="B1939" s="321">
        <v>13</v>
      </c>
      <c r="C1939" s="339" t="str">
        <f>IFERROR(VLOOKUP(A1939,[3]DOORSCRIEFT!$A$2:$G$6834,2,FALSE),"")</f>
        <v/>
      </c>
      <c r="D1939" s="481" t="str">
        <f>IFERROR(VLOOKUP(A1939,[3]DOORSCRIEFT!$A$2:$G$6834,3,FALSE),"")</f>
        <v/>
      </c>
      <c r="E1939" s="480" t="str">
        <f>IFERROR(VLOOKUP(A1939,[3]DOORSCRIEFT!$A$2:$G$6834,4,FALSE),"")</f>
        <v/>
      </c>
      <c r="F1939" s="405" t="str">
        <f>IFERROR(VLOOKUP(A1939,[3]DOORSCRIEFT!$A$2:$G$6834,7,FALSE),"")</f>
        <v/>
      </c>
      <c r="G1939" s="315"/>
    </row>
    <row r="1940" spans="1:7" x14ac:dyDescent="0.25">
      <c r="A1940" s="321" t="str">
        <f t="shared" si="65"/>
        <v>II.3.1.4.06.00114</v>
      </c>
      <c r="B1940" s="321">
        <v>14</v>
      </c>
      <c r="C1940" s="339" t="str">
        <f>IFERROR(VLOOKUP(A1940,[3]DOORSCRIEFT!$A$2:$G$6834,2,FALSE),"")</f>
        <v/>
      </c>
      <c r="D1940" s="481" t="str">
        <f>IFERROR(VLOOKUP(A1940,[3]DOORSCRIEFT!$A$2:$G$6834,3,FALSE),"")</f>
        <v/>
      </c>
      <c r="E1940" s="480" t="str">
        <f>IFERROR(VLOOKUP(A1940,[3]DOORSCRIEFT!$A$2:$G$6834,4,FALSE),"")</f>
        <v/>
      </c>
      <c r="F1940" s="405" t="str">
        <f>IFERROR(VLOOKUP(A1940,[3]DOORSCRIEFT!$A$2:$G$6834,7,FALSE),"")</f>
        <v/>
      </c>
      <c r="G1940" s="315"/>
    </row>
    <row r="1941" spans="1:7" x14ac:dyDescent="0.25">
      <c r="A1941" s="321" t="str">
        <f t="shared" si="65"/>
        <v>II.3.1.4.06.00115</v>
      </c>
      <c r="B1941" s="321">
        <v>15</v>
      </c>
      <c r="C1941" s="339" t="str">
        <f>IFERROR(VLOOKUP(A1941,[3]DOORSCRIEFT!$A$2:$G$6834,2,FALSE),"")</f>
        <v/>
      </c>
      <c r="D1941" s="481" t="str">
        <f>IFERROR(VLOOKUP(A1941,[3]DOORSCRIEFT!$A$2:$G$6834,3,FALSE),"")</f>
        <v/>
      </c>
      <c r="E1941" s="480" t="str">
        <f>IFERROR(VLOOKUP(A1941,[3]DOORSCRIEFT!$A$2:$G$6834,4,FALSE),"")</f>
        <v/>
      </c>
      <c r="F1941" s="405" t="str">
        <f>IFERROR(VLOOKUP(A1941,[3]DOORSCRIEFT!$A$2:$G$6834,7,FALSE),"")</f>
        <v/>
      </c>
      <c r="G1941" s="315"/>
    </row>
    <row r="1942" spans="1:7" ht="15.75" thickBot="1" x14ac:dyDescent="0.3">
      <c r="A1942" s="342" t="str">
        <f t="shared" si="65"/>
        <v>II.3.1.4.06.00116</v>
      </c>
      <c r="B1942" s="342">
        <v>16</v>
      </c>
      <c r="C1942" s="339" t="str">
        <f>IFERROR(VLOOKUP(A1942,[3]DOORSCRIEFT!$A$2:$G$6834,2,FALSE),"")</f>
        <v/>
      </c>
      <c r="D1942" s="481" t="str">
        <f>IFERROR(VLOOKUP(A1942,[3]DOORSCRIEFT!$A$2:$G$6834,3,FALSE),"")</f>
        <v/>
      </c>
      <c r="E1942" s="480" t="str">
        <f>IFERROR(VLOOKUP(A1942,[3]DOORSCRIEFT!$A$2:$G$6834,4,FALSE),"")</f>
        <v/>
      </c>
      <c r="F1942" s="405" t="str">
        <f>IFERROR(VLOOKUP(A1942,[3]DOORSCRIEFT!$A$2:$G$6834,7,FALSE),"")</f>
        <v/>
      </c>
      <c r="G1942" s="315"/>
    </row>
    <row r="1943" spans="1:7" ht="15.75" thickBot="1" x14ac:dyDescent="0.3">
      <c r="A1943" s="341"/>
      <c r="B1943" s="340"/>
      <c r="C1943" s="336"/>
      <c r="D1943" s="486"/>
      <c r="E1943" s="340" t="s">
        <v>644</v>
      </c>
      <c r="F1943" s="310">
        <f>SUM(F1927:F1942)</f>
        <v>0</v>
      </c>
      <c r="G1943" s="309">
        <f>SUM(G1927:G1942)</f>
        <v>0</v>
      </c>
    </row>
    <row r="1944" spans="1:7" x14ac:dyDescent="0.25">
      <c r="C1944" s="335"/>
      <c r="D1944" s="485"/>
    </row>
    <row r="1945" spans="1:7" x14ac:dyDescent="0.25">
      <c r="C1945" s="335"/>
      <c r="D1945" s="485"/>
    </row>
    <row r="1946" spans="1:7" ht="15.75" x14ac:dyDescent="0.25">
      <c r="C1946" s="334" t="s">
        <v>663</v>
      </c>
      <c r="D1946" s="484"/>
      <c r="E1946" s="333"/>
      <c r="F1946" s="327" t="s">
        <v>607</v>
      </c>
      <c r="G1946" s="327" t="s">
        <v>84</v>
      </c>
    </row>
    <row r="1947" spans="1:7" ht="15.75" x14ac:dyDescent="0.25">
      <c r="C1947" s="334"/>
      <c r="D1947" s="484"/>
      <c r="E1947" s="333"/>
      <c r="F1947" s="327" t="s">
        <v>601</v>
      </c>
      <c r="G1947" s="327" t="s">
        <v>83</v>
      </c>
    </row>
    <row r="1948" spans="1:7" x14ac:dyDescent="0.25">
      <c r="C1948" s="330"/>
      <c r="D1948" s="482"/>
      <c r="E1948" s="329"/>
      <c r="F1948" s="327" t="s">
        <v>651</v>
      </c>
      <c r="G1948" s="331">
        <f>[2]Sheet1!$D$530</f>
        <v>1700000</v>
      </c>
    </row>
    <row r="1949" spans="1:7" ht="15.75" thickBot="1" x14ac:dyDescent="0.3">
      <c r="C1949" s="330"/>
      <c r="D1949" s="482"/>
      <c r="E1949" s="329"/>
      <c r="F1949" s="327" t="s">
        <v>650</v>
      </c>
      <c r="G1949" s="326">
        <f>+F1968-G1948</f>
        <v>-1700000</v>
      </c>
    </row>
    <row r="1950" spans="1:7" x14ac:dyDescent="0.25">
      <c r="A1950" s="571" t="s">
        <v>655</v>
      </c>
      <c r="B1950" s="573" t="s">
        <v>606</v>
      </c>
      <c r="C1950" s="588" t="s">
        <v>649</v>
      </c>
      <c r="D1950" s="599" t="s">
        <v>648</v>
      </c>
      <c r="E1950" s="577" t="s">
        <v>647</v>
      </c>
      <c r="F1950" s="577" t="s">
        <v>646</v>
      </c>
      <c r="G1950" s="580" t="s">
        <v>645</v>
      </c>
    </row>
    <row r="1951" spans="1:7" ht="15.75" thickBot="1" x14ac:dyDescent="0.3">
      <c r="A1951" s="572"/>
      <c r="B1951" s="574"/>
      <c r="C1951" s="589"/>
      <c r="D1951" s="600"/>
      <c r="E1951" s="578"/>
      <c r="F1951" s="578"/>
      <c r="G1951" s="581"/>
    </row>
    <row r="1952" spans="1:7" ht="15.75" thickBot="1" x14ac:dyDescent="0.3">
      <c r="A1952" s="425">
        <v>1</v>
      </c>
      <c r="B1952" s="425">
        <v>2</v>
      </c>
      <c r="C1952" s="425">
        <v>3</v>
      </c>
      <c r="D1952" s="425">
        <v>4</v>
      </c>
      <c r="E1952" s="425">
        <v>5</v>
      </c>
      <c r="F1952" s="425">
        <v>6</v>
      </c>
      <c r="G1952" s="425">
        <v>7</v>
      </c>
    </row>
    <row r="1953" spans="1:7" x14ac:dyDescent="0.25">
      <c r="A1953" s="320" t="str">
        <f t="shared" ref="A1953:A1967" si="66">$G$1946&amp;B1953</f>
        <v>II.3.1.4.06.0021</v>
      </c>
      <c r="B1953" s="320">
        <v>1</v>
      </c>
      <c r="C1953" s="339" t="str">
        <f>IFERROR(VLOOKUP(A1953,[3]DOORSCRIEFT!$A$2:$G$6834,2,FALSE),"")</f>
        <v/>
      </c>
      <c r="D1953" s="481" t="str">
        <f>IFERROR(VLOOKUP(A1953,[3]DOORSCRIEFT!$A$2:$G$6834,3,FALSE),"")</f>
        <v/>
      </c>
      <c r="E1953" s="480" t="str">
        <f>IFERROR(VLOOKUP(A1953,[3]DOORSCRIEFT!$A$2:$G$6834,4,FALSE),"")</f>
        <v/>
      </c>
      <c r="F1953" s="405" t="str">
        <f>IFERROR(VLOOKUP(A1953,[3]DOORSCRIEFT!$A$2:$G$6834,7,FALSE),"")</f>
        <v/>
      </c>
      <c r="G1953" s="322"/>
    </row>
    <row r="1954" spans="1:7" x14ac:dyDescent="0.25">
      <c r="A1954" s="321" t="str">
        <f t="shared" si="66"/>
        <v>II.3.1.4.06.0022</v>
      </c>
      <c r="B1954" s="321">
        <v>2</v>
      </c>
      <c r="C1954" s="339" t="str">
        <f>IFERROR(VLOOKUP(A1954,[3]DOORSCRIEFT!$A$2:$G$6834,2,FALSE),"")</f>
        <v/>
      </c>
      <c r="D1954" s="481" t="str">
        <f>IFERROR(VLOOKUP(A1954,[3]DOORSCRIEFT!$A$2:$G$6834,3,FALSE),"")</f>
        <v/>
      </c>
      <c r="E1954" s="480" t="str">
        <f>IFERROR(VLOOKUP(A1954,[3]DOORSCRIEFT!$A$2:$G$6834,4,FALSE),"")</f>
        <v/>
      </c>
      <c r="F1954" s="405" t="str">
        <f>IFERROR(VLOOKUP(A1954,[3]DOORSCRIEFT!$A$2:$G$6834,7,FALSE),"")</f>
        <v/>
      </c>
      <c r="G1954" s="315"/>
    </row>
    <row r="1955" spans="1:7" x14ac:dyDescent="0.25">
      <c r="A1955" s="321" t="str">
        <f t="shared" si="66"/>
        <v>II.3.1.4.06.0023</v>
      </c>
      <c r="B1955" s="321">
        <v>3</v>
      </c>
      <c r="C1955" s="339" t="str">
        <f>IFERROR(VLOOKUP(A1955,[3]DOORSCRIEFT!$A$2:$G$6834,2,FALSE),"")</f>
        <v/>
      </c>
      <c r="D1955" s="481" t="str">
        <f>IFERROR(VLOOKUP(A1955,[3]DOORSCRIEFT!$A$2:$G$6834,3,FALSE),"")</f>
        <v/>
      </c>
      <c r="E1955" s="480" t="str">
        <f>IFERROR(VLOOKUP(A1955,[3]DOORSCRIEFT!$A$2:$G$6834,4,FALSE),"")</f>
        <v/>
      </c>
      <c r="F1955" s="405" t="str">
        <f>IFERROR(VLOOKUP(A1955,[3]DOORSCRIEFT!$A$2:$G$6834,7,FALSE),"")</f>
        <v/>
      </c>
      <c r="G1955" s="315"/>
    </row>
    <row r="1956" spans="1:7" x14ac:dyDescent="0.25">
      <c r="A1956" s="321" t="str">
        <f t="shared" si="66"/>
        <v>II.3.1.4.06.0024</v>
      </c>
      <c r="B1956" s="321">
        <v>4</v>
      </c>
      <c r="C1956" s="339" t="str">
        <f>IFERROR(VLOOKUP(A1956,[3]DOORSCRIEFT!$A$2:$G$6834,2,FALSE),"")</f>
        <v/>
      </c>
      <c r="D1956" s="481" t="str">
        <f>IFERROR(VLOOKUP(A1956,[3]DOORSCRIEFT!$A$2:$G$6834,3,FALSE),"")</f>
        <v/>
      </c>
      <c r="E1956" s="480" t="str">
        <f>IFERROR(VLOOKUP(A1956,[3]DOORSCRIEFT!$A$2:$G$6834,4,FALSE),"")</f>
        <v/>
      </c>
      <c r="F1956" s="405" t="str">
        <f>IFERROR(VLOOKUP(A1956,[3]DOORSCRIEFT!$A$2:$G$6834,7,FALSE),"")</f>
        <v/>
      </c>
      <c r="G1956" s="315"/>
    </row>
    <row r="1957" spans="1:7" x14ac:dyDescent="0.25">
      <c r="A1957" s="321" t="str">
        <f t="shared" si="66"/>
        <v>II.3.1.4.06.0025</v>
      </c>
      <c r="B1957" s="321">
        <v>5</v>
      </c>
      <c r="C1957" s="339" t="str">
        <f>IFERROR(VLOOKUP(A1957,[3]DOORSCRIEFT!$A$2:$G$6834,2,FALSE),"")</f>
        <v/>
      </c>
      <c r="D1957" s="481" t="str">
        <f>IFERROR(VLOOKUP(A1957,[3]DOORSCRIEFT!$A$2:$G$6834,3,FALSE),"")</f>
        <v/>
      </c>
      <c r="E1957" s="480" t="str">
        <f>IFERROR(VLOOKUP(A1957,[3]DOORSCRIEFT!$A$2:$G$6834,4,FALSE),"")</f>
        <v/>
      </c>
      <c r="F1957" s="405" t="str">
        <f>IFERROR(VLOOKUP(A1957,[3]DOORSCRIEFT!$A$2:$G$6834,7,FALSE),"")</f>
        <v/>
      </c>
      <c r="G1957" s="315"/>
    </row>
    <row r="1958" spans="1:7" x14ac:dyDescent="0.25">
      <c r="A1958" s="321" t="str">
        <f t="shared" si="66"/>
        <v>II.3.1.4.06.0026</v>
      </c>
      <c r="B1958" s="321">
        <v>6</v>
      </c>
      <c r="C1958" s="339" t="str">
        <f>IFERROR(VLOOKUP(A1958,[3]DOORSCRIEFT!$A$2:$G$6834,2,FALSE),"")</f>
        <v/>
      </c>
      <c r="D1958" s="481" t="str">
        <f>IFERROR(VLOOKUP(A1958,[3]DOORSCRIEFT!$A$2:$G$6834,3,FALSE),"")</f>
        <v/>
      </c>
      <c r="E1958" s="480" t="str">
        <f>IFERROR(VLOOKUP(A1958,[3]DOORSCRIEFT!$A$2:$G$6834,4,FALSE),"")</f>
        <v/>
      </c>
      <c r="F1958" s="405" t="str">
        <f>IFERROR(VLOOKUP(A1958,[3]DOORSCRIEFT!$A$2:$G$6834,7,FALSE),"")</f>
        <v/>
      </c>
      <c r="G1958" s="315"/>
    </row>
    <row r="1959" spans="1:7" x14ac:dyDescent="0.25">
      <c r="A1959" s="321" t="str">
        <f t="shared" si="66"/>
        <v>II.3.1.4.06.0027</v>
      </c>
      <c r="B1959" s="321">
        <v>7</v>
      </c>
      <c r="C1959" s="339" t="str">
        <f>IFERROR(VLOOKUP(A1959,[3]DOORSCRIEFT!$A$2:$G$6834,2,FALSE),"")</f>
        <v/>
      </c>
      <c r="D1959" s="481" t="str">
        <f>IFERROR(VLOOKUP(A1959,[3]DOORSCRIEFT!$A$2:$G$6834,3,FALSE),"")</f>
        <v/>
      </c>
      <c r="E1959" s="480" t="str">
        <f>IFERROR(VLOOKUP(A1959,[3]DOORSCRIEFT!$A$2:$G$6834,4,FALSE),"")</f>
        <v/>
      </c>
      <c r="F1959" s="405" t="str">
        <f>IFERROR(VLOOKUP(A1959,[3]DOORSCRIEFT!$A$2:$G$6834,7,FALSE),"")</f>
        <v/>
      </c>
      <c r="G1959" s="315"/>
    </row>
    <row r="1960" spans="1:7" x14ac:dyDescent="0.25">
      <c r="A1960" s="321" t="str">
        <f t="shared" si="66"/>
        <v>II.3.1.4.06.0028</v>
      </c>
      <c r="B1960" s="321">
        <v>8</v>
      </c>
      <c r="C1960" s="339" t="str">
        <f>IFERROR(VLOOKUP(A1960,[3]DOORSCRIEFT!$A$2:$G$6834,2,FALSE),"")</f>
        <v/>
      </c>
      <c r="D1960" s="481" t="str">
        <f>IFERROR(VLOOKUP(A1960,[3]DOORSCRIEFT!$A$2:$G$6834,3,FALSE),"")</f>
        <v/>
      </c>
      <c r="E1960" s="480" t="str">
        <f>IFERROR(VLOOKUP(A1960,[3]DOORSCRIEFT!$A$2:$G$6834,4,FALSE),"")</f>
        <v/>
      </c>
      <c r="F1960" s="405" t="str">
        <f>IFERROR(VLOOKUP(A1960,[3]DOORSCRIEFT!$A$2:$G$6834,7,FALSE),"")</f>
        <v/>
      </c>
      <c r="G1960" s="315"/>
    </row>
    <row r="1961" spans="1:7" x14ac:dyDescent="0.25">
      <c r="A1961" s="321" t="str">
        <f t="shared" si="66"/>
        <v>II.3.1.4.06.0029</v>
      </c>
      <c r="B1961" s="321">
        <v>9</v>
      </c>
      <c r="C1961" s="339" t="str">
        <f>IFERROR(VLOOKUP(A1961,[3]DOORSCRIEFT!$A$2:$G$6834,2,FALSE),"")</f>
        <v/>
      </c>
      <c r="D1961" s="481" t="str">
        <f>IFERROR(VLOOKUP(A1961,[3]DOORSCRIEFT!$A$2:$G$6834,3,FALSE),"")</f>
        <v/>
      </c>
      <c r="E1961" s="480" t="str">
        <f>IFERROR(VLOOKUP(A1961,[3]DOORSCRIEFT!$A$2:$G$6834,4,FALSE),"")</f>
        <v/>
      </c>
      <c r="F1961" s="405" t="str">
        <f>IFERROR(VLOOKUP(A1961,[3]DOORSCRIEFT!$A$2:$G$6834,7,FALSE),"")</f>
        <v/>
      </c>
      <c r="G1961" s="315"/>
    </row>
    <row r="1962" spans="1:7" x14ac:dyDescent="0.25">
      <c r="A1962" s="321" t="str">
        <f t="shared" si="66"/>
        <v>II.3.1.4.06.00210</v>
      </c>
      <c r="B1962" s="321">
        <v>10</v>
      </c>
      <c r="C1962" s="339" t="str">
        <f>IFERROR(VLOOKUP(A1962,[3]DOORSCRIEFT!$A$2:$G$6834,2,FALSE),"")</f>
        <v/>
      </c>
      <c r="D1962" s="481" t="str">
        <f>IFERROR(VLOOKUP(A1962,[3]DOORSCRIEFT!$A$2:$G$6834,3,FALSE),"")</f>
        <v/>
      </c>
      <c r="E1962" s="480" t="str">
        <f>IFERROR(VLOOKUP(A1962,[3]DOORSCRIEFT!$A$2:$G$6834,4,FALSE),"")</f>
        <v/>
      </c>
      <c r="F1962" s="405" t="str">
        <f>IFERROR(VLOOKUP(A1962,[3]DOORSCRIEFT!$A$2:$G$6834,7,FALSE),"")</f>
        <v/>
      </c>
      <c r="G1962" s="315"/>
    </row>
    <row r="1963" spans="1:7" x14ac:dyDescent="0.25">
      <c r="A1963" s="321" t="str">
        <f t="shared" si="66"/>
        <v>II.3.1.4.06.00211</v>
      </c>
      <c r="B1963" s="321">
        <v>11</v>
      </c>
      <c r="C1963" s="339" t="str">
        <f>IFERROR(VLOOKUP(A1963,[3]DOORSCRIEFT!$A$2:$G$6834,2,FALSE),"")</f>
        <v/>
      </c>
      <c r="D1963" s="481" t="str">
        <f>IFERROR(VLOOKUP(A1963,[3]DOORSCRIEFT!$A$2:$G$6834,3,FALSE),"")</f>
        <v/>
      </c>
      <c r="E1963" s="480" t="str">
        <f>IFERROR(VLOOKUP(A1963,[3]DOORSCRIEFT!$A$2:$G$6834,4,FALSE),"")</f>
        <v/>
      </c>
      <c r="F1963" s="405" t="str">
        <f>IFERROR(VLOOKUP(A1963,[3]DOORSCRIEFT!$A$2:$G$6834,7,FALSE),"")</f>
        <v/>
      </c>
      <c r="G1963" s="315"/>
    </row>
    <row r="1964" spans="1:7" x14ac:dyDescent="0.25">
      <c r="A1964" s="321" t="str">
        <f t="shared" si="66"/>
        <v>II.3.1.4.06.00212</v>
      </c>
      <c r="B1964" s="321">
        <v>12</v>
      </c>
      <c r="C1964" s="339" t="str">
        <f>IFERROR(VLOOKUP(A1964,[3]DOORSCRIEFT!$A$2:$G$6834,2,FALSE),"")</f>
        <v/>
      </c>
      <c r="D1964" s="481" t="str">
        <f>IFERROR(VLOOKUP(A1964,[3]DOORSCRIEFT!$A$2:$G$6834,3,FALSE),"")</f>
        <v/>
      </c>
      <c r="E1964" s="480" t="str">
        <f>IFERROR(VLOOKUP(A1964,[3]DOORSCRIEFT!$A$2:$G$6834,4,FALSE),"")</f>
        <v/>
      </c>
      <c r="F1964" s="405" t="str">
        <f>IFERROR(VLOOKUP(A1964,[3]DOORSCRIEFT!$A$2:$G$6834,7,FALSE),"")</f>
        <v/>
      </c>
      <c r="G1964" s="315"/>
    </row>
    <row r="1965" spans="1:7" x14ac:dyDescent="0.25">
      <c r="A1965" s="321" t="str">
        <f t="shared" si="66"/>
        <v>II.3.1.4.06.00213</v>
      </c>
      <c r="B1965" s="321">
        <v>13</v>
      </c>
      <c r="C1965" s="339" t="str">
        <f>IFERROR(VLOOKUP(A1965,[3]DOORSCRIEFT!$A$2:$G$6834,2,FALSE),"")</f>
        <v/>
      </c>
      <c r="D1965" s="481" t="str">
        <f>IFERROR(VLOOKUP(A1965,[3]DOORSCRIEFT!$A$2:$G$6834,3,FALSE),"")</f>
        <v/>
      </c>
      <c r="E1965" s="480" t="str">
        <f>IFERROR(VLOOKUP(A1965,[3]DOORSCRIEFT!$A$2:$G$6834,4,FALSE),"")</f>
        <v/>
      </c>
      <c r="F1965" s="405" t="str">
        <f>IFERROR(VLOOKUP(A1965,[3]DOORSCRIEFT!$A$2:$G$6834,7,FALSE),"")</f>
        <v/>
      </c>
      <c r="G1965" s="315"/>
    </row>
    <row r="1966" spans="1:7" x14ac:dyDescent="0.25">
      <c r="A1966" s="321" t="str">
        <f t="shared" si="66"/>
        <v>II.3.1.4.06.00214</v>
      </c>
      <c r="B1966" s="321">
        <v>14</v>
      </c>
      <c r="C1966" s="339" t="str">
        <f>IFERROR(VLOOKUP(A1966,[3]DOORSCRIEFT!$A$2:$G$6834,2,FALSE),"")</f>
        <v/>
      </c>
      <c r="D1966" s="481" t="str">
        <f>IFERROR(VLOOKUP(A1966,[3]DOORSCRIEFT!$A$2:$G$6834,3,FALSE),"")</f>
        <v/>
      </c>
      <c r="E1966" s="480" t="str">
        <f>IFERROR(VLOOKUP(A1966,[3]DOORSCRIEFT!$A$2:$G$6834,4,FALSE),"")</f>
        <v/>
      </c>
      <c r="F1966" s="405" t="str">
        <f>IFERROR(VLOOKUP(A1966,[3]DOORSCRIEFT!$A$2:$G$6834,7,FALSE),"")</f>
        <v/>
      </c>
      <c r="G1966" s="315"/>
    </row>
    <row r="1967" spans="1:7" ht="15.75" thickBot="1" x14ac:dyDescent="0.3">
      <c r="A1967" s="342" t="str">
        <f t="shared" si="66"/>
        <v>II.3.1.4.06.00215</v>
      </c>
      <c r="B1967" s="342">
        <v>15</v>
      </c>
      <c r="C1967" s="339" t="str">
        <f>IFERROR(VLOOKUP(A1967,[3]DOORSCRIEFT!$A$2:$G$6834,2,FALSE),"")</f>
        <v/>
      </c>
      <c r="D1967" s="481" t="str">
        <f>IFERROR(VLOOKUP(A1967,[3]DOORSCRIEFT!$A$2:$G$6834,3,FALSE),"")</f>
        <v/>
      </c>
      <c r="E1967" s="480" t="str">
        <f>IFERROR(VLOOKUP(A1967,[3]DOORSCRIEFT!$A$2:$G$6834,4,FALSE),"")</f>
        <v/>
      </c>
      <c r="F1967" s="405" t="str">
        <f>IFERROR(VLOOKUP(A1967,[3]DOORSCRIEFT!$A$2:$G$6834,7,FALSE),"")</f>
        <v/>
      </c>
      <c r="G1967" s="315"/>
    </row>
    <row r="1968" spans="1:7" ht="15.75" thickBot="1" x14ac:dyDescent="0.3">
      <c r="A1968" s="341"/>
      <c r="B1968" s="340"/>
      <c r="C1968" s="336"/>
      <c r="D1968" s="486"/>
      <c r="E1968" s="340" t="s">
        <v>644</v>
      </c>
      <c r="F1968" s="310">
        <f>SUM(F1953:F1967)</f>
        <v>0</v>
      </c>
      <c r="G1968" s="309">
        <f>SUM(G1953:G1967)</f>
        <v>0</v>
      </c>
    </row>
    <row r="1969" spans="1:7" x14ac:dyDescent="0.25">
      <c r="C1969" s="335"/>
      <c r="D1969" s="485"/>
    </row>
    <row r="1970" spans="1:7" x14ac:dyDescent="0.25">
      <c r="C1970" s="335"/>
      <c r="D1970" s="485"/>
    </row>
    <row r="1971" spans="1:7" ht="15.75" x14ac:dyDescent="0.25">
      <c r="C1971" s="334" t="s">
        <v>663</v>
      </c>
      <c r="D1971" s="484"/>
      <c r="E1971" s="333"/>
      <c r="F1971" s="327" t="s">
        <v>607</v>
      </c>
      <c r="G1971" s="327" t="s">
        <v>82</v>
      </c>
    </row>
    <row r="1972" spans="1:7" ht="15.75" x14ac:dyDescent="0.25">
      <c r="C1972" s="334"/>
      <c r="D1972" s="484"/>
      <c r="E1972" s="333"/>
      <c r="F1972" s="327" t="s">
        <v>601</v>
      </c>
      <c r="G1972" s="327" t="s">
        <v>81</v>
      </c>
    </row>
    <row r="1973" spans="1:7" x14ac:dyDescent="0.25">
      <c r="C1973" s="330"/>
      <c r="D1973" s="482"/>
      <c r="E1973" s="329"/>
      <c r="F1973" s="327" t="s">
        <v>651</v>
      </c>
      <c r="G1973" s="331">
        <f>[2]Sheet1!$D$535</f>
        <v>0</v>
      </c>
    </row>
    <row r="1974" spans="1:7" ht="15.75" thickBot="1" x14ac:dyDescent="0.3">
      <c r="C1974" s="330"/>
      <c r="D1974" s="482"/>
      <c r="E1974" s="329"/>
      <c r="F1974" s="327" t="s">
        <v>650</v>
      </c>
      <c r="G1974" s="326">
        <f>+F1993-G1973</f>
        <v>0</v>
      </c>
    </row>
    <row r="1975" spans="1:7" x14ac:dyDescent="0.25">
      <c r="A1975" s="571" t="s">
        <v>655</v>
      </c>
      <c r="B1975" s="573" t="s">
        <v>606</v>
      </c>
      <c r="C1975" s="588" t="s">
        <v>649</v>
      </c>
      <c r="D1975" s="599" t="s">
        <v>648</v>
      </c>
      <c r="E1975" s="577" t="s">
        <v>647</v>
      </c>
      <c r="F1975" s="577" t="s">
        <v>646</v>
      </c>
      <c r="G1975" s="580" t="s">
        <v>645</v>
      </c>
    </row>
    <row r="1976" spans="1:7" ht="15.75" thickBot="1" x14ac:dyDescent="0.3">
      <c r="A1976" s="572"/>
      <c r="B1976" s="574"/>
      <c r="C1976" s="589"/>
      <c r="D1976" s="600"/>
      <c r="E1976" s="578"/>
      <c r="F1976" s="578"/>
      <c r="G1976" s="581"/>
    </row>
    <row r="1977" spans="1:7" ht="15.75" thickBot="1" x14ac:dyDescent="0.3">
      <c r="A1977" s="425">
        <v>1</v>
      </c>
      <c r="B1977" s="425">
        <v>2</v>
      </c>
      <c r="C1977" s="425">
        <v>3</v>
      </c>
      <c r="D1977" s="425">
        <v>4</v>
      </c>
      <c r="E1977" s="425">
        <v>5</v>
      </c>
      <c r="F1977" s="425">
        <v>6</v>
      </c>
      <c r="G1977" s="425">
        <v>7</v>
      </c>
    </row>
    <row r="1978" spans="1:7" x14ac:dyDescent="0.25">
      <c r="A1978" s="320" t="str">
        <f t="shared" ref="A1978:A1992" si="67">$G$1971&amp;B1978</f>
        <v>II.3.1.4.06.0031</v>
      </c>
      <c r="B1978" s="320">
        <v>1</v>
      </c>
      <c r="C1978" s="339" t="str">
        <f>IFERROR(VLOOKUP(A1978,[3]DOORSCRIEFT!$A$2:$G$6834,2,FALSE),"")</f>
        <v/>
      </c>
      <c r="D1978" s="481" t="str">
        <f>IFERROR(VLOOKUP(A1978,[3]DOORSCRIEFT!$A$2:$G$6834,3,FALSE),"")</f>
        <v/>
      </c>
      <c r="E1978" s="480" t="str">
        <f>IFERROR(VLOOKUP(A1978,[3]DOORSCRIEFT!$A$2:$G$6834,4,FALSE),"")</f>
        <v/>
      </c>
      <c r="F1978" s="405" t="str">
        <f>IFERROR(VLOOKUP(A1978,[3]DOORSCRIEFT!$A$2:$G$6834,7,FALSE),"")</f>
        <v/>
      </c>
      <c r="G1978" s="322"/>
    </row>
    <row r="1979" spans="1:7" x14ac:dyDescent="0.25">
      <c r="A1979" s="321" t="str">
        <f t="shared" si="67"/>
        <v>II.3.1.4.06.0032</v>
      </c>
      <c r="B1979" s="321">
        <v>2</v>
      </c>
      <c r="C1979" s="339" t="str">
        <f>IFERROR(VLOOKUP(A1979,[3]DOORSCRIEFT!$A$2:$G$6834,2,FALSE),"")</f>
        <v/>
      </c>
      <c r="D1979" s="481" t="str">
        <f>IFERROR(VLOOKUP(A1979,[3]DOORSCRIEFT!$A$2:$G$6834,3,FALSE),"")</f>
        <v/>
      </c>
      <c r="E1979" s="480" t="str">
        <f>IFERROR(VLOOKUP(A1979,[3]DOORSCRIEFT!$A$2:$G$6834,4,FALSE),"")</f>
        <v/>
      </c>
      <c r="F1979" s="405" t="str">
        <f>IFERROR(VLOOKUP(A1979,[3]DOORSCRIEFT!$A$2:$G$6834,7,FALSE),"")</f>
        <v/>
      </c>
      <c r="G1979" s="315"/>
    </row>
    <row r="1980" spans="1:7" x14ac:dyDescent="0.25">
      <c r="A1980" s="321" t="str">
        <f t="shared" si="67"/>
        <v>II.3.1.4.06.0033</v>
      </c>
      <c r="B1980" s="321">
        <v>3</v>
      </c>
      <c r="C1980" s="339" t="str">
        <f>IFERROR(VLOOKUP(A1980,[3]DOORSCRIEFT!$A$2:$G$6834,2,FALSE),"")</f>
        <v/>
      </c>
      <c r="D1980" s="481" t="str">
        <f>IFERROR(VLOOKUP(A1980,[3]DOORSCRIEFT!$A$2:$G$6834,3,FALSE),"")</f>
        <v/>
      </c>
      <c r="E1980" s="480" t="str">
        <f>IFERROR(VLOOKUP(A1980,[3]DOORSCRIEFT!$A$2:$G$6834,4,FALSE),"")</f>
        <v/>
      </c>
      <c r="F1980" s="405" t="str">
        <f>IFERROR(VLOOKUP(A1980,[3]DOORSCRIEFT!$A$2:$G$6834,7,FALSE),"")</f>
        <v/>
      </c>
      <c r="G1980" s="315"/>
    </row>
    <row r="1981" spans="1:7" x14ac:dyDescent="0.25">
      <c r="A1981" s="321" t="str">
        <f t="shared" si="67"/>
        <v>II.3.1.4.06.0034</v>
      </c>
      <c r="B1981" s="321">
        <v>4</v>
      </c>
      <c r="C1981" s="339" t="str">
        <f>IFERROR(VLOOKUP(A1981,[3]DOORSCRIEFT!$A$2:$G$6834,2,FALSE),"")</f>
        <v/>
      </c>
      <c r="D1981" s="481" t="str">
        <f>IFERROR(VLOOKUP(A1981,[3]DOORSCRIEFT!$A$2:$G$6834,3,FALSE),"")</f>
        <v/>
      </c>
      <c r="E1981" s="480" t="str">
        <f>IFERROR(VLOOKUP(A1981,[3]DOORSCRIEFT!$A$2:$G$6834,4,FALSE),"")</f>
        <v/>
      </c>
      <c r="F1981" s="405" t="str">
        <f>IFERROR(VLOOKUP(A1981,[3]DOORSCRIEFT!$A$2:$G$6834,7,FALSE),"")</f>
        <v/>
      </c>
      <c r="G1981" s="315"/>
    </row>
    <row r="1982" spans="1:7" x14ac:dyDescent="0.25">
      <c r="A1982" s="321" t="str">
        <f t="shared" si="67"/>
        <v>II.3.1.4.06.0035</v>
      </c>
      <c r="B1982" s="321">
        <v>5</v>
      </c>
      <c r="C1982" s="339" t="str">
        <f>IFERROR(VLOOKUP(A1982,[3]DOORSCRIEFT!$A$2:$G$6834,2,FALSE),"")</f>
        <v/>
      </c>
      <c r="D1982" s="481" t="str">
        <f>IFERROR(VLOOKUP(A1982,[3]DOORSCRIEFT!$A$2:$G$6834,3,FALSE),"")</f>
        <v/>
      </c>
      <c r="E1982" s="480" t="str">
        <f>IFERROR(VLOOKUP(A1982,[3]DOORSCRIEFT!$A$2:$G$6834,4,FALSE),"")</f>
        <v/>
      </c>
      <c r="F1982" s="405" t="str">
        <f>IFERROR(VLOOKUP(A1982,[3]DOORSCRIEFT!$A$2:$G$6834,7,FALSE),"")</f>
        <v/>
      </c>
      <c r="G1982" s="315"/>
    </row>
    <row r="1983" spans="1:7" x14ac:dyDescent="0.25">
      <c r="A1983" s="321" t="str">
        <f t="shared" si="67"/>
        <v>II.3.1.4.06.0036</v>
      </c>
      <c r="B1983" s="321">
        <v>6</v>
      </c>
      <c r="C1983" s="339" t="str">
        <f>IFERROR(VLOOKUP(A1983,[3]DOORSCRIEFT!$A$2:$G$6834,2,FALSE),"")</f>
        <v/>
      </c>
      <c r="D1983" s="481" t="str">
        <f>IFERROR(VLOOKUP(A1983,[3]DOORSCRIEFT!$A$2:$G$6834,3,FALSE),"")</f>
        <v/>
      </c>
      <c r="E1983" s="480" t="str">
        <f>IFERROR(VLOOKUP(A1983,[3]DOORSCRIEFT!$A$2:$G$6834,4,FALSE),"")</f>
        <v/>
      </c>
      <c r="F1983" s="405" t="str">
        <f>IFERROR(VLOOKUP(A1983,[3]DOORSCRIEFT!$A$2:$G$6834,7,FALSE),"")</f>
        <v/>
      </c>
      <c r="G1983" s="315"/>
    </row>
    <row r="1984" spans="1:7" x14ac:dyDescent="0.25">
      <c r="A1984" s="321" t="str">
        <f t="shared" si="67"/>
        <v>II.3.1.4.06.0037</v>
      </c>
      <c r="B1984" s="321">
        <v>7</v>
      </c>
      <c r="C1984" s="339" t="str">
        <f>IFERROR(VLOOKUP(A1984,[3]DOORSCRIEFT!$A$2:$G$6834,2,FALSE),"")</f>
        <v/>
      </c>
      <c r="D1984" s="481" t="str">
        <f>IFERROR(VLOOKUP(A1984,[3]DOORSCRIEFT!$A$2:$G$6834,3,FALSE),"")</f>
        <v/>
      </c>
      <c r="E1984" s="480" t="str">
        <f>IFERROR(VLOOKUP(A1984,[3]DOORSCRIEFT!$A$2:$G$6834,4,FALSE),"")</f>
        <v/>
      </c>
      <c r="F1984" s="405" t="str">
        <f>IFERROR(VLOOKUP(A1984,[3]DOORSCRIEFT!$A$2:$G$6834,7,FALSE),"")</f>
        <v/>
      </c>
      <c r="G1984" s="315"/>
    </row>
    <row r="1985" spans="1:7" x14ac:dyDescent="0.25">
      <c r="A1985" s="321" t="str">
        <f t="shared" si="67"/>
        <v>II.3.1.4.06.0038</v>
      </c>
      <c r="B1985" s="321">
        <v>8</v>
      </c>
      <c r="C1985" s="339" t="str">
        <f>IFERROR(VLOOKUP(A1985,[3]DOORSCRIEFT!$A$2:$G$6834,2,FALSE),"")</f>
        <v/>
      </c>
      <c r="D1985" s="481" t="str">
        <f>IFERROR(VLOOKUP(A1985,[3]DOORSCRIEFT!$A$2:$G$6834,3,FALSE),"")</f>
        <v/>
      </c>
      <c r="E1985" s="480" t="str">
        <f>IFERROR(VLOOKUP(A1985,[3]DOORSCRIEFT!$A$2:$G$6834,4,FALSE),"")</f>
        <v/>
      </c>
      <c r="F1985" s="405" t="str">
        <f>IFERROR(VLOOKUP(A1985,[3]DOORSCRIEFT!$A$2:$G$6834,7,FALSE),"")</f>
        <v/>
      </c>
      <c r="G1985" s="315"/>
    </row>
    <row r="1986" spans="1:7" x14ac:dyDescent="0.25">
      <c r="A1986" s="321" t="str">
        <f t="shared" si="67"/>
        <v>II.3.1.4.06.0039</v>
      </c>
      <c r="B1986" s="321">
        <v>9</v>
      </c>
      <c r="C1986" s="339" t="str">
        <f>IFERROR(VLOOKUP(A1986,[3]DOORSCRIEFT!$A$2:$G$6834,2,FALSE),"")</f>
        <v/>
      </c>
      <c r="D1986" s="481" t="str">
        <f>IFERROR(VLOOKUP(A1986,[3]DOORSCRIEFT!$A$2:$G$6834,3,FALSE),"")</f>
        <v/>
      </c>
      <c r="E1986" s="480" t="str">
        <f>IFERROR(VLOOKUP(A1986,[3]DOORSCRIEFT!$A$2:$G$6834,4,FALSE),"")</f>
        <v/>
      </c>
      <c r="F1986" s="405" t="str">
        <f>IFERROR(VLOOKUP(A1986,[3]DOORSCRIEFT!$A$2:$G$6834,7,FALSE),"")</f>
        <v/>
      </c>
      <c r="G1986" s="315"/>
    </row>
    <row r="1987" spans="1:7" x14ac:dyDescent="0.25">
      <c r="A1987" s="321" t="str">
        <f t="shared" si="67"/>
        <v>II.3.1.4.06.00310</v>
      </c>
      <c r="B1987" s="321">
        <v>10</v>
      </c>
      <c r="C1987" s="339" t="str">
        <f>IFERROR(VLOOKUP(A1987,[3]DOORSCRIEFT!$A$2:$G$6834,2,FALSE),"")</f>
        <v/>
      </c>
      <c r="D1987" s="481" t="str">
        <f>IFERROR(VLOOKUP(A1987,[3]DOORSCRIEFT!$A$2:$G$6834,3,FALSE),"")</f>
        <v/>
      </c>
      <c r="E1987" s="480" t="str">
        <f>IFERROR(VLOOKUP(A1987,[3]DOORSCRIEFT!$A$2:$G$6834,4,FALSE),"")</f>
        <v/>
      </c>
      <c r="F1987" s="405" t="str">
        <f>IFERROR(VLOOKUP(A1987,[3]DOORSCRIEFT!$A$2:$G$6834,7,FALSE),"")</f>
        <v/>
      </c>
      <c r="G1987" s="315"/>
    </row>
    <row r="1988" spans="1:7" x14ac:dyDescent="0.25">
      <c r="A1988" s="321" t="str">
        <f t="shared" si="67"/>
        <v>II.3.1.4.06.00311</v>
      </c>
      <c r="B1988" s="321">
        <v>11</v>
      </c>
      <c r="C1988" s="339" t="str">
        <f>IFERROR(VLOOKUP(A1988,[3]DOORSCRIEFT!$A$2:$G$6834,2,FALSE),"")</f>
        <v/>
      </c>
      <c r="D1988" s="481" t="str">
        <f>IFERROR(VLOOKUP(A1988,[3]DOORSCRIEFT!$A$2:$G$6834,3,FALSE),"")</f>
        <v/>
      </c>
      <c r="E1988" s="480" t="str">
        <f>IFERROR(VLOOKUP(A1988,[3]DOORSCRIEFT!$A$2:$G$6834,4,FALSE),"")</f>
        <v/>
      </c>
      <c r="F1988" s="405" t="str">
        <f>IFERROR(VLOOKUP(A1988,[3]DOORSCRIEFT!$A$2:$G$6834,7,FALSE),"")</f>
        <v/>
      </c>
      <c r="G1988" s="315"/>
    </row>
    <row r="1989" spans="1:7" x14ac:dyDescent="0.25">
      <c r="A1989" s="321" t="str">
        <f t="shared" si="67"/>
        <v>II.3.1.4.06.00312</v>
      </c>
      <c r="B1989" s="321">
        <v>12</v>
      </c>
      <c r="C1989" s="339" t="str">
        <f>IFERROR(VLOOKUP(A1989,[3]DOORSCRIEFT!$A$2:$G$6834,2,FALSE),"")</f>
        <v/>
      </c>
      <c r="D1989" s="481" t="str">
        <f>IFERROR(VLOOKUP(A1989,[3]DOORSCRIEFT!$A$2:$G$6834,3,FALSE),"")</f>
        <v/>
      </c>
      <c r="E1989" s="480" t="str">
        <f>IFERROR(VLOOKUP(A1989,[3]DOORSCRIEFT!$A$2:$G$6834,4,FALSE),"")</f>
        <v/>
      </c>
      <c r="F1989" s="405" t="str">
        <f>IFERROR(VLOOKUP(A1989,[3]DOORSCRIEFT!$A$2:$G$6834,7,FALSE),"")</f>
        <v/>
      </c>
      <c r="G1989" s="315"/>
    </row>
    <row r="1990" spans="1:7" x14ac:dyDescent="0.25">
      <c r="A1990" s="321" t="str">
        <f t="shared" si="67"/>
        <v>II.3.1.4.06.00313</v>
      </c>
      <c r="B1990" s="321">
        <v>13</v>
      </c>
      <c r="C1990" s="339" t="str">
        <f>IFERROR(VLOOKUP(A1990,[3]DOORSCRIEFT!$A$2:$G$6834,2,FALSE),"")</f>
        <v/>
      </c>
      <c r="D1990" s="481" t="str">
        <f>IFERROR(VLOOKUP(A1990,[3]DOORSCRIEFT!$A$2:$G$6834,3,FALSE),"")</f>
        <v/>
      </c>
      <c r="E1990" s="480" t="str">
        <f>IFERROR(VLOOKUP(A1990,[3]DOORSCRIEFT!$A$2:$G$6834,4,FALSE),"")</f>
        <v/>
      </c>
      <c r="F1990" s="405" t="str">
        <f>IFERROR(VLOOKUP(A1990,[3]DOORSCRIEFT!$A$2:$G$6834,7,FALSE),"")</f>
        <v/>
      </c>
      <c r="G1990" s="315"/>
    </row>
    <row r="1991" spans="1:7" x14ac:dyDescent="0.25">
      <c r="A1991" s="321" t="str">
        <f t="shared" si="67"/>
        <v>II.3.1.4.06.00314</v>
      </c>
      <c r="B1991" s="321">
        <v>14</v>
      </c>
      <c r="C1991" s="339" t="str">
        <f>IFERROR(VLOOKUP(A1991,[3]DOORSCRIEFT!$A$2:$G$6834,2,FALSE),"")</f>
        <v/>
      </c>
      <c r="D1991" s="481" t="str">
        <f>IFERROR(VLOOKUP(A1991,[3]DOORSCRIEFT!$A$2:$G$6834,3,FALSE),"")</f>
        <v/>
      </c>
      <c r="E1991" s="480" t="str">
        <f>IFERROR(VLOOKUP(A1991,[3]DOORSCRIEFT!$A$2:$G$6834,4,FALSE),"")</f>
        <v/>
      </c>
      <c r="F1991" s="405" t="str">
        <f>IFERROR(VLOOKUP(A1991,[3]DOORSCRIEFT!$A$2:$G$6834,7,FALSE),"")</f>
        <v/>
      </c>
      <c r="G1991" s="315"/>
    </row>
    <row r="1992" spans="1:7" ht="15.75" thickBot="1" x14ac:dyDescent="0.3">
      <c r="A1992" s="342" t="str">
        <f t="shared" si="67"/>
        <v>II.3.1.4.06.00315</v>
      </c>
      <c r="B1992" s="342">
        <v>15</v>
      </c>
      <c r="C1992" s="339" t="str">
        <f>IFERROR(VLOOKUP(A1992,[3]DOORSCRIEFT!$A$2:$G$6834,2,FALSE),"")</f>
        <v/>
      </c>
      <c r="D1992" s="481" t="str">
        <f>IFERROR(VLOOKUP(A1992,[3]DOORSCRIEFT!$A$2:$G$6834,3,FALSE),"")</f>
        <v/>
      </c>
      <c r="E1992" s="480" t="str">
        <f>IFERROR(VLOOKUP(A1992,[3]DOORSCRIEFT!$A$2:$G$6834,4,FALSE),"")</f>
        <v/>
      </c>
      <c r="F1992" s="405" t="str">
        <f>IFERROR(VLOOKUP(A1992,[3]DOORSCRIEFT!$A$2:$G$6834,7,FALSE),"")</f>
        <v/>
      </c>
      <c r="G1992" s="315"/>
    </row>
    <row r="1993" spans="1:7" ht="15.75" thickBot="1" x14ac:dyDescent="0.3">
      <c r="A1993" s="341"/>
      <c r="B1993" s="340"/>
      <c r="C1993" s="336"/>
      <c r="D1993" s="486"/>
      <c r="E1993" s="340" t="s">
        <v>644</v>
      </c>
      <c r="F1993" s="310">
        <f>SUM(F1978:F1992)</f>
        <v>0</v>
      </c>
      <c r="G1993" s="309">
        <f>SUM(G1978:G1992)</f>
        <v>0</v>
      </c>
    </row>
    <row r="1994" spans="1:7" x14ac:dyDescent="0.25">
      <c r="C1994" s="335"/>
      <c r="D1994" s="485"/>
    </row>
    <row r="1995" spans="1:7" x14ac:dyDescent="0.25">
      <c r="C1995" s="335"/>
      <c r="D1995" s="485"/>
    </row>
    <row r="1996" spans="1:7" ht="15.75" x14ac:dyDescent="0.25">
      <c r="C1996" s="334" t="s">
        <v>663</v>
      </c>
      <c r="D1996" s="484"/>
      <c r="E1996" s="333"/>
      <c r="F1996" s="327" t="s">
        <v>607</v>
      </c>
      <c r="G1996" s="327" t="s">
        <v>78</v>
      </c>
    </row>
    <row r="1997" spans="1:7" ht="15.75" x14ac:dyDescent="0.25">
      <c r="C1997" s="334"/>
      <c r="D1997" s="484"/>
      <c r="E1997" s="333"/>
      <c r="F1997" s="327" t="s">
        <v>601</v>
      </c>
      <c r="G1997" s="327" t="s">
        <v>77</v>
      </c>
    </row>
    <row r="1998" spans="1:7" x14ac:dyDescent="0.25">
      <c r="C1998" s="330"/>
      <c r="D1998" s="482"/>
      <c r="E1998" s="329"/>
      <c r="F1998" s="327" t="s">
        <v>651</v>
      </c>
      <c r="G1998" s="331">
        <f>[2]Sheet1!$D$537</f>
        <v>0</v>
      </c>
    </row>
    <row r="1999" spans="1:7" ht="15.75" thickBot="1" x14ac:dyDescent="0.3">
      <c r="C1999" s="330"/>
      <c r="D1999" s="482"/>
      <c r="E1999" s="329"/>
      <c r="F1999" s="327" t="s">
        <v>650</v>
      </c>
      <c r="G1999" s="326">
        <f>+F2018-G1998</f>
        <v>0</v>
      </c>
    </row>
    <row r="2000" spans="1:7" x14ac:dyDescent="0.25">
      <c r="A2000" s="571" t="s">
        <v>655</v>
      </c>
      <c r="B2000" s="573" t="s">
        <v>606</v>
      </c>
      <c r="C2000" s="588" t="s">
        <v>649</v>
      </c>
      <c r="D2000" s="599" t="s">
        <v>648</v>
      </c>
      <c r="E2000" s="577" t="s">
        <v>647</v>
      </c>
      <c r="F2000" s="577" t="s">
        <v>646</v>
      </c>
      <c r="G2000" s="580" t="s">
        <v>645</v>
      </c>
    </row>
    <row r="2001" spans="1:7" ht="15.75" thickBot="1" x14ac:dyDescent="0.3">
      <c r="A2001" s="572"/>
      <c r="B2001" s="574"/>
      <c r="C2001" s="589"/>
      <c r="D2001" s="600"/>
      <c r="E2001" s="578"/>
      <c r="F2001" s="578"/>
      <c r="G2001" s="581"/>
    </row>
    <row r="2002" spans="1:7" ht="15.75" thickBot="1" x14ac:dyDescent="0.3">
      <c r="A2002" s="425">
        <v>1</v>
      </c>
      <c r="B2002" s="425">
        <v>2</v>
      </c>
      <c r="C2002" s="425">
        <v>3</v>
      </c>
      <c r="D2002" s="425">
        <v>4</v>
      </c>
      <c r="E2002" s="425">
        <v>5</v>
      </c>
      <c r="F2002" s="425">
        <v>6</v>
      </c>
      <c r="G2002" s="425">
        <v>7</v>
      </c>
    </row>
    <row r="2003" spans="1:7" x14ac:dyDescent="0.25">
      <c r="A2003" s="320" t="str">
        <f t="shared" ref="A2003:A2017" si="68">$G$1996&amp;B2003</f>
        <v>II.3.1.4.07.0011</v>
      </c>
      <c r="B2003" s="320">
        <v>1</v>
      </c>
      <c r="C2003" s="339" t="str">
        <f>IFERROR(VLOOKUP(A2003,[3]DOORSCRIEFT!$A$2:$G$6834,2,FALSE),"")</f>
        <v/>
      </c>
      <c r="D2003" s="481" t="str">
        <f>IFERROR(VLOOKUP(A2003,[3]DOORSCRIEFT!$A$2:$G$6834,3,FALSE),"")</f>
        <v/>
      </c>
      <c r="E2003" s="480" t="str">
        <f>IFERROR(VLOOKUP(A2003,[3]DOORSCRIEFT!$A$2:$G$6834,4,FALSE),"")</f>
        <v/>
      </c>
      <c r="F2003" s="405" t="str">
        <f>IFERROR(VLOOKUP(A2003,[3]DOORSCRIEFT!$A$2:$G$6834,7,FALSE),"")</f>
        <v/>
      </c>
      <c r="G2003" s="322"/>
    </row>
    <row r="2004" spans="1:7" x14ac:dyDescent="0.25">
      <c r="A2004" s="321" t="str">
        <f t="shared" si="68"/>
        <v>II.3.1.4.07.0012</v>
      </c>
      <c r="B2004" s="321">
        <v>2</v>
      </c>
      <c r="C2004" s="339" t="str">
        <f>IFERROR(VLOOKUP(A2004,[3]DOORSCRIEFT!$A$2:$G$6834,2,FALSE),"")</f>
        <v/>
      </c>
      <c r="D2004" s="481" t="str">
        <f>IFERROR(VLOOKUP(A2004,[3]DOORSCRIEFT!$A$2:$G$6834,3,FALSE),"")</f>
        <v/>
      </c>
      <c r="E2004" s="480" t="str">
        <f>IFERROR(VLOOKUP(A2004,[3]DOORSCRIEFT!$A$2:$G$6834,4,FALSE),"")</f>
        <v/>
      </c>
      <c r="F2004" s="405" t="str">
        <f>IFERROR(VLOOKUP(A2004,[3]DOORSCRIEFT!$A$2:$G$6834,7,FALSE),"")</f>
        <v/>
      </c>
      <c r="G2004" s="315"/>
    </row>
    <row r="2005" spans="1:7" x14ac:dyDescent="0.25">
      <c r="A2005" s="321" t="str">
        <f t="shared" si="68"/>
        <v>II.3.1.4.07.0013</v>
      </c>
      <c r="B2005" s="321">
        <v>3</v>
      </c>
      <c r="C2005" s="339" t="str">
        <f>IFERROR(VLOOKUP(A2005,[3]DOORSCRIEFT!$A$2:$G$6834,2,FALSE),"")</f>
        <v/>
      </c>
      <c r="D2005" s="481" t="str">
        <f>IFERROR(VLOOKUP(A2005,[3]DOORSCRIEFT!$A$2:$G$6834,3,FALSE),"")</f>
        <v/>
      </c>
      <c r="E2005" s="480" t="str">
        <f>IFERROR(VLOOKUP(A2005,[3]DOORSCRIEFT!$A$2:$G$6834,4,FALSE),"")</f>
        <v/>
      </c>
      <c r="F2005" s="405" t="str">
        <f>IFERROR(VLOOKUP(A2005,[3]DOORSCRIEFT!$A$2:$G$6834,7,FALSE),"")</f>
        <v/>
      </c>
      <c r="G2005" s="315"/>
    </row>
    <row r="2006" spans="1:7" x14ac:dyDescent="0.25">
      <c r="A2006" s="321" t="str">
        <f t="shared" si="68"/>
        <v>II.3.1.4.07.0014</v>
      </c>
      <c r="B2006" s="321">
        <v>4</v>
      </c>
      <c r="C2006" s="339" t="str">
        <f>IFERROR(VLOOKUP(A2006,[3]DOORSCRIEFT!$A$2:$G$6834,2,FALSE),"")</f>
        <v/>
      </c>
      <c r="D2006" s="481" t="str">
        <f>IFERROR(VLOOKUP(A2006,[3]DOORSCRIEFT!$A$2:$G$6834,3,FALSE),"")</f>
        <v/>
      </c>
      <c r="E2006" s="480" t="str">
        <f>IFERROR(VLOOKUP(A2006,[3]DOORSCRIEFT!$A$2:$G$6834,4,FALSE),"")</f>
        <v/>
      </c>
      <c r="F2006" s="405" t="str">
        <f>IFERROR(VLOOKUP(A2006,[3]DOORSCRIEFT!$A$2:$G$6834,7,FALSE),"")</f>
        <v/>
      </c>
      <c r="G2006" s="315"/>
    </row>
    <row r="2007" spans="1:7" x14ac:dyDescent="0.25">
      <c r="A2007" s="321" t="str">
        <f t="shared" si="68"/>
        <v>II.3.1.4.07.0015</v>
      </c>
      <c r="B2007" s="321">
        <v>5</v>
      </c>
      <c r="C2007" s="339" t="str">
        <f>IFERROR(VLOOKUP(A2007,[3]DOORSCRIEFT!$A$2:$G$6834,2,FALSE),"")</f>
        <v/>
      </c>
      <c r="D2007" s="481" t="str">
        <f>IFERROR(VLOOKUP(A2007,[3]DOORSCRIEFT!$A$2:$G$6834,3,FALSE),"")</f>
        <v/>
      </c>
      <c r="E2007" s="480" t="str">
        <f>IFERROR(VLOOKUP(A2007,[3]DOORSCRIEFT!$A$2:$G$6834,4,FALSE),"")</f>
        <v/>
      </c>
      <c r="F2007" s="405" t="str">
        <f>IFERROR(VLOOKUP(A2007,[3]DOORSCRIEFT!$A$2:$G$6834,7,FALSE),"")</f>
        <v/>
      </c>
      <c r="G2007" s="315"/>
    </row>
    <row r="2008" spans="1:7" x14ac:dyDescent="0.25">
      <c r="A2008" s="321" t="str">
        <f t="shared" si="68"/>
        <v>II.3.1.4.07.0016</v>
      </c>
      <c r="B2008" s="321">
        <v>6</v>
      </c>
      <c r="C2008" s="339" t="str">
        <f>IFERROR(VLOOKUP(A2008,[3]DOORSCRIEFT!$A$2:$G$6834,2,FALSE),"")</f>
        <v/>
      </c>
      <c r="D2008" s="481" t="str">
        <f>IFERROR(VLOOKUP(A2008,[3]DOORSCRIEFT!$A$2:$G$6834,3,FALSE),"")</f>
        <v/>
      </c>
      <c r="E2008" s="480" t="str">
        <f>IFERROR(VLOOKUP(A2008,[3]DOORSCRIEFT!$A$2:$G$6834,4,FALSE),"")</f>
        <v/>
      </c>
      <c r="F2008" s="405" t="str">
        <f>IFERROR(VLOOKUP(A2008,[3]DOORSCRIEFT!$A$2:$G$6834,7,FALSE),"")</f>
        <v/>
      </c>
      <c r="G2008" s="315"/>
    </row>
    <row r="2009" spans="1:7" x14ac:dyDescent="0.25">
      <c r="A2009" s="321" t="str">
        <f t="shared" si="68"/>
        <v>II.3.1.4.07.0017</v>
      </c>
      <c r="B2009" s="321">
        <v>7</v>
      </c>
      <c r="C2009" s="339" t="str">
        <f>IFERROR(VLOOKUP(A2009,[3]DOORSCRIEFT!$A$2:$G$6834,2,FALSE),"")</f>
        <v/>
      </c>
      <c r="D2009" s="481" t="str">
        <f>IFERROR(VLOOKUP(A2009,[3]DOORSCRIEFT!$A$2:$G$6834,3,FALSE),"")</f>
        <v/>
      </c>
      <c r="E2009" s="480" t="str">
        <f>IFERROR(VLOOKUP(A2009,[3]DOORSCRIEFT!$A$2:$G$6834,4,FALSE),"")</f>
        <v/>
      </c>
      <c r="F2009" s="405" t="str">
        <f>IFERROR(VLOOKUP(A2009,[3]DOORSCRIEFT!$A$2:$G$6834,7,FALSE),"")</f>
        <v/>
      </c>
      <c r="G2009" s="315"/>
    </row>
    <row r="2010" spans="1:7" x14ac:dyDescent="0.25">
      <c r="A2010" s="321" t="str">
        <f t="shared" si="68"/>
        <v>II.3.1.4.07.0018</v>
      </c>
      <c r="B2010" s="321">
        <v>8</v>
      </c>
      <c r="C2010" s="339" t="str">
        <f>IFERROR(VLOOKUP(A2010,[3]DOORSCRIEFT!$A$2:$G$6834,2,FALSE),"")</f>
        <v/>
      </c>
      <c r="D2010" s="481" t="str">
        <f>IFERROR(VLOOKUP(A2010,[3]DOORSCRIEFT!$A$2:$G$6834,3,FALSE),"")</f>
        <v/>
      </c>
      <c r="E2010" s="480" t="str">
        <f>IFERROR(VLOOKUP(A2010,[3]DOORSCRIEFT!$A$2:$G$6834,4,FALSE),"")</f>
        <v/>
      </c>
      <c r="F2010" s="405" t="str">
        <f>IFERROR(VLOOKUP(A2010,[3]DOORSCRIEFT!$A$2:$G$6834,7,FALSE),"")</f>
        <v/>
      </c>
      <c r="G2010" s="315"/>
    </row>
    <row r="2011" spans="1:7" x14ac:dyDescent="0.25">
      <c r="A2011" s="321" t="str">
        <f t="shared" si="68"/>
        <v>II.3.1.4.07.0019</v>
      </c>
      <c r="B2011" s="321">
        <v>9</v>
      </c>
      <c r="C2011" s="339" t="str">
        <f>IFERROR(VLOOKUP(A2011,[3]DOORSCRIEFT!$A$2:$G$6834,2,FALSE),"")</f>
        <v/>
      </c>
      <c r="D2011" s="481" t="str">
        <f>IFERROR(VLOOKUP(A2011,[3]DOORSCRIEFT!$A$2:$G$6834,3,FALSE),"")</f>
        <v/>
      </c>
      <c r="E2011" s="480" t="str">
        <f>IFERROR(VLOOKUP(A2011,[3]DOORSCRIEFT!$A$2:$G$6834,4,FALSE),"")</f>
        <v/>
      </c>
      <c r="F2011" s="405" t="str">
        <f>IFERROR(VLOOKUP(A2011,[3]DOORSCRIEFT!$A$2:$G$6834,7,FALSE),"")</f>
        <v/>
      </c>
      <c r="G2011" s="315"/>
    </row>
    <row r="2012" spans="1:7" x14ac:dyDescent="0.25">
      <c r="A2012" s="321" t="str">
        <f t="shared" si="68"/>
        <v>II.3.1.4.07.00110</v>
      </c>
      <c r="B2012" s="321">
        <v>10</v>
      </c>
      <c r="C2012" s="339" t="str">
        <f>IFERROR(VLOOKUP(A2012,[3]DOORSCRIEFT!$A$2:$G$6834,2,FALSE),"")</f>
        <v/>
      </c>
      <c r="D2012" s="481" t="str">
        <f>IFERROR(VLOOKUP(A2012,[3]DOORSCRIEFT!$A$2:$G$6834,3,FALSE),"")</f>
        <v/>
      </c>
      <c r="E2012" s="480" t="str">
        <f>IFERROR(VLOOKUP(A2012,[3]DOORSCRIEFT!$A$2:$G$6834,4,FALSE),"")</f>
        <v/>
      </c>
      <c r="F2012" s="405" t="str">
        <f>IFERROR(VLOOKUP(A2012,[3]DOORSCRIEFT!$A$2:$G$6834,7,FALSE),"")</f>
        <v/>
      </c>
      <c r="G2012" s="315"/>
    </row>
    <row r="2013" spans="1:7" x14ac:dyDescent="0.25">
      <c r="A2013" s="321" t="str">
        <f t="shared" si="68"/>
        <v>II.3.1.4.07.00111</v>
      </c>
      <c r="B2013" s="321">
        <v>11</v>
      </c>
      <c r="C2013" s="339" t="str">
        <f>IFERROR(VLOOKUP(A2013,[3]DOORSCRIEFT!$A$2:$G$6834,2,FALSE),"")</f>
        <v/>
      </c>
      <c r="D2013" s="481" t="str">
        <f>IFERROR(VLOOKUP(A2013,[3]DOORSCRIEFT!$A$2:$G$6834,3,FALSE),"")</f>
        <v/>
      </c>
      <c r="E2013" s="480" t="str">
        <f>IFERROR(VLOOKUP(A2013,[3]DOORSCRIEFT!$A$2:$G$6834,4,FALSE),"")</f>
        <v/>
      </c>
      <c r="F2013" s="405" t="str">
        <f>IFERROR(VLOOKUP(A2013,[3]DOORSCRIEFT!$A$2:$G$6834,7,FALSE),"")</f>
        <v/>
      </c>
      <c r="G2013" s="315"/>
    </row>
    <row r="2014" spans="1:7" x14ac:dyDescent="0.25">
      <c r="A2014" s="321" t="str">
        <f t="shared" si="68"/>
        <v>II.3.1.4.07.00112</v>
      </c>
      <c r="B2014" s="321">
        <v>12</v>
      </c>
      <c r="C2014" s="339" t="str">
        <f>IFERROR(VLOOKUP(A2014,[3]DOORSCRIEFT!$A$2:$G$6834,2,FALSE),"")</f>
        <v/>
      </c>
      <c r="D2014" s="481" t="str">
        <f>IFERROR(VLOOKUP(A2014,[3]DOORSCRIEFT!$A$2:$G$6834,3,FALSE),"")</f>
        <v/>
      </c>
      <c r="E2014" s="480" t="str">
        <f>IFERROR(VLOOKUP(A2014,[3]DOORSCRIEFT!$A$2:$G$6834,4,FALSE),"")</f>
        <v/>
      </c>
      <c r="F2014" s="405" t="str">
        <f>IFERROR(VLOOKUP(A2014,[3]DOORSCRIEFT!$A$2:$G$6834,7,FALSE),"")</f>
        <v/>
      </c>
      <c r="G2014" s="315"/>
    </row>
    <row r="2015" spans="1:7" x14ac:dyDescent="0.25">
      <c r="A2015" s="321" t="str">
        <f t="shared" si="68"/>
        <v>II.3.1.4.07.00113</v>
      </c>
      <c r="B2015" s="321">
        <v>13</v>
      </c>
      <c r="C2015" s="339" t="str">
        <f>IFERROR(VLOOKUP(A2015,[3]DOORSCRIEFT!$A$2:$G$6834,2,FALSE),"")</f>
        <v/>
      </c>
      <c r="D2015" s="481" t="str">
        <f>IFERROR(VLOOKUP(A2015,[3]DOORSCRIEFT!$A$2:$G$6834,3,FALSE),"")</f>
        <v/>
      </c>
      <c r="E2015" s="480" t="str">
        <f>IFERROR(VLOOKUP(A2015,[3]DOORSCRIEFT!$A$2:$G$6834,4,FALSE),"")</f>
        <v/>
      </c>
      <c r="F2015" s="405" t="str">
        <f>IFERROR(VLOOKUP(A2015,[3]DOORSCRIEFT!$A$2:$G$6834,7,FALSE),"")</f>
        <v/>
      </c>
      <c r="G2015" s="315"/>
    </row>
    <row r="2016" spans="1:7" x14ac:dyDescent="0.25">
      <c r="A2016" s="321" t="str">
        <f t="shared" si="68"/>
        <v>II.3.1.4.07.00114</v>
      </c>
      <c r="B2016" s="321">
        <v>14</v>
      </c>
      <c r="C2016" s="339" t="str">
        <f>IFERROR(VLOOKUP(A2016,[3]DOORSCRIEFT!$A$2:$G$6834,2,FALSE),"")</f>
        <v/>
      </c>
      <c r="D2016" s="481" t="str">
        <f>IFERROR(VLOOKUP(A2016,[3]DOORSCRIEFT!$A$2:$G$6834,3,FALSE),"")</f>
        <v/>
      </c>
      <c r="E2016" s="480" t="str">
        <f>IFERROR(VLOOKUP(A2016,[3]DOORSCRIEFT!$A$2:$G$6834,4,FALSE),"")</f>
        <v/>
      </c>
      <c r="F2016" s="405" t="str">
        <f>IFERROR(VLOOKUP(A2016,[3]DOORSCRIEFT!$A$2:$G$6834,7,FALSE),"")</f>
        <v/>
      </c>
      <c r="G2016" s="315"/>
    </row>
    <row r="2017" spans="1:7" ht="15.75" thickBot="1" x14ac:dyDescent="0.3">
      <c r="A2017" s="342" t="str">
        <f t="shared" si="68"/>
        <v>II.3.1.4.07.00115</v>
      </c>
      <c r="B2017" s="342">
        <v>15</v>
      </c>
      <c r="C2017" s="339" t="str">
        <f>IFERROR(VLOOKUP(A2017,[3]DOORSCRIEFT!$A$2:$G$6834,2,FALSE),"")</f>
        <v/>
      </c>
      <c r="D2017" s="481" t="str">
        <f>IFERROR(VLOOKUP(A2017,[3]DOORSCRIEFT!$A$2:$G$6834,3,FALSE),"")</f>
        <v/>
      </c>
      <c r="E2017" s="480" t="str">
        <f>IFERROR(VLOOKUP(A2017,[3]DOORSCRIEFT!$A$2:$G$6834,4,FALSE),"")</f>
        <v/>
      </c>
      <c r="F2017" s="405" t="str">
        <f>IFERROR(VLOOKUP(A2017,[3]DOORSCRIEFT!$A$2:$G$6834,7,FALSE),"")</f>
        <v/>
      </c>
      <c r="G2017" s="315"/>
    </row>
    <row r="2018" spans="1:7" ht="15.75" thickBot="1" x14ac:dyDescent="0.3">
      <c r="A2018" s="341"/>
      <c r="B2018" s="340"/>
      <c r="C2018" s="336"/>
      <c r="D2018" s="486"/>
      <c r="E2018" s="340" t="s">
        <v>644</v>
      </c>
      <c r="F2018" s="310">
        <f>SUM(F2003:F2017)</f>
        <v>0</v>
      </c>
      <c r="G2018" s="309">
        <f>SUM(G2003:G2017)</f>
        <v>0</v>
      </c>
    </row>
    <row r="2019" spans="1:7" x14ac:dyDescent="0.25">
      <c r="C2019" s="335"/>
      <c r="D2019" s="485"/>
    </row>
    <row r="2020" spans="1:7" x14ac:dyDescent="0.25">
      <c r="C2020" s="335"/>
      <c r="D2020" s="485"/>
    </row>
    <row r="2021" spans="1:7" ht="15.75" x14ac:dyDescent="0.25">
      <c r="C2021" s="334" t="s">
        <v>663</v>
      </c>
      <c r="D2021" s="484"/>
      <c r="E2021" s="333"/>
      <c r="F2021" s="327" t="s">
        <v>607</v>
      </c>
      <c r="G2021" s="327" t="s">
        <v>76</v>
      </c>
    </row>
    <row r="2022" spans="1:7" ht="15.75" x14ac:dyDescent="0.25">
      <c r="C2022" s="334"/>
      <c r="D2022" s="484"/>
      <c r="E2022" s="333"/>
      <c r="F2022" s="327" t="s">
        <v>601</v>
      </c>
      <c r="G2022" s="327" t="s">
        <v>75</v>
      </c>
    </row>
    <row r="2023" spans="1:7" x14ac:dyDescent="0.25">
      <c r="C2023" s="330"/>
      <c r="D2023" s="482"/>
      <c r="E2023" s="329"/>
      <c r="F2023" s="327" t="s">
        <v>651</v>
      </c>
      <c r="G2023" s="331">
        <f>[2]Sheet1!$D$542</f>
        <v>0</v>
      </c>
    </row>
    <row r="2024" spans="1:7" ht="15.75" thickBot="1" x14ac:dyDescent="0.3">
      <c r="C2024" s="330"/>
      <c r="D2024" s="482"/>
      <c r="E2024" s="329"/>
      <c r="F2024" s="327" t="s">
        <v>650</v>
      </c>
      <c r="G2024" s="326">
        <f>+F2043-G2023</f>
        <v>0</v>
      </c>
    </row>
    <row r="2025" spans="1:7" x14ac:dyDescent="0.25">
      <c r="A2025" s="571" t="s">
        <v>655</v>
      </c>
      <c r="B2025" s="573" t="s">
        <v>606</v>
      </c>
      <c r="C2025" s="588" t="s">
        <v>649</v>
      </c>
      <c r="D2025" s="599" t="s">
        <v>648</v>
      </c>
      <c r="E2025" s="577" t="s">
        <v>647</v>
      </c>
      <c r="F2025" s="577" t="s">
        <v>646</v>
      </c>
      <c r="G2025" s="580" t="s">
        <v>645</v>
      </c>
    </row>
    <row r="2026" spans="1:7" ht="15.75" thickBot="1" x14ac:dyDescent="0.3">
      <c r="A2026" s="572"/>
      <c r="B2026" s="574"/>
      <c r="C2026" s="589"/>
      <c r="D2026" s="600"/>
      <c r="E2026" s="578"/>
      <c r="F2026" s="578"/>
      <c r="G2026" s="581"/>
    </row>
    <row r="2027" spans="1:7" ht="15.75" thickBot="1" x14ac:dyDescent="0.3">
      <c r="A2027" s="425">
        <v>1</v>
      </c>
      <c r="B2027" s="425">
        <v>2</v>
      </c>
      <c r="C2027" s="425">
        <v>3</v>
      </c>
      <c r="D2027" s="425">
        <v>4</v>
      </c>
      <c r="E2027" s="425">
        <v>5</v>
      </c>
      <c r="F2027" s="425">
        <v>6</v>
      </c>
      <c r="G2027" s="425">
        <v>7</v>
      </c>
    </row>
    <row r="2028" spans="1:7" x14ac:dyDescent="0.25">
      <c r="A2028" s="320" t="str">
        <f t="shared" ref="A2028:A2042" si="69">$G$2021&amp;B2028</f>
        <v>II.3.1.4.07.0021</v>
      </c>
      <c r="B2028" s="320">
        <v>1</v>
      </c>
      <c r="C2028" s="339" t="str">
        <f>IFERROR(VLOOKUP(A2028,[3]DOORSCRIEFT!$A$2:$G$6834,2,FALSE),"")</f>
        <v/>
      </c>
      <c r="D2028" s="481" t="str">
        <f>IFERROR(VLOOKUP(A2028,[3]DOORSCRIEFT!$A$2:$G$6834,3,FALSE),"")</f>
        <v/>
      </c>
      <c r="E2028" s="480" t="str">
        <f>IFERROR(VLOOKUP(A2028,[3]DOORSCRIEFT!$A$2:$G$6834,4,FALSE),"")</f>
        <v/>
      </c>
      <c r="F2028" s="405" t="str">
        <f>IFERROR(VLOOKUP(A2028,[3]DOORSCRIEFT!$A$2:$G$6834,7,FALSE),"")</f>
        <v/>
      </c>
      <c r="G2028" s="322"/>
    </row>
    <row r="2029" spans="1:7" x14ac:dyDescent="0.25">
      <c r="A2029" s="321" t="str">
        <f t="shared" si="69"/>
        <v>II.3.1.4.07.0022</v>
      </c>
      <c r="B2029" s="321">
        <v>2</v>
      </c>
      <c r="C2029" s="339" t="str">
        <f>IFERROR(VLOOKUP(A2029,[3]DOORSCRIEFT!$A$2:$G$6834,2,FALSE),"")</f>
        <v/>
      </c>
      <c r="D2029" s="481" t="str">
        <f>IFERROR(VLOOKUP(A2029,[3]DOORSCRIEFT!$A$2:$G$6834,3,FALSE),"")</f>
        <v/>
      </c>
      <c r="E2029" s="480" t="str">
        <f>IFERROR(VLOOKUP(A2029,[3]DOORSCRIEFT!$A$2:$G$6834,4,FALSE),"")</f>
        <v/>
      </c>
      <c r="F2029" s="405" t="str">
        <f>IFERROR(VLOOKUP(A2029,[3]DOORSCRIEFT!$A$2:$G$6834,7,FALSE),"")</f>
        <v/>
      </c>
      <c r="G2029" s="315"/>
    </row>
    <row r="2030" spans="1:7" x14ac:dyDescent="0.25">
      <c r="A2030" s="321" t="str">
        <f t="shared" si="69"/>
        <v>II.3.1.4.07.0023</v>
      </c>
      <c r="B2030" s="321">
        <v>3</v>
      </c>
      <c r="C2030" s="339" t="str">
        <f>IFERROR(VLOOKUP(A2030,[3]DOORSCRIEFT!$A$2:$G$6834,2,FALSE),"")</f>
        <v/>
      </c>
      <c r="D2030" s="481" t="str">
        <f>IFERROR(VLOOKUP(A2030,[3]DOORSCRIEFT!$A$2:$G$6834,3,FALSE),"")</f>
        <v/>
      </c>
      <c r="E2030" s="480" t="str">
        <f>IFERROR(VLOOKUP(A2030,[3]DOORSCRIEFT!$A$2:$G$6834,4,FALSE),"")</f>
        <v/>
      </c>
      <c r="F2030" s="405" t="str">
        <f>IFERROR(VLOOKUP(A2030,[3]DOORSCRIEFT!$A$2:$G$6834,7,FALSE),"")</f>
        <v/>
      </c>
      <c r="G2030" s="315"/>
    </row>
    <row r="2031" spans="1:7" x14ac:dyDescent="0.25">
      <c r="A2031" s="321" t="str">
        <f t="shared" si="69"/>
        <v>II.3.1.4.07.0024</v>
      </c>
      <c r="B2031" s="321">
        <v>4</v>
      </c>
      <c r="C2031" s="339" t="str">
        <f>IFERROR(VLOOKUP(A2031,[3]DOORSCRIEFT!$A$2:$G$6834,2,FALSE),"")</f>
        <v/>
      </c>
      <c r="D2031" s="481" t="str">
        <f>IFERROR(VLOOKUP(A2031,[3]DOORSCRIEFT!$A$2:$G$6834,3,FALSE),"")</f>
        <v/>
      </c>
      <c r="E2031" s="480" t="str">
        <f>IFERROR(VLOOKUP(A2031,[3]DOORSCRIEFT!$A$2:$G$6834,4,FALSE),"")</f>
        <v/>
      </c>
      <c r="F2031" s="405" t="str">
        <f>IFERROR(VLOOKUP(A2031,[3]DOORSCRIEFT!$A$2:$G$6834,7,FALSE),"")</f>
        <v/>
      </c>
      <c r="G2031" s="315"/>
    </row>
    <row r="2032" spans="1:7" x14ac:dyDescent="0.25">
      <c r="A2032" s="321" t="str">
        <f t="shared" si="69"/>
        <v>II.3.1.4.07.0025</v>
      </c>
      <c r="B2032" s="321">
        <v>5</v>
      </c>
      <c r="C2032" s="339" t="str">
        <f>IFERROR(VLOOKUP(A2032,[3]DOORSCRIEFT!$A$2:$G$6834,2,FALSE),"")</f>
        <v/>
      </c>
      <c r="D2032" s="481" t="str">
        <f>IFERROR(VLOOKUP(A2032,[3]DOORSCRIEFT!$A$2:$G$6834,3,FALSE),"")</f>
        <v/>
      </c>
      <c r="E2032" s="480" t="str">
        <f>IFERROR(VLOOKUP(A2032,[3]DOORSCRIEFT!$A$2:$G$6834,4,FALSE),"")</f>
        <v/>
      </c>
      <c r="F2032" s="405" t="str">
        <f>IFERROR(VLOOKUP(A2032,[3]DOORSCRIEFT!$A$2:$G$6834,7,FALSE),"")</f>
        <v/>
      </c>
      <c r="G2032" s="315"/>
    </row>
    <row r="2033" spans="1:7" x14ac:dyDescent="0.25">
      <c r="A2033" s="321" t="str">
        <f t="shared" si="69"/>
        <v>II.3.1.4.07.0026</v>
      </c>
      <c r="B2033" s="321">
        <v>6</v>
      </c>
      <c r="C2033" s="339" t="str">
        <f>IFERROR(VLOOKUP(A2033,[3]DOORSCRIEFT!$A$2:$G$6834,2,FALSE),"")</f>
        <v/>
      </c>
      <c r="D2033" s="481" t="str">
        <f>IFERROR(VLOOKUP(A2033,[3]DOORSCRIEFT!$A$2:$G$6834,3,FALSE),"")</f>
        <v/>
      </c>
      <c r="E2033" s="480" t="str">
        <f>IFERROR(VLOOKUP(A2033,[3]DOORSCRIEFT!$A$2:$G$6834,4,FALSE),"")</f>
        <v/>
      </c>
      <c r="F2033" s="405" t="str">
        <f>IFERROR(VLOOKUP(A2033,[3]DOORSCRIEFT!$A$2:$G$6834,7,FALSE),"")</f>
        <v/>
      </c>
      <c r="G2033" s="315"/>
    </row>
    <row r="2034" spans="1:7" x14ac:dyDescent="0.25">
      <c r="A2034" s="321" t="str">
        <f t="shared" si="69"/>
        <v>II.3.1.4.07.0027</v>
      </c>
      <c r="B2034" s="321">
        <v>7</v>
      </c>
      <c r="C2034" s="339" t="str">
        <f>IFERROR(VLOOKUP(A2034,[3]DOORSCRIEFT!$A$2:$G$6834,2,FALSE),"")</f>
        <v/>
      </c>
      <c r="D2034" s="481" t="str">
        <f>IFERROR(VLOOKUP(A2034,[3]DOORSCRIEFT!$A$2:$G$6834,3,FALSE),"")</f>
        <v/>
      </c>
      <c r="E2034" s="480" t="str">
        <f>IFERROR(VLOOKUP(A2034,[3]DOORSCRIEFT!$A$2:$G$6834,4,FALSE),"")</f>
        <v/>
      </c>
      <c r="F2034" s="405" t="str">
        <f>IFERROR(VLOOKUP(A2034,[3]DOORSCRIEFT!$A$2:$G$6834,7,FALSE),"")</f>
        <v/>
      </c>
      <c r="G2034" s="315"/>
    </row>
    <row r="2035" spans="1:7" x14ac:dyDescent="0.25">
      <c r="A2035" s="321" t="str">
        <f t="shared" si="69"/>
        <v>II.3.1.4.07.0028</v>
      </c>
      <c r="B2035" s="321">
        <v>8</v>
      </c>
      <c r="C2035" s="339" t="str">
        <f>IFERROR(VLOOKUP(A2035,[3]DOORSCRIEFT!$A$2:$G$6834,2,FALSE),"")</f>
        <v/>
      </c>
      <c r="D2035" s="481" t="str">
        <f>IFERROR(VLOOKUP(A2035,[3]DOORSCRIEFT!$A$2:$G$6834,3,FALSE),"")</f>
        <v/>
      </c>
      <c r="E2035" s="480" t="str">
        <f>IFERROR(VLOOKUP(A2035,[3]DOORSCRIEFT!$A$2:$G$6834,4,FALSE),"")</f>
        <v/>
      </c>
      <c r="F2035" s="405" t="str">
        <f>IFERROR(VLOOKUP(A2035,[3]DOORSCRIEFT!$A$2:$G$6834,7,FALSE),"")</f>
        <v/>
      </c>
      <c r="G2035" s="315"/>
    </row>
    <row r="2036" spans="1:7" x14ac:dyDescent="0.25">
      <c r="A2036" s="321" t="str">
        <f t="shared" si="69"/>
        <v>II.3.1.4.07.0029</v>
      </c>
      <c r="B2036" s="321">
        <v>9</v>
      </c>
      <c r="C2036" s="339" t="str">
        <f>IFERROR(VLOOKUP(A2036,[3]DOORSCRIEFT!$A$2:$G$6834,2,FALSE),"")</f>
        <v/>
      </c>
      <c r="D2036" s="481" t="str">
        <f>IFERROR(VLOOKUP(A2036,[3]DOORSCRIEFT!$A$2:$G$6834,3,FALSE),"")</f>
        <v/>
      </c>
      <c r="E2036" s="480" t="str">
        <f>IFERROR(VLOOKUP(A2036,[3]DOORSCRIEFT!$A$2:$G$6834,4,FALSE),"")</f>
        <v/>
      </c>
      <c r="F2036" s="405" t="str">
        <f>IFERROR(VLOOKUP(A2036,[3]DOORSCRIEFT!$A$2:$G$6834,7,FALSE),"")</f>
        <v/>
      </c>
      <c r="G2036" s="315"/>
    </row>
    <row r="2037" spans="1:7" x14ac:dyDescent="0.25">
      <c r="A2037" s="321" t="str">
        <f t="shared" si="69"/>
        <v>II.3.1.4.07.00210</v>
      </c>
      <c r="B2037" s="321">
        <v>10</v>
      </c>
      <c r="C2037" s="339" t="str">
        <f>IFERROR(VLOOKUP(A2037,[3]DOORSCRIEFT!$A$2:$G$6834,2,FALSE),"")</f>
        <v/>
      </c>
      <c r="D2037" s="481" t="str">
        <f>IFERROR(VLOOKUP(A2037,[3]DOORSCRIEFT!$A$2:$G$6834,3,FALSE),"")</f>
        <v/>
      </c>
      <c r="E2037" s="480" t="str">
        <f>IFERROR(VLOOKUP(A2037,[3]DOORSCRIEFT!$A$2:$G$6834,4,FALSE),"")</f>
        <v/>
      </c>
      <c r="F2037" s="405" t="str">
        <f>IFERROR(VLOOKUP(A2037,[3]DOORSCRIEFT!$A$2:$G$6834,7,FALSE),"")</f>
        <v/>
      </c>
      <c r="G2037" s="315"/>
    </row>
    <row r="2038" spans="1:7" x14ac:dyDescent="0.25">
      <c r="A2038" s="321" t="str">
        <f t="shared" si="69"/>
        <v>II.3.1.4.07.00211</v>
      </c>
      <c r="B2038" s="321">
        <v>11</v>
      </c>
      <c r="C2038" s="339" t="str">
        <f>IFERROR(VLOOKUP(A2038,[3]DOORSCRIEFT!$A$2:$G$6834,2,FALSE),"")</f>
        <v/>
      </c>
      <c r="D2038" s="481" t="str">
        <f>IFERROR(VLOOKUP(A2038,[3]DOORSCRIEFT!$A$2:$G$6834,3,FALSE),"")</f>
        <v/>
      </c>
      <c r="E2038" s="480" t="str">
        <f>IFERROR(VLOOKUP(A2038,[3]DOORSCRIEFT!$A$2:$G$6834,4,FALSE),"")</f>
        <v/>
      </c>
      <c r="F2038" s="405" t="str">
        <f>IFERROR(VLOOKUP(A2038,[3]DOORSCRIEFT!$A$2:$G$6834,7,FALSE),"")</f>
        <v/>
      </c>
      <c r="G2038" s="315"/>
    </row>
    <row r="2039" spans="1:7" x14ac:dyDescent="0.25">
      <c r="A2039" s="321" t="str">
        <f t="shared" si="69"/>
        <v>II.3.1.4.07.00212</v>
      </c>
      <c r="B2039" s="321">
        <v>12</v>
      </c>
      <c r="C2039" s="339" t="str">
        <f>IFERROR(VLOOKUP(A2039,[3]DOORSCRIEFT!$A$2:$G$6834,2,FALSE),"")</f>
        <v/>
      </c>
      <c r="D2039" s="481" t="str">
        <f>IFERROR(VLOOKUP(A2039,[3]DOORSCRIEFT!$A$2:$G$6834,3,FALSE),"")</f>
        <v/>
      </c>
      <c r="E2039" s="480" t="str">
        <f>IFERROR(VLOOKUP(A2039,[3]DOORSCRIEFT!$A$2:$G$6834,4,FALSE),"")</f>
        <v/>
      </c>
      <c r="F2039" s="405" t="str">
        <f>IFERROR(VLOOKUP(A2039,[3]DOORSCRIEFT!$A$2:$G$6834,7,FALSE),"")</f>
        <v/>
      </c>
      <c r="G2039" s="315"/>
    </row>
    <row r="2040" spans="1:7" x14ac:dyDescent="0.25">
      <c r="A2040" s="321" t="str">
        <f t="shared" si="69"/>
        <v>II.3.1.4.07.00213</v>
      </c>
      <c r="B2040" s="321">
        <v>13</v>
      </c>
      <c r="C2040" s="339" t="str">
        <f>IFERROR(VLOOKUP(A2040,[3]DOORSCRIEFT!$A$2:$G$6834,2,FALSE),"")</f>
        <v/>
      </c>
      <c r="D2040" s="481" t="str">
        <f>IFERROR(VLOOKUP(A2040,[3]DOORSCRIEFT!$A$2:$G$6834,3,FALSE),"")</f>
        <v/>
      </c>
      <c r="E2040" s="480" t="str">
        <f>IFERROR(VLOOKUP(A2040,[3]DOORSCRIEFT!$A$2:$G$6834,4,FALSE),"")</f>
        <v/>
      </c>
      <c r="F2040" s="405" t="str">
        <f>IFERROR(VLOOKUP(A2040,[3]DOORSCRIEFT!$A$2:$G$6834,7,FALSE),"")</f>
        <v/>
      </c>
      <c r="G2040" s="315"/>
    </row>
    <row r="2041" spans="1:7" x14ac:dyDescent="0.25">
      <c r="A2041" s="321" t="str">
        <f t="shared" si="69"/>
        <v>II.3.1.4.07.00214</v>
      </c>
      <c r="B2041" s="321">
        <v>14</v>
      </c>
      <c r="C2041" s="339" t="str">
        <f>IFERROR(VLOOKUP(A2041,[3]DOORSCRIEFT!$A$2:$G$6834,2,FALSE),"")</f>
        <v/>
      </c>
      <c r="D2041" s="481" t="str">
        <f>IFERROR(VLOOKUP(A2041,[3]DOORSCRIEFT!$A$2:$G$6834,3,FALSE),"")</f>
        <v/>
      </c>
      <c r="E2041" s="480" t="str">
        <f>IFERROR(VLOOKUP(A2041,[3]DOORSCRIEFT!$A$2:$G$6834,4,FALSE),"")</f>
        <v/>
      </c>
      <c r="F2041" s="405" t="str">
        <f>IFERROR(VLOOKUP(A2041,[3]DOORSCRIEFT!$A$2:$G$6834,7,FALSE),"")</f>
        <v/>
      </c>
      <c r="G2041" s="315"/>
    </row>
    <row r="2042" spans="1:7" ht="15.75" thickBot="1" x14ac:dyDescent="0.3">
      <c r="A2042" s="342" t="str">
        <f t="shared" si="69"/>
        <v>II.3.1.4.07.00215</v>
      </c>
      <c r="B2042" s="342">
        <v>15</v>
      </c>
      <c r="C2042" s="339" t="str">
        <f>IFERROR(VLOOKUP(A2042,[3]DOORSCRIEFT!$A$2:$G$6834,2,FALSE),"")</f>
        <v/>
      </c>
      <c r="D2042" s="481" t="str">
        <f>IFERROR(VLOOKUP(A2042,[3]DOORSCRIEFT!$A$2:$G$6834,3,FALSE),"")</f>
        <v/>
      </c>
      <c r="E2042" s="480" t="str">
        <f>IFERROR(VLOOKUP(A2042,[3]DOORSCRIEFT!$A$2:$G$6834,4,FALSE),"")</f>
        <v/>
      </c>
      <c r="F2042" s="405" t="str">
        <f>IFERROR(VLOOKUP(A2042,[3]DOORSCRIEFT!$A$2:$G$6834,7,FALSE),"")</f>
        <v/>
      </c>
      <c r="G2042" s="315"/>
    </row>
    <row r="2043" spans="1:7" ht="15.75" thickBot="1" x14ac:dyDescent="0.3">
      <c r="A2043" s="341"/>
      <c r="B2043" s="340"/>
      <c r="C2043" s="336"/>
      <c r="D2043" s="486"/>
      <c r="E2043" s="340" t="s">
        <v>644</v>
      </c>
      <c r="F2043" s="310">
        <f>SUM(F2028:F2042)</f>
        <v>0</v>
      </c>
      <c r="G2043" s="309">
        <f>SUM(G2028:G2042)</f>
        <v>0</v>
      </c>
    </row>
    <row r="2044" spans="1:7" x14ac:dyDescent="0.25">
      <c r="C2044" s="335"/>
      <c r="D2044" s="485"/>
    </row>
    <row r="2045" spans="1:7" x14ac:dyDescent="0.25">
      <c r="C2045" s="335"/>
      <c r="D2045" s="485"/>
    </row>
    <row r="2046" spans="1:7" ht="15.75" x14ac:dyDescent="0.25">
      <c r="C2046" s="334" t="s">
        <v>663</v>
      </c>
      <c r="D2046" s="484"/>
      <c r="E2046" s="333"/>
      <c r="F2046" s="327" t="s">
        <v>607</v>
      </c>
      <c r="G2046" s="327" t="s">
        <v>74</v>
      </c>
    </row>
    <row r="2047" spans="1:7" ht="15.75" x14ac:dyDescent="0.25">
      <c r="C2047" s="334"/>
      <c r="D2047" s="484"/>
      <c r="E2047" s="333"/>
      <c r="F2047" s="327" t="s">
        <v>601</v>
      </c>
      <c r="G2047" s="327" t="s">
        <v>73</v>
      </c>
    </row>
    <row r="2048" spans="1:7" x14ac:dyDescent="0.25">
      <c r="C2048" s="330"/>
      <c r="D2048" s="482"/>
      <c r="E2048" s="329"/>
      <c r="F2048" s="327" t="s">
        <v>651</v>
      </c>
      <c r="G2048" s="331">
        <f>[2]Sheet1!$D$543</f>
        <v>0</v>
      </c>
    </row>
    <row r="2049" spans="1:7" ht="15.75" thickBot="1" x14ac:dyDescent="0.3">
      <c r="C2049" s="330"/>
      <c r="D2049" s="482"/>
      <c r="E2049" s="329"/>
      <c r="F2049" s="327" t="s">
        <v>650</v>
      </c>
      <c r="G2049" s="326">
        <f>+F2068-G2048</f>
        <v>0</v>
      </c>
    </row>
    <row r="2050" spans="1:7" x14ac:dyDescent="0.25">
      <c r="A2050" s="571" t="s">
        <v>655</v>
      </c>
      <c r="B2050" s="573" t="s">
        <v>606</v>
      </c>
      <c r="C2050" s="588" t="s">
        <v>649</v>
      </c>
      <c r="D2050" s="599" t="s">
        <v>648</v>
      </c>
      <c r="E2050" s="577" t="s">
        <v>647</v>
      </c>
      <c r="F2050" s="577" t="s">
        <v>646</v>
      </c>
      <c r="G2050" s="580" t="s">
        <v>645</v>
      </c>
    </row>
    <row r="2051" spans="1:7" ht="15.75" thickBot="1" x14ac:dyDescent="0.3">
      <c r="A2051" s="572"/>
      <c r="B2051" s="574"/>
      <c r="C2051" s="589"/>
      <c r="D2051" s="600"/>
      <c r="E2051" s="578"/>
      <c r="F2051" s="578"/>
      <c r="G2051" s="581"/>
    </row>
    <row r="2052" spans="1:7" ht="15.75" thickBot="1" x14ac:dyDescent="0.3">
      <c r="A2052" s="425">
        <v>1</v>
      </c>
      <c r="B2052" s="425">
        <v>2</v>
      </c>
      <c r="C2052" s="425">
        <v>3</v>
      </c>
      <c r="D2052" s="425">
        <v>4</v>
      </c>
      <c r="E2052" s="425">
        <v>5</v>
      </c>
      <c r="F2052" s="425">
        <v>6</v>
      </c>
      <c r="G2052" s="425">
        <v>7</v>
      </c>
    </row>
    <row r="2053" spans="1:7" x14ac:dyDescent="0.25">
      <c r="A2053" s="320" t="str">
        <f t="shared" ref="A2053:A2067" si="70">$G$2046&amp;B2053</f>
        <v>II.3.1.4.07.0031</v>
      </c>
      <c r="B2053" s="320">
        <v>1</v>
      </c>
      <c r="C2053" s="339" t="str">
        <f>IFERROR(VLOOKUP(A2053,[3]DOORSCRIEFT!$A$2:$G$6834,2,FALSE),"")</f>
        <v/>
      </c>
      <c r="D2053" s="481" t="str">
        <f>IFERROR(VLOOKUP(A2053,[3]DOORSCRIEFT!$A$2:$G$6834,3,FALSE),"")</f>
        <v/>
      </c>
      <c r="E2053" s="480" t="str">
        <f>IFERROR(VLOOKUP(A2053,[3]DOORSCRIEFT!$A$2:$G$6834,4,FALSE),"")</f>
        <v/>
      </c>
      <c r="F2053" s="405" t="str">
        <f>IFERROR(VLOOKUP(A2053,[3]DOORSCRIEFT!$A$2:$G$6834,7,FALSE),"")</f>
        <v/>
      </c>
      <c r="G2053" s="322"/>
    </row>
    <row r="2054" spans="1:7" x14ac:dyDescent="0.25">
      <c r="A2054" s="321" t="str">
        <f t="shared" si="70"/>
        <v>II.3.1.4.07.0032</v>
      </c>
      <c r="B2054" s="321">
        <v>2</v>
      </c>
      <c r="C2054" s="339" t="str">
        <f>IFERROR(VLOOKUP(A2054,[3]DOORSCRIEFT!$A$2:$G$6834,2,FALSE),"")</f>
        <v/>
      </c>
      <c r="D2054" s="481" t="str">
        <f>IFERROR(VLOOKUP(A2054,[3]DOORSCRIEFT!$A$2:$G$6834,3,FALSE),"")</f>
        <v/>
      </c>
      <c r="E2054" s="480" t="str">
        <f>IFERROR(VLOOKUP(A2054,[3]DOORSCRIEFT!$A$2:$G$6834,4,FALSE),"")</f>
        <v/>
      </c>
      <c r="F2054" s="405" t="str">
        <f>IFERROR(VLOOKUP(A2054,[3]DOORSCRIEFT!$A$2:$G$6834,7,FALSE),"")</f>
        <v/>
      </c>
      <c r="G2054" s="315"/>
    </row>
    <row r="2055" spans="1:7" x14ac:dyDescent="0.25">
      <c r="A2055" s="321" t="str">
        <f t="shared" si="70"/>
        <v>II.3.1.4.07.0033</v>
      </c>
      <c r="B2055" s="321">
        <v>3</v>
      </c>
      <c r="C2055" s="339" t="str">
        <f>IFERROR(VLOOKUP(A2055,[3]DOORSCRIEFT!$A$2:$G$6834,2,FALSE),"")</f>
        <v/>
      </c>
      <c r="D2055" s="481" t="str">
        <f>IFERROR(VLOOKUP(A2055,[3]DOORSCRIEFT!$A$2:$G$6834,3,FALSE),"")</f>
        <v/>
      </c>
      <c r="E2055" s="480" t="str">
        <f>IFERROR(VLOOKUP(A2055,[3]DOORSCRIEFT!$A$2:$G$6834,4,FALSE),"")</f>
        <v/>
      </c>
      <c r="F2055" s="405" t="str">
        <f>IFERROR(VLOOKUP(A2055,[3]DOORSCRIEFT!$A$2:$G$6834,7,FALSE),"")</f>
        <v/>
      </c>
      <c r="G2055" s="315"/>
    </row>
    <row r="2056" spans="1:7" x14ac:dyDescent="0.25">
      <c r="A2056" s="321" t="str">
        <f t="shared" si="70"/>
        <v>II.3.1.4.07.0034</v>
      </c>
      <c r="B2056" s="321">
        <v>4</v>
      </c>
      <c r="C2056" s="339" t="str">
        <f>IFERROR(VLOOKUP(A2056,[3]DOORSCRIEFT!$A$2:$G$6834,2,FALSE),"")</f>
        <v/>
      </c>
      <c r="D2056" s="481" t="str">
        <f>IFERROR(VLOOKUP(A2056,[3]DOORSCRIEFT!$A$2:$G$6834,3,FALSE),"")</f>
        <v/>
      </c>
      <c r="E2056" s="480" t="str">
        <f>IFERROR(VLOOKUP(A2056,[3]DOORSCRIEFT!$A$2:$G$6834,4,FALSE),"")</f>
        <v/>
      </c>
      <c r="F2056" s="405" t="str">
        <f>IFERROR(VLOOKUP(A2056,[3]DOORSCRIEFT!$A$2:$G$6834,7,FALSE),"")</f>
        <v/>
      </c>
      <c r="G2056" s="315"/>
    </row>
    <row r="2057" spans="1:7" x14ac:dyDescent="0.25">
      <c r="A2057" s="321" t="str">
        <f t="shared" si="70"/>
        <v>II.3.1.4.07.0035</v>
      </c>
      <c r="B2057" s="321">
        <v>5</v>
      </c>
      <c r="C2057" s="339" t="str">
        <f>IFERROR(VLOOKUP(A2057,[3]DOORSCRIEFT!$A$2:$G$6834,2,FALSE),"")</f>
        <v/>
      </c>
      <c r="D2057" s="481" t="str">
        <f>IFERROR(VLOOKUP(A2057,[3]DOORSCRIEFT!$A$2:$G$6834,3,FALSE),"")</f>
        <v/>
      </c>
      <c r="E2057" s="480" t="str">
        <f>IFERROR(VLOOKUP(A2057,[3]DOORSCRIEFT!$A$2:$G$6834,4,FALSE),"")</f>
        <v/>
      </c>
      <c r="F2057" s="405" t="str">
        <f>IFERROR(VLOOKUP(A2057,[3]DOORSCRIEFT!$A$2:$G$6834,7,FALSE),"")</f>
        <v/>
      </c>
      <c r="G2057" s="315"/>
    </row>
    <row r="2058" spans="1:7" x14ac:dyDescent="0.25">
      <c r="A2058" s="321" t="str">
        <f t="shared" si="70"/>
        <v>II.3.1.4.07.0036</v>
      </c>
      <c r="B2058" s="321">
        <v>6</v>
      </c>
      <c r="C2058" s="339" t="str">
        <f>IFERROR(VLOOKUP(A2058,[3]DOORSCRIEFT!$A$2:$G$6834,2,FALSE),"")</f>
        <v/>
      </c>
      <c r="D2058" s="481" t="str">
        <f>IFERROR(VLOOKUP(A2058,[3]DOORSCRIEFT!$A$2:$G$6834,3,FALSE),"")</f>
        <v/>
      </c>
      <c r="E2058" s="480" t="str">
        <f>IFERROR(VLOOKUP(A2058,[3]DOORSCRIEFT!$A$2:$G$6834,4,FALSE),"")</f>
        <v/>
      </c>
      <c r="F2058" s="405" t="str">
        <f>IFERROR(VLOOKUP(A2058,[3]DOORSCRIEFT!$A$2:$G$6834,7,FALSE),"")</f>
        <v/>
      </c>
      <c r="G2058" s="315"/>
    </row>
    <row r="2059" spans="1:7" x14ac:dyDescent="0.25">
      <c r="A2059" s="321" t="str">
        <f t="shared" si="70"/>
        <v>II.3.1.4.07.0037</v>
      </c>
      <c r="B2059" s="321">
        <v>7</v>
      </c>
      <c r="C2059" s="339" t="str">
        <f>IFERROR(VLOOKUP(A2059,[3]DOORSCRIEFT!$A$2:$G$6834,2,FALSE),"")</f>
        <v/>
      </c>
      <c r="D2059" s="481" t="str">
        <f>IFERROR(VLOOKUP(A2059,[3]DOORSCRIEFT!$A$2:$G$6834,3,FALSE),"")</f>
        <v/>
      </c>
      <c r="E2059" s="480" t="str">
        <f>IFERROR(VLOOKUP(A2059,[3]DOORSCRIEFT!$A$2:$G$6834,4,FALSE),"")</f>
        <v/>
      </c>
      <c r="F2059" s="405" t="str">
        <f>IFERROR(VLOOKUP(A2059,[3]DOORSCRIEFT!$A$2:$G$6834,7,FALSE),"")</f>
        <v/>
      </c>
      <c r="G2059" s="315"/>
    </row>
    <row r="2060" spans="1:7" x14ac:dyDescent="0.25">
      <c r="A2060" s="321" t="str">
        <f t="shared" si="70"/>
        <v>II.3.1.4.07.0038</v>
      </c>
      <c r="B2060" s="321">
        <v>8</v>
      </c>
      <c r="C2060" s="339" t="str">
        <f>IFERROR(VLOOKUP(A2060,[3]DOORSCRIEFT!$A$2:$G$6834,2,FALSE),"")</f>
        <v/>
      </c>
      <c r="D2060" s="481" t="str">
        <f>IFERROR(VLOOKUP(A2060,[3]DOORSCRIEFT!$A$2:$G$6834,3,FALSE),"")</f>
        <v/>
      </c>
      <c r="E2060" s="480" t="str">
        <f>IFERROR(VLOOKUP(A2060,[3]DOORSCRIEFT!$A$2:$G$6834,4,FALSE),"")</f>
        <v/>
      </c>
      <c r="F2060" s="405" t="str">
        <f>IFERROR(VLOOKUP(A2060,[3]DOORSCRIEFT!$A$2:$G$6834,7,FALSE),"")</f>
        <v/>
      </c>
      <c r="G2060" s="315"/>
    </row>
    <row r="2061" spans="1:7" x14ac:dyDescent="0.25">
      <c r="A2061" s="321" t="str">
        <f t="shared" si="70"/>
        <v>II.3.1.4.07.0039</v>
      </c>
      <c r="B2061" s="321">
        <v>9</v>
      </c>
      <c r="C2061" s="339" t="str">
        <f>IFERROR(VLOOKUP(A2061,[3]DOORSCRIEFT!$A$2:$G$6834,2,FALSE),"")</f>
        <v/>
      </c>
      <c r="D2061" s="481" t="str">
        <f>IFERROR(VLOOKUP(A2061,[3]DOORSCRIEFT!$A$2:$G$6834,3,FALSE),"")</f>
        <v/>
      </c>
      <c r="E2061" s="480" t="str">
        <f>IFERROR(VLOOKUP(A2061,[3]DOORSCRIEFT!$A$2:$G$6834,4,FALSE),"")</f>
        <v/>
      </c>
      <c r="F2061" s="405" t="str">
        <f>IFERROR(VLOOKUP(A2061,[3]DOORSCRIEFT!$A$2:$G$6834,7,FALSE),"")</f>
        <v/>
      </c>
      <c r="G2061" s="315"/>
    </row>
    <row r="2062" spans="1:7" x14ac:dyDescent="0.25">
      <c r="A2062" s="321" t="str">
        <f t="shared" si="70"/>
        <v>II.3.1.4.07.00310</v>
      </c>
      <c r="B2062" s="321">
        <v>10</v>
      </c>
      <c r="C2062" s="339" t="str">
        <f>IFERROR(VLOOKUP(A2062,[3]DOORSCRIEFT!$A$2:$G$6834,2,FALSE),"")</f>
        <v/>
      </c>
      <c r="D2062" s="481" t="str">
        <f>IFERROR(VLOOKUP(A2062,[3]DOORSCRIEFT!$A$2:$G$6834,3,FALSE),"")</f>
        <v/>
      </c>
      <c r="E2062" s="480" t="str">
        <f>IFERROR(VLOOKUP(A2062,[3]DOORSCRIEFT!$A$2:$G$6834,4,FALSE),"")</f>
        <v/>
      </c>
      <c r="F2062" s="405" t="str">
        <f>IFERROR(VLOOKUP(A2062,[3]DOORSCRIEFT!$A$2:$G$6834,7,FALSE),"")</f>
        <v/>
      </c>
      <c r="G2062" s="315"/>
    </row>
    <row r="2063" spans="1:7" x14ac:dyDescent="0.25">
      <c r="A2063" s="321" t="str">
        <f t="shared" si="70"/>
        <v>II.3.1.4.07.00311</v>
      </c>
      <c r="B2063" s="321">
        <v>11</v>
      </c>
      <c r="C2063" s="339" t="str">
        <f>IFERROR(VLOOKUP(A2063,[3]DOORSCRIEFT!$A$2:$G$6834,2,FALSE),"")</f>
        <v/>
      </c>
      <c r="D2063" s="481" t="str">
        <f>IFERROR(VLOOKUP(A2063,[3]DOORSCRIEFT!$A$2:$G$6834,3,FALSE),"")</f>
        <v/>
      </c>
      <c r="E2063" s="480" t="str">
        <f>IFERROR(VLOOKUP(A2063,[3]DOORSCRIEFT!$A$2:$G$6834,4,FALSE),"")</f>
        <v/>
      </c>
      <c r="F2063" s="405" t="str">
        <f>IFERROR(VLOOKUP(A2063,[3]DOORSCRIEFT!$A$2:$G$6834,7,FALSE),"")</f>
        <v/>
      </c>
      <c r="G2063" s="315"/>
    </row>
    <row r="2064" spans="1:7" x14ac:dyDescent="0.25">
      <c r="A2064" s="321" t="str">
        <f t="shared" si="70"/>
        <v>II.3.1.4.07.00312</v>
      </c>
      <c r="B2064" s="321">
        <v>12</v>
      </c>
      <c r="C2064" s="339" t="str">
        <f>IFERROR(VLOOKUP(A2064,[3]DOORSCRIEFT!$A$2:$G$6834,2,FALSE),"")</f>
        <v/>
      </c>
      <c r="D2064" s="481" t="str">
        <f>IFERROR(VLOOKUP(A2064,[3]DOORSCRIEFT!$A$2:$G$6834,3,FALSE),"")</f>
        <v/>
      </c>
      <c r="E2064" s="480" t="str">
        <f>IFERROR(VLOOKUP(A2064,[3]DOORSCRIEFT!$A$2:$G$6834,4,FALSE),"")</f>
        <v/>
      </c>
      <c r="F2064" s="405" t="str">
        <f>IFERROR(VLOOKUP(A2064,[3]DOORSCRIEFT!$A$2:$G$6834,7,FALSE),"")</f>
        <v/>
      </c>
      <c r="G2064" s="315"/>
    </row>
    <row r="2065" spans="1:7" x14ac:dyDescent="0.25">
      <c r="A2065" s="321" t="str">
        <f t="shared" si="70"/>
        <v>II.3.1.4.07.00313</v>
      </c>
      <c r="B2065" s="321">
        <v>13</v>
      </c>
      <c r="C2065" s="339" t="str">
        <f>IFERROR(VLOOKUP(A2065,[3]DOORSCRIEFT!$A$2:$G$6834,2,FALSE),"")</f>
        <v/>
      </c>
      <c r="D2065" s="481" t="str">
        <f>IFERROR(VLOOKUP(A2065,[3]DOORSCRIEFT!$A$2:$G$6834,3,FALSE),"")</f>
        <v/>
      </c>
      <c r="E2065" s="480" t="str">
        <f>IFERROR(VLOOKUP(A2065,[3]DOORSCRIEFT!$A$2:$G$6834,4,FALSE),"")</f>
        <v/>
      </c>
      <c r="F2065" s="405" t="str">
        <f>IFERROR(VLOOKUP(A2065,[3]DOORSCRIEFT!$A$2:$G$6834,7,FALSE),"")</f>
        <v/>
      </c>
      <c r="G2065" s="315"/>
    </row>
    <row r="2066" spans="1:7" x14ac:dyDescent="0.25">
      <c r="A2066" s="321" t="str">
        <f t="shared" si="70"/>
        <v>II.3.1.4.07.00314</v>
      </c>
      <c r="B2066" s="321">
        <v>14</v>
      </c>
      <c r="C2066" s="339" t="str">
        <f>IFERROR(VLOOKUP(A2066,[3]DOORSCRIEFT!$A$2:$G$6834,2,FALSE),"")</f>
        <v/>
      </c>
      <c r="D2066" s="481" t="str">
        <f>IFERROR(VLOOKUP(A2066,[3]DOORSCRIEFT!$A$2:$G$6834,3,FALSE),"")</f>
        <v/>
      </c>
      <c r="E2066" s="480" t="str">
        <f>IFERROR(VLOOKUP(A2066,[3]DOORSCRIEFT!$A$2:$G$6834,4,FALSE),"")</f>
        <v/>
      </c>
      <c r="F2066" s="405" t="str">
        <f>IFERROR(VLOOKUP(A2066,[3]DOORSCRIEFT!$A$2:$G$6834,7,FALSE),"")</f>
        <v/>
      </c>
      <c r="G2066" s="315"/>
    </row>
    <row r="2067" spans="1:7" ht="15.75" thickBot="1" x14ac:dyDescent="0.3">
      <c r="A2067" s="342" t="str">
        <f t="shared" si="70"/>
        <v>II.3.1.4.07.00315</v>
      </c>
      <c r="B2067" s="342">
        <v>15</v>
      </c>
      <c r="C2067" s="339" t="str">
        <f>IFERROR(VLOOKUP(A2067,[3]DOORSCRIEFT!$A$2:$G$6834,2,FALSE),"")</f>
        <v/>
      </c>
      <c r="D2067" s="481" t="str">
        <f>IFERROR(VLOOKUP(A2067,[3]DOORSCRIEFT!$A$2:$G$6834,3,FALSE),"")</f>
        <v/>
      </c>
      <c r="E2067" s="480" t="str">
        <f>IFERROR(VLOOKUP(A2067,[3]DOORSCRIEFT!$A$2:$G$6834,4,FALSE),"")</f>
        <v/>
      </c>
      <c r="F2067" s="405" t="str">
        <f>IFERROR(VLOOKUP(A2067,[3]DOORSCRIEFT!$A$2:$G$6834,7,FALSE),"")</f>
        <v/>
      </c>
      <c r="G2067" s="315"/>
    </row>
    <row r="2068" spans="1:7" ht="15.75" thickBot="1" x14ac:dyDescent="0.3">
      <c r="A2068" s="341"/>
      <c r="B2068" s="340"/>
      <c r="C2068" s="336"/>
      <c r="D2068" s="486"/>
      <c r="E2068" s="340" t="s">
        <v>644</v>
      </c>
      <c r="F2068" s="310">
        <f>SUM(F2053:F2067)</f>
        <v>0</v>
      </c>
      <c r="G2068" s="309">
        <f>SUM(G2053:G2067)</f>
        <v>0</v>
      </c>
    </row>
    <row r="2069" spans="1:7" x14ac:dyDescent="0.25">
      <c r="C2069" s="335"/>
      <c r="D2069" s="485"/>
    </row>
    <row r="2070" spans="1:7" x14ac:dyDescent="0.25">
      <c r="C2070" s="335"/>
      <c r="D2070" s="485"/>
    </row>
    <row r="2071" spans="1:7" ht="15.75" x14ac:dyDescent="0.25">
      <c r="C2071" s="334" t="s">
        <v>663</v>
      </c>
      <c r="D2071" s="484"/>
      <c r="E2071" s="333"/>
      <c r="F2071" s="327" t="s">
        <v>607</v>
      </c>
      <c r="G2071" s="327" t="s">
        <v>66</v>
      </c>
    </row>
    <row r="2072" spans="1:7" ht="15.75" x14ac:dyDescent="0.25">
      <c r="C2072" s="334"/>
      <c r="D2072" s="484"/>
      <c r="E2072" s="333"/>
      <c r="F2072" s="327" t="s">
        <v>601</v>
      </c>
      <c r="G2072" s="327" t="s">
        <v>65</v>
      </c>
    </row>
    <row r="2073" spans="1:7" x14ac:dyDescent="0.25">
      <c r="C2073" s="330"/>
      <c r="D2073" s="482"/>
      <c r="E2073" s="329"/>
      <c r="F2073" s="327" t="s">
        <v>651</v>
      </c>
      <c r="G2073" s="331">
        <f>[2]Sheet1!$D$548</f>
        <v>0</v>
      </c>
    </row>
    <row r="2074" spans="1:7" ht="15.75" thickBot="1" x14ac:dyDescent="0.3">
      <c r="C2074" s="330"/>
      <c r="D2074" s="482"/>
      <c r="E2074" s="329"/>
      <c r="F2074" s="327" t="s">
        <v>650</v>
      </c>
      <c r="G2074" s="326">
        <f>+F2093-G2073</f>
        <v>0</v>
      </c>
    </row>
    <row r="2075" spans="1:7" x14ac:dyDescent="0.25">
      <c r="A2075" s="571" t="s">
        <v>655</v>
      </c>
      <c r="B2075" s="573" t="s">
        <v>606</v>
      </c>
      <c r="C2075" s="588" t="s">
        <v>649</v>
      </c>
      <c r="D2075" s="599" t="s">
        <v>648</v>
      </c>
      <c r="E2075" s="577" t="s">
        <v>647</v>
      </c>
      <c r="F2075" s="577" t="s">
        <v>646</v>
      </c>
      <c r="G2075" s="580" t="s">
        <v>645</v>
      </c>
    </row>
    <row r="2076" spans="1:7" ht="15.75" thickBot="1" x14ac:dyDescent="0.3">
      <c r="A2076" s="572"/>
      <c r="B2076" s="574"/>
      <c r="C2076" s="589"/>
      <c r="D2076" s="600"/>
      <c r="E2076" s="578"/>
      <c r="F2076" s="578"/>
      <c r="G2076" s="581"/>
    </row>
    <row r="2077" spans="1:7" ht="15.75" thickBot="1" x14ac:dyDescent="0.3">
      <c r="A2077" s="425">
        <v>1</v>
      </c>
      <c r="B2077" s="425">
        <v>2</v>
      </c>
      <c r="C2077" s="425">
        <v>3</v>
      </c>
      <c r="D2077" s="425">
        <v>4</v>
      </c>
      <c r="E2077" s="425">
        <v>5</v>
      </c>
      <c r="F2077" s="425">
        <v>6</v>
      </c>
      <c r="G2077" s="425">
        <v>7</v>
      </c>
    </row>
    <row r="2078" spans="1:7" x14ac:dyDescent="0.25">
      <c r="A2078" s="320" t="str">
        <f t="shared" ref="A2078:A2092" si="71">$G$2071&amp;B2078</f>
        <v>II.4.1.011</v>
      </c>
      <c r="B2078" s="320">
        <v>1</v>
      </c>
      <c r="C2078" s="339" t="str">
        <f>IFERROR(VLOOKUP(A2078,[3]DOORSCRIEFT!$A$2:$G$6834,2,FALSE),"")</f>
        <v/>
      </c>
      <c r="D2078" s="481" t="str">
        <f>IFERROR(VLOOKUP(A2078,[3]DOORSCRIEFT!$A$2:$G$6834,3,FALSE),"")</f>
        <v/>
      </c>
      <c r="E2078" s="480" t="str">
        <f>IFERROR(VLOOKUP(A2078,[3]DOORSCRIEFT!$A$2:$G$6834,4,FALSE),"")</f>
        <v/>
      </c>
      <c r="F2078" s="405" t="str">
        <f>IFERROR(VLOOKUP(A2078,[3]DOORSCRIEFT!$A$2:$G$6834,7,FALSE),"")</f>
        <v/>
      </c>
      <c r="G2078" s="322"/>
    </row>
    <row r="2079" spans="1:7" x14ac:dyDescent="0.25">
      <c r="A2079" s="321" t="str">
        <f t="shared" si="71"/>
        <v>II.4.1.012</v>
      </c>
      <c r="B2079" s="321">
        <v>2</v>
      </c>
      <c r="C2079" s="339" t="str">
        <f>IFERROR(VLOOKUP(A2079,[3]DOORSCRIEFT!$A$2:$G$6834,2,FALSE),"")</f>
        <v/>
      </c>
      <c r="D2079" s="481" t="str">
        <f>IFERROR(VLOOKUP(A2079,[3]DOORSCRIEFT!$A$2:$G$6834,3,FALSE),"")</f>
        <v/>
      </c>
      <c r="E2079" s="480" t="str">
        <f>IFERROR(VLOOKUP(A2079,[3]DOORSCRIEFT!$A$2:$G$6834,4,FALSE),"")</f>
        <v/>
      </c>
      <c r="F2079" s="405" t="str">
        <f>IFERROR(VLOOKUP(A2079,[3]DOORSCRIEFT!$A$2:$G$6834,7,FALSE),"")</f>
        <v/>
      </c>
      <c r="G2079" s="315"/>
    </row>
    <row r="2080" spans="1:7" x14ac:dyDescent="0.25">
      <c r="A2080" s="321" t="str">
        <f t="shared" si="71"/>
        <v>II.4.1.013</v>
      </c>
      <c r="B2080" s="321">
        <v>3</v>
      </c>
      <c r="C2080" s="339" t="str">
        <f>IFERROR(VLOOKUP(A2080,[3]DOORSCRIEFT!$A$2:$G$6834,2,FALSE),"")</f>
        <v/>
      </c>
      <c r="D2080" s="481" t="str">
        <f>IFERROR(VLOOKUP(A2080,[3]DOORSCRIEFT!$A$2:$G$6834,3,FALSE),"")</f>
        <v/>
      </c>
      <c r="E2080" s="480" t="str">
        <f>IFERROR(VLOOKUP(A2080,[3]DOORSCRIEFT!$A$2:$G$6834,4,FALSE),"")</f>
        <v/>
      </c>
      <c r="F2080" s="405" t="str">
        <f>IFERROR(VLOOKUP(A2080,[3]DOORSCRIEFT!$A$2:$G$6834,7,FALSE),"")</f>
        <v/>
      </c>
      <c r="G2080" s="315"/>
    </row>
    <row r="2081" spans="1:7" x14ac:dyDescent="0.25">
      <c r="A2081" s="321" t="str">
        <f t="shared" si="71"/>
        <v>II.4.1.014</v>
      </c>
      <c r="B2081" s="321">
        <v>4</v>
      </c>
      <c r="C2081" s="339" t="str">
        <f>IFERROR(VLOOKUP(A2081,[3]DOORSCRIEFT!$A$2:$G$6834,2,FALSE),"")</f>
        <v/>
      </c>
      <c r="D2081" s="481" t="str">
        <f>IFERROR(VLOOKUP(A2081,[3]DOORSCRIEFT!$A$2:$G$6834,3,FALSE),"")</f>
        <v/>
      </c>
      <c r="E2081" s="480" t="str">
        <f>IFERROR(VLOOKUP(A2081,[3]DOORSCRIEFT!$A$2:$G$6834,4,FALSE),"")</f>
        <v/>
      </c>
      <c r="F2081" s="405" t="str">
        <f>IFERROR(VLOOKUP(A2081,[3]DOORSCRIEFT!$A$2:$G$6834,7,FALSE),"")</f>
        <v/>
      </c>
      <c r="G2081" s="315"/>
    </row>
    <row r="2082" spans="1:7" x14ac:dyDescent="0.25">
      <c r="A2082" s="321" t="str">
        <f t="shared" si="71"/>
        <v>II.4.1.015</v>
      </c>
      <c r="B2082" s="321">
        <v>5</v>
      </c>
      <c r="C2082" s="339" t="str">
        <f>IFERROR(VLOOKUP(A2082,[3]DOORSCRIEFT!$A$2:$G$6834,2,FALSE),"")</f>
        <v/>
      </c>
      <c r="D2082" s="481" t="str">
        <f>IFERROR(VLOOKUP(A2082,[3]DOORSCRIEFT!$A$2:$G$6834,3,FALSE),"")</f>
        <v/>
      </c>
      <c r="E2082" s="480" t="str">
        <f>IFERROR(VLOOKUP(A2082,[3]DOORSCRIEFT!$A$2:$G$6834,4,FALSE),"")</f>
        <v/>
      </c>
      <c r="F2082" s="405" t="str">
        <f>IFERROR(VLOOKUP(A2082,[3]DOORSCRIEFT!$A$2:$G$6834,7,FALSE),"")</f>
        <v/>
      </c>
      <c r="G2082" s="315"/>
    </row>
    <row r="2083" spans="1:7" x14ac:dyDescent="0.25">
      <c r="A2083" s="321" t="str">
        <f t="shared" si="71"/>
        <v>II.4.1.016</v>
      </c>
      <c r="B2083" s="321">
        <v>6</v>
      </c>
      <c r="C2083" s="339" t="str">
        <f>IFERROR(VLOOKUP(A2083,[3]DOORSCRIEFT!$A$2:$G$6834,2,FALSE),"")</f>
        <v/>
      </c>
      <c r="D2083" s="481" t="str">
        <f>IFERROR(VLOOKUP(A2083,[3]DOORSCRIEFT!$A$2:$G$6834,3,FALSE),"")</f>
        <v/>
      </c>
      <c r="E2083" s="480" t="str">
        <f>IFERROR(VLOOKUP(A2083,[3]DOORSCRIEFT!$A$2:$G$6834,4,FALSE),"")</f>
        <v/>
      </c>
      <c r="F2083" s="405" t="str">
        <f>IFERROR(VLOOKUP(A2083,[3]DOORSCRIEFT!$A$2:$G$6834,7,FALSE),"")</f>
        <v/>
      </c>
      <c r="G2083" s="315"/>
    </row>
    <row r="2084" spans="1:7" x14ac:dyDescent="0.25">
      <c r="A2084" s="321" t="str">
        <f t="shared" si="71"/>
        <v>II.4.1.017</v>
      </c>
      <c r="B2084" s="321">
        <v>7</v>
      </c>
      <c r="C2084" s="339" t="str">
        <f>IFERROR(VLOOKUP(A2084,[3]DOORSCRIEFT!$A$2:$G$6834,2,FALSE),"")</f>
        <v/>
      </c>
      <c r="D2084" s="481" t="str">
        <f>IFERROR(VLOOKUP(A2084,[3]DOORSCRIEFT!$A$2:$G$6834,3,FALSE),"")</f>
        <v/>
      </c>
      <c r="E2084" s="480" t="str">
        <f>IFERROR(VLOOKUP(A2084,[3]DOORSCRIEFT!$A$2:$G$6834,4,FALSE),"")</f>
        <v/>
      </c>
      <c r="F2084" s="405" t="str">
        <f>IFERROR(VLOOKUP(A2084,[3]DOORSCRIEFT!$A$2:$G$6834,7,FALSE),"")</f>
        <v/>
      </c>
      <c r="G2084" s="315"/>
    </row>
    <row r="2085" spans="1:7" x14ac:dyDescent="0.25">
      <c r="A2085" s="321" t="str">
        <f t="shared" si="71"/>
        <v>II.4.1.018</v>
      </c>
      <c r="B2085" s="321">
        <v>8</v>
      </c>
      <c r="C2085" s="339" t="str">
        <f>IFERROR(VLOOKUP(A2085,[3]DOORSCRIEFT!$A$2:$G$6834,2,FALSE),"")</f>
        <v/>
      </c>
      <c r="D2085" s="481" t="str">
        <f>IFERROR(VLOOKUP(A2085,[3]DOORSCRIEFT!$A$2:$G$6834,3,FALSE),"")</f>
        <v/>
      </c>
      <c r="E2085" s="480" t="str">
        <f>IFERROR(VLOOKUP(A2085,[3]DOORSCRIEFT!$A$2:$G$6834,4,FALSE),"")</f>
        <v/>
      </c>
      <c r="F2085" s="405" t="str">
        <f>IFERROR(VLOOKUP(A2085,[3]DOORSCRIEFT!$A$2:$G$6834,7,FALSE),"")</f>
        <v/>
      </c>
      <c r="G2085" s="315"/>
    </row>
    <row r="2086" spans="1:7" x14ac:dyDescent="0.25">
      <c r="A2086" s="321" t="str">
        <f t="shared" si="71"/>
        <v>II.4.1.019</v>
      </c>
      <c r="B2086" s="321">
        <v>9</v>
      </c>
      <c r="C2086" s="339" t="str">
        <f>IFERROR(VLOOKUP(A2086,[3]DOORSCRIEFT!$A$2:$G$6834,2,FALSE),"")</f>
        <v/>
      </c>
      <c r="D2086" s="481" t="str">
        <f>IFERROR(VLOOKUP(A2086,[3]DOORSCRIEFT!$A$2:$G$6834,3,FALSE),"")</f>
        <v/>
      </c>
      <c r="E2086" s="480" t="str">
        <f>IFERROR(VLOOKUP(A2086,[3]DOORSCRIEFT!$A$2:$G$6834,4,FALSE),"")</f>
        <v/>
      </c>
      <c r="F2086" s="405" t="str">
        <f>IFERROR(VLOOKUP(A2086,[3]DOORSCRIEFT!$A$2:$G$6834,7,FALSE),"")</f>
        <v/>
      </c>
      <c r="G2086" s="315"/>
    </row>
    <row r="2087" spans="1:7" x14ac:dyDescent="0.25">
      <c r="A2087" s="321" t="str">
        <f t="shared" si="71"/>
        <v>II.4.1.0110</v>
      </c>
      <c r="B2087" s="321">
        <v>10</v>
      </c>
      <c r="C2087" s="339" t="str">
        <f>IFERROR(VLOOKUP(A2087,[3]DOORSCRIEFT!$A$2:$G$6834,2,FALSE),"")</f>
        <v/>
      </c>
      <c r="D2087" s="481" t="str">
        <f>IFERROR(VLOOKUP(A2087,[3]DOORSCRIEFT!$A$2:$G$6834,3,FALSE),"")</f>
        <v/>
      </c>
      <c r="E2087" s="480" t="str">
        <f>IFERROR(VLOOKUP(A2087,[3]DOORSCRIEFT!$A$2:$G$6834,4,FALSE),"")</f>
        <v/>
      </c>
      <c r="F2087" s="405" t="str">
        <f>IFERROR(VLOOKUP(A2087,[3]DOORSCRIEFT!$A$2:$G$6834,7,FALSE),"")</f>
        <v/>
      </c>
      <c r="G2087" s="315"/>
    </row>
    <row r="2088" spans="1:7" x14ac:dyDescent="0.25">
      <c r="A2088" s="321" t="str">
        <f t="shared" si="71"/>
        <v>II.4.1.0111</v>
      </c>
      <c r="B2088" s="321">
        <v>11</v>
      </c>
      <c r="C2088" s="339" t="str">
        <f>IFERROR(VLOOKUP(A2088,[3]DOORSCRIEFT!$A$2:$G$6834,2,FALSE),"")</f>
        <v/>
      </c>
      <c r="D2088" s="481" t="str">
        <f>IFERROR(VLOOKUP(A2088,[3]DOORSCRIEFT!$A$2:$G$6834,3,FALSE),"")</f>
        <v/>
      </c>
      <c r="E2088" s="480" t="str">
        <f>IFERROR(VLOOKUP(A2088,[3]DOORSCRIEFT!$A$2:$G$6834,4,FALSE),"")</f>
        <v/>
      </c>
      <c r="F2088" s="405" t="str">
        <f>IFERROR(VLOOKUP(A2088,[3]DOORSCRIEFT!$A$2:$G$6834,7,FALSE),"")</f>
        <v/>
      </c>
      <c r="G2088" s="315"/>
    </row>
    <row r="2089" spans="1:7" x14ac:dyDescent="0.25">
      <c r="A2089" s="321" t="str">
        <f t="shared" si="71"/>
        <v>II.4.1.0112</v>
      </c>
      <c r="B2089" s="321">
        <v>12</v>
      </c>
      <c r="C2089" s="339" t="str">
        <f>IFERROR(VLOOKUP(A2089,[3]DOORSCRIEFT!$A$2:$G$6834,2,FALSE),"")</f>
        <v/>
      </c>
      <c r="D2089" s="481" t="str">
        <f>IFERROR(VLOOKUP(A2089,[3]DOORSCRIEFT!$A$2:$G$6834,3,FALSE),"")</f>
        <v/>
      </c>
      <c r="E2089" s="480" t="str">
        <f>IFERROR(VLOOKUP(A2089,[3]DOORSCRIEFT!$A$2:$G$6834,4,FALSE),"")</f>
        <v/>
      </c>
      <c r="F2089" s="405" t="str">
        <f>IFERROR(VLOOKUP(A2089,[3]DOORSCRIEFT!$A$2:$G$6834,7,FALSE),"")</f>
        <v/>
      </c>
      <c r="G2089" s="315"/>
    </row>
    <row r="2090" spans="1:7" x14ac:dyDescent="0.25">
      <c r="A2090" s="321" t="str">
        <f t="shared" si="71"/>
        <v>II.4.1.0113</v>
      </c>
      <c r="B2090" s="321">
        <v>13</v>
      </c>
      <c r="C2090" s="339" t="str">
        <f>IFERROR(VLOOKUP(A2090,[3]DOORSCRIEFT!$A$2:$G$6834,2,FALSE),"")</f>
        <v/>
      </c>
      <c r="D2090" s="481" t="str">
        <f>IFERROR(VLOOKUP(A2090,[3]DOORSCRIEFT!$A$2:$G$6834,3,FALSE),"")</f>
        <v/>
      </c>
      <c r="E2090" s="480" t="str">
        <f>IFERROR(VLOOKUP(A2090,[3]DOORSCRIEFT!$A$2:$G$6834,4,FALSE),"")</f>
        <v/>
      </c>
      <c r="F2090" s="405" t="str">
        <f>IFERROR(VLOOKUP(A2090,[3]DOORSCRIEFT!$A$2:$G$6834,7,FALSE),"")</f>
        <v/>
      </c>
      <c r="G2090" s="315"/>
    </row>
    <row r="2091" spans="1:7" x14ac:dyDescent="0.25">
      <c r="A2091" s="321" t="str">
        <f t="shared" si="71"/>
        <v>II.4.1.0114</v>
      </c>
      <c r="B2091" s="321">
        <v>14</v>
      </c>
      <c r="C2091" s="339" t="str">
        <f>IFERROR(VLOOKUP(A2091,[3]DOORSCRIEFT!$A$2:$G$6834,2,FALSE),"")</f>
        <v/>
      </c>
      <c r="D2091" s="481" t="str">
        <f>IFERROR(VLOOKUP(A2091,[3]DOORSCRIEFT!$A$2:$G$6834,3,FALSE),"")</f>
        <v/>
      </c>
      <c r="E2091" s="480" t="str">
        <f>IFERROR(VLOOKUP(A2091,[3]DOORSCRIEFT!$A$2:$G$6834,4,FALSE),"")</f>
        <v/>
      </c>
      <c r="F2091" s="405" t="str">
        <f>IFERROR(VLOOKUP(A2091,[3]DOORSCRIEFT!$A$2:$G$6834,7,FALSE),"")</f>
        <v/>
      </c>
      <c r="G2091" s="315"/>
    </row>
    <row r="2092" spans="1:7" ht="15.75" thickBot="1" x14ac:dyDescent="0.3">
      <c r="A2092" s="342" t="str">
        <f t="shared" si="71"/>
        <v>II.4.1.0115</v>
      </c>
      <c r="B2092" s="342">
        <v>15</v>
      </c>
      <c r="C2092" s="339" t="str">
        <f>IFERROR(VLOOKUP(A2092,[3]DOORSCRIEFT!$A$2:$G$6834,2,FALSE),"")</f>
        <v/>
      </c>
      <c r="D2092" s="481" t="str">
        <f>IFERROR(VLOOKUP(A2092,[3]DOORSCRIEFT!$A$2:$G$6834,3,FALSE),"")</f>
        <v/>
      </c>
      <c r="E2092" s="480" t="str">
        <f>IFERROR(VLOOKUP(A2092,[3]DOORSCRIEFT!$A$2:$G$6834,4,FALSE),"")</f>
        <v/>
      </c>
      <c r="F2092" s="405" t="str">
        <f>IFERROR(VLOOKUP(A2092,[3]DOORSCRIEFT!$A$2:$G$6834,7,FALSE),"")</f>
        <v/>
      </c>
      <c r="G2092" s="315"/>
    </row>
    <row r="2093" spans="1:7" ht="15.75" thickBot="1" x14ac:dyDescent="0.3">
      <c r="A2093" s="341"/>
      <c r="B2093" s="340"/>
      <c r="C2093" s="336"/>
      <c r="D2093" s="486"/>
      <c r="E2093" s="340" t="s">
        <v>644</v>
      </c>
      <c r="F2093" s="310">
        <f>SUM(F2078:F2092)</f>
        <v>0</v>
      </c>
      <c r="G2093" s="309">
        <f>SUM(G2078:G2092)</f>
        <v>0</v>
      </c>
    </row>
    <row r="2094" spans="1:7" x14ac:dyDescent="0.25">
      <c r="C2094" s="335"/>
      <c r="D2094" s="485"/>
    </row>
    <row r="2095" spans="1:7" x14ac:dyDescent="0.25">
      <c r="C2095" s="335"/>
      <c r="D2095" s="485"/>
    </row>
    <row r="2096" spans="1:7" ht="15.75" x14ac:dyDescent="0.25">
      <c r="C2096" s="334" t="s">
        <v>663</v>
      </c>
      <c r="D2096" s="484"/>
      <c r="E2096" s="333"/>
      <c r="F2096" s="327" t="s">
        <v>607</v>
      </c>
      <c r="G2096" s="327" t="s">
        <v>64</v>
      </c>
    </row>
    <row r="2097" spans="1:7" ht="15.75" x14ac:dyDescent="0.25">
      <c r="C2097" s="334"/>
      <c r="D2097" s="484"/>
      <c r="E2097" s="333"/>
      <c r="F2097" s="327" t="s">
        <v>601</v>
      </c>
      <c r="G2097" s="483" t="s">
        <v>63</v>
      </c>
    </row>
    <row r="2098" spans="1:7" x14ac:dyDescent="0.25">
      <c r="C2098" s="330"/>
      <c r="D2098" s="482"/>
      <c r="E2098" s="329"/>
      <c r="F2098" s="327" t="s">
        <v>651</v>
      </c>
      <c r="G2098" s="331">
        <f>[2]Sheet1!$D$549</f>
        <v>0</v>
      </c>
    </row>
    <row r="2099" spans="1:7" ht="15.75" thickBot="1" x14ac:dyDescent="0.3">
      <c r="C2099" s="330"/>
      <c r="D2099" s="482"/>
      <c r="E2099" s="329"/>
      <c r="F2099" s="327" t="s">
        <v>650</v>
      </c>
      <c r="G2099" s="326">
        <f>+F2118-G2098</f>
        <v>0</v>
      </c>
    </row>
    <row r="2100" spans="1:7" x14ac:dyDescent="0.25">
      <c r="A2100" s="571" t="s">
        <v>655</v>
      </c>
      <c r="B2100" s="573" t="s">
        <v>606</v>
      </c>
      <c r="C2100" s="588" t="s">
        <v>649</v>
      </c>
      <c r="D2100" s="599" t="s">
        <v>648</v>
      </c>
      <c r="E2100" s="577" t="s">
        <v>647</v>
      </c>
      <c r="F2100" s="577" t="s">
        <v>646</v>
      </c>
      <c r="G2100" s="580" t="s">
        <v>645</v>
      </c>
    </row>
    <row r="2101" spans="1:7" ht="15.75" thickBot="1" x14ac:dyDescent="0.3">
      <c r="A2101" s="572"/>
      <c r="B2101" s="574"/>
      <c r="C2101" s="589"/>
      <c r="D2101" s="600"/>
      <c r="E2101" s="578"/>
      <c r="F2101" s="578"/>
      <c r="G2101" s="581"/>
    </row>
    <row r="2102" spans="1:7" ht="15.75" thickBot="1" x14ac:dyDescent="0.3">
      <c r="A2102" s="425">
        <v>1</v>
      </c>
      <c r="B2102" s="425">
        <v>2</v>
      </c>
      <c r="C2102" s="425">
        <v>3</v>
      </c>
      <c r="D2102" s="425">
        <v>4</v>
      </c>
      <c r="E2102" s="425">
        <v>5</v>
      </c>
      <c r="F2102" s="425">
        <v>6</v>
      </c>
      <c r="G2102" s="425">
        <v>7</v>
      </c>
    </row>
    <row r="2103" spans="1:7" x14ac:dyDescent="0.25">
      <c r="A2103" s="320" t="str">
        <f t="shared" ref="A2103:A2117" si="72">$G$2096&amp;B2103</f>
        <v>II.4.1.021</v>
      </c>
      <c r="B2103" s="320">
        <v>1</v>
      </c>
      <c r="C2103" s="339" t="str">
        <f>IFERROR(VLOOKUP(A2103,[3]DOORSCRIEFT!$A$2:$G$6834,2,FALSE),"")</f>
        <v/>
      </c>
      <c r="D2103" s="481" t="str">
        <f>IFERROR(VLOOKUP(A2103,[3]DOORSCRIEFT!$A$2:$G$6834,3,FALSE),"")</f>
        <v/>
      </c>
      <c r="E2103" s="480" t="str">
        <f>IFERROR(VLOOKUP(A2103,[3]DOORSCRIEFT!$A$2:$G$6834,4,FALSE),"")</f>
        <v/>
      </c>
      <c r="F2103" s="405" t="str">
        <f>IFERROR(VLOOKUP(A2103,[3]DOORSCRIEFT!$A$2:$G$6834,7,FALSE),"")</f>
        <v/>
      </c>
      <c r="G2103" s="322"/>
    </row>
    <row r="2104" spans="1:7" x14ac:dyDescent="0.25">
      <c r="A2104" s="321" t="str">
        <f t="shared" si="72"/>
        <v>II.4.1.022</v>
      </c>
      <c r="B2104" s="321">
        <v>2</v>
      </c>
      <c r="C2104" s="339" t="str">
        <f>IFERROR(VLOOKUP(A2104,[3]DOORSCRIEFT!$A$2:$G$6834,2,FALSE),"")</f>
        <v/>
      </c>
      <c r="D2104" s="481" t="str">
        <f>IFERROR(VLOOKUP(A2104,[3]DOORSCRIEFT!$A$2:$G$6834,3,FALSE),"")</f>
        <v/>
      </c>
      <c r="E2104" s="480" t="str">
        <f>IFERROR(VLOOKUP(A2104,[3]DOORSCRIEFT!$A$2:$G$6834,4,FALSE),"")</f>
        <v/>
      </c>
      <c r="F2104" s="405" t="str">
        <f>IFERROR(VLOOKUP(A2104,[3]DOORSCRIEFT!$A$2:$G$6834,7,FALSE),"")</f>
        <v/>
      </c>
      <c r="G2104" s="315"/>
    </row>
    <row r="2105" spans="1:7" x14ac:dyDescent="0.25">
      <c r="A2105" s="321" t="str">
        <f t="shared" si="72"/>
        <v>II.4.1.023</v>
      </c>
      <c r="B2105" s="321">
        <v>3</v>
      </c>
      <c r="C2105" s="339" t="str">
        <f>IFERROR(VLOOKUP(A2105,[3]DOORSCRIEFT!$A$2:$G$6834,2,FALSE),"")</f>
        <v/>
      </c>
      <c r="D2105" s="481" t="str">
        <f>IFERROR(VLOOKUP(A2105,[3]DOORSCRIEFT!$A$2:$G$6834,3,FALSE),"")</f>
        <v/>
      </c>
      <c r="E2105" s="480" t="str">
        <f>IFERROR(VLOOKUP(A2105,[3]DOORSCRIEFT!$A$2:$G$6834,4,FALSE),"")</f>
        <v/>
      </c>
      <c r="F2105" s="405" t="str">
        <f>IFERROR(VLOOKUP(A2105,[3]DOORSCRIEFT!$A$2:$G$6834,7,FALSE),"")</f>
        <v/>
      </c>
      <c r="G2105" s="315"/>
    </row>
    <row r="2106" spans="1:7" x14ac:dyDescent="0.25">
      <c r="A2106" s="321" t="str">
        <f t="shared" si="72"/>
        <v>II.4.1.024</v>
      </c>
      <c r="B2106" s="321">
        <v>4</v>
      </c>
      <c r="C2106" s="339" t="str">
        <f>IFERROR(VLOOKUP(A2106,[3]DOORSCRIEFT!$A$2:$G$6834,2,FALSE),"")</f>
        <v/>
      </c>
      <c r="D2106" s="481" t="str">
        <f>IFERROR(VLOOKUP(A2106,[3]DOORSCRIEFT!$A$2:$G$6834,3,FALSE),"")</f>
        <v/>
      </c>
      <c r="E2106" s="480" t="str">
        <f>IFERROR(VLOOKUP(A2106,[3]DOORSCRIEFT!$A$2:$G$6834,4,FALSE),"")</f>
        <v/>
      </c>
      <c r="F2106" s="405" t="str">
        <f>IFERROR(VLOOKUP(A2106,[3]DOORSCRIEFT!$A$2:$G$6834,7,FALSE),"")</f>
        <v/>
      </c>
      <c r="G2106" s="315"/>
    </row>
    <row r="2107" spans="1:7" x14ac:dyDescent="0.25">
      <c r="A2107" s="321" t="str">
        <f t="shared" si="72"/>
        <v>II.4.1.025</v>
      </c>
      <c r="B2107" s="321">
        <v>5</v>
      </c>
      <c r="C2107" s="339" t="str">
        <f>IFERROR(VLOOKUP(A2107,[3]DOORSCRIEFT!$A$2:$G$6834,2,FALSE),"")</f>
        <v/>
      </c>
      <c r="D2107" s="481" t="str">
        <f>IFERROR(VLOOKUP(A2107,[3]DOORSCRIEFT!$A$2:$G$6834,3,FALSE),"")</f>
        <v/>
      </c>
      <c r="E2107" s="480" t="str">
        <f>IFERROR(VLOOKUP(A2107,[3]DOORSCRIEFT!$A$2:$G$6834,4,FALSE),"")</f>
        <v/>
      </c>
      <c r="F2107" s="405" t="str">
        <f>IFERROR(VLOOKUP(A2107,[3]DOORSCRIEFT!$A$2:$G$6834,7,FALSE),"")</f>
        <v/>
      </c>
      <c r="G2107" s="315"/>
    </row>
    <row r="2108" spans="1:7" x14ac:dyDescent="0.25">
      <c r="A2108" s="321" t="str">
        <f t="shared" si="72"/>
        <v>II.4.1.026</v>
      </c>
      <c r="B2108" s="321">
        <v>6</v>
      </c>
      <c r="C2108" s="339" t="str">
        <f>IFERROR(VLOOKUP(A2108,[3]DOORSCRIEFT!$A$2:$G$6834,2,FALSE),"")</f>
        <v/>
      </c>
      <c r="D2108" s="481" t="str">
        <f>IFERROR(VLOOKUP(A2108,[3]DOORSCRIEFT!$A$2:$G$6834,3,FALSE),"")</f>
        <v/>
      </c>
      <c r="E2108" s="480" t="str">
        <f>IFERROR(VLOOKUP(A2108,[3]DOORSCRIEFT!$A$2:$G$6834,4,FALSE),"")</f>
        <v/>
      </c>
      <c r="F2108" s="405" t="str">
        <f>IFERROR(VLOOKUP(A2108,[3]DOORSCRIEFT!$A$2:$G$6834,7,FALSE),"")</f>
        <v/>
      </c>
      <c r="G2108" s="315"/>
    </row>
    <row r="2109" spans="1:7" x14ac:dyDescent="0.25">
      <c r="A2109" s="321" t="str">
        <f t="shared" si="72"/>
        <v>II.4.1.027</v>
      </c>
      <c r="B2109" s="321">
        <v>7</v>
      </c>
      <c r="C2109" s="339" t="str">
        <f>IFERROR(VLOOKUP(A2109,[3]DOORSCRIEFT!$A$2:$G$6834,2,FALSE),"")</f>
        <v/>
      </c>
      <c r="D2109" s="481" t="str">
        <f>IFERROR(VLOOKUP(A2109,[3]DOORSCRIEFT!$A$2:$G$6834,3,FALSE),"")</f>
        <v/>
      </c>
      <c r="E2109" s="480" t="str">
        <f>IFERROR(VLOOKUP(A2109,[3]DOORSCRIEFT!$A$2:$G$6834,4,FALSE),"")</f>
        <v/>
      </c>
      <c r="F2109" s="405" t="str">
        <f>IFERROR(VLOOKUP(A2109,[3]DOORSCRIEFT!$A$2:$G$6834,7,FALSE),"")</f>
        <v/>
      </c>
      <c r="G2109" s="315"/>
    </row>
    <row r="2110" spans="1:7" x14ac:dyDescent="0.25">
      <c r="A2110" s="321" t="str">
        <f t="shared" si="72"/>
        <v>II.4.1.028</v>
      </c>
      <c r="B2110" s="321">
        <v>8</v>
      </c>
      <c r="C2110" s="339" t="str">
        <f>IFERROR(VLOOKUP(A2110,[3]DOORSCRIEFT!$A$2:$G$6834,2,FALSE),"")</f>
        <v/>
      </c>
      <c r="D2110" s="481" t="str">
        <f>IFERROR(VLOOKUP(A2110,[3]DOORSCRIEFT!$A$2:$G$6834,3,FALSE),"")</f>
        <v/>
      </c>
      <c r="E2110" s="480" t="str">
        <f>IFERROR(VLOOKUP(A2110,[3]DOORSCRIEFT!$A$2:$G$6834,4,FALSE),"")</f>
        <v/>
      </c>
      <c r="F2110" s="405" t="str">
        <f>IFERROR(VLOOKUP(A2110,[3]DOORSCRIEFT!$A$2:$G$6834,7,FALSE),"")</f>
        <v/>
      </c>
      <c r="G2110" s="315"/>
    </row>
    <row r="2111" spans="1:7" x14ac:dyDescent="0.25">
      <c r="A2111" s="321" t="str">
        <f t="shared" si="72"/>
        <v>II.4.1.029</v>
      </c>
      <c r="B2111" s="321">
        <v>9</v>
      </c>
      <c r="C2111" s="339" t="str">
        <f>IFERROR(VLOOKUP(A2111,[3]DOORSCRIEFT!$A$2:$G$6834,2,FALSE),"")</f>
        <v/>
      </c>
      <c r="D2111" s="481" t="str">
        <f>IFERROR(VLOOKUP(A2111,[3]DOORSCRIEFT!$A$2:$G$6834,3,FALSE),"")</f>
        <v/>
      </c>
      <c r="E2111" s="480" t="str">
        <f>IFERROR(VLOOKUP(A2111,[3]DOORSCRIEFT!$A$2:$G$6834,4,FALSE),"")</f>
        <v/>
      </c>
      <c r="F2111" s="405" t="str">
        <f>IFERROR(VLOOKUP(A2111,[3]DOORSCRIEFT!$A$2:$G$6834,7,FALSE),"")</f>
        <v/>
      </c>
      <c r="G2111" s="315"/>
    </row>
    <row r="2112" spans="1:7" x14ac:dyDescent="0.25">
      <c r="A2112" s="321" t="str">
        <f t="shared" si="72"/>
        <v>II.4.1.0210</v>
      </c>
      <c r="B2112" s="321">
        <v>10</v>
      </c>
      <c r="C2112" s="339" t="str">
        <f>IFERROR(VLOOKUP(A2112,[3]DOORSCRIEFT!$A$2:$G$6834,2,FALSE),"")</f>
        <v/>
      </c>
      <c r="D2112" s="481" t="str">
        <f>IFERROR(VLOOKUP(A2112,[3]DOORSCRIEFT!$A$2:$G$6834,3,FALSE),"")</f>
        <v/>
      </c>
      <c r="E2112" s="480" t="str">
        <f>IFERROR(VLOOKUP(A2112,[3]DOORSCRIEFT!$A$2:$G$6834,4,FALSE),"")</f>
        <v/>
      </c>
      <c r="F2112" s="405" t="str">
        <f>IFERROR(VLOOKUP(A2112,[3]DOORSCRIEFT!$A$2:$G$6834,7,FALSE),"")</f>
        <v/>
      </c>
      <c r="G2112" s="315"/>
    </row>
    <row r="2113" spans="1:7" x14ac:dyDescent="0.25">
      <c r="A2113" s="321" t="str">
        <f t="shared" si="72"/>
        <v>II.4.1.0211</v>
      </c>
      <c r="B2113" s="321">
        <v>11</v>
      </c>
      <c r="C2113" s="339" t="str">
        <f>IFERROR(VLOOKUP(A2113,[3]DOORSCRIEFT!$A$2:$G$6834,2,FALSE),"")</f>
        <v/>
      </c>
      <c r="D2113" s="481" t="str">
        <f>IFERROR(VLOOKUP(A2113,[3]DOORSCRIEFT!$A$2:$G$6834,3,FALSE),"")</f>
        <v/>
      </c>
      <c r="E2113" s="480" t="str">
        <f>IFERROR(VLOOKUP(A2113,[3]DOORSCRIEFT!$A$2:$G$6834,4,FALSE),"")</f>
        <v/>
      </c>
      <c r="F2113" s="405" t="str">
        <f>IFERROR(VLOOKUP(A2113,[3]DOORSCRIEFT!$A$2:$G$6834,7,FALSE),"")</f>
        <v/>
      </c>
      <c r="G2113" s="315"/>
    </row>
    <row r="2114" spans="1:7" x14ac:dyDescent="0.25">
      <c r="A2114" s="321" t="str">
        <f t="shared" si="72"/>
        <v>II.4.1.0212</v>
      </c>
      <c r="B2114" s="321">
        <v>12</v>
      </c>
      <c r="C2114" s="339" t="str">
        <f>IFERROR(VLOOKUP(A2114,[3]DOORSCRIEFT!$A$2:$G$6834,2,FALSE),"")</f>
        <v/>
      </c>
      <c r="D2114" s="481" t="str">
        <f>IFERROR(VLOOKUP(A2114,[3]DOORSCRIEFT!$A$2:$G$6834,3,FALSE),"")</f>
        <v/>
      </c>
      <c r="E2114" s="480" t="str">
        <f>IFERROR(VLOOKUP(A2114,[3]DOORSCRIEFT!$A$2:$G$6834,4,FALSE),"")</f>
        <v/>
      </c>
      <c r="F2114" s="405" t="str">
        <f>IFERROR(VLOOKUP(A2114,[3]DOORSCRIEFT!$A$2:$G$6834,7,FALSE),"")</f>
        <v/>
      </c>
      <c r="G2114" s="315"/>
    </row>
    <row r="2115" spans="1:7" x14ac:dyDescent="0.25">
      <c r="A2115" s="321" t="str">
        <f t="shared" si="72"/>
        <v>II.4.1.0213</v>
      </c>
      <c r="B2115" s="321">
        <v>13</v>
      </c>
      <c r="C2115" s="339" t="str">
        <f>IFERROR(VLOOKUP(A2115,[3]DOORSCRIEFT!$A$2:$G$6834,2,FALSE),"")</f>
        <v/>
      </c>
      <c r="D2115" s="481" t="str">
        <f>IFERROR(VLOOKUP(A2115,[3]DOORSCRIEFT!$A$2:$G$6834,3,FALSE),"")</f>
        <v/>
      </c>
      <c r="E2115" s="480" t="str">
        <f>IFERROR(VLOOKUP(A2115,[3]DOORSCRIEFT!$A$2:$G$6834,4,FALSE),"")</f>
        <v/>
      </c>
      <c r="F2115" s="405" t="str">
        <f>IFERROR(VLOOKUP(A2115,[3]DOORSCRIEFT!$A$2:$G$6834,7,FALSE),"")</f>
        <v/>
      </c>
      <c r="G2115" s="315"/>
    </row>
    <row r="2116" spans="1:7" x14ac:dyDescent="0.25">
      <c r="A2116" s="321" t="str">
        <f t="shared" si="72"/>
        <v>II.4.1.0214</v>
      </c>
      <c r="B2116" s="321">
        <v>14</v>
      </c>
      <c r="C2116" s="339" t="str">
        <f>IFERROR(VLOOKUP(A2116,[3]DOORSCRIEFT!$A$2:$G$6834,2,FALSE),"")</f>
        <v/>
      </c>
      <c r="D2116" s="481" t="str">
        <f>IFERROR(VLOOKUP(A2116,[3]DOORSCRIEFT!$A$2:$G$6834,3,FALSE),"")</f>
        <v/>
      </c>
      <c r="E2116" s="480" t="str">
        <f>IFERROR(VLOOKUP(A2116,[3]DOORSCRIEFT!$A$2:$G$6834,4,FALSE),"")</f>
        <v/>
      </c>
      <c r="F2116" s="405" t="str">
        <f>IFERROR(VLOOKUP(A2116,[3]DOORSCRIEFT!$A$2:$G$6834,7,FALSE),"")</f>
        <v/>
      </c>
      <c r="G2116" s="315"/>
    </row>
    <row r="2117" spans="1:7" ht="15.75" thickBot="1" x14ac:dyDescent="0.3">
      <c r="A2117" s="342" t="str">
        <f t="shared" si="72"/>
        <v>II.4.1.0215</v>
      </c>
      <c r="B2117" s="342">
        <v>15</v>
      </c>
      <c r="C2117" s="339" t="str">
        <f>IFERROR(VLOOKUP(A2117,[3]DOORSCRIEFT!$A$2:$G$6834,2,FALSE),"")</f>
        <v/>
      </c>
      <c r="D2117" s="481" t="str">
        <f>IFERROR(VLOOKUP(A2117,[3]DOORSCRIEFT!$A$2:$G$6834,3,FALSE),"")</f>
        <v/>
      </c>
      <c r="E2117" s="480" t="str">
        <f>IFERROR(VLOOKUP(A2117,[3]DOORSCRIEFT!$A$2:$G$6834,4,FALSE),"")</f>
        <v/>
      </c>
      <c r="F2117" s="405" t="str">
        <f>IFERROR(VLOOKUP(A2117,[3]DOORSCRIEFT!$A$2:$G$6834,7,FALSE),"")</f>
        <v/>
      </c>
      <c r="G2117" s="315"/>
    </row>
    <row r="2118" spans="1:7" ht="15.75" thickBot="1" x14ac:dyDescent="0.3">
      <c r="A2118" s="341"/>
      <c r="B2118" s="340"/>
      <c r="C2118" s="336"/>
      <c r="D2118" s="486"/>
      <c r="E2118" s="340" t="s">
        <v>644</v>
      </c>
      <c r="F2118" s="310">
        <f>SUM(F2103:F2117)</f>
        <v>0</v>
      </c>
      <c r="G2118" s="309">
        <f>SUM(G2103:G2117)</f>
        <v>0</v>
      </c>
    </row>
    <row r="2119" spans="1:7" x14ac:dyDescent="0.25">
      <c r="C2119" s="335"/>
      <c r="D2119" s="485"/>
    </row>
    <row r="2120" spans="1:7" x14ac:dyDescent="0.25">
      <c r="C2120" s="335"/>
      <c r="D2120" s="485"/>
    </row>
    <row r="2121" spans="1:7" ht="15.75" x14ac:dyDescent="0.25">
      <c r="C2121" s="334" t="s">
        <v>663</v>
      </c>
      <c r="D2121" s="484"/>
      <c r="E2121" s="333"/>
      <c r="F2121" s="327" t="s">
        <v>607</v>
      </c>
      <c r="G2121" s="327" t="s">
        <v>57</v>
      </c>
    </row>
    <row r="2122" spans="1:7" ht="15.75" x14ac:dyDescent="0.25">
      <c r="C2122" s="334"/>
      <c r="D2122" s="484"/>
      <c r="E2122" s="333"/>
      <c r="F2122" s="327" t="s">
        <v>601</v>
      </c>
      <c r="G2122" s="501" t="s">
        <v>56</v>
      </c>
    </row>
    <row r="2123" spans="1:7" x14ac:dyDescent="0.25">
      <c r="C2123" s="330"/>
      <c r="D2123" s="482"/>
      <c r="E2123" s="329"/>
      <c r="F2123" s="327" t="s">
        <v>651</v>
      </c>
      <c r="G2123" s="331">
        <f>[2]Sheet1!$D$553</f>
        <v>78900000</v>
      </c>
    </row>
    <row r="2124" spans="1:7" ht="15.75" thickBot="1" x14ac:dyDescent="0.3">
      <c r="C2124" s="330"/>
      <c r="D2124" s="482"/>
      <c r="E2124" s="329"/>
      <c r="F2124" s="327" t="s">
        <v>650</v>
      </c>
      <c r="G2124" s="326">
        <f>+F2225-G2123</f>
        <v>-39900000</v>
      </c>
    </row>
    <row r="2125" spans="1:7" x14ac:dyDescent="0.25">
      <c r="A2125" s="571" t="s">
        <v>655</v>
      </c>
      <c r="B2125" s="573" t="s">
        <v>606</v>
      </c>
      <c r="C2125" s="588" t="s">
        <v>649</v>
      </c>
      <c r="D2125" s="599" t="s">
        <v>648</v>
      </c>
      <c r="E2125" s="577" t="s">
        <v>647</v>
      </c>
      <c r="F2125" s="577" t="s">
        <v>646</v>
      </c>
      <c r="G2125" s="580" t="s">
        <v>645</v>
      </c>
    </row>
    <row r="2126" spans="1:7" ht="15.75" thickBot="1" x14ac:dyDescent="0.3">
      <c r="A2126" s="572"/>
      <c r="B2126" s="574"/>
      <c r="C2126" s="589"/>
      <c r="D2126" s="600"/>
      <c r="E2126" s="578"/>
      <c r="F2126" s="578"/>
      <c r="G2126" s="581"/>
    </row>
    <row r="2127" spans="1:7" ht="15.75" thickBot="1" x14ac:dyDescent="0.3">
      <c r="A2127" s="425">
        <v>1</v>
      </c>
      <c r="B2127" s="425">
        <v>2</v>
      </c>
      <c r="C2127" s="425">
        <v>3</v>
      </c>
      <c r="D2127" s="425">
        <v>4</v>
      </c>
      <c r="E2127" s="425">
        <v>5</v>
      </c>
      <c r="F2127" s="425">
        <v>6</v>
      </c>
      <c r="G2127" s="425">
        <v>7</v>
      </c>
    </row>
    <row r="2128" spans="1:7" x14ac:dyDescent="0.25">
      <c r="A2128" s="475" t="str">
        <f t="shared" ref="A2128:A2159" si="73">$G$2121&amp;B2128</f>
        <v>II.5.1.011</v>
      </c>
      <c r="B2128" s="320">
        <v>1</v>
      </c>
      <c r="C2128" s="339">
        <f>IFERROR(VLOOKUP(A2128,[3]DOORSCRIEFT!$A$2:$G$6834,2,FALSE),"")</f>
        <v>43</v>
      </c>
      <c r="D2128" s="481">
        <f>IFERROR(VLOOKUP(A2128,[3]DOORSCRIEFT!$A$2:$G$6834,3,FALSE),"")</f>
        <v>46033</v>
      </c>
      <c r="E2128" s="480" t="str">
        <f>IFERROR(VLOOKUP(A2128,[3]DOORSCRIEFT!$A$2:$G$6834,4,FALSE),"")</f>
        <v>Sumbangan Pelayanan Sakit 14 orang</v>
      </c>
      <c r="F2128" s="405">
        <f>IFERROR(VLOOKUP(A2128,[3]DOORSCRIEFT!$A$2:$G$6834,7,FALSE),"")</f>
        <v>4300000</v>
      </c>
      <c r="G2128" s="322"/>
    </row>
    <row r="2129" spans="1:7" x14ac:dyDescent="0.25">
      <c r="A2129" s="496" t="str">
        <f t="shared" si="73"/>
        <v>II.5.1.012</v>
      </c>
      <c r="B2129" s="321">
        <v>2</v>
      </c>
      <c r="C2129" s="339">
        <f>IFERROR(VLOOKUP(A2129,[3]DOORSCRIEFT!$A$2:$G$6834,2,FALSE),"")</f>
        <v>79</v>
      </c>
      <c r="D2129" s="481">
        <f>IFERROR(VLOOKUP(A2129,[3]DOORSCRIEFT!$A$2:$G$6834,3,FALSE),"")</f>
        <v>46040</v>
      </c>
      <c r="E2129" s="480" t="str">
        <f>IFERROR(VLOOKUP(A2129,[3]DOORSCRIEFT!$A$2:$G$6834,4,FALSE),"")</f>
        <v>Sumbangan pelayanan sakit 7 orang dan transport</v>
      </c>
      <c r="F2129" s="405">
        <f>IFERROR(VLOOKUP(A2129,[3]DOORSCRIEFT!$A$2:$G$6834,7,FALSE),"")</f>
        <v>2200000</v>
      </c>
      <c r="G2129" s="315"/>
    </row>
    <row r="2130" spans="1:7" x14ac:dyDescent="0.25">
      <c r="A2130" s="496" t="str">
        <f t="shared" si="73"/>
        <v>II.5.1.013</v>
      </c>
      <c r="B2130" s="321">
        <v>3</v>
      </c>
      <c r="C2130" s="339">
        <f>IFERROR(VLOOKUP(A2130,[3]DOORSCRIEFT!$A$2:$G$6834,2,FALSE),"")</f>
        <v>110</v>
      </c>
      <c r="D2130" s="481">
        <f>IFERROR(VLOOKUP(A2130,[3]DOORSCRIEFT!$A$2:$G$6834,3,FALSE),"")</f>
        <v>46047</v>
      </c>
      <c r="E2130" s="480" t="str">
        <f>IFERROR(VLOOKUP(A2130,[3]DOORSCRIEFT!$A$2:$G$6834,4,FALSE),"")</f>
        <v>Sumbangan Pelayanan orang sakit 10 org</v>
      </c>
      <c r="F2130" s="405">
        <f>IFERROR(VLOOKUP(A2130,[3]DOORSCRIEFT!$A$2:$G$6834,7,FALSE),"")</f>
        <v>3000000</v>
      </c>
      <c r="G2130" s="315"/>
    </row>
    <row r="2131" spans="1:7" x14ac:dyDescent="0.25">
      <c r="A2131" s="496" t="str">
        <f t="shared" si="73"/>
        <v>II.5.1.014</v>
      </c>
      <c r="B2131" s="321">
        <v>4</v>
      </c>
      <c r="C2131" s="339">
        <f>IFERROR(VLOOKUP(A2131,[3]DOORSCRIEFT!$A$2:$G$6834,2,FALSE),"")</f>
        <v>149</v>
      </c>
      <c r="D2131" s="481">
        <f>IFERROR(VLOOKUP(A2131,[3]DOORSCRIEFT!$A$2:$G$6834,3,FALSE),"")</f>
        <v>46054</v>
      </c>
      <c r="E2131" s="480" t="str">
        <f>IFERROR(VLOOKUP(A2131,[3]DOORSCRIEFT!$A$2:$G$6834,4,FALSE),"")</f>
        <v>Sumbangan Pelayanan sakit 10 org dan Transport</v>
      </c>
      <c r="F2131" s="405">
        <f>IFERROR(VLOOKUP(A2131,[3]DOORSCRIEFT!$A$2:$G$6834,7,FALSE),"")</f>
        <v>3200000</v>
      </c>
      <c r="G2131" s="315"/>
    </row>
    <row r="2132" spans="1:7" x14ac:dyDescent="0.25">
      <c r="A2132" s="496" t="str">
        <f t="shared" si="73"/>
        <v>II.5.1.015</v>
      </c>
      <c r="B2132" s="321">
        <v>5</v>
      </c>
      <c r="C2132" s="339">
        <f>IFERROR(VLOOKUP(A2132,[3]DOORSCRIEFT!$A$2:$G$6834,2,FALSE),"")</f>
        <v>177</v>
      </c>
      <c r="D2132" s="481">
        <f>IFERROR(VLOOKUP(A2132,[3]DOORSCRIEFT!$A$2:$G$6834,3,FALSE),"")</f>
        <v>46061</v>
      </c>
      <c r="E2132" s="480" t="str">
        <f>IFERROR(VLOOKUP(A2132,[3]DOORSCRIEFT!$A$2:$G$6834,4,FALSE),"")</f>
        <v>Sumbangan Pelayanan sakit 12 org dan transport</v>
      </c>
      <c r="F2132" s="405">
        <f>IFERROR(VLOOKUP(A2132,[3]DOORSCRIEFT!$A$2:$G$6834,7,FALSE),"")</f>
        <v>3800000</v>
      </c>
      <c r="G2132" s="315"/>
    </row>
    <row r="2133" spans="1:7" x14ac:dyDescent="0.25">
      <c r="A2133" s="496" t="str">
        <f t="shared" si="73"/>
        <v>II.5.1.016</v>
      </c>
      <c r="B2133" s="321">
        <v>6</v>
      </c>
      <c r="C2133" s="339">
        <f>IFERROR(VLOOKUP(A2133,[3]DOORSCRIEFT!$A$2:$G$6834,2,FALSE),"")</f>
        <v>243</v>
      </c>
      <c r="D2133" s="481">
        <f>IFERROR(VLOOKUP(A2133,[3]DOORSCRIEFT!$A$2:$G$6834,3,FALSE),"")</f>
        <v>46075</v>
      </c>
      <c r="E2133" s="480" t="str">
        <f>IFERROR(VLOOKUP(A2133,[3]DOORSCRIEFT!$A$2:$G$6834,4,FALSE),"")</f>
        <v>Sumbangan Pelayanan sakit 16 orang</v>
      </c>
      <c r="F2133" s="405">
        <f>IFERROR(VLOOKUP(A2133,[3]DOORSCRIEFT!$A$2:$G$6834,7,FALSE),"")</f>
        <v>4800000</v>
      </c>
      <c r="G2133" s="315"/>
    </row>
    <row r="2134" spans="1:7" x14ac:dyDescent="0.25">
      <c r="A2134" s="496" t="str">
        <f t="shared" si="73"/>
        <v>II.5.1.017</v>
      </c>
      <c r="B2134" s="321">
        <v>7</v>
      </c>
      <c r="C2134" s="339">
        <f>IFERROR(VLOOKUP(A2134,[3]DOORSCRIEFT!$A$2:$G$6834,2,FALSE),"")</f>
        <v>274</v>
      </c>
      <c r="D2134" s="481">
        <f>IFERROR(VLOOKUP(A2134,[3]DOORSCRIEFT!$A$2:$G$6834,3,FALSE),"")</f>
        <v>46082</v>
      </c>
      <c r="E2134" s="480" t="str">
        <f>IFERROR(VLOOKUP(A2134,[3]DOORSCRIEFT!$A$2:$G$6834,4,FALSE),"")</f>
        <v>Sumbangan Pelayanan sakit 5 org</v>
      </c>
      <c r="F2134" s="405">
        <f>IFERROR(VLOOKUP(A2134,[3]DOORSCRIEFT!$A$2:$G$6834,7,FALSE),"")</f>
        <v>1500000</v>
      </c>
      <c r="G2134" s="315"/>
    </row>
    <row r="2135" spans="1:7" x14ac:dyDescent="0.25">
      <c r="A2135" s="496" t="str">
        <f t="shared" si="73"/>
        <v>II.5.1.018</v>
      </c>
      <c r="B2135" s="321">
        <v>8</v>
      </c>
      <c r="C2135" s="339">
        <f>IFERROR(VLOOKUP(A2135,[3]DOORSCRIEFT!$A$2:$G$6834,2,FALSE),"")</f>
        <v>307</v>
      </c>
      <c r="D2135" s="481">
        <f>IFERROR(VLOOKUP(A2135,[3]DOORSCRIEFT!$A$2:$G$6834,3,FALSE),"")</f>
        <v>46089</v>
      </c>
      <c r="E2135" s="480" t="str">
        <f>IFERROR(VLOOKUP(A2135,[3]DOORSCRIEFT!$A$2:$G$6834,4,FALSE),"")</f>
        <v>Sumbangan Pelayanan sakit 12 org</v>
      </c>
      <c r="F2135" s="405">
        <f>IFERROR(VLOOKUP(A2135,[3]DOORSCRIEFT!$A$2:$G$6834,7,FALSE),"")</f>
        <v>3300000</v>
      </c>
      <c r="G2135" s="315"/>
    </row>
    <row r="2136" spans="1:7" x14ac:dyDescent="0.25">
      <c r="A2136" s="496" t="str">
        <f t="shared" si="73"/>
        <v>II.5.1.019</v>
      </c>
      <c r="B2136" s="321">
        <v>9</v>
      </c>
      <c r="C2136" s="339">
        <f>IFERROR(VLOOKUP(A2136,[3]DOORSCRIEFT!$A$2:$G$6834,2,FALSE),"")</f>
        <v>362</v>
      </c>
      <c r="D2136" s="481">
        <f>IFERROR(VLOOKUP(A2136,[3]DOORSCRIEFT!$A$2:$G$6834,3,FALSE),"")</f>
        <v>50479</v>
      </c>
      <c r="E2136" s="480" t="str">
        <f>IFERROR(VLOOKUP(A2136,[3]DOORSCRIEFT!$A$2:$G$6834,4,FALSE),"")</f>
        <v>Sumbangan Pelayanan sakit 16 orang</v>
      </c>
      <c r="F2136" s="405">
        <f>IFERROR(VLOOKUP(A2136,[3]DOORSCRIEFT!$A$2:$G$6834,7,FALSE),"")</f>
        <v>4800000</v>
      </c>
      <c r="G2136" s="315"/>
    </row>
    <row r="2137" spans="1:7" x14ac:dyDescent="0.25">
      <c r="A2137" s="496" t="str">
        <f t="shared" si="73"/>
        <v>II.5.1.0110</v>
      </c>
      <c r="B2137" s="321">
        <v>10</v>
      </c>
      <c r="C2137" s="339">
        <f>IFERROR(VLOOKUP(A2137,[3]DOORSCRIEFT!$A$2:$G$6834,2,FALSE),"")</f>
        <v>364</v>
      </c>
      <c r="D2137" s="481">
        <f>IFERROR(VLOOKUP(A2137,[3]DOORSCRIEFT!$A$2:$G$6834,3,FALSE),"")</f>
        <v>51210</v>
      </c>
      <c r="E2137" s="480" t="str">
        <f>IFERROR(VLOOKUP(A2137,[3]DOORSCRIEFT!$A$2:$G$6834,4,FALSE),"")</f>
        <v>Pelayanan Nikah Kel. Teslatu</v>
      </c>
      <c r="F2137" s="405">
        <f>IFERROR(VLOOKUP(A2137,[3]DOORSCRIEFT!$A$2:$G$6834,7,FALSE),"")</f>
        <v>200000</v>
      </c>
      <c r="G2137" s="315"/>
    </row>
    <row r="2138" spans="1:7" x14ac:dyDescent="0.25">
      <c r="A2138" s="496" t="str">
        <f t="shared" si="73"/>
        <v>II.5.1.0111</v>
      </c>
      <c r="B2138" s="321">
        <v>11</v>
      </c>
      <c r="C2138" s="339">
        <f>IFERROR(VLOOKUP(A2138,[3]DOORSCRIEFT!$A$2:$G$6834,2,FALSE),"")</f>
        <v>399</v>
      </c>
      <c r="D2138" s="481">
        <f>IFERROR(VLOOKUP(A2138,[3]DOORSCRIEFT!$A$2:$G$6834,3,FALSE),"")</f>
        <v>46103</v>
      </c>
      <c r="E2138" s="480" t="str">
        <f>IFERROR(VLOOKUP(A2138,[3]DOORSCRIEFT!$A$2:$G$6834,4,FALSE),"")</f>
        <v>Sumbangan Pelayanan sakit 10 org</v>
      </c>
      <c r="F2138" s="405">
        <f>IFERROR(VLOOKUP(A2138,[3]DOORSCRIEFT!$A$2:$G$6834,7,FALSE),"")</f>
        <v>3000000</v>
      </c>
      <c r="G2138" s="315"/>
    </row>
    <row r="2139" spans="1:7" x14ac:dyDescent="0.25">
      <c r="A2139" s="496" t="str">
        <f t="shared" si="73"/>
        <v>II.5.1.0112</v>
      </c>
      <c r="B2139" s="321">
        <v>12</v>
      </c>
      <c r="C2139" s="339">
        <f>IFERROR(VLOOKUP(A2139,[3]DOORSCRIEFT!$A$2:$G$6834,2,FALSE),"")</f>
        <v>407</v>
      </c>
      <c r="D2139" s="481">
        <f>IFERROR(VLOOKUP(A2139,[3]DOORSCRIEFT!$A$2:$G$6834,3,FALSE),"")</f>
        <v>46103</v>
      </c>
      <c r="E2139" s="480" t="str">
        <f>IFERROR(VLOOKUP(A2139,[3]DOORSCRIEFT!$A$2:$G$6834,4,FALSE),"")</f>
        <v>Belanja Natura untuk 10 org anggota Jemaat bulan Jan-Feb</v>
      </c>
      <c r="F2139" s="405">
        <f>IFERROR(VLOOKUP(A2139,[3]DOORSCRIEFT!$A$2:$G$6834,7,FALSE),"")</f>
        <v>3100000</v>
      </c>
      <c r="G2139" s="315"/>
    </row>
    <row r="2140" spans="1:7" x14ac:dyDescent="0.25">
      <c r="A2140" s="496" t="str">
        <f t="shared" si="73"/>
        <v>II.5.1.0113</v>
      </c>
      <c r="B2140" s="321">
        <v>13</v>
      </c>
      <c r="C2140" s="339">
        <f>IFERROR(VLOOKUP(A2140,[3]DOORSCRIEFT!$A$2:$G$6834,2,FALSE),"")</f>
        <v>460</v>
      </c>
      <c r="D2140" s="481">
        <f>IFERROR(VLOOKUP(A2140,[3]DOORSCRIEFT!$A$2:$G$6834,3,FALSE),"")</f>
        <v>46110</v>
      </c>
      <c r="E2140" s="480" t="str">
        <f>IFERROR(VLOOKUP(A2140,[3]DOORSCRIEFT!$A$2:$G$6834,4,FALSE),"")</f>
        <v>Sumbangan pelayanan sidi baru 9 anak</v>
      </c>
      <c r="F2140" s="405">
        <f>IFERROR(VLOOKUP(A2140,[3]DOORSCRIEFT!$A$2:$G$6834,7,FALSE),"")</f>
        <v>1800000</v>
      </c>
      <c r="G2140" s="315"/>
    </row>
    <row r="2141" spans="1:7" x14ac:dyDescent="0.25">
      <c r="A2141" s="496" t="str">
        <f t="shared" si="73"/>
        <v>II.5.1.0114</v>
      </c>
      <c r="B2141" s="321">
        <v>14</v>
      </c>
      <c r="C2141" s="339" t="str">
        <f>IFERROR(VLOOKUP(A2141,[3]DOORSCRIEFT!$A$2:$G$6834,2,FALSE),"")</f>
        <v/>
      </c>
      <c r="D2141" s="481" t="str">
        <f>IFERROR(VLOOKUP(A2141,[3]DOORSCRIEFT!$A$2:$G$6834,3,FALSE),"")</f>
        <v/>
      </c>
      <c r="E2141" s="480" t="str">
        <f>IFERROR(VLOOKUP(A2141,[3]DOORSCRIEFT!$A$2:$G$6834,4,FALSE),"")</f>
        <v/>
      </c>
      <c r="F2141" s="405" t="str">
        <f>IFERROR(VLOOKUP(A2141,[3]DOORSCRIEFT!$A$2:$G$6834,7,FALSE),"")</f>
        <v/>
      </c>
      <c r="G2141" s="315"/>
    </row>
    <row r="2142" spans="1:7" x14ac:dyDescent="0.25">
      <c r="A2142" s="496" t="str">
        <f t="shared" si="73"/>
        <v>II.5.1.0115</v>
      </c>
      <c r="B2142" s="321">
        <v>15</v>
      </c>
      <c r="C2142" s="339" t="str">
        <f>IFERROR(VLOOKUP(A2142,[3]DOORSCRIEFT!$A$2:$G$6834,2,FALSE),"")</f>
        <v/>
      </c>
      <c r="D2142" s="481" t="str">
        <f>IFERROR(VLOOKUP(A2142,[3]DOORSCRIEFT!$A$2:$G$6834,3,FALSE),"")</f>
        <v/>
      </c>
      <c r="E2142" s="480" t="str">
        <f>IFERROR(VLOOKUP(A2142,[3]DOORSCRIEFT!$A$2:$G$6834,4,FALSE),"")</f>
        <v/>
      </c>
      <c r="F2142" s="405" t="str">
        <f>IFERROR(VLOOKUP(A2142,[3]DOORSCRIEFT!$A$2:$G$6834,7,FALSE),"")</f>
        <v/>
      </c>
      <c r="G2142" s="315"/>
    </row>
    <row r="2143" spans="1:7" x14ac:dyDescent="0.25">
      <c r="A2143" s="496" t="str">
        <f t="shared" si="73"/>
        <v>II.5.1.0116</v>
      </c>
      <c r="B2143" s="321">
        <v>16</v>
      </c>
      <c r="C2143" s="339" t="str">
        <f>IFERROR(VLOOKUP(A2143,[3]DOORSCRIEFT!$A$2:$G$6834,2,FALSE),"")</f>
        <v/>
      </c>
      <c r="D2143" s="481" t="str">
        <f>IFERROR(VLOOKUP(A2143,[3]DOORSCRIEFT!$A$2:$G$6834,3,FALSE),"")</f>
        <v/>
      </c>
      <c r="E2143" s="480" t="str">
        <f>IFERROR(VLOOKUP(A2143,[3]DOORSCRIEFT!$A$2:$G$6834,4,FALSE),"")</f>
        <v/>
      </c>
      <c r="F2143" s="405" t="str">
        <f>IFERROR(VLOOKUP(A2143,[3]DOORSCRIEFT!$A$2:$G$6834,7,FALSE),"")</f>
        <v/>
      </c>
      <c r="G2143" s="315"/>
    </row>
    <row r="2144" spans="1:7" x14ac:dyDescent="0.25">
      <c r="A2144" s="496" t="str">
        <f t="shared" si="73"/>
        <v>II.5.1.0117</v>
      </c>
      <c r="B2144" s="321">
        <v>17</v>
      </c>
      <c r="C2144" s="339" t="str">
        <f>IFERROR(VLOOKUP(A2144,[3]DOORSCRIEFT!$A$2:$G$6834,2,FALSE),"")</f>
        <v/>
      </c>
      <c r="D2144" s="481" t="str">
        <f>IFERROR(VLOOKUP(A2144,[3]DOORSCRIEFT!$A$2:$G$6834,3,FALSE),"")</f>
        <v/>
      </c>
      <c r="E2144" s="480" t="str">
        <f>IFERROR(VLOOKUP(A2144,[3]DOORSCRIEFT!$A$2:$G$6834,4,FALSE),"")</f>
        <v/>
      </c>
      <c r="F2144" s="405" t="str">
        <f>IFERROR(VLOOKUP(A2144,[3]DOORSCRIEFT!$A$2:$G$6834,7,FALSE),"")</f>
        <v/>
      </c>
      <c r="G2144" s="315"/>
    </row>
    <row r="2145" spans="1:7" x14ac:dyDescent="0.25">
      <c r="A2145" s="496" t="str">
        <f t="shared" si="73"/>
        <v>II.5.1.0118</v>
      </c>
      <c r="B2145" s="321">
        <v>18</v>
      </c>
      <c r="C2145" s="339" t="str">
        <f>IFERROR(VLOOKUP(A2145,[3]DOORSCRIEFT!$A$2:$G$6834,2,FALSE),"")</f>
        <v/>
      </c>
      <c r="D2145" s="481" t="str">
        <f>IFERROR(VLOOKUP(A2145,[3]DOORSCRIEFT!$A$2:$G$6834,3,FALSE),"")</f>
        <v/>
      </c>
      <c r="E2145" s="480" t="str">
        <f>IFERROR(VLOOKUP(A2145,[3]DOORSCRIEFT!$A$2:$G$6834,4,FALSE),"")</f>
        <v/>
      </c>
      <c r="F2145" s="405" t="str">
        <f>IFERROR(VLOOKUP(A2145,[3]DOORSCRIEFT!$A$2:$G$6834,7,FALSE),"")</f>
        <v/>
      </c>
      <c r="G2145" s="315"/>
    </row>
    <row r="2146" spans="1:7" x14ac:dyDescent="0.25">
      <c r="A2146" s="496" t="str">
        <f t="shared" si="73"/>
        <v>II.5.1.0119</v>
      </c>
      <c r="B2146" s="321">
        <v>19</v>
      </c>
      <c r="C2146" s="339" t="str">
        <f>IFERROR(VLOOKUP(A2146,[3]DOORSCRIEFT!$A$2:$G$6834,2,FALSE),"")</f>
        <v/>
      </c>
      <c r="D2146" s="481" t="str">
        <f>IFERROR(VLOOKUP(A2146,[3]DOORSCRIEFT!$A$2:$G$6834,3,FALSE),"")</f>
        <v/>
      </c>
      <c r="E2146" s="480" t="str">
        <f>IFERROR(VLOOKUP(A2146,[3]DOORSCRIEFT!$A$2:$G$6834,4,FALSE),"")</f>
        <v/>
      </c>
      <c r="F2146" s="405" t="str">
        <f>IFERROR(VLOOKUP(A2146,[3]DOORSCRIEFT!$A$2:$G$6834,7,FALSE),"")</f>
        <v/>
      </c>
      <c r="G2146" s="315"/>
    </row>
    <row r="2147" spans="1:7" x14ac:dyDescent="0.25">
      <c r="A2147" s="496" t="str">
        <f t="shared" si="73"/>
        <v>II.5.1.0120</v>
      </c>
      <c r="B2147" s="321">
        <v>20</v>
      </c>
      <c r="C2147" s="339" t="str">
        <f>IFERROR(VLOOKUP(A2147,[3]DOORSCRIEFT!$A$2:$G$6834,2,FALSE),"")</f>
        <v/>
      </c>
      <c r="D2147" s="481" t="str">
        <f>IFERROR(VLOOKUP(A2147,[3]DOORSCRIEFT!$A$2:$G$6834,3,FALSE),"")</f>
        <v/>
      </c>
      <c r="E2147" s="480" t="str">
        <f>IFERROR(VLOOKUP(A2147,[3]DOORSCRIEFT!$A$2:$G$6834,4,FALSE),"")</f>
        <v/>
      </c>
      <c r="F2147" s="405" t="str">
        <f>IFERROR(VLOOKUP(A2147,[3]DOORSCRIEFT!$A$2:$G$6834,7,FALSE),"")</f>
        <v/>
      </c>
      <c r="G2147" s="315"/>
    </row>
    <row r="2148" spans="1:7" x14ac:dyDescent="0.25">
      <c r="A2148" s="496" t="str">
        <f t="shared" si="73"/>
        <v>II.5.1.0121</v>
      </c>
      <c r="B2148" s="321">
        <v>21</v>
      </c>
      <c r="C2148" s="339" t="str">
        <f>IFERROR(VLOOKUP(A2148,[3]DOORSCRIEFT!$A$2:$G$6834,2,FALSE),"")</f>
        <v/>
      </c>
      <c r="D2148" s="481" t="str">
        <f>IFERROR(VLOOKUP(A2148,[3]DOORSCRIEFT!$A$2:$G$6834,3,FALSE),"")</f>
        <v/>
      </c>
      <c r="E2148" s="480" t="str">
        <f>IFERROR(VLOOKUP(A2148,[3]DOORSCRIEFT!$A$2:$G$6834,4,FALSE),"")</f>
        <v/>
      </c>
      <c r="F2148" s="405" t="str">
        <f>IFERROR(VLOOKUP(A2148,[3]DOORSCRIEFT!$A$2:$G$6834,7,FALSE),"")</f>
        <v/>
      </c>
      <c r="G2148" s="315"/>
    </row>
    <row r="2149" spans="1:7" x14ac:dyDescent="0.25">
      <c r="A2149" s="496" t="str">
        <f t="shared" si="73"/>
        <v>II.5.1.0122</v>
      </c>
      <c r="B2149" s="321">
        <v>22</v>
      </c>
      <c r="C2149" s="339" t="str">
        <f>IFERROR(VLOOKUP(A2149,[3]DOORSCRIEFT!$A$2:$G$6834,2,FALSE),"")</f>
        <v/>
      </c>
      <c r="D2149" s="481" t="str">
        <f>IFERROR(VLOOKUP(A2149,[3]DOORSCRIEFT!$A$2:$G$6834,3,FALSE),"")</f>
        <v/>
      </c>
      <c r="E2149" s="480" t="str">
        <f>IFERROR(VLOOKUP(A2149,[3]DOORSCRIEFT!$A$2:$G$6834,4,FALSE),"")</f>
        <v/>
      </c>
      <c r="F2149" s="405" t="str">
        <f>IFERROR(VLOOKUP(A2149,[3]DOORSCRIEFT!$A$2:$G$6834,7,FALSE),"")</f>
        <v/>
      </c>
      <c r="G2149" s="315"/>
    </row>
    <row r="2150" spans="1:7" x14ac:dyDescent="0.25">
      <c r="A2150" s="496" t="str">
        <f t="shared" si="73"/>
        <v>II.5.1.0123</v>
      </c>
      <c r="B2150" s="321">
        <v>23</v>
      </c>
      <c r="C2150" s="339" t="str">
        <f>IFERROR(VLOOKUP(A2150,[3]DOORSCRIEFT!$A$2:$G$6834,2,FALSE),"")</f>
        <v/>
      </c>
      <c r="D2150" s="481" t="str">
        <f>IFERROR(VLOOKUP(A2150,[3]DOORSCRIEFT!$A$2:$G$6834,3,FALSE),"")</f>
        <v/>
      </c>
      <c r="E2150" s="480" t="str">
        <f>IFERROR(VLOOKUP(A2150,[3]DOORSCRIEFT!$A$2:$G$6834,4,FALSE),"")</f>
        <v/>
      </c>
      <c r="F2150" s="405" t="str">
        <f>IFERROR(VLOOKUP(A2150,[3]DOORSCRIEFT!$A$2:$G$6834,7,FALSE),"")</f>
        <v/>
      </c>
      <c r="G2150" s="315"/>
    </row>
    <row r="2151" spans="1:7" x14ac:dyDescent="0.25">
      <c r="A2151" s="496" t="str">
        <f t="shared" si="73"/>
        <v>II.5.1.0124</v>
      </c>
      <c r="B2151" s="321">
        <v>24</v>
      </c>
      <c r="C2151" s="339" t="str">
        <f>IFERROR(VLOOKUP(A2151,[3]DOORSCRIEFT!$A$2:$G$6834,2,FALSE),"")</f>
        <v/>
      </c>
      <c r="D2151" s="481" t="str">
        <f>IFERROR(VLOOKUP(A2151,[3]DOORSCRIEFT!$A$2:$G$6834,3,FALSE),"")</f>
        <v/>
      </c>
      <c r="E2151" s="480" t="str">
        <f>IFERROR(VLOOKUP(A2151,[3]DOORSCRIEFT!$A$2:$G$6834,4,FALSE),"")</f>
        <v/>
      </c>
      <c r="F2151" s="405" t="str">
        <f>IFERROR(VLOOKUP(A2151,[3]DOORSCRIEFT!$A$2:$G$6834,7,FALSE),"")</f>
        <v/>
      </c>
      <c r="G2151" s="315"/>
    </row>
    <row r="2152" spans="1:7" x14ac:dyDescent="0.25">
      <c r="A2152" s="496" t="str">
        <f t="shared" si="73"/>
        <v>II.5.1.0125</v>
      </c>
      <c r="B2152" s="321">
        <v>25</v>
      </c>
      <c r="C2152" s="339" t="str">
        <f>IFERROR(VLOOKUP(A2152,[3]DOORSCRIEFT!$A$2:$G$6834,2,FALSE),"")</f>
        <v/>
      </c>
      <c r="D2152" s="481" t="str">
        <f>IFERROR(VLOOKUP(A2152,[3]DOORSCRIEFT!$A$2:$G$6834,3,FALSE),"")</f>
        <v/>
      </c>
      <c r="E2152" s="480" t="str">
        <f>IFERROR(VLOOKUP(A2152,[3]DOORSCRIEFT!$A$2:$G$6834,4,FALSE),"")</f>
        <v/>
      </c>
      <c r="F2152" s="405" t="str">
        <f>IFERROR(VLOOKUP(A2152,[3]DOORSCRIEFT!$A$2:$G$6834,7,FALSE),"")</f>
        <v/>
      </c>
      <c r="G2152" s="315"/>
    </row>
    <row r="2153" spans="1:7" x14ac:dyDescent="0.25">
      <c r="A2153" s="496" t="str">
        <f t="shared" si="73"/>
        <v>II.5.1.0126</v>
      </c>
      <c r="B2153" s="321">
        <v>26</v>
      </c>
      <c r="C2153" s="339" t="str">
        <f>IFERROR(VLOOKUP(A2153,[3]DOORSCRIEFT!$A$2:$G$6834,2,FALSE),"")</f>
        <v/>
      </c>
      <c r="D2153" s="481" t="str">
        <f>IFERROR(VLOOKUP(A2153,[3]DOORSCRIEFT!$A$2:$G$6834,3,FALSE),"")</f>
        <v/>
      </c>
      <c r="E2153" s="480" t="str">
        <f>IFERROR(VLOOKUP(A2153,[3]DOORSCRIEFT!$A$2:$G$6834,4,FALSE),"")</f>
        <v/>
      </c>
      <c r="F2153" s="405" t="str">
        <f>IFERROR(VLOOKUP(A2153,[3]DOORSCRIEFT!$A$2:$G$6834,7,FALSE),"")</f>
        <v/>
      </c>
      <c r="G2153" s="315"/>
    </row>
    <row r="2154" spans="1:7" x14ac:dyDescent="0.25">
      <c r="A2154" s="496" t="str">
        <f t="shared" si="73"/>
        <v>II.5.1.0127</v>
      </c>
      <c r="B2154" s="321">
        <v>27</v>
      </c>
      <c r="C2154" s="339" t="str">
        <f>IFERROR(VLOOKUP(A2154,[3]DOORSCRIEFT!$A$2:$G$6834,2,FALSE),"")</f>
        <v/>
      </c>
      <c r="D2154" s="481" t="str">
        <f>IFERROR(VLOOKUP(A2154,[3]DOORSCRIEFT!$A$2:$G$6834,3,FALSE),"")</f>
        <v/>
      </c>
      <c r="E2154" s="480" t="str">
        <f>IFERROR(VLOOKUP(A2154,[3]DOORSCRIEFT!$A$2:$G$6834,4,FALSE),"")</f>
        <v/>
      </c>
      <c r="F2154" s="405" t="str">
        <f>IFERROR(VLOOKUP(A2154,[3]DOORSCRIEFT!$A$2:$G$6834,7,FALSE),"")</f>
        <v/>
      </c>
      <c r="G2154" s="315"/>
    </row>
    <row r="2155" spans="1:7" x14ac:dyDescent="0.25">
      <c r="A2155" s="496" t="str">
        <f t="shared" si="73"/>
        <v>II.5.1.0128</v>
      </c>
      <c r="B2155" s="321">
        <v>28</v>
      </c>
      <c r="C2155" s="339" t="str">
        <f>IFERROR(VLOOKUP(A2155,[3]DOORSCRIEFT!$A$2:$G$6834,2,FALSE),"")</f>
        <v/>
      </c>
      <c r="D2155" s="481" t="str">
        <f>IFERROR(VLOOKUP(A2155,[3]DOORSCRIEFT!$A$2:$G$6834,3,FALSE),"")</f>
        <v/>
      </c>
      <c r="E2155" s="480" t="str">
        <f>IFERROR(VLOOKUP(A2155,[3]DOORSCRIEFT!$A$2:$G$6834,4,FALSE),"")</f>
        <v/>
      </c>
      <c r="F2155" s="405" t="str">
        <f>IFERROR(VLOOKUP(A2155,[3]DOORSCRIEFT!$A$2:$G$6834,7,FALSE),"")</f>
        <v/>
      </c>
      <c r="G2155" s="315"/>
    </row>
    <row r="2156" spans="1:7" x14ac:dyDescent="0.25">
      <c r="A2156" s="496" t="str">
        <f t="shared" si="73"/>
        <v>II.5.1.0129</v>
      </c>
      <c r="B2156" s="321">
        <v>29</v>
      </c>
      <c r="C2156" s="339" t="str">
        <f>IFERROR(VLOOKUP(A2156,[3]DOORSCRIEFT!$A$2:$G$6834,2,FALSE),"")</f>
        <v/>
      </c>
      <c r="D2156" s="481" t="str">
        <f>IFERROR(VLOOKUP(A2156,[3]DOORSCRIEFT!$A$2:$G$6834,3,FALSE),"")</f>
        <v/>
      </c>
      <c r="E2156" s="480" t="str">
        <f>IFERROR(VLOOKUP(A2156,[3]DOORSCRIEFT!$A$2:$G$6834,4,FALSE),"")</f>
        <v/>
      </c>
      <c r="F2156" s="405" t="str">
        <f>IFERROR(VLOOKUP(A2156,[3]DOORSCRIEFT!$A$2:$G$6834,7,FALSE),"")</f>
        <v/>
      </c>
      <c r="G2156" s="315"/>
    </row>
    <row r="2157" spans="1:7" x14ac:dyDescent="0.25">
      <c r="A2157" s="496" t="str">
        <f t="shared" si="73"/>
        <v>II.5.1.0130</v>
      </c>
      <c r="B2157" s="321">
        <v>30</v>
      </c>
      <c r="C2157" s="339" t="str">
        <f>IFERROR(VLOOKUP(A2157,[3]DOORSCRIEFT!$A$2:$G$6834,2,FALSE),"")</f>
        <v/>
      </c>
      <c r="D2157" s="481" t="str">
        <f>IFERROR(VLOOKUP(A2157,[3]DOORSCRIEFT!$A$2:$G$6834,3,FALSE),"")</f>
        <v/>
      </c>
      <c r="E2157" s="480" t="str">
        <f>IFERROR(VLOOKUP(A2157,[3]DOORSCRIEFT!$A$2:$G$6834,4,FALSE),"")</f>
        <v/>
      </c>
      <c r="F2157" s="405" t="str">
        <f>IFERROR(VLOOKUP(A2157,[3]DOORSCRIEFT!$A$2:$G$6834,7,FALSE),"")</f>
        <v/>
      </c>
      <c r="G2157" s="315"/>
    </row>
    <row r="2158" spans="1:7" x14ac:dyDescent="0.25">
      <c r="A2158" s="496" t="str">
        <f t="shared" si="73"/>
        <v>II.5.1.0131</v>
      </c>
      <c r="B2158" s="321">
        <v>31</v>
      </c>
      <c r="C2158" s="339" t="str">
        <f>IFERROR(VLOOKUP(A2158,[3]DOORSCRIEFT!$A$2:$G$6834,2,FALSE),"")</f>
        <v/>
      </c>
      <c r="D2158" s="481" t="str">
        <f>IFERROR(VLOOKUP(A2158,[3]DOORSCRIEFT!$A$2:$G$6834,3,FALSE),"")</f>
        <v/>
      </c>
      <c r="E2158" s="480" t="str">
        <f>IFERROR(VLOOKUP(A2158,[3]DOORSCRIEFT!$A$2:$G$6834,4,FALSE),"")</f>
        <v/>
      </c>
      <c r="F2158" s="405" t="str">
        <f>IFERROR(VLOOKUP(A2158,[3]DOORSCRIEFT!$A$2:$G$6834,7,FALSE),"")</f>
        <v/>
      </c>
      <c r="G2158" s="315"/>
    </row>
    <row r="2159" spans="1:7" x14ac:dyDescent="0.25">
      <c r="A2159" s="496" t="str">
        <f t="shared" si="73"/>
        <v>II.5.1.0132</v>
      </c>
      <c r="B2159" s="321">
        <v>32</v>
      </c>
      <c r="C2159" s="339" t="str">
        <f>IFERROR(VLOOKUP(A2159,[3]DOORSCRIEFT!$A$2:$G$6834,2,FALSE),"")</f>
        <v/>
      </c>
      <c r="D2159" s="481" t="str">
        <f>IFERROR(VLOOKUP(A2159,[3]DOORSCRIEFT!$A$2:$G$6834,3,FALSE),"")</f>
        <v/>
      </c>
      <c r="E2159" s="480" t="str">
        <f>IFERROR(VLOOKUP(A2159,[3]DOORSCRIEFT!$A$2:$G$6834,4,FALSE),"")</f>
        <v/>
      </c>
      <c r="F2159" s="405" t="str">
        <f>IFERROR(VLOOKUP(A2159,[3]DOORSCRIEFT!$A$2:$G$6834,7,FALSE),"")</f>
        <v/>
      </c>
      <c r="G2159" s="315"/>
    </row>
    <row r="2160" spans="1:7" x14ac:dyDescent="0.25">
      <c r="A2160" s="496" t="str">
        <f t="shared" ref="A2160:A2191" si="74">$G$2121&amp;B2160</f>
        <v>II.5.1.0133</v>
      </c>
      <c r="B2160" s="321">
        <v>33</v>
      </c>
      <c r="C2160" s="339" t="str">
        <f>IFERROR(VLOOKUP(A2160,[3]DOORSCRIEFT!$A$2:$G$6834,2,FALSE),"")</f>
        <v/>
      </c>
      <c r="D2160" s="481" t="str">
        <f>IFERROR(VLOOKUP(A2160,[3]DOORSCRIEFT!$A$2:$G$6834,3,FALSE),"")</f>
        <v/>
      </c>
      <c r="E2160" s="480" t="str">
        <f>IFERROR(VLOOKUP(A2160,[3]DOORSCRIEFT!$A$2:$G$6834,4,FALSE),"")</f>
        <v/>
      </c>
      <c r="F2160" s="405" t="str">
        <f>IFERROR(VLOOKUP(A2160,[3]DOORSCRIEFT!$A$2:$G$6834,7,FALSE),"")</f>
        <v/>
      </c>
      <c r="G2160" s="315"/>
    </row>
    <row r="2161" spans="1:7" x14ac:dyDescent="0.25">
      <c r="A2161" s="496" t="str">
        <f t="shared" si="74"/>
        <v>II.5.1.0134</v>
      </c>
      <c r="B2161" s="321">
        <v>34</v>
      </c>
      <c r="C2161" s="339" t="str">
        <f>IFERROR(VLOOKUP(A2161,[3]DOORSCRIEFT!$A$2:$G$6834,2,FALSE),"")</f>
        <v/>
      </c>
      <c r="D2161" s="481" t="str">
        <f>IFERROR(VLOOKUP(A2161,[3]DOORSCRIEFT!$A$2:$G$6834,3,FALSE),"")</f>
        <v/>
      </c>
      <c r="E2161" s="480" t="str">
        <f>IFERROR(VLOOKUP(A2161,[3]DOORSCRIEFT!$A$2:$G$6834,4,FALSE),"")</f>
        <v/>
      </c>
      <c r="F2161" s="405" t="str">
        <f>IFERROR(VLOOKUP(A2161,[3]DOORSCRIEFT!$A$2:$G$6834,7,FALSE),"")</f>
        <v/>
      </c>
      <c r="G2161" s="315"/>
    </row>
    <row r="2162" spans="1:7" x14ac:dyDescent="0.25">
      <c r="A2162" s="496" t="str">
        <f t="shared" si="74"/>
        <v>II.5.1.0135</v>
      </c>
      <c r="B2162" s="321">
        <v>35</v>
      </c>
      <c r="C2162" s="339" t="str">
        <f>IFERROR(VLOOKUP(A2162,[3]DOORSCRIEFT!$A$2:$G$6834,2,FALSE),"")</f>
        <v/>
      </c>
      <c r="D2162" s="481" t="str">
        <f>IFERROR(VLOOKUP(A2162,[3]DOORSCRIEFT!$A$2:$G$6834,3,FALSE),"")</f>
        <v/>
      </c>
      <c r="E2162" s="480" t="str">
        <f>IFERROR(VLOOKUP(A2162,[3]DOORSCRIEFT!$A$2:$G$6834,4,FALSE),"")</f>
        <v/>
      </c>
      <c r="F2162" s="405" t="str">
        <f>IFERROR(VLOOKUP(A2162,[3]DOORSCRIEFT!$A$2:$G$6834,7,FALSE),"")</f>
        <v/>
      </c>
      <c r="G2162" s="315"/>
    </row>
    <row r="2163" spans="1:7" x14ac:dyDescent="0.25">
      <c r="A2163" s="496" t="str">
        <f t="shared" si="74"/>
        <v>II.5.1.0136</v>
      </c>
      <c r="B2163" s="321">
        <v>36</v>
      </c>
      <c r="C2163" s="339" t="str">
        <f>IFERROR(VLOOKUP(A2163,[3]DOORSCRIEFT!$A$2:$G$6834,2,FALSE),"")</f>
        <v/>
      </c>
      <c r="D2163" s="481" t="str">
        <f>IFERROR(VLOOKUP(A2163,[3]DOORSCRIEFT!$A$2:$G$6834,3,FALSE),"")</f>
        <v/>
      </c>
      <c r="E2163" s="480" t="str">
        <f>IFERROR(VLOOKUP(A2163,[3]DOORSCRIEFT!$A$2:$G$6834,4,FALSE),"")</f>
        <v/>
      </c>
      <c r="F2163" s="405" t="str">
        <f>IFERROR(VLOOKUP(A2163,[3]DOORSCRIEFT!$A$2:$G$6834,7,FALSE),"")</f>
        <v/>
      </c>
      <c r="G2163" s="315"/>
    </row>
    <row r="2164" spans="1:7" x14ac:dyDescent="0.25">
      <c r="A2164" s="496" t="str">
        <f t="shared" si="74"/>
        <v>II.5.1.0137</v>
      </c>
      <c r="B2164" s="321">
        <v>37</v>
      </c>
      <c r="C2164" s="339" t="str">
        <f>IFERROR(VLOOKUP(A2164,[3]DOORSCRIEFT!$A$2:$G$6834,2,FALSE),"")</f>
        <v/>
      </c>
      <c r="D2164" s="481" t="str">
        <f>IFERROR(VLOOKUP(A2164,[3]DOORSCRIEFT!$A$2:$G$6834,3,FALSE),"")</f>
        <v/>
      </c>
      <c r="E2164" s="480" t="str">
        <f>IFERROR(VLOOKUP(A2164,[3]DOORSCRIEFT!$A$2:$G$6834,4,FALSE),"")</f>
        <v/>
      </c>
      <c r="F2164" s="405" t="str">
        <f>IFERROR(VLOOKUP(A2164,[3]DOORSCRIEFT!$A$2:$G$6834,7,FALSE),"")</f>
        <v/>
      </c>
      <c r="G2164" s="315"/>
    </row>
    <row r="2165" spans="1:7" x14ac:dyDescent="0.25">
      <c r="A2165" s="496" t="str">
        <f t="shared" si="74"/>
        <v>II.5.1.0138</v>
      </c>
      <c r="B2165" s="321">
        <v>38</v>
      </c>
      <c r="C2165" s="339" t="str">
        <f>IFERROR(VLOOKUP(A2165,[3]DOORSCRIEFT!$A$2:$G$6834,2,FALSE),"")</f>
        <v/>
      </c>
      <c r="D2165" s="481" t="str">
        <f>IFERROR(VLOOKUP(A2165,[3]DOORSCRIEFT!$A$2:$G$6834,3,FALSE),"")</f>
        <v/>
      </c>
      <c r="E2165" s="480" t="str">
        <f>IFERROR(VLOOKUP(A2165,[3]DOORSCRIEFT!$A$2:$G$6834,4,FALSE),"")</f>
        <v/>
      </c>
      <c r="F2165" s="405" t="str">
        <f>IFERROR(VLOOKUP(A2165,[3]DOORSCRIEFT!$A$2:$G$6834,7,FALSE),"")</f>
        <v/>
      </c>
      <c r="G2165" s="315"/>
    </row>
    <row r="2166" spans="1:7" x14ac:dyDescent="0.25">
      <c r="A2166" s="496" t="str">
        <f t="shared" si="74"/>
        <v>II.5.1.0139</v>
      </c>
      <c r="B2166" s="321">
        <v>39</v>
      </c>
      <c r="C2166" s="339" t="str">
        <f>IFERROR(VLOOKUP(A2166,[3]DOORSCRIEFT!$A$2:$G$6834,2,FALSE),"")</f>
        <v/>
      </c>
      <c r="D2166" s="481" t="str">
        <f>IFERROR(VLOOKUP(A2166,[3]DOORSCRIEFT!$A$2:$G$6834,3,FALSE),"")</f>
        <v/>
      </c>
      <c r="E2166" s="480" t="str">
        <f>IFERROR(VLOOKUP(A2166,[3]DOORSCRIEFT!$A$2:$G$6834,4,FALSE),"")</f>
        <v/>
      </c>
      <c r="F2166" s="405" t="str">
        <f>IFERROR(VLOOKUP(A2166,[3]DOORSCRIEFT!$A$2:$G$6834,7,FALSE),"")</f>
        <v/>
      </c>
      <c r="G2166" s="315"/>
    </row>
    <row r="2167" spans="1:7" x14ac:dyDescent="0.25">
      <c r="A2167" s="496" t="str">
        <f t="shared" si="74"/>
        <v>II.5.1.0140</v>
      </c>
      <c r="B2167" s="321">
        <v>40</v>
      </c>
      <c r="C2167" s="339" t="str">
        <f>IFERROR(VLOOKUP(A2167,[3]DOORSCRIEFT!$A$2:$G$6834,2,FALSE),"")</f>
        <v/>
      </c>
      <c r="D2167" s="481" t="str">
        <f>IFERROR(VLOOKUP(A2167,[3]DOORSCRIEFT!$A$2:$G$6834,3,FALSE),"")</f>
        <v/>
      </c>
      <c r="E2167" s="480" t="str">
        <f>IFERROR(VLOOKUP(A2167,[3]DOORSCRIEFT!$A$2:$G$6834,4,FALSE),"")</f>
        <v/>
      </c>
      <c r="F2167" s="405" t="str">
        <f>IFERROR(VLOOKUP(A2167,[3]DOORSCRIEFT!$A$2:$G$6834,7,FALSE),"")</f>
        <v/>
      </c>
      <c r="G2167" s="315"/>
    </row>
    <row r="2168" spans="1:7" x14ac:dyDescent="0.25">
      <c r="A2168" s="496" t="str">
        <f t="shared" si="74"/>
        <v>II.5.1.0141</v>
      </c>
      <c r="B2168" s="321">
        <v>41</v>
      </c>
      <c r="C2168" s="339" t="str">
        <f>IFERROR(VLOOKUP(A2168,[3]DOORSCRIEFT!$A$2:$G$6834,2,FALSE),"")</f>
        <v/>
      </c>
      <c r="D2168" s="481" t="str">
        <f>IFERROR(VLOOKUP(A2168,[3]DOORSCRIEFT!$A$2:$G$6834,3,FALSE),"")</f>
        <v/>
      </c>
      <c r="E2168" s="480" t="str">
        <f>IFERROR(VLOOKUP(A2168,[3]DOORSCRIEFT!$A$2:$G$6834,4,FALSE),"")</f>
        <v/>
      </c>
      <c r="F2168" s="405" t="str">
        <f>IFERROR(VLOOKUP(A2168,[3]DOORSCRIEFT!$A$2:$G$6834,7,FALSE),"")</f>
        <v/>
      </c>
      <c r="G2168" s="315"/>
    </row>
    <row r="2169" spans="1:7" x14ac:dyDescent="0.25">
      <c r="A2169" s="496" t="str">
        <f t="shared" si="74"/>
        <v>II.5.1.0142</v>
      </c>
      <c r="B2169" s="321">
        <v>42</v>
      </c>
      <c r="C2169" s="339" t="str">
        <f>IFERROR(VLOOKUP(A2169,[3]DOORSCRIEFT!$A$2:$G$6834,2,FALSE),"")</f>
        <v/>
      </c>
      <c r="D2169" s="481" t="str">
        <f>IFERROR(VLOOKUP(A2169,[3]DOORSCRIEFT!$A$2:$G$6834,3,FALSE),"")</f>
        <v/>
      </c>
      <c r="E2169" s="480" t="str">
        <f>IFERROR(VLOOKUP(A2169,[3]DOORSCRIEFT!$A$2:$G$6834,4,FALSE),"")</f>
        <v/>
      </c>
      <c r="F2169" s="405" t="str">
        <f>IFERROR(VLOOKUP(A2169,[3]DOORSCRIEFT!$A$2:$G$6834,7,FALSE),"")</f>
        <v/>
      </c>
      <c r="G2169" s="315"/>
    </row>
    <row r="2170" spans="1:7" x14ac:dyDescent="0.25">
      <c r="A2170" s="496" t="str">
        <f t="shared" si="74"/>
        <v>II.5.1.0143</v>
      </c>
      <c r="B2170" s="321">
        <v>43</v>
      </c>
      <c r="C2170" s="339" t="str">
        <f>IFERROR(VLOOKUP(A2170,[3]DOORSCRIEFT!$A$2:$G$6834,2,FALSE),"")</f>
        <v/>
      </c>
      <c r="D2170" s="481" t="str">
        <f>IFERROR(VLOOKUP(A2170,[3]DOORSCRIEFT!$A$2:$G$6834,3,FALSE),"")</f>
        <v/>
      </c>
      <c r="E2170" s="480" t="str">
        <f>IFERROR(VLOOKUP(A2170,[3]DOORSCRIEFT!$A$2:$G$6834,4,FALSE),"")</f>
        <v/>
      </c>
      <c r="F2170" s="405" t="str">
        <f>IFERROR(VLOOKUP(A2170,[3]DOORSCRIEFT!$A$2:$G$6834,7,FALSE),"")</f>
        <v/>
      </c>
      <c r="G2170" s="315"/>
    </row>
    <row r="2171" spans="1:7" x14ac:dyDescent="0.25">
      <c r="A2171" s="496" t="str">
        <f t="shared" si="74"/>
        <v>II.5.1.0144</v>
      </c>
      <c r="B2171" s="321">
        <v>44</v>
      </c>
      <c r="C2171" s="339" t="str">
        <f>IFERROR(VLOOKUP(A2171,[3]DOORSCRIEFT!$A$2:$G$6834,2,FALSE),"")</f>
        <v/>
      </c>
      <c r="D2171" s="481" t="str">
        <f>IFERROR(VLOOKUP(A2171,[3]DOORSCRIEFT!$A$2:$G$6834,3,FALSE),"")</f>
        <v/>
      </c>
      <c r="E2171" s="480" t="str">
        <f>IFERROR(VLOOKUP(A2171,[3]DOORSCRIEFT!$A$2:$G$6834,4,FALSE),"")</f>
        <v/>
      </c>
      <c r="F2171" s="405" t="str">
        <f>IFERROR(VLOOKUP(A2171,[3]DOORSCRIEFT!$A$2:$G$6834,7,FALSE),"")</f>
        <v/>
      </c>
      <c r="G2171" s="315"/>
    </row>
    <row r="2172" spans="1:7" x14ac:dyDescent="0.25">
      <c r="A2172" s="496" t="str">
        <f t="shared" si="74"/>
        <v>II.5.1.0145</v>
      </c>
      <c r="B2172" s="321">
        <v>45</v>
      </c>
      <c r="C2172" s="339" t="str">
        <f>IFERROR(VLOOKUP(A2172,[3]DOORSCRIEFT!$A$2:$G$6834,2,FALSE),"")</f>
        <v/>
      </c>
      <c r="D2172" s="481" t="str">
        <f>IFERROR(VLOOKUP(A2172,[3]DOORSCRIEFT!$A$2:$G$6834,3,FALSE),"")</f>
        <v/>
      </c>
      <c r="E2172" s="480" t="str">
        <f>IFERROR(VLOOKUP(A2172,[3]DOORSCRIEFT!$A$2:$G$6834,4,FALSE),"")</f>
        <v/>
      </c>
      <c r="F2172" s="405" t="str">
        <f>IFERROR(VLOOKUP(A2172,[3]DOORSCRIEFT!$A$2:$G$6834,7,FALSE),"")</f>
        <v/>
      </c>
      <c r="G2172" s="315"/>
    </row>
    <row r="2173" spans="1:7" x14ac:dyDescent="0.25">
      <c r="A2173" s="496" t="str">
        <f t="shared" si="74"/>
        <v>II.5.1.0146</v>
      </c>
      <c r="B2173" s="321">
        <v>46</v>
      </c>
      <c r="C2173" s="339" t="str">
        <f>IFERROR(VLOOKUP(A2173,[3]DOORSCRIEFT!$A$2:$G$6834,2,FALSE),"")</f>
        <v/>
      </c>
      <c r="D2173" s="481" t="str">
        <f>IFERROR(VLOOKUP(A2173,[3]DOORSCRIEFT!$A$2:$G$6834,3,FALSE),"")</f>
        <v/>
      </c>
      <c r="E2173" s="480" t="str">
        <f>IFERROR(VLOOKUP(A2173,[3]DOORSCRIEFT!$A$2:$G$6834,4,FALSE),"")</f>
        <v/>
      </c>
      <c r="F2173" s="405" t="str">
        <f>IFERROR(VLOOKUP(A2173,[3]DOORSCRIEFT!$A$2:$G$6834,7,FALSE),"")</f>
        <v/>
      </c>
      <c r="G2173" s="315"/>
    </row>
    <row r="2174" spans="1:7" x14ac:dyDescent="0.25">
      <c r="A2174" s="496" t="str">
        <f t="shared" si="74"/>
        <v>II.5.1.0147</v>
      </c>
      <c r="B2174" s="321">
        <v>47</v>
      </c>
      <c r="C2174" s="339" t="str">
        <f>IFERROR(VLOOKUP(A2174,[3]DOORSCRIEFT!$A$2:$G$6834,2,FALSE),"")</f>
        <v/>
      </c>
      <c r="D2174" s="481" t="str">
        <f>IFERROR(VLOOKUP(A2174,[3]DOORSCRIEFT!$A$2:$G$6834,3,FALSE),"")</f>
        <v/>
      </c>
      <c r="E2174" s="480" t="str">
        <f>IFERROR(VLOOKUP(A2174,[3]DOORSCRIEFT!$A$2:$G$6834,4,FALSE),"")</f>
        <v/>
      </c>
      <c r="F2174" s="405" t="str">
        <f>IFERROR(VLOOKUP(A2174,[3]DOORSCRIEFT!$A$2:$G$6834,7,FALSE),"")</f>
        <v/>
      </c>
      <c r="G2174" s="315"/>
    </row>
    <row r="2175" spans="1:7" x14ac:dyDescent="0.25">
      <c r="A2175" s="496" t="str">
        <f t="shared" si="74"/>
        <v>II.5.1.0148</v>
      </c>
      <c r="B2175" s="321">
        <v>48</v>
      </c>
      <c r="C2175" s="339" t="str">
        <f>IFERROR(VLOOKUP(A2175,[3]DOORSCRIEFT!$A$2:$G$6834,2,FALSE),"")</f>
        <v/>
      </c>
      <c r="D2175" s="481" t="str">
        <f>IFERROR(VLOOKUP(A2175,[3]DOORSCRIEFT!$A$2:$G$6834,3,FALSE),"")</f>
        <v/>
      </c>
      <c r="E2175" s="480" t="str">
        <f>IFERROR(VLOOKUP(A2175,[3]DOORSCRIEFT!$A$2:$G$6834,4,FALSE),"")</f>
        <v/>
      </c>
      <c r="F2175" s="405" t="str">
        <f>IFERROR(VLOOKUP(A2175,[3]DOORSCRIEFT!$A$2:$G$6834,7,FALSE),"")</f>
        <v/>
      </c>
      <c r="G2175" s="315"/>
    </row>
    <row r="2176" spans="1:7" x14ac:dyDescent="0.25">
      <c r="A2176" s="496" t="str">
        <f t="shared" si="74"/>
        <v>II.5.1.0149</v>
      </c>
      <c r="B2176" s="321">
        <v>49</v>
      </c>
      <c r="C2176" s="339" t="str">
        <f>IFERROR(VLOOKUP(A2176,[3]DOORSCRIEFT!$A$2:$G$6834,2,FALSE),"")</f>
        <v/>
      </c>
      <c r="D2176" s="481" t="str">
        <f>IFERROR(VLOOKUP(A2176,[3]DOORSCRIEFT!$A$2:$G$6834,3,FALSE),"")</f>
        <v/>
      </c>
      <c r="E2176" s="480" t="str">
        <f>IFERROR(VLOOKUP(A2176,[3]DOORSCRIEFT!$A$2:$G$6834,4,FALSE),"")</f>
        <v/>
      </c>
      <c r="F2176" s="405" t="str">
        <f>IFERROR(VLOOKUP(A2176,[3]DOORSCRIEFT!$A$2:$G$6834,7,FALSE),"")</f>
        <v/>
      </c>
      <c r="G2176" s="315"/>
    </row>
    <row r="2177" spans="1:7" x14ac:dyDescent="0.25">
      <c r="A2177" s="496" t="str">
        <f t="shared" si="74"/>
        <v>II.5.1.0150</v>
      </c>
      <c r="B2177" s="321">
        <v>50</v>
      </c>
      <c r="C2177" s="339" t="str">
        <f>IFERROR(VLOOKUP(A2177,[3]DOORSCRIEFT!$A$2:$G$6834,2,FALSE),"")</f>
        <v/>
      </c>
      <c r="D2177" s="481" t="str">
        <f>IFERROR(VLOOKUP(A2177,[3]DOORSCRIEFT!$A$2:$G$6834,3,FALSE),"")</f>
        <v/>
      </c>
      <c r="E2177" s="480" t="str">
        <f>IFERROR(VLOOKUP(A2177,[3]DOORSCRIEFT!$A$2:$G$6834,4,FALSE),"")</f>
        <v/>
      </c>
      <c r="F2177" s="405" t="str">
        <f>IFERROR(VLOOKUP(A2177,[3]DOORSCRIEFT!$A$2:$G$6834,7,FALSE),"")</f>
        <v/>
      </c>
      <c r="G2177" s="315"/>
    </row>
    <row r="2178" spans="1:7" x14ac:dyDescent="0.25">
      <c r="A2178" s="496" t="str">
        <f t="shared" si="74"/>
        <v>II.5.1.0151</v>
      </c>
      <c r="B2178" s="321">
        <v>51</v>
      </c>
      <c r="C2178" s="339" t="str">
        <f>IFERROR(VLOOKUP(A2178,[3]DOORSCRIEFT!$A$2:$G$6834,2,FALSE),"")</f>
        <v/>
      </c>
      <c r="D2178" s="481" t="str">
        <f>IFERROR(VLOOKUP(A2178,[3]DOORSCRIEFT!$A$2:$G$6834,3,FALSE),"")</f>
        <v/>
      </c>
      <c r="E2178" s="480" t="str">
        <f>IFERROR(VLOOKUP(A2178,[3]DOORSCRIEFT!$A$2:$G$6834,4,FALSE),"")</f>
        <v/>
      </c>
      <c r="F2178" s="405" t="str">
        <f>IFERROR(VLOOKUP(A2178,[3]DOORSCRIEFT!$A$2:$G$6834,7,FALSE),"")</f>
        <v/>
      </c>
      <c r="G2178" s="315"/>
    </row>
    <row r="2179" spans="1:7" x14ac:dyDescent="0.25">
      <c r="A2179" s="496" t="str">
        <f t="shared" si="74"/>
        <v>II.5.1.0152</v>
      </c>
      <c r="B2179" s="321">
        <v>52</v>
      </c>
      <c r="C2179" s="339" t="str">
        <f>IFERROR(VLOOKUP(A2179,[3]DOORSCRIEFT!$A$2:$G$6834,2,FALSE),"")</f>
        <v/>
      </c>
      <c r="D2179" s="481" t="str">
        <f>IFERROR(VLOOKUP(A2179,[3]DOORSCRIEFT!$A$2:$G$6834,3,FALSE),"")</f>
        <v/>
      </c>
      <c r="E2179" s="480" t="str">
        <f>IFERROR(VLOOKUP(A2179,[3]DOORSCRIEFT!$A$2:$G$6834,4,FALSE),"")</f>
        <v/>
      </c>
      <c r="F2179" s="405" t="str">
        <f>IFERROR(VLOOKUP(A2179,[3]DOORSCRIEFT!$A$2:$G$6834,7,FALSE),"")</f>
        <v/>
      </c>
      <c r="G2179" s="315"/>
    </row>
    <row r="2180" spans="1:7" x14ac:dyDescent="0.25">
      <c r="A2180" s="496" t="str">
        <f t="shared" si="74"/>
        <v>II.5.1.0153</v>
      </c>
      <c r="B2180" s="321">
        <v>53</v>
      </c>
      <c r="C2180" s="339" t="str">
        <f>IFERROR(VLOOKUP(A2180,[3]DOORSCRIEFT!$A$2:$G$6834,2,FALSE),"")</f>
        <v/>
      </c>
      <c r="D2180" s="481" t="str">
        <f>IFERROR(VLOOKUP(A2180,[3]DOORSCRIEFT!$A$2:$G$6834,3,FALSE),"")</f>
        <v/>
      </c>
      <c r="E2180" s="480" t="str">
        <f>IFERROR(VLOOKUP(A2180,[3]DOORSCRIEFT!$A$2:$G$6834,4,FALSE),"")</f>
        <v/>
      </c>
      <c r="F2180" s="405" t="str">
        <f>IFERROR(VLOOKUP(A2180,[3]DOORSCRIEFT!$A$2:$G$6834,7,FALSE),"")</f>
        <v/>
      </c>
      <c r="G2180" s="315"/>
    </row>
    <row r="2181" spans="1:7" x14ac:dyDescent="0.25">
      <c r="A2181" s="496" t="str">
        <f t="shared" si="74"/>
        <v>II.5.1.0154</v>
      </c>
      <c r="B2181" s="321">
        <v>54</v>
      </c>
      <c r="C2181" s="339" t="str">
        <f>IFERROR(VLOOKUP(A2181,[3]DOORSCRIEFT!$A$2:$G$6834,2,FALSE),"")</f>
        <v/>
      </c>
      <c r="D2181" s="481" t="str">
        <f>IFERROR(VLOOKUP(A2181,[3]DOORSCRIEFT!$A$2:$G$6834,3,FALSE),"")</f>
        <v/>
      </c>
      <c r="E2181" s="480" t="str">
        <f>IFERROR(VLOOKUP(A2181,[3]DOORSCRIEFT!$A$2:$G$6834,4,FALSE),"")</f>
        <v/>
      </c>
      <c r="F2181" s="405" t="str">
        <f>IFERROR(VLOOKUP(A2181,[3]DOORSCRIEFT!$A$2:$G$6834,7,FALSE),"")</f>
        <v/>
      </c>
      <c r="G2181" s="315"/>
    </row>
    <row r="2182" spans="1:7" x14ac:dyDescent="0.25">
      <c r="A2182" s="496" t="str">
        <f t="shared" si="74"/>
        <v>II.5.1.0155</v>
      </c>
      <c r="B2182" s="321">
        <v>55</v>
      </c>
      <c r="C2182" s="339" t="str">
        <f>IFERROR(VLOOKUP(A2182,[3]DOORSCRIEFT!$A$2:$G$6834,2,FALSE),"")</f>
        <v/>
      </c>
      <c r="D2182" s="481" t="str">
        <f>IFERROR(VLOOKUP(A2182,[3]DOORSCRIEFT!$A$2:$G$6834,3,FALSE),"")</f>
        <v/>
      </c>
      <c r="E2182" s="480" t="str">
        <f>IFERROR(VLOOKUP(A2182,[3]DOORSCRIEFT!$A$2:$G$6834,4,FALSE),"")</f>
        <v/>
      </c>
      <c r="F2182" s="405" t="str">
        <f>IFERROR(VLOOKUP(A2182,[3]DOORSCRIEFT!$A$2:$G$6834,7,FALSE),"")</f>
        <v/>
      </c>
      <c r="G2182" s="315"/>
    </row>
    <row r="2183" spans="1:7" x14ac:dyDescent="0.25">
      <c r="A2183" s="496" t="str">
        <f t="shared" si="74"/>
        <v>II.5.1.0156</v>
      </c>
      <c r="B2183" s="321">
        <v>56</v>
      </c>
      <c r="C2183" s="339" t="str">
        <f>IFERROR(VLOOKUP(A2183,[3]DOORSCRIEFT!$A$2:$G$6834,2,FALSE),"")</f>
        <v/>
      </c>
      <c r="D2183" s="481" t="str">
        <f>IFERROR(VLOOKUP(A2183,[3]DOORSCRIEFT!$A$2:$G$6834,3,FALSE),"")</f>
        <v/>
      </c>
      <c r="E2183" s="480" t="str">
        <f>IFERROR(VLOOKUP(A2183,[3]DOORSCRIEFT!$A$2:$G$6834,4,FALSE),"")</f>
        <v/>
      </c>
      <c r="F2183" s="405" t="str">
        <f>IFERROR(VLOOKUP(A2183,[3]DOORSCRIEFT!$A$2:$G$6834,7,FALSE),"")</f>
        <v/>
      </c>
      <c r="G2183" s="315"/>
    </row>
    <row r="2184" spans="1:7" x14ac:dyDescent="0.25">
      <c r="A2184" s="496" t="str">
        <f t="shared" si="74"/>
        <v>II.5.1.0157</v>
      </c>
      <c r="B2184" s="321">
        <v>57</v>
      </c>
      <c r="C2184" s="339" t="str">
        <f>IFERROR(VLOOKUP(A2184,[3]DOORSCRIEFT!$A$2:$G$6834,2,FALSE),"")</f>
        <v/>
      </c>
      <c r="D2184" s="481" t="str">
        <f>IFERROR(VLOOKUP(A2184,[3]DOORSCRIEFT!$A$2:$G$6834,3,FALSE),"")</f>
        <v/>
      </c>
      <c r="E2184" s="480" t="str">
        <f>IFERROR(VLOOKUP(A2184,[3]DOORSCRIEFT!$A$2:$G$6834,4,FALSE),"")</f>
        <v/>
      </c>
      <c r="F2184" s="405" t="str">
        <f>IFERROR(VLOOKUP(A2184,[3]DOORSCRIEFT!$A$2:$G$6834,7,FALSE),"")</f>
        <v/>
      </c>
      <c r="G2184" s="315"/>
    </row>
    <row r="2185" spans="1:7" x14ac:dyDescent="0.25">
      <c r="A2185" s="496" t="str">
        <f t="shared" si="74"/>
        <v>II.5.1.0158</v>
      </c>
      <c r="B2185" s="321">
        <v>58</v>
      </c>
      <c r="C2185" s="339" t="str">
        <f>IFERROR(VLOOKUP(A2185,[3]DOORSCRIEFT!$A$2:$G$6834,2,FALSE),"")</f>
        <v/>
      </c>
      <c r="D2185" s="481" t="str">
        <f>IFERROR(VLOOKUP(A2185,[3]DOORSCRIEFT!$A$2:$G$6834,3,FALSE),"")</f>
        <v/>
      </c>
      <c r="E2185" s="480" t="str">
        <f>IFERROR(VLOOKUP(A2185,[3]DOORSCRIEFT!$A$2:$G$6834,4,FALSE),"")</f>
        <v/>
      </c>
      <c r="F2185" s="405" t="str">
        <f>IFERROR(VLOOKUP(A2185,[3]DOORSCRIEFT!$A$2:$G$6834,7,FALSE),"")</f>
        <v/>
      </c>
      <c r="G2185" s="315"/>
    </row>
    <row r="2186" spans="1:7" x14ac:dyDescent="0.25">
      <c r="A2186" s="496" t="str">
        <f t="shared" si="74"/>
        <v>II.5.1.0159</v>
      </c>
      <c r="B2186" s="321">
        <v>59</v>
      </c>
      <c r="C2186" s="339" t="str">
        <f>IFERROR(VLOOKUP(A2186,[3]DOORSCRIEFT!$A$2:$G$6834,2,FALSE),"")</f>
        <v/>
      </c>
      <c r="D2186" s="481" t="str">
        <f>IFERROR(VLOOKUP(A2186,[3]DOORSCRIEFT!$A$2:$G$6834,3,FALSE),"")</f>
        <v/>
      </c>
      <c r="E2186" s="480" t="str">
        <f>IFERROR(VLOOKUP(A2186,[3]DOORSCRIEFT!$A$2:$G$6834,4,FALSE),"")</f>
        <v/>
      </c>
      <c r="F2186" s="405" t="str">
        <f>IFERROR(VLOOKUP(A2186,[3]DOORSCRIEFT!$A$2:$G$6834,7,FALSE),"")</f>
        <v/>
      </c>
      <c r="G2186" s="315"/>
    </row>
    <row r="2187" spans="1:7" x14ac:dyDescent="0.25">
      <c r="A2187" s="496" t="str">
        <f t="shared" si="74"/>
        <v>II.5.1.0160</v>
      </c>
      <c r="B2187" s="321">
        <v>60</v>
      </c>
      <c r="C2187" s="339" t="str">
        <f>IFERROR(VLOOKUP(A2187,[3]DOORSCRIEFT!$A$2:$G$6834,2,FALSE),"")</f>
        <v/>
      </c>
      <c r="D2187" s="481" t="str">
        <f>IFERROR(VLOOKUP(A2187,[3]DOORSCRIEFT!$A$2:$G$6834,3,FALSE),"")</f>
        <v/>
      </c>
      <c r="E2187" s="480" t="str">
        <f>IFERROR(VLOOKUP(A2187,[3]DOORSCRIEFT!$A$2:$G$6834,4,FALSE),"")</f>
        <v/>
      </c>
      <c r="F2187" s="405" t="str">
        <f>IFERROR(VLOOKUP(A2187,[3]DOORSCRIEFT!$A$2:$G$6834,7,FALSE),"")</f>
        <v/>
      </c>
      <c r="G2187" s="349"/>
    </row>
    <row r="2188" spans="1:7" x14ac:dyDescent="0.25">
      <c r="A2188" s="496" t="str">
        <f t="shared" si="74"/>
        <v>II.5.1.0161</v>
      </c>
      <c r="B2188" s="321">
        <v>61</v>
      </c>
      <c r="C2188" s="339" t="str">
        <f>IFERROR(VLOOKUP(A2188,[3]DOORSCRIEFT!$A$2:$G$6834,2,FALSE),"")</f>
        <v/>
      </c>
      <c r="D2188" s="481" t="str">
        <f>IFERROR(VLOOKUP(A2188,[3]DOORSCRIEFT!$A$2:$G$6834,3,FALSE),"")</f>
        <v/>
      </c>
      <c r="E2188" s="480" t="str">
        <f>IFERROR(VLOOKUP(A2188,[3]DOORSCRIEFT!$A$2:$G$6834,4,FALSE),"")</f>
        <v/>
      </c>
      <c r="F2188" s="405" t="str">
        <f>IFERROR(VLOOKUP(A2188,[3]DOORSCRIEFT!$A$2:$G$6834,7,FALSE),"")</f>
        <v/>
      </c>
      <c r="G2188" s="349"/>
    </row>
    <row r="2189" spans="1:7" x14ac:dyDescent="0.25">
      <c r="A2189" s="496" t="str">
        <f t="shared" si="74"/>
        <v>II.5.1.0162</v>
      </c>
      <c r="B2189" s="321">
        <v>62</v>
      </c>
      <c r="C2189" s="339" t="str">
        <f>IFERROR(VLOOKUP(A2189,[3]DOORSCRIEFT!$A$2:$G$6834,2,FALSE),"")</f>
        <v/>
      </c>
      <c r="D2189" s="481" t="str">
        <f>IFERROR(VLOOKUP(A2189,[3]DOORSCRIEFT!$A$2:$G$6834,3,FALSE),"")</f>
        <v/>
      </c>
      <c r="E2189" s="480" t="str">
        <f>IFERROR(VLOOKUP(A2189,[3]DOORSCRIEFT!$A$2:$G$6834,4,FALSE),"")</f>
        <v/>
      </c>
      <c r="F2189" s="405" t="str">
        <f>IFERROR(VLOOKUP(A2189,[3]DOORSCRIEFT!$A$2:$G$6834,7,FALSE),"")</f>
        <v/>
      </c>
      <c r="G2189" s="349"/>
    </row>
    <row r="2190" spans="1:7" x14ac:dyDescent="0.25">
      <c r="A2190" s="496" t="str">
        <f t="shared" si="74"/>
        <v>II.5.1.0163</v>
      </c>
      <c r="B2190" s="321">
        <v>63</v>
      </c>
      <c r="C2190" s="339" t="str">
        <f>IFERROR(VLOOKUP(A2190,[3]DOORSCRIEFT!$A$2:$G$6834,2,FALSE),"")</f>
        <v/>
      </c>
      <c r="D2190" s="481" t="str">
        <f>IFERROR(VLOOKUP(A2190,[3]DOORSCRIEFT!$A$2:$G$6834,3,FALSE),"")</f>
        <v/>
      </c>
      <c r="E2190" s="480" t="str">
        <f>IFERROR(VLOOKUP(A2190,[3]DOORSCRIEFT!$A$2:$G$6834,4,FALSE),"")</f>
        <v/>
      </c>
      <c r="F2190" s="405" t="str">
        <f>IFERROR(VLOOKUP(A2190,[3]DOORSCRIEFT!$A$2:$G$6834,7,FALSE),"")</f>
        <v/>
      </c>
      <c r="G2190" s="349"/>
    </row>
    <row r="2191" spans="1:7" x14ac:dyDescent="0.25">
      <c r="A2191" s="496" t="str">
        <f t="shared" si="74"/>
        <v>II.5.1.0164</v>
      </c>
      <c r="B2191" s="321">
        <v>64</v>
      </c>
      <c r="C2191" s="339" t="str">
        <f>IFERROR(VLOOKUP(A2191,[3]DOORSCRIEFT!$A$2:$G$6834,2,FALSE),"")</f>
        <v/>
      </c>
      <c r="D2191" s="481" t="str">
        <f>IFERROR(VLOOKUP(A2191,[3]DOORSCRIEFT!$A$2:$G$6834,3,FALSE),"")</f>
        <v/>
      </c>
      <c r="E2191" s="480" t="str">
        <f>IFERROR(VLOOKUP(A2191,[3]DOORSCRIEFT!$A$2:$G$6834,4,FALSE),"")</f>
        <v/>
      </c>
      <c r="F2191" s="405" t="str">
        <f>IFERROR(VLOOKUP(A2191,[3]DOORSCRIEFT!$A$2:$G$6834,7,FALSE),"")</f>
        <v/>
      </c>
      <c r="G2191" s="349"/>
    </row>
    <row r="2192" spans="1:7" x14ac:dyDescent="0.25">
      <c r="A2192" s="496" t="str">
        <f t="shared" ref="A2192:A2223" si="75">$G$2121&amp;B2192</f>
        <v>II.5.1.0165</v>
      </c>
      <c r="B2192" s="321">
        <v>65</v>
      </c>
      <c r="C2192" s="339" t="str">
        <f>IFERROR(VLOOKUP(A2192,[3]DOORSCRIEFT!$A$2:$G$6834,2,FALSE),"")</f>
        <v/>
      </c>
      <c r="D2192" s="481" t="str">
        <f>IFERROR(VLOOKUP(A2192,[3]DOORSCRIEFT!$A$2:$G$6834,3,FALSE),"")</f>
        <v/>
      </c>
      <c r="E2192" s="480" t="str">
        <f>IFERROR(VLOOKUP(A2192,[3]DOORSCRIEFT!$A$2:$G$6834,4,FALSE),"")</f>
        <v/>
      </c>
      <c r="F2192" s="405" t="str">
        <f>IFERROR(VLOOKUP(A2192,[3]DOORSCRIEFT!$A$2:$G$6834,7,FALSE),"")</f>
        <v/>
      </c>
      <c r="G2192" s="349"/>
    </row>
    <row r="2193" spans="1:7" x14ac:dyDescent="0.25">
      <c r="A2193" s="496" t="str">
        <f t="shared" si="75"/>
        <v>II.5.1.0166</v>
      </c>
      <c r="B2193" s="321">
        <v>66</v>
      </c>
      <c r="C2193" s="339" t="str">
        <f>IFERROR(VLOOKUP(A2193,[3]DOORSCRIEFT!$A$2:$G$6834,2,FALSE),"")</f>
        <v/>
      </c>
      <c r="D2193" s="481" t="str">
        <f>IFERROR(VLOOKUP(A2193,[3]DOORSCRIEFT!$A$2:$G$6834,3,FALSE),"")</f>
        <v/>
      </c>
      <c r="E2193" s="480" t="str">
        <f>IFERROR(VLOOKUP(A2193,[3]DOORSCRIEFT!$A$2:$G$6834,4,FALSE),"")</f>
        <v/>
      </c>
      <c r="F2193" s="405" t="str">
        <f>IFERROR(VLOOKUP(A2193,[3]DOORSCRIEFT!$A$2:$G$6834,7,FALSE),"")</f>
        <v/>
      </c>
      <c r="G2193" s="349"/>
    </row>
    <row r="2194" spans="1:7" x14ac:dyDescent="0.25">
      <c r="A2194" s="496" t="str">
        <f t="shared" si="75"/>
        <v>II.5.1.0167</v>
      </c>
      <c r="B2194" s="321">
        <v>67</v>
      </c>
      <c r="C2194" s="339" t="str">
        <f>IFERROR(VLOOKUP(A2194,[3]DOORSCRIEFT!$A$2:$G$6834,2,FALSE),"")</f>
        <v/>
      </c>
      <c r="D2194" s="481" t="str">
        <f>IFERROR(VLOOKUP(A2194,[3]DOORSCRIEFT!$A$2:$G$6834,3,FALSE),"")</f>
        <v/>
      </c>
      <c r="E2194" s="480" t="str">
        <f>IFERROR(VLOOKUP(A2194,[3]DOORSCRIEFT!$A$2:$G$6834,4,FALSE),"")</f>
        <v/>
      </c>
      <c r="F2194" s="405" t="str">
        <f>IFERROR(VLOOKUP(A2194,[3]DOORSCRIEFT!$A$2:$G$6834,7,FALSE),"")</f>
        <v/>
      </c>
      <c r="G2194" s="349"/>
    </row>
    <row r="2195" spans="1:7" x14ac:dyDescent="0.25">
      <c r="A2195" s="496" t="str">
        <f t="shared" si="75"/>
        <v>II.5.1.0168</v>
      </c>
      <c r="B2195" s="321">
        <v>68</v>
      </c>
      <c r="C2195" s="339" t="str">
        <f>IFERROR(VLOOKUP(A2195,[3]DOORSCRIEFT!$A$2:$G$6834,2,FALSE),"")</f>
        <v/>
      </c>
      <c r="D2195" s="481" t="str">
        <f>IFERROR(VLOOKUP(A2195,[3]DOORSCRIEFT!$A$2:$G$6834,3,FALSE),"")</f>
        <v/>
      </c>
      <c r="E2195" s="480" t="str">
        <f>IFERROR(VLOOKUP(A2195,[3]DOORSCRIEFT!$A$2:$G$6834,4,FALSE),"")</f>
        <v/>
      </c>
      <c r="F2195" s="405" t="str">
        <f>IFERROR(VLOOKUP(A2195,[3]DOORSCRIEFT!$A$2:$G$6834,7,FALSE),"")</f>
        <v/>
      </c>
      <c r="G2195" s="349"/>
    </row>
    <row r="2196" spans="1:7" x14ac:dyDescent="0.25">
      <c r="A2196" s="496" t="str">
        <f t="shared" si="75"/>
        <v>II.5.1.0169</v>
      </c>
      <c r="B2196" s="321">
        <v>69</v>
      </c>
      <c r="C2196" s="339" t="str">
        <f>IFERROR(VLOOKUP(A2196,[3]DOORSCRIEFT!$A$2:$G$6834,2,FALSE),"")</f>
        <v/>
      </c>
      <c r="D2196" s="481" t="str">
        <f>IFERROR(VLOOKUP(A2196,[3]DOORSCRIEFT!$A$2:$G$6834,3,FALSE),"")</f>
        <v/>
      </c>
      <c r="E2196" s="480" t="str">
        <f>IFERROR(VLOOKUP(A2196,[3]DOORSCRIEFT!$A$2:$G$6834,4,FALSE),"")</f>
        <v/>
      </c>
      <c r="F2196" s="405" t="str">
        <f>IFERROR(VLOOKUP(A2196,[3]DOORSCRIEFT!$A$2:$G$6834,7,FALSE),"")</f>
        <v/>
      </c>
      <c r="G2196" s="349"/>
    </row>
    <row r="2197" spans="1:7" x14ac:dyDescent="0.25">
      <c r="A2197" s="496" t="str">
        <f t="shared" si="75"/>
        <v>II.5.1.0170</v>
      </c>
      <c r="B2197" s="321">
        <v>70</v>
      </c>
      <c r="C2197" s="339" t="str">
        <f>IFERROR(VLOOKUP(A2197,[3]DOORSCRIEFT!$A$2:$G$6834,2,FALSE),"")</f>
        <v/>
      </c>
      <c r="D2197" s="481" t="str">
        <f>IFERROR(VLOOKUP(A2197,[3]DOORSCRIEFT!$A$2:$G$6834,3,FALSE),"")</f>
        <v/>
      </c>
      <c r="E2197" s="480" t="str">
        <f>IFERROR(VLOOKUP(A2197,[3]DOORSCRIEFT!$A$2:$G$6834,4,FALSE),"")</f>
        <v/>
      </c>
      <c r="F2197" s="405" t="str">
        <f>IFERROR(VLOOKUP(A2197,[3]DOORSCRIEFT!$A$2:$G$6834,7,FALSE),"")</f>
        <v/>
      </c>
      <c r="G2197" s="349"/>
    </row>
    <row r="2198" spans="1:7" x14ac:dyDescent="0.25">
      <c r="A2198" s="496" t="str">
        <f t="shared" si="75"/>
        <v>II.5.1.0171</v>
      </c>
      <c r="B2198" s="321">
        <v>71</v>
      </c>
      <c r="C2198" s="339" t="str">
        <f>IFERROR(VLOOKUP(A2198,[3]DOORSCRIEFT!$A$2:$G$6834,2,FALSE),"")</f>
        <v/>
      </c>
      <c r="D2198" s="481" t="str">
        <f>IFERROR(VLOOKUP(A2198,[3]DOORSCRIEFT!$A$2:$G$6834,3,FALSE),"")</f>
        <v/>
      </c>
      <c r="E2198" s="480" t="str">
        <f>IFERROR(VLOOKUP(A2198,[3]DOORSCRIEFT!$A$2:$G$6834,4,FALSE),"")</f>
        <v/>
      </c>
      <c r="F2198" s="405" t="str">
        <f>IFERROR(VLOOKUP(A2198,[3]DOORSCRIEFT!$A$2:$G$6834,7,FALSE),"")</f>
        <v/>
      </c>
      <c r="G2198" s="349"/>
    </row>
    <row r="2199" spans="1:7" x14ac:dyDescent="0.25">
      <c r="A2199" s="496" t="str">
        <f t="shared" si="75"/>
        <v>II.5.1.0172</v>
      </c>
      <c r="B2199" s="321">
        <v>72</v>
      </c>
      <c r="C2199" s="339" t="str">
        <f>IFERROR(VLOOKUP(A2199,[3]DOORSCRIEFT!$A$2:$G$6834,2,FALSE),"")</f>
        <v/>
      </c>
      <c r="D2199" s="481" t="str">
        <f>IFERROR(VLOOKUP(A2199,[3]DOORSCRIEFT!$A$2:$G$6834,3,FALSE),"")</f>
        <v/>
      </c>
      <c r="E2199" s="480" t="str">
        <f>IFERROR(VLOOKUP(A2199,[3]DOORSCRIEFT!$A$2:$G$6834,4,FALSE),"")</f>
        <v/>
      </c>
      <c r="F2199" s="405" t="str">
        <f>IFERROR(VLOOKUP(A2199,[3]DOORSCRIEFT!$A$2:$G$6834,7,FALSE),"")</f>
        <v/>
      </c>
      <c r="G2199" s="349"/>
    </row>
    <row r="2200" spans="1:7" x14ac:dyDescent="0.25">
      <c r="A2200" s="496" t="str">
        <f t="shared" si="75"/>
        <v>II.5.1.0173</v>
      </c>
      <c r="B2200" s="321">
        <v>73</v>
      </c>
      <c r="C2200" s="339" t="str">
        <f>IFERROR(VLOOKUP(A2200,[3]DOORSCRIEFT!$A$2:$G$6834,2,FALSE),"")</f>
        <v/>
      </c>
      <c r="D2200" s="481" t="str">
        <f>IFERROR(VLOOKUP(A2200,[3]DOORSCRIEFT!$A$2:$G$6834,3,FALSE),"")</f>
        <v/>
      </c>
      <c r="E2200" s="480" t="str">
        <f>IFERROR(VLOOKUP(A2200,[3]DOORSCRIEFT!$A$2:$G$6834,4,FALSE),"")</f>
        <v/>
      </c>
      <c r="F2200" s="405" t="str">
        <f>IFERROR(VLOOKUP(A2200,[3]DOORSCRIEFT!$A$2:$G$6834,7,FALSE),"")</f>
        <v/>
      </c>
      <c r="G2200" s="349"/>
    </row>
    <row r="2201" spans="1:7" x14ac:dyDescent="0.25">
      <c r="A2201" s="496" t="str">
        <f t="shared" si="75"/>
        <v>II.5.1.0174</v>
      </c>
      <c r="B2201" s="321">
        <v>74</v>
      </c>
      <c r="C2201" s="339" t="str">
        <f>IFERROR(VLOOKUP(A2201,[3]DOORSCRIEFT!$A$2:$G$6834,2,FALSE),"")</f>
        <v/>
      </c>
      <c r="D2201" s="481" t="str">
        <f>IFERROR(VLOOKUP(A2201,[3]DOORSCRIEFT!$A$2:$G$6834,3,FALSE),"")</f>
        <v/>
      </c>
      <c r="E2201" s="480" t="str">
        <f>IFERROR(VLOOKUP(A2201,[3]DOORSCRIEFT!$A$2:$G$6834,4,FALSE),"")</f>
        <v/>
      </c>
      <c r="F2201" s="405" t="str">
        <f>IFERROR(VLOOKUP(A2201,[3]DOORSCRIEFT!$A$2:$G$6834,7,FALSE),"")</f>
        <v/>
      </c>
      <c r="G2201" s="349"/>
    </row>
    <row r="2202" spans="1:7" x14ac:dyDescent="0.25">
      <c r="A2202" s="496" t="str">
        <f t="shared" si="75"/>
        <v>II.5.1.0175</v>
      </c>
      <c r="B2202" s="321">
        <v>75</v>
      </c>
      <c r="C2202" s="339" t="str">
        <f>IFERROR(VLOOKUP(A2202,[3]DOORSCRIEFT!$A$2:$G$6834,2,FALSE),"")</f>
        <v/>
      </c>
      <c r="D2202" s="481" t="str">
        <f>IFERROR(VLOOKUP(A2202,[3]DOORSCRIEFT!$A$2:$G$6834,3,FALSE),"")</f>
        <v/>
      </c>
      <c r="E2202" s="480" t="str">
        <f>IFERROR(VLOOKUP(A2202,[3]DOORSCRIEFT!$A$2:$G$6834,4,FALSE),"")</f>
        <v/>
      </c>
      <c r="F2202" s="405" t="str">
        <f>IFERROR(VLOOKUP(A2202,[3]DOORSCRIEFT!$A$2:$G$6834,7,FALSE),"")</f>
        <v/>
      </c>
      <c r="G2202" s="349"/>
    </row>
    <row r="2203" spans="1:7" x14ac:dyDescent="0.25">
      <c r="A2203" s="496" t="str">
        <f t="shared" si="75"/>
        <v>II.5.1.0176</v>
      </c>
      <c r="B2203" s="321">
        <v>76</v>
      </c>
      <c r="C2203" s="339" t="str">
        <f>IFERROR(VLOOKUP(A2203,[3]DOORSCRIEFT!$A$2:$G$6834,2,FALSE),"")</f>
        <v/>
      </c>
      <c r="D2203" s="481" t="str">
        <f>IFERROR(VLOOKUP(A2203,[3]DOORSCRIEFT!$A$2:$G$6834,3,FALSE),"")</f>
        <v/>
      </c>
      <c r="E2203" s="480" t="str">
        <f>IFERROR(VLOOKUP(A2203,[3]DOORSCRIEFT!$A$2:$G$6834,4,FALSE),"")</f>
        <v/>
      </c>
      <c r="F2203" s="405" t="str">
        <f>IFERROR(VLOOKUP(A2203,[3]DOORSCRIEFT!$A$2:$G$6834,7,FALSE),"")</f>
        <v/>
      </c>
      <c r="G2203" s="349"/>
    </row>
    <row r="2204" spans="1:7" x14ac:dyDescent="0.25">
      <c r="A2204" s="496" t="str">
        <f t="shared" si="75"/>
        <v>II.5.1.0177</v>
      </c>
      <c r="B2204" s="321">
        <v>77</v>
      </c>
      <c r="C2204" s="339" t="str">
        <f>IFERROR(VLOOKUP(A2204,[3]DOORSCRIEFT!$A$2:$G$6834,2,FALSE),"")</f>
        <v/>
      </c>
      <c r="D2204" s="481" t="str">
        <f>IFERROR(VLOOKUP(A2204,[3]DOORSCRIEFT!$A$2:$G$6834,3,FALSE),"")</f>
        <v/>
      </c>
      <c r="E2204" s="480" t="str">
        <f>IFERROR(VLOOKUP(A2204,[3]DOORSCRIEFT!$A$2:$G$6834,4,FALSE),"")</f>
        <v/>
      </c>
      <c r="F2204" s="405" t="str">
        <f>IFERROR(VLOOKUP(A2204,[3]DOORSCRIEFT!$A$2:$G$6834,7,FALSE),"")</f>
        <v/>
      </c>
      <c r="G2204" s="349"/>
    </row>
    <row r="2205" spans="1:7" x14ac:dyDescent="0.25">
      <c r="A2205" s="496" t="str">
        <f t="shared" si="75"/>
        <v>II.5.1.0178</v>
      </c>
      <c r="B2205" s="321">
        <v>78</v>
      </c>
      <c r="C2205" s="339" t="str">
        <f>IFERROR(VLOOKUP(A2205,[3]DOORSCRIEFT!$A$2:$G$6834,2,FALSE),"")</f>
        <v/>
      </c>
      <c r="D2205" s="481" t="str">
        <f>IFERROR(VLOOKUP(A2205,[3]DOORSCRIEFT!$A$2:$G$6834,3,FALSE),"")</f>
        <v/>
      </c>
      <c r="E2205" s="480" t="str">
        <f>IFERROR(VLOOKUP(A2205,[3]DOORSCRIEFT!$A$2:$G$6834,4,FALSE),"")</f>
        <v/>
      </c>
      <c r="F2205" s="405" t="str">
        <f>IFERROR(VLOOKUP(A2205,[3]DOORSCRIEFT!$A$2:$G$6834,7,FALSE),"")</f>
        <v/>
      </c>
      <c r="G2205" s="349"/>
    </row>
    <row r="2206" spans="1:7" x14ac:dyDescent="0.25">
      <c r="A2206" s="496" t="str">
        <f t="shared" si="75"/>
        <v>II.5.1.0179</v>
      </c>
      <c r="B2206" s="321">
        <v>79</v>
      </c>
      <c r="C2206" s="339" t="str">
        <f>IFERROR(VLOOKUP(A2206,[3]DOORSCRIEFT!$A$2:$G$6834,2,FALSE),"")</f>
        <v/>
      </c>
      <c r="D2206" s="481" t="str">
        <f>IFERROR(VLOOKUP(A2206,[3]DOORSCRIEFT!$A$2:$G$6834,3,FALSE),"")</f>
        <v/>
      </c>
      <c r="E2206" s="480" t="str">
        <f>IFERROR(VLOOKUP(A2206,[3]DOORSCRIEFT!$A$2:$G$6834,4,FALSE),"")</f>
        <v/>
      </c>
      <c r="F2206" s="405" t="str">
        <f>IFERROR(VLOOKUP(A2206,[3]DOORSCRIEFT!$A$2:$G$6834,7,FALSE),"")</f>
        <v/>
      </c>
      <c r="G2206" s="349"/>
    </row>
    <row r="2207" spans="1:7" x14ac:dyDescent="0.25">
      <c r="A2207" s="496" t="str">
        <f t="shared" si="75"/>
        <v>II.5.1.0180</v>
      </c>
      <c r="B2207" s="321">
        <v>80</v>
      </c>
      <c r="C2207" s="339" t="str">
        <f>IFERROR(VLOOKUP(A2207,[3]DOORSCRIEFT!$A$2:$G$6834,2,FALSE),"")</f>
        <v/>
      </c>
      <c r="D2207" s="481" t="str">
        <f>IFERROR(VLOOKUP(A2207,[3]DOORSCRIEFT!$A$2:$G$6834,3,FALSE),"")</f>
        <v/>
      </c>
      <c r="E2207" s="480" t="str">
        <f>IFERROR(VLOOKUP(A2207,[3]DOORSCRIEFT!$A$2:$G$6834,4,FALSE),"")</f>
        <v/>
      </c>
      <c r="F2207" s="405" t="str">
        <f>IFERROR(VLOOKUP(A2207,[3]DOORSCRIEFT!$A$2:$G$6834,7,FALSE),"")</f>
        <v/>
      </c>
      <c r="G2207" s="349"/>
    </row>
    <row r="2208" spans="1:7" x14ac:dyDescent="0.25">
      <c r="A2208" s="496" t="str">
        <f t="shared" si="75"/>
        <v>II.5.1.0181</v>
      </c>
      <c r="B2208" s="321">
        <v>81</v>
      </c>
      <c r="C2208" s="339" t="str">
        <f>IFERROR(VLOOKUP(A2208,[3]DOORSCRIEFT!$A$2:$G$6834,2,FALSE),"")</f>
        <v/>
      </c>
      <c r="D2208" s="481" t="str">
        <f>IFERROR(VLOOKUP(A2208,[3]DOORSCRIEFT!$A$2:$G$6834,3,FALSE),"")</f>
        <v/>
      </c>
      <c r="E2208" s="480" t="str">
        <f>IFERROR(VLOOKUP(A2208,[3]DOORSCRIEFT!$A$2:$G$6834,4,FALSE),"")</f>
        <v/>
      </c>
      <c r="F2208" s="405" t="str">
        <f>IFERROR(VLOOKUP(A2208,[3]DOORSCRIEFT!$A$2:$G$6834,7,FALSE),"")</f>
        <v/>
      </c>
      <c r="G2208" s="349"/>
    </row>
    <row r="2209" spans="1:7" x14ac:dyDescent="0.25">
      <c r="A2209" s="496" t="str">
        <f t="shared" si="75"/>
        <v>II.5.1.0182</v>
      </c>
      <c r="B2209" s="321">
        <v>82</v>
      </c>
      <c r="C2209" s="339" t="str">
        <f>IFERROR(VLOOKUP(A2209,[3]DOORSCRIEFT!$A$2:$G$6834,2,FALSE),"")</f>
        <v/>
      </c>
      <c r="D2209" s="481" t="str">
        <f>IFERROR(VLOOKUP(A2209,[3]DOORSCRIEFT!$A$2:$G$6834,3,FALSE),"")</f>
        <v/>
      </c>
      <c r="E2209" s="480" t="str">
        <f>IFERROR(VLOOKUP(A2209,[3]DOORSCRIEFT!$A$2:$G$6834,4,FALSE),"")</f>
        <v/>
      </c>
      <c r="F2209" s="405" t="str">
        <f>IFERROR(VLOOKUP(A2209,[3]DOORSCRIEFT!$A$2:$G$6834,7,FALSE),"")</f>
        <v/>
      </c>
      <c r="G2209" s="349"/>
    </row>
    <row r="2210" spans="1:7" x14ac:dyDescent="0.25">
      <c r="A2210" s="496" t="str">
        <f t="shared" si="75"/>
        <v>II.5.1.0183</v>
      </c>
      <c r="B2210" s="321">
        <v>83</v>
      </c>
      <c r="C2210" s="339" t="str">
        <f>IFERROR(VLOOKUP(A2210,[3]DOORSCRIEFT!$A$2:$G$6834,2,FALSE),"")</f>
        <v/>
      </c>
      <c r="D2210" s="481" t="str">
        <f>IFERROR(VLOOKUP(A2210,[3]DOORSCRIEFT!$A$2:$G$6834,3,FALSE),"")</f>
        <v/>
      </c>
      <c r="E2210" s="480" t="str">
        <f>IFERROR(VLOOKUP(A2210,[3]DOORSCRIEFT!$A$2:$G$6834,4,FALSE),"")</f>
        <v/>
      </c>
      <c r="F2210" s="405" t="str">
        <f>IFERROR(VLOOKUP(A2210,[3]DOORSCRIEFT!$A$2:$G$6834,7,FALSE),"")</f>
        <v/>
      </c>
      <c r="G2210" s="349"/>
    </row>
    <row r="2211" spans="1:7" x14ac:dyDescent="0.25">
      <c r="A2211" s="496" t="str">
        <f t="shared" si="75"/>
        <v>II.5.1.0184</v>
      </c>
      <c r="B2211" s="321">
        <v>84</v>
      </c>
      <c r="C2211" s="339" t="str">
        <f>IFERROR(VLOOKUP(A2211,[3]DOORSCRIEFT!$A$2:$G$6834,2,FALSE),"")</f>
        <v/>
      </c>
      <c r="D2211" s="481" t="str">
        <f>IFERROR(VLOOKUP(A2211,[3]DOORSCRIEFT!$A$2:$G$6834,3,FALSE),"")</f>
        <v/>
      </c>
      <c r="E2211" s="480" t="str">
        <f>IFERROR(VLOOKUP(A2211,[3]DOORSCRIEFT!$A$2:$G$6834,4,FALSE),"")</f>
        <v/>
      </c>
      <c r="F2211" s="405" t="str">
        <f>IFERROR(VLOOKUP(A2211,[3]DOORSCRIEFT!$A$2:$G$6834,7,FALSE),"")</f>
        <v/>
      </c>
      <c r="G2211" s="349"/>
    </row>
    <row r="2212" spans="1:7" x14ac:dyDescent="0.25">
      <c r="A2212" s="496" t="str">
        <f t="shared" si="75"/>
        <v>II.5.1.0185</v>
      </c>
      <c r="B2212" s="321">
        <v>85</v>
      </c>
      <c r="C2212" s="339" t="str">
        <f>IFERROR(VLOOKUP(A2212,[3]DOORSCRIEFT!$A$2:$G$6834,2,FALSE),"")</f>
        <v/>
      </c>
      <c r="D2212" s="481" t="str">
        <f>IFERROR(VLOOKUP(A2212,[3]DOORSCRIEFT!$A$2:$G$6834,3,FALSE),"")</f>
        <v/>
      </c>
      <c r="E2212" s="480" t="str">
        <f>IFERROR(VLOOKUP(A2212,[3]DOORSCRIEFT!$A$2:$G$6834,4,FALSE),"")</f>
        <v/>
      </c>
      <c r="F2212" s="405" t="str">
        <f>IFERROR(VLOOKUP(A2212,[3]DOORSCRIEFT!$A$2:$G$6834,7,FALSE),"")</f>
        <v/>
      </c>
      <c r="G2212" s="349"/>
    </row>
    <row r="2213" spans="1:7" x14ac:dyDescent="0.25">
      <c r="A2213" s="496" t="str">
        <f t="shared" si="75"/>
        <v>II.5.1.0186</v>
      </c>
      <c r="B2213" s="321">
        <v>86</v>
      </c>
      <c r="C2213" s="339" t="str">
        <f>IFERROR(VLOOKUP(A2213,[3]DOORSCRIEFT!$A$2:$G$6834,2,FALSE),"")</f>
        <v/>
      </c>
      <c r="D2213" s="481" t="str">
        <f>IFERROR(VLOOKUP(A2213,[3]DOORSCRIEFT!$A$2:$G$6834,3,FALSE),"")</f>
        <v/>
      </c>
      <c r="E2213" s="480" t="str">
        <f>IFERROR(VLOOKUP(A2213,[3]DOORSCRIEFT!$A$2:$G$6834,4,FALSE),"")</f>
        <v/>
      </c>
      <c r="F2213" s="405" t="str">
        <f>IFERROR(VLOOKUP(A2213,[3]DOORSCRIEFT!$A$2:$G$6834,7,FALSE),"")</f>
        <v/>
      </c>
      <c r="G2213" s="349"/>
    </row>
    <row r="2214" spans="1:7" x14ac:dyDescent="0.25">
      <c r="A2214" s="496" t="str">
        <f t="shared" si="75"/>
        <v>II.5.1.0187</v>
      </c>
      <c r="B2214" s="321">
        <v>87</v>
      </c>
      <c r="C2214" s="339" t="str">
        <f>IFERROR(VLOOKUP(A2214,[3]DOORSCRIEFT!$A$2:$G$6834,2,FALSE),"")</f>
        <v/>
      </c>
      <c r="D2214" s="481" t="str">
        <f>IFERROR(VLOOKUP(A2214,[3]DOORSCRIEFT!$A$2:$G$6834,3,FALSE),"")</f>
        <v/>
      </c>
      <c r="E2214" s="480" t="str">
        <f>IFERROR(VLOOKUP(A2214,[3]DOORSCRIEFT!$A$2:$G$6834,4,FALSE),"")</f>
        <v/>
      </c>
      <c r="F2214" s="405" t="str">
        <f>IFERROR(VLOOKUP(A2214,[3]DOORSCRIEFT!$A$2:$G$6834,7,FALSE),"")</f>
        <v/>
      </c>
      <c r="G2214" s="349"/>
    </row>
    <row r="2215" spans="1:7" x14ac:dyDescent="0.25">
      <c r="A2215" s="496" t="str">
        <f t="shared" si="75"/>
        <v>II.5.1.0188</v>
      </c>
      <c r="B2215" s="321">
        <v>88</v>
      </c>
      <c r="C2215" s="339" t="str">
        <f>IFERROR(VLOOKUP(A2215,[3]DOORSCRIEFT!$A$2:$G$6834,2,FALSE),"")</f>
        <v/>
      </c>
      <c r="D2215" s="481" t="str">
        <f>IFERROR(VLOOKUP(A2215,[3]DOORSCRIEFT!$A$2:$G$6834,3,FALSE),"")</f>
        <v/>
      </c>
      <c r="E2215" s="480" t="str">
        <f>IFERROR(VLOOKUP(A2215,[3]DOORSCRIEFT!$A$2:$G$6834,4,FALSE),"")</f>
        <v/>
      </c>
      <c r="F2215" s="405" t="str">
        <f>IFERROR(VLOOKUP(A2215,[3]DOORSCRIEFT!$A$2:$G$6834,7,FALSE),"")</f>
        <v/>
      </c>
      <c r="G2215" s="349"/>
    </row>
    <row r="2216" spans="1:7" x14ac:dyDescent="0.25">
      <c r="A2216" s="496" t="str">
        <f t="shared" si="75"/>
        <v>II.5.1.0189</v>
      </c>
      <c r="B2216" s="321">
        <v>89</v>
      </c>
      <c r="C2216" s="339" t="str">
        <f>IFERROR(VLOOKUP(A2216,[3]DOORSCRIEFT!$A$2:$G$6834,2,FALSE),"")</f>
        <v/>
      </c>
      <c r="D2216" s="481" t="str">
        <f>IFERROR(VLOOKUP(A2216,[3]DOORSCRIEFT!$A$2:$G$6834,3,FALSE),"")</f>
        <v/>
      </c>
      <c r="E2216" s="480" t="str">
        <f>IFERROR(VLOOKUP(A2216,[3]DOORSCRIEFT!$A$2:$G$6834,4,FALSE),"")</f>
        <v/>
      </c>
      <c r="F2216" s="405" t="str">
        <f>IFERROR(VLOOKUP(A2216,[3]DOORSCRIEFT!$A$2:$G$6834,7,FALSE),"")</f>
        <v/>
      </c>
      <c r="G2216" s="349"/>
    </row>
    <row r="2217" spans="1:7" x14ac:dyDescent="0.25">
      <c r="A2217" s="496" t="str">
        <f t="shared" si="75"/>
        <v>II.5.1.0190</v>
      </c>
      <c r="B2217" s="321">
        <v>90</v>
      </c>
      <c r="C2217" s="339" t="str">
        <f>IFERROR(VLOOKUP(A2217,[3]DOORSCRIEFT!$A$2:$G$6834,2,FALSE),"")</f>
        <v/>
      </c>
      <c r="D2217" s="481" t="str">
        <f>IFERROR(VLOOKUP(A2217,[3]DOORSCRIEFT!$A$2:$G$6834,3,FALSE),"")</f>
        <v/>
      </c>
      <c r="E2217" s="480" t="str">
        <f>IFERROR(VLOOKUP(A2217,[3]DOORSCRIEFT!$A$2:$G$6834,4,FALSE),"")</f>
        <v/>
      </c>
      <c r="F2217" s="405" t="str">
        <f>IFERROR(VLOOKUP(A2217,[3]DOORSCRIEFT!$A$2:$G$6834,7,FALSE),"")</f>
        <v/>
      </c>
      <c r="G2217" s="349"/>
    </row>
    <row r="2218" spans="1:7" x14ac:dyDescent="0.25">
      <c r="A2218" s="496" t="str">
        <f t="shared" si="75"/>
        <v>II.5.1.0191</v>
      </c>
      <c r="B2218" s="321">
        <v>91</v>
      </c>
      <c r="C2218" s="339" t="str">
        <f>IFERROR(VLOOKUP(A2218,[3]DOORSCRIEFT!$A$2:$G$6834,2,FALSE),"")</f>
        <v/>
      </c>
      <c r="D2218" s="481" t="str">
        <f>IFERROR(VLOOKUP(A2218,[3]DOORSCRIEFT!$A$2:$G$6834,3,FALSE),"")</f>
        <v/>
      </c>
      <c r="E2218" s="480" t="str">
        <f>IFERROR(VLOOKUP(A2218,[3]DOORSCRIEFT!$A$2:$G$6834,4,FALSE),"")</f>
        <v/>
      </c>
      <c r="F2218" s="405" t="str">
        <f>IFERROR(VLOOKUP(A2218,[3]DOORSCRIEFT!$A$2:$G$6834,7,FALSE),"")</f>
        <v/>
      </c>
      <c r="G2218" s="349"/>
    </row>
    <row r="2219" spans="1:7" x14ac:dyDescent="0.25">
      <c r="A2219" s="496" t="str">
        <f t="shared" si="75"/>
        <v>II.5.1.0192</v>
      </c>
      <c r="B2219" s="321">
        <v>92</v>
      </c>
      <c r="C2219" s="339" t="str">
        <f>IFERROR(VLOOKUP(A2219,[3]DOORSCRIEFT!$A$2:$G$6834,2,FALSE),"")</f>
        <v/>
      </c>
      <c r="D2219" s="481" t="str">
        <f>IFERROR(VLOOKUP(A2219,[3]DOORSCRIEFT!$A$2:$G$6834,3,FALSE),"")</f>
        <v/>
      </c>
      <c r="E2219" s="480" t="str">
        <f>IFERROR(VLOOKUP(A2219,[3]DOORSCRIEFT!$A$2:$G$6834,4,FALSE),"")</f>
        <v/>
      </c>
      <c r="F2219" s="405" t="str">
        <f>IFERROR(VLOOKUP(A2219,[3]DOORSCRIEFT!$A$2:$G$6834,7,FALSE),"")</f>
        <v/>
      </c>
      <c r="G2219" s="349"/>
    </row>
    <row r="2220" spans="1:7" x14ac:dyDescent="0.25">
      <c r="A2220" s="496" t="str">
        <f t="shared" si="75"/>
        <v>II.5.1.0193</v>
      </c>
      <c r="B2220" s="321">
        <v>93</v>
      </c>
      <c r="C2220" s="339" t="str">
        <f>IFERROR(VLOOKUP(A2220,[3]DOORSCRIEFT!$A$2:$G$6834,2,FALSE),"")</f>
        <v/>
      </c>
      <c r="D2220" s="481" t="str">
        <f>IFERROR(VLOOKUP(A2220,[3]DOORSCRIEFT!$A$2:$G$6834,3,FALSE),"")</f>
        <v/>
      </c>
      <c r="E2220" s="480" t="str">
        <f>IFERROR(VLOOKUP(A2220,[3]DOORSCRIEFT!$A$2:$G$6834,4,FALSE),"")</f>
        <v/>
      </c>
      <c r="F2220" s="405" t="str">
        <f>IFERROR(VLOOKUP(A2220,[3]DOORSCRIEFT!$A$2:$G$6834,7,FALSE),"")</f>
        <v/>
      </c>
      <c r="G2220" s="349"/>
    </row>
    <row r="2221" spans="1:7" x14ac:dyDescent="0.25">
      <c r="A2221" s="496" t="str">
        <f t="shared" si="75"/>
        <v>II.5.1.0194</v>
      </c>
      <c r="B2221" s="321">
        <v>94</v>
      </c>
      <c r="C2221" s="339" t="str">
        <f>IFERROR(VLOOKUP(A2221,[3]DOORSCRIEFT!$A$2:$G$6834,2,FALSE),"")</f>
        <v/>
      </c>
      <c r="D2221" s="481" t="str">
        <f>IFERROR(VLOOKUP(A2221,[3]DOORSCRIEFT!$A$2:$G$6834,3,FALSE),"")</f>
        <v/>
      </c>
      <c r="E2221" s="480" t="str">
        <f>IFERROR(VLOOKUP(A2221,[3]DOORSCRIEFT!$A$2:$G$6834,4,FALSE),"")</f>
        <v/>
      </c>
      <c r="F2221" s="405" t="str">
        <f>IFERROR(VLOOKUP(A2221,[3]DOORSCRIEFT!$A$2:$G$6834,7,FALSE),"")</f>
        <v/>
      </c>
      <c r="G2221" s="349"/>
    </row>
    <row r="2222" spans="1:7" x14ac:dyDescent="0.25">
      <c r="A2222" s="496" t="str">
        <f t="shared" si="75"/>
        <v>II.5.1.0195</v>
      </c>
      <c r="B2222" s="321">
        <v>95</v>
      </c>
      <c r="C2222" s="339" t="str">
        <f>IFERROR(VLOOKUP(A2222,[3]DOORSCRIEFT!$A$2:$G$6834,2,FALSE),"")</f>
        <v/>
      </c>
      <c r="D2222" s="481" t="str">
        <f>IFERROR(VLOOKUP(A2222,[3]DOORSCRIEFT!$A$2:$G$6834,3,FALSE),"")</f>
        <v/>
      </c>
      <c r="E2222" s="480" t="str">
        <f>IFERROR(VLOOKUP(A2222,[3]DOORSCRIEFT!$A$2:$G$6834,4,FALSE),"")</f>
        <v/>
      </c>
      <c r="F2222" s="405" t="str">
        <f>IFERROR(VLOOKUP(A2222,[3]DOORSCRIEFT!$A$2:$G$6834,7,FALSE),"")</f>
        <v/>
      </c>
      <c r="G2222" s="349"/>
    </row>
    <row r="2223" spans="1:7" x14ac:dyDescent="0.25">
      <c r="A2223" s="496" t="str">
        <f t="shared" si="75"/>
        <v>II.5.1.0196</v>
      </c>
      <c r="B2223" s="321">
        <v>96</v>
      </c>
      <c r="C2223" s="339" t="str">
        <f>IFERROR(VLOOKUP(A2223,[3]DOORSCRIEFT!$A$2:$G$6834,2,FALSE),"")</f>
        <v/>
      </c>
      <c r="D2223" s="481" t="str">
        <f>IFERROR(VLOOKUP(A2223,[3]DOORSCRIEFT!$A$2:$G$6834,3,FALSE),"")</f>
        <v/>
      </c>
      <c r="E2223" s="480" t="str">
        <f>IFERROR(VLOOKUP(A2223,[3]DOORSCRIEFT!$A$2:$G$6834,4,FALSE),"")</f>
        <v/>
      </c>
      <c r="F2223" s="405" t="str">
        <f>IFERROR(VLOOKUP(A2223,[3]DOORSCRIEFT!$A$2:$G$6834,7,FALSE),"")</f>
        <v/>
      </c>
      <c r="G2223" s="349"/>
    </row>
    <row r="2224" spans="1:7" ht="15.75" thickBot="1" x14ac:dyDescent="0.3">
      <c r="A2224" s="503" t="str">
        <f t="shared" ref="A2224:A2255" si="76">$G$2121&amp;B2224</f>
        <v>II.5.1.0197</v>
      </c>
      <c r="B2224" s="342">
        <v>97</v>
      </c>
      <c r="C2224" s="339" t="str">
        <f>IFERROR(VLOOKUP(A2224,[3]DOORSCRIEFT!$A$2:$G$6834,2,FALSE),"")</f>
        <v/>
      </c>
      <c r="D2224" s="481" t="str">
        <f>IFERROR(VLOOKUP(A2224,[3]DOORSCRIEFT!$A$2:$G$6834,3,FALSE),"")</f>
        <v/>
      </c>
      <c r="E2224" s="480" t="str">
        <f>IFERROR(VLOOKUP(A2224,[3]DOORSCRIEFT!$A$2:$G$6834,4,FALSE),"")</f>
        <v/>
      </c>
      <c r="F2224" s="405" t="str">
        <f>IFERROR(VLOOKUP(A2224,[3]DOORSCRIEFT!$A$2:$G$6834,7,FALSE),"")</f>
        <v/>
      </c>
      <c r="G2224" s="502"/>
    </row>
    <row r="2225" spans="1:7" ht="15.75" thickBot="1" x14ac:dyDescent="0.3">
      <c r="A2225" s="341"/>
      <c r="B2225" s="340"/>
      <c r="C2225" s="336"/>
      <c r="D2225" s="486"/>
      <c r="E2225" s="340" t="s">
        <v>644</v>
      </c>
      <c r="F2225" s="310">
        <f>SUM(F2128:F2224)</f>
        <v>39000000</v>
      </c>
      <c r="G2225" s="309">
        <f>SUM(G2128:G2187)</f>
        <v>0</v>
      </c>
    </row>
    <row r="2226" spans="1:7" x14ac:dyDescent="0.25">
      <c r="C2226" s="335"/>
      <c r="D2226" s="485"/>
    </row>
    <row r="2227" spans="1:7" x14ac:dyDescent="0.25">
      <c r="C2227" s="335"/>
      <c r="D2227" s="485"/>
    </row>
    <row r="2228" spans="1:7" ht="15.75" x14ac:dyDescent="0.25">
      <c r="C2228" s="334" t="s">
        <v>663</v>
      </c>
      <c r="D2228" s="484"/>
      <c r="E2228" s="333"/>
      <c r="F2228" s="327" t="s">
        <v>607</v>
      </c>
      <c r="G2228" s="327" t="s">
        <v>55</v>
      </c>
    </row>
    <row r="2229" spans="1:7" ht="15.75" x14ac:dyDescent="0.25">
      <c r="C2229" s="334"/>
      <c r="D2229" s="484"/>
      <c r="E2229" s="333"/>
      <c r="F2229" s="327" t="s">
        <v>601</v>
      </c>
      <c r="G2229" s="501" t="s">
        <v>54</v>
      </c>
    </row>
    <row r="2230" spans="1:7" x14ac:dyDescent="0.25">
      <c r="C2230" s="330"/>
      <c r="D2230" s="482"/>
      <c r="E2230" s="329"/>
      <c r="F2230" s="327" t="s">
        <v>651</v>
      </c>
      <c r="G2230" s="331">
        <f>[2]Sheet1!$D$576</f>
        <v>4800000</v>
      </c>
    </row>
    <row r="2231" spans="1:7" ht="15.75" thickBot="1" x14ac:dyDescent="0.3">
      <c r="C2231" s="330"/>
      <c r="D2231" s="482"/>
      <c r="E2231" s="329"/>
      <c r="F2231" s="327" t="s">
        <v>650</v>
      </c>
      <c r="G2231" s="326">
        <f>+F2250-G2230</f>
        <v>-4800000</v>
      </c>
    </row>
    <row r="2232" spans="1:7" x14ac:dyDescent="0.25">
      <c r="A2232" s="571" t="s">
        <v>655</v>
      </c>
      <c r="B2232" s="573" t="s">
        <v>606</v>
      </c>
      <c r="C2232" s="588" t="s">
        <v>649</v>
      </c>
      <c r="D2232" s="599" t="s">
        <v>648</v>
      </c>
      <c r="E2232" s="577" t="s">
        <v>647</v>
      </c>
      <c r="F2232" s="577" t="s">
        <v>646</v>
      </c>
      <c r="G2232" s="580" t="s">
        <v>645</v>
      </c>
    </row>
    <row r="2233" spans="1:7" ht="15.75" thickBot="1" x14ac:dyDescent="0.3">
      <c r="A2233" s="572"/>
      <c r="B2233" s="574"/>
      <c r="C2233" s="589"/>
      <c r="D2233" s="600"/>
      <c r="E2233" s="578"/>
      <c r="F2233" s="578"/>
      <c r="G2233" s="581"/>
    </row>
    <row r="2234" spans="1:7" ht="15.75" thickBot="1" x14ac:dyDescent="0.3">
      <c r="A2234" s="425">
        <v>1</v>
      </c>
      <c r="B2234" s="425">
        <v>2</v>
      </c>
      <c r="C2234" s="425">
        <v>3</v>
      </c>
      <c r="D2234" s="425">
        <v>4</v>
      </c>
      <c r="E2234" s="425">
        <v>5</v>
      </c>
      <c r="F2234" s="425">
        <v>6</v>
      </c>
      <c r="G2234" s="425">
        <v>7</v>
      </c>
    </row>
    <row r="2235" spans="1:7" x14ac:dyDescent="0.25">
      <c r="A2235" s="320" t="str">
        <f t="shared" ref="A2235:A2249" si="77">$G$2228&amp;B2235</f>
        <v>II.5.1.021</v>
      </c>
      <c r="B2235" s="320">
        <v>1</v>
      </c>
      <c r="C2235" s="339" t="str">
        <f>IFERROR(VLOOKUP(A2235,[3]DOORSCRIEFT!$A$2:$G$6834,2,FALSE),"")</f>
        <v/>
      </c>
      <c r="D2235" s="481" t="str">
        <f>IFERROR(VLOOKUP(A2235,[3]DOORSCRIEFT!$A$2:$G$6834,3,FALSE),"")</f>
        <v/>
      </c>
      <c r="E2235" s="480" t="str">
        <f>IFERROR(VLOOKUP(A2235,[3]DOORSCRIEFT!$A$2:$G$6834,4,FALSE),"")</f>
        <v/>
      </c>
      <c r="F2235" s="405" t="str">
        <f>IFERROR(VLOOKUP(A2235,[3]DOORSCRIEFT!$A$2:$G$6834,7,FALSE),"")</f>
        <v/>
      </c>
      <c r="G2235" s="322"/>
    </row>
    <row r="2236" spans="1:7" x14ac:dyDescent="0.25">
      <c r="A2236" s="321" t="str">
        <f t="shared" si="77"/>
        <v>II.5.1.022</v>
      </c>
      <c r="B2236" s="321">
        <v>2</v>
      </c>
      <c r="C2236" s="339" t="str">
        <f>IFERROR(VLOOKUP(A2236,[3]DOORSCRIEFT!$A$2:$G$6834,2,FALSE),"")</f>
        <v/>
      </c>
      <c r="D2236" s="481" t="str">
        <f>IFERROR(VLOOKUP(A2236,[3]DOORSCRIEFT!$A$2:$G$6834,3,FALSE),"")</f>
        <v/>
      </c>
      <c r="E2236" s="480" t="str">
        <f>IFERROR(VLOOKUP(A2236,[3]DOORSCRIEFT!$A$2:$G$6834,4,FALSE),"")</f>
        <v/>
      </c>
      <c r="F2236" s="405" t="str">
        <f>IFERROR(VLOOKUP(A2236,[3]DOORSCRIEFT!$A$2:$G$6834,7,FALSE),"")</f>
        <v/>
      </c>
      <c r="G2236" s="315"/>
    </row>
    <row r="2237" spans="1:7" x14ac:dyDescent="0.25">
      <c r="A2237" s="321" t="str">
        <f t="shared" si="77"/>
        <v>II.5.1.023</v>
      </c>
      <c r="B2237" s="321">
        <v>3</v>
      </c>
      <c r="C2237" s="339" t="str">
        <f>IFERROR(VLOOKUP(A2237,[3]DOORSCRIEFT!$A$2:$G$6834,2,FALSE),"")</f>
        <v/>
      </c>
      <c r="D2237" s="481" t="str">
        <f>IFERROR(VLOOKUP(A2237,[3]DOORSCRIEFT!$A$2:$G$6834,3,FALSE),"")</f>
        <v/>
      </c>
      <c r="E2237" s="480" t="str">
        <f>IFERROR(VLOOKUP(A2237,[3]DOORSCRIEFT!$A$2:$G$6834,4,FALSE),"")</f>
        <v/>
      </c>
      <c r="F2237" s="405" t="str">
        <f>IFERROR(VLOOKUP(A2237,[3]DOORSCRIEFT!$A$2:$G$6834,7,FALSE),"")</f>
        <v/>
      </c>
      <c r="G2237" s="315"/>
    </row>
    <row r="2238" spans="1:7" x14ac:dyDescent="0.25">
      <c r="A2238" s="321" t="str">
        <f t="shared" si="77"/>
        <v>II.5.1.024</v>
      </c>
      <c r="B2238" s="321">
        <v>4</v>
      </c>
      <c r="C2238" s="339" t="str">
        <f>IFERROR(VLOOKUP(A2238,[3]DOORSCRIEFT!$A$2:$G$6834,2,FALSE),"")</f>
        <v/>
      </c>
      <c r="D2238" s="481" t="str">
        <f>IFERROR(VLOOKUP(A2238,[3]DOORSCRIEFT!$A$2:$G$6834,3,FALSE),"")</f>
        <v/>
      </c>
      <c r="E2238" s="480" t="str">
        <f>IFERROR(VLOOKUP(A2238,[3]DOORSCRIEFT!$A$2:$G$6834,4,FALSE),"")</f>
        <v/>
      </c>
      <c r="F2238" s="405" t="str">
        <f>IFERROR(VLOOKUP(A2238,[3]DOORSCRIEFT!$A$2:$G$6834,7,FALSE),"")</f>
        <v/>
      </c>
      <c r="G2238" s="315"/>
    </row>
    <row r="2239" spans="1:7" x14ac:dyDescent="0.25">
      <c r="A2239" s="321" t="str">
        <f t="shared" si="77"/>
        <v>II.5.1.025</v>
      </c>
      <c r="B2239" s="321">
        <v>5</v>
      </c>
      <c r="C2239" s="339" t="str">
        <f>IFERROR(VLOOKUP(A2239,[3]DOORSCRIEFT!$A$2:$G$6834,2,FALSE),"")</f>
        <v/>
      </c>
      <c r="D2239" s="481" t="str">
        <f>IFERROR(VLOOKUP(A2239,[3]DOORSCRIEFT!$A$2:$G$6834,3,FALSE),"")</f>
        <v/>
      </c>
      <c r="E2239" s="480" t="str">
        <f>IFERROR(VLOOKUP(A2239,[3]DOORSCRIEFT!$A$2:$G$6834,4,FALSE),"")</f>
        <v/>
      </c>
      <c r="F2239" s="405" t="str">
        <f>IFERROR(VLOOKUP(A2239,[3]DOORSCRIEFT!$A$2:$G$6834,7,FALSE),"")</f>
        <v/>
      </c>
      <c r="G2239" s="315"/>
    </row>
    <row r="2240" spans="1:7" x14ac:dyDescent="0.25">
      <c r="A2240" s="321" t="str">
        <f t="shared" si="77"/>
        <v>II.5.1.026</v>
      </c>
      <c r="B2240" s="321">
        <v>6</v>
      </c>
      <c r="C2240" s="339" t="str">
        <f>IFERROR(VLOOKUP(A2240,[3]DOORSCRIEFT!$A$2:$G$6834,2,FALSE),"")</f>
        <v/>
      </c>
      <c r="D2240" s="481" t="str">
        <f>IFERROR(VLOOKUP(A2240,[3]DOORSCRIEFT!$A$2:$G$6834,3,FALSE),"")</f>
        <v/>
      </c>
      <c r="E2240" s="480" t="str">
        <f>IFERROR(VLOOKUP(A2240,[3]DOORSCRIEFT!$A$2:$G$6834,4,FALSE),"")</f>
        <v/>
      </c>
      <c r="F2240" s="405" t="str">
        <f>IFERROR(VLOOKUP(A2240,[3]DOORSCRIEFT!$A$2:$G$6834,7,FALSE),"")</f>
        <v/>
      </c>
      <c r="G2240" s="315"/>
    </row>
    <row r="2241" spans="1:7" x14ac:dyDescent="0.25">
      <c r="A2241" s="321" t="str">
        <f t="shared" si="77"/>
        <v>II.5.1.027</v>
      </c>
      <c r="B2241" s="321">
        <v>7</v>
      </c>
      <c r="C2241" s="339" t="str">
        <f>IFERROR(VLOOKUP(A2241,[3]DOORSCRIEFT!$A$2:$G$6834,2,FALSE),"")</f>
        <v/>
      </c>
      <c r="D2241" s="481" t="str">
        <f>IFERROR(VLOOKUP(A2241,[3]DOORSCRIEFT!$A$2:$G$6834,3,FALSE),"")</f>
        <v/>
      </c>
      <c r="E2241" s="480" t="str">
        <f>IFERROR(VLOOKUP(A2241,[3]DOORSCRIEFT!$A$2:$G$6834,4,FALSE),"")</f>
        <v/>
      </c>
      <c r="F2241" s="405" t="str">
        <f>IFERROR(VLOOKUP(A2241,[3]DOORSCRIEFT!$A$2:$G$6834,7,FALSE),"")</f>
        <v/>
      </c>
      <c r="G2241" s="315"/>
    </row>
    <row r="2242" spans="1:7" x14ac:dyDescent="0.25">
      <c r="A2242" s="321" t="str">
        <f t="shared" si="77"/>
        <v>II.5.1.028</v>
      </c>
      <c r="B2242" s="321">
        <v>8</v>
      </c>
      <c r="C2242" s="339" t="str">
        <f>IFERROR(VLOOKUP(A2242,[3]DOORSCRIEFT!$A$2:$G$6834,2,FALSE),"")</f>
        <v/>
      </c>
      <c r="D2242" s="481" t="str">
        <f>IFERROR(VLOOKUP(A2242,[3]DOORSCRIEFT!$A$2:$G$6834,3,FALSE),"")</f>
        <v/>
      </c>
      <c r="E2242" s="480" t="str">
        <f>IFERROR(VLOOKUP(A2242,[3]DOORSCRIEFT!$A$2:$G$6834,4,FALSE),"")</f>
        <v/>
      </c>
      <c r="F2242" s="405" t="str">
        <f>IFERROR(VLOOKUP(A2242,[3]DOORSCRIEFT!$A$2:$G$6834,7,FALSE),"")</f>
        <v/>
      </c>
      <c r="G2242" s="315"/>
    </row>
    <row r="2243" spans="1:7" x14ac:dyDescent="0.25">
      <c r="A2243" s="321" t="str">
        <f t="shared" si="77"/>
        <v>II.5.1.029</v>
      </c>
      <c r="B2243" s="321">
        <v>9</v>
      </c>
      <c r="C2243" s="339" t="str">
        <f>IFERROR(VLOOKUP(A2243,[3]DOORSCRIEFT!$A$2:$G$6834,2,FALSE),"")</f>
        <v/>
      </c>
      <c r="D2243" s="481" t="str">
        <f>IFERROR(VLOOKUP(A2243,[3]DOORSCRIEFT!$A$2:$G$6834,3,FALSE),"")</f>
        <v/>
      </c>
      <c r="E2243" s="480" t="str">
        <f>IFERROR(VLOOKUP(A2243,[3]DOORSCRIEFT!$A$2:$G$6834,4,FALSE),"")</f>
        <v/>
      </c>
      <c r="F2243" s="405" t="str">
        <f>IFERROR(VLOOKUP(A2243,[3]DOORSCRIEFT!$A$2:$G$6834,7,FALSE),"")</f>
        <v/>
      </c>
      <c r="G2243" s="315"/>
    </row>
    <row r="2244" spans="1:7" x14ac:dyDescent="0.25">
      <c r="A2244" s="321" t="str">
        <f t="shared" si="77"/>
        <v>II.5.1.0210</v>
      </c>
      <c r="B2244" s="321">
        <v>10</v>
      </c>
      <c r="C2244" s="339" t="str">
        <f>IFERROR(VLOOKUP(A2244,[3]DOORSCRIEFT!$A$2:$G$6834,2,FALSE),"")</f>
        <v/>
      </c>
      <c r="D2244" s="481" t="str">
        <f>IFERROR(VLOOKUP(A2244,[3]DOORSCRIEFT!$A$2:$G$6834,3,FALSE),"")</f>
        <v/>
      </c>
      <c r="E2244" s="480" t="str">
        <f>IFERROR(VLOOKUP(A2244,[3]DOORSCRIEFT!$A$2:$G$6834,4,FALSE),"")</f>
        <v/>
      </c>
      <c r="F2244" s="405" t="str">
        <f>IFERROR(VLOOKUP(A2244,[3]DOORSCRIEFT!$A$2:$G$6834,7,FALSE),"")</f>
        <v/>
      </c>
      <c r="G2244" s="315"/>
    </row>
    <row r="2245" spans="1:7" x14ac:dyDescent="0.25">
      <c r="A2245" s="321" t="str">
        <f t="shared" si="77"/>
        <v>II.5.1.0211</v>
      </c>
      <c r="B2245" s="321">
        <v>11</v>
      </c>
      <c r="C2245" s="339" t="str">
        <f>IFERROR(VLOOKUP(A2245,[3]DOORSCRIEFT!$A$2:$G$6834,2,FALSE),"")</f>
        <v/>
      </c>
      <c r="D2245" s="481" t="str">
        <f>IFERROR(VLOOKUP(A2245,[3]DOORSCRIEFT!$A$2:$G$6834,3,FALSE),"")</f>
        <v/>
      </c>
      <c r="E2245" s="480" t="str">
        <f>IFERROR(VLOOKUP(A2245,[3]DOORSCRIEFT!$A$2:$G$6834,4,FALSE),"")</f>
        <v/>
      </c>
      <c r="F2245" s="405" t="str">
        <f>IFERROR(VLOOKUP(A2245,[3]DOORSCRIEFT!$A$2:$G$6834,7,FALSE),"")</f>
        <v/>
      </c>
      <c r="G2245" s="315"/>
    </row>
    <row r="2246" spans="1:7" x14ac:dyDescent="0.25">
      <c r="A2246" s="321" t="str">
        <f t="shared" si="77"/>
        <v>II.5.1.0212</v>
      </c>
      <c r="B2246" s="321">
        <v>12</v>
      </c>
      <c r="C2246" s="339" t="str">
        <f>IFERROR(VLOOKUP(A2246,[3]DOORSCRIEFT!$A$2:$G$6834,2,FALSE),"")</f>
        <v/>
      </c>
      <c r="D2246" s="481" t="str">
        <f>IFERROR(VLOOKUP(A2246,[3]DOORSCRIEFT!$A$2:$G$6834,3,FALSE),"")</f>
        <v/>
      </c>
      <c r="E2246" s="480" t="str">
        <f>IFERROR(VLOOKUP(A2246,[3]DOORSCRIEFT!$A$2:$G$6834,4,FALSE),"")</f>
        <v/>
      </c>
      <c r="F2246" s="405" t="str">
        <f>IFERROR(VLOOKUP(A2246,[3]DOORSCRIEFT!$A$2:$G$6834,7,FALSE),"")</f>
        <v/>
      </c>
      <c r="G2246" s="315"/>
    </row>
    <row r="2247" spans="1:7" x14ac:dyDescent="0.25">
      <c r="A2247" s="321" t="str">
        <f t="shared" si="77"/>
        <v>II.5.1.0213</v>
      </c>
      <c r="B2247" s="321">
        <v>13</v>
      </c>
      <c r="C2247" s="339" t="str">
        <f>IFERROR(VLOOKUP(A2247,[3]DOORSCRIEFT!$A$2:$G$6834,2,FALSE),"")</f>
        <v/>
      </c>
      <c r="D2247" s="481" t="str">
        <f>IFERROR(VLOOKUP(A2247,[3]DOORSCRIEFT!$A$2:$G$6834,3,FALSE),"")</f>
        <v/>
      </c>
      <c r="E2247" s="480" t="str">
        <f>IFERROR(VLOOKUP(A2247,[3]DOORSCRIEFT!$A$2:$G$6834,4,FALSE),"")</f>
        <v/>
      </c>
      <c r="F2247" s="405" t="str">
        <f>IFERROR(VLOOKUP(A2247,[3]DOORSCRIEFT!$A$2:$G$6834,7,FALSE),"")</f>
        <v/>
      </c>
      <c r="G2247" s="315"/>
    </row>
    <row r="2248" spans="1:7" x14ac:dyDescent="0.25">
      <c r="A2248" s="321" t="str">
        <f t="shared" si="77"/>
        <v>II.5.1.0214</v>
      </c>
      <c r="B2248" s="321">
        <v>14</v>
      </c>
      <c r="C2248" s="339" t="str">
        <f>IFERROR(VLOOKUP(A2248,[3]DOORSCRIEFT!$A$2:$G$6834,2,FALSE),"")</f>
        <v/>
      </c>
      <c r="D2248" s="481" t="str">
        <f>IFERROR(VLOOKUP(A2248,[3]DOORSCRIEFT!$A$2:$G$6834,3,FALSE),"")</f>
        <v/>
      </c>
      <c r="E2248" s="480" t="str">
        <f>IFERROR(VLOOKUP(A2248,[3]DOORSCRIEFT!$A$2:$G$6834,4,FALSE),"")</f>
        <v/>
      </c>
      <c r="F2248" s="405" t="str">
        <f>IFERROR(VLOOKUP(A2248,[3]DOORSCRIEFT!$A$2:$G$6834,7,FALSE),"")</f>
        <v/>
      </c>
      <c r="G2248" s="315"/>
    </row>
    <row r="2249" spans="1:7" ht="15.75" thickBot="1" x14ac:dyDescent="0.3">
      <c r="A2249" s="342" t="str">
        <f t="shared" si="77"/>
        <v>II.5.1.0215</v>
      </c>
      <c r="B2249" s="342">
        <v>15</v>
      </c>
      <c r="C2249" s="339" t="str">
        <f>IFERROR(VLOOKUP(A2249,[3]DOORSCRIEFT!$A$2:$G$6834,2,FALSE),"")</f>
        <v/>
      </c>
      <c r="D2249" s="481" t="str">
        <f>IFERROR(VLOOKUP(A2249,[3]DOORSCRIEFT!$A$2:$G$6834,3,FALSE),"")</f>
        <v/>
      </c>
      <c r="E2249" s="480" t="str">
        <f>IFERROR(VLOOKUP(A2249,[3]DOORSCRIEFT!$A$2:$G$6834,4,FALSE),"")</f>
        <v/>
      </c>
      <c r="F2249" s="405" t="str">
        <f>IFERROR(VLOOKUP(A2249,[3]DOORSCRIEFT!$A$2:$G$6834,7,FALSE),"")</f>
        <v/>
      </c>
      <c r="G2249" s="315"/>
    </row>
    <row r="2250" spans="1:7" ht="15.75" thickBot="1" x14ac:dyDescent="0.3">
      <c r="A2250" s="341"/>
      <c r="B2250" s="340"/>
      <c r="C2250" s="336"/>
      <c r="D2250" s="486"/>
      <c r="E2250" s="340" t="s">
        <v>644</v>
      </c>
      <c r="F2250" s="310">
        <f>SUM(F2235:F2249)</f>
        <v>0</v>
      </c>
      <c r="G2250" s="309">
        <f>SUM(G2235:G2249)</f>
        <v>0</v>
      </c>
    </row>
    <row r="2251" spans="1:7" x14ac:dyDescent="0.25">
      <c r="C2251" s="335"/>
      <c r="D2251" s="485"/>
    </row>
    <row r="2252" spans="1:7" x14ac:dyDescent="0.25">
      <c r="C2252" s="335"/>
      <c r="D2252" s="485"/>
    </row>
    <row r="2253" spans="1:7" ht="15.75" x14ac:dyDescent="0.25">
      <c r="C2253" s="334" t="s">
        <v>663</v>
      </c>
      <c r="D2253" s="484"/>
      <c r="E2253" s="333"/>
      <c r="F2253" s="327" t="s">
        <v>607</v>
      </c>
      <c r="G2253" s="327" t="s">
        <v>53</v>
      </c>
    </row>
    <row r="2254" spans="1:7" ht="15.75" x14ac:dyDescent="0.25">
      <c r="C2254" s="334"/>
      <c r="D2254" s="484"/>
      <c r="E2254" s="333"/>
      <c r="F2254" s="327" t="s">
        <v>601</v>
      </c>
      <c r="G2254" s="483" t="s">
        <v>52</v>
      </c>
    </row>
    <row r="2255" spans="1:7" x14ac:dyDescent="0.25">
      <c r="C2255" s="330"/>
      <c r="D2255" s="482"/>
      <c r="E2255" s="329"/>
      <c r="F2255" s="327" t="s">
        <v>651</v>
      </c>
      <c r="G2255" s="331">
        <f>[2]Sheet1!$D$576</f>
        <v>4800000</v>
      </c>
    </row>
    <row r="2256" spans="1:7" ht="15.75" thickBot="1" x14ac:dyDescent="0.3">
      <c r="C2256" s="330"/>
      <c r="D2256" s="482"/>
      <c r="E2256" s="329"/>
      <c r="F2256" s="327" t="s">
        <v>650</v>
      </c>
      <c r="G2256" s="326">
        <f>+F2275-G2255</f>
        <v>-2030000</v>
      </c>
    </row>
    <row r="2257" spans="1:7" x14ac:dyDescent="0.25">
      <c r="A2257" s="571" t="s">
        <v>655</v>
      </c>
      <c r="B2257" s="573" t="s">
        <v>606</v>
      </c>
      <c r="C2257" s="588" t="s">
        <v>649</v>
      </c>
      <c r="D2257" s="599" t="s">
        <v>648</v>
      </c>
      <c r="E2257" s="577" t="s">
        <v>647</v>
      </c>
      <c r="F2257" s="577" t="s">
        <v>646</v>
      </c>
      <c r="G2257" s="580" t="s">
        <v>645</v>
      </c>
    </row>
    <row r="2258" spans="1:7" ht="15.75" thickBot="1" x14ac:dyDescent="0.3">
      <c r="A2258" s="572"/>
      <c r="B2258" s="574"/>
      <c r="C2258" s="589"/>
      <c r="D2258" s="600"/>
      <c r="E2258" s="578"/>
      <c r="F2258" s="578"/>
      <c r="G2258" s="581"/>
    </row>
    <row r="2259" spans="1:7" ht="15.75" thickBot="1" x14ac:dyDescent="0.3">
      <c r="A2259" s="425">
        <v>1</v>
      </c>
      <c r="B2259" s="425">
        <v>2</v>
      </c>
      <c r="C2259" s="425">
        <v>3</v>
      </c>
      <c r="D2259" s="425">
        <v>4</v>
      </c>
      <c r="E2259" s="425">
        <v>5</v>
      </c>
      <c r="F2259" s="425">
        <v>6</v>
      </c>
      <c r="G2259" s="425">
        <v>7</v>
      </c>
    </row>
    <row r="2260" spans="1:7" x14ac:dyDescent="0.25">
      <c r="A2260" s="320" t="str">
        <f t="shared" ref="A2260:A2274" si="78">$G$2253&amp;B2260</f>
        <v>II.5.1.031</v>
      </c>
      <c r="B2260" s="320">
        <v>1</v>
      </c>
      <c r="C2260" s="339">
        <f>IFERROR(VLOOKUP(A2260,[3]DOORSCRIEFT!$A$2:$G$6834,2,FALSE),"")</f>
        <v>27</v>
      </c>
      <c r="D2260" s="481">
        <f>IFERROR(VLOOKUP(A2260,[3]DOORSCRIEFT!$A$2:$G$6834,3,FALSE),"")</f>
        <v>46028</v>
      </c>
      <c r="E2260" s="480" t="str">
        <f>IFERROR(VLOOKUP(A2260,[3]DOORSCRIEFT!$A$2:$G$6834,4,FALSE),"")</f>
        <v>Biaya Pemeriksaan oleh tim Verifikasi</v>
      </c>
      <c r="F2260" s="405">
        <f>IFERROR(VLOOKUP(A2260,[3]DOORSCRIEFT!$A$2:$G$6834,7,FALSE),"")</f>
        <v>1500000</v>
      </c>
      <c r="G2260" s="322"/>
    </row>
    <row r="2261" spans="1:7" x14ac:dyDescent="0.25">
      <c r="A2261" s="321" t="str">
        <f t="shared" si="78"/>
        <v>II.5.1.032</v>
      </c>
      <c r="B2261" s="321">
        <v>2</v>
      </c>
      <c r="C2261" s="339">
        <f>IFERROR(VLOOKUP(A2261,[3]DOORSCRIEFT!$A$2:$G$6834,2,FALSE),"")</f>
        <v>28</v>
      </c>
      <c r="D2261" s="481">
        <f>IFERROR(VLOOKUP(A2261,[3]DOORSCRIEFT!$A$2:$G$6834,3,FALSE),"")</f>
        <v>46028</v>
      </c>
      <c r="E2261" s="480" t="str">
        <f>IFERROR(VLOOKUP(A2261,[3]DOORSCRIEFT!$A$2:$G$6834,4,FALSE),"")</f>
        <v>Biaya Makan Tim Verifikasi dan MJ</v>
      </c>
      <c r="F2261" s="405">
        <f>IFERROR(VLOOKUP(A2261,[3]DOORSCRIEFT!$A$2:$G$6834,7,FALSE),"")</f>
        <v>1270000</v>
      </c>
      <c r="G2261" s="315"/>
    </row>
    <row r="2262" spans="1:7" x14ac:dyDescent="0.25">
      <c r="A2262" s="321" t="str">
        <f t="shared" si="78"/>
        <v>II.5.1.033</v>
      </c>
      <c r="B2262" s="321">
        <v>3</v>
      </c>
      <c r="C2262" s="339" t="str">
        <f>IFERROR(VLOOKUP(A2262,[3]DOORSCRIEFT!$A$2:$G$6834,2,FALSE),"")</f>
        <v/>
      </c>
      <c r="D2262" s="481" t="str">
        <f>IFERROR(VLOOKUP(A2262,[3]DOORSCRIEFT!$A$2:$G$6834,3,FALSE),"")</f>
        <v/>
      </c>
      <c r="E2262" s="480" t="str">
        <f>IFERROR(VLOOKUP(A2262,[3]DOORSCRIEFT!$A$2:$G$6834,4,FALSE),"")</f>
        <v/>
      </c>
      <c r="F2262" s="405" t="str">
        <f>IFERROR(VLOOKUP(A2262,[3]DOORSCRIEFT!$A$2:$G$6834,7,FALSE),"")</f>
        <v/>
      </c>
      <c r="G2262" s="315"/>
    </row>
    <row r="2263" spans="1:7" x14ac:dyDescent="0.25">
      <c r="A2263" s="321" t="str">
        <f t="shared" si="78"/>
        <v>II.5.1.034</v>
      </c>
      <c r="B2263" s="321">
        <v>4</v>
      </c>
      <c r="C2263" s="339" t="str">
        <f>IFERROR(VLOOKUP(A2263,[3]DOORSCRIEFT!$A$2:$G$6834,2,FALSE),"")</f>
        <v/>
      </c>
      <c r="D2263" s="481" t="str">
        <f>IFERROR(VLOOKUP(A2263,[3]DOORSCRIEFT!$A$2:$G$6834,3,FALSE),"")</f>
        <v/>
      </c>
      <c r="E2263" s="480" t="str">
        <f>IFERROR(VLOOKUP(A2263,[3]DOORSCRIEFT!$A$2:$G$6834,4,FALSE),"")</f>
        <v/>
      </c>
      <c r="F2263" s="405" t="str">
        <f>IFERROR(VLOOKUP(A2263,[3]DOORSCRIEFT!$A$2:$G$6834,7,FALSE),"")</f>
        <v/>
      </c>
      <c r="G2263" s="315"/>
    </row>
    <row r="2264" spans="1:7" x14ac:dyDescent="0.25">
      <c r="A2264" s="321" t="str">
        <f t="shared" si="78"/>
        <v>II.5.1.035</v>
      </c>
      <c r="B2264" s="321">
        <v>5</v>
      </c>
      <c r="C2264" s="339" t="str">
        <f>IFERROR(VLOOKUP(A2264,[3]DOORSCRIEFT!$A$2:$G$6834,2,FALSE),"")</f>
        <v/>
      </c>
      <c r="D2264" s="481" t="str">
        <f>IFERROR(VLOOKUP(A2264,[3]DOORSCRIEFT!$A$2:$G$6834,3,FALSE),"")</f>
        <v/>
      </c>
      <c r="E2264" s="480" t="str">
        <f>IFERROR(VLOOKUP(A2264,[3]DOORSCRIEFT!$A$2:$G$6834,4,FALSE),"")</f>
        <v/>
      </c>
      <c r="F2264" s="405" t="str">
        <f>IFERROR(VLOOKUP(A2264,[3]DOORSCRIEFT!$A$2:$G$6834,7,FALSE),"")</f>
        <v/>
      </c>
      <c r="G2264" s="315"/>
    </row>
    <row r="2265" spans="1:7" x14ac:dyDescent="0.25">
      <c r="A2265" s="321" t="str">
        <f t="shared" si="78"/>
        <v>II.5.1.036</v>
      </c>
      <c r="B2265" s="321">
        <v>6</v>
      </c>
      <c r="C2265" s="339" t="str">
        <f>IFERROR(VLOOKUP(A2265,[3]DOORSCRIEFT!$A$2:$G$6834,2,FALSE),"")</f>
        <v/>
      </c>
      <c r="D2265" s="481" t="str">
        <f>IFERROR(VLOOKUP(A2265,[3]DOORSCRIEFT!$A$2:$G$6834,3,FALSE),"")</f>
        <v/>
      </c>
      <c r="E2265" s="480" t="str">
        <f>IFERROR(VLOOKUP(A2265,[3]DOORSCRIEFT!$A$2:$G$6834,4,FALSE),"")</f>
        <v/>
      </c>
      <c r="F2265" s="405" t="str">
        <f>IFERROR(VLOOKUP(A2265,[3]DOORSCRIEFT!$A$2:$G$6834,7,FALSE),"")</f>
        <v/>
      </c>
      <c r="G2265" s="315"/>
    </row>
    <row r="2266" spans="1:7" x14ac:dyDescent="0.25">
      <c r="A2266" s="321" t="str">
        <f t="shared" si="78"/>
        <v>II.5.1.037</v>
      </c>
      <c r="B2266" s="321">
        <v>7</v>
      </c>
      <c r="C2266" s="339" t="str">
        <f>IFERROR(VLOOKUP(A2266,[3]DOORSCRIEFT!$A$2:$G$6834,2,FALSE),"")</f>
        <v/>
      </c>
      <c r="D2266" s="481" t="str">
        <f>IFERROR(VLOOKUP(A2266,[3]DOORSCRIEFT!$A$2:$G$6834,3,FALSE),"")</f>
        <v/>
      </c>
      <c r="E2266" s="480" t="str">
        <f>IFERROR(VLOOKUP(A2266,[3]DOORSCRIEFT!$A$2:$G$6834,4,FALSE),"")</f>
        <v/>
      </c>
      <c r="F2266" s="405" t="str">
        <f>IFERROR(VLOOKUP(A2266,[3]DOORSCRIEFT!$A$2:$G$6834,7,FALSE),"")</f>
        <v/>
      </c>
      <c r="G2266" s="315"/>
    </row>
    <row r="2267" spans="1:7" x14ac:dyDescent="0.25">
      <c r="A2267" s="321" t="str">
        <f t="shared" si="78"/>
        <v>II.5.1.038</v>
      </c>
      <c r="B2267" s="321">
        <v>8</v>
      </c>
      <c r="C2267" s="339" t="str">
        <f>IFERROR(VLOOKUP(A2267,[3]DOORSCRIEFT!$A$2:$G$6834,2,FALSE),"")</f>
        <v/>
      </c>
      <c r="D2267" s="481" t="str">
        <f>IFERROR(VLOOKUP(A2267,[3]DOORSCRIEFT!$A$2:$G$6834,3,FALSE),"")</f>
        <v/>
      </c>
      <c r="E2267" s="480" t="str">
        <f>IFERROR(VLOOKUP(A2267,[3]DOORSCRIEFT!$A$2:$G$6834,4,FALSE),"")</f>
        <v/>
      </c>
      <c r="F2267" s="405" t="str">
        <f>IFERROR(VLOOKUP(A2267,[3]DOORSCRIEFT!$A$2:$G$6834,7,FALSE),"")</f>
        <v/>
      </c>
      <c r="G2267" s="315"/>
    </row>
    <row r="2268" spans="1:7" x14ac:dyDescent="0.25">
      <c r="A2268" s="321" t="str">
        <f t="shared" si="78"/>
        <v>II.5.1.039</v>
      </c>
      <c r="B2268" s="321">
        <v>9</v>
      </c>
      <c r="C2268" s="339" t="str">
        <f>IFERROR(VLOOKUP(A2268,[3]DOORSCRIEFT!$A$2:$G$6834,2,FALSE),"")</f>
        <v/>
      </c>
      <c r="D2268" s="481" t="str">
        <f>IFERROR(VLOOKUP(A2268,[3]DOORSCRIEFT!$A$2:$G$6834,3,FALSE),"")</f>
        <v/>
      </c>
      <c r="E2268" s="480" t="str">
        <f>IFERROR(VLOOKUP(A2268,[3]DOORSCRIEFT!$A$2:$G$6834,4,FALSE),"")</f>
        <v/>
      </c>
      <c r="F2268" s="405" t="str">
        <f>IFERROR(VLOOKUP(A2268,[3]DOORSCRIEFT!$A$2:$G$6834,7,FALSE),"")</f>
        <v/>
      </c>
      <c r="G2268" s="315"/>
    </row>
    <row r="2269" spans="1:7" x14ac:dyDescent="0.25">
      <c r="A2269" s="321" t="str">
        <f t="shared" si="78"/>
        <v>II.5.1.0310</v>
      </c>
      <c r="B2269" s="321">
        <v>10</v>
      </c>
      <c r="C2269" s="339" t="str">
        <f>IFERROR(VLOOKUP(A2269,[3]DOORSCRIEFT!$A$2:$G$6834,2,FALSE),"")</f>
        <v/>
      </c>
      <c r="D2269" s="481" t="str">
        <f>IFERROR(VLOOKUP(A2269,[3]DOORSCRIEFT!$A$2:$G$6834,3,FALSE),"")</f>
        <v/>
      </c>
      <c r="E2269" s="480" t="str">
        <f>IFERROR(VLOOKUP(A2269,[3]DOORSCRIEFT!$A$2:$G$6834,4,FALSE),"")</f>
        <v/>
      </c>
      <c r="F2269" s="405" t="str">
        <f>IFERROR(VLOOKUP(A2269,[3]DOORSCRIEFT!$A$2:$G$6834,7,FALSE),"")</f>
        <v/>
      </c>
      <c r="G2269" s="315"/>
    </row>
    <row r="2270" spans="1:7" x14ac:dyDescent="0.25">
      <c r="A2270" s="321" t="str">
        <f t="shared" si="78"/>
        <v>II.5.1.0311</v>
      </c>
      <c r="B2270" s="321">
        <v>11</v>
      </c>
      <c r="C2270" s="339" t="str">
        <f>IFERROR(VLOOKUP(A2270,[3]DOORSCRIEFT!$A$2:$G$6834,2,FALSE),"")</f>
        <v/>
      </c>
      <c r="D2270" s="481" t="str">
        <f>IFERROR(VLOOKUP(A2270,[3]DOORSCRIEFT!$A$2:$G$6834,3,FALSE),"")</f>
        <v/>
      </c>
      <c r="E2270" s="480" t="str">
        <f>IFERROR(VLOOKUP(A2270,[3]DOORSCRIEFT!$A$2:$G$6834,4,FALSE),"")</f>
        <v/>
      </c>
      <c r="F2270" s="405" t="str">
        <f>IFERROR(VLOOKUP(A2270,[3]DOORSCRIEFT!$A$2:$G$6834,7,FALSE),"")</f>
        <v/>
      </c>
      <c r="G2270" s="315"/>
    </row>
    <row r="2271" spans="1:7" x14ac:dyDescent="0.25">
      <c r="A2271" s="321" t="str">
        <f t="shared" si="78"/>
        <v>II.5.1.0312</v>
      </c>
      <c r="B2271" s="321">
        <v>12</v>
      </c>
      <c r="C2271" s="339" t="str">
        <f>IFERROR(VLOOKUP(A2271,[3]DOORSCRIEFT!$A$2:$G$6834,2,FALSE),"")</f>
        <v/>
      </c>
      <c r="D2271" s="481" t="str">
        <f>IFERROR(VLOOKUP(A2271,[3]DOORSCRIEFT!$A$2:$G$6834,3,FALSE),"")</f>
        <v/>
      </c>
      <c r="E2271" s="480" t="str">
        <f>IFERROR(VLOOKUP(A2271,[3]DOORSCRIEFT!$A$2:$G$6834,4,FALSE),"")</f>
        <v/>
      </c>
      <c r="F2271" s="405" t="str">
        <f>IFERROR(VLOOKUP(A2271,[3]DOORSCRIEFT!$A$2:$G$6834,7,FALSE),"")</f>
        <v/>
      </c>
      <c r="G2271" s="315"/>
    </row>
    <row r="2272" spans="1:7" x14ac:dyDescent="0.25">
      <c r="A2272" s="321" t="str">
        <f t="shared" si="78"/>
        <v>II.5.1.0313</v>
      </c>
      <c r="B2272" s="321">
        <v>13</v>
      </c>
      <c r="C2272" s="339" t="str">
        <f>IFERROR(VLOOKUP(A2272,[3]DOORSCRIEFT!$A$2:$G$6834,2,FALSE),"")</f>
        <v/>
      </c>
      <c r="D2272" s="481" t="str">
        <f>IFERROR(VLOOKUP(A2272,[3]DOORSCRIEFT!$A$2:$G$6834,3,FALSE),"")</f>
        <v/>
      </c>
      <c r="E2272" s="480" t="str">
        <f>IFERROR(VLOOKUP(A2272,[3]DOORSCRIEFT!$A$2:$G$6834,4,FALSE),"")</f>
        <v/>
      </c>
      <c r="F2272" s="405" t="str">
        <f>IFERROR(VLOOKUP(A2272,[3]DOORSCRIEFT!$A$2:$G$6834,7,FALSE),"")</f>
        <v/>
      </c>
      <c r="G2272" s="315"/>
    </row>
    <row r="2273" spans="1:7" x14ac:dyDescent="0.25">
      <c r="A2273" s="321" t="str">
        <f t="shared" si="78"/>
        <v>II.5.1.0314</v>
      </c>
      <c r="B2273" s="321">
        <v>14</v>
      </c>
      <c r="C2273" s="339" t="str">
        <f>IFERROR(VLOOKUP(A2273,[3]DOORSCRIEFT!$A$2:$G$6834,2,FALSE),"")</f>
        <v/>
      </c>
      <c r="D2273" s="481" t="str">
        <f>IFERROR(VLOOKUP(A2273,[3]DOORSCRIEFT!$A$2:$G$6834,3,FALSE),"")</f>
        <v/>
      </c>
      <c r="E2273" s="480" t="str">
        <f>IFERROR(VLOOKUP(A2273,[3]DOORSCRIEFT!$A$2:$G$6834,4,FALSE),"")</f>
        <v/>
      </c>
      <c r="F2273" s="405" t="str">
        <f>IFERROR(VLOOKUP(A2273,[3]DOORSCRIEFT!$A$2:$G$6834,7,FALSE),"")</f>
        <v/>
      </c>
      <c r="G2273" s="315"/>
    </row>
    <row r="2274" spans="1:7" ht="15.75" thickBot="1" x14ac:dyDescent="0.3">
      <c r="A2274" s="342" t="str">
        <f t="shared" si="78"/>
        <v>II.5.1.0315</v>
      </c>
      <c r="B2274" s="342">
        <v>15</v>
      </c>
      <c r="C2274" s="339" t="str">
        <f>IFERROR(VLOOKUP(A2274,[3]DOORSCRIEFT!$A$2:$G$6834,2,FALSE),"")</f>
        <v/>
      </c>
      <c r="D2274" s="481" t="str">
        <f>IFERROR(VLOOKUP(A2274,[3]DOORSCRIEFT!$A$2:$G$6834,3,FALSE),"")</f>
        <v/>
      </c>
      <c r="E2274" s="480" t="str">
        <f>IFERROR(VLOOKUP(A2274,[3]DOORSCRIEFT!$A$2:$G$6834,4,FALSE),"")</f>
        <v/>
      </c>
      <c r="F2274" s="405" t="str">
        <f>IFERROR(VLOOKUP(A2274,[3]DOORSCRIEFT!$A$2:$G$6834,7,FALSE),"")</f>
        <v/>
      </c>
      <c r="G2274" s="315"/>
    </row>
    <row r="2275" spans="1:7" ht="15.75" thickBot="1" x14ac:dyDescent="0.3">
      <c r="A2275" s="341"/>
      <c r="B2275" s="340"/>
      <c r="C2275" s="336"/>
      <c r="D2275" s="486"/>
      <c r="E2275" s="340" t="s">
        <v>644</v>
      </c>
      <c r="F2275" s="310">
        <f>SUM(F2260:F2274)</f>
        <v>2770000</v>
      </c>
      <c r="G2275" s="309">
        <f>SUM(G2260:G2274)</f>
        <v>0</v>
      </c>
    </row>
    <row r="2276" spans="1:7" x14ac:dyDescent="0.25">
      <c r="C2276" s="335"/>
      <c r="D2276" s="485"/>
    </row>
    <row r="2277" spans="1:7" x14ac:dyDescent="0.25">
      <c r="C2277" s="335"/>
      <c r="D2277" s="485"/>
    </row>
    <row r="2278" spans="1:7" ht="15.75" x14ac:dyDescent="0.25">
      <c r="C2278" s="334" t="s">
        <v>663</v>
      </c>
      <c r="D2278" s="484"/>
      <c r="E2278" s="333"/>
      <c r="F2278" s="327" t="s">
        <v>607</v>
      </c>
      <c r="G2278" s="327" t="s">
        <v>51</v>
      </c>
    </row>
    <row r="2279" spans="1:7" ht="15.75" x14ac:dyDescent="0.25">
      <c r="C2279" s="334"/>
      <c r="D2279" s="484"/>
      <c r="E2279" s="333"/>
      <c r="F2279" s="327" t="s">
        <v>601</v>
      </c>
      <c r="G2279" s="483" t="s">
        <v>50</v>
      </c>
    </row>
    <row r="2280" spans="1:7" x14ac:dyDescent="0.25">
      <c r="C2280" s="330"/>
      <c r="D2280" s="482"/>
      <c r="E2280" s="329"/>
      <c r="F2280" s="327" t="s">
        <v>651</v>
      </c>
      <c r="G2280" s="331">
        <f>[2]Sheet1!$D$577</f>
        <v>0</v>
      </c>
    </row>
    <row r="2281" spans="1:7" ht="15.75" thickBot="1" x14ac:dyDescent="0.3">
      <c r="C2281" s="330"/>
      <c r="D2281" s="482"/>
      <c r="E2281" s="329"/>
      <c r="F2281" s="327" t="s">
        <v>650</v>
      </c>
      <c r="G2281" s="326">
        <f>+F2300-G2280</f>
        <v>0</v>
      </c>
    </row>
    <row r="2282" spans="1:7" x14ac:dyDescent="0.25">
      <c r="A2282" s="571" t="s">
        <v>655</v>
      </c>
      <c r="B2282" s="573" t="s">
        <v>606</v>
      </c>
      <c r="C2282" s="588" t="s">
        <v>649</v>
      </c>
      <c r="D2282" s="599" t="s">
        <v>648</v>
      </c>
      <c r="E2282" s="577" t="s">
        <v>647</v>
      </c>
      <c r="F2282" s="577" t="s">
        <v>646</v>
      </c>
      <c r="G2282" s="580" t="s">
        <v>645</v>
      </c>
    </row>
    <row r="2283" spans="1:7" ht="15.75" thickBot="1" x14ac:dyDescent="0.3">
      <c r="A2283" s="572"/>
      <c r="B2283" s="574"/>
      <c r="C2283" s="589"/>
      <c r="D2283" s="600"/>
      <c r="E2283" s="578"/>
      <c r="F2283" s="578"/>
      <c r="G2283" s="581"/>
    </row>
    <row r="2284" spans="1:7" ht="15.75" thickBot="1" x14ac:dyDescent="0.3">
      <c r="A2284" s="425">
        <v>1</v>
      </c>
      <c r="B2284" s="425">
        <v>2</v>
      </c>
      <c r="C2284" s="425">
        <v>3</v>
      </c>
      <c r="D2284" s="425">
        <v>4</v>
      </c>
      <c r="E2284" s="425">
        <v>5</v>
      </c>
      <c r="F2284" s="425">
        <v>6</v>
      </c>
      <c r="G2284" s="425">
        <v>7</v>
      </c>
    </row>
    <row r="2285" spans="1:7" x14ac:dyDescent="0.25">
      <c r="A2285" s="320" t="str">
        <f t="shared" ref="A2285:A2299" si="79">$G$2278&amp;B2285</f>
        <v>II.5.1.041</v>
      </c>
      <c r="B2285" s="320">
        <v>1</v>
      </c>
      <c r="C2285" s="339" t="str">
        <f>IFERROR(VLOOKUP(A2285,[3]DOORSCRIEFT!$A$2:$G$6834,2,FALSE),"")</f>
        <v/>
      </c>
      <c r="D2285" s="481" t="str">
        <f>IFERROR(VLOOKUP(A2285,[3]DOORSCRIEFT!$A$2:$G$6834,3,FALSE),"")</f>
        <v/>
      </c>
      <c r="E2285" s="480" t="str">
        <f>IFERROR(VLOOKUP(A2285,[3]DOORSCRIEFT!$A$2:$G$6834,4,FALSE),"")</f>
        <v/>
      </c>
      <c r="F2285" s="405" t="str">
        <f>IFERROR(VLOOKUP(A2285,[3]DOORSCRIEFT!$A$2:$G$6834,7,FALSE),"")</f>
        <v/>
      </c>
      <c r="G2285" s="322"/>
    </row>
    <row r="2286" spans="1:7" x14ac:dyDescent="0.25">
      <c r="A2286" s="321" t="str">
        <f t="shared" si="79"/>
        <v>II.5.1.042</v>
      </c>
      <c r="B2286" s="321">
        <v>2</v>
      </c>
      <c r="C2286" s="339" t="str">
        <f>IFERROR(VLOOKUP(A2286,[3]DOORSCRIEFT!$A$2:$G$6834,2,FALSE),"")</f>
        <v/>
      </c>
      <c r="D2286" s="481" t="str">
        <f>IFERROR(VLOOKUP(A2286,[3]DOORSCRIEFT!$A$2:$G$6834,3,FALSE),"")</f>
        <v/>
      </c>
      <c r="E2286" s="480" t="str">
        <f>IFERROR(VLOOKUP(A2286,[3]DOORSCRIEFT!$A$2:$G$6834,4,FALSE),"")</f>
        <v/>
      </c>
      <c r="F2286" s="405" t="str">
        <f>IFERROR(VLOOKUP(A2286,[3]DOORSCRIEFT!$A$2:$G$6834,7,FALSE),"")</f>
        <v/>
      </c>
      <c r="G2286" s="315"/>
    </row>
    <row r="2287" spans="1:7" x14ac:dyDescent="0.25">
      <c r="A2287" s="321" t="str">
        <f t="shared" si="79"/>
        <v>II.5.1.043</v>
      </c>
      <c r="B2287" s="321">
        <v>3</v>
      </c>
      <c r="C2287" s="339" t="str">
        <f>IFERROR(VLOOKUP(A2287,[3]DOORSCRIEFT!$A$2:$G$6834,2,FALSE),"")</f>
        <v/>
      </c>
      <c r="D2287" s="481" t="str">
        <f>IFERROR(VLOOKUP(A2287,[3]DOORSCRIEFT!$A$2:$G$6834,3,FALSE),"")</f>
        <v/>
      </c>
      <c r="E2287" s="480" t="str">
        <f>IFERROR(VLOOKUP(A2287,[3]DOORSCRIEFT!$A$2:$G$6834,4,FALSE),"")</f>
        <v/>
      </c>
      <c r="F2287" s="405" t="str">
        <f>IFERROR(VLOOKUP(A2287,[3]DOORSCRIEFT!$A$2:$G$6834,7,FALSE),"")</f>
        <v/>
      </c>
      <c r="G2287" s="315"/>
    </row>
    <row r="2288" spans="1:7" x14ac:dyDescent="0.25">
      <c r="A2288" s="321" t="str">
        <f t="shared" si="79"/>
        <v>II.5.1.044</v>
      </c>
      <c r="B2288" s="321">
        <v>4</v>
      </c>
      <c r="C2288" s="339" t="str">
        <f>IFERROR(VLOOKUP(A2288,[3]DOORSCRIEFT!$A$2:$G$6834,2,FALSE),"")</f>
        <v/>
      </c>
      <c r="D2288" s="481" t="str">
        <f>IFERROR(VLOOKUP(A2288,[3]DOORSCRIEFT!$A$2:$G$6834,3,FALSE),"")</f>
        <v/>
      </c>
      <c r="E2288" s="480" t="str">
        <f>IFERROR(VLOOKUP(A2288,[3]DOORSCRIEFT!$A$2:$G$6834,4,FALSE),"")</f>
        <v/>
      </c>
      <c r="F2288" s="405" t="str">
        <f>IFERROR(VLOOKUP(A2288,[3]DOORSCRIEFT!$A$2:$G$6834,7,FALSE),"")</f>
        <v/>
      </c>
      <c r="G2288" s="315"/>
    </row>
    <row r="2289" spans="1:7" x14ac:dyDescent="0.25">
      <c r="A2289" s="321" t="str">
        <f t="shared" si="79"/>
        <v>II.5.1.045</v>
      </c>
      <c r="B2289" s="321">
        <v>5</v>
      </c>
      <c r="C2289" s="339" t="str">
        <f>IFERROR(VLOOKUP(A2289,[3]DOORSCRIEFT!$A$2:$G$6834,2,FALSE),"")</f>
        <v/>
      </c>
      <c r="D2289" s="481" t="str">
        <f>IFERROR(VLOOKUP(A2289,[3]DOORSCRIEFT!$A$2:$G$6834,3,FALSE),"")</f>
        <v/>
      </c>
      <c r="E2289" s="480" t="str">
        <f>IFERROR(VLOOKUP(A2289,[3]DOORSCRIEFT!$A$2:$G$6834,4,FALSE),"")</f>
        <v/>
      </c>
      <c r="F2289" s="405" t="str">
        <f>IFERROR(VLOOKUP(A2289,[3]DOORSCRIEFT!$A$2:$G$6834,7,FALSE),"")</f>
        <v/>
      </c>
      <c r="G2289" s="315"/>
    </row>
    <row r="2290" spans="1:7" x14ac:dyDescent="0.25">
      <c r="A2290" s="321" t="str">
        <f t="shared" si="79"/>
        <v>II.5.1.046</v>
      </c>
      <c r="B2290" s="321">
        <v>6</v>
      </c>
      <c r="C2290" s="339" t="str">
        <f>IFERROR(VLOOKUP(A2290,[3]DOORSCRIEFT!$A$2:$G$6834,2,FALSE),"")</f>
        <v/>
      </c>
      <c r="D2290" s="481" t="str">
        <f>IFERROR(VLOOKUP(A2290,[3]DOORSCRIEFT!$A$2:$G$6834,3,FALSE),"")</f>
        <v/>
      </c>
      <c r="E2290" s="480" t="str">
        <f>IFERROR(VLOOKUP(A2290,[3]DOORSCRIEFT!$A$2:$G$6834,4,FALSE),"")</f>
        <v/>
      </c>
      <c r="F2290" s="405" t="str">
        <f>IFERROR(VLOOKUP(A2290,[3]DOORSCRIEFT!$A$2:$G$6834,7,FALSE),"")</f>
        <v/>
      </c>
      <c r="G2290" s="315"/>
    </row>
    <row r="2291" spans="1:7" x14ac:dyDescent="0.25">
      <c r="A2291" s="321" t="str">
        <f t="shared" si="79"/>
        <v>II.5.1.047</v>
      </c>
      <c r="B2291" s="321">
        <v>7</v>
      </c>
      <c r="C2291" s="339" t="str">
        <f>IFERROR(VLOOKUP(A2291,[3]DOORSCRIEFT!$A$2:$G$6834,2,FALSE),"")</f>
        <v/>
      </c>
      <c r="D2291" s="481" t="str">
        <f>IFERROR(VLOOKUP(A2291,[3]DOORSCRIEFT!$A$2:$G$6834,3,FALSE),"")</f>
        <v/>
      </c>
      <c r="E2291" s="480" t="str">
        <f>IFERROR(VLOOKUP(A2291,[3]DOORSCRIEFT!$A$2:$G$6834,4,FALSE),"")</f>
        <v/>
      </c>
      <c r="F2291" s="405" t="str">
        <f>IFERROR(VLOOKUP(A2291,[3]DOORSCRIEFT!$A$2:$G$6834,7,FALSE),"")</f>
        <v/>
      </c>
      <c r="G2291" s="315"/>
    </row>
    <row r="2292" spans="1:7" x14ac:dyDescent="0.25">
      <c r="A2292" s="321" t="str">
        <f t="shared" si="79"/>
        <v>II.5.1.048</v>
      </c>
      <c r="B2292" s="321">
        <v>8</v>
      </c>
      <c r="C2292" s="339" t="str">
        <f>IFERROR(VLOOKUP(A2292,[3]DOORSCRIEFT!$A$2:$G$6834,2,FALSE),"")</f>
        <v/>
      </c>
      <c r="D2292" s="481" t="str">
        <f>IFERROR(VLOOKUP(A2292,[3]DOORSCRIEFT!$A$2:$G$6834,3,FALSE),"")</f>
        <v/>
      </c>
      <c r="E2292" s="480" t="str">
        <f>IFERROR(VLOOKUP(A2292,[3]DOORSCRIEFT!$A$2:$G$6834,4,FALSE),"")</f>
        <v/>
      </c>
      <c r="F2292" s="405" t="str">
        <f>IFERROR(VLOOKUP(A2292,[3]DOORSCRIEFT!$A$2:$G$6834,7,FALSE),"")</f>
        <v/>
      </c>
      <c r="G2292" s="315"/>
    </row>
    <row r="2293" spans="1:7" x14ac:dyDescent="0.25">
      <c r="A2293" s="321" t="str">
        <f t="shared" si="79"/>
        <v>II.5.1.049</v>
      </c>
      <c r="B2293" s="321">
        <v>9</v>
      </c>
      <c r="C2293" s="339" t="str">
        <f>IFERROR(VLOOKUP(A2293,[3]DOORSCRIEFT!$A$2:$G$6834,2,FALSE),"")</f>
        <v/>
      </c>
      <c r="D2293" s="481" t="str">
        <f>IFERROR(VLOOKUP(A2293,[3]DOORSCRIEFT!$A$2:$G$6834,3,FALSE),"")</f>
        <v/>
      </c>
      <c r="E2293" s="480" t="str">
        <f>IFERROR(VLOOKUP(A2293,[3]DOORSCRIEFT!$A$2:$G$6834,4,FALSE),"")</f>
        <v/>
      </c>
      <c r="F2293" s="405" t="str">
        <f>IFERROR(VLOOKUP(A2293,[3]DOORSCRIEFT!$A$2:$G$6834,7,FALSE),"")</f>
        <v/>
      </c>
      <c r="G2293" s="315"/>
    </row>
    <row r="2294" spans="1:7" x14ac:dyDescent="0.25">
      <c r="A2294" s="321" t="str">
        <f t="shared" si="79"/>
        <v>II.5.1.0410</v>
      </c>
      <c r="B2294" s="321">
        <v>10</v>
      </c>
      <c r="C2294" s="339" t="str">
        <f>IFERROR(VLOOKUP(A2294,[3]DOORSCRIEFT!$A$2:$G$6834,2,FALSE),"")</f>
        <v/>
      </c>
      <c r="D2294" s="481" t="str">
        <f>IFERROR(VLOOKUP(A2294,[3]DOORSCRIEFT!$A$2:$G$6834,3,FALSE),"")</f>
        <v/>
      </c>
      <c r="E2294" s="480" t="str">
        <f>IFERROR(VLOOKUP(A2294,[3]DOORSCRIEFT!$A$2:$G$6834,4,FALSE),"")</f>
        <v/>
      </c>
      <c r="F2294" s="405" t="str">
        <f>IFERROR(VLOOKUP(A2294,[3]DOORSCRIEFT!$A$2:$G$6834,7,FALSE),"")</f>
        <v/>
      </c>
      <c r="G2294" s="315"/>
    </row>
    <row r="2295" spans="1:7" x14ac:dyDescent="0.25">
      <c r="A2295" s="321" t="str">
        <f t="shared" si="79"/>
        <v>II.5.1.0411</v>
      </c>
      <c r="B2295" s="321">
        <v>11</v>
      </c>
      <c r="C2295" s="339" t="str">
        <f>IFERROR(VLOOKUP(A2295,[3]DOORSCRIEFT!$A$2:$G$6834,2,FALSE),"")</f>
        <v/>
      </c>
      <c r="D2295" s="481" t="str">
        <f>IFERROR(VLOOKUP(A2295,[3]DOORSCRIEFT!$A$2:$G$6834,3,FALSE),"")</f>
        <v/>
      </c>
      <c r="E2295" s="480" t="str">
        <f>IFERROR(VLOOKUP(A2295,[3]DOORSCRIEFT!$A$2:$G$6834,4,FALSE),"")</f>
        <v/>
      </c>
      <c r="F2295" s="405" t="str">
        <f>IFERROR(VLOOKUP(A2295,[3]DOORSCRIEFT!$A$2:$G$6834,7,FALSE),"")</f>
        <v/>
      </c>
      <c r="G2295" s="315"/>
    </row>
    <row r="2296" spans="1:7" x14ac:dyDescent="0.25">
      <c r="A2296" s="321" t="str">
        <f t="shared" si="79"/>
        <v>II.5.1.0412</v>
      </c>
      <c r="B2296" s="321">
        <v>12</v>
      </c>
      <c r="C2296" s="339" t="str">
        <f>IFERROR(VLOOKUP(A2296,[3]DOORSCRIEFT!$A$2:$G$6834,2,FALSE),"")</f>
        <v/>
      </c>
      <c r="D2296" s="481" t="str">
        <f>IFERROR(VLOOKUP(A2296,[3]DOORSCRIEFT!$A$2:$G$6834,3,FALSE),"")</f>
        <v/>
      </c>
      <c r="E2296" s="480" t="str">
        <f>IFERROR(VLOOKUP(A2296,[3]DOORSCRIEFT!$A$2:$G$6834,4,FALSE),"")</f>
        <v/>
      </c>
      <c r="F2296" s="405" t="str">
        <f>IFERROR(VLOOKUP(A2296,[3]DOORSCRIEFT!$A$2:$G$6834,7,FALSE),"")</f>
        <v/>
      </c>
      <c r="G2296" s="315"/>
    </row>
    <row r="2297" spans="1:7" x14ac:dyDescent="0.25">
      <c r="A2297" s="321" t="str">
        <f t="shared" si="79"/>
        <v>II.5.1.0413</v>
      </c>
      <c r="B2297" s="321">
        <v>13</v>
      </c>
      <c r="C2297" s="339" t="str">
        <f>IFERROR(VLOOKUP(A2297,[3]DOORSCRIEFT!$A$2:$G$6834,2,FALSE),"")</f>
        <v/>
      </c>
      <c r="D2297" s="481" t="str">
        <f>IFERROR(VLOOKUP(A2297,[3]DOORSCRIEFT!$A$2:$G$6834,3,FALSE),"")</f>
        <v/>
      </c>
      <c r="E2297" s="480" t="str">
        <f>IFERROR(VLOOKUP(A2297,[3]DOORSCRIEFT!$A$2:$G$6834,4,FALSE),"")</f>
        <v/>
      </c>
      <c r="F2297" s="405" t="str">
        <f>IFERROR(VLOOKUP(A2297,[3]DOORSCRIEFT!$A$2:$G$6834,7,FALSE),"")</f>
        <v/>
      </c>
      <c r="G2297" s="315"/>
    </row>
    <row r="2298" spans="1:7" x14ac:dyDescent="0.25">
      <c r="A2298" s="321" t="str">
        <f t="shared" si="79"/>
        <v>II.5.1.0414</v>
      </c>
      <c r="B2298" s="321">
        <v>14</v>
      </c>
      <c r="C2298" s="339" t="str">
        <f>IFERROR(VLOOKUP(A2298,[3]DOORSCRIEFT!$A$2:$G$6834,2,FALSE),"")</f>
        <v/>
      </c>
      <c r="D2298" s="481" t="str">
        <f>IFERROR(VLOOKUP(A2298,[3]DOORSCRIEFT!$A$2:$G$6834,3,FALSE),"")</f>
        <v/>
      </c>
      <c r="E2298" s="480" t="str">
        <f>IFERROR(VLOOKUP(A2298,[3]DOORSCRIEFT!$A$2:$G$6834,4,FALSE),"")</f>
        <v/>
      </c>
      <c r="F2298" s="405" t="str">
        <f>IFERROR(VLOOKUP(A2298,[3]DOORSCRIEFT!$A$2:$G$6834,7,FALSE),"")</f>
        <v/>
      </c>
      <c r="G2298" s="315"/>
    </row>
    <row r="2299" spans="1:7" ht="15.75" thickBot="1" x14ac:dyDescent="0.3">
      <c r="A2299" s="342" t="str">
        <f t="shared" si="79"/>
        <v>II.5.1.0415</v>
      </c>
      <c r="B2299" s="342">
        <v>15</v>
      </c>
      <c r="C2299" s="339" t="str">
        <f>IFERROR(VLOOKUP(A2299,[3]DOORSCRIEFT!$A$2:$G$6834,2,FALSE),"")</f>
        <v/>
      </c>
      <c r="D2299" s="481" t="str">
        <f>IFERROR(VLOOKUP(A2299,[3]DOORSCRIEFT!$A$2:$G$6834,3,FALSE),"")</f>
        <v/>
      </c>
      <c r="E2299" s="480" t="str">
        <f>IFERROR(VLOOKUP(A2299,[3]DOORSCRIEFT!$A$2:$G$6834,4,FALSE),"")</f>
        <v/>
      </c>
      <c r="F2299" s="405" t="str">
        <f>IFERROR(VLOOKUP(A2299,[3]DOORSCRIEFT!$A$2:$G$6834,7,FALSE),"")</f>
        <v/>
      </c>
      <c r="G2299" s="315"/>
    </row>
    <row r="2300" spans="1:7" ht="15.75" thickBot="1" x14ac:dyDescent="0.3">
      <c r="A2300" s="341"/>
      <c r="B2300" s="340"/>
      <c r="C2300" s="336"/>
      <c r="D2300" s="486"/>
      <c r="E2300" s="340" t="s">
        <v>644</v>
      </c>
      <c r="F2300" s="310">
        <f>SUM(F2285:F2299)</f>
        <v>0</v>
      </c>
      <c r="G2300" s="309">
        <f>SUM(G2285:G2299)</f>
        <v>0</v>
      </c>
    </row>
    <row r="2301" spans="1:7" x14ac:dyDescent="0.25">
      <c r="C2301" s="335"/>
      <c r="D2301" s="485"/>
    </row>
    <row r="2302" spans="1:7" x14ac:dyDescent="0.25">
      <c r="C2302" s="335"/>
      <c r="D2302" s="485"/>
    </row>
    <row r="2303" spans="1:7" ht="15.75" x14ac:dyDescent="0.25">
      <c r="C2303" s="334" t="s">
        <v>663</v>
      </c>
      <c r="D2303" s="484"/>
      <c r="E2303" s="333"/>
      <c r="F2303" s="327" t="s">
        <v>607</v>
      </c>
      <c r="G2303" s="327" t="s">
        <v>49</v>
      </c>
    </row>
    <row r="2304" spans="1:7" ht="15.75" x14ac:dyDescent="0.25">
      <c r="C2304" s="334"/>
      <c r="D2304" s="484"/>
      <c r="E2304" s="333"/>
      <c r="F2304" s="327" t="s">
        <v>601</v>
      </c>
      <c r="G2304" s="483" t="s">
        <v>48</v>
      </c>
    </row>
    <row r="2305" spans="1:7" x14ac:dyDescent="0.25">
      <c r="C2305" s="330"/>
      <c r="D2305" s="482"/>
      <c r="E2305" s="329"/>
      <c r="F2305" s="327" t="s">
        <v>651</v>
      </c>
      <c r="G2305" s="331">
        <f>[2]Sheet1!$D$578</f>
        <v>22500000</v>
      </c>
    </row>
    <row r="2306" spans="1:7" ht="15.75" thickBot="1" x14ac:dyDescent="0.3">
      <c r="C2306" s="330"/>
      <c r="D2306" s="482"/>
      <c r="E2306" s="329"/>
      <c r="F2306" s="327" t="s">
        <v>650</v>
      </c>
      <c r="G2306" s="326">
        <f>+F2325-G2305</f>
        <v>-12500000</v>
      </c>
    </row>
    <row r="2307" spans="1:7" x14ac:dyDescent="0.25">
      <c r="A2307" s="571" t="s">
        <v>655</v>
      </c>
      <c r="B2307" s="573" t="s">
        <v>606</v>
      </c>
      <c r="C2307" s="588" t="s">
        <v>649</v>
      </c>
      <c r="D2307" s="599" t="s">
        <v>648</v>
      </c>
      <c r="E2307" s="577" t="s">
        <v>647</v>
      </c>
      <c r="F2307" s="577" t="s">
        <v>646</v>
      </c>
      <c r="G2307" s="580" t="s">
        <v>645</v>
      </c>
    </row>
    <row r="2308" spans="1:7" ht="15.75" thickBot="1" x14ac:dyDescent="0.3">
      <c r="A2308" s="572"/>
      <c r="B2308" s="574"/>
      <c r="C2308" s="589"/>
      <c r="D2308" s="600"/>
      <c r="E2308" s="578"/>
      <c r="F2308" s="578"/>
      <c r="G2308" s="581"/>
    </row>
    <row r="2309" spans="1:7" ht="15.75" thickBot="1" x14ac:dyDescent="0.3">
      <c r="A2309" s="425">
        <v>1</v>
      </c>
      <c r="B2309" s="425">
        <v>2</v>
      </c>
      <c r="C2309" s="425">
        <v>3</v>
      </c>
      <c r="D2309" s="425">
        <v>4</v>
      </c>
      <c r="E2309" s="425">
        <v>5</v>
      </c>
      <c r="F2309" s="425">
        <v>6</v>
      </c>
      <c r="G2309" s="425">
        <v>7</v>
      </c>
    </row>
    <row r="2310" spans="1:7" x14ac:dyDescent="0.25">
      <c r="A2310" s="320" t="str">
        <f t="shared" ref="A2310:A2324" si="80">$G$2303&amp;B2310</f>
        <v>II.5.1.051</v>
      </c>
      <c r="B2310" s="320">
        <v>1</v>
      </c>
      <c r="C2310" s="339">
        <f>IFERROR(VLOOKUP(A2310,[3]DOORSCRIEFT!$A$2:$G$6834,2,FALSE),"")</f>
        <v>310</v>
      </c>
      <c r="D2310" s="481">
        <f>IFERROR(VLOOKUP(A2310,[3]DOORSCRIEFT!$A$2:$G$6834,3,FALSE),"")</f>
        <v>46089</v>
      </c>
      <c r="E2310" s="480" t="str">
        <f>IFERROR(VLOOKUP(A2310,[3]DOORSCRIEFT!$A$2:$G$6834,4,FALSE),"")</f>
        <v>Subsidi Panitia HHBG Sektor Kalvari</v>
      </c>
      <c r="F2310" s="405">
        <f>IFERROR(VLOOKUP(A2310,[3]DOORSCRIEFT!$A$2:$G$6834,7,FALSE),"")</f>
        <v>2000000</v>
      </c>
      <c r="G2310" s="322"/>
    </row>
    <row r="2311" spans="1:7" x14ac:dyDescent="0.25">
      <c r="A2311" s="321" t="str">
        <f t="shared" si="80"/>
        <v>II.5.1.052</v>
      </c>
      <c r="B2311" s="321">
        <v>2</v>
      </c>
      <c r="C2311" s="339">
        <f>IFERROR(VLOOKUP(A2311,[3]DOORSCRIEFT!$A$2:$G$6834,2,FALSE),"")</f>
        <v>366</v>
      </c>
      <c r="D2311" s="481">
        <f>IFERROR(VLOOKUP(A2311,[3]DOORSCRIEFT!$A$2:$G$6834,3,FALSE),"")</f>
        <v>51940</v>
      </c>
      <c r="E2311" s="480" t="str">
        <f>IFERROR(VLOOKUP(A2311,[3]DOORSCRIEFT!$A$2:$G$6834,4,FALSE),"")</f>
        <v>Biaya HUT Gereja Baitrafa</v>
      </c>
      <c r="F2311" s="405">
        <f>IFERROR(VLOOKUP(A2311,[3]DOORSCRIEFT!$A$2:$G$6834,7,FALSE),"")</f>
        <v>8000000</v>
      </c>
      <c r="G2311" s="315"/>
    </row>
    <row r="2312" spans="1:7" x14ac:dyDescent="0.25">
      <c r="A2312" s="321" t="str">
        <f t="shared" si="80"/>
        <v>II.5.1.053</v>
      </c>
      <c r="B2312" s="321">
        <v>3</v>
      </c>
      <c r="C2312" s="339" t="str">
        <f>IFERROR(VLOOKUP(A2312,[3]DOORSCRIEFT!$A$2:$G$6834,2,FALSE),"")</f>
        <v/>
      </c>
      <c r="D2312" s="481" t="str">
        <f>IFERROR(VLOOKUP(A2312,[3]DOORSCRIEFT!$A$2:$G$6834,3,FALSE),"")</f>
        <v/>
      </c>
      <c r="E2312" s="480" t="str">
        <f>IFERROR(VLOOKUP(A2312,[3]DOORSCRIEFT!$A$2:$G$6834,4,FALSE),"")</f>
        <v/>
      </c>
      <c r="F2312" s="405" t="str">
        <f>IFERROR(VLOOKUP(A2312,[3]DOORSCRIEFT!$A$2:$G$6834,7,FALSE),"")</f>
        <v/>
      </c>
      <c r="G2312" s="315"/>
    </row>
    <row r="2313" spans="1:7" x14ac:dyDescent="0.25">
      <c r="A2313" s="321" t="str">
        <f t="shared" si="80"/>
        <v>II.5.1.054</v>
      </c>
      <c r="B2313" s="321">
        <v>4</v>
      </c>
      <c r="C2313" s="339" t="str">
        <f>IFERROR(VLOOKUP(A2313,[3]DOORSCRIEFT!$A$2:$G$6834,2,FALSE),"")</f>
        <v/>
      </c>
      <c r="D2313" s="481" t="str">
        <f>IFERROR(VLOOKUP(A2313,[3]DOORSCRIEFT!$A$2:$G$6834,3,FALSE),"")</f>
        <v/>
      </c>
      <c r="E2313" s="480" t="str">
        <f>IFERROR(VLOOKUP(A2313,[3]DOORSCRIEFT!$A$2:$G$6834,4,FALSE),"")</f>
        <v/>
      </c>
      <c r="F2313" s="405" t="str">
        <f>IFERROR(VLOOKUP(A2313,[3]DOORSCRIEFT!$A$2:$G$6834,7,FALSE),"")</f>
        <v/>
      </c>
      <c r="G2313" s="315"/>
    </row>
    <row r="2314" spans="1:7" x14ac:dyDescent="0.25">
      <c r="A2314" s="321" t="str">
        <f t="shared" si="80"/>
        <v>II.5.1.055</v>
      </c>
      <c r="B2314" s="321">
        <v>5</v>
      </c>
      <c r="C2314" s="339" t="str">
        <f>IFERROR(VLOOKUP(A2314,[3]DOORSCRIEFT!$A$2:$G$6834,2,FALSE),"")</f>
        <v/>
      </c>
      <c r="D2314" s="481" t="str">
        <f>IFERROR(VLOOKUP(A2314,[3]DOORSCRIEFT!$A$2:$G$6834,3,FALSE),"")</f>
        <v/>
      </c>
      <c r="E2314" s="480" t="str">
        <f>IFERROR(VLOOKUP(A2314,[3]DOORSCRIEFT!$A$2:$G$6834,4,FALSE),"")</f>
        <v/>
      </c>
      <c r="F2314" s="405" t="str">
        <f>IFERROR(VLOOKUP(A2314,[3]DOORSCRIEFT!$A$2:$G$6834,7,FALSE),"")</f>
        <v/>
      </c>
      <c r="G2314" s="315"/>
    </row>
    <row r="2315" spans="1:7" x14ac:dyDescent="0.25">
      <c r="A2315" s="321" t="str">
        <f t="shared" si="80"/>
        <v>II.5.1.056</v>
      </c>
      <c r="B2315" s="321">
        <v>6</v>
      </c>
      <c r="C2315" s="339" t="str">
        <f>IFERROR(VLOOKUP(A2315,[3]DOORSCRIEFT!$A$2:$G$6834,2,FALSE),"")</f>
        <v/>
      </c>
      <c r="D2315" s="481" t="str">
        <f>IFERROR(VLOOKUP(A2315,[3]DOORSCRIEFT!$A$2:$G$6834,3,FALSE),"")</f>
        <v/>
      </c>
      <c r="E2315" s="480" t="str">
        <f>IFERROR(VLOOKUP(A2315,[3]DOORSCRIEFT!$A$2:$G$6834,4,FALSE),"")</f>
        <v/>
      </c>
      <c r="F2315" s="405" t="str">
        <f>IFERROR(VLOOKUP(A2315,[3]DOORSCRIEFT!$A$2:$G$6834,7,FALSE),"")</f>
        <v/>
      </c>
      <c r="G2315" s="315"/>
    </row>
    <row r="2316" spans="1:7" x14ac:dyDescent="0.25">
      <c r="A2316" s="321" t="str">
        <f t="shared" si="80"/>
        <v>II.5.1.057</v>
      </c>
      <c r="B2316" s="321">
        <v>7</v>
      </c>
      <c r="C2316" s="339" t="str">
        <f>IFERROR(VLOOKUP(A2316,[3]DOORSCRIEFT!$A$2:$G$6834,2,FALSE),"")</f>
        <v/>
      </c>
      <c r="D2316" s="481" t="str">
        <f>IFERROR(VLOOKUP(A2316,[3]DOORSCRIEFT!$A$2:$G$6834,3,FALSE),"")</f>
        <v/>
      </c>
      <c r="E2316" s="480" t="str">
        <f>IFERROR(VLOOKUP(A2316,[3]DOORSCRIEFT!$A$2:$G$6834,4,FALSE),"")</f>
        <v/>
      </c>
      <c r="F2316" s="405" t="str">
        <f>IFERROR(VLOOKUP(A2316,[3]DOORSCRIEFT!$A$2:$G$6834,7,FALSE),"")</f>
        <v/>
      </c>
      <c r="G2316" s="315"/>
    </row>
    <row r="2317" spans="1:7" x14ac:dyDescent="0.25">
      <c r="A2317" s="321" t="str">
        <f t="shared" si="80"/>
        <v>II.5.1.058</v>
      </c>
      <c r="B2317" s="321">
        <v>8</v>
      </c>
      <c r="C2317" s="339" t="str">
        <f>IFERROR(VLOOKUP(A2317,[3]DOORSCRIEFT!$A$2:$G$6834,2,FALSE),"")</f>
        <v/>
      </c>
      <c r="D2317" s="481" t="str">
        <f>IFERROR(VLOOKUP(A2317,[3]DOORSCRIEFT!$A$2:$G$6834,3,FALSE),"")</f>
        <v/>
      </c>
      <c r="E2317" s="480" t="str">
        <f>IFERROR(VLOOKUP(A2317,[3]DOORSCRIEFT!$A$2:$G$6834,4,FALSE),"")</f>
        <v/>
      </c>
      <c r="F2317" s="405" t="str">
        <f>IFERROR(VLOOKUP(A2317,[3]DOORSCRIEFT!$A$2:$G$6834,7,FALSE),"")</f>
        <v/>
      </c>
      <c r="G2317" s="315"/>
    </row>
    <row r="2318" spans="1:7" x14ac:dyDescent="0.25">
      <c r="A2318" s="321" t="str">
        <f t="shared" si="80"/>
        <v>II.5.1.059</v>
      </c>
      <c r="B2318" s="321">
        <v>9</v>
      </c>
      <c r="C2318" s="339" t="str">
        <f>IFERROR(VLOOKUP(A2318,[3]DOORSCRIEFT!$A$2:$G$6834,2,FALSE),"")</f>
        <v/>
      </c>
      <c r="D2318" s="481" t="str">
        <f>IFERROR(VLOOKUP(A2318,[3]DOORSCRIEFT!$A$2:$G$6834,3,FALSE),"")</f>
        <v/>
      </c>
      <c r="E2318" s="480" t="str">
        <f>IFERROR(VLOOKUP(A2318,[3]DOORSCRIEFT!$A$2:$G$6834,4,FALSE),"")</f>
        <v/>
      </c>
      <c r="F2318" s="405" t="str">
        <f>IFERROR(VLOOKUP(A2318,[3]DOORSCRIEFT!$A$2:$G$6834,7,FALSE),"")</f>
        <v/>
      </c>
      <c r="G2318" s="315"/>
    </row>
    <row r="2319" spans="1:7" x14ac:dyDescent="0.25">
      <c r="A2319" s="321" t="str">
        <f t="shared" si="80"/>
        <v>II.5.1.0510</v>
      </c>
      <c r="B2319" s="321">
        <v>10</v>
      </c>
      <c r="C2319" s="339" t="str">
        <f>IFERROR(VLOOKUP(A2319,[3]DOORSCRIEFT!$A$2:$G$6834,2,FALSE),"")</f>
        <v/>
      </c>
      <c r="D2319" s="481" t="str">
        <f>IFERROR(VLOOKUP(A2319,[3]DOORSCRIEFT!$A$2:$G$6834,3,FALSE),"")</f>
        <v/>
      </c>
      <c r="E2319" s="480" t="str">
        <f>IFERROR(VLOOKUP(A2319,[3]DOORSCRIEFT!$A$2:$G$6834,4,FALSE),"")</f>
        <v/>
      </c>
      <c r="F2319" s="405" t="str">
        <f>IFERROR(VLOOKUP(A2319,[3]DOORSCRIEFT!$A$2:$G$6834,7,FALSE),"")</f>
        <v/>
      </c>
      <c r="G2319" s="315"/>
    </row>
    <row r="2320" spans="1:7" x14ac:dyDescent="0.25">
      <c r="A2320" s="321" t="str">
        <f t="shared" si="80"/>
        <v>II.5.1.0511</v>
      </c>
      <c r="B2320" s="321">
        <v>11</v>
      </c>
      <c r="C2320" s="339" t="str">
        <f>IFERROR(VLOOKUP(A2320,[3]DOORSCRIEFT!$A$2:$G$6834,2,FALSE),"")</f>
        <v/>
      </c>
      <c r="D2320" s="481" t="str">
        <f>IFERROR(VLOOKUP(A2320,[3]DOORSCRIEFT!$A$2:$G$6834,3,FALSE),"")</f>
        <v/>
      </c>
      <c r="E2320" s="480" t="str">
        <f>IFERROR(VLOOKUP(A2320,[3]DOORSCRIEFT!$A$2:$G$6834,4,FALSE),"")</f>
        <v/>
      </c>
      <c r="F2320" s="405" t="str">
        <f>IFERROR(VLOOKUP(A2320,[3]DOORSCRIEFT!$A$2:$G$6834,7,FALSE),"")</f>
        <v/>
      </c>
      <c r="G2320" s="315"/>
    </row>
    <row r="2321" spans="1:7" x14ac:dyDescent="0.25">
      <c r="A2321" s="321" t="str">
        <f t="shared" si="80"/>
        <v>II.5.1.0512</v>
      </c>
      <c r="B2321" s="321">
        <v>12</v>
      </c>
      <c r="C2321" s="339" t="str">
        <f>IFERROR(VLOOKUP(A2321,[3]DOORSCRIEFT!$A$2:$G$6834,2,FALSE),"")</f>
        <v/>
      </c>
      <c r="D2321" s="481" t="str">
        <f>IFERROR(VLOOKUP(A2321,[3]DOORSCRIEFT!$A$2:$G$6834,3,FALSE),"")</f>
        <v/>
      </c>
      <c r="E2321" s="480" t="str">
        <f>IFERROR(VLOOKUP(A2321,[3]DOORSCRIEFT!$A$2:$G$6834,4,FALSE),"")</f>
        <v/>
      </c>
      <c r="F2321" s="405" t="str">
        <f>IFERROR(VLOOKUP(A2321,[3]DOORSCRIEFT!$A$2:$G$6834,7,FALSE),"")</f>
        <v/>
      </c>
      <c r="G2321" s="315"/>
    </row>
    <row r="2322" spans="1:7" x14ac:dyDescent="0.25">
      <c r="A2322" s="321" t="str">
        <f t="shared" si="80"/>
        <v>II.5.1.0513</v>
      </c>
      <c r="B2322" s="321">
        <v>13</v>
      </c>
      <c r="C2322" s="339" t="str">
        <f>IFERROR(VLOOKUP(A2322,[3]DOORSCRIEFT!$A$2:$G$6834,2,FALSE),"")</f>
        <v/>
      </c>
      <c r="D2322" s="481" t="str">
        <f>IFERROR(VLOOKUP(A2322,[3]DOORSCRIEFT!$A$2:$G$6834,3,FALSE),"")</f>
        <v/>
      </c>
      <c r="E2322" s="480" t="str">
        <f>IFERROR(VLOOKUP(A2322,[3]DOORSCRIEFT!$A$2:$G$6834,4,FALSE),"")</f>
        <v/>
      </c>
      <c r="F2322" s="405" t="str">
        <f>IFERROR(VLOOKUP(A2322,[3]DOORSCRIEFT!$A$2:$G$6834,7,FALSE),"")</f>
        <v/>
      </c>
      <c r="G2322" s="315"/>
    </row>
    <row r="2323" spans="1:7" x14ac:dyDescent="0.25">
      <c r="A2323" s="321" t="str">
        <f t="shared" si="80"/>
        <v>II.5.1.0514</v>
      </c>
      <c r="B2323" s="321">
        <v>14</v>
      </c>
      <c r="C2323" s="339" t="str">
        <f>IFERROR(VLOOKUP(A2323,[3]DOORSCRIEFT!$A$2:$G$6834,2,FALSE),"")</f>
        <v/>
      </c>
      <c r="D2323" s="481" t="str">
        <f>IFERROR(VLOOKUP(A2323,[3]DOORSCRIEFT!$A$2:$G$6834,3,FALSE),"")</f>
        <v/>
      </c>
      <c r="E2323" s="480" t="str">
        <f>IFERROR(VLOOKUP(A2323,[3]DOORSCRIEFT!$A$2:$G$6834,4,FALSE),"")</f>
        <v/>
      </c>
      <c r="F2323" s="405" t="str">
        <f>IFERROR(VLOOKUP(A2323,[3]DOORSCRIEFT!$A$2:$G$6834,7,FALSE),"")</f>
        <v/>
      </c>
      <c r="G2323" s="315"/>
    </row>
    <row r="2324" spans="1:7" ht="15.75" thickBot="1" x14ac:dyDescent="0.3">
      <c r="A2324" s="342" t="str">
        <f t="shared" si="80"/>
        <v>II.5.1.0515</v>
      </c>
      <c r="B2324" s="342">
        <v>15</v>
      </c>
      <c r="C2324" s="339" t="str">
        <f>IFERROR(VLOOKUP(A2324,[3]DOORSCRIEFT!$A$2:$G$6834,2,FALSE),"")</f>
        <v/>
      </c>
      <c r="D2324" s="481" t="str">
        <f>IFERROR(VLOOKUP(A2324,[3]DOORSCRIEFT!$A$2:$G$6834,3,FALSE),"")</f>
        <v/>
      </c>
      <c r="E2324" s="480" t="str">
        <f>IFERROR(VLOOKUP(A2324,[3]DOORSCRIEFT!$A$2:$G$6834,4,FALSE),"")</f>
        <v/>
      </c>
      <c r="F2324" s="405" t="str">
        <f>IFERROR(VLOOKUP(A2324,[3]DOORSCRIEFT!$A$2:$G$6834,7,FALSE),"")</f>
        <v/>
      </c>
      <c r="G2324" s="315"/>
    </row>
    <row r="2325" spans="1:7" ht="15.75" thickBot="1" x14ac:dyDescent="0.3">
      <c r="A2325" s="341"/>
      <c r="B2325" s="340"/>
      <c r="C2325" s="336"/>
      <c r="D2325" s="486"/>
      <c r="E2325" s="340" t="s">
        <v>644</v>
      </c>
      <c r="F2325" s="310">
        <f>SUM(F2310:F2324)</f>
        <v>10000000</v>
      </c>
      <c r="G2325" s="309">
        <f>SUM(G2310:G2324)</f>
        <v>0</v>
      </c>
    </row>
    <row r="2326" spans="1:7" x14ac:dyDescent="0.25">
      <c r="C2326" s="335"/>
      <c r="D2326" s="485"/>
    </row>
    <row r="2327" spans="1:7" x14ac:dyDescent="0.25">
      <c r="C2327" s="335"/>
      <c r="D2327" s="485"/>
    </row>
    <row r="2328" spans="1:7" ht="15.75" x14ac:dyDescent="0.25">
      <c r="C2328" s="334" t="s">
        <v>663</v>
      </c>
      <c r="D2328" s="484"/>
      <c r="E2328" s="333"/>
      <c r="F2328" s="327" t="s">
        <v>607</v>
      </c>
      <c r="G2328" s="327" t="s">
        <v>47</v>
      </c>
    </row>
    <row r="2329" spans="1:7" ht="15.75" x14ac:dyDescent="0.25">
      <c r="C2329" s="334"/>
      <c r="D2329" s="484"/>
      <c r="E2329" s="333"/>
      <c r="F2329" s="327" t="s">
        <v>601</v>
      </c>
      <c r="G2329" s="483" t="s">
        <v>46</v>
      </c>
    </row>
    <row r="2330" spans="1:7" x14ac:dyDescent="0.25">
      <c r="C2330" s="330"/>
      <c r="D2330" s="482"/>
      <c r="E2330" s="329"/>
      <c r="F2330" s="327" t="s">
        <v>651</v>
      </c>
      <c r="G2330" s="331">
        <f>[2]Sheet1!$D$580</f>
        <v>15000000</v>
      </c>
    </row>
    <row r="2331" spans="1:7" ht="15.75" thickBot="1" x14ac:dyDescent="0.3">
      <c r="C2331" s="330"/>
      <c r="D2331" s="482"/>
      <c r="E2331" s="329"/>
      <c r="F2331" s="327" t="s">
        <v>650</v>
      </c>
      <c r="G2331" s="326">
        <f>+F2368-G2330</f>
        <v>-3800000</v>
      </c>
    </row>
    <row r="2332" spans="1:7" x14ac:dyDescent="0.25">
      <c r="A2332" s="571" t="s">
        <v>655</v>
      </c>
      <c r="B2332" s="573" t="s">
        <v>606</v>
      </c>
      <c r="C2332" s="588" t="s">
        <v>649</v>
      </c>
      <c r="D2332" s="599" t="s">
        <v>648</v>
      </c>
      <c r="E2332" s="577" t="s">
        <v>647</v>
      </c>
      <c r="F2332" s="577" t="s">
        <v>646</v>
      </c>
      <c r="G2332" s="580" t="s">
        <v>645</v>
      </c>
    </row>
    <row r="2333" spans="1:7" ht="15.75" thickBot="1" x14ac:dyDescent="0.3">
      <c r="A2333" s="572"/>
      <c r="B2333" s="574"/>
      <c r="C2333" s="589"/>
      <c r="D2333" s="600"/>
      <c r="E2333" s="578"/>
      <c r="F2333" s="578"/>
      <c r="G2333" s="581"/>
    </row>
    <row r="2334" spans="1:7" ht="15.75" thickBot="1" x14ac:dyDescent="0.3">
      <c r="A2334" s="425">
        <v>1</v>
      </c>
      <c r="B2334" s="425">
        <v>2</v>
      </c>
      <c r="C2334" s="425">
        <v>3</v>
      </c>
      <c r="D2334" s="425">
        <v>4</v>
      </c>
      <c r="E2334" s="425">
        <v>5</v>
      </c>
      <c r="F2334" s="425">
        <v>6</v>
      </c>
      <c r="G2334" s="425">
        <v>7</v>
      </c>
    </row>
    <row r="2335" spans="1:7" x14ac:dyDescent="0.25">
      <c r="A2335" s="320" t="str">
        <f t="shared" ref="A2335:A2367" si="81">$G$2328&amp;B2335</f>
        <v>II.5.1.061</v>
      </c>
      <c r="B2335" s="320">
        <v>1</v>
      </c>
      <c r="C2335" s="339">
        <f>IFERROR(VLOOKUP(A2335,[3]DOORSCRIEFT!$A$2:$G$6834,2,FALSE),"")</f>
        <v>5</v>
      </c>
      <c r="D2335" s="481">
        <f>IFERROR(VLOOKUP(A2335,[3]DOORSCRIEFT!$A$2:$G$6834,3,FALSE),"")</f>
        <v>46023</v>
      </c>
      <c r="E2335" s="480" t="str">
        <f>IFERROR(VLOOKUP(A2335,[3]DOORSCRIEFT!$A$2:$G$6834,4,FALSE),"")</f>
        <v>Sumbangan Pelayanan Duka Alm. Oma Nel Rering</v>
      </c>
      <c r="F2335" s="405">
        <f>IFERROR(VLOOKUP(A2335,[3]DOORSCRIEFT!$A$2:$G$6834,7,FALSE),"")</f>
        <v>500000</v>
      </c>
      <c r="G2335" s="322"/>
    </row>
    <row r="2336" spans="1:7" x14ac:dyDescent="0.25">
      <c r="A2336" s="321" t="str">
        <f t="shared" si="81"/>
        <v>II.5.1.062</v>
      </c>
      <c r="B2336" s="321">
        <v>2</v>
      </c>
      <c r="C2336" s="339">
        <f>IFERROR(VLOOKUP(A2336,[3]DOORSCRIEFT!$A$2:$G$6834,2,FALSE),"")</f>
        <v>20</v>
      </c>
      <c r="D2336" s="481">
        <f>IFERROR(VLOOKUP(A2336,[3]DOORSCRIEFT!$A$2:$G$6834,3,FALSE),"")</f>
        <v>46026</v>
      </c>
      <c r="E2336" s="480" t="str">
        <f>IFERROR(VLOOKUP(A2336,[3]DOORSCRIEFT!$A$2:$G$6834,4,FALSE),"")</f>
        <v>Sumbangan Pelayanan Org sakit 9 orang</v>
      </c>
      <c r="F2336" s="405">
        <f>IFERROR(VLOOKUP(A2336,[3]DOORSCRIEFT!$A$2:$G$6834,7,FALSE),"")</f>
        <v>2700000</v>
      </c>
      <c r="G2336" s="315"/>
    </row>
    <row r="2337" spans="1:7" x14ac:dyDescent="0.25">
      <c r="A2337" s="321" t="str">
        <f t="shared" si="81"/>
        <v>II.5.1.063</v>
      </c>
      <c r="B2337" s="321">
        <v>3</v>
      </c>
      <c r="C2337" s="339">
        <f>IFERROR(VLOOKUP(A2337,[3]DOORSCRIEFT!$A$2:$G$6834,2,FALSE),"")</f>
        <v>85</v>
      </c>
      <c r="D2337" s="481">
        <f>IFERROR(VLOOKUP(A2337,[3]DOORSCRIEFT!$A$2:$G$6834,3,FALSE),"")</f>
        <v>46040</v>
      </c>
      <c r="E2337" s="480" t="str">
        <f>IFERROR(VLOOKUP(A2337,[3]DOORSCRIEFT!$A$2:$G$6834,4,FALSE),"")</f>
        <v>Sumbangan pelayanan duka 2 org Kel. Pattisina dan Kel. Nanlohy</v>
      </c>
      <c r="F2337" s="405">
        <f>IFERROR(VLOOKUP(A2337,[3]DOORSCRIEFT!$A$2:$G$6834,7,FALSE),"")</f>
        <v>1000000</v>
      </c>
      <c r="G2337" s="315"/>
    </row>
    <row r="2338" spans="1:7" x14ac:dyDescent="0.25">
      <c r="A2338" s="321" t="str">
        <f t="shared" si="81"/>
        <v>II.5.1.064</v>
      </c>
      <c r="B2338" s="321">
        <v>4</v>
      </c>
      <c r="C2338" s="339">
        <f>IFERROR(VLOOKUP(A2338,[3]DOORSCRIEFT!$A$2:$G$6834,2,FALSE),"")</f>
        <v>120</v>
      </c>
      <c r="D2338" s="481">
        <f>IFERROR(VLOOKUP(A2338,[3]DOORSCRIEFT!$A$2:$G$6834,3,FALSE),"")</f>
        <v>46047</v>
      </c>
      <c r="E2338" s="480" t="str">
        <f>IFERROR(VLOOKUP(A2338,[3]DOORSCRIEFT!$A$2:$G$6834,4,FALSE),"")</f>
        <v>Sumbangan Pelayanan duka 2 org Bpk. Onggo dan Bpk. Oce Titarsole</v>
      </c>
      <c r="F2338" s="405">
        <f>IFERROR(VLOOKUP(A2338,[3]DOORSCRIEFT!$A$2:$G$6834,7,FALSE),"")</f>
        <v>1000000</v>
      </c>
      <c r="G2338" s="315"/>
    </row>
    <row r="2339" spans="1:7" x14ac:dyDescent="0.25">
      <c r="A2339" s="321" t="str">
        <f t="shared" si="81"/>
        <v>II.5.1.065</v>
      </c>
      <c r="B2339" s="321">
        <v>5</v>
      </c>
      <c r="C2339" s="339">
        <f>IFERROR(VLOOKUP(A2339,[3]DOORSCRIEFT!$A$2:$G$6834,2,FALSE),"")</f>
        <v>173</v>
      </c>
      <c r="D2339" s="481">
        <f>IFERROR(VLOOKUP(A2339,[3]DOORSCRIEFT!$A$2:$G$6834,3,FALSE),"")</f>
        <v>46059</v>
      </c>
      <c r="E2339" s="480" t="str">
        <f>IFERROR(VLOOKUP(A2339,[3]DOORSCRIEFT!$A$2:$G$6834,4,FALSE),"")</f>
        <v>Sumbangan Duka Alm. Bapa Deky Petta</v>
      </c>
      <c r="F2339" s="405">
        <f>IFERROR(VLOOKUP(A2339,[3]DOORSCRIEFT!$A$2:$G$6834,7,FALSE),"")</f>
        <v>500000</v>
      </c>
      <c r="G2339" s="315"/>
    </row>
    <row r="2340" spans="1:7" x14ac:dyDescent="0.25">
      <c r="A2340" s="321" t="str">
        <f t="shared" si="81"/>
        <v>II.5.1.066</v>
      </c>
      <c r="B2340" s="321">
        <v>6</v>
      </c>
      <c r="C2340" s="339">
        <f>IFERROR(VLOOKUP(A2340,[3]DOORSCRIEFT!$A$2:$G$6834,2,FALSE),"")</f>
        <v>202</v>
      </c>
      <c r="D2340" s="481">
        <f>IFERROR(VLOOKUP(A2340,[3]DOORSCRIEFT!$A$2:$G$6834,3,FALSE),"")</f>
        <v>46068</v>
      </c>
      <c r="E2340" s="480" t="str">
        <f>IFERROR(VLOOKUP(A2340,[3]DOORSCRIEFT!$A$2:$G$6834,4,FALSE),"")</f>
        <v xml:space="preserve">Sumbangan Pelayanan duka Alm. </v>
      </c>
      <c r="F2340" s="405">
        <f>IFERROR(VLOOKUP(A2340,[3]DOORSCRIEFT!$A$2:$G$6834,7,FALSE),"")</f>
        <v>500000</v>
      </c>
      <c r="G2340" s="315"/>
    </row>
    <row r="2341" spans="1:7" x14ac:dyDescent="0.25">
      <c r="A2341" s="321" t="str">
        <f t="shared" si="81"/>
        <v>II.5.1.067</v>
      </c>
      <c r="B2341" s="321">
        <v>7</v>
      </c>
      <c r="C2341" s="339">
        <f>IFERROR(VLOOKUP(A2341,[3]DOORSCRIEFT!$A$2:$G$6834,2,FALSE),"")</f>
        <v>244</v>
      </c>
      <c r="D2341" s="481">
        <f>IFERROR(VLOOKUP(A2341,[3]DOORSCRIEFT!$A$2:$G$6834,3,FALSE),"")</f>
        <v>46075</v>
      </c>
      <c r="E2341" s="480" t="str">
        <f>IFERROR(VLOOKUP(A2341,[3]DOORSCRIEFT!$A$2:$G$6834,4,FALSE),"")</f>
        <v>Sumbangan Duka Alm. Bpk Benny dan Alm. Ibu Ety Pattisina</v>
      </c>
      <c r="F2341" s="405">
        <f>IFERROR(VLOOKUP(A2341,[3]DOORSCRIEFT!$A$2:$G$6834,7,FALSE),"")</f>
        <v>1000000</v>
      </c>
      <c r="G2341" s="315"/>
    </row>
    <row r="2342" spans="1:7" x14ac:dyDescent="0.25">
      <c r="A2342" s="321" t="str">
        <f t="shared" si="81"/>
        <v>II.5.1.068</v>
      </c>
      <c r="B2342" s="321">
        <v>8</v>
      </c>
      <c r="C2342" s="339">
        <f>IFERROR(VLOOKUP(A2342,[3]DOORSCRIEFT!$A$2:$G$6834,2,FALSE),"")</f>
        <v>275</v>
      </c>
      <c r="D2342" s="481">
        <f>IFERROR(VLOOKUP(A2342,[3]DOORSCRIEFT!$A$2:$G$6834,3,FALSE),"")</f>
        <v>46082</v>
      </c>
      <c r="E2342" s="480" t="str">
        <f>IFERROR(VLOOKUP(A2342,[3]DOORSCRIEFT!$A$2:$G$6834,4,FALSE),"")</f>
        <v>Sumbangan Duka ke Namrole ( Kakak kandung KMJ )</v>
      </c>
      <c r="F2342" s="405">
        <f>IFERROR(VLOOKUP(A2342,[3]DOORSCRIEFT!$A$2:$G$6834,7,FALSE),"")</f>
        <v>1500000</v>
      </c>
      <c r="G2342" s="315"/>
    </row>
    <row r="2343" spans="1:7" x14ac:dyDescent="0.25">
      <c r="A2343" s="321" t="str">
        <f t="shared" si="81"/>
        <v>II.5.1.069</v>
      </c>
      <c r="B2343" s="321">
        <v>9</v>
      </c>
      <c r="C2343" s="339">
        <f>IFERROR(VLOOKUP(A2343,[3]DOORSCRIEFT!$A$2:$G$6834,2,FALSE),"")</f>
        <v>309</v>
      </c>
      <c r="D2343" s="481">
        <f>IFERROR(VLOOKUP(A2343,[3]DOORSCRIEFT!$A$2:$G$6834,3,FALSE),"")</f>
        <v>46089</v>
      </c>
      <c r="E2343" s="480" t="str">
        <f>IFERROR(VLOOKUP(A2343,[3]DOORSCRIEFT!$A$2:$G$6834,4,FALSE),"")</f>
        <v>Sumbangan Duka alm. Kel. Bpk. Beni Haliwela</v>
      </c>
      <c r="F2343" s="405">
        <f>IFERROR(VLOOKUP(A2343,[3]DOORSCRIEFT!$A$2:$G$6834,7,FALSE),"")</f>
        <v>500000</v>
      </c>
      <c r="G2343" s="315"/>
    </row>
    <row r="2344" spans="1:7" x14ac:dyDescent="0.25">
      <c r="A2344" s="321" t="str">
        <f t="shared" si="81"/>
        <v>II.5.1.0610</v>
      </c>
      <c r="B2344" s="321">
        <v>10</v>
      </c>
      <c r="C2344" s="339">
        <f>IFERROR(VLOOKUP(A2344,[3]DOORSCRIEFT!$A$2:$G$6834,2,FALSE),"")</f>
        <v>363</v>
      </c>
      <c r="D2344" s="481">
        <f>IFERROR(VLOOKUP(A2344,[3]DOORSCRIEFT!$A$2:$G$6834,3,FALSE),"")</f>
        <v>50844</v>
      </c>
      <c r="E2344" s="480" t="str">
        <f>IFERROR(VLOOKUP(A2344,[3]DOORSCRIEFT!$A$2:$G$6834,4,FALSE),"")</f>
        <v>Sumbangan Duka Alm. Bpk. Relly dan Oma Iye Waisapy</v>
      </c>
      <c r="F2344" s="405">
        <f>IFERROR(VLOOKUP(A2344,[3]DOORSCRIEFT!$A$2:$G$6834,7,FALSE),"")</f>
        <v>1000000</v>
      </c>
      <c r="G2344" s="315"/>
    </row>
    <row r="2345" spans="1:7" x14ac:dyDescent="0.25">
      <c r="A2345" s="321" t="str">
        <f t="shared" si="81"/>
        <v>II.5.1.0611</v>
      </c>
      <c r="B2345" s="321">
        <v>11</v>
      </c>
      <c r="C2345" s="339">
        <f>IFERROR(VLOOKUP(A2345,[3]DOORSCRIEFT!$A$2:$G$6834,2,FALSE),"")</f>
        <v>400</v>
      </c>
      <c r="D2345" s="481">
        <f>IFERROR(VLOOKUP(A2345,[3]DOORSCRIEFT!$A$2:$G$6834,3,FALSE),"")</f>
        <v>46103</v>
      </c>
      <c r="E2345" s="480" t="str">
        <f>IFERROR(VLOOKUP(A2345,[3]DOORSCRIEFT!$A$2:$G$6834,4,FALSE),"")</f>
        <v>Sumbangan Duka Alm. Bpk. Rifer Pattiwael</v>
      </c>
      <c r="F2345" s="405">
        <f>IFERROR(VLOOKUP(A2345,[3]DOORSCRIEFT!$A$2:$G$6834,7,FALSE),"")</f>
        <v>500000</v>
      </c>
      <c r="G2345" s="315"/>
    </row>
    <row r="2346" spans="1:7" x14ac:dyDescent="0.25">
      <c r="A2346" s="321" t="str">
        <f t="shared" si="81"/>
        <v>II.5.1.0612</v>
      </c>
      <c r="B2346" s="321">
        <v>12</v>
      </c>
      <c r="C2346" s="339">
        <f>IFERROR(VLOOKUP(A2346,[3]DOORSCRIEFT!$A$2:$G$6834,2,FALSE),"")</f>
        <v>468</v>
      </c>
      <c r="D2346" s="481">
        <f>IFERROR(VLOOKUP(A2346,[3]DOORSCRIEFT!$A$2:$G$6834,3,FALSE),"")</f>
        <v>46115</v>
      </c>
      <c r="E2346" s="480">
        <f>IFERROR(VLOOKUP(A2346,[3]DOORSCRIEFT!$A$2:$G$6834,4,FALSE),"")</f>
        <v>0</v>
      </c>
      <c r="F2346" s="405">
        <f>IFERROR(VLOOKUP(A2346,[3]DOORSCRIEFT!$A$2:$G$6834,7,FALSE),"")</f>
        <v>500000</v>
      </c>
      <c r="G2346" s="315"/>
    </row>
    <row r="2347" spans="1:7" x14ac:dyDescent="0.25">
      <c r="A2347" s="321" t="str">
        <f t="shared" si="81"/>
        <v>II.5.1.0613</v>
      </c>
      <c r="B2347" s="321">
        <v>13</v>
      </c>
      <c r="C2347" s="339" t="str">
        <f>IFERROR(VLOOKUP(A2347,[3]DOORSCRIEFT!$A$2:$G$6834,2,FALSE),"")</f>
        <v/>
      </c>
      <c r="D2347" s="481" t="str">
        <f>IFERROR(VLOOKUP(A2347,[3]DOORSCRIEFT!$A$2:$G$6834,3,FALSE),"")</f>
        <v/>
      </c>
      <c r="E2347" s="480" t="str">
        <f>IFERROR(VLOOKUP(A2347,[3]DOORSCRIEFT!$A$2:$G$6834,4,FALSE),"")</f>
        <v/>
      </c>
      <c r="F2347" s="405" t="str">
        <f>IFERROR(VLOOKUP(A2347,[3]DOORSCRIEFT!$A$2:$G$6834,7,FALSE),"")</f>
        <v/>
      </c>
      <c r="G2347" s="315"/>
    </row>
    <row r="2348" spans="1:7" x14ac:dyDescent="0.25">
      <c r="A2348" s="321" t="str">
        <f t="shared" si="81"/>
        <v>II.5.1.0614</v>
      </c>
      <c r="B2348" s="321">
        <v>14</v>
      </c>
      <c r="C2348" s="339" t="str">
        <f>IFERROR(VLOOKUP(A2348,[3]DOORSCRIEFT!$A$2:$G$6834,2,FALSE),"")</f>
        <v/>
      </c>
      <c r="D2348" s="481" t="str">
        <f>IFERROR(VLOOKUP(A2348,[3]DOORSCRIEFT!$A$2:$G$6834,3,FALSE),"")</f>
        <v/>
      </c>
      <c r="E2348" s="480" t="str">
        <f>IFERROR(VLOOKUP(A2348,[3]DOORSCRIEFT!$A$2:$G$6834,4,FALSE),"")</f>
        <v/>
      </c>
      <c r="F2348" s="405" t="str">
        <f>IFERROR(VLOOKUP(A2348,[3]DOORSCRIEFT!$A$2:$G$6834,7,FALSE),"")</f>
        <v/>
      </c>
      <c r="G2348" s="315"/>
    </row>
    <row r="2349" spans="1:7" x14ac:dyDescent="0.25">
      <c r="A2349" s="321" t="str">
        <f t="shared" si="81"/>
        <v>II.5.1.0615</v>
      </c>
      <c r="B2349" s="321">
        <v>15</v>
      </c>
      <c r="C2349" s="339" t="str">
        <f>IFERROR(VLOOKUP(A2349,[3]DOORSCRIEFT!$A$2:$G$6834,2,FALSE),"")</f>
        <v/>
      </c>
      <c r="D2349" s="481" t="str">
        <f>IFERROR(VLOOKUP(A2349,[3]DOORSCRIEFT!$A$2:$G$6834,3,FALSE),"")</f>
        <v/>
      </c>
      <c r="E2349" s="480" t="str">
        <f>IFERROR(VLOOKUP(A2349,[3]DOORSCRIEFT!$A$2:$G$6834,4,FALSE),"")</f>
        <v/>
      </c>
      <c r="F2349" s="405" t="str">
        <f>IFERROR(VLOOKUP(A2349,[3]DOORSCRIEFT!$A$2:$G$6834,7,FALSE),"")</f>
        <v/>
      </c>
      <c r="G2349" s="315"/>
    </row>
    <row r="2350" spans="1:7" x14ac:dyDescent="0.25">
      <c r="A2350" s="321" t="str">
        <f t="shared" si="81"/>
        <v>II.5.1.0616</v>
      </c>
      <c r="B2350" s="321">
        <v>16</v>
      </c>
      <c r="C2350" s="339" t="str">
        <f>IFERROR(VLOOKUP(A2350,[3]DOORSCRIEFT!$A$2:$G$6834,2,FALSE),"")</f>
        <v/>
      </c>
      <c r="D2350" s="481" t="str">
        <f>IFERROR(VLOOKUP(A2350,[3]DOORSCRIEFT!$A$2:$G$6834,3,FALSE),"")</f>
        <v/>
      </c>
      <c r="E2350" s="480" t="str">
        <f>IFERROR(VLOOKUP(A2350,[3]DOORSCRIEFT!$A$2:$G$6834,4,FALSE),"")</f>
        <v/>
      </c>
      <c r="F2350" s="405" t="str">
        <f>IFERROR(VLOOKUP(A2350,[3]DOORSCRIEFT!$A$2:$G$6834,7,FALSE),"")</f>
        <v/>
      </c>
      <c r="G2350" s="315"/>
    </row>
    <row r="2351" spans="1:7" x14ac:dyDescent="0.25">
      <c r="A2351" s="321" t="str">
        <f t="shared" si="81"/>
        <v>II.5.1.0617</v>
      </c>
      <c r="B2351" s="321">
        <v>17</v>
      </c>
      <c r="C2351" s="339" t="str">
        <f>IFERROR(VLOOKUP(A2351,[3]DOORSCRIEFT!$A$2:$G$6834,2,FALSE),"")</f>
        <v/>
      </c>
      <c r="D2351" s="481" t="str">
        <f>IFERROR(VLOOKUP(A2351,[3]DOORSCRIEFT!$A$2:$G$6834,3,FALSE),"")</f>
        <v/>
      </c>
      <c r="E2351" s="480" t="str">
        <f>IFERROR(VLOOKUP(A2351,[3]DOORSCRIEFT!$A$2:$G$6834,4,FALSE),"")</f>
        <v/>
      </c>
      <c r="F2351" s="405" t="str">
        <f>IFERROR(VLOOKUP(A2351,[3]DOORSCRIEFT!$A$2:$G$6834,7,FALSE),"")</f>
        <v/>
      </c>
      <c r="G2351" s="315"/>
    </row>
    <row r="2352" spans="1:7" x14ac:dyDescent="0.25">
      <c r="A2352" s="321" t="str">
        <f t="shared" si="81"/>
        <v>II.5.1.0618</v>
      </c>
      <c r="B2352" s="321">
        <v>18</v>
      </c>
      <c r="C2352" s="339" t="str">
        <f>IFERROR(VLOOKUP(A2352,[3]DOORSCRIEFT!$A$2:$G$6834,2,FALSE),"")</f>
        <v/>
      </c>
      <c r="D2352" s="481" t="str">
        <f>IFERROR(VLOOKUP(A2352,[3]DOORSCRIEFT!$A$2:$G$6834,3,FALSE),"")</f>
        <v/>
      </c>
      <c r="E2352" s="480" t="str">
        <f>IFERROR(VLOOKUP(A2352,[3]DOORSCRIEFT!$A$2:$G$6834,4,FALSE),"")</f>
        <v/>
      </c>
      <c r="F2352" s="405" t="str">
        <f>IFERROR(VLOOKUP(A2352,[3]DOORSCRIEFT!$A$2:$G$6834,7,FALSE),"")</f>
        <v/>
      </c>
      <c r="G2352" s="315"/>
    </row>
    <row r="2353" spans="1:7" x14ac:dyDescent="0.25">
      <c r="A2353" s="321" t="str">
        <f t="shared" si="81"/>
        <v>II.5.1.0619</v>
      </c>
      <c r="B2353" s="321">
        <v>19</v>
      </c>
      <c r="C2353" s="339" t="str">
        <f>IFERROR(VLOOKUP(A2353,[3]DOORSCRIEFT!$A$2:$G$6834,2,FALSE),"")</f>
        <v/>
      </c>
      <c r="D2353" s="481" t="str">
        <f>IFERROR(VLOOKUP(A2353,[3]DOORSCRIEFT!$A$2:$G$6834,3,FALSE),"")</f>
        <v/>
      </c>
      <c r="E2353" s="480" t="str">
        <f>IFERROR(VLOOKUP(A2353,[3]DOORSCRIEFT!$A$2:$G$6834,4,FALSE),"")</f>
        <v/>
      </c>
      <c r="F2353" s="405" t="str">
        <f>IFERROR(VLOOKUP(A2353,[3]DOORSCRIEFT!$A$2:$G$6834,7,FALSE),"")</f>
        <v/>
      </c>
      <c r="G2353" s="315"/>
    </row>
    <row r="2354" spans="1:7" x14ac:dyDescent="0.25">
      <c r="A2354" s="321" t="str">
        <f t="shared" si="81"/>
        <v>II.5.1.0620</v>
      </c>
      <c r="B2354" s="321">
        <v>20</v>
      </c>
      <c r="C2354" s="339" t="str">
        <f>IFERROR(VLOOKUP(A2354,[3]DOORSCRIEFT!$A$2:$G$6834,2,FALSE),"")</f>
        <v/>
      </c>
      <c r="D2354" s="481" t="str">
        <f>IFERROR(VLOOKUP(A2354,[3]DOORSCRIEFT!$A$2:$G$6834,3,FALSE),"")</f>
        <v/>
      </c>
      <c r="E2354" s="480" t="str">
        <f>IFERROR(VLOOKUP(A2354,[3]DOORSCRIEFT!$A$2:$G$6834,4,FALSE),"")</f>
        <v/>
      </c>
      <c r="F2354" s="405" t="str">
        <f>IFERROR(VLOOKUP(A2354,[3]DOORSCRIEFT!$A$2:$G$6834,7,FALSE),"")</f>
        <v/>
      </c>
      <c r="G2354" s="315"/>
    </row>
    <row r="2355" spans="1:7" x14ac:dyDescent="0.25">
      <c r="A2355" s="321" t="str">
        <f t="shared" si="81"/>
        <v>II.5.1.0621</v>
      </c>
      <c r="B2355" s="321">
        <v>21</v>
      </c>
      <c r="C2355" s="339" t="str">
        <f>IFERROR(VLOOKUP(A2355,[3]DOORSCRIEFT!$A$2:$G$6834,2,FALSE),"")</f>
        <v/>
      </c>
      <c r="D2355" s="481" t="str">
        <f>IFERROR(VLOOKUP(A2355,[3]DOORSCRIEFT!$A$2:$G$6834,3,FALSE),"")</f>
        <v/>
      </c>
      <c r="E2355" s="480" t="str">
        <f>IFERROR(VLOOKUP(A2355,[3]DOORSCRIEFT!$A$2:$G$6834,4,FALSE),"")</f>
        <v/>
      </c>
      <c r="F2355" s="405" t="str">
        <f>IFERROR(VLOOKUP(A2355,[3]DOORSCRIEFT!$A$2:$G$6834,7,FALSE),"")</f>
        <v/>
      </c>
      <c r="G2355" s="315"/>
    </row>
    <row r="2356" spans="1:7" x14ac:dyDescent="0.25">
      <c r="A2356" s="321" t="str">
        <f t="shared" si="81"/>
        <v>II.5.1.0622</v>
      </c>
      <c r="B2356" s="321">
        <v>22</v>
      </c>
      <c r="C2356" s="339" t="str">
        <f>IFERROR(VLOOKUP(A2356,[3]DOORSCRIEFT!$A$2:$G$6834,2,FALSE),"")</f>
        <v/>
      </c>
      <c r="D2356" s="481" t="str">
        <f>IFERROR(VLOOKUP(A2356,[3]DOORSCRIEFT!$A$2:$G$6834,3,FALSE),"")</f>
        <v/>
      </c>
      <c r="E2356" s="480" t="str">
        <f>IFERROR(VLOOKUP(A2356,[3]DOORSCRIEFT!$A$2:$G$6834,4,FALSE),"")</f>
        <v/>
      </c>
      <c r="F2356" s="405" t="str">
        <f>IFERROR(VLOOKUP(A2356,[3]DOORSCRIEFT!$A$2:$G$6834,7,FALSE),"")</f>
        <v/>
      </c>
      <c r="G2356" s="315"/>
    </row>
    <row r="2357" spans="1:7" x14ac:dyDescent="0.25">
      <c r="A2357" s="321" t="str">
        <f t="shared" si="81"/>
        <v>II.5.1.0623</v>
      </c>
      <c r="B2357" s="321">
        <v>23</v>
      </c>
      <c r="C2357" s="339" t="str">
        <f>IFERROR(VLOOKUP(A2357,[3]DOORSCRIEFT!$A$2:$G$6834,2,FALSE),"")</f>
        <v/>
      </c>
      <c r="D2357" s="481" t="str">
        <f>IFERROR(VLOOKUP(A2357,[3]DOORSCRIEFT!$A$2:$G$6834,3,FALSE),"")</f>
        <v/>
      </c>
      <c r="E2357" s="480" t="str">
        <f>IFERROR(VLOOKUP(A2357,[3]DOORSCRIEFT!$A$2:$G$6834,4,FALSE),"")</f>
        <v/>
      </c>
      <c r="F2357" s="405" t="str">
        <f>IFERROR(VLOOKUP(A2357,[3]DOORSCRIEFT!$A$2:$G$6834,7,FALSE),"")</f>
        <v/>
      </c>
      <c r="G2357" s="315"/>
    </row>
    <row r="2358" spans="1:7" x14ac:dyDescent="0.25">
      <c r="A2358" s="321" t="str">
        <f t="shared" si="81"/>
        <v>II.5.1.0624</v>
      </c>
      <c r="B2358" s="321">
        <v>24</v>
      </c>
      <c r="C2358" s="339" t="str">
        <f>IFERROR(VLOOKUP(A2358,[3]DOORSCRIEFT!$A$2:$G$6834,2,FALSE),"")</f>
        <v/>
      </c>
      <c r="D2358" s="481" t="str">
        <f>IFERROR(VLOOKUP(A2358,[3]DOORSCRIEFT!$A$2:$G$6834,3,FALSE),"")</f>
        <v/>
      </c>
      <c r="E2358" s="480" t="str">
        <f>IFERROR(VLOOKUP(A2358,[3]DOORSCRIEFT!$A$2:$G$6834,4,FALSE),"")</f>
        <v/>
      </c>
      <c r="F2358" s="405" t="str">
        <f>IFERROR(VLOOKUP(A2358,[3]DOORSCRIEFT!$A$2:$G$6834,7,FALSE),"")</f>
        <v/>
      </c>
      <c r="G2358" s="315"/>
    </row>
    <row r="2359" spans="1:7" x14ac:dyDescent="0.25">
      <c r="A2359" s="321" t="str">
        <f t="shared" si="81"/>
        <v>II.5.1.0625</v>
      </c>
      <c r="B2359" s="321">
        <v>25</v>
      </c>
      <c r="C2359" s="339" t="str">
        <f>IFERROR(VLOOKUP(A2359,[3]DOORSCRIEFT!$A$2:$G$6834,2,FALSE),"")</f>
        <v/>
      </c>
      <c r="D2359" s="481" t="str">
        <f>IFERROR(VLOOKUP(A2359,[3]DOORSCRIEFT!$A$2:$G$6834,3,FALSE),"")</f>
        <v/>
      </c>
      <c r="E2359" s="480" t="str">
        <f>IFERROR(VLOOKUP(A2359,[3]DOORSCRIEFT!$A$2:$G$6834,4,FALSE),"")</f>
        <v/>
      </c>
      <c r="F2359" s="405" t="str">
        <f>IFERROR(VLOOKUP(A2359,[3]DOORSCRIEFT!$A$2:$G$6834,7,FALSE),"")</f>
        <v/>
      </c>
      <c r="G2359" s="315"/>
    </row>
    <row r="2360" spans="1:7" x14ac:dyDescent="0.25">
      <c r="A2360" s="321" t="str">
        <f t="shared" si="81"/>
        <v>II.5.1.0626</v>
      </c>
      <c r="B2360" s="321">
        <v>26</v>
      </c>
      <c r="C2360" s="339" t="str">
        <f>IFERROR(VLOOKUP(A2360,[3]DOORSCRIEFT!$A$2:$G$6834,2,FALSE),"")</f>
        <v/>
      </c>
      <c r="D2360" s="481" t="str">
        <f>IFERROR(VLOOKUP(A2360,[3]DOORSCRIEFT!$A$2:$G$6834,3,FALSE),"")</f>
        <v/>
      </c>
      <c r="E2360" s="480" t="str">
        <f>IFERROR(VLOOKUP(A2360,[3]DOORSCRIEFT!$A$2:$G$6834,4,FALSE),"")</f>
        <v/>
      </c>
      <c r="F2360" s="405" t="str">
        <f>IFERROR(VLOOKUP(A2360,[3]DOORSCRIEFT!$A$2:$G$6834,7,FALSE),"")</f>
        <v/>
      </c>
      <c r="G2360" s="315"/>
    </row>
    <row r="2361" spans="1:7" x14ac:dyDescent="0.25">
      <c r="A2361" s="321" t="str">
        <f t="shared" si="81"/>
        <v>II.5.1.0627</v>
      </c>
      <c r="B2361" s="321">
        <v>27</v>
      </c>
      <c r="C2361" s="339" t="str">
        <f>IFERROR(VLOOKUP(A2361,[3]DOORSCRIEFT!$A$2:$G$6834,2,FALSE),"")</f>
        <v/>
      </c>
      <c r="D2361" s="481" t="str">
        <f>IFERROR(VLOOKUP(A2361,[3]DOORSCRIEFT!$A$2:$G$6834,3,FALSE),"")</f>
        <v/>
      </c>
      <c r="E2361" s="480" t="str">
        <f>IFERROR(VLOOKUP(A2361,[3]DOORSCRIEFT!$A$2:$G$6834,4,FALSE),"")</f>
        <v/>
      </c>
      <c r="F2361" s="405" t="str">
        <f>IFERROR(VLOOKUP(A2361,[3]DOORSCRIEFT!$A$2:$G$6834,7,FALSE),"")</f>
        <v/>
      </c>
      <c r="G2361" s="315"/>
    </row>
    <row r="2362" spans="1:7" x14ac:dyDescent="0.25">
      <c r="A2362" s="321" t="str">
        <f t="shared" si="81"/>
        <v>II.5.1.0628</v>
      </c>
      <c r="B2362" s="321">
        <v>28</v>
      </c>
      <c r="C2362" s="339" t="str">
        <f>IFERROR(VLOOKUP(A2362,[3]DOORSCRIEFT!$A$2:$G$6834,2,FALSE),"")</f>
        <v/>
      </c>
      <c r="D2362" s="481" t="str">
        <f>IFERROR(VLOOKUP(A2362,[3]DOORSCRIEFT!$A$2:$G$6834,3,FALSE),"")</f>
        <v/>
      </c>
      <c r="E2362" s="480" t="str">
        <f>IFERROR(VLOOKUP(A2362,[3]DOORSCRIEFT!$A$2:$G$6834,4,FALSE),"")</f>
        <v/>
      </c>
      <c r="F2362" s="405" t="str">
        <f>IFERROR(VLOOKUP(A2362,[3]DOORSCRIEFT!$A$2:$G$6834,7,FALSE),"")</f>
        <v/>
      </c>
      <c r="G2362" s="315"/>
    </row>
    <row r="2363" spans="1:7" x14ac:dyDescent="0.25">
      <c r="A2363" s="321" t="str">
        <f t="shared" si="81"/>
        <v>II.5.1.0629</v>
      </c>
      <c r="B2363" s="321">
        <v>29</v>
      </c>
      <c r="C2363" s="339" t="str">
        <f>IFERROR(VLOOKUP(A2363,[3]DOORSCRIEFT!$A$2:$G$6834,2,FALSE),"")</f>
        <v/>
      </c>
      <c r="D2363" s="481" t="str">
        <f>IFERROR(VLOOKUP(A2363,[3]DOORSCRIEFT!$A$2:$G$6834,3,FALSE),"")</f>
        <v/>
      </c>
      <c r="E2363" s="480" t="str">
        <f>IFERROR(VLOOKUP(A2363,[3]DOORSCRIEFT!$A$2:$G$6834,4,FALSE),"")</f>
        <v/>
      </c>
      <c r="F2363" s="405" t="str">
        <f>IFERROR(VLOOKUP(A2363,[3]DOORSCRIEFT!$A$2:$G$6834,7,FALSE),"")</f>
        <v/>
      </c>
      <c r="G2363" s="315"/>
    </row>
    <row r="2364" spans="1:7" x14ac:dyDescent="0.25">
      <c r="A2364" s="321" t="str">
        <f t="shared" si="81"/>
        <v>II.5.1.0630</v>
      </c>
      <c r="B2364" s="321">
        <v>30</v>
      </c>
      <c r="C2364" s="339" t="str">
        <f>IFERROR(VLOOKUP(A2364,[3]DOORSCRIEFT!$A$2:$G$6834,2,FALSE),"")</f>
        <v/>
      </c>
      <c r="D2364" s="481" t="str">
        <f>IFERROR(VLOOKUP(A2364,[3]DOORSCRIEFT!$A$2:$G$6834,3,FALSE),"")</f>
        <v/>
      </c>
      <c r="E2364" s="480" t="str">
        <f>IFERROR(VLOOKUP(A2364,[3]DOORSCRIEFT!$A$2:$G$6834,4,FALSE),"")</f>
        <v/>
      </c>
      <c r="F2364" s="405" t="str">
        <f>IFERROR(VLOOKUP(A2364,[3]DOORSCRIEFT!$A$2:$G$6834,7,FALSE),"")</f>
        <v/>
      </c>
      <c r="G2364" s="315"/>
    </row>
    <row r="2365" spans="1:7" x14ac:dyDescent="0.25">
      <c r="A2365" s="321" t="str">
        <f t="shared" si="81"/>
        <v>II.5.1.0631</v>
      </c>
      <c r="B2365" s="321">
        <v>31</v>
      </c>
      <c r="C2365" s="339" t="str">
        <f>IFERROR(VLOOKUP(A2365,[3]DOORSCRIEFT!$A$2:$G$6834,2,FALSE),"")</f>
        <v/>
      </c>
      <c r="D2365" s="481" t="str">
        <f>IFERROR(VLOOKUP(A2365,[3]DOORSCRIEFT!$A$2:$G$6834,3,FALSE),"")</f>
        <v/>
      </c>
      <c r="E2365" s="480" t="str">
        <f>IFERROR(VLOOKUP(A2365,[3]DOORSCRIEFT!$A$2:$G$6834,4,FALSE),"")</f>
        <v/>
      </c>
      <c r="F2365" s="405" t="str">
        <f>IFERROR(VLOOKUP(A2365,[3]DOORSCRIEFT!$A$2:$G$6834,7,FALSE),"")</f>
        <v/>
      </c>
      <c r="G2365" s="315"/>
    </row>
    <row r="2366" spans="1:7" x14ac:dyDescent="0.25">
      <c r="A2366" s="321" t="str">
        <f t="shared" si="81"/>
        <v>II.5.1.0632</v>
      </c>
      <c r="B2366" s="321">
        <v>32</v>
      </c>
      <c r="C2366" s="339" t="str">
        <f>IFERROR(VLOOKUP(A2366,[3]DOORSCRIEFT!$A$2:$G$6834,2,FALSE),"")</f>
        <v/>
      </c>
      <c r="D2366" s="481" t="str">
        <f>IFERROR(VLOOKUP(A2366,[3]DOORSCRIEFT!$A$2:$G$6834,3,FALSE),"")</f>
        <v/>
      </c>
      <c r="E2366" s="480" t="str">
        <f>IFERROR(VLOOKUP(A2366,[3]DOORSCRIEFT!$A$2:$G$6834,4,FALSE),"")</f>
        <v/>
      </c>
      <c r="F2366" s="405" t="str">
        <f>IFERROR(VLOOKUP(A2366,[3]DOORSCRIEFT!$A$2:$G$6834,7,FALSE),"")</f>
        <v/>
      </c>
      <c r="G2366" s="315"/>
    </row>
    <row r="2367" spans="1:7" ht="15.75" thickBot="1" x14ac:dyDescent="0.3">
      <c r="A2367" s="342" t="str">
        <f t="shared" si="81"/>
        <v>II.5.1.0633</v>
      </c>
      <c r="B2367" s="342">
        <v>33</v>
      </c>
      <c r="C2367" s="339" t="str">
        <f>IFERROR(VLOOKUP(A2367,[3]DOORSCRIEFT!$A$2:$G$6834,2,FALSE),"")</f>
        <v/>
      </c>
      <c r="D2367" s="481" t="str">
        <f>IFERROR(VLOOKUP(A2367,[3]DOORSCRIEFT!$A$2:$G$6834,3,FALSE),"")</f>
        <v/>
      </c>
      <c r="E2367" s="480" t="str">
        <f>IFERROR(VLOOKUP(A2367,[3]DOORSCRIEFT!$A$2:$G$6834,4,FALSE),"")</f>
        <v/>
      </c>
      <c r="F2367" s="405" t="str">
        <f>IFERROR(VLOOKUP(A2367,[3]DOORSCRIEFT!$A$2:$G$6834,7,FALSE),"")</f>
        <v/>
      </c>
      <c r="G2367" s="315"/>
    </row>
    <row r="2368" spans="1:7" ht="15.75" thickBot="1" x14ac:dyDescent="0.3">
      <c r="A2368" s="341"/>
      <c r="B2368" s="340"/>
      <c r="C2368" s="336"/>
      <c r="D2368" s="486"/>
      <c r="E2368" s="340" t="s">
        <v>644</v>
      </c>
      <c r="F2368" s="310">
        <f>SUM(F2335:F2367)</f>
        <v>11200000</v>
      </c>
      <c r="G2368" s="309">
        <f>SUM(G2335:G2367)</f>
        <v>0</v>
      </c>
    </row>
    <row r="2369" spans="1:7" x14ac:dyDescent="0.25">
      <c r="C2369" s="335"/>
      <c r="D2369" s="485"/>
    </row>
    <row r="2370" spans="1:7" x14ac:dyDescent="0.25">
      <c r="C2370" s="335"/>
      <c r="D2370" s="485"/>
    </row>
    <row r="2371" spans="1:7" ht="15.75" x14ac:dyDescent="0.25">
      <c r="C2371" s="334" t="s">
        <v>663</v>
      </c>
      <c r="D2371" s="484"/>
      <c r="E2371" s="333"/>
      <c r="F2371" s="327" t="s">
        <v>607</v>
      </c>
      <c r="G2371" s="327" t="s">
        <v>45</v>
      </c>
    </row>
    <row r="2372" spans="1:7" ht="15.75" x14ac:dyDescent="0.25">
      <c r="C2372" s="334"/>
      <c r="D2372" s="484"/>
      <c r="E2372" s="333"/>
      <c r="F2372" s="327" t="s">
        <v>601</v>
      </c>
      <c r="G2372" s="483" t="s">
        <v>44</v>
      </c>
    </row>
    <row r="2373" spans="1:7" x14ac:dyDescent="0.25">
      <c r="C2373" s="330"/>
      <c r="D2373" s="482"/>
      <c r="E2373" s="329"/>
      <c r="F2373" s="327" t="s">
        <v>651</v>
      </c>
      <c r="G2373" s="331">
        <f>[2]Sheet1!$D$581</f>
        <v>211280000</v>
      </c>
    </row>
    <row r="2374" spans="1:7" ht="15.75" thickBot="1" x14ac:dyDescent="0.3">
      <c r="C2374" s="330"/>
      <c r="D2374" s="482"/>
      <c r="E2374" s="329"/>
      <c r="F2374" s="327" t="s">
        <v>650</v>
      </c>
      <c r="G2374" s="326">
        <f>+F2528-G2373</f>
        <v>-150205000</v>
      </c>
    </row>
    <row r="2375" spans="1:7" x14ac:dyDescent="0.25">
      <c r="A2375" s="571" t="s">
        <v>655</v>
      </c>
      <c r="B2375" s="573" t="s">
        <v>606</v>
      </c>
      <c r="C2375" s="588" t="s">
        <v>649</v>
      </c>
      <c r="D2375" s="599" t="s">
        <v>648</v>
      </c>
      <c r="E2375" s="577" t="s">
        <v>647</v>
      </c>
      <c r="F2375" s="577" t="s">
        <v>646</v>
      </c>
      <c r="G2375" s="580" t="s">
        <v>645</v>
      </c>
    </row>
    <row r="2376" spans="1:7" ht="15.75" thickBot="1" x14ac:dyDescent="0.3">
      <c r="A2376" s="572"/>
      <c r="B2376" s="574"/>
      <c r="C2376" s="589"/>
      <c r="D2376" s="600"/>
      <c r="E2376" s="578"/>
      <c r="F2376" s="578"/>
      <c r="G2376" s="581"/>
    </row>
    <row r="2377" spans="1:7" ht="15.75" thickBot="1" x14ac:dyDescent="0.3">
      <c r="A2377" s="425">
        <v>1</v>
      </c>
      <c r="B2377" s="425">
        <v>2</v>
      </c>
      <c r="C2377" s="425">
        <v>3</v>
      </c>
      <c r="D2377" s="500">
        <v>4</v>
      </c>
      <c r="E2377" s="425">
        <v>5</v>
      </c>
      <c r="F2377" s="425">
        <v>6</v>
      </c>
      <c r="G2377" s="425">
        <v>7</v>
      </c>
    </row>
    <row r="2378" spans="1:7" x14ac:dyDescent="0.25">
      <c r="A2378" s="475" t="str">
        <f t="shared" ref="A2378:A2409" si="82">$G$2371&amp;B2378</f>
        <v>II.5.1.071</v>
      </c>
      <c r="B2378" s="320">
        <v>1</v>
      </c>
      <c r="C2378" s="339">
        <f>IFERROR(VLOOKUP(A2378,[3]DOORSCRIEFT!$A$2:$G$6834,2,FALSE),"")</f>
        <v>3</v>
      </c>
      <c r="D2378" s="481">
        <f>IFERROR(VLOOKUP(A2378,[3]DOORSCRIEFT!$A$2:$G$6834,3,FALSE),"")</f>
        <v>46023</v>
      </c>
      <c r="E2378" s="480" t="str">
        <f>IFERROR(VLOOKUP(A2378,[3]DOORSCRIEFT!$A$2:$G$6834,4,FALSE),"")</f>
        <v>Belanja Kebaktian Minggu</v>
      </c>
      <c r="F2378" s="405">
        <f>IFERROR(VLOOKUP(A2378,[3]DOORSCRIEFT!$A$2:$G$6834,7,FALSE),"")</f>
        <v>1325000</v>
      </c>
      <c r="G2378" s="322"/>
    </row>
    <row r="2379" spans="1:7" x14ac:dyDescent="0.25">
      <c r="A2379" s="496" t="str">
        <f t="shared" si="82"/>
        <v>II.5.1.072</v>
      </c>
      <c r="B2379" s="321">
        <v>2</v>
      </c>
      <c r="C2379" s="339">
        <f>IFERROR(VLOOKUP(A2379,[3]DOORSCRIEFT!$A$2:$G$6834,2,FALSE),"")</f>
        <v>17</v>
      </c>
      <c r="D2379" s="481">
        <f>IFERROR(VLOOKUP(A2379,[3]DOORSCRIEFT!$A$2:$G$6834,3,FALSE),"")</f>
        <v>46026</v>
      </c>
      <c r="E2379" s="480" t="str">
        <f>IFERROR(VLOOKUP(A2379,[3]DOORSCRIEFT!$A$2:$G$6834,4,FALSE),"")</f>
        <v>Belanja Pelayanan Kebaktian Minggu</v>
      </c>
      <c r="F2379" s="405">
        <f>IFERROR(VLOOKUP(A2379,[3]DOORSCRIEFT!$A$2:$G$6834,7,FALSE),"")</f>
        <v>3900000</v>
      </c>
      <c r="G2379" s="315"/>
    </row>
    <row r="2380" spans="1:7" x14ac:dyDescent="0.25">
      <c r="A2380" s="496" t="str">
        <f t="shared" si="82"/>
        <v>II.5.1.073</v>
      </c>
      <c r="B2380" s="321">
        <v>3</v>
      </c>
      <c r="C2380" s="339">
        <f>IFERROR(VLOOKUP(A2380,[3]DOORSCRIEFT!$A$2:$G$6834,2,FALSE),"")</f>
        <v>18</v>
      </c>
      <c r="D2380" s="481">
        <f>IFERROR(VLOOKUP(A2380,[3]DOORSCRIEFT!$A$2:$G$6834,3,FALSE),"")</f>
        <v>46026</v>
      </c>
      <c r="E2380" s="480" t="str">
        <f>IFERROR(VLOOKUP(A2380,[3]DOORSCRIEFT!$A$2:$G$6834,4,FALSE),"")</f>
        <v>Biaya Sewa 4 mobil untuk pelayanan perjamuan rumah</v>
      </c>
      <c r="F2380" s="405">
        <f>IFERROR(VLOOKUP(A2380,[3]DOORSCRIEFT!$A$2:$G$6834,7,FALSE),"")</f>
        <v>800000</v>
      </c>
      <c r="G2380" s="315"/>
    </row>
    <row r="2381" spans="1:7" x14ac:dyDescent="0.25">
      <c r="A2381" s="496" t="str">
        <f t="shared" si="82"/>
        <v>II.5.1.074</v>
      </c>
      <c r="B2381" s="321">
        <v>4</v>
      </c>
      <c r="C2381" s="339">
        <f>IFERROR(VLOOKUP(A2381,[3]DOORSCRIEFT!$A$2:$G$6834,2,FALSE),"")</f>
        <v>19</v>
      </c>
      <c r="D2381" s="481">
        <f>IFERROR(VLOOKUP(A2381,[3]DOORSCRIEFT!$A$2:$G$6834,3,FALSE),"")</f>
        <v>46026</v>
      </c>
      <c r="E2381" s="480" t="str">
        <f>IFERROR(VLOOKUP(A2381,[3]DOORSCRIEFT!$A$2:$G$6834,4,FALSE),"")</f>
        <v>Biaya Jaga Malam Persiapan Perjamuan</v>
      </c>
      <c r="F2381" s="405">
        <f>IFERROR(VLOOKUP(A2381,[3]DOORSCRIEFT!$A$2:$G$6834,7,FALSE),"")</f>
        <v>200000</v>
      </c>
      <c r="G2381" s="315"/>
    </row>
    <row r="2382" spans="1:7" x14ac:dyDescent="0.25">
      <c r="A2382" s="496" t="str">
        <f t="shared" si="82"/>
        <v>II.5.1.075</v>
      </c>
      <c r="B2382" s="321">
        <v>5</v>
      </c>
      <c r="C2382" s="339">
        <f>IFERROR(VLOOKUP(A2382,[3]DOORSCRIEFT!$A$2:$G$6834,2,FALSE),"")</f>
        <v>42</v>
      </c>
      <c r="D2382" s="481">
        <f>IFERROR(VLOOKUP(A2382,[3]DOORSCRIEFT!$A$2:$G$6834,3,FALSE),"")</f>
        <v>46033</v>
      </c>
      <c r="E2382" s="480" t="str">
        <f>IFERROR(VLOOKUP(A2382,[3]DOORSCRIEFT!$A$2:$G$6834,4,FALSE),"")</f>
        <v>Belanja Kebaktian minggu</v>
      </c>
      <c r="F2382" s="405">
        <f>IFERROR(VLOOKUP(A2382,[3]DOORSCRIEFT!$A$2:$G$6834,7,FALSE),"")</f>
        <v>1525000</v>
      </c>
      <c r="G2382" s="315"/>
    </row>
    <row r="2383" spans="1:7" x14ac:dyDescent="0.25">
      <c r="A2383" s="496" t="str">
        <f t="shared" si="82"/>
        <v>II.5.1.076</v>
      </c>
      <c r="B2383" s="321">
        <v>6</v>
      </c>
      <c r="C2383" s="339">
        <f>IFERROR(VLOOKUP(A2383,[3]DOORSCRIEFT!$A$2:$G$6834,2,FALSE),"")</f>
        <v>47</v>
      </c>
      <c r="D2383" s="481">
        <f>IFERROR(VLOOKUP(A2383,[3]DOORSCRIEFT!$A$2:$G$6834,3,FALSE),"")</f>
        <v>46033</v>
      </c>
      <c r="E2383" s="480" t="str">
        <f>IFERROR(VLOOKUP(A2383,[3]DOORSCRIEFT!$A$2:$G$6834,4,FALSE),"")</f>
        <v>Biaya Sewa Mobil Angkut Aksesoris Nikah</v>
      </c>
      <c r="F2383" s="405">
        <f>IFERROR(VLOOKUP(A2383,[3]DOORSCRIEFT!$A$2:$G$6834,7,FALSE),"")</f>
        <v>50000</v>
      </c>
      <c r="G2383" s="315"/>
    </row>
    <row r="2384" spans="1:7" x14ac:dyDescent="0.25">
      <c r="A2384" s="496" t="str">
        <f t="shared" si="82"/>
        <v>II.5.1.077</v>
      </c>
      <c r="B2384" s="321">
        <v>7</v>
      </c>
      <c r="C2384" s="339">
        <f>IFERROR(VLOOKUP(A2384,[3]DOORSCRIEFT!$A$2:$G$6834,2,FALSE),"")</f>
        <v>68</v>
      </c>
      <c r="D2384" s="481">
        <f>IFERROR(VLOOKUP(A2384,[3]DOORSCRIEFT!$A$2:$G$6834,3,FALSE),"")</f>
        <v>46038</v>
      </c>
      <c r="E2384" s="480" t="str">
        <f>IFERROR(VLOOKUP(A2384,[3]DOORSCRIEFT!$A$2:$G$6834,4,FALSE),"")</f>
        <v>Biaya sewa mobil ke rumah duka di Tawiri</v>
      </c>
      <c r="F2384" s="405">
        <f>IFERROR(VLOOKUP(A2384,[3]DOORSCRIEFT!$A$2:$G$6834,7,FALSE),"")</f>
        <v>250000</v>
      </c>
      <c r="G2384" s="315"/>
    </row>
    <row r="2385" spans="1:7" x14ac:dyDescent="0.25">
      <c r="A2385" s="496" t="str">
        <f t="shared" si="82"/>
        <v>II.5.1.078</v>
      </c>
      <c r="B2385" s="321">
        <v>8</v>
      </c>
      <c r="C2385" s="339">
        <f>IFERROR(VLOOKUP(A2385,[3]DOORSCRIEFT!$A$2:$G$6834,2,FALSE),"")</f>
        <v>78</v>
      </c>
      <c r="D2385" s="481">
        <f>IFERROR(VLOOKUP(A2385,[3]DOORSCRIEFT!$A$2:$G$6834,3,FALSE),"")</f>
        <v>46040</v>
      </c>
      <c r="E2385" s="480" t="str">
        <f>IFERROR(VLOOKUP(A2385,[3]DOORSCRIEFT!$A$2:$G$6834,4,FALSE),"")</f>
        <v>Belanja Kebaktian Minggu</v>
      </c>
      <c r="F2385" s="405">
        <f>IFERROR(VLOOKUP(A2385,[3]DOORSCRIEFT!$A$2:$G$6834,7,FALSE),"")</f>
        <v>1425000</v>
      </c>
      <c r="G2385" s="315"/>
    </row>
    <row r="2386" spans="1:7" x14ac:dyDescent="0.25">
      <c r="A2386" s="496" t="str">
        <f t="shared" si="82"/>
        <v>II.5.1.079</v>
      </c>
      <c r="B2386" s="321">
        <v>9</v>
      </c>
      <c r="C2386" s="339">
        <f>IFERROR(VLOOKUP(A2386,[3]DOORSCRIEFT!$A$2:$G$6834,2,FALSE),"")</f>
        <v>96</v>
      </c>
      <c r="D2386" s="481">
        <f>IFERROR(VLOOKUP(A2386,[3]DOORSCRIEFT!$A$2:$G$6834,3,FALSE),"")</f>
        <v>46045</v>
      </c>
      <c r="E2386" s="480" t="str">
        <f>IFERROR(VLOOKUP(A2386,[3]DOORSCRIEFT!$A$2:$G$6834,4,FALSE),"")</f>
        <v>Biaya Sewa Mobil ke Rumah sakit Tulehu</v>
      </c>
      <c r="F2386" s="405">
        <f>IFERROR(VLOOKUP(A2386,[3]DOORSCRIEFT!$A$2:$G$6834,7,FALSE),"")</f>
        <v>200000</v>
      </c>
      <c r="G2386" s="315"/>
    </row>
    <row r="2387" spans="1:7" x14ac:dyDescent="0.25">
      <c r="A2387" s="496" t="str">
        <f t="shared" si="82"/>
        <v>II.5.1.0710</v>
      </c>
      <c r="B2387" s="321">
        <v>10</v>
      </c>
      <c r="C2387" s="339">
        <f>IFERROR(VLOOKUP(A2387,[3]DOORSCRIEFT!$A$2:$G$6834,2,FALSE),"")</f>
        <v>109</v>
      </c>
      <c r="D2387" s="481">
        <f>IFERROR(VLOOKUP(A2387,[3]DOORSCRIEFT!$A$2:$G$6834,3,FALSE),"")</f>
        <v>46047</v>
      </c>
      <c r="E2387" s="480" t="str">
        <f>IFERROR(VLOOKUP(A2387,[3]DOORSCRIEFT!$A$2:$G$6834,4,FALSE),"")</f>
        <v>Belanja Kebaktian Minggu</v>
      </c>
      <c r="F2387" s="405">
        <f>IFERROR(VLOOKUP(A2387,[3]DOORSCRIEFT!$A$2:$G$6834,7,FALSE),"")</f>
        <v>2850000</v>
      </c>
      <c r="G2387" s="315"/>
    </row>
    <row r="2388" spans="1:7" x14ac:dyDescent="0.25">
      <c r="A2388" s="496" t="str">
        <f t="shared" si="82"/>
        <v>II.5.1.0711</v>
      </c>
      <c r="B2388" s="321">
        <v>11</v>
      </c>
      <c r="C2388" s="339">
        <f>IFERROR(VLOOKUP(A2388,[3]DOORSCRIEFT!$A$2:$G$6834,2,FALSE),"")</f>
        <v>139</v>
      </c>
      <c r="D2388" s="481">
        <f>IFERROR(VLOOKUP(A2388,[3]DOORSCRIEFT!$A$2:$G$6834,3,FALSE),"")</f>
        <v>46052</v>
      </c>
      <c r="E2388" s="480" t="str">
        <f>IFERROR(VLOOKUP(A2388,[3]DOORSCRIEFT!$A$2:$G$6834,4,FALSE),"")</f>
        <v>transport MJ bulan januari</v>
      </c>
      <c r="F2388" s="405">
        <f>IFERROR(VLOOKUP(A2388,[3]DOORSCRIEFT!$A$2:$G$6834,7,FALSE),"")</f>
        <v>2450000</v>
      </c>
      <c r="G2388" s="315"/>
    </row>
    <row r="2389" spans="1:7" x14ac:dyDescent="0.25">
      <c r="A2389" s="496" t="str">
        <f t="shared" si="82"/>
        <v>II.5.1.0712</v>
      </c>
      <c r="B2389" s="321">
        <v>12</v>
      </c>
      <c r="C2389" s="339">
        <f>IFERROR(VLOOKUP(A2389,[3]DOORSCRIEFT!$A$2:$G$6834,2,FALSE),"")</f>
        <v>143</v>
      </c>
      <c r="D2389" s="481">
        <f>IFERROR(VLOOKUP(A2389,[3]DOORSCRIEFT!$A$2:$G$6834,3,FALSE),"")</f>
        <v>46052</v>
      </c>
      <c r="E2389" s="480" t="str">
        <f>IFERROR(VLOOKUP(A2389,[3]DOORSCRIEFT!$A$2:$G$6834,4,FALSE),"")</f>
        <v>Transport Sound man, Penjaga Kebun dan Pelatih kantoria bulan januari</v>
      </c>
      <c r="F2389" s="405">
        <f>IFERROR(VLOOKUP(A2389,[3]DOORSCRIEFT!$A$2:$G$6834,7,FALSE),"")</f>
        <v>1400000</v>
      </c>
      <c r="G2389" s="315"/>
    </row>
    <row r="2390" spans="1:7" x14ac:dyDescent="0.25">
      <c r="A2390" s="496" t="str">
        <f t="shared" si="82"/>
        <v>II.5.1.0713</v>
      </c>
      <c r="B2390" s="321">
        <v>13</v>
      </c>
      <c r="C2390" s="339">
        <f>IFERROR(VLOOKUP(A2390,[3]DOORSCRIEFT!$A$2:$G$6834,2,FALSE),"")</f>
        <v>148</v>
      </c>
      <c r="D2390" s="481">
        <f>IFERROR(VLOOKUP(A2390,[3]DOORSCRIEFT!$A$2:$G$6834,3,FALSE),"")</f>
        <v>46054</v>
      </c>
      <c r="E2390" s="480" t="str">
        <f>IFERROR(VLOOKUP(A2390,[3]DOORSCRIEFT!$A$2:$G$6834,4,FALSE),"")</f>
        <v>Belanja Kebaktian Minggu</v>
      </c>
      <c r="F2390" s="405">
        <f>IFERROR(VLOOKUP(A2390,[3]DOORSCRIEFT!$A$2:$G$6834,7,FALSE),"")</f>
        <v>1050000</v>
      </c>
      <c r="G2390" s="315"/>
    </row>
    <row r="2391" spans="1:7" x14ac:dyDescent="0.25">
      <c r="A2391" s="496" t="str">
        <f t="shared" si="82"/>
        <v>II.5.1.0714</v>
      </c>
      <c r="B2391" s="321">
        <v>14</v>
      </c>
      <c r="C2391" s="339">
        <f>IFERROR(VLOOKUP(A2391,[3]DOORSCRIEFT!$A$2:$G$6834,2,FALSE),"")</f>
        <v>172</v>
      </c>
      <c r="D2391" s="481">
        <f>IFERROR(VLOOKUP(A2391,[3]DOORSCRIEFT!$A$2:$G$6834,3,FALSE),"")</f>
        <v>46059</v>
      </c>
      <c r="E2391" s="480" t="str">
        <f>IFERROR(VLOOKUP(A2391,[3]DOORSCRIEFT!$A$2:$G$6834,4,FALSE),"")</f>
        <v>Biaya Pelayanan Kebaktian Peresmian Gedung Serbaguna</v>
      </c>
      <c r="F2391" s="405">
        <f>IFERROR(VLOOKUP(A2391,[3]DOORSCRIEFT!$A$2:$G$6834,7,FALSE),"")</f>
        <v>700000</v>
      </c>
      <c r="G2391" s="315"/>
    </row>
    <row r="2392" spans="1:7" x14ac:dyDescent="0.25">
      <c r="A2392" s="496" t="str">
        <f t="shared" si="82"/>
        <v>II.5.1.0715</v>
      </c>
      <c r="B2392" s="321">
        <v>15</v>
      </c>
      <c r="C2392" s="339">
        <f>IFERROR(VLOOKUP(A2392,[3]DOORSCRIEFT!$A$2:$G$6834,2,FALSE),"")</f>
        <v>176</v>
      </c>
      <c r="D2392" s="481">
        <f>IFERROR(VLOOKUP(A2392,[3]DOORSCRIEFT!$A$2:$G$6834,3,FALSE),"")</f>
        <v>46061</v>
      </c>
      <c r="E2392" s="480" t="str">
        <f>IFERROR(VLOOKUP(A2392,[3]DOORSCRIEFT!$A$2:$G$6834,4,FALSE),"")</f>
        <v>Belanja Kebaktian Minggu</v>
      </c>
      <c r="F2392" s="405">
        <f>IFERROR(VLOOKUP(A2392,[3]DOORSCRIEFT!$A$2:$G$6834,7,FALSE),"")</f>
        <v>1800000</v>
      </c>
      <c r="G2392" s="315"/>
    </row>
    <row r="2393" spans="1:7" x14ac:dyDescent="0.25">
      <c r="A2393" s="496" t="str">
        <f t="shared" si="82"/>
        <v>II.5.1.0716</v>
      </c>
      <c r="B2393" s="321">
        <v>16</v>
      </c>
      <c r="C2393" s="339">
        <f>IFERROR(VLOOKUP(A2393,[3]DOORSCRIEFT!$A$2:$G$6834,2,FALSE),"")</f>
        <v>178</v>
      </c>
      <c r="D2393" s="481">
        <f>IFERROR(VLOOKUP(A2393,[3]DOORSCRIEFT!$A$2:$G$6834,3,FALSE),"")</f>
        <v>46061</v>
      </c>
      <c r="E2393" s="480" t="str">
        <f>IFERROR(VLOOKUP(A2393,[3]DOORSCRIEFT!$A$2:$G$6834,4,FALSE),"")</f>
        <v>Sumbangan Pelayanan Baptis Kel. Suitela</v>
      </c>
      <c r="F2393" s="405">
        <f>IFERROR(VLOOKUP(A2393,[3]DOORSCRIEFT!$A$2:$G$6834,7,FALSE),"")</f>
        <v>200000</v>
      </c>
      <c r="G2393" s="315"/>
    </row>
    <row r="2394" spans="1:7" x14ac:dyDescent="0.25">
      <c r="A2394" s="496" t="str">
        <f t="shared" si="82"/>
        <v>II.5.1.0717</v>
      </c>
      <c r="B2394" s="321">
        <v>17</v>
      </c>
      <c r="C2394" s="339">
        <f>IFERROR(VLOOKUP(A2394,[3]DOORSCRIEFT!$A$2:$G$6834,2,FALSE),"")</f>
        <v>186</v>
      </c>
      <c r="D2394" s="481">
        <f>IFERROR(VLOOKUP(A2394,[3]DOORSCRIEFT!$A$2:$G$6834,3,FALSE),"")</f>
        <v>46061</v>
      </c>
      <c r="E2394" s="480" t="str">
        <f>IFERROR(VLOOKUP(A2394,[3]DOORSCRIEFT!$A$2:$G$6834,4,FALSE),"")</f>
        <v>Biaya sewa mobil untuk pelayanan Baptis</v>
      </c>
      <c r="F2394" s="405">
        <f>IFERROR(VLOOKUP(A2394,[3]DOORSCRIEFT!$A$2:$G$6834,7,FALSE),"")</f>
        <v>100000</v>
      </c>
      <c r="G2394" s="315"/>
    </row>
    <row r="2395" spans="1:7" x14ac:dyDescent="0.25">
      <c r="A2395" s="496" t="str">
        <f t="shared" si="82"/>
        <v>II.5.1.0718</v>
      </c>
      <c r="B2395" s="321">
        <v>18</v>
      </c>
      <c r="C2395" s="339">
        <f>IFERROR(VLOOKUP(A2395,[3]DOORSCRIEFT!$A$2:$G$6834,2,FALSE),"")</f>
        <v>201</v>
      </c>
      <c r="D2395" s="481">
        <f>IFERROR(VLOOKUP(A2395,[3]DOORSCRIEFT!$A$2:$G$6834,3,FALSE),"")</f>
        <v>46068</v>
      </c>
      <c r="E2395" s="480" t="str">
        <f>IFERROR(VLOOKUP(A2395,[3]DOORSCRIEFT!$A$2:$G$6834,4,FALSE),"")</f>
        <v>Belanja Kebaktian Minggu</v>
      </c>
      <c r="F2395" s="405">
        <f>IFERROR(VLOOKUP(A2395,[3]DOORSCRIEFT!$A$2:$G$6834,7,FALSE),"")</f>
        <v>1525000</v>
      </c>
      <c r="G2395" s="315"/>
    </row>
    <row r="2396" spans="1:7" x14ac:dyDescent="0.25">
      <c r="A2396" s="496" t="str">
        <f t="shared" si="82"/>
        <v>II.5.1.0719</v>
      </c>
      <c r="B2396" s="321">
        <v>19</v>
      </c>
      <c r="C2396" s="339">
        <f>IFERROR(VLOOKUP(A2396,[3]DOORSCRIEFT!$A$2:$G$6834,2,FALSE),"")</f>
        <v>238</v>
      </c>
      <c r="D2396" s="481">
        <f>IFERROR(VLOOKUP(A2396,[3]DOORSCRIEFT!$A$2:$G$6834,3,FALSE),"")</f>
        <v>46075</v>
      </c>
      <c r="E2396" s="480" t="str">
        <f>IFERROR(VLOOKUP(A2396,[3]DOORSCRIEFT!$A$2:$G$6834,4,FALSE),"")</f>
        <v>Belanja Kebaktian Minggu</v>
      </c>
      <c r="F2396" s="405">
        <f>IFERROR(VLOOKUP(A2396,[3]DOORSCRIEFT!$A$2:$G$6834,7,FALSE),"")</f>
        <v>3225000</v>
      </c>
      <c r="G2396" s="315"/>
    </row>
    <row r="2397" spans="1:7" x14ac:dyDescent="0.25">
      <c r="A2397" s="496" t="str">
        <f t="shared" si="82"/>
        <v>II.5.1.0720</v>
      </c>
      <c r="B2397" s="321">
        <v>20</v>
      </c>
      <c r="C2397" s="339">
        <f>IFERROR(VLOOKUP(A2397,[3]DOORSCRIEFT!$A$2:$G$6834,2,FALSE),"")</f>
        <v>247</v>
      </c>
      <c r="D2397" s="481">
        <f>IFERROR(VLOOKUP(A2397,[3]DOORSCRIEFT!$A$2:$G$6834,3,FALSE),"")</f>
        <v>46075</v>
      </c>
      <c r="E2397" s="480" t="str">
        <f>IFERROR(VLOOKUP(A2397,[3]DOORSCRIEFT!$A$2:$G$6834,4,FALSE),"")</f>
        <v>Belanja Kebaktian Minggu</v>
      </c>
      <c r="F2397" s="405">
        <f>IFERROR(VLOOKUP(A2397,[3]DOORSCRIEFT!$A$2:$G$6834,7,FALSE),"")</f>
        <v>1100000</v>
      </c>
      <c r="G2397" s="315"/>
    </row>
    <row r="2398" spans="1:7" x14ac:dyDescent="0.25">
      <c r="A2398" s="496" t="str">
        <f t="shared" si="82"/>
        <v>II.5.1.0721</v>
      </c>
      <c r="B2398" s="321">
        <v>21</v>
      </c>
      <c r="C2398" s="339">
        <f>IFERROR(VLOOKUP(A2398,[3]DOORSCRIEFT!$A$2:$G$6834,2,FALSE),"")</f>
        <v>272</v>
      </c>
      <c r="D2398" s="481">
        <f>IFERROR(VLOOKUP(A2398,[3]DOORSCRIEFT!$A$2:$G$6834,3,FALSE),"")</f>
        <v>46082</v>
      </c>
      <c r="E2398" s="480" t="str">
        <f>IFERROR(VLOOKUP(A2398,[3]DOORSCRIEFT!$A$2:$G$6834,4,FALSE),"")</f>
        <v>Biaya Kebaktian Minggu</v>
      </c>
      <c r="F2398" s="405">
        <f>IFERROR(VLOOKUP(A2398,[3]DOORSCRIEFT!$A$2:$G$6834,7,FALSE),"")</f>
        <v>1150000</v>
      </c>
      <c r="G2398" s="315"/>
    </row>
    <row r="2399" spans="1:7" x14ac:dyDescent="0.25">
      <c r="A2399" s="496" t="str">
        <f t="shared" si="82"/>
        <v>II.5.1.0722</v>
      </c>
      <c r="B2399" s="321">
        <v>22</v>
      </c>
      <c r="C2399" s="339">
        <f>IFERROR(VLOOKUP(A2399,[3]DOORSCRIEFT!$A$2:$G$6834,2,FALSE),"")</f>
        <v>273</v>
      </c>
      <c r="D2399" s="481">
        <f>IFERROR(VLOOKUP(A2399,[3]DOORSCRIEFT!$A$2:$G$6834,3,FALSE),"")</f>
        <v>46082</v>
      </c>
      <c r="E2399" s="480" t="str">
        <f>IFERROR(VLOOKUP(A2399,[3]DOORSCRIEFT!$A$2:$G$6834,4,FALSE),"")</f>
        <v>Transport Pelayanan Pendeta Kekunjungan selama 3 hari</v>
      </c>
      <c r="F2399" s="405">
        <f>IFERROR(VLOOKUP(A2399,[3]DOORSCRIEFT!$A$2:$G$6834,7,FALSE),"")</f>
        <v>2400000</v>
      </c>
      <c r="G2399" s="315"/>
    </row>
    <row r="2400" spans="1:7" x14ac:dyDescent="0.25">
      <c r="A2400" s="496" t="str">
        <f t="shared" si="82"/>
        <v>II.5.1.0723</v>
      </c>
      <c r="B2400" s="321">
        <v>23</v>
      </c>
      <c r="C2400" s="339">
        <f>IFERROR(VLOOKUP(A2400,[3]DOORSCRIEFT!$A$2:$G$6834,2,FALSE),"")</f>
        <v>280</v>
      </c>
      <c r="D2400" s="481">
        <f>IFERROR(VLOOKUP(A2400,[3]DOORSCRIEFT!$A$2:$G$6834,3,FALSE),"")</f>
        <v>46082</v>
      </c>
      <c r="E2400" s="480" t="str">
        <f>IFERROR(VLOOKUP(A2400,[3]DOORSCRIEFT!$A$2:$G$6834,4,FALSE),"")</f>
        <v>Biaya sewa mobil pelayanan orang sakit</v>
      </c>
      <c r="F2400" s="405">
        <f>IFERROR(VLOOKUP(A2400,[3]DOORSCRIEFT!$A$2:$G$6834,7,FALSE),"")</f>
        <v>250000</v>
      </c>
      <c r="G2400" s="315"/>
    </row>
    <row r="2401" spans="1:7" x14ac:dyDescent="0.25">
      <c r="A2401" s="496" t="str">
        <f t="shared" si="82"/>
        <v>II.5.1.0724</v>
      </c>
      <c r="B2401" s="321">
        <v>24</v>
      </c>
      <c r="C2401" s="339">
        <f>IFERROR(VLOOKUP(A2401,[3]DOORSCRIEFT!$A$2:$G$6834,2,FALSE),"")</f>
        <v>281</v>
      </c>
      <c r="D2401" s="481">
        <f>IFERROR(VLOOKUP(A2401,[3]DOORSCRIEFT!$A$2:$G$6834,3,FALSE),"")</f>
        <v>46082</v>
      </c>
      <c r="E2401" s="480" t="str">
        <f>IFERROR(VLOOKUP(A2401,[3]DOORSCRIEFT!$A$2:$G$6834,4,FALSE),"")</f>
        <v>Biaya sewa mobil pe;ayanan kekunjungan</v>
      </c>
      <c r="F2401" s="405">
        <f>IFERROR(VLOOKUP(A2401,[3]DOORSCRIEFT!$A$2:$G$6834,7,FALSE),"")</f>
        <v>100000</v>
      </c>
      <c r="G2401" s="315"/>
    </row>
    <row r="2402" spans="1:7" x14ac:dyDescent="0.25">
      <c r="A2402" s="496" t="str">
        <f t="shared" si="82"/>
        <v>II.5.1.0725</v>
      </c>
      <c r="B2402" s="321">
        <v>25</v>
      </c>
      <c r="C2402" s="339">
        <f>IFERROR(VLOOKUP(A2402,[3]DOORSCRIEFT!$A$2:$G$6834,2,FALSE),"")</f>
        <v>282</v>
      </c>
      <c r="D2402" s="481">
        <f>IFERROR(VLOOKUP(A2402,[3]DOORSCRIEFT!$A$2:$G$6834,3,FALSE),"")</f>
        <v>46082</v>
      </c>
      <c r="E2402" s="480" t="str">
        <f>IFERROR(VLOOKUP(A2402,[3]DOORSCRIEFT!$A$2:$G$6834,4,FALSE),"")</f>
        <v>Biaya sewa mobil pelayanan kekunjungan</v>
      </c>
      <c r="F2402" s="405">
        <f>IFERROR(VLOOKUP(A2402,[3]DOORSCRIEFT!$A$2:$G$6834,7,FALSE),"")</f>
        <v>800000</v>
      </c>
      <c r="G2402" s="315"/>
    </row>
    <row r="2403" spans="1:7" x14ac:dyDescent="0.25">
      <c r="A2403" s="496" t="str">
        <f t="shared" si="82"/>
        <v>II.5.1.0726</v>
      </c>
      <c r="B2403" s="321">
        <v>26</v>
      </c>
      <c r="C2403" s="339">
        <f>IFERROR(VLOOKUP(A2403,[3]DOORSCRIEFT!$A$2:$G$6834,2,FALSE),"")</f>
        <v>305</v>
      </c>
      <c r="D2403" s="481">
        <f>IFERROR(VLOOKUP(A2403,[3]DOORSCRIEFT!$A$2:$G$6834,3,FALSE),"")</f>
        <v>46089</v>
      </c>
      <c r="E2403" s="480" t="str">
        <f>IFERROR(VLOOKUP(A2403,[3]DOORSCRIEFT!$A$2:$G$6834,4,FALSE),"")</f>
        <v>Belanja Kebaktian Minggu</v>
      </c>
      <c r="F2403" s="405">
        <f>IFERROR(VLOOKUP(A2403,[3]DOORSCRIEFT!$A$2:$G$6834,7,FALSE),"")</f>
        <v>2500000</v>
      </c>
      <c r="G2403" s="315"/>
    </row>
    <row r="2404" spans="1:7" x14ac:dyDescent="0.25">
      <c r="A2404" s="496" t="str">
        <f t="shared" si="82"/>
        <v>II.5.1.0727</v>
      </c>
      <c r="B2404" s="321">
        <v>27</v>
      </c>
      <c r="C2404" s="339">
        <f>IFERROR(VLOOKUP(A2404,[3]DOORSCRIEFT!$A$2:$G$6834,2,FALSE),"")</f>
        <v>306</v>
      </c>
      <c r="D2404" s="481">
        <f>IFERROR(VLOOKUP(A2404,[3]DOORSCRIEFT!$A$2:$G$6834,3,FALSE),"")</f>
        <v>46089</v>
      </c>
      <c r="E2404" s="480" t="str">
        <f>IFERROR(VLOOKUP(A2404,[3]DOORSCRIEFT!$A$2:$G$6834,4,FALSE),"")</f>
        <v>Transport Pelayanan Kekunjungan</v>
      </c>
      <c r="F2404" s="405">
        <f>IFERROR(VLOOKUP(A2404,[3]DOORSCRIEFT!$A$2:$G$6834,7,FALSE),"")</f>
        <v>600000</v>
      </c>
      <c r="G2404" s="499"/>
    </row>
    <row r="2405" spans="1:7" x14ac:dyDescent="0.25">
      <c r="A2405" s="496" t="str">
        <f t="shared" si="82"/>
        <v>II.5.1.0728</v>
      </c>
      <c r="B2405" s="321">
        <v>28</v>
      </c>
      <c r="C2405" s="339">
        <f>IFERROR(VLOOKUP(A2405,[3]DOORSCRIEFT!$A$2:$G$6834,2,FALSE),"")</f>
        <v>361</v>
      </c>
      <c r="D2405" s="481">
        <f>IFERROR(VLOOKUP(A2405,[3]DOORSCRIEFT!$A$2:$G$6834,3,FALSE),"")</f>
        <v>50114</v>
      </c>
      <c r="E2405" s="480" t="str">
        <f>IFERROR(VLOOKUP(A2405,[3]DOORSCRIEFT!$A$2:$G$6834,4,FALSE),"")</f>
        <v>Belanja Kebaktian Minggu</v>
      </c>
      <c r="F2405" s="405">
        <f>IFERROR(VLOOKUP(A2405,[3]DOORSCRIEFT!$A$2:$G$6834,7,FALSE),"")</f>
        <v>2050000</v>
      </c>
      <c r="G2405" s="315"/>
    </row>
    <row r="2406" spans="1:7" x14ac:dyDescent="0.25">
      <c r="A2406" s="496" t="str">
        <f t="shared" si="82"/>
        <v>II.5.1.0729</v>
      </c>
      <c r="B2406" s="321">
        <v>29</v>
      </c>
      <c r="C2406" s="339">
        <f>IFERROR(VLOOKUP(A2406,[3]DOORSCRIEFT!$A$2:$G$6834,2,FALSE),"")</f>
        <v>378</v>
      </c>
      <c r="D2406" s="481">
        <f>IFERROR(VLOOKUP(A2406,[3]DOORSCRIEFT!$A$2:$G$6834,3,FALSE),"")</f>
        <v>56323</v>
      </c>
      <c r="E2406" s="480" t="str">
        <f>IFERROR(VLOOKUP(A2406,[3]DOORSCRIEFT!$A$2:$G$6834,4,FALSE),"")</f>
        <v>Sewa 2 mobil untuk pelayanan Rumah sakit</v>
      </c>
      <c r="F2406" s="405">
        <f>IFERROR(VLOOKUP(A2406,[3]DOORSCRIEFT!$A$2:$G$6834,7,FALSE),"")</f>
        <v>500000</v>
      </c>
      <c r="G2406" s="315"/>
    </row>
    <row r="2407" spans="1:7" x14ac:dyDescent="0.25">
      <c r="A2407" s="496" t="str">
        <f t="shared" si="82"/>
        <v>II.5.1.0730</v>
      </c>
      <c r="B2407" s="321">
        <v>30</v>
      </c>
      <c r="C2407" s="339">
        <f>IFERROR(VLOOKUP(A2407,[3]DOORSCRIEFT!$A$2:$G$6834,2,FALSE),"")</f>
        <v>398</v>
      </c>
      <c r="D2407" s="481">
        <f>IFERROR(VLOOKUP(A2407,[3]DOORSCRIEFT!$A$2:$G$6834,3,FALSE),"")</f>
        <v>46103</v>
      </c>
      <c r="E2407" s="480" t="str">
        <f>IFERROR(VLOOKUP(A2407,[3]DOORSCRIEFT!$A$2:$G$6834,4,FALSE),"")</f>
        <v>Belanja Kebaktian Minggu dan Non Minggu</v>
      </c>
      <c r="F2407" s="405">
        <f>IFERROR(VLOOKUP(A2407,[3]DOORSCRIEFT!$A$2:$G$6834,7,FALSE),"")</f>
        <v>3400000</v>
      </c>
      <c r="G2407" s="315"/>
    </row>
    <row r="2408" spans="1:7" x14ac:dyDescent="0.25">
      <c r="A2408" s="496" t="str">
        <f t="shared" si="82"/>
        <v>II.5.1.0731</v>
      </c>
      <c r="B2408" s="321">
        <v>31</v>
      </c>
      <c r="C2408" s="339">
        <f>IFERROR(VLOOKUP(A2408,[3]DOORSCRIEFT!$A$2:$G$6834,2,FALSE),"")</f>
        <v>402</v>
      </c>
      <c r="D2408" s="481">
        <f>IFERROR(VLOOKUP(A2408,[3]DOORSCRIEFT!$A$2:$G$6834,3,FALSE),"")</f>
        <v>46103</v>
      </c>
      <c r="E2408" s="480" t="str">
        <f>IFERROR(VLOOKUP(A2408,[3]DOORSCRIEFT!$A$2:$G$6834,4,FALSE),"")</f>
        <v>Transport MJ bulan Februari</v>
      </c>
      <c r="F2408" s="405">
        <f>IFERROR(VLOOKUP(A2408,[3]DOORSCRIEFT!$A$2:$G$6834,7,FALSE),"")</f>
        <v>2450000</v>
      </c>
      <c r="G2408" s="315"/>
    </row>
    <row r="2409" spans="1:7" x14ac:dyDescent="0.25">
      <c r="A2409" s="496" t="str">
        <f t="shared" si="82"/>
        <v>II.5.1.0732</v>
      </c>
      <c r="B2409" s="321">
        <v>32</v>
      </c>
      <c r="C2409" s="339">
        <f>IFERROR(VLOOKUP(A2409,[3]DOORSCRIEFT!$A$2:$G$6834,2,FALSE),"")</f>
        <v>406</v>
      </c>
      <c r="D2409" s="481">
        <f>IFERROR(VLOOKUP(A2409,[3]DOORSCRIEFT!$A$2:$G$6834,3,FALSE),"")</f>
        <v>46103</v>
      </c>
      <c r="E2409" s="480" t="str">
        <f>IFERROR(VLOOKUP(A2409,[3]DOORSCRIEFT!$A$2:$G$6834,4,FALSE),"")</f>
        <v>Bayar transport Soundman, Pelatih Kantoria dan Kebun Jemaat bulan Februari</v>
      </c>
      <c r="F2409" s="405">
        <f>IFERROR(VLOOKUP(A2409,[3]DOORSCRIEFT!$A$2:$G$6834,7,FALSE),"")</f>
        <v>1100000</v>
      </c>
      <c r="G2409" s="315"/>
    </row>
    <row r="2410" spans="1:7" x14ac:dyDescent="0.25">
      <c r="A2410" s="496" t="str">
        <f t="shared" ref="A2410:A2441" si="83">$G$2371&amp;B2410</f>
        <v>II.5.1.0733</v>
      </c>
      <c r="B2410" s="321">
        <v>33</v>
      </c>
      <c r="C2410" s="339">
        <f>IFERROR(VLOOKUP(A2410,[3]DOORSCRIEFT!$A$2:$G$6834,2,FALSE),"")</f>
        <v>416</v>
      </c>
      <c r="D2410" s="481">
        <f>IFERROR(VLOOKUP(A2410,[3]DOORSCRIEFT!$A$2:$G$6834,3,FALSE),"")</f>
        <v>46103</v>
      </c>
      <c r="E2410" s="480" t="str">
        <f>IFERROR(VLOOKUP(A2410,[3]DOORSCRIEFT!$A$2:$G$6834,4,FALSE),"")</f>
        <v>Belanja bahan bahan Perjamuan</v>
      </c>
      <c r="F2410" s="405">
        <f>IFERROR(VLOOKUP(A2410,[3]DOORSCRIEFT!$A$2:$G$6834,7,FALSE),"")</f>
        <v>4700000</v>
      </c>
      <c r="G2410" s="315"/>
    </row>
    <row r="2411" spans="1:7" x14ac:dyDescent="0.25">
      <c r="A2411" s="496" t="str">
        <f t="shared" si="83"/>
        <v>II.5.1.0734</v>
      </c>
      <c r="B2411" s="321">
        <v>34</v>
      </c>
      <c r="C2411" s="339">
        <f>IFERROR(VLOOKUP(A2411,[3]DOORSCRIEFT!$A$2:$G$6834,2,FALSE),"")</f>
        <v>417</v>
      </c>
      <c r="D2411" s="481">
        <f>IFERROR(VLOOKUP(A2411,[3]DOORSCRIEFT!$A$2:$G$6834,3,FALSE),"")</f>
        <v>46103</v>
      </c>
      <c r="E2411" s="480" t="str">
        <f>IFERROR(VLOOKUP(A2411,[3]DOORSCRIEFT!$A$2:$G$6834,4,FALSE),"")</f>
        <v>Biaya sewa mobil pelayanan rumah sakit</v>
      </c>
      <c r="F2411" s="405">
        <f>IFERROR(VLOOKUP(A2411,[3]DOORSCRIEFT!$A$2:$G$6834,7,FALSE),"")</f>
        <v>250000</v>
      </c>
      <c r="G2411" s="315"/>
    </row>
    <row r="2412" spans="1:7" x14ac:dyDescent="0.25">
      <c r="A2412" s="496" t="str">
        <f t="shared" si="83"/>
        <v>II.5.1.0735</v>
      </c>
      <c r="B2412" s="321">
        <v>35</v>
      </c>
      <c r="C2412" s="339">
        <f>IFERROR(VLOOKUP(A2412,[3]DOORSCRIEFT!$A$2:$G$6834,2,FALSE),"")</f>
        <v>449</v>
      </c>
      <c r="D2412" s="481">
        <f>IFERROR(VLOOKUP(A2412,[3]DOORSCRIEFT!$A$2:$G$6834,3,FALSE),"")</f>
        <v>46110</v>
      </c>
      <c r="E2412" s="480" t="str">
        <f>IFERROR(VLOOKUP(A2412,[3]DOORSCRIEFT!$A$2:$G$6834,4,FALSE),"")</f>
        <v>Bayar transport MJ bulan Maret</v>
      </c>
      <c r="F2412" s="405">
        <f>IFERROR(VLOOKUP(A2412,[3]DOORSCRIEFT!$A$2:$G$6834,7,FALSE),"")</f>
        <v>2450000</v>
      </c>
      <c r="G2412" s="315"/>
    </row>
    <row r="2413" spans="1:7" x14ac:dyDescent="0.25">
      <c r="A2413" s="496" t="str">
        <f t="shared" si="83"/>
        <v>II.5.1.0736</v>
      </c>
      <c r="B2413" s="321">
        <v>36</v>
      </c>
      <c r="C2413" s="339">
        <f>IFERROR(VLOOKUP(A2413,[3]DOORSCRIEFT!$A$2:$G$6834,2,FALSE),"")</f>
        <v>452</v>
      </c>
      <c r="D2413" s="481">
        <f>IFERROR(VLOOKUP(A2413,[3]DOORSCRIEFT!$A$2:$G$6834,3,FALSE),"")</f>
        <v>46110</v>
      </c>
      <c r="E2413" s="480" t="str">
        <f>IFERROR(VLOOKUP(A2413,[3]DOORSCRIEFT!$A$2:$G$6834,4,FALSE),"")</f>
        <v>Transport Pelatih Kantoria dan penjaga kebun bulan maret</v>
      </c>
      <c r="F2413" s="405">
        <f>IFERROR(VLOOKUP(A2413,[3]DOORSCRIEFT!$A$2:$G$6834,7,FALSE),"")</f>
        <v>500000</v>
      </c>
      <c r="G2413" s="315"/>
    </row>
    <row r="2414" spans="1:7" x14ac:dyDescent="0.25">
      <c r="A2414" s="496" t="str">
        <f t="shared" si="83"/>
        <v>II.5.1.0737</v>
      </c>
      <c r="B2414" s="321">
        <v>37</v>
      </c>
      <c r="C2414" s="339">
        <f>IFERROR(VLOOKUP(A2414,[3]DOORSCRIEFT!$A$2:$G$6834,2,FALSE),"")</f>
        <v>458</v>
      </c>
      <c r="D2414" s="481">
        <f>IFERROR(VLOOKUP(A2414,[3]DOORSCRIEFT!$A$2:$G$6834,3,FALSE),"")</f>
        <v>46110</v>
      </c>
      <c r="E2414" s="480" t="str">
        <f>IFERROR(VLOOKUP(A2414,[3]DOORSCRIEFT!$A$2:$G$6834,4,FALSE),"")</f>
        <v>Biaya sewa tenda untuk kebaktian peneguhan sidi</v>
      </c>
      <c r="F2414" s="405">
        <f>IFERROR(VLOOKUP(A2414,[3]DOORSCRIEFT!$A$2:$G$6834,7,FALSE),"")</f>
        <v>1000000</v>
      </c>
      <c r="G2414" s="315"/>
    </row>
    <row r="2415" spans="1:7" x14ac:dyDescent="0.25">
      <c r="A2415" s="496" t="str">
        <f t="shared" si="83"/>
        <v>II.5.1.0738</v>
      </c>
      <c r="B2415" s="321">
        <v>38</v>
      </c>
      <c r="C2415" s="339">
        <f>IFERROR(VLOOKUP(A2415,[3]DOORSCRIEFT!$A$2:$G$6834,2,FALSE),"")</f>
        <v>459</v>
      </c>
      <c r="D2415" s="481">
        <f>IFERROR(VLOOKUP(A2415,[3]DOORSCRIEFT!$A$2:$G$6834,3,FALSE),"")</f>
        <v>46110</v>
      </c>
      <c r="E2415" s="480" t="str">
        <f>IFERROR(VLOOKUP(A2415,[3]DOORSCRIEFT!$A$2:$G$6834,4,FALSE),"")</f>
        <v>Biaya sewa 2 mobil untuk pelayanan sidi</v>
      </c>
      <c r="F2415" s="405">
        <f>IFERROR(VLOOKUP(A2415,[3]DOORSCRIEFT!$A$2:$G$6834,7,FALSE),"")</f>
        <v>600000</v>
      </c>
      <c r="G2415" s="315"/>
    </row>
    <row r="2416" spans="1:7" x14ac:dyDescent="0.25">
      <c r="A2416" s="496" t="str">
        <f t="shared" si="83"/>
        <v>II.5.1.0739</v>
      </c>
      <c r="B2416" s="321">
        <v>39</v>
      </c>
      <c r="C2416" s="339">
        <f>IFERROR(VLOOKUP(A2416,[3]DOORSCRIEFT!$A$2:$G$6834,2,FALSE),"")</f>
        <v>461</v>
      </c>
      <c r="D2416" s="481">
        <f>IFERROR(VLOOKUP(A2416,[3]DOORSCRIEFT!$A$2:$G$6834,3,FALSE),"")</f>
        <v>46110</v>
      </c>
      <c r="E2416" s="480" t="str">
        <f>IFERROR(VLOOKUP(A2416,[3]DOORSCRIEFT!$A$2:$G$6834,4,FALSE),"")</f>
        <v>Biaya Snack Kebaktian Minggu</v>
      </c>
      <c r="F2416" s="405">
        <f>IFERROR(VLOOKUP(A2416,[3]DOORSCRIEFT!$A$2:$G$6834,7,FALSE),"")</f>
        <v>250000</v>
      </c>
      <c r="G2416" s="315"/>
    </row>
    <row r="2417" spans="1:7" x14ac:dyDescent="0.25">
      <c r="A2417" s="496" t="str">
        <f t="shared" si="83"/>
        <v>II.5.1.0740</v>
      </c>
      <c r="B2417" s="321">
        <v>40</v>
      </c>
      <c r="C2417" s="339">
        <f>IFERROR(VLOOKUP(A2417,[3]DOORSCRIEFT!$A$2:$G$6834,2,FALSE),"")</f>
        <v>467</v>
      </c>
      <c r="D2417" s="481">
        <f>IFERROR(VLOOKUP(A2417,[3]DOORSCRIEFT!$A$2:$G$6834,3,FALSE),"")</f>
        <v>46115</v>
      </c>
      <c r="E2417" s="480">
        <f>IFERROR(VLOOKUP(A2417,[3]DOORSCRIEFT!$A$2:$G$6834,4,FALSE),"")</f>
        <v>0</v>
      </c>
      <c r="F2417" s="405">
        <f>IFERROR(VLOOKUP(A2417,[3]DOORSCRIEFT!$A$2:$G$6834,7,FALSE),"")</f>
        <v>7950000</v>
      </c>
      <c r="G2417" s="315"/>
    </row>
    <row r="2418" spans="1:7" x14ac:dyDescent="0.25">
      <c r="A2418" s="496" t="str">
        <f t="shared" si="83"/>
        <v>II.5.1.0741</v>
      </c>
      <c r="B2418" s="321">
        <v>41</v>
      </c>
      <c r="C2418" s="339" t="str">
        <f>IFERROR(VLOOKUP(A2418,[3]DOORSCRIEFT!$A$2:$G$6834,2,FALSE),"")</f>
        <v/>
      </c>
      <c r="D2418" s="481" t="str">
        <f>IFERROR(VLOOKUP(A2418,[3]DOORSCRIEFT!$A$2:$G$6834,3,FALSE),"")</f>
        <v/>
      </c>
      <c r="E2418" s="480" t="str">
        <f>IFERROR(VLOOKUP(A2418,[3]DOORSCRIEFT!$A$2:$G$6834,4,FALSE),"")</f>
        <v/>
      </c>
      <c r="F2418" s="405" t="str">
        <f>IFERROR(VLOOKUP(A2418,[3]DOORSCRIEFT!$A$2:$G$6834,7,FALSE),"")</f>
        <v/>
      </c>
      <c r="G2418" s="315"/>
    </row>
    <row r="2419" spans="1:7" x14ac:dyDescent="0.25">
      <c r="A2419" s="496" t="str">
        <f t="shared" si="83"/>
        <v>II.5.1.0742</v>
      </c>
      <c r="B2419" s="321">
        <v>42</v>
      </c>
      <c r="C2419" s="339" t="str">
        <f>IFERROR(VLOOKUP(A2419,[3]DOORSCRIEFT!$A$2:$G$6834,2,FALSE),"")</f>
        <v/>
      </c>
      <c r="D2419" s="481" t="str">
        <f>IFERROR(VLOOKUP(A2419,[3]DOORSCRIEFT!$A$2:$G$6834,3,FALSE),"")</f>
        <v/>
      </c>
      <c r="E2419" s="480" t="str">
        <f>IFERROR(VLOOKUP(A2419,[3]DOORSCRIEFT!$A$2:$G$6834,4,FALSE),"")</f>
        <v/>
      </c>
      <c r="F2419" s="405" t="str">
        <f>IFERROR(VLOOKUP(A2419,[3]DOORSCRIEFT!$A$2:$G$6834,7,FALSE),"")</f>
        <v/>
      </c>
      <c r="G2419" s="315"/>
    </row>
    <row r="2420" spans="1:7" x14ac:dyDescent="0.25">
      <c r="A2420" s="496" t="str">
        <f t="shared" si="83"/>
        <v>II.5.1.0743</v>
      </c>
      <c r="B2420" s="321">
        <v>43</v>
      </c>
      <c r="C2420" s="339" t="str">
        <f>IFERROR(VLOOKUP(A2420,[3]DOORSCRIEFT!$A$2:$G$6834,2,FALSE),"")</f>
        <v/>
      </c>
      <c r="D2420" s="481" t="str">
        <f>IFERROR(VLOOKUP(A2420,[3]DOORSCRIEFT!$A$2:$G$6834,3,FALSE),"")</f>
        <v/>
      </c>
      <c r="E2420" s="480" t="str">
        <f>IFERROR(VLOOKUP(A2420,[3]DOORSCRIEFT!$A$2:$G$6834,4,FALSE),"")</f>
        <v/>
      </c>
      <c r="F2420" s="405" t="str">
        <f>IFERROR(VLOOKUP(A2420,[3]DOORSCRIEFT!$A$2:$G$6834,7,FALSE),"")</f>
        <v/>
      </c>
      <c r="G2420" s="315"/>
    </row>
    <row r="2421" spans="1:7" x14ac:dyDescent="0.25">
      <c r="A2421" s="496" t="str">
        <f t="shared" si="83"/>
        <v>II.5.1.0744</v>
      </c>
      <c r="B2421" s="321">
        <v>44</v>
      </c>
      <c r="C2421" s="339" t="str">
        <f>IFERROR(VLOOKUP(A2421,[3]DOORSCRIEFT!$A$2:$G$6834,2,FALSE),"")</f>
        <v/>
      </c>
      <c r="D2421" s="481" t="str">
        <f>IFERROR(VLOOKUP(A2421,[3]DOORSCRIEFT!$A$2:$G$6834,3,FALSE),"")</f>
        <v/>
      </c>
      <c r="E2421" s="480" t="str">
        <f>IFERROR(VLOOKUP(A2421,[3]DOORSCRIEFT!$A$2:$G$6834,4,FALSE),"")</f>
        <v/>
      </c>
      <c r="F2421" s="405" t="str">
        <f>IFERROR(VLOOKUP(A2421,[3]DOORSCRIEFT!$A$2:$G$6834,7,FALSE),"")</f>
        <v/>
      </c>
      <c r="G2421" s="315"/>
    </row>
    <row r="2422" spans="1:7" x14ac:dyDescent="0.25">
      <c r="A2422" s="496" t="str">
        <f t="shared" si="83"/>
        <v>II.5.1.0745</v>
      </c>
      <c r="B2422" s="321">
        <v>45</v>
      </c>
      <c r="C2422" s="339" t="str">
        <f>IFERROR(VLOOKUP(A2422,[3]DOORSCRIEFT!$A$2:$G$6834,2,FALSE),"")</f>
        <v/>
      </c>
      <c r="D2422" s="481" t="str">
        <f>IFERROR(VLOOKUP(A2422,[3]DOORSCRIEFT!$A$2:$G$6834,3,FALSE),"")</f>
        <v/>
      </c>
      <c r="E2422" s="480" t="str">
        <f>IFERROR(VLOOKUP(A2422,[3]DOORSCRIEFT!$A$2:$G$6834,4,FALSE),"")</f>
        <v/>
      </c>
      <c r="F2422" s="405" t="str">
        <f>IFERROR(VLOOKUP(A2422,[3]DOORSCRIEFT!$A$2:$G$6834,7,FALSE),"")</f>
        <v/>
      </c>
      <c r="G2422" s="315"/>
    </row>
    <row r="2423" spans="1:7" x14ac:dyDescent="0.25">
      <c r="A2423" s="496" t="str">
        <f t="shared" si="83"/>
        <v>II.5.1.0746</v>
      </c>
      <c r="B2423" s="321">
        <v>46</v>
      </c>
      <c r="C2423" s="339" t="str">
        <f>IFERROR(VLOOKUP(A2423,[3]DOORSCRIEFT!$A$2:$G$6834,2,FALSE),"")</f>
        <v/>
      </c>
      <c r="D2423" s="481" t="str">
        <f>IFERROR(VLOOKUP(A2423,[3]DOORSCRIEFT!$A$2:$G$6834,3,FALSE),"")</f>
        <v/>
      </c>
      <c r="E2423" s="480" t="str">
        <f>IFERROR(VLOOKUP(A2423,[3]DOORSCRIEFT!$A$2:$G$6834,4,FALSE),"")</f>
        <v/>
      </c>
      <c r="F2423" s="405" t="str">
        <f>IFERROR(VLOOKUP(A2423,[3]DOORSCRIEFT!$A$2:$G$6834,7,FALSE),"")</f>
        <v/>
      </c>
      <c r="G2423" s="315"/>
    </row>
    <row r="2424" spans="1:7" x14ac:dyDescent="0.25">
      <c r="A2424" s="496" t="str">
        <f t="shared" si="83"/>
        <v>II.5.1.0747</v>
      </c>
      <c r="B2424" s="321">
        <v>47</v>
      </c>
      <c r="C2424" s="339" t="str">
        <f>IFERROR(VLOOKUP(A2424,[3]DOORSCRIEFT!$A$2:$G$6834,2,FALSE),"")</f>
        <v/>
      </c>
      <c r="D2424" s="481" t="str">
        <f>IFERROR(VLOOKUP(A2424,[3]DOORSCRIEFT!$A$2:$G$6834,3,FALSE),"")</f>
        <v/>
      </c>
      <c r="E2424" s="480" t="str">
        <f>IFERROR(VLOOKUP(A2424,[3]DOORSCRIEFT!$A$2:$G$6834,4,FALSE),"")</f>
        <v/>
      </c>
      <c r="F2424" s="405" t="str">
        <f>IFERROR(VLOOKUP(A2424,[3]DOORSCRIEFT!$A$2:$G$6834,7,FALSE),"")</f>
        <v/>
      </c>
      <c r="G2424" s="499"/>
    </row>
    <row r="2425" spans="1:7" x14ac:dyDescent="0.25">
      <c r="A2425" s="496" t="str">
        <f t="shared" si="83"/>
        <v>II.5.1.0748</v>
      </c>
      <c r="B2425" s="321">
        <v>48</v>
      </c>
      <c r="C2425" s="339" t="str">
        <f>IFERROR(VLOOKUP(A2425,[3]DOORSCRIEFT!$A$2:$G$6834,2,FALSE),"")</f>
        <v/>
      </c>
      <c r="D2425" s="481" t="str">
        <f>IFERROR(VLOOKUP(A2425,[3]DOORSCRIEFT!$A$2:$G$6834,3,FALSE),"")</f>
        <v/>
      </c>
      <c r="E2425" s="480" t="str">
        <f>IFERROR(VLOOKUP(A2425,[3]DOORSCRIEFT!$A$2:$G$6834,4,FALSE),"")</f>
        <v/>
      </c>
      <c r="F2425" s="405" t="str">
        <f>IFERROR(VLOOKUP(A2425,[3]DOORSCRIEFT!$A$2:$G$6834,7,FALSE),"")</f>
        <v/>
      </c>
      <c r="G2425" s="315"/>
    </row>
    <row r="2426" spans="1:7" x14ac:dyDescent="0.25">
      <c r="A2426" s="496" t="str">
        <f t="shared" si="83"/>
        <v>II.5.1.0749</v>
      </c>
      <c r="B2426" s="321">
        <v>49</v>
      </c>
      <c r="C2426" s="339" t="str">
        <f>IFERROR(VLOOKUP(A2426,[3]DOORSCRIEFT!$A$2:$G$6834,2,FALSE),"")</f>
        <v/>
      </c>
      <c r="D2426" s="481" t="str">
        <f>IFERROR(VLOOKUP(A2426,[3]DOORSCRIEFT!$A$2:$G$6834,3,FALSE),"")</f>
        <v/>
      </c>
      <c r="E2426" s="480" t="str">
        <f>IFERROR(VLOOKUP(A2426,[3]DOORSCRIEFT!$A$2:$G$6834,4,FALSE),"")</f>
        <v/>
      </c>
      <c r="F2426" s="405" t="str">
        <f>IFERROR(VLOOKUP(A2426,[3]DOORSCRIEFT!$A$2:$G$6834,7,FALSE),"")</f>
        <v/>
      </c>
      <c r="G2426" s="315"/>
    </row>
    <row r="2427" spans="1:7" x14ac:dyDescent="0.25">
      <c r="A2427" s="496" t="str">
        <f t="shared" si="83"/>
        <v>II.5.1.0750</v>
      </c>
      <c r="B2427" s="321">
        <v>50</v>
      </c>
      <c r="C2427" s="339" t="str">
        <f>IFERROR(VLOOKUP(A2427,[3]DOORSCRIEFT!$A$2:$G$6834,2,FALSE),"")</f>
        <v/>
      </c>
      <c r="D2427" s="481" t="str">
        <f>IFERROR(VLOOKUP(A2427,[3]DOORSCRIEFT!$A$2:$G$6834,3,FALSE),"")</f>
        <v/>
      </c>
      <c r="E2427" s="480" t="str">
        <f>IFERROR(VLOOKUP(A2427,[3]DOORSCRIEFT!$A$2:$G$6834,4,FALSE),"")</f>
        <v/>
      </c>
      <c r="F2427" s="405" t="str">
        <f>IFERROR(VLOOKUP(A2427,[3]DOORSCRIEFT!$A$2:$G$6834,7,FALSE),"")</f>
        <v/>
      </c>
      <c r="G2427" s="315"/>
    </row>
    <row r="2428" spans="1:7" x14ac:dyDescent="0.25">
      <c r="A2428" s="496" t="str">
        <f t="shared" si="83"/>
        <v>II.5.1.0751</v>
      </c>
      <c r="B2428" s="321">
        <v>51</v>
      </c>
      <c r="C2428" s="339" t="str">
        <f>IFERROR(VLOOKUP(A2428,[3]DOORSCRIEFT!$A$2:$G$6834,2,FALSE),"")</f>
        <v/>
      </c>
      <c r="D2428" s="481" t="str">
        <f>IFERROR(VLOOKUP(A2428,[3]DOORSCRIEFT!$A$2:$G$6834,3,FALSE),"")</f>
        <v/>
      </c>
      <c r="E2428" s="480" t="str">
        <f>IFERROR(VLOOKUP(A2428,[3]DOORSCRIEFT!$A$2:$G$6834,4,FALSE),"")</f>
        <v/>
      </c>
      <c r="F2428" s="405" t="str">
        <f>IFERROR(VLOOKUP(A2428,[3]DOORSCRIEFT!$A$2:$G$6834,7,FALSE),"")</f>
        <v/>
      </c>
      <c r="G2428" s="315"/>
    </row>
    <row r="2429" spans="1:7" x14ac:dyDescent="0.25">
      <c r="A2429" s="496" t="str">
        <f t="shared" si="83"/>
        <v>II.5.1.0752</v>
      </c>
      <c r="B2429" s="321">
        <v>52</v>
      </c>
      <c r="C2429" s="339" t="str">
        <f>IFERROR(VLOOKUP(A2429,[3]DOORSCRIEFT!$A$2:$G$6834,2,FALSE),"")</f>
        <v/>
      </c>
      <c r="D2429" s="481" t="str">
        <f>IFERROR(VLOOKUP(A2429,[3]DOORSCRIEFT!$A$2:$G$6834,3,FALSE),"")</f>
        <v/>
      </c>
      <c r="E2429" s="480" t="str">
        <f>IFERROR(VLOOKUP(A2429,[3]DOORSCRIEFT!$A$2:$G$6834,4,FALSE),"")</f>
        <v/>
      </c>
      <c r="F2429" s="405" t="str">
        <f>IFERROR(VLOOKUP(A2429,[3]DOORSCRIEFT!$A$2:$G$6834,7,FALSE),"")</f>
        <v/>
      </c>
      <c r="G2429" s="315"/>
    </row>
    <row r="2430" spans="1:7" x14ac:dyDescent="0.25">
      <c r="A2430" s="496" t="str">
        <f t="shared" si="83"/>
        <v>II.5.1.0753</v>
      </c>
      <c r="B2430" s="321">
        <v>53</v>
      </c>
      <c r="C2430" s="339" t="str">
        <f>IFERROR(VLOOKUP(A2430,[3]DOORSCRIEFT!$A$2:$G$6834,2,FALSE),"")</f>
        <v/>
      </c>
      <c r="D2430" s="481" t="str">
        <f>IFERROR(VLOOKUP(A2430,[3]DOORSCRIEFT!$A$2:$G$6834,3,FALSE),"")</f>
        <v/>
      </c>
      <c r="E2430" s="480" t="str">
        <f>IFERROR(VLOOKUP(A2430,[3]DOORSCRIEFT!$A$2:$G$6834,4,FALSE),"")</f>
        <v/>
      </c>
      <c r="F2430" s="405" t="str">
        <f>IFERROR(VLOOKUP(A2430,[3]DOORSCRIEFT!$A$2:$G$6834,7,FALSE),"")</f>
        <v/>
      </c>
      <c r="G2430" s="315"/>
    </row>
    <row r="2431" spans="1:7" x14ac:dyDescent="0.25">
      <c r="A2431" s="496" t="str">
        <f t="shared" si="83"/>
        <v>II.5.1.0754</v>
      </c>
      <c r="B2431" s="321">
        <v>54</v>
      </c>
      <c r="C2431" s="339" t="str">
        <f>IFERROR(VLOOKUP(A2431,[3]DOORSCRIEFT!$A$2:$G$6834,2,FALSE),"")</f>
        <v/>
      </c>
      <c r="D2431" s="481" t="str">
        <f>IFERROR(VLOOKUP(A2431,[3]DOORSCRIEFT!$A$2:$G$6834,3,FALSE),"")</f>
        <v/>
      </c>
      <c r="E2431" s="480" t="str">
        <f>IFERROR(VLOOKUP(A2431,[3]DOORSCRIEFT!$A$2:$G$6834,4,FALSE),"")</f>
        <v/>
      </c>
      <c r="F2431" s="405" t="str">
        <f>IFERROR(VLOOKUP(A2431,[3]DOORSCRIEFT!$A$2:$G$6834,7,FALSE),"")</f>
        <v/>
      </c>
      <c r="G2431" s="315"/>
    </row>
    <row r="2432" spans="1:7" x14ac:dyDescent="0.25">
      <c r="A2432" s="496" t="str">
        <f t="shared" si="83"/>
        <v>II.5.1.0755</v>
      </c>
      <c r="B2432" s="321">
        <v>55</v>
      </c>
      <c r="C2432" s="339" t="str">
        <f>IFERROR(VLOOKUP(A2432,[3]DOORSCRIEFT!$A$2:$G$6834,2,FALSE),"")</f>
        <v/>
      </c>
      <c r="D2432" s="481" t="str">
        <f>IFERROR(VLOOKUP(A2432,[3]DOORSCRIEFT!$A$2:$G$6834,3,FALSE),"")</f>
        <v/>
      </c>
      <c r="E2432" s="480" t="str">
        <f>IFERROR(VLOOKUP(A2432,[3]DOORSCRIEFT!$A$2:$G$6834,4,FALSE),"")</f>
        <v/>
      </c>
      <c r="F2432" s="405" t="str">
        <f>IFERROR(VLOOKUP(A2432,[3]DOORSCRIEFT!$A$2:$G$6834,7,FALSE),"")</f>
        <v/>
      </c>
      <c r="G2432" s="315"/>
    </row>
    <row r="2433" spans="1:7" x14ac:dyDescent="0.25">
      <c r="A2433" s="496" t="str">
        <f t="shared" si="83"/>
        <v>II.5.1.0756</v>
      </c>
      <c r="B2433" s="321">
        <v>56</v>
      </c>
      <c r="C2433" s="339" t="str">
        <f>IFERROR(VLOOKUP(A2433,[3]DOORSCRIEFT!$A$2:$G$6834,2,FALSE),"")</f>
        <v/>
      </c>
      <c r="D2433" s="481" t="str">
        <f>IFERROR(VLOOKUP(A2433,[3]DOORSCRIEFT!$A$2:$G$6834,3,FALSE),"")</f>
        <v/>
      </c>
      <c r="E2433" s="480" t="str">
        <f>IFERROR(VLOOKUP(A2433,[3]DOORSCRIEFT!$A$2:$G$6834,4,FALSE),"")</f>
        <v/>
      </c>
      <c r="F2433" s="405" t="str">
        <f>IFERROR(VLOOKUP(A2433,[3]DOORSCRIEFT!$A$2:$G$6834,7,FALSE),"")</f>
        <v/>
      </c>
      <c r="G2433" s="315"/>
    </row>
    <row r="2434" spans="1:7" x14ac:dyDescent="0.25">
      <c r="A2434" s="496" t="str">
        <f t="shared" si="83"/>
        <v>II.5.1.0757</v>
      </c>
      <c r="B2434" s="321">
        <v>57</v>
      </c>
      <c r="C2434" s="339" t="str">
        <f>IFERROR(VLOOKUP(A2434,[3]DOORSCRIEFT!$A$2:$G$6834,2,FALSE),"")</f>
        <v/>
      </c>
      <c r="D2434" s="481" t="str">
        <f>IFERROR(VLOOKUP(A2434,[3]DOORSCRIEFT!$A$2:$G$6834,3,FALSE),"")</f>
        <v/>
      </c>
      <c r="E2434" s="480" t="str">
        <f>IFERROR(VLOOKUP(A2434,[3]DOORSCRIEFT!$A$2:$G$6834,4,FALSE),"")</f>
        <v/>
      </c>
      <c r="F2434" s="405" t="str">
        <f>IFERROR(VLOOKUP(A2434,[3]DOORSCRIEFT!$A$2:$G$6834,7,FALSE),"")</f>
        <v/>
      </c>
      <c r="G2434" s="315"/>
    </row>
    <row r="2435" spans="1:7" x14ac:dyDescent="0.25">
      <c r="A2435" s="496" t="str">
        <f t="shared" si="83"/>
        <v>II.5.1.0758</v>
      </c>
      <c r="B2435" s="321">
        <v>58</v>
      </c>
      <c r="C2435" s="339" t="str">
        <f>IFERROR(VLOOKUP(A2435,[3]DOORSCRIEFT!$A$2:$G$6834,2,FALSE),"")</f>
        <v/>
      </c>
      <c r="D2435" s="481" t="str">
        <f>IFERROR(VLOOKUP(A2435,[3]DOORSCRIEFT!$A$2:$G$6834,3,FALSE),"")</f>
        <v/>
      </c>
      <c r="E2435" s="480" t="str">
        <f>IFERROR(VLOOKUP(A2435,[3]DOORSCRIEFT!$A$2:$G$6834,4,FALSE),"")</f>
        <v/>
      </c>
      <c r="F2435" s="405" t="str">
        <f>IFERROR(VLOOKUP(A2435,[3]DOORSCRIEFT!$A$2:$G$6834,7,FALSE),"")</f>
        <v/>
      </c>
      <c r="G2435" s="315"/>
    </row>
    <row r="2436" spans="1:7" x14ac:dyDescent="0.25">
      <c r="A2436" s="496" t="str">
        <f t="shared" si="83"/>
        <v>II.5.1.0759</v>
      </c>
      <c r="B2436" s="321">
        <v>59</v>
      </c>
      <c r="C2436" s="339" t="str">
        <f>IFERROR(VLOOKUP(A2436,[3]DOORSCRIEFT!$A$2:$G$6834,2,FALSE),"")</f>
        <v/>
      </c>
      <c r="D2436" s="481" t="str">
        <f>IFERROR(VLOOKUP(A2436,[3]DOORSCRIEFT!$A$2:$G$6834,3,FALSE),"")</f>
        <v/>
      </c>
      <c r="E2436" s="480" t="str">
        <f>IFERROR(VLOOKUP(A2436,[3]DOORSCRIEFT!$A$2:$G$6834,4,FALSE),"")</f>
        <v/>
      </c>
      <c r="F2436" s="405" t="str">
        <f>IFERROR(VLOOKUP(A2436,[3]DOORSCRIEFT!$A$2:$G$6834,7,FALSE),"")</f>
        <v/>
      </c>
      <c r="G2436" s="315"/>
    </row>
    <row r="2437" spans="1:7" x14ac:dyDescent="0.25">
      <c r="A2437" s="496" t="str">
        <f t="shared" si="83"/>
        <v>II.5.1.0760</v>
      </c>
      <c r="B2437" s="321">
        <v>60</v>
      </c>
      <c r="C2437" s="339" t="str">
        <f>IFERROR(VLOOKUP(A2437,[3]DOORSCRIEFT!$A$2:$G$6834,2,FALSE),"")</f>
        <v/>
      </c>
      <c r="D2437" s="481" t="str">
        <f>IFERROR(VLOOKUP(A2437,[3]DOORSCRIEFT!$A$2:$G$6834,3,FALSE),"")</f>
        <v/>
      </c>
      <c r="E2437" s="480" t="str">
        <f>IFERROR(VLOOKUP(A2437,[3]DOORSCRIEFT!$A$2:$G$6834,4,FALSE),"")</f>
        <v/>
      </c>
      <c r="F2437" s="405" t="str">
        <f>IFERROR(VLOOKUP(A2437,[3]DOORSCRIEFT!$A$2:$G$6834,7,FALSE),"")</f>
        <v/>
      </c>
      <c r="G2437" s="315"/>
    </row>
    <row r="2438" spans="1:7" x14ac:dyDescent="0.25">
      <c r="A2438" s="496" t="str">
        <f t="shared" si="83"/>
        <v>II.5.1.0761</v>
      </c>
      <c r="B2438" s="321">
        <v>61</v>
      </c>
      <c r="C2438" s="339" t="str">
        <f>IFERROR(VLOOKUP(A2438,[3]DOORSCRIEFT!$A$2:$G$6834,2,FALSE),"")</f>
        <v/>
      </c>
      <c r="D2438" s="481" t="str">
        <f>IFERROR(VLOOKUP(A2438,[3]DOORSCRIEFT!$A$2:$G$6834,3,FALSE),"")</f>
        <v/>
      </c>
      <c r="E2438" s="480" t="str">
        <f>IFERROR(VLOOKUP(A2438,[3]DOORSCRIEFT!$A$2:$G$6834,4,FALSE),"")</f>
        <v/>
      </c>
      <c r="F2438" s="405" t="str">
        <f>IFERROR(VLOOKUP(A2438,[3]DOORSCRIEFT!$A$2:$G$6834,7,FALSE),"")</f>
        <v/>
      </c>
      <c r="G2438" s="315"/>
    </row>
    <row r="2439" spans="1:7" x14ac:dyDescent="0.25">
      <c r="A2439" s="496" t="str">
        <f t="shared" si="83"/>
        <v>II.5.1.0762</v>
      </c>
      <c r="B2439" s="321">
        <v>62</v>
      </c>
      <c r="C2439" s="339" t="str">
        <f>IFERROR(VLOOKUP(A2439,[3]DOORSCRIEFT!$A$2:$G$6834,2,FALSE),"")</f>
        <v/>
      </c>
      <c r="D2439" s="481" t="str">
        <f>IFERROR(VLOOKUP(A2439,[3]DOORSCRIEFT!$A$2:$G$6834,3,FALSE),"")</f>
        <v/>
      </c>
      <c r="E2439" s="480" t="str">
        <f>IFERROR(VLOOKUP(A2439,[3]DOORSCRIEFT!$A$2:$G$6834,4,FALSE),"")</f>
        <v/>
      </c>
      <c r="F2439" s="405" t="str">
        <f>IFERROR(VLOOKUP(A2439,[3]DOORSCRIEFT!$A$2:$G$6834,7,FALSE),"")</f>
        <v/>
      </c>
      <c r="G2439" s="315"/>
    </row>
    <row r="2440" spans="1:7" x14ac:dyDescent="0.25">
      <c r="A2440" s="496" t="str">
        <f t="shared" si="83"/>
        <v>II.5.1.0763</v>
      </c>
      <c r="B2440" s="321">
        <v>63</v>
      </c>
      <c r="C2440" s="339" t="str">
        <f>IFERROR(VLOOKUP(A2440,[3]DOORSCRIEFT!$A$2:$G$6834,2,FALSE),"")</f>
        <v/>
      </c>
      <c r="D2440" s="481" t="str">
        <f>IFERROR(VLOOKUP(A2440,[3]DOORSCRIEFT!$A$2:$G$6834,3,FALSE),"")</f>
        <v/>
      </c>
      <c r="E2440" s="480" t="str">
        <f>IFERROR(VLOOKUP(A2440,[3]DOORSCRIEFT!$A$2:$G$6834,4,FALSE),"")</f>
        <v/>
      </c>
      <c r="F2440" s="405" t="str">
        <f>IFERROR(VLOOKUP(A2440,[3]DOORSCRIEFT!$A$2:$G$6834,7,FALSE),"")</f>
        <v/>
      </c>
      <c r="G2440" s="315"/>
    </row>
    <row r="2441" spans="1:7" x14ac:dyDescent="0.25">
      <c r="A2441" s="496" t="str">
        <f t="shared" si="83"/>
        <v>II.5.1.0764</v>
      </c>
      <c r="B2441" s="321">
        <v>64</v>
      </c>
      <c r="C2441" s="339" t="str">
        <f>IFERROR(VLOOKUP(A2441,[3]DOORSCRIEFT!$A$2:$G$6834,2,FALSE),"")</f>
        <v/>
      </c>
      <c r="D2441" s="481" t="str">
        <f>IFERROR(VLOOKUP(A2441,[3]DOORSCRIEFT!$A$2:$G$6834,3,FALSE),"")</f>
        <v/>
      </c>
      <c r="E2441" s="480" t="str">
        <f>IFERROR(VLOOKUP(A2441,[3]DOORSCRIEFT!$A$2:$G$6834,4,FALSE),"")</f>
        <v/>
      </c>
      <c r="F2441" s="405" t="str">
        <f>IFERROR(VLOOKUP(A2441,[3]DOORSCRIEFT!$A$2:$G$6834,7,FALSE),"")</f>
        <v/>
      </c>
      <c r="G2441" s="315"/>
    </row>
    <row r="2442" spans="1:7" x14ac:dyDescent="0.25">
      <c r="A2442" s="496" t="str">
        <f t="shared" ref="A2442:A2473" si="84">$G$2371&amp;B2442</f>
        <v>II.5.1.0765</v>
      </c>
      <c r="B2442" s="321">
        <v>65</v>
      </c>
      <c r="C2442" s="339" t="str">
        <f>IFERROR(VLOOKUP(A2442,[3]DOORSCRIEFT!$A$2:$G$6834,2,FALSE),"")</f>
        <v/>
      </c>
      <c r="D2442" s="481" t="str">
        <f>IFERROR(VLOOKUP(A2442,[3]DOORSCRIEFT!$A$2:$G$6834,3,FALSE),"")</f>
        <v/>
      </c>
      <c r="E2442" s="480" t="str">
        <f>IFERROR(VLOOKUP(A2442,[3]DOORSCRIEFT!$A$2:$G$6834,4,FALSE),"")</f>
        <v/>
      </c>
      <c r="F2442" s="405" t="str">
        <f>IFERROR(VLOOKUP(A2442,[3]DOORSCRIEFT!$A$2:$G$6834,7,FALSE),"")</f>
        <v/>
      </c>
      <c r="G2442" s="315"/>
    </row>
    <row r="2443" spans="1:7" x14ac:dyDescent="0.25">
      <c r="A2443" s="496" t="str">
        <f t="shared" si="84"/>
        <v>II.5.1.0766</v>
      </c>
      <c r="B2443" s="321">
        <v>66</v>
      </c>
      <c r="C2443" s="339" t="str">
        <f>IFERROR(VLOOKUP(A2443,[3]DOORSCRIEFT!$A$2:$G$6834,2,FALSE),"")</f>
        <v/>
      </c>
      <c r="D2443" s="481" t="str">
        <f>IFERROR(VLOOKUP(A2443,[3]DOORSCRIEFT!$A$2:$G$6834,3,FALSE),"")</f>
        <v/>
      </c>
      <c r="E2443" s="480" t="str">
        <f>IFERROR(VLOOKUP(A2443,[3]DOORSCRIEFT!$A$2:$G$6834,4,FALSE),"")</f>
        <v/>
      </c>
      <c r="F2443" s="405" t="str">
        <f>IFERROR(VLOOKUP(A2443,[3]DOORSCRIEFT!$A$2:$G$6834,7,FALSE),"")</f>
        <v/>
      </c>
      <c r="G2443" s="315"/>
    </row>
    <row r="2444" spans="1:7" x14ac:dyDescent="0.25">
      <c r="A2444" s="496" t="str">
        <f t="shared" si="84"/>
        <v>II.5.1.0767</v>
      </c>
      <c r="B2444" s="321">
        <v>67</v>
      </c>
      <c r="C2444" s="339" t="str">
        <f>IFERROR(VLOOKUP(A2444,[3]DOORSCRIEFT!$A$2:$G$6834,2,FALSE),"")</f>
        <v/>
      </c>
      <c r="D2444" s="481" t="str">
        <f>IFERROR(VLOOKUP(A2444,[3]DOORSCRIEFT!$A$2:$G$6834,3,FALSE),"")</f>
        <v/>
      </c>
      <c r="E2444" s="480" t="str">
        <f>IFERROR(VLOOKUP(A2444,[3]DOORSCRIEFT!$A$2:$G$6834,4,FALSE),"")</f>
        <v/>
      </c>
      <c r="F2444" s="405" t="str">
        <f>IFERROR(VLOOKUP(A2444,[3]DOORSCRIEFT!$A$2:$G$6834,7,FALSE),"")</f>
        <v/>
      </c>
      <c r="G2444" s="315"/>
    </row>
    <row r="2445" spans="1:7" x14ac:dyDescent="0.25">
      <c r="A2445" s="496" t="str">
        <f t="shared" si="84"/>
        <v>II.5.1.0768</v>
      </c>
      <c r="B2445" s="321">
        <v>68</v>
      </c>
      <c r="C2445" s="339" t="str">
        <f>IFERROR(VLOOKUP(A2445,[3]DOORSCRIEFT!$A$2:$G$6834,2,FALSE),"")</f>
        <v/>
      </c>
      <c r="D2445" s="481" t="str">
        <f>IFERROR(VLOOKUP(A2445,[3]DOORSCRIEFT!$A$2:$G$6834,3,FALSE),"")</f>
        <v/>
      </c>
      <c r="E2445" s="480" t="str">
        <f>IFERROR(VLOOKUP(A2445,[3]DOORSCRIEFT!$A$2:$G$6834,4,FALSE),"")</f>
        <v/>
      </c>
      <c r="F2445" s="405" t="str">
        <f>IFERROR(VLOOKUP(A2445,[3]DOORSCRIEFT!$A$2:$G$6834,7,FALSE),"")</f>
        <v/>
      </c>
      <c r="G2445" s="315"/>
    </row>
    <row r="2446" spans="1:7" x14ac:dyDescent="0.25">
      <c r="A2446" s="496" t="str">
        <f t="shared" si="84"/>
        <v>II.5.1.0769</v>
      </c>
      <c r="B2446" s="321">
        <v>69</v>
      </c>
      <c r="C2446" s="339" t="str">
        <f>IFERROR(VLOOKUP(A2446,[3]DOORSCRIEFT!$A$2:$G$6834,2,FALSE),"")</f>
        <v/>
      </c>
      <c r="D2446" s="481" t="str">
        <f>IFERROR(VLOOKUP(A2446,[3]DOORSCRIEFT!$A$2:$G$6834,3,FALSE),"")</f>
        <v/>
      </c>
      <c r="E2446" s="480" t="str">
        <f>IFERROR(VLOOKUP(A2446,[3]DOORSCRIEFT!$A$2:$G$6834,4,FALSE),"")</f>
        <v/>
      </c>
      <c r="F2446" s="405" t="str">
        <f>IFERROR(VLOOKUP(A2446,[3]DOORSCRIEFT!$A$2:$G$6834,7,FALSE),"")</f>
        <v/>
      </c>
      <c r="G2446" s="315"/>
    </row>
    <row r="2447" spans="1:7" x14ac:dyDescent="0.25">
      <c r="A2447" s="496" t="str">
        <f t="shared" si="84"/>
        <v>II.5.1.0770</v>
      </c>
      <c r="B2447" s="321">
        <v>70</v>
      </c>
      <c r="C2447" s="339" t="str">
        <f>IFERROR(VLOOKUP(A2447,[3]DOORSCRIEFT!$A$2:$G$6834,2,FALSE),"")</f>
        <v/>
      </c>
      <c r="D2447" s="481" t="str">
        <f>IFERROR(VLOOKUP(A2447,[3]DOORSCRIEFT!$A$2:$G$6834,3,FALSE),"")</f>
        <v/>
      </c>
      <c r="E2447" s="480" t="str">
        <f>IFERROR(VLOOKUP(A2447,[3]DOORSCRIEFT!$A$2:$G$6834,4,FALSE),"")</f>
        <v/>
      </c>
      <c r="F2447" s="405" t="str">
        <f>IFERROR(VLOOKUP(A2447,[3]DOORSCRIEFT!$A$2:$G$6834,7,FALSE),"")</f>
        <v/>
      </c>
      <c r="G2447" s="315"/>
    </row>
    <row r="2448" spans="1:7" x14ac:dyDescent="0.25">
      <c r="A2448" s="496" t="str">
        <f t="shared" si="84"/>
        <v>II.5.1.0771</v>
      </c>
      <c r="B2448" s="321">
        <v>71</v>
      </c>
      <c r="C2448" s="339" t="str">
        <f>IFERROR(VLOOKUP(A2448,[3]DOORSCRIEFT!$A$2:$G$6834,2,FALSE),"")</f>
        <v/>
      </c>
      <c r="D2448" s="481" t="str">
        <f>IFERROR(VLOOKUP(A2448,[3]DOORSCRIEFT!$A$2:$G$6834,3,FALSE),"")</f>
        <v/>
      </c>
      <c r="E2448" s="480" t="str">
        <f>IFERROR(VLOOKUP(A2448,[3]DOORSCRIEFT!$A$2:$G$6834,4,FALSE),"")</f>
        <v/>
      </c>
      <c r="F2448" s="405" t="str">
        <f>IFERROR(VLOOKUP(A2448,[3]DOORSCRIEFT!$A$2:$G$6834,7,FALSE),"")</f>
        <v/>
      </c>
      <c r="G2448" s="315"/>
    </row>
    <row r="2449" spans="1:7" x14ac:dyDescent="0.25">
      <c r="A2449" s="496" t="str">
        <f t="shared" si="84"/>
        <v>II.5.1.0772</v>
      </c>
      <c r="B2449" s="321">
        <v>72</v>
      </c>
      <c r="C2449" s="339" t="str">
        <f>IFERROR(VLOOKUP(A2449,[3]DOORSCRIEFT!$A$2:$G$6834,2,FALSE),"")</f>
        <v/>
      </c>
      <c r="D2449" s="481" t="str">
        <f>IFERROR(VLOOKUP(A2449,[3]DOORSCRIEFT!$A$2:$G$6834,3,FALSE),"")</f>
        <v/>
      </c>
      <c r="E2449" s="480" t="str">
        <f>IFERROR(VLOOKUP(A2449,[3]DOORSCRIEFT!$A$2:$G$6834,4,FALSE),"")</f>
        <v/>
      </c>
      <c r="F2449" s="405" t="str">
        <f>IFERROR(VLOOKUP(A2449,[3]DOORSCRIEFT!$A$2:$G$6834,7,FALSE),"")</f>
        <v/>
      </c>
      <c r="G2449" s="315"/>
    </row>
    <row r="2450" spans="1:7" x14ac:dyDescent="0.25">
      <c r="A2450" s="496" t="str">
        <f t="shared" si="84"/>
        <v>II.5.1.0773</v>
      </c>
      <c r="B2450" s="321">
        <v>73</v>
      </c>
      <c r="C2450" s="339" t="str">
        <f>IFERROR(VLOOKUP(A2450,[3]DOORSCRIEFT!$A$2:$G$6834,2,FALSE),"")</f>
        <v/>
      </c>
      <c r="D2450" s="481" t="str">
        <f>IFERROR(VLOOKUP(A2450,[3]DOORSCRIEFT!$A$2:$G$6834,3,FALSE),"")</f>
        <v/>
      </c>
      <c r="E2450" s="480" t="str">
        <f>IFERROR(VLOOKUP(A2450,[3]DOORSCRIEFT!$A$2:$G$6834,4,FALSE),"")</f>
        <v/>
      </c>
      <c r="F2450" s="405" t="str">
        <f>IFERROR(VLOOKUP(A2450,[3]DOORSCRIEFT!$A$2:$G$6834,7,FALSE),"")</f>
        <v/>
      </c>
      <c r="G2450" s="315"/>
    </row>
    <row r="2451" spans="1:7" x14ac:dyDescent="0.25">
      <c r="A2451" s="496" t="str">
        <f t="shared" si="84"/>
        <v>II.5.1.0774</v>
      </c>
      <c r="B2451" s="321">
        <v>74</v>
      </c>
      <c r="C2451" s="339" t="str">
        <f>IFERROR(VLOOKUP(A2451,[3]DOORSCRIEFT!$A$2:$G$6834,2,FALSE),"")</f>
        <v/>
      </c>
      <c r="D2451" s="481" t="str">
        <f>IFERROR(VLOOKUP(A2451,[3]DOORSCRIEFT!$A$2:$G$6834,3,FALSE),"")</f>
        <v/>
      </c>
      <c r="E2451" s="480" t="str">
        <f>IFERROR(VLOOKUP(A2451,[3]DOORSCRIEFT!$A$2:$G$6834,4,FALSE),"")</f>
        <v/>
      </c>
      <c r="F2451" s="405" t="str">
        <f>IFERROR(VLOOKUP(A2451,[3]DOORSCRIEFT!$A$2:$G$6834,7,FALSE),"")</f>
        <v/>
      </c>
      <c r="G2451" s="315"/>
    </row>
    <row r="2452" spans="1:7" x14ac:dyDescent="0.25">
      <c r="A2452" s="496" t="str">
        <f t="shared" si="84"/>
        <v>II.5.1.0775</v>
      </c>
      <c r="B2452" s="321">
        <v>75</v>
      </c>
      <c r="C2452" s="339" t="str">
        <f>IFERROR(VLOOKUP(A2452,[3]DOORSCRIEFT!$A$2:$G$6834,2,FALSE),"")</f>
        <v/>
      </c>
      <c r="D2452" s="481" t="str">
        <f>IFERROR(VLOOKUP(A2452,[3]DOORSCRIEFT!$A$2:$G$6834,3,FALSE),"")</f>
        <v/>
      </c>
      <c r="E2452" s="480" t="str">
        <f>IFERROR(VLOOKUP(A2452,[3]DOORSCRIEFT!$A$2:$G$6834,4,FALSE),"")</f>
        <v/>
      </c>
      <c r="F2452" s="405" t="str">
        <f>IFERROR(VLOOKUP(A2452,[3]DOORSCRIEFT!$A$2:$G$6834,7,FALSE),"")</f>
        <v/>
      </c>
      <c r="G2452" s="499"/>
    </row>
    <row r="2453" spans="1:7" x14ac:dyDescent="0.25">
      <c r="A2453" s="496" t="str">
        <f t="shared" si="84"/>
        <v>II.5.1.0776</v>
      </c>
      <c r="B2453" s="321">
        <v>76</v>
      </c>
      <c r="C2453" s="339" t="str">
        <f>IFERROR(VLOOKUP(A2453,[3]DOORSCRIEFT!$A$2:$G$6834,2,FALSE),"")</f>
        <v/>
      </c>
      <c r="D2453" s="481" t="str">
        <f>IFERROR(VLOOKUP(A2453,[3]DOORSCRIEFT!$A$2:$G$6834,3,FALSE),"")</f>
        <v/>
      </c>
      <c r="E2453" s="480" t="str">
        <f>IFERROR(VLOOKUP(A2453,[3]DOORSCRIEFT!$A$2:$G$6834,4,FALSE),"")</f>
        <v/>
      </c>
      <c r="F2453" s="405" t="str">
        <f>IFERROR(VLOOKUP(A2453,[3]DOORSCRIEFT!$A$2:$G$6834,7,FALSE),"")</f>
        <v/>
      </c>
      <c r="G2453" s="315"/>
    </row>
    <row r="2454" spans="1:7" x14ac:dyDescent="0.25">
      <c r="A2454" s="496" t="str">
        <f t="shared" si="84"/>
        <v>II.5.1.0777</v>
      </c>
      <c r="B2454" s="321">
        <v>77</v>
      </c>
      <c r="C2454" s="339" t="str">
        <f>IFERROR(VLOOKUP(A2454,[3]DOORSCRIEFT!$A$2:$G$6834,2,FALSE),"")</f>
        <v/>
      </c>
      <c r="D2454" s="481" t="str">
        <f>IFERROR(VLOOKUP(A2454,[3]DOORSCRIEFT!$A$2:$G$6834,3,FALSE),"")</f>
        <v/>
      </c>
      <c r="E2454" s="480" t="str">
        <f>IFERROR(VLOOKUP(A2454,[3]DOORSCRIEFT!$A$2:$G$6834,4,FALSE),"")</f>
        <v/>
      </c>
      <c r="F2454" s="405" t="str">
        <f>IFERROR(VLOOKUP(A2454,[3]DOORSCRIEFT!$A$2:$G$6834,7,FALSE),"")</f>
        <v/>
      </c>
      <c r="G2454" s="315"/>
    </row>
    <row r="2455" spans="1:7" x14ac:dyDescent="0.25">
      <c r="A2455" s="496" t="str">
        <f t="shared" si="84"/>
        <v>II.5.1.0778</v>
      </c>
      <c r="B2455" s="321">
        <v>78</v>
      </c>
      <c r="C2455" s="339" t="str">
        <f>IFERROR(VLOOKUP(A2455,[3]DOORSCRIEFT!$A$2:$G$6834,2,FALSE),"")</f>
        <v/>
      </c>
      <c r="D2455" s="481" t="str">
        <f>IFERROR(VLOOKUP(A2455,[3]DOORSCRIEFT!$A$2:$G$6834,3,FALSE),"")</f>
        <v/>
      </c>
      <c r="E2455" s="480" t="str">
        <f>IFERROR(VLOOKUP(A2455,[3]DOORSCRIEFT!$A$2:$G$6834,4,FALSE),"")</f>
        <v/>
      </c>
      <c r="F2455" s="405" t="str">
        <f>IFERROR(VLOOKUP(A2455,[3]DOORSCRIEFT!$A$2:$G$6834,7,FALSE),"")</f>
        <v/>
      </c>
      <c r="G2455" s="315"/>
    </row>
    <row r="2456" spans="1:7" x14ac:dyDescent="0.25">
      <c r="A2456" s="496" t="str">
        <f t="shared" si="84"/>
        <v>II.5.1.0779</v>
      </c>
      <c r="B2456" s="321">
        <v>79</v>
      </c>
      <c r="C2456" s="339" t="str">
        <f>IFERROR(VLOOKUP(A2456,[3]DOORSCRIEFT!$A$2:$G$6834,2,FALSE),"")</f>
        <v/>
      </c>
      <c r="D2456" s="481" t="str">
        <f>IFERROR(VLOOKUP(A2456,[3]DOORSCRIEFT!$A$2:$G$6834,3,FALSE),"")</f>
        <v/>
      </c>
      <c r="E2456" s="480" t="str">
        <f>IFERROR(VLOOKUP(A2456,[3]DOORSCRIEFT!$A$2:$G$6834,4,FALSE),"")</f>
        <v/>
      </c>
      <c r="F2456" s="405" t="str">
        <f>IFERROR(VLOOKUP(A2456,[3]DOORSCRIEFT!$A$2:$G$6834,7,FALSE),"")</f>
        <v/>
      </c>
      <c r="G2456" s="315"/>
    </row>
    <row r="2457" spans="1:7" x14ac:dyDescent="0.25">
      <c r="A2457" s="496" t="str">
        <f t="shared" si="84"/>
        <v>II.5.1.0780</v>
      </c>
      <c r="B2457" s="321">
        <v>80</v>
      </c>
      <c r="C2457" s="339" t="str">
        <f>IFERROR(VLOOKUP(A2457,[3]DOORSCRIEFT!$A$2:$G$6834,2,FALSE),"")</f>
        <v/>
      </c>
      <c r="D2457" s="481" t="str">
        <f>IFERROR(VLOOKUP(A2457,[3]DOORSCRIEFT!$A$2:$G$6834,3,FALSE),"")</f>
        <v/>
      </c>
      <c r="E2457" s="480" t="str">
        <f>IFERROR(VLOOKUP(A2457,[3]DOORSCRIEFT!$A$2:$G$6834,4,FALSE),"")</f>
        <v/>
      </c>
      <c r="F2457" s="405" t="str">
        <f>IFERROR(VLOOKUP(A2457,[3]DOORSCRIEFT!$A$2:$G$6834,7,FALSE),"")</f>
        <v/>
      </c>
      <c r="G2457" s="315"/>
    </row>
    <row r="2458" spans="1:7" x14ac:dyDescent="0.25">
      <c r="A2458" s="496" t="str">
        <f t="shared" si="84"/>
        <v>II.5.1.0781</v>
      </c>
      <c r="B2458" s="321">
        <v>81</v>
      </c>
      <c r="C2458" s="339" t="str">
        <f>IFERROR(VLOOKUP(A2458,[3]DOORSCRIEFT!$A$2:$G$6834,2,FALSE),"")</f>
        <v/>
      </c>
      <c r="D2458" s="481" t="str">
        <f>IFERROR(VLOOKUP(A2458,[3]DOORSCRIEFT!$A$2:$G$6834,3,FALSE),"")</f>
        <v/>
      </c>
      <c r="E2458" s="480" t="str">
        <f>IFERROR(VLOOKUP(A2458,[3]DOORSCRIEFT!$A$2:$G$6834,4,FALSE),"")</f>
        <v/>
      </c>
      <c r="F2458" s="405" t="str">
        <f>IFERROR(VLOOKUP(A2458,[3]DOORSCRIEFT!$A$2:$G$6834,7,FALSE),"")</f>
        <v/>
      </c>
      <c r="G2458" s="315"/>
    </row>
    <row r="2459" spans="1:7" x14ac:dyDescent="0.25">
      <c r="A2459" s="496" t="str">
        <f t="shared" si="84"/>
        <v>II.5.1.0782</v>
      </c>
      <c r="B2459" s="321">
        <v>82</v>
      </c>
      <c r="C2459" s="339" t="str">
        <f>IFERROR(VLOOKUP(A2459,[3]DOORSCRIEFT!$A$2:$G$6834,2,FALSE),"")</f>
        <v/>
      </c>
      <c r="D2459" s="481" t="str">
        <f>IFERROR(VLOOKUP(A2459,[3]DOORSCRIEFT!$A$2:$G$6834,3,FALSE),"")</f>
        <v/>
      </c>
      <c r="E2459" s="480" t="str">
        <f>IFERROR(VLOOKUP(A2459,[3]DOORSCRIEFT!$A$2:$G$6834,4,FALSE),"")</f>
        <v/>
      </c>
      <c r="F2459" s="405" t="str">
        <f>IFERROR(VLOOKUP(A2459,[3]DOORSCRIEFT!$A$2:$G$6834,7,FALSE),"")</f>
        <v/>
      </c>
      <c r="G2459" s="315"/>
    </row>
    <row r="2460" spans="1:7" x14ac:dyDescent="0.25">
      <c r="A2460" s="496" t="str">
        <f t="shared" si="84"/>
        <v>II.5.1.0783</v>
      </c>
      <c r="B2460" s="321">
        <v>83</v>
      </c>
      <c r="C2460" s="339" t="str">
        <f>IFERROR(VLOOKUP(A2460,[3]DOORSCRIEFT!$A$2:$G$6834,2,FALSE),"")</f>
        <v/>
      </c>
      <c r="D2460" s="481" t="str">
        <f>IFERROR(VLOOKUP(A2460,[3]DOORSCRIEFT!$A$2:$G$6834,3,FALSE),"")</f>
        <v/>
      </c>
      <c r="E2460" s="480" t="str">
        <f>IFERROR(VLOOKUP(A2460,[3]DOORSCRIEFT!$A$2:$G$6834,4,FALSE),"")</f>
        <v/>
      </c>
      <c r="F2460" s="405" t="str">
        <f>IFERROR(VLOOKUP(A2460,[3]DOORSCRIEFT!$A$2:$G$6834,7,FALSE),"")</f>
        <v/>
      </c>
      <c r="G2460" s="315"/>
    </row>
    <row r="2461" spans="1:7" x14ac:dyDescent="0.25">
      <c r="A2461" s="496" t="str">
        <f t="shared" si="84"/>
        <v>II.5.1.0784</v>
      </c>
      <c r="B2461" s="321">
        <v>84</v>
      </c>
      <c r="C2461" s="339" t="str">
        <f>IFERROR(VLOOKUP(A2461,[3]DOORSCRIEFT!$A$2:$G$6834,2,FALSE),"")</f>
        <v/>
      </c>
      <c r="D2461" s="481" t="str">
        <f>IFERROR(VLOOKUP(A2461,[3]DOORSCRIEFT!$A$2:$G$6834,3,FALSE),"")</f>
        <v/>
      </c>
      <c r="E2461" s="480" t="str">
        <f>IFERROR(VLOOKUP(A2461,[3]DOORSCRIEFT!$A$2:$G$6834,4,FALSE),"")</f>
        <v/>
      </c>
      <c r="F2461" s="405" t="str">
        <f>IFERROR(VLOOKUP(A2461,[3]DOORSCRIEFT!$A$2:$G$6834,7,FALSE),"")</f>
        <v/>
      </c>
      <c r="G2461" s="315"/>
    </row>
    <row r="2462" spans="1:7" x14ac:dyDescent="0.25">
      <c r="A2462" s="496" t="str">
        <f t="shared" si="84"/>
        <v>II.5.1.0785</v>
      </c>
      <c r="B2462" s="321">
        <v>85</v>
      </c>
      <c r="C2462" s="339" t="str">
        <f>IFERROR(VLOOKUP(A2462,[3]DOORSCRIEFT!$A$2:$G$6834,2,FALSE),"")</f>
        <v/>
      </c>
      <c r="D2462" s="481" t="str">
        <f>IFERROR(VLOOKUP(A2462,[3]DOORSCRIEFT!$A$2:$G$6834,3,FALSE),"")</f>
        <v/>
      </c>
      <c r="E2462" s="480" t="str">
        <f>IFERROR(VLOOKUP(A2462,[3]DOORSCRIEFT!$A$2:$G$6834,4,FALSE),"")</f>
        <v/>
      </c>
      <c r="F2462" s="405" t="str">
        <f>IFERROR(VLOOKUP(A2462,[3]DOORSCRIEFT!$A$2:$G$6834,7,FALSE),"")</f>
        <v/>
      </c>
      <c r="G2462" s="315"/>
    </row>
    <row r="2463" spans="1:7" x14ac:dyDescent="0.25">
      <c r="A2463" s="496" t="str">
        <f t="shared" si="84"/>
        <v>II.5.1.0786</v>
      </c>
      <c r="B2463" s="321">
        <v>86</v>
      </c>
      <c r="C2463" s="339" t="str">
        <f>IFERROR(VLOOKUP(A2463,[3]DOORSCRIEFT!$A$2:$G$6834,2,FALSE),"")</f>
        <v/>
      </c>
      <c r="D2463" s="481" t="str">
        <f>IFERROR(VLOOKUP(A2463,[3]DOORSCRIEFT!$A$2:$G$6834,3,FALSE),"")</f>
        <v/>
      </c>
      <c r="E2463" s="480" t="str">
        <f>IFERROR(VLOOKUP(A2463,[3]DOORSCRIEFT!$A$2:$G$6834,4,FALSE),"")</f>
        <v/>
      </c>
      <c r="F2463" s="405" t="str">
        <f>IFERROR(VLOOKUP(A2463,[3]DOORSCRIEFT!$A$2:$G$6834,7,FALSE),"")</f>
        <v/>
      </c>
      <c r="G2463" s="315"/>
    </row>
    <row r="2464" spans="1:7" x14ac:dyDescent="0.25">
      <c r="A2464" s="496" t="str">
        <f t="shared" si="84"/>
        <v>II.5.1.0787</v>
      </c>
      <c r="B2464" s="321">
        <v>87</v>
      </c>
      <c r="C2464" s="339" t="str">
        <f>IFERROR(VLOOKUP(A2464,[3]DOORSCRIEFT!$A$2:$G$6834,2,FALSE),"")</f>
        <v/>
      </c>
      <c r="D2464" s="481" t="str">
        <f>IFERROR(VLOOKUP(A2464,[3]DOORSCRIEFT!$A$2:$G$6834,3,FALSE),"")</f>
        <v/>
      </c>
      <c r="E2464" s="480" t="str">
        <f>IFERROR(VLOOKUP(A2464,[3]DOORSCRIEFT!$A$2:$G$6834,4,FALSE),"")</f>
        <v/>
      </c>
      <c r="F2464" s="405" t="str">
        <f>IFERROR(VLOOKUP(A2464,[3]DOORSCRIEFT!$A$2:$G$6834,7,FALSE),"")</f>
        <v/>
      </c>
      <c r="G2464" s="315"/>
    </row>
    <row r="2465" spans="1:7" x14ac:dyDescent="0.25">
      <c r="A2465" s="496" t="str">
        <f t="shared" si="84"/>
        <v>II.5.1.0788</v>
      </c>
      <c r="B2465" s="321">
        <v>88</v>
      </c>
      <c r="C2465" s="339" t="str">
        <f>IFERROR(VLOOKUP(A2465,[3]DOORSCRIEFT!$A$2:$G$6834,2,FALSE),"")</f>
        <v/>
      </c>
      <c r="D2465" s="481" t="str">
        <f>IFERROR(VLOOKUP(A2465,[3]DOORSCRIEFT!$A$2:$G$6834,3,FALSE),"")</f>
        <v/>
      </c>
      <c r="E2465" s="480" t="str">
        <f>IFERROR(VLOOKUP(A2465,[3]DOORSCRIEFT!$A$2:$G$6834,4,FALSE),"")</f>
        <v/>
      </c>
      <c r="F2465" s="405" t="str">
        <f>IFERROR(VLOOKUP(A2465,[3]DOORSCRIEFT!$A$2:$G$6834,7,FALSE),"")</f>
        <v/>
      </c>
      <c r="G2465" s="315"/>
    </row>
    <row r="2466" spans="1:7" x14ac:dyDescent="0.25">
      <c r="A2466" s="496" t="str">
        <f t="shared" si="84"/>
        <v>II.5.1.0789</v>
      </c>
      <c r="B2466" s="321">
        <v>89</v>
      </c>
      <c r="C2466" s="339" t="str">
        <f>IFERROR(VLOOKUP(A2466,[3]DOORSCRIEFT!$A$2:$G$6834,2,FALSE),"")</f>
        <v/>
      </c>
      <c r="D2466" s="481" t="str">
        <f>IFERROR(VLOOKUP(A2466,[3]DOORSCRIEFT!$A$2:$G$6834,3,FALSE),"")</f>
        <v/>
      </c>
      <c r="E2466" s="480" t="str">
        <f>IFERROR(VLOOKUP(A2466,[3]DOORSCRIEFT!$A$2:$G$6834,4,FALSE),"")</f>
        <v/>
      </c>
      <c r="F2466" s="405" t="str">
        <f>IFERROR(VLOOKUP(A2466,[3]DOORSCRIEFT!$A$2:$G$6834,7,FALSE),"")</f>
        <v/>
      </c>
      <c r="G2466" s="315"/>
    </row>
    <row r="2467" spans="1:7" x14ac:dyDescent="0.25">
      <c r="A2467" s="496" t="str">
        <f t="shared" si="84"/>
        <v>II.5.1.0790</v>
      </c>
      <c r="B2467" s="321">
        <v>90</v>
      </c>
      <c r="C2467" s="339" t="str">
        <f>IFERROR(VLOOKUP(A2467,[3]DOORSCRIEFT!$A$2:$G$6834,2,FALSE),"")</f>
        <v/>
      </c>
      <c r="D2467" s="481" t="str">
        <f>IFERROR(VLOOKUP(A2467,[3]DOORSCRIEFT!$A$2:$G$6834,3,FALSE),"")</f>
        <v/>
      </c>
      <c r="E2467" s="480" t="str">
        <f>IFERROR(VLOOKUP(A2467,[3]DOORSCRIEFT!$A$2:$G$6834,4,FALSE),"")</f>
        <v/>
      </c>
      <c r="F2467" s="405" t="str">
        <f>IFERROR(VLOOKUP(A2467,[3]DOORSCRIEFT!$A$2:$G$6834,7,FALSE),"")</f>
        <v/>
      </c>
      <c r="G2467" s="315"/>
    </row>
    <row r="2468" spans="1:7" x14ac:dyDescent="0.25">
      <c r="A2468" s="496" t="str">
        <f t="shared" si="84"/>
        <v>II.5.1.0791</v>
      </c>
      <c r="B2468" s="321">
        <v>91</v>
      </c>
      <c r="C2468" s="339" t="str">
        <f>IFERROR(VLOOKUP(A2468,[3]DOORSCRIEFT!$A$2:$G$6834,2,FALSE),"")</f>
        <v/>
      </c>
      <c r="D2468" s="481" t="str">
        <f>IFERROR(VLOOKUP(A2468,[3]DOORSCRIEFT!$A$2:$G$6834,3,FALSE),"")</f>
        <v/>
      </c>
      <c r="E2468" s="480" t="str">
        <f>IFERROR(VLOOKUP(A2468,[3]DOORSCRIEFT!$A$2:$G$6834,4,FALSE),"")</f>
        <v/>
      </c>
      <c r="F2468" s="405" t="str">
        <f>IFERROR(VLOOKUP(A2468,[3]DOORSCRIEFT!$A$2:$G$6834,7,FALSE),"")</f>
        <v/>
      </c>
      <c r="G2468" s="315"/>
    </row>
    <row r="2469" spans="1:7" x14ac:dyDescent="0.25">
      <c r="A2469" s="496" t="str">
        <f t="shared" si="84"/>
        <v>II.5.1.0792</v>
      </c>
      <c r="B2469" s="321">
        <v>92</v>
      </c>
      <c r="C2469" s="339" t="str">
        <f>IFERROR(VLOOKUP(A2469,[3]DOORSCRIEFT!$A$2:$G$6834,2,FALSE),"")</f>
        <v/>
      </c>
      <c r="D2469" s="481" t="str">
        <f>IFERROR(VLOOKUP(A2469,[3]DOORSCRIEFT!$A$2:$G$6834,3,FALSE),"")</f>
        <v/>
      </c>
      <c r="E2469" s="480" t="str">
        <f>IFERROR(VLOOKUP(A2469,[3]DOORSCRIEFT!$A$2:$G$6834,4,FALSE),"")</f>
        <v/>
      </c>
      <c r="F2469" s="405" t="str">
        <f>IFERROR(VLOOKUP(A2469,[3]DOORSCRIEFT!$A$2:$G$6834,7,FALSE),"")</f>
        <v/>
      </c>
      <c r="G2469" s="315"/>
    </row>
    <row r="2470" spans="1:7" x14ac:dyDescent="0.25">
      <c r="A2470" s="496" t="str">
        <f t="shared" si="84"/>
        <v>II.5.1.0793</v>
      </c>
      <c r="B2470" s="321">
        <v>93</v>
      </c>
      <c r="C2470" s="339" t="str">
        <f>IFERROR(VLOOKUP(A2470,[3]DOORSCRIEFT!$A$2:$G$6834,2,FALSE),"")</f>
        <v/>
      </c>
      <c r="D2470" s="481" t="str">
        <f>IFERROR(VLOOKUP(A2470,[3]DOORSCRIEFT!$A$2:$G$6834,3,FALSE),"")</f>
        <v/>
      </c>
      <c r="E2470" s="480" t="str">
        <f>IFERROR(VLOOKUP(A2470,[3]DOORSCRIEFT!$A$2:$G$6834,4,FALSE),"")</f>
        <v/>
      </c>
      <c r="F2470" s="405" t="str">
        <f>IFERROR(VLOOKUP(A2470,[3]DOORSCRIEFT!$A$2:$G$6834,7,FALSE),"")</f>
        <v/>
      </c>
      <c r="G2470" s="315"/>
    </row>
    <row r="2471" spans="1:7" x14ac:dyDescent="0.25">
      <c r="A2471" s="496" t="str">
        <f t="shared" si="84"/>
        <v>II.5.1.0794</v>
      </c>
      <c r="B2471" s="321">
        <v>94</v>
      </c>
      <c r="C2471" s="339" t="str">
        <f>IFERROR(VLOOKUP(A2471,[3]DOORSCRIEFT!$A$2:$G$6834,2,FALSE),"")</f>
        <v/>
      </c>
      <c r="D2471" s="481" t="str">
        <f>IFERROR(VLOOKUP(A2471,[3]DOORSCRIEFT!$A$2:$G$6834,3,FALSE),"")</f>
        <v/>
      </c>
      <c r="E2471" s="480" t="str">
        <f>IFERROR(VLOOKUP(A2471,[3]DOORSCRIEFT!$A$2:$G$6834,4,FALSE),"")</f>
        <v/>
      </c>
      <c r="F2471" s="405" t="str">
        <f>IFERROR(VLOOKUP(A2471,[3]DOORSCRIEFT!$A$2:$G$6834,7,FALSE),"")</f>
        <v/>
      </c>
      <c r="G2471" s="315"/>
    </row>
    <row r="2472" spans="1:7" x14ac:dyDescent="0.25">
      <c r="A2472" s="496" t="str">
        <f t="shared" si="84"/>
        <v>II.5.1.0795</v>
      </c>
      <c r="B2472" s="321">
        <v>95</v>
      </c>
      <c r="C2472" s="339" t="str">
        <f>IFERROR(VLOOKUP(A2472,[3]DOORSCRIEFT!$A$2:$G$6834,2,FALSE),"")</f>
        <v/>
      </c>
      <c r="D2472" s="481" t="str">
        <f>IFERROR(VLOOKUP(A2472,[3]DOORSCRIEFT!$A$2:$G$6834,3,FALSE),"")</f>
        <v/>
      </c>
      <c r="E2472" s="480" t="str">
        <f>IFERROR(VLOOKUP(A2472,[3]DOORSCRIEFT!$A$2:$G$6834,4,FALSE),"")</f>
        <v/>
      </c>
      <c r="F2472" s="405" t="str">
        <f>IFERROR(VLOOKUP(A2472,[3]DOORSCRIEFT!$A$2:$G$6834,7,FALSE),"")</f>
        <v/>
      </c>
      <c r="G2472" s="315"/>
    </row>
    <row r="2473" spans="1:7" x14ac:dyDescent="0.25">
      <c r="A2473" s="496" t="str">
        <f t="shared" si="84"/>
        <v>II.5.1.0796</v>
      </c>
      <c r="B2473" s="321">
        <v>96</v>
      </c>
      <c r="C2473" s="339" t="str">
        <f>IFERROR(VLOOKUP(A2473,[3]DOORSCRIEFT!$A$2:$G$6834,2,FALSE),"")</f>
        <v/>
      </c>
      <c r="D2473" s="481" t="str">
        <f>IFERROR(VLOOKUP(A2473,[3]DOORSCRIEFT!$A$2:$G$6834,3,FALSE),"")</f>
        <v/>
      </c>
      <c r="E2473" s="480" t="str">
        <f>IFERROR(VLOOKUP(A2473,[3]DOORSCRIEFT!$A$2:$G$6834,4,FALSE),"")</f>
        <v/>
      </c>
      <c r="F2473" s="405" t="str">
        <f>IFERROR(VLOOKUP(A2473,[3]DOORSCRIEFT!$A$2:$G$6834,7,FALSE),"")</f>
        <v/>
      </c>
      <c r="G2473" s="315"/>
    </row>
    <row r="2474" spans="1:7" x14ac:dyDescent="0.25">
      <c r="A2474" s="496" t="str">
        <f t="shared" ref="A2474:A2505" si="85">$G$2371&amp;B2474</f>
        <v>II.5.1.0797</v>
      </c>
      <c r="B2474" s="321">
        <v>97</v>
      </c>
      <c r="C2474" s="339" t="str">
        <f>IFERROR(VLOOKUP(A2474,[3]DOORSCRIEFT!$A$2:$G$6834,2,FALSE),"")</f>
        <v/>
      </c>
      <c r="D2474" s="481" t="str">
        <f>IFERROR(VLOOKUP(A2474,[3]DOORSCRIEFT!$A$2:$G$6834,3,FALSE),"")</f>
        <v/>
      </c>
      <c r="E2474" s="480" t="str">
        <f>IFERROR(VLOOKUP(A2474,[3]DOORSCRIEFT!$A$2:$G$6834,4,FALSE),"")</f>
        <v/>
      </c>
      <c r="F2474" s="405" t="str">
        <f>IFERROR(VLOOKUP(A2474,[3]DOORSCRIEFT!$A$2:$G$6834,7,FALSE),"")</f>
        <v/>
      </c>
      <c r="G2474" s="315"/>
    </row>
    <row r="2475" spans="1:7" x14ac:dyDescent="0.25">
      <c r="A2475" s="496" t="str">
        <f t="shared" si="85"/>
        <v>II.5.1.0798</v>
      </c>
      <c r="B2475" s="321">
        <v>98</v>
      </c>
      <c r="C2475" s="339" t="str">
        <f>IFERROR(VLOOKUP(A2475,[3]DOORSCRIEFT!$A$2:$G$6834,2,FALSE),"")</f>
        <v/>
      </c>
      <c r="D2475" s="481" t="str">
        <f>IFERROR(VLOOKUP(A2475,[3]DOORSCRIEFT!$A$2:$G$6834,3,FALSE),"")</f>
        <v/>
      </c>
      <c r="E2475" s="480" t="str">
        <f>IFERROR(VLOOKUP(A2475,[3]DOORSCRIEFT!$A$2:$G$6834,4,FALSE),"")</f>
        <v/>
      </c>
      <c r="F2475" s="405" t="str">
        <f>IFERROR(VLOOKUP(A2475,[3]DOORSCRIEFT!$A$2:$G$6834,7,FALSE),"")</f>
        <v/>
      </c>
      <c r="G2475" s="315"/>
    </row>
    <row r="2476" spans="1:7" x14ac:dyDescent="0.25">
      <c r="A2476" s="496" t="str">
        <f t="shared" si="85"/>
        <v>II.5.1.0799</v>
      </c>
      <c r="B2476" s="321">
        <v>99</v>
      </c>
      <c r="C2476" s="339" t="str">
        <f>IFERROR(VLOOKUP(A2476,[3]DOORSCRIEFT!$A$2:$G$6834,2,FALSE),"")</f>
        <v/>
      </c>
      <c r="D2476" s="481" t="str">
        <f>IFERROR(VLOOKUP(A2476,[3]DOORSCRIEFT!$A$2:$G$6834,3,FALSE),"")</f>
        <v/>
      </c>
      <c r="E2476" s="480" t="str">
        <f>IFERROR(VLOOKUP(A2476,[3]DOORSCRIEFT!$A$2:$G$6834,4,FALSE),"")</f>
        <v/>
      </c>
      <c r="F2476" s="405" t="str">
        <f>IFERROR(VLOOKUP(A2476,[3]DOORSCRIEFT!$A$2:$G$6834,7,FALSE),"")</f>
        <v/>
      </c>
      <c r="G2476" s="315"/>
    </row>
    <row r="2477" spans="1:7" x14ac:dyDescent="0.25">
      <c r="A2477" s="496" t="str">
        <f t="shared" si="85"/>
        <v>II.5.1.07100</v>
      </c>
      <c r="B2477" s="321">
        <v>100</v>
      </c>
      <c r="C2477" s="339" t="str">
        <f>IFERROR(VLOOKUP(A2477,[3]DOORSCRIEFT!$A$2:$G$6834,2,FALSE),"")</f>
        <v/>
      </c>
      <c r="D2477" s="481" t="str">
        <f>IFERROR(VLOOKUP(A2477,[3]DOORSCRIEFT!$A$2:$G$6834,3,FALSE),"")</f>
        <v/>
      </c>
      <c r="E2477" s="480" t="str">
        <f>IFERROR(VLOOKUP(A2477,[3]DOORSCRIEFT!$A$2:$G$6834,4,FALSE),"")</f>
        <v/>
      </c>
      <c r="F2477" s="405" t="str">
        <f>IFERROR(VLOOKUP(A2477,[3]DOORSCRIEFT!$A$2:$G$6834,7,FALSE),"")</f>
        <v/>
      </c>
      <c r="G2477" s="315"/>
    </row>
    <row r="2478" spans="1:7" x14ac:dyDescent="0.25">
      <c r="A2478" s="496" t="str">
        <f t="shared" si="85"/>
        <v>II.5.1.07101</v>
      </c>
      <c r="B2478" s="321">
        <v>101</v>
      </c>
      <c r="C2478" s="339" t="str">
        <f>IFERROR(VLOOKUP(A2478,[3]DOORSCRIEFT!$A$2:$G$6834,2,FALSE),"")</f>
        <v/>
      </c>
      <c r="D2478" s="481" t="str">
        <f>IFERROR(VLOOKUP(A2478,[3]DOORSCRIEFT!$A$2:$G$6834,3,FALSE),"")</f>
        <v/>
      </c>
      <c r="E2478" s="480" t="str">
        <f>IFERROR(VLOOKUP(A2478,[3]DOORSCRIEFT!$A$2:$G$6834,4,FALSE),"")</f>
        <v/>
      </c>
      <c r="F2478" s="405" t="str">
        <f>IFERROR(VLOOKUP(A2478,[3]DOORSCRIEFT!$A$2:$G$6834,7,FALSE),"")</f>
        <v/>
      </c>
      <c r="G2478" s="315"/>
    </row>
    <row r="2479" spans="1:7" x14ac:dyDescent="0.25">
      <c r="A2479" s="496" t="str">
        <f t="shared" si="85"/>
        <v>II.5.1.07102</v>
      </c>
      <c r="B2479" s="321">
        <v>102</v>
      </c>
      <c r="C2479" s="339" t="str">
        <f>IFERROR(VLOOKUP(A2479,[3]DOORSCRIEFT!$A$2:$G$6834,2,FALSE),"")</f>
        <v/>
      </c>
      <c r="D2479" s="481" t="str">
        <f>IFERROR(VLOOKUP(A2479,[3]DOORSCRIEFT!$A$2:$G$6834,3,FALSE),"")</f>
        <v/>
      </c>
      <c r="E2479" s="480" t="str">
        <f>IFERROR(VLOOKUP(A2479,[3]DOORSCRIEFT!$A$2:$G$6834,4,FALSE),"")</f>
        <v/>
      </c>
      <c r="F2479" s="405" t="str">
        <f>IFERROR(VLOOKUP(A2479,[3]DOORSCRIEFT!$A$2:$G$6834,7,FALSE),"")</f>
        <v/>
      </c>
      <c r="G2479" s="315"/>
    </row>
    <row r="2480" spans="1:7" x14ac:dyDescent="0.25">
      <c r="A2480" s="496" t="str">
        <f t="shared" si="85"/>
        <v>II.5.1.07103</v>
      </c>
      <c r="B2480" s="321">
        <v>103</v>
      </c>
      <c r="C2480" s="339" t="str">
        <f>IFERROR(VLOOKUP(A2480,[3]DOORSCRIEFT!$A$2:$G$6834,2,FALSE),"")</f>
        <v/>
      </c>
      <c r="D2480" s="481" t="str">
        <f>IFERROR(VLOOKUP(A2480,[3]DOORSCRIEFT!$A$2:$G$6834,3,FALSE),"")</f>
        <v/>
      </c>
      <c r="E2480" s="480" t="str">
        <f>IFERROR(VLOOKUP(A2480,[3]DOORSCRIEFT!$A$2:$G$6834,4,FALSE),"")</f>
        <v/>
      </c>
      <c r="F2480" s="405" t="str">
        <f>IFERROR(VLOOKUP(A2480,[3]DOORSCRIEFT!$A$2:$G$6834,7,FALSE),"")</f>
        <v/>
      </c>
      <c r="G2480" s="315"/>
    </row>
    <row r="2481" spans="1:7" x14ac:dyDescent="0.25">
      <c r="A2481" s="496" t="str">
        <f t="shared" si="85"/>
        <v>II.5.1.07104</v>
      </c>
      <c r="B2481" s="321">
        <v>104</v>
      </c>
      <c r="C2481" s="339" t="str">
        <f>IFERROR(VLOOKUP(A2481,[3]DOORSCRIEFT!$A$2:$G$6834,2,FALSE),"")</f>
        <v/>
      </c>
      <c r="D2481" s="481" t="str">
        <f>IFERROR(VLOOKUP(A2481,[3]DOORSCRIEFT!$A$2:$G$6834,3,FALSE),"")</f>
        <v/>
      </c>
      <c r="E2481" s="480" t="str">
        <f>IFERROR(VLOOKUP(A2481,[3]DOORSCRIEFT!$A$2:$G$6834,4,FALSE),"")</f>
        <v/>
      </c>
      <c r="F2481" s="405" t="str">
        <f>IFERROR(VLOOKUP(A2481,[3]DOORSCRIEFT!$A$2:$G$6834,7,FALSE),"")</f>
        <v/>
      </c>
      <c r="G2481" s="315"/>
    </row>
    <row r="2482" spans="1:7" x14ac:dyDescent="0.25">
      <c r="A2482" s="496" t="str">
        <f t="shared" si="85"/>
        <v>II.5.1.07105</v>
      </c>
      <c r="B2482" s="321">
        <v>105</v>
      </c>
      <c r="C2482" s="339" t="str">
        <f>IFERROR(VLOOKUP(A2482,[3]DOORSCRIEFT!$A$2:$G$6834,2,FALSE),"")</f>
        <v/>
      </c>
      <c r="D2482" s="481" t="str">
        <f>IFERROR(VLOOKUP(A2482,[3]DOORSCRIEFT!$A$2:$G$6834,3,FALSE),"")</f>
        <v/>
      </c>
      <c r="E2482" s="480" t="str">
        <f>IFERROR(VLOOKUP(A2482,[3]DOORSCRIEFT!$A$2:$G$6834,4,FALSE),"")</f>
        <v/>
      </c>
      <c r="F2482" s="405" t="str">
        <f>IFERROR(VLOOKUP(A2482,[3]DOORSCRIEFT!$A$2:$G$6834,7,FALSE),"")</f>
        <v/>
      </c>
      <c r="G2482" s="315"/>
    </row>
    <row r="2483" spans="1:7" x14ac:dyDescent="0.25">
      <c r="A2483" s="496" t="str">
        <f t="shared" si="85"/>
        <v>II.5.1.07106</v>
      </c>
      <c r="B2483" s="321">
        <v>106</v>
      </c>
      <c r="C2483" s="339" t="str">
        <f>IFERROR(VLOOKUP(A2483,[3]DOORSCRIEFT!$A$2:$G$6834,2,FALSE),"")</f>
        <v/>
      </c>
      <c r="D2483" s="481" t="str">
        <f>IFERROR(VLOOKUP(A2483,[3]DOORSCRIEFT!$A$2:$G$6834,3,FALSE),"")</f>
        <v/>
      </c>
      <c r="E2483" s="480" t="str">
        <f>IFERROR(VLOOKUP(A2483,[3]DOORSCRIEFT!$A$2:$G$6834,4,FALSE),"")</f>
        <v/>
      </c>
      <c r="F2483" s="405" t="str">
        <f>IFERROR(VLOOKUP(A2483,[3]DOORSCRIEFT!$A$2:$G$6834,7,FALSE),"")</f>
        <v/>
      </c>
      <c r="G2483" s="315"/>
    </row>
    <row r="2484" spans="1:7" x14ac:dyDescent="0.25">
      <c r="A2484" s="496" t="str">
        <f t="shared" si="85"/>
        <v>II.5.1.07107</v>
      </c>
      <c r="B2484" s="321">
        <v>107</v>
      </c>
      <c r="C2484" s="339" t="str">
        <f>IFERROR(VLOOKUP(A2484,[3]DOORSCRIEFT!$A$2:$G$6834,2,FALSE),"")</f>
        <v/>
      </c>
      <c r="D2484" s="481" t="str">
        <f>IFERROR(VLOOKUP(A2484,[3]DOORSCRIEFT!$A$2:$G$6834,3,FALSE),"")</f>
        <v/>
      </c>
      <c r="E2484" s="480" t="str">
        <f>IFERROR(VLOOKUP(A2484,[3]DOORSCRIEFT!$A$2:$G$6834,4,FALSE),"")</f>
        <v/>
      </c>
      <c r="F2484" s="405" t="str">
        <f>IFERROR(VLOOKUP(A2484,[3]DOORSCRIEFT!$A$2:$G$6834,7,FALSE),"")</f>
        <v/>
      </c>
      <c r="G2484" s="315"/>
    </row>
    <row r="2485" spans="1:7" x14ac:dyDescent="0.25">
      <c r="A2485" s="496" t="str">
        <f t="shared" si="85"/>
        <v>II.5.1.07108</v>
      </c>
      <c r="B2485" s="321">
        <v>108</v>
      </c>
      <c r="C2485" s="339" t="str">
        <f>IFERROR(VLOOKUP(A2485,[3]DOORSCRIEFT!$A$2:$G$6834,2,FALSE),"")</f>
        <v/>
      </c>
      <c r="D2485" s="481" t="str">
        <f>IFERROR(VLOOKUP(A2485,[3]DOORSCRIEFT!$A$2:$G$6834,3,FALSE),"")</f>
        <v/>
      </c>
      <c r="E2485" s="480" t="str">
        <f>IFERROR(VLOOKUP(A2485,[3]DOORSCRIEFT!$A$2:$G$6834,4,FALSE),"")</f>
        <v/>
      </c>
      <c r="F2485" s="405" t="str">
        <f>IFERROR(VLOOKUP(A2485,[3]DOORSCRIEFT!$A$2:$G$6834,7,FALSE),"")</f>
        <v/>
      </c>
      <c r="G2485" s="315"/>
    </row>
    <row r="2486" spans="1:7" x14ac:dyDescent="0.25">
      <c r="A2486" s="496" t="str">
        <f t="shared" si="85"/>
        <v>II.5.1.07109</v>
      </c>
      <c r="B2486" s="321">
        <v>109</v>
      </c>
      <c r="C2486" s="339" t="str">
        <f>IFERROR(VLOOKUP(A2486,[3]DOORSCRIEFT!$A$2:$G$6834,2,FALSE),"")</f>
        <v/>
      </c>
      <c r="D2486" s="481" t="str">
        <f>IFERROR(VLOOKUP(A2486,[3]DOORSCRIEFT!$A$2:$G$6834,3,FALSE),"")</f>
        <v/>
      </c>
      <c r="E2486" s="480" t="str">
        <f>IFERROR(VLOOKUP(A2486,[3]DOORSCRIEFT!$A$2:$G$6834,4,FALSE),"")</f>
        <v/>
      </c>
      <c r="F2486" s="405" t="str">
        <f>IFERROR(VLOOKUP(A2486,[3]DOORSCRIEFT!$A$2:$G$6834,7,FALSE),"")</f>
        <v/>
      </c>
      <c r="G2486" s="315"/>
    </row>
    <row r="2487" spans="1:7" x14ac:dyDescent="0.25">
      <c r="A2487" s="496" t="str">
        <f t="shared" si="85"/>
        <v>II.5.1.07110</v>
      </c>
      <c r="B2487" s="321">
        <v>110</v>
      </c>
      <c r="C2487" s="339" t="str">
        <f>IFERROR(VLOOKUP(A2487,[3]DOORSCRIEFT!$A$2:$G$6834,2,FALSE),"")</f>
        <v/>
      </c>
      <c r="D2487" s="481" t="str">
        <f>IFERROR(VLOOKUP(A2487,[3]DOORSCRIEFT!$A$2:$G$6834,3,FALSE),"")</f>
        <v/>
      </c>
      <c r="E2487" s="480" t="str">
        <f>IFERROR(VLOOKUP(A2487,[3]DOORSCRIEFT!$A$2:$G$6834,4,FALSE),"")</f>
        <v/>
      </c>
      <c r="F2487" s="405" t="str">
        <f>IFERROR(VLOOKUP(A2487,[3]DOORSCRIEFT!$A$2:$G$6834,7,FALSE),"")</f>
        <v/>
      </c>
      <c r="G2487" s="315"/>
    </row>
    <row r="2488" spans="1:7" x14ac:dyDescent="0.25">
      <c r="A2488" s="496" t="str">
        <f t="shared" si="85"/>
        <v>II.5.1.07111</v>
      </c>
      <c r="B2488" s="321">
        <v>111</v>
      </c>
      <c r="C2488" s="339" t="str">
        <f>IFERROR(VLOOKUP(A2488,[3]DOORSCRIEFT!$A$2:$G$6834,2,FALSE),"")</f>
        <v/>
      </c>
      <c r="D2488" s="481" t="str">
        <f>IFERROR(VLOOKUP(A2488,[3]DOORSCRIEFT!$A$2:$G$6834,3,FALSE),"")</f>
        <v/>
      </c>
      <c r="E2488" s="480" t="str">
        <f>IFERROR(VLOOKUP(A2488,[3]DOORSCRIEFT!$A$2:$G$6834,4,FALSE),"")</f>
        <v/>
      </c>
      <c r="F2488" s="405" t="str">
        <f>IFERROR(VLOOKUP(A2488,[3]DOORSCRIEFT!$A$2:$G$6834,7,FALSE),"")</f>
        <v/>
      </c>
      <c r="G2488" s="315"/>
    </row>
    <row r="2489" spans="1:7" x14ac:dyDescent="0.25">
      <c r="A2489" s="496" t="str">
        <f t="shared" si="85"/>
        <v>II.5.1.07112</v>
      </c>
      <c r="B2489" s="321">
        <v>112</v>
      </c>
      <c r="C2489" s="339" t="str">
        <f>IFERROR(VLOOKUP(A2489,[3]DOORSCRIEFT!$A$2:$G$6834,2,FALSE),"")</f>
        <v/>
      </c>
      <c r="D2489" s="481" t="str">
        <f>IFERROR(VLOOKUP(A2489,[3]DOORSCRIEFT!$A$2:$G$6834,3,FALSE),"")</f>
        <v/>
      </c>
      <c r="E2489" s="480" t="str">
        <f>IFERROR(VLOOKUP(A2489,[3]DOORSCRIEFT!$A$2:$G$6834,4,FALSE),"")</f>
        <v/>
      </c>
      <c r="F2489" s="405" t="str">
        <f>IFERROR(VLOOKUP(A2489,[3]DOORSCRIEFT!$A$2:$G$6834,7,FALSE),"")</f>
        <v/>
      </c>
      <c r="G2489" s="315"/>
    </row>
    <row r="2490" spans="1:7" x14ac:dyDescent="0.25">
      <c r="A2490" s="496" t="str">
        <f t="shared" si="85"/>
        <v>II.5.1.07113</v>
      </c>
      <c r="B2490" s="321">
        <v>113</v>
      </c>
      <c r="C2490" s="339" t="str">
        <f>IFERROR(VLOOKUP(A2490,[3]DOORSCRIEFT!$A$2:$G$6834,2,FALSE),"")</f>
        <v/>
      </c>
      <c r="D2490" s="481" t="str">
        <f>IFERROR(VLOOKUP(A2490,[3]DOORSCRIEFT!$A$2:$G$6834,3,FALSE),"")</f>
        <v/>
      </c>
      <c r="E2490" s="480" t="str">
        <f>IFERROR(VLOOKUP(A2490,[3]DOORSCRIEFT!$A$2:$G$6834,4,FALSE),"")</f>
        <v/>
      </c>
      <c r="F2490" s="405" t="str">
        <f>IFERROR(VLOOKUP(A2490,[3]DOORSCRIEFT!$A$2:$G$6834,7,FALSE),"")</f>
        <v/>
      </c>
      <c r="G2490" s="315"/>
    </row>
    <row r="2491" spans="1:7" x14ac:dyDescent="0.25">
      <c r="A2491" s="496" t="str">
        <f t="shared" si="85"/>
        <v>II.5.1.07114</v>
      </c>
      <c r="B2491" s="321">
        <v>114</v>
      </c>
      <c r="C2491" s="339" t="str">
        <f>IFERROR(VLOOKUP(A2491,[3]DOORSCRIEFT!$A$2:$G$6834,2,FALSE),"")</f>
        <v/>
      </c>
      <c r="D2491" s="481" t="str">
        <f>IFERROR(VLOOKUP(A2491,[3]DOORSCRIEFT!$A$2:$G$6834,3,FALSE),"")</f>
        <v/>
      </c>
      <c r="E2491" s="480" t="str">
        <f>IFERROR(VLOOKUP(A2491,[3]DOORSCRIEFT!$A$2:$G$6834,4,FALSE),"")</f>
        <v/>
      </c>
      <c r="F2491" s="405" t="str">
        <f>IFERROR(VLOOKUP(A2491,[3]DOORSCRIEFT!$A$2:$G$6834,7,FALSE),"")</f>
        <v/>
      </c>
      <c r="G2491" s="315"/>
    </row>
    <row r="2492" spans="1:7" x14ac:dyDescent="0.25">
      <c r="A2492" s="496" t="str">
        <f t="shared" si="85"/>
        <v>II.5.1.07115</v>
      </c>
      <c r="B2492" s="321">
        <v>115</v>
      </c>
      <c r="C2492" s="339" t="str">
        <f>IFERROR(VLOOKUP(A2492,[3]DOORSCRIEFT!$A$2:$G$6834,2,FALSE),"")</f>
        <v/>
      </c>
      <c r="D2492" s="481" t="str">
        <f>IFERROR(VLOOKUP(A2492,[3]DOORSCRIEFT!$A$2:$G$6834,3,FALSE),"")</f>
        <v/>
      </c>
      <c r="E2492" s="480" t="str">
        <f>IFERROR(VLOOKUP(A2492,[3]DOORSCRIEFT!$A$2:$G$6834,4,FALSE),"")</f>
        <v/>
      </c>
      <c r="F2492" s="405" t="str">
        <f>IFERROR(VLOOKUP(A2492,[3]DOORSCRIEFT!$A$2:$G$6834,7,FALSE),"")</f>
        <v/>
      </c>
      <c r="G2492" s="315"/>
    </row>
    <row r="2493" spans="1:7" x14ac:dyDescent="0.25">
      <c r="A2493" s="496" t="str">
        <f t="shared" si="85"/>
        <v>II.5.1.07116</v>
      </c>
      <c r="B2493" s="321">
        <v>116</v>
      </c>
      <c r="C2493" s="339" t="str">
        <f>IFERROR(VLOOKUP(A2493,[3]DOORSCRIEFT!$A$2:$G$6834,2,FALSE),"")</f>
        <v/>
      </c>
      <c r="D2493" s="481" t="str">
        <f>IFERROR(VLOOKUP(A2493,[3]DOORSCRIEFT!$A$2:$G$6834,3,FALSE),"")</f>
        <v/>
      </c>
      <c r="E2493" s="480" t="str">
        <f>IFERROR(VLOOKUP(A2493,[3]DOORSCRIEFT!$A$2:$G$6834,4,FALSE),"")</f>
        <v/>
      </c>
      <c r="F2493" s="405" t="str">
        <f>IFERROR(VLOOKUP(A2493,[3]DOORSCRIEFT!$A$2:$G$6834,7,FALSE),"")</f>
        <v/>
      </c>
      <c r="G2493" s="499"/>
    </row>
    <row r="2494" spans="1:7" x14ac:dyDescent="0.25">
      <c r="A2494" s="496" t="str">
        <f t="shared" si="85"/>
        <v>II.5.1.07117</v>
      </c>
      <c r="B2494" s="321">
        <v>117</v>
      </c>
      <c r="C2494" s="339" t="str">
        <f>IFERROR(VLOOKUP(A2494,[3]DOORSCRIEFT!$A$2:$G$6834,2,FALSE),"")</f>
        <v/>
      </c>
      <c r="D2494" s="481" t="str">
        <f>IFERROR(VLOOKUP(A2494,[3]DOORSCRIEFT!$A$2:$G$6834,3,FALSE),"")</f>
        <v/>
      </c>
      <c r="E2494" s="480" t="str">
        <f>IFERROR(VLOOKUP(A2494,[3]DOORSCRIEFT!$A$2:$G$6834,4,FALSE),"")</f>
        <v/>
      </c>
      <c r="F2494" s="405" t="str">
        <f>IFERROR(VLOOKUP(A2494,[3]DOORSCRIEFT!$A$2:$G$6834,7,FALSE),"")</f>
        <v/>
      </c>
      <c r="G2494" s="315"/>
    </row>
    <row r="2495" spans="1:7" x14ac:dyDescent="0.25">
      <c r="A2495" s="496" t="str">
        <f t="shared" si="85"/>
        <v>II.5.1.07118</v>
      </c>
      <c r="B2495" s="321">
        <v>118</v>
      </c>
      <c r="C2495" s="339" t="str">
        <f>IFERROR(VLOOKUP(A2495,[3]DOORSCRIEFT!$A$2:$G$6834,2,FALSE),"")</f>
        <v/>
      </c>
      <c r="D2495" s="481" t="str">
        <f>IFERROR(VLOOKUP(A2495,[3]DOORSCRIEFT!$A$2:$G$6834,3,FALSE),"")</f>
        <v/>
      </c>
      <c r="E2495" s="480" t="str">
        <f>IFERROR(VLOOKUP(A2495,[3]DOORSCRIEFT!$A$2:$G$6834,4,FALSE),"")</f>
        <v/>
      </c>
      <c r="F2495" s="405" t="str">
        <f>IFERROR(VLOOKUP(A2495,[3]DOORSCRIEFT!$A$2:$G$6834,7,FALSE),"")</f>
        <v/>
      </c>
      <c r="G2495" s="315"/>
    </row>
    <row r="2496" spans="1:7" x14ac:dyDescent="0.25">
      <c r="A2496" s="496" t="str">
        <f t="shared" si="85"/>
        <v>II.5.1.07119</v>
      </c>
      <c r="B2496" s="321">
        <v>119</v>
      </c>
      <c r="C2496" s="339" t="str">
        <f>IFERROR(VLOOKUP(A2496,[3]DOORSCRIEFT!$A$2:$G$6834,2,FALSE),"")</f>
        <v/>
      </c>
      <c r="D2496" s="481" t="str">
        <f>IFERROR(VLOOKUP(A2496,[3]DOORSCRIEFT!$A$2:$G$6834,3,FALSE),"")</f>
        <v/>
      </c>
      <c r="E2496" s="480" t="str">
        <f>IFERROR(VLOOKUP(A2496,[3]DOORSCRIEFT!$A$2:$G$6834,4,FALSE),"")</f>
        <v/>
      </c>
      <c r="F2496" s="405" t="str">
        <f>IFERROR(VLOOKUP(A2496,[3]DOORSCRIEFT!$A$2:$G$6834,7,FALSE),"")</f>
        <v/>
      </c>
      <c r="G2496" s="315"/>
    </row>
    <row r="2497" spans="1:7" x14ac:dyDescent="0.25">
      <c r="A2497" s="496" t="str">
        <f t="shared" si="85"/>
        <v>II.5.1.07120</v>
      </c>
      <c r="B2497" s="321">
        <v>120</v>
      </c>
      <c r="C2497" s="339" t="str">
        <f>IFERROR(VLOOKUP(A2497,[3]DOORSCRIEFT!$A$2:$G$6834,2,FALSE),"")</f>
        <v/>
      </c>
      <c r="D2497" s="481" t="str">
        <f>IFERROR(VLOOKUP(A2497,[3]DOORSCRIEFT!$A$2:$G$6834,3,FALSE),"")</f>
        <v/>
      </c>
      <c r="E2497" s="480" t="str">
        <f>IFERROR(VLOOKUP(A2497,[3]DOORSCRIEFT!$A$2:$G$6834,4,FALSE),"")</f>
        <v/>
      </c>
      <c r="F2497" s="405" t="str">
        <f>IFERROR(VLOOKUP(A2497,[3]DOORSCRIEFT!$A$2:$G$6834,7,FALSE),"")</f>
        <v/>
      </c>
      <c r="G2497" s="315"/>
    </row>
    <row r="2498" spans="1:7" x14ac:dyDescent="0.25">
      <c r="A2498" s="496" t="str">
        <f t="shared" si="85"/>
        <v>II.5.1.07121</v>
      </c>
      <c r="B2498" s="321">
        <v>121</v>
      </c>
      <c r="C2498" s="339" t="str">
        <f>IFERROR(VLOOKUP(A2498,[3]DOORSCRIEFT!$A$2:$G$6834,2,FALSE),"")</f>
        <v/>
      </c>
      <c r="D2498" s="481" t="str">
        <f>IFERROR(VLOOKUP(A2498,[3]DOORSCRIEFT!$A$2:$G$6834,3,FALSE),"")</f>
        <v/>
      </c>
      <c r="E2498" s="480" t="str">
        <f>IFERROR(VLOOKUP(A2498,[3]DOORSCRIEFT!$A$2:$G$6834,4,FALSE),"")</f>
        <v/>
      </c>
      <c r="F2498" s="405" t="str">
        <f>IFERROR(VLOOKUP(A2498,[3]DOORSCRIEFT!$A$2:$G$6834,7,FALSE),"")</f>
        <v/>
      </c>
      <c r="G2498" s="315"/>
    </row>
    <row r="2499" spans="1:7" x14ac:dyDescent="0.25">
      <c r="A2499" s="496" t="str">
        <f t="shared" si="85"/>
        <v>II.5.1.07122</v>
      </c>
      <c r="B2499" s="321">
        <v>122</v>
      </c>
      <c r="C2499" s="339" t="str">
        <f>IFERROR(VLOOKUP(A2499,[3]DOORSCRIEFT!$A$2:$G$6834,2,FALSE),"")</f>
        <v/>
      </c>
      <c r="D2499" s="481" t="str">
        <f>IFERROR(VLOOKUP(A2499,[3]DOORSCRIEFT!$A$2:$G$6834,3,FALSE),"")</f>
        <v/>
      </c>
      <c r="E2499" s="480" t="str">
        <f>IFERROR(VLOOKUP(A2499,[3]DOORSCRIEFT!$A$2:$G$6834,4,FALSE),"")</f>
        <v/>
      </c>
      <c r="F2499" s="405" t="str">
        <f>IFERROR(VLOOKUP(A2499,[3]DOORSCRIEFT!$A$2:$G$6834,7,FALSE),"")</f>
        <v/>
      </c>
      <c r="G2499" s="315"/>
    </row>
    <row r="2500" spans="1:7" x14ac:dyDescent="0.25">
      <c r="A2500" s="496" t="str">
        <f t="shared" si="85"/>
        <v>II.5.1.07123</v>
      </c>
      <c r="B2500" s="321">
        <v>123</v>
      </c>
      <c r="C2500" s="339" t="str">
        <f>IFERROR(VLOOKUP(A2500,[3]DOORSCRIEFT!$A$2:$G$6834,2,FALSE),"")</f>
        <v/>
      </c>
      <c r="D2500" s="481" t="str">
        <f>IFERROR(VLOOKUP(A2500,[3]DOORSCRIEFT!$A$2:$G$6834,3,FALSE),"")</f>
        <v/>
      </c>
      <c r="E2500" s="480" t="str">
        <f>IFERROR(VLOOKUP(A2500,[3]DOORSCRIEFT!$A$2:$G$6834,4,FALSE),"")</f>
        <v/>
      </c>
      <c r="F2500" s="405" t="str">
        <f>IFERROR(VLOOKUP(A2500,[3]DOORSCRIEFT!$A$2:$G$6834,7,FALSE),"")</f>
        <v/>
      </c>
      <c r="G2500" s="315"/>
    </row>
    <row r="2501" spans="1:7" x14ac:dyDescent="0.25">
      <c r="A2501" s="496" t="str">
        <f t="shared" si="85"/>
        <v>II.5.1.07124</v>
      </c>
      <c r="B2501" s="321">
        <v>124</v>
      </c>
      <c r="C2501" s="339" t="str">
        <f>IFERROR(VLOOKUP(A2501,[3]DOORSCRIEFT!$A$2:$G$6834,2,FALSE),"")</f>
        <v/>
      </c>
      <c r="D2501" s="481" t="str">
        <f>IFERROR(VLOOKUP(A2501,[3]DOORSCRIEFT!$A$2:$G$6834,3,FALSE),"")</f>
        <v/>
      </c>
      <c r="E2501" s="480" t="str">
        <f>IFERROR(VLOOKUP(A2501,[3]DOORSCRIEFT!$A$2:$G$6834,4,FALSE),"")</f>
        <v/>
      </c>
      <c r="F2501" s="405" t="str">
        <f>IFERROR(VLOOKUP(A2501,[3]DOORSCRIEFT!$A$2:$G$6834,7,FALSE),"")</f>
        <v/>
      </c>
      <c r="G2501" s="315"/>
    </row>
    <row r="2502" spans="1:7" x14ac:dyDescent="0.25">
      <c r="A2502" s="496" t="str">
        <f t="shared" si="85"/>
        <v>II.5.1.07125</v>
      </c>
      <c r="B2502" s="321">
        <v>125</v>
      </c>
      <c r="C2502" s="339" t="str">
        <f>IFERROR(VLOOKUP(A2502,[3]DOORSCRIEFT!$A$2:$G$6834,2,FALSE),"")</f>
        <v/>
      </c>
      <c r="D2502" s="481" t="str">
        <f>IFERROR(VLOOKUP(A2502,[3]DOORSCRIEFT!$A$2:$G$6834,3,FALSE),"")</f>
        <v/>
      </c>
      <c r="E2502" s="480" t="str">
        <f>IFERROR(VLOOKUP(A2502,[3]DOORSCRIEFT!$A$2:$G$6834,4,FALSE),"")</f>
        <v/>
      </c>
      <c r="F2502" s="405" t="str">
        <f>IFERROR(VLOOKUP(A2502,[3]DOORSCRIEFT!$A$2:$G$6834,7,FALSE),"")</f>
        <v/>
      </c>
      <c r="G2502" s="315"/>
    </row>
    <row r="2503" spans="1:7" x14ac:dyDescent="0.25">
      <c r="A2503" s="496" t="str">
        <f t="shared" si="85"/>
        <v>II.5.1.07126</v>
      </c>
      <c r="B2503" s="321">
        <v>126</v>
      </c>
      <c r="C2503" s="339" t="str">
        <f>IFERROR(VLOOKUP(A2503,[3]DOORSCRIEFT!$A$2:$G$6834,2,FALSE),"")</f>
        <v/>
      </c>
      <c r="D2503" s="481" t="str">
        <f>IFERROR(VLOOKUP(A2503,[3]DOORSCRIEFT!$A$2:$G$6834,3,FALSE),"")</f>
        <v/>
      </c>
      <c r="E2503" s="480" t="str">
        <f>IFERROR(VLOOKUP(A2503,[3]DOORSCRIEFT!$A$2:$G$6834,4,FALSE),"")</f>
        <v/>
      </c>
      <c r="F2503" s="405" t="str">
        <f>IFERROR(VLOOKUP(A2503,[3]DOORSCRIEFT!$A$2:$G$6834,7,FALSE),"")</f>
        <v/>
      </c>
      <c r="G2503" s="315"/>
    </row>
    <row r="2504" spans="1:7" x14ac:dyDescent="0.25">
      <c r="A2504" s="496" t="str">
        <f t="shared" si="85"/>
        <v>II.5.1.07127</v>
      </c>
      <c r="B2504" s="321">
        <v>127</v>
      </c>
      <c r="C2504" s="339" t="str">
        <f>IFERROR(VLOOKUP(A2504,[3]DOORSCRIEFT!$A$2:$G$6834,2,FALSE),"")</f>
        <v/>
      </c>
      <c r="D2504" s="481" t="str">
        <f>IFERROR(VLOOKUP(A2504,[3]DOORSCRIEFT!$A$2:$G$6834,3,FALSE),"")</f>
        <v/>
      </c>
      <c r="E2504" s="480" t="str">
        <f>IFERROR(VLOOKUP(A2504,[3]DOORSCRIEFT!$A$2:$G$6834,4,FALSE),"")</f>
        <v/>
      </c>
      <c r="F2504" s="405" t="str">
        <f>IFERROR(VLOOKUP(A2504,[3]DOORSCRIEFT!$A$2:$G$6834,7,FALSE),"")</f>
        <v/>
      </c>
      <c r="G2504" s="315"/>
    </row>
    <row r="2505" spans="1:7" x14ac:dyDescent="0.25">
      <c r="A2505" s="496" t="str">
        <f t="shared" si="85"/>
        <v>II.5.1.07128</v>
      </c>
      <c r="B2505" s="321">
        <v>128</v>
      </c>
      <c r="C2505" s="339" t="str">
        <f>IFERROR(VLOOKUP(A2505,[3]DOORSCRIEFT!$A$2:$G$6834,2,FALSE),"")</f>
        <v/>
      </c>
      <c r="D2505" s="481" t="str">
        <f>IFERROR(VLOOKUP(A2505,[3]DOORSCRIEFT!$A$2:$G$6834,3,FALSE),"")</f>
        <v/>
      </c>
      <c r="E2505" s="480" t="str">
        <f>IFERROR(VLOOKUP(A2505,[3]DOORSCRIEFT!$A$2:$G$6834,4,FALSE),"")</f>
        <v/>
      </c>
      <c r="F2505" s="405" t="str">
        <f>IFERROR(VLOOKUP(A2505,[3]DOORSCRIEFT!$A$2:$G$6834,7,FALSE),"")</f>
        <v/>
      </c>
      <c r="G2505" s="315"/>
    </row>
    <row r="2506" spans="1:7" x14ac:dyDescent="0.25">
      <c r="A2506" s="496" t="str">
        <f t="shared" ref="A2506:A2537" si="86">$G$2371&amp;B2506</f>
        <v>II.5.1.07129</v>
      </c>
      <c r="B2506" s="321">
        <v>129</v>
      </c>
      <c r="C2506" s="339" t="str">
        <f>IFERROR(VLOOKUP(A2506,[3]DOORSCRIEFT!$A$2:$G$6834,2,FALSE),"")</f>
        <v/>
      </c>
      <c r="D2506" s="481" t="str">
        <f>IFERROR(VLOOKUP(A2506,[3]DOORSCRIEFT!$A$2:$G$6834,3,FALSE),"")</f>
        <v/>
      </c>
      <c r="E2506" s="480" t="str">
        <f>IFERROR(VLOOKUP(A2506,[3]DOORSCRIEFT!$A$2:$G$6834,4,FALSE),"")</f>
        <v/>
      </c>
      <c r="F2506" s="405" t="str">
        <f>IFERROR(VLOOKUP(A2506,[3]DOORSCRIEFT!$A$2:$G$6834,7,FALSE),"")</f>
        <v/>
      </c>
      <c r="G2506" s="315"/>
    </row>
    <row r="2507" spans="1:7" x14ac:dyDescent="0.25">
      <c r="A2507" s="496" t="str">
        <f t="shared" si="86"/>
        <v>II.5.1.07130</v>
      </c>
      <c r="B2507" s="321">
        <v>130</v>
      </c>
      <c r="C2507" s="339" t="str">
        <f>IFERROR(VLOOKUP(A2507,[3]DOORSCRIEFT!$A$2:$G$6834,2,FALSE),"")</f>
        <v/>
      </c>
      <c r="D2507" s="481" t="str">
        <f>IFERROR(VLOOKUP(A2507,[3]DOORSCRIEFT!$A$2:$G$6834,3,FALSE),"")</f>
        <v/>
      </c>
      <c r="E2507" s="480" t="str">
        <f>IFERROR(VLOOKUP(A2507,[3]DOORSCRIEFT!$A$2:$G$6834,4,FALSE),"")</f>
        <v/>
      </c>
      <c r="F2507" s="405" t="str">
        <f>IFERROR(VLOOKUP(A2507,[3]DOORSCRIEFT!$A$2:$G$6834,7,FALSE),"")</f>
        <v/>
      </c>
      <c r="G2507" s="315"/>
    </row>
    <row r="2508" spans="1:7" x14ac:dyDescent="0.25">
      <c r="A2508" s="496" t="str">
        <f t="shared" si="86"/>
        <v>II.5.1.07131</v>
      </c>
      <c r="B2508" s="321">
        <v>131</v>
      </c>
      <c r="C2508" s="339" t="str">
        <f>IFERROR(VLOOKUP(A2508,[3]DOORSCRIEFT!$A$2:$G$6834,2,FALSE),"")</f>
        <v/>
      </c>
      <c r="D2508" s="481" t="str">
        <f>IFERROR(VLOOKUP(A2508,[3]DOORSCRIEFT!$A$2:$G$6834,3,FALSE),"")</f>
        <v/>
      </c>
      <c r="E2508" s="480" t="str">
        <f>IFERROR(VLOOKUP(A2508,[3]DOORSCRIEFT!$A$2:$G$6834,4,FALSE),"")</f>
        <v/>
      </c>
      <c r="F2508" s="405" t="str">
        <f>IFERROR(VLOOKUP(A2508,[3]DOORSCRIEFT!$A$2:$G$6834,7,FALSE),"")</f>
        <v/>
      </c>
      <c r="G2508" s="315"/>
    </row>
    <row r="2509" spans="1:7" x14ac:dyDescent="0.25">
      <c r="A2509" s="496" t="str">
        <f t="shared" si="86"/>
        <v>II.5.1.07132</v>
      </c>
      <c r="B2509" s="321">
        <v>132</v>
      </c>
      <c r="C2509" s="339" t="str">
        <f>IFERROR(VLOOKUP(A2509,[3]DOORSCRIEFT!$A$2:$G$6834,2,FALSE),"")</f>
        <v/>
      </c>
      <c r="D2509" s="481" t="str">
        <f>IFERROR(VLOOKUP(A2509,[3]DOORSCRIEFT!$A$2:$G$6834,3,FALSE),"")</f>
        <v/>
      </c>
      <c r="E2509" s="480" t="str">
        <f>IFERROR(VLOOKUP(A2509,[3]DOORSCRIEFT!$A$2:$G$6834,4,FALSE),"")</f>
        <v/>
      </c>
      <c r="F2509" s="405" t="str">
        <f>IFERROR(VLOOKUP(A2509,[3]DOORSCRIEFT!$A$2:$G$6834,7,FALSE),"")</f>
        <v/>
      </c>
      <c r="G2509" s="315"/>
    </row>
    <row r="2510" spans="1:7" x14ac:dyDescent="0.25">
      <c r="A2510" s="496" t="str">
        <f t="shared" si="86"/>
        <v>II.5.1.07133</v>
      </c>
      <c r="B2510" s="321">
        <v>133</v>
      </c>
      <c r="C2510" s="339" t="str">
        <f>IFERROR(VLOOKUP(A2510,[3]DOORSCRIEFT!$A$2:$G$6834,2,FALSE),"")</f>
        <v/>
      </c>
      <c r="D2510" s="481" t="str">
        <f>IFERROR(VLOOKUP(A2510,[3]DOORSCRIEFT!$A$2:$G$6834,3,FALSE),"")</f>
        <v/>
      </c>
      <c r="E2510" s="480" t="str">
        <f>IFERROR(VLOOKUP(A2510,[3]DOORSCRIEFT!$A$2:$G$6834,4,FALSE),"")</f>
        <v/>
      </c>
      <c r="F2510" s="405" t="str">
        <f>IFERROR(VLOOKUP(A2510,[3]DOORSCRIEFT!$A$2:$G$6834,7,FALSE),"")</f>
        <v/>
      </c>
      <c r="G2510" s="315"/>
    </row>
    <row r="2511" spans="1:7" x14ac:dyDescent="0.25">
      <c r="A2511" s="496" t="str">
        <f t="shared" si="86"/>
        <v>II.5.1.07134</v>
      </c>
      <c r="B2511" s="321">
        <v>134</v>
      </c>
      <c r="C2511" s="339" t="str">
        <f>IFERROR(VLOOKUP(A2511,[3]DOORSCRIEFT!$A$2:$G$6834,2,FALSE),"")</f>
        <v/>
      </c>
      <c r="D2511" s="481" t="str">
        <f>IFERROR(VLOOKUP(A2511,[3]DOORSCRIEFT!$A$2:$G$6834,3,FALSE),"")</f>
        <v/>
      </c>
      <c r="E2511" s="480" t="str">
        <f>IFERROR(VLOOKUP(A2511,[3]DOORSCRIEFT!$A$2:$G$6834,4,FALSE),"")</f>
        <v/>
      </c>
      <c r="F2511" s="405" t="str">
        <f>IFERROR(VLOOKUP(A2511,[3]DOORSCRIEFT!$A$2:$G$6834,7,FALSE),"")</f>
        <v/>
      </c>
      <c r="G2511" s="315"/>
    </row>
    <row r="2512" spans="1:7" x14ac:dyDescent="0.25">
      <c r="A2512" s="496" t="str">
        <f t="shared" si="86"/>
        <v>II.5.1.07135</v>
      </c>
      <c r="B2512" s="321">
        <v>135</v>
      </c>
      <c r="C2512" s="339" t="str">
        <f>IFERROR(VLOOKUP(A2512,[3]DOORSCRIEFT!$A$2:$G$6834,2,FALSE),"")</f>
        <v/>
      </c>
      <c r="D2512" s="481" t="str">
        <f>IFERROR(VLOOKUP(A2512,[3]DOORSCRIEFT!$A$2:$G$6834,3,FALSE),"")</f>
        <v/>
      </c>
      <c r="E2512" s="480" t="str">
        <f>IFERROR(VLOOKUP(A2512,[3]DOORSCRIEFT!$A$2:$G$6834,4,FALSE),"")</f>
        <v/>
      </c>
      <c r="F2512" s="405" t="str">
        <f>IFERROR(VLOOKUP(A2512,[3]DOORSCRIEFT!$A$2:$G$6834,7,FALSE),"")</f>
        <v/>
      </c>
      <c r="G2512" s="315"/>
    </row>
    <row r="2513" spans="1:7" x14ac:dyDescent="0.25">
      <c r="A2513" s="496" t="str">
        <f t="shared" si="86"/>
        <v>II.5.1.07136</v>
      </c>
      <c r="B2513" s="321">
        <v>136</v>
      </c>
      <c r="C2513" s="339" t="str">
        <f>IFERROR(VLOOKUP(A2513,[3]DOORSCRIEFT!$A$2:$G$6834,2,FALSE),"")</f>
        <v/>
      </c>
      <c r="D2513" s="481" t="str">
        <f>IFERROR(VLOOKUP(A2513,[3]DOORSCRIEFT!$A$2:$G$6834,3,FALSE),"")</f>
        <v/>
      </c>
      <c r="E2513" s="480" t="str">
        <f>IFERROR(VLOOKUP(A2513,[3]DOORSCRIEFT!$A$2:$G$6834,4,FALSE),"")</f>
        <v/>
      </c>
      <c r="F2513" s="405" t="str">
        <f>IFERROR(VLOOKUP(A2513,[3]DOORSCRIEFT!$A$2:$G$6834,7,FALSE),"")</f>
        <v/>
      </c>
      <c r="G2513" s="315"/>
    </row>
    <row r="2514" spans="1:7" x14ac:dyDescent="0.25">
      <c r="A2514" s="496" t="str">
        <f t="shared" si="86"/>
        <v>II.5.1.07137</v>
      </c>
      <c r="B2514" s="321">
        <v>137</v>
      </c>
      <c r="C2514" s="339" t="str">
        <f>IFERROR(VLOOKUP(A2514,[3]DOORSCRIEFT!$A$2:$G$6834,2,FALSE),"")</f>
        <v/>
      </c>
      <c r="D2514" s="481" t="str">
        <f>IFERROR(VLOOKUP(A2514,[3]DOORSCRIEFT!$A$2:$G$6834,3,FALSE),"")</f>
        <v/>
      </c>
      <c r="E2514" s="480" t="str">
        <f>IFERROR(VLOOKUP(A2514,[3]DOORSCRIEFT!$A$2:$G$6834,4,FALSE),"")</f>
        <v/>
      </c>
      <c r="F2514" s="405" t="str">
        <f>IFERROR(VLOOKUP(A2514,[3]DOORSCRIEFT!$A$2:$G$6834,7,FALSE),"")</f>
        <v/>
      </c>
      <c r="G2514" s="315"/>
    </row>
    <row r="2515" spans="1:7" x14ac:dyDescent="0.25">
      <c r="A2515" s="496" t="str">
        <f t="shared" si="86"/>
        <v>II.5.1.07138</v>
      </c>
      <c r="B2515" s="321">
        <v>138</v>
      </c>
      <c r="C2515" s="339" t="str">
        <f>IFERROR(VLOOKUP(A2515,[3]DOORSCRIEFT!$A$2:$G$6834,2,FALSE),"")</f>
        <v/>
      </c>
      <c r="D2515" s="481" t="str">
        <f>IFERROR(VLOOKUP(A2515,[3]DOORSCRIEFT!$A$2:$G$6834,3,FALSE),"")</f>
        <v/>
      </c>
      <c r="E2515" s="480" t="str">
        <f>IFERROR(VLOOKUP(A2515,[3]DOORSCRIEFT!$A$2:$G$6834,4,FALSE),"")</f>
        <v/>
      </c>
      <c r="F2515" s="405" t="str">
        <f>IFERROR(VLOOKUP(A2515,[3]DOORSCRIEFT!$A$2:$G$6834,7,FALSE),"")</f>
        <v/>
      </c>
      <c r="G2515" s="315"/>
    </row>
    <row r="2516" spans="1:7" x14ac:dyDescent="0.25">
      <c r="A2516" s="496" t="str">
        <f t="shared" si="86"/>
        <v>II.5.1.07139</v>
      </c>
      <c r="B2516" s="321">
        <v>139</v>
      </c>
      <c r="C2516" s="339" t="str">
        <f>IFERROR(VLOOKUP(A2516,[3]DOORSCRIEFT!$A$2:$G$6834,2,FALSE),"")</f>
        <v/>
      </c>
      <c r="D2516" s="481" t="str">
        <f>IFERROR(VLOOKUP(A2516,[3]DOORSCRIEFT!$A$2:$G$6834,3,FALSE),"")</f>
        <v/>
      </c>
      <c r="E2516" s="480" t="str">
        <f>IFERROR(VLOOKUP(A2516,[3]DOORSCRIEFT!$A$2:$G$6834,4,FALSE),"")</f>
        <v/>
      </c>
      <c r="F2516" s="405" t="str">
        <f>IFERROR(VLOOKUP(A2516,[3]DOORSCRIEFT!$A$2:$G$6834,7,FALSE),"")</f>
        <v/>
      </c>
      <c r="G2516" s="315"/>
    </row>
    <row r="2517" spans="1:7" x14ac:dyDescent="0.25">
      <c r="A2517" s="496" t="str">
        <f t="shared" si="86"/>
        <v>II.5.1.07140</v>
      </c>
      <c r="B2517" s="321">
        <v>140</v>
      </c>
      <c r="C2517" s="339" t="str">
        <f>IFERROR(VLOOKUP(A2517,[3]DOORSCRIEFT!$A$2:$G$6834,2,FALSE),"")</f>
        <v/>
      </c>
      <c r="D2517" s="481" t="str">
        <f>IFERROR(VLOOKUP(A2517,[3]DOORSCRIEFT!$A$2:$G$6834,3,FALSE),"")</f>
        <v/>
      </c>
      <c r="E2517" s="480" t="str">
        <f>IFERROR(VLOOKUP(A2517,[3]DOORSCRIEFT!$A$2:$G$6834,4,FALSE),"")</f>
        <v/>
      </c>
      <c r="F2517" s="405" t="str">
        <f>IFERROR(VLOOKUP(A2517,[3]DOORSCRIEFT!$A$2:$G$6834,7,FALSE),"")</f>
        <v/>
      </c>
      <c r="G2517" s="499"/>
    </row>
    <row r="2518" spans="1:7" x14ac:dyDescent="0.25">
      <c r="A2518" s="496" t="str">
        <f t="shared" si="86"/>
        <v>II.5.1.07141</v>
      </c>
      <c r="B2518" s="321">
        <v>141</v>
      </c>
      <c r="C2518" s="339" t="str">
        <f>IFERROR(VLOOKUP(A2518,[3]DOORSCRIEFT!$A$2:$G$6834,2,FALSE),"")</f>
        <v/>
      </c>
      <c r="D2518" s="481" t="str">
        <f>IFERROR(VLOOKUP(A2518,[3]DOORSCRIEFT!$A$2:$G$6834,3,FALSE),"")</f>
        <v/>
      </c>
      <c r="E2518" s="480" t="str">
        <f>IFERROR(VLOOKUP(A2518,[3]DOORSCRIEFT!$A$2:$G$6834,4,FALSE),"")</f>
        <v/>
      </c>
      <c r="F2518" s="405" t="str">
        <f>IFERROR(VLOOKUP(A2518,[3]DOORSCRIEFT!$A$2:$G$6834,7,FALSE),"")</f>
        <v/>
      </c>
      <c r="G2518" s="315"/>
    </row>
    <row r="2519" spans="1:7" x14ac:dyDescent="0.25">
      <c r="A2519" s="496" t="str">
        <f t="shared" si="86"/>
        <v>II.5.1.07142</v>
      </c>
      <c r="B2519" s="321">
        <v>142</v>
      </c>
      <c r="C2519" s="339" t="str">
        <f>IFERROR(VLOOKUP(A2519,[3]DOORSCRIEFT!$A$2:$G$6834,2,FALSE),"")</f>
        <v/>
      </c>
      <c r="D2519" s="481" t="str">
        <f>IFERROR(VLOOKUP(A2519,[3]DOORSCRIEFT!$A$2:$G$6834,3,FALSE),"")</f>
        <v/>
      </c>
      <c r="E2519" s="480" t="str">
        <f>IFERROR(VLOOKUP(A2519,[3]DOORSCRIEFT!$A$2:$G$6834,4,FALSE),"")</f>
        <v/>
      </c>
      <c r="F2519" s="405" t="str">
        <f>IFERROR(VLOOKUP(A2519,[3]DOORSCRIEFT!$A$2:$G$6834,7,FALSE),"")</f>
        <v/>
      </c>
      <c r="G2519" s="315"/>
    </row>
    <row r="2520" spans="1:7" x14ac:dyDescent="0.25">
      <c r="A2520" s="496" t="str">
        <f t="shared" si="86"/>
        <v>II.5.1.07143</v>
      </c>
      <c r="B2520" s="321">
        <v>143</v>
      </c>
      <c r="C2520" s="339" t="str">
        <f>IFERROR(VLOOKUP(A2520,[3]DOORSCRIEFT!$A$2:$G$6834,2,FALSE),"")</f>
        <v/>
      </c>
      <c r="D2520" s="481" t="str">
        <f>IFERROR(VLOOKUP(A2520,[3]DOORSCRIEFT!$A$2:$G$6834,3,FALSE),"")</f>
        <v/>
      </c>
      <c r="E2520" s="480" t="str">
        <f>IFERROR(VLOOKUP(A2520,[3]DOORSCRIEFT!$A$2:$G$6834,4,FALSE),"")</f>
        <v/>
      </c>
      <c r="F2520" s="405" t="str">
        <f>IFERROR(VLOOKUP(A2520,[3]DOORSCRIEFT!$A$2:$G$6834,7,FALSE),"")</f>
        <v/>
      </c>
      <c r="G2520" s="315"/>
    </row>
    <row r="2521" spans="1:7" x14ac:dyDescent="0.25">
      <c r="A2521" s="496" t="str">
        <f t="shared" si="86"/>
        <v>II.5.1.07144</v>
      </c>
      <c r="B2521" s="321">
        <v>144</v>
      </c>
      <c r="C2521" s="339" t="str">
        <f>IFERROR(VLOOKUP(A2521,[3]DOORSCRIEFT!$A$2:$G$6834,2,FALSE),"")</f>
        <v/>
      </c>
      <c r="D2521" s="481" t="str">
        <f>IFERROR(VLOOKUP(A2521,[3]DOORSCRIEFT!$A$2:$G$6834,3,FALSE),"")</f>
        <v/>
      </c>
      <c r="E2521" s="480" t="str">
        <f>IFERROR(VLOOKUP(A2521,[3]DOORSCRIEFT!$A$2:$G$6834,4,FALSE),"")</f>
        <v/>
      </c>
      <c r="F2521" s="405" t="str">
        <f>IFERROR(VLOOKUP(A2521,[3]DOORSCRIEFT!$A$2:$G$6834,7,FALSE),"")</f>
        <v/>
      </c>
      <c r="G2521" s="315"/>
    </row>
    <row r="2522" spans="1:7" x14ac:dyDescent="0.25">
      <c r="A2522" s="496" t="str">
        <f t="shared" si="86"/>
        <v>II.5.1.07145</v>
      </c>
      <c r="B2522" s="321">
        <v>145</v>
      </c>
      <c r="C2522" s="339" t="str">
        <f>IFERROR(VLOOKUP(A2522,[3]DOORSCRIEFT!$A$2:$G$6834,2,FALSE),"")</f>
        <v/>
      </c>
      <c r="D2522" s="481" t="str">
        <f>IFERROR(VLOOKUP(A2522,[3]DOORSCRIEFT!$A$2:$G$6834,3,FALSE),"")</f>
        <v/>
      </c>
      <c r="E2522" s="480" t="str">
        <f>IFERROR(VLOOKUP(A2522,[3]DOORSCRIEFT!$A$2:$G$6834,4,FALSE),"")</f>
        <v/>
      </c>
      <c r="F2522" s="405" t="str">
        <f>IFERROR(VLOOKUP(A2522,[3]DOORSCRIEFT!$A$2:$G$6834,7,FALSE),"")</f>
        <v/>
      </c>
      <c r="G2522" s="315"/>
    </row>
    <row r="2523" spans="1:7" x14ac:dyDescent="0.25">
      <c r="A2523" s="496" t="str">
        <f t="shared" si="86"/>
        <v>II.5.1.07146</v>
      </c>
      <c r="B2523" s="321">
        <v>146</v>
      </c>
      <c r="C2523" s="339" t="str">
        <f>IFERROR(VLOOKUP(A2523,[3]DOORSCRIEFT!$A$2:$G$6834,2,FALSE),"")</f>
        <v/>
      </c>
      <c r="D2523" s="481" t="str">
        <f>IFERROR(VLOOKUP(A2523,[3]DOORSCRIEFT!$A$2:$G$6834,3,FALSE),"")</f>
        <v/>
      </c>
      <c r="E2523" s="480" t="str">
        <f>IFERROR(VLOOKUP(A2523,[3]DOORSCRIEFT!$A$2:$G$6834,4,FALSE),"")</f>
        <v/>
      </c>
      <c r="F2523" s="405" t="str">
        <f>IFERROR(VLOOKUP(A2523,[3]DOORSCRIEFT!$A$2:$G$6834,7,FALSE),"")</f>
        <v/>
      </c>
      <c r="G2523" s="315"/>
    </row>
    <row r="2524" spans="1:7" x14ac:dyDescent="0.25">
      <c r="A2524" s="496" t="str">
        <f t="shared" si="86"/>
        <v>II.5.1.07147</v>
      </c>
      <c r="B2524" s="321">
        <v>147</v>
      </c>
      <c r="C2524" s="339" t="str">
        <f>IFERROR(VLOOKUP(A2524,[3]DOORSCRIEFT!$A$2:$G$6834,2,FALSE),"")</f>
        <v/>
      </c>
      <c r="D2524" s="481" t="str">
        <f>IFERROR(VLOOKUP(A2524,[3]DOORSCRIEFT!$A$2:$G$6834,3,FALSE),"")</f>
        <v/>
      </c>
      <c r="E2524" s="480" t="str">
        <f>IFERROR(VLOOKUP(A2524,[3]DOORSCRIEFT!$A$2:$G$6834,4,FALSE),"")</f>
        <v/>
      </c>
      <c r="F2524" s="405" t="str">
        <f>IFERROR(VLOOKUP(A2524,[3]DOORSCRIEFT!$A$2:$G$6834,7,FALSE),"")</f>
        <v/>
      </c>
      <c r="G2524" s="315"/>
    </row>
    <row r="2525" spans="1:7" x14ac:dyDescent="0.25">
      <c r="A2525" s="496" t="str">
        <f t="shared" si="86"/>
        <v>II.5.1.07148</v>
      </c>
      <c r="B2525" s="321">
        <v>148</v>
      </c>
      <c r="C2525" s="339" t="str">
        <f>IFERROR(VLOOKUP(A2525,[3]DOORSCRIEFT!$A$2:$G$6834,2,FALSE),"")</f>
        <v/>
      </c>
      <c r="D2525" s="481" t="str">
        <f>IFERROR(VLOOKUP(A2525,[3]DOORSCRIEFT!$A$2:$G$6834,3,FALSE),"")</f>
        <v/>
      </c>
      <c r="E2525" s="480" t="str">
        <f>IFERROR(VLOOKUP(A2525,[3]DOORSCRIEFT!$A$2:$G$6834,4,FALSE),"")</f>
        <v/>
      </c>
      <c r="F2525" s="405" t="str">
        <f>IFERROR(VLOOKUP(A2525,[3]DOORSCRIEFT!$A$2:$G$6834,7,FALSE),"")</f>
        <v/>
      </c>
      <c r="G2525" s="315"/>
    </row>
    <row r="2526" spans="1:7" x14ac:dyDescent="0.25">
      <c r="A2526" s="496" t="str">
        <f t="shared" si="86"/>
        <v>II.5.1.07149</v>
      </c>
      <c r="B2526" s="321">
        <v>149</v>
      </c>
      <c r="C2526" s="339" t="str">
        <f>IFERROR(VLOOKUP(A2526,[3]DOORSCRIEFT!$A$2:$G$6834,2,FALSE),"")</f>
        <v/>
      </c>
      <c r="D2526" s="481" t="str">
        <f>IFERROR(VLOOKUP(A2526,[3]DOORSCRIEFT!$A$2:$G$6834,3,FALSE),"")</f>
        <v/>
      </c>
      <c r="E2526" s="480" t="str">
        <f>IFERROR(VLOOKUP(A2526,[3]DOORSCRIEFT!$A$2:$G$6834,4,FALSE),"")</f>
        <v/>
      </c>
      <c r="F2526" s="405" t="str">
        <f>IFERROR(VLOOKUP(A2526,[3]DOORSCRIEFT!$A$2:$G$6834,7,FALSE),"")</f>
        <v/>
      </c>
      <c r="G2526" s="315"/>
    </row>
    <row r="2527" spans="1:7" ht="15.75" thickBot="1" x14ac:dyDescent="0.3">
      <c r="A2527" s="496" t="str">
        <f t="shared" si="86"/>
        <v>II.5.1.07150</v>
      </c>
      <c r="B2527" s="321">
        <v>150</v>
      </c>
      <c r="C2527" s="339" t="str">
        <f>IFERROR(VLOOKUP(A2527,[3]DOORSCRIEFT!$A$2:$G$6834,2,FALSE),"")</f>
        <v/>
      </c>
      <c r="D2527" s="481" t="str">
        <f>IFERROR(VLOOKUP(A2527,[3]DOORSCRIEFT!$A$2:$G$6834,3,FALSE),"")</f>
        <v/>
      </c>
      <c r="E2527" s="480" t="str">
        <f>IFERROR(VLOOKUP(A2527,[3]DOORSCRIEFT!$A$2:$G$6834,4,FALSE),"")</f>
        <v/>
      </c>
      <c r="F2527" s="405" t="str">
        <f>IFERROR(VLOOKUP(A2527,[3]DOORSCRIEFT!$A$2:$G$6834,7,FALSE),"")</f>
        <v/>
      </c>
      <c r="G2527" s="315"/>
    </row>
    <row r="2528" spans="1:7" ht="15.75" thickBot="1" x14ac:dyDescent="0.3">
      <c r="A2528" s="341"/>
      <c r="B2528" s="340"/>
      <c r="C2528" s="336"/>
      <c r="D2528" s="486"/>
      <c r="E2528" s="340" t="s">
        <v>644</v>
      </c>
      <c r="F2528" s="338">
        <f>SUM(F2378:F2527)</f>
        <v>61075000</v>
      </c>
      <c r="G2528" s="309">
        <f>SUM(G2378:G2527)</f>
        <v>0</v>
      </c>
    </row>
    <row r="2529" spans="1:7" x14ac:dyDescent="0.25">
      <c r="C2529" s="335"/>
      <c r="D2529" s="485"/>
    </row>
    <row r="2530" spans="1:7" x14ac:dyDescent="0.25">
      <c r="C2530" s="335"/>
      <c r="D2530" s="485"/>
    </row>
    <row r="2531" spans="1:7" ht="15.75" x14ac:dyDescent="0.25">
      <c r="C2531" s="334" t="s">
        <v>663</v>
      </c>
      <c r="D2531" s="484"/>
      <c r="E2531" s="333"/>
      <c r="F2531" s="327" t="s">
        <v>607</v>
      </c>
      <c r="G2531" s="327" t="s">
        <v>43</v>
      </c>
    </row>
    <row r="2532" spans="1:7" ht="15.75" x14ac:dyDescent="0.25">
      <c r="C2532" s="334"/>
      <c r="D2532" s="484"/>
      <c r="E2532" s="333"/>
      <c r="F2532" s="327" t="s">
        <v>601</v>
      </c>
      <c r="G2532" s="483" t="s">
        <v>42</v>
      </c>
    </row>
    <row r="2533" spans="1:7" x14ac:dyDescent="0.25">
      <c r="C2533" s="330"/>
      <c r="D2533" s="482"/>
      <c r="E2533" s="329"/>
      <c r="F2533" s="327" t="s">
        <v>651</v>
      </c>
      <c r="G2533" s="331">
        <f>[2]Sheet1!$D$597</f>
        <v>10000000</v>
      </c>
    </row>
    <row r="2534" spans="1:7" ht="15.75" thickBot="1" x14ac:dyDescent="0.3">
      <c r="C2534" s="330"/>
      <c r="D2534" s="482"/>
      <c r="E2534" s="329"/>
      <c r="F2534" s="327" t="s">
        <v>650</v>
      </c>
      <c r="G2534" s="326">
        <f>+F2566-G2533</f>
        <v>-9800000</v>
      </c>
    </row>
    <row r="2535" spans="1:7" x14ac:dyDescent="0.25">
      <c r="A2535" s="571" t="s">
        <v>655</v>
      </c>
      <c r="B2535" s="573" t="s">
        <v>606</v>
      </c>
      <c r="C2535" s="588" t="s">
        <v>649</v>
      </c>
      <c r="D2535" s="599" t="s">
        <v>648</v>
      </c>
      <c r="E2535" s="577" t="s">
        <v>647</v>
      </c>
      <c r="F2535" s="577" t="s">
        <v>646</v>
      </c>
      <c r="G2535" s="580" t="s">
        <v>645</v>
      </c>
    </row>
    <row r="2536" spans="1:7" ht="15.75" thickBot="1" x14ac:dyDescent="0.3">
      <c r="A2536" s="572"/>
      <c r="B2536" s="574"/>
      <c r="C2536" s="589"/>
      <c r="D2536" s="600"/>
      <c r="E2536" s="578"/>
      <c r="F2536" s="578"/>
      <c r="G2536" s="581"/>
    </row>
    <row r="2537" spans="1:7" ht="15.75" thickBot="1" x14ac:dyDescent="0.3">
      <c r="A2537" s="425">
        <v>1</v>
      </c>
      <c r="B2537" s="425">
        <v>2</v>
      </c>
      <c r="C2537" s="425">
        <v>3</v>
      </c>
      <c r="D2537" s="425">
        <v>4</v>
      </c>
      <c r="E2537" s="425">
        <v>5</v>
      </c>
      <c r="F2537" s="425">
        <v>6</v>
      </c>
      <c r="G2537" s="425">
        <v>7</v>
      </c>
    </row>
    <row r="2538" spans="1:7" x14ac:dyDescent="0.25">
      <c r="A2538" s="320" t="str">
        <f t="shared" ref="A2538:A2565" si="87">$G$2531&amp;B2538</f>
        <v>II.5.1.081</v>
      </c>
      <c r="B2538" s="320">
        <v>1</v>
      </c>
      <c r="C2538" s="339">
        <f>IFERROR(VLOOKUP(A2538,[3]DOORSCRIEFT!$A$2:$G$6834,2,FALSE),"")</f>
        <v>466</v>
      </c>
      <c r="D2538" s="481">
        <f>IFERROR(VLOOKUP(A2538,[3]DOORSCRIEFT!$A$2:$G$6834,3,FALSE),"")</f>
        <v>46115</v>
      </c>
      <c r="E2538" s="480">
        <f>IFERROR(VLOOKUP(A2538,[3]DOORSCRIEFT!$A$2:$G$6834,4,FALSE),"")</f>
        <v>0</v>
      </c>
      <c r="F2538" s="405">
        <f>IFERROR(VLOOKUP(A2538,[3]DOORSCRIEFT!$A$2:$G$6834,7,FALSE),"")</f>
        <v>200000</v>
      </c>
      <c r="G2538" s="322"/>
    </row>
    <row r="2539" spans="1:7" x14ac:dyDescent="0.25">
      <c r="A2539" s="321" t="str">
        <f t="shared" si="87"/>
        <v>II.5.1.082</v>
      </c>
      <c r="B2539" s="321">
        <v>2</v>
      </c>
      <c r="C2539" s="339" t="str">
        <f>IFERROR(VLOOKUP(A2539,[3]DOORSCRIEFT!$A$2:$G$6834,2,FALSE),"")</f>
        <v/>
      </c>
      <c r="D2539" s="481" t="str">
        <f>IFERROR(VLOOKUP(A2539,[3]DOORSCRIEFT!$A$2:$G$6834,3,FALSE),"")</f>
        <v/>
      </c>
      <c r="E2539" s="480" t="str">
        <f>IFERROR(VLOOKUP(A2539,[3]DOORSCRIEFT!$A$2:$G$6834,4,FALSE),"")</f>
        <v/>
      </c>
      <c r="F2539" s="405" t="str">
        <f>IFERROR(VLOOKUP(A2539,[3]DOORSCRIEFT!$A$2:$G$6834,7,FALSE),"")</f>
        <v/>
      </c>
      <c r="G2539" s="315"/>
    </row>
    <row r="2540" spans="1:7" x14ac:dyDescent="0.25">
      <c r="A2540" s="321" t="str">
        <f t="shared" si="87"/>
        <v>II.5.1.083</v>
      </c>
      <c r="B2540" s="321">
        <v>3</v>
      </c>
      <c r="C2540" s="339" t="str">
        <f>IFERROR(VLOOKUP(A2540,[3]DOORSCRIEFT!$A$2:$G$6834,2,FALSE),"")</f>
        <v/>
      </c>
      <c r="D2540" s="481" t="str">
        <f>IFERROR(VLOOKUP(A2540,[3]DOORSCRIEFT!$A$2:$G$6834,3,FALSE),"")</f>
        <v/>
      </c>
      <c r="E2540" s="480" t="str">
        <f>IFERROR(VLOOKUP(A2540,[3]DOORSCRIEFT!$A$2:$G$6834,4,FALSE),"")</f>
        <v/>
      </c>
      <c r="F2540" s="405" t="str">
        <f>IFERROR(VLOOKUP(A2540,[3]DOORSCRIEFT!$A$2:$G$6834,7,FALSE),"")</f>
        <v/>
      </c>
      <c r="G2540" s="315"/>
    </row>
    <row r="2541" spans="1:7" x14ac:dyDescent="0.25">
      <c r="A2541" s="321" t="str">
        <f t="shared" si="87"/>
        <v>II.5.1.084</v>
      </c>
      <c r="B2541" s="321">
        <v>4</v>
      </c>
      <c r="C2541" s="339" t="str">
        <f>IFERROR(VLOOKUP(A2541,[3]DOORSCRIEFT!$A$2:$G$6834,2,FALSE),"")</f>
        <v/>
      </c>
      <c r="D2541" s="481" t="str">
        <f>IFERROR(VLOOKUP(A2541,[3]DOORSCRIEFT!$A$2:$G$6834,3,FALSE),"")</f>
        <v/>
      </c>
      <c r="E2541" s="480" t="str">
        <f>IFERROR(VLOOKUP(A2541,[3]DOORSCRIEFT!$A$2:$G$6834,4,FALSE),"")</f>
        <v/>
      </c>
      <c r="F2541" s="405" t="str">
        <f>IFERROR(VLOOKUP(A2541,[3]DOORSCRIEFT!$A$2:$G$6834,7,FALSE),"")</f>
        <v/>
      </c>
      <c r="G2541" s="315"/>
    </row>
    <row r="2542" spans="1:7" x14ac:dyDescent="0.25">
      <c r="A2542" s="321" t="str">
        <f t="shared" si="87"/>
        <v>II.5.1.085</v>
      </c>
      <c r="B2542" s="321">
        <v>5</v>
      </c>
      <c r="C2542" s="339" t="str">
        <f>IFERROR(VLOOKUP(A2542,[3]DOORSCRIEFT!$A$2:$G$6834,2,FALSE),"")</f>
        <v/>
      </c>
      <c r="D2542" s="481" t="str">
        <f>IFERROR(VLOOKUP(A2542,[3]DOORSCRIEFT!$A$2:$G$6834,3,FALSE),"")</f>
        <v/>
      </c>
      <c r="E2542" s="480" t="str">
        <f>IFERROR(VLOOKUP(A2542,[3]DOORSCRIEFT!$A$2:$G$6834,4,FALSE),"")</f>
        <v/>
      </c>
      <c r="F2542" s="405" t="str">
        <f>IFERROR(VLOOKUP(A2542,[3]DOORSCRIEFT!$A$2:$G$6834,7,FALSE),"")</f>
        <v/>
      </c>
      <c r="G2542" s="315"/>
    </row>
    <row r="2543" spans="1:7" x14ac:dyDescent="0.25">
      <c r="A2543" s="321" t="str">
        <f t="shared" si="87"/>
        <v>II.5.1.086</v>
      </c>
      <c r="B2543" s="321">
        <v>6</v>
      </c>
      <c r="C2543" s="339" t="str">
        <f>IFERROR(VLOOKUP(A2543,[3]DOORSCRIEFT!$A$2:$G$6834,2,FALSE),"")</f>
        <v/>
      </c>
      <c r="D2543" s="481" t="str">
        <f>IFERROR(VLOOKUP(A2543,[3]DOORSCRIEFT!$A$2:$G$6834,3,FALSE),"")</f>
        <v/>
      </c>
      <c r="E2543" s="480" t="str">
        <f>IFERROR(VLOOKUP(A2543,[3]DOORSCRIEFT!$A$2:$G$6834,4,FALSE),"")</f>
        <v/>
      </c>
      <c r="F2543" s="405" t="str">
        <f>IFERROR(VLOOKUP(A2543,[3]DOORSCRIEFT!$A$2:$G$6834,7,FALSE),"")</f>
        <v/>
      </c>
      <c r="G2543" s="315"/>
    </row>
    <row r="2544" spans="1:7" x14ac:dyDescent="0.25">
      <c r="A2544" s="321" t="str">
        <f t="shared" si="87"/>
        <v>II.5.1.087</v>
      </c>
      <c r="B2544" s="321">
        <v>7</v>
      </c>
      <c r="C2544" s="339" t="str">
        <f>IFERROR(VLOOKUP(A2544,[3]DOORSCRIEFT!$A$2:$G$6834,2,FALSE),"")</f>
        <v/>
      </c>
      <c r="D2544" s="481" t="str">
        <f>IFERROR(VLOOKUP(A2544,[3]DOORSCRIEFT!$A$2:$G$6834,3,FALSE),"")</f>
        <v/>
      </c>
      <c r="E2544" s="480" t="str">
        <f>IFERROR(VLOOKUP(A2544,[3]DOORSCRIEFT!$A$2:$G$6834,4,FALSE),"")</f>
        <v/>
      </c>
      <c r="F2544" s="405" t="str">
        <f>IFERROR(VLOOKUP(A2544,[3]DOORSCRIEFT!$A$2:$G$6834,7,FALSE),"")</f>
        <v/>
      </c>
      <c r="G2544" s="315"/>
    </row>
    <row r="2545" spans="1:7" x14ac:dyDescent="0.25">
      <c r="A2545" s="321" t="str">
        <f t="shared" si="87"/>
        <v>II.5.1.088</v>
      </c>
      <c r="B2545" s="321">
        <v>8</v>
      </c>
      <c r="C2545" s="339" t="str">
        <f>IFERROR(VLOOKUP(A2545,[3]DOORSCRIEFT!$A$2:$G$6834,2,FALSE),"")</f>
        <v/>
      </c>
      <c r="D2545" s="481" t="str">
        <f>IFERROR(VLOOKUP(A2545,[3]DOORSCRIEFT!$A$2:$G$6834,3,FALSE),"")</f>
        <v/>
      </c>
      <c r="E2545" s="480" t="str">
        <f>IFERROR(VLOOKUP(A2545,[3]DOORSCRIEFT!$A$2:$G$6834,4,FALSE),"")</f>
        <v/>
      </c>
      <c r="F2545" s="405" t="str">
        <f>IFERROR(VLOOKUP(A2545,[3]DOORSCRIEFT!$A$2:$G$6834,7,FALSE),"")</f>
        <v/>
      </c>
      <c r="G2545" s="315"/>
    </row>
    <row r="2546" spans="1:7" x14ac:dyDescent="0.25">
      <c r="A2546" s="321" t="str">
        <f t="shared" si="87"/>
        <v>II.5.1.089</v>
      </c>
      <c r="B2546" s="321">
        <v>9</v>
      </c>
      <c r="C2546" s="339" t="str">
        <f>IFERROR(VLOOKUP(A2546,[3]DOORSCRIEFT!$A$2:$G$6834,2,FALSE),"")</f>
        <v/>
      </c>
      <c r="D2546" s="481" t="str">
        <f>IFERROR(VLOOKUP(A2546,[3]DOORSCRIEFT!$A$2:$G$6834,3,FALSE),"")</f>
        <v/>
      </c>
      <c r="E2546" s="480" t="str">
        <f>IFERROR(VLOOKUP(A2546,[3]DOORSCRIEFT!$A$2:$G$6834,4,FALSE),"")</f>
        <v/>
      </c>
      <c r="F2546" s="405" t="str">
        <f>IFERROR(VLOOKUP(A2546,[3]DOORSCRIEFT!$A$2:$G$6834,7,FALSE),"")</f>
        <v/>
      </c>
      <c r="G2546" s="315"/>
    </row>
    <row r="2547" spans="1:7" x14ac:dyDescent="0.25">
      <c r="A2547" s="321" t="str">
        <f t="shared" si="87"/>
        <v>II.5.1.0810</v>
      </c>
      <c r="B2547" s="321">
        <v>10</v>
      </c>
      <c r="C2547" s="339" t="str">
        <f>IFERROR(VLOOKUP(A2547,[3]DOORSCRIEFT!$A$2:$G$6834,2,FALSE),"")</f>
        <v/>
      </c>
      <c r="D2547" s="481" t="str">
        <f>IFERROR(VLOOKUP(A2547,[3]DOORSCRIEFT!$A$2:$G$6834,3,FALSE),"")</f>
        <v/>
      </c>
      <c r="E2547" s="480" t="str">
        <f>IFERROR(VLOOKUP(A2547,[3]DOORSCRIEFT!$A$2:$G$6834,4,FALSE),"")</f>
        <v/>
      </c>
      <c r="F2547" s="405" t="str">
        <f>IFERROR(VLOOKUP(A2547,[3]DOORSCRIEFT!$A$2:$G$6834,7,FALSE),"")</f>
        <v/>
      </c>
      <c r="G2547" s="315"/>
    </row>
    <row r="2548" spans="1:7" x14ac:dyDescent="0.25">
      <c r="A2548" s="321" t="str">
        <f t="shared" si="87"/>
        <v>II.5.1.0811</v>
      </c>
      <c r="B2548" s="321">
        <v>11</v>
      </c>
      <c r="C2548" s="339" t="str">
        <f>IFERROR(VLOOKUP(A2548,[3]DOORSCRIEFT!$A$2:$G$6834,2,FALSE),"")</f>
        <v/>
      </c>
      <c r="D2548" s="481" t="str">
        <f>IFERROR(VLOOKUP(A2548,[3]DOORSCRIEFT!$A$2:$G$6834,3,FALSE),"")</f>
        <v/>
      </c>
      <c r="E2548" s="480" t="str">
        <f>IFERROR(VLOOKUP(A2548,[3]DOORSCRIEFT!$A$2:$G$6834,4,FALSE),"")</f>
        <v/>
      </c>
      <c r="F2548" s="405" t="str">
        <f>IFERROR(VLOOKUP(A2548,[3]DOORSCRIEFT!$A$2:$G$6834,7,FALSE),"")</f>
        <v/>
      </c>
      <c r="G2548" s="315"/>
    </row>
    <row r="2549" spans="1:7" x14ac:dyDescent="0.25">
      <c r="A2549" s="321" t="str">
        <f t="shared" si="87"/>
        <v>II.5.1.0812</v>
      </c>
      <c r="B2549" s="321">
        <v>12</v>
      </c>
      <c r="C2549" s="339" t="str">
        <f>IFERROR(VLOOKUP(A2549,[3]DOORSCRIEFT!$A$2:$G$6834,2,FALSE),"")</f>
        <v/>
      </c>
      <c r="D2549" s="481" t="str">
        <f>IFERROR(VLOOKUP(A2549,[3]DOORSCRIEFT!$A$2:$G$6834,3,FALSE),"")</f>
        <v/>
      </c>
      <c r="E2549" s="480" t="str">
        <f>IFERROR(VLOOKUP(A2549,[3]DOORSCRIEFT!$A$2:$G$6834,4,FALSE),"")</f>
        <v/>
      </c>
      <c r="F2549" s="405" t="str">
        <f>IFERROR(VLOOKUP(A2549,[3]DOORSCRIEFT!$A$2:$G$6834,7,FALSE),"")</f>
        <v/>
      </c>
      <c r="G2549" s="315"/>
    </row>
    <row r="2550" spans="1:7" x14ac:dyDescent="0.25">
      <c r="A2550" s="321" t="str">
        <f t="shared" si="87"/>
        <v>II.5.1.0813</v>
      </c>
      <c r="B2550" s="321">
        <v>13</v>
      </c>
      <c r="C2550" s="339" t="str">
        <f>IFERROR(VLOOKUP(A2550,[3]DOORSCRIEFT!$A$2:$G$6834,2,FALSE),"")</f>
        <v/>
      </c>
      <c r="D2550" s="481" t="str">
        <f>IFERROR(VLOOKUP(A2550,[3]DOORSCRIEFT!$A$2:$G$6834,3,FALSE),"")</f>
        <v/>
      </c>
      <c r="E2550" s="480" t="str">
        <f>IFERROR(VLOOKUP(A2550,[3]DOORSCRIEFT!$A$2:$G$6834,4,FALSE),"")</f>
        <v/>
      </c>
      <c r="F2550" s="405" t="str">
        <f>IFERROR(VLOOKUP(A2550,[3]DOORSCRIEFT!$A$2:$G$6834,7,FALSE),"")</f>
        <v/>
      </c>
      <c r="G2550" s="315"/>
    </row>
    <row r="2551" spans="1:7" x14ac:dyDescent="0.25">
      <c r="A2551" s="321" t="str">
        <f t="shared" si="87"/>
        <v>II.5.1.0814</v>
      </c>
      <c r="B2551" s="321">
        <v>14</v>
      </c>
      <c r="C2551" s="339" t="str">
        <f>IFERROR(VLOOKUP(A2551,[3]DOORSCRIEFT!$A$2:$G$6834,2,FALSE),"")</f>
        <v/>
      </c>
      <c r="D2551" s="481" t="str">
        <f>IFERROR(VLOOKUP(A2551,[3]DOORSCRIEFT!$A$2:$G$6834,3,FALSE),"")</f>
        <v/>
      </c>
      <c r="E2551" s="480" t="str">
        <f>IFERROR(VLOOKUP(A2551,[3]DOORSCRIEFT!$A$2:$G$6834,4,FALSE),"")</f>
        <v/>
      </c>
      <c r="F2551" s="405" t="str">
        <f>IFERROR(VLOOKUP(A2551,[3]DOORSCRIEFT!$A$2:$G$6834,7,FALSE),"")</f>
        <v/>
      </c>
      <c r="G2551" s="315"/>
    </row>
    <row r="2552" spans="1:7" x14ac:dyDescent="0.25">
      <c r="A2552" s="321" t="str">
        <f t="shared" si="87"/>
        <v>II.5.1.0815</v>
      </c>
      <c r="B2552" s="321">
        <v>15</v>
      </c>
      <c r="C2552" s="339" t="str">
        <f>IFERROR(VLOOKUP(A2552,[3]DOORSCRIEFT!$A$2:$G$6834,2,FALSE),"")</f>
        <v/>
      </c>
      <c r="D2552" s="481" t="str">
        <f>IFERROR(VLOOKUP(A2552,[3]DOORSCRIEFT!$A$2:$G$6834,3,FALSE),"")</f>
        <v/>
      </c>
      <c r="E2552" s="480" t="str">
        <f>IFERROR(VLOOKUP(A2552,[3]DOORSCRIEFT!$A$2:$G$6834,4,FALSE),"")</f>
        <v/>
      </c>
      <c r="F2552" s="405" t="str">
        <f>IFERROR(VLOOKUP(A2552,[3]DOORSCRIEFT!$A$2:$G$6834,7,FALSE),"")</f>
        <v/>
      </c>
      <c r="G2552" s="315"/>
    </row>
    <row r="2553" spans="1:7" x14ac:dyDescent="0.25">
      <c r="A2553" s="321" t="str">
        <f t="shared" si="87"/>
        <v>II.5.1.0816</v>
      </c>
      <c r="B2553" s="321">
        <v>16</v>
      </c>
      <c r="C2553" s="339" t="str">
        <f>IFERROR(VLOOKUP(A2553,[3]DOORSCRIEFT!$A$2:$G$6834,2,FALSE),"")</f>
        <v/>
      </c>
      <c r="D2553" s="481" t="str">
        <f>IFERROR(VLOOKUP(A2553,[3]DOORSCRIEFT!$A$2:$G$6834,3,FALSE),"")</f>
        <v/>
      </c>
      <c r="E2553" s="480" t="str">
        <f>IFERROR(VLOOKUP(A2553,[3]DOORSCRIEFT!$A$2:$G$6834,4,FALSE),"")</f>
        <v/>
      </c>
      <c r="F2553" s="405" t="str">
        <f>IFERROR(VLOOKUP(A2553,[3]DOORSCRIEFT!$A$2:$G$6834,7,FALSE),"")</f>
        <v/>
      </c>
      <c r="G2553" s="315"/>
    </row>
    <row r="2554" spans="1:7" x14ac:dyDescent="0.25">
      <c r="A2554" s="321" t="str">
        <f t="shared" si="87"/>
        <v>II.5.1.0817</v>
      </c>
      <c r="B2554" s="321">
        <v>17</v>
      </c>
      <c r="C2554" s="339" t="str">
        <f>IFERROR(VLOOKUP(A2554,[3]DOORSCRIEFT!$A$2:$G$6834,2,FALSE),"")</f>
        <v/>
      </c>
      <c r="D2554" s="481" t="str">
        <f>IFERROR(VLOOKUP(A2554,[3]DOORSCRIEFT!$A$2:$G$6834,3,FALSE),"")</f>
        <v/>
      </c>
      <c r="E2554" s="480" t="str">
        <f>IFERROR(VLOOKUP(A2554,[3]DOORSCRIEFT!$A$2:$G$6834,4,FALSE),"")</f>
        <v/>
      </c>
      <c r="F2554" s="405" t="str">
        <f>IFERROR(VLOOKUP(A2554,[3]DOORSCRIEFT!$A$2:$G$6834,7,FALSE),"")</f>
        <v/>
      </c>
      <c r="G2554" s="315"/>
    </row>
    <row r="2555" spans="1:7" x14ac:dyDescent="0.25">
      <c r="A2555" s="321" t="str">
        <f t="shared" si="87"/>
        <v>II.5.1.0818</v>
      </c>
      <c r="B2555" s="321">
        <v>18</v>
      </c>
      <c r="C2555" s="339" t="str">
        <f>IFERROR(VLOOKUP(A2555,[3]DOORSCRIEFT!$A$2:$G$6834,2,FALSE),"")</f>
        <v/>
      </c>
      <c r="D2555" s="481" t="str">
        <f>IFERROR(VLOOKUP(A2555,[3]DOORSCRIEFT!$A$2:$G$6834,3,FALSE),"")</f>
        <v/>
      </c>
      <c r="E2555" s="480" t="str">
        <f>IFERROR(VLOOKUP(A2555,[3]DOORSCRIEFT!$A$2:$G$6834,4,FALSE),"")</f>
        <v/>
      </c>
      <c r="F2555" s="405" t="str">
        <f>IFERROR(VLOOKUP(A2555,[3]DOORSCRIEFT!$A$2:$G$6834,7,FALSE),"")</f>
        <v/>
      </c>
      <c r="G2555" s="315"/>
    </row>
    <row r="2556" spans="1:7" x14ac:dyDescent="0.25">
      <c r="A2556" s="321" t="str">
        <f t="shared" si="87"/>
        <v>II.5.1.0819</v>
      </c>
      <c r="B2556" s="321">
        <v>19</v>
      </c>
      <c r="C2556" s="339" t="str">
        <f>IFERROR(VLOOKUP(A2556,[3]DOORSCRIEFT!$A$2:$G$6834,2,FALSE),"")</f>
        <v/>
      </c>
      <c r="D2556" s="481" t="str">
        <f>IFERROR(VLOOKUP(A2556,[3]DOORSCRIEFT!$A$2:$G$6834,3,FALSE),"")</f>
        <v/>
      </c>
      <c r="E2556" s="480" t="str">
        <f>IFERROR(VLOOKUP(A2556,[3]DOORSCRIEFT!$A$2:$G$6834,4,FALSE),"")</f>
        <v/>
      </c>
      <c r="F2556" s="405" t="str">
        <f>IFERROR(VLOOKUP(A2556,[3]DOORSCRIEFT!$A$2:$G$6834,7,FALSE),"")</f>
        <v/>
      </c>
      <c r="G2556" s="315"/>
    </row>
    <row r="2557" spans="1:7" x14ac:dyDescent="0.25">
      <c r="A2557" s="321" t="str">
        <f t="shared" si="87"/>
        <v>II.5.1.0820</v>
      </c>
      <c r="B2557" s="321">
        <v>20</v>
      </c>
      <c r="C2557" s="339" t="str">
        <f>IFERROR(VLOOKUP(A2557,[3]DOORSCRIEFT!$A$2:$G$6834,2,FALSE),"")</f>
        <v/>
      </c>
      <c r="D2557" s="481" t="str">
        <f>IFERROR(VLOOKUP(A2557,[3]DOORSCRIEFT!$A$2:$G$6834,3,FALSE),"")</f>
        <v/>
      </c>
      <c r="E2557" s="480" t="str">
        <f>IFERROR(VLOOKUP(A2557,[3]DOORSCRIEFT!$A$2:$G$6834,4,FALSE),"")</f>
        <v/>
      </c>
      <c r="F2557" s="405" t="str">
        <f>IFERROR(VLOOKUP(A2557,[3]DOORSCRIEFT!$A$2:$G$6834,7,FALSE),"")</f>
        <v/>
      </c>
      <c r="G2557" s="315"/>
    </row>
    <row r="2558" spans="1:7" x14ac:dyDescent="0.25">
      <c r="A2558" s="321" t="str">
        <f t="shared" si="87"/>
        <v>II.5.1.0821</v>
      </c>
      <c r="B2558" s="321">
        <v>21</v>
      </c>
      <c r="C2558" s="339" t="str">
        <f>IFERROR(VLOOKUP(A2558,[3]DOORSCRIEFT!$A$2:$G$6834,2,FALSE),"")</f>
        <v/>
      </c>
      <c r="D2558" s="481" t="str">
        <f>IFERROR(VLOOKUP(A2558,[3]DOORSCRIEFT!$A$2:$G$6834,3,FALSE),"")</f>
        <v/>
      </c>
      <c r="E2558" s="480" t="str">
        <f>IFERROR(VLOOKUP(A2558,[3]DOORSCRIEFT!$A$2:$G$6834,4,FALSE),"")</f>
        <v/>
      </c>
      <c r="F2558" s="405" t="str">
        <f>IFERROR(VLOOKUP(A2558,[3]DOORSCRIEFT!$A$2:$G$6834,7,FALSE),"")</f>
        <v/>
      </c>
      <c r="G2558" s="315"/>
    </row>
    <row r="2559" spans="1:7" x14ac:dyDescent="0.25">
      <c r="A2559" s="321" t="str">
        <f t="shared" si="87"/>
        <v>II.5.1.0822</v>
      </c>
      <c r="B2559" s="321">
        <v>22</v>
      </c>
      <c r="C2559" s="339" t="str">
        <f>IFERROR(VLOOKUP(A2559,[3]DOORSCRIEFT!$A$2:$G$6834,2,FALSE),"")</f>
        <v/>
      </c>
      <c r="D2559" s="481" t="str">
        <f>IFERROR(VLOOKUP(A2559,[3]DOORSCRIEFT!$A$2:$G$6834,3,FALSE),"")</f>
        <v/>
      </c>
      <c r="E2559" s="480" t="str">
        <f>IFERROR(VLOOKUP(A2559,[3]DOORSCRIEFT!$A$2:$G$6834,4,FALSE),"")</f>
        <v/>
      </c>
      <c r="F2559" s="405" t="str">
        <f>IFERROR(VLOOKUP(A2559,[3]DOORSCRIEFT!$A$2:$G$6834,7,FALSE),"")</f>
        <v/>
      </c>
      <c r="G2559" s="315"/>
    </row>
    <row r="2560" spans="1:7" x14ac:dyDescent="0.25">
      <c r="A2560" s="321" t="str">
        <f t="shared" si="87"/>
        <v>II.5.1.0823</v>
      </c>
      <c r="B2560" s="321">
        <v>23</v>
      </c>
      <c r="C2560" s="339" t="str">
        <f>IFERROR(VLOOKUP(A2560,[3]DOORSCRIEFT!$A$2:$G$6834,2,FALSE),"")</f>
        <v/>
      </c>
      <c r="D2560" s="481" t="str">
        <f>IFERROR(VLOOKUP(A2560,[3]DOORSCRIEFT!$A$2:$G$6834,3,FALSE),"")</f>
        <v/>
      </c>
      <c r="E2560" s="480" t="str">
        <f>IFERROR(VLOOKUP(A2560,[3]DOORSCRIEFT!$A$2:$G$6834,4,FALSE),"")</f>
        <v/>
      </c>
      <c r="F2560" s="405" t="str">
        <f>IFERROR(VLOOKUP(A2560,[3]DOORSCRIEFT!$A$2:$G$6834,7,FALSE),"")</f>
        <v/>
      </c>
      <c r="G2560" s="315"/>
    </row>
    <row r="2561" spans="1:7" x14ac:dyDescent="0.25">
      <c r="A2561" s="321" t="str">
        <f t="shared" si="87"/>
        <v>II.5.1.0824</v>
      </c>
      <c r="B2561" s="321">
        <v>24</v>
      </c>
      <c r="C2561" s="339" t="str">
        <f>IFERROR(VLOOKUP(A2561,[3]DOORSCRIEFT!$A$2:$G$6834,2,FALSE),"")</f>
        <v/>
      </c>
      <c r="D2561" s="481" t="str">
        <f>IFERROR(VLOOKUP(A2561,[3]DOORSCRIEFT!$A$2:$G$6834,3,FALSE),"")</f>
        <v/>
      </c>
      <c r="E2561" s="480" t="str">
        <f>IFERROR(VLOOKUP(A2561,[3]DOORSCRIEFT!$A$2:$G$6834,4,FALSE),"")</f>
        <v/>
      </c>
      <c r="F2561" s="405" t="str">
        <f>IFERROR(VLOOKUP(A2561,[3]DOORSCRIEFT!$A$2:$G$6834,7,FALSE),"")</f>
        <v/>
      </c>
      <c r="G2561" s="315"/>
    </row>
    <row r="2562" spans="1:7" x14ac:dyDescent="0.25">
      <c r="A2562" s="321" t="str">
        <f t="shared" si="87"/>
        <v>II.5.1.0825</v>
      </c>
      <c r="B2562" s="321">
        <v>25</v>
      </c>
      <c r="C2562" s="339" t="str">
        <f>IFERROR(VLOOKUP(A2562,[3]DOORSCRIEFT!$A$2:$G$6834,2,FALSE),"")</f>
        <v/>
      </c>
      <c r="D2562" s="481" t="str">
        <f>IFERROR(VLOOKUP(A2562,[3]DOORSCRIEFT!$A$2:$G$6834,3,FALSE),"")</f>
        <v/>
      </c>
      <c r="E2562" s="480" t="str">
        <f>IFERROR(VLOOKUP(A2562,[3]DOORSCRIEFT!$A$2:$G$6834,4,FALSE),"")</f>
        <v/>
      </c>
      <c r="F2562" s="405" t="str">
        <f>IFERROR(VLOOKUP(A2562,[3]DOORSCRIEFT!$A$2:$G$6834,7,FALSE),"")</f>
        <v/>
      </c>
      <c r="G2562" s="315"/>
    </row>
    <row r="2563" spans="1:7" x14ac:dyDescent="0.25">
      <c r="A2563" s="321" t="str">
        <f t="shared" si="87"/>
        <v>II.5.1.0826</v>
      </c>
      <c r="B2563" s="321">
        <v>26</v>
      </c>
      <c r="C2563" s="339" t="str">
        <f>IFERROR(VLOOKUP(A2563,[3]DOORSCRIEFT!$A$2:$G$6834,2,FALSE),"")</f>
        <v/>
      </c>
      <c r="D2563" s="481" t="str">
        <f>IFERROR(VLOOKUP(A2563,[3]DOORSCRIEFT!$A$2:$G$6834,3,FALSE),"")</f>
        <v/>
      </c>
      <c r="E2563" s="480" t="str">
        <f>IFERROR(VLOOKUP(A2563,[3]DOORSCRIEFT!$A$2:$G$6834,4,FALSE),"")</f>
        <v/>
      </c>
      <c r="F2563" s="405" t="str">
        <f>IFERROR(VLOOKUP(A2563,[3]DOORSCRIEFT!$A$2:$G$6834,7,FALSE),"")</f>
        <v/>
      </c>
      <c r="G2563" s="315"/>
    </row>
    <row r="2564" spans="1:7" x14ac:dyDescent="0.25">
      <c r="A2564" s="321" t="str">
        <f t="shared" si="87"/>
        <v>II.5.1.0827</v>
      </c>
      <c r="B2564" s="321">
        <v>27</v>
      </c>
      <c r="C2564" s="339" t="str">
        <f>IFERROR(VLOOKUP(A2564,[3]DOORSCRIEFT!$A$2:$G$6834,2,FALSE),"")</f>
        <v/>
      </c>
      <c r="D2564" s="481" t="str">
        <f>IFERROR(VLOOKUP(A2564,[3]DOORSCRIEFT!$A$2:$G$6834,3,FALSE),"")</f>
        <v/>
      </c>
      <c r="E2564" s="480" t="str">
        <f>IFERROR(VLOOKUP(A2564,[3]DOORSCRIEFT!$A$2:$G$6834,4,FALSE),"")</f>
        <v/>
      </c>
      <c r="F2564" s="405" t="str">
        <f>IFERROR(VLOOKUP(A2564,[3]DOORSCRIEFT!$A$2:$G$6834,7,FALSE),"")</f>
        <v/>
      </c>
      <c r="G2564" s="315"/>
    </row>
    <row r="2565" spans="1:7" ht="15.75" thickBot="1" x14ac:dyDescent="0.3">
      <c r="A2565" s="342" t="str">
        <f t="shared" si="87"/>
        <v>II.5.1.0828</v>
      </c>
      <c r="B2565" s="342">
        <v>28</v>
      </c>
      <c r="C2565" s="339" t="str">
        <f>IFERROR(VLOOKUP(A2565,[3]DOORSCRIEFT!$A$2:$G$6834,2,FALSE),"")</f>
        <v/>
      </c>
      <c r="D2565" s="481" t="str">
        <f>IFERROR(VLOOKUP(A2565,[3]DOORSCRIEFT!$A$2:$G$6834,3,FALSE),"")</f>
        <v/>
      </c>
      <c r="E2565" s="480" t="str">
        <f>IFERROR(VLOOKUP(A2565,[3]DOORSCRIEFT!$A$2:$G$6834,4,FALSE),"")</f>
        <v/>
      </c>
      <c r="F2565" s="405" t="str">
        <f>IFERROR(VLOOKUP(A2565,[3]DOORSCRIEFT!$A$2:$G$6834,7,FALSE),"")</f>
        <v/>
      </c>
      <c r="G2565" s="315"/>
    </row>
    <row r="2566" spans="1:7" ht="15.75" thickBot="1" x14ac:dyDescent="0.3">
      <c r="A2566" s="341"/>
      <c r="B2566" s="340"/>
      <c r="C2566" s="336"/>
      <c r="D2566" s="486"/>
      <c r="E2566" s="340" t="s">
        <v>644</v>
      </c>
      <c r="F2566" s="310">
        <f>SUM(F2538:F2565)</f>
        <v>200000</v>
      </c>
      <c r="G2566" s="309">
        <f>SUM(G2538:G2565)</f>
        <v>0</v>
      </c>
    </row>
    <row r="2567" spans="1:7" x14ac:dyDescent="0.25">
      <c r="C2567" s="335"/>
      <c r="D2567" s="485"/>
    </row>
    <row r="2568" spans="1:7" x14ac:dyDescent="0.25">
      <c r="C2568" s="335"/>
      <c r="D2568" s="485"/>
    </row>
    <row r="2569" spans="1:7" ht="15.75" x14ac:dyDescent="0.25">
      <c r="C2569" s="334" t="s">
        <v>663</v>
      </c>
      <c r="D2569" s="484"/>
      <c r="E2569" s="333"/>
      <c r="F2569" s="327" t="s">
        <v>607</v>
      </c>
      <c r="G2569" s="327" t="s">
        <v>41</v>
      </c>
    </row>
    <row r="2570" spans="1:7" ht="15.75" x14ac:dyDescent="0.25">
      <c r="C2570" s="334"/>
      <c r="D2570" s="484"/>
      <c r="E2570" s="333"/>
      <c r="F2570" s="327" t="s">
        <v>601</v>
      </c>
      <c r="G2570" s="483" t="s">
        <v>40</v>
      </c>
    </row>
    <row r="2571" spans="1:7" x14ac:dyDescent="0.25">
      <c r="C2571" s="330"/>
      <c r="D2571" s="482"/>
      <c r="E2571" s="329"/>
      <c r="F2571" s="327" t="s">
        <v>651</v>
      </c>
      <c r="G2571" s="331">
        <f>[2]Sheet1!$D$598</f>
        <v>0</v>
      </c>
    </row>
    <row r="2572" spans="1:7" ht="15.75" thickBot="1" x14ac:dyDescent="0.3">
      <c r="C2572" s="330"/>
      <c r="D2572" s="482"/>
      <c r="E2572" s="329"/>
      <c r="F2572" s="327" t="s">
        <v>650</v>
      </c>
      <c r="G2572" s="326">
        <f>+F2591-G2571</f>
        <v>0</v>
      </c>
    </row>
    <row r="2573" spans="1:7" x14ac:dyDescent="0.25">
      <c r="A2573" s="571" t="s">
        <v>655</v>
      </c>
      <c r="B2573" s="573" t="s">
        <v>606</v>
      </c>
      <c r="C2573" s="588" t="s">
        <v>649</v>
      </c>
      <c r="D2573" s="599" t="s">
        <v>648</v>
      </c>
      <c r="E2573" s="577" t="s">
        <v>647</v>
      </c>
      <c r="F2573" s="577" t="s">
        <v>646</v>
      </c>
      <c r="G2573" s="580" t="s">
        <v>645</v>
      </c>
    </row>
    <row r="2574" spans="1:7" ht="15.75" thickBot="1" x14ac:dyDescent="0.3">
      <c r="A2574" s="572"/>
      <c r="B2574" s="574"/>
      <c r="C2574" s="589"/>
      <c r="D2574" s="600"/>
      <c r="E2574" s="578"/>
      <c r="F2574" s="578"/>
      <c r="G2574" s="581"/>
    </row>
    <row r="2575" spans="1:7" ht="15.75" thickBot="1" x14ac:dyDescent="0.3">
      <c r="A2575" s="425">
        <v>1</v>
      </c>
      <c r="B2575" s="425">
        <v>2</v>
      </c>
      <c r="C2575" s="425">
        <v>3</v>
      </c>
      <c r="D2575" s="425">
        <v>4</v>
      </c>
      <c r="E2575" s="425">
        <v>5</v>
      </c>
      <c r="F2575" s="425">
        <v>6</v>
      </c>
      <c r="G2575" s="425">
        <v>7</v>
      </c>
    </row>
    <row r="2576" spans="1:7" x14ac:dyDescent="0.25">
      <c r="A2576" s="320" t="str">
        <f t="shared" ref="A2576:A2590" si="88">$G$2569&amp;B2576</f>
        <v>II.5.1.091</v>
      </c>
      <c r="B2576" s="320">
        <v>1</v>
      </c>
      <c r="C2576" s="339" t="str">
        <f>IFERROR(VLOOKUP(A2576,[3]DOORSCRIEFT!$A$2:$G$6834,2,FALSE),"")</f>
        <v/>
      </c>
      <c r="D2576" s="481" t="str">
        <f>IFERROR(VLOOKUP(A2576,[3]DOORSCRIEFT!$A$2:$G$6834,3,FALSE),"")</f>
        <v/>
      </c>
      <c r="E2576" s="480" t="str">
        <f>IFERROR(VLOOKUP(A2576,[3]DOORSCRIEFT!$A$2:$G$6834,4,FALSE),"")</f>
        <v/>
      </c>
      <c r="F2576" s="405" t="str">
        <f>IFERROR(VLOOKUP(A2576,[3]DOORSCRIEFT!$A$2:$G$6834,7,FALSE),"")</f>
        <v/>
      </c>
      <c r="G2576" s="322"/>
    </row>
    <row r="2577" spans="1:7" x14ac:dyDescent="0.25">
      <c r="A2577" s="321" t="str">
        <f t="shared" si="88"/>
        <v>II.5.1.092</v>
      </c>
      <c r="B2577" s="321">
        <v>2</v>
      </c>
      <c r="C2577" s="339" t="str">
        <f>IFERROR(VLOOKUP(A2577,[3]DOORSCRIEFT!$A$2:$G$6834,2,FALSE),"")</f>
        <v/>
      </c>
      <c r="D2577" s="481" t="str">
        <f>IFERROR(VLOOKUP(A2577,[3]DOORSCRIEFT!$A$2:$G$6834,3,FALSE),"")</f>
        <v/>
      </c>
      <c r="E2577" s="480" t="str">
        <f>IFERROR(VLOOKUP(A2577,[3]DOORSCRIEFT!$A$2:$G$6834,4,FALSE),"")</f>
        <v/>
      </c>
      <c r="F2577" s="405" t="str">
        <f>IFERROR(VLOOKUP(A2577,[3]DOORSCRIEFT!$A$2:$G$6834,7,FALSE),"")</f>
        <v/>
      </c>
      <c r="G2577" s="315"/>
    </row>
    <row r="2578" spans="1:7" x14ac:dyDescent="0.25">
      <c r="A2578" s="321" t="str">
        <f t="shared" si="88"/>
        <v>II.5.1.093</v>
      </c>
      <c r="B2578" s="321">
        <v>3</v>
      </c>
      <c r="C2578" s="339" t="str">
        <f>IFERROR(VLOOKUP(A2578,[3]DOORSCRIEFT!$A$2:$G$6834,2,FALSE),"")</f>
        <v/>
      </c>
      <c r="D2578" s="481" t="str">
        <f>IFERROR(VLOOKUP(A2578,[3]DOORSCRIEFT!$A$2:$G$6834,3,FALSE),"")</f>
        <v/>
      </c>
      <c r="E2578" s="480" t="str">
        <f>IFERROR(VLOOKUP(A2578,[3]DOORSCRIEFT!$A$2:$G$6834,4,FALSE),"")</f>
        <v/>
      </c>
      <c r="F2578" s="405" t="str">
        <f>IFERROR(VLOOKUP(A2578,[3]DOORSCRIEFT!$A$2:$G$6834,7,FALSE),"")</f>
        <v/>
      </c>
      <c r="G2578" s="315"/>
    </row>
    <row r="2579" spans="1:7" x14ac:dyDescent="0.25">
      <c r="A2579" s="321" t="str">
        <f t="shared" si="88"/>
        <v>II.5.1.094</v>
      </c>
      <c r="B2579" s="321">
        <v>4</v>
      </c>
      <c r="C2579" s="339" t="str">
        <f>IFERROR(VLOOKUP(A2579,[3]DOORSCRIEFT!$A$2:$G$6834,2,FALSE),"")</f>
        <v/>
      </c>
      <c r="D2579" s="481" t="str">
        <f>IFERROR(VLOOKUP(A2579,[3]DOORSCRIEFT!$A$2:$G$6834,3,FALSE),"")</f>
        <v/>
      </c>
      <c r="E2579" s="480" t="str">
        <f>IFERROR(VLOOKUP(A2579,[3]DOORSCRIEFT!$A$2:$G$6834,4,FALSE),"")</f>
        <v/>
      </c>
      <c r="F2579" s="405" t="str">
        <f>IFERROR(VLOOKUP(A2579,[3]DOORSCRIEFT!$A$2:$G$6834,7,FALSE),"")</f>
        <v/>
      </c>
      <c r="G2579" s="315"/>
    </row>
    <row r="2580" spans="1:7" x14ac:dyDescent="0.25">
      <c r="A2580" s="321" t="str">
        <f t="shared" si="88"/>
        <v>II.5.1.095</v>
      </c>
      <c r="B2580" s="321">
        <v>5</v>
      </c>
      <c r="C2580" s="339" t="str">
        <f>IFERROR(VLOOKUP(A2580,[3]DOORSCRIEFT!$A$2:$G$6834,2,FALSE),"")</f>
        <v/>
      </c>
      <c r="D2580" s="481" t="str">
        <f>IFERROR(VLOOKUP(A2580,[3]DOORSCRIEFT!$A$2:$G$6834,3,FALSE),"")</f>
        <v/>
      </c>
      <c r="E2580" s="480" t="str">
        <f>IFERROR(VLOOKUP(A2580,[3]DOORSCRIEFT!$A$2:$G$6834,4,FALSE),"")</f>
        <v/>
      </c>
      <c r="F2580" s="405" t="str">
        <f>IFERROR(VLOOKUP(A2580,[3]DOORSCRIEFT!$A$2:$G$6834,7,FALSE),"")</f>
        <v/>
      </c>
      <c r="G2580" s="315"/>
    </row>
    <row r="2581" spans="1:7" x14ac:dyDescent="0.25">
      <c r="A2581" s="321" t="str">
        <f t="shared" si="88"/>
        <v>II.5.1.096</v>
      </c>
      <c r="B2581" s="321">
        <v>6</v>
      </c>
      <c r="C2581" s="339" t="str">
        <f>IFERROR(VLOOKUP(A2581,[3]DOORSCRIEFT!$A$2:$G$6834,2,FALSE),"")</f>
        <v/>
      </c>
      <c r="D2581" s="481" t="str">
        <f>IFERROR(VLOOKUP(A2581,[3]DOORSCRIEFT!$A$2:$G$6834,3,FALSE),"")</f>
        <v/>
      </c>
      <c r="E2581" s="480" t="str">
        <f>IFERROR(VLOOKUP(A2581,[3]DOORSCRIEFT!$A$2:$G$6834,4,FALSE),"")</f>
        <v/>
      </c>
      <c r="F2581" s="405" t="str">
        <f>IFERROR(VLOOKUP(A2581,[3]DOORSCRIEFT!$A$2:$G$6834,7,FALSE),"")</f>
        <v/>
      </c>
      <c r="G2581" s="315"/>
    </row>
    <row r="2582" spans="1:7" x14ac:dyDescent="0.25">
      <c r="A2582" s="321" t="str">
        <f t="shared" si="88"/>
        <v>II.5.1.097</v>
      </c>
      <c r="B2582" s="321">
        <v>7</v>
      </c>
      <c r="C2582" s="339" t="str">
        <f>IFERROR(VLOOKUP(A2582,[3]DOORSCRIEFT!$A$2:$G$6834,2,FALSE),"")</f>
        <v/>
      </c>
      <c r="D2582" s="481" t="str">
        <f>IFERROR(VLOOKUP(A2582,[3]DOORSCRIEFT!$A$2:$G$6834,3,FALSE),"")</f>
        <v/>
      </c>
      <c r="E2582" s="480" t="str">
        <f>IFERROR(VLOOKUP(A2582,[3]DOORSCRIEFT!$A$2:$G$6834,4,FALSE),"")</f>
        <v/>
      </c>
      <c r="F2582" s="405" t="str">
        <f>IFERROR(VLOOKUP(A2582,[3]DOORSCRIEFT!$A$2:$G$6834,7,FALSE),"")</f>
        <v/>
      </c>
      <c r="G2582" s="315"/>
    </row>
    <row r="2583" spans="1:7" x14ac:dyDescent="0.25">
      <c r="A2583" s="321" t="str">
        <f t="shared" si="88"/>
        <v>II.5.1.098</v>
      </c>
      <c r="B2583" s="321">
        <v>8</v>
      </c>
      <c r="C2583" s="339" t="str">
        <f>IFERROR(VLOOKUP(A2583,[3]DOORSCRIEFT!$A$2:$G$6834,2,FALSE),"")</f>
        <v/>
      </c>
      <c r="D2583" s="481" t="str">
        <f>IFERROR(VLOOKUP(A2583,[3]DOORSCRIEFT!$A$2:$G$6834,3,FALSE),"")</f>
        <v/>
      </c>
      <c r="E2583" s="480" t="str">
        <f>IFERROR(VLOOKUP(A2583,[3]DOORSCRIEFT!$A$2:$G$6834,4,FALSE),"")</f>
        <v/>
      </c>
      <c r="F2583" s="405" t="str">
        <f>IFERROR(VLOOKUP(A2583,[3]DOORSCRIEFT!$A$2:$G$6834,7,FALSE),"")</f>
        <v/>
      </c>
      <c r="G2583" s="315"/>
    </row>
    <row r="2584" spans="1:7" x14ac:dyDescent="0.25">
      <c r="A2584" s="321" t="str">
        <f t="shared" si="88"/>
        <v>II.5.1.099</v>
      </c>
      <c r="B2584" s="321">
        <v>9</v>
      </c>
      <c r="C2584" s="339" t="str">
        <f>IFERROR(VLOOKUP(A2584,[3]DOORSCRIEFT!$A$2:$G$6834,2,FALSE),"")</f>
        <v/>
      </c>
      <c r="D2584" s="481" t="str">
        <f>IFERROR(VLOOKUP(A2584,[3]DOORSCRIEFT!$A$2:$G$6834,3,FALSE),"")</f>
        <v/>
      </c>
      <c r="E2584" s="480" t="str">
        <f>IFERROR(VLOOKUP(A2584,[3]DOORSCRIEFT!$A$2:$G$6834,4,FALSE),"")</f>
        <v/>
      </c>
      <c r="F2584" s="405" t="str">
        <f>IFERROR(VLOOKUP(A2584,[3]DOORSCRIEFT!$A$2:$G$6834,7,FALSE),"")</f>
        <v/>
      </c>
      <c r="G2584" s="315"/>
    </row>
    <row r="2585" spans="1:7" x14ac:dyDescent="0.25">
      <c r="A2585" s="321" t="str">
        <f t="shared" si="88"/>
        <v>II.5.1.0910</v>
      </c>
      <c r="B2585" s="321">
        <v>10</v>
      </c>
      <c r="C2585" s="339" t="str">
        <f>IFERROR(VLOOKUP(A2585,[3]DOORSCRIEFT!$A$2:$G$6834,2,FALSE),"")</f>
        <v/>
      </c>
      <c r="D2585" s="481" t="str">
        <f>IFERROR(VLOOKUP(A2585,[3]DOORSCRIEFT!$A$2:$G$6834,3,FALSE),"")</f>
        <v/>
      </c>
      <c r="E2585" s="480" t="str">
        <f>IFERROR(VLOOKUP(A2585,[3]DOORSCRIEFT!$A$2:$G$6834,4,FALSE),"")</f>
        <v/>
      </c>
      <c r="F2585" s="405" t="str">
        <f>IFERROR(VLOOKUP(A2585,[3]DOORSCRIEFT!$A$2:$G$6834,7,FALSE),"")</f>
        <v/>
      </c>
      <c r="G2585" s="315"/>
    </row>
    <row r="2586" spans="1:7" x14ac:dyDescent="0.25">
      <c r="A2586" s="321" t="str">
        <f t="shared" si="88"/>
        <v>II.5.1.0911</v>
      </c>
      <c r="B2586" s="321">
        <v>11</v>
      </c>
      <c r="C2586" s="339" t="str">
        <f>IFERROR(VLOOKUP(A2586,[3]DOORSCRIEFT!$A$2:$G$6834,2,FALSE),"")</f>
        <v/>
      </c>
      <c r="D2586" s="481" t="str">
        <f>IFERROR(VLOOKUP(A2586,[3]DOORSCRIEFT!$A$2:$G$6834,3,FALSE),"")</f>
        <v/>
      </c>
      <c r="E2586" s="480" t="str">
        <f>IFERROR(VLOOKUP(A2586,[3]DOORSCRIEFT!$A$2:$G$6834,4,FALSE),"")</f>
        <v/>
      </c>
      <c r="F2586" s="405" t="str">
        <f>IFERROR(VLOOKUP(A2586,[3]DOORSCRIEFT!$A$2:$G$6834,7,FALSE),"")</f>
        <v/>
      </c>
      <c r="G2586" s="315"/>
    </row>
    <row r="2587" spans="1:7" x14ac:dyDescent="0.25">
      <c r="A2587" s="321" t="str">
        <f t="shared" si="88"/>
        <v>II.5.1.0912</v>
      </c>
      <c r="B2587" s="321">
        <v>12</v>
      </c>
      <c r="C2587" s="339" t="str">
        <f>IFERROR(VLOOKUP(A2587,[3]DOORSCRIEFT!$A$2:$G$6834,2,FALSE),"")</f>
        <v/>
      </c>
      <c r="D2587" s="481" t="str">
        <f>IFERROR(VLOOKUP(A2587,[3]DOORSCRIEFT!$A$2:$G$6834,3,FALSE),"")</f>
        <v/>
      </c>
      <c r="E2587" s="480" t="str">
        <f>IFERROR(VLOOKUP(A2587,[3]DOORSCRIEFT!$A$2:$G$6834,4,FALSE),"")</f>
        <v/>
      </c>
      <c r="F2587" s="405" t="str">
        <f>IFERROR(VLOOKUP(A2587,[3]DOORSCRIEFT!$A$2:$G$6834,7,FALSE),"")</f>
        <v/>
      </c>
      <c r="G2587" s="315"/>
    </row>
    <row r="2588" spans="1:7" x14ac:dyDescent="0.25">
      <c r="A2588" s="321" t="str">
        <f t="shared" si="88"/>
        <v>II.5.1.0913</v>
      </c>
      <c r="B2588" s="321">
        <v>13</v>
      </c>
      <c r="C2588" s="339" t="str">
        <f>IFERROR(VLOOKUP(A2588,[3]DOORSCRIEFT!$A$2:$G$6834,2,FALSE),"")</f>
        <v/>
      </c>
      <c r="D2588" s="481" t="str">
        <f>IFERROR(VLOOKUP(A2588,[3]DOORSCRIEFT!$A$2:$G$6834,3,FALSE),"")</f>
        <v/>
      </c>
      <c r="E2588" s="480" t="str">
        <f>IFERROR(VLOOKUP(A2588,[3]DOORSCRIEFT!$A$2:$G$6834,4,FALSE),"")</f>
        <v/>
      </c>
      <c r="F2588" s="405" t="str">
        <f>IFERROR(VLOOKUP(A2588,[3]DOORSCRIEFT!$A$2:$G$6834,7,FALSE),"")</f>
        <v/>
      </c>
      <c r="G2588" s="315"/>
    </row>
    <row r="2589" spans="1:7" x14ac:dyDescent="0.25">
      <c r="A2589" s="321" t="str">
        <f t="shared" si="88"/>
        <v>II.5.1.0914</v>
      </c>
      <c r="B2589" s="321">
        <v>14</v>
      </c>
      <c r="C2589" s="339" t="str">
        <f>IFERROR(VLOOKUP(A2589,[3]DOORSCRIEFT!$A$2:$G$6834,2,FALSE),"")</f>
        <v/>
      </c>
      <c r="D2589" s="481" t="str">
        <f>IFERROR(VLOOKUP(A2589,[3]DOORSCRIEFT!$A$2:$G$6834,3,FALSE),"")</f>
        <v/>
      </c>
      <c r="E2589" s="480" t="str">
        <f>IFERROR(VLOOKUP(A2589,[3]DOORSCRIEFT!$A$2:$G$6834,4,FALSE),"")</f>
        <v/>
      </c>
      <c r="F2589" s="405" t="str">
        <f>IFERROR(VLOOKUP(A2589,[3]DOORSCRIEFT!$A$2:$G$6834,7,FALSE),"")</f>
        <v/>
      </c>
      <c r="G2589" s="315"/>
    </row>
    <row r="2590" spans="1:7" ht="15.75" thickBot="1" x14ac:dyDescent="0.3">
      <c r="A2590" s="342" t="str">
        <f t="shared" si="88"/>
        <v>II.5.1.0915</v>
      </c>
      <c r="B2590" s="342">
        <v>15</v>
      </c>
      <c r="C2590" s="339" t="str">
        <f>IFERROR(VLOOKUP(A2590,[3]DOORSCRIEFT!$A$2:$G$6834,2,FALSE),"")</f>
        <v/>
      </c>
      <c r="D2590" s="481" t="str">
        <f>IFERROR(VLOOKUP(A2590,[3]DOORSCRIEFT!$A$2:$G$6834,3,FALSE),"")</f>
        <v/>
      </c>
      <c r="E2590" s="480" t="str">
        <f>IFERROR(VLOOKUP(A2590,[3]DOORSCRIEFT!$A$2:$G$6834,4,FALSE),"")</f>
        <v/>
      </c>
      <c r="F2590" s="405" t="str">
        <f>IFERROR(VLOOKUP(A2590,[3]DOORSCRIEFT!$A$2:$G$6834,7,FALSE),"")</f>
        <v/>
      </c>
      <c r="G2590" s="315"/>
    </row>
    <row r="2591" spans="1:7" ht="15.75" thickBot="1" x14ac:dyDescent="0.3">
      <c r="A2591" s="341"/>
      <c r="B2591" s="340"/>
      <c r="C2591" s="336"/>
      <c r="D2591" s="486"/>
      <c r="E2591" s="340" t="s">
        <v>644</v>
      </c>
      <c r="F2591" s="310">
        <f>SUM(F2576:F2590)</f>
        <v>0</v>
      </c>
      <c r="G2591" s="309">
        <f>SUM(G2576:G2590)</f>
        <v>0</v>
      </c>
    </row>
    <row r="2592" spans="1:7" x14ac:dyDescent="0.25">
      <c r="C2592" s="335"/>
      <c r="D2592" s="485"/>
    </row>
    <row r="2593" spans="1:7" x14ac:dyDescent="0.25">
      <c r="C2593" s="335"/>
      <c r="D2593" s="485"/>
    </row>
    <row r="2594" spans="1:7" ht="15.75" x14ac:dyDescent="0.25">
      <c r="C2594" s="334" t="s">
        <v>663</v>
      </c>
      <c r="D2594" s="484"/>
      <c r="E2594" s="333"/>
      <c r="F2594" s="327" t="s">
        <v>607</v>
      </c>
      <c r="G2594" s="327" t="s">
        <v>39</v>
      </c>
    </row>
    <row r="2595" spans="1:7" ht="15.75" x14ac:dyDescent="0.25">
      <c r="C2595" s="334"/>
      <c r="D2595" s="484"/>
      <c r="E2595" s="333"/>
      <c r="F2595" s="327" t="s">
        <v>601</v>
      </c>
      <c r="G2595" s="483" t="s">
        <v>38</v>
      </c>
    </row>
    <row r="2596" spans="1:7" x14ac:dyDescent="0.25">
      <c r="C2596" s="330"/>
      <c r="D2596" s="482"/>
      <c r="E2596" s="329"/>
      <c r="F2596" s="327" t="s">
        <v>651</v>
      </c>
      <c r="G2596" s="331">
        <f>[2]Sheet1!$D$599</f>
        <v>18000000</v>
      </c>
    </row>
    <row r="2597" spans="1:7" ht="15.75" thickBot="1" x14ac:dyDescent="0.3">
      <c r="C2597" s="330"/>
      <c r="D2597" s="482"/>
      <c r="E2597" s="329"/>
      <c r="F2597" s="327" t="s">
        <v>650</v>
      </c>
      <c r="G2597" s="326">
        <f>+F2690-G2596</f>
        <v>-11838000</v>
      </c>
    </row>
    <row r="2598" spans="1:7" x14ac:dyDescent="0.25">
      <c r="A2598" s="571" t="s">
        <v>655</v>
      </c>
      <c r="B2598" s="573" t="s">
        <v>606</v>
      </c>
      <c r="C2598" s="588" t="s">
        <v>649</v>
      </c>
      <c r="D2598" s="599" t="s">
        <v>648</v>
      </c>
      <c r="E2598" s="577" t="s">
        <v>647</v>
      </c>
      <c r="F2598" s="577" t="s">
        <v>646</v>
      </c>
      <c r="G2598" s="580" t="s">
        <v>645</v>
      </c>
    </row>
    <row r="2599" spans="1:7" ht="15.75" thickBot="1" x14ac:dyDescent="0.3">
      <c r="A2599" s="572"/>
      <c r="B2599" s="574"/>
      <c r="C2599" s="589"/>
      <c r="D2599" s="600"/>
      <c r="E2599" s="578"/>
      <c r="F2599" s="578"/>
      <c r="G2599" s="581"/>
    </row>
    <row r="2600" spans="1:7" ht="15.75" thickBot="1" x14ac:dyDescent="0.3">
      <c r="A2600" s="425">
        <v>1</v>
      </c>
      <c r="B2600" s="425">
        <v>2</v>
      </c>
      <c r="C2600" s="425">
        <v>3</v>
      </c>
      <c r="D2600" s="425">
        <v>4</v>
      </c>
      <c r="E2600" s="425">
        <v>5</v>
      </c>
      <c r="F2600" s="425">
        <v>6</v>
      </c>
      <c r="G2600" s="425">
        <v>7</v>
      </c>
    </row>
    <row r="2601" spans="1:7" x14ac:dyDescent="0.25">
      <c r="A2601" s="498" t="str">
        <f t="shared" ref="A2601:A2632" si="89">$G$2594&amp;B2601</f>
        <v>II.5.1.101</v>
      </c>
      <c r="B2601" s="497">
        <v>1</v>
      </c>
      <c r="C2601" s="339">
        <f>IFERROR(VLOOKUP(A2601,[3]DOORSCRIEFT!$A$2:$G$6834,2,FALSE),"")</f>
        <v>4</v>
      </c>
      <c r="D2601" s="481">
        <f>IFERROR(VLOOKUP(A2601,[3]DOORSCRIEFT!$A$2:$G$6834,3,FALSE),"")</f>
        <v>46023</v>
      </c>
      <c r="E2601" s="480" t="str">
        <f>IFERROR(VLOOKUP(A2601,[3]DOORSCRIEFT!$A$2:$G$6834,4,FALSE),"")</f>
        <v>Belanja Bulan Tugas Januari</v>
      </c>
      <c r="F2601" s="405">
        <f>IFERROR(VLOOKUP(A2601,[3]DOORSCRIEFT!$A$2:$G$6834,7,FALSE),"")</f>
        <v>650000</v>
      </c>
      <c r="G2601" s="377"/>
    </row>
    <row r="2602" spans="1:7" x14ac:dyDescent="0.25">
      <c r="A2602" s="496" t="str">
        <f t="shared" si="89"/>
        <v>II.5.1.102</v>
      </c>
      <c r="B2602" s="321">
        <v>2</v>
      </c>
      <c r="C2602" s="339">
        <f>IFERROR(VLOOKUP(A2602,[3]DOORSCRIEFT!$A$2:$G$6834,2,FALSE),"")</f>
        <v>30</v>
      </c>
      <c r="D2602" s="481">
        <f>IFERROR(VLOOKUP(A2602,[3]DOORSCRIEFT!$A$2:$G$6834,3,FALSE),"")</f>
        <v>46028</v>
      </c>
      <c r="E2602" s="480" t="str">
        <f>IFERROR(VLOOKUP(A2602,[3]DOORSCRIEFT!$A$2:$G$6834,4,FALSE),"")</f>
        <v>Beli Lilin</v>
      </c>
      <c r="F2602" s="405">
        <f>IFERROR(VLOOKUP(A2602,[3]DOORSCRIEFT!$A$2:$G$6834,7,FALSE),"")</f>
        <v>85000</v>
      </c>
      <c r="G2602" s="315"/>
    </row>
    <row r="2603" spans="1:7" x14ac:dyDescent="0.25">
      <c r="A2603" s="496" t="str">
        <f t="shared" si="89"/>
        <v>II.5.1.103</v>
      </c>
      <c r="B2603" s="321">
        <v>3</v>
      </c>
      <c r="C2603" s="339">
        <f>IFERROR(VLOOKUP(A2603,[3]DOORSCRIEFT!$A$2:$G$6834,2,FALSE),"")</f>
        <v>67</v>
      </c>
      <c r="D2603" s="481">
        <f>IFERROR(VLOOKUP(A2603,[3]DOORSCRIEFT!$A$2:$G$6834,3,FALSE),"")</f>
        <v>46038</v>
      </c>
      <c r="E2603" s="480" t="str">
        <f>IFERROR(VLOOKUP(A2603,[3]DOORSCRIEFT!$A$2:$G$6834,4,FALSE),"")</f>
        <v>Beli sapu untuk Gereja SK</v>
      </c>
      <c r="F2603" s="405">
        <f>IFERROR(VLOOKUP(A2603,[3]DOORSCRIEFT!$A$2:$G$6834,7,FALSE),"")</f>
        <v>300000</v>
      </c>
      <c r="G2603" s="315"/>
    </row>
    <row r="2604" spans="1:7" x14ac:dyDescent="0.25">
      <c r="A2604" s="496" t="str">
        <f t="shared" si="89"/>
        <v>II.5.1.104</v>
      </c>
      <c r="B2604" s="321">
        <v>4</v>
      </c>
      <c r="C2604" s="339">
        <f>IFERROR(VLOOKUP(A2604,[3]DOORSCRIEFT!$A$2:$G$6834,2,FALSE),"")</f>
        <v>82</v>
      </c>
      <c r="D2604" s="481">
        <f>IFERROR(VLOOKUP(A2604,[3]DOORSCRIEFT!$A$2:$G$6834,3,FALSE),"")</f>
        <v>46040</v>
      </c>
      <c r="E2604" s="480" t="str">
        <f>IFERROR(VLOOKUP(A2604,[3]DOORSCRIEFT!$A$2:$G$6834,4,FALSE),"")</f>
        <v>Beli Masker 1 dos</v>
      </c>
      <c r="F2604" s="405">
        <f>IFERROR(VLOOKUP(A2604,[3]DOORSCRIEFT!$A$2:$G$6834,7,FALSE),"")</f>
        <v>50000</v>
      </c>
      <c r="G2604" s="315"/>
    </row>
    <row r="2605" spans="1:7" x14ac:dyDescent="0.25">
      <c r="A2605" s="496" t="str">
        <f t="shared" si="89"/>
        <v>II.5.1.105</v>
      </c>
      <c r="B2605" s="321">
        <v>5</v>
      </c>
      <c r="C2605" s="339">
        <f>IFERROR(VLOOKUP(A2605,[3]DOORSCRIEFT!$A$2:$G$6834,2,FALSE),"")</f>
        <v>115</v>
      </c>
      <c r="D2605" s="481">
        <f>IFERROR(VLOOKUP(A2605,[3]DOORSCRIEFT!$A$2:$G$6834,3,FALSE),"")</f>
        <v>46047</v>
      </c>
      <c r="E2605" s="480" t="str">
        <f>IFERROR(VLOOKUP(A2605,[3]DOORSCRIEFT!$A$2:$G$6834,4,FALSE),"")</f>
        <v>Belanja Kebutuhan Bulan Tugas Februari</v>
      </c>
      <c r="F2605" s="405">
        <f>IFERROR(VLOOKUP(A2605,[3]DOORSCRIEFT!$A$2:$G$6834,7,FALSE),"")</f>
        <v>650000</v>
      </c>
      <c r="G2605" s="315"/>
    </row>
    <row r="2606" spans="1:7" x14ac:dyDescent="0.25">
      <c r="A2606" s="496" t="str">
        <f t="shared" si="89"/>
        <v>II.5.1.106</v>
      </c>
      <c r="B2606" s="321">
        <v>6</v>
      </c>
      <c r="C2606" s="339">
        <f>IFERROR(VLOOKUP(A2606,[3]DOORSCRIEFT!$A$2:$G$6834,2,FALSE),"")</f>
        <v>152</v>
      </c>
      <c r="D2606" s="481">
        <f>IFERROR(VLOOKUP(A2606,[3]DOORSCRIEFT!$A$2:$G$6834,3,FALSE),"")</f>
        <v>46054</v>
      </c>
      <c r="E2606" s="480" t="str">
        <f>IFERROR(VLOOKUP(A2606,[3]DOORSCRIEFT!$A$2:$G$6834,4,FALSE),"")</f>
        <v>Beli masker 1 dos</v>
      </c>
      <c r="F2606" s="405">
        <f>IFERROR(VLOOKUP(A2606,[3]DOORSCRIEFT!$A$2:$G$6834,7,FALSE),"")</f>
        <v>50000</v>
      </c>
      <c r="G2606" s="315"/>
    </row>
    <row r="2607" spans="1:7" x14ac:dyDescent="0.25">
      <c r="A2607" s="496" t="str">
        <f t="shared" si="89"/>
        <v>II.5.1.107</v>
      </c>
      <c r="B2607" s="321">
        <v>7</v>
      </c>
      <c r="C2607" s="339">
        <f>IFERROR(VLOOKUP(A2607,[3]DOORSCRIEFT!$A$2:$G$6834,2,FALSE),"")</f>
        <v>182</v>
      </c>
      <c r="D2607" s="481">
        <f>IFERROR(VLOOKUP(A2607,[3]DOORSCRIEFT!$A$2:$G$6834,3,FALSE),"")</f>
        <v>46061</v>
      </c>
      <c r="E2607" s="480" t="str">
        <f>IFERROR(VLOOKUP(A2607,[3]DOORSCRIEFT!$A$2:$G$6834,4,FALSE),"")</f>
        <v>Beli Bohlam</v>
      </c>
      <c r="F2607" s="405">
        <f>IFERROR(VLOOKUP(A2607,[3]DOORSCRIEFT!$A$2:$G$6834,7,FALSE),"")</f>
        <v>30000</v>
      </c>
      <c r="G2607" s="315"/>
    </row>
    <row r="2608" spans="1:7" x14ac:dyDescent="0.25">
      <c r="A2608" s="496" t="str">
        <f t="shared" si="89"/>
        <v>II.5.1.108</v>
      </c>
      <c r="B2608" s="321">
        <v>8</v>
      </c>
      <c r="C2608" s="339">
        <f>IFERROR(VLOOKUP(A2608,[3]DOORSCRIEFT!$A$2:$G$6834,2,FALSE),"")</f>
        <v>183</v>
      </c>
      <c r="D2608" s="481">
        <f>IFERROR(VLOOKUP(A2608,[3]DOORSCRIEFT!$A$2:$G$6834,3,FALSE),"")</f>
        <v>46061</v>
      </c>
      <c r="E2608" s="480" t="str">
        <f>IFERROR(VLOOKUP(A2608,[3]DOORSCRIEFT!$A$2:$G$6834,4,FALSE),"")</f>
        <v>Biaya Cetak Baliho Minggu Sengsara</v>
      </c>
      <c r="F2608" s="405">
        <f>IFERROR(VLOOKUP(A2608,[3]DOORSCRIEFT!$A$2:$G$6834,7,FALSE),"")</f>
        <v>700000</v>
      </c>
      <c r="G2608" s="315"/>
    </row>
    <row r="2609" spans="1:7" x14ac:dyDescent="0.25">
      <c r="A2609" s="496" t="str">
        <f t="shared" si="89"/>
        <v>II.5.1.109</v>
      </c>
      <c r="B2609" s="321">
        <v>9</v>
      </c>
      <c r="C2609" s="339">
        <f>IFERROR(VLOOKUP(A2609,[3]DOORSCRIEFT!$A$2:$G$6834,2,FALSE),"")</f>
        <v>208</v>
      </c>
      <c r="D2609" s="481">
        <f>IFERROR(VLOOKUP(A2609,[3]DOORSCRIEFT!$A$2:$G$6834,3,FALSE),"")</f>
        <v>46068</v>
      </c>
      <c r="E2609" s="480" t="str">
        <f>IFERROR(VLOOKUP(A2609,[3]DOORSCRIEFT!$A$2:$G$6834,4,FALSE),"")</f>
        <v>Beli lilin Nikah</v>
      </c>
      <c r="F2609" s="405">
        <f>IFERROR(VLOOKUP(A2609,[3]DOORSCRIEFT!$A$2:$G$6834,7,FALSE),"")</f>
        <v>385000</v>
      </c>
      <c r="G2609" s="315"/>
    </row>
    <row r="2610" spans="1:7" x14ac:dyDescent="0.25">
      <c r="A2610" s="496" t="str">
        <f t="shared" si="89"/>
        <v>II.5.1.1010</v>
      </c>
      <c r="B2610" s="321">
        <v>10</v>
      </c>
      <c r="C2610" s="339">
        <f>IFERROR(VLOOKUP(A2610,[3]DOORSCRIEFT!$A$2:$G$6834,2,FALSE),"")</f>
        <v>246</v>
      </c>
      <c r="D2610" s="481">
        <f>IFERROR(VLOOKUP(A2610,[3]DOORSCRIEFT!$A$2:$G$6834,3,FALSE),"")</f>
        <v>46075</v>
      </c>
      <c r="E2610" s="480" t="str">
        <f>IFERROR(VLOOKUP(A2610,[3]DOORSCRIEFT!$A$2:$G$6834,4,FALSE),"")</f>
        <v>Belanja bulan tugas maret</v>
      </c>
      <c r="F2610" s="405">
        <f>IFERROR(VLOOKUP(A2610,[3]DOORSCRIEFT!$A$2:$G$6834,7,FALSE),"")</f>
        <v>650000</v>
      </c>
      <c r="G2610" s="315"/>
    </row>
    <row r="2611" spans="1:7" x14ac:dyDescent="0.25">
      <c r="A2611" s="496" t="str">
        <f t="shared" si="89"/>
        <v>II.5.1.1011</v>
      </c>
      <c r="B2611" s="321">
        <v>11</v>
      </c>
      <c r="C2611" s="339">
        <f>IFERROR(VLOOKUP(A2611,[3]DOORSCRIEFT!$A$2:$G$6834,2,FALSE),"")</f>
        <v>317</v>
      </c>
      <c r="D2611" s="481">
        <f>IFERROR(VLOOKUP(A2611,[3]DOORSCRIEFT!$A$2:$G$6834,3,FALSE),"")</f>
        <v>46089</v>
      </c>
      <c r="E2611" s="480" t="str">
        <f>IFERROR(VLOOKUP(A2611,[3]DOORSCRIEFT!$A$2:$G$6834,4,FALSE),"")</f>
        <v>Biaya Cetak Baliho Selamat Idul Fitri</v>
      </c>
      <c r="F2611" s="405">
        <f>IFERROR(VLOOKUP(A2611,[3]DOORSCRIEFT!$A$2:$G$6834,7,FALSE),"")</f>
        <v>540000</v>
      </c>
      <c r="G2611" s="315"/>
    </row>
    <row r="2612" spans="1:7" x14ac:dyDescent="0.25">
      <c r="A2612" s="496" t="str">
        <f t="shared" si="89"/>
        <v>II.5.1.1012</v>
      </c>
      <c r="B2612" s="321">
        <v>12</v>
      </c>
      <c r="C2612" s="339">
        <f>IFERROR(VLOOKUP(A2612,[3]DOORSCRIEFT!$A$2:$G$6834,2,FALSE),"")</f>
        <v>373</v>
      </c>
      <c r="D2612" s="481">
        <f>IFERROR(VLOOKUP(A2612,[3]DOORSCRIEFT!$A$2:$G$6834,3,FALSE),"")</f>
        <v>54497</v>
      </c>
      <c r="E2612" s="480" t="str">
        <f>IFERROR(VLOOKUP(A2612,[3]DOORSCRIEFT!$A$2:$G$6834,4,FALSE),"")</f>
        <v>Beli Lilin Nikah</v>
      </c>
      <c r="F2612" s="405">
        <f>IFERROR(VLOOKUP(A2612,[3]DOORSCRIEFT!$A$2:$G$6834,7,FALSE),"")</f>
        <v>260000</v>
      </c>
      <c r="G2612" s="315"/>
    </row>
    <row r="2613" spans="1:7" x14ac:dyDescent="0.25">
      <c r="A2613" s="496" t="str">
        <f t="shared" si="89"/>
        <v>II.5.1.1013</v>
      </c>
      <c r="B2613" s="321">
        <v>13</v>
      </c>
      <c r="C2613" s="339">
        <f>IFERROR(VLOOKUP(A2613,[3]DOORSCRIEFT!$A$2:$G$6834,2,FALSE),"")</f>
        <v>374</v>
      </c>
      <c r="D2613" s="481">
        <f>IFERROR(VLOOKUP(A2613,[3]DOORSCRIEFT!$A$2:$G$6834,3,FALSE),"")</f>
        <v>54862</v>
      </c>
      <c r="E2613" s="480" t="str">
        <f>IFERROR(VLOOKUP(A2613,[3]DOORSCRIEFT!$A$2:$G$6834,4,FALSE),"")</f>
        <v>Beli Baterai Alkalin 2 dos</v>
      </c>
      <c r="F2613" s="405">
        <f>IFERROR(VLOOKUP(A2613,[3]DOORSCRIEFT!$A$2:$G$6834,7,FALSE),"")</f>
        <v>600000</v>
      </c>
      <c r="G2613" s="315"/>
    </row>
    <row r="2614" spans="1:7" x14ac:dyDescent="0.25">
      <c r="A2614" s="496" t="str">
        <f t="shared" si="89"/>
        <v>II.5.1.1014</v>
      </c>
      <c r="B2614" s="321">
        <v>14</v>
      </c>
      <c r="C2614" s="339">
        <f>IFERROR(VLOOKUP(A2614,[3]DOORSCRIEFT!$A$2:$G$6834,2,FALSE),"")</f>
        <v>453</v>
      </c>
      <c r="D2614" s="481">
        <f>IFERROR(VLOOKUP(A2614,[3]DOORSCRIEFT!$A$2:$G$6834,3,FALSE),"")</f>
        <v>46110</v>
      </c>
      <c r="E2614" s="480" t="str">
        <f>IFERROR(VLOOKUP(A2614,[3]DOORSCRIEFT!$A$2:$G$6834,4,FALSE),"")</f>
        <v>Beli Bohlam untuk pastori 2 dan Gereja</v>
      </c>
      <c r="F2614" s="405">
        <f>IFERROR(VLOOKUP(A2614,[3]DOORSCRIEFT!$A$2:$G$6834,7,FALSE),"")</f>
        <v>332000</v>
      </c>
      <c r="G2614" s="315"/>
    </row>
    <row r="2615" spans="1:7" x14ac:dyDescent="0.25">
      <c r="A2615" s="496" t="str">
        <f t="shared" si="89"/>
        <v>II.5.1.1015</v>
      </c>
      <c r="B2615" s="321">
        <v>15</v>
      </c>
      <c r="C2615" s="339">
        <f>IFERROR(VLOOKUP(A2615,[3]DOORSCRIEFT!$A$2:$G$6834,2,FALSE),"")</f>
        <v>454</v>
      </c>
      <c r="D2615" s="481">
        <f>IFERROR(VLOOKUP(A2615,[3]DOORSCRIEFT!$A$2:$G$6834,3,FALSE),"")</f>
        <v>46110</v>
      </c>
      <c r="E2615" s="480" t="str">
        <f>IFERROR(VLOOKUP(A2615,[3]DOORSCRIEFT!$A$2:$G$6834,4,FALSE),"")</f>
        <v>Belanja Kebutuhan Bulan Tugas April</v>
      </c>
      <c r="F2615" s="405">
        <f>IFERROR(VLOOKUP(A2615,[3]DOORSCRIEFT!$A$2:$G$6834,7,FALSE),"")</f>
        <v>650000</v>
      </c>
      <c r="G2615" s="315"/>
    </row>
    <row r="2616" spans="1:7" x14ac:dyDescent="0.25">
      <c r="A2616" s="496" t="str">
        <f t="shared" si="89"/>
        <v>II.5.1.1016</v>
      </c>
      <c r="B2616" s="321">
        <v>16</v>
      </c>
      <c r="C2616" s="339">
        <f>IFERROR(VLOOKUP(A2616,[3]DOORSCRIEFT!$A$2:$G$6834,2,FALSE),"")</f>
        <v>455</v>
      </c>
      <c r="D2616" s="481">
        <f>IFERROR(VLOOKUP(A2616,[3]DOORSCRIEFT!$A$2:$G$6834,3,FALSE),"")</f>
        <v>46110</v>
      </c>
      <c r="E2616" s="480" t="str">
        <f>IFERROR(VLOOKUP(A2616,[3]DOORSCRIEFT!$A$2:$G$6834,4,FALSE),"")</f>
        <v>Beli 1 buah alat pel untuk Gereja Baitrafa</v>
      </c>
      <c r="F2616" s="405">
        <f>IFERROR(VLOOKUP(A2616,[3]DOORSCRIEFT!$A$2:$G$6834,7,FALSE),"")</f>
        <v>230000</v>
      </c>
      <c r="G2616" s="315"/>
    </row>
    <row r="2617" spans="1:7" x14ac:dyDescent="0.25">
      <c r="A2617" s="496" t="str">
        <f t="shared" si="89"/>
        <v>II.5.1.1017</v>
      </c>
      <c r="B2617" s="321">
        <v>17</v>
      </c>
      <c r="C2617" s="339" t="str">
        <f>IFERROR(VLOOKUP(A2617,[3]DOORSCRIEFT!$A$2:$G$6834,2,FALSE),"")</f>
        <v/>
      </c>
      <c r="D2617" s="481" t="str">
        <f>IFERROR(VLOOKUP(A2617,[3]DOORSCRIEFT!$A$2:$G$6834,3,FALSE),"")</f>
        <v/>
      </c>
      <c r="E2617" s="480" t="str">
        <f>IFERROR(VLOOKUP(A2617,[3]DOORSCRIEFT!$A$2:$G$6834,4,FALSE),"")</f>
        <v/>
      </c>
      <c r="F2617" s="405" t="str">
        <f>IFERROR(VLOOKUP(A2617,[3]DOORSCRIEFT!$A$2:$G$6834,7,FALSE),"")</f>
        <v/>
      </c>
      <c r="G2617" s="315"/>
    </row>
    <row r="2618" spans="1:7" x14ac:dyDescent="0.25">
      <c r="A2618" s="496" t="str">
        <f t="shared" si="89"/>
        <v>II.5.1.1018</v>
      </c>
      <c r="B2618" s="321">
        <v>18</v>
      </c>
      <c r="C2618" s="339" t="str">
        <f>IFERROR(VLOOKUP(A2618,[3]DOORSCRIEFT!$A$2:$G$6834,2,FALSE),"")</f>
        <v/>
      </c>
      <c r="D2618" s="481" t="str">
        <f>IFERROR(VLOOKUP(A2618,[3]DOORSCRIEFT!$A$2:$G$6834,3,FALSE),"")</f>
        <v/>
      </c>
      <c r="E2618" s="480" t="str">
        <f>IFERROR(VLOOKUP(A2618,[3]DOORSCRIEFT!$A$2:$G$6834,4,FALSE),"")</f>
        <v/>
      </c>
      <c r="F2618" s="405" t="str">
        <f>IFERROR(VLOOKUP(A2618,[3]DOORSCRIEFT!$A$2:$G$6834,7,FALSE),"")</f>
        <v/>
      </c>
      <c r="G2618" s="315"/>
    </row>
    <row r="2619" spans="1:7" x14ac:dyDescent="0.25">
      <c r="A2619" s="496" t="str">
        <f t="shared" si="89"/>
        <v>II.5.1.1019</v>
      </c>
      <c r="B2619" s="321">
        <v>19</v>
      </c>
      <c r="C2619" s="339" t="str">
        <f>IFERROR(VLOOKUP(A2619,[3]DOORSCRIEFT!$A$2:$G$6834,2,FALSE),"")</f>
        <v/>
      </c>
      <c r="D2619" s="481" t="str">
        <f>IFERROR(VLOOKUP(A2619,[3]DOORSCRIEFT!$A$2:$G$6834,3,FALSE),"")</f>
        <v/>
      </c>
      <c r="E2619" s="480" t="str">
        <f>IFERROR(VLOOKUP(A2619,[3]DOORSCRIEFT!$A$2:$G$6834,4,FALSE),"")</f>
        <v/>
      </c>
      <c r="F2619" s="405" t="str">
        <f>IFERROR(VLOOKUP(A2619,[3]DOORSCRIEFT!$A$2:$G$6834,7,FALSE),"")</f>
        <v/>
      </c>
      <c r="G2619" s="315"/>
    </row>
    <row r="2620" spans="1:7" x14ac:dyDescent="0.25">
      <c r="A2620" s="496" t="str">
        <f t="shared" si="89"/>
        <v>II.5.1.1020</v>
      </c>
      <c r="B2620" s="321">
        <v>20</v>
      </c>
      <c r="C2620" s="339" t="str">
        <f>IFERROR(VLOOKUP(A2620,[3]DOORSCRIEFT!$A$2:$G$6834,2,FALSE),"")</f>
        <v/>
      </c>
      <c r="D2620" s="481" t="str">
        <f>IFERROR(VLOOKUP(A2620,[3]DOORSCRIEFT!$A$2:$G$6834,3,FALSE),"")</f>
        <v/>
      </c>
      <c r="E2620" s="480" t="str">
        <f>IFERROR(VLOOKUP(A2620,[3]DOORSCRIEFT!$A$2:$G$6834,4,FALSE),"")</f>
        <v/>
      </c>
      <c r="F2620" s="405" t="str">
        <f>IFERROR(VLOOKUP(A2620,[3]DOORSCRIEFT!$A$2:$G$6834,7,FALSE),"")</f>
        <v/>
      </c>
      <c r="G2620" s="315"/>
    </row>
    <row r="2621" spans="1:7" x14ac:dyDescent="0.25">
      <c r="A2621" s="496" t="str">
        <f t="shared" si="89"/>
        <v>II.5.1.1021</v>
      </c>
      <c r="B2621" s="321">
        <v>21</v>
      </c>
      <c r="C2621" s="339" t="str">
        <f>IFERROR(VLOOKUP(A2621,[3]DOORSCRIEFT!$A$2:$G$6834,2,FALSE),"")</f>
        <v/>
      </c>
      <c r="D2621" s="481" t="str">
        <f>IFERROR(VLOOKUP(A2621,[3]DOORSCRIEFT!$A$2:$G$6834,3,FALSE),"")</f>
        <v/>
      </c>
      <c r="E2621" s="480" t="str">
        <f>IFERROR(VLOOKUP(A2621,[3]DOORSCRIEFT!$A$2:$G$6834,4,FALSE),"")</f>
        <v/>
      </c>
      <c r="F2621" s="405" t="str">
        <f>IFERROR(VLOOKUP(A2621,[3]DOORSCRIEFT!$A$2:$G$6834,7,FALSE),"")</f>
        <v/>
      </c>
      <c r="G2621" s="315"/>
    </row>
    <row r="2622" spans="1:7" x14ac:dyDescent="0.25">
      <c r="A2622" s="496" t="str">
        <f t="shared" si="89"/>
        <v>II.5.1.1022</v>
      </c>
      <c r="B2622" s="321">
        <v>22</v>
      </c>
      <c r="C2622" s="339" t="str">
        <f>IFERROR(VLOOKUP(A2622,[3]DOORSCRIEFT!$A$2:$G$6834,2,FALSE),"")</f>
        <v/>
      </c>
      <c r="D2622" s="481" t="str">
        <f>IFERROR(VLOOKUP(A2622,[3]DOORSCRIEFT!$A$2:$G$6834,3,FALSE),"")</f>
        <v/>
      </c>
      <c r="E2622" s="480" t="str">
        <f>IFERROR(VLOOKUP(A2622,[3]DOORSCRIEFT!$A$2:$G$6834,4,FALSE),"")</f>
        <v/>
      </c>
      <c r="F2622" s="405" t="str">
        <f>IFERROR(VLOOKUP(A2622,[3]DOORSCRIEFT!$A$2:$G$6834,7,FALSE),"")</f>
        <v/>
      </c>
      <c r="G2622" s="315"/>
    </row>
    <row r="2623" spans="1:7" x14ac:dyDescent="0.25">
      <c r="A2623" s="496" t="str">
        <f t="shared" si="89"/>
        <v>II.5.1.1023</v>
      </c>
      <c r="B2623" s="321">
        <v>23</v>
      </c>
      <c r="C2623" s="339" t="str">
        <f>IFERROR(VLOOKUP(A2623,[3]DOORSCRIEFT!$A$2:$G$6834,2,FALSE),"")</f>
        <v/>
      </c>
      <c r="D2623" s="481" t="str">
        <f>IFERROR(VLOOKUP(A2623,[3]DOORSCRIEFT!$A$2:$G$6834,3,FALSE),"")</f>
        <v/>
      </c>
      <c r="E2623" s="480" t="str">
        <f>IFERROR(VLOOKUP(A2623,[3]DOORSCRIEFT!$A$2:$G$6834,4,FALSE),"")</f>
        <v/>
      </c>
      <c r="F2623" s="405" t="str">
        <f>IFERROR(VLOOKUP(A2623,[3]DOORSCRIEFT!$A$2:$G$6834,7,FALSE),"")</f>
        <v/>
      </c>
      <c r="G2623" s="315"/>
    </row>
    <row r="2624" spans="1:7" x14ac:dyDescent="0.25">
      <c r="A2624" s="496" t="str">
        <f t="shared" si="89"/>
        <v>II.5.1.1024</v>
      </c>
      <c r="B2624" s="321">
        <v>24</v>
      </c>
      <c r="C2624" s="339" t="str">
        <f>IFERROR(VLOOKUP(A2624,[3]DOORSCRIEFT!$A$2:$G$6834,2,FALSE),"")</f>
        <v/>
      </c>
      <c r="D2624" s="481" t="str">
        <f>IFERROR(VLOOKUP(A2624,[3]DOORSCRIEFT!$A$2:$G$6834,3,FALSE),"")</f>
        <v/>
      </c>
      <c r="E2624" s="480" t="str">
        <f>IFERROR(VLOOKUP(A2624,[3]DOORSCRIEFT!$A$2:$G$6834,4,FALSE),"")</f>
        <v/>
      </c>
      <c r="F2624" s="405" t="str">
        <f>IFERROR(VLOOKUP(A2624,[3]DOORSCRIEFT!$A$2:$G$6834,7,FALSE),"")</f>
        <v/>
      </c>
      <c r="G2624" s="315"/>
    </row>
    <row r="2625" spans="1:7" x14ac:dyDescent="0.25">
      <c r="A2625" s="496" t="str">
        <f t="shared" si="89"/>
        <v>II.5.1.1025</v>
      </c>
      <c r="B2625" s="321">
        <v>25</v>
      </c>
      <c r="C2625" s="339" t="str">
        <f>IFERROR(VLOOKUP(A2625,[3]DOORSCRIEFT!$A$2:$G$6834,2,FALSE),"")</f>
        <v/>
      </c>
      <c r="D2625" s="481" t="str">
        <f>IFERROR(VLOOKUP(A2625,[3]DOORSCRIEFT!$A$2:$G$6834,3,FALSE),"")</f>
        <v/>
      </c>
      <c r="E2625" s="480" t="str">
        <f>IFERROR(VLOOKUP(A2625,[3]DOORSCRIEFT!$A$2:$G$6834,4,FALSE),"")</f>
        <v/>
      </c>
      <c r="F2625" s="405" t="str">
        <f>IFERROR(VLOOKUP(A2625,[3]DOORSCRIEFT!$A$2:$G$6834,7,FALSE),"")</f>
        <v/>
      </c>
      <c r="G2625" s="315"/>
    </row>
    <row r="2626" spans="1:7" x14ac:dyDescent="0.25">
      <c r="A2626" s="496" t="str">
        <f t="shared" si="89"/>
        <v>II.5.1.1026</v>
      </c>
      <c r="B2626" s="321">
        <v>26</v>
      </c>
      <c r="C2626" s="339" t="str">
        <f>IFERROR(VLOOKUP(A2626,[3]DOORSCRIEFT!$A$2:$G$6834,2,FALSE),"")</f>
        <v/>
      </c>
      <c r="D2626" s="481" t="str">
        <f>IFERROR(VLOOKUP(A2626,[3]DOORSCRIEFT!$A$2:$G$6834,3,FALSE),"")</f>
        <v/>
      </c>
      <c r="E2626" s="480" t="str">
        <f>IFERROR(VLOOKUP(A2626,[3]DOORSCRIEFT!$A$2:$G$6834,4,FALSE),"")</f>
        <v/>
      </c>
      <c r="F2626" s="405" t="str">
        <f>IFERROR(VLOOKUP(A2626,[3]DOORSCRIEFT!$A$2:$G$6834,7,FALSE),"")</f>
        <v/>
      </c>
      <c r="G2626" s="315"/>
    </row>
    <row r="2627" spans="1:7" x14ac:dyDescent="0.25">
      <c r="A2627" s="496" t="str">
        <f t="shared" si="89"/>
        <v>II.5.1.1027</v>
      </c>
      <c r="B2627" s="321">
        <v>27</v>
      </c>
      <c r="C2627" s="339" t="str">
        <f>IFERROR(VLOOKUP(A2627,[3]DOORSCRIEFT!$A$2:$G$6834,2,FALSE),"")</f>
        <v/>
      </c>
      <c r="D2627" s="481" t="str">
        <f>IFERROR(VLOOKUP(A2627,[3]DOORSCRIEFT!$A$2:$G$6834,3,FALSE),"")</f>
        <v/>
      </c>
      <c r="E2627" s="480" t="str">
        <f>IFERROR(VLOOKUP(A2627,[3]DOORSCRIEFT!$A$2:$G$6834,4,FALSE),"")</f>
        <v/>
      </c>
      <c r="F2627" s="405" t="str">
        <f>IFERROR(VLOOKUP(A2627,[3]DOORSCRIEFT!$A$2:$G$6834,7,FALSE),"")</f>
        <v/>
      </c>
      <c r="G2627" s="315"/>
    </row>
    <row r="2628" spans="1:7" x14ac:dyDescent="0.25">
      <c r="A2628" s="496" t="str">
        <f t="shared" si="89"/>
        <v>II.5.1.1028</v>
      </c>
      <c r="B2628" s="321">
        <v>28</v>
      </c>
      <c r="C2628" s="339" t="str">
        <f>IFERROR(VLOOKUP(A2628,[3]DOORSCRIEFT!$A$2:$G$6834,2,FALSE),"")</f>
        <v/>
      </c>
      <c r="D2628" s="481" t="str">
        <f>IFERROR(VLOOKUP(A2628,[3]DOORSCRIEFT!$A$2:$G$6834,3,FALSE),"")</f>
        <v/>
      </c>
      <c r="E2628" s="480" t="str">
        <f>IFERROR(VLOOKUP(A2628,[3]DOORSCRIEFT!$A$2:$G$6834,4,FALSE),"")</f>
        <v/>
      </c>
      <c r="F2628" s="405" t="str">
        <f>IFERROR(VLOOKUP(A2628,[3]DOORSCRIEFT!$A$2:$G$6834,7,FALSE),"")</f>
        <v/>
      </c>
      <c r="G2628" s="315"/>
    </row>
    <row r="2629" spans="1:7" x14ac:dyDescent="0.25">
      <c r="A2629" s="496" t="str">
        <f t="shared" si="89"/>
        <v>II.5.1.1029</v>
      </c>
      <c r="B2629" s="321">
        <v>29</v>
      </c>
      <c r="C2629" s="339" t="str">
        <f>IFERROR(VLOOKUP(A2629,[3]DOORSCRIEFT!$A$2:$G$6834,2,FALSE),"")</f>
        <v/>
      </c>
      <c r="D2629" s="481" t="str">
        <f>IFERROR(VLOOKUP(A2629,[3]DOORSCRIEFT!$A$2:$G$6834,3,FALSE),"")</f>
        <v/>
      </c>
      <c r="E2629" s="480" t="str">
        <f>IFERROR(VLOOKUP(A2629,[3]DOORSCRIEFT!$A$2:$G$6834,4,FALSE),"")</f>
        <v/>
      </c>
      <c r="F2629" s="405" t="str">
        <f>IFERROR(VLOOKUP(A2629,[3]DOORSCRIEFT!$A$2:$G$6834,7,FALSE),"")</f>
        <v/>
      </c>
      <c r="G2629" s="315"/>
    </row>
    <row r="2630" spans="1:7" x14ac:dyDescent="0.25">
      <c r="A2630" s="496" t="str">
        <f t="shared" si="89"/>
        <v>II.5.1.1030</v>
      </c>
      <c r="B2630" s="321">
        <v>30</v>
      </c>
      <c r="C2630" s="339" t="str">
        <f>IFERROR(VLOOKUP(A2630,[3]DOORSCRIEFT!$A$2:$G$6834,2,FALSE),"")</f>
        <v/>
      </c>
      <c r="D2630" s="481" t="str">
        <f>IFERROR(VLOOKUP(A2630,[3]DOORSCRIEFT!$A$2:$G$6834,3,FALSE),"")</f>
        <v/>
      </c>
      <c r="E2630" s="480" t="str">
        <f>IFERROR(VLOOKUP(A2630,[3]DOORSCRIEFT!$A$2:$G$6834,4,FALSE),"")</f>
        <v/>
      </c>
      <c r="F2630" s="405" t="str">
        <f>IFERROR(VLOOKUP(A2630,[3]DOORSCRIEFT!$A$2:$G$6834,7,FALSE),"")</f>
        <v/>
      </c>
      <c r="G2630" s="315"/>
    </row>
    <row r="2631" spans="1:7" x14ac:dyDescent="0.25">
      <c r="A2631" s="496" t="str">
        <f t="shared" si="89"/>
        <v>II.5.1.1031</v>
      </c>
      <c r="B2631" s="321">
        <v>31</v>
      </c>
      <c r="C2631" s="339" t="str">
        <f>IFERROR(VLOOKUP(A2631,[3]DOORSCRIEFT!$A$2:$G$6834,2,FALSE),"")</f>
        <v/>
      </c>
      <c r="D2631" s="481" t="str">
        <f>IFERROR(VLOOKUP(A2631,[3]DOORSCRIEFT!$A$2:$G$6834,3,FALSE),"")</f>
        <v/>
      </c>
      <c r="E2631" s="480" t="str">
        <f>IFERROR(VLOOKUP(A2631,[3]DOORSCRIEFT!$A$2:$G$6834,4,FALSE),"")</f>
        <v/>
      </c>
      <c r="F2631" s="405" t="str">
        <f>IFERROR(VLOOKUP(A2631,[3]DOORSCRIEFT!$A$2:$G$6834,7,FALSE),"")</f>
        <v/>
      </c>
      <c r="G2631" s="315"/>
    </row>
    <row r="2632" spans="1:7" x14ac:dyDescent="0.25">
      <c r="A2632" s="496" t="str">
        <f t="shared" si="89"/>
        <v>II.5.1.1032</v>
      </c>
      <c r="B2632" s="321">
        <v>32</v>
      </c>
      <c r="C2632" s="339" t="str">
        <f>IFERROR(VLOOKUP(A2632,[3]DOORSCRIEFT!$A$2:$G$6834,2,FALSE),"")</f>
        <v/>
      </c>
      <c r="D2632" s="481" t="str">
        <f>IFERROR(VLOOKUP(A2632,[3]DOORSCRIEFT!$A$2:$G$6834,3,FALSE),"")</f>
        <v/>
      </c>
      <c r="E2632" s="480" t="str">
        <f>IFERROR(VLOOKUP(A2632,[3]DOORSCRIEFT!$A$2:$G$6834,4,FALSE),"")</f>
        <v/>
      </c>
      <c r="F2632" s="405" t="str">
        <f>IFERROR(VLOOKUP(A2632,[3]DOORSCRIEFT!$A$2:$G$6834,7,FALSE),"")</f>
        <v/>
      </c>
      <c r="G2632" s="315"/>
    </row>
    <row r="2633" spans="1:7" x14ac:dyDescent="0.25">
      <c r="A2633" s="496" t="str">
        <f t="shared" ref="A2633:A2664" si="90">$G$2594&amp;B2633</f>
        <v>II.5.1.1033</v>
      </c>
      <c r="B2633" s="321">
        <v>33</v>
      </c>
      <c r="C2633" s="339" t="str">
        <f>IFERROR(VLOOKUP(A2633,[3]DOORSCRIEFT!$A$2:$G$6834,2,FALSE),"")</f>
        <v/>
      </c>
      <c r="D2633" s="481" t="str">
        <f>IFERROR(VLOOKUP(A2633,[3]DOORSCRIEFT!$A$2:$G$6834,3,FALSE),"")</f>
        <v/>
      </c>
      <c r="E2633" s="480" t="str">
        <f>IFERROR(VLOOKUP(A2633,[3]DOORSCRIEFT!$A$2:$G$6834,4,FALSE),"")</f>
        <v/>
      </c>
      <c r="F2633" s="405" t="str">
        <f>IFERROR(VLOOKUP(A2633,[3]DOORSCRIEFT!$A$2:$G$6834,7,FALSE),"")</f>
        <v/>
      </c>
      <c r="G2633" s="315"/>
    </row>
    <row r="2634" spans="1:7" x14ac:dyDescent="0.25">
      <c r="A2634" s="496" t="str">
        <f t="shared" si="90"/>
        <v>II.5.1.1034</v>
      </c>
      <c r="B2634" s="321">
        <v>34</v>
      </c>
      <c r="C2634" s="339" t="str">
        <f>IFERROR(VLOOKUP(A2634,[3]DOORSCRIEFT!$A$2:$G$6834,2,FALSE),"")</f>
        <v/>
      </c>
      <c r="D2634" s="481" t="str">
        <f>IFERROR(VLOOKUP(A2634,[3]DOORSCRIEFT!$A$2:$G$6834,3,FALSE),"")</f>
        <v/>
      </c>
      <c r="E2634" s="480" t="str">
        <f>IFERROR(VLOOKUP(A2634,[3]DOORSCRIEFT!$A$2:$G$6834,4,FALSE),"")</f>
        <v/>
      </c>
      <c r="F2634" s="405" t="str">
        <f>IFERROR(VLOOKUP(A2634,[3]DOORSCRIEFT!$A$2:$G$6834,7,FALSE),"")</f>
        <v/>
      </c>
      <c r="G2634" s="315"/>
    </row>
    <row r="2635" spans="1:7" x14ac:dyDescent="0.25">
      <c r="A2635" s="496" t="str">
        <f t="shared" si="90"/>
        <v>II.5.1.1035</v>
      </c>
      <c r="B2635" s="321">
        <v>35</v>
      </c>
      <c r="C2635" s="339" t="str">
        <f>IFERROR(VLOOKUP(A2635,[3]DOORSCRIEFT!$A$2:$G$6834,2,FALSE),"")</f>
        <v/>
      </c>
      <c r="D2635" s="481" t="str">
        <f>IFERROR(VLOOKUP(A2635,[3]DOORSCRIEFT!$A$2:$G$6834,3,FALSE),"")</f>
        <v/>
      </c>
      <c r="E2635" s="480" t="str">
        <f>IFERROR(VLOOKUP(A2635,[3]DOORSCRIEFT!$A$2:$G$6834,4,FALSE),"")</f>
        <v/>
      </c>
      <c r="F2635" s="405" t="str">
        <f>IFERROR(VLOOKUP(A2635,[3]DOORSCRIEFT!$A$2:$G$6834,7,FALSE),"")</f>
        <v/>
      </c>
      <c r="G2635" s="315"/>
    </row>
    <row r="2636" spans="1:7" x14ac:dyDescent="0.25">
      <c r="A2636" s="496" t="str">
        <f t="shared" si="90"/>
        <v>II.5.1.1036</v>
      </c>
      <c r="B2636" s="321">
        <v>36</v>
      </c>
      <c r="C2636" s="339" t="str">
        <f>IFERROR(VLOOKUP(A2636,[3]DOORSCRIEFT!$A$2:$G$6834,2,FALSE),"")</f>
        <v/>
      </c>
      <c r="D2636" s="481" t="str">
        <f>IFERROR(VLOOKUP(A2636,[3]DOORSCRIEFT!$A$2:$G$6834,3,FALSE),"")</f>
        <v/>
      </c>
      <c r="E2636" s="480" t="str">
        <f>IFERROR(VLOOKUP(A2636,[3]DOORSCRIEFT!$A$2:$G$6834,4,FALSE),"")</f>
        <v/>
      </c>
      <c r="F2636" s="405" t="str">
        <f>IFERROR(VLOOKUP(A2636,[3]DOORSCRIEFT!$A$2:$G$6834,7,FALSE),"")</f>
        <v/>
      </c>
      <c r="G2636" s="315"/>
    </row>
    <row r="2637" spans="1:7" x14ac:dyDescent="0.25">
      <c r="A2637" s="496" t="str">
        <f t="shared" si="90"/>
        <v>II.5.1.1037</v>
      </c>
      <c r="B2637" s="321">
        <v>37</v>
      </c>
      <c r="C2637" s="339" t="str">
        <f>IFERROR(VLOOKUP(A2637,[3]DOORSCRIEFT!$A$2:$G$6834,2,FALSE),"")</f>
        <v/>
      </c>
      <c r="D2637" s="481" t="str">
        <f>IFERROR(VLOOKUP(A2637,[3]DOORSCRIEFT!$A$2:$G$6834,3,FALSE),"")</f>
        <v/>
      </c>
      <c r="E2637" s="480" t="str">
        <f>IFERROR(VLOOKUP(A2637,[3]DOORSCRIEFT!$A$2:$G$6834,4,FALSE),"")</f>
        <v/>
      </c>
      <c r="F2637" s="405" t="str">
        <f>IFERROR(VLOOKUP(A2637,[3]DOORSCRIEFT!$A$2:$G$6834,7,FALSE),"")</f>
        <v/>
      </c>
      <c r="G2637" s="315"/>
    </row>
    <row r="2638" spans="1:7" x14ac:dyDescent="0.25">
      <c r="A2638" s="496" t="str">
        <f t="shared" si="90"/>
        <v>II.5.1.1038</v>
      </c>
      <c r="B2638" s="321">
        <v>38</v>
      </c>
      <c r="C2638" s="339" t="str">
        <f>IFERROR(VLOOKUP(A2638,[3]DOORSCRIEFT!$A$2:$G$6834,2,FALSE),"")</f>
        <v/>
      </c>
      <c r="D2638" s="481" t="str">
        <f>IFERROR(VLOOKUP(A2638,[3]DOORSCRIEFT!$A$2:$G$6834,3,FALSE),"")</f>
        <v/>
      </c>
      <c r="E2638" s="480" t="str">
        <f>IFERROR(VLOOKUP(A2638,[3]DOORSCRIEFT!$A$2:$G$6834,4,FALSE),"")</f>
        <v/>
      </c>
      <c r="F2638" s="405" t="str">
        <f>IFERROR(VLOOKUP(A2638,[3]DOORSCRIEFT!$A$2:$G$6834,7,FALSE),"")</f>
        <v/>
      </c>
      <c r="G2638" s="315"/>
    </row>
    <row r="2639" spans="1:7" x14ac:dyDescent="0.25">
      <c r="A2639" s="496" t="str">
        <f t="shared" si="90"/>
        <v>II.5.1.1039</v>
      </c>
      <c r="B2639" s="321">
        <v>39</v>
      </c>
      <c r="C2639" s="339" t="str">
        <f>IFERROR(VLOOKUP(A2639,[3]DOORSCRIEFT!$A$2:$G$6834,2,FALSE),"")</f>
        <v/>
      </c>
      <c r="D2639" s="481" t="str">
        <f>IFERROR(VLOOKUP(A2639,[3]DOORSCRIEFT!$A$2:$G$6834,3,FALSE),"")</f>
        <v/>
      </c>
      <c r="E2639" s="480" t="str">
        <f>IFERROR(VLOOKUP(A2639,[3]DOORSCRIEFT!$A$2:$G$6834,4,FALSE),"")</f>
        <v/>
      </c>
      <c r="F2639" s="405" t="str">
        <f>IFERROR(VLOOKUP(A2639,[3]DOORSCRIEFT!$A$2:$G$6834,7,FALSE),"")</f>
        <v/>
      </c>
      <c r="G2639" s="315"/>
    </row>
    <row r="2640" spans="1:7" x14ac:dyDescent="0.25">
      <c r="A2640" s="496" t="str">
        <f t="shared" si="90"/>
        <v>II.5.1.1040</v>
      </c>
      <c r="B2640" s="321">
        <v>40</v>
      </c>
      <c r="C2640" s="339" t="str">
        <f>IFERROR(VLOOKUP(A2640,[3]DOORSCRIEFT!$A$2:$G$6834,2,FALSE),"")</f>
        <v/>
      </c>
      <c r="D2640" s="481" t="str">
        <f>IFERROR(VLOOKUP(A2640,[3]DOORSCRIEFT!$A$2:$G$6834,3,FALSE),"")</f>
        <v/>
      </c>
      <c r="E2640" s="480" t="str">
        <f>IFERROR(VLOOKUP(A2640,[3]DOORSCRIEFT!$A$2:$G$6834,4,FALSE),"")</f>
        <v/>
      </c>
      <c r="F2640" s="405" t="str">
        <f>IFERROR(VLOOKUP(A2640,[3]DOORSCRIEFT!$A$2:$G$6834,7,FALSE),"")</f>
        <v/>
      </c>
      <c r="G2640" s="315"/>
    </row>
    <row r="2641" spans="1:7" x14ac:dyDescent="0.25">
      <c r="A2641" s="496" t="str">
        <f t="shared" si="90"/>
        <v>II.5.1.1041</v>
      </c>
      <c r="B2641" s="321">
        <v>41</v>
      </c>
      <c r="C2641" s="339" t="str">
        <f>IFERROR(VLOOKUP(A2641,[3]DOORSCRIEFT!$A$2:$G$6834,2,FALSE),"")</f>
        <v/>
      </c>
      <c r="D2641" s="481" t="str">
        <f>IFERROR(VLOOKUP(A2641,[3]DOORSCRIEFT!$A$2:$G$6834,3,FALSE),"")</f>
        <v/>
      </c>
      <c r="E2641" s="480" t="str">
        <f>IFERROR(VLOOKUP(A2641,[3]DOORSCRIEFT!$A$2:$G$6834,4,FALSE),"")</f>
        <v/>
      </c>
      <c r="F2641" s="405" t="str">
        <f>IFERROR(VLOOKUP(A2641,[3]DOORSCRIEFT!$A$2:$G$6834,7,FALSE),"")</f>
        <v/>
      </c>
      <c r="G2641" s="315"/>
    </row>
    <row r="2642" spans="1:7" x14ac:dyDescent="0.25">
      <c r="A2642" s="496" t="str">
        <f t="shared" si="90"/>
        <v>II.5.1.1042</v>
      </c>
      <c r="B2642" s="321">
        <v>42</v>
      </c>
      <c r="C2642" s="339" t="str">
        <f>IFERROR(VLOOKUP(A2642,[3]DOORSCRIEFT!$A$2:$G$6834,2,FALSE),"")</f>
        <v/>
      </c>
      <c r="D2642" s="481" t="str">
        <f>IFERROR(VLOOKUP(A2642,[3]DOORSCRIEFT!$A$2:$G$6834,3,FALSE),"")</f>
        <v/>
      </c>
      <c r="E2642" s="480" t="str">
        <f>IFERROR(VLOOKUP(A2642,[3]DOORSCRIEFT!$A$2:$G$6834,4,FALSE),"")</f>
        <v/>
      </c>
      <c r="F2642" s="405" t="str">
        <f>IFERROR(VLOOKUP(A2642,[3]DOORSCRIEFT!$A$2:$G$6834,7,FALSE),"")</f>
        <v/>
      </c>
      <c r="G2642" s="315"/>
    </row>
    <row r="2643" spans="1:7" x14ac:dyDescent="0.25">
      <c r="A2643" s="496" t="str">
        <f t="shared" si="90"/>
        <v>II.5.1.1043</v>
      </c>
      <c r="B2643" s="321">
        <v>43</v>
      </c>
      <c r="C2643" s="339" t="str">
        <f>IFERROR(VLOOKUP(A2643,[3]DOORSCRIEFT!$A$2:$G$6834,2,FALSE),"")</f>
        <v/>
      </c>
      <c r="D2643" s="481" t="str">
        <f>IFERROR(VLOOKUP(A2643,[3]DOORSCRIEFT!$A$2:$G$6834,3,FALSE),"")</f>
        <v/>
      </c>
      <c r="E2643" s="480" t="str">
        <f>IFERROR(VLOOKUP(A2643,[3]DOORSCRIEFT!$A$2:$G$6834,4,FALSE),"")</f>
        <v/>
      </c>
      <c r="F2643" s="405" t="str">
        <f>IFERROR(VLOOKUP(A2643,[3]DOORSCRIEFT!$A$2:$G$6834,7,FALSE),"")</f>
        <v/>
      </c>
      <c r="G2643" s="315"/>
    </row>
    <row r="2644" spans="1:7" x14ac:dyDescent="0.25">
      <c r="A2644" s="496" t="str">
        <f t="shared" si="90"/>
        <v>II.5.1.1044</v>
      </c>
      <c r="B2644" s="321">
        <v>44</v>
      </c>
      <c r="C2644" s="339" t="str">
        <f>IFERROR(VLOOKUP(A2644,[3]DOORSCRIEFT!$A$2:$G$6834,2,FALSE),"")</f>
        <v/>
      </c>
      <c r="D2644" s="481" t="str">
        <f>IFERROR(VLOOKUP(A2644,[3]DOORSCRIEFT!$A$2:$G$6834,3,FALSE),"")</f>
        <v/>
      </c>
      <c r="E2644" s="480" t="str">
        <f>IFERROR(VLOOKUP(A2644,[3]DOORSCRIEFT!$A$2:$G$6834,4,FALSE),"")</f>
        <v/>
      </c>
      <c r="F2644" s="405" t="str">
        <f>IFERROR(VLOOKUP(A2644,[3]DOORSCRIEFT!$A$2:$G$6834,7,FALSE),"")</f>
        <v/>
      </c>
      <c r="G2644" s="315"/>
    </row>
    <row r="2645" spans="1:7" x14ac:dyDescent="0.25">
      <c r="A2645" s="496" t="str">
        <f t="shared" si="90"/>
        <v>II.5.1.1045</v>
      </c>
      <c r="B2645" s="321">
        <v>45</v>
      </c>
      <c r="C2645" s="339" t="str">
        <f>IFERROR(VLOOKUP(A2645,[3]DOORSCRIEFT!$A$2:$G$6834,2,FALSE),"")</f>
        <v/>
      </c>
      <c r="D2645" s="481" t="str">
        <f>IFERROR(VLOOKUP(A2645,[3]DOORSCRIEFT!$A$2:$G$6834,3,FALSE),"")</f>
        <v/>
      </c>
      <c r="E2645" s="480" t="str">
        <f>IFERROR(VLOOKUP(A2645,[3]DOORSCRIEFT!$A$2:$G$6834,4,FALSE),"")</f>
        <v/>
      </c>
      <c r="F2645" s="405" t="str">
        <f>IFERROR(VLOOKUP(A2645,[3]DOORSCRIEFT!$A$2:$G$6834,7,FALSE),"")</f>
        <v/>
      </c>
      <c r="G2645" s="315"/>
    </row>
    <row r="2646" spans="1:7" x14ac:dyDescent="0.25">
      <c r="A2646" s="496" t="str">
        <f t="shared" si="90"/>
        <v>II.5.1.1046</v>
      </c>
      <c r="B2646" s="321">
        <v>46</v>
      </c>
      <c r="C2646" s="339" t="str">
        <f>IFERROR(VLOOKUP(A2646,[3]DOORSCRIEFT!$A$2:$G$6834,2,FALSE),"")</f>
        <v/>
      </c>
      <c r="D2646" s="481" t="str">
        <f>IFERROR(VLOOKUP(A2646,[3]DOORSCRIEFT!$A$2:$G$6834,3,FALSE),"")</f>
        <v/>
      </c>
      <c r="E2646" s="480" t="str">
        <f>IFERROR(VLOOKUP(A2646,[3]DOORSCRIEFT!$A$2:$G$6834,4,FALSE),"")</f>
        <v/>
      </c>
      <c r="F2646" s="405" t="str">
        <f>IFERROR(VLOOKUP(A2646,[3]DOORSCRIEFT!$A$2:$G$6834,7,FALSE),"")</f>
        <v/>
      </c>
      <c r="G2646" s="315"/>
    </row>
    <row r="2647" spans="1:7" x14ac:dyDescent="0.25">
      <c r="A2647" s="496" t="str">
        <f t="shared" si="90"/>
        <v>II.5.1.1047</v>
      </c>
      <c r="B2647" s="321">
        <v>47</v>
      </c>
      <c r="C2647" s="339" t="str">
        <f>IFERROR(VLOOKUP(A2647,[3]DOORSCRIEFT!$A$2:$G$6834,2,FALSE),"")</f>
        <v/>
      </c>
      <c r="D2647" s="481" t="str">
        <f>IFERROR(VLOOKUP(A2647,[3]DOORSCRIEFT!$A$2:$G$6834,3,FALSE),"")</f>
        <v/>
      </c>
      <c r="E2647" s="480" t="str">
        <f>IFERROR(VLOOKUP(A2647,[3]DOORSCRIEFT!$A$2:$G$6834,4,FALSE),"")</f>
        <v/>
      </c>
      <c r="F2647" s="405" t="str">
        <f>IFERROR(VLOOKUP(A2647,[3]DOORSCRIEFT!$A$2:$G$6834,7,FALSE),"")</f>
        <v/>
      </c>
      <c r="G2647" s="315"/>
    </row>
    <row r="2648" spans="1:7" x14ac:dyDescent="0.25">
      <c r="A2648" s="496" t="str">
        <f t="shared" si="90"/>
        <v>II.5.1.1048</v>
      </c>
      <c r="B2648" s="321">
        <v>48</v>
      </c>
      <c r="C2648" s="339" t="str">
        <f>IFERROR(VLOOKUP(A2648,[3]DOORSCRIEFT!$A$2:$G$6834,2,FALSE),"")</f>
        <v/>
      </c>
      <c r="D2648" s="481" t="str">
        <f>IFERROR(VLOOKUP(A2648,[3]DOORSCRIEFT!$A$2:$G$6834,3,FALSE),"")</f>
        <v/>
      </c>
      <c r="E2648" s="480" t="str">
        <f>IFERROR(VLOOKUP(A2648,[3]DOORSCRIEFT!$A$2:$G$6834,4,FALSE),"")</f>
        <v/>
      </c>
      <c r="F2648" s="405" t="str">
        <f>IFERROR(VLOOKUP(A2648,[3]DOORSCRIEFT!$A$2:$G$6834,7,FALSE),"")</f>
        <v/>
      </c>
      <c r="G2648" s="315"/>
    </row>
    <row r="2649" spans="1:7" x14ac:dyDescent="0.25">
      <c r="A2649" s="496" t="str">
        <f t="shared" si="90"/>
        <v>II.5.1.1049</v>
      </c>
      <c r="B2649" s="321">
        <v>49</v>
      </c>
      <c r="C2649" s="339" t="str">
        <f>IFERROR(VLOOKUP(A2649,[3]DOORSCRIEFT!$A$2:$G$6834,2,FALSE),"")</f>
        <v/>
      </c>
      <c r="D2649" s="481" t="str">
        <f>IFERROR(VLOOKUP(A2649,[3]DOORSCRIEFT!$A$2:$G$6834,3,FALSE),"")</f>
        <v/>
      </c>
      <c r="E2649" s="480" t="str">
        <f>IFERROR(VLOOKUP(A2649,[3]DOORSCRIEFT!$A$2:$G$6834,4,FALSE),"")</f>
        <v/>
      </c>
      <c r="F2649" s="405" t="str">
        <f>IFERROR(VLOOKUP(A2649,[3]DOORSCRIEFT!$A$2:$G$6834,7,FALSE),"")</f>
        <v/>
      </c>
      <c r="G2649" s="315"/>
    </row>
    <row r="2650" spans="1:7" x14ac:dyDescent="0.25">
      <c r="A2650" s="496" t="str">
        <f t="shared" si="90"/>
        <v>II.5.1.1050</v>
      </c>
      <c r="B2650" s="321">
        <v>50</v>
      </c>
      <c r="C2650" s="339" t="str">
        <f>IFERROR(VLOOKUP(A2650,[3]DOORSCRIEFT!$A$2:$G$6834,2,FALSE),"")</f>
        <v/>
      </c>
      <c r="D2650" s="481" t="str">
        <f>IFERROR(VLOOKUP(A2650,[3]DOORSCRIEFT!$A$2:$G$6834,3,FALSE),"")</f>
        <v/>
      </c>
      <c r="E2650" s="480" t="str">
        <f>IFERROR(VLOOKUP(A2650,[3]DOORSCRIEFT!$A$2:$G$6834,4,FALSE),"")</f>
        <v/>
      </c>
      <c r="F2650" s="405" t="str">
        <f>IFERROR(VLOOKUP(A2650,[3]DOORSCRIEFT!$A$2:$G$6834,7,FALSE),"")</f>
        <v/>
      </c>
      <c r="G2650" s="315"/>
    </row>
    <row r="2651" spans="1:7" x14ac:dyDescent="0.25">
      <c r="A2651" s="496" t="str">
        <f t="shared" si="90"/>
        <v>II.5.1.1051</v>
      </c>
      <c r="B2651" s="321">
        <v>51</v>
      </c>
      <c r="C2651" s="339" t="str">
        <f>IFERROR(VLOOKUP(A2651,[3]DOORSCRIEFT!$A$2:$G$6834,2,FALSE),"")</f>
        <v/>
      </c>
      <c r="D2651" s="481" t="str">
        <f>IFERROR(VLOOKUP(A2651,[3]DOORSCRIEFT!$A$2:$G$6834,3,FALSE),"")</f>
        <v/>
      </c>
      <c r="E2651" s="480" t="str">
        <f>IFERROR(VLOOKUP(A2651,[3]DOORSCRIEFT!$A$2:$G$6834,4,FALSE),"")</f>
        <v/>
      </c>
      <c r="F2651" s="405" t="str">
        <f>IFERROR(VLOOKUP(A2651,[3]DOORSCRIEFT!$A$2:$G$6834,7,FALSE),"")</f>
        <v/>
      </c>
      <c r="G2651" s="349"/>
    </row>
    <row r="2652" spans="1:7" x14ac:dyDescent="0.25">
      <c r="A2652" s="496" t="str">
        <f t="shared" si="90"/>
        <v>II.5.1.1052</v>
      </c>
      <c r="B2652" s="321">
        <v>52</v>
      </c>
      <c r="C2652" s="339" t="str">
        <f>IFERROR(VLOOKUP(A2652,[3]DOORSCRIEFT!$A$2:$G$6834,2,FALSE),"")</f>
        <v/>
      </c>
      <c r="D2652" s="481" t="str">
        <f>IFERROR(VLOOKUP(A2652,[3]DOORSCRIEFT!$A$2:$G$6834,3,FALSE),"")</f>
        <v/>
      </c>
      <c r="E2652" s="480" t="str">
        <f>IFERROR(VLOOKUP(A2652,[3]DOORSCRIEFT!$A$2:$G$6834,4,FALSE),"")</f>
        <v/>
      </c>
      <c r="F2652" s="405" t="str">
        <f>IFERROR(VLOOKUP(A2652,[3]DOORSCRIEFT!$A$2:$G$6834,7,FALSE),"")</f>
        <v/>
      </c>
      <c r="G2652" s="349"/>
    </row>
    <row r="2653" spans="1:7" x14ac:dyDescent="0.25">
      <c r="A2653" s="496" t="str">
        <f t="shared" si="90"/>
        <v>II.5.1.1053</v>
      </c>
      <c r="B2653" s="321">
        <v>53</v>
      </c>
      <c r="C2653" s="339" t="str">
        <f>IFERROR(VLOOKUP(A2653,[3]DOORSCRIEFT!$A$2:$G$6834,2,FALSE),"")</f>
        <v/>
      </c>
      <c r="D2653" s="481" t="str">
        <f>IFERROR(VLOOKUP(A2653,[3]DOORSCRIEFT!$A$2:$G$6834,3,FALSE),"")</f>
        <v/>
      </c>
      <c r="E2653" s="480" t="str">
        <f>IFERROR(VLOOKUP(A2653,[3]DOORSCRIEFT!$A$2:$G$6834,4,FALSE),"")</f>
        <v/>
      </c>
      <c r="F2653" s="405" t="str">
        <f>IFERROR(VLOOKUP(A2653,[3]DOORSCRIEFT!$A$2:$G$6834,7,FALSE),"")</f>
        <v/>
      </c>
      <c r="G2653" s="349"/>
    </row>
    <row r="2654" spans="1:7" x14ac:dyDescent="0.25">
      <c r="A2654" s="496" t="str">
        <f t="shared" si="90"/>
        <v>II.5.1.1054</v>
      </c>
      <c r="B2654" s="321">
        <v>54</v>
      </c>
      <c r="C2654" s="339" t="str">
        <f>IFERROR(VLOOKUP(A2654,[3]DOORSCRIEFT!$A$2:$G$6834,2,FALSE),"")</f>
        <v/>
      </c>
      <c r="D2654" s="481" t="str">
        <f>IFERROR(VLOOKUP(A2654,[3]DOORSCRIEFT!$A$2:$G$6834,3,FALSE),"")</f>
        <v/>
      </c>
      <c r="E2654" s="480" t="str">
        <f>IFERROR(VLOOKUP(A2654,[3]DOORSCRIEFT!$A$2:$G$6834,4,FALSE),"")</f>
        <v/>
      </c>
      <c r="F2654" s="405" t="str">
        <f>IFERROR(VLOOKUP(A2654,[3]DOORSCRIEFT!$A$2:$G$6834,7,FALSE),"")</f>
        <v/>
      </c>
      <c r="G2654" s="349"/>
    </row>
    <row r="2655" spans="1:7" x14ac:dyDescent="0.25">
      <c r="A2655" s="496" t="str">
        <f t="shared" si="90"/>
        <v>II.5.1.1055</v>
      </c>
      <c r="B2655" s="321">
        <v>55</v>
      </c>
      <c r="C2655" s="339" t="str">
        <f>IFERROR(VLOOKUP(A2655,[3]DOORSCRIEFT!$A$2:$G$6834,2,FALSE),"")</f>
        <v/>
      </c>
      <c r="D2655" s="481" t="str">
        <f>IFERROR(VLOOKUP(A2655,[3]DOORSCRIEFT!$A$2:$G$6834,3,FALSE),"")</f>
        <v/>
      </c>
      <c r="E2655" s="480" t="str">
        <f>IFERROR(VLOOKUP(A2655,[3]DOORSCRIEFT!$A$2:$G$6834,4,FALSE),"")</f>
        <v/>
      </c>
      <c r="F2655" s="405" t="str">
        <f>IFERROR(VLOOKUP(A2655,[3]DOORSCRIEFT!$A$2:$G$6834,7,FALSE),"")</f>
        <v/>
      </c>
      <c r="G2655" s="349"/>
    </row>
    <row r="2656" spans="1:7" x14ac:dyDescent="0.25">
      <c r="A2656" s="496" t="str">
        <f t="shared" si="90"/>
        <v>II.5.1.1056</v>
      </c>
      <c r="B2656" s="321">
        <v>56</v>
      </c>
      <c r="C2656" s="339" t="str">
        <f>IFERROR(VLOOKUP(A2656,[3]DOORSCRIEFT!$A$2:$G$6834,2,FALSE),"")</f>
        <v/>
      </c>
      <c r="D2656" s="481" t="str">
        <f>IFERROR(VLOOKUP(A2656,[3]DOORSCRIEFT!$A$2:$G$6834,3,FALSE),"")</f>
        <v/>
      </c>
      <c r="E2656" s="480" t="str">
        <f>IFERROR(VLOOKUP(A2656,[3]DOORSCRIEFT!$A$2:$G$6834,4,FALSE),"")</f>
        <v/>
      </c>
      <c r="F2656" s="405" t="str">
        <f>IFERROR(VLOOKUP(A2656,[3]DOORSCRIEFT!$A$2:$G$6834,7,FALSE),"")</f>
        <v/>
      </c>
      <c r="G2656" s="349"/>
    </row>
    <row r="2657" spans="1:7" x14ac:dyDescent="0.25">
      <c r="A2657" s="496" t="str">
        <f t="shared" si="90"/>
        <v>II.5.1.1057</v>
      </c>
      <c r="B2657" s="321">
        <v>57</v>
      </c>
      <c r="C2657" s="339" t="str">
        <f>IFERROR(VLOOKUP(A2657,[3]DOORSCRIEFT!$A$2:$G$6834,2,FALSE),"")</f>
        <v/>
      </c>
      <c r="D2657" s="481" t="str">
        <f>IFERROR(VLOOKUP(A2657,[3]DOORSCRIEFT!$A$2:$G$6834,3,FALSE),"")</f>
        <v/>
      </c>
      <c r="E2657" s="480" t="str">
        <f>IFERROR(VLOOKUP(A2657,[3]DOORSCRIEFT!$A$2:$G$6834,4,FALSE),"")</f>
        <v/>
      </c>
      <c r="F2657" s="405" t="str">
        <f>IFERROR(VLOOKUP(A2657,[3]DOORSCRIEFT!$A$2:$G$6834,7,FALSE),"")</f>
        <v/>
      </c>
      <c r="G2657" s="349"/>
    </row>
    <row r="2658" spans="1:7" x14ac:dyDescent="0.25">
      <c r="A2658" s="496" t="str">
        <f t="shared" si="90"/>
        <v>II.5.1.1058</v>
      </c>
      <c r="B2658" s="321">
        <v>58</v>
      </c>
      <c r="C2658" s="339" t="str">
        <f>IFERROR(VLOOKUP(A2658,[3]DOORSCRIEFT!$A$2:$G$6834,2,FALSE),"")</f>
        <v/>
      </c>
      <c r="D2658" s="481" t="str">
        <f>IFERROR(VLOOKUP(A2658,[3]DOORSCRIEFT!$A$2:$G$6834,3,FALSE),"")</f>
        <v/>
      </c>
      <c r="E2658" s="480" t="str">
        <f>IFERROR(VLOOKUP(A2658,[3]DOORSCRIEFT!$A$2:$G$6834,4,FALSE),"")</f>
        <v/>
      </c>
      <c r="F2658" s="405" t="str">
        <f>IFERROR(VLOOKUP(A2658,[3]DOORSCRIEFT!$A$2:$G$6834,7,FALSE),"")</f>
        <v/>
      </c>
      <c r="G2658" s="349"/>
    </row>
    <row r="2659" spans="1:7" x14ac:dyDescent="0.25">
      <c r="A2659" s="496" t="str">
        <f t="shared" si="90"/>
        <v>II.5.1.1059</v>
      </c>
      <c r="B2659" s="321">
        <v>59</v>
      </c>
      <c r="C2659" s="339" t="str">
        <f>IFERROR(VLOOKUP(A2659,[3]DOORSCRIEFT!$A$2:$G$6834,2,FALSE),"")</f>
        <v/>
      </c>
      <c r="D2659" s="481" t="str">
        <f>IFERROR(VLOOKUP(A2659,[3]DOORSCRIEFT!$A$2:$G$6834,3,FALSE),"")</f>
        <v/>
      </c>
      <c r="E2659" s="480" t="str">
        <f>IFERROR(VLOOKUP(A2659,[3]DOORSCRIEFT!$A$2:$G$6834,4,FALSE),"")</f>
        <v/>
      </c>
      <c r="F2659" s="405" t="str">
        <f>IFERROR(VLOOKUP(A2659,[3]DOORSCRIEFT!$A$2:$G$6834,7,FALSE),"")</f>
        <v/>
      </c>
      <c r="G2659" s="349"/>
    </row>
    <row r="2660" spans="1:7" x14ac:dyDescent="0.25">
      <c r="A2660" s="496" t="str">
        <f t="shared" si="90"/>
        <v>II.5.1.1060</v>
      </c>
      <c r="B2660" s="321">
        <v>60</v>
      </c>
      <c r="C2660" s="339" t="str">
        <f>IFERROR(VLOOKUP(A2660,[3]DOORSCRIEFT!$A$2:$G$6834,2,FALSE),"")</f>
        <v/>
      </c>
      <c r="D2660" s="481" t="str">
        <f>IFERROR(VLOOKUP(A2660,[3]DOORSCRIEFT!$A$2:$G$6834,3,FALSE),"")</f>
        <v/>
      </c>
      <c r="E2660" s="480" t="str">
        <f>IFERROR(VLOOKUP(A2660,[3]DOORSCRIEFT!$A$2:$G$6834,4,FALSE),"")</f>
        <v/>
      </c>
      <c r="F2660" s="405" t="str">
        <f>IFERROR(VLOOKUP(A2660,[3]DOORSCRIEFT!$A$2:$G$6834,7,FALSE),"")</f>
        <v/>
      </c>
      <c r="G2660" s="349"/>
    </row>
    <row r="2661" spans="1:7" x14ac:dyDescent="0.25">
      <c r="A2661" s="496" t="str">
        <f t="shared" si="90"/>
        <v>II.5.1.1061</v>
      </c>
      <c r="B2661" s="321">
        <v>61</v>
      </c>
      <c r="C2661" s="339" t="str">
        <f>IFERROR(VLOOKUP(A2661,[3]DOORSCRIEFT!$A$2:$G$6834,2,FALSE),"")</f>
        <v/>
      </c>
      <c r="D2661" s="481" t="str">
        <f>IFERROR(VLOOKUP(A2661,[3]DOORSCRIEFT!$A$2:$G$6834,3,FALSE),"")</f>
        <v/>
      </c>
      <c r="E2661" s="480" t="str">
        <f>IFERROR(VLOOKUP(A2661,[3]DOORSCRIEFT!$A$2:$G$6834,4,FALSE),"")</f>
        <v/>
      </c>
      <c r="F2661" s="405" t="str">
        <f>IFERROR(VLOOKUP(A2661,[3]DOORSCRIEFT!$A$2:$G$6834,7,FALSE),"")</f>
        <v/>
      </c>
      <c r="G2661" s="349"/>
    </row>
    <row r="2662" spans="1:7" x14ac:dyDescent="0.25">
      <c r="A2662" s="496" t="str">
        <f t="shared" si="90"/>
        <v>II.5.1.1062</v>
      </c>
      <c r="B2662" s="321">
        <v>62</v>
      </c>
      <c r="C2662" s="339" t="str">
        <f>IFERROR(VLOOKUP(A2662,[3]DOORSCRIEFT!$A$2:$G$6834,2,FALSE),"")</f>
        <v/>
      </c>
      <c r="D2662" s="481" t="str">
        <f>IFERROR(VLOOKUP(A2662,[3]DOORSCRIEFT!$A$2:$G$6834,3,FALSE),"")</f>
        <v/>
      </c>
      <c r="E2662" s="480" t="str">
        <f>IFERROR(VLOOKUP(A2662,[3]DOORSCRIEFT!$A$2:$G$6834,4,FALSE),"")</f>
        <v/>
      </c>
      <c r="F2662" s="405" t="str">
        <f>IFERROR(VLOOKUP(A2662,[3]DOORSCRIEFT!$A$2:$G$6834,7,FALSE),"")</f>
        <v/>
      </c>
      <c r="G2662" s="349"/>
    </row>
    <row r="2663" spans="1:7" x14ac:dyDescent="0.25">
      <c r="A2663" s="496" t="str">
        <f t="shared" si="90"/>
        <v>II.5.1.1063</v>
      </c>
      <c r="B2663" s="321">
        <v>63</v>
      </c>
      <c r="C2663" s="339" t="str">
        <f>IFERROR(VLOOKUP(A2663,[3]DOORSCRIEFT!$A$2:$G$6834,2,FALSE),"")</f>
        <v/>
      </c>
      <c r="D2663" s="481" t="str">
        <f>IFERROR(VLOOKUP(A2663,[3]DOORSCRIEFT!$A$2:$G$6834,3,FALSE),"")</f>
        <v/>
      </c>
      <c r="E2663" s="480" t="str">
        <f>IFERROR(VLOOKUP(A2663,[3]DOORSCRIEFT!$A$2:$G$6834,4,FALSE),"")</f>
        <v/>
      </c>
      <c r="F2663" s="405" t="str">
        <f>IFERROR(VLOOKUP(A2663,[3]DOORSCRIEFT!$A$2:$G$6834,7,FALSE),"")</f>
        <v/>
      </c>
      <c r="G2663" s="349"/>
    </row>
    <row r="2664" spans="1:7" x14ac:dyDescent="0.25">
      <c r="A2664" s="496" t="str">
        <f t="shared" si="90"/>
        <v>II.5.1.1064</v>
      </c>
      <c r="B2664" s="321">
        <v>64</v>
      </c>
      <c r="C2664" s="339" t="str">
        <f>IFERROR(VLOOKUP(A2664,[3]DOORSCRIEFT!$A$2:$G$6834,2,FALSE),"")</f>
        <v/>
      </c>
      <c r="D2664" s="481" t="str">
        <f>IFERROR(VLOOKUP(A2664,[3]DOORSCRIEFT!$A$2:$G$6834,3,FALSE),"")</f>
        <v/>
      </c>
      <c r="E2664" s="480" t="str">
        <f>IFERROR(VLOOKUP(A2664,[3]DOORSCRIEFT!$A$2:$G$6834,4,FALSE),"")</f>
        <v/>
      </c>
      <c r="F2664" s="405" t="str">
        <f>IFERROR(VLOOKUP(A2664,[3]DOORSCRIEFT!$A$2:$G$6834,7,FALSE),"")</f>
        <v/>
      </c>
      <c r="G2664" s="349"/>
    </row>
    <row r="2665" spans="1:7" x14ac:dyDescent="0.25">
      <c r="A2665" s="496" t="str">
        <f t="shared" ref="A2665:A2696" si="91">$G$2594&amp;B2665</f>
        <v>II.5.1.1065</v>
      </c>
      <c r="B2665" s="321">
        <v>65</v>
      </c>
      <c r="C2665" s="319" t="str">
        <f>IFERROR(VLOOKUP(A2665,#REF!,3,FALSE),"")</f>
        <v/>
      </c>
      <c r="D2665" s="481" t="str">
        <f>IFERROR(VLOOKUP(A2665,#REF!,3,FALSE),"")</f>
        <v/>
      </c>
      <c r="E2665" s="480" t="str">
        <f>IFERROR(VLOOKUP(A2665,#REF!,4,FALSE),"")</f>
        <v/>
      </c>
      <c r="F2665" s="495"/>
      <c r="G2665" s="349"/>
    </row>
    <row r="2666" spans="1:7" x14ac:dyDescent="0.25">
      <c r="A2666" s="496" t="str">
        <f t="shared" si="91"/>
        <v>II.5.1.1066</v>
      </c>
      <c r="B2666" s="321">
        <v>66</v>
      </c>
      <c r="C2666" s="319" t="str">
        <f>IFERROR(VLOOKUP(A2666,#REF!,3,FALSE),"")</f>
        <v/>
      </c>
      <c r="D2666" s="481" t="str">
        <f>IFERROR(VLOOKUP(A2666,#REF!,3,FALSE),"")</f>
        <v/>
      </c>
      <c r="E2666" s="480" t="str">
        <f>IFERROR(VLOOKUP(A2666,#REF!,4,FALSE),"")</f>
        <v/>
      </c>
      <c r="F2666" s="495"/>
      <c r="G2666" s="349"/>
    </row>
    <row r="2667" spans="1:7" x14ac:dyDescent="0.25">
      <c r="A2667" s="496" t="str">
        <f t="shared" si="91"/>
        <v>II.5.1.1067</v>
      </c>
      <c r="B2667" s="321">
        <v>67</v>
      </c>
      <c r="C2667" s="319" t="str">
        <f>IFERROR(VLOOKUP(A2667,#REF!,3,FALSE),"")</f>
        <v/>
      </c>
      <c r="D2667" s="481" t="str">
        <f>IFERROR(VLOOKUP(A2667,#REF!,3,FALSE),"")</f>
        <v/>
      </c>
      <c r="E2667" s="480" t="str">
        <f>IFERROR(VLOOKUP(A2667,#REF!,4,FALSE),"")</f>
        <v/>
      </c>
      <c r="F2667" s="495"/>
      <c r="G2667" s="349"/>
    </row>
    <row r="2668" spans="1:7" x14ac:dyDescent="0.25">
      <c r="A2668" s="496" t="str">
        <f t="shared" si="91"/>
        <v>II.5.1.1068</v>
      </c>
      <c r="B2668" s="321">
        <v>68</v>
      </c>
      <c r="C2668" s="319" t="str">
        <f>IFERROR(VLOOKUP(A2668,#REF!,3,FALSE),"")</f>
        <v/>
      </c>
      <c r="D2668" s="481" t="str">
        <f>IFERROR(VLOOKUP(A2668,#REF!,3,FALSE),"")</f>
        <v/>
      </c>
      <c r="E2668" s="480" t="str">
        <f>IFERROR(VLOOKUP(A2668,#REF!,4,FALSE),"")</f>
        <v/>
      </c>
      <c r="F2668" s="495"/>
      <c r="G2668" s="349"/>
    </row>
    <row r="2669" spans="1:7" x14ac:dyDescent="0.25">
      <c r="A2669" s="496" t="str">
        <f t="shared" si="91"/>
        <v>II.5.1.1069</v>
      </c>
      <c r="B2669" s="321">
        <v>69</v>
      </c>
      <c r="C2669" s="319" t="str">
        <f>IFERROR(VLOOKUP(A2669,#REF!,3,FALSE),"")</f>
        <v/>
      </c>
      <c r="D2669" s="481" t="str">
        <f>IFERROR(VLOOKUP(A2669,#REF!,3,FALSE),"")</f>
        <v/>
      </c>
      <c r="E2669" s="480" t="str">
        <f>IFERROR(VLOOKUP(A2669,#REF!,4,FALSE),"")</f>
        <v/>
      </c>
      <c r="F2669" s="495"/>
      <c r="G2669" s="349"/>
    </row>
    <row r="2670" spans="1:7" x14ac:dyDescent="0.25">
      <c r="A2670" s="496" t="str">
        <f t="shared" si="91"/>
        <v>II.5.1.1070</v>
      </c>
      <c r="B2670" s="321">
        <v>70</v>
      </c>
      <c r="C2670" s="319" t="str">
        <f>IFERROR(VLOOKUP(A2670,#REF!,3,FALSE),"")</f>
        <v/>
      </c>
      <c r="D2670" s="481" t="str">
        <f>IFERROR(VLOOKUP(A2670,#REF!,3,FALSE),"")</f>
        <v/>
      </c>
      <c r="E2670" s="480" t="str">
        <f>IFERROR(VLOOKUP(A2670,#REF!,4,FALSE),"")</f>
        <v/>
      </c>
      <c r="F2670" s="495"/>
      <c r="G2670" s="349"/>
    </row>
    <row r="2671" spans="1:7" x14ac:dyDescent="0.25">
      <c r="A2671" s="496" t="str">
        <f t="shared" si="91"/>
        <v>II.5.1.1071</v>
      </c>
      <c r="B2671" s="321">
        <v>71</v>
      </c>
      <c r="C2671" s="319" t="str">
        <f>IFERROR(VLOOKUP(A2671,#REF!,3,FALSE),"")</f>
        <v/>
      </c>
      <c r="D2671" s="481" t="str">
        <f>IFERROR(VLOOKUP(A2671,#REF!,3,FALSE),"")</f>
        <v/>
      </c>
      <c r="E2671" s="480" t="str">
        <f>IFERROR(VLOOKUP(A2671,#REF!,4,FALSE),"")</f>
        <v/>
      </c>
      <c r="F2671" s="495"/>
      <c r="G2671" s="349"/>
    </row>
    <row r="2672" spans="1:7" x14ac:dyDescent="0.25">
      <c r="A2672" s="496" t="str">
        <f t="shared" si="91"/>
        <v>II.5.1.1072</v>
      </c>
      <c r="B2672" s="321">
        <v>72</v>
      </c>
      <c r="C2672" s="319" t="str">
        <f>IFERROR(VLOOKUP(A2672,#REF!,3,FALSE),"")</f>
        <v/>
      </c>
      <c r="D2672" s="481" t="str">
        <f>IFERROR(VLOOKUP(A2672,#REF!,3,FALSE),"")</f>
        <v/>
      </c>
      <c r="E2672" s="480" t="str">
        <f>IFERROR(VLOOKUP(A2672,#REF!,4,FALSE),"")</f>
        <v/>
      </c>
      <c r="F2672" s="495"/>
      <c r="G2672" s="349"/>
    </row>
    <row r="2673" spans="1:7" x14ac:dyDescent="0.25">
      <c r="A2673" s="496" t="str">
        <f t="shared" si="91"/>
        <v>II.5.1.1073</v>
      </c>
      <c r="B2673" s="321">
        <v>73</v>
      </c>
      <c r="C2673" s="319" t="str">
        <f>IFERROR(VLOOKUP(A2673,#REF!,3,FALSE),"")</f>
        <v/>
      </c>
      <c r="D2673" s="481" t="str">
        <f>IFERROR(VLOOKUP(A2673,#REF!,3,FALSE),"")</f>
        <v/>
      </c>
      <c r="E2673" s="480" t="str">
        <f>IFERROR(VLOOKUP(A2673,#REF!,4,FALSE),"")</f>
        <v/>
      </c>
      <c r="F2673" s="495"/>
      <c r="G2673" s="349"/>
    </row>
    <row r="2674" spans="1:7" x14ac:dyDescent="0.25">
      <c r="A2674" s="496" t="str">
        <f t="shared" si="91"/>
        <v>II.5.1.1074</v>
      </c>
      <c r="B2674" s="321">
        <v>74</v>
      </c>
      <c r="C2674" s="319" t="str">
        <f>IFERROR(VLOOKUP(A2674,#REF!,3,FALSE),"")</f>
        <v/>
      </c>
      <c r="D2674" s="481" t="str">
        <f>IFERROR(VLOOKUP(A2674,#REF!,3,FALSE),"")</f>
        <v/>
      </c>
      <c r="E2674" s="480" t="str">
        <f>IFERROR(VLOOKUP(A2674,#REF!,4,FALSE),"")</f>
        <v/>
      </c>
      <c r="F2674" s="495"/>
      <c r="G2674" s="349"/>
    </row>
    <row r="2675" spans="1:7" x14ac:dyDescent="0.25">
      <c r="A2675" s="496" t="str">
        <f t="shared" si="91"/>
        <v>II.5.1.1075</v>
      </c>
      <c r="B2675" s="321">
        <v>75</v>
      </c>
      <c r="C2675" s="319" t="str">
        <f>IFERROR(VLOOKUP(A2675,#REF!,3,FALSE),"")</f>
        <v/>
      </c>
      <c r="D2675" s="481" t="str">
        <f>IFERROR(VLOOKUP(A2675,#REF!,3,FALSE),"")</f>
        <v/>
      </c>
      <c r="E2675" s="480" t="str">
        <f>IFERROR(VLOOKUP(A2675,#REF!,4,FALSE),"")</f>
        <v/>
      </c>
      <c r="F2675" s="495"/>
      <c r="G2675" s="349"/>
    </row>
    <row r="2676" spans="1:7" x14ac:dyDescent="0.25">
      <c r="A2676" s="496" t="str">
        <f t="shared" si="91"/>
        <v>II.5.1.1076</v>
      </c>
      <c r="B2676" s="321">
        <v>76</v>
      </c>
      <c r="C2676" s="319" t="str">
        <f>IFERROR(VLOOKUP(A2676,#REF!,3,FALSE),"")</f>
        <v/>
      </c>
      <c r="D2676" s="481" t="str">
        <f>IFERROR(VLOOKUP(A2676,#REF!,3,FALSE),"")</f>
        <v/>
      </c>
      <c r="E2676" s="480" t="str">
        <f>IFERROR(VLOOKUP(A2676,#REF!,4,FALSE),"")</f>
        <v/>
      </c>
      <c r="F2676" s="495"/>
      <c r="G2676" s="349"/>
    </row>
    <row r="2677" spans="1:7" x14ac:dyDescent="0.25">
      <c r="A2677" s="496" t="str">
        <f t="shared" si="91"/>
        <v>II.5.1.1077</v>
      </c>
      <c r="B2677" s="321">
        <v>77</v>
      </c>
      <c r="C2677" s="319" t="str">
        <f>IFERROR(VLOOKUP(A2677,#REF!,3,FALSE),"")</f>
        <v/>
      </c>
      <c r="D2677" s="481" t="str">
        <f>IFERROR(VLOOKUP(A2677,#REF!,3,FALSE),"")</f>
        <v/>
      </c>
      <c r="E2677" s="480" t="str">
        <f>IFERROR(VLOOKUP(A2677,#REF!,4,FALSE),"")</f>
        <v/>
      </c>
      <c r="F2677" s="495"/>
      <c r="G2677" s="349"/>
    </row>
    <row r="2678" spans="1:7" x14ac:dyDescent="0.25">
      <c r="A2678" s="496" t="str">
        <f t="shared" si="91"/>
        <v>II.5.1.1078</v>
      </c>
      <c r="B2678" s="321">
        <v>78</v>
      </c>
      <c r="C2678" s="319" t="str">
        <f>IFERROR(VLOOKUP(A2678,#REF!,3,FALSE),"")</f>
        <v/>
      </c>
      <c r="D2678" s="481" t="str">
        <f>IFERROR(VLOOKUP(A2678,#REF!,3,FALSE),"")</f>
        <v/>
      </c>
      <c r="E2678" s="480" t="str">
        <f>IFERROR(VLOOKUP(A2678,#REF!,4,FALSE),"")</f>
        <v/>
      </c>
      <c r="F2678" s="495"/>
      <c r="G2678" s="349"/>
    </row>
    <row r="2679" spans="1:7" x14ac:dyDescent="0.25">
      <c r="A2679" s="496" t="str">
        <f t="shared" si="91"/>
        <v>II.5.1.1079</v>
      </c>
      <c r="B2679" s="321">
        <v>79</v>
      </c>
      <c r="C2679" s="319" t="str">
        <f>IFERROR(VLOOKUP(A2679,#REF!,3,FALSE),"")</f>
        <v/>
      </c>
      <c r="D2679" s="481" t="str">
        <f>IFERROR(VLOOKUP(A2679,#REF!,3,FALSE),"")</f>
        <v/>
      </c>
      <c r="E2679" s="480" t="str">
        <f>IFERROR(VLOOKUP(A2679,#REF!,4,FALSE),"")</f>
        <v/>
      </c>
      <c r="F2679" s="495"/>
      <c r="G2679" s="349"/>
    </row>
    <row r="2680" spans="1:7" x14ac:dyDescent="0.25">
      <c r="A2680" s="496" t="str">
        <f t="shared" si="91"/>
        <v>II.5.1.1080</v>
      </c>
      <c r="B2680" s="321">
        <v>80</v>
      </c>
      <c r="C2680" s="319" t="str">
        <f>IFERROR(VLOOKUP(A2680,#REF!,3,FALSE),"")</f>
        <v/>
      </c>
      <c r="D2680" s="481" t="str">
        <f>IFERROR(VLOOKUP(A2680,#REF!,3,FALSE),"")</f>
        <v/>
      </c>
      <c r="E2680" s="480" t="str">
        <f>IFERROR(VLOOKUP(A2680,#REF!,4,FALSE),"")</f>
        <v/>
      </c>
      <c r="F2680" s="495"/>
      <c r="G2680" s="349"/>
    </row>
    <row r="2681" spans="1:7" x14ac:dyDescent="0.25">
      <c r="A2681" s="496" t="str">
        <f t="shared" si="91"/>
        <v>II.5.1.1081</v>
      </c>
      <c r="B2681" s="321">
        <v>81</v>
      </c>
      <c r="C2681" s="319" t="str">
        <f>IFERROR(VLOOKUP(A2681,#REF!,3,FALSE),"")</f>
        <v/>
      </c>
      <c r="D2681" s="481" t="str">
        <f>IFERROR(VLOOKUP(A2681,#REF!,3,FALSE),"")</f>
        <v/>
      </c>
      <c r="E2681" s="480" t="str">
        <f>IFERROR(VLOOKUP(A2681,#REF!,4,FALSE),"")</f>
        <v/>
      </c>
      <c r="F2681" s="495"/>
      <c r="G2681" s="349"/>
    </row>
    <row r="2682" spans="1:7" x14ac:dyDescent="0.25">
      <c r="A2682" s="496" t="str">
        <f t="shared" si="91"/>
        <v>II.5.1.1082</v>
      </c>
      <c r="B2682" s="321">
        <v>82</v>
      </c>
      <c r="C2682" s="319" t="str">
        <f>IFERROR(VLOOKUP(A2682,#REF!,3,FALSE),"")</f>
        <v/>
      </c>
      <c r="D2682" s="481" t="str">
        <f>IFERROR(VLOOKUP(A2682,#REF!,3,FALSE),"")</f>
        <v/>
      </c>
      <c r="E2682" s="480" t="str">
        <f>IFERROR(VLOOKUP(A2682,#REF!,4,FALSE),"")</f>
        <v/>
      </c>
      <c r="F2682" s="495"/>
      <c r="G2682" s="349"/>
    </row>
    <row r="2683" spans="1:7" x14ac:dyDescent="0.25">
      <c r="A2683" s="496" t="str">
        <f t="shared" si="91"/>
        <v>II.5.1.1083</v>
      </c>
      <c r="B2683" s="321">
        <v>83</v>
      </c>
      <c r="C2683" s="319" t="str">
        <f>IFERROR(VLOOKUP(A2683,#REF!,3,FALSE),"")</f>
        <v/>
      </c>
      <c r="D2683" s="481" t="str">
        <f>IFERROR(VLOOKUP(A2683,#REF!,3,FALSE),"")</f>
        <v/>
      </c>
      <c r="E2683" s="480" t="str">
        <f>IFERROR(VLOOKUP(A2683,#REF!,4,FALSE),"")</f>
        <v/>
      </c>
      <c r="F2683" s="495"/>
      <c r="G2683" s="349"/>
    </row>
    <row r="2684" spans="1:7" x14ac:dyDescent="0.25">
      <c r="A2684" s="496" t="str">
        <f t="shared" si="91"/>
        <v>II.5.1.1084</v>
      </c>
      <c r="B2684" s="321">
        <v>84</v>
      </c>
      <c r="C2684" s="319" t="str">
        <f>IFERROR(VLOOKUP(A2684,#REF!,3,FALSE),"")</f>
        <v/>
      </c>
      <c r="D2684" s="481" t="str">
        <f>IFERROR(VLOOKUP(A2684,#REF!,3,FALSE),"")</f>
        <v/>
      </c>
      <c r="E2684" s="480" t="str">
        <f>IFERROR(VLOOKUP(A2684,#REF!,4,FALSE),"")</f>
        <v/>
      </c>
      <c r="F2684" s="495"/>
      <c r="G2684" s="349"/>
    </row>
    <row r="2685" spans="1:7" x14ac:dyDescent="0.25">
      <c r="A2685" s="496" t="str">
        <f t="shared" si="91"/>
        <v>II.5.1.1085</v>
      </c>
      <c r="B2685" s="321">
        <v>85</v>
      </c>
      <c r="C2685" s="319" t="str">
        <f>IFERROR(VLOOKUP(A2685,#REF!,3,FALSE),"")</f>
        <v/>
      </c>
      <c r="D2685" s="481" t="str">
        <f>IFERROR(VLOOKUP(A2685,#REF!,3,FALSE),"")</f>
        <v/>
      </c>
      <c r="E2685" s="480" t="str">
        <f>IFERROR(VLOOKUP(A2685,#REF!,4,FALSE),"")</f>
        <v/>
      </c>
      <c r="F2685" s="495"/>
      <c r="G2685" s="349"/>
    </row>
    <row r="2686" spans="1:7" x14ac:dyDescent="0.25">
      <c r="A2686" s="496" t="str">
        <f t="shared" si="91"/>
        <v>II.5.1.1086</v>
      </c>
      <c r="B2686" s="321">
        <v>86</v>
      </c>
      <c r="C2686" s="319" t="str">
        <f>IFERROR(VLOOKUP(A2686,#REF!,3,FALSE),"")</f>
        <v/>
      </c>
      <c r="D2686" s="481" t="str">
        <f>IFERROR(VLOOKUP(A2686,#REF!,3,FALSE),"")</f>
        <v/>
      </c>
      <c r="E2686" s="480" t="str">
        <f>IFERROR(VLOOKUP(A2686,#REF!,4,FALSE),"")</f>
        <v/>
      </c>
      <c r="F2686" s="495"/>
      <c r="G2686" s="349"/>
    </row>
    <row r="2687" spans="1:7" x14ac:dyDescent="0.25">
      <c r="A2687" s="496" t="str">
        <f t="shared" si="91"/>
        <v>II.5.1.1087</v>
      </c>
      <c r="B2687" s="321">
        <v>87</v>
      </c>
      <c r="C2687" s="319" t="str">
        <f>IFERROR(VLOOKUP(A2687,#REF!,3,FALSE),"")</f>
        <v/>
      </c>
      <c r="D2687" s="481" t="str">
        <f>IFERROR(VLOOKUP(A2687,#REF!,3,FALSE),"")</f>
        <v/>
      </c>
      <c r="E2687" s="480" t="str">
        <f>IFERROR(VLOOKUP(A2687,#REF!,4,FALSE),"")</f>
        <v/>
      </c>
      <c r="F2687" s="495"/>
      <c r="G2687" s="349"/>
    </row>
    <row r="2688" spans="1:7" x14ac:dyDescent="0.25">
      <c r="A2688" s="496" t="str">
        <f t="shared" si="91"/>
        <v>II.5.1.1088</v>
      </c>
      <c r="B2688" s="321">
        <v>88</v>
      </c>
      <c r="C2688" s="319" t="str">
        <f>IFERROR(VLOOKUP(A2688,#REF!,3,FALSE),"")</f>
        <v/>
      </c>
      <c r="D2688" s="481" t="str">
        <f>IFERROR(VLOOKUP(A2688,#REF!,3,FALSE),"")</f>
        <v/>
      </c>
      <c r="E2688" s="480" t="str">
        <f>IFERROR(VLOOKUP(A2688,#REF!,4,FALSE),"")</f>
        <v/>
      </c>
      <c r="F2688" s="495"/>
      <c r="G2688" s="349"/>
    </row>
    <row r="2689" spans="1:7" ht="15.75" thickBot="1" x14ac:dyDescent="0.3">
      <c r="A2689" s="494" t="str">
        <f t="shared" si="91"/>
        <v>II.5.1.1089</v>
      </c>
      <c r="B2689" s="493">
        <v>89</v>
      </c>
      <c r="C2689" s="375" t="str">
        <f>IFERROR(VLOOKUP(A2689,#REF!,3,FALSE),"")</f>
        <v/>
      </c>
      <c r="D2689" s="481" t="str">
        <f>IFERROR(VLOOKUP(A2689,#REF!,3,FALSE),"")</f>
        <v/>
      </c>
      <c r="E2689" s="480" t="str">
        <f>IFERROR(VLOOKUP(A2689,#REF!,4,FALSE),"")</f>
        <v/>
      </c>
      <c r="F2689" s="492"/>
      <c r="G2689" s="371"/>
    </row>
    <row r="2690" spans="1:7" ht="15.75" thickBot="1" x14ac:dyDescent="0.3">
      <c r="A2690" s="491"/>
      <c r="B2690" s="489"/>
      <c r="C2690" s="368"/>
      <c r="D2690" s="490"/>
      <c r="E2690" s="489" t="s">
        <v>644</v>
      </c>
      <c r="F2690" s="365">
        <f>SUM(F2601:F2651)</f>
        <v>6162000</v>
      </c>
      <c r="G2690" s="364">
        <f>SUM(G2601:G2651)</f>
        <v>0</v>
      </c>
    </row>
    <row r="2691" spans="1:7" x14ac:dyDescent="0.25">
      <c r="C2691" s="335"/>
      <c r="D2691" s="485"/>
    </row>
    <row r="2692" spans="1:7" x14ac:dyDescent="0.25">
      <c r="C2692" s="335"/>
      <c r="D2692" s="485"/>
    </row>
    <row r="2693" spans="1:7" ht="15.75" x14ac:dyDescent="0.25">
      <c r="C2693" s="334" t="s">
        <v>663</v>
      </c>
      <c r="D2693" s="484"/>
      <c r="E2693" s="333"/>
      <c r="F2693" s="327" t="s">
        <v>607</v>
      </c>
      <c r="G2693" s="327" t="s">
        <v>37</v>
      </c>
    </row>
    <row r="2694" spans="1:7" ht="15.75" x14ac:dyDescent="0.25">
      <c r="C2694" s="334"/>
      <c r="D2694" s="484"/>
      <c r="E2694" s="333"/>
      <c r="F2694" s="327" t="s">
        <v>601</v>
      </c>
      <c r="G2694" s="483" t="s">
        <v>36</v>
      </c>
    </row>
    <row r="2695" spans="1:7" x14ac:dyDescent="0.25">
      <c r="C2695" s="330"/>
      <c r="D2695" s="482"/>
      <c r="E2695" s="329"/>
      <c r="F2695" s="327" t="s">
        <v>651</v>
      </c>
      <c r="G2695" s="331">
        <f>[2]Sheet1!$D$604</f>
        <v>30266500</v>
      </c>
    </row>
    <row r="2696" spans="1:7" ht="15.75" thickBot="1" x14ac:dyDescent="0.3">
      <c r="C2696" s="330"/>
      <c r="D2696" s="482"/>
      <c r="E2696" s="329"/>
      <c r="F2696" s="327" t="s">
        <v>650</v>
      </c>
      <c r="G2696" s="326">
        <f>+F2731-G2695</f>
        <v>-23730500</v>
      </c>
    </row>
    <row r="2697" spans="1:7" x14ac:dyDescent="0.25">
      <c r="A2697" s="571" t="s">
        <v>655</v>
      </c>
      <c r="B2697" s="573" t="s">
        <v>606</v>
      </c>
      <c r="C2697" s="588" t="s">
        <v>649</v>
      </c>
      <c r="D2697" s="599" t="s">
        <v>648</v>
      </c>
      <c r="E2697" s="577" t="s">
        <v>647</v>
      </c>
      <c r="F2697" s="577" t="s">
        <v>646</v>
      </c>
      <c r="G2697" s="580" t="s">
        <v>645</v>
      </c>
    </row>
    <row r="2698" spans="1:7" ht="15.75" thickBot="1" x14ac:dyDescent="0.3">
      <c r="A2698" s="572"/>
      <c r="B2698" s="574"/>
      <c r="C2698" s="589"/>
      <c r="D2698" s="600"/>
      <c r="E2698" s="578"/>
      <c r="F2698" s="578"/>
      <c r="G2698" s="581"/>
    </row>
    <row r="2699" spans="1:7" ht="15.75" thickBot="1" x14ac:dyDescent="0.3">
      <c r="A2699" s="425">
        <v>1</v>
      </c>
      <c r="B2699" s="425">
        <v>2</v>
      </c>
      <c r="C2699" s="425">
        <v>3</v>
      </c>
      <c r="D2699" s="425">
        <v>4</v>
      </c>
      <c r="E2699" s="425">
        <v>5</v>
      </c>
      <c r="F2699" s="425">
        <v>6</v>
      </c>
      <c r="G2699" s="425">
        <v>7</v>
      </c>
    </row>
    <row r="2700" spans="1:7" x14ac:dyDescent="0.25">
      <c r="A2700" s="320" t="str">
        <f t="shared" ref="A2700:A2730" si="92">$G$2693&amp;B2700</f>
        <v>II.5.1.111</v>
      </c>
      <c r="B2700" s="320">
        <v>1</v>
      </c>
      <c r="C2700" s="339">
        <f>IFERROR(VLOOKUP(A2700,[3]DOORSCRIEFT!$A$2:$G$6834,2,FALSE),"")</f>
        <v>29</v>
      </c>
      <c r="D2700" s="481">
        <f>IFERROR(VLOOKUP(A2700,[3]DOORSCRIEFT!$A$2:$G$6834,3,FALSE),"")</f>
        <v>46028</v>
      </c>
      <c r="E2700" s="480" t="str">
        <f>IFERROR(VLOOKUP(A2700,[3]DOORSCRIEFT!$A$2:$G$6834,4,FALSE),"")</f>
        <v>Biaya Tanggungan Ikan Bakar di Klasis</v>
      </c>
      <c r="F2700" s="405">
        <f>IFERROR(VLOOKUP(A2700,[3]DOORSCRIEFT!$A$2:$G$6834,7,FALSE),"")</f>
        <v>520000</v>
      </c>
      <c r="G2700" s="322"/>
    </row>
    <row r="2701" spans="1:7" x14ac:dyDescent="0.25">
      <c r="A2701" s="321" t="str">
        <f t="shared" si="92"/>
        <v>II.5.1.112</v>
      </c>
      <c r="B2701" s="321">
        <v>2</v>
      </c>
      <c r="C2701" s="339">
        <f>IFERROR(VLOOKUP(A2701,[3]DOORSCRIEFT!$A$2:$G$6834,2,FALSE),"")</f>
        <v>84</v>
      </c>
      <c r="D2701" s="481">
        <f>IFERROR(VLOOKUP(A2701,[3]DOORSCRIEFT!$A$2:$G$6834,3,FALSE),"")</f>
        <v>46040</v>
      </c>
      <c r="E2701" s="480" t="str">
        <f>IFERROR(VLOOKUP(A2701,[3]DOORSCRIEFT!$A$2:$G$6834,4,FALSE),"")</f>
        <v>Biaya fotocopy warta 2x dan liturgi ibadah dan pemakaman</v>
      </c>
      <c r="F2701" s="405">
        <f>IFERROR(VLOOKUP(A2701,[3]DOORSCRIEFT!$A$2:$G$6834,7,FALSE),"")</f>
        <v>966000</v>
      </c>
      <c r="G2701" s="315"/>
    </row>
    <row r="2702" spans="1:7" x14ac:dyDescent="0.25">
      <c r="A2702" s="321" t="str">
        <f t="shared" si="92"/>
        <v>II.5.1.113</v>
      </c>
      <c r="B2702" s="321">
        <v>3</v>
      </c>
      <c r="C2702" s="339">
        <f>IFERROR(VLOOKUP(A2702,[3]DOORSCRIEFT!$A$2:$G$6834,2,FALSE),"")</f>
        <v>98</v>
      </c>
      <c r="D2702" s="481">
        <f>IFERROR(VLOOKUP(A2702,[3]DOORSCRIEFT!$A$2:$G$6834,3,FALSE),"")</f>
        <v>46045</v>
      </c>
      <c r="E2702" s="480" t="str">
        <f>IFERROR(VLOOKUP(A2702,[3]DOORSCRIEFT!$A$2:$G$6834,4,FALSE),"")</f>
        <v>Biaya Tebang pohon Mangga di Belakang Pastori I</v>
      </c>
      <c r="F2702" s="405">
        <f>IFERROR(VLOOKUP(A2702,[3]DOORSCRIEFT!$A$2:$G$6834,7,FALSE),"")</f>
        <v>1000000</v>
      </c>
      <c r="G2702" s="315"/>
    </row>
    <row r="2703" spans="1:7" x14ac:dyDescent="0.25">
      <c r="A2703" s="321" t="str">
        <f t="shared" si="92"/>
        <v>II.5.1.114</v>
      </c>
      <c r="B2703" s="321">
        <v>4</v>
      </c>
      <c r="C2703" s="339">
        <f>IFERROR(VLOOKUP(A2703,[3]DOORSCRIEFT!$A$2:$G$6834,2,FALSE),"")</f>
        <v>114</v>
      </c>
      <c r="D2703" s="481">
        <f>IFERROR(VLOOKUP(A2703,[3]DOORSCRIEFT!$A$2:$G$6834,3,FALSE),"")</f>
        <v>46047</v>
      </c>
      <c r="E2703" s="480" t="str">
        <f>IFERROR(VLOOKUP(A2703,[3]DOORSCRIEFT!$A$2:$G$6834,4,FALSE),"")</f>
        <v>Biaya Fotocopy Warta Jemaat dan Liturgi Ibadah dan Pemakaman</v>
      </c>
      <c r="F2703" s="405">
        <f>IFERROR(VLOOKUP(A2703,[3]DOORSCRIEFT!$A$2:$G$6834,7,FALSE),"")</f>
        <v>650000</v>
      </c>
      <c r="G2703" s="315"/>
    </row>
    <row r="2704" spans="1:7" x14ac:dyDescent="0.25">
      <c r="A2704" s="321" t="str">
        <f t="shared" si="92"/>
        <v>II.5.1.115</v>
      </c>
      <c r="B2704" s="321">
        <v>5</v>
      </c>
      <c r="C2704" s="339">
        <f>IFERROR(VLOOKUP(A2704,[3]DOORSCRIEFT!$A$2:$G$6834,2,FALSE),"")</f>
        <v>154</v>
      </c>
      <c r="D2704" s="481">
        <f>IFERROR(VLOOKUP(A2704,[3]DOORSCRIEFT!$A$2:$G$6834,3,FALSE),"")</f>
        <v>46054</v>
      </c>
      <c r="E2704" s="480" t="str">
        <f>IFERROR(VLOOKUP(A2704,[3]DOORSCRIEFT!$A$2:$G$6834,4,FALSE),"")</f>
        <v>biaya fotocopy liturgi pemakaman dan kebaktian peresmian gedung serbaguna dan warta</v>
      </c>
      <c r="F2704" s="405">
        <f>IFERROR(VLOOKUP(A2704,[3]DOORSCRIEFT!$A$2:$G$6834,7,FALSE),"")</f>
        <v>550000</v>
      </c>
      <c r="G2704" s="315"/>
    </row>
    <row r="2705" spans="1:7" x14ac:dyDescent="0.25">
      <c r="A2705" s="321" t="str">
        <f t="shared" si="92"/>
        <v>II.5.1.116</v>
      </c>
      <c r="B2705" s="321">
        <v>6</v>
      </c>
      <c r="C2705" s="339">
        <f>IFERROR(VLOOKUP(A2705,[3]DOORSCRIEFT!$A$2:$G$6834,2,FALSE),"")</f>
        <v>181</v>
      </c>
      <c r="D2705" s="481">
        <f>IFERROR(VLOOKUP(A2705,[3]DOORSCRIEFT!$A$2:$G$6834,3,FALSE),"")</f>
        <v>46061</v>
      </c>
      <c r="E2705" s="480" t="str">
        <f>IFERROR(VLOOKUP(A2705,[3]DOORSCRIEFT!$A$2:$G$6834,4,FALSE),"")</f>
        <v>Biaya HUT Pendeta Lina Matahelemual</v>
      </c>
      <c r="F2705" s="405">
        <f>IFERROR(VLOOKUP(A2705,[3]DOORSCRIEFT!$A$2:$G$6834,7,FALSE),"")</f>
        <v>1500000</v>
      </c>
      <c r="G2705" s="315"/>
    </row>
    <row r="2706" spans="1:7" x14ac:dyDescent="0.25">
      <c r="A2706" s="321" t="str">
        <f t="shared" si="92"/>
        <v>II.5.1.117</v>
      </c>
      <c r="B2706" s="321">
        <v>7</v>
      </c>
      <c r="C2706" s="339">
        <f>IFERROR(VLOOKUP(A2706,[3]DOORSCRIEFT!$A$2:$G$6834,2,FALSE),"")</f>
        <v>323</v>
      </c>
      <c r="D2706" s="481">
        <f>IFERROR(VLOOKUP(A2706,[3]DOORSCRIEFT!$A$2:$G$6834,3,FALSE),"")</f>
        <v>46089</v>
      </c>
      <c r="E2706" s="480" t="str">
        <f>IFERROR(VLOOKUP(A2706,[3]DOORSCRIEFT!$A$2:$G$6834,4,FALSE),"")</f>
        <v>Biaya fotocopy warta Jemaat dan Liturgi Ibadah</v>
      </c>
      <c r="F2706" s="405">
        <f>IFERROR(VLOOKUP(A2706,[3]DOORSCRIEFT!$A$2:$G$6834,7,FALSE),"")</f>
        <v>350000</v>
      </c>
      <c r="G2706" s="315"/>
    </row>
    <row r="2707" spans="1:7" x14ac:dyDescent="0.25">
      <c r="A2707" s="321" t="str">
        <f t="shared" si="92"/>
        <v>II.5.1.118</v>
      </c>
      <c r="B2707" s="321">
        <v>8</v>
      </c>
      <c r="C2707" s="339">
        <f>IFERROR(VLOOKUP(A2707,[3]DOORSCRIEFT!$A$2:$G$6834,2,FALSE),"")</f>
        <v>415</v>
      </c>
      <c r="D2707" s="481">
        <f>IFERROR(VLOOKUP(A2707,[3]DOORSCRIEFT!$A$2:$G$6834,3,FALSE),"")</f>
        <v>46103</v>
      </c>
      <c r="E2707" s="480" t="str">
        <f>IFERROR(VLOOKUP(A2707,[3]DOORSCRIEFT!$A$2:$G$6834,4,FALSE),"")</f>
        <v>Beli Dap</v>
      </c>
      <c r="F2707" s="405">
        <f>IFERROR(VLOOKUP(A2707,[3]DOORSCRIEFT!$A$2:$G$6834,7,FALSE),"")</f>
        <v>1000000</v>
      </c>
      <c r="G2707" s="315"/>
    </row>
    <row r="2708" spans="1:7" x14ac:dyDescent="0.25">
      <c r="A2708" s="321" t="str">
        <f t="shared" si="92"/>
        <v>II.5.1.119</v>
      </c>
      <c r="B2708" s="321">
        <v>9</v>
      </c>
      <c r="C2708" s="339" t="str">
        <f>IFERROR(VLOOKUP(A2708,[3]DOORSCRIEFT!$A$2:$G$6834,2,FALSE),"")</f>
        <v/>
      </c>
      <c r="D2708" s="481" t="str">
        <f>IFERROR(VLOOKUP(A2708,[3]DOORSCRIEFT!$A$2:$G$6834,3,FALSE),"")</f>
        <v/>
      </c>
      <c r="E2708" s="480" t="str">
        <f>IFERROR(VLOOKUP(A2708,[3]DOORSCRIEFT!$A$2:$G$6834,4,FALSE),"")</f>
        <v/>
      </c>
      <c r="F2708" s="405" t="str">
        <f>IFERROR(VLOOKUP(A2708,[3]DOORSCRIEFT!$A$2:$G$6834,7,FALSE),"")</f>
        <v/>
      </c>
      <c r="G2708" s="315"/>
    </row>
    <row r="2709" spans="1:7" x14ac:dyDescent="0.25">
      <c r="A2709" s="321" t="str">
        <f t="shared" si="92"/>
        <v>II.5.1.1110</v>
      </c>
      <c r="B2709" s="321">
        <v>10</v>
      </c>
      <c r="C2709" s="339" t="str">
        <f>IFERROR(VLOOKUP(A2709,[3]DOORSCRIEFT!$A$2:$G$6834,2,FALSE),"")</f>
        <v/>
      </c>
      <c r="D2709" s="481" t="str">
        <f>IFERROR(VLOOKUP(A2709,[3]DOORSCRIEFT!$A$2:$G$6834,3,FALSE),"")</f>
        <v/>
      </c>
      <c r="E2709" s="480" t="str">
        <f>IFERROR(VLOOKUP(A2709,[3]DOORSCRIEFT!$A$2:$G$6834,4,FALSE),"")</f>
        <v/>
      </c>
      <c r="F2709" s="405" t="str">
        <f>IFERROR(VLOOKUP(A2709,[3]DOORSCRIEFT!$A$2:$G$6834,7,FALSE),"")</f>
        <v/>
      </c>
      <c r="G2709" s="315"/>
    </row>
    <row r="2710" spans="1:7" x14ac:dyDescent="0.25">
      <c r="A2710" s="321" t="str">
        <f t="shared" si="92"/>
        <v>II.5.1.1111</v>
      </c>
      <c r="B2710" s="321">
        <v>11</v>
      </c>
      <c r="C2710" s="339" t="str">
        <f>IFERROR(VLOOKUP(A2710,[3]DOORSCRIEFT!$A$2:$G$6834,2,FALSE),"")</f>
        <v/>
      </c>
      <c r="D2710" s="481" t="str">
        <f>IFERROR(VLOOKUP(A2710,[3]DOORSCRIEFT!$A$2:$G$6834,3,FALSE),"")</f>
        <v/>
      </c>
      <c r="E2710" s="480" t="str">
        <f>IFERROR(VLOOKUP(A2710,[3]DOORSCRIEFT!$A$2:$G$6834,4,FALSE),"")</f>
        <v/>
      </c>
      <c r="F2710" s="405" t="str">
        <f>IFERROR(VLOOKUP(A2710,[3]DOORSCRIEFT!$A$2:$G$6834,7,FALSE),"")</f>
        <v/>
      </c>
      <c r="G2710" s="315"/>
    </row>
    <row r="2711" spans="1:7" x14ac:dyDescent="0.25">
      <c r="A2711" s="321" t="str">
        <f t="shared" si="92"/>
        <v>II.5.1.1112</v>
      </c>
      <c r="B2711" s="321">
        <v>12</v>
      </c>
      <c r="C2711" s="339" t="str">
        <f>IFERROR(VLOOKUP(A2711,[3]DOORSCRIEFT!$A$2:$G$6834,2,FALSE),"")</f>
        <v/>
      </c>
      <c r="D2711" s="481" t="str">
        <f>IFERROR(VLOOKUP(A2711,[3]DOORSCRIEFT!$A$2:$G$6834,3,FALSE),"")</f>
        <v/>
      </c>
      <c r="E2711" s="480" t="str">
        <f>IFERROR(VLOOKUP(A2711,[3]DOORSCRIEFT!$A$2:$G$6834,4,FALSE),"")</f>
        <v/>
      </c>
      <c r="F2711" s="405" t="str">
        <f>IFERROR(VLOOKUP(A2711,[3]DOORSCRIEFT!$A$2:$G$6834,7,FALSE),"")</f>
        <v/>
      </c>
      <c r="G2711" s="315"/>
    </row>
    <row r="2712" spans="1:7" x14ac:dyDescent="0.25">
      <c r="A2712" s="321" t="str">
        <f t="shared" si="92"/>
        <v>II.5.1.1113</v>
      </c>
      <c r="B2712" s="321">
        <v>13</v>
      </c>
      <c r="C2712" s="339" t="str">
        <f>IFERROR(VLOOKUP(A2712,[3]DOORSCRIEFT!$A$2:$G$6834,2,FALSE),"")</f>
        <v/>
      </c>
      <c r="D2712" s="481" t="str">
        <f>IFERROR(VLOOKUP(A2712,[3]DOORSCRIEFT!$A$2:$G$6834,3,FALSE),"")</f>
        <v/>
      </c>
      <c r="E2712" s="480" t="str">
        <f>IFERROR(VLOOKUP(A2712,[3]DOORSCRIEFT!$A$2:$G$6834,4,FALSE),"")</f>
        <v/>
      </c>
      <c r="F2712" s="405" t="str">
        <f>IFERROR(VLOOKUP(A2712,[3]DOORSCRIEFT!$A$2:$G$6834,7,FALSE),"")</f>
        <v/>
      </c>
      <c r="G2712" s="315"/>
    </row>
    <row r="2713" spans="1:7" x14ac:dyDescent="0.25">
      <c r="A2713" s="321" t="str">
        <f t="shared" si="92"/>
        <v>II.5.1.1114</v>
      </c>
      <c r="B2713" s="321">
        <v>14</v>
      </c>
      <c r="C2713" s="339" t="str">
        <f>IFERROR(VLOOKUP(A2713,[3]DOORSCRIEFT!$A$2:$G$6834,2,FALSE),"")</f>
        <v/>
      </c>
      <c r="D2713" s="481" t="str">
        <f>IFERROR(VLOOKUP(A2713,[3]DOORSCRIEFT!$A$2:$G$6834,3,FALSE),"")</f>
        <v/>
      </c>
      <c r="E2713" s="480" t="str">
        <f>IFERROR(VLOOKUP(A2713,[3]DOORSCRIEFT!$A$2:$G$6834,4,FALSE),"")</f>
        <v/>
      </c>
      <c r="F2713" s="405" t="str">
        <f>IFERROR(VLOOKUP(A2713,[3]DOORSCRIEFT!$A$2:$G$6834,7,FALSE),"")</f>
        <v/>
      </c>
      <c r="G2713" s="315"/>
    </row>
    <row r="2714" spans="1:7" x14ac:dyDescent="0.25">
      <c r="A2714" s="321" t="str">
        <f t="shared" si="92"/>
        <v>II.5.1.1115</v>
      </c>
      <c r="B2714" s="321">
        <v>15</v>
      </c>
      <c r="C2714" s="339" t="str">
        <f>IFERROR(VLOOKUP(A2714,[3]DOORSCRIEFT!$A$2:$G$6834,2,FALSE),"")</f>
        <v/>
      </c>
      <c r="D2714" s="481" t="str">
        <f>IFERROR(VLOOKUP(A2714,[3]DOORSCRIEFT!$A$2:$G$6834,3,FALSE),"")</f>
        <v/>
      </c>
      <c r="E2714" s="480" t="str">
        <f>IFERROR(VLOOKUP(A2714,[3]DOORSCRIEFT!$A$2:$G$6834,4,FALSE),"")</f>
        <v/>
      </c>
      <c r="F2714" s="405" t="str">
        <f>IFERROR(VLOOKUP(A2714,[3]DOORSCRIEFT!$A$2:$G$6834,7,FALSE),"")</f>
        <v/>
      </c>
      <c r="G2714" s="315"/>
    </row>
    <row r="2715" spans="1:7" x14ac:dyDescent="0.25">
      <c r="A2715" s="321" t="str">
        <f t="shared" si="92"/>
        <v>II.5.1.1116</v>
      </c>
      <c r="B2715" s="321">
        <v>16</v>
      </c>
      <c r="C2715" s="339" t="str">
        <f>IFERROR(VLOOKUP(A2715,[3]DOORSCRIEFT!$A$2:$G$6834,2,FALSE),"")</f>
        <v/>
      </c>
      <c r="D2715" s="481" t="str">
        <f>IFERROR(VLOOKUP(A2715,[3]DOORSCRIEFT!$A$2:$G$6834,3,FALSE),"")</f>
        <v/>
      </c>
      <c r="E2715" s="480" t="str">
        <f>IFERROR(VLOOKUP(A2715,[3]DOORSCRIEFT!$A$2:$G$6834,4,FALSE),"")</f>
        <v/>
      </c>
      <c r="F2715" s="405" t="str">
        <f>IFERROR(VLOOKUP(A2715,[3]DOORSCRIEFT!$A$2:$G$6834,7,FALSE),"")</f>
        <v/>
      </c>
      <c r="G2715" s="315"/>
    </row>
    <row r="2716" spans="1:7" x14ac:dyDescent="0.25">
      <c r="A2716" s="321" t="str">
        <f t="shared" si="92"/>
        <v>II.5.1.1117</v>
      </c>
      <c r="B2716" s="321">
        <v>17</v>
      </c>
      <c r="C2716" s="339" t="str">
        <f>IFERROR(VLOOKUP(A2716,[3]DOORSCRIEFT!$A$2:$G$6834,2,FALSE),"")</f>
        <v/>
      </c>
      <c r="D2716" s="481" t="str">
        <f>IFERROR(VLOOKUP(A2716,[3]DOORSCRIEFT!$A$2:$G$6834,3,FALSE),"")</f>
        <v/>
      </c>
      <c r="E2716" s="480" t="str">
        <f>IFERROR(VLOOKUP(A2716,[3]DOORSCRIEFT!$A$2:$G$6834,4,FALSE),"")</f>
        <v/>
      </c>
      <c r="F2716" s="405" t="str">
        <f>IFERROR(VLOOKUP(A2716,[3]DOORSCRIEFT!$A$2:$G$6834,7,FALSE),"")</f>
        <v/>
      </c>
      <c r="G2716" s="315"/>
    </row>
    <row r="2717" spans="1:7" x14ac:dyDescent="0.25">
      <c r="A2717" s="321" t="str">
        <f t="shared" si="92"/>
        <v>II.5.1.1118</v>
      </c>
      <c r="B2717" s="321">
        <v>18</v>
      </c>
      <c r="C2717" s="339" t="str">
        <f>IFERROR(VLOOKUP(A2717,[3]DOORSCRIEFT!$A$2:$G$6834,2,FALSE),"")</f>
        <v/>
      </c>
      <c r="D2717" s="481" t="str">
        <f>IFERROR(VLOOKUP(A2717,[3]DOORSCRIEFT!$A$2:$G$6834,3,FALSE),"")</f>
        <v/>
      </c>
      <c r="E2717" s="480" t="str">
        <f>IFERROR(VLOOKUP(A2717,[3]DOORSCRIEFT!$A$2:$G$6834,4,FALSE),"")</f>
        <v/>
      </c>
      <c r="F2717" s="405" t="str">
        <f>IFERROR(VLOOKUP(A2717,[3]DOORSCRIEFT!$A$2:$G$6834,7,FALSE),"")</f>
        <v/>
      </c>
      <c r="G2717" s="315"/>
    </row>
    <row r="2718" spans="1:7" x14ac:dyDescent="0.25">
      <c r="A2718" s="321" t="str">
        <f t="shared" si="92"/>
        <v>II.5.1.1119</v>
      </c>
      <c r="B2718" s="321">
        <v>19</v>
      </c>
      <c r="C2718" s="339" t="str">
        <f>IFERROR(VLOOKUP(A2718,[3]DOORSCRIEFT!$A$2:$G$6834,2,FALSE),"")</f>
        <v/>
      </c>
      <c r="D2718" s="481" t="str">
        <f>IFERROR(VLOOKUP(A2718,[3]DOORSCRIEFT!$A$2:$G$6834,3,FALSE),"")</f>
        <v/>
      </c>
      <c r="E2718" s="480" t="str">
        <f>IFERROR(VLOOKUP(A2718,[3]DOORSCRIEFT!$A$2:$G$6834,4,FALSE),"")</f>
        <v/>
      </c>
      <c r="F2718" s="405" t="str">
        <f>IFERROR(VLOOKUP(A2718,[3]DOORSCRIEFT!$A$2:$G$6834,7,FALSE),"")</f>
        <v/>
      </c>
      <c r="G2718" s="315"/>
    </row>
    <row r="2719" spans="1:7" x14ac:dyDescent="0.25">
      <c r="A2719" s="321" t="str">
        <f t="shared" si="92"/>
        <v>II.5.1.1120</v>
      </c>
      <c r="B2719" s="321">
        <v>20</v>
      </c>
      <c r="C2719" s="339" t="str">
        <f>IFERROR(VLOOKUP(A2719,[3]DOORSCRIEFT!$A$2:$G$6834,2,FALSE),"")</f>
        <v/>
      </c>
      <c r="D2719" s="481" t="str">
        <f>IFERROR(VLOOKUP(A2719,[3]DOORSCRIEFT!$A$2:$G$6834,3,FALSE),"")</f>
        <v/>
      </c>
      <c r="E2719" s="480" t="str">
        <f>IFERROR(VLOOKUP(A2719,[3]DOORSCRIEFT!$A$2:$G$6834,4,FALSE),"")</f>
        <v/>
      </c>
      <c r="F2719" s="405" t="str">
        <f>IFERROR(VLOOKUP(A2719,[3]DOORSCRIEFT!$A$2:$G$6834,7,FALSE),"")</f>
        <v/>
      </c>
      <c r="G2719" s="315"/>
    </row>
    <row r="2720" spans="1:7" x14ac:dyDescent="0.25">
      <c r="A2720" s="321" t="str">
        <f t="shared" si="92"/>
        <v>II.5.1.1121</v>
      </c>
      <c r="B2720" s="321">
        <v>21</v>
      </c>
      <c r="C2720" s="339" t="str">
        <f>IFERROR(VLOOKUP(A2720,[3]DOORSCRIEFT!$A$2:$G$6834,2,FALSE),"")</f>
        <v/>
      </c>
      <c r="D2720" s="481" t="str">
        <f>IFERROR(VLOOKUP(A2720,[3]DOORSCRIEFT!$A$2:$G$6834,3,FALSE),"")</f>
        <v/>
      </c>
      <c r="E2720" s="480" t="str">
        <f>IFERROR(VLOOKUP(A2720,[3]DOORSCRIEFT!$A$2:$G$6834,4,FALSE),"")</f>
        <v/>
      </c>
      <c r="F2720" s="405" t="str">
        <f>IFERROR(VLOOKUP(A2720,[3]DOORSCRIEFT!$A$2:$G$6834,7,FALSE),"")</f>
        <v/>
      </c>
      <c r="G2720" s="315"/>
    </row>
    <row r="2721" spans="1:7" x14ac:dyDescent="0.25">
      <c r="A2721" s="321" t="str">
        <f t="shared" si="92"/>
        <v>II.5.1.1122</v>
      </c>
      <c r="B2721" s="321">
        <v>22</v>
      </c>
      <c r="C2721" s="339" t="str">
        <f>IFERROR(VLOOKUP(A2721,[3]DOORSCRIEFT!$A$2:$G$6834,2,FALSE),"")</f>
        <v/>
      </c>
      <c r="D2721" s="481" t="str">
        <f>IFERROR(VLOOKUP(A2721,[3]DOORSCRIEFT!$A$2:$G$6834,3,FALSE),"")</f>
        <v/>
      </c>
      <c r="E2721" s="480" t="str">
        <f>IFERROR(VLOOKUP(A2721,[3]DOORSCRIEFT!$A$2:$G$6834,4,FALSE),"")</f>
        <v/>
      </c>
      <c r="F2721" s="405" t="str">
        <f>IFERROR(VLOOKUP(A2721,[3]DOORSCRIEFT!$A$2:$G$6834,7,FALSE),"")</f>
        <v/>
      </c>
      <c r="G2721" s="315"/>
    </row>
    <row r="2722" spans="1:7" x14ac:dyDescent="0.25">
      <c r="A2722" s="321" t="str">
        <f t="shared" si="92"/>
        <v>II.5.1.1123</v>
      </c>
      <c r="B2722" s="321">
        <v>23</v>
      </c>
      <c r="C2722" s="339" t="str">
        <f>IFERROR(VLOOKUP(A2722,[3]DOORSCRIEFT!$A$2:$G$6834,2,FALSE),"")</f>
        <v/>
      </c>
      <c r="D2722" s="481" t="str">
        <f>IFERROR(VLOOKUP(A2722,[3]DOORSCRIEFT!$A$2:$G$6834,3,FALSE),"")</f>
        <v/>
      </c>
      <c r="E2722" s="480" t="str">
        <f>IFERROR(VLOOKUP(A2722,[3]DOORSCRIEFT!$A$2:$G$6834,4,FALSE),"")</f>
        <v/>
      </c>
      <c r="F2722" s="405" t="str">
        <f>IFERROR(VLOOKUP(A2722,[3]DOORSCRIEFT!$A$2:$G$6834,7,FALSE),"")</f>
        <v/>
      </c>
      <c r="G2722" s="315"/>
    </row>
    <row r="2723" spans="1:7" x14ac:dyDescent="0.25">
      <c r="A2723" s="321" t="str">
        <f t="shared" si="92"/>
        <v>II.5.1.1124</v>
      </c>
      <c r="B2723" s="321">
        <v>24</v>
      </c>
      <c r="C2723" s="339" t="str">
        <f>IFERROR(VLOOKUP(A2723,[3]DOORSCRIEFT!$A$2:$G$6834,2,FALSE),"")</f>
        <v/>
      </c>
      <c r="D2723" s="481" t="str">
        <f>IFERROR(VLOOKUP(A2723,[3]DOORSCRIEFT!$A$2:$G$6834,3,FALSE),"")</f>
        <v/>
      </c>
      <c r="E2723" s="480" t="str">
        <f>IFERROR(VLOOKUP(A2723,[3]DOORSCRIEFT!$A$2:$G$6834,4,FALSE),"")</f>
        <v/>
      </c>
      <c r="F2723" s="405" t="str">
        <f>IFERROR(VLOOKUP(A2723,[3]DOORSCRIEFT!$A$2:$G$6834,7,FALSE),"")</f>
        <v/>
      </c>
      <c r="G2723" s="315"/>
    </row>
    <row r="2724" spans="1:7" x14ac:dyDescent="0.25">
      <c r="A2724" s="321" t="str">
        <f t="shared" si="92"/>
        <v>II.5.1.1125</v>
      </c>
      <c r="B2724" s="321">
        <v>25</v>
      </c>
      <c r="C2724" s="339" t="str">
        <f>IFERROR(VLOOKUP(A2724,[3]DOORSCRIEFT!$A$2:$G$6834,2,FALSE),"")</f>
        <v/>
      </c>
      <c r="D2724" s="481" t="str">
        <f>IFERROR(VLOOKUP(A2724,[3]DOORSCRIEFT!$A$2:$G$6834,3,FALSE),"")</f>
        <v/>
      </c>
      <c r="E2724" s="480" t="str">
        <f>IFERROR(VLOOKUP(A2724,[3]DOORSCRIEFT!$A$2:$G$6834,4,FALSE),"")</f>
        <v/>
      </c>
      <c r="F2724" s="405" t="str">
        <f>IFERROR(VLOOKUP(A2724,[3]DOORSCRIEFT!$A$2:$G$6834,7,FALSE),"")</f>
        <v/>
      </c>
      <c r="G2724" s="315"/>
    </row>
    <row r="2725" spans="1:7" x14ac:dyDescent="0.25">
      <c r="A2725" s="321" t="str">
        <f t="shared" si="92"/>
        <v>II.5.1.1126</v>
      </c>
      <c r="B2725" s="321">
        <v>26</v>
      </c>
      <c r="C2725" s="339" t="str">
        <f>IFERROR(VLOOKUP(A2725,[3]DOORSCRIEFT!$A$2:$G$6834,2,FALSE),"")</f>
        <v/>
      </c>
      <c r="D2725" s="481" t="str">
        <f>IFERROR(VLOOKUP(A2725,[3]DOORSCRIEFT!$A$2:$G$6834,3,FALSE),"")</f>
        <v/>
      </c>
      <c r="E2725" s="480" t="str">
        <f>IFERROR(VLOOKUP(A2725,[3]DOORSCRIEFT!$A$2:$G$6834,4,FALSE),"")</f>
        <v/>
      </c>
      <c r="F2725" s="405" t="str">
        <f>IFERROR(VLOOKUP(A2725,[3]DOORSCRIEFT!$A$2:$G$6834,7,FALSE),"")</f>
        <v/>
      </c>
      <c r="G2725" s="315"/>
    </row>
    <row r="2726" spans="1:7" x14ac:dyDescent="0.25">
      <c r="A2726" s="321" t="str">
        <f t="shared" si="92"/>
        <v>II.5.1.1127</v>
      </c>
      <c r="B2726" s="321">
        <v>27</v>
      </c>
      <c r="C2726" s="339" t="str">
        <f>IFERROR(VLOOKUP(A2726,[3]DOORSCRIEFT!$A$2:$G$6834,2,FALSE),"")</f>
        <v/>
      </c>
      <c r="D2726" s="481" t="str">
        <f>IFERROR(VLOOKUP(A2726,[3]DOORSCRIEFT!$A$2:$G$6834,3,FALSE),"")</f>
        <v/>
      </c>
      <c r="E2726" s="480" t="str">
        <f>IFERROR(VLOOKUP(A2726,[3]DOORSCRIEFT!$A$2:$G$6834,4,FALSE),"")</f>
        <v/>
      </c>
      <c r="F2726" s="405" t="str">
        <f>IFERROR(VLOOKUP(A2726,[3]DOORSCRIEFT!$A$2:$G$6834,7,FALSE),"")</f>
        <v/>
      </c>
      <c r="G2726" s="315"/>
    </row>
    <row r="2727" spans="1:7" x14ac:dyDescent="0.25">
      <c r="A2727" s="321" t="str">
        <f t="shared" si="92"/>
        <v>II.5.1.1128</v>
      </c>
      <c r="B2727" s="321">
        <v>28</v>
      </c>
      <c r="C2727" s="339" t="str">
        <f>IFERROR(VLOOKUP(A2727,[3]DOORSCRIEFT!$A$2:$G$6834,2,FALSE),"")</f>
        <v/>
      </c>
      <c r="D2727" s="481" t="str">
        <f>IFERROR(VLOOKUP(A2727,[3]DOORSCRIEFT!$A$2:$G$6834,3,FALSE),"")</f>
        <v/>
      </c>
      <c r="E2727" s="480" t="str">
        <f>IFERROR(VLOOKUP(A2727,[3]DOORSCRIEFT!$A$2:$G$6834,4,FALSE),"")</f>
        <v/>
      </c>
      <c r="F2727" s="405" t="str">
        <f>IFERROR(VLOOKUP(A2727,[3]DOORSCRIEFT!$A$2:$G$6834,7,FALSE),"")</f>
        <v/>
      </c>
      <c r="G2727" s="315"/>
    </row>
    <row r="2728" spans="1:7" x14ac:dyDescent="0.25">
      <c r="A2728" s="321" t="str">
        <f t="shared" si="92"/>
        <v>II.5.1.1129</v>
      </c>
      <c r="B2728" s="321">
        <v>29</v>
      </c>
      <c r="C2728" s="339" t="str">
        <f>IFERROR(VLOOKUP(A2728,[3]DOORSCRIEFT!$A$2:$G$6834,2,FALSE),"")</f>
        <v/>
      </c>
      <c r="D2728" s="481" t="str">
        <f>IFERROR(VLOOKUP(A2728,[3]DOORSCRIEFT!$A$2:$G$6834,3,FALSE),"")</f>
        <v/>
      </c>
      <c r="E2728" s="480" t="str">
        <f>IFERROR(VLOOKUP(A2728,[3]DOORSCRIEFT!$A$2:$G$6834,4,FALSE),"")</f>
        <v/>
      </c>
      <c r="F2728" s="405" t="str">
        <f>IFERROR(VLOOKUP(A2728,[3]DOORSCRIEFT!$A$2:$G$6834,7,FALSE),"")</f>
        <v/>
      </c>
      <c r="G2728" s="315"/>
    </row>
    <row r="2729" spans="1:7" x14ac:dyDescent="0.25">
      <c r="A2729" s="321" t="str">
        <f t="shared" si="92"/>
        <v>II.5.1.1130</v>
      </c>
      <c r="B2729" s="321">
        <v>30</v>
      </c>
      <c r="C2729" s="339" t="str">
        <f>IFERROR(VLOOKUP(A2729,[3]DOORSCRIEFT!$A$2:$G$6834,2,FALSE),"")</f>
        <v/>
      </c>
      <c r="D2729" s="481" t="str">
        <f>IFERROR(VLOOKUP(A2729,[3]DOORSCRIEFT!$A$2:$G$6834,3,FALSE),"")</f>
        <v/>
      </c>
      <c r="E2729" s="480" t="str">
        <f>IFERROR(VLOOKUP(A2729,[3]DOORSCRIEFT!$A$2:$G$6834,4,FALSE),"")</f>
        <v/>
      </c>
      <c r="F2729" s="405" t="str">
        <f>IFERROR(VLOOKUP(A2729,[3]DOORSCRIEFT!$A$2:$G$6834,7,FALSE),"")</f>
        <v/>
      </c>
      <c r="G2729" s="315"/>
    </row>
    <row r="2730" spans="1:7" ht="15.75" thickBot="1" x14ac:dyDescent="0.3">
      <c r="A2730" s="342" t="str">
        <f t="shared" si="92"/>
        <v>II.5.1.1131</v>
      </c>
      <c r="B2730" s="342">
        <v>31</v>
      </c>
      <c r="C2730" s="339" t="str">
        <f>IFERROR(VLOOKUP(A2730,[3]DOORSCRIEFT!$A$2:$G$6834,2,FALSE),"")</f>
        <v/>
      </c>
      <c r="D2730" s="481" t="str">
        <f>IFERROR(VLOOKUP(A2730,[3]DOORSCRIEFT!$A$2:$G$6834,3,FALSE),"")</f>
        <v/>
      </c>
      <c r="E2730" s="480" t="str">
        <f>IFERROR(VLOOKUP(A2730,[3]DOORSCRIEFT!$A$2:$G$6834,4,FALSE),"")</f>
        <v/>
      </c>
      <c r="F2730" s="405" t="str">
        <f>IFERROR(VLOOKUP(A2730,[3]DOORSCRIEFT!$A$2:$G$6834,7,FALSE),"")</f>
        <v/>
      </c>
      <c r="G2730" s="315"/>
    </row>
    <row r="2731" spans="1:7" ht="15.75" thickBot="1" x14ac:dyDescent="0.3">
      <c r="A2731" s="341"/>
      <c r="B2731" s="340"/>
      <c r="C2731" s="336"/>
      <c r="D2731" s="486"/>
      <c r="E2731" s="340" t="s">
        <v>644</v>
      </c>
      <c r="F2731" s="310">
        <f>SUM(F2700:F2730)</f>
        <v>6536000</v>
      </c>
      <c r="G2731" s="309">
        <f>SUM(G2700:G2730)</f>
        <v>0</v>
      </c>
    </row>
    <row r="2732" spans="1:7" x14ac:dyDescent="0.25">
      <c r="C2732" s="335"/>
      <c r="D2732" s="485"/>
    </row>
    <row r="2733" spans="1:7" x14ac:dyDescent="0.25">
      <c r="C2733" s="335"/>
      <c r="D2733" s="485"/>
    </row>
    <row r="2734" spans="1:7" ht="15.75" x14ac:dyDescent="0.25">
      <c r="C2734" s="334" t="s">
        <v>663</v>
      </c>
      <c r="D2734" s="484"/>
      <c r="E2734" s="333"/>
      <c r="F2734" s="327" t="s">
        <v>607</v>
      </c>
      <c r="G2734" s="327" t="s">
        <v>32</v>
      </c>
    </row>
    <row r="2735" spans="1:7" ht="15.75" x14ac:dyDescent="0.25">
      <c r="C2735" s="334"/>
      <c r="D2735" s="484"/>
      <c r="E2735" s="333"/>
      <c r="F2735" s="327" t="s">
        <v>601</v>
      </c>
      <c r="G2735" s="483" t="s">
        <v>31</v>
      </c>
    </row>
    <row r="2736" spans="1:7" x14ac:dyDescent="0.25">
      <c r="C2736" s="330"/>
      <c r="D2736" s="482"/>
      <c r="E2736" s="329"/>
      <c r="F2736" s="327" t="s">
        <v>651</v>
      </c>
      <c r="G2736" s="331">
        <f>[2]Sheet1!$D$608</f>
        <v>10000000</v>
      </c>
    </row>
    <row r="2737" spans="1:7" ht="15.75" thickBot="1" x14ac:dyDescent="0.3">
      <c r="C2737" s="330"/>
      <c r="D2737" s="482"/>
      <c r="E2737" s="329"/>
      <c r="F2737" s="327" t="s">
        <v>650</v>
      </c>
      <c r="G2737" s="326">
        <f>+F2767-G2736</f>
        <v>-10000000</v>
      </c>
    </row>
    <row r="2738" spans="1:7" x14ac:dyDescent="0.25">
      <c r="A2738" s="571" t="s">
        <v>655</v>
      </c>
      <c r="B2738" s="573" t="s">
        <v>606</v>
      </c>
      <c r="C2738" s="588" t="s">
        <v>649</v>
      </c>
      <c r="D2738" s="599" t="s">
        <v>648</v>
      </c>
      <c r="E2738" s="577" t="s">
        <v>647</v>
      </c>
      <c r="F2738" s="577" t="s">
        <v>646</v>
      </c>
      <c r="G2738" s="580" t="s">
        <v>645</v>
      </c>
    </row>
    <row r="2739" spans="1:7" ht="15.75" thickBot="1" x14ac:dyDescent="0.3">
      <c r="A2739" s="572"/>
      <c r="B2739" s="574"/>
      <c r="C2739" s="589"/>
      <c r="D2739" s="600"/>
      <c r="E2739" s="578"/>
      <c r="F2739" s="578"/>
      <c r="G2739" s="581"/>
    </row>
    <row r="2740" spans="1:7" ht="15.75" thickBot="1" x14ac:dyDescent="0.3">
      <c r="A2740" s="425">
        <v>1</v>
      </c>
      <c r="B2740" s="425">
        <v>2</v>
      </c>
      <c r="C2740" s="425">
        <v>3</v>
      </c>
      <c r="D2740" s="425">
        <v>4</v>
      </c>
      <c r="E2740" s="425">
        <v>5</v>
      </c>
      <c r="F2740" s="425">
        <v>6</v>
      </c>
      <c r="G2740" s="425">
        <v>7</v>
      </c>
    </row>
    <row r="2741" spans="1:7" x14ac:dyDescent="0.25">
      <c r="A2741" s="320" t="str">
        <f t="shared" ref="A2741:A2766" si="93">$G$2734&amp;B2741</f>
        <v>II.5.2.011</v>
      </c>
      <c r="B2741" s="320">
        <v>1</v>
      </c>
      <c r="C2741" s="339" t="str">
        <f>IFERROR(VLOOKUP(A2741,[3]DOORSCRIEFT!$A$2:$G$6834,2,FALSE),"")</f>
        <v/>
      </c>
      <c r="D2741" s="481" t="str">
        <f>IFERROR(VLOOKUP(A2741,[3]DOORSCRIEFT!$A$2:$G$6834,3,FALSE),"")</f>
        <v/>
      </c>
      <c r="E2741" s="480" t="str">
        <f>IFERROR(VLOOKUP(A2741,[3]DOORSCRIEFT!$A$2:$G$6834,4,FALSE),"")</f>
        <v/>
      </c>
      <c r="F2741" s="405" t="str">
        <f>IFERROR(VLOOKUP(A2741,[3]DOORSCRIEFT!$A$2:$G$6834,7,FALSE),"")</f>
        <v/>
      </c>
      <c r="G2741" s="322"/>
    </row>
    <row r="2742" spans="1:7" x14ac:dyDescent="0.25">
      <c r="A2742" s="321" t="str">
        <f t="shared" si="93"/>
        <v>II.5.2.012</v>
      </c>
      <c r="B2742" s="321">
        <v>2</v>
      </c>
      <c r="C2742" s="339" t="str">
        <f>IFERROR(VLOOKUP(A2742,[3]DOORSCRIEFT!$A$2:$G$6834,2,FALSE),"")</f>
        <v/>
      </c>
      <c r="D2742" s="481" t="str">
        <f>IFERROR(VLOOKUP(A2742,[3]DOORSCRIEFT!$A$2:$G$6834,3,FALSE),"")</f>
        <v/>
      </c>
      <c r="E2742" s="480" t="str">
        <f>IFERROR(VLOOKUP(A2742,[3]DOORSCRIEFT!$A$2:$G$6834,4,FALSE),"")</f>
        <v/>
      </c>
      <c r="F2742" s="405" t="str">
        <f>IFERROR(VLOOKUP(A2742,[3]DOORSCRIEFT!$A$2:$G$6834,7,FALSE),"")</f>
        <v/>
      </c>
      <c r="G2742" s="315"/>
    </row>
    <row r="2743" spans="1:7" x14ac:dyDescent="0.25">
      <c r="A2743" s="321" t="str">
        <f t="shared" si="93"/>
        <v>II.5.2.013</v>
      </c>
      <c r="B2743" s="321">
        <v>3</v>
      </c>
      <c r="C2743" s="339" t="str">
        <f>IFERROR(VLOOKUP(A2743,[3]DOORSCRIEFT!$A$2:$G$6834,2,FALSE),"")</f>
        <v/>
      </c>
      <c r="D2743" s="481" t="str">
        <f>IFERROR(VLOOKUP(A2743,[3]DOORSCRIEFT!$A$2:$G$6834,3,FALSE),"")</f>
        <v/>
      </c>
      <c r="E2743" s="480" t="str">
        <f>IFERROR(VLOOKUP(A2743,[3]DOORSCRIEFT!$A$2:$G$6834,4,FALSE),"")</f>
        <v/>
      </c>
      <c r="F2743" s="405" t="str">
        <f>IFERROR(VLOOKUP(A2743,[3]DOORSCRIEFT!$A$2:$G$6834,7,FALSE),"")</f>
        <v/>
      </c>
      <c r="G2743" s="315"/>
    </row>
    <row r="2744" spans="1:7" x14ac:dyDescent="0.25">
      <c r="A2744" s="321" t="str">
        <f t="shared" si="93"/>
        <v>II.5.2.014</v>
      </c>
      <c r="B2744" s="321">
        <v>4</v>
      </c>
      <c r="C2744" s="339" t="str">
        <f>IFERROR(VLOOKUP(A2744,[3]DOORSCRIEFT!$A$2:$G$6834,2,FALSE),"")</f>
        <v/>
      </c>
      <c r="D2744" s="481" t="str">
        <f>IFERROR(VLOOKUP(A2744,[3]DOORSCRIEFT!$A$2:$G$6834,3,FALSE),"")</f>
        <v/>
      </c>
      <c r="E2744" s="480" t="str">
        <f>IFERROR(VLOOKUP(A2744,[3]DOORSCRIEFT!$A$2:$G$6834,4,FALSE),"")</f>
        <v/>
      </c>
      <c r="F2744" s="405" t="str">
        <f>IFERROR(VLOOKUP(A2744,[3]DOORSCRIEFT!$A$2:$G$6834,7,FALSE),"")</f>
        <v/>
      </c>
      <c r="G2744" s="315"/>
    </row>
    <row r="2745" spans="1:7" x14ac:dyDescent="0.25">
      <c r="A2745" s="321" t="str">
        <f t="shared" si="93"/>
        <v>II.5.2.015</v>
      </c>
      <c r="B2745" s="321">
        <v>5</v>
      </c>
      <c r="C2745" s="339" t="str">
        <f>IFERROR(VLOOKUP(A2745,[3]DOORSCRIEFT!$A$2:$G$6834,2,FALSE),"")</f>
        <v/>
      </c>
      <c r="D2745" s="481" t="str">
        <f>IFERROR(VLOOKUP(A2745,[3]DOORSCRIEFT!$A$2:$G$6834,3,FALSE),"")</f>
        <v/>
      </c>
      <c r="E2745" s="480" t="str">
        <f>IFERROR(VLOOKUP(A2745,[3]DOORSCRIEFT!$A$2:$G$6834,4,FALSE),"")</f>
        <v/>
      </c>
      <c r="F2745" s="405" t="str">
        <f>IFERROR(VLOOKUP(A2745,[3]DOORSCRIEFT!$A$2:$G$6834,7,FALSE),"")</f>
        <v/>
      </c>
      <c r="G2745" s="315"/>
    </row>
    <row r="2746" spans="1:7" x14ac:dyDescent="0.25">
      <c r="A2746" s="321" t="str">
        <f t="shared" si="93"/>
        <v>II.5.2.016</v>
      </c>
      <c r="B2746" s="321">
        <v>6</v>
      </c>
      <c r="C2746" s="339" t="str">
        <f>IFERROR(VLOOKUP(A2746,[3]DOORSCRIEFT!$A$2:$G$6834,2,FALSE),"")</f>
        <v/>
      </c>
      <c r="D2746" s="481" t="str">
        <f>IFERROR(VLOOKUP(A2746,[3]DOORSCRIEFT!$A$2:$G$6834,3,FALSE),"")</f>
        <v/>
      </c>
      <c r="E2746" s="480" t="str">
        <f>IFERROR(VLOOKUP(A2746,[3]DOORSCRIEFT!$A$2:$G$6834,4,FALSE),"")</f>
        <v/>
      </c>
      <c r="F2746" s="405" t="str">
        <f>IFERROR(VLOOKUP(A2746,[3]DOORSCRIEFT!$A$2:$G$6834,7,FALSE),"")</f>
        <v/>
      </c>
      <c r="G2746" s="315"/>
    </row>
    <row r="2747" spans="1:7" x14ac:dyDescent="0.25">
      <c r="A2747" s="321" t="str">
        <f t="shared" si="93"/>
        <v>II.5.2.017</v>
      </c>
      <c r="B2747" s="321">
        <v>7</v>
      </c>
      <c r="C2747" s="339" t="str">
        <f>IFERROR(VLOOKUP(A2747,[3]DOORSCRIEFT!$A$2:$G$6834,2,FALSE),"")</f>
        <v/>
      </c>
      <c r="D2747" s="481" t="str">
        <f>IFERROR(VLOOKUP(A2747,[3]DOORSCRIEFT!$A$2:$G$6834,3,FALSE),"")</f>
        <v/>
      </c>
      <c r="E2747" s="480" t="str">
        <f>IFERROR(VLOOKUP(A2747,[3]DOORSCRIEFT!$A$2:$G$6834,4,FALSE),"")</f>
        <v/>
      </c>
      <c r="F2747" s="405" t="str">
        <f>IFERROR(VLOOKUP(A2747,[3]DOORSCRIEFT!$A$2:$G$6834,7,FALSE),"")</f>
        <v/>
      </c>
      <c r="G2747" s="315"/>
    </row>
    <row r="2748" spans="1:7" x14ac:dyDescent="0.25">
      <c r="A2748" s="321" t="str">
        <f t="shared" si="93"/>
        <v>II.5.2.018</v>
      </c>
      <c r="B2748" s="321">
        <v>8</v>
      </c>
      <c r="C2748" s="339" t="str">
        <f>IFERROR(VLOOKUP(A2748,[3]DOORSCRIEFT!$A$2:$G$6834,2,FALSE),"")</f>
        <v/>
      </c>
      <c r="D2748" s="481" t="str">
        <f>IFERROR(VLOOKUP(A2748,[3]DOORSCRIEFT!$A$2:$G$6834,3,FALSE),"")</f>
        <v/>
      </c>
      <c r="E2748" s="480" t="str">
        <f>IFERROR(VLOOKUP(A2748,[3]DOORSCRIEFT!$A$2:$G$6834,4,FALSE),"")</f>
        <v/>
      </c>
      <c r="F2748" s="405" t="str">
        <f>IFERROR(VLOOKUP(A2748,[3]DOORSCRIEFT!$A$2:$G$6834,7,FALSE),"")</f>
        <v/>
      </c>
      <c r="G2748" s="315"/>
    </row>
    <row r="2749" spans="1:7" x14ac:dyDescent="0.25">
      <c r="A2749" s="321" t="str">
        <f t="shared" si="93"/>
        <v>II.5.2.019</v>
      </c>
      <c r="B2749" s="321">
        <v>9</v>
      </c>
      <c r="C2749" s="339" t="str">
        <f>IFERROR(VLOOKUP(A2749,[3]DOORSCRIEFT!$A$2:$G$6834,2,FALSE),"")</f>
        <v/>
      </c>
      <c r="D2749" s="481" t="str">
        <f>IFERROR(VLOOKUP(A2749,[3]DOORSCRIEFT!$A$2:$G$6834,3,FALSE),"")</f>
        <v/>
      </c>
      <c r="E2749" s="480" t="str">
        <f>IFERROR(VLOOKUP(A2749,[3]DOORSCRIEFT!$A$2:$G$6834,4,FALSE),"")</f>
        <v/>
      </c>
      <c r="F2749" s="405" t="str">
        <f>IFERROR(VLOOKUP(A2749,[3]DOORSCRIEFT!$A$2:$G$6834,7,FALSE),"")</f>
        <v/>
      </c>
      <c r="G2749" s="315"/>
    </row>
    <row r="2750" spans="1:7" x14ac:dyDescent="0.25">
      <c r="A2750" s="321" t="str">
        <f t="shared" si="93"/>
        <v>II.5.2.0110</v>
      </c>
      <c r="B2750" s="321">
        <v>10</v>
      </c>
      <c r="C2750" s="339" t="str">
        <f>IFERROR(VLOOKUP(A2750,[3]DOORSCRIEFT!$A$2:$G$6834,2,FALSE),"")</f>
        <v/>
      </c>
      <c r="D2750" s="481" t="str">
        <f>IFERROR(VLOOKUP(A2750,[3]DOORSCRIEFT!$A$2:$G$6834,3,FALSE),"")</f>
        <v/>
      </c>
      <c r="E2750" s="480" t="str">
        <f>IFERROR(VLOOKUP(A2750,[3]DOORSCRIEFT!$A$2:$G$6834,4,FALSE),"")</f>
        <v/>
      </c>
      <c r="F2750" s="405" t="str">
        <f>IFERROR(VLOOKUP(A2750,[3]DOORSCRIEFT!$A$2:$G$6834,7,FALSE),"")</f>
        <v/>
      </c>
      <c r="G2750" s="315"/>
    </row>
    <row r="2751" spans="1:7" x14ac:dyDescent="0.25">
      <c r="A2751" s="321" t="str">
        <f t="shared" si="93"/>
        <v>II.5.2.0111</v>
      </c>
      <c r="B2751" s="321">
        <v>11</v>
      </c>
      <c r="C2751" s="339" t="str">
        <f>IFERROR(VLOOKUP(A2751,[3]DOORSCRIEFT!$A$2:$G$6834,2,FALSE),"")</f>
        <v/>
      </c>
      <c r="D2751" s="481" t="str">
        <f>IFERROR(VLOOKUP(A2751,[3]DOORSCRIEFT!$A$2:$G$6834,3,FALSE),"")</f>
        <v/>
      </c>
      <c r="E2751" s="480" t="str">
        <f>IFERROR(VLOOKUP(A2751,[3]DOORSCRIEFT!$A$2:$G$6834,4,FALSE),"")</f>
        <v/>
      </c>
      <c r="F2751" s="405" t="str">
        <f>IFERROR(VLOOKUP(A2751,[3]DOORSCRIEFT!$A$2:$G$6834,7,FALSE),"")</f>
        <v/>
      </c>
      <c r="G2751" s="315"/>
    </row>
    <row r="2752" spans="1:7" x14ac:dyDescent="0.25">
      <c r="A2752" s="321" t="str">
        <f t="shared" si="93"/>
        <v>II.5.2.0112</v>
      </c>
      <c r="B2752" s="321">
        <v>12</v>
      </c>
      <c r="C2752" s="339" t="str">
        <f>IFERROR(VLOOKUP(A2752,[3]DOORSCRIEFT!$A$2:$G$6834,2,FALSE),"")</f>
        <v/>
      </c>
      <c r="D2752" s="481" t="str">
        <f>IFERROR(VLOOKUP(A2752,[3]DOORSCRIEFT!$A$2:$G$6834,3,FALSE),"")</f>
        <v/>
      </c>
      <c r="E2752" s="480" t="str">
        <f>IFERROR(VLOOKUP(A2752,[3]DOORSCRIEFT!$A$2:$G$6834,4,FALSE),"")</f>
        <v/>
      </c>
      <c r="F2752" s="405" t="str">
        <f>IFERROR(VLOOKUP(A2752,[3]DOORSCRIEFT!$A$2:$G$6834,7,FALSE),"")</f>
        <v/>
      </c>
      <c r="G2752" s="315"/>
    </row>
    <row r="2753" spans="1:7" x14ac:dyDescent="0.25">
      <c r="A2753" s="321" t="str">
        <f t="shared" si="93"/>
        <v>II.5.2.0113</v>
      </c>
      <c r="B2753" s="321">
        <v>13</v>
      </c>
      <c r="C2753" s="339" t="str">
        <f>IFERROR(VLOOKUP(A2753,[3]DOORSCRIEFT!$A$2:$G$6834,2,FALSE),"")</f>
        <v/>
      </c>
      <c r="D2753" s="481" t="str">
        <f>IFERROR(VLOOKUP(A2753,[3]DOORSCRIEFT!$A$2:$G$6834,3,FALSE),"")</f>
        <v/>
      </c>
      <c r="E2753" s="480" t="str">
        <f>IFERROR(VLOOKUP(A2753,[3]DOORSCRIEFT!$A$2:$G$6834,4,FALSE),"")</f>
        <v/>
      </c>
      <c r="F2753" s="405" t="str">
        <f>IFERROR(VLOOKUP(A2753,[3]DOORSCRIEFT!$A$2:$G$6834,7,FALSE),"")</f>
        <v/>
      </c>
      <c r="G2753" s="315"/>
    </row>
    <row r="2754" spans="1:7" x14ac:dyDescent="0.25">
      <c r="A2754" s="321" t="str">
        <f t="shared" si="93"/>
        <v>II.5.2.0114</v>
      </c>
      <c r="B2754" s="321">
        <v>14</v>
      </c>
      <c r="C2754" s="339" t="str">
        <f>IFERROR(VLOOKUP(A2754,[3]DOORSCRIEFT!$A$2:$G$6834,2,FALSE),"")</f>
        <v/>
      </c>
      <c r="D2754" s="481" t="str">
        <f>IFERROR(VLOOKUP(A2754,[3]DOORSCRIEFT!$A$2:$G$6834,3,FALSE),"")</f>
        <v/>
      </c>
      <c r="E2754" s="480" t="str">
        <f>IFERROR(VLOOKUP(A2754,[3]DOORSCRIEFT!$A$2:$G$6834,4,FALSE),"")</f>
        <v/>
      </c>
      <c r="F2754" s="405" t="str">
        <f>IFERROR(VLOOKUP(A2754,[3]DOORSCRIEFT!$A$2:$G$6834,7,FALSE),"")</f>
        <v/>
      </c>
      <c r="G2754" s="315"/>
    </row>
    <row r="2755" spans="1:7" x14ac:dyDescent="0.25">
      <c r="A2755" s="321" t="str">
        <f t="shared" si="93"/>
        <v>II.5.2.0115</v>
      </c>
      <c r="B2755" s="321">
        <v>15</v>
      </c>
      <c r="C2755" s="339" t="str">
        <f>IFERROR(VLOOKUP(A2755,[3]DOORSCRIEFT!$A$2:$G$6834,2,FALSE),"")</f>
        <v/>
      </c>
      <c r="D2755" s="481" t="str">
        <f>IFERROR(VLOOKUP(A2755,[3]DOORSCRIEFT!$A$2:$G$6834,3,FALSE),"")</f>
        <v/>
      </c>
      <c r="E2755" s="480" t="str">
        <f>IFERROR(VLOOKUP(A2755,[3]DOORSCRIEFT!$A$2:$G$6834,4,FALSE),"")</f>
        <v/>
      </c>
      <c r="F2755" s="405" t="str">
        <f>IFERROR(VLOOKUP(A2755,[3]DOORSCRIEFT!$A$2:$G$6834,7,FALSE),"")</f>
        <v/>
      </c>
      <c r="G2755" s="315"/>
    </row>
    <row r="2756" spans="1:7" x14ac:dyDescent="0.25">
      <c r="A2756" s="321" t="str">
        <f t="shared" si="93"/>
        <v>II.5.2.0116</v>
      </c>
      <c r="B2756" s="321">
        <v>16</v>
      </c>
      <c r="C2756" s="339" t="str">
        <f>IFERROR(VLOOKUP(A2756,[3]DOORSCRIEFT!$A$2:$G$6834,2,FALSE),"")</f>
        <v/>
      </c>
      <c r="D2756" s="481" t="str">
        <f>IFERROR(VLOOKUP(A2756,[3]DOORSCRIEFT!$A$2:$G$6834,3,FALSE),"")</f>
        <v/>
      </c>
      <c r="E2756" s="480" t="str">
        <f>IFERROR(VLOOKUP(A2756,[3]DOORSCRIEFT!$A$2:$G$6834,4,FALSE),"")</f>
        <v/>
      </c>
      <c r="F2756" s="405" t="str">
        <f>IFERROR(VLOOKUP(A2756,[3]DOORSCRIEFT!$A$2:$G$6834,7,FALSE),"")</f>
        <v/>
      </c>
      <c r="G2756" s="315"/>
    </row>
    <row r="2757" spans="1:7" x14ac:dyDescent="0.25">
      <c r="A2757" s="321" t="str">
        <f t="shared" si="93"/>
        <v>II.5.2.0117</v>
      </c>
      <c r="B2757" s="321">
        <v>17</v>
      </c>
      <c r="C2757" s="339" t="str">
        <f>IFERROR(VLOOKUP(A2757,[3]DOORSCRIEFT!$A$2:$G$6834,2,FALSE),"")</f>
        <v/>
      </c>
      <c r="D2757" s="481" t="str">
        <f>IFERROR(VLOOKUP(A2757,[3]DOORSCRIEFT!$A$2:$G$6834,3,FALSE),"")</f>
        <v/>
      </c>
      <c r="E2757" s="480" t="str">
        <f>IFERROR(VLOOKUP(A2757,[3]DOORSCRIEFT!$A$2:$G$6834,4,FALSE),"")</f>
        <v/>
      </c>
      <c r="F2757" s="405" t="str">
        <f>IFERROR(VLOOKUP(A2757,[3]DOORSCRIEFT!$A$2:$G$6834,7,FALSE),"")</f>
        <v/>
      </c>
      <c r="G2757" s="315"/>
    </row>
    <row r="2758" spans="1:7" x14ac:dyDescent="0.25">
      <c r="A2758" s="321" t="str">
        <f t="shared" si="93"/>
        <v>II.5.2.0118</v>
      </c>
      <c r="B2758" s="321">
        <v>18</v>
      </c>
      <c r="C2758" s="339" t="str">
        <f>IFERROR(VLOOKUP(A2758,[3]DOORSCRIEFT!$A$2:$G$6834,2,FALSE),"")</f>
        <v/>
      </c>
      <c r="D2758" s="481" t="str">
        <f>IFERROR(VLOOKUP(A2758,[3]DOORSCRIEFT!$A$2:$G$6834,3,FALSE),"")</f>
        <v/>
      </c>
      <c r="E2758" s="480" t="str">
        <f>IFERROR(VLOOKUP(A2758,[3]DOORSCRIEFT!$A$2:$G$6834,4,FALSE),"")</f>
        <v/>
      </c>
      <c r="F2758" s="405" t="str">
        <f>IFERROR(VLOOKUP(A2758,[3]DOORSCRIEFT!$A$2:$G$6834,7,FALSE),"")</f>
        <v/>
      </c>
      <c r="G2758" s="315"/>
    </row>
    <row r="2759" spans="1:7" x14ac:dyDescent="0.25">
      <c r="A2759" s="321" t="str">
        <f t="shared" si="93"/>
        <v>II.5.2.0119</v>
      </c>
      <c r="B2759" s="321">
        <v>19</v>
      </c>
      <c r="C2759" s="339" t="str">
        <f>IFERROR(VLOOKUP(A2759,[3]DOORSCRIEFT!$A$2:$G$6834,2,FALSE),"")</f>
        <v/>
      </c>
      <c r="D2759" s="481" t="str">
        <f>IFERROR(VLOOKUP(A2759,[3]DOORSCRIEFT!$A$2:$G$6834,3,FALSE),"")</f>
        <v/>
      </c>
      <c r="E2759" s="480" t="str">
        <f>IFERROR(VLOOKUP(A2759,[3]DOORSCRIEFT!$A$2:$G$6834,4,FALSE),"")</f>
        <v/>
      </c>
      <c r="F2759" s="405" t="str">
        <f>IFERROR(VLOOKUP(A2759,[3]DOORSCRIEFT!$A$2:$G$6834,7,FALSE),"")</f>
        <v/>
      </c>
      <c r="G2759" s="315"/>
    </row>
    <row r="2760" spans="1:7" x14ac:dyDescent="0.25">
      <c r="A2760" s="321" t="str">
        <f t="shared" si="93"/>
        <v>II.5.2.0120</v>
      </c>
      <c r="B2760" s="321">
        <v>20</v>
      </c>
      <c r="C2760" s="339" t="str">
        <f>IFERROR(VLOOKUP(A2760,[3]DOORSCRIEFT!$A$2:$G$6834,2,FALSE),"")</f>
        <v/>
      </c>
      <c r="D2760" s="481" t="str">
        <f>IFERROR(VLOOKUP(A2760,[3]DOORSCRIEFT!$A$2:$G$6834,3,FALSE),"")</f>
        <v/>
      </c>
      <c r="E2760" s="480" t="str">
        <f>IFERROR(VLOOKUP(A2760,[3]DOORSCRIEFT!$A$2:$G$6834,4,FALSE),"")</f>
        <v/>
      </c>
      <c r="F2760" s="405" t="str">
        <f>IFERROR(VLOOKUP(A2760,[3]DOORSCRIEFT!$A$2:$G$6834,7,FALSE),"")</f>
        <v/>
      </c>
      <c r="G2760" s="315"/>
    </row>
    <row r="2761" spans="1:7" x14ac:dyDescent="0.25">
      <c r="A2761" s="321" t="str">
        <f t="shared" si="93"/>
        <v>II.5.2.0121</v>
      </c>
      <c r="B2761" s="321">
        <v>21</v>
      </c>
      <c r="C2761" s="339" t="str">
        <f>IFERROR(VLOOKUP(A2761,[3]DOORSCRIEFT!$A$2:$G$6834,2,FALSE),"")</f>
        <v/>
      </c>
      <c r="D2761" s="481" t="str">
        <f>IFERROR(VLOOKUP(A2761,[3]DOORSCRIEFT!$A$2:$G$6834,3,FALSE),"")</f>
        <v/>
      </c>
      <c r="E2761" s="480" t="str">
        <f>IFERROR(VLOOKUP(A2761,[3]DOORSCRIEFT!$A$2:$G$6834,4,FALSE),"")</f>
        <v/>
      </c>
      <c r="F2761" s="405" t="str">
        <f>IFERROR(VLOOKUP(A2761,[3]DOORSCRIEFT!$A$2:$G$6834,7,FALSE),"")</f>
        <v/>
      </c>
      <c r="G2761" s="315"/>
    </row>
    <row r="2762" spans="1:7" x14ac:dyDescent="0.25">
      <c r="A2762" s="321" t="str">
        <f t="shared" si="93"/>
        <v>II.5.2.0122</v>
      </c>
      <c r="B2762" s="321">
        <v>22</v>
      </c>
      <c r="C2762" s="339" t="str">
        <f>IFERROR(VLOOKUP(A2762,[3]DOORSCRIEFT!$A$2:$G$6834,2,FALSE),"")</f>
        <v/>
      </c>
      <c r="D2762" s="481" t="str">
        <f>IFERROR(VLOOKUP(A2762,[3]DOORSCRIEFT!$A$2:$G$6834,3,FALSE),"")</f>
        <v/>
      </c>
      <c r="E2762" s="480" t="str">
        <f>IFERROR(VLOOKUP(A2762,[3]DOORSCRIEFT!$A$2:$G$6834,4,FALSE),"")</f>
        <v/>
      </c>
      <c r="F2762" s="405" t="str">
        <f>IFERROR(VLOOKUP(A2762,[3]DOORSCRIEFT!$A$2:$G$6834,7,FALSE),"")</f>
        <v/>
      </c>
      <c r="G2762" s="315"/>
    </row>
    <row r="2763" spans="1:7" x14ac:dyDescent="0.25">
      <c r="A2763" s="321" t="str">
        <f t="shared" si="93"/>
        <v>II.5.2.0123</v>
      </c>
      <c r="B2763" s="321">
        <v>23</v>
      </c>
      <c r="C2763" s="339" t="str">
        <f>IFERROR(VLOOKUP(A2763,[3]DOORSCRIEFT!$A$2:$G$6834,2,FALSE),"")</f>
        <v/>
      </c>
      <c r="D2763" s="481" t="str">
        <f>IFERROR(VLOOKUP(A2763,[3]DOORSCRIEFT!$A$2:$G$6834,3,FALSE),"")</f>
        <v/>
      </c>
      <c r="E2763" s="480" t="str">
        <f>IFERROR(VLOOKUP(A2763,[3]DOORSCRIEFT!$A$2:$G$6834,4,FALSE),"")</f>
        <v/>
      </c>
      <c r="F2763" s="405" t="str">
        <f>IFERROR(VLOOKUP(A2763,[3]DOORSCRIEFT!$A$2:$G$6834,7,FALSE),"")</f>
        <v/>
      </c>
      <c r="G2763" s="315"/>
    </row>
    <row r="2764" spans="1:7" x14ac:dyDescent="0.25">
      <c r="A2764" s="321" t="str">
        <f t="shared" si="93"/>
        <v>II.5.2.0124</v>
      </c>
      <c r="B2764" s="321">
        <v>24</v>
      </c>
      <c r="C2764" s="339" t="str">
        <f>IFERROR(VLOOKUP(A2764,[3]DOORSCRIEFT!$A$2:$G$6834,2,FALSE),"")</f>
        <v/>
      </c>
      <c r="D2764" s="481" t="str">
        <f>IFERROR(VLOOKUP(A2764,[3]DOORSCRIEFT!$A$2:$G$6834,3,FALSE),"")</f>
        <v/>
      </c>
      <c r="E2764" s="480" t="str">
        <f>IFERROR(VLOOKUP(A2764,[3]DOORSCRIEFT!$A$2:$G$6834,4,FALSE),"")</f>
        <v/>
      </c>
      <c r="F2764" s="405" t="str">
        <f>IFERROR(VLOOKUP(A2764,[3]DOORSCRIEFT!$A$2:$G$6834,7,FALSE),"")</f>
        <v/>
      </c>
      <c r="G2764" s="315"/>
    </row>
    <row r="2765" spans="1:7" x14ac:dyDescent="0.25">
      <c r="A2765" s="321" t="str">
        <f t="shared" si="93"/>
        <v>II.5.2.0125</v>
      </c>
      <c r="B2765" s="321">
        <v>25</v>
      </c>
      <c r="C2765" s="339" t="str">
        <f>IFERROR(VLOOKUP(A2765,[3]DOORSCRIEFT!$A$2:$G$6834,2,FALSE),"")</f>
        <v/>
      </c>
      <c r="D2765" s="481" t="str">
        <f>IFERROR(VLOOKUP(A2765,[3]DOORSCRIEFT!$A$2:$G$6834,3,FALSE),"")</f>
        <v/>
      </c>
      <c r="E2765" s="480" t="str">
        <f>IFERROR(VLOOKUP(A2765,[3]DOORSCRIEFT!$A$2:$G$6834,4,FALSE),"")</f>
        <v/>
      </c>
      <c r="F2765" s="405" t="str">
        <f>IFERROR(VLOOKUP(A2765,[3]DOORSCRIEFT!$A$2:$G$6834,7,FALSE),"")</f>
        <v/>
      </c>
      <c r="G2765" s="315"/>
    </row>
    <row r="2766" spans="1:7" ht="15.75" thickBot="1" x14ac:dyDescent="0.3">
      <c r="A2766" s="321" t="str">
        <f t="shared" si="93"/>
        <v>II.5.2.0126</v>
      </c>
      <c r="B2766" s="321">
        <v>26</v>
      </c>
      <c r="C2766" s="339" t="str">
        <f>IFERROR(VLOOKUP(A2766,[3]DOORSCRIEFT!$A$2:$G$6834,2,FALSE),"")</f>
        <v/>
      </c>
      <c r="D2766" s="481" t="str">
        <f>IFERROR(VLOOKUP(A2766,[3]DOORSCRIEFT!$A$2:$G$6834,3,FALSE),"")</f>
        <v/>
      </c>
      <c r="E2766" s="480" t="str">
        <f>IFERROR(VLOOKUP(A2766,[3]DOORSCRIEFT!$A$2:$G$6834,4,FALSE),"")</f>
        <v/>
      </c>
      <c r="F2766" s="405" t="str">
        <f>IFERROR(VLOOKUP(A2766,[3]DOORSCRIEFT!$A$2:$G$6834,7,FALSE),"")</f>
        <v/>
      </c>
      <c r="G2766" s="315"/>
    </row>
    <row r="2767" spans="1:7" ht="15.75" thickBot="1" x14ac:dyDescent="0.3">
      <c r="A2767" s="488"/>
      <c r="B2767" s="488"/>
      <c r="C2767" s="336"/>
      <c r="D2767" s="486"/>
      <c r="E2767" s="340" t="s">
        <v>644</v>
      </c>
      <c r="F2767" s="310">
        <f>SUM(F2741:F2766)</f>
        <v>0</v>
      </c>
      <c r="G2767" s="309">
        <f>SUM(G2741:G2766)</f>
        <v>0</v>
      </c>
    </row>
    <row r="2768" spans="1:7" x14ac:dyDescent="0.25">
      <c r="C2768" s="335"/>
      <c r="D2768" s="485"/>
    </row>
    <row r="2769" spans="1:7" x14ac:dyDescent="0.25">
      <c r="C2769" s="335"/>
      <c r="D2769" s="485"/>
    </row>
    <row r="2770" spans="1:7" ht="15.75" x14ac:dyDescent="0.25">
      <c r="C2770" s="334" t="s">
        <v>663</v>
      </c>
      <c r="D2770" s="484"/>
      <c r="E2770" s="333"/>
      <c r="F2770" s="327" t="s">
        <v>607</v>
      </c>
      <c r="G2770" s="327" t="s">
        <v>30</v>
      </c>
    </row>
    <row r="2771" spans="1:7" ht="15.75" x14ac:dyDescent="0.25">
      <c r="C2771" s="334"/>
      <c r="D2771" s="484"/>
      <c r="E2771" s="333"/>
      <c r="F2771" s="327" t="s">
        <v>601</v>
      </c>
      <c r="G2771" s="483" t="s">
        <v>29</v>
      </c>
    </row>
    <row r="2772" spans="1:7" x14ac:dyDescent="0.25">
      <c r="C2772" s="330"/>
      <c r="D2772" s="482"/>
      <c r="E2772" s="329"/>
      <c r="F2772" s="327" t="s">
        <v>651</v>
      </c>
      <c r="G2772" s="331">
        <f>[2]Sheet1!$D$609</f>
        <v>10000000</v>
      </c>
    </row>
    <row r="2773" spans="1:7" ht="15.75" thickBot="1" x14ac:dyDescent="0.3">
      <c r="C2773" s="330"/>
      <c r="D2773" s="482"/>
      <c r="E2773" s="329"/>
      <c r="F2773" s="327" t="s">
        <v>650</v>
      </c>
      <c r="G2773" s="326">
        <f>+F2792-G2772</f>
        <v>-10000000</v>
      </c>
    </row>
    <row r="2774" spans="1:7" x14ac:dyDescent="0.25">
      <c r="A2774" s="571" t="s">
        <v>655</v>
      </c>
      <c r="B2774" s="573" t="s">
        <v>606</v>
      </c>
      <c r="C2774" s="588" t="s">
        <v>649</v>
      </c>
      <c r="D2774" s="599" t="s">
        <v>648</v>
      </c>
      <c r="E2774" s="577" t="s">
        <v>647</v>
      </c>
      <c r="F2774" s="577" t="s">
        <v>646</v>
      </c>
      <c r="G2774" s="580" t="s">
        <v>645</v>
      </c>
    </row>
    <row r="2775" spans="1:7" ht="15.75" thickBot="1" x14ac:dyDescent="0.3">
      <c r="A2775" s="572"/>
      <c r="B2775" s="574"/>
      <c r="C2775" s="589"/>
      <c r="D2775" s="600"/>
      <c r="E2775" s="578"/>
      <c r="F2775" s="578"/>
      <c r="G2775" s="581"/>
    </row>
    <row r="2776" spans="1:7" ht="15.75" thickBot="1" x14ac:dyDescent="0.3">
      <c r="A2776" s="425">
        <v>1</v>
      </c>
      <c r="B2776" s="425">
        <v>2</v>
      </c>
      <c r="C2776" s="425">
        <v>3</v>
      </c>
      <c r="D2776" s="425">
        <v>4</v>
      </c>
      <c r="E2776" s="425">
        <v>5</v>
      </c>
      <c r="F2776" s="425">
        <v>6</v>
      </c>
      <c r="G2776" s="425">
        <v>7</v>
      </c>
    </row>
    <row r="2777" spans="1:7" x14ac:dyDescent="0.25">
      <c r="A2777" s="320" t="str">
        <f t="shared" ref="A2777:A2791" si="94">$G$2770&amp;B2777</f>
        <v>II.5.2.021</v>
      </c>
      <c r="B2777" s="320">
        <v>1</v>
      </c>
      <c r="C2777" s="339" t="str">
        <f>IFERROR(VLOOKUP(A2777,[3]DOORSCRIEFT!$A$2:$G$6834,2,FALSE),"")</f>
        <v/>
      </c>
      <c r="D2777" s="481" t="str">
        <f>IFERROR(VLOOKUP(A2777,[3]DOORSCRIEFT!$A$2:$G$6834,3,FALSE),"")</f>
        <v/>
      </c>
      <c r="E2777" s="480" t="str">
        <f>IFERROR(VLOOKUP(A2777,[3]DOORSCRIEFT!$A$2:$G$6834,4,FALSE),"")</f>
        <v/>
      </c>
      <c r="F2777" s="405" t="str">
        <f>IFERROR(VLOOKUP(A2777,[3]DOORSCRIEFT!$A$2:$G$6834,7,FALSE),"")</f>
        <v/>
      </c>
      <c r="G2777" s="322"/>
    </row>
    <row r="2778" spans="1:7" x14ac:dyDescent="0.25">
      <c r="A2778" s="321" t="str">
        <f t="shared" si="94"/>
        <v>II.5.2.022</v>
      </c>
      <c r="B2778" s="321">
        <v>2</v>
      </c>
      <c r="C2778" s="339" t="str">
        <f>IFERROR(VLOOKUP(A2778,[3]DOORSCRIEFT!$A$2:$G$6834,2,FALSE),"")</f>
        <v/>
      </c>
      <c r="D2778" s="481" t="str">
        <f>IFERROR(VLOOKUP(A2778,[3]DOORSCRIEFT!$A$2:$G$6834,3,FALSE),"")</f>
        <v/>
      </c>
      <c r="E2778" s="480" t="str">
        <f>IFERROR(VLOOKUP(A2778,[3]DOORSCRIEFT!$A$2:$G$6834,4,FALSE),"")</f>
        <v/>
      </c>
      <c r="F2778" s="405" t="str">
        <f>IFERROR(VLOOKUP(A2778,[3]DOORSCRIEFT!$A$2:$G$6834,7,FALSE),"")</f>
        <v/>
      </c>
      <c r="G2778" s="315"/>
    </row>
    <row r="2779" spans="1:7" x14ac:dyDescent="0.25">
      <c r="A2779" s="321" t="str">
        <f t="shared" si="94"/>
        <v>II.5.2.023</v>
      </c>
      <c r="B2779" s="321">
        <v>3</v>
      </c>
      <c r="C2779" s="339" t="str">
        <f>IFERROR(VLOOKUP(A2779,[3]DOORSCRIEFT!$A$2:$G$6834,2,FALSE),"")</f>
        <v/>
      </c>
      <c r="D2779" s="481" t="str">
        <f>IFERROR(VLOOKUP(A2779,[3]DOORSCRIEFT!$A$2:$G$6834,3,FALSE),"")</f>
        <v/>
      </c>
      <c r="E2779" s="480" t="str">
        <f>IFERROR(VLOOKUP(A2779,[3]DOORSCRIEFT!$A$2:$G$6834,4,FALSE),"")</f>
        <v/>
      </c>
      <c r="F2779" s="405" t="str">
        <f>IFERROR(VLOOKUP(A2779,[3]DOORSCRIEFT!$A$2:$G$6834,7,FALSE),"")</f>
        <v/>
      </c>
      <c r="G2779" s="315"/>
    </row>
    <row r="2780" spans="1:7" x14ac:dyDescent="0.25">
      <c r="A2780" s="321" t="str">
        <f t="shared" si="94"/>
        <v>II.5.2.024</v>
      </c>
      <c r="B2780" s="321">
        <v>4</v>
      </c>
      <c r="C2780" s="339" t="str">
        <f>IFERROR(VLOOKUP(A2780,[3]DOORSCRIEFT!$A$2:$G$6834,2,FALSE),"")</f>
        <v/>
      </c>
      <c r="D2780" s="481" t="str">
        <f>IFERROR(VLOOKUP(A2780,[3]DOORSCRIEFT!$A$2:$G$6834,3,FALSE),"")</f>
        <v/>
      </c>
      <c r="E2780" s="480" t="str">
        <f>IFERROR(VLOOKUP(A2780,[3]DOORSCRIEFT!$A$2:$G$6834,4,FALSE),"")</f>
        <v/>
      </c>
      <c r="F2780" s="405" t="str">
        <f>IFERROR(VLOOKUP(A2780,[3]DOORSCRIEFT!$A$2:$G$6834,7,FALSE),"")</f>
        <v/>
      </c>
      <c r="G2780" s="315"/>
    </row>
    <row r="2781" spans="1:7" x14ac:dyDescent="0.25">
      <c r="A2781" s="321" t="str">
        <f t="shared" si="94"/>
        <v>II.5.2.025</v>
      </c>
      <c r="B2781" s="321">
        <v>5</v>
      </c>
      <c r="C2781" s="339" t="str">
        <f>IFERROR(VLOOKUP(A2781,[3]DOORSCRIEFT!$A$2:$G$6834,2,FALSE),"")</f>
        <v/>
      </c>
      <c r="D2781" s="481" t="str">
        <f>IFERROR(VLOOKUP(A2781,[3]DOORSCRIEFT!$A$2:$G$6834,3,FALSE),"")</f>
        <v/>
      </c>
      <c r="E2781" s="480" t="str">
        <f>IFERROR(VLOOKUP(A2781,[3]DOORSCRIEFT!$A$2:$G$6834,4,FALSE),"")</f>
        <v/>
      </c>
      <c r="F2781" s="405" t="str">
        <f>IFERROR(VLOOKUP(A2781,[3]DOORSCRIEFT!$A$2:$G$6834,7,FALSE),"")</f>
        <v/>
      </c>
      <c r="G2781" s="315"/>
    </row>
    <row r="2782" spans="1:7" x14ac:dyDescent="0.25">
      <c r="A2782" s="321" t="str">
        <f t="shared" si="94"/>
        <v>II.5.2.026</v>
      </c>
      <c r="B2782" s="321">
        <v>6</v>
      </c>
      <c r="C2782" s="339" t="str">
        <f>IFERROR(VLOOKUP(A2782,[3]DOORSCRIEFT!$A$2:$G$6834,2,FALSE),"")</f>
        <v/>
      </c>
      <c r="D2782" s="481" t="str">
        <f>IFERROR(VLOOKUP(A2782,[3]DOORSCRIEFT!$A$2:$G$6834,3,FALSE),"")</f>
        <v/>
      </c>
      <c r="E2782" s="480" t="str">
        <f>IFERROR(VLOOKUP(A2782,[3]DOORSCRIEFT!$A$2:$G$6834,4,FALSE),"")</f>
        <v/>
      </c>
      <c r="F2782" s="405" t="str">
        <f>IFERROR(VLOOKUP(A2782,[3]DOORSCRIEFT!$A$2:$G$6834,7,FALSE),"")</f>
        <v/>
      </c>
      <c r="G2782" s="315"/>
    </row>
    <row r="2783" spans="1:7" x14ac:dyDescent="0.25">
      <c r="A2783" s="321" t="str">
        <f t="shared" si="94"/>
        <v>II.5.2.027</v>
      </c>
      <c r="B2783" s="321">
        <v>7</v>
      </c>
      <c r="C2783" s="339" t="str">
        <f>IFERROR(VLOOKUP(A2783,[3]DOORSCRIEFT!$A$2:$G$6834,2,FALSE),"")</f>
        <v/>
      </c>
      <c r="D2783" s="481" t="str">
        <f>IFERROR(VLOOKUP(A2783,[3]DOORSCRIEFT!$A$2:$G$6834,3,FALSE),"")</f>
        <v/>
      </c>
      <c r="E2783" s="480" t="str">
        <f>IFERROR(VLOOKUP(A2783,[3]DOORSCRIEFT!$A$2:$G$6834,4,FALSE),"")</f>
        <v/>
      </c>
      <c r="F2783" s="405" t="str">
        <f>IFERROR(VLOOKUP(A2783,[3]DOORSCRIEFT!$A$2:$G$6834,7,FALSE),"")</f>
        <v/>
      </c>
      <c r="G2783" s="315"/>
    </row>
    <row r="2784" spans="1:7" x14ac:dyDescent="0.25">
      <c r="A2784" s="321" t="str">
        <f t="shared" si="94"/>
        <v>II.5.2.028</v>
      </c>
      <c r="B2784" s="321">
        <v>8</v>
      </c>
      <c r="C2784" s="339" t="str">
        <f>IFERROR(VLOOKUP(A2784,[3]DOORSCRIEFT!$A$2:$G$6834,2,FALSE),"")</f>
        <v/>
      </c>
      <c r="D2784" s="481" t="str">
        <f>IFERROR(VLOOKUP(A2784,[3]DOORSCRIEFT!$A$2:$G$6834,3,FALSE),"")</f>
        <v/>
      </c>
      <c r="E2784" s="480" t="str">
        <f>IFERROR(VLOOKUP(A2784,[3]DOORSCRIEFT!$A$2:$G$6834,4,FALSE),"")</f>
        <v/>
      </c>
      <c r="F2784" s="405" t="str">
        <f>IFERROR(VLOOKUP(A2784,[3]DOORSCRIEFT!$A$2:$G$6834,7,FALSE),"")</f>
        <v/>
      </c>
      <c r="G2784" s="315"/>
    </row>
    <row r="2785" spans="1:7" x14ac:dyDescent="0.25">
      <c r="A2785" s="321" t="str">
        <f t="shared" si="94"/>
        <v>II.5.2.029</v>
      </c>
      <c r="B2785" s="321">
        <v>9</v>
      </c>
      <c r="C2785" s="339" t="str">
        <f>IFERROR(VLOOKUP(A2785,[3]DOORSCRIEFT!$A$2:$G$6834,2,FALSE),"")</f>
        <v/>
      </c>
      <c r="D2785" s="481" t="str">
        <f>IFERROR(VLOOKUP(A2785,[3]DOORSCRIEFT!$A$2:$G$6834,3,FALSE),"")</f>
        <v/>
      </c>
      <c r="E2785" s="480" t="str">
        <f>IFERROR(VLOOKUP(A2785,[3]DOORSCRIEFT!$A$2:$G$6834,4,FALSE),"")</f>
        <v/>
      </c>
      <c r="F2785" s="405" t="str">
        <f>IFERROR(VLOOKUP(A2785,[3]DOORSCRIEFT!$A$2:$G$6834,7,FALSE),"")</f>
        <v/>
      </c>
      <c r="G2785" s="315"/>
    </row>
    <row r="2786" spans="1:7" x14ac:dyDescent="0.25">
      <c r="A2786" s="321" t="str">
        <f t="shared" si="94"/>
        <v>II.5.2.0210</v>
      </c>
      <c r="B2786" s="321">
        <v>10</v>
      </c>
      <c r="C2786" s="339" t="str">
        <f>IFERROR(VLOOKUP(A2786,[3]DOORSCRIEFT!$A$2:$G$6834,2,FALSE),"")</f>
        <v/>
      </c>
      <c r="D2786" s="481" t="str">
        <f>IFERROR(VLOOKUP(A2786,[3]DOORSCRIEFT!$A$2:$G$6834,3,FALSE),"")</f>
        <v/>
      </c>
      <c r="E2786" s="480" t="str">
        <f>IFERROR(VLOOKUP(A2786,[3]DOORSCRIEFT!$A$2:$G$6834,4,FALSE),"")</f>
        <v/>
      </c>
      <c r="F2786" s="405" t="str">
        <f>IFERROR(VLOOKUP(A2786,[3]DOORSCRIEFT!$A$2:$G$6834,7,FALSE),"")</f>
        <v/>
      </c>
      <c r="G2786" s="315"/>
    </row>
    <row r="2787" spans="1:7" x14ac:dyDescent="0.25">
      <c r="A2787" s="321" t="str">
        <f t="shared" si="94"/>
        <v>II.5.2.0211</v>
      </c>
      <c r="B2787" s="321">
        <v>11</v>
      </c>
      <c r="C2787" s="339" t="str">
        <f>IFERROR(VLOOKUP(A2787,[3]DOORSCRIEFT!$A$2:$G$6834,2,FALSE),"")</f>
        <v/>
      </c>
      <c r="D2787" s="481" t="str">
        <f>IFERROR(VLOOKUP(A2787,[3]DOORSCRIEFT!$A$2:$G$6834,3,FALSE),"")</f>
        <v/>
      </c>
      <c r="E2787" s="480" t="str">
        <f>IFERROR(VLOOKUP(A2787,[3]DOORSCRIEFT!$A$2:$G$6834,4,FALSE),"")</f>
        <v/>
      </c>
      <c r="F2787" s="405" t="str">
        <f>IFERROR(VLOOKUP(A2787,[3]DOORSCRIEFT!$A$2:$G$6834,7,FALSE),"")</f>
        <v/>
      </c>
      <c r="G2787" s="315"/>
    </row>
    <row r="2788" spans="1:7" x14ac:dyDescent="0.25">
      <c r="A2788" s="321" t="str">
        <f t="shared" si="94"/>
        <v>II.5.2.0212</v>
      </c>
      <c r="B2788" s="321">
        <v>12</v>
      </c>
      <c r="C2788" s="339" t="str">
        <f>IFERROR(VLOOKUP(A2788,[3]DOORSCRIEFT!$A$2:$G$6834,2,FALSE),"")</f>
        <v/>
      </c>
      <c r="D2788" s="481" t="str">
        <f>IFERROR(VLOOKUP(A2788,[3]DOORSCRIEFT!$A$2:$G$6834,3,FALSE),"")</f>
        <v/>
      </c>
      <c r="E2788" s="480" t="str">
        <f>IFERROR(VLOOKUP(A2788,[3]DOORSCRIEFT!$A$2:$G$6834,4,FALSE),"")</f>
        <v/>
      </c>
      <c r="F2788" s="405" t="str">
        <f>IFERROR(VLOOKUP(A2788,[3]DOORSCRIEFT!$A$2:$G$6834,7,FALSE),"")</f>
        <v/>
      </c>
      <c r="G2788" s="315"/>
    </row>
    <row r="2789" spans="1:7" x14ac:dyDescent="0.25">
      <c r="A2789" s="321" t="str">
        <f t="shared" si="94"/>
        <v>II.5.2.0213</v>
      </c>
      <c r="B2789" s="321">
        <v>13</v>
      </c>
      <c r="C2789" s="339" t="str">
        <f>IFERROR(VLOOKUP(A2789,[3]DOORSCRIEFT!$A$2:$G$6834,2,FALSE),"")</f>
        <v/>
      </c>
      <c r="D2789" s="481" t="str">
        <f>IFERROR(VLOOKUP(A2789,[3]DOORSCRIEFT!$A$2:$G$6834,3,FALSE),"")</f>
        <v/>
      </c>
      <c r="E2789" s="480" t="str">
        <f>IFERROR(VLOOKUP(A2789,[3]DOORSCRIEFT!$A$2:$G$6834,4,FALSE),"")</f>
        <v/>
      </c>
      <c r="F2789" s="405" t="str">
        <f>IFERROR(VLOOKUP(A2789,[3]DOORSCRIEFT!$A$2:$G$6834,7,FALSE),"")</f>
        <v/>
      </c>
      <c r="G2789" s="315"/>
    </row>
    <row r="2790" spans="1:7" x14ac:dyDescent="0.25">
      <c r="A2790" s="321" t="str">
        <f t="shared" si="94"/>
        <v>II.5.2.0214</v>
      </c>
      <c r="B2790" s="321">
        <v>14</v>
      </c>
      <c r="C2790" s="339" t="str">
        <f>IFERROR(VLOOKUP(A2790,[3]DOORSCRIEFT!$A$2:$G$6834,2,FALSE),"")</f>
        <v/>
      </c>
      <c r="D2790" s="481" t="str">
        <f>IFERROR(VLOOKUP(A2790,[3]DOORSCRIEFT!$A$2:$G$6834,3,FALSE),"")</f>
        <v/>
      </c>
      <c r="E2790" s="480" t="str">
        <f>IFERROR(VLOOKUP(A2790,[3]DOORSCRIEFT!$A$2:$G$6834,4,FALSE),"")</f>
        <v/>
      </c>
      <c r="F2790" s="405" t="str">
        <f>IFERROR(VLOOKUP(A2790,[3]DOORSCRIEFT!$A$2:$G$6834,7,FALSE),"")</f>
        <v/>
      </c>
      <c r="G2790" s="315"/>
    </row>
    <row r="2791" spans="1:7" ht="15.75" thickBot="1" x14ac:dyDescent="0.3">
      <c r="A2791" s="321" t="str">
        <f t="shared" si="94"/>
        <v>II.5.2.0215</v>
      </c>
      <c r="B2791" s="321">
        <v>15</v>
      </c>
      <c r="C2791" s="339" t="str">
        <f>IFERROR(VLOOKUP(A2791,[3]DOORSCRIEFT!$A$2:$G$6834,2,FALSE),"")</f>
        <v/>
      </c>
      <c r="D2791" s="481" t="str">
        <f>IFERROR(VLOOKUP(A2791,[3]DOORSCRIEFT!$A$2:$G$6834,3,FALSE),"")</f>
        <v/>
      </c>
      <c r="E2791" s="480" t="str">
        <f>IFERROR(VLOOKUP(A2791,[3]DOORSCRIEFT!$A$2:$G$6834,4,FALSE),"")</f>
        <v/>
      </c>
      <c r="F2791" s="405" t="str">
        <f>IFERROR(VLOOKUP(A2791,[3]DOORSCRIEFT!$A$2:$G$6834,7,FALSE),"")</f>
        <v/>
      </c>
      <c r="G2791" s="315"/>
    </row>
    <row r="2792" spans="1:7" ht="15.75" thickBot="1" x14ac:dyDescent="0.3">
      <c r="A2792" s="488"/>
      <c r="B2792" s="488"/>
      <c r="C2792" s="336"/>
      <c r="D2792" s="486"/>
      <c r="E2792" s="340" t="s">
        <v>644</v>
      </c>
      <c r="F2792" s="310">
        <f>SUM(F2777:F2791)</f>
        <v>0</v>
      </c>
      <c r="G2792" s="309">
        <f>SUM(G2777:G2791)</f>
        <v>0</v>
      </c>
    </row>
    <row r="2793" spans="1:7" x14ac:dyDescent="0.25">
      <c r="C2793" s="335"/>
      <c r="D2793" s="485"/>
    </row>
    <row r="2794" spans="1:7" x14ac:dyDescent="0.25">
      <c r="C2794" s="335"/>
      <c r="D2794" s="485"/>
    </row>
    <row r="2795" spans="1:7" ht="15.75" x14ac:dyDescent="0.25">
      <c r="C2795" s="334" t="s">
        <v>663</v>
      </c>
      <c r="D2795" s="484"/>
      <c r="E2795" s="333"/>
      <c r="F2795" s="327" t="s">
        <v>607</v>
      </c>
      <c r="G2795" s="327" t="s">
        <v>23</v>
      </c>
    </row>
    <row r="2796" spans="1:7" ht="15.75" x14ac:dyDescent="0.25">
      <c r="C2796" s="334"/>
      <c r="D2796" s="484"/>
      <c r="E2796" s="333"/>
      <c r="F2796" s="327" t="s">
        <v>601</v>
      </c>
      <c r="G2796" s="483" t="s">
        <v>22</v>
      </c>
    </row>
    <row r="2797" spans="1:7" x14ac:dyDescent="0.25">
      <c r="C2797" s="330"/>
      <c r="D2797" s="482"/>
      <c r="E2797" s="329"/>
      <c r="F2797" s="327" t="s">
        <v>651</v>
      </c>
      <c r="G2797" s="331">
        <f>[2]Sheet1!$D$614</f>
        <v>0</v>
      </c>
    </row>
    <row r="2798" spans="1:7" ht="15.75" thickBot="1" x14ac:dyDescent="0.3">
      <c r="C2798" s="330"/>
      <c r="D2798" s="482"/>
      <c r="E2798" s="329"/>
      <c r="F2798" s="327" t="s">
        <v>650</v>
      </c>
      <c r="G2798" s="326">
        <f>+F2817-G2797</f>
        <v>736000</v>
      </c>
    </row>
    <row r="2799" spans="1:7" x14ac:dyDescent="0.25">
      <c r="A2799" s="571" t="s">
        <v>655</v>
      </c>
      <c r="B2799" s="573" t="s">
        <v>606</v>
      </c>
      <c r="C2799" s="588" t="s">
        <v>649</v>
      </c>
      <c r="D2799" s="599" t="s">
        <v>648</v>
      </c>
      <c r="E2799" s="577" t="s">
        <v>647</v>
      </c>
      <c r="F2799" s="577" t="s">
        <v>646</v>
      </c>
      <c r="G2799" s="580" t="s">
        <v>645</v>
      </c>
    </row>
    <row r="2800" spans="1:7" ht="15.75" thickBot="1" x14ac:dyDescent="0.3">
      <c r="A2800" s="572"/>
      <c r="B2800" s="574"/>
      <c r="C2800" s="589"/>
      <c r="D2800" s="600"/>
      <c r="E2800" s="578"/>
      <c r="F2800" s="578"/>
      <c r="G2800" s="581"/>
    </row>
    <row r="2801" spans="1:7" ht="15.75" thickBot="1" x14ac:dyDescent="0.3">
      <c r="A2801" s="425">
        <v>1</v>
      </c>
      <c r="B2801" s="425">
        <v>2</v>
      </c>
      <c r="C2801" s="425">
        <v>3</v>
      </c>
      <c r="D2801" s="425">
        <v>4</v>
      </c>
      <c r="E2801" s="425">
        <v>5</v>
      </c>
      <c r="F2801" s="425">
        <v>6</v>
      </c>
      <c r="G2801" s="425">
        <v>7</v>
      </c>
    </row>
    <row r="2802" spans="1:7" x14ac:dyDescent="0.25">
      <c r="A2802" s="320" t="str">
        <f t="shared" ref="A2802:A2816" si="95">$G$2795&amp;B2802</f>
        <v>II.6.1.011</v>
      </c>
      <c r="B2802" s="320">
        <v>1</v>
      </c>
      <c r="C2802" s="339">
        <f>IFERROR(VLOOKUP(A2802,[3]DOORSCRIEFT!$A$2:$G$6834,2,FALSE),"")</f>
        <v>375</v>
      </c>
      <c r="D2802" s="481">
        <f>IFERROR(VLOOKUP(A2802,[3]DOORSCRIEFT!$A$2:$G$6834,3,FALSE),"")</f>
        <v>55227</v>
      </c>
      <c r="E2802" s="480" t="str">
        <f>IFERROR(VLOOKUP(A2802,[3]DOORSCRIEFT!$A$2:$G$6834,4,FALSE),"")</f>
        <v>setor Kolekta HDS Anak</v>
      </c>
      <c r="F2802" s="405">
        <f>IFERROR(VLOOKUP(A2802,[3]DOORSCRIEFT!$A$2:$G$6834,7,FALSE),"")</f>
        <v>736000</v>
      </c>
      <c r="G2802" s="322"/>
    </row>
    <row r="2803" spans="1:7" x14ac:dyDescent="0.25">
      <c r="A2803" s="321" t="str">
        <f t="shared" si="95"/>
        <v>II.6.1.012</v>
      </c>
      <c r="B2803" s="321">
        <v>2</v>
      </c>
      <c r="C2803" s="339" t="str">
        <f>IFERROR(VLOOKUP(A2803,[3]DOORSCRIEFT!$A$2:$G$6834,2,FALSE),"")</f>
        <v/>
      </c>
      <c r="D2803" s="481" t="str">
        <f>IFERROR(VLOOKUP(A2803,[3]DOORSCRIEFT!$A$2:$G$6834,3,FALSE),"")</f>
        <v/>
      </c>
      <c r="E2803" s="480" t="str">
        <f>IFERROR(VLOOKUP(A2803,[3]DOORSCRIEFT!$A$2:$G$6834,4,FALSE),"")</f>
        <v/>
      </c>
      <c r="F2803" s="405" t="str">
        <f>IFERROR(VLOOKUP(A2803,[3]DOORSCRIEFT!$A$2:$G$6834,7,FALSE),"")</f>
        <v/>
      </c>
      <c r="G2803" s="315"/>
    </row>
    <row r="2804" spans="1:7" x14ac:dyDescent="0.25">
      <c r="A2804" s="321" t="str">
        <f t="shared" si="95"/>
        <v>II.6.1.013</v>
      </c>
      <c r="B2804" s="321">
        <v>3</v>
      </c>
      <c r="C2804" s="339" t="str">
        <f>IFERROR(VLOOKUP(A2804,[3]DOORSCRIEFT!$A$2:$G$6834,2,FALSE),"")</f>
        <v/>
      </c>
      <c r="D2804" s="481" t="str">
        <f>IFERROR(VLOOKUP(A2804,[3]DOORSCRIEFT!$A$2:$G$6834,3,FALSE),"")</f>
        <v/>
      </c>
      <c r="E2804" s="480" t="str">
        <f>IFERROR(VLOOKUP(A2804,[3]DOORSCRIEFT!$A$2:$G$6834,4,FALSE),"")</f>
        <v/>
      </c>
      <c r="F2804" s="405" t="str">
        <f>IFERROR(VLOOKUP(A2804,[3]DOORSCRIEFT!$A$2:$G$6834,7,FALSE),"")</f>
        <v/>
      </c>
      <c r="G2804" s="315"/>
    </row>
    <row r="2805" spans="1:7" x14ac:dyDescent="0.25">
      <c r="A2805" s="321" t="str">
        <f t="shared" si="95"/>
        <v>II.6.1.014</v>
      </c>
      <c r="B2805" s="321">
        <v>4</v>
      </c>
      <c r="C2805" s="339" t="str">
        <f>IFERROR(VLOOKUP(A2805,[3]DOORSCRIEFT!$A$2:$G$6834,2,FALSE),"")</f>
        <v/>
      </c>
      <c r="D2805" s="481" t="str">
        <f>IFERROR(VLOOKUP(A2805,[3]DOORSCRIEFT!$A$2:$G$6834,3,FALSE),"")</f>
        <v/>
      </c>
      <c r="E2805" s="480" t="str">
        <f>IFERROR(VLOOKUP(A2805,[3]DOORSCRIEFT!$A$2:$G$6834,4,FALSE),"")</f>
        <v/>
      </c>
      <c r="F2805" s="405" t="str">
        <f>IFERROR(VLOOKUP(A2805,[3]DOORSCRIEFT!$A$2:$G$6834,7,FALSE),"")</f>
        <v/>
      </c>
      <c r="G2805" s="315"/>
    </row>
    <row r="2806" spans="1:7" x14ac:dyDescent="0.25">
      <c r="A2806" s="321" t="str">
        <f t="shared" si="95"/>
        <v>II.6.1.015</v>
      </c>
      <c r="B2806" s="321">
        <v>5</v>
      </c>
      <c r="C2806" s="339" t="str">
        <f>IFERROR(VLOOKUP(A2806,[3]DOORSCRIEFT!$A$2:$G$6834,2,FALSE),"")</f>
        <v/>
      </c>
      <c r="D2806" s="481" t="str">
        <f>IFERROR(VLOOKUP(A2806,[3]DOORSCRIEFT!$A$2:$G$6834,3,FALSE),"")</f>
        <v/>
      </c>
      <c r="E2806" s="480" t="str">
        <f>IFERROR(VLOOKUP(A2806,[3]DOORSCRIEFT!$A$2:$G$6834,4,FALSE),"")</f>
        <v/>
      </c>
      <c r="F2806" s="405" t="str">
        <f>IFERROR(VLOOKUP(A2806,[3]DOORSCRIEFT!$A$2:$G$6834,7,FALSE),"")</f>
        <v/>
      </c>
      <c r="G2806" s="315"/>
    </row>
    <row r="2807" spans="1:7" x14ac:dyDescent="0.25">
      <c r="A2807" s="321" t="str">
        <f t="shared" si="95"/>
        <v>II.6.1.016</v>
      </c>
      <c r="B2807" s="321">
        <v>6</v>
      </c>
      <c r="C2807" s="339" t="str">
        <f>IFERROR(VLOOKUP(A2807,[3]DOORSCRIEFT!$A$2:$G$6834,2,FALSE),"")</f>
        <v/>
      </c>
      <c r="D2807" s="481" t="str">
        <f>IFERROR(VLOOKUP(A2807,[3]DOORSCRIEFT!$A$2:$G$6834,3,FALSE),"")</f>
        <v/>
      </c>
      <c r="E2807" s="480" t="str">
        <f>IFERROR(VLOOKUP(A2807,[3]DOORSCRIEFT!$A$2:$G$6834,4,FALSE),"")</f>
        <v/>
      </c>
      <c r="F2807" s="405" t="str">
        <f>IFERROR(VLOOKUP(A2807,[3]DOORSCRIEFT!$A$2:$G$6834,7,FALSE),"")</f>
        <v/>
      </c>
      <c r="G2807" s="315"/>
    </row>
    <row r="2808" spans="1:7" x14ac:dyDescent="0.25">
      <c r="A2808" s="321" t="str">
        <f t="shared" si="95"/>
        <v>II.6.1.017</v>
      </c>
      <c r="B2808" s="321">
        <v>7</v>
      </c>
      <c r="C2808" s="339" t="str">
        <f>IFERROR(VLOOKUP(A2808,[3]DOORSCRIEFT!$A$2:$G$6834,2,FALSE),"")</f>
        <v/>
      </c>
      <c r="D2808" s="481" t="str">
        <f>IFERROR(VLOOKUP(A2808,[3]DOORSCRIEFT!$A$2:$G$6834,3,FALSE),"")</f>
        <v/>
      </c>
      <c r="E2808" s="480" t="str">
        <f>IFERROR(VLOOKUP(A2808,[3]DOORSCRIEFT!$A$2:$G$6834,4,FALSE),"")</f>
        <v/>
      </c>
      <c r="F2808" s="405" t="str">
        <f>IFERROR(VLOOKUP(A2808,[3]DOORSCRIEFT!$A$2:$G$6834,7,FALSE),"")</f>
        <v/>
      </c>
      <c r="G2808" s="315"/>
    </row>
    <row r="2809" spans="1:7" x14ac:dyDescent="0.25">
      <c r="A2809" s="321" t="str">
        <f t="shared" si="95"/>
        <v>II.6.1.018</v>
      </c>
      <c r="B2809" s="321">
        <v>8</v>
      </c>
      <c r="C2809" s="339" t="str">
        <f>IFERROR(VLOOKUP(A2809,[3]DOORSCRIEFT!$A$2:$G$6834,2,FALSE),"")</f>
        <v/>
      </c>
      <c r="D2809" s="481" t="str">
        <f>IFERROR(VLOOKUP(A2809,[3]DOORSCRIEFT!$A$2:$G$6834,3,FALSE),"")</f>
        <v/>
      </c>
      <c r="E2809" s="480" t="str">
        <f>IFERROR(VLOOKUP(A2809,[3]DOORSCRIEFT!$A$2:$G$6834,4,FALSE),"")</f>
        <v/>
      </c>
      <c r="F2809" s="405" t="str">
        <f>IFERROR(VLOOKUP(A2809,[3]DOORSCRIEFT!$A$2:$G$6834,7,FALSE),"")</f>
        <v/>
      </c>
      <c r="G2809" s="315"/>
    </row>
    <row r="2810" spans="1:7" x14ac:dyDescent="0.25">
      <c r="A2810" s="321" t="str">
        <f t="shared" si="95"/>
        <v>II.6.1.019</v>
      </c>
      <c r="B2810" s="321">
        <v>9</v>
      </c>
      <c r="C2810" s="339" t="str">
        <f>IFERROR(VLOOKUP(A2810,[3]DOORSCRIEFT!$A$2:$G$6834,2,FALSE),"")</f>
        <v/>
      </c>
      <c r="D2810" s="481" t="str">
        <f>IFERROR(VLOOKUP(A2810,[3]DOORSCRIEFT!$A$2:$G$6834,3,FALSE),"")</f>
        <v/>
      </c>
      <c r="E2810" s="480" t="str">
        <f>IFERROR(VLOOKUP(A2810,[3]DOORSCRIEFT!$A$2:$G$6834,4,FALSE),"")</f>
        <v/>
      </c>
      <c r="F2810" s="405" t="str">
        <f>IFERROR(VLOOKUP(A2810,[3]DOORSCRIEFT!$A$2:$G$6834,7,FALSE),"")</f>
        <v/>
      </c>
      <c r="G2810" s="315"/>
    </row>
    <row r="2811" spans="1:7" x14ac:dyDescent="0.25">
      <c r="A2811" s="321" t="str">
        <f t="shared" si="95"/>
        <v>II.6.1.0110</v>
      </c>
      <c r="B2811" s="321">
        <v>10</v>
      </c>
      <c r="C2811" s="339" t="str">
        <f>IFERROR(VLOOKUP(A2811,[3]DOORSCRIEFT!$A$2:$G$6834,2,FALSE),"")</f>
        <v/>
      </c>
      <c r="D2811" s="481" t="str">
        <f>IFERROR(VLOOKUP(A2811,[3]DOORSCRIEFT!$A$2:$G$6834,3,FALSE),"")</f>
        <v/>
      </c>
      <c r="E2811" s="480" t="str">
        <f>IFERROR(VLOOKUP(A2811,[3]DOORSCRIEFT!$A$2:$G$6834,4,FALSE),"")</f>
        <v/>
      </c>
      <c r="F2811" s="405" t="str">
        <f>IFERROR(VLOOKUP(A2811,[3]DOORSCRIEFT!$A$2:$G$6834,7,FALSE),"")</f>
        <v/>
      </c>
      <c r="G2811" s="315"/>
    </row>
    <row r="2812" spans="1:7" x14ac:dyDescent="0.25">
      <c r="A2812" s="321" t="str">
        <f t="shared" si="95"/>
        <v>II.6.1.0111</v>
      </c>
      <c r="B2812" s="321">
        <v>11</v>
      </c>
      <c r="C2812" s="339" t="str">
        <f>IFERROR(VLOOKUP(A2812,[3]DOORSCRIEFT!$A$2:$G$6834,2,FALSE),"")</f>
        <v/>
      </c>
      <c r="D2812" s="481" t="str">
        <f>IFERROR(VLOOKUP(A2812,[3]DOORSCRIEFT!$A$2:$G$6834,3,FALSE),"")</f>
        <v/>
      </c>
      <c r="E2812" s="480" t="str">
        <f>IFERROR(VLOOKUP(A2812,[3]DOORSCRIEFT!$A$2:$G$6834,4,FALSE),"")</f>
        <v/>
      </c>
      <c r="F2812" s="405" t="str">
        <f>IFERROR(VLOOKUP(A2812,[3]DOORSCRIEFT!$A$2:$G$6834,7,FALSE),"")</f>
        <v/>
      </c>
      <c r="G2812" s="315"/>
    </row>
    <row r="2813" spans="1:7" x14ac:dyDescent="0.25">
      <c r="A2813" s="321" t="str">
        <f t="shared" si="95"/>
        <v>II.6.1.0112</v>
      </c>
      <c r="B2813" s="321">
        <v>12</v>
      </c>
      <c r="C2813" s="339" t="str">
        <f>IFERROR(VLOOKUP(A2813,[3]DOORSCRIEFT!$A$2:$G$6834,2,FALSE),"")</f>
        <v/>
      </c>
      <c r="D2813" s="481" t="str">
        <f>IFERROR(VLOOKUP(A2813,[3]DOORSCRIEFT!$A$2:$G$6834,3,FALSE),"")</f>
        <v/>
      </c>
      <c r="E2813" s="480" t="str">
        <f>IFERROR(VLOOKUP(A2813,[3]DOORSCRIEFT!$A$2:$G$6834,4,FALSE),"")</f>
        <v/>
      </c>
      <c r="F2813" s="405" t="str">
        <f>IFERROR(VLOOKUP(A2813,[3]DOORSCRIEFT!$A$2:$G$6834,7,FALSE),"")</f>
        <v/>
      </c>
      <c r="G2813" s="315"/>
    </row>
    <row r="2814" spans="1:7" x14ac:dyDescent="0.25">
      <c r="A2814" s="321" t="str">
        <f t="shared" si="95"/>
        <v>II.6.1.0113</v>
      </c>
      <c r="B2814" s="321">
        <v>13</v>
      </c>
      <c r="C2814" s="339" t="str">
        <f>IFERROR(VLOOKUP(A2814,[3]DOORSCRIEFT!$A$2:$G$6834,2,FALSE),"")</f>
        <v/>
      </c>
      <c r="D2814" s="481" t="str">
        <f>IFERROR(VLOOKUP(A2814,[3]DOORSCRIEFT!$A$2:$G$6834,3,FALSE),"")</f>
        <v/>
      </c>
      <c r="E2814" s="480" t="str">
        <f>IFERROR(VLOOKUP(A2814,[3]DOORSCRIEFT!$A$2:$G$6834,4,FALSE),"")</f>
        <v/>
      </c>
      <c r="F2814" s="405" t="str">
        <f>IFERROR(VLOOKUP(A2814,[3]DOORSCRIEFT!$A$2:$G$6834,7,FALSE),"")</f>
        <v/>
      </c>
      <c r="G2814" s="315"/>
    </row>
    <row r="2815" spans="1:7" x14ac:dyDescent="0.25">
      <c r="A2815" s="321" t="str">
        <f t="shared" si="95"/>
        <v>II.6.1.0114</v>
      </c>
      <c r="B2815" s="321">
        <v>14</v>
      </c>
      <c r="C2815" s="339" t="str">
        <f>IFERROR(VLOOKUP(A2815,[3]DOORSCRIEFT!$A$2:$G$6834,2,FALSE),"")</f>
        <v/>
      </c>
      <c r="D2815" s="481" t="str">
        <f>IFERROR(VLOOKUP(A2815,[3]DOORSCRIEFT!$A$2:$G$6834,3,FALSE),"")</f>
        <v/>
      </c>
      <c r="E2815" s="480" t="str">
        <f>IFERROR(VLOOKUP(A2815,[3]DOORSCRIEFT!$A$2:$G$6834,4,FALSE),"")</f>
        <v/>
      </c>
      <c r="F2815" s="405" t="str">
        <f>IFERROR(VLOOKUP(A2815,[3]DOORSCRIEFT!$A$2:$G$6834,7,FALSE),"")</f>
        <v/>
      </c>
      <c r="G2815" s="315"/>
    </row>
    <row r="2816" spans="1:7" ht="15.75" thickBot="1" x14ac:dyDescent="0.3">
      <c r="A2816" s="321" t="str">
        <f t="shared" si="95"/>
        <v>II.6.1.0115</v>
      </c>
      <c r="B2816" s="321">
        <v>15</v>
      </c>
      <c r="C2816" s="339" t="str">
        <f>IFERROR(VLOOKUP(A2816,[3]DOORSCRIEFT!$A$2:$G$6834,2,FALSE),"")</f>
        <v/>
      </c>
      <c r="D2816" s="481" t="str">
        <f>IFERROR(VLOOKUP(A2816,[3]DOORSCRIEFT!$A$2:$G$6834,3,FALSE),"")</f>
        <v/>
      </c>
      <c r="E2816" s="480" t="str">
        <f>IFERROR(VLOOKUP(A2816,[3]DOORSCRIEFT!$A$2:$G$6834,4,FALSE),"")</f>
        <v/>
      </c>
      <c r="F2816" s="405" t="str">
        <f>IFERROR(VLOOKUP(A2816,[3]DOORSCRIEFT!$A$2:$G$6834,7,FALSE),"")</f>
        <v/>
      </c>
      <c r="G2816" s="315"/>
    </row>
    <row r="2817" spans="1:7" ht="15.75" thickBot="1" x14ac:dyDescent="0.3">
      <c r="A2817" s="488"/>
      <c r="B2817" s="488"/>
      <c r="C2817" s="336"/>
      <c r="D2817" s="486"/>
      <c r="E2817" s="340" t="s">
        <v>644</v>
      </c>
      <c r="F2817" s="338">
        <f>SUM(F2802:F2816)</f>
        <v>736000</v>
      </c>
      <c r="G2817" s="309">
        <f>SUM(G2802:G2816)</f>
        <v>0</v>
      </c>
    </row>
    <row r="2818" spans="1:7" x14ac:dyDescent="0.25">
      <c r="C2818" s="335"/>
      <c r="D2818" s="485"/>
    </row>
    <row r="2819" spans="1:7" x14ac:dyDescent="0.25">
      <c r="C2819" s="335"/>
      <c r="D2819" s="485"/>
    </row>
    <row r="2820" spans="1:7" ht="15.75" x14ac:dyDescent="0.25">
      <c r="C2820" s="334" t="s">
        <v>663</v>
      </c>
      <c r="D2820" s="484"/>
      <c r="E2820" s="333"/>
      <c r="F2820" s="327" t="s">
        <v>607</v>
      </c>
      <c r="G2820" s="327" t="s">
        <v>21</v>
      </c>
    </row>
    <row r="2821" spans="1:7" ht="15.75" x14ac:dyDescent="0.25">
      <c r="C2821" s="334"/>
      <c r="D2821" s="484"/>
      <c r="E2821" s="333"/>
      <c r="F2821" s="327" t="s">
        <v>601</v>
      </c>
      <c r="G2821" s="483" t="s">
        <v>20</v>
      </c>
    </row>
    <row r="2822" spans="1:7" x14ac:dyDescent="0.25">
      <c r="C2822" s="330"/>
      <c r="D2822" s="482"/>
      <c r="E2822" s="329"/>
      <c r="F2822" s="327" t="s">
        <v>651</v>
      </c>
      <c r="G2822" s="331">
        <f>[2]Sheet1!$D$615</f>
        <v>0</v>
      </c>
    </row>
    <row r="2823" spans="1:7" ht="15.75" thickBot="1" x14ac:dyDescent="0.3">
      <c r="C2823" s="330"/>
      <c r="D2823" s="482"/>
      <c r="E2823" s="329"/>
      <c r="F2823" s="327" t="s">
        <v>650</v>
      </c>
      <c r="G2823" s="326">
        <f>+F2842-G2822</f>
        <v>1210000</v>
      </c>
    </row>
    <row r="2824" spans="1:7" x14ac:dyDescent="0.25">
      <c r="A2824" s="571" t="s">
        <v>655</v>
      </c>
      <c r="B2824" s="573" t="s">
        <v>606</v>
      </c>
      <c r="C2824" s="588" t="s">
        <v>649</v>
      </c>
      <c r="D2824" s="599" t="s">
        <v>648</v>
      </c>
      <c r="E2824" s="577" t="s">
        <v>647</v>
      </c>
      <c r="F2824" s="577" t="s">
        <v>646</v>
      </c>
      <c r="G2824" s="580" t="s">
        <v>645</v>
      </c>
    </row>
    <row r="2825" spans="1:7" ht="15.75" thickBot="1" x14ac:dyDescent="0.3">
      <c r="A2825" s="572"/>
      <c r="B2825" s="574"/>
      <c r="C2825" s="589"/>
      <c r="D2825" s="600"/>
      <c r="E2825" s="578"/>
      <c r="F2825" s="578"/>
      <c r="G2825" s="581"/>
    </row>
    <row r="2826" spans="1:7" ht="15.75" thickBot="1" x14ac:dyDescent="0.3">
      <c r="A2826" s="425">
        <v>1</v>
      </c>
      <c r="B2826" s="425">
        <v>2</v>
      </c>
      <c r="C2826" s="425">
        <v>3</v>
      </c>
      <c r="D2826" s="425">
        <v>4</v>
      </c>
      <c r="E2826" s="425">
        <v>5</v>
      </c>
      <c r="F2826" s="425">
        <v>6</v>
      </c>
      <c r="G2826" s="425">
        <v>7</v>
      </c>
    </row>
    <row r="2827" spans="1:7" x14ac:dyDescent="0.25">
      <c r="A2827" s="320" t="str">
        <f t="shared" ref="A2827:A2841" si="96">$G$2820&amp;B2827</f>
        <v>II.6.1.021</v>
      </c>
      <c r="B2827" s="320">
        <v>1</v>
      </c>
      <c r="C2827" s="339">
        <f>IFERROR(VLOOKUP(A2827,[3]DOORSCRIEFT!$A$2:$G$6834,2,FALSE),"")</f>
        <v>376</v>
      </c>
      <c r="D2827" s="481">
        <f>IFERROR(VLOOKUP(A2827,[3]DOORSCRIEFT!$A$2:$G$6834,3,FALSE),"")</f>
        <v>55593</v>
      </c>
      <c r="E2827" s="480" t="str">
        <f>IFERROR(VLOOKUP(A2827,[3]DOORSCRIEFT!$A$2:$G$6834,4,FALSE),"")</f>
        <v xml:space="preserve">setor Kolekta HDS Perempuan </v>
      </c>
      <c r="F2827" s="405">
        <f>IFERROR(VLOOKUP(A2827,[3]DOORSCRIEFT!$A$2:$G$6834,7,FALSE),"")</f>
        <v>1210000</v>
      </c>
      <c r="G2827" s="322"/>
    </row>
    <row r="2828" spans="1:7" x14ac:dyDescent="0.25">
      <c r="A2828" s="321" t="str">
        <f t="shared" si="96"/>
        <v>II.6.1.022</v>
      </c>
      <c r="B2828" s="321">
        <v>2</v>
      </c>
      <c r="C2828" s="339" t="str">
        <f>IFERROR(VLOOKUP(A2828,[3]DOORSCRIEFT!$A$2:$G$6834,2,FALSE),"")</f>
        <v/>
      </c>
      <c r="D2828" s="481" t="str">
        <f>IFERROR(VLOOKUP(A2828,[3]DOORSCRIEFT!$A$2:$G$6834,3,FALSE),"")</f>
        <v/>
      </c>
      <c r="E2828" s="480" t="str">
        <f>IFERROR(VLOOKUP(A2828,[3]DOORSCRIEFT!$A$2:$G$6834,4,FALSE),"")</f>
        <v/>
      </c>
      <c r="F2828" s="405" t="str">
        <f>IFERROR(VLOOKUP(A2828,[3]DOORSCRIEFT!$A$2:$G$6834,7,FALSE),"")</f>
        <v/>
      </c>
      <c r="G2828" s="315"/>
    </row>
    <row r="2829" spans="1:7" x14ac:dyDescent="0.25">
      <c r="A2829" s="321" t="str">
        <f t="shared" si="96"/>
        <v>II.6.1.023</v>
      </c>
      <c r="B2829" s="321">
        <v>3</v>
      </c>
      <c r="C2829" s="339" t="str">
        <f>IFERROR(VLOOKUP(A2829,[3]DOORSCRIEFT!$A$2:$G$6834,2,FALSE),"")</f>
        <v/>
      </c>
      <c r="D2829" s="481" t="str">
        <f>IFERROR(VLOOKUP(A2829,[3]DOORSCRIEFT!$A$2:$G$6834,3,FALSE),"")</f>
        <v/>
      </c>
      <c r="E2829" s="480" t="str">
        <f>IFERROR(VLOOKUP(A2829,[3]DOORSCRIEFT!$A$2:$G$6834,4,FALSE),"")</f>
        <v/>
      </c>
      <c r="F2829" s="405" t="str">
        <f>IFERROR(VLOOKUP(A2829,[3]DOORSCRIEFT!$A$2:$G$6834,7,FALSE),"")</f>
        <v/>
      </c>
      <c r="G2829" s="315"/>
    </row>
    <row r="2830" spans="1:7" x14ac:dyDescent="0.25">
      <c r="A2830" s="321" t="str">
        <f t="shared" si="96"/>
        <v>II.6.1.024</v>
      </c>
      <c r="B2830" s="321">
        <v>4</v>
      </c>
      <c r="C2830" s="339" t="str">
        <f>IFERROR(VLOOKUP(A2830,[3]DOORSCRIEFT!$A$2:$G$6834,2,FALSE),"")</f>
        <v/>
      </c>
      <c r="D2830" s="481" t="str">
        <f>IFERROR(VLOOKUP(A2830,[3]DOORSCRIEFT!$A$2:$G$6834,3,FALSE),"")</f>
        <v/>
      </c>
      <c r="E2830" s="480" t="str">
        <f>IFERROR(VLOOKUP(A2830,[3]DOORSCRIEFT!$A$2:$G$6834,4,FALSE),"")</f>
        <v/>
      </c>
      <c r="F2830" s="405" t="str">
        <f>IFERROR(VLOOKUP(A2830,[3]DOORSCRIEFT!$A$2:$G$6834,7,FALSE),"")</f>
        <v/>
      </c>
      <c r="G2830" s="315"/>
    </row>
    <row r="2831" spans="1:7" x14ac:dyDescent="0.25">
      <c r="A2831" s="321" t="str">
        <f t="shared" si="96"/>
        <v>II.6.1.025</v>
      </c>
      <c r="B2831" s="321">
        <v>5</v>
      </c>
      <c r="C2831" s="339" t="str">
        <f>IFERROR(VLOOKUP(A2831,[3]DOORSCRIEFT!$A$2:$G$6834,2,FALSE),"")</f>
        <v/>
      </c>
      <c r="D2831" s="481" t="str">
        <f>IFERROR(VLOOKUP(A2831,[3]DOORSCRIEFT!$A$2:$G$6834,3,FALSE),"")</f>
        <v/>
      </c>
      <c r="E2831" s="480" t="str">
        <f>IFERROR(VLOOKUP(A2831,[3]DOORSCRIEFT!$A$2:$G$6834,4,FALSE),"")</f>
        <v/>
      </c>
      <c r="F2831" s="405" t="str">
        <f>IFERROR(VLOOKUP(A2831,[3]DOORSCRIEFT!$A$2:$G$6834,7,FALSE),"")</f>
        <v/>
      </c>
      <c r="G2831" s="315"/>
    </row>
    <row r="2832" spans="1:7" x14ac:dyDescent="0.25">
      <c r="A2832" s="321" t="str">
        <f t="shared" si="96"/>
        <v>II.6.1.026</v>
      </c>
      <c r="B2832" s="321">
        <v>6</v>
      </c>
      <c r="C2832" s="339" t="str">
        <f>IFERROR(VLOOKUP(A2832,[3]DOORSCRIEFT!$A$2:$G$6834,2,FALSE),"")</f>
        <v/>
      </c>
      <c r="D2832" s="481" t="str">
        <f>IFERROR(VLOOKUP(A2832,[3]DOORSCRIEFT!$A$2:$G$6834,3,FALSE),"")</f>
        <v/>
      </c>
      <c r="E2832" s="480" t="str">
        <f>IFERROR(VLOOKUP(A2832,[3]DOORSCRIEFT!$A$2:$G$6834,4,FALSE),"")</f>
        <v/>
      </c>
      <c r="F2832" s="405" t="str">
        <f>IFERROR(VLOOKUP(A2832,[3]DOORSCRIEFT!$A$2:$G$6834,7,FALSE),"")</f>
        <v/>
      </c>
      <c r="G2832" s="315"/>
    </row>
    <row r="2833" spans="1:7" x14ac:dyDescent="0.25">
      <c r="A2833" s="321" t="str">
        <f t="shared" si="96"/>
        <v>II.6.1.027</v>
      </c>
      <c r="B2833" s="321">
        <v>7</v>
      </c>
      <c r="C2833" s="339" t="str">
        <f>IFERROR(VLOOKUP(A2833,[3]DOORSCRIEFT!$A$2:$G$6834,2,FALSE),"")</f>
        <v/>
      </c>
      <c r="D2833" s="481" t="str">
        <f>IFERROR(VLOOKUP(A2833,[3]DOORSCRIEFT!$A$2:$G$6834,3,FALSE),"")</f>
        <v/>
      </c>
      <c r="E2833" s="480" t="str">
        <f>IFERROR(VLOOKUP(A2833,[3]DOORSCRIEFT!$A$2:$G$6834,4,FALSE),"")</f>
        <v/>
      </c>
      <c r="F2833" s="405" t="str">
        <f>IFERROR(VLOOKUP(A2833,[3]DOORSCRIEFT!$A$2:$G$6834,7,FALSE),"")</f>
        <v/>
      </c>
      <c r="G2833" s="315"/>
    </row>
    <row r="2834" spans="1:7" x14ac:dyDescent="0.25">
      <c r="A2834" s="321" t="str">
        <f t="shared" si="96"/>
        <v>II.6.1.028</v>
      </c>
      <c r="B2834" s="321">
        <v>8</v>
      </c>
      <c r="C2834" s="339" t="str">
        <f>IFERROR(VLOOKUP(A2834,[3]DOORSCRIEFT!$A$2:$G$6834,2,FALSE),"")</f>
        <v/>
      </c>
      <c r="D2834" s="481" t="str">
        <f>IFERROR(VLOOKUP(A2834,[3]DOORSCRIEFT!$A$2:$G$6834,3,FALSE),"")</f>
        <v/>
      </c>
      <c r="E2834" s="480" t="str">
        <f>IFERROR(VLOOKUP(A2834,[3]DOORSCRIEFT!$A$2:$G$6834,4,FALSE),"")</f>
        <v/>
      </c>
      <c r="F2834" s="405" t="str">
        <f>IFERROR(VLOOKUP(A2834,[3]DOORSCRIEFT!$A$2:$G$6834,7,FALSE),"")</f>
        <v/>
      </c>
      <c r="G2834" s="315"/>
    </row>
    <row r="2835" spans="1:7" x14ac:dyDescent="0.25">
      <c r="A2835" s="321" t="str">
        <f t="shared" si="96"/>
        <v>II.6.1.029</v>
      </c>
      <c r="B2835" s="321">
        <v>9</v>
      </c>
      <c r="C2835" s="339" t="str">
        <f>IFERROR(VLOOKUP(A2835,[3]DOORSCRIEFT!$A$2:$G$6834,2,FALSE),"")</f>
        <v/>
      </c>
      <c r="D2835" s="481" t="str">
        <f>IFERROR(VLOOKUP(A2835,[3]DOORSCRIEFT!$A$2:$G$6834,3,FALSE),"")</f>
        <v/>
      </c>
      <c r="E2835" s="480" t="str">
        <f>IFERROR(VLOOKUP(A2835,[3]DOORSCRIEFT!$A$2:$G$6834,4,FALSE),"")</f>
        <v/>
      </c>
      <c r="F2835" s="405" t="str">
        <f>IFERROR(VLOOKUP(A2835,[3]DOORSCRIEFT!$A$2:$G$6834,7,FALSE),"")</f>
        <v/>
      </c>
      <c r="G2835" s="315"/>
    </row>
    <row r="2836" spans="1:7" x14ac:dyDescent="0.25">
      <c r="A2836" s="321" t="str">
        <f t="shared" si="96"/>
        <v>II.6.1.0210</v>
      </c>
      <c r="B2836" s="321">
        <v>10</v>
      </c>
      <c r="C2836" s="339" t="str">
        <f>IFERROR(VLOOKUP(A2836,[3]DOORSCRIEFT!$A$2:$G$6834,2,FALSE),"")</f>
        <v/>
      </c>
      <c r="D2836" s="481" t="str">
        <f>IFERROR(VLOOKUP(A2836,[3]DOORSCRIEFT!$A$2:$G$6834,3,FALSE),"")</f>
        <v/>
      </c>
      <c r="E2836" s="480" t="str">
        <f>IFERROR(VLOOKUP(A2836,[3]DOORSCRIEFT!$A$2:$G$6834,4,FALSE),"")</f>
        <v/>
      </c>
      <c r="F2836" s="405" t="str">
        <f>IFERROR(VLOOKUP(A2836,[3]DOORSCRIEFT!$A$2:$G$6834,7,FALSE),"")</f>
        <v/>
      </c>
      <c r="G2836" s="315"/>
    </row>
    <row r="2837" spans="1:7" x14ac:dyDescent="0.25">
      <c r="A2837" s="321" t="str">
        <f t="shared" si="96"/>
        <v>II.6.1.0211</v>
      </c>
      <c r="B2837" s="321">
        <v>11</v>
      </c>
      <c r="C2837" s="339" t="str">
        <f>IFERROR(VLOOKUP(A2837,[3]DOORSCRIEFT!$A$2:$G$6834,2,FALSE),"")</f>
        <v/>
      </c>
      <c r="D2837" s="481" t="str">
        <f>IFERROR(VLOOKUP(A2837,[3]DOORSCRIEFT!$A$2:$G$6834,3,FALSE),"")</f>
        <v/>
      </c>
      <c r="E2837" s="480" t="str">
        <f>IFERROR(VLOOKUP(A2837,[3]DOORSCRIEFT!$A$2:$G$6834,4,FALSE),"")</f>
        <v/>
      </c>
      <c r="F2837" s="405" t="str">
        <f>IFERROR(VLOOKUP(A2837,[3]DOORSCRIEFT!$A$2:$G$6834,7,FALSE),"")</f>
        <v/>
      </c>
      <c r="G2837" s="315"/>
    </row>
    <row r="2838" spans="1:7" x14ac:dyDescent="0.25">
      <c r="A2838" s="321" t="str">
        <f t="shared" si="96"/>
        <v>II.6.1.0212</v>
      </c>
      <c r="B2838" s="321">
        <v>12</v>
      </c>
      <c r="C2838" s="339" t="str">
        <f>IFERROR(VLOOKUP(A2838,[3]DOORSCRIEFT!$A$2:$G$6834,2,FALSE),"")</f>
        <v/>
      </c>
      <c r="D2838" s="481" t="str">
        <f>IFERROR(VLOOKUP(A2838,[3]DOORSCRIEFT!$A$2:$G$6834,3,FALSE),"")</f>
        <v/>
      </c>
      <c r="E2838" s="480" t="str">
        <f>IFERROR(VLOOKUP(A2838,[3]DOORSCRIEFT!$A$2:$G$6834,4,FALSE),"")</f>
        <v/>
      </c>
      <c r="F2838" s="405" t="str">
        <f>IFERROR(VLOOKUP(A2838,[3]DOORSCRIEFT!$A$2:$G$6834,7,FALSE),"")</f>
        <v/>
      </c>
      <c r="G2838" s="315"/>
    </row>
    <row r="2839" spans="1:7" x14ac:dyDescent="0.25">
      <c r="A2839" s="321" t="str">
        <f t="shared" si="96"/>
        <v>II.6.1.0213</v>
      </c>
      <c r="B2839" s="321">
        <v>13</v>
      </c>
      <c r="C2839" s="339" t="str">
        <f>IFERROR(VLOOKUP(A2839,[3]DOORSCRIEFT!$A$2:$G$6834,2,FALSE),"")</f>
        <v/>
      </c>
      <c r="D2839" s="481" t="str">
        <f>IFERROR(VLOOKUP(A2839,[3]DOORSCRIEFT!$A$2:$G$6834,3,FALSE),"")</f>
        <v/>
      </c>
      <c r="E2839" s="480" t="str">
        <f>IFERROR(VLOOKUP(A2839,[3]DOORSCRIEFT!$A$2:$G$6834,4,FALSE),"")</f>
        <v/>
      </c>
      <c r="F2839" s="405" t="str">
        <f>IFERROR(VLOOKUP(A2839,[3]DOORSCRIEFT!$A$2:$G$6834,7,FALSE),"")</f>
        <v/>
      </c>
      <c r="G2839" s="315"/>
    </row>
    <row r="2840" spans="1:7" x14ac:dyDescent="0.25">
      <c r="A2840" s="321" t="str">
        <f t="shared" si="96"/>
        <v>II.6.1.0214</v>
      </c>
      <c r="B2840" s="321">
        <v>14</v>
      </c>
      <c r="C2840" s="339" t="str">
        <f>IFERROR(VLOOKUP(A2840,[3]DOORSCRIEFT!$A$2:$G$6834,2,FALSE),"")</f>
        <v/>
      </c>
      <c r="D2840" s="481" t="str">
        <f>IFERROR(VLOOKUP(A2840,[3]DOORSCRIEFT!$A$2:$G$6834,3,FALSE),"")</f>
        <v/>
      </c>
      <c r="E2840" s="480" t="str">
        <f>IFERROR(VLOOKUP(A2840,[3]DOORSCRIEFT!$A$2:$G$6834,4,FALSE),"")</f>
        <v/>
      </c>
      <c r="F2840" s="405" t="str">
        <f>IFERROR(VLOOKUP(A2840,[3]DOORSCRIEFT!$A$2:$G$6834,7,FALSE),"")</f>
        <v/>
      </c>
      <c r="G2840" s="315"/>
    </row>
    <row r="2841" spans="1:7" ht="15.75" thickBot="1" x14ac:dyDescent="0.3">
      <c r="A2841" s="342" t="str">
        <f t="shared" si="96"/>
        <v>II.6.1.0215</v>
      </c>
      <c r="B2841" s="342">
        <v>15</v>
      </c>
      <c r="C2841" s="339" t="str">
        <f>IFERROR(VLOOKUP(A2841,[3]DOORSCRIEFT!$A$2:$G$6834,2,FALSE),"")</f>
        <v/>
      </c>
      <c r="D2841" s="481" t="str">
        <f>IFERROR(VLOOKUP(A2841,[3]DOORSCRIEFT!$A$2:$G$6834,3,FALSE),"")</f>
        <v/>
      </c>
      <c r="E2841" s="480" t="str">
        <f>IFERROR(VLOOKUP(A2841,[3]DOORSCRIEFT!$A$2:$G$6834,4,FALSE),"")</f>
        <v/>
      </c>
      <c r="F2841" s="405" t="str">
        <f>IFERROR(VLOOKUP(A2841,[3]DOORSCRIEFT!$A$2:$G$6834,7,FALSE),"")</f>
        <v/>
      </c>
      <c r="G2841" s="315"/>
    </row>
    <row r="2842" spans="1:7" ht="15.75" thickBot="1" x14ac:dyDescent="0.3">
      <c r="A2842" s="341"/>
      <c r="B2842" s="340"/>
      <c r="C2842" s="336"/>
      <c r="D2842" s="486"/>
      <c r="E2842" s="340" t="s">
        <v>644</v>
      </c>
      <c r="F2842" s="310">
        <f>SUM(F2827:F2841)</f>
        <v>1210000</v>
      </c>
      <c r="G2842" s="309">
        <f>SUM(G2827:G2841)</f>
        <v>0</v>
      </c>
    </row>
    <row r="2843" spans="1:7" x14ac:dyDescent="0.25">
      <c r="C2843" s="335"/>
      <c r="D2843" s="485"/>
    </row>
    <row r="2844" spans="1:7" x14ac:dyDescent="0.25">
      <c r="C2844" s="335"/>
      <c r="D2844" s="485"/>
    </row>
    <row r="2845" spans="1:7" ht="15.75" x14ac:dyDescent="0.25">
      <c r="C2845" s="334" t="s">
        <v>663</v>
      </c>
      <c r="D2845" s="484"/>
      <c r="E2845" s="333"/>
      <c r="F2845" s="327" t="s">
        <v>607</v>
      </c>
      <c r="G2845" s="327" t="s">
        <v>19</v>
      </c>
    </row>
    <row r="2846" spans="1:7" ht="15.75" x14ac:dyDescent="0.25">
      <c r="C2846" s="334"/>
      <c r="D2846" s="484"/>
      <c r="E2846" s="333"/>
      <c r="F2846" s="327" t="s">
        <v>601</v>
      </c>
      <c r="G2846" s="483" t="s">
        <v>18</v>
      </c>
    </row>
    <row r="2847" spans="1:7" x14ac:dyDescent="0.25">
      <c r="C2847" s="330"/>
      <c r="D2847" s="482"/>
      <c r="E2847" s="329"/>
      <c r="F2847" s="327" t="s">
        <v>651</v>
      </c>
      <c r="G2847" s="331">
        <f>[2]Sheet1!$D$616</f>
        <v>0</v>
      </c>
    </row>
    <row r="2848" spans="1:7" ht="15.75" thickBot="1" x14ac:dyDescent="0.3">
      <c r="C2848" s="330"/>
      <c r="D2848" s="482"/>
      <c r="E2848" s="329"/>
      <c r="F2848" s="327" t="s">
        <v>650</v>
      </c>
      <c r="G2848" s="326">
        <f>+F2867-G2847</f>
        <v>0</v>
      </c>
    </row>
    <row r="2849" spans="1:7" x14ac:dyDescent="0.25">
      <c r="A2849" s="571" t="s">
        <v>655</v>
      </c>
      <c r="B2849" s="573" t="s">
        <v>606</v>
      </c>
      <c r="C2849" s="588" t="s">
        <v>649</v>
      </c>
      <c r="D2849" s="599" t="s">
        <v>648</v>
      </c>
      <c r="E2849" s="577" t="s">
        <v>647</v>
      </c>
      <c r="F2849" s="577" t="s">
        <v>646</v>
      </c>
      <c r="G2849" s="580" t="s">
        <v>645</v>
      </c>
    </row>
    <row r="2850" spans="1:7" ht="15.75" thickBot="1" x14ac:dyDescent="0.3">
      <c r="A2850" s="572"/>
      <c r="B2850" s="574"/>
      <c r="C2850" s="589"/>
      <c r="D2850" s="600"/>
      <c r="E2850" s="578"/>
      <c r="F2850" s="578"/>
      <c r="G2850" s="581"/>
    </row>
    <row r="2851" spans="1:7" ht="15.75" thickBot="1" x14ac:dyDescent="0.3">
      <c r="A2851" s="425">
        <v>1</v>
      </c>
      <c r="B2851" s="425">
        <v>2</v>
      </c>
      <c r="C2851" s="425">
        <v>3</v>
      </c>
      <c r="D2851" s="425">
        <v>4</v>
      </c>
      <c r="E2851" s="425">
        <v>5</v>
      </c>
      <c r="F2851" s="425">
        <v>6</v>
      </c>
      <c r="G2851" s="425">
        <v>7</v>
      </c>
    </row>
    <row r="2852" spans="1:7" x14ac:dyDescent="0.25">
      <c r="A2852" s="320" t="str">
        <f t="shared" ref="A2852:A2866" si="97">$G$2845&amp;B2852</f>
        <v>II.6.1.031</v>
      </c>
      <c r="B2852" s="320">
        <v>1</v>
      </c>
      <c r="C2852" s="339" t="str">
        <f>IFERROR(VLOOKUP(A2852,[3]DOORSCRIEFT!$A$2:$G$6834,2,FALSE),"")</f>
        <v/>
      </c>
      <c r="D2852" s="481" t="str">
        <f>IFERROR(VLOOKUP(A2852,[3]DOORSCRIEFT!$A$2:$G$6834,3,FALSE),"")</f>
        <v/>
      </c>
      <c r="E2852" s="480" t="str">
        <f>IFERROR(VLOOKUP(A2852,[3]DOORSCRIEFT!$A$2:$G$6834,4,FALSE),"")</f>
        <v/>
      </c>
      <c r="F2852" s="405" t="str">
        <f>IFERROR(VLOOKUP(A2852,[3]DOORSCRIEFT!$A$2:$G$6834,7,FALSE),"")</f>
        <v/>
      </c>
      <c r="G2852" s="322"/>
    </row>
    <row r="2853" spans="1:7" x14ac:dyDescent="0.25">
      <c r="A2853" s="321" t="str">
        <f t="shared" si="97"/>
        <v>II.6.1.032</v>
      </c>
      <c r="B2853" s="321">
        <v>2</v>
      </c>
      <c r="C2853" s="339" t="str">
        <f>IFERROR(VLOOKUP(A2853,[3]DOORSCRIEFT!$A$2:$G$6834,2,FALSE),"")</f>
        <v/>
      </c>
      <c r="D2853" s="481" t="str">
        <f>IFERROR(VLOOKUP(A2853,[3]DOORSCRIEFT!$A$2:$G$6834,3,FALSE),"")</f>
        <v/>
      </c>
      <c r="E2853" s="480" t="str">
        <f>IFERROR(VLOOKUP(A2853,[3]DOORSCRIEFT!$A$2:$G$6834,4,FALSE),"")</f>
        <v/>
      </c>
      <c r="F2853" s="405" t="str">
        <f>IFERROR(VLOOKUP(A2853,[3]DOORSCRIEFT!$A$2:$G$6834,7,FALSE),"")</f>
        <v/>
      </c>
      <c r="G2853" s="315"/>
    </row>
    <row r="2854" spans="1:7" x14ac:dyDescent="0.25">
      <c r="A2854" s="321" t="str">
        <f t="shared" si="97"/>
        <v>II.6.1.033</v>
      </c>
      <c r="B2854" s="321">
        <v>3</v>
      </c>
      <c r="C2854" s="339" t="str">
        <f>IFERROR(VLOOKUP(A2854,[3]DOORSCRIEFT!$A$2:$G$6834,2,FALSE),"")</f>
        <v/>
      </c>
      <c r="D2854" s="481" t="str">
        <f>IFERROR(VLOOKUP(A2854,[3]DOORSCRIEFT!$A$2:$G$6834,3,FALSE),"")</f>
        <v/>
      </c>
      <c r="E2854" s="480" t="str">
        <f>IFERROR(VLOOKUP(A2854,[3]DOORSCRIEFT!$A$2:$G$6834,4,FALSE),"")</f>
        <v/>
      </c>
      <c r="F2854" s="405" t="str">
        <f>IFERROR(VLOOKUP(A2854,[3]DOORSCRIEFT!$A$2:$G$6834,7,FALSE),"")</f>
        <v/>
      </c>
      <c r="G2854" s="315"/>
    </row>
    <row r="2855" spans="1:7" x14ac:dyDescent="0.25">
      <c r="A2855" s="321" t="str">
        <f t="shared" si="97"/>
        <v>II.6.1.034</v>
      </c>
      <c r="B2855" s="321">
        <v>4</v>
      </c>
      <c r="C2855" s="339" t="str">
        <f>IFERROR(VLOOKUP(A2855,[3]DOORSCRIEFT!$A$2:$G$6834,2,FALSE),"")</f>
        <v/>
      </c>
      <c r="D2855" s="481" t="str">
        <f>IFERROR(VLOOKUP(A2855,[3]DOORSCRIEFT!$A$2:$G$6834,3,FALSE),"")</f>
        <v/>
      </c>
      <c r="E2855" s="480" t="str">
        <f>IFERROR(VLOOKUP(A2855,[3]DOORSCRIEFT!$A$2:$G$6834,4,FALSE),"")</f>
        <v/>
      </c>
      <c r="F2855" s="405" t="str">
        <f>IFERROR(VLOOKUP(A2855,[3]DOORSCRIEFT!$A$2:$G$6834,7,FALSE),"")</f>
        <v/>
      </c>
      <c r="G2855" s="315"/>
    </row>
    <row r="2856" spans="1:7" x14ac:dyDescent="0.25">
      <c r="A2856" s="321" t="str">
        <f t="shared" si="97"/>
        <v>II.6.1.035</v>
      </c>
      <c r="B2856" s="321">
        <v>5</v>
      </c>
      <c r="C2856" s="339" t="str">
        <f>IFERROR(VLOOKUP(A2856,[3]DOORSCRIEFT!$A$2:$G$6834,2,FALSE),"")</f>
        <v/>
      </c>
      <c r="D2856" s="481" t="str">
        <f>IFERROR(VLOOKUP(A2856,[3]DOORSCRIEFT!$A$2:$G$6834,3,FALSE),"")</f>
        <v/>
      </c>
      <c r="E2856" s="480" t="str">
        <f>IFERROR(VLOOKUP(A2856,[3]DOORSCRIEFT!$A$2:$G$6834,4,FALSE),"")</f>
        <v/>
      </c>
      <c r="F2856" s="405" t="str">
        <f>IFERROR(VLOOKUP(A2856,[3]DOORSCRIEFT!$A$2:$G$6834,7,FALSE),"")</f>
        <v/>
      </c>
      <c r="G2856" s="315"/>
    </row>
    <row r="2857" spans="1:7" x14ac:dyDescent="0.25">
      <c r="A2857" s="321" t="str">
        <f t="shared" si="97"/>
        <v>II.6.1.036</v>
      </c>
      <c r="B2857" s="321">
        <v>6</v>
      </c>
      <c r="C2857" s="339" t="str">
        <f>IFERROR(VLOOKUP(A2857,[3]DOORSCRIEFT!$A$2:$G$6834,2,FALSE),"")</f>
        <v/>
      </c>
      <c r="D2857" s="481" t="str">
        <f>IFERROR(VLOOKUP(A2857,[3]DOORSCRIEFT!$A$2:$G$6834,3,FALSE),"")</f>
        <v/>
      </c>
      <c r="E2857" s="480" t="str">
        <f>IFERROR(VLOOKUP(A2857,[3]DOORSCRIEFT!$A$2:$G$6834,4,FALSE),"")</f>
        <v/>
      </c>
      <c r="F2857" s="405" t="str">
        <f>IFERROR(VLOOKUP(A2857,[3]DOORSCRIEFT!$A$2:$G$6834,7,FALSE),"")</f>
        <v/>
      </c>
      <c r="G2857" s="315"/>
    </row>
    <row r="2858" spans="1:7" x14ac:dyDescent="0.25">
      <c r="A2858" s="321" t="str">
        <f t="shared" si="97"/>
        <v>II.6.1.037</v>
      </c>
      <c r="B2858" s="321">
        <v>7</v>
      </c>
      <c r="C2858" s="339" t="str">
        <f>IFERROR(VLOOKUP(A2858,[3]DOORSCRIEFT!$A$2:$G$6834,2,FALSE),"")</f>
        <v/>
      </c>
      <c r="D2858" s="481" t="str">
        <f>IFERROR(VLOOKUP(A2858,[3]DOORSCRIEFT!$A$2:$G$6834,3,FALSE),"")</f>
        <v/>
      </c>
      <c r="E2858" s="480" t="str">
        <f>IFERROR(VLOOKUP(A2858,[3]DOORSCRIEFT!$A$2:$G$6834,4,FALSE),"")</f>
        <v/>
      </c>
      <c r="F2858" s="405" t="str">
        <f>IFERROR(VLOOKUP(A2858,[3]DOORSCRIEFT!$A$2:$G$6834,7,FALSE),"")</f>
        <v/>
      </c>
      <c r="G2858" s="315"/>
    </row>
    <row r="2859" spans="1:7" x14ac:dyDescent="0.25">
      <c r="A2859" s="321" t="str">
        <f t="shared" si="97"/>
        <v>II.6.1.038</v>
      </c>
      <c r="B2859" s="321">
        <v>8</v>
      </c>
      <c r="C2859" s="339" t="str">
        <f>IFERROR(VLOOKUP(A2859,[3]DOORSCRIEFT!$A$2:$G$6834,2,FALSE),"")</f>
        <v/>
      </c>
      <c r="D2859" s="481" t="str">
        <f>IFERROR(VLOOKUP(A2859,[3]DOORSCRIEFT!$A$2:$G$6834,3,FALSE),"")</f>
        <v/>
      </c>
      <c r="E2859" s="480" t="str">
        <f>IFERROR(VLOOKUP(A2859,[3]DOORSCRIEFT!$A$2:$G$6834,4,FALSE),"")</f>
        <v/>
      </c>
      <c r="F2859" s="405" t="str">
        <f>IFERROR(VLOOKUP(A2859,[3]DOORSCRIEFT!$A$2:$G$6834,7,FALSE),"")</f>
        <v/>
      </c>
      <c r="G2859" s="315"/>
    </row>
    <row r="2860" spans="1:7" x14ac:dyDescent="0.25">
      <c r="A2860" s="321" t="str">
        <f t="shared" si="97"/>
        <v>II.6.1.039</v>
      </c>
      <c r="B2860" s="321">
        <v>9</v>
      </c>
      <c r="C2860" s="339" t="str">
        <f>IFERROR(VLOOKUP(A2860,[3]DOORSCRIEFT!$A$2:$G$6834,2,FALSE),"")</f>
        <v/>
      </c>
      <c r="D2860" s="481" t="str">
        <f>IFERROR(VLOOKUP(A2860,[3]DOORSCRIEFT!$A$2:$G$6834,3,FALSE),"")</f>
        <v/>
      </c>
      <c r="E2860" s="480" t="str">
        <f>IFERROR(VLOOKUP(A2860,[3]DOORSCRIEFT!$A$2:$G$6834,4,FALSE),"")</f>
        <v/>
      </c>
      <c r="F2860" s="405" t="str">
        <f>IFERROR(VLOOKUP(A2860,[3]DOORSCRIEFT!$A$2:$G$6834,7,FALSE),"")</f>
        <v/>
      </c>
      <c r="G2860" s="315"/>
    </row>
    <row r="2861" spans="1:7" x14ac:dyDescent="0.25">
      <c r="A2861" s="321" t="str">
        <f t="shared" si="97"/>
        <v>II.6.1.0310</v>
      </c>
      <c r="B2861" s="321">
        <v>10</v>
      </c>
      <c r="C2861" s="339" t="str">
        <f>IFERROR(VLOOKUP(A2861,[3]DOORSCRIEFT!$A$2:$G$6834,2,FALSE),"")</f>
        <v/>
      </c>
      <c r="D2861" s="481" t="str">
        <f>IFERROR(VLOOKUP(A2861,[3]DOORSCRIEFT!$A$2:$G$6834,3,FALSE),"")</f>
        <v/>
      </c>
      <c r="E2861" s="480" t="str">
        <f>IFERROR(VLOOKUP(A2861,[3]DOORSCRIEFT!$A$2:$G$6834,4,FALSE),"")</f>
        <v/>
      </c>
      <c r="F2861" s="405" t="str">
        <f>IFERROR(VLOOKUP(A2861,[3]DOORSCRIEFT!$A$2:$G$6834,7,FALSE),"")</f>
        <v/>
      </c>
      <c r="G2861" s="315"/>
    </row>
    <row r="2862" spans="1:7" x14ac:dyDescent="0.25">
      <c r="A2862" s="321" t="str">
        <f t="shared" si="97"/>
        <v>II.6.1.0311</v>
      </c>
      <c r="B2862" s="321">
        <v>11</v>
      </c>
      <c r="C2862" s="339" t="str">
        <f>IFERROR(VLOOKUP(A2862,[3]DOORSCRIEFT!$A$2:$G$6834,2,FALSE),"")</f>
        <v/>
      </c>
      <c r="D2862" s="481" t="str">
        <f>IFERROR(VLOOKUP(A2862,[3]DOORSCRIEFT!$A$2:$G$6834,3,FALSE),"")</f>
        <v/>
      </c>
      <c r="E2862" s="480" t="str">
        <f>IFERROR(VLOOKUP(A2862,[3]DOORSCRIEFT!$A$2:$G$6834,4,FALSE),"")</f>
        <v/>
      </c>
      <c r="F2862" s="405" t="str">
        <f>IFERROR(VLOOKUP(A2862,[3]DOORSCRIEFT!$A$2:$G$6834,7,FALSE),"")</f>
        <v/>
      </c>
      <c r="G2862" s="315"/>
    </row>
    <row r="2863" spans="1:7" x14ac:dyDescent="0.25">
      <c r="A2863" s="321" t="str">
        <f t="shared" si="97"/>
        <v>II.6.1.0312</v>
      </c>
      <c r="B2863" s="321">
        <v>12</v>
      </c>
      <c r="C2863" s="339" t="str">
        <f>IFERROR(VLOOKUP(A2863,[3]DOORSCRIEFT!$A$2:$G$6834,2,FALSE),"")</f>
        <v/>
      </c>
      <c r="D2863" s="481" t="str">
        <f>IFERROR(VLOOKUP(A2863,[3]DOORSCRIEFT!$A$2:$G$6834,3,FALSE),"")</f>
        <v/>
      </c>
      <c r="E2863" s="480" t="str">
        <f>IFERROR(VLOOKUP(A2863,[3]DOORSCRIEFT!$A$2:$G$6834,4,FALSE),"")</f>
        <v/>
      </c>
      <c r="F2863" s="405" t="str">
        <f>IFERROR(VLOOKUP(A2863,[3]DOORSCRIEFT!$A$2:$G$6834,7,FALSE),"")</f>
        <v/>
      </c>
      <c r="G2863" s="315"/>
    </row>
    <row r="2864" spans="1:7" x14ac:dyDescent="0.25">
      <c r="A2864" s="321" t="str">
        <f t="shared" si="97"/>
        <v>II.6.1.0313</v>
      </c>
      <c r="B2864" s="321">
        <v>13</v>
      </c>
      <c r="C2864" s="339" t="str">
        <f>IFERROR(VLOOKUP(A2864,[3]DOORSCRIEFT!$A$2:$G$6834,2,FALSE),"")</f>
        <v/>
      </c>
      <c r="D2864" s="481" t="str">
        <f>IFERROR(VLOOKUP(A2864,[3]DOORSCRIEFT!$A$2:$G$6834,3,FALSE),"")</f>
        <v/>
      </c>
      <c r="E2864" s="480" t="str">
        <f>IFERROR(VLOOKUP(A2864,[3]DOORSCRIEFT!$A$2:$G$6834,4,FALSE),"")</f>
        <v/>
      </c>
      <c r="F2864" s="405" t="str">
        <f>IFERROR(VLOOKUP(A2864,[3]DOORSCRIEFT!$A$2:$G$6834,7,FALSE),"")</f>
        <v/>
      </c>
      <c r="G2864" s="315"/>
    </row>
    <row r="2865" spans="1:7" x14ac:dyDescent="0.25">
      <c r="A2865" s="321" t="str">
        <f t="shared" si="97"/>
        <v>II.6.1.0314</v>
      </c>
      <c r="B2865" s="321">
        <v>14</v>
      </c>
      <c r="C2865" s="339" t="str">
        <f>IFERROR(VLOOKUP(A2865,[3]DOORSCRIEFT!$A$2:$G$6834,2,FALSE),"")</f>
        <v/>
      </c>
      <c r="D2865" s="481" t="str">
        <f>IFERROR(VLOOKUP(A2865,[3]DOORSCRIEFT!$A$2:$G$6834,3,FALSE),"")</f>
        <v/>
      </c>
      <c r="E2865" s="480" t="str">
        <f>IFERROR(VLOOKUP(A2865,[3]DOORSCRIEFT!$A$2:$G$6834,4,FALSE),"")</f>
        <v/>
      </c>
      <c r="F2865" s="405" t="str">
        <f>IFERROR(VLOOKUP(A2865,[3]DOORSCRIEFT!$A$2:$G$6834,7,FALSE),"")</f>
        <v/>
      </c>
      <c r="G2865" s="315"/>
    </row>
    <row r="2866" spans="1:7" ht="15.75" thickBot="1" x14ac:dyDescent="0.3">
      <c r="A2866" s="321" t="str">
        <f t="shared" si="97"/>
        <v>II.6.1.0315</v>
      </c>
      <c r="B2866" s="321">
        <v>15</v>
      </c>
      <c r="C2866" s="339" t="str">
        <f>IFERROR(VLOOKUP(A2866,[3]DOORSCRIEFT!$A$2:$G$6834,2,FALSE),"")</f>
        <v/>
      </c>
      <c r="D2866" s="481" t="str">
        <f>IFERROR(VLOOKUP(A2866,[3]DOORSCRIEFT!$A$2:$G$6834,3,FALSE),"")</f>
        <v/>
      </c>
      <c r="E2866" s="480" t="str">
        <f>IFERROR(VLOOKUP(A2866,[3]DOORSCRIEFT!$A$2:$G$6834,4,FALSE),"")</f>
        <v/>
      </c>
      <c r="F2866" s="405" t="str">
        <f>IFERROR(VLOOKUP(A2866,[3]DOORSCRIEFT!$A$2:$G$6834,7,FALSE),"")</f>
        <v/>
      </c>
      <c r="G2866" s="315"/>
    </row>
    <row r="2867" spans="1:7" ht="15.75" thickBot="1" x14ac:dyDescent="0.3">
      <c r="A2867" s="488"/>
      <c r="B2867" s="488"/>
      <c r="C2867" s="336"/>
      <c r="D2867" s="486"/>
      <c r="E2867" s="340" t="s">
        <v>644</v>
      </c>
      <c r="F2867" s="310">
        <f>SUM(F2852:F2866)</f>
        <v>0</v>
      </c>
      <c r="G2867" s="309">
        <f>SUM(G2852:G2866)</f>
        <v>0</v>
      </c>
    </row>
    <row r="2868" spans="1:7" x14ac:dyDescent="0.25">
      <c r="C2868" s="335"/>
      <c r="D2868" s="485"/>
    </row>
    <row r="2869" spans="1:7" x14ac:dyDescent="0.25">
      <c r="C2869" s="335"/>
      <c r="D2869" s="485"/>
    </row>
    <row r="2870" spans="1:7" ht="15.75" x14ac:dyDescent="0.25">
      <c r="C2870" s="334" t="s">
        <v>663</v>
      </c>
      <c r="D2870" s="484"/>
      <c r="E2870" s="333"/>
      <c r="F2870" s="327" t="s">
        <v>607</v>
      </c>
      <c r="G2870" s="327" t="s">
        <v>17</v>
      </c>
    </row>
    <row r="2871" spans="1:7" ht="15.75" x14ac:dyDescent="0.25">
      <c r="C2871" s="334"/>
      <c r="D2871" s="484"/>
      <c r="E2871" s="333"/>
      <c r="F2871" s="327" t="s">
        <v>601</v>
      </c>
      <c r="G2871" s="483" t="s">
        <v>16</v>
      </c>
    </row>
    <row r="2872" spans="1:7" x14ac:dyDescent="0.25">
      <c r="C2872" s="330"/>
      <c r="D2872" s="482"/>
      <c r="E2872" s="329"/>
      <c r="F2872" s="327" t="s">
        <v>651</v>
      </c>
      <c r="G2872" s="331">
        <f>[2]Sheet1!$D$617</f>
        <v>0</v>
      </c>
    </row>
    <row r="2873" spans="1:7" ht="15.75" thickBot="1" x14ac:dyDescent="0.3">
      <c r="C2873" s="330"/>
      <c r="D2873" s="482"/>
      <c r="E2873" s="329"/>
      <c r="F2873" s="327" t="s">
        <v>650</v>
      </c>
      <c r="G2873" s="326">
        <f>+F2892-G2872</f>
        <v>0</v>
      </c>
    </row>
    <row r="2874" spans="1:7" x14ac:dyDescent="0.25">
      <c r="A2874" s="571" t="s">
        <v>655</v>
      </c>
      <c r="B2874" s="573" t="s">
        <v>606</v>
      </c>
      <c r="C2874" s="588" t="s">
        <v>649</v>
      </c>
      <c r="D2874" s="599" t="s">
        <v>648</v>
      </c>
      <c r="E2874" s="577" t="s">
        <v>647</v>
      </c>
      <c r="F2874" s="577" t="s">
        <v>646</v>
      </c>
      <c r="G2874" s="580" t="s">
        <v>645</v>
      </c>
    </row>
    <row r="2875" spans="1:7" ht="15.75" thickBot="1" x14ac:dyDescent="0.3">
      <c r="A2875" s="572"/>
      <c r="B2875" s="574"/>
      <c r="C2875" s="589"/>
      <c r="D2875" s="600"/>
      <c r="E2875" s="578"/>
      <c r="F2875" s="578"/>
      <c r="G2875" s="581"/>
    </row>
    <row r="2876" spans="1:7" ht="15.75" thickBot="1" x14ac:dyDescent="0.3">
      <c r="A2876" s="425">
        <v>1</v>
      </c>
      <c r="B2876" s="425">
        <v>2</v>
      </c>
      <c r="C2876" s="425">
        <v>3</v>
      </c>
      <c r="D2876" s="425">
        <v>4</v>
      </c>
      <c r="E2876" s="425">
        <v>5</v>
      </c>
      <c r="F2876" s="425">
        <v>6</v>
      </c>
      <c r="G2876" s="425">
        <v>7</v>
      </c>
    </row>
    <row r="2877" spans="1:7" x14ac:dyDescent="0.25">
      <c r="A2877" s="320" t="str">
        <f t="shared" ref="A2877:A2891" si="98">$G$2870&amp;B2877</f>
        <v>II.6.1.041</v>
      </c>
      <c r="B2877" s="320">
        <v>1</v>
      </c>
      <c r="C2877" s="339" t="str">
        <f>IFERROR(VLOOKUP(A2877,[3]DOORSCRIEFT!$A$2:$G$6834,2,FALSE),"")</f>
        <v/>
      </c>
      <c r="D2877" s="481" t="str">
        <f>IFERROR(VLOOKUP(A2877,[3]DOORSCRIEFT!$A$2:$G$6834,3,FALSE),"")</f>
        <v/>
      </c>
      <c r="E2877" s="480" t="str">
        <f>IFERROR(VLOOKUP(A2877,[3]DOORSCRIEFT!$A$2:$G$6834,4,FALSE),"")</f>
        <v/>
      </c>
      <c r="F2877" s="405" t="str">
        <f>IFERROR(VLOOKUP(A2877,[3]DOORSCRIEFT!$A$2:$G$6834,7,FALSE),"")</f>
        <v/>
      </c>
      <c r="G2877" s="322"/>
    </row>
    <row r="2878" spans="1:7" x14ac:dyDescent="0.25">
      <c r="A2878" s="321" t="str">
        <f t="shared" si="98"/>
        <v>II.6.1.042</v>
      </c>
      <c r="B2878" s="321">
        <v>2</v>
      </c>
      <c r="C2878" s="339" t="str">
        <f>IFERROR(VLOOKUP(A2878,[3]DOORSCRIEFT!$A$2:$G$6834,2,FALSE),"")</f>
        <v/>
      </c>
      <c r="D2878" s="481" t="str">
        <f>IFERROR(VLOOKUP(A2878,[3]DOORSCRIEFT!$A$2:$G$6834,3,FALSE),"")</f>
        <v/>
      </c>
      <c r="E2878" s="480" t="str">
        <f>IFERROR(VLOOKUP(A2878,[3]DOORSCRIEFT!$A$2:$G$6834,4,FALSE),"")</f>
        <v/>
      </c>
      <c r="F2878" s="405" t="str">
        <f>IFERROR(VLOOKUP(A2878,[3]DOORSCRIEFT!$A$2:$G$6834,7,FALSE),"")</f>
        <v/>
      </c>
      <c r="G2878" s="315"/>
    </row>
    <row r="2879" spans="1:7" x14ac:dyDescent="0.25">
      <c r="A2879" s="321" t="str">
        <f t="shared" si="98"/>
        <v>II.6.1.043</v>
      </c>
      <c r="B2879" s="321">
        <v>3</v>
      </c>
      <c r="C2879" s="339" t="str">
        <f>IFERROR(VLOOKUP(A2879,[3]DOORSCRIEFT!$A$2:$G$6834,2,FALSE),"")</f>
        <v/>
      </c>
      <c r="D2879" s="481" t="str">
        <f>IFERROR(VLOOKUP(A2879,[3]DOORSCRIEFT!$A$2:$G$6834,3,FALSE),"")</f>
        <v/>
      </c>
      <c r="E2879" s="480" t="str">
        <f>IFERROR(VLOOKUP(A2879,[3]DOORSCRIEFT!$A$2:$G$6834,4,FALSE),"")</f>
        <v/>
      </c>
      <c r="F2879" s="405" t="str">
        <f>IFERROR(VLOOKUP(A2879,[3]DOORSCRIEFT!$A$2:$G$6834,7,FALSE),"")</f>
        <v/>
      </c>
      <c r="G2879" s="315"/>
    </row>
    <row r="2880" spans="1:7" x14ac:dyDescent="0.25">
      <c r="A2880" s="321" t="str">
        <f t="shared" si="98"/>
        <v>II.6.1.044</v>
      </c>
      <c r="B2880" s="321">
        <v>4</v>
      </c>
      <c r="C2880" s="339" t="str">
        <f>IFERROR(VLOOKUP(A2880,[3]DOORSCRIEFT!$A$2:$G$6834,2,FALSE),"")</f>
        <v/>
      </c>
      <c r="D2880" s="481" t="str">
        <f>IFERROR(VLOOKUP(A2880,[3]DOORSCRIEFT!$A$2:$G$6834,3,FALSE),"")</f>
        <v/>
      </c>
      <c r="E2880" s="480" t="str">
        <f>IFERROR(VLOOKUP(A2880,[3]DOORSCRIEFT!$A$2:$G$6834,4,FALSE),"")</f>
        <v/>
      </c>
      <c r="F2880" s="405" t="str">
        <f>IFERROR(VLOOKUP(A2880,[3]DOORSCRIEFT!$A$2:$G$6834,7,FALSE),"")</f>
        <v/>
      </c>
      <c r="G2880" s="315"/>
    </row>
    <row r="2881" spans="1:7" x14ac:dyDescent="0.25">
      <c r="A2881" s="321" t="str">
        <f t="shared" si="98"/>
        <v>II.6.1.045</v>
      </c>
      <c r="B2881" s="321">
        <v>5</v>
      </c>
      <c r="C2881" s="339" t="str">
        <f>IFERROR(VLOOKUP(A2881,[3]DOORSCRIEFT!$A$2:$G$6834,2,FALSE),"")</f>
        <v/>
      </c>
      <c r="D2881" s="481" t="str">
        <f>IFERROR(VLOOKUP(A2881,[3]DOORSCRIEFT!$A$2:$G$6834,3,FALSE),"")</f>
        <v/>
      </c>
      <c r="E2881" s="480" t="str">
        <f>IFERROR(VLOOKUP(A2881,[3]DOORSCRIEFT!$A$2:$G$6834,4,FALSE),"")</f>
        <v/>
      </c>
      <c r="F2881" s="405" t="str">
        <f>IFERROR(VLOOKUP(A2881,[3]DOORSCRIEFT!$A$2:$G$6834,7,FALSE),"")</f>
        <v/>
      </c>
      <c r="G2881" s="315"/>
    </row>
    <row r="2882" spans="1:7" x14ac:dyDescent="0.25">
      <c r="A2882" s="321" t="str">
        <f t="shared" si="98"/>
        <v>II.6.1.046</v>
      </c>
      <c r="B2882" s="321">
        <v>6</v>
      </c>
      <c r="C2882" s="339" t="str">
        <f>IFERROR(VLOOKUP(A2882,[3]DOORSCRIEFT!$A$2:$G$6834,2,FALSE),"")</f>
        <v/>
      </c>
      <c r="D2882" s="481" t="str">
        <f>IFERROR(VLOOKUP(A2882,[3]DOORSCRIEFT!$A$2:$G$6834,3,FALSE),"")</f>
        <v/>
      </c>
      <c r="E2882" s="480" t="str">
        <f>IFERROR(VLOOKUP(A2882,[3]DOORSCRIEFT!$A$2:$G$6834,4,FALSE),"")</f>
        <v/>
      </c>
      <c r="F2882" s="405" t="str">
        <f>IFERROR(VLOOKUP(A2882,[3]DOORSCRIEFT!$A$2:$G$6834,7,FALSE),"")</f>
        <v/>
      </c>
      <c r="G2882" s="315"/>
    </row>
    <row r="2883" spans="1:7" x14ac:dyDescent="0.25">
      <c r="A2883" s="321" t="str">
        <f t="shared" si="98"/>
        <v>II.6.1.047</v>
      </c>
      <c r="B2883" s="321">
        <v>7</v>
      </c>
      <c r="C2883" s="339" t="str">
        <f>IFERROR(VLOOKUP(A2883,[3]DOORSCRIEFT!$A$2:$G$6834,2,FALSE),"")</f>
        <v/>
      </c>
      <c r="D2883" s="481" t="str">
        <f>IFERROR(VLOOKUP(A2883,[3]DOORSCRIEFT!$A$2:$G$6834,3,FALSE),"")</f>
        <v/>
      </c>
      <c r="E2883" s="480" t="str">
        <f>IFERROR(VLOOKUP(A2883,[3]DOORSCRIEFT!$A$2:$G$6834,4,FALSE),"")</f>
        <v/>
      </c>
      <c r="F2883" s="405" t="str">
        <f>IFERROR(VLOOKUP(A2883,[3]DOORSCRIEFT!$A$2:$G$6834,7,FALSE),"")</f>
        <v/>
      </c>
      <c r="G2883" s="315"/>
    </row>
    <row r="2884" spans="1:7" x14ac:dyDescent="0.25">
      <c r="A2884" s="321" t="str">
        <f t="shared" si="98"/>
        <v>II.6.1.048</v>
      </c>
      <c r="B2884" s="321">
        <v>8</v>
      </c>
      <c r="C2884" s="339" t="str">
        <f>IFERROR(VLOOKUP(A2884,[3]DOORSCRIEFT!$A$2:$G$6834,2,FALSE),"")</f>
        <v/>
      </c>
      <c r="D2884" s="481" t="str">
        <f>IFERROR(VLOOKUP(A2884,[3]DOORSCRIEFT!$A$2:$G$6834,3,FALSE),"")</f>
        <v/>
      </c>
      <c r="E2884" s="480" t="str">
        <f>IFERROR(VLOOKUP(A2884,[3]DOORSCRIEFT!$A$2:$G$6834,4,FALSE),"")</f>
        <v/>
      </c>
      <c r="F2884" s="405" t="str">
        <f>IFERROR(VLOOKUP(A2884,[3]DOORSCRIEFT!$A$2:$G$6834,7,FALSE),"")</f>
        <v/>
      </c>
      <c r="G2884" s="315"/>
    </row>
    <row r="2885" spans="1:7" x14ac:dyDescent="0.25">
      <c r="A2885" s="321" t="str">
        <f t="shared" si="98"/>
        <v>II.6.1.049</v>
      </c>
      <c r="B2885" s="321">
        <v>9</v>
      </c>
      <c r="C2885" s="339" t="str">
        <f>IFERROR(VLOOKUP(A2885,[3]DOORSCRIEFT!$A$2:$G$6834,2,FALSE),"")</f>
        <v/>
      </c>
      <c r="D2885" s="481" t="str">
        <f>IFERROR(VLOOKUP(A2885,[3]DOORSCRIEFT!$A$2:$G$6834,3,FALSE),"")</f>
        <v/>
      </c>
      <c r="E2885" s="480" t="str">
        <f>IFERROR(VLOOKUP(A2885,[3]DOORSCRIEFT!$A$2:$G$6834,4,FALSE),"")</f>
        <v/>
      </c>
      <c r="F2885" s="405" t="str">
        <f>IFERROR(VLOOKUP(A2885,[3]DOORSCRIEFT!$A$2:$G$6834,7,FALSE),"")</f>
        <v/>
      </c>
      <c r="G2885" s="315"/>
    </row>
    <row r="2886" spans="1:7" x14ac:dyDescent="0.25">
      <c r="A2886" s="321" t="str">
        <f t="shared" si="98"/>
        <v>II.6.1.0410</v>
      </c>
      <c r="B2886" s="321">
        <v>10</v>
      </c>
      <c r="C2886" s="339" t="str">
        <f>IFERROR(VLOOKUP(A2886,[3]DOORSCRIEFT!$A$2:$G$6834,2,FALSE),"")</f>
        <v/>
      </c>
      <c r="D2886" s="481" t="str">
        <f>IFERROR(VLOOKUP(A2886,[3]DOORSCRIEFT!$A$2:$G$6834,3,FALSE),"")</f>
        <v/>
      </c>
      <c r="E2886" s="480" t="str">
        <f>IFERROR(VLOOKUP(A2886,[3]DOORSCRIEFT!$A$2:$G$6834,4,FALSE),"")</f>
        <v/>
      </c>
      <c r="F2886" s="405" t="str">
        <f>IFERROR(VLOOKUP(A2886,[3]DOORSCRIEFT!$A$2:$G$6834,7,FALSE),"")</f>
        <v/>
      </c>
      <c r="G2886" s="315"/>
    </row>
    <row r="2887" spans="1:7" x14ac:dyDescent="0.25">
      <c r="A2887" s="321" t="str">
        <f t="shared" si="98"/>
        <v>II.6.1.0411</v>
      </c>
      <c r="B2887" s="321">
        <v>11</v>
      </c>
      <c r="C2887" s="339" t="str">
        <f>IFERROR(VLOOKUP(A2887,[3]DOORSCRIEFT!$A$2:$G$6834,2,FALSE),"")</f>
        <v/>
      </c>
      <c r="D2887" s="481" t="str">
        <f>IFERROR(VLOOKUP(A2887,[3]DOORSCRIEFT!$A$2:$G$6834,3,FALSE),"")</f>
        <v/>
      </c>
      <c r="E2887" s="480" t="str">
        <f>IFERROR(VLOOKUP(A2887,[3]DOORSCRIEFT!$A$2:$G$6834,4,FALSE),"")</f>
        <v/>
      </c>
      <c r="F2887" s="405" t="str">
        <f>IFERROR(VLOOKUP(A2887,[3]DOORSCRIEFT!$A$2:$G$6834,7,FALSE),"")</f>
        <v/>
      </c>
      <c r="G2887" s="315"/>
    </row>
    <row r="2888" spans="1:7" x14ac:dyDescent="0.25">
      <c r="A2888" s="321" t="str">
        <f t="shared" si="98"/>
        <v>II.6.1.0412</v>
      </c>
      <c r="B2888" s="321">
        <v>12</v>
      </c>
      <c r="C2888" s="339" t="str">
        <f>IFERROR(VLOOKUP(A2888,[3]DOORSCRIEFT!$A$2:$G$6834,2,FALSE),"")</f>
        <v/>
      </c>
      <c r="D2888" s="481" t="str">
        <f>IFERROR(VLOOKUP(A2888,[3]DOORSCRIEFT!$A$2:$G$6834,3,FALSE),"")</f>
        <v/>
      </c>
      <c r="E2888" s="480" t="str">
        <f>IFERROR(VLOOKUP(A2888,[3]DOORSCRIEFT!$A$2:$G$6834,4,FALSE),"")</f>
        <v/>
      </c>
      <c r="F2888" s="405" t="str">
        <f>IFERROR(VLOOKUP(A2888,[3]DOORSCRIEFT!$A$2:$G$6834,7,FALSE),"")</f>
        <v/>
      </c>
      <c r="G2888" s="315"/>
    </row>
    <row r="2889" spans="1:7" x14ac:dyDescent="0.25">
      <c r="A2889" s="321" t="str">
        <f t="shared" si="98"/>
        <v>II.6.1.0413</v>
      </c>
      <c r="B2889" s="321">
        <v>13</v>
      </c>
      <c r="C2889" s="339" t="str">
        <f>IFERROR(VLOOKUP(A2889,[3]DOORSCRIEFT!$A$2:$G$6834,2,FALSE),"")</f>
        <v/>
      </c>
      <c r="D2889" s="481" t="str">
        <f>IFERROR(VLOOKUP(A2889,[3]DOORSCRIEFT!$A$2:$G$6834,3,FALSE),"")</f>
        <v/>
      </c>
      <c r="E2889" s="480" t="str">
        <f>IFERROR(VLOOKUP(A2889,[3]DOORSCRIEFT!$A$2:$G$6834,4,FALSE),"")</f>
        <v/>
      </c>
      <c r="F2889" s="405" t="str">
        <f>IFERROR(VLOOKUP(A2889,[3]DOORSCRIEFT!$A$2:$G$6834,7,FALSE),"")</f>
        <v/>
      </c>
      <c r="G2889" s="315"/>
    </row>
    <row r="2890" spans="1:7" x14ac:dyDescent="0.25">
      <c r="A2890" s="321" t="str">
        <f t="shared" si="98"/>
        <v>II.6.1.0414</v>
      </c>
      <c r="B2890" s="321">
        <v>14</v>
      </c>
      <c r="C2890" s="339" t="str">
        <f>IFERROR(VLOOKUP(A2890,[3]DOORSCRIEFT!$A$2:$G$6834,2,FALSE),"")</f>
        <v/>
      </c>
      <c r="D2890" s="481" t="str">
        <f>IFERROR(VLOOKUP(A2890,[3]DOORSCRIEFT!$A$2:$G$6834,3,FALSE),"")</f>
        <v/>
      </c>
      <c r="E2890" s="480" t="str">
        <f>IFERROR(VLOOKUP(A2890,[3]DOORSCRIEFT!$A$2:$G$6834,4,FALSE),"")</f>
        <v/>
      </c>
      <c r="F2890" s="405" t="str">
        <f>IFERROR(VLOOKUP(A2890,[3]DOORSCRIEFT!$A$2:$G$6834,7,FALSE),"")</f>
        <v/>
      </c>
      <c r="G2890" s="315"/>
    </row>
    <row r="2891" spans="1:7" ht="15.75" thickBot="1" x14ac:dyDescent="0.3">
      <c r="A2891" s="342" t="str">
        <f t="shared" si="98"/>
        <v>II.6.1.0415</v>
      </c>
      <c r="B2891" s="342">
        <v>15</v>
      </c>
      <c r="C2891" s="339" t="str">
        <f>IFERROR(VLOOKUP(A2891,[3]DOORSCRIEFT!$A$2:$G$6834,2,FALSE),"")</f>
        <v/>
      </c>
      <c r="D2891" s="481" t="str">
        <f>IFERROR(VLOOKUP(A2891,[3]DOORSCRIEFT!$A$2:$G$6834,3,FALSE),"")</f>
        <v/>
      </c>
      <c r="E2891" s="480" t="str">
        <f>IFERROR(VLOOKUP(A2891,[3]DOORSCRIEFT!$A$2:$G$6834,4,FALSE),"")</f>
        <v/>
      </c>
      <c r="F2891" s="405" t="str">
        <f>IFERROR(VLOOKUP(A2891,[3]DOORSCRIEFT!$A$2:$G$6834,7,FALSE),"")</f>
        <v/>
      </c>
      <c r="G2891" s="315"/>
    </row>
    <row r="2892" spans="1:7" ht="15.75" thickBot="1" x14ac:dyDescent="0.3">
      <c r="A2892" s="341"/>
      <c r="B2892" s="340"/>
      <c r="C2892" s="336"/>
      <c r="D2892" s="486"/>
      <c r="E2892" s="340" t="s">
        <v>644</v>
      </c>
      <c r="F2892" s="310">
        <f>SUM(F2877:F2891)</f>
        <v>0</v>
      </c>
      <c r="G2892" s="309">
        <f>SUM(G2877:G2891)</f>
        <v>0</v>
      </c>
    </row>
    <row r="2893" spans="1:7" x14ac:dyDescent="0.25">
      <c r="C2893" s="335"/>
      <c r="D2893" s="485"/>
    </row>
    <row r="2894" spans="1:7" x14ac:dyDescent="0.25">
      <c r="C2894" s="335"/>
      <c r="D2894" s="485"/>
    </row>
    <row r="2895" spans="1:7" ht="15.75" x14ac:dyDescent="0.25">
      <c r="C2895" s="334" t="s">
        <v>663</v>
      </c>
      <c r="D2895" s="484"/>
      <c r="E2895" s="333"/>
      <c r="F2895" s="327" t="s">
        <v>607</v>
      </c>
      <c r="G2895" s="327" t="s">
        <v>15</v>
      </c>
    </row>
    <row r="2896" spans="1:7" ht="15.75" x14ac:dyDescent="0.25">
      <c r="C2896" s="334"/>
      <c r="D2896" s="484"/>
      <c r="E2896" s="333"/>
      <c r="F2896" s="327" t="s">
        <v>601</v>
      </c>
      <c r="G2896" s="483" t="s">
        <v>14</v>
      </c>
    </row>
    <row r="2897" spans="1:7" x14ac:dyDescent="0.25">
      <c r="C2897" s="330"/>
      <c r="D2897" s="482"/>
      <c r="E2897" s="329"/>
      <c r="F2897" s="327" t="s">
        <v>651</v>
      </c>
      <c r="G2897" s="331">
        <f>[2]Sheet1!$D$618</f>
        <v>0</v>
      </c>
    </row>
    <row r="2898" spans="1:7" ht="15.75" thickBot="1" x14ac:dyDescent="0.3">
      <c r="C2898" s="330"/>
      <c r="D2898" s="482"/>
      <c r="E2898" s="329"/>
      <c r="F2898" s="327" t="s">
        <v>650</v>
      </c>
      <c r="G2898" s="326">
        <f>+F2917-G2897</f>
        <v>0</v>
      </c>
    </row>
    <row r="2899" spans="1:7" x14ac:dyDescent="0.25">
      <c r="A2899" s="571" t="s">
        <v>655</v>
      </c>
      <c r="B2899" s="573" t="s">
        <v>606</v>
      </c>
      <c r="C2899" s="588" t="s">
        <v>649</v>
      </c>
      <c r="D2899" s="599" t="s">
        <v>648</v>
      </c>
      <c r="E2899" s="577" t="s">
        <v>647</v>
      </c>
      <c r="F2899" s="577" t="s">
        <v>646</v>
      </c>
      <c r="G2899" s="580" t="s">
        <v>645</v>
      </c>
    </row>
    <row r="2900" spans="1:7" ht="15.75" thickBot="1" x14ac:dyDescent="0.3">
      <c r="A2900" s="572"/>
      <c r="B2900" s="574"/>
      <c r="C2900" s="589"/>
      <c r="D2900" s="600"/>
      <c r="E2900" s="578"/>
      <c r="F2900" s="578"/>
      <c r="G2900" s="581"/>
    </row>
    <row r="2901" spans="1:7" ht="15.75" thickBot="1" x14ac:dyDescent="0.3">
      <c r="A2901" s="425">
        <v>1</v>
      </c>
      <c r="B2901" s="425">
        <v>2</v>
      </c>
      <c r="C2901" s="425">
        <v>3</v>
      </c>
      <c r="D2901" s="425">
        <v>4</v>
      </c>
      <c r="E2901" s="425">
        <v>5</v>
      </c>
      <c r="F2901" s="425">
        <v>6</v>
      </c>
      <c r="G2901" s="425">
        <v>7</v>
      </c>
    </row>
    <row r="2902" spans="1:7" x14ac:dyDescent="0.25">
      <c r="A2902" s="320" t="str">
        <f t="shared" ref="A2902:A2916" si="99">$G$2895&amp;B2902</f>
        <v>II.6.1.051</v>
      </c>
      <c r="B2902" s="320">
        <v>1</v>
      </c>
      <c r="C2902" s="339" t="str">
        <f>IFERROR(VLOOKUP(A2902,[3]DOORSCRIEFT!$A$2:$G$6834,2,FALSE),"")</f>
        <v/>
      </c>
      <c r="D2902" s="481" t="str">
        <f>IFERROR(VLOOKUP(A2902,[3]DOORSCRIEFT!$A$2:$G$6834,3,FALSE),"")</f>
        <v/>
      </c>
      <c r="E2902" s="480" t="str">
        <f>IFERROR(VLOOKUP(A2902,[3]DOORSCRIEFT!$A$2:$G$6834,4,FALSE),"")</f>
        <v/>
      </c>
      <c r="F2902" s="405" t="str">
        <f>IFERROR(VLOOKUP(A2902,[3]DOORSCRIEFT!$A$2:$G$6834,7,FALSE),"")</f>
        <v/>
      </c>
      <c r="G2902" s="322"/>
    </row>
    <row r="2903" spans="1:7" x14ac:dyDescent="0.25">
      <c r="A2903" s="321" t="str">
        <f t="shared" si="99"/>
        <v>II.6.1.052</v>
      </c>
      <c r="B2903" s="321">
        <v>2</v>
      </c>
      <c r="C2903" s="339" t="str">
        <f>IFERROR(VLOOKUP(A2903,[3]DOORSCRIEFT!$A$2:$G$6834,2,FALSE),"")</f>
        <v/>
      </c>
      <c r="D2903" s="481" t="str">
        <f>IFERROR(VLOOKUP(A2903,[3]DOORSCRIEFT!$A$2:$G$6834,3,FALSE),"")</f>
        <v/>
      </c>
      <c r="E2903" s="480" t="str">
        <f>IFERROR(VLOOKUP(A2903,[3]DOORSCRIEFT!$A$2:$G$6834,4,FALSE),"")</f>
        <v/>
      </c>
      <c r="F2903" s="405" t="str">
        <f>IFERROR(VLOOKUP(A2903,[3]DOORSCRIEFT!$A$2:$G$6834,7,FALSE),"")</f>
        <v/>
      </c>
      <c r="G2903" s="315"/>
    </row>
    <row r="2904" spans="1:7" x14ac:dyDescent="0.25">
      <c r="A2904" s="321" t="str">
        <f t="shared" si="99"/>
        <v>II.6.1.053</v>
      </c>
      <c r="B2904" s="321">
        <v>3</v>
      </c>
      <c r="C2904" s="339" t="str">
        <f>IFERROR(VLOOKUP(A2904,[3]DOORSCRIEFT!$A$2:$G$6834,2,FALSE),"")</f>
        <v/>
      </c>
      <c r="D2904" s="481" t="str">
        <f>IFERROR(VLOOKUP(A2904,[3]DOORSCRIEFT!$A$2:$G$6834,3,FALSE),"")</f>
        <v/>
      </c>
      <c r="E2904" s="480" t="str">
        <f>IFERROR(VLOOKUP(A2904,[3]DOORSCRIEFT!$A$2:$G$6834,4,FALSE),"")</f>
        <v/>
      </c>
      <c r="F2904" s="405" t="str">
        <f>IFERROR(VLOOKUP(A2904,[3]DOORSCRIEFT!$A$2:$G$6834,7,FALSE),"")</f>
        <v/>
      </c>
      <c r="G2904" s="315"/>
    </row>
    <row r="2905" spans="1:7" x14ac:dyDescent="0.25">
      <c r="A2905" s="321" t="str">
        <f t="shared" si="99"/>
        <v>II.6.1.054</v>
      </c>
      <c r="B2905" s="321">
        <v>4</v>
      </c>
      <c r="C2905" s="339" t="str">
        <f>IFERROR(VLOOKUP(A2905,[3]DOORSCRIEFT!$A$2:$G$6834,2,FALSE),"")</f>
        <v/>
      </c>
      <c r="D2905" s="481" t="str">
        <f>IFERROR(VLOOKUP(A2905,[3]DOORSCRIEFT!$A$2:$G$6834,3,FALSE),"")</f>
        <v/>
      </c>
      <c r="E2905" s="480" t="str">
        <f>IFERROR(VLOOKUP(A2905,[3]DOORSCRIEFT!$A$2:$G$6834,4,FALSE),"")</f>
        <v/>
      </c>
      <c r="F2905" s="405" t="str">
        <f>IFERROR(VLOOKUP(A2905,[3]DOORSCRIEFT!$A$2:$G$6834,7,FALSE),"")</f>
        <v/>
      </c>
      <c r="G2905" s="315"/>
    </row>
    <row r="2906" spans="1:7" x14ac:dyDescent="0.25">
      <c r="A2906" s="321" t="str">
        <f t="shared" si="99"/>
        <v>II.6.1.055</v>
      </c>
      <c r="B2906" s="321">
        <v>5</v>
      </c>
      <c r="C2906" s="339" t="str">
        <f>IFERROR(VLOOKUP(A2906,[3]DOORSCRIEFT!$A$2:$G$6834,2,FALSE),"")</f>
        <v/>
      </c>
      <c r="D2906" s="481" t="str">
        <f>IFERROR(VLOOKUP(A2906,[3]DOORSCRIEFT!$A$2:$G$6834,3,FALSE),"")</f>
        <v/>
      </c>
      <c r="E2906" s="480" t="str">
        <f>IFERROR(VLOOKUP(A2906,[3]DOORSCRIEFT!$A$2:$G$6834,4,FALSE),"")</f>
        <v/>
      </c>
      <c r="F2906" s="405" t="str">
        <f>IFERROR(VLOOKUP(A2906,[3]DOORSCRIEFT!$A$2:$G$6834,7,FALSE),"")</f>
        <v/>
      </c>
      <c r="G2906" s="315"/>
    </row>
    <row r="2907" spans="1:7" x14ac:dyDescent="0.25">
      <c r="A2907" s="321" t="str">
        <f t="shared" si="99"/>
        <v>II.6.1.056</v>
      </c>
      <c r="B2907" s="321">
        <v>6</v>
      </c>
      <c r="C2907" s="339" t="str">
        <f>IFERROR(VLOOKUP(A2907,[3]DOORSCRIEFT!$A$2:$G$6834,2,FALSE),"")</f>
        <v/>
      </c>
      <c r="D2907" s="481" t="str">
        <f>IFERROR(VLOOKUP(A2907,[3]DOORSCRIEFT!$A$2:$G$6834,3,FALSE),"")</f>
        <v/>
      </c>
      <c r="E2907" s="480" t="str">
        <f>IFERROR(VLOOKUP(A2907,[3]DOORSCRIEFT!$A$2:$G$6834,4,FALSE),"")</f>
        <v/>
      </c>
      <c r="F2907" s="405" t="str">
        <f>IFERROR(VLOOKUP(A2907,[3]DOORSCRIEFT!$A$2:$G$6834,7,FALSE),"")</f>
        <v/>
      </c>
      <c r="G2907" s="315"/>
    </row>
    <row r="2908" spans="1:7" x14ac:dyDescent="0.25">
      <c r="A2908" s="321" t="str">
        <f t="shared" si="99"/>
        <v>II.6.1.057</v>
      </c>
      <c r="B2908" s="321">
        <v>7</v>
      </c>
      <c r="C2908" s="339" t="str">
        <f>IFERROR(VLOOKUP(A2908,[3]DOORSCRIEFT!$A$2:$G$6834,2,FALSE),"")</f>
        <v/>
      </c>
      <c r="D2908" s="481" t="str">
        <f>IFERROR(VLOOKUP(A2908,[3]DOORSCRIEFT!$A$2:$G$6834,3,FALSE),"")</f>
        <v/>
      </c>
      <c r="E2908" s="480" t="str">
        <f>IFERROR(VLOOKUP(A2908,[3]DOORSCRIEFT!$A$2:$G$6834,4,FALSE),"")</f>
        <v/>
      </c>
      <c r="F2908" s="405" t="str">
        <f>IFERROR(VLOOKUP(A2908,[3]DOORSCRIEFT!$A$2:$G$6834,7,FALSE),"")</f>
        <v/>
      </c>
      <c r="G2908" s="315"/>
    </row>
    <row r="2909" spans="1:7" x14ac:dyDescent="0.25">
      <c r="A2909" s="321" t="str">
        <f t="shared" si="99"/>
        <v>II.6.1.058</v>
      </c>
      <c r="B2909" s="321">
        <v>8</v>
      </c>
      <c r="C2909" s="339" t="str">
        <f>IFERROR(VLOOKUP(A2909,[3]DOORSCRIEFT!$A$2:$G$6834,2,FALSE),"")</f>
        <v/>
      </c>
      <c r="D2909" s="481" t="str">
        <f>IFERROR(VLOOKUP(A2909,[3]DOORSCRIEFT!$A$2:$G$6834,3,FALSE),"")</f>
        <v/>
      </c>
      <c r="E2909" s="480" t="str">
        <f>IFERROR(VLOOKUP(A2909,[3]DOORSCRIEFT!$A$2:$G$6834,4,FALSE),"")</f>
        <v/>
      </c>
      <c r="F2909" s="405" t="str">
        <f>IFERROR(VLOOKUP(A2909,[3]DOORSCRIEFT!$A$2:$G$6834,7,FALSE),"")</f>
        <v/>
      </c>
      <c r="G2909" s="315"/>
    </row>
    <row r="2910" spans="1:7" x14ac:dyDescent="0.25">
      <c r="A2910" s="321" t="str">
        <f t="shared" si="99"/>
        <v>II.6.1.059</v>
      </c>
      <c r="B2910" s="321">
        <v>9</v>
      </c>
      <c r="C2910" s="339" t="str">
        <f>IFERROR(VLOOKUP(A2910,[3]DOORSCRIEFT!$A$2:$G$6834,2,FALSE),"")</f>
        <v/>
      </c>
      <c r="D2910" s="481" t="str">
        <f>IFERROR(VLOOKUP(A2910,[3]DOORSCRIEFT!$A$2:$G$6834,3,FALSE),"")</f>
        <v/>
      </c>
      <c r="E2910" s="480" t="str">
        <f>IFERROR(VLOOKUP(A2910,[3]DOORSCRIEFT!$A$2:$G$6834,4,FALSE),"")</f>
        <v/>
      </c>
      <c r="F2910" s="405" t="str">
        <f>IFERROR(VLOOKUP(A2910,[3]DOORSCRIEFT!$A$2:$G$6834,7,FALSE),"")</f>
        <v/>
      </c>
      <c r="G2910" s="315"/>
    </row>
    <row r="2911" spans="1:7" x14ac:dyDescent="0.25">
      <c r="A2911" s="321" t="str">
        <f t="shared" si="99"/>
        <v>II.6.1.0510</v>
      </c>
      <c r="B2911" s="321">
        <v>10</v>
      </c>
      <c r="C2911" s="339" t="str">
        <f>IFERROR(VLOOKUP(A2911,[3]DOORSCRIEFT!$A$2:$G$6834,2,FALSE),"")</f>
        <v/>
      </c>
      <c r="D2911" s="481" t="str">
        <f>IFERROR(VLOOKUP(A2911,[3]DOORSCRIEFT!$A$2:$G$6834,3,FALSE),"")</f>
        <v/>
      </c>
      <c r="E2911" s="480" t="str">
        <f>IFERROR(VLOOKUP(A2911,[3]DOORSCRIEFT!$A$2:$G$6834,4,FALSE),"")</f>
        <v/>
      </c>
      <c r="F2911" s="405" t="str">
        <f>IFERROR(VLOOKUP(A2911,[3]DOORSCRIEFT!$A$2:$G$6834,7,FALSE),"")</f>
        <v/>
      </c>
      <c r="G2911" s="315"/>
    </row>
    <row r="2912" spans="1:7" x14ac:dyDescent="0.25">
      <c r="A2912" s="321" t="str">
        <f t="shared" si="99"/>
        <v>II.6.1.0511</v>
      </c>
      <c r="B2912" s="321">
        <v>11</v>
      </c>
      <c r="C2912" s="339" t="str">
        <f>IFERROR(VLOOKUP(A2912,[3]DOORSCRIEFT!$A$2:$G$6834,2,FALSE),"")</f>
        <v/>
      </c>
      <c r="D2912" s="481" t="str">
        <f>IFERROR(VLOOKUP(A2912,[3]DOORSCRIEFT!$A$2:$G$6834,3,FALSE),"")</f>
        <v/>
      </c>
      <c r="E2912" s="480" t="str">
        <f>IFERROR(VLOOKUP(A2912,[3]DOORSCRIEFT!$A$2:$G$6834,4,FALSE),"")</f>
        <v/>
      </c>
      <c r="F2912" s="405" t="str">
        <f>IFERROR(VLOOKUP(A2912,[3]DOORSCRIEFT!$A$2:$G$6834,7,FALSE),"")</f>
        <v/>
      </c>
      <c r="G2912" s="315"/>
    </row>
    <row r="2913" spans="1:7" x14ac:dyDescent="0.25">
      <c r="A2913" s="321" t="str">
        <f t="shared" si="99"/>
        <v>II.6.1.0512</v>
      </c>
      <c r="B2913" s="321">
        <v>12</v>
      </c>
      <c r="C2913" s="339" t="str">
        <f>IFERROR(VLOOKUP(A2913,[3]DOORSCRIEFT!$A$2:$G$6834,2,FALSE),"")</f>
        <v/>
      </c>
      <c r="D2913" s="481" t="str">
        <f>IFERROR(VLOOKUP(A2913,[3]DOORSCRIEFT!$A$2:$G$6834,3,FALSE),"")</f>
        <v/>
      </c>
      <c r="E2913" s="480" t="str">
        <f>IFERROR(VLOOKUP(A2913,[3]DOORSCRIEFT!$A$2:$G$6834,4,FALSE),"")</f>
        <v/>
      </c>
      <c r="F2913" s="405" t="str">
        <f>IFERROR(VLOOKUP(A2913,[3]DOORSCRIEFT!$A$2:$G$6834,7,FALSE),"")</f>
        <v/>
      </c>
      <c r="G2913" s="315"/>
    </row>
    <row r="2914" spans="1:7" x14ac:dyDescent="0.25">
      <c r="A2914" s="321" t="str">
        <f t="shared" si="99"/>
        <v>II.6.1.0513</v>
      </c>
      <c r="B2914" s="321">
        <v>13</v>
      </c>
      <c r="C2914" s="339" t="str">
        <f>IFERROR(VLOOKUP(A2914,[3]DOORSCRIEFT!$A$2:$G$6834,2,FALSE),"")</f>
        <v/>
      </c>
      <c r="D2914" s="481" t="str">
        <f>IFERROR(VLOOKUP(A2914,[3]DOORSCRIEFT!$A$2:$G$6834,3,FALSE),"")</f>
        <v/>
      </c>
      <c r="E2914" s="480" t="str">
        <f>IFERROR(VLOOKUP(A2914,[3]DOORSCRIEFT!$A$2:$G$6834,4,FALSE),"")</f>
        <v/>
      </c>
      <c r="F2914" s="405" t="str">
        <f>IFERROR(VLOOKUP(A2914,[3]DOORSCRIEFT!$A$2:$G$6834,7,FALSE),"")</f>
        <v/>
      </c>
      <c r="G2914" s="315"/>
    </row>
    <row r="2915" spans="1:7" x14ac:dyDescent="0.25">
      <c r="A2915" s="321" t="str">
        <f t="shared" si="99"/>
        <v>II.6.1.0514</v>
      </c>
      <c r="B2915" s="321">
        <v>14</v>
      </c>
      <c r="C2915" s="339" t="str">
        <f>IFERROR(VLOOKUP(A2915,[3]DOORSCRIEFT!$A$2:$G$6834,2,FALSE),"")</f>
        <v/>
      </c>
      <c r="D2915" s="481" t="str">
        <f>IFERROR(VLOOKUP(A2915,[3]DOORSCRIEFT!$A$2:$G$6834,3,FALSE),"")</f>
        <v/>
      </c>
      <c r="E2915" s="480" t="str">
        <f>IFERROR(VLOOKUP(A2915,[3]DOORSCRIEFT!$A$2:$G$6834,4,FALSE),"")</f>
        <v/>
      </c>
      <c r="F2915" s="405" t="str">
        <f>IFERROR(VLOOKUP(A2915,[3]DOORSCRIEFT!$A$2:$G$6834,7,FALSE),"")</f>
        <v/>
      </c>
      <c r="G2915" s="315"/>
    </row>
    <row r="2916" spans="1:7" ht="15.75" thickBot="1" x14ac:dyDescent="0.3">
      <c r="A2916" s="342" t="str">
        <f t="shared" si="99"/>
        <v>II.6.1.0515</v>
      </c>
      <c r="B2916" s="342">
        <v>15</v>
      </c>
      <c r="C2916" s="339" t="str">
        <f>IFERROR(VLOOKUP(A2916,[3]DOORSCRIEFT!$A$2:$G$6834,2,FALSE),"")</f>
        <v/>
      </c>
      <c r="D2916" s="481" t="str">
        <f>IFERROR(VLOOKUP(A2916,[3]DOORSCRIEFT!$A$2:$G$6834,3,FALSE),"")</f>
        <v/>
      </c>
      <c r="E2916" s="480" t="str">
        <f>IFERROR(VLOOKUP(A2916,[3]DOORSCRIEFT!$A$2:$G$6834,4,FALSE),"")</f>
        <v/>
      </c>
      <c r="F2916" s="405" t="str">
        <f>IFERROR(VLOOKUP(A2916,[3]DOORSCRIEFT!$A$2:$G$6834,7,FALSE),"")</f>
        <v/>
      </c>
      <c r="G2916" s="315"/>
    </row>
    <row r="2917" spans="1:7" ht="15.75" thickBot="1" x14ac:dyDescent="0.3">
      <c r="A2917" s="341"/>
      <c r="B2917" s="340"/>
      <c r="C2917" s="336"/>
      <c r="D2917" s="486"/>
      <c r="E2917" s="340" t="s">
        <v>644</v>
      </c>
      <c r="F2917" s="310">
        <f>SUM(F2902:F2916)</f>
        <v>0</v>
      </c>
      <c r="G2917" s="309">
        <f>SUM(G2902:G2916)</f>
        <v>0</v>
      </c>
    </row>
    <row r="2918" spans="1:7" x14ac:dyDescent="0.25">
      <c r="C2918" s="335"/>
      <c r="D2918" s="485"/>
    </row>
    <row r="2919" spans="1:7" x14ac:dyDescent="0.25">
      <c r="C2919" s="335"/>
      <c r="D2919" s="485"/>
    </row>
    <row r="2920" spans="1:7" ht="15.75" x14ac:dyDescent="0.25">
      <c r="C2920" s="334" t="s">
        <v>663</v>
      </c>
      <c r="D2920" s="484"/>
      <c r="E2920" s="333"/>
      <c r="F2920" s="327" t="s">
        <v>607</v>
      </c>
      <c r="G2920" s="327" t="s">
        <v>13</v>
      </c>
    </row>
    <row r="2921" spans="1:7" ht="15.75" x14ac:dyDescent="0.25">
      <c r="C2921" s="334"/>
      <c r="D2921" s="484"/>
      <c r="E2921" s="333"/>
      <c r="F2921" s="327" t="s">
        <v>601</v>
      </c>
      <c r="G2921" s="483" t="s">
        <v>12</v>
      </c>
    </row>
    <row r="2922" spans="1:7" x14ac:dyDescent="0.25">
      <c r="C2922" s="330"/>
      <c r="D2922" s="482"/>
      <c r="E2922" s="329"/>
      <c r="F2922" s="327" t="s">
        <v>651</v>
      </c>
      <c r="G2922" s="331">
        <f>[2]Sheet1!$D$619</f>
        <v>0</v>
      </c>
    </row>
    <row r="2923" spans="1:7" ht="15.75" thickBot="1" x14ac:dyDescent="0.3">
      <c r="C2923" s="330"/>
      <c r="D2923" s="482"/>
      <c r="E2923" s="329"/>
      <c r="F2923" s="327" t="s">
        <v>650</v>
      </c>
      <c r="G2923" s="326">
        <f>+F2942-G2922</f>
        <v>0</v>
      </c>
    </row>
    <row r="2924" spans="1:7" x14ac:dyDescent="0.25">
      <c r="A2924" s="571" t="s">
        <v>655</v>
      </c>
      <c r="B2924" s="573" t="s">
        <v>606</v>
      </c>
      <c r="C2924" s="588" t="s">
        <v>649</v>
      </c>
      <c r="D2924" s="599" t="s">
        <v>648</v>
      </c>
      <c r="E2924" s="577" t="s">
        <v>647</v>
      </c>
      <c r="F2924" s="577" t="s">
        <v>646</v>
      </c>
      <c r="G2924" s="580" t="s">
        <v>645</v>
      </c>
    </row>
    <row r="2925" spans="1:7" ht="15.75" thickBot="1" x14ac:dyDescent="0.3">
      <c r="A2925" s="572"/>
      <c r="B2925" s="574"/>
      <c r="C2925" s="589"/>
      <c r="D2925" s="600"/>
      <c r="E2925" s="578"/>
      <c r="F2925" s="578"/>
      <c r="G2925" s="581"/>
    </row>
    <row r="2926" spans="1:7" ht="15.75" thickBot="1" x14ac:dyDescent="0.3">
      <c r="A2926" s="425">
        <v>1</v>
      </c>
      <c r="B2926" s="425">
        <v>2</v>
      </c>
      <c r="C2926" s="425">
        <v>3</v>
      </c>
      <c r="D2926" s="425">
        <v>4</v>
      </c>
      <c r="E2926" s="425">
        <v>5</v>
      </c>
      <c r="F2926" s="425">
        <v>6</v>
      </c>
      <c r="G2926" s="425">
        <v>7</v>
      </c>
    </row>
    <row r="2927" spans="1:7" x14ac:dyDescent="0.25">
      <c r="A2927" s="320" t="str">
        <f t="shared" ref="A2927:A2941" si="100">$G$2920&amp;B2927</f>
        <v>II.6.1.061</v>
      </c>
      <c r="B2927" s="320">
        <v>1</v>
      </c>
      <c r="C2927" s="339" t="str">
        <f>IFERROR(VLOOKUP(A2927,[3]DOORSCRIEFT!$A$2:$G$6834,2,FALSE),"")</f>
        <v/>
      </c>
      <c r="D2927" s="481" t="str">
        <f>IFERROR(VLOOKUP(A2927,[3]DOORSCRIEFT!$A$2:$G$6834,3,FALSE),"")</f>
        <v/>
      </c>
      <c r="E2927" s="480" t="str">
        <f>IFERROR(VLOOKUP(A2927,[3]DOORSCRIEFT!$A$2:$G$6834,4,FALSE),"")</f>
        <v/>
      </c>
      <c r="F2927" s="405" t="str">
        <f>IFERROR(VLOOKUP(A2927,[3]DOORSCRIEFT!$A$2:$G$6834,7,FALSE),"")</f>
        <v/>
      </c>
      <c r="G2927" s="322"/>
    </row>
    <row r="2928" spans="1:7" x14ac:dyDescent="0.25">
      <c r="A2928" s="321" t="str">
        <f t="shared" si="100"/>
        <v>II.6.1.062</v>
      </c>
      <c r="B2928" s="321">
        <v>2</v>
      </c>
      <c r="C2928" s="339" t="str">
        <f>IFERROR(VLOOKUP(A2928,[3]DOORSCRIEFT!$A$2:$G$6834,2,FALSE),"")</f>
        <v/>
      </c>
      <c r="D2928" s="481" t="str">
        <f>IFERROR(VLOOKUP(A2928,[3]DOORSCRIEFT!$A$2:$G$6834,3,FALSE),"")</f>
        <v/>
      </c>
      <c r="E2928" s="480" t="str">
        <f>IFERROR(VLOOKUP(A2928,[3]DOORSCRIEFT!$A$2:$G$6834,4,FALSE),"")</f>
        <v/>
      </c>
      <c r="F2928" s="405" t="str">
        <f>IFERROR(VLOOKUP(A2928,[3]DOORSCRIEFT!$A$2:$G$6834,7,FALSE),"")</f>
        <v/>
      </c>
      <c r="G2928" s="315"/>
    </row>
    <row r="2929" spans="1:7" x14ac:dyDescent="0.25">
      <c r="A2929" s="321" t="str">
        <f t="shared" si="100"/>
        <v>II.6.1.063</v>
      </c>
      <c r="B2929" s="321">
        <v>3</v>
      </c>
      <c r="C2929" s="339" t="str">
        <f>IFERROR(VLOOKUP(A2929,[3]DOORSCRIEFT!$A$2:$G$6834,2,FALSE),"")</f>
        <v/>
      </c>
      <c r="D2929" s="481" t="str">
        <f>IFERROR(VLOOKUP(A2929,[3]DOORSCRIEFT!$A$2:$G$6834,3,FALSE),"")</f>
        <v/>
      </c>
      <c r="E2929" s="480" t="str">
        <f>IFERROR(VLOOKUP(A2929,[3]DOORSCRIEFT!$A$2:$G$6834,4,FALSE),"")</f>
        <v/>
      </c>
      <c r="F2929" s="405" t="str">
        <f>IFERROR(VLOOKUP(A2929,[3]DOORSCRIEFT!$A$2:$G$6834,7,FALSE),"")</f>
        <v/>
      </c>
      <c r="G2929" s="315"/>
    </row>
    <row r="2930" spans="1:7" x14ac:dyDescent="0.25">
      <c r="A2930" s="321" t="str">
        <f t="shared" si="100"/>
        <v>II.6.1.064</v>
      </c>
      <c r="B2930" s="321">
        <v>4</v>
      </c>
      <c r="C2930" s="339" t="str">
        <f>IFERROR(VLOOKUP(A2930,[3]DOORSCRIEFT!$A$2:$G$6834,2,FALSE),"")</f>
        <v/>
      </c>
      <c r="D2930" s="481" t="str">
        <f>IFERROR(VLOOKUP(A2930,[3]DOORSCRIEFT!$A$2:$G$6834,3,FALSE),"")</f>
        <v/>
      </c>
      <c r="E2930" s="480" t="str">
        <f>IFERROR(VLOOKUP(A2930,[3]DOORSCRIEFT!$A$2:$G$6834,4,FALSE),"")</f>
        <v/>
      </c>
      <c r="F2930" s="405" t="str">
        <f>IFERROR(VLOOKUP(A2930,[3]DOORSCRIEFT!$A$2:$G$6834,7,FALSE),"")</f>
        <v/>
      </c>
      <c r="G2930" s="315"/>
    </row>
    <row r="2931" spans="1:7" x14ac:dyDescent="0.25">
      <c r="A2931" s="321" t="str">
        <f t="shared" si="100"/>
        <v>II.6.1.065</v>
      </c>
      <c r="B2931" s="321">
        <v>5</v>
      </c>
      <c r="C2931" s="339" t="str">
        <f>IFERROR(VLOOKUP(A2931,[3]DOORSCRIEFT!$A$2:$G$6834,2,FALSE),"")</f>
        <v/>
      </c>
      <c r="D2931" s="481" t="str">
        <f>IFERROR(VLOOKUP(A2931,[3]DOORSCRIEFT!$A$2:$G$6834,3,FALSE),"")</f>
        <v/>
      </c>
      <c r="E2931" s="480" t="str">
        <f>IFERROR(VLOOKUP(A2931,[3]DOORSCRIEFT!$A$2:$G$6834,4,FALSE),"")</f>
        <v/>
      </c>
      <c r="F2931" s="405" t="str">
        <f>IFERROR(VLOOKUP(A2931,[3]DOORSCRIEFT!$A$2:$G$6834,7,FALSE),"")</f>
        <v/>
      </c>
      <c r="G2931" s="315"/>
    </row>
    <row r="2932" spans="1:7" x14ac:dyDescent="0.25">
      <c r="A2932" s="321" t="str">
        <f t="shared" si="100"/>
        <v>II.6.1.066</v>
      </c>
      <c r="B2932" s="321">
        <v>6</v>
      </c>
      <c r="C2932" s="339" t="str">
        <f>IFERROR(VLOOKUP(A2932,[3]DOORSCRIEFT!$A$2:$G$6834,2,FALSE),"")</f>
        <v/>
      </c>
      <c r="D2932" s="481" t="str">
        <f>IFERROR(VLOOKUP(A2932,[3]DOORSCRIEFT!$A$2:$G$6834,3,FALSE),"")</f>
        <v/>
      </c>
      <c r="E2932" s="480" t="str">
        <f>IFERROR(VLOOKUP(A2932,[3]DOORSCRIEFT!$A$2:$G$6834,4,FALSE),"")</f>
        <v/>
      </c>
      <c r="F2932" s="405" t="str">
        <f>IFERROR(VLOOKUP(A2932,[3]DOORSCRIEFT!$A$2:$G$6834,7,FALSE),"")</f>
        <v/>
      </c>
      <c r="G2932" s="315"/>
    </row>
    <row r="2933" spans="1:7" x14ac:dyDescent="0.25">
      <c r="A2933" s="321" t="str">
        <f t="shared" si="100"/>
        <v>II.6.1.067</v>
      </c>
      <c r="B2933" s="321">
        <v>7</v>
      </c>
      <c r="C2933" s="339" t="str">
        <f>IFERROR(VLOOKUP(A2933,[3]DOORSCRIEFT!$A$2:$G$6834,2,FALSE),"")</f>
        <v/>
      </c>
      <c r="D2933" s="481" t="str">
        <f>IFERROR(VLOOKUP(A2933,[3]DOORSCRIEFT!$A$2:$G$6834,3,FALSE),"")</f>
        <v/>
      </c>
      <c r="E2933" s="480" t="str">
        <f>IFERROR(VLOOKUP(A2933,[3]DOORSCRIEFT!$A$2:$G$6834,4,FALSE),"")</f>
        <v/>
      </c>
      <c r="F2933" s="405" t="str">
        <f>IFERROR(VLOOKUP(A2933,[3]DOORSCRIEFT!$A$2:$G$6834,7,FALSE),"")</f>
        <v/>
      </c>
      <c r="G2933" s="315"/>
    </row>
    <row r="2934" spans="1:7" x14ac:dyDescent="0.25">
      <c r="A2934" s="321" t="str">
        <f t="shared" si="100"/>
        <v>II.6.1.068</v>
      </c>
      <c r="B2934" s="321">
        <v>8</v>
      </c>
      <c r="C2934" s="339" t="str">
        <f>IFERROR(VLOOKUP(A2934,[3]DOORSCRIEFT!$A$2:$G$6834,2,FALSE),"")</f>
        <v/>
      </c>
      <c r="D2934" s="481" t="str">
        <f>IFERROR(VLOOKUP(A2934,[3]DOORSCRIEFT!$A$2:$G$6834,3,FALSE),"")</f>
        <v/>
      </c>
      <c r="E2934" s="480" t="str">
        <f>IFERROR(VLOOKUP(A2934,[3]DOORSCRIEFT!$A$2:$G$6834,4,FALSE),"")</f>
        <v/>
      </c>
      <c r="F2934" s="405" t="str">
        <f>IFERROR(VLOOKUP(A2934,[3]DOORSCRIEFT!$A$2:$G$6834,7,FALSE),"")</f>
        <v/>
      </c>
      <c r="G2934" s="315"/>
    </row>
    <row r="2935" spans="1:7" x14ac:dyDescent="0.25">
      <c r="A2935" s="321" t="str">
        <f t="shared" si="100"/>
        <v>II.6.1.069</v>
      </c>
      <c r="B2935" s="321">
        <v>9</v>
      </c>
      <c r="C2935" s="339" t="str">
        <f>IFERROR(VLOOKUP(A2935,[3]DOORSCRIEFT!$A$2:$G$6834,2,FALSE),"")</f>
        <v/>
      </c>
      <c r="D2935" s="481" t="str">
        <f>IFERROR(VLOOKUP(A2935,[3]DOORSCRIEFT!$A$2:$G$6834,3,FALSE),"")</f>
        <v/>
      </c>
      <c r="E2935" s="480" t="str">
        <f>IFERROR(VLOOKUP(A2935,[3]DOORSCRIEFT!$A$2:$G$6834,4,FALSE),"")</f>
        <v/>
      </c>
      <c r="F2935" s="405" t="str">
        <f>IFERROR(VLOOKUP(A2935,[3]DOORSCRIEFT!$A$2:$G$6834,7,FALSE),"")</f>
        <v/>
      </c>
      <c r="G2935" s="315"/>
    </row>
    <row r="2936" spans="1:7" x14ac:dyDescent="0.25">
      <c r="A2936" s="321" t="str">
        <f t="shared" si="100"/>
        <v>II.6.1.0610</v>
      </c>
      <c r="B2936" s="321">
        <v>10</v>
      </c>
      <c r="C2936" s="339" t="str">
        <f>IFERROR(VLOOKUP(A2936,[3]DOORSCRIEFT!$A$2:$G$6834,2,FALSE),"")</f>
        <v/>
      </c>
      <c r="D2936" s="481" t="str">
        <f>IFERROR(VLOOKUP(A2936,[3]DOORSCRIEFT!$A$2:$G$6834,3,FALSE),"")</f>
        <v/>
      </c>
      <c r="E2936" s="480" t="str">
        <f>IFERROR(VLOOKUP(A2936,[3]DOORSCRIEFT!$A$2:$G$6834,4,FALSE),"")</f>
        <v/>
      </c>
      <c r="F2936" s="405" t="str">
        <f>IFERROR(VLOOKUP(A2936,[3]DOORSCRIEFT!$A$2:$G$6834,7,FALSE),"")</f>
        <v/>
      </c>
      <c r="G2936" s="315"/>
    </row>
    <row r="2937" spans="1:7" x14ac:dyDescent="0.25">
      <c r="A2937" s="321" t="str">
        <f t="shared" si="100"/>
        <v>II.6.1.0611</v>
      </c>
      <c r="B2937" s="321">
        <v>11</v>
      </c>
      <c r="C2937" s="339" t="str">
        <f>IFERROR(VLOOKUP(A2937,[3]DOORSCRIEFT!$A$2:$G$6834,2,FALSE),"")</f>
        <v/>
      </c>
      <c r="D2937" s="481" t="str">
        <f>IFERROR(VLOOKUP(A2937,[3]DOORSCRIEFT!$A$2:$G$6834,3,FALSE),"")</f>
        <v/>
      </c>
      <c r="E2937" s="480" t="str">
        <f>IFERROR(VLOOKUP(A2937,[3]DOORSCRIEFT!$A$2:$G$6834,4,FALSE),"")</f>
        <v/>
      </c>
      <c r="F2937" s="405" t="str">
        <f>IFERROR(VLOOKUP(A2937,[3]DOORSCRIEFT!$A$2:$G$6834,7,FALSE),"")</f>
        <v/>
      </c>
      <c r="G2937" s="315"/>
    </row>
    <row r="2938" spans="1:7" x14ac:dyDescent="0.25">
      <c r="A2938" s="321" t="str">
        <f t="shared" si="100"/>
        <v>II.6.1.0612</v>
      </c>
      <c r="B2938" s="321">
        <v>12</v>
      </c>
      <c r="C2938" s="339" t="str">
        <f>IFERROR(VLOOKUP(A2938,[3]DOORSCRIEFT!$A$2:$G$6834,2,FALSE),"")</f>
        <v/>
      </c>
      <c r="D2938" s="481" t="str">
        <f>IFERROR(VLOOKUP(A2938,[3]DOORSCRIEFT!$A$2:$G$6834,3,FALSE),"")</f>
        <v/>
      </c>
      <c r="E2938" s="480" t="str">
        <f>IFERROR(VLOOKUP(A2938,[3]DOORSCRIEFT!$A$2:$G$6834,4,FALSE),"")</f>
        <v/>
      </c>
      <c r="F2938" s="405" t="str">
        <f>IFERROR(VLOOKUP(A2938,[3]DOORSCRIEFT!$A$2:$G$6834,7,FALSE),"")</f>
        <v/>
      </c>
      <c r="G2938" s="315"/>
    </row>
    <row r="2939" spans="1:7" x14ac:dyDescent="0.25">
      <c r="A2939" s="321" t="str">
        <f t="shared" si="100"/>
        <v>II.6.1.0613</v>
      </c>
      <c r="B2939" s="321">
        <v>13</v>
      </c>
      <c r="C2939" s="339" t="str">
        <f>IFERROR(VLOOKUP(A2939,[3]DOORSCRIEFT!$A$2:$G$6834,2,FALSE),"")</f>
        <v/>
      </c>
      <c r="D2939" s="481" t="str">
        <f>IFERROR(VLOOKUP(A2939,[3]DOORSCRIEFT!$A$2:$G$6834,3,FALSE),"")</f>
        <v/>
      </c>
      <c r="E2939" s="480" t="str">
        <f>IFERROR(VLOOKUP(A2939,[3]DOORSCRIEFT!$A$2:$G$6834,4,FALSE),"")</f>
        <v/>
      </c>
      <c r="F2939" s="405" t="str">
        <f>IFERROR(VLOOKUP(A2939,[3]DOORSCRIEFT!$A$2:$G$6834,7,FALSE),"")</f>
        <v/>
      </c>
      <c r="G2939" s="315"/>
    </row>
    <row r="2940" spans="1:7" x14ac:dyDescent="0.25">
      <c r="A2940" s="321" t="str">
        <f t="shared" si="100"/>
        <v>II.6.1.0614</v>
      </c>
      <c r="B2940" s="321">
        <v>14</v>
      </c>
      <c r="C2940" s="339" t="str">
        <f>IFERROR(VLOOKUP(A2940,[3]DOORSCRIEFT!$A$2:$G$6834,2,FALSE),"")</f>
        <v/>
      </c>
      <c r="D2940" s="481" t="str">
        <f>IFERROR(VLOOKUP(A2940,[3]DOORSCRIEFT!$A$2:$G$6834,3,FALSE),"")</f>
        <v/>
      </c>
      <c r="E2940" s="480" t="str">
        <f>IFERROR(VLOOKUP(A2940,[3]DOORSCRIEFT!$A$2:$G$6834,4,FALSE),"")</f>
        <v/>
      </c>
      <c r="F2940" s="405" t="str">
        <f>IFERROR(VLOOKUP(A2940,[3]DOORSCRIEFT!$A$2:$G$6834,7,FALSE),"")</f>
        <v/>
      </c>
      <c r="G2940" s="315"/>
    </row>
    <row r="2941" spans="1:7" ht="15.75" thickBot="1" x14ac:dyDescent="0.3">
      <c r="A2941" s="342" t="str">
        <f t="shared" si="100"/>
        <v>II.6.1.0615</v>
      </c>
      <c r="B2941" s="342">
        <v>15</v>
      </c>
      <c r="C2941" s="339" t="str">
        <f>IFERROR(VLOOKUP(A2941,[3]DOORSCRIEFT!$A$2:$G$6834,2,FALSE),"")</f>
        <v/>
      </c>
      <c r="D2941" s="481" t="str">
        <f>IFERROR(VLOOKUP(A2941,[3]DOORSCRIEFT!$A$2:$G$6834,3,FALSE),"")</f>
        <v/>
      </c>
      <c r="E2941" s="480" t="str">
        <f>IFERROR(VLOOKUP(A2941,[3]DOORSCRIEFT!$A$2:$G$6834,4,FALSE),"")</f>
        <v/>
      </c>
      <c r="F2941" s="405" t="str">
        <f>IFERROR(VLOOKUP(A2941,[3]DOORSCRIEFT!$A$2:$G$6834,7,FALSE),"")</f>
        <v/>
      </c>
      <c r="G2941" s="315"/>
    </row>
    <row r="2942" spans="1:7" ht="15.75" thickBot="1" x14ac:dyDescent="0.3">
      <c r="A2942" s="341"/>
      <c r="B2942" s="340"/>
      <c r="C2942" s="336"/>
      <c r="D2942" s="486"/>
      <c r="E2942" s="340" t="s">
        <v>644</v>
      </c>
      <c r="F2942" s="310">
        <f>SUM(F2927:F2941)</f>
        <v>0</v>
      </c>
      <c r="G2942" s="309">
        <f>SUM(G2927:G2941)</f>
        <v>0</v>
      </c>
    </row>
    <row r="2943" spans="1:7" x14ac:dyDescent="0.25">
      <c r="C2943" s="335"/>
      <c r="D2943" s="485"/>
    </row>
    <row r="2944" spans="1:7" x14ac:dyDescent="0.25">
      <c r="C2944" s="335"/>
      <c r="D2944" s="485"/>
    </row>
    <row r="2945" spans="1:7" ht="15.75" x14ac:dyDescent="0.25">
      <c r="C2945" s="334" t="s">
        <v>663</v>
      </c>
      <c r="D2945" s="484"/>
      <c r="E2945" s="333"/>
      <c r="F2945" s="327" t="s">
        <v>607</v>
      </c>
      <c r="G2945" s="327" t="s">
        <v>11</v>
      </c>
    </row>
    <row r="2946" spans="1:7" ht="15.75" x14ac:dyDescent="0.25">
      <c r="C2946" s="334"/>
      <c r="D2946" s="484"/>
      <c r="E2946" s="333"/>
      <c r="F2946" s="327" t="s">
        <v>601</v>
      </c>
      <c r="G2946" s="483" t="s">
        <v>10</v>
      </c>
    </row>
    <row r="2947" spans="1:7" x14ac:dyDescent="0.25">
      <c r="C2947" s="330"/>
      <c r="D2947" s="482"/>
      <c r="E2947" s="329"/>
      <c r="F2947" s="327" t="s">
        <v>651</v>
      </c>
      <c r="G2947" s="331">
        <f>[2]Sheet1!$D$620</f>
        <v>0</v>
      </c>
    </row>
    <row r="2948" spans="1:7" ht="15.75" thickBot="1" x14ac:dyDescent="0.3">
      <c r="C2948" s="330"/>
      <c r="D2948" s="482"/>
      <c r="E2948" s="329"/>
      <c r="F2948" s="327" t="s">
        <v>650</v>
      </c>
      <c r="G2948" s="326">
        <f>+F2967-G2947</f>
        <v>0</v>
      </c>
    </row>
    <row r="2949" spans="1:7" x14ac:dyDescent="0.25">
      <c r="A2949" s="571" t="s">
        <v>655</v>
      </c>
      <c r="B2949" s="573" t="s">
        <v>606</v>
      </c>
      <c r="C2949" s="588" t="s">
        <v>649</v>
      </c>
      <c r="D2949" s="599" t="s">
        <v>648</v>
      </c>
      <c r="E2949" s="577" t="s">
        <v>647</v>
      </c>
      <c r="F2949" s="577" t="s">
        <v>646</v>
      </c>
      <c r="G2949" s="580" t="s">
        <v>645</v>
      </c>
    </row>
    <row r="2950" spans="1:7" ht="15.75" thickBot="1" x14ac:dyDescent="0.3">
      <c r="A2950" s="572"/>
      <c r="B2950" s="574"/>
      <c r="C2950" s="589"/>
      <c r="D2950" s="600"/>
      <c r="E2950" s="578"/>
      <c r="F2950" s="578"/>
      <c r="G2950" s="581"/>
    </row>
    <row r="2951" spans="1:7" ht="15.75" thickBot="1" x14ac:dyDescent="0.3">
      <c r="A2951" s="425">
        <v>1</v>
      </c>
      <c r="B2951" s="425">
        <v>2</v>
      </c>
      <c r="C2951" s="425">
        <v>3</v>
      </c>
      <c r="D2951" s="425">
        <v>4</v>
      </c>
      <c r="E2951" s="425">
        <v>5</v>
      </c>
      <c r="F2951" s="425">
        <v>6</v>
      </c>
      <c r="G2951" s="425">
        <v>7</v>
      </c>
    </row>
    <row r="2952" spans="1:7" x14ac:dyDescent="0.25">
      <c r="A2952" s="320" t="str">
        <f t="shared" ref="A2952:A2966" si="101">$G$2945&amp;B2952</f>
        <v>II.6.1.071</v>
      </c>
      <c r="B2952" s="320">
        <v>1</v>
      </c>
      <c r="C2952" s="339" t="str">
        <f>IFERROR(VLOOKUP(A2952,[3]DOORSCRIEFT!$A$2:$G$6834,2,FALSE),"")</f>
        <v/>
      </c>
      <c r="D2952" s="481" t="str">
        <f>IFERROR(VLOOKUP(A2952,[3]DOORSCRIEFT!$A$2:$G$6834,3,FALSE),"")</f>
        <v/>
      </c>
      <c r="E2952" s="480" t="str">
        <f>IFERROR(VLOOKUP(A2952,[3]DOORSCRIEFT!$A$2:$G$6834,4,FALSE),"")</f>
        <v/>
      </c>
      <c r="F2952" s="405" t="str">
        <f>IFERROR(VLOOKUP(A2952,[3]DOORSCRIEFT!$A$2:$G$6834,7,FALSE),"")</f>
        <v/>
      </c>
      <c r="G2952" s="322"/>
    </row>
    <row r="2953" spans="1:7" x14ac:dyDescent="0.25">
      <c r="A2953" s="321" t="str">
        <f t="shared" si="101"/>
        <v>II.6.1.072</v>
      </c>
      <c r="B2953" s="321">
        <v>2</v>
      </c>
      <c r="C2953" s="339" t="str">
        <f>IFERROR(VLOOKUP(A2953,[3]DOORSCRIEFT!$A$2:$G$6834,2,FALSE),"")</f>
        <v/>
      </c>
      <c r="D2953" s="481" t="str">
        <f>IFERROR(VLOOKUP(A2953,[3]DOORSCRIEFT!$A$2:$G$6834,3,FALSE),"")</f>
        <v/>
      </c>
      <c r="E2953" s="480" t="str">
        <f>IFERROR(VLOOKUP(A2953,[3]DOORSCRIEFT!$A$2:$G$6834,4,FALSE),"")</f>
        <v/>
      </c>
      <c r="F2953" s="405" t="str">
        <f>IFERROR(VLOOKUP(A2953,[3]DOORSCRIEFT!$A$2:$G$6834,7,FALSE),"")</f>
        <v/>
      </c>
      <c r="G2953" s="315"/>
    </row>
    <row r="2954" spans="1:7" x14ac:dyDescent="0.25">
      <c r="A2954" s="321" t="str">
        <f t="shared" si="101"/>
        <v>II.6.1.073</v>
      </c>
      <c r="B2954" s="321">
        <v>3</v>
      </c>
      <c r="C2954" s="339" t="str">
        <f>IFERROR(VLOOKUP(A2954,[3]DOORSCRIEFT!$A$2:$G$6834,2,FALSE),"")</f>
        <v/>
      </c>
      <c r="D2954" s="481" t="str">
        <f>IFERROR(VLOOKUP(A2954,[3]DOORSCRIEFT!$A$2:$G$6834,3,FALSE),"")</f>
        <v/>
      </c>
      <c r="E2954" s="480" t="str">
        <f>IFERROR(VLOOKUP(A2954,[3]DOORSCRIEFT!$A$2:$G$6834,4,FALSE),"")</f>
        <v/>
      </c>
      <c r="F2954" s="405" t="str">
        <f>IFERROR(VLOOKUP(A2954,[3]DOORSCRIEFT!$A$2:$G$6834,7,FALSE),"")</f>
        <v/>
      </c>
      <c r="G2954" s="315"/>
    </row>
    <row r="2955" spans="1:7" x14ac:dyDescent="0.25">
      <c r="A2955" s="321" t="str">
        <f t="shared" si="101"/>
        <v>II.6.1.074</v>
      </c>
      <c r="B2955" s="321">
        <v>4</v>
      </c>
      <c r="C2955" s="339" t="str">
        <f>IFERROR(VLOOKUP(A2955,[3]DOORSCRIEFT!$A$2:$G$6834,2,FALSE),"")</f>
        <v/>
      </c>
      <c r="D2955" s="481" t="str">
        <f>IFERROR(VLOOKUP(A2955,[3]DOORSCRIEFT!$A$2:$G$6834,3,FALSE),"")</f>
        <v/>
      </c>
      <c r="E2955" s="480" t="str">
        <f>IFERROR(VLOOKUP(A2955,[3]DOORSCRIEFT!$A$2:$G$6834,4,FALSE),"")</f>
        <v/>
      </c>
      <c r="F2955" s="405" t="str">
        <f>IFERROR(VLOOKUP(A2955,[3]DOORSCRIEFT!$A$2:$G$6834,7,FALSE),"")</f>
        <v/>
      </c>
      <c r="G2955" s="315"/>
    </row>
    <row r="2956" spans="1:7" x14ac:dyDescent="0.25">
      <c r="A2956" s="321" t="str">
        <f t="shared" si="101"/>
        <v>II.6.1.075</v>
      </c>
      <c r="B2956" s="321">
        <v>5</v>
      </c>
      <c r="C2956" s="339" t="str">
        <f>IFERROR(VLOOKUP(A2956,[3]DOORSCRIEFT!$A$2:$G$6834,2,FALSE),"")</f>
        <v/>
      </c>
      <c r="D2956" s="481" t="str">
        <f>IFERROR(VLOOKUP(A2956,[3]DOORSCRIEFT!$A$2:$G$6834,3,FALSE),"")</f>
        <v/>
      </c>
      <c r="E2956" s="480" t="str">
        <f>IFERROR(VLOOKUP(A2956,[3]DOORSCRIEFT!$A$2:$G$6834,4,FALSE),"")</f>
        <v/>
      </c>
      <c r="F2956" s="405" t="str">
        <f>IFERROR(VLOOKUP(A2956,[3]DOORSCRIEFT!$A$2:$G$6834,7,FALSE),"")</f>
        <v/>
      </c>
      <c r="G2956" s="315"/>
    </row>
    <row r="2957" spans="1:7" x14ac:dyDescent="0.25">
      <c r="A2957" s="321" t="str">
        <f t="shared" si="101"/>
        <v>II.6.1.076</v>
      </c>
      <c r="B2957" s="321">
        <v>6</v>
      </c>
      <c r="C2957" s="339" t="str">
        <f>IFERROR(VLOOKUP(A2957,[3]DOORSCRIEFT!$A$2:$G$6834,2,FALSE),"")</f>
        <v/>
      </c>
      <c r="D2957" s="481" t="str">
        <f>IFERROR(VLOOKUP(A2957,[3]DOORSCRIEFT!$A$2:$G$6834,3,FALSE),"")</f>
        <v/>
      </c>
      <c r="E2957" s="480" t="str">
        <f>IFERROR(VLOOKUP(A2957,[3]DOORSCRIEFT!$A$2:$G$6834,4,FALSE),"")</f>
        <v/>
      </c>
      <c r="F2957" s="405" t="str">
        <f>IFERROR(VLOOKUP(A2957,[3]DOORSCRIEFT!$A$2:$G$6834,7,FALSE),"")</f>
        <v/>
      </c>
      <c r="G2957" s="315"/>
    </row>
    <row r="2958" spans="1:7" x14ac:dyDescent="0.25">
      <c r="A2958" s="321" t="str">
        <f t="shared" si="101"/>
        <v>II.6.1.077</v>
      </c>
      <c r="B2958" s="321">
        <v>7</v>
      </c>
      <c r="C2958" s="339" t="str">
        <f>IFERROR(VLOOKUP(A2958,[3]DOORSCRIEFT!$A$2:$G$6834,2,FALSE),"")</f>
        <v/>
      </c>
      <c r="D2958" s="481" t="str">
        <f>IFERROR(VLOOKUP(A2958,[3]DOORSCRIEFT!$A$2:$G$6834,3,FALSE),"")</f>
        <v/>
      </c>
      <c r="E2958" s="480" t="str">
        <f>IFERROR(VLOOKUP(A2958,[3]DOORSCRIEFT!$A$2:$G$6834,4,FALSE),"")</f>
        <v/>
      </c>
      <c r="F2958" s="405" t="str">
        <f>IFERROR(VLOOKUP(A2958,[3]DOORSCRIEFT!$A$2:$G$6834,7,FALSE),"")</f>
        <v/>
      </c>
      <c r="G2958" s="315"/>
    </row>
    <row r="2959" spans="1:7" x14ac:dyDescent="0.25">
      <c r="A2959" s="321" t="str">
        <f t="shared" si="101"/>
        <v>II.6.1.078</v>
      </c>
      <c r="B2959" s="321">
        <v>8</v>
      </c>
      <c r="C2959" s="339" t="str">
        <f>IFERROR(VLOOKUP(A2959,[3]DOORSCRIEFT!$A$2:$G$6834,2,FALSE),"")</f>
        <v/>
      </c>
      <c r="D2959" s="481" t="str">
        <f>IFERROR(VLOOKUP(A2959,[3]DOORSCRIEFT!$A$2:$G$6834,3,FALSE),"")</f>
        <v/>
      </c>
      <c r="E2959" s="480" t="str">
        <f>IFERROR(VLOOKUP(A2959,[3]DOORSCRIEFT!$A$2:$G$6834,4,FALSE),"")</f>
        <v/>
      </c>
      <c r="F2959" s="405" t="str">
        <f>IFERROR(VLOOKUP(A2959,[3]DOORSCRIEFT!$A$2:$G$6834,7,FALSE),"")</f>
        <v/>
      </c>
      <c r="G2959" s="315"/>
    </row>
    <row r="2960" spans="1:7" x14ac:dyDescent="0.25">
      <c r="A2960" s="321" t="str">
        <f t="shared" si="101"/>
        <v>II.6.1.079</v>
      </c>
      <c r="B2960" s="321">
        <v>9</v>
      </c>
      <c r="C2960" s="339" t="str">
        <f>IFERROR(VLOOKUP(A2960,[3]DOORSCRIEFT!$A$2:$G$6834,2,FALSE),"")</f>
        <v/>
      </c>
      <c r="D2960" s="481" t="str">
        <f>IFERROR(VLOOKUP(A2960,[3]DOORSCRIEFT!$A$2:$G$6834,3,FALSE),"")</f>
        <v/>
      </c>
      <c r="E2960" s="480" t="str">
        <f>IFERROR(VLOOKUP(A2960,[3]DOORSCRIEFT!$A$2:$G$6834,4,FALSE),"")</f>
        <v/>
      </c>
      <c r="F2960" s="405" t="str">
        <f>IFERROR(VLOOKUP(A2960,[3]DOORSCRIEFT!$A$2:$G$6834,7,FALSE),"")</f>
        <v/>
      </c>
      <c r="G2960" s="315"/>
    </row>
    <row r="2961" spans="1:7" x14ac:dyDescent="0.25">
      <c r="A2961" s="321" t="str">
        <f t="shared" si="101"/>
        <v>II.6.1.0710</v>
      </c>
      <c r="B2961" s="321">
        <v>10</v>
      </c>
      <c r="C2961" s="339" t="str">
        <f>IFERROR(VLOOKUP(A2961,[3]DOORSCRIEFT!$A$2:$G$6834,2,FALSE),"")</f>
        <v/>
      </c>
      <c r="D2961" s="481" t="str">
        <f>IFERROR(VLOOKUP(A2961,[3]DOORSCRIEFT!$A$2:$G$6834,3,FALSE),"")</f>
        <v/>
      </c>
      <c r="E2961" s="480" t="str">
        <f>IFERROR(VLOOKUP(A2961,[3]DOORSCRIEFT!$A$2:$G$6834,4,FALSE),"")</f>
        <v/>
      </c>
      <c r="F2961" s="405" t="str">
        <f>IFERROR(VLOOKUP(A2961,[3]DOORSCRIEFT!$A$2:$G$6834,7,FALSE),"")</f>
        <v/>
      </c>
      <c r="G2961" s="315"/>
    </row>
    <row r="2962" spans="1:7" x14ac:dyDescent="0.25">
      <c r="A2962" s="321" t="str">
        <f t="shared" si="101"/>
        <v>II.6.1.0711</v>
      </c>
      <c r="B2962" s="321">
        <v>11</v>
      </c>
      <c r="C2962" s="339" t="str">
        <f>IFERROR(VLOOKUP(A2962,[3]DOORSCRIEFT!$A$2:$G$6834,2,FALSE),"")</f>
        <v/>
      </c>
      <c r="D2962" s="481" t="str">
        <f>IFERROR(VLOOKUP(A2962,[3]DOORSCRIEFT!$A$2:$G$6834,3,FALSE),"")</f>
        <v/>
      </c>
      <c r="E2962" s="480" t="str">
        <f>IFERROR(VLOOKUP(A2962,[3]DOORSCRIEFT!$A$2:$G$6834,4,FALSE),"")</f>
        <v/>
      </c>
      <c r="F2962" s="405" t="str">
        <f>IFERROR(VLOOKUP(A2962,[3]DOORSCRIEFT!$A$2:$G$6834,7,FALSE),"")</f>
        <v/>
      </c>
      <c r="G2962" s="315"/>
    </row>
    <row r="2963" spans="1:7" x14ac:dyDescent="0.25">
      <c r="A2963" s="321" t="str">
        <f t="shared" si="101"/>
        <v>II.6.1.0712</v>
      </c>
      <c r="B2963" s="321">
        <v>12</v>
      </c>
      <c r="C2963" s="339" t="str">
        <f>IFERROR(VLOOKUP(A2963,[3]DOORSCRIEFT!$A$2:$G$6834,2,FALSE),"")</f>
        <v/>
      </c>
      <c r="D2963" s="481" t="str">
        <f>IFERROR(VLOOKUP(A2963,[3]DOORSCRIEFT!$A$2:$G$6834,3,FALSE),"")</f>
        <v/>
      </c>
      <c r="E2963" s="480" t="str">
        <f>IFERROR(VLOOKUP(A2963,[3]DOORSCRIEFT!$A$2:$G$6834,4,FALSE),"")</f>
        <v/>
      </c>
      <c r="F2963" s="405" t="str">
        <f>IFERROR(VLOOKUP(A2963,[3]DOORSCRIEFT!$A$2:$G$6834,7,FALSE),"")</f>
        <v/>
      </c>
      <c r="G2963" s="315"/>
    </row>
    <row r="2964" spans="1:7" x14ac:dyDescent="0.25">
      <c r="A2964" s="321" t="str">
        <f t="shared" si="101"/>
        <v>II.6.1.0713</v>
      </c>
      <c r="B2964" s="321">
        <v>13</v>
      </c>
      <c r="C2964" s="339" t="str">
        <f>IFERROR(VLOOKUP(A2964,[3]DOORSCRIEFT!$A$2:$G$6834,2,FALSE),"")</f>
        <v/>
      </c>
      <c r="D2964" s="481" t="str">
        <f>IFERROR(VLOOKUP(A2964,[3]DOORSCRIEFT!$A$2:$G$6834,3,FALSE),"")</f>
        <v/>
      </c>
      <c r="E2964" s="480" t="str">
        <f>IFERROR(VLOOKUP(A2964,[3]DOORSCRIEFT!$A$2:$G$6834,4,FALSE),"")</f>
        <v/>
      </c>
      <c r="F2964" s="405" t="str">
        <f>IFERROR(VLOOKUP(A2964,[3]DOORSCRIEFT!$A$2:$G$6834,7,FALSE),"")</f>
        <v/>
      </c>
      <c r="G2964" s="315"/>
    </row>
    <row r="2965" spans="1:7" x14ac:dyDescent="0.25">
      <c r="A2965" s="321" t="str">
        <f t="shared" si="101"/>
        <v>II.6.1.0714</v>
      </c>
      <c r="B2965" s="321">
        <v>14</v>
      </c>
      <c r="C2965" s="339" t="str">
        <f>IFERROR(VLOOKUP(A2965,[3]DOORSCRIEFT!$A$2:$G$6834,2,FALSE),"")</f>
        <v/>
      </c>
      <c r="D2965" s="481" t="str">
        <f>IFERROR(VLOOKUP(A2965,[3]DOORSCRIEFT!$A$2:$G$6834,3,FALSE),"")</f>
        <v/>
      </c>
      <c r="E2965" s="480" t="str">
        <f>IFERROR(VLOOKUP(A2965,[3]DOORSCRIEFT!$A$2:$G$6834,4,FALSE),"")</f>
        <v/>
      </c>
      <c r="F2965" s="405" t="str">
        <f>IFERROR(VLOOKUP(A2965,[3]DOORSCRIEFT!$A$2:$G$6834,7,FALSE),"")</f>
        <v/>
      </c>
      <c r="G2965" s="315"/>
    </row>
    <row r="2966" spans="1:7" ht="15.75" thickBot="1" x14ac:dyDescent="0.3">
      <c r="A2966" s="342" t="str">
        <f t="shared" si="101"/>
        <v>II.6.1.0715</v>
      </c>
      <c r="B2966" s="342">
        <v>15</v>
      </c>
      <c r="C2966" s="339" t="str">
        <f>IFERROR(VLOOKUP(A2966,[3]DOORSCRIEFT!$A$2:$G$6834,2,FALSE),"")</f>
        <v/>
      </c>
      <c r="D2966" s="481" t="str">
        <f>IFERROR(VLOOKUP(A2966,[3]DOORSCRIEFT!$A$2:$G$6834,3,FALSE),"")</f>
        <v/>
      </c>
      <c r="E2966" s="480" t="str">
        <f>IFERROR(VLOOKUP(A2966,[3]DOORSCRIEFT!$A$2:$G$6834,4,FALSE),"")</f>
        <v/>
      </c>
      <c r="F2966" s="405" t="str">
        <f>IFERROR(VLOOKUP(A2966,[3]DOORSCRIEFT!$A$2:$G$6834,7,FALSE),"")</f>
        <v/>
      </c>
      <c r="G2966" s="315"/>
    </row>
    <row r="2967" spans="1:7" ht="15.75" thickBot="1" x14ac:dyDescent="0.3">
      <c r="A2967" s="341"/>
      <c r="B2967" s="340"/>
      <c r="C2967" s="336"/>
      <c r="D2967" s="486"/>
      <c r="E2967" s="340" t="s">
        <v>644</v>
      </c>
      <c r="F2967" s="310">
        <f>SUM(F2952:F2966)</f>
        <v>0</v>
      </c>
      <c r="G2967" s="309">
        <f>SUM(G2952:G2966)</f>
        <v>0</v>
      </c>
    </row>
    <row r="2968" spans="1:7" x14ac:dyDescent="0.25">
      <c r="C2968" s="335"/>
      <c r="D2968" s="485"/>
    </row>
    <row r="2969" spans="1:7" x14ac:dyDescent="0.25">
      <c r="C2969" s="335"/>
      <c r="D2969" s="485"/>
    </row>
    <row r="2970" spans="1:7" ht="15.75" x14ac:dyDescent="0.25">
      <c r="C2970" s="334" t="s">
        <v>663</v>
      </c>
      <c r="D2970" s="484"/>
      <c r="E2970" s="333"/>
      <c r="F2970" s="327" t="s">
        <v>607</v>
      </c>
      <c r="G2970" s="327" t="s">
        <v>9</v>
      </c>
    </row>
    <row r="2971" spans="1:7" ht="15.75" x14ac:dyDescent="0.25">
      <c r="C2971" s="334"/>
      <c r="D2971" s="484"/>
      <c r="E2971" s="333"/>
      <c r="F2971" s="327" t="s">
        <v>601</v>
      </c>
      <c r="G2971" s="483" t="s">
        <v>8</v>
      </c>
    </row>
    <row r="2972" spans="1:7" x14ac:dyDescent="0.25">
      <c r="C2972" s="330"/>
      <c r="D2972" s="482"/>
      <c r="E2972" s="329"/>
      <c r="F2972" s="327" t="s">
        <v>651</v>
      </c>
      <c r="G2972" s="331">
        <f>[2]Sheet1!$D$621</f>
        <v>0</v>
      </c>
    </row>
    <row r="2973" spans="1:7" ht="15.75" thickBot="1" x14ac:dyDescent="0.3">
      <c r="C2973" s="330"/>
      <c r="D2973" s="482"/>
      <c r="E2973" s="329"/>
      <c r="F2973" s="327" t="s">
        <v>650</v>
      </c>
      <c r="G2973" s="326">
        <f>+F2992-G2972</f>
        <v>0</v>
      </c>
    </row>
    <row r="2974" spans="1:7" x14ac:dyDescent="0.25">
      <c r="A2974" s="571" t="s">
        <v>655</v>
      </c>
      <c r="B2974" s="573" t="s">
        <v>606</v>
      </c>
      <c r="C2974" s="588" t="s">
        <v>649</v>
      </c>
      <c r="D2974" s="599" t="s">
        <v>648</v>
      </c>
      <c r="E2974" s="577" t="s">
        <v>647</v>
      </c>
      <c r="F2974" s="577" t="s">
        <v>646</v>
      </c>
      <c r="G2974" s="580" t="s">
        <v>645</v>
      </c>
    </row>
    <row r="2975" spans="1:7" ht="15.75" thickBot="1" x14ac:dyDescent="0.3">
      <c r="A2975" s="572"/>
      <c r="B2975" s="574"/>
      <c r="C2975" s="589"/>
      <c r="D2975" s="600"/>
      <c r="E2975" s="578"/>
      <c r="F2975" s="578"/>
      <c r="G2975" s="581"/>
    </row>
    <row r="2976" spans="1:7" ht="15.75" thickBot="1" x14ac:dyDescent="0.3">
      <c r="A2976" s="425">
        <v>1</v>
      </c>
      <c r="B2976" s="425">
        <v>2</v>
      </c>
      <c r="C2976" s="425">
        <v>3</v>
      </c>
      <c r="D2976" s="425">
        <v>4</v>
      </c>
      <c r="E2976" s="425">
        <v>5</v>
      </c>
      <c r="F2976" s="425">
        <v>6</v>
      </c>
      <c r="G2976" s="425">
        <v>7</v>
      </c>
    </row>
    <row r="2977" spans="1:7" x14ac:dyDescent="0.25">
      <c r="A2977" s="320" t="str">
        <f t="shared" ref="A2977:A2991" si="102">$G$2970&amp;B2977</f>
        <v>II.6.1.081</v>
      </c>
      <c r="B2977" s="320">
        <v>1</v>
      </c>
      <c r="C2977" s="339" t="str">
        <f>IFERROR(VLOOKUP(A2977,[3]DOORSCRIEFT!$A$2:$G$6834,2,FALSE),"")</f>
        <v/>
      </c>
      <c r="D2977" s="481" t="str">
        <f>IFERROR(VLOOKUP(A2977,[3]DOORSCRIEFT!$A$2:$G$6834,3,FALSE),"")</f>
        <v/>
      </c>
      <c r="E2977" s="480" t="str">
        <f>IFERROR(VLOOKUP(A2977,[3]DOORSCRIEFT!$A$2:$G$6834,4,FALSE),"")</f>
        <v/>
      </c>
      <c r="F2977" s="405" t="str">
        <f>IFERROR(VLOOKUP(A2977,[3]DOORSCRIEFT!$A$2:$G$6834,7,FALSE),"")</f>
        <v/>
      </c>
      <c r="G2977" s="322"/>
    </row>
    <row r="2978" spans="1:7" x14ac:dyDescent="0.25">
      <c r="A2978" s="321" t="str">
        <f t="shared" si="102"/>
        <v>II.6.1.082</v>
      </c>
      <c r="B2978" s="321">
        <v>2</v>
      </c>
      <c r="C2978" s="339" t="str">
        <f>IFERROR(VLOOKUP(A2978,[3]DOORSCRIEFT!$A$2:$G$6834,2,FALSE),"")</f>
        <v/>
      </c>
      <c r="D2978" s="481" t="str">
        <f>IFERROR(VLOOKUP(A2978,[3]DOORSCRIEFT!$A$2:$G$6834,3,FALSE),"")</f>
        <v/>
      </c>
      <c r="E2978" s="480" t="str">
        <f>IFERROR(VLOOKUP(A2978,[3]DOORSCRIEFT!$A$2:$G$6834,4,FALSE),"")</f>
        <v/>
      </c>
      <c r="F2978" s="405" t="str">
        <f>IFERROR(VLOOKUP(A2978,[3]DOORSCRIEFT!$A$2:$G$6834,7,FALSE),"")</f>
        <v/>
      </c>
      <c r="G2978" s="315"/>
    </row>
    <row r="2979" spans="1:7" x14ac:dyDescent="0.25">
      <c r="A2979" s="321" t="str">
        <f t="shared" si="102"/>
        <v>II.6.1.083</v>
      </c>
      <c r="B2979" s="321">
        <v>3</v>
      </c>
      <c r="C2979" s="339" t="str">
        <f>IFERROR(VLOOKUP(A2979,[3]DOORSCRIEFT!$A$2:$G$6834,2,FALSE),"")</f>
        <v/>
      </c>
      <c r="D2979" s="481" t="str">
        <f>IFERROR(VLOOKUP(A2979,[3]DOORSCRIEFT!$A$2:$G$6834,3,FALSE),"")</f>
        <v/>
      </c>
      <c r="E2979" s="480" t="str">
        <f>IFERROR(VLOOKUP(A2979,[3]DOORSCRIEFT!$A$2:$G$6834,4,FALSE),"")</f>
        <v/>
      </c>
      <c r="F2979" s="405" t="str">
        <f>IFERROR(VLOOKUP(A2979,[3]DOORSCRIEFT!$A$2:$G$6834,7,FALSE),"")</f>
        <v/>
      </c>
      <c r="G2979" s="315"/>
    </row>
    <row r="2980" spans="1:7" x14ac:dyDescent="0.25">
      <c r="A2980" s="321" t="str">
        <f t="shared" si="102"/>
        <v>II.6.1.084</v>
      </c>
      <c r="B2980" s="321">
        <v>4</v>
      </c>
      <c r="C2980" s="339" t="str">
        <f>IFERROR(VLOOKUP(A2980,[3]DOORSCRIEFT!$A$2:$G$6834,2,FALSE),"")</f>
        <v/>
      </c>
      <c r="D2980" s="481" t="str">
        <f>IFERROR(VLOOKUP(A2980,[3]DOORSCRIEFT!$A$2:$G$6834,3,FALSE),"")</f>
        <v/>
      </c>
      <c r="E2980" s="480" t="str">
        <f>IFERROR(VLOOKUP(A2980,[3]DOORSCRIEFT!$A$2:$G$6834,4,FALSE),"")</f>
        <v/>
      </c>
      <c r="F2980" s="405" t="str">
        <f>IFERROR(VLOOKUP(A2980,[3]DOORSCRIEFT!$A$2:$G$6834,7,FALSE),"")</f>
        <v/>
      </c>
      <c r="G2980" s="315"/>
    </row>
    <row r="2981" spans="1:7" x14ac:dyDescent="0.25">
      <c r="A2981" s="321" t="str">
        <f t="shared" si="102"/>
        <v>II.6.1.085</v>
      </c>
      <c r="B2981" s="321">
        <v>5</v>
      </c>
      <c r="C2981" s="339" t="str">
        <f>IFERROR(VLOOKUP(A2981,[3]DOORSCRIEFT!$A$2:$G$6834,2,FALSE),"")</f>
        <v/>
      </c>
      <c r="D2981" s="481" t="str">
        <f>IFERROR(VLOOKUP(A2981,[3]DOORSCRIEFT!$A$2:$G$6834,3,FALSE),"")</f>
        <v/>
      </c>
      <c r="E2981" s="480" t="str">
        <f>IFERROR(VLOOKUP(A2981,[3]DOORSCRIEFT!$A$2:$G$6834,4,FALSE),"")</f>
        <v/>
      </c>
      <c r="F2981" s="405" t="str">
        <f>IFERROR(VLOOKUP(A2981,[3]DOORSCRIEFT!$A$2:$G$6834,7,FALSE),"")</f>
        <v/>
      </c>
      <c r="G2981" s="315"/>
    </row>
    <row r="2982" spans="1:7" x14ac:dyDescent="0.25">
      <c r="A2982" s="321" t="str">
        <f t="shared" si="102"/>
        <v>II.6.1.086</v>
      </c>
      <c r="B2982" s="321">
        <v>6</v>
      </c>
      <c r="C2982" s="339" t="str">
        <f>IFERROR(VLOOKUP(A2982,[3]DOORSCRIEFT!$A$2:$G$6834,2,FALSE),"")</f>
        <v/>
      </c>
      <c r="D2982" s="481" t="str">
        <f>IFERROR(VLOOKUP(A2982,[3]DOORSCRIEFT!$A$2:$G$6834,3,FALSE),"")</f>
        <v/>
      </c>
      <c r="E2982" s="480" t="str">
        <f>IFERROR(VLOOKUP(A2982,[3]DOORSCRIEFT!$A$2:$G$6834,4,FALSE),"")</f>
        <v/>
      </c>
      <c r="F2982" s="405" t="str">
        <f>IFERROR(VLOOKUP(A2982,[3]DOORSCRIEFT!$A$2:$G$6834,7,FALSE),"")</f>
        <v/>
      </c>
      <c r="G2982" s="315"/>
    </row>
    <row r="2983" spans="1:7" x14ac:dyDescent="0.25">
      <c r="A2983" s="321" t="str">
        <f t="shared" si="102"/>
        <v>II.6.1.087</v>
      </c>
      <c r="B2983" s="321">
        <v>7</v>
      </c>
      <c r="C2983" s="339" t="str">
        <f>IFERROR(VLOOKUP(A2983,[3]DOORSCRIEFT!$A$2:$G$6834,2,FALSE),"")</f>
        <v/>
      </c>
      <c r="D2983" s="481" t="str">
        <f>IFERROR(VLOOKUP(A2983,[3]DOORSCRIEFT!$A$2:$G$6834,3,FALSE),"")</f>
        <v/>
      </c>
      <c r="E2983" s="480" t="str">
        <f>IFERROR(VLOOKUP(A2983,[3]DOORSCRIEFT!$A$2:$G$6834,4,FALSE),"")</f>
        <v/>
      </c>
      <c r="F2983" s="405" t="str">
        <f>IFERROR(VLOOKUP(A2983,[3]DOORSCRIEFT!$A$2:$G$6834,7,FALSE),"")</f>
        <v/>
      </c>
      <c r="G2983" s="315"/>
    </row>
    <row r="2984" spans="1:7" x14ac:dyDescent="0.25">
      <c r="A2984" s="321" t="str">
        <f t="shared" si="102"/>
        <v>II.6.1.088</v>
      </c>
      <c r="B2984" s="321">
        <v>8</v>
      </c>
      <c r="C2984" s="339" t="str">
        <f>IFERROR(VLOOKUP(A2984,[3]DOORSCRIEFT!$A$2:$G$6834,2,FALSE),"")</f>
        <v/>
      </c>
      <c r="D2984" s="481" t="str">
        <f>IFERROR(VLOOKUP(A2984,[3]DOORSCRIEFT!$A$2:$G$6834,3,FALSE),"")</f>
        <v/>
      </c>
      <c r="E2984" s="480" t="str">
        <f>IFERROR(VLOOKUP(A2984,[3]DOORSCRIEFT!$A$2:$G$6834,4,FALSE),"")</f>
        <v/>
      </c>
      <c r="F2984" s="405" t="str">
        <f>IFERROR(VLOOKUP(A2984,[3]DOORSCRIEFT!$A$2:$G$6834,7,FALSE),"")</f>
        <v/>
      </c>
      <c r="G2984" s="315"/>
    </row>
    <row r="2985" spans="1:7" x14ac:dyDescent="0.25">
      <c r="A2985" s="321" t="str">
        <f t="shared" si="102"/>
        <v>II.6.1.089</v>
      </c>
      <c r="B2985" s="321">
        <v>9</v>
      </c>
      <c r="C2985" s="339" t="str">
        <f>IFERROR(VLOOKUP(A2985,[3]DOORSCRIEFT!$A$2:$G$6834,2,FALSE),"")</f>
        <v/>
      </c>
      <c r="D2985" s="481" t="str">
        <f>IFERROR(VLOOKUP(A2985,[3]DOORSCRIEFT!$A$2:$G$6834,3,FALSE),"")</f>
        <v/>
      </c>
      <c r="E2985" s="480" t="str">
        <f>IFERROR(VLOOKUP(A2985,[3]DOORSCRIEFT!$A$2:$G$6834,4,FALSE),"")</f>
        <v/>
      </c>
      <c r="F2985" s="405" t="str">
        <f>IFERROR(VLOOKUP(A2985,[3]DOORSCRIEFT!$A$2:$G$6834,7,FALSE),"")</f>
        <v/>
      </c>
      <c r="G2985" s="315"/>
    </row>
    <row r="2986" spans="1:7" x14ac:dyDescent="0.25">
      <c r="A2986" s="321" t="str">
        <f t="shared" si="102"/>
        <v>II.6.1.0810</v>
      </c>
      <c r="B2986" s="321">
        <v>10</v>
      </c>
      <c r="C2986" s="339" t="str">
        <f>IFERROR(VLOOKUP(A2986,[3]DOORSCRIEFT!$A$2:$G$6834,2,FALSE),"")</f>
        <v/>
      </c>
      <c r="D2986" s="481" t="str">
        <f>IFERROR(VLOOKUP(A2986,[3]DOORSCRIEFT!$A$2:$G$6834,3,FALSE),"")</f>
        <v/>
      </c>
      <c r="E2986" s="480" t="str">
        <f>IFERROR(VLOOKUP(A2986,[3]DOORSCRIEFT!$A$2:$G$6834,4,FALSE),"")</f>
        <v/>
      </c>
      <c r="F2986" s="405" t="str">
        <f>IFERROR(VLOOKUP(A2986,[3]DOORSCRIEFT!$A$2:$G$6834,7,FALSE),"")</f>
        <v/>
      </c>
      <c r="G2986" s="315"/>
    </row>
    <row r="2987" spans="1:7" x14ac:dyDescent="0.25">
      <c r="A2987" s="321" t="str">
        <f t="shared" si="102"/>
        <v>II.6.1.0811</v>
      </c>
      <c r="B2987" s="321">
        <v>11</v>
      </c>
      <c r="C2987" s="339" t="str">
        <f>IFERROR(VLOOKUP(A2987,[3]DOORSCRIEFT!$A$2:$G$6834,2,FALSE),"")</f>
        <v/>
      </c>
      <c r="D2987" s="481" t="str">
        <f>IFERROR(VLOOKUP(A2987,[3]DOORSCRIEFT!$A$2:$G$6834,3,FALSE),"")</f>
        <v/>
      </c>
      <c r="E2987" s="480" t="str">
        <f>IFERROR(VLOOKUP(A2987,[3]DOORSCRIEFT!$A$2:$G$6834,4,FALSE),"")</f>
        <v/>
      </c>
      <c r="F2987" s="405" t="str">
        <f>IFERROR(VLOOKUP(A2987,[3]DOORSCRIEFT!$A$2:$G$6834,7,FALSE),"")</f>
        <v/>
      </c>
      <c r="G2987" s="315"/>
    </row>
    <row r="2988" spans="1:7" x14ac:dyDescent="0.25">
      <c r="A2988" s="321" t="str">
        <f t="shared" si="102"/>
        <v>II.6.1.0812</v>
      </c>
      <c r="B2988" s="321">
        <v>12</v>
      </c>
      <c r="C2988" s="339" t="str">
        <f>IFERROR(VLOOKUP(A2988,[3]DOORSCRIEFT!$A$2:$G$6834,2,FALSE),"")</f>
        <v/>
      </c>
      <c r="D2988" s="481" t="str">
        <f>IFERROR(VLOOKUP(A2988,[3]DOORSCRIEFT!$A$2:$G$6834,3,FALSE),"")</f>
        <v/>
      </c>
      <c r="E2988" s="480" t="str">
        <f>IFERROR(VLOOKUP(A2988,[3]DOORSCRIEFT!$A$2:$G$6834,4,FALSE),"")</f>
        <v/>
      </c>
      <c r="F2988" s="405" t="str">
        <f>IFERROR(VLOOKUP(A2988,[3]DOORSCRIEFT!$A$2:$G$6834,7,FALSE),"")</f>
        <v/>
      </c>
      <c r="G2988" s="315"/>
    </row>
    <row r="2989" spans="1:7" x14ac:dyDescent="0.25">
      <c r="A2989" s="321" t="str">
        <f t="shared" si="102"/>
        <v>II.6.1.0813</v>
      </c>
      <c r="B2989" s="321">
        <v>13</v>
      </c>
      <c r="C2989" s="339" t="str">
        <f>IFERROR(VLOOKUP(A2989,[3]DOORSCRIEFT!$A$2:$G$6834,2,FALSE),"")</f>
        <v/>
      </c>
      <c r="D2989" s="481" t="str">
        <f>IFERROR(VLOOKUP(A2989,[3]DOORSCRIEFT!$A$2:$G$6834,3,FALSE),"")</f>
        <v/>
      </c>
      <c r="E2989" s="480" t="str">
        <f>IFERROR(VLOOKUP(A2989,[3]DOORSCRIEFT!$A$2:$G$6834,4,FALSE),"")</f>
        <v/>
      </c>
      <c r="F2989" s="405" t="str">
        <f>IFERROR(VLOOKUP(A2989,[3]DOORSCRIEFT!$A$2:$G$6834,7,FALSE),"")</f>
        <v/>
      </c>
      <c r="G2989" s="315"/>
    </row>
    <row r="2990" spans="1:7" x14ac:dyDescent="0.25">
      <c r="A2990" s="321" t="str">
        <f t="shared" si="102"/>
        <v>II.6.1.0814</v>
      </c>
      <c r="B2990" s="321">
        <v>14</v>
      </c>
      <c r="C2990" s="339" t="str">
        <f>IFERROR(VLOOKUP(A2990,[3]DOORSCRIEFT!$A$2:$G$6834,2,FALSE),"")</f>
        <v/>
      </c>
      <c r="D2990" s="481" t="str">
        <f>IFERROR(VLOOKUP(A2990,[3]DOORSCRIEFT!$A$2:$G$6834,3,FALSE),"")</f>
        <v/>
      </c>
      <c r="E2990" s="480" t="str">
        <f>IFERROR(VLOOKUP(A2990,[3]DOORSCRIEFT!$A$2:$G$6834,4,FALSE),"")</f>
        <v/>
      </c>
      <c r="F2990" s="405" t="str">
        <f>IFERROR(VLOOKUP(A2990,[3]DOORSCRIEFT!$A$2:$G$6834,7,FALSE),"")</f>
        <v/>
      </c>
      <c r="G2990" s="315"/>
    </row>
    <row r="2991" spans="1:7" ht="15.75" thickBot="1" x14ac:dyDescent="0.3">
      <c r="A2991" s="342" t="str">
        <f t="shared" si="102"/>
        <v>II.6.1.0815</v>
      </c>
      <c r="B2991" s="342">
        <v>15</v>
      </c>
      <c r="C2991" s="339" t="str">
        <f>IFERROR(VLOOKUP(A2991,[3]DOORSCRIEFT!$A$2:$G$6834,2,FALSE),"")</f>
        <v/>
      </c>
      <c r="D2991" s="481" t="str">
        <f>IFERROR(VLOOKUP(A2991,[3]DOORSCRIEFT!$A$2:$G$6834,3,FALSE),"")</f>
        <v/>
      </c>
      <c r="E2991" s="480" t="str">
        <f>IFERROR(VLOOKUP(A2991,[3]DOORSCRIEFT!$A$2:$G$6834,4,FALSE),"")</f>
        <v/>
      </c>
      <c r="F2991" s="405" t="str">
        <f>IFERROR(VLOOKUP(A2991,[3]DOORSCRIEFT!$A$2:$G$6834,7,FALSE),"")</f>
        <v/>
      </c>
      <c r="G2991" s="315"/>
    </row>
    <row r="2992" spans="1:7" ht="15.75" thickBot="1" x14ac:dyDescent="0.3">
      <c r="A2992" s="341"/>
      <c r="B2992" s="340"/>
      <c r="C2992" s="336"/>
      <c r="D2992" s="486"/>
      <c r="E2992" s="340" t="s">
        <v>644</v>
      </c>
      <c r="F2992" s="310">
        <f>SUM(F2977:F2991)</f>
        <v>0</v>
      </c>
      <c r="G2992" s="309">
        <f>SUM(G2977:G2991)</f>
        <v>0</v>
      </c>
    </row>
    <row r="2993" spans="1:7" x14ac:dyDescent="0.25">
      <c r="C2993" s="335"/>
      <c r="D2993" s="485"/>
    </row>
    <row r="2994" spans="1:7" x14ac:dyDescent="0.25">
      <c r="C2994" s="335"/>
      <c r="D2994" s="485"/>
    </row>
    <row r="2995" spans="1:7" ht="15.75" x14ac:dyDescent="0.25">
      <c r="C2995" s="334" t="s">
        <v>663</v>
      </c>
      <c r="D2995" s="484"/>
      <c r="E2995" s="333"/>
      <c r="F2995" s="327" t="s">
        <v>607</v>
      </c>
      <c r="G2995" s="327" t="s">
        <v>7</v>
      </c>
    </row>
    <row r="2996" spans="1:7" ht="75" x14ac:dyDescent="0.25">
      <c r="C2996" s="334"/>
      <c r="D2996" s="484"/>
      <c r="E2996" s="333"/>
      <c r="F2996" s="327" t="s">
        <v>601</v>
      </c>
      <c r="G2996" s="487" t="s">
        <v>6</v>
      </c>
    </row>
    <row r="2997" spans="1:7" x14ac:dyDescent="0.25">
      <c r="C2997" s="330"/>
      <c r="D2997" s="482"/>
      <c r="E2997" s="329"/>
      <c r="F2997" s="327" t="s">
        <v>651</v>
      </c>
      <c r="G2997" s="331">
        <f>[2]Sheet1!$D$622</f>
        <v>0</v>
      </c>
    </row>
    <row r="2998" spans="1:7" ht="15.75" thickBot="1" x14ac:dyDescent="0.3">
      <c r="C2998" s="330"/>
      <c r="D2998" s="482"/>
      <c r="E2998" s="329"/>
      <c r="F2998" s="327" t="s">
        <v>650</v>
      </c>
      <c r="G2998" s="326">
        <f>+F3017-G2997</f>
        <v>0</v>
      </c>
    </row>
    <row r="2999" spans="1:7" x14ac:dyDescent="0.25">
      <c r="A2999" s="571" t="s">
        <v>655</v>
      </c>
      <c r="B2999" s="573" t="s">
        <v>606</v>
      </c>
      <c r="C2999" s="588" t="s">
        <v>649</v>
      </c>
      <c r="D2999" s="599" t="s">
        <v>648</v>
      </c>
      <c r="E2999" s="577" t="s">
        <v>647</v>
      </c>
      <c r="F2999" s="577" t="s">
        <v>646</v>
      </c>
      <c r="G2999" s="580" t="s">
        <v>645</v>
      </c>
    </row>
    <row r="3000" spans="1:7" ht="15.75" thickBot="1" x14ac:dyDescent="0.3">
      <c r="A3000" s="572"/>
      <c r="B3000" s="574"/>
      <c r="C3000" s="589"/>
      <c r="D3000" s="600"/>
      <c r="E3000" s="578"/>
      <c r="F3000" s="578"/>
      <c r="G3000" s="581"/>
    </row>
    <row r="3001" spans="1:7" ht="15.75" thickBot="1" x14ac:dyDescent="0.3">
      <c r="A3001" s="425">
        <v>1</v>
      </c>
      <c r="B3001" s="425">
        <v>2</v>
      </c>
      <c r="C3001" s="425">
        <v>3</v>
      </c>
      <c r="D3001" s="425">
        <v>4</v>
      </c>
      <c r="E3001" s="425">
        <v>5</v>
      </c>
      <c r="F3001" s="425">
        <v>6</v>
      </c>
      <c r="G3001" s="425">
        <v>7</v>
      </c>
    </row>
    <row r="3002" spans="1:7" x14ac:dyDescent="0.25">
      <c r="A3002" s="320" t="str">
        <f t="shared" ref="A3002:A3016" si="103">$G$2995&amp;B3002</f>
        <v>II.6.1.091</v>
      </c>
      <c r="B3002" s="320">
        <v>1</v>
      </c>
      <c r="C3002" s="339" t="str">
        <f>IFERROR(VLOOKUP(A3002,[3]DOORSCRIEFT!$A$2:$G$6834,2,FALSE),"")</f>
        <v/>
      </c>
      <c r="D3002" s="481" t="str">
        <f>IFERROR(VLOOKUP(A3002,[3]DOORSCRIEFT!$A$2:$G$6834,3,FALSE),"")</f>
        <v/>
      </c>
      <c r="E3002" s="480" t="str">
        <f>IFERROR(VLOOKUP(A3002,[3]DOORSCRIEFT!$A$2:$G$6834,4,FALSE),"")</f>
        <v/>
      </c>
      <c r="F3002" s="405" t="str">
        <f>IFERROR(VLOOKUP(A3002,[3]DOORSCRIEFT!$A$2:$G$6834,7,FALSE),"")</f>
        <v/>
      </c>
      <c r="G3002" s="322"/>
    </row>
    <row r="3003" spans="1:7" x14ac:dyDescent="0.25">
      <c r="A3003" s="321" t="str">
        <f t="shared" si="103"/>
        <v>II.6.1.092</v>
      </c>
      <c r="B3003" s="321">
        <v>2</v>
      </c>
      <c r="C3003" s="339" t="str">
        <f>IFERROR(VLOOKUP(A3003,[3]DOORSCRIEFT!$A$2:$G$6834,2,FALSE),"")</f>
        <v/>
      </c>
      <c r="D3003" s="481" t="str">
        <f>IFERROR(VLOOKUP(A3003,[3]DOORSCRIEFT!$A$2:$G$6834,3,FALSE),"")</f>
        <v/>
      </c>
      <c r="E3003" s="480" t="str">
        <f>IFERROR(VLOOKUP(A3003,[3]DOORSCRIEFT!$A$2:$G$6834,4,FALSE),"")</f>
        <v/>
      </c>
      <c r="F3003" s="405" t="str">
        <f>IFERROR(VLOOKUP(A3003,[3]DOORSCRIEFT!$A$2:$G$6834,7,FALSE),"")</f>
        <v/>
      </c>
      <c r="G3003" s="315"/>
    </row>
    <row r="3004" spans="1:7" x14ac:dyDescent="0.25">
      <c r="A3004" s="321" t="str">
        <f t="shared" si="103"/>
        <v>II.6.1.093</v>
      </c>
      <c r="B3004" s="321">
        <v>3</v>
      </c>
      <c r="C3004" s="339" t="str">
        <f>IFERROR(VLOOKUP(A3004,[3]DOORSCRIEFT!$A$2:$G$6834,2,FALSE),"")</f>
        <v/>
      </c>
      <c r="D3004" s="481" t="str">
        <f>IFERROR(VLOOKUP(A3004,[3]DOORSCRIEFT!$A$2:$G$6834,3,FALSE),"")</f>
        <v/>
      </c>
      <c r="E3004" s="480" t="str">
        <f>IFERROR(VLOOKUP(A3004,[3]DOORSCRIEFT!$A$2:$G$6834,4,FALSE),"")</f>
        <v/>
      </c>
      <c r="F3004" s="405" t="str">
        <f>IFERROR(VLOOKUP(A3004,[3]DOORSCRIEFT!$A$2:$G$6834,7,FALSE),"")</f>
        <v/>
      </c>
      <c r="G3004" s="315"/>
    </row>
    <row r="3005" spans="1:7" x14ac:dyDescent="0.25">
      <c r="A3005" s="321" t="str">
        <f t="shared" si="103"/>
        <v>II.6.1.094</v>
      </c>
      <c r="B3005" s="321">
        <v>4</v>
      </c>
      <c r="C3005" s="339" t="str">
        <f>IFERROR(VLOOKUP(A3005,[3]DOORSCRIEFT!$A$2:$G$6834,2,FALSE),"")</f>
        <v/>
      </c>
      <c r="D3005" s="481" t="str">
        <f>IFERROR(VLOOKUP(A3005,[3]DOORSCRIEFT!$A$2:$G$6834,3,FALSE),"")</f>
        <v/>
      </c>
      <c r="E3005" s="480" t="str">
        <f>IFERROR(VLOOKUP(A3005,[3]DOORSCRIEFT!$A$2:$G$6834,4,FALSE),"")</f>
        <v/>
      </c>
      <c r="F3005" s="405" t="str">
        <f>IFERROR(VLOOKUP(A3005,[3]DOORSCRIEFT!$A$2:$G$6834,7,FALSE),"")</f>
        <v/>
      </c>
      <c r="G3005" s="315"/>
    </row>
    <row r="3006" spans="1:7" x14ac:dyDescent="0.25">
      <c r="A3006" s="321" t="str">
        <f t="shared" si="103"/>
        <v>II.6.1.095</v>
      </c>
      <c r="B3006" s="321">
        <v>5</v>
      </c>
      <c r="C3006" s="339" t="str">
        <f>IFERROR(VLOOKUP(A3006,[3]DOORSCRIEFT!$A$2:$G$6834,2,FALSE),"")</f>
        <v/>
      </c>
      <c r="D3006" s="481" t="str">
        <f>IFERROR(VLOOKUP(A3006,[3]DOORSCRIEFT!$A$2:$G$6834,3,FALSE),"")</f>
        <v/>
      </c>
      <c r="E3006" s="480" t="str">
        <f>IFERROR(VLOOKUP(A3006,[3]DOORSCRIEFT!$A$2:$G$6834,4,FALSE),"")</f>
        <v/>
      </c>
      <c r="F3006" s="405" t="str">
        <f>IFERROR(VLOOKUP(A3006,[3]DOORSCRIEFT!$A$2:$G$6834,7,FALSE),"")</f>
        <v/>
      </c>
      <c r="G3006" s="315"/>
    </row>
    <row r="3007" spans="1:7" x14ac:dyDescent="0.25">
      <c r="A3007" s="321" t="str">
        <f t="shared" si="103"/>
        <v>II.6.1.096</v>
      </c>
      <c r="B3007" s="321">
        <v>6</v>
      </c>
      <c r="C3007" s="339" t="str">
        <f>IFERROR(VLOOKUP(A3007,[3]DOORSCRIEFT!$A$2:$G$6834,2,FALSE),"")</f>
        <v/>
      </c>
      <c r="D3007" s="481" t="str">
        <f>IFERROR(VLOOKUP(A3007,[3]DOORSCRIEFT!$A$2:$G$6834,3,FALSE),"")</f>
        <v/>
      </c>
      <c r="E3007" s="480" t="str">
        <f>IFERROR(VLOOKUP(A3007,[3]DOORSCRIEFT!$A$2:$G$6834,4,FALSE),"")</f>
        <v/>
      </c>
      <c r="F3007" s="405" t="str">
        <f>IFERROR(VLOOKUP(A3007,[3]DOORSCRIEFT!$A$2:$G$6834,7,FALSE),"")</f>
        <v/>
      </c>
      <c r="G3007" s="315"/>
    </row>
    <row r="3008" spans="1:7" x14ac:dyDescent="0.25">
      <c r="A3008" s="321" t="str">
        <f t="shared" si="103"/>
        <v>II.6.1.097</v>
      </c>
      <c r="B3008" s="321">
        <v>7</v>
      </c>
      <c r="C3008" s="339" t="str">
        <f>IFERROR(VLOOKUP(A3008,[3]DOORSCRIEFT!$A$2:$G$6834,2,FALSE),"")</f>
        <v/>
      </c>
      <c r="D3008" s="481" t="str">
        <f>IFERROR(VLOOKUP(A3008,[3]DOORSCRIEFT!$A$2:$G$6834,3,FALSE),"")</f>
        <v/>
      </c>
      <c r="E3008" s="480" t="str">
        <f>IFERROR(VLOOKUP(A3008,[3]DOORSCRIEFT!$A$2:$G$6834,4,FALSE),"")</f>
        <v/>
      </c>
      <c r="F3008" s="405" t="str">
        <f>IFERROR(VLOOKUP(A3008,[3]DOORSCRIEFT!$A$2:$G$6834,7,FALSE),"")</f>
        <v/>
      </c>
      <c r="G3008" s="315"/>
    </row>
    <row r="3009" spans="1:7" x14ac:dyDescent="0.25">
      <c r="A3009" s="321" t="str">
        <f t="shared" si="103"/>
        <v>II.6.1.098</v>
      </c>
      <c r="B3009" s="321">
        <v>8</v>
      </c>
      <c r="C3009" s="339" t="str">
        <f>IFERROR(VLOOKUP(A3009,[3]DOORSCRIEFT!$A$2:$G$6834,2,FALSE),"")</f>
        <v/>
      </c>
      <c r="D3009" s="481" t="str">
        <f>IFERROR(VLOOKUP(A3009,[3]DOORSCRIEFT!$A$2:$G$6834,3,FALSE),"")</f>
        <v/>
      </c>
      <c r="E3009" s="480" t="str">
        <f>IFERROR(VLOOKUP(A3009,[3]DOORSCRIEFT!$A$2:$G$6834,4,FALSE),"")</f>
        <v/>
      </c>
      <c r="F3009" s="405" t="str">
        <f>IFERROR(VLOOKUP(A3009,[3]DOORSCRIEFT!$A$2:$G$6834,7,FALSE),"")</f>
        <v/>
      </c>
      <c r="G3009" s="315"/>
    </row>
    <row r="3010" spans="1:7" x14ac:dyDescent="0.25">
      <c r="A3010" s="321" t="str">
        <f t="shared" si="103"/>
        <v>II.6.1.099</v>
      </c>
      <c r="B3010" s="321">
        <v>9</v>
      </c>
      <c r="C3010" s="339" t="str">
        <f>IFERROR(VLOOKUP(A3010,[3]DOORSCRIEFT!$A$2:$G$6834,2,FALSE),"")</f>
        <v/>
      </c>
      <c r="D3010" s="481" t="str">
        <f>IFERROR(VLOOKUP(A3010,[3]DOORSCRIEFT!$A$2:$G$6834,3,FALSE),"")</f>
        <v/>
      </c>
      <c r="E3010" s="480" t="str">
        <f>IFERROR(VLOOKUP(A3010,[3]DOORSCRIEFT!$A$2:$G$6834,4,FALSE),"")</f>
        <v/>
      </c>
      <c r="F3010" s="405" t="str">
        <f>IFERROR(VLOOKUP(A3010,[3]DOORSCRIEFT!$A$2:$G$6834,7,FALSE),"")</f>
        <v/>
      </c>
      <c r="G3010" s="315"/>
    </row>
    <row r="3011" spans="1:7" x14ac:dyDescent="0.25">
      <c r="A3011" s="321" t="str">
        <f t="shared" si="103"/>
        <v>II.6.1.0910</v>
      </c>
      <c r="B3011" s="321">
        <v>10</v>
      </c>
      <c r="C3011" s="339" t="str">
        <f>IFERROR(VLOOKUP(A3011,[3]DOORSCRIEFT!$A$2:$G$6834,2,FALSE),"")</f>
        <v/>
      </c>
      <c r="D3011" s="481" t="str">
        <f>IFERROR(VLOOKUP(A3011,[3]DOORSCRIEFT!$A$2:$G$6834,3,FALSE),"")</f>
        <v/>
      </c>
      <c r="E3011" s="480" t="str">
        <f>IFERROR(VLOOKUP(A3011,[3]DOORSCRIEFT!$A$2:$G$6834,4,FALSE),"")</f>
        <v/>
      </c>
      <c r="F3011" s="405" t="str">
        <f>IFERROR(VLOOKUP(A3011,[3]DOORSCRIEFT!$A$2:$G$6834,7,FALSE),"")</f>
        <v/>
      </c>
      <c r="G3011" s="315"/>
    </row>
    <row r="3012" spans="1:7" x14ac:dyDescent="0.25">
      <c r="A3012" s="321" t="str">
        <f t="shared" si="103"/>
        <v>II.6.1.0911</v>
      </c>
      <c r="B3012" s="321">
        <v>11</v>
      </c>
      <c r="C3012" s="339" t="str">
        <f>IFERROR(VLOOKUP(A3012,[3]DOORSCRIEFT!$A$2:$G$6834,2,FALSE),"")</f>
        <v/>
      </c>
      <c r="D3012" s="481" t="str">
        <f>IFERROR(VLOOKUP(A3012,[3]DOORSCRIEFT!$A$2:$G$6834,3,FALSE),"")</f>
        <v/>
      </c>
      <c r="E3012" s="480" t="str">
        <f>IFERROR(VLOOKUP(A3012,[3]DOORSCRIEFT!$A$2:$G$6834,4,FALSE),"")</f>
        <v/>
      </c>
      <c r="F3012" s="405" t="str">
        <f>IFERROR(VLOOKUP(A3012,[3]DOORSCRIEFT!$A$2:$G$6834,7,FALSE),"")</f>
        <v/>
      </c>
      <c r="G3012" s="315"/>
    </row>
    <row r="3013" spans="1:7" x14ac:dyDescent="0.25">
      <c r="A3013" s="321" t="str">
        <f t="shared" si="103"/>
        <v>II.6.1.0912</v>
      </c>
      <c r="B3013" s="321">
        <v>12</v>
      </c>
      <c r="C3013" s="339" t="str">
        <f>IFERROR(VLOOKUP(A3013,[3]DOORSCRIEFT!$A$2:$G$6834,2,FALSE),"")</f>
        <v/>
      </c>
      <c r="D3013" s="481" t="str">
        <f>IFERROR(VLOOKUP(A3013,[3]DOORSCRIEFT!$A$2:$G$6834,3,FALSE),"")</f>
        <v/>
      </c>
      <c r="E3013" s="480" t="str">
        <f>IFERROR(VLOOKUP(A3013,[3]DOORSCRIEFT!$A$2:$G$6834,4,FALSE),"")</f>
        <v/>
      </c>
      <c r="F3013" s="405" t="str">
        <f>IFERROR(VLOOKUP(A3013,[3]DOORSCRIEFT!$A$2:$G$6834,7,FALSE),"")</f>
        <v/>
      </c>
      <c r="G3013" s="315"/>
    </row>
    <row r="3014" spans="1:7" x14ac:dyDescent="0.25">
      <c r="A3014" s="321" t="str">
        <f t="shared" si="103"/>
        <v>II.6.1.0913</v>
      </c>
      <c r="B3014" s="321">
        <v>13</v>
      </c>
      <c r="C3014" s="339" t="str">
        <f>IFERROR(VLOOKUP(A3014,[3]DOORSCRIEFT!$A$2:$G$6834,2,FALSE),"")</f>
        <v/>
      </c>
      <c r="D3014" s="481" t="str">
        <f>IFERROR(VLOOKUP(A3014,[3]DOORSCRIEFT!$A$2:$G$6834,3,FALSE),"")</f>
        <v/>
      </c>
      <c r="E3014" s="480" t="str">
        <f>IFERROR(VLOOKUP(A3014,[3]DOORSCRIEFT!$A$2:$G$6834,4,FALSE),"")</f>
        <v/>
      </c>
      <c r="F3014" s="405" t="str">
        <f>IFERROR(VLOOKUP(A3014,[3]DOORSCRIEFT!$A$2:$G$6834,7,FALSE),"")</f>
        <v/>
      </c>
      <c r="G3014" s="315"/>
    </row>
    <row r="3015" spans="1:7" x14ac:dyDescent="0.25">
      <c r="A3015" s="321" t="str">
        <f t="shared" si="103"/>
        <v>II.6.1.0914</v>
      </c>
      <c r="B3015" s="321">
        <v>14</v>
      </c>
      <c r="C3015" s="339" t="str">
        <f>IFERROR(VLOOKUP(A3015,[3]DOORSCRIEFT!$A$2:$G$6834,2,FALSE),"")</f>
        <v/>
      </c>
      <c r="D3015" s="481" t="str">
        <f>IFERROR(VLOOKUP(A3015,[3]DOORSCRIEFT!$A$2:$G$6834,3,FALSE),"")</f>
        <v/>
      </c>
      <c r="E3015" s="480" t="str">
        <f>IFERROR(VLOOKUP(A3015,[3]DOORSCRIEFT!$A$2:$G$6834,4,FALSE),"")</f>
        <v/>
      </c>
      <c r="F3015" s="405" t="str">
        <f>IFERROR(VLOOKUP(A3015,[3]DOORSCRIEFT!$A$2:$G$6834,7,FALSE),"")</f>
        <v/>
      </c>
      <c r="G3015" s="315"/>
    </row>
    <row r="3016" spans="1:7" ht="15.75" thickBot="1" x14ac:dyDescent="0.3">
      <c r="A3016" s="342" t="str">
        <f t="shared" si="103"/>
        <v>II.6.1.0915</v>
      </c>
      <c r="B3016" s="342">
        <v>15</v>
      </c>
      <c r="C3016" s="339" t="str">
        <f>IFERROR(VLOOKUP(A3016,[3]DOORSCRIEFT!$A$2:$G$6834,2,FALSE),"")</f>
        <v/>
      </c>
      <c r="D3016" s="481" t="str">
        <f>IFERROR(VLOOKUP(A3016,[3]DOORSCRIEFT!$A$2:$G$6834,3,FALSE),"")</f>
        <v/>
      </c>
      <c r="E3016" s="480" t="str">
        <f>IFERROR(VLOOKUP(A3016,[3]DOORSCRIEFT!$A$2:$G$6834,4,FALSE),"")</f>
        <v/>
      </c>
      <c r="F3016" s="405" t="str">
        <f>IFERROR(VLOOKUP(A3016,[3]DOORSCRIEFT!$A$2:$G$6834,7,FALSE),"")</f>
        <v/>
      </c>
      <c r="G3016" s="315"/>
    </row>
    <row r="3017" spans="1:7" ht="15.75" thickBot="1" x14ac:dyDescent="0.3">
      <c r="A3017" s="341"/>
      <c r="B3017" s="340"/>
      <c r="C3017" s="336"/>
      <c r="D3017" s="486"/>
      <c r="E3017" s="340" t="s">
        <v>644</v>
      </c>
      <c r="F3017" s="310">
        <f>SUM(F3002:F3016)</f>
        <v>0</v>
      </c>
      <c r="G3017" s="309">
        <f>SUM(G3002:G3016)</f>
        <v>0</v>
      </c>
    </row>
    <row r="3018" spans="1:7" x14ac:dyDescent="0.25">
      <c r="C3018" s="335"/>
      <c r="D3018" s="485"/>
    </row>
    <row r="3019" spans="1:7" x14ac:dyDescent="0.25">
      <c r="C3019" s="335"/>
      <c r="D3019" s="485"/>
    </row>
    <row r="3020" spans="1:7" ht="15.75" x14ac:dyDescent="0.25">
      <c r="C3020" s="334" t="s">
        <v>663</v>
      </c>
      <c r="D3020" s="484"/>
      <c r="E3020" s="333"/>
      <c r="F3020" s="327" t="s">
        <v>607</v>
      </c>
      <c r="G3020" s="327" t="s">
        <v>5</v>
      </c>
    </row>
    <row r="3021" spans="1:7" ht="15.75" x14ac:dyDescent="0.25">
      <c r="C3021" s="334"/>
      <c r="D3021" s="484"/>
      <c r="E3021" s="333"/>
      <c r="F3021" s="327" t="s">
        <v>601</v>
      </c>
      <c r="G3021" s="483" t="s">
        <v>4</v>
      </c>
    </row>
    <row r="3022" spans="1:7" x14ac:dyDescent="0.25">
      <c r="C3022" s="330"/>
      <c r="D3022" s="482"/>
      <c r="E3022" s="329"/>
      <c r="F3022" s="327" t="s">
        <v>651</v>
      </c>
      <c r="G3022" s="331">
        <f>[2]Sheet1!$D$623</f>
        <v>0</v>
      </c>
    </row>
    <row r="3023" spans="1:7" ht="15.75" thickBot="1" x14ac:dyDescent="0.3">
      <c r="C3023" s="330"/>
      <c r="D3023" s="482"/>
      <c r="E3023" s="329"/>
      <c r="F3023" s="327" t="s">
        <v>650</v>
      </c>
      <c r="G3023" s="326">
        <f>+F3042-G3022</f>
        <v>0</v>
      </c>
    </row>
    <row r="3024" spans="1:7" x14ac:dyDescent="0.25">
      <c r="A3024" s="571" t="s">
        <v>655</v>
      </c>
      <c r="B3024" s="573" t="s">
        <v>606</v>
      </c>
      <c r="C3024" s="588" t="s">
        <v>649</v>
      </c>
      <c r="D3024" s="599" t="s">
        <v>648</v>
      </c>
      <c r="E3024" s="577" t="s">
        <v>647</v>
      </c>
      <c r="F3024" s="577" t="s">
        <v>646</v>
      </c>
      <c r="G3024" s="580" t="s">
        <v>645</v>
      </c>
    </row>
    <row r="3025" spans="1:7" ht="15.75" thickBot="1" x14ac:dyDescent="0.3">
      <c r="A3025" s="572"/>
      <c r="B3025" s="574"/>
      <c r="C3025" s="589"/>
      <c r="D3025" s="600"/>
      <c r="E3025" s="578"/>
      <c r="F3025" s="578"/>
      <c r="G3025" s="581"/>
    </row>
    <row r="3026" spans="1:7" ht="15.75" thickBot="1" x14ac:dyDescent="0.3">
      <c r="A3026" s="425">
        <v>1</v>
      </c>
      <c r="B3026" s="425">
        <v>2</v>
      </c>
      <c r="C3026" s="425">
        <v>3</v>
      </c>
      <c r="D3026" s="425">
        <v>4</v>
      </c>
      <c r="E3026" s="425">
        <v>5</v>
      </c>
      <c r="F3026" s="425">
        <v>6</v>
      </c>
      <c r="G3026" s="425">
        <v>7</v>
      </c>
    </row>
    <row r="3027" spans="1:7" x14ac:dyDescent="0.25">
      <c r="A3027" s="320" t="str">
        <f t="shared" ref="A3027:A3041" si="104">$G$3020&amp;B3027</f>
        <v>II.6.1.101</v>
      </c>
      <c r="B3027" s="320">
        <v>1</v>
      </c>
      <c r="C3027" s="339" t="str">
        <f>IFERROR(VLOOKUP(A3027,[3]DOORSCRIEFT!$A$2:$G$6834,2,FALSE),"")</f>
        <v/>
      </c>
      <c r="D3027" s="481" t="str">
        <f>IFERROR(VLOOKUP(A3027,[3]DOORSCRIEFT!$A$2:$G$6834,3,FALSE),"")</f>
        <v/>
      </c>
      <c r="E3027" s="480" t="str">
        <f>IFERROR(VLOOKUP(A3027,[3]DOORSCRIEFT!$A$2:$G$6834,4,FALSE),"")</f>
        <v/>
      </c>
      <c r="F3027" s="405" t="str">
        <f>IFERROR(VLOOKUP(A3027,[3]DOORSCRIEFT!$A$2:$G$6834,7,FALSE),"")</f>
        <v/>
      </c>
      <c r="G3027" s="322"/>
    </row>
    <row r="3028" spans="1:7" x14ac:dyDescent="0.25">
      <c r="A3028" s="321" t="str">
        <f t="shared" si="104"/>
        <v>II.6.1.102</v>
      </c>
      <c r="B3028" s="321">
        <v>2</v>
      </c>
      <c r="C3028" s="339" t="str">
        <f>IFERROR(VLOOKUP(A3028,[3]DOORSCRIEFT!$A$2:$G$6834,2,FALSE),"")</f>
        <v/>
      </c>
      <c r="D3028" s="481" t="str">
        <f>IFERROR(VLOOKUP(A3028,[3]DOORSCRIEFT!$A$2:$G$6834,3,FALSE),"")</f>
        <v/>
      </c>
      <c r="E3028" s="480" t="str">
        <f>IFERROR(VLOOKUP(A3028,[3]DOORSCRIEFT!$A$2:$G$6834,4,FALSE),"")</f>
        <v/>
      </c>
      <c r="F3028" s="405" t="str">
        <f>IFERROR(VLOOKUP(A3028,[3]DOORSCRIEFT!$A$2:$G$6834,7,FALSE),"")</f>
        <v/>
      </c>
      <c r="G3028" s="315"/>
    </row>
    <row r="3029" spans="1:7" x14ac:dyDescent="0.25">
      <c r="A3029" s="321" t="str">
        <f t="shared" si="104"/>
        <v>II.6.1.103</v>
      </c>
      <c r="B3029" s="321">
        <v>3</v>
      </c>
      <c r="C3029" s="339" t="str">
        <f>IFERROR(VLOOKUP(A3029,[3]DOORSCRIEFT!$A$2:$G$6834,2,FALSE),"")</f>
        <v/>
      </c>
      <c r="D3029" s="481" t="str">
        <f>IFERROR(VLOOKUP(A3029,[3]DOORSCRIEFT!$A$2:$G$6834,3,FALSE),"")</f>
        <v/>
      </c>
      <c r="E3029" s="480" t="str">
        <f>IFERROR(VLOOKUP(A3029,[3]DOORSCRIEFT!$A$2:$G$6834,4,FALSE),"")</f>
        <v/>
      </c>
      <c r="F3029" s="405" t="str">
        <f>IFERROR(VLOOKUP(A3029,[3]DOORSCRIEFT!$A$2:$G$6834,7,FALSE),"")</f>
        <v/>
      </c>
      <c r="G3029" s="315"/>
    </row>
    <row r="3030" spans="1:7" x14ac:dyDescent="0.25">
      <c r="A3030" s="321" t="str">
        <f t="shared" si="104"/>
        <v>II.6.1.104</v>
      </c>
      <c r="B3030" s="321">
        <v>4</v>
      </c>
      <c r="C3030" s="339" t="str">
        <f>IFERROR(VLOOKUP(A3030,[3]DOORSCRIEFT!$A$2:$G$6834,2,FALSE),"")</f>
        <v/>
      </c>
      <c r="D3030" s="481" t="str">
        <f>IFERROR(VLOOKUP(A3030,[3]DOORSCRIEFT!$A$2:$G$6834,3,FALSE),"")</f>
        <v/>
      </c>
      <c r="E3030" s="480" t="str">
        <f>IFERROR(VLOOKUP(A3030,[3]DOORSCRIEFT!$A$2:$G$6834,4,FALSE),"")</f>
        <v/>
      </c>
      <c r="F3030" s="405" t="str">
        <f>IFERROR(VLOOKUP(A3030,[3]DOORSCRIEFT!$A$2:$G$6834,7,FALSE),"")</f>
        <v/>
      </c>
      <c r="G3030" s="315"/>
    </row>
    <row r="3031" spans="1:7" x14ac:dyDescent="0.25">
      <c r="A3031" s="321" t="str">
        <f t="shared" si="104"/>
        <v>II.6.1.105</v>
      </c>
      <c r="B3031" s="321">
        <v>5</v>
      </c>
      <c r="C3031" s="339" t="str">
        <f>IFERROR(VLOOKUP(A3031,[3]DOORSCRIEFT!$A$2:$G$6834,2,FALSE),"")</f>
        <v/>
      </c>
      <c r="D3031" s="481" t="str">
        <f>IFERROR(VLOOKUP(A3031,[3]DOORSCRIEFT!$A$2:$G$6834,3,FALSE),"")</f>
        <v/>
      </c>
      <c r="E3031" s="480" t="str">
        <f>IFERROR(VLOOKUP(A3031,[3]DOORSCRIEFT!$A$2:$G$6834,4,FALSE),"")</f>
        <v/>
      </c>
      <c r="F3031" s="405" t="str">
        <f>IFERROR(VLOOKUP(A3031,[3]DOORSCRIEFT!$A$2:$G$6834,7,FALSE),"")</f>
        <v/>
      </c>
      <c r="G3031" s="315"/>
    </row>
    <row r="3032" spans="1:7" x14ac:dyDescent="0.25">
      <c r="A3032" s="321" t="str">
        <f t="shared" si="104"/>
        <v>II.6.1.106</v>
      </c>
      <c r="B3032" s="321">
        <v>6</v>
      </c>
      <c r="C3032" s="339" t="str">
        <f>IFERROR(VLOOKUP(A3032,[3]DOORSCRIEFT!$A$2:$G$6834,2,FALSE),"")</f>
        <v/>
      </c>
      <c r="D3032" s="481" t="str">
        <f>IFERROR(VLOOKUP(A3032,[3]DOORSCRIEFT!$A$2:$G$6834,3,FALSE),"")</f>
        <v/>
      </c>
      <c r="E3032" s="480" t="str">
        <f>IFERROR(VLOOKUP(A3032,[3]DOORSCRIEFT!$A$2:$G$6834,4,FALSE),"")</f>
        <v/>
      </c>
      <c r="F3032" s="405" t="str">
        <f>IFERROR(VLOOKUP(A3032,[3]DOORSCRIEFT!$A$2:$G$6834,7,FALSE),"")</f>
        <v/>
      </c>
      <c r="G3032" s="315"/>
    </row>
    <row r="3033" spans="1:7" x14ac:dyDescent="0.25">
      <c r="A3033" s="321" t="str">
        <f t="shared" si="104"/>
        <v>II.6.1.107</v>
      </c>
      <c r="B3033" s="321">
        <v>7</v>
      </c>
      <c r="C3033" s="339" t="str">
        <f>IFERROR(VLOOKUP(A3033,[3]DOORSCRIEFT!$A$2:$G$6834,2,FALSE),"")</f>
        <v/>
      </c>
      <c r="D3033" s="481" t="str">
        <f>IFERROR(VLOOKUP(A3033,[3]DOORSCRIEFT!$A$2:$G$6834,3,FALSE),"")</f>
        <v/>
      </c>
      <c r="E3033" s="480" t="str">
        <f>IFERROR(VLOOKUP(A3033,[3]DOORSCRIEFT!$A$2:$G$6834,4,FALSE),"")</f>
        <v/>
      </c>
      <c r="F3033" s="405" t="str">
        <f>IFERROR(VLOOKUP(A3033,[3]DOORSCRIEFT!$A$2:$G$6834,7,FALSE),"")</f>
        <v/>
      </c>
      <c r="G3033" s="315"/>
    </row>
    <row r="3034" spans="1:7" x14ac:dyDescent="0.25">
      <c r="A3034" s="321" t="str">
        <f t="shared" si="104"/>
        <v>II.6.1.108</v>
      </c>
      <c r="B3034" s="321">
        <v>8</v>
      </c>
      <c r="C3034" s="339" t="str">
        <f>IFERROR(VLOOKUP(A3034,[3]DOORSCRIEFT!$A$2:$G$6834,2,FALSE),"")</f>
        <v/>
      </c>
      <c r="D3034" s="481" t="str">
        <f>IFERROR(VLOOKUP(A3034,[3]DOORSCRIEFT!$A$2:$G$6834,3,FALSE),"")</f>
        <v/>
      </c>
      <c r="E3034" s="480" t="str">
        <f>IFERROR(VLOOKUP(A3034,[3]DOORSCRIEFT!$A$2:$G$6834,4,FALSE),"")</f>
        <v/>
      </c>
      <c r="F3034" s="405" t="str">
        <f>IFERROR(VLOOKUP(A3034,[3]DOORSCRIEFT!$A$2:$G$6834,7,FALSE),"")</f>
        <v/>
      </c>
      <c r="G3034" s="315"/>
    </row>
    <row r="3035" spans="1:7" x14ac:dyDescent="0.25">
      <c r="A3035" s="321" t="str">
        <f t="shared" si="104"/>
        <v>II.6.1.109</v>
      </c>
      <c r="B3035" s="321">
        <v>9</v>
      </c>
      <c r="C3035" s="339" t="str">
        <f>IFERROR(VLOOKUP(A3035,[3]DOORSCRIEFT!$A$2:$G$6834,2,FALSE),"")</f>
        <v/>
      </c>
      <c r="D3035" s="481" t="str">
        <f>IFERROR(VLOOKUP(A3035,[3]DOORSCRIEFT!$A$2:$G$6834,3,FALSE),"")</f>
        <v/>
      </c>
      <c r="E3035" s="480" t="str">
        <f>IFERROR(VLOOKUP(A3035,[3]DOORSCRIEFT!$A$2:$G$6834,4,FALSE),"")</f>
        <v/>
      </c>
      <c r="F3035" s="405" t="str">
        <f>IFERROR(VLOOKUP(A3035,[3]DOORSCRIEFT!$A$2:$G$6834,7,FALSE),"")</f>
        <v/>
      </c>
      <c r="G3035" s="315"/>
    </row>
    <row r="3036" spans="1:7" x14ac:dyDescent="0.25">
      <c r="A3036" s="321" t="str">
        <f t="shared" si="104"/>
        <v>II.6.1.1010</v>
      </c>
      <c r="B3036" s="321">
        <v>10</v>
      </c>
      <c r="C3036" s="339" t="str">
        <f>IFERROR(VLOOKUP(A3036,[3]DOORSCRIEFT!$A$2:$G$6834,2,FALSE),"")</f>
        <v/>
      </c>
      <c r="D3036" s="481" t="str">
        <f>IFERROR(VLOOKUP(A3036,[3]DOORSCRIEFT!$A$2:$G$6834,3,FALSE),"")</f>
        <v/>
      </c>
      <c r="E3036" s="480" t="str">
        <f>IFERROR(VLOOKUP(A3036,[3]DOORSCRIEFT!$A$2:$G$6834,4,FALSE),"")</f>
        <v/>
      </c>
      <c r="F3036" s="405" t="str">
        <f>IFERROR(VLOOKUP(A3036,[3]DOORSCRIEFT!$A$2:$G$6834,7,FALSE),"")</f>
        <v/>
      </c>
      <c r="G3036" s="315"/>
    </row>
    <row r="3037" spans="1:7" x14ac:dyDescent="0.25">
      <c r="A3037" s="321" t="str">
        <f t="shared" si="104"/>
        <v>II.6.1.1011</v>
      </c>
      <c r="B3037" s="321">
        <v>11</v>
      </c>
      <c r="C3037" s="339" t="str">
        <f>IFERROR(VLOOKUP(A3037,[3]DOORSCRIEFT!$A$2:$G$6834,2,FALSE),"")</f>
        <v/>
      </c>
      <c r="D3037" s="481" t="str">
        <f>IFERROR(VLOOKUP(A3037,[3]DOORSCRIEFT!$A$2:$G$6834,3,FALSE),"")</f>
        <v/>
      </c>
      <c r="E3037" s="480" t="str">
        <f>IFERROR(VLOOKUP(A3037,[3]DOORSCRIEFT!$A$2:$G$6834,4,FALSE),"")</f>
        <v/>
      </c>
      <c r="F3037" s="405" t="str">
        <f>IFERROR(VLOOKUP(A3037,[3]DOORSCRIEFT!$A$2:$G$6834,7,FALSE),"")</f>
        <v/>
      </c>
      <c r="G3037" s="315"/>
    </row>
    <row r="3038" spans="1:7" x14ac:dyDescent="0.25">
      <c r="A3038" s="321" t="str">
        <f t="shared" si="104"/>
        <v>II.6.1.1012</v>
      </c>
      <c r="B3038" s="321">
        <v>12</v>
      </c>
      <c r="C3038" s="339" t="str">
        <f>IFERROR(VLOOKUP(A3038,[3]DOORSCRIEFT!$A$2:$G$6834,2,FALSE),"")</f>
        <v/>
      </c>
      <c r="D3038" s="481" t="str">
        <f>IFERROR(VLOOKUP(A3038,[3]DOORSCRIEFT!$A$2:$G$6834,3,FALSE),"")</f>
        <v/>
      </c>
      <c r="E3038" s="480" t="str">
        <f>IFERROR(VLOOKUP(A3038,[3]DOORSCRIEFT!$A$2:$G$6834,4,FALSE),"")</f>
        <v/>
      </c>
      <c r="F3038" s="405" t="str">
        <f>IFERROR(VLOOKUP(A3038,[3]DOORSCRIEFT!$A$2:$G$6834,7,FALSE),"")</f>
        <v/>
      </c>
      <c r="G3038" s="315"/>
    </row>
    <row r="3039" spans="1:7" x14ac:dyDescent="0.25">
      <c r="A3039" s="321" t="str">
        <f t="shared" si="104"/>
        <v>II.6.1.1013</v>
      </c>
      <c r="B3039" s="321">
        <v>13</v>
      </c>
      <c r="C3039" s="339" t="str">
        <f>IFERROR(VLOOKUP(A3039,[3]DOORSCRIEFT!$A$2:$G$6834,2,FALSE),"")</f>
        <v/>
      </c>
      <c r="D3039" s="481" t="str">
        <f>IFERROR(VLOOKUP(A3039,[3]DOORSCRIEFT!$A$2:$G$6834,3,FALSE),"")</f>
        <v/>
      </c>
      <c r="E3039" s="480" t="str">
        <f>IFERROR(VLOOKUP(A3039,[3]DOORSCRIEFT!$A$2:$G$6834,4,FALSE),"")</f>
        <v/>
      </c>
      <c r="F3039" s="405" t="str">
        <f>IFERROR(VLOOKUP(A3039,[3]DOORSCRIEFT!$A$2:$G$6834,7,FALSE),"")</f>
        <v/>
      </c>
      <c r="G3039" s="315"/>
    </row>
    <row r="3040" spans="1:7" x14ac:dyDescent="0.25">
      <c r="A3040" s="321" t="str">
        <f t="shared" si="104"/>
        <v>II.6.1.1014</v>
      </c>
      <c r="B3040" s="321">
        <v>14</v>
      </c>
      <c r="C3040" s="339" t="str">
        <f>IFERROR(VLOOKUP(A3040,[3]DOORSCRIEFT!$A$2:$G$6834,2,FALSE),"")</f>
        <v/>
      </c>
      <c r="D3040" s="481" t="str">
        <f>IFERROR(VLOOKUP(A3040,[3]DOORSCRIEFT!$A$2:$G$6834,3,FALSE),"")</f>
        <v/>
      </c>
      <c r="E3040" s="480" t="str">
        <f>IFERROR(VLOOKUP(A3040,[3]DOORSCRIEFT!$A$2:$G$6834,4,FALSE),"")</f>
        <v/>
      </c>
      <c r="F3040" s="405" t="str">
        <f>IFERROR(VLOOKUP(A3040,[3]DOORSCRIEFT!$A$2:$G$6834,7,FALSE),"")</f>
        <v/>
      </c>
      <c r="G3040" s="315"/>
    </row>
    <row r="3041" spans="1:7" ht="15.75" thickBot="1" x14ac:dyDescent="0.3">
      <c r="A3041" s="342" t="str">
        <f t="shared" si="104"/>
        <v>II.6.1.1015</v>
      </c>
      <c r="B3041" s="342">
        <v>15</v>
      </c>
      <c r="C3041" s="339" t="str">
        <f>IFERROR(VLOOKUP(A3041,[3]DOORSCRIEFT!$A$2:$G$6834,2,FALSE),"")</f>
        <v/>
      </c>
      <c r="D3041" s="481" t="str">
        <f>IFERROR(VLOOKUP(A3041,[3]DOORSCRIEFT!$A$2:$G$6834,3,FALSE),"")</f>
        <v/>
      </c>
      <c r="E3041" s="480" t="str">
        <f>IFERROR(VLOOKUP(A3041,[3]DOORSCRIEFT!$A$2:$G$6834,4,FALSE),"")</f>
        <v/>
      </c>
      <c r="F3041" s="405" t="str">
        <f>IFERROR(VLOOKUP(A3041,[3]DOORSCRIEFT!$A$2:$G$6834,7,FALSE),"")</f>
        <v/>
      </c>
      <c r="G3041" s="315"/>
    </row>
    <row r="3042" spans="1:7" ht="15.75" thickBot="1" x14ac:dyDescent="0.3">
      <c r="A3042" s="341"/>
      <c r="B3042" s="340"/>
      <c r="C3042" s="313"/>
      <c r="D3042" s="312"/>
      <c r="E3042" s="340" t="s">
        <v>644</v>
      </c>
      <c r="F3042" s="310">
        <f>SUM(F3027:F3041)</f>
        <v>0</v>
      </c>
      <c r="G3042" s="309">
        <f>SUM(G3027:G3041)</f>
        <v>0</v>
      </c>
    </row>
  </sheetData>
  <sheetProtection selectLockedCells="1" selectUnlockedCells="1"/>
  <mergeCells count="672">
    <mergeCell ref="C7:C8"/>
    <mergeCell ref="D7:D8"/>
    <mergeCell ref="E7:E8"/>
    <mergeCell ref="F7:F8"/>
    <mergeCell ref="G57:G58"/>
    <mergeCell ref="A91:A92"/>
    <mergeCell ref="B91:B92"/>
    <mergeCell ref="C91:C92"/>
    <mergeCell ref="D91:D92"/>
    <mergeCell ref="E91:E92"/>
    <mergeCell ref="G7:G8"/>
    <mergeCell ref="A32:A33"/>
    <mergeCell ref="B32:B33"/>
    <mergeCell ref="C32:C33"/>
    <mergeCell ref="D32:D33"/>
    <mergeCell ref="E32:E33"/>
    <mergeCell ref="F32:F33"/>
    <mergeCell ref="G32:G33"/>
    <mergeCell ref="A7:A8"/>
    <mergeCell ref="B7:B8"/>
    <mergeCell ref="F159:F160"/>
    <mergeCell ref="G159:G160"/>
    <mergeCell ref="A125:A126"/>
    <mergeCell ref="B125:B126"/>
    <mergeCell ref="F91:F92"/>
    <mergeCell ref="G91:G92"/>
    <mergeCell ref="A57:A58"/>
    <mergeCell ref="B57:B58"/>
    <mergeCell ref="C57:C58"/>
    <mergeCell ref="D57:D58"/>
    <mergeCell ref="E57:E58"/>
    <mergeCell ref="F57:F58"/>
    <mergeCell ref="F209:F210"/>
    <mergeCell ref="G209:G210"/>
    <mergeCell ref="A184:A185"/>
    <mergeCell ref="B184:B185"/>
    <mergeCell ref="C184:C185"/>
    <mergeCell ref="D184:D185"/>
    <mergeCell ref="E184:E185"/>
    <mergeCell ref="F184:F185"/>
    <mergeCell ref="C125:C126"/>
    <mergeCell ref="D125:D126"/>
    <mergeCell ref="E125:E126"/>
    <mergeCell ref="F125:F126"/>
    <mergeCell ref="G184:G185"/>
    <mergeCell ref="A209:A210"/>
    <mergeCell ref="B209:B210"/>
    <mergeCell ref="C209:C210"/>
    <mergeCell ref="D209:D210"/>
    <mergeCell ref="E209:E210"/>
    <mergeCell ref="G125:G126"/>
    <mergeCell ref="A159:A160"/>
    <mergeCell ref="B159:B160"/>
    <mergeCell ref="C159:C160"/>
    <mergeCell ref="D159:D160"/>
    <mergeCell ref="E159:E160"/>
    <mergeCell ref="C234:C235"/>
    <mergeCell ref="D234:D235"/>
    <mergeCell ref="E234:E235"/>
    <mergeCell ref="F234:F235"/>
    <mergeCell ref="G299:G300"/>
    <mergeCell ref="A336:A337"/>
    <mergeCell ref="B336:B337"/>
    <mergeCell ref="C336:C337"/>
    <mergeCell ref="D336:D337"/>
    <mergeCell ref="E336:E337"/>
    <mergeCell ref="G234:G235"/>
    <mergeCell ref="A265:A266"/>
    <mergeCell ref="B265:B266"/>
    <mergeCell ref="C265:C266"/>
    <mergeCell ref="D265:D266"/>
    <mergeCell ref="E265:E266"/>
    <mergeCell ref="F265:F266"/>
    <mergeCell ref="G265:G266"/>
    <mergeCell ref="A234:A235"/>
    <mergeCell ref="B234:B235"/>
    <mergeCell ref="F407:F408"/>
    <mergeCell ref="G407:G408"/>
    <mergeCell ref="A374:A375"/>
    <mergeCell ref="B374:B375"/>
    <mergeCell ref="F336:F337"/>
    <mergeCell ref="G336:G337"/>
    <mergeCell ref="A299:A300"/>
    <mergeCell ref="B299:B300"/>
    <mergeCell ref="C299:C300"/>
    <mergeCell ref="D299:D300"/>
    <mergeCell ref="E299:E300"/>
    <mergeCell ref="F299:F300"/>
    <mergeCell ref="F465:F466"/>
    <mergeCell ref="G465:G466"/>
    <mergeCell ref="A440:A441"/>
    <mergeCell ref="B440:B441"/>
    <mergeCell ref="C440:C441"/>
    <mergeCell ref="D440:D441"/>
    <mergeCell ref="E440:E441"/>
    <mergeCell ref="F440:F441"/>
    <mergeCell ref="C374:C375"/>
    <mergeCell ref="D374:D375"/>
    <mergeCell ref="E374:E375"/>
    <mergeCell ref="F374:F375"/>
    <mergeCell ref="G440:G441"/>
    <mergeCell ref="A465:A466"/>
    <mergeCell ref="B465:B466"/>
    <mergeCell ref="C465:C466"/>
    <mergeCell ref="D465:D466"/>
    <mergeCell ref="E465:E466"/>
    <mergeCell ref="G374:G375"/>
    <mergeCell ref="A407:A408"/>
    <mergeCell ref="B407:B408"/>
    <mergeCell ref="C407:C408"/>
    <mergeCell ref="D407:D408"/>
    <mergeCell ref="E407:E408"/>
    <mergeCell ref="C490:C491"/>
    <mergeCell ref="D490:D491"/>
    <mergeCell ref="E490:E491"/>
    <mergeCell ref="F490:F491"/>
    <mergeCell ref="G548:G549"/>
    <mergeCell ref="A578:A579"/>
    <mergeCell ref="B578:B579"/>
    <mergeCell ref="C578:C579"/>
    <mergeCell ref="D578:D579"/>
    <mergeCell ref="E578:E579"/>
    <mergeCell ref="G490:G491"/>
    <mergeCell ref="A515:A516"/>
    <mergeCell ref="B515:B516"/>
    <mergeCell ref="C515:C516"/>
    <mergeCell ref="D515:D516"/>
    <mergeCell ref="E515:E516"/>
    <mergeCell ref="F515:F516"/>
    <mergeCell ref="G515:G516"/>
    <mergeCell ref="A490:A491"/>
    <mergeCell ref="B490:B491"/>
    <mergeCell ref="F651:F652"/>
    <mergeCell ref="G651:G652"/>
    <mergeCell ref="A611:A612"/>
    <mergeCell ref="B611:B612"/>
    <mergeCell ref="F578:F579"/>
    <mergeCell ref="G578:G579"/>
    <mergeCell ref="A548:A549"/>
    <mergeCell ref="B548:B549"/>
    <mergeCell ref="C548:C549"/>
    <mergeCell ref="D548:D549"/>
    <mergeCell ref="E548:E549"/>
    <mergeCell ref="F548:F549"/>
    <mergeCell ref="F701:F702"/>
    <mergeCell ref="G701:G702"/>
    <mergeCell ref="A676:A677"/>
    <mergeCell ref="B676:B677"/>
    <mergeCell ref="C676:C677"/>
    <mergeCell ref="D676:D677"/>
    <mergeCell ref="E676:E677"/>
    <mergeCell ref="F676:F677"/>
    <mergeCell ref="C611:C612"/>
    <mergeCell ref="D611:D612"/>
    <mergeCell ref="E611:E612"/>
    <mergeCell ref="F611:F612"/>
    <mergeCell ref="G676:G677"/>
    <mergeCell ref="A701:A702"/>
    <mergeCell ref="B701:B702"/>
    <mergeCell ref="C701:C702"/>
    <mergeCell ref="D701:D702"/>
    <mergeCell ref="E701:E702"/>
    <mergeCell ref="G611:G612"/>
    <mergeCell ref="A651:A652"/>
    <mergeCell ref="B651:B652"/>
    <mergeCell ref="C651:C652"/>
    <mergeCell ref="D651:D652"/>
    <mergeCell ref="E651:E652"/>
    <mergeCell ref="C726:C727"/>
    <mergeCell ref="D726:D727"/>
    <mergeCell ref="E726:E727"/>
    <mergeCell ref="F726:F727"/>
    <mergeCell ref="G786:G787"/>
    <mergeCell ref="A820:A821"/>
    <mergeCell ref="B820:B821"/>
    <mergeCell ref="C820:C821"/>
    <mergeCell ref="D820:D821"/>
    <mergeCell ref="E820:E821"/>
    <mergeCell ref="G726:G727"/>
    <mergeCell ref="A761:A762"/>
    <mergeCell ref="B761:B762"/>
    <mergeCell ref="C761:C762"/>
    <mergeCell ref="D761:D762"/>
    <mergeCell ref="E761:E762"/>
    <mergeCell ref="F761:F762"/>
    <mergeCell ref="G761:G762"/>
    <mergeCell ref="A726:A727"/>
    <mergeCell ref="B726:B727"/>
    <mergeCell ref="F887:F888"/>
    <mergeCell ref="G887:G888"/>
    <mergeCell ref="A845:A846"/>
    <mergeCell ref="B845:B846"/>
    <mergeCell ref="F820:F821"/>
    <mergeCell ref="G820:G821"/>
    <mergeCell ref="A786:A787"/>
    <mergeCell ref="B786:B787"/>
    <mergeCell ref="C786:C787"/>
    <mergeCell ref="D786:D787"/>
    <mergeCell ref="E786:E787"/>
    <mergeCell ref="F786:F787"/>
    <mergeCell ref="F962:F963"/>
    <mergeCell ref="G962:G963"/>
    <mergeCell ref="A912:A913"/>
    <mergeCell ref="B912:B913"/>
    <mergeCell ref="C912:C913"/>
    <mergeCell ref="D912:D913"/>
    <mergeCell ref="E912:E913"/>
    <mergeCell ref="F912:F913"/>
    <mergeCell ref="C845:C846"/>
    <mergeCell ref="D845:D846"/>
    <mergeCell ref="E845:E846"/>
    <mergeCell ref="F845:F846"/>
    <mergeCell ref="G912:G913"/>
    <mergeCell ref="A962:A963"/>
    <mergeCell ref="B962:B963"/>
    <mergeCell ref="C962:C963"/>
    <mergeCell ref="D962:D963"/>
    <mergeCell ref="E962:E963"/>
    <mergeCell ref="G845:G846"/>
    <mergeCell ref="A887:A888"/>
    <mergeCell ref="B887:B888"/>
    <mergeCell ref="C887:C888"/>
    <mergeCell ref="D887:D888"/>
    <mergeCell ref="E887:E888"/>
    <mergeCell ref="C998:C999"/>
    <mergeCell ref="D998:D999"/>
    <mergeCell ref="E998:E999"/>
    <mergeCell ref="F998:F999"/>
    <mergeCell ref="G1048:G1049"/>
    <mergeCell ref="A1073:A1074"/>
    <mergeCell ref="B1073:B1074"/>
    <mergeCell ref="C1073:C1074"/>
    <mergeCell ref="D1073:D1074"/>
    <mergeCell ref="E1073:E1074"/>
    <mergeCell ref="G998:G999"/>
    <mergeCell ref="A1023:A1024"/>
    <mergeCell ref="B1023:B1024"/>
    <mergeCell ref="C1023:C1024"/>
    <mergeCell ref="D1023:D1024"/>
    <mergeCell ref="E1023:E1024"/>
    <mergeCell ref="F1023:F1024"/>
    <mergeCell ref="G1023:G1024"/>
    <mergeCell ref="A998:A999"/>
    <mergeCell ref="B998:B999"/>
    <mergeCell ref="F1172:F1173"/>
    <mergeCell ref="G1172:G1173"/>
    <mergeCell ref="A1098:A1099"/>
    <mergeCell ref="B1098:B1099"/>
    <mergeCell ref="F1073:F1074"/>
    <mergeCell ref="G1073:G1074"/>
    <mergeCell ref="A1048:A1049"/>
    <mergeCell ref="B1048:B1049"/>
    <mergeCell ref="C1048:C1049"/>
    <mergeCell ref="D1048:D1049"/>
    <mergeCell ref="E1048:E1049"/>
    <mergeCell ref="F1048:F1049"/>
    <mergeCell ref="F1222:F1223"/>
    <mergeCell ref="G1222:G1223"/>
    <mergeCell ref="A1197:A1198"/>
    <mergeCell ref="B1197:B1198"/>
    <mergeCell ref="C1197:C1198"/>
    <mergeCell ref="D1197:D1198"/>
    <mergeCell ref="E1197:E1198"/>
    <mergeCell ref="F1197:F1198"/>
    <mergeCell ref="C1098:C1099"/>
    <mergeCell ref="D1098:D1099"/>
    <mergeCell ref="E1098:E1099"/>
    <mergeCell ref="F1098:F1099"/>
    <mergeCell ref="G1197:G1198"/>
    <mergeCell ref="A1222:A1223"/>
    <mergeCell ref="B1222:B1223"/>
    <mergeCell ref="C1222:C1223"/>
    <mergeCell ref="D1222:D1223"/>
    <mergeCell ref="E1222:E1223"/>
    <mergeCell ref="G1098:G1099"/>
    <mergeCell ref="A1172:A1173"/>
    <mergeCell ref="B1172:B1173"/>
    <mergeCell ref="C1172:C1173"/>
    <mergeCell ref="D1172:D1173"/>
    <mergeCell ref="E1172:E1173"/>
    <mergeCell ref="C1252:C1253"/>
    <mergeCell ref="D1252:D1253"/>
    <mergeCell ref="E1252:E1253"/>
    <mergeCell ref="F1252:F1253"/>
    <mergeCell ref="G1311:G1312"/>
    <mergeCell ref="A1345:A1346"/>
    <mergeCell ref="B1345:B1346"/>
    <mergeCell ref="C1345:C1346"/>
    <mergeCell ref="D1345:D1346"/>
    <mergeCell ref="E1345:E1346"/>
    <mergeCell ref="G1252:G1253"/>
    <mergeCell ref="A1286:A1287"/>
    <mergeCell ref="B1286:B1287"/>
    <mergeCell ref="C1286:C1287"/>
    <mergeCell ref="D1286:D1287"/>
    <mergeCell ref="E1286:E1287"/>
    <mergeCell ref="F1286:F1287"/>
    <mergeCell ref="G1286:G1287"/>
    <mergeCell ref="A1252:A1253"/>
    <mergeCell ref="B1252:B1253"/>
    <mergeCell ref="F1414:F1415"/>
    <mergeCell ref="G1414:G1415"/>
    <mergeCell ref="A1380:A1381"/>
    <mergeCell ref="B1380:B1381"/>
    <mergeCell ref="F1345:F1346"/>
    <mergeCell ref="G1345:G1346"/>
    <mergeCell ref="A1311:A1312"/>
    <mergeCell ref="B1311:B1312"/>
    <mergeCell ref="C1311:C1312"/>
    <mergeCell ref="D1311:D1312"/>
    <mergeCell ref="E1311:E1312"/>
    <mergeCell ref="F1311:F1312"/>
    <mergeCell ref="F1472:F1473"/>
    <mergeCell ref="G1472:G1473"/>
    <mergeCell ref="A1447:A1448"/>
    <mergeCell ref="B1447:B1448"/>
    <mergeCell ref="C1447:C1448"/>
    <mergeCell ref="D1447:D1448"/>
    <mergeCell ref="E1447:E1448"/>
    <mergeCell ref="F1447:F1448"/>
    <mergeCell ref="C1380:C1381"/>
    <mergeCell ref="D1380:D1381"/>
    <mergeCell ref="E1380:E1381"/>
    <mergeCell ref="F1380:F1381"/>
    <mergeCell ref="G1447:G1448"/>
    <mergeCell ref="A1472:A1473"/>
    <mergeCell ref="B1472:B1473"/>
    <mergeCell ref="C1472:C1473"/>
    <mergeCell ref="D1472:D1473"/>
    <mergeCell ref="E1472:E1473"/>
    <mergeCell ref="G1380:G1381"/>
    <mergeCell ref="A1414:A1415"/>
    <mergeCell ref="B1414:B1415"/>
    <mergeCell ref="C1414:C1415"/>
    <mergeCell ref="D1414:D1415"/>
    <mergeCell ref="E1414:E1415"/>
    <mergeCell ref="C1497:C1498"/>
    <mergeCell ref="D1497:D1498"/>
    <mergeCell ref="E1497:E1498"/>
    <mergeCell ref="F1497:F1498"/>
    <mergeCell ref="G1547:G1548"/>
    <mergeCell ref="A1572:A1573"/>
    <mergeCell ref="B1572:B1573"/>
    <mergeCell ref="C1572:C1573"/>
    <mergeCell ref="D1572:D1573"/>
    <mergeCell ref="E1572:E1573"/>
    <mergeCell ref="G1497:G1498"/>
    <mergeCell ref="A1522:A1523"/>
    <mergeCell ref="B1522:B1523"/>
    <mergeCell ref="C1522:C1523"/>
    <mergeCell ref="D1522:D1523"/>
    <mergeCell ref="E1522:E1523"/>
    <mergeCell ref="F1522:F1523"/>
    <mergeCell ref="G1522:G1523"/>
    <mergeCell ref="A1497:A1498"/>
    <mergeCell ref="B1497:B1498"/>
    <mergeCell ref="F1622:F1623"/>
    <mergeCell ref="G1622:G1623"/>
    <mergeCell ref="A1597:A1598"/>
    <mergeCell ref="B1597:B1598"/>
    <mergeCell ref="F1572:F1573"/>
    <mergeCell ref="G1572:G1573"/>
    <mergeCell ref="A1547:A1548"/>
    <mergeCell ref="B1547:B1548"/>
    <mergeCell ref="C1547:C1548"/>
    <mergeCell ref="D1547:D1548"/>
    <mergeCell ref="E1547:E1548"/>
    <mergeCell ref="F1547:F1548"/>
    <mergeCell ref="F1672:F1673"/>
    <mergeCell ref="G1672:G1673"/>
    <mergeCell ref="A1647:A1648"/>
    <mergeCell ref="B1647:B1648"/>
    <mergeCell ref="C1647:C1648"/>
    <mergeCell ref="D1647:D1648"/>
    <mergeCell ref="E1647:E1648"/>
    <mergeCell ref="F1647:F1648"/>
    <mergeCell ref="C1597:C1598"/>
    <mergeCell ref="D1597:D1598"/>
    <mergeCell ref="E1597:E1598"/>
    <mergeCell ref="F1597:F1598"/>
    <mergeCell ref="G1647:G1648"/>
    <mergeCell ref="A1672:A1673"/>
    <mergeCell ref="B1672:B1673"/>
    <mergeCell ref="C1672:C1673"/>
    <mergeCell ref="D1672:D1673"/>
    <mergeCell ref="E1672:E1673"/>
    <mergeCell ref="G1597:G1598"/>
    <mergeCell ref="A1622:A1623"/>
    <mergeCell ref="B1622:B1623"/>
    <mergeCell ref="C1622:C1623"/>
    <mergeCell ref="D1622:D1623"/>
    <mergeCell ref="E1622:E1623"/>
    <mergeCell ref="C1697:C1698"/>
    <mergeCell ref="D1697:D1698"/>
    <mergeCell ref="E1697:E1698"/>
    <mergeCell ref="F1697:F1698"/>
    <mergeCell ref="G1747:G1748"/>
    <mergeCell ref="A1772:A1773"/>
    <mergeCell ref="B1772:B1773"/>
    <mergeCell ref="C1772:C1773"/>
    <mergeCell ref="D1772:D1773"/>
    <mergeCell ref="E1772:E1773"/>
    <mergeCell ref="G1697:G1698"/>
    <mergeCell ref="A1722:A1723"/>
    <mergeCell ref="B1722:B1723"/>
    <mergeCell ref="C1722:C1723"/>
    <mergeCell ref="D1722:D1723"/>
    <mergeCell ref="E1722:E1723"/>
    <mergeCell ref="F1722:F1723"/>
    <mergeCell ref="G1722:G1723"/>
    <mergeCell ref="A1697:A1698"/>
    <mergeCell ref="B1697:B1698"/>
    <mergeCell ref="F1822:F1823"/>
    <mergeCell ref="G1822:G1823"/>
    <mergeCell ref="A1797:A1798"/>
    <mergeCell ref="B1797:B1798"/>
    <mergeCell ref="F1772:F1773"/>
    <mergeCell ref="G1772:G1773"/>
    <mergeCell ref="A1747:A1748"/>
    <mergeCell ref="B1747:B1748"/>
    <mergeCell ref="C1747:C1748"/>
    <mergeCell ref="D1747:D1748"/>
    <mergeCell ref="E1747:E1748"/>
    <mergeCell ref="F1747:F1748"/>
    <mergeCell ref="F1874:F1875"/>
    <mergeCell ref="G1874:G1875"/>
    <mergeCell ref="A1849:A1850"/>
    <mergeCell ref="B1849:B1850"/>
    <mergeCell ref="C1849:C1850"/>
    <mergeCell ref="D1849:D1850"/>
    <mergeCell ref="E1849:E1850"/>
    <mergeCell ref="F1849:F1850"/>
    <mergeCell ref="C1797:C1798"/>
    <mergeCell ref="D1797:D1798"/>
    <mergeCell ref="E1797:E1798"/>
    <mergeCell ref="F1797:F1798"/>
    <mergeCell ref="G1849:G1850"/>
    <mergeCell ref="A1874:A1875"/>
    <mergeCell ref="B1874:B1875"/>
    <mergeCell ref="C1874:C1875"/>
    <mergeCell ref="D1874:D1875"/>
    <mergeCell ref="E1874:E1875"/>
    <mergeCell ref="G1797:G1798"/>
    <mergeCell ref="A1822:A1823"/>
    <mergeCell ref="B1822:B1823"/>
    <mergeCell ref="C1822:C1823"/>
    <mergeCell ref="D1822:D1823"/>
    <mergeCell ref="E1822:E1823"/>
    <mergeCell ref="C1899:C1900"/>
    <mergeCell ref="D1899:D1900"/>
    <mergeCell ref="E1899:E1900"/>
    <mergeCell ref="F1899:F1900"/>
    <mergeCell ref="G1950:G1951"/>
    <mergeCell ref="A1975:A1976"/>
    <mergeCell ref="B1975:B1976"/>
    <mergeCell ref="C1975:C1976"/>
    <mergeCell ref="D1975:D1976"/>
    <mergeCell ref="E1975:E1976"/>
    <mergeCell ref="G1899:G1900"/>
    <mergeCell ref="A1924:A1925"/>
    <mergeCell ref="B1924:B1925"/>
    <mergeCell ref="C1924:C1925"/>
    <mergeCell ref="D1924:D1925"/>
    <mergeCell ref="E1924:E1925"/>
    <mergeCell ref="F1924:F1925"/>
    <mergeCell ref="G1924:G1925"/>
    <mergeCell ref="A1899:A1900"/>
    <mergeCell ref="B1899:B1900"/>
    <mergeCell ref="F2025:F2026"/>
    <mergeCell ref="G2025:G2026"/>
    <mergeCell ref="A2000:A2001"/>
    <mergeCell ref="B2000:B2001"/>
    <mergeCell ref="F1975:F1976"/>
    <mergeCell ref="G1975:G1976"/>
    <mergeCell ref="A1950:A1951"/>
    <mergeCell ref="B1950:B1951"/>
    <mergeCell ref="C1950:C1951"/>
    <mergeCell ref="D1950:D1951"/>
    <mergeCell ref="E1950:E1951"/>
    <mergeCell ref="F1950:F1951"/>
    <mergeCell ref="F2075:F2076"/>
    <mergeCell ref="G2075:G2076"/>
    <mergeCell ref="A2050:A2051"/>
    <mergeCell ref="B2050:B2051"/>
    <mergeCell ref="C2050:C2051"/>
    <mergeCell ref="D2050:D2051"/>
    <mergeCell ref="E2050:E2051"/>
    <mergeCell ref="F2050:F2051"/>
    <mergeCell ref="C2000:C2001"/>
    <mergeCell ref="D2000:D2001"/>
    <mergeCell ref="E2000:E2001"/>
    <mergeCell ref="F2000:F2001"/>
    <mergeCell ref="G2050:G2051"/>
    <mergeCell ref="A2075:A2076"/>
    <mergeCell ref="B2075:B2076"/>
    <mergeCell ref="C2075:C2076"/>
    <mergeCell ref="D2075:D2076"/>
    <mergeCell ref="E2075:E2076"/>
    <mergeCell ref="G2000:G2001"/>
    <mergeCell ref="A2025:A2026"/>
    <mergeCell ref="B2025:B2026"/>
    <mergeCell ref="C2025:C2026"/>
    <mergeCell ref="D2025:D2026"/>
    <mergeCell ref="E2025:E2026"/>
    <mergeCell ref="C2100:C2101"/>
    <mergeCell ref="D2100:D2101"/>
    <mergeCell ref="E2100:E2101"/>
    <mergeCell ref="F2100:F2101"/>
    <mergeCell ref="G2232:G2233"/>
    <mergeCell ref="A2257:A2258"/>
    <mergeCell ref="B2257:B2258"/>
    <mergeCell ref="C2257:C2258"/>
    <mergeCell ref="D2257:D2258"/>
    <mergeCell ref="E2257:E2258"/>
    <mergeCell ref="G2100:G2101"/>
    <mergeCell ref="A2125:A2126"/>
    <mergeCell ref="B2125:B2126"/>
    <mergeCell ref="C2125:C2126"/>
    <mergeCell ref="D2125:D2126"/>
    <mergeCell ref="E2125:E2126"/>
    <mergeCell ref="F2125:F2126"/>
    <mergeCell ref="G2125:G2126"/>
    <mergeCell ref="A2100:A2101"/>
    <mergeCell ref="B2100:B2101"/>
    <mergeCell ref="F2307:F2308"/>
    <mergeCell ref="G2307:G2308"/>
    <mergeCell ref="A2282:A2283"/>
    <mergeCell ref="B2282:B2283"/>
    <mergeCell ref="F2257:F2258"/>
    <mergeCell ref="G2257:G2258"/>
    <mergeCell ref="A2232:A2233"/>
    <mergeCell ref="B2232:B2233"/>
    <mergeCell ref="C2232:C2233"/>
    <mergeCell ref="D2232:D2233"/>
    <mergeCell ref="E2232:E2233"/>
    <mergeCell ref="F2232:F2233"/>
    <mergeCell ref="F2375:F2376"/>
    <mergeCell ref="G2375:G2376"/>
    <mergeCell ref="A2332:A2333"/>
    <mergeCell ref="B2332:B2333"/>
    <mergeCell ref="C2332:C2333"/>
    <mergeCell ref="D2332:D2333"/>
    <mergeCell ref="E2332:E2333"/>
    <mergeCell ref="F2332:F2333"/>
    <mergeCell ref="C2282:C2283"/>
    <mergeCell ref="D2282:D2283"/>
    <mergeCell ref="E2282:E2283"/>
    <mergeCell ref="F2282:F2283"/>
    <mergeCell ref="G2332:G2333"/>
    <mergeCell ref="A2375:A2376"/>
    <mergeCell ref="B2375:B2376"/>
    <mergeCell ref="C2375:C2376"/>
    <mergeCell ref="D2375:D2376"/>
    <mergeCell ref="E2375:E2376"/>
    <mergeCell ref="G2282:G2283"/>
    <mergeCell ref="A2307:A2308"/>
    <mergeCell ref="B2307:B2308"/>
    <mergeCell ref="C2307:C2308"/>
    <mergeCell ref="D2307:D2308"/>
    <mergeCell ref="E2307:E2308"/>
    <mergeCell ref="C2535:C2536"/>
    <mergeCell ref="D2535:D2536"/>
    <mergeCell ref="E2535:E2536"/>
    <mergeCell ref="F2535:F2536"/>
    <mergeCell ref="G2598:G2599"/>
    <mergeCell ref="A2697:A2698"/>
    <mergeCell ref="B2697:B2698"/>
    <mergeCell ref="C2697:C2698"/>
    <mergeCell ref="D2697:D2698"/>
    <mergeCell ref="E2697:E2698"/>
    <mergeCell ref="G2535:G2536"/>
    <mergeCell ref="A2573:A2574"/>
    <mergeCell ref="B2573:B2574"/>
    <mergeCell ref="C2573:C2574"/>
    <mergeCell ref="D2573:D2574"/>
    <mergeCell ref="E2573:E2574"/>
    <mergeCell ref="F2573:F2574"/>
    <mergeCell ref="G2573:G2574"/>
    <mergeCell ref="A2535:A2536"/>
    <mergeCell ref="B2535:B2536"/>
    <mergeCell ref="F2774:F2775"/>
    <mergeCell ref="G2774:G2775"/>
    <mergeCell ref="A2738:A2739"/>
    <mergeCell ref="B2738:B2739"/>
    <mergeCell ref="F2697:F2698"/>
    <mergeCell ref="G2697:G2698"/>
    <mergeCell ref="A2598:A2599"/>
    <mergeCell ref="B2598:B2599"/>
    <mergeCell ref="C2598:C2599"/>
    <mergeCell ref="D2598:D2599"/>
    <mergeCell ref="E2598:E2599"/>
    <mergeCell ref="F2598:F2599"/>
    <mergeCell ref="F2824:F2825"/>
    <mergeCell ref="G2824:G2825"/>
    <mergeCell ref="A2799:A2800"/>
    <mergeCell ref="B2799:B2800"/>
    <mergeCell ref="C2799:C2800"/>
    <mergeCell ref="D2799:D2800"/>
    <mergeCell ref="E2799:E2800"/>
    <mergeCell ref="F2799:F2800"/>
    <mergeCell ref="C2738:C2739"/>
    <mergeCell ref="D2738:D2739"/>
    <mergeCell ref="E2738:E2739"/>
    <mergeCell ref="F2738:F2739"/>
    <mergeCell ref="G2799:G2800"/>
    <mergeCell ref="A2824:A2825"/>
    <mergeCell ref="B2824:B2825"/>
    <mergeCell ref="C2824:C2825"/>
    <mergeCell ref="D2824:D2825"/>
    <mergeCell ref="E2824:E2825"/>
    <mergeCell ref="G2738:G2739"/>
    <mergeCell ref="A2774:A2775"/>
    <mergeCell ref="B2774:B2775"/>
    <mergeCell ref="C2774:C2775"/>
    <mergeCell ref="D2774:D2775"/>
    <mergeCell ref="E2774:E2775"/>
    <mergeCell ref="C2849:C2850"/>
    <mergeCell ref="D2849:D2850"/>
    <mergeCell ref="E2849:E2850"/>
    <mergeCell ref="F2849:F2850"/>
    <mergeCell ref="G2899:G2900"/>
    <mergeCell ref="A2924:A2925"/>
    <mergeCell ref="B2924:B2925"/>
    <mergeCell ref="C2924:C2925"/>
    <mergeCell ref="D2924:D2925"/>
    <mergeCell ref="E2924:E2925"/>
    <mergeCell ref="G2849:G2850"/>
    <mergeCell ref="A2874:A2875"/>
    <mergeCell ref="B2874:B2875"/>
    <mergeCell ref="C2874:C2875"/>
    <mergeCell ref="D2874:D2875"/>
    <mergeCell ref="E2874:E2875"/>
    <mergeCell ref="F2874:F2875"/>
    <mergeCell ref="G2874:G2875"/>
    <mergeCell ref="A2849:A2850"/>
    <mergeCell ref="B2849:B2850"/>
    <mergeCell ref="F2974:F2975"/>
    <mergeCell ref="G2974:G2975"/>
    <mergeCell ref="A2949:A2950"/>
    <mergeCell ref="B2949:B2950"/>
    <mergeCell ref="F2924:F2925"/>
    <mergeCell ref="G2924:G2925"/>
    <mergeCell ref="A2899:A2900"/>
    <mergeCell ref="B2899:B2900"/>
    <mergeCell ref="C2899:C2900"/>
    <mergeCell ref="D2899:D2900"/>
    <mergeCell ref="E2899:E2900"/>
    <mergeCell ref="F2899:F2900"/>
    <mergeCell ref="F3024:F3025"/>
    <mergeCell ref="G3024:G3025"/>
    <mergeCell ref="A2999:A3000"/>
    <mergeCell ref="B2999:B3000"/>
    <mergeCell ref="C2999:C3000"/>
    <mergeCell ref="D2999:D3000"/>
    <mergeCell ref="E2999:E3000"/>
    <mergeCell ref="F2999:F3000"/>
    <mergeCell ref="C2949:C2950"/>
    <mergeCell ref="D2949:D2950"/>
    <mergeCell ref="E2949:E2950"/>
    <mergeCell ref="F2949:F2950"/>
    <mergeCell ref="G2999:G3000"/>
    <mergeCell ref="A3024:A3025"/>
    <mergeCell ref="B3024:B3025"/>
    <mergeCell ref="C3024:C3025"/>
    <mergeCell ref="D3024:D3025"/>
    <mergeCell ref="E3024:E3025"/>
    <mergeCell ref="G2949:G2950"/>
    <mergeCell ref="A2974:A2975"/>
    <mergeCell ref="B2974:B2975"/>
    <mergeCell ref="C2974:C2975"/>
    <mergeCell ref="D2974:D2975"/>
    <mergeCell ref="E2974:E2975"/>
  </mergeCells>
  <pageMargins left="0.70866141732283472" right="0.70866141732283472" top="0.74803149606299213" bottom="0.74803149606299213" header="0.31496062992125984" footer="0.31496062992125984"/>
  <pageSetup paperSize="20000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BATANG TUBUH</vt:lpstr>
      <vt:lpstr>REALISASI PERBULAN</vt:lpstr>
      <vt:lpstr>SUB SEKSI</vt:lpstr>
      <vt:lpstr>DOORSCRIEFT</vt:lpstr>
      <vt:lpstr>KOMP. PENDAPATAN</vt:lpstr>
      <vt:lpstr>KOMP. BELANJA</vt:lpstr>
      <vt:lpstr>DOORSCRIEFT!Print_Area</vt:lpstr>
      <vt:lpstr>'KOMP. BELANJA'!Print_Area</vt:lpstr>
      <vt:lpstr>'REALISASI PERBULAN'!Print_Area</vt:lpstr>
      <vt:lpstr>'SUB SEKSI'!Print_Area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2026-05-26T11:03:02Z</cp:lastPrinted>
  <dcterms:created xsi:type="dcterms:W3CDTF">2026-05-26T05:05:11Z</dcterms:created>
  <dcterms:modified xsi:type="dcterms:W3CDTF">2026-05-26T11:50:57Z</dcterms:modified>
</cp:coreProperties>
</file>